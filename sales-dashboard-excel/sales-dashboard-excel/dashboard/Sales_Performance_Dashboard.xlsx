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Data" sheetId="3" state="visible" r:id="rId3"/>
    <sheet xmlns:r="http://schemas.openxmlformats.org/officeDocument/2006/relationships" name="Lists" sheetId="4" state="visible" r:id="rId4"/>
    <sheet xmlns:r="http://schemas.openxmlformats.org/officeDocument/2006/relationships" name="Guide" sheetId="5" state="visible" r:id="rId5"/>
  </sheets>
  <definedNames>
    <definedName name="sel_Region">Dashboard!$B$6</definedName>
    <definedName name="sel_Country">Dashboard!$D$6</definedName>
    <definedName name="sel_Channel">Dashboard!$F$6</definedName>
    <definedName name="sel_Customer">Dashboard!$H$6</definedName>
    <definedName name="sel_Category">Dashboard!$J$6</definedName>
    <definedName name="sel_Product">Dashboard!$L$6</definedName>
    <definedName name="sel_FromMonth">Dashboard!$N$6</definedName>
    <definedName name="sel_ToMonth">Dashboard!$P$6</definedName>
    <definedName name="m_From">Analysis!$C$4</definedName>
    <definedName name="m_To">Analysis!$C$5</definedName>
    <definedName name="_xlnm.Print_Area" localSheetId="0">'Dashboard'!$A$1:$T$73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-mmm-yyyy"/>
    <numFmt numFmtId="166" formatCode="0.0%"/>
    <numFmt numFmtId="167" formatCode="0.000000"/>
    <numFmt numFmtId="168" formatCode="$#,##0"/>
    <numFmt numFmtId="169" formatCode="$#,##0.00"/>
  </numFmts>
  <fonts count="20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2A44"/>
      <sz val="14"/>
    </font>
    <font>
      <name val="Arial"/>
      <b val="1"/>
      <color rgb="000F8B8D"/>
      <sz val="11"/>
    </font>
    <font>
      <name val="Arial"/>
      <color rgb="006B7280"/>
      <sz val="9"/>
    </font>
    <font>
      <name val="Arial"/>
      <b val="1"/>
      <color rgb="00FFFFFF"/>
      <sz val="18"/>
    </font>
    <font>
      <name val="Arial"/>
      <color rgb="00CBD5E1"/>
      <sz val="9"/>
    </font>
    <font>
      <name val="Arial"/>
      <b val="1"/>
      <color rgb="006B7280"/>
      <sz val="8"/>
    </font>
    <font>
      <name val="Arial"/>
      <b val="1"/>
      <color rgb="001F2A44"/>
      <sz val="10"/>
    </font>
    <font>
      <name val="Arial"/>
      <b val="1"/>
      <color rgb="001F2A44"/>
      <sz val="22"/>
    </font>
    <font>
      <name val="Arial"/>
      <color rgb="006B7280"/>
      <sz val="8"/>
    </font>
    <font>
      <name val="Arial"/>
      <b val="1"/>
      <color rgb="000F8B8D"/>
      <sz val="7"/>
    </font>
    <font>
      <name val="Arial"/>
      <b val="1"/>
      <color rgb="001F2A44"/>
      <sz val="11"/>
    </font>
    <font>
      <name val="Arial"/>
      <b val="1"/>
      <color rgb="00FFFFFF"/>
      <sz val="8"/>
    </font>
    <font>
      <name val="Arial"/>
      <b val="1"/>
      <color rgb="00FFFFFF"/>
      <sz val="9"/>
    </font>
    <font>
      <name val="Arial"/>
      <i val="1"/>
      <color rgb="006B7280"/>
      <sz val="8"/>
    </font>
    <font>
      <name val="Arial"/>
      <b val="1"/>
      <color rgb="001F2A44"/>
      <sz val="16"/>
    </font>
    <font>
      <name val="Arial"/>
      <b val="1"/>
      <color rgb="000F8B8D"/>
      <sz val="10"/>
    </font>
  </fonts>
  <fills count="10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0F8B8D"/>
      </patternFill>
    </fill>
    <fill>
      <patternFill patternType="solid">
        <fgColor rgb="00EE6C4D"/>
      </patternFill>
    </fill>
    <fill>
      <patternFill patternType="solid">
        <fgColor rgb="006B7280"/>
      </patternFill>
    </fill>
    <fill>
      <patternFill patternType="solid">
        <fgColor rgb="00F4F1EA"/>
      </patternFill>
    </fill>
    <fill>
      <patternFill patternType="solid">
        <fgColor rgb="00FFF8E1"/>
      </patternFill>
    </fill>
    <fill>
      <patternFill patternType="solid">
        <fgColor rgb="00FFFFFF"/>
      </patternFill>
    </fill>
    <fill>
      <patternFill patternType="solid">
        <fgColor rgb="00E8F1F2"/>
      </patternFill>
    </fill>
  </fills>
  <borders count="10">
    <border>
      <left/>
      <right/>
      <top/>
      <bottom/>
      <diagonal/>
    </border>
    <border>
      <left style="thin">
        <color rgb="00EE6C4D"/>
      </left>
      <top style="thin">
        <color rgb="00EE6C4D"/>
      </top>
      <bottom style="thin">
        <color rgb="00EE6C4D"/>
      </bottom>
    </border>
    <border>
      <right style="thin">
        <color rgb="00EE6C4D"/>
      </right>
      <top style="thin">
        <color rgb="00EE6C4D"/>
      </top>
      <bottom style="thin">
        <color rgb="00EE6C4D"/>
      </bottom>
    </border>
    <border>
      <top style="thin">
        <color rgb="00D1D5DB"/>
      </top>
      <bottom style="thin">
        <color rgb="00D1D5DB"/>
      </bottom>
    </border>
    <border>
      <top style="thick">
        <color rgb="000F8B8D"/>
      </top>
    </border>
    <border>
      <left/>
      <right/>
      <top style="thick">
        <color rgb="000F8B8D"/>
      </top>
      <bottom/>
      <diagonal/>
    </border>
    <border>
      <top style="thick">
        <color rgb="00EE6C4D"/>
      </top>
    </border>
    <border>
      <left/>
      <right/>
      <top style="thick">
        <color rgb="00EE6C4D"/>
      </top>
      <bottom/>
      <diagonal/>
    </border>
    <border>
      <bottom style="medium">
        <color rgb="000F8B8D"/>
      </bottom>
    </border>
    <border>
      <bottom style="medium">
        <color rgb="00EE6C4D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6" borderId="0" pivotButton="0" quotePrefix="0" xfId="0"/>
    <xf numFmtId="0" fontId="7" fillId="2" borderId="0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8" fillId="2" borderId="0" applyAlignment="1" pivotButton="0" quotePrefix="0" xfId="0">
      <alignment shrinkToFit="1"/>
    </xf>
    <xf numFmtId="0" fontId="0" fillId="2" borderId="0" pivotButton="0" quotePrefix="0" xfId="0"/>
    <xf numFmtId="0" fontId="9" fillId="6" borderId="0" pivotButton="0" quotePrefix="0" xfId="0"/>
    <xf numFmtId="0" fontId="10" fillId="7" borderId="1" applyAlignment="1" applyProtection="1" pivotButton="0" quotePrefix="0" xfId="0">
      <alignment horizontal="center" vertical="center" shrinkToFit="1"/>
      <protection locked="0" hidden="0"/>
    </xf>
    <xf numFmtId="0" fontId="0" fillId="7" borderId="2" applyProtection="1" pivotButton="0" quotePrefix="0" xfId="0">
      <protection locked="0" hidden="0"/>
    </xf>
    <xf numFmtId="3" fontId="4" fillId="8" borderId="3" applyAlignment="1" pivotButton="0" quotePrefix="0" xfId="0">
      <alignment horizontal="center" vertical="center"/>
    </xf>
    <xf numFmtId="0" fontId="0" fillId="8" borderId="3" pivotButton="0" quotePrefix="0" xfId="0"/>
    <xf numFmtId="0" fontId="9" fillId="8" borderId="4" applyAlignment="1" pivotButton="0" quotePrefix="0" xfId="0">
      <alignment indent="1"/>
    </xf>
    <xf numFmtId="0" fontId="0" fillId="0" borderId="5" pivotButton="0" quotePrefix="0" xfId="0"/>
    <xf numFmtId="0" fontId="9" fillId="8" borderId="6" applyAlignment="1" pivotButton="0" quotePrefix="0" xfId="0">
      <alignment indent="1"/>
    </xf>
    <xf numFmtId="0" fontId="0" fillId="0" borderId="7" pivotButton="0" quotePrefix="0" xfId="0"/>
    <xf numFmtId="168" fontId="11" fillId="8" borderId="0" applyAlignment="1" pivotButton="0" quotePrefix="0" xfId="0">
      <alignment horizontal="left" vertical="center" indent="1"/>
    </xf>
    <xf numFmtId="166" fontId="11" fillId="8" borderId="0" applyAlignment="1" pivotButton="0" quotePrefix="0" xfId="0">
      <alignment horizontal="left" vertical="center" indent="1"/>
    </xf>
    <xf numFmtId="3" fontId="11" fillId="8" borderId="0" applyAlignment="1" pivotButton="0" quotePrefix="0" xfId="0">
      <alignment horizontal="left" vertical="center" indent="1"/>
    </xf>
    <xf numFmtId="169" fontId="11" fillId="8" borderId="0" applyAlignment="1" pivotButton="0" quotePrefix="0" xfId="0">
      <alignment horizontal="left" vertical="center" indent="1"/>
    </xf>
    <xf numFmtId="0" fontId="12" fillId="8" borderId="0" applyAlignment="1" pivotButton="0" quotePrefix="0" xfId="0">
      <alignment indent="1"/>
    </xf>
    <xf numFmtId="0" fontId="13" fillId="9" borderId="0" applyAlignment="1" pivotButton="0" quotePrefix="0" xfId="0">
      <alignment vertical="bottom" indent="1"/>
    </xf>
    <xf numFmtId="0" fontId="10" fillId="9" borderId="0" applyAlignment="1" pivotButton="0" quotePrefix="0" xfId="0">
      <alignment vertical="center" indent="1"/>
    </xf>
    <xf numFmtId="0" fontId="14" fillId="8" borderId="8" applyAlignment="1" pivotButton="0" quotePrefix="0" xfId="0">
      <alignment vertical="center" indent="1"/>
    </xf>
    <xf numFmtId="0" fontId="0" fillId="0" borderId="8" pivotButton="0" quotePrefix="0" xfId="0"/>
    <xf numFmtId="0" fontId="14" fillId="8" borderId="9" applyAlignment="1" pivotButton="0" quotePrefix="0" xfId="0">
      <alignment vertical="center" indent="1"/>
    </xf>
    <xf numFmtId="0" fontId="0" fillId="0" borderId="9" pivotButton="0" quotePrefix="0" xfId="0"/>
    <xf numFmtId="0" fontId="0" fillId="8" borderId="0" pivotButton="0" quotePrefix="0" xfId="0"/>
    <xf numFmtId="0" fontId="15" fillId="2" borderId="0" applyAlignment="1" pivotButton="0" quotePrefix="0" xfId="0">
      <alignment horizontal="center" vertical="center" wrapText="1"/>
    </xf>
    <xf numFmtId="168" fontId="16" fillId="8" borderId="0" applyAlignment="1" pivotButton="0" quotePrefix="0" xfId="0">
      <alignment horizontal="center" vertical="center"/>
    </xf>
    <xf numFmtId="0" fontId="17" fillId="8" borderId="0" applyAlignment="1" pivotButton="0" quotePrefix="0" xfId="0">
      <alignment vertical="top" wrapText="1" indent="1"/>
    </xf>
    <xf numFmtId="0" fontId="9" fillId="8" borderId="0" applyAlignment="1" pivotButton="0" quotePrefix="0" xfId="0">
      <alignment indent="1"/>
    </xf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166" fontId="3" fillId="0" borderId="0" pivotButton="0" quotePrefix="0" xfId="0"/>
    <xf numFmtId="4" fontId="3" fillId="0" borderId="0" pivotButton="0" quotePrefix="0" xfId="0"/>
    <xf numFmtId="0" fontId="2" fillId="2" borderId="0" applyAlignment="1" pivotButton="0" quotePrefix="0" xfId="0">
      <alignment horizontal="center" wrapText="1"/>
    </xf>
    <xf numFmtId="167" fontId="6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165" fontId="3" fillId="0" borderId="0" pivotButton="0" quotePrefix="0" xfId="0"/>
    <xf numFmtId="9" fontId="3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18" fillId="0" borderId="0" pivotButton="0" quotePrefix="0" xfId="0"/>
    <xf numFmtId="0" fontId="19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EE6C4D"/>
          <bgColor rgb="00EE6C4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roundedCorners val="0"/>
  <chart>
    <plotArea>
      <barChart>
        <barDir val="col"/>
        <grouping val="stacked"/>
        <ser>
          <idx val="0"/>
          <order val="0"/>
          <tx>
            <strRef>
              <f>'Analysis'!E22</f>
            </strRef>
          </tx>
          <spPr>
            <a:solidFill xmlns:a="http://schemas.openxmlformats.org/drawingml/2006/main">
              <a:srgbClr val="0F8B8D"/>
            </a:solidFill>
            <a:ln xmlns:a="http://schemas.openxmlformats.org/drawingml/2006/main">
              <a:prstDash val="solid"/>
            </a:ln>
          </spPr>
          <cat>
            <numRef>
              <f>'Analysis'!$B$23:$B$34</f>
            </numRef>
          </cat>
          <val>
            <numRef>
              <f>'Analysis'!$E$23:$E$34</f>
            </numRef>
          </val>
        </ser>
        <ser>
          <idx val="1"/>
          <order val="1"/>
          <tx>
            <strRef>
              <f>'Analysis'!F22</f>
            </strRef>
          </tx>
          <spPr>
            <a:solidFill xmlns:a="http://schemas.openxmlformats.org/drawingml/2006/main">
              <a:srgbClr val="D1D5DB"/>
            </a:solidFill>
            <a:ln xmlns:a="http://schemas.openxmlformats.org/drawingml/2006/main">
              <a:prstDash val="solid"/>
            </a:ln>
          </spPr>
          <cat>
            <numRef>
              <f>'Analysis'!$B$23:$B$34</f>
            </numRef>
          </cat>
          <val>
            <numRef>
              <f>'Analysis'!$F$23:$F$34</f>
            </numRef>
          </val>
        </ser>
        <gapWidth val="55"/>
        <overlap val="100"/>
        <axId val="10"/>
        <axId val="100"/>
      </barChart>
      <lineChart>
        <grouping val="standard"/>
        <ser>
          <idx val="2"/>
          <order val="2"/>
          <tx>
            <strRef>
              <f>'Analysis'!D22</f>
            </strRef>
          </tx>
          <spPr>
            <a:ln xmlns:a="http://schemas.openxmlformats.org/drawingml/2006/main" w="28000">
              <a:solidFill>
                <a:srgbClr val="EE6C4D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EE6C4D"/>
              </a:solidFill>
              <a:ln xmlns:a="http://schemas.openxmlformats.org/drawingml/2006/main">
                <a:prstDash val="solid"/>
              </a:ln>
            </spPr>
          </marker>
          <val>
            <numRef>
              <f>'Analysis'!$D$23:$D$34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1D5DB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6B728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E5E7EB"/>
              </a:solidFill>
              <a:prstDash val="solid"/>
            </a:ln>
          </spPr>
        </majorGridlines>
        <numFmt formatCode="$#,##0,&quot;K&quot;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6B7280"/>
              </a:solidFill>
              <a:latin typeface="Arial"/>
            </a:endParaRPr>
          </a:p>
        </txPr>
        <crossAx val="10"/>
      </valAx>
    </plotArea>
    <legend>
      <legendPos val="t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roundedCorners val="0"/>
  <chart>
    <plotArea>
      <barChart>
        <barDir val="bar"/>
        <grouping val="stacked"/>
        <ser>
          <idx val="0"/>
          <order val="0"/>
          <tx>
            <strRef>
              <f>'Analysis'!H38</f>
            </strRef>
          </tx>
          <spPr>
            <a:solidFill xmlns:a="http://schemas.openxmlformats.org/drawingml/2006/main">
              <a:srgbClr val="1F2A44"/>
            </a:solidFill>
            <a:ln xmlns:a="http://schemas.openxmlformats.org/drawingml/2006/main">
              <a:prstDash val="solid"/>
            </a:ln>
          </spPr>
          <dLbls>
            <numFmt formatCode="$#,##0,&quot;K&quot;;;;" sourceLinked="0"/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FFFFFF"/>
                    </a:solidFill>
                    <a:latin typeface="Arial"/>
                  </a:defRPr>
                </a:pPr>
                <a:r>
                  <a:t/>
                </a:r>
                <a:endParaRPr sz="800" b="1">
                  <a:solidFill>
                    <a:srgbClr val="FFFFFF"/>
                  </a:solidFill>
                  <a:latin typeface="Arial"/>
                </a:endParaRPr>
              </a:p>
            </txPr>
            <showLegendKey val="0"/>
            <showVal val="1"/>
            <showCatName val="0"/>
            <showSerName val="0"/>
          </dLbls>
          <cat>
            <numRef>
              <f>'Analysis'!$G$39:$G$43</f>
            </numRef>
          </cat>
          <val>
            <numRef>
              <f>'Analysis'!$H$39:$H$43</f>
            </numRef>
          </val>
        </ser>
        <ser>
          <idx val="1"/>
          <order val="1"/>
          <tx>
            <strRef>
              <f>'Analysis'!I38</f>
            </strRef>
          </tx>
          <spPr>
            <a:solidFill xmlns:a="http://schemas.openxmlformats.org/drawingml/2006/main">
              <a:srgbClr val="D1D5DB"/>
            </a:solidFill>
            <a:ln xmlns:a="http://schemas.openxmlformats.org/drawingml/2006/main">
              <a:prstDash val="solid"/>
            </a:ln>
          </spPr>
          <cat>
            <numRef>
              <f>'Analysis'!$G$39:$G$43</f>
            </numRef>
          </cat>
          <val>
            <numRef>
              <f>'Analysis'!$I$39:$I$43</f>
            </numRef>
          </val>
        </ser>
        <gapWidth val="45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1D5DB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6B728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E5E7EB"/>
              </a:solidFill>
              <a:prstDash val="solid"/>
            </a:ln>
          </spPr>
        </majorGridlines>
        <numFmt formatCode="$#,##0,&quot;K&quot;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6B7280"/>
              </a:solidFill>
              <a:latin typeface="Arial"/>
            </a:endParaRPr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roundedCorners val="0"/>
  <chart>
    <plotArea>
      <barChart>
        <barDir val="bar"/>
        <grouping val="stacked"/>
        <ser>
          <idx val="0"/>
          <order val="0"/>
          <tx>
            <strRef>
              <f>'Analysis'!H83</f>
            </strRef>
          </tx>
          <spPr>
            <a:solidFill xmlns:a="http://schemas.openxmlformats.org/drawingml/2006/main">
              <a:srgbClr val="EE6C4D"/>
            </a:solidFill>
            <a:ln xmlns:a="http://schemas.openxmlformats.org/drawingml/2006/main">
              <a:prstDash val="solid"/>
            </a:ln>
          </spPr>
          <dLbls>
            <numFmt formatCode="#,##0;;;" sourceLinked="0"/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FFFFFF"/>
                    </a:solidFill>
                    <a:latin typeface="Arial"/>
                  </a:defRPr>
                </a:pPr>
                <a:r>
                  <a:t/>
                </a:r>
                <a:endParaRPr sz="800" b="1">
                  <a:solidFill>
                    <a:srgbClr val="FFFFFF"/>
                  </a:solidFill>
                  <a:latin typeface="Arial"/>
                </a:endParaRPr>
              </a:p>
            </txPr>
            <showLegendKey val="0"/>
            <showVal val="1"/>
            <showCatName val="0"/>
            <showSerName val="0"/>
          </dLbls>
          <cat>
            <numRef>
              <f>'Analysis'!$G$84:$G$88</f>
            </numRef>
          </cat>
          <val>
            <numRef>
              <f>'Analysis'!$H$84:$H$88</f>
            </numRef>
          </val>
        </ser>
        <ser>
          <idx val="1"/>
          <order val="1"/>
          <tx>
            <strRef>
              <f>'Analysis'!I83</f>
            </strRef>
          </tx>
          <spPr>
            <a:solidFill xmlns:a="http://schemas.openxmlformats.org/drawingml/2006/main">
              <a:srgbClr val="D1D5DB"/>
            </a:solidFill>
            <a:ln xmlns:a="http://schemas.openxmlformats.org/drawingml/2006/main">
              <a:prstDash val="solid"/>
            </a:ln>
          </spPr>
          <cat>
            <numRef>
              <f>'Analysis'!$G$84:$G$88</f>
            </numRef>
          </cat>
          <val>
            <numRef>
              <f>'Analysis'!$I$84:$I$88</f>
            </numRef>
          </val>
        </ser>
        <gapWidth val="45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1D5DB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6B728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E5E7EB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6B7280"/>
              </a:solidFill>
              <a:latin typeface="Arial"/>
            </a:endParaRPr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roundedCorners val="0"/>
  <chart>
    <plotArea>
      <barChart>
        <barDir val="bar"/>
        <grouping val="stacked"/>
        <ser>
          <idx val="0"/>
          <order val="0"/>
          <tx>
            <strRef>
              <f>'Analysis'!H62</f>
            </strRef>
          </tx>
          <spPr>
            <a:solidFill xmlns:a="http://schemas.openxmlformats.org/drawingml/2006/main">
              <a:srgbClr val="0F8B8D"/>
            </a:solidFill>
            <a:ln xmlns:a="http://schemas.openxmlformats.org/drawingml/2006/main">
              <a:prstDash val="solid"/>
            </a:ln>
          </spPr>
          <dLbls>
            <numFmt formatCode="$#,##0,&quot;K&quot;;;;" sourceLinked="0"/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FFFFFF"/>
                    </a:solidFill>
                    <a:latin typeface="Arial"/>
                  </a:defRPr>
                </a:pPr>
                <a:r>
                  <a:t/>
                </a:r>
                <a:endParaRPr sz="800" b="1">
                  <a:solidFill>
                    <a:srgbClr val="FFFFFF"/>
                  </a:solidFill>
                  <a:latin typeface="Arial"/>
                </a:endParaRPr>
              </a:p>
            </txPr>
            <showLegendKey val="0"/>
            <showVal val="1"/>
            <showCatName val="0"/>
            <showSerName val="0"/>
          </dLbls>
          <cat>
            <numRef>
              <f>'Analysis'!$G$63:$G$72</f>
            </numRef>
          </cat>
          <val>
            <numRef>
              <f>'Analysis'!$H$63:$H$72</f>
            </numRef>
          </val>
        </ser>
        <ser>
          <idx val="1"/>
          <order val="1"/>
          <tx>
            <strRef>
              <f>'Analysis'!I62</f>
            </strRef>
          </tx>
          <spPr>
            <a:solidFill xmlns:a="http://schemas.openxmlformats.org/drawingml/2006/main">
              <a:srgbClr val="D1D5DB"/>
            </a:solidFill>
            <a:ln xmlns:a="http://schemas.openxmlformats.org/drawingml/2006/main">
              <a:prstDash val="solid"/>
            </a:ln>
          </spPr>
          <cat>
            <numRef>
              <f>'Analysis'!$G$63:$G$72</f>
            </numRef>
          </cat>
          <val>
            <numRef>
              <f>'Analysis'!$I$63:$I$72</f>
            </numRef>
          </val>
        </ser>
        <gapWidth val="45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1D5DB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6B728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E5E7EB"/>
              </a:solidFill>
              <a:prstDash val="solid"/>
            </a:ln>
          </spPr>
        </majorGridlines>
        <numFmt formatCode="$#,##0,&quot;K&quot;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6B7280"/>
              </a:solidFill>
              <a:latin typeface="Arial"/>
            </a:endParaRPr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5.xml><?xml version="1.0" encoding="utf-8"?>
<chartSpace xmlns="http://schemas.openxmlformats.org/drawingml/2006/chart">
  <roundedCorners val="0"/>
  <chart>
    <plotArea>
      <barChart>
        <barDir val="bar"/>
        <grouping val="stacked"/>
        <ser>
          <idx val="0"/>
          <order val="0"/>
          <tx>
            <strRef>
              <f>'Analysis'!H47</f>
            </strRef>
          </tx>
          <spPr>
            <a:solidFill xmlns:a="http://schemas.openxmlformats.org/drawingml/2006/main">
              <a:srgbClr val="0F8B8D"/>
            </a:solidFill>
            <a:ln xmlns:a="http://schemas.openxmlformats.org/drawingml/2006/main">
              <a:prstDash val="solid"/>
            </a:ln>
          </spPr>
          <dLbls>
            <numFmt formatCode="$#,##0,&quot;K&quot;;;;" sourceLinked="0"/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FFFFFF"/>
                    </a:solidFill>
                    <a:latin typeface="Arial"/>
                  </a:defRPr>
                </a:pPr>
                <a:r>
                  <a:t/>
                </a:r>
                <a:endParaRPr sz="800" b="1">
                  <a:solidFill>
                    <a:srgbClr val="FFFFFF"/>
                  </a:solidFill>
                  <a:latin typeface="Arial"/>
                </a:endParaRPr>
              </a:p>
            </txPr>
            <showLegendKey val="0"/>
            <showVal val="1"/>
            <showCatName val="0"/>
            <showSerName val="0"/>
          </dLbls>
          <cat>
            <numRef>
              <f>'Analysis'!$G$48:$G$51</f>
            </numRef>
          </cat>
          <val>
            <numRef>
              <f>'Analysis'!$H$48:$H$51</f>
            </numRef>
          </val>
        </ser>
        <ser>
          <idx val="1"/>
          <order val="1"/>
          <tx>
            <strRef>
              <f>'Analysis'!I47</f>
            </strRef>
          </tx>
          <spPr>
            <a:solidFill xmlns:a="http://schemas.openxmlformats.org/drawingml/2006/main">
              <a:srgbClr val="D1D5DB"/>
            </a:solidFill>
            <a:ln xmlns:a="http://schemas.openxmlformats.org/drawingml/2006/main">
              <a:prstDash val="solid"/>
            </a:ln>
          </spPr>
          <cat>
            <numRef>
              <f>'Analysis'!$G$48:$G$51</f>
            </numRef>
          </cat>
          <val>
            <numRef>
              <f>'Analysis'!$I$48:$I$51</f>
            </numRef>
          </val>
        </ser>
        <gapWidth val="45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1D5DB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6B728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E5E7EB"/>
              </a:solidFill>
              <a:prstDash val="solid"/>
            </a:ln>
          </spPr>
        </majorGridlines>
        <numFmt formatCode="$#,##0,&quot;K&quot;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6B7280"/>
              </a:solidFill>
              <a:latin typeface="Arial"/>
            </a:endParaRPr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6.xml><?xml version="1.0" encoding="utf-8"?>
<chartSpace xmlns="http://schemas.openxmlformats.org/drawingml/2006/chart">
  <roundedCorners val="0"/>
  <chart>
    <plotArea>
      <barChart>
        <barDir val="bar"/>
        <grouping val="stacked"/>
        <ser>
          <idx val="0"/>
          <order val="0"/>
          <tx>
            <strRef>
              <f>'Analysis'!H55</f>
            </strRef>
          </tx>
          <spPr>
            <a:solidFill xmlns:a="http://schemas.openxmlformats.org/drawingml/2006/main">
              <a:srgbClr val="EE6C4D"/>
            </a:solidFill>
            <a:ln xmlns:a="http://schemas.openxmlformats.org/drawingml/2006/main">
              <a:prstDash val="solid"/>
            </a:ln>
          </spPr>
          <dLbls>
            <numFmt formatCode="$#,##0,&quot;K&quot;;;;" sourceLinked="0"/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FFFFFF"/>
                    </a:solidFill>
                    <a:latin typeface="Arial"/>
                  </a:defRPr>
                </a:pPr>
                <a:r>
                  <a:t/>
                </a:r>
                <a:endParaRPr sz="800" b="1">
                  <a:solidFill>
                    <a:srgbClr val="FFFFFF"/>
                  </a:solidFill>
                  <a:latin typeface="Arial"/>
                </a:endParaRPr>
              </a:p>
            </txPr>
            <showLegendKey val="0"/>
            <showVal val="1"/>
            <showCatName val="0"/>
            <showSerName val="0"/>
          </dLbls>
          <cat>
            <numRef>
              <f>'Analysis'!$G$56:$G$58</f>
            </numRef>
          </cat>
          <val>
            <numRef>
              <f>'Analysis'!$H$56:$H$58</f>
            </numRef>
          </val>
        </ser>
        <ser>
          <idx val="1"/>
          <order val="1"/>
          <tx>
            <strRef>
              <f>'Analysis'!I55</f>
            </strRef>
          </tx>
          <spPr>
            <a:solidFill xmlns:a="http://schemas.openxmlformats.org/drawingml/2006/main">
              <a:srgbClr val="D1D5DB"/>
            </a:solidFill>
            <a:ln xmlns:a="http://schemas.openxmlformats.org/drawingml/2006/main">
              <a:prstDash val="solid"/>
            </a:ln>
          </spPr>
          <cat>
            <numRef>
              <f>'Analysis'!$G$56:$G$58</f>
            </numRef>
          </cat>
          <val>
            <numRef>
              <f>'Analysis'!$I$56:$I$58</f>
            </numRef>
          </val>
        </ser>
        <gapWidth val="45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1D5DB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6B728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E5E7EB"/>
              </a:solidFill>
              <a:prstDash val="solid"/>
            </a:ln>
          </spPr>
        </majorGridlines>
        <numFmt formatCode="$#,##0,&quot;K&quot;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6B7280"/>
              </a:solidFill>
              <a:latin typeface="Arial"/>
            </a:endParaRPr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1</col>
      <colOff>0</colOff>
      <row>16</row>
      <rowOff>0</rowOff>
    </from>
    <ext cx="7343999" cy="313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16</row>
      <rowOff>0</rowOff>
    </from>
    <ext cx="5868000" cy="313199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35</row>
      <rowOff>0</rowOff>
    </from>
    <ext cx="5868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0</colOff>
      <row>54</row>
      <rowOff>0</rowOff>
    </from>
    <ext cx="7343999" cy="3131999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11</col>
      <colOff>0</colOff>
      <row>55</row>
      <rowOff>0</rowOff>
    </from>
    <ext cx="2880000" cy="3024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55</row>
      <rowOff>0</rowOff>
    </from>
    <ext cx="2880000" cy="3024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ata" displayName="SalesData" ref="A3:AA2710" headerRowCount="1">
  <autoFilter ref="A3:AA2710"/>
  <tableColumns count="27">
    <tableColumn id="1" name="ID"/>
    <tableColumn id="2" name="Order Date"/>
    <tableColumn id="3" name="Region"/>
    <tableColumn id="4" name="Country"/>
    <tableColumn id="5" name="Sales Channel"/>
    <tableColumn id="6" name="Customer Type"/>
    <tableColumn id="7" name="Product Category"/>
    <tableColumn id="8" name="Product"/>
    <tableColumn id="9" name="Units Sold"/>
    <tableColumn id="10" name="Unit Price"/>
    <tableColumn id="11" name="Discount %"/>
    <tableColumn id="12" name="Unit Cost"/>
    <tableColumn id="13" name="Revenue"/>
    <tableColumn id="14" name="COGS"/>
    <tableColumn id="15" name="Gross Profit"/>
    <tableColumn id="16" name="Gross Margin %"/>
    <tableColumn id="17" name="Year"/>
    <tableColumn id="18" name="Quarter"/>
    <tableColumn id="19" name="MonthNo"/>
    <tableColumn id="20" name="Month"/>
    <tableColumn id="21" name="In Filter"/>
    <tableColumn id="22" name="Flag excl. Country"/>
    <tableColumn id="23" name="Flag excl. Channel"/>
    <tableColumn id="24" name="Flag excl. Customer"/>
    <tableColumn id="25" name="Flag excl. Category"/>
    <tableColumn id="26" name="Flag excl. Product"/>
    <tableColumn id="27" name="Flag excl. Month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F2A44"/>
    <outlinePr summaryBelow="1" summaryRight="1"/>
    <pageSetUpPr fitToPage="1"/>
  </sheetPr>
  <dimension ref="A1:T73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2" customWidth="1" min="20" max="20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26" customHeight="1">
      <c r="A2" s="1" t="n"/>
      <c r="B2" s="2" t="inlineStr">
        <is>
          <t>SALES PERFORMANCE DASHBOARD  |  FY2026</t>
        </is>
      </c>
      <c r="L2" s="3" t="inlineStr">
        <is>
          <t>Dashboard</t>
        </is>
      </c>
      <c r="M2" s="4" t="n"/>
      <c r="N2" s="5" t="inlineStr">
        <is>
          <t>Analysis</t>
        </is>
      </c>
      <c r="O2" s="6" t="n"/>
      <c r="P2" s="5" t="inlineStr">
        <is>
          <t>Data</t>
        </is>
      </c>
      <c r="Q2" s="6" t="n"/>
      <c r="R2" s="5" t="inlineStr">
        <is>
          <t>Guide</t>
        </is>
      </c>
      <c r="S2" s="6" t="n"/>
      <c r="T2" s="1" t="n"/>
    </row>
    <row r="3" ht="18" customHeight="1">
      <c r="A3" s="1" t="n"/>
      <c r="B3" s="7">
        <f>IF(Analysis!$C$6&lt;&gt;"OK","WARNING: "&amp;Analysis!$C$6,N6&amp;"-"&amp;P6&amp;"  |  Region: "&amp;B6&amp;"  |  Country: "&amp;D6&amp;"  |  Channel: "&amp;F6&amp;"  |  Customer: "&amp;H6&amp;"  |  Category: "&amp;J6&amp;"  |  Product: "&amp;L6)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1" t="n"/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</row>
    <row r="5" ht="16" customHeight="1">
      <c r="A5" s="1" t="n"/>
      <c r="B5" s="9" t="inlineStr">
        <is>
          <t>REGION</t>
        </is>
      </c>
      <c r="D5" s="9" t="inlineStr">
        <is>
          <t>COUNTRY</t>
        </is>
      </c>
      <c r="F5" s="9" t="inlineStr">
        <is>
          <t>SALES CHANNEL</t>
        </is>
      </c>
      <c r="H5" s="9" t="inlineStr">
        <is>
          <t>CUSTOMER TYPE</t>
        </is>
      </c>
      <c r="J5" s="9" t="inlineStr">
        <is>
          <t>CATEGORY</t>
        </is>
      </c>
      <c r="L5" s="9" t="inlineStr">
        <is>
          <t>PRODUCT</t>
        </is>
      </c>
      <c r="N5" s="9" t="inlineStr">
        <is>
          <t>FROM MONTH</t>
        </is>
      </c>
      <c r="P5" s="9" t="inlineStr">
        <is>
          <t>TO MONTH</t>
        </is>
      </c>
      <c r="R5" s="9" t="inlineStr">
        <is>
          <t>ORDERS SHOWN</t>
        </is>
      </c>
      <c r="T5" s="1" t="n"/>
    </row>
    <row r="6" ht="24" customHeight="1">
      <c r="A6" s="1" t="n"/>
      <c r="B6" s="10" t="inlineStr">
        <is>
          <t>All</t>
        </is>
      </c>
      <c r="C6" s="11" t="n"/>
      <c r="D6" s="10" t="inlineStr">
        <is>
          <t>All</t>
        </is>
      </c>
      <c r="E6" s="11" t="n"/>
      <c r="F6" s="10" t="inlineStr">
        <is>
          <t>All</t>
        </is>
      </c>
      <c r="G6" s="11" t="n"/>
      <c r="H6" s="10" t="inlineStr">
        <is>
          <t>All</t>
        </is>
      </c>
      <c r="I6" s="11" t="n"/>
      <c r="J6" s="10" t="inlineStr">
        <is>
          <t>All</t>
        </is>
      </c>
      <c r="K6" s="11" t="n"/>
      <c r="L6" s="10" t="inlineStr">
        <is>
          <t>All</t>
        </is>
      </c>
      <c r="M6" s="11" t="n"/>
      <c r="N6" s="10" t="inlineStr">
        <is>
          <t>Jan</t>
        </is>
      </c>
      <c r="O6" s="11" t="n"/>
      <c r="P6" s="10" t="inlineStr">
        <is>
          <t>Dec</t>
        </is>
      </c>
      <c r="Q6" s="11" t="n"/>
      <c r="R6" s="12">
        <f>Analysis!$C$13</f>
        <v/>
      </c>
      <c r="S6" s="13" t="n"/>
      <c r="T6" s="1" t="n"/>
    </row>
    <row r="7" ht="8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</row>
    <row r="8" ht="16" customHeight="1">
      <c r="A8" s="1" t="n"/>
      <c r="B8" s="14" t="inlineStr">
        <is>
          <t>TOTAL REVENUE</t>
        </is>
      </c>
      <c r="C8" s="15" t="n"/>
      <c r="D8" s="15" t="n"/>
      <c r="E8" s="14" t="inlineStr">
        <is>
          <t>GROSS PROFIT</t>
        </is>
      </c>
      <c r="F8" s="15" t="n"/>
      <c r="G8" s="15" t="n"/>
      <c r="H8" s="14" t="inlineStr">
        <is>
          <t>GROSS MARGIN</t>
        </is>
      </c>
      <c r="I8" s="15" t="n"/>
      <c r="J8" s="15" t="n"/>
      <c r="K8" s="16" t="inlineStr">
        <is>
          <t>UNITS SOLD</t>
        </is>
      </c>
      <c r="L8" s="17" t="n"/>
      <c r="M8" s="17" t="n"/>
      <c r="N8" s="16" t="inlineStr">
        <is>
          <t>AVG ORDER VALUE</t>
        </is>
      </c>
      <c r="O8" s="17" t="n"/>
      <c r="P8" s="17" t="n"/>
      <c r="Q8" s="16" t="inlineStr">
        <is>
          <t>AVG UNIT PRICE</t>
        </is>
      </c>
      <c r="R8" s="17" t="n"/>
      <c r="S8" s="17" t="n"/>
      <c r="T8" s="1" t="n"/>
    </row>
    <row r="9" ht="22" customHeight="1">
      <c r="A9" s="1" t="n"/>
      <c r="B9" s="18">
        <f>Analysis!$C$9</f>
        <v/>
      </c>
      <c r="E9" s="18">
        <f>Analysis!$C$10</f>
        <v/>
      </c>
      <c r="H9" s="19">
        <f>Analysis!$C$11</f>
        <v/>
      </c>
      <c r="K9" s="20">
        <f>Analysis!$C$12</f>
        <v/>
      </c>
      <c r="N9" s="21">
        <f>Analysis!$C$14</f>
        <v/>
      </c>
      <c r="Q9" s="21">
        <f>Analysis!$C$15</f>
        <v/>
      </c>
      <c r="T9" s="1" t="n"/>
    </row>
    <row r="10" ht="22" customHeight="1">
      <c r="A10" s="1" t="n"/>
      <c r="T10" s="1" t="n"/>
    </row>
    <row r="11" ht="16" customHeight="1">
      <c r="A11" s="1" t="n"/>
      <c r="B11" s="22">
        <f>TEXT(Analysis!$C$18,"0.0%")&amp;" of full-year revenue"</f>
        <v/>
      </c>
      <c r="E11" s="22">
        <f>"Margin "&amp;TEXT(Analysis!$C$11,"0.0%")</f>
        <v/>
      </c>
      <c r="H11" s="22">
        <f>"Profit as % of revenue"</f>
        <v/>
      </c>
      <c r="K11" s="22">
        <f>TEXT(Analysis!$C$13,"#,##0")&amp;" orders"</f>
        <v/>
      </c>
      <c r="N11" s="22">
        <f>"Revenue per order"</f>
        <v/>
      </c>
      <c r="Q11" s="22">
        <f>"Net revenue per unit"</f>
        <v/>
      </c>
      <c r="T11" s="1" t="n"/>
    </row>
    <row r="12" ht="8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</row>
    <row r="13" ht="15" customHeight="1">
      <c r="A13" s="1" t="n"/>
      <c r="B13" s="23" t="inlineStr">
        <is>
          <t>TOP COUNTRY</t>
        </is>
      </c>
      <c r="E13" s="23" t="inlineStr">
        <is>
          <t>BEST MONTH</t>
        </is>
      </c>
      <c r="H13" s="23" t="inlineStr">
        <is>
          <t>TOP CATEGORY</t>
        </is>
      </c>
      <c r="K13" s="23" t="inlineStr">
        <is>
          <t>TOP CHANNEL</t>
        </is>
      </c>
      <c r="N13" s="23" t="inlineStr">
        <is>
          <t>TOP CUSTOMER TYPE</t>
        </is>
      </c>
      <c r="Q13" s="23" t="inlineStr">
        <is>
          <t>TOP PRODUCT</t>
        </is>
      </c>
      <c r="T13" s="1" t="n"/>
    </row>
    <row r="14" ht="20" customHeight="1">
      <c r="A14" s="1" t="n"/>
      <c r="B14" s="24">
        <f>Analysis!$H$4</f>
        <v/>
      </c>
      <c r="E14" s="24">
        <f>Analysis!$H$5</f>
        <v/>
      </c>
      <c r="H14" s="24">
        <f>Analysis!$H$6</f>
        <v/>
      </c>
      <c r="K14" s="24">
        <f>Analysis!$H$7</f>
        <v/>
      </c>
      <c r="N14" s="24">
        <f>Analysis!$H$8</f>
        <v/>
      </c>
      <c r="Q14" s="24">
        <f>Analysis!$H$9</f>
        <v/>
      </c>
      <c r="T14" s="1" t="n"/>
    </row>
    <row r="15" ht="8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</row>
    <row r="16" ht="22" customHeight="1">
      <c r="A16" s="1" t="n"/>
      <c r="B16" s="25" t="inlineStr">
        <is>
          <t>Monthly Revenue &amp; Gross Profit</t>
        </is>
      </c>
      <c r="C16" s="26" t="n"/>
      <c r="D16" s="26" t="n"/>
      <c r="E16" s="26" t="n"/>
      <c r="F16" s="26" t="n"/>
      <c r="G16" s="26" t="n"/>
      <c r="H16" s="26" t="n"/>
      <c r="I16" s="26" t="n"/>
      <c r="J16" s="26" t="n"/>
      <c r="K16" s="26" t="n"/>
      <c r="L16" s="27" t="inlineStr">
        <is>
          <t>Revenue by Product Category</t>
        </is>
      </c>
      <c r="M16" s="28" t="n"/>
      <c r="N16" s="28" t="n"/>
      <c r="O16" s="28" t="n"/>
      <c r="P16" s="28" t="n"/>
      <c r="Q16" s="28" t="n"/>
      <c r="R16" s="28" t="n"/>
      <c r="S16" s="28" t="n"/>
      <c r="T16" s="1" t="n"/>
    </row>
    <row r="17">
      <c r="A17" s="1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29" t="n"/>
      <c r="R17" s="29" t="n"/>
      <c r="S17" s="29" t="n"/>
      <c r="T17" s="1" t="n"/>
    </row>
    <row r="18">
      <c r="A18" s="1" t="n"/>
      <c r="B18" s="29" t="n"/>
      <c r="C18" s="29" t="n"/>
      <c r="D18" s="29" t="n"/>
      <c r="E18" s="29" t="n"/>
      <c r="F18" s="29" t="n"/>
      <c r="G18" s="29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29" t="n"/>
      <c r="R18" s="29" t="n"/>
      <c r="S18" s="29" t="n"/>
      <c r="T18" s="1" t="n"/>
    </row>
    <row r="19">
      <c r="A19" s="1" t="n"/>
      <c r="B19" s="29" t="n"/>
      <c r="C19" s="29" t="n"/>
      <c r="D19" s="29" t="n"/>
      <c r="E19" s="29" t="n"/>
      <c r="F19" s="29" t="n"/>
      <c r="G19" s="29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29" t="n"/>
      <c r="R19" s="29" t="n"/>
      <c r="S19" s="29" t="n"/>
      <c r="T19" s="1" t="n"/>
    </row>
    <row r="20">
      <c r="A20" s="1" t="n"/>
      <c r="B20" s="29" t="n"/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1" t="n"/>
    </row>
    <row r="21">
      <c r="A21" s="1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1" t="n"/>
    </row>
    <row r="22">
      <c r="A22" s="1" t="n"/>
      <c r="B22" s="29" t="n"/>
      <c r="C22" s="29" t="n"/>
      <c r="D22" s="29" t="n"/>
      <c r="E22" s="29" t="n"/>
      <c r="F22" s="29" t="n"/>
      <c r="G22" s="29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1" t="n"/>
    </row>
    <row r="23">
      <c r="A23" s="1" t="n"/>
      <c r="B23" s="29" t="n"/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1" t="n"/>
    </row>
    <row r="24">
      <c r="A24" s="1" t="n"/>
      <c r="B24" s="29" t="n"/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29" t="n"/>
      <c r="R24" s="29" t="n"/>
      <c r="S24" s="29" t="n"/>
      <c r="T24" s="1" t="n"/>
    </row>
    <row r="25">
      <c r="A25" s="1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29" t="n"/>
      <c r="R25" s="29" t="n"/>
      <c r="S25" s="29" t="n"/>
      <c r="T25" s="1" t="n"/>
    </row>
    <row r="26">
      <c r="A26" s="1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1" t="n"/>
    </row>
    <row r="27">
      <c r="A27" s="1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29" t="n"/>
      <c r="R27" s="29" t="n"/>
      <c r="S27" s="29" t="n"/>
      <c r="T27" s="1" t="n"/>
    </row>
    <row r="28">
      <c r="A28" s="1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29" t="n"/>
      <c r="R28" s="29" t="n"/>
      <c r="S28" s="29" t="n"/>
      <c r="T28" s="1" t="n"/>
    </row>
    <row r="29">
      <c r="A29" s="1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29" t="n"/>
      <c r="R29" s="29" t="n"/>
      <c r="S29" s="29" t="n"/>
      <c r="T29" s="1" t="n"/>
    </row>
    <row r="30">
      <c r="A30" s="1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29" t="n"/>
      <c r="R30" s="29" t="n"/>
      <c r="S30" s="29" t="n"/>
      <c r="T30" s="1" t="n"/>
    </row>
    <row r="31">
      <c r="A31" s="1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29" t="n"/>
      <c r="R31" s="29" t="n"/>
      <c r="S31" s="29" t="n"/>
      <c r="T31" s="1" t="n"/>
    </row>
    <row r="32">
      <c r="A32" s="1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29" t="n"/>
      <c r="R32" s="29" t="n"/>
      <c r="S32" s="29" t="n"/>
      <c r="T32" s="1" t="n"/>
    </row>
    <row r="33">
      <c r="A33" s="1" t="n"/>
      <c r="B33" s="29" t="n"/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29" t="n"/>
      <c r="R33" s="29" t="n"/>
      <c r="S33" s="29" t="n"/>
      <c r="T33" s="1" t="n"/>
    </row>
    <row r="34" ht="8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</row>
    <row r="35" ht="22" customHeight="1">
      <c r="A35" s="1" t="n"/>
      <c r="B35" s="25" t="inlineStr">
        <is>
          <t>Revenue Map of Europe (tile map)</t>
        </is>
      </c>
      <c r="C35" s="26" t="n"/>
      <c r="D35" s="26" t="n"/>
      <c r="E35" s="26" t="n"/>
      <c r="F35" s="26" t="n"/>
      <c r="G35" s="26" t="n"/>
      <c r="H35" s="26" t="n"/>
      <c r="I35" s="26" t="n"/>
      <c r="J35" s="26" t="n"/>
      <c r="K35" s="26" t="n"/>
      <c r="L35" s="27" t="inlineStr">
        <is>
          <t>Top 5 Bestselling Products (units)</t>
        </is>
      </c>
      <c r="M35" s="28" t="n"/>
      <c r="N35" s="28" t="n"/>
      <c r="O35" s="28" t="n"/>
      <c r="P35" s="28" t="n"/>
      <c r="Q35" s="28" t="n"/>
      <c r="R35" s="28" t="n"/>
      <c r="S35" s="28" t="n"/>
      <c r="T35" s="1" t="n"/>
    </row>
    <row r="36" ht="6" customHeight="1">
      <c r="A36" s="1" t="n"/>
      <c r="B36" s="29" t="n"/>
      <c r="C36" s="29" t="n"/>
      <c r="D36" s="29" t="n"/>
      <c r="E36" s="29" t="n"/>
      <c r="F36" s="29" t="n"/>
      <c r="G36" s="29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29" t="n"/>
      <c r="R36" s="29" t="n"/>
      <c r="S36" s="29" t="n"/>
      <c r="T36" s="1" t="n"/>
    </row>
    <row r="37" ht="22" customHeight="1">
      <c r="A37" s="1" t="n"/>
      <c r="B37" s="29" t="n"/>
      <c r="C37" s="29" t="n"/>
      <c r="D37" s="30" t="inlineStr">
        <is>
          <t>Norway</t>
        </is>
      </c>
      <c r="E37" s="8" t="n"/>
      <c r="F37" s="30" t="inlineStr">
        <is>
          <t>Sweden</t>
        </is>
      </c>
      <c r="G37" s="8" t="n"/>
      <c r="H37" s="30" t="inlineStr">
        <is>
          <t>Finland</t>
        </is>
      </c>
      <c r="I37" s="8" t="n"/>
      <c r="J37" s="29" t="n"/>
      <c r="K37" s="29" t="n"/>
      <c r="L37" s="29" t="n"/>
      <c r="M37" s="29" t="n"/>
      <c r="N37" s="29" t="n"/>
      <c r="O37" s="29" t="n"/>
      <c r="P37" s="29" t="n"/>
      <c r="Q37" s="29" t="n"/>
      <c r="R37" s="29" t="n"/>
      <c r="S37" s="29" t="n"/>
      <c r="T37" s="1" t="n"/>
    </row>
    <row r="38" ht="22" customHeight="1">
      <c r="A38" s="1" t="n"/>
      <c r="B38" s="29" t="n"/>
      <c r="C38" s="29" t="n"/>
      <c r="D38" s="31">
        <f>INDEX(Analysis!$C$63:$C$79,MATCH("Norway",Analysis!$B$63:$B$79,0))</f>
        <v/>
      </c>
      <c r="F38" s="31">
        <f>INDEX(Analysis!$C$63:$C$79,MATCH("Sweden",Analysis!$B$63:$B$79,0))</f>
        <v/>
      </c>
      <c r="H38" s="31">
        <f>INDEX(Analysis!$C$63:$C$79,MATCH("Finland",Analysis!$B$63:$B$79,0))</f>
        <v/>
      </c>
      <c r="J38" s="29" t="n"/>
      <c r="K38" s="29" t="n"/>
      <c r="L38" s="29" t="n"/>
      <c r="M38" s="29" t="n"/>
      <c r="N38" s="29" t="n"/>
      <c r="O38" s="29" t="n"/>
      <c r="P38" s="29" t="n"/>
      <c r="Q38" s="29" t="n"/>
      <c r="R38" s="29" t="n"/>
      <c r="S38" s="29" t="n"/>
      <c r="T38" s="1" t="n"/>
    </row>
    <row r="39" ht="22" customHeight="1">
      <c r="A39" s="1" t="n"/>
      <c r="B39" s="30" t="inlineStr">
        <is>
          <t>Ireland</t>
        </is>
      </c>
      <c r="C39" s="8" t="n"/>
      <c r="D39" s="30" t="inlineStr">
        <is>
          <t>United Kingdom</t>
        </is>
      </c>
      <c r="E39" s="8" t="n"/>
      <c r="F39" s="30" t="inlineStr">
        <is>
          <t>Denmark</t>
        </is>
      </c>
      <c r="G39" s="8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29" t="n"/>
      <c r="R39" s="29" t="n"/>
      <c r="S39" s="29" t="n"/>
      <c r="T39" s="1" t="n"/>
    </row>
    <row r="40" ht="22" customHeight="1">
      <c r="A40" s="1" t="n"/>
      <c r="B40" s="31">
        <f>INDEX(Analysis!$C$63:$C$79,MATCH("Ireland",Analysis!$B$63:$B$79,0))</f>
        <v/>
      </c>
      <c r="D40" s="31">
        <f>INDEX(Analysis!$C$63:$C$79,MATCH("United Kingdom",Analysis!$B$63:$B$79,0))</f>
        <v/>
      </c>
      <c r="F40" s="31">
        <f>INDEX(Analysis!$C$63:$C$79,MATCH("Denmark",Analysis!$B$63:$B$79,0))</f>
        <v/>
      </c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29" t="n"/>
      <c r="R40" s="29" t="n"/>
      <c r="S40" s="29" t="n"/>
      <c r="T40" s="1" t="n"/>
    </row>
    <row r="41" ht="22" customHeight="1">
      <c r="A41" s="1" t="n"/>
      <c r="B41" s="29" t="n"/>
      <c r="C41" s="29" t="n"/>
      <c r="D41" s="30" t="inlineStr">
        <is>
          <t>Netherlands</t>
        </is>
      </c>
      <c r="E41" s="8" t="n"/>
      <c r="F41" s="30" t="inlineStr">
        <is>
          <t>Germany</t>
        </is>
      </c>
      <c r="G41" s="8" t="n"/>
      <c r="H41" s="30" t="inlineStr">
        <is>
          <t>Poland</t>
        </is>
      </c>
      <c r="I41" s="8" t="n"/>
      <c r="J41" s="29" t="n"/>
      <c r="K41" s="29" t="n"/>
      <c r="L41" s="29" t="n"/>
      <c r="M41" s="29" t="n"/>
      <c r="N41" s="29" t="n"/>
      <c r="O41" s="29" t="n"/>
      <c r="P41" s="29" t="n"/>
      <c r="Q41" s="29" t="n"/>
      <c r="R41" s="29" t="n"/>
      <c r="S41" s="29" t="n"/>
      <c r="T41" s="1" t="n"/>
    </row>
    <row r="42" ht="22" customHeight="1">
      <c r="A42" s="1" t="n"/>
      <c r="B42" s="29" t="n"/>
      <c r="C42" s="29" t="n"/>
      <c r="D42" s="31">
        <f>INDEX(Analysis!$C$63:$C$79,MATCH("Netherlands",Analysis!$B$63:$B$79,0))</f>
        <v/>
      </c>
      <c r="F42" s="31">
        <f>INDEX(Analysis!$C$63:$C$79,MATCH("Germany",Analysis!$B$63:$B$79,0))</f>
        <v/>
      </c>
      <c r="H42" s="31">
        <f>INDEX(Analysis!$C$63:$C$79,MATCH("Poland",Analysis!$B$63:$B$79,0))</f>
        <v/>
      </c>
      <c r="J42" s="29" t="n"/>
      <c r="K42" s="29" t="n"/>
      <c r="L42" s="29" t="n"/>
      <c r="M42" s="29" t="n"/>
      <c r="N42" s="29" t="n"/>
      <c r="O42" s="29" t="n"/>
      <c r="P42" s="29" t="n"/>
      <c r="Q42" s="29" t="n"/>
      <c r="R42" s="29" t="n"/>
      <c r="S42" s="29" t="n"/>
      <c r="T42" s="1" t="n"/>
    </row>
    <row r="43" ht="22" customHeight="1">
      <c r="A43" s="1" t="n"/>
      <c r="B43" s="30" t="inlineStr">
        <is>
          <t>Belgium</t>
        </is>
      </c>
      <c r="C43" s="8" t="n"/>
      <c r="D43" s="30" t="inlineStr">
        <is>
          <t>France</t>
        </is>
      </c>
      <c r="E43" s="8" t="n"/>
      <c r="F43" s="30" t="inlineStr">
        <is>
          <t>Switzerland</t>
        </is>
      </c>
      <c r="G43" s="8" t="n"/>
      <c r="H43" s="30" t="inlineStr">
        <is>
          <t>Austria</t>
        </is>
      </c>
      <c r="I43" s="8" t="n"/>
      <c r="J43" s="30" t="inlineStr">
        <is>
          <t>Czechia</t>
        </is>
      </c>
      <c r="K43" s="8" t="n"/>
      <c r="L43" s="29" t="n"/>
      <c r="M43" s="29" t="n"/>
      <c r="N43" s="29" t="n"/>
      <c r="O43" s="29" t="n"/>
      <c r="P43" s="29" t="n"/>
      <c r="Q43" s="29" t="n"/>
      <c r="R43" s="29" t="n"/>
      <c r="S43" s="29" t="n"/>
      <c r="T43" s="1" t="n"/>
    </row>
    <row r="44" ht="22" customHeight="1">
      <c r="A44" s="1" t="n"/>
      <c r="B44" s="31">
        <f>INDEX(Analysis!$C$63:$C$79,MATCH("Belgium",Analysis!$B$63:$B$79,0))</f>
        <v/>
      </c>
      <c r="D44" s="31">
        <f>INDEX(Analysis!$C$63:$C$79,MATCH("France",Analysis!$B$63:$B$79,0))</f>
        <v/>
      </c>
      <c r="F44" s="31">
        <f>INDEX(Analysis!$C$63:$C$79,MATCH("Switzerland",Analysis!$B$63:$B$79,0))</f>
        <v/>
      </c>
      <c r="H44" s="31">
        <f>INDEX(Analysis!$C$63:$C$79,MATCH("Austria",Analysis!$B$63:$B$79,0))</f>
        <v/>
      </c>
      <c r="J44" s="31">
        <f>INDEX(Analysis!$C$63:$C$79,MATCH("Czechia",Analysis!$B$63:$B$79,0))</f>
        <v/>
      </c>
      <c r="L44" s="29" t="n"/>
      <c r="M44" s="29" t="n"/>
      <c r="N44" s="29" t="n"/>
      <c r="O44" s="29" t="n"/>
      <c r="P44" s="29" t="n"/>
      <c r="Q44" s="29" t="n"/>
      <c r="R44" s="29" t="n"/>
      <c r="S44" s="29" t="n"/>
      <c r="T44" s="1" t="n"/>
    </row>
    <row r="45" ht="22" customHeight="1">
      <c r="A45" s="1" t="n"/>
      <c r="B45" s="30" t="inlineStr">
        <is>
          <t>Portugal</t>
        </is>
      </c>
      <c r="C45" s="8" t="n"/>
      <c r="D45" s="30" t="inlineStr">
        <is>
          <t>Spain</t>
        </is>
      </c>
      <c r="E45" s="8" t="n"/>
      <c r="F45" s="30" t="inlineStr">
        <is>
          <t>Italy</t>
        </is>
      </c>
      <c r="G45" s="8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29" t="n"/>
      <c r="R45" s="29" t="n"/>
      <c r="S45" s="29" t="n"/>
      <c r="T45" s="1" t="n"/>
    </row>
    <row r="46" ht="22" customHeight="1">
      <c r="A46" s="1" t="n"/>
      <c r="B46" s="31">
        <f>INDEX(Analysis!$C$63:$C$79,MATCH("Portugal",Analysis!$B$63:$B$79,0))</f>
        <v/>
      </c>
      <c r="D46" s="31">
        <f>INDEX(Analysis!$C$63:$C$79,MATCH("Spain",Analysis!$B$63:$B$79,0))</f>
        <v/>
      </c>
      <c r="F46" s="31">
        <f>INDEX(Analysis!$C$63:$C$79,MATCH("Italy",Analysis!$B$63:$B$79,0))</f>
        <v/>
      </c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29" t="n"/>
      <c r="R46" s="29" t="n"/>
      <c r="S46" s="29" t="n"/>
      <c r="T46" s="1" t="n"/>
    </row>
    <row r="47">
      <c r="A47" s="1" t="n"/>
      <c r="B47" s="29" t="n"/>
      <c r="C47" s="29" t="n"/>
      <c r="D47" s="29" t="n"/>
      <c r="E47" s="29" t="n"/>
      <c r="F47" s="29" t="n"/>
      <c r="G47" s="29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29" t="n"/>
      <c r="R47" s="29" t="n"/>
      <c r="S47" s="29" t="n"/>
      <c r="T47" s="1" t="n"/>
    </row>
    <row r="48">
      <c r="A48" s="1" t="n"/>
      <c r="B48" s="32" t="inlineStr">
        <is>
          <t>Tiles sit roughly where each country is on the map. Shade = revenue (light = low, dark = high). The selected country gets an orange label. With the macro installed, click a tile to filter the whole dashboard.</t>
        </is>
      </c>
      <c r="L48" s="29" t="n"/>
      <c r="M48" s="29" t="n"/>
      <c r="N48" s="29" t="n"/>
      <c r="O48" s="29" t="n"/>
      <c r="P48" s="29" t="n"/>
      <c r="Q48" s="29" t="n"/>
      <c r="R48" s="29" t="n"/>
      <c r="S48" s="29" t="n"/>
      <c r="T48" s="1" t="n"/>
    </row>
    <row r="49">
      <c r="A49" s="1" t="n"/>
      <c r="L49" s="29" t="n"/>
      <c r="M49" s="29" t="n"/>
      <c r="N49" s="29" t="n"/>
      <c r="O49" s="29" t="n"/>
      <c r="P49" s="29" t="n"/>
      <c r="Q49" s="29" t="n"/>
      <c r="R49" s="29" t="n"/>
      <c r="S49" s="29" t="n"/>
      <c r="T49" s="1" t="n"/>
    </row>
    <row r="50">
      <c r="A50" s="1" t="n"/>
      <c r="L50" s="29" t="n"/>
      <c r="M50" s="29" t="n"/>
      <c r="N50" s="29" t="n"/>
      <c r="O50" s="29" t="n"/>
      <c r="P50" s="29" t="n"/>
      <c r="Q50" s="29" t="n"/>
      <c r="R50" s="29" t="n"/>
      <c r="S50" s="29" t="n"/>
      <c r="T50" s="1" t="n"/>
    </row>
    <row r="51">
      <c r="A51" s="1" t="n"/>
      <c r="L51" s="29" t="n"/>
      <c r="M51" s="29" t="n"/>
      <c r="N51" s="29" t="n"/>
      <c r="O51" s="29" t="n"/>
      <c r="P51" s="29" t="n"/>
      <c r="Q51" s="29" t="n"/>
      <c r="R51" s="29" t="n"/>
      <c r="S51" s="29" t="n"/>
      <c r="T51" s="1" t="n"/>
    </row>
    <row r="52">
      <c r="A52" s="1" t="n"/>
      <c r="B52" s="29" t="n"/>
      <c r="C52" s="29" t="n"/>
      <c r="D52" s="29" t="n"/>
      <c r="E52" s="29" t="n"/>
      <c r="F52" s="29" t="n"/>
      <c r="G52" s="29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29" t="n"/>
      <c r="R52" s="29" t="n"/>
      <c r="S52" s="29" t="n"/>
      <c r="T52" s="1" t="n"/>
    </row>
    <row r="53" ht="8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</row>
    <row r="54" ht="22" customHeight="1">
      <c r="A54" s="1" t="n"/>
      <c r="B54" s="25" t="inlineStr">
        <is>
          <t>Top 10 Countries by Revenue</t>
        </is>
      </c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27" t="inlineStr">
        <is>
          <t>Revenue Mix</t>
        </is>
      </c>
      <c r="M54" s="28" t="n"/>
      <c r="N54" s="28" t="n"/>
      <c r="O54" s="28" t="n"/>
      <c r="P54" s="28" t="n"/>
      <c r="Q54" s="28" t="n"/>
      <c r="R54" s="28" t="n"/>
      <c r="S54" s="28" t="n"/>
      <c r="T54" s="1" t="n"/>
    </row>
    <row r="55">
      <c r="A55" s="1" t="n"/>
      <c r="B55" s="29" t="n"/>
      <c r="C55" s="29" t="n"/>
      <c r="D55" s="29" t="n"/>
      <c r="E55" s="29" t="n"/>
      <c r="F55" s="29" t="n"/>
      <c r="G55" s="29" t="n"/>
      <c r="H55" s="29" t="n"/>
      <c r="I55" s="29" t="n"/>
      <c r="J55" s="29" t="n"/>
      <c r="K55" s="29" t="n"/>
      <c r="L55" s="33" t="inlineStr">
        <is>
          <t>BY SALES CHANNEL</t>
        </is>
      </c>
      <c r="M55" s="29" t="n"/>
      <c r="N55" s="29" t="n"/>
      <c r="O55" s="29" t="n"/>
      <c r="P55" s="33" t="inlineStr">
        <is>
          <t>BY CUSTOMER TYPE</t>
        </is>
      </c>
      <c r="Q55" s="29" t="n"/>
      <c r="R55" s="29" t="n"/>
      <c r="S55" s="29" t="n"/>
      <c r="T55" s="1" t="n"/>
    </row>
    <row r="56">
      <c r="A56" s="1" t="n"/>
      <c r="B56" s="29" t="n"/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29" t="n"/>
      <c r="R56" s="29" t="n"/>
      <c r="S56" s="29" t="n"/>
      <c r="T56" s="1" t="n"/>
    </row>
    <row r="57">
      <c r="A57" s="1" t="n"/>
      <c r="B57" s="29" t="n"/>
      <c r="C57" s="29" t="n"/>
      <c r="D57" s="29" t="n"/>
      <c r="E57" s="29" t="n"/>
      <c r="F57" s="29" t="n"/>
      <c r="G57" s="29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29" t="n"/>
      <c r="R57" s="29" t="n"/>
      <c r="S57" s="29" t="n"/>
      <c r="T57" s="1" t="n"/>
    </row>
    <row r="58">
      <c r="A58" s="1" t="n"/>
      <c r="B58" s="29" t="n"/>
      <c r="C58" s="29" t="n"/>
      <c r="D58" s="29" t="n"/>
      <c r="E58" s="29" t="n"/>
      <c r="F58" s="29" t="n"/>
      <c r="G58" s="29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29" t="n"/>
      <c r="R58" s="29" t="n"/>
      <c r="S58" s="29" t="n"/>
      <c r="T58" s="1" t="n"/>
    </row>
    <row r="59">
      <c r="A59" s="1" t="n"/>
      <c r="B59" s="29" t="n"/>
      <c r="C59" s="29" t="n"/>
      <c r="D59" s="29" t="n"/>
      <c r="E59" s="29" t="n"/>
      <c r="F59" s="29" t="n"/>
      <c r="G59" s="29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29" t="n"/>
      <c r="R59" s="29" t="n"/>
      <c r="S59" s="29" t="n"/>
      <c r="T59" s="1" t="n"/>
    </row>
    <row r="60">
      <c r="A60" s="1" t="n"/>
      <c r="B60" s="29" t="n"/>
      <c r="C60" s="29" t="n"/>
      <c r="D60" s="29" t="n"/>
      <c r="E60" s="29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29" t="n"/>
      <c r="R60" s="29" t="n"/>
      <c r="S60" s="29" t="n"/>
      <c r="T60" s="1" t="n"/>
    </row>
    <row r="61">
      <c r="A61" s="1" t="n"/>
      <c r="B61" s="29" t="n"/>
      <c r="C61" s="29" t="n"/>
      <c r="D61" s="29" t="n"/>
      <c r="E61" s="29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29" t="n"/>
      <c r="R61" s="29" t="n"/>
      <c r="S61" s="29" t="n"/>
      <c r="T61" s="1" t="n"/>
    </row>
    <row r="62">
      <c r="A62" s="1" t="n"/>
      <c r="B62" s="29" t="n"/>
      <c r="C62" s="29" t="n"/>
      <c r="D62" s="29" t="n"/>
      <c r="E62" s="29" t="n"/>
      <c r="F62" s="29" t="n"/>
      <c r="G62" s="29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29" t="n"/>
      <c r="R62" s="29" t="n"/>
      <c r="S62" s="29" t="n"/>
      <c r="T62" s="1" t="n"/>
    </row>
    <row r="63">
      <c r="A63" s="1" t="n"/>
      <c r="B63" s="29" t="n"/>
      <c r="C63" s="29" t="n"/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29" t="n"/>
      <c r="R63" s="29" t="n"/>
      <c r="S63" s="29" t="n"/>
      <c r="T63" s="1" t="n"/>
    </row>
    <row r="64">
      <c r="A64" s="1" t="n"/>
      <c r="B64" s="29" t="n"/>
      <c r="C64" s="29" t="n"/>
      <c r="D64" s="29" t="n"/>
      <c r="E64" s="29" t="n"/>
      <c r="F64" s="29" t="n"/>
      <c r="G64" s="29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29" t="n"/>
      <c r="R64" s="29" t="n"/>
      <c r="S64" s="29" t="n"/>
      <c r="T64" s="1" t="n"/>
    </row>
    <row r="65">
      <c r="A65" s="1" t="n"/>
      <c r="B65" s="29" t="n"/>
      <c r="C65" s="29" t="n"/>
      <c r="D65" s="29" t="n"/>
      <c r="E65" s="29" t="n"/>
      <c r="F65" s="29" t="n"/>
      <c r="G65" s="29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29" t="n"/>
      <c r="R65" s="29" t="n"/>
      <c r="S65" s="29" t="n"/>
      <c r="T65" s="1" t="n"/>
    </row>
    <row r="66">
      <c r="A66" s="1" t="n"/>
      <c r="B66" s="29" t="n"/>
      <c r="C66" s="29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29" t="n"/>
      <c r="R66" s="29" t="n"/>
      <c r="S66" s="29" t="n"/>
      <c r="T66" s="1" t="n"/>
    </row>
    <row r="67">
      <c r="A67" s="1" t="n"/>
      <c r="B67" s="29" t="n"/>
      <c r="C67" s="29" t="n"/>
      <c r="D67" s="29" t="n"/>
      <c r="E67" s="29" t="n"/>
      <c r="F67" s="29" t="n"/>
      <c r="G67" s="29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29" t="n"/>
      <c r="R67" s="29" t="n"/>
      <c r="S67" s="29" t="n"/>
      <c r="T67" s="1" t="n"/>
    </row>
    <row r="68">
      <c r="A68" s="1" t="n"/>
      <c r="B68" s="29" t="n"/>
      <c r="C68" s="29" t="n"/>
      <c r="D68" s="29" t="n"/>
      <c r="E68" s="29" t="n"/>
      <c r="F68" s="29" t="n"/>
      <c r="G68" s="29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29" t="n"/>
      <c r="R68" s="29" t="n"/>
      <c r="S68" s="29" t="n"/>
      <c r="T68" s="1" t="n"/>
    </row>
    <row r="69">
      <c r="A69" s="1" t="n"/>
      <c r="B69" s="29" t="n"/>
      <c r="C69" s="29" t="n"/>
      <c r="D69" s="29" t="n"/>
      <c r="E69" s="29" t="n"/>
      <c r="F69" s="29" t="n"/>
      <c r="G69" s="29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29" t="n"/>
      <c r="R69" s="29" t="n"/>
      <c r="S69" s="29" t="n"/>
      <c r="T69" s="1" t="n"/>
    </row>
    <row r="70">
      <c r="A70" s="1" t="n"/>
      <c r="B70" s="29" t="n"/>
      <c r="C70" s="29" t="n"/>
      <c r="D70" s="29" t="n"/>
      <c r="E70" s="29" t="n"/>
      <c r="F70" s="29" t="n"/>
      <c r="G70" s="29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29" t="n"/>
      <c r="R70" s="29" t="n"/>
      <c r="S70" s="29" t="n"/>
      <c r="T70" s="1" t="n"/>
    </row>
    <row r="71">
      <c r="A71" s="1" t="n"/>
      <c r="B71" s="29" t="n"/>
      <c r="C71" s="29" t="n"/>
      <c r="D71" s="29" t="n"/>
      <c r="E71" s="29" t="n"/>
      <c r="F71" s="29" t="n"/>
      <c r="G71" s="29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29" t="n"/>
      <c r="R71" s="29" t="n"/>
      <c r="S71" s="29" t="n"/>
      <c r="T71" s="1" t="n"/>
    </row>
    <row r="72">
      <c r="A72" s="1" t="n"/>
      <c r="B72" s="29" t="n"/>
      <c r="C72" s="29" t="n"/>
      <c r="D72" s="29" t="n"/>
      <c r="E72" s="29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29" t="n"/>
      <c r="R72" s="29" t="n"/>
      <c r="S72" s="29" t="n"/>
      <c r="T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95">
    <mergeCell ref="L2:M2"/>
    <mergeCell ref="B11:D11"/>
    <mergeCell ref="Q14:S14"/>
    <mergeCell ref="E13:G13"/>
    <mergeCell ref="H11:J11"/>
    <mergeCell ref="D45:E45"/>
    <mergeCell ref="D6:E6"/>
    <mergeCell ref="P6:Q6"/>
    <mergeCell ref="R6:S6"/>
    <mergeCell ref="H9:J10"/>
    <mergeCell ref="L5:M5"/>
    <mergeCell ref="B54:K54"/>
    <mergeCell ref="N5:O5"/>
    <mergeCell ref="H37:I37"/>
    <mergeCell ref="E9:G10"/>
    <mergeCell ref="B40:C40"/>
    <mergeCell ref="F43:G43"/>
    <mergeCell ref="K11:M11"/>
    <mergeCell ref="B8:D8"/>
    <mergeCell ref="H41:I41"/>
    <mergeCell ref="F6:G6"/>
    <mergeCell ref="K9:M10"/>
    <mergeCell ref="N8:P8"/>
    <mergeCell ref="K8:M8"/>
    <mergeCell ref="K14:M14"/>
    <mergeCell ref="N2:O2"/>
    <mergeCell ref="F5:G5"/>
    <mergeCell ref="P2:Q2"/>
    <mergeCell ref="F45:G45"/>
    <mergeCell ref="F42:G42"/>
    <mergeCell ref="D37:E37"/>
    <mergeCell ref="F46:G46"/>
    <mergeCell ref="Q13:S13"/>
    <mergeCell ref="L54:S54"/>
    <mergeCell ref="D39:E39"/>
    <mergeCell ref="B6:C6"/>
    <mergeCell ref="F39:G39"/>
    <mergeCell ref="L6:M6"/>
    <mergeCell ref="N6:O6"/>
    <mergeCell ref="E8:G8"/>
    <mergeCell ref="D38:E38"/>
    <mergeCell ref="H5:I5"/>
    <mergeCell ref="Q8:S8"/>
    <mergeCell ref="B14:D14"/>
    <mergeCell ref="H38:I38"/>
    <mergeCell ref="L16:S16"/>
    <mergeCell ref="H43:I43"/>
    <mergeCell ref="N14:P14"/>
    <mergeCell ref="B13:D13"/>
    <mergeCell ref="B43:C43"/>
    <mergeCell ref="E11:G11"/>
    <mergeCell ref="H13:J13"/>
    <mergeCell ref="B44:C44"/>
    <mergeCell ref="K13:M13"/>
    <mergeCell ref="H8:J8"/>
    <mergeCell ref="N11:P11"/>
    <mergeCell ref="E14:G14"/>
    <mergeCell ref="B5:C5"/>
    <mergeCell ref="H42:I42"/>
    <mergeCell ref="D5:E5"/>
    <mergeCell ref="B45:C45"/>
    <mergeCell ref="N9:P10"/>
    <mergeCell ref="P5:Q5"/>
    <mergeCell ref="R5:S5"/>
    <mergeCell ref="J44:K44"/>
    <mergeCell ref="J5:K5"/>
    <mergeCell ref="B46:C46"/>
    <mergeCell ref="D46:E46"/>
    <mergeCell ref="D40:E40"/>
    <mergeCell ref="H44:I44"/>
    <mergeCell ref="F40:G40"/>
    <mergeCell ref="B39:C39"/>
    <mergeCell ref="H6:I6"/>
    <mergeCell ref="J6:K6"/>
    <mergeCell ref="N13:P13"/>
    <mergeCell ref="B35:K35"/>
    <mergeCell ref="B16:K16"/>
    <mergeCell ref="D41:E41"/>
    <mergeCell ref="F41:G41"/>
    <mergeCell ref="B3:K3"/>
    <mergeCell ref="Q11:S11"/>
    <mergeCell ref="B48:K51"/>
    <mergeCell ref="L35:S35"/>
    <mergeCell ref="F38:G38"/>
    <mergeCell ref="H14:J14"/>
    <mergeCell ref="D43:E43"/>
    <mergeCell ref="B2:K2"/>
    <mergeCell ref="Q9:S10"/>
    <mergeCell ref="F37:G37"/>
    <mergeCell ref="J43:K43"/>
    <mergeCell ref="D42:E42"/>
    <mergeCell ref="R2:S2"/>
    <mergeCell ref="B9:D10"/>
    <mergeCell ref="D44:E44"/>
    <mergeCell ref="F44:G44"/>
  </mergeCells>
  <conditionalFormatting sqref="D37:E37">
    <cfRule type="expression" priority="1" dxfId="0" stopIfTrue="0">
      <formula>$D$37=sel_Country</formula>
    </cfRule>
  </conditionalFormatting>
  <conditionalFormatting sqref="F37:G37">
    <cfRule type="expression" priority="2" dxfId="0" stopIfTrue="0">
      <formula>$F$37=sel_Country</formula>
    </cfRule>
  </conditionalFormatting>
  <conditionalFormatting sqref="H37:I37">
    <cfRule type="expression" priority="3" dxfId="0" stopIfTrue="0">
      <formula>$H$37=sel_Country</formula>
    </cfRule>
  </conditionalFormatting>
  <conditionalFormatting sqref="B39:C39">
    <cfRule type="expression" priority="4" dxfId="0" stopIfTrue="0">
      <formula>$B$39=sel_Country</formula>
    </cfRule>
  </conditionalFormatting>
  <conditionalFormatting sqref="D39:E39">
    <cfRule type="expression" priority="5" dxfId="0" stopIfTrue="0">
      <formula>$D$39=sel_Country</formula>
    </cfRule>
  </conditionalFormatting>
  <conditionalFormatting sqref="F39:G39">
    <cfRule type="expression" priority="6" dxfId="0" stopIfTrue="0">
      <formula>$F$39=sel_Country</formula>
    </cfRule>
  </conditionalFormatting>
  <conditionalFormatting sqref="D41:E41">
    <cfRule type="expression" priority="7" dxfId="0" stopIfTrue="0">
      <formula>$D$41=sel_Country</formula>
    </cfRule>
  </conditionalFormatting>
  <conditionalFormatting sqref="F41:G41">
    <cfRule type="expression" priority="8" dxfId="0" stopIfTrue="0">
      <formula>$F$41=sel_Country</formula>
    </cfRule>
  </conditionalFormatting>
  <conditionalFormatting sqref="H41:I41">
    <cfRule type="expression" priority="9" dxfId="0" stopIfTrue="0">
      <formula>$H$41=sel_Country</formula>
    </cfRule>
  </conditionalFormatting>
  <conditionalFormatting sqref="B43:C43">
    <cfRule type="expression" priority="10" dxfId="0" stopIfTrue="0">
      <formula>$B$43=sel_Country</formula>
    </cfRule>
  </conditionalFormatting>
  <conditionalFormatting sqref="D43:E43">
    <cfRule type="expression" priority="11" dxfId="0" stopIfTrue="0">
      <formula>$D$43=sel_Country</formula>
    </cfRule>
  </conditionalFormatting>
  <conditionalFormatting sqref="F43:G43">
    <cfRule type="expression" priority="12" dxfId="0" stopIfTrue="0">
      <formula>$F$43=sel_Country</formula>
    </cfRule>
  </conditionalFormatting>
  <conditionalFormatting sqref="H43:I43">
    <cfRule type="expression" priority="13" dxfId="0" stopIfTrue="0">
      <formula>$H$43=sel_Country</formula>
    </cfRule>
  </conditionalFormatting>
  <conditionalFormatting sqref="J43:K43">
    <cfRule type="expression" priority="14" dxfId="0" stopIfTrue="0">
      <formula>$J$43=sel_Country</formula>
    </cfRule>
  </conditionalFormatting>
  <conditionalFormatting sqref="B45:C45">
    <cfRule type="expression" priority="15" dxfId="0" stopIfTrue="0">
      <formula>$B$45=sel_Country</formula>
    </cfRule>
  </conditionalFormatting>
  <conditionalFormatting sqref="D45:E45">
    <cfRule type="expression" priority="16" dxfId="0" stopIfTrue="0">
      <formula>$D$45=sel_Country</formula>
    </cfRule>
  </conditionalFormatting>
  <conditionalFormatting sqref="F45:G45">
    <cfRule type="expression" priority="17" dxfId="0" stopIfTrue="0">
      <formula>$F$45=sel_Country</formula>
    </cfRule>
  </conditionalFormatting>
  <conditionalFormatting sqref="B40:C40 B44:C44 B46:C46 D38:E38 D40:E40 D42:E42 D44:E44 D46:E46 F38:G38 F40:G40 F42:G42 F44:G44 F46:G46 H38:I38 H42:I42 H44:I44 J44:K44">
    <cfRule type="colorScale" priority="18">
      <colorScale>
        <cfvo type="min"/>
        <cfvo type="percentile" val="50"/>
        <cfvo type="max"/>
        <color rgb="009FD3D4"/>
        <color rgb="002BA3A5"/>
        <color rgb="000B4F52"/>
      </colorScale>
    </cfRule>
  </conditionalFormatting>
  <dataValidations count="8">
    <dataValidation sqref="B6" showDropDown="0" showInputMessage="0" showErrorMessage="1" allowBlank="0" errorTitle="Pick from list" error="Choose a value from the dropdown." type="list">
      <formula1>=Lists!$A$4:$A$8</formula1>
    </dataValidation>
    <dataValidation sqref="D6" showDropDown="0" showInputMessage="0" showErrorMessage="1" allowBlank="0" errorTitle="Pick from list" error="Choose a value from the dropdown." type="list">
      <formula1>=Lists!$F$4:$F$21</formula1>
    </dataValidation>
    <dataValidation sqref="F6" showDropDown="0" showInputMessage="0" showErrorMessage="1" allowBlank="0" errorTitle="Pick from list" error="Choose a value from the dropdown." type="list">
      <formula1>=Lists!$B$4:$B$8</formula1>
    </dataValidation>
    <dataValidation sqref="H6" showDropDown="0" showInputMessage="0" showErrorMessage="1" allowBlank="0" errorTitle="Pick from list" error="Choose a value from the dropdown." type="list">
      <formula1>=Lists!$C$4:$C$7</formula1>
    </dataValidation>
    <dataValidation sqref="J6" showDropDown="0" showInputMessage="0" showErrorMessage="1" allowBlank="0" errorTitle="Pick from list" error="Choose a value from the dropdown." type="list">
      <formula1>=Lists!$E$4:$E$9</formula1>
    </dataValidation>
    <dataValidation sqref="L6" showDropDown="0" showInputMessage="0" showErrorMessage="1" allowBlank="0" errorTitle="Pick from list" error="Choose a value from the dropdown." type="list">
      <formula1>=Lists!$G$4:$G$24</formula1>
    </dataValidation>
    <dataValidation sqref="N6" showDropDown="0" showInputMessage="0" showErrorMessage="1" allowBlank="0" errorTitle="Pick from list" error="Choose a value from the dropdown." type="list">
      <formula1>=Lists!$D$4:$D$15</formula1>
    </dataValidation>
    <dataValidation sqref="P6" showDropDown="0" showInputMessage="0" showErrorMessage="1" allowBlank="0" errorTitle="Pick from list" error="Choose a value from the dropdown." type="list">
      <formula1>=Lists!$D$4:$D$15</formula1>
    </dataValidation>
  </dataValidations>
  <hyperlinks>
    <hyperlink ref="L2" location="'Dashboard'!A1" display="Dashboard"/>
    <hyperlink ref="N2" location="'Analysis'!A1" display="Analysis"/>
    <hyperlink ref="P2" location="'Data'!A1" display="Data"/>
    <hyperlink ref="R2" location="'Guide'!A1" display="Guide"/>
  </hyperlinks>
  <printOptions horizontalCentered="1"/>
  <pageMargins left="0.3" right="0.3" top="0.3" bottom="0.3" header="0.5" footer="0.5"/>
  <pageSetup orientation="landscape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F8B8D"/>
    <outlinePr summaryBelow="1" summaryRight="1"/>
    <pageSetUpPr/>
  </sheetPr>
  <dimension ref="B1:R10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26" customWidth="1" min="7" max="7"/>
    <col width="16" customWidth="1" min="8" max="8"/>
    <col width="16" customWidth="1" min="9" max="9"/>
  </cols>
  <sheetData>
    <row r="1">
      <c r="B1" s="34" t="inlineStr">
        <is>
          <t>Analysis (calculation layer behind the dashboard)</t>
        </is>
      </c>
      <c r="K1" s="5" t="inlineStr">
        <is>
          <t>Dashboard</t>
        </is>
      </c>
      <c r="L1" s="6" t="n"/>
      <c r="M1" s="3" t="inlineStr">
        <is>
          <t>Analysis</t>
        </is>
      </c>
      <c r="N1" s="4" t="n"/>
      <c r="O1" s="5" t="inlineStr">
        <is>
          <t>Data</t>
        </is>
      </c>
      <c r="P1" s="6" t="n"/>
      <c r="Q1" s="5" t="inlineStr">
        <is>
          <t>Guide</t>
        </is>
      </c>
      <c r="R1" s="6" t="n"/>
    </row>
    <row r="3">
      <c r="B3" s="35" t="inlineStr">
        <is>
          <t>Filter helpers</t>
        </is>
      </c>
      <c r="G3" s="35" t="inlineStr">
        <is>
          <t>Highlights (respect all filters)</t>
        </is>
      </c>
    </row>
    <row r="4">
      <c r="B4" t="inlineStr">
        <is>
          <t>From month (number)</t>
        </is>
      </c>
      <c r="C4">
        <f>MATCH(sel_FromMonth,Lists!$D$4:$D$15,0)</f>
        <v/>
      </c>
      <c r="G4" s="36" t="inlineStr">
        <is>
          <t>Top country</t>
        </is>
      </c>
      <c r="H4" s="36">
        <f>IF($C$9=0,"-",INDEX($B$63:$B$79,MATCH(MAX($D$63:$D$79),$D$63:$D$79,0))&amp;"  ($"&amp;TEXT(MAX($D$63:$D$79)/1000,"#,##0.0")&amp;"K)")</f>
        <v/>
      </c>
    </row>
    <row r="5">
      <c r="B5" t="inlineStr">
        <is>
          <t>To month (number)</t>
        </is>
      </c>
      <c r="C5">
        <f>MATCH(sel_ToMonth,Lists!$D$4:$D$15,0)</f>
        <v/>
      </c>
      <c r="G5" s="36" t="inlineStr">
        <is>
          <t>Best month</t>
        </is>
      </c>
      <c r="H5" s="36">
        <f>IF($C$9=0,"-",INDEX($B$23:$B$34,MATCH(MAX($E$23:$E$34),$E$23:$E$34,0))&amp;"  ($"&amp;TEXT(MAX($E$23:$E$34)/1000,"#,##0.0")&amp;"K)")</f>
        <v/>
      </c>
    </row>
    <row r="6">
      <c r="B6" t="inlineStr">
        <is>
          <t>Valid month range?</t>
        </is>
      </c>
      <c r="C6">
        <f>IF(C4&lt;=C5,"OK","From month is after To month - nothing shown")</f>
        <v/>
      </c>
      <c r="G6" s="36" t="inlineStr">
        <is>
          <t>Top category</t>
        </is>
      </c>
      <c r="H6" s="36">
        <f>IF($C$9=0,"-",INDEX($B$39:$B$43,MATCH(MAX($D$39:$D$43),$D$39:$D$43,0))&amp;"  ($"&amp;TEXT(MAX($D$39:$D$43)/1000,"#,##0.0")&amp;"K)")</f>
        <v/>
      </c>
    </row>
    <row r="7">
      <c r="G7" s="36" t="inlineStr">
        <is>
          <t>Top sales channel</t>
        </is>
      </c>
      <c r="H7" s="36">
        <f>IF($C$9=0,"-",INDEX($B$48:$B$51,MATCH(MAX($D$48:$D$51),$D$48:$D$51,0))&amp;"  ($"&amp;TEXT(MAX($D$48:$D$51)/1000,"#,##0.0")&amp;"K)")</f>
        <v/>
      </c>
    </row>
    <row r="8">
      <c r="B8" s="35" t="inlineStr">
        <is>
          <t>KPIs (respect all filters)</t>
        </is>
      </c>
      <c r="G8" s="36" t="inlineStr">
        <is>
          <t>Top customer type</t>
        </is>
      </c>
      <c r="H8" s="36">
        <f>IF($C$9=0,"-",INDEX($B$56:$B$58,MATCH(MAX($D$56:$D$58),$D$56:$D$58,0))&amp;"  ($"&amp;TEXT(MAX($D$56:$D$58)/1000,"#,##0.0")&amp;"K)")</f>
        <v/>
      </c>
    </row>
    <row r="9">
      <c r="B9" s="36" t="inlineStr">
        <is>
          <t>Revenue</t>
        </is>
      </c>
      <c r="C9" s="37">
        <f>SUMIFS(Data!$M$4:$M$2710,Data!$U$4:$U$2710,1)</f>
        <v/>
      </c>
      <c r="G9" s="36" t="inlineStr">
        <is>
          <t>Top product (units)</t>
        </is>
      </c>
      <c r="H9" s="36">
        <f>IF($C$9=0,"-",INDEX($B$84:$B$103,MATCH(MAX($D$84:$D$103),$D$84:$D$103,0))&amp;"  ("&amp;MAX($D$84:$D$103)&amp;" units)")</f>
        <v/>
      </c>
    </row>
    <row r="10">
      <c r="B10" s="36" t="inlineStr">
        <is>
          <t>Gross Profit</t>
        </is>
      </c>
      <c r="C10" s="37">
        <f>SUMIFS(Data!$O$4:$O$2710,Data!$U$4:$U$2710,1)</f>
        <v/>
      </c>
    </row>
    <row r="11">
      <c r="B11" s="36" t="inlineStr">
        <is>
          <t>Gross Margin %</t>
        </is>
      </c>
      <c r="C11" s="38">
        <f>IF(C9=0,0,C10/C9)</f>
        <v/>
      </c>
    </row>
    <row r="12">
      <c r="B12" s="36" t="inlineStr">
        <is>
          <t>Units Sold</t>
        </is>
      </c>
      <c r="C12" s="37">
        <f>SUMIFS(Data!$I$4:$I$2710,Data!$U$4:$U$2710,1)</f>
        <v/>
      </c>
    </row>
    <row r="13">
      <c r="B13" s="36" t="inlineStr">
        <is>
          <t>Orders</t>
        </is>
      </c>
      <c r="C13" s="37">
        <f>COUNTIFS(Data!$U$4:$U$2710,1)</f>
        <v/>
      </c>
    </row>
    <row r="14">
      <c r="B14" s="36" t="inlineStr">
        <is>
          <t>Avg Order Value</t>
        </is>
      </c>
      <c r="C14" s="39">
        <f>IF(C13=0,0,C9/C13)</f>
        <v/>
      </c>
    </row>
    <row r="15">
      <c r="B15" s="36" t="inlineStr">
        <is>
          <t>Avg Unit Price (net)</t>
        </is>
      </c>
      <c r="C15" s="39">
        <f>IF(C12=0,0,C9/C12)</f>
        <v/>
      </c>
    </row>
    <row r="16">
      <c r="B16" s="36" t="inlineStr">
        <is>
          <t>Total Revenue (no filter)</t>
        </is>
      </c>
      <c r="C16" s="37">
        <f>SUM(Data!$M$4:$M$2710)</f>
        <v/>
      </c>
    </row>
    <row r="17">
      <c r="B17" s="36" t="inlineStr">
        <is>
          <t>Total Gross Profit (no filter)</t>
        </is>
      </c>
      <c r="C17" s="37">
        <f>SUM(Data!$O$4:$O$2710)</f>
        <v/>
      </c>
    </row>
    <row r="18">
      <c r="B18" s="36" t="inlineStr">
        <is>
          <t>Revenue share of total</t>
        </is>
      </c>
      <c r="C18" s="38">
        <f>IF(C16=0,0,C9/C16)</f>
        <v/>
      </c>
    </row>
    <row r="21">
      <c r="B21" s="35" t="inlineStr">
        <is>
          <t>Monthly trend (shows all months; months outside the From-To range are greyed)</t>
        </is>
      </c>
    </row>
    <row r="22">
      <c r="B22" s="40" t="inlineStr">
        <is>
          <t>Month</t>
        </is>
      </c>
      <c r="C22" s="40" t="inlineStr">
        <is>
          <t>Revenue</t>
        </is>
      </c>
      <c r="D22" s="40" t="inlineStr">
        <is>
          <t>Gross Profit</t>
        </is>
      </c>
      <c r="E22" s="40" t="inlineStr">
        <is>
          <t>Revenue (selected months)</t>
        </is>
      </c>
      <c r="F22" s="40" t="inlineStr">
        <is>
          <t>Excluded months</t>
        </is>
      </c>
    </row>
    <row r="23">
      <c r="B23" s="36">
        <f>Lists!$D$4</f>
        <v/>
      </c>
      <c r="C23" s="37">
        <f>SUMIFS(Data!$M$4:$M$2710,Data!$AA$4:$AA$2710,1,Data!$S$4:$S$2710,1)</f>
        <v/>
      </c>
      <c r="D23" s="37">
        <f>SUMIFS(Data!$O$4:$O$2710,Data!$AA$4:$AA$2710,1,Data!$S$4:$S$2710,1)</f>
        <v/>
      </c>
      <c r="E23" s="37">
        <f>IF(AND(1&gt;=m_From,1&lt;=m_To),C23,0)</f>
        <v/>
      </c>
      <c r="F23" s="37">
        <f>C23-E23</f>
        <v/>
      </c>
    </row>
    <row r="24">
      <c r="B24" s="36">
        <f>Lists!$D$5</f>
        <v/>
      </c>
      <c r="C24" s="37">
        <f>SUMIFS(Data!$M$4:$M$2710,Data!$AA$4:$AA$2710,1,Data!$S$4:$S$2710,2)</f>
        <v/>
      </c>
      <c r="D24" s="37">
        <f>SUMIFS(Data!$O$4:$O$2710,Data!$AA$4:$AA$2710,1,Data!$S$4:$S$2710,2)</f>
        <v/>
      </c>
      <c r="E24" s="37">
        <f>IF(AND(2&gt;=m_From,2&lt;=m_To),C24,0)</f>
        <v/>
      </c>
      <c r="F24" s="37">
        <f>C24-E24</f>
        <v/>
      </c>
    </row>
    <row r="25">
      <c r="B25" s="36">
        <f>Lists!$D$6</f>
        <v/>
      </c>
      <c r="C25" s="37">
        <f>SUMIFS(Data!$M$4:$M$2710,Data!$AA$4:$AA$2710,1,Data!$S$4:$S$2710,3)</f>
        <v/>
      </c>
      <c r="D25" s="37">
        <f>SUMIFS(Data!$O$4:$O$2710,Data!$AA$4:$AA$2710,1,Data!$S$4:$S$2710,3)</f>
        <v/>
      </c>
      <c r="E25" s="37">
        <f>IF(AND(3&gt;=m_From,3&lt;=m_To),C25,0)</f>
        <v/>
      </c>
      <c r="F25" s="37">
        <f>C25-E25</f>
        <v/>
      </c>
    </row>
    <row r="26">
      <c r="B26" s="36">
        <f>Lists!$D$7</f>
        <v/>
      </c>
      <c r="C26" s="37">
        <f>SUMIFS(Data!$M$4:$M$2710,Data!$AA$4:$AA$2710,1,Data!$S$4:$S$2710,4)</f>
        <v/>
      </c>
      <c r="D26" s="37">
        <f>SUMIFS(Data!$O$4:$O$2710,Data!$AA$4:$AA$2710,1,Data!$S$4:$S$2710,4)</f>
        <v/>
      </c>
      <c r="E26" s="37">
        <f>IF(AND(4&gt;=m_From,4&lt;=m_To),C26,0)</f>
        <v/>
      </c>
      <c r="F26" s="37">
        <f>C26-E26</f>
        <v/>
      </c>
    </row>
    <row r="27">
      <c r="B27" s="36">
        <f>Lists!$D$8</f>
        <v/>
      </c>
      <c r="C27" s="37">
        <f>SUMIFS(Data!$M$4:$M$2710,Data!$AA$4:$AA$2710,1,Data!$S$4:$S$2710,5)</f>
        <v/>
      </c>
      <c r="D27" s="37">
        <f>SUMIFS(Data!$O$4:$O$2710,Data!$AA$4:$AA$2710,1,Data!$S$4:$S$2710,5)</f>
        <v/>
      </c>
      <c r="E27" s="37">
        <f>IF(AND(5&gt;=m_From,5&lt;=m_To),C27,0)</f>
        <v/>
      </c>
      <c r="F27" s="37">
        <f>C27-E27</f>
        <v/>
      </c>
    </row>
    <row r="28">
      <c r="B28" s="36">
        <f>Lists!$D$9</f>
        <v/>
      </c>
      <c r="C28" s="37">
        <f>SUMIFS(Data!$M$4:$M$2710,Data!$AA$4:$AA$2710,1,Data!$S$4:$S$2710,6)</f>
        <v/>
      </c>
      <c r="D28" s="37">
        <f>SUMIFS(Data!$O$4:$O$2710,Data!$AA$4:$AA$2710,1,Data!$S$4:$S$2710,6)</f>
        <v/>
      </c>
      <c r="E28" s="37">
        <f>IF(AND(6&gt;=m_From,6&lt;=m_To),C28,0)</f>
        <v/>
      </c>
      <c r="F28" s="37">
        <f>C28-E28</f>
        <v/>
      </c>
    </row>
    <row r="29">
      <c r="B29" s="36">
        <f>Lists!$D$10</f>
        <v/>
      </c>
      <c r="C29" s="37">
        <f>SUMIFS(Data!$M$4:$M$2710,Data!$AA$4:$AA$2710,1,Data!$S$4:$S$2710,7)</f>
        <v/>
      </c>
      <c r="D29" s="37">
        <f>SUMIFS(Data!$O$4:$O$2710,Data!$AA$4:$AA$2710,1,Data!$S$4:$S$2710,7)</f>
        <v/>
      </c>
      <c r="E29" s="37">
        <f>IF(AND(7&gt;=m_From,7&lt;=m_To),C29,0)</f>
        <v/>
      </c>
      <c r="F29" s="37">
        <f>C29-E29</f>
        <v/>
      </c>
    </row>
    <row r="30">
      <c r="B30" s="36">
        <f>Lists!$D$11</f>
        <v/>
      </c>
      <c r="C30" s="37">
        <f>SUMIFS(Data!$M$4:$M$2710,Data!$AA$4:$AA$2710,1,Data!$S$4:$S$2710,8)</f>
        <v/>
      </c>
      <c r="D30" s="37">
        <f>SUMIFS(Data!$O$4:$O$2710,Data!$AA$4:$AA$2710,1,Data!$S$4:$S$2710,8)</f>
        <v/>
      </c>
      <c r="E30" s="37">
        <f>IF(AND(8&gt;=m_From,8&lt;=m_To),C30,0)</f>
        <v/>
      </c>
      <c r="F30" s="37">
        <f>C30-E30</f>
        <v/>
      </c>
    </row>
    <row r="31">
      <c r="B31" s="36">
        <f>Lists!$D$12</f>
        <v/>
      </c>
      <c r="C31" s="37">
        <f>SUMIFS(Data!$M$4:$M$2710,Data!$AA$4:$AA$2710,1,Data!$S$4:$S$2710,9)</f>
        <v/>
      </c>
      <c r="D31" s="37">
        <f>SUMIFS(Data!$O$4:$O$2710,Data!$AA$4:$AA$2710,1,Data!$S$4:$S$2710,9)</f>
        <v/>
      </c>
      <c r="E31" s="37">
        <f>IF(AND(9&gt;=m_From,9&lt;=m_To),C31,0)</f>
        <v/>
      </c>
      <c r="F31" s="37">
        <f>C31-E31</f>
        <v/>
      </c>
    </row>
    <row r="32">
      <c r="B32" s="36">
        <f>Lists!$D$13</f>
        <v/>
      </c>
      <c r="C32" s="37">
        <f>SUMIFS(Data!$M$4:$M$2710,Data!$AA$4:$AA$2710,1,Data!$S$4:$S$2710,10)</f>
        <v/>
      </c>
      <c r="D32" s="37">
        <f>SUMIFS(Data!$O$4:$O$2710,Data!$AA$4:$AA$2710,1,Data!$S$4:$S$2710,10)</f>
        <v/>
      </c>
      <c r="E32" s="37">
        <f>IF(AND(10&gt;=m_From,10&lt;=m_To),C32,0)</f>
        <v/>
      </c>
      <c r="F32" s="37">
        <f>C32-E32</f>
        <v/>
      </c>
    </row>
    <row r="33">
      <c r="B33" s="36">
        <f>Lists!$D$14</f>
        <v/>
      </c>
      <c r="C33" s="37">
        <f>SUMIFS(Data!$M$4:$M$2710,Data!$AA$4:$AA$2710,1,Data!$S$4:$S$2710,11)</f>
        <v/>
      </c>
      <c r="D33" s="37">
        <f>SUMIFS(Data!$O$4:$O$2710,Data!$AA$4:$AA$2710,1,Data!$S$4:$S$2710,11)</f>
        <v/>
      </c>
      <c r="E33" s="37">
        <f>IF(AND(11&gt;=m_From,11&lt;=m_To),C33,0)</f>
        <v/>
      </c>
      <c r="F33" s="37">
        <f>C33-E33</f>
        <v/>
      </c>
    </row>
    <row r="34">
      <c r="B34" s="36">
        <f>Lists!$D$15</f>
        <v/>
      </c>
      <c r="C34" s="37">
        <f>SUMIFS(Data!$M$4:$M$2710,Data!$AA$4:$AA$2710,1,Data!$S$4:$S$2710,12)</f>
        <v/>
      </c>
      <c r="D34" s="37">
        <f>SUMIFS(Data!$O$4:$O$2710,Data!$AA$4:$AA$2710,1,Data!$S$4:$S$2710,12)</f>
        <v/>
      </c>
      <c r="E34" s="37">
        <f>IF(AND(12&gt;=m_From,12&lt;=m_To),C34,0)</f>
        <v/>
      </c>
      <c r="F34" s="37">
        <f>C34-E34</f>
        <v/>
      </c>
    </row>
    <row r="37">
      <c r="B37" s="35" t="inlineStr">
        <is>
          <t>Revenue by Product Category</t>
        </is>
      </c>
    </row>
    <row r="38">
      <c r="B38" s="40" t="inlineStr">
        <is>
          <t>Item</t>
        </is>
      </c>
      <c r="C38" s="40" t="inlineStr">
        <is>
          <t>Value (own filter ignored)</t>
        </is>
      </c>
      <c r="D38" s="40" t="inlineStr">
        <is>
          <t>Selected</t>
        </is>
      </c>
      <c r="E38" s="40" t="inlineStr">
        <is>
          <t>Rank key</t>
        </is>
      </c>
      <c r="G38" s="40" t="inlineStr">
        <is>
          <t>Sorted item</t>
        </is>
      </c>
      <c r="H38" s="40" t="inlineStr">
        <is>
          <t>Selected</t>
        </is>
      </c>
      <c r="I38" s="40" t="inlineStr">
        <is>
          <t>Excluded</t>
        </is>
      </c>
    </row>
    <row r="39">
      <c r="B39" s="36" t="inlineStr">
        <is>
          <t>Camping</t>
        </is>
      </c>
      <c r="C39" s="37">
        <f>SUMIFS(Data!$M$4:$M$2710,Data!$Y$4:$Y$2710,1,Data!$G$4:$G$2710,B39)</f>
        <v/>
      </c>
      <c r="D39" s="37">
        <f>IF(OR(sel_Category="All",B39=sel_Category),C39,0)</f>
        <v/>
      </c>
      <c r="E39" s="41">
        <f>C39+ROW()/1000000</f>
        <v/>
      </c>
      <c r="G39" s="36">
        <f>IF(INDEX($C$39:$C$43,MATCH(LARGE($E$39:$E$43,1),$E$39:$E$43,0))=0,"",INDEX($B$39:$B$43,MATCH(LARGE($E$39:$E$43,1),$E$39:$E$43,0)))</f>
        <v/>
      </c>
      <c r="H39" s="37">
        <f>INDEX($D$39:$D$43,MATCH(LARGE($E$39:$E$43,1),$E$39:$E$43,0))</f>
        <v/>
      </c>
      <c r="I39" s="37">
        <f>INDEX($C$39:$C$43,MATCH(LARGE($E$39:$E$43,1),$E$39:$E$43,0))-INDEX($D$39:$D$43,MATCH(LARGE($E$39:$E$43,1),$E$39:$E$43,0))</f>
        <v/>
      </c>
    </row>
    <row r="40">
      <c r="B40" s="36" t="inlineStr">
        <is>
          <t>Cycling</t>
        </is>
      </c>
      <c r="C40" s="37">
        <f>SUMIFS(Data!$M$4:$M$2710,Data!$Y$4:$Y$2710,1,Data!$G$4:$G$2710,B40)</f>
        <v/>
      </c>
      <c r="D40" s="37">
        <f>IF(OR(sel_Category="All",B40=sel_Category),C40,0)</f>
        <v/>
      </c>
      <c r="E40" s="41">
        <f>C40+ROW()/1000000</f>
        <v/>
      </c>
      <c r="G40" s="36">
        <f>IF(INDEX($C$39:$C$43,MATCH(LARGE($E$39:$E$43,2),$E$39:$E$43,0))=0,"",INDEX($B$39:$B$43,MATCH(LARGE($E$39:$E$43,2),$E$39:$E$43,0)))</f>
        <v/>
      </c>
      <c r="H40" s="37">
        <f>INDEX($D$39:$D$43,MATCH(LARGE($E$39:$E$43,2),$E$39:$E$43,0))</f>
        <v/>
      </c>
      <c r="I40" s="37">
        <f>INDEX($C$39:$C$43,MATCH(LARGE($E$39:$E$43,2),$E$39:$E$43,0))-INDEX($D$39:$D$43,MATCH(LARGE($E$39:$E$43,2),$E$39:$E$43,0))</f>
        <v/>
      </c>
    </row>
    <row r="41">
      <c r="B41" s="36" t="inlineStr">
        <is>
          <t>Fitness</t>
        </is>
      </c>
      <c r="C41" s="37">
        <f>SUMIFS(Data!$M$4:$M$2710,Data!$Y$4:$Y$2710,1,Data!$G$4:$G$2710,B41)</f>
        <v/>
      </c>
      <c r="D41" s="37">
        <f>IF(OR(sel_Category="All",B41=sel_Category),C41,0)</f>
        <v/>
      </c>
      <c r="E41" s="41">
        <f>C41+ROW()/1000000</f>
        <v/>
      </c>
      <c r="G41" s="36">
        <f>IF(INDEX($C$39:$C$43,MATCH(LARGE($E$39:$E$43,3),$E$39:$E$43,0))=0,"",INDEX($B$39:$B$43,MATCH(LARGE($E$39:$E$43,3),$E$39:$E$43,0)))</f>
        <v/>
      </c>
      <c r="H41" s="37">
        <f>INDEX($D$39:$D$43,MATCH(LARGE($E$39:$E$43,3),$E$39:$E$43,0))</f>
        <v/>
      </c>
      <c r="I41" s="37">
        <f>INDEX($C$39:$C$43,MATCH(LARGE($E$39:$E$43,3),$E$39:$E$43,0))-INDEX($D$39:$D$43,MATCH(LARGE($E$39:$E$43,3),$E$39:$E$43,0))</f>
        <v/>
      </c>
    </row>
    <row r="42">
      <c r="B42" s="36" t="inlineStr">
        <is>
          <t>Hiking</t>
        </is>
      </c>
      <c r="C42" s="37">
        <f>SUMIFS(Data!$M$4:$M$2710,Data!$Y$4:$Y$2710,1,Data!$G$4:$G$2710,B42)</f>
        <v/>
      </c>
      <c r="D42" s="37">
        <f>IF(OR(sel_Category="All",B42=sel_Category),C42,0)</f>
        <v/>
      </c>
      <c r="E42" s="41">
        <f>C42+ROW()/1000000</f>
        <v/>
      </c>
      <c r="G42" s="36">
        <f>IF(INDEX($C$39:$C$43,MATCH(LARGE($E$39:$E$43,4),$E$39:$E$43,0))=0,"",INDEX($B$39:$B$43,MATCH(LARGE($E$39:$E$43,4),$E$39:$E$43,0)))</f>
        <v/>
      </c>
      <c r="H42" s="37">
        <f>INDEX($D$39:$D$43,MATCH(LARGE($E$39:$E$43,4),$E$39:$E$43,0))</f>
        <v/>
      </c>
      <c r="I42" s="37">
        <f>INDEX($C$39:$C$43,MATCH(LARGE($E$39:$E$43,4),$E$39:$E$43,0))-INDEX($D$39:$D$43,MATCH(LARGE($E$39:$E$43,4),$E$39:$E$43,0))</f>
        <v/>
      </c>
    </row>
    <row r="43">
      <c r="B43" s="36" t="inlineStr">
        <is>
          <t>Travel</t>
        </is>
      </c>
      <c r="C43" s="37">
        <f>SUMIFS(Data!$M$4:$M$2710,Data!$Y$4:$Y$2710,1,Data!$G$4:$G$2710,B43)</f>
        <v/>
      </c>
      <c r="D43" s="37">
        <f>IF(OR(sel_Category="All",B43=sel_Category),C43,0)</f>
        <v/>
      </c>
      <c r="E43" s="41">
        <f>C43+ROW()/1000000</f>
        <v/>
      </c>
      <c r="G43" s="36">
        <f>IF(INDEX($C$39:$C$43,MATCH(LARGE($E$39:$E$43,5),$E$39:$E$43,0))=0,"",INDEX($B$39:$B$43,MATCH(LARGE($E$39:$E$43,5),$E$39:$E$43,0)))</f>
        <v/>
      </c>
      <c r="H43" s="37">
        <f>INDEX($D$39:$D$43,MATCH(LARGE($E$39:$E$43,5),$E$39:$E$43,0))</f>
        <v/>
      </c>
      <c r="I43" s="37">
        <f>INDEX($C$39:$C$43,MATCH(LARGE($E$39:$E$43,5),$E$39:$E$43,0))-INDEX($D$39:$D$43,MATCH(LARGE($E$39:$E$43,5),$E$39:$E$43,0))</f>
        <v/>
      </c>
    </row>
    <row r="46">
      <c r="B46" s="35" t="inlineStr">
        <is>
          <t>Revenue by Sales Channel</t>
        </is>
      </c>
    </row>
    <row r="47">
      <c r="B47" s="40" t="inlineStr">
        <is>
          <t>Item</t>
        </is>
      </c>
      <c r="C47" s="40" t="inlineStr">
        <is>
          <t>Value (own filter ignored)</t>
        </is>
      </c>
      <c r="D47" s="40" t="inlineStr">
        <is>
          <t>Selected</t>
        </is>
      </c>
      <c r="E47" s="40" t="inlineStr">
        <is>
          <t>Rank key</t>
        </is>
      </c>
      <c r="G47" s="40" t="inlineStr">
        <is>
          <t>Sorted item</t>
        </is>
      </c>
      <c r="H47" s="40" t="inlineStr">
        <is>
          <t>Selected</t>
        </is>
      </c>
      <c r="I47" s="40" t="inlineStr">
        <is>
          <t>Excluded</t>
        </is>
      </c>
    </row>
    <row r="48">
      <c r="B48" s="36" t="inlineStr">
        <is>
          <t>Corporate</t>
        </is>
      </c>
      <c r="C48" s="37">
        <f>SUMIFS(Data!$M$4:$M$2710,Data!$W$4:$W$2710,1,Data!$E$4:$E$2710,B48)</f>
        <v/>
      </c>
      <c r="D48" s="37">
        <f>IF(OR(sel_Channel="All",B48=sel_Channel),C48,0)</f>
        <v/>
      </c>
      <c r="E48" s="41">
        <f>C48+ROW()/1000000</f>
        <v/>
      </c>
      <c r="G48" s="36">
        <f>IF(INDEX($C$48:$C$51,MATCH(LARGE($E$48:$E$51,1),$E$48:$E$51,0))=0,"",INDEX($B$48:$B$51,MATCH(LARGE($E$48:$E$51,1),$E$48:$E$51,0)))</f>
        <v/>
      </c>
      <c r="H48" s="37">
        <f>INDEX($D$48:$D$51,MATCH(LARGE($E$48:$E$51,1),$E$48:$E$51,0))</f>
        <v/>
      </c>
      <c r="I48" s="37">
        <f>INDEX($C$48:$C$51,MATCH(LARGE($E$48:$E$51,1),$E$48:$E$51,0))-INDEX($D$48:$D$51,MATCH(LARGE($E$48:$E$51,1),$E$48:$E$51,0))</f>
        <v/>
      </c>
    </row>
    <row r="49">
      <c r="B49" s="36" t="inlineStr">
        <is>
          <t>Marketplace</t>
        </is>
      </c>
      <c r="C49" s="37">
        <f>SUMIFS(Data!$M$4:$M$2710,Data!$W$4:$W$2710,1,Data!$E$4:$E$2710,B49)</f>
        <v/>
      </c>
      <c r="D49" s="37">
        <f>IF(OR(sel_Channel="All",B49=sel_Channel),C49,0)</f>
        <v/>
      </c>
      <c r="E49" s="41">
        <f>C49+ROW()/1000000</f>
        <v/>
      </c>
      <c r="G49" s="36">
        <f>IF(INDEX($C$48:$C$51,MATCH(LARGE($E$48:$E$51,2),$E$48:$E$51,0))=0,"",INDEX($B$48:$B$51,MATCH(LARGE($E$48:$E$51,2),$E$48:$E$51,0)))</f>
        <v/>
      </c>
      <c r="H49" s="37">
        <f>INDEX($D$48:$D$51,MATCH(LARGE($E$48:$E$51,2),$E$48:$E$51,0))</f>
        <v/>
      </c>
      <c r="I49" s="37">
        <f>INDEX($C$48:$C$51,MATCH(LARGE($E$48:$E$51,2),$E$48:$E$51,0))-INDEX($D$48:$D$51,MATCH(LARGE($E$48:$E$51,2),$E$48:$E$51,0))</f>
        <v/>
      </c>
    </row>
    <row r="50">
      <c r="B50" s="36" t="inlineStr">
        <is>
          <t>Online Store</t>
        </is>
      </c>
      <c r="C50" s="37">
        <f>SUMIFS(Data!$M$4:$M$2710,Data!$W$4:$W$2710,1,Data!$E$4:$E$2710,B50)</f>
        <v/>
      </c>
      <c r="D50" s="37">
        <f>IF(OR(sel_Channel="All",B50=sel_Channel),C50,0)</f>
        <v/>
      </c>
      <c r="E50" s="41">
        <f>C50+ROW()/1000000</f>
        <v/>
      </c>
      <c r="G50" s="36">
        <f>IF(INDEX($C$48:$C$51,MATCH(LARGE($E$48:$E$51,3),$E$48:$E$51,0))=0,"",INDEX($B$48:$B$51,MATCH(LARGE($E$48:$E$51,3),$E$48:$E$51,0)))</f>
        <v/>
      </c>
      <c r="H50" s="37">
        <f>INDEX($D$48:$D$51,MATCH(LARGE($E$48:$E$51,3),$E$48:$E$51,0))</f>
        <v/>
      </c>
      <c r="I50" s="37">
        <f>INDEX($C$48:$C$51,MATCH(LARGE($E$48:$E$51,3),$E$48:$E$51,0))-INDEX($D$48:$D$51,MATCH(LARGE($E$48:$E$51,3),$E$48:$E$51,0))</f>
        <v/>
      </c>
    </row>
    <row r="51">
      <c r="B51" s="36" t="inlineStr">
        <is>
          <t>Retail Partners</t>
        </is>
      </c>
      <c r="C51" s="37">
        <f>SUMIFS(Data!$M$4:$M$2710,Data!$W$4:$W$2710,1,Data!$E$4:$E$2710,B51)</f>
        <v/>
      </c>
      <c r="D51" s="37">
        <f>IF(OR(sel_Channel="All",B51=sel_Channel),C51,0)</f>
        <v/>
      </c>
      <c r="E51" s="41">
        <f>C51+ROW()/1000000</f>
        <v/>
      </c>
      <c r="G51" s="36">
        <f>IF(INDEX($C$48:$C$51,MATCH(LARGE($E$48:$E$51,4),$E$48:$E$51,0))=0,"",INDEX($B$48:$B$51,MATCH(LARGE($E$48:$E$51,4),$E$48:$E$51,0)))</f>
        <v/>
      </c>
      <c r="H51" s="37">
        <f>INDEX($D$48:$D$51,MATCH(LARGE($E$48:$E$51,4),$E$48:$E$51,0))</f>
        <v/>
      </c>
      <c r="I51" s="37">
        <f>INDEX($C$48:$C$51,MATCH(LARGE($E$48:$E$51,4),$E$48:$E$51,0))-INDEX($D$48:$D$51,MATCH(LARGE($E$48:$E$51,4),$E$48:$E$51,0))</f>
        <v/>
      </c>
    </row>
    <row r="54">
      <c r="B54" s="35" t="inlineStr">
        <is>
          <t>Revenue by Customer Type</t>
        </is>
      </c>
    </row>
    <row r="55">
      <c r="B55" s="40" t="inlineStr">
        <is>
          <t>Item</t>
        </is>
      </c>
      <c r="C55" s="40" t="inlineStr">
        <is>
          <t>Value (own filter ignored)</t>
        </is>
      </c>
      <c r="D55" s="40" t="inlineStr">
        <is>
          <t>Selected</t>
        </is>
      </c>
      <c r="E55" s="40" t="inlineStr">
        <is>
          <t>Rank key</t>
        </is>
      </c>
      <c r="G55" s="40" t="inlineStr">
        <is>
          <t>Sorted item</t>
        </is>
      </c>
      <c r="H55" s="40" t="inlineStr">
        <is>
          <t>Selected</t>
        </is>
      </c>
      <c r="I55" s="40" t="inlineStr">
        <is>
          <t>Excluded</t>
        </is>
      </c>
    </row>
    <row r="56">
      <c r="B56" s="36" t="inlineStr">
        <is>
          <t>Business</t>
        </is>
      </c>
      <c r="C56" s="37">
        <f>SUMIFS(Data!$M$4:$M$2710,Data!$X$4:$X$2710,1,Data!$F$4:$F$2710,B56)</f>
        <v/>
      </c>
      <c r="D56" s="37">
        <f>IF(OR(sel_Customer="All",B56=sel_Customer),C56,0)</f>
        <v/>
      </c>
      <c r="E56" s="41">
        <f>C56+ROW()/1000000</f>
        <v/>
      </c>
      <c r="G56" s="36">
        <f>IF(INDEX($C$56:$C$58,MATCH(LARGE($E$56:$E$58,1),$E$56:$E$58,0))=0,"",INDEX($B$56:$B$58,MATCH(LARGE($E$56:$E$58,1),$E$56:$E$58,0)))</f>
        <v/>
      </c>
      <c r="H56" s="37">
        <f>INDEX($D$56:$D$58,MATCH(LARGE($E$56:$E$58,1),$E$56:$E$58,0))</f>
        <v/>
      </c>
      <c r="I56" s="37">
        <f>INDEX($C$56:$C$58,MATCH(LARGE($E$56:$E$58,1),$E$56:$E$58,0))-INDEX($D$56:$D$58,MATCH(LARGE($E$56:$E$58,1),$E$56:$E$58,0))</f>
        <v/>
      </c>
    </row>
    <row r="57">
      <c r="B57" s="36" t="inlineStr">
        <is>
          <t>New</t>
        </is>
      </c>
      <c r="C57" s="37">
        <f>SUMIFS(Data!$M$4:$M$2710,Data!$X$4:$X$2710,1,Data!$F$4:$F$2710,B57)</f>
        <v/>
      </c>
      <c r="D57" s="37">
        <f>IF(OR(sel_Customer="All",B57=sel_Customer),C57,0)</f>
        <v/>
      </c>
      <c r="E57" s="41">
        <f>C57+ROW()/1000000</f>
        <v/>
      </c>
      <c r="G57" s="36">
        <f>IF(INDEX($C$56:$C$58,MATCH(LARGE($E$56:$E$58,2),$E$56:$E$58,0))=0,"",INDEX($B$56:$B$58,MATCH(LARGE($E$56:$E$58,2),$E$56:$E$58,0)))</f>
        <v/>
      </c>
      <c r="H57" s="37">
        <f>INDEX($D$56:$D$58,MATCH(LARGE($E$56:$E$58,2),$E$56:$E$58,0))</f>
        <v/>
      </c>
      <c r="I57" s="37">
        <f>INDEX($C$56:$C$58,MATCH(LARGE($E$56:$E$58,2),$E$56:$E$58,0))-INDEX($D$56:$D$58,MATCH(LARGE($E$56:$E$58,2),$E$56:$E$58,0))</f>
        <v/>
      </c>
    </row>
    <row r="58">
      <c r="B58" s="36" t="inlineStr">
        <is>
          <t>Returning</t>
        </is>
      </c>
      <c r="C58" s="37">
        <f>SUMIFS(Data!$M$4:$M$2710,Data!$X$4:$X$2710,1,Data!$F$4:$F$2710,B58)</f>
        <v/>
      </c>
      <c r="D58" s="37">
        <f>IF(OR(sel_Customer="All",B58=sel_Customer),C58,0)</f>
        <v/>
      </c>
      <c r="E58" s="41">
        <f>C58+ROW()/1000000</f>
        <v/>
      </c>
      <c r="G58" s="36">
        <f>IF(INDEX($C$56:$C$58,MATCH(LARGE($E$56:$E$58,3),$E$56:$E$58,0))=0,"",INDEX($B$56:$B$58,MATCH(LARGE($E$56:$E$58,3),$E$56:$E$58,0)))</f>
        <v/>
      </c>
      <c r="H58" s="37">
        <f>INDEX($D$56:$D$58,MATCH(LARGE($E$56:$E$58,3),$E$56:$E$58,0))</f>
        <v/>
      </c>
      <c r="I58" s="37">
        <f>INDEX($C$56:$C$58,MATCH(LARGE($E$56:$E$58,3),$E$56:$E$58,0))-INDEX($D$56:$D$58,MATCH(LARGE($E$56:$E$58,3),$E$56:$E$58,0))</f>
        <v/>
      </c>
    </row>
    <row r="61">
      <c r="B61" s="35" t="inlineStr">
        <is>
          <t>Revenue by Country</t>
        </is>
      </c>
    </row>
    <row r="62">
      <c r="B62" s="40" t="inlineStr">
        <is>
          <t>Item</t>
        </is>
      </c>
      <c r="C62" s="40" t="inlineStr">
        <is>
          <t>Value (own filter ignored)</t>
        </is>
      </c>
      <c r="D62" s="40" t="inlineStr">
        <is>
          <t>Selected</t>
        </is>
      </c>
      <c r="E62" s="40" t="inlineStr">
        <is>
          <t>Rank key</t>
        </is>
      </c>
      <c r="G62" s="40" t="inlineStr">
        <is>
          <t>Sorted item</t>
        </is>
      </c>
      <c r="H62" s="40" t="inlineStr">
        <is>
          <t>Selected</t>
        </is>
      </c>
      <c r="I62" s="40" t="inlineStr">
        <is>
          <t>Excluded</t>
        </is>
      </c>
    </row>
    <row r="63">
      <c r="B63" s="36" t="inlineStr">
        <is>
          <t>Austria</t>
        </is>
      </c>
      <c r="C63" s="37">
        <f>SUMIFS(Data!$M$4:$M$2710,Data!$V$4:$V$2710,1,Data!$D$4:$D$2710,B63)</f>
        <v/>
      </c>
      <c r="D63" s="37">
        <f>IF(OR(sel_Country="All",B63=sel_Country),C63,0)</f>
        <v/>
      </c>
      <c r="E63" s="41">
        <f>C63+ROW()/1000000</f>
        <v/>
      </c>
      <c r="G63" s="36">
        <f>IF(INDEX($C$63:$C$79,MATCH(LARGE($E$63:$E$79,1),$E$63:$E$79,0))=0,"",INDEX($B$63:$B$79,MATCH(LARGE($E$63:$E$79,1),$E$63:$E$79,0)))</f>
        <v/>
      </c>
      <c r="H63" s="37">
        <f>INDEX($D$63:$D$79,MATCH(LARGE($E$63:$E$79,1),$E$63:$E$79,0))</f>
        <v/>
      </c>
      <c r="I63" s="37">
        <f>INDEX($C$63:$C$79,MATCH(LARGE($E$63:$E$79,1),$E$63:$E$79,0))-INDEX($D$63:$D$79,MATCH(LARGE($E$63:$E$79,1),$E$63:$E$79,0))</f>
        <v/>
      </c>
    </row>
    <row r="64">
      <c r="B64" s="36" t="inlineStr">
        <is>
          <t>Belgium</t>
        </is>
      </c>
      <c r="C64" s="37">
        <f>SUMIFS(Data!$M$4:$M$2710,Data!$V$4:$V$2710,1,Data!$D$4:$D$2710,B64)</f>
        <v/>
      </c>
      <c r="D64" s="37">
        <f>IF(OR(sel_Country="All",B64=sel_Country),C64,0)</f>
        <v/>
      </c>
      <c r="E64" s="41">
        <f>C64+ROW()/1000000</f>
        <v/>
      </c>
      <c r="G64" s="36">
        <f>IF(INDEX($C$63:$C$79,MATCH(LARGE($E$63:$E$79,2),$E$63:$E$79,0))=0,"",INDEX($B$63:$B$79,MATCH(LARGE($E$63:$E$79,2),$E$63:$E$79,0)))</f>
        <v/>
      </c>
      <c r="H64" s="37">
        <f>INDEX($D$63:$D$79,MATCH(LARGE($E$63:$E$79,2),$E$63:$E$79,0))</f>
        <v/>
      </c>
      <c r="I64" s="37">
        <f>INDEX($C$63:$C$79,MATCH(LARGE($E$63:$E$79,2),$E$63:$E$79,0))-INDEX($D$63:$D$79,MATCH(LARGE($E$63:$E$79,2),$E$63:$E$79,0))</f>
        <v/>
      </c>
    </row>
    <row r="65">
      <c r="B65" s="36" t="inlineStr">
        <is>
          <t>Czechia</t>
        </is>
      </c>
      <c r="C65" s="37">
        <f>SUMIFS(Data!$M$4:$M$2710,Data!$V$4:$V$2710,1,Data!$D$4:$D$2710,B65)</f>
        <v/>
      </c>
      <c r="D65" s="37">
        <f>IF(OR(sel_Country="All",B65=sel_Country),C65,0)</f>
        <v/>
      </c>
      <c r="E65" s="41">
        <f>C65+ROW()/1000000</f>
        <v/>
      </c>
      <c r="G65" s="36">
        <f>IF(INDEX($C$63:$C$79,MATCH(LARGE($E$63:$E$79,3),$E$63:$E$79,0))=0,"",INDEX($B$63:$B$79,MATCH(LARGE($E$63:$E$79,3),$E$63:$E$79,0)))</f>
        <v/>
      </c>
      <c r="H65" s="37">
        <f>INDEX($D$63:$D$79,MATCH(LARGE($E$63:$E$79,3),$E$63:$E$79,0))</f>
        <v/>
      </c>
      <c r="I65" s="37">
        <f>INDEX($C$63:$C$79,MATCH(LARGE($E$63:$E$79,3),$E$63:$E$79,0))-INDEX($D$63:$D$79,MATCH(LARGE($E$63:$E$79,3),$E$63:$E$79,0))</f>
        <v/>
      </c>
    </row>
    <row r="66">
      <c r="B66" s="36" t="inlineStr">
        <is>
          <t>Denmark</t>
        </is>
      </c>
      <c r="C66" s="37">
        <f>SUMIFS(Data!$M$4:$M$2710,Data!$V$4:$V$2710,1,Data!$D$4:$D$2710,B66)</f>
        <v/>
      </c>
      <c r="D66" s="37">
        <f>IF(OR(sel_Country="All",B66=sel_Country),C66,0)</f>
        <v/>
      </c>
      <c r="E66" s="41">
        <f>C66+ROW()/1000000</f>
        <v/>
      </c>
      <c r="G66" s="36">
        <f>IF(INDEX($C$63:$C$79,MATCH(LARGE($E$63:$E$79,4),$E$63:$E$79,0))=0,"",INDEX($B$63:$B$79,MATCH(LARGE($E$63:$E$79,4),$E$63:$E$79,0)))</f>
        <v/>
      </c>
      <c r="H66" s="37">
        <f>INDEX($D$63:$D$79,MATCH(LARGE($E$63:$E$79,4),$E$63:$E$79,0))</f>
        <v/>
      </c>
      <c r="I66" s="37">
        <f>INDEX($C$63:$C$79,MATCH(LARGE($E$63:$E$79,4),$E$63:$E$79,0))-INDEX($D$63:$D$79,MATCH(LARGE($E$63:$E$79,4),$E$63:$E$79,0))</f>
        <v/>
      </c>
    </row>
    <row r="67">
      <c r="B67" s="36" t="inlineStr">
        <is>
          <t>Finland</t>
        </is>
      </c>
      <c r="C67" s="37">
        <f>SUMIFS(Data!$M$4:$M$2710,Data!$V$4:$V$2710,1,Data!$D$4:$D$2710,B67)</f>
        <v/>
      </c>
      <c r="D67" s="37">
        <f>IF(OR(sel_Country="All",B67=sel_Country),C67,0)</f>
        <v/>
      </c>
      <c r="E67" s="41">
        <f>C67+ROW()/1000000</f>
        <v/>
      </c>
      <c r="G67" s="36">
        <f>IF(INDEX($C$63:$C$79,MATCH(LARGE($E$63:$E$79,5),$E$63:$E$79,0))=0,"",INDEX($B$63:$B$79,MATCH(LARGE($E$63:$E$79,5),$E$63:$E$79,0)))</f>
        <v/>
      </c>
      <c r="H67" s="37">
        <f>INDEX($D$63:$D$79,MATCH(LARGE($E$63:$E$79,5),$E$63:$E$79,0))</f>
        <v/>
      </c>
      <c r="I67" s="37">
        <f>INDEX($C$63:$C$79,MATCH(LARGE($E$63:$E$79,5),$E$63:$E$79,0))-INDEX($D$63:$D$79,MATCH(LARGE($E$63:$E$79,5),$E$63:$E$79,0))</f>
        <v/>
      </c>
    </row>
    <row r="68">
      <c r="B68" s="36" t="inlineStr">
        <is>
          <t>France</t>
        </is>
      </c>
      <c r="C68" s="37">
        <f>SUMIFS(Data!$M$4:$M$2710,Data!$V$4:$V$2710,1,Data!$D$4:$D$2710,B68)</f>
        <v/>
      </c>
      <c r="D68" s="37">
        <f>IF(OR(sel_Country="All",B68=sel_Country),C68,0)</f>
        <v/>
      </c>
      <c r="E68" s="41">
        <f>C68+ROW()/1000000</f>
        <v/>
      </c>
      <c r="G68" s="36">
        <f>IF(INDEX($C$63:$C$79,MATCH(LARGE($E$63:$E$79,6),$E$63:$E$79,0))=0,"",INDEX($B$63:$B$79,MATCH(LARGE($E$63:$E$79,6),$E$63:$E$79,0)))</f>
        <v/>
      </c>
      <c r="H68" s="37">
        <f>INDEX($D$63:$D$79,MATCH(LARGE($E$63:$E$79,6),$E$63:$E$79,0))</f>
        <v/>
      </c>
      <c r="I68" s="37">
        <f>INDEX($C$63:$C$79,MATCH(LARGE($E$63:$E$79,6),$E$63:$E$79,0))-INDEX($D$63:$D$79,MATCH(LARGE($E$63:$E$79,6),$E$63:$E$79,0))</f>
        <v/>
      </c>
    </row>
    <row r="69">
      <c r="B69" s="36" t="inlineStr">
        <is>
          <t>Germany</t>
        </is>
      </c>
      <c r="C69" s="37">
        <f>SUMIFS(Data!$M$4:$M$2710,Data!$V$4:$V$2710,1,Data!$D$4:$D$2710,B69)</f>
        <v/>
      </c>
      <c r="D69" s="37">
        <f>IF(OR(sel_Country="All",B69=sel_Country),C69,0)</f>
        <v/>
      </c>
      <c r="E69" s="41">
        <f>C69+ROW()/1000000</f>
        <v/>
      </c>
      <c r="G69" s="36">
        <f>IF(INDEX($C$63:$C$79,MATCH(LARGE($E$63:$E$79,7),$E$63:$E$79,0))=0,"",INDEX($B$63:$B$79,MATCH(LARGE($E$63:$E$79,7),$E$63:$E$79,0)))</f>
        <v/>
      </c>
      <c r="H69" s="37">
        <f>INDEX($D$63:$D$79,MATCH(LARGE($E$63:$E$79,7),$E$63:$E$79,0))</f>
        <v/>
      </c>
      <c r="I69" s="37">
        <f>INDEX($C$63:$C$79,MATCH(LARGE($E$63:$E$79,7),$E$63:$E$79,0))-INDEX($D$63:$D$79,MATCH(LARGE($E$63:$E$79,7),$E$63:$E$79,0))</f>
        <v/>
      </c>
    </row>
    <row r="70">
      <c r="B70" s="36" t="inlineStr">
        <is>
          <t>Ireland</t>
        </is>
      </c>
      <c r="C70" s="37">
        <f>SUMIFS(Data!$M$4:$M$2710,Data!$V$4:$V$2710,1,Data!$D$4:$D$2710,B70)</f>
        <v/>
      </c>
      <c r="D70" s="37">
        <f>IF(OR(sel_Country="All",B70=sel_Country),C70,0)</f>
        <v/>
      </c>
      <c r="E70" s="41">
        <f>C70+ROW()/1000000</f>
        <v/>
      </c>
      <c r="G70" s="36">
        <f>IF(INDEX($C$63:$C$79,MATCH(LARGE($E$63:$E$79,8),$E$63:$E$79,0))=0,"",INDEX($B$63:$B$79,MATCH(LARGE($E$63:$E$79,8),$E$63:$E$79,0)))</f>
        <v/>
      </c>
      <c r="H70" s="37">
        <f>INDEX($D$63:$D$79,MATCH(LARGE($E$63:$E$79,8),$E$63:$E$79,0))</f>
        <v/>
      </c>
      <c r="I70" s="37">
        <f>INDEX($C$63:$C$79,MATCH(LARGE($E$63:$E$79,8),$E$63:$E$79,0))-INDEX($D$63:$D$79,MATCH(LARGE($E$63:$E$79,8),$E$63:$E$79,0))</f>
        <v/>
      </c>
    </row>
    <row r="71">
      <c r="B71" s="36" t="inlineStr">
        <is>
          <t>Italy</t>
        </is>
      </c>
      <c r="C71" s="37">
        <f>SUMIFS(Data!$M$4:$M$2710,Data!$V$4:$V$2710,1,Data!$D$4:$D$2710,B71)</f>
        <v/>
      </c>
      <c r="D71" s="37">
        <f>IF(OR(sel_Country="All",B71=sel_Country),C71,0)</f>
        <v/>
      </c>
      <c r="E71" s="41">
        <f>C71+ROW()/1000000</f>
        <v/>
      </c>
      <c r="G71" s="36">
        <f>IF(INDEX($C$63:$C$79,MATCH(LARGE($E$63:$E$79,9),$E$63:$E$79,0))=0,"",INDEX($B$63:$B$79,MATCH(LARGE($E$63:$E$79,9),$E$63:$E$79,0)))</f>
        <v/>
      </c>
      <c r="H71" s="37">
        <f>INDEX($D$63:$D$79,MATCH(LARGE($E$63:$E$79,9),$E$63:$E$79,0))</f>
        <v/>
      </c>
      <c r="I71" s="37">
        <f>INDEX($C$63:$C$79,MATCH(LARGE($E$63:$E$79,9),$E$63:$E$79,0))-INDEX($D$63:$D$79,MATCH(LARGE($E$63:$E$79,9),$E$63:$E$79,0))</f>
        <v/>
      </c>
    </row>
    <row r="72">
      <c r="B72" s="36" t="inlineStr">
        <is>
          <t>Netherlands</t>
        </is>
      </c>
      <c r="C72" s="37">
        <f>SUMIFS(Data!$M$4:$M$2710,Data!$V$4:$V$2710,1,Data!$D$4:$D$2710,B72)</f>
        <v/>
      </c>
      <c r="D72" s="37">
        <f>IF(OR(sel_Country="All",B72=sel_Country),C72,0)</f>
        <v/>
      </c>
      <c r="E72" s="41">
        <f>C72+ROW()/1000000</f>
        <v/>
      </c>
      <c r="G72" s="36">
        <f>IF(INDEX($C$63:$C$79,MATCH(LARGE($E$63:$E$79,10),$E$63:$E$79,0))=0,"",INDEX($B$63:$B$79,MATCH(LARGE($E$63:$E$79,10),$E$63:$E$79,0)))</f>
        <v/>
      </c>
      <c r="H72" s="37">
        <f>INDEX($D$63:$D$79,MATCH(LARGE($E$63:$E$79,10),$E$63:$E$79,0))</f>
        <v/>
      </c>
      <c r="I72" s="37">
        <f>INDEX($C$63:$C$79,MATCH(LARGE($E$63:$E$79,10),$E$63:$E$79,0))-INDEX($D$63:$D$79,MATCH(LARGE($E$63:$E$79,10),$E$63:$E$79,0))</f>
        <v/>
      </c>
    </row>
    <row r="73">
      <c r="B73" s="36" t="inlineStr">
        <is>
          <t>Norway</t>
        </is>
      </c>
      <c r="C73" s="37">
        <f>SUMIFS(Data!$M$4:$M$2710,Data!$V$4:$V$2710,1,Data!$D$4:$D$2710,B73)</f>
        <v/>
      </c>
      <c r="D73" s="37">
        <f>IF(OR(sel_Country="All",B73=sel_Country),C73,0)</f>
        <v/>
      </c>
      <c r="E73" s="41">
        <f>C73+ROW()/1000000</f>
        <v/>
      </c>
      <c r="G73" s="36">
        <f>IF(INDEX($C$63:$C$79,MATCH(LARGE($E$63:$E$79,11),$E$63:$E$79,0))=0,"",INDEX($B$63:$B$79,MATCH(LARGE($E$63:$E$79,11),$E$63:$E$79,0)))</f>
        <v/>
      </c>
      <c r="H73" s="37">
        <f>INDEX($D$63:$D$79,MATCH(LARGE($E$63:$E$79,11),$E$63:$E$79,0))</f>
        <v/>
      </c>
      <c r="I73" s="37">
        <f>INDEX($C$63:$C$79,MATCH(LARGE($E$63:$E$79,11),$E$63:$E$79,0))-INDEX($D$63:$D$79,MATCH(LARGE($E$63:$E$79,11),$E$63:$E$79,0))</f>
        <v/>
      </c>
    </row>
    <row r="74">
      <c r="B74" s="36" t="inlineStr">
        <is>
          <t>Poland</t>
        </is>
      </c>
      <c r="C74" s="37">
        <f>SUMIFS(Data!$M$4:$M$2710,Data!$V$4:$V$2710,1,Data!$D$4:$D$2710,B74)</f>
        <v/>
      </c>
      <c r="D74" s="37">
        <f>IF(OR(sel_Country="All",B74=sel_Country),C74,0)</f>
        <v/>
      </c>
      <c r="E74" s="41">
        <f>C74+ROW()/1000000</f>
        <v/>
      </c>
      <c r="G74" s="36">
        <f>IF(INDEX($C$63:$C$79,MATCH(LARGE($E$63:$E$79,12),$E$63:$E$79,0))=0,"",INDEX($B$63:$B$79,MATCH(LARGE($E$63:$E$79,12),$E$63:$E$79,0)))</f>
        <v/>
      </c>
      <c r="H74" s="37">
        <f>INDEX($D$63:$D$79,MATCH(LARGE($E$63:$E$79,12),$E$63:$E$79,0))</f>
        <v/>
      </c>
      <c r="I74" s="37">
        <f>INDEX($C$63:$C$79,MATCH(LARGE($E$63:$E$79,12),$E$63:$E$79,0))-INDEX($D$63:$D$79,MATCH(LARGE($E$63:$E$79,12),$E$63:$E$79,0))</f>
        <v/>
      </c>
    </row>
    <row r="75">
      <c r="B75" s="36" t="inlineStr">
        <is>
          <t>Portugal</t>
        </is>
      </c>
      <c r="C75" s="37">
        <f>SUMIFS(Data!$M$4:$M$2710,Data!$V$4:$V$2710,1,Data!$D$4:$D$2710,B75)</f>
        <v/>
      </c>
      <c r="D75" s="37">
        <f>IF(OR(sel_Country="All",B75=sel_Country),C75,0)</f>
        <v/>
      </c>
      <c r="E75" s="41">
        <f>C75+ROW()/1000000</f>
        <v/>
      </c>
      <c r="G75" s="36">
        <f>IF(INDEX($C$63:$C$79,MATCH(LARGE($E$63:$E$79,13),$E$63:$E$79,0))=0,"",INDEX($B$63:$B$79,MATCH(LARGE($E$63:$E$79,13),$E$63:$E$79,0)))</f>
        <v/>
      </c>
      <c r="H75" s="37">
        <f>INDEX($D$63:$D$79,MATCH(LARGE($E$63:$E$79,13),$E$63:$E$79,0))</f>
        <v/>
      </c>
      <c r="I75" s="37">
        <f>INDEX($C$63:$C$79,MATCH(LARGE($E$63:$E$79,13),$E$63:$E$79,0))-INDEX($D$63:$D$79,MATCH(LARGE($E$63:$E$79,13),$E$63:$E$79,0))</f>
        <v/>
      </c>
    </row>
    <row r="76">
      <c r="B76" s="36" t="inlineStr">
        <is>
          <t>Spain</t>
        </is>
      </c>
      <c r="C76" s="37">
        <f>SUMIFS(Data!$M$4:$M$2710,Data!$V$4:$V$2710,1,Data!$D$4:$D$2710,B76)</f>
        <v/>
      </c>
      <c r="D76" s="37">
        <f>IF(OR(sel_Country="All",B76=sel_Country),C76,0)</f>
        <v/>
      </c>
      <c r="E76" s="41">
        <f>C76+ROW()/1000000</f>
        <v/>
      </c>
      <c r="G76" s="36">
        <f>IF(INDEX($C$63:$C$79,MATCH(LARGE($E$63:$E$79,14),$E$63:$E$79,0))=0,"",INDEX($B$63:$B$79,MATCH(LARGE($E$63:$E$79,14),$E$63:$E$79,0)))</f>
        <v/>
      </c>
      <c r="H76" s="37">
        <f>INDEX($D$63:$D$79,MATCH(LARGE($E$63:$E$79,14),$E$63:$E$79,0))</f>
        <v/>
      </c>
      <c r="I76" s="37">
        <f>INDEX($C$63:$C$79,MATCH(LARGE($E$63:$E$79,14),$E$63:$E$79,0))-INDEX($D$63:$D$79,MATCH(LARGE($E$63:$E$79,14),$E$63:$E$79,0))</f>
        <v/>
      </c>
    </row>
    <row r="77">
      <c r="B77" s="36" t="inlineStr">
        <is>
          <t>Sweden</t>
        </is>
      </c>
      <c r="C77" s="37">
        <f>SUMIFS(Data!$M$4:$M$2710,Data!$V$4:$V$2710,1,Data!$D$4:$D$2710,B77)</f>
        <v/>
      </c>
      <c r="D77" s="37">
        <f>IF(OR(sel_Country="All",B77=sel_Country),C77,0)</f>
        <v/>
      </c>
      <c r="E77" s="41">
        <f>C77+ROW()/1000000</f>
        <v/>
      </c>
      <c r="G77" s="36">
        <f>IF(INDEX($C$63:$C$79,MATCH(LARGE($E$63:$E$79,15),$E$63:$E$79,0))=0,"",INDEX($B$63:$B$79,MATCH(LARGE($E$63:$E$79,15),$E$63:$E$79,0)))</f>
        <v/>
      </c>
      <c r="H77" s="37">
        <f>INDEX($D$63:$D$79,MATCH(LARGE($E$63:$E$79,15),$E$63:$E$79,0))</f>
        <v/>
      </c>
      <c r="I77" s="37">
        <f>INDEX($C$63:$C$79,MATCH(LARGE($E$63:$E$79,15),$E$63:$E$79,0))-INDEX($D$63:$D$79,MATCH(LARGE($E$63:$E$79,15),$E$63:$E$79,0))</f>
        <v/>
      </c>
    </row>
    <row r="78">
      <c r="B78" s="36" t="inlineStr">
        <is>
          <t>Switzerland</t>
        </is>
      </c>
      <c r="C78" s="37">
        <f>SUMIFS(Data!$M$4:$M$2710,Data!$V$4:$V$2710,1,Data!$D$4:$D$2710,B78)</f>
        <v/>
      </c>
      <c r="D78" s="37">
        <f>IF(OR(sel_Country="All",B78=sel_Country),C78,0)</f>
        <v/>
      </c>
      <c r="E78" s="41">
        <f>C78+ROW()/1000000</f>
        <v/>
      </c>
      <c r="G78" s="36">
        <f>IF(INDEX($C$63:$C$79,MATCH(LARGE($E$63:$E$79,16),$E$63:$E$79,0))=0,"",INDEX($B$63:$B$79,MATCH(LARGE($E$63:$E$79,16),$E$63:$E$79,0)))</f>
        <v/>
      </c>
      <c r="H78" s="37">
        <f>INDEX($D$63:$D$79,MATCH(LARGE($E$63:$E$79,16),$E$63:$E$79,0))</f>
        <v/>
      </c>
      <c r="I78" s="37">
        <f>INDEX($C$63:$C$79,MATCH(LARGE($E$63:$E$79,16),$E$63:$E$79,0))-INDEX($D$63:$D$79,MATCH(LARGE($E$63:$E$79,16),$E$63:$E$79,0))</f>
        <v/>
      </c>
    </row>
    <row r="79">
      <c r="B79" s="36" t="inlineStr">
        <is>
          <t>United Kingdom</t>
        </is>
      </c>
      <c r="C79" s="37">
        <f>SUMIFS(Data!$M$4:$M$2710,Data!$V$4:$V$2710,1,Data!$D$4:$D$2710,B79)</f>
        <v/>
      </c>
      <c r="D79" s="37">
        <f>IF(OR(sel_Country="All",B79=sel_Country),C79,0)</f>
        <v/>
      </c>
      <c r="E79" s="41">
        <f>C79+ROW()/1000000</f>
        <v/>
      </c>
      <c r="G79" s="36">
        <f>IF(INDEX($C$63:$C$79,MATCH(LARGE($E$63:$E$79,17),$E$63:$E$79,0))=0,"",INDEX($B$63:$B$79,MATCH(LARGE($E$63:$E$79,17),$E$63:$E$79,0)))</f>
        <v/>
      </c>
      <c r="H79" s="37">
        <f>INDEX($D$63:$D$79,MATCH(LARGE($E$63:$E$79,17),$E$63:$E$79,0))</f>
        <v/>
      </c>
      <c r="I79" s="37">
        <f>INDEX($C$63:$C$79,MATCH(LARGE($E$63:$E$79,17),$E$63:$E$79,0))-INDEX($D$63:$D$79,MATCH(LARGE($E$63:$E$79,17),$E$63:$E$79,0))</f>
        <v/>
      </c>
    </row>
    <row r="82">
      <c r="B82" s="35" t="inlineStr">
        <is>
          <t>Units Sold by Product (Top 5 shown)</t>
        </is>
      </c>
    </row>
    <row r="83">
      <c r="B83" s="40" t="inlineStr">
        <is>
          <t>Item</t>
        </is>
      </c>
      <c r="C83" s="40" t="inlineStr">
        <is>
          <t>Value (own filter ignored)</t>
        </is>
      </c>
      <c r="D83" s="40" t="inlineStr">
        <is>
          <t>Selected</t>
        </is>
      </c>
      <c r="E83" s="40" t="inlineStr">
        <is>
          <t>Rank key</t>
        </is>
      </c>
      <c r="G83" s="40" t="inlineStr">
        <is>
          <t>Sorted item</t>
        </is>
      </c>
      <c r="H83" s="40" t="inlineStr">
        <is>
          <t>Selected</t>
        </is>
      </c>
      <c r="I83" s="40" t="inlineStr">
        <is>
          <t>Excluded</t>
        </is>
      </c>
    </row>
    <row r="84">
      <c r="B84" s="36" t="inlineStr">
        <is>
          <t>Alpine Tent 4P</t>
        </is>
      </c>
      <c r="C84" s="37">
        <f>SUMIFS(Data!$I$4:$I$2710,Data!$Z$4:$Z$2710,1,Data!$H$4:$H$2710,B84)</f>
        <v/>
      </c>
      <c r="D84" s="37">
        <f>IF(OR(sel_Product="All",B84=sel_Product),C84,0)</f>
        <v/>
      </c>
      <c r="E84" s="41">
        <f>C84+ROW()/1000000</f>
        <v/>
      </c>
      <c r="G84" s="36">
        <f>IF(INDEX($C$84:$C$103,MATCH(LARGE($E$84:$E$103,1),$E$84:$E$103,0))=0,"",INDEX($B$84:$B$103,MATCH(LARGE($E$84:$E$103,1),$E$84:$E$103,0)))</f>
        <v/>
      </c>
      <c r="H84" s="37">
        <f>INDEX($D$84:$D$103,MATCH(LARGE($E$84:$E$103,1),$E$84:$E$103,0))</f>
        <v/>
      </c>
      <c r="I84" s="37">
        <f>INDEX($C$84:$C$103,MATCH(LARGE($E$84:$E$103,1),$E$84:$E$103,0))-INDEX($D$84:$D$103,MATCH(LARGE($E$84:$E$103,1),$E$84:$E$103,0))</f>
        <v/>
      </c>
    </row>
    <row r="85">
      <c r="B85" s="36" t="inlineStr">
        <is>
          <t>Carry-On Duffel</t>
        </is>
      </c>
      <c r="C85" s="37">
        <f>SUMIFS(Data!$I$4:$I$2710,Data!$Z$4:$Z$2710,1,Data!$H$4:$H$2710,B85)</f>
        <v/>
      </c>
      <c r="D85" s="37">
        <f>IF(OR(sel_Product="All",B85=sel_Product),C85,0)</f>
        <v/>
      </c>
      <c r="E85" s="41">
        <f>C85+ROW()/1000000</f>
        <v/>
      </c>
      <c r="G85" s="36">
        <f>IF(INDEX($C$84:$C$103,MATCH(LARGE($E$84:$E$103,2),$E$84:$E$103,0))=0,"",INDEX($B$84:$B$103,MATCH(LARGE($E$84:$E$103,2),$E$84:$E$103,0)))</f>
        <v/>
      </c>
      <c r="H85" s="37">
        <f>INDEX($D$84:$D$103,MATCH(LARGE($E$84:$E$103,2),$E$84:$E$103,0))</f>
        <v/>
      </c>
      <c r="I85" s="37">
        <f>INDEX($C$84:$C$103,MATCH(LARGE($E$84:$E$103,2),$E$84:$E$103,0))-INDEX($D$84:$D$103,MATCH(LARGE($E$84:$E$103,2),$E$84:$E$103,0))</f>
        <v/>
      </c>
    </row>
    <row r="86">
      <c r="B86" s="36" t="inlineStr">
        <is>
          <t>Commuter Helmet</t>
        </is>
      </c>
      <c r="C86" s="37">
        <f>SUMIFS(Data!$I$4:$I$2710,Data!$Z$4:$Z$2710,1,Data!$H$4:$H$2710,B86)</f>
        <v/>
      </c>
      <c r="D86" s="37">
        <f>IF(OR(sel_Product="All",B86=sel_Product),C86,0)</f>
        <v/>
      </c>
      <c r="E86" s="41">
        <f>C86+ROW()/1000000</f>
        <v/>
      </c>
      <c r="G86" s="36">
        <f>IF(INDEX($C$84:$C$103,MATCH(LARGE($E$84:$E$103,3),$E$84:$E$103,0))=0,"",INDEX($B$84:$B$103,MATCH(LARGE($E$84:$E$103,3),$E$84:$E$103,0)))</f>
        <v/>
      </c>
      <c r="H86" s="37">
        <f>INDEX($D$84:$D$103,MATCH(LARGE($E$84:$E$103,3),$E$84:$E$103,0))</f>
        <v/>
      </c>
      <c r="I86" s="37">
        <f>INDEX($C$84:$C$103,MATCH(LARGE($E$84:$E$103,3),$E$84:$E$103,0))-INDEX($D$84:$D$103,MATCH(LARGE($E$84:$E$103,3),$E$84:$E$103,0))</f>
        <v/>
      </c>
    </row>
    <row r="87">
      <c r="B87" s="36" t="inlineStr">
        <is>
          <t>Compact Repair Kit</t>
        </is>
      </c>
      <c r="C87" s="37">
        <f>SUMIFS(Data!$I$4:$I$2710,Data!$Z$4:$Z$2710,1,Data!$H$4:$H$2710,B87)</f>
        <v/>
      </c>
      <c r="D87" s="37">
        <f>IF(OR(sel_Product="All",B87=sel_Product),C87,0)</f>
        <v/>
      </c>
      <c r="E87" s="41">
        <f>C87+ROW()/1000000</f>
        <v/>
      </c>
      <c r="G87" s="36">
        <f>IF(INDEX($C$84:$C$103,MATCH(LARGE($E$84:$E$103,4),$E$84:$E$103,0))=0,"",INDEX($B$84:$B$103,MATCH(LARGE($E$84:$E$103,4),$E$84:$E$103,0)))</f>
        <v/>
      </c>
      <c r="H87" s="37">
        <f>INDEX($D$84:$D$103,MATCH(LARGE($E$84:$E$103,4),$E$84:$E$103,0))</f>
        <v/>
      </c>
      <c r="I87" s="37">
        <f>INDEX($C$84:$C$103,MATCH(LARGE($E$84:$E$103,4),$E$84:$E$103,0))-INDEX($D$84:$D$103,MATCH(LARGE($E$84:$E$103,4),$E$84:$E$103,0))</f>
        <v/>
      </c>
    </row>
    <row r="88">
      <c r="B88" s="36" t="inlineStr">
        <is>
          <t>Compact Sleeping Bag</t>
        </is>
      </c>
      <c r="C88" s="37">
        <f>SUMIFS(Data!$I$4:$I$2710,Data!$Z$4:$Z$2710,1,Data!$H$4:$H$2710,B88)</f>
        <v/>
      </c>
      <c r="D88" s="37">
        <f>IF(OR(sel_Product="All",B88=sel_Product),C88,0)</f>
        <v/>
      </c>
      <c r="E88" s="41">
        <f>C88+ROW()/1000000</f>
        <v/>
      </c>
      <c r="G88" s="36">
        <f>IF(INDEX($C$84:$C$103,MATCH(LARGE($E$84:$E$103,5),$E$84:$E$103,0))=0,"",INDEX($B$84:$B$103,MATCH(LARGE($E$84:$E$103,5),$E$84:$E$103,0)))</f>
        <v/>
      </c>
      <c r="H88" s="37">
        <f>INDEX($D$84:$D$103,MATCH(LARGE($E$84:$E$103,5),$E$84:$E$103,0))</f>
        <v/>
      </c>
      <c r="I88" s="37">
        <f>INDEX($C$84:$C$103,MATCH(LARGE($E$84:$E$103,5),$E$84:$E$103,0))-INDEX($D$84:$D$103,MATCH(LARGE($E$84:$E$103,5),$E$84:$E$103,0))</f>
        <v/>
      </c>
    </row>
    <row r="89">
      <c r="B89" s="36" t="inlineStr">
        <is>
          <t>Cycling Pack 12L</t>
        </is>
      </c>
      <c r="C89" s="37">
        <f>SUMIFS(Data!$I$4:$I$2710,Data!$Z$4:$Z$2710,1,Data!$H$4:$H$2710,B89)</f>
        <v/>
      </c>
      <c r="D89" s="37">
        <f>IF(OR(sel_Product="All",B89=sel_Product),C89,0)</f>
        <v/>
      </c>
      <c r="E89" s="41">
        <f>C89+ROW()/1000000</f>
        <v/>
      </c>
    </row>
    <row r="90">
      <c r="B90" s="36" t="inlineStr">
        <is>
          <t>Hiking Daypack 20L</t>
        </is>
      </c>
      <c r="C90" s="37">
        <f>SUMIFS(Data!$I$4:$I$2710,Data!$Z$4:$Z$2710,1,Data!$H$4:$H$2710,B90)</f>
        <v/>
      </c>
      <c r="D90" s="37">
        <f>IF(OR(sel_Product="All",B90=sel_Product),C90,0)</f>
        <v/>
      </c>
      <c r="E90" s="41">
        <f>C90+ROW()/1000000</f>
        <v/>
      </c>
    </row>
    <row r="91">
      <c r="B91" s="36" t="inlineStr">
        <is>
          <t>Insulated Bottle</t>
        </is>
      </c>
      <c r="C91" s="37">
        <f>SUMIFS(Data!$I$4:$I$2710,Data!$Z$4:$Z$2710,1,Data!$H$4:$H$2710,B91)</f>
        <v/>
      </c>
      <c r="D91" s="37">
        <f>IF(OR(sel_Product="All",B91=sel_Product),C91,0)</f>
        <v/>
      </c>
      <c r="E91" s="41">
        <f>C91+ROW()/1000000</f>
        <v/>
      </c>
    </row>
    <row r="92">
      <c r="B92" s="36" t="inlineStr">
        <is>
          <t>Packing Cube Set</t>
        </is>
      </c>
      <c r="C92" s="37">
        <f>SUMIFS(Data!$I$4:$I$2710,Data!$Z$4:$Z$2710,1,Data!$H$4:$H$2710,B92)</f>
        <v/>
      </c>
      <c r="D92" s="37">
        <f>IF(OR(sel_Product="All",B92=sel_Product),C92,0)</f>
        <v/>
      </c>
      <c r="E92" s="41">
        <f>C92+ROW()/1000000</f>
        <v/>
      </c>
    </row>
    <row r="93">
      <c r="B93" s="36" t="inlineStr">
        <is>
          <t>Portable Camp Stove</t>
        </is>
      </c>
      <c r="C93" s="37">
        <f>SUMIFS(Data!$I$4:$I$2710,Data!$Z$4:$Z$2710,1,Data!$H$4:$H$2710,B93)</f>
        <v/>
      </c>
      <c r="D93" s="37">
        <f>IF(OR(sel_Product="All",B93=sel_Product),C93,0)</f>
        <v/>
      </c>
      <c r="E93" s="41">
        <f>C93+ROW()/1000000</f>
        <v/>
      </c>
    </row>
    <row r="94">
      <c r="B94" s="36" t="inlineStr">
        <is>
          <t>Recovery Roller</t>
        </is>
      </c>
      <c r="C94" s="37">
        <f>SUMIFS(Data!$I$4:$I$2710,Data!$Z$4:$Z$2710,1,Data!$H$4:$H$2710,B94)</f>
        <v/>
      </c>
      <c r="D94" s="37">
        <f>IF(OR(sel_Product="All",B94=sel_Product),C94,0)</f>
        <v/>
      </c>
      <c r="E94" s="41">
        <f>C94+ROW()/1000000</f>
        <v/>
      </c>
    </row>
    <row r="95">
      <c r="B95" s="36" t="inlineStr">
        <is>
          <t>Resistance Band Set</t>
        </is>
      </c>
      <c r="C95" s="37">
        <f>SUMIFS(Data!$I$4:$I$2710,Data!$Z$4:$Z$2710,1,Data!$H$4:$H$2710,B95)</f>
        <v/>
      </c>
      <c r="D95" s="37">
        <f>IF(OR(sel_Product="All",B95=sel_Product),C95,0)</f>
        <v/>
      </c>
      <c r="E95" s="41">
        <f>C95+ROW()/1000000</f>
        <v/>
      </c>
    </row>
    <row r="96">
      <c r="B96" s="36" t="inlineStr">
        <is>
          <t>Summit Backpack 45L</t>
        </is>
      </c>
      <c r="C96" s="37">
        <f>SUMIFS(Data!$I$4:$I$2710,Data!$Z$4:$Z$2710,1,Data!$H$4:$H$2710,B96)</f>
        <v/>
      </c>
      <c r="D96" s="37">
        <f>IF(OR(sel_Product="All",B96=sel_Product),C96,0)</f>
        <v/>
      </c>
      <c r="E96" s="41">
        <f>C96+ROW()/1000000</f>
        <v/>
      </c>
    </row>
    <row r="97">
      <c r="B97" s="36" t="inlineStr">
        <is>
          <t>Trail Bike Light</t>
        </is>
      </c>
      <c r="C97" s="37">
        <f>SUMIFS(Data!$I$4:$I$2710,Data!$Z$4:$Z$2710,1,Data!$H$4:$H$2710,B97)</f>
        <v/>
      </c>
      <c r="D97" s="37">
        <f>IF(OR(sel_Product="All",B97=sel_Product),C97,0)</f>
        <v/>
      </c>
      <c r="E97" s="41">
        <f>C97+ROW()/1000000</f>
        <v/>
      </c>
    </row>
    <row r="98">
      <c r="B98" s="36" t="inlineStr">
        <is>
          <t>Trail Boots</t>
        </is>
      </c>
      <c r="C98" s="37">
        <f>SUMIFS(Data!$I$4:$I$2710,Data!$Z$4:$Z$2710,1,Data!$H$4:$H$2710,B98)</f>
        <v/>
      </c>
      <c r="D98" s="37">
        <f>IF(OR(sel_Product="All",B98=sel_Product),C98,0)</f>
        <v/>
      </c>
      <c r="E98" s="41">
        <f>C98+ROW()/1000000</f>
        <v/>
      </c>
    </row>
    <row r="99">
      <c r="B99" s="36" t="inlineStr">
        <is>
          <t>Trail Tent 2P</t>
        </is>
      </c>
      <c r="C99" s="37">
        <f>SUMIFS(Data!$I$4:$I$2710,Data!$Z$4:$Z$2710,1,Data!$H$4:$H$2710,B99)</f>
        <v/>
      </c>
      <c r="D99" s="37">
        <f>IF(OR(sel_Product="All",B99=sel_Product),C99,0)</f>
        <v/>
      </c>
      <c r="E99" s="41">
        <f>C99+ROW()/1000000</f>
        <v/>
      </c>
    </row>
    <row r="100">
      <c r="B100" s="36" t="inlineStr">
        <is>
          <t>Training Mat</t>
        </is>
      </c>
      <c r="C100" s="37">
        <f>SUMIFS(Data!$I$4:$I$2710,Data!$Z$4:$Z$2710,1,Data!$H$4:$H$2710,B100)</f>
        <v/>
      </c>
      <c r="D100" s="37">
        <f>IF(OR(sel_Product="All",B100=sel_Product),C100,0)</f>
        <v/>
      </c>
      <c r="E100" s="41">
        <f>C100+ROW()/1000000</f>
        <v/>
      </c>
    </row>
    <row r="101">
      <c r="B101" s="36" t="inlineStr">
        <is>
          <t>Travel Backpack 35L</t>
        </is>
      </c>
      <c r="C101" s="37">
        <f>SUMIFS(Data!$I$4:$I$2710,Data!$Z$4:$Z$2710,1,Data!$H$4:$H$2710,B101)</f>
        <v/>
      </c>
      <c r="D101" s="37">
        <f>IF(OR(sel_Product="All",B101=sel_Product),C101,0)</f>
        <v/>
      </c>
      <c r="E101" s="41">
        <f>C101+ROW()/1000000</f>
        <v/>
      </c>
    </row>
    <row r="102">
      <c r="B102" s="36" t="inlineStr">
        <is>
          <t>Trekking Poles</t>
        </is>
      </c>
      <c r="C102" s="37">
        <f>SUMIFS(Data!$I$4:$I$2710,Data!$Z$4:$Z$2710,1,Data!$H$4:$H$2710,B102)</f>
        <v/>
      </c>
      <c r="D102" s="37">
        <f>IF(OR(sel_Product="All",B102=sel_Product),C102,0)</f>
        <v/>
      </c>
      <c r="E102" s="41">
        <f>C102+ROW()/1000000</f>
        <v/>
      </c>
    </row>
    <row r="103">
      <c r="B103" s="36" t="inlineStr">
        <is>
          <t>Weighted Vest</t>
        </is>
      </c>
      <c r="C103" s="37">
        <f>SUMIFS(Data!$I$4:$I$2710,Data!$Z$4:$Z$2710,1,Data!$H$4:$H$2710,B103)</f>
        <v/>
      </c>
      <c r="D103" s="37">
        <f>IF(OR(sel_Product="All",B103=sel_Product),C103,0)</f>
        <v/>
      </c>
      <c r="E103" s="41">
        <f>C103+ROW()/1000000</f>
        <v/>
      </c>
    </row>
  </sheetData>
  <mergeCells count="4">
    <mergeCell ref="M1:N1"/>
    <mergeCell ref="O1:P1"/>
    <mergeCell ref="K1:L1"/>
    <mergeCell ref="Q1:R1"/>
  </mergeCells>
  <hyperlinks>
    <hyperlink ref="K1" location="'Dashboard'!A1" display="Dashboard"/>
    <hyperlink ref="M1" location="'Analysis'!A1" display="Analysis"/>
    <hyperlink ref="O1" location="'Data'!A1" display="Data"/>
    <hyperlink ref="Q1" location="'Guide'!A1" display="Guide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7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7" customWidth="1" min="3" max="3"/>
    <col width="16" customWidth="1" min="4" max="4"/>
    <col width="16" customWidth="1" min="5" max="5"/>
    <col width="14" customWidth="1" min="6" max="6"/>
    <col width="17" customWidth="1" min="7" max="7"/>
    <col width="22" customWidth="1" min="8" max="8"/>
    <col width="10" customWidth="1" min="9" max="9"/>
    <col width="11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1" customWidth="1" min="16" max="16"/>
    <col width="7" customWidth="1" min="17" max="17"/>
    <col width="9" customWidth="1" min="18" max="18"/>
    <col width="9" customWidth="1" min="19" max="19"/>
    <col width="8" customWidth="1" min="20" max="20"/>
    <col width="9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</cols>
  <sheetData>
    <row r="1">
      <c r="A1" s="34" t="inlineStr">
        <is>
          <t>Sales Data</t>
        </is>
      </c>
      <c r="H1" s="5" t="inlineStr">
        <is>
          <t>Dashboard</t>
        </is>
      </c>
      <c r="I1" s="6" t="n"/>
      <c r="J1" s="5" t="inlineStr">
        <is>
          <t>Analysis</t>
        </is>
      </c>
      <c r="K1" s="6" t="n"/>
      <c r="L1" s="3" t="inlineStr">
        <is>
          <t>Data</t>
        </is>
      </c>
      <c r="M1" s="4" t="n"/>
      <c r="N1" s="5" t="inlineStr">
        <is>
          <t>Guide</t>
        </is>
      </c>
      <c r="O1" s="6" t="n"/>
    </row>
    <row r="3" ht="30" customHeight="1">
      <c r="A3" s="42" t="inlineStr">
        <is>
          <t>ID</t>
        </is>
      </c>
      <c r="B3" s="42" t="inlineStr">
        <is>
          <t>Order Date</t>
        </is>
      </c>
      <c r="C3" s="42" t="inlineStr">
        <is>
          <t>Region</t>
        </is>
      </c>
      <c r="D3" s="42" t="inlineStr">
        <is>
          <t>Country</t>
        </is>
      </c>
      <c r="E3" s="42" t="inlineStr">
        <is>
          <t>Sales Channel</t>
        </is>
      </c>
      <c r="F3" s="42" t="inlineStr">
        <is>
          <t>Customer Type</t>
        </is>
      </c>
      <c r="G3" s="42" t="inlineStr">
        <is>
          <t>Product Category</t>
        </is>
      </c>
      <c r="H3" s="42" t="inlineStr">
        <is>
          <t>Product</t>
        </is>
      </c>
      <c r="I3" s="42" t="inlineStr">
        <is>
          <t>Units Sold</t>
        </is>
      </c>
      <c r="J3" s="42" t="inlineStr">
        <is>
          <t>Unit Price</t>
        </is>
      </c>
      <c r="K3" s="42" t="inlineStr">
        <is>
          <t>Discount %</t>
        </is>
      </c>
      <c r="L3" s="42" t="inlineStr">
        <is>
          <t>Unit Cost</t>
        </is>
      </c>
      <c r="M3" s="42" t="inlineStr">
        <is>
          <t>Revenue</t>
        </is>
      </c>
      <c r="N3" s="42" t="inlineStr">
        <is>
          <t>COGS</t>
        </is>
      </c>
      <c r="O3" s="42" t="inlineStr">
        <is>
          <t>Gross Profit</t>
        </is>
      </c>
      <c r="P3" s="42" t="inlineStr">
        <is>
          <t>Gross Margin %</t>
        </is>
      </c>
      <c r="Q3" s="42" t="inlineStr">
        <is>
          <t>Year</t>
        </is>
      </c>
      <c r="R3" s="42" t="inlineStr">
        <is>
          <t>Quarter</t>
        </is>
      </c>
      <c r="S3" s="42" t="inlineStr">
        <is>
          <t>MonthNo</t>
        </is>
      </c>
      <c r="T3" s="42" t="inlineStr">
        <is>
          <t>Month</t>
        </is>
      </c>
      <c r="U3" s="42" t="inlineStr">
        <is>
          <t>In Filter</t>
        </is>
      </c>
      <c r="V3" s="43" t="inlineStr">
        <is>
          <t>Flag excl. Country</t>
        </is>
      </c>
      <c r="W3" s="43" t="inlineStr">
        <is>
          <t>Flag excl. Channel</t>
        </is>
      </c>
      <c r="X3" s="43" t="inlineStr">
        <is>
          <t>Flag excl. Customer</t>
        </is>
      </c>
      <c r="Y3" s="43" t="inlineStr">
        <is>
          <t>Flag excl. Category</t>
        </is>
      </c>
      <c r="Z3" s="43" t="inlineStr">
        <is>
          <t>Flag excl. Product</t>
        </is>
      </c>
      <c r="AA3" s="43" t="inlineStr">
        <is>
          <t>Flag excl. Month</t>
        </is>
      </c>
    </row>
    <row r="4">
      <c r="A4" s="36" t="inlineStr">
        <is>
          <t>03392</t>
        </is>
      </c>
      <c r="B4" s="44" t="n">
        <v>46023</v>
      </c>
      <c r="C4" s="36" t="inlineStr">
        <is>
          <t>Southern Europe</t>
        </is>
      </c>
      <c r="D4" s="36" t="inlineStr">
        <is>
          <t>Spain</t>
        </is>
      </c>
      <c r="E4" s="36" t="inlineStr">
        <is>
          <t>Online Store</t>
        </is>
      </c>
      <c r="F4" s="36" t="inlineStr">
        <is>
          <t>Returning</t>
        </is>
      </c>
      <c r="G4" s="36" t="inlineStr">
        <is>
          <t>Cycling</t>
        </is>
      </c>
      <c r="H4" s="36" t="inlineStr">
        <is>
          <t>Commuter Helmet</t>
        </is>
      </c>
      <c r="I4" s="36" t="n">
        <v>2</v>
      </c>
      <c r="J4" s="39" t="n">
        <v>82.06</v>
      </c>
      <c r="K4" s="45" t="n">
        <v>0</v>
      </c>
      <c r="L4" s="39" t="n">
        <v>42.94</v>
      </c>
      <c r="M4" s="39">
        <f>I4*J4*(1-K4)</f>
        <v/>
      </c>
      <c r="N4" s="39">
        <f>I4*L4</f>
        <v/>
      </c>
      <c r="O4" s="39">
        <f>M4-N4</f>
        <v/>
      </c>
      <c r="P4" s="38">
        <f>IF(M4=0,0,O4/M4)</f>
        <v/>
      </c>
      <c r="Q4" s="36">
        <f>YEAR(B4)</f>
        <v/>
      </c>
      <c r="R4" s="36">
        <f>"Q"&amp;ROUNDUP(MONTH(B4)/3,0)</f>
        <v/>
      </c>
      <c r="S4" s="36">
        <f>MONTH(B4)</f>
        <v/>
      </c>
      <c r="T4" s="36">
        <f>TEXT(B4,"mmm")</f>
        <v/>
      </c>
      <c r="U4" s="36">
        <f>IF(AND(OR(sel_Region="All",C4=sel_Region),OR(sel_Country="All",D4=sel_Country),OR(sel_Channel="All",E4=sel_Channel),OR(sel_Customer="All",F4=sel_Customer),OR(sel_Category="All",G4=sel_Category),OR(sel_Product="All",H4=sel_Product),AND(S4&gt;=m_From,S4&lt;=m_To)),1,0)</f>
        <v/>
      </c>
      <c r="V4" s="36">
        <f>IF(AND(OR(sel_Region="All",C4=sel_Region),OR(sel_Channel="All",E4=sel_Channel),OR(sel_Customer="All",F4=sel_Customer),OR(sel_Category="All",G4=sel_Category),OR(sel_Product="All",H4=sel_Product),AND(S4&gt;=m_From,S4&lt;=m_To)),1,0)</f>
        <v/>
      </c>
      <c r="W4" s="36">
        <f>IF(AND(OR(sel_Region="All",C4=sel_Region),OR(sel_Country="All",D4=sel_Country),OR(sel_Customer="All",F4=sel_Customer),OR(sel_Category="All",G4=sel_Category),OR(sel_Product="All",H4=sel_Product),AND(S4&gt;=m_From,S4&lt;=m_To)),1,0)</f>
        <v/>
      </c>
      <c r="X4" s="36">
        <f>IF(AND(OR(sel_Region="All",C4=sel_Region),OR(sel_Country="All",D4=sel_Country),OR(sel_Channel="All",E4=sel_Channel),OR(sel_Category="All",G4=sel_Category),OR(sel_Product="All",H4=sel_Product),AND(S4&gt;=m_From,S4&lt;=m_To)),1,0)</f>
        <v/>
      </c>
      <c r="Y4" s="36">
        <f>IF(AND(OR(sel_Region="All",C4=sel_Region),OR(sel_Country="All",D4=sel_Country),OR(sel_Channel="All",E4=sel_Channel),OR(sel_Customer="All",F4=sel_Customer),OR(sel_Product="All",H4=sel_Product),AND(S4&gt;=m_From,S4&lt;=m_To)),1,0)</f>
        <v/>
      </c>
      <c r="Z4" s="36">
        <f>IF(AND(OR(sel_Region="All",C4=sel_Region),OR(sel_Country="All",D4=sel_Country),OR(sel_Channel="All",E4=sel_Channel),OR(sel_Customer="All",F4=sel_Customer),OR(sel_Category="All",G4=sel_Category),AND(S4&gt;=m_From,S4&lt;=m_To)),1,0)</f>
        <v/>
      </c>
      <c r="AA4" s="36">
        <f>IF(AND(OR(sel_Region="All",C4=sel_Region),OR(sel_Country="All",D4=sel_Country),OR(sel_Channel="All",E4=sel_Channel),OR(sel_Customer="All",F4=sel_Customer),OR(sel_Category="All",G4=sel_Category),OR(sel_Product="All",H4=sel_Product)),1,0)</f>
        <v/>
      </c>
    </row>
    <row r="5">
      <c r="A5" s="36" t="inlineStr">
        <is>
          <t>04836</t>
        </is>
      </c>
      <c r="B5" s="44" t="n">
        <v>46024</v>
      </c>
      <c r="C5" s="36" t="inlineStr">
        <is>
          <t>Central Europe</t>
        </is>
      </c>
      <c r="D5" s="36" t="inlineStr">
        <is>
          <t>Czechia</t>
        </is>
      </c>
      <c r="E5" s="36" t="inlineStr">
        <is>
          <t>Corporate</t>
        </is>
      </c>
      <c r="F5" s="36" t="inlineStr">
        <is>
          <t>Returning</t>
        </is>
      </c>
      <c r="G5" s="36" t="inlineStr">
        <is>
          <t>Hiking</t>
        </is>
      </c>
      <c r="H5" s="36" t="inlineStr">
        <is>
          <t>Hiking Daypack 20L</t>
        </is>
      </c>
      <c r="I5" s="36" t="n">
        <v>4</v>
      </c>
      <c r="J5" s="39" t="n">
        <v>94.18000000000001</v>
      </c>
      <c r="K5" s="45" t="n">
        <v>0.15</v>
      </c>
      <c r="L5" s="39" t="n">
        <v>45.03</v>
      </c>
      <c r="M5" s="39">
        <f>I5*J5*(1-K5)</f>
        <v/>
      </c>
      <c r="N5" s="39">
        <f>I5*L5</f>
        <v/>
      </c>
      <c r="O5" s="39">
        <f>M5-N5</f>
        <v/>
      </c>
      <c r="P5" s="38">
        <f>IF(M5=0,0,O5/M5)</f>
        <v/>
      </c>
      <c r="Q5" s="36">
        <f>YEAR(B5)</f>
        <v/>
      </c>
      <c r="R5" s="36">
        <f>"Q"&amp;ROUNDUP(MONTH(B5)/3,0)</f>
        <v/>
      </c>
      <c r="S5" s="36">
        <f>MONTH(B5)</f>
        <v/>
      </c>
      <c r="T5" s="36">
        <f>TEXT(B5,"mmm")</f>
        <v/>
      </c>
      <c r="U5" s="36">
        <f>IF(AND(OR(sel_Region="All",C5=sel_Region),OR(sel_Country="All",D5=sel_Country),OR(sel_Channel="All",E5=sel_Channel),OR(sel_Customer="All",F5=sel_Customer),OR(sel_Category="All",G5=sel_Category),OR(sel_Product="All",H5=sel_Product),AND(S5&gt;=m_From,S5&lt;=m_To)),1,0)</f>
        <v/>
      </c>
      <c r="V5" s="36">
        <f>IF(AND(OR(sel_Region="All",C5=sel_Region),OR(sel_Channel="All",E5=sel_Channel),OR(sel_Customer="All",F5=sel_Customer),OR(sel_Category="All",G5=sel_Category),OR(sel_Product="All",H5=sel_Product),AND(S5&gt;=m_From,S5&lt;=m_To)),1,0)</f>
        <v/>
      </c>
      <c r="W5" s="36">
        <f>IF(AND(OR(sel_Region="All",C5=sel_Region),OR(sel_Country="All",D5=sel_Country),OR(sel_Customer="All",F5=sel_Customer),OR(sel_Category="All",G5=sel_Category),OR(sel_Product="All",H5=sel_Product),AND(S5&gt;=m_From,S5&lt;=m_To)),1,0)</f>
        <v/>
      </c>
      <c r="X5" s="36">
        <f>IF(AND(OR(sel_Region="All",C5=sel_Region),OR(sel_Country="All",D5=sel_Country),OR(sel_Channel="All",E5=sel_Channel),OR(sel_Category="All",G5=sel_Category),OR(sel_Product="All",H5=sel_Product),AND(S5&gt;=m_From,S5&lt;=m_To)),1,0)</f>
        <v/>
      </c>
      <c r="Y5" s="36">
        <f>IF(AND(OR(sel_Region="All",C5=sel_Region),OR(sel_Country="All",D5=sel_Country),OR(sel_Channel="All",E5=sel_Channel),OR(sel_Customer="All",F5=sel_Customer),OR(sel_Product="All",H5=sel_Product),AND(S5&gt;=m_From,S5&lt;=m_To)),1,0)</f>
        <v/>
      </c>
      <c r="Z5" s="36">
        <f>IF(AND(OR(sel_Region="All",C5=sel_Region),OR(sel_Country="All",D5=sel_Country),OR(sel_Channel="All",E5=sel_Channel),OR(sel_Customer="All",F5=sel_Customer),OR(sel_Category="All",G5=sel_Category),AND(S5&gt;=m_From,S5&lt;=m_To)),1,0)</f>
        <v/>
      </c>
      <c r="AA5" s="36">
        <f>IF(AND(OR(sel_Region="All",C5=sel_Region),OR(sel_Country="All",D5=sel_Country),OR(sel_Channel="All",E5=sel_Channel),OR(sel_Customer="All",F5=sel_Customer),OR(sel_Category="All",G5=sel_Category),OR(sel_Product="All",H5=sel_Product)),1,0)</f>
        <v/>
      </c>
    </row>
    <row r="6">
      <c r="A6" s="36" t="inlineStr">
        <is>
          <t>00163</t>
        </is>
      </c>
      <c r="B6" s="44" t="n">
        <v>46025</v>
      </c>
      <c r="C6" s="36" t="inlineStr">
        <is>
          <t>Northern Europe</t>
        </is>
      </c>
      <c r="D6" s="36" t="inlineStr">
        <is>
          <t>Sweden</t>
        </is>
      </c>
      <c r="E6" s="36" t="inlineStr">
        <is>
          <t>Online Store</t>
        </is>
      </c>
      <c r="F6" s="36" t="inlineStr">
        <is>
          <t>New</t>
        </is>
      </c>
      <c r="G6" s="36" t="inlineStr">
        <is>
          <t>Travel</t>
        </is>
      </c>
      <c r="H6" s="36" t="inlineStr">
        <is>
          <t>Insulated Bottle</t>
        </is>
      </c>
      <c r="I6" s="36" t="n">
        <v>2</v>
      </c>
      <c r="J6" s="39" t="n">
        <v>36.72</v>
      </c>
      <c r="K6" s="45" t="n">
        <v>0.05</v>
      </c>
      <c r="L6" s="39" t="n">
        <v>13.76</v>
      </c>
      <c r="M6" s="39">
        <f>I6*J6*(1-K6)</f>
        <v/>
      </c>
      <c r="N6" s="39">
        <f>I6*L6</f>
        <v/>
      </c>
      <c r="O6" s="39">
        <f>M6-N6</f>
        <v/>
      </c>
      <c r="P6" s="38">
        <f>IF(M6=0,0,O6/M6)</f>
        <v/>
      </c>
      <c r="Q6" s="36">
        <f>YEAR(B6)</f>
        <v/>
      </c>
      <c r="R6" s="36">
        <f>"Q"&amp;ROUNDUP(MONTH(B6)/3,0)</f>
        <v/>
      </c>
      <c r="S6" s="36">
        <f>MONTH(B6)</f>
        <v/>
      </c>
      <c r="T6" s="36">
        <f>TEXT(B6,"mmm")</f>
        <v/>
      </c>
      <c r="U6" s="36">
        <f>IF(AND(OR(sel_Region="All",C6=sel_Region),OR(sel_Country="All",D6=sel_Country),OR(sel_Channel="All",E6=sel_Channel),OR(sel_Customer="All",F6=sel_Customer),OR(sel_Category="All",G6=sel_Category),OR(sel_Product="All",H6=sel_Product),AND(S6&gt;=m_From,S6&lt;=m_To)),1,0)</f>
        <v/>
      </c>
      <c r="V6" s="36">
        <f>IF(AND(OR(sel_Region="All",C6=sel_Region),OR(sel_Channel="All",E6=sel_Channel),OR(sel_Customer="All",F6=sel_Customer),OR(sel_Category="All",G6=sel_Category),OR(sel_Product="All",H6=sel_Product),AND(S6&gt;=m_From,S6&lt;=m_To)),1,0)</f>
        <v/>
      </c>
      <c r="W6" s="36">
        <f>IF(AND(OR(sel_Region="All",C6=sel_Region),OR(sel_Country="All",D6=sel_Country),OR(sel_Customer="All",F6=sel_Customer),OR(sel_Category="All",G6=sel_Category),OR(sel_Product="All",H6=sel_Product),AND(S6&gt;=m_From,S6&lt;=m_To)),1,0)</f>
        <v/>
      </c>
      <c r="X6" s="36">
        <f>IF(AND(OR(sel_Region="All",C6=sel_Region),OR(sel_Country="All",D6=sel_Country),OR(sel_Channel="All",E6=sel_Channel),OR(sel_Category="All",G6=sel_Category),OR(sel_Product="All",H6=sel_Product),AND(S6&gt;=m_From,S6&lt;=m_To)),1,0)</f>
        <v/>
      </c>
      <c r="Y6" s="36">
        <f>IF(AND(OR(sel_Region="All",C6=sel_Region),OR(sel_Country="All",D6=sel_Country),OR(sel_Channel="All",E6=sel_Channel),OR(sel_Customer="All",F6=sel_Customer),OR(sel_Product="All",H6=sel_Product),AND(S6&gt;=m_From,S6&lt;=m_To)),1,0)</f>
        <v/>
      </c>
      <c r="Z6" s="36">
        <f>IF(AND(OR(sel_Region="All",C6=sel_Region),OR(sel_Country="All",D6=sel_Country),OR(sel_Channel="All",E6=sel_Channel),OR(sel_Customer="All",F6=sel_Customer),OR(sel_Category="All",G6=sel_Category),AND(S6&gt;=m_From,S6&lt;=m_To)),1,0)</f>
        <v/>
      </c>
      <c r="AA6" s="36">
        <f>IF(AND(OR(sel_Region="All",C6=sel_Region),OR(sel_Country="All",D6=sel_Country),OR(sel_Channel="All",E6=sel_Channel),OR(sel_Customer="All",F6=sel_Customer),OR(sel_Category="All",G6=sel_Category),OR(sel_Product="All",H6=sel_Product)),1,0)</f>
        <v/>
      </c>
    </row>
    <row r="7">
      <c r="A7" s="36" t="inlineStr">
        <is>
          <t>00542</t>
        </is>
      </c>
      <c r="B7" s="44" t="n">
        <v>46025</v>
      </c>
      <c r="C7" s="36" t="inlineStr">
        <is>
          <t>Southern Europe</t>
        </is>
      </c>
      <c r="D7" s="36" t="inlineStr">
        <is>
          <t>Spain</t>
        </is>
      </c>
      <c r="E7" s="36" t="inlineStr">
        <is>
          <t>Corporate</t>
        </is>
      </c>
      <c r="F7" s="36" t="inlineStr">
        <is>
          <t>Business</t>
        </is>
      </c>
      <c r="G7" s="36" t="inlineStr">
        <is>
          <t>Hiking</t>
        </is>
      </c>
      <c r="H7" s="36" t="inlineStr">
        <is>
          <t>Trail Boots</t>
        </is>
      </c>
      <c r="I7" s="36" t="n">
        <v>4</v>
      </c>
      <c r="J7" s="39" t="n">
        <v>143.67</v>
      </c>
      <c r="K7" s="45" t="n">
        <v>0.1</v>
      </c>
      <c r="L7" s="39" t="n">
        <v>81.22</v>
      </c>
      <c r="M7" s="39">
        <f>I7*J7*(1-K7)</f>
        <v/>
      </c>
      <c r="N7" s="39">
        <f>I7*L7</f>
        <v/>
      </c>
      <c r="O7" s="39">
        <f>M7-N7</f>
        <v/>
      </c>
      <c r="P7" s="38">
        <f>IF(M7=0,0,O7/M7)</f>
        <v/>
      </c>
      <c r="Q7" s="36">
        <f>YEAR(B7)</f>
        <v/>
      </c>
      <c r="R7" s="36">
        <f>"Q"&amp;ROUNDUP(MONTH(B7)/3,0)</f>
        <v/>
      </c>
      <c r="S7" s="36">
        <f>MONTH(B7)</f>
        <v/>
      </c>
      <c r="T7" s="36">
        <f>TEXT(B7,"mmm")</f>
        <v/>
      </c>
      <c r="U7" s="36">
        <f>IF(AND(OR(sel_Region="All",C7=sel_Region),OR(sel_Country="All",D7=sel_Country),OR(sel_Channel="All",E7=sel_Channel),OR(sel_Customer="All",F7=sel_Customer),OR(sel_Category="All",G7=sel_Category),OR(sel_Product="All",H7=sel_Product),AND(S7&gt;=m_From,S7&lt;=m_To)),1,0)</f>
        <v/>
      </c>
      <c r="V7" s="36">
        <f>IF(AND(OR(sel_Region="All",C7=sel_Region),OR(sel_Channel="All",E7=sel_Channel),OR(sel_Customer="All",F7=sel_Customer),OR(sel_Category="All",G7=sel_Category),OR(sel_Product="All",H7=sel_Product),AND(S7&gt;=m_From,S7&lt;=m_To)),1,0)</f>
        <v/>
      </c>
      <c r="W7" s="36">
        <f>IF(AND(OR(sel_Region="All",C7=sel_Region),OR(sel_Country="All",D7=sel_Country),OR(sel_Customer="All",F7=sel_Customer),OR(sel_Category="All",G7=sel_Category),OR(sel_Product="All",H7=sel_Product),AND(S7&gt;=m_From,S7&lt;=m_To)),1,0)</f>
        <v/>
      </c>
      <c r="X7" s="36">
        <f>IF(AND(OR(sel_Region="All",C7=sel_Region),OR(sel_Country="All",D7=sel_Country),OR(sel_Channel="All",E7=sel_Channel),OR(sel_Category="All",G7=sel_Category),OR(sel_Product="All",H7=sel_Product),AND(S7&gt;=m_From,S7&lt;=m_To)),1,0)</f>
        <v/>
      </c>
      <c r="Y7" s="36">
        <f>IF(AND(OR(sel_Region="All",C7=sel_Region),OR(sel_Country="All",D7=sel_Country),OR(sel_Channel="All",E7=sel_Channel),OR(sel_Customer="All",F7=sel_Customer),OR(sel_Product="All",H7=sel_Product),AND(S7&gt;=m_From,S7&lt;=m_To)),1,0)</f>
        <v/>
      </c>
      <c r="Z7" s="36">
        <f>IF(AND(OR(sel_Region="All",C7=sel_Region),OR(sel_Country="All",D7=sel_Country),OR(sel_Channel="All",E7=sel_Channel),OR(sel_Customer="All",F7=sel_Customer),OR(sel_Category="All",G7=sel_Category),AND(S7&gt;=m_From,S7&lt;=m_To)),1,0)</f>
        <v/>
      </c>
      <c r="AA7" s="36">
        <f>IF(AND(OR(sel_Region="All",C7=sel_Region),OR(sel_Country="All",D7=sel_Country),OR(sel_Channel="All",E7=sel_Channel),OR(sel_Customer="All",F7=sel_Customer),OR(sel_Category="All",G7=sel_Category),OR(sel_Product="All",H7=sel_Product)),1,0)</f>
        <v/>
      </c>
    </row>
    <row r="8">
      <c r="A8" s="36" t="inlineStr">
        <is>
          <t>02002</t>
        </is>
      </c>
      <c r="B8" s="44" t="n">
        <v>46025</v>
      </c>
      <c r="C8" s="36" t="inlineStr">
        <is>
          <t>Southern Europe</t>
        </is>
      </c>
      <c r="D8" s="36" t="inlineStr">
        <is>
          <t>Spain</t>
        </is>
      </c>
      <c r="E8" s="36" t="inlineStr">
        <is>
          <t>Corporate</t>
        </is>
      </c>
      <c r="F8" s="36" t="inlineStr">
        <is>
          <t>Business</t>
        </is>
      </c>
      <c r="G8" s="36" t="inlineStr">
        <is>
          <t>Travel</t>
        </is>
      </c>
      <c r="H8" s="36" t="inlineStr">
        <is>
          <t>Insulated Bottle</t>
        </is>
      </c>
      <c r="I8" s="36" t="n">
        <v>3</v>
      </c>
      <c r="J8" s="39" t="n">
        <v>36.53</v>
      </c>
      <c r="K8" s="45" t="n">
        <v>0.15</v>
      </c>
      <c r="L8" s="39" t="n">
        <v>13.67</v>
      </c>
      <c r="M8" s="39">
        <f>I8*J8*(1-K8)</f>
        <v/>
      </c>
      <c r="N8" s="39">
        <f>I8*L8</f>
        <v/>
      </c>
      <c r="O8" s="39">
        <f>M8-N8</f>
        <v/>
      </c>
      <c r="P8" s="38">
        <f>IF(M8=0,0,O8/M8)</f>
        <v/>
      </c>
      <c r="Q8" s="36">
        <f>YEAR(B8)</f>
        <v/>
      </c>
      <c r="R8" s="36">
        <f>"Q"&amp;ROUNDUP(MONTH(B8)/3,0)</f>
        <v/>
      </c>
      <c r="S8" s="36">
        <f>MONTH(B8)</f>
        <v/>
      </c>
      <c r="T8" s="36">
        <f>TEXT(B8,"mmm")</f>
        <v/>
      </c>
      <c r="U8" s="36">
        <f>IF(AND(OR(sel_Region="All",C8=sel_Region),OR(sel_Country="All",D8=sel_Country),OR(sel_Channel="All",E8=sel_Channel),OR(sel_Customer="All",F8=sel_Customer),OR(sel_Category="All",G8=sel_Category),OR(sel_Product="All",H8=sel_Product),AND(S8&gt;=m_From,S8&lt;=m_To)),1,0)</f>
        <v/>
      </c>
      <c r="V8" s="36">
        <f>IF(AND(OR(sel_Region="All",C8=sel_Region),OR(sel_Channel="All",E8=sel_Channel),OR(sel_Customer="All",F8=sel_Customer),OR(sel_Category="All",G8=sel_Category),OR(sel_Product="All",H8=sel_Product),AND(S8&gt;=m_From,S8&lt;=m_To)),1,0)</f>
        <v/>
      </c>
      <c r="W8" s="36">
        <f>IF(AND(OR(sel_Region="All",C8=sel_Region),OR(sel_Country="All",D8=sel_Country),OR(sel_Customer="All",F8=sel_Customer),OR(sel_Category="All",G8=sel_Category),OR(sel_Product="All",H8=sel_Product),AND(S8&gt;=m_From,S8&lt;=m_To)),1,0)</f>
        <v/>
      </c>
      <c r="X8" s="36">
        <f>IF(AND(OR(sel_Region="All",C8=sel_Region),OR(sel_Country="All",D8=sel_Country),OR(sel_Channel="All",E8=sel_Channel),OR(sel_Category="All",G8=sel_Category),OR(sel_Product="All",H8=sel_Product),AND(S8&gt;=m_From,S8&lt;=m_To)),1,0)</f>
        <v/>
      </c>
      <c r="Y8" s="36">
        <f>IF(AND(OR(sel_Region="All",C8=sel_Region),OR(sel_Country="All",D8=sel_Country),OR(sel_Channel="All",E8=sel_Channel),OR(sel_Customer="All",F8=sel_Customer),OR(sel_Product="All",H8=sel_Product),AND(S8&gt;=m_From,S8&lt;=m_To)),1,0)</f>
        <v/>
      </c>
      <c r="Z8" s="36">
        <f>IF(AND(OR(sel_Region="All",C8=sel_Region),OR(sel_Country="All",D8=sel_Country),OR(sel_Channel="All",E8=sel_Channel),OR(sel_Customer="All",F8=sel_Customer),OR(sel_Category="All",G8=sel_Category),AND(S8&gt;=m_From,S8&lt;=m_To)),1,0)</f>
        <v/>
      </c>
      <c r="AA8" s="36">
        <f>IF(AND(OR(sel_Region="All",C8=sel_Region),OR(sel_Country="All",D8=sel_Country),OR(sel_Channel="All",E8=sel_Channel),OR(sel_Customer="All",F8=sel_Customer),OR(sel_Category="All",G8=sel_Category),OR(sel_Product="All",H8=sel_Product)),1,0)</f>
        <v/>
      </c>
    </row>
    <row r="9">
      <c r="A9" s="36" t="inlineStr">
        <is>
          <t>02005</t>
        </is>
      </c>
      <c r="B9" s="44" t="n">
        <v>46025</v>
      </c>
      <c r="C9" s="36" t="inlineStr">
        <is>
          <t>Northern Europe</t>
        </is>
      </c>
      <c r="D9" s="36" t="inlineStr">
        <is>
          <t>Ireland</t>
        </is>
      </c>
      <c r="E9" s="36" t="inlineStr">
        <is>
          <t>Retail Partners</t>
        </is>
      </c>
      <c r="F9" s="36" t="inlineStr">
        <is>
          <t>New</t>
        </is>
      </c>
      <c r="G9" s="36" t="inlineStr">
        <is>
          <t>Travel</t>
        </is>
      </c>
      <c r="H9" s="36" t="inlineStr">
        <is>
          <t>Insulated Bottle</t>
        </is>
      </c>
      <c r="I9" s="36" t="n">
        <v>1</v>
      </c>
      <c r="J9" s="39" t="n">
        <v>35.34</v>
      </c>
      <c r="K9" s="45" t="n">
        <v>0</v>
      </c>
      <c r="L9" s="39" t="n">
        <v>13.37</v>
      </c>
      <c r="M9" s="39">
        <f>I9*J9*(1-K9)</f>
        <v/>
      </c>
      <c r="N9" s="39">
        <f>I9*L9</f>
        <v/>
      </c>
      <c r="O9" s="39">
        <f>M9-N9</f>
        <v/>
      </c>
      <c r="P9" s="38">
        <f>IF(M9=0,0,O9/M9)</f>
        <v/>
      </c>
      <c r="Q9" s="36">
        <f>YEAR(B9)</f>
        <v/>
      </c>
      <c r="R9" s="36">
        <f>"Q"&amp;ROUNDUP(MONTH(B9)/3,0)</f>
        <v/>
      </c>
      <c r="S9" s="36">
        <f>MONTH(B9)</f>
        <v/>
      </c>
      <c r="T9" s="36">
        <f>TEXT(B9,"mmm")</f>
        <v/>
      </c>
      <c r="U9" s="36">
        <f>IF(AND(OR(sel_Region="All",C9=sel_Region),OR(sel_Country="All",D9=sel_Country),OR(sel_Channel="All",E9=sel_Channel),OR(sel_Customer="All",F9=sel_Customer),OR(sel_Category="All",G9=sel_Category),OR(sel_Product="All",H9=sel_Product),AND(S9&gt;=m_From,S9&lt;=m_To)),1,0)</f>
        <v/>
      </c>
      <c r="V9" s="36">
        <f>IF(AND(OR(sel_Region="All",C9=sel_Region),OR(sel_Channel="All",E9=sel_Channel),OR(sel_Customer="All",F9=sel_Customer),OR(sel_Category="All",G9=sel_Category),OR(sel_Product="All",H9=sel_Product),AND(S9&gt;=m_From,S9&lt;=m_To)),1,0)</f>
        <v/>
      </c>
      <c r="W9" s="36">
        <f>IF(AND(OR(sel_Region="All",C9=sel_Region),OR(sel_Country="All",D9=sel_Country),OR(sel_Customer="All",F9=sel_Customer),OR(sel_Category="All",G9=sel_Category),OR(sel_Product="All",H9=sel_Product),AND(S9&gt;=m_From,S9&lt;=m_To)),1,0)</f>
        <v/>
      </c>
      <c r="X9" s="36">
        <f>IF(AND(OR(sel_Region="All",C9=sel_Region),OR(sel_Country="All",D9=sel_Country),OR(sel_Channel="All",E9=sel_Channel),OR(sel_Category="All",G9=sel_Category),OR(sel_Product="All",H9=sel_Product),AND(S9&gt;=m_From,S9&lt;=m_To)),1,0)</f>
        <v/>
      </c>
      <c r="Y9" s="36">
        <f>IF(AND(OR(sel_Region="All",C9=sel_Region),OR(sel_Country="All",D9=sel_Country),OR(sel_Channel="All",E9=sel_Channel),OR(sel_Customer="All",F9=sel_Customer),OR(sel_Product="All",H9=sel_Product),AND(S9&gt;=m_From,S9&lt;=m_To)),1,0)</f>
        <v/>
      </c>
      <c r="Z9" s="36">
        <f>IF(AND(OR(sel_Region="All",C9=sel_Region),OR(sel_Country="All",D9=sel_Country),OR(sel_Channel="All",E9=sel_Channel),OR(sel_Customer="All",F9=sel_Customer),OR(sel_Category="All",G9=sel_Category),AND(S9&gt;=m_From,S9&lt;=m_To)),1,0)</f>
        <v/>
      </c>
      <c r="AA9" s="36">
        <f>IF(AND(OR(sel_Region="All",C9=sel_Region),OR(sel_Country="All",D9=sel_Country),OR(sel_Channel="All",E9=sel_Channel),OR(sel_Customer="All",F9=sel_Customer),OR(sel_Category="All",G9=sel_Category),OR(sel_Product="All",H9=sel_Product)),1,0)</f>
        <v/>
      </c>
    </row>
    <row r="10">
      <c r="A10" s="36" t="inlineStr">
        <is>
          <t>02937</t>
        </is>
      </c>
      <c r="B10" s="44" t="n">
        <v>46025</v>
      </c>
      <c r="C10" s="36" t="inlineStr">
        <is>
          <t>Western Europe</t>
        </is>
      </c>
      <c r="D10" s="36" t="inlineStr">
        <is>
          <t>Belgium</t>
        </is>
      </c>
      <c r="E10" s="36" t="inlineStr">
        <is>
          <t>Corporate</t>
        </is>
      </c>
      <c r="F10" s="36" t="inlineStr">
        <is>
          <t>Returning</t>
        </is>
      </c>
      <c r="G10" s="36" t="inlineStr">
        <is>
          <t>Cycling</t>
        </is>
      </c>
      <c r="H10" s="36" t="inlineStr">
        <is>
          <t>Trail Bike Light</t>
        </is>
      </c>
      <c r="I10" s="36" t="n">
        <v>8</v>
      </c>
      <c r="J10" s="39" t="n">
        <v>49.6</v>
      </c>
      <c r="K10" s="45" t="n">
        <v>0.1</v>
      </c>
      <c r="L10" s="39" t="n">
        <v>23.05</v>
      </c>
      <c r="M10" s="39">
        <f>I10*J10*(1-K10)</f>
        <v/>
      </c>
      <c r="N10" s="39">
        <f>I10*L10</f>
        <v/>
      </c>
      <c r="O10" s="39">
        <f>M10-N10</f>
        <v/>
      </c>
      <c r="P10" s="38">
        <f>IF(M10=0,0,O10/M10)</f>
        <v/>
      </c>
      <c r="Q10" s="36">
        <f>YEAR(B10)</f>
        <v/>
      </c>
      <c r="R10" s="36">
        <f>"Q"&amp;ROUNDUP(MONTH(B10)/3,0)</f>
        <v/>
      </c>
      <c r="S10" s="36">
        <f>MONTH(B10)</f>
        <v/>
      </c>
      <c r="T10" s="36">
        <f>TEXT(B10,"mmm")</f>
        <v/>
      </c>
      <c r="U10" s="36">
        <f>IF(AND(OR(sel_Region="All",C10=sel_Region),OR(sel_Country="All",D10=sel_Country),OR(sel_Channel="All",E10=sel_Channel),OR(sel_Customer="All",F10=sel_Customer),OR(sel_Category="All",G10=sel_Category),OR(sel_Product="All",H10=sel_Product),AND(S10&gt;=m_From,S10&lt;=m_To)),1,0)</f>
        <v/>
      </c>
      <c r="V10" s="36">
        <f>IF(AND(OR(sel_Region="All",C10=sel_Region),OR(sel_Channel="All",E10=sel_Channel),OR(sel_Customer="All",F10=sel_Customer),OR(sel_Category="All",G10=sel_Category),OR(sel_Product="All",H10=sel_Product),AND(S10&gt;=m_From,S10&lt;=m_To)),1,0)</f>
        <v/>
      </c>
      <c r="W10" s="36">
        <f>IF(AND(OR(sel_Region="All",C10=sel_Region),OR(sel_Country="All",D10=sel_Country),OR(sel_Customer="All",F10=sel_Customer),OR(sel_Category="All",G10=sel_Category),OR(sel_Product="All",H10=sel_Product),AND(S10&gt;=m_From,S10&lt;=m_To)),1,0)</f>
        <v/>
      </c>
      <c r="X10" s="36">
        <f>IF(AND(OR(sel_Region="All",C10=sel_Region),OR(sel_Country="All",D10=sel_Country),OR(sel_Channel="All",E10=sel_Channel),OR(sel_Category="All",G10=sel_Category),OR(sel_Product="All",H10=sel_Product),AND(S10&gt;=m_From,S10&lt;=m_To)),1,0)</f>
        <v/>
      </c>
      <c r="Y10" s="36">
        <f>IF(AND(OR(sel_Region="All",C10=sel_Region),OR(sel_Country="All",D10=sel_Country),OR(sel_Channel="All",E10=sel_Channel),OR(sel_Customer="All",F10=sel_Customer),OR(sel_Product="All",H10=sel_Product),AND(S10&gt;=m_From,S10&lt;=m_To)),1,0)</f>
        <v/>
      </c>
      <c r="Z10" s="36">
        <f>IF(AND(OR(sel_Region="All",C10=sel_Region),OR(sel_Country="All",D10=sel_Country),OR(sel_Channel="All",E10=sel_Channel),OR(sel_Customer="All",F10=sel_Customer),OR(sel_Category="All",G10=sel_Category),AND(S10&gt;=m_From,S10&lt;=m_To)),1,0)</f>
        <v/>
      </c>
      <c r="AA10" s="36">
        <f>IF(AND(OR(sel_Region="All",C10=sel_Region),OR(sel_Country="All",D10=sel_Country),OR(sel_Channel="All",E10=sel_Channel),OR(sel_Customer="All",F10=sel_Customer),OR(sel_Category="All",G10=sel_Category),OR(sel_Product="All",H10=sel_Product)),1,0)</f>
        <v/>
      </c>
    </row>
    <row r="11">
      <c r="A11" s="36" t="inlineStr">
        <is>
          <t>03326</t>
        </is>
      </c>
      <c r="B11" s="44" t="n">
        <v>46025</v>
      </c>
      <c r="C11" s="36" t="inlineStr">
        <is>
          <t>Southern Europe</t>
        </is>
      </c>
      <c r="D11" s="36" t="inlineStr">
        <is>
          <t>Spain</t>
        </is>
      </c>
      <c r="E11" s="36" t="inlineStr">
        <is>
          <t>Retail Partners</t>
        </is>
      </c>
      <c r="F11" s="36" t="inlineStr">
        <is>
          <t>New</t>
        </is>
      </c>
      <c r="G11" s="36" t="inlineStr">
        <is>
          <t>Camping</t>
        </is>
      </c>
      <c r="H11" s="36" t="inlineStr">
        <is>
          <t>Alpine Tent 4P</t>
        </is>
      </c>
      <c r="I11" s="36" t="n">
        <v>2</v>
      </c>
      <c r="J11" s="39" t="n">
        <v>347.51</v>
      </c>
      <c r="K11" s="45" t="n">
        <v>0</v>
      </c>
      <c r="L11" s="39" t="n">
        <v>190.16</v>
      </c>
      <c r="M11" s="39">
        <f>I11*J11*(1-K11)</f>
        <v/>
      </c>
      <c r="N11" s="39">
        <f>I11*L11</f>
        <v/>
      </c>
      <c r="O11" s="39">
        <f>M11-N11</f>
        <v/>
      </c>
      <c r="P11" s="38">
        <f>IF(M11=0,0,O11/M11)</f>
        <v/>
      </c>
      <c r="Q11" s="36">
        <f>YEAR(B11)</f>
        <v/>
      </c>
      <c r="R11" s="36">
        <f>"Q"&amp;ROUNDUP(MONTH(B11)/3,0)</f>
        <v/>
      </c>
      <c r="S11" s="36">
        <f>MONTH(B11)</f>
        <v/>
      </c>
      <c r="T11" s="36">
        <f>TEXT(B11,"mmm")</f>
        <v/>
      </c>
      <c r="U11" s="36">
        <f>IF(AND(OR(sel_Region="All",C11=sel_Region),OR(sel_Country="All",D11=sel_Country),OR(sel_Channel="All",E11=sel_Channel),OR(sel_Customer="All",F11=sel_Customer),OR(sel_Category="All",G11=sel_Category),OR(sel_Product="All",H11=sel_Product),AND(S11&gt;=m_From,S11&lt;=m_To)),1,0)</f>
        <v/>
      </c>
      <c r="V11" s="36">
        <f>IF(AND(OR(sel_Region="All",C11=sel_Region),OR(sel_Channel="All",E11=sel_Channel),OR(sel_Customer="All",F11=sel_Customer),OR(sel_Category="All",G11=sel_Category),OR(sel_Product="All",H11=sel_Product),AND(S11&gt;=m_From,S11&lt;=m_To)),1,0)</f>
        <v/>
      </c>
      <c r="W11" s="36">
        <f>IF(AND(OR(sel_Region="All",C11=sel_Region),OR(sel_Country="All",D11=sel_Country),OR(sel_Customer="All",F11=sel_Customer),OR(sel_Category="All",G11=sel_Category),OR(sel_Product="All",H11=sel_Product),AND(S11&gt;=m_From,S11&lt;=m_To)),1,0)</f>
        <v/>
      </c>
      <c r="X11" s="36">
        <f>IF(AND(OR(sel_Region="All",C11=sel_Region),OR(sel_Country="All",D11=sel_Country),OR(sel_Channel="All",E11=sel_Channel),OR(sel_Category="All",G11=sel_Category),OR(sel_Product="All",H11=sel_Product),AND(S11&gt;=m_From,S11&lt;=m_To)),1,0)</f>
        <v/>
      </c>
      <c r="Y11" s="36">
        <f>IF(AND(OR(sel_Region="All",C11=sel_Region),OR(sel_Country="All",D11=sel_Country),OR(sel_Channel="All",E11=sel_Channel),OR(sel_Customer="All",F11=sel_Customer),OR(sel_Product="All",H11=sel_Product),AND(S11&gt;=m_From,S11&lt;=m_To)),1,0)</f>
        <v/>
      </c>
      <c r="Z11" s="36">
        <f>IF(AND(OR(sel_Region="All",C11=sel_Region),OR(sel_Country="All",D11=sel_Country),OR(sel_Channel="All",E11=sel_Channel),OR(sel_Customer="All",F11=sel_Customer),OR(sel_Category="All",G11=sel_Category),AND(S11&gt;=m_From,S11&lt;=m_To)),1,0)</f>
        <v/>
      </c>
      <c r="AA11" s="36">
        <f>IF(AND(OR(sel_Region="All",C11=sel_Region),OR(sel_Country="All",D11=sel_Country),OR(sel_Channel="All",E11=sel_Channel),OR(sel_Customer="All",F11=sel_Customer),OR(sel_Category="All",G11=sel_Category),OR(sel_Product="All",H11=sel_Product)),1,0)</f>
        <v/>
      </c>
    </row>
    <row r="12">
      <c r="A12" s="36" t="inlineStr">
        <is>
          <t>03863</t>
        </is>
      </c>
      <c r="B12" s="44" t="n">
        <v>46025</v>
      </c>
      <c r="C12" s="36" t="inlineStr">
        <is>
          <t>Northern Europe</t>
        </is>
      </c>
      <c r="D12" s="36" t="inlineStr">
        <is>
          <t>Denmark</t>
        </is>
      </c>
      <c r="E12" s="36" t="inlineStr">
        <is>
          <t>Corporate</t>
        </is>
      </c>
      <c r="F12" s="36" t="inlineStr">
        <is>
          <t>Returning</t>
        </is>
      </c>
      <c r="G12" s="36" t="inlineStr">
        <is>
          <t>Cycling</t>
        </is>
      </c>
      <c r="H12" s="36" t="inlineStr">
        <is>
          <t>Compact Repair Kit</t>
        </is>
      </c>
      <c r="I12" s="36" t="n">
        <v>12</v>
      </c>
      <c r="J12" s="39" t="n">
        <v>41.22</v>
      </c>
      <c r="K12" s="45" t="n">
        <v>0.1</v>
      </c>
      <c r="L12" s="39" t="n">
        <v>16.64</v>
      </c>
      <c r="M12" s="39">
        <f>I12*J12*(1-K12)</f>
        <v/>
      </c>
      <c r="N12" s="39">
        <f>I12*L12</f>
        <v/>
      </c>
      <c r="O12" s="39">
        <f>M12-N12</f>
        <v/>
      </c>
      <c r="P12" s="38">
        <f>IF(M12=0,0,O12/M12)</f>
        <v/>
      </c>
      <c r="Q12" s="36">
        <f>YEAR(B12)</f>
        <v/>
      </c>
      <c r="R12" s="36">
        <f>"Q"&amp;ROUNDUP(MONTH(B12)/3,0)</f>
        <v/>
      </c>
      <c r="S12" s="36">
        <f>MONTH(B12)</f>
        <v/>
      </c>
      <c r="T12" s="36">
        <f>TEXT(B12,"mmm")</f>
        <v/>
      </c>
      <c r="U12" s="36">
        <f>IF(AND(OR(sel_Region="All",C12=sel_Region),OR(sel_Country="All",D12=sel_Country),OR(sel_Channel="All",E12=sel_Channel),OR(sel_Customer="All",F12=sel_Customer),OR(sel_Category="All",G12=sel_Category),OR(sel_Product="All",H12=sel_Product),AND(S12&gt;=m_From,S12&lt;=m_To)),1,0)</f>
        <v/>
      </c>
      <c r="V12" s="36">
        <f>IF(AND(OR(sel_Region="All",C12=sel_Region),OR(sel_Channel="All",E12=sel_Channel),OR(sel_Customer="All",F12=sel_Customer),OR(sel_Category="All",G12=sel_Category),OR(sel_Product="All",H12=sel_Product),AND(S12&gt;=m_From,S12&lt;=m_To)),1,0)</f>
        <v/>
      </c>
      <c r="W12" s="36">
        <f>IF(AND(OR(sel_Region="All",C12=sel_Region),OR(sel_Country="All",D12=sel_Country),OR(sel_Customer="All",F12=sel_Customer),OR(sel_Category="All",G12=sel_Category),OR(sel_Product="All",H12=sel_Product),AND(S12&gt;=m_From,S12&lt;=m_To)),1,0)</f>
        <v/>
      </c>
      <c r="X12" s="36">
        <f>IF(AND(OR(sel_Region="All",C12=sel_Region),OR(sel_Country="All",D12=sel_Country),OR(sel_Channel="All",E12=sel_Channel),OR(sel_Category="All",G12=sel_Category),OR(sel_Product="All",H12=sel_Product),AND(S12&gt;=m_From,S12&lt;=m_To)),1,0)</f>
        <v/>
      </c>
      <c r="Y12" s="36">
        <f>IF(AND(OR(sel_Region="All",C12=sel_Region),OR(sel_Country="All",D12=sel_Country),OR(sel_Channel="All",E12=sel_Channel),OR(sel_Customer="All",F12=sel_Customer),OR(sel_Product="All",H12=sel_Product),AND(S12&gt;=m_From,S12&lt;=m_To)),1,0)</f>
        <v/>
      </c>
      <c r="Z12" s="36">
        <f>IF(AND(OR(sel_Region="All",C12=sel_Region),OR(sel_Country="All",D12=sel_Country),OR(sel_Channel="All",E12=sel_Channel),OR(sel_Customer="All",F12=sel_Customer),OR(sel_Category="All",G12=sel_Category),AND(S12&gt;=m_From,S12&lt;=m_To)),1,0)</f>
        <v/>
      </c>
      <c r="AA12" s="36">
        <f>IF(AND(OR(sel_Region="All",C12=sel_Region),OR(sel_Country="All",D12=sel_Country),OR(sel_Channel="All",E12=sel_Channel),OR(sel_Customer="All",F12=sel_Customer),OR(sel_Category="All",G12=sel_Category),OR(sel_Product="All",H12=sel_Product)),1,0)</f>
        <v/>
      </c>
    </row>
    <row r="13">
      <c r="A13" s="36" t="inlineStr">
        <is>
          <t>04910</t>
        </is>
      </c>
      <c r="B13" s="44" t="n">
        <v>46025</v>
      </c>
      <c r="C13" s="36" t="inlineStr">
        <is>
          <t>Northern Europe</t>
        </is>
      </c>
      <c r="D13" s="36" t="inlineStr">
        <is>
          <t>Ireland</t>
        </is>
      </c>
      <c r="E13" s="36" t="inlineStr">
        <is>
          <t>Retail Partners</t>
        </is>
      </c>
      <c r="F13" s="36" t="inlineStr">
        <is>
          <t>Business</t>
        </is>
      </c>
      <c r="G13" s="36" t="inlineStr">
        <is>
          <t>Camping</t>
        </is>
      </c>
      <c r="H13" s="36" t="inlineStr">
        <is>
          <t>Alpine Tent 4P</t>
        </is>
      </c>
      <c r="I13" s="36" t="n">
        <v>1</v>
      </c>
      <c r="J13" s="39" t="n">
        <v>332.18</v>
      </c>
      <c r="K13" s="45" t="n">
        <v>0</v>
      </c>
      <c r="L13" s="39" t="n">
        <v>195.33</v>
      </c>
      <c r="M13" s="39">
        <f>I13*J13*(1-K13)</f>
        <v/>
      </c>
      <c r="N13" s="39">
        <f>I13*L13</f>
        <v/>
      </c>
      <c r="O13" s="39">
        <f>M13-N13</f>
        <v/>
      </c>
      <c r="P13" s="38">
        <f>IF(M13=0,0,O13/M13)</f>
        <v/>
      </c>
      <c r="Q13" s="36">
        <f>YEAR(B13)</f>
        <v/>
      </c>
      <c r="R13" s="36">
        <f>"Q"&amp;ROUNDUP(MONTH(B13)/3,0)</f>
        <v/>
      </c>
      <c r="S13" s="36">
        <f>MONTH(B13)</f>
        <v/>
      </c>
      <c r="T13" s="36">
        <f>TEXT(B13,"mmm")</f>
        <v/>
      </c>
      <c r="U13" s="36">
        <f>IF(AND(OR(sel_Region="All",C13=sel_Region),OR(sel_Country="All",D13=sel_Country),OR(sel_Channel="All",E13=sel_Channel),OR(sel_Customer="All",F13=sel_Customer),OR(sel_Category="All",G13=sel_Category),OR(sel_Product="All",H13=sel_Product),AND(S13&gt;=m_From,S13&lt;=m_To)),1,0)</f>
        <v/>
      </c>
      <c r="V13" s="36">
        <f>IF(AND(OR(sel_Region="All",C13=sel_Region),OR(sel_Channel="All",E13=sel_Channel),OR(sel_Customer="All",F13=sel_Customer),OR(sel_Category="All",G13=sel_Category),OR(sel_Product="All",H13=sel_Product),AND(S13&gt;=m_From,S13&lt;=m_To)),1,0)</f>
        <v/>
      </c>
      <c r="W13" s="36">
        <f>IF(AND(OR(sel_Region="All",C13=sel_Region),OR(sel_Country="All",D13=sel_Country),OR(sel_Customer="All",F13=sel_Customer),OR(sel_Category="All",G13=sel_Category),OR(sel_Product="All",H13=sel_Product),AND(S13&gt;=m_From,S13&lt;=m_To)),1,0)</f>
        <v/>
      </c>
      <c r="X13" s="36">
        <f>IF(AND(OR(sel_Region="All",C13=sel_Region),OR(sel_Country="All",D13=sel_Country),OR(sel_Channel="All",E13=sel_Channel),OR(sel_Category="All",G13=sel_Category),OR(sel_Product="All",H13=sel_Product),AND(S13&gt;=m_From,S13&lt;=m_To)),1,0)</f>
        <v/>
      </c>
      <c r="Y13" s="36">
        <f>IF(AND(OR(sel_Region="All",C13=sel_Region),OR(sel_Country="All",D13=sel_Country),OR(sel_Channel="All",E13=sel_Channel),OR(sel_Customer="All",F13=sel_Customer),OR(sel_Product="All",H13=sel_Product),AND(S13&gt;=m_From,S13&lt;=m_To)),1,0)</f>
        <v/>
      </c>
      <c r="Z13" s="36">
        <f>IF(AND(OR(sel_Region="All",C13=sel_Region),OR(sel_Country="All",D13=sel_Country),OR(sel_Channel="All",E13=sel_Channel),OR(sel_Customer="All",F13=sel_Customer),OR(sel_Category="All",G13=sel_Category),AND(S13&gt;=m_From,S13&lt;=m_To)),1,0)</f>
        <v/>
      </c>
      <c r="AA13" s="36">
        <f>IF(AND(OR(sel_Region="All",C13=sel_Region),OR(sel_Country="All",D13=sel_Country),OR(sel_Channel="All",E13=sel_Channel),OR(sel_Customer="All",F13=sel_Customer),OR(sel_Category="All",G13=sel_Category),OR(sel_Product="All",H13=sel_Product)),1,0)</f>
        <v/>
      </c>
    </row>
    <row r="14">
      <c r="A14" s="36" t="inlineStr">
        <is>
          <t>05188</t>
        </is>
      </c>
      <c r="B14" s="44" t="n">
        <v>46025</v>
      </c>
      <c r="C14" s="36" t="inlineStr">
        <is>
          <t>Central Europe</t>
        </is>
      </c>
      <c r="D14" s="36" t="inlineStr">
        <is>
          <t>Austria</t>
        </is>
      </c>
      <c r="E14" s="36" t="inlineStr">
        <is>
          <t>Marketplace</t>
        </is>
      </c>
      <c r="F14" s="36" t="inlineStr">
        <is>
          <t>Returning</t>
        </is>
      </c>
      <c r="G14" s="36" t="inlineStr">
        <is>
          <t>Cycling</t>
        </is>
      </c>
      <c r="H14" s="36" t="inlineStr">
        <is>
          <t>Trail Bike Light</t>
        </is>
      </c>
      <c r="I14" s="36" t="n">
        <v>1</v>
      </c>
      <c r="J14" s="39" t="n">
        <v>49.71</v>
      </c>
      <c r="K14" s="45" t="n">
        <v>0</v>
      </c>
      <c r="L14" s="39" t="n">
        <v>23.15</v>
      </c>
      <c r="M14" s="39">
        <f>I14*J14*(1-K14)</f>
        <v/>
      </c>
      <c r="N14" s="39">
        <f>I14*L14</f>
        <v/>
      </c>
      <c r="O14" s="39">
        <f>M14-N14</f>
        <v/>
      </c>
      <c r="P14" s="38">
        <f>IF(M14=0,0,O14/M14)</f>
        <v/>
      </c>
      <c r="Q14" s="36">
        <f>YEAR(B14)</f>
        <v/>
      </c>
      <c r="R14" s="36">
        <f>"Q"&amp;ROUNDUP(MONTH(B14)/3,0)</f>
        <v/>
      </c>
      <c r="S14" s="36">
        <f>MONTH(B14)</f>
        <v/>
      </c>
      <c r="T14" s="36">
        <f>TEXT(B14,"mmm")</f>
        <v/>
      </c>
      <c r="U14" s="36">
        <f>IF(AND(OR(sel_Region="All",C14=sel_Region),OR(sel_Country="All",D14=sel_Country),OR(sel_Channel="All",E14=sel_Channel),OR(sel_Customer="All",F14=sel_Customer),OR(sel_Category="All",G14=sel_Category),OR(sel_Product="All",H14=sel_Product),AND(S14&gt;=m_From,S14&lt;=m_To)),1,0)</f>
        <v/>
      </c>
      <c r="V14" s="36">
        <f>IF(AND(OR(sel_Region="All",C14=sel_Region),OR(sel_Channel="All",E14=sel_Channel),OR(sel_Customer="All",F14=sel_Customer),OR(sel_Category="All",G14=sel_Category),OR(sel_Product="All",H14=sel_Product),AND(S14&gt;=m_From,S14&lt;=m_To)),1,0)</f>
        <v/>
      </c>
      <c r="W14" s="36">
        <f>IF(AND(OR(sel_Region="All",C14=sel_Region),OR(sel_Country="All",D14=sel_Country),OR(sel_Customer="All",F14=sel_Customer),OR(sel_Category="All",G14=sel_Category),OR(sel_Product="All",H14=sel_Product),AND(S14&gt;=m_From,S14&lt;=m_To)),1,0)</f>
        <v/>
      </c>
      <c r="X14" s="36">
        <f>IF(AND(OR(sel_Region="All",C14=sel_Region),OR(sel_Country="All",D14=sel_Country),OR(sel_Channel="All",E14=sel_Channel),OR(sel_Category="All",G14=sel_Category),OR(sel_Product="All",H14=sel_Product),AND(S14&gt;=m_From,S14&lt;=m_To)),1,0)</f>
        <v/>
      </c>
      <c r="Y14" s="36">
        <f>IF(AND(OR(sel_Region="All",C14=sel_Region),OR(sel_Country="All",D14=sel_Country),OR(sel_Channel="All",E14=sel_Channel),OR(sel_Customer="All",F14=sel_Customer),OR(sel_Product="All",H14=sel_Product),AND(S14&gt;=m_From,S14&lt;=m_To)),1,0)</f>
        <v/>
      </c>
      <c r="Z14" s="36">
        <f>IF(AND(OR(sel_Region="All",C14=sel_Region),OR(sel_Country="All",D14=sel_Country),OR(sel_Channel="All",E14=sel_Channel),OR(sel_Customer="All",F14=sel_Customer),OR(sel_Category="All",G14=sel_Category),AND(S14&gt;=m_From,S14&lt;=m_To)),1,0)</f>
        <v/>
      </c>
      <c r="AA14" s="36">
        <f>IF(AND(OR(sel_Region="All",C14=sel_Region),OR(sel_Country="All",D14=sel_Country),OR(sel_Channel="All",E14=sel_Channel),OR(sel_Customer="All",F14=sel_Customer),OR(sel_Category="All",G14=sel_Category),OR(sel_Product="All",H14=sel_Product)),1,0)</f>
        <v/>
      </c>
    </row>
    <row r="15">
      <c r="A15" s="36" t="inlineStr">
        <is>
          <t>00845</t>
        </is>
      </c>
      <c r="B15" s="44" t="n">
        <v>46026</v>
      </c>
      <c r="C15" s="36" t="inlineStr">
        <is>
          <t>Northern Europe</t>
        </is>
      </c>
      <c r="D15" s="36" t="inlineStr">
        <is>
          <t>Ireland</t>
        </is>
      </c>
      <c r="E15" s="36" t="inlineStr">
        <is>
          <t>Online Store</t>
        </is>
      </c>
      <c r="F15" s="36" t="inlineStr">
        <is>
          <t>New</t>
        </is>
      </c>
      <c r="G15" s="36" t="inlineStr">
        <is>
          <t>Camping</t>
        </is>
      </c>
      <c r="H15" s="36" t="inlineStr">
        <is>
          <t>Trail Tent 2P</t>
        </is>
      </c>
      <c r="I15" s="36" t="n">
        <v>2</v>
      </c>
      <c r="J15" s="39" t="n">
        <v>194.35</v>
      </c>
      <c r="K15" s="45" t="n">
        <v>0</v>
      </c>
      <c r="L15" s="39" t="n">
        <v>104.22</v>
      </c>
      <c r="M15" s="39">
        <f>I15*J15*(1-K15)</f>
        <v/>
      </c>
      <c r="N15" s="39">
        <f>I15*L15</f>
        <v/>
      </c>
      <c r="O15" s="39">
        <f>M15-N15</f>
        <v/>
      </c>
      <c r="P15" s="38">
        <f>IF(M15=0,0,O15/M15)</f>
        <v/>
      </c>
      <c r="Q15" s="36">
        <f>YEAR(B15)</f>
        <v/>
      </c>
      <c r="R15" s="36">
        <f>"Q"&amp;ROUNDUP(MONTH(B15)/3,0)</f>
        <v/>
      </c>
      <c r="S15" s="36">
        <f>MONTH(B15)</f>
        <v/>
      </c>
      <c r="T15" s="36">
        <f>TEXT(B15,"mmm")</f>
        <v/>
      </c>
      <c r="U15" s="36">
        <f>IF(AND(OR(sel_Region="All",C15=sel_Region),OR(sel_Country="All",D15=sel_Country),OR(sel_Channel="All",E15=sel_Channel),OR(sel_Customer="All",F15=sel_Customer),OR(sel_Category="All",G15=sel_Category),OR(sel_Product="All",H15=sel_Product),AND(S15&gt;=m_From,S15&lt;=m_To)),1,0)</f>
        <v/>
      </c>
      <c r="V15" s="36">
        <f>IF(AND(OR(sel_Region="All",C15=sel_Region),OR(sel_Channel="All",E15=sel_Channel),OR(sel_Customer="All",F15=sel_Customer),OR(sel_Category="All",G15=sel_Category),OR(sel_Product="All",H15=sel_Product),AND(S15&gt;=m_From,S15&lt;=m_To)),1,0)</f>
        <v/>
      </c>
      <c r="W15" s="36">
        <f>IF(AND(OR(sel_Region="All",C15=sel_Region),OR(sel_Country="All",D15=sel_Country),OR(sel_Customer="All",F15=sel_Customer),OR(sel_Category="All",G15=sel_Category),OR(sel_Product="All",H15=sel_Product),AND(S15&gt;=m_From,S15&lt;=m_To)),1,0)</f>
        <v/>
      </c>
      <c r="X15" s="36">
        <f>IF(AND(OR(sel_Region="All",C15=sel_Region),OR(sel_Country="All",D15=sel_Country),OR(sel_Channel="All",E15=sel_Channel),OR(sel_Category="All",G15=sel_Category),OR(sel_Product="All",H15=sel_Product),AND(S15&gt;=m_From,S15&lt;=m_To)),1,0)</f>
        <v/>
      </c>
      <c r="Y15" s="36">
        <f>IF(AND(OR(sel_Region="All",C15=sel_Region),OR(sel_Country="All",D15=sel_Country),OR(sel_Channel="All",E15=sel_Channel),OR(sel_Customer="All",F15=sel_Customer),OR(sel_Product="All",H15=sel_Product),AND(S15&gt;=m_From,S15&lt;=m_To)),1,0)</f>
        <v/>
      </c>
      <c r="Z15" s="36">
        <f>IF(AND(OR(sel_Region="All",C15=sel_Region),OR(sel_Country="All",D15=sel_Country),OR(sel_Channel="All",E15=sel_Channel),OR(sel_Customer="All",F15=sel_Customer),OR(sel_Category="All",G15=sel_Category),AND(S15&gt;=m_From,S15&lt;=m_To)),1,0)</f>
        <v/>
      </c>
      <c r="AA15" s="36">
        <f>IF(AND(OR(sel_Region="All",C15=sel_Region),OR(sel_Country="All",D15=sel_Country),OR(sel_Channel="All",E15=sel_Channel),OR(sel_Customer="All",F15=sel_Customer),OR(sel_Category="All",G15=sel_Category),OR(sel_Product="All",H15=sel_Product)),1,0)</f>
        <v/>
      </c>
    </row>
    <row r="16">
      <c r="A16" s="36" t="inlineStr">
        <is>
          <t>01077</t>
        </is>
      </c>
      <c r="B16" s="44" t="n">
        <v>46026</v>
      </c>
      <c r="C16" s="36" t="inlineStr">
        <is>
          <t>Central Europe</t>
        </is>
      </c>
      <c r="D16" s="36" t="inlineStr">
        <is>
          <t>Austria</t>
        </is>
      </c>
      <c r="E16" s="36" t="inlineStr">
        <is>
          <t>Online Store</t>
        </is>
      </c>
      <c r="F16" s="36" t="inlineStr">
        <is>
          <t>New</t>
        </is>
      </c>
      <c r="G16" s="36" t="inlineStr">
        <is>
          <t>Cycling</t>
        </is>
      </c>
      <c r="H16" s="36" t="inlineStr">
        <is>
          <t>Cycling Pack 12L</t>
        </is>
      </c>
      <c r="I16" s="36" t="n">
        <v>3</v>
      </c>
      <c r="J16" s="39" t="n">
        <v>102.12</v>
      </c>
      <c r="K16" s="45" t="n">
        <v>0.1</v>
      </c>
      <c r="L16" s="39" t="n">
        <v>51.28</v>
      </c>
      <c r="M16" s="39">
        <f>I16*J16*(1-K16)</f>
        <v/>
      </c>
      <c r="N16" s="39">
        <f>I16*L16</f>
        <v/>
      </c>
      <c r="O16" s="39">
        <f>M16-N16</f>
        <v/>
      </c>
      <c r="P16" s="38">
        <f>IF(M16=0,0,O16/M16)</f>
        <v/>
      </c>
      <c r="Q16" s="36">
        <f>YEAR(B16)</f>
        <v/>
      </c>
      <c r="R16" s="36">
        <f>"Q"&amp;ROUNDUP(MONTH(B16)/3,0)</f>
        <v/>
      </c>
      <c r="S16" s="36">
        <f>MONTH(B16)</f>
        <v/>
      </c>
      <c r="T16" s="36">
        <f>TEXT(B16,"mmm")</f>
        <v/>
      </c>
      <c r="U16" s="36">
        <f>IF(AND(OR(sel_Region="All",C16=sel_Region),OR(sel_Country="All",D16=sel_Country),OR(sel_Channel="All",E16=sel_Channel),OR(sel_Customer="All",F16=sel_Customer),OR(sel_Category="All",G16=sel_Category),OR(sel_Product="All",H16=sel_Product),AND(S16&gt;=m_From,S16&lt;=m_To)),1,0)</f>
        <v/>
      </c>
      <c r="V16" s="36">
        <f>IF(AND(OR(sel_Region="All",C16=sel_Region),OR(sel_Channel="All",E16=sel_Channel),OR(sel_Customer="All",F16=sel_Customer),OR(sel_Category="All",G16=sel_Category),OR(sel_Product="All",H16=sel_Product),AND(S16&gt;=m_From,S16&lt;=m_To)),1,0)</f>
        <v/>
      </c>
      <c r="W16" s="36">
        <f>IF(AND(OR(sel_Region="All",C16=sel_Region),OR(sel_Country="All",D16=sel_Country),OR(sel_Customer="All",F16=sel_Customer),OR(sel_Category="All",G16=sel_Category),OR(sel_Product="All",H16=sel_Product),AND(S16&gt;=m_From,S16&lt;=m_To)),1,0)</f>
        <v/>
      </c>
      <c r="X16" s="36">
        <f>IF(AND(OR(sel_Region="All",C16=sel_Region),OR(sel_Country="All",D16=sel_Country),OR(sel_Channel="All",E16=sel_Channel),OR(sel_Category="All",G16=sel_Category),OR(sel_Product="All",H16=sel_Product),AND(S16&gt;=m_From,S16&lt;=m_To)),1,0)</f>
        <v/>
      </c>
      <c r="Y16" s="36">
        <f>IF(AND(OR(sel_Region="All",C16=sel_Region),OR(sel_Country="All",D16=sel_Country),OR(sel_Channel="All",E16=sel_Channel),OR(sel_Customer="All",F16=sel_Customer),OR(sel_Product="All",H16=sel_Product),AND(S16&gt;=m_From,S16&lt;=m_To)),1,0)</f>
        <v/>
      </c>
      <c r="Z16" s="36">
        <f>IF(AND(OR(sel_Region="All",C16=sel_Region),OR(sel_Country="All",D16=sel_Country),OR(sel_Channel="All",E16=sel_Channel),OR(sel_Customer="All",F16=sel_Customer),OR(sel_Category="All",G16=sel_Category),AND(S16&gt;=m_From,S16&lt;=m_To)),1,0)</f>
        <v/>
      </c>
      <c r="AA16" s="36">
        <f>IF(AND(OR(sel_Region="All",C16=sel_Region),OR(sel_Country="All",D16=sel_Country),OR(sel_Channel="All",E16=sel_Channel),OR(sel_Customer="All",F16=sel_Customer),OR(sel_Category="All",G16=sel_Category),OR(sel_Product="All",H16=sel_Product)),1,0)</f>
        <v/>
      </c>
    </row>
    <row r="17">
      <c r="A17" s="36" t="inlineStr">
        <is>
          <t>01237</t>
        </is>
      </c>
      <c r="B17" s="44" t="n">
        <v>46026</v>
      </c>
      <c r="C17" s="36" t="inlineStr">
        <is>
          <t>Western Europe</t>
        </is>
      </c>
      <c r="D17" s="36" t="inlineStr">
        <is>
          <t>Netherlands</t>
        </is>
      </c>
      <c r="E17" s="36" t="inlineStr">
        <is>
          <t>Retail Partners</t>
        </is>
      </c>
      <c r="F17" s="36" t="inlineStr">
        <is>
          <t>Business</t>
        </is>
      </c>
      <c r="G17" s="36" t="inlineStr">
        <is>
          <t>Travel</t>
        </is>
      </c>
      <c r="H17" s="36" t="inlineStr">
        <is>
          <t>Packing Cube Set</t>
        </is>
      </c>
      <c r="I17" s="36" t="n">
        <v>1</v>
      </c>
      <c r="J17" s="39" t="n">
        <v>46.99</v>
      </c>
      <c r="K17" s="45" t="n">
        <v>0.05</v>
      </c>
      <c r="L17" s="39" t="n">
        <v>18.11</v>
      </c>
      <c r="M17" s="39">
        <f>I17*J17*(1-K17)</f>
        <v/>
      </c>
      <c r="N17" s="39">
        <f>I17*L17</f>
        <v/>
      </c>
      <c r="O17" s="39">
        <f>M17-N17</f>
        <v/>
      </c>
      <c r="P17" s="38">
        <f>IF(M17=0,0,O17/M17)</f>
        <v/>
      </c>
      <c r="Q17" s="36">
        <f>YEAR(B17)</f>
        <v/>
      </c>
      <c r="R17" s="36">
        <f>"Q"&amp;ROUNDUP(MONTH(B17)/3,0)</f>
        <v/>
      </c>
      <c r="S17" s="36">
        <f>MONTH(B17)</f>
        <v/>
      </c>
      <c r="T17" s="36">
        <f>TEXT(B17,"mmm")</f>
        <v/>
      </c>
      <c r="U17" s="36">
        <f>IF(AND(OR(sel_Region="All",C17=sel_Region),OR(sel_Country="All",D17=sel_Country),OR(sel_Channel="All",E17=sel_Channel),OR(sel_Customer="All",F17=sel_Customer),OR(sel_Category="All",G17=sel_Category),OR(sel_Product="All",H17=sel_Product),AND(S17&gt;=m_From,S17&lt;=m_To)),1,0)</f>
        <v/>
      </c>
      <c r="V17" s="36">
        <f>IF(AND(OR(sel_Region="All",C17=sel_Region),OR(sel_Channel="All",E17=sel_Channel),OR(sel_Customer="All",F17=sel_Customer),OR(sel_Category="All",G17=sel_Category),OR(sel_Product="All",H17=sel_Product),AND(S17&gt;=m_From,S17&lt;=m_To)),1,0)</f>
        <v/>
      </c>
      <c r="W17" s="36">
        <f>IF(AND(OR(sel_Region="All",C17=sel_Region),OR(sel_Country="All",D17=sel_Country),OR(sel_Customer="All",F17=sel_Customer),OR(sel_Category="All",G17=sel_Category),OR(sel_Product="All",H17=sel_Product),AND(S17&gt;=m_From,S17&lt;=m_To)),1,0)</f>
        <v/>
      </c>
      <c r="X17" s="36">
        <f>IF(AND(OR(sel_Region="All",C17=sel_Region),OR(sel_Country="All",D17=sel_Country),OR(sel_Channel="All",E17=sel_Channel),OR(sel_Category="All",G17=sel_Category),OR(sel_Product="All",H17=sel_Product),AND(S17&gt;=m_From,S17&lt;=m_To)),1,0)</f>
        <v/>
      </c>
      <c r="Y17" s="36">
        <f>IF(AND(OR(sel_Region="All",C17=sel_Region),OR(sel_Country="All",D17=sel_Country),OR(sel_Channel="All",E17=sel_Channel),OR(sel_Customer="All",F17=sel_Customer),OR(sel_Product="All",H17=sel_Product),AND(S17&gt;=m_From,S17&lt;=m_To)),1,0)</f>
        <v/>
      </c>
      <c r="Z17" s="36">
        <f>IF(AND(OR(sel_Region="All",C17=sel_Region),OR(sel_Country="All",D17=sel_Country),OR(sel_Channel="All",E17=sel_Channel),OR(sel_Customer="All",F17=sel_Customer),OR(sel_Category="All",G17=sel_Category),AND(S17&gt;=m_From,S17&lt;=m_To)),1,0)</f>
        <v/>
      </c>
      <c r="AA17" s="36">
        <f>IF(AND(OR(sel_Region="All",C17=sel_Region),OR(sel_Country="All",D17=sel_Country),OR(sel_Channel="All",E17=sel_Channel),OR(sel_Customer="All",F17=sel_Customer),OR(sel_Category="All",G17=sel_Category),OR(sel_Product="All",H17=sel_Product)),1,0)</f>
        <v/>
      </c>
    </row>
    <row r="18">
      <c r="A18" s="36" t="inlineStr">
        <is>
          <t>01908</t>
        </is>
      </c>
      <c r="B18" s="44" t="n">
        <v>46026</v>
      </c>
      <c r="C18" s="36" t="inlineStr">
        <is>
          <t>Western Europe</t>
        </is>
      </c>
      <c r="D18" s="36" t="inlineStr">
        <is>
          <t>United Kingdom</t>
        </is>
      </c>
      <c r="E18" s="36" t="inlineStr">
        <is>
          <t>Online Store</t>
        </is>
      </c>
      <c r="F18" s="36" t="inlineStr">
        <is>
          <t>New</t>
        </is>
      </c>
      <c r="G18" s="36" t="inlineStr">
        <is>
          <t>Fitness</t>
        </is>
      </c>
      <c r="H18" s="36" t="inlineStr">
        <is>
          <t>Resistance Band Set</t>
        </is>
      </c>
      <c r="I18" s="36" t="n">
        <v>1</v>
      </c>
      <c r="J18" s="39" t="n">
        <v>40</v>
      </c>
      <c r="K18" s="45" t="n">
        <v>0</v>
      </c>
      <c r="L18" s="39" t="n">
        <v>15.04</v>
      </c>
      <c r="M18" s="39">
        <f>I18*J18*(1-K18)</f>
        <v/>
      </c>
      <c r="N18" s="39">
        <f>I18*L18</f>
        <v/>
      </c>
      <c r="O18" s="39">
        <f>M18-N18</f>
        <v/>
      </c>
      <c r="P18" s="38">
        <f>IF(M18=0,0,O18/M18)</f>
        <v/>
      </c>
      <c r="Q18" s="36">
        <f>YEAR(B18)</f>
        <v/>
      </c>
      <c r="R18" s="36">
        <f>"Q"&amp;ROUNDUP(MONTH(B18)/3,0)</f>
        <v/>
      </c>
      <c r="S18" s="36">
        <f>MONTH(B18)</f>
        <v/>
      </c>
      <c r="T18" s="36">
        <f>TEXT(B18,"mmm")</f>
        <v/>
      </c>
      <c r="U18" s="36">
        <f>IF(AND(OR(sel_Region="All",C18=sel_Region),OR(sel_Country="All",D18=sel_Country),OR(sel_Channel="All",E18=sel_Channel),OR(sel_Customer="All",F18=sel_Customer),OR(sel_Category="All",G18=sel_Category),OR(sel_Product="All",H18=sel_Product),AND(S18&gt;=m_From,S18&lt;=m_To)),1,0)</f>
        <v/>
      </c>
      <c r="V18" s="36">
        <f>IF(AND(OR(sel_Region="All",C18=sel_Region),OR(sel_Channel="All",E18=sel_Channel),OR(sel_Customer="All",F18=sel_Customer),OR(sel_Category="All",G18=sel_Category),OR(sel_Product="All",H18=sel_Product),AND(S18&gt;=m_From,S18&lt;=m_To)),1,0)</f>
        <v/>
      </c>
      <c r="W18" s="36">
        <f>IF(AND(OR(sel_Region="All",C18=sel_Region),OR(sel_Country="All",D18=sel_Country),OR(sel_Customer="All",F18=sel_Customer),OR(sel_Category="All",G18=sel_Category),OR(sel_Product="All",H18=sel_Product),AND(S18&gt;=m_From,S18&lt;=m_To)),1,0)</f>
        <v/>
      </c>
      <c r="X18" s="36">
        <f>IF(AND(OR(sel_Region="All",C18=sel_Region),OR(sel_Country="All",D18=sel_Country),OR(sel_Channel="All",E18=sel_Channel),OR(sel_Category="All",G18=sel_Category),OR(sel_Product="All",H18=sel_Product),AND(S18&gt;=m_From,S18&lt;=m_To)),1,0)</f>
        <v/>
      </c>
      <c r="Y18" s="36">
        <f>IF(AND(OR(sel_Region="All",C18=sel_Region),OR(sel_Country="All",D18=sel_Country),OR(sel_Channel="All",E18=sel_Channel),OR(sel_Customer="All",F18=sel_Customer),OR(sel_Product="All",H18=sel_Product),AND(S18&gt;=m_From,S18&lt;=m_To)),1,0)</f>
        <v/>
      </c>
      <c r="Z18" s="36">
        <f>IF(AND(OR(sel_Region="All",C18=sel_Region),OR(sel_Country="All",D18=sel_Country),OR(sel_Channel="All",E18=sel_Channel),OR(sel_Customer="All",F18=sel_Customer),OR(sel_Category="All",G18=sel_Category),AND(S18&gt;=m_From,S18&lt;=m_To)),1,0)</f>
        <v/>
      </c>
      <c r="AA18" s="36">
        <f>IF(AND(OR(sel_Region="All",C18=sel_Region),OR(sel_Country="All",D18=sel_Country),OR(sel_Channel="All",E18=sel_Channel),OR(sel_Customer="All",F18=sel_Customer),OR(sel_Category="All",G18=sel_Category),OR(sel_Product="All",H18=sel_Product)),1,0)</f>
        <v/>
      </c>
    </row>
    <row r="19">
      <c r="A19" s="36" t="inlineStr">
        <is>
          <t>02245</t>
        </is>
      </c>
      <c r="B19" s="44" t="n">
        <v>46026</v>
      </c>
      <c r="C19" s="36" t="inlineStr">
        <is>
          <t>Southern Europe</t>
        </is>
      </c>
      <c r="D19" s="36" t="inlineStr">
        <is>
          <t>Portugal</t>
        </is>
      </c>
      <c r="E19" s="36" t="inlineStr">
        <is>
          <t>Online Store</t>
        </is>
      </c>
      <c r="F19" s="36" t="inlineStr">
        <is>
          <t>New</t>
        </is>
      </c>
      <c r="G19" s="36" t="inlineStr">
        <is>
          <t>Hiking</t>
        </is>
      </c>
      <c r="H19" s="36" t="inlineStr">
        <is>
          <t>Summit Backpack 45L</t>
        </is>
      </c>
      <c r="I19" s="36" t="n">
        <v>1</v>
      </c>
      <c r="J19" s="39" t="n">
        <v>153.39</v>
      </c>
      <c r="K19" s="45" t="n">
        <v>0</v>
      </c>
      <c r="L19" s="39" t="n">
        <v>78.59</v>
      </c>
      <c r="M19" s="39">
        <f>I19*J19*(1-K19)</f>
        <v/>
      </c>
      <c r="N19" s="39">
        <f>I19*L19</f>
        <v/>
      </c>
      <c r="O19" s="39">
        <f>M19-N19</f>
        <v/>
      </c>
      <c r="P19" s="38">
        <f>IF(M19=0,0,O19/M19)</f>
        <v/>
      </c>
      <c r="Q19" s="36">
        <f>YEAR(B19)</f>
        <v/>
      </c>
      <c r="R19" s="36">
        <f>"Q"&amp;ROUNDUP(MONTH(B19)/3,0)</f>
        <v/>
      </c>
      <c r="S19" s="36">
        <f>MONTH(B19)</f>
        <v/>
      </c>
      <c r="T19" s="36">
        <f>TEXT(B19,"mmm")</f>
        <v/>
      </c>
      <c r="U19" s="36">
        <f>IF(AND(OR(sel_Region="All",C19=sel_Region),OR(sel_Country="All",D19=sel_Country),OR(sel_Channel="All",E19=sel_Channel),OR(sel_Customer="All",F19=sel_Customer),OR(sel_Category="All",G19=sel_Category),OR(sel_Product="All",H19=sel_Product),AND(S19&gt;=m_From,S19&lt;=m_To)),1,0)</f>
        <v/>
      </c>
      <c r="V19" s="36">
        <f>IF(AND(OR(sel_Region="All",C19=sel_Region),OR(sel_Channel="All",E19=sel_Channel),OR(sel_Customer="All",F19=sel_Customer),OR(sel_Category="All",G19=sel_Category),OR(sel_Product="All",H19=sel_Product),AND(S19&gt;=m_From,S19&lt;=m_To)),1,0)</f>
        <v/>
      </c>
      <c r="W19" s="36">
        <f>IF(AND(OR(sel_Region="All",C19=sel_Region),OR(sel_Country="All",D19=sel_Country),OR(sel_Customer="All",F19=sel_Customer),OR(sel_Category="All",G19=sel_Category),OR(sel_Product="All",H19=sel_Product),AND(S19&gt;=m_From,S19&lt;=m_To)),1,0)</f>
        <v/>
      </c>
      <c r="X19" s="36">
        <f>IF(AND(OR(sel_Region="All",C19=sel_Region),OR(sel_Country="All",D19=sel_Country),OR(sel_Channel="All",E19=sel_Channel),OR(sel_Category="All",G19=sel_Category),OR(sel_Product="All",H19=sel_Product),AND(S19&gt;=m_From,S19&lt;=m_To)),1,0)</f>
        <v/>
      </c>
      <c r="Y19" s="36">
        <f>IF(AND(OR(sel_Region="All",C19=sel_Region),OR(sel_Country="All",D19=sel_Country),OR(sel_Channel="All",E19=sel_Channel),OR(sel_Customer="All",F19=sel_Customer),OR(sel_Product="All",H19=sel_Product),AND(S19&gt;=m_From,S19&lt;=m_To)),1,0)</f>
        <v/>
      </c>
      <c r="Z19" s="36">
        <f>IF(AND(OR(sel_Region="All",C19=sel_Region),OR(sel_Country="All",D19=sel_Country),OR(sel_Channel="All",E19=sel_Channel),OR(sel_Customer="All",F19=sel_Customer),OR(sel_Category="All",G19=sel_Category),AND(S19&gt;=m_From,S19&lt;=m_To)),1,0)</f>
        <v/>
      </c>
      <c r="AA19" s="36">
        <f>IF(AND(OR(sel_Region="All",C19=sel_Region),OR(sel_Country="All",D19=sel_Country),OR(sel_Channel="All",E19=sel_Channel),OR(sel_Customer="All",F19=sel_Customer),OR(sel_Category="All",G19=sel_Category),OR(sel_Product="All",H19=sel_Product)),1,0)</f>
        <v/>
      </c>
    </row>
    <row r="20">
      <c r="A20" s="36" t="inlineStr">
        <is>
          <t>02928</t>
        </is>
      </c>
      <c r="B20" s="44" t="n">
        <v>46026</v>
      </c>
      <c r="C20" s="36" t="inlineStr">
        <is>
          <t>Central Europe</t>
        </is>
      </c>
      <c r="D20" s="36" t="inlineStr">
        <is>
          <t>Austria</t>
        </is>
      </c>
      <c r="E20" s="36" t="inlineStr">
        <is>
          <t>Online Store</t>
        </is>
      </c>
      <c r="F20" s="36" t="inlineStr">
        <is>
          <t>Returning</t>
        </is>
      </c>
      <c r="G20" s="36" t="inlineStr">
        <is>
          <t>Fitness</t>
        </is>
      </c>
      <c r="H20" s="36" t="inlineStr">
        <is>
          <t>Weighted Vest</t>
        </is>
      </c>
      <c r="I20" s="36" t="n">
        <v>2</v>
      </c>
      <c r="J20" s="39" t="n">
        <v>124.97</v>
      </c>
      <c r="K20" s="45" t="n">
        <v>0.1</v>
      </c>
      <c r="L20" s="39" t="n">
        <v>67.36</v>
      </c>
      <c r="M20" s="39">
        <f>I20*J20*(1-K20)</f>
        <v/>
      </c>
      <c r="N20" s="39">
        <f>I20*L20</f>
        <v/>
      </c>
      <c r="O20" s="39">
        <f>M20-N20</f>
        <v/>
      </c>
      <c r="P20" s="38">
        <f>IF(M20=0,0,O20/M20)</f>
        <v/>
      </c>
      <c r="Q20" s="36">
        <f>YEAR(B20)</f>
        <v/>
      </c>
      <c r="R20" s="36">
        <f>"Q"&amp;ROUNDUP(MONTH(B20)/3,0)</f>
        <v/>
      </c>
      <c r="S20" s="36">
        <f>MONTH(B20)</f>
        <v/>
      </c>
      <c r="T20" s="36">
        <f>TEXT(B20,"mmm")</f>
        <v/>
      </c>
      <c r="U20" s="36">
        <f>IF(AND(OR(sel_Region="All",C20=sel_Region),OR(sel_Country="All",D20=sel_Country),OR(sel_Channel="All",E20=sel_Channel),OR(sel_Customer="All",F20=sel_Customer),OR(sel_Category="All",G20=sel_Category),OR(sel_Product="All",H20=sel_Product),AND(S20&gt;=m_From,S20&lt;=m_To)),1,0)</f>
        <v/>
      </c>
      <c r="V20" s="36">
        <f>IF(AND(OR(sel_Region="All",C20=sel_Region),OR(sel_Channel="All",E20=sel_Channel),OR(sel_Customer="All",F20=sel_Customer),OR(sel_Category="All",G20=sel_Category),OR(sel_Product="All",H20=sel_Product),AND(S20&gt;=m_From,S20&lt;=m_To)),1,0)</f>
        <v/>
      </c>
      <c r="W20" s="36">
        <f>IF(AND(OR(sel_Region="All",C20=sel_Region),OR(sel_Country="All",D20=sel_Country),OR(sel_Customer="All",F20=sel_Customer),OR(sel_Category="All",G20=sel_Category),OR(sel_Product="All",H20=sel_Product),AND(S20&gt;=m_From,S20&lt;=m_To)),1,0)</f>
        <v/>
      </c>
      <c r="X20" s="36">
        <f>IF(AND(OR(sel_Region="All",C20=sel_Region),OR(sel_Country="All",D20=sel_Country),OR(sel_Channel="All",E20=sel_Channel),OR(sel_Category="All",G20=sel_Category),OR(sel_Product="All",H20=sel_Product),AND(S20&gt;=m_From,S20&lt;=m_To)),1,0)</f>
        <v/>
      </c>
      <c r="Y20" s="36">
        <f>IF(AND(OR(sel_Region="All",C20=sel_Region),OR(sel_Country="All",D20=sel_Country),OR(sel_Channel="All",E20=sel_Channel),OR(sel_Customer="All",F20=sel_Customer),OR(sel_Product="All",H20=sel_Product),AND(S20&gt;=m_From,S20&lt;=m_To)),1,0)</f>
        <v/>
      </c>
      <c r="Z20" s="36">
        <f>IF(AND(OR(sel_Region="All",C20=sel_Region),OR(sel_Country="All",D20=sel_Country),OR(sel_Channel="All",E20=sel_Channel),OR(sel_Customer="All",F20=sel_Customer),OR(sel_Category="All",G20=sel_Category),AND(S20&gt;=m_From,S20&lt;=m_To)),1,0)</f>
        <v/>
      </c>
      <c r="AA20" s="36">
        <f>IF(AND(OR(sel_Region="All",C20=sel_Region),OR(sel_Country="All",D20=sel_Country),OR(sel_Channel="All",E20=sel_Channel),OR(sel_Customer="All",F20=sel_Customer),OR(sel_Category="All",G20=sel_Category),OR(sel_Product="All",H20=sel_Product)),1,0)</f>
        <v/>
      </c>
    </row>
    <row r="21">
      <c r="A21" s="36" t="inlineStr">
        <is>
          <t>04249</t>
        </is>
      </c>
      <c r="B21" s="44" t="n">
        <v>46026</v>
      </c>
      <c r="C21" s="36" t="inlineStr">
        <is>
          <t>Western Europe</t>
        </is>
      </c>
      <c r="D21" s="36" t="inlineStr">
        <is>
          <t>Belgium</t>
        </is>
      </c>
      <c r="E21" s="36" t="inlineStr">
        <is>
          <t>Marketplace</t>
        </is>
      </c>
      <c r="F21" s="36" t="inlineStr">
        <is>
          <t>New</t>
        </is>
      </c>
      <c r="G21" s="36" t="inlineStr">
        <is>
          <t>Cycling</t>
        </is>
      </c>
      <c r="H21" s="36" t="inlineStr">
        <is>
          <t>Cycling Pack 12L</t>
        </is>
      </c>
      <c r="I21" s="36" t="n">
        <v>2</v>
      </c>
      <c r="J21" s="39" t="n">
        <v>100.12</v>
      </c>
      <c r="K21" s="45" t="n">
        <v>0.1</v>
      </c>
      <c r="L21" s="39" t="n">
        <v>49.67</v>
      </c>
      <c r="M21" s="39">
        <f>I21*J21*(1-K21)</f>
        <v/>
      </c>
      <c r="N21" s="39">
        <f>I21*L21</f>
        <v/>
      </c>
      <c r="O21" s="39">
        <f>M21-N21</f>
        <v/>
      </c>
      <c r="P21" s="38">
        <f>IF(M21=0,0,O21/M21)</f>
        <v/>
      </c>
      <c r="Q21" s="36">
        <f>YEAR(B21)</f>
        <v/>
      </c>
      <c r="R21" s="36">
        <f>"Q"&amp;ROUNDUP(MONTH(B21)/3,0)</f>
        <v/>
      </c>
      <c r="S21" s="36">
        <f>MONTH(B21)</f>
        <v/>
      </c>
      <c r="T21" s="36">
        <f>TEXT(B21,"mmm")</f>
        <v/>
      </c>
      <c r="U21" s="36">
        <f>IF(AND(OR(sel_Region="All",C21=sel_Region),OR(sel_Country="All",D21=sel_Country),OR(sel_Channel="All",E21=sel_Channel),OR(sel_Customer="All",F21=sel_Customer),OR(sel_Category="All",G21=sel_Category),OR(sel_Product="All",H21=sel_Product),AND(S21&gt;=m_From,S21&lt;=m_To)),1,0)</f>
        <v/>
      </c>
      <c r="V21" s="36">
        <f>IF(AND(OR(sel_Region="All",C21=sel_Region),OR(sel_Channel="All",E21=sel_Channel),OR(sel_Customer="All",F21=sel_Customer),OR(sel_Category="All",G21=sel_Category),OR(sel_Product="All",H21=sel_Product),AND(S21&gt;=m_From,S21&lt;=m_To)),1,0)</f>
        <v/>
      </c>
      <c r="W21" s="36">
        <f>IF(AND(OR(sel_Region="All",C21=sel_Region),OR(sel_Country="All",D21=sel_Country),OR(sel_Customer="All",F21=sel_Customer),OR(sel_Category="All",G21=sel_Category),OR(sel_Product="All",H21=sel_Product),AND(S21&gt;=m_From,S21&lt;=m_To)),1,0)</f>
        <v/>
      </c>
      <c r="X21" s="36">
        <f>IF(AND(OR(sel_Region="All",C21=sel_Region),OR(sel_Country="All",D21=sel_Country),OR(sel_Channel="All",E21=sel_Channel),OR(sel_Category="All",G21=sel_Category),OR(sel_Product="All",H21=sel_Product),AND(S21&gt;=m_From,S21&lt;=m_To)),1,0)</f>
        <v/>
      </c>
      <c r="Y21" s="36">
        <f>IF(AND(OR(sel_Region="All",C21=sel_Region),OR(sel_Country="All",D21=sel_Country),OR(sel_Channel="All",E21=sel_Channel),OR(sel_Customer="All",F21=sel_Customer),OR(sel_Product="All",H21=sel_Product),AND(S21&gt;=m_From,S21&lt;=m_To)),1,0)</f>
        <v/>
      </c>
      <c r="Z21" s="36">
        <f>IF(AND(OR(sel_Region="All",C21=sel_Region),OR(sel_Country="All",D21=sel_Country),OR(sel_Channel="All",E21=sel_Channel),OR(sel_Customer="All",F21=sel_Customer),OR(sel_Category="All",G21=sel_Category),AND(S21&gt;=m_From,S21&lt;=m_To)),1,0)</f>
        <v/>
      </c>
      <c r="AA21" s="36">
        <f>IF(AND(OR(sel_Region="All",C21=sel_Region),OR(sel_Country="All",D21=sel_Country),OR(sel_Channel="All",E21=sel_Channel),OR(sel_Customer="All",F21=sel_Customer),OR(sel_Category="All",G21=sel_Category),OR(sel_Product="All",H21=sel_Product)),1,0)</f>
        <v/>
      </c>
    </row>
    <row r="22">
      <c r="A22" s="36" t="inlineStr">
        <is>
          <t>01734</t>
        </is>
      </c>
      <c r="B22" s="44" t="n">
        <v>46027</v>
      </c>
      <c r="C22" s="36" t="inlineStr">
        <is>
          <t>Western Europe</t>
        </is>
      </c>
      <c r="D22" s="36" t="inlineStr">
        <is>
          <t>United Kingdom</t>
        </is>
      </c>
      <c r="E22" s="36" t="inlineStr">
        <is>
          <t>Marketplace</t>
        </is>
      </c>
      <c r="F22" s="36" t="inlineStr">
        <is>
          <t>Returning</t>
        </is>
      </c>
      <c r="G22" s="36" t="inlineStr">
        <is>
          <t>Fitness</t>
        </is>
      </c>
      <c r="H22" s="36" t="inlineStr">
        <is>
          <t>Resistance Band Set</t>
        </is>
      </c>
      <c r="I22" s="36" t="n">
        <v>1</v>
      </c>
      <c r="J22" s="39" t="n">
        <v>40.6</v>
      </c>
      <c r="K22" s="45" t="n">
        <v>0.15</v>
      </c>
      <c r="L22" s="39" t="n">
        <v>14.61</v>
      </c>
      <c r="M22" s="39">
        <f>I22*J22*(1-K22)</f>
        <v/>
      </c>
      <c r="N22" s="39">
        <f>I22*L22</f>
        <v/>
      </c>
      <c r="O22" s="39">
        <f>M22-N22</f>
        <v/>
      </c>
      <c r="P22" s="38">
        <f>IF(M22=0,0,O22/M22)</f>
        <v/>
      </c>
      <c r="Q22" s="36">
        <f>YEAR(B22)</f>
        <v/>
      </c>
      <c r="R22" s="36">
        <f>"Q"&amp;ROUNDUP(MONTH(B22)/3,0)</f>
        <v/>
      </c>
      <c r="S22" s="36">
        <f>MONTH(B22)</f>
        <v/>
      </c>
      <c r="T22" s="36">
        <f>TEXT(B22,"mmm")</f>
        <v/>
      </c>
      <c r="U22" s="36">
        <f>IF(AND(OR(sel_Region="All",C22=sel_Region),OR(sel_Country="All",D22=sel_Country),OR(sel_Channel="All",E22=sel_Channel),OR(sel_Customer="All",F22=sel_Customer),OR(sel_Category="All",G22=sel_Category),OR(sel_Product="All",H22=sel_Product),AND(S22&gt;=m_From,S22&lt;=m_To)),1,0)</f>
        <v/>
      </c>
      <c r="V22" s="36">
        <f>IF(AND(OR(sel_Region="All",C22=sel_Region),OR(sel_Channel="All",E22=sel_Channel),OR(sel_Customer="All",F22=sel_Customer),OR(sel_Category="All",G22=sel_Category),OR(sel_Product="All",H22=sel_Product),AND(S22&gt;=m_From,S22&lt;=m_To)),1,0)</f>
        <v/>
      </c>
      <c r="W22" s="36">
        <f>IF(AND(OR(sel_Region="All",C22=sel_Region),OR(sel_Country="All",D22=sel_Country),OR(sel_Customer="All",F22=sel_Customer),OR(sel_Category="All",G22=sel_Category),OR(sel_Product="All",H22=sel_Product),AND(S22&gt;=m_From,S22&lt;=m_To)),1,0)</f>
        <v/>
      </c>
      <c r="X22" s="36">
        <f>IF(AND(OR(sel_Region="All",C22=sel_Region),OR(sel_Country="All",D22=sel_Country),OR(sel_Channel="All",E22=sel_Channel),OR(sel_Category="All",G22=sel_Category),OR(sel_Product="All",H22=sel_Product),AND(S22&gt;=m_From,S22&lt;=m_To)),1,0)</f>
        <v/>
      </c>
      <c r="Y22" s="36">
        <f>IF(AND(OR(sel_Region="All",C22=sel_Region),OR(sel_Country="All",D22=sel_Country),OR(sel_Channel="All",E22=sel_Channel),OR(sel_Customer="All",F22=sel_Customer),OR(sel_Product="All",H22=sel_Product),AND(S22&gt;=m_From,S22&lt;=m_To)),1,0)</f>
        <v/>
      </c>
      <c r="Z22" s="36">
        <f>IF(AND(OR(sel_Region="All",C22=sel_Region),OR(sel_Country="All",D22=sel_Country),OR(sel_Channel="All",E22=sel_Channel),OR(sel_Customer="All",F22=sel_Customer),OR(sel_Category="All",G22=sel_Category),AND(S22&gt;=m_From,S22&lt;=m_To)),1,0)</f>
        <v/>
      </c>
      <c r="AA22" s="36">
        <f>IF(AND(OR(sel_Region="All",C22=sel_Region),OR(sel_Country="All",D22=sel_Country),OR(sel_Channel="All",E22=sel_Channel),OR(sel_Customer="All",F22=sel_Customer),OR(sel_Category="All",G22=sel_Category),OR(sel_Product="All",H22=sel_Product)),1,0)</f>
        <v/>
      </c>
    </row>
    <row r="23">
      <c r="A23" s="36" t="inlineStr">
        <is>
          <t>02331</t>
        </is>
      </c>
      <c r="B23" s="44" t="n">
        <v>46027</v>
      </c>
      <c r="C23" s="36" t="inlineStr">
        <is>
          <t>Western Europe</t>
        </is>
      </c>
      <c r="D23" s="36" t="inlineStr">
        <is>
          <t>United Kingdom</t>
        </is>
      </c>
      <c r="E23" s="36" t="inlineStr">
        <is>
          <t>Online Store</t>
        </is>
      </c>
      <c r="F23" s="36" t="inlineStr">
        <is>
          <t>New</t>
        </is>
      </c>
      <c r="G23" s="36" t="inlineStr">
        <is>
          <t>Cycling</t>
        </is>
      </c>
      <c r="H23" s="36" t="inlineStr">
        <is>
          <t>Cycling Pack 12L</t>
        </is>
      </c>
      <c r="I23" s="36" t="n">
        <v>1</v>
      </c>
      <c r="J23" s="39" t="n">
        <v>104.23</v>
      </c>
      <c r="K23" s="45" t="n">
        <v>0.1</v>
      </c>
      <c r="L23" s="39" t="n">
        <v>51.6</v>
      </c>
      <c r="M23" s="39">
        <f>I23*J23*(1-K23)</f>
        <v/>
      </c>
      <c r="N23" s="39">
        <f>I23*L23</f>
        <v/>
      </c>
      <c r="O23" s="39">
        <f>M23-N23</f>
        <v/>
      </c>
      <c r="P23" s="38">
        <f>IF(M23=0,0,O23/M23)</f>
        <v/>
      </c>
      <c r="Q23" s="36">
        <f>YEAR(B23)</f>
        <v/>
      </c>
      <c r="R23" s="36">
        <f>"Q"&amp;ROUNDUP(MONTH(B23)/3,0)</f>
        <v/>
      </c>
      <c r="S23" s="36">
        <f>MONTH(B23)</f>
        <v/>
      </c>
      <c r="T23" s="36">
        <f>TEXT(B23,"mmm")</f>
        <v/>
      </c>
      <c r="U23" s="36">
        <f>IF(AND(OR(sel_Region="All",C23=sel_Region),OR(sel_Country="All",D23=sel_Country),OR(sel_Channel="All",E23=sel_Channel),OR(sel_Customer="All",F23=sel_Customer),OR(sel_Category="All",G23=sel_Category),OR(sel_Product="All",H23=sel_Product),AND(S23&gt;=m_From,S23&lt;=m_To)),1,0)</f>
        <v/>
      </c>
      <c r="V23" s="36">
        <f>IF(AND(OR(sel_Region="All",C23=sel_Region),OR(sel_Channel="All",E23=sel_Channel),OR(sel_Customer="All",F23=sel_Customer),OR(sel_Category="All",G23=sel_Category),OR(sel_Product="All",H23=sel_Product),AND(S23&gt;=m_From,S23&lt;=m_To)),1,0)</f>
        <v/>
      </c>
      <c r="W23" s="36">
        <f>IF(AND(OR(sel_Region="All",C23=sel_Region),OR(sel_Country="All",D23=sel_Country),OR(sel_Customer="All",F23=sel_Customer),OR(sel_Category="All",G23=sel_Category),OR(sel_Product="All",H23=sel_Product),AND(S23&gt;=m_From,S23&lt;=m_To)),1,0)</f>
        <v/>
      </c>
      <c r="X23" s="36">
        <f>IF(AND(OR(sel_Region="All",C23=sel_Region),OR(sel_Country="All",D23=sel_Country),OR(sel_Channel="All",E23=sel_Channel),OR(sel_Category="All",G23=sel_Category),OR(sel_Product="All",H23=sel_Product),AND(S23&gt;=m_From,S23&lt;=m_To)),1,0)</f>
        <v/>
      </c>
      <c r="Y23" s="36">
        <f>IF(AND(OR(sel_Region="All",C23=sel_Region),OR(sel_Country="All",D23=sel_Country),OR(sel_Channel="All",E23=sel_Channel),OR(sel_Customer="All",F23=sel_Customer),OR(sel_Product="All",H23=sel_Product),AND(S23&gt;=m_From,S23&lt;=m_To)),1,0)</f>
        <v/>
      </c>
      <c r="Z23" s="36">
        <f>IF(AND(OR(sel_Region="All",C23=sel_Region),OR(sel_Country="All",D23=sel_Country),OR(sel_Channel="All",E23=sel_Channel),OR(sel_Customer="All",F23=sel_Customer),OR(sel_Category="All",G23=sel_Category),AND(S23&gt;=m_From,S23&lt;=m_To)),1,0)</f>
        <v/>
      </c>
      <c r="AA23" s="36">
        <f>IF(AND(OR(sel_Region="All",C23=sel_Region),OR(sel_Country="All",D23=sel_Country),OR(sel_Channel="All",E23=sel_Channel),OR(sel_Customer="All",F23=sel_Customer),OR(sel_Category="All",G23=sel_Category),OR(sel_Product="All",H23=sel_Product)),1,0)</f>
        <v/>
      </c>
    </row>
    <row r="24">
      <c r="A24" s="36" t="inlineStr">
        <is>
          <t>02475</t>
        </is>
      </c>
      <c r="B24" s="44" t="n">
        <v>46027</v>
      </c>
      <c r="C24" s="36" t="inlineStr">
        <is>
          <t>Central Europe</t>
        </is>
      </c>
      <c r="D24" s="36" t="inlineStr">
        <is>
          <t>Czechia</t>
        </is>
      </c>
      <c r="E24" s="36" t="inlineStr">
        <is>
          <t>Retail Partners</t>
        </is>
      </c>
      <c r="F24" s="36" t="inlineStr">
        <is>
          <t>Returning</t>
        </is>
      </c>
      <c r="G24" s="36" t="inlineStr">
        <is>
          <t>Fitness</t>
        </is>
      </c>
      <c r="H24" s="36" t="inlineStr">
        <is>
          <t>Weighted Vest</t>
        </is>
      </c>
      <c r="I24" s="36" t="n">
        <v>5</v>
      </c>
      <c r="J24" s="39" t="n">
        <v>122.87</v>
      </c>
      <c r="K24" s="45" t="n">
        <v>0.05</v>
      </c>
      <c r="L24" s="39" t="n">
        <v>69.67</v>
      </c>
      <c r="M24" s="39">
        <f>I24*J24*(1-K24)</f>
        <v/>
      </c>
      <c r="N24" s="39">
        <f>I24*L24</f>
        <v/>
      </c>
      <c r="O24" s="39">
        <f>M24-N24</f>
        <v/>
      </c>
      <c r="P24" s="38">
        <f>IF(M24=0,0,O24/M24)</f>
        <v/>
      </c>
      <c r="Q24" s="36">
        <f>YEAR(B24)</f>
        <v/>
      </c>
      <c r="R24" s="36">
        <f>"Q"&amp;ROUNDUP(MONTH(B24)/3,0)</f>
        <v/>
      </c>
      <c r="S24" s="36">
        <f>MONTH(B24)</f>
        <v/>
      </c>
      <c r="T24" s="36">
        <f>TEXT(B24,"mmm")</f>
        <v/>
      </c>
      <c r="U24" s="36">
        <f>IF(AND(OR(sel_Region="All",C24=sel_Region),OR(sel_Country="All",D24=sel_Country),OR(sel_Channel="All",E24=sel_Channel),OR(sel_Customer="All",F24=sel_Customer),OR(sel_Category="All",G24=sel_Category),OR(sel_Product="All",H24=sel_Product),AND(S24&gt;=m_From,S24&lt;=m_To)),1,0)</f>
        <v/>
      </c>
      <c r="V24" s="36">
        <f>IF(AND(OR(sel_Region="All",C24=sel_Region),OR(sel_Channel="All",E24=sel_Channel),OR(sel_Customer="All",F24=sel_Customer),OR(sel_Category="All",G24=sel_Category),OR(sel_Product="All",H24=sel_Product),AND(S24&gt;=m_From,S24&lt;=m_To)),1,0)</f>
        <v/>
      </c>
      <c r="W24" s="36">
        <f>IF(AND(OR(sel_Region="All",C24=sel_Region),OR(sel_Country="All",D24=sel_Country),OR(sel_Customer="All",F24=sel_Customer),OR(sel_Category="All",G24=sel_Category),OR(sel_Product="All",H24=sel_Product),AND(S24&gt;=m_From,S24&lt;=m_To)),1,0)</f>
        <v/>
      </c>
      <c r="X24" s="36">
        <f>IF(AND(OR(sel_Region="All",C24=sel_Region),OR(sel_Country="All",D24=sel_Country),OR(sel_Channel="All",E24=sel_Channel),OR(sel_Category="All",G24=sel_Category),OR(sel_Product="All",H24=sel_Product),AND(S24&gt;=m_From,S24&lt;=m_To)),1,0)</f>
        <v/>
      </c>
      <c r="Y24" s="36">
        <f>IF(AND(OR(sel_Region="All",C24=sel_Region),OR(sel_Country="All",D24=sel_Country),OR(sel_Channel="All",E24=sel_Channel),OR(sel_Customer="All",F24=sel_Customer),OR(sel_Product="All",H24=sel_Product),AND(S24&gt;=m_From,S24&lt;=m_To)),1,0)</f>
        <v/>
      </c>
      <c r="Z24" s="36">
        <f>IF(AND(OR(sel_Region="All",C24=sel_Region),OR(sel_Country="All",D24=sel_Country),OR(sel_Channel="All",E24=sel_Channel),OR(sel_Customer="All",F24=sel_Customer),OR(sel_Category="All",G24=sel_Category),AND(S24&gt;=m_From,S24&lt;=m_To)),1,0)</f>
        <v/>
      </c>
      <c r="AA24" s="36">
        <f>IF(AND(OR(sel_Region="All",C24=sel_Region),OR(sel_Country="All",D24=sel_Country),OR(sel_Channel="All",E24=sel_Channel),OR(sel_Customer="All",F24=sel_Customer),OR(sel_Category="All",G24=sel_Category),OR(sel_Product="All",H24=sel_Product)),1,0)</f>
        <v/>
      </c>
    </row>
    <row r="25">
      <c r="A25" s="36" t="inlineStr">
        <is>
          <t>01433</t>
        </is>
      </c>
      <c r="B25" s="44" t="n">
        <v>46028</v>
      </c>
      <c r="C25" s="36" t="inlineStr">
        <is>
          <t>Northern Europe</t>
        </is>
      </c>
      <c r="D25" s="36" t="inlineStr">
        <is>
          <t>Finland</t>
        </is>
      </c>
      <c r="E25" s="36" t="inlineStr">
        <is>
          <t>Online Store</t>
        </is>
      </c>
      <c r="F25" s="36" t="inlineStr">
        <is>
          <t>New</t>
        </is>
      </c>
      <c r="G25" s="36" t="inlineStr">
        <is>
          <t>Travel</t>
        </is>
      </c>
      <c r="H25" s="36" t="inlineStr">
        <is>
          <t>Insulated Bottle</t>
        </is>
      </c>
      <c r="I25" s="36" t="n">
        <v>2</v>
      </c>
      <c r="J25" s="39" t="n">
        <v>36.62</v>
      </c>
      <c r="K25" s="45" t="n">
        <v>0.05</v>
      </c>
      <c r="L25" s="39" t="n">
        <v>13.87</v>
      </c>
      <c r="M25" s="39">
        <f>I25*J25*(1-K25)</f>
        <v/>
      </c>
      <c r="N25" s="39">
        <f>I25*L25</f>
        <v/>
      </c>
      <c r="O25" s="39">
        <f>M25-N25</f>
        <v/>
      </c>
      <c r="P25" s="38">
        <f>IF(M25=0,0,O25/M25)</f>
        <v/>
      </c>
      <c r="Q25" s="36">
        <f>YEAR(B25)</f>
        <v/>
      </c>
      <c r="R25" s="36">
        <f>"Q"&amp;ROUNDUP(MONTH(B25)/3,0)</f>
        <v/>
      </c>
      <c r="S25" s="36">
        <f>MONTH(B25)</f>
        <v/>
      </c>
      <c r="T25" s="36">
        <f>TEXT(B25,"mmm")</f>
        <v/>
      </c>
      <c r="U25" s="36">
        <f>IF(AND(OR(sel_Region="All",C25=sel_Region),OR(sel_Country="All",D25=sel_Country),OR(sel_Channel="All",E25=sel_Channel),OR(sel_Customer="All",F25=sel_Customer),OR(sel_Category="All",G25=sel_Category),OR(sel_Product="All",H25=sel_Product),AND(S25&gt;=m_From,S25&lt;=m_To)),1,0)</f>
        <v/>
      </c>
      <c r="V25" s="36">
        <f>IF(AND(OR(sel_Region="All",C25=sel_Region),OR(sel_Channel="All",E25=sel_Channel),OR(sel_Customer="All",F25=sel_Customer),OR(sel_Category="All",G25=sel_Category),OR(sel_Product="All",H25=sel_Product),AND(S25&gt;=m_From,S25&lt;=m_To)),1,0)</f>
        <v/>
      </c>
      <c r="W25" s="36">
        <f>IF(AND(OR(sel_Region="All",C25=sel_Region),OR(sel_Country="All",D25=sel_Country),OR(sel_Customer="All",F25=sel_Customer),OR(sel_Category="All",G25=sel_Category),OR(sel_Product="All",H25=sel_Product),AND(S25&gt;=m_From,S25&lt;=m_To)),1,0)</f>
        <v/>
      </c>
      <c r="X25" s="36">
        <f>IF(AND(OR(sel_Region="All",C25=sel_Region),OR(sel_Country="All",D25=sel_Country),OR(sel_Channel="All",E25=sel_Channel),OR(sel_Category="All",G25=sel_Category),OR(sel_Product="All",H25=sel_Product),AND(S25&gt;=m_From,S25&lt;=m_To)),1,0)</f>
        <v/>
      </c>
      <c r="Y25" s="36">
        <f>IF(AND(OR(sel_Region="All",C25=sel_Region),OR(sel_Country="All",D25=sel_Country),OR(sel_Channel="All",E25=sel_Channel),OR(sel_Customer="All",F25=sel_Customer),OR(sel_Product="All",H25=sel_Product),AND(S25&gt;=m_From,S25&lt;=m_To)),1,0)</f>
        <v/>
      </c>
      <c r="Z25" s="36">
        <f>IF(AND(OR(sel_Region="All",C25=sel_Region),OR(sel_Country="All",D25=sel_Country),OR(sel_Channel="All",E25=sel_Channel),OR(sel_Customer="All",F25=sel_Customer),OR(sel_Category="All",G25=sel_Category),AND(S25&gt;=m_From,S25&lt;=m_To)),1,0)</f>
        <v/>
      </c>
      <c r="AA25" s="36">
        <f>IF(AND(OR(sel_Region="All",C25=sel_Region),OR(sel_Country="All",D25=sel_Country),OR(sel_Channel="All",E25=sel_Channel),OR(sel_Customer="All",F25=sel_Customer),OR(sel_Category="All",G25=sel_Category),OR(sel_Product="All",H25=sel_Product)),1,0)</f>
        <v/>
      </c>
    </row>
    <row r="26">
      <c r="A26" s="36" t="inlineStr">
        <is>
          <t>03624</t>
        </is>
      </c>
      <c r="B26" s="44" t="n">
        <v>46028</v>
      </c>
      <c r="C26" s="36" t="inlineStr">
        <is>
          <t>Western Europe</t>
        </is>
      </c>
      <c r="D26" s="36" t="inlineStr">
        <is>
          <t>Netherlands</t>
        </is>
      </c>
      <c r="E26" s="36" t="inlineStr">
        <is>
          <t>Online Store</t>
        </is>
      </c>
      <c r="F26" s="36" t="inlineStr">
        <is>
          <t>New</t>
        </is>
      </c>
      <c r="G26" s="36" t="inlineStr">
        <is>
          <t>Hiking</t>
        </is>
      </c>
      <c r="H26" s="36" t="inlineStr">
        <is>
          <t>Hiking Daypack 20L</t>
        </is>
      </c>
      <c r="I26" s="36" t="n">
        <v>1</v>
      </c>
      <c r="J26" s="39" t="n">
        <v>93.40000000000001</v>
      </c>
      <c r="K26" s="45" t="n">
        <v>0</v>
      </c>
      <c r="L26" s="39" t="n">
        <v>46.11</v>
      </c>
      <c r="M26" s="39">
        <f>I26*J26*(1-K26)</f>
        <v/>
      </c>
      <c r="N26" s="39">
        <f>I26*L26</f>
        <v/>
      </c>
      <c r="O26" s="39">
        <f>M26-N26</f>
        <v/>
      </c>
      <c r="P26" s="38">
        <f>IF(M26=0,0,O26/M26)</f>
        <v/>
      </c>
      <c r="Q26" s="36">
        <f>YEAR(B26)</f>
        <v/>
      </c>
      <c r="R26" s="36">
        <f>"Q"&amp;ROUNDUP(MONTH(B26)/3,0)</f>
        <v/>
      </c>
      <c r="S26" s="36">
        <f>MONTH(B26)</f>
        <v/>
      </c>
      <c r="T26" s="36">
        <f>TEXT(B26,"mmm")</f>
        <v/>
      </c>
      <c r="U26" s="36">
        <f>IF(AND(OR(sel_Region="All",C26=sel_Region),OR(sel_Country="All",D26=sel_Country),OR(sel_Channel="All",E26=sel_Channel),OR(sel_Customer="All",F26=sel_Customer),OR(sel_Category="All",G26=sel_Category),OR(sel_Product="All",H26=sel_Product),AND(S26&gt;=m_From,S26&lt;=m_To)),1,0)</f>
        <v/>
      </c>
      <c r="V26" s="36">
        <f>IF(AND(OR(sel_Region="All",C26=sel_Region),OR(sel_Channel="All",E26=sel_Channel),OR(sel_Customer="All",F26=sel_Customer),OR(sel_Category="All",G26=sel_Category),OR(sel_Product="All",H26=sel_Product),AND(S26&gt;=m_From,S26&lt;=m_To)),1,0)</f>
        <v/>
      </c>
      <c r="W26" s="36">
        <f>IF(AND(OR(sel_Region="All",C26=sel_Region),OR(sel_Country="All",D26=sel_Country),OR(sel_Customer="All",F26=sel_Customer),OR(sel_Category="All",G26=sel_Category),OR(sel_Product="All",H26=sel_Product),AND(S26&gt;=m_From,S26&lt;=m_To)),1,0)</f>
        <v/>
      </c>
      <c r="X26" s="36">
        <f>IF(AND(OR(sel_Region="All",C26=sel_Region),OR(sel_Country="All",D26=sel_Country),OR(sel_Channel="All",E26=sel_Channel),OR(sel_Category="All",G26=sel_Category),OR(sel_Product="All",H26=sel_Product),AND(S26&gt;=m_From,S26&lt;=m_To)),1,0)</f>
        <v/>
      </c>
      <c r="Y26" s="36">
        <f>IF(AND(OR(sel_Region="All",C26=sel_Region),OR(sel_Country="All",D26=sel_Country),OR(sel_Channel="All",E26=sel_Channel),OR(sel_Customer="All",F26=sel_Customer),OR(sel_Product="All",H26=sel_Product),AND(S26&gt;=m_From,S26&lt;=m_To)),1,0)</f>
        <v/>
      </c>
      <c r="Z26" s="36">
        <f>IF(AND(OR(sel_Region="All",C26=sel_Region),OR(sel_Country="All",D26=sel_Country),OR(sel_Channel="All",E26=sel_Channel),OR(sel_Customer="All",F26=sel_Customer),OR(sel_Category="All",G26=sel_Category),AND(S26&gt;=m_From,S26&lt;=m_To)),1,0)</f>
        <v/>
      </c>
      <c r="AA26" s="36">
        <f>IF(AND(OR(sel_Region="All",C26=sel_Region),OR(sel_Country="All",D26=sel_Country),OR(sel_Channel="All",E26=sel_Channel),OR(sel_Customer="All",F26=sel_Customer),OR(sel_Category="All",G26=sel_Category),OR(sel_Product="All",H26=sel_Product)),1,0)</f>
        <v/>
      </c>
    </row>
    <row r="27">
      <c r="A27" s="36" t="inlineStr">
        <is>
          <t>04680</t>
        </is>
      </c>
      <c r="B27" s="44" t="n">
        <v>46028</v>
      </c>
      <c r="C27" s="36" t="inlineStr">
        <is>
          <t>Central Europe</t>
        </is>
      </c>
      <c r="D27" s="36" t="inlineStr">
        <is>
          <t>Czechia</t>
        </is>
      </c>
      <c r="E27" s="36" t="inlineStr">
        <is>
          <t>Marketplace</t>
        </is>
      </c>
      <c r="F27" s="36" t="inlineStr">
        <is>
          <t>New</t>
        </is>
      </c>
      <c r="G27" s="36" t="inlineStr">
        <is>
          <t>Camping</t>
        </is>
      </c>
      <c r="H27" s="36" t="inlineStr">
        <is>
          <t>Portable Camp Stove</t>
        </is>
      </c>
      <c r="I27" s="36" t="n">
        <v>2</v>
      </c>
      <c r="J27" s="39" t="n">
        <v>81.26000000000001</v>
      </c>
      <c r="K27" s="45" t="n">
        <v>0</v>
      </c>
      <c r="L27" s="39" t="n">
        <v>39.12</v>
      </c>
      <c r="M27" s="39">
        <f>I27*J27*(1-K27)</f>
        <v/>
      </c>
      <c r="N27" s="39">
        <f>I27*L27</f>
        <v/>
      </c>
      <c r="O27" s="39">
        <f>M27-N27</f>
        <v/>
      </c>
      <c r="P27" s="38">
        <f>IF(M27=0,0,O27/M27)</f>
        <v/>
      </c>
      <c r="Q27" s="36">
        <f>YEAR(B27)</f>
        <v/>
      </c>
      <c r="R27" s="36">
        <f>"Q"&amp;ROUNDUP(MONTH(B27)/3,0)</f>
        <v/>
      </c>
      <c r="S27" s="36">
        <f>MONTH(B27)</f>
        <v/>
      </c>
      <c r="T27" s="36">
        <f>TEXT(B27,"mmm")</f>
        <v/>
      </c>
      <c r="U27" s="36">
        <f>IF(AND(OR(sel_Region="All",C27=sel_Region),OR(sel_Country="All",D27=sel_Country),OR(sel_Channel="All",E27=sel_Channel),OR(sel_Customer="All",F27=sel_Customer),OR(sel_Category="All",G27=sel_Category),OR(sel_Product="All",H27=sel_Product),AND(S27&gt;=m_From,S27&lt;=m_To)),1,0)</f>
        <v/>
      </c>
      <c r="V27" s="36">
        <f>IF(AND(OR(sel_Region="All",C27=sel_Region),OR(sel_Channel="All",E27=sel_Channel),OR(sel_Customer="All",F27=sel_Customer),OR(sel_Category="All",G27=sel_Category),OR(sel_Product="All",H27=sel_Product),AND(S27&gt;=m_From,S27&lt;=m_To)),1,0)</f>
        <v/>
      </c>
      <c r="W27" s="36">
        <f>IF(AND(OR(sel_Region="All",C27=sel_Region),OR(sel_Country="All",D27=sel_Country),OR(sel_Customer="All",F27=sel_Customer),OR(sel_Category="All",G27=sel_Category),OR(sel_Product="All",H27=sel_Product),AND(S27&gt;=m_From,S27&lt;=m_To)),1,0)</f>
        <v/>
      </c>
      <c r="X27" s="36">
        <f>IF(AND(OR(sel_Region="All",C27=sel_Region),OR(sel_Country="All",D27=sel_Country),OR(sel_Channel="All",E27=sel_Channel),OR(sel_Category="All",G27=sel_Category),OR(sel_Product="All",H27=sel_Product),AND(S27&gt;=m_From,S27&lt;=m_To)),1,0)</f>
        <v/>
      </c>
      <c r="Y27" s="36">
        <f>IF(AND(OR(sel_Region="All",C27=sel_Region),OR(sel_Country="All",D27=sel_Country),OR(sel_Channel="All",E27=sel_Channel),OR(sel_Customer="All",F27=sel_Customer),OR(sel_Product="All",H27=sel_Product),AND(S27&gt;=m_From,S27&lt;=m_To)),1,0)</f>
        <v/>
      </c>
      <c r="Z27" s="36">
        <f>IF(AND(OR(sel_Region="All",C27=sel_Region),OR(sel_Country="All",D27=sel_Country),OR(sel_Channel="All",E27=sel_Channel),OR(sel_Customer="All",F27=sel_Customer),OR(sel_Category="All",G27=sel_Category),AND(S27&gt;=m_From,S27&lt;=m_To)),1,0)</f>
        <v/>
      </c>
      <c r="AA27" s="36">
        <f>IF(AND(OR(sel_Region="All",C27=sel_Region),OR(sel_Country="All",D27=sel_Country),OR(sel_Channel="All",E27=sel_Channel),OR(sel_Customer="All",F27=sel_Customer),OR(sel_Category="All",G27=sel_Category),OR(sel_Product="All",H27=sel_Product)),1,0)</f>
        <v/>
      </c>
    </row>
    <row r="28">
      <c r="A28" s="36" t="inlineStr">
        <is>
          <t>04803</t>
        </is>
      </c>
      <c r="B28" s="44" t="n">
        <v>46028</v>
      </c>
      <c r="C28" s="36" t="inlineStr">
        <is>
          <t>Central Europe</t>
        </is>
      </c>
      <c r="D28" s="36" t="inlineStr">
        <is>
          <t>Switzerland</t>
        </is>
      </c>
      <c r="E28" s="36" t="inlineStr">
        <is>
          <t>Marketplace</t>
        </is>
      </c>
      <c r="F28" s="36" t="inlineStr">
        <is>
          <t>New</t>
        </is>
      </c>
      <c r="G28" s="36" t="inlineStr">
        <is>
          <t>Fitness</t>
        </is>
      </c>
      <c r="H28" s="36" t="inlineStr">
        <is>
          <t>Recovery Roller</t>
        </is>
      </c>
      <c r="I28" s="36" t="n">
        <v>2</v>
      </c>
      <c r="J28" s="39" t="n">
        <v>35.78</v>
      </c>
      <c r="K28" s="45" t="n">
        <v>0</v>
      </c>
      <c r="L28" s="39" t="n">
        <v>13.84</v>
      </c>
      <c r="M28" s="39">
        <f>I28*J28*(1-K28)</f>
        <v/>
      </c>
      <c r="N28" s="39">
        <f>I28*L28</f>
        <v/>
      </c>
      <c r="O28" s="39">
        <f>M28-N28</f>
        <v/>
      </c>
      <c r="P28" s="38">
        <f>IF(M28=0,0,O28/M28)</f>
        <v/>
      </c>
      <c r="Q28" s="36">
        <f>YEAR(B28)</f>
        <v/>
      </c>
      <c r="R28" s="36">
        <f>"Q"&amp;ROUNDUP(MONTH(B28)/3,0)</f>
        <v/>
      </c>
      <c r="S28" s="36">
        <f>MONTH(B28)</f>
        <v/>
      </c>
      <c r="T28" s="36">
        <f>TEXT(B28,"mmm")</f>
        <v/>
      </c>
      <c r="U28" s="36">
        <f>IF(AND(OR(sel_Region="All",C28=sel_Region),OR(sel_Country="All",D28=sel_Country),OR(sel_Channel="All",E28=sel_Channel),OR(sel_Customer="All",F28=sel_Customer),OR(sel_Category="All",G28=sel_Category),OR(sel_Product="All",H28=sel_Product),AND(S28&gt;=m_From,S28&lt;=m_To)),1,0)</f>
        <v/>
      </c>
      <c r="V28" s="36">
        <f>IF(AND(OR(sel_Region="All",C28=sel_Region),OR(sel_Channel="All",E28=sel_Channel),OR(sel_Customer="All",F28=sel_Customer),OR(sel_Category="All",G28=sel_Category),OR(sel_Product="All",H28=sel_Product),AND(S28&gt;=m_From,S28&lt;=m_To)),1,0)</f>
        <v/>
      </c>
      <c r="W28" s="36">
        <f>IF(AND(OR(sel_Region="All",C28=sel_Region),OR(sel_Country="All",D28=sel_Country),OR(sel_Customer="All",F28=sel_Customer),OR(sel_Category="All",G28=sel_Category),OR(sel_Product="All",H28=sel_Product),AND(S28&gt;=m_From,S28&lt;=m_To)),1,0)</f>
        <v/>
      </c>
      <c r="X28" s="36">
        <f>IF(AND(OR(sel_Region="All",C28=sel_Region),OR(sel_Country="All",D28=sel_Country),OR(sel_Channel="All",E28=sel_Channel),OR(sel_Category="All",G28=sel_Category),OR(sel_Product="All",H28=sel_Product),AND(S28&gt;=m_From,S28&lt;=m_To)),1,0)</f>
        <v/>
      </c>
      <c r="Y28" s="36">
        <f>IF(AND(OR(sel_Region="All",C28=sel_Region),OR(sel_Country="All",D28=sel_Country),OR(sel_Channel="All",E28=sel_Channel),OR(sel_Customer="All",F28=sel_Customer),OR(sel_Product="All",H28=sel_Product),AND(S28&gt;=m_From,S28&lt;=m_To)),1,0)</f>
        <v/>
      </c>
      <c r="Z28" s="36">
        <f>IF(AND(OR(sel_Region="All",C28=sel_Region),OR(sel_Country="All",D28=sel_Country),OR(sel_Channel="All",E28=sel_Channel),OR(sel_Customer="All",F28=sel_Customer),OR(sel_Category="All",G28=sel_Category),AND(S28&gt;=m_From,S28&lt;=m_To)),1,0)</f>
        <v/>
      </c>
      <c r="AA28" s="36">
        <f>IF(AND(OR(sel_Region="All",C28=sel_Region),OR(sel_Country="All",D28=sel_Country),OR(sel_Channel="All",E28=sel_Channel),OR(sel_Customer="All",F28=sel_Customer),OR(sel_Category="All",G28=sel_Category),OR(sel_Product="All",H28=sel_Product)),1,0)</f>
        <v/>
      </c>
    </row>
    <row r="29">
      <c r="A29" s="36" t="inlineStr">
        <is>
          <t>00248</t>
        </is>
      </c>
      <c r="B29" s="44" t="n">
        <v>46029</v>
      </c>
      <c r="C29" s="36" t="inlineStr">
        <is>
          <t>Central Europe</t>
        </is>
      </c>
      <c r="D29" s="36" t="inlineStr">
        <is>
          <t>Germany</t>
        </is>
      </c>
      <c r="E29" s="36" t="inlineStr">
        <is>
          <t>Marketplace</t>
        </is>
      </c>
      <c r="F29" s="36" t="inlineStr">
        <is>
          <t>New</t>
        </is>
      </c>
      <c r="G29" s="36" t="inlineStr">
        <is>
          <t>Cycling</t>
        </is>
      </c>
      <c r="H29" s="36" t="inlineStr">
        <is>
          <t>Commuter Helmet</t>
        </is>
      </c>
      <c r="I29" s="36" t="n">
        <v>3</v>
      </c>
      <c r="J29" s="39" t="n">
        <v>81.64</v>
      </c>
      <c r="K29" s="45" t="n">
        <v>0</v>
      </c>
      <c r="L29" s="39" t="n">
        <v>43.84</v>
      </c>
      <c r="M29" s="39">
        <f>I29*J29*(1-K29)</f>
        <v/>
      </c>
      <c r="N29" s="39">
        <f>I29*L29</f>
        <v/>
      </c>
      <c r="O29" s="39">
        <f>M29-N29</f>
        <v/>
      </c>
      <c r="P29" s="38">
        <f>IF(M29=0,0,O29/M29)</f>
        <v/>
      </c>
      <c r="Q29" s="36">
        <f>YEAR(B29)</f>
        <v/>
      </c>
      <c r="R29" s="36">
        <f>"Q"&amp;ROUNDUP(MONTH(B29)/3,0)</f>
        <v/>
      </c>
      <c r="S29" s="36">
        <f>MONTH(B29)</f>
        <v/>
      </c>
      <c r="T29" s="36">
        <f>TEXT(B29,"mmm")</f>
        <v/>
      </c>
      <c r="U29" s="36">
        <f>IF(AND(OR(sel_Region="All",C29=sel_Region),OR(sel_Country="All",D29=sel_Country),OR(sel_Channel="All",E29=sel_Channel),OR(sel_Customer="All",F29=sel_Customer),OR(sel_Category="All",G29=sel_Category),OR(sel_Product="All",H29=sel_Product),AND(S29&gt;=m_From,S29&lt;=m_To)),1,0)</f>
        <v/>
      </c>
      <c r="V29" s="36">
        <f>IF(AND(OR(sel_Region="All",C29=sel_Region),OR(sel_Channel="All",E29=sel_Channel),OR(sel_Customer="All",F29=sel_Customer),OR(sel_Category="All",G29=sel_Category),OR(sel_Product="All",H29=sel_Product),AND(S29&gt;=m_From,S29&lt;=m_To)),1,0)</f>
        <v/>
      </c>
      <c r="W29" s="36">
        <f>IF(AND(OR(sel_Region="All",C29=sel_Region),OR(sel_Country="All",D29=sel_Country),OR(sel_Customer="All",F29=sel_Customer),OR(sel_Category="All",G29=sel_Category),OR(sel_Product="All",H29=sel_Product),AND(S29&gt;=m_From,S29&lt;=m_To)),1,0)</f>
        <v/>
      </c>
      <c r="X29" s="36">
        <f>IF(AND(OR(sel_Region="All",C29=sel_Region),OR(sel_Country="All",D29=sel_Country),OR(sel_Channel="All",E29=sel_Channel),OR(sel_Category="All",G29=sel_Category),OR(sel_Product="All",H29=sel_Product),AND(S29&gt;=m_From,S29&lt;=m_To)),1,0)</f>
        <v/>
      </c>
      <c r="Y29" s="36">
        <f>IF(AND(OR(sel_Region="All",C29=sel_Region),OR(sel_Country="All",D29=sel_Country),OR(sel_Channel="All",E29=sel_Channel),OR(sel_Customer="All",F29=sel_Customer),OR(sel_Product="All",H29=sel_Product),AND(S29&gt;=m_From,S29&lt;=m_To)),1,0)</f>
        <v/>
      </c>
      <c r="Z29" s="36">
        <f>IF(AND(OR(sel_Region="All",C29=sel_Region),OR(sel_Country="All",D29=sel_Country),OR(sel_Channel="All",E29=sel_Channel),OR(sel_Customer="All",F29=sel_Customer),OR(sel_Category="All",G29=sel_Category),AND(S29&gt;=m_From,S29&lt;=m_To)),1,0)</f>
        <v/>
      </c>
      <c r="AA29" s="36">
        <f>IF(AND(OR(sel_Region="All",C29=sel_Region),OR(sel_Country="All",D29=sel_Country),OR(sel_Channel="All",E29=sel_Channel),OR(sel_Customer="All",F29=sel_Customer),OR(sel_Category="All",G29=sel_Category),OR(sel_Product="All",H29=sel_Product)),1,0)</f>
        <v/>
      </c>
    </row>
    <row r="30">
      <c r="A30" s="36" t="inlineStr">
        <is>
          <t>01118</t>
        </is>
      </c>
      <c r="B30" s="44" t="n">
        <v>46029</v>
      </c>
      <c r="C30" s="36" t="inlineStr">
        <is>
          <t>Central Europe</t>
        </is>
      </c>
      <c r="D30" s="36" t="inlineStr">
        <is>
          <t>Germany</t>
        </is>
      </c>
      <c r="E30" s="36" t="inlineStr">
        <is>
          <t>Online Store</t>
        </is>
      </c>
      <c r="F30" s="36" t="inlineStr">
        <is>
          <t>Returning</t>
        </is>
      </c>
      <c r="G30" s="36" t="inlineStr">
        <is>
          <t>Travel</t>
        </is>
      </c>
      <c r="H30" s="36" t="inlineStr">
        <is>
          <t>Carry-On Duffel</t>
        </is>
      </c>
      <c r="I30" s="36" t="n">
        <v>2</v>
      </c>
      <c r="J30" s="39" t="n">
        <v>131.64</v>
      </c>
      <c r="K30" s="45" t="n">
        <v>0.05</v>
      </c>
      <c r="L30" s="39" t="n">
        <v>69.02</v>
      </c>
      <c r="M30" s="39">
        <f>I30*J30*(1-K30)</f>
        <v/>
      </c>
      <c r="N30" s="39">
        <f>I30*L30</f>
        <v/>
      </c>
      <c r="O30" s="39">
        <f>M30-N30</f>
        <v/>
      </c>
      <c r="P30" s="38">
        <f>IF(M30=0,0,O30/M30)</f>
        <v/>
      </c>
      <c r="Q30" s="36">
        <f>YEAR(B30)</f>
        <v/>
      </c>
      <c r="R30" s="36">
        <f>"Q"&amp;ROUNDUP(MONTH(B30)/3,0)</f>
        <v/>
      </c>
      <c r="S30" s="36">
        <f>MONTH(B30)</f>
        <v/>
      </c>
      <c r="T30" s="36">
        <f>TEXT(B30,"mmm")</f>
        <v/>
      </c>
      <c r="U30" s="36">
        <f>IF(AND(OR(sel_Region="All",C30=sel_Region),OR(sel_Country="All",D30=sel_Country),OR(sel_Channel="All",E30=sel_Channel),OR(sel_Customer="All",F30=sel_Customer),OR(sel_Category="All",G30=sel_Category),OR(sel_Product="All",H30=sel_Product),AND(S30&gt;=m_From,S30&lt;=m_To)),1,0)</f>
        <v/>
      </c>
      <c r="V30" s="36">
        <f>IF(AND(OR(sel_Region="All",C30=sel_Region),OR(sel_Channel="All",E30=sel_Channel),OR(sel_Customer="All",F30=sel_Customer),OR(sel_Category="All",G30=sel_Category),OR(sel_Product="All",H30=sel_Product),AND(S30&gt;=m_From,S30&lt;=m_To)),1,0)</f>
        <v/>
      </c>
      <c r="W30" s="36">
        <f>IF(AND(OR(sel_Region="All",C30=sel_Region),OR(sel_Country="All",D30=sel_Country),OR(sel_Customer="All",F30=sel_Customer),OR(sel_Category="All",G30=sel_Category),OR(sel_Product="All",H30=sel_Product),AND(S30&gt;=m_From,S30&lt;=m_To)),1,0)</f>
        <v/>
      </c>
      <c r="X30" s="36">
        <f>IF(AND(OR(sel_Region="All",C30=sel_Region),OR(sel_Country="All",D30=sel_Country),OR(sel_Channel="All",E30=sel_Channel),OR(sel_Category="All",G30=sel_Category),OR(sel_Product="All",H30=sel_Product),AND(S30&gt;=m_From,S30&lt;=m_To)),1,0)</f>
        <v/>
      </c>
      <c r="Y30" s="36">
        <f>IF(AND(OR(sel_Region="All",C30=sel_Region),OR(sel_Country="All",D30=sel_Country),OR(sel_Channel="All",E30=sel_Channel),OR(sel_Customer="All",F30=sel_Customer),OR(sel_Product="All",H30=sel_Product),AND(S30&gt;=m_From,S30&lt;=m_To)),1,0)</f>
        <v/>
      </c>
      <c r="Z30" s="36">
        <f>IF(AND(OR(sel_Region="All",C30=sel_Region),OR(sel_Country="All",D30=sel_Country),OR(sel_Channel="All",E30=sel_Channel),OR(sel_Customer="All",F30=sel_Customer),OR(sel_Category="All",G30=sel_Category),AND(S30&gt;=m_From,S30&lt;=m_To)),1,0)</f>
        <v/>
      </c>
      <c r="AA30" s="36">
        <f>IF(AND(OR(sel_Region="All",C30=sel_Region),OR(sel_Country="All",D30=sel_Country),OR(sel_Channel="All",E30=sel_Channel),OR(sel_Customer="All",F30=sel_Customer),OR(sel_Category="All",G30=sel_Category),OR(sel_Product="All",H30=sel_Product)),1,0)</f>
        <v/>
      </c>
    </row>
    <row r="31">
      <c r="A31" s="36" t="inlineStr">
        <is>
          <t>03023</t>
        </is>
      </c>
      <c r="B31" s="44" t="n">
        <v>46029</v>
      </c>
      <c r="C31" s="36" t="inlineStr">
        <is>
          <t>Northern Europe</t>
        </is>
      </c>
      <c r="D31" s="36" t="inlineStr">
        <is>
          <t>Ireland</t>
        </is>
      </c>
      <c r="E31" s="36" t="inlineStr">
        <is>
          <t>Marketplace</t>
        </is>
      </c>
      <c r="F31" s="36" t="inlineStr">
        <is>
          <t>New</t>
        </is>
      </c>
      <c r="G31" s="36" t="inlineStr">
        <is>
          <t>Hiking</t>
        </is>
      </c>
      <c r="H31" s="36" t="inlineStr">
        <is>
          <t>Summit Backpack 45L</t>
        </is>
      </c>
      <c r="I31" s="36" t="n">
        <v>2</v>
      </c>
      <c r="J31" s="39" t="n">
        <v>155.35</v>
      </c>
      <c r="K31" s="45" t="n">
        <v>0</v>
      </c>
      <c r="L31" s="39" t="n">
        <v>80.79000000000001</v>
      </c>
      <c r="M31" s="39">
        <f>I31*J31*(1-K31)</f>
        <v/>
      </c>
      <c r="N31" s="39">
        <f>I31*L31</f>
        <v/>
      </c>
      <c r="O31" s="39">
        <f>M31-N31</f>
        <v/>
      </c>
      <c r="P31" s="38">
        <f>IF(M31=0,0,O31/M31)</f>
        <v/>
      </c>
      <c r="Q31" s="36">
        <f>YEAR(B31)</f>
        <v/>
      </c>
      <c r="R31" s="36">
        <f>"Q"&amp;ROUNDUP(MONTH(B31)/3,0)</f>
        <v/>
      </c>
      <c r="S31" s="36">
        <f>MONTH(B31)</f>
        <v/>
      </c>
      <c r="T31" s="36">
        <f>TEXT(B31,"mmm")</f>
        <v/>
      </c>
      <c r="U31" s="36">
        <f>IF(AND(OR(sel_Region="All",C31=sel_Region),OR(sel_Country="All",D31=sel_Country),OR(sel_Channel="All",E31=sel_Channel),OR(sel_Customer="All",F31=sel_Customer),OR(sel_Category="All",G31=sel_Category),OR(sel_Product="All",H31=sel_Product),AND(S31&gt;=m_From,S31&lt;=m_To)),1,0)</f>
        <v/>
      </c>
      <c r="V31" s="36">
        <f>IF(AND(OR(sel_Region="All",C31=sel_Region),OR(sel_Channel="All",E31=sel_Channel),OR(sel_Customer="All",F31=sel_Customer),OR(sel_Category="All",G31=sel_Category),OR(sel_Product="All",H31=sel_Product),AND(S31&gt;=m_From,S31&lt;=m_To)),1,0)</f>
        <v/>
      </c>
      <c r="W31" s="36">
        <f>IF(AND(OR(sel_Region="All",C31=sel_Region),OR(sel_Country="All",D31=sel_Country),OR(sel_Customer="All",F31=sel_Customer),OR(sel_Category="All",G31=sel_Category),OR(sel_Product="All",H31=sel_Product),AND(S31&gt;=m_From,S31&lt;=m_To)),1,0)</f>
        <v/>
      </c>
      <c r="X31" s="36">
        <f>IF(AND(OR(sel_Region="All",C31=sel_Region),OR(sel_Country="All",D31=sel_Country),OR(sel_Channel="All",E31=sel_Channel),OR(sel_Category="All",G31=sel_Category),OR(sel_Product="All",H31=sel_Product),AND(S31&gt;=m_From,S31&lt;=m_To)),1,0)</f>
        <v/>
      </c>
      <c r="Y31" s="36">
        <f>IF(AND(OR(sel_Region="All",C31=sel_Region),OR(sel_Country="All",D31=sel_Country),OR(sel_Channel="All",E31=sel_Channel),OR(sel_Customer="All",F31=sel_Customer),OR(sel_Product="All",H31=sel_Product),AND(S31&gt;=m_From,S31&lt;=m_To)),1,0)</f>
        <v/>
      </c>
      <c r="Z31" s="36">
        <f>IF(AND(OR(sel_Region="All",C31=sel_Region),OR(sel_Country="All",D31=sel_Country),OR(sel_Channel="All",E31=sel_Channel),OR(sel_Customer="All",F31=sel_Customer),OR(sel_Category="All",G31=sel_Category),AND(S31&gt;=m_From,S31&lt;=m_To)),1,0)</f>
        <v/>
      </c>
      <c r="AA31" s="36">
        <f>IF(AND(OR(sel_Region="All",C31=sel_Region),OR(sel_Country="All",D31=sel_Country),OR(sel_Channel="All",E31=sel_Channel),OR(sel_Customer="All",F31=sel_Customer),OR(sel_Category="All",G31=sel_Category),OR(sel_Product="All",H31=sel_Product)),1,0)</f>
        <v/>
      </c>
    </row>
    <row r="32">
      <c r="A32" s="36" t="inlineStr">
        <is>
          <t>03903</t>
        </is>
      </c>
      <c r="B32" s="44" t="n">
        <v>46029</v>
      </c>
      <c r="C32" s="36" t="inlineStr">
        <is>
          <t>Western Europe</t>
        </is>
      </c>
      <c r="D32" s="36" t="inlineStr">
        <is>
          <t>United Kingdom</t>
        </is>
      </c>
      <c r="E32" s="36" t="inlineStr">
        <is>
          <t>Online Store</t>
        </is>
      </c>
      <c r="F32" s="36" t="inlineStr">
        <is>
          <t>Returning</t>
        </is>
      </c>
      <c r="G32" s="36" t="inlineStr">
        <is>
          <t>Fitness</t>
        </is>
      </c>
      <c r="H32" s="36" t="inlineStr">
        <is>
          <t>Training Mat</t>
        </is>
      </c>
      <c r="I32" s="36" t="n">
        <v>2</v>
      </c>
      <c r="J32" s="39" t="n">
        <v>51.56</v>
      </c>
      <c r="K32" s="45" t="n">
        <v>0.05</v>
      </c>
      <c r="L32" s="39" t="n">
        <v>22.26</v>
      </c>
      <c r="M32" s="39">
        <f>I32*J32*(1-K32)</f>
        <v/>
      </c>
      <c r="N32" s="39">
        <f>I32*L32</f>
        <v/>
      </c>
      <c r="O32" s="39">
        <f>M32-N32</f>
        <v/>
      </c>
      <c r="P32" s="38">
        <f>IF(M32=0,0,O32/M32)</f>
        <v/>
      </c>
      <c r="Q32" s="36">
        <f>YEAR(B32)</f>
        <v/>
      </c>
      <c r="R32" s="36">
        <f>"Q"&amp;ROUNDUP(MONTH(B32)/3,0)</f>
        <v/>
      </c>
      <c r="S32" s="36">
        <f>MONTH(B32)</f>
        <v/>
      </c>
      <c r="T32" s="36">
        <f>TEXT(B32,"mmm")</f>
        <v/>
      </c>
      <c r="U32" s="36">
        <f>IF(AND(OR(sel_Region="All",C32=sel_Region),OR(sel_Country="All",D32=sel_Country),OR(sel_Channel="All",E32=sel_Channel),OR(sel_Customer="All",F32=sel_Customer),OR(sel_Category="All",G32=sel_Category),OR(sel_Product="All",H32=sel_Product),AND(S32&gt;=m_From,S32&lt;=m_To)),1,0)</f>
        <v/>
      </c>
      <c r="V32" s="36">
        <f>IF(AND(OR(sel_Region="All",C32=sel_Region),OR(sel_Channel="All",E32=sel_Channel),OR(sel_Customer="All",F32=sel_Customer),OR(sel_Category="All",G32=sel_Category),OR(sel_Product="All",H32=sel_Product),AND(S32&gt;=m_From,S32&lt;=m_To)),1,0)</f>
        <v/>
      </c>
      <c r="W32" s="36">
        <f>IF(AND(OR(sel_Region="All",C32=sel_Region),OR(sel_Country="All",D32=sel_Country),OR(sel_Customer="All",F32=sel_Customer),OR(sel_Category="All",G32=sel_Category),OR(sel_Product="All",H32=sel_Product),AND(S32&gt;=m_From,S32&lt;=m_To)),1,0)</f>
        <v/>
      </c>
      <c r="X32" s="36">
        <f>IF(AND(OR(sel_Region="All",C32=sel_Region),OR(sel_Country="All",D32=sel_Country),OR(sel_Channel="All",E32=sel_Channel),OR(sel_Category="All",G32=sel_Category),OR(sel_Product="All",H32=sel_Product),AND(S32&gt;=m_From,S32&lt;=m_To)),1,0)</f>
        <v/>
      </c>
      <c r="Y32" s="36">
        <f>IF(AND(OR(sel_Region="All",C32=sel_Region),OR(sel_Country="All",D32=sel_Country),OR(sel_Channel="All",E32=sel_Channel),OR(sel_Customer="All",F32=sel_Customer),OR(sel_Product="All",H32=sel_Product),AND(S32&gt;=m_From,S32&lt;=m_To)),1,0)</f>
        <v/>
      </c>
      <c r="Z32" s="36">
        <f>IF(AND(OR(sel_Region="All",C32=sel_Region),OR(sel_Country="All",D32=sel_Country),OR(sel_Channel="All",E32=sel_Channel),OR(sel_Customer="All",F32=sel_Customer),OR(sel_Category="All",G32=sel_Category),AND(S32&gt;=m_From,S32&lt;=m_To)),1,0)</f>
        <v/>
      </c>
      <c r="AA32" s="36">
        <f>IF(AND(OR(sel_Region="All",C32=sel_Region),OR(sel_Country="All",D32=sel_Country),OR(sel_Channel="All",E32=sel_Channel),OR(sel_Customer="All",F32=sel_Customer),OR(sel_Category="All",G32=sel_Category),OR(sel_Product="All",H32=sel_Product)),1,0)</f>
        <v/>
      </c>
    </row>
    <row r="33">
      <c r="A33" s="36" t="inlineStr">
        <is>
          <t>00062</t>
        </is>
      </c>
      <c r="B33" s="44" t="n">
        <v>46030</v>
      </c>
      <c r="C33" s="36" t="inlineStr">
        <is>
          <t>Central Europe</t>
        </is>
      </c>
      <c r="D33" s="36" t="inlineStr">
        <is>
          <t>Germany</t>
        </is>
      </c>
      <c r="E33" s="36" t="inlineStr">
        <is>
          <t>Online Store</t>
        </is>
      </c>
      <c r="F33" s="36" t="inlineStr">
        <is>
          <t>New</t>
        </is>
      </c>
      <c r="G33" s="36" t="inlineStr">
        <is>
          <t>Cycling</t>
        </is>
      </c>
      <c r="H33" s="36" t="inlineStr">
        <is>
          <t>Trail Bike Light</t>
        </is>
      </c>
      <c r="I33" s="36" t="n">
        <v>2</v>
      </c>
      <c r="J33" s="39" t="n">
        <v>51.63</v>
      </c>
      <c r="K33" s="45" t="n">
        <v>0</v>
      </c>
      <c r="L33" s="39" t="n">
        <v>22.54</v>
      </c>
      <c r="M33" s="39">
        <f>I33*J33*(1-K33)</f>
        <v/>
      </c>
      <c r="N33" s="39">
        <f>I33*L33</f>
        <v/>
      </c>
      <c r="O33" s="39">
        <f>M33-N33</f>
        <v/>
      </c>
      <c r="P33" s="38">
        <f>IF(M33=0,0,O33/M33)</f>
        <v/>
      </c>
      <c r="Q33" s="36">
        <f>YEAR(B33)</f>
        <v/>
      </c>
      <c r="R33" s="36">
        <f>"Q"&amp;ROUNDUP(MONTH(B33)/3,0)</f>
        <v/>
      </c>
      <c r="S33" s="36">
        <f>MONTH(B33)</f>
        <v/>
      </c>
      <c r="T33" s="36">
        <f>TEXT(B33,"mmm")</f>
        <v/>
      </c>
      <c r="U33" s="36">
        <f>IF(AND(OR(sel_Region="All",C33=sel_Region),OR(sel_Country="All",D33=sel_Country),OR(sel_Channel="All",E33=sel_Channel),OR(sel_Customer="All",F33=sel_Customer),OR(sel_Category="All",G33=sel_Category),OR(sel_Product="All",H33=sel_Product),AND(S33&gt;=m_From,S33&lt;=m_To)),1,0)</f>
        <v/>
      </c>
      <c r="V33" s="36">
        <f>IF(AND(OR(sel_Region="All",C33=sel_Region),OR(sel_Channel="All",E33=sel_Channel),OR(sel_Customer="All",F33=sel_Customer),OR(sel_Category="All",G33=sel_Category),OR(sel_Product="All",H33=sel_Product),AND(S33&gt;=m_From,S33&lt;=m_To)),1,0)</f>
        <v/>
      </c>
      <c r="W33" s="36">
        <f>IF(AND(OR(sel_Region="All",C33=sel_Region),OR(sel_Country="All",D33=sel_Country),OR(sel_Customer="All",F33=sel_Customer),OR(sel_Category="All",G33=sel_Category),OR(sel_Product="All",H33=sel_Product),AND(S33&gt;=m_From,S33&lt;=m_To)),1,0)</f>
        <v/>
      </c>
      <c r="X33" s="36">
        <f>IF(AND(OR(sel_Region="All",C33=sel_Region),OR(sel_Country="All",D33=sel_Country),OR(sel_Channel="All",E33=sel_Channel),OR(sel_Category="All",G33=sel_Category),OR(sel_Product="All",H33=sel_Product),AND(S33&gt;=m_From,S33&lt;=m_To)),1,0)</f>
        <v/>
      </c>
      <c r="Y33" s="36">
        <f>IF(AND(OR(sel_Region="All",C33=sel_Region),OR(sel_Country="All",D33=sel_Country),OR(sel_Channel="All",E33=sel_Channel),OR(sel_Customer="All",F33=sel_Customer),OR(sel_Product="All",H33=sel_Product),AND(S33&gt;=m_From,S33&lt;=m_To)),1,0)</f>
        <v/>
      </c>
      <c r="Z33" s="36">
        <f>IF(AND(OR(sel_Region="All",C33=sel_Region),OR(sel_Country="All",D33=sel_Country),OR(sel_Channel="All",E33=sel_Channel),OR(sel_Customer="All",F33=sel_Customer),OR(sel_Category="All",G33=sel_Category),AND(S33&gt;=m_From,S33&lt;=m_To)),1,0)</f>
        <v/>
      </c>
      <c r="AA33" s="36">
        <f>IF(AND(OR(sel_Region="All",C33=sel_Region),OR(sel_Country="All",D33=sel_Country),OR(sel_Channel="All",E33=sel_Channel),OR(sel_Customer="All",F33=sel_Customer),OR(sel_Category="All",G33=sel_Category),OR(sel_Product="All",H33=sel_Product)),1,0)</f>
        <v/>
      </c>
    </row>
    <row r="34">
      <c r="A34" s="36" t="inlineStr">
        <is>
          <t>00142</t>
        </is>
      </c>
      <c r="B34" s="44" t="n">
        <v>46030</v>
      </c>
      <c r="C34" s="36" t="inlineStr">
        <is>
          <t>Southern Europe</t>
        </is>
      </c>
      <c r="D34" s="36" t="inlineStr">
        <is>
          <t>Portugal</t>
        </is>
      </c>
      <c r="E34" s="36" t="inlineStr">
        <is>
          <t>Corporate</t>
        </is>
      </c>
      <c r="F34" s="36" t="inlineStr">
        <is>
          <t>Business</t>
        </is>
      </c>
      <c r="G34" s="36" t="inlineStr">
        <is>
          <t>Camping</t>
        </is>
      </c>
      <c r="H34" s="36" t="inlineStr">
        <is>
          <t>Alpine Tent 4P</t>
        </is>
      </c>
      <c r="I34" s="36" t="n">
        <v>5</v>
      </c>
      <c r="J34" s="39" t="n">
        <v>344.88</v>
      </c>
      <c r="K34" s="45" t="n">
        <v>0.15</v>
      </c>
      <c r="L34" s="39" t="n">
        <v>190.66</v>
      </c>
      <c r="M34" s="39">
        <f>I34*J34*(1-K34)</f>
        <v/>
      </c>
      <c r="N34" s="39">
        <f>I34*L34</f>
        <v/>
      </c>
      <c r="O34" s="39">
        <f>M34-N34</f>
        <v/>
      </c>
      <c r="P34" s="38">
        <f>IF(M34=0,0,O34/M34)</f>
        <v/>
      </c>
      <c r="Q34" s="36">
        <f>YEAR(B34)</f>
        <v/>
      </c>
      <c r="R34" s="36">
        <f>"Q"&amp;ROUNDUP(MONTH(B34)/3,0)</f>
        <v/>
      </c>
      <c r="S34" s="36">
        <f>MONTH(B34)</f>
        <v/>
      </c>
      <c r="T34" s="36">
        <f>TEXT(B34,"mmm")</f>
        <v/>
      </c>
      <c r="U34" s="36">
        <f>IF(AND(OR(sel_Region="All",C34=sel_Region),OR(sel_Country="All",D34=sel_Country),OR(sel_Channel="All",E34=sel_Channel),OR(sel_Customer="All",F34=sel_Customer),OR(sel_Category="All",G34=sel_Category),OR(sel_Product="All",H34=sel_Product),AND(S34&gt;=m_From,S34&lt;=m_To)),1,0)</f>
        <v/>
      </c>
      <c r="V34" s="36">
        <f>IF(AND(OR(sel_Region="All",C34=sel_Region),OR(sel_Channel="All",E34=sel_Channel),OR(sel_Customer="All",F34=sel_Customer),OR(sel_Category="All",G34=sel_Category),OR(sel_Product="All",H34=sel_Product),AND(S34&gt;=m_From,S34&lt;=m_To)),1,0)</f>
        <v/>
      </c>
      <c r="W34" s="36">
        <f>IF(AND(OR(sel_Region="All",C34=sel_Region),OR(sel_Country="All",D34=sel_Country),OR(sel_Customer="All",F34=sel_Customer),OR(sel_Category="All",G34=sel_Category),OR(sel_Product="All",H34=sel_Product),AND(S34&gt;=m_From,S34&lt;=m_To)),1,0)</f>
        <v/>
      </c>
      <c r="X34" s="36">
        <f>IF(AND(OR(sel_Region="All",C34=sel_Region),OR(sel_Country="All",D34=sel_Country),OR(sel_Channel="All",E34=sel_Channel),OR(sel_Category="All",G34=sel_Category),OR(sel_Product="All",H34=sel_Product),AND(S34&gt;=m_From,S34&lt;=m_To)),1,0)</f>
        <v/>
      </c>
      <c r="Y34" s="36">
        <f>IF(AND(OR(sel_Region="All",C34=sel_Region),OR(sel_Country="All",D34=sel_Country),OR(sel_Channel="All",E34=sel_Channel),OR(sel_Customer="All",F34=sel_Customer),OR(sel_Product="All",H34=sel_Product),AND(S34&gt;=m_From,S34&lt;=m_To)),1,0)</f>
        <v/>
      </c>
      <c r="Z34" s="36">
        <f>IF(AND(OR(sel_Region="All",C34=sel_Region),OR(sel_Country="All",D34=sel_Country),OR(sel_Channel="All",E34=sel_Channel),OR(sel_Customer="All",F34=sel_Customer),OR(sel_Category="All",G34=sel_Category),AND(S34&gt;=m_From,S34&lt;=m_To)),1,0)</f>
        <v/>
      </c>
      <c r="AA34" s="36">
        <f>IF(AND(OR(sel_Region="All",C34=sel_Region),OR(sel_Country="All",D34=sel_Country),OR(sel_Channel="All",E34=sel_Channel),OR(sel_Customer="All",F34=sel_Customer),OR(sel_Category="All",G34=sel_Category),OR(sel_Product="All",H34=sel_Product)),1,0)</f>
        <v/>
      </c>
    </row>
    <row r="35">
      <c r="A35" s="36" t="inlineStr">
        <is>
          <t>00450</t>
        </is>
      </c>
      <c r="B35" s="44" t="n">
        <v>46030</v>
      </c>
      <c r="C35" s="36" t="inlineStr">
        <is>
          <t>Northern Europe</t>
        </is>
      </c>
      <c r="D35" s="36" t="inlineStr">
        <is>
          <t>Ireland</t>
        </is>
      </c>
      <c r="E35" s="36" t="inlineStr">
        <is>
          <t>Retail Partners</t>
        </is>
      </c>
      <c r="F35" s="36" t="inlineStr">
        <is>
          <t>New</t>
        </is>
      </c>
      <c r="G35" s="36" t="inlineStr">
        <is>
          <t>Hiking</t>
        </is>
      </c>
      <c r="H35" s="36" t="inlineStr">
        <is>
          <t>Hiking Daypack 20L</t>
        </is>
      </c>
      <c r="I35" s="36" t="n">
        <v>2</v>
      </c>
      <c r="J35" s="39" t="n">
        <v>94.06</v>
      </c>
      <c r="K35" s="45" t="n">
        <v>0.15</v>
      </c>
      <c r="L35" s="39" t="n">
        <v>46.33</v>
      </c>
      <c r="M35" s="39">
        <f>I35*J35*(1-K35)</f>
        <v/>
      </c>
      <c r="N35" s="39">
        <f>I35*L35</f>
        <v/>
      </c>
      <c r="O35" s="39">
        <f>M35-N35</f>
        <v/>
      </c>
      <c r="P35" s="38">
        <f>IF(M35=0,0,O35/M35)</f>
        <v/>
      </c>
      <c r="Q35" s="36">
        <f>YEAR(B35)</f>
        <v/>
      </c>
      <c r="R35" s="36">
        <f>"Q"&amp;ROUNDUP(MONTH(B35)/3,0)</f>
        <v/>
      </c>
      <c r="S35" s="36">
        <f>MONTH(B35)</f>
        <v/>
      </c>
      <c r="T35" s="36">
        <f>TEXT(B35,"mmm")</f>
        <v/>
      </c>
      <c r="U35" s="36">
        <f>IF(AND(OR(sel_Region="All",C35=sel_Region),OR(sel_Country="All",D35=sel_Country),OR(sel_Channel="All",E35=sel_Channel),OR(sel_Customer="All",F35=sel_Customer),OR(sel_Category="All",G35=sel_Category),OR(sel_Product="All",H35=sel_Product),AND(S35&gt;=m_From,S35&lt;=m_To)),1,0)</f>
        <v/>
      </c>
      <c r="V35" s="36">
        <f>IF(AND(OR(sel_Region="All",C35=sel_Region),OR(sel_Channel="All",E35=sel_Channel),OR(sel_Customer="All",F35=sel_Customer),OR(sel_Category="All",G35=sel_Category),OR(sel_Product="All",H35=sel_Product),AND(S35&gt;=m_From,S35&lt;=m_To)),1,0)</f>
        <v/>
      </c>
      <c r="W35" s="36">
        <f>IF(AND(OR(sel_Region="All",C35=sel_Region),OR(sel_Country="All",D35=sel_Country),OR(sel_Customer="All",F35=sel_Customer),OR(sel_Category="All",G35=sel_Category),OR(sel_Product="All",H35=sel_Product),AND(S35&gt;=m_From,S35&lt;=m_To)),1,0)</f>
        <v/>
      </c>
      <c r="X35" s="36">
        <f>IF(AND(OR(sel_Region="All",C35=sel_Region),OR(sel_Country="All",D35=sel_Country),OR(sel_Channel="All",E35=sel_Channel),OR(sel_Category="All",G35=sel_Category),OR(sel_Product="All",H35=sel_Product),AND(S35&gt;=m_From,S35&lt;=m_To)),1,0)</f>
        <v/>
      </c>
      <c r="Y35" s="36">
        <f>IF(AND(OR(sel_Region="All",C35=sel_Region),OR(sel_Country="All",D35=sel_Country),OR(sel_Channel="All",E35=sel_Channel),OR(sel_Customer="All",F35=sel_Customer),OR(sel_Product="All",H35=sel_Product),AND(S35&gt;=m_From,S35&lt;=m_To)),1,0)</f>
        <v/>
      </c>
      <c r="Z35" s="36">
        <f>IF(AND(OR(sel_Region="All",C35=sel_Region),OR(sel_Country="All",D35=sel_Country),OR(sel_Channel="All",E35=sel_Channel),OR(sel_Customer="All",F35=sel_Customer),OR(sel_Category="All",G35=sel_Category),AND(S35&gt;=m_From,S35&lt;=m_To)),1,0)</f>
        <v/>
      </c>
      <c r="AA35" s="36">
        <f>IF(AND(OR(sel_Region="All",C35=sel_Region),OR(sel_Country="All",D35=sel_Country),OR(sel_Channel="All",E35=sel_Channel),OR(sel_Customer="All",F35=sel_Customer),OR(sel_Category="All",G35=sel_Category),OR(sel_Product="All",H35=sel_Product)),1,0)</f>
        <v/>
      </c>
    </row>
    <row r="36">
      <c r="A36" s="36" t="inlineStr">
        <is>
          <t>04397</t>
        </is>
      </c>
      <c r="B36" s="44" t="n">
        <v>46030</v>
      </c>
      <c r="C36" s="36" t="inlineStr">
        <is>
          <t>Southern Europe</t>
        </is>
      </c>
      <c r="D36" s="36" t="inlineStr">
        <is>
          <t>Spain</t>
        </is>
      </c>
      <c r="E36" s="36" t="inlineStr">
        <is>
          <t>Online Store</t>
        </is>
      </c>
      <c r="F36" s="36" t="inlineStr">
        <is>
          <t>Business</t>
        </is>
      </c>
      <c r="G36" s="36" t="inlineStr">
        <is>
          <t>Hiking</t>
        </is>
      </c>
      <c r="H36" s="36" t="inlineStr">
        <is>
          <t>Trekking Poles</t>
        </is>
      </c>
      <c r="I36" s="36" t="n">
        <v>1</v>
      </c>
      <c r="J36" s="39" t="n">
        <v>72.38</v>
      </c>
      <c r="K36" s="45" t="n">
        <v>0</v>
      </c>
      <c r="L36" s="39" t="n">
        <v>31.65</v>
      </c>
      <c r="M36" s="39">
        <f>I36*J36*(1-K36)</f>
        <v/>
      </c>
      <c r="N36" s="39">
        <f>I36*L36</f>
        <v/>
      </c>
      <c r="O36" s="39">
        <f>M36-N36</f>
        <v/>
      </c>
      <c r="P36" s="38">
        <f>IF(M36=0,0,O36/M36)</f>
        <v/>
      </c>
      <c r="Q36" s="36">
        <f>YEAR(B36)</f>
        <v/>
      </c>
      <c r="R36" s="36">
        <f>"Q"&amp;ROUNDUP(MONTH(B36)/3,0)</f>
        <v/>
      </c>
      <c r="S36" s="36">
        <f>MONTH(B36)</f>
        <v/>
      </c>
      <c r="T36" s="36">
        <f>TEXT(B36,"mmm")</f>
        <v/>
      </c>
      <c r="U36" s="36">
        <f>IF(AND(OR(sel_Region="All",C36=sel_Region),OR(sel_Country="All",D36=sel_Country),OR(sel_Channel="All",E36=sel_Channel),OR(sel_Customer="All",F36=sel_Customer),OR(sel_Category="All",G36=sel_Category),OR(sel_Product="All",H36=sel_Product),AND(S36&gt;=m_From,S36&lt;=m_To)),1,0)</f>
        <v/>
      </c>
      <c r="V36" s="36">
        <f>IF(AND(OR(sel_Region="All",C36=sel_Region),OR(sel_Channel="All",E36=sel_Channel),OR(sel_Customer="All",F36=sel_Customer),OR(sel_Category="All",G36=sel_Category),OR(sel_Product="All",H36=sel_Product),AND(S36&gt;=m_From,S36&lt;=m_To)),1,0)</f>
        <v/>
      </c>
      <c r="W36" s="36">
        <f>IF(AND(OR(sel_Region="All",C36=sel_Region),OR(sel_Country="All",D36=sel_Country),OR(sel_Customer="All",F36=sel_Customer),OR(sel_Category="All",G36=sel_Category),OR(sel_Product="All",H36=sel_Product),AND(S36&gt;=m_From,S36&lt;=m_To)),1,0)</f>
        <v/>
      </c>
      <c r="X36" s="36">
        <f>IF(AND(OR(sel_Region="All",C36=sel_Region),OR(sel_Country="All",D36=sel_Country),OR(sel_Channel="All",E36=sel_Channel),OR(sel_Category="All",G36=sel_Category),OR(sel_Product="All",H36=sel_Product),AND(S36&gt;=m_From,S36&lt;=m_To)),1,0)</f>
        <v/>
      </c>
      <c r="Y36" s="36">
        <f>IF(AND(OR(sel_Region="All",C36=sel_Region),OR(sel_Country="All",D36=sel_Country),OR(sel_Channel="All",E36=sel_Channel),OR(sel_Customer="All",F36=sel_Customer),OR(sel_Product="All",H36=sel_Product),AND(S36&gt;=m_From,S36&lt;=m_To)),1,0)</f>
        <v/>
      </c>
      <c r="Z36" s="36">
        <f>IF(AND(OR(sel_Region="All",C36=sel_Region),OR(sel_Country="All",D36=sel_Country),OR(sel_Channel="All",E36=sel_Channel),OR(sel_Customer="All",F36=sel_Customer),OR(sel_Category="All",G36=sel_Category),AND(S36&gt;=m_From,S36&lt;=m_To)),1,0)</f>
        <v/>
      </c>
      <c r="AA36" s="36">
        <f>IF(AND(OR(sel_Region="All",C36=sel_Region),OR(sel_Country="All",D36=sel_Country),OR(sel_Channel="All",E36=sel_Channel),OR(sel_Customer="All",F36=sel_Customer),OR(sel_Category="All",G36=sel_Category),OR(sel_Product="All",H36=sel_Product)),1,0)</f>
        <v/>
      </c>
    </row>
    <row r="37">
      <c r="A37" s="36" t="inlineStr">
        <is>
          <t>04798</t>
        </is>
      </c>
      <c r="B37" s="44" t="n">
        <v>46030</v>
      </c>
      <c r="C37" s="36" t="inlineStr">
        <is>
          <t>Central Europe</t>
        </is>
      </c>
      <c r="D37" s="36" t="inlineStr">
        <is>
          <t>Austria</t>
        </is>
      </c>
      <c r="E37" s="36" t="inlineStr">
        <is>
          <t>Online Store</t>
        </is>
      </c>
      <c r="F37" s="36" t="inlineStr">
        <is>
          <t>New</t>
        </is>
      </c>
      <c r="G37" s="36" t="inlineStr">
        <is>
          <t>Hiking</t>
        </is>
      </c>
      <c r="H37" s="36" t="inlineStr">
        <is>
          <t>Summit Backpack 45L</t>
        </is>
      </c>
      <c r="I37" s="36" t="n">
        <v>1</v>
      </c>
      <c r="J37" s="39" t="n">
        <v>153.69</v>
      </c>
      <c r="K37" s="45" t="n">
        <v>0</v>
      </c>
      <c r="L37" s="39" t="n">
        <v>77.47</v>
      </c>
      <c r="M37" s="39">
        <f>I37*J37*(1-K37)</f>
        <v/>
      </c>
      <c r="N37" s="39">
        <f>I37*L37</f>
        <v/>
      </c>
      <c r="O37" s="39">
        <f>M37-N37</f>
        <v/>
      </c>
      <c r="P37" s="38">
        <f>IF(M37=0,0,O37/M37)</f>
        <v/>
      </c>
      <c r="Q37" s="36">
        <f>YEAR(B37)</f>
        <v/>
      </c>
      <c r="R37" s="36">
        <f>"Q"&amp;ROUNDUP(MONTH(B37)/3,0)</f>
        <v/>
      </c>
      <c r="S37" s="36">
        <f>MONTH(B37)</f>
        <v/>
      </c>
      <c r="T37" s="36">
        <f>TEXT(B37,"mmm")</f>
        <v/>
      </c>
      <c r="U37" s="36">
        <f>IF(AND(OR(sel_Region="All",C37=sel_Region),OR(sel_Country="All",D37=sel_Country),OR(sel_Channel="All",E37=sel_Channel),OR(sel_Customer="All",F37=sel_Customer),OR(sel_Category="All",G37=sel_Category),OR(sel_Product="All",H37=sel_Product),AND(S37&gt;=m_From,S37&lt;=m_To)),1,0)</f>
        <v/>
      </c>
      <c r="V37" s="36">
        <f>IF(AND(OR(sel_Region="All",C37=sel_Region),OR(sel_Channel="All",E37=sel_Channel),OR(sel_Customer="All",F37=sel_Customer),OR(sel_Category="All",G37=sel_Category),OR(sel_Product="All",H37=sel_Product),AND(S37&gt;=m_From,S37&lt;=m_To)),1,0)</f>
        <v/>
      </c>
      <c r="W37" s="36">
        <f>IF(AND(OR(sel_Region="All",C37=sel_Region),OR(sel_Country="All",D37=sel_Country),OR(sel_Customer="All",F37=sel_Customer),OR(sel_Category="All",G37=sel_Category),OR(sel_Product="All",H37=sel_Product),AND(S37&gt;=m_From,S37&lt;=m_To)),1,0)</f>
        <v/>
      </c>
      <c r="X37" s="36">
        <f>IF(AND(OR(sel_Region="All",C37=sel_Region),OR(sel_Country="All",D37=sel_Country),OR(sel_Channel="All",E37=sel_Channel),OR(sel_Category="All",G37=sel_Category),OR(sel_Product="All",H37=sel_Product),AND(S37&gt;=m_From,S37&lt;=m_To)),1,0)</f>
        <v/>
      </c>
      <c r="Y37" s="36">
        <f>IF(AND(OR(sel_Region="All",C37=sel_Region),OR(sel_Country="All",D37=sel_Country),OR(sel_Channel="All",E37=sel_Channel),OR(sel_Customer="All",F37=sel_Customer),OR(sel_Product="All",H37=sel_Product),AND(S37&gt;=m_From,S37&lt;=m_To)),1,0)</f>
        <v/>
      </c>
      <c r="Z37" s="36">
        <f>IF(AND(OR(sel_Region="All",C37=sel_Region),OR(sel_Country="All",D37=sel_Country),OR(sel_Channel="All",E37=sel_Channel),OR(sel_Customer="All",F37=sel_Customer),OR(sel_Category="All",G37=sel_Category),AND(S37&gt;=m_From,S37&lt;=m_To)),1,0)</f>
        <v/>
      </c>
      <c r="AA37" s="36">
        <f>IF(AND(OR(sel_Region="All",C37=sel_Region),OR(sel_Country="All",D37=sel_Country),OR(sel_Channel="All",E37=sel_Channel),OR(sel_Customer="All",F37=sel_Customer),OR(sel_Category="All",G37=sel_Category),OR(sel_Product="All",H37=sel_Product)),1,0)</f>
        <v/>
      </c>
    </row>
    <row r="38">
      <c r="A38" s="36" t="inlineStr">
        <is>
          <t>00136</t>
        </is>
      </c>
      <c r="B38" s="44" t="n">
        <v>46031</v>
      </c>
      <c r="C38" s="36" t="inlineStr">
        <is>
          <t>Western Europe</t>
        </is>
      </c>
      <c r="D38" s="36" t="inlineStr">
        <is>
          <t>France</t>
        </is>
      </c>
      <c r="E38" s="36" t="inlineStr">
        <is>
          <t>Corporate</t>
        </is>
      </c>
      <c r="F38" s="36" t="inlineStr">
        <is>
          <t>Business</t>
        </is>
      </c>
      <c r="G38" s="36" t="inlineStr">
        <is>
          <t>Travel</t>
        </is>
      </c>
      <c r="H38" s="36" t="inlineStr">
        <is>
          <t>Travel Backpack 35L</t>
        </is>
      </c>
      <c r="I38" s="36" t="n">
        <v>15</v>
      </c>
      <c r="J38" s="39" t="n">
        <v>168.62</v>
      </c>
      <c r="K38" s="45" t="n">
        <v>0.05</v>
      </c>
      <c r="L38" s="39" t="n">
        <v>86.09</v>
      </c>
      <c r="M38" s="39">
        <f>I38*J38*(1-K38)</f>
        <v/>
      </c>
      <c r="N38" s="39">
        <f>I38*L38</f>
        <v/>
      </c>
      <c r="O38" s="39">
        <f>M38-N38</f>
        <v/>
      </c>
      <c r="P38" s="38">
        <f>IF(M38=0,0,O38/M38)</f>
        <v/>
      </c>
      <c r="Q38" s="36">
        <f>YEAR(B38)</f>
        <v/>
      </c>
      <c r="R38" s="36">
        <f>"Q"&amp;ROUNDUP(MONTH(B38)/3,0)</f>
        <v/>
      </c>
      <c r="S38" s="36">
        <f>MONTH(B38)</f>
        <v/>
      </c>
      <c r="T38" s="36">
        <f>TEXT(B38,"mmm")</f>
        <v/>
      </c>
      <c r="U38" s="36">
        <f>IF(AND(OR(sel_Region="All",C38=sel_Region),OR(sel_Country="All",D38=sel_Country),OR(sel_Channel="All",E38=sel_Channel),OR(sel_Customer="All",F38=sel_Customer),OR(sel_Category="All",G38=sel_Category),OR(sel_Product="All",H38=sel_Product),AND(S38&gt;=m_From,S38&lt;=m_To)),1,0)</f>
        <v/>
      </c>
      <c r="V38" s="36">
        <f>IF(AND(OR(sel_Region="All",C38=sel_Region),OR(sel_Channel="All",E38=sel_Channel),OR(sel_Customer="All",F38=sel_Customer),OR(sel_Category="All",G38=sel_Category),OR(sel_Product="All",H38=sel_Product),AND(S38&gt;=m_From,S38&lt;=m_To)),1,0)</f>
        <v/>
      </c>
      <c r="W38" s="36">
        <f>IF(AND(OR(sel_Region="All",C38=sel_Region),OR(sel_Country="All",D38=sel_Country),OR(sel_Customer="All",F38=sel_Customer),OR(sel_Category="All",G38=sel_Category),OR(sel_Product="All",H38=sel_Product),AND(S38&gt;=m_From,S38&lt;=m_To)),1,0)</f>
        <v/>
      </c>
      <c r="X38" s="36">
        <f>IF(AND(OR(sel_Region="All",C38=sel_Region),OR(sel_Country="All",D38=sel_Country),OR(sel_Channel="All",E38=sel_Channel),OR(sel_Category="All",G38=sel_Category),OR(sel_Product="All",H38=sel_Product),AND(S38&gt;=m_From,S38&lt;=m_To)),1,0)</f>
        <v/>
      </c>
      <c r="Y38" s="36">
        <f>IF(AND(OR(sel_Region="All",C38=sel_Region),OR(sel_Country="All",D38=sel_Country),OR(sel_Channel="All",E38=sel_Channel),OR(sel_Customer="All",F38=sel_Customer),OR(sel_Product="All",H38=sel_Product),AND(S38&gt;=m_From,S38&lt;=m_To)),1,0)</f>
        <v/>
      </c>
      <c r="Z38" s="36">
        <f>IF(AND(OR(sel_Region="All",C38=sel_Region),OR(sel_Country="All",D38=sel_Country),OR(sel_Channel="All",E38=sel_Channel),OR(sel_Customer="All",F38=sel_Customer),OR(sel_Category="All",G38=sel_Category),AND(S38&gt;=m_From,S38&lt;=m_To)),1,0)</f>
        <v/>
      </c>
      <c r="AA38" s="36">
        <f>IF(AND(OR(sel_Region="All",C38=sel_Region),OR(sel_Country="All",D38=sel_Country),OR(sel_Channel="All",E38=sel_Channel),OR(sel_Customer="All",F38=sel_Customer),OR(sel_Category="All",G38=sel_Category),OR(sel_Product="All",H38=sel_Product)),1,0)</f>
        <v/>
      </c>
    </row>
    <row r="39">
      <c r="A39" s="36" t="inlineStr">
        <is>
          <t>02782</t>
        </is>
      </c>
      <c r="B39" s="44" t="n">
        <v>46031</v>
      </c>
      <c r="C39" s="36" t="inlineStr">
        <is>
          <t>Western Europe</t>
        </is>
      </c>
      <c r="D39" s="36" t="inlineStr">
        <is>
          <t>Belgium</t>
        </is>
      </c>
      <c r="E39" s="36" t="inlineStr">
        <is>
          <t>Online Store</t>
        </is>
      </c>
      <c r="F39" s="36" t="inlineStr">
        <is>
          <t>New</t>
        </is>
      </c>
      <c r="G39" s="36" t="inlineStr">
        <is>
          <t>Hiking</t>
        </is>
      </c>
      <c r="H39" s="36" t="inlineStr">
        <is>
          <t>Summit Backpack 45L</t>
        </is>
      </c>
      <c r="I39" s="36" t="n">
        <v>1</v>
      </c>
      <c r="J39" s="39" t="n">
        <v>152.75</v>
      </c>
      <c r="K39" s="45" t="n">
        <v>0.05</v>
      </c>
      <c r="L39" s="39" t="n">
        <v>79.88</v>
      </c>
      <c r="M39" s="39">
        <f>I39*J39*(1-K39)</f>
        <v/>
      </c>
      <c r="N39" s="39">
        <f>I39*L39</f>
        <v/>
      </c>
      <c r="O39" s="39">
        <f>M39-N39</f>
        <v/>
      </c>
      <c r="P39" s="38">
        <f>IF(M39=0,0,O39/M39)</f>
        <v/>
      </c>
      <c r="Q39" s="36">
        <f>YEAR(B39)</f>
        <v/>
      </c>
      <c r="R39" s="36">
        <f>"Q"&amp;ROUNDUP(MONTH(B39)/3,0)</f>
        <v/>
      </c>
      <c r="S39" s="36">
        <f>MONTH(B39)</f>
        <v/>
      </c>
      <c r="T39" s="36">
        <f>TEXT(B39,"mmm")</f>
        <v/>
      </c>
      <c r="U39" s="36">
        <f>IF(AND(OR(sel_Region="All",C39=sel_Region),OR(sel_Country="All",D39=sel_Country),OR(sel_Channel="All",E39=sel_Channel),OR(sel_Customer="All",F39=sel_Customer),OR(sel_Category="All",G39=sel_Category),OR(sel_Product="All",H39=sel_Product),AND(S39&gt;=m_From,S39&lt;=m_To)),1,0)</f>
        <v/>
      </c>
      <c r="V39" s="36">
        <f>IF(AND(OR(sel_Region="All",C39=sel_Region),OR(sel_Channel="All",E39=sel_Channel),OR(sel_Customer="All",F39=sel_Customer),OR(sel_Category="All",G39=sel_Category),OR(sel_Product="All",H39=sel_Product),AND(S39&gt;=m_From,S39&lt;=m_To)),1,0)</f>
        <v/>
      </c>
      <c r="W39" s="36">
        <f>IF(AND(OR(sel_Region="All",C39=sel_Region),OR(sel_Country="All",D39=sel_Country),OR(sel_Customer="All",F39=sel_Customer),OR(sel_Category="All",G39=sel_Category),OR(sel_Product="All",H39=sel_Product),AND(S39&gt;=m_From,S39&lt;=m_To)),1,0)</f>
        <v/>
      </c>
      <c r="X39" s="36">
        <f>IF(AND(OR(sel_Region="All",C39=sel_Region),OR(sel_Country="All",D39=sel_Country),OR(sel_Channel="All",E39=sel_Channel),OR(sel_Category="All",G39=sel_Category),OR(sel_Product="All",H39=sel_Product),AND(S39&gt;=m_From,S39&lt;=m_To)),1,0)</f>
        <v/>
      </c>
      <c r="Y39" s="36">
        <f>IF(AND(OR(sel_Region="All",C39=sel_Region),OR(sel_Country="All",D39=sel_Country),OR(sel_Channel="All",E39=sel_Channel),OR(sel_Customer="All",F39=sel_Customer),OR(sel_Product="All",H39=sel_Product),AND(S39&gt;=m_From,S39&lt;=m_To)),1,0)</f>
        <v/>
      </c>
      <c r="Z39" s="36">
        <f>IF(AND(OR(sel_Region="All",C39=sel_Region),OR(sel_Country="All",D39=sel_Country),OR(sel_Channel="All",E39=sel_Channel),OR(sel_Customer="All",F39=sel_Customer),OR(sel_Category="All",G39=sel_Category),AND(S39&gt;=m_From,S39&lt;=m_To)),1,0)</f>
        <v/>
      </c>
      <c r="AA39" s="36">
        <f>IF(AND(OR(sel_Region="All",C39=sel_Region),OR(sel_Country="All",D39=sel_Country),OR(sel_Channel="All",E39=sel_Channel),OR(sel_Customer="All",F39=sel_Customer),OR(sel_Category="All",G39=sel_Category),OR(sel_Product="All",H39=sel_Product)),1,0)</f>
        <v/>
      </c>
    </row>
    <row r="40">
      <c r="A40" s="36" t="inlineStr">
        <is>
          <t>04704</t>
        </is>
      </c>
      <c r="B40" s="44" t="n">
        <v>46031</v>
      </c>
      <c r="C40" s="36" t="inlineStr">
        <is>
          <t>Central Europe</t>
        </is>
      </c>
      <c r="D40" s="36" t="inlineStr">
        <is>
          <t>Poland</t>
        </is>
      </c>
      <c r="E40" s="36" t="inlineStr">
        <is>
          <t>Marketplace</t>
        </is>
      </c>
      <c r="F40" s="36" t="inlineStr">
        <is>
          <t>New</t>
        </is>
      </c>
      <c r="G40" s="36" t="inlineStr">
        <is>
          <t>Fitness</t>
        </is>
      </c>
      <c r="H40" s="36" t="inlineStr">
        <is>
          <t>Recovery Roller</t>
        </is>
      </c>
      <c r="I40" s="36" t="n">
        <v>2</v>
      </c>
      <c r="J40" s="39" t="n">
        <v>36.72</v>
      </c>
      <c r="K40" s="45" t="n">
        <v>0.05</v>
      </c>
      <c r="L40" s="39" t="n">
        <v>14.15</v>
      </c>
      <c r="M40" s="39">
        <f>I40*J40*(1-K40)</f>
        <v/>
      </c>
      <c r="N40" s="39">
        <f>I40*L40</f>
        <v/>
      </c>
      <c r="O40" s="39">
        <f>M40-N40</f>
        <v/>
      </c>
      <c r="P40" s="38">
        <f>IF(M40=0,0,O40/M40)</f>
        <v/>
      </c>
      <c r="Q40" s="36">
        <f>YEAR(B40)</f>
        <v/>
      </c>
      <c r="R40" s="36">
        <f>"Q"&amp;ROUNDUP(MONTH(B40)/3,0)</f>
        <v/>
      </c>
      <c r="S40" s="36">
        <f>MONTH(B40)</f>
        <v/>
      </c>
      <c r="T40" s="36">
        <f>TEXT(B40,"mmm")</f>
        <v/>
      </c>
      <c r="U40" s="36">
        <f>IF(AND(OR(sel_Region="All",C40=sel_Region),OR(sel_Country="All",D40=sel_Country),OR(sel_Channel="All",E40=sel_Channel),OR(sel_Customer="All",F40=sel_Customer),OR(sel_Category="All",G40=sel_Category),OR(sel_Product="All",H40=sel_Product),AND(S40&gt;=m_From,S40&lt;=m_To)),1,0)</f>
        <v/>
      </c>
      <c r="V40" s="36">
        <f>IF(AND(OR(sel_Region="All",C40=sel_Region),OR(sel_Channel="All",E40=sel_Channel),OR(sel_Customer="All",F40=sel_Customer),OR(sel_Category="All",G40=sel_Category),OR(sel_Product="All",H40=sel_Product),AND(S40&gt;=m_From,S40&lt;=m_To)),1,0)</f>
        <v/>
      </c>
      <c r="W40" s="36">
        <f>IF(AND(OR(sel_Region="All",C40=sel_Region),OR(sel_Country="All",D40=sel_Country),OR(sel_Customer="All",F40=sel_Customer),OR(sel_Category="All",G40=sel_Category),OR(sel_Product="All",H40=sel_Product),AND(S40&gt;=m_From,S40&lt;=m_To)),1,0)</f>
        <v/>
      </c>
      <c r="X40" s="36">
        <f>IF(AND(OR(sel_Region="All",C40=sel_Region),OR(sel_Country="All",D40=sel_Country),OR(sel_Channel="All",E40=sel_Channel),OR(sel_Category="All",G40=sel_Category),OR(sel_Product="All",H40=sel_Product),AND(S40&gt;=m_From,S40&lt;=m_To)),1,0)</f>
        <v/>
      </c>
      <c r="Y40" s="36">
        <f>IF(AND(OR(sel_Region="All",C40=sel_Region),OR(sel_Country="All",D40=sel_Country),OR(sel_Channel="All",E40=sel_Channel),OR(sel_Customer="All",F40=sel_Customer),OR(sel_Product="All",H40=sel_Product),AND(S40&gt;=m_From,S40&lt;=m_To)),1,0)</f>
        <v/>
      </c>
      <c r="Z40" s="36">
        <f>IF(AND(OR(sel_Region="All",C40=sel_Region),OR(sel_Country="All",D40=sel_Country),OR(sel_Channel="All",E40=sel_Channel),OR(sel_Customer="All",F40=sel_Customer),OR(sel_Category="All",G40=sel_Category),AND(S40&gt;=m_From,S40&lt;=m_To)),1,0)</f>
        <v/>
      </c>
      <c r="AA40" s="36">
        <f>IF(AND(OR(sel_Region="All",C40=sel_Region),OR(sel_Country="All",D40=sel_Country),OR(sel_Channel="All",E40=sel_Channel),OR(sel_Customer="All",F40=sel_Customer),OR(sel_Category="All",G40=sel_Category),OR(sel_Product="All",H40=sel_Product)),1,0)</f>
        <v/>
      </c>
    </row>
    <row r="41">
      <c r="A41" s="36" t="inlineStr">
        <is>
          <t>00069</t>
        </is>
      </c>
      <c r="B41" s="44" t="n">
        <v>46032</v>
      </c>
      <c r="C41" s="36" t="inlineStr">
        <is>
          <t>Southern Europe</t>
        </is>
      </c>
      <c r="D41" s="36" t="inlineStr">
        <is>
          <t>Italy</t>
        </is>
      </c>
      <c r="E41" s="36" t="inlineStr">
        <is>
          <t>Online Store</t>
        </is>
      </c>
      <c r="F41" s="36" t="inlineStr">
        <is>
          <t>Returning</t>
        </is>
      </c>
      <c r="G41" s="36" t="inlineStr">
        <is>
          <t>Hiking</t>
        </is>
      </c>
      <c r="H41" s="36" t="inlineStr">
        <is>
          <t>Trail Boots</t>
        </is>
      </c>
      <c r="I41" s="36" t="n">
        <v>6</v>
      </c>
      <c r="J41" s="39" t="n">
        <v>141.31</v>
      </c>
      <c r="K41" s="45" t="n">
        <v>0.05</v>
      </c>
      <c r="L41" s="39" t="n">
        <v>79.34999999999999</v>
      </c>
      <c r="M41" s="39">
        <f>I41*J41*(1-K41)</f>
        <v/>
      </c>
      <c r="N41" s="39">
        <f>I41*L41</f>
        <v/>
      </c>
      <c r="O41" s="39">
        <f>M41-N41</f>
        <v/>
      </c>
      <c r="P41" s="38">
        <f>IF(M41=0,0,O41/M41)</f>
        <v/>
      </c>
      <c r="Q41" s="36">
        <f>YEAR(B41)</f>
        <v/>
      </c>
      <c r="R41" s="36">
        <f>"Q"&amp;ROUNDUP(MONTH(B41)/3,0)</f>
        <v/>
      </c>
      <c r="S41" s="36">
        <f>MONTH(B41)</f>
        <v/>
      </c>
      <c r="T41" s="36">
        <f>TEXT(B41,"mmm")</f>
        <v/>
      </c>
      <c r="U41" s="36">
        <f>IF(AND(OR(sel_Region="All",C41=sel_Region),OR(sel_Country="All",D41=sel_Country),OR(sel_Channel="All",E41=sel_Channel),OR(sel_Customer="All",F41=sel_Customer),OR(sel_Category="All",G41=sel_Category),OR(sel_Product="All",H41=sel_Product),AND(S41&gt;=m_From,S41&lt;=m_To)),1,0)</f>
        <v/>
      </c>
      <c r="V41" s="36">
        <f>IF(AND(OR(sel_Region="All",C41=sel_Region),OR(sel_Channel="All",E41=sel_Channel),OR(sel_Customer="All",F41=sel_Customer),OR(sel_Category="All",G41=sel_Category),OR(sel_Product="All",H41=sel_Product),AND(S41&gt;=m_From,S41&lt;=m_To)),1,0)</f>
        <v/>
      </c>
      <c r="W41" s="36">
        <f>IF(AND(OR(sel_Region="All",C41=sel_Region),OR(sel_Country="All",D41=sel_Country),OR(sel_Customer="All",F41=sel_Customer),OR(sel_Category="All",G41=sel_Category),OR(sel_Product="All",H41=sel_Product),AND(S41&gt;=m_From,S41&lt;=m_To)),1,0)</f>
        <v/>
      </c>
      <c r="X41" s="36">
        <f>IF(AND(OR(sel_Region="All",C41=sel_Region),OR(sel_Country="All",D41=sel_Country),OR(sel_Channel="All",E41=sel_Channel),OR(sel_Category="All",G41=sel_Category),OR(sel_Product="All",H41=sel_Product),AND(S41&gt;=m_From,S41&lt;=m_To)),1,0)</f>
        <v/>
      </c>
      <c r="Y41" s="36">
        <f>IF(AND(OR(sel_Region="All",C41=sel_Region),OR(sel_Country="All",D41=sel_Country),OR(sel_Channel="All",E41=sel_Channel),OR(sel_Customer="All",F41=sel_Customer),OR(sel_Product="All",H41=sel_Product),AND(S41&gt;=m_From,S41&lt;=m_To)),1,0)</f>
        <v/>
      </c>
      <c r="Z41" s="36">
        <f>IF(AND(OR(sel_Region="All",C41=sel_Region),OR(sel_Country="All",D41=sel_Country),OR(sel_Channel="All",E41=sel_Channel),OR(sel_Customer="All",F41=sel_Customer),OR(sel_Category="All",G41=sel_Category),AND(S41&gt;=m_From,S41&lt;=m_To)),1,0)</f>
        <v/>
      </c>
      <c r="AA41" s="36">
        <f>IF(AND(OR(sel_Region="All",C41=sel_Region),OR(sel_Country="All",D41=sel_Country),OR(sel_Channel="All",E41=sel_Channel),OR(sel_Customer="All",F41=sel_Customer),OR(sel_Category="All",G41=sel_Category),OR(sel_Product="All",H41=sel_Product)),1,0)</f>
        <v/>
      </c>
    </row>
    <row r="42">
      <c r="A42" s="36" t="inlineStr">
        <is>
          <t>00490</t>
        </is>
      </c>
      <c r="B42" s="44" t="n">
        <v>46032</v>
      </c>
      <c r="C42" s="36" t="inlineStr">
        <is>
          <t>Northern Europe</t>
        </is>
      </c>
      <c r="D42" s="36" t="inlineStr">
        <is>
          <t>Finland</t>
        </is>
      </c>
      <c r="E42" s="36" t="inlineStr">
        <is>
          <t>Online Store</t>
        </is>
      </c>
      <c r="F42" s="36" t="inlineStr">
        <is>
          <t>Business</t>
        </is>
      </c>
      <c r="G42" s="36" t="inlineStr">
        <is>
          <t>Camping</t>
        </is>
      </c>
      <c r="H42" s="36" t="inlineStr">
        <is>
          <t>Compact Sleeping Bag</t>
        </is>
      </c>
      <c r="I42" s="36" t="n">
        <v>2</v>
      </c>
      <c r="J42" s="39" t="n">
        <v>121.23</v>
      </c>
      <c r="K42" s="45" t="n">
        <v>0</v>
      </c>
      <c r="L42" s="39" t="n">
        <v>59.66</v>
      </c>
      <c r="M42" s="39">
        <f>I42*J42*(1-K42)</f>
        <v/>
      </c>
      <c r="N42" s="39">
        <f>I42*L42</f>
        <v/>
      </c>
      <c r="O42" s="39">
        <f>M42-N42</f>
        <v/>
      </c>
      <c r="P42" s="38">
        <f>IF(M42=0,0,O42/M42)</f>
        <v/>
      </c>
      <c r="Q42" s="36">
        <f>YEAR(B42)</f>
        <v/>
      </c>
      <c r="R42" s="36">
        <f>"Q"&amp;ROUNDUP(MONTH(B42)/3,0)</f>
        <v/>
      </c>
      <c r="S42" s="36">
        <f>MONTH(B42)</f>
        <v/>
      </c>
      <c r="T42" s="36">
        <f>TEXT(B42,"mmm")</f>
        <v/>
      </c>
      <c r="U42" s="36">
        <f>IF(AND(OR(sel_Region="All",C42=sel_Region),OR(sel_Country="All",D42=sel_Country),OR(sel_Channel="All",E42=sel_Channel),OR(sel_Customer="All",F42=sel_Customer),OR(sel_Category="All",G42=sel_Category),OR(sel_Product="All",H42=sel_Product),AND(S42&gt;=m_From,S42&lt;=m_To)),1,0)</f>
        <v/>
      </c>
      <c r="V42" s="36">
        <f>IF(AND(OR(sel_Region="All",C42=sel_Region),OR(sel_Channel="All",E42=sel_Channel),OR(sel_Customer="All",F42=sel_Customer),OR(sel_Category="All",G42=sel_Category),OR(sel_Product="All",H42=sel_Product),AND(S42&gt;=m_From,S42&lt;=m_To)),1,0)</f>
        <v/>
      </c>
      <c r="W42" s="36">
        <f>IF(AND(OR(sel_Region="All",C42=sel_Region),OR(sel_Country="All",D42=sel_Country),OR(sel_Customer="All",F42=sel_Customer),OR(sel_Category="All",G42=sel_Category),OR(sel_Product="All",H42=sel_Product),AND(S42&gt;=m_From,S42&lt;=m_To)),1,0)</f>
        <v/>
      </c>
      <c r="X42" s="36">
        <f>IF(AND(OR(sel_Region="All",C42=sel_Region),OR(sel_Country="All",D42=sel_Country),OR(sel_Channel="All",E42=sel_Channel),OR(sel_Category="All",G42=sel_Category),OR(sel_Product="All",H42=sel_Product),AND(S42&gt;=m_From,S42&lt;=m_To)),1,0)</f>
        <v/>
      </c>
      <c r="Y42" s="36">
        <f>IF(AND(OR(sel_Region="All",C42=sel_Region),OR(sel_Country="All",D42=sel_Country),OR(sel_Channel="All",E42=sel_Channel),OR(sel_Customer="All",F42=sel_Customer),OR(sel_Product="All",H42=sel_Product),AND(S42&gt;=m_From,S42&lt;=m_To)),1,0)</f>
        <v/>
      </c>
      <c r="Z42" s="36">
        <f>IF(AND(OR(sel_Region="All",C42=sel_Region),OR(sel_Country="All",D42=sel_Country),OR(sel_Channel="All",E42=sel_Channel),OR(sel_Customer="All",F42=sel_Customer),OR(sel_Category="All",G42=sel_Category),AND(S42&gt;=m_From,S42&lt;=m_To)),1,0)</f>
        <v/>
      </c>
      <c r="AA42" s="36">
        <f>IF(AND(OR(sel_Region="All",C42=sel_Region),OR(sel_Country="All",D42=sel_Country),OR(sel_Channel="All",E42=sel_Channel),OR(sel_Customer="All",F42=sel_Customer),OR(sel_Category="All",G42=sel_Category),OR(sel_Product="All",H42=sel_Product)),1,0)</f>
        <v/>
      </c>
    </row>
    <row r="43">
      <c r="A43" s="36" t="inlineStr">
        <is>
          <t>03685</t>
        </is>
      </c>
      <c r="B43" s="44" t="n">
        <v>46032</v>
      </c>
      <c r="C43" s="36" t="inlineStr">
        <is>
          <t>Western Europe</t>
        </is>
      </c>
      <c r="D43" s="36" t="inlineStr">
        <is>
          <t>United Kingdom</t>
        </is>
      </c>
      <c r="E43" s="36" t="inlineStr">
        <is>
          <t>Online Store</t>
        </is>
      </c>
      <c r="F43" s="36" t="inlineStr">
        <is>
          <t>New</t>
        </is>
      </c>
      <c r="G43" s="36" t="inlineStr">
        <is>
          <t>Travel</t>
        </is>
      </c>
      <c r="H43" s="36" t="inlineStr">
        <is>
          <t>Travel Backpack 35L</t>
        </is>
      </c>
      <c r="I43" s="36" t="n">
        <v>3</v>
      </c>
      <c r="J43" s="39" t="n">
        <v>161.58</v>
      </c>
      <c r="K43" s="45" t="n">
        <v>0</v>
      </c>
      <c r="L43" s="39" t="n">
        <v>85.58</v>
      </c>
      <c r="M43" s="39">
        <f>I43*J43*(1-K43)</f>
        <v/>
      </c>
      <c r="N43" s="39">
        <f>I43*L43</f>
        <v/>
      </c>
      <c r="O43" s="39">
        <f>M43-N43</f>
        <v/>
      </c>
      <c r="P43" s="38">
        <f>IF(M43=0,0,O43/M43)</f>
        <v/>
      </c>
      <c r="Q43" s="36">
        <f>YEAR(B43)</f>
        <v/>
      </c>
      <c r="R43" s="36">
        <f>"Q"&amp;ROUNDUP(MONTH(B43)/3,0)</f>
        <v/>
      </c>
      <c r="S43" s="36">
        <f>MONTH(B43)</f>
        <v/>
      </c>
      <c r="T43" s="36">
        <f>TEXT(B43,"mmm")</f>
        <v/>
      </c>
      <c r="U43" s="36">
        <f>IF(AND(OR(sel_Region="All",C43=sel_Region),OR(sel_Country="All",D43=sel_Country),OR(sel_Channel="All",E43=sel_Channel),OR(sel_Customer="All",F43=sel_Customer),OR(sel_Category="All",G43=sel_Category),OR(sel_Product="All",H43=sel_Product),AND(S43&gt;=m_From,S43&lt;=m_To)),1,0)</f>
        <v/>
      </c>
      <c r="V43" s="36">
        <f>IF(AND(OR(sel_Region="All",C43=sel_Region),OR(sel_Channel="All",E43=sel_Channel),OR(sel_Customer="All",F43=sel_Customer),OR(sel_Category="All",G43=sel_Category),OR(sel_Product="All",H43=sel_Product),AND(S43&gt;=m_From,S43&lt;=m_To)),1,0)</f>
        <v/>
      </c>
      <c r="W43" s="36">
        <f>IF(AND(OR(sel_Region="All",C43=sel_Region),OR(sel_Country="All",D43=sel_Country),OR(sel_Customer="All",F43=sel_Customer),OR(sel_Category="All",G43=sel_Category),OR(sel_Product="All",H43=sel_Product),AND(S43&gt;=m_From,S43&lt;=m_To)),1,0)</f>
        <v/>
      </c>
      <c r="X43" s="36">
        <f>IF(AND(OR(sel_Region="All",C43=sel_Region),OR(sel_Country="All",D43=sel_Country),OR(sel_Channel="All",E43=sel_Channel),OR(sel_Category="All",G43=sel_Category),OR(sel_Product="All",H43=sel_Product),AND(S43&gt;=m_From,S43&lt;=m_To)),1,0)</f>
        <v/>
      </c>
      <c r="Y43" s="36">
        <f>IF(AND(OR(sel_Region="All",C43=sel_Region),OR(sel_Country="All",D43=sel_Country),OR(sel_Channel="All",E43=sel_Channel),OR(sel_Customer="All",F43=sel_Customer),OR(sel_Product="All",H43=sel_Product),AND(S43&gt;=m_From,S43&lt;=m_To)),1,0)</f>
        <v/>
      </c>
      <c r="Z43" s="36">
        <f>IF(AND(OR(sel_Region="All",C43=sel_Region),OR(sel_Country="All",D43=sel_Country),OR(sel_Channel="All",E43=sel_Channel),OR(sel_Customer="All",F43=sel_Customer),OR(sel_Category="All",G43=sel_Category),AND(S43&gt;=m_From,S43&lt;=m_To)),1,0)</f>
        <v/>
      </c>
      <c r="AA43" s="36">
        <f>IF(AND(OR(sel_Region="All",C43=sel_Region),OR(sel_Country="All",D43=sel_Country),OR(sel_Channel="All",E43=sel_Channel),OR(sel_Customer="All",F43=sel_Customer),OR(sel_Category="All",G43=sel_Category),OR(sel_Product="All",H43=sel_Product)),1,0)</f>
        <v/>
      </c>
    </row>
    <row r="44">
      <c r="A44" s="36" t="inlineStr">
        <is>
          <t>03796</t>
        </is>
      </c>
      <c r="B44" s="44" t="n">
        <v>46032</v>
      </c>
      <c r="C44" s="36" t="inlineStr">
        <is>
          <t>Western Europe</t>
        </is>
      </c>
      <c r="D44" s="36" t="inlineStr">
        <is>
          <t>United Kingdom</t>
        </is>
      </c>
      <c r="E44" s="36" t="inlineStr">
        <is>
          <t>Retail Partners</t>
        </is>
      </c>
      <c r="F44" s="36" t="inlineStr">
        <is>
          <t>Returning</t>
        </is>
      </c>
      <c r="G44" s="36" t="inlineStr">
        <is>
          <t>Travel</t>
        </is>
      </c>
      <c r="H44" s="36" t="inlineStr">
        <is>
          <t>Travel Backpack 35L</t>
        </is>
      </c>
      <c r="I44" s="36" t="n">
        <v>2</v>
      </c>
      <c r="J44" s="39" t="n">
        <v>166.84</v>
      </c>
      <c r="K44" s="45" t="n">
        <v>0</v>
      </c>
      <c r="L44" s="39" t="n">
        <v>88.67</v>
      </c>
      <c r="M44" s="39">
        <f>I44*J44*(1-K44)</f>
        <v/>
      </c>
      <c r="N44" s="39">
        <f>I44*L44</f>
        <v/>
      </c>
      <c r="O44" s="39">
        <f>M44-N44</f>
        <v/>
      </c>
      <c r="P44" s="38">
        <f>IF(M44=0,0,O44/M44)</f>
        <v/>
      </c>
      <c r="Q44" s="36">
        <f>YEAR(B44)</f>
        <v/>
      </c>
      <c r="R44" s="36">
        <f>"Q"&amp;ROUNDUP(MONTH(B44)/3,0)</f>
        <v/>
      </c>
      <c r="S44" s="36">
        <f>MONTH(B44)</f>
        <v/>
      </c>
      <c r="T44" s="36">
        <f>TEXT(B44,"mmm")</f>
        <v/>
      </c>
      <c r="U44" s="36">
        <f>IF(AND(OR(sel_Region="All",C44=sel_Region),OR(sel_Country="All",D44=sel_Country),OR(sel_Channel="All",E44=sel_Channel),OR(sel_Customer="All",F44=sel_Customer),OR(sel_Category="All",G44=sel_Category),OR(sel_Product="All",H44=sel_Product),AND(S44&gt;=m_From,S44&lt;=m_To)),1,0)</f>
        <v/>
      </c>
      <c r="V44" s="36">
        <f>IF(AND(OR(sel_Region="All",C44=sel_Region),OR(sel_Channel="All",E44=sel_Channel),OR(sel_Customer="All",F44=sel_Customer),OR(sel_Category="All",G44=sel_Category),OR(sel_Product="All",H44=sel_Product),AND(S44&gt;=m_From,S44&lt;=m_To)),1,0)</f>
        <v/>
      </c>
      <c r="W44" s="36">
        <f>IF(AND(OR(sel_Region="All",C44=sel_Region),OR(sel_Country="All",D44=sel_Country),OR(sel_Customer="All",F44=sel_Customer),OR(sel_Category="All",G44=sel_Category),OR(sel_Product="All",H44=sel_Product),AND(S44&gt;=m_From,S44&lt;=m_To)),1,0)</f>
        <v/>
      </c>
      <c r="X44" s="36">
        <f>IF(AND(OR(sel_Region="All",C44=sel_Region),OR(sel_Country="All",D44=sel_Country),OR(sel_Channel="All",E44=sel_Channel),OR(sel_Category="All",G44=sel_Category),OR(sel_Product="All",H44=sel_Product),AND(S44&gt;=m_From,S44&lt;=m_To)),1,0)</f>
        <v/>
      </c>
      <c r="Y44" s="36">
        <f>IF(AND(OR(sel_Region="All",C44=sel_Region),OR(sel_Country="All",D44=sel_Country),OR(sel_Channel="All",E44=sel_Channel),OR(sel_Customer="All",F44=sel_Customer),OR(sel_Product="All",H44=sel_Product),AND(S44&gt;=m_From,S44&lt;=m_To)),1,0)</f>
        <v/>
      </c>
      <c r="Z44" s="36">
        <f>IF(AND(OR(sel_Region="All",C44=sel_Region),OR(sel_Country="All",D44=sel_Country),OR(sel_Channel="All",E44=sel_Channel),OR(sel_Customer="All",F44=sel_Customer),OR(sel_Category="All",G44=sel_Category),AND(S44&gt;=m_From,S44&lt;=m_To)),1,0)</f>
        <v/>
      </c>
      <c r="AA44" s="36">
        <f>IF(AND(OR(sel_Region="All",C44=sel_Region),OR(sel_Country="All",D44=sel_Country),OR(sel_Channel="All",E44=sel_Channel),OR(sel_Customer="All",F44=sel_Customer),OR(sel_Category="All",G44=sel_Category),OR(sel_Product="All",H44=sel_Product)),1,0)</f>
        <v/>
      </c>
    </row>
    <row r="45">
      <c r="A45" s="36" t="inlineStr">
        <is>
          <t>00387</t>
        </is>
      </c>
      <c r="B45" s="44" t="n">
        <v>46033</v>
      </c>
      <c r="C45" s="36" t="inlineStr">
        <is>
          <t>Northern Europe</t>
        </is>
      </c>
      <c r="D45" s="36" t="inlineStr">
        <is>
          <t>Denmark</t>
        </is>
      </c>
      <c r="E45" s="36" t="inlineStr">
        <is>
          <t>Online Store</t>
        </is>
      </c>
      <c r="F45" s="36" t="inlineStr">
        <is>
          <t>Returning</t>
        </is>
      </c>
      <c r="G45" s="36" t="inlineStr">
        <is>
          <t>Hiking</t>
        </is>
      </c>
      <c r="H45" s="36" t="inlineStr">
        <is>
          <t>Summit Backpack 45L</t>
        </is>
      </c>
      <c r="I45" s="36" t="n">
        <v>1</v>
      </c>
      <c r="J45" s="39" t="n">
        <v>150.96</v>
      </c>
      <c r="K45" s="45" t="n">
        <v>0</v>
      </c>
      <c r="L45" s="39" t="n">
        <v>77.5</v>
      </c>
      <c r="M45" s="39">
        <f>I45*J45*(1-K45)</f>
        <v/>
      </c>
      <c r="N45" s="39">
        <f>I45*L45</f>
        <v/>
      </c>
      <c r="O45" s="39">
        <f>M45-N45</f>
        <v/>
      </c>
      <c r="P45" s="38">
        <f>IF(M45=0,0,O45/M45)</f>
        <v/>
      </c>
      <c r="Q45" s="36">
        <f>YEAR(B45)</f>
        <v/>
      </c>
      <c r="R45" s="36">
        <f>"Q"&amp;ROUNDUP(MONTH(B45)/3,0)</f>
        <v/>
      </c>
      <c r="S45" s="36">
        <f>MONTH(B45)</f>
        <v/>
      </c>
      <c r="T45" s="36">
        <f>TEXT(B45,"mmm")</f>
        <v/>
      </c>
      <c r="U45" s="36">
        <f>IF(AND(OR(sel_Region="All",C45=sel_Region),OR(sel_Country="All",D45=sel_Country),OR(sel_Channel="All",E45=sel_Channel),OR(sel_Customer="All",F45=sel_Customer),OR(sel_Category="All",G45=sel_Category),OR(sel_Product="All",H45=sel_Product),AND(S45&gt;=m_From,S45&lt;=m_To)),1,0)</f>
        <v/>
      </c>
      <c r="V45" s="36">
        <f>IF(AND(OR(sel_Region="All",C45=sel_Region),OR(sel_Channel="All",E45=sel_Channel),OR(sel_Customer="All",F45=sel_Customer),OR(sel_Category="All",G45=sel_Category),OR(sel_Product="All",H45=sel_Product),AND(S45&gt;=m_From,S45&lt;=m_To)),1,0)</f>
        <v/>
      </c>
      <c r="W45" s="36">
        <f>IF(AND(OR(sel_Region="All",C45=sel_Region),OR(sel_Country="All",D45=sel_Country),OR(sel_Customer="All",F45=sel_Customer),OR(sel_Category="All",G45=sel_Category),OR(sel_Product="All",H45=sel_Product),AND(S45&gt;=m_From,S45&lt;=m_To)),1,0)</f>
        <v/>
      </c>
      <c r="X45" s="36">
        <f>IF(AND(OR(sel_Region="All",C45=sel_Region),OR(sel_Country="All",D45=sel_Country),OR(sel_Channel="All",E45=sel_Channel),OR(sel_Category="All",G45=sel_Category),OR(sel_Product="All",H45=sel_Product),AND(S45&gt;=m_From,S45&lt;=m_To)),1,0)</f>
        <v/>
      </c>
      <c r="Y45" s="36">
        <f>IF(AND(OR(sel_Region="All",C45=sel_Region),OR(sel_Country="All",D45=sel_Country),OR(sel_Channel="All",E45=sel_Channel),OR(sel_Customer="All",F45=sel_Customer),OR(sel_Product="All",H45=sel_Product),AND(S45&gt;=m_From,S45&lt;=m_To)),1,0)</f>
        <v/>
      </c>
      <c r="Z45" s="36">
        <f>IF(AND(OR(sel_Region="All",C45=sel_Region),OR(sel_Country="All",D45=sel_Country),OR(sel_Channel="All",E45=sel_Channel),OR(sel_Customer="All",F45=sel_Customer),OR(sel_Category="All",G45=sel_Category),AND(S45&gt;=m_From,S45&lt;=m_To)),1,0)</f>
        <v/>
      </c>
      <c r="AA45" s="36">
        <f>IF(AND(OR(sel_Region="All",C45=sel_Region),OR(sel_Country="All",D45=sel_Country),OR(sel_Channel="All",E45=sel_Channel),OR(sel_Customer="All",F45=sel_Customer),OR(sel_Category="All",G45=sel_Category),OR(sel_Product="All",H45=sel_Product)),1,0)</f>
        <v/>
      </c>
    </row>
    <row r="46">
      <c r="A46" s="36" t="inlineStr">
        <is>
          <t>02796</t>
        </is>
      </c>
      <c r="B46" s="44" t="n">
        <v>46033</v>
      </c>
      <c r="C46" s="36" t="inlineStr">
        <is>
          <t>Western Europe</t>
        </is>
      </c>
      <c r="D46" s="36" t="inlineStr">
        <is>
          <t>Netherlands</t>
        </is>
      </c>
      <c r="E46" s="36" t="inlineStr">
        <is>
          <t>Retail Partners</t>
        </is>
      </c>
      <c r="F46" s="36" t="inlineStr">
        <is>
          <t>Returning</t>
        </is>
      </c>
      <c r="G46" s="36" t="inlineStr">
        <is>
          <t>Travel</t>
        </is>
      </c>
      <c r="H46" s="36" t="inlineStr">
        <is>
          <t>Insulated Bottle</t>
        </is>
      </c>
      <c r="I46" s="36" t="n">
        <v>3</v>
      </c>
      <c r="J46" s="39" t="n">
        <v>36.33</v>
      </c>
      <c r="K46" s="45" t="n">
        <v>0.05</v>
      </c>
      <c r="L46" s="39" t="n">
        <v>13.27</v>
      </c>
      <c r="M46" s="39">
        <f>I46*J46*(1-K46)</f>
        <v/>
      </c>
      <c r="N46" s="39">
        <f>I46*L46</f>
        <v/>
      </c>
      <c r="O46" s="39">
        <f>M46-N46</f>
        <v/>
      </c>
      <c r="P46" s="38">
        <f>IF(M46=0,0,O46/M46)</f>
        <v/>
      </c>
      <c r="Q46" s="36">
        <f>YEAR(B46)</f>
        <v/>
      </c>
      <c r="R46" s="36">
        <f>"Q"&amp;ROUNDUP(MONTH(B46)/3,0)</f>
        <v/>
      </c>
      <c r="S46" s="36">
        <f>MONTH(B46)</f>
        <v/>
      </c>
      <c r="T46" s="36">
        <f>TEXT(B46,"mmm")</f>
        <v/>
      </c>
      <c r="U46" s="36">
        <f>IF(AND(OR(sel_Region="All",C46=sel_Region),OR(sel_Country="All",D46=sel_Country),OR(sel_Channel="All",E46=sel_Channel),OR(sel_Customer="All",F46=sel_Customer),OR(sel_Category="All",G46=sel_Category),OR(sel_Product="All",H46=sel_Product),AND(S46&gt;=m_From,S46&lt;=m_To)),1,0)</f>
        <v/>
      </c>
      <c r="V46" s="36">
        <f>IF(AND(OR(sel_Region="All",C46=sel_Region),OR(sel_Channel="All",E46=sel_Channel),OR(sel_Customer="All",F46=sel_Customer),OR(sel_Category="All",G46=sel_Category),OR(sel_Product="All",H46=sel_Product),AND(S46&gt;=m_From,S46&lt;=m_To)),1,0)</f>
        <v/>
      </c>
      <c r="W46" s="36">
        <f>IF(AND(OR(sel_Region="All",C46=sel_Region),OR(sel_Country="All",D46=sel_Country),OR(sel_Customer="All",F46=sel_Customer),OR(sel_Category="All",G46=sel_Category),OR(sel_Product="All",H46=sel_Product),AND(S46&gt;=m_From,S46&lt;=m_To)),1,0)</f>
        <v/>
      </c>
      <c r="X46" s="36">
        <f>IF(AND(OR(sel_Region="All",C46=sel_Region),OR(sel_Country="All",D46=sel_Country),OR(sel_Channel="All",E46=sel_Channel),OR(sel_Category="All",G46=sel_Category),OR(sel_Product="All",H46=sel_Product),AND(S46&gt;=m_From,S46&lt;=m_To)),1,0)</f>
        <v/>
      </c>
      <c r="Y46" s="36">
        <f>IF(AND(OR(sel_Region="All",C46=sel_Region),OR(sel_Country="All",D46=sel_Country),OR(sel_Channel="All",E46=sel_Channel),OR(sel_Customer="All",F46=sel_Customer),OR(sel_Product="All",H46=sel_Product),AND(S46&gt;=m_From,S46&lt;=m_To)),1,0)</f>
        <v/>
      </c>
      <c r="Z46" s="36">
        <f>IF(AND(OR(sel_Region="All",C46=sel_Region),OR(sel_Country="All",D46=sel_Country),OR(sel_Channel="All",E46=sel_Channel),OR(sel_Customer="All",F46=sel_Customer),OR(sel_Category="All",G46=sel_Category),AND(S46&gt;=m_From,S46&lt;=m_To)),1,0)</f>
        <v/>
      </c>
      <c r="AA46" s="36">
        <f>IF(AND(OR(sel_Region="All",C46=sel_Region),OR(sel_Country="All",D46=sel_Country),OR(sel_Channel="All",E46=sel_Channel),OR(sel_Customer="All",F46=sel_Customer),OR(sel_Category="All",G46=sel_Category),OR(sel_Product="All",H46=sel_Product)),1,0)</f>
        <v/>
      </c>
    </row>
    <row r="47">
      <c r="A47" s="36" t="inlineStr">
        <is>
          <t>03703</t>
        </is>
      </c>
      <c r="B47" s="44" t="n">
        <v>46033</v>
      </c>
      <c r="C47" s="36" t="inlineStr">
        <is>
          <t>Western Europe</t>
        </is>
      </c>
      <c r="D47" s="36" t="inlineStr">
        <is>
          <t>United Kingdom</t>
        </is>
      </c>
      <c r="E47" s="36" t="inlineStr">
        <is>
          <t>Online Store</t>
        </is>
      </c>
      <c r="F47" s="36" t="inlineStr">
        <is>
          <t>Returning</t>
        </is>
      </c>
      <c r="G47" s="36" t="inlineStr">
        <is>
          <t>Travel</t>
        </is>
      </c>
      <c r="H47" s="36" t="inlineStr">
        <is>
          <t>Insulated Bottle</t>
        </is>
      </c>
      <c r="I47" s="36" t="n">
        <v>1</v>
      </c>
      <c r="J47" s="39" t="n">
        <v>35.34</v>
      </c>
      <c r="K47" s="45" t="n">
        <v>0.1</v>
      </c>
      <c r="L47" s="39" t="n">
        <v>13.36</v>
      </c>
      <c r="M47" s="39">
        <f>I47*J47*(1-K47)</f>
        <v/>
      </c>
      <c r="N47" s="39">
        <f>I47*L47</f>
        <v/>
      </c>
      <c r="O47" s="39">
        <f>M47-N47</f>
        <v/>
      </c>
      <c r="P47" s="38">
        <f>IF(M47=0,0,O47/M47)</f>
        <v/>
      </c>
      <c r="Q47" s="36">
        <f>YEAR(B47)</f>
        <v/>
      </c>
      <c r="R47" s="36">
        <f>"Q"&amp;ROUNDUP(MONTH(B47)/3,0)</f>
        <v/>
      </c>
      <c r="S47" s="36">
        <f>MONTH(B47)</f>
        <v/>
      </c>
      <c r="T47" s="36">
        <f>TEXT(B47,"mmm")</f>
        <v/>
      </c>
      <c r="U47" s="36">
        <f>IF(AND(OR(sel_Region="All",C47=sel_Region),OR(sel_Country="All",D47=sel_Country),OR(sel_Channel="All",E47=sel_Channel),OR(sel_Customer="All",F47=sel_Customer),OR(sel_Category="All",G47=sel_Category),OR(sel_Product="All",H47=sel_Product),AND(S47&gt;=m_From,S47&lt;=m_To)),1,0)</f>
        <v/>
      </c>
      <c r="V47" s="36">
        <f>IF(AND(OR(sel_Region="All",C47=sel_Region),OR(sel_Channel="All",E47=sel_Channel),OR(sel_Customer="All",F47=sel_Customer),OR(sel_Category="All",G47=sel_Category),OR(sel_Product="All",H47=sel_Product),AND(S47&gt;=m_From,S47&lt;=m_To)),1,0)</f>
        <v/>
      </c>
      <c r="W47" s="36">
        <f>IF(AND(OR(sel_Region="All",C47=sel_Region),OR(sel_Country="All",D47=sel_Country),OR(sel_Customer="All",F47=sel_Customer),OR(sel_Category="All",G47=sel_Category),OR(sel_Product="All",H47=sel_Product),AND(S47&gt;=m_From,S47&lt;=m_To)),1,0)</f>
        <v/>
      </c>
      <c r="X47" s="36">
        <f>IF(AND(OR(sel_Region="All",C47=sel_Region),OR(sel_Country="All",D47=sel_Country),OR(sel_Channel="All",E47=sel_Channel),OR(sel_Category="All",G47=sel_Category),OR(sel_Product="All",H47=sel_Product),AND(S47&gt;=m_From,S47&lt;=m_To)),1,0)</f>
        <v/>
      </c>
      <c r="Y47" s="36">
        <f>IF(AND(OR(sel_Region="All",C47=sel_Region),OR(sel_Country="All",D47=sel_Country),OR(sel_Channel="All",E47=sel_Channel),OR(sel_Customer="All",F47=sel_Customer),OR(sel_Product="All",H47=sel_Product),AND(S47&gt;=m_From,S47&lt;=m_To)),1,0)</f>
        <v/>
      </c>
      <c r="Z47" s="36">
        <f>IF(AND(OR(sel_Region="All",C47=sel_Region),OR(sel_Country="All",D47=sel_Country),OR(sel_Channel="All",E47=sel_Channel),OR(sel_Customer="All",F47=sel_Customer),OR(sel_Category="All",G47=sel_Category),AND(S47&gt;=m_From,S47&lt;=m_To)),1,0)</f>
        <v/>
      </c>
      <c r="AA47" s="36">
        <f>IF(AND(OR(sel_Region="All",C47=sel_Region),OR(sel_Country="All",D47=sel_Country),OR(sel_Channel="All",E47=sel_Channel),OR(sel_Customer="All",F47=sel_Customer),OR(sel_Category="All",G47=sel_Category),OR(sel_Product="All",H47=sel_Product)),1,0)</f>
        <v/>
      </c>
    </row>
    <row r="48">
      <c r="A48" s="36" t="inlineStr">
        <is>
          <t>04674</t>
        </is>
      </c>
      <c r="B48" s="44" t="n">
        <v>46033</v>
      </c>
      <c r="C48" s="36" t="inlineStr">
        <is>
          <t>Western Europe</t>
        </is>
      </c>
      <c r="D48" s="36" t="inlineStr">
        <is>
          <t>United Kingdom</t>
        </is>
      </c>
      <c r="E48" s="36" t="inlineStr">
        <is>
          <t>Online Store</t>
        </is>
      </c>
      <c r="F48" s="36" t="inlineStr">
        <is>
          <t>Returning</t>
        </is>
      </c>
      <c r="G48" s="36" t="inlineStr">
        <is>
          <t>Travel</t>
        </is>
      </c>
      <c r="H48" s="36" t="inlineStr">
        <is>
          <t>Packing Cube Set</t>
        </is>
      </c>
      <c r="I48" s="36" t="n">
        <v>2</v>
      </c>
      <c r="J48" s="39" t="n">
        <v>46.27</v>
      </c>
      <c r="K48" s="45" t="n">
        <v>0</v>
      </c>
      <c r="L48" s="39" t="n">
        <v>18.23</v>
      </c>
      <c r="M48" s="39">
        <f>I48*J48*(1-K48)</f>
        <v/>
      </c>
      <c r="N48" s="39">
        <f>I48*L48</f>
        <v/>
      </c>
      <c r="O48" s="39">
        <f>M48-N48</f>
        <v/>
      </c>
      <c r="P48" s="38">
        <f>IF(M48=0,0,O48/M48)</f>
        <v/>
      </c>
      <c r="Q48" s="36">
        <f>YEAR(B48)</f>
        <v/>
      </c>
      <c r="R48" s="36">
        <f>"Q"&amp;ROUNDUP(MONTH(B48)/3,0)</f>
        <v/>
      </c>
      <c r="S48" s="36">
        <f>MONTH(B48)</f>
        <v/>
      </c>
      <c r="T48" s="36">
        <f>TEXT(B48,"mmm")</f>
        <v/>
      </c>
      <c r="U48" s="36">
        <f>IF(AND(OR(sel_Region="All",C48=sel_Region),OR(sel_Country="All",D48=sel_Country),OR(sel_Channel="All",E48=sel_Channel),OR(sel_Customer="All",F48=sel_Customer),OR(sel_Category="All",G48=sel_Category),OR(sel_Product="All",H48=sel_Product),AND(S48&gt;=m_From,S48&lt;=m_To)),1,0)</f>
        <v/>
      </c>
      <c r="V48" s="36">
        <f>IF(AND(OR(sel_Region="All",C48=sel_Region),OR(sel_Channel="All",E48=sel_Channel),OR(sel_Customer="All",F48=sel_Customer),OR(sel_Category="All",G48=sel_Category),OR(sel_Product="All",H48=sel_Product),AND(S48&gt;=m_From,S48&lt;=m_To)),1,0)</f>
        <v/>
      </c>
      <c r="W48" s="36">
        <f>IF(AND(OR(sel_Region="All",C48=sel_Region),OR(sel_Country="All",D48=sel_Country),OR(sel_Customer="All",F48=sel_Customer),OR(sel_Category="All",G48=sel_Category),OR(sel_Product="All",H48=sel_Product),AND(S48&gt;=m_From,S48&lt;=m_To)),1,0)</f>
        <v/>
      </c>
      <c r="X48" s="36">
        <f>IF(AND(OR(sel_Region="All",C48=sel_Region),OR(sel_Country="All",D48=sel_Country),OR(sel_Channel="All",E48=sel_Channel),OR(sel_Category="All",G48=sel_Category),OR(sel_Product="All",H48=sel_Product),AND(S48&gt;=m_From,S48&lt;=m_To)),1,0)</f>
        <v/>
      </c>
      <c r="Y48" s="36">
        <f>IF(AND(OR(sel_Region="All",C48=sel_Region),OR(sel_Country="All",D48=sel_Country),OR(sel_Channel="All",E48=sel_Channel),OR(sel_Customer="All",F48=sel_Customer),OR(sel_Product="All",H48=sel_Product),AND(S48&gt;=m_From,S48&lt;=m_To)),1,0)</f>
        <v/>
      </c>
      <c r="Z48" s="36">
        <f>IF(AND(OR(sel_Region="All",C48=sel_Region),OR(sel_Country="All",D48=sel_Country),OR(sel_Channel="All",E48=sel_Channel),OR(sel_Customer="All",F48=sel_Customer),OR(sel_Category="All",G48=sel_Category),AND(S48&gt;=m_From,S48&lt;=m_To)),1,0)</f>
        <v/>
      </c>
      <c r="AA48" s="36">
        <f>IF(AND(OR(sel_Region="All",C48=sel_Region),OR(sel_Country="All",D48=sel_Country),OR(sel_Channel="All",E48=sel_Channel),OR(sel_Customer="All",F48=sel_Customer),OR(sel_Category="All",G48=sel_Category),OR(sel_Product="All",H48=sel_Product)),1,0)</f>
        <v/>
      </c>
    </row>
    <row r="49">
      <c r="A49" s="36" t="inlineStr">
        <is>
          <t>04789</t>
        </is>
      </c>
      <c r="B49" s="44" t="n">
        <v>46033</v>
      </c>
      <c r="C49" s="36" t="inlineStr">
        <is>
          <t>Western Europe</t>
        </is>
      </c>
      <c r="D49" s="36" t="inlineStr">
        <is>
          <t>Netherlands</t>
        </is>
      </c>
      <c r="E49" s="36" t="inlineStr">
        <is>
          <t>Online Store</t>
        </is>
      </c>
      <c r="F49" s="36" t="inlineStr">
        <is>
          <t>Returning</t>
        </is>
      </c>
      <c r="G49" s="36" t="inlineStr">
        <is>
          <t>Cycling</t>
        </is>
      </c>
      <c r="H49" s="36" t="inlineStr">
        <is>
          <t>Commuter Helmet</t>
        </is>
      </c>
      <c r="I49" s="36" t="n">
        <v>1</v>
      </c>
      <c r="J49" s="39" t="n">
        <v>79.93000000000001</v>
      </c>
      <c r="K49" s="45" t="n">
        <v>0.05</v>
      </c>
      <c r="L49" s="39" t="n">
        <v>43.73</v>
      </c>
      <c r="M49" s="39">
        <f>I49*J49*(1-K49)</f>
        <v/>
      </c>
      <c r="N49" s="39">
        <f>I49*L49</f>
        <v/>
      </c>
      <c r="O49" s="39">
        <f>M49-N49</f>
        <v/>
      </c>
      <c r="P49" s="38">
        <f>IF(M49=0,0,O49/M49)</f>
        <v/>
      </c>
      <c r="Q49" s="36">
        <f>YEAR(B49)</f>
        <v/>
      </c>
      <c r="R49" s="36">
        <f>"Q"&amp;ROUNDUP(MONTH(B49)/3,0)</f>
        <v/>
      </c>
      <c r="S49" s="36">
        <f>MONTH(B49)</f>
        <v/>
      </c>
      <c r="T49" s="36">
        <f>TEXT(B49,"mmm")</f>
        <v/>
      </c>
      <c r="U49" s="36">
        <f>IF(AND(OR(sel_Region="All",C49=sel_Region),OR(sel_Country="All",D49=sel_Country),OR(sel_Channel="All",E49=sel_Channel),OR(sel_Customer="All",F49=sel_Customer),OR(sel_Category="All",G49=sel_Category),OR(sel_Product="All",H49=sel_Product),AND(S49&gt;=m_From,S49&lt;=m_To)),1,0)</f>
        <v/>
      </c>
      <c r="V49" s="36">
        <f>IF(AND(OR(sel_Region="All",C49=sel_Region),OR(sel_Channel="All",E49=sel_Channel),OR(sel_Customer="All",F49=sel_Customer),OR(sel_Category="All",G49=sel_Category),OR(sel_Product="All",H49=sel_Product),AND(S49&gt;=m_From,S49&lt;=m_To)),1,0)</f>
        <v/>
      </c>
      <c r="W49" s="36">
        <f>IF(AND(OR(sel_Region="All",C49=sel_Region),OR(sel_Country="All",D49=sel_Country),OR(sel_Customer="All",F49=sel_Customer),OR(sel_Category="All",G49=sel_Category),OR(sel_Product="All",H49=sel_Product),AND(S49&gt;=m_From,S49&lt;=m_To)),1,0)</f>
        <v/>
      </c>
      <c r="X49" s="36">
        <f>IF(AND(OR(sel_Region="All",C49=sel_Region),OR(sel_Country="All",D49=sel_Country),OR(sel_Channel="All",E49=sel_Channel),OR(sel_Category="All",G49=sel_Category),OR(sel_Product="All",H49=sel_Product),AND(S49&gt;=m_From,S49&lt;=m_To)),1,0)</f>
        <v/>
      </c>
      <c r="Y49" s="36">
        <f>IF(AND(OR(sel_Region="All",C49=sel_Region),OR(sel_Country="All",D49=sel_Country),OR(sel_Channel="All",E49=sel_Channel),OR(sel_Customer="All",F49=sel_Customer),OR(sel_Product="All",H49=sel_Product),AND(S49&gt;=m_From,S49&lt;=m_To)),1,0)</f>
        <v/>
      </c>
      <c r="Z49" s="36">
        <f>IF(AND(OR(sel_Region="All",C49=sel_Region),OR(sel_Country="All",D49=sel_Country),OR(sel_Channel="All",E49=sel_Channel),OR(sel_Customer="All",F49=sel_Customer),OR(sel_Category="All",G49=sel_Category),AND(S49&gt;=m_From,S49&lt;=m_To)),1,0)</f>
        <v/>
      </c>
      <c r="AA49" s="36">
        <f>IF(AND(OR(sel_Region="All",C49=sel_Region),OR(sel_Country="All",D49=sel_Country),OR(sel_Channel="All",E49=sel_Channel),OR(sel_Customer="All",F49=sel_Customer),OR(sel_Category="All",G49=sel_Category),OR(sel_Product="All",H49=sel_Product)),1,0)</f>
        <v/>
      </c>
    </row>
    <row r="50">
      <c r="A50" s="36" t="inlineStr">
        <is>
          <t>00804</t>
        </is>
      </c>
      <c r="B50" s="44" t="n">
        <v>46034</v>
      </c>
      <c r="C50" s="36" t="inlineStr">
        <is>
          <t>Central Europe</t>
        </is>
      </c>
      <c r="D50" s="36" t="inlineStr">
        <is>
          <t>Germany</t>
        </is>
      </c>
      <c r="E50" s="36" t="inlineStr">
        <is>
          <t>Retail Partners</t>
        </is>
      </c>
      <c r="F50" s="36" t="inlineStr">
        <is>
          <t>New</t>
        </is>
      </c>
      <c r="G50" s="36" t="inlineStr">
        <is>
          <t>Hiking</t>
        </is>
      </c>
      <c r="H50" s="36" t="inlineStr">
        <is>
          <t>Trail Boots</t>
        </is>
      </c>
      <c r="I50" s="36" t="n">
        <v>1</v>
      </c>
      <c r="J50" s="39" t="n">
        <v>141.25</v>
      </c>
      <c r="K50" s="45" t="n">
        <v>0</v>
      </c>
      <c r="L50" s="39" t="n">
        <v>78.72</v>
      </c>
      <c r="M50" s="39">
        <f>I50*J50*(1-K50)</f>
        <v/>
      </c>
      <c r="N50" s="39">
        <f>I50*L50</f>
        <v/>
      </c>
      <c r="O50" s="39">
        <f>M50-N50</f>
        <v/>
      </c>
      <c r="P50" s="38">
        <f>IF(M50=0,0,O50/M50)</f>
        <v/>
      </c>
      <c r="Q50" s="36">
        <f>YEAR(B50)</f>
        <v/>
      </c>
      <c r="R50" s="36">
        <f>"Q"&amp;ROUNDUP(MONTH(B50)/3,0)</f>
        <v/>
      </c>
      <c r="S50" s="36">
        <f>MONTH(B50)</f>
        <v/>
      </c>
      <c r="T50" s="36">
        <f>TEXT(B50,"mmm")</f>
        <v/>
      </c>
      <c r="U50" s="36">
        <f>IF(AND(OR(sel_Region="All",C50=sel_Region),OR(sel_Country="All",D50=sel_Country),OR(sel_Channel="All",E50=sel_Channel),OR(sel_Customer="All",F50=sel_Customer),OR(sel_Category="All",G50=sel_Category),OR(sel_Product="All",H50=sel_Product),AND(S50&gt;=m_From,S50&lt;=m_To)),1,0)</f>
        <v/>
      </c>
      <c r="V50" s="36">
        <f>IF(AND(OR(sel_Region="All",C50=sel_Region),OR(sel_Channel="All",E50=sel_Channel),OR(sel_Customer="All",F50=sel_Customer),OR(sel_Category="All",G50=sel_Category),OR(sel_Product="All",H50=sel_Product),AND(S50&gt;=m_From,S50&lt;=m_To)),1,0)</f>
        <v/>
      </c>
      <c r="W50" s="36">
        <f>IF(AND(OR(sel_Region="All",C50=sel_Region),OR(sel_Country="All",D50=sel_Country),OR(sel_Customer="All",F50=sel_Customer),OR(sel_Category="All",G50=sel_Category),OR(sel_Product="All",H50=sel_Product),AND(S50&gt;=m_From,S50&lt;=m_To)),1,0)</f>
        <v/>
      </c>
      <c r="X50" s="36">
        <f>IF(AND(OR(sel_Region="All",C50=sel_Region),OR(sel_Country="All",D50=sel_Country),OR(sel_Channel="All",E50=sel_Channel),OR(sel_Category="All",G50=sel_Category),OR(sel_Product="All",H50=sel_Product),AND(S50&gt;=m_From,S50&lt;=m_To)),1,0)</f>
        <v/>
      </c>
      <c r="Y50" s="36">
        <f>IF(AND(OR(sel_Region="All",C50=sel_Region),OR(sel_Country="All",D50=sel_Country),OR(sel_Channel="All",E50=sel_Channel),OR(sel_Customer="All",F50=sel_Customer),OR(sel_Product="All",H50=sel_Product),AND(S50&gt;=m_From,S50&lt;=m_To)),1,0)</f>
        <v/>
      </c>
      <c r="Z50" s="36">
        <f>IF(AND(OR(sel_Region="All",C50=sel_Region),OR(sel_Country="All",D50=sel_Country),OR(sel_Channel="All",E50=sel_Channel),OR(sel_Customer="All",F50=sel_Customer),OR(sel_Category="All",G50=sel_Category),AND(S50&gt;=m_From,S50&lt;=m_To)),1,0)</f>
        <v/>
      </c>
      <c r="AA50" s="36">
        <f>IF(AND(OR(sel_Region="All",C50=sel_Region),OR(sel_Country="All",D50=sel_Country),OR(sel_Channel="All",E50=sel_Channel),OR(sel_Customer="All",F50=sel_Customer),OR(sel_Category="All",G50=sel_Category),OR(sel_Product="All",H50=sel_Product)),1,0)</f>
        <v/>
      </c>
    </row>
    <row r="51">
      <c r="A51" s="36" t="inlineStr">
        <is>
          <t>01780</t>
        </is>
      </c>
      <c r="B51" s="44" t="n">
        <v>46034</v>
      </c>
      <c r="C51" s="36" t="inlineStr">
        <is>
          <t>Western Europe</t>
        </is>
      </c>
      <c r="D51" s="36" t="inlineStr">
        <is>
          <t>United Kingdom</t>
        </is>
      </c>
      <c r="E51" s="36" t="inlineStr">
        <is>
          <t>Online Store</t>
        </is>
      </c>
      <c r="F51" s="36" t="inlineStr">
        <is>
          <t>Returning</t>
        </is>
      </c>
      <c r="G51" s="36" t="inlineStr">
        <is>
          <t>Cycling</t>
        </is>
      </c>
      <c r="H51" s="36" t="inlineStr">
        <is>
          <t>Cycling Pack 12L</t>
        </is>
      </c>
      <c r="I51" s="36" t="n">
        <v>2</v>
      </c>
      <c r="J51" s="39" t="n">
        <v>103.64</v>
      </c>
      <c r="K51" s="45" t="n">
        <v>0.1</v>
      </c>
      <c r="L51" s="39" t="n">
        <v>50.96</v>
      </c>
      <c r="M51" s="39">
        <f>I51*J51*(1-K51)</f>
        <v/>
      </c>
      <c r="N51" s="39">
        <f>I51*L51</f>
        <v/>
      </c>
      <c r="O51" s="39">
        <f>M51-N51</f>
        <v/>
      </c>
      <c r="P51" s="38">
        <f>IF(M51=0,0,O51/M51)</f>
        <v/>
      </c>
      <c r="Q51" s="36">
        <f>YEAR(B51)</f>
        <v/>
      </c>
      <c r="R51" s="36">
        <f>"Q"&amp;ROUNDUP(MONTH(B51)/3,0)</f>
        <v/>
      </c>
      <c r="S51" s="36">
        <f>MONTH(B51)</f>
        <v/>
      </c>
      <c r="T51" s="36">
        <f>TEXT(B51,"mmm")</f>
        <v/>
      </c>
      <c r="U51" s="36">
        <f>IF(AND(OR(sel_Region="All",C51=sel_Region),OR(sel_Country="All",D51=sel_Country),OR(sel_Channel="All",E51=sel_Channel),OR(sel_Customer="All",F51=sel_Customer),OR(sel_Category="All",G51=sel_Category),OR(sel_Product="All",H51=sel_Product),AND(S51&gt;=m_From,S51&lt;=m_To)),1,0)</f>
        <v/>
      </c>
      <c r="V51" s="36">
        <f>IF(AND(OR(sel_Region="All",C51=sel_Region),OR(sel_Channel="All",E51=sel_Channel),OR(sel_Customer="All",F51=sel_Customer),OR(sel_Category="All",G51=sel_Category),OR(sel_Product="All",H51=sel_Product),AND(S51&gt;=m_From,S51&lt;=m_To)),1,0)</f>
        <v/>
      </c>
      <c r="W51" s="36">
        <f>IF(AND(OR(sel_Region="All",C51=sel_Region),OR(sel_Country="All",D51=sel_Country),OR(sel_Customer="All",F51=sel_Customer),OR(sel_Category="All",G51=sel_Category),OR(sel_Product="All",H51=sel_Product),AND(S51&gt;=m_From,S51&lt;=m_To)),1,0)</f>
        <v/>
      </c>
      <c r="X51" s="36">
        <f>IF(AND(OR(sel_Region="All",C51=sel_Region),OR(sel_Country="All",D51=sel_Country),OR(sel_Channel="All",E51=sel_Channel),OR(sel_Category="All",G51=sel_Category),OR(sel_Product="All",H51=sel_Product),AND(S51&gt;=m_From,S51&lt;=m_To)),1,0)</f>
        <v/>
      </c>
      <c r="Y51" s="36">
        <f>IF(AND(OR(sel_Region="All",C51=sel_Region),OR(sel_Country="All",D51=sel_Country),OR(sel_Channel="All",E51=sel_Channel),OR(sel_Customer="All",F51=sel_Customer),OR(sel_Product="All",H51=sel_Product),AND(S51&gt;=m_From,S51&lt;=m_To)),1,0)</f>
        <v/>
      </c>
      <c r="Z51" s="36">
        <f>IF(AND(OR(sel_Region="All",C51=sel_Region),OR(sel_Country="All",D51=sel_Country),OR(sel_Channel="All",E51=sel_Channel),OR(sel_Customer="All",F51=sel_Customer),OR(sel_Category="All",G51=sel_Category),AND(S51&gt;=m_From,S51&lt;=m_To)),1,0)</f>
        <v/>
      </c>
      <c r="AA51" s="36">
        <f>IF(AND(OR(sel_Region="All",C51=sel_Region),OR(sel_Country="All",D51=sel_Country),OR(sel_Channel="All",E51=sel_Channel),OR(sel_Customer="All",F51=sel_Customer),OR(sel_Category="All",G51=sel_Category),OR(sel_Product="All",H51=sel_Product)),1,0)</f>
        <v/>
      </c>
    </row>
    <row r="52">
      <c r="A52" s="36" t="inlineStr">
        <is>
          <t>02844</t>
        </is>
      </c>
      <c r="B52" s="44" t="n">
        <v>46034</v>
      </c>
      <c r="C52" s="36" t="inlineStr">
        <is>
          <t>Southern Europe</t>
        </is>
      </c>
      <c r="D52" s="36" t="inlineStr">
        <is>
          <t>Spain</t>
        </is>
      </c>
      <c r="E52" s="36" t="inlineStr">
        <is>
          <t>Online Store</t>
        </is>
      </c>
      <c r="F52" s="36" t="inlineStr">
        <is>
          <t>New</t>
        </is>
      </c>
      <c r="G52" s="36" t="inlineStr">
        <is>
          <t>Travel</t>
        </is>
      </c>
      <c r="H52" s="36" t="inlineStr">
        <is>
          <t>Carry-On Duffel</t>
        </is>
      </c>
      <c r="I52" s="36" t="n">
        <v>1</v>
      </c>
      <c r="J52" s="39" t="n">
        <v>136.18</v>
      </c>
      <c r="K52" s="45" t="n">
        <v>0</v>
      </c>
      <c r="L52" s="39" t="n">
        <v>68.34</v>
      </c>
      <c r="M52" s="39">
        <f>I52*J52*(1-K52)</f>
        <v/>
      </c>
      <c r="N52" s="39">
        <f>I52*L52</f>
        <v/>
      </c>
      <c r="O52" s="39">
        <f>M52-N52</f>
        <v/>
      </c>
      <c r="P52" s="38">
        <f>IF(M52=0,0,O52/M52)</f>
        <v/>
      </c>
      <c r="Q52" s="36">
        <f>YEAR(B52)</f>
        <v/>
      </c>
      <c r="R52" s="36">
        <f>"Q"&amp;ROUNDUP(MONTH(B52)/3,0)</f>
        <v/>
      </c>
      <c r="S52" s="36">
        <f>MONTH(B52)</f>
        <v/>
      </c>
      <c r="T52" s="36">
        <f>TEXT(B52,"mmm")</f>
        <v/>
      </c>
      <c r="U52" s="36">
        <f>IF(AND(OR(sel_Region="All",C52=sel_Region),OR(sel_Country="All",D52=sel_Country),OR(sel_Channel="All",E52=sel_Channel),OR(sel_Customer="All",F52=sel_Customer),OR(sel_Category="All",G52=sel_Category),OR(sel_Product="All",H52=sel_Product),AND(S52&gt;=m_From,S52&lt;=m_To)),1,0)</f>
        <v/>
      </c>
      <c r="V52" s="36">
        <f>IF(AND(OR(sel_Region="All",C52=sel_Region),OR(sel_Channel="All",E52=sel_Channel),OR(sel_Customer="All",F52=sel_Customer),OR(sel_Category="All",G52=sel_Category),OR(sel_Product="All",H52=sel_Product),AND(S52&gt;=m_From,S52&lt;=m_To)),1,0)</f>
        <v/>
      </c>
      <c r="W52" s="36">
        <f>IF(AND(OR(sel_Region="All",C52=sel_Region),OR(sel_Country="All",D52=sel_Country),OR(sel_Customer="All",F52=sel_Customer),OR(sel_Category="All",G52=sel_Category),OR(sel_Product="All",H52=sel_Product),AND(S52&gt;=m_From,S52&lt;=m_To)),1,0)</f>
        <v/>
      </c>
      <c r="X52" s="36">
        <f>IF(AND(OR(sel_Region="All",C52=sel_Region),OR(sel_Country="All",D52=sel_Country),OR(sel_Channel="All",E52=sel_Channel),OR(sel_Category="All",G52=sel_Category),OR(sel_Product="All",H52=sel_Product),AND(S52&gt;=m_From,S52&lt;=m_To)),1,0)</f>
        <v/>
      </c>
      <c r="Y52" s="36">
        <f>IF(AND(OR(sel_Region="All",C52=sel_Region),OR(sel_Country="All",D52=sel_Country),OR(sel_Channel="All",E52=sel_Channel),OR(sel_Customer="All",F52=sel_Customer),OR(sel_Product="All",H52=sel_Product),AND(S52&gt;=m_From,S52&lt;=m_To)),1,0)</f>
        <v/>
      </c>
      <c r="Z52" s="36">
        <f>IF(AND(OR(sel_Region="All",C52=sel_Region),OR(sel_Country="All",D52=sel_Country),OR(sel_Channel="All",E52=sel_Channel),OR(sel_Customer="All",F52=sel_Customer),OR(sel_Category="All",G52=sel_Category),AND(S52&gt;=m_From,S52&lt;=m_To)),1,0)</f>
        <v/>
      </c>
      <c r="AA52" s="36">
        <f>IF(AND(OR(sel_Region="All",C52=sel_Region),OR(sel_Country="All",D52=sel_Country),OR(sel_Channel="All",E52=sel_Channel),OR(sel_Customer="All",F52=sel_Customer),OR(sel_Category="All",G52=sel_Category),OR(sel_Product="All",H52=sel_Product)),1,0)</f>
        <v/>
      </c>
    </row>
    <row r="53">
      <c r="A53" s="36" t="inlineStr">
        <is>
          <t>03068</t>
        </is>
      </c>
      <c r="B53" s="44" t="n">
        <v>46034</v>
      </c>
      <c r="C53" s="36" t="inlineStr">
        <is>
          <t>Northern Europe</t>
        </is>
      </c>
      <c r="D53" s="36" t="inlineStr">
        <is>
          <t>Sweden</t>
        </is>
      </c>
      <c r="E53" s="36" t="inlineStr">
        <is>
          <t>Marketplace</t>
        </is>
      </c>
      <c r="F53" s="36" t="inlineStr">
        <is>
          <t>New</t>
        </is>
      </c>
      <c r="G53" s="36" t="inlineStr">
        <is>
          <t>Fitness</t>
        </is>
      </c>
      <c r="H53" s="36" t="inlineStr">
        <is>
          <t>Recovery Roller</t>
        </is>
      </c>
      <c r="I53" s="36" t="n">
        <v>1</v>
      </c>
      <c r="J53" s="39" t="n">
        <v>36.43</v>
      </c>
      <c r="K53" s="45" t="n">
        <v>0</v>
      </c>
      <c r="L53" s="39" t="n">
        <v>14.33</v>
      </c>
      <c r="M53" s="39">
        <f>I53*J53*(1-K53)</f>
        <v/>
      </c>
      <c r="N53" s="39">
        <f>I53*L53</f>
        <v/>
      </c>
      <c r="O53" s="39">
        <f>M53-N53</f>
        <v/>
      </c>
      <c r="P53" s="38">
        <f>IF(M53=0,0,O53/M53)</f>
        <v/>
      </c>
      <c r="Q53" s="36">
        <f>YEAR(B53)</f>
        <v/>
      </c>
      <c r="R53" s="36">
        <f>"Q"&amp;ROUNDUP(MONTH(B53)/3,0)</f>
        <v/>
      </c>
      <c r="S53" s="36">
        <f>MONTH(B53)</f>
        <v/>
      </c>
      <c r="T53" s="36">
        <f>TEXT(B53,"mmm")</f>
        <v/>
      </c>
      <c r="U53" s="36">
        <f>IF(AND(OR(sel_Region="All",C53=sel_Region),OR(sel_Country="All",D53=sel_Country),OR(sel_Channel="All",E53=sel_Channel),OR(sel_Customer="All",F53=sel_Customer),OR(sel_Category="All",G53=sel_Category),OR(sel_Product="All",H53=sel_Product),AND(S53&gt;=m_From,S53&lt;=m_To)),1,0)</f>
        <v/>
      </c>
      <c r="V53" s="36">
        <f>IF(AND(OR(sel_Region="All",C53=sel_Region),OR(sel_Channel="All",E53=sel_Channel),OR(sel_Customer="All",F53=sel_Customer),OR(sel_Category="All",G53=sel_Category),OR(sel_Product="All",H53=sel_Product),AND(S53&gt;=m_From,S53&lt;=m_To)),1,0)</f>
        <v/>
      </c>
      <c r="W53" s="36">
        <f>IF(AND(OR(sel_Region="All",C53=sel_Region),OR(sel_Country="All",D53=sel_Country),OR(sel_Customer="All",F53=sel_Customer),OR(sel_Category="All",G53=sel_Category),OR(sel_Product="All",H53=sel_Product),AND(S53&gt;=m_From,S53&lt;=m_To)),1,0)</f>
        <v/>
      </c>
      <c r="X53" s="36">
        <f>IF(AND(OR(sel_Region="All",C53=sel_Region),OR(sel_Country="All",D53=sel_Country),OR(sel_Channel="All",E53=sel_Channel),OR(sel_Category="All",G53=sel_Category),OR(sel_Product="All",H53=sel_Product),AND(S53&gt;=m_From,S53&lt;=m_To)),1,0)</f>
        <v/>
      </c>
      <c r="Y53" s="36">
        <f>IF(AND(OR(sel_Region="All",C53=sel_Region),OR(sel_Country="All",D53=sel_Country),OR(sel_Channel="All",E53=sel_Channel),OR(sel_Customer="All",F53=sel_Customer),OR(sel_Product="All",H53=sel_Product),AND(S53&gt;=m_From,S53&lt;=m_To)),1,0)</f>
        <v/>
      </c>
      <c r="Z53" s="36">
        <f>IF(AND(OR(sel_Region="All",C53=sel_Region),OR(sel_Country="All",D53=sel_Country),OR(sel_Channel="All",E53=sel_Channel),OR(sel_Customer="All",F53=sel_Customer),OR(sel_Category="All",G53=sel_Category),AND(S53&gt;=m_From,S53&lt;=m_To)),1,0)</f>
        <v/>
      </c>
      <c r="AA53" s="36">
        <f>IF(AND(OR(sel_Region="All",C53=sel_Region),OR(sel_Country="All",D53=sel_Country),OR(sel_Channel="All",E53=sel_Channel),OR(sel_Customer="All",F53=sel_Customer),OR(sel_Category="All",G53=sel_Category),OR(sel_Product="All",H53=sel_Product)),1,0)</f>
        <v/>
      </c>
    </row>
    <row r="54">
      <c r="A54" s="36" t="inlineStr">
        <is>
          <t>03096</t>
        </is>
      </c>
      <c r="B54" s="44" t="n">
        <v>46034</v>
      </c>
      <c r="C54" s="36" t="inlineStr">
        <is>
          <t>Western Europe</t>
        </is>
      </c>
      <c r="D54" s="36" t="inlineStr">
        <is>
          <t>Netherlands</t>
        </is>
      </c>
      <c r="E54" s="36" t="inlineStr">
        <is>
          <t>Online Store</t>
        </is>
      </c>
      <c r="F54" s="36" t="inlineStr">
        <is>
          <t>New</t>
        </is>
      </c>
      <c r="G54" s="36" t="inlineStr">
        <is>
          <t>Fitness</t>
        </is>
      </c>
      <c r="H54" s="36" t="inlineStr">
        <is>
          <t>Training Mat</t>
        </is>
      </c>
      <c r="I54" s="36" t="n">
        <v>2</v>
      </c>
      <c r="J54" s="39" t="n">
        <v>50.51</v>
      </c>
      <c r="K54" s="45" t="n">
        <v>0.1</v>
      </c>
      <c r="L54" s="39" t="n">
        <v>21.84</v>
      </c>
      <c r="M54" s="39">
        <f>I54*J54*(1-K54)</f>
        <v/>
      </c>
      <c r="N54" s="39">
        <f>I54*L54</f>
        <v/>
      </c>
      <c r="O54" s="39">
        <f>M54-N54</f>
        <v/>
      </c>
      <c r="P54" s="38">
        <f>IF(M54=0,0,O54/M54)</f>
        <v/>
      </c>
      <c r="Q54" s="36">
        <f>YEAR(B54)</f>
        <v/>
      </c>
      <c r="R54" s="36">
        <f>"Q"&amp;ROUNDUP(MONTH(B54)/3,0)</f>
        <v/>
      </c>
      <c r="S54" s="36">
        <f>MONTH(B54)</f>
        <v/>
      </c>
      <c r="T54" s="36">
        <f>TEXT(B54,"mmm")</f>
        <v/>
      </c>
      <c r="U54" s="36">
        <f>IF(AND(OR(sel_Region="All",C54=sel_Region),OR(sel_Country="All",D54=sel_Country),OR(sel_Channel="All",E54=sel_Channel),OR(sel_Customer="All",F54=sel_Customer),OR(sel_Category="All",G54=sel_Category),OR(sel_Product="All",H54=sel_Product),AND(S54&gt;=m_From,S54&lt;=m_To)),1,0)</f>
        <v/>
      </c>
      <c r="V54" s="36">
        <f>IF(AND(OR(sel_Region="All",C54=sel_Region),OR(sel_Channel="All",E54=sel_Channel),OR(sel_Customer="All",F54=sel_Customer),OR(sel_Category="All",G54=sel_Category),OR(sel_Product="All",H54=sel_Product),AND(S54&gt;=m_From,S54&lt;=m_To)),1,0)</f>
        <v/>
      </c>
      <c r="W54" s="36">
        <f>IF(AND(OR(sel_Region="All",C54=sel_Region),OR(sel_Country="All",D54=sel_Country),OR(sel_Customer="All",F54=sel_Customer),OR(sel_Category="All",G54=sel_Category),OR(sel_Product="All",H54=sel_Product),AND(S54&gt;=m_From,S54&lt;=m_To)),1,0)</f>
        <v/>
      </c>
      <c r="X54" s="36">
        <f>IF(AND(OR(sel_Region="All",C54=sel_Region),OR(sel_Country="All",D54=sel_Country),OR(sel_Channel="All",E54=sel_Channel),OR(sel_Category="All",G54=sel_Category),OR(sel_Product="All",H54=sel_Product),AND(S54&gt;=m_From,S54&lt;=m_To)),1,0)</f>
        <v/>
      </c>
      <c r="Y54" s="36">
        <f>IF(AND(OR(sel_Region="All",C54=sel_Region),OR(sel_Country="All",D54=sel_Country),OR(sel_Channel="All",E54=sel_Channel),OR(sel_Customer="All",F54=sel_Customer),OR(sel_Product="All",H54=sel_Product),AND(S54&gt;=m_From,S54&lt;=m_To)),1,0)</f>
        <v/>
      </c>
      <c r="Z54" s="36">
        <f>IF(AND(OR(sel_Region="All",C54=sel_Region),OR(sel_Country="All",D54=sel_Country),OR(sel_Channel="All",E54=sel_Channel),OR(sel_Customer="All",F54=sel_Customer),OR(sel_Category="All",G54=sel_Category),AND(S54&gt;=m_From,S54&lt;=m_To)),1,0)</f>
        <v/>
      </c>
      <c r="AA54" s="36">
        <f>IF(AND(OR(sel_Region="All",C54=sel_Region),OR(sel_Country="All",D54=sel_Country),OR(sel_Channel="All",E54=sel_Channel),OR(sel_Customer="All",F54=sel_Customer),OR(sel_Category="All",G54=sel_Category),OR(sel_Product="All",H54=sel_Product)),1,0)</f>
        <v/>
      </c>
    </row>
    <row r="55">
      <c r="A55" s="36" t="inlineStr">
        <is>
          <t>03129</t>
        </is>
      </c>
      <c r="B55" s="44" t="n">
        <v>46034</v>
      </c>
      <c r="C55" s="36" t="inlineStr">
        <is>
          <t>Western Europe</t>
        </is>
      </c>
      <c r="D55" s="36" t="inlineStr">
        <is>
          <t>France</t>
        </is>
      </c>
      <c r="E55" s="36" t="inlineStr">
        <is>
          <t>Retail Partners</t>
        </is>
      </c>
      <c r="F55" s="36" t="inlineStr">
        <is>
          <t>Returning</t>
        </is>
      </c>
      <c r="G55" s="36" t="inlineStr">
        <is>
          <t>Fitness</t>
        </is>
      </c>
      <c r="H55" s="36" t="inlineStr">
        <is>
          <t>Weighted Vest</t>
        </is>
      </c>
      <c r="I55" s="36" t="n">
        <v>1</v>
      </c>
      <c r="J55" s="39" t="n">
        <v>123</v>
      </c>
      <c r="K55" s="45" t="n">
        <v>0</v>
      </c>
      <c r="L55" s="39" t="n">
        <v>67.3</v>
      </c>
      <c r="M55" s="39">
        <f>I55*J55*(1-K55)</f>
        <v/>
      </c>
      <c r="N55" s="39">
        <f>I55*L55</f>
        <v/>
      </c>
      <c r="O55" s="39">
        <f>M55-N55</f>
        <v/>
      </c>
      <c r="P55" s="38">
        <f>IF(M55=0,0,O55/M55)</f>
        <v/>
      </c>
      <c r="Q55" s="36">
        <f>YEAR(B55)</f>
        <v/>
      </c>
      <c r="R55" s="36">
        <f>"Q"&amp;ROUNDUP(MONTH(B55)/3,0)</f>
        <v/>
      </c>
      <c r="S55" s="36">
        <f>MONTH(B55)</f>
        <v/>
      </c>
      <c r="T55" s="36">
        <f>TEXT(B55,"mmm")</f>
        <v/>
      </c>
      <c r="U55" s="36">
        <f>IF(AND(OR(sel_Region="All",C55=sel_Region),OR(sel_Country="All",D55=sel_Country),OR(sel_Channel="All",E55=sel_Channel),OR(sel_Customer="All",F55=sel_Customer),OR(sel_Category="All",G55=sel_Category),OR(sel_Product="All",H55=sel_Product),AND(S55&gt;=m_From,S55&lt;=m_To)),1,0)</f>
        <v/>
      </c>
      <c r="V55" s="36">
        <f>IF(AND(OR(sel_Region="All",C55=sel_Region),OR(sel_Channel="All",E55=sel_Channel),OR(sel_Customer="All",F55=sel_Customer),OR(sel_Category="All",G55=sel_Category),OR(sel_Product="All",H55=sel_Product),AND(S55&gt;=m_From,S55&lt;=m_To)),1,0)</f>
        <v/>
      </c>
      <c r="W55" s="36">
        <f>IF(AND(OR(sel_Region="All",C55=sel_Region),OR(sel_Country="All",D55=sel_Country),OR(sel_Customer="All",F55=sel_Customer),OR(sel_Category="All",G55=sel_Category),OR(sel_Product="All",H55=sel_Product),AND(S55&gt;=m_From,S55&lt;=m_To)),1,0)</f>
        <v/>
      </c>
      <c r="X55" s="36">
        <f>IF(AND(OR(sel_Region="All",C55=sel_Region),OR(sel_Country="All",D55=sel_Country),OR(sel_Channel="All",E55=sel_Channel),OR(sel_Category="All",G55=sel_Category),OR(sel_Product="All",H55=sel_Product),AND(S55&gt;=m_From,S55&lt;=m_To)),1,0)</f>
        <v/>
      </c>
      <c r="Y55" s="36">
        <f>IF(AND(OR(sel_Region="All",C55=sel_Region),OR(sel_Country="All",D55=sel_Country),OR(sel_Channel="All",E55=sel_Channel),OR(sel_Customer="All",F55=sel_Customer),OR(sel_Product="All",H55=sel_Product),AND(S55&gt;=m_From,S55&lt;=m_To)),1,0)</f>
        <v/>
      </c>
      <c r="Z55" s="36">
        <f>IF(AND(OR(sel_Region="All",C55=sel_Region),OR(sel_Country="All",D55=sel_Country),OR(sel_Channel="All",E55=sel_Channel),OR(sel_Customer="All",F55=sel_Customer),OR(sel_Category="All",G55=sel_Category),AND(S55&gt;=m_From,S55&lt;=m_To)),1,0)</f>
        <v/>
      </c>
      <c r="AA55" s="36">
        <f>IF(AND(OR(sel_Region="All",C55=sel_Region),OR(sel_Country="All",D55=sel_Country),OR(sel_Channel="All",E55=sel_Channel),OR(sel_Customer="All",F55=sel_Customer),OR(sel_Category="All",G55=sel_Category),OR(sel_Product="All",H55=sel_Product)),1,0)</f>
        <v/>
      </c>
    </row>
    <row r="56">
      <c r="A56" s="36" t="inlineStr">
        <is>
          <t>03948</t>
        </is>
      </c>
      <c r="B56" s="44" t="n">
        <v>46034</v>
      </c>
      <c r="C56" s="36" t="inlineStr">
        <is>
          <t>Central Europe</t>
        </is>
      </c>
      <c r="D56" s="36" t="inlineStr">
        <is>
          <t>Poland</t>
        </is>
      </c>
      <c r="E56" s="36" t="inlineStr">
        <is>
          <t>Online Store</t>
        </is>
      </c>
      <c r="F56" s="36" t="inlineStr">
        <is>
          <t>New</t>
        </is>
      </c>
      <c r="G56" s="36" t="inlineStr">
        <is>
          <t>Hiking</t>
        </is>
      </c>
      <c r="H56" s="36" t="inlineStr">
        <is>
          <t>Trekking Poles</t>
        </is>
      </c>
      <c r="I56" s="36" t="n">
        <v>2</v>
      </c>
      <c r="J56" s="39" t="n">
        <v>72.23999999999999</v>
      </c>
      <c r="K56" s="45" t="n">
        <v>0</v>
      </c>
      <c r="L56" s="39" t="n">
        <v>32.94</v>
      </c>
      <c r="M56" s="39">
        <f>I56*J56*(1-K56)</f>
        <v/>
      </c>
      <c r="N56" s="39">
        <f>I56*L56</f>
        <v/>
      </c>
      <c r="O56" s="39">
        <f>M56-N56</f>
        <v/>
      </c>
      <c r="P56" s="38">
        <f>IF(M56=0,0,O56/M56)</f>
        <v/>
      </c>
      <c r="Q56" s="36">
        <f>YEAR(B56)</f>
        <v/>
      </c>
      <c r="R56" s="36">
        <f>"Q"&amp;ROUNDUP(MONTH(B56)/3,0)</f>
        <v/>
      </c>
      <c r="S56" s="36">
        <f>MONTH(B56)</f>
        <v/>
      </c>
      <c r="T56" s="36">
        <f>TEXT(B56,"mmm")</f>
        <v/>
      </c>
      <c r="U56" s="36">
        <f>IF(AND(OR(sel_Region="All",C56=sel_Region),OR(sel_Country="All",D56=sel_Country),OR(sel_Channel="All",E56=sel_Channel),OR(sel_Customer="All",F56=sel_Customer),OR(sel_Category="All",G56=sel_Category),OR(sel_Product="All",H56=sel_Product),AND(S56&gt;=m_From,S56&lt;=m_To)),1,0)</f>
        <v/>
      </c>
      <c r="V56" s="36">
        <f>IF(AND(OR(sel_Region="All",C56=sel_Region),OR(sel_Channel="All",E56=sel_Channel),OR(sel_Customer="All",F56=sel_Customer),OR(sel_Category="All",G56=sel_Category),OR(sel_Product="All",H56=sel_Product),AND(S56&gt;=m_From,S56&lt;=m_To)),1,0)</f>
        <v/>
      </c>
      <c r="W56" s="36">
        <f>IF(AND(OR(sel_Region="All",C56=sel_Region),OR(sel_Country="All",D56=sel_Country),OR(sel_Customer="All",F56=sel_Customer),OR(sel_Category="All",G56=sel_Category),OR(sel_Product="All",H56=sel_Product),AND(S56&gt;=m_From,S56&lt;=m_To)),1,0)</f>
        <v/>
      </c>
      <c r="X56" s="36">
        <f>IF(AND(OR(sel_Region="All",C56=sel_Region),OR(sel_Country="All",D56=sel_Country),OR(sel_Channel="All",E56=sel_Channel),OR(sel_Category="All",G56=sel_Category),OR(sel_Product="All",H56=sel_Product),AND(S56&gt;=m_From,S56&lt;=m_To)),1,0)</f>
        <v/>
      </c>
      <c r="Y56" s="36">
        <f>IF(AND(OR(sel_Region="All",C56=sel_Region),OR(sel_Country="All",D56=sel_Country),OR(sel_Channel="All",E56=sel_Channel),OR(sel_Customer="All",F56=sel_Customer),OR(sel_Product="All",H56=sel_Product),AND(S56&gt;=m_From,S56&lt;=m_To)),1,0)</f>
        <v/>
      </c>
      <c r="Z56" s="36">
        <f>IF(AND(OR(sel_Region="All",C56=sel_Region),OR(sel_Country="All",D56=sel_Country),OR(sel_Channel="All",E56=sel_Channel),OR(sel_Customer="All",F56=sel_Customer),OR(sel_Category="All",G56=sel_Category),AND(S56&gt;=m_From,S56&lt;=m_To)),1,0)</f>
        <v/>
      </c>
      <c r="AA56" s="36">
        <f>IF(AND(OR(sel_Region="All",C56=sel_Region),OR(sel_Country="All",D56=sel_Country),OR(sel_Channel="All",E56=sel_Channel),OR(sel_Customer="All",F56=sel_Customer),OR(sel_Category="All",G56=sel_Category),OR(sel_Product="All",H56=sel_Product)),1,0)</f>
        <v/>
      </c>
    </row>
    <row r="57">
      <c r="A57" s="36" t="inlineStr">
        <is>
          <t>05036</t>
        </is>
      </c>
      <c r="B57" s="44" t="n">
        <v>46034</v>
      </c>
      <c r="C57" s="36" t="inlineStr">
        <is>
          <t>Northern Europe</t>
        </is>
      </c>
      <c r="D57" s="36" t="inlineStr">
        <is>
          <t>Ireland</t>
        </is>
      </c>
      <c r="E57" s="36" t="inlineStr">
        <is>
          <t>Retail Partners</t>
        </is>
      </c>
      <c r="F57" s="36" t="inlineStr">
        <is>
          <t>Returning</t>
        </is>
      </c>
      <c r="G57" s="36" t="inlineStr">
        <is>
          <t>Hiking</t>
        </is>
      </c>
      <c r="H57" s="36" t="inlineStr">
        <is>
          <t>Summit Backpack 45L</t>
        </is>
      </c>
      <c r="I57" s="36" t="n">
        <v>1</v>
      </c>
      <c r="J57" s="39" t="n">
        <v>151.11</v>
      </c>
      <c r="K57" s="45" t="n">
        <v>0.15</v>
      </c>
      <c r="L57" s="39" t="n">
        <v>79.65000000000001</v>
      </c>
      <c r="M57" s="39">
        <f>I57*J57*(1-K57)</f>
        <v/>
      </c>
      <c r="N57" s="39">
        <f>I57*L57</f>
        <v/>
      </c>
      <c r="O57" s="39">
        <f>M57-N57</f>
        <v/>
      </c>
      <c r="P57" s="38">
        <f>IF(M57=0,0,O57/M57)</f>
        <v/>
      </c>
      <c r="Q57" s="36">
        <f>YEAR(B57)</f>
        <v/>
      </c>
      <c r="R57" s="36">
        <f>"Q"&amp;ROUNDUP(MONTH(B57)/3,0)</f>
        <v/>
      </c>
      <c r="S57" s="36">
        <f>MONTH(B57)</f>
        <v/>
      </c>
      <c r="T57" s="36">
        <f>TEXT(B57,"mmm")</f>
        <v/>
      </c>
      <c r="U57" s="36">
        <f>IF(AND(OR(sel_Region="All",C57=sel_Region),OR(sel_Country="All",D57=sel_Country),OR(sel_Channel="All",E57=sel_Channel),OR(sel_Customer="All",F57=sel_Customer),OR(sel_Category="All",G57=sel_Category),OR(sel_Product="All",H57=sel_Product),AND(S57&gt;=m_From,S57&lt;=m_To)),1,0)</f>
        <v/>
      </c>
      <c r="V57" s="36">
        <f>IF(AND(OR(sel_Region="All",C57=sel_Region),OR(sel_Channel="All",E57=sel_Channel),OR(sel_Customer="All",F57=sel_Customer),OR(sel_Category="All",G57=sel_Category),OR(sel_Product="All",H57=sel_Product),AND(S57&gt;=m_From,S57&lt;=m_To)),1,0)</f>
        <v/>
      </c>
      <c r="W57" s="36">
        <f>IF(AND(OR(sel_Region="All",C57=sel_Region),OR(sel_Country="All",D57=sel_Country),OR(sel_Customer="All",F57=sel_Customer),OR(sel_Category="All",G57=sel_Category),OR(sel_Product="All",H57=sel_Product),AND(S57&gt;=m_From,S57&lt;=m_To)),1,0)</f>
        <v/>
      </c>
      <c r="X57" s="36">
        <f>IF(AND(OR(sel_Region="All",C57=sel_Region),OR(sel_Country="All",D57=sel_Country),OR(sel_Channel="All",E57=sel_Channel),OR(sel_Category="All",G57=sel_Category),OR(sel_Product="All",H57=sel_Product),AND(S57&gt;=m_From,S57&lt;=m_To)),1,0)</f>
        <v/>
      </c>
      <c r="Y57" s="36">
        <f>IF(AND(OR(sel_Region="All",C57=sel_Region),OR(sel_Country="All",D57=sel_Country),OR(sel_Channel="All",E57=sel_Channel),OR(sel_Customer="All",F57=sel_Customer),OR(sel_Product="All",H57=sel_Product),AND(S57&gt;=m_From,S57&lt;=m_To)),1,0)</f>
        <v/>
      </c>
      <c r="Z57" s="36">
        <f>IF(AND(OR(sel_Region="All",C57=sel_Region),OR(sel_Country="All",D57=sel_Country),OR(sel_Channel="All",E57=sel_Channel),OR(sel_Customer="All",F57=sel_Customer),OR(sel_Category="All",G57=sel_Category),AND(S57&gt;=m_From,S57&lt;=m_To)),1,0)</f>
        <v/>
      </c>
      <c r="AA57" s="36">
        <f>IF(AND(OR(sel_Region="All",C57=sel_Region),OR(sel_Country="All",D57=sel_Country),OR(sel_Channel="All",E57=sel_Channel),OR(sel_Customer="All",F57=sel_Customer),OR(sel_Category="All",G57=sel_Category),OR(sel_Product="All",H57=sel_Product)),1,0)</f>
        <v/>
      </c>
    </row>
    <row r="58">
      <c r="A58" s="36" t="inlineStr">
        <is>
          <t>02681</t>
        </is>
      </c>
      <c r="B58" s="44" t="n">
        <v>46035</v>
      </c>
      <c r="C58" s="36" t="inlineStr">
        <is>
          <t>Western Europe</t>
        </is>
      </c>
      <c r="D58" s="36" t="inlineStr">
        <is>
          <t>Belgium</t>
        </is>
      </c>
      <c r="E58" s="36" t="inlineStr">
        <is>
          <t>Online Store</t>
        </is>
      </c>
      <c r="F58" s="36" t="inlineStr">
        <is>
          <t>New</t>
        </is>
      </c>
      <c r="G58" s="36" t="inlineStr">
        <is>
          <t>Hiking</t>
        </is>
      </c>
      <c r="H58" s="36" t="inlineStr">
        <is>
          <t>Hiking Daypack 20L</t>
        </is>
      </c>
      <c r="I58" s="36" t="n">
        <v>1</v>
      </c>
      <c r="J58" s="39" t="n">
        <v>94.31999999999999</v>
      </c>
      <c r="K58" s="45" t="n">
        <v>0</v>
      </c>
      <c r="L58" s="39" t="n">
        <v>45.93</v>
      </c>
      <c r="M58" s="39">
        <f>I58*J58*(1-K58)</f>
        <v/>
      </c>
      <c r="N58" s="39">
        <f>I58*L58</f>
        <v/>
      </c>
      <c r="O58" s="39">
        <f>M58-N58</f>
        <v/>
      </c>
      <c r="P58" s="38">
        <f>IF(M58=0,0,O58/M58)</f>
        <v/>
      </c>
      <c r="Q58" s="36">
        <f>YEAR(B58)</f>
        <v/>
      </c>
      <c r="R58" s="36">
        <f>"Q"&amp;ROUNDUP(MONTH(B58)/3,0)</f>
        <v/>
      </c>
      <c r="S58" s="36">
        <f>MONTH(B58)</f>
        <v/>
      </c>
      <c r="T58" s="36">
        <f>TEXT(B58,"mmm")</f>
        <v/>
      </c>
      <c r="U58" s="36">
        <f>IF(AND(OR(sel_Region="All",C58=sel_Region),OR(sel_Country="All",D58=sel_Country),OR(sel_Channel="All",E58=sel_Channel),OR(sel_Customer="All",F58=sel_Customer),OR(sel_Category="All",G58=sel_Category),OR(sel_Product="All",H58=sel_Product),AND(S58&gt;=m_From,S58&lt;=m_To)),1,0)</f>
        <v/>
      </c>
      <c r="V58" s="36">
        <f>IF(AND(OR(sel_Region="All",C58=sel_Region),OR(sel_Channel="All",E58=sel_Channel),OR(sel_Customer="All",F58=sel_Customer),OR(sel_Category="All",G58=sel_Category),OR(sel_Product="All",H58=sel_Product),AND(S58&gt;=m_From,S58&lt;=m_To)),1,0)</f>
        <v/>
      </c>
      <c r="W58" s="36">
        <f>IF(AND(OR(sel_Region="All",C58=sel_Region),OR(sel_Country="All",D58=sel_Country),OR(sel_Customer="All",F58=sel_Customer),OR(sel_Category="All",G58=sel_Category),OR(sel_Product="All",H58=sel_Product),AND(S58&gt;=m_From,S58&lt;=m_To)),1,0)</f>
        <v/>
      </c>
      <c r="X58" s="36">
        <f>IF(AND(OR(sel_Region="All",C58=sel_Region),OR(sel_Country="All",D58=sel_Country),OR(sel_Channel="All",E58=sel_Channel),OR(sel_Category="All",G58=sel_Category),OR(sel_Product="All",H58=sel_Product),AND(S58&gt;=m_From,S58&lt;=m_To)),1,0)</f>
        <v/>
      </c>
      <c r="Y58" s="36">
        <f>IF(AND(OR(sel_Region="All",C58=sel_Region),OR(sel_Country="All",D58=sel_Country),OR(sel_Channel="All",E58=sel_Channel),OR(sel_Customer="All",F58=sel_Customer),OR(sel_Product="All",H58=sel_Product),AND(S58&gt;=m_From,S58&lt;=m_To)),1,0)</f>
        <v/>
      </c>
      <c r="Z58" s="36">
        <f>IF(AND(OR(sel_Region="All",C58=sel_Region),OR(sel_Country="All",D58=sel_Country),OR(sel_Channel="All",E58=sel_Channel),OR(sel_Customer="All",F58=sel_Customer),OR(sel_Category="All",G58=sel_Category),AND(S58&gt;=m_From,S58&lt;=m_To)),1,0)</f>
        <v/>
      </c>
      <c r="AA58" s="36">
        <f>IF(AND(OR(sel_Region="All",C58=sel_Region),OR(sel_Country="All",D58=sel_Country),OR(sel_Channel="All",E58=sel_Channel),OR(sel_Customer="All",F58=sel_Customer),OR(sel_Category="All",G58=sel_Category),OR(sel_Product="All",H58=sel_Product)),1,0)</f>
        <v/>
      </c>
    </row>
    <row r="59">
      <c r="A59" s="36" t="inlineStr">
        <is>
          <t>05101</t>
        </is>
      </c>
      <c r="B59" s="44" t="n">
        <v>46035</v>
      </c>
      <c r="C59" s="36" t="inlineStr">
        <is>
          <t>Central Europe</t>
        </is>
      </c>
      <c r="D59" s="36" t="inlineStr">
        <is>
          <t>Germany</t>
        </is>
      </c>
      <c r="E59" s="36" t="inlineStr">
        <is>
          <t>Online Store</t>
        </is>
      </c>
      <c r="F59" s="36" t="inlineStr">
        <is>
          <t>Returning</t>
        </is>
      </c>
      <c r="G59" s="36" t="inlineStr">
        <is>
          <t>Cycling</t>
        </is>
      </c>
      <c r="H59" s="36" t="inlineStr">
        <is>
          <t>Trail Bike Light</t>
        </is>
      </c>
      <c r="I59" s="36" t="n">
        <v>3</v>
      </c>
      <c r="J59" s="39" t="n">
        <v>51.52</v>
      </c>
      <c r="K59" s="45" t="n">
        <v>0</v>
      </c>
      <c r="L59" s="39" t="n">
        <v>21.92</v>
      </c>
      <c r="M59" s="39">
        <f>I59*J59*(1-K59)</f>
        <v/>
      </c>
      <c r="N59" s="39">
        <f>I59*L59</f>
        <v/>
      </c>
      <c r="O59" s="39">
        <f>M59-N59</f>
        <v/>
      </c>
      <c r="P59" s="38">
        <f>IF(M59=0,0,O59/M59)</f>
        <v/>
      </c>
      <c r="Q59" s="36">
        <f>YEAR(B59)</f>
        <v/>
      </c>
      <c r="R59" s="36">
        <f>"Q"&amp;ROUNDUP(MONTH(B59)/3,0)</f>
        <v/>
      </c>
      <c r="S59" s="36">
        <f>MONTH(B59)</f>
        <v/>
      </c>
      <c r="T59" s="36">
        <f>TEXT(B59,"mmm")</f>
        <v/>
      </c>
      <c r="U59" s="36">
        <f>IF(AND(OR(sel_Region="All",C59=sel_Region),OR(sel_Country="All",D59=sel_Country),OR(sel_Channel="All",E59=sel_Channel),OR(sel_Customer="All",F59=sel_Customer),OR(sel_Category="All",G59=sel_Category),OR(sel_Product="All",H59=sel_Product),AND(S59&gt;=m_From,S59&lt;=m_To)),1,0)</f>
        <v/>
      </c>
      <c r="V59" s="36">
        <f>IF(AND(OR(sel_Region="All",C59=sel_Region),OR(sel_Channel="All",E59=sel_Channel),OR(sel_Customer="All",F59=sel_Customer),OR(sel_Category="All",G59=sel_Category),OR(sel_Product="All",H59=sel_Product),AND(S59&gt;=m_From,S59&lt;=m_To)),1,0)</f>
        <v/>
      </c>
      <c r="W59" s="36">
        <f>IF(AND(OR(sel_Region="All",C59=sel_Region),OR(sel_Country="All",D59=sel_Country),OR(sel_Customer="All",F59=sel_Customer),OR(sel_Category="All",G59=sel_Category),OR(sel_Product="All",H59=sel_Product),AND(S59&gt;=m_From,S59&lt;=m_To)),1,0)</f>
        <v/>
      </c>
      <c r="X59" s="36">
        <f>IF(AND(OR(sel_Region="All",C59=sel_Region),OR(sel_Country="All",D59=sel_Country),OR(sel_Channel="All",E59=sel_Channel),OR(sel_Category="All",G59=sel_Category),OR(sel_Product="All",H59=sel_Product),AND(S59&gt;=m_From,S59&lt;=m_To)),1,0)</f>
        <v/>
      </c>
      <c r="Y59" s="36">
        <f>IF(AND(OR(sel_Region="All",C59=sel_Region),OR(sel_Country="All",D59=sel_Country),OR(sel_Channel="All",E59=sel_Channel),OR(sel_Customer="All",F59=sel_Customer),OR(sel_Product="All",H59=sel_Product),AND(S59&gt;=m_From,S59&lt;=m_To)),1,0)</f>
        <v/>
      </c>
      <c r="Z59" s="36">
        <f>IF(AND(OR(sel_Region="All",C59=sel_Region),OR(sel_Country="All",D59=sel_Country),OR(sel_Channel="All",E59=sel_Channel),OR(sel_Customer="All",F59=sel_Customer),OR(sel_Category="All",G59=sel_Category),AND(S59&gt;=m_From,S59&lt;=m_To)),1,0)</f>
        <v/>
      </c>
      <c r="AA59" s="36">
        <f>IF(AND(OR(sel_Region="All",C59=sel_Region),OR(sel_Country="All",D59=sel_Country),OR(sel_Channel="All",E59=sel_Channel),OR(sel_Customer="All",F59=sel_Customer),OR(sel_Category="All",G59=sel_Category),OR(sel_Product="All",H59=sel_Product)),1,0)</f>
        <v/>
      </c>
    </row>
    <row r="60">
      <c r="A60" s="36" t="inlineStr">
        <is>
          <t>03871</t>
        </is>
      </c>
      <c r="B60" s="44" t="n">
        <v>46036</v>
      </c>
      <c r="C60" s="36" t="inlineStr">
        <is>
          <t>Southern Europe</t>
        </is>
      </c>
      <c r="D60" s="36" t="inlineStr">
        <is>
          <t>Italy</t>
        </is>
      </c>
      <c r="E60" s="36" t="inlineStr">
        <is>
          <t>Online Store</t>
        </is>
      </c>
      <c r="F60" s="36" t="inlineStr">
        <is>
          <t>New</t>
        </is>
      </c>
      <c r="G60" s="36" t="inlineStr">
        <is>
          <t>Hiking</t>
        </is>
      </c>
      <c r="H60" s="36" t="inlineStr">
        <is>
          <t>Trail Boots</t>
        </is>
      </c>
      <c r="I60" s="36" t="n">
        <v>2</v>
      </c>
      <c r="J60" s="39" t="n">
        <v>146.4</v>
      </c>
      <c r="K60" s="45" t="n">
        <v>0.05</v>
      </c>
      <c r="L60" s="39" t="n">
        <v>81.72</v>
      </c>
      <c r="M60" s="39">
        <f>I60*J60*(1-K60)</f>
        <v/>
      </c>
      <c r="N60" s="39">
        <f>I60*L60</f>
        <v/>
      </c>
      <c r="O60" s="39">
        <f>M60-N60</f>
        <v/>
      </c>
      <c r="P60" s="38">
        <f>IF(M60=0,0,O60/M60)</f>
        <v/>
      </c>
      <c r="Q60" s="36">
        <f>YEAR(B60)</f>
        <v/>
      </c>
      <c r="R60" s="36">
        <f>"Q"&amp;ROUNDUP(MONTH(B60)/3,0)</f>
        <v/>
      </c>
      <c r="S60" s="36">
        <f>MONTH(B60)</f>
        <v/>
      </c>
      <c r="T60" s="36">
        <f>TEXT(B60,"mmm")</f>
        <v/>
      </c>
      <c r="U60" s="36">
        <f>IF(AND(OR(sel_Region="All",C60=sel_Region),OR(sel_Country="All",D60=sel_Country),OR(sel_Channel="All",E60=sel_Channel),OR(sel_Customer="All",F60=sel_Customer),OR(sel_Category="All",G60=sel_Category),OR(sel_Product="All",H60=sel_Product),AND(S60&gt;=m_From,S60&lt;=m_To)),1,0)</f>
        <v/>
      </c>
      <c r="V60" s="36">
        <f>IF(AND(OR(sel_Region="All",C60=sel_Region),OR(sel_Channel="All",E60=sel_Channel),OR(sel_Customer="All",F60=sel_Customer),OR(sel_Category="All",G60=sel_Category),OR(sel_Product="All",H60=sel_Product),AND(S60&gt;=m_From,S60&lt;=m_To)),1,0)</f>
        <v/>
      </c>
      <c r="W60" s="36">
        <f>IF(AND(OR(sel_Region="All",C60=sel_Region),OR(sel_Country="All",D60=sel_Country),OR(sel_Customer="All",F60=sel_Customer),OR(sel_Category="All",G60=sel_Category),OR(sel_Product="All",H60=sel_Product),AND(S60&gt;=m_From,S60&lt;=m_To)),1,0)</f>
        <v/>
      </c>
      <c r="X60" s="36">
        <f>IF(AND(OR(sel_Region="All",C60=sel_Region),OR(sel_Country="All",D60=sel_Country),OR(sel_Channel="All",E60=sel_Channel),OR(sel_Category="All",G60=sel_Category),OR(sel_Product="All",H60=sel_Product),AND(S60&gt;=m_From,S60&lt;=m_To)),1,0)</f>
        <v/>
      </c>
      <c r="Y60" s="36">
        <f>IF(AND(OR(sel_Region="All",C60=sel_Region),OR(sel_Country="All",D60=sel_Country),OR(sel_Channel="All",E60=sel_Channel),OR(sel_Customer="All",F60=sel_Customer),OR(sel_Product="All",H60=sel_Product),AND(S60&gt;=m_From,S60&lt;=m_To)),1,0)</f>
        <v/>
      </c>
      <c r="Z60" s="36">
        <f>IF(AND(OR(sel_Region="All",C60=sel_Region),OR(sel_Country="All",D60=sel_Country),OR(sel_Channel="All",E60=sel_Channel),OR(sel_Customer="All",F60=sel_Customer),OR(sel_Category="All",G60=sel_Category),AND(S60&gt;=m_From,S60&lt;=m_To)),1,0)</f>
        <v/>
      </c>
      <c r="AA60" s="36">
        <f>IF(AND(OR(sel_Region="All",C60=sel_Region),OR(sel_Country="All",D60=sel_Country),OR(sel_Channel="All",E60=sel_Channel),OR(sel_Customer="All",F60=sel_Customer),OR(sel_Category="All",G60=sel_Category),OR(sel_Product="All",H60=sel_Product)),1,0)</f>
        <v/>
      </c>
    </row>
    <row r="61">
      <c r="A61" s="36" t="inlineStr">
        <is>
          <t>04643</t>
        </is>
      </c>
      <c r="B61" s="44" t="n">
        <v>46036</v>
      </c>
      <c r="C61" s="36" t="inlineStr">
        <is>
          <t>Southern Europe</t>
        </is>
      </c>
      <c r="D61" s="36" t="inlineStr">
        <is>
          <t>Spain</t>
        </is>
      </c>
      <c r="E61" s="36" t="inlineStr">
        <is>
          <t>Corporate</t>
        </is>
      </c>
      <c r="F61" s="36" t="inlineStr">
        <is>
          <t>Business</t>
        </is>
      </c>
      <c r="G61" s="36" t="inlineStr">
        <is>
          <t>Travel</t>
        </is>
      </c>
      <c r="H61" s="36" t="inlineStr">
        <is>
          <t>Packing Cube Set</t>
        </is>
      </c>
      <c r="I61" s="36" t="n">
        <v>3</v>
      </c>
      <c r="J61" s="39" t="n">
        <v>47.32</v>
      </c>
      <c r="K61" s="45" t="n">
        <v>0.1</v>
      </c>
      <c r="L61" s="39" t="n">
        <v>18.42</v>
      </c>
      <c r="M61" s="39">
        <f>I61*J61*(1-K61)</f>
        <v/>
      </c>
      <c r="N61" s="39">
        <f>I61*L61</f>
        <v/>
      </c>
      <c r="O61" s="39">
        <f>M61-N61</f>
        <v/>
      </c>
      <c r="P61" s="38">
        <f>IF(M61=0,0,O61/M61)</f>
        <v/>
      </c>
      <c r="Q61" s="36">
        <f>YEAR(B61)</f>
        <v/>
      </c>
      <c r="R61" s="36">
        <f>"Q"&amp;ROUNDUP(MONTH(B61)/3,0)</f>
        <v/>
      </c>
      <c r="S61" s="36">
        <f>MONTH(B61)</f>
        <v/>
      </c>
      <c r="T61" s="36">
        <f>TEXT(B61,"mmm")</f>
        <v/>
      </c>
      <c r="U61" s="36">
        <f>IF(AND(OR(sel_Region="All",C61=sel_Region),OR(sel_Country="All",D61=sel_Country),OR(sel_Channel="All",E61=sel_Channel),OR(sel_Customer="All",F61=sel_Customer),OR(sel_Category="All",G61=sel_Category),OR(sel_Product="All",H61=sel_Product),AND(S61&gt;=m_From,S61&lt;=m_To)),1,0)</f>
        <v/>
      </c>
      <c r="V61" s="36">
        <f>IF(AND(OR(sel_Region="All",C61=sel_Region),OR(sel_Channel="All",E61=sel_Channel),OR(sel_Customer="All",F61=sel_Customer),OR(sel_Category="All",G61=sel_Category),OR(sel_Product="All",H61=sel_Product),AND(S61&gt;=m_From,S61&lt;=m_To)),1,0)</f>
        <v/>
      </c>
      <c r="W61" s="36">
        <f>IF(AND(OR(sel_Region="All",C61=sel_Region),OR(sel_Country="All",D61=sel_Country),OR(sel_Customer="All",F61=sel_Customer),OR(sel_Category="All",G61=sel_Category),OR(sel_Product="All",H61=sel_Product),AND(S61&gt;=m_From,S61&lt;=m_To)),1,0)</f>
        <v/>
      </c>
      <c r="X61" s="36">
        <f>IF(AND(OR(sel_Region="All",C61=sel_Region),OR(sel_Country="All",D61=sel_Country),OR(sel_Channel="All",E61=sel_Channel),OR(sel_Category="All",G61=sel_Category),OR(sel_Product="All",H61=sel_Product),AND(S61&gt;=m_From,S61&lt;=m_To)),1,0)</f>
        <v/>
      </c>
      <c r="Y61" s="36">
        <f>IF(AND(OR(sel_Region="All",C61=sel_Region),OR(sel_Country="All",D61=sel_Country),OR(sel_Channel="All",E61=sel_Channel),OR(sel_Customer="All",F61=sel_Customer),OR(sel_Product="All",H61=sel_Product),AND(S61&gt;=m_From,S61&lt;=m_To)),1,0)</f>
        <v/>
      </c>
      <c r="Z61" s="36">
        <f>IF(AND(OR(sel_Region="All",C61=sel_Region),OR(sel_Country="All",D61=sel_Country),OR(sel_Channel="All",E61=sel_Channel),OR(sel_Customer="All",F61=sel_Customer),OR(sel_Category="All",G61=sel_Category),AND(S61&gt;=m_From,S61&lt;=m_To)),1,0)</f>
        <v/>
      </c>
      <c r="AA61" s="36">
        <f>IF(AND(OR(sel_Region="All",C61=sel_Region),OR(sel_Country="All",D61=sel_Country),OR(sel_Channel="All",E61=sel_Channel),OR(sel_Customer="All",F61=sel_Customer),OR(sel_Category="All",G61=sel_Category),OR(sel_Product="All",H61=sel_Product)),1,0)</f>
        <v/>
      </c>
    </row>
    <row r="62">
      <c r="A62" s="36" t="inlineStr">
        <is>
          <t>04703</t>
        </is>
      </c>
      <c r="B62" s="44" t="n">
        <v>46036</v>
      </c>
      <c r="C62" s="36" t="inlineStr">
        <is>
          <t>Western Europe</t>
        </is>
      </c>
      <c r="D62" s="36" t="inlineStr">
        <is>
          <t>France</t>
        </is>
      </c>
      <c r="E62" s="36" t="inlineStr">
        <is>
          <t>Retail Partners</t>
        </is>
      </c>
      <c r="F62" s="36" t="inlineStr">
        <is>
          <t>Business</t>
        </is>
      </c>
      <c r="G62" s="36" t="inlineStr">
        <is>
          <t>Fitness</t>
        </is>
      </c>
      <c r="H62" s="36" t="inlineStr">
        <is>
          <t>Resistance Band Set</t>
        </is>
      </c>
      <c r="I62" s="36" t="n">
        <v>2</v>
      </c>
      <c r="J62" s="39" t="n">
        <v>40.45</v>
      </c>
      <c r="K62" s="45" t="n">
        <v>0.05</v>
      </c>
      <c r="L62" s="39" t="n">
        <v>15.14</v>
      </c>
      <c r="M62" s="39">
        <f>I62*J62*(1-K62)</f>
        <v/>
      </c>
      <c r="N62" s="39">
        <f>I62*L62</f>
        <v/>
      </c>
      <c r="O62" s="39">
        <f>M62-N62</f>
        <v/>
      </c>
      <c r="P62" s="38">
        <f>IF(M62=0,0,O62/M62)</f>
        <v/>
      </c>
      <c r="Q62" s="36">
        <f>YEAR(B62)</f>
        <v/>
      </c>
      <c r="R62" s="36">
        <f>"Q"&amp;ROUNDUP(MONTH(B62)/3,0)</f>
        <v/>
      </c>
      <c r="S62" s="36">
        <f>MONTH(B62)</f>
        <v/>
      </c>
      <c r="T62" s="36">
        <f>TEXT(B62,"mmm")</f>
        <v/>
      </c>
      <c r="U62" s="36">
        <f>IF(AND(OR(sel_Region="All",C62=sel_Region),OR(sel_Country="All",D62=sel_Country),OR(sel_Channel="All",E62=sel_Channel),OR(sel_Customer="All",F62=sel_Customer),OR(sel_Category="All",G62=sel_Category),OR(sel_Product="All",H62=sel_Product),AND(S62&gt;=m_From,S62&lt;=m_To)),1,0)</f>
        <v/>
      </c>
      <c r="V62" s="36">
        <f>IF(AND(OR(sel_Region="All",C62=sel_Region),OR(sel_Channel="All",E62=sel_Channel),OR(sel_Customer="All",F62=sel_Customer),OR(sel_Category="All",G62=sel_Category),OR(sel_Product="All",H62=sel_Product),AND(S62&gt;=m_From,S62&lt;=m_To)),1,0)</f>
        <v/>
      </c>
      <c r="W62" s="36">
        <f>IF(AND(OR(sel_Region="All",C62=sel_Region),OR(sel_Country="All",D62=sel_Country),OR(sel_Customer="All",F62=sel_Customer),OR(sel_Category="All",G62=sel_Category),OR(sel_Product="All",H62=sel_Product),AND(S62&gt;=m_From,S62&lt;=m_To)),1,0)</f>
        <v/>
      </c>
      <c r="X62" s="36">
        <f>IF(AND(OR(sel_Region="All",C62=sel_Region),OR(sel_Country="All",D62=sel_Country),OR(sel_Channel="All",E62=sel_Channel),OR(sel_Category="All",G62=sel_Category),OR(sel_Product="All",H62=sel_Product),AND(S62&gt;=m_From,S62&lt;=m_To)),1,0)</f>
        <v/>
      </c>
      <c r="Y62" s="36">
        <f>IF(AND(OR(sel_Region="All",C62=sel_Region),OR(sel_Country="All",D62=sel_Country),OR(sel_Channel="All",E62=sel_Channel),OR(sel_Customer="All",F62=sel_Customer),OR(sel_Product="All",H62=sel_Product),AND(S62&gt;=m_From,S62&lt;=m_To)),1,0)</f>
        <v/>
      </c>
      <c r="Z62" s="36">
        <f>IF(AND(OR(sel_Region="All",C62=sel_Region),OR(sel_Country="All",D62=sel_Country),OR(sel_Channel="All",E62=sel_Channel),OR(sel_Customer="All",F62=sel_Customer),OR(sel_Category="All",G62=sel_Category),AND(S62&gt;=m_From,S62&lt;=m_To)),1,0)</f>
        <v/>
      </c>
      <c r="AA62" s="36">
        <f>IF(AND(OR(sel_Region="All",C62=sel_Region),OR(sel_Country="All",D62=sel_Country),OR(sel_Channel="All",E62=sel_Channel),OR(sel_Customer="All",F62=sel_Customer),OR(sel_Category="All",G62=sel_Category),OR(sel_Product="All",H62=sel_Product)),1,0)</f>
        <v/>
      </c>
    </row>
    <row r="63">
      <c r="A63" s="36" t="inlineStr">
        <is>
          <t>05068</t>
        </is>
      </c>
      <c r="B63" s="44" t="n">
        <v>46036</v>
      </c>
      <c r="C63" s="36" t="inlineStr">
        <is>
          <t>Southern Europe</t>
        </is>
      </c>
      <c r="D63" s="36" t="inlineStr">
        <is>
          <t>Spain</t>
        </is>
      </c>
      <c r="E63" s="36" t="inlineStr">
        <is>
          <t>Online Store</t>
        </is>
      </c>
      <c r="F63" s="36" t="inlineStr">
        <is>
          <t>Returning</t>
        </is>
      </c>
      <c r="G63" s="36" t="inlineStr">
        <is>
          <t>Travel</t>
        </is>
      </c>
      <c r="H63" s="36" t="inlineStr">
        <is>
          <t>Packing Cube Set</t>
        </is>
      </c>
      <c r="I63" s="36" t="n">
        <v>2</v>
      </c>
      <c r="J63" s="39" t="n">
        <v>47.05</v>
      </c>
      <c r="K63" s="45" t="n">
        <v>0.1</v>
      </c>
      <c r="L63" s="39" t="n">
        <v>18.8</v>
      </c>
      <c r="M63" s="39">
        <f>I63*J63*(1-K63)</f>
        <v/>
      </c>
      <c r="N63" s="39">
        <f>I63*L63</f>
        <v/>
      </c>
      <c r="O63" s="39">
        <f>M63-N63</f>
        <v/>
      </c>
      <c r="P63" s="38">
        <f>IF(M63=0,0,O63/M63)</f>
        <v/>
      </c>
      <c r="Q63" s="36">
        <f>YEAR(B63)</f>
        <v/>
      </c>
      <c r="R63" s="36">
        <f>"Q"&amp;ROUNDUP(MONTH(B63)/3,0)</f>
        <v/>
      </c>
      <c r="S63" s="36">
        <f>MONTH(B63)</f>
        <v/>
      </c>
      <c r="T63" s="36">
        <f>TEXT(B63,"mmm")</f>
        <v/>
      </c>
      <c r="U63" s="36">
        <f>IF(AND(OR(sel_Region="All",C63=sel_Region),OR(sel_Country="All",D63=sel_Country),OR(sel_Channel="All",E63=sel_Channel),OR(sel_Customer="All",F63=sel_Customer),OR(sel_Category="All",G63=sel_Category),OR(sel_Product="All",H63=sel_Product),AND(S63&gt;=m_From,S63&lt;=m_To)),1,0)</f>
        <v/>
      </c>
      <c r="V63" s="36">
        <f>IF(AND(OR(sel_Region="All",C63=sel_Region),OR(sel_Channel="All",E63=sel_Channel),OR(sel_Customer="All",F63=sel_Customer),OR(sel_Category="All",G63=sel_Category),OR(sel_Product="All",H63=sel_Product),AND(S63&gt;=m_From,S63&lt;=m_To)),1,0)</f>
        <v/>
      </c>
      <c r="W63" s="36">
        <f>IF(AND(OR(sel_Region="All",C63=sel_Region),OR(sel_Country="All",D63=sel_Country),OR(sel_Customer="All",F63=sel_Customer),OR(sel_Category="All",G63=sel_Category),OR(sel_Product="All",H63=sel_Product),AND(S63&gt;=m_From,S63&lt;=m_To)),1,0)</f>
        <v/>
      </c>
      <c r="X63" s="36">
        <f>IF(AND(OR(sel_Region="All",C63=sel_Region),OR(sel_Country="All",D63=sel_Country),OR(sel_Channel="All",E63=sel_Channel),OR(sel_Category="All",G63=sel_Category),OR(sel_Product="All",H63=sel_Product),AND(S63&gt;=m_From,S63&lt;=m_To)),1,0)</f>
        <v/>
      </c>
      <c r="Y63" s="36">
        <f>IF(AND(OR(sel_Region="All",C63=sel_Region),OR(sel_Country="All",D63=sel_Country),OR(sel_Channel="All",E63=sel_Channel),OR(sel_Customer="All",F63=sel_Customer),OR(sel_Product="All",H63=sel_Product),AND(S63&gt;=m_From,S63&lt;=m_To)),1,0)</f>
        <v/>
      </c>
      <c r="Z63" s="36">
        <f>IF(AND(OR(sel_Region="All",C63=sel_Region),OR(sel_Country="All",D63=sel_Country),OR(sel_Channel="All",E63=sel_Channel),OR(sel_Customer="All",F63=sel_Customer),OR(sel_Category="All",G63=sel_Category),AND(S63&gt;=m_From,S63&lt;=m_To)),1,0)</f>
        <v/>
      </c>
      <c r="AA63" s="36">
        <f>IF(AND(OR(sel_Region="All",C63=sel_Region),OR(sel_Country="All",D63=sel_Country),OR(sel_Channel="All",E63=sel_Channel),OR(sel_Customer="All",F63=sel_Customer),OR(sel_Category="All",G63=sel_Category),OR(sel_Product="All",H63=sel_Product)),1,0)</f>
        <v/>
      </c>
    </row>
    <row r="64">
      <c r="A64" s="36" t="inlineStr">
        <is>
          <t>01539</t>
        </is>
      </c>
      <c r="B64" s="44" t="n">
        <v>46037</v>
      </c>
      <c r="C64" s="36" t="inlineStr">
        <is>
          <t>Western Europe</t>
        </is>
      </c>
      <c r="D64" s="36" t="inlineStr">
        <is>
          <t>United Kingdom</t>
        </is>
      </c>
      <c r="E64" s="36" t="inlineStr">
        <is>
          <t>Retail Partners</t>
        </is>
      </c>
      <c r="F64" s="36" t="inlineStr">
        <is>
          <t>Business</t>
        </is>
      </c>
      <c r="G64" s="36" t="inlineStr">
        <is>
          <t>Fitness</t>
        </is>
      </c>
      <c r="H64" s="36" t="inlineStr">
        <is>
          <t>Weighted Vest</t>
        </is>
      </c>
      <c r="I64" s="36" t="n">
        <v>3</v>
      </c>
      <c r="J64" s="39" t="n">
        <v>123.14</v>
      </c>
      <c r="K64" s="45" t="n">
        <v>0.05</v>
      </c>
      <c r="L64" s="39" t="n">
        <v>70.67</v>
      </c>
      <c r="M64" s="39">
        <f>I64*J64*(1-K64)</f>
        <v/>
      </c>
      <c r="N64" s="39">
        <f>I64*L64</f>
        <v/>
      </c>
      <c r="O64" s="39">
        <f>M64-N64</f>
        <v/>
      </c>
      <c r="P64" s="38">
        <f>IF(M64=0,0,O64/M64)</f>
        <v/>
      </c>
      <c r="Q64" s="36">
        <f>YEAR(B64)</f>
        <v/>
      </c>
      <c r="R64" s="36">
        <f>"Q"&amp;ROUNDUP(MONTH(B64)/3,0)</f>
        <v/>
      </c>
      <c r="S64" s="36">
        <f>MONTH(B64)</f>
        <v/>
      </c>
      <c r="T64" s="36">
        <f>TEXT(B64,"mmm")</f>
        <v/>
      </c>
      <c r="U64" s="36">
        <f>IF(AND(OR(sel_Region="All",C64=sel_Region),OR(sel_Country="All",D64=sel_Country),OR(sel_Channel="All",E64=sel_Channel),OR(sel_Customer="All",F64=sel_Customer),OR(sel_Category="All",G64=sel_Category),OR(sel_Product="All",H64=sel_Product),AND(S64&gt;=m_From,S64&lt;=m_To)),1,0)</f>
        <v/>
      </c>
      <c r="V64" s="36">
        <f>IF(AND(OR(sel_Region="All",C64=sel_Region),OR(sel_Channel="All",E64=sel_Channel),OR(sel_Customer="All",F64=sel_Customer),OR(sel_Category="All",G64=sel_Category),OR(sel_Product="All",H64=sel_Product),AND(S64&gt;=m_From,S64&lt;=m_To)),1,0)</f>
        <v/>
      </c>
      <c r="W64" s="36">
        <f>IF(AND(OR(sel_Region="All",C64=sel_Region),OR(sel_Country="All",D64=sel_Country),OR(sel_Customer="All",F64=sel_Customer),OR(sel_Category="All",G64=sel_Category),OR(sel_Product="All",H64=sel_Product),AND(S64&gt;=m_From,S64&lt;=m_To)),1,0)</f>
        <v/>
      </c>
      <c r="X64" s="36">
        <f>IF(AND(OR(sel_Region="All",C64=sel_Region),OR(sel_Country="All",D64=sel_Country),OR(sel_Channel="All",E64=sel_Channel),OR(sel_Category="All",G64=sel_Category),OR(sel_Product="All",H64=sel_Product),AND(S64&gt;=m_From,S64&lt;=m_To)),1,0)</f>
        <v/>
      </c>
      <c r="Y64" s="36">
        <f>IF(AND(OR(sel_Region="All",C64=sel_Region),OR(sel_Country="All",D64=sel_Country),OR(sel_Channel="All",E64=sel_Channel),OR(sel_Customer="All",F64=sel_Customer),OR(sel_Product="All",H64=sel_Product),AND(S64&gt;=m_From,S64&lt;=m_To)),1,0)</f>
        <v/>
      </c>
      <c r="Z64" s="36">
        <f>IF(AND(OR(sel_Region="All",C64=sel_Region),OR(sel_Country="All",D64=sel_Country),OR(sel_Channel="All",E64=sel_Channel),OR(sel_Customer="All",F64=sel_Customer),OR(sel_Category="All",G64=sel_Category),AND(S64&gt;=m_From,S64&lt;=m_To)),1,0)</f>
        <v/>
      </c>
      <c r="AA64" s="36">
        <f>IF(AND(OR(sel_Region="All",C64=sel_Region),OR(sel_Country="All",D64=sel_Country),OR(sel_Channel="All",E64=sel_Channel),OR(sel_Customer="All",F64=sel_Customer),OR(sel_Category="All",G64=sel_Category),OR(sel_Product="All",H64=sel_Product)),1,0)</f>
        <v/>
      </c>
    </row>
    <row r="65">
      <c r="A65" s="36" t="inlineStr">
        <is>
          <t>01709</t>
        </is>
      </c>
      <c r="B65" s="44" t="n">
        <v>46037</v>
      </c>
      <c r="C65" s="36" t="inlineStr">
        <is>
          <t>Western Europe</t>
        </is>
      </c>
      <c r="D65" s="36" t="inlineStr">
        <is>
          <t>France</t>
        </is>
      </c>
      <c r="E65" s="36" t="inlineStr">
        <is>
          <t>Online Store</t>
        </is>
      </c>
      <c r="F65" s="36" t="inlineStr">
        <is>
          <t>Returning</t>
        </is>
      </c>
      <c r="G65" s="36" t="inlineStr">
        <is>
          <t>Hiking</t>
        </is>
      </c>
      <c r="H65" s="36" t="inlineStr">
        <is>
          <t>Summit Backpack 45L</t>
        </is>
      </c>
      <c r="I65" s="36" t="n">
        <v>2</v>
      </c>
      <c r="J65" s="39" t="n">
        <v>151.33</v>
      </c>
      <c r="K65" s="45" t="n">
        <v>0.1</v>
      </c>
      <c r="L65" s="39" t="n">
        <v>78.44</v>
      </c>
      <c r="M65" s="39">
        <f>I65*J65*(1-K65)</f>
        <v/>
      </c>
      <c r="N65" s="39">
        <f>I65*L65</f>
        <v/>
      </c>
      <c r="O65" s="39">
        <f>M65-N65</f>
        <v/>
      </c>
      <c r="P65" s="38">
        <f>IF(M65=0,0,O65/M65)</f>
        <v/>
      </c>
      <c r="Q65" s="36">
        <f>YEAR(B65)</f>
        <v/>
      </c>
      <c r="R65" s="36">
        <f>"Q"&amp;ROUNDUP(MONTH(B65)/3,0)</f>
        <v/>
      </c>
      <c r="S65" s="36">
        <f>MONTH(B65)</f>
        <v/>
      </c>
      <c r="T65" s="36">
        <f>TEXT(B65,"mmm")</f>
        <v/>
      </c>
      <c r="U65" s="36">
        <f>IF(AND(OR(sel_Region="All",C65=sel_Region),OR(sel_Country="All",D65=sel_Country),OR(sel_Channel="All",E65=sel_Channel),OR(sel_Customer="All",F65=sel_Customer),OR(sel_Category="All",G65=sel_Category),OR(sel_Product="All",H65=sel_Product),AND(S65&gt;=m_From,S65&lt;=m_To)),1,0)</f>
        <v/>
      </c>
      <c r="V65" s="36">
        <f>IF(AND(OR(sel_Region="All",C65=sel_Region),OR(sel_Channel="All",E65=sel_Channel),OR(sel_Customer="All",F65=sel_Customer),OR(sel_Category="All",G65=sel_Category),OR(sel_Product="All",H65=sel_Product),AND(S65&gt;=m_From,S65&lt;=m_To)),1,0)</f>
        <v/>
      </c>
      <c r="W65" s="36">
        <f>IF(AND(OR(sel_Region="All",C65=sel_Region),OR(sel_Country="All",D65=sel_Country),OR(sel_Customer="All",F65=sel_Customer),OR(sel_Category="All",G65=sel_Category),OR(sel_Product="All",H65=sel_Product),AND(S65&gt;=m_From,S65&lt;=m_To)),1,0)</f>
        <v/>
      </c>
      <c r="X65" s="36">
        <f>IF(AND(OR(sel_Region="All",C65=sel_Region),OR(sel_Country="All",D65=sel_Country),OR(sel_Channel="All",E65=sel_Channel),OR(sel_Category="All",G65=sel_Category),OR(sel_Product="All",H65=sel_Product),AND(S65&gt;=m_From,S65&lt;=m_To)),1,0)</f>
        <v/>
      </c>
      <c r="Y65" s="36">
        <f>IF(AND(OR(sel_Region="All",C65=sel_Region),OR(sel_Country="All",D65=sel_Country),OR(sel_Channel="All",E65=sel_Channel),OR(sel_Customer="All",F65=sel_Customer),OR(sel_Product="All",H65=sel_Product),AND(S65&gt;=m_From,S65&lt;=m_To)),1,0)</f>
        <v/>
      </c>
      <c r="Z65" s="36">
        <f>IF(AND(OR(sel_Region="All",C65=sel_Region),OR(sel_Country="All",D65=sel_Country),OR(sel_Channel="All",E65=sel_Channel),OR(sel_Customer="All",F65=sel_Customer),OR(sel_Category="All",G65=sel_Category),AND(S65&gt;=m_From,S65&lt;=m_To)),1,0)</f>
        <v/>
      </c>
      <c r="AA65" s="36">
        <f>IF(AND(OR(sel_Region="All",C65=sel_Region),OR(sel_Country="All",D65=sel_Country),OR(sel_Channel="All",E65=sel_Channel),OR(sel_Customer="All",F65=sel_Customer),OR(sel_Category="All",G65=sel_Category),OR(sel_Product="All",H65=sel_Product)),1,0)</f>
        <v/>
      </c>
    </row>
    <row r="66">
      <c r="A66" s="36" t="inlineStr">
        <is>
          <t>02702</t>
        </is>
      </c>
      <c r="B66" s="44" t="n">
        <v>46037</v>
      </c>
      <c r="C66" s="36" t="inlineStr">
        <is>
          <t>Central Europe</t>
        </is>
      </c>
      <c r="D66" s="36" t="inlineStr">
        <is>
          <t>Poland</t>
        </is>
      </c>
      <c r="E66" s="36" t="inlineStr">
        <is>
          <t>Online Store</t>
        </is>
      </c>
      <c r="F66" s="36" t="inlineStr">
        <is>
          <t>Returning</t>
        </is>
      </c>
      <c r="G66" s="36" t="inlineStr">
        <is>
          <t>Hiking</t>
        </is>
      </c>
      <c r="H66" s="36" t="inlineStr">
        <is>
          <t>Trail Boots</t>
        </is>
      </c>
      <c r="I66" s="36" t="n">
        <v>5</v>
      </c>
      <c r="J66" s="39" t="n">
        <v>144.01</v>
      </c>
      <c r="K66" s="45" t="n">
        <v>0.05</v>
      </c>
      <c r="L66" s="39" t="n">
        <v>79.64</v>
      </c>
      <c r="M66" s="39">
        <f>I66*J66*(1-K66)</f>
        <v/>
      </c>
      <c r="N66" s="39">
        <f>I66*L66</f>
        <v/>
      </c>
      <c r="O66" s="39">
        <f>M66-N66</f>
        <v/>
      </c>
      <c r="P66" s="38">
        <f>IF(M66=0,0,O66/M66)</f>
        <v/>
      </c>
      <c r="Q66" s="36">
        <f>YEAR(B66)</f>
        <v/>
      </c>
      <c r="R66" s="36">
        <f>"Q"&amp;ROUNDUP(MONTH(B66)/3,0)</f>
        <v/>
      </c>
      <c r="S66" s="36">
        <f>MONTH(B66)</f>
        <v/>
      </c>
      <c r="T66" s="36">
        <f>TEXT(B66,"mmm")</f>
        <v/>
      </c>
      <c r="U66" s="36">
        <f>IF(AND(OR(sel_Region="All",C66=sel_Region),OR(sel_Country="All",D66=sel_Country),OR(sel_Channel="All",E66=sel_Channel),OR(sel_Customer="All",F66=sel_Customer),OR(sel_Category="All",G66=sel_Category),OR(sel_Product="All",H66=sel_Product),AND(S66&gt;=m_From,S66&lt;=m_To)),1,0)</f>
        <v/>
      </c>
      <c r="V66" s="36">
        <f>IF(AND(OR(sel_Region="All",C66=sel_Region),OR(sel_Channel="All",E66=sel_Channel),OR(sel_Customer="All",F66=sel_Customer),OR(sel_Category="All",G66=sel_Category),OR(sel_Product="All",H66=sel_Product),AND(S66&gt;=m_From,S66&lt;=m_To)),1,0)</f>
        <v/>
      </c>
      <c r="W66" s="36">
        <f>IF(AND(OR(sel_Region="All",C66=sel_Region),OR(sel_Country="All",D66=sel_Country),OR(sel_Customer="All",F66=sel_Customer),OR(sel_Category="All",G66=sel_Category),OR(sel_Product="All",H66=sel_Product),AND(S66&gt;=m_From,S66&lt;=m_To)),1,0)</f>
        <v/>
      </c>
      <c r="X66" s="36">
        <f>IF(AND(OR(sel_Region="All",C66=sel_Region),OR(sel_Country="All",D66=sel_Country),OR(sel_Channel="All",E66=sel_Channel),OR(sel_Category="All",G66=sel_Category),OR(sel_Product="All",H66=sel_Product),AND(S66&gt;=m_From,S66&lt;=m_To)),1,0)</f>
        <v/>
      </c>
      <c r="Y66" s="36">
        <f>IF(AND(OR(sel_Region="All",C66=sel_Region),OR(sel_Country="All",D66=sel_Country),OR(sel_Channel="All",E66=sel_Channel),OR(sel_Customer="All",F66=sel_Customer),OR(sel_Product="All",H66=sel_Product),AND(S66&gt;=m_From,S66&lt;=m_To)),1,0)</f>
        <v/>
      </c>
      <c r="Z66" s="36">
        <f>IF(AND(OR(sel_Region="All",C66=sel_Region),OR(sel_Country="All",D66=sel_Country),OR(sel_Channel="All",E66=sel_Channel),OR(sel_Customer="All",F66=sel_Customer),OR(sel_Category="All",G66=sel_Category),AND(S66&gt;=m_From,S66&lt;=m_To)),1,0)</f>
        <v/>
      </c>
      <c r="AA66" s="36">
        <f>IF(AND(OR(sel_Region="All",C66=sel_Region),OR(sel_Country="All",D66=sel_Country),OR(sel_Channel="All",E66=sel_Channel),OR(sel_Customer="All",F66=sel_Customer),OR(sel_Category="All",G66=sel_Category),OR(sel_Product="All",H66=sel_Product)),1,0)</f>
        <v/>
      </c>
    </row>
    <row r="67">
      <c r="A67" s="36" t="inlineStr">
        <is>
          <t>03176</t>
        </is>
      </c>
      <c r="B67" s="44" t="n">
        <v>46037</v>
      </c>
      <c r="C67" s="36" t="inlineStr">
        <is>
          <t>Western Europe</t>
        </is>
      </c>
      <c r="D67" s="36" t="inlineStr">
        <is>
          <t>United Kingdom</t>
        </is>
      </c>
      <c r="E67" s="36" t="inlineStr">
        <is>
          <t>Online Store</t>
        </is>
      </c>
      <c r="F67" s="36" t="inlineStr">
        <is>
          <t>Returning</t>
        </is>
      </c>
      <c r="G67" s="36" t="inlineStr">
        <is>
          <t>Hiking</t>
        </is>
      </c>
      <c r="H67" s="36" t="inlineStr">
        <is>
          <t>Hiking Daypack 20L</t>
        </is>
      </c>
      <c r="I67" s="36" t="n">
        <v>3</v>
      </c>
      <c r="J67" s="39" t="n">
        <v>91.19</v>
      </c>
      <c r="K67" s="45" t="n">
        <v>0</v>
      </c>
      <c r="L67" s="39" t="n">
        <v>44.47</v>
      </c>
      <c r="M67" s="39">
        <f>I67*J67*(1-K67)</f>
        <v/>
      </c>
      <c r="N67" s="39">
        <f>I67*L67</f>
        <v/>
      </c>
      <c r="O67" s="39">
        <f>M67-N67</f>
        <v/>
      </c>
      <c r="P67" s="38">
        <f>IF(M67=0,0,O67/M67)</f>
        <v/>
      </c>
      <c r="Q67" s="36">
        <f>YEAR(B67)</f>
        <v/>
      </c>
      <c r="R67" s="36">
        <f>"Q"&amp;ROUNDUP(MONTH(B67)/3,0)</f>
        <v/>
      </c>
      <c r="S67" s="36">
        <f>MONTH(B67)</f>
        <v/>
      </c>
      <c r="T67" s="36">
        <f>TEXT(B67,"mmm")</f>
        <v/>
      </c>
      <c r="U67" s="36">
        <f>IF(AND(OR(sel_Region="All",C67=sel_Region),OR(sel_Country="All",D67=sel_Country),OR(sel_Channel="All",E67=sel_Channel),OR(sel_Customer="All",F67=sel_Customer),OR(sel_Category="All",G67=sel_Category),OR(sel_Product="All",H67=sel_Product),AND(S67&gt;=m_From,S67&lt;=m_To)),1,0)</f>
        <v/>
      </c>
      <c r="V67" s="36">
        <f>IF(AND(OR(sel_Region="All",C67=sel_Region),OR(sel_Channel="All",E67=sel_Channel),OR(sel_Customer="All",F67=sel_Customer),OR(sel_Category="All",G67=sel_Category),OR(sel_Product="All",H67=sel_Product),AND(S67&gt;=m_From,S67&lt;=m_To)),1,0)</f>
        <v/>
      </c>
      <c r="W67" s="36">
        <f>IF(AND(OR(sel_Region="All",C67=sel_Region),OR(sel_Country="All",D67=sel_Country),OR(sel_Customer="All",F67=sel_Customer),OR(sel_Category="All",G67=sel_Category),OR(sel_Product="All",H67=sel_Product),AND(S67&gt;=m_From,S67&lt;=m_To)),1,0)</f>
        <v/>
      </c>
      <c r="X67" s="36">
        <f>IF(AND(OR(sel_Region="All",C67=sel_Region),OR(sel_Country="All",D67=sel_Country),OR(sel_Channel="All",E67=sel_Channel),OR(sel_Category="All",G67=sel_Category),OR(sel_Product="All",H67=sel_Product),AND(S67&gt;=m_From,S67&lt;=m_To)),1,0)</f>
        <v/>
      </c>
      <c r="Y67" s="36">
        <f>IF(AND(OR(sel_Region="All",C67=sel_Region),OR(sel_Country="All",D67=sel_Country),OR(sel_Channel="All",E67=sel_Channel),OR(sel_Customer="All",F67=sel_Customer),OR(sel_Product="All",H67=sel_Product),AND(S67&gt;=m_From,S67&lt;=m_To)),1,0)</f>
        <v/>
      </c>
      <c r="Z67" s="36">
        <f>IF(AND(OR(sel_Region="All",C67=sel_Region),OR(sel_Country="All",D67=sel_Country),OR(sel_Channel="All",E67=sel_Channel),OR(sel_Customer="All",F67=sel_Customer),OR(sel_Category="All",G67=sel_Category),AND(S67&gt;=m_From,S67&lt;=m_To)),1,0)</f>
        <v/>
      </c>
      <c r="AA67" s="36">
        <f>IF(AND(OR(sel_Region="All",C67=sel_Region),OR(sel_Country="All",D67=sel_Country),OR(sel_Channel="All",E67=sel_Channel),OR(sel_Customer="All",F67=sel_Customer),OR(sel_Category="All",G67=sel_Category),OR(sel_Product="All",H67=sel_Product)),1,0)</f>
        <v/>
      </c>
    </row>
    <row r="68">
      <c r="A68" s="36" t="inlineStr">
        <is>
          <t>03705</t>
        </is>
      </c>
      <c r="B68" s="44" t="n">
        <v>46037</v>
      </c>
      <c r="C68" s="36" t="inlineStr">
        <is>
          <t>Western Europe</t>
        </is>
      </c>
      <c r="D68" s="36" t="inlineStr">
        <is>
          <t>Netherlands</t>
        </is>
      </c>
      <c r="E68" s="36" t="inlineStr">
        <is>
          <t>Retail Partners</t>
        </is>
      </c>
      <c r="F68" s="36" t="inlineStr">
        <is>
          <t>New</t>
        </is>
      </c>
      <c r="G68" s="36" t="inlineStr">
        <is>
          <t>Travel</t>
        </is>
      </c>
      <c r="H68" s="36" t="inlineStr">
        <is>
          <t>Packing Cube Set</t>
        </is>
      </c>
      <c r="I68" s="36" t="n">
        <v>2</v>
      </c>
      <c r="J68" s="39" t="n">
        <v>45.45</v>
      </c>
      <c r="K68" s="45" t="n">
        <v>0</v>
      </c>
      <c r="L68" s="39" t="n">
        <v>18.19</v>
      </c>
      <c r="M68" s="39">
        <f>I68*J68*(1-K68)</f>
        <v/>
      </c>
      <c r="N68" s="39">
        <f>I68*L68</f>
        <v/>
      </c>
      <c r="O68" s="39">
        <f>M68-N68</f>
        <v/>
      </c>
      <c r="P68" s="38">
        <f>IF(M68=0,0,O68/M68)</f>
        <v/>
      </c>
      <c r="Q68" s="36">
        <f>YEAR(B68)</f>
        <v/>
      </c>
      <c r="R68" s="36">
        <f>"Q"&amp;ROUNDUP(MONTH(B68)/3,0)</f>
        <v/>
      </c>
      <c r="S68" s="36">
        <f>MONTH(B68)</f>
        <v/>
      </c>
      <c r="T68" s="36">
        <f>TEXT(B68,"mmm")</f>
        <v/>
      </c>
      <c r="U68" s="36">
        <f>IF(AND(OR(sel_Region="All",C68=sel_Region),OR(sel_Country="All",D68=sel_Country),OR(sel_Channel="All",E68=sel_Channel),OR(sel_Customer="All",F68=sel_Customer),OR(sel_Category="All",G68=sel_Category),OR(sel_Product="All",H68=sel_Product),AND(S68&gt;=m_From,S68&lt;=m_To)),1,0)</f>
        <v/>
      </c>
      <c r="V68" s="36">
        <f>IF(AND(OR(sel_Region="All",C68=sel_Region),OR(sel_Channel="All",E68=sel_Channel),OR(sel_Customer="All",F68=sel_Customer),OR(sel_Category="All",G68=sel_Category),OR(sel_Product="All",H68=sel_Product),AND(S68&gt;=m_From,S68&lt;=m_To)),1,0)</f>
        <v/>
      </c>
      <c r="W68" s="36">
        <f>IF(AND(OR(sel_Region="All",C68=sel_Region),OR(sel_Country="All",D68=sel_Country),OR(sel_Customer="All",F68=sel_Customer),OR(sel_Category="All",G68=sel_Category),OR(sel_Product="All",H68=sel_Product),AND(S68&gt;=m_From,S68&lt;=m_To)),1,0)</f>
        <v/>
      </c>
      <c r="X68" s="36">
        <f>IF(AND(OR(sel_Region="All",C68=sel_Region),OR(sel_Country="All",D68=sel_Country),OR(sel_Channel="All",E68=sel_Channel),OR(sel_Category="All",G68=sel_Category),OR(sel_Product="All",H68=sel_Product),AND(S68&gt;=m_From,S68&lt;=m_To)),1,0)</f>
        <v/>
      </c>
      <c r="Y68" s="36">
        <f>IF(AND(OR(sel_Region="All",C68=sel_Region),OR(sel_Country="All",D68=sel_Country),OR(sel_Channel="All",E68=sel_Channel),OR(sel_Customer="All",F68=sel_Customer),OR(sel_Product="All",H68=sel_Product),AND(S68&gt;=m_From,S68&lt;=m_To)),1,0)</f>
        <v/>
      </c>
      <c r="Z68" s="36">
        <f>IF(AND(OR(sel_Region="All",C68=sel_Region),OR(sel_Country="All",D68=sel_Country),OR(sel_Channel="All",E68=sel_Channel),OR(sel_Customer="All",F68=sel_Customer),OR(sel_Category="All",G68=sel_Category),AND(S68&gt;=m_From,S68&lt;=m_To)),1,0)</f>
        <v/>
      </c>
      <c r="AA68" s="36">
        <f>IF(AND(OR(sel_Region="All",C68=sel_Region),OR(sel_Country="All",D68=sel_Country),OR(sel_Channel="All",E68=sel_Channel),OR(sel_Customer="All",F68=sel_Customer),OR(sel_Category="All",G68=sel_Category),OR(sel_Product="All",H68=sel_Product)),1,0)</f>
        <v/>
      </c>
    </row>
    <row r="69">
      <c r="A69" s="36" t="inlineStr">
        <is>
          <t>03736</t>
        </is>
      </c>
      <c r="B69" s="44" t="n">
        <v>46037</v>
      </c>
      <c r="C69" s="36" t="inlineStr">
        <is>
          <t>Central Europe</t>
        </is>
      </c>
      <c r="D69" s="36" t="inlineStr">
        <is>
          <t>Czechia</t>
        </is>
      </c>
      <c r="E69" s="36" t="inlineStr">
        <is>
          <t>Marketplace</t>
        </is>
      </c>
      <c r="F69" s="36" t="inlineStr">
        <is>
          <t>New</t>
        </is>
      </c>
      <c r="G69" s="36" t="inlineStr">
        <is>
          <t>Fitness</t>
        </is>
      </c>
      <c r="H69" s="36" t="inlineStr">
        <is>
          <t>Resistance Band Set</t>
        </is>
      </c>
      <c r="I69" s="36" t="n">
        <v>1</v>
      </c>
      <c r="J69" s="39" t="n">
        <v>40.72</v>
      </c>
      <c r="K69" s="45" t="n">
        <v>0</v>
      </c>
      <c r="L69" s="39" t="n">
        <v>14.94</v>
      </c>
      <c r="M69" s="39">
        <f>I69*J69*(1-K69)</f>
        <v/>
      </c>
      <c r="N69" s="39">
        <f>I69*L69</f>
        <v/>
      </c>
      <c r="O69" s="39">
        <f>M69-N69</f>
        <v/>
      </c>
      <c r="P69" s="38">
        <f>IF(M69=0,0,O69/M69)</f>
        <v/>
      </c>
      <c r="Q69" s="36">
        <f>YEAR(B69)</f>
        <v/>
      </c>
      <c r="R69" s="36">
        <f>"Q"&amp;ROUNDUP(MONTH(B69)/3,0)</f>
        <v/>
      </c>
      <c r="S69" s="36">
        <f>MONTH(B69)</f>
        <v/>
      </c>
      <c r="T69" s="36">
        <f>TEXT(B69,"mmm")</f>
        <v/>
      </c>
      <c r="U69" s="36">
        <f>IF(AND(OR(sel_Region="All",C69=sel_Region),OR(sel_Country="All",D69=sel_Country),OR(sel_Channel="All",E69=sel_Channel),OR(sel_Customer="All",F69=sel_Customer),OR(sel_Category="All",G69=sel_Category),OR(sel_Product="All",H69=sel_Product),AND(S69&gt;=m_From,S69&lt;=m_To)),1,0)</f>
        <v/>
      </c>
      <c r="V69" s="36">
        <f>IF(AND(OR(sel_Region="All",C69=sel_Region),OR(sel_Channel="All",E69=sel_Channel),OR(sel_Customer="All",F69=sel_Customer),OR(sel_Category="All",G69=sel_Category),OR(sel_Product="All",H69=sel_Product),AND(S69&gt;=m_From,S69&lt;=m_To)),1,0)</f>
        <v/>
      </c>
      <c r="W69" s="36">
        <f>IF(AND(OR(sel_Region="All",C69=sel_Region),OR(sel_Country="All",D69=sel_Country),OR(sel_Customer="All",F69=sel_Customer),OR(sel_Category="All",G69=sel_Category),OR(sel_Product="All",H69=sel_Product),AND(S69&gt;=m_From,S69&lt;=m_To)),1,0)</f>
        <v/>
      </c>
      <c r="X69" s="36">
        <f>IF(AND(OR(sel_Region="All",C69=sel_Region),OR(sel_Country="All",D69=sel_Country),OR(sel_Channel="All",E69=sel_Channel),OR(sel_Category="All",G69=sel_Category),OR(sel_Product="All",H69=sel_Product),AND(S69&gt;=m_From,S69&lt;=m_To)),1,0)</f>
        <v/>
      </c>
      <c r="Y69" s="36">
        <f>IF(AND(OR(sel_Region="All",C69=sel_Region),OR(sel_Country="All",D69=sel_Country),OR(sel_Channel="All",E69=sel_Channel),OR(sel_Customer="All",F69=sel_Customer),OR(sel_Product="All",H69=sel_Product),AND(S69&gt;=m_From,S69&lt;=m_To)),1,0)</f>
        <v/>
      </c>
      <c r="Z69" s="36">
        <f>IF(AND(OR(sel_Region="All",C69=sel_Region),OR(sel_Country="All",D69=sel_Country),OR(sel_Channel="All",E69=sel_Channel),OR(sel_Customer="All",F69=sel_Customer),OR(sel_Category="All",G69=sel_Category),AND(S69&gt;=m_From,S69&lt;=m_To)),1,0)</f>
        <v/>
      </c>
      <c r="AA69" s="36">
        <f>IF(AND(OR(sel_Region="All",C69=sel_Region),OR(sel_Country="All",D69=sel_Country),OR(sel_Channel="All",E69=sel_Channel),OR(sel_Customer="All",F69=sel_Customer),OR(sel_Category="All",G69=sel_Category),OR(sel_Product="All",H69=sel_Product)),1,0)</f>
        <v/>
      </c>
    </row>
    <row r="70">
      <c r="A70" s="36" t="inlineStr">
        <is>
          <t>03967</t>
        </is>
      </c>
      <c r="B70" s="44" t="n">
        <v>46037</v>
      </c>
      <c r="C70" s="36" t="inlineStr">
        <is>
          <t>Central Europe</t>
        </is>
      </c>
      <c r="D70" s="36" t="inlineStr">
        <is>
          <t>Germany</t>
        </is>
      </c>
      <c r="E70" s="36" t="inlineStr">
        <is>
          <t>Online Store</t>
        </is>
      </c>
      <c r="F70" s="36" t="inlineStr">
        <is>
          <t>Business</t>
        </is>
      </c>
      <c r="G70" s="36" t="inlineStr">
        <is>
          <t>Travel</t>
        </is>
      </c>
      <c r="H70" s="36" t="inlineStr">
        <is>
          <t>Insulated Bottle</t>
        </is>
      </c>
      <c r="I70" s="36" t="n">
        <v>2</v>
      </c>
      <c r="J70" s="39" t="n">
        <v>37.09</v>
      </c>
      <c r="K70" s="45" t="n">
        <v>0</v>
      </c>
      <c r="L70" s="39" t="n">
        <v>13.29</v>
      </c>
      <c r="M70" s="39">
        <f>I70*J70*(1-K70)</f>
        <v/>
      </c>
      <c r="N70" s="39">
        <f>I70*L70</f>
        <v/>
      </c>
      <c r="O70" s="39">
        <f>M70-N70</f>
        <v/>
      </c>
      <c r="P70" s="38">
        <f>IF(M70=0,0,O70/M70)</f>
        <v/>
      </c>
      <c r="Q70" s="36">
        <f>YEAR(B70)</f>
        <v/>
      </c>
      <c r="R70" s="36">
        <f>"Q"&amp;ROUNDUP(MONTH(B70)/3,0)</f>
        <v/>
      </c>
      <c r="S70" s="36">
        <f>MONTH(B70)</f>
        <v/>
      </c>
      <c r="T70" s="36">
        <f>TEXT(B70,"mmm")</f>
        <v/>
      </c>
      <c r="U70" s="36">
        <f>IF(AND(OR(sel_Region="All",C70=sel_Region),OR(sel_Country="All",D70=sel_Country),OR(sel_Channel="All",E70=sel_Channel),OR(sel_Customer="All",F70=sel_Customer),OR(sel_Category="All",G70=sel_Category),OR(sel_Product="All",H70=sel_Product),AND(S70&gt;=m_From,S70&lt;=m_To)),1,0)</f>
        <v/>
      </c>
      <c r="V70" s="36">
        <f>IF(AND(OR(sel_Region="All",C70=sel_Region),OR(sel_Channel="All",E70=sel_Channel),OR(sel_Customer="All",F70=sel_Customer),OR(sel_Category="All",G70=sel_Category),OR(sel_Product="All",H70=sel_Product),AND(S70&gt;=m_From,S70&lt;=m_To)),1,0)</f>
        <v/>
      </c>
      <c r="W70" s="36">
        <f>IF(AND(OR(sel_Region="All",C70=sel_Region),OR(sel_Country="All",D70=sel_Country),OR(sel_Customer="All",F70=sel_Customer),OR(sel_Category="All",G70=sel_Category),OR(sel_Product="All",H70=sel_Product),AND(S70&gt;=m_From,S70&lt;=m_To)),1,0)</f>
        <v/>
      </c>
      <c r="X70" s="36">
        <f>IF(AND(OR(sel_Region="All",C70=sel_Region),OR(sel_Country="All",D70=sel_Country),OR(sel_Channel="All",E70=sel_Channel),OR(sel_Category="All",G70=sel_Category),OR(sel_Product="All",H70=sel_Product),AND(S70&gt;=m_From,S70&lt;=m_To)),1,0)</f>
        <v/>
      </c>
      <c r="Y70" s="36">
        <f>IF(AND(OR(sel_Region="All",C70=sel_Region),OR(sel_Country="All",D70=sel_Country),OR(sel_Channel="All",E70=sel_Channel),OR(sel_Customer="All",F70=sel_Customer),OR(sel_Product="All",H70=sel_Product),AND(S70&gt;=m_From,S70&lt;=m_To)),1,0)</f>
        <v/>
      </c>
      <c r="Z70" s="36">
        <f>IF(AND(OR(sel_Region="All",C70=sel_Region),OR(sel_Country="All",D70=sel_Country),OR(sel_Channel="All",E70=sel_Channel),OR(sel_Customer="All",F70=sel_Customer),OR(sel_Category="All",G70=sel_Category),AND(S70&gt;=m_From,S70&lt;=m_To)),1,0)</f>
        <v/>
      </c>
      <c r="AA70" s="36">
        <f>IF(AND(OR(sel_Region="All",C70=sel_Region),OR(sel_Country="All",D70=sel_Country),OR(sel_Channel="All",E70=sel_Channel),OR(sel_Customer="All",F70=sel_Customer),OR(sel_Category="All",G70=sel_Category),OR(sel_Product="All",H70=sel_Product)),1,0)</f>
        <v/>
      </c>
    </row>
    <row r="71">
      <c r="A71" s="36" t="inlineStr">
        <is>
          <t>00170</t>
        </is>
      </c>
      <c r="B71" s="44" t="n">
        <v>46038</v>
      </c>
      <c r="C71" s="36" t="inlineStr">
        <is>
          <t>Northern Europe</t>
        </is>
      </c>
      <c r="D71" s="36" t="inlineStr">
        <is>
          <t>Finland</t>
        </is>
      </c>
      <c r="E71" s="36" t="inlineStr">
        <is>
          <t>Online Store</t>
        </is>
      </c>
      <c r="F71" s="36" t="inlineStr">
        <is>
          <t>New</t>
        </is>
      </c>
      <c r="G71" s="36" t="inlineStr">
        <is>
          <t>Camping</t>
        </is>
      </c>
      <c r="H71" s="36" t="inlineStr">
        <is>
          <t>Compact Sleeping Bag</t>
        </is>
      </c>
      <c r="I71" s="36" t="n">
        <v>1</v>
      </c>
      <c r="J71" s="39" t="n">
        <v>124.45</v>
      </c>
      <c r="K71" s="45" t="n">
        <v>0.15</v>
      </c>
      <c r="L71" s="39" t="n">
        <v>59.77</v>
      </c>
      <c r="M71" s="39">
        <f>I71*J71*(1-K71)</f>
        <v/>
      </c>
      <c r="N71" s="39">
        <f>I71*L71</f>
        <v/>
      </c>
      <c r="O71" s="39">
        <f>M71-N71</f>
        <v/>
      </c>
      <c r="P71" s="38">
        <f>IF(M71=0,0,O71/M71)</f>
        <v/>
      </c>
      <c r="Q71" s="36">
        <f>YEAR(B71)</f>
        <v/>
      </c>
      <c r="R71" s="36">
        <f>"Q"&amp;ROUNDUP(MONTH(B71)/3,0)</f>
        <v/>
      </c>
      <c r="S71" s="36">
        <f>MONTH(B71)</f>
        <v/>
      </c>
      <c r="T71" s="36">
        <f>TEXT(B71,"mmm")</f>
        <v/>
      </c>
      <c r="U71" s="36">
        <f>IF(AND(OR(sel_Region="All",C71=sel_Region),OR(sel_Country="All",D71=sel_Country),OR(sel_Channel="All",E71=sel_Channel),OR(sel_Customer="All",F71=sel_Customer),OR(sel_Category="All",G71=sel_Category),OR(sel_Product="All",H71=sel_Product),AND(S71&gt;=m_From,S71&lt;=m_To)),1,0)</f>
        <v/>
      </c>
      <c r="V71" s="36">
        <f>IF(AND(OR(sel_Region="All",C71=sel_Region),OR(sel_Channel="All",E71=sel_Channel),OR(sel_Customer="All",F71=sel_Customer),OR(sel_Category="All",G71=sel_Category),OR(sel_Product="All",H71=sel_Product),AND(S71&gt;=m_From,S71&lt;=m_To)),1,0)</f>
        <v/>
      </c>
      <c r="W71" s="36">
        <f>IF(AND(OR(sel_Region="All",C71=sel_Region),OR(sel_Country="All",D71=sel_Country),OR(sel_Customer="All",F71=sel_Customer),OR(sel_Category="All",G71=sel_Category),OR(sel_Product="All",H71=sel_Product),AND(S71&gt;=m_From,S71&lt;=m_To)),1,0)</f>
        <v/>
      </c>
      <c r="X71" s="36">
        <f>IF(AND(OR(sel_Region="All",C71=sel_Region),OR(sel_Country="All",D71=sel_Country),OR(sel_Channel="All",E71=sel_Channel),OR(sel_Category="All",G71=sel_Category),OR(sel_Product="All",H71=sel_Product),AND(S71&gt;=m_From,S71&lt;=m_To)),1,0)</f>
        <v/>
      </c>
      <c r="Y71" s="36">
        <f>IF(AND(OR(sel_Region="All",C71=sel_Region),OR(sel_Country="All",D71=sel_Country),OR(sel_Channel="All",E71=sel_Channel),OR(sel_Customer="All",F71=sel_Customer),OR(sel_Product="All",H71=sel_Product),AND(S71&gt;=m_From,S71&lt;=m_To)),1,0)</f>
        <v/>
      </c>
      <c r="Z71" s="36">
        <f>IF(AND(OR(sel_Region="All",C71=sel_Region),OR(sel_Country="All",D71=sel_Country),OR(sel_Channel="All",E71=sel_Channel),OR(sel_Customer="All",F71=sel_Customer),OR(sel_Category="All",G71=sel_Category),AND(S71&gt;=m_From,S71&lt;=m_To)),1,0)</f>
        <v/>
      </c>
      <c r="AA71" s="36">
        <f>IF(AND(OR(sel_Region="All",C71=sel_Region),OR(sel_Country="All",D71=sel_Country),OR(sel_Channel="All",E71=sel_Channel),OR(sel_Customer="All",F71=sel_Customer),OR(sel_Category="All",G71=sel_Category),OR(sel_Product="All",H71=sel_Product)),1,0)</f>
        <v/>
      </c>
    </row>
    <row r="72">
      <c r="A72" s="36" t="inlineStr">
        <is>
          <t>01040</t>
        </is>
      </c>
      <c r="B72" s="44" t="n">
        <v>46038</v>
      </c>
      <c r="C72" s="36" t="inlineStr">
        <is>
          <t>Southern Europe</t>
        </is>
      </c>
      <c r="D72" s="36" t="inlineStr">
        <is>
          <t>Spain</t>
        </is>
      </c>
      <c r="E72" s="36" t="inlineStr">
        <is>
          <t>Retail Partners</t>
        </is>
      </c>
      <c r="F72" s="36" t="inlineStr">
        <is>
          <t>New</t>
        </is>
      </c>
      <c r="G72" s="36" t="inlineStr">
        <is>
          <t>Travel</t>
        </is>
      </c>
      <c r="H72" s="36" t="inlineStr">
        <is>
          <t>Insulated Bottle</t>
        </is>
      </c>
      <c r="I72" s="36" t="n">
        <v>1</v>
      </c>
      <c r="J72" s="39" t="n">
        <v>35.93</v>
      </c>
      <c r="K72" s="45" t="n">
        <v>0.05</v>
      </c>
      <c r="L72" s="39" t="n">
        <v>13.33</v>
      </c>
      <c r="M72" s="39">
        <f>I72*J72*(1-K72)</f>
        <v/>
      </c>
      <c r="N72" s="39">
        <f>I72*L72</f>
        <v/>
      </c>
      <c r="O72" s="39">
        <f>M72-N72</f>
        <v/>
      </c>
      <c r="P72" s="38">
        <f>IF(M72=0,0,O72/M72)</f>
        <v/>
      </c>
      <c r="Q72" s="36">
        <f>YEAR(B72)</f>
        <v/>
      </c>
      <c r="R72" s="36">
        <f>"Q"&amp;ROUNDUP(MONTH(B72)/3,0)</f>
        <v/>
      </c>
      <c r="S72" s="36">
        <f>MONTH(B72)</f>
        <v/>
      </c>
      <c r="T72" s="36">
        <f>TEXT(B72,"mmm")</f>
        <v/>
      </c>
      <c r="U72" s="36">
        <f>IF(AND(OR(sel_Region="All",C72=sel_Region),OR(sel_Country="All",D72=sel_Country),OR(sel_Channel="All",E72=sel_Channel),OR(sel_Customer="All",F72=sel_Customer),OR(sel_Category="All",G72=sel_Category),OR(sel_Product="All",H72=sel_Product),AND(S72&gt;=m_From,S72&lt;=m_To)),1,0)</f>
        <v/>
      </c>
      <c r="V72" s="36">
        <f>IF(AND(OR(sel_Region="All",C72=sel_Region),OR(sel_Channel="All",E72=sel_Channel),OR(sel_Customer="All",F72=sel_Customer),OR(sel_Category="All",G72=sel_Category),OR(sel_Product="All",H72=sel_Product),AND(S72&gt;=m_From,S72&lt;=m_To)),1,0)</f>
        <v/>
      </c>
      <c r="W72" s="36">
        <f>IF(AND(OR(sel_Region="All",C72=sel_Region),OR(sel_Country="All",D72=sel_Country),OR(sel_Customer="All",F72=sel_Customer),OR(sel_Category="All",G72=sel_Category),OR(sel_Product="All",H72=sel_Product),AND(S72&gt;=m_From,S72&lt;=m_To)),1,0)</f>
        <v/>
      </c>
      <c r="X72" s="36">
        <f>IF(AND(OR(sel_Region="All",C72=sel_Region),OR(sel_Country="All",D72=sel_Country),OR(sel_Channel="All",E72=sel_Channel),OR(sel_Category="All",G72=sel_Category),OR(sel_Product="All",H72=sel_Product),AND(S72&gt;=m_From,S72&lt;=m_To)),1,0)</f>
        <v/>
      </c>
      <c r="Y72" s="36">
        <f>IF(AND(OR(sel_Region="All",C72=sel_Region),OR(sel_Country="All",D72=sel_Country),OR(sel_Channel="All",E72=sel_Channel),OR(sel_Customer="All",F72=sel_Customer),OR(sel_Product="All",H72=sel_Product),AND(S72&gt;=m_From,S72&lt;=m_To)),1,0)</f>
        <v/>
      </c>
      <c r="Z72" s="36">
        <f>IF(AND(OR(sel_Region="All",C72=sel_Region),OR(sel_Country="All",D72=sel_Country),OR(sel_Channel="All",E72=sel_Channel),OR(sel_Customer="All",F72=sel_Customer),OR(sel_Category="All",G72=sel_Category),AND(S72&gt;=m_From,S72&lt;=m_To)),1,0)</f>
        <v/>
      </c>
      <c r="AA72" s="36">
        <f>IF(AND(OR(sel_Region="All",C72=sel_Region),OR(sel_Country="All",D72=sel_Country),OR(sel_Channel="All",E72=sel_Channel),OR(sel_Customer="All",F72=sel_Customer),OR(sel_Category="All",G72=sel_Category),OR(sel_Product="All",H72=sel_Product)),1,0)</f>
        <v/>
      </c>
    </row>
    <row r="73">
      <c r="A73" s="36" t="inlineStr">
        <is>
          <t>02380</t>
        </is>
      </c>
      <c r="B73" s="44" t="n">
        <v>46038</v>
      </c>
      <c r="C73" s="36" t="inlineStr">
        <is>
          <t>Western Europe</t>
        </is>
      </c>
      <c r="D73" s="36" t="inlineStr">
        <is>
          <t>France</t>
        </is>
      </c>
      <c r="E73" s="36" t="inlineStr">
        <is>
          <t>Online Store</t>
        </is>
      </c>
      <c r="F73" s="36" t="inlineStr">
        <is>
          <t>Returning</t>
        </is>
      </c>
      <c r="G73" s="36" t="inlineStr">
        <is>
          <t>Camping</t>
        </is>
      </c>
      <c r="H73" s="36" t="inlineStr">
        <is>
          <t>Compact Sleeping Bag</t>
        </is>
      </c>
      <c r="I73" s="36" t="n">
        <v>4</v>
      </c>
      <c r="J73" s="39" t="n">
        <v>121.8</v>
      </c>
      <c r="K73" s="45" t="n">
        <v>0.05</v>
      </c>
      <c r="L73" s="39" t="n">
        <v>59.57</v>
      </c>
      <c r="M73" s="39">
        <f>I73*J73*(1-K73)</f>
        <v/>
      </c>
      <c r="N73" s="39">
        <f>I73*L73</f>
        <v/>
      </c>
      <c r="O73" s="39">
        <f>M73-N73</f>
        <v/>
      </c>
      <c r="P73" s="38">
        <f>IF(M73=0,0,O73/M73)</f>
        <v/>
      </c>
      <c r="Q73" s="36">
        <f>YEAR(B73)</f>
        <v/>
      </c>
      <c r="R73" s="36">
        <f>"Q"&amp;ROUNDUP(MONTH(B73)/3,0)</f>
        <v/>
      </c>
      <c r="S73" s="36">
        <f>MONTH(B73)</f>
        <v/>
      </c>
      <c r="T73" s="36">
        <f>TEXT(B73,"mmm")</f>
        <v/>
      </c>
      <c r="U73" s="36">
        <f>IF(AND(OR(sel_Region="All",C73=sel_Region),OR(sel_Country="All",D73=sel_Country),OR(sel_Channel="All",E73=sel_Channel),OR(sel_Customer="All",F73=sel_Customer),OR(sel_Category="All",G73=sel_Category),OR(sel_Product="All",H73=sel_Product),AND(S73&gt;=m_From,S73&lt;=m_To)),1,0)</f>
        <v/>
      </c>
      <c r="V73" s="36">
        <f>IF(AND(OR(sel_Region="All",C73=sel_Region),OR(sel_Channel="All",E73=sel_Channel),OR(sel_Customer="All",F73=sel_Customer),OR(sel_Category="All",G73=sel_Category),OR(sel_Product="All",H73=sel_Product),AND(S73&gt;=m_From,S73&lt;=m_To)),1,0)</f>
        <v/>
      </c>
      <c r="W73" s="36">
        <f>IF(AND(OR(sel_Region="All",C73=sel_Region),OR(sel_Country="All",D73=sel_Country),OR(sel_Customer="All",F73=sel_Customer),OR(sel_Category="All",G73=sel_Category),OR(sel_Product="All",H73=sel_Product),AND(S73&gt;=m_From,S73&lt;=m_To)),1,0)</f>
        <v/>
      </c>
      <c r="X73" s="36">
        <f>IF(AND(OR(sel_Region="All",C73=sel_Region),OR(sel_Country="All",D73=sel_Country),OR(sel_Channel="All",E73=sel_Channel),OR(sel_Category="All",G73=sel_Category),OR(sel_Product="All",H73=sel_Product),AND(S73&gt;=m_From,S73&lt;=m_To)),1,0)</f>
        <v/>
      </c>
      <c r="Y73" s="36">
        <f>IF(AND(OR(sel_Region="All",C73=sel_Region),OR(sel_Country="All",D73=sel_Country),OR(sel_Channel="All",E73=sel_Channel),OR(sel_Customer="All",F73=sel_Customer),OR(sel_Product="All",H73=sel_Product),AND(S73&gt;=m_From,S73&lt;=m_To)),1,0)</f>
        <v/>
      </c>
      <c r="Z73" s="36">
        <f>IF(AND(OR(sel_Region="All",C73=sel_Region),OR(sel_Country="All",D73=sel_Country),OR(sel_Channel="All",E73=sel_Channel),OR(sel_Customer="All",F73=sel_Customer),OR(sel_Category="All",G73=sel_Category),AND(S73&gt;=m_From,S73&lt;=m_To)),1,0)</f>
        <v/>
      </c>
      <c r="AA73" s="36">
        <f>IF(AND(OR(sel_Region="All",C73=sel_Region),OR(sel_Country="All",D73=sel_Country),OR(sel_Channel="All",E73=sel_Channel),OR(sel_Customer="All",F73=sel_Customer),OR(sel_Category="All",G73=sel_Category),OR(sel_Product="All",H73=sel_Product)),1,0)</f>
        <v/>
      </c>
    </row>
    <row r="74">
      <c r="A74" s="36" t="inlineStr">
        <is>
          <t>03219</t>
        </is>
      </c>
      <c r="B74" s="44" t="n">
        <v>46038</v>
      </c>
      <c r="C74" s="36" t="inlineStr">
        <is>
          <t>Central Europe</t>
        </is>
      </c>
      <c r="D74" s="36" t="inlineStr">
        <is>
          <t>Switzerland</t>
        </is>
      </c>
      <c r="E74" s="36" t="inlineStr">
        <is>
          <t>Retail Partners</t>
        </is>
      </c>
      <c r="F74" s="36" t="inlineStr">
        <is>
          <t>Returning</t>
        </is>
      </c>
      <c r="G74" s="36" t="inlineStr">
        <is>
          <t>Hiking</t>
        </is>
      </c>
      <c r="H74" s="36" t="inlineStr">
        <is>
          <t>Hiking Daypack 20L</t>
        </is>
      </c>
      <c r="I74" s="36" t="n">
        <v>1</v>
      </c>
      <c r="J74" s="39" t="n">
        <v>92.59999999999999</v>
      </c>
      <c r="K74" s="45" t="n">
        <v>0.05</v>
      </c>
      <c r="L74" s="39" t="n">
        <v>44.15</v>
      </c>
      <c r="M74" s="39">
        <f>I74*J74*(1-K74)</f>
        <v/>
      </c>
      <c r="N74" s="39">
        <f>I74*L74</f>
        <v/>
      </c>
      <c r="O74" s="39">
        <f>M74-N74</f>
        <v/>
      </c>
      <c r="P74" s="38">
        <f>IF(M74=0,0,O74/M74)</f>
        <v/>
      </c>
      <c r="Q74" s="36">
        <f>YEAR(B74)</f>
        <v/>
      </c>
      <c r="R74" s="36">
        <f>"Q"&amp;ROUNDUP(MONTH(B74)/3,0)</f>
        <v/>
      </c>
      <c r="S74" s="36">
        <f>MONTH(B74)</f>
        <v/>
      </c>
      <c r="T74" s="36">
        <f>TEXT(B74,"mmm")</f>
        <v/>
      </c>
      <c r="U74" s="36">
        <f>IF(AND(OR(sel_Region="All",C74=sel_Region),OR(sel_Country="All",D74=sel_Country),OR(sel_Channel="All",E74=sel_Channel),OR(sel_Customer="All",F74=sel_Customer),OR(sel_Category="All",G74=sel_Category),OR(sel_Product="All",H74=sel_Product),AND(S74&gt;=m_From,S74&lt;=m_To)),1,0)</f>
        <v/>
      </c>
      <c r="V74" s="36">
        <f>IF(AND(OR(sel_Region="All",C74=sel_Region),OR(sel_Channel="All",E74=sel_Channel),OR(sel_Customer="All",F74=sel_Customer),OR(sel_Category="All",G74=sel_Category),OR(sel_Product="All",H74=sel_Product),AND(S74&gt;=m_From,S74&lt;=m_To)),1,0)</f>
        <v/>
      </c>
      <c r="W74" s="36">
        <f>IF(AND(OR(sel_Region="All",C74=sel_Region),OR(sel_Country="All",D74=sel_Country),OR(sel_Customer="All",F74=sel_Customer),OR(sel_Category="All",G74=sel_Category),OR(sel_Product="All",H74=sel_Product),AND(S74&gt;=m_From,S74&lt;=m_To)),1,0)</f>
        <v/>
      </c>
      <c r="X74" s="36">
        <f>IF(AND(OR(sel_Region="All",C74=sel_Region),OR(sel_Country="All",D74=sel_Country),OR(sel_Channel="All",E74=sel_Channel),OR(sel_Category="All",G74=sel_Category),OR(sel_Product="All",H74=sel_Product),AND(S74&gt;=m_From,S74&lt;=m_To)),1,0)</f>
        <v/>
      </c>
      <c r="Y74" s="36">
        <f>IF(AND(OR(sel_Region="All",C74=sel_Region),OR(sel_Country="All",D74=sel_Country),OR(sel_Channel="All",E74=sel_Channel),OR(sel_Customer="All",F74=sel_Customer),OR(sel_Product="All",H74=sel_Product),AND(S74&gt;=m_From,S74&lt;=m_To)),1,0)</f>
        <v/>
      </c>
      <c r="Z74" s="36">
        <f>IF(AND(OR(sel_Region="All",C74=sel_Region),OR(sel_Country="All",D74=sel_Country),OR(sel_Channel="All",E74=sel_Channel),OR(sel_Customer="All",F74=sel_Customer),OR(sel_Category="All",G74=sel_Category),AND(S74&gt;=m_From,S74&lt;=m_To)),1,0)</f>
        <v/>
      </c>
      <c r="AA74" s="36">
        <f>IF(AND(OR(sel_Region="All",C74=sel_Region),OR(sel_Country="All",D74=sel_Country),OR(sel_Channel="All",E74=sel_Channel),OR(sel_Customer="All",F74=sel_Customer),OR(sel_Category="All",G74=sel_Category),OR(sel_Product="All",H74=sel_Product)),1,0)</f>
        <v/>
      </c>
    </row>
    <row r="75">
      <c r="A75" s="36" t="inlineStr">
        <is>
          <t>04425</t>
        </is>
      </c>
      <c r="B75" s="44" t="n">
        <v>46038</v>
      </c>
      <c r="C75" s="36" t="inlineStr">
        <is>
          <t>Central Europe</t>
        </is>
      </c>
      <c r="D75" s="36" t="inlineStr">
        <is>
          <t>Germany</t>
        </is>
      </c>
      <c r="E75" s="36" t="inlineStr">
        <is>
          <t>Corporate</t>
        </is>
      </c>
      <c r="F75" s="36" t="inlineStr">
        <is>
          <t>Business</t>
        </is>
      </c>
      <c r="G75" s="36" t="inlineStr">
        <is>
          <t>Cycling</t>
        </is>
      </c>
      <c r="H75" s="36" t="inlineStr">
        <is>
          <t>Cycling Pack 12L</t>
        </is>
      </c>
      <c r="I75" s="36" t="n">
        <v>10</v>
      </c>
      <c r="J75" s="39" t="n">
        <v>102.68</v>
      </c>
      <c r="K75" s="45" t="n">
        <v>0.15</v>
      </c>
      <c r="L75" s="39" t="n">
        <v>51.07</v>
      </c>
      <c r="M75" s="39">
        <f>I75*J75*(1-K75)</f>
        <v/>
      </c>
      <c r="N75" s="39">
        <f>I75*L75</f>
        <v/>
      </c>
      <c r="O75" s="39">
        <f>M75-N75</f>
        <v/>
      </c>
      <c r="P75" s="38">
        <f>IF(M75=0,0,O75/M75)</f>
        <v/>
      </c>
      <c r="Q75" s="36">
        <f>YEAR(B75)</f>
        <v/>
      </c>
      <c r="R75" s="36">
        <f>"Q"&amp;ROUNDUP(MONTH(B75)/3,0)</f>
        <v/>
      </c>
      <c r="S75" s="36">
        <f>MONTH(B75)</f>
        <v/>
      </c>
      <c r="T75" s="36">
        <f>TEXT(B75,"mmm")</f>
        <v/>
      </c>
      <c r="U75" s="36">
        <f>IF(AND(OR(sel_Region="All",C75=sel_Region),OR(sel_Country="All",D75=sel_Country),OR(sel_Channel="All",E75=sel_Channel),OR(sel_Customer="All",F75=sel_Customer),OR(sel_Category="All",G75=sel_Category),OR(sel_Product="All",H75=sel_Product),AND(S75&gt;=m_From,S75&lt;=m_To)),1,0)</f>
        <v/>
      </c>
      <c r="V75" s="36">
        <f>IF(AND(OR(sel_Region="All",C75=sel_Region),OR(sel_Channel="All",E75=sel_Channel),OR(sel_Customer="All",F75=sel_Customer),OR(sel_Category="All",G75=sel_Category),OR(sel_Product="All",H75=sel_Product),AND(S75&gt;=m_From,S75&lt;=m_To)),1,0)</f>
        <v/>
      </c>
      <c r="W75" s="36">
        <f>IF(AND(OR(sel_Region="All",C75=sel_Region),OR(sel_Country="All",D75=sel_Country),OR(sel_Customer="All",F75=sel_Customer),OR(sel_Category="All",G75=sel_Category),OR(sel_Product="All",H75=sel_Product),AND(S75&gt;=m_From,S75&lt;=m_To)),1,0)</f>
        <v/>
      </c>
      <c r="X75" s="36">
        <f>IF(AND(OR(sel_Region="All",C75=sel_Region),OR(sel_Country="All",D75=sel_Country),OR(sel_Channel="All",E75=sel_Channel),OR(sel_Category="All",G75=sel_Category),OR(sel_Product="All",H75=sel_Product),AND(S75&gt;=m_From,S75&lt;=m_To)),1,0)</f>
        <v/>
      </c>
      <c r="Y75" s="36">
        <f>IF(AND(OR(sel_Region="All",C75=sel_Region),OR(sel_Country="All",D75=sel_Country),OR(sel_Channel="All",E75=sel_Channel),OR(sel_Customer="All",F75=sel_Customer),OR(sel_Product="All",H75=sel_Product),AND(S75&gt;=m_From,S75&lt;=m_To)),1,0)</f>
        <v/>
      </c>
      <c r="Z75" s="36">
        <f>IF(AND(OR(sel_Region="All",C75=sel_Region),OR(sel_Country="All",D75=sel_Country),OR(sel_Channel="All",E75=sel_Channel),OR(sel_Customer="All",F75=sel_Customer),OR(sel_Category="All",G75=sel_Category),AND(S75&gt;=m_From,S75&lt;=m_To)),1,0)</f>
        <v/>
      </c>
      <c r="AA75" s="36">
        <f>IF(AND(OR(sel_Region="All",C75=sel_Region),OR(sel_Country="All",D75=sel_Country),OR(sel_Channel="All",E75=sel_Channel),OR(sel_Customer="All",F75=sel_Customer),OR(sel_Category="All",G75=sel_Category),OR(sel_Product="All",H75=sel_Product)),1,0)</f>
        <v/>
      </c>
    </row>
    <row r="76">
      <c r="A76" s="36" t="inlineStr">
        <is>
          <t>04508</t>
        </is>
      </c>
      <c r="B76" s="44" t="n">
        <v>46038</v>
      </c>
      <c r="C76" s="36" t="inlineStr">
        <is>
          <t>Western Europe</t>
        </is>
      </c>
      <c r="D76" s="36" t="inlineStr">
        <is>
          <t>France</t>
        </is>
      </c>
      <c r="E76" s="36" t="inlineStr">
        <is>
          <t>Marketplace</t>
        </is>
      </c>
      <c r="F76" s="36" t="inlineStr">
        <is>
          <t>New</t>
        </is>
      </c>
      <c r="G76" s="36" t="inlineStr">
        <is>
          <t>Cycling</t>
        </is>
      </c>
      <c r="H76" s="36" t="inlineStr">
        <is>
          <t>Compact Repair Kit</t>
        </is>
      </c>
      <c r="I76" s="36" t="n">
        <v>3</v>
      </c>
      <c r="J76" s="39" t="n">
        <v>40.92</v>
      </c>
      <c r="K76" s="45" t="n">
        <v>0.15</v>
      </c>
      <c r="L76" s="39" t="n">
        <v>16.71</v>
      </c>
      <c r="M76" s="39">
        <f>I76*J76*(1-K76)</f>
        <v/>
      </c>
      <c r="N76" s="39">
        <f>I76*L76</f>
        <v/>
      </c>
      <c r="O76" s="39">
        <f>M76-N76</f>
        <v/>
      </c>
      <c r="P76" s="38">
        <f>IF(M76=0,0,O76/M76)</f>
        <v/>
      </c>
      <c r="Q76" s="36">
        <f>YEAR(B76)</f>
        <v/>
      </c>
      <c r="R76" s="36">
        <f>"Q"&amp;ROUNDUP(MONTH(B76)/3,0)</f>
        <v/>
      </c>
      <c r="S76" s="36">
        <f>MONTH(B76)</f>
        <v/>
      </c>
      <c r="T76" s="36">
        <f>TEXT(B76,"mmm")</f>
        <v/>
      </c>
      <c r="U76" s="36">
        <f>IF(AND(OR(sel_Region="All",C76=sel_Region),OR(sel_Country="All",D76=sel_Country),OR(sel_Channel="All",E76=sel_Channel),OR(sel_Customer="All",F76=sel_Customer),OR(sel_Category="All",G76=sel_Category),OR(sel_Product="All",H76=sel_Product),AND(S76&gt;=m_From,S76&lt;=m_To)),1,0)</f>
        <v/>
      </c>
      <c r="V76" s="36">
        <f>IF(AND(OR(sel_Region="All",C76=sel_Region),OR(sel_Channel="All",E76=sel_Channel),OR(sel_Customer="All",F76=sel_Customer),OR(sel_Category="All",G76=sel_Category),OR(sel_Product="All",H76=sel_Product),AND(S76&gt;=m_From,S76&lt;=m_To)),1,0)</f>
        <v/>
      </c>
      <c r="W76" s="36">
        <f>IF(AND(OR(sel_Region="All",C76=sel_Region),OR(sel_Country="All",D76=sel_Country),OR(sel_Customer="All",F76=sel_Customer),OR(sel_Category="All",G76=sel_Category),OR(sel_Product="All",H76=sel_Product),AND(S76&gt;=m_From,S76&lt;=m_To)),1,0)</f>
        <v/>
      </c>
      <c r="X76" s="36">
        <f>IF(AND(OR(sel_Region="All",C76=sel_Region),OR(sel_Country="All",D76=sel_Country),OR(sel_Channel="All",E76=sel_Channel),OR(sel_Category="All",G76=sel_Category),OR(sel_Product="All",H76=sel_Product),AND(S76&gt;=m_From,S76&lt;=m_To)),1,0)</f>
        <v/>
      </c>
      <c r="Y76" s="36">
        <f>IF(AND(OR(sel_Region="All",C76=sel_Region),OR(sel_Country="All",D76=sel_Country),OR(sel_Channel="All",E76=sel_Channel),OR(sel_Customer="All",F76=sel_Customer),OR(sel_Product="All",H76=sel_Product),AND(S76&gt;=m_From,S76&lt;=m_To)),1,0)</f>
        <v/>
      </c>
      <c r="Z76" s="36">
        <f>IF(AND(OR(sel_Region="All",C76=sel_Region),OR(sel_Country="All",D76=sel_Country),OR(sel_Channel="All",E76=sel_Channel),OR(sel_Customer="All",F76=sel_Customer),OR(sel_Category="All",G76=sel_Category),AND(S76&gt;=m_From,S76&lt;=m_To)),1,0)</f>
        <v/>
      </c>
      <c r="AA76" s="36">
        <f>IF(AND(OR(sel_Region="All",C76=sel_Region),OR(sel_Country="All",D76=sel_Country),OR(sel_Channel="All",E76=sel_Channel),OR(sel_Customer="All",F76=sel_Customer),OR(sel_Category="All",G76=sel_Category),OR(sel_Product="All",H76=sel_Product)),1,0)</f>
        <v/>
      </c>
    </row>
    <row r="77">
      <c r="A77" s="36" t="inlineStr">
        <is>
          <t>04806</t>
        </is>
      </c>
      <c r="B77" s="44" t="n">
        <v>46038</v>
      </c>
      <c r="C77" s="36" t="inlineStr">
        <is>
          <t>Northern Europe</t>
        </is>
      </c>
      <c r="D77" s="36" t="inlineStr">
        <is>
          <t>Norway</t>
        </is>
      </c>
      <c r="E77" s="36" t="inlineStr">
        <is>
          <t>Retail Partners</t>
        </is>
      </c>
      <c r="F77" s="36" t="inlineStr">
        <is>
          <t>New</t>
        </is>
      </c>
      <c r="G77" s="36" t="inlineStr">
        <is>
          <t>Cycling</t>
        </is>
      </c>
      <c r="H77" s="36" t="inlineStr">
        <is>
          <t>Cycling Pack 12L</t>
        </is>
      </c>
      <c r="I77" s="36" t="n">
        <v>4</v>
      </c>
      <c r="J77" s="39" t="n">
        <v>102.68</v>
      </c>
      <c r="K77" s="45" t="n">
        <v>0</v>
      </c>
      <c r="L77" s="39" t="n">
        <v>50.83</v>
      </c>
      <c r="M77" s="39">
        <f>I77*J77*(1-K77)</f>
        <v/>
      </c>
      <c r="N77" s="39">
        <f>I77*L77</f>
        <v/>
      </c>
      <c r="O77" s="39">
        <f>M77-N77</f>
        <v/>
      </c>
      <c r="P77" s="38">
        <f>IF(M77=0,0,O77/M77)</f>
        <v/>
      </c>
      <c r="Q77" s="36">
        <f>YEAR(B77)</f>
        <v/>
      </c>
      <c r="R77" s="36">
        <f>"Q"&amp;ROUNDUP(MONTH(B77)/3,0)</f>
        <v/>
      </c>
      <c r="S77" s="36">
        <f>MONTH(B77)</f>
        <v/>
      </c>
      <c r="T77" s="36">
        <f>TEXT(B77,"mmm")</f>
        <v/>
      </c>
      <c r="U77" s="36">
        <f>IF(AND(OR(sel_Region="All",C77=sel_Region),OR(sel_Country="All",D77=sel_Country),OR(sel_Channel="All",E77=sel_Channel),OR(sel_Customer="All",F77=sel_Customer),OR(sel_Category="All",G77=sel_Category),OR(sel_Product="All",H77=sel_Product),AND(S77&gt;=m_From,S77&lt;=m_To)),1,0)</f>
        <v/>
      </c>
      <c r="V77" s="36">
        <f>IF(AND(OR(sel_Region="All",C77=sel_Region),OR(sel_Channel="All",E77=sel_Channel),OR(sel_Customer="All",F77=sel_Customer),OR(sel_Category="All",G77=sel_Category),OR(sel_Product="All",H77=sel_Product),AND(S77&gt;=m_From,S77&lt;=m_To)),1,0)</f>
        <v/>
      </c>
      <c r="W77" s="36">
        <f>IF(AND(OR(sel_Region="All",C77=sel_Region),OR(sel_Country="All",D77=sel_Country),OR(sel_Customer="All",F77=sel_Customer),OR(sel_Category="All",G77=sel_Category),OR(sel_Product="All",H77=sel_Product),AND(S77&gt;=m_From,S77&lt;=m_To)),1,0)</f>
        <v/>
      </c>
      <c r="X77" s="36">
        <f>IF(AND(OR(sel_Region="All",C77=sel_Region),OR(sel_Country="All",D77=sel_Country),OR(sel_Channel="All",E77=sel_Channel),OR(sel_Category="All",G77=sel_Category),OR(sel_Product="All",H77=sel_Product),AND(S77&gt;=m_From,S77&lt;=m_To)),1,0)</f>
        <v/>
      </c>
      <c r="Y77" s="36">
        <f>IF(AND(OR(sel_Region="All",C77=sel_Region),OR(sel_Country="All",D77=sel_Country),OR(sel_Channel="All",E77=sel_Channel),OR(sel_Customer="All",F77=sel_Customer),OR(sel_Product="All",H77=sel_Product),AND(S77&gt;=m_From,S77&lt;=m_To)),1,0)</f>
        <v/>
      </c>
      <c r="Z77" s="36">
        <f>IF(AND(OR(sel_Region="All",C77=sel_Region),OR(sel_Country="All",D77=sel_Country),OR(sel_Channel="All",E77=sel_Channel),OR(sel_Customer="All",F77=sel_Customer),OR(sel_Category="All",G77=sel_Category),AND(S77&gt;=m_From,S77&lt;=m_To)),1,0)</f>
        <v/>
      </c>
      <c r="AA77" s="36">
        <f>IF(AND(OR(sel_Region="All",C77=sel_Region),OR(sel_Country="All",D77=sel_Country),OR(sel_Channel="All",E77=sel_Channel),OR(sel_Customer="All",F77=sel_Customer),OR(sel_Category="All",G77=sel_Category),OR(sel_Product="All",H77=sel_Product)),1,0)</f>
        <v/>
      </c>
    </row>
    <row r="78">
      <c r="A78" s="36" t="inlineStr">
        <is>
          <t>00755</t>
        </is>
      </c>
      <c r="B78" s="44" t="n">
        <v>46039</v>
      </c>
      <c r="C78" s="36" t="inlineStr">
        <is>
          <t>Southern Europe</t>
        </is>
      </c>
      <c r="D78" s="36" t="inlineStr">
        <is>
          <t>Portugal</t>
        </is>
      </c>
      <c r="E78" s="36" t="inlineStr">
        <is>
          <t>Marketplace</t>
        </is>
      </c>
      <c r="F78" s="36" t="inlineStr">
        <is>
          <t>New</t>
        </is>
      </c>
      <c r="G78" s="36" t="inlineStr">
        <is>
          <t>Travel</t>
        </is>
      </c>
      <c r="H78" s="36" t="inlineStr">
        <is>
          <t>Travel Backpack 35L</t>
        </is>
      </c>
      <c r="I78" s="36" t="n">
        <v>2</v>
      </c>
      <c r="J78" s="39" t="n">
        <v>164.38</v>
      </c>
      <c r="K78" s="45" t="n">
        <v>0.05</v>
      </c>
      <c r="L78" s="39" t="n">
        <v>85.93000000000001</v>
      </c>
      <c r="M78" s="39">
        <f>I78*J78*(1-K78)</f>
        <v/>
      </c>
      <c r="N78" s="39">
        <f>I78*L78</f>
        <v/>
      </c>
      <c r="O78" s="39">
        <f>M78-N78</f>
        <v/>
      </c>
      <c r="P78" s="38">
        <f>IF(M78=0,0,O78/M78)</f>
        <v/>
      </c>
      <c r="Q78" s="36">
        <f>YEAR(B78)</f>
        <v/>
      </c>
      <c r="R78" s="36">
        <f>"Q"&amp;ROUNDUP(MONTH(B78)/3,0)</f>
        <v/>
      </c>
      <c r="S78" s="36">
        <f>MONTH(B78)</f>
        <v/>
      </c>
      <c r="T78" s="36">
        <f>TEXT(B78,"mmm")</f>
        <v/>
      </c>
      <c r="U78" s="36">
        <f>IF(AND(OR(sel_Region="All",C78=sel_Region),OR(sel_Country="All",D78=sel_Country),OR(sel_Channel="All",E78=sel_Channel),OR(sel_Customer="All",F78=sel_Customer),OR(sel_Category="All",G78=sel_Category),OR(sel_Product="All",H78=sel_Product),AND(S78&gt;=m_From,S78&lt;=m_To)),1,0)</f>
        <v/>
      </c>
      <c r="V78" s="36">
        <f>IF(AND(OR(sel_Region="All",C78=sel_Region),OR(sel_Channel="All",E78=sel_Channel),OR(sel_Customer="All",F78=sel_Customer),OR(sel_Category="All",G78=sel_Category),OR(sel_Product="All",H78=sel_Product),AND(S78&gt;=m_From,S78&lt;=m_To)),1,0)</f>
        <v/>
      </c>
      <c r="W78" s="36">
        <f>IF(AND(OR(sel_Region="All",C78=sel_Region),OR(sel_Country="All",D78=sel_Country),OR(sel_Customer="All",F78=sel_Customer),OR(sel_Category="All",G78=sel_Category),OR(sel_Product="All",H78=sel_Product),AND(S78&gt;=m_From,S78&lt;=m_To)),1,0)</f>
        <v/>
      </c>
      <c r="X78" s="36">
        <f>IF(AND(OR(sel_Region="All",C78=sel_Region),OR(sel_Country="All",D78=sel_Country),OR(sel_Channel="All",E78=sel_Channel),OR(sel_Category="All",G78=sel_Category),OR(sel_Product="All",H78=sel_Product),AND(S78&gt;=m_From,S78&lt;=m_To)),1,0)</f>
        <v/>
      </c>
      <c r="Y78" s="36">
        <f>IF(AND(OR(sel_Region="All",C78=sel_Region),OR(sel_Country="All",D78=sel_Country),OR(sel_Channel="All",E78=sel_Channel),OR(sel_Customer="All",F78=sel_Customer),OR(sel_Product="All",H78=sel_Product),AND(S78&gt;=m_From,S78&lt;=m_To)),1,0)</f>
        <v/>
      </c>
      <c r="Z78" s="36">
        <f>IF(AND(OR(sel_Region="All",C78=sel_Region),OR(sel_Country="All",D78=sel_Country),OR(sel_Channel="All",E78=sel_Channel),OR(sel_Customer="All",F78=sel_Customer),OR(sel_Category="All",G78=sel_Category),AND(S78&gt;=m_From,S78&lt;=m_To)),1,0)</f>
        <v/>
      </c>
      <c r="AA78" s="36">
        <f>IF(AND(OR(sel_Region="All",C78=sel_Region),OR(sel_Country="All",D78=sel_Country),OR(sel_Channel="All",E78=sel_Channel),OR(sel_Customer="All",F78=sel_Customer),OR(sel_Category="All",G78=sel_Category),OR(sel_Product="All",H78=sel_Product)),1,0)</f>
        <v/>
      </c>
    </row>
    <row r="79">
      <c r="A79" s="36" t="inlineStr">
        <is>
          <t>03171</t>
        </is>
      </c>
      <c r="B79" s="44" t="n">
        <v>46039</v>
      </c>
      <c r="C79" s="36" t="inlineStr">
        <is>
          <t>Southern Europe</t>
        </is>
      </c>
      <c r="D79" s="36" t="inlineStr">
        <is>
          <t>Italy</t>
        </is>
      </c>
      <c r="E79" s="36" t="inlineStr">
        <is>
          <t>Retail Partners</t>
        </is>
      </c>
      <c r="F79" s="36" t="inlineStr">
        <is>
          <t>Returning</t>
        </is>
      </c>
      <c r="G79" s="36" t="inlineStr">
        <is>
          <t>Cycling</t>
        </is>
      </c>
      <c r="H79" s="36" t="inlineStr">
        <is>
          <t>Trail Bike Light</t>
        </is>
      </c>
      <c r="I79" s="36" t="n">
        <v>1</v>
      </c>
      <c r="J79" s="39" t="n">
        <v>51.78</v>
      </c>
      <c r="K79" s="45" t="n">
        <v>0</v>
      </c>
      <c r="L79" s="39" t="n">
        <v>22.64</v>
      </c>
      <c r="M79" s="39">
        <f>I79*J79*(1-K79)</f>
        <v/>
      </c>
      <c r="N79" s="39">
        <f>I79*L79</f>
        <v/>
      </c>
      <c r="O79" s="39">
        <f>M79-N79</f>
        <v/>
      </c>
      <c r="P79" s="38">
        <f>IF(M79=0,0,O79/M79)</f>
        <v/>
      </c>
      <c r="Q79" s="36">
        <f>YEAR(B79)</f>
        <v/>
      </c>
      <c r="R79" s="36">
        <f>"Q"&amp;ROUNDUP(MONTH(B79)/3,0)</f>
        <v/>
      </c>
      <c r="S79" s="36">
        <f>MONTH(B79)</f>
        <v/>
      </c>
      <c r="T79" s="36">
        <f>TEXT(B79,"mmm")</f>
        <v/>
      </c>
      <c r="U79" s="36">
        <f>IF(AND(OR(sel_Region="All",C79=sel_Region),OR(sel_Country="All",D79=sel_Country),OR(sel_Channel="All",E79=sel_Channel),OR(sel_Customer="All",F79=sel_Customer),OR(sel_Category="All",G79=sel_Category),OR(sel_Product="All",H79=sel_Product),AND(S79&gt;=m_From,S79&lt;=m_To)),1,0)</f>
        <v/>
      </c>
      <c r="V79" s="36">
        <f>IF(AND(OR(sel_Region="All",C79=sel_Region),OR(sel_Channel="All",E79=sel_Channel),OR(sel_Customer="All",F79=sel_Customer),OR(sel_Category="All",G79=sel_Category),OR(sel_Product="All",H79=sel_Product),AND(S79&gt;=m_From,S79&lt;=m_To)),1,0)</f>
        <v/>
      </c>
      <c r="W79" s="36">
        <f>IF(AND(OR(sel_Region="All",C79=sel_Region),OR(sel_Country="All",D79=sel_Country),OR(sel_Customer="All",F79=sel_Customer),OR(sel_Category="All",G79=sel_Category),OR(sel_Product="All",H79=sel_Product),AND(S79&gt;=m_From,S79&lt;=m_To)),1,0)</f>
        <v/>
      </c>
      <c r="X79" s="36">
        <f>IF(AND(OR(sel_Region="All",C79=sel_Region),OR(sel_Country="All",D79=sel_Country),OR(sel_Channel="All",E79=sel_Channel),OR(sel_Category="All",G79=sel_Category),OR(sel_Product="All",H79=sel_Product),AND(S79&gt;=m_From,S79&lt;=m_To)),1,0)</f>
        <v/>
      </c>
      <c r="Y79" s="36">
        <f>IF(AND(OR(sel_Region="All",C79=sel_Region),OR(sel_Country="All",D79=sel_Country),OR(sel_Channel="All",E79=sel_Channel),OR(sel_Customer="All",F79=sel_Customer),OR(sel_Product="All",H79=sel_Product),AND(S79&gt;=m_From,S79&lt;=m_To)),1,0)</f>
        <v/>
      </c>
      <c r="Z79" s="36">
        <f>IF(AND(OR(sel_Region="All",C79=sel_Region),OR(sel_Country="All",D79=sel_Country),OR(sel_Channel="All",E79=sel_Channel),OR(sel_Customer="All",F79=sel_Customer),OR(sel_Category="All",G79=sel_Category),AND(S79&gt;=m_From,S79&lt;=m_To)),1,0)</f>
        <v/>
      </c>
      <c r="AA79" s="36">
        <f>IF(AND(OR(sel_Region="All",C79=sel_Region),OR(sel_Country="All",D79=sel_Country),OR(sel_Channel="All",E79=sel_Channel),OR(sel_Customer="All",F79=sel_Customer),OR(sel_Category="All",G79=sel_Category),OR(sel_Product="All",H79=sel_Product)),1,0)</f>
        <v/>
      </c>
    </row>
    <row r="80">
      <c r="A80" s="36" t="inlineStr">
        <is>
          <t>04277</t>
        </is>
      </c>
      <c r="B80" s="44" t="n">
        <v>46039</v>
      </c>
      <c r="C80" s="36" t="inlineStr">
        <is>
          <t>Central Europe</t>
        </is>
      </c>
      <c r="D80" s="36" t="inlineStr">
        <is>
          <t>Switzerland</t>
        </is>
      </c>
      <c r="E80" s="36" t="inlineStr">
        <is>
          <t>Retail Partners</t>
        </is>
      </c>
      <c r="F80" s="36" t="inlineStr">
        <is>
          <t>Returning</t>
        </is>
      </c>
      <c r="G80" s="36" t="inlineStr">
        <is>
          <t>Fitness</t>
        </is>
      </c>
      <c r="H80" s="36" t="inlineStr">
        <is>
          <t>Training Mat</t>
        </is>
      </c>
      <c r="I80" s="36" t="n">
        <v>1</v>
      </c>
      <c r="J80" s="39" t="n">
        <v>50.52</v>
      </c>
      <c r="K80" s="45" t="n">
        <v>0.05</v>
      </c>
      <c r="L80" s="39" t="n">
        <v>22.37</v>
      </c>
      <c r="M80" s="39">
        <f>I80*J80*(1-K80)</f>
        <v/>
      </c>
      <c r="N80" s="39">
        <f>I80*L80</f>
        <v/>
      </c>
      <c r="O80" s="39">
        <f>M80-N80</f>
        <v/>
      </c>
      <c r="P80" s="38">
        <f>IF(M80=0,0,O80/M80)</f>
        <v/>
      </c>
      <c r="Q80" s="36">
        <f>YEAR(B80)</f>
        <v/>
      </c>
      <c r="R80" s="36">
        <f>"Q"&amp;ROUNDUP(MONTH(B80)/3,0)</f>
        <v/>
      </c>
      <c r="S80" s="36">
        <f>MONTH(B80)</f>
        <v/>
      </c>
      <c r="T80" s="36">
        <f>TEXT(B80,"mmm")</f>
        <v/>
      </c>
      <c r="U80" s="36">
        <f>IF(AND(OR(sel_Region="All",C80=sel_Region),OR(sel_Country="All",D80=sel_Country),OR(sel_Channel="All",E80=sel_Channel),OR(sel_Customer="All",F80=sel_Customer),OR(sel_Category="All",G80=sel_Category),OR(sel_Product="All",H80=sel_Product),AND(S80&gt;=m_From,S80&lt;=m_To)),1,0)</f>
        <v/>
      </c>
      <c r="V80" s="36">
        <f>IF(AND(OR(sel_Region="All",C80=sel_Region),OR(sel_Channel="All",E80=sel_Channel),OR(sel_Customer="All",F80=sel_Customer),OR(sel_Category="All",G80=sel_Category),OR(sel_Product="All",H80=sel_Product),AND(S80&gt;=m_From,S80&lt;=m_To)),1,0)</f>
        <v/>
      </c>
      <c r="W80" s="36">
        <f>IF(AND(OR(sel_Region="All",C80=sel_Region),OR(sel_Country="All",D80=sel_Country),OR(sel_Customer="All",F80=sel_Customer),OR(sel_Category="All",G80=sel_Category),OR(sel_Product="All",H80=sel_Product),AND(S80&gt;=m_From,S80&lt;=m_To)),1,0)</f>
        <v/>
      </c>
      <c r="X80" s="36">
        <f>IF(AND(OR(sel_Region="All",C80=sel_Region),OR(sel_Country="All",D80=sel_Country),OR(sel_Channel="All",E80=sel_Channel),OR(sel_Category="All",G80=sel_Category),OR(sel_Product="All",H80=sel_Product),AND(S80&gt;=m_From,S80&lt;=m_To)),1,0)</f>
        <v/>
      </c>
      <c r="Y80" s="36">
        <f>IF(AND(OR(sel_Region="All",C80=sel_Region),OR(sel_Country="All",D80=sel_Country),OR(sel_Channel="All",E80=sel_Channel),OR(sel_Customer="All",F80=sel_Customer),OR(sel_Product="All",H80=sel_Product),AND(S80&gt;=m_From,S80&lt;=m_To)),1,0)</f>
        <v/>
      </c>
      <c r="Z80" s="36">
        <f>IF(AND(OR(sel_Region="All",C80=sel_Region),OR(sel_Country="All",D80=sel_Country),OR(sel_Channel="All",E80=sel_Channel),OR(sel_Customer="All",F80=sel_Customer),OR(sel_Category="All",G80=sel_Category),AND(S80&gt;=m_From,S80&lt;=m_To)),1,0)</f>
        <v/>
      </c>
      <c r="AA80" s="36">
        <f>IF(AND(OR(sel_Region="All",C80=sel_Region),OR(sel_Country="All",D80=sel_Country),OR(sel_Channel="All",E80=sel_Channel),OR(sel_Customer="All",F80=sel_Customer),OR(sel_Category="All",G80=sel_Category),OR(sel_Product="All",H80=sel_Product)),1,0)</f>
        <v/>
      </c>
    </row>
    <row r="81">
      <c r="A81" s="36" t="inlineStr">
        <is>
          <t>04648</t>
        </is>
      </c>
      <c r="B81" s="44" t="n">
        <v>46039</v>
      </c>
      <c r="C81" s="36" t="inlineStr">
        <is>
          <t>Central Europe</t>
        </is>
      </c>
      <c r="D81" s="36" t="inlineStr">
        <is>
          <t>Poland</t>
        </is>
      </c>
      <c r="E81" s="36" t="inlineStr">
        <is>
          <t>Marketplace</t>
        </is>
      </c>
      <c r="F81" s="36" t="inlineStr">
        <is>
          <t>New</t>
        </is>
      </c>
      <c r="G81" s="36" t="inlineStr">
        <is>
          <t>Camping</t>
        </is>
      </c>
      <c r="H81" s="36" t="inlineStr">
        <is>
          <t>Trail Tent 2P</t>
        </is>
      </c>
      <c r="I81" s="36" t="n">
        <v>1</v>
      </c>
      <c r="J81" s="39" t="n">
        <v>199.02</v>
      </c>
      <c r="K81" s="45" t="n">
        <v>0</v>
      </c>
      <c r="L81" s="39" t="n">
        <v>106.49</v>
      </c>
      <c r="M81" s="39">
        <f>I81*J81*(1-K81)</f>
        <v/>
      </c>
      <c r="N81" s="39">
        <f>I81*L81</f>
        <v/>
      </c>
      <c r="O81" s="39">
        <f>M81-N81</f>
        <v/>
      </c>
      <c r="P81" s="38">
        <f>IF(M81=0,0,O81/M81)</f>
        <v/>
      </c>
      <c r="Q81" s="36">
        <f>YEAR(B81)</f>
        <v/>
      </c>
      <c r="R81" s="36">
        <f>"Q"&amp;ROUNDUP(MONTH(B81)/3,0)</f>
        <v/>
      </c>
      <c r="S81" s="36">
        <f>MONTH(B81)</f>
        <v/>
      </c>
      <c r="T81" s="36">
        <f>TEXT(B81,"mmm")</f>
        <v/>
      </c>
      <c r="U81" s="36">
        <f>IF(AND(OR(sel_Region="All",C81=sel_Region),OR(sel_Country="All",D81=sel_Country),OR(sel_Channel="All",E81=sel_Channel),OR(sel_Customer="All",F81=sel_Customer),OR(sel_Category="All",G81=sel_Category),OR(sel_Product="All",H81=sel_Product),AND(S81&gt;=m_From,S81&lt;=m_To)),1,0)</f>
        <v/>
      </c>
      <c r="V81" s="36">
        <f>IF(AND(OR(sel_Region="All",C81=sel_Region),OR(sel_Channel="All",E81=sel_Channel),OR(sel_Customer="All",F81=sel_Customer),OR(sel_Category="All",G81=sel_Category),OR(sel_Product="All",H81=sel_Product),AND(S81&gt;=m_From,S81&lt;=m_To)),1,0)</f>
        <v/>
      </c>
      <c r="W81" s="36">
        <f>IF(AND(OR(sel_Region="All",C81=sel_Region),OR(sel_Country="All",D81=sel_Country),OR(sel_Customer="All",F81=sel_Customer),OR(sel_Category="All",G81=sel_Category),OR(sel_Product="All",H81=sel_Product),AND(S81&gt;=m_From,S81&lt;=m_To)),1,0)</f>
        <v/>
      </c>
      <c r="X81" s="36">
        <f>IF(AND(OR(sel_Region="All",C81=sel_Region),OR(sel_Country="All",D81=sel_Country),OR(sel_Channel="All",E81=sel_Channel),OR(sel_Category="All",G81=sel_Category),OR(sel_Product="All",H81=sel_Product),AND(S81&gt;=m_From,S81&lt;=m_To)),1,0)</f>
        <v/>
      </c>
      <c r="Y81" s="36">
        <f>IF(AND(OR(sel_Region="All",C81=sel_Region),OR(sel_Country="All",D81=sel_Country),OR(sel_Channel="All",E81=sel_Channel),OR(sel_Customer="All",F81=sel_Customer),OR(sel_Product="All",H81=sel_Product),AND(S81&gt;=m_From,S81&lt;=m_To)),1,0)</f>
        <v/>
      </c>
      <c r="Z81" s="36">
        <f>IF(AND(OR(sel_Region="All",C81=sel_Region),OR(sel_Country="All",D81=sel_Country),OR(sel_Channel="All",E81=sel_Channel),OR(sel_Customer="All",F81=sel_Customer),OR(sel_Category="All",G81=sel_Category),AND(S81&gt;=m_From,S81&lt;=m_To)),1,0)</f>
        <v/>
      </c>
      <c r="AA81" s="36">
        <f>IF(AND(OR(sel_Region="All",C81=sel_Region),OR(sel_Country="All",D81=sel_Country),OR(sel_Channel="All",E81=sel_Channel),OR(sel_Customer="All",F81=sel_Customer),OR(sel_Category="All",G81=sel_Category),OR(sel_Product="All",H81=sel_Product)),1,0)</f>
        <v/>
      </c>
    </row>
    <row r="82">
      <c r="A82" s="36" t="inlineStr">
        <is>
          <t>00157</t>
        </is>
      </c>
      <c r="B82" s="44" t="n">
        <v>46040</v>
      </c>
      <c r="C82" s="36" t="inlineStr">
        <is>
          <t>Western Europe</t>
        </is>
      </c>
      <c r="D82" s="36" t="inlineStr">
        <is>
          <t>United Kingdom</t>
        </is>
      </c>
      <c r="E82" s="36" t="inlineStr">
        <is>
          <t>Retail Partners</t>
        </is>
      </c>
      <c r="F82" s="36" t="inlineStr">
        <is>
          <t>Returning</t>
        </is>
      </c>
      <c r="G82" s="36" t="inlineStr">
        <is>
          <t>Camping</t>
        </is>
      </c>
      <c r="H82" s="36" t="inlineStr">
        <is>
          <t>Portable Camp Stove</t>
        </is>
      </c>
      <c r="I82" s="36" t="n">
        <v>3</v>
      </c>
      <c r="J82" s="39" t="n">
        <v>80.27</v>
      </c>
      <c r="K82" s="45" t="n">
        <v>0.1</v>
      </c>
      <c r="L82" s="39" t="n">
        <v>39.26</v>
      </c>
      <c r="M82" s="39">
        <f>I82*J82*(1-K82)</f>
        <v/>
      </c>
      <c r="N82" s="39">
        <f>I82*L82</f>
        <v/>
      </c>
      <c r="O82" s="39">
        <f>M82-N82</f>
        <v/>
      </c>
      <c r="P82" s="38">
        <f>IF(M82=0,0,O82/M82)</f>
        <v/>
      </c>
      <c r="Q82" s="36">
        <f>YEAR(B82)</f>
        <v/>
      </c>
      <c r="R82" s="36">
        <f>"Q"&amp;ROUNDUP(MONTH(B82)/3,0)</f>
        <v/>
      </c>
      <c r="S82" s="36">
        <f>MONTH(B82)</f>
        <v/>
      </c>
      <c r="T82" s="36">
        <f>TEXT(B82,"mmm")</f>
        <v/>
      </c>
      <c r="U82" s="36">
        <f>IF(AND(OR(sel_Region="All",C82=sel_Region),OR(sel_Country="All",D82=sel_Country),OR(sel_Channel="All",E82=sel_Channel),OR(sel_Customer="All",F82=sel_Customer),OR(sel_Category="All",G82=sel_Category),OR(sel_Product="All",H82=sel_Product),AND(S82&gt;=m_From,S82&lt;=m_To)),1,0)</f>
        <v/>
      </c>
      <c r="V82" s="36">
        <f>IF(AND(OR(sel_Region="All",C82=sel_Region),OR(sel_Channel="All",E82=sel_Channel),OR(sel_Customer="All",F82=sel_Customer),OR(sel_Category="All",G82=sel_Category),OR(sel_Product="All",H82=sel_Product),AND(S82&gt;=m_From,S82&lt;=m_To)),1,0)</f>
        <v/>
      </c>
      <c r="W82" s="36">
        <f>IF(AND(OR(sel_Region="All",C82=sel_Region),OR(sel_Country="All",D82=sel_Country),OR(sel_Customer="All",F82=sel_Customer),OR(sel_Category="All",G82=sel_Category),OR(sel_Product="All",H82=sel_Product),AND(S82&gt;=m_From,S82&lt;=m_To)),1,0)</f>
        <v/>
      </c>
      <c r="X82" s="36">
        <f>IF(AND(OR(sel_Region="All",C82=sel_Region),OR(sel_Country="All",D82=sel_Country),OR(sel_Channel="All",E82=sel_Channel),OR(sel_Category="All",G82=sel_Category),OR(sel_Product="All",H82=sel_Product),AND(S82&gt;=m_From,S82&lt;=m_To)),1,0)</f>
        <v/>
      </c>
      <c r="Y82" s="36">
        <f>IF(AND(OR(sel_Region="All",C82=sel_Region),OR(sel_Country="All",D82=sel_Country),OR(sel_Channel="All",E82=sel_Channel),OR(sel_Customer="All",F82=sel_Customer),OR(sel_Product="All",H82=sel_Product),AND(S82&gt;=m_From,S82&lt;=m_To)),1,0)</f>
        <v/>
      </c>
      <c r="Z82" s="36">
        <f>IF(AND(OR(sel_Region="All",C82=sel_Region),OR(sel_Country="All",D82=sel_Country),OR(sel_Channel="All",E82=sel_Channel),OR(sel_Customer="All",F82=sel_Customer),OR(sel_Category="All",G82=sel_Category),AND(S82&gt;=m_From,S82&lt;=m_To)),1,0)</f>
        <v/>
      </c>
      <c r="AA82" s="36">
        <f>IF(AND(OR(sel_Region="All",C82=sel_Region),OR(sel_Country="All",D82=sel_Country),OR(sel_Channel="All",E82=sel_Channel),OR(sel_Customer="All",F82=sel_Customer),OR(sel_Category="All",G82=sel_Category),OR(sel_Product="All",H82=sel_Product)),1,0)</f>
        <v/>
      </c>
    </row>
    <row r="83">
      <c r="A83" s="36" t="inlineStr">
        <is>
          <t>02271</t>
        </is>
      </c>
      <c r="B83" s="44" t="n">
        <v>46040</v>
      </c>
      <c r="C83" s="36" t="inlineStr">
        <is>
          <t>Central Europe</t>
        </is>
      </c>
      <c r="D83" s="36" t="inlineStr">
        <is>
          <t>Czechia</t>
        </is>
      </c>
      <c r="E83" s="36" t="inlineStr">
        <is>
          <t>Retail Partners</t>
        </is>
      </c>
      <c r="F83" s="36" t="inlineStr">
        <is>
          <t>New</t>
        </is>
      </c>
      <c r="G83" s="36" t="inlineStr">
        <is>
          <t>Camping</t>
        </is>
      </c>
      <c r="H83" s="36" t="inlineStr">
        <is>
          <t>Alpine Tent 4P</t>
        </is>
      </c>
      <c r="I83" s="36" t="n">
        <v>4</v>
      </c>
      <c r="J83" s="39" t="n">
        <v>333.28</v>
      </c>
      <c r="K83" s="45" t="n">
        <v>0</v>
      </c>
      <c r="L83" s="39" t="n">
        <v>195.76</v>
      </c>
      <c r="M83" s="39">
        <f>I83*J83*(1-K83)</f>
        <v/>
      </c>
      <c r="N83" s="39">
        <f>I83*L83</f>
        <v/>
      </c>
      <c r="O83" s="39">
        <f>M83-N83</f>
        <v/>
      </c>
      <c r="P83" s="38">
        <f>IF(M83=0,0,O83/M83)</f>
        <v/>
      </c>
      <c r="Q83" s="36">
        <f>YEAR(B83)</f>
        <v/>
      </c>
      <c r="R83" s="36">
        <f>"Q"&amp;ROUNDUP(MONTH(B83)/3,0)</f>
        <v/>
      </c>
      <c r="S83" s="36">
        <f>MONTH(B83)</f>
        <v/>
      </c>
      <c r="T83" s="36">
        <f>TEXT(B83,"mmm")</f>
        <v/>
      </c>
      <c r="U83" s="36">
        <f>IF(AND(OR(sel_Region="All",C83=sel_Region),OR(sel_Country="All",D83=sel_Country),OR(sel_Channel="All",E83=sel_Channel),OR(sel_Customer="All",F83=sel_Customer),OR(sel_Category="All",G83=sel_Category),OR(sel_Product="All",H83=sel_Product),AND(S83&gt;=m_From,S83&lt;=m_To)),1,0)</f>
        <v/>
      </c>
      <c r="V83" s="36">
        <f>IF(AND(OR(sel_Region="All",C83=sel_Region),OR(sel_Channel="All",E83=sel_Channel),OR(sel_Customer="All",F83=sel_Customer),OR(sel_Category="All",G83=sel_Category),OR(sel_Product="All",H83=sel_Product),AND(S83&gt;=m_From,S83&lt;=m_To)),1,0)</f>
        <v/>
      </c>
      <c r="W83" s="36">
        <f>IF(AND(OR(sel_Region="All",C83=sel_Region),OR(sel_Country="All",D83=sel_Country),OR(sel_Customer="All",F83=sel_Customer),OR(sel_Category="All",G83=sel_Category),OR(sel_Product="All",H83=sel_Product),AND(S83&gt;=m_From,S83&lt;=m_To)),1,0)</f>
        <v/>
      </c>
      <c r="X83" s="36">
        <f>IF(AND(OR(sel_Region="All",C83=sel_Region),OR(sel_Country="All",D83=sel_Country),OR(sel_Channel="All",E83=sel_Channel),OR(sel_Category="All",G83=sel_Category),OR(sel_Product="All",H83=sel_Product),AND(S83&gt;=m_From,S83&lt;=m_To)),1,0)</f>
        <v/>
      </c>
      <c r="Y83" s="36">
        <f>IF(AND(OR(sel_Region="All",C83=sel_Region),OR(sel_Country="All",D83=sel_Country),OR(sel_Channel="All",E83=sel_Channel),OR(sel_Customer="All",F83=sel_Customer),OR(sel_Product="All",H83=sel_Product),AND(S83&gt;=m_From,S83&lt;=m_To)),1,0)</f>
        <v/>
      </c>
      <c r="Z83" s="36">
        <f>IF(AND(OR(sel_Region="All",C83=sel_Region),OR(sel_Country="All",D83=sel_Country),OR(sel_Channel="All",E83=sel_Channel),OR(sel_Customer="All",F83=sel_Customer),OR(sel_Category="All",G83=sel_Category),AND(S83&gt;=m_From,S83&lt;=m_To)),1,0)</f>
        <v/>
      </c>
      <c r="AA83" s="36">
        <f>IF(AND(OR(sel_Region="All",C83=sel_Region),OR(sel_Country="All",D83=sel_Country),OR(sel_Channel="All",E83=sel_Channel),OR(sel_Customer="All",F83=sel_Customer),OR(sel_Category="All",G83=sel_Category),OR(sel_Product="All",H83=sel_Product)),1,0)</f>
        <v/>
      </c>
    </row>
    <row r="84">
      <c r="A84" s="36" t="inlineStr">
        <is>
          <t>03330</t>
        </is>
      </c>
      <c r="B84" s="44" t="n">
        <v>46040</v>
      </c>
      <c r="C84" s="36" t="inlineStr">
        <is>
          <t>Western Europe</t>
        </is>
      </c>
      <c r="D84" s="36" t="inlineStr">
        <is>
          <t>France</t>
        </is>
      </c>
      <c r="E84" s="36" t="inlineStr">
        <is>
          <t>Marketplace</t>
        </is>
      </c>
      <c r="F84" s="36" t="inlineStr">
        <is>
          <t>New</t>
        </is>
      </c>
      <c r="G84" s="36" t="inlineStr">
        <is>
          <t>Cycling</t>
        </is>
      </c>
      <c r="H84" s="36" t="inlineStr">
        <is>
          <t>Cycling Pack 12L</t>
        </is>
      </c>
      <c r="I84" s="36" t="n">
        <v>1</v>
      </c>
      <c r="J84" s="39" t="n">
        <v>104.36</v>
      </c>
      <c r="K84" s="45" t="n">
        <v>0</v>
      </c>
      <c r="L84" s="39" t="n">
        <v>51.63</v>
      </c>
      <c r="M84" s="39">
        <f>I84*J84*(1-K84)</f>
        <v/>
      </c>
      <c r="N84" s="39">
        <f>I84*L84</f>
        <v/>
      </c>
      <c r="O84" s="39">
        <f>M84-N84</f>
        <v/>
      </c>
      <c r="P84" s="38">
        <f>IF(M84=0,0,O84/M84)</f>
        <v/>
      </c>
      <c r="Q84" s="36">
        <f>YEAR(B84)</f>
        <v/>
      </c>
      <c r="R84" s="36">
        <f>"Q"&amp;ROUNDUP(MONTH(B84)/3,0)</f>
        <v/>
      </c>
      <c r="S84" s="36">
        <f>MONTH(B84)</f>
        <v/>
      </c>
      <c r="T84" s="36">
        <f>TEXT(B84,"mmm")</f>
        <v/>
      </c>
      <c r="U84" s="36">
        <f>IF(AND(OR(sel_Region="All",C84=sel_Region),OR(sel_Country="All",D84=sel_Country),OR(sel_Channel="All",E84=sel_Channel),OR(sel_Customer="All",F84=sel_Customer),OR(sel_Category="All",G84=sel_Category),OR(sel_Product="All",H84=sel_Product),AND(S84&gt;=m_From,S84&lt;=m_To)),1,0)</f>
        <v/>
      </c>
      <c r="V84" s="36">
        <f>IF(AND(OR(sel_Region="All",C84=sel_Region),OR(sel_Channel="All",E84=sel_Channel),OR(sel_Customer="All",F84=sel_Customer),OR(sel_Category="All",G84=sel_Category),OR(sel_Product="All",H84=sel_Product),AND(S84&gt;=m_From,S84&lt;=m_To)),1,0)</f>
        <v/>
      </c>
      <c r="W84" s="36">
        <f>IF(AND(OR(sel_Region="All",C84=sel_Region),OR(sel_Country="All",D84=sel_Country),OR(sel_Customer="All",F84=sel_Customer),OR(sel_Category="All",G84=sel_Category),OR(sel_Product="All",H84=sel_Product),AND(S84&gt;=m_From,S84&lt;=m_To)),1,0)</f>
        <v/>
      </c>
      <c r="X84" s="36">
        <f>IF(AND(OR(sel_Region="All",C84=sel_Region),OR(sel_Country="All",D84=sel_Country),OR(sel_Channel="All",E84=sel_Channel),OR(sel_Category="All",G84=sel_Category),OR(sel_Product="All",H84=sel_Product),AND(S84&gt;=m_From,S84&lt;=m_To)),1,0)</f>
        <v/>
      </c>
      <c r="Y84" s="36">
        <f>IF(AND(OR(sel_Region="All",C84=sel_Region),OR(sel_Country="All",D84=sel_Country),OR(sel_Channel="All",E84=sel_Channel),OR(sel_Customer="All",F84=sel_Customer),OR(sel_Product="All",H84=sel_Product),AND(S84&gt;=m_From,S84&lt;=m_To)),1,0)</f>
        <v/>
      </c>
      <c r="Z84" s="36">
        <f>IF(AND(OR(sel_Region="All",C84=sel_Region),OR(sel_Country="All",D84=sel_Country),OR(sel_Channel="All",E84=sel_Channel),OR(sel_Customer="All",F84=sel_Customer),OR(sel_Category="All",G84=sel_Category),AND(S84&gt;=m_From,S84&lt;=m_To)),1,0)</f>
        <v/>
      </c>
      <c r="AA84" s="36">
        <f>IF(AND(OR(sel_Region="All",C84=sel_Region),OR(sel_Country="All",D84=sel_Country),OR(sel_Channel="All",E84=sel_Channel),OR(sel_Customer="All",F84=sel_Customer),OR(sel_Category="All",G84=sel_Category),OR(sel_Product="All",H84=sel_Product)),1,0)</f>
        <v/>
      </c>
    </row>
    <row r="85">
      <c r="A85" s="36" t="inlineStr">
        <is>
          <t>04547</t>
        </is>
      </c>
      <c r="B85" s="44" t="n">
        <v>46040</v>
      </c>
      <c r="C85" s="36" t="inlineStr">
        <is>
          <t>Northern Europe</t>
        </is>
      </c>
      <c r="D85" s="36" t="inlineStr">
        <is>
          <t>Denmark</t>
        </is>
      </c>
      <c r="E85" s="36" t="inlineStr">
        <is>
          <t>Marketplace</t>
        </is>
      </c>
      <c r="F85" s="36" t="inlineStr">
        <is>
          <t>New</t>
        </is>
      </c>
      <c r="G85" s="36" t="inlineStr">
        <is>
          <t>Cycling</t>
        </is>
      </c>
      <c r="H85" s="36" t="inlineStr">
        <is>
          <t>Commuter Helmet</t>
        </is>
      </c>
      <c r="I85" s="36" t="n">
        <v>1</v>
      </c>
      <c r="J85" s="39" t="n">
        <v>83.52</v>
      </c>
      <c r="K85" s="45" t="n">
        <v>0.05</v>
      </c>
      <c r="L85" s="39" t="n">
        <v>42.97</v>
      </c>
      <c r="M85" s="39">
        <f>I85*J85*(1-K85)</f>
        <v/>
      </c>
      <c r="N85" s="39">
        <f>I85*L85</f>
        <v/>
      </c>
      <c r="O85" s="39">
        <f>M85-N85</f>
        <v/>
      </c>
      <c r="P85" s="38">
        <f>IF(M85=0,0,O85/M85)</f>
        <v/>
      </c>
      <c r="Q85" s="36">
        <f>YEAR(B85)</f>
        <v/>
      </c>
      <c r="R85" s="36">
        <f>"Q"&amp;ROUNDUP(MONTH(B85)/3,0)</f>
        <v/>
      </c>
      <c r="S85" s="36">
        <f>MONTH(B85)</f>
        <v/>
      </c>
      <c r="T85" s="36">
        <f>TEXT(B85,"mmm")</f>
        <v/>
      </c>
      <c r="U85" s="36">
        <f>IF(AND(OR(sel_Region="All",C85=sel_Region),OR(sel_Country="All",D85=sel_Country),OR(sel_Channel="All",E85=sel_Channel),OR(sel_Customer="All",F85=sel_Customer),OR(sel_Category="All",G85=sel_Category),OR(sel_Product="All",H85=sel_Product),AND(S85&gt;=m_From,S85&lt;=m_To)),1,0)</f>
        <v/>
      </c>
      <c r="V85" s="36">
        <f>IF(AND(OR(sel_Region="All",C85=sel_Region),OR(sel_Channel="All",E85=sel_Channel),OR(sel_Customer="All",F85=sel_Customer),OR(sel_Category="All",G85=sel_Category),OR(sel_Product="All",H85=sel_Product),AND(S85&gt;=m_From,S85&lt;=m_To)),1,0)</f>
        <v/>
      </c>
      <c r="W85" s="36">
        <f>IF(AND(OR(sel_Region="All",C85=sel_Region),OR(sel_Country="All",D85=sel_Country),OR(sel_Customer="All",F85=sel_Customer),OR(sel_Category="All",G85=sel_Category),OR(sel_Product="All",H85=sel_Product),AND(S85&gt;=m_From,S85&lt;=m_To)),1,0)</f>
        <v/>
      </c>
      <c r="X85" s="36">
        <f>IF(AND(OR(sel_Region="All",C85=sel_Region),OR(sel_Country="All",D85=sel_Country),OR(sel_Channel="All",E85=sel_Channel),OR(sel_Category="All",G85=sel_Category),OR(sel_Product="All",H85=sel_Product),AND(S85&gt;=m_From,S85&lt;=m_To)),1,0)</f>
        <v/>
      </c>
      <c r="Y85" s="36">
        <f>IF(AND(OR(sel_Region="All",C85=sel_Region),OR(sel_Country="All",D85=sel_Country),OR(sel_Channel="All",E85=sel_Channel),OR(sel_Customer="All",F85=sel_Customer),OR(sel_Product="All",H85=sel_Product),AND(S85&gt;=m_From,S85&lt;=m_To)),1,0)</f>
        <v/>
      </c>
      <c r="Z85" s="36">
        <f>IF(AND(OR(sel_Region="All",C85=sel_Region),OR(sel_Country="All",D85=sel_Country),OR(sel_Channel="All",E85=sel_Channel),OR(sel_Customer="All",F85=sel_Customer),OR(sel_Category="All",G85=sel_Category),AND(S85&gt;=m_From,S85&lt;=m_To)),1,0)</f>
        <v/>
      </c>
      <c r="AA85" s="36">
        <f>IF(AND(OR(sel_Region="All",C85=sel_Region),OR(sel_Country="All",D85=sel_Country),OR(sel_Channel="All",E85=sel_Channel),OR(sel_Customer="All",F85=sel_Customer),OR(sel_Category="All",G85=sel_Category),OR(sel_Product="All",H85=sel_Product)),1,0)</f>
        <v/>
      </c>
    </row>
    <row r="86">
      <c r="A86" s="36" t="inlineStr">
        <is>
          <t>01840</t>
        </is>
      </c>
      <c r="B86" s="44" t="n">
        <v>46041</v>
      </c>
      <c r="C86" s="36" t="inlineStr">
        <is>
          <t>Northern Europe</t>
        </is>
      </c>
      <c r="D86" s="36" t="inlineStr">
        <is>
          <t>Finland</t>
        </is>
      </c>
      <c r="E86" s="36" t="inlineStr">
        <is>
          <t>Online Store</t>
        </is>
      </c>
      <c r="F86" s="36" t="inlineStr">
        <is>
          <t>New</t>
        </is>
      </c>
      <c r="G86" s="36" t="inlineStr">
        <is>
          <t>Fitness</t>
        </is>
      </c>
      <c r="H86" s="36" t="inlineStr">
        <is>
          <t>Weighted Vest</t>
        </is>
      </c>
      <c r="I86" s="36" t="n">
        <v>2</v>
      </c>
      <c r="J86" s="39" t="n">
        <v>125.93</v>
      </c>
      <c r="K86" s="45" t="n">
        <v>0</v>
      </c>
      <c r="L86" s="39" t="n">
        <v>69.15000000000001</v>
      </c>
      <c r="M86" s="39">
        <f>I86*J86*(1-K86)</f>
        <v/>
      </c>
      <c r="N86" s="39">
        <f>I86*L86</f>
        <v/>
      </c>
      <c r="O86" s="39">
        <f>M86-N86</f>
        <v/>
      </c>
      <c r="P86" s="38">
        <f>IF(M86=0,0,O86/M86)</f>
        <v/>
      </c>
      <c r="Q86" s="36">
        <f>YEAR(B86)</f>
        <v/>
      </c>
      <c r="R86" s="36">
        <f>"Q"&amp;ROUNDUP(MONTH(B86)/3,0)</f>
        <v/>
      </c>
      <c r="S86" s="36">
        <f>MONTH(B86)</f>
        <v/>
      </c>
      <c r="T86" s="36">
        <f>TEXT(B86,"mmm")</f>
        <v/>
      </c>
      <c r="U86" s="36">
        <f>IF(AND(OR(sel_Region="All",C86=sel_Region),OR(sel_Country="All",D86=sel_Country),OR(sel_Channel="All",E86=sel_Channel),OR(sel_Customer="All",F86=sel_Customer),OR(sel_Category="All",G86=sel_Category),OR(sel_Product="All",H86=sel_Product),AND(S86&gt;=m_From,S86&lt;=m_To)),1,0)</f>
        <v/>
      </c>
      <c r="V86" s="36">
        <f>IF(AND(OR(sel_Region="All",C86=sel_Region),OR(sel_Channel="All",E86=sel_Channel),OR(sel_Customer="All",F86=sel_Customer),OR(sel_Category="All",G86=sel_Category),OR(sel_Product="All",H86=sel_Product),AND(S86&gt;=m_From,S86&lt;=m_To)),1,0)</f>
        <v/>
      </c>
      <c r="W86" s="36">
        <f>IF(AND(OR(sel_Region="All",C86=sel_Region),OR(sel_Country="All",D86=sel_Country),OR(sel_Customer="All",F86=sel_Customer),OR(sel_Category="All",G86=sel_Category),OR(sel_Product="All",H86=sel_Product),AND(S86&gt;=m_From,S86&lt;=m_To)),1,0)</f>
        <v/>
      </c>
      <c r="X86" s="36">
        <f>IF(AND(OR(sel_Region="All",C86=sel_Region),OR(sel_Country="All",D86=sel_Country),OR(sel_Channel="All",E86=sel_Channel),OR(sel_Category="All",G86=sel_Category),OR(sel_Product="All",H86=sel_Product),AND(S86&gt;=m_From,S86&lt;=m_To)),1,0)</f>
        <v/>
      </c>
      <c r="Y86" s="36">
        <f>IF(AND(OR(sel_Region="All",C86=sel_Region),OR(sel_Country="All",D86=sel_Country),OR(sel_Channel="All",E86=sel_Channel),OR(sel_Customer="All",F86=sel_Customer),OR(sel_Product="All",H86=sel_Product),AND(S86&gt;=m_From,S86&lt;=m_To)),1,0)</f>
        <v/>
      </c>
      <c r="Z86" s="36">
        <f>IF(AND(OR(sel_Region="All",C86=sel_Region),OR(sel_Country="All",D86=sel_Country),OR(sel_Channel="All",E86=sel_Channel),OR(sel_Customer="All",F86=sel_Customer),OR(sel_Category="All",G86=sel_Category),AND(S86&gt;=m_From,S86&lt;=m_To)),1,0)</f>
        <v/>
      </c>
      <c r="AA86" s="36">
        <f>IF(AND(OR(sel_Region="All",C86=sel_Region),OR(sel_Country="All",D86=sel_Country),OR(sel_Channel="All",E86=sel_Channel),OR(sel_Customer="All",F86=sel_Customer),OR(sel_Category="All",G86=sel_Category),OR(sel_Product="All",H86=sel_Product)),1,0)</f>
        <v/>
      </c>
    </row>
    <row r="87">
      <c r="A87" s="36" t="inlineStr">
        <is>
          <t>01850</t>
        </is>
      </c>
      <c r="B87" s="44" t="n">
        <v>46041</v>
      </c>
      <c r="C87" s="36" t="inlineStr">
        <is>
          <t>Central Europe</t>
        </is>
      </c>
      <c r="D87" s="36" t="inlineStr">
        <is>
          <t>Austria</t>
        </is>
      </c>
      <c r="E87" s="36" t="inlineStr">
        <is>
          <t>Online Store</t>
        </is>
      </c>
      <c r="F87" s="36" t="inlineStr">
        <is>
          <t>Business</t>
        </is>
      </c>
      <c r="G87" s="36" t="inlineStr">
        <is>
          <t>Cycling</t>
        </is>
      </c>
      <c r="H87" s="36" t="inlineStr">
        <is>
          <t>Trail Bike Light</t>
        </is>
      </c>
      <c r="I87" s="36" t="n">
        <v>1</v>
      </c>
      <c r="J87" s="39" t="n">
        <v>49.85</v>
      </c>
      <c r="K87" s="45" t="n">
        <v>0</v>
      </c>
      <c r="L87" s="39" t="n">
        <v>23.07</v>
      </c>
      <c r="M87" s="39">
        <f>I87*J87*(1-K87)</f>
        <v/>
      </c>
      <c r="N87" s="39">
        <f>I87*L87</f>
        <v/>
      </c>
      <c r="O87" s="39">
        <f>M87-N87</f>
        <v/>
      </c>
      <c r="P87" s="38">
        <f>IF(M87=0,0,O87/M87)</f>
        <v/>
      </c>
      <c r="Q87" s="36">
        <f>YEAR(B87)</f>
        <v/>
      </c>
      <c r="R87" s="36">
        <f>"Q"&amp;ROUNDUP(MONTH(B87)/3,0)</f>
        <v/>
      </c>
      <c r="S87" s="36">
        <f>MONTH(B87)</f>
        <v/>
      </c>
      <c r="T87" s="36">
        <f>TEXT(B87,"mmm")</f>
        <v/>
      </c>
      <c r="U87" s="36">
        <f>IF(AND(OR(sel_Region="All",C87=sel_Region),OR(sel_Country="All",D87=sel_Country),OR(sel_Channel="All",E87=sel_Channel),OR(sel_Customer="All",F87=sel_Customer),OR(sel_Category="All",G87=sel_Category),OR(sel_Product="All",H87=sel_Product),AND(S87&gt;=m_From,S87&lt;=m_To)),1,0)</f>
        <v/>
      </c>
      <c r="V87" s="36">
        <f>IF(AND(OR(sel_Region="All",C87=sel_Region),OR(sel_Channel="All",E87=sel_Channel),OR(sel_Customer="All",F87=sel_Customer),OR(sel_Category="All",G87=sel_Category),OR(sel_Product="All",H87=sel_Product),AND(S87&gt;=m_From,S87&lt;=m_To)),1,0)</f>
        <v/>
      </c>
      <c r="W87" s="36">
        <f>IF(AND(OR(sel_Region="All",C87=sel_Region),OR(sel_Country="All",D87=sel_Country),OR(sel_Customer="All",F87=sel_Customer),OR(sel_Category="All",G87=sel_Category),OR(sel_Product="All",H87=sel_Product),AND(S87&gt;=m_From,S87&lt;=m_To)),1,0)</f>
        <v/>
      </c>
      <c r="X87" s="36">
        <f>IF(AND(OR(sel_Region="All",C87=sel_Region),OR(sel_Country="All",D87=sel_Country),OR(sel_Channel="All",E87=sel_Channel),OR(sel_Category="All",G87=sel_Category),OR(sel_Product="All",H87=sel_Product),AND(S87&gt;=m_From,S87&lt;=m_To)),1,0)</f>
        <v/>
      </c>
      <c r="Y87" s="36">
        <f>IF(AND(OR(sel_Region="All",C87=sel_Region),OR(sel_Country="All",D87=sel_Country),OR(sel_Channel="All",E87=sel_Channel),OR(sel_Customer="All",F87=sel_Customer),OR(sel_Product="All",H87=sel_Product),AND(S87&gt;=m_From,S87&lt;=m_To)),1,0)</f>
        <v/>
      </c>
      <c r="Z87" s="36">
        <f>IF(AND(OR(sel_Region="All",C87=sel_Region),OR(sel_Country="All",D87=sel_Country),OR(sel_Channel="All",E87=sel_Channel),OR(sel_Customer="All",F87=sel_Customer),OR(sel_Category="All",G87=sel_Category),AND(S87&gt;=m_From,S87&lt;=m_To)),1,0)</f>
        <v/>
      </c>
      <c r="AA87" s="36">
        <f>IF(AND(OR(sel_Region="All",C87=sel_Region),OR(sel_Country="All",D87=sel_Country),OR(sel_Channel="All",E87=sel_Channel),OR(sel_Customer="All",F87=sel_Customer),OR(sel_Category="All",G87=sel_Category),OR(sel_Product="All",H87=sel_Product)),1,0)</f>
        <v/>
      </c>
    </row>
    <row r="88">
      <c r="A88" s="36" t="inlineStr">
        <is>
          <t>01858</t>
        </is>
      </c>
      <c r="B88" s="44" t="n">
        <v>46041</v>
      </c>
      <c r="C88" s="36" t="inlineStr">
        <is>
          <t>Central Europe</t>
        </is>
      </c>
      <c r="D88" s="36" t="inlineStr">
        <is>
          <t>Czechia</t>
        </is>
      </c>
      <c r="E88" s="36" t="inlineStr">
        <is>
          <t>Online Store</t>
        </is>
      </c>
      <c r="F88" s="36" t="inlineStr">
        <is>
          <t>Returning</t>
        </is>
      </c>
      <c r="G88" s="36" t="inlineStr">
        <is>
          <t>Travel</t>
        </is>
      </c>
      <c r="H88" s="36" t="inlineStr">
        <is>
          <t>Insulated Bottle</t>
        </is>
      </c>
      <c r="I88" s="36" t="n">
        <v>1</v>
      </c>
      <c r="J88" s="39" t="n">
        <v>36.13</v>
      </c>
      <c r="K88" s="45" t="n">
        <v>0</v>
      </c>
      <c r="L88" s="39" t="n">
        <v>13.39</v>
      </c>
      <c r="M88" s="39">
        <f>I88*J88*(1-K88)</f>
        <v/>
      </c>
      <c r="N88" s="39">
        <f>I88*L88</f>
        <v/>
      </c>
      <c r="O88" s="39">
        <f>M88-N88</f>
        <v/>
      </c>
      <c r="P88" s="38">
        <f>IF(M88=0,0,O88/M88)</f>
        <v/>
      </c>
      <c r="Q88" s="36">
        <f>YEAR(B88)</f>
        <v/>
      </c>
      <c r="R88" s="36">
        <f>"Q"&amp;ROUNDUP(MONTH(B88)/3,0)</f>
        <v/>
      </c>
      <c r="S88" s="36">
        <f>MONTH(B88)</f>
        <v/>
      </c>
      <c r="T88" s="36">
        <f>TEXT(B88,"mmm")</f>
        <v/>
      </c>
      <c r="U88" s="36">
        <f>IF(AND(OR(sel_Region="All",C88=sel_Region),OR(sel_Country="All",D88=sel_Country),OR(sel_Channel="All",E88=sel_Channel),OR(sel_Customer="All",F88=sel_Customer),OR(sel_Category="All",G88=sel_Category),OR(sel_Product="All",H88=sel_Product),AND(S88&gt;=m_From,S88&lt;=m_To)),1,0)</f>
        <v/>
      </c>
      <c r="V88" s="36">
        <f>IF(AND(OR(sel_Region="All",C88=sel_Region),OR(sel_Channel="All",E88=sel_Channel),OR(sel_Customer="All",F88=sel_Customer),OR(sel_Category="All",G88=sel_Category),OR(sel_Product="All",H88=sel_Product),AND(S88&gt;=m_From,S88&lt;=m_To)),1,0)</f>
        <v/>
      </c>
      <c r="W88" s="36">
        <f>IF(AND(OR(sel_Region="All",C88=sel_Region),OR(sel_Country="All",D88=sel_Country),OR(sel_Customer="All",F88=sel_Customer),OR(sel_Category="All",G88=sel_Category),OR(sel_Product="All",H88=sel_Product),AND(S88&gt;=m_From,S88&lt;=m_To)),1,0)</f>
        <v/>
      </c>
      <c r="X88" s="36">
        <f>IF(AND(OR(sel_Region="All",C88=sel_Region),OR(sel_Country="All",D88=sel_Country),OR(sel_Channel="All",E88=sel_Channel),OR(sel_Category="All",G88=sel_Category),OR(sel_Product="All",H88=sel_Product),AND(S88&gt;=m_From,S88&lt;=m_To)),1,0)</f>
        <v/>
      </c>
      <c r="Y88" s="36">
        <f>IF(AND(OR(sel_Region="All",C88=sel_Region),OR(sel_Country="All",D88=sel_Country),OR(sel_Channel="All",E88=sel_Channel),OR(sel_Customer="All",F88=sel_Customer),OR(sel_Product="All",H88=sel_Product),AND(S88&gt;=m_From,S88&lt;=m_To)),1,0)</f>
        <v/>
      </c>
      <c r="Z88" s="36">
        <f>IF(AND(OR(sel_Region="All",C88=sel_Region),OR(sel_Country="All",D88=sel_Country),OR(sel_Channel="All",E88=sel_Channel),OR(sel_Customer="All",F88=sel_Customer),OR(sel_Category="All",G88=sel_Category),AND(S88&gt;=m_From,S88&lt;=m_To)),1,0)</f>
        <v/>
      </c>
      <c r="AA88" s="36">
        <f>IF(AND(OR(sel_Region="All",C88=sel_Region),OR(sel_Country="All",D88=sel_Country),OR(sel_Channel="All",E88=sel_Channel),OR(sel_Customer="All",F88=sel_Customer),OR(sel_Category="All",G88=sel_Category),OR(sel_Product="All",H88=sel_Product)),1,0)</f>
        <v/>
      </c>
    </row>
    <row r="89">
      <c r="A89" s="36" t="inlineStr">
        <is>
          <t>02910</t>
        </is>
      </c>
      <c r="B89" s="44" t="n">
        <v>46041</v>
      </c>
      <c r="C89" s="36" t="inlineStr">
        <is>
          <t>Western Europe</t>
        </is>
      </c>
      <c r="D89" s="36" t="inlineStr">
        <is>
          <t>France</t>
        </is>
      </c>
      <c r="E89" s="36" t="inlineStr">
        <is>
          <t>Retail Partners</t>
        </is>
      </c>
      <c r="F89" s="36" t="inlineStr">
        <is>
          <t>Returning</t>
        </is>
      </c>
      <c r="G89" s="36" t="inlineStr">
        <is>
          <t>Cycling</t>
        </is>
      </c>
      <c r="H89" s="36" t="inlineStr">
        <is>
          <t>Cycling Pack 12L</t>
        </is>
      </c>
      <c r="I89" s="36" t="n">
        <v>1</v>
      </c>
      <c r="J89" s="39" t="n">
        <v>104.83</v>
      </c>
      <c r="K89" s="45" t="n">
        <v>0.05</v>
      </c>
      <c r="L89" s="39" t="n">
        <v>51.06</v>
      </c>
      <c r="M89" s="39">
        <f>I89*J89*(1-K89)</f>
        <v/>
      </c>
      <c r="N89" s="39">
        <f>I89*L89</f>
        <v/>
      </c>
      <c r="O89" s="39">
        <f>M89-N89</f>
        <v/>
      </c>
      <c r="P89" s="38">
        <f>IF(M89=0,0,O89/M89)</f>
        <v/>
      </c>
      <c r="Q89" s="36">
        <f>YEAR(B89)</f>
        <v/>
      </c>
      <c r="R89" s="36">
        <f>"Q"&amp;ROUNDUP(MONTH(B89)/3,0)</f>
        <v/>
      </c>
      <c r="S89" s="36">
        <f>MONTH(B89)</f>
        <v/>
      </c>
      <c r="T89" s="36">
        <f>TEXT(B89,"mmm")</f>
        <v/>
      </c>
      <c r="U89" s="36">
        <f>IF(AND(OR(sel_Region="All",C89=sel_Region),OR(sel_Country="All",D89=sel_Country),OR(sel_Channel="All",E89=sel_Channel),OR(sel_Customer="All",F89=sel_Customer),OR(sel_Category="All",G89=sel_Category),OR(sel_Product="All",H89=sel_Product),AND(S89&gt;=m_From,S89&lt;=m_To)),1,0)</f>
        <v/>
      </c>
      <c r="V89" s="36">
        <f>IF(AND(OR(sel_Region="All",C89=sel_Region),OR(sel_Channel="All",E89=sel_Channel),OR(sel_Customer="All",F89=sel_Customer),OR(sel_Category="All",G89=sel_Category),OR(sel_Product="All",H89=sel_Product),AND(S89&gt;=m_From,S89&lt;=m_To)),1,0)</f>
        <v/>
      </c>
      <c r="W89" s="36">
        <f>IF(AND(OR(sel_Region="All",C89=sel_Region),OR(sel_Country="All",D89=sel_Country),OR(sel_Customer="All",F89=sel_Customer),OR(sel_Category="All",G89=sel_Category),OR(sel_Product="All",H89=sel_Product),AND(S89&gt;=m_From,S89&lt;=m_To)),1,0)</f>
        <v/>
      </c>
      <c r="X89" s="36">
        <f>IF(AND(OR(sel_Region="All",C89=sel_Region),OR(sel_Country="All",D89=sel_Country),OR(sel_Channel="All",E89=sel_Channel),OR(sel_Category="All",G89=sel_Category),OR(sel_Product="All",H89=sel_Product),AND(S89&gt;=m_From,S89&lt;=m_To)),1,0)</f>
        <v/>
      </c>
      <c r="Y89" s="36">
        <f>IF(AND(OR(sel_Region="All",C89=sel_Region),OR(sel_Country="All",D89=sel_Country),OR(sel_Channel="All",E89=sel_Channel),OR(sel_Customer="All",F89=sel_Customer),OR(sel_Product="All",H89=sel_Product),AND(S89&gt;=m_From,S89&lt;=m_To)),1,0)</f>
        <v/>
      </c>
      <c r="Z89" s="36">
        <f>IF(AND(OR(sel_Region="All",C89=sel_Region),OR(sel_Country="All",D89=sel_Country),OR(sel_Channel="All",E89=sel_Channel),OR(sel_Customer="All",F89=sel_Customer),OR(sel_Category="All",G89=sel_Category),AND(S89&gt;=m_From,S89&lt;=m_To)),1,0)</f>
        <v/>
      </c>
      <c r="AA89" s="36">
        <f>IF(AND(OR(sel_Region="All",C89=sel_Region),OR(sel_Country="All",D89=sel_Country),OR(sel_Channel="All",E89=sel_Channel),OR(sel_Customer="All",F89=sel_Customer),OR(sel_Category="All",G89=sel_Category),OR(sel_Product="All",H89=sel_Product)),1,0)</f>
        <v/>
      </c>
    </row>
    <row r="90">
      <c r="A90" s="36" t="inlineStr">
        <is>
          <t>03694</t>
        </is>
      </c>
      <c r="B90" s="44" t="n">
        <v>46041</v>
      </c>
      <c r="C90" s="36" t="inlineStr">
        <is>
          <t>Southern Europe</t>
        </is>
      </c>
      <c r="D90" s="36" t="inlineStr">
        <is>
          <t>Spain</t>
        </is>
      </c>
      <c r="E90" s="36" t="inlineStr">
        <is>
          <t>Retail Partners</t>
        </is>
      </c>
      <c r="F90" s="36" t="inlineStr">
        <is>
          <t>Returning</t>
        </is>
      </c>
      <c r="G90" s="36" t="inlineStr">
        <is>
          <t>Travel</t>
        </is>
      </c>
      <c r="H90" s="36" t="inlineStr">
        <is>
          <t>Insulated Bottle</t>
        </is>
      </c>
      <c r="I90" s="36" t="n">
        <v>1</v>
      </c>
      <c r="J90" s="39" t="n">
        <v>35.46</v>
      </c>
      <c r="K90" s="45" t="n">
        <v>0.05</v>
      </c>
      <c r="L90" s="39" t="n">
        <v>13.81</v>
      </c>
      <c r="M90" s="39">
        <f>I90*J90*(1-K90)</f>
        <v/>
      </c>
      <c r="N90" s="39">
        <f>I90*L90</f>
        <v/>
      </c>
      <c r="O90" s="39">
        <f>M90-N90</f>
        <v/>
      </c>
      <c r="P90" s="38">
        <f>IF(M90=0,0,O90/M90)</f>
        <v/>
      </c>
      <c r="Q90" s="36">
        <f>YEAR(B90)</f>
        <v/>
      </c>
      <c r="R90" s="36">
        <f>"Q"&amp;ROUNDUP(MONTH(B90)/3,0)</f>
        <v/>
      </c>
      <c r="S90" s="36">
        <f>MONTH(B90)</f>
        <v/>
      </c>
      <c r="T90" s="36">
        <f>TEXT(B90,"mmm")</f>
        <v/>
      </c>
      <c r="U90" s="36">
        <f>IF(AND(OR(sel_Region="All",C90=sel_Region),OR(sel_Country="All",D90=sel_Country),OR(sel_Channel="All",E90=sel_Channel),OR(sel_Customer="All",F90=sel_Customer),OR(sel_Category="All",G90=sel_Category),OR(sel_Product="All",H90=sel_Product),AND(S90&gt;=m_From,S90&lt;=m_To)),1,0)</f>
        <v/>
      </c>
      <c r="V90" s="36">
        <f>IF(AND(OR(sel_Region="All",C90=sel_Region),OR(sel_Channel="All",E90=sel_Channel),OR(sel_Customer="All",F90=sel_Customer),OR(sel_Category="All",G90=sel_Category),OR(sel_Product="All",H90=sel_Product),AND(S90&gt;=m_From,S90&lt;=m_To)),1,0)</f>
        <v/>
      </c>
      <c r="W90" s="36">
        <f>IF(AND(OR(sel_Region="All",C90=sel_Region),OR(sel_Country="All",D90=sel_Country),OR(sel_Customer="All",F90=sel_Customer),OR(sel_Category="All",G90=sel_Category),OR(sel_Product="All",H90=sel_Product),AND(S90&gt;=m_From,S90&lt;=m_To)),1,0)</f>
        <v/>
      </c>
      <c r="X90" s="36">
        <f>IF(AND(OR(sel_Region="All",C90=sel_Region),OR(sel_Country="All",D90=sel_Country),OR(sel_Channel="All",E90=sel_Channel),OR(sel_Category="All",G90=sel_Category),OR(sel_Product="All",H90=sel_Product),AND(S90&gt;=m_From,S90&lt;=m_To)),1,0)</f>
        <v/>
      </c>
      <c r="Y90" s="36">
        <f>IF(AND(OR(sel_Region="All",C90=sel_Region),OR(sel_Country="All",D90=sel_Country),OR(sel_Channel="All",E90=sel_Channel),OR(sel_Customer="All",F90=sel_Customer),OR(sel_Product="All",H90=sel_Product),AND(S90&gt;=m_From,S90&lt;=m_To)),1,0)</f>
        <v/>
      </c>
      <c r="Z90" s="36">
        <f>IF(AND(OR(sel_Region="All",C90=sel_Region),OR(sel_Country="All",D90=sel_Country),OR(sel_Channel="All",E90=sel_Channel),OR(sel_Customer="All",F90=sel_Customer),OR(sel_Category="All",G90=sel_Category),AND(S90&gt;=m_From,S90&lt;=m_To)),1,0)</f>
        <v/>
      </c>
      <c r="AA90" s="36">
        <f>IF(AND(OR(sel_Region="All",C90=sel_Region),OR(sel_Country="All",D90=sel_Country),OR(sel_Channel="All",E90=sel_Channel),OR(sel_Customer="All",F90=sel_Customer),OR(sel_Category="All",G90=sel_Category),OR(sel_Product="All",H90=sel_Product)),1,0)</f>
        <v/>
      </c>
    </row>
    <row r="91">
      <c r="A91" s="36" t="inlineStr">
        <is>
          <t>00631</t>
        </is>
      </c>
      <c r="B91" s="44" t="n">
        <v>46042</v>
      </c>
      <c r="C91" s="36" t="inlineStr">
        <is>
          <t>Western Europe</t>
        </is>
      </c>
      <c r="D91" s="36" t="inlineStr">
        <is>
          <t>United Kingdom</t>
        </is>
      </c>
      <c r="E91" s="36" t="inlineStr">
        <is>
          <t>Marketplace</t>
        </is>
      </c>
      <c r="F91" s="36" t="inlineStr">
        <is>
          <t>Returning</t>
        </is>
      </c>
      <c r="G91" s="36" t="inlineStr">
        <is>
          <t>Travel</t>
        </is>
      </c>
      <c r="H91" s="36" t="inlineStr">
        <is>
          <t>Travel Backpack 35L</t>
        </is>
      </c>
      <c r="I91" s="36" t="n">
        <v>1</v>
      </c>
      <c r="J91" s="39" t="n">
        <v>165.42</v>
      </c>
      <c r="K91" s="45" t="n">
        <v>0</v>
      </c>
      <c r="L91" s="39" t="n">
        <v>85.69</v>
      </c>
      <c r="M91" s="39">
        <f>I91*J91*(1-K91)</f>
        <v/>
      </c>
      <c r="N91" s="39">
        <f>I91*L91</f>
        <v/>
      </c>
      <c r="O91" s="39">
        <f>M91-N91</f>
        <v/>
      </c>
      <c r="P91" s="38">
        <f>IF(M91=0,0,O91/M91)</f>
        <v/>
      </c>
      <c r="Q91" s="36">
        <f>YEAR(B91)</f>
        <v/>
      </c>
      <c r="R91" s="36">
        <f>"Q"&amp;ROUNDUP(MONTH(B91)/3,0)</f>
        <v/>
      </c>
      <c r="S91" s="36">
        <f>MONTH(B91)</f>
        <v/>
      </c>
      <c r="T91" s="36">
        <f>TEXT(B91,"mmm")</f>
        <v/>
      </c>
      <c r="U91" s="36">
        <f>IF(AND(OR(sel_Region="All",C91=sel_Region),OR(sel_Country="All",D91=sel_Country),OR(sel_Channel="All",E91=sel_Channel),OR(sel_Customer="All",F91=sel_Customer),OR(sel_Category="All",G91=sel_Category),OR(sel_Product="All",H91=sel_Product),AND(S91&gt;=m_From,S91&lt;=m_To)),1,0)</f>
        <v/>
      </c>
      <c r="V91" s="36">
        <f>IF(AND(OR(sel_Region="All",C91=sel_Region),OR(sel_Channel="All",E91=sel_Channel),OR(sel_Customer="All",F91=sel_Customer),OR(sel_Category="All",G91=sel_Category),OR(sel_Product="All",H91=sel_Product),AND(S91&gt;=m_From,S91&lt;=m_To)),1,0)</f>
        <v/>
      </c>
      <c r="W91" s="36">
        <f>IF(AND(OR(sel_Region="All",C91=sel_Region),OR(sel_Country="All",D91=sel_Country),OR(sel_Customer="All",F91=sel_Customer),OR(sel_Category="All",G91=sel_Category),OR(sel_Product="All",H91=sel_Product),AND(S91&gt;=m_From,S91&lt;=m_To)),1,0)</f>
        <v/>
      </c>
      <c r="X91" s="36">
        <f>IF(AND(OR(sel_Region="All",C91=sel_Region),OR(sel_Country="All",D91=sel_Country),OR(sel_Channel="All",E91=sel_Channel),OR(sel_Category="All",G91=sel_Category),OR(sel_Product="All",H91=sel_Product),AND(S91&gt;=m_From,S91&lt;=m_To)),1,0)</f>
        <v/>
      </c>
      <c r="Y91" s="36">
        <f>IF(AND(OR(sel_Region="All",C91=sel_Region),OR(sel_Country="All",D91=sel_Country),OR(sel_Channel="All",E91=sel_Channel),OR(sel_Customer="All",F91=sel_Customer),OR(sel_Product="All",H91=sel_Product),AND(S91&gt;=m_From,S91&lt;=m_To)),1,0)</f>
        <v/>
      </c>
      <c r="Z91" s="36">
        <f>IF(AND(OR(sel_Region="All",C91=sel_Region),OR(sel_Country="All",D91=sel_Country),OR(sel_Channel="All",E91=sel_Channel),OR(sel_Customer="All",F91=sel_Customer),OR(sel_Category="All",G91=sel_Category),AND(S91&gt;=m_From,S91&lt;=m_To)),1,0)</f>
        <v/>
      </c>
      <c r="AA91" s="36">
        <f>IF(AND(OR(sel_Region="All",C91=sel_Region),OR(sel_Country="All",D91=sel_Country),OR(sel_Channel="All",E91=sel_Channel),OR(sel_Customer="All",F91=sel_Customer),OR(sel_Category="All",G91=sel_Category),OR(sel_Product="All",H91=sel_Product)),1,0)</f>
        <v/>
      </c>
    </row>
    <row r="92">
      <c r="A92" s="36" t="inlineStr">
        <is>
          <t>01113</t>
        </is>
      </c>
      <c r="B92" s="44" t="n">
        <v>46042</v>
      </c>
      <c r="C92" s="36" t="inlineStr">
        <is>
          <t>Northern Europe</t>
        </is>
      </c>
      <c r="D92" s="36" t="inlineStr">
        <is>
          <t>Denmark</t>
        </is>
      </c>
      <c r="E92" s="36" t="inlineStr">
        <is>
          <t>Online Store</t>
        </is>
      </c>
      <c r="F92" s="36" t="inlineStr">
        <is>
          <t>Returning</t>
        </is>
      </c>
      <c r="G92" s="36" t="inlineStr">
        <is>
          <t>Camping</t>
        </is>
      </c>
      <c r="H92" s="36" t="inlineStr">
        <is>
          <t>Compact Sleeping Bag</t>
        </is>
      </c>
      <c r="I92" s="36" t="n">
        <v>1</v>
      </c>
      <c r="J92" s="39" t="n">
        <v>122.86</v>
      </c>
      <c r="K92" s="45" t="n">
        <v>0.05</v>
      </c>
      <c r="L92" s="39" t="n">
        <v>60.36</v>
      </c>
      <c r="M92" s="39">
        <f>I92*J92*(1-K92)</f>
        <v/>
      </c>
      <c r="N92" s="39">
        <f>I92*L92</f>
        <v/>
      </c>
      <c r="O92" s="39">
        <f>M92-N92</f>
        <v/>
      </c>
      <c r="P92" s="38">
        <f>IF(M92=0,0,O92/M92)</f>
        <v/>
      </c>
      <c r="Q92" s="36">
        <f>YEAR(B92)</f>
        <v/>
      </c>
      <c r="R92" s="36">
        <f>"Q"&amp;ROUNDUP(MONTH(B92)/3,0)</f>
        <v/>
      </c>
      <c r="S92" s="36">
        <f>MONTH(B92)</f>
        <v/>
      </c>
      <c r="T92" s="36">
        <f>TEXT(B92,"mmm")</f>
        <v/>
      </c>
      <c r="U92" s="36">
        <f>IF(AND(OR(sel_Region="All",C92=sel_Region),OR(sel_Country="All",D92=sel_Country),OR(sel_Channel="All",E92=sel_Channel),OR(sel_Customer="All",F92=sel_Customer),OR(sel_Category="All",G92=sel_Category),OR(sel_Product="All",H92=sel_Product),AND(S92&gt;=m_From,S92&lt;=m_To)),1,0)</f>
        <v/>
      </c>
      <c r="V92" s="36">
        <f>IF(AND(OR(sel_Region="All",C92=sel_Region),OR(sel_Channel="All",E92=sel_Channel),OR(sel_Customer="All",F92=sel_Customer),OR(sel_Category="All",G92=sel_Category),OR(sel_Product="All",H92=sel_Product),AND(S92&gt;=m_From,S92&lt;=m_To)),1,0)</f>
        <v/>
      </c>
      <c r="W92" s="36">
        <f>IF(AND(OR(sel_Region="All",C92=sel_Region),OR(sel_Country="All",D92=sel_Country),OR(sel_Customer="All",F92=sel_Customer),OR(sel_Category="All",G92=sel_Category),OR(sel_Product="All",H92=sel_Product),AND(S92&gt;=m_From,S92&lt;=m_To)),1,0)</f>
        <v/>
      </c>
      <c r="X92" s="36">
        <f>IF(AND(OR(sel_Region="All",C92=sel_Region),OR(sel_Country="All",D92=sel_Country),OR(sel_Channel="All",E92=sel_Channel),OR(sel_Category="All",G92=sel_Category),OR(sel_Product="All",H92=sel_Product),AND(S92&gt;=m_From,S92&lt;=m_To)),1,0)</f>
        <v/>
      </c>
      <c r="Y92" s="36">
        <f>IF(AND(OR(sel_Region="All",C92=sel_Region),OR(sel_Country="All",D92=sel_Country),OR(sel_Channel="All",E92=sel_Channel),OR(sel_Customer="All",F92=sel_Customer),OR(sel_Product="All",H92=sel_Product),AND(S92&gt;=m_From,S92&lt;=m_To)),1,0)</f>
        <v/>
      </c>
      <c r="Z92" s="36">
        <f>IF(AND(OR(sel_Region="All",C92=sel_Region),OR(sel_Country="All",D92=sel_Country),OR(sel_Channel="All",E92=sel_Channel),OR(sel_Customer="All",F92=sel_Customer),OR(sel_Category="All",G92=sel_Category),AND(S92&gt;=m_From,S92&lt;=m_To)),1,0)</f>
        <v/>
      </c>
      <c r="AA92" s="36">
        <f>IF(AND(OR(sel_Region="All",C92=sel_Region),OR(sel_Country="All",D92=sel_Country),OR(sel_Channel="All",E92=sel_Channel),OR(sel_Customer="All",F92=sel_Customer),OR(sel_Category="All",G92=sel_Category),OR(sel_Product="All",H92=sel_Product)),1,0)</f>
        <v/>
      </c>
    </row>
    <row r="93">
      <c r="A93" s="36" t="inlineStr">
        <is>
          <t>01525</t>
        </is>
      </c>
      <c r="B93" s="44" t="n">
        <v>46042</v>
      </c>
      <c r="C93" s="36" t="inlineStr">
        <is>
          <t>Southern Europe</t>
        </is>
      </c>
      <c r="D93" s="36" t="inlineStr">
        <is>
          <t>Spain</t>
        </is>
      </c>
      <c r="E93" s="36" t="inlineStr">
        <is>
          <t>Retail Partners</t>
        </is>
      </c>
      <c r="F93" s="36" t="inlineStr">
        <is>
          <t>Returning</t>
        </is>
      </c>
      <c r="G93" s="36" t="inlineStr">
        <is>
          <t>Fitness</t>
        </is>
      </c>
      <c r="H93" s="36" t="inlineStr">
        <is>
          <t>Recovery Roller</t>
        </is>
      </c>
      <c r="I93" s="36" t="n">
        <v>2</v>
      </c>
      <c r="J93" s="39" t="n">
        <v>35.82</v>
      </c>
      <c r="K93" s="45" t="n">
        <v>0</v>
      </c>
      <c r="L93" s="39" t="n">
        <v>14.09</v>
      </c>
      <c r="M93" s="39">
        <f>I93*J93*(1-K93)</f>
        <v/>
      </c>
      <c r="N93" s="39">
        <f>I93*L93</f>
        <v/>
      </c>
      <c r="O93" s="39">
        <f>M93-N93</f>
        <v/>
      </c>
      <c r="P93" s="38">
        <f>IF(M93=0,0,O93/M93)</f>
        <v/>
      </c>
      <c r="Q93" s="36">
        <f>YEAR(B93)</f>
        <v/>
      </c>
      <c r="R93" s="36">
        <f>"Q"&amp;ROUNDUP(MONTH(B93)/3,0)</f>
        <v/>
      </c>
      <c r="S93" s="36">
        <f>MONTH(B93)</f>
        <v/>
      </c>
      <c r="T93" s="36">
        <f>TEXT(B93,"mmm")</f>
        <v/>
      </c>
      <c r="U93" s="36">
        <f>IF(AND(OR(sel_Region="All",C93=sel_Region),OR(sel_Country="All",D93=sel_Country),OR(sel_Channel="All",E93=sel_Channel),OR(sel_Customer="All",F93=sel_Customer),OR(sel_Category="All",G93=sel_Category),OR(sel_Product="All",H93=sel_Product),AND(S93&gt;=m_From,S93&lt;=m_To)),1,0)</f>
        <v/>
      </c>
      <c r="V93" s="36">
        <f>IF(AND(OR(sel_Region="All",C93=sel_Region),OR(sel_Channel="All",E93=sel_Channel),OR(sel_Customer="All",F93=sel_Customer),OR(sel_Category="All",G93=sel_Category),OR(sel_Product="All",H93=sel_Product),AND(S93&gt;=m_From,S93&lt;=m_To)),1,0)</f>
        <v/>
      </c>
      <c r="W93" s="36">
        <f>IF(AND(OR(sel_Region="All",C93=sel_Region),OR(sel_Country="All",D93=sel_Country),OR(sel_Customer="All",F93=sel_Customer),OR(sel_Category="All",G93=sel_Category),OR(sel_Product="All",H93=sel_Product),AND(S93&gt;=m_From,S93&lt;=m_To)),1,0)</f>
        <v/>
      </c>
      <c r="X93" s="36">
        <f>IF(AND(OR(sel_Region="All",C93=sel_Region),OR(sel_Country="All",D93=sel_Country),OR(sel_Channel="All",E93=sel_Channel),OR(sel_Category="All",G93=sel_Category),OR(sel_Product="All",H93=sel_Product),AND(S93&gt;=m_From,S93&lt;=m_To)),1,0)</f>
        <v/>
      </c>
      <c r="Y93" s="36">
        <f>IF(AND(OR(sel_Region="All",C93=sel_Region),OR(sel_Country="All",D93=sel_Country),OR(sel_Channel="All",E93=sel_Channel),OR(sel_Customer="All",F93=sel_Customer),OR(sel_Product="All",H93=sel_Product),AND(S93&gt;=m_From,S93&lt;=m_To)),1,0)</f>
        <v/>
      </c>
      <c r="Z93" s="36">
        <f>IF(AND(OR(sel_Region="All",C93=sel_Region),OR(sel_Country="All",D93=sel_Country),OR(sel_Channel="All",E93=sel_Channel),OR(sel_Customer="All",F93=sel_Customer),OR(sel_Category="All",G93=sel_Category),AND(S93&gt;=m_From,S93&lt;=m_To)),1,0)</f>
        <v/>
      </c>
      <c r="AA93" s="36">
        <f>IF(AND(OR(sel_Region="All",C93=sel_Region),OR(sel_Country="All",D93=sel_Country),OR(sel_Channel="All",E93=sel_Channel),OR(sel_Customer="All",F93=sel_Customer),OR(sel_Category="All",G93=sel_Category),OR(sel_Product="All",H93=sel_Product)),1,0)</f>
        <v/>
      </c>
    </row>
    <row r="94">
      <c r="A94" s="36" t="inlineStr">
        <is>
          <t>03233</t>
        </is>
      </c>
      <c r="B94" s="44" t="n">
        <v>46042</v>
      </c>
      <c r="C94" s="36" t="inlineStr">
        <is>
          <t>Southern Europe</t>
        </is>
      </c>
      <c r="D94" s="36" t="inlineStr">
        <is>
          <t>Spain</t>
        </is>
      </c>
      <c r="E94" s="36" t="inlineStr">
        <is>
          <t>Online Store</t>
        </is>
      </c>
      <c r="F94" s="36" t="inlineStr">
        <is>
          <t>New</t>
        </is>
      </c>
      <c r="G94" s="36" t="inlineStr">
        <is>
          <t>Camping</t>
        </is>
      </c>
      <c r="H94" s="36" t="inlineStr">
        <is>
          <t>Compact Sleeping Bag</t>
        </is>
      </c>
      <c r="I94" s="36" t="n">
        <v>3</v>
      </c>
      <c r="J94" s="39" t="n">
        <v>120.29</v>
      </c>
      <c r="K94" s="45" t="n">
        <v>0.1</v>
      </c>
      <c r="L94" s="39" t="n">
        <v>62.41</v>
      </c>
      <c r="M94" s="39">
        <f>I94*J94*(1-K94)</f>
        <v/>
      </c>
      <c r="N94" s="39">
        <f>I94*L94</f>
        <v/>
      </c>
      <c r="O94" s="39">
        <f>M94-N94</f>
        <v/>
      </c>
      <c r="P94" s="38">
        <f>IF(M94=0,0,O94/M94)</f>
        <v/>
      </c>
      <c r="Q94" s="36">
        <f>YEAR(B94)</f>
        <v/>
      </c>
      <c r="R94" s="36">
        <f>"Q"&amp;ROUNDUP(MONTH(B94)/3,0)</f>
        <v/>
      </c>
      <c r="S94" s="36">
        <f>MONTH(B94)</f>
        <v/>
      </c>
      <c r="T94" s="36">
        <f>TEXT(B94,"mmm")</f>
        <v/>
      </c>
      <c r="U94" s="36">
        <f>IF(AND(OR(sel_Region="All",C94=sel_Region),OR(sel_Country="All",D94=sel_Country),OR(sel_Channel="All",E94=sel_Channel),OR(sel_Customer="All",F94=sel_Customer),OR(sel_Category="All",G94=sel_Category),OR(sel_Product="All",H94=sel_Product),AND(S94&gt;=m_From,S94&lt;=m_To)),1,0)</f>
        <v/>
      </c>
      <c r="V94" s="36">
        <f>IF(AND(OR(sel_Region="All",C94=sel_Region),OR(sel_Channel="All",E94=sel_Channel),OR(sel_Customer="All",F94=sel_Customer),OR(sel_Category="All",G94=sel_Category),OR(sel_Product="All",H94=sel_Product),AND(S94&gt;=m_From,S94&lt;=m_To)),1,0)</f>
        <v/>
      </c>
      <c r="W94" s="36">
        <f>IF(AND(OR(sel_Region="All",C94=sel_Region),OR(sel_Country="All",D94=sel_Country),OR(sel_Customer="All",F94=sel_Customer),OR(sel_Category="All",G94=sel_Category),OR(sel_Product="All",H94=sel_Product),AND(S94&gt;=m_From,S94&lt;=m_To)),1,0)</f>
        <v/>
      </c>
      <c r="X94" s="36">
        <f>IF(AND(OR(sel_Region="All",C94=sel_Region),OR(sel_Country="All",D94=sel_Country),OR(sel_Channel="All",E94=sel_Channel),OR(sel_Category="All",G94=sel_Category),OR(sel_Product="All",H94=sel_Product),AND(S94&gt;=m_From,S94&lt;=m_To)),1,0)</f>
        <v/>
      </c>
      <c r="Y94" s="36">
        <f>IF(AND(OR(sel_Region="All",C94=sel_Region),OR(sel_Country="All",D94=sel_Country),OR(sel_Channel="All",E94=sel_Channel),OR(sel_Customer="All",F94=sel_Customer),OR(sel_Product="All",H94=sel_Product),AND(S94&gt;=m_From,S94&lt;=m_To)),1,0)</f>
        <v/>
      </c>
      <c r="Z94" s="36">
        <f>IF(AND(OR(sel_Region="All",C94=sel_Region),OR(sel_Country="All",D94=sel_Country),OR(sel_Channel="All",E94=sel_Channel),OR(sel_Customer="All",F94=sel_Customer),OR(sel_Category="All",G94=sel_Category),AND(S94&gt;=m_From,S94&lt;=m_To)),1,0)</f>
        <v/>
      </c>
      <c r="AA94" s="36">
        <f>IF(AND(OR(sel_Region="All",C94=sel_Region),OR(sel_Country="All",D94=sel_Country),OR(sel_Channel="All",E94=sel_Channel),OR(sel_Customer="All",F94=sel_Customer),OR(sel_Category="All",G94=sel_Category),OR(sel_Product="All",H94=sel_Product)),1,0)</f>
        <v/>
      </c>
    </row>
    <row r="95">
      <c r="A95" s="36" t="inlineStr">
        <is>
          <t>04455</t>
        </is>
      </c>
      <c r="B95" s="44" t="n">
        <v>46042</v>
      </c>
      <c r="C95" s="36" t="inlineStr">
        <is>
          <t>Central Europe</t>
        </is>
      </c>
      <c r="D95" s="36" t="inlineStr">
        <is>
          <t>Switzerland</t>
        </is>
      </c>
      <c r="E95" s="36" t="inlineStr">
        <is>
          <t>Marketplace</t>
        </is>
      </c>
      <c r="F95" s="36" t="inlineStr">
        <is>
          <t>Returning</t>
        </is>
      </c>
      <c r="G95" s="36" t="inlineStr">
        <is>
          <t>Camping</t>
        </is>
      </c>
      <c r="H95" s="36" t="inlineStr">
        <is>
          <t>Portable Camp Stove</t>
        </is>
      </c>
      <c r="I95" s="36" t="n">
        <v>1</v>
      </c>
      <c r="J95" s="39" t="n">
        <v>80.23999999999999</v>
      </c>
      <c r="K95" s="45" t="n">
        <v>0.1</v>
      </c>
      <c r="L95" s="39" t="n">
        <v>39.95</v>
      </c>
      <c r="M95" s="39">
        <f>I95*J95*(1-K95)</f>
        <v/>
      </c>
      <c r="N95" s="39">
        <f>I95*L95</f>
        <v/>
      </c>
      <c r="O95" s="39">
        <f>M95-N95</f>
        <v/>
      </c>
      <c r="P95" s="38">
        <f>IF(M95=0,0,O95/M95)</f>
        <v/>
      </c>
      <c r="Q95" s="36">
        <f>YEAR(B95)</f>
        <v/>
      </c>
      <c r="R95" s="36">
        <f>"Q"&amp;ROUNDUP(MONTH(B95)/3,0)</f>
        <v/>
      </c>
      <c r="S95" s="36">
        <f>MONTH(B95)</f>
        <v/>
      </c>
      <c r="T95" s="36">
        <f>TEXT(B95,"mmm")</f>
        <v/>
      </c>
      <c r="U95" s="36">
        <f>IF(AND(OR(sel_Region="All",C95=sel_Region),OR(sel_Country="All",D95=sel_Country),OR(sel_Channel="All",E95=sel_Channel),OR(sel_Customer="All",F95=sel_Customer),OR(sel_Category="All",G95=sel_Category),OR(sel_Product="All",H95=sel_Product),AND(S95&gt;=m_From,S95&lt;=m_To)),1,0)</f>
        <v/>
      </c>
      <c r="V95" s="36">
        <f>IF(AND(OR(sel_Region="All",C95=sel_Region),OR(sel_Channel="All",E95=sel_Channel),OR(sel_Customer="All",F95=sel_Customer),OR(sel_Category="All",G95=sel_Category),OR(sel_Product="All",H95=sel_Product),AND(S95&gt;=m_From,S95&lt;=m_To)),1,0)</f>
        <v/>
      </c>
      <c r="W95" s="36">
        <f>IF(AND(OR(sel_Region="All",C95=sel_Region),OR(sel_Country="All",D95=sel_Country),OR(sel_Customer="All",F95=sel_Customer),OR(sel_Category="All",G95=sel_Category),OR(sel_Product="All",H95=sel_Product),AND(S95&gt;=m_From,S95&lt;=m_To)),1,0)</f>
        <v/>
      </c>
      <c r="X95" s="36">
        <f>IF(AND(OR(sel_Region="All",C95=sel_Region),OR(sel_Country="All",D95=sel_Country),OR(sel_Channel="All",E95=sel_Channel),OR(sel_Category="All",G95=sel_Category),OR(sel_Product="All",H95=sel_Product),AND(S95&gt;=m_From,S95&lt;=m_To)),1,0)</f>
        <v/>
      </c>
      <c r="Y95" s="36">
        <f>IF(AND(OR(sel_Region="All",C95=sel_Region),OR(sel_Country="All",D95=sel_Country),OR(sel_Channel="All",E95=sel_Channel),OR(sel_Customer="All",F95=sel_Customer),OR(sel_Product="All",H95=sel_Product),AND(S95&gt;=m_From,S95&lt;=m_To)),1,0)</f>
        <v/>
      </c>
      <c r="Z95" s="36">
        <f>IF(AND(OR(sel_Region="All",C95=sel_Region),OR(sel_Country="All",D95=sel_Country),OR(sel_Channel="All",E95=sel_Channel),OR(sel_Customer="All",F95=sel_Customer),OR(sel_Category="All",G95=sel_Category),AND(S95&gt;=m_From,S95&lt;=m_To)),1,0)</f>
        <v/>
      </c>
      <c r="AA95" s="36">
        <f>IF(AND(OR(sel_Region="All",C95=sel_Region),OR(sel_Country="All",D95=sel_Country),OR(sel_Channel="All",E95=sel_Channel),OR(sel_Customer="All",F95=sel_Customer),OR(sel_Category="All",G95=sel_Category),OR(sel_Product="All",H95=sel_Product)),1,0)</f>
        <v/>
      </c>
    </row>
    <row r="96">
      <c r="A96" s="36" t="inlineStr">
        <is>
          <t>01769</t>
        </is>
      </c>
      <c r="B96" s="44" t="n">
        <v>46043</v>
      </c>
      <c r="C96" s="36" t="inlineStr">
        <is>
          <t>Southern Europe</t>
        </is>
      </c>
      <c r="D96" s="36" t="inlineStr">
        <is>
          <t>Italy</t>
        </is>
      </c>
      <c r="E96" s="36" t="inlineStr">
        <is>
          <t>Retail Partners</t>
        </is>
      </c>
      <c r="F96" s="36" t="inlineStr">
        <is>
          <t>New</t>
        </is>
      </c>
      <c r="G96" s="36" t="inlineStr">
        <is>
          <t>Fitness</t>
        </is>
      </c>
      <c r="H96" s="36" t="inlineStr">
        <is>
          <t>Recovery Roller</t>
        </is>
      </c>
      <c r="I96" s="36" t="n">
        <v>2</v>
      </c>
      <c r="J96" s="39" t="n">
        <v>35.97</v>
      </c>
      <c r="K96" s="45" t="n">
        <v>0</v>
      </c>
      <c r="L96" s="39" t="n">
        <v>13.55</v>
      </c>
      <c r="M96" s="39">
        <f>I96*J96*(1-K96)</f>
        <v/>
      </c>
      <c r="N96" s="39">
        <f>I96*L96</f>
        <v/>
      </c>
      <c r="O96" s="39">
        <f>M96-N96</f>
        <v/>
      </c>
      <c r="P96" s="38">
        <f>IF(M96=0,0,O96/M96)</f>
        <v/>
      </c>
      <c r="Q96" s="36">
        <f>YEAR(B96)</f>
        <v/>
      </c>
      <c r="R96" s="36">
        <f>"Q"&amp;ROUNDUP(MONTH(B96)/3,0)</f>
        <v/>
      </c>
      <c r="S96" s="36">
        <f>MONTH(B96)</f>
        <v/>
      </c>
      <c r="T96" s="36">
        <f>TEXT(B96,"mmm")</f>
        <v/>
      </c>
      <c r="U96" s="36">
        <f>IF(AND(OR(sel_Region="All",C96=sel_Region),OR(sel_Country="All",D96=sel_Country),OR(sel_Channel="All",E96=sel_Channel),OR(sel_Customer="All",F96=sel_Customer),OR(sel_Category="All",G96=sel_Category),OR(sel_Product="All",H96=sel_Product),AND(S96&gt;=m_From,S96&lt;=m_To)),1,0)</f>
        <v/>
      </c>
      <c r="V96" s="36">
        <f>IF(AND(OR(sel_Region="All",C96=sel_Region),OR(sel_Channel="All",E96=sel_Channel),OR(sel_Customer="All",F96=sel_Customer),OR(sel_Category="All",G96=sel_Category),OR(sel_Product="All",H96=sel_Product),AND(S96&gt;=m_From,S96&lt;=m_To)),1,0)</f>
        <v/>
      </c>
      <c r="W96" s="36">
        <f>IF(AND(OR(sel_Region="All",C96=sel_Region),OR(sel_Country="All",D96=sel_Country),OR(sel_Customer="All",F96=sel_Customer),OR(sel_Category="All",G96=sel_Category),OR(sel_Product="All",H96=sel_Product),AND(S96&gt;=m_From,S96&lt;=m_To)),1,0)</f>
        <v/>
      </c>
      <c r="X96" s="36">
        <f>IF(AND(OR(sel_Region="All",C96=sel_Region),OR(sel_Country="All",D96=sel_Country),OR(sel_Channel="All",E96=sel_Channel),OR(sel_Category="All",G96=sel_Category),OR(sel_Product="All",H96=sel_Product),AND(S96&gt;=m_From,S96&lt;=m_To)),1,0)</f>
        <v/>
      </c>
      <c r="Y96" s="36">
        <f>IF(AND(OR(sel_Region="All",C96=sel_Region),OR(sel_Country="All",D96=sel_Country),OR(sel_Channel="All",E96=sel_Channel),OR(sel_Customer="All",F96=sel_Customer),OR(sel_Product="All",H96=sel_Product),AND(S96&gt;=m_From,S96&lt;=m_To)),1,0)</f>
        <v/>
      </c>
      <c r="Z96" s="36">
        <f>IF(AND(OR(sel_Region="All",C96=sel_Region),OR(sel_Country="All",D96=sel_Country),OR(sel_Channel="All",E96=sel_Channel),OR(sel_Customer="All",F96=sel_Customer),OR(sel_Category="All",G96=sel_Category),AND(S96&gt;=m_From,S96&lt;=m_To)),1,0)</f>
        <v/>
      </c>
      <c r="AA96" s="36">
        <f>IF(AND(OR(sel_Region="All",C96=sel_Region),OR(sel_Country="All",D96=sel_Country),OR(sel_Channel="All",E96=sel_Channel),OR(sel_Customer="All",F96=sel_Customer),OR(sel_Category="All",G96=sel_Category),OR(sel_Product="All",H96=sel_Product)),1,0)</f>
        <v/>
      </c>
    </row>
    <row r="97">
      <c r="A97" s="36" t="inlineStr">
        <is>
          <t>03467</t>
        </is>
      </c>
      <c r="B97" s="44" t="n">
        <v>46043</v>
      </c>
      <c r="C97" s="36" t="inlineStr">
        <is>
          <t>Central Europe</t>
        </is>
      </c>
      <c r="D97" s="36" t="inlineStr">
        <is>
          <t>Switzerland</t>
        </is>
      </c>
      <c r="E97" s="36" t="inlineStr">
        <is>
          <t>Online Store</t>
        </is>
      </c>
      <c r="F97" s="36" t="inlineStr">
        <is>
          <t>New</t>
        </is>
      </c>
      <c r="G97" s="36" t="inlineStr">
        <is>
          <t>Hiking</t>
        </is>
      </c>
      <c r="H97" s="36" t="inlineStr">
        <is>
          <t>Trekking Poles</t>
        </is>
      </c>
      <c r="I97" s="36" t="n">
        <v>1</v>
      </c>
      <c r="J97" s="39" t="n">
        <v>72.23999999999999</v>
      </c>
      <c r="K97" s="45" t="n">
        <v>0</v>
      </c>
      <c r="L97" s="39" t="n">
        <v>33.26</v>
      </c>
      <c r="M97" s="39">
        <f>I97*J97*(1-K97)</f>
        <v/>
      </c>
      <c r="N97" s="39">
        <f>I97*L97</f>
        <v/>
      </c>
      <c r="O97" s="39">
        <f>M97-N97</f>
        <v/>
      </c>
      <c r="P97" s="38">
        <f>IF(M97=0,0,O97/M97)</f>
        <v/>
      </c>
      <c r="Q97" s="36">
        <f>YEAR(B97)</f>
        <v/>
      </c>
      <c r="R97" s="36">
        <f>"Q"&amp;ROUNDUP(MONTH(B97)/3,0)</f>
        <v/>
      </c>
      <c r="S97" s="36">
        <f>MONTH(B97)</f>
        <v/>
      </c>
      <c r="T97" s="36">
        <f>TEXT(B97,"mmm")</f>
        <v/>
      </c>
      <c r="U97" s="36">
        <f>IF(AND(OR(sel_Region="All",C97=sel_Region),OR(sel_Country="All",D97=sel_Country),OR(sel_Channel="All",E97=sel_Channel),OR(sel_Customer="All",F97=sel_Customer),OR(sel_Category="All",G97=sel_Category),OR(sel_Product="All",H97=sel_Product),AND(S97&gt;=m_From,S97&lt;=m_To)),1,0)</f>
        <v/>
      </c>
      <c r="V97" s="36">
        <f>IF(AND(OR(sel_Region="All",C97=sel_Region),OR(sel_Channel="All",E97=sel_Channel),OR(sel_Customer="All",F97=sel_Customer),OR(sel_Category="All",G97=sel_Category),OR(sel_Product="All",H97=sel_Product),AND(S97&gt;=m_From,S97&lt;=m_To)),1,0)</f>
        <v/>
      </c>
      <c r="W97" s="36">
        <f>IF(AND(OR(sel_Region="All",C97=sel_Region),OR(sel_Country="All",D97=sel_Country),OR(sel_Customer="All",F97=sel_Customer),OR(sel_Category="All",G97=sel_Category),OR(sel_Product="All",H97=sel_Product),AND(S97&gt;=m_From,S97&lt;=m_To)),1,0)</f>
        <v/>
      </c>
      <c r="X97" s="36">
        <f>IF(AND(OR(sel_Region="All",C97=sel_Region),OR(sel_Country="All",D97=sel_Country),OR(sel_Channel="All",E97=sel_Channel),OR(sel_Category="All",G97=sel_Category),OR(sel_Product="All",H97=sel_Product),AND(S97&gt;=m_From,S97&lt;=m_To)),1,0)</f>
        <v/>
      </c>
      <c r="Y97" s="36">
        <f>IF(AND(OR(sel_Region="All",C97=sel_Region),OR(sel_Country="All",D97=sel_Country),OR(sel_Channel="All",E97=sel_Channel),OR(sel_Customer="All",F97=sel_Customer),OR(sel_Product="All",H97=sel_Product),AND(S97&gt;=m_From,S97&lt;=m_To)),1,0)</f>
        <v/>
      </c>
      <c r="Z97" s="36">
        <f>IF(AND(OR(sel_Region="All",C97=sel_Region),OR(sel_Country="All",D97=sel_Country),OR(sel_Channel="All",E97=sel_Channel),OR(sel_Customer="All",F97=sel_Customer),OR(sel_Category="All",G97=sel_Category),AND(S97&gt;=m_From,S97&lt;=m_To)),1,0)</f>
        <v/>
      </c>
      <c r="AA97" s="36">
        <f>IF(AND(OR(sel_Region="All",C97=sel_Region),OR(sel_Country="All",D97=sel_Country),OR(sel_Channel="All",E97=sel_Channel),OR(sel_Customer="All",F97=sel_Customer),OR(sel_Category="All",G97=sel_Category),OR(sel_Product="All",H97=sel_Product)),1,0)</f>
        <v/>
      </c>
    </row>
    <row r="98">
      <c r="A98" s="36" t="inlineStr">
        <is>
          <t>03911</t>
        </is>
      </c>
      <c r="B98" s="44" t="n">
        <v>46043</v>
      </c>
      <c r="C98" s="36" t="inlineStr">
        <is>
          <t>Southern Europe</t>
        </is>
      </c>
      <c r="D98" s="36" t="inlineStr">
        <is>
          <t>Italy</t>
        </is>
      </c>
      <c r="E98" s="36" t="inlineStr">
        <is>
          <t>Online Store</t>
        </is>
      </c>
      <c r="F98" s="36" t="inlineStr">
        <is>
          <t>Returning</t>
        </is>
      </c>
      <c r="G98" s="36" t="inlineStr">
        <is>
          <t>Hiking</t>
        </is>
      </c>
      <c r="H98" s="36" t="inlineStr">
        <is>
          <t>Summit Backpack 45L</t>
        </is>
      </c>
      <c r="I98" s="36" t="n">
        <v>5</v>
      </c>
      <c r="J98" s="39" t="n">
        <v>152.81</v>
      </c>
      <c r="K98" s="45" t="n">
        <v>0</v>
      </c>
      <c r="L98" s="39" t="n">
        <v>78.98999999999999</v>
      </c>
      <c r="M98" s="39">
        <f>I98*J98*(1-K98)</f>
        <v/>
      </c>
      <c r="N98" s="39">
        <f>I98*L98</f>
        <v/>
      </c>
      <c r="O98" s="39">
        <f>M98-N98</f>
        <v/>
      </c>
      <c r="P98" s="38">
        <f>IF(M98=0,0,O98/M98)</f>
        <v/>
      </c>
      <c r="Q98" s="36">
        <f>YEAR(B98)</f>
        <v/>
      </c>
      <c r="R98" s="36">
        <f>"Q"&amp;ROUNDUP(MONTH(B98)/3,0)</f>
        <v/>
      </c>
      <c r="S98" s="36">
        <f>MONTH(B98)</f>
        <v/>
      </c>
      <c r="T98" s="36">
        <f>TEXT(B98,"mmm")</f>
        <v/>
      </c>
      <c r="U98" s="36">
        <f>IF(AND(OR(sel_Region="All",C98=sel_Region),OR(sel_Country="All",D98=sel_Country),OR(sel_Channel="All",E98=sel_Channel),OR(sel_Customer="All",F98=sel_Customer),OR(sel_Category="All",G98=sel_Category),OR(sel_Product="All",H98=sel_Product),AND(S98&gt;=m_From,S98&lt;=m_To)),1,0)</f>
        <v/>
      </c>
      <c r="V98" s="36">
        <f>IF(AND(OR(sel_Region="All",C98=sel_Region),OR(sel_Channel="All",E98=sel_Channel),OR(sel_Customer="All",F98=sel_Customer),OR(sel_Category="All",G98=sel_Category),OR(sel_Product="All",H98=sel_Product),AND(S98&gt;=m_From,S98&lt;=m_To)),1,0)</f>
        <v/>
      </c>
      <c r="W98" s="36">
        <f>IF(AND(OR(sel_Region="All",C98=sel_Region),OR(sel_Country="All",D98=sel_Country),OR(sel_Customer="All",F98=sel_Customer),OR(sel_Category="All",G98=sel_Category),OR(sel_Product="All",H98=sel_Product),AND(S98&gt;=m_From,S98&lt;=m_To)),1,0)</f>
        <v/>
      </c>
      <c r="X98" s="36">
        <f>IF(AND(OR(sel_Region="All",C98=sel_Region),OR(sel_Country="All",D98=sel_Country),OR(sel_Channel="All",E98=sel_Channel),OR(sel_Category="All",G98=sel_Category),OR(sel_Product="All",H98=sel_Product),AND(S98&gt;=m_From,S98&lt;=m_To)),1,0)</f>
        <v/>
      </c>
      <c r="Y98" s="36">
        <f>IF(AND(OR(sel_Region="All",C98=sel_Region),OR(sel_Country="All",D98=sel_Country),OR(sel_Channel="All",E98=sel_Channel),OR(sel_Customer="All",F98=sel_Customer),OR(sel_Product="All",H98=sel_Product),AND(S98&gt;=m_From,S98&lt;=m_To)),1,0)</f>
        <v/>
      </c>
      <c r="Z98" s="36">
        <f>IF(AND(OR(sel_Region="All",C98=sel_Region),OR(sel_Country="All",D98=sel_Country),OR(sel_Channel="All",E98=sel_Channel),OR(sel_Customer="All",F98=sel_Customer),OR(sel_Category="All",G98=sel_Category),AND(S98&gt;=m_From,S98&lt;=m_To)),1,0)</f>
        <v/>
      </c>
      <c r="AA98" s="36">
        <f>IF(AND(OR(sel_Region="All",C98=sel_Region),OR(sel_Country="All",D98=sel_Country),OR(sel_Channel="All",E98=sel_Channel),OR(sel_Customer="All",F98=sel_Customer),OR(sel_Category="All",G98=sel_Category),OR(sel_Product="All",H98=sel_Product)),1,0)</f>
        <v/>
      </c>
    </row>
    <row r="99">
      <c r="A99" s="36" t="inlineStr">
        <is>
          <t>04401</t>
        </is>
      </c>
      <c r="B99" s="44" t="n">
        <v>46043</v>
      </c>
      <c r="C99" s="36" t="inlineStr">
        <is>
          <t>Southern Europe</t>
        </is>
      </c>
      <c r="D99" s="36" t="inlineStr">
        <is>
          <t>Italy</t>
        </is>
      </c>
      <c r="E99" s="36" t="inlineStr">
        <is>
          <t>Online Store</t>
        </is>
      </c>
      <c r="F99" s="36" t="inlineStr">
        <is>
          <t>New</t>
        </is>
      </c>
      <c r="G99" s="36" t="inlineStr">
        <is>
          <t>Cycling</t>
        </is>
      </c>
      <c r="H99" s="36" t="inlineStr">
        <is>
          <t>Commuter Helmet</t>
        </is>
      </c>
      <c r="I99" s="36" t="n">
        <v>3</v>
      </c>
      <c r="J99" s="39" t="n">
        <v>83.34</v>
      </c>
      <c r="K99" s="45" t="n">
        <v>0</v>
      </c>
      <c r="L99" s="39" t="n">
        <v>41.44</v>
      </c>
      <c r="M99" s="39">
        <f>I99*J99*(1-K99)</f>
        <v/>
      </c>
      <c r="N99" s="39">
        <f>I99*L99</f>
        <v/>
      </c>
      <c r="O99" s="39">
        <f>M99-N99</f>
        <v/>
      </c>
      <c r="P99" s="38">
        <f>IF(M99=0,0,O99/M99)</f>
        <v/>
      </c>
      <c r="Q99" s="36">
        <f>YEAR(B99)</f>
        <v/>
      </c>
      <c r="R99" s="36">
        <f>"Q"&amp;ROUNDUP(MONTH(B99)/3,0)</f>
        <v/>
      </c>
      <c r="S99" s="36">
        <f>MONTH(B99)</f>
        <v/>
      </c>
      <c r="T99" s="36">
        <f>TEXT(B99,"mmm")</f>
        <v/>
      </c>
      <c r="U99" s="36">
        <f>IF(AND(OR(sel_Region="All",C99=sel_Region),OR(sel_Country="All",D99=sel_Country),OR(sel_Channel="All",E99=sel_Channel),OR(sel_Customer="All",F99=sel_Customer),OR(sel_Category="All",G99=sel_Category),OR(sel_Product="All",H99=sel_Product),AND(S99&gt;=m_From,S99&lt;=m_To)),1,0)</f>
        <v/>
      </c>
      <c r="V99" s="36">
        <f>IF(AND(OR(sel_Region="All",C99=sel_Region),OR(sel_Channel="All",E99=sel_Channel),OR(sel_Customer="All",F99=sel_Customer),OR(sel_Category="All",G99=sel_Category),OR(sel_Product="All",H99=sel_Product),AND(S99&gt;=m_From,S99&lt;=m_To)),1,0)</f>
        <v/>
      </c>
      <c r="W99" s="36">
        <f>IF(AND(OR(sel_Region="All",C99=sel_Region),OR(sel_Country="All",D99=sel_Country),OR(sel_Customer="All",F99=sel_Customer),OR(sel_Category="All",G99=sel_Category),OR(sel_Product="All",H99=sel_Product),AND(S99&gt;=m_From,S99&lt;=m_To)),1,0)</f>
        <v/>
      </c>
      <c r="X99" s="36">
        <f>IF(AND(OR(sel_Region="All",C99=sel_Region),OR(sel_Country="All",D99=sel_Country),OR(sel_Channel="All",E99=sel_Channel),OR(sel_Category="All",G99=sel_Category),OR(sel_Product="All",H99=sel_Product),AND(S99&gt;=m_From,S99&lt;=m_To)),1,0)</f>
        <v/>
      </c>
      <c r="Y99" s="36">
        <f>IF(AND(OR(sel_Region="All",C99=sel_Region),OR(sel_Country="All",D99=sel_Country),OR(sel_Channel="All",E99=sel_Channel),OR(sel_Customer="All",F99=sel_Customer),OR(sel_Product="All",H99=sel_Product),AND(S99&gt;=m_From,S99&lt;=m_To)),1,0)</f>
        <v/>
      </c>
      <c r="Z99" s="36">
        <f>IF(AND(OR(sel_Region="All",C99=sel_Region),OR(sel_Country="All",D99=sel_Country),OR(sel_Channel="All",E99=sel_Channel),OR(sel_Customer="All",F99=sel_Customer),OR(sel_Category="All",G99=sel_Category),AND(S99&gt;=m_From,S99&lt;=m_To)),1,0)</f>
        <v/>
      </c>
      <c r="AA99" s="36">
        <f>IF(AND(OR(sel_Region="All",C99=sel_Region),OR(sel_Country="All",D99=sel_Country),OR(sel_Channel="All",E99=sel_Channel),OR(sel_Customer="All",F99=sel_Customer),OR(sel_Category="All",G99=sel_Category),OR(sel_Product="All",H99=sel_Product)),1,0)</f>
        <v/>
      </c>
    </row>
    <row r="100">
      <c r="A100" s="36" t="inlineStr">
        <is>
          <t>04864</t>
        </is>
      </c>
      <c r="B100" s="44" t="n">
        <v>46043</v>
      </c>
      <c r="C100" s="36" t="inlineStr">
        <is>
          <t>Western Europe</t>
        </is>
      </c>
      <c r="D100" s="36" t="inlineStr">
        <is>
          <t>France</t>
        </is>
      </c>
      <c r="E100" s="36" t="inlineStr">
        <is>
          <t>Online Store</t>
        </is>
      </c>
      <c r="F100" s="36" t="inlineStr">
        <is>
          <t>Returning</t>
        </is>
      </c>
      <c r="G100" s="36" t="inlineStr">
        <is>
          <t>Fitness</t>
        </is>
      </c>
      <c r="H100" s="36" t="inlineStr">
        <is>
          <t>Recovery Roller</t>
        </is>
      </c>
      <c r="I100" s="36" t="n">
        <v>1</v>
      </c>
      <c r="J100" s="39" t="n">
        <v>35.87</v>
      </c>
      <c r="K100" s="45" t="n">
        <v>0</v>
      </c>
      <c r="L100" s="39" t="n">
        <v>13.64</v>
      </c>
      <c r="M100" s="39">
        <f>I100*J100*(1-K100)</f>
        <v/>
      </c>
      <c r="N100" s="39">
        <f>I100*L100</f>
        <v/>
      </c>
      <c r="O100" s="39">
        <f>M100-N100</f>
        <v/>
      </c>
      <c r="P100" s="38">
        <f>IF(M100=0,0,O100/M100)</f>
        <v/>
      </c>
      <c r="Q100" s="36">
        <f>YEAR(B100)</f>
        <v/>
      </c>
      <c r="R100" s="36">
        <f>"Q"&amp;ROUNDUP(MONTH(B100)/3,0)</f>
        <v/>
      </c>
      <c r="S100" s="36">
        <f>MONTH(B100)</f>
        <v/>
      </c>
      <c r="T100" s="36">
        <f>TEXT(B100,"mmm")</f>
        <v/>
      </c>
      <c r="U100" s="36">
        <f>IF(AND(OR(sel_Region="All",C100=sel_Region),OR(sel_Country="All",D100=sel_Country),OR(sel_Channel="All",E100=sel_Channel),OR(sel_Customer="All",F100=sel_Customer),OR(sel_Category="All",G100=sel_Category),OR(sel_Product="All",H100=sel_Product),AND(S100&gt;=m_From,S100&lt;=m_To)),1,0)</f>
        <v/>
      </c>
      <c r="V100" s="36">
        <f>IF(AND(OR(sel_Region="All",C100=sel_Region),OR(sel_Channel="All",E100=sel_Channel),OR(sel_Customer="All",F100=sel_Customer),OR(sel_Category="All",G100=sel_Category),OR(sel_Product="All",H100=sel_Product),AND(S100&gt;=m_From,S100&lt;=m_To)),1,0)</f>
        <v/>
      </c>
      <c r="W100" s="36">
        <f>IF(AND(OR(sel_Region="All",C100=sel_Region),OR(sel_Country="All",D100=sel_Country),OR(sel_Customer="All",F100=sel_Customer),OR(sel_Category="All",G100=sel_Category),OR(sel_Product="All",H100=sel_Product),AND(S100&gt;=m_From,S100&lt;=m_To)),1,0)</f>
        <v/>
      </c>
      <c r="X100" s="36">
        <f>IF(AND(OR(sel_Region="All",C100=sel_Region),OR(sel_Country="All",D100=sel_Country),OR(sel_Channel="All",E100=sel_Channel),OR(sel_Category="All",G100=sel_Category),OR(sel_Product="All",H100=sel_Product),AND(S100&gt;=m_From,S100&lt;=m_To)),1,0)</f>
        <v/>
      </c>
      <c r="Y100" s="36">
        <f>IF(AND(OR(sel_Region="All",C100=sel_Region),OR(sel_Country="All",D100=sel_Country),OR(sel_Channel="All",E100=sel_Channel),OR(sel_Customer="All",F100=sel_Customer),OR(sel_Product="All",H100=sel_Product),AND(S100&gt;=m_From,S100&lt;=m_To)),1,0)</f>
        <v/>
      </c>
      <c r="Z100" s="36">
        <f>IF(AND(OR(sel_Region="All",C100=sel_Region),OR(sel_Country="All",D100=sel_Country),OR(sel_Channel="All",E100=sel_Channel),OR(sel_Customer="All",F100=sel_Customer),OR(sel_Category="All",G100=sel_Category),AND(S100&gt;=m_From,S100&lt;=m_To)),1,0)</f>
        <v/>
      </c>
      <c r="AA100" s="36">
        <f>IF(AND(OR(sel_Region="All",C100=sel_Region),OR(sel_Country="All",D100=sel_Country),OR(sel_Channel="All",E100=sel_Channel),OR(sel_Customer="All",F100=sel_Customer),OR(sel_Category="All",G100=sel_Category),OR(sel_Product="All",H100=sel_Product)),1,0)</f>
        <v/>
      </c>
    </row>
    <row r="101">
      <c r="A101" s="36" t="inlineStr">
        <is>
          <t>00347</t>
        </is>
      </c>
      <c r="B101" s="44" t="n">
        <v>46044</v>
      </c>
      <c r="C101" s="36" t="inlineStr">
        <is>
          <t>Western Europe</t>
        </is>
      </c>
      <c r="D101" s="36" t="inlineStr">
        <is>
          <t>Belgium</t>
        </is>
      </c>
      <c r="E101" s="36" t="inlineStr">
        <is>
          <t>Marketplace</t>
        </is>
      </c>
      <c r="F101" s="36" t="inlineStr">
        <is>
          <t>New</t>
        </is>
      </c>
      <c r="G101" s="36" t="inlineStr">
        <is>
          <t>Camping</t>
        </is>
      </c>
      <c r="H101" s="36" t="inlineStr">
        <is>
          <t>Trail Tent 2P</t>
        </is>
      </c>
      <c r="I101" s="36" t="n">
        <v>1</v>
      </c>
      <c r="J101" s="39" t="n">
        <v>199.42</v>
      </c>
      <c r="K101" s="45" t="n">
        <v>0.05</v>
      </c>
      <c r="L101" s="39" t="n">
        <v>101.82</v>
      </c>
      <c r="M101" s="39">
        <f>I101*J101*(1-K101)</f>
        <v/>
      </c>
      <c r="N101" s="39">
        <f>I101*L101</f>
        <v/>
      </c>
      <c r="O101" s="39">
        <f>M101-N101</f>
        <v/>
      </c>
      <c r="P101" s="38">
        <f>IF(M101=0,0,O101/M101)</f>
        <v/>
      </c>
      <c r="Q101" s="36">
        <f>YEAR(B101)</f>
        <v/>
      </c>
      <c r="R101" s="36">
        <f>"Q"&amp;ROUNDUP(MONTH(B101)/3,0)</f>
        <v/>
      </c>
      <c r="S101" s="36">
        <f>MONTH(B101)</f>
        <v/>
      </c>
      <c r="T101" s="36">
        <f>TEXT(B101,"mmm")</f>
        <v/>
      </c>
      <c r="U101" s="36">
        <f>IF(AND(OR(sel_Region="All",C101=sel_Region),OR(sel_Country="All",D101=sel_Country),OR(sel_Channel="All",E101=sel_Channel),OR(sel_Customer="All",F101=sel_Customer),OR(sel_Category="All",G101=sel_Category),OR(sel_Product="All",H101=sel_Product),AND(S101&gt;=m_From,S101&lt;=m_To)),1,0)</f>
        <v/>
      </c>
      <c r="V101" s="36">
        <f>IF(AND(OR(sel_Region="All",C101=sel_Region),OR(sel_Channel="All",E101=sel_Channel),OR(sel_Customer="All",F101=sel_Customer),OR(sel_Category="All",G101=sel_Category),OR(sel_Product="All",H101=sel_Product),AND(S101&gt;=m_From,S101&lt;=m_To)),1,0)</f>
        <v/>
      </c>
      <c r="W101" s="36">
        <f>IF(AND(OR(sel_Region="All",C101=sel_Region),OR(sel_Country="All",D101=sel_Country),OR(sel_Customer="All",F101=sel_Customer),OR(sel_Category="All",G101=sel_Category),OR(sel_Product="All",H101=sel_Product),AND(S101&gt;=m_From,S101&lt;=m_To)),1,0)</f>
        <v/>
      </c>
      <c r="X101" s="36">
        <f>IF(AND(OR(sel_Region="All",C101=sel_Region),OR(sel_Country="All",D101=sel_Country),OR(sel_Channel="All",E101=sel_Channel),OR(sel_Category="All",G101=sel_Category),OR(sel_Product="All",H101=sel_Product),AND(S101&gt;=m_From,S101&lt;=m_To)),1,0)</f>
        <v/>
      </c>
      <c r="Y101" s="36">
        <f>IF(AND(OR(sel_Region="All",C101=sel_Region),OR(sel_Country="All",D101=sel_Country),OR(sel_Channel="All",E101=sel_Channel),OR(sel_Customer="All",F101=sel_Customer),OR(sel_Product="All",H101=sel_Product),AND(S101&gt;=m_From,S101&lt;=m_To)),1,0)</f>
        <v/>
      </c>
      <c r="Z101" s="36">
        <f>IF(AND(OR(sel_Region="All",C101=sel_Region),OR(sel_Country="All",D101=sel_Country),OR(sel_Channel="All",E101=sel_Channel),OR(sel_Customer="All",F101=sel_Customer),OR(sel_Category="All",G101=sel_Category),AND(S101&gt;=m_From,S101&lt;=m_To)),1,0)</f>
        <v/>
      </c>
      <c r="AA101" s="36">
        <f>IF(AND(OR(sel_Region="All",C101=sel_Region),OR(sel_Country="All",D101=sel_Country),OR(sel_Channel="All",E101=sel_Channel),OR(sel_Customer="All",F101=sel_Customer),OR(sel_Category="All",G101=sel_Category),OR(sel_Product="All",H101=sel_Product)),1,0)</f>
        <v/>
      </c>
    </row>
    <row r="102">
      <c r="A102" s="36" t="inlineStr">
        <is>
          <t>02051</t>
        </is>
      </c>
      <c r="B102" s="44" t="n">
        <v>46044</v>
      </c>
      <c r="C102" s="36" t="inlineStr">
        <is>
          <t>Northern Europe</t>
        </is>
      </c>
      <c r="D102" s="36" t="inlineStr">
        <is>
          <t>Denmark</t>
        </is>
      </c>
      <c r="E102" s="36" t="inlineStr">
        <is>
          <t>Online Store</t>
        </is>
      </c>
      <c r="F102" s="36" t="inlineStr">
        <is>
          <t>New</t>
        </is>
      </c>
      <c r="G102" s="36" t="inlineStr">
        <is>
          <t>Camping</t>
        </is>
      </c>
      <c r="H102" s="36" t="inlineStr">
        <is>
          <t>Alpine Tent 4P</t>
        </is>
      </c>
      <c r="I102" s="36" t="n">
        <v>3</v>
      </c>
      <c r="J102" s="39" t="n">
        <v>347.41</v>
      </c>
      <c r="K102" s="45" t="n">
        <v>0.1</v>
      </c>
      <c r="L102" s="39" t="n">
        <v>192.13</v>
      </c>
      <c r="M102" s="39">
        <f>I102*J102*(1-K102)</f>
        <v/>
      </c>
      <c r="N102" s="39">
        <f>I102*L102</f>
        <v/>
      </c>
      <c r="O102" s="39">
        <f>M102-N102</f>
        <v/>
      </c>
      <c r="P102" s="38">
        <f>IF(M102=0,0,O102/M102)</f>
        <v/>
      </c>
      <c r="Q102" s="36">
        <f>YEAR(B102)</f>
        <v/>
      </c>
      <c r="R102" s="36">
        <f>"Q"&amp;ROUNDUP(MONTH(B102)/3,0)</f>
        <v/>
      </c>
      <c r="S102" s="36">
        <f>MONTH(B102)</f>
        <v/>
      </c>
      <c r="T102" s="36">
        <f>TEXT(B102,"mmm")</f>
        <v/>
      </c>
      <c r="U102" s="36">
        <f>IF(AND(OR(sel_Region="All",C102=sel_Region),OR(sel_Country="All",D102=sel_Country),OR(sel_Channel="All",E102=sel_Channel),OR(sel_Customer="All",F102=sel_Customer),OR(sel_Category="All",G102=sel_Category),OR(sel_Product="All",H102=sel_Product),AND(S102&gt;=m_From,S102&lt;=m_To)),1,0)</f>
        <v/>
      </c>
      <c r="V102" s="36">
        <f>IF(AND(OR(sel_Region="All",C102=sel_Region),OR(sel_Channel="All",E102=sel_Channel),OR(sel_Customer="All",F102=sel_Customer),OR(sel_Category="All",G102=sel_Category),OR(sel_Product="All",H102=sel_Product),AND(S102&gt;=m_From,S102&lt;=m_To)),1,0)</f>
        <v/>
      </c>
      <c r="W102" s="36">
        <f>IF(AND(OR(sel_Region="All",C102=sel_Region),OR(sel_Country="All",D102=sel_Country),OR(sel_Customer="All",F102=sel_Customer),OR(sel_Category="All",G102=sel_Category),OR(sel_Product="All",H102=sel_Product),AND(S102&gt;=m_From,S102&lt;=m_To)),1,0)</f>
        <v/>
      </c>
      <c r="X102" s="36">
        <f>IF(AND(OR(sel_Region="All",C102=sel_Region),OR(sel_Country="All",D102=sel_Country),OR(sel_Channel="All",E102=sel_Channel),OR(sel_Category="All",G102=sel_Category),OR(sel_Product="All",H102=sel_Product),AND(S102&gt;=m_From,S102&lt;=m_To)),1,0)</f>
        <v/>
      </c>
      <c r="Y102" s="36">
        <f>IF(AND(OR(sel_Region="All",C102=sel_Region),OR(sel_Country="All",D102=sel_Country),OR(sel_Channel="All",E102=sel_Channel),OR(sel_Customer="All",F102=sel_Customer),OR(sel_Product="All",H102=sel_Product),AND(S102&gt;=m_From,S102&lt;=m_To)),1,0)</f>
        <v/>
      </c>
      <c r="Z102" s="36">
        <f>IF(AND(OR(sel_Region="All",C102=sel_Region),OR(sel_Country="All",D102=sel_Country),OR(sel_Channel="All",E102=sel_Channel),OR(sel_Customer="All",F102=sel_Customer),OR(sel_Category="All",G102=sel_Category),AND(S102&gt;=m_From,S102&lt;=m_To)),1,0)</f>
        <v/>
      </c>
      <c r="AA102" s="36">
        <f>IF(AND(OR(sel_Region="All",C102=sel_Region),OR(sel_Country="All",D102=sel_Country),OR(sel_Channel="All",E102=sel_Channel),OR(sel_Customer="All",F102=sel_Customer),OR(sel_Category="All",G102=sel_Category),OR(sel_Product="All",H102=sel_Product)),1,0)</f>
        <v/>
      </c>
    </row>
    <row r="103">
      <c r="A103" s="36" t="inlineStr">
        <is>
          <t>02314</t>
        </is>
      </c>
      <c r="B103" s="44" t="n">
        <v>46044</v>
      </c>
      <c r="C103" s="36" t="inlineStr">
        <is>
          <t>Southern Europe</t>
        </is>
      </c>
      <c r="D103" s="36" t="inlineStr">
        <is>
          <t>Portugal</t>
        </is>
      </c>
      <c r="E103" s="36" t="inlineStr">
        <is>
          <t>Online Store</t>
        </is>
      </c>
      <c r="F103" s="36" t="inlineStr">
        <is>
          <t>New</t>
        </is>
      </c>
      <c r="G103" s="36" t="inlineStr">
        <is>
          <t>Cycling</t>
        </is>
      </c>
      <c r="H103" s="36" t="inlineStr">
        <is>
          <t>Compact Repair Kit</t>
        </is>
      </c>
      <c r="I103" s="36" t="n">
        <v>1</v>
      </c>
      <c r="J103" s="39" t="n">
        <v>40.28</v>
      </c>
      <c r="K103" s="45" t="n">
        <v>0</v>
      </c>
      <c r="L103" s="39" t="n">
        <v>16.79</v>
      </c>
      <c r="M103" s="39">
        <f>I103*J103*(1-K103)</f>
        <v/>
      </c>
      <c r="N103" s="39">
        <f>I103*L103</f>
        <v/>
      </c>
      <c r="O103" s="39">
        <f>M103-N103</f>
        <v/>
      </c>
      <c r="P103" s="38">
        <f>IF(M103=0,0,O103/M103)</f>
        <v/>
      </c>
      <c r="Q103" s="36">
        <f>YEAR(B103)</f>
        <v/>
      </c>
      <c r="R103" s="36">
        <f>"Q"&amp;ROUNDUP(MONTH(B103)/3,0)</f>
        <v/>
      </c>
      <c r="S103" s="36">
        <f>MONTH(B103)</f>
        <v/>
      </c>
      <c r="T103" s="36">
        <f>TEXT(B103,"mmm")</f>
        <v/>
      </c>
      <c r="U103" s="36">
        <f>IF(AND(OR(sel_Region="All",C103=sel_Region),OR(sel_Country="All",D103=sel_Country),OR(sel_Channel="All",E103=sel_Channel),OR(sel_Customer="All",F103=sel_Customer),OR(sel_Category="All",G103=sel_Category),OR(sel_Product="All",H103=sel_Product),AND(S103&gt;=m_From,S103&lt;=m_To)),1,0)</f>
        <v/>
      </c>
      <c r="V103" s="36">
        <f>IF(AND(OR(sel_Region="All",C103=sel_Region),OR(sel_Channel="All",E103=sel_Channel),OR(sel_Customer="All",F103=sel_Customer),OR(sel_Category="All",G103=sel_Category),OR(sel_Product="All",H103=sel_Product),AND(S103&gt;=m_From,S103&lt;=m_To)),1,0)</f>
        <v/>
      </c>
      <c r="W103" s="36">
        <f>IF(AND(OR(sel_Region="All",C103=sel_Region),OR(sel_Country="All",D103=sel_Country),OR(sel_Customer="All",F103=sel_Customer),OR(sel_Category="All",G103=sel_Category),OR(sel_Product="All",H103=sel_Product),AND(S103&gt;=m_From,S103&lt;=m_To)),1,0)</f>
        <v/>
      </c>
      <c r="X103" s="36">
        <f>IF(AND(OR(sel_Region="All",C103=sel_Region),OR(sel_Country="All",D103=sel_Country),OR(sel_Channel="All",E103=sel_Channel),OR(sel_Category="All",G103=sel_Category),OR(sel_Product="All",H103=sel_Product),AND(S103&gt;=m_From,S103&lt;=m_To)),1,0)</f>
        <v/>
      </c>
      <c r="Y103" s="36">
        <f>IF(AND(OR(sel_Region="All",C103=sel_Region),OR(sel_Country="All",D103=sel_Country),OR(sel_Channel="All",E103=sel_Channel),OR(sel_Customer="All",F103=sel_Customer),OR(sel_Product="All",H103=sel_Product),AND(S103&gt;=m_From,S103&lt;=m_To)),1,0)</f>
        <v/>
      </c>
      <c r="Z103" s="36">
        <f>IF(AND(OR(sel_Region="All",C103=sel_Region),OR(sel_Country="All",D103=sel_Country),OR(sel_Channel="All",E103=sel_Channel),OR(sel_Customer="All",F103=sel_Customer),OR(sel_Category="All",G103=sel_Category),AND(S103&gt;=m_From,S103&lt;=m_To)),1,0)</f>
        <v/>
      </c>
      <c r="AA103" s="36">
        <f>IF(AND(OR(sel_Region="All",C103=sel_Region),OR(sel_Country="All",D103=sel_Country),OR(sel_Channel="All",E103=sel_Channel),OR(sel_Customer="All",F103=sel_Customer),OR(sel_Category="All",G103=sel_Category),OR(sel_Product="All",H103=sel_Product)),1,0)</f>
        <v/>
      </c>
    </row>
    <row r="104">
      <c r="A104" s="36" t="inlineStr">
        <is>
          <t>03861</t>
        </is>
      </c>
      <c r="B104" s="44" t="n">
        <v>46044</v>
      </c>
      <c r="C104" s="36" t="inlineStr">
        <is>
          <t>Western Europe</t>
        </is>
      </c>
      <c r="D104" s="36" t="inlineStr">
        <is>
          <t>France</t>
        </is>
      </c>
      <c r="E104" s="36" t="inlineStr">
        <is>
          <t>Online Store</t>
        </is>
      </c>
      <c r="F104" s="36" t="inlineStr">
        <is>
          <t>Returning</t>
        </is>
      </c>
      <c r="G104" s="36" t="inlineStr">
        <is>
          <t>Camping</t>
        </is>
      </c>
      <c r="H104" s="36" t="inlineStr">
        <is>
          <t>Trail Tent 2P</t>
        </is>
      </c>
      <c r="I104" s="36" t="n">
        <v>3</v>
      </c>
      <c r="J104" s="39" t="n">
        <v>195.49</v>
      </c>
      <c r="K104" s="45" t="n">
        <v>0.05</v>
      </c>
      <c r="L104" s="39" t="n">
        <v>106.38</v>
      </c>
      <c r="M104" s="39">
        <f>I104*J104*(1-K104)</f>
        <v/>
      </c>
      <c r="N104" s="39">
        <f>I104*L104</f>
        <v/>
      </c>
      <c r="O104" s="39">
        <f>M104-N104</f>
        <v/>
      </c>
      <c r="P104" s="38">
        <f>IF(M104=0,0,O104/M104)</f>
        <v/>
      </c>
      <c r="Q104" s="36">
        <f>YEAR(B104)</f>
        <v/>
      </c>
      <c r="R104" s="36">
        <f>"Q"&amp;ROUNDUP(MONTH(B104)/3,0)</f>
        <v/>
      </c>
      <c r="S104" s="36">
        <f>MONTH(B104)</f>
        <v/>
      </c>
      <c r="T104" s="36">
        <f>TEXT(B104,"mmm")</f>
        <v/>
      </c>
      <c r="U104" s="36">
        <f>IF(AND(OR(sel_Region="All",C104=sel_Region),OR(sel_Country="All",D104=sel_Country),OR(sel_Channel="All",E104=sel_Channel),OR(sel_Customer="All",F104=sel_Customer),OR(sel_Category="All",G104=sel_Category),OR(sel_Product="All",H104=sel_Product),AND(S104&gt;=m_From,S104&lt;=m_To)),1,0)</f>
        <v/>
      </c>
      <c r="V104" s="36">
        <f>IF(AND(OR(sel_Region="All",C104=sel_Region),OR(sel_Channel="All",E104=sel_Channel),OR(sel_Customer="All",F104=sel_Customer),OR(sel_Category="All",G104=sel_Category),OR(sel_Product="All",H104=sel_Product),AND(S104&gt;=m_From,S104&lt;=m_To)),1,0)</f>
        <v/>
      </c>
      <c r="W104" s="36">
        <f>IF(AND(OR(sel_Region="All",C104=sel_Region),OR(sel_Country="All",D104=sel_Country),OR(sel_Customer="All",F104=sel_Customer),OR(sel_Category="All",G104=sel_Category),OR(sel_Product="All",H104=sel_Product),AND(S104&gt;=m_From,S104&lt;=m_To)),1,0)</f>
        <v/>
      </c>
      <c r="X104" s="36">
        <f>IF(AND(OR(sel_Region="All",C104=sel_Region),OR(sel_Country="All",D104=sel_Country),OR(sel_Channel="All",E104=sel_Channel),OR(sel_Category="All",G104=sel_Category),OR(sel_Product="All",H104=sel_Product),AND(S104&gt;=m_From,S104&lt;=m_To)),1,0)</f>
        <v/>
      </c>
      <c r="Y104" s="36">
        <f>IF(AND(OR(sel_Region="All",C104=sel_Region),OR(sel_Country="All",D104=sel_Country),OR(sel_Channel="All",E104=sel_Channel),OR(sel_Customer="All",F104=sel_Customer),OR(sel_Product="All",H104=sel_Product),AND(S104&gt;=m_From,S104&lt;=m_To)),1,0)</f>
        <v/>
      </c>
      <c r="Z104" s="36">
        <f>IF(AND(OR(sel_Region="All",C104=sel_Region),OR(sel_Country="All",D104=sel_Country),OR(sel_Channel="All",E104=sel_Channel),OR(sel_Customer="All",F104=sel_Customer),OR(sel_Category="All",G104=sel_Category),AND(S104&gt;=m_From,S104&lt;=m_To)),1,0)</f>
        <v/>
      </c>
      <c r="AA104" s="36">
        <f>IF(AND(OR(sel_Region="All",C104=sel_Region),OR(sel_Country="All",D104=sel_Country),OR(sel_Channel="All",E104=sel_Channel),OR(sel_Customer="All",F104=sel_Customer),OR(sel_Category="All",G104=sel_Category),OR(sel_Product="All",H104=sel_Product)),1,0)</f>
        <v/>
      </c>
    </row>
    <row r="105">
      <c r="A105" s="36" t="inlineStr">
        <is>
          <t>00843</t>
        </is>
      </c>
      <c r="B105" s="44" t="n">
        <v>46045</v>
      </c>
      <c r="C105" s="36" t="inlineStr">
        <is>
          <t>Central Europe</t>
        </is>
      </c>
      <c r="D105" s="36" t="inlineStr">
        <is>
          <t>Switzerland</t>
        </is>
      </c>
      <c r="E105" s="36" t="inlineStr">
        <is>
          <t>Online Store</t>
        </is>
      </c>
      <c r="F105" s="36" t="inlineStr">
        <is>
          <t>Returning</t>
        </is>
      </c>
      <c r="G105" s="36" t="inlineStr">
        <is>
          <t>Fitness</t>
        </is>
      </c>
      <c r="H105" s="36" t="inlineStr">
        <is>
          <t>Recovery Roller</t>
        </is>
      </c>
      <c r="I105" s="36" t="n">
        <v>2</v>
      </c>
      <c r="J105" s="39" t="n">
        <v>35.75</v>
      </c>
      <c r="K105" s="45" t="n">
        <v>0</v>
      </c>
      <c r="L105" s="39" t="n">
        <v>13.94</v>
      </c>
      <c r="M105" s="39">
        <f>I105*J105*(1-K105)</f>
        <v/>
      </c>
      <c r="N105" s="39">
        <f>I105*L105</f>
        <v/>
      </c>
      <c r="O105" s="39">
        <f>M105-N105</f>
        <v/>
      </c>
      <c r="P105" s="38">
        <f>IF(M105=0,0,O105/M105)</f>
        <v/>
      </c>
      <c r="Q105" s="36">
        <f>YEAR(B105)</f>
        <v/>
      </c>
      <c r="R105" s="36">
        <f>"Q"&amp;ROUNDUP(MONTH(B105)/3,0)</f>
        <v/>
      </c>
      <c r="S105" s="36">
        <f>MONTH(B105)</f>
        <v/>
      </c>
      <c r="T105" s="36">
        <f>TEXT(B105,"mmm")</f>
        <v/>
      </c>
      <c r="U105" s="36">
        <f>IF(AND(OR(sel_Region="All",C105=sel_Region),OR(sel_Country="All",D105=sel_Country),OR(sel_Channel="All",E105=sel_Channel),OR(sel_Customer="All",F105=sel_Customer),OR(sel_Category="All",G105=sel_Category),OR(sel_Product="All",H105=sel_Product),AND(S105&gt;=m_From,S105&lt;=m_To)),1,0)</f>
        <v/>
      </c>
      <c r="V105" s="36">
        <f>IF(AND(OR(sel_Region="All",C105=sel_Region),OR(sel_Channel="All",E105=sel_Channel),OR(sel_Customer="All",F105=sel_Customer),OR(sel_Category="All",G105=sel_Category),OR(sel_Product="All",H105=sel_Product),AND(S105&gt;=m_From,S105&lt;=m_To)),1,0)</f>
        <v/>
      </c>
      <c r="W105" s="36">
        <f>IF(AND(OR(sel_Region="All",C105=sel_Region),OR(sel_Country="All",D105=sel_Country),OR(sel_Customer="All",F105=sel_Customer),OR(sel_Category="All",G105=sel_Category),OR(sel_Product="All",H105=sel_Product),AND(S105&gt;=m_From,S105&lt;=m_To)),1,0)</f>
        <v/>
      </c>
      <c r="X105" s="36">
        <f>IF(AND(OR(sel_Region="All",C105=sel_Region),OR(sel_Country="All",D105=sel_Country),OR(sel_Channel="All",E105=sel_Channel),OR(sel_Category="All",G105=sel_Category),OR(sel_Product="All",H105=sel_Product),AND(S105&gt;=m_From,S105&lt;=m_To)),1,0)</f>
        <v/>
      </c>
      <c r="Y105" s="36">
        <f>IF(AND(OR(sel_Region="All",C105=sel_Region),OR(sel_Country="All",D105=sel_Country),OR(sel_Channel="All",E105=sel_Channel),OR(sel_Customer="All",F105=sel_Customer),OR(sel_Product="All",H105=sel_Product),AND(S105&gt;=m_From,S105&lt;=m_To)),1,0)</f>
        <v/>
      </c>
      <c r="Z105" s="36">
        <f>IF(AND(OR(sel_Region="All",C105=sel_Region),OR(sel_Country="All",D105=sel_Country),OR(sel_Channel="All",E105=sel_Channel),OR(sel_Customer="All",F105=sel_Customer),OR(sel_Category="All",G105=sel_Category),AND(S105&gt;=m_From,S105&lt;=m_To)),1,0)</f>
        <v/>
      </c>
      <c r="AA105" s="36">
        <f>IF(AND(OR(sel_Region="All",C105=sel_Region),OR(sel_Country="All",D105=sel_Country),OR(sel_Channel="All",E105=sel_Channel),OR(sel_Customer="All",F105=sel_Customer),OR(sel_Category="All",G105=sel_Category),OR(sel_Product="All",H105=sel_Product)),1,0)</f>
        <v/>
      </c>
    </row>
    <row r="106">
      <c r="A106" s="36" t="inlineStr">
        <is>
          <t>00868</t>
        </is>
      </c>
      <c r="B106" s="44" t="n">
        <v>46045</v>
      </c>
      <c r="C106" s="36" t="inlineStr">
        <is>
          <t>Southern Europe</t>
        </is>
      </c>
      <c r="D106" s="36" t="inlineStr">
        <is>
          <t>Italy</t>
        </is>
      </c>
      <c r="E106" s="36" t="inlineStr">
        <is>
          <t>Online Store</t>
        </is>
      </c>
      <c r="F106" s="36" t="inlineStr">
        <is>
          <t>Returning</t>
        </is>
      </c>
      <c r="G106" s="36" t="inlineStr">
        <is>
          <t>Cycling</t>
        </is>
      </c>
      <c r="H106" s="36" t="inlineStr">
        <is>
          <t>Cycling Pack 12L</t>
        </is>
      </c>
      <c r="I106" s="36" t="n">
        <v>1</v>
      </c>
      <c r="J106" s="39" t="n">
        <v>103.39</v>
      </c>
      <c r="K106" s="45" t="n">
        <v>0</v>
      </c>
      <c r="L106" s="39" t="n">
        <v>51.32</v>
      </c>
      <c r="M106" s="39">
        <f>I106*J106*(1-K106)</f>
        <v/>
      </c>
      <c r="N106" s="39">
        <f>I106*L106</f>
        <v/>
      </c>
      <c r="O106" s="39">
        <f>M106-N106</f>
        <v/>
      </c>
      <c r="P106" s="38">
        <f>IF(M106=0,0,O106/M106)</f>
        <v/>
      </c>
      <c r="Q106" s="36">
        <f>YEAR(B106)</f>
        <v/>
      </c>
      <c r="R106" s="36">
        <f>"Q"&amp;ROUNDUP(MONTH(B106)/3,0)</f>
        <v/>
      </c>
      <c r="S106" s="36">
        <f>MONTH(B106)</f>
        <v/>
      </c>
      <c r="T106" s="36">
        <f>TEXT(B106,"mmm")</f>
        <v/>
      </c>
      <c r="U106" s="36">
        <f>IF(AND(OR(sel_Region="All",C106=sel_Region),OR(sel_Country="All",D106=sel_Country),OR(sel_Channel="All",E106=sel_Channel),OR(sel_Customer="All",F106=sel_Customer),OR(sel_Category="All",G106=sel_Category),OR(sel_Product="All",H106=sel_Product),AND(S106&gt;=m_From,S106&lt;=m_To)),1,0)</f>
        <v/>
      </c>
      <c r="V106" s="36">
        <f>IF(AND(OR(sel_Region="All",C106=sel_Region),OR(sel_Channel="All",E106=sel_Channel),OR(sel_Customer="All",F106=sel_Customer),OR(sel_Category="All",G106=sel_Category),OR(sel_Product="All",H106=sel_Product),AND(S106&gt;=m_From,S106&lt;=m_To)),1,0)</f>
        <v/>
      </c>
      <c r="W106" s="36">
        <f>IF(AND(OR(sel_Region="All",C106=sel_Region),OR(sel_Country="All",D106=sel_Country),OR(sel_Customer="All",F106=sel_Customer),OR(sel_Category="All",G106=sel_Category),OR(sel_Product="All",H106=sel_Product),AND(S106&gt;=m_From,S106&lt;=m_To)),1,0)</f>
        <v/>
      </c>
      <c r="X106" s="36">
        <f>IF(AND(OR(sel_Region="All",C106=sel_Region),OR(sel_Country="All",D106=sel_Country),OR(sel_Channel="All",E106=sel_Channel),OR(sel_Category="All",G106=sel_Category),OR(sel_Product="All",H106=sel_Product),AND(S106&gt;=m_From,S106&lt;=m_To)),1,0)</f>
        <v/>
      </c>
      <c r="Y106" s="36">
        <f>IF(AND(OR(sel_Region="All",C106=sel_Region),OR(sel_Country="All",D106=sel_Country),OR(sel_Channel="All",E106=sel_Channel),OR(sel_Customer="All",F106=sel_Customer),OR(sel_Product="All",H106=sel_Product),AND(S106&gt;=m_From,S106&lt;=m_To)),1,0)</f>
        <v/>
      </c>
      <c r="Z106" s="36">
        <f>IF(AND(OR(sel_Region="All",C106=sel_Region),OR(sel_Country="All",D106=sel_Country),OR(sel_Channel="All",E106=sel_Channel),OR(sel_Customer="All",F106=sel_Customer),OR(sel_Category="All",G106=sel_Category),AND(S106&gt;=m_From,S106&lt;=m_To)),1,0)</f>
        <v/>
      </c>
      <c r="AA106" s="36">
        <f>IF(AND(OR(sel_Region="All",C106=sel_Region),OR(sel_Country="All",D106=sel_Country),OR(sel_Channel="All",E106=sel_Channel),OR(sel_Customer="All",F106=sel_Customer),OR(sel_Category="All",G106=sel_Category),OR(sel_Product="All",H106=sel_Product)),1,0)</f>
        <v/>
      </c>
    </row>
    <row r="107">
      <c r="A107" s="36" t="inlineStr">
        <is>
          <t>00890</t>
        </is>
      </c>
      <c r="B107" s="44" t="n">
        <v>46045</v>
      </c>
      <c r="C107" s="36" t="inlineStr">
        <is>
          <t>Southern Europe</t>
        </is>
      </c>
      <c r="D107" s="36" t="inlineStr">
        <is>
          <t>Italy</t>
        </is>
      </c>
      <c r="E107" s="36" t="inlineStr">
        <is>
          <t>Online Store</t>
        </is>
      </c>
      <c r="F107" s="36" t="inlineStr">
        <is>
          <t>New</t>
        </is>
      </c>
      <c r="G107" s="36" t="inlineStr">
        <is>
          <t>Camping</t>
        </is>
      </c>
      <c r="H107" s="36" t="inlineStr">
        <is>
          <t>Portable Camp Stove</t>
        </is>
      </c>
      <c r="I107" s="36" t="n">
        <v>3</v>
      </c>
      <c r="J107" s="39" t="n">
        <v>81.98</v>
      </c>
      <c r="K107" s="45" t="n">
        <v>0.1</v>
      </c>
      <c r="L107" s="39" t="n">
        <v>40.23</v>
      </c>
      <c r="M107" s="39">
        <f>I107*J107*(1-K107)</f>
        <v/>
      </c>
      <c r="N107" s="39">
        <f>I107*L107</f>
        <v/>
      </c>
      <c r="O107" s="39">
        <f>M107-N107</f>
        <v/>
      </c>
      <c r="P107" s="38">
        <f>IF(M107=0,0,O107/M107)</f>
        <v/>
      </c>
      <c r="Q107" s="36">
        <f>YEAR(B107)</f>
        <v/>
      </c>
      <c r="R107" s="36">
        <f>"Q"&amp;ROUNDUP(MONTH(B107)/3,0)</f>
        <v/>
      </c>
      <c r="S107" s="36">
        <f>MONTH(B107)</f>
        <v/>
      </c>
      <c r="T107" s="36">
        <f>TEXT(B107,"mmm")</f>
        <v/>
      </c>
      <c r="U107" s="36">
        <f>IF(AND(OR(sel_Region="All",C107=sel_Region),OR(sel_Country="All",D107=sel_Country),OR(sel_Channel="All",E107=sel_Channel),OR(sel_Customer="All",F107=sel_Customer),OR(sel_Category="All",G107=sel_Category),OR(sel_Product="All",H107=sel_Product),AND(S107&gt;=m_From,S107&lt;=m_To)),1,0)</f>
        <v/>
      </c>
      <c r="V107" s="36">
        <f>IF(AND(OR(sel_Region="All",C107=sel_Region),OR(sel_Channel="All",E107=sel_Channel),OR(sel_Customer="All",F107=sel_Customer),OR(sel_Category="All",G107=sel_Category),OR(sel_Product="All",H107=sel_Product),AND(S107&gt;=m_From,S107&lt;=m_To)),1,0)</f>
        <v/>
      </c>
      <c r="W107" s="36">
        <f>IF(AND(OR(sel_Region="All",C107=sel_Region),OR(sel_Country="All",D107=sel_Country),OR(sel_Customer="All",F107=sel_Customer),OR(sel_Category="All",G107=sel_Category),OR(sel_Product="All",H107=sel_Product),AND(S107&gt;=m_From,S107&lt;=m_To)),1,0)</f>
        <v/>
      </c>
      <c r="X107" s="36">
        <f>IF(AND(OR(sel_Region="All",C107=sel_Region),OR(sel_Country="All",D107=sel_Country),OR(sel_Channel="All",E107=sel_Channel),OR(sel_Category="All",G107=sel_Category),OR(sel_Product="All",H107=sel_Product),AND(S107&gt;=m_From,S107&lt;=m_To)),1,0)</f>
        <v/>
      </c>
      <c r="Y107" s="36">
        <f>IF(AND(OR(sel_Region="All",C107=sel_Region),OR(sel_Country="All",D107=sel_Country),OR(sel_Channel="All",E107=sel_Channel),OR(sel_Customer="All",F107=sel_Customer),OR(sel_Product="All",H107=sel_Product),AND(S107&gt;=m_From,S107&lt;=m_To)),1,0)</f>
        <v/>
      </c>
      <c r="Z107" s="36">
        <f>IF(AND(OR(sel_Region="All",C107=sel_Region),OR(sel_Country="All",D107=sel_Country),OR(sel_Channel="All",E107=sel_Channel),OR(sel_Customer="All",F107=sel_Customer),OR(sel_Category="All",G107=sel_Category),AND(S107&gt;=m_From,S107&lt;=m_To)),1,0)</f>
        <v/>
      </c>
      <c r="AA107" s="36">
        <f>IF(AND(OR(sel_Region="All",C107=sel_Region),OR(sel_Country="All",D107=sel_Country),OR(sel_Channel="All",E107=sel_Channel),OR(sel_Customer="All",F107=sel_Customer),OR(sel_Category="All",G107=sel_Category),OR(sel_Product="All",H107=sel_Product)),1,0)</f>
        <v/>
      </c>
    </row>
    <row r="108">
      <c r="A108" s="36" t="inlineStr">
        <is>
          <t>02185</t>
        </is>
      </c>
      <c r="B108" s="44" t="n">
        <v>46045</v>
      </c>
      <c r="C108" s="36" t="inlineStr">
        <is>
          <t>Northern Europe</t>
        </is>
      </c>
      <c r="D108" s="36" t="inlineStr">
        <is>
          <t>Sweden</t>
        </is>
      </c>
      <c r="E108" s="36" t="inlineStr">
        <is>
          <t>Corporate</t>
        </is>
      </c>
      <c r="F108" s="36" t="inlineStr">
        <is>
          <t>Business</t>
        </is>
      </c>
      <c r="G108" s="36" t="inlineStr">
        <is>
          <t>Camping</t>
        </is>
      </c>
      <c r="H108" s="36" t="inlineStr">
        <is>
          <t>Alpine Tent 4P</t>
        </is>
      </c>
      <c r="I108" s="36" t="n">
        <v>10</v>
      </c>
      <c r="J108" s="39" t="n">
        <v>337.69</v>
      </c>
      <c r="K108" s="45" t="n">
        <v>0.1</v>
      </c>
      <c r="L108" s="39" t="n">
        <v>200.27</v>
      </c>
      <c r="M108" s="39">
        <f>I108*J108*(1-K108)</f>
        <v/>
      </c>
      <c r="N108" s="39">
        <f>I108*L108</f>
        <v/>
      </c>
      <c r="O108" s="39">
        <f>M108-N108</f>
        <v/>
      </c>
      <c r="P108" s="38">
        <f>IF(M108=0,0,O108/M108)</f>
        <v/>
      </c>
      <c r="Q108" s="36">
        <f>YEAR(B108)</f>
        <v/>
      </c>
      <c r="R108" s="36">
        <f>"Q"&amp;ROUNDUP(MONTH(B108)/3,0)</f>
        <v/>
      </c>
      <c r="S108" s="36">
        <f>MONTH(B108)</f>
        <v/>
      </c>
      <c r="T108" s="36">
        <f>TEXT(B108,"mmm")</f>
        <v/>
      </c>
      <c r="U108" s="36">
        <f>IF(AND(OR(sel_Region="All",C108=sel_Region),OR(sel_Country="All",D108=sel_Country),OR(sel_Channel="All",E108=sel_Channel),OR(sel_Customer="All",F108=sel_Customer),OR(sel_Category="All",G108=sel_Category),OR(sel_Product="All",H108=sel_Product),AND(S108&gt;=m_From,S108&lt;=m_To)),1,0)</f>
        <v/>
      </c>
      <c r="V108" s="36">
        <f>IF(AND(OR(sel_Region="All",C108=sel_Region),OR(sel_Channel="All",E108=sel_Channel),OR(sel_Customer="All",F108=sel_Customer),OR(sel_Category="All",G108=sel_Category),OR(sel_Product="All",H108=sel_Product),AND(S108&gt;=m_From,S108&lt;=m_To)),1,0)</f>
        <v/>
      </c>
      <c r="W108" s="36">
        <f>IF(AND(OR(sel_Region="All",C108=sel_Region),OR(sel_Country="All",D108=sel_Country),OR(sel_Customer="All",F108=sel_Customer),OR(sel_Category="All",G108=sel_Category),OR(sel_Product="All",H108=sel_Product),AND(S108&gt;=m_From,S108&lt;=m_To)),1,0)</f>
        <v/>
      </c>
      <c r="X108" s="36">
        <f>IF(AND(OR(sel_Region="All",C108=sel_Region),OR(sel_Country="All",D108=sel_Country),OR(sel_Channel="All",E108=sel_Channel),OR(sel_Category="All",G108=sel_Category),OR(sel_Product="All",H108=sel_Product),AND(S108&gt;=m_From,S108&lt;=m_To)),1,0)</f>
        <v/>
      </c>
      <c r="Y108" s="36">
        <f>IF(AND(OR(sel_Region="All",C108=sel_Region),OR(sel_Country="All",D108=sel_Country),OR(sel_Channel="All",E108=sel_Channel),OR(sel_Customer="All",F108=sel_Customer),OR(sel_Product="All",H108=sel_Product),AND(S108&gt;=m_From,S108&lt;=m_To)),1,0)</f>
        <v/>
      </c>
      <c r="Z108" s="36">
        <f>IF(AND(OR(sel_Region="All",C108=sel_Region),OR(sel_Country="All",D108=sel_Country),OR(sel_Channel="All",E108=sel_Channel),OR(sel_Customer="All",F108=sel_Customer),OR(sel_Category="All",G108=sel_Category),AND(S108&gt;=m_From,S108&lt;=m_To)),1,0)</f>
        <v/>
      </c>
      <c r="AA108" s="36">
        <f>IF(AND(OR(sel_Region="All",C108=sel_Region),OR(sel_Country="All",D108=sel_Country),OR(sel_Channel="All",E108=sel_Channel),OR(sel_Customer="All",F108=sel_Customer),OR(sel_Category="All",G108=sel_Category),OR(sel_Product="All",H108=sel_Product)),1,0)</f>
        <v/>
      </c>
    </row>
    <row r="109">
      <c r="A109" s="36" t="inlineStr">
        <is>
          <t>02335</t>
        </is>
      </c>
      <c r="B109" s="44" t="n">
        <v>46045</v>
      </c>
      <c r="C109" s="36" t="inlineStr">
        <is>
          <t>Western Europe</t>
        </is>
      </c>
      <c r="D109" s="36" t="inlineStr">
        <is>
          <t>United Kingdom</t>
        </is>
      </c>
      <c r="E109" s="36" t="inlineStr">
        <is>
          <t>Online Store</t>
        </is>
      </c>
      <c r="F109" s="36" t="inlineStr">
        <is>
          <t>New</t>
        </is>
      </c>
      <c r="G109" s="36" t="inlineStr">
        <is>
          <t>Camping</t>
        </is>
      </c>
      <c r="H109" s="36" t="inlineStr">
        <is>
          <t>Alpine Tent 4P</t>
        </is>
      </c>
      <c r="I109" s="36" t="n">
        <v>2</v>
      </c>
      <c r="J109" s="39" t="n">
        <v>333.29</v>
      </c>
      <c r="K109" s="45" t="n">
        <v>0</v>
      </c>
      <c r="L109" s="39" t="n">
        <v>197.18</v>
      </c>
      <c r="M109" s="39">
        <f>I109*J109*(1-K109)</f>
        <v/>
      </c>
      <c r="N109" s="39">
        <f>I109*L109</f>
        <v/>
      </c>
      <c r="O109" s="39">
        <f>M109-N109</f>
        <v/>
      </c>
      <c r="P109" s="38">
        <f>IF(M109=0,0,O109/M109)</f>
        <v/>
      </c>
      <c r="Q109" s="36">
        <f>YEAR(B109)</f>
        <v/>
      </c>
      <c r="R109" s="36">
        <f>"Q"&amp;ROUNDUP(MONTH(B109)/3,0)</f>
        <v/>
      </c>
      <c r="S109" s="36">
        <f>MONTH(B109)</f>
        <v/>
      </c>
      <c r="T109" s="36">
        <f>TEXT(B109,"mmm")</f>
        <v/>
      </c>
      <c r="U109" s="36">
        <f>IF(AND(OR(sel_Region="All",C109=sel_Region),OR(sel_Country="All",D109=sel_Country),OR(sel_Channel="All",E109=sel_Channel),OR(sel_Customer="All",F109=sel_Customer),OR(sel_Category="All",G109=sel_Category),OR(sel_Product="All",H109=sel_Product),AND(S109&gt;=m_From,S109&lt;=m_To)),1,0)</f>
        <v/>
      </c>
      <c r="V109" s="36">
        <f>IF(AND(OR(sel_Region="All",C109=sel_Region),OR(sel_Channel="All",E109=sel_Channel),OR(sel_Customer="All",F109=sel_Customer),OR(sel_Category="All",G109=sel_Category),OR(sel_Product="All",H109=sel_Product),AND(S109&gt;=m_From,S109&lt;=m_To)),1,0)</f>
        <v/>
      </c>
      <c r="W109" s="36">
        <f>IF(AND(OR(sel_Region="All",C109=sel_Region),OR(sel_Country="All",D109=sel_Country),OR(sel_Customer="All",F109=sel_Customer),OR(sel_Category="All",G109=sel_Category),OR(sel_Product="All",H109=sel_Product),AND(S109&gt;=m_From,S109&lt;=m_To)),1,0)</f>
        <v/>
      </c>
      <c r="X109" s="36">
        <f>IF(AND(OR(sel_Region="All",C109=sel_Region),OR(sel_Country="All",D109=sel_Country),OR(sel_Channel="All",E109=sel_Channel),OR(sel_Category="All",G109=sel_Category),OR(sel_Product="All",H109=sel_Product),AND(S109&gt;=m_From,S109&lt;=m_To)),1,0)</f>
        <v/>
      </c>
      <c r="Y109" s="36">
        <f>IF(AND(OR(sel_Region="All",C109=sel_Region),OR(sel_Country="All",D109=sel_Country),OR(sel_Channel="All",E109=sel_Channel),OR(sel_Customer="All",F109=sel_Customer),OR(sel_Product="All",H109=sel_Product),AND(S109&gt;=m_From,S109&lt;=m_To)),1,0)</f>
        <v/>
      </c>
      <c r="Z109" s="36">
        <f>IF(AND(OR(sel_Region="All",C109=sel_Region),OR(sel_Country="All",D109=sel_Country),OR(sel_Channel="All",E109=sel_Channel),OR(sel_Customer="All",F109=sel_Customer),OR(sel_Category="All",G109=sel_Category),AND(S109&gt;=m_From,S109&lt;=m_To)),1,0)</f>
        <v/>
      </c>
      <c r="AA109" s="36">
        <f>IF(AND(OR(sel_Region="All",C109=sel_Region),OR(sel_Country="All",D109=sel_Country),OR(sel_Channel="All",E109=sel_Channel),OR(sel_Customer="All",F109=sel_Customer),OR(sel_Category="All",G109=sel_Category),OR(sel_Product="All",H109=sel_Product)),1,0)</f>
        <v/>
      </c>
    </row>
    <row r="110">
      <c r="A110" s="36" t="inlineStr">
        <is>
          <t>02784</t>
        </is>
      </c>
      <c r="B110" s="44" t="n">
        <v>46045</v>
      </c>
      <c r="C110" s="36" t="inlineStr">
        <is>
          <t>Southern Europe</t>
        </is>
      </c>
      <c r="D110" s="36" t="inlineStr">
        <is>
          <t>Italy</t>
        </is>
      </c>
      <c r="E110" s="36" t="inlineStr">
        <is>
          <t>Retail Partners</t>
        </is>
      </c>
      <c r="F110" s="36" t="inlineStr">
        <is>
          <t>New</t>
        </is>
      </c>
      <c r="G110" s="36" t="inlineStr">
        <is>
          <t>Cycling</t>
        </is>
      </c>
      <c r="H110" s="36" t="inlineStr">
        <is>
          <t>Commuter Helmet</t>
        </is>
      </c>
      <c r="I110" s="36" t="n">
        <v>1</v>
      </c>
      <c r="J110" s="39" t="n">
        <v>80.11</v>
      </c>
      <c r="K110" s="45" t="n">
        <v>0.05</v>
      </c>
      <c r="L110" s="39" t="n">
        <v>43.54</v>
      </c>
      <c r="M110" s="39">
        <f>I110*J110*(1-K110)</f>
        <v/>
      </c>
      <c r="N110" s="39">
        <f>I110*L110</f>
        <v/>
      </c>
      <c r="O110" s="39">
        <f>M110-N110</f>
        <v/>
      </c>
      <c r="P110" s="38">
        <f>IF(M110=0,0,O110/M110)</f>
        <v/>
      </c>
      <c r="Q110" s="36">
        <f>YEAR(B110)</f>
        <v/>
      </c>
      <c r="R110" s="36">
        <f>"Q"&amp;ROUNDUP(MONTH(B110)/3,0)</f>
        <v/>
      </c>
      <c r="S110" s="36">
        <f>MONTH(B110)</f>
        <v/>
      </c>
      <c r="T110" s="36">
        <f>TEXT(B110,"mmm")</f>
        <v/>
      </c>
      <c r="U110" s="36">
        <f>IF(AND(OR(sel_Region="All",C110=sel_Region),OR(sel_Country="All",D110=sel_Country),OR(sel_Channel="All",E110=sel_Channel),OR(sel_Customer="All",F110=sel_Customer),OR(sel_Category="All",G110=sel_Category),OR(sel_Product="All",H110=sel_Product),AND(S110&gt;=m_From,S110&lt;=m_To)),1,0)</f>
        <v/>
      </c>
      <c r="V110" s="36">
        <f>IF(AND(OR(sel_Region="All",C110=sel_Region),OR(sel_Channel="All",E110=sel_Channel),OR(sel_Customer="All",F110=sel_Customer),OR(sel_Category="All",G110=sel_Category),OR(sel_Product="All",H110=sel_Product),AND(S110&gt;=m_From,S110&lt;=m_To)),1,0)</f>
        <v/>
      </c>
      <c r="W110" s="36">
        <f>IF(AND(OR(sel_Region="All",C110=sel_Region),OR(sel_Country="All",D110=sel_Country),OR(sel_Customer="All",F110=sel_Customer),OR(sel_Category="All",G110=sel_Category),OR(sel_Product="All",H110=sel_Product),AND(S110&gt;=m_From,S110&lt;=m_To)),1,0)</f>
        <v/>
      </c>
      <c r="X110" s="36">
        <f>IF(AND(OR(sel_Region="All",C110=sel_Region),OR(sel_Country="All",D110=sel_Country),OR(sel_Channel="All",E110=sel_Channel),OR(sel_Category="All",G110=sel_Category),OR(sel_Product="All",H110=sel_Product),AND(S110&gt;=m_From,S110&lt;=m_To)),1,0)</f>
        <v/>
      </c>
      <c r="Y110" s="36">
        <f>IF(AND(OR(sel_Region="All",C110=sel_Region),OR(sel_Country="All",D110=sel_Country),OR(sel_Channel="All",E110=sel_Channel),OR(sel_Customer="All",F110=sel_Customer),OR(sel_Product="All",H110=sel_Product),AND(S110&gt;=m_From,S110&lt;=m_To)),1,0)</f>
        <v/>
      </c>
      <c r="Z110" s="36">
        <f>IF(AND(OR(sel_Region="All",C110=sel_Region),OR(sel_Country="All",D110=sel_Country),OR(sel_Channel="All",E110=sel_Channel),OR(sel_Customer="All",F110=sel_Customer),OR(sel_Category="All",G110=sel_Category),AND(S110&gt;=m_From,S110&lt;=m_To)),1,0)</f>
        <v/>
      </c>
      <c r="AA110" s="36">
        <f>IF(AND(OR(sel_Region="All",C110=sel_Region),OR(sel_Country="All",D110=sel_Country),OR(sel_Channel="All",E110=sel_Channel),OR(sel_Customer="All",F110=sel_Customer),OR(sel_Category="All",G110=sel_Category),OR(sel_Product="All",H110=sel_Product)),1,0)</f>
        <v/>
      </c>
    </row>
    <row r="111">
      <c r="A111" s="36" t="inlineStr">
        <is>
          <t>03820</t>
        </is>
      </c>
      <c r="B111" s="44" t="n">
        <v>46045</v>
      </c>
      <c r="C111" s="36" t="inlineStr">
        <is>
          <t>Western Europe</t>
        </is>
      </c>
      <c r="D111" s="36" t="inlineStr">
        <is>
          <t>France</t>
        </is>
      </c>
      <c r="E111" s="36" t="inlineStr">
        <is>
          <t>Retail Partners</t>
        </is>
      </c>
      <c r="F111" s="36" t="inlineStr">
        <is>
          <t>New</t>
        </is>
      </c>
      <c r="G111" s="36" t="inlineStr">
        <is>
          <t>Camping</t>
        </is>
      </c>
      <c r="H111" s="36" t="inlineStr">
        <is>
          <t>Portable Camp Stove</t>
        </is>
      </c>
      <c r="I111" s="36" t="n">
        <v>1</v>
      </c>
      <c r="J111" s="39" t="n">
        <v>82.59999999999999</v>
      </c>
      <c r="K111" s="45" t="n">
        <v>0.05</v>
      </c>
      <c r="L111" s="39" t="n">
        <v>38.3</v>
      </c>
      <c r="M111" s="39">
        <f>I111*J111*(1-K111)</f>
        <v/>
      </c>
      <c r="N111" s="39">
        <f>I111*L111</f>
        <v/>
      </c>
      <c r="O111" s="39">
        <f>M111-N111</f>
        <v/>
      </c>
      <c r="P111" s="38">
        <f>IF(M111=0,0,O111/M111)</f>
        <v/>
      </c>
      <c r="Q111" s="36">
        <f>YEAR(B111)</f>
        <v/>
      </c>
      <c r="R111" s="36">
        <f>"Q"&amp;ROUNDUP(MONTH(B111)/3,0)</f>
        <v/>
      </c>
      <c r="S111" s="36">
        <f>MONTH(B111)</f>
        <v/>
      </c>
      <c r="T111" s="36">
        <f>TEXT(B111,"mmm")</f>
        <v/>
      </c>
      <c r="U111" s="36">
        <f>IF(AND(OR(sel_Region="All",C111=sel_Region),OR(sel_Country="All",D111=sel_Country),OR(sel_Channel="All",E111=sel_Channel),OR(sel_Customer="All",F111=sel_Customer),OR(sel_Category="All",G111=sel_Category),OR(sel_Product="All",H111=sel_Product),AND(S111&gt;=m_From,S111&lt;=m_To)),1,0)</f>
        <v/>
      </c>
      <c r="V111" s="36">
        <f>IF(AND(OR(sel_Region="All",C111=sel_Region),OR(sel_Channel="All",E111=sel_Channel),OR(sel_Customer="All",F111=sel_Customer),OR(sel_Category="All",G111=sel_Category),OR(sel_Product="All",H111=sel_Product),AND(S111&gt;=m_From,S111&lt;=m_To)),1,0)</f>
        <v/>
      </c>
      <c r="W111" s="36">
        <f>IF(AND(OR(sel_Region="All",C111=sel_Region),OR(sel_Country="All",D111=sel_Country),OR(sel_Customer="All",F111=sel_Customer),OR(sel_Category="All",G111=sel_Category),OR(sel_Product="All",H111=sel_Product),AND(S111&gt;=m_From,S111&lt;=m_To)),1,0)</f>
        <v/>
      </c>
      <c r="X111" s="36">
        <f>IF(AND(OR(sel_Region="All",C111=sel_Region),OR(sel_Country="All",D111=sel_Country),OR(sel_Channel="All",E111=sel_Channel),OR(sel_Category="All",G111=sel_Category),OR(sel_Product="All",H111=sel_Product),AND(S111&gt;=m_From,S111&lt;=m_To)),1,0)</f>
        <v/>
      </c>
      <c r="Y111" s="36">
        <f>IF(AND(OR(sel_Region="All",C111=sel_Region),OR(sel_Country="All",D111=sel_Country),OR(sel_Channel="All",E111=sel_Channel),OR(sel_Customer="All",F111=sel_Customer),OR(sel_Product="All",H111=sel_Product),AND(S111&gt;=m_From,S111&lt;=m_To)),1,0)</f>
        <v/>
      </c>
      <c r="Z111" s="36">
        <f>IF(AND(OR(sel_Region="All",C111=sel_Region),OR(sel_Country="All",D111=sel_Country),OR(sel_Channel="All",E111=sel_Channel),OR(sel_Customer="All",F111=sel_Customer),OR(sel_Category="All",G111=sel_Category),AND(S111&gt;=m_From,S111&lt;=m_To)),1,0)</f>
        <v/>
      </c>
      <c r="AA111" s="36">
        <f>IF(AND(OR(sel_Region="All",C111=sel_Region),OR(sel_Country="All",D111=sel_Country),OR(sel_Channel="All",E111=sel_Channel),OR(sel_Customer="All",F111=sel_Customer),OR(sel_Category="All",G111=sel_Category),OR(sel_Product="All",H111=sel_Product)),1,0)</f>
        <v/>
      </c>
    </row>
    <row r="112">
      <c r="A112" s="36" t="inlineStr">
        <is>
          <t>00994</t>
        </is>
      </c>
      <c r="B112" s="44" t="n">
        <v>46046</v>
      </c>
      <c r="C112" s="36" t="inlineStr">
        <is>
          <t>Southern Europe</t>
        </is>
      </c>
      <c r="D112" s="36" t="inlineStr">
        <is>
          <t>Italy</t>
        </is>
      </c>
      <c r="E112" s="36" t="inlineStr">
        <is>
          <t>Online Store</t>
        </is>
      </c>
      <c r="F112" s="36" t="inlineStr">
        <is>
          <t>Returning</t>
        </is>
      </c>
      <c r="G112" s="36" t="inlineStr">
        <is>
          <t>Hiking</t>
        </is>
      </c>
      <c r="H112" s="36" t="inlineStr">
        <is>
          <t>Hiking Daypack 20L</t>
        </is>
      </c>
      <c r="I112" s="36" t="n">
        <v>1</v>
      </c>
      <c r="J112" s="39" t="n">
        <v>94.06999999999999</v>
      </c>
      <c r="K112" s="45" t="n">
        <v>0</v>
      </c>
      <c r="L112" s="39" t="n">
        <v>46.28</v>
      </c>
      <c r="M112" s="39">
        <f>I112*J112*(1-K112)</f>
        <v/>
      </c>
      <c r="N112" s="39">
        <f>I112*L112</f>
        <v/>
      </c>
      <c r="O112" s="39">
        <f>M112-N112</f>
        <v/>
      </c>
      <c r="P112" s="38">
        <f>IF(M112=0,0,O112/M112)</f>
        <v/>
      </c>
      <c r="Q112" s="36">
        <f>YEAR(B112)</f>
        <v/>
      </c>
      <c r="R112" s="36">
        <f>"Q"&amp;ROUNDUP(MONTH(B112)/3,0)</f>
        <v/>
      </c>
      <c r="S112" s="36">
        <f>MONTH(B112)</f>
        <v/>
      </c>
      <c r="T112" s="36">
        <f>TEXT(B112,"mmm")</f>
        <v/>
      </c>
      <c r="U112" s="36">
        <f>IF(AND(OR(sel_Region="All",C112=sel_Region),OR(sel_Country="All",D112=sel_Country),OR(sel_Channel="All",E112=sel_Channel),OR(sel_Customer="All",F112=sel_Customer),OR(sel_Category="All",G112=sel_Category),OR(sel_Product="All",H112=sel_Product),AND(S112&gt;=m_From,S112&lt;=m_To)),1,0)</f>
        <v/>
      </c>
      <c r="V112" s="36">
        <f>IF(AND(OR(sel_Region="All",C112=sel_Region),OR(sel_Channel="All",E112=sel_Channel),OR(sel_Customer="All",F112=sel_Customer),OR(sel_Category="All",G112=sel_Category),OR(sel_Product="All",H112=sel_Product),AND(S112&gt;=m_From,S112&lt;=m_To)),1,0)</f>
        <v/>
      </c>
      <c r="W112" s="36">
        <f>IF(AND(OR(sel_Region="All",C112=sel_Region),OR(sel_Country="All",D112=sel_Country),OR(sel_Customer="All",F112=sel_Customer),OR(sel_Category="All",G112=sel_Category),OR(sel_Product="All",H112=sel_Product),AND(S112&gt;=m_From,S112&lt;=m_To)),1,0)</f>
        <v/>
      </c>
      <c r="X112" s="36">
        <f>IF(AND(OR(sel_Region="All",C112=sel_Region),OR(sel_Country="All",D112=sel_Country),OR(sel_Channel="All",E112=sel_Channel),OR(sel_Category="All",G112=sel_Category),OR(sel_Product="All",H112=sel_Product),AND(S112&gt;=m_From,S112&lt;=m_To)),1,0)</f>
        <v/>
      </c>
      <c r="Y112" s="36">
        <f>IF(AND(OR(sel_Region="All",C112=sel_Region),OR(sel_Country="All",D112=sel_Country),OR(sel_Channel="All",E112=sel_Channel),OR(sel_Customer="All",F112=sel_Customer),OR(sel_Product="All",H112=sel_Product),AND(S112&gt;=m_From,S112&lt;=m_To)),1,0)</f>
        <v/>
      </c>
      <c r="Z112" s="36">
        <f>IF(AND(OR(sel_Region="All",C112=sel_Region),OR(sel_Country="All",D112=sel_Country),OR(sel_Channel="All",E112=sel_Channel),OR(sel_Customer="All",F112=sel_Customer),OR(sel_Category="All",G112=sel_Category),AND(S112&gt;=m_From,S112&lt;=m_To)),1,0)</f>
        <v/>
      </c>
      <c r="AA112" s="36">
        <f>IF(AND(OR(sel_Region="All",C112=sel_Region),OR(sel_Country="All",D112=sel_Country),OR(sel_Channel="All",E112=sel_Channel),OR(sel_Customer="All",F112=sel_Customer),OR(sel_Category="All",G112=sel_Category),OR(sel_Product="All",H112=sel_Product)),1,0)</f>
        <v/>
      </c>
    </row>
    <row r="113">
      <c r="A113" s="36" t="inlineStr">
        <is>
          <t>01643</t>
        </is>
      </c>
      <c r="B113" s="44" t="n">
        <v>46046</v>
      </c>
      <c r="C113" s="36" t="inlineStr">
        <is>
          <t>Southern Europe</t>
        </is>
      </c>
      <c r="D113" s="36" t="inlineStr">
        <is>
          <t>Italy</t>
        </is>
      </c>
      <c r="E113" s="36" t="inlineStr">
        <is>
          <t>Online Store</t>
        </is>
      </c>
      <c r="F113" s="36" t="inlineStr">
        <is>
          <t>Returning</t>
        </is>
      </c>
      <c r="G113" s="36" t="inlineStr">
        <is>
          <t>Travel</t>
        </is>
      </c>
      <c r="H113" s="36" t="inlineStr">
        <is>
          <t>Travel Backpack 35L</t>
        </is>
      </c>
      <c r="I113" s="36" t="n">
        <v>1</v>
      </c>
      <c r="J113" s="39" t="n">
        <v>163.71</v>
      </c>
      <c r="K113" s="45" t="n">
        <v>0</v>
      </c>
      <c r="L113" s="39" t="n">
        <v>90.06</v>
      </c>
      <c r="M113" s="39">
        <f>I113*J113*(1-K113)</f>
        <v/>
      </c>
      <c r="N113" s="39">
        <f>I113*L113</f>
        <v/>
      </c>
      <c r="O113" s="39">
        <f>M113-N113</f>
        <v/>
      </c>
      <c r="P113" s="38">
        <f>IF(M113=0,0,O113/M113)</f>
        <v/>
      </c>
      <c r="Q113" s="36">
        <f>YEAR(B113)</f>
        <v/>
      </c>
      <c r="R113" s="36">
        <f>"Q"&amp;ROUNDUP(MONTH(B113)/3,0)</f>
        <v/>
      </c>
      <c r="S113" s="36">
        <f>MONTH(B113)</f>
        <v/>
      </c>
      <c r="T113" s="36">
        <f>TEXT(B113,"mmm")</f>
        <v/>
      </c>
      <c r="U113" s="36">
        <f>IF(AND(OR(sel_Region="All",C113=sel_Region),OR(sel_Country="All",D113=sel_Country),OR(sel_Channel="All",E113=sel_Channel),OR(sel_Customer="All",F113=sel_Customer),OR(sel_Category="All",G113=sel_Category),OR(sel_Product="All",H113=sel_Product),AND(S113&gt;=m_From,S113&lt;=m_To)),1,0)</f>
        <v/>
      </c>
      <c r="V113" s="36">
        <f>IF(AND(OR(sel_Region="All",C113=sel_Region),OR(sel_Channel="All",E113=sel_Channel),OR(sel_Customer="All",F113=sel_Customer),OR(sel_Category="All",G113=sel_Category),OR(sel_Product="All",H113=sel_Product),AND(S113&gt;=m_From,S113&lt;=m_To)),1,0)</f>
        <v/>
      </c>
      <c r="W113" s="36">
        <f>IF(AND(OR(sel_Region="All",C113=sel_Region),OR(sel_Country="All",D113=sel_Country),OR(sel_Customer="All",F113=sel_Customer),OR(sel_Category="All",G113=sel_Category),OR(sel_Product="All",H113=sel_Product),AND(S113&gt;=m_From,S113&lt;=m_To)),1,0)</f>
        <v/>
      </c>
      <c r="X113" s="36">
        <f>IF(AND(OR(sel_Region="All",C113=sel_Region),OR(sel_Country="All",D113=sel_Country),OR(sel_Channel="All",E113=sel_Channel),OR(sel_Category="All",G113=sel_Category),OR(sel_Product="All",H113=sel_Product),AND(S113&gt;=m_From,S113&lt;=m_To)),1,0)</f>
        <v/>
      </c>
      <c r="Y113" s="36">
        <f>IF(AND(OR(sel_Region="All",C113=sel_Region),OR(sel_Country="All",D113=sel_Country),OR(sel_Channel="All",E113=sel_Channel),OR(sel_Customer="All",F113=sel_Customer),OR(sel_Product="All",H113=sel_Product),AND(S113&gt;=m_From,S113&lt;=m_To)),1,0)</f>
        <v/>
      </c>
      <c r="Z113" s="36">
        <f>IF(AND(OR(sel_Region="All",C113=sel_Region),OR(sel_Country="All",D113=sel_Country),OR(sel_Channel="All",E113=sel_Channel),OR(sel_Customer="All",F113=sel_Customer),OR(sel_Category="All",G113=sel_Category),AND(S113&gt;=m_From,S113&lt;=m_To)),1,0)</f>
        <v/>
      </c>
      <c r="AA113" s="36">
        <f>IF(AND(OR(sel_Region="All",C113=sel_Region),OR(sel_Country="All",D113=sel_Country),OR(sel_Channel="All",E113=sel_Channel),OR(sel_Customer="All",F113=sel_Customer),OR(sel_Category="All",G113=sel_Category),OR(sel_Product="All",H113=sel_Product)),1,0)</f>
        <v/>
      </c>
    </row>
    <row r="114">
      <c r="A114" s="36" t="inlineStr">
        <is>
          <t>01971</t>
        </is>
      </c>
      <c r="B114" s="44" t="n">
        <v>46046</v>
      </c>
      <c r="C114" s="36" t="inlineStr">
        <is>
          <t>Western Europe</t>
        </is>
      </c>
      <c r="D114" s="36" t="inlineStr">
        <is>
          <t>United Kingdom</t>
        </is>
      </c>
      <c r="E114" s="36" t="inlineStr">
        <is>
          <t>Retail Partners</t>
        </is>
      </c>
      <c r="F114" s="36" t="inlineStr">
        <is>
          <t>Returning</t>
        </is>
      </c>
      <c r="G114" s="36" t="inlineStr">
        <is>
          <t>Camping</t>
        </is>
      </c>
      <c r="H114" s="36" t="inlineStr">
        <is>
          <t>Trail Tent 2P</t>
        </is>
      </c>
      <c r="I114" s="36" t="n">
        <v>4</v>
      </c>
      <c r="J114" s="39" t="n">
        <v>191.43</v>
      </c>
      <c r="K114" s="45" t="n">
        <v>0</v>
      </c>
      <c r="L114" s="39" t="n">
        <v>106.82</v>
      </c>
      <c r="M114" s="39">
        <f>I114*J114*(1-K114)</f>
        <v/>
      </c>
      <c r="N114" s="39">
        <f>I114*L114</f>
        <v/>
      </c>
      <c r="O114" s="39">
        <f>M114-N114</f>
        <v/>
      </c>
      <c r="P114" s="38">
        <f>IF(M114=0,0,O114/M114)</f>
        <v/>
      </c>
      <c r="Q114" s="36">
        <f>YEAR(B114)</f>
        <v/>
      </c>
      <c r="R114" s="36">
        <f>"Q"&amp;ROUNDUP(MONTH(B114)/3,0)</f>
        <v/>
      </c>
      <c r="S114" s="36">
        <f>MONTH(B114)</f>
        <v/>
      </c>
      <c r="T114" s="36">
        <f>TEXT(B114,"mmm")</f>
        <v/>
      </c>
      <c r="U114" s="36">
        <f>IF(AND(OR(sel_Region="All",C114=sel_Region),OR(sel_Country="All",D114=sel_Country),OR(sel_Channel="All",E114=sel_Channel),OR(sel_Customer="All",F114=sel_Customer),OR(sel_Category="All",G114=sel_Category),OR(sel_Product="All",H114=sel_Product),AND(S114&gt;=m_From,S114&lt;=m_To)),1,0)</f>
        <v/>
      </c>
      <c r="V114" s="36">
        <f>IF(AND(OR(sel_Region="All",C114=sel_Region),OR(sel_Channel="All",E114=sel_Channel),OR(sel_Customer="All",F114=sel_Customer),OR(sel_Category="All",G114=sel_Category),OR(sel_Product="All",H114=sel_Product),AND(S114&gt;=m_From,S114&lt;=m_To)),1,0)</f>
        <v/>
      </c>
      <c r="W114" s="36">
        <f>IF(AND(OR(sel_Region="All",C114=sel_Region),OR(sel_Country="All",D114=sel_Country),OR(sel_Customer="All",F114=sel_Customer),OR(sel_Category="All",G114=sel_Category),OR(sel_Product="All",H114=sel_Product),AND(S114&gt;=m_From,S114&lt;=m_To)),1,0)</f>
        <v/>
      </c>
      <c r="X114" s="36">
        <f>IF(AND(OR(sel_Region="All",C114=sel_Region),OR(sel_Country="All",D114=sel_Country),OR(sel_Channel="All",E114=sel_Channel),OR(sel_Category="All",G114=sel_Category),OR(sel_Product="All",H114=sel_Product),AND(S114&gt;=m_From,S114&lt;=m_To)),1,0)</f>
        <v/>
      </c>
      <c r="Y114" s="36">
        <f>IF(AND(OR(sel_Region="All",C114=sel_Region),OR(sel_Country="All",D114=sel_Country),OR(sel_Channel="All",E114=sel_Channel),OR(sel_Customer="All",F114=sel_Customer),OR(sel_Product="All",H114=sel_Product),AND(S114&gt;=m_From,S114&lt;=m_To)),1,0)</f>
        <v/>
      </c>
      <c r="Z114" s="36">
        <f>IF(AND(OR(sel_Region="All",C114=sel_Region),OR(sel_Country="All",D114=sel_Country),OR(sel_Channel="All",E114=sel_Channel),OR(sel_Customer="All",F114=sel_Customer),OR(sel_Category="All",G114=sel_Category),AND(S114&gt;=m_From,S114&lt;=m_To)),1,0)</f>
        <v/>
      </c>
      <c r="AA114" s="36">
        <f>IF(AND(OR(sel_Region="All",C114=sel_Region),OR(sel_Country="All",D114=sel_Country),OR(sel_Channel="All",E114=sel_Channel),OR(sel_Customer="All",F114=sel_Customer),OR(sel_Category="All",G114=sel_Category),OR(sel_Product="All",H114=sel_Product)),1,0)</f>
        <v/>
      </c>
    </row>
    <row r="115">
      <c r="A115" s="36" t="inlineStr">
        <is>
          <t>02828</t>
        </is>
      </c>
      <c r="B115" s="44" t="n">
        <v>46046</v>
      </c>
      <c r="C115" s="36" t="inlineStr">
        <is>
          <t>Central Europe</t>
        </is>
      </c>
      <c r="D115" s="36" t="inlineStr">
        <is>
          <t>Switzerland</t>
        </is>
      </c>
      <c r="E115" s="36" t="inlineStr">
        <is>
          <t>Corporate</t>
        </is>
      </c>
      <c r="F115" s="36" t="inlineStr">
        <is>
          <t>Business</t>
        </is>
      </c>
      <c r="G115" s="36" t="inlineStr">
        <is>
          <t>Travel</t>
        </is>
      </c>
      <c r="H115" s="36" t="inlineStr">
        <is>
          <t>Packing Cube Set</t>
        </is>
      </c>
      <c r="I115" s="36" t="n">
        <v>3</v>
      </c>
      <c r="J115" s="39" t="n">
        <v>46.94</v>
      </c>
      <c r="K115" s="45" t="n">
        <v>0.05</v>
      </c>
      <c r="L115" s="39" t="n">
        <v>18.18</v>
      </c>
      <c r="M115" s="39">
        <f>I115*J115*(1-K115)</f>
        <v/>
      </c>
      <c r="N115" s="39">
        <f>I115*L115</f>
        <v/>
      </c>
      <c r="O115" s="39">
        <f>M115-N115</f>
        <v/>
      </c>
      <c r="P115" s="38">
        <f>IF(M115=0,0,O115/M115)</f>
        <v/>
      </c>
      <c r="Q115" s="36">
        <f>YEAR(B115)</f>
        <v/>
      </c>
      <c r="R115" s="36">
        <f>"Q"&amp;ROUNDUP(MONTH(B115)/3,0)</f>
        <v/>
      </c>
      <c r="S115" s="36">
        <f>MONTH(B115)</f>
        <v/>
      </c>
      <c r="T115" s="36">
        <f>TEXT(B115,"mmm")</f>
        <v/>
      </c>
      <c r="U115" s="36">
        <f>IF(AND(OR(sel_Region="All",C115=sel_Region),OR(sel_Country="All",D115=sel_Country),OR(sel_Channel="All",E115=sel_Channel),OR(sel_Customer="All",F115=sel_Customer),OR(sel_Category="All",G115=sel_Category),OR(sel_Product="All",H115=sel_Product),AND(S115&gt;=m_From,S115&lt;=m_To)),1,0)</f>
        <v/>
      </c>
      <c r="V115" s="36">
        <f>IF(AND(OR(sel_Region="All",C115=sel_Region),OR(sel_Channel="All",E115=sel_Channel),OR(sel_Customer="All",F115=sel_Customer),OR(sel_Category="All",G115=sel_Category),OR(sel_Product="All",H115=sel_Product),AND(S115&gt;=m_From,S115&lt;=m_To)),1,0)</f>
        <v/>
      </c>
      <c r="W115" s="36">
        <f>IF(AND(OR(sel_Region="All",C115=sel_Region),OR(sel_Country="All",D115=sel_Country),OR(sel_Customer="All",F115=sel_Customer),OR(sel_Category="All",G115=sel_Category),OR(sel_Product="All",H115=sel_Product),AND(S115&gt;=m_From,S115&lt;=m_To)),1,0)</f>
        <v/>
      </c>
      <c r="X115" s="36">
        <f>IF(AND(OR(sel_Region="All",C115=sel_Region),OR(sel_Country="All",D115=sel_Country),OR(sel_Channel="All",E115=sel_Channel),OR(sel_Category="All",G115=sel_Category),OR(sel_Product="All",H115=sel_Product),AND(S115&gt;=m_From,S115&lt;=m_To)),1,0)</f>
        <v/>
      </c>
      <c r="Y115" s="36">
        <f>IF(AND(OR(sel_Region="All",C115=sel_Region),OR(sel_Country="All",D115=sel_Country),OR(sel_Channel="All",E115=sel_Channel),OR(sel_Customer="All",F115=sel_Customer),OR(sel_Product="All",H115=sel_Product),AND(S115&gt;=m_From,S115&lt;=m_To)),1,0)</f>
        <v/>
      </c>
      <c r="Z115" s="36">
        <f>IF(AND(OR(sel_Region="All",C115=sel_Region),OR(sel_Country="All",D115=sel_Country),OR(sel_Channel="All",E115=sel_Channel),OR(sel_Customer="All",F115=sel_Customer),OR(sel_Category="All",G115=sel_Category),AND(S115&gt;=m_From,S115&lt;=m_To)),1,0)</f>
        <v/>
      </c>
      <c r="AA115" s="36">
        <f>IF(AND(OR(sel_Region="All",C115=sel_Region),OR(sel_Country="All",D115=sel_Country),OR(sel_Channel="All",E115=sel_Channel),OR(sel_Customer="All",F115=sel_Customer),OR(sel_Category="All",G115=sel_Category),OR(sel_Product="All",H115=sel_Product)),1,0)</f>
        <v/>
      </c>
    </row>
    <row r="116">
      <c r="A116" s="36" t="inlineStr">
        <is>
          <t>05175</t>
        </is>
      </c>
      <c r="B116" s="44" t="n">
        <v>46046</v>
      </c>
      <c r="C116" s="36" t="inlineStr">
        <is>
          <t>Western Europe</t>
        </is>
      </c>
      <c r="D116" s="36" t="inlineStr">
        <is>
          <t>Netherlands</t>
        </is>
      </c>
      <c r="E116" s="36" t="inlineStr">
        <is>
          <t>Online Store</t>
        </is>
      </c>
      <c r="F116" s="36" t="inlineStr">
        <is>
          <t>Returning</t>
        </is>
      </c>
      <c r="G116" s="36" t="inlineStr">
        <is>
          <t>Hiking</t>
        </is>
      </c>
      <c r="H116" s="36" t="inlineStr">
        <is>
          <t>Trail Boots</t>
        </is>
      </c>
      <c r="I116" s="36" t="n">
        <v>1</v>
      </c>
      <c r="J116" s="39" t="n">
        <v>147.21</v>
      </c>
      <c r="K116" s="45" t="n">
        <v>0</v>
      </c>
      <c r="L116" s="39" t="n">
        <v>79.51000000000001</v>
      </c>
      <c r="M116" s="39">
        <f>I116*J116*(1-K116)</f>
        <v/>
      </c>
      <c r="N116" s="39">
        <f>I116*L116</f>
        <v/>
      </c>
      <c r="O116" s="39">
        <f>M116-N116</f>
        <v/>
      </c>
      <c r="P116" s="38">
        <f>IF(M116=0,0,O116/M116)</f>
        <v/>
      </c>
      <c r="Q116" s="36">
        <f>YEAR(B116)</f>
        <v/>
      </c>
      <c r="R116" s="36">
        <f>"Q"&amp;ROUNDUP(MONTH(B116)/3,0)</f>
        <v/>
      </c>
      <c r="S116" s="36">
        <f>MONTH(B116)</f>
        <v/>
      </c>
      <c r="T116" s="36">
        <f>TEXT(B116,"mmm")</f>
        <v/>
      </c>
      <c r="U116" s="36">
        <f>IF(AND(OR(sel_Region="All",C116=sel_Region),OR(sel_Country="All",D116=sel_Country),OR(sel_Channel="All",E116=sel_Channel),OR(sel_Customer="All",F116=sel_Customer),OR(sel_Category="All",G116=sel_Category),OR(sel_Product="All",H116=sel_Product),AND(S116&gt;=m_From,S116&lt;=m_To)),1,0)</f>
        <v/>
      </c>
      <c r="V116" s="36">
        <f>IF(AND(OR(sel_Region="All",C116=sel_Region),OR(sel_Channel="All",E116=sel_Channel),OR(sel_Customer="All",F116=sel_Customer),OR(sel_Category="All",G116=sel_Category),OR(sel_Product="All",H116=sel_Product),AND(S116&gt;=m_From,S116&lt;=m_To)),1,0)</f>
        <v/>
      </c>
      <c r="W116" s="36">
        <f>IF(AND(OR(sel_Region="All",C116=sel_Region),OR(sel_Country="All",D116=sel_Country),OR(sel_Customer="All",F116=sel_Customer),OR(sel_Category="All",G116=sel_Category),OR(sel_Product="All",H116=sel_Product),AND(S116&gt;=m_From,S116&lt;=m_To)),1,0)</f>
        <v/>
      </c>
      <c r="X116" s="36">
        <f>IF(AND(OR(sel_Region="All",C116=sel_Region),OR(sel_Country="All",D116=sel_Country),OR(sel_Channel="All",E116=sel_Channel),OR(sel_Category="All",G116=sel_Category),OR(sel_Product="All",H116=sel_Product),AND(S116&gt;=m_From,S116&lt;=m_To)),1,0)</f>
        <v/>
      </c>
      <c r="Y116" s="36">
        <f>IF(AND(OR(sel_Region="All",C116=sel_Region),OR(sel_Country="All",D116=sel_Country),OR(sel_Channel="All",E116=sel_Channel),OR(sel_Customer="All",F116=sel_Customer),OR(sel_Product="All",H116=sel_Product),AND(S116&gt;=m_From,S116&lt;=m_To)),1,0)</f>
        <v/>
      </c>
      <c r="Z116" s="36">
        <f>IF(AND(OR(sel_Region="All",C116=sel_Region),OR(sel_Country="All",D116=sel_Country),OR(sel_Channel="All",E116=sel_Channel),OR(sel_Customer="All",F116=sel_Customer),OR(sel_Category="All",G116=sel_Category),AND(S116&gt;=m_From,S116&lt;=m_To)),1,0)</f>
        <v/>
      </c>
      <c r="AA116" s="36">
        <f>IF(AND(OR(sel_Region="All",C116=sel_Region),OR(sel_Country="All",D116=sel_Country),OR(sel_Channel="All",E116=sel_Channel),OR(sel_Customer="All",F116=sel_Customer),OR(sel_Category="All",G116=sel_Category),OR(sel_Product="All",H116=sel_Product)),1,0)</f>
        <v/>
      </c>
    </row>
    <row r="117">
      <c r="A117" s="36" t="inlineStr">
        <is>
          <t>01874</t>
        </is>
      </c>
      <c r="B117" s="44" t="n">
        <v>46047</v>
      </c>
      <c r="C117" s="36" t="inlineStr">
        <is>
          <t>Southern Europe</t>
        </is>
      </c>
      <c r="D117" s="36" t="inlineStr">
        <is>
          <t>Spain</t>
        </is>
      </c>
      <c r="E117" s="36" t="inlineStr">
        <is>
          <t>Online Store</t>
        </is>
      </c>
      <c r="F117" s="36" t="inlineStr">
        <is>
          <t>Business</t>
        </is>
      </c>
      <c r="G117" s="36" t="inlineStr">
        <is>
          <t>Travel</t>
        </is>
      </c>
      <c r="H117" s="36" t="inlineStr">
        <is>
          <t>Insulated Bottle</t>
        </is>
      </c>
      <c r="I117" s="36" t="n">
        <v>1</v>
      </c>
      <c r="J117" s="39" t="n">
        <v>35.73</v>
      </c>
      <c r="K117" s="45" t="n">
        <v>0</v>
      </c>
      <c r="L117" s="39" t="n">
        <v>13.57</v>
      </c>
      <c r="M117" s="39">
        <f>I117*J117*(1-K117)</f>
        <v/>
      </c>
      <c r="N117" s="39">
        <f>I117*L117</f>
        <v/>
      </c>
      <c r="O117" s="39">
        <f>M117-N117</f>
        <v/>
      </c>
      <c r="P117" s="38">
        <f>IF(M117=0,0,O117/M117)</f>
        <v/>
      </c>
      <c r="Q117" s="36">
        <f>YEAR(B117)</f>
        <v/>
      </c>
      <c r="R117" s="36">
        <f>"Q"&amp;ROUNDUP(MONTH(B117)/3,0)</f>
        <v/>
      </c>
      <c r="S117" s="36">
        <f>MONTH(B117)</f>
        <v/>
      </c>
      <c r="T117" s="36">
        <f>TEXT(B117,"mmm")</f>
        <v/>
      </c>
      <c r="U117" s="36">
        <f>IF(AND(OR(sel_Region="All",C117=sel_Region),OR(sel_Country="All",D117=sel_Country),OR(sel_Channel="All",E117=sel_Channel),OR(sel_Customer="All",F117=sel_Customer),OR(sel_Category="All",G117=sel_Category),OR(sel_Product="All",H117=sel_Product),AND(S117&gt;=m_From,S117&lt;=m_To)),1,0)</f>
        <v/>
      </c>
      <c r="V117" s="36">
        <f>IF(AND(OR(sel_Region="All",C117=sel_Region),OR(sel_Channel="All",E117=sel_Channel),OR(sel_Customer="All",F117=sel_Customer),OR(sel_Category="All",G117=sel_Category),OR(sel_Product="All",H117=sel_Product),AND(S117&gt;=m_From,S117&lt;=m_To)),1,0)</f>
        <v/>
      </c>
      <c r="W117" s="36">
        <f>IF(AND(OR(sel_Region="All",C117=sel_Region),OR(sel_Country="All",D117=sel_Country),OR(sel_Customer="All",F117=sel_Customer),OR(sel_Category="All",G117=sel_Category),OR(sel_Product="All",H117=sel_Product),AND(S117&gt;=m_From,S117&lt;=m_To)),1,0)</f>
        <v/>
      </c>
      <c r="X117" s="36">
        <f>IF(AND(OR(sel_Region="All",C117=sel_Region),OR(sel_Country="All",D117=sel_Country),OR(sel_Channel="All",E117=sel_Channel),OR(sel_Category="All",G117=sel_Category),OR(sel_Product="All",H117=sel_Product),AND(S117&gt;=m_From,S117&lt;=m_To)),1,0)</f>
        <v/>
      </c>
      <c r="Y117" s="36">
        <f>IF(AND(OR(sel_Region="All",C117=sel_Region),OR(sel_Country="All",D117=sel_Country),OR(sel_Channel="All",E117=sel_Channel),OR(sel_Customer="All",F117=sel_Customer),OR(sel_Product="All",H117=sel_Product),AND(S117&gt;=m_From,S117&lt;=m_To)),1,0)</f>
        <v/>
      </c>
      <c r="Z117" s="36">
        <f>IF(AND(OR(sel_Region="All",C117=sel_Region),OR(sel_Country="All",D117=sel_Country),OR(sel_Channel="All",E117=sel_Channel),OR(sel_Customer="All",F117=sel_Customer),OR(sel_Category="All",G117=sel_Category),AND(S117&gt;=m_From,S117&lt;=m_To)),1,0)</f>
        <v/>
      </c>
      <c r="AA117" s="36">
        <f>IF(AND(OR(sel_Region="All",C117=sel_Region),OR(sel_Country="All",D117=sel_Country),OR(sel_Channel="All",E117=sel_Channel),OR(sel_Customer="All",F117=sel_Customer),OR(sel_Category="All",G117=sel_Category),OR(sel_Product="All",H117=sel_Product)),1,0)</f>
        <v/>
      </c>
    </row>
    <row r="118">
      <c r="A118" s="36" t="inlineStr">
        <is>
          <t>02490</t>
        </is>
      </c>
      <c r="B118" s="44" t="n">
        <v>46047</v>
      </c>
      <c r="C118" s="36" t="inlineStr">
        <is>
          <t>Central Europe</t>
        </is>
      </c>
      <c r="D118" s="36" t="inlineStr">
        <is>
          <t>Poland</t>
        </is>
      </c>
      <c r="E118" s="36" t="inlineStr">
        <is>
          <t>Online Store</t>
        </is>
      </c>
      <c r="F118" s="36" t="inlineStr">
        <is>
          <t>New</t>
        </is>
      </c>
      <c r="G118" s="36" t="inlineStr">
        <is>
          <t>Cycling</t>
        </is>
      </c>
      <c r="H118" s="36" t="inlineStr">
        <is>
          <t>Cycling Pack 12L</t>
        </is>
      </c>
      <c r="I118" s="36" t="n">
        <v>2</v>
      </c>
      <c r="J118" s="39" t="n">
        <v>103.99</v>
      </c>
      <c r="K118" s="45" t="n">
        <v>0.15</v>
      </c>
      <c r="L118" s="39" t="n">
        <v>51.94</v>
      </c>
      <c r="M118" s="39">
        <f>I118*J118*(1-K118)</f>
        <v/>
      </c>
      <c r="N118" s="39">
        <f>I118*L118</f>
        <v/>
      </c>
      <c r="O118" s="39">
        <f>M118-N118</f>
        <v/>
      </c>
      <c r="P118" s="38">
        <f>IF(M118=0,0,O118/M118)</f>
        <v/>
      </c>
      <c r="Q118" s="36">
        <f>YEAR(B118)</f>
        <v/>
      </c>
      <c r="R118" s="36">
        <f>"Q"&amp;ROUNDUP(MONTH(B118)/3,0)</f>
        <v/>
      </c>
      <c r="S118" s="36">
        <f>MONTH(B118)</f>
        <v/>
      </c>
      <c r="T118" s="36">
        <f>TEXT(B118,"mmm")</f>
        <v/>
      </c>
      <c r="U118" s="36">
        <f>IF(AND(OR(sel_Region="All",C118=sel_Region),OR(sel_Country="All",D118=sel_Country),OR(sel_Channel="All",E118=sel_Channel),OR(sel_Customer="All",F118=sel_Customer),OR(sel_Category="All",G118=sel_Category),OR(sel_Product="All",H118=sel_Product),AND(S118&gt;=m_From,S118&lt;=m_To)),1,0)</f>
        <v/>
      </c>
      <c r="V118" s="36">
        <f>IF(AND(OR(sel_Region="All",C118=sel_Region),OR(sel_Channel="All",E118=sel_Channel),OR(sel_Customer="All",F118=sel_Customer),OR(sel_Category="All",G118=sel_Category),OR(sel_Product="All",H118=sel_Product),AND(S118&gt;=m_From,S118&lt;=m_To)),1,0)</f>
        <v/>
      </c>
      <c r="W118" s="36">
        <f>IF(AND(OR(sel_Region="All",C118=sel_Region),OR(sel_Country="All",D118=sel_Country),OR(sel_Customer="All",F118=sel_Customer),OR(sel_Category="All",G118=sel_Category),OR(sel_Product="All",H118=sel_Product),AND(S118&gt;=m_From,S118&lt;=m_To)),1,0)</f>
        <v/>
      </c>
      <c r="X118" s="36">
        <f>IF(AND(OR(sel_Region="All",C118=sel_Region),OR(sel_Country="All",D118=sel_Country),OR(sel_Channel="All",E118=sel_Channel),OR(sel_Category="All",G118=sel_Category),OR(sel_Product="All",H118=sel_Product),AND(S118&gt;=m_From,S118&lt;=m_To)),1,0)</f>
        <v/>
      </c>
      <c r="Y118" s="36">
        <f>IF(AND(OR(sel_Region="All",C118=sel_Region),OR(sel_Country="All",D118=sel_Country),OR(sel_Channel="All",E118=sel_Channel),OR(sel_Customer="All",F118=sel_Customer),OR(sel_Product="All",H118=sel_Product),AND(S118&gt;=m_From,S118&lt;=m_To)),1,0)</f>
        <v/>
      </c>
      <c r="Z118" s="36">
        <f>IF(AND(OR(sel_Region="All",C118=sel_Region),OR(sel_Country="All",D118=sel_Country),OR(sel_Channel="All",E118=sel_Channel),OR(sel_Customer="All",F118=sel_Customer),OR(sel_Category="All",G118=sel_Category),AND(S118&gt;=m_From,S118&lt;=m_To)),1,0)</f>
        <v/>
      </c>
      <c r="AA118" s="36">
        <f>IF(AND(OR(sel_Region="All",C118=sel_Region),OR(sel_Country="All",D118=sel_Country),OR(sel_Channel="All",E118=sel_Channel),OR(sel_Customer="All",F118=sel_Customer),OR(sel_Category="All",G118=sel_Category),OR(sel_Product="All",H118=sel_Product)),1,0)</f>
        <v/>
      </c>
    </row>
    <row r="119">
      <c r="A119" s="36" t="inlineStr">
        <is>
          <t>05078</t>
        </is>
      </c>
      <c r="B119" s="44" t="n">
        <v>46047</v>
      </c>
      <c r="C119" s="36" t="inlineStr">
        <is>
          <t>Central Europe</t>
        </is>
      </c>
      <c r="D119" s="36" t="inlineStr">
        <is>
          <t>Germany</t>
        </is>
      </c>
      <c r="E119" s="36" t="inlineStr">
        <is>
          <t>Online Store</t>
        </is>
      </c>
      <c r="F119" s="36" t="inlineStr">
        <is>
          <t>Returning</t>
        </is>
      </c>
      <c r="G119" s="36" t="inlineStr">
        <is>
          <t>Hiking</t>
        </is>
      </c>
      <c r="H119" s="36" t="inlineStr">
        <is>
          <t>Trekking Poles</t>
        </is>
      </c>
      <c r="I119" s="36" t="n">
        <v>2</v>
      </c>
      <c r="J119" s="39" t="n">
        <v>72.73999999999999</v>
      </c>
      <c r="K119" s="45" t="n">
        <v>0</v>
      </c>
      <c r="L119" s="39" t="n">
        <v>31.96</v>
      </c>
      <c r="M119" s="39">
        <f>I119*J119*(1-K119)</f>
        <v/>
      </c>
      <c r="N119" s="39">
        <f>I119*L119</f>
        <v/>
      </c>
      <c r="O119" s="39">
        <f>M119-N119</f>
        <v/>
      </c>
      <c r="P119" s="38">
        <f>IF(M119=0,0,O119/M119)</f>
        <v/>
      </c>
      <c r="Q119" s="36">
        <f>YEAR(B119)</f>
        <v/>
      </c>
      <c r="R119" s="36">
        <f>"Q"&amp;ROUNDUP(MONTH(B119)/3,0)</f>
        <v/>
      </c>
      <c r="S119" s="36">
        <f>MONTH(B119)</f>
        <v/>
      </c>
      <c r="T119" s="36">
        <f>TEXT(B119,"mmm")</f>
        <v/>
      </c>
      <c r="U119" s="36">
        <f>IF(AND(OR(sel_Region="All",C119=sel_Region),OR(sel_Country="All",D119=sel_Country),OR(sel_Channel="All",E119=sel_Channel),OR(sel_Customer="All",F119=sel_Customer),OR(sel_Category="All",G119=sel_Category),OR(sel_Product="All",H119=sel_Product),AND(S119&gt;=m_From,S119&lt;=m_To)),1,0)</f>
        <v/>
      </c>
      <c r="V119" s="36">
        <f>IF(AND(OR(sel_Region="All",C119=sel_Region),OR(sel_Channel="All",E119=sel_Channel),OR(sel_Customer="All",F119=sel_Customer),OR(sel_Category="All",G119=sel_Category),OR(sel_Product="All",H119=sel_Product),AND(S119&gt;=m_From,S119&lt;=m_To)),1,0)</f>
        <v/>
      </c>
      <c r="W119" s="36">
        <f>IF(AND(OR(sel_Region="All",C119=sel_Region),OR(sel_Country="All",D119=sel_Country),OR(sel_Customer="All",F119=sel_Customer),OR(sel_Category="All",G119=sel_Category),OR(sel_Product="All",H119=sel_Product),AND(S119&gt;=m_From,S119&lt;=m_To)),1,0)</f>
        <v/>
      </c>
      <c r="X119" s="36">
        <f>IF(AND(OR(sel_Region="All",C119=sel_Region),OR(sel_Country="All",D119=sel_Country),OR(sel_Channel="All",E119=sel_Channel),OR(sel_Category="All",G119=sel_Category),OR(sel_Product="All",H119=sel_Product),AND(S119&gt;=m_From,S119&lt;=m_To)),1,0)</f>
        <v/>
      </c>
      <c r="Y119" s="36">
        <f>IF(AND(OR(sel_Region="All",C119=sel_Region),OR(sel_Country="All",D119=sel_Country),OR(sel_Channel="All",E119=sel_Channel),OR(sel_Customer="All",F119=sel_Customer),OR(sel_Product="All",H119=sel_Product),AND(S119&gt;=m_From,S119&lt;=m_To)),1,0)</f>
        <v/>
      </c>
      <c r="Z119" s="36">
        <f>IF(AND(OR(sel_Region="All",C119=sel_Region),OR(sel_Country="All",D119=sel_Country),OR(sel_Channel="All",E119=sel_Channel),OR(sel_Customer="All",F119=sel_Customer),OR(sel_Category="All",G119=sel_Category),AND(S119&gt;=m_From,S119&lt;=m_To)),1,0)</f>
        <v/>
      </c>
      <c r="AA119" s="36">
        <f>IF(AND(OR(sel_Region="All",C119=sel_Region),OR(sel_Country="All",D119=sel_Country),OR(sel_Channel="All",E119=sel_Channel),OR(sel_Customer="All",F119=sel_Customer),OR(sel_Category="All",G119=sel_Category),OR(sel_Product="All",H119=sel_Product)),1,0)</f>
        <v/>
      </c>
    </row>
    <row r="120">
      <c r="A120" s="36" t="inlineStr">
        <is>
          <t>00230</t>
        </is>
      </c>
      <c r="B120" s="44" t="n">
        <v>46048</v>
      </c>
      <c r="C120" s="36" t="inlineStr">
        <is>
          <t>Northern Europe</t>
        </is>
      </c>
      <c r="D120" s="36" t="inlineStr">
        <is>
          <t>Finland</t>
        </is>
      </c>
      <c r="E120" s="36" t="inlineStr">
        <is>
          <t>Retail Partners</t>
        </is>
      </c>
      <c r="F120" s="36" t="inlineStr">
        <is>
          <t>Returning</t>
        </is>
      </c>
      <c r="G120" s="36" t="inlineStr">
        <is>
          <t>Cycling</t>
        </is>
      </c>
      <c r="H120" s="36" t="inlineStr">
        <is>
          <t>Cycling Pack 12L</t>
        </is>
      </c>
      <c r="I120" s="36" t="n">
        <v>1</v>
      </c>
      <c r="J120" s="39" t="n">
        <v>100.01</v>
      </c>
      <c r="K120" s="45" t="n">
        <v>0.05</v>
      </c>
      <c r="L120" s="39" t="n">
        <v>49.41</v>
      </c>
      <c r="M120" s="39">
        <f>I120*J120*(1-K120)</f>
        <v/>
      </c>
      <c r="N120" s="39">
        <f>I120*L120</f>
        <v/>
      </c>
      <c r="O120" s="39">
        <f>M120-N120</f>
        <v/>
      </c>
      <c r="P120" s="38">
        <f>IF(M120=0,0,O120/M120)</f>
        <v/>
      </c>
      <c r="Q120" s="36">
        <f>YEAR(B120)</f>
        <v/>
      </c>
      <c r="R120" s="36">
        <f>"Q"&amp;ROUNDUP(MONTH(B120)/3,0)</f>
        <v/>
      </c>
      <c r="S120" s="36">
        <f>MONTH(B120)</f>
        <v/>
      </c>
      <c r="T120" s="36">
        <f>TEXT(B120,"mmm")</f>
        <v/>
      </c>
      <c r="U120" s="36">
        <f>IF(AND(OR(sel_Region="All",C120=sel_Region),OR(sel_Country="All",D120=sel_Country),OR(sel_Channel="All",E120=sel_Channel),OR(sel_Customer="All",F120=sel_Customer),OR(sel_Category="All",G120=sel_Category),OR(sel_Product="All",H120=sel_Product),AND(S120&gt;=m_From,S120&lt;=m_To)),1,0)</f>
        <v/>
      </c>
      <c r="V120" s="36">
        <f>IF(AND(OR(sel_Region="All",C120=sel_Region),OR(sel_Channel="All",E120=sel_Channel),OR(sel_Customer="All",F120=sel_Customer),OR(sel_Category="All",G120=sel_Category),OR(sel_Product="All",H120=sel_Product),AND(S120&gt;=m_From,S120&lt;=m_To)),1,0)</f>
        <v/>
      </c>
      <c r="W120" s="36">
        <f>IF(AND(OR(sel_Region="All",C120=sel_Region),OR(sel_Country="All",D120=sel_Country),OR(sel_Customer="All",F120=sel_Customer),OR(sel_Category="All",G120=sel_Category),OR(sel_Product="All",H120=sel_Product),AND(S120&gt;=m_From,S120&lt;=m_To)),1,0)</f>
        <v/>
      </c>
      <c r="X120" s="36">
        <f>IF(AND(OR(sel_Region="All",C120=sel_Region),OR(sel_Country="All",D120=sel_Country),OR(sel_Channel="All",E120=sel_Channel),OR(sel_Category="All",G120=sel_Category),OR(sel_Product="All",H120=sel_Product),AND(S120&gt;=m_From,S120&lt;=m_To)),1,0)</f>
        <v/>
      </c>
      <c r="Y120" s="36">
        <f>IF(AND(OR(sel_Region="All",C120=sel_Region),OR(sel_Country="All",D120=sel_Country),OR(sel_Channel="All",E120=sel_Channel),OR(sel_Customer="All",F120=sel_Customer),OR(sel_Product="All",H120=sel_Product),AND(S120&gt;=m_From,S120&lt;=m_To)),1,0)</f>
        <v/>
      </c>
      <c r="Z120" s="36">
        <f>IF(AND(OR(sel_Region="All",C120=sel_Region),OR(sel_Country="All",D120=sel_Country),OR(sel_Channel="All",E120=sel_Channel),OR(sel_Customer="All",F120=sel_Customer),OR(sel_Category="All",G120=sel_Category),AND(S120&gt;=m_From,S120&lt;=m_To)),1,0)</f>
        <v/>
      </c>
      <c r="AA120" s="36">
        <f>IF(AND(OR(sel_Region="All",C120=sel_Region),OR(sel_Country="All",D120=sel_Country),OR(sel_Channel="All",E120=sel_Channel),OR(sel_Customer="All",F120=sel_Customer),OR(sel_Category="All",G120=sel_Category),OR(sel_Product="All",H120=sel_Product)),1,0)</f>
        <v/>
      </c>
    </row>
    <row r="121">
      <c r="A121" s="36" t="inlineStr">
        <is>
          <t>01757</t>
        </is>
      </c>
      <c r="B121" s="44" t="n">
        <v>46048</v>
      </c>
      <c r="C121" s="36" t="inlineStr">
        <is>
          <t>Western Europe</t>
        </is>
      </c>
      <c r="D121" s="36" t="inlineStr">
        <is>
          <t>Netherlands</t>
        </is>
      </c>
      <c r="E121" s="36" t="inlineStr">
        <is>
          <t>Online Store</t>
        </is>
      </c>
      <c r="F121" s="36" t="inlineStr">
        <is>
          <t>Business</t>
        </is>
      </c>
      <c r="G121" s="36" t="inlineStr">
        <is>
          <t>Travel</t>
        </is>
      </c>
      <c r="H121" s="36" t="inlineStr">
        <is>
          <t>Packing Cube Set</t>
        </is>
      </c>
      <c r="I121" s="36" t="n">
        <v>2</v>
      </c>
      <c r="J121" s="39" t="n">
        <v>45.73</v>
      </c>
      <c r="K121" s="45" t="n">
        <v>0</v>
      </c>
      <c r="L121" s="39" t="n">
        <v>18.11</v>
      </c>
      <c r="M121" s="39">
        <f>I121*J121*(1-K121)</f>
        <v/>
      </c>
      <c r="N121" s="39">
        <f>I121*L121</f>
        <v/>
      </c>
      <c r="O121" s="39">
        <f>M121-N121</f>
        <v/>
      </c>
      <c r="P121" s="38">
        <f>IF(M121=0,0,O121/M121)</f>
        <v/>
      </c>
      <c r="Q121" s="36">
        <f>YEAR(B121)</f>
        <v/>
      </c>
      <c r="R121" s="36">
        <f>"Q"&amp;ROUNDUP(MONTH(B121)/3,0)</f>
        <v/>
      </c>
      <c r="S121" s="36">
        <f>MONTH(B121)</f>
        <v/>
      </c>
      <c r="T121" s="36">
        <f>TEXT(B121,"mmm")</f>
        <v/>
      </c>
      <c r="U121" s="36">
        <f>IF(AND(OR(sel_Region="All",C121=sel_Region),OR(sel_Country="All",D121=sel_Country),OR(sel_Channel="All",E121=sel_Channel),OR(sel_Customer="All",F121=sel_Customer),OR(sel_Category="All",G121=sel_Category),OR(sel_Product="All",H121=sel_Product),AND(S121&gt;=m_From,S121&lt;=m_To)),1,0)</f>
        <v/>
      </c>
      <c r="V121" s="36">
        <f>IF(AND(OR(sel_Region="All",C121=sel_Region),OR(sel_Channel="All",E121=sel_Channel),OR(sel_Customer="All",F121=sel_Customer),OR(sel_Category="All",G121=sel_Category),OR(sel_Product="All",H121=sel_Product),AND(S121&gt;=m_From,S121&lt;=m_To)),1,0)</f>
        <v/>
      </c>
      <c r="W121" s="36">
        <f>IF(AND(OR(sel_Region="All",C121=sel_Region),OR(sel_Country="All",D121=sel_Country),OR(sel_Customer="All",F121=sel_Customer),OR(sel_Category="All",G121=sel_Category),OR(sel_Product="All",H121=sel_Product),AND(S121&gt;=m_From,S121&lt;=m_To)),1,0)</f>
        <v/>
      </c>
      <c r="X121" s="36">
        <f>IF(AND(OR(sel_Region="All",C121=sel_Region),OR(sel_Country="All",D121=sel_Country),OR(sel_Channel="All",E121=sel_Channel),OR(sel_Category="All",G121=sel_Category),OR(sel_Product="All",H121=sel_Product),AND(S121&gt;=m_From,S121&lt;=m_To)),1,0)</f>
        <v/>
      </c>
      <c r="Y121" s="36">
        <f>IF(AND(OR(sel_Region="All",C121=sel_Region),OR(sel_Country="All",D121=sel_Country),OR(sel_Channel="All",E121=sel_Channel),OR(sel_Customer="All",F121=sel_Customer),OR(sel_Product="All",H121=sel_Product),AND(S121&gt;=m_From,S121&lt;=m_To)),1,0)</f>
        <v/>
      </c>
      <c r="Z121" s="36">
        <f>IF(AND(OR(sel_Region="All",C121=sel_Region),OR(sel_Country="All",D121=sel_Country),OR(sel_Channel="All",E121=sel_Channel),OR(sel_Customer="All",F121=sel_Customer),OR(sel_Category="All",G121=sel_Category),AND(S121&gt;=m_From,S121&lt;=m_To)),1,0)</f>
        <v/>
      </c>
      <c r="AA121" s="36">
        <f>IF(AND(OR(sel_Region="All",C121=sel_Region),OR(sel_Country="All",D121=sel_Country),OR(sel_Channel="All",E121=sel_Channel),OR(sel_Customer="All",F121=sel_Customer),OR(sel_Category="All",G121=sel_Category),OR(sel_Product="All",H121=sel_Product)),1,0)</f>
        <v/>
      </c>
    </row>
    <row r="122">
      <c r="A122" s="36" t="inlineStr">
        <is>
          <t>01944</t>
        </is>
      </c>
      <c r="B122" s="44" t="n">
        <v>46048</v>
      </c>
      <c r="C122" s="36" t="inlineStr">
        <is>
          <t>Northern Europe</t>
        </is>
      </c>
      <c r="D122" s="36" t="inlineStr">
        <is>
          <t>Norway</t>
        </is>
      </c>
      <c r="E122" s="36" t="inlineStr">
        <is>
          <t>Online Store</t>
        </is>
      </c>
      <c r="F122" s="36" t="inlineStr">
        <is>
          <t>Returning</t>
        </is>
      </c>
      <c r="G122" s="36" t="inlineStr">
        <is>
          <t>Hiking</t>
        </is>
      </c>
      <c r="H122" s="36" t="inlineStr">
        <is>
          <t>Trail Boots</t>
        </is>
      </c>
      <c r="I122" s="36" t="n">
        <v>2</v>
      </c>
      <c r="J122" s="39" t="n">
        <v>143.66</v>
      </c>
      <c r="K122" s="45" t="n">
        <v>0.15</v>
      </c>
      <c r="L122" s="39" t="n">
        <v>78.14</v>
      </c>
      <c r="M122" s="39">
        <f>I122*J122*(1-K122)</f>
        <v/>
      </c>
      <c r="N122" s="39">
        <f>I122*L122</f>
        <v/>
      </c>
      <c r="O122" s="39">
        <f>M122-N122</f>
        <v/>
      </c>
      <c r="P122" s="38">
        <f>IF(M122=0,0,O122/M122)</f>
        <v/>
      </c>
      <c r="Q122" s="36">
        <f>YEAR(B122)</f>
        <v/>
      </c>
      <c r="R122" s="36">
        <f>"Q"&amp;ROUNDUP(MONTH(B122)/3,0)</f>
        <v/>
      </c>
      <c r="S122" s="36">
        <f>MONTH(B122)</f>
        <v/>
      </c>
      <c r="T122" s="36">
        <f>TEXT(B122,"mmm")</f>
        <v/>
      </c>
      <c r="U122" s="36">
        <f>IF(AND(OR(sel_Region="All",C122=sel_Region),OR(sel_Country="All",D122=sel_Country),OR(sel_Channel="All",E122=sel_Channel),OR(sel_Customer="All",F122=sel_Customer),OR(sel_Category="All",G122=sel_Category),OR(sel_Product="All",H122=sel_Product),AND(S122&gt;=m_From,S122&lt;=m_To)),1,0)</f>
        <v/>
      </c>
      <c r="V122" s="36">
        <f>IF(AND(OR(sel_Region="All",C122=sel_Region),OR(sel_Channel="All",E122=sel_Channel),OR(sel_Customer="All",F122=sel_Customer),OR(sel_Category="All",G122=sel_Category),OR(sel_Product="All",H122=sel_Product),AND(S122&gt;=m_From,S122&lt;=m_To)),1,0)</f>
        <v/>
      </c>
      <c r="W122" s="36">
        <f>IF(AND(OR(sel_Region="All",C122=sel_Region),OR(sel_Country="All",D122=sel_Country),OR(sel_Customer="All",F122=sel_Customer),OR(sel_Category="All",G122=sel_Category),OR(sel_Product="All",H122=sel_Product),AND(S122&gt;=m_From,S122&lt;=m_To)),1,0)</f>
        <v/>
      </c>
      <c r="X122" s="36">
        <f>IF(AND(OR(sel_Region="All",C122=sel_Region),OR(sel_Country="All",D122=sel_Country),OR(sel_Channel="All",E122=sel_Channel),OR(sel_Category="All",G122=sel_Category),OR(sel_Product="All",H122=sel_Product),AND(S122&gt;=m_From,S122&lt;=m_To)),1,0)</f>
        <v/>
      </c>
      <c r="Y122" s="36">
        <f>IF(AND(OR(sel_Region="All",C122=sel_Region),OR(sel_Country="All",D122=sel_Country),OR(sel_Channel="All",E122=sel_Channel),OR(sel_Customer="All",F122=sel_Customer),OR(sel_Product="All",H122=sel_Product),AND(S122&gt;=m_From,S122&lt;=m_To)),1,0)</f>
        <v/>
      </c>
      <c r="Z122" s="36">
        <f>IF(AND(OR(sel_Region="All",C122=sel_Region),OR(sel_Country="All",D122=sel_Country),OR(sel_Channel="All",E122=sel_Channel),OR(sel_Customer="All",F122=sel_Customer),OR(sel_Category="All",G122=sel_Category),AND(S122&gt;=m_From,S122&lt;=m_To)),1,0)</f>
        <v/>
      </c>
      <c r="AA122" s="36">
        <f>IF(AND(OR(sel_Region="All",C122=sel_Region),OR(sel_Country="All",D122=sel_Country),OR(sel_Channel="All",E122=sel_Channel),OR(sel_Customer="All",F122=sel_Customer),OR(sel_Category="All",G122=sel_Category),OR(sel_Product="All",H122=sel_Product)),1,0)</f>
        <v/>
      </c>
    </row>
    <row r="123">
      <c r="A123" s="36" t="inlineStr">
        <is>
          <t>03485</t>
        </is>
      </c>
      <c r="B123" s="44" t="n">
        <v>46048</v>
      </c>
      <c r="C123" s="36" t="inlineStr">
        <is>
          <t>Northern Europe</t>
        </is>
      </c>
      <c r="D123" s="36" t="inlineStr">
        <is>
          <t>Finland</t>
        </is>
      </c>
      <c r="E123" s="36" t="inlineStr">
        <is>
          <t>Online Store</t>
        </is>
      </c>
      <c r="F123" s="36" t="inlineStr">
        <is>
          <t>Business</t>
        </is>
      </c>
      <c r="G123" s="36" t="inlineStr">
        <is>
          <t>Camping</t>
        </is>
      </c>
      <c r="H123" s="36" t="inlineStr">
        <is>
          <t>Compact Sleeping Bag</t>
        </is>
      </c>
      <c r="I123" s="36" t="n">
        <v>2</v>
      </c>
      <c r="J123" s="39" t="n">
        <v>121.88</v>
      </c>
      <c r="K123" s="45" t="n">
        <v>0.05</v>
      </c>
      <c r="L123" s="39" t="n">
        <v>62.17</v>
      </c>
      <c r="M123" s="39">
        <f>I123*J123*(1-K123)</f>
        <v/>
      </c>
      <c r="N123" s="39">
        <f>I123*L123</f>
        <v/>
      </c>
      <c r="O123" s="39">
        <f>M123-N123</f>
        <v/>
      </c>
      <c r="P123" s="38">
        <f>IF(M123=0,0,O123/M123)</f>
        <v/>
      </c>
      <c r="Q123" s="36">
        <f>YEAR(B123)</f>
        <v/>
      </c>
      <c r="R123" s="36">
        <f>"Q"&amp;ROUNDUP(MONTH(B123)/3,0)</f>
        <v/>
      </c>
      <c r="S123" s="36">
        <f>MONTH(B123)</f>
        <v/>
      </c>
      <c r="T123" s="36">
        <f>TEXT(B123,"mmm")</f>
        <v/>
      </c>
      <c r="U123" s="36">
        <f>IF(AND(OR(sel_Region="All",C123=sel_Region),OR(sel_Country="All",D123=sel_Country),OR(sel_Channel="All",E123=sel_Channel),OR(sel_Customer="All",F123=sel_Customer),OR(sel_Category="All",G123=sel_Category),OR(sel_Product="All",H123=sel_Product),AND(S123&gt;=m_From,S123&lt;=m_To)),1,0)</f>
        <v/>
      </c>
      <c r="V123" s="36">
        <f>IF(AND(OR(sel_Region="All",C123=sel_Region),OR(sel_Channel="All",E123=sel_Channel),OR(sel_Customer="All",F123=sel_Customer),OR(sel_Category="All",G123=sel_Category),OR(sel_Product="All",H123=sel_Product),AND(S123&gt;=m_From,S123&lt;=m_To)),1,0)</f>
        <v/>
      </c>
      <c r="W123" s="36">
        <f>IF(AND(OR(sel_Region="All",C123=sel_Region),OR(sel_Country="All",D123=sel_Country),OR(sel_Customer="All",F123=sel_Customer),OR(sel_Category="All",G123=sel_Category),OR(sel_Product="All",H123=sel_Product),AND(S123&gt;=m_From,S123&lt;=m_To)),1,0)</f>
        <v/>
      </c>
      <c r="X123" s="36">
        <f>IF(AND(OR(sel_Region="All",C123=sel_Region),OR(sel_Country="All",D123=sel_Country),OR(sel_Channel="All",E123=sel_Channel),OR(sel_Category="All",G123=sel_Category),OR(sel_Product="All",H123=sel_Product),AND(S123&gt;=m_From,S123&lt;=m_To)),1,0)</f>
        <v/>
      </c>
      <c r="Y123" s="36">
        <f>IF(AND(OR(sel_Region="All",C123=sel_Region),OR(sel_Country="All",D123=sel_Country),OR(sel_Channel="All",E123=sel_Channel),OR(sel_Customer="All",F123=sel_Customer),OR(sel_Product="All",H123=sel_Product),AND(S123&gt;=m_From,S123&lt;=m_To)),1,0)</f>
        <v/>
      </c>
      <c r="Z123" s="36">
        <f>IF(AND(OR(sel_Region="All",C123=sel_Region),OR(sel_Country="All",D123=sel_Country),OR(sel_Channel="All",E123=sel_Channel),OR(sel_Customer="All",F123=sel_Customer),OR(sel_Category="All",G123=sel_Category),AND(S123&gt;=m_From,S123&lt;=m_To)),1,0)</f>
        <v/>
      </c>
      <c r="AA123" s="36">
        <f>IF(AND(OR(sel_Region="All",C123=sel_Region),OR(sel_Country="All",D123=sel_Country),OR(sel_Channel="All",E123=sel_Channel),OR(sel_Customer="All",F123=sel_Customer),OR(sel_Category="All",G123=sel_Category),OR(sel_Product="All",H123=sel_Product)),1,0)</f>
        <v/>
      </c>
    </row>
    <row r="124">
      <c r="A124" s="36" t="inlineStr">
        <is>
          <t>04002</t>
        </is>
      </c>
      <c r="B124" s="44" t="n">
        <v>46048</v>
      </c>
      <c r="C124" s="36" t="inlineStr">
        <is>
          <t>Southern Europe</t>
        </is>
      </c>
      <c r="D124" s="36" t="inlineStr">
        <is>
          <t>Italy</t>
        </is>
      </c>
      <c r="E124" s="36" t="inlineStr">
        <is>
          <t>Online Store</t>
        </is>
      </c>
      <c r="F124" s="36" t="inlineStr">
        <is>
          <t>Returning</t>
        </is>
      </c>
      <c r="G124" s="36" t="inlineStr">
        <is>
          <t>Fitness</t>
        </is>
      </c>
      <c r="H124" s="36" t="inlineStr">
        <is>
          <t>Training Mat</t>
        </is>
      </c>
      <c r="I124" s="36" t="n">
        <v>3</v>
      </c>
      <c r="J124" s="39" t="n">
        <v>50.92</v>
      </c>
      <c r="K124" s="45" t="n">
        <v>0.05</v>
      </c>
      <c r="L124" s="39" t="n">
        <v>21.87</v>
      </c>
      <c r="M124" s="39">
        <f>I124*J124*(1-K124)</f>
        <v/>
      </c>
      <c r="N124" s="39">
        <f>I124*L124</f>
        <v/>
      </c>
      <c r="O124" s="39">
        <f>M124-N124</f>
        <v/>
      </c>
      <c r="P124" s="38">
        <f>IF(M124=0,0,O124/M124)</f>
        <v/>
      </c>
      <c r="Q124" s="36">
        <f>YEAR(B124)</f>
        <v/>
      </c>
      <c r="R124" s="36">
        <f>"Q"&amp;ROUNDUP(MONTH(B124)/3,0)</f>
        <v/>
      </c>
      <c r="S124" s="36">
        <f>MONTH(B124)</f>
        <v/>
      </c>
      <c r="T124" s="36">
        <f>TEXT(B124,"mmm")</f>
        <v/>
      </c>
      <c r="U124" s="36">
        <f>IF(AND(OR(sel_Region="All",C124=sel_Region),OR(sel_Country="All",D124=sel_Country),OR(sel_Channel="All",E124=sel_Channel),OR(sel_Customer="All",F124=sel_Customer),OR(sel_Category="All",G124=sel_Category),OR(sel_Product="All",H124=sel_Product),AND(S124&gt;=m_From,S124&lt;=m_To)),1,0)</f>
        <v/>
      </c>
      <c r="V124" s="36">
        <f>IF(AND(OR(sel_Region="All",C124=sel_Region),OR(sel_Channel="All",E124=sel_Channel),OR(sel_Customer="All",F124=sel_Customer),OR(sel_Category="All",G124=sel_Category),OR(sel_Product="All",H124=sel_Product),AND(S124&gt;=m_From,S124&lt;=m_To)),1,0)</f>
        <v/>
      </c>
      <c r="W124" s="36">
        <f>IF(AND(OR(sel_Region="All",C124=sel_Region),OR(sel_Country="All",D124=sel_Country),OR(sel_Customer="All",F124=sel_Customer),OR(sel_Category="All",G124=sel_Category),OR(sel_Product="All",H124=sel_Product),AND(S124&gt;=m_From,S124&lt;=m_To)),1,0)</f>
        <v/>
      </c>
      <c r="X124" s="36">
        <f>IF(AND(OR(sel_Region="All",C124=sel_Region),OR(sel_Country="All",D124=sel_Country),OR(sel_Channel="All",E124=sel_Channel),OR(sel_Category="All",G124=sel_Category),OR(sel_Product="All",H124=sel_Product),AND(S124&gt;=m_From,S124&lt;=m_To)),1,0)</f>
        <v/>
      </c>
      <c r="Y124" s="36">
        <f>IF(AND(OR(sel_Region="All",C124=sel_Region),OR(sel_Country="All",D124=sel_Country),OR(sel_Channel="All",E124=sel_Channel),OR(sel_Customer="All",F124=sel_Customer),OR(sel_Product="All",H124=sel_Product),AND(S124&gt;=m_From,S124&lt;=m_To)),1,0)</f>
        <v/>
      </c>
      <c r="Z124" s="36">
        <f>IF(AND(OR(sel_Region="All",C124=sel_Region),OR(sel_Country="All",D124=sel_Country),OR(sel_Channel="All",E124=sel_Channel),OR(sel_Customer="All",F124=sel_Customer),OR(sel_Category="All",G124=sel_Category),AND(S124&gt;=m_From,S124&lt;=m_To)),1,0)</f>
        <v/>
      </c>
      <c r="AA124" s="36">
        <f>IF(AND(OR(sel_Region="All",C124=sel_Region),OR(sel_Country="All",D124=sel_Country),OR(sel_Channel="All",E124=sel_Channel),OR(sel_Customer="All",F124=sel_Customer),OR(sel_Category="All",G124=sel_Category),OR(sel_Product="All",H124=sel_Product)),1,0)</f>
        <v/>
      </c>
    </row>
    <row r="125">
      <c r="A125" s="36" t="inlineStr">
        <is>
          <t>00818</t>
        </is>
      </c>
      <c r="B125" s="44" t="n">
        <v>46049</v>
      </c>
      <c r="C125" s="36" t="inlineStr">
        <is>
          <t>Southern Europe</t>
        </is>
      </c>
      <c r="D125" s="36" t="inlineStr">
        <is>
          <t>Spain</t>
        </is>
      </c>
      <c r="E125" s="36" t="inlineStr">
        <is>
          <t>Online Store</t>
        </is>
      </c>
      <c r="F125" s="36" t="inlineStr">
        <is>
          <t>Returning</t>
        </is>
      </c>
      <c r="G125" s="36" t="inlineStr">
        <is>
          <t>Cycling</t>
        </is>
      </c>
      <c r="H125" s="36" t="inlineStr">
        <is>
          <t>Cycling Pack 12L</t>
        </is>
      </c>
      <c r="I125" s="36" t="n">
        <v>1</v>
      </c>
      <c r="J125" s="39" t="n">
        <v>103.78</v>
      </c>
      <c r="K125" s="45" t="n">
        <v>0</v>
      </c>
      <c r="L125" s="39" t="n">
        <v>49.36</v>
      </c>
      <c r="M125" s="39">
        <f>I125*J125*(1-K125)</f>
        <v/>
      </c>
      <c r="N125" s="39">
        <f>I125*L125</f>
        <v/>
      </c>
      <c r="O125" s="39">
        <f>M125-N125</f>
        <v/>
      </c>
      <c r="P125" s="38">
        <f>IF(M125=0,0,O125/M125)</f>
        <v/>
      </c>
      <c r="Q125" s="36">
        <f>YEAR(B125)</f>
        <v/>
      </c>
      <c r="R125" s="36">
        <f>"Q"&amp;ROUNDUP(MONTH(B125)/3,0)</f>
        <v/>
      </c>
      <c r="S125" s="36">
        <f>MONTH(B125)</f>
        <v/>
      </c>
      <c r="T125" s="36">
        <f>TEXT(B125,"mmm")</f>
        <v/>
      </c>
      <c r="U125" s="36">
        <f>IF(AND(OR(sel_Region="All",C125=sel_Region),OR(sel_Country="All",D125=sel_Country),OR(sel_Channel="All",E125=sel_Channel),OR(sel_Customer="All",F125=sel_Customer),OR(sel_Category="All",G125=sel_Category),OR(sel_Product="All",H125=sel_Product),AND(S125&gt;=m_From,S125&lt;=m_To)),1,0)</f>
        <v/>
      </c>
      <c r="V125" s="36">
        <f>IF(AND(OR(sel_Region="All",C125=sel_Region),OR(sel_Channel="All",E125=sel_Channel),OR(sel_Customer="All",F125=sel_Customer),OR(sel_Category="All",G125=sel_Category),OR(sel_Product="All",H125=sel_Product),AND(S125&gt;=m_From,S125&lt;=m_To)),1,0)</f>
        <v/>
      </c>
      <c r="W125" s="36">
        <f>IF(AND(OR(sel_Region="All",C125=sel_Region),OR(sel_Country="All",D125=sel_Country),OR(sel_Customer="All",F125=sel_Customer),OR(sel_Category="All",G125=sel_Category),OR(sel_Product="All",H125=sel_Product),AND(S125&gt;=m_From,S125&lt;=m_To)),1,0)</f>
        <v/>
      </c>
      <c r="X125" s="36">
        <f>IF(AND(OR(sel_Region="All",C125=sel_Region),OR(sel_Country="All",D125=sel_Country),OR(sel_Channel="All",E125=sel_Channel),OR(sel_Category="All",G125=sel_Category),OR(sel_Product="All",H125=sel_Product),AND(S125&gt;=m_From,S125&lt;=m_To)),1,0)</f>
        <v/>
      </c>
      <c r="Y125" s="36">
        <f>IF(AND(OR(sel_Region="All",C125=sel_Region),OR(sel_Country="All",D125=sel_Country),OR(sel_Channel="All",E125=sel_Channel),OR(sel_Customer="All",F125=sel_Customer),OR(sel_Product="All",H125=sel_Product),AND(S125&gt;=m_From,S125&lt;=m_To)),1,0)</f>
        <v/>
      </c>
      <c r="Z125" s="36">
        <f>IF(AND(OR(sel_Region="All",C125=sel_Region),OR(sel_Country="All",D125=sel_Country),OR(sel_Channel="All",E125=sel_Channel),OR(sel_Customer="All",F125=sel_Customer),OR(sel_Category="All",G125=sel_Category),AND(S125&gt;=m_From,S125&lt;=m_To)),1,0)</f>
        <v/>
      </c>
      <c r="AA125" s="36">
        <f>IF(AND(OR(sel_Region="All",C125=sel_Region),OR(sel_Country="All",D125=sel_Country),OR(sel_Channel="All",E125=sel_Channel),OR(sel_Customer="All",F125=sel_Customer),OR(sel_Category="All",G125=sel_Category),OR(sel_Product="All",H125=sel_Product)),1,0)</f>
        <v/>
      </c>
    </row>
    <row r="126">
      <c r="A126" s="36" t="inlineStr">
        <is>
          <t>01439</t>
        </is>
      </c>
      <c r="B126" s="44" t="n">
        <v>46049</v>
      </c>
      <c r="C126" s="36" t="inlineStr">
        <is>
          <t>Central Europe</t>
        </is>
      </c>
      <c r="D126" s="36" t="inlineStr">
        <is>
          <t>Austria</t>
        </is>
      </c>
      <c r="E126" s="36" t="inlineStr">
        <is>
          <t>Marketplace</t>
        </is>
      </c>
      <c r="F126" s="36" t="inlineStr">
        <is>
          <t>New</t>
        </is>
      </c>
      <c r="G126" s="36" t="inlineStr">
        <is>
          <t>Hiking</t>
        </is>
      </c>
      <c r="H126" s="36" t="inlineStr">
        <is>
          <t>Summit Backpack 45L</t>
        </is>
      </c>
      <c r="I126" s="36" t="n">
        <v>2</v>
      </c>
      <c r="J126" s="39" t="n">
        <v>157.17</v>
      </c>
      <c r="K126" s="45" t="n">
        <v>0</v>
      </c>
      <c r="L126" s="39" t="n">
        <v>81.26000000000001</v>
      </c>
      <c r="M126" s="39">
        <f>I126*J126*(1-K126)</f>
        <v/>
      </c>
      <c r="N126" s="39">
        <f>I126*L126</f>
        <v/>
      </c>
      <c r="O126" s="39">
        <f>M126-N126</f>
        <v/>
      </c>
      <c r="P126" s="38">
        <f>IF(M126=0,0,O126/M126)</f>
        <v/>
      </c>
      <c r="Q126" s="36">
        <f>YEAR(B126)</f>
        <v/>
      </c>
      <c r="R126" s="36">
        <f>"Q"&amp;ROUNDUP(MONTH(B126)/3,0)</f>
        <v/>
      </c>
      <c r="S126" s="36">
        <f>MONTH(B126)</f>
        <v/>
      </c>
      <c r="T126" s="36">
        <f>TEXT(B126,"mmm")</f>
        <v/>
      </c>
      <c r="U126" s="36">
        <f>IF(AND(OR(sel_Region="All",C126=sel_Region),OR(sel_Country="All",D126=sel_Country),OR(sel_Channel="All",E126=sel_Channel),OR(sel_Customer="All",F126=sel_Customer),OR(sel_Category="All",G126=sel_Category),OR(sel_Product="All",H126=sel_Product),AND(S126&gt;=m_From,S126&lt;=m_To)),1,0)</f>
        <v/>
      </c>
      <c r="V126" s="36">
        <f>IF(AND(OR(sel_Region="All",C126=sel_Region),OR(sel_Channel="All",E126=sel_Channel),OR(sel_Customer="All",F126=sel_Customer),OR(sel_Category="All",G126=sel_Category),OR(sel_Product="All",H126=sel_Product),AND(S126&gt;=m_From,S126&lt;=m_To)),1,0)</f>
        <v/>
      </c>
      <c r="W126" s="36">
        <f>IF(AND(OR(sel_Region="All",C126=sel_Region),OR(sel_Country="All",D126=sel_Country),OR(sel_Customer="All",F126=sel_Customer),OR(sel_Category="All",G126=sel_Category),OR(sel_Product="All",H126=sel_Product),AND(S126&gt;=m_From,S126&lt;=m_To)),1,0)</f>
        <v/>
      </c>
      <c r="X126" s="36">
        <f>IF(AND(OR(sel_Region="All",C126=sel_Region),OR(sel_Country="All",D126=sel_Country),OR(sel_Channel="All",E126=sel_Channel),OR(sel_Category="All",G126=sel_Category),OR(sel_Product="All",H126=sel_Product),AND(S126&gt;=m_From,S126&lt;=m_To)),1,0)</f>
        <v/>
      </c>
      <c r="Y126" s="36">
        <f>IF(AND(OR(sel_Region="All",C126=sel_Region),OR(sel_Country="All",D126=sel_Country),OR(sel_Channel="All",E126=sel_Channel),OR(sel_Customer="All",F126=sel_Customer),OR(sel_Product="All",H126=sel_Product),AND(S126&gt;=m_From,S126&lt;=m_To)),1,0)</f>
        <v/>
      </c>
      <c r="Z126" s="36">
        <f>IF(AND(OR(sel_Region="All",C126=sel_Region),OR(sel_Country="All",D126=sel_Country),OR(sel_Channel="All",E126=sel_Channel),OR(sel_Customer="All",F126=sel_Customer),OR(sel_Category="All",G126=sel_Category),AND(S126&gt;=m_From,S126&lt;=m_To)),1,0)</f>
        <v/>
      </c>
      <c r="AA126" s="36">
        <f>IF(AND(OR(sel_Region="All",C126=sel_Region),OR(sel_Country="All",D126=sel_Country),OR(sel_Channel="All",E126=sel_Channel),OR(sel_Customer="All",F126=sel_Customer),OR(sel_Category="All",G126=sel_Category),OR(sel_Product="All",H126=sel_Product)),1,0)</f>
        <v/>
      </c>
    </row>
    <row r="127">
      <c r="A127" s="36" t="inlineStr">
        <is>
          <t>01616</t>
        </is>
      </c>
      <c r="B127" s="44" t="n">
        <v>46049</v>
      </c>
      <c r="C127" s="36" t="inlineStr">
        <is>
          <t>Central Europe</t>
        </is>
      </c>
      <c r="D127" s="36" t="inlineStr">
        <is>
          <t>Germany</t>
        </is>
      </c>
      <c r="E127" s="36" t="inlineStr">
        <is>
          <t>Online Store</t>
        </is>
      </c>
      <c r="F127" s="36" t="inlineStr">
        <is>
          <t>Business</t>
        </is>
      </c>
      <c r="G127" s="36" t="inlineStr">
        <is>
          <t>Travel</t>
        </is>
      </c>
      <c r="H127" s="36" t="inlineStr">
        <is>
          <t>Carry-On Duffel</t>
        </is>
      </c>
      <c r="I127" s="36" t="n">
        <v>2</v>
      </c>
      <c r="J127" s="39" t="n">
        <v>132.92</v>
      </c>
      <c r="K127" s="45" t="n">
        <v>0</v>
      </c>
      <c r="L127" s="39" t="n">
        <v>69.02</v>
      </c>
      <c r="M127" s="39">
        <f>I127*J127*(1-K127)</f>
        <v/>
      </c>
      <c r="N127" s="39">
        <f>I127*L127</f>
        <v/>
      </c>
      <c r="O127" s="39">
        <f>M127-N127</f>
        <v/>
      </c>
      <c r="P127" s="38">
        <f>IF(M127=0,0,O127/M127)</f>
        <v/>
      </c>
      <c r="Q127" s="36">
        <f>YEAR(B127)</f>
        <v/>
      </c>
      <c r="R127" s="36">
        <f>"Q"&amp;ROUNDUP(MONTH(B127)/3,0)</f>
        <v/>
      </c>
      <c r="S127" s="36">
        <f>MONTH(B127)</f>
        <v/>
      </c>
      <c r="T127" s="36">
        <f>TEXT(B127,"mmm")</f>
        <v/>
      </c>
      <c r="U127" s="36">
        <f>IF(AND(OR(sel_Region="All",C127=sel_Region),OR(sel_Country="All",D127=sel_Country),OR(sel_Channel="All",E127=sel_Channel),OR(sel_Customer="All",F127=sel_Customer),OR(sel_Category="All",G127=sel_Category),OR(sel_Product="All",H127=sel_Product),AND(S127&gt;=m_From,S127&lt;=m_To)),1,0)</f>
        <v/>
      </c>
      <c r="V127" s="36">
        <f>IF(AND(OR(sel_Region="All",C127=sel_Region),OR(sel_Channel="All",E127=sel_Channel),OR(sel_Customer="All",F127=sel_Customer),OR(sel_Category="All",G127=sel_Category),OR(sel_Product="All",H127=sel_Product),AND(S127&gt;=m_From,S127&lt;=m_To)),1,0)</f>
        <v/>
      </c>
      <c r="W127" s="36">
        <f>IF(AND(OR(sel_Region="All",C127=sel_Region),OR(sel_Country="All",D127=sel_Country),OR(sel_Customer="All",F127=sel_Customer),OR(sel_Category="All",G127=sel_Category),OR(sel_Product="All",H127=sel_Product),AND(S127&gt;=m_From,S127&lt;=m_To)),1,0)</f>
        <v/>
      </c>
      <c r="X127" s="36">
        <f>IF(AND(OR(sel_Region="All",C127=sel_Region),OR(sel_Country="All",D127=sel_Country),OR(sel_Channel="All",E127=sel_Channel),OR(sel_Category="All",G127=sel_Category),OR(sel_Product="All",H127=sel_Product),AND(S127&gt;=m_From,S127&lt;=m_To)),1,0)</f>
        <v/>
      </c>
      <c r="Y127" s="36">
        <f>IF(AND(OR(sel_Region="All",C127=sel_Region),OR(sel_Country="All",D127=sel_Country),OR(sel_Channel="All",E127=sel_Channel),OR(sel_Customer="All",F127=sel_Customer),OR(sel_Product="All",H127=sel_Product),AND(S127&gt;=m_From,S127&lt;=m_To)),1,0)</f>
        <v/>
      </c>
      <c r="Z127" s="36">
        <f>IF(AND(OR(sel_Region="All",C127=sel_Region),OR(sel_Country="All",D127=sel_Country),OR(sel_Channel="All",E127=sel_Channel),OR(sel_Customer="All",F127=sel_Customer),OR(sel_Category="All",G127=sel_Category),AND(S127&gt;=m_From,S127&lt;=m_To)),1,0)</f>
        <v/>
      </c>
      <c r="AA127" s="36">
        <f>IF(AND(OR(sel_Region="All",C127=sel_Region),OR(sel_Country="All",D127=sel_Country),OR(sel_Channel="All",E127=sel_Channel),OR(sel_Customer="All",F127=sel_Customer),OR(sel_Category="All",G127=sel_Category),OR(sel_Product="All",H127=sel_Product)),1,0)</f>
        <v/>
      </c>
    </row>
    <row r="128">
      <c r="A128" s="36" t="inlineStr">
        <is>
          <t>01798</t>
        </is>
      </c>
      <c r="B128" s="44" t="n">
        <v>46049</v>
      </c>
      <c r="C128" s="36" t="inlineStr">
        <is>
          <t>Western Europe</t>
        </is>
      </c>
      <c r="D128" s="36" t="inlineStr">
        <is>
          <t>United Kingdom</t>
        </is>
      </c>
      <c r="E128" s="36" t="inlineStr">
        <is>
          <t>Retail Partners</t>
        </is>
      </c>
      <c r="F128" s="36" t="inlineStr">
        <is>
          <t>Returning</t>
        </is>
      </c>
      <c r="G128" s="36" t="inlineStr">
        <is>
          <t>Hiking</t>
        </is>
      </c>
      <c r="H128" s="36" t="inlineStr">
        <is>
          <t>Trekking Poles</t>
        </is>
      </c>
      <c r="I128" s="36" t="n">
        <v>1</v>
      </c>
      <c r="J128" s="39" t="n">
        <v>71.41</v>
      </c>
      <c r="K128" s="45" t="n">
        <v>0.05</v>
      </c>
      <c r="L128" s="39" t="n">
        <v>32.28</v>
      </c>
      <c r="M128" s="39">
        <f>I128*J128*(1-K128)</f>
        <v/>
      </c>
      <c r="N128" s="39">
        <f>I128*L128</f>
        <v/>
      </c>
      <c r="O128" s="39">
        <f>M128-N128</f>
        <v/>
      </c>
      <c r="P128" s="38">
        <f>IF(M128=0,0,O128/M128)</f>
        <v/>
      </c>
      <c r="Q128" s="36">
        <f>YEAR(B128)</f>
        <v/>
      </c>
      <c r="R128" s="36">
        <f>"Q"&amp;ROUNDUP(MONTH(B128)/3,0)</f>
        <v/>
      </c>
      <c r="S128" s="36">
        <f>MONTH(B128)</f>
        <v/>
      </c>
      <c r="T128" s="36">
        <f>TEXT(B128,"mmm")</f>
        <v/>
      </c>
      <c r="U128" s="36">
        <f>IF(AND(OR(sel_Region="All",C128=sel_Region),OR(sel_Country="All",D128=sel_Country),OR(sel_Channel="All",E128=sel_Channel),OR(sel_Customer="All",F128=sel_Customer),OR(sel_Category="All",G128=sel_Category),OR(sel_Product="All",H128=sel_Product),AND(S128&gt;=m_From,S128&lt;=m_To)),1,0)</f>
        <v/>
      </c>
      <c r="V128" s="36">
        <f>IF(AND(OR(sel_Region="All",C128=sel_Region),OR(sel_Channel="All",E128=sel_Channel),OR(sel_Customer="All",F128=sel_Customer),OR(sel_Category="All",G128=sel_Category),OR(sel_Product="All",H128=sel_Product),AND(S128&gt;=m_From,S128&lt;=m_To)),1,0)</f>
        <v/>
      </c>
      <c r="W128" s="36">
        <f>IF(AND(OR(sel_Region="All",C128=sel_Region),OR(sel_Country="All",D128=sel_Country),OR(sel_Customer="All",F128=sel_Customer),OR(sel_Category="All",G128=sel_Category),OR(sel_Product="All",H128=sel_Product),AND(S128&gt;=m_From,S128&lt;=m_To)),1,0)</f>
        <v/>
      </c>
      <c r="X128" s="36">
        <f>IF(AND(OR(sel_Region="All",C128=sel_Region),OR(sel_Country="All",D128=sel_Country),OR(sel_Channel="All",E128=sel_Channel),OR(sel_Category="All",G128=sel_Category),OR(sel_Product="All",H128=sel_Product),AND(S128&gt;=m_From,S128&lt;=m_To)),1,0)</f>
        <v/>
      </c>
      <c r="Y128" s="36">
        <f>IF(AND(OR(sel_Region="All",C128=sel_Region),OR(sel_Country="All",D128=sel_Country),OR(sel_Channel="All",E128=sel_Channel),OR(sel_Customer="All",F128=sel_Customer),OR(sel_Product="All",H128=sel_Product),AND(S128&gt;=m_From,S128&lt;=m_To)),1,0)</f>
        <v/>
      </c>
      <c r="Z128" s="36">
        <f>IF(AND(OR(sel_Region="All",C128=sel_Region),OR(sel_Country="All",D128=sel_Country),OR(sel_Channel="All",E128=sel_Channel),OR(sel_Customer="All",F128=sel_Customer),OR(sel_Category="All",G128=sel_Category),AND(S128&gt;=m_From,S128&lt;=m_To)),1,0)</f>
        <v/>
      </c>
      <c r="AA128" s="36">
        <f>IF(AND(OR(sel_Region="All",C128=sel_Region),OR(sel_Country="All",D128=sel_Country),OR(sel_Channel="All",E128=sel_Channel),OR(sel_Customer="All",F128=sel_Customer),OR(sel_Category="All",G128=sel_Category),OR(sel_Product="All",H128=sel_Product)),1,0)</f>
        <v/>
      </c>
    </row>
    <row r="129">
      <c r="A129" s="36" t="inlineStr">
        <is>
          <t>04449</t>
        </is>
      </c>
      <c r="B129" s="44" t="n">
        <v>46049</v>
      </c>
      <c r="C129" s="36" t="inlineStr">
        <is>
          <t>Western Europe</t>
        </is>
      </c>
      <c r="D129" s="36" t="inlineStr">
        <is>
          <t>United Kingdom</t>
        </is>
      </c>
      <c r="E129" s="36" t="inlineStr">
        <is>
          <t>Online Store</t>
        </is>
      </c>
      <c r="F129" s="36" t="inlineStr">
        <is>
          <t>New</t>
        </is>
      </c>
      <c r="G129" s="36" t="inlineStr">
        <is>
          <t>Camping</t>
        </is>
      </c>
      <c r="H129" s="36" t="inlineStr">
        <is>
          <t>Trail Tent 2P</t>
        </is>
      </c>
      <c r="I129" s="36" t="n">
        <v>1</v>
      </c>
      <c r="J129" s="39" t="n">
        <v>199.67</v>
      </c>
      <c r="K129" s="45" t="n">
        <v>0</v>
      </c>
      <c r="L129" s="39" t="n">
        <v>103.81</v>
      </c>
      <c r="M129" s="39">
        <f>I129*J129*(1-K129)</f>
        <v/>
      </c>
      <c r="N129" s="39">
        <f>I129*L129</f>
        <v/>
      </c>
      <c r="O129" s="39">
        <f>M129-N129</f>
        <v/>
      </c>
      <c r="P129" s="38">
        <f>IF(M129=0,0,O129/M129)</f>
        <v/>
      </c>
      <c r="Q129" s="36">
        <f>YEAR(B129)</f>
        <v/>
      </c>
      <c r="R129" s="36">
        <f>"Q"&amp;ROUNDUP(MONTH(B129)/3,0)</f>
        <v/>
      </c>
      <c r="S129" s="36">
        <f>MONTH(B129)</f>
        <v/>
      </c>
      <c r="T129" s="36">
        <f>TEXT(B129,"mmm")</f>
        <v/>
      </c>
      <c r="U129" s="36">
        <f>IF(AND(OR(sel_Region="All",C129=sel_Region),OR(sel_Country="All",D129=sel_Country),OR(sel_Channel="All",E129=sel_Channel),OR(sel_Customer="All",F129=sel_Customer),OR(sel_Category="All",G129=sel_Category),OR(sel_Product="All",H129=sel_Product),AND(S129&gt;=m_From,S129&lt;=m_To)),1,0)</f>
        <v/>
      </c>
      <c r="V129" s="36">
        <f>IF(AND(OR(sel_Region="All",C129=sel_Region),OR(sel_Channel="All",E129=sel_Channel),OR(sel_Customer="All",F129=sel_Customer),OR(sel_Category="All",G129=sel_Category),OR(sel_Product="All",H129=sel_Product),AND(S129&gt;=m_From,S129&lt;=m_To)),1,0)</f>
        <v/>
      </c>
      <c r="W129" s="36">
        <f>IF(AND(OR(sel_Region="All",C129=sel_Region),OR(sel_Country="All",D129=sel_Country),OR(sel_Customer="All",F129=sel_Customer),OR(sel_Category="All",G129=sel_Category),OR(sel_Product="All",H129=sel_Product),AND(S129&gt;=m_From,S129&lt;=m_To)),1,0)</f>
        <v/>
      </c>
      <c r="X129" s="36">
        <f>IF(AND(OR(sel_Region="All",C129=sel_Region),OR(sel_Country="All",D129=sel_Country),OR(sel_Channel="All",E129=sel_Channel),OR(sel_Category="All",G129=sel_Category),OR(sel_Product="All",H129=sel_Product),AND(S129&gt;=m_From,S129&lt;=m_To)),1,0)</f>
        <v/>
      </c>
      <c r="Y129" s="36">
        <f>IF(AND(OR(sel_Region="All",C129=sel_Region),OR(sel_Country="All",D129=sel_Country),OR(sel_Channel="All",E129=sel_Channel),OR(sel_Customer="All",F129=sel_Customer),OR(sel_Product="All",H129=sel_Product),AND(S129&gt;=m_From,S129&lt;=m_To)),1,0)</f>
        <v/>
      </c>
      <c r="Z129" s="36">
        <f>IF(AND(OR(sel_Region="All",C129=sel_Region),OR(sel_Country="All",D129=sel_Country),OR(sel_Channel="All",E129=sel_Channel),OR(sel_Customer="All",F129=sel_Customer),OR(sel_Category="All",G129=sel_Category),AND(S129&gt;=m_From,S129&lt;=m_To)),1,0)</f>
        <v/>
      </c>
      <c r="AA129" s="36">
        <f>IF(AND(OR(sel_Region="All",C129=sel_Region),OR(sel_Country="All",D129=sel_Country),OR(sel_Channel="All",E129=sel_Channel),OR(sel_Customer="All",F129=sel_Customer),OR(sel_Category="All",G129=sel_Category),OR(sel_Product="All",H129=sel_Product)),1,0)</f>
        <v/>
      </c>
    </row>
    <row r="130">
      <c r="A130" s="36" t="inlineStr">
        <is>
          <t>04473</t>
        </is>
      </c>
      <c r="B130" s="44" t="n">
        <v>46049</v>
      </c>
      <c r="C130" s="36" t="inlineStr">
        <is>
          <t>Southern Europe</t>
        </is>
      </c>
      <c r="D130" s="36" t="inlineStr">
        <is>
          <t>Spain</t>
        </is>
      </c>
      <c r="E130" s="36" t="inlineStr">
        <is>
          <t>Retail Partners</t>
        </is>
      </c>
      <c r="F130" s="36" t="inlineStr">
        <is>
          <t>Returning</t>
        </is>
      </c>
      <c r="G130" s="36" t="inlineStr">
        <is>
          <t>Camping</t>
        </is>
      </c>
      <c r="H130" s="36" t="inlineStr">
        <is>
          <t>Trail Tent 2P</t>
        </is>
      </c>
      <c r="I130" s="36" t="n">
        <v>1</v>
      </c>
      <c r="J130" s="39" t="n">
        <v>196.88</v>
      </c>
      <c r="K130" s="45" t="n">
        <v>0</v>
      </c>
      <c r="L130" s="39" t="n">
        <v>102.76</v>
      </c>
      <c r="M130" s="39">
        <f>I130*J130*(1-K130)</f>
        <v/>
      </c>
      <c r="N130" s="39">
        <f>I130*L130</f>
        <v/>
      </c>
      <c r="O130" s="39">
        <f>M130-N130</f>
        <v/>
      </c>
      <c r="P130" s="38">
        <f>IF(M130=0,0,O130/M130)</f>
        <v/>
      </c>
      <c r="Q130" s="36">
        <f>YEAR(B130)</f>
        <v/>
      </c>
      <c r="R130" s="36">
        <f>"Q"&amp;ROUNDUP(MONTH(B130)/3,0)</f>
        <v/>
      </c>
      <c r="S130" s="36">
        <f>MONTH(B130)</f>
        <v/>
      </c>
      <c r="T130" s="36">
        <f>TEXT(B130,"mmm")</f>
        <v/>
      </c>
      <c r="U130" s="36">
        <f>IF(AND(OR(sel_Region="All",C130=sel_Region),OR(sel_Country="All",D130=sel_Country),OR(sel_Channel="All",E130=sel_Channel),OR(sel_Customer="All",F130=sel_Customer),OR(sel_Category="All",G130=sel_Category),OR(sel_Product="All",H130=sel_Product),AND(S130&gt;=m_From,S130&lt;=m_To)),1,0)</f>
        <v/>
      </c>
      <c r="V130" s="36">
        <f>IF(AND(OR(sel_Region="All",C130=sel_Region),OR(sel_Channel="All",E130=sel_Channel),OR(sel_Customer="All",F130=sel_Customer),OR(sel_Category="All",G130=sel_Category),OR(sel_Product="All",H130=sel_Product),AND(S130&gt;=m_From,S130&lt;=m_To)),1,0)</f>
        <v/>
      </c>
      <c r="W130" s="36">
        <f>IF(AND(OR(sel_Region="All",C130=sel_Region),OR(sel_Country="All",D130=sel_Country),OR(sel_Customer="All",F130=sel_Customer),OR(sel_Category="All",G130=sel_Category),OR(sel_Product="All",H130=sel_Product),AND(S130&gt;=m_From,S130&lt;=m_To)),1,0)</f>
        <v/>
      </c>
      <c r="X130" s="36">
        <f>IF(AND(OR(sel_Region="All",C130=sel_Region),OR(sel_Country="All",D130=sel_Country),OR(sel_Channel="All",E130=sel_Channel),OR(sel_Category="All",G130=sel_Category),OR(sel_Product="All",H130=sel_Product),AND(S130&gt;=m_From,S130&lt;=m_To)),1,0)</f>
        <v/>
      </c>
      <c r="Y130" s="36">
        <f>IF(AND(OR(sel_Region="All",C130=sel_Region),OR(sel_Country="All",D130=sel_Country),OR(sel_Channel="All",E130=sel_Channel),OR(sel_Customer="All",F130=sel_Customer),OR(sel_Product="All",H130=sel_Product),AND(S130&gt;=m_From,S130&lt;=m_To)),1,0)</f>
        <v/>
      </c>
      <c r="Z130" s="36">
        <f>IF(AND(OR(sel_Region="All",C130=sel_Region),OR(sel_Country="All",D130=sel_Country),OR(sel_Channel="All",E130=sel_Channel),OR(sel_Customer="All",F130=sel_Customer),OR(sel_Category="All",G130=sel_Category),AND(S130&gt;=m_From,S130&lt;=m_To)),1,0)</f>
        <v/>
      </c>
      <c r="AA130" s="36">
        <f>IF(AND(OR(sel_Region="All",C130=sel_Region),OR(sel_Country="All",D130=sel_Country),OR(sel_Channel="All",E130=sel_Channel),OR(sel_Customer="All",F130=sel_Customer),OR(sel_Category="All",G130=sel_Category),OR(sel_Product="All",H130=sel_Product)),1,0)</f>
        <v/>
      </c>
    </row>
    <row r="131">
      <c r="A131" s="36" t="inlineStr">
        <is>
          <t>00203</t>
        </is>
      </c>
      <c r="B131" s="44" t="n">
        <v>46050</v>
      </c>
      <c r="C131" s="36" t="inlineStr">
        <is>
          <t>Western Europe</t>
        </is>
      </c>
      <c r="D131" s="36" t="inlineStr">
        <is>
          <t>Netherlands</t>
        </is>
      </c>
      <c r="E131" s="36" t="inlineStr">
        <is>
          <t>Online Store</t>
        </is>
      </c>
      <c r="F131" s="36" t="inlineStr">
        <is>
          <t>Returning</t>
        </is>
      </c>
      <c r="G131" s="36" t="inlineStr">
        <is>
          <t>Cycling</t>
        </is>
      </c>
      <c r="H131" s="36" t="inlineStr">
        <is>
          <t>Trail Bike Light</t>
        </is>
      </c>
      <c r="I131" s="36" t="n">
        <v>3</v>
      </c>
      <c r="J131" s="39" t="n">
        <v>49.95</v>
      </c>
      <c r="K131" s="45" t="n">
        <v>0</v>
      </c>
      <c r="L131" s="39" t="n">
        <v>22.55</v>
      </c>
      <c r="M131" s="39">
        <f>I131*J131*(1-K131)</f>
        <v/>
      </c>
      <c r="N131" s="39">
        <f>I131*L131</f>
        <v/>
      </c>
      <c r="O131" s="39">
        <f>M131-N131</f>
        <v/>
      </c>
      <c r="P131" s="38">
        <f>IF(M131=0,0,O131/M131)</f>
        <v/>
      </c>
      <c r="Q131" s="36">
        <f>YEAR(B131)</f>
        <v/>
      </c>
      <c r="R131" s="36">
        <f>"Q"&amp;ROUNDUP(MONTH(B131)/3,0)</f>
        <v/>
      </c>
      <c r="S131" s="36">
        <f>MONTH(B131)</f>
        <v/>
      </c>
      <c r="T131" s="36">
        <f>TEXT(B131,"mmm")</f>
        <v/>
      </c>
      <c r="U131" s="36">
        <f>IF(AND(OR(sel_Region="All",C131=sel_Region),OR(sel_Country="All",D131=sel_Country),OR(sel_Channel="All",E131=sel_Channel),OR(sel_Customer="All",F131=sel_Customer),OR(sel_Category="All",G131=sel_Category),OR(sel_Product="All",H131=sel_Product),AND(S131&gt;=m_From,S131&lt;=m_To)),1,0)</f>
        <v/>
      </c>
      <c r="V131" s="36">
        <f>IF(AND(OR(sel_Region="All",C131=sel_Region),OR(sel_Channel="All",E131=sel_Channel),OR(sel_Customer="All",F131=sel_Customer),OR(sel_Category="All",G131=sel_Category),OR(sel_Product="All",H131=sel_Product),AND(S131&gt;=m_From,S131&lt;=m_To)),1,0)</f>
        <v/>
      </c>
      <c r="W131" s="36">
        <f>IF(AND(OR(sel_Region="All",C131=sel_Region),OR(sel_Country="All",D131=sel_Country),OR(sel_Customer="All",F131=sel_Customer),OR(sel_Category="All",G131=sel_Category),OR(sel_Product="All",H131=sel_Product),AND(S131&gt;=m_From,S131&lt;=m_To)),1,0)</f>
        <v/>
      </c>
      <c r="X131" s="36">
        <f>IF(AND(OR(sel_Region="All",C131=sel_Region),OR(sel_Country="All",D131=sel_Country),OR(sel_Channel="All",E131=sel_Channel),OR(sel_Category="All",G131=sel_Category),OR(sel_Product="All",H131=sel_Product),AND(S131&gt;=m_From,S131&lt;=m_To)),1,0)</f>
        <v/>
      </c>
      <c r="Y131" s="36">
        <f>IF(AND(OR(sel_Region="All",C131=sel_Region),OR(sel_Country="All",D131=sel_Country),OR(sel_Channel="All",E131=sel_Channel),OR(sel_Customer="All",F131=sel_Customer),OR(sel_Product="All",H131=sel_Product),AND(S131&gt;=m_From,S131&lt;=m_To)),1,0)</f>
        <v/>
      </c>
      <c r="Z131" s="36">
        <f>IF(AND(OR(sel_Region="All",C131=sel_Region),OR(sel_Country="All",D131=sel_Country),OR(sel_Channel="All",E131=sel_Channel),OR(sel_Customer="All",F131=sel_Customer),OR(sel_Category="All",G131=sel_Category),AND(S131&gt;=m_From,S131&lt;=m_To)),1,0)</f>
        <v/>
      </c>
      <c r="AA131" s="36">
        <f>IF(AND(OR(sel_Region="All",C131=sel_Region),OR(sel_Country="All",D131=sel_Country),OR(sel_Channel="All",E131=sel_Channel),OR(sel_Customer="All",F131=sel_Customer),OR(sel_Category="All",G131=sel_Category),OR(sel_Product="All",H131=sel_Product)),1,0)</f>
        <v/>
      </c>
    </row>
    <row r="132">
      <c r="A132" s="36" t="inlineStr">
        <is>
          <t>01654</t>
        </is>
      </c>
      <c r="B132" s="44" t="n">
        <v>46050</v>
      </c>
      <c r="C132" s="36" t="inlineStr">
        <is>
          <t>Central Europe</t>
        </is>
      </c>
      <c r="D132" s="36" t="inlineStr">
        <is>
          <t>Austria</t>
        </is>
      </c>
      <c r="E132" s="36" t="inlineStr">
        <is>
          <t>Marketplace</t>
        </is>
      </c>
      <c r="F132" s="36" t="inlineStr">
        <is>
          <t>Business</t>
        </is>
      </c>
      <c r="G132" s="36" t="inlineStr">
        <is>
          <t>Hiking</t>
        </is>
      </c>
      <c r="H132" s="36" t="inlineStr">
        <is>
          <t>Trekking Poles</t>
        </is>
      </c>
      <c r="I132" s="36" t="n">
        <v>1</v>
      </c>
      <c r="J132" s="39" t="n">
        <v>70.41</v>
      </c>
      <c r="K132" s="45" t="n">
        <v>0</v>
      </c>
      <c r="L132" s="39" t="n">
        <v>32.74</v>
      </c>
      <c r="M132" s="39">
        <f>I132*J132*(1-K132)</f>
        <v/>
      </c>
      <c r="N132" s="39">
        <f>I132*L132</f>
        <v/>
      </c>
      <c r="O132" s="39">
        <f>M132-N132</f>
        <v/>
      </c>
      <c r="P132" s="38">
        <f>IF(M132=0,0,O132/M132)</f>
        <v/>
      </c>
      <c r="Q132" s="36">
        <f>YEAR(B132)</f>
        <v/>
      </c>
      <c r="R132" s="36">
        <f>"Q"&amp;ROUNDUP(MONTH(B132)/3,0)</f>
        <v/>
      </c>
      <c r="S132" s="36">
        <f>MONTH(B132)</f>
        <v/>
      </c>
      <c r="T132" s="36">
        <f>TEXT(B132,"mmm")</f>
        <v/>
      </c>
      <c r="U132" s="36">
        <f>IF(AND(OR(sel_Region="All",C132=sel_Region),OR(sel_Country="All",D132=sel_Country),OR(sel_Channel="All",E132=sel_Channel),OR(sel_Customer="All",F132=sel_Customer),OR(sel_Category="All",G132=sel_Category),OR(sel_Product="All",H132=sel_Product),AND(S132&gt;=m_From,S132&lt;=m_To)),1,0)</f>
        <v/>
      </c>
      <c r="V132" s="36">
        <f>IF(AND(OR(sel_Region="All",C132=sel_Region),OR(sel_Channel="All",E132=sel_Channel),OR(sel_Customer="All",F132=sel_Customer),OR(sel_Category="All",G132=sel_Category),OR(sel_Product="All",H132=sel_Product),AND(S132&gt;=m_From,S132&lt;=m_To)),1,0)</f>
        <v/>
      </c>
      <c r="W132" s="36">
        <f>IF(AND(OR(sel_Region="All",C132=sel_Region),OR(sel_Country="All",D132=sel_Country),OR(sel_Customer="All",F132=sel_Customer),OR(sel_Category="All",G132=sel_Category),OR(sel_Product="All",H132=sel_Product),AND(S132&gt;=m_From,S132&lt;=m_To)),1,0)</f>
        <v/>
      </c>
      <c r="X132" s="36">
        <f>IF(AND(OR(sel_Region="All",C132=sel_Region),OR(sel_Country="All",D132=sel_Country),OR(sel_Channel="All",E132=sel_Channel),OR(sel_Category="All",G132=sel_Category),OR(sel_Product="All",H132=sel_Product),AND(S132&gt;=m_From,S132&lt;=m_To)),1,0)</f>
        <v/>
      </c>
      <c r="Y132" s="36">
        <f>IF(AND(OR(sel_Region="All",C132=sel_Region),OR(sel_Country="All",D132=sel_Country),OR(sel_Channel="All",E132=sel_Channel),OR(sel_Customer="All",F132=sel_Customer),OR(sel_Product="All",H132=sel_Product),AND(S132&gt;=m_From,S132&lt;=m_To)),1,0)</f>
        <v/>
      </c>
      <c r="Z132" s="36">
        <f>IF(AND(OR(sel_Region="All",C132=sel_Region),OR(sel_Country="All",D132=sel_Country),OR(sel_Channel="All",E132=sel_Channel),OR(sel_Customer="All",F132=sel_Customer),OR(sel_Category="All",G132=sel_Category),AND(S132&gt;=m_From,S132&lt;=m_To)),1,0)</f>
        <v/>
      </c>
      <c r="AA132" s="36">
        <f>IF(AND(OR(sel_Region="All",C132=sel_Region),OR(sel_Country="All",D132=sel_Country),OR(sel_Channel="All",E132=sel_Channel),OR(sel_Customer="All",F132=sel_Customer),OR(sel_Category="All",G132=sel_Category),OR(sel_Product="All",H132=sel_Product)),1,0)</f>
        <v/>
      </c>
    </row>
    <row r="133">
      <c r="A133" s="36" t="inlineStr">
        <is>
          <t>02203</t>
        </is>
      </c>
      <c r="B133" s="44" t="n">
        <v>46050</v>
      </c>
      <c r="C133" s="36" t="inlineStr">
        <is>
          <t>Northern Europe</t>
        </is>
      </c>
      <c r="D133" s="36" t="inlineStr">
        <is>
          <t>Norway</t>
        </is>
      </c>
      <c r="E133" s="36" t="inlineStr">
        <is>
          <t>Marketplace</t>
        </is>
      </c>
      <c r="F133" s="36" t="inlineStr">
        <is>
          <t>Returning</t>
        </is>
      </c>
      <c r="G133" s="36" t="inlineStr">
        <is>
          <t>Hiking</t>
        </is>
      </c>
      <c r="H133" s="36" t="inlineStr">
        <is>
          <t>Trekking Poles</t>
        </is>
      </c>
      <c r="I133" s="36" t="n">
        <v>2</v>
      </c>
      <c r="J133" s="39" t="n">
        <v>70.29000000000001</v>
      </c>
      <c r="K133" s="45" t="n">
        <v>0.15</v>
      </c>
      <c r="L133" s="39" t="n">
        <v>31.84</v>
      </c>
      <c r="M133" s="39">
        <f>I133*J133*(1-K133)</f>
        <v/>
      </c>
      <c r="N133" s="39">
        <f>I133*L133</f>
        <v/>
      </c>
      <c r="O133" s="39">
        <f>M133-N133</f>
        <v/>
      </c>
      <c r="P133" s="38">
        <f>IF(M133=0,0,O133/M133)</f>
        <v/>
      </c>
      <c r="Q133" s="36">
        <f>YEAR(B133)</f>
        <v/>
      </c>
      <c r="R133" s="36">
        <f>"Q"&amp;ROUNDUP(MONTH(B133)/3,0)</f>
        <v/>
      </c>
      <c r="S133" s="36">
        <f>MONTH(B133)</f>
        <v/>
      </c>
      <c r="T133" s="36">
        <f>TEXT(B133,"mmm")</f>
        <v/>
      </c>
      <c r="U133" s="36">
        <f>IF(AND(OR(sel_Region="All",C133=sel_Region),OR(sel_Country="All",D133=sel_Country),OR(sel_Channel="All",E133=sel_Channel),OR(sel_Customer="All",F133=sel_Customer),OR(sel_Category="All",G133=sel_Category),OR(sel_Product="All",H133=sel_Product),AND(S133&gt;=m_From,S133&lt;=m_To)),1,0)</f>
        <v/>
      </c>
      <c r="V133" s="36">
        <f>IF(AND(OR(sel_Region="All",C133=sel_Region),OR(sel_Channel="All",E133=sel_Channel),OR(sel_Customer="All",F133=sel_Customer),OR(sel_Category="All",G133=sel_Category),OR(sel_Product="All",H133=sel_Product),AND(S133&gt;=m_From,S133&lt;=m_To)),1,0)</f>
        <v/>
      </c>
      <c r="W133" s="36">
        <f>IF(AND(OR(sel_Region="All",C133=sel_Region),OR(sel_Country="All",D133=sel_Country),OR(sel_Customer="All",F133=sel_Customer),OR(sel_Category="All",G133=sel_Category),OR(sel_Product="All",H133=sel_Product),AND(S133&gt;=m_From,S133&lt;=m_To)),1,0)</f>
        <v/>
      </c>
      <c r="X133" s="36">
        <f>IF(AND(OR(sel_Region="All",C133=sel_Region),OR(sel_Country="All",D133=sel_Country),OR(sel_Channel="All",E133=sel_Channel),OR(sel_Category="All",G133=sel_Category),OR(sel_Product="All",H133=sel_Product),AND(S133&gt;=m_From,S133&lt;=m_To)),1,0)</f>
        <v/>
      </c>
      <c r="Y133" s="36">
        <f>IF(AND(OR(sel_Region="All",C133=sel_Region),OR(sel_Country="All",D133=sel_Country),OR(sel_Channel="All",E133=sel_Channel),OR(sel_Customer="All",F133=sel_Customer),OR(sel_Product="All",H133=sel_Product),AND(S133&gt;=m_From,S133&lt;=m_To)),1,0)</f>
        <v/>
      </c>
      <c r="Z133" s="36">
        <f>IF(AND(OR(sel_Region="All",C133=sel_Region),OR(sel_Country="All",D133=sel_Country),OR(sel_Channel="All",E133=sel_Channel),OR(sel_Customer="All",F133=sel_Customer),OR(sel_Category="All",G133=sel_Category),AND(S133&gt;=m_From,S133&lt;=m_To)),1,0)</f>
        <v/>
      </c>
      <c r="AA133" s="36">
        <f>IF(AND(OR(sel_Region="All",C133=sel_Region),OR(sel_Country="All",D133=sel_Country),OR(sel_Channel="All",E133=sel_Channel),OR(sel_Customer="All",F133=sel_Customer),OR(sel_Category="All",G133=sel_Category),OR(sel_Product="All",H133=sel_Product)),1,0)</f>
        <v/>
      </c>
    </row>
    <row r="134">
      <c r="A134" s="36" t="inlineStr">
        <is>
          <t>03352</t>
        </is>
      </c>
      <c r="B134" s="44" t="n">
        <v>46050</v>
      </c>
      <c r="C134" s="36" t="inlineStr">
        <is>
          <t>Northern Europe</t>
        </is>
      </c>
      <c r="D134" s="36" t="inlineStr">
        <is>
          <t>Norway</t>
        </is>
      </c>
      <c r="E134" s="36" t="inlineStr">
        <is>
          <t>Online Store</t>
        </is>
      </c>
      <c r="F134" s="36" t="inlineStr">
        <is>
          <t>Business</t>
        </is>
      </c>
      <c r="G134" s="36" t="inlineStr">
        <is>
          <t>Hiking</t>
        </is>
      </c>
      <c r="H134" s="36" t="inlineStr">
        <is>
          <t>Hiking Daypack 20L</t>
        </is>
      </c>
      <c r="I134" s="36" t="n">
        <v>4</v>
      </c>
      <c r="J134" s="39" t="n">
        <v>91.45999999999999</v>
      </c>
      <c r="K134" s="45" t="n">
        <v>0</v>
      </c>
      <c r="L134" s="39" t="n">
        <v>44.04</v>
      </c>
      <c r="M134" s="39">
        <f>I134*J134*(1-K134)</f>
        <v/>
      </c>
      <c r="N134" s="39">
        <f>I134*L134</f>
        <v/>
      </c>
      <c r="O134" s="39">
        <f>M134-N134</f>
        <v/>
      </c>
      <c r="P134" s="38">
        <f>IF(M134=0,0,O134/M134)</f>
        <v/>
      </c>
      <c r="Q134" s="36">
        <f>YEAR(B134)</f>
        <v/>
      </c>
      <c r="R134" s="36">
        <f>"Q"&amp;ROUNDUP(MONTH(B134)/3,0)</f>
        <v/>
      </c>
      <c r="S134" s="36">
        <f>MONTH(B134)</f>
        <v/>
      </c>
      <c r="T134" s="36">
        <f>TEXT(B134,"mmm")</f>
        <v/>
      </c>
      <c r="U134" s="36">
        <f>IF(AND(OR(sel_Region="All",C134=sel_Region),OR(sel_Country="All",D134=sel_Country),OR(sel_Channel="All",E134=sel_Channel),OR(sel_Customer="All",F134=sel_Customer),OR(sel_Category="All",G134=sel_Category),OR(sel_Product="All",H134=sel_Product),AND(S134&gt;=m_From,S134&lt;=m_To)),1,0)</f>
        <v/>
      </c>
      <c r="V134" s="36">
        <f>IF(AND(OR(sel_Region="All",C134=sel_Region),OR(sel_Channel="All",E134=sel_Channel),OR(sel_Customer="All",F134=sel_Customer),OR(sel_Category="All",G134=sel_Category),OR(sel_Product="All",H134=sel_Product),AND(S134&gt;=m_From,S134&lt;=m_To)),1,0)</f>
        <v/>
      </c>
      <c r="W134" s="36">
        <f>IF(AND(OR(sel_Region="All",C134=sel_Region),OR(sel_Country="All",D134=sel_Country),OR(sel_Customer="All",F134=sel_Customer),OR(sel_Category="All",G134=sel_Category),OR(sel_Product="All",H134=sel_Product),AND(S134&gt;=m_From,S134&lt;=m_To)),1,0)</f>
        <v/>
      </c>
      <c r="X134" s="36">
        <f>IF(AND(OR(sel_Region="All",C134=sel_Region),OR(sel_Country="All",D134=sel_Country),OR(sel_Channel="All",E134=sel_Channel),OR(sel_Category="All",G134=sel_Category),OR(sel_Product="All",H134=sel_Product),AND(S134&gt;=m_From,S134&lt;=m_To)),1,0)</f>
        <v/>
      </c>
      <c r="Y134" s="36">
        <f>IF(AND(OR(sel_Region="All",C134=sel_Region),OR(sel_Country="All",D134=sel_Country),OR(sel_Channel="All",E134=sel_Channel),OR(sel_Customer="All",F134=sel_Customer),OR(sel_Product="All",H134=sel_Product),AND(S134&gt;=m_From,S134&lt;=m_To)),1,0)</f>
        <v/>
      </c>
      <c r="Z134" s="36">
        <f>IF(AND(OR(sel_Region="All",C134=sel_Region),OR(sel_Country="All",D134=sel_Country),OR(sel_Channel="All",E134=sel_Channel),OR(sel_Customer="All",F134=sel_Customer),OR(sel_Category="All",G134=sel_Category),AND(S134&gt;=m_From,S134&lt;=m_To)),1,0)</f>
        <v/>
      </c>
      <c r="AA134" s="36">
        <f>IF(AND(OR(sel_Region="All",C134=sel_Region),OR(sel_Country="All",D134=sel_Country),OR(sel_Channel="All",E134=sel_Channel),OR(sel_Customer="All",F134=sel_Customer),OR(sel_Category="All",G134=sel_Category),OR(sel_Product="All",H134=sel_Product)),1,0)</f>
        <v/>
      </c>
    </row>
    <row r="135">
      <c r="A135" s="36" t="inlineStr">
        <is>
          <t>00183</t>
        </is>
      </c>
      <c r="B135" s="44" t="n">
        <v>46051</v>
      </c>
      <c r="C135" s="36" t="inlineStr">
        <is>
          <t>Central Europe</t>
        </is>
      </c>
      <c r="D135" s="36" t="inlineStr">
        <is>
          <t>Germany</t>
        </is>
      </c>
      <c r="E135" s="36" t="inlineStr">
        <is>
          <t>Online Store</t>
        </is>
      </c>
      <c r="F135" s="36" t="inlineStr">
        <is>
          <t>New</t>
        </is>
      </c>
      <c r="G135" s="36" t="inlineStr">
        <is>
          <t>Camping</t>
        </is>
      </c>
      <c r="H135" s="36" t="inlineStr">
        <is>
          <t>Compact Sleeping Bag</t>
        </is>
      </c>
      <c r="I135" s="36" t="n">
        <v>2</v>
      </c>
      <c r="J135" s="39" t="n">
        <v>123.27</v>
      </c>
      <c r="K135" s="45" t="n">
        <v>0</v>
      </c>
      <c r="L135" s="39" t="n">
        <v>60.26</v>
      </c>
      <c r="M135" s="39">
        <f>I135*J135*(1-K135)</f>
        <v/>
      </c>
      <c r="N135" s="39">
        <f>I135*L135</f>
        <v/>
      </c>
      <c r="O135" s="39">
        <f>M135-N135</f>
        <v/>
      </c>
      <c r="P135" s="38">
        <f>IF(M135=0,0,O135/M135)</f>
        <v/>
      </c>
      <c r="Q135" s="36">
        <f>YEAR(B135)</f>
        <v/>
      </c>
      <c r="R135" s="36">
        <f>"Q"&amp;ROUNDUP(MONTH(B135)/3,0)</f>
        <v/>
      </c>
      <c r="S135" s="36">
        <f>MONTH(B135)</f>
        <v/>
      </c>
      <c r="T135" s="36">
        <f>TEXT(B135,"mmm")</f>
        <v/>
      </c>
      <c r="U135" s="36">
        <f>IF(AND(OR(sel_Region="All",C135=sel_Region),OR(sel_Country="All",D135=sel_Country),OR(sel_Channel="All",E135=sel_Channel),OR(sel_Customer="All",F135=sel_Customer),OR(sel_Category="All",G135=sel_Category),OR(sel_Product="All",H135=sel_Product),AND(S135&gt;=m_From,S135&lt;=m_To)),1,0)</f>
        <v/>
      </c>
      <c r="V135" s="36">
        <f>IF(AND(OR(sel_Region="All",C135=sel_Region),OR(sel_Channel="All",E135=sel_Channel),OR(sel_Customer="All",F135=sel_Customer),OR(sel_Category="All",G135=sel_Category),OR(sel_Product="All",H135=sel_Product),AND(S135&gt;=m_From,S135&lt;=m_To)),1,0)</f>
        <v/>
      </c>
      <c r="W135" s="36">
        <f>IF(AND(OR(sel_Region="All",C135=sel_Region),OR(sel_Country="All",D135=sel_Country),OR(sel_Customer="All",F135=sel_Customer),OR(sel_Category="All",G135=sel_Category),OR(sel_Product="All",H135=sel_Product),AND(S135&gt;=m_From,S135&lt;=m_To)),1,0)</f>
        <v/>
      </c>
      <c r="X135" s="36">
        <f>IF(AND(OR(sel_Region="All",C135=sel_Region),OR(sel_Country="All",D135=sel_Country),OR(sel_Channel="All",E135=sel_Channel),OR(sel_Category="All",G135=sel_Category),OR(sel_Product="All",H135=sel_Product),AND(S135&gt;=m_From,S135&lt;=m_To)),1,0)</f>
        <v/>
      </c>
      <c r="Y135" s="36">
        <f>IF(AND(OR(sel_Region="All",C135=sel_Region),OR(sel_Country="All",D135=sel_Country),OR(sel_Channel="All",E135=sel_Channel),OR(sel_Customer="All",F135=sel_Customer),OR(sel_Product="All",H135=sel_Product),AND(S135&gt;=m_From,S135&lt;=m_To)),1,0)</f>
        <v/>
      </c>
      <c r="Z135" s="36">
        <f>IF(AND(OR(sel_Region="All",C135=sel_Region),OR(sel_Country="All",D135=sel_Country),OR(sel_Channel="All",E135=sel_Channel),OR(sel_Customer="All",F135=sel_Customer),OR(sel_Category="All",G135=sel_Category),AND(S135&gt;=m_From,S135&lt;=m_To)),1,0)</f>
        <v/>
      </c>
      <c r="AA135" s="36">
        <f>IF(AND(OR(sel_Region="All",C135=sel_Region),OR(sel_Country="All",D135=sel_Country),OR(sel_Channel="All",E135=sel_Channel),OR(sel_Customer="All",F135=sel_Customer),OR(sel_Category="All",G135=sel_Category),OR(sel_Product="All",H135=sel_Product)),1,0)</f>
        <v/>
      </c>
    </row>
    <row r="136">
      <c r="A136" s="36" t="inlineStr">
        <is>
          <t>03525</t>
        </is>
      </c>
      <c r="B136" s="44" t="n">
        <v>46051</v>
      </c>
      <c r="C136" s="36" t="inlineStr">
        <is>
          <t>Northern Europe</t>
        </is>
      </c>
      <c r="D136" s="36" t="inlineStr">
        <is>
          <t>Denmark</t>
        </is>
      </c>
      <c r="E136" s="36" t="inlineStr">
        <is>
          <t>Corporate</t>
        </is>
      </c>
      <c r="F136" s="36" t="inlineStr">
        <is>
          <t>Business</t>
        </is>
      </c>
      <c r="G136" s="36" t="inlineStr">
        <is>
          <t>Fitness</t>
        </is>
      </c>
      <c r="H136" s="36" t="inlineStr">
        <is>
          <t>Training Mat</t>
        </is>
      </c>
      <c r="I136" s="36" t="n">
        <v>3</v>
      </c>
      <c r="J136" s="39" t="n">
        <v>49.63</v>
      </c>
      <c r="K136" s="45" t="n">
        <v>0.1</v>
      </c>
      <c r="L136" s="39" t="n">
        <v>22.06</v>
      </c>
      <c r="M136" s="39">
        <f>I136*J136*(1-K136)</f>
        <v/>
      </c>
      <c r="N136" s="39">
        <f>I136*L136</f>
        <v/>
      </c>
      <c r="O136" s="39">
        <f>M136-N136</f>
        <v/>
      </c>
      <c r="P136" s="38">
        <f>IF(M136=0,0,O136/M136)</f>
        <v/>
      </c>
      <c r="Q136" s="36">
        <f>YEAR(B136)</f>
        <v/>
      </c>
      <c r="R136" s="36">
        <f>"Q"&amp;ROUNDUP(MONTH(B136)/3,0)</f>
        <v/>
      </c>
      <c r="S136" s="36">
        <f>MONTH(B136)</f>
        <v/>
      </c>
      <c r="T136" s="36">
        <f>TEXT(B136,"mmm")</f>
        <v/>
      </c>
      <c r="U136" s="36">
        <f>IF(AND(OR(sel_Region="All",C136=sel_Region),OR(sel_Country="All",D136=sel_Country),OR(sel_Channel="All",E136=sel_Channel),OR(sel_Customer="All",F136=sel_Customer),OR(sel_Category="All",G136=sel_Category),OR(sel_Product="All",H136=sel_Product),AND(S136&gt;=m_From,S136&lt;=m_To)),1,0)</f>
        <v/>
      </c>
      <c r="V136" s="36">
        <f>IF(AND(OR(sel_Region="All",C136=sel_Region),OR(sel_Channel="All",E136=sel_Channel),OR(sel_Customer="All",F136=sel_Customer),OR(sel_Category="All",G136=sel_Category),OR(sel_Product="All",H136=sel_Product),AND(S136&gt;=m_From,S136&lt;=m_To)),1,0)</f>
        <v/>
      </c>
      <c r="W136" s="36">
        <f>IF(AND(OR(sel_Region="All",C136=sel_Region),OR(sel_Country="All",D136=sel_Country),OR(sel_Customer="All",F136=sel_Customer),OR(sel_Category="All",G136=sel_Category),OR(sel_Product="All",H136=sel_Product),AND(S136&gt;=m_From,S136&lt;=m_To)),1,0)</f>
        <v/>
      </c>
      <c r="X136" s="36">
        <f>IF(AND(OR(sel_Region="All",C136=sel_Region),OR(sel_Country="All",D136=sel_Country),OR(sel_Channel="All",E136=sel_Channel),OR(sel_Category="All",G136=sel_Category),OR(sel_Product="All",H136=sel_Product),AND(S136&gt;=m_From,S136&lt;=m_To)),1,0)</f>
        <v/>
      </c>
      <c r="Y136" s="36">
        <f>IF(AND(OR(sel_Region="All",C136=sel_Region),OR(sel_Country="All",D136=sel_Country),OR(sel_Channel="All",E136=sel_Channel),OR(sel_Customer="All",F136=sel_Customer),OR(sel_Product="All",H136=sel_Product),AND(S136&gt;=m_From,S136&lt;=m_To)),1,0)</f>
        <v/>
      </c>
      <c r="Z136" s="36">
        <f>IF(AND(OR(sel_Region="All",C136=sel_Region),OR(sel_Country="All",D136=sel_Country),OR(sel_Channel="All",E136=sel_Channel),OR(sel_Customer="All",F136=sel_Customer),OR(sel_Category="All",G136=sel_Category),AND(S136&gt;=m_From,S136&lt;=m_To)),1,0)</f>
        <v/>
      </c>
      <c r="AA136" s="36">
        <f>IF(AND(OR(sel_Region="All",C136=sel_Region),OR(sel_Country="All",D136=sel_Country),OR(sel_Channel="All",E136=sel_Channel),OR(sel_Customer="All",F136=sel_Customer),OR(sel_Category="All",G136=sel_Category),OR(sel_Product="All",H136=sel_Product)),1,0)</f>
        <v/>
      </c>
    </row>
    <row r="137">
      <c r="A137" s="36" t="inlineStr">
        <is>
          <t>04299</t>
        </is>
      </c>
      <c r="B137" s="44" t="n">
        <v>46051</v>
      </c>
      <c r="C137" s="36" t="inlineStr">
        <is>
          <t>Southern Europe</t>
        </is>
      </c>
      <c r="D137" s="36" t="inlineStr">
        <is>
          <t>Portugal</t>
        </is>
      </c>
      <c r="E137" s="36" t="inlineStr">
        <is>
          <t>Corporate</t>
        </is>
      </c>
      <c r="F137" s="36" t="inlineStr">
        <is>
          <t>Business</t>
        </is>
      </c>
      <c r="G137" s="36" t="inlineStr">
        <is>
          <t>Travel</t>
        </is>
      </c>
      <c r="H137" s="36" t="inlineStr">
        <is>
          <t>Carry-On Duffel</t>
        </is>
      </c>
      <c r="I137" s="36" t="n">
        <v>12</v>
      </c>
      <c r="J137" s="39" t="n">
        <v>132.21</v>
      </c>
      <c r="K137" s="45" t="n">
        <v>0.1</v>
      </c>
      <c r="L137" s="39" t="n">
        <v>68.95</v>
      </c>
      <c r="M137" s="39">
        <f>I137*J137*(1-K137)</f>
        <v/>
      </c>
      <c r="N137" s="39">
        <f>I137*L137</f>
        <v/>
      </c>
      <c r="O137" s="39">
        <f>M137-N137</f>
        <v/>
      </c>
      <c r="P137" s="38">
        <f>IF(M137=0,0,O137/M137)</f>
        <v/>
      </c>
      <c r="Q137" s="36">
        <f>YEAR(B137)</f>
        <v/>
      </c>
      <c r="R137" s="36">
        <f>"Q"&amp;ROUNDUP(MONTH(B137)/3,0)</f>
        <v/>
      </c>
      <c r="S137" s="36">
        <f>MONTH(B137)</f>
        <v/>
      </c>
      <c r="T137" s="36">
        <f>TEXT(B137,"mmm")</f>
        <v/>
      </c>
      <c r="U137" s="36">
        <f>IF(AND(OR(sel_Region="All",C137=sel_Region),OR(sel_Country="All",D137=sel_Country),OR(sel_Channel="All",E137=sel_Channel),OR(sel_Customer="All",F137=sel_Customer),OR(sel_Category="All",G137=sel_Category),OR(sel_Product="All",H137=sel_Product),AND(S137&gt;=m_From,S137&lt;=m_To)),1,0)</f>
        <v/>
      </c>
      <c r="V137" s="36">
        <f>IF(AND(OR(sel_Region="All",C137=sel_Region),OR(sel_Channel="All",E137=sel_Channel),OR(sel_Customer="All",F137=sel_Customer),OR(sel_Category="All",G137=sel_Category),OR(sel_Product="All",H137=sel_Product),AND(S137&gt;=m_From,S137&lt;=m_To)),1,0)</f>
        <v/>
      </c>
      <c r="W137" s="36">
        <f>IF(AND(OR(sel_Region="All",C137=sel_Region),OR(sel_Country="All",D137=sel_Country),OR(sel_Customer="All",F137=sel_Customer),OR(sel_Category="All",G137=sel_Category),OR(sel_Product="All",H137=sel_Product),AND(S137&gt;=m_From,S137&lt;=m_To)),1,0)</f>
        <v/>
      </c>
      <c r="X137" s="36">
        <f>IF(AND(OR(sel_Region="All",C137=sel_Region),OR(sel_Country="All",D137=sel_Country),OR(sel_Channel="All",E137=sel_Channel),OR(sel_Category="All",G137=sel_Category),OR(sel_Product="All",H137=sel_Product),AND(S137&gt;=m_From,S137&lt;=m_To)),1,0)</f>
        <v/>
      </c>
      <c r="Y137" s="36">
        <f>IF(AND(OR(sel_Region="All",C137=sel_Region),OR(sel_Country="All",D137=sel_Country),OR(sel_Channel="All",E137=sel_Channel),OR(sel_Customer="All",F137=sel_Customer),OR(sel_Product="All",H137=sel_Product),AND(S137&gt;=m_From,S137&lt;=m_To)),1,0)</f>
        <v/>
      </c>
      <c r="Z137" s="36">
        <f>IF(AND(OR(sel_Region="All",C137=sel_Region),OR(sel_Country="All",D137=sel_Country),OR(sel_Channel="All",E137=sel_Channel),OR(sel_Customer="All",F137=sel_Customer),OR(sel_Category="All",G137=sel_Category),AND(S137&gt;=m_From,S137&lt;=m_To)),1,0)</f>
        <v/>
      </c>
      <c r="AA137" s="36">
        <f>IF(AND(OR(sel_Region="All",C137=sel_Region),OR(sel_Country="All",D137=sel_Country),OR(sel_Channel="All",E137=sel_Channel),OR(sel_Customer="All",F137=sel_Customer),OR(sel_Category="All",G137=sel_Category),OR(sel_Product="All",H137=sel_Product)),1,0)</f>
        <v/>
      </c>
    </row>
    <row r="138">
      <c r="A138" s="36" t="inlineStr">
        <is>
          <t>00748</t>
        </is>
      </c>
      <c r="B138" s="44" t="n">
        <v>46052</v>
      </c>
      <c r="C138" s="36" t="inlineStr">
        <is>
          <t>Central Europe</t>
        </is>
      </c>
      <c r="D138" s="36" t="inlineStr">
        <is>
          <t>Czechia</t>
        </is>
      </c>
      <c r="E138" s="36" t="inlineStr">
        <is>
          <t>Retail Partners</t>
        </is>
      </c>
      <c r="F138" s="36" t="inlineStr">
        <is>
          <t>Business</t>
        </is>
      </c>
      <c r="G138" s="36" t="inlineStr">
        <is>
          <t>Cycling</t>
        </is>
      </c>
      <c r="H138" s="36" t="inlineStr">
        <is>
          <t>Compact Repair Kit</t>
        </is>
      </c>
      <c r="I138" s="36" t="n">
        <v>1</v>
      </c>
      <c r="J138" s="39" t="n">
        <v>39.55</v>
      </c>
      <c r="K138" s="45" t="n">
        <v>0</v>
      </c>
      <c r="L138" s="39" t="n">
        <v>17.06</v>
      </c>
      <c r="M138" s="39">
        <f>I138*J138*(1-K138)</f>
        <v/>
      </c>
      <c r="N138" s="39">
        <f>I138*L138</f>
        <v/>
      </c>
      <c r="O138" s="39">
        <f>M138-N138</f>
        <v/>
      </c>
      <c r="P138" s="38">
        <f>IF(M138=0,0,O138/M138)</f>
        <v/>
      </c>
      <c r="Q138" s="36">
        <f>YEAR(B138)</f>
        <v/>
      </c>
      <c r="R138" s="36">
        <f>"Q"&amp;ROUNDUP(MONTH(B138)/3,0)</f>
        <v/>
      </c>
      <c r="S138" s="36">
        <f>MONTH(B138)</f>
        <v/>
      </c>
      <c r="T138" s="36">
        <f>TEXT(B138,"mmm")</f>
        <v/>
      </c>
      <c r="U138" s="36">
        <f>IF(AND(OR(sel_Region="All",C138=sel_Region),OR(sel_Country="All",D138=sel_Country),OR(sel_Channel="All",E138=sel_Channel),OR(sel_Customer="All",F138=sel_Customer),OR(sel_Category="All",G138=sel_Category),OR(sel_Product="All",H138=sel_Product),AND(S138&gt;=m_From,S138&lt;=m_To)),1,0)</f>
        <v/>
      </c>
      <c r="V138" s="36">
        <f>IF(AND(OR(sel_Region="All",C138=sel_Region),OR(sel_Channel="All",E138=sel_Channel),OR(sel_Customer="All",F138=sel_Customer),OR(sel_Category="All",G138=sel_Category),OR(sel_Product="All",H138=sel_Product),AND(S138&gt;=m_From,S138&lt;=m_To)),1,0)</f>
        <v/>
      </c>
      <c r="W138" s="36">
        <f>IF(AND(OR(sel_Region="All",C138=sel_Region),OR(sel_Country="All",D138=sel_Country),OR(sel_Customer="All",F138=sel_Customer),OR(sel_Category="All",G138=sel_Category),OR(sel_Product="All",H138=sel_Product),AND(S138&gt;=m_From,S138&lt;=m_To)),1,0)</f>
        <v/>
      </c>
      <c r="X138" s="36">
        <f>IF(AND(OR(sel_Region="All",C138=sel_Region),OR(sel_Country="All",D138=sel_Country),OR(sel_Channel="All",E138=sel_Channel),OR(sel_Category="All",G138=sel_Category),OR(sel_Product="All",H138=sel_Product),AND(S138&gt;=m_From,S138&lt;=m_To)),1,0)</f>
        <v/>
      </c>
      <c r="Y138" s="36">
        <f>IF(AND(OR(sel_Region="All",C138=sel_Region),OR(sel_Country="All",D138=sel_Country),OR(sel_Channel="All",E138=sel_Channel),OR(sel_Customer="All",F138=sel_Customer),OR(sel_Product="All",H138=sel_Product),AND(S138&gt;=m_From,S138&lt;=m_To)),1,0)</f>
        <v/>
      </c>
      <c r="Z138" s="36">
        <f>IF(AND(OR(sel_Region="All",C138=sel_Region),OR(sel_Country="All",D138=sel_Country),OR(sel_Channel="All",E138=sel_Channel),OR(sel_Customer="All",F138=sel_Customer),OR(sel_Category="All",G138=sel_Category),AND(S138&gt;=m_From,S138&lt;=m_To)),1,0)</f>
        <v/>
      </c>
      <c r="AA138" s="36">
        <f>IF(AND(OR(sel_Region="All",C138=sel_Region),OR(sel_Country="All",D138=sel_Country),OR(sel_Channel="All",E138=sel_Channel),OR(sel_Customer="All",F138=sel_Customer),OR(sel_Category="All",G138=sel_Category),OR(sel_Product="All",H138=sel_Product)),1,0)</f>
        <v/>
      </c>
    </row>
    <row r="139">
      <c r="A139" s="36" t="inlineStr">
        <is>
          <t>03117</t>
        </is>
      </c>
      <c r="B139" s="44" t="n">
        <v>46052</v>
      </c>
      <c r="C139" s="36" t="inlineStr">
        <is>
          <t>Central Europe</t>
        </is>
      </c>
      <c r="D139" s="36" t="inlineStr">
        <is>
          <t>Germany</t>
        </is>
      </c>
      <c r="E139" s="36" t="inlineStr">
        <is>
          <t>Online Store</t>
        </is>
      </c>
      <c r="F139" s="36" t="inlineStr">
        <is>
          <t>New</t>
        </is>
      </c>
      <c r="G139" s="36" t="inlineStr">
        <is>
          <t>Camping</t>
        </is>
      </c>
      <c r="H139" s="36" t="inlineStr">
        <is>
          <t>Portable Camp Stove</t>
        </is>
      </c>
      <c r="I139" s="36" t="n">
        <v>3</v>
      </c>
      <c r="J139" s="39" t="n">
        <v>80.08</v>
      </c>
      <c r="K139" s="45" t="n">
        <v>0</v>
      </c>
      <c r="L139" s="39" t="n">
        <v>39.45</v>
      </c>
      <c r="M139" s="39">
        <f>I139*J139*(1-K139)</f>
        <v/>
      </c>
      <c r="N139" s="39">
        <f>I139*L139</f>
        <v/>
      </c>
      <c r="O139" s="39">
        <f>M139-N139</f>
        <v/>
      </c>
      <c r="P139" s="38">
        <f>IF(M139=0,0,O139/M139)</f>
        <v/>
      </c>
      <c r="Q139" s="36">
        <f>YEAR(B139)</f>
        <v/>
      </c>
      <c r="R139" s="36">
        <f>"Q"&amp;ROUNDUP(MONTH(B139)/3,0)</f>
        <v/>
      </c>
      <c r="S139" s="36">
        <f>MONTH(B139)</f>
        <v/>
      </c>
      <c r="T139" s="36">
        <f>TEXT(B139,"mmm")</f>
        <v/>
      </c>
      <c r="U139" s="36">
        <f>IF(AND(OR(sel_Region="All",C139=sel_Region),OR(sel_Country="All",D139=sel_Country),OR(sel_Channel="All",E139=sel_Channel),OR(sel_Customer="All",F139=sel_Customer),OR(sel_Category="All",G139=sel_Category),OR(sel_Product="All",H139=sel_Product),AND(S139&gt;=m_From,S139&lt;=m_To)),1,0)</f>
        <v/>
      </c>
      <c r="V139" s="36">
        <f>IF(AND(OR(sel_Region="All",C139=sel_Region),OR(sel_Channel="All",E139=sel_Channel),OR(sel_Customer="All",F139=sel_Customer),OR(sel_Category="All",G139=sel_Category),OR(sel_Product="All",H139=sel_Product),AND(S139&gt;=m_From,S139&lt;=m_To)),1,0)</f>
        <v/>
      </c>
      <c r="W139" s="36">
        <f>IF(AND(OR(sel_Region="All",C139=sel_Region),OR(sel_Country="All",D139=sel_Country),OR(sel_Customer="All",F139=sel_Customer),OR(sel_Category="All",G139=sel_Category),OR(sel_Product="All",H139=sel_Product),AND(S139&gt;=m_From,S139&lt;=m_To)),1,0)</f>
        <v/>
      </c>
      <c r="X139" s="36">
        <f>IF(AND(OR(sel_Region="All",C139=sel_Region),OR(sel_Country="All",D139=sel_Country),OR(sel_Channel="All",E139=sel_Channel),OR(sel_Category="All",G139=sel_Category),OR(sel_Product="All",H139=sel_Product),AND(S139&gt;=m_From,S139&lt;=m_To)),1,0)</f>
        <v/>
      </c>
      <c r="Y139" s="36">
        <f>IF(AND(OR(sel_Region="All",C139=sel_Region),OR(sel_Country="All",D139=sel_Country),OR(sel_Channel="All",E139=sel_Channel),OR(sel_Customer="All",F139=sel_Customer),OR(sel_Product="All",H139=sel_Product),AND(S139&gt;=m_From,S139&lt;=m_To)),1,0)</f>
        <v/>
      </c>
      <c r="Z139" s="36">
        <f>IF(AND(OR(sel_Region="All",C139=sel_Region),OR(sel_Country="All",D139=sel_Country),OR(sel_Channel="All",E139=sel_Channel),OR(sel_Customer="All",F139=sel_Customer),OR(sel_Category="All",G139=sel_Category),AND(S139&gt;=m_From,S139&lt;=m_To)),1,0)</f>
        <v/>
      </c>
      <c r="AA139" s="36">
        <f>IF(AND(OR(sel_Region="All",C139=sel_Region),OR(sel_Country="All",D139=sel_Country),OR(sel_Channel="All",E139=sel_Channel),OR(sel_Customer="All",F139=sel_Customer),OR(sel_Category="All",G139=sel_Category),OR(sel_Product="All",H139=sel_Product)),1,0)</f>
        <v/>
      </c>
    </row>
    <row r="140">
      <c r="A140" s="36" t="inlineStr">
        <is>
          <t>03328</t>
        </is>
      </c>
      <c r="B140" s="44" t="n">
        <v>46052</v>
      </c>
      <c r="C140" s="36" t="inlineStr">
        <is>
          <t>Northern Europe</t>
        </is>
      </c>
      <c r="D140" s="36" t="inlineStr">
        <is>
          <t>Denmark</t>
        </is>
      </c>
      <c r="E140" s="36" t="inlineStr">
        <is>
          <t>Retail Partners</t>
        </is>
      </c>
      <c r="F140" s="36" t="inlineStr">
        <is>
          <t>Returning</t>
        </is>
      </c>
      <c r="G140" s="36" t="inlineStr">
        <is>
          <t>Fitness</t>
        </is>
      </c>
      <c r="H140" s="36" t="inlineStr">
        <is>
          <t>Weighted Vest</t>
        </is>
      </c>
      <c r="I140" s="36" t="n">
        <v>1</v>
      </c>
      <c r="J140" s="39" t="n">
        <v>120.48</v>
      </c>
      <c r="K140" s="45" t="n">
        <v>0</v>
      </c>
      <c r="L140" s="39" t="n">
        <v>69.55</v>
      </c>
      <c r="M140" s="39">
        <f>I140*J140*(1-K140)</f>
        <v/>
      </c>
      <c r="N140" s="39">
        <f>I140*L140</f>
        <v/>
      </c>
      <c r="O140" s="39">
        <f>M140-N140</f>
        <v/>
      </c>
      <c r="P140" s="38">
        <f>IF(M140=0,0,O140/M140)</f>
        <v/>
      </c>
      <c r="Q140" s="36">
        <f>YEAR(B140)</f>
        <v/>
      </c>
      <c r="R140" s="36">
        <f>"Q"&amp;ROUNDUP(MONTH(B140)/3,0)</f>
        <v/>
      </c>
      <c r="S140" s="36">
        <f>MONTH(B140)</f>
        <v/>
      </c>
      <c r="T140" s="36">
        <f>TEXT(B140,"mmm")</f>
        <v/>
      </c>
      <c r="U140" s="36">
        <f>IF(AND(OR(sel_Region="All",C140=sel_Region),OR(sel_Country="All",D140=sel_Country),OR(sel_Channel="All",E140=sel_Channel),OR(sel_Customer="All",F140=sel_Customer),OR(sel_Category="All",G140=sel_Category),OR(sel_Product="All",H140=sel_Product),AND(S140&gt;=m_From,S140&lt;=m_To)),1,0)</f>
        <v/>
      </c>
      <c r="V140" s="36">
        <f>IF(AND(OR(sel_Region="All",C140=sel_Region),OR(sel_Channel="All",E140=sel_Channel),OR(sel_Customer="All",F140=sel_Customer),OR(sel_Category="All",G140=sel_Category),OR(sel_Product="All",H140=sel_Product),AND(S140&gt;=m_From,S140&lt;=m_To)),1,0)</f>
        <v/>
      </c>
      <c r="W140" s="36">
        <f>IF(AND(OR(sel_Region="All",C140=sel_Region),OR(sel_Country="All",D140=sel_Country),OR(sel_Customer="All",F140=sel_Customer),OR(sel_Category="All",G140=sel_Category),OR(sel_Product="All",H140=sel_Product),AND(S140&gt;=m_From,S140&lt;=m_To)),1,0)</f>
        <v/>
      </c>
      <c r="X140" s="36">
        <f>IF(AND(OR(sel_Region="All",C140=sel_Region),OR(sel_Country="All",D140=sel_Country),OR(sel_Channel="All",E140=sel_Channel),OR(sel_Category="All",G140=sel_Category),OR(sel_Product="All",H140=sel_Product),AND(S140&gt;=m_From,S140&lt;=m_To)),1,0)</f>
        <v/>
      </c>
      <c r="Y140" s="36">
        <f>IF(AND(OR(sel_Region="All",C140=sel_Region),OR(sel_Country="All",D140=sel_Country),OR(sel_Channel="All",E140=sel_Channel),OR(sel_Customer="All",F140=sel_Customer),OR(sel_Product="All",H140=sel_Product),AND(S140&gt;=m_From,S140&lt;=m_To)),1,0)</f>
        <v/>
      </c>
      <c r="Z140" s="36">
        <f>IF(AND(OR(sel_Region="All",C140=sel_Region),OR(sel_Country="All",D140=sel_Country),OR(sel_Channel="All",E140=sel_Channel),OR(sel_Customer="All",F140=sel_Customer),OR(sel_Category="All",G140=sel_Category),AND(S140&gt;=m_From,S140&lt;=m_To)),1,0)</f>
        <v/>
      </c>
      <c r="AA140" s="36">
        <f>IF(AND(OR(sel_Region="All",C140=sel_Region),OR(sel_Country="All",D140=sel_Country),OR(sel_Channel="All",E140=sel_Channel),OR(sel_Customer="All",F140=sel_Customer),OR(sel_Category="All",G140=sel_Category),OR(sel_Product="All",H140=sel_Product)),1,0)</f>
        <v/>
      </c>
    </row>
    <row r="141">
      <c r="A141" s="36" t="inlineStr">
        <is>
          <t>03822</t>
        </is>
      </c>
      <c r="B141" s="44" t="n">
        <v>46052</v>
      </c>
      <c r="C141" s="36" t="inlineStr">
        <is>
          <t>Western Europe</t>
        </is>
      </c>
      <c r="D141" s="36" t="inlineStr">
        <is>
          <t>Netherlands</t>
        </is>
      </c>
      <c r="E141" s="36" t="inlineStr">
        <is>
          <t>Online Store</t>
        </is>
      </c>
      <c r="F141" s="36" t="inlineStr">
        <is>
          <t>Returning</t>
        </is>
      </c>
      <c r="G141" s="36" t="inlineStr">
        <is>
          <t>Fitness</t>
        </is>
      </c>
      <c r="H141" s="36" t="inlineStr">
        <is>
          <t>Resistance Band Set</t>
        </is>
      </c>
      <c r="I141" s="36" t="n">
        <v>1</v>
      </c>
      <c r="J141" s="39" t="n">
        <v>39.37</v>
      </c>
      <c r="K141" s="45" t="n">
        <v>0.05</v>
      </c>
      <c r="L141" s="39" t="n">
        <v>14.66</v>
      </c>
      <c r="M141" s="39">
        <f>I141*J141*(1-K141)</f>
        <v/>
      </c>
      <c r="N141" s="39">
        <f>I141*L141</f>
        <v/>
      </c>
      <c r="O141" s="39">
        <f>M141-N141</f>
        <v/>
      </c>
      <c r="P141" s="38">
        <f>IF(M141=0,0,O141/M141)</f>
        <v/>
      </c>
      <c r="Q141" s="36">
        <f>YEAR(B141)</f>
        <v/>
      </c>
      <c r="R141" s="36">
        <f>"Q"&amp;ROUNDUP(MONTH(B141)/3,0)</f>
        <v/>
      </c>
      <c r="S141" s="36">
        <f>MONTH(B141)</f>
        <v/>
      </c>
      <c r="T141" s="36">
        <f>TEXT(B141,"mmm")</f>
        <v/>
      </c>
      <c r="U141" s="36">
        <f>IF(AND(OR(sel_Region="All",C141=sel_Region),OR(sel_Country="All",D141=sel_Country),OR(sel_Channel="All",E141=sel_Channel),OR(sel_Customer="All",F141=sel_Customer),OR(sel_Category="All",G141=sel_Category),OR(sel_Product="All",H141=sel_Product),AND(S141&gt;=m_From,S141&lt;=m_To)),1,0)</f>
        <v/>
      </c>
      <c r="V141" s="36">
        <f>IF(AND(OR(sel_Region="All",C141=sel_Region),OR(sel_Channel="All",E141=sel_Channel),OR(sel_Customer="All",F141=sel_Customer),OR(sel_Category="All",G141=sel_Category),OR(sel_Product="All",H141=sel_Product),AND(S141&gt;=m_From,S141&lt;=m_To)),1,0)</f>
        <v/>
      </c>
      <c r="W141" s="36">
        <f>IF(AND(OR(sel_Region="All",C141=sel_Region),OR(sel_Country="All",D141=sel_Country),OR(sel_Customer="All",F141=sel_Customer),OR(sel_Category="All",G141=sel_Category),OR(sel_Product="All",H141=sel_Product),AND(S141&gt;=m_From,S141&lt;=m_To)),1,0)</f>
        <v/>
      </c>
      <c r="X141" s="36">
        <f>IF(AND(OR(sel_Region="All",C141=sel_Region),OR(sel_Country="All",D141=sel_Country),OR(sel_Channel="All",E141=sel_Channel),OR(sel_Category="All",G141=sel_Category),OR(sel_Product="All",H141=sel_Product),AND(S141&gt;=m_From,S141&lt;=m_To)),1,0)</f>
        <v/>
      </c>
      <c r="Y141" s="36">
        <f>IF(AND(OR(sel_Region="All",C141=sel_Region),OR(sel_Country="All",D141=sel_Country),OR(sel_Channel="All",E141=sel_Channel),OR(sel_Customer="All",F141=sel_Customer),OR(sel_Product="All",H141=sel_Product),AND(S141&gt;=m_From,S141&lt;=m_To)),1,0)</f>
        <v/>
      </c>
      <c r="Z141" s="36">
        <f>IF(AND(OR(sel_Region="All",C141=sel_Region),OR(sel_Country="All",D141=sel_Country),OR(sel_Channel="All",E141=sel_Channel),OR(sel_Customer="All",F141=sel_Customer),OR(sel_Category="All",G141=sel_Category),AND(S141&gt;=m_From,S141&lt;=m_To)),1,0)</f>
        <v/>
      </c>
      <c r="AA141" s="36">
        <f>IF(AND(OR(sel_Region="All",C141=sel_Region),OR(sel_Country="All",D141=sel_Country),OR(sel_Channel="All",E141=sel_Channel),OR(sel_Customer="All",F141=sel_Customer),OR(sel_Category="All",G141=sel_Category),OR(sel_Product="All",H141=sel_Product)),1,0)</f>
        <v/>
      </c>
    </row>
    <row r="142">
      <c r="A142" s="36" t="inlineStr">
        <is>
          <t>04125</t>
        </is>
      </c>
      <c r="B142" s="44" t="n">
        <v>46052</v>
      </c>
      <c r="C142" s="36" t="inlineStr">
        <is>
          <t>Central Europe</t>
        </is>
      </c>
      <c r="D142" s="36" t="inlineStr">
        <is>
          <t>Germany</t>
        </is>
      </c>
      <c r="E142" s="36" t="inlineStr">
        <is>
          <t>Corporate</t>
        </is>
      </c>
      <c r="F142" s="36" t="inlineStr">
        <is>
          <t>Business</t>
        </is>
      </c>
      <c r="G142" s="36" t="inlineStr">
        <is>
          <t>Camping</t>
        </is>
      </c>
      <c r="H142" s="36" t="inlineStr">
        <is>
          <t>Portable Camp Stove</t>
        </is>
      </c>
      <c r="I142" s="36" t="n">
        <v>8</v>
      </c>
      <c r="J142" s="39" t="n">
        <v>81.06</v>
      </c>
      <c r="K142" s="45" t="n">
        <v>0.15</v>
      </c>
      <c r="L142" s="39" t="n">
        <v>39.55</v>
      </c>
      <c r="M142" s="39">
        <f>I142*J142*(1-K142)</f>
        <v/>
      </c>
      <c r="N142" s="39">
        <f>I142*L142</f>
        <v/>
      </c>
      <c r="O142" s="39">
        <f>M142-N142</f>
        <v/>
      </c>
      <c r="P142" s="38">
        <f>IF(M142=0,0,O142/M142)</f>
        <v/>
      </c>
      <c r="Q142" s="36">
        <f>YEAR(B142)</f>
        <v/>
      </c>
      <c r="R142" s="36">
        <f>"Q"&amp;ROUNDUP(MONTH(B142)/3,0)</f>
        <v/>
      </c>
      <c r="S142" s="36">
        <f>MONTH(B142)</f>
        <v/>
      </c>
      <c r="T142" s="36">
        <f>TEXT(B142,"mmm")</f>
        <v/>
      </c>
      <c r="U142" s="36">
        <f>IF(AND(OR(sel_Region="All",C142=sel_Region),OR(sel_Country="All",D142=sel_Country),OR(sel_Channel="All",E142=sel_Channel),OR(sel_Customer="All",F142=sel_Customer),OR(sel_Category="All",G142=sel_Category),OR(sel_Product="All",H142=sel_Product),AND(S142&gt;=m_From,S142&lt;=m_To)),1,0)</f>
        <v/>
      </c>
      <c r="V142" s="36">
        <f>IF(AND(OR(sel_Region="All",C142=sel_Region),OR(sel_Channel="All",E142=sel_Channel),OR(sel_Customer="All",F142=sel_Customer),OR(sel_Category="All",G142=sel_Category),OR(sel_Product="All",H142=sel_Product),AND(S142&gt;=m_From,S142&lt;=m_To)),1,0)</f>
        <v/>
      </c>
      <c r="W142" s="36">
        <f>IF(AND(OR(sel_Region="All",C142=sel_Region),OR(sel_Country="All",D142=sel_Country),OR(sel_Customer="All",F142=sel_Customer),OR(sel_Category="All",G142=sel_Category),OR(sel_Product="All",H142=sel_Product),AND(S142&gt;=m_From,S142&lt;=m_To)),1,0)</f>
        <v/>
      </c>
      <c r="X142" s="36">
        <f>IF(AND(OR(sel_Region="All",C142=sel_Region),OR(sel_Country="All",D142=sel_Country),OR(sel_Channel="All",E142=sel_Channel),OR(sel_Category="All",G142=sel_Category),OR(sel_Product="All",H142=sel_Product),AND(S142&gt;=m_From,S142&lt;=m_To)),1,0)</f>
        <v/>
      </c>
      <c r="Y142" s="36">
        <f>IF(AND(OR(sel_Region="All",C142=sel_Region),OR(sel_Country="All",D142=sel_Country),OR(sel_Channel="All",E142=sel_Channel),OR(sel_Customer="All",F142=sel_Customer),OR(sel_Product="All",H142=sel_Product),AND(S142&gt;=m_From,S142&lt;=m_To)),1,0)</f>
        <v/>
      </c>
      <c r="Z142" s="36">
        <f>IF(AND(OR(sel_Region="All",C142=sel_Region),OR(sel_Country="All",D142=sel_Country),OR(sel_Channel="All",E142=sel_Channel),OR(sel_Customer="All",F142=sel_Customer),OR(sel_Category="All",G142=sel_Category),AND(S142&gt;=m_From,S142&lt;=m_To)),1,0)</f>
        <v/>
      </c>
      <c r="AA142" s="36">
        <f>IF(AND(OR(sel_Region="All",C142=sel_Region),OR(sel_Country="All",D142=sel_Country),OR(sel_Channel="All",E142=sel_Channel),OR(sel_Customer="All",F142=sel_Customer),OR(sel_Category="All",G142=sel_Category),OR(sel_Product="All",H142=sel_Product)),1,0)</f>
        <v/>
      </c>
    </row>
    <row r="143">
      <c r="A143" s="36" t="inlineStr">
        <is>
          <t>04592</t>
        </is>
      </c>
      <c r="B143" s="44" t="n">
        <v>46052</v>
      </c>
      <c r="C143" s="36" t="inlineStr">
        <is>
          <t>Central Europe</t>
        </is>
      </c>
      <c r="D143" s="36" t="inlineStr">
        <is>
          <t>Germany</t>
        </is>
      </c>
      <c r="E143" s="36" t="inlineStr">
        <is>
          <t>Marketplace</t>
        </is>
      </c>
      <c r="F143" s="36" t="inlineStr">
        <is>
          <t>Returning</t>
        </is>
      </c>
      <c r="G143" s="36" t="inlineStr">
        <is>
          <t>Fitness</t>
        </is>
      </c>
      <c r="H143" s="36" t="inlineStr">
        <is>
          <t>Weighted Vest</t>
        </is>
      </c>
      <c r="I143" s="36" t="n">
        <v>5</v>
      </c>
      <c r="J143" s="39" t="n">
        <v>120.4</v>
      </c>
      <c r="K143" s="45" t="n">
        <v>0</v>
      </c>
      <c r="L143" s="39" t="n">
        <v>69.51000000000001</v>
      </c>
      <c r="M143" s="39">
        <f>I143*J143*(1-K143)</f>
        <v/>
      </c>
      <c r="N143" s="39">
        <f>I143*L143</f>
        <v/>
      </c>
      <c r="O143" s="39">
        <f>M143-N143</f>
        <v/>
      </c>
      <c r="P143" s="38">
        <f>IF(M143=0,0,O143/M143)</f>
        <v/>
      </c>
      <c r="Q143" s="36">
        <f>YEAR(B143)</f>
        <v/>
      </c>
      <c r="R143" s="36">
        <f>"Q"&amp;ROUNDUP(MONTH(B143)/3,0)</f>
        <v/>
      </c>
      <c r="S143" s="36">
        <f>MONTH(B143)</f>
        <v/>
      </c>
      <c r="T143" s="36">
        <f>TEXT(B143,"mmm")</f>
        <v/>
      </c>
      <c r="U143" s="36">
        <f>IF(AND(OR(sel_Region="All",C143=sel_Region),OR(sel_Country="All",D143=sel_Country),OR(sel_Channel="All",E143=sel_Channel),OR(sel_Customer="All",F143=sel_Customer),OR(sel_Category="All",G143=sel_Category),OR(sel_Product="All",H143=sel_Product),AND(S143&gt;=m_From,S143&lt;=m_To)),1,0)</f>
        <v/>
      </c>
      <c r="V143" s="36">
        <f>IF(AND(OR(sel_Region="All",C143=sel_Region),OR(sel_Channel="All",E143=sel_Channel),OR(sel_Customer="All",F143=sel_Customer),OR(sel_Category="All",G143=sel_Category),OR(sel_Product="All",H143=sel_Product),AND(S143&gt;=m_From,S143&lt;=m_To)),1,0)</f>
        <v/>
      </c>
      <c r="W143" s="36">
        <f>IF(AND(OR(sel_Region="All",C143=sel_Region),OR(sel_Country="All",D143=sel_Country),OR(sel_Customer="All",F143=sel_Customer),OR(sel_Category="All",G143=sel_Category),OR(sel_Product="All",H143=sel_Product),AND(S143&gt;=m_From,S143&lt;=m_To)),1,0)</f>
        <v/>
      </c>
      <c r="X143" s="36">
        <f>IF(AND(OR(sel_Region="All",C143=sel_Region),OR(sel_Country="All",D143=sel_Country),OR(sel_Channel="All",E143=sel_Channel),OR(sel_Category="All",G143=sel_Category),OR(sel_Product="All",H143=sel_Product),AND(S143&gt;=m_From,S143&lt;=m_To)),1,0)</f>
        <v/>
      </c>
      <c r="Y143" s="36">
        <f>IF(AND(OR(sel_Region="All",C143=sel_Region),OR(sel_Country="All",D143=sel_Country),OR(sel_Channel="All",E143=sel_Channel),OR(sel_Customer="All",F143=sel_Customer),OR(sel_Product="All",H143=sel_Product),AND(S143&gt;=m_From,S143&lt;=m_To)),1,0)</f>
        <v/>
      </c>
      <c r="Z143" s="36">
        <f>IF(AND(OR(sel_Region="All",C143=sel_Region),OR(sel_Country="All",D143=sel_Country),OR(sel_Channel="All",E143=sel_Channel),OR(sel_Customer="All",F143=sel_Customer),OR(sel_Category="All",G143=sel_Category),AND(S143&gt;=m_From,S143&lt;=m_To)),1,0)</f>
        <v/>
      </c>
      <c r="AA143" s="36">
        <f>IF(AND(OR(sel_Region="All",C143=sel_Region),OR(sel_Country="All",D143=sel_Country),OR(sel_Channel="All",E143=sel_Channel),OR(sel_Customer="All",F143=sel_Customer),OR(sel_Category="All",G143=sel_Category),OR(sel_Product="All",H143=sel_Product)),1,0)</f>
        <v/>
      </c>
    </row>
    <row r="144">
      <c r="A144" s="36" t="inlineStr">
        <is>
          <t>00373</t>
        </is>
      </c>
      <c r="B144" s="44" t="n">
        <v>46053</v>
      </c>
      <c r="C144" s="36" t="inlineStr">
        <is>
          <t>Northern Europe</t>
        </is>
      </c>
      <c r="D144" s="36" t="inlineStr">
        <is>
          <t>Finland</t>
        </is>
      </c>
      <c r="E144" s="36" t="inlineStr">
        <is>
          <t>Corporate</t>
        </is>
      </c>
      <c r="F144" s="36" t="inlineStr">
        <is>
          <t>Business</t>
        </is>
      </c>
      <c r="G144" s="36" t="inlineStr">
        <is>
          <t>Travel</t>
        </is>
      </c>
      <c r="H144" s="36" t="inlineStr">
        <is>
          <t>Packing Cube Set</t>
        </is>
      </c>
      <c r="I144" s="36" t="n">
        <v>10</v>
      </c>
      <c r="J144" s="39" t="n">
        <v>47.71</v>
      </c>
      <c r="K144" s="45" t="n">
        <v>0.1</v>
      </c>
      <c r="L144" s="39" t="n">
        <v>18.65</v>
      </c>
      <c r="M144" s="39">
        <f>I144*J144*(1-K144)</f>
        <v/>
      </c>
      <c r="N144" s="39">
        <f>I144*L144</f>
        <v/>
      </c>
      <c r="O144" s="39">
        <f>M144-N144</f>
        <v/>
      </c>
      <c r="P144" s="38">
        <f>IF(M144=0,0,O144/M144)</f>
        <v/>
      </c>
      <c r="Q144" s="36">
        <f>YEAR(B144)</f>
        <v/>
      </c>
      <c r="R144" s="36">
        <f>"Q"&amp;ROUNDUP(MONTH(B144)/3,0)</f>
        <v/>
      </c>
      <c r="S144" s="36">
        <f>MONTH(B144)</f>
        <v/>
      </c>
      <c r="T144" s="36">
        <f>TEXT(B144,"mmm")</f>
        <v/>
      </c>
      <c r="U144" s="36">
        <f>IF(AND(OR(sel_Region="All",C144=sel_Region),OR(sel_Country="All",D144=sel_Country),OR(sel_Channel="All",E144=sel_Channel),OR(sel_Customer="All",F144=sel_Customer),OR(sel_Category="All",G144=sel_Category),OR(sel_Product="All",H144=sel_Product),AND(S144&gt;=m_From,S144&lt;=m_To)),1,0)</f>
        <v/>
      </c>
      <c r="V144" s="36">
        <f>IF(AND(OR(sel_Region="All",C144=sel_Region),OR(sel_Channel="All",E144=sel_Channel),OR(sel_Customer="All",F144=sel_Customer),OR(sel_Category="All",G144=sel_Category),OR(sel_Product="All",H144=sel_Product),AND(S144&gt;=m_From,S144&lt;=m_To)),1,0)</f>
        <v/>
      </c>
      <c r="W144" s="36">
        <f>IF(AND(OR(sel_Region="All",C144=sel_Region),OR(sel_Country="All",D144=sel_Country),OR(sel_Customer="All",F144=sel_Customer),OR(sel_Category="All",G144=sel_Category),OR(sel_Product="All",H144=sel_Product),AND(S144&gt;=m_From,S144&lt;=m_To)),1,0)</f>
        <v/>
      </c>
      <c r="X144" s="36">
        <f>IF(AND(OR(sel_Region="All",C144=sel_Region),OR(sel_Country="All",D144=sel_Country),OR(sel_Channel="All",E144=sel_Channel),OR(sel_Category="All",G144=sel_Category),OR(sel_Product="All",H144=sel_Product),AND(S144&gt;=m_From,S144&lt;=m_To)),1,0)</f>
        <v/>
      </c>
      <c r="Y144" s="36">
        <f>IF(AND(OR(sel_Region="All",C144=sel_Region),OR(sel_Country="All",D144=sel_Country),OR(sel_Channel="All",E144=sel_Channel),OR(sel_Customer="All",F144=sel_Customer),OR(sel_Product="All",H144=sel_Product),AND(S144&gt;=m_From,S144&lt;=m_To)),1,0)</f>
        <v/>
      </c>
      <c r="Z144" s="36">
        <f>IF(AND(OR(sel_Region="All",C144=sel_Region),OR(sel_Country="All",D144=sel_Country),OR(sel_Channel="All",E144=sel_Channel),OR(sel_Customer="All",F144=sel_Customer),OR(sel_Category="All",G144=sel_Category),AND(S144&gt;=m_From,S144&lt;=m_To)),1,0)</f>
        <v/>
      </c>
      <c r="AA144" s="36">
        <f>IF(AND(OR(sel_Region="All",C144=sel_Region),OR(sel_Country="All",D144=sel_Country),OR(sel_Channel="All",E144=sel_Channel),OR(sel_Customer="All",F144=sel_Customer),OR(sel_Category="All",G144=sel_Category),OR(sel_Product="All",H144=sel_Product)),1,0)</f>
        <v/>
      </c>
    </row>
    <row r="145">
      <c r="A145" s="36" t="inlineStr">
        <is>
          <t>00672</t>
        </is>
      </c>
      <c r="B145" s="44" t="n">
        <v>46053</v>
      </c>
      <c r="C145" s="36" t="inlineStr">
        <is>
          <t>Southern Europe</t>
        </is>
      </c>
      <c r="D145" s="36" t="inlineStr">
        <is>
          <t>Portugal</t>
        </is>
      </c>
      <c r="E145" s="36" t="inlineStr">
        <is>
          <t>Online Store</t>
        </is>
      </c>
      <c r="F145" s="36" t="inlineStr">
        <is>
          <t>Business</t>
        </is>
      </c>
      <c r="G145" s="36" t="inlineStr">
        <is>
          <t>Cycling</t>
        </is>
      </c>
      <c r="H145" s="36" t="inlineStr">
        <is>
          <t>Cycling Pack 12L</t>
        </is>
      </c>
      <c r="I145" s="36" t="n">
        <v>1</v>
      </c>
      <c r="J145" s="39" t="n">
        <v>102.92</v>
      </c>
      <c r="K145" s="45" t="n">
        <v>0.05</v>
      </c>
      <c r="L145" s="39" t="n">
        <v>50.92</v>
      </c>
      <c r="M145" s="39">
        <f>I145*J145*(1-K145)</f>
        <v/>
      </c>
      <c r="N145" s="39">
        <f>I145*L145</f>
        <v/>
      </c>
      <c r="O145" s="39">
        <f>M145-N145</f>
        <v/>
      </c>
      <c r="P145" s="38">
        <f>IF(M145=0,0,O145/M145)</f>
        <v/>
      </c>
      <c r="Q145" s="36">
        <f>YEAR(B145)</f>
        <v/>
      </c>
      <c r="R145" s="36">
        <f>"Q"&amp;ROUNDUP(MONTH(B145)/3,0)</f>
        <v/>
      </c>
      <c r="S145" s="36">
        <f>MONTH(B145)</f>
        <v/>
      </c>
      <c r="T145" s="36">
        <f>TEXT(B145,"mmm")</f>
        <v/>
      </c>
      <c r="U145" s="36">
        <f>IF(AND(OR(sel_Region="All",C145=sel_Region),OR(sel_Country="All",D145=sel_Country),OR(sel_Channel="All",E145=sel_Channel),OR(sel_Customer="All",F145=sel_Customer),OR(sel_Category="All",G145=sel_Category),OR(sel_Product="All",H145=sel_Product),AND(S145&gt;=m_From,S145&lt;=m_To)),1,0)</f>
        <v/>
      </c>
      <c r="V145" s="36">
        <f>IF(AND(OR(sel_Region="All",C145=sel_Region),OR(sel_Channel="All",E145=sel_Channel),OR(sel_Customer="All",F145=sel_Customer),OR(sel_Category="All",G145=sel_Category),OR(sel_Product="All",H145=sel_Product),AND(S145&gt;=m_From,S145&lt;=m_To)),1,0)</f>
        <v/>
      </c>
      <c r="W145" s="36">
        <f>IF(AND(OR(sel_Region="All",C145=sel_Region),OR(sel_Country="All",D145=sel_Country),OR(sel_Customer="All",F145=sel_Customer),OR(sel_Category="All",G145=sel_Category),OR(sel_Product="All",H145=sel_Product),AND(S145&gt;=m_From,S145&lt;=m_To)),1,0)</f>
        <v/>
      </c>
      <c r="X145" s="36">
        <f>IF(AND(OR(sel_Region="All",C145=sel_Region),OR(sel_Country="All",D145=sel_Country),OR(sel_Channel="All",E145=sel_Channel),OR(sel_Category="All",G145=sel_Category),OR(sel_Product="All",H145=sel_Product),AND(S145&gt;=m_From,S145&lt;=m_To)),1,0)</f>
        <v/>
      </c>
      <c r="Y145" s="36">
        <f>IF(AND(OR(sel_Region="All",C145=sel_Region),OR(sel_Country="All",D145=sel_Country),OR(sel_Channel="All",E145=sel_Channel),OR(sel_Customer="All",F145=sel_Customer),OR(sel_Product="All",H145=sel_Product),AND(S145&gt;=m_From,S145&lt;=m_To)),1,0)</f>
        <v/>
      </c>
      <c r="Z145" s="36">
        <f>IF(AND(OR(sel_Region="All",C145=sel_Region),OR(sel_Country="All",D145=sel_Country),OR(sel_Channel="All",E145=sel_Channel),OR(sel_Customer="All",F145=sel_Customer),OR(sel_Category="All",G145=sel_Category),AND(S145&gt;=m_From,S145&lt;=m_To)),1,0)</f>
        <v/>
      </c>
      <c r="AA145" s="36">
        <f>IF(AND(OR(sel_Region="All",C145=sel_Region),OR(sel_Country="All",D145=sel_Country),OR(sel_Channel="All",E145=sel_Channel),OR(sel_Customer="All",F145=sel_Customer),OR(sel_Category="All",G145=sel_Category),OR(sel_Product="All",H145=sel_Product)),1,0)</f>
        <v/>
      </c>
    </row>
    <row r="146">
      <c r="A146" s="36" t="inlineStr">
        <is>
          <t>01125</t>
        </is>
      </c>
      <c r="B146" s="44" t="n">
        <v>46053</v>
      </c>
      <c r="C146" s="36" t="inlineStr">
        <is>
          <t>Central Europe</t>
        </is>
      </c>
      <c r="D146" s="36" t="inlineStr">
        <is>
          <t>Czechia</t>
        </is>
      </c>
      <c r="E146" s="36" t="inlineStr">
        <is>
          <t>Online Store</t>
        </is>
      </c>
      <c r="F146" s="36" t="inlineStr">
        <is>
          <t>Returning</t>
        </is>
      </c>
      <c r="G146" s="36" t="inlineStr">
        <is>
          <t>Hiking</t>
        </is>
      </c>
      <c r="H146" s="36" t="inlineStr">
        <is>
          <t>Trekking Poles</t>
        </is>
      </c>
      <c r="I146" s="36" t="n">
        <v>1</v>
      </c>
      <c r="J146" s="39" t="n">
        <v>72.69</v>
      </c>
      <c r="K146" s="45" t="n">
        <v>0.1</v>
      </c>
      <c r="L146" s="39" t="n">
        <v>32.67</v>
      </c>
      <c r="M146" s="39">
        <f>I146*J146*(1-K146)</f>
        <v/>
      </c>
      <c r="N146" s="39">
        <f>I146*L146</f>
        <v/>
      </c>
      <c r="O146" s="39">
        <f>M146-N146</f>
        <v/>
      </c>
      <c r="P146" s="38">
        <f>IF(M146=0,0,O146/M146)</f>
        <v/>
      </c>
      <c r="Q146" s="36">
        <f>YEAR(B146)</f>
        <v/>
      </c>
      <c r="R146" s="36">
        <f>"Q"&amp;ROUNDUP(MONTH(B146)/3,0)</f>
        <v/>
      </c>
      <c r="S146" s="36">
        <f>MONTH(B146)</f>
        <v/>
      </c>
      <c r="T146" s="36">
        <f>TEXT(B146,"mmm")</f>
        <v/>
      </c>
      <c r="U146" s="36">
        <f>IF(AND(OR(sel_Region="All",C146=sel_Region),OR(sel_Country="All",D146=sel_Country),OR(sel_Channel="All",E146=sel_Channel),OR(sel_Customer="All",F146=sel_Customer),OR(sel_Category="All",G146=sel_Category),OR(sel_Product="All",H146=sel_Product),AND(S146&gt;=m_From,S146&lt;=m_To)),1,0)</f>
        <v/>
      </c>
      <c r="V146" s="36">
        <f>IF(AND(OR(sel_Region="All",C146=sel_Region),OR(sel_Channel="All",E146=sel_Channel),OR(sel_Customer="All",F146=sel_Customer),OR(sel_Category="All",G146=sel_Category),OR(sel_Product="All",H146=sel_Product),AND(S146&gt;=m_From,S146&lt;=m_To)),1,0)</f>
        <v/>
      </c>
      <c r="W146" s="36">
        <f>IF(AND(OR(sel_Region="All",C146=sel_Region),OR(sel_Country="All",D146=sel_Country),OR(sel_Customer="All",F146=sel_Customer),OR(sel_Category="All",G146=sel_Category),OR(sel_Product="All",H146=sel_Product),AND(S146&gt;=m_From,S146&lt;=m_To)),1,0)</f>
        <v/>
      </c>
      <c r="X146" s="36">
        <f>IF(AND(OR(sel_Region="All",C146=sel_Region),OR(sel_Country="All",D146=sel_Country),OR(sel_Channel="All",E146=sel_Channel),OR(sel_Category="All",G146=sel_Category),OR(sel_Product="All",H146=sel_Product),AND(S146&gt;=m_From,S146&lt;=m_To)),1,0)</f>
        <v/>
      </c>
      <c r="Y146" s="36">
        <f>IF(AND(OR(sel_Region="All",C146=sel_Region),OR(sel_Country="All",D146=sel_Country),OR(sel_Channel="All",E146=sel_Channel),OR(sel_Customer="All",F146=sel_Customer),OR(sel_Product="All",H146=sel_Product),AND(S146&gt;=m_From,S146&lt;=m_To)),1,0)</f>
        <v/>
      </c>
      <c r="Z146" s="36">
        <f>IF(AND(OR(sel_Region="All",C146=sel_Region),OR(sel_Country="All",D146=sel_Country),OR(sel_Channel="All",E146=sel_Channel),OR(sel_Customer="All",F146=sel_Customer),OR(sel_Category="All",G146=sel_Category),AND(S146&gt;=m_From,S146&lt;=m_To)),1,0)</f>
        <v/>
      </c>
      <c r="AA146" s="36">
        <f>IF(AND(OR(sel_Region="All",C146=sel_Region),OR(sel_Country="All",D146=sel_Country),OR(sel_Channel="All",E146=sel_Channel),OR(sel_Customer="All",F146=sel_Customer),OR(sel_Category="All",G146=sel_Category),OR(sel_Product="All",H146=sel_Product)),1,0)</f>
        <v/>
      </c>
    </row>
    <row r="147">
      <c r="A147" s="36" t="inlineStr">
        <is>
          <t>01164</t>
        </is>
      </c>
      <c r="B147" s="44" t="n">
        <v>46053</v>
      </c>
      <c r="C147" s="36" t="inlineStr">
        <is>
          <t>Southern Europe</t>
        </is>
      </c>
      <c r="D147" s="36" t="inlineStr">
        <is>
          <t>Spain</t>
        </is>
      </c>
      <c r="E147" s="36" t="inlineStr">
        <is>
          <t>Online Store</t>
        </is>
      </c>
      <c r="F147" s="36" t="inlineStr">
        <is>
          <t>New</t>
        </is>
      </c>
      <c r="G147" s="36" t="inlineStr">
        <is>
          <t>Cycling</t>
        </is>
      </c>
      <c r="H147" s="36" t="inlineStr">
        <is>
          <t>Commuter Helmet</t>
        </is>
      </c>
      <c r="I147" s="36" t="n">
        <v>1</v>
      </c>
      <c r="J147" s="39" t="n">
        <v>79.98999999999999</v>
      </c>
      <c r="K147" s="45" t="n">
        <v>0.05</v>
      </c>
      <c r="L147" s="39" t="n">
        <v>43.02</v>
      </c>
      <c r="M147" s="39">
        <f>I147*J147*(1-K147)</f>
        <v/>
      </c>
      <c r="N147" s="39">
        <f>I147*L147</f>
        <v/>
      </c>
      <c r="O147" s="39">
        <f>M147-N147</f>
        <v/>
      </c>
      <c r="P147" s="38">
        <f>IF(M147=0,0,O147/M147)</f>
        <v/>
      </c>
      <c r="Q147" s="36">
        <f>YEAR(B147)</f>
        <v/>
      </c>
      <c r="R147" s="36">
        <f>"Q"&amp;ROUNDUP(MONTH(B147)/3,0)</f>
        <v/>
      </c>
      <c r="S147" s="36">
        <f>MONTH(B147)</f>
        <v/>
      </c>
      <c r="T147" s="36">
        <f>TEXT(B147,"mmm")</f>
        <v/>
      </c>
      <c r="U147" s="36">
        <f>IF(AND(OR(sel_Region="All",C147=sel_Region),OR(sel_Country="All",D147=sel_Country),OR(sel_Channel="All",E147=sel_Channel),OR(sel_Customer="All",F147=sel_Customer),OR(sel_Category="All",G147=sel_Category),OR(sel_Product="All",H147=sel_Product),AND(S147&gt;=m_From,S147&lt;=m_To)),1,0)</f>
        <v/>
      </c>
      <c r="V147" s="36">
        <f>IF(AND(OR(sel_Region="All",C147=sel_Region),OR(sel_Channel="All",E147=sel_Channel),OR(sel_Customer="All",F147=sel_Customer),OR(sel_Category="All",G147=sel_Category),OR(sel_Product="All",H147=sel_Product),AND(S147&gt;=m_From,S147&lt;=m_To)),1,0)</f>
        <v/>
      </c>
      <c r="W147" s="36">
        <f>IF(AND(OR(sel_Region="All",C147=sel_Region),OR(sel_Country="All",D147=sel_Country),OR(sel_Customer="All",F147=sel_Customer),OR(sel_Category="All",G147=sel_Category),OR(sel_Product="All",H147=sel_Product),AND(S147&gt;=m_From,S147&lt;=m_To)),1,0)</f>
        <v/>
      </c>
      <c r="X147" s="36">
        <f>IF(AND(OR(sel_Region="All",C147=sel_Region),OR(sel_Country="All",D147=sel_Country),OR(sel_Channel="All",E147=sel_Channel),OR(sel_Category="All",G147=sel_Category),OR(sel_Product="All",H147=sel_Product),AND(S147&gt;=m_From,S147&lt;=m_To)),1,0)</f>
        <v/>
      </c>
      <c r="Y147" s="36">
        <f>IF(AND(OR(sel_Region="All",C147=sel_Region),OR(sel_Country="All",D147=sel_Country),OR(sel_Channel="All",E147=sel_Channel),OR(sel_Customer="All",F147=sel_Customer),OR(sel_Product="All",H147=sel_Product),AND(S147&gt;=m_From,S147&lt;=m_To)),1,0)</f>
        <v/>
      </c>
      <c r="Z147" s="36">
        <f>IF(AND(OR(sel_Region="All",C147=sel_Region),OR(sel_Country="All",D147=sel_Country),OR(sel_Channel="All",E147=sel_Channel),OR(sel_Customer="All",F147=sel_Customer),OR(sel_Category="All",G147=sel_Category),AND(S147&gt;=m_From,S147&lt;=m_To)),1,0)</f>
        <v/>
      </c>
      <c r="AA147" s="36">
        <f>IF(AND(OR(sel_Region="All",C147=sel_Region),OR(sel_Country="All",D147=sel_Country),OR(sel_Channel="All",E147=sel_Channel),OR(sel_Customer="All",F147=sel_Customer),OR(sel_Category="All",G147=sel_Category),OR(sel_Product="All",H147=sel_Product)),1,0)</f>
        <v/>
      </c>
    </row>
    <row r="148">
      <c r="A148" s="36" t="inlineStr">
        <is>
          <t>01613</t>
        </is>
      </c>
      <c r="B148" s="44" t="n">
        <v>46053</v>
      </c>
      <c r="C148" s="36" t="inlineStr">
        <is>
          <t>Central Europe</t>
        </is>
      </c>
      <c r="D148" s="36" t="inlineStr">
        <is>
          <t>Austria</t>
        </is>
      </c>
      <c r="E148" s="36" t="inlineStr">
        <is>
          <t>Corporate</t>
        </is>
      </c>
      <c r="F148" s="36" t="inlineStr">
        <is>
          <t>Business</t>
        </is>
      </c>
      <c r="G148" s="36" t="inlineStr">
        <is>
          <t>Fitness</t>
        </is>
      </c>
      <c r="H148" s="36" t="inlineStr">
        <is>
          <t>Training Mat</t>
        </is>
      </c>
      <c r="I148" s="36" t="n">
        <v>4</v>
      </c>
      <c r="J148" s="39" t="n">
        <v>51.11</v>
      </c>
      <c r="K148" s="45" t="n">
        <v>0.15</v>
      </c>
      <c r="L148" s="39" t="n">
        <v>22.25</v>
      </c>
      <c r="M148" s="39">
        <f>I148*J148*(1-K148)</f>
        <v/>
      </c>
      <c r="N148" s="39">
        <f>I148*L148</f>
        <v/>
      </c>
      <c r="O148" s="39">
        <f>M148-N148</f>
        <v/>
      </c>
      <c r="P148" s="38">
        <f>IF(M148=0,0,O148/M148)</f>
        <v/>
      </c>
      <c r="Q148" s="36">
        <f>YEAR(B148)</f>
        <v/>
      </c>
      <c r="R148" s="36">
        <f>"Q"&amp;ROUNDUP(MONTH(B148)/3,0)</f>
        <v/>
      </c>
      <c r="S148" s="36">
        <f>MONTH(B148)</f>
        <v/>
      </c>
      <c r="T148" s="36">
        <f>TEXT(B148,"mmm")</f>
        <v/>
      </c>
      <c r="U148" s="36">
        <f>IF(AND(OR(sel_Region="All",C148=sel_Region),OR(sel_Country="All",D148=sel_Country),OR(sel_Channel="All",E148=sel_Channel),OR(sel_Customer="All",F148=sel_Customer),OR(sel_Category="All",G148=sel_Category),OR(sel_Product="All",H148=sel_Product),AND(S148&gt;=m_From,S148&lt;=m_To)),1,0)</f>
        <v/>
      </c>
      <c r="V148" s="36">
        <f>IF(AND(OR(sel_Region="All",C148=sel_Region),OR(sel_Channel="All",E148=sel_Channel),OR(sel_Customer="All",F148=sel_Customer),OR(sel_Category="All",G148=sel_Category),OR(sel_Product="All",H148=sel_Product),AND(S148&gt;=m_From,S148&lt;=m_To)),1,0)</f>
        <v/>
      </c>
      <c r="W148" s="36">
        <f>IF(AND(OR(sel_Region="All",C148=sel_Region),OR(sel_Country="All",D148=sel_Country),OR(sel_Customer="All",F148=sel_Customer),OR(sel_Category="All",G148=sel_Category),OR(sel_Product="All",H148=sel_Product),AND(S148&gt;=m_From,S148&lt;=m_To)),1,0)</f>
        <v/>
      </c>
      <c r="X148" s="36">
        <f>IF(AND(OR(sel_Region="All",C148=sel_Region),OR(sel_Country="All",D148=sel_Country),OR(sel_Channel="All",E148=sel_Channel),OR(sel_Category="All",G148=sel_Category),OR(sel_Product="All",H148=sel_Product),AND(S148&gt;=m_From,S148&lt;=m_To)),1,0)</f>
        <v/>
      </c>
      <c r="Y148" s="36">
        <f>IF(AND(OR(sel_Region="All",C148=sel_Region),OR(sel_Country="All",D148=sel_Country),OR(sel_Channel="All",E148=sel_Channel),OR(sel_Customer="All",F148=sel_Customer),OR(sel_Product="All",H148=sel_Product),AND(S148&gt;=m_From,S148&lt;=m_To)),1,0)</f>
        <v/>
      </c>
      <c r="Z148" s="36">
        <f>IF(AND(OR(sel_Region="All",C148=sel_Region),OR(sel_Country="All",D148=sel_Country),OR(sel_Channel="All",E148=sel_Channel),OR(sel_Customer="All",F148=sel_Customer),OR(sel_Category="All",G148=sel_Category),AND(S148&gt;=m_From,S148&lt;=m_To)),1,0)</f>
        <v/>
      </c>
      <c r="AA148" s="36">
        <f>IF(AND(OR(sel_Region="All",C148=sel_Region),OR(sel_Country="All",D148=sel_Country),OR(sel_Channel="All",E148=sel_Channel),OR(sel_Customer="All",F148=sel_Customer),OR(sel_Category="All",G148=sel_Category),OR(sel_Product="All",H148=sel_Product)),1,0)</f>
        <v/>
      </c>
    </row>
    <row r="149">
      <c r="A149" s="36" t="inlineStr">
        <is>
          <t>02149</t>
        </is>
      </c>
      <c r="B149" s="44" t="n">
        <v>46053</v>
      </c>
      <c r="C149" s="36" t="inlineStr">
        <is>
          <t>Southern Europe</t>
        </is>
      </c>
      <c r="D149" s="36" t="inlineStr">
        <is>
          <t>Italy</t>
        </is>
      </c>
      <c r="E149" s="36" t="inlineStr">
        <is>
          <t>Online Store</t>
        </is>
      </c>
      <c r="F149" s="36" t="inlineStr">
        <is>
          <t>Returning</t>
        </is>
      </c>
      <c r="G149" s="36" t="inlineStr">
        <is>
          <t>Fitness</t>
        </is>
      </c>
      <c r="H149" s="36" t="inlineStr">
        <is>
          <t>Weighted Vest</t>
        </is>
      </c>
      <c r="I149" s="36" t="n">
        <v>2</v>
      </c>
      <c r="J149" s="39" t="n">
        <v>124.83</v>
      </c>
      <c r="K149" s="45" t="n">
        <v>0</v>
      </c>
      <c r="L149" s="39" t="n">
        <v>70.91</v>
      </c>
      <c r="M149" s="39">
        <f>I149*J149*(1-K149)</f>
        <v/>
      </c>
      <c r="N149" s="39">
        <f>I149*L149</f>
        <v/>
      </c>
      <c r="O149" s="39">
        <f>M149-N149</f>
        <v/>
      </c>
      <c r="P149" s="38">
        <f>IF(M149=0,0,O149/M149)</f>
        <v/>
      </c>
      <c r="Q149" s="36">
        <f>YEAR(B149)</f>
        <v/>
      </c>
      <c r="R149" s="36">
        <f>"Q"&amp;ROUNDUP(MONTH(B149)/3,0)</f>
        <v/>
      </c>
      <c r="S149" s="36">
        <f>MONTH(B149)</f>
        <v/>
      </c>
      <c r="T149" s="36">
        <f>TEXT(B149,"mmm")</f>
        <v/>
      </c>
      <c r="U149" s="36">
        <f>IF(AND(OR(sel_Region="All",C149=sel_Region),OR(sel_Country="All",D149=sel_Country),OR(sel_Channel="All",E149=sel_Channel),OR(sel_Customer="All",F149=sel_Customer),OR(sel_Category="All",G149=sel_Category),OR(sel_Product="All",H149=sel_Product),AND(S149&gt;=m_From,S149&lt;=m_To)),1,0)</f>
        <v/>
      </c>
      <c r="V149" s="36">
        <f>IF(AND(OR(sel_Region="All",C149=sel_Region),OR(sel_Channel="All",E149=sel_Channel),OR(sel_Customer="All",F149=sel_Customer),OR(sel_Category="All",G149=sel_Category),OR(sel_Product="All",H149=sel_Product),AND(S149&gt;=m_From,S149&lt;=m_To)),1,0)</f>
        <v/>
      </c>
      <c r="W149" s="36">
        <f>IF(AND(OR(sel_Region="All",C149=sel_Region),OR(sel_Country="All",D149=sel_Country),OR(sel_Customer="All",F149=sel_Customer),OR(sel_Category="All",G149=sel_Category),OR(sel_Product="All",H149=sel_Product),AND(S149&gt;=m_From,S149&lt;=m_To)),1,0)</f>
        <v/>
      </c>
      <c r="X149" s="36">
        <f>IF(AND(OR(sel_Region="All",C149=sel_Region),OR(sel_Country="All",D149=sel_Country),OR(sel_Channel="All",E149=sel_Channel),OR(sel_Category="All",G149=sel_Category),OR(sel_Product="All",H149=sel_Product),AND(S149&gt;=m_From,S149&lt;=m_To)),1,0)</f>
        <v/>
      </c>
      <c r="Y149" s="36">
        <f>IF(AND(OR(sel_Region="All",C149=sel_Region),OR(sel_Country="All",D149=sel_Country),OR(sel_Channel="All",E149=sel_Channel),OR(sel_Customer="All",F149=sel_Customer),OR(sel_Product="All",H149=sel_Product),AND(S149&gt;=m_From,S149&lt;=m_To)),1,0)</f>
        <v/>
      </c>
      <c r="Z149" s="36">
        <f>IF(AND(OR(sel_Region="All",C149=sel_Region),OR(sel_Country="All",D149=sel_Country),OR(sel_Channel="All",E149=sel_Channel),OR(sel_Customer="All",F149=sel_Customer),OR(sel_Category="All",G149=sel_Category),AND(S149&gt;=m_From,S149&lt;=m_To)),1,0)</f>
        <v/>
      </c>
      <c r="AA149" s="36">
        <f>IF(AND(OR(sel_Region="All",C149=sel_Region),OR(sel_Country="All",D149=sel_Country),OR(sel_Channel="All",E149=sel_Channel),OR(sel_Customer="All",F149=sel_Customer),OR(sel_Category="All",G149=sel_Category),OR(sel_Product="All",H149=sel_Product)),1,0)</f>
        <v/>
      </c>
    </row>
    <row r="150">
      <c r="A150" s="36" t="inlineStr">
        <is>
          <t>02593</t>
        </is>
      </c>
      <c r="B150" s="44" t="n">
        <v>46053</v>
      </c>
      <c r="C150" s="36" t="inlineStr">
        <is>
          <t>Central Europe</t>
        </is>
      </c>
      <c r="D150" s="36" t="inlineStr">
        <is>
          <t>Switzerland</t>
        </is>
      </c>
      <c r="E150" s="36" t="inlineStr">
        <is>
          <t>Retail Partners</t>
        </is>
      </c>
      <c r="F150" s="36" t="inlineStr">
        <is>
          <t>New</t>
        </is>
      </c>
      <c r="G150" s="36" t="inlineStr">
        <is>
          <t>Cycling</t>
        </is>
      </c>
      <c r="H150" s="36" t="inlineStr">
        <is>
          <t>Compact Repair Kit</t>
        </is>
      </c>
      <c r="I150" s="36" t="n">
        <v>6</v>
      </c>
      <c r="J150" s="39" t="n">
        <v>41.07</v>
      </c>
      <c r="K150" s="45" t="n">
        <v>0.1</v>
      </c>
      <c r="L150" s="39" t="n">
        <v>16.29</v>
      </c>
      <c r="M150" s="39">
        <f>I150*J150*(1-K150)</f>
        <v/>
      </c>
      <c r="N150" s="39">
        <f>I150*L150</f>
        <v/>
      </c>
      <c r="O150" s="39">
        <f>M150-N150</f>
        <v/>
      </c>
      <c r="P150" s="38">
        <f>IF(M150=0,0,O150/M150)</f>
        <v/>
      </c>
      <c r="Q150" s="36">
        <f>YEAR(B150)</f>
        <v/>
      </c>
      <c r="R150" s="36">
        <f>"Q"&amp;ROUNDUP(MONTH(B150)/3,0)</f>
        <v/>
      </c>
      <c r="S150" s="36">
        <f>MONTH(B150)</f>
        <v/>
      </c>
      <c r="T150" s="36">
        <f>TEXT(B150,"mmm")</f>
        <v/>
      </c>
      <c r="U150" s="36">
        <f>IF(AND(OR(sel_Region="All",C150=sel_Region),OR(sel_Country="All",D150=sel_Country),OR(sel_Channel="All",E150=sel_Channel),OR(sel_Customer="All",F150=sel_Customer),OR(sel_Category="All",G150=sel_Category),OR(sel_Product="All",H150=sel_Product),AND(S150&gt;=m_From,S150&lt;=m_To)),1,0)</f>
        <v/>
      </c>
      <c r="V150" s="36">
        <f>IF(AND(OR(sel_Region="All",C150=sel_Region),OR(sel_Channel="All",E150=sel_Channel),OR(sel_Customer="All",F150=sel_Customer),OR(sel_Category="All",G150=sel_Category),OR(sel_Product="All",H150=sel_Product),AND(S150&gt;=m_From,S150&lt;=m_To)),1,0)</f>
        <v/>
      </c>
      <c r="W150" s="36">
        <f>IF(AND(OR(sel_Region="All",C150=sel_Region),OR(sel_Country="All",D150=sel_Country),OR(sel_Customer="All",F150=sel_Customer),OR(sel_Category="All",G150=sel_Category),OR(sel_Product="All",H150=sel_Product),AND(S150&gt;=m_From,S150&lt;=m_To)),1,0)</f>
        <v/>
      </c>
      <c r="X150" s="36">
        <f>IF(AND(OR(sel_Region="All",C150=sel_Region),OR(sel_Country="All",D150=sel_Country),OR(sel_Channel="All",E150=sel_Channel),OR(sel_Category="All",G150=sel_Category),OR(sel_Product="All",H150=sel_Product),AND(S150&gt;=m_From,S150&lt;=m_To)),1,0)</f>
        <v/>
      </c>
      <c r="Y150" s="36">
        <f>IF(AND(OR(sel_Region="All",C150=sel_Region),OR(sel_Country="All",D150=sel_Country),OR(sel_Channel="All",E150=sel_Channel),OR(sel_Customer="All",F150=sel_Customer),OR(sel_Product="All",H150=sel_Product),AND(S150&gt;=m_From,S150&lt;=m_To)),1,0)</f>
        <v/>
      </c>
      <c r="Z150" s="36">
        <f>IF(AND(OR(sel_Region="All",C150=sel_Region),OR(sel_Country="All",D150=sel_Country),OR(sel_Channel="All",E150=sel_Channel),OR(sel_Customer="All",F150=sel_Customer),OR(sel_Category="All",G150=sel_Category),AND(S150&gt;=m_From,S150&lt;=m_To)),1,0)</f>
        <v/>
      </c>
      <c r="AA150" s="36">
        <f>IF(AND(OR(sel_Region="All",C150=sel_Region),OR(sel_Country="All",D150=sel_Country),OR(sel_Channel="All",E150=sel_Channel),OR(sel_Customer="All",F150=sel_Customer),OR(sel_Category="All",G150=sel_Category),OR(sel_Product="All",H150=sel_Product)),1,0)</f>
        <v/>
      </c>
    </row>
    <row r="151">
      <c r="A151" s="36" t="inlineStr">
        <is>
          <t>02659</t>
        </is>
      </c>
      <c r="B151" s="44" t="n">
        <v>46053</v>
      </c>
      <c r="C151" s="36" t="inlineStr">
        <is>
          <t>Southern Europe</t>
        </is>
      </c>
      <c r="D151" s="36" t="inlineStr">
        <is>
          <t>Italy</t>
        </is>
      </c>
      <c r="E151" s="36" t="inlineStr">
        <is>
          <t>Online Store</t>
        </is>
      </c>
      <c r="F151" s="36" t="inlineStr">
        <is>
          <t>New</t>
        </is>
      </c>
      <c r="G151" s="36" t="inlineStr">
        <is>
          <t>Travel</t>
        </is>
      </c>
      <c r="H151" s="36" t="inlineStr">
        <is>
          <t>Insulated Bottle</t>
        </is>
      </c>
      <c r="I151" s="36" t="n">
        <v>1</v>
      </c>
      <c r="J151" s="39" t="n">
        <v>36.02</v>
      </c>
      <c r="K151" s="45" t="n">
        <v>0</v>
      </c>
      <c r="L151" s="39" t="n">
        <v>13.34</v>
      </c>
      <c r="M151" s="39">
        <f>I151*J151*(1-K151)</f>
        <v/>
      </c>
      <c r="N151" s="39">
        <f>I151*L151</f>
        <v/>
      </c>
      <c r="O151" s="39">
        <f>M151-N151</f>
        <v/>
      </c>
      <c r="P151" s="38">
        <f>IF(M151=0,0,O151/M151)</f>
        <v/>
      </c>
      <c r="Q151" s="36">
        <f>YEAR(B151)</f>
        <v/>
      </c>
      <c r="R151" s="36">
        <f>"Q"&amp;ROUNDUP(MONTH(B151)/3,0)</f>
        <v/>
      </c>
      <c r="S151" s="36">
        <f>MONTH(B151)</f>
        <v/>
      </c>
      <c r="T151" s="36">
        <f>TEXT(B151,"mmm")</f>
        <v/>
      </c>
      <c r="U151" s="36">
        <f>IF(AND(OR(sel_Region="All",C151=sel_Region),OR(sel_Country="All",D151=sel_Country),OR(sel_Channel="All",E151=sel_Channel),OR(sel_Customer="All",F151=sel_Customer),OR(sel_Category="All",G151=sel_Category),OR(sel_Product="All",H151=sel_Product),AND(S151&gt;=m_From,S151&lt;=m_To)),1,0)</f>
        <v/>
      </c>
      <c r="V151" s="36">
        <f>IF(AND(OR(sel_Region="All",C151=sel_Region),OR(sel_Channel="All",E151=sel_Channel),OR(sel_Customer="All",F151=sel_Customer),OR(sel_Category="All",G151=sel_Category),OR(sel_Product="All",H151=sel_Product),AND(S151&gt;=m_From,S151&lt;=m_To)),1,0)</f>
        <v/>
      </c>
      <c r="W151" s="36">
        <f>IF(AND(OR(sel_Region="All",C151=sel_Region),OR(sel_Country="All",D151=sel_Country),OR(sel_Customer="All",F151=sel_Customer),OR(sel_Category="All",G151=sel_Category),OR(sel_Product="All",H151=sel_Product),AND(S151&gt;=m_From,S151&lt;=m_To)),1,0)</f>
        <v/>
      </c>
      <c r="X151" s="36">
        <f>IF(AND(OR(sel_Region="All",C151=sel_Region),OR(sel_Country="All",D151=sel_Country),OR(sel_Channel="All",E151=sel_Channel),OR(sel_Category="All",G151=sel_Category),OR(sel_Product="All",H151=sel_Product),AND(S151&gt;=m_From,S151&lt;=m_To)),1,0)</f>
        <v/>
      </c>
      <c r="Y151" s="36">
        <f>IF(AND(OR(sel_Region="All",C151=sel_Region),OR(sel_Country="All",D151=sel_Country),OR(sel_Channel="All",E151=sel_Channel),OR(sel_Customer="All",F151=sel_Customer),OR(sel_Product="All",H151=sel_Product),AND(S151&gt;=m_From,S151&lt;=m_To)),1,0)</f>
        <v/>
      </c>
      <c r="Z151" s="36">
        <f>IF(AND(OR(sel_Region="All",C151=sel_Region),OR(sel_Country="All",D151=sel_Country),OR(sel_Channel="All",E151=sel_Channel),OR(sel_Customer="All",F151=sel_Customer),OR(sel_Category="All",G151=sel_Category),AND(S151&gt;=m_From,S151&lt;=m_To)),1,0)</f>
        <v/>
      </c>
      <c r="AA151" s="36">
        <f>IF(AND(OR(sel_Region="All",C151=sel_Region),OR(sel_Country="All",D151=sel_Country),OR(sel_Channel="All",E151=sel_Channel),OR(sel_Customer="All",F151=sel_Customer),OR(sel_Category="All",G151=sel_Category),OR(sel_Product="All",H151=sel_Product)),1,0)</f>
        <v/>
      </c>
    </row>
    <row r="152">
      <c r="A152" s="36" t="inlineStr">
        <is>
          <t>03496</t>
        </is>
      </c>
      <c r="B152" s="44" t="n">
        <v>46053</v>
      </c>
      <c r="C152" s="36" t="inlineStr">
        <is>
          <t>Southern Europe</t>
        </is>
      </c>
      <c r="D152" s="36" t="inlineStr">
        <is>
          <t>Spain</t>
        </is>
      </c>
      <c r="E152" s="36" t="inlineStr">
        <is>
          <t>Retail Partners</t>
        </is>
      </c>
      <c r="F152" s="36" t="inlineStr">
        <is>
          <t>Returning</t>
        </is>
      </c>
      <c r="G152" s="36" t="inlineStr">
        <is>
          <t>Fitness</t>
        </is>
      </c>
      <c r="H152" s="36" t="inlineStr">
        <is>
          <t>Recovery Roller</t>
        </is>
      </c>
      <c r="I152" s="36" t="n">
        <v>1</v>
      </c>
      <c r="J152" s="39" t="n">
        <v>35.82</v>
      </c>
      <c r="K152" s="45" t="n">
        <v>0.05</v>
      </c>
      <c r="L152" s="39" t="n">
        <v>14.32</v>
      </c>
      <c r="M152" s="39">
        <f>I152*J152*(1-K152)</f>
        <v/>
      </c>
      <c r="N152" s="39">
        <f>I152*L152</f>
        <v/>
      </c>
      <c r="O152" s="39">
        <f>M152-N152</f>
        <v/>
      </c>
      <c r="P152" s="38">
        <f>IF(M152=0,0,O152/M152)</f>
        <v/>
      </c>
      <c r="Q152" s="36">
        <f>YEAR(B152)</f>
        <v/>
      </c>
      <c r="R152" s="36">
        <f>"Q"&amp;ROUNDUP(MONTH(B152)/3,0)</f>
        <v/>
      </c>
      <c r="S152" s="36">
        <f>MONTH(B152)</f>
        <v/>
      </c>
      <c r="T152" s="36">
        <f>TEXT(B152,"mmm")</f>
        <v/>
      </c>
      <c r="U152" s="36">
        <f>IF(AND(OR(sel_Region="All",C152=sel_Region),OR(sel_Country="All",D152=sel_Country),OR(sel_Channel="All",E152=sel_Channel),OR(sel_Customer="All",F152=sel_Customer),OR(sel_Category="All",G152=sel_Category),OR(sel_Product="All",H152=sel_Product),AND(S152&gt;=m_From,S152&lt;=m_To)),1,0)</f>
        <v/>
      </c>
      <c r="V152" s="36">
        <f>IF(AND(OR(sel_Region="All",C152=sel_Region),OR(sel_Channel="All",E152=sel_Channel),OR(sel_Customer="All",F152=sel_Customer),OR(sel_Category="All",G152=sel_Category),OR(sel_Product="All",H152=sel_Product),AND(S152&gt;=m_From,S152&lt;=m_To)),1,0)</f>
        <v/>
      </c>
      <c r="W152" s="36">
        <f>IF(AND(OR(sel_Region="All",C152=sel_Region),OR(sel_Country="All",D152=sel_Country),OR(sel_Customer="All",F152=sel_Customer),OR(sel_Category="All",G152=sel_Category),OR(sel_Product="All",H152=sel_Product),AND(S152&gt;=m_From,S152&lt;=m_To)),1,0)</f>
        <v/>
      </c>
      <c r="X152" s="36">
        <f>IF(AND(OR(sel_Region="All",C152=sel_Region),OR(sel_Country="All",D152=sel_Country),OR(sel_Channel="All",E152=sel_Channel),OR(sel_Category="All",G152=sel_Category),OR(sel_Product="All",H152=sel_Product),AND(S152&gt;=m_From,S152&lt;=m_To)),1,0)</f>
        <v/>
      </c>
      <c r="Y152" s="36">
        <f>IF(AND(OR(sel_Region="All",C152=sel_Region),OR(sel_Country="All",D152=sel_Country),OR(sel_Channel="All",E152=sel_Channel),OR(sel_Customer="All",F152=sel_Customer),OR(sel_Product="All",H152=sel_Product),AND(S152&gt;=m_From,S152&lt;=m_To)),1,0)</f>
        <v/>
      </c>
      <c r="Z152" s="36">
        <f>IF(AND(OR(sel_Region="All",C152=sel_Region),OR(sel_Country="All",D152=sel_Country),OR(sel_Channel="All",E152=sel_Channel),OR(sel_Customer="All",F152=sel_Customer),OR(sel_Category="All",G152=sel_Category),AND(S152&gt;=m_From,S152&lt;=m_To)),1,0)</f>
        <v/>
      </c>
      <c r="AA152" s="36">
        <f>IF(AND(OR(sel_Region="All",C152=sel_Region),OR(sel_Country="All",D152=sel_Country),OR(sel_Channel="All",E152=sel_Channel),OR(sel_Customer="All",F152=sel_Customer),OR(sel_Category="All",G152=sel_Category),OR(sel_Product="All",H152=sel_Product)),1,0)</f>
        <v/>
      </c>
    </row>
    <row r="153">
      <c r="A153" s="36" t="inlineStr">
        <is>
          <t>03889</t>
        </is>
      </c>
      <c r="B153" s="44" t="n">
        <v>46053</v>
      </c>
      <c r="C153" s="36" t="inlineStr">
        <is>
          <t>Northern Europe</t>
        </is>
      </c>
      <c r="D153" s="36" t="inlineStr">
        <is>
          <t>Ireland</t>
        </is>
      </c>
      <c r="E153" s="36" t="inlineStr">
        <is>
          <t>Retail Partners</t>
        </is>
      </c>
      <c r="F153" s="36" t="inlineStr">
        <is>
          <t>Returning</t>
        </is>
      </c>
      <c r="G153" s="36" t="inlineStr">
        <is>
          <t>Cycling</t>
        </is>
      </c>
      <c r="H153" s="36" t="inlineStr">
        <is>
          <t>Cycling Pack 12L</t>
        </is>
      </c>
      <c r="I153" s="36" t="n">
        <v>3</v>
      </c>
      <c r="J153" s="39" t="n">
        <v>103.94</v>
      </c>
      <c r="K153" s="45" t="n">
        <v>0.1</v>
      </c>
      <c r="L153" s="39" t="n">
        <v>50.67</v>
      </c>
      <c r="M153" s="39">
        <f>I153*J153*(1-K153)</f>
        <v/>
      </c>
      <c r="N153" s="39">
        <f>I153*L153</f>
        <v/>
      </c>
      <c r="O153" s="39">
        <f>M153-N153</f>
        <v/>
      </c>
      <c r="P153" s="38">
        <f>IF(M153=0,0,O153/M153)</f>
        <v/>
      </c>
      <c r="Q153" s="36">
        <f>YEAR(B153)</f>
        <v/>
      </c>
      <c r="R153" s="36">
        <f>"Q"&amp;ROUNDUP(MONTH(B153)/3,0)</f>
        <v/>
      </c>
      <c r="S153" s="36">
        <f>MONTH(B153)</f>
        <v/>
      </c>
      <c r="T153" s="36">
        <f>TEXT(B153,"mmm")</f>
        <v/>
      </c>
      <c r="U153" s="36">
        <f>IF(AND(OR(sel_Region="All",C153=sel_Region),OR(sel_Country="All",D153=sel_Country),OR(sel_Channel="All",E153=sel_Channel),OR(sel_Customer="All",F153=sel_Customer),OR(sel_Category="All",G153=sel_Category),OR(sel_Product="All",H153=sel_Product),AND(S153&gt;=m_From,S153&lt;=m_To)),1,0)</f>
        <v/>
      </c>
      <c r="V153" s="36">
        <f>IF(AND(OR(sel_Region="All",C153=sel_Region),OR(sel_Channel="All",E153=sel_Channel),OR(sel_Customer="All",F153=sel_Customer),OR(sel_Category="All",G153=sel_Category),OR(sel_Product="All",H153=sel_Product),AND(S153&gt;=m_From,S153&lt;=m_To)),1,0)</f>
        <v/>
      </c>
      <c r="W153" s="36">
        <f>IF(AND(OR(sel_Region="All",C153=sel_Region),OR(sel_Country="All",D153=sel_Country),OR(sel_Customer="All",F153=sel_Customer),OR(sel_Category="All",G153=sel_Category),OR(sel_Product="All",H153=sel_Product),AND(S153&gt;=m_From,S153&lt;=m_To)),1,0)</f>
        <v/>
      </c>
      <c r="X153" s="36">
        <f>IF(AND(OR(sel_Region="All",C153=sel_Region),OR(sel_Country="All",D153=sel_Country),OR(sel_Channel="All",E153=sel_Channel),OR(sel_Category="All",G153=sel_Category),OR(sel_Product="All",H153=sel_Product),AND(S153&gt;=m_From,S153&lt;=m_To)),1,0)</f>
        <v/>
      </c>
      <c r="Y153" s="36">
        <f>IF(AND(OR(sel_Region="All",C153=sel_Region),OR(sel_Country="All",D153=sel_Country),OR(sel_Channel="All",E153=sel_Channel),OR(sel_Customer="All",F153=sel_Customer),OR(sel_Product="All",H153=sel_Product),AND(S153&gt;=m_From,S153&lt;=m_To)),1,0)</f>
        <v/>
      </c>
      <c r="Z153" s="36">
        <f>IF(AND(OR(sel_Region="All",C153=sel_Region),OR(sel_Country="All",D153=sel_Country),OR(sel_Channel="All",E153=sel_Channel),OR(sel_Customer="All",F153=sel_Customer),OR(sel_Category="All",G153=sel_Category),AND(S153&gt;=m_From,S153&lt;=m_To)),1,0)</f>
        <v/>
      </c>
      <c r="AA153" s="36">
        <f>IF(AND(OR(sel_Region="All",C153=sel_Region),OR(sel_Country="All",D153=sel_Country),OR(sel_Channel="All",E153=sel_Channel),OR(sel_Customer="All",F153=sel_Customer),OR(sel_Category="All",G153=sel_Category),OR(sel_Product="All",H153=sel_Product)),1,0)</f>
        <v/>
      </c>
    </row>
    <row r="154">
      <c r="A154" s="36" t="inlineStr">
        <is>
          <t>01432</t>
        </is>
      </c>
      <c r="B154" s="44" t="n">
        <v>46054</v>
      </c>
      <c r="C154" s="36" t="inlineStr">
        <is>
          <t>Southern Europe</t>
        </is>
      </c>
      <c r="D154" s="36" t="inlineStr">
        <is>
          <t>Spain</t>
        </is>
      </c>
      <c r="E154" s="36" t="inlineStr">
        <is>
          <t>Online Store</t>
        </is>
      </c>
      <c r="F154" s="36" t="inlineStr">
        <is>
          <t>Returning</t>
        </is>
      </c>
      <c r="G154" s="36" t="inlineStr">
        <is>
          <t>Hiking</t>
        </is>
      </c>
      <c r="H154" s="36" t="inlineStr">
        <is>
          <t>Trail Boots</t>
        </is>
      </c>
      <c r="I154" s="36" t="n">
        <v>1</v>
      </c>
      <c r="J154" s="39" t="n">
        <v>140.53</v>
      </c>
      <c r="K154" s="45" t="n">
        <v>0</v>
      </c>
      <c r="L154" s="39" t="n">
        <v>77.36</v>
      </c>
      <c r="M154" s="39">
        <f>I154*J154*(1-K154)</f>
        <v/>
      </c>
      <c r="N154" s="39">
        <f>I154*L154</f>
        <v/>
      </c>
      <c r="O154" s="39">
        <f>M154-N154</f>
        <v/>
      </c>
      <c r="P154" s="38">
        <f>IF(M154=0,0,O154/M154)</f>
        <v/>
      </c>
      <c r="Q154" s="36">
        <f>YEAR(B154)</f>
        <v/>
      </c>
      <c r="R154" s="36">
        <f>"Q"&amp;ROUNDUP(MONTH(B154)/3,0)</f>
        <v/>
      </c>
      <c r="S154" s="36">
        <f>MONTH(B154)</f>
        <v/>
      </c>
      <c r="T154" s="36">
        <f>TEXT(B154,"mmm")</f>
        <v/>
      </c>
      <c r="U154" s="36">
        <f>IF(AND(OR(sel_Region="All",C154=sel_Region),OR(sel_Country="All",D154=sel_Country),OR(sel_Channel="All",E154=sel_Channel),OR(sel_Customer="All",F154=sel_Customer),OR(sel_Category="All",G154=sel_Category),OR(sel_Product="All",H154=sel_Product),AND(S154&gt;=m_From,S154&lt;=m_To)),1,0)</f>
        <v/>
      </c>
      <c r="V154" s="36">
        <f>IF(AND(OR(sel_Region="All",C154=sel_Region),OR(sel_Channel="All",E154=sel_Channel),OR(sel_Customer="All",F154=sel_Customer),OR(sel_Category="All",G154=sel_Category),OR(sel_Product="All",H154=sel_Product),AND(S154&gt;=m_From,S154&lt;=m_To)),1,0)</f>
        <v/>
      </c>
      <c r="W154" s="36">
        <f>IF(AND(OR(sel_Region="All",C154=sel_Region),OR(sel_Country="All",D154=sel_Country),OR(sel_Customer="All",F154=sel_Customer),OR(sel_Category="All",G154=sel_Category),OR(sel_Product="All",H154=sel_Product),AND(S154&gt;=m_From,S154&lt;=m_To)),1,0)</f>
        <v/>
      </c>
      <c r="X154" s="36">
        <f>IF(AND(OR(sel_Region="All",C154=sel_Region),OR(sel_Country="All",D154=sel_Country),OR(sel_Channel="All",E154=sel_Channel),OR(sel_Category="All",G154=sel_Category),OR(sel_Product="All",H154=sel_Product),AND(S154&gt;=m_From,S154&lt;=m_To)),1,0)</f>
        <v/>
      </c>
      <c r="Y154" s="36">
        <f>IF(AND(OR(sel_Region="All",C154=sel_Region),OR(sel_Country="All",D154=sel_Country),OR(sel_Channel="All",E154=sel_Channel),OR(sel_Customer="All",F154=sel_Customer),OR(sel_Product="All",H154=sel_Product),AND(S154&gt;=m_From,S154&lt;=m_To)),1,0)</f>
        <v/>
      </c>
      <c r="Z154" s="36">
        <f>IF(AND(OR(sel_Region="All",C154=sel_Region),OR(sel_Country="All",D154=sel_Country),OR(sel_Channel="All",E154=sel_Channel),OR(sel_Customer="All",F154=sel_Customer),OR(sel_Category="All",G154=sel_Category),AND(S154&gt;=m_From,S154&lt;=m_To)),1,0)</f>
        <v/>
      </c>
      <c r="AA154" s="36">
        <f>IF(AND(OR(sel_Region="All",C154=sel_Region),OR(sel_Country="All",D154=sel_Country),OR(sel_Channel="All",E154=sel_Channel),OR(sel_Customer="All",F154=sel_Customer),OR(sel_Category="All",G154=sel_Category),OR(sel_Product="All",H154=sel_Product)),1,0)</f>
        <v/>
      </c>
    </row>
    <row r="155">
      <c r="A155" s="36" t="inlineStr">
        <is>
          <t>01778</t>
        </is>
      </c>
      <c r="B155" s="44" t="n">
        <v>46054</v>
      </c>
      <c r="C155" s="36" t="inlineStr">
        <is>
          <t>Western Europe</t>
        </is>
      </c>
      <c r="D155" s="36" t="inlineStr">
        <is>
          <t>Netherlands</t>
        </is>
      </c>
      <c r="E155" s="36" t="inlineStr">
        <is>
          <t>Retail Partners</t>
        </is>
      </c>
      <c r="F155" s="36" t="inlineStr">
        <is>
          <t>Returning</t>
        </is>
      </c>
      <c r="G155" s="36" t="inlineStr">
        <is>
          <t>Hiking</t>
        </is>
      </c>
      <c r="H155" s="36" t="inlineStr">
        <is>
          <t>Trail Boots</t>
        </is>
      </c>
      <c r="I155" s="36" t="n">
        <v>1</v>
      </c>
      <c r="J155" s="39" t="n">
        <v>142.03</v>
      </c>
      <c r="K155" s="45" t="n">
        <v>0.05</v>
      </c>
      <c r="L155" s="39" t="n">
        <v>77.06999999999999</v>
      </c>
      <c r="M155" s="39">
        <f>I155*J155*(1-K155)</f>
        <v/>
      </c>
      <c r="N155" s="39">
        <f>I155*L155</f>
        <v/>
      </c>
      <c r="O155" s="39">
        <f>M155-N155</f>
        <v/>
      </c>
      <c r="P155" s="38">
        <f>IF(M155=0,0,O155/M155)</f>
        <v/>
      </c>
      <c r="Q155" s="36">
        <f>YEAR(B155)</f>
        <v/>
      </c>
      <c r="R155" s="36">
        <f>"Q"&amp;ROUNDUP(MONTH(B155)/3,0)</f>
        <v/>
      </c>
      <c r="S155" s="36">
        <f>MONTH(B155)</f>
        <v/>
      </c>
      <c r="T155" s="36">
        <f>TEXT(B155,"mmm")</f>
        <v/>
      </c>
      <c r="U155" s="36">
        <f>IF(AND(OR(sel_Region="All",C155=sel_Region),OR(sel_Country="All",D155=sel_Country),OR(sel_Channel="All",E155=sel_Channel),OR(sel_Customer="All",F155=sel_Customer),OR(sel_Category="All",G155=sel_Category),OR(sel_Product="All",H155=sel_Product),AND(S155&gt;=m_From,S155&lt;=m_To)),1,0)</f>
        <v/>
      </c>
      <c r="V155" s="36">
        <f>IF(AND(OR(sel_Region="All",C155=sel_Region),OR(sel_Channel="All",E155=sel_Channel),OR(sel_Customer="All",F155=sel_Customer),OR(sel_Category="All",G155=sel_Category),OR(sel_Product="All",H155=sel_Product),AND(S155&gt;=m_From,S155&lt;=m_To)),1,0)</f>
        <v/>
      </c>
      <c r="W155" s="36">
        <f>IF(AND(OR(sel_Region="All",C155=sel_Region),OR(sel_Country="All",D155=sel_Country),OR(sel_Customer="All",F155=sel_Customer),OR(sel_Category="All",G155=sel_Category),OR(sel_Product="All",H155=sel_Product),AND(S155&gt;=m_From,S155&lt;=m_To)),1,0)</f>
        <v/>
      </c>
      <c r="X155" s="36">
        <f>IF(AND(OR(sel_Region="All",C155=sel_Region),OR(sel_Country="All",D155=sel_Country),OR(sel_Channel="All",E155=sel_Channel),OR(sel_Category="All",G155=sel_Category),OR(sel_Product="All",H155=sel_Product),AND(S155&gt;=m_From,S155&lt;=m_To)),1,0)</f>
        <v/>
      </c>
      <c r="Y155" s="36">
        <f>IF(AND(OR(sel_Region="All",C155=sel_Region),OR(sel_Country="All",D155=sel_Country),OR(sel_Channel="All",E155=sel_Channel),OR(sel_Customer="All",F155=sel_Customer),OR(sel_Product="All",H155=sel_Product),AND(S155&gt;=m_From,S155&lt;=m_To)),1,0)</f>
        <v/>
      </c>
      <c r="Z155" s="36">
        <f>IF(AND(OR(sel_Region="All",C155=sel_Region),OR(sel_Country="All",D155=sel_Country),OR(sel_Channel="All",E155=sel_Channel),OR(sel_Customer="All",F155=sel_Customer),OR(sel_Category="All",G155=sel_Category),AND(S155&gt;=m_From,S155&lt;=m_To)),1,0)</f>
        <v/>
      </c>
      <c r="AA155" s="36">
        <f>IF(AND(OR(sel_Region="All",C155=sel_Region),OR(sel_Country="All",D155=sel_Country),OR(sel_Channel="All",E155=sel_Channel),OR(sel_Customer="All",F155=sel_Customer),OR(sel_Category="All",G155=sel_Category),OR(sel_Product="All",H155=sel_Product)),1,0)</f>
        <v/>
      </c>
    </row>
    <row r="156">
      <c r="A156" s="36" t="inlineStr">
        <is>
          <t>02047</t>
        </is>
      </c>
      <c r="B156" s="44" t="n">
        <v>46054</v>
      </c>
      <c r="C156" s="36" t="inlineStr">
        <is>
          <t>Northern Europe</t>
        </is>
      </c>
      <c r="D156" s="36" t="inlineStr">
        <is>
          <t>Denmark</t>
        </is>
      </c>
      <c r="E156" s="36" t="inlineStr">
        <is>
          <t>Corporate</t>
        </is>
      </c>
      <c r="F156" s="36" t="inlineStr">
        <is>
          <t>Business</t>
        </is>
      </c>
      <c r="G156" s="36" t="inlineStr">
        <is>
          <t>Camping</t>
        </is>
      </c>
      <c r="H156" s="36" t="inlineStr">
        <is>
          <t>Compact Sleeping Bag</t>
        </is>
      </c>
      <c r="I156" s="36" t="n">
        <v>12</v>
      </c>
      <c r="J156" s="39" t="n">
        <v>124.84</v>
      </c>
      <c r="K156" s="45" t="n">
        <v>0.1</v>
      </c>
      <c r="L156" s="39" t="n">
        <v>59.47</v>
      </c>
      <c r="M156" s="39">
        <f>I156*J156*(1-K156)</f>
        <v/>
      </c>
      <c r="N156" s="39">
        <f>I156*L156</f>
        <v/>
      </c>
      <c r="O156" s="39">
        <f>M156-N156</f>
        <v/>
      </c>
      <c r="P156" s="38">
        <f>IF(M156=0,0,O156/M156)</f>
        <v/>
      </c>
      <c r="Q156" s="36">
        <f>YEAR(B156)</f>
        <v/>
      </c>
      <c r="R156" s="36">
        <f>"Q"&amp;ROUNDUP(MONTH(B156)/3,0)</f>
        <v/>
      </c>
      <c r="S156" s="36">
        <f>MONTH(B156)</f>
        <v/>
      </c>
      <c r="T156" s="36">
        <f>TEXT(B156,"mmm")</f>
        <v/>
      </c>
      <c r="U156" s="36">
        <f>IF(AND(OR(sel_Region="All",C156=sel_Region),OR(sel_Country="All",D156=sel_Country),OR(sel_Channel="All",E156=sel_Channel),OR(sel_Customer="All",F156=sel_Customer),OR(sel_Category="All",G156=sel_Category),OR(sel_Product="All",H156=sel_Product),AND(S156&gt;=m_From,S156&lt;=m_To)),1,0)</f>
        <v/>
      </c>
      <c r="V156" s="36">
        <f>IF(AND(OR(sel_Region="All",C156=sel_Region),OR(sel_Channel="All",E156=sel_Channel),OR(sel_Customer="All",F156=sel_Customer),OR(sel_Category="All",G156=sel_Category),OR(sel_Product="All",H156=sel_Product),AND(S156&gt;=m_From,S156&lt;=m_To)),1,0)</f>
        <v/>
      </c>
      <c r="W156" s="36">
        <f>IF(AND(OR(sel_Region="All",C156=sel_Region),OR(sel_Country="All",D156=sel_Country),OR(sel_Customer="All",F156=sel_Customer),OR(sel_Category="All",G156=sel_Category),OR(sel_Product="All",H156=sel_Product),AND(S156&gt;=m_From,S156&lt;=m_To)),1,0)</f>
        <v/>
      </c>
      <c r="X156" s="36">
        <f>IF(AND(OR(sel_Region="All",C156=sel_Region),OR(sel_Country="All",D156=sel_Country),OR(sel_Channel="All",E156=sel_Channel),OR(sel_Category="All",G156=sel_Category),OR(sel_Product="All",H156=sel_Product),AND(S156&gt;=m_From,S156&lt;=m_To)),1,0)</f>
        <v/>
      </c>
      <c r="Y156" s="36">
        <f>IF(AND(OR(sel_Region="All",C156=sel_Region),OR(sel_Country="All",D156=sel_Country),OR(sel_Channel="All",E156=sel_Channel),OR(sel_Customer="All",F156=sel_Customer),OR(sel_Product="All",H156=sel_Product),AND(S156&gt;=m_From,S156&lt;=m_To)),1,0)</f>
        <v/>
      </c>
      <c r="Z156" s="36">
        <f>IF(AND(OR(sel_Region="All",C156=sel_Region),OR(sel_Country="All",D156=sel_Country),OR(sel_Channel="All",E156=sel_Channel),OR(sel_Customer="All",F156=sel_Customer),OR(sel_Category="All",G156=sel_Category),AND(S156&gt;=m_From,S156&lt;=m_To)),1,0)</f>
        <v/>
      </c>
      <c r="AA156" s="36">
        <f>IF(AND(OR(sel_Region="All",C156=sel_Region),OR(sel_Country="All",D156=sel_Country),OR(sel_Channel="All",E156=sel_Channel),OR(sel_Customer="All",F156=sel_Customer),OR(sel_Category="All",G156=sel_Category),OR(sel_Product="All",H156=sel_Product)),1,0)</f>
        <v/>
      </c>
    </row>
    <row r="157">
      <c r="A157" s="36" t="inlineStr">
        <is>
          <t>02668</t>
        </is>
      </c>
      <c r="B157" s="44" t="n">
        <v>46054</v>
      </c>
      <c r="C157" s="36" t="inlineStr">
        <is>
          <t>Central Europe</t>
        </is>
      </c>
      <c r="D157" s="36" t="inlineStr">
        <is>
          <t>Germany</t>
        </is>
      </c>
      <c r="E157" s="36" t="inlineStr">
        <is>
          <t>Online Store</t>
        </is>
      </c>
      <c r="F157" s="36" t="inlineStr">
        <is>
          <t>Returning</t>
        </is>
      </c>
      <c r="G157" s="36" t="inlineStr">
        <is>
          <t>Fitness</t>
        </is>
      </c>
      <c r="H157" s="36" t="inlineStr">
        <is>
          <t>Recovery Roller</t>
        </is>
      </c>
      <c r="I157" s="36" t="n">
        <v>3</v>
      </c>
      <c r="J157" s="39" t="n">
        <v>35.36</v>
      </c>
      <c r="K157" s="45" t="n">
        <v>0</v>
      </c>
      <c r="L157" s="39" t="n">
        <v>13.7</v>
      </c>
      <c r="M157" s="39">
        <f>I157*J157*(1-K157)</f>
        <v/>
      </c>
      <c r="N157" s="39">
        <f>I157*L157</f>
        <v/>
      </c>
      <c r="O157" s="39">
        <f>M157-N157</f>
        <v/>
      </c>
      <c r="P157" s="38">
        <f>IF(M157=0,0,O157/M157)</f>
        <v/>
      </c>
      <c r="Q157" s="36">
        <f>YEAR(B157)</f>
        <v/>
      </c>
      <c r="R157" s="36">
        <f>"Q"&amp;ROUNDUP(MONTH(B157)/3,0)</f>
        <v/>
      </c>
      <c r="S157" s="36">
        <f>MONTH(B157)</f>
        <v/>
      </c>
      <c r="T157" s="36">
        <f>TEXT(B157,"mmm")</f>
        <v/>
      </c>
      <c r="U157" s="36">
        <f>IF(AND(OR(sel_Region="All",C157=sel_Region),OR(sel_Country="All",D157=sel_Country),OR(sel_Channel="All",E157=sel_Channel),OR(sel_Customer="All",F157=sel_Customer),OR(sel_Category="All",G157=sel_Category),OR(sel_Product="All",H157=sel_Product),AND(S157&gt;=m_From,S157&lt;=m_To)),1,0)</f>
        <v/>
      </c>
      <c r="V157" s="36">
        <f>IF(AND(OR(sel_Region="All",C157=sel_Region),OR(sel_Channel="All",E157=sel_Channel),OR(sel_Customer="All",F157=sel_Customer),OR(sel_Category="All",G157=sel_Category),OR(sel_Product="All",H157=sel_Product),AND(S157&gt;=m_From,S157&lt;=m_To)),1,0)</f>
        <v/>
      </c>
      <c r="W157" s="36">
        <f>IF(AND(OR(sel_Region="All",C157=sel_Region),OR(sel_Country="All",D157=sel_Country),OR(sel_Customer="All",F157=sel_Customer),OR(sel_Category="All",G157=sel_Category),OR(sel_Product="All",H157=sel_Product),AND(S157&gt;=m_From,S157&lt;=m_To)),1,0)</f>
        <v/>
      </c>
      <c r="X157" s="36">
        <f>IF(AND(OR(sel_Region="All",C157=sel_Region),OR(sel_Country="All",D157=sel_Country),OR(sel_Channel="All",E157=sel_Channel),OR(sel_Category="All",G157=sel_Category),OR(sel_Product="All",H157=sel_Product),AND(S157&gt;=m_From,S157&lt;=m_To)),1,0)</f>
        <v/>
      </c>
      <c r="Y157" s="36">
        <f>IF(AND(OR(sel_Region="All",C157=sel_Region),OR(sel_Country="All",D157=sel_Country),OR(sel_Channel="All",E157=sel_Channel),OR(sel_Customer="All",F157=sel_Customer),OR(sel_Product="All",H157=sel_Product),AND(S157&gt;=m_From,S157&lt;=m_To)),1,0)</f>
        <v/>
      </c>
      <c r="Z157" s="36">
        <f>IF(AND(OR(sel_Region="All",C157=sel_Region),OR(sel_Country="All",D157=sel_Country),OR(sel_Channel="All",E157=sel_Channel),OR(sel_Customer="All",F157=sel_Customer),OR(sel_Category="All",G157=sel_Category),AND(S157&gt;=m_From,S157&lt;=m_To)),1,0)</f>
        <v/>
      </c>
      <c r="AA157" s="36">
        <f>IF(AND(OR(sel_Region="All",C157=sel_Region),OR(sel_Country="All",D157=sel_Country),OR(sel_Channel="All",E157=sel_Channel),OR(sel_Customer="All",F157=sel_Customer),OR(sel_Category="All",G157=sel_Category),OR(sel_Product="All",H157=sel_Product)),1,0)</f>
        <v/>
      </c>
    </row>
    <row r="158">
      <c r="A158" s="36" t="inlineStr">
        <is>
          <t>02706</t>
        </is>
      </c>
      <c r="B158" s="44" t="n">
        <v>46054</v>
      </c>
      <c r="C158" s="36" t="inlineStr">
        <is>
          <t>Western Europe</t>
        </is>
      </c>
      <c r="D158" s="36" t="inlineStr">
        <is>
          <t>France</t>
        </is>
      </c>
      <c r="E158" s="36" t="inlineStr">
        <is>
          <t>Marketplace</t>
        </is>
      </c>
      <c r="F158" s="36" t="inlineStr">
        <is>
          <t>Returning</t>
        </is>
      </c>
      <c r="G158" s="36" t="inlineStr">
        <is>
          <t>Fitness</t>
        </is>
      </c>
      <c r="H158" s="36" t="inlineStr">
        <is>
          <t>Weighted Vest</t>
        </is>
      </c>
      <c r="I158" s="36" t="n">
        <v>2</v>
      </c>
      <c r="J158" s="39" t="n">
        <v>122.43</v>
      </c>
      <c r="K158" s="45" t="n">
        <v>0</v>
      </c>
      <c r="L158" s="39" t="n">
        <v>69.08</v>
      </c>
      <c r="M158" s="39">
        <f>I158*J158*(1-K158)</f>
        <v/>
      </c>
      <c r="N158" s="39">
        <f>I158*L158</f>
        <v/>
      </c>
      <c r="O158" s="39">
        <f>M158-N158</f>
        <v/>
      </c>
      <c r="P158" s="38">
        <f>IF(M158=0,0,O158/M158)</f>
        <v/>
      </c>
      <c r="Q158" s="36">
        <f>YEAR(B158)</f>
        <v/>
      </c>
      <c r="R158" s="36">
        <f>"Q"&amp;ROUNDUP(MONTH(B158)/3,0)</f>
        <v/>
      </c>
      <c r="S158" s="36">
        <f>MONTH(B158)</f>
        <v/>
      </c>
      <c r="T158" s="36">
        <f>TEXT(B158,"mmm")</f>
        <v/>
      </c>
      <c r="U158" s="36">
        <f>IF(AND(OR(sel_Region="All",C158=sel_Region),OR(sel_Country="All",D158=sel_Country),OR(sel_Channel="All",E158=sel_Channel),OR(sel_Customer="All",F158=sel_Customer),OR(sel_Category="All",G158=sel_Category),OR(sel_Product="All",H158=sel_Product),AND(S158&gt;=m_From,S158&lt;=m_To)),1,0)</f>
        <v/>
      </c>
      <c r="V158" s="36">
        <f>IF(AND(OR(sel_Region="All",C158=sel_Region),OR(sel_Channel="All",E158=sel_Channel),OR(sel_Customer="All",F158=sel_Customer),OR(sel_Category="All",G158=sel_Category),OR(sel_Product="All",H158=sel_Product),AND(S158&gt;=m_From,S158&lt;=m_To)),1,0)</f>
        <v/>
      </c>
      <c r="W158" s="36">
        <f>IF(AND(OR(sel_Region="All",C158=sel_Region),OR(sel_Country="All",D158=sel_Country),OR(sel_Customer="All",F158=sel_Customer),OR(sel_Category="All",G158=sel_Category),OR(sel_Product="All",H158=sel_Product),AND(S158&gt;=m_From,S158&lt;=m_To)),1,0)</f>
        <v/>
      </c>
      <c r="X158" s="36">
        <f>IF(AND(OR(sel_Region="All",C158=sel_Region),OR(sel_Country="All",D158=sel_Country),OR(sel_Channel="All",E158=sel_Channel),OR(sel_Category="All",G158=sel_Category),OR(sel_Product="All",H158=sel_Product),AND(S158&gt;=m_From,S158&lt;=m_To)),1,0)</f>
        <v/>
      </c>
      <c r="Y158" s="36">
        <f>IF(AND(OR(sel_Region="All",C158=sel_Region),OR(sel_Country="All",D158=sel_Country),OR(sel_Channel="All",E158=sel_Channel),OR(sel_Customer="All",F158=sel_Customer),OR(sel_Product="All",H158=sel_Product),AND(S158&gt;=m_From,S158&lt;=m_To)),1,0)</f>
        <v/>
      </c>
      <c r="Z158" s="36">
        <f>IF(AND(OR(sel_Region="All",C158=sel_Region),OR(sel_Country="All",D158=sel_Country),OR(sel_Channel="All",E158=sel_Channel),OR(sel_Customer="All",F158=sel_Customer),OR(sel_Category="All",G158=sel_Category),AND(S158&gt;=m_From,S158&lt;=m_To)),1,0)</f>
        <v/>
      </c>
      <c r="AA158" s="36">
        <f>IF(AND(OR(sel_Region="All",C158=sel_Region),OR(sel_Country="All",D158=sel_Country),OR(sel_Channel="All",E158=sel_Channel),OR(sel_Customer="All",F158=sel_Customer),OR(sel_Category="All",G158=sel_Category),OR(sel_Product="All",H158=sel_Product)),1,0)</f>
        <v/>
      </c>
    </row>
    <row r="159">
      <c r="A159" s="36" t="inlineStr">
        <is>
          <t>02940</t>
        </is>
      </c>
      <c r="B159" s="44" t="n">
        <v>46054</v>
      </c>
      <c r="C159" s="36" t="inlineStr">
        <is>
          <t>Southern Europe</t>
        </is>
      </c>
      <c r="D159" s="36" t="inlineStr">
        <is>
          <t>Italy</t>
        </is>
      </c>
      <c r="E159" s="36" t="inlineStr">
        <is>
          <t>Marketplace</t>
        </is>
      </c>
      <c r="F159" s="36" t="inlineStr">
        <is>
          <t>New</t>
        </is>
      </c>
      <c r="G159" s="36" t="inlineStr">
        <is>
          <t>Hiking</t>
        </is>
      </c>
      <c r="H159" s="36" t="inlineStr">
        <is>
          <t>Trail Boots</t>
        </is>
      </c>
      <c r="I159" s="36" t="n">
        <v>2</v>
      </c>
      <c r="J159" s="39" t="n">
        <v>140.47</v>
      </c>
      <c r="K159" s="45" t="n">
        <v>0.05</v>
      </c>
      <c r="L159" s="39" t="n">
        <v>78.39</v>
      </c>
      <c r="M159" s="39">
        <f>I159*J159*(1-K159)</f>
        <v/>
      </c>
      <c r="N159" s="39">
        <f>I159*L159</f>
        <v/>
      </c>
      <c r="O159" s="39">
        <f>M159-N159</f>
        <v/>
      </c>
      <c r="P159" s="38">
        <f>IF(M159=0,0,O159/M159)</f>
        <v/>
      </c>
      <c r="Q159" s="36">
        <f>YEAR(B159)</f>
        <v/>
      </c>
      <c r="R159" s="36">
        <f>"Q"&amp;ROUNDUP(MONTH(B159)/3,0)</f>
        <v/>
      </c>
      <c r="S159" s="36">
        <f>MONTH(B159)</f>
        <v/>
      </c>
      <c r="T159" s="36">
        <f>TEXT(B159,"mmm")</f>
        <v/>
      </c>
      <c r="U159" s="36">
        <f>IF(AND(OR(sel_Region="All",C159=sel_Region),OR(sel_Country="All",D159=sel_Country),OR(sel_Channel="All",E159=sel_Channel),OR(sel_Customer="All",F159=sel_Customer),OR(sel_Category="All",G159=sel_Category),OR(sel_Product="All",H159=sel_Product),AND(S159&gt;=m_From,S159&lt;=m_To)),1,0)</f>
        <v/>
      </c>
      <c r="V159" s="36">
        <f>IF(AND(OR(sel_Region="All",C159=sel_Region),OR(sel_Channel="All",E159=sel_Channel),OR(sel_Customer="All",F159=sel_Customer),OR(sel_Category="All",G159=sel_Category),OR(sel_Product="All",H159=sel_Product),AND(S159&gt;=m_From,S159&lt;=m_To)),1,0)</f>
        <v/>
      </c>
      <c r="W159" s="36">
        <f>IF(AND(OR(sel_Region="All",C159=sel_Region),OR(sel_Country="All",D159=sel_Country),OR(sel_Customer="All",F159=sel_Customer),OR(sel_Category="All",G159=sel_Category),OR(sel_Product="All",H159=sel_Product),AND(S159&gt;=m_From,S159&lt;=m_To)),1,0)</f>
        <v/>
      </c>
      <c r="X159" s="36">
        <f>IF(AND(OR(sel_Region="All",C159=sel_Region),OR(sel_Country="All",D159=sel_Country),OR(sel_Channel="All",E159=sel_Channel),OR(sel_Category="All",G159=sel_Category),OR(sel_Product="All",H159=sel_Product),AND(S159&gt;=m_From,S159&lt;=m_To)),1,0)</f>
        <v/>
      </c>
      <c r="Y159" s="36">
        <f>IF(AND(OR(sel_Region="All",C159=sel_Region),OR(sel_Country="All",D159=sel_Country),OR(sel_Channel="All",E159=sel_Channel),OR(sel_Customer="All",F159=sel_Customer),OR(sel_Product="All",H159=sel_Product),AND(S159&gt;=m_From,S159&lt;=m_To)),1,0)</f>
        <v/>
      </c>
      <c r="Z159" s="36">
        <f>IF(AND(OR(sel_Region="All",C159=sel_Region),OR(sel_Country="All",D159=sel_Country),OR(sel_Channel="All",E159=sel_Channel),OR(sel_Customer="All",F159=sel_Customer),OR(sel_Category="All",G159=sel_Category),AND(S159&gt;=m_From,S159&lt;=m_To)),1,0)</f>
        <v/>
      </c>
      <c r="AA159" s="36">
        <f>IF(AND(OR(sel_Region="All",C159=sel_Region),OR(sel_Country="All",D159=sel_Country),OR(sel_Channel="All",E159=sel_Channel),OR(sel_Customer="All",F159=sel_Customer),OR(sel_Category="All",G159=sel_Category),OR(sel_Product="All",H159=sel_Product)),1,0)</f>
        <v/>
      </c>
    </row>
    <row r="160">
      <c r="A160" s="36" t="inlineStr">
        <is>
          <t>01263</t>
        </is>
      </c>
      <c r="B160" s="44" t="n">
        <v>46055</v>
      </c>
      <c r="C160" s="36" t="inlineStr">
        <is>
          <t>Central Europe</t>
        </is>
      </c>
      <c r="D160" s="36" t="inlineStr">
        <is>
          <t>Poland</t>
        </is>
      </c>
      <c r="E160" s="36" t="inlineStr">
        <is>
          <t>Online Store</t>
        </is>
      </c>
      <c r="F160" s="36" t="inlineStr">
        <is>
          <t>Returning</t>
        </is>
      </c>
      <c r="G160" s="36" t="inlineStr">
        <is>
          <t>Travel</t>
        </is>
      </c>
      <c r="H160" s="36" t="inlineStr">
        <is>
          <t>Packing Cube Set</t>
        </is>
      </c>
      <c r="I160" s="36" t="n">
        <v>1</v>
      </c>
      <c r="J160" s="39" t="n">
        <v>45.43</v>
      </c>
      <c r="K160" s="45" t="n">
        <v>0.05</v>
      </c>
      <c r="L160" s="39" t="n">
        <v>18.67</v>
      </c>
      <c r="M160" s="39">
        <f>I160*J160*(1-K160)</f>
        <v/>
      </c>
      <c r="N160" s="39">
        <f>I160*L160</f>
        <v/>
      </c>
      <c r="O160" s="39">
        <f>M160-N160</f>
        <v/>
      </c>
      <c r="P160" s="38">
        <f>IF(M160=0,0,O160/M160)</f>
        <v/>
      </c>
      <c r="Q160" s="36">
        <f>YEAR(B160)</f>
        <v/>
      </c>
      <c r="R160" s="36">
        <f>"Q"&amp;ROUNDUP(MONTH(B160)/3,0)</f>
        <v/>
      </c>
      <c r="S160" s="36">
        <f>MONTH(B160)</f>
        <v/>
      </c>
      <c r="T160" s="36">
        <f>TEXT(B160,"mmm")</f>
        <v/>
      </c>
      <c r="U160" s="36">
        <f>IF(AND(OR(sel_Region="All",C160=sel_Region),OR(sel_Country="All",D160=sel_Country),OR(sel_Channel="All",E160=sel_Channel),OR(sel_Customer="All",F160=sel_Customer),OR(sel_Category="All",G160=sel_Category),OR(sel_Product="All",H160=sel_Product),AND(S160&gt;=m_From,S160&lt;=m_To)),1,0)</f>
        <v/>
      </c>
      <c r="V160" s="36">
        <f>IF(AND(OR(sel_Region="All",C160=sel_Region),OR(sel_Channel="All",E160=sel_Channel),OR(sel_Customer="All",F160=sel_Customer),OR(sel_Category="All",G160=sel_Category),OR(sel_Product="All",H160=sel_Product),AND(S160&gt;=m_From,S160&lt;=m_To)),1,0)</f>
        <v/>
      </c>
      <c r="W160" s="36">
        <f>IF(AND(OR(sel_Region="All",C160=sel_Region),OR(sel_Country="All",D160=sel_Country),OR(sel_Customer="All",F160=sel_Customer),OR(sel_Category="All",G160=sel_Category),OR(sel_Product="All",H160=sel_Product),AND(S160&gt;=m_From,S160&lt;=m_To)),1,0)</f>
        <v/>
      </c>
      <c r="X160" s="36">
        <f>IF(AND(OR(sel_Region="All",C160=sel_Region),OR(sel_Country="All",D160=sel_Country),OR(sel_Channel="All",E160=sel_Channel),OR(sel_Category="All",G160=sel_Category),OR(sel_Product="All",H160=sel_Product),AND(S160&gt;=m_From,S160&lt;=m_To)),1,0)</f>
        <v/>
      </c>
      <c r="Y160" s="36">
        <f>IF(AND(OR(sel_Region="All",C160=sel_Region),OR(sel_Country="All",D160=sel_Country),OR(sel_Channel="All",E160=sel_Channel),OR(sel_Customer="All",F160=sel_Customer),OR(sel_Product="All",H160=sel_Product),AND(S160&gt;=m_From,S160&lt;=m_To)),1,0)</f>
        <v/>
      </c>
      <c r="Z160" s="36">
        <f>IF(AND(OR(sel_Region="All",C160=sel_Region),OR(sel_Country="All",D160=sel_Country),OR(sel_Channel="All",E160=sel_Channel),OR(sel_Customer="All",F160=sel_Customer),OR(sel_Category="All",G160=sel_Category),AND(S160&gt;=m_From,S160&lt;=m_To)),1,0)</f>
        <v/>
      </c>
      <c r="AA160" s="36">
        <f>IF(AND(OR(sel_Region="All",C160=sel_Region),OR(sel_Country="All",D160=sel_Country),OR(sel_Channel="All",E160=sel_Channel),OR(sel_Customer="All",F160=sel_Customer),OR(sel_Category="All",G160=sel_Category),OR(sel_Product="All",H160=sel_Product)),1,0)</f>
        <v/>
      </c>
    </row>
    <row r="161">
      <c r="A161" s="36" t="inlineStr">
        <is>
          <t>01641</t>
        </is>
      </c>
      <c r="B161" s="44" t="n">
        <v>46055</v>
      </c>
      <c r="C161" s="36" t="inlineStr">
        <is>
          <t>Western Europe</t>
        </is>
      </c>
      <c r="D161" s="36" t="inlineStr">
        <is>
          <t>France</t>
        </is>
      </c>
      <c r="E161" s="36" t="inlineStr">
        <is>
          <t>Corporate</t>
        </is>
      </c>
      <c r="F161" s="36" t="inlineStr">
        <is>
          <t>Business</t>
        </is>
      </c>
      <c r="G161" s="36" t="inlineStr">
        <is>
          <t>Cycling</t>
        </is>
      </c>
      <c r="H161" s="36" t="inlineStr">
        <is>
          <t>Cycling Pack 12L</t>
        </is>
      </c>
      <c r="I161" s="36" t="n">
        <v>8</v>
      </c>
      <c r="J161" s="39" t="n">
        <v>102.78</v>
      </c>
      <c r="K161" s="45" t="n">
        <v>0.15</v>
      </c>
      <c r="L161" s="39" t="n">
        <v>50.39</v>
      </c>
      <c r="M161" s="39">
        <f>I161*J161*(1-K161)</f>
        <v/>
      </c>
      <c r="N161" s="39">
        <f>I161*L161</f>
        <v/>
      </c>
      <c r="O161" s="39">
        <f>M161-N161</f>
        <v/>
      </c>
      <c r="P161" s="38">
        <f>IF(M161=0,0,O161/M161)</f>
        <v/>
      </c>
      <c r="Q161" s="36">
        <f>YEAR(B161)</f>
        <v/>
      </c>
      <c r="R161" s="36">
        <f>"Q"&amp;ROUNDUP(MONTH(B161)/3,0)</f>
        <v/>
      </c>
      <c r="S161" s="36">
        <f>MONTH(B161)</f>
        <v/>
      </c>
      <c r="T161" s="36">
        <f>TEXT(B161,"mmm")</f>
        <v/>
      </c>
      <c r="U161" s="36">
        <f>IF(AND(OR(sel_Region="All",C161=sel_Region),OR(sel_Country="All",D161=sel_Country),OR(sel_Channel="All",E161=sel_Channel),OR(sel_Customer="All",F161=sel_Customer),OR(sel_Category="All",G161=sel_Category),OR(sel_Product="All",H161=sel_Product),AND(S161&gt;=m_From,S161&lt;=m_To)),1,0)</f>
        <v/>
      </c>
      <c r="V161" s="36">
        <f>IF(AND(OR(sel_Region="All",C161=sel_Region),OR(sel_Channel="All",E161=sel_Channel),OR(sel_Customer="All",F161=sel_Customer),OR(sel_Category="All",G161=sel_Category),OR(sel_Product="All",H161=sel_Product),AND(S161&gt;=m_From,S161&lt;=m_To)),1,0)</f>
        <v/>
      </c>
      <c r="W161" s="36">
        <f>IF(AND(OR(sel_Region="All",C161=sel_Region),OR(sel_Country="All",D161=sel_Country),OR(sel_Customer="All",F161=sel_Customer),OR(sel_Category="All",G161=sel_Category),OR(sel_Product="All",H161=sel_Product),AND(S161&gt;=m_From,S161&lt;=m_To)),1,0)</f>
        <v/>
      </c>
      <c r="X161" s="36">
        <f>IF(AND(OR(sel_Region="All",C161=sel_Region),OR(sel_Country="All",D161=sel_Country),OR(sel_Channel="All",E161=sel_Channel),OR(sel_Category="All",G161=sel_Category),OR(sel_Product="All",H161=sel_Product),AND(S161&gt;=m_From,S161&lt;=m_To)),1,0)</f>
        <v/>
      </c>
      <c r="Y161" s="36">
        <f>IF(AND(OR(sel_Region="All",C161=sel_Region),OR(sel_Country="All",D161=sel_Country),OR(sel_Channel="All",E161=sel_Channel),OR(sel_Customer="All",F161=sel_Customer),OR(sel_Product="All",H161=sel_Product),AND(S161&gt;=m_From,S161&lt;=m_To)),1,0)</f>
        <v/>
      </c>
      <c r="Z161" s="36">
        <f>IF(AND(OR(sel_Region="All",C161=sel_Region),OR(sel_Country="All",D161=sel_Country),OR(sel_Channel="All",E161=sel_Channel),OR(sel_Customer="All",F161=sel_Customer),OR(sel_Category="All",G161=sel_Category),AND(S161&gt;=m_From,S161&lt;=m_To)),1,0)</f>
        <v/>
      </c>
      <c r="AA161" s="36">
        <f>IF(AND(OR(sel_Region="All",C161=sel_Region),OR(sel_Country="All",D161=sel_Country),OR(sel_Channel="All",E161=sel_Channel),OR(sel_Customer="All",F161=sel_Customer),OR(sel_Category="All",G161=sel_Category),OR(sel_Product="All",H161=sel_Product)),1,0)</f>
        <v/>
      </c>
    </row>
    <row r="162">
      <c r="A162" s="36" t="inlineStr">
        <is>
          <t>02014</t>
        </is>
      </c>
      <c r="B162" s="44" t="n">
        <v>46055</v>
      </c>
      <c r="C162" s="36" t="inlineStr">
        <is>
          <t>Central Europe</t>
        </is>
      </c>
      <c r="D162" s="36" t="inlineStr">
        <is>
          <t>Switzerland</t>
        </is>
      </c>
      <c r="E162" s="36" t="inlineStr">
        <is>
          <t>Marketplace</t>
        </is>
      </c>
      <c r="F162" s="36" t="inlineStr">
        <is>
          <t>New</t>
        </is>
      </c>
      <c r="G162" s="36" t="inlineStr">
        <is>
          <t>Camping</t>
        </is>
      </c>
      <c r="H162" s="36" t="inlineStr">
        <is>
          <t>Compact Sleeping Bag</t>
        </is>
      </c>
      <c r="I162" s="36" t="n">
        <v>1</v>
      </c>
      <c r="J162" s="39" t="n">
        <v>123.95</v>
      </c>
      <c r="K162" s="45" t="n">
        <v>0</v>
      </c>
      <c r="L162" s="39" t="n">
        <v>61.32</v>
      </c>
      <c r="M162" s="39">
        <f>I162*J162*(1-K162)</f>
        <v/>
      </c>
      <c r="N162" s="39">
        <f>I162*L162</f>
        <v/>
      </c>
      <c r="O162" s="39">
        <f>M162-N162</f>
        <v/>
      </c>
      <c r="P162" s="38">
        <f>IF(M162=0,0,O162/M162)</f>
        <v/>
      </c>
      <c r="Q162" s="36">
        <f>YEAR(B162)</f>
        <v/>
      </c>
      <c r="R162" s="36">
        <f>"Q"&amp;ROUNDUP(MONTH(B162)/3,0)</f>
        <v/>
      </c>
      <c r="S162" s="36">
        <f>MONTH(B162)</f>
        <v/>
      </c>
      <c r="T162" s="36">
        <f>TEXT(B162,"mmm")</f>
        <v/>
      </c>
      <c r="U162" s="36">
        <f>IF(AND(OR(sel_Region="All",C162=sel_Region),OR(sel_Country="All",D162=sel_Country),OR(sel_Channel="All",E162=sel_Channel),OR(sel_Customer="All",F162=sel_Customer),OR(sel_Category="All",G162=sel_Category),OR(sel_Product="All",H162=sel_Product),AND(S162&gt;=m_From,S162&lt;=m_To)),1,0)</f>
        <v/>
      </c>
      <c r="V162" s="36">
        <f>IF(AND(OR(sel_Region="All",C162=sel_Region),OR(sel_Channel="All",E162=sel_Channel),OR(sel_Customer="All",F162=sel_Customer),OR(sel_Category="All",G162=sel_Category),OR(sel_Product="All",H162=sel_Product),AND(S162&gt;=m_From,S162&lt;=m_To)),1,0)</f>
        <v/>
      </c>
      <c r="W162" s="36">
        <f>IF(AND(OR(sel_Region="All",C162=sel_Region),OR(sel_Country="All",D162=sel_Country),OR(sel_Customer="All",F162=sel_Customer),OR(sel_Category="All",G162=sel_Category),OR(sel_Product="All",H162=sel_Product),AND(S162&gt;=m_From,S162&lt;=m_To)),1,0)</f>
        <v/>
      </c>
      <c r="X162" s="36">
        <f>IF(AND(OR(sel_Region="All",C162=sel_Region),OR(sel_Country="All",D162=sel_Country),OR(sel_Channel="All",E162=sel_Channel),OR(sel_Category="All",G162=sel_Category),OR(sel_Product="All",H162=sel_Product),AND(S162&gt;=m_From,S162&lt;=m_To)),1,0)</f>
        <v/>
      </c>
      <c r="Y162" s="36">
        <f>IF(AND(OR(sel_Region="All",C162=sel_Region),OR(sel_Country="All",D162=sel_Country),OR(sel_Channel="All",E162=sel_Channel),OR(sel_Customer="All",F162=sel_Customer),OR(sel_Product="All",H162=sel_Product),AND(S162&gt;=m_From,S162&lt;=m_To)),1,0)</f>
        <v/>
      </c>
      <c r="Z162" s="36">
        <f>IF(AND(OR(sel_Region="All",C162=sel_Region),OR(sel_Country="All",D162=sel_Country),OR(sel_Channel="All",E162=sel_Channel),OR(sel_Customer="All",F162=sel_Customer),OR(sel_Category="All",G162=sel_Category),AND(S162&gt;=m_From,S162&lt;=m_To)),1,0)</f>
        <v/>
      </c>
      <c r="AA162" s="36">
        <f>IF(AND(OR(sel_Region="All",C162=sel_Region),OR(sel_Country="All",D162=sel_Country),OR(sel_Channel="All",E162=sel_Channel),OR(sel_Customer="All",F162=sel_Customer),OR(sel_Category="All",G162=sel_Category),OR(sel_Product="All",H162=sel_Product)),1,0)</f>
        <v/>
      </c>
    </row>
    <row r="163">
      <c r="A163" s="36" t="inlineStr">
        <is>
          <t>02642</t>
        </is>
      </c>
      <c r="B163" s="44" t="n">
        <v>46055</v>
      </c>
      <c r="C163" s="36" t="inlineStr">
        <is>
          <t>Central Europe</t>
        </is>
      </c>
      <c r="D163" s="36" t="inlineStr">
        <is>
          <t>Switzerland</t>
        </is>
      </c>
      <c r="E163" s="36" t="inlineStr">
        <is>
          <t>Marketplace</t>
        </is>
      </c>
      <c r="F163" s="36" t="inlineStr">
        <is>
          <t>Returning</t>
        </is>
      </c>
      <c r="G163" s="36" t="inlineStr">
        <is>
          <t>Camping</t>
        </is>
      </c>
      <c r="H163" s="36" t="inlineStr">
        <is>
          <t>Trail Tent 2P</t>
        </is>
      </c>
      <c r="I163" s="36" t="n">
        <v>3</v>
      </c>
      <c r="J163" s="39" t="n">
        <v>199.9</v>
      </c>
      <c r="K163" s="45" t="n">
        <v>0</v>
      </c>
      <c r="L163" s="39" t="n">
        <v>104.18</v>
      </c>
      <c r="M163" s="39">
        <f>I163*J163*(1-K163)</f>
        <v/>
      </c>
      <c r="N163" s="39">
        <f>I163*L163</f>
        <v/>
      </c>
      <c r="O163" s="39">
        <f>M163-N163</f>
        <v/>
      </c>
      <c r="P163" s="38">
        <f>IF(M163=0,0,O163/M163)</f>
        <v/>
      </c>
      <c r="Q163" s="36">
        <f>YEAR(B163)</f>
        <v/>
      </c>
      <c r="R163" s="36">
        <f>"Q"&amp;ROUNDUP(MONTH(B163)/3,0)</f>
        <v/>
      </c>
      <c r="S163" s="36">
        <f>MONTH(B163)</f>
        <v/>
      </c>
      <c r="T163" s="36">
        <f>TEXT(B163,"mmm")</f>
        <v/>
      </c>
      <c r="U163" s="36">
        <f>IF(AND(OR(sel_Region="All",C163=sel_Region),OR(sel_Country="All",D163=sel_Country),OR(sel_Channel="All",E163=sel_Channel),OR(sel_Customer="All",F163=sel_Customer),OR(sel_Category="All",G163=sel_Category),OR(sel_Product="All",H163=sel_Product),AND(S163&gt;=m_From,S163&lt;=m_To)),1,0)</f>
        <v/>
      </c>
      <c r="V163" s="36">
        <f>IF(AND(OR(sel_Region="All",C163=sel_Region),OR(sel_Channel="All",E163=sel_Channel),OR(sel_Customer="All",F163=sel_Customer),OR(sel_Category="All",G163=sel_Category),OR(sel_Product="All",H163=sel_Product),AND(S163&gt;=m_From,S163&lt;=m_To)),1,0)</f>
        <v/>
      </c>
      <c r="W163" s="36">
        <f>IF(AND(OR(sel_Region="All",C163=sel_Region),OR(sel_Country="All",D163=sel_Country),OR(sel_Customer="All",F163=sel_Customer),OR(sel_Category="All",G163=sel_Category),OR(sel_Product="All",H163=sel_Product),AND(S163&gt;=m_From,S163&lt;=m_To)),1,0)</f>
        <v/>
      </c>
      <c r="X163" s="36">
        <f>IF(AND(OR(sel_Region="All",C163=sel_Region),OR(sel_Country="All",D163=sel_Country),OR(sel_Channel="All",E163=sel_Channel),OR(sel_Category="All",G163=sel_Category),OR(sel_Product="All",H163=sel_Product),AND(S163&gt;=m_From,S163&lt;=m_To)),1,0)</f>
        <v/>
      </c>
      <c r="Y163" s="36">
        <f>IF(AND(OR(sel_Region="All",C163=sel_Region),OR(sel_Country="All",D163=sel_Country),OR(sel_Channel="All",E163=sel_Channel),OR(sel_Customer="All",F163=sel_Customer),OR(sel_Product="All",H163=sel_Product),AND(S163&gt;=m_From,S163&lt;=m_To)),1,0)</f>
        <v/>
      </c>
      <c r="Z163" s="36">
        <f>IF(AND(OR(sel_Region="All",C163=sel_Region),OR(sel_Country="All",D163=sel_Country),OR(sel_Channel="All",E163=sel_Channel),OR(sel_Customer="All",F163=sel_Customer),OR(sel_Category="All",G163=sel_Category),AND(S163&gt;=m_From,S163&lt;=m_To)),1,0)</f>
        <v/>
      </c>
      <c r="AA163" s="36">
        <f>IF(AND(OR(sel_Region="All",C163=sel_Region),OR(sel_Country="All",D163=sel_Country),OR(sel_Channel="All",E163=sel_Channel),OR(sel_Customer="All",F163=sel_Customer),OR(sel_Category="All",G163=sel_Category),OR(sel_Product="All",H163=sel_Product)),1,0)</f>
        <v/>
      </c>
    </row>
    <row r="164">
      <c r="A164" s="36" t="inlineStr">
        <is>
          <t>02929</t>
        </is>
      </c>
      <c r="B164" s="44" t="n">
        <v>46055</v>
      </c>
      <c r="C164" s="36" t="inlineStr">
        <is>
          <t>Central Europe</t>
        </is>
      </c>
      <c r="D164" s="36" t="inlineStr">
        <is>
          <t>Germany</t>
        </is>
      </c>
      <c r="E164" s="36" t="inlineStr">
        <is>
          <t>Marketplace</t>
        </is>
      </c>
      <c r="F164" s="36" t="inlineStr">
        <is>
          <t>Returning</t>
        </is>
      </c>
      <c r="G164" s="36" t="inlineStr">
        <is>
          <t>Hiking</t>
        </is>
      </c>
      <c r="H164" s="36" t="inlineStr">
        <is>
          <t>Hiking Daypack 20L</t>
        </is>
      </c>
      <c r="I164" s="36" t="n">
        <v>1</v>
      </c>
      <c r="J164" s="39" t="n">
        <v>93.78</v>
      </c>
      <c r="K164" s="45" t="n">
        <v>0</v>
      </c>
      <c r="L164" s="39" t="n">
        <v>44.21</v>
      </c>
      <c r="M164" s="39">
        <f>I164*J164*(1-K164)</f>
        <v/>
      </c>
      <c r="N164" s="39">
        <f>I164*L164</f>
        <v/>
      </c>
      <c r="O164" s="39">
        <f>M164-N164</f>
        <v/>
      </c>
      <c r="P164" s="38">
        <f>IF(M164=0,0,O164/M164)</f>
        <v/>
      </c>
      <c r="Q164" s="36">
        <f>YEAR(B164)</f>
        <v/>
      </c>
      <c r="R164" s="36">
        <f>"Q"&amp;ROUNDUP(MONTH(B164)/3,0)</f>
        <v/>
      </c>
      <c r="S164" s="36">
        <f>MONTH(B164)</f>
        <v/>
      </c>
      <c r="T164" s="36">
        <f>TEXT(B164,"mmm")</f>
        <v/>
      </c>
      <c r="U164" s="36">
        <f>IF(AND(OR(sel_Region="All",C164=sel_Region),OR(sel_Country="All",D164=sel_Country),OR(sel_Channel="All",E164=sel_Channel),OR(sel_Customer="All",F164=sel_Customer),OR(sel_Category="All",G164=sel_Category),OR(sel_Product="All",H164=sel_Product),AND(S164&gt;=m_From,S164&lt;=m_To)),1,0)</f>
        <v/>
      </c>
      <c r="V164" s="36">
        <f>IF(AND(OR(sel_Region="All",C164=sel_Region),OR(sel_Channel="All",E164=sel_Channel),OR(sel_Customer="All",F164=sel_Customer),OR(sel_Category="All",G164=sel_Category),OR(sel_Product="All",H164=sel_Product),AND(S164&gt;=m_From,S164&lt;=m_To)),1,0)</f>
        <v/>
      </c>
      <c r="W164" s="36">
        <f>IF(AND(OR(sel_Region="All",C164=sel_Region),OR(sel_Country="All",D164=sel_Country),OR(sel_Customer="All",F164=sel_Customer),OR(sel_Category="All",G164=sel_Category),OR(sel_Product="All",H164=sel_Product),AND(S164&gt;=m_From,S164&lt;=m_To)),1,0)</f>
        <v/>
      </c>
      <c r="X164" s="36">
        <f>IF(AND(OR(sel_Region="All",C164=sel_Region),OR(sel_Country="All",D164=sel_Country),OR(sel_Channel="All",E164=sel_Channel),OR(sel_Category="All",G164=sel_Category),OR(sel_Product="All",H164=sel_Product),AND(S164&gt;=m_From,S164&lt;=m_To)),1,0)</f>
        <v/>
      </c>
      <c r="Y164" s="36">
        <f>IF(AND(OR(sel_Region="All",C164=sel_Region),OR(sel_Country="All",D164=sel_Country),OR(sel_Channel="All",E164=sel_Channel),OR(sel_Customer="All",F164=sel_Customer),OR(sel_Product="All",H164=sel_Product),AND(S164&gt;=m_From,S164&lt;=m_To)),1,0)</f>
        <v/>
      </c>
      <c r="Z164" s="36">
        <f>IF(AND(OR(sel_Region="All",C164=sel_Region),OR(sel_Country="All",D164=sel_Country),OR(sel_Channel="All",E164=sel_Channel),OR(sel_Customer="All",F164=sel_Customer),OR(sel_Category="All",G164=sel_Category),AND(S164&gt;=m_From,S164&lt;=m_To)),1,0)</f>
        <v/>
      </c>
      <c r="AA164" s="36">
        <f>IF(AND(OR(sel_Region="All",C164=sel_Region),OR(sel_Country="All",D164=sel_Country),OR(sel_Channel="All",E164=sel_Channel),OR(sel_Customer="All",F164=sel_Customer),OR(sel_Category="All",G164=sel_Category),OR(sel_Product="All",H164=sel_Product)),1,0)</f>
        <v/>
      </c>
    </row>
    <row r="165">
      <c r="A165" s="36" t="inlineStr">
        <is>
          <t>03855</t>
        </is>
      </c>
      <c r="B165" s="44" t="n">
        <v>46055</v>
      </c>
      <c r="C165" s="36" t="inlineStr">
        <is>
          <t>Southern Europe</t>
        </is>
      </c>
      <c r="D165" s="36" t="inlineStr">
        <is>
          <t>Spain</t>
        </is>
      </c>
      <c r="E165" s="36" t="inlineStr">
        <is>
          <t>Online Store</t>
        </is>
      </c>
      <c r="F165" s="36" t="inlineStr">
        <is>
          <t>Business</t>
        </is>
      </c>
      <c r="G165" s="36" t="inlineStr">
        <is>
          <t>Fitness</t>
        </is>
      </c>
      <c r="H165" s="36" t="inlineStr">
        <is>
          <t>Resistance Band Set</t>
        </is>
      </c>
      <c r="I165" s="36" t="n">
        <v>1</v>
      </c>
      <c r="J165" s="39" t="n">
        <v>39.39</v>
      </c>
      <c r="K165" s="45" t="n">
        <v>0.1</v>
      </c>
      <c r="L165" s="39" t="n">
        <v>15.09</v>
      </c>
      <c r="M165" s="39">
        <f>I165*J165*(1-K165)</f>
        <v/>
      </c>
      <c r="N165" s="39">
        <f>I165*L165</f>
        <v/>
      </c>
      <c r="O165" s="39">
        <f>M165-N165</f>
        <v/>
      </c>
      <c r="P165" s="38">
        <f>IF(M165=0,0,O165/M165)</f>
        <v/>
      </c>
      <c r="Q165" s="36">
        <f>YEAR(B165)</f>
        <v/>
      </c>
      <c r="R165" s="36">
        <f>"Q"&amp;ROUNDUP(MONTH(B165)/3,0)</f>
        <v/>
      </c>
      <c r="S165" s="36">
        <f>MONTH(B165)</f>
        <v/>
      </c>
      <c r="T165" s="36">
        <f>TEXT(B165,"mmm")</f>
        <v/>
      </c>
      <c r="U165" s="36">
        <f>IF(AND(OR(sel_Region="All",C165=sel_Region),OR(sel_Country="All",D165=sel_Country),OR(sel_Channel="All",E165=sel_Channel),OR(sel_Customer="All",F165=sel_Customer),OR(sel_Category="All",G165=sel_Category),OR(sel_Product="All",H165=sel_Product),AND(S165&gt;=m_From,S165&lt;=m_To)),1,0)</f>
        <v/>
      </c>
      <c r="V165" s="36">
        <f>IF(AND(OR(sel_Region="All",C165=sel_Region),OR(sel_Channel="All",E165=sel_Channel),OR(sel_Customer="All",F165=sel_Customer),OR(sel_Category="All",G165=sel_Category),OR(sel_Product="All",H165=sel_Product),AND(S165&gt;=m_From,S165&lt;=m_To)),1,0)</f>
        <v/>
      </c>
      <c r="W165" s="36">
        <f>IF(AND(OR(sel_Region="All",C165=sel_Region),OR(sel_Country="All",D165=sel_Country),OR(sel_Customer="All",F165=sel_Customer),OR(sel_Category="All",G165=sel_Category),OR(sel_Product="All",H165=sel_Product),AND(S165&gt;=m_From,S165&lt;=m_To)),1,0)</f>
        <v/>
      </c>
      <c r="X165" s="36">
        <f>IF(AND(OR(sel_Region="All",C165=sel_Region),OR(sel_Country="All",D165=sel_Country),OR(sel_Channel="All",E165=sel_Channel),OR(sel_Category="All",G165=sel_Category),OR(sel_Product="All",H165=sel_Product),AND(S165&gt;=m_From,S165&lt;=m_To)),1,0)</f>
        <v/>
      </c>
      <c r="Y165" s="36">
        <f>IF(AND(OR(sel_Region="All",C165=sel_Region),OR(sel_Country="All",D165=sel_Country),OR(sel_Channel="All",E165=sel_Channel),OR(sel_Customer="All",F165=sel_Customer),OR(sel_Product="All",H165=sel_Product),AND(S165&gt;=m_From,S165&lt;=m_To)),1,0)</f>
        <v/>
      </c>
      <c r="Z165" s="36">
        <f>IF(AND(OR(sel_Region="All",C165=sel_Region),OR(sel_Country="All",D165=sel_Country),OR(sel_Channel="All",E165=sel_Channel),OR(sel_Customer="All",F165=sel_Customer),OR(sel_Category="All",G165=sel_Category),AND(S165&gt;=m_From,S165&lt;=m_To)),1,0)</f>
        <v/>
      </c>
      <c r="AA165" s="36">
        <f>IF(AND(OR(sel_Region="All",C165=sel_Region),OR(sel_Country="All",D165=sel_Country),OR(sel_Channel="All",E165=sel_Channel),OR(sel_Customer="All",F165=sel_Customer),OR(sel_Category="All",G165=sel_Category),OR(sel_Product="All",H165=sel_Product)),1,0)</f>
        <v/>
      </c>
    </row>
    <row r="166">
      <c r="A166" s="36" t="inlineStr">
        <is>
          <t>04031</t>
        </is>
      </c>
      <c r="B166" s="44" t="n">
        <v>46055</v>
      </c>
      <c r="C166" s="36" t="inlineStr">
        <is>
          <t>Southern Europe</t>
        </is>
      </c>
      <c r="D166" s="36" t="inlineStr">
        <is>
          <t>Spain</t>
        </is>
      </c>
      <c r="E166" s="36" t="inlineStr">
        <is>
          <t>Online Store</t>
        </is>
      </c>
      <c r="F166" s="36" t="inlineStr">
        <is>
          <t>New</t>
        </is>
      </c>
      <c r="G166" s="36" t="inlineStr">
        <is>
          <t>Cycling</t>
        </is>
      </c>
      <c r="H166" s="36" t="inlineStr">
        <is>
          <t>Cycling Pack 12L</t>
        </is>
      </c>
      <c r="I166" s="36" t="n">
        <v>6</v>
      </c>
      <c r="J166" s="39" t="n">
        <v>101.64</v>
      </c>
      <c r="K166" s="45" t="n">
        <v>0</v>
      </c>
      <c r="L166" s="39" t="n">
        <v>51.06</v>
      </c>
      <c r="M166" s="39">
        <f>I166*J166*(1-K166)</f>
        <v/>
      </c>
      <c r="N166" s="39">
        <f>I166*L166</f>
        <v/>
      </c>
      <c r="O166" s="39">
        <f>M166-N166</f>
        <v/>
      </c>
      <c r="P166" s="38">
        <f>IF(M166=0,0,O166/M166)</f>
        <v/>
      </c>
      <c r="Q166" s="36">
        <f>YEAR(B166)</f>
        <v/>
      </c>
      <c r="R166" s="36">
        <f>"Q"&amp;ROUNDUP(MONTH(B166)/3,0)</f>
        <v/>
      </c>
      <c r="S166" s="36">
        <f>MONTH(B166)</f>
        <v/>
      </c>
      <c r="T166" s="36">
        <f>TEXT(B166,"mmm")</f>
        <v/>
      </c>
      <c r="U166" s="36">
        <f>IF(AND(OR(sel_Region="All",C166=sel_Region),OR(sel_Country="All",D166=sel_Country),OR(sel_Channel="All",E166=sel_Channel),OR(sel_Customer="All",F166=sel_Customer),OR(sel_Category="All",G166=sel_Category),OR(sel_Product="All",H166=sel_Product),AND(S166&gt;=m_From,S166&lt;=m_To)),1,0)</f>
        <v/>
      </c>
      <c r="V166" s="36">
        <f>IF(AND(OR(sel_Region="All",C166=sel_Region),OR(sel_Channel="All",E166=sel_Channel),OR(sel_Customer="All",F166=sel_Customer),OR(sel_Category="All",G166=sel_Category),OR(sel_Product="All",H166=sel_Product),AND(S166&gt;=m_From,S166&lt;=m_To)),1,0)</f>
        <v/>
      </c>
      <c r="W166" s="36">
        <f>IF(AND(OR(sel_Region="All",C166=sel_Region),OR(sel_Country="All",D166=sel_Country),OR(sel_Customer="All",F166=sel_Customer),OR(sel_Category="All",G166=sel_Category),OR(sel_Product="All",H166=sel_Product),AND(S166&gt;=m_From,S166&lt;=m_To)),1,0)</f>
        <v/>
      </c>
      <c r="X166" s="36">
        <f>IF(AND(OR(sel_Region="All",C166=sel_Region),OR(sel_Country="All",D166=sel_Country),OR(sel_Channel="All",E166=sel_Channel),OR(sel_Category="All",G166=sel_Category),OR(sel_Product="All",H166=sel_Product),AND(S166&gt;=m_From,S166&lt;=m_To)),1,0)</f>
        <v/>
      </c>
      <c r="Y166" s="36">
        <f>IF(AND(OR(sel_Region="All",C166=sel_Region),OR(sel_Country="All",D166=sel_Country),OR(sel_Channel="All",E166=sel_Channel),OR(sel_Customer="All",F166=sel_Customer),OR(sel_Product="All",H166=sel_Product),AND(S166&gt;=m_From,S166&lt;=m_To)),1,0)</f>
        <v/>
      </c>
      <c r="Z166" s="36">
        <f>IF(AND(OR(sel_Region="All",C166=sel_Region),OR(sel_Country="All",D166=sel_Country),OR(sel_Channel="All",E166=sel_Channel),OR(sel_Customer="All",F166=sel_Customer),OR(sel_Category="All",G166=sel_Category),AND(S166&gt;=m_From,S166&lt;=m_To)),1,0)</f>
        <v/>
      </c>
      <c r="AA166" s="36">
        <f>IF(AND(OR(sel_Region="All",C166=sel_Region),OR(sel_Country="All",D166=sel_Country),OR(sel_Channel="All",E166=sel_Channel),OR(sel_Customer="All",F166=sel_Customer),OR(sel_Category="All",G166=sel_Category),OR(sel_Product="All",H166=sel_Product)),1,0)</f>
        <v/>
      </c>
    </row>
    <row r="167">
      <c r="A167" s="36" t="inlineStr">
        <is>
          <t>00002</t>
        </is>
      </c>
      <c r="B167" s="44" t="n">
        <v>46056</v>
      </c>
      <c r="C167" s="36" t="inlineStr">
        <is>
          <t>Southern Europe</t>
        </is>
      </c>
      <c r="D167" s="36" t="inlineStr">
        <is>
          <t>Spain</t>
        </is>
      </c>
      <c r="E167" s="36" t="inlineStr">
        <is>
          <t>Corporate</t>
        </is>
      </c>
      <c r="F167" s="36" t="inlineStr">
        <is>
          <t>Business</t>
        </is>
      </c>
      <c r="G167" s="36" t="inlineStr">
        <is>
          <t>Fitness</t>
        </is>
      </c>
      <c r="H167" s="36" t="inlineStr">
        <is>
          <t>Recovery Roller</t>
        </is>
      </c>
      <c r="I167" s="36" t="n">
        <v>12</v>
      </c>
      <c r="J167" s="39" t="n">
        <v>36.74</v>
      </c>
      <c r="K167" s="45" t="n">
        <v>0.2</v>
      </c>
      <c r="L167" s="39" t="n">
        <v>13.53</v>
      </c>
      <c r="M167" s="39">
        <f>I167*J167*(1-K167)</f>
        <v/>
      </c>
      <c r="N167" s="39">
        <f>I167*L167</f>
        <v/>
      </c>
      <c r="O167" s="39">
        <f>M167-N167</f>
        <v/>
      </c>
      <c r="P167" s="38">
        <f>IF(M167=0,0,O167/M167)</f>
        <v/>
      </c>
      <c r="Q167" s="36">
        <f>YEAR(B167)</f>
        <v/>
      </c>
      <c r="R167" s="36">
        <f>"Q"&amp;ROUNDUP(MONTH(B167)/3,0)</f>
        <v/>
      </c>
      <c r="S167" s="36">
        <f>MONTH(B167)</f>
        <v/>
      </c>
      <c r="T167" s="36">
        <f>TEXT(B167,"mmm")</f>
        <v/>
      </c>
      <c r="U167" s="36">
        <f>IF(AND(OR(sel_Region="All",C167=sel_Region),OR(sel_Country="All",D167=sel_Country),OR(sel_Channel="All",E167=sel_Channel),OR(sel_Customer="All",F167=sel_Customer),OR(sel_Category="All",G167=sel_Category),OR(sel_Product="All",H167=sel_Product),AND(S167&gt;=m_From,S167&lt;=m_To)),1,0)</f>
        <v/>
      </c>
      <c r="V167" s="36">
        <f>IF(AND(OR(sel_Region="All",C167=sel_Region),OR(sel_Channel="All",E167=sel_Channel),OR(sel_Customer="All",F167=sel_Customer),OR(sel_Category="All",G167=sel_Category),OR(sel_Product="All",H167=sel_Product),AND(S167&gt;=m_From,S167&lt;=m_To)),1,0)</f>
        <v/>
      </c>
      <c r="W167" s="36">
        <f>IF(AND(OR(sel_Region="All",C167=sel_Region),OR(sel_Country="All",D167=sel_Country),OR(sel_Customer="All",F167=sel_Customer),OR(sel_Category="All",G167=sel_Category),OR(sel_Product="All",H167=sel_Product),AND(S167&gt;=m_From,S167&lt;=m_To)),1,0)</f>
        <v/>
      </c>
      <c r="X167" s="36">
        <f>IF(AND(OR(sel_Region="All",C167=sel_Region),OR(sel_Country="All",D167=sel_Country),OR(sel_Channel="All",E167=sel_Channel),OR(sel_Category="All",G167=sel_Category),OR(sel_Product="All",H167=sel_Product),AND(S167&gt;=m_From,S167&lt;=m_To)),1,0)</f>
        <v/>
      </c>
      <c r="Y167" s="36">
        <f>IF(AND(OR(sel_Region="All",C167=sel_Region),OR(sel_Country="All",D167=sel_Country),OR(sel_Channel="All",E167=sel_Channel),OR(sel_Customer="All",F167=sel_Customer),OR(sel_Product="All",H167=sel_Product),AND(S167&gt;=m_From,S167&lt;=m_To)),1,0)</f>
        <v/>
      </c>
      <c r="Z167" s="36">
        <f>IF(AND(OR(sel_Region="All",C167=sel_Region),OR(sel_Country="All",D167=sel_Country),OR(sel_Channel="All",E167=sel_Channel),OR(sel_Customer="All",F167=sel_Customer),OR(sel_Category="All",G167=sel_Category),AND(S167&gt;=m_From,S167&lt;=m_To)),1,0)</f>
        <v/>
      </c>
      <c r="AA167" s="36">
        <f>IF(AND(OR(sel_Region="All",C167=sel_Region),OR(sel_Country="All",D167=sel_Country),OR(sel_Channel="All",E167=sel_Channel),OR(sel_Customer="All",F167=sel_Customer),OR(sel_Category="All",G167=sel_Category),OR(sel_Product="All",H167=sel_Product)),1,0)</f>
        <v/>
      </c>
    </row>
    <row r="168">
      <c r="A168" s="36" t="inlineStr">
        <is>
          <t>04228</t>
        </is>
      </c>
      <c r="B168" s="44" t="n">
        <v>46056</v>
      </c>
      <c r="C168" s="36" t="inlineStr">
        <is>
          <t>Western Europe</t>
        </is>
      </c>
      <c r="D168" s="36" t="inlineStr">
        <is>
          <t>United Kingdom</t>
        </is>
      </c>
      <c r="E168" s="36" t="inlineStr">
        <is>
          <t>Retail Partners</t>
        </is>
      </c>
      <c r="F168" s="36" t="inlineStr">
        <is>
          <t>New</t>
        </is>
      </c>
      <c r="G168" s="36" t="inlineStr">
        <is>
          <t>Hiking</t>
        </is>
      </c>
      <c r="H168" s="36" t="inlineStr">
        <is>
          <t>Summit Backpack 45L</t>
        </is>
      </c>
      <c r="I168" s="36" t="n">
        <v>2</v>
      </c>
      <c r="J168" s="39" t="n">
        <v>154.62</v>
      </c>
      <c r="K168" s="45" t="n">
        <v>0</v>
      </c>
      <c r="L168" s="39" t="n">
        <v>78.20999999999999</v>
      </c>
      <c r="M168" s="39">
        <f>I168*J168*(1-K168)</f>
        <v/>
      </c>
      <c r="N168" s="39">
        <f>I168*L168</f>
        <v/>
      </c>
      <c r="O168" s="39">
        <f>M168-N168</f>
        <v/>
      </c>
      <c r="P168" s="38">
        <f>IF(M168=0,0,O168/M168)</f>
        <v/>
      </c>
      <c r="Q168" s="36">
        <f>YEAR(B168)</f>
        <v/>
      </c>
      <c r="R168" s="36">
        <f>"Q"&amp;ROUNDUP(MONTH(B168)/3,0)</f>
        <v/>
      </c>
      <c r="S168" s="36">
        <f>MONTH(B168)</f>
        <v/>
      </c>
      <c r="T168" s="36">
        <f>TEXT(B168,"mmm")</f>
        <v/>
      </c>
      <c r="U168" s="36">
        <f>IF(AND(OR(sel_Region="All",C168=sel_Region),OR(sel_Country="All",D168=sel_Country),OR(sel_Channel="All",E168=sel_Channel),OR(sel_Customer="All",F168=sel_Customer),OR(sel_Category="All",G168=sel_Category),OR(sel_Product="All",H168=sel_Product),AND(S168&gt;=m_From,S168&lt;=m_To)),1,0)</f>
        <v/>
      </c>
      <c r="V168" s="36">
        <f>IF(AND(OR(sel_Region="All",C168=sel_Region),OR(sel_Channel="All",E168=sel_Channel),OR(sel_Customer="All",F168=sel_Customer),OR(sel_Category="All",G168=sel_Category),OR(sel_Product="All",H168=sel_Product),AND(S168&gt;=m_From,S168&lt;=m_To)),1,0)</f>
        <v/>
      </c>
      <c r="W168" s="36">
        <f>IF(AND(OR(sel_Region="All",C168=sel_Region),OR(sel_Country="All",D168=sel_Country),OR(sel_Customer="All",F168=sel_Customer),OR(sel_Category="All",G168=sel_Category),OR(sel_Product="All",H168=sel_Product),AND(S168&gt;=m_From,S168&lt;=m_To)),1,0)</f>
        <v/>
      </c>
      <c r="X168" s="36">
        <f>IF(AND(OR(sel_Region="All",C168=sel_Region),OR(sel_Country="All",D168=sel_Country),OR(sel_Channel="All",E168=sel_Channel),OR(sel_Category="All",G168=sel_Category),OR(sel_Product="All",H168=sel_Product),AND(S168&gt;=m_From,S168&lt;=m_To)),1,0)</f>
        <v/>
      </c>
      <c r="Y168" s="36">
        <f>IF(AND(OR(sel_Region="All",C168=sel_Region),OR(sel_Country="All",D168=sel_Country),OR(sel_Channel="All",E168=sel_Channel),OR(sel_Customer="All",F168=sel_Customer),OR(sel_Product="All",H168=sel_Product),AND(S168&gt;=m_From,S168&lt;=m_To)),1,0)</f>
        <v/>
      </c>
      <c r="Z168" s="36">
        <f>IF(AND(OR(sel_Region="All",C168=sel_Region),OR(sel_Country="All",D168=sel_Country),OR(sel_Channel="All",E168=sel_Channel),OR(sel_Customer="All",F168=sel_Customer),OR(sel_Category="All",G168=sel_Category),AND(S168&gt;=m_From,S168&lt;=m_To)),1,0)</f>
        <v/>
      </c>
      <c r="AA168" s="36">
        <f>IF(AND(OR(sel_Region="All",C168=sel_Region),OR(sel_Country="All",D168=sel_Country),OR(sel_Channel="All",E168=sel_Channel),OR(sel_Customer="All",F168=sel_Customer),OR(sel_Category="All",G168=sel_Category),OR(sel_Product="All",H168=sel_Product)),1,0)</f>
        <v/>
      </c>
    </row>
    <row r="169">
      <c r="A169" s="36" t="inlineStr">
        <is>
          <t>00928</t>
        </is>
      </c>
      <c r="B169" s="44" t="n">
        <v>46057</v>
      </c>
      <c r="C169" s="36" t="inlineStr">
        <is>
          <t>Southern Europe</t>
        </is>
      </c>
      <c r="D169" s="36" t="inlineStr">
        <is>
          <t>Spain</t>
        </is>
      </c>
      <c r="E169" s="36" t="inlineStr">
        <is>
          <t>Marketplace</t>
        </is>
      </c>
      <c r="F169" s="36" t="inlineStr">
        <is>
          <t>New</t>
        </is>
      </c>
      <c r="G169" s="36" t="inlineStr">
        <is>
          <t>Camping</t>
        </is>
      </c>
      <c r="H169" s="36" t="inlineStr">
        <is>
          <t>Compact Sleeping Bag</t>
        </is>
      </c>
      <c r="I169" s="36" t="n">
        <v>1</v>
      </c>
      <c r="J169" s="39" t="n">
        <v>125.63</v>
      </c>
      <c r="K169" s="45" t="n">
        <v>0.1</v>
      </c>
      <c r="L169" s="39" t="n">
        <v>60.38</v>
      </c>
      <c r="M169" s="39">
        <f>I169*J169*(1-K169)</f>
        <v/>
      </c>
      <c r="N169" s="39">
        <f>I169*L169</f>
        <v/>
      </c>
      <c r="O169" s="39">
        <f>M169-N169</f>
        <v/>
      </c>
      <c r="P169" s="38">
        <f>IF(M169=0,0,O169/M169)</f>
        <v/>
      </c>
      <c r="Q169" s="36">
        <f>YEAR(B169)</f>
        <v/>
      </c>
      <c r="R169" s="36">
        <f>"Q"&amp;ROUNDUP(MONTH(B169)/3,0)</f>
        <v/>
      </c>
      <c r="S169" s="36">
        <f>MONTH(B169)</f>
        <v/>
      </c>
      <c r="T169" s="36">
        <f>TEXT(B169,"mmm")</f>
        <v/>
      </c>
      <c r="U169" s="36">
        <f>IF(AND(OR(sel_Region="All",C169=sel_Region),OR(sel_Country="All",D169=sel_Country),OR(sel_Channel="All",E169=sel_Channel),OR(sel_Customer="All",F169=sel_Customer),OR(sel_Category="All",G169=sel_Category),OR(sel_Product="All",H169=sel_Product),AND(S169&gt;=m_From,S169&lt;=m_To)),1,0)</f>
        <v/>
      </c>
      <c r="V169" s="36">
        <f>IF(AND(OR(sel_Region="All",C169=sel_Region),OR(sel_Channel="All",E169=sel_Channel),OR(sel_Customer="All",F169=sel_Customer),OR(sel_Category="All",G169=sel_Category),OR(sel_Product="All",H169=sel_Product),AND(S169&gt;=m_From,S169&lt;=m_To)),1,0)</f>
        <v/>
      </c>
      <c r="W169" s="36">
        <f>IF(AND(OR(sel_Region="All",C169=sel_Region),OR(sel_Country="All",D169=sel_Country),OR(sel_Customer="All",F169=sel_Customer),OR(sel_Category="All",G169=sel_Category),OR(sel_Product="All",H169=sel_Product),AND(S169&gt;=m_From,S169&lt;=m_To)),1,0)</f>
        <v/>
      </c>
      <c r="X169" s="36">
        <f>IF(AND(OR(sel_Region="All",C169=sel_Region),OR(sel_Country="All",D169=sel_Country),OR(sel_Channel="All",E169=sel_Channel),OR(sel_Category="All",G169=sel_Category),OR(sel_Product="All",H169=sel_Product),AND(S169&gt;=m_From,S169&lt;=m_To)),1,0)</f>
        <v/>
      </c>
      <c r="Y169" s="36">
        <f>IF(AND(OR(sel_Region="All",C169=sel_Region),OR(sel_Country="All",D169=sel_Country),OR(sel_Channel="All",E169=sel_Channel),OR(sel_Customer="All",F169=sel_Customer),OR(sel_Product="All",H169=sel_Product),AND(S169&gt;=m_From,S169&lt;=m_To)),1,0)</f>
        <v/>
      </c>
      <c r="Z169" s="36">
        <f>IF(AND(OR(sel_Region="All",C169=sel_Region),OR(sel_Country="All",D169=sel_Country),OR(sel_Channel="All",E169=sel_Channel),OR(sel_Customer="All",F169=sel_Customer),OR(sel_Category="All",G169=sel_Category),AND(S169&gt;=m_From,S169&lt;=m_To)),1,0)</f>
        <v/>
      </c>
      <c r="AA169" s="36">
        <f>IF(AND(OR(sel_Region="All",C169=sel_Region),OR(sel_Country="All",D169=sel_Country),OR(sel_Channel="All",E169=sel_Channel),OR(sel_Customer="All",F169=sel_Customer),OR(sel_Category="All",G169=sel_Category),OR(sel_Product="All",H169=sel_Product)),1,0)</f>
        <v/>
      </c>
    </row>
    <row r="170">
      <c r="A170" s="36" t="inlineStr">
        <is>
          <t>00933</t>
        </is>
      </c>
      <c r="B170" s="44" t="n">
        <v>46057</v>
      </c>
      <c r="C170" s="36" t="inlineStr">
        <is>
          <t>Central Europe</t>
        </is>
      </c>
      <c r="D170" s="36" t="inlineStr">
        <is>
          <t>Switzerland</t>
        </is>
      </c>
      <c r="E170" s="36" t="inlineStr">
        <is>
          <t>Online Store</t>
        </is>
      </c>
      <c r="F170" s="36" t="inlineStr">
        <is>
          <t>New</t>
        </is>
      </c>
      <c r="G170" s="36" t="inlineStr">
        <is>
          <t>Camping</t>
        </is>
      </c>
      <c r="H170" s="36" t="inlineStr">
        <is>
          <t>Portable Camp Stove</t>
        </is>
      </c>
      <c r="I170" s="36" t="n">
        <v>2</v>
      </c>
      <c r="J170" s="39" t="n">
        <v>81.59</v>
      </c>
      <c r="K170" s="45" t="n">
        <v>0.1</v>
      </c>
      <c r="L170" s="39" t="n">
        <v>38.64</v>
      </c>
      <c r="M170" s="39">
        <f>I170*J170*(1-K170)</f>
        <v/>
      </c>
      <c r="N170" s="39">
        <f>I170*L170</f>
        <v/>
      </c>
      <c r="O170" s="39">
        <f>M170-N170</f>
        <v/>
      </c>
      <c r="P170" s="38">
        <f>IF(M170=0,0,O170/M170)</f>
        <v/>
      </c>
      <c r="Q170" s="36">
        <f>YEAR(B170)</f>
        <v/>
      </c>
      <c r="R170" s="36">
        <f>"Q"&amp;ROUNDUP(MONTH(B170)/3,0)</f>
        <v/>
      </c>
      <c r="S170" s="36">
        <f>MONTH(B170)</f>
        <v/>
      </c>
      <c r="T170" s="36">
        <f>TEXT(B170,"mmm")</f>
        <v/>
      </c>
      <c r="U170" s="36">
        <f>IF(AND(OR(sel_Region="All",C170=sel_Region),OR(sel_Country="All",D170=sel_Country),OR(sel_Channel="All",E170=sel_Channel),OR(sel_Customer="All",F170=sel_Customer),OR(sel_Category="All",G170=sel_Category),OR(sel_Product="All",H170=sel_Product),AND(S170&gt;=m_From,S170&lt;=m_To)),1,0)</f>
        <v/>
      </c>
      <c r="V170" s="36">
        <f>IF(AND(OR(sel_Region="All",C170=sel_Region),OR(sel_Channel="All",E170=sel_Channel),OR(sel_Customer="All",F170=sel_Customer),OR(sel_Category="All",G170=sel_Category),OR(sel_Product="All",H170=sel_Product),AND(S170&gt;=m_From,S170&lt;=m_To)),1,0)</f>
        <v/>
      </c>
      <c r="W170" s="36">
        <f>IF(AND(OR(sel_Region="All",C170=sel_Region),OR(sel_Country="All",D170=sel_Country),OR(sel_Customer="All",F170=sel_Customer),OR(sel_Category="All",G170=sel_Category),OR(sel_Product="All",H170=sel_Product),AND(S170&gt;=m_From,S170&lt;=m_To)),1,0)</f>
        <v/>
      </c>
      <c r="X170" s="36">
        <f>IF(AND(OR(sel_Region="All",C170=sel_Region),OR(sel_Country="All",D170=sel_Country),OR(sel_Channel="All",E170=sel_Channel),OR(sel_Category="All",G170=sel_Category),OR(sel_Product="All",H170=sel_Product),AND(S170&gt;=m_From,S170&lt;=m_To)),1,0)</f>
        <v/>
      </c>
      <c r="Y170" s="36">
        <f>IF(AND(OR(sel_Region="All",C170=sel_Region),OR(sel_Country="All",D170=sel_Country),OR(sel_Channel="All",E170=sel_Channel),OR(sel_Customer="All",F170=sel_Customer),OR(sel_Product="All",H170=sel_Product),AND(S170&gt;=m_From,S170&lt;=m_To)),1,0)</f>
        <v/>
      </c>
      <c r="Z170" s="36">
        <f>IF(AND(OR(sel_Region="All",C170=sel_Region),OR(sel_Country="All",D170=sel_Country),OR(sel_Channel="All",E170=sel_Channel),OR(sel_Customer="All",F170=sel_Customer),OR(sel_Category="All",G170=sel_Category),AND(S170&gt;=m_From,S170&lt;=m_To)),1,0)</f>
        <v/>
      </c>
      <c r="AA170" s="36">
        <f>IF(AND(OR(sel_Region="All",C170=sel_Region),OR(sel_Country="All",D170=sel_Country),OR(sel_Channel="All",E170=sel_Channel),OR(sel_Customer="All",F170=sel_Customer),OR(sel_Category="All",G170=sel_Category),OR(sel_Product="All",H170=sel_Product)),1,0)</f>
        <v/>
      </c>
    </row>
    <row r="171">
      <c r="A171" s="36" t="inlineStr">
        <is>
          <t>01646</t>
        </is>
      </c>
      <c r="B171" s="44" t="n">
        <v>46057</v>
      </c>
      <c r="C171" s="36" t="inlineStr">
        <is>
          <t>Northern Europe</t>
        </is>
      </c>
      <c r="D171" s="36" t="inlineStr">
        <is>
          <t>Denmark</t>
        </is>
      </c>
      <c r="E171" s="36" t="inlineStr">
        <is>
          <t>Online Store</t>
        </is>
      </c>
      <c r="F171" s="36" t="inlineStr">
        <is>
          <t>New</t>
        </is>
      </c>
      <c r="G171" s="36" t="inlineStr">
        <is>
          <t>Travel</t>
        </is>
      </c>
      <c r="H171" s="36" t="inlineStr">
        <is>
          <t>Packing Cube Set</t>
        </is>
      </c>
      <c r="I171" s="36" t="n">
        <v>2</v>
      </c>
      <c r="J171" s="39" t="n">
        <v>45.81</v>
      </c>
      <c r="K171" s="45" t="n">
        <v>0.1</v>
      </c>
      <c r="L171" s="39" t="n">
        <v>18.42</v>
      </c>
      <c r="M171" s="39">
        <f>I171*J171*(1-K171)</f>
        <v/>
      </c>
      <c r="N171" s="39">
        <f>I171*L171</f>
        <v/>
      </c>
      <c r="O171" s="39">
        <f>M171-N171</f>
        <v/>
      </c>
      <c r="P171" s="38">
        <f>IF(M171=0,0,O171/M171)</f>
        <v/>
      </c>
      <c r="Q171" s="36">
        <f>YEAR(B171)</f>
        <v/>
      </c>
      <c r="R171" s="36">
        <f>"Q"&amp;ROUNDUP(MONTH(B171)/3,0)</f>
        <v/>
      </c>
      <c r="S171" s="36">
        <f>MONTH(B171)</f>
        <v/>
      </c>
      <c r="T171" s="36">
        <f>TEXT(B171,"mmm")</f>
        <v/>
      </c>
      <c r="U171" s="36">
        <f>IF(AND(OR(sel_Region="All",C171=sel_Region),OR(sel_Country="All",D171=sel_Country),OR(sel_Channel="All",E171=sel_Channel),OR(sel_Customer="All",F171=sel_Customer),OR(sel_Category="All",G171=sel_Category),OR(sel_Product="All",H171=sel_Product),AND(S171&gt;=m_From,S171&lt;=m_To)),1,0)</f>
        <v/>
      </c>
      <c r="V171" s="36">
        <f>IF(AND(OR(sel_Region="All",C171=sel_Region),OR(sel_Channel="All",E171=sel_Channel),OR(sel_Customer="All",F171=sel_Customer),OR(sel_Category="All",G171=sel_Category),OR(sel_Product="All",H171=sel_Product),AND(S171&gt;=m_From,S171&lt;=m_To)),1,0)</f>
        <v/>
      </c>
      <c r="W171" s="36">
        <f>IF(AND(OR(sel_Region="All",C171=sel_Region),OR(sel_Country="All",D171=sel_Country),OR(sel_Customer="All",F171=sel_Customer),OR(sel_Category="All",G171=sel_Category),OR(sel_Product="All",H171=sel_Product),AND(S171&gt;=m_From,S171&lt;=m_To)),1,0)</f>
        <v/>
      </c>
      <c r="X171" s="36">
        <f>IF(AND(OR(sel_Region="All",C171=sel_Region),OR(sel_Country="All",D171=sel_Country),OR(sel_Channel="All",E171=sel_Channel),OR(sel_Category="All",G171=sel_Category),OR(sel_Product="All",H171=sel_Product),AND(S171&gt;=m_From,S171&lt;=m_To)),1,0)</f>
        <v/>
      </c>
      <c r="Y171" s="36">
        <f>IF(AND(OR(sel_Region="All",C171=sel_Region),OR(sel_Country="All",D171=sel_Country),OR(sel_Channel="All",E171=sel_Channel),OR(sel_Customer="All",F171=sel_Customer),OR(sel_Product="All",H171=sel_Product),AND(S171&gt;=m_From,S171&lt;=m_To)),1,0)</f>
        <v/>
      </c>
      <c r="Z171" s="36">
        <f>IF(AND(OR(sel_Region="All",C171=sel_Region),OR(sel_Country="All",D171=sel_Country),OR(sel_Channel="All",E171=sel_Channel),OR(sel_Customer="All",F171=sel_Customer),OR(sel_Category="All",G171=sel_Category),AND(S171&gt;=m_From,S171&lt;=m_To)),1,0)</f>
        <v/>
      </c>
      <c r="AA171" s="36">
        <f>IF(AND(OR(sel_Region="All",C171=sel_Region),OR(sel_Country="All",D171=sel_Country),OR(sel_Channel="All",E171=sel_Channel),OR(sel_Customer="All",F171=sel_Customer),OR(sel_Category="All",G171=sel_Category),OR(sel_Product="All",H171=sel_Product)),1,0)</f>
        <v/>
      </c>
    </row>
    <row r="172">
      <c r="A172" s="36" t="inlineStr">
        <is>
          <t>00380</t>
        </is>
      </c>
      <c r="B172" s="44" t="n">
        <v>46058</v>
      </c>
      <c r="C172" s="36" t="inlineStr">
        <is>
          <t>Central Europe</t>
        </is>
      </c>
      <c r="D172" s="36" t="inlineStr">
        <is>
          <t>Germany</t>
        </is>
      </c>
      <c r="E172" s="36" t="inlineStr">
        <is>
          <t>Online Store</t>
        </is>
      </c>
      <c r="F172" s="36" t="inlineStr">
        <is>
          <t>Returning</t>
        </is>
      </c>
      <c r="G172" s="36" t="inlineStr">
        <is>
          <t>Fitness</t>
        </is>
      </c>
      <c r="H172" s="36" t="inlineStr">
        <is>
          <t>Weighted Vest</t>
        </is>
      </c>
      <c r="I172" s="36" t="n">
        <v>3</v>
      </c>
      <c r="J172" s="39" t="n">
        <v>125.63</v>
      </c>
      <c r="K172" s="45" t="n">
        <v>0</v>
      </c>
      <c r="L172" s="39" t="n">
        <v>71.05</v>
      </c>
      <c r="M172" s="39">
        <f>I172*J172*(1-K172)</f>
        <v/>
      </c>
      <c r="N172" s="39">
        <f>I172*L172</f>
        <v/>
      </c>
      <c r="O172" s="39">
        <f>M172-N172</f>
        <v/>
      </c>
      <c r="P172" s="38">
        <f>IF(M172=0,0,O172/M172)</f>
        <v/>
      </c>
      <c r="Q172" s="36">
        <f>YEAR(B172)</f>
        <v/>
      </c>
      <c r="R172" s="36">
        <f>"Q"&amp;ROUNDUP(MONTH(B172)/3,0)</f>
        <v/>
      </c>
      <c r="S172" s="36">
        <f>MONTH(B172)</f>
        <v/>
      </c>
      <c r="T172" s="36">
        <f>TEXT(B172,"mmm")</f>
        <v/>
      </c>
      <c r="U172" s="36">
        <f>IF(AND(OR(sel_Region="All",C172=sel_Region),OR(sel_Country="All",D172=sel_Country),OR(sel_Channel="All",E172=sel_Channel),OR(sel_Customer="All",F172=sel_Customer),OR(sel_Category="All",G172=sel_Category),OR(sel_Product="All",H172=sel_Product),AND(S172&gt;=m_From,S172&lt;=m_To)),1,0)</f>
        <v/>
      </c>
      <c r="V172" s="36">
        <f>IF(AND(OR(sel_Region="All",C172=sel_Region),OR(sel_Channel="All",E172=sel_Channel),OR(sel_Customer="All",F172=sel_Customer),OR(sel_Category="All",G172=sel_Category),OR(sel_Product="All",H172=sel_Product),AND(S172&gt;=m_From,S172&lt;=m_To)),1,0)</f>
        <v/>
      </c>
      <c r="W172" s="36">
        <f>IF(AND(OR(sel_Region="All",C172=sel_Region),OR(sel_Country="All",D172=sel_Country),OR(sel_Customer="All",F172=sel_Customer),OR(sel_Category="All",G172=sel_Category),OR(sel_Product="All",H172=sel_Product),AND(S172&gt;=m_From,S172&lt;=m_To)),1,0)</f>
        <v/>
      </c>
      <c r="X172" s="36">
        <f>IF(AND(OR(sel_Region="All",C172=sel_Region),OR(sel_Country="All",D172=sel_Country),OR(sel_Channel="All",E172=sel_Channel),OR(sel_Category="All",G172=sel_Category),OR(sel_Product="All",H172=sel_Product),AND(S172&gt;=m_From,S172&lt;=m_To)),1,0)</f>
        <v/>
      </c>
      <c r="Y172" s="36">
        <f>IF(AND(OR(sel_Region="All",C172=sel_Region),OR(sel_Country="All",D172=sel_Country),OR(sel_Channel="All",E172=sel_Channel),OR(sel_Customer="All",F172=sel_Customer),OR(sel_Product="All",H172=sel_Product),AND(S172&gt;=m_From,S172&lt;=m_To)),1,0)</f>
        <v/>
      </c>
      <c r="Z172" s="36">
        <f>IF(AND(OR(sel_Region="All",C172=sel_Region),OR(sel_Country="All",D172=sel_Country),OR(sel_Channel="All",E172=sel_Channel),OR(sel_Customer="All",F172=sel_Customer),OR(sel_Category="All",G172=sel_Category),AND(S172&gt;=m_From,S172&lt;=m_To)),1,0)</f>
        <v/>
      </c>
      <c r="AA172" s="36">
        <f>IF(AND(OR(sel_Region="All",C172=sel_Region),OR(sel_Country="All",D172=sel_Country),OR(sel_Channel="All",E172=sel_Channel),OR(sel_Customer="All",F172=sel_Customer),OR(sel_Category="All",G172=sel_Category),OR(sel_Product="All",H172=sel_Product)),1,0)</f>
        <v/>
      </c>
    </row>
    <row r="173">
      <c r="A173" s="36" t="inlineStr">
        <is>
          <t>01723</t>
        </is>
      </c>
      <c r="B173" s="44" t="n">
        <v>46058</v>
      </c>
      <c r="C173" s="36" t="inlineStr">
        <is>
          <t>Western Europe</t>
        </is>
      </c>
      <c r="D173" s="36" t="inlineStr">
        <is>
          <t>United Kingdom</t>
        </is>
      </c>
      <c r="E173" s="36" t="inlineStr">
        <is>
          <t>Online Store</t>
        </is>
      </c>
      <c r="F173" s="36" t="inlineStr">
        <is>
          <t>Returning</t>
        </is>
      </c>
      <c r="G173" s="36" t="inlineStr">
        <is>
          <t>Cycling</t>
        </is>
      </c>
      <c r="H173" s="36" t="inlineStr">
        <is>
          <t>Cycling Pack 12L</t>
        </is>
      </c>
      <c r="I173" s="36" t="n">
        <v>2</v>
      </c>
      <c r="J173" s="39" t="n">
        <v>101.01</v>
      </c>
      <c r="K173" s="45" t="n">
        <v>0</v>
      </c>
      <c r="L173" s="39" t="n">
        <v>50.26</v>
      </c>
      <c r="M173" s="39">
        <f>I173*J173*(1-K173)</f>
        <v/>
      </c>
      <c r="N173" s="39">
        <f>I173*L173</f>
        <v/>
      </c>
      <c r="O173" s="39">
        <f>M173-N173</f>
        <v/>
      </c>
      <c r="P173" s="38">
        <f>IF(M173=0,0,O173/M173)</f>
        <v/>
      </c>
      <c r="Q173" s="36">
        <f>YEAR(B173)</f>
        <v/>
      </c>
      <c r="R173" s="36">
        <f>"Q"&amp;ROUNDUP(MONTH(B173)/3,0)</f>
        <v/>
      </c>
      <c r="S173" s="36">
        <f>MONTH(B173)</f>
        <v/>
      </c>
      <c r="T173" s="36">
        <f>TEXT(B173,"mmm")</f>
        <v/>
      </c>
      <c r="U173" s="36">
        <f>IF(AND(OR(sel_Region="All",C173=sel_Region),OR(sel_Country="All",D173=sel_Country),OR(sel_Channel="All",E173=sel_Channel),OR(sel_Customer="All",F173=sel_Customer),OR(sel_Category="All",G173=sel_Category),OR(sel_Product="All",H173=sel_Product),AND(S173&gt;=m_From,S173&lt;=m_To)),1,0)</f>
        <v/>
      </c>
      <c r="V173" s="36">
        <f>IF(AND(OR(sel_Region="All",C173=sel_Region),OR(sel_Channel="All",E173=sel_Channel),OR(sel_Customer="All",F173=sel_Customer),OR(sel_Category="All",G173=sel_Category),OR(sel_Product="All",H173=sel_Product),AND(S173&gt;=m_From,S173&lt;=m_To)),1,0)</f>
        <v/>
      </c>
      <c r="W173" s="36">
        <f>IF(AND(OR(sel_Region="All",C173=sel_Region),OR(sel_Country="All",D173=sel_Country),OR(sel_Customer="All",F173=sel_Customer),OR(sel_Category="All",G173=sel_Category),OR(sel_Product="All",H173=sel_Product),AND(S173&gt;=m_From,S173&lt;=m_To)),1,0)</f>
        <v/>
      </c>
      <c r="X173" s="36">
        <f>IF(AND(OR(sel_Region="All",C173=sel_Region),OR(sel_Country="All",D173=sel_Country),OR(sel_Channel="All",E173=sel_Channel),OR(sel_Category="All",G173=sel_Category),OR(sel_Product="All",H173=sel_Product),AND(S173&gt;=m_From,S173&lt;=m_To)),1,0)</f>
        <v/>
      </c>
      <c r="Y173" s="36">
        <f>IF(AND(OR(sel_Region="All",C173=sel_Region),OR(sel_Country="All",D173=sel_Country),OR(sel_Channel="All",E173=sel_Channel),OR(sel_Customer="All",F173=sel_Customer),OR(sel_Product="All",H173=sel_Product),AND(S173&gt;=m_From,S173&lt;=m_To)),1,0)</f>
        <v/>
      </c>
      <c r="Z173" s="36">
        <f>IF(AND(OR(sel_Region="All",C173=sel_Region),OR(sel_Country="All",D173=sel_Country),OR(sel_Channel="All",E173=sel_Channel),OR(sel_Customer="All",F173=sel_Customer),OR(sel_Category="All",G173=sel_Category),AND(S173&gt;=m_From,S173&lt;=m_To)),1,0)</f>
        <v/>
      </c>
      <c r="AA173" s="36">
        <f>IF(AND(OR(sel_Region="All",C173=sel_Region),OR(sel_Country="All",D173=sel_Country),OR(sel_Channel="All",E173=sel_Channel),OR(sel_Customer="All",F173=sel_Customer),OR(sel_Category="All",G173=sel_Category),OR(sel_Product="All",H173=sel_Product)),1,0)</f>
        <v/>
      </c>
    </row>
    <row r="174">
      <c r="A174" s="36" t="inlineStr">
        <is>
          <t>02529</t>
        </is>
      </c>
      <c r="B174" s="44" t="n">
        <v>46058</v>
      </c>
      <c r="C174" s="36" t="inlineStr">
        <is>
          <t>Western Europe</t>
        </is>
      </c>
      <c r="D174" s="36" t="inlineStr">
        <is>
          <t>France</t>
        </is>
      </c>
      <c r="E174" s="36" t="inlineStr">
        <is>
          <t>Online Store</t>
        </is>
      </c>
      <c r="F174" s="36" t="inlineStr">
        <is>
          <t>Returning</t>
        </is>
      </c>
      <c r="G174" s="36" t="inlineStr">
        <is>
          <t>Hiking</t>
        </is>
      </c>
      <c r="H174" s="36" t="inlineStr">
        <is>
          <t>Summit Backpack 45L</t>
        </is>
      </c>
      <c r="I174" s="36" t="n">
        <v>6</v>
      </c>
      <c r="J174" s="39" t="n">
        <v>154.22</v>
      </c>
      <c r="K174" s="45" t="n">
        <v>0</v>
      </c>
      <c r="L174" s="39" t="n">
        <v>79.59999999999999</v>
      </c>
      <c r="M174" s="39">
        <f>I174*J174*(1-K174)</f>
        <v/>
      </c>
      <c r="N174" s="39">
        <f>I174*L174</f>
        <v/>
      </c>
      <c r="O174" s="39">
        <f>M174-N174</f>
        <v/>
      </c>
      <c r="P174" s="38">
        <f>IF(M174=0,0,O174/M174)</f>
        <v/>
      </c>
      <c r="Q174" s="36">
        <f>YEAR(B174)</f>
        <v/>
      </c>
      <c r="R174" s="36">
        <f>"Q"&amp;ROUNDUP(MONTH(B174)/3,0)</f>
        <v/>
      </c>
      <c r="S174" s="36">
        <f>MONTH(B174)</f>
        <v/>
      </c>
      <c r="T174" s="36">
        <f>TEXT(B174,"mmm")</f>
        <v/>
      </c>
      <c r="U174" s="36">
        <f>IF(AND(OR(sel_Region="All",C174=sel_Region),OR(sel_Country="All",D174=sel_Country),OR(sel_Channel="All",E174=sel_Channel),OR(sel_Customer="All",F174=sel_Customer),OR(sel_Category="All",G174=sel_Category),OR(sel_Product="All",H174=sel_Product),AND(S174&gt;=m_From,S174&lt;=m_To)),1,0)</f>
        <v/>
      </c>
      <c r="V174" s="36">
        <f>IF(AND(OR(sel_Region="All",C174=sel_Region),OR(sel_Channel="All",E174=sel_Channel),OR(sel_Customer="All",F174=sel_Customer),OR(sel_Category="All",G174=sel_Category),OR(sel_Product="All",H174=sel_Product),AND(S174&gt;=m_From,S174&lt;=m_To)),1,0)</f>
        <v/>
      </c>
      <c r="W174" s="36">
        <f>IF(AND(OR(sel_Region="All",C174=sel_Region),OR(sel_Country="All",D174=sel_Country),OR(sel_Customer="All",F174=sel_Customer),OR(sel_Category="All",G174=sel_Category),OR(sel_Product="All",H174=sel_Product),AND(S174&gt;=m_From,S174&lt;=m_To)),1,0)</f>
        <v/>
      </c>
      <c r="X174" s="36">
        <f>IF(AND(OR(sel_Region="All",C174=sel_Region),OR(sel_Country="All",D174=sel_Country),OR(sel_Channel="All",E174=sel_Channel),OR(sel_Category="All",G174=sel_Category),OR(sel_Product="All",H174=sel_Product),AND(S174&gt;=m_From,S174&lt;=m_To)),1,0)</f>
        <v/>
      </c>
      <c r="Y174" s="36">
        <f>IF(AND(OR(sel_Region="All",C174=sel_Region),OR(sel_Country="All",D174=sel_Country),OR(sel_Channel="All",E174=sel_Channel),OR(sel_Customer="All",F174=sel_Customer),OR(sel_Product="All",H174=sel_Product),AND(S174&gt;=m_From,S174&lt;=m_To)),1,0)</f>
        <v/>
      </c>
      <c r="Z174" s="36">
        <f>IF(AND(OR(sel_Region="All",C174=sel_Region),OR(sel_Country="All",D174=sel_Country),OR(sel_Channel="All",E174=sel_Channel),OR(sel_Customer="All",F174=sel_Customer),OR(sel_Category="All",G174=sel_Category),AND(S174&gt;=m_From,S174&lt;=m_To)),1,0)</f>
        <v/>
      </c>
      <c r="AA174" s="36">
        <f>IF(AND(OR(sel_Region="All",C174=sel_Region),OR(sel_Country="All",D174=sel_Country),OR(sel_Channel="All",E174=sel_Channel),OR(sel_Customer="All",F174=sel_Customer),OR(sel_Category="All",G174=sel_Category),OR(sel_Product="All",H174=sel_Product)),1,0)</f>
        <v/>
      </c>
    </row>
    <row r="175">
      <c r="A175" s="36" t="inlineStr">
        <is>
          <t>02685</t>
        </is>
      </c>
      <c r="B175" s="44" t="n">
        <v>46058</v>
      </c>
      <c r="C175" s="36" t="inlineStr">
        <is>
          <t>Central Europe</t>
        </is>
      </c>
      <c r="D175" s="36" t="inlineStr">
        <is>
          <t>Poland</t>
        </is>
      </c>
      <c r="E175" s="36" t="inlineStr">
        <is>
          <t>Online Store</t>
        </is>
      </c>
      <c r="F175" s="36" t="inlineStr">
        <is>
          <t>New</t>
        </is>
      </c>
      <c r="G175" s="36" t="inlineStr">
        <is>
          <t>Hiking</t>
        </is>
      </c>
      <c r="H175" s="36" t="inlineStr">
        <is>
          <t>Trekking Poles</t>
        </is>
      </c>
      <c r="I175" s="36" t="n">
        <v>1</v>
      </c>
      <c r="J175" s="39" t="n">
        <v>72.78</v>
      </c>
      <c r="K175" s="45" t="n">
        <v>0.05</v>
      </c>
      <c r="L175" s="39" t="n">
        <v>33.26</v>
      </c>
      <c r="M175" s="39">
        <f>I175*J175*(1-K175)</f>
        <v/>
      </c>
      <c r="N175" s="39">
        <f>I175*L175</f>
        <v/>
      </c>
      <c r="O175" s="39">
        <f>M175-N175</f>
        <v/>
      </c>
      <c r="P175" s="38">
        <f>IF(M175=0,0,O175/M175)</f>
        <v/>
      </c>
      <c r="Q175" s="36">
        <f>YEAR(B175)</f>
        <v/>
      </c>
      <c r="R175" s="36">
        <f>"Q"&amp;ROUNDUP(MONTH(B175)/3,0)</f>
        <v/>
      </c>
      <c r="S175" s="36">
        <f>MONTH(B175)</f>
        <v/>
      </c>
      <c r="T175" s="36">
        <f>TEXT(B175,"mmm")</f>
        <v/>
      </c>
      <c r="U175" s="36">
        <f>IF(AND(OR(sel_Region="All",C175=sel_Region),OR(sel_Country="All",D175=sel_Country),OR(sel_Channel="All",E175=sel_Channel),OR(sel_Customer="All",F175=sel_Customer),OR(sel_Category="All",G175=sel_Category),OR(sel_Product="All",H175=sel_Product),AND(S175&gt;=m_From,S175&lt;=m_To)),1,0)</f>
        <v/>
      </c>
      <c r="V175" s="36">
        <f>IF(AND(OR(sel_Region="All",C175=sel_Region),OR(sel_Channel="All",E175=sel_Channel),OR(sel_Customer="All",F175=sel_Customer),OR(sel_Category="All",G175=sel_Category),OR(sel_Product="All",H175=sel_Product),AND(S175&gt;=m_From,S175&lt;=m_To)),1,0)</f>
        <v/>
      </c>
      <c r="W175" s="36">
        <f>IF(AND(OR(sel_Region="All",C175=sel_Region),OR(sel_Country="All",D175=sel_Country),OR(sel_Customer="All",F175=sel_Customer),OR(sel_Category="All",G175=sel_Category),OR(sel_Product="All",H175=sel_Product),AND(S175&gt;=m_From,S175&lt;=m_To)),1,0)</f>
        <v/>
      </c>
      <c r="X175" s="36">
        <f>IF(AND(OR(sel_Region="All",C175=sel_Region),OR(sel_Country="All",D175=sel_Country),OR(sel_Channel="All",E175=sel_Channel),OR(sel_Category="All",G175=sel_Category),OR(sel_Product="All",H175=sel_Product),AND(S175&gt;=m_From,S175&lt;=m_To)),1,0)</f>
        <v/>
      </c>
      <c r="Y175" s="36">
        <f>IF(AND(OR(sel_Region="All",C175=sel_Region),OR(sel_Country="All",D175=sel_Country),OR(sel_Channel="All",E175=sel_Channel),OR(sel_Customer="All",F175=sel_Customer),OR(sel_Product="All",H175=sel_Product),AND(S175&gt;=m_From,S175&lt;=m_To)),1,0)</f>
        <v/>
      </c>
      <c r="Z175" s="36">
        <f>IF(AND(OR(sel_Region="All",C175=sel_Region),OR(sel_Country="All",D175=sel_Country),OR(sel_Channel="All",E175=sel_Channel),OR(sel_Customer="All",F175=sel_Customer),OR(sel_Category="All",G175=sel_Category),AND(S175&gt;=m_From,S175&lt;=m_To)),1,0)</f>
        <v/>
      </c>
      <c r="AA175" s="36">
        <f>IF(AND(OR(sel_Region="All",C175=sel_Region),OR(sel_Country="All",D175=sel_Country),OR(sel_Channel="All",E175=sel_Channel),OR(sel_Customer="All",F175=sel_Customer),OR(sel_Category="All",G175=sel_Category),OR(sel_Product="All",H175=sel_Product)),1,0)</f>
        <v/>
      </c>
    </row>
    <row r="176">
      <c r="A176" s="36" t="inlineStr">
        <is>
          <t>02793</t>
        </is>
      </c>
      <c r="B176" s="44" t="n">
        <v>46058</v>
      </c>
      <c r="C176" s="36" t="inlineStr">
        <is>
          <t>Central Europe</t>
        </is>
      </c>
      <c r="D176" s="36" t="inlineStr">
        <is>
          <t>Poland</t>
        </is>
      </c>
      <c r="E176" s="36" t="inlineStr">
        <is>
          <t>Corporate</t>
        </is>
      </c>
      <c r="F176" s="36" t="inlineStr">
        <is>
          <t>Business</t>
        </is>
      </c>
      <c r="G176" s="36" t="inlineStr">
        <is>
          <t>Camping</t>
        </is>
      </c>
      <c r="H176" s="36" t="inlineStr">
        <is>
          <t>Compact Sleeping Bag</t>
        </is>
      </c>
      <c r="I176" s="36" t="n">
        <v>3</v>
      </c>
      <c r="J176" s="39" t="n">
        <v>122.69</v>
      </c>
      <c r="K176" s="45" t="n">
        <v>0.05</v>
      </c>
      <c r="L176" s="39" t="n">
        <v>62.08</v>
      </c>
      <c r="M176" s="39">
        <f>I176*J176*(1-K176)</f>
        <v/>
      </c>
      <c r="N176" s="39">
        <f>I176*L176</f>
        <v/>
      </c>
      <c r="O176" s="39">
        <f>M176-N176</f>
        <v/>
      </c>
      <c r="P176" s="38">
        <f>IF(M176=0,0,O176/M176)</f>
        <v/>
      </c>
      <c r="Q176" s="36">
        <f>YEAR(B176)</f>
        <v/>
      </c>
      <c r="R176" s="36">
        <f>"Q"&amp;ROUNDUP(MONTH(B176)/3,0)</f>
        <v/>
      </c>
      <c r="S176" s="36">
        <f>MONTH(B176)</f>
        <v/>
      </c>
      <c r="T176" s="36">
        <f>TEXT(B176,"mmm")</f>
        <v/>
      </c>
      <c r="U176" s="36">
        <f>IF(AND(OR(sel_Region="All",C176=sel_Region),OR(sel_Country="All",D176=sel_Country),OR(sel_Channel="All",E176=sel_Channel),OR(sel_Customer="All",F176=sel_Customer),OR(sel_Category="All",G176=sel_Category),OR(sel_Product="All",H176=sel_Product),AND(S176&gt;=m_From,S176&lt;=m_To)),1,0)</f>
        <v/>
      </c>
      <c r="V176" s="36">
        <f>IF(AND(OR(sel_Region="All",C176=sel_Region),OR(sel_Channel="All",E176=sel_Channel),OR(sel_Customer="All",F176=sel_Customer),OR(sel_Category="All",G176=sel_Category),OR(sel_Product="All",H176=sel_Product),AND(S176&gt;=m_From,S176&lt;=m_To)),1,0)</f>
        <v/>
      </c>
      <c r="W176" s="36">
        <f>IF(AND(OR(sel_Region="All",C176=sel_Region),OR(sel_Country="All",D176=sel_Country),OR(sel_Customer="All",F176=sel_Customer),OR(sel_Category="All",G176=sel_Category),OR(sel_Product="All",H176=sel_Product),AND(S176&gt;=m_From,S176&lt;=m_To)),1,0)</f>
        <v/>
      </c>
      <c r="X176" s="36">
        <f>IF(AND(OR(sel_Region="All",C176=sel_Region),OR(sel_Country="All",D176=sel_Country),OR(sel_Channel="All",E176=sel_Channel),OR(sel_Category="All",G176=sel_Category),OR(sel_Product="All",H176=sel_Product),AND(S176&gt;=m_From,S176&lt;=m_To)),1,0)</f>
        <v/>
      </c>
      <c r="Y176" s="36">
        <f>IF(AND(OR(sel_Region="All",C176=sel_Region),OR(sel_Country="All",D176=sel_Country),OR(sel_Channel="All",E176=sel_Channel),OR(sel_Customer="All",F176=sel_Customer),OR(sel_Product="All",H176=sel_Product),AND(S176&gt;=m_From,S176&lt;=m_To)),1,0)</f>
        <v/>
      </c>
      <c r="Z176" s="36">
        <f>IF(AND(OR(sel_Region="All",C176=sel_Region),OR(sel_Country="All",D176=sel_Country),OR(sel_Channel="All",E176=sel_Channel),OR(sel_Customer="All",F176=sel_Customer),OR(sel_Category="All",G176=sel_Category),AND(S176&gt;=m_From,S176&lt;=m_To)),1,0)</f>
        <v/>
      </c>
      <c r="AA176" s="36">
        <f>IF(AND(OR(sel_Region="All",C176=sel_Region),OR(sel_Country="All",D176=sel_Country),OR(sel_Channel="All",E176=sel_Channel),OR(sel_Customer="All",F176=sel_Customer),OR(sel_Category="All",G176=sel_Category),OR(sel_Product="All",H176=sel_Product)),1,0)</f>
        <v/>
      </c>
    </row>
    <row r="177">
      <c r="A177" s="36" t="inlineStr">
        <is>
          <t>00346</t>
        </is>
      </c>
      <c r="B177" s="44" t="n">
        <v>46059</v>
      </c>
      <c r="C177" s="36" t="inlineStr">
        <is>
          <t>Central Europe</t>
        </is>
      </c>
      <c r="D177" s="36" t="inlineStr">
        <is>
          <t>Czechia</t>
        </is>
      </c>
      <c r="E177" s="36" t="inlineStr">
        <is>
          <t>Online Store</t>
        </is>
      </c>
      <c r="F177" s="36" t="inlineStr">
        <is>
          <t>Business</t>
        </is>
      </c>
      <c r="G177" s="36" t="inlineStr">
        <is>
          <t>Cycling</t>
        </is>
      </c>
      <c r="H177" s="36" t="inlineStr">
        <is>
          <t>Cycling Pack 12L</t>
        </is>
      </c>
      <c r="I177" s="36" t="n">
        <v>3</v>
      </c>
      <c r="J177" s="39" t="n">
        <v>103.22</v>
      </c>
      <c r="K177" s="45" t="n">
        <v>0</v>
      </c>
      <c r="L177" s="39" t="n">
        <v>50.74</v>
      </c>
      <c r="M177" s="39">
        <f>I177*J177*(1-K177)</f>
        <v/>
      </c>
      <c r="N177" s="39">
        <f>I177*L177</f>
        <v/>
      </c>
      <c r="O177" s="39">
        <f>M177-N177</f>
        <v/>
      </c>
      <c r="P177" s="38">
        <f>IF(M177=0,0,O177/M177)</f>
        <v/>
      </c>
      <c r="Q177" s="36">
        <f>YEAR(B177)</f>
        <v/>
      </c>
      <c r="R177" s="36">
        <f>"Q"&amp;ROUNDUP(MONTH(B177)/3,0)</f>
        <v/>
      </c>
      <c r="S177" s="36">
        <f>MONTH(B177)</f>
        <v/>
      </c>
      <c r="T177" s="36">
        <f>TEXT(B177,"mmm")</f>
        <v/>
      </c>
      <c r="U177" s="36">
        <f>IF(AND(OR(sel_Region="All",C177=sel_Region),OR(sel_Country="All",D177=sel_Country),OR(sel_Channel="All",E177=sel_Channel),OR(sel_Customer="All",F177=sel_Customer),OR(sel_Category="All",G177=sel_Category),OR(sel_Product="All",H177=sel_Product),AND(S177&gt;=m_From,S177&lt;=m_To)),1,0)</f>
        <v/>
      </c>
      <c r="V177" s="36">
        <f>IF(AND(OR(sel_Region="All",C177=sel_Region),OR(sel_Channel="All",E177=sel_Channel),OR(sel_Customer="All",F177=sel_Customer),OR(sel_Category="All",G177=sel_Category),OR(sel_Product="All",H177=sel_Product),AND(S177&gt;=m_From,S177&lt;=m_To)),1,0)</f>
        <v/>
      </c>
      <c r="W177" s="36">
        <f>IF(AND(OR(sel_Region="All",C177=sel_Region),OR(sel_Country="All",D177=sel_Country),OR(sel_Customer="All",F177=sel_Customer),OR(sel_Category="All",G177=sel_Category),OR(sel_Product="All",H177=sel_Product),AND(S177&gt;=m_From,S177&lt;=m_To)),1,0)</f>
        <v/>
      </c>
      <c r="X177" s="36">
        <f>IF(AND(OR(sel_Region="All",C177=sel_Region),OR(sel_Country="All",D177=sel_Country),OR(sel_Channel="All",E177=sel_Channel),OR(sel_Category="All",G177=sel_Category),OR(sel_Product="All",H177=sel_Product),AND(S177&gt;=m_From,S177&lt;=m_To)),1,0)</f>
        <v/>
      </c>
      <c r="Y177" s="36">
        <f>IF(AND(OR(sel_Region="All",C177=sel_Region),OR(sel_Country="All",D177=sel_Country),OR(sel_Channel="All",E177=sel_Channel),OR(sel_Customer="All",F177=sel_Customer),OR(sel_Product="All",H177=sel_Product),AND(S177&gt;=m_From,S177&lt;=m_To)),1,0)</f>
        <v/>
      </c>
      <c r="Z177" s="36">
        <f>IF(AND(OR(sel_Region="All",C177=sel_Region),OR(sel_Country="All",D177=sel_Country),OR(sel_Channel="All",E177=sel_Channel),OR(sel_Customer="All",F177=sel_Customer),OR(sel_Category="All",G177=sel_Category),AND(S177&gt;=m_From,S177&lt;=m_To)),1,0)</f>
        <v/>
      </c>
      <c r="AA177" s="36">
        <f>IF(AND(OR(sel_Region="All",C177=sel_Region),OR(sel_Country="All",D177=sel_Country),OR(sel_Channel="All",E177=sel_Channel),OR(sel_Customer="All",F177=sel_Customer),OR(sel_Category="All",G177=sel_Category),OR(sel_Product="All",H177=sel_Product)),1,0)</f>
        <v/>
      </c>
    </row>
    <row r="178">
      <c r="A178" s="36" t="inlineStr">
        <is>
          <t>00539</t>
        </is>
      </c>
      <c r="B178" s="44" t="n">
        <v>46059</v>
      </c>
      <c r="C178" s="36" t="inlineStr">
        <is>
          <t>Southern Europe</t>
        </is>
      </c>
      <c r="D178" s="36" t="inlineStr">
        <is>
          <t>Italy</t>
        </is>
      </c>
      <c r="E178" s="36" t="inlineStr">
        <is>
          <t>Marketplace</t>
        </is>
      </c>
      <c r="F178" s="36" t="inlineStr">
        <is>
          <t>New</t>
        </is>
      </c>
      <c r="G178" s="36" t="inlineStr">
        <is>
          <t>Hiking</t>
        </is>
      </c>
      <c r="H178" s="36" t="inlineStr">
        <is>
          <t>Hiking Daypack 20L</t>
        </is>
      </c>
      <c r="I178" s="36" t="n">
        <v>3</v>
      </c>
      <c r="J178" s="39" t="n">
        <v>92.95999999999999</v>
      </c>
      <c r="K178" s="45" t="n">
        <v>0.15</v>
      </c>
      <c r="L178" s="39" t="n">
        <v>44.56</v>
      </c>
      <c r="M178" s="39">
        <f>I178*J178*(1-K178)</f>
        <v/>
      </c>
      <c r="N178" s="39">
        <f>I178*L178</f>
        <v/>
      </c>
      <c r="O178" s="39">
        <f>M178-N178</f>
        <v/>
      </c>
      <c r="P178" s="38">
        <f>IF(M178=0,0,O178/M178)</f>
        <v/>
      </c>
      <c r="Q178" s="36">
        <f>YEAR(B178)</f>
        <v/>
      </c>
      <c r="R178" s="36">
        <f>"Q"&amp;ROUNDUP(MONTH(B178)/3,0)</f>
        <v/>
      </c>
      <c r="S178" s="36">
        <f>MONTH(B178)</f>
        <v/>
      </c>
      <c r="T178" s="36">
        <f>TEXT(B178,"mmm")</f>
        <v/>
      </c>
      <c r="U178" s="36">
        <f>IF(AND(OR(sel_Region="All",C178=sel_Region),OR(sel_Country="All",D178=sel_Country),OR(sel_Channel="All",E178=sel_Channel),OR(sel_Customer="All",F178=sel_Customer),OR(sel_Category="All",G178=sel_Category),OR(sel_Product="All",H178=sel_Product),AND(S178&gt;=m_From,S178&lt;=m_To)),1,0)</f>
        <v/>
      </c>
      <c r="V178" s="36">
        <f>IF(AND(OR(sel_Region="All",C178=sel_Region),OR(sel_Channel="All",E178=sel_Channel),OR(sel_Customer="All",F178=sel_Customer),OR(sel_Category="All",G178=sel_Category),OR(sel_Product="All",H178=sel_Product),AND(S178&gt;=m_From,S178&lt;=m_To)),1,0)</f>
        <v/>
      </c>
      <c r="W178" s="36">
        <f>IF(AND(OR(sel_Region="All",C178=sel_Region),OR(sel_Country="All",D178=sel_Country),OR(sel_Customer="All",F178=sel_Customer),OR(sel_Category="All",G178=sel_Category),OR(sel_Product="All",H178=sel_Product),AND(S178&gt;=m_From,S178&lt;=m_To)),1,0)</f>
        <v/>
      </c>
      <c r="X178" s="36">
        <f>IF(AND(OR(sel_Region="All",C178=sel_Region),OR(sel_Country="All",D178=sel_Country),OR(sel_Channel="All",E178=sel_Channel),OR(sel_Category="All",G178=sel_Category),OR(sel_Product="All",H178=sel_Product),AND(S178&gt;=m_From,S178&lt;=m_To)),1,0)</f>
        <v/>
      </c>
      <c r="Y178" s="36">
        <f>IF(AND(OR(sel_Region="All",C178=sel_Region),OR(sel_Country="All",D178=sel_Country),OR(sel_Channel="All",E178=sel_Channel),OR(sel_Customer="All",F178=sel_Customer),OR(sel_Product="All",H178=sel_Product),AND(S178&gt;=m_From,S178&lt;=m_To)),1,0)</f>
        <v/>
      </c>
      <c r="Z178" s="36">
        <f>IF(AND(OR(sel_Region="All",C178=sel_Region),OR(sel_Country="All",D178=sel_Country),OR(sel_Channel="All",E178=sel_Channel),OR(sel_Customer="All",F178=sel_Customer),OR(sel_Category="All",G178=sel_Category),AND(S178&gt;=m_From,S178&lt;=m_To)),1,0)</f>
        <v/>
      </c>
      <c r="AA178" s="36">
        <f>IF(AND(OR(sel_Region="All",C178=sel_Region),OR(sel_Country="All",D178=sel_Country),OR(sel_Channel="All",E178=sel_Channel),OR(sel_Customer="All",F178=sel_Customer),OR(sel_Category="All",G178=sel_Category),OR(sel_Product="All",H178=sel_Product)),1,0)</f>
        <v/>
      </c>
    </row>
    <row r="179">
      <c r="A179" s="36" t="inlineStr">
        <is>
          <t>01368</t>
        </is>
      </c>
      <c r="B179" s="44" t="n">
        <v>46059</v>
      </c>
      <c r="C179" s="36" t="inlineStr">
        <is>
          <t>Central Europe</t>
        </is>
      </c>
      <c r="D179" s="36" t="inlineStr">
        <is>
          <t>Germany</t>
        </is>
      </c>
      <c r="E179" s="36" t="inlineStr">
        <is>
          <t>Retail Partners</t>
        </is>
      </c>
      <c r="F179" s="36" t="inlineStr">
        <is>
          <t>New</t>
        </is>
      </c>
      <c r="G179" s="36" t="inlineStr">
        <is>
          <t>Travel</t>
        </is>
      </c>
      <c r="H179" s="36" t="inlineStr">
        <is>
          <t>Insulated Bottle</t>
        </is>
      </c>
      <c r="I179" s="36" t="n">
        <v>1</v>
      </c>
      <c r="J179" s="39" t="n">
        <v>36.52</v>
      </c>
      <c r="K179" s="45" t="n">
        <v>0</v>
      </c>
      <c r="L179" s="39" t="n">
        <v>13.94</v>
      </c>
      <c r="M179" s="39">
        <f>I179*J179*(1-K179)</f>
        <v/>
      </c>
      <c r="N179" s="39">
        <f>I179*L179</f>
        <v/>
      </c>
      <c r="O179" s="39">
        <f>M179-N179</f>
        <v/>
      </c>
      <c r="P179" s="38">
        <f>IF(M179=0,0,O179/M179)</f>
        <v/>
      </c>
      <c r="Q179" s="36">
        <f>YEAR(B179)</f>
        <v/>
      </c>
      <c r="R179" s="36">
        <f>"Q"&amp;ROUNDUP(MONTH(B179)/3,0)</f>
        <v/>
      </c>
      <c r="S179" s="36">
        <f>MONTH(B179)</f>
        <v/>
      </c>
      <c r="T179" s="36">
        <f>TEXT(B179,"mmm")</f>
        <v/>
      </c>
      <c r="U179" s="36">
        <f>IF(AND(OR(sel_Region="All",C179=sel_Region),OR(sel_Country="All",D179=sel_Country),OR(sel_Channel="All",E179=sel_Channel),OR(sel_Customer="All",F179=sel_Customer),OR(sel_Category="All",G179=sel_Category),OR(sel_Product="All",H179=sel_Product),AND(S179&gt;=m_From,S179&lt;=m_To)),1,0)</f>
        <v/>
      </c>
      <c r="V179" s="36">
        <f>IF(AND(OR(sel_Region="All",C179=sel_Region),OR(sel_Channel="All",E179=sel_Channel),OR(sel_Customer="All",F179=sel_Customer),OR(sel_Category="All",G179=sel_Category),OR(sel_Product="All",H179=sel_Product),AND(S179&gt;=m_From,S179&lt;=m_To)),1,0)</f>
        <v/>
      </c>
      <c r="W179" s="36">
        <f>IF(AND(OR(sel_Region="All",C179=sel_Region),OR(sel_Country="All",D179=sel_Country),OR(sel_Customer="All",F179=sel_Customer),OR(sel_Category="All",G179=sel_Category),OR(sel_Product="All",H179=sel_Product),AND(S179&gt;=m_From,S179&lt;=m_To)),1,0)</f>
        <v/>
      </c>
      <c r="X179" s="36">
        <f>IF(AND(OR(sel_Region="All",C179=sel_Region),OR(sel_Country="All",D179=sel_Country),OR(sel_Channel="All",E179=sel_Channel),OR(sel_Category="All",G179=sel_Category),OR(sel_Product="All",H179=sel_Product),AND(S179&gt;=m_From,S179&lt;=m_To)),1,0)</f>
        <v/>
      </c>
      <c r="Y179" s="36">
        <f>IF(AND(OR(sel_Region="All",C179=sel_Region),OR(sel_Country="All",D179=sel_Country),OR(sel_Channel="All",E179=sel_Channel),OR(sel_Customer="All",F179=sel_Customer),OR(sel_Product="All",H179=sel_Product),AND(S179&gt;=m_From,S179&lt;=m_To)),1,0)</f>
        <v/>
      </c>
      <c r="Z179" s="36">
        <f>IF(AND(OR(sel_Region="All",C179=sel_Region),OR(sel_Country="All",D179=sel_Country),OR(sel_Channel="All",E179=sel_Channel),OR(sel_Customer="All",F179=sel_Customer),OR(sel_Category="All",G179=sel_Category),AND(S179&gt;=m_From,S179&lt;=m_To)),1,0)</f>
        <v/>
      </c>
      <c r="AA179" s="36">
        <f>IF(AND(OR(sel_Region="All",C179=sel_Region),OR(sel_Country="All",D179=sel_Country),OR(sel_Channel="All",E179=sel_Channel),OR(sel_Customer="All",F179=sel_Customer),OR(sel_Category="All",G179=sel_Category),OR(sel_Product="All",H179=sel_Product)),1,0)</f>
        <v/>
      </c>
    </row>
    <row r="180">
      <c r="A180" s="36" t="inlineStr">
        <is>
          <t>03506</t>
        </is>
      </c>
      <c r="B180" s="44" t="n">
        <v>46059</v>
      </c>
      <c r="C180" s="36" t="inlineStr">
        <is>
          <t>Southern Europe</t>
        </is>
      </c>
      <c r="D180" s="36" t="inlineStr">
        <is>
          <t>Spain</t>
        </is>
      </c>
      <c r="E180" s="36" t="inlineStr">
        <is>
          <t>Retail Partners</t>
        </is>
      </c>
      <c r="F180" s="36" t="inlineStr">
        <is>
          <t>Returning</t>
        </is>
      </c>
      <c r="G180" s="36" t="inlineStr">
        <is>
          <t>Fitness</t>
        </is>
      </c>
      <c r="H180" s="36" t="inlineStr">
        <is>
          <t>Training Mat</t>
        </is>
      </c>
      <c r="I180" s="36" t="n">
        <v>3</v>
      </c>
      <c r="J180" s="39" t="n">
        <v>50.65</v>
      </c>
      <c r="K180" s="45" t="n">
        <v>0</v>
      </c>
      <c r="L180" s="39" t="n">
        <v>21.49</v>
      </c>
      <c r="M180" s="39">
        <f>I180*J180*(1-K180)</f>
        <v/>
      </c>
      <c r="N180" s="39">
        <f>I180*L180</f>
        <v/>
      </c>
      <c r="O180" s="39">
        <f>M180-N180</f>
        <v/>
      </c>
      <c r="P180" s="38">
        <f>IF(M180=0,0,O180/M180)</f>
        <v/>
      </c>
      <c r="Q180" s="36">
        <f>YEAR(B180)</f>
        <v/>
      </c>
      <c r="R180" s="36">
        <f>"Q"&amp;ROUNDUP(MONTH(B180)/3,0)</f>
        <v/>
      </c>
      <c r="S180" s="36">
        <f>MONTH(B180)</f>
        <v/>
      </c>
      <c r="T180" s="36">
        <f>TEXT(B180,"mmm")</f>
        <v/>
      </c>
      <c r="U180" s="36">
        <f>IF(AND(OR(sel_Region="All",C180=sel_Region),OR(sel_Country="All",D180=sel_Country),OR(sel_Channel="All",E180=sel_Channel),OR(sel_Customer="All",F180=sel_Customer),OR(sel_Category="All",G180=sel_Category),OR(sel_Product="All",H180=sel_Product),AND(S180&gt;=m_From,S180&lt;=m_To)),1,0)</f>
        <v/>
      </c>
      <c r="V180" s="36">
        <f>IF(AND(OR(sel_Region="All",C180=sel_Region),OR(sel_Channel="All",E180=sel_Channel),OR(sel_Customer="All",F180=sel_Customer),OR(sel_Category="All",G180=sel_Category),OR(sel_Product="All",H180=sel_Product),AND(S180&gt;=m_From,S180&lt;=m_To)),1,0)</f>
        <v/>
      </c>
      <c r="W180" s="36">
        <f>IF(AND(OR(sel_Region="All",C180=sel_Region),OR(sel_Country="All",D180=sel_Country),OR(sel_Customer="All",F180=sel_Customer),OR(sel_Category="All",G180=sel_Category),OR(sel_Product="All",H180=sel_Product),AND(S180&gt;=m_From,S180&lt;=m_To)),1,0)</f>
        <v/>
      </c>
      <c r="X180" s="36">
        <f>IF(AND(OR(sel_Region="All",C180=sel_Region),OR(sel_Country="All",D180=sel_Country),OR(sel_Channel="All",E180=sel_Channel),OR(sel_Category="All",G180=sel_Category),OR(sel_Product="All",H180=sel_Product),AND(S180&gt;=m_From,S180&lt;=m_To)),1,0)</f>
        <v/>
      </c>
      <c r="Y180" s="36">
        <f>IF(AND(OR(sel_Region="All",C180=sel_Region),OR(sel_Country="All",D180=sel_Country),OR(sel_Channel="All",E180=sel_Channel),OR(sel_Customer="All",F180=sel_Customer),OR(sel_Product="All",H180=sel_Product),AND(S180&gt;=m_From,S180&lt;=m_To)),1,0)</f>
        <v/>
      </c>
      <c r="Z180" s="36">
        <f>IF(AND(OR(sel_Region="All",C180=sel_Region),OR(sel_Country="All",D180=sel_Country),OR(sel_Channel="All",E180=sel_Channel),OR(sel_Customer="All",F180=sel_Customer),OR(sel_Category="All",G180=sel_Category),AND(S180&gt;=m_From,S180&lt;=m_To)),1,0)</f>
        <v/>
      </c>
      <c r="AA180" s="36">
        <f>IF(AND(OR(sel_Region="All",C180=sel_Region),OR(sel_Country="All",D180=sel_Country),OR(sel_Channel="All",E180=sel_Channel),OR(sel_Customer="All",F180=sel_Customer),OR(sel_Category="All",G180=sel_Category),OR(sel_Product="All",H180=sel_Product)),1,0)</f>
        <v/>
      </c>
    </row>
    <row r="181">
      <c r="A181" s="36" t="inlineStr">
        <is>
          <t>01314</t>
        </is>
      </c>
      <c r="B181" s="44" t="n">
        <v>46060</v>
      </c>
      <c r="C181" s="36" t="inlineStr">
        <is>
          <t>Western Europe</t>
        </is>
      </c>
      <c r="D181" s="36" t="inlineStr">
        <is>
          <t>Belgium</t>
        </is>
      </c>
      <c r="E181" s="36" t="inlineStr">
        <is>
          <t>Online Store</t>
        </is>
      </c>
      <c r="F181" s="36" t="inlineStr">
        <is>
          <t>Returning</t>
        </is>
      </c>
      <c r="G181" s="36" t="inlineStr">
        <is>
          <t>Travel</t>
        </is>
      </c>
      <c r="H181" s="36" t="inlineStr">
        <is>
          <t>Insulated Bottle</t>
        </is>
      </c>
      <c r="I181" s="36" t="n">
        <v>2</v>
      </c>
      <c r="J181" s="39" t="n">
        <v>37.03</v>
      </c>
      <c r="K181" s="45" t="n">
        <v>0.15</v>
      </c>
      <c r="L181" s="39" t="n">
        <v>13.87</v>
      </c>
      <c r="M181" s="39">
        <f>I181*J181*(1-K181)</f>
        <v/>
      </c>
      <c r="N181" s="39">
        <f>I181*L181</f>
        <v/>
      </c>
      <c r="O181" s="39">
        <f>M181-N181</f>
        <v/>
      </c>
      <c r="P181" s="38">
        <f>IF(M181=0,0,O181/M181)</f>
        <v/>
      </c>
      <c r="Q181" s="36">
        <f>YEAR(B181)</f>
        <v/>
      </c>
      <c r="R181" s="36">
        <f>"Q"&amp;ROUNDUP(MONTH(B181)/3,0)</f>
        <v/>
      </c>
      <c r="S181" s="36">
        <f>MONTH(B181)</f>
        <v/>
      </c>
      <c r="T181" s="36">
        <f>TEXT(B181,"mmm")</f>
        <v/>
      </c>
      <c r="U181" s="36">
        <f>IF(AND(OR(sel_Region="All",C181=sel_Region),OR(sel_Country="All",D181=sel_Country),OR(sel_Channel="All",E181=sel_Channel),OR(sel_Customer="All",F181=sel_Customer),OR(sel_Category="All",G181=sel_Category),OR(sel_Product="All",H181=sel_Product),AND(S181&gt;=m_From,S181&lt;=m_To)),1,0)</f>
        <v/>
      </c>
      <c r="V181" s="36">
        <f>IF(AND(OR(sel_Region="All",C181=sel_Region),OR(sel_Channel="All",E181=sel_Channel),OR(sel_Customer="All",F181=sel_Customer),OR(sel_Category="All",G181=sel_Category),OR(sel_Product="All",H181=sel_Product),AND(S181&gt;=m_From,S181&lt;=m_To)),1,0)</f>
        <v/>
      </c>
      <c r="W181" s="36">
        <f>IF(AND(OR(sel_Region="All",C181=sel_Region),OR(sel_Country="All",D181=sel_Country),OR(sel_Customer="All",F181=sel_Customer),OR(sel_Category="All",G181=sel_Category),OR(sel_Product="All",H181=sel_Product),AND(S181&gt;=m_From,S181&lt;=m_To)),1,0)</f>
        <v/>
      </c>
      <c r="X181" s="36">
        <f>IF(AND(OR(sel_Region="All",C181=sel_Region),OR(sel_Country="All",D181=sel_Country),OR(sel_Channel="All",E181=sel_Channel),OR(sel_Category="All",G181=sel_Category),OR(sel_Product="All",H181=sel_Product),AND(S181&gt;=m_From,S181&lt;=m_To)),1,0)</f>
        <v/>
      </c>
      <c r="Y181" s="36">
        <f>IF(AND(OR(sel_Region="All",C181=sel_Region),OR(sel_Country="All",D181=sel_Country),OR(sel_Channel="All",E181=sel_Channel),OR(sel_Customer="All",F181=sel_Customer),OR(sel_Product="All",H181=sel_Product),AND(S181&gt;=m_From,S181&lt;=m_To)),1,0)</f>
        <v/>
      </c>
      <c r="Z181" s="36">
        <f>IF(AND(OR(sel_Region="All",C181=sel_Region),OR(sel_Country="All",D181=sel_Country),OR(sel_Channel="All",E181=sel_Channel),OR(sel_Customer="All",F181=sel_Customer),OR(sel_Category="All",G181=sel_Category),AND(S181&gt;=m_From,S181&lt;=m_To)),1,0)</f>
        <v/>
      </c>
      <c r="AA181" s="36">
        <f>IF(AND(OR(sel_Region="All",C181=sel_Region),OR(sel_Country="All",D181=sel_Country),OR(sel_Channel="All",E181=sel_Channel),OR(sel_Customer="All",F181=sel_Customer),OR(sel_Category="All",G181=sel_Category),OR(sel_Product="All",H181=sel_Product)),1,0)</f>
        <v/>
      </c>
    </row>
    <row r="182">
      <c r="A182" s="36" t="inlineStr">
        <is>
          <t>02092</t>
        </is>
      </c>
      <c r="B182" s="44" t="n">
        <v>46060</v>
      </c>
      <c r="C182" s="36" t="inlineStr">
        <is>
          <t>Northern Europe</t>
        </is>
      </c>
      <c r="D182" s="36" t="inlineStr">
        <is>
          <t>Sweden</t>
        </is>
      </c>
      <c r="E182" s="36" t="inlineStr">
        <is>
          <t>Online Store</t>
        </is>
      </c>
      <c r="F182" s="36" t="inlineStr">
        <is>
          <t>New</t>
        </is>
      </c>
      <c r="G182" s="36" t="inlineStr">
        <is>
          <t>Fitness</t>
        </is>
      </c>
      <c r="H182" s="36" t="inlineStr">
        <is>
          <t>Recovery Roller</t>
        </is>
      </c>
      <c r="I182" s="36" t="n">
        <v>1</v>
      </c>
      <c r="J182" s="39" t="n">
        <v>36.62</v>
      </c>
      <c r="K182" s="45" t="n">
        <v>0</v>
      </c>
      <c r="L182" s="39" t="n">
        <v>13.55</v>
      </c>
      <c r="M182" s="39">
        <f>I182*J182*(1-K182)</f>
        <v/>
      </c>
      <c r="N182" s="39">
        <f>I182*L182</f>
        <v/>
      </c>
      <c r="O182" s="39">
        <f>M182-N182</f>
        <v/>
      </c>
      <c r="P182" s="38">
        <f>IF(M182=0,0,O182/M182)</f>
        <v/>
      </c>
      <c r="Q182" s="36">
        <f>YEAR(B182)</f>
        <v/>
      </c>
      <c r="R182" s="36">
        <f>"Q"&amp;ROUNDUP(MONTH(B182)/3,0)</f>
        <v/>
      </c>
      <c r="S182" s="36">
        <f>MONTH(B182)</f>
        <v/>
      </c>
      <c r="T182" s="36">
        <f>TEXT(B182,"mmm")</f>
        <v/>
      </c>
      <c r="U182" s="36">
        <f>IF(AND(OR(sel_Region="All",C182=sel_Region),OR(sel_Country="All",D182=sel_Country),OR(sel_Channel="All",E182=sel_Channel),OR(sel_Customer="All",F182=sel_Customer),OR(sel_Category="All",G182=sel_Category),OR(sel_Product="All",H182=sel_Product),AND(S182&gt;=m_From,S182&lt;=m_To)),1,0)</f>
        <v/>
      </c>
      <c r="V182" s="36">
        <f>IF(AND(OR(sel_Region="All",C182=sel_Region),OR(sel_Channel="All",E182=sel_Channel),OR(sel_Customer="All",F182=sel_Customer),OR(sel_Category="All",G182=sel_Category),OR(sel_Product="All",H182=sel_Product),AND(S182&gt;=m_From,S182&lt;=m_To)),1,0)</f>
        <v/>
      </c>
      <c r="W182" s="36">
        <f>IF(AND(OR(sel_Region="All",C182=sel_Region),OR(sel_Country="All",D182=sel_Country),OR(sel_Customer="All",F182=sel_Customer),OR(sel_Category="All",G182=sel_Category),OR(sel_Product="All",H182=sel_Product),AND(S182&gt;=m_From,S182&lt;=m_To)),1,0)</f>
        <v/>
      </c>
      <c r="X182" s="36">
        <f>IF(AND(OR(sel_Region="All",C182=sel_Region),OR(sel_Country="All",D182=sel_Country),OR(sel_Channel="All",E182=sel_Channel),OR(sel_Category="All",G182=sel_Category),OR(sel_Product="All",H182=sel_Product),AND(S182&gt;=m_From,S182&lt;=m_To)),1,0)</f>
        <v/>
      </c>
      <c r="Y182" s="36">
        <f>IF(AND(OR(sel_Region="All",C182=sel_Region),OR(sel_Country="All",D182=sel_Country),OR(sel_Channel="All",E182=sel_Channel),OR(sel_Customer="All",F182=sel_Customer),OR(sel_Product="All",H182=sel_Product),AND(S182&gt;=m_From,S182&lt;=m_To)),1,0)</f>
        <v/>
      </c>
      <c r="Z182" s="36">
        <f>IF(AND(OR(sel_Region="All",C182=sel_Region),OR(sel_Country="All",D182=sel_Country),OR(sel_Channel="All",E182=sel_Channel),OR(sel_Customer="All",F182=sel_Customer),OR(sel_Category="All",G182=sel_Category),AND(S182&gt;=m_From,S182&lt;=m_To)),1,0)</f>
        <v/>
      </c>
      <c r="AA182" s="36">
        <f>IF(AND(OR(sel_Region="All",C182=sel_Region),OR(sel_Country="All",D182=sel_Country),OR(sel_Channel="All",E182=sel_Channel),OR(sel_Customer="All",F182=sel_Customer),OR(sel_Category="All",G182=sel_Category),OR(sel_Product="All",H182=sel_Product)),1,0)</f>
        <v/>
      </c>
    </row>
    <row r="183">
      <c r="A183" s="36" t="inlineStr">
        <is>
          <t>05083</t>
        </is>
      </c>
      <c r="B183" s="44" t="n">
        <v>46060</v>
      </c>
      <c r="C183" s="36" t="inlineStr">
        <is>
          <t>Northern Europe</t>
        </is>
      </c>
      <c r="D183" s="36" t="inlineStr">
        <is>
          <t>Norway</t>
        </is>
      </c>
      <c r="E183" s="36" t="inlineStr">
        <is>
          <t>Retail Partners</t>
        </is>
      </c>
      <c r="F183" s="36" t="inlineStr">
        <is>
          <t>Returning</t>
        </is>
      </c>
      <c r="G183" s="36" t="inlineStr">
        <is>
          <t>Camping</t>
        </is>
      </c>
      <c r="H183" s="36" t="inlineStr">
        <is>
          <t>Portable Camp Stove</t>
        </is>
      </c>
      <c r="I183" s="36" t="n">
        <v>1</v>
      </c>
      <c r="J183" s="39" t="n">
        <v>81.47</v>
      </c>
      <c r="K183" s="45" t="n">
        <v>0</v>
      </c>
      <c r="L183" s="39" t="n">
        <v>39.18</v>
      </c>
      <c r="M183" s="39">
        <f>I183*J183*(1-K183)</f>
        <v/>
      </c>
      <c r="N183" s="39">
        <f>I183*L183</f>
        <v/>
      </c>
      <c r="O183" s="39">
        <f>M183-N183</f>
        <v/>
      </c>
      <c r="P183" s="38">
        <f>IF(M183=0,0,O183/M183)</f>
        <v/>
      </c>
      <c r="Q183" s="36">
        <f>YEAR(B183)</f>
        <v/>
      </c>
      <c r="R183" s="36">
        <f>"Q"&amp;ROUNDUP(MONTH(B183)/3,0)</f>
        <v/>
      </c>
      <c r="S183" s="36">
        <f>MONTH(B183)</f>
        <v/>
      </c>
      <c r="T183" s="36">
        <f>TEXT(B183,"mmm")</f>
        <v/>
      </c>
      <c r="U183" s="36">
        <f>IF(AND(OR(sel_Region="All",C183=sel_Region),OR(sel_Country="All",D183=sel_Country),OR(sel_Channel="All",E183=sel_Channel),OR(sel_Customer="All",F183=sel_Customer),OR(sel_Category="All",G183=sel_Category),OR(sel_Product="All",H183=sel_Product),AND(S183&gt;=m_From,S183&lt;=m_To)),1,0)</f>
        <v/>
      </c>
      <c r="V183" s="36">
        <f>IF(AND(OR(sel_Region="All",C183=sel_Region),OR(sel_Channel="All",E183=sel_Channel),OR(sel_Customer="All",F183=sel_Customer),OR(sel_Category="All",G183=sel_Category),OR(sel_Product="All",H183=sel_Product),AND(S183&gt;=m_From,S183&lt;=m_To)),1,0)</f>
        <v/>
      </c>
      <c r="W183" s="36">
        <f>IF(AND(OR(sel_Region="All",C183=sel_Region),OR(sel_Country="All",D183=sel_Country),OR(sel_Customer="All",F183=sel_Customer),OR(sel_Category="All",G183=sel_Category),OR(sel_Product="All",H183=sel_Product),AND(S183&gt;=m_From,S183&lt;=m_To)),1,0)</f>
        <v/>
      </c>
      <c r="X183" s="36">
        <f>IF(AND(OR(sel_Region="All",C183=sel_Region),OR(sel_Country="All",D183=sel_Country),OR(sel_Channel="All",E183=sel_Channel),OR(sel_Category="All",G183=sel_Category),OR(sel_Product="All",H183=sel_Product),AND(S183&gt;=m_From,S183&lt;=m_To)),1,0)</f>
        <v/>
      </c>
      <c r="Y183" s="36">
        <f>IF(AND(OR(sel_Region="All",C183=sel_Region),OR(sel_Country="All",D183=sel_Country),OR(sel_Channel="All",E183=sel_Channel),OR(sel_Customer="All",F183=sel_Customer),OR(sel_Product="All",H183=sel_Product),AND(S183&gt;=m_From,S183&lt;=m_To)),1,0)</f>
        <v/>
      </c>
      <c r="Z183" s="36">
        <f>IF(AND(OR(sel_Region="All",C183=sel_Region),OR(sel_Country="All",D183=sel_Country),OR(sel_Channel="All",E183=sel_Channel),OR(sel_Customer="All",F183=sel_Customer),OR(sel_Category="All",G183=sel_Category),AND(S183&gt;=m_From,S183&lt;=m_To)),1,0)</f>
        <v/>
      </c>
      <c r="AA183" s="36">
        <f>IF(AND(OR(sel_Region="All",C183=sel_Region),OR(sel_Country="All",D183=sel_Country),OR(sel_Channel="All",E183=sel_Channel),OR(sel_Customer="All",F183=sel_Customer),OR(sel_Category="All",G183=sel_Category),OR(sel_Product="All",H183=sel_Product)),1,0)</f>
        <v/>
      </c>
    </row>
    <row r="184">
      <c r="A184" s="36" t="inlineStr">
        <is>
          <t>00582</t>
        </is>
      </c>
      <c r="B184" s="44" t="n">
        <v>46061</v>
      </c>
      <c r="C184" s="36" t="inlineStr">
        <is>
          <t>Central Europe</t>
        </is>
      </c>
      <c r="D184" s="36" t="inlineStr">
        <is>
          <t>Czechia</t>
        </is>
      </c>
      <c r="E184" s="36" t="inlineStr">
        <is>
          <t>Corporate</t>
        </is>
      </c>
      <c r="F184" s="36" t="inlineStr">
        <is>
          <t>Returning</t>
        </is>
      </c>
      <c r="G184" s="36" t="inlineStr">
        <is>
          <t>Camping</t>
        </is>
      </c>
      <c r="H184" s="36" t="inlineStr">
        <is>
          <t>Compact Sleeping Bag</t>
        </is>
      </c>
      <c r="I184" s="36" t="n">
        <v>12</v>
      </c>
      <c r="J184" s="39" t="n">
        <v>122.75</v>
      </c>
      <c r="K184" s="45" t="n">
        <v>0.15</v>
      </c>
      <c r="L184" s="39" t="n">
        <v>62.51</v>
      </c>
      <c r="M184" s="39">
        <f>I184*J184*(1-K184)</f>
        <v/>
      </c>
      <c r="N184" s="39">
        <f>I184*L184</f>
        <v/>
      </c>
      <c r="O184" s="39">
        <f>M184-N184</f>
        <v/>
      </c>
      <c r="P184" s="38">
        <f>IF(M184=0,0,O184/M184)</f>
        <v/>
      </c>
      <c r="Q184" s="36">
        <f>YEAR(B184)</f>
        <v/>
      </c>
      <c r="R184" s="36">
        <f>"Q"&amp;ROUNDUP(MONTH(B184)/3,0)</f>
        <v/>
      </c>
      <c r="S184" s="36">
        <f>MONTH(B184)</f>
        <v/>
      </c>
      <c r="T184" s="36">
        <f>TEXT(B184,"mmm")</f>
        <v/>
      </c>
      <c r="U184" s="36">
        <f>IF(AND(OR(sel_Region="All",C184=sel_Region),OR(sel_Country="All",D184=sel_Country),OR(sel_Channel="All",E184=sel_Channel),OR(sel_Customer="All",F184=sel_Customer),OR(sel_Category="All",G184=sel_Category),OR(sel_Product="All",H184=sel_Product),AND(S184&gt;=m_From,S184&lt;=m_To)),1,0)</f>
        <v/>
      </c>
      <c r="V184" s="36">
        <f>IF(AND(OR(sel_Region="All",C184=sel_Region),OR(sel_Channel="All",E184=sel_Channel),OR(sel_Customer="All",F184=sel_Customer),OR(sel_Category="All",G184=sel_Category),OR(sel_Product="All",H184=sel_Product),AND(S184&gt;=m_From,S184&lt;=m_To)),1,0)</f>
        <v/>
      </c>
      <c r="W184" s="36">
        <f>IF(AND(OR(sel_Region="All",C184=sel_Region),OR(sel_Country="All",D184=sel_Country),OR(sel_Customer="All",F184=sel_Customer),OR(sel_Category="All",G184=sel_Category),OR(sel_Product="All",H184=sel_Product),AND(S184&gt;=m_From,S184&lt;=m_To)),1,0)</f>
        <v/>
      </c>
      <c r="X184" s="36">
        <f>IF(AND(OR(sel_Region="All",C184=sel_Region),OR(sel_Country="All",D184=sel_Country),OR(sel_Channel="All",E184=sel_Channel),OR(sel_Category="All",G184=sel_Category),OR(sel_Product="All",H184=sel_Product),AND(S184&gt;=m_From,S184&lt;=m_To)),1,0)</f>
        <v/>
      </c>
      <c r="Y184" s="36">
        <f>IF(AND(OR(sel_Region="All",C184=sel_Region),OR(sel_Country="All",D184=sel_Country),OR(sel_Channel="All",E184=sel_Channel),OR(sel_Customer="All",F184=sel_Customer),OR(sel_Product="All",H184=sel_Product),AND(S184&gt;=m_From,S184&lt;=m_To)),1,0)</f>
        <v/>
      </c>
      <c r="Z184" s="36">
        <f>IF(AND(OR(sel_Region="All",C184=sel_Region),OR(sel_Country="All",D184=sel_Country),OR(sel_Channel="All",E184=sel_Channel),OR(sel_Customer="All",F184=sel_Customer),OR(sel_Category="All",G184=sel_Category),AND(S184&gt;=m_From,S184&lt;=m_To)),1,0)</f>
        <v/>
      </c>
      <c r="AA184" s="36">
        <f>IF(AND(OR(sel_Region="All",C184=sel_Region),OR(sel_Country="All",D184=sel_Country),OR(sel_Channel="All",E184=sel_Channel),OR(sel_Customer="All",F184=sel_Customer),OR(sel_Category="All",G184=sel_Category),OR(sel_Product="All",H184=sel_Product)),1,0)</f>
        <v/>
      </c>
    </row>
    <row r="185">
      <c r="A185" s="36" t="inlineStr">
        <is>
          <t>00902</t>
        </is>
      </c>
      <c r="B185" s="44" t="n">
        <v>46061</v>
      </c>
      <c r="C185" s="36" t="inlineStr">
        <is>
          <t>Southern Europe</t>
        </is>
      </c>
      <c r="D185" s="36" t="inlineStr">
        <is>
          <t>Portugal</t>
        </is>
      </c>
      <c r="E185" s="36" t="inlineStr">
        <is>
          <t>Online Store</t>
        </is>
      </c>
      <c r="F185" s="36" t="inlineStr">
        <is>
          <t>Business</t>
        </is>
      </c>
      <c r="G185" s="36" t="inlineStr">
        <is>
          <t>Fitness</t>
        </is>
      </c>
      <c r="H185" s="36" t="inlineStr">
        <is>
          <t>Training Mat</t>
        </is>
      </c>
      <c r="I185" s="36" t="n">
        <v>1</v>
      </c>
      <c r="J185" s="39" t="n">
        <v>50.38</v>
      </c>
      <c r="K185" s="45" t="n">
        <v>0.05</v>
      </c>
      <c r="L185" s="39" t="n">
        <v>21.95</v>
      </c>
      <c r="M185" s="39">
        <f>I185*J185*(1-K185)</f>
        <v/>
      </c>
      <c r="N185" s="39">
        <f>I185*L185</f>
        <v/>
      </c>
      <c r="O185" s="39">
        <f>M185-N185</f>
        <v/>
      </c>
      <c r="P185" s="38">
        <f>IF(M185=0,0,O185/M185)</f>
        <v/>
      </c>
      <c r="Q185" s="36">
        <f>YEAR(B185)</f>
        <v/>
      </c>
      <c r="R185" s="36">
        <f>"Q"&amp;ROUNDUP(MONTH(B185)/3,0)</f>
        <v/>
      </c>
      <c r="S185" s="36">
        <f>MONTH(B185)</f>
        <v/>
      </c>
      <c r="T185" s="36">
        <f>TEXT(B185,"mmm")</f>
        <v/>
      </c>
      <c r="U185" s="36">
        <f>IF(AND(OR(sel_Region="All",C185=sel_Region),OR(sel_Country="All",D185=sel_Country),OR(sel_Channel="All",E185=sel_Channel),OR(sel_Customer="All",F185=sel_Customer),OR(sel_Category="All",G185=sel_Category),OR(sel_Product="All",H185=sel_Product),AND(S185&gt;=m_From,S185&lt;=m_To)),1,0)</f>
        <v/>
      </c>
      <c r="V185" s="36">
        <f>IF(AND(OR(sel_Region="All",C185=sel_Region),OR(sel_Channel="All",E185=sel_Channel),OR(sel_Customer="All",F185=sel_Customer),OR(sel_Category="All",G185=sel_Category),OR(sel_Product="All",H185=sel_Product),AND(S185&gt;=m_From,S185&lt;=m_To)),1,0)</f>
        <v/>
      </c>
      <c r="W185" s="36">
        <f>IF(AND(OR(sel_Region="All",C185=sel_Region),OR(sel_Country="All",D185=sel_Country),OR(sel_Customer="All",F185=sel_Customer),OR(sel_Category="All",G185=sel_Category),OR(sel_Product="All",H185=sel_Product),AND(S185&gt;=m_From,S185&lt;=m_To)),1,0)</f>
        <v/>
      </c>
      <c r="X185" s="36">
        <f>IF(AND(OR(sel_Region="All",C185=sel_Region),OR(sel_Country="All",D185=sel_Country),OR(sel_Channel="All",E185=sel_Channel),OR(sel_Category="All",G185=sel_Category),OR(sel_Product="All",H185=sel_Product),AND(S185&gt;=m_From,S185&lt;=m_To)),1,0)</f>
        <v/>
      </c>
      <c r="Y185" s="36">
        <f>IF(AND(OR(sel_Region="All",C185=sel_Region),OR(sel_Country="All",D185=sel_Country),OR(sel_Channel="All",E185=sel_Channel),OR(sel_Customer="All",F185=sel_Customer),OR(sel_Product="All",H185=sel_Product),AND(S185&gt;=m_From,S185&lt;=m_To)),1,0)</f>
        <v/>
      </c>
      <c r="Z185" s="36">
        <f>IF(AND(OR(sel_Region="All",C185=sel_Region),OR(sel_Country="All",D185=sel_Country),OR(sel_Channel="All",E185=sel_Channel),OR(sel_Customer="All",F185=sel_Customer),OR(sel_Category="All",G185=sel_Category),AND(S185&gt;=m_From,S185&lt;=m_To)),1,0)</f>
        <v/>
      </c>
      <c r="AA185" s="36">
        <f>IF(AND(OR(sel_Region="All",C185=sel_Region),OR(sel_Country="All",D185=sel_Country),OR(sel_Channel="All",E185=sel_Channel),OR(sel_Customer="All",F185=sel_Customer),OR(sel_Category="All",G185=sel_Category),OR(sel_Product="All",H185=sel_Product)),1,0)</f>
        <v/>
      </c>
    </row>
    <row r="186">
      <c r="A186" s="36" t="inlineStr">
        <is>
          <t>02396</t>
        </is>
      </c>
      <c r="B186" s="44" t="n">
        <v>46061</v>
      </c>
      <c r="C186" s="36" t="inlineStr">
        <is>
          <t>Western Europe</t>
        </is>
      </c>
      <c r="D186" s="36" t="inlineStr">
        <is>
          <t>Netherlands</t>
        </is>
      </c>
      <c r="E186" s="36" t="inlineStr">
        <is>
          <t>Online Store</t>
        </is>
      </c>
      <c r="F186" s="36" t="inlineStr">
        <is>
          <t>Business</t>
        </is>
      </c>
      <c r="G186" s="36" t="inlineStr">
        <is>
          <t>Fitness</t>
        </is>
      </c>
      <c r="H186" s="36" t="inlineStr">
        <is>
          <t>Training Mat</t>
        </is>
      </c>
      <c r="I186" s="36" t="n">
        <v>2</v>
      </c>
      <c r="J186" s="39" t="n">
        <v>50.4</v>
      </c>
      <c r="K186" s="45" t="n">
        <v>0</v>
      </c>
      <c r="L186" s="39" t="n">
        <v>21.43</v>
      </c>
      <c r="M186" s="39">
        <f>I186*J186*(1-K186)</f>
        <v/>
      </c>
      <c r="N186" s="39">
        <f>I186*L186</f>
        <v/>
      </c>
      <c r="O186" s="39">
        <f>M186-N186</f>
        <v/>
      </c>
      <c r="P186" s="38">
        <f>IF(M186=0,0,O186/M186)</f>
        <v/>
      </c>
      <c r="Q186" s="36">
        <f>YEAR(B186)</f>
        <v/>
      </c>
      <c r="R186" s="36">
        <f>"Q"&amp;ROUNDUP(MONTH(B186)/3,0)</f>
        <v/>
      </c>
      <c r="S186" s="36">
        <f>MONTH(B186)</f>
        <v/>
      </c>
      <c r="T186" s="36">
        <f>TEXT(B186,"mmm")</f>
        <v/>
      </c>
      <c r="U186" s="36">
        <f>IF(AND(OR(sel_Region="All",C186=sel_Region),OR(sel_Country="All",D186=sel_Country),OR(sel_Channel="All",E186=sel_Channel),OR(sel_Customer="All",F186=sel_Customer),OR(sel_Category="All",G186=sel_Category),OR(sel_Product="All",H186=sel_Product),AND(S186&gt;=m_From,S186&lt;=m_To)),1,0)</f>
        <v/>
      </c>
      <c r="V186" s="36">
        <f>IF(AND(OR(sel_Region="All",C186=sel_Region),OR(sel_Channel="All",E186=sel_Channel),OR(sel_Customer="All",F186=sel_Customer),OR(sel_Category="All",G186=sel_Category),OR(sel_Product="All",H186=sel_Product),AND(S186&gt;=m_From,S186&lt;=m_To)),1,0)</f>
        <v/>
      </c>
      <c r="W186" s="36">
        <f>IF(AND(OR(sel_Region="All",C186=sel_Region),OR(sel_Country="All",D186=sel_Country),OR(sel_Customer="All",F186=sel_Customer),OR(sel_Category="All",G186=sel_Category),OR(sel_Product="All",H186=sel_Product),AND(S186&gt;=m_From,S186&lt;=m_To)),1,0)</f>
        <v/>
      </c>
      <c r="X186" s="36">
        <f>IF(AND(OR(sel_Region="All",C186=sel_Region),OR(sel_Country="All",D186=sel_Country),OR(sel_Channel="All",E186=sel_Channel),OR(sel_Category="All",G186=sel_Category),OR(sel_Product="All",H186=sel_Product),AND(S186&gt;=m_From,S186&lt;=m_To)),1,0)</f>
        <v/>
      </c>
      <c r="Y186" s="36">
        <f>IF(AND(OR(sel_Region="All",C186=sel_Region),OR(sel_Country="All",D186=sel_Country),OR(sel_Channel="All",E186=sel_Channel),OR(sel_Customer="All",F186=sel_Customer),OR(sel_Product="All",H186=sel_Product),AND(S186&gt;=m_From,S186&lt;=m_To)),1,0)</f>
        <v/>
      </c>
      <c r="Z186" s="36">
        <f>IF(AND(OR(sel_Region="All",C186=sel_Region),OR(sel_Country="All",D186=sel_Country),OR(sel_Channel="All",E186=sel_Channel),OR(sel_Customer="All",F186=sel_Customer),OR(sel_Category="All",G186=sel_Category),AND(S186&gt;=m_From,S186&lt;=m_To)),1,0)</f>
        <v/>
      </c>
      <c r="AA186" s="36">
        <f>IF(AND(OR(sel_Region="All",C186=sel_Region),OR(sel_Country="All",D186=sel_Country),OR(sel_Channel="All",E186=sel_Channel),OR(sel_Customer="All",F186=sel_Customer),OR(sel_Category="All",G186=sel_Category),OR(sel_Product="All",H186=sel_Product)),1,0)</f>
        <v/>
      </c>
    </row>
    <row r="187">
      <c r="A187" s="36" t="inlineStr">
        <is>
          <t>02494</t>
        </is>
      </c>
      <c r="B187" s="44" t="n">
        <v>46061</v>
      </c>
      <c r="C187" s="36" t="inlineStr">
        <is>
          <t>Northern Europe</t>
        </is>
      </c>
      <c r="D187" s="36" t="inlineStr">
        <is>
          <t>Denmark</t>
        </is>
      </c>
      <c r="E187" s="36" t="inlineStr">
        <is>
          <t>Online Store</t>
        </is>
      </c>
      <c r="F187" s="36" t="inlineStr">
        <is>
          <t>New</t>
        </is>
      </c>
      <c r="G187" s="36" t="inlineStr">
        <is>
          <t>Hiking</t>
        </is>
      </c>
      <c r="H187" s="36" t="inlineStr">
        <is>
          <t>Trekking Poles</t>
        </is>
      </c>
      <c r="I187" s="36" t="n">
        <v>1</v>
      </c>
      <c r="J187" s="39" t="n">
        <v>69.98</v>
      </c>
      <c r="K187" s="45" t="n">
        <v>0</v>
      </c>
      <c r="L187" s="39" t="n">
        <v>33.21</v>
      </c>
      <c r="M187" s="39">
        <f>I187*J187*(1-K187)</f>
        <v/>
      </c>
      <c r="N187" s="39">
        <f>I187*L187</f>
        <v/>
      </c>
      <c r="O187" s="39">
        <f>M187-N187</f>
        <v/>
      </c>
      <c r="P187" s="38">
        <f>IF(M187=0,0,O187/M187)</f>
        <v/>
      </c>
      <c r="Q187" s="36">
        <f>YEAR(B187)</f>
        <v/>
      </c>
      <c r="R187" s="36">
        <f>"Q"&amp;ROUNDUP(MONTH(B187)/3,0)</f>
        <v/>
      </c>
      <c r="S187" s="36">
        <f>MONTH(B187)</f>
        <v/>
      </c>
      <c r="T187" s="36">
        <f>TEXT(B187,"mmm")</f>
        <v/>
      </c>
      <c r="U187" s="36">
        <f>IF(AND(OR(sel_Region="All",C187=sel_Region),OR(sel_Country="All",D187=sel_Country),OR(sel_Channel="All",E187=sel_Channel),OR(sel_Customer="All",F187=sel_Customer),OR(sel_Category="All",G187=sel_Category),OR(sel_Product="All",H187=sel_Product),AND(S187&gt;=m_From,S187&lt;=m_To)),1,0)</f>
        <v/>
      </c>
      <c r="V187" s="36">
        <f>IF(AND(OR(sel_Region="All",C187=sel_Region),OR(sel_Channel="All",E187=sel_Channel),OR(sel_Customer="All",F187=sel_Customer),OR(sel_Category="All",G187=sel_Category),OR(sel_Product="All",H187=sel_Product),AND(S187&gt;=m_From,S187&lt;=m_To)),1,0)</f>
        <v/>
      </c>
      <c r="W187" s="36">
        <f>IF(AND(OR(sel_Region="All",C187=sel_Region),OR(sel_Country="All",D187=sel_Country),OR(sel_Customer="All",F187=sel_Customer),OR(sel_Category="All",G187=sel_Category),OR(sel_Product="All",H187=sel_Product),AND(S187&gt;=m_From,S187&lt;=m_To)),1,0)</f>
        <v/>
      </c>
      <c r="X187" s="36">
        <f>IF(AND(OR(sel_Region="All",C187=sel_Region),OR(sel_Country="All",D187=sel_Country),OR(sel_Channel="All",E187=sel_Channel),OR(sel_Category="All",G187=sel_Category),OR(sel_Product="All",H187=sel_Product),AND(S187&gt;=m_From,S187&lt;=m_To)),1,0)</f>
        <v/>
      </c>
      <c r="Y187" s="36">
        <f>IF(AND(OR(sel_Region="All",C187=sel_Region),OR(sel_Country="All",D187=sel_Country),OR(sel_Channel="All",E187=sel_Channel),OR(sel_Customer="All",F187=sel_Customer),OR(sel_Product="All",H187=sel_Product),AND(S187&gt;=m_From,S187&lt;=m_To)),1,0)</f>
        <v/>
      </c>
      <c r="Z187" s="36">
        <f>IF(AND(OR(sel_Region="All",C187=sel_Region),OR(sel_Country="All",D187=sel_Country),OR(sel_Channel="All",E187=sel_Channel),OR(sel_Customer="All",F187=sel_Customer),OR(sel_Category="All",G187=sel_Category),AND(S187&gt;=m_From,S187&lt;=m_To)),1,0)</f>
        <v/>
      </c>
      <c r="AA187" s="36">
        <f>IF(AND(OR(sel_Region="All",C187=sel_Region),OR(sel_Country="All",D187=sel_Country),OR(sel_Channel="All",E187=sel_Channel),OR(sel_Customer="All",F187=sel_Customer),OR(sel_Category="All",G187=sel_Category),OR(sel_Product="All",H187=sel_Product)),1,0)</f>
        <v/>
      </c>
    </row>
    <row r="188">
      <c r="A188" s="36" t="inlineStr">
        <is>
          <t>02925</t>
        </is>
      </c>
      <c r="B188" s="44" t="n">
        <v>46061</v>
      </c>
      <c r="C188" s="36" t="inlineStr">
        <is>
          <t>Southern Europe</t>
        </is>
      </c>
      <c r="D188" s="36" t="inlineStr">
        <is>
          <t>Spain</t>
        </is>
      </c>
      <c r="E188" s="36" t="inlineStr">
        <is>
          <t>Retail Partners</t>
        </is>
      </c>
      <c r="F188" s="36" t="inlineStr">
        <is>
          <t>New</t>
        </is>
      </c>
      <c r="G188" s="36" t="inlineStr">
        <is>
          <t>Hiking</t>
        </is>
      </c>
      <c r="H188" s="36" t="inlineStr">
        <is>
          <t>Hiking Daypack 20L</t>
        </is>
      </c>
      <c r="I188" s="36" t="n">
        <v>3</v>
      </c>
      <c r="J188" s="39" t="n">
        <v>90.04000000000001</v>
      </c>
      <c r="K188" s="45" t="n">
        <v>0.05</v>
      </c>
      <c r="L188" s="39" t="n">
        <v>45.25</v>
      </c>
      <c r="M188" s="39">
        <f>I188*J188*(1-K188)</f>
        <v/>
      </c>
      <c r="N188" s="39">
        <f>I188*L188</f>
        <v/>
      </c>
      <c r="O188" s="39">
        <f>M188-N188</f>
        <v/>
      </c>
      <c r="P188" s="38">
        <f>IF(M188=0,0,O188/M188)</f>
        <v/>
      </c>
      <c r="Q188" s="36">
        <f>YEAR(B188)</f>
        <v/>
      </c>
      <c r="R188" s="36">
        <f>"Q"&amp;ROUNDUP(MONTH(B188)/3,0)</f>
        <v/>
      </c>
      <c r="S188" s="36">
        <f>MONTH(B188)</f>
        <v/>
      </c>
      <c r="T188" s="36">
        <f>TEXT(B188,"mmm")</f>
        <v/>
      </c>
      <c r="U188" s="36">
        <f>IF(AND(OR(sel_Region="All",C188=sel_Region),OR(sel_Country="All",D188=sel_Country),OR(sel_Channel="All",E188=sel_Channel),OR(sel_Customer="All",F188=sel_Customer),OR(sel_Category="All",G188=sel_Category),OR(sel_Product="All",H188=sel_Product),AND(S188&gt;=m_From,S188&lt;=m_To)),1,0)</f>
        <v/>
      </c>
      <c r="V188" s="36">
        <f>IF(AND(OR(sel_Region="All",C188=sel_Region),OR(sel_Channel="All",E188=sel_Channel),OR(sel_Customer="All",F188=sel_Customer),OR(sel_Category="All",G188=sel_Category),OR(sel_Product="All",H188=sel_Product),AND(S188&gt;=m_From,S188&lt;=m_To)),1,0)</f>
        <v/>
      </c>
      <c r="W188" s="36">
        <f>IF(AND(OR(sel_Region="All",C188=sel_Region),OR(sel_Country="All",D188=sel_Country),OR(sel_Customer="All",F188=sel_Customer),OR(sel_Category="All",G188=sel_Category),OR(sel_Product="All",H188=sel_Product),AND(S188&gt;=m_From,S188&lt;=m_To)),1,0)</f>
        <v/>
      </c>
      <c r="X188" s="36">
        <f>IF(AND(OR(sel_Region="All",C188=sel_Region),OR(sel_Country="All",D188=sel_Country),OR(sel_Channel="All",E188=sel_Channel),OR(sel_Category="All",G188=sel_Category),OR(sel_Product="All",H188=sel_Product),AND(S188&gt;=m_From,S188&lt;=m_To)),1,0)</f>
        <v/>
      </c>
      <c r="Y188" s="36">
        <f>IF(AND(OR(sel_Region="All",C188=sel_Region),OR(sel_Country="All",D188=sel_Country),OR(sel_Channel="All",E188=sel_Channel),OR(sel_Customer="All",F188=sel_Customer),OR(sel_Product="All",H188=sel_Product),AND(S188&gt;=m_From,S188&lt;=m_To)),1,0)</f>
        <v/>
      </c>
      <c r="Z188" s="36">
        <f>IF(AND(OR(sel_Region="All",C188=sel_Region),OR(sel_Country="All",D188=sel_Country),OR(sel_Channel="All",E188=sel_Channel),OR(sel_Customer="All",F188=sel_Customer),OR(sel_Category="All",G188=sel_Category),AND(S188&gt;=m_From,S188&lt;=m_To)),1,0)</f>
        <v/>
      </c>
      <c r="AA188" s="36">
        <f>IF(AND(OR(sel_Region="All",C188=sel_Region),OR(sel_Country="All",D188=sel_Country),OR(sel_Channel="All",E188=sel_Channel),OR(sel_Customer="All",F188=sel_Customer),OR(sel_Category="All",G188=sel_Category),OR(sel_Product="All",H188=sel_Product)),1,0)</f>
        <v/>
      </c>
    </row>
    <row r="189">
      <c r="A189" s="36" t="inlineStr">
        <is>
          <t>03614</t>
        </is>
      </c>
      <c r="B189" s="44" t="n">
        <v>46061</v>
      </c>
      <c r="C189" s="36" t="inlineStr">
        <is>
          <t>Central Europe</t>
        </is>
      </c>
      <c r="D189" s="36" t="inlineStr">
        <is>
          <t>Poland</t>
        </is>
      </c>
      <c r="E189" s="36" t="inlineStr">
        <is>
          <t>Online Store</t>
        </is>
      </c>
      <c r="F189" s="36" t="inlineStr">
        <is>
          <t>New</t>
        </is>
      </c>
      <c r="G189" s="36" t="inlineStr">
        <is>
          <t>Fitness</t>
        </is>
      </c>
      <c r="H189" s="36" t="inlineStr">
        <is>
          <t>Training Mat</t>
        </is>
      </c>
      <c r="I189" s="36" t="n">
        <v>3</v>
      </c>
      <c r="J189" s="39" t="n">
        <v>51.18</v>
      </c>
      <c r="K189" s="45" t="n">
        <v>0</v>
      </c>
      <c r="L189" s="39" t="n">
        <v>21.95</v>
      </c>
      <c r="M189" s="39">
        <f>I189*J189*(1-K189)</f>
        <v/>
      </c>
      <c r="N189" s="39">
        <f>I189*L189</f>
        <v/>
      </c>
      <c r="O189" s="39">
        <f>M189-N189</f>
        <v/>
      </c>
      <c r="P189" s="38">
        <f>IF(M189=0,0,O189/M189)</f>
        <v/>
      </c>
      <c r="Q189" s="36">
        <f>YEAR(B189)</f>
        <v/>
      </c>
      <c r="R189" s="36">
        <f>"Q"&amp;ROUNDUP(MONTH(B189)/3,0)</f>
        <v/>
      </c>
      <c r="S189" s="36">
        <f>MONTH(B189)</f>
        <v/>
      </c>
      <c r="T189" s="36">
        <f>TEXT(B189,"mmm")</f>
        <v/>
      </c>
      <c r="U189" s="36">
        <f>IF(AND(OR(sel_Region="All",C189=sel_Region),OR(sel_Country="All",D189=sel_Country),OR(sel_Channel="All",E189=sel_Channel),OR(sel_Customer="All",F189=sel_Customer),OR(sel_Category="All",G189=sel_Category),OR(sel_Product="All",H189=sel_Product),AND(S189&gt;=m_From,S189&lt;=m_To)),1,0)</f>
        <v/>
      </c>
      <c r="V189" s="36">
        <f>IF(AND(OR(sel_Region="All",C189=sel_Region),OR(sel_Channel="All",E189=sel_Channel),OR(sel_Customer="All",F189=sel_Customer),OR(sel_Category="All",G189=sel_Category),OR(sel_Product="All",H189=sel_Product),AND(S189&gt;=m_From,S189&lt;=m_To)),1,0)</f>
        <v/>
      </c>
      <c r="W189" s="36">
        <f>IF(AND(OR(sel_Region="All",C189=sel_Region),OR(sel_Country="All",D189=sel_Country),OR(sel_Customer="All",F189=sel_Customer),OR(sel_Category="All",G189=sel_Category),OR(sel_Product="All",H189=sel_Product),AND(S189&gt;=m_From,S189&lt;=m_To)),1,0)</f>
        <v/>
      </c>
      <c r="X189" s="36">
        <f>IF(AND(OR(sel_Region="All",C189=sel_Region),OR(sel_Country="All",D189=sel_Country),OR(sel_Channel="All",E189=sel_Channel),OR(sel_Category="All",G189=sel_Category),OR(sel_Product="All",H189=sel_Product),AND(S189&gt;=m_From,S189&lt;=m_To)),1,0)</f>
        <v/>
      </c>
      <c r="Y189" s="36">
        <f>IF(AND(OR(sel_Region="All",C189=sel_Region),OR(sel_Country="All",D189=sel_Country),OR(sel_Channel="All",E189=sel_Channel),OR(sel_Customer="All",F189=sel_Customer),OR(sel_Product="All",H189=sel_Product),AND(S189&gt;=m_From,S189&lt;=m_To)),1,0)</f>
        <v/>
      </c>
      <c r="Z189" s="36">
        <f>IF(AND(OR(sel_Region="All",C189=sel_Region),OR(sel_Country="All",D189=sel_Country),OR(sel_Channel="All",E189=sel_Channel),OR(sel_Customer="All",F189=sel_Customer),OR(sel_Category="All",G189=sel_Category),AND(S189&gt;=m_From,S189&lt;=m_To)),1,0)</f>
        <v/>
      </c>
      <c r="AA189" s="36">
        <f>IF(AND(OR(sel_Region="All",C189=sel_Region),OR(sel_Country="All",D189=sel_Country),OR(sel_Channel="All",E189=sel_Channel),OR(sel_Customer="All",F189=sel_Customer),OR(sel_Category="All",G189=sel_Category),OR(sel_Product="All",H189=sel_Product)),1,0)</f>
        <v/>
      </c>
    </row>
    <row r="190">
      <c r="A190" s="36" t="inlineStr">
        <is>
          <t>04360</t>
        </is>
      </c>
      <c r="B190" s="44" t="n">
        <v>46061</v>
      </c>
      <c r="C190" s="36" t="inlineStr">
        <is>
          <t>Southern Europe</t>
        </is>
      </c>
      <c r="D190" s="36" t="inlineStr">
        <is>
          <t>Italy</t>
        </is>
      </c>
      <c r="E190" s="36" t="inlineStr">
        <is>
          <t>Online Store</t>
        </is>
      </c>
      <c r="F190" s="36" t="inlineStr">
        <is>
          <t>New</t>
        </is>
      </c>
      <c r="G190" s="36" t="inlineStr">
        <is>
          <t>Travel</t>
        </is>
      </c>
      <c r="H190" s="36" t="inlineStr">
        <is>
          <t>Insulated Bottle</t>
        </is>
      </c>
      <c r="I190" s="36" t="n">
        <v>1</v>
      </c>
      <c r="J190" s="39" t="n">
        <v>35.69</v>
      </c>
      <c r="K190" s="45" t="n">
        <v>0</v>
      </c>
      <c r="L190" s="39" t="n">
        <v>13.38</v>
      </c>
      <c r="M190" s="39">
        <f>I190*J190*(1-K190)</f>
        <v/>
      </c>
      <c r="N190" s="39">
        <f>I190*L190</f>
        <v/>
      </c>
      <c r="O190" s="39">
        <f>M190-N190</f>
        <v/>
      </c>
      <c r="P190" s="38">
        <f>IF(M190=0,0,O190/M190)</f>
        <v/>
      </c>
      <c r="Q190" s="36">
        <f>YEAR(B190)</f>
        <v/>
      </c>
      <c r="R190" s="36">
        <f>"Q"&amp;ROUNDUP(MONTH(B190)/3,0)</f>
        <v/>
      </c>
      <c r="S190" s="36">
        <f>MONTH(B190)</f>
        <v/>
      </c>
      <c r="T190" s="36">
        <f>TEXT(B190,"mmm")</f>
        <v/>
      </c>
      <c r="U190" s="36">
        <f>IF(AND(OR(sel_Region="All",C190=sel_Region),OR(sel_Country="All",D190=sel_Country),OR(sel_Channel="All",E190=sel_Channel),OR(sel_Customer="All",F190=sel_Customer),OR(sel_Category="All",G190=sel_Category),OR(sel_Product="All",H190=sel_Product),AND(S190&gt;=m_From,S190&lt;=m_To)),1,0)</f>
        <v/>
      </c>
      <c r="V190" s="36">
        <f>IF(AND(OR(sel_Region="All",C190=sel_Region),OR(sel_Channel="All",E190=sel_Channel),OR(sel_Customer="All",F190=sel_Customer),OR(sel_Category="All",G190=sel_Category),OR(sel_Product="All",H190=sel_Product),AND(S190&gt;=m_From,S190&lt;=m_To)),1,0)</f>
        <v/>
      </c>
      <c r="W190" s="36">
        <f>IF(AND(OR(sel_Region="All",C190=sel_Region),OR(sel_Country="All",D190=sel_Country),OR(sel_Customer="All",F190=sel_Customer),OR(sel_Category="All",G190=sel_Category),OR(sel_Product="All",H190=sel_Product),AND(S190&gt;=m_From,S190&lt;=m_To)),1,0)</f>
        <v/>
      </c>
      <c r="X190" s="36">
        <f>IF(AND(OR(sel_Region="All",C190=sel_Region),OR(sel_Country="All",D190=sel_Country),OR(sel_Channel="All",E190=sel_Channel),OR(sel_Category="All",G190=sel_Category),OR(sel_Product="All",H190=sel_Product),AND(S190&gt;=m_From,S190&lt;=m_To)),1,0)</f>
        <v/>
      </c>
      <c r="Y190" s="36">
        <f>IF(AND(OR(sel_Region="All",C190=sel_Region),OR(sel_Country="All",D190=sel_Country),OR(sel_Channel="All",E190=sel_Channel),OR(sel_Customer="All",F190=sel_Customer),OR(sel_Product="All",H190=sel_Product),AND(S190&gt;=m_From,S190&lt;=m_To)),1,0)</f>
        <v/>
      </c>
      <c r="Z190" s="36">
        <f>IF(AND(OR(sel_Region="All",C190=sel_Region),OR(sel_Country="All",D190=sel_Country),OR(sel_Channel="All",E190=sel_Channel),OR(sel_Customer="All",F190=sel_Customer),OR(sel_Category="All",G190=sel_Category),AND(S190&gt;=m_From,S190&lt;=m_To)),1,0)</f>
        <v/>
      </c>
      <c r="AA190" s="36">
        <f>IF(AND(OR(sel_Region="All",C190=sel_Region),OR(sel_Country="All",D190=sel_Country),OR(sel_Channel="All",E190=sel_Channel),OR(sel_Customer="All",F190=sel_Customer),OR(sel_Category="All",G190=sel_Category),OR(sel_Product="All",H190=sel_Product)),1,0)</f>
        <v/>
      </c>
    </row>
    <row r="191">
      <c r="A191" s="36" t="inlineStr">
        <is>
          <t>04582</t>
        </is>
      </c>
      <c r="B191" s="44" t="n">
        <v>46061</v>
      </c>
      <c r="C191" s="36" t="inlineStr">
        <is>
          <t>Western Europe</t>
        </is>
      </c>
      <c r="D191" s="36" t="inlineStr">
        <is>
          <t>Netherlands</t>
        </is>
      </c>
      <c r="E191" s="36" t="inlineStr">
        <is>
          <t>Online Store</t>
        </is>
      </c>
      <c r="F191" s="36" t="inlineStr">
        <is>
          <t>New</t>
        </is>
      </c>
      <c r="G191" s="36" t="inlineStr">
        <is>
          <t>Cycling</t>
        </is>
      </c>
      <c r="H191" s="36" t="inlineStr">
        <is>
          <t>Trail Bike Light</t>
        </is>
      </c>
      <c r="I191" s="36" t="n">
        <v>3</v>
      </c>
      <c r="J191" s="39" t="n">
        <v>50.29</v>
      </c>
      <c r="K191" s="45" t="n">
        <v>0.05</v>
      </c>
      <c r="L191" s="39" t="n">
        <v>22.87</v>
      </c>
      <c r="M191" s="39">
        <f>I191*J191*(1-K191)</f>
        <v/>
      </c>
      <c r="N191" s="39">
        <f>I191*L191</f>
        <v/>
      </c>
      <c r="O191" s="39">
        <f>M191-N191</f>
        <v/>
      </c>
      <c r="P191" s="38">
        <f>IF(M191=0,0,O191/M191)</f>
        <v/>
      </c>
      <c r="Q191" s="36">
        <f>YEAR(B191)</f>
        <v/>
      </c>
      <c r="R191" s="36">
        <f>"Q"&amp;ROUNDUP(MONTH(B191)/3,0)</f>
        <v/>
      </c>
      <c r="S191" s="36">
        <f>MONTH(B191)</f>
        <v/>
      </c>
      <c r="T191" s="36">
        <f>TEXT(B191,"mmm")</f>
        <v/>
      </c>
      <c r="U191" s="36">
        <f>IF(AND(OR(sel_Region="All",C191=sel_Region),OR(sel_Country="All",D191=sel_Country),OR(sel_Channel="All",E191=sel_Channel),OR(sel_Customer="All",F191=sel_Customer),OR(sel_Category="All",G191=sel_Category),OR(sel_Product="All",H191=sel_Product),AND(S191&gt;=m_From,S191&lt;=m_To)),1,0)</f>
        <v/>
      </c>
      <c r="V191" s="36">
        <f>IF(AND(OR(sel_Region="All",C191=sel_Region),OR(sel_Channel="All",E191=sel_Channel),OR(sel_Customer="All",F191=sel_Customer),OR(sel_Category="All",G191=sel_Category),OR(sel_Product="All",H191=sel_Product),AND(S191&gt;=m_From,S191&lt;=m_To)),1,0)</f>
        <v/>
      </c>
      <c r="W191" s="36">
        <f>IF(AND(OR(sel_Region="All",C191=sel_Region),OR(sel_Country="All",D191=sel_Country),OR(sel_Customer="All",F191=sel_Customer),OR(sel_Category="All",G191=sel_Category),OR(sel_Product="All",H191=sel_Product),AND(S191&gt;=m_From,S191&lt;=m_To)),1,0)</f>
        <v/>
      </c>
      <c r="X191" s="36">
        <f>IF(AND(OR(sel_Region="All",C191=sel_Region),OR(sel_Country="All",D191=sel_Country),OR(sel_Channel="All",E191=sel_Channel),OR(sel_Category="All",G191=sel_Category),OR(sel_Product="All",H191=sel_Product),AND(S191&gt;=m_From,S191&lt;=m_To)),1,0)</f>
        <v/>
      </c>
      <c r="Y191" s="36">
        <f>IF(AND(OR(sel_Region="All",C191=sel_Region),OR(sel_Country="All",D191=sel_Country),OR(sel_Channel="All",E191=sel_Channel),OR(sel_Customer="All",F191=sel_Customer),OR(sel_Product="All",H191=sel_Product),AND(S191&gt;=m_From,S191&lt;=m_To)),1,0)</f>
        <v/>
      </c>
      <c r="Z191" s="36">
        <f>IF(AND(OR(sel_Region="All",C191=sel_Region),OR(sel_Country="All",D191=sel_Country),OR(sel_Channel="All",E191=sel_Channel),OR(sel_Customer="All",F191=sel_Customer),OR(sel_Category="All",G191=sel_Category),AND(S191&gt;=m_From,S191&lt;=m_To)),1,0)</f>
        <v/>
      </c>
      <c r="AA191" s="36">
        <f>IF(AND(OR(sel_Region="All",C191=sel_Region),OR(sel_Country="All",D191=sel_Country),OR(sel_Channel="All",E191=sel_Channel),OR(sel_Customer="All",F191=sel_Customer),OR(sel_Category="All",G191=sel_Category),OR(sel_Product="All",H191=sel_Product)),1,0)</f>
        <v/>
      </c>
    </row>
    <row r="192">
      <c r="A192" s="36" t="inlineStr">
        <is>
          <t>04381</t>
        </is>
      </c>
      <c r="B192" s="44" t="n">
        <v>46062</v>
      </c>
      <c r="C192" s="36" t="inlineStr">
        <is>
          <t>Central Europe</t>
        </is>
      </c>
      <c r="D192" s="36" t="inlineStr">
        <is>
          <t>Germany</t>
        </is>
      </c>
      <c r="E192" s="36" t="inlineStr">
        <is>
          <t>Marketplace</t>
        </is>
      </c>
      <c r="F192" s="36" t="inlineStr">
        <is>
          <t>Returning</t>
        </is>
      </c>
      <c r="G192" s="36" t="inlineStr">
        <is>
          <t>Camping</t>
        </is>
      </c>
      <c r="H192" s="36" t="inlineStr">
        <is>
          <t>Trail Tent 2P</t>
        </is>
      </c>
      <c r="I192" s="36" t="n">
        <v>1</v>
      </c>
      <c r="J192" s="39" t="n">
        <v>194.32</v>
      </c>
      <c r="K192" s="45" t="n">
        <v>0.05</v>
      </c>
      <c r="L192" s="39" t="n">
        <v>102.52</v>
      </c>
      <c r="M192" s="39">
        <f>I192*J192*(1-K192)</f>
        <v/>
      </c>
      <c r="N192" s="39">
        <f>I192*L192</f>
        <v/>
      </c>
      <c r="O192" s="39">
        <f>M192-N192</f>
        <v/>
      </c>
      <c r="P192" s="38">
        <f>IF(M192=0,0,O192/M192)</f>
        <v/>
      </c>
      <c r="Q192" s="36">
        <f>YEAR(B192)</f>
        <v/>
      </c>
      <c r="R192" s="36">
        <f>"Q"&amp;ROUNDUP(MONTH(B192)/3,0)</f>
        <v/>
      </c>
      <c r="S192" s="36">
        <f>MONTH(B192)</f>
        <v/>
      </c>
      <c r="T192" s="36">
        <f>TEXT(B192,"mmm")</f>
        <v/>
      </c>
      <c r="U192" s="36">
        <f>IF(AND(OR(sel_Region="All",C192=sel_Region),OR(sel_Country="All",D192=sel_Country),OR(sel_Channel="All",E192=sel_Channel),OR(sel_Customer="All",F192=sel_Customer),OR(sel_Category="All",G192=sel_Category),OR(sel_Product="All",H192=sel_Product),AND(S192&gt;=m_From,S192&lt;=m_To)),1,0)</f>
        <v/>
      </c>
      <c r="V192" s="36">
        <f>IF(AND(OR(sel_Region="All",C192=sel_Region),OR(sel_Channel="All",E192=sel_Channel),OR(sel_Customer="All",F192=sel_Customer),OR(sel_Category="All",G192=sel_Category),OR(sel_Product="All",H192=sel_Product),AND(S192&gt;=m_From,S192&lt;=m_To)),1,0)</f>
        <v/>
      </c>
      <c r="W192" s="36">
        <f>IF(AND(OR(sel_Region="All",C192=sel_Region),OR(sel_Country="All",D192=sel_Country),OR(sel_Customer="All",F192=sel_Customer),OR(sel_Category="All",G192=sel_Category),OR(sel_Product="All",H192=sel_Product),AND(S192&gt;=m_From,S192&lt;=m_To)),1,0)</f>
        <v/>
      </c>
      <c r="X192" s="36">
        <f>IF(AND(OR(sel_Region="All",C192=sel_Region),OR(sel_Country="All",D192=sel_Country),OR(sel_Channel="All",E192=sel_Channel),OR(sel_Category="All",G192=sel_Category),OR(sel_Product="All",H192=sel_Product),AND(S192&gt;=m_From,S192&lt;=m_To)),1,0)</f>
        <v/>
      </c>
      <c r="Y192" s="36">
        <f>IF(AND(OR(sel_Region="All",C192=sel_Region),OR(sel_Country="All",D192=sel_Country),OR(sel_Channel="All",E192=sel_Channel),OR(sel_Customer="All",F192=sel_Customer),OR(sel_Product="All",H192=sel_Product),AND(S192&gt;=m_From,S192&lt;=m_To)),1,0)</f>
        <v/>
      </c>
      <c r="Z192" s="36">
        <f>IF(AND(OR(sel_Region="All",C192=sel_Region),OR(sel_Country="All",D192=sel_Country),OR(sel_Channel="All",E192=sel_Channel),OR(sel_Customer="All",F192=sel_Customer),OR(sel_Category="All",G192=sel_Category),AND(S192&gt;=m_From,S192&lt;=m_To)),1,0)</f>
        <v/>
      </c>
      <c r="AA192" s="36">
        <f>IF(AND(OR(sel_Region="All",C192=sel_Region),OR(sel_Country="All",D192=sel_Country),OR(sel_Channel="All",E192=sel_Channel),OR(sel_Customer="All",F192=sel_Customer),OR(sel_Category="All",G192=sel_Category),OR(sel_Product="All",H192=sel_Product)),1,0)</f>
        <v/>
      </c>
    </row>
    <row r="193">
      <c r="A193" s="36" t="inlineStr">
        <is>
          <t>04964</t>
        </is>
      </c>
      <c r="B193" s="44" t="n">
        <v>46062</v>
      </c>
      <c r="C193" s="36" t="inlineStr">
        <is>
          <t>Western Europe</t>
        </is>
      </c>
      <c r="D193" s="36" t="inlineStr">
        <is>
          <t>France</t>
        </is>
      </c>
      <c r="E193" s="36" t="inlineStr">
        <is>
          <t>Retail Partners</t>
        </is>
      </c>
      <c r="F193" s="36" t="inlineStr">
        <is>
          <t>New</t>
        </is>
      </c>
      <c r="G193" s="36" t="inlineStr">
        <is>
          <t>Fitness</t>
        </is>
      </c>
      <c r="H193" s="36" t="inlineStr">
        <is>
          <t>Resistance Band Set</t>
        </is>
      </c>
      <c r="I193" s="36" t="n">
        <v>4</v>
      </c>
      <c r="J193" s="39" t="n">
        <v>40.44</v>
      </c>
      <c r="K193" s="45" t="n">
        <v>0</v>
      </c>
      <c r="L193" s="39" t="n">
        <v>14.75</v>
      </c>
      <c r="M193" s="39">
        <f>I193*J193*(1-K193)</f>
        <v/>
      </c>
      <c r="N193" s="39">
        <f>I193*L193</f>
        <v/>
      </c>
      <c r="O193" s="39">
        <f>M193-N193</f>
        <v/>
      </c>
      <c r="P193" s="38">
        <f>IF(M193=0,0,O193/M193)</f>
        <v/>
      </c>
      <c r="Q193" s="36">
        <f>YEAR(B193)</f>
        <v/>
      </c>
      <c r="R193" s="36">
        <f>"Q"&amp;ROUNDUP(MONTH(B193)/3,0)</f>
        <v/>
      </c>
      <c r="S193" s="36">
        <f>MONTH(B193)</f>
        <v/>
      </c>
      <c r="T193" s="36">
        <f>TEXT(B193,"mmm")</f>
        <v/>
      </c>
      <c r="U193" s="36">
        <f>IF(AND(OR(sel_Region="All",C193=sel_Region),OR(sel_Country="All",D193=sel_Country),OR(sel_Channel="All",E193=sel_Channel),OR(sel_Customer="All",F193=sel_Customer),OR(sel_Category="All",G193=sel_Category),OR(sel_Product="All",H193=sel_Product),AND(S193&gt;=m_From,S193&lt;=m_To)),1,0)</f>
        <v/>
      </c>
      <c r="V193" s="36">
        <f>IF(AND(OR(sel_Region="All",C193=sel_Region),OR(sel_Channel="All",E193=sel_Channel),OR(sel_Customer="All",F193=sel_Customer),OR(sel_Category="All",G193=sel_Category),OR(sel_Product="All",H193=sel_Product),AND(S193&gt;=m_From,S193&lt;=m_To)),1,0)</f>
        <v/>
      </c>
      <c r="W193" s="36">
        <f>IF(AND(OR(sel_Region="All",C193=sel_Region),OR(sel_Country="All",D193=sel_Country),OR(sel_Customer="All",F193=sel_Customer),OR(sel_Category="All",G193=sel_Category),OR(sel_Product="All",H193=sel_Product),AND(S193&gt;=m_From,S193&lt;=m_To)),1,0)</f>
        <v/>
      </c>
      <c r="X193" s="36">
        <f>IF(AND(OR(sel_Region="All",C193=sel_Region),OR(sel_Country="All",D193=sel_Country),OR(sel_Channel="All",E193=sel_Channel),OR(sel_Category="All",G193=sel_Category),OR(sel_Product="All",H193=sel_Product),AND(S193&gt;=m_From,S193&lt;=m_To)),1,0)</f>
        <v/>
      </c>
      <c r="Y193" s="36">
        <f>IF(AND(OR(sel_Region="All",C193=sel_Region),OR(sel_Country="All",D193=sel_Country),OR(sel_Channel="All",E193=sel_Channel),OR(sel_Customer="All",F193=sel_Customer),OR(sel_Product="All",H193=sel_Product),AND(S193&gt;=m_From,S193&lt;=m_To)),1,0)</f>
        <v/>
      </c>
      <c r="Z193" s="36">
        <f>IF(AND(OR(sel_Region="All",C193=sel_Region),OR(sel_Country="All",D193=sel_Country),OR(sel_Channel="All",E193=sel_Channel),OR(sel_Customer="All",F193=sel_Customer),OR(sel_Category="All",G193=sel_Category),AND(S193&gt;=m_From,S193&lt;=m_To)),1,0)</f>
        <v/>
      </c>
      <c r="AA193" s="36">
        <f>IF(AND(OR(sel_Region="All",C193=sel_Region),OR(sel_Country="All",D193=sel_Country),OR(sel_Channel="All",E193=sel_Channel),OR(sel_Customer="All",F193=sel_Customer),OR(sel_Category="All",G193=sel_Category),OR(sel_Product="All",H193=sel_Product)),1,0)</f>
        <v/>
      </c>
    </row>
    <row r="194">
      <c r="A194" s="36" t="inlineStr">
        <is>
          <t>00255</t>
        </is>
      </c>
      <c r="B194" s="44" t="n">
        <v>46063</v>
      </c>
      <c r="C194" s="36" t="inlineStr">
        <is>
          <t>Western Europe</t>
        </is>
      </c>
      <c r="D194" s="36" t="inlineStr">
        <is>
          <t>Netherlands</t>
        </is>
      </c>
      <c r="E194" s="36" t="inlineStr">
        <is>
          <t>Online Store</t>
        </is>
      </c>
      <c r="F194" s="36" t="inlineStr">
        <is>
          <t>New</t>
        </is>
      </c>
      <c r="G194" s="36" t="inlineStr">
        <is>
          <t>Travel</t>
        </is>
      </c>
      <c r="H194" s="36" t="inlineStr">
        <is>
          <t>Carry-On Duffel</t>
        </is>
      </c>
      <c r="I194" s="36" t="n">
        <v>3</v>
      </c>
      <c r="J194" s="39" t="n">
        <v>134.53</v>
      </c>
      <c r="K194" s="45" t="n">
        <v>0.1</v>
      </c>
      <c r="L194" s="39" t="n">
        <v>69.12</v>
      </c>
      <c r="M194" s="39">
        <f>I194*J194*(1-K194)</f>
        <v/>
      </c>
      <c r="N194" s="39">
        <f>I194*L194</f>
        <v/>
      </c>
      <c r="O194" s="39">
        <f>M194-N194</f>
        <v/>
      </c>
      <c r="P194" s="38">
        <f>IF(M194=0,0,O194/M194)</f>
        <v/>
      </c>
      <c r="Q194" s="36">
        <f>YEAR(B194)</f>
        <v/>
      </c>
      <c r="R194" s="36">
        <f>"Q"&amp;ROUNDUP(MONTH(B194)/3,0)</f>
        <v/>
      </c>
      <c r="S194" s="36">
        <f>MONTH(B194)</f>
        <v/>
      </c>
      <c r="T194" s="36">
        <f>TEXT(B194,"mmm")</f>
        <v/>
      </c>
      <c r="U194" s="36">
        <f>IF(AND(OR(sel_Region="All",C194=sel_Region),OR(sel_Country="All",D194=sel_Country),OR(sel_Channel="All",E194=sel_Channel),OR(sel_Customer="All",F194=sel_Customer),OR(sel_Category="All",G194=sel_Category),OR(sel_Product="All",H194=sel_Product),AND(S194&gt;=m_From,S194&lt;=m_To)),1,0)</f>
        <v/>
      </c>
      <c r="V194" s="36">
        <f>IF(AND(OR(sel_Region="All",C194=sel_Region),OR(sel_Channel="All",E194=sel_Channel),OR(sel_Customer="All",F194=sel_Customer),OR(sel_Category="All",G194=sel_Category),OR(sel_Product="All",H194=sel_Product),AND(S194&gt;=m_From,S194&lt;=m_To)),1,0)</f>
        <v/>
      </c>
      <c r="W194" s="36">
        <f>IF(AND(OR(sel_Region="All",C194=sel_Region),OR(sel_Country="All",D194=sel_Country),OR(sel_Customer="All",F194=sel_Customer),OR(sel_Category="All",G194=sel_Category),OR(sel_Product="All",H194=sel_Product),AND(S194&gt;=m_From,S194&lt;=m_To)),1,0)</f>
        <v/>
      </c>
      <c r="X194" s="36">
        <f>IF(AND(OR(sel_Region="All",C194=sel_Region),OR(sel_Country="All",D194=sel_Country),OR(sel_Channel="All",E194=sel_Channel),OR(sel_Category="All",G194=sel_Category),OR(sel_Product="All",H194=sel_Product),AND(S194&gt;=m_From,S194&lt;=m_To)),1,0)</f>
        <v/>
      </c>
      <c r="Y194" s="36">
        <f>IF(AND(OR(sel_Region="All",C194=sel_Region),OR(sel_Country="All",D194=sel_Country),OR(sel_Channel="All",E194=sel_Channel),OR(sel_Customer="All",F194=sel_Customer),OR(sel_Product="All",H194=sel_Product),AND(S194&gt;=m_From,S194&lt;=m_To)),1,0)</f>
        <v/>
      </c>
      <c r="Z194" s="36">
        <f>IF(AND(OR(sel_Region="All",C194=sel_Region),OR(sel_Country="All",D194=sel_Country),OR(sel_Channel="All",E194=sel_Channel),OR(sel_Customer="All",F194=sel_Customer),OR(sel_Category="All",G194=sel_Category),AND(S194&gt;=m_From,S194&lt;=m_To)),1,0)</f>
        <v/>
      </c>
      <c r="AA194" s="36">
        <f>IF(AND(OR(sel_Region="All",C194=sel_Region),OR(sel_Country="All",D194=sel_Country),OR(sel_Channel="All",E194=sel_Channel),OR(sel_Customer="All",F194=sel_Customer),OR(sel_Category="All",G194=sel_Category),OR(sel_Product="All",H194=sel_Product)),1,0)</f>
        <v/>
      </c>
    </row>
    <row r="195">
      <c r="A195" s="36" t="inlineStr">
        <is>
          <t>02178</t>
        </is>
      </c>
      <c r="B195" s="44" t="n">
        <v>46063</v>
      </c>
      <c r="C195" s="36" t="inlineStr">
        <is>
          <t>Northern Europe</t>
        </is>
      </c>
      <c r="D195" s="36" t="inlineStr">
        <is>
          <t>Sweden</t>
        </is>
      </c>
      <c r="E195" s="36" t="inlineStr">
        <is>
          <t>Marketplace</t>
        </is>
      </c>
      <c r="F195" s="36" t="inlineStr">
        <is>
          <t>New</t>
        </is>
      </c>
      <c r="G195" s="36" t="inlineStr">
        <is>
          <t>Hiking</t>
        </is>
      </c>
      <c r="H195" s="36" t="inlineStr">
        <is>
          <t>Summit Backpack 45L</t>
        </is>
      </c>
      <c r="I195" s="36" t="n">
        <v>6</v>
      </c>
      <c r="J195" s="39" t="n">
        <v>154.05</v>
      </c>
      <c r="K195" s="45" t="n">
        <v>0</v>
      </c>
      <c r="L195" s="39" t="n">
        <v>79.25</v>
      </c>
      <c r="M195" s="39">
        <f>I195*J195*(1-K195)</f>
        <v/>
      </c>
      <c r="N195" s="39">
        <f>I195*L195</f>
        <v/>
      </c>
      <c r="O195" s="39">
        <f>M195-N195</f>
        <v/>
      </c>
      <c r="P195" s="38">
        <f>IF(M195=0,0,O195/M195)</f>
        <v/>
      </c>
      <c r="Q195" s="36">
        <f>YEAR(B195)</f>
        <v/>
      </c>
      <c r="R195" s="36">
        <f>"Q"&amp;ROUNDUP(MONTH(B195)/3,0)</f>
        <v/>
      </c>
      <c r="S195" s="36">
        <f>MONTH(B195)</f>
        <v/>
      </c>
      <c r="T195" s="36">
        <f>TEXT(B195,"mmm")</f>
        <v/>
      </c>
      <c r="U195" s="36">
        <f>IF(AND(OR(sel_Region="All",C195=sel_Region),OR(sel_Country="All",D195=sel_Country),OR(sel_Channel="All",E195=sel_Channel),OR(sel_Customer="All",F195=sel_Customer),OR(sel_Category="All",G195=sel_Category),OR(sel_Product="All",H195=sel_Product),AND(S195&gt;=m_From,S195&lt;=m_To)),1,0)</f>
        <v/>
      </c>
      <c r="V195" s="36">
        <f>IF(AND(OR(sel_Region="All",C195=sel_Region),OR(sel_Channel="All",E195=sel_Channel),OR(sel_Customer="All",F195=sel_Customer),OR(sel_Category="All",G195=sel_Category),OR(sel_Product="All",H195=sel_Product),AND(S195&gt;=m_From,S195&lt;=m_To)),1,0)</f>
        <v/>
      </c>
      <c r="W195" s="36">
        <f>IF(AND(OR(sel_Region="All",C195=sel_Region),OR(sel_Country="All",D195=sel_Country),OR(sel_Customer="All",F195=sel_Customer),OR(sel_Category="All",G195=sel_Category),OR(sel_Product="All",H195=sel_Product),AND(S195&gt;=m_From,S195&lt;=m_To)),1,0)</f>
        <v/>
      </c>
      <c r="X195" s="36">
        <f>IF(AND(OR(sel_Region="All",C195=sel_Region),OR(sel_Country="All",D195=sel_Country),OR(sel_Channel="All",E195=sel_Channel),OR(sel_Category="All",G195=sel_Category),OR(sel_Product="All",H195=sel_Product),AND(S195&gt;=m_From,S195&lt;=m_To)),1,0)</f>
        <v/>
      </c>
      <c r="Y195" s="36">
        <f>IF(AND(OR(sel_Region="All",C195=sel_Region),OR(sel_Country="All",D195=sel_Country),OR(sel_Channel="All",E195=sel_Channel),OR(sel_Customer="All",F195=sel_Customer),OR(sel_Product="All",H195=sel_Product),AND(S195&gt;=m_From,S195&lt;=m_To)),1,0)</f>
        <v/>
      </c>
      <c r="Z195" s="36">
        <f>IF(AND(OR(sel_Region="All",C195=sel_Region),OR(sel_Country="All",D195=sel_Country),OR(sel_Channel="All",E195=sel_Channel),OR(sel_Customer="All",F195=sel_Customer),OR(sel_Category="All",G195=sel_Category),AND(S195&gt;=m_From,S195&lt;=m_To)),1,0)</f>
        <v/>
      </c>
      <c r="AA195" s="36">
        <f>IF(AND(OR(sel_Region="All",C195=sel_Region),OR(sel_Country="All",D195=sel_Country),OR(sel_Channel="All",E195=sel_Channel),OR(sel_Customer="All",F195=sel_Customer),OR(sel_Category="All",G195=sel_Category),OR(sel_Product="All",H195=sel_Product)),1,0)</f>
        <v/>
      </c>
    </row>
    <row r="196">
      <c r="A196" s="36" t="inlineStr">
        <is>
          <t>03416</t>
        </is>
      </c>
      <c r="B196" s="44" t="n">
        <v>46063</v>
      </c>
      <c r="C196" s="36" t="inlineStr">
        <is>
          <t>Northern Europe</t>
        </is>
      </c>
      <c r="D196" s="36" t="inlineStr">
        <is>
          <t>Sweden</t>
        </is>
      </c>
      <c r="E196" s="36" t="inlineStr">
        <is>
          <t>Online Store</t>
        </is>
      </c>
      <c r="F196" s="36" t="inlineStr">
        <is>
          <t>New</t>
        </is>
      </c>
      <c r="G196" s="36" t="inlineStr">
        <is>
          <t>Travel</t>
        </is>
      </c>
      <c r="H196" s="36" t="inlineStr">
        <is>
          <t>Carry-On Duffel</t>
        </is>
      </c>
      <c r="I196" s="36" t="n">
        <v>1</v>
      </c>
      <c r="J196" s="39" t="n">
        <v>135.4</v>
      </c>
      <c r="K196" s="45" t="n">
        <v>0</v>
      </c>
      <c r="L196" s="39" t="n">
        <v>67.56</v>
      </c>
      <c r="M196" s="39">
        <f>I196*J196*(1-K196)</f>
        <v/>
      </c>
      <c r="N196" s="39">
        <f>I196*L196</f>
        <v/>
      </c>
      <c r="O196" s="39">
        <f>M196-N196</f>
        <v/>
      </c>
      <c r="P196" s="38">
        <f>IF(M196=0,0,O196/M196)</f>
        <v/>
      </c>
      <c r="Q196" s="36">
        <f>YEAR(B196)</f>
        <v/>
      </c>
      <c r="R196" s="36">
        <f>"Q"&amp;ROUNDUP(MONTH(B196)/3,0)</f>
        <v/>
      </c>
      <c r="S196" s="36">
        <f>MONTH(B196)</f>
        <v/>
      </c>
      <c r="T196" s="36">
        <f>TEXT(B196,"mmm")</f>
        <v/>
      </c>
      <c r="U196" s="36">
        <f>IF(AND(OR(sel_Region="All",C196=sel_Region),OR(sel_Country="All",D196=sel_Country),OR(sel_Channel="All",E196=sel_Channel),OR(sel_Customer="All",F196=sel_Customer),OR(sel_Category="All",G196=sel_Category),OR(sel_Product="All",H196=sel_Product),AND(S196&gt;=m_From,S196&lt;=m_To)),1,0)</f>
        <v/>
      </c>
      <c r="V196" s="36">
        <f>IF(AND(OR(sel_Region="All",C196=sel_Region),OR(sel_Channel="All",E196=sel_Channel),OR(sel_Customer="All",F196=sel_Customer),OR(sel_Category="All",G196=sel_Category),OR(sel_Product="All",H196=sel_Product),AND(S196&gt;=m_From,S196&lt;=m_To)),1,0)</f>
        <v/>
      </c>
      <c r="W196" s="36">
        <f>IF(AND(OR(sel_Region="All",C196=sel_Region),OR(sel_Country="All",D196=sel_Country),OR(sel_Customer="All",F196=sel_Customer),OR(sel_Category="All",G196=sel_Category),OR(sel_Product="All",H196=sel_Product),AND(S196&gt;=m_From,S196&lt;=m_To)),1,0)</f>
        <v/>
      </c>
      <c r="X196" s="36">
        <f>IF(AND(OR(sel_Region="All",C196=sel_Region),OR(sel_Country="All",D196=sel_Country),OR(sel_Channel="All",E196=sel_Channel),OR(sel_Category="All",G196=sel_Category),OR(sel_Product="All",H196=sel_Product),AND(S196&gt;=m_From,S196&lt;=m_To)),1,0)</f>
        <v/>
      </c>
      <c r="Y196" s="36">
        <f>IF(AND(OR(sel_Region="All",C196=sel_Region),OR(sel_Country="All",D196=sel_Country),OR(sel_Channel="All",E196=sel_Channel),OR(sel_Customer="All",F196=sel_Customer),OR(sel_Product="All",H196=sel_Product),AND(S196&gt;=m_From,S196&lt;=m_To)),1,0)</f>
        <v/>
      </c>
      <c r="Z196" s="36">
        <f>IF(AND(OR(sel_Region="All",C196=sel_Region),OR(sel_Country="All",D196=sel_Country),OR(sel_Channel="All",E196=sel_Channel),OR(sel_Customer="All",F196=sel_Customer),OR(sel_Category="All",G196=sel_Category),AND(S196&gt;=m_From,S196&lt;=m_To)),1,0)</f>
        <v/>
      </c>
      <c r="AA196" s="36">
        <f>IF(AND(OR(sel_Region="All",C196=sel_Region),OR(sel_Country="All",D196=sel_Country),OR(sel_Channel="All",E196=sel_Channel),OR(sel_Customer="All",F196=sel_Customer),OR(sel_Category="All",G196=sel_Category),OR(sel_Product="All",H196=sel_Product)),1,0)</f>
        <v/>
      </c>
    </row>
    <row r="197">
      <c r="A197" s="36" t="inlineStr">
        <is>
          <t>03854</t>
        </is>
      </c>
      <c r="B197" s="44" t="n">
        <v>46063</v>
      </c>
      <c r="C197" s="36" t="inlineStr">
        <is>
          <t>Southern Europe</t>
        </is>
      </c>
      <c r="D197" s="36" t="inlineStr">
        <is>
          <t>Spain</t>
        </is>
      </c>
      <c r="E197" s="36" t="inlineStr">
        <is>
          <t>Online Store</t>
        </is>
      </c>
      <c r="F197" s="36" t="inlineStr">
        <is>
          <t>New</t>
        </is>
      </c>
      <c r="G197" s="36" t="inlineStr">
        <is>
          <t>Cycling</t>
        </is>
      </c>
      <c r="H197" s="36" t="inlineStr">
        <is>
          <t>Compact Repair Kit</t>
        </is>
      </c>
      <c r="I197" s="36" t="n">
        <v>2</v>
      </c>
      <c r="J197" s="39" t="n">
        <v>41.03</v>
      </c>
      <c r="K197" s="45" t="n">
        <v>0</v>
      </c>
      <c r="L197" s="39" t="n">
        <v>16.26</v>
      </c>
      <c r="M197" s="39">
        <f>I197*J197*(1-K197)</f>
        <v/>
      </c>
      <c r="N197" s="39">
        <f>I197*L197</f>
        <v/>
      </c>
      <c r="O197" s="39">
        <f>M197-N197</f>
        <v/>
      </c>
      <c r="P197" s="38">
        <f>IF(M197=0,0,O197/M197)</f>
        <v/>
      </c>
      <c r="Q197" s="36">
        <f>YEAR(B197)</f>
        <v/>
      </c>
      <c r="R197" s="36">
        <f>"Q"&amp;ROUNDUP(MONTH(B197)/3,0)</f>
        <v/>
      </c>
      <c r="S197" s="36">
        <f>MONTH(B197)</f>
        <v/>
      </c>
      <c r="T197" s="36">
        <f>TEXT(B197,"mmm")</f>
        <v/>
      </c>
      <c r="U197" s="36">
        <f>IF(AND(OR(sel_Region="All",C197=sel_Region),OR(sel_Country="All",D197=sel_Country),OR(sel_Channel="All",E197=sel_Channel),OR(sel_Customer="All",F197=sel_Customer),OR(sel_Category="All",G197=sel_Category),OR(sel_Product="All",H197=sel_Product),AND(S197&gt;=m_From,S197&lt;=m_To)),1,0)</f>
        <v/>
      </c>
      <c r="V197" s="36">
        <f>IF(AND(OR(sel_Region="All",C197=sel_Region),OR(sel_Channel="All",E197=sel_Channel),OR(sel_Customer="All",F197=sel_Customer),OR(sel_Category="All",G197=sel_Category),OR(sel_Product="All",H197=sel_Product),AND(S197&gt;=m_From,S197&lt;=m_To)),1,0)</f>
        <v/>
      </c>
      <c r="W197" s="36">
        <f>IF(AND(OR(sel_Region="All",C197=sel_Region),OR(sel_Country="All",D197=sel_Country),OR(sel_Customer="All",F197=sel_Customer),OR(sel_Category="All",G197=sel_Category),OR(sel_Product="All",H197=sel_Product),AND(S197&gt;=m_From,S197&lt;=m_To)),1,0)</f>
        <v/>
      </c>
      <c r="X197" s="36">
        <f>IF(AND(OR(sel_Region="All",C197=sel_Region),OR(sel_Country="All",D197=sel_Country),OR(sel_Channel="All",E197=sel_Channel),OR(sel_Category="All",G197=sel_Category),OR(sel_Product="All",H197=sel_Product),AND(S197&gt;=m_From,S197&lt;=m_To)),1,0)</f>
        <v/>
      </c>
      <c r="Y197" s="36">
        <f>IF(AND(OR(sel_Region="All",C197=sel_Region),OR(sel_Country="All",D197=sel_Country),OR(sel_Channel="All",E197=sel_Channel),OR(sel_Customer="All",F197=sel_Customer),OR(sel_Product="All",H197=sel_Product),AND(S197&gt;=m_From,S197&lt;=m_To)),1,0)</f>
        <v/>
      </c>
      <c r="Z197" s="36">
        <f>IF(AND(OR(sel_Region="All",C197=sel_Region),OR(sel_Country="All",D197=sel_Country),OR(sel_Channel="All",E197=sel_Channel),OR(sel_Customer="All",F197=sel_Customer),OR(sel_Category="All",G197=sel_Category),AND(S197&gt;=m_From,S197&lt;=m_To)),1,0)</f>
        <v/>
      </c>
      <c r="AA197" s="36">
        <f>IF(AND(OR(sel_Region="All",C197=sel_Region),OR(sel_Country="All",D197=sel_Country),OR(sel_Channel="All",E197=sel_Channel),OR(sel_Customer="All",F197=sel_Customer),OR(sel_Category="All",G197=sel_Category),OR(sel_Product="All",H197=sel_Product)),1,0)</f>
        <v/>
      </c>
    </row>
    <row r="198">
      <c r="A198" s="36" t="inlineStr">
        <is>
          <t>03952</t>
        </is>
      </c>
      <c r="B198" s="44" t="n">
        <v>46063</v>
      </c>
      <c r="C198" s="36" t="inlineStr">
        <is>
          <t>Western Europe</t>
        </is>
      </c>
      <c r="D198" s="36" t="inlineStr">
        <is>
          <t>United Kingdom</t>
        </is>
      </c>
      <c r="E198" s="36" t="inlineStr">
        <is>
          <t>Marketplace</t>
        </is>
      </c>
      <c r="F198" s="36" t="inlineStr">
        <is>
          <t>New</t>
        </is>
      </c>
      <c r="G198" s="36" t="inlineStr">
        <is>
          <t>Cycling</t>
        </is>
      </c>
      <c r="H198" s="36" t="inlineStr">
        <is>
          <t>Commuter Helmet</t>
        </is>
      </c>
      <c r="I198" s="36" t="n">
        <v>1</v>
      </c>
      <c r="J198" s="39" t="n">
        <v>81.44</v>
      </c>
      <c r="K198" s="45" t="n">
        <v>0.05</v>
      </c>
      <c r="L198" s="39" t="n">
        <v>43.9</v>
      </c>
      <c r="M198" s="39">
        <f>I198*J198*(1-K198)</f>
        <v/>
      </c>
      <c r="N198" s="39">
        <f>I198*L198</f>
        <v/>
      </c>
      <c r="O198" s="39">
        <f>M198-N198</f>
        <v/>
      </c>
      <c r="P198" s="38">
        <f>IF(M198=0,0,O198/M198)</f>
        <v/>
      </c>
      <c r="Q198" s="36">
        <f>YEAR(B198)</f>
        <v/>
      </c>
      <c r="R198" s="36">
        <f>"Q"&amp;ROUNDUP(MONTH(B198)/3,0)</f>
        <v/>
      </c>
      <c r="S198" s="36">
        <f>MONTH(B198)</f>
        <v/>
      </c>
      <c r="T198" s="36">
        <f>TEXT(B198,"mmm")</f>
        <v/>
      </c>
      <c r="U198" s="36">
        <f>IF(AND(OR(sel_Region="All",C198=sel_Region),OR(sel_Country="All",D198=sel_Country),OR(sel_Channel="All",E198=sel_Channel),OR(sel_Customer="All",F198=sel_Customer),OR(sel_Category="All",G198=sel_Category),OR(sel_Product="All",H198=sel_Product),AND(S198&gt;=m_From,S198&lt;=m_To)),1,0)</f>
        <v/>
      </c>
      <c r="V198" s="36">
        <f>IF(AND(OR(sel_Region="All",C198=sel_Region),OR(sel_Channel="All",E198=sel_Channel),OR(sel_Customer="All",F198=sel_Customer),OR(sel_Category="All",G198=sel_Category),OR(sel_Product="All",H198=sel_Product),AND(S198&gt;=m_From,S198&lt;=m_To)),1,0)</f>
        <v/>
      </c>
      <c r="W198" s="36">
        <f>IF(AND(OR(sel_Region="All",C198=sel_Region),OR(sel_Country="All",D198=sel_Country),OR(sel_Customer="All",F198=sel_Customer),OR(sel_Category="All",G198=sel_Category),OR(sel_Product="All",H198=sel_Product),AND(S198&gt;=m_From,S198&lt;=m_To)),1,0)</f>
        <v/>
      </c>
      <c r="X198" s="36">
        <f>IF(AND(OR(sel_Region="All",C198=sel_Region),OR(sel_Country="All",D198=sel_Country),OR(sel_Channel="All",E198=sel_Channel),OR(sel_Category="All",G198=sel_Category),OR(sel_Product="All",H198=sel_Product),AND(S198&gt;=m_From,S198&lt;=m_To)),1,0)</f>
        <v/>
      </c>
      <c r="Y198" s="36">
        <f>IF(AND(OR(sel_Region="All",C198=sel_Region),OR(sel_Country="All",D198=sel_Country),OR(sel_Channel="All",E198=sel_Channel),OR(sel_Customer="All",F198=sel_Customer),OR(sel_Product="All",H198=sel_Product),AND(S198&gt;=m_From,S198&lt;=m_To)),1,0)</f>
        <v/>
      </c>
      <c r="Z198" s="36">
        <f>IF(AND(OR(sel_Region="All",C198=sel_Region),OR(sel_Country="All",D198=sel_Country),OR(sel_Channel="All",E198=sel_Channel),OR(sel_Customer="All",F198=sel_Customer),OR(sel_Category="All",G198=sel_Category),AND(S198&gt;=m_From,S198&lt;=m_To)),1,0)</f>
        <v/>
      </c>
      <c r="AA198" s="36">
        <f>IF(AND(OR(sel_Region="All",C198=sel_Region),OR(sel_Country="All",D198=sel_Country),OR(sel_Channel="All",E198=sel_Channel),OR(sel_Customer="All",F198=sel_Customer),OR(sel_Category="All",G198=sel_Category),OR(sel_Product="All",H198=sel_Product)),1,0)</f>
        <v/>
      </c>
    </row>
    <row r="199">
      <c r="A199" s="36" t="inlineStr">
        <is>
          <t>04076</t>
        </is>
      </c>
      <c r="B199" s="44" t="n">
        <v>46063</v>
      </c>
      <c r="C199" s="36" t="inlineStr">
        <is>
          <t>Southern Europe</t>
        </is>
      </c>
      <c r="D199" s="36" t="inlineStr">
        <is>
          <t>Spain</t>
        </is>
      </c>
      <c r="E199" s="36" t="inlineStr">
        <is>
          <t>Corporate</t>
        </is>
      </c>
      <c r="F199" s="36" t="inlineStr">
        <is>
          <t>Business</t>
        </is>
      </c>
      <c r="G199" s="36" t="inlineStr">
        <is>
          <t>Camping</t>
        </is>
      </c>
      <c r="H199" s="36" t="inlineStr">
        <is>
          <t>Compact Sleeping Bag</t>
        </is>
      </c>
      <c r="I199" s="36" t="n">
        <v>8</v>
      </c>
      <c r="J199" s="39" t="n">
        <v>122.19</v>
      </c>
      <c r="K199" s="45" t="n">
        <v>0.1</v>
      </c>
      <c r="L199" s="39" t="n">
        <v>60</v>
      </c>
      <c r="M199" s="39">
        <f>I199*J199*(1-K199)</f>
        <v/>
      </c>
      <c r="N199" s="39">
        <f>I199*L199</f>
        <v/>
      </c>
      <c r="O199" s="39">
        <f>M199-N199</f>
        <v/>
      </c>
      <c r="P199" s="38">
        <f>IF(M199=0,0,O199/M199)</f>
        <v/>
      </c>
      <c r="Q199" s="36">
        <f>YEAR(B199)</f>
        <v/>
      </c>
      <c r="R199" s="36">
        <f>"Q"&amp;ROUNDUP(MONTH(B199)/3,0)</f>
        <v/>
      </c>
      <c r="S199" s="36">
        <f>MONTH(B199)</f>
        <v/>
      </c>
      <c r="T199" s="36">
        <f>TEXT(B199,"mmm")</f>
        <v/>
      </c>
      <c r="U199" s="36">
        <f>IF(AND(OR(sel_Region="All",C199=sel_Region),OR(sel_Country="All",D199=sel_Country),OR(sel_Channel="All",E199=sel_Channel),OR(sel_Customer="All",F199=sel_Customer),OR(sel_Category="All",G199=sel_Category),OR(sel_Product="All",H199=sel_Product),AND(S199&gt;=m_From,S199&lt;=m_To)),1,0)</f>
        <v/>
      </c>
      <c r="V199" s="36">
        <f>IF(AND(OR(sel_Region="All",C199=sel_Region),OR(sel_Channel="All",E199=sel_Channel),OR(sel_Customer="All",F199=sel_Customer),OR(sel_Category="All",G199=sel_Category),OR(sel_Product="All",H199=sel_Product),AND(S199&gt;=m_From,S199&lt;=m_To)),1,0)</f>
        <v/>
      </c>
      <c r="W199" s="36">
        <f>IF(AND(OR(sel_Region="All",C199=sel_Region),OR(sel_Country="All",D199=sel_Country),OR(sel_Customer="All",F199=sel_Customer),OR(sel_Category="All",G199=sel_Category),OR(sel_Product="All",H199=sel_Product),AND(S199&gt;=m_From,S199&lt;=m_To)),1,0)</f>
        <v/>
      </c>
      <c r="X199" s="36">
        <f>IF(AND(OR(sel_Region="All",C199=sel_Region),OR(sel_Country="All",D199=sel_Country),OR(sel_Channel="All",E199=sel_Channel),OR(sel_Category="All",G199=sel_Category),OR(sel_Product="All",H199=sel_Product),AND(S199&gt;=m_From,S199&lt;=m_To)),1,0)</f>
        <v/>
      </c>
      <c r="Y199" s="36">
        <f>IF(AND(OR(sel_Region="All",C199=sel_Region),OR(sel_Country="All",D199=sel_Country),OR(sel_Channel="All",E199=sel_Channel),OR(sel_Customer="All",F199=sel_Customer),OR(sel_Product="All",H199=sel_Product),AND(S199&gt;=m_From,S199&lt;=m_To)),1,0)</f>
        <v/>
      </c>
      <c r="Z199" s="36">
        <f>IF(AND(OR(sel_Region="All",C199=sel_Region),OR(sel_Country="All",D199=sel_Country),OR(sel_Channel="All",E199=sel_Channel),OR(sel_Customer="All",F199=sel_Customer),OR(sel_Category="All",G199=sel_Category),AND(S199&gt;=m_From,S199&lt;=m_To)),1,0)</f>
        <v/>
      </c>
      <c r="AA199" s="36">
        <f>IF(AND(OR(sel_Region="All",C199=sel_Region),OR(sel_Country="All",D199=sel_Country),OR(sel_Channel="All",E199=sel_Channel),OR(sel_Customer="All",F199=sel_Customer),OR(sel_Category="All",G199=sel_Category),OR(sel_Product="All",H199=sel_Product)),1,0)</f>
        <v/>
      </c>
    </row>
    <row r="200">
      <c r="A200" s="36" t="inlineStr">
        <is>
          <t>04156</t>
        </is>
      </c>
      <c r="B200" s="44" t="n">
        <v>46063</v>
      </c>
      <c r="C200" s="36" t="inlineStr">
        <is>
          <t>Northern Europe</t>
        </is>
      </c>
      <c r="D200" s="36" t="inlineStr">
        <is>
          <t>Norway</t>
        </is>
      </c>
      <c r="E200" s="36" t="inlineStr">
        <is>
          <t>Retail Partners</t>
        </is>
      </c>
      <c r="F200" s="36" t="inlineStr">
        <is>
          <t>Returning</t>
        </is>
      </c>
      <c r="G200" s="36" t="inlineStr">
        <is>
          <t>Hiking</t>
        </is>
      </c>
      <c r="H200" s="36" t="inlineStr">
        <is>
          <t>Trail Boots</t>
        </is>
      </c>
      <c r="I200" s="36" t="n">
        <v>2</v>
      </c>
      <c r="J200" s="39" t="n">
        <v>146.33</v>
      </c>
      <c r="K200" s="45" t="n">
        <v>0.1</v>
      </c>
      <c r="L200" s="39" t="n">
        <v>81.34</v>
      </c>
      <c r="M200" s="39">
        <f>I200*J200*(1-K200)</f>
        <v/>
      </c>
      <c r="N200" s="39">
        <f>I200*L200</f>
        <v/>
      </c>
      <c r="O200" s="39">
        <f>M200-N200</f>
        <v/>
      </c>
      <c r="P200" s="38">
        <f>IF(M200=0,0,O200/M200)</f>
        <v/>
      </c>
      <c r="Q200" s="36">
        <f>YEAR(B200)</f>
        <v/>
      </c>
      <c r="R200" s="36">
        <f>"Q"&amp;ROUNDUP(MONTH(B200)/3,0)</f>
        <v/>
      </c>
      <c r="S200" s="36">
        <f>MONTH(B200)</f>
        <v/>
      </c>
      <c r="T200" s="36">
        <f>TEXT(B200,"mmm")</f>
        <v/>
      </c>
      <c r="U200" s="36">
        <f>IF(AND(OR(sel_Region="All",C200=sel_Region),OR(sel_Country="All",D200=sel_Country),OR(sel_Channel="All",E200=sel_Channel),OR(sel_Customer="All",F200=sel_Customer),OR(sel_Category="All",G200=sel_Category),OR(sel_Product="All",H200=sel_Product),AND(S200&gt;=m_From,S200&lt;=m_To)),1,0)</f>
        <v/>
      </c>
      <c r="V200" s="36">
        <f>IF(AND(OR(sel_Region="All",C200=sel_Region),OR(sel_Channel="All",E200=sel_Channel),OR(sel_Customer="All",F200=sel_Customer),OR(sel_Category="All",G200=sel_Category),OR(sel_Product="All",H200=sel_Product),AND(S200&gt;=m_From,S200&lt;=m_To)),1,0)</f>
        <v/>
      </c>
      <c r="W200" s="36">
        <f>IF(AND(OR(sel_Region="All",C200=sel_Region),OR(sel_Country="All",D200=sel_Country),OR(sel_Customer="All",F200=sel_Customer),OR(sel_Category="All",G200=sel_Category),OR(sel_Product="All",H200=sel_Product),AND(S200&gt;=m_From,S200&lt;=m_To)),1,0)</f>
        <v/>
      </c>
      <c r="X200" s="36">
        <f>IF(AND(OR(sel_Region="All",C200=sel_Region),OR(sel_Country="All",D200=sel_Country),OR(sel_Channel="All",E200=sel_Channel),OR(sel_Category="All",G200=sel_Category),OR(sel_Product="All",H200=sel_Product),AND(S200&gt;=m_From,S200&lt;=m_To)),1,0)</f>
        <v/>
      </c>
      <c r="Y200" s="36">
        <f>IF(AND(OR(sel_Region="All",C200=sel_Region),OR(sel_Country="All",D200=sel_Country),OR(sel_Channel="All",E200=sel_Channel),OR(sel_Customer="All",F200=sel_Customer),OR(sel_Product="All",H200=sel_Product),AND(S200&gt;=m_From,S200&lt;=m_To)),1,0)</f>
        <v/>
      </c>
      <c r="Z200" s="36">
        <f>IF(AND(OR(sel_Region="All",C200=sel_Region),OR(sel_Country="All",D200=sel_Country),OR(sel_Channel="All",E200=sel_Channel),OR(sel_Customer="All",F200=sel_Customer),OR(sel_Category="All",G200=sel_Category),AND(S200&gt;=m_From,S200&lt;=m_To)),1,0)</f>
        <v/>
      </c>
      <c r="AA200" s="36">
        <f>IF(AND(OR(sel_Region="All",C200=sel_Region),OR(sel_Country="All",D200=sel_Country),OR(sel_Channel="All",E200=sel_Channel),OR(sel_Customer="All",F200=sel_Customer),OR(sel_Category="All",G200=sel_Category),OR(sel_Product="All",H200=sel_Product)),1,0)</f>
        <v/>
      </c>
    </row>
    <row r="201">
      <c r="A201" s="36" t="inlineStr">
        <is>
          <t>04260</t>
        </is>
      </c>
      <c r="B201" s="44" t="n">
        <v>46063</v>
      </c>
      <c r="C201" s="36" t="inlineStr">
        <is>
          <t>Northern Europe</t>
        </is>
      </c>
      <c r="D201" s="36" t="inlineStr">
        <is>
          <t>Norway</t>
        </is>
      </c>
      <c r="E201" s="36" t="inlineStr">
        <is>
          <t>Marketplace</t>
        </is>
      </c>
      <c r="F201" s="36" t="inlineStr">
        <is>
          <t>Returning</t>
        </is>
      </c>
      <c r="G201" s="36" t="inlineStr">
        <is>
          <t>Travel</t>
        </is>
      </c>
      <c r="H201" s="36" t="inlineStr">
        <is>
          <t>Carry-On Duffel</t>
        </is>
      </c>
      <c r="I201" s="36" t="n">
        <v>1</v>
      </c>
      <c r="J201" s="39" t="n">
        <v>131.24</v>
      </c>
      <c r="K201" s="45" t="n">
        <v>0.05</v>
      </c>
      <c r="L201" s="39" t="n">
        <v>66.14</v>
      </c>
      <c r="M201" s="39">
        <f>I201*J201*(1-K201)</f>
        <v/>
      </c>
      <c r="N201" s="39">
        <f>I201*L201</f>
        <v/>
      </c>
      <c r="O201" s="39">
        <f>M201-N201</f>
        <v/>
      </c>
      <c r="P201" s="38">
        <f>IF(M201=0,0,O201/M201)</f>
        <v/>
      </c>
      <c r="Q201" s="36">
        <f>YEAR(B201)</f>
        <v/>
      </c>
      <c r="R201" s="36">
        <f>"Q"&amp;ROUNDUP(MONTH(B201)/3,0)</f>
        <v/>
      </c>
      <c r="S201" s="36">
        <f>MONTH(B201)</f>
        <v/>
      </c>
      <c r="T201" s="36">
        <f>TEXT(B201,"mmm")</f>
        <v/>
      </c>
      <c r="U201" s="36">
        <f>IF(AND(OR(sel_Region="All",C201=sel_Region),OR(sel_Country="All",D201=sel_Country),OR(sel_Channel="All",E201=sel_Channel),OR(sel_Customer="All",F201=sel_Customer),OR(sel_Category="All",G201=sel_Category),OR(sel_Product="All",H201=sel_Product),AND(S201&gt;=m_From,S201&lt;=m_To)),1,0)</f>
        <v/>
      </c>
      <c r="V201" s="36">
        <f>IF(AND(OR(sel_Region="All",C201=sel_Region),OR(sel_Channel="All",E201=sel_Channel),OR(sel_Customer="All",F201=sel_Customer),OR(sel_Category="All",G201=sel_Category),OR(sel_Product="All",H201=sel_Product),AND(S201&gt;=m_From,S201&lt;=m_To)),1,0)</f>
        <v/>
      </c>
      <c r="W201" s="36">
        <f>IF(AND(OR(sel_Region="All",C201=sel_Region),OR(sel_Country="All",D201=sel_Country),OR(sel_Customer="All",F201=sel_Customer),OR(sel_Category="All",G201=sel_Category),OR(sel_Product="All",H201=sel_Product),AND(S201&gt;=m_From,S201&lt;=m_To)),1,0)</f>
        <v/>
      </c>
      <c r="X201" s="36">
        <f>IF(AND(OR(sel_Region="All",C201=sel_Region),OR(sel_Country="All",D201=sel_Country),OR(sel_Channel="All",E201=sel_Channel),OR(sel_Category="All",G201=sel_Category),OR(sel_Product="All",H201=sel_Product),AND(S201&gt;=m_From,S201&lt;=m_To)),1,0)</f>
        <v/>
      </c>
      <c r="Y201" s="36">
        <f>IF(AND(OR(sel_Region="All",C201=sel_Region),OR(sel_Country="All",D201=sel_Country),OR(sel_Channel="All",E201=sel_Channel),OR(sel_Customer="All",F201=sel_Customer),OR(sel_Product="All",H201=sel_Product),AND(S201&gt;=m_From,S201&lt;=m_To)),1,0)</f>
        <v/>
      </c>
      <c r="Z201" s="36">
        <f>IF(AND(OR(sel_Region="All",C201=sel_Region),OR(sel_Country="All",D201=sel_Country),OR(sel_Channel="All",E201=sel_Channel),OR(sel_Customer="All",F201=sel_Customer),OR(sel_Category="All",G201=sel_Category),AND(S201&gt;=m_From,S201&lt;=m_To)),1,0)</f>
        <v/>
      </c>
      <c r="AA201" s="36">
        <f>IF(AND(OR(sel_Region="All",C201=sel_Region),OR(sel_Country="All",D201=sel_Country),OR(sel_Channel="All",E201=sel_Channel),OR(sel_Customer="All",F201=sel_Customer),OR(sel_Category="All",G201=sel_Category),OR(sel_Product="All",H201=sel_Product)),1,0)</f>
        <v/>
      </c>
    </row>
    <row r="202">
      <c r="A202" s="36" t="inlineStr">
        <is>
          <t>04294</t>
        </is>
      </c>
      <c r="B202" s="44" t="n">
        <v>46063</v>
      </c>
      <c r="C202" s="36" t="inlineStr">
        <is>
          <t>Central Europe</t>
        </is>
      </c>
      <c r="D202" s="36" t="inlineStr">
        <is>
          <t>Czechia</t>
        </is>
      </c>
      <c r="E202" s="36" t="inlineStr">
        <is>
          <t>Corporate</t>
        </is>
      </c>
      <c r="F202" s="36" t="inlineStr">
        <is>
          <t>New</t>
        </is>
      </c>
      <c r="G202" s="36" t="inlineStr">
        <is>
          <t>Fitness</t>
        </is>
      </c>
      <c r="H202" s="36" t="inlineStr">
        <is>
          <t>Training Mat</t>
        </is>
      </c>
      <c r="I202" s="36" t="n">
        <v>5</v>
      </c>
      <c r="J202" s="39" t="n">
        <v>51.37</v>
      </c>
      <c r="K202" s="45" t="n">
        <v>0.05</v>
      </c>
      <c r="L202" s="39" t="n">
        <v>21.81</v>
      </c>
      <c r="M202" s="39">
        <f>I202*J202*(1-K202)</f>
        <v/>
      </c>
      <c r="N202" s="39">
        <f>I202*L202</f>
        <v/>
      </c>
      <c r="O202" s="39">
        <f>M202-N202</f>
        <v/>
      </c>
      <c r="P202" s="38">
        <f>IF(M202=0,0,O202/M202)</f>
        <v/>
      </c>
      <c r="Q202" s="36">
        <f>YEAR(B202)</f>
        <v/>
      </c>
      <c r="R202" s="36">
        <f>"Q"&amp;ROUNDUP(MONTH(B202)/3,0)</f>
        <v/>
      </c>
      <c r="S202" s="36">
        <f>MONTH(B202)</f>
        <v/>
      </c>
      <c r="T202" s="36">
        <f>TEXT(B202,"mmm")</f>
        <v/>
      </c>
      <c r="U202" s="36">
        <f>IF(AND(OR(sel_Region="All",C202=sel_Region),OR(sel_Country="All",D202=sel_Country),OR(sel_Channel="All",E202=sel_Channel),OR(sel_Customer="All",F202=sel_Customer),OR(sel_Category="All",G202=sel_Category),OR(sel_Product="All",H202=sel_Product),AND(S202&gt;=m_From,S202&lt;=m_To)),1,0)</f>
        <v/>
      </c>
      <c r="V202" s="36">
        <f>IF(AND(OR(sel_Region="All",C202=sel_Region),OR(sel_Channel="All",E202=sel_Channel),OR(sel_Customer="All",F202=sel_Customer),OR(sel_Category="All",G202=sel_Category),OR(sel_Product="All",H202=sel_Product),AND(S202&gt;=m_From,S202&lt;=m_To)),1,0)</f>
        <v/>
      </c>
      <c r="W202" s="36">
        <f>IF(AND(OR(sel_Region="All",C202=sel_Region),OR(sel_Country="All",D202=sel_Country),OR(sel_Customer="All",F202=sel_Customer),OR(sel_Category="All",G202=sel_Category),OR(sel_Product="All",H202=sel_Product),AND(S202&gt;=m_From,S202&lt;=m_To)),1,0)</f>
        <v/>
      </c>
      <c r="X202" s="36">
        <f>IF(AND(OR(sel_Region="All",C202=sel_Region),OR(sel_Country="All",D202=sel_Country),OR(sel_Channel="All",E202=sel_Channel),OR(sel_Category="All",G202=sel_Category),OR(sel_Product="All",H202=sel_Product),AND(S202&gt;=m_From,S202&lt;=m_To)),1,0)</f>
        <v/>
      </c>
      <c r="Y202" s="36">
        <f>IF(AND(OR(sel_Region="All",C202=sel_Region),OR(sel_Country="All",D202=sel_Country),OR(sel_Channel="All",E202=sel_Channel),OR(sel_Customer="All",F202=sel_Customer),OR(sel_Product="All",H202=sel_Product),AND(S202&gt;=m_From,S202&lt;=m_To)),1,0)</f>
        <v/>
      </c>
      <c r="Z202" s="36">
        <f>IF(AND(OR(sel_Region="All",C202=sel_Region),OR(sel_Country="All",D202=sel_Country),OR(sel_Channel="All",E202=sel_Channel),OR(sel_Customer="All",F202=sel_Customer),OR(sel_Category="All",G202=sel_Category),AND(S202&gt;=m_From,S202&lt;=m_To)),1,0)</f>
        <v/>
      </c>
      <c r="AA202" s="36">
        <f>IF(AND(OR(sel_Region="All",C202=sel_Region),OR(sel_Country="All",D202=sel_Country),OR(sel_Channel="All",E202=sel_Channel),OR(sel_Customer="All",F202=sel_Customer),OR(sel_Category="All",G202=sel_Category),OR(sel_Product="All",H202=sel_Product)),1,0)</f>
        <v/>
      </c>
    </row>
    <row r="203">
      <c r="A203" s="36" t="inlineStr">
        <is>
          <t>01019</t>
        </is>
      </c>
      <c r="B203" s="44" t="n">
        <v>46064</v>
      </c>
      <c r="C203" s="36" t="inlineStr">
        <is>
          <t>Central Europe</t>
        </is>
      </c>
      <c r="D203" s="36" t="inlineStr">
        <is>
          <t>Germany</t>
        </is>
      </c>
      <c r="E203" s="36" t="inlineStr">
        <is>
          <t>Retail Partners</t>
        </is>
      </c>
      <c r="F203" s="36" t="inlineStr">
        <is>
          <t>New</t>
        </is>
      </c>
      <c r="G203" s="36" t="inlineStr">
        <is>
          <t>Camping</t>
        </is>
      </c>
      <c r="H203" s="36" t="inlineStr">
        <is>
          <t>Compact Sleeping Bag</t>
        </is>
      </c>
      <c r="I203" s="36" t="n">
        <v>5</v>
      </c>
      <c r="J203" s="39" t="n">
        <v>121.94</v>
      </c>
      <c r="K203" s="45" t="n">
        <v>0</v>
      </c>
      <c r="L203" s="39" t="n">
        <v>62.3</v>
      </c>
      <c r="M203" s="39">
        <f>I203*J203*(1-K203)</f>
        <v/>
      </c>
      <c r="N203" s="39">
        <f>I203*L203</f>
        <v/>
      </c>
      <c r="O203" s="39">
        <f>M203-N203</f>
        <v/>
      </c>
      <c r="P203" s="38">
        <f>IF(M203=0,0,O203/M203)</f>
        <v/>
      </c>
      <c r="Q203" s="36">
        <f>YEAR(B203)</f>
        <v/>
      </c>
      <c r="R203" s="36">
        <f>"Q"&amp;ROUNDUP(MONTH(B203)/3,0)</f>
        <v/>
      </c>
      <c r="S203" s="36">
        <f>MONTH(B203)</f>
        <v/>
      </c>
      <c r="T203" s="36">
        <f>TEXT(B203,"mmm")</f>
        <v/>
      </c>
      <c r="U203" s="36">
        <f>IF(AND(OR(sel_Region="All",C203=sel_Region),OR(sel_Country="All",D203=sel_Country),OR(sel_Channel="All",E203=sel_Channel),OR(sel_Customer="All",F203=sel_Customer),OR(sel_Category="All",G203=sel_Category),OR(sel_Product="All",H203=sel_Product),AND(S203&gt;=m_From,S203&lt;=m_To)),1,0)</f>
        <v/>
      </c>
      <c r="V203" s="36">
        <f>IF(AND(OR(sel_Region="All",C203=sel_Region),OR(sel_Channel="All",E203=sel_Channel),OR(sel_Customer="All",F203=sel_Customer),OR(sel_Category="All",G203=sel_Category),OR(sel_Product="All",H203=sel_Product),AND(S203&gt;=m_From,S203&lt;=m_To)),1,0)</f>
        <v/>
      </c>
      <c r="W203" s="36">
        <f>IF(AND(OR(sel_Region="All",C203=sel_Region),OR(sel_Country="All",D203=sel_Country),OR(sel_Customer="All",F203=sel_Customer),OR(sel_Category="All",G203=sel_Category),OR(sel_Product="All",H203=sel_Product),AND(S203&gt;=m_From,S203&lt;=m_To)),1,0)</f>
        <v/>
      </c>
      <c r="X203" s="36">
        <f>IF(AND(OR(sel_Region="All",C203=sel_Region),OR(sel_Country="All",D203=sel_Country),OR(sel_Channel="All",E203=sel_Channel),OR(sel_Category="All",G203=sel_Category),OR(sel_Product="All",H203=sel_Product),AND(S203&gt;=m_From,S203&lt;=m_To)),1,0)</f>
        <v/>
      </c>
      <c r="Y203" s="36">
        <f>IF(AND(OR(sel_Region="All",C203=sel_Region),OR(sel_Country="All",D203=sel_Country),OR(sel_Channel="All",E203=sel_Channel),OR(sel_Customer="All",F203=sel_Customer),OR(sel_Product="All",H203=sel_Product),AND(S203&gt;=m_From,S203&lt;=m_To)),1,0)</f>
        <v/>
      </c>
      <c r="Z203" s="36">
        <f>IF(AND(OR(sel_Region="All",C203=sel_Region),OR(sel_Country="All",D203=sel_Country),OR(sel_Channel="All",E203=sel_Channel),OR(sel_Customer="All",F203=sel_Customer),OR(sel_Category="All",G203=sel_Category),AND(S203&gt;=m_From,S203&lt;=m_To)),1,0)</f>
        <v/>
      </c>
      <c r="AA203" s="36">
        <f>IF(AND(OR(sel_Region="All",C203=sel_Region),OR(sel_Country="All",D203=sel_Country),OR(sel_Channel="All",E203=sel_Channel),OR(sel_Customer="All",F203=sel_Customer),OR(sel_Category="All",G203=sel_Category),OR(sel_Product="All",H203=sel_Product)),1,0)</f>
        <v/>
      </c>
    </row>
    <row r="204">
      <c r="A204" s="36" t="inlineStr">
        <is>
          <t>01471</t>
        </is>
      </c>
      <c r="B204" s="44" t="n">
        <v>46064</v>
      </c>
      <c r="C204" s="36" t="inlineStr">
        <is>
          <t>Southern Europe</t>
        </is>
      </c>
      <c r="D204" s="36" t="inlineStr">
        <is>
          <t>Spain</t>
        </is>
      </c>
      <c r="E204" s="36" t="inlineStr">
        <is>
          <t>Online Store</t>
        </is>
      </c>
      <c r="F204" s="36" t="inlineStr">
        <is>
          <t>Returning</t>
        </is>
      </c>
      <c r="G204" s="36" t="inlineStr">
        <is>
          <t>Camping</t>
        </is>
      </c>
      <c r="H204" s="36" t="inlineStr">
        <is>
          <t>Compact Sleeping Bag</t>
        </is>
      </c>
      <c r="I204" s="36" t="n">
        <v>4</v>
      </c>
      <c r="J204" s="39" t="n">
        <v>124.55</v>
      </c>
      <c r="K204" s="45" t="n">
        <v>0</v>
      </c>
      <c r="L204" s="39" t="n">
        <v>60.41</v>
      </c>
      <c r="M204" s="39">
        <f>I204*J204*(1-K204)</f>
        <v/>
      </c>
      <c r="N204" s="39">
        <f>I204*L204</f>
        <v/>
      </c>
      <c r="O204" s="39">
        <f>M204-N204</f>
        <v/>
      </c>
      <c r="P204" s="38">
        <f>IF(M204=0,0,O204/M204)</f>
        <v/>
      </c>
      <c r="Q204" s="36">
        <f>YEAR(B204)</f>
        <v/>
      </c>
      <c r="R204" s="36">
        <f>"Q"&amp;ROUNDUP(MONTH(B204)/3,0)</f>
        <v/>
      </c>
      <c r="S204" s="36">
        <f>MONTH(B204)</f>
        <v/>
      </c>
      <c r="T204" s="36">
        <f>TEXT(B204,"mmm")</f>
        <v/>
      </c>
      <c r="U204" s="36">
        <f>IF(AND(OR(sel_Region="All",C204=sel_Region),OR(sel_Country="All",D204=sel_Country),OR(sel_Channel="All",E204=sel_Channel),OR(sel_Customer="All",F204=sel_Customer),OR(sel_Category="All",G204=sel_Category),OR(sel_Product="All",H204=sel_Product),AND(S204&gt;=m_From,S204&lt;=m_To)),1,0)</f>
        <v/>
      </c>
      <c r="V204" s="36">
        <f>IF(AND(OR(sel_Region="All",C204=sel_Region),OR(sel_Channel="All",E204=sel_Channel),OR(sel_Customer="All",F204=sel_Customer),OR(sel_Category="All",G204=sel_Category),OR(sel_Product="All",H204=sel_Product),AND(S204&gt;=m_From,S204&lt;=m_To)),1,0)</f>
        <v/>
      </c>
      <c r="W204" s="36">
        <f>IF(AND(OR(sel_Region="All",C204=sel_Region),OR(sel_Country="All",D204=sel_Country),OR(sel_Customer="All",F204=sel_Customer),OR(sel_Category="All",G204=sel_Category),OR(sel_Product="All",H204=sel_Product),AND(S204&gt;=m_From,S204&lt;=m_To)),1,0)</f>
        <v/>
      </c>
      <c r="X204" s="36">
        <f>IF(AND(OR(sel_Region="All",C204=sel_Region),OR(sel_Country="All",D204=sel_Country),OR(sel_Channel="All",E204=sel_Channel),OR(sel_Category="All",G204=sel_Category),OR(sel_Product="All",H204=sel_Product),AND(S204&gt;=m_From,S204&lt;=m_To)),1,0)</f>
        <v/>
      </c>
      <c r="Y204" s="36">
        <f>IF(AND(OR(sel_Region="All",C204=sel_Region),OR(sel_Country="All",D204=sel_Country),OR(sel_Channel="All",E204=sel_Channel),OR(sel_Customer="All",F204=sel_Customer),OR(sel_Product="All",H204=sel_Product),AND(S204&gt;=m_From,S204&lt;=m_To)),1,0)</f>
        <v/>
      </c>
      <c r="Z204" s="36">
        <f>IF(AND(OR(sel_Region="All",C204=sel_Region),OR(sel_Country="All",D204=sel_Country),OR(sel_Channel="All",E204=sel_Channel),OR(sel_Customer="All",F204=sel_Customer),OR(sel_Category="All",G204=sel_Category),AND(S204&gt;=m_From,S204&lt;=m_To)),1,0)</f>
        <v/>
      </c>
      <c r="AA204" s="36">
        <f>IF(AND(OR(sel_Region="All",C204=sel_Region),OR(sel_Country="All",D204=sel_Country),OR(sel_Channel="All",E204=sel_Channel),OR(sel_Customer="All",F204=sel_Customer),OR(sel_Category="All",G204=sel_Category),OR(sel_Product="All",H204=sel_Product)),1,0)</f>
        <v/>
      </c>
    </row>
    <row r="205">
      <c r="A205" s="36" t="inlineStr">
        <is>
          <t>02520</t>
        </is>
      </c>
      <c r="B205" s="44" t="n">
        <v>46064</v>
      </c>
      <c r="C205" s="36" t="inlineStr">
        <is>
          <t>Central Europe</t>
        </is>
      </c>
      <c r="D205" s="36" t="inlineStr">
        <is>
          <t>Poland</t>
        </is>
      </c>
      <c r="E205" s="36" t="inlineStr">
        <is>
          <t>Corporate</t>
        </is>
      </c>
      <c r="F205" s="36" t="inlineStr">
        <is>
          <t>Business</t>
        </is>
      </c>
      <c r="G205" s="36" t="inlineStr">
        <is>
          <t>Camping</t>
        </is>
      </c>
      <c r="H205" s="36" t="inlineStr">
        <is>
          <t>Alpine Tent 4P</t>
        </is>
      </c>
      <c r="I205" s="36" t="n">
        <v>10</v>
      </c>
      <c r="J205" s="39" t="n">
        <v>343.77</v>
      </c>
      <c r="K205" s="45" t="n">
        <v>0.15</v>
      </c>
      <c r="L205" s="39" t="n">
        <v>195.29</v>
      </c>
      <c r="M205" s="39">
        <f>I205*J205*(1-K205)</f>
        <v/>
      </c>
      <c r="N205" s="39">
        <f>I205*L205</f>
        <v/>
      </c>
      <c r="O205" s="39">
        <f>M205-N205</f>
        <v/>
      </c>
      <c r="P205" s="38">
        <f>IF(M205=0,0,O205/M205)</f>
        <v/>
      </c>
      <c r="Q205" s="36">
        <f>YEAR(B205)</f>
        <v/>
      </c>
      <c r="R205" s="36">
        <f>"Q"&amp;ROUNDUP(MONTH(B205)/3,0)</f>
        <v/>
      </c>
      <c r="S205" s="36">
        <f>MONTH(B205)</f>
        <v/>
      </c>
      <c r="T205" s="36">
        <f>TEXT(B205,"mmm")</f>
        <v/>
      </c>
      <c r="U205" s="36">
        <f>IF(AND(OR(sel_Region="All",C205=sel_Region),OR(sel_Country="All",D205=sel_Country),OR(sel_Channel="All",E205=sel_Channel),OR(sel_Customer="All",F205=sel_Customer),OR(sel_Category="All",G205=sel_Category),OR(sel_Product="All",H205=sel_Product),AND(S205&gt;=m_From,S205&lt;=m_To)),1,0)</f>
        <v/>
      </c>
      <c r="V205" s="36">
        <f>IF(AND(OR(sel_Region="All",C205=sel_Region),OR(sel_Channel="All",E205=sel_Channel),OR(sel_Customer="All",F205=sel_Customer),OR(sel_Category="All",G205=sel_Category),OR(sel_Product="All",H205=sel_Product),AND(S205&gt;=m_From,S205&lt;=m_To)),1,0)</f>
        <v/>
      </c>
      <c r="W205" s="36">
        <f>IF(AND(OR(sel_Region="All",C205=sel_Region),OR(sel_Country="All",D205=sel_Country),OR(sel_Customer="All",F205=sel_Customer),OR(sel_Category="All",G205=sel_Category),OR(sel_Product="All",H205=sel_Product),AND(S205&gt;=m_From,S205&lt;=m_To)),1,0)</f>
        <v/>
      </c>
      <c r="X205" s="36">
        <f>IF(AND(OR(sel_Region="All",C205=sel_Region),OR(sel_Country="All",D205=sel_Country),OR(sel_Channel="All",E205=sel_Channel),OR(sel_Category="All",G205=sel_Category),OR(sel_Product="All",H205=sel_Product),AND(S205&gt;=m_From,S205&lt;=m_To)),1,0)</f>
        <v/>
      </c>
      <c r="Y205" s="36">
        <f>IF(AND(OR(sel_Region="All",C205=sel_Region),OR(sel_Country="All",D205=sel_Country),OR(sel_Channel="All",E205=sel_Channel),OR(sel_Customer="All",F205=sel_Customer),OR(sel_Product="All",H205=sel_Product),AND(S205&gt;=m_From,S205&lt;=m_To)),1,0)</f>
        <v/>
      </c>
      <c r="Z205" s="36">
        <f>IF(AND(OR(sel_Region="All",C205=sel_Region),OR(sel_Country="All",D205=sel_Country),OR(sel_Channel="All",E205=sel_Channel),OR(sel_Customer="All",F205=sel_Customer),OR(sel_Category="All",G205=sel_Category),AND(S205&gt;=m_From,S205&lt;=m_To)),1,0)</f>
        <v/>
      </c>
      <c r="AA205" s="36">
        <f>IF(AND(OR(sel_Region="All",C205=sel_Region),OR(sel_Country="All",D205=sel_Country),OR(sel_Channel="All",E205=sel_Channel),OR(sel_Customer="All",F205=sel_Customer),OR(sel_Category="All",G205=sel_Category),OR(sel_Product="All",H205=sel_Product)),1,0)</f>
        <v/>
      </c>
    </row>
    <row r="206">
      <c r="A206" s="36" t="inlineStr">
        <is>
          <t>04649</t>
        </is>
      </c>
      <c r="B206" s="44" t="n">
        <v>46064</v>
      </c>
      <c r="C206" s="36" t="inlineStr">
        <is>
          <t>Central Europe</t>
        </is>
      </c>
      <c r="D206" s="36" t="inlineStr">
        <is>
          <t>Czechia</t>
        </is>
      </c>
      <c r="E206" s="36" t="inlineStr">
        <is>
          <t>Marketplace</t>
        </is>
      </c>
      <c r="F206" s="36" t="inlineStr">
        <is>
          <t>Returning</t>
        </is>
      </c>
      <c r="G206" s="36" t="inlineStr">
        <is>
          <t>Cycling</t>
        </is>
      </c>
      <c r="H206" s="36" t="inlineStr">
        <is>
          <t>Commuter Helmet</t>
        </is>
      </c>
      <c r="I206" s="36" t="n">
        <v>1</v>
      </c>
      <c r="J206" s="39" t="n">
        <v>81.81999999999999</v>
      </c>
      <c r="K206" s="45" t="n">
        <v>0.05</v>
      </c>
      <c r="L206" s="39" t="n">
        <v>43.83</v>
      </c>
      <c r="M206" s="39">
        <f>I206*J206*(1-K206)</f>
        <v/>
      </c>
      <c r="N206" s="39">
        <f>I206*L206</f>
        <v/>
      </c>
      <c r="O206" s="39">
        <f>M206-N206</f>
        <v/>
      </c>
      <c r="P206" s="38">
        <f>IF(M206=0,0,O206/M206)</f>
        <v/>
      </c>
      <c r="Q206" s="36">
        <f>YEAR(B206)</f>
        <v/>
      </c>
      <c r="R206" s="36">
        <f>"Q"&amp;ROUNDUP(MONTH(B206)/3,0)</f>
        <v/>
      </c>
      <c r="S206" s="36">
        <f>MONTH(B206)</f>
        <v/>
      </c>
      <c r="T206" s="36">
        <f>TEXT(B206,"mmm")</f>
        <v/>
      </c>
      <c r="U206" s="36">
        <f>IF(AND(OR(sel_Region="All",C206=sel_Region),OR(sel_Country="All",D206=sel_Country),OR(sel_Channel="All",E206=sel_Channel),OR(sel_Customer="All",F206=sel_Customer),OR(sel_Category="All",G206=sel_Category),OR(sel_Product="All",H206=sel_Product),AND(S206&gt;=m_From,S206&lt;=m_To)),1,0)</f>
        <v/>
      </c>
      <c r="V206" s="36">
        <f>IF(AND(OR(sel_Region="All",C206=sel_Region),OR(sel_Channel="All",E206=sel_Channel),OR(sel_Customer="All",F206=sel_Customer),OR(sel_Category="All",G206=sel_Category),OR(sel_Product="All",H206=sel_Product),AND(S206&gt;=m_From,S206&lt;=m_To)),1,0)</f>
        <v/>
      </c>
      <c r="W206" s="36">
        <f>IF(AND(OR(sel_Region="All",C206=sel_Region),OR(sel_Country="All",D206=sel_Country),OR(sel_Customer="All",F206=sel_Customer),OR(sel_Category="All",G206=sel_Category),OR(sel_Product="All",H206=sel_Product),AND(S206&gt;=m_From,S206&lt;=m_To)),1,0)</f>
        <v/>
      </c>
      <c r="X206" s="36">
        <f>IF(AND(OR(sel_Region="All",C206=sel_Region),OR(sel_Country="All",D206=sel_Country),OR(sel_Channel="All",E206=sel_Channel),OR(sel_Category="All",G206=sel_Category),OR(sel_Product="All",H206=sel_Product),AND(S206&gt;=m_From,S206&lt;=m_To)),1,0)</f>
        <v/>
      </c>
      <c r="Y206" s="36">
        <f>IF(AND(OR(sel_Region="All",C206=sel_Region),OR(sel_Country="All",D206=sel_Country),OR(sel_Channel="All",E206=sel_Channel),OR(sel_Customer="All",F206=sel_Customer),OR(sel_Product="All",H206=sel_Product),AND(S206&gt;=m_From,S206&lt;=m_To)),1,0)</f>
        <v/>
      </c>
      <c r="Z206" s="36">
        <f>IF(AND(OR(sel_Region="All",C206=sel_Region),OR(sel_Country="All",D206=sel_Country),OR(sel_Channel="All",E206=sel_Channel),OR(sel_Customer="All",F206=sel_Customer),OR(sel_Category="All",G206=sel_Category),AND(S206&gt;=m_From,S206&lt;=m_To)),1,0)</f>
        <v/>
      </c>
      <c r="AA206" s="36">
        <f>IF(AND(OR(sel_Region="All",C206=sel_Region),OR(sel_Country="All",D206=sel_Country),OR(sel_Channel="All",E206=sel_Channel),OR(sel_Customer="All",F206=sel_Customer),OR(sel_Category="All",G206=sel_Category),OR(sel_Product="All",H206=sel_Product)),1,0)</f>
        <v/>
      </c>
    </row>
    <row r="207">
      <c r="A207" s="36" t="inlineStr">
        <is>
          <t>04545</t>
        </is>
      </c>
      <c r="B207" s="44" t="n">
        <v>46065</v>
      </c>
      <c r="C207" s="36" t="inlineStr">
        <is>
          <t>Southern Europe</t>
        </is>
      </c>
      <c r="D207" s="36" t="inlineStr">
        <is>
          <t>Portugal</t>
        </is>
      </c>
      <c r="E207" s="36" t="inlineStr">
        <is>
          <t>Retail Partners</t>
        </is>
      </c>
      <c r="F207" s="36" t="inlineStr">
        <is>
          <t>New</t>
        </is>
      </c>
      <c r="G207" s="36" t="inlineStr">
        <is>
          <t>Travel</t>
        </is>
      </c>
      <c r="H207" s="36" t="inlineStr">
        <is>
          <t>Insulated Bottle</t>
        </is>
      </c>
      <c r="I207" s="36" t="n">
        <v>1</v>
      </c>
      <c r="J207" s="39" t="n">
        <v>36.58</v>
      </c>
      <c r="K207" s="45" t="n">
        <v>0.1</v>
      </c>
      <c r="L207" s="39" t="n">
        <v>13.76</v>
      </c>
      <c r="M207" s="39">
        <f>I207*J207*(1-K207)</f>
        <v/>
      </c>
      <c r="N207" s="39">
        <f>I207*L207</f>
        <v/>
      </c>
      <c r="O207" s="39">
        <f>M207-N207</f>
        <v/>
      </c>
      <c r="P207" s="38">
        <f>IF(M207=0,0,O207/M207)</f>
        <v/>
      </c>
      <c r="Q207" s="36">
        <f>YEAR(B207)</f>
        <v/>
      </c>
      <c r="R207" s="36">
        <f>"Q"&amp;ROUNDUP(MONTH(B207)/3,0)</f>
        <v/>
      </c>
      <c r="S207" s="36">
        <f>MONTH(B207)</f>
        <v/>
      </c>
      <c r="T207" s="36">
        <f>TEXT(B207,"mmm")</f>
        <v/>
      </c>
      <c r="U207" s="36">
        <f>IF(AND(OR(sel_Region="All",C207=sel_Region),OR(sel_Country="All",D207=sel_Country),OR(sel_Channel="All",E207=sel_Channel),OR(sel_Customer="All",F207=sel_Customer),OR(sel_Category="All",G207=sel_Category),OR(sel_Product="All",H207=sel_Product),AND(S207&gt;=m_From,S207&lt;=m_To)),1,0)</f>
        <v/>
      </c>
      <c r="V207" s="36">
        <f>IF(AND(OR(sel_Region="All",C207=sel_Region),OR(sel_Channel="All",E207=sel_Channel),OR(sel_Customer="All",F207=sel_Customer),OR(sel_Category="All",G207=sel_Category),OR(sel_Product="All",H207=sel_Product),AND(S207&gt;=m_From,S207&lt;=m_To)),1,0)</f>
        <v/>
      </c>
      <c r="W207" s="36">
        <f>IF(AND(OR(sel_Region="All",C207=sel_Region),OR(sel_Country="All",D207=sel_Country),OR(sel_Customer="All",F207=sel_Customer),OR(sel_Category="All",G207=sel_Category),OR(sel_Product="All",H207=sel_Product),AND(S207&gt;=m_From,S207&lt;=m_To)),1,0)</f>
        <v/>
      </c>
      <c r="X207" s="36">
        <f>IF(AND(OR(sel_Region="All",C207=sel_Region),OR(sel_Country="All",D207=sel_Country),OR(sel_Channel="All",E207=sel_Channel),OR(sel_Category="All",G207=sel_Category),OR(sel_Product="All",H207=sel_Product),AND(S207&gt;=m_From,S207&lt;=m_To)),1,0)</f>
        <v/>
      </c>
      <c r="Y207" s="36">
        <f>IF(AND(OR(sel_Region="All",C207=sel_Region),OR(sel_Country="All",D207=sel_Country),OR(sel_Channel="All",E207=sel_Channel),OR(sel_Customer="All",F207=sel_Customer),OR(sel_Product="All",H207=sel_Product),AND(S207&gt;=m_From,S207&lt;=m_To)),1,0)</f>
        <v/>
      </c>
      <c r="Z207" s="36">
        <f>IF(AND(OR(sel_Region="All",C207=sel_Region),OR(sel_Country="All",D207=sel_Country),OR(sel_Channel="All",E207=sel_Channel),OR(sel_Customer="All",F207=sel_Customer),OR(sel_Category="All",G207=sel_Category),AND(S207&gt;=m_From,S207&lt;=m_To)),1,0)</f>
        <v/>
      </c>
      <c r="AA207" s="36">
        <f>IF(AND(OR(sel_Region="All",C207=sel_Region),OR(sel_Country="All",D207=sel_Country),OR(sel_Channel="All",E207=sel_Channel),OR(sel_Customer="All",F207=sel_Customer),OR(sel_Category="All",G207=sel_Category),OR(sel_Product="All",H207=sel_Product)),1,0)</f>
        <v/>
      </c>
    </row>
    <row r="208">
      <c r="A208" s="36" t="inlineStr">
        <is>
          <t>00285</t>
        </is>
      </c>
      <c r="B208" s="44" t="n">
        <v>46066</v>
      </c>
      <c r="C208" s="36" t="inlineStr">
        <is>
          <t>Western Europe</t>
        </is>
      </c>
      <c r="D208" s="36" t="inlineStr">
        <is>
          <t>United Kingdom</t>
        </is>
      </c>
      <c r="E208" s="36" t="inlineStr">
        <is>
          <t>Retail Partners</t>
        </is>
      </c>
      <c r="F208" s="36" t="inlineStr">
        <is>
          <t>New</t>
        </is>
      </c>
      <c r="G208" s="36" t="inlineStr">
        <is>
          <t>Hiking</t>
        </is>
      </c>
      <c r="H208" s="36" t="inlineStr">
        <is>
          <t>Hiking Daypack 20L</t>
        </is>
      </c>
      <c r="I208" s="36" t="n">
        <v>4</v>
      </c>
      <c r="J208" s="39" t="n">
        <v>92.87</v>
      </c>
      <c r="K208" s="45" t="n">
        <v>0</v>
      </c>
      <c r="L208" s="39" t="n">
        <v>44.95</v>
      </c>
      <c r="M208" s="39">
        <f>I208*J208*(1-K208)</f>
        <v/>
      </c>
      <c r="N208" s="39">
        <f>I208*L208</f>
        <v/>
      </c>
      <c r="O208" s="39">
        <f>M208-N208</f>
        <v/>
      </c>
      <c r="P208" s="38">
        <f>IF(M208=0,0,O208/M208)</f>
        <v/>
      </c>
      <c r="Q208" s="36">
        <f>YEAR(B208)</f>
        <v/>
      </c>
      <c r="R208" s="36">
        <f>"Q"&amp;ROUNDUP(MONTH(B208)/3,0)</f>
        <v/>
      </c>
      <c r="S208" s="36">
        <f>MONTH(B208)</f>
        <v/>
      </c>
      <c r="T208" s="36">
        <f>TEXT(B208,"mmm")</f>
        <v/>
      </c>
      <c r="U208" s="36">
        <f>IF(AND(OR(sel_Region="All",C208=sel_Region),OR(sel_Country="All",D208=sel_Country),OR(sel_Channel="All",E208=sel_Channel),OR(sel_Customer="All",F208=sel_Customer),OR(sel_Category="All",G208=sel_Category),OR(sel_Product="All",H208=sel_Product),AND(S208&gt;=m_From,S208&lt;=m_To)),1,0)</f>
        <v/>
      </c>
      <c r="V208" s="36">
        <f>IF(AND(OR(sel_Region="All",C208=sel_Region),OR(sel_Channel="All",E208=sel_Channel),OR(sel_Customer="All",F208=sel_Customer),OR(sel_Category="All",G208=sel_Category),OR(sel_Product="All",H208=sel_Product),AND(S208&gt;=m_From,S208&lt;=m_To)),1,0)</f>
        <v/>
      </c>
      <c r="W208" s="36">
        <f>IF(AND(OR(sel_Region="All",C208=sel_Region),OR(sel_Country="All",D208=sel_Country),OR(sel_Customer="All",F208=sel_Customer),OR(sel_Category="All",G208=sel_Category),OR(sel_Product="All",H208=sel_Product),AND(S208&gt;=m_From,S208&lt;=m_To)),1,0)</f>
        <v/>
      </c>
      <c r="X208" s="36">
        <f>IF(AND(OR(sel_Region="All",C208=sel_Region),OR(sel_Country="All",D208=sel_Country),OR(sel_Channel="All",E208=sel_Channel),OR(sel_Category="All",G208=sel_Category),OR(sel_Product="All",H208=sel_Product),AND(S208&gt;=m_From,S208&lt;=m_To)),1,0)</f>
        <v/>
      </c>
      <c r="Y208" s="36">
        <f>IF(AND(OR(sel_Region="All",C208=sel_Region),OR(sel_Country="All",D208=sel_Country),OR(sel_Channel="All",E208=sel_Channel),OR(sel_Customer="All",F208=sel_Customer),OR(sel_Product="All",H208=sel_Product),AND(S208&gt;=m_From,S208&lt;=m_To)),1,0)</f>
        <v/>
      </c>
      <c r="Z208" s="36">
        <f>IF(AND(OR(sel_Region="All",C208=sel_Region),OR(sel_Country="All",D208=sel_Country),OR(sel_Channel="All",E208=sel_Channel),OR(sel_Customer="All",F208=sel_Customer),OR(sel_Category="All",G208=sel_Category),AND(S208&gt;=m_From,S208&lt;=m_To)),1,0)</f>
        <v/>
      </c>
      <c r="AA208" s="36">
        <f>IF(AND(OR(sel_Region="All",C208=sel_Region),OR(sel_Country="All",D208=sel_Country),OR(sel_Channel="All",E208=sel_Channel),OR(sel_Customer="All",F208=sel_Customer),OR(sel_Category="All",G208=sel_Category),OR(sel_Product="All",H208=sel_Product)),1,0)</f>
        <v/>
      </c>
    </row>
    <row r="209">
      <c r="A209" s="36" t="inlineStr">
        <is>
          <t>01499</t>
        </is>
      </c>
      <c r="B209" s="44" t="n">
        <v>46066</v>
      </c>
      <c r="C209" s="36" t="inlineStr">
        <is>
          <t>Western Europe</t>
        </is>
      </c>
      <c r="D209" s="36" t="inlineStr">
        <is>
          <t>United Kingdom</t>
        </is>
      </c>
      <c r="E209" s="36" t="inlineStr">
        <is>
          <t>Online Store</t>
        </is>
      </c>
      <c r="F209" s="36" t="inlineStr">
        <is>
          <t>New</t>
        </is>
      </c>
      <c r="G209" s="36" t="inlineStr">
        <is>
          <t>Cycling</t>
        </is>
      </c>
      <c r="H209" s="36" t="inlineStr">
        <is>
          <t>Compact Repair Kit</t>
        </is>
      </c>
      <c r="I209" s="36" t="n">
        <v>2</v>
      </c>
      <c r="J209" s="39" t="n">
        <v>41.21</v>
      </c>
      <c r="K209" s="45" t="n">
        <v>0</v>
      </c>
      <c r="L209" s="39" t="n">
        <v>16.64</v>
      </c>
      <c r="M209" s="39">
        <f>I209*J209*(1-K209)</f>
        <v/>
      </c>
      <c r="N209" s="39">
        <f>I209*L209</f>
        <v/>
      </c>
      <c r="O209" s="39">
        <f>M209-N209</f>
        <v/>
      </c>
      <c r="P209" s="38">
        <f>IF(M209=0,0,O209/M209)</f>
        <v/>
      </c>
      <c r="Q209" s="36">
        <f>YEAR(B209)</f>
        <v/>
      </c>
      <c r="R209" s="36">
        <f>"Q"&amp;ROUNDUP(MONTH(B209)/3,0)</f>
        <v/>
      </c>
      <c r="S209" s="36">
        <f>MONTH(B209)</f>
        <v/>
      </c>
      <c r="T209" s="36">
        <f>TEXT(B209,"mmm")</f>
        <v/>
      </c>
      <c r="U209" s="36">
        <f>IF(AND(OR(sel_Region="All",C209=sel_Region),OR(sel_Country="All",D209=sel_Country),OR(sel_Channel="All",E209=sel_Channel),OR(sel_Customer="All",F209=sel_Customer),OR(sel_Category="All",G209=sel_Category),OR(sel_Product="All",H209=sel_Product),AND(S209&gt;=m_From,S209&lt;=m_To)),1,0)</f>
        <v/>
      </c>
      <c r="V209" s="36">
        <f>IF(AND(OR(sel_Region="All",C209=sel_Region),OR(sel_Channel="All",E209=sel_Channel),OR(sel_Customer="All",F209=sel_Customer),OR(sel_Category="All",G209=sel_Category),OR(sel_Product="All",H209=sel_Product),AND(S209&gt;=m_From,S209&lt;=m_To)),1,0)</f>
        <v/>
      </c>
      <c r="W209" s="36">
        <f>IF(AND(OR(sel_Region="All",C209=sel_Region),OR(sel_Country="All",D209=sel_Country),OR(sel_Customer="All",F209=sel_Customer),OR(sel_Category="All",G209=sel_Category),OR(sel_Product="All",H209=sel_Product),AND(S209&gt;=m_From,S209&lt;=m_To)),1,0)</f>
        <v/>
      </c>
      <c r="X209" s="36">
        <f>IF(AND(OR(sel_Region="All",C209=sel_Region),OR(sel_Country="All",D209=sel_Country),OR(sel_Channel="All",E209=sel_Channel),OR(sel_Category="All",G209=sel_Category),OR(sel_Product="All",H209=sel_Product),AND(S209&gt;=m_From,S209&lt;=m_To)),1,0)</f>
        <v/>
      </c>
      <c r="Y209" s="36">
        <f>IF(AND(OR(sel_Region="All",C209=sel_Region),OR(sel_Country="All",D209=sel_Country),OR(sel_Channel="All",E209=sel_Channel),OR(sel_Customer="All",F209=sel_Customer),OR(sel_Product="All",H209=sel_Product),AND(S209&gt;=m_From,S209&lt;=m_To)),1,0)</f>
        <v/>
      </c>
      <c r="Z209" s="36">
        <f>IF(AND(OR(sel_Region="All",C209=sel_Region),OR(sel_Country="All",D209=sel_Country),OR(sel_Channel="All",E209=sel_Channel),OR(sel_Customer="All",F209=sel_Customer),OR(sel_Category="All",G209=sel_Category),AND(S209&gt;=m_From,S209&lt;=m_To)),1,0)</f>
        <v/>
      </c>
      <c r="AA209" s="36">
        <f>IF(AND(OR(sel_Region="All",C209=sel_Region),OR(sel_Country="All",D209=sel_Country),OR(sel_Channel="All",E209=sel_Channel),OR(sel_Customer="All",F209=sel_Customer),OR(sel_Category="All",G209=sel_Category),OR(sel_Product="All",H209=sel_Product)),1,0)</f>
        <v/>
      </c>
    </row>
    <row r="210">
      <c r="A210" s="36" t="inlineStr">
        <is>
          <t>02615</t>
        </is>
      </c>
      <c r="B210" s="44" t="n">
        <v>46066</v>
      </c>
      <c r="C210" s="36" t="inlineStr">
        <is>
          <t>Southern Europe</t>
        </is>
      </c>
      <c r="D210" s="36" t="inlineStr">
        <is>
          <t>Italy</t>
        </is>
      </c>
      <c r="E210" s="36" t="inlineStr">
        <is>
          <t>Online Store</t>
        </is>
      </c>
      <c r="F210" s="36" t="inlineStr">
        <is>
          <t>Returning</t>
        </is>
      </c>
      <c r="G210" s="36" t="inlineStr">
        <is>
          <t>Hiking</t>
        </is>
      </c>
      <c r="H210" s="36" t="inlineStr">
        <is>
          <t>Summit Backpack 45L</t>
        </is>
      </c>
      <c r="I210" s="36" t="n">
        <v>6</v>
      </c>
      <c r="J210" s="39" t="n">
        <v>155.79</v>
      </c>
      <c r="K210" s="45" t="n">
        <v>0</v>
      </c>
      <c r="L210" s="39" t="n">
        <v>77.48</v>
      </c>
      <c r="M210" s="39">
        <f>I210*J210*(1-K210)</f>
        <v/>
      </c>
      <c r="N210" s="39">
        <f>I210*L210</f>
        <v/>
      </c>
      <c r="O210" s="39">
        <f>M210-N210</f>
        <v/>
      </c>
      <c r="P210" s="38">
        <f>IF(M210=0,0,O210/M210)</f>
        <v/>
      </c>
      <c r="Q210" s="36">
        <f>YEAR(B210)</f>
        <v/>
      </c>
      <c r="R210" s="36">
        <f>"Q"&amp;ROUNDUP(MONTH(B210)/3,0)</f>
        <v/>
      </c>
      <c r="S210" s="36">
        <f>MONTH(B210)</f>
        <v/>
      </c>
      <c r="T210" s="36">
        <f>TEXT(B210,"mmm")</f>
        <v/>
      </c>
      <c r="U210" s="36">
        <f>IF(AND(OR(sel_Region="All",C210=sel_Region),OR(sel_Country="All",D210=sel_Country),OR(sel_Channel="All",E210=sel_Channel),OR(sel_Customer="All",F210=sel_Customer),OR(sel_Category="All",G210=sel_Category),OR(sel_Product="All",H210=sel_Product),AND(S210&gt;=m_From,S210&lt;=m_To)),1,0)</f>
        <v/>
      </c>
      <c r="V210" s="36">
        <f>IF(AND(OR(sel_Region="All",C210=sel_Region),OR(sel_Channel="All",E210=sel_Channel),OR(sel_Customer="All",F210=sel_Customer),OR(sel_Category="All",G210=sel_Category),OR(sel_Product="All",H210=sel_Product),AND(S210&gt;=m_From,S210&lt;=m_To)),1,0)</f>
        <v/>
      </c>
      <c r="W210" s="36">
        <f>IF(AND(OR(sel_Region="All",C210=sel_Region),OR(sel_Country="All",D210=sel_Country),OR(sel_Customer="All",F210=sel_Customer),OR(sel_Category="All",G210=sel_Category),OR(sel_Product="All",H210=sel_Product),AND(S210&gt;=m_From,S210&lt;=m_To)),1,0)</f>
        <v/>
      </c>
      <c r="X210" s="36">
        <f>IF(AND(OR(sel_Region="All",C210=sel_Region),OR(sel_Country="All",D210=sel_Country),OR(sel_Channel="All",E210=sel_Channel),OR(sel_Category="All",G210=sel_Category),OR(sel_Product="All",H210=sel_Product),AND(S210&gt;=m_From,S210&lt;=m_To)),1,0)</f>
        <v/>
      </c>
      <c r="Y210" s="36">
        <f>IF(AND(OR(sel_Region="All",C210=sel_Region),OR(sel_Country="All",D210=sel_Country),OR(sel_Channel="All",E210=sel_Channel),OR(sel_Customer="All",F210=sel_Customer),OR(sel_Product="All",H210=sel_Product),AND(S210&gt;=m_From,S210&lt;=m_To)),1,0)</f>
        <v/>
      </c>
      <c r="Z210" s="36">
        <f>IF(AND(OR(sel_Region="All",C210=sel_Region),OR(sel_Country="All",D210=sel_Country),OR(sel_Channel="All",E210=sel_Channel),OR(sel_Customer="All",F210=sel_Customer),OR(sel_Category="All",G210=sel_Category),AND(S210&gt;=m_From,S210&lt;=m_To)),1,0)</f>
        <v/>
      </c>
      <c r="AA210" s="36">
        <f>IF(AND(OR(sel_Region="All",C210=sel_Region),OR(sel_Country="All",D210=sel_Country),OR(sel_Channel="All",E210=sel_Channel),OR(sel_Customer="All",F210=sel_Customer),OR(sel_Category="All",G210=sel_Category),OR(sel_Product="All",H210=sel_Product)),1,0)</f>
        <v/>
      </c>
    </row>
    <row r="211">
      <c r="A211" s="36" t="inlineStr">
        <is>
          <t>00479</t>
        </is>
      </c>
      <c r="B211" s="44" t="n">
        <v>46067</v>
      </c>
      <c r="C211" s="36" t="inlineStr">
        <is>
          <t>Southern Europe</t>
        </is>
      </c>
      <c r="D211" s="36" t="inlineStr">
        <is>
          <t>Spain</t>
        </is>
      </c>
      <c r="E211" s="36" t="inlineStr">
        <is>
          <t>Online Store</t>
        </is>
      </c>
      <c r="F211" s="36" t="inlineStr">
        <is>
          <t>Returning</t>
        </is>
      </c>
      <c r="G211" s="36" t="inlineStr">
        <is>
          <t>Fitness</t>
        </is>
      </c>
      <c r="H211" s="36" t="inlineStr">
        <is>
          <t>Training Mat</t>
        </is>
      </c>
      <c r="I211" s="36" t="n">
        <v>2</v>
      </c>
      <c r="J211" s="39" t="n">
        <v>50.16</v>
      </c>
      <c r="K211" s="45" t="n">
        <v>0.1</v>
      </c>
      <c r="L211" s="39" t="n">
        <v>21.48</v>
      </c>
      <c r="M211" s="39">
        <f>I211*J211*(1-K211)</f>
        <v/>
      </c>
      <c r="N211" s="39">
        <f>I211*L211</f>
        <v/>
      </c>
      <c r="O211" s="39">
        <f>M211-N211</f>
        <v/>
      </c>
      <c r="P211" s="38">
        <f>IF(M211=0,0,O211/M211)</f>
        <v/>
      </c>
      <c r="Q211" s="36">
        <f>YEAR(B211)</f>
        <v/>
      </c>
      <c r="R211" s="36">
        <f>"Q"&amp;ROUNDUP(MONTH(B211)/3,0)</f>
        <v/>
      </c>
      <c r="S211" s="36">
        <f>MONTH(B211)</f>
        <v/>
      </c>
      <c r="T211" s="36">
        <f>TEXT(B211,"mmm")</f>
        <v/>
      </c>
      <c r="U211" s="36">
        <f>IF(AND(OR(sel_Region="All",C211=sel_Region),OR(sel_Country="All",D211=sel_Country),OR(sel_Channel="All",E211=sel_Channel),OR(sel_Customer="All",F211=sel_Customer),OR(sel_Category="All",G211=sel_Category),OR(sel_Product="All",H211=sel_Product),AND(S211&gt;=m_From,S211&lt;=m_To)),1,0)</f>
        <v/>
      </c>
      <c r="V211" s="36">
        <f>IF(AND(OR(sel_Region="All",C211=sel_Region),OR(sel_Channel="All",E211=sel_Channel),OR(sel_Customer="All",F211=sel_Customer),OR(sel_Category="All",G211=sel_Category),OR(sel_Product="All",H211=sel_Product),AND(S211&gt;=m_From,S211&lt;=m_To)),1,0)</f>
        <v/>
      </c>
      <c r="W211" s="36">
        <f>IF(AND(OR(sel_Region="All",C211=sel_Region),OR(sel_Country="All",D211=sel_Country),OR(sel_Customer="All",F211=sel_Customer),OR(sel_Category="All",G211=sel_Category),OR(sel_Product="All",H211=sel_Product),AND(S211&gt;=m_From,S211&lt;=m_To)),1,0)</f>
        <v/>
      </c>
      <c r="X211" s="36">
        <f>IF(AND(OR(sel_Region="All",C211=sel_Region),OR(sel_Country="All",D211=sel_Country),OR(sel_Channel="All",E211=sel_Channel),OR(sel_Category="All",G211=sel_Category),OR(sel_Product="All",H211=sel_Product),AND(S211&gt;=m_From,S211&lt;=m_To)),1,0)</f>
        <v/>
      </c>
      <c r="Y211" s="36">
        <f>IF(AND(OR(sel_Region="All",C211=sel_Region),OR(sel_Country="All",D211=sel_Country),OR(sel_Channel="All",E211=sel_Channel),OR(sel_Customer="All",F211=sel_Customer),OR(sel_Product="All",H211=sel_Product),AND(S211&gt;=m_From,S211&lt;=m_To)),1,0)</f>
        <v/>
      </c>
      <c r="Z211" s="36">
        <f>IF(AND(OR(sel_Region="All",C211=sel_Region),OR(sel_Country="All",D211=sel_Country),OR(sel_Channel="All",E211=sel_Channel),OR(sel_Customer="All",F211=sel_Customer),OR(sel_Category="All",G211=sel_Category),AND(S211&gt;=m_From,S211&lt;=m_To)),1,0)</f>
        <v/>
      </c>
      <c r="AA211" s="36">
        <f>IF(AND(OR(sel_Region="All",C211=sel_Region),OR(sel_Country="All",D211=sel_Country),OR(sel_Channel="All",E211=sel_Channel),OR(sel_Customer="All",F211=sel_Customer),OR(sel_Category="All",G211=sel_Category),OR(sel_Product="All",H211=sel_Product)),1,0)</f>
        <v/>
      </c>
    </row>
    <row r="212">
      <c r="A212" s="36" t="inlineStr">
        <is>
          <t>04069</t>
        </is>
      </c>
      <c r="B212" s="44" t="n">
        <v>46067</v>
      </c>
      <c r="C212" s="36" t="inlineStr">
        <is>
          <t>Western Europe</t>
        </is>
      </c>
      <c r="D212" s="36" t="inlineStr">
        <is>
          <t>United Kingdom</t>
        </is>
      </c>
      <c r="E212" s="36" t="inlineStr">
        <is>
          <t>Online Store</t>
        </is>
      </c>
      <c r="F212" s="36" t="inlineStr">
        <is>
          <t>New</t>
        </is>
      </c>
      <c r="G212" s="36" t="inlineStr">
        <is>
          <t>Hiking</t>
        </is>
      </c>
      <c r="H212" s="36" t="inlineStr">
        <is>
          <t>Trail Boots</t>
        </is>
      </c>
      <c r="I212" s="36" t="n">
        <v>4</v>
      </c>
      <c r="J212" s="39" t="n">
        <v>140.64</v>
      </c>
      <c r="K212" s="45" t="n">
        <v>0</v>
      </c>
      <c r="L212" s="39" t="n">
        <v>77.51000000000001</v>
      </c>
      <c r="M212" s="39">
        <f>I212*J212*(1-K212)</f>
        <v/>
      </c>
      <c r="N212" s="39">
        <f>I212*L212</f>
        <v/>
      </c>
      <c r="O212" s="39">
        <f>M212-N212</f>
        <v/>
      </c>
      <c r="P212" s="38">
        <f>IF(M212=0,0,O212/M212)</f>
        <v/>
      </c>
      <c r="Q212" s="36">
        <f>YEAR(B212)</f>
        <v/>
      </c>
      <c r="R212" s="36">
        <f>"Q"&amp;ROUNDUP(MONTH(B212)/3,0)</f>
        <v/>
      </c>
      <c r="S212" s="36">
        <f>MONTH(B212)</f>
        <v/>
      </c>
      <c r="T212" s="36">
        <f>TEXT(B212,"mmm")</f>
        <v/>
      </c>
      <c r="U212" s="36">
        <f>IF(AND(OR(sel_Region="All",C212=sel_Region),OR(sel_Country="All",D212=sel_Country),OR(sel_Channel="All",E212=sel_Channel),OR(sel_Customer="All",F212=sel_Customer),OR(sel_Category="All",G212=sel_Category),OR(sel_Product="All",H212=sel_Product),AND(S212&gt;=m_From,S212&lt;=m_To)),1,0)</f>
        <v/>
      </c>
      <c r="V212" s="36">
        <f>IF(AND(OR(sel_Region="All",C212=sel_Region),OR(sel_Channel="All",E212=sel_Channel),OR(sel_Customer="All",F212=sel_Customer),OR(sel_Category="All",G212=sel_Category),OR(sel_Product="All",H212=sel_Product),AND(S212&gt;=m_From,S212&lt;=m_To)),1,0)</f>
        <v/>
      </c>
      <c r="W212" s="36">
        <f>IF(AND(OR(sel_Region="All",C212=sel_Region),OR(sel_Country="All",D212=sel_Country),OR(sel_Customer="All",F212=sel_Customer),OR(sel_Category="All",G212=sel_Category),OR(sel_Product="All",H212=sel_Product),AND(S212&gt;=m_From,S212&lt;=m_To)),1,0)</f>
        <v/>
      </c>
      <c r="X212" s="36">
        <f>IF(AND(OR(sel_Region="All",C212=sel_Region),OR(sel_Country="All",D212=sel_Country),OR(sel_Channel="All",E212=sel_Channel),OR(sel_Category="All",G212=sel_Category),OR(sel_Product="All",H212=sel_Product),AND(S212&gt;=m_From,S212&lt;=m_To)),1,0)</f>
        <v/>
      </c>
      <c r="Y212" s="36">
        <f>IF(AND(OR(sel_Region="All",C212=sel_Region),OR(sel_Country="All",D212=sel_Country),OR(sel_Channel="All",E212=sel_Channel),OR(sel_Customer="All",F212=sel_Customer),OR(sel_Product="All",H212=sel_Product),AND(S212&gt;=m_From,S212&lt;=m_To)),1,0)</f>
        <v/>
      </c>
      <c r="Z212" s="36">
        <f>IF(AND(OR(sel_Region="All",C212=sel_Region),OR(sel_Country="All",D212=sel_Country),OR(sel_Channel="All",E212=sel_Channel),OR(sel_Customer="All",F212=sel_Customer),OR(sel_Category="All",G212=sel_Category),AND(S212&gt;=m_From,S212&lt;=m_To)),1,0)</f>
        <v/>
      </c>
      <c r="AA212" s="36">
        <f>IF(AND(OR(sel_Region="All",C212=sel_Region),OR(sel_Country="All",D212=sel_Country),OR(sel_Channel="All",E212=sel_Channel),OR(sel_Customer="All",F212=sel_Customer),OR(sel_Category="All",G212=sel_Category),OR(sel_Product="All",H212=sel_Product)),1,0)</f>
        <v/>
      </c>
    </row>
    <row r="213">
      <c r="A213" s="36" t="inlineStr">
        <is>
          <t>04588</t>
        </is>
      </c>
      <c r="B213" s="44" t="n">
        <v>46067</v>
      </c>
      <c r="C213" s="36" t="inlineStr">
        <is>
          <t>Southern Europe</t>
        </is>
      </c>
      <c r="D213" s="36" t="inlineStr">
        <is>
          <t>Spain</t>
        </is>
      </c>
      <c r="E213" s="36" t="inlineStr">
        <is>
          <t>Marketplace</t>
        </is>
      </c>
      <c r="F213" s="36" t="inlineStr">
        <is>
          <t>New</t>
        </is>
      </c>
      <c r="G213" s="36" t="inlineStr">
        <is>
          <t>Camping</t>
        </is>
      </c>
      <c r="H213" s="36" t="inlineStr">
        <is>
          <t>Portable Camp Stove</t>
        </is>
      </c>
      <c r="I213" s="36" t="n">
        <v>1</v>
      </c>
      <c r="J213" s="39" t="n">
        <v>80.68000000000001</v>
      </c>
      <c r="K213" s="45" t="n">
        <v>0</v>
      </c>
      <c r="L213" s="39" t="n">
        <v>39.63</v>
      </c>
      <c r="M213" s="39">
        <f>I213*J213*(1-K213)</f>
        <v/>
      </c>
      <c r="N213" s="39">
        <f>I213*L213</f>
        <v/>
      </c>
      <c r="O213" s="39">
        <f>M213-N213</f>
        <v/>
      </c>
      <c r="P213" s="38">
        <f>IF(M213=0,0,O213/M213)</f>
        <v/>
      </c>
      <c r="Q213" s="36">
        <f>YEAR(B213)</f>
        <v/>
      </c>
      <c r="R213" s="36">
        <f>"Q"&amp;ROUNDUP(MONTH(B213)/3,0)</f>
        <v/>
      </c>
      <c r="S213" s="36">
        <f>MONTH(B213)</f>
        <v/>
      </c>
      <c r="T213" s="36">
        <f>TEXT(B213,"mmm")</f>
        <v/>
      </c>
      <c r="U213" s="36">
        <f>IF(AND(OR(sel_Region="All",C213=sel_Region),OR(sel_Country="All",D213=sel_Country),OR(sel_Channel="All",E213=sel_Channel),OR(sel_Customer="All",F213=sel_Customer),OR(sel_Category="All",G213=sel_Category),OR(sel_Product="All",H213=sel_Product),AND(S213&gt;=m_From,S213&lt;=m_To)),1,0)</f>
        <v/>
      </c>
      <c r="V213" s="36">
        <f>IF(AND(OR(sel_Region="All",C213=sel_Region),OR(sel_Channel="All",E213=sel_Channel),OR(sel_Customer="All",F213=sel_Customer),OR(sel_Category="All",G213=sel_Category),OR(sel_Product="All",H213=sel_Product),AND(S213&gt;=m_From,S213&lt;=m_To)),1,0)</f>
        <v/>
      </c>
      <c r="W213" s="36">
        <f>IF(AND(OR(sel_Region="All",C213=sel_Region),OR(sel_Country="All",D213=sel_Country),OR(sel_Customer="All",F213=sel_Customer),OR(sel_Category="All",G213=sel_Category),OR(sel_Product="All",H213=sel_Product),AND(S213&gt;=m_From,S213&lt;=m_To)),1,0)</f>
        <v/>
      </c>
      <c r="X213" s="36">
        <f>IF(AND(OR(sel_Region="All",C213=sel_Region),OR(sel_Country="All",D213=sel_Country),OR(sel_Channel="All",E213=sel_Channel),OR(sel_Category="All",G213=sel_Category),OR(sel_Product="All",H213=sel_Product),AND(S213&gt;=m_From,S213&lt;=m_To)),1,0)</f>
        <v/>
      </c>
      <c r="Y213" s="36">
        <f>IF(AND(OR(sel_Region="All",C213=sel_Region),OR(sel_Country="All",D213=sel_Country),OR(sel_Channel="All",E213=sel_Channel),OR(sel_Customer="All",F213=sel_Customer),OR(sel_Product="All",H213=sel_Product),AND(S213&gt;=m_From,S213&lt;=m_To)),1,0)</f>
        <v/>
      </c>
      <c r="Z213" s="36">
        <f>IF(AND(OR(sel_Region="All",C213=sel_Region),OR(sel_Country="All",D213=sel_Country),OR(sel_Channel="All",E213=sel_Channel),OR(sel_Customer="All",F213=sel_Customer),OR(sel_Category="All",G213=sel_Category),AND(S213&gt;=m_From,S213&lt;=m_To)),1,0)</f>
        <v/>
      </c>
      <c r="AA213" s="36">
        <f>IF(AND(OR(sel_Region="All",C213=sel_Region),OR(sel_Country="All",D213=sel_Country),OR(sel_Channel="All",E213=sel_Channel),OR(sel_Customer="All",F213=sel_Customer),OR(sel_Category="All",G213=sel_Category),OR(sel_Product="All",H213=sel_Product)),1,0)</f>
        <v/>
      </c>
    </row>
    <row r="214">
      <c r="A214" s="36" t="inlineStr">
        <is>
          <t>00014</t>
        </is>
      </c>
      <c r="B214" s="44" t="n">
        <v>46068</v>
      </c>
      <c r="C214" s="36" t="inlineStr">
        <is>
          <t>Southern Europe</t>
        </is>
      </c>
      <c r="D214" s="36" t="inlineStr">
        <is>
          <t>Spain</t>
        </is>
      </c>
      <c r="E214" s="36" t="inlineStr">
        <is>
          <t>Corporate</t>
        </is>
      </c>
      <c r="F214" s="36" t="inlineStr">
        <is>
          <t>Business</t>
        </is>
      </c>
      <c r="G214" s="36" t="inlineStr">
        <is>
          <t>Travel</t>
        </is>
      </c>
      <c r="H214" s="36" t="inlineStr">
        <is>
          <t>Travel Backpack 35L</t>
        </is>
      </c>
      <c r="I214" s="36" t="n">
        <v>3</v>
      </c>
      <c r="J214" s="39" t="n">
        <v>162.45</v>
      </c>
      <c r="K214" s="45" t="n">
        <v>0.05</v>
      </c>
      <c r="L214" s="39" t="n">
        <v>86.43000000000001</v>
      </c>
      <c r="M214" s="39">
        <f>I214*J214*(1-K214)</f>
        <v/>
      </c>
      <c r="N214" s="39">
        <f>I214*L214</f>
        <v/>
      </c>
      <c r="O214" s="39">
        <f>M214-N214</f>
        <v/>
      </c>
      <c r="P214" s="38">
        <f>IF(M214=0,0,O214/M214)</f>
        <v/>
      </c>
      <c r="Q214" s="36">
        <f>YEAR(B214)</f>
        <v/>
      </c>
      <c r="R214" s="36">
        <f>"Q"&amp;ROUNDUP(MONTH(B214)/3,0)</f>
        <v/>
      </c>
      <c r="S214" s="36">
        <f>MONTH(B214)</f>
        <v/>
      </c>
      <c r="T214" s="36">
        <f>TEXT(B214,"mmm")</f>
        <v/>
      </c>
      <c r="U214" s="36">
        <f>IF(AND(OR(sel_Region="All",C214=sel_Region),OR(sel_Country="All",D214=sel_Country),OR(sel_Channel="All",E214=sel_Channel),OR(sel_Customer="All",F214=sel_Customer),OR(sel_Category="All",G214=sel_Category),OR(sel_Product="All",H214=sel_Product),AND(S214&gt;=m_From,S214&lt;=m_To)),1,0)</f>
        <v/>
      </c>
      <c r="V214" s="36">
        <f>IF(AND(OR(sel_Region="All",C214=sel_Region),OR(sel_Channel="All",E214=sel_Channel),OR(sel_Customer="All",F214=sel_Customer),OR(sel_Category="All",G214=sel_Category),OR(sel_Product="All",H214=sel_Product),AND(S214&gt;=m_From,S214&lt;=m_To)),1,0)</f>
        <v/>
      </c>
      <c r="W214" s="36">
        <f>IF(AND(OR(sel_Region="All",C214=sel_Region),OR(sel_Country="All",D214=sel_Country),OR(sel_Customer="All",F214=sel_Customer),OR(sel_Category="All",G214=sel_Category),OR(sel_Product="All",H214=sel_Product),AND(S214&gt;=m_From,S214&lt;=m_To)),1,0)</f>
        <v/>
      </c>
      <c r="X214" s="36">
        <f>IF(AND(OR(sel_Region="All",C214=sel_Region),OR(sel_Country="All",D214=sel_Country),OR(sel_Channel="All",E214=sel_Channel),OR(sel_Category="All",G214=sel_Category),OR(sel_Product="All",H214=sel_Product),AND(S214&gt;=m_From,S214&lt;=m_To)),1,0)</f>
        <v/>
      </c>
      <c r="Y214" s="36">
        <f>IF(AND(OR(sel_Region="All",C214=sel_Region),OR(sel_Country="All",D214=sel_Country),OR(sel_Channel="All",E214=sel_Channel),OR(sel_Customer="All",F214=sel_Customer),OR(sel_Product="All",H214=sel_Product),AND(S214&gt;=m_From,S214&lt;=m_To)),1,0)</f>
        <v/>
      </c>
      <c r="Z214" s="36">
        <f>IF(AND(OR(sel_Region="All",C214=sel_Region),OR(sel_Country="All",D214=sel_Country),OR(sel_Channel="All",E214=sel_Channel),OR(sel_Customer="All",F214=sel_Customer),OR(sel_Category="All",G214=sel_Category),AND(S214&gt;=m_From,S214&lt;=m_To)),1,0)</f>
        <v/>
      </c>
      <c r="AA214" s="36">
        <f>IF(AND(OR(sel_Region="All",C214=sel_Region),OR(sel_Country="All",D214=sel_Country),OR(sel_Channel="All",E214=sel_Channel),OR(sel_Customer="All",F214=sel_Customer),OR(sel_Category="All",G214=sel_Category),OR(sel_Product="All",H214=sel_Product)),1,0)</f>
        <v/>
      </c>
    </row>
    <row r="215">
      <c r="A215" s="36" t="inlineStr">
        <is>
          <t>00303</t>
        </is>
      </c>
      <c r="B215" s="44" t="n">
        <v>46068</v>
      </c>
      <c r="C215" s="36" t="inlineStr">
        <is>
          <t>Central Europe</t>
        </is>
      </c>
      <c r="D215" s="36" t="inlineStr">
        <is>
          <t>Austria</t>
        </is>
      </c>
      <c r="E215" s="36" t="inlineStr">
        <is>
          <t>Marketplace</t>
        </is>
      </c>
      <c r="F215" s="36" t="inlineStr">
        <is>
          <t>Returning</t>
        </is>
      </c>
      <c r="G215" s="36" t="inlineStr">
        <is>
          <t>Cycling</t>
        </is>
      </c>
      <c r="H215" s="36" t="inlineStr">
        <is>
          <t>Cycling Pack 12L</t>
        </is>
      </c>
      <c r="I215" s="36" t="n">
        <v>2</v>
      </c>
      <c r="J215" s="39" t="n">
        <v>102.12</v>
      </c>
      <c r="K215" s="45" t="n">
        <v>0.15</v>
      </c>
      <c r="L215" s="39" t="n">
        <v>51.03</v>
      </c>
      <c r="M215" s="39">
        <f>I215*J215*(1-K215)</f>
        <v/>
      </c>
      <c r="N215" s="39">
        <f>I215*L215</f>
        <v/>
      </c>
      <c r="O215" s="39">
        <f>M215-N215</f>
        <v/>
      </c>
      <c r="P215" s="38">
        <f>IF(M215=0,0,O215/M215)</f>
        <v/>
      </c>
      <c r="Q215" s="36">
        <f>YEAR(B215)</f>
        <v/>
      </c>
      <c r="R215" s="36">
        <f>"Q"&amp;ROUNDUP(MONTH(B215)/3,0)</f>
        <v/>
      </c>
      <c r="S215" s="36">
        <f>MONTH(B215)</f>
        <v/>
      </c>
      <c r="T215" s="36">
        <f>TEXT(B215,"mmm")</f>
        <v/>
      </c>
      <c r="U215" s="36">
        <f>IF(AND(OR(sel_Region="All",C215=sel_Region),OR(sel_Country="All",D215=sel_Country),OR(sel_Channel="All",E215=sel_Channel),OR(sel_Customer="All",F215=sel_Customer),OR(sel_Category="All",G215=sel_Category),OR(sel_Product="All",H215=sel_Product),AND(S215&gt;=m_From,S215&lt;=m_To)),1,0)</f>
        <v/>
      </c>
      <c r="V215" s="36">
        <f>IF(AND(OR(sel_Region="All",C215=sel_Region),OR(sel_Channel="All",E215=sel_Channel),OR(sel_Customer="All",F215=sel_Customer),OR(sel_Category="All",G215=sel_Category),OR(sel_Product="All",H215=sel_Product),AND(S215&gt;=m_From,S215&lt;=m_To)),1,0)</f>
        <v/>
      </c>
      <c r="W215" s="36">
        <f>IF(AND(OR(sel_Region="All",C215=sel_Region),OR(sel_Country="All",D215=sel_Country),OR(sel_Customer="All",F215=sel_Customer),OR(sel_Category="All",G215=sel_Category),OR(sel_Product="All",H215=sel_Product),AND(S215&gt;=m_From,S215&lt;=m_To)),1,0)</f>
        <v/>
      </c>
      <c r="X215" s="36">
        <f>IF(AND(OR(sel_Region="All",C215=sel_Region),OR(sel_Country="All",D215=sel_Country),OR(sel_Channel="All",E215=sel_Channel),OR(sel_Category="All",G215=sel_Category),OR(sel_Product="All",H215=sel_Product),AND(S215&gt;=m_From,S215&lt;=m_To)),1,0)</f>
        <v/>
      </c>
      <c r="Y215" s="36">
        <f>IF(AND(OR(sel_Region="All",C215=sel_Region),OR(sel_Country="All",D215=sel_Country),OR(sel_Channel="All",E215=sel_Channel),OR(sel_Customer="All",F215=sel_Customer),OR(sel_Product="All",H215=sel_Product),AND(S215&gt;=m_From,S215&lt;=m_To)),1,0)</f>
        <v/>
      </c>
      <c r="Z215" s="36">
        <f>IF(AND(OR(sel_Region="All",C215=sel_Region),OR(sel_Country="All",D215=sel_Country),OR(sel_Channel="All",E215=sel_Channel),OR(sel_Customer="All",F215=sel_Customer),OR(sel_Category="All",G215=sel_Category),AND(S215&gt;=m_From,S215&lt;=m_To)),1,0)</f>
        <v/>
      </c>
      <c r="AA215" s="36">
        <f>IF(AND(OR(sel_Region="All",C215=sel_Region),OR(sel_Country="All",D215=sel_Country),OR(sel_Channel="All",E215=sel_Channel),OR(sel_Customer="All",F215=sel_Customer),OR(sel_Category="All",G215=sel_Category),OR(sel_Product="All",H215=sel_Product)),1,0)</f>
        <v/>
      </c>
    </row>
    <row r="216">
      <c r="A216" s="36" t="inlineStr">
        <is>
          <t>01197</t>
        </is>
      </c>
      <c r="B216" s="44" t="n">
        <v>46069</v>
      </c>
      <c r="C216" s="36" t="inlineStr">
        <is>
          <t>Northern Europe</t>
        </is>
      </c>
      <c r="D216" s="36" t="inlineStr">
        <is>
          <t>Ireland</t>
        </is>
      </c>
      <c r="E216" s="36" t="inlineStr">
        <is>
          <t>Online Store</t>
        </is>
      </c>
      <c r="F216" s="36" t="inlineStr">
        <is>
          <t>New</t>
        </is>
      </c>
      <c r="G216" s="36" t="inlineStr">
        <is>
          <t>Cycling</t>
        </is>
      </c>
      <c r="H216" s="36" t="inlineStr">
        <is>
          <t>Cycling Pack 12L</t>
        </is>
      </c>
      <c r="I216" s="36" t="n">
        <v>2</v>
      </c>
      <c r="J216" s="39" t="n">
        <v>101.77</v>
      </c>
      <c r="K216" s="45" t="n">
        <v>0</v>
      </c>
      <c r="L216" s="39" t="n">
        <v>51.34</v>
      </c>
      <c r="M216" s="39">
        <f>I216*J216*(1-K216)</f>
        <v/>
      </c>
      <c r="N216" s="39">
        <f>I216*L216</f>
        <v/>
      </c>
      <c r="O216" s="39">
        <f>M216-N216</f>
        <v/>
      </c>
      <c r="P216" s="38">
        <f>IF(M216=0,0,O216/M216)</f>
        <v/>
      </c>
      <c r="Q216" s="36">
        <f>YEAR(B216)</f>
        <v/>
      </c>
      <c r="R216" s="36">
        <f>"Q"&amp;ROUNDUP(MONTH(B216)/3,0)</f>
        <v/>
      </c>
      <c r="S216" s="36">
        <f>MONTH(B216)</f>
        <v/>
      </c>
      <c r="T216" s="36">
        <f>TEXT(B216,"mmm")</f>
        <v/>
      </c>
      <c r="U216" s="36">
        <f>IF(AND(OR(sel_Region="All",C216=sel_Region),OR(sel_Country="All",D216=sel_Country),OR(sel_Channel="All",E216=sel_Channel),OR(sel_Customer="All",F216=sel_Customer),OR(sel_Category="All",G216=sel_Category),OR(sel_Product="All",H216=sel_Product),AND(S216&gt;=m_From,S216&lt;=m_To)),1,0)</f>
        <v/>
      </c>
      <c r="V216" s="36">
        <f>IF(AND(OR(sel_Region="All",C216=sel_Region),OR(sel_Channel="All",E216=sel_Channel),OR(sel_Customer="All",F216=sel_Customer),OR(sel_Category="All",G216=sel_Category),OR(sel_Product="All",H216=sel_Product),AND(S216&gt;=m_From,S216&lt;=m_To)),1,0)</f>
        <v/>
      </c>
      <c r="W216" s="36">
        <f>IF(AND(OR(sel_Region="All",C216=sel_Region),OR(sel_Country="All",D216=sel_Country),OR(sel_Customer="All",F216=sel_Customer),OR(sel_Category="All",G216=sel_Category),OR(sel_Product="All",H216=sel_Product),AND(S216&gt;=m_From,S216&lt;=m_To)),1,0)</f>
        <v/>
      </c>
      <c r="X216" s="36">
        <f>IF(AND(OR(sel_Region="All",C216=sel_Region),OR(sel_Country="All",D216=sel_Country),OR(sel_Channel="All",E216=sel_Channel),OR(sel_Category="All",G216=sel_Category),OR(sel_Product="All",H216=sel_Product),AND(S216&gt;=m_From,S216&lt;=m_To)),1,0)</f>
        <v/>
      </c>
      <c r="Y216" s="36">
        <f>IF(AND(OR(sel_Region="All",C216=sel_Region),OR(sel_Country="All",D216=sel_Country),OR(sel_Channel="All",E216=sel_Channel),OR(sel_Customer="All",F216=sel_Customer),OR(sel_Product="All",H216=sel_Product),AND(S216&gt;=m_From,S216&lt;=m_To)),1,0)</f>
        <v/>
      </c>
      <c r="Z216" s="36">
        <f>IF(AND(OR(sel_Region="All",C216=sel_Region),OR(sel_Country="All",D216=sel_Country),OR(sel_Channel="All",E216=sel_Channel),OR(sel_Customer="All",F216=sel_Customer),OR(sel_Category="All",G216=sel_Category),AND(S216&gt;=m_From,S216&lt;=m_To)),1,0)</f>
        <v/>
      </c>
      <c r="AA216" s="36">
        <f>IF(AND(OR(sel_Region="All",C216=sel_Region),OR(sel_Country="All",D216=sel_Country),OR(sel_Channel="All",E216=sel_Channel),OR(sel_Customer="All",F216=sel_Customer),OR(sel_Category="All",G216=sel_Category),OR(sel_Product="All",H216=sel_Product)),1,0)</f>
        <v/>
      </c>
    </row>
    <row r="217">
      <c r="A217" s="36" t="inlineStr">
        <is>
          <t>02714</t>
        </is>
      </c>
      <c r="B217" s="44" t="n">
        <v>46069</v>
      </c>
      <c r="C217" s="36" t="inlineStr">
        <is>
          <t>Southern Europe</t>
        </is>
      </c>
      <c r="D217" s="36" t="inlineStr">
        <is>
          <t>Italy</t>
        </is>
      </c>
      <c r="E217" s="36" t="inlineStr">
        <is>
          <t>Online Store</t>
        </is>
      </c>
      <c r="F217" s="36" t="inlineStr">
        <is>
          <t>Business</t>
        </is>
      </c>
      <c r="G217" s="36" t="inlineStr">
        <is>
          <t>Hiking</t>
        </is>
      </c>
      <c r="H217" s="36" t="inlineStr">
        <is>
          <t>Summit Backpack 45L</t>
        </is>
      </c>
      <c r="I217" s="36" t="n">
        <v>3</v>
      </c>
      <c r="J217" s="39" t="n">
        <v>153.24</v>
      </c>
      <c r="K217" s="45" t="n">
        <v>0.15</v>
      </c>
      <c r="L217" s="39" t="n">
        <v>77.61</v>
      </c>
      <c r="M217" s="39">
        <f>I217*J217*(1-K217)</f>
        <v/>
      </c>
      <c r="N217" s="39">
        <f>I217*L217</f>
        <v/>
      </c>
      <c r="O217" s="39">
        <f>M217-N217</f>
        <v/>
      </c>
      <c r="P217" s="38">
        <f>IF(M217=0,0,O217/M217)</f>
        <v/>
      </c>
      <c r="Q217" s="36">
        <f>YEAR(B217)</f>
        <v/>
      </c>
      <c r="R217" s="36">
        <f>"Q"&amp;ROUNDUP(MONTH(B217)/3,0)</f>
        <v/>
      </c>
      <c r="S217" s="36">
        <f>MONTH(B217)</f>
        <v/>
      </c>
      <c r="T217" s="36">
        <f>TEXT(B217,"mmm")</f>
        <v/>
      </c>
      <c r="U217" s="36">
        <f>IF(AND(OR(sel_Region="All",C217=sel_Region),OR(sel_Country="All",D217=sel_Country),OR(sel_Channel="All",E217=sel_Channel),OR(sel_Customer="All",F217=sel_Customer),OR(sel_Category="All",G217=sel_Category),OR(sel_Product="All",H217=sel_Product),AND(S217&gt;=m_From,S217&lt;=m_To)),1,0)</f>
        <v/>
      </c>
      <c r="V217" s="36">
        <f>IF(AND(OR(sel_Region="All",C217=sel_Region),OR(sel_Channel="All",E217=sel_Channel),OR(sel_Customer="All",F217=sel_Customer),OR(sel_Category="All",G217=sel_Category),OR(sel_Product="All",H217=sel_Product),AND(S217&gt;=m_From,S217&lt;=m_To)),1,0)</f>
        <v/>
      </c>
      <c r="W217" s="36">
        <f>IF(AND(OR(sel_Region="All",C217=sel_Region),OR(sel_Country="All",D217=sel_Country),OR(sel_Customer="All",F217=sel_Customer),OR(sel_Category="All",G217=sel_Category),OR(sel_Product="All",H217=sel_Product),AND(S217&gt;=m_From,S217&lt;=m_To)),1,0)</f>
        <v/>
      </c>
      <c r="X217" s="36">
        <f>IF(AND(OR(sel_Region="All",C217=sel_Region),OR(sel_Country="All",D217=sel_Country),OR(sel_Channel="All",E217=sel_Channel),OR(sel_Category="All",G217=sel_Category),OR(sel_Product="All",H217=sel_Product),AND(S217&gt;=m_From,S217&lt;=m_To)),1,0)</f>
        <v/>
      </c>
      <c r="Y217" s="36">
        <f>IF(AND(OR(sel_Region="All",C217=sel_Region),OR(sel_Country="All",D217=sel_Country),OR(sel_Channel="All",E217=sel_Channel),OR(sel_Customer="All",F217=sel_Customer),OR(sel_Product="All",H217=sel_Product),AND(S217&gt;=m_From,S217&lt;=m_To)),1,0)</f>
        <v/>
      </c>
      <c r="Z217" s="36">
        <f>IF(AND(OR(sel_Region="All",C217=sel_Region),OR(sel_Country="All",D217=sel_Country),OR(sel_Channel="All",E217=sel_Channel),OR(sel_Customer="All",F217=sel_Customer),OR(sel_Category="All",G217=sel_Category),AND(S217&gt;=m_From,S217&lt;=m_To)),1,0)</f>
        <v/>
      </c>
      <c r="AA217" s="36">
        <f>IF(AND(OR(sel_Region="All",C217=sel_Region),OR(sel_Country="All",D217=sel_Country),OR(sel_Channel="All",E217=sel_Channel),OR(sel_Customer="All",F217=sel_Customer),OR(sel_Category="All",G217=sel_Category),OR(sel_Product="All",H217=sel_Product)),1,0)</f>
        <v/>
      </c>
    </row>
    <row r="218">
      <c r="A218" s="36" t="inlineStr">
        <is>
          <t>02753</t>
        </is>
      </c>
      <c r="B218" s="44" t="n">
        <v>46069</v>
      </c>
      <c r="C218" s="36" t="inlineStr">
        <is>
          <t>Western Europe</t>
        </is>
      </c>
      <c r="D218" s="36" t="inlineStr">
        <is>
          <t>Belgium</t>
        </is>
      </c>
      <c r="E218" s="36" t="inlineStr">
        <is>
          <t>Marketplace</t>
        </is>
      </c>
      <c r="F218" s="36" t="inlineStr">
        <is>
          <t>Returning</t>
        </is>
      </c>
      <c r="G218" s="36" t="inlineStr">
        <is>
          <t>Hiking</t>
        </is>
      </c>
      <c r="H218" s="36" t="inlineStr">
        <is>
          <t>Trail Boots</t>
        </is>
      </c>
      <c r="I218" s="36" t="n">
        <v>1</v>
      </c>
      <c r="J218" s="39" t="n">
        <v>140.47</v>
      </c>
      <c r="K218" s="45" t="n">
        <v>0</v>
      </c>
      <c r="L218" s="39" t="n">
        <v>79.66</v>
      </c>
      <c r="M218" s="39">
        <f>I218*J218*(1-K218)</f>
        <v/>
      </c>
      <c r="N218" s="39">
        <f>I218*L218</f>
        <v/>
      </c>
      <c r="O218" s="39">
        <f>M218-N218</f>
        <v/>
      </c>
      <c r="P218" s="38">
        <f>IF(M218=0,0,O218/M218)</f>
        <v/>
      </c>
      <c r="Q218" s="36">
        <f>YEAR(B218)</f>
        <v/>
      </c>
      <c r="R218" s="36">
        <f>"Q"&amp;ROUNDUP(MONTH(B218)/3,0)</f>
        <v/>
      </c>
      <c r="S218" s="36">
        <f>MONTH(B218)</f>
        <v/>
      </c>
      <c r="T218" s="36">
        <f>TEXT(B218,"mmm")</f>
        <v/>
      </c>
      <c r="U218" s="36">
        <f>IF(AND(OR(sel_Region="All",C218=sel_Region),OR(sel_Country="All",D218=sel_Country),OR(sel_Channel="All",E218=sel_Channel),OR(sel_Customer="All",F218=sel_Customer),OR(sel_Category="All",G218=sel_Category),OR(sel_Product="All",H218=sel_Product),AND(S218&gt;=m_From,S218&lt;=m_To)),1,0)</f>
        <v/>
      </c>
      <c r="V218" s="36">
        <f>IF(AND(OR(sel_Region="All",C218=sel_Region),OR(sel_Channel="All",E218=sel_Channel),OR(sel_Customer="All",F218=sel_Customer),OR(sel_Category="All",G218=sel_Category),OR(sel_Product="All",H218=sel_Product),AND(S218&gt;=m_From,S218&lt;=m_To)),1,0)</f>
        <v/>
      </c>
      <c r="W218" s="36">
        <f>IF(AND(OR(sel_Region="All",C218=sel_Region),OR(sel_Country="All",D218=sel_Country),OR(sel_Customer="All",F218=sel_Customer),OR(sel_Category="All",G218=sel_Category),OR(sel_Product="All",H218=sel_Product),AND(S218&gt;=m_From,S218&lt;=m_To)),1,0)</f>
        <v/>
      </c>
      <c r="X218" s="36">
        <f>IF(AND(OR(sel_Region="All",C218=sel_Region),OR(sel_Country="All",D218=sel_Country),OR(sel_Channel="All",E218=sel_Channel),OR(sel_Category="All",G218=sel_Category),OR(sel_Product="All",H218=sel_Product),AND(S218&gt;=m_From,S218&lt;=m_To)),1,0)</f>
        <v/>
      </c>
      <c r="Y218" s="36">
        <f>IF(AND(OR(sel_Region="All",C218=sel_Region),OR(sel_Country="All",D218=sel_Country),OR(sel_Channel="All",E218=sel_Channel),OR(sel_Customer="All",F218=sel_Customer),OR(sel_Product="All",H218=sel_Product),AND(S218&gt;=m_From,S218&lt;=m_To)),1,0)</f>
        <v/>
      </c>
      <c r="Z218" s="36">
        <f>IF(AND(OR(sel_Region="All",C218=sel_Region),OR(sel_Country="All",D218=sel_Country),OR(sel_Channel="All",E218=sel_Channel),OR(sel_Customer="All",F218=sel_Customer),OR(sel_Category="All",G218=sel_Category),AND(S218&gt;=m_From,S218&lt;=m_To)),1,0)</f>
        <v/>
      </c>
      <c r="AA218" s="36">
        <f>IF(AND(OR(sel_Region="All",C218=sel_Region),OR(sel_Country="All",D218=sel_Country),OR(sel_Channel="All",E218=sel_Channel),OR(sel_Customer="All",F218=sel_Customer),OR(sel_Category="All",G218=sel_Category),OR(sel_Product="All",H218=sel_Product)),1,0)</f>
        <v/>
      </c>
    </row>
    <row r="219">
      <c r="A219" s="36" t="inlineStr">
        <is>
          <t>03901</t>
        </is>
      </c>
      <c r="B219" s="44" t="n">
        <v>46069</v>
      </c>
      <c r="C219" s="36" t="inlineStr">
        <is>
          <t>Western Europe</t>
        </is>
      </c>
      <c r="D219" s="36" t="inlineStr">
        <is>
          <t>Netherlands</t>
        </is>
      </c>
      <c r="E219" s="36" t="inlineStr">
        <is>
          <t>Retail Partners</t>
        </is>
      </c>
      <c r="F219" s="36" t="inlineStr">
        <is>
          <t>New</t>
        </is>
      </c>
      <c r="G219" s="36" t="inlineStr">
        <is>
          <t>Hiking</t>
        </is>
      </c>
      <c r="H219" s="36" t="inlineStr">
        <is>
          <t>Trekking Poles</t>
        </is>
      </c>
      <c r="I219" s="36" t="n">
        <v>4</v>
      </c>
      <c r="J219" s="39" t="n">
        <v>70.67</v>
      </c>
      <c r="K219" s="45" t="n">
        <v>0.05</v>
      </c>
      <c r="L219" s="39" t="n">
        <v>32.96</v>
      </c>
      <c r="M219" s="39">
        <f>I219*J219*(1-K219)</f>
        <v/>
      </c>
      <c r="N219" s="39">
        <f>I219*L219</f>
        <v/>
      </c>
      <c r="O219" s="39">
        <f>M219-N219</f>
        <v/>
      </c>
      <c r="P219" s="38">
        <f>IF(M219=0,0,O219/M219)</f>
        <v/>
      </c>
      <c r="Q219" s="36">
        <f>YEAR(B219)</f>
        <v/>
      </c>
      <c r="R219" s="36">
        <f>"Q"&amp;ROUNDUP(MONTH(B219)/3,0)</f>
        <v/>
      </c>
      <c r="S219" s="36">
        <f>MONTH(B219)</f>
        <v/>
      </c>
      <c r="T219" s="36">
        <f>TEXT(B219,"mmm")</f>
        <v/>
      </c>
      <c r="U219" s="36">
        <f>IF(AND(OR(sel_Region="All",C219=sel_Region),OR(sel_Country="All",D219=sel_Country),OR(sel_Channel="All",E219=sel_Channel),OR(sel_Customer="All",F219=sel_Customer),OR(sel_Category="All",G219=sel_Category),OR(sel_Product="All",H219=sel_Product),AND(S219&gt;=m_From,S219&lt;=m_To)),1,0)</f>
        <v/>
      </c>
      <c r="V219" s="36">
        <f>IF(AND(OR(sel_Region="All",C219=sel_Region),OR(sel_Channel="All",E219=sel_Channel),OR(sel_Customer="All",F219=sel_Customer),OR(sel_Category="All",G219=sel_Category),OR(sel_Product="All",H219=sel_Product),AND(S219&gt;=m_From,S219&lt;=m_To)),1,0)</f>
        <v/>
      </c>
      <c r="W219" s="36">
        <f>IF(AND(OR(sel_Region="All",C219=sel_Region),OR(sel_Country="All",D219=sel_Country),OR(sel_Customer="All",F219=sel_Customer),OR(sel_Category="All",G219=sel_Category),OR(sel_Product="All",H219=sel_Product),AND(S219&gt;=m_From,S219&lt;=m_To)),1,0)</f>
        <v/>
      </c>
      <c r="X219" s="36">
        <f>IF(AND(OR(sel_Region="All",C219=sel_Region),OR(sel_Country="All",D219=sel_Country),OR(sel_Channel="All",E219=sel_Channel),OR(sel_Category="All",G219=sel_Category),OR(sel_Product="All",H219=sel_Product),AND(S219&gt;=m_From,S219&lt;=m_To)),1,0)</f>
        <v/>
      </c>
      <c r="Y219" s="36">
        <f>IF(AND(OR(sel_Region="All",C219=sel_Region),OR(sel_Country="All",D219=sel_Country),OR(sel_Channel="All",E219=sel_Channel),OR(sel_Customer="All",F219=sel_Customer),OR(sel_Product="All",H219=sel_Product),AND(S219&gt;=m_From,S219&lt;=m_To)),1,0)</f>
        <v/>
      </c>
      <c r="Z219" s="36">
        <f>IF(AND(OR(sel_Region="All",C219=sel_Region),OR(sel_Country="All",D219=sel_Country),OR(sel_Channel="All",E219=sel_Channel),OR(sel_Customer="All",F219=sel_Customer),OR(sel_Category="All",G219=sel_Category),AND(S219&gt;=m_From,S219&lt;=m_To)),1,0)</f>
        <v/>
      </c>
      <c r="AA219" s="36">
        <f>IF(AND(OR(sel_Region="All",C219=sel_Region),OR(sel_Country="All",D219=sel_Country),OR(sel_Channel="All",E219=sel_Channel),OR(sel_Customer="All",F219=sel_Customer),OR(sel_Category="All",G219=sel_Category),OR(sel_Product="All",H219=sel_Product)),1,0)</f>
        <v/>
      </c>
    </row>
    <row r="220">
      <c r="A220" s="36" t="inlineStr">
        <is>
          <t>00594</t>
        </is>
      </c>
      <c r="B220" s="44" t="n">
        <v>46070</v>
      </c>
      <c r="C220" s="36" t="inlineStr">
        <is>
          <t>Southern Europe</t>
        </is>
      </c>
      <c r="D220" s="36" t="inlineStr">
        <is>
          <t>Italy</t>
        </is>
      </c>
      <c r="E220" s="36" t="inlineStr">
        <is>
          <t>Retail Partners</t>
        </is>
      </c>
      <c r="F220" s="36" t="inlineStr">
        <is>
          <t>Business</t>
        </is>
      </c>
      <c r="G220" s="36" t="inlineStr">
        <is>
          <t>Travel</t>
        </is>
      </c>
      <c r="H220" s="36" t="inlineStr">
        <is>
          <t>Carry-On Duffel</t>
        </is>
      </c>
      <c r="I220" s="36" t="n">
        <v>3</v>
      </c>
      <c r="J220" s="39" t="n">
        <v>134.91</v>
      </c>
      <c r="K220" s="45" t="n">
        <v>0</v>
      </c>
      <c r="L220" s="39" t="n">
        <v>67.69</v>
      </c>
      <c r="M220" s="39">
        <f>I220*J220*(1-K220)</f>
        <v/>
      </c>
      <c r="N220" s="39">
        <f>I220*L220</f>
        <v/>
      </c>
      <c r="O220" s="39">
        <f>M220-N220</f>
        <v/>
      </c>
      <c r="P220" s="38">
        <f>IF(M220=0,0,O220/M220)</f>
        <v/>
      </c>
      <c r="Q220" s="36">
        <f>YEAR(B220)</f>
        <v/>
      </c>
      <c r="R220" s="36">
        <f>"Q"&amp;ROUNDUP(MONTH(B220)/3,0)</f>
        <v/>
      </c>
      <c r="S220" s="36">
        <f>MONTH(B220)</f>
        <v/>
      </c>
      <c r="T220" s="36">
        <f>TEXT(B220,"mmm")</f>
        <v/>
      </c>
      <c r="U220" s="36">
        <f>IF(AND(OR(sel_Region="All",C220=sel_Region),OR(sel_Country="All",D220=sel_Country),OR(sel_Channel="All",E220=sel_Channel),OR(sel_Customer="All",F220=sel_Customer),OR(sel_Category="All",G220=sel_Category),OR(sel_Product="All",H220=sel_Product),AND(S220&gt;=m_From,S220&lt;=m_To)),1,0)</f>
        <v/>
      </c>
      <c r="V220" s="36">
        <f>IF(AND(OR(sel_Region="All",C220=sel_Region),OR(sel_Channel="All",E220=sel_Channel),OR(sel_Customer="All",F220=sel_Customer),OR(sel_Category="All",G220=sel_Category),OR(sel_Product="All",H220=sel_Product),AND(S220&gt;=m_From,S220&lt;=m_To)),1,0)</f>
        <v/>
      </c>
      <c r="W220" s="36">
        <f>IF(AND(OR(sel_Region="All",C220=sel_Region),OR(sel_Country="All",D220=sel_Country),OR(sel_Customer="All",F220=sel_Customer),OR(sel_Category="All",G220=sel_Category),OR(sel_Product="All",H220=sel_Product),AND(S220&gt;=m_From,S220&lt;=m_To)),1,0)</f>
        <v/>
      </c>
      <c r="X220" s="36">
        <f>IF(AND(OR(sel_Region="All",C220=sel_Region),OR(sel_Country="All",D220=sel_Country),OR(sel_Channel="All",E220=sel_Channel),OR(sel_Category="All",G220=sel_Category),OR(sel_Product="All",H220=sel_Product),AND(S220&gt;=m_From,S220&lt;=m_To)),1,0)</f>
        <v/>
      </c>
      <c r="Y220" s="36">
        <f>IF(AND(OR(sel_Region="All",C220=sel_Region),OR(sel_Country="All",D220=sel_Country),OR(sel_Channel="All",E220=sel_Channel),OR(sel_Customer="All",F220=sel_Customer),OR(sel_Product="All",H220=sel_Product),AND(S220&gt;=m_From,S220&lt;=m_To)),1,0)</f>
        <v/>
      </c>
      <c r="Z220" s="36">
        <f>IF(AND(OR(sel_Region="All",C220=sel_Region),OR(sel_Country="All",D220=sel_Country),OR(sel_Channel="All",E220=sel_Channel),OR(sel_Customer="All",F220=sel_Customer),OR(sel_Category="All",G220=sel_Category),AND(S220&gt;=m_From,S220&lt;=m_To)),1,0)</f>
        <v/>
      </c>
      <c r="AA220" s="36">
        <f>IF(AND(OR(sel_Region="All",C220=sel_Region),OR(sel_Country="All",D220=sel_Country),OR(sel_Channel="All",E220=sel_Channel),OR(sel_Customer="All",F220=sel_Customer),OR(sel_Category="All",G220=sel_Category),OR(sel_Product="All",H220=sel_Product)),1,0)</f>
        <v/>
      </c>
    </row>
    <row r="221">
      <c r="A221" s="36" t="inlineStr">
        <is>
          <t>00624</t>
        </is>
      </c>
      <c r="B221" s="44" t="n">
        <v>46070</v>
      </c>
      <c r="C221" s="36" t="inlineStr">
        <is>
          <t>Northern Europe</t>
        </is>
      </c>
      <c r="D221" s="36" t="inlineStr">
        <is>
          <t>Sweden</t>
        </is>
      </c>
      <c r="E221" s="36" t="inlineStr">
        <is>
          <t>Online Store</t>
        </is>
      </c>
      <c r="F221" s="36" t="inlineStr">
        <is>
          <t>Business</t>
        </is>
      </c>
      <c r="G221" s="36" t="inlineStr">
        <is>
          <t>Hiking</t>
        </is>
      </c>
      <c r="H221" s="36" t="inlineStr">
        <is>
          <t>Trekking Poles</t>
        </is>
      </c>
      <c r="I221" s="36" t="n">
        <v>1</v>
      </c>
      <c r="J221" s="39" t="n">
        <v>70.86</v>
      </c>
      <c r="K221" s="45" t="n">
        <v>0.1</v>
      </c>
      <c r="L221" s="39" t="n">
        <v>33.3</v>
      </c>
      <c r="M221" s="39">
        <f>I221*J221*(1-K221)</f>
        <v/>
      </c>
      <c r="N221" s="39">
        <f>I221*L221</f>
        <v/>
      </c>
      <c r="O221" s="39">
        <f>M221-N221</f>
        <v/>
      </c>
      <c r="P221" s="38">
        <f>IF(M221=0,0,O221/M221)</f>
        <v/>
      </c>
      <c r="Q221" s="36">
        <f>YEAR(B221)</f>
        <v/>
      </c>
      <c r="R221" s="36">
        <f>"Q"&amp;ROUNDUP(MONTH(B221)/3,0)</f>
        <v/>
      </c>
      <c r="S221" s="36">
        <f>MONTH(B221)</f>
        <v/>
      </c>
      <c r="T221" s="36">
        <f>TEXT(B221,"mmm")</f>
        <v/>
      </c>
      <c r="U221" s="36">
        <f>IF(AND(OR(sel_Region="All",C221=sel_Region),OR(sel_Country="All",D221=sel_Country),OR(sel_Channel="All",E221=sel_Channel),OR(sel_Customer="All",F221=sel_Customer),OR(sel_Category="All",G221=sel_Category),OR(sel_Product="All",H221=sel_Product),AND(S221&gt;=m_From,S221&lt;=m_To)),1,0)</f>
        <v/>
      </c>
      <c r="V221" s="36">
        <f>IF(AND(OR(sel_Region="All",C221=sel_Region),OR(sel_Channel="All",E221=sel_Channel),OR(sel_Customer="All",F221=sel_Customer),OR(sel_Category="All",G221=sel_Category),OR(sel_Product="All",H221=sel_Product),AND(S221&gt;=m_From,S221&lt;=m_To)),1,0)</f>
        <v/>
      </c>
      <c r="W221" s="36">
        <f>IF(AND(OR(sel_Region="All",C221=sel_Region),OR(sel_Country="All",D221=sel_Country),OR(sel_Customer="All",F221=sel_Customer),OR(sel_Category="All",G221=sel_Category),OR(sel_Product="All",H221=sel_Product),AND(S221&gt;=m_From,S221&lt;=m_To)),1,0)</f>
        <v/>
      </c>
      <c r="X221" s="36">
        <f>IF(AND(OR(sel_Region="All",C221=sel_Region),OR(sel_Country="All",D221=sel_Country),OR(sel_Channel="All",E221=sel_Channel),OR(sel_Category="All",G221=sel_Category),OR(sel_Product="All",H221=sel_Product),AND(S221&gt;=m_From,S221&lt;=m_To)),1,0)</f>
        <v/>
      </c>
      <c r="Y221" s="36">
        <f>IF(AND(OR(sel_Region="All",C221=sel_Region),OR(sel_Country="All",D221=sel_Country),OR(sel_Channel="All",E221=sel_Channel),OR(sel_Customer="All",F221=sel_Customer),OR(sel_Product="All",H221=sel_Product),AND(S221&gt;=m_From,S221&lt;=m_To)),1,0)</f>
        <v/>
      </c>
      <c r="Z221" s="36">
        <f>IF(AND(OR(sel_Region="All",C221=sel_Region),OR(sel_Country="All",D221=sel_Country),OR(sel_Channel="All",E221=sel_Channel),OR(sel_Customer="All",F221=sel_Customer),OR(sel_Category="All",G221=sel_Category),AND(S221&gt;=m_From,S221&lt;=m_To)),1,0)</f>
        <v/>
      </c>
      <c r="AA221" s="36">
        <f>IF(AND(OR(sel_Region="All",C221=sel_Region),OR(sel_Country="All",D221=sel_Country),OR(sel_Channel="All",E221=sel_Channel),OR(sel_Customer="All",F221=sel_Customer),OR(sel_Category="All",G221=sel_Category),OR(sel_Product="All",H221=sel_Product)),1,0)</f>
        <v/>
      </c>
    </row>
    <row r="222">
      <c r="A222" s="36" t="inlineStr">
        <is>
          <t>01013</t>
        </is>
      </c>
      <c r="B222" s="44" t="n">
        <v>46070</v>
      </c>
      <c r="C222" s="36" t="inlineStr">
        <is>
          <t>Central Europe</t>
        </is>
      </c>
      <c r="D222" s="36" t="inlineStr">
        <is>
          <t>Germany</t>
        </is>
      </c>
      <c r="E222" s="36" t="inlineStr">
        <is>
          <t>Retail Partners</t>
        </is>
      </c>
      <c r="F222" s="36" t="inlineStr">
        <is>
          <t>New</t>
        </is>
      </c>
      <c r="G222" s="36" t="inlineStr">
        <is>
          <t>Cycling</t>
        </is>
      </c>
      <c r="H222" s="36" t="inlineStr">
        <is>
          <t>Cycling Pack 12L</t>
        </is>
      </c>
      <c r="I222" s="36" t="n">
        <v>1</v>
      </c>
      <c r="J222" s="39" t="n">
        <v>104.35</v>
      </c>
      <c r="K222" s="45" t="n">
        <v>0</v>
      </c>
      <c r="L222" s="39" t="n">
        <v>51.49</v>
      </c>
      <c r="M222" s="39">
        <f>I222*J222*(1-K222)</f>
        <v/>
      </c>
      <c r="N222" s="39">
        <f>I222*L222</f>
        <v/>
      </c>
      <c r="O222" s="39">
        <f>M222-N222</f>
        <v/>
      </c>
      <c r="P222" s="38">
        <f>IF(M222=0,0,O222/M222)</f>
        <v/>
      </c>
      <c r="Q222" s="36">
        <f>YEAR(B222)</f>
        <v/>
      </c>
      <c r="R222" s="36">
        <f>"Q"&amp;ROUNDUP(MONTH(B222)/3,0)</f>
        <v/>
      </c>
      <c r="S222" s="36">
        <f>MONTH(B222)</f>
        <v/>
      </c>
      <c r="T222" s="36">
        <f>TEXT(B222,"mmm")</f>
        <v/>
      </c>
      <c r="U222" s="36">
        <f>IF(AND(OR(sel_Region="All",C222=sel_Region),OR(sel_Country="All",D222=sel_Country),OR(sel_Channel="All",E222=sel_Channel),OR(sel_Customer="All",F222=sel_Customer),OR(sel_Category="All",G222=sel_Category),OR(sel_Product="All",H222=sel_Product),AND(S222&gt;=m_From,S222&lt;=m_To)),1,0)</f>
        <v/>
      </c>
      <c r="V222" s="36">
        <f>IF(AND(OR(sel_Region="All",C222=sel_Region),OR(sel_Channel="All",E222=sel_Channel),OR(sel_Customer="All",F222=sel_Customer),OR(sel_Category="All",G222=sel_Category),OR(sel_Product="All",H222=sel_Product),AND(S222&gt;=m_From,S222&lt;=m_To)),1,0)</f>
        <v/>
      </c>
      <c r="W222" s="36">
        <f>IF(AND(OR(sel_Region="All",C222=sel_Region),OR(sel_Country="All",D222=sel_Country),OR(sel_Customer="All",F222=sel_Customer),OR(sel_Category="All",G222=sel_Category),OR(sel_Product="All",H222=sel_Product),AND(S222&gt;=m_From,S222&lt;=m_To)),1,0)</f>
        <v/>
      </c>
      <c r="X222" s="36">
        <f>IF(AND(OR(sel_Region="All",C222=sel_Region),OR(sel_Country="All",D222=sel_Country),OR(sel_Channel="All",E222=sel_Channel),OR(sel_Category="All",G222=sel_Category),OR(sel_Product="All",H222=sel_Product),AND(S222&gt;=m_From,S222&lt;=m_To)),1,0)</f>
        <v/>
      </c>
      <c r="Y222" s="36">
        <f>IF(AND(OR(sel_Region="All",C222=sel_Region),OR(sel_Country="All",D222=sel_Country),OR(sel_Channel="All",E222=sel_Channel),OR(sel_Customer="All",F222=sel_Customer),OR(sel_Product="All",H222=sel_Product),AND(S222&gt;=m_From,S222&lt;=m_To)),1,0)</f>
        <v/>
      </c>
      <c r="Z222" s="36">
        <f>IF(AND(OR(sel_Region="All",C222=sel_Region),OR(sel_Country="All",D222=sel_Country),OR(sel_Channel="All",E222=sel_Channel),OR(sel_Customer="All",F222=sel_Customer),OR(sel_Category="All",G222=sel_Category),AND(S222&gt;=m_From,S222&lt;=m_To)),1,0)</f>
        <v/>
      </c>
      <c r="AA222" s="36">
        <f>IF(AND(OR(sel_Region="All",C222=sel_Region),OR(sel_Country="All",D222=sel_Country),OR(sel_Channel="All",E222=sel_Channel),OR(sel_Customer="All",F222=sel_Customer),OR(sel_Category="All",G222=sel_Category),OR(sel_Product="All",H222=sel_Product)),1,0)</f>
        <v/>
      </c>
    </row>
    <row r="223">
      <c r="A223" s="36" t="inlineStr">
        <is>
          <t>01100</t>
        </is>
      </c>
      <c r="B223" s="44" t="n">
        <v>46070</v>
      </c>
      <c r="C223" s="36" t="inlineStr">
        <is>
          <t>Western Europe</t>
        </is>
      </c>
      <c r="D223" s="36" t="inlineStr">
        <is>
          <t>United Kingdom</t>
        </is>
      </c>
      <c r="E223" s="36" t="inlineStr">
        <is>
          <t>Online Store</t>
        </is>
      </c>
      <c r="F223" s="36" t="inlineStr">
        <is>
          <t>Returning</t>
        </is>
      </c>
      <c r="G223" s="36" t="inlineStr">
        <is>
          <t>Fitness</t>
        </is>
      </c>
      <c r="H223" s="36" t="inlineStr">
        <is>
          <t>Weighted Vest</t>
        </is>
      </c>
      <c r="I223" s="36" t="n">
        <v>2</v>
      </c>
      <c r="J223" s="39" t="n">
        <v>120.48</v>
      </c>
      <c r="K223" s="45" t="n">
        <v>0</v>
      </c>
      <c r="L223" s="39" t="n">
        <v>70.68000000000001</v>
      </c>
      <c r="M223" s="39">
        <f>I223*J223*(1-K223)</f>
        <v/>
      </c>
      <c r="N223" s="39">
        <f>I223*L223</f>
        <v/>
      </c>
      <c r="O223" s="39">
        <f>M223-N223</f>
        <v/>
      </c>
      <c r="P223" s="38">
        <f>IF(M223=0,0,O223/M223)</f>
        <v/>
      </c>
      <c r="Q223" s="36">
        <f>YEAR(B223)</f>
        <v/>
      </c>
      <c r="R223" s="36">
        <f>"Q"&amp;ROUNDUP(MONTH(B223)/3,0)</f>
        <v/>
      </c>
      <c r="S223" s="36">
        <f>MONTH(B223)</f>
        <v/>
      </c>
      <c r="T223" s="36">
        <f>TEXT(B223,"mmm")</f>
        <v/>
      </c>
      <c r="U223" s="36">
        <f>IF(AND(OR(sel_Region="All",C223=sel_Region),OR(sel_Country="All",D223=sel_Country),OR(sel_Channel="All",E223=sel_Channel),OR(sel_Customer="All",F223=sel_Customer),OR(sel_Category="All",G223=sel_Category),OR(sel_Product="All",H223=sel_Product),AND(S223&gt;=m_From,S223&lt;=m_To)),1,0)</f>
        <v/>
      </c>
      <c r="V223" s="36">
        <f>IF(AND(OR(sel_Region="All",C223=sel_Region),OR(sel_Channel="All",E223=sel_Channel),OR(sel_Customer="All",F223=sel_Customer),OR(sel_Category="All",G223=sel_Category),OR(sel_Product="All",H223=sel_Product),AND(S223&gt;=m_From,S223&lt;=m_To)),1,0)</f>
        <v/>
      </c>
      <c r="W223" s="36">
        <f>IF(AND(OR(sel_Region="All",C223=sel_Region),OR(sel_Country="All",D223=sel_Country),OR(sel_Customer="All",F223=sel_Customer),OR(sel_Category="All",G223=sel_Category),OR(sel_Product="All",H223=sel_Product),AND(S223&gt;=m_From,S223&lt;=m_To)),1,0)</f>
        <v/>
      </c>
      <c r="X223" s="36">
        <f>IF(AND(OR(sel_Region="All",C223=sel_Region),OR(sel_Country="All",D223=sel_Country),OR(sel_Channel="All",E223=sel_Channel),OR(sel_Category="All",G223=sel_Category),OR(sel_Product="All",H223=sel_Product),AND(S223&gt;=m_From,S223&lt;=m_To)),1,0)</f>
        <v/>
      </c>
      <c r="Y223" s="36">
        <f>IF(AND(OR(sel_Region="All",C223=sel_Region),OR(sel_Country="All",D223=sel_Country),OR(sel_Channel="All",E223=sel_Channel),OR(sel_Customer="All",F223=sel_Customer),OR(sel_Product="All",H223=sel_Product),AND(S223&gt;=m_From,S223&lt;=m_To)),1,0)</f>
        <v/>
      </c>
      <c r="Z223" s="36">
        <f>IF(AND(OR(sel_Region="All",C223=sel_Region),OR(sel_Country="All",D223=sel_Country),OR(sel_Channel="All",E223=sel_Channel),OR(sel_Customer="All",F223=sel_Customer),OR(sel_Category="All",G223=sel_Category),AND(S223&gt;=m_From,S223&lt;=m_To)),1,0)</f>
        <v/>
      </c>
      <c r="AA223" s="36">
        <f>IF(AND(OR(sel_Region="All",C223=sel_Region),OR(sel_Country="All",D223=sel_Country),OR(sel_Channel="All",E223=sel_Channel),OR(sel_Customer="All",F223=sel_Customer),OR(sel_Category="All",G223=sel_Category),OR(sel_Product="All",H223=sel_Product)),1,0)</f>
        <v/>
      </c>
    </row>
    <row r="224">
      <c r="A224" s="36" t="inlineStr">
        <is>
          <t>02353</t>
        </is>
      </c>
      <c r="B224" s="44" t="n">
        <v>46070</v>
      </c>
      <c r="C224" s="36" t="inlineStr">
        <is>
          <t>Central Europe</t>
        </is>
      </c>
      <c r="D224" s="36" t="inlineStr">
        <is>
          <t>Germany</t>
        </is>
      </c>
      <c r="E224" s="36" t="inlineStr">
        <is>
          <t>Online Store</t>
        </is>
      </c>
      <c r="F224" s="36" t="inlineStr">
        <is>
          <t>Returning</t>
        </is>
      </c>
      <c r="G224" s="36" t="inlineStr">
        <is>
          <t>Camping</t>
        </is>
      </c>
      <c r="H224" s="36" t="inlineStr">
        <is>
          <t>Alpine Tent 4P</t>
        </is>
      </c>
      <c r="I224" s="36" t="n">
        <v>1</v>
      </c>
      <c r="J224" s="39" t="n">
        <v>339.52</v>
      </c>
      <c r="K224" s="45" t="n">
        <v>0.1</v>
      </c>
      <c r="L224" s="39" t="n">
        <v>191.19</v>
      </c>
      <c r="M224" s="39">
        <f>I224*J224*(1-K224)</f>
        <v/>
      </c>
      <c r="N224" s="39">
        <f>I224*L224</f>
        <v/>
      </c>
      <c r="O224" s="39">
        <f>M224-N224</f>
        <v/>
      </c>
      <c r="P224" s="38">
        <f>IF(M224=0,0,O224/M224)</f>
        <v/>
      </c>
      <c r="Q224" s="36">
        <f>YEAR(B224)</f>
        <v/>
      </c>
      <c r="R224" s="36">
        <f>"Q"&amp;ROUNDUP(MONTH(B224)/3,0)</f>
        <v/>
      </c>
      <c r="S224" s="36">
        <f>MONTH(B224)</f>
        <v/>
      </c>
      <c r="T224" s="36">
        <f>TEXT(B224,"mmm")</f>
        <v/>
      </c>
      <c r="U224" s="36">
        <f>IF(AND(OR(sel_Region="All",C224=sel_Region),OR(sel_Country="All",D224=sel_Country),OR(sel_Channel="All",E224=sel_Channel),OR(sel_Customer="All",F224=sel_Customer),OR(sel_Category="All",G224=sel_Category),OR(sel_Product="All",H224=sel_Product),AND(S224&gt;=m_From,S224&lt;=m_To)),1,0)</f>
        <v/>
      </c>
      <c r="V224" s="36">
        <f>IF(AND(OR(sel_Region="All",C224=sel_Region),OR(sel_Channel="All",E224=sel_Channel),OR(sel_Customer="All",F224=sel_Customer),OR(sel_Category="All",G224=sel_Category),OR(sel_Product="All",H224=sel_Product),AND(S224&gt;=m_From,S224&lt;=m_To)),1,0)</f>
        <v/>
      </c>
      <c r="W224" s="36">
        <f>IF(AND(OR(sel_Region="All",C224=sel_Region),OR(sel_Country="All",D224=sel_Country),OR(sel_Customer="All",F224=sel_Customer),OR(sel_Category="All",G224=sel_Category),OR(sel_Product="All",H224=sel_Product),AND(S224&gt;=m_From,S224&lt;=m_To)),1,0)</f>
        <v/>
      </c>
      <c r="X224" s="36">
        <f>IF(AND(OR(sel_Region="All",C224=sel_Region),OR(sel_Country="All",D224=sel_Country),OR(sel_Channel="All",E224=sel_Channel),OR(sel_Category="All",G224=sel_Category),OR(sel_Product="All",H224=sel_Product),AND(S224&gt;=m_From,S224&lt;=m_To)),1,0)</f>
        <v/>
      </c>
      <c r="Y224" s="36">
        <f>IF(AND(OR(sel_Region="All",C224=sel_Region),OR(sel_Country="All",D224=sel_Country),OR(sel_Channel="All",E224=sel_Channel),OR(sel_Customer="All",F224=sel_Customer),OR(sel_Product="All",H224=sel_Product),AND(S224&gt;=m_From,S224&lt;=m_To)),1,0)</f>
        <v/>
      </c>
      <c r="Z224" s="36">
        <f>IF(AND(OR(sel_Region="All",C224=sel_Region),OR(sel_Country="All",D224=sel_Country),OR(sel_Channel="All",E224=sel_Channel),OR(sel_Customer="All",F224=sel_Customer),OR(sel_Category="All",G224=sel_Category),AND(S224&gt;=m_From,S224&lt;=m_To)),1,0)</f>
        <v/>
      </c>
      <c r="AA224" s="36">
        <f>IF(AND(OR(sel_Region="All",C224=sel_Region),OR(sel_Country="All",D224=sel_Country),OR(sel_Channel="All",E224=sel_Channel),OR(sel_Customer="All",F224=sel_Customer),OR(sel_Category="All",G224=sel_Category),OR(sel_Product="All",H224=sel_Product)),1,0)</f>
        <v/>
      </c>
    </row>
    <row r="225">
      <c r="A225" s="36" t="inlineStr">
        <is>
          <t>03020</t>
        </is>
      </c>
      <c r="B225" s="44" t="n">
        <v>46070</v>
      </c>
      <c r="C225" s="36" t="inlineStr">
        <is>
          <t>Central Europe</t>
        </is>
      </c>
      <c r="D225" s="36" t="inlineStr">
        <is>
          <t>Poland</t>
        </is>
      </c>
      <c r="E225" s="36" t="inlineStr">
        <is>
          <t>Corporate</t>
        </is>
      </c>
      <c r="F225" s="36" t="inlineStr">
        <is>
          <t>Business</t>
        </is>
      </c>
      <c r="G225" s="36" t="inlineStr">
        <is>
          <t>Hiking</t>
        </is>
      </c>
      <c r="H225" s="36" t="inlineStr">
        <is>
          <t>Summit Backpack 45L</t>
        </is>
      </c>
      <c r="I225" s="36" t="n">
        <v>5</v>
      </c>
      <c r="J225" s="39" t="n">
        <v>154.73</v>
      </c>
      <c r="K225" s="45" t="n">
        <v>0.1</v>
      </c>
      <c r="L225" s="39" t="n">
        <v>77.42</v>
      </c>
      <c r="M225" s="39">
        <f>I225*J225*(1-K225)</f>
        <v/>
      </c>
      <c r="N225" s="39">
        <f>I225*L225</f>
        <v/>
      </c>
      <c r="O225" s="39">
        <f>M225-N225</f>
        <v/>
      </c>
      <c r="P225" s="38">
        <f>IF(M225=0,0,O225/M225)</f>
        <v/>
      </c>
      <c r="Q225" s="36">
        <f>YEAR(B225)</f>
        <v/>
      </c>
      <c r="R225" s="36">
        <f>"Q"&amp;ROUNDUP(MONTH(B225)/3,0)</f>
        <v/>
      </c>
      <c r="S225" s="36">
        <f>MONTH(B225)</f>
        <v/>
      </c>
      <c r="T225" s="36">
        <f>TEXT(B225,"mmm")</f>
        <v/>
      </c>
      <c r="U225" s="36">
        <f>IF(AND(OR(sel_Region="All",C225=sel_Region),OR(sel_Country="All",D225=sel_Country),OR(sel_Channel="All",E225=sel_Channel),OR(sel_Customer="All",F225=sel_Customer),OR(sel_Category="All",G225=sel_Category),OR(sel_Product="All",H225=sel_Product),AND(S225&gt;=m_From,S225&lt;=m_To)),1,0)</f>
        <v/>
      </c>
      <c r="V225" s="36">
        <f>IF(AND(OR(sel_Region="All",C225=sel_Region),OR(sel_Channel="All",E225=sel_Channel),OR(sel_Customer="All",F225=sel_Customer),OR(sel_Category="All",G225=sel_Category),OR(sel_Product="All",H225=sel_Product),AND(S225&gt;=m_From,S225&lt;=m_To)),1,0)</f>
        <v/>
      </c>
      <c r="W225" s="36">
        <f>IF(AND(OR(sel_Region="All",C225=sel_Region),OR(sel_Country="All",D225=sel_Country),OR(sel_Customer="All",F225=sel_Customer),OR(sel_Category="All",G225=sel_Category),OR(sel_Product="All",H225=sel_Product),AND(S225&gt;=m_From,S225&lt;=m_To)),1,0)</f>
        <v/>
      </c>
      <c r="X225" s="36">
        <f>IF(AND(OR(sel_Region="All",C225=sel_Region),OR(sel_Country="All",D225=sel_Country),OR(sel_Channel="All",E225=sel_Channel),OR(sel_Category="All",G225=sel_Category),OR(sel_Product="All",H225=sel_Product),AND(S225&gt;=m_From,S225&lt;=m_To)),1,0)</f>
        <v/>
      </c>
      <c r="Y225" s="36">
        <f>IF(AND(OR(sel_Region="All",C225=sel_Region),OR(sel_Country="All",D225=sel_Country),OR(sel_Channel="All",E225=sel_Channel),OR(sel_Customer="All",F225=sel_Customer),OR(sel_Product="All",H225=sel_Product),AND(S225&gt;=m_From,S225&lt;=m_To)),1,0)</f>
        <v/>
      </c>
      <c r="Z225" s="36">
        <f>IF(AND(OR(sel_Region="All",C225=sel_Region),OR(sel_Country="All",D225=sel_Country),OR(sel_Channel="All",E225=sel_Channel),OR(sel_Customer="All",F225=sel_Customer),OR(sel_Category="All",G225=sel_Category),AND(S225&gt;=m_From,S225&lt;=m_To)),1,0)</f>
        <v/>
      </c>
      <c r="AA225" s="36">
        <f>IF(AND(OR(sel_Region="All",C225=sel_Region),OR(sel_Country="All",D225=sel_Country),OR(sel_Channel="All",E225=sel_Channel),OR(sel_Customer="All",F225=sel_Customer),OR(sel_Category="All",G225=sel_Category),OR(sel_Product="All",H225=sel_Product)),1,0)</f>
        <v/>
      </c>
    </row>
    <row r="226">
      <c r="A226" s="36" t="inlineStr">
        <is>
          <t>03227</t>
        </is>
      </c>
      <c r="B226" s="44" t="n">
        <v>46070</v>
      </c>
      <c r="C226" s="36" t="inlineStr">
        <is>
          <t>Northern Europe</t>
        </is>
      </c>
      <c r="D226" s="36" t="inlineStr">
        <is>
          <t>Denmark</t>
        </is>
      </c>
      <c r="E226" s="36" t="inlineStr">
        <is>
          <t>Retail Partners</t>
        </is>
      </c>
      <c r="F226" s="36" t="inlineStr">
        <is>
          <t>Business</t>
        </is>
      </c>
      <c r="G226" s="36" t="inlineStr">
        <is>
          <t>Hiking</t>
        </is>
      </c>
      <c r="H226" s="36" t="inlineStr">
        <is>
          <t>Hiking Daypack 20L</t>
        </is>
      </c>
      <c r="I226" s="36" t="n">
        <v>4</v>
      </c>
      <c r="J226" s="39" t="n">
        <v>93.98</v>
      </c>
      <c r="K226" s="45" t="n">
        <v>0.05</v>
      </c>
      <c r="L226" s="39" t="n">
        <v>44.6</v>
      </c>
      <c r="M226" s="39">
        <f>I226*J226*(1-K226)</f>
        <v/>
      </c>
      <c r="N226" s="39">
        <f>I226*L226</f>
        <v/>
      </c>
      <c r="O226" s="39">
        <f>M226-N226</f>
        <v/>
      </c>
      <c r="P226" s="38">
        <f>IF(M226=0,0,O226/M226)</f>
        <v/>
      </c>
      <c r="Q226" s="36">
        <f>YEAR(B226)</f>
        <v/>
      </c>
      <c r="R226" s="36">
        <f>"Q"&amp;ROUNDUP(MONTH(B226)/3,0)</f>
        <v/>
      </c>
      <c r="S226" s="36">
        <f>MONTH(B226)</f>
        <v/>
      </c>
      <c r="T226" s="36">
        <f>TEXT(B226,"mmm")</f>
        <v/>
      </c>
      <c r="U226" s="36">
        <f>IF(AND(OR(sel_Region="All",C226=sel_Region),OR(sel_Country="All",D226=sel_Country),OR(sel_Channel="All",E226=sel_Channel),OR(sel_Customer="All",F226=sel_Customer),OR(sel_Category="All",G226=sel_Category),OR(sel_Product="All",H226=sel_Product),AND(S226&gt;=m_From,S226&lt;=m_To)),1,0)</f>
        <v/>
      </c>
      <c r="V226" s="36">
        <f>IF(AND(OR(sel_Region="All",C226=sel_Region),OR(sel_Channel="All",E226=sel_Channel),OR(sel_Customer="All",F226=sel_Customer),OR(sel_Category="All",G226=sel_Category),OR(sel_Product="All",H226=sel_Product),AND(S226&gt;=m_From,S226&lt;=m_To)),1,0)</f>
        <v/>
      </c>
      <c r="W226" s="36">
        <f>IF(AND(OR(sel_Region="All",C226=sel_Region),OR(sel_Country="All",D226=sel_Country),OR(sel_Customer="All",F226=sel_Customer),OR(sel_Category="All",G226=sel_Category),OR(sel_Product="All",H226=sel_Product),AND(S226&gt;=m_From,S226&lt;=m_To)),1,0)</f>
        <v/>
      </c>
      <c r="X226" s="36">
        <f>IF(AND(OR(sel_Region="All",C226=sel_Region),OR(sel_Country="All",D226=sel_Country),OR(sel_Channel="All",E226=sel_Channel),OR(sel_Category="All",G226=sel_Category),OR(sel_Product="All",H226=sel_Product),AND(S226&gt;=m_From,S226&lt;=m_To)),1,0)</f>
        <v/>
      </c>
      <c r="Y226" s="36">
        <f>IF(AND(OR(sel_Region="All",C226=sel_Region),OR(sel_Country="All",D226=sel_Country),OR(sel_Channel="All",E226=sel_Channel),OR(sel_Customer="All",F226=sel_Customer),OR(sel_Product="All",H226=sel_Product),AND(S226&gt;=m_From,S226&lt;=m_To)),1,0)</f>
        <v/>
      </c>
      <c r="Z226" s="36">
        <f>IF(AND(OR(sel_Region="All",C226=sel_Region),OR(sel_Country="All",D226=sel_Country),OR(sel_Channel="All",E226=sel_Channel),OR(sel_Customer="All",F226=sel_Customer),OR(sel_Category="All",G226=sel_Category),AND(S226&gt;=m_From,S226&lt;=m_To)),1,0)</f>
        <v/>
      </c>
      <c r="AA226" s="36">
        <f>IF(AND(OR(sel_Region="All",C226=sel_Region),OR(sel_Country="All",D226=sel_Country),OR(sel_Channel="All",E226=sel_Channel),OR(sel_Customer="All",F226=sel_Customer),OR(sel_Category="All",G226=sel_Category),OR(sel_Product="All",H226=sel_Product)),1,0)</f>
        <v/>
      </c>
    </row>
    <row r="227">
      <c r="A227" s="36" t="inlineStr">
        <is>
          <t>03530</t>
        </is>
      </c>
      <c r="B227" s="44" t="n">
        <v>46070</v>
      </c>
      <c r="C227" s="36" t="inlineStr">
        <is>
          <t>Southern Europe</t>
        </is>
      </c>
      <c r="D227" s="36" t="inlineStr">
        <is>
          <t>Spain</t>
        </is>
      </c>
      <c r="E227" s="36" t="inlineStr">
        <is>
          <t>Online Store</t>
        </is>
      </c>
      <c r="F227" s="36" t="inlineStr">
        <is>
          <t>New</t>
        </is>
      </c>
      <c r="G227" s="36" t="inlineStr">
        <is>
          <t>Camping</t>
        </is>
      </c>
      <c r="H227" s="36" t="inlineStr">
        <is>
          <t>Alpine Tent 4P</t>
        </is>
      </c>
      <c r="I227" s="36" t="n">
        <v>2</v>
      </c>
      <c r="J227" s="39" t="n">
        <v>336.83</v>
      </c>
      <c r="K227" s="45" t="n">
        <v>0</v>
      </c>
      <c r="L227" s="39" t="n">
        <v>194.42</v>
      </c>
      <c r="M227" s="39">
        <f>I227*J227*(1-K227)</f>
        <v/>
      </c>
      <c r="N227" s="39">
        <f>I227*L227</f>
        <v/>
      </c>
      <c r="O227" s="39">
        <f>M227-N227</f>
        <v/>
      </c>
      <c r="P227" s="38">
        <f>IF(M227=0,0,O227/M227)</f>
        <v/>
      </c>
      <c r="Q227" s="36">
        <f>YEAR(B227)</f>
        <v/>
      </c>
      <c r="R227" s="36">
        <f>"Q"&amp;ROUNDUP(MONTH(B227)/3,0)</f>
        <v/>
      </c>
      <c r="S227" s="36">
        <f>MONTH(B227)</f>
        <v/>
      </c>
      <c r="T227" s="36">
        <f>TEXT(B227,"mmm")</f>
        <v/>
      </c>
      <c r="U227" s="36">
        <f>IF(AND(OR(sel_Region="All",C227=sel_Region),OR(sel_Country="All",D227=sel_Country),OR(sel_Channel="All",E227=sel_Channel),OR(sel_Customer="All",F227=sel_Customer),OR(sel_Category="All",G227=sel_Category),OR(sel_Product="All",H227=sel_Product),AND(S227&gt;=m_From,S227&lt;=m_To)),1,0)</f>
        <v/>
      </c>
      <c r="V227" s="36">
        <f>IF(AND(OR(sel_Region="All",C227=sel_Region),OR(sel_Channel="All",E227=sel_Channel),OR(sel_Customer="All",F227=sel_Customer),OR(sel_Category="All",G227=sel_Category),OR(sel_Product="All",H227=sel_Product),AND(S227&gt;=m_From,S227&lt;=m_To)),1,0)</f>
        <v/>
      </c>
      <c r="W227" s="36">
        <f>IF(AND(OR(sel_Region="All",C227=sel_Region),OR(sel_Country="All",D227=sel_Country),OR(sel_Customer="All",F227=sel_Customer),OR(sel_Category="All",G227=sel_Category),OR(sel_Product="All",H227=sel_Product),AND(S227&gt;=m_From,S227&lt;=m_To)),1,0)</f>
        <v/>
      </c>
      <c r="X227" s="36">
        <f>IF(AND(OR(sel_Region="All",C227=sel_Region),OR(sel_Country="All",D227=sel_Country),OR(sel_Channel="All",E227=sel_Channel),OR(sel_Category="All",G227=sel_Category),OR(sel_Product="All",H227=sel_Product),AND(S227&gt;=m_From,S227&lt;=m_To)),1,0)</f>
        <v/>
      </c>
      <c r="Y227" s="36">
        <f>IF(AND(OR(sel_Region="All",C227=sel_Region),OR(sel_Country="All",D227=sel_Country),OR(sel_Channel="All",E227=sel_Channel),OR(sel_Customer="All",F227=sel_Customer),OR(sel_Product="All",H227=sel_Product),AND(S227&gt;=m_From,S227&lt;=m_To)),1,0)</f>
        <v/>
      </c>
      <c r="Z227" s="36">
        <f>IF(AND(OR(sel_Region="All",C227=sel_Region),OR(sel_Country="All",D227=sel_Country),OR(sel_Channel="All",E227=sel_Channel),OR(sel_Customer="All",F227=sel_Customer),OR(sel_Category="All",G227=sel_Category),AND(S227&gt;=m_From,S227&lt;=m_To)),1,0)</f>
        <v/>
      </c>
      <c r="AA227" s="36">
        <f>IF(AND(OR(sel_Region="All",C227=sel_Region),OR(sel_Country="All",D227=sel_Country),OR(sel_Channel="All",E227=sel_Channel),OR(sel_Customer="All",F227=sel_Customer),OR(sel_Category="All",G227=sel_Category),OR(sel_Product="All",H227=sel_Product)),1,0)</f>
        <v/>
      </c>
    </row>
    <row r="228">
      <c r="A228" s="36" t="inlineStr">
        <is>
          <t>00006</t>
        </is>
      </c>
      <c r="B228" s="44" t="n">
        <v>46071</v>
      </c>
      <c r="C228" s="36" t="inlineStr">
        <is>
          <t>Western Europe</t>
        </is>
      </c>
      <c r="D228" s="36" t="inlineStr">
        <is>
          <t>United Kingdom</t>
        </is>
      </c>
      <c r="E228" s="36" t="inlineStr">
        <is>
          <t>Retail Partners</t>
        </is>
      </c>
      <c r="F228" s="36" t="inlineStr">
        <is>
          <t>Returning</t>
        </is>
      </c>
      <c r="G228" s="36" t="inlineStr">
        <is>
          <t>Camping</t>
        </is>
      </c>
      <c r="H228" s="36" t="inlineStr">
        <is>
          <t>Alpine Tent 4P</t>
        </is>
      </c>
      <c r="I228" s="36" t="n">
        <v>1</v>
      </c>
      <c r="J228" s="39" t="n">
        <v>338.93</v>
      </c>
      <c r="K228" s="45" t="n">
        <v>0</v>
      </c>
      <c r="L228" s="39" t="n">
        <v>197.92</v>
      </c>
      <c r="M228" s="39">
        <f>I228*J228*(1-K228)</f>
        <v/>
      </c>
      <c r="N228" s="39">
        <f>I228*L228</f>
        <v/>
      </c>
      <c r="O228" s="39">
        <f>M228-N228</f>
        <v/>
      </c>
      <c r="P228" s="38">
        <f>IF(M228=0,0,O228/M228)</f>
        <v/>
      </c>
      <c r="Q228" s="36">
        <f>YEAR(B228)</f>
        <v/>
      </c>
      <c r="R228" s="36">
        <f>"Q"&amp;ROUNDUP(MONTH(B228)/3,0)</f>
        <v/>
      </c>
      <c r="S228" s="36">
        <f>MONTH(B228)</f>
        <v/>
      </c>
      <c r="T228" s="36">
        <f>TEXT(B228,"mmm")</f>
        <v/>
      </c>
      <c r="U228" s="36">
        <f>IF(AND(OR(sel_Region="All",C228=sel_Region),OR(sel_Country="All",D228=sel_Country),OR(sel_Channel="All",E228=sel_Channel),OR(sel_Customer="All",F228=sel_Customer),OR(sel_Category="All",G228=sel_Category),OR(sel_Product="All",H228=sel_Product),AND(S228&gt;=m_From,S228&lt;=m_To)),1,0)</f>
        <v/>
      </c>
      <c r="V228" s="36">
        <f>IF(AND(OR(sel_Region="All",C228=sel_Region),OR(sel_Channel="All",E228=sel_Channel),OR(sel_Customer="All",F228=sel_Customer),OR(sel_Category="All",G228=sel_Category),OR(sel_Product="All",H228=sel_Product),AND(S228&gt;=m_From,S228&lt;=m_To)),1,0)</f>
        <v/>
      </c>
      <c r="W228" s="36">
        <f>IF(AND(OR(sel_Region="All",C228=sel_Region),OR(sel_Country="All",D228=sel_Country),OR(sel_Customer="All",F228=sel_Customer),OR(sel_Category="All",G228=sel_Category),OR(sel_Product="All",H228=sel_Product),AND(S228&gt;=m_From,S228&lt;=m_To)),1,0)</f>
        <v/>
      </c>
      <c r="X228" s="36">
        <f>IF(AND(OR(sel_Region="All",C228=sel_Region),OR(sel_Country="All",D228=sel_Country),OR(sel_Channel="All",E228=sel_Channel),OR(sel_Category="All",G228=sel_Category),OR(sel_Product="All",H228=sel_Product),AND(S228&gt;=m_From,S228&lt;=m_To)),1,0)</f>
        <v/>
      </c>
      <c r="Y228" s="36">
        <f>IF(AND(OR(sel_Region="All",C228=sel_Region),OR(sel_Country="All",D228=sel_Country),OR(sel_Channel="All",E228=sel_Channel),OR(sel_Customer="All",F228=sel_Customer),OR(sel_Product="All",H228=sel_Product),AND(S228&gt;=m_From,S228&lt;=m_To)),1,0)</f>
        <v/>
      </c>
      <c r="Z228" s="36">
        <f>IF(AND(OR(sel_Region="All",C228=sel_Region),OR(sel_Country="All",D228=sel_Country),OR(sel_Channel="All",E228=sel_Channel),OR(sel_Customer="All",F228=sel_Customer),OR(sel_Category="All",G228=sel_Category),AND(S228&gt;=m_From,S228&lt;=m_To)),1,0)</f>
        <v/>
      </c>
      <c r="AA228" s="36">
        <f>IF(AND(OR(sel_Region="All",C228=sel_Region),OR(sel_Country="All",D228=sel_Country),OR(sel_Channel="All",E228=sel_Channel),OR(sel_Customer="All",F228=sel_Customer),OR(sel_Category="All",G228=sel_Category),OR(sel_Product="All",H228=sel_Product)),1,0)</f>
        <v/>
      </c>
    </row>
    <row r="229">
      <c r="A229" s="36" t="inlineStr">
        <is>
          <t>02038</t>
        </is>
      </c>
      <c r="B229" s="44" t="n">
        <v>46071</v>
      </c>
      <c r="C229" s="36" t="inlineStr">
        <is>
          <t>Southern Europe</t>
        </is>
      </c>
      <c r="D229" s="36" t="inlineStr">
        <is>
          <t>Portugal</t>
        </is>
      </c>
      <c r="E229" s="36" t="inlineStr">
        <is>
          <t>Online Store</t>
        </is>
      </c>
      <c r="F229" s="36" t="inlineStr">
        <is>
          <t>New</t>
        </is>
      </c>
      <c r="G229" s="36" t="inlineStr">
        <is>
          <t>Camping</t>
        </is>
      </c>
      <c r="H229" s="36" t="inlineStr">
        <is>
          <t>Compact Sleeping Bag</t>
        </is>
      </c>
      <c r="I229" s="36" t="n">
        <v>5</v>
      </c>
      <c r="J229" s="39" t="n">
        <v>122.72</v>
      </c>
      <c r="K229" s="45" t="n">
        <v>0</v>
      </c>
      <c r="L229" s="39" t="n">
        <v>62.41</v>
      </c>
      <c r="M229" s="39">
        <f>I229*J229*(1-K229)</f>
        <v/>
      </c>
      <c r="N229" s="39">
        <f>I229*L229</f>
        <v/>
      </c>
      <c r="O229" s="39">
        <f>M229-N229</f>
        <v/>
      </c>
      <c r="P229" s="38">
        <f>IF(M229=0,0,O229/M229)</f>
        <v/>
      </c>
      <c r="Q229" s="36">
        <f>YEAR(B229)</f>
        <v/>
      </c>
      <c r="R229" s="36">
        <f>"Q"&amp;ROUNDUP(MONTH(B229)/3,0)</f>
        <v/>
      </c>
      <c r="S229" s="36">
        <f>MONTH(B229)</f>
        <v/>
      </c>
      <c r="T229" s="36">
        <f>TEXT(B229,"mmm")</f>
        <v/>
      </c>
      <c r="U229" s="36">
        <f>IF(AND(OR(sel_Region="All",C229=sel_Region),OR(sel_Country="All",D229=sel_Country),OR(sel_Channel="All",E229=sel_Channel),OR(sel_Customer="All",F229=sel_Customer),OR(sel_Category="All",G229=sel_Category),OR(sel_Product="All",H229=sel_Product),AND(S229&gt;=m_From,S229&lt;=m_To)),1,0)</f>
        <v/>
      </c>
      <c r="V229" s="36">
        <f>IF(AND(OR(sel_Region="All",C229=sel_Region),OR(sel_Channel="All",E229=sel_Channel),OR(sel_Customer="All",F229=sel_Customer),OR(sel_Category="All",G229=sel_Category),OR(sel_Product="All",H229=sel_Product),AND(S229&gt;=m_From,S229&lt;=m_To)),1,0)</f>
        <v/>
      </c>
      <c r="W229" s="36">
        <f>IF(AND(OR(sel_Region="All",C229=sel_Region),OR(sel_Country="All",D229=sel_Country),OR(sel_Customer="All",F229=sel_Customer),OR(sel_Category="All",G229=sel_Category),OR(sel_Product="All",H229=sel_Product),AND(S229&gt;=m_From,S229&lt;=m_To)),1,0)</f>
        <v/>
      </c>
      <c r="X229" s="36">
        <f>IF(AND(OR(sel_Region="All",C229=sel_Region),OR(sel_Country="All",D229=sel_Country),OR(sel_Channel="All",E229=sel_Channel),OR(sel_Category="All",G229=sel_Category),OR(sel_Product="All",H229=sel_Product),AND(S229&gt;=m_From,S229&lt;=m_To)),1,0)</f>
        <v/>
      </c>
      <c r="Y229" s="36">
        <f>IF(AND(OR(sel_Region="All",C229=sel_Region),OR(sel_Country="All",D229=sel_Country),OR(sel_Channel="All",E229=sel_Channel),OR(sel_Customer="All",F229=sel_Customer),OR(sel_Product="All",H229=sel_Product),AND(S229&gt;=m_From,S229&lt;=m_To)),1,0)</f>
        <v/>
      </c>
      <c r="Z229" s="36">
        <f>IF(AND(OR(sel_Region="All",C229=sel_Region),OR(sel_Country="All",D229=sel_Country),OR(sel_Channel="All",E229=sel_Channel),OR(sel_Customer="All",F229=sel_Customer),OR(sel_Category="All",G229=sel_Category),AND(S229&gt;=m_From,S229&lt;=m_To)),1,0)</f>
        <v/>
      </c>
      <c r="AA229" s="36">
        <f>IF(AND(OR(sel_Region="All",C229=sel_Region),OR(sel_Country="All",D229=sel_Country),OR(sel_Channel="All",E229=sel_Channel),OR(sel_Customer="All",F229=sel_Customer),OR(sel_Category="All",G229=sel_Category),OR(sel_Product="All",H229=sel_Product)),1,0)</f>
        <v/>
      </c>
    </row>
    <row r="230">
      <c r="A230" s="36" t="inlineStr">
        <is>
          <t>04104</t>
        </is>
      </c>
      <c r="B230" s="44" t="n">
        <v>46071</v>
      </c>
      <c r="C230" s="36" t="inlineStr">
        <is>
          <t>Western Europe</t>
        </is>
      </c>
      <c r="D230" s="36" t="inlineStr">
        <is>
          <t>Belgium</t>
        </is>
      </c>
      <c r="E230" s="36" t="inlineStr">
        <is>
          <t>Online Store</t>
        </is>
      </c>
      <c r="F230" s="36" t="inlineStr">
        <is>
          <t>New</t>
        </is>
      </c>
      <c r="G230" s="36" t="inlineStr">
        <is>
          <t>Travel</t>
        </is>
      </c>
      <c r="H230" s="36" t="inlineStr">
        <is>
          <t>Carry-On Duffel</t>
        </is>
      </c>
      <c r="I230" s="36" t="n">
        <v>4</v>
      </c>
      <c r="J230" s="39" t="n">
        <v>135.63</v>
      </c>
      <c r="K230" s="45" t="n">
        <v>0.05</v>
      </c>
      <c r="L230" s="39" t="n">
        <v>65.90000000000001</v>
      </c>
      <c r="M230" s="39">
        <f>I230*J230*(1-K230)</f>
        <v/>
      </c>
      <c r="N230" s="39">
        <f>I230*L230</f>
        <v/>
      </c>
      <c r="O230" s="39">
        <f>M230-N230</f>
        <v/>
      </c>
      <c r="P230" s="38">
        <f>IF(M230=0,0,O230/M230)</f>
        <v/>
      </c>
      <c r="Q230" s="36">
        <f>YEAR(B230)</f>
        <v/>
      </c>
      <c r="R230" s="36">
        <f>"Q"&amp;ROUNDUP(MONTH(B230)/3,0)</f>
        <v/>
      </c>
      <c r="S230" s="36">
        <f>MONTH(B230)</f>
        <v/>
      </c>
      <c r="T230" s="36">
        <f>TEXT(B230,"mmm")</f>
        <v/>
      </c>
      <c r="U230" s="36">
        <f>IF(AND(OR(sel_Region="All",C230=sel_Region),OR(sel_Country="All",D230=sel_Country),OR(sel_Channel="All",E230=sel_Channel),OR(sel_Customer="All",F230=sel_Customer),OR(sel_Category="All",G230=sel_Category),OR(sel_Product="All",H230=sel_Product),AND(S230&gt;=m_From,S230&lt;=m_To)),1,0)</f>
        <v/>
      </c>
      <c r="V230" s="36">
        <f>IF(AND(OR(sel_Region="All",C230=sel_Region),OR(sel_Channel="All",E230=sel_Channel),OR(sel_Customer="All",F230=sel_Customer),OR(sel_Category="All",G230=sel_Category),OR(sel_Product="All",H230=sel_Product),AND(S230&gt;=m_From,S230&lt;=m_To)),1,0)</f>
        <v/>
      </c>
      <c r="W230" s="36">
        <f>IF(AND(OR(sel_Region="All",C230=sel_Region),OR(sel_Country="All",D230=sel_Country),OR(sel_Customer="All",F230=sel_Customer),OR(sel_Category="All",G230=sel_Category),OR(sel_Product="All",H230=sel_Product),AND(S230&gt;=m_From,S230&lt;=m_To)),1,0)</f>
        <v/>
      </c>
      <c r="X230" s="36">
        <f>IF(AND(OR(sel_Region="All",C230=sel_Region),OR(sel_Country="All",D230=sel_Country),OR(sel_Channel="All",E230=sel_Channel),OR(sel_Category="All",G230=sel_Category),OR(sel_Product="All",H230=sel_Product),AND(S230&gt;=m_From,S230&lt;=m_To)),1,0)</f>
        <v/>
      </c>
      <c r="Y230" s="36">
        <f>IF(AND(OR(sel_Region="All",C230=sel_Region),OR(sel_Country="All",D230=sel_Country),OR(sel_Channel="All",E230=sel_Channel),OR(sel_Customer="All",F230=sel_Customer),OR(sel_Product="All",H230=sel_Product),AND(S230&gt;=m_From,S230&lt;=m_To)),1,0)</f>
        <v/>
      </c>
      <c r="Z230" s="36">
        <f>IF(AND(OR(sel_Region="All",C230=sel_Region),OR(sel_Country="All",D230=sel_Country),OR(sel_Channel="All",E230=sel_Channel),OR(sel_Customer="All",F230=sel_Customer),OR(sel_Category="All",G230=sel_Category),AND(S230&gt;=m_From,S230&lt;=m_To)),1,0)</f>
        <v/>
      </c>
      <c r="AA230" s="36">
        <f>IF(AND(OR(sel_Region="All",C230=sel_Region),OR(sel_Country="All",D230=sel_Country),OR(sel_Channel="All",E230=sel_Channel),OR(sel_Customer="All",F230=sel_Customer),OR(sel_Category="All",G230=sel_Category),OR(sel_Product="All",H230=sel_Product)),1,0)</f>
        <v/>
      </c>
    </row>
    <row r="231">
      <c r="A231" s="36" t="inlineStr">
        <is>
          <t>01072</t>
        </is>
      </c>
      <c r="B231" s="44" t="n">
        <v>46072</v>
      </c>
      <c r="C231" s="36" t="inlineStr">
        <is>
          <t>Northern Europe</t>
        </is>
      </c>
      <c r="D231" s="36" t="inlineStr">
        <is>
          <t>Norway</t>
        </is>
      </c>
      <c r="E231" s="36" t="inlineStr">
        <is>
          <t>Online Store</t>
        </is>
      </c>
      <c r="F231" s="36" t="inlineStr">
        <is>
          <t>Returning</t>
        </is>
      </c>
      <c r="G231" s="36" t="inlineStr">
        <is>
          <t>Camping</t>
        </is>
      </c>
      <c r="H231" s="36" t="inlineStr">
        <is>
          <t>Portable Camp Stove</t>
        </is>
      </c>
      <c r="I231" s="36" t="n">
        <v>2</v>
      </c>
      <c r="J231" s="39" t="n">
        <v>81.34</v>
      </c>
      <c r="K231" s="45" t="n">
        <v>0.05</v>
      </c>
      <c r="L231" s="39" t="n">
        <v>40.64</v>
      </c>
      <c r="M231" s="39">
        <f>I231*J231*(1-K231)</f>
        <v/>
      </c>
      <c r="N231" s="39">
        <f>I231*L231</f>
        <v/>
      </c>
      <c r="O231" s="39">
        <f>M231-N231</f>
        <v/>
      </c>
      <c r="P231" s="38">
        <f>IF(M231=0,0,O231/M231)</f>
        <v/>
      </c>
      <c r="Q231" s="36">
        <f>YEAR(B231)</f>
        <v/>
      </c>
      <c r="R231" s="36">
        <f>"Q"&amp;ROUNDUP(MONTH(B231)/3,0)</f>
        <v/>
      </c>
      <c r="S231" s="36">
        <f>MONTH(B231)</f>
        <v/>
      </c>
      <c r="T231" s="36">
        <f>TEXT(B231,"mmm")</f>
        <v/>
      </c>
      <c r="U231" s="36">
        <f>IF(AND(OR(sel_Region="All",C231=sel_Region),OR(sel_Country="All",D231=sel_Country),OR(sel_Channel="All",E231=sel_Channel),OR(sel_Customer="All",F231=sel_Customer),OR(sel_Category="All",G231=sel_Category),OR(sel_Product="All",H231=sel_Product),AND(S231&gt;=m_From,S231&lt;=m_To)),1,0)</f>
        <v/>
      </c>
      <c r="V231" s="36">
        <f>IF(AND(OR(sel_Region="All",C231=sel_Region),OR(sel_Channel="All",E231=sel_Channel),OR(sel_Customer="All",F231=sel_Customer),OR(sel_Category="All",G231=sel_Category),OR(sel_Product="All",H231=sel_Product),AND(S231&gt;=m_From,S231&lt;=m_To)),1,0)</f>
        <v/>
      </c>
      <c r="W231" s="36">
        <f>IF(AND(OR(sel_Region="All",C231=sel_Region),OR(sel_Country="All",D231=sel_Country),OR(sel_Customer="All",F231=sel_Customer),OR(sel_Category="All",G231=sel_Category),OR(sel_Product="All",H231=sel_Product),AND(S231&gt;=m_From,S231&lt;=m_To)),1,0)</f>
        <v/>
      </c>
      <c r="X231" s="36">
        <f>IF(AND(OR(sel_Region="All",C231=sel_Region),OR(sel_Country="All",D231=sel_Country),OR(sel_Channel="All",E231=sel_Channel),OR(sel_Category="All",G231=sel_Category),OR(sel_Product="All",H231=sel_Product),AND(S231&gt;=m_From,S231&lt;=m_To)),1,0)</f>
        <v/>
      </c>
      <c r="Y231" s="36">
        <f>IF(AND(OR(sel_Region="All",C231=sel_Region),OR(sel_Country="All",D231=sel_Country),OR(sel_Channel="All",E231=sel_Channel),OR(sel_Customer="All",F231=sel_Customer),OR(sel_Product="All",H231=sel_Product),AND(S231&gt;=m_From,S231&lt;=m_To)),1,0)</f>
        <v/>
      </c>
      <c r="Z231" s="36">
        <f>IF(AND(OR(sel_Region="All",C231=sel_Region),OR(sel_Country="All",D231=sel_Country),OR(sel_Channel="All",E231=sel_Channel),OR(sel_Customer="All",F231=sel_Customer),OR(sel_Category="All",G231=sel_Category),AND(S231&gt;=m_From,S231&lt;=m_To)),1,0)</f>
        <v/>
      </c>
      <c r="AA231" s="36">
        <f>IF(AND(OR(sel_Region="All",C231=sel_Region),OR(sel_Country="All",D231=sel_Country),OR(sel_Channel="All",E231=sel_Channel),OR(sel_Customer="All",F231=sel_Customer),OR(sel_Category="All",G231=sel_Category),OR(sel_Product="All",H231=sel_Product)),1,0)</f>
        <v/>
      </c>
    </row>
    <row r="232">
      <c r="A232" s="36" t="inlineStr">
        <is>
          <t>02435</t>
        </is>
      </c>
      <c r="B232" s="44" t="n">
        <v>46072</v>
      </c>
      <c r="C232" s="36" t="inlineStr">
        <is>
          <t>Northern Europe</t>
        </is>
      </c>
      <c r="D232" s="36" t="inlineStr">
        <is>
          <t>Ireland</t>
        </is>
      </c>
      <c r="E232" s="36" t="inlineStr">
        <is>
          <t>Online Store</t>
        </is>
      </c>
      <c r="F232" s="36" t="inlineStr">
        <is>
          <t>New</t>
        </is>
      </c>
      <c r="G232" s="36" t="inlineStr">
        <is>
          <t>Cycling</t>
        </is>
      </c>
      <c r="H232" s="36" t="inlineStr">
        <is>
          <t>Compact Repair Kit</t>
        </is>
      </c>
      <c r="I232" s="36" t="n">
        <v>1</v>
      </c>
      <c r="J232" s="39" t="n">
        <v>41.01</v>
      </c>
      <c r="K232" s="45" t="n">
        <v>0.05</v>
      </c>
      <c r="L232" s="39" t="n">
        <v>16.49</v>
      </c>
      <c r="M232" s="39">
        <f>I232*J232*(1-K232)</f>
        <v/>
      </c>
      <c r="N232" s="39">
        <f>I232*L232</f>
        <v/>
      </c>
      <c r="O232" s="39">
        <f>M232-N232</f>
        <v/>
      </c>
      <c r="P232" s="38">
        <f>IF(M232=0,0,O232/M232)</f>
        <v/>
      </c>
      <c r="Q232" s="36">
        <f>YEAR(B232)</f>
        <v/>
      </c>
      <c r="R232" s="36">
        <f>"Q"&amp;ROUNDUP(MONTH(B232)/3,0)</f>
        <v/>
      </c>
      <c r="S232" s="36">
        <f>MONTH(B232)</f>
        <v/>
      </c>
      <c r="T232" s="36">
        <f>TEXT(B232,"mmm")</f>
        <v/>
      </c>
      <c r="U232" s="36">
        <f>IF(AND(OR(sel_Region="All",C232=sel_Region),OR(sel_Country="All",D232=sel_Country),OR(sel_Channel="All",E232=sel_Channel),OR(sel_Customer="All",F232=sel_Customer),OR(sel_Category="All",G232=sel_Category),OR(sel_Product="All",H232=sel_Product),AND(S232&gt;=m_From,S232&lt;=m_To)),1,0)</f>
        <v/>
      </c>
      <c r="V232" s="36">
        <f>IF(AND(OR(sel_Region="All",C232=sel_Region),OR(sel_Channel="All",E232=sel_Channel),OR(sel_Customer="All",F232=sel_Customer),OR(sel_Category="All",G232=sel_Category),OR(sel_Product="All",H232=sel_Product),AND(S232&gt;=m_From,S232&lt;=m_To)),1,0)</f>
        <v/>
      </c>
      <c r="W232" s="36">
        <f>IF(AND(OR(sel_Region="All",C232=sel_Region),OR(sel_Country="All",D232=sel_Country),OR(sel_Customer="All",F232=sel_Customer),OR(sel_Category="All",G232=sel_Category),OR(sel_Product="All",H232=sel_Product),AND(S232&gt;=m_From,S232&lt;=m_To)),1,0)</f>
        <v/>
      </c>
      <c r="X232" s="36">
        <f>IF(AND(OR(sel_Region="All",C232=sel_Region),OR(sel_Country="All",D232=sel_Country),OR(sel_Channel="All",E232=sel_Channel),OR(sel_Category="All",G232=sel_Category),OR(sel_Product="All",H232=sel_Product),AND(S232&gt;=m_From,S232&lt;=m_To)),1,0)</f>
        <v/>
      </c>
      <c r="Y232" s="36">
        <f>IF(AND(OR(sel_Region="All",C232=sel_Region),OR(sel_Country="All",D232=sel_Country),OR(sel_Channel="All",E232=sel_Channel),OR(sel_Customer="All",F232=sel_Customer),OR(sel_Product="All",H232=sel_Product),AND(S232&gt;=m_From,S232&lt;=m_To)),1,0)</f>
        <v/>
      </c>
      <c r="Z232" s="36">
        <f>IF(AND(OR(sel_Region="All",C232=sel_Region),OR(sel_Country="All",D232=sel_Country),OR(sel_Channel="All",E232=sel_Channel),OR(sel_Customer="All",F232=sel_Customer),OR(sel_Category="All",G232=sel_Category),AND(S232&gt;=m_From,S232&lt;=m_To)),1,0)</f>
        <v/>
      </c>
      <c r="AA232" s="36">
        <f>IF(AND(OR(sel_Region="All",C232=sel_Region),OR(sel_Country="All",D232=sel_Country),OR(sel_Channel="All",E232=sel_Channel),OR(sel_Customer="All",F232=sel_Customer),OR(sel_Category="All",G232=sel_Category),OR(sel_Product="All",H232=sel_Product)),1,0)</f>
        <v/>
      </c>
    </row>
    <row r="233">
      <c r="A233" s="36" t="inlineStr">
        <is>
          <t>04476</t>
        </is>
      </c>
      <c r="B233" s="44" t="n">
        <v>46072</v>
      </c>
      <c r="C233" s="36" t="inlineStr">
        <is>
          <t>Central Europe</t>
        </is>
      </c>
      <c r="D233" s="36" t="inlineStr">
        <is>
          <t>Switzerland</t>
        </is>
      </c>
      <c r="E233" s="36" t="inlineStr">
        <is>
          <t>Marketplace</t>
        </is>
      </c>
      <c r="F233" s="36" t="inlineStr">
        <is>
          <t>Business</t>
        </is>
      </c>
      <c r="G233" s="36" t="inlineStr">
        <is>
          <t>Hiking</t>
        </is>
      </c>
      <c r="H233" s="36" t="inlineStr">
        <is>
          <t>Summit Backpack 45L</t>
        </is>
      </c>
      <c r="I233" s="36" t="n">
        <v>2</v>
      </c>
      <c r="J233" s="39" t="n">
        <v>153.03</v>
      </c>
      <c r="K233" s="45" t="n">
        <v>0</v>
      </c>
      <c r="L233" s="39" t="n">
        <v>81.02</v>
      </c>
      <c r="M233" s="39">
        <f>I233*J233*(1-K233)</f>
        <v/>
      </c>
      <c r="N233" s="39">
        <f>I233*L233</f>
        <v/>
      </c>
      <c r="O233" s="39">
        <f>M233-N233</f>
        <v/>
      </c>
      <c r="P233" s="38">
        <f>IF(M233=0,0,O233/M233)</f>
        <v/>
      </c>
      <c r="Q233" s="36">
        <f>YEAR(B233)</f>
        <v/>
      </c>
      <c r="R233" s="36">
        <f>"Q"&amp;ROUNDUP(MONTH(B233)/3,0)</f>
        <v/>
      </c>
      <c r="S233" s="36">
        <f>MONTH(B233)</f>
        <v/>
      </c>
      <c r="T233" s="36">
        <f>TEXT(B233,"mmm")</f>
        <v/>
      </c>
      <c r="U233" s="36">
        <f>IF(AND(OR(sel_Region="All",C233=sel_Region),OR(sel_Country="All",D233=sel_Country),OR(sel_Channel="All",E233=sel_Channel),OR(sel_Customer="All",F233=sel_Customer),OR(sel_Category="All",G233=sel_Category),OR(sel_Product="All",H233=sel_Product),AND(S233&gt;=m_From,S233&lt;=m_To)),1,0)</f>
        <v/>
      </c>
      <c r="V233" s="36">
        <f>IF(AND(OR(sel_Region="All",C233=sel_Region),OR(sel_Channel="All",E233=sel_Channel),OR(sel_Customer="All",F233=sel_Customer),OR(sel_Category="All",G233=sel_Category),OR(sel_Product="All",H233=sel_Product),AND(S233&gt;=m_From,S233&lt;=m_To)),1,0)</f>
        <v/>
      </c>
      <c r="W233" s="36">
        <f>IF(AND(OR(sel_Region="All",C233=sel_Region),OR(sel_Country="All",D233=sel_Country),OR(sel_Customer="All",F233=sel_Customer),OR(sel_Category="All",G233=sel_Category),OR(sel_Product="All",H233=sel_Product),AND(S233&gt;=m_From,S233&lt;=m_To)),1,0)</f>
        <v/>
      </c>
      <c r="X233" s="36">
        <f>IF(AND(OR(sel_Region="All",C233=sel_Region),OR(sel_Country="All",D233=sel_Country),OR(sel_Channel="All",E233=sel_Channel),OR(sel_Category="All",G233=sel_Category),OR(sel_Product="All",H233=sel_Product),AND(S233&gt;=m_From,S233&lt;=m_To)),1,0)</f>
        <v/>
      </c>
      <c r="Y233" s="36">
        <f>IF(AND(OR(sel_Region="All",C233=sel_Region),OR(sel_Country="All",D233=sel_Country),OR(sel_Channel="All",E233=sel_Channel),OR(sel_Customer="All",F233=sel_Customer),OR(sel_Product="All",H233=sel_Product),AND(S233&gt;=m_From,S233&lt;=m_To)),1,0)</f>
        <v/>
      </c>
      <c r="Z233" s="36">
        <f>IF(AND(OR(sel_Region="All",C233=sel_Region),OR(sel_Country="All",D233=sel_Country),OR(sel_Channel="All",E233=sel_Channel),OR(sel_Customer="All",F233=sel_Customer),OR(sel_Category="All",G233=sel_Category),AND(S233&gt;=m_From,S233&lt;=m_To)),1,0)</f>
        <v/>
      </c>
      <c r="AA233" s="36">
        <f>IF(AND(OR(sel_Region="All",C233=sel_Region),OR(sel_Country="All",D233=sel_Country),OR(sel_Channel="All",E233=sel_Channel),OR(sel_Customer="All",F233=sel_Customer),OR(sel_Category="All",G233=sel_Category),OR(sel_Product="All",H233=sel_Product)),1,0)</f>
        <v/>
      </c>
    </row>
    <row r="234">
      <c r="A234" s="36" t="inlineStr">
        <is>
          <t>00174</t>
        </is>
      </c>
      <c r="B234" s="44" t="n">
        <v>46073</v>
      </c>
      <c r="C234" s="36" t="inlineStr">
        <is>
          <t>Central Europe</t>
        </is>
      </c>
      <c r="D234" s="36" t="inlineStr">
        <is>
          <t>Switzerland</t>
        </is>
      </c>
      <c r="E234" s="36" t="inlineStr">
        <is>
          <t>Online Store</t>
        </is>
      </c>
      <c r="F234" s="36" t="inlineStr">
        <is>
          <t>New</t>
        </is>
      </c>
      <c r="G234" s="36" t="inlineStr">
        <is>
          <t>Fitness</t>
        </is>
      </c>
      <c r="H234" s="36" t="inlineStr">
        <is>
          <t>Weighted Vest</t>
        </is>
      </c>
      <c r="I234" s="36" t="n">
        <v>2</v>
      </c>
      <c r="J234" s="39" t="n">
        <v>124.92</v>
      </c>
      <c r="K234" s="45" t="n">
        <v>0</v>
      </c>
      <c r="L234" s="39" t="n">
        <v>69.98</v>
      </c>
      <c r="M234" s="39">
        <f>I234*J234*(1-K234)</f>
        <v/>
      </c>
      <c r="N234" s="39">
        <f>I234*L234</f>
        <v/>
      </c>
      <c r="O234" s="39">
        <f>M234-N234</f>
        <v/>
      </c>
      <c r="P234" s="38">
        <f>IF(M234=0,0,O234/M234)</f>
        <v/>
      </c>
      <c r="Q234" s="36">
        <f>YEAR(B234)</f>
        <v/>
      </c>
      <c r="R234" s="36">
        <f>"Q"&amp;ROUNDUP(MONTH(B234)/3,0)</f>
        <v/>
      </c>
      <c r="S234" s="36">
        <f>MONTH(B234)</f>
        <v/>
      </c>
      <c r="T234" s="36">
        <f>TEXT(B234,"mmm")</f>
        <v/>
      </c>
      <c r="U234" s="36">
        <f>IF(AND(OR(sel_Region="All",C234=sel_Region),OR(sel_Country="All",D234=sel_Country),OR(sel_Channel="All",E234=sel_Channel),OR(sel_Customer="All",F234=sel_Customer),OR(sel_Category="All",G234=sel_Category),OR(sel_Product="All",H234=sel_Product),AND(S234&gt;=m_From,S234&lt;=m_To)),1,0)</f>
        <v/>
      </c>
      <c r="V234" s="36">
        <f>IF(AND(OR(sel_Region="All",C234=sel_Region),OR(sel_Channel="All",E234=sel_Channel),OR(sel_Customer="All",F234=sel_Customer),OR(sel_Category="All",G234=sel_Category),OR(sel_Product="All",H234=sel_Product),AND(S234&gt;=m_From,S234&lt;=m_To)),1,0)</f>
        <v/>
      </c>
      <c r="W234" s="36">
        <f>IF(AND(OR(sel_Region="All",C234=sel_Region),OR(sel_Country="All",D234=sel_Country),OR(sel_Customer="All",F234=sel_Customer),OR(sel_Category="All",G234=sel_Category),OR(sel_Product="All",H234=sel_Product),AND(S234&gt;=m_From,S234&lt;=m_To)),1,0)</f>
        <v/>
      </c>
      <c r="X234" s="36">
        <f>IF(AND(OR(sel_Region="All",C234=sel_Region),OR(sel_Country="All",D234=sel_Country),OR(sel_Channel="All",E234=sel_Channel),OR(sel_Category="All",G234=sel_Category),OR(sel_Product="All",H234=sel_Product),AND(S234&gt;=m_From,S234&lt;=m_To)),1,0)</f>
        <v/>
      </c>
      <c r="Y234" s="36">
        <f>IF(AND(OR(sel_Region="All",C234=sel_Region),OR(sel_Country="All",D234=sel_Country),OR(sel_Channel="All",E234=sel_Channel),OR(sel_Customer="All",F234=sel_Customer),OR(sel_Product="All",H234=sel_Product),AND(S234&gt;=m_From,S234&lt;=m_To)),1,0)</f>
        <v/>
      </c>
      <c r="Z234" s="36">
        <f>IF(AND(OR(sel_Region="All",C234=sel_Region),OR(sel_Country="All",D234=sel_Country),OR(sel_Channel="All",E234=sel_Channel),OR(sel_Customer="All",F234=sel_Customer),OR(sel_Category="All",G234=sel_Category),AND(S234&gt;=m_From,S234&lt;=m_To)),1,0)</f>
        <v/>
      </c>
      <c r="AA234" s="36">
        <f>IF(AND(OR(sel_Region="All",C234=sel_Region),OR(sel_Country="All",D234=sel_Country),OR(sel_Channel="All",E234=sel_Channel),OR(sel_Customer="All",F234=sel_Customer),OR(sel_Category="All",G234=sel_Category),OR(sel_Product="All",H234=sel_Product)),1,0)</f>
        <v/>
      </c>
    </row>
    <row r="235">
      <c r="A235" s="36" t="inlineStr">
        <is>
          <t>00304</t>
        </is>
      </c>
      <c r="B235" s="44" t="n">
        <v>46073</v>
      </c>
      <c r="C235" s="36" t="inlineStr">
        <is>
          <t>Central Europe</t>
        </is>
      </c>
      <c r="D235" s="36" t="inlineStr">
        <is>
          <t>Germany</t>
        </is>
      </c>
      <c r="E235" s="36" t="inlineStr">
        <is>
          <t>Online Store</t>
        </is>
      </c>
      <c r="F235" s="36" t="inlineStr">
        <is>
          <t>Business</t>
        </is>
      </c>
      <c r="G235" s="36" t="inlineStr">
        <is>
          <t>Travel</t>
        </is>
      </c>
      <c r="H235" s="36" t="inlineStr">
        <is>
          <t>Carry-On Duffel</t>
        </is>
      </c>
      <c r="I235" s="36" t="n">
        <v>2</v>
      </c>
      <c r="J235" s="39" t="n">
        <v>136.55</v>
      </c>
      <c r="K235" s="45" t="n">
        <v>0</v>
      </c>
      <c r="L235" s="39" t="n">
        <v>68.84</v>
      </c>
      <c r="M235" s="39">
        <f>I235*J235*(1-K235)</f>
        <v/>
      </c>
      <c r="N235" s="39">
        <f>I235*L235</f>
        <v/>
      </c>
      <c r="O235" s="39">
        <f>M235-N235</f>
        <v/>
      </c>
      <c r="P235" s="38">
        <f>IF(M235=0,0,O235/M235)</f>
        <v/>
      </c>
      <c r="Q235" s="36">
        <f>YEAR(B235)</f>
        <v/>
      </c>
      <c r="R235" s="36">
        <f>"Q"&amp;ROUNDUP(MONTH(B235)/3,0)</f>
        <v/>
      </c>
      <c r="S235" s="36">
        <f>MONTH(B235)</f>
        <v/>
      </c>
      <c r="T235" s="36">
        <f>TEXT(B235,"mmm")</f>
        <v/>
      </c>
      <c r="U235" s="36">
        <f>IF(AND(OR(sel_Region="All",C235=sel_Region),OR(sel_Country="All",D235=sel_Country),OR(sel_Channel="All",E235=sel_Channel),OR(sel_Customer="All",F235=sel_Customer),OR(sel_Category="All",G235=sel_Category),OR(sel_Product="All",H235=sel_Product),AND(S235&gt;=m_From,S235&lt;=m_To)),1,0)</f>
        <v/>
      </c>
      <c r="V235" s="36">
        <f>IF(AND(OR(sel_Region="All",C235=sel_Region),OR(sel_Channel="All",E235=sel_Channel),OR(sel_Customer="All",F235=sel_Customer),OR(sel_Category="All",G235=sel_Category),OR(sel_Product="All",H235=sel_Product),AND(S235&gt;=m_From,S235&lt;=m_To)),1,0)</f>
        <v/>
      </c>
      <c r="W235" s="36">
        <f>IF(AND(OR(sel_Region="All",C235=sel_Region),OR(sel_Country="All",D235=sel_Country),OR(sel_Customer="All",F235=sel_Customer),OR(sel_Category="All",G235=sel_Category),OR(sel_Product="All",H235=sel_Product),AND(S235&gt;=m_From,S235&lt;=m_To)),1,0)</f>
        <v/>
      </c>
      <c r="X235" s="36">
        <f>IF(AND(OR(sel_Region="All",C235=sel_Region),OR(sel_Country="All",D235=sel_Country),OR(sel_Channel="All",E235=sel_Channel),OR(sel_Category="All",G235=sel_Category),OR(sel_Product="All",H235=sel_Product),AND(S235&gt;=m_From,S235&lt;=m_To)),1,0)</f>
        <v/>
      </c>
      <c r="Y235" s="36">
        <f>IF(AND(OR(sel_Region="All",C235=sel_Region),OR(sel_Country="All",D235=sel_Country),OR(sel_Channel="All",E235=sel_Channel),OR(sel_Customer="All",F235=sel_Customer),OR(sel_Product="All",H235=sel_Product),AND(S235&gt;=m_From,S235&lt;=m_To)),1,0)</f>
        <v/>
      </c>
      <c r="Z235" s="36">
        <f>IF(AND(OR(sel_Region="All",C235=sel_Region),OR(sel_Country="All",D235=sel_Country),OR(sel_Channel="All",E235=sel_Channel),OR(sel_Customer="All",F235=sel_Customer),OR(sel_Category="All",G235=sel_Category),AND(S235&gt;=m_From,S235&lt;=m_To)),1,0)</f>
        <v/>
      </c>
      <c r="AA235" s="36">
        <f>IF(AND(OR(sel_Region="All",C235=sel_Region),OR(sel_Country="All",D235=sel_Country),OR(sel_Channel="All",E235=sel_Channel),OR(sel_Customer="All",F235=sel_Customer),OR(sel_Category="All",G235=sel_Category),OR(sel_Product="All",H235=sel_Product)),1,0)</f>
        <v/>
      </c>
    </row>
    <row r="236">
      <c r="A236" s="36" t="inlineStr">
        <is>
          <t>00404</t>
        </is>
      </c>
      <c r="B236" s="44" t="n">
        <v>46073</v>
      </c>
      <c r="C236" s="36" t="inlineStr">
        <is>
          <t>Northern Europe</t>
        </is>
      </c>
      <c r="D236" s="36" t="inlineStr">
        <is>
          <t>Denmark</t>
        </is>
      </c>
      <c r="E236" s="36" t="inlineStr">
        <is>
          <t>Corporate</t>
        </is>
      </c>
      <c r="F236" s="36" t="inlineStr">
        <is>
          <t>Business</t>
        </is>
      </c>
      <c r="G236" s="36" t="inlineStr">
        <is>
          <t>Camping</t>
        </is>
      </c>
      <c r="H236" s="36" t="inlineStr">
        <is>
          <t>Compact Sleeping Bag</t>
        </is>
      </c>
      <c r="I236" s="36" t="n">
        <v>15</v>
      </c>
      <c r="J236" s="39" t="n">
        <v>121.98</v>
      </c>
      <c r="K236" s="45" t="n">
        <v>0.1</v>
      </c>
      <c r="L236" s="39" t="n">
        <v>59.86</v>
      </c>
      <c r="M236" s="39">
        <f>I236*J236*(1-K236)</f>
        <v/>
      </c>
      <c r="N236" s="39">
        <f>I236*L236</f>
        <v/>
      </c>
      <c r="O236" s="39">
        <f>M236-N236</f>
        <v/>
      </c>
      <c r="P236" s="38">
        <f>IF(M236=0,0,O236/M236)</f>
        <v/>
      </c>
      <c r="Q236" s="36">
        <f>YEAR(B236)</f>
        <v/>
      </c>
      <c r="R236" s="36">
        <f>"Q"&amp;ROUNDUP(MONTH(B236)/3,0)</f>
        <v/>
      </c>
      <c r="S236" s="36">
        <f>MONTH(B236)</f>
        <v/>
      </c>
      <c r="T236" s="36">
        <f>TEXT(B236,"mmm")</f>
        <v/>
      </c>
      <c r="U236" s="36">
        <f>IF(AND(OR(sel_Region="All",C236=sel_Region),OR(sel_Country="All",D236=sel_Country),OR(sel_Channel="All",E236=sel_Channel),OR(sel_Customer="All",F236=sel_Customer),OR(sel_Category="All",G236=sel_Category),OR(sel_Product="All",H236=sel_Product),AND(S236&gt;=m_From,S236&lt;=m_To)),1,0)</f>
        <v/>
      </c>
      <c r="V236" s="36">
        <f>IF(AND(OR(sel_Region="All",C236=sel_Region),OR(sel_Channel="All",E236=sel_Channel),OR(sel_Customer="All",F236=sel_Customer),OR(sel_Category="All",G236=sel_Category),OR(sel_Product="All",H236=sel_Product),AND(S236&gt;=m_From,S236&lt;=m_To)),1,0)</f>
        <v/>
      </c>
      <c r="W236" s="36">
        <f>IF(AND(OR(sel_Region="All",C236=sel_Region),OR(sel_Country="All",D236=sel_Country),OR(sel_Customer="All",F236=sel_Customer),OR(sel_Category="All",G236=sel_Category),OR(sel_Product="All",H236=sel_Product),AND(S236&gt;=m_From,S236&lt;=m_To)),1,0)</f>
        <v/>
      </c>
      <c r="X236" s="36">
        <f>IF(AND(OR(sel_Region="All",C236=sel_Region),OR(sel_Country="All",D236=sel_Country),OR(sel_Channel="All",E236=sel_Channel),OR(sel_Category="All",G236=sel_Category),OR(sel_Product="All",H236=sel_Product),AND(S236&gt;=m_From,S236&lt;=m_To)),1,0)</f>
        <v/>
      </c>
      <c r="Y236" s="36">
        <f>IF(AND(OR(sel_Region="All",C236=sel_Region),OR(sel_Country="All",D236=sel_Country),OR(sel_Channel="All",E236=sel_Channel),OR(sel_Customer="All",F236=sel_Customer),OR(sel_Product="All",H236=sel_Product),AND(S236&gt;=m_From,S236&lt;=m_To)),1,0)</f>
        <v/>
      </c>
      <c r="Z236" s="36">
        <f>IF(AND(OR(sel_Region="All",C236=sel_Region),OR(sel_Country="All",D236=sel_Country),OR(sel_Channel="All",E236=sel_Channel),OR(sel_Customer="All",F236=sel_Customer),OR(sel_Category="All",G236=sel_Category),AND(S236&gt;=m_From,S236&lt;=m_To)),1,0)</f>
        <v/>
      </c>
      <c r="AA236" s="36">
        <f>IF(AND(OR(sel_Region="All",C236=sel_Region),OR(sel_Country="All",D236=sel_Country),OR(sel_Channel="All",E236=sel_Channel),OR(sel_Customer="All",F236=sel_Customer),OR(sel_Category="All",G236=sel_Category),OR(sel_Product="All",H236=sel_Product)),1,0)</f>
        <v/>
      </c>
    </row>
    <row r="237">
      <c r="A237" s="36" t="inlineStr">
        <is>
          <t>00675</t>
        </is>
      </c>
      <c r="B237" s="44" t="n">
        <v>46073</v>
      </c>
      <c r="C237" s="36" t="inlineStr">
        <is>
          <t>Central Europe</t>
        </is>
      </c>
      <c r="D237" s="36" t="inlineStr">
        <is>
          <t>Germany</t>
        </is>
      </c>
      <c r="E237" s="36" t="inlineStr">
        <is>
          <t>Online Store</t>
        </is>
      </c>
      <c r="F237" s="36" t="inlineStr">
        <is>
          <t>New</t>
        </is>
      </c>
      <c r="G237" s="36" t="inlineStr">
        <is>
          <t>Travel</t>
        </is>
      </c>
      <c r="H237" s="36" t="inlineStr">
        <is>
          <t>Packing Cube Set</t>
        </is>
      </c>
      <c r="I237" s="36" t="n">
        <v>1</v>
      </c>
      <c r="J237" s="39" t="n">
        <v>45.54</v>
      </c>
      <c r="K237" s="45" t="n">
        <v>0</v>
      </c>
      <c r="L237" s="39" t="n">
        <v>18.29</v>
      </c>
      <c r="M237" s="39">
        <f>I237*J237*(1-K237)</f>
        <v/>
      </c>
      <c r="N237" s="39">
        <f>I237*L237</f>
        <v/>
      </c>
      <c r="O237" s="39">
        <f>M237-N237</f>
        <v/>
      </c>
      <c r="P237" s="38">
        <f>IF(M237=0,0,O237/M237)</f>
        <v/>
      </c>
      <c r="Q237" s="36">
        <f>YEAR(B237)</f>
        <v/>
      </c>
      <c r="R237" s="36">
        <f>"Q"&amp;ROUNDUP(MONTH(B237)/3,0)</f>
        <v/>
      </c>
      <c r="S237" s="36">
        <f>MONTH(B237)</f>
        <v/>
      </c>
      <c r="T237" s="36">
        <f>TEXT(B237,"mmm")</f>
        <v/>
      </c>
      <c r="U237" s="36">
        <f>IF(AND(OR(sel_Region="All",C237=sel_Region),OR(sel_Country="All",D237=sel_Country),OR(sel_Channel="All",E237=sel_Channel),OR(sel_Customer="All",F237=sel_Customer),OR(sel_Category="All",G237=sel_Category),OR(sel_Product="All",H237=sel_Product),AND(S237&gt;=m_From,S237&lt;=m_To)),1,0)</f>
        <v/>
      </c>
      <c r="V237" s="36">
        <f>IF(AND(OR(sel_Region="All",C237=sel_Region),OR(sel_Channel="All",E237=sel_Channel),OR(sel_Customer="All",F237=sel_Customer),OR(sel_Category="All",G237=sel_Category),OR(sel_Product="All",H237=sel_Product),AND(S237&gt;=m_From,S237&lt;=m_To)),1,0)</f>
        <v/>
      </c>
      <c r="W237" s="36">
        <f>IF(AND(OR(sel_Region="All",C237=sel_Region),OR(sel_Country="All",D237=sel_Country),OR(sel_Customer="All",F237=sel_Customer),OR(sel_Category="All",G237=sel_Category),OR(sel_Product="All",H237=sel_Product),AND(S237&gt;=m_From,S237&lt;=m_To)),1,0)</f>
        <v/>
      </c>
      <c r="X237" s="36">
        <f>IF(AND(OR(sel_Region="All",C237=sel_Region),OR(sel_Country="All",D237=sel_Country),OR(sel_Channel="All",E237=sel_Channel),OR(sel_Category="All",G237=sel_Category),OR(sel_Product="All",H237=sel_Product),AND(S237&gt;=m_From,S237&lt;=m_To)),1,0)</f>
        <v/>
      </c>
      <c r="Y237" s="36">
        <f>IF(AND(OR(sel_Region="All",C237=sel_Region),OR(sel_Country="All",D237=sel_Country),OR(sel_Channel="All",E237=sel_Channel),OR(sel_Customer="All",F237=sel_Customer),OR(sel_Product="All",H237=sel_Product),AND(S237&gt;=m_From,S237&lt;=m_To)),1,0)</f>
        <v/>
      </c>
      <c r="Z237" s="36">
        <f>IF(AND(OR(sel_Region="All",C237=sel_Region),OR(sel_Country="All",D237=sel_Country),OR(sel_Channel="All",E237=sel_Channel),OR(sel_Customer="All",F237=sel_Customer),OR(sel_Category="All",G237=sel_Category),AND(S237&gt;=m_From,S237&lt;=m_To)),1,0)</f>
        <v/>
      </c>
      <c r="AA237" s="36">
        <f>IF(AND(OR(sel_Region="All",C237=sel_Region),OR(sel_Country="All",D237=sel_Country),OR(sel_Channel="All",E237=sel_Channel),OR(sel_Customer="All",F237=sel_Customer),OR(sel_Category="All",G237=sel_Category),OR(sel_Product="All",H237=sel_Product)),1,0)</f>
        <v/>
      </c>
    </row>
    <row r="238">
      <c r="A238" s="36" t="inlineStr">
        <is>
          <t>00940</t>
        </is>
      </c>
      <c r="B238" s="44" t="n">
        <v>46073</v>
      </c>
      <c r="C238" s="36" t="inlineStr">
        <is>
          <t>Northern Europe</t>
        </is>
      </c>
      <c r="D238" s="36" t="inlineStr">
        <is>
          <t>Ireland</t>
        </is>
      </c>
      <c r="E238" s="36" t="inlineStr">
        <is>
          <t>Marketplace</t>
        </is>
      </c>
      <c r="F238" s="36" t="inlineStr">
        <is>
          <t>Returning</t>
        </is>
      </c>
      <c r="G238" s="36" t="inlineStr">
        <is>
          <t>Fitness</t>
        </is>
      </c>
      <c r="H238" s="36" t="inlineStr">
        <is>
          <t>Training Mat</t>
        </is>
      </c>
      <c r="I238" s="36" t="n">
        <v>1</v>
      </c>
      <c r="J238" s="39" t="n">
        <v>51.73</v>
      </c>
      <c r="K238" s="45" t="n">
        <v>0</v>
      </c>
      <c r="L238" s="39" t="n">
        <v>21.83</v>
      </c>
      <c r="M238" s="39">
        <f>I238*J238*(1-K238)</f>
        <v/>
      </c>
      <c r="N238" s="39">
        <f>I238*L238</f>
        <v/>
      </c>
      <c r="O238" s="39">
        <f>M238-N238</f>
        <v/>
      </c>
      <c r="P238" s="38">
        <f>IF(M238=0,0,O238/M238)</f>
        <v/>
      </c>
      <c r="Q238" s="36">
        <f>YEAR(B238)</f>
        <v/>
      </c>
      <c r="R238" s="36">
        <f>"Q"&amp;ROUNDUP(MONTH(B238)/3,0)</f>
        <v/>
      </c>
      <c r="S238" s="36">
        <f>MONTH(B238)</f>
        <v/>
      </c>
      <c r="T238" s="36">
        <f>TEXT(B238,"mmm")</f>
        <v/>
      </c>
      <c r="U238" s="36">
        <f>IF(AND(OR(sel_Region="All",C238=sel_Region),OR(sel_Country="All",D238=sel_Country),OR(sel_Channel="All",E238=sel_Channel),OR(sel_Customer="All",F238=sel_Customer),OR(sel_Category="All",G238=sel_Category),OR(sel_Product="All",H238=sel_Product),AND(S238&gt;=m_From,S238&lt;=m_To)),1,0)</f>
        <v/>
      </c>
      <c r="V238" s="36">
        <f>IF(AND(OR(sel_Region="All",C238=sel_Region),OR(sel_Channel="All",E238=sel_Channel),OR(sel_Customer="All",F238=sel_Customer),OR(sel_Category="All",G238=sel_Category),OR(sel_Product="All",H238=sel_Product),AND(S238&gt;=m_From,S238&lt;=m_To)),1,0)</f>
        <v/>
      </c>
      <c r="W238" s="36">
        <f>IF(AND(OR(sel_Region="All",C238=sel_Region),OR(sel_Country="All",D238=sel_Country),OR(sel_Customer="All",F238=sel_Customer),OR(sel_Category="All",G238=sel_Category),OR(sel_Product="All",H238=sel_Product),AND(S238&gt;=m_From,S238&lt;=m_To)),1,0)</f>
        <v/>
      </c>
      <c r="X238" s="36">
        <f>IF(AND(OR(sel_Region="All",C238=sel_Region),OR(sel_Country="All",D238=sel_Country),OR(sel_Channel="All",E238=sel_Channel),OR(sel_Category="All",G238=sel_Category),OR(sel_Product="All",H238=sel_Product),AND(S238&gt;=m_From,S238&lt;=m_To)),1,0)</f>
        <v/>
      </c>
      <c r="Y238" s="36">
        <f>IF(AND(OR(sel_Region="All",C238=sel_Region),OR(sel_Country="All",D238=sel_Country),OR(sel_Channel="All",E238=sel_Channel),OR(sel_Customer="All",F238=sel_Customer),OR(sel_Product="All",H238=sel_Product),AND(S238&gt;=m_From,S238&lt;=m_To)),1,0)</f>
        <v/>
      </c>
      <c r="Z238" s="36">
        <f>IF(AND(OR(sel_Region="All",C238=sel_Region),OR(sel_Country="All",D238=sel_Country),OR(sel_Channel="All",E238=sel_Channel),OR(sel_Customer="All",F238=sel_Customer),OR(sel_Category="All",G238=sel_Category),AND(S238&gt;=m_From,S238&lt;=m_To)),1,0)</f>
        <v/>
      </c>
      <c r="AA238" s="36">
        <f>IF(AND(OR(sel_Region="All",C238=sel_Region),OR(sel_Country="All",D238=sel_Country),OR(sel_Channel="All",E238=sel_Channel),OR(sel_Customer="All",F238=sel_Customer),OR(sel_Category="All",G238=sel_Category),OR(sel_Product="All",H238=sel_Product)),1,0)</f>
        <v/>
      </c>
    </row>
    <row r="239">
      <c r="A239" s="36" t="inlineStr">
        <is>
          <t>02375</t>
        </is>
      </c>
      <c r="B239" s="44" t="n">
        <v>46073</v>
      </c>
      <c r="C239" s="36" t="inlineStr">
        <is>
          <t>Central Europe</t>
        </is>
      </c>
      <c r="D239" s="36" t="inlineStr">
        <is>
          <t>Germany</t>
        </is>
      </c>
      <c r="E239" s="36" t="inlineStr">
        <is>
          <t>Marketplace</t>
        </is>
      </c>
      <c r="F239" s="36" t="inlineStr">
        <is>
          <t>Returning</t>
        </is>
      </c>
      <c r="G239" s="36" t="inlineStr">
        <is>
          <t>Camping</t>
        </is>
      </c>
      <c r="H239" s="36" t="inlineStr">
        <is>
          <t>Portable Camp Stove</t>
        </is>
      </c>
      <c r="I239" s="36" t="n">
        <v>2</v>
      </c>
      <c r="J239" s="39" t="n">
        <v>80.51000000000001</v>
      </c>
      <c r="K239" s="45" t="n">
        <v>0.05</v>
      </c>
      <c r="L239" s="39" t="n">
        <v>38.63</v>
      </c>
      <c r="M239" s="39">
        <f>I239*J239*(1-K239)</f>
        <v/>
      </c>
      <c r="N239" s="39">
        <f>I239*L239</f>
        <v/>
      </c>
      <c r="O239" s="39">
        <f>M239-N239</f>
        <v/>
      </c>
      <c r="P239" s="38">
        <f>IF(M239=0,0,O239/M239)</f>
        <v/>
      </c>
      <c r="Q239" s="36">
        <f>YEAR(B239)</f>
        <v/>
      </c>
      <c r="R239" s="36">
        <f>"Q"&amp;ROUNDUP(MONTH(B239)/3,0)</f>
        <v/>
      </c>
      <c r="S239" s="36">
        <f>MONTH(B239)</f>
        <v/>
      </c>
      <c r="T239" s="36">
        <f>TEXT(B239,"mmm")</f>
        <v/>
      </c>
      <c r="U239" s="36">
        <f>IF(AND(OR(sel_Region="All",C239=sel_Region),OR(sel_Country="All",D239=sel_Country),OR(sel_Channel="All",E239=sel_Channel),OR(sel_Customer="All",F239=sel_Customer),OR(sel_Category="All",G239=sel_Category),OR(sel_Product="All",H239=sel_Product),AND(S239&gt;=m_From,S239&lt;=m_To)),1,0)</f>
        <v/>
      </c>
      <c r="V239" s="36">
        <f>IF(AND(OR(sel_Region="All",C239=sel_Region),OR(sel_Channel="All",E239=sel_Channel),OR(sel_Customer="All",F239=sel_Customer),OR(sel_Category="All",G239=sel_Category),OR(sel_Product="All",H239=sel_Product),AND(S239&gt;=m_From,S239&lt;=m_To)),1,0)</f>
        <v/>
      </c>
      <c r="W239" s="36">
        <f>IF(AND(OR(sel_Region="All",C239=sel_Region),OR(sel_Country="All",D239=sel_Country),OR(sel_Customer="All",F239=sel_Customer),OR(sel_Category="All",G239=sel_Category),OR(sel_Product="All",H239=sel_Product),AND(S239&gt;=m_From,S239&lt;=m_To)),1,0)</f>
        <v/>
      </c>
      <c r="X239" s="36">
        <f>IF(AND(OR(sel_Region="All",C239=sel_Region),OR(sel_Country="All",D239=sel_Country),OR(sel_Channel="All",E239=sel_Channel),OR(sel_Category="All",G239=sel_Category),OR(sel_Product="All",H239=sel_Product),AND(S239&gt;=m_From,S239&lt;=m_To)),1,0)</f>
        <v/>
      </c>
      <c r="Y239" s="36">
        <f>IF(AND(OR(sel_Region="All",C239=sel_Region),OR(sel_Country="All",D239=sel_Country),OR(sel_Channel="All",E239=sel_Channel),OR(sel_Customer="All",F239=sel_Customer),OR(sel_Product="All",H239=sel_Product),AND(S239&gt;=m_From,S239&lt;=m_To)),1,0)</f>
        <v/>
      </c>
      <c r="Z239" s="36">
        <f>IF(AND(OR(sel_Region="All",C239=sel_Region),OR(sel_Country="All",D239=sel_Country),OR(sel_Channel="All",E239=sel_Channel),OR(sel_Customer="All",F239=sel_Customer),OR(sel_Category="All",G239=sel_Category),AND(S239&gt;=m_From,S239&lt;=m_To)),1,0)</f>
        <v/>
      </c>
      <c r="AA239" s="36">
        <f>IF(AND(OR(sel_Region="All",C239=sel_Region),OR(sel_Country="All",D239=sel_Country),OR(sel_Channel="All",E239=sel_Channel),OR(sel_Customer="All",F239=sel_Customer),OR(sel_Category="All",G239=sel_Category),OR(sel_Product="All",H239=sel_Product)),1,0)</f>
        <v/>
      </c>
    </row>
    <row r="240">
      <c r="A240" s="36" t="inlineStr">
        <is>
          <t>04184</t>
        </is>
      </c>
      <c r="B240" s="44" t="n">
        <v>46073</v>
      </c>
      <c r="C240" s="36" t="inlineStr">
        <is>
          <t>Western Europe</t>
        </is>
      </c>
      <c r="D240" s="36" t="inlineStr">
        <is>
          <t>Netherlands</t>
        </is>
      </c>
      <c r="E240" s="36" t="inlineStr">
        <is>
          <t>Online Store</t>
        </is>
      </c>
      <c r="F240" s="36" t="inlineStr">
        <is>
          <t>New</t>
        </is>
      </c>
      <c r="G240" s="36" t="inlineStr">
        <is>
          <t>Fitness</t>
        </is>
      </c>
      <c r="H240" s="36" t="inlineStr">
        <is>
          <t>Recovery Roller</t>
        </is>
      </c>
      <c r="I240" s="36" t="n">
        <v>1</v>
      </c>
      <c r="J240" s="39" t="n">
        <v>36.31</v>
      </c>
      <c r="K240" s="45" t="n">
        <v>0</v>
      </c>
      <c r="L240" s="39" t="n">
        <v>14</v>
      </c>
      <c r="M240" s="39">
        <f>I240*J240*(1-K240)</f>
        <v/>
      </c>
      <c r="N240" s="39">
        <f>I240*L240</f>
        <v/>
      </c>
      <c r="O240" s="39">
        <f>M240-N240</f>
        <v/>
      </c>
      <c r="P240" s="38">
        <f>IF(M240=0,0,O240/M240)</f>
        <v/>
      </c>
      <c r="Q240" s="36">
        <f>YEAR(B240)</f>
        <v/>
      </c>
      <c r="R240" s="36">
        <f>"Q"&amp;ROUNDUP(MONTH(B240)/3,0)</f>
        <v/>
      </c>
      <c r="S240" s="36">
        <f>MONTH(B240)</f>
        <v/>
      </c>
      <c r="T240" s="36">
        <f>TEXT(B240,"mmm")</f>
        <v/>
      </c>
      <c r="U240" s="36">
        <f>IF(AND(OR(sel_Region="All",C240=sel_Region),OR(sel_Country="All",D240=sel_Country),OR(sel_Channel="All",E240=sel_Channel),OR(sel_Customer="All",F240=sel_Customer),OR(sel_Category="All",G240=sel_Category),OR(sel_Product="All",H240=sel_Product),AND(S240&gt;=m_From,S240&lt;=m_To)),1,0)</f>
        <v/>
      </c>
      <c r="V240" s="36">
        <f>IF(AND(OR(sel_Region="All",C240=sel_Region),OR(sel_Channel="All",E240=sel_Channel),OR(sel_Customer="All",F240=sel_Customer),OR(sel_Category="All",G240=sel_Category),OR(sel_Product="All",H240=sel_Product),AND(S240&gt;=m_From,S240&lt;=m_To)),1,0)</f>
        <v/>
      </c>
      <c r="W240" s="36">
        <f>IF(AND(OR(sel_Region="All",C240=sel_Region),OR(sel_Country="All",D240=sel_Country),OR(sel_Customer="All",F240=sel_Customer),OR(sel_Category="All",G240=sel_Category),OR(sel_Product="All",H240=sel_Product),AND(S240&gt;=m_From,S240&lt;=m_To)),1,0)</f>
        <v/>
      </c>
      <c r="X240" s="36">
        <f>IF(AND(OR(sel_Region="All",C240=sel_Region),OR(sel_Country="All",D240=sel_Country),OR(sel_Channel="All",E240=sel_Channel),OR(sel_Category="All",G240=sel_Category),OR(sel_Product="All",H240=sel_Product),AND(S240&gt;=m_From,S240&lt;=m_To)),1,0)</f>
        <v/>
      </c>
      <c r="Y240" s="36">
        <f>IF(AND(OR(sel_Region="All",C240=sel_Region),OR(sel_Country="All",D240=sel_Country),OR(sel_Channel="All",E240=sel_Channel),OR(sel_Customer="All",F240=sel_Customer),OR(sel_Product="All",H240=sel_Product),AND(S240&gt;=m_From,S240&lt;=m_To)),1,0)</f>
        <v/>
      </c>
      <c r="Z240" s="36">
        <f>IF(AND(OR(sel_Region="All",C240=sel_Region),OR(sel_Country="All",D240=sel_Country),OR(sel_Channel="All",E240=sel_Channel),OR(sel_Customer="All",F240=sel_Customer),OR(sel_Category="All",G240=sel_Category),AND(S240&gt;=m_From,S240&lt;=m_To)),1,0)</f>
        <v/>
      </c>
      <c r="AA240" s="36">
        <f>IF(AND(OR(sel_Region="All",C240=sel_Region),OR(sel_Country="All",D240=sel_Country),OR(sel_Channel="All",E240=sel_Channel),OR(sel_Customer="All",F240=sel_Customer),OR(sel_Category="All",G240=sel_Category),OR(sel_Product="All",H240=sel_Product)),1,0)</f>
        <v/>
      </c>
    </row>
    <row r="241">
      <c r="A241" s="36" t="inlineStr">
        <is>
          <t>04390</t>
        </is>
      </c>
      <c r="B241" s="44" t="n">
        <v>46073</v>
      </c>
      <c r="C241" s="36" t="inlineStr">
        <is>
          <t>Northern Europe</t>
        </is>
      </c>
      <c r="D241" s="36" t="inlineStr">
        <is>
          <t>Norway</t>
        </is>
      </c>
      <c r="E241" s="36" t="inlineStr">
        <is>
          <t>Online Store</t>
        </is>
      </c>
      <c r="F241" s="36" t="inlineStr">
        <is>
          <t>Returning</t>
        </is>
      </c>
      <c r="G241" s="36" t="inlineStr">
        <is>
          <t>Cycling</t>
        </is>
      </c>
      <c r="H241" s="36" t="inlineStr">
        <is>
          <t>Commuter Helmet</t>
        </is>
      </c>
      <c r="I241" s="36" t="n">
        <v>1</v>
      </c>
      <c r="J241" s="39" t="n">
        <v>82.86</v>
      </c>
      <c r="K241" s="45" t="n">
        <v>0.05</v>
      </c>
      <c r="L241" s="39" t="n">
        <v>42.3</v>
      </c>
      <c r="M241" s="39">
        <f>I241*J241*(1-K241)</f>
        <v/>
      </c>
      <c r="N241" s="39">
        <f>I241*L241</f>
        <v/>
      </c>
      <c r="O241" s="39">
        <f>M241-N241</f>
        <v/>
      </c>
      <c r="P241" s="38">
        <f>IF(M241=0,0,O241/M241)</f>
        <v/>
      </c>
      <c r="Q241" s="36">
        <f>YEAR(B241)</f>
        <v/>
      </c>
      <c r="R241" s="36">
        <f>"Q"&amp;ROUNDUP(MONTH(B241)/3,0)</f>
        <v/>
      </c>
      <c r="S241" s="36">
        <f>MONTH(B241)</f>
        <v/>
      </c>
      <c r="T241" s="36">
        <f>TEXT(B241,"mmm")</f>
        <v/>
      </c>
      <c r="U241" s="36">
        <f>IF(AND(OR(sel_Region="All",C241=sel_Region),OR(sel_Country="All",D241=sel_Country),OR(sel_Channel="All",E241=sel_Channel),OR(sel_Customer="All",F241=sel_Customer),OR(sel_Category="All",G241=sel_Category),OR(sel_Product="All",H241=sel_Product),AND(S241&gt;=m_From,S241&lt;=m_To)),1,0)</f>
        <v/>
      </c>
      <c r="V241" s="36">
        <f>IF(AND(OR(sel_Region="All",C241=sel_Region),OR(sel_Channel="All",E241=sel_Channel),OR(sel_Customer="All",F241=sel_Customer),OR(sel_Category="All",G241=sel_Category),OR(sel_Product="All",H241=sel_Product),AND(S241&gt;=m_From,S241&lt;=m_To)),1,0)</f>
        <v/>
      </c>
      <c r="W241" s="36">
        <f>IF(AND(OR(sel_Region="All",C241=sel_Region),OR(sel_Country="All",D241=sel_Country),OR(sel_Customer="All",F241=sel_Customer),OR(sel_Category="All",G241=sel_Category),OR(sel_Product="All",H241=sel_Product),AND(S241&gt;=m_From,S241&lt;=m_To)),1,0)</f>
        <v/>
      </c>
      <c r="X241" s="36">
        <f>IF(AND(OR(sel_Region="All",C241=sel_Region),OR(sel_Country="All",D241=sel_Country),OR(sel_Channel="All",E241=sel_Channel),OR(sel_Category="All",G241=sel_Category),OR(sel_Product="All",H241=sel_Product),AND(S241&gt;=m_From,S241&lt;=m_To)),1,0)</f>
        <v/>
      </c>
      <c r="Y241" s="36">
        <f>IF(AND(OR(sel_Region="All",C241=sel_Region),OR(sel_Country="All",D241=sel_Country),OR(sel_Channel="All",E241=sel_Channel),OR(sel_Customer="All",F241=sel_Customer),OR(sel_Product="All",H241=sel_Product),AND(S241&gt;=m_From,S241&lt;=m_To)),1,0)</f>
        <v/>
      </c>
      <c r="Z241" s="36">
        <f>IF(AND(OR(sel_Region="All",C241=sel_Region),OR(sel_Country="All",D241=sel_Country),OR(sel_Channel="All",E241=sel_Channel),OR(sel_Customer="All",F241=sel_Customer),OR(sel_Category="All",G241=sel_Category),AND(S241&gt;=m_From,S241&lt;=m_To)),1,0)</f>
        <v/>
      </c>
      <c r="AA241" s="36">
        <f>IF(AND(OR(sel_Region="All",C241=sel_Region),OR(sel_Country="All",D241=sel_Country),OR(sel_Channel="All",E241=sel_Channel),OR(sel_Customer="All",F241=sel_Customer),OR(sel_Category="All",G241=sel_Category),OR(sel_Product="All",H241=sel_Product)),1,0)</f>
        <v/>
      </c>
    </row>
    <row r="242">
      <c r="A242" s="36" t="inlineStr">
        <is>
          <t>01475</t>
        </is>
      </c>
      <c r="B242" s="44" t="n">
        <v>46074</v>
      </c>
      <c r="C242" s="36" t="inlineStr">
        <is>
          <t>Southern Europe</t>
        </is>
      </c>
      <c r="D242" s="36" t="inlineStr">
        <is>
          <t>Spain</t>
        </is>
      </c>
      <c r="E242" s="36" t="inlineStr">
        <is>
          <t>Retail Partners</t>
        </is>
      </c>
      <c r="F242" s="36" t="inlineStr">
        <is>
          <t>New</t>
        </is>
      </c>
      <c r="G242" s="36" t="inlineStr">
        <is>
          <t>Cycling</t>
        </is>
      </c>
      <c r="H242" s="36" t="inlineStr">
        <is>
          <t>Cycling Pack 12L</t>
        </is>
      </c>
      <c r="I242" s="36" t="n">
        <v>2</v>
      </c>
      <c r="J242" s="39" t="n">
        <v>103.03</v>
      </c>
      <c r="K242" s="45" t="n">
        <v>0.05</v>
      </c>
      <c r="L242" s="39" t="n">
        <v>50.73</v>
      </c>
      <c r="M242" s="39">
        <f>I242*J242*(1-K242)</f>
        <v/>
      </c>
      <c r="N242" s="39">
        <f>I242*L242</f>
        <v/>
      </c>
      <c r="O242" s="39">
        <f>M242-N242</f>
        <v/>
      </c>
      <c r="P242" s="38">
        <f>IF(M242=0,0,O242/M242)</f>
        <v/>
      </c>
      <c r="Q242" s="36">
        <f>YEAR(B242)</f>
        <v/>
      </c>
      <c r="R242" s="36">
        <f>"Q"&amp;ROUNDUP(MONTH(B242)/3,0)</f>
        <v/>
      </c>
      <c r="S242" s="36">
        <f>MONTH(B242)</f>
        <v/>
      </c>
      <c r="T242" s="36">
        <f>TEXT(B242,"mmm")</f>
        <v/>
      </c>
      <c r="U242" s="36">
        <f>IF(AND(OR(sel_Region="All",C242=sel_Region),OR(sel_Country="All",D242=sel_Country),OR(sel_Channel="All",E242=sel_Channel),OR(sel_Customer="All",F242=sel_Customer),OR(sel_Category="All",G242=sel_Category),OR(sel_Product="All",H242=sel_Product),AND(S242&gt;=m_From,S242&lt;=m_To)),1,0)</f>
        <v/>
      </c>
      <c r="V242" s="36">
        <f>IF(AND(OR(sel_Region="All",C242=sel_Region),OR(sel_Channel="All",E242=sel_Channel),OR(sel_Customer="All",F242=sel_Customer),OR(sel_Category="All",G242=sel_Category),OR(sel_Product="All",H242=sel_Product),AND(S242&gt;=m_From,S242&lt;=m_To)),1,0)</f>
        <v/>
      </c>
      <c r="W242" s="36">
        <f>IF(AND(OR(sel_Region="All",C242=sel_Region),OR(sel_Country="All",D242=sel_Country),OR(sel_Customer="All",F242=sel_Customer),OR(sel_Category="All",G242=sel_Category),OR(sel_Product="All",H242=sel_Product),AND(S242&gt;=m_From,S242&lt;=m_To)),1,0)</f>
        <v/>
      </c>
      <c r="X242" s="36">
        <f>IF(AND(OR(sel_Region="All",C242=sel_Region),OR(sel_Country="All",D242=sel_Country),OR(sel_Channel="All",E242=sel_Channel),OR(sel_Category="All",G242=sel_Category),OR(sel_Product="All",H242=sel_Product),AND(S242&gt;=m_From,S242&lt;=m_To)),1,0)</f>
        <v/>
      </c>
      <c r="Y242" s="36">
        <f>IF(AND(OR(sel_Region="All",C242=sel_Region),OR(sel_Country="All",D242=sel_Country),OR(sel_Channel="All",E242=sel_Channel),OR(sel_Customer="All",F242=sel_Customer),OR(sel_Product="All",H242=sel_Product),AND(S242&gt;=m_From,S242&lt;=m_To)),1,0)</f>
        <v/>
      </c>
      <c r="Z242" s="36">
        <f>IF(AND(OR(sel_Region="All",C242=sel_Region),OR(sel_Country="All",D242=sel_Country),OR(sel_Channel="All",E242=sel_Channel),OR(sel_Customer="All",F242=sel_Customer),OR(sel_Category="All",G242=sel_Category),AND(S242&gt;=m_From,S242&lt;=m_To)),1,0)</f>
        <v/>
      </c>
      <c r="AA242" s="36">
        <f>IF(AND(OR(sel_Region="All",C242=sel_Region),OR(sel_Country="All",D242=sel_Country),OR(sel_Channel="All",E242=sel_Channel),OR(sel_Customer="All",F242=sel_Customer),OR(sel_Category="All",G242=sel_Category),OR(sel_Product="All",H242=sel_Product)),1,0)</f>
        <v/>
      </c>
    </row>
    <row r="243">
      <c r="A243" s="36" t="inlineStr">
        <is>
          <t>03504</t>
        </is>
      </c>
      <c r="B243" s="44" t="n">
        <v>46074</v>
      </c>
      <c r="C243" s="36" t="inlineStr">
        <is>
          <t>Central Europe</t>
        </is>
      </c>
      <c r="D243" s="36" t="inlineStr">
        <is>
          <t>Poland</t>
        </is>
      </c>
      <c r="E243" s="36" t="inlineStr">
        <is>
          <t>Online Store</t>
        </is>
      </c>
      <c r="F243" s="36" t="inlineStr">
        <is>
          <t>Business</t>
        </is>
      </c>
      <c r="G243" s="36" t="inlineStr">
        <is>
          <t>Travel</t>
        </is>
      </c>
      <c r="H243" s="36" t="inlineStr">
        <is>
          <t>Insulated Bottle</t>
        </is>
      </c>
      <c r="I243" s="36" t="n">
        <v>1</v>
      </c>
      <c r="J243" s="39" t="n">
        <v>36.39</v>
      </c>
      <c r="K243" s="45" t="n">
        <v>0</v>
      </c>
      <c r="L243" s="39" t="n">
        <v>13.49</v>
      </c>
      <c r="M243" s="39">
        <f>I243*J243*(1-K243)</f>
        <v/>
      </c>
      <c r="N243" s="39">
        <f>I243*L243</f>
        <v/>
      </c>
      <c r="O243" s="39">
        <f>M243-N243</f>
        <v/>
      </c>
      <c r="P243" s="38">
        <f>IF(M243=0,0,O243/M243)</f>
        <v/>
      </c>
      <c r="Q243" s="36">
        <f>YEAR(B243)</f>
        <v/>
      </c>
      <c r="R243" s="36">
        <f>"Q"&amp;ROUNDUP(MONTH(B243)/3,0)</f>
        <v/>
      </c>
      <c r="S243" s="36">
        <f>MONTH(B243)</f>
        <v/>
      </c>
      <c r="T243" s="36">
        <f>TEXT(B243,"mmm")</f>
        <v/>
      </c>
      <c r="U243" s="36">
        <f>IF(AND(OR(sel_Region="All",C243=sel_Region),OR(sel_Country="All",D243=sel_Country),OR(sel_Channel="All",E243=sel_Channel),OR(sel_Customer="All",F243=sel_Customer),OR(sel_Category="All",G243=sel_Category),OR(sel_Product="All",H243=sel_Product),AND(S243&gt;=m_From,S243&lt;=m_To)),1,0)</f>
        <v/>
      </c>
      <c r="V243" s="36">
        <f>IF(AND(OR(sel_Region="All",C243=sel_Region),OR(sel_Channel="All",E243=sel_Channel),OR(sel_Customer="All",F243=sel_Customer),OR(sel_Category="All",G243=sel_Category),OR(sel_Product="All",H243=sel_Product),AND(S243&gt;=m_From,S243&lt;=m_To)),1,0)</f>
        <v/>
      </c>
      <c r="W243" s="36">
        <f>IF(AND(OR(sel_Region="All",C243=sel_Region),OR(sel_Country="All",D243=sel_Country),OR(sel_Customer="All",F243=sel_Customer),OR(sel_Category="All",G243=sel_Category),OR(sel_Product="All",H243=sel_Product),AND(S243&gt;=m_From,S243&lt;=m_To)),1,0)</f>
        <v/>
      </c>
      <c r="X243" s="36">
        <f>IF(AND(OR(sel_Region="All",C243=sel_Region),OR(sel_Country="All",D243=sel_Country),OR(sel_Channel="All",E243=sel_Channel),OR(sel_Category="All",G243=sel_Category),OR(sel_Product="All",H243=sel_Product),AND(S243&gt;=m_From,S243&lt;=m_To)),1,0)</f>
        <v/>
      </c>
      <c r="Y243" s="36">
        <f>IF(AND(OR(sel_Region="All",C243=sel_Region),OR(sel_Country="All",D243=sel_Country),OR(sel_Channel="All",E243=sel_Channel),OR(sel_Customer="All",F243=sel_Customer),OR(sel_Product="All",H243=sel_Product),AND(S243&gt;=m_From,S243&lt;=m_To)),1,0)</f>
        <v/>
      </c>
      <c r="Z243" s="36">
        <f>IF(AND(OR(sel_Region="All",C243=sel_Region),OR(sel_Country="All",D243=sel_Country),OR(sel_Channel="All",E243=sel_Channel),OR(sel_Customer="All",F243=sel_Customer),OR(sel_Category="All",G243=sel_Category),AND(S243&gt;=m_From,S243&lt;=m_To)),1,0)</f>
        <v/>
      </c>
      <c r="AA243" s="36">
        <f>IF(AND(OR(sel_Region="All",C243=sel_Region),OR(sel_Country="All",D243=sel_Country),OR(sel_Channel="All",E243=sel_Channel),OR(sel_Customer="All",F243=sel_Customer),OR(sel_Category="All",G243=sel_Category),OR(sel_Product="All",H243=sel_Product)),1,0)</f>
        <v/>
      </c>
    </row>
    <row r="244">
      <c r="A244" s="36" t="inlineStr">
        <is>
          <t>01649</t>
        </is>
      </c>
      <c r="B244" s="44" t="n">
        <v>46075</v>
      </c>
      <c r="C244" s="36" t="inlineStr">
        <is>
          <t>Northern Europe</t>
        </is>
      </c>
      <c r="D244" s="36" t="inlineStr">
        <is>
          <t>Denmark</t>
        </is>
      </c>
      <c r="E244" s="36" t="inlineStr">
        <is>
          <t>Online Store</t>
        </is>
      </c>
      <c r="F244" s="36" t="inlineStr">
        <is>
          <t>Returning</t>
        </is>
      </c>
      <c r="G244" s="36" t="inlineStr">
        <is>
          <t>Camping</t>
        </is>
      </c>
      <c r="H244" s="36" t="inlineStr">
        <is>
          <t>Compact Sleeping Bag</t>
        </is>
      </c>
      <c r="I244" s="36" t="n">
        <v>1</v>
      </c>
      <c r="J244" s="39" t="n">
        <v>124.93</v>
      </c>
      <c r="K244" s="45" t="n">
        <v>0.1</v>
      </c>
      <c r="L244" s="39" t="n">
        <v>59.74</v>
      </c>
      <c r="M244" s="39">
        <f>I244*J244*(1-K244)</f>
        <v/>
      </c>
      <c r="N244" s="39">
        <f>I244*L244</f>
        <v/>
      </c>
      <c r="O244" s="39">
        <f>M244-N244</f>
        <v/>
      </c>
      <c r="P244" s="38">
        <f>IF(M244=0,0,O244/M244)</f>
        <v/>
      </c>
      <c r="Q244" s="36">
        <f>YEAR(B244)</f>
        <v/>
      </c>
      <c r="R244" s="36">
        <f>"Q"&amp;ROUNDUP(MONTH(B244)/3,0)</f>
        <v/>
      </c>
      <c r="S244" s="36">
        <f>MONTH(B244)</f>
        <v/>
      </c>
      <c r="T244" s="36">
        <f>TEXT(B244,"mmm")</f>
        <v/>
      </c>
      <c r="U244" s="36">
        <f>IF(AND(OR(sel_Region="All",C244=sel_Region),OR(sel_Country="All",D244=sel_Country),OR(sel_Channel="All",E244=sel_Channel),OR(sel_Customer="All",F244=sel_Customer),OR(sel_Category="All",G244=sel_Category),OR(sel_Product="All",H244=sel_Product),AND(S244&gt;=m_From,S244&lt;=m_To)),1,0)</f>
        <v/>
      </c>
      <c r="V244" s="36">
        <f>IF(AND(OR(sel_Region="All",C244=sel_Region),OR(sel_Channel="All",E244=sel_Channel),OR(sel_Customer="All",F244=sel_Customer),OR(sel_Category="All",G244=sel_Category),OR(sel_Product="All",H244=sel_Product),AND(S244&gt;=m_From,S244&lt;=m_To)),1,0)</f>
        <v/>
      </c>
      <c r="W244" s="36">
        <f>IF(AND(OR(sel_Region="All",C244=sel_Region),OR(sel_Country="All",D244=sel_Country),OR(sel_Customer="All",F244=sel_Customer),OR(sel_Category="All",G244=sel_Category),OR(sel_Product="All",H244=sel_Product),AND(S244&gt;=m_From,S244&lt;=m_To)),1,0)</f>
        <v/>
      </c>
      <c r="X244" s="36">
        <f>IF(AND(OR(sel_Region="All",C244=sel_Region),OR(sel_Country="All",D244=sel_Country),OR(sel_Channel="All",E244=sel_Channel),OR(sel_Category="All",G244=sel_Category),OR(sel_Product="All",H244=sel_Product),AND(S244&gt;=m_From,S244&lt;=m_To)),1,0)</f>
        <v/>
      </c>
      <c r="Y244" s="36">
        <f>IF(AND(OR(sel_Region="All",C244=sel_Region),OR(sel_Country="All",D244=sel_Country),OR(sel_Channel="All",E244=sel_Channel),OR(sel_Customer="All",F244=sel_Customer),OR(sel_Product="All",H244=sel_Product),AND(S244&gt;=m_From,S244&lt;=m_To)),1,0)</f>
        <v/>
      </c>
      <c r="Z244" s="36">
        <f>IF(AND(OR(sel_Region="All",C244=sel_Region),OR(sel_Country="All",D244=sel_Country),OR(sel_Channel="All",E244=sel_Channel),OR(sel_Customer="All",F244=sel_Customer),OR(sel_Category="All",G244=sel_Category),AND(S244&gt;=m_From,S244&lt;=m_To)),1,0)</f>
        <v/>
      </c>
      <c r="AA244" s="36">
        <f>IF(AND(OR(sel_Region="All",C244=sel_Region),OR(sel_Country="All",D244=sel_Country),OR(sel_Channel="All",E244=sel_Channel),OR(sel_Customer="All",F244=sel_Customer),OR(sel_Category="All",G244=sel_Category),OR(sel_Product="All",H244=sel_Product)),1,0)</f>
        <v/>
      </c>
    </row>
    <row r="245">
      <c r="A245" s="36" t="inlineStr">
        <is>
          <t>02170</t>
        </is>
      </c>
      <c r="B245" s="44" t="n">
        <v>46075</v>
      </c>
      <c r="C245" s="36" t="inlineStr">
        <is>
          <t>Central Europe</t>
        </is>
      </c>
      <c r="D245" s="36" t="inlineStr">
        <is>
          <t>Switzerland</t>
        </is>
      </c>
      <c r="E245" s="36" t="inlineStr">
        <is>
          <t>Marketplace</t>
        </is>
      </c>
      <c r="F245" s="36" t="inlineStr">
        <is>
          <t>Returning</t>
        </is>
      </c>
      <c r="G245" s="36" t="inlineStr">
        <is>
          <t>Cycling</t>
        </is>
      </c>
      <c r="H245" s="36" t="inlineStr">
        <is>
          <t>Cycling Pack 12L</t>
        </is>
      </c>
      <c r="I245" s="36" t="n">
        <v>1</v>
      </c>
      <c r="J245" s="39" t="n">
        <v>101.19</v>
      </c>
      <c r="K245" s="45" t="n">
        <v>0.05</v>
      </c>
      <c r="L245" s="39" t="n">
        <v>49.14</v>
      </c>
      <c r="M245" s="39">
        <f>I245*J245*(1-K245)</f>
        <v/>
      </c>
      <c r="N245" s="39">
        <f>I245*L245</f>
        <v/>
      </c>
      <c r="O245" s="39">
        <f>M245-N245</f>
        <v/>
      </c>
      <c r="P245" s="38">
        <f>IF(M245=0,0,O245/M245)</f>
        <v/>
      </c>
      <c r="Q245" s="36">
        <f>YEAR(B245)</f>
        <v/>
      </c>
      <c r="R245" s="36">
        <f>"Q"&amp;ROUNDUP(MONTH(B245)/3,0)</f>
        <v/>
      </c>
      <c r="S245" s="36">
        <f>MONTH(B245)</f>
        <v/>
      </c>
      <c r="T245" s="36">
        <f>TEXT(B245,"mmm")</f>
        <v/>
      </c>
      <c r="U245" s="36">
        <f>IF(AND(OR(sel_Region="All",C245=sel_Region),OR(sel_Country="All",D245=sel_Country),OR(sel_Channel="All",E245=sel_Channel),OR(sel_Customer="All",F245=sel_Customer),OR(sel_Category="All",G245=sel_Category),OR(sel_Product="All",H245=sel_Product),AND(S245&gt;=m_From,S245&lt;=m_To)),1,0)</f>
        <v/>
      </c>
      <c r="V245" s="36">
        <f>IF(AND(OR(sel_Region="All",C245=sel_Region),OR(sel_Channel="All",E245=sel_Channel),OR(sel_Customer="All",F245=sel_Customer),OR(sel_Category="All",G245=sel_Category),OR(sel_Product="All",H245=sel_Product),AND(S245&gt;=m_From,S245&lt;=m_To)),1,0)</f>
        <v/>
      </c>
      <c r="W245" s="36">
        <f>IF(AND(OR(sel_Region="All",C245=sel_Region),OR(sel_Country="All",D245=sel_Country),OR(sel_Customer="All",F245=sel_Customer),OR(sel_Category="All",G245=sel_Category),OR(sel_Product="All",H245=sel_Product),AND(S245&gt;=m_From,S245&lt;=m_To)),1,0)</f>
        <v/>
      </c>
      <c r="X245" s="36">
        <f>IF(AND(OR(sel_Region="All",C245=sel_Region),OR(sel_Country="All",D245=sel_Country),OR(sel_Channel="All",E245=sel_Channel),OR(sel_Category="All",G245=sel_Category),OR(sel_Product="All",H245=sel_Product),AND(S245&gt;=m_From,S245&lt;=m_To)),1,0)</f>
        <v/>
      </c>
      <c r="Y245" s="36">
        <f>IF(AND(OR(sel_Region="All",C245=sel_Region),OR(sel_Country="All",D245=sel_Country),OR(sel_Channel="All",E245=sel_Channel),OR(sel_Customer="All",F245=sel_Customer),OR(sel_Product="All",H245=sel_Product),AND(S245&gt;=m_From,S245&lt;=m_To)),1,0)</f>
        <v/>
      </c>
      <c r="Z245" s="36">
        <f>IF(AND(OR(sel_Region="All",C245=sel_Region),OR(sel_Country="All",D245=sel_Country),OR(sel_Channel="All",E245=sel_Channel),OR(sel_Customer="All",F245=sel_Customer),OR(sel_Category="All",G245=sel_Category),AND(S245&gt;=m_From,S245&lt;=m_To)),1,0)</f>
        <v/>
      </c>
      <c r="AA245" s="36">
        <f>IF(AND(OR(sel_Region="All",C245=sel_Region),OR(sel_Country="All",D245=sel_Country),OR(sel_Channel="All",E245=sel_Channel),OR(sel_Customer="All",F245=sel_Customer),OR(sel_Category="All",G245=sel_Category),OR(sel_Product="All",H245=sel_Product)),1,0)</f>
        <v/>
      </c>
    </row>
    <row r="246">
      <c r="A246" s="36" t="inlineStr">
        <is>
          <t>03402</t>
        </is>
      </c>
      <c r="B246" s="44" t="n">
        <v>46075</v>
      </c>
      <c r="C246" s="36" t="inlineStr">
        <is>
          <t>Western Europe</t>
        </is>
      </c>
      <c r="D246" s="36" t="inlineStr">
        <is>
          <t>United Kingdom</t>
        </is>
      </c>
      <c r="E246" s="36" t="inlineStr">
        <is>
          <t>Online Store</t>
        </is>
      </c>
      <c r="F246" s="36" t="inlineStr">
        <is>
          <t>Returning</t>
        </is>
      </c>
      <c r="G246" s="36" t="inlineStr">
        <is>
          <t>Fitness</t>
        </is>
      </c>
      <c r="H246" s="36" t="inlineStr">
        <is>
          <t>Training Mat</t>
        </is>
      </c>
      <c r="I246" s="36" t="n">
        <v>2</v>
      </c>
      <c r="J246" s="39" t="n">
        <v>51.2</v>
      </c>
      <c r="K246" s="45" t="n">
        <v>0</v>
      </c>
      <c r="L246" s="39" t="n">
        <v>21.38</v>
      </c>
      <c r="M246" s="39">
        <f>I246*J246*(1-K246)</f>
        <v/>
      </c>
      <c r="N246" s="39">
        <f>I246*L246</f>
        <v/>
      </c>
      <c r="O246" s="39">
        <f>M246-N246</f>
        <v/>
      </c>
      <c r="P246" s="38">
        <f>IF(M246=0,0,O246/M246)</f>
        <v/>
      </c>
      <c r="Q246" s="36">
        <f>YEAR(B246)</f>
        <v/>
      </c>
      <c r="R246" s="36">
        <f>"Q"&amp;ROUNDUP(MONTH(B246)/3,0)</f>
        <v/>
      </c>
      <c r="S246" s="36">
        <f>MONTH(B246)</f>
        <v/>
      </c>
      <c r="T246" s="36">
        <f>TEXT(B246,"mmm")</f>
        <v/>
      </c>
      <c r="U246" s="36">
        <f>IF(AND(OR(sel_Region="All",C246=sel_Region),OR(sel_Country="All",D246=sel_Country),OR(sel_Channel="All",E246=sel_Channel),OR(sel_Customer="All",F246=sel_Customer),OR(sel_Category="All",G246=sel_Category),OR(sel_Product="All",H246=sel_Product),AND(S246&gt;=m_From,S246&lt;=m_To)),1,0)</f>
        <v/>
      </c>
      <c r="V246" s="36">
        <f>IF(AND(OR(sel_Region="All",C246=sel_Region),OR(sel_Channel="All",E246=sel_Channel),OR(sel_Customer="All",F246=sel_Customer),OR(sel_Category="All",G246=sel_Category),OR(sel_Product="All",H246=sel_Product),AND(S246&gt;=m_From,S246&lt;=m_To)),1,0)</f>
        <v/>
      </c>
      <c r="W246" s="36">
        <f>IF(AND(OR(sel_Region="All",C246=sel_Region),OR(sel_Country="All",D246=sel_Country),OR(sel_Customer="All",F246=sel_Customer),OR(sel_Category="All",G246=sel_Category),OR(sel_Product="All",H246=sel_Product),AND(S246&gt;=m_From,S246&lt;=m_To)),1,0)</f>
        <v/>
      </c>
      <c r="X246" s="36">
        <f>IF(AND(OR(sel_Region="All",C246=sel_Region),OR(sel_Country="All",D246=sel_Country),OR(sel_Channel="All",E246=sel_Channel),OR(sel_Category="All",G246=sel_Category),OR(sel_Product="All",H246=sel_Product),AND(S246&gt;=m_From,S246&lt;=m_To)),1,0)</f>
        <v/>
      </c>
      <c r="Y246" s="36">
        <f>IF(AND(OR(sel_Region="All",C246=sel_Region),OR(sel_Country="All",D246=sel_Country),OR(sel_Channel="All",E246=sel_Channel),OR(sel_Customer="All",F246=sel_Customer),OR(sel_Product="All",H246=sel_Product),AND(S246&gt;=m_From,S246&lt;=m_To)),1,0)</f>
        <v/>
      </c>
      <c r="Z246" s="36">
        <f>IF(AND(OR(sel_Region="All",C246=sel_Region),OR(sel_Country="All",D246=sel_Country),OR(sel_Channel="All",E246=sel_Channel),OR(sel_Customer="All",F246=sel_Customer),OR(sel_Category="All",G246=sel_Category),AND(S246&gt;=m_From,S246&lt;=m_To)),1,0)</f>
        <v/>
      </c>
      <c r="AA246" s="36">
        <f>IF(AND(OR(sel_Region="All",C246=sel_Region),OR(sel_Country="All",D246=sel_Country),OR(sel_Channel="All",E246=sel_Channel),OR(sel_Customer="All",F246=sel_Customer),OR(sel_Category="All",G246=sel_Category),OR(sel_Product="All",H246=sel_Product)),1,0)</f>
        <v/>
      </c>
    </row>
    <row r="247">
      <c r="A247" s="36" t="inlineStr">
        <is>
          <t>03773</t>
        </is>
      </c>
      <c r="B247" s="44" t="n">
        <v>46075</v>
      </c>
      <c r="C247" s="36" t="inlineStr">
        <is>
          <t>Western Europe</t>
        </is>
      </c>
      <c r="D247" s="36" t="inlineStr">
        <is>
          <t>Belgium</t>
        </is>
      </c>
      <c r="E247" s="36" t="inlineStr">
        <is>
          <t>Online Store</t>
        </is>
      </c>
      <c r="F247" s="36" t="inlineStr">
        <is>
          <t>Returning</t>
        </is>
      </c>
      <c r="G247" s="36" t="inlineStr">
        <is>
          <t>Camping</t>
        </is>
      </c>
      <c r="H247" s="36" t="inlineStr">
        <is>
          <t>Portable Camp Stove</t>
        </is>
      </c>
      <c r="I247" s="36" t="n">
        <v>1</v>
      </c>
      <c r="J247" s="39" t="n">
        <v>81.81</v>
      </c>
      <c r="K247" s="45" t="n">
        <v>0</v>
      </c>
      <c r="L247" s="39" t="n">
        <v>40.32</v>
      </c>
      <c r="M247" s="39">
        <f>I247*J247*(1-K247)</f>
        <v/>
      </c>
      <c r="N247" s="39">
        <f>I247*L247</f>
        <v/>
      </c>
      <c r="O247" s="39">
        <f>M247-N247</f>
        <v/>
      </c>
      <c r="P247" s="38">
        <f>IF(M247=0,0,O247/M247)</f>
        <v/>
      </c>
      <c r="Q247" s="36">
        <f>YEAR(B247)</f>
        <v/>
      </c>
      <c r="R247" s="36">
        <f>"Q"&amp;ROUNDUP(MONTH(B247)/3,0)</f>
        <v/>
      </c>
      <c r="S247" s="36">
        <f>MONTH(B247)</f>
        <v/>
      </c>
      <c r="T247" s="36">
        <f>TEXT(B247,"mmm")</f>
        <v/>
      </c>
      <c r="U247" s="36">
        <f>IF(AND(OR(sel_Region="All",C247=sel_Region),OR(sel_Country="All",D247=sel_Country),OR(sel_Channel="All",E247=sel_Channel),OR(sel_Customer="All",F247=sel_Customer),OR(sel_Category="All",G247=sel_Category),OR(sel_Product="All",H247=sel_Product),AND(S247&gt;=m_From,S247&lt;=m_To)),1,0)</f>
        <v/>
      </c>
      <c r="V247" s="36">
        <f>IF(AND(OR(sel_Region="All",C247=sel_Region),OR(sel_Channel="All",E247=sel_Channel),OR(sel_Customer="All",F247=sel_Customer),OR(sel_Category="All",G247=sel_Category),OR(sel_Product="All",H247=sel_Product),AND(S247&gt;=m_From,S247&lt;=m_To)),1,0)</f>
        <v/>
      </c>
      <c r="W247" s="36">
        <f>IF(AND(OR(sel_Region="All",C247=sel_Region),OR(sel_Country="All",D247=sel_Country),OR(sel_Customer="All",F247=sel_Customer),OR(sel_Category="All",G247=sel_Category),OR(sel_Product="All",H247=sel_Product),AND(S247&gt;=m_From,S247&lt;=m_To)),1,0)</f>
        <v/>
      </c>
      <c r="X247" s="36">
        <f>IF(AND(OR(sel_Region="All",C247=sel_Region),OR(sel_Country="All",D247=sel_Country),OR(sel_Channel="All",E247=sel_Channel),OR(sel_Category="All",G247=sel_Category),OR(sel_Product="All",H247=sel_Product),AND(S247&gt;=m_From,S247&lt;=m_To)),1,0)</f>
        <v/>
      </c>
      <c r="Y247" s="36">
        <f>IF(AND(OR(sel_Region="All",C247=sel_Region),OR(sel_Country="All",D247=sel_Country),OR(sel_Channel="All",E247=sel_Channel),OR(sel_Customer="All",F247=sel_Customer),OR(sel_Product="All",H247=sel_Product),AND(S247&gt;=m_From,S247&lt;=m_To)),1,0)</f>
        <v/>
      </c>
      <c r="Z247" s="36">
        <f>IF(AND(OR(sel_Region="All",C247=sel_Region),OR(sel_Country="All",D247=sel_Country),OR(sel_Channel="All",E247=sel_Channel),OR(sel_Customer="All",F247=sel_Customer),OR(sel_Category="All",G247=sel_Category),AND(S247&gt;=m_From,S247&lt;=m_To)),1,0)</f>
        <v/>
      </c>
      <c r="AA247" s="36">
        <f>IF(AND(OR(sel_Region="All",C247=sel_Region),OR(sel_Country="All",D247=sel_Country),OR(sel_Channel="All",E247=sel_Channel),OR(sel_Customer="All",F247=sel_Customer),OR(sel_Category="All",G247=sel_Category),OR(sel_Product="All",H247=sel_Product)),1,0)</f>
        <v/>
      </c>
    </row>
    <row r="248">
      <c r="A248" s="36" t="inlineStr">
        <is>
          <t>04670</t>
        </is>
      </c>
      <c r="B248" s="44" t="n">
        <v>46075</v>
      </c>
      <c r="C248" s="36" t="inlineStr">
        <is>
          <t>Southern Europe</t>
        </is>
      </c>
      <c r="D248" s="36" t="inlineStr">
        <is>
          <t>Italy</t>
        </is>
      </c>
      <c r="E248" s="36" t="inlineStr">
        <is>
          <t>Retail Partners</t>
        </is>
      </c>
      <c r="F248" s="36" t="inlineStr">
        <is>
          <t>Business</t>
        </is>
      </c>
      <c r="G248" s="36" t="inlineStr">
        <is>
          <t>Hiking</t>
        </is>
      </c>
      <c r="H248" s="36" t="inlineStr">
        <is>
          <t>Summit Backpack 45L</t>
        </is>
      </c>
      <c r="I248" s="36" t="n">
        <v>1</v>
      </c>
      <c r="J248" s="39" t="n">
        <v>152.96</v>
      </c>
      <c r="K248" s="45" t="n">
        <v>0</v>
      </c>
      <c r="L248" s="39" t="n">
        <v>79.51000000000001</v>
      </c>
      <c r="M248" s="39">
        <f>I248*J248*(1-K248)</f>
        <v/>
      </c>
      <c r="N248" s="39">
        <f>I248*L248</f>
        <v/>
      </c>
      <c r="O248" s="39">
        <f>M248-N248</f>
        <v/>
      </c>
      <c r="P248" s="38">
        <f>IF(M248=0,0,O248/M248)</f>
        <v/>
      </c>
      <c r="Q248" s="36">
        <f>YEAR(B248)</f>
        <v/>
      </c>
      <c r="R248" s="36">
        <f>"Q"&amp;ROUNDUP(MONTH(B248)/3,0)</f>
        <v/>
      </c>
      <c r="S248" s="36">
        <f>MONTH(B248)</f>
        <v/>
      </c>
      <c r="T248" s="36">
        <f>TEXT(B248,"mmm")</f>
        <v/>
      </c>
      <c r="U248" s="36">
        <f>IF(AND(OR(sel_Region="All",C248=sel_Region),OR(sel_Country="All",D248=sel_Country),OR(sel_Channel="All",E248=sel_Channel),OR(sel_Customer="All",F248=sel_Customer),OR(sel_Category="All",G248=sel_Category),OR(sel_Product="All",H248=sel_Product),AND(S248&gt;=m_From,S248&lt;=m_To)),1,0)</f>
        <v/>
      </c>
      <c r="V248" s="36">
        <f>IF(AND(OR(sel_Region="All",C248=sel_Region),OR(sel_Channel="All",E248=sel_Channel),OR(sel_Customer="All",F248=sel_Customer),OR(sel_Category="All",G248=sel_Category),OR(sel_Product="All",H248=sel_Product),AND(S248&gt;=m_From,S248&lt;=m_To)),1,0)</f>
        <v/>
      </c>
      <c r="W248" s="36">
        <f>IF(AND(OR(sel_Region="All",C248=sel_Region),OR(sel_Country="All",D248=sel_Country),OR(sel_Customer="All",F248=sel_Customer),OR(sel_Category="All",G248=sel_Category),OR(sel_Product="All",H248=sel_Product),AND(S248&gt;=m_From,S248&lt;=m_To)),1,0)</f>
        <v/>
      </c>
      <c r="X248" s="36">
        <f>IF(AND(OR(sel_Region="All",C248=sel_Region),OR(sel_Country="All",D248=sel_Country),OR(sel_Channel="All",E248=sel_Channel),OR(sel_Category="All",G248=sel_Category),OR(sel_Product="All",H248=sel_Product),AND(S248&gt;=m_From,S248&lt;=m_To)),1,0)</f>
        <v/>
      </c>
      <c r="Y248" s="36">
        <f>IF(AND(OR(sel_Region="All",C248=sel_Region),OR(sel_Country="All",D248=sel_Country),OR(sel_Channel="All",E248=sel_Channel),OR(sel_Customer="All",F248=sel_Customer),OR(sel_Product="All",H248=sel_Product),AND(S248&gt;=m_From,S248&lt;=m_To)),1,0)</f>
        <v/>
      </c>
      <c r="Z248" s="36">
        <f>IF(AND(OR(sel_Region="All",C248=sel_Region),OR(sel_Country="All",D248=sel_Country),OR(sel_Channel="All",E248=sel_Channel),OR(sel_Customer="All",F248=sel_Customer),OR(sel_Category="All",G248=sel_Category),AND(S248&gt;=m_From,S248&lt;=m_To)),1,0)</f>
        <v/>
      </c>
      <c r="AA248" s="36">
        <f>IF(AND(OR(sel_Region="All",C248=sel_Region),OR(sel_Country="All",D248=sel_Country),OR(sel_Channel="All",E248=sel_Channel),OR(sel_Customer="All",F248=sel_Customer),OR(sel_Category="All",G248=sel_Category),OR(sel_Product="All",H248=sel_Product)),1,0)</f>
        <v/>
      </c>
    </row>
    <row r="249">
      <c r="A249" s="36" t="inlineStr">
        <is>
          <t>00587</t>
        </is>
      </c>
      <c r="B249" s="44" t="n">
        <v>46076</v>
      </c>
      <c r="C249" s="36" t="inlineStr">
        <is>
          <t>Western Europe</t>
        </is>
      </c>
      <c r="D249" s="36" t="inlineStr">
        <is>
          <t>Netherlands</t>
        </is>
      </c>
      <c r="E249" s="36" t="inlineStr">
        <is>
          <t>Marketplace</t>
        </is>
      </c>
      <c r="F249" s="36" t="inlineStr">
        <is>
          <t>Business</t>
        </is>
      </c>
      <c r="G249" s="36" t="inlineStr">
        <is>
          <t>Travel</t>
        </is>
      </c>
      <c r="H249" s="36" t="inlineStr">
        <is>
          <t>Travel Backpack 35L</t>
        </is>
      </c>
      <c r="I249" s="36" t="n">
        <v>1</v>
      </c>
      <c r="J249" s="39" t="n">
        <v>166.13</v>
      </c>
      <c r="K249" s="45" t="n">
        <v>0.05</v>
      </c>
      <c r="L249" s="39" t="n">
        <v>85.7</v>
      </c>
      <c r="M249" s="39">
        <f>I249*J249*(1-K249)</f>
        <v/>
      </c>
      <c r="N249" s="39">
        <f>I249*L249</f>
        <v/>
      </c>
      <c r="O249" s="39">
        <f>M249-N249</f>
        <v/>
      </c>
      <c r="P249" s="38">
        <f>IF(M249=0,0,O249/M249)</f>
        <v/>
      </c>
      <c r="Q249" s="36">
        <f>YEAR(B249)</f>
        <v/>
      </c>
      <c r="R249" s="36">
        <f>"Q"&amp;ROUNDUP(MONTH(B249)/3,0)</f>
        <v/>
      </c>
      <c r="S249" s="36">
        <f>MONTH(B249)</f>
        <v/>
      </c>
      <c r="T249" s="36">
        <f>TEXT(B249,"mmm")</f>
        <v/>
      </c>
      <c r="U249" s="36">
        <f>IF(AND(OR(sel_Region="All",C249=sel_Region),OR(sel_Country="All",D249=sel_Country),OR(sel_Channel="All",E249=sel_Channel),OR(sel_Customer="All",F249=sel_Customer),OR(sel_Category="All",G249=sel_Category),OR(sel_Product="All",H249=sel_Product),AND(S249&gt;=m_From,S249&lt;=m_To)),1,0)</f>
        <v/>
      </c>
      <c r="V249" s="36">
        <f>IF(AND(OR(sel_Region="All",C249=sel_Region),OR(sel_Channel="All",E249=sel_Channel),OR(sel_Customer="All",F249=sel_Customer),OR(sel_Category="All",G249=sel_Category),OR(sel_Product="All",H249=sel_Product),AND(S249&gt;=m_From,S249&lt;=m_To)),1,0)</f>
        <v/>
      </c>
      <c r="W249" s="36">
        <f>IF(AND(OR(sel_Region="All",C249=sel_Region),OR(sel_Country="All",D249=sel_Country),OR(sel_Customer="All",F249=sel_Customer),OR(sel_Category="All",G249=sel_Category),OR(sel_Product="All",H249=sel_Product),AND(S249&gt;=m_From,S249&lt;=m_To)),1,0)</f>
        <v/>
      </c>
      <c r="X249" s="36">
        <f>IF(AND(OR(sel_Region="All",C249=sel_Region),OR(sel_Country="All",D249=sel_Country),OR(sel_Channel="All",E249=sel_Channel),OR(sel_Category="All",G249=sel_Category),OR(sel_Product="All",H249=sel_Product),AND(S249&gt;=m_From,S249&lt;=m_To)),1,0)</f>
        <v/>
      </c>
      <c r="Y249" s="36">
        <f>IF(AND(OR(sel_Region="All",C249=sel_Region),OR(sel_Country="All",D249=sel_Country),OR(sel_Channel="All",E249=sel_Channel),OR(sel_Customer="All",F249=sel_Customer),OR(sel_Product="All",H249=sel_Product),AND(S249&gt;=m_From,S249&lt;=m_To)),1,0)</f>
        <v/>
      </c>
      <c r="Z249" s="36">
        <f>IF(AND(OR(sel_Region="All",C249=sel_Region),OR(sel_Country="All",D249=sel_Country),OR(sel_Channel="All",E249=sel_Channel),OR(sel_Customer="All",F249=sel_Customer),OR(sel_Category="All",G249=sel_Category),AND(S249&gt;=m_From,S249&lt;=m_To)),1,0)</f>
        <v/>
      </c>
      <c r="AA249" s="36">
        <f>IF(AND(OR(sel_Region="All",C249=sel_Region),OR(sel_Country="All",D249=sel_Country),OR(sel_Channel="All",E249=sel_Channel),OR(sel_Customer="All",F249=sel_Customer),OR(sel_Category="All",G249=sel_Category),OR(sel_Product="All",H249=sel_Product)),1,0)</f>
        <v/>
      </c>
    </row>
    <row r="250">
      <c r="A250" s="36" t="inlineStr">
        <is>
          <t>01085</t>
        </is>
      </c>
      <c r="B250" s="44" t="n">
        <v>46076</v>
      </c>
      <c r="C250" s="36" t="inlineStr">
        <is>
          <t>Southern Europe</t>
        </is>
      </c>
      <c r="D250" s="36" t="inlineStr">
        <is>
          <t>Italy</t>
        </is>
      </c>
      <c r="E250" s="36" t="inlineStr">
        <is>
          <t>Online Store</t>
        </is>
      </c>
      <c r="F250" s="36" t="inlineStr">
        <is>
          <t>New</t>
        </is>
      </c>
      <c r="G250" s="36" t="inlineStr">
        <is>
          <t>Camping</t>
        </is>
      </c>
      <c r="H250" s="36" t="inlineStr">
        <is>
          <t>Trail Tent 2P</t>
        </is>
      </c>
      <c r="I250" s="36" t="n">
        <v>3</v>
      </c>
      <c r="J250" s="39" t="n">
        <v>193.18</v>
      </c>
      <c r="K250" s="45" t="n">
        <v>0.05</v>
      </c>
      <c r="L250" s="39" t="n">
        <v>106.19</v>
      </c>
      <c r="M250" s="39">
        <f>I250*J250*(1-K250)</f>
        <v/>
      </c>
      <c r="N250" s="39">
        <f>I250*L250</f>
        <v/>
      </c>
      <c r="O250" s="39">
        <f>M250-N250</f>
        <v/>
      </c>
      <c r="P250" s="38">
        <f>IF(M250=0,0,O250/M250)</f>
        <v/>
      </c>
      <c r="Q250" s="36">
        <f>YEAR(B250)</f>
        <v/>
      </c>
      <c r="R250" s="36">
        <f>"Q"&amp;ROUNDUP(MONTH(B250)/3,0)</f>
        <v/>
      </c>
      <c r="S250" s="36">
        <f>MONTH(B250)</f>
        <v/>
      </c>
      <c r="T250" s="36">
        <f>TEXT(B250,"mmm")</f>
        <v/>
      </c>
      <c r="U250" s="36">
        <f>IF(AND(OR(sel_Region="All",C250=sel_Region),OR(sel_Country="All",D250=sel_Country),OR(sel_Channel="All",E250=sel_Channel),OR(sel_Customer="All",F250=sel_Customer),OR(sel_Category="All",G250=sel_Category),OR(sel_Product="All",H250=sel_Product),AND(S250&gt;=m_From,S250&lt;=m_To)),1,0)</f>
        <v/>
      </c>
      <c r="V250" s="36">
        <f>IF(AND(OR(sel_Region="All",C250=sel_Region),OR(sel_Channel="All",E250=sel_Channel),OR(sel_Customer="All",F250=sel_Customer),OR(sel_Category="All",G250=sel_Category),OR(sel_Product="All",H250=sel_Product),AND(S250&gt;=m_From,S250&lt;=m_To)),1,0)</f>
        <v/>
      </c>
      <c r="W250" s="36">
        <f>IF(AND(OR(sel_Region="All",C250=sel_Region),OR(sel_Country="All",D250=sel_Country),OR(sel_Customer="All",F250=sel_Customer),OR(sel_Category="All",G250=sel_Category),OR(sel_Product="All",H250=sel_Product),AND(S250&gt;=m_From,S250&lt;=m_To)),1,0)</f>
        <v/>
      </c>
      <c r="X250" s="36">
        <f>IF(AND(OR(sel_Region="All",C250=sel_Region),OR(sel_Country="All",D250=sel_Country),OR(sel_Channel="All",E250=sel_Channel),OR(sel_Category="All",G250=sel_Category),OR(sel_Product="All",H250=sel_Product),AND(S250&gt;=m_From,S250&lt;=m_To)),1,0)</f>
        <v/>
      </c>
      <c r="Y250" s="36">
        <f>IF(AND(OR(sel_Region="All",C250=sel_Region),OR(sel_Country="All",D250=sel_Country),OR(sel_Channel="All",E250=sel_Channel),OR(sel_Customer="All",F250=sel_Customer),OR(sel_Product="All",H250=sel_Product),AND(S250&gt;=m_From,S250&lt;=m_To)),1,0)</f>
        <v/>
      </c>
      <c r="Z250" s="36">
        <f>IF(AND(OR(sel_Region="All",C250=sel_Region),OR(sel_Country="All",D250=sel_Country),OR(sel_Channel="All",E250=sel_Channel),OR(sel_Customer="All",F250=sel_Customer),OR(sel_Category="All",G250=sel_Category),AND(S250&gt;=m_From,S250&lt;=m_To)),1,0)</f>
        <v/>
      </c>
      <c r="AA250" s="36">
        <f>IF(AND(OR(sel_Region="All",C250=sel_Region),OR(sel_Country="All",D250=sel_Country),OR(sel_Channel="All",E250=sel_Channel),OR(sel_Customer="All",F250=sel_Customer),OR(sel_Category="All",G250=sel_Category),OR(sel_Product="All",H250=sel_Product)),1,0)</f>
        <v/>
      </c>
    </row>
    <row r="251">
      <c r="A251" s="36" t="inlineStr">
        <is>
          <t>01635</t>
        </is>
      </c>
      <c r="B251" s="44" t="n">
        <v>46076</v>
      </c>
      <c r="C251" s="36" t="inlineStr">
        <is>
          <t>Northern Europe</t>
        </is>
      </c>
      <c r="D251" s="36" t="inlineStr">
        <is>
          <t>Finland</t>
        </is>
      </c>
      <c r="E251" s="36" t="inlineStr">
        <is>
          <t>Online Store</t>
        </is>
      </c>
      <c r="F251" s="36" t="inlineStr">
        <is>
          <t>Returning</t>
        </is>
      </c>
      <c r="G251" s="36" t="inlineStr">
        <is>
          <t>Cycling</t>
        </is>
      </c>
      <c r="H251" s="36" t="inlineStr">
        <is>
          <t>Commuter Helmet</t>
        </is>
      </c>
      <c r="I251" s="36" t="n">
        <v>1</v>
      </c>
      <c r="J251" s="39" t="n">
        <v>80.42</v>
      </c>
      <c r="K251" s="45" t="n">
        <v>0</v>
      </c>
      <c r="L251" s="39" t="n">
        <v>41.72</v>
      </c>
      <c r="M251" s="39">
        <f>I251*J251*(1-K251)</f>
        <v/>
      </c>
      <c r="N251" s="39">
        <f>I251*L251</f>
        <v/>
      </c>
      <c r="O251" s="39">
        <f>M251-N251</f>
        <v/>
      </c>
      <c r="P251" s="38">
        <f>IF(M251=0,0,O251/M251)</f>
        <v/>
      </c>
      <c r="Q251" s="36">
        <f>YEAR(B251)</f>
        <v/>
      </c>
      <c r="R251" s="36">
        <f>"Q"&amp;ROUNDUP(MONTH(B251)/3,0)</f>
        <v/>
      </c>
      <c r="S251" s="36">
        <f>MONTH(B251)</f>
        <v/>
      </c>
      <c r="T251" s="36">
        <f>TEXT(B251,"mmm")</f>
        <v/>
      </c>
      <c r="U251" s="36">
        <f>IF(AND(OR(sel_Region="All",C251=sel_Region),OR(sel_Country="All",D251=sel_Country),OR(sel_Channel="All",E251=sel_Channel),OR(sel_Customer="All",F251=sel_Customer),OR(sel_Category="All",G251=sel_Category),OR(sel_Product="All",H251=sel_Product),AND(S251&gt;=m_From,S251&lt;=m_To)),1,0)</f>
        <v/>
      </c>
      <c r="V251" s="36">
        <f>IF(AND(OR(sel_Region="All",C251=sel_Region),OR(sel_Channel="All",E251=sel_Channel),OR(sel_Customer="All",F251=sel_Customer),OR(sel_Category="All",G251=sel_Category),OR(sel_Product="All",H251=sel_Product),AND(S251&gt;=m_From,S251&lt;=m_To)),1,0)</f>
        <v/>
      </c>
      <c r="W251" s="36">
        <f>IF(AND(OR(sel_Region="All",C251=sel_Region),OR(sel_Country="All",D251=sel_Country),OR(sel_Customer="All",F251=sel_Customer),OR(sel_Category="All",G251=sel_Category),OR(sel_Product="All",H251=sel_Product),AND(S251&gt;=m_From,S251&lt;=m_To)),1,0)</f>
        <v/>
      </c>
      <c r="X251" s="36">
        <f>IF(AND(OR(sel_Region="All",C251=sel_Region),OR(sel_Country="All",D251=sel_Country),OR(sel_Channel="All",E251=sel_Channel),OR(sel_Category="All",G251=sel_Category),OR(sel_Product="All",H251=sel_Product),AND(S251&gt;=m_From,S251&lt;=m_To)),1,0)</f>
        <v/>
      </c>
      <c r="Y251" s="36">
        <f>IF(AND(OR(sel_Region="All",C251=sel_Region),OR(sel_Country="All",D251=sel_Country),OR(sel_Channel="All",E251=sel_Channel),OR(sel_Customer="All",F251=sel_Customer),OR(sel_Product="All",H251=sel_Product),AND(S251&gt;=m_From,S251&lt;=m_To)),1,0)</f>
        <v/>
      </c>
      <c r="Z251" s="36">
        <f>IF(AND(OR(sel_Region="All",C251=sel_Region),OR(sel_Country="All",D251=sel_Country),OR(sel_Channel="All",E251=sel_Channel),OR(sel_Customer="All",F251=sel_Customer),OR(sel_Category="All",G251=sel_Category),AND(S251&gt;=m_From,S251&lt;=m_To)),1,0)</f>
        <v/>
      </c>
      <c r="AA251" s="36">
        <f>IF(AND(OR(sel_Region="All",C251=sel_Region),OR(sel_Country="All",D251=sel_Country),OR(sel_Channel="All",E251=sel_Channel),OR(sel_Customer="All",F251=sel_Customer),OR(sel_Category="All",G251=sel_Category),OR(sel_Product="All",H251=sel_Product)),1,0)</f>
        <v/>
      </c>
    </row>
    <row r="252">
      <c r="A252" s="36" t="inlineStr">
        <is>
          <t>04067</t>
        </is>
      </c>
      <c r="B252" s="44" t="n">
        <v>46076</v>
      </c>
      <c r="C252" s="36" t="inlineStr">
        <is>
          <t>Western Europe</t>
        </is>
      </c>
      <c r="D252" s="36" t="inlineStr">
        <is>
          <t>France</t>
        </is>
      </c>
      <c r="E252" s="36" t="inlineStr">
        <is>
          <t>Online Store</t>
        </is>
      </c>
      <c r="F252" s="36" t="inlineStr">
        <is>
          <t>Returning</t>
        </is>
      </c>
      <c r="G252" s="36" t="inlineStr">
        <is>
          <t>Camping</t>
        </is>
      </c>
      <c r="H252" s="36" t="inlineStr">
        <is>
          <t>Compact Sleeping Bag</t>
        </is>
      </c>
      <c r="I252" s="36" t="n">
        <v>2</v>
      </c>
      <c r="J252" s="39" t="n">
        <v>122.17</v>
      </c>
      <c r="K252" s="45" t="n">
        <v>0</v>
      </c>
      <c r="L252" s="39" t="n">
        <v>60.62</v>
      </c>
      <c r="M252" s="39">
        <f>I252*J252*(1-K252)</f>
        <v/>
      </c>
      <c r="N252" s="39">
        <f>I252*L252</f>
        <v/>
      </c>
      <c r="O252" s="39">
        <f>M252-N252</f>
        <v/>
      </c>
      <c r="P252" s="38">
        <f>IF(M252=0,0,O252/M252)</f>
        <v/>
      </c>
      <c r="Q252" s="36">
        <f>YEAR(B252)</f>
        <v/>
      </c>
      <c r="R252" s="36">
        <f>"Q"&amp;ROUNDUP(MONTH(B252)/3,0)</f>
        <v/>
      </c>
      <c r="S252" s="36">
        <f>MONTH(B252)</f>
        <v/>
      </c>
      <c r="T252" s="36">
        <f>TEXT(B252,"mmm")</f>
        <v/>
      </c>
      <c r="U252" s="36">
        <f>IF(AND(OR(sel_Region="All",C252=sel_Region),OR(sel_Country="All",D252=sel_Country),OR(sel_Channel="All",E252=sel_Channel),OR(sel_Customer="All",F252=sel_Customer),OR(sel_Category="All",G252=sel_Category),OR(sel_Product="All",H252=sel_Product),AND(S252&gt;=m_From,S252&lt;=m_To)),1,0)</f>
        <v/>
      </c>
      <c r="V252" s="36">
        <f>IF(AND(OR(sel_Region="All",C252=sel_Region),OR(sel_Channel="All",E252=sel_Channel),OR(sel_Customer="All",F252=sel_Customer),OR(sel_Category="All",G252=sel_Category),OR(sel_Product="All",H252=sel_Product),AND(S252&gt;=m_From,S252&lt;=m_To)),1,0)</f>
        <v/>
      </c>
      <c r="W252" s="36">
        <f>IF(AND(OR(sel_Region="All",C252=sel_Region),OR(sel_Country="All",D252=sel_Country),OR(sel_Customer="All",F252=sel_Customer),OR(sel_Category="All",G252=sel_Category),OR(sel_Product="All",H252=sel_Product),AND(S252&gt;=m_From,S252&lt;=m_To)),1,0)</f>
        <v/>
      </c>
      <c r="X252" s="36">
        <f>IF(AND(OR(sel_Region="All",C252=sel_Region),OR(sel_Country="All",D252=sel_Country),OR(sel_Channel="All",E252=sel_Channel),OR(sel_Category="All",G252=sel_Category),OR(sel_Product="All",H252=sel_Product),AND(S252&gt;=m_From,S252&lt;=m_To)),1,0)</f>
        <v/>
      </c>
      <c r="Y252" s="36">
        <f>IF(AND(OR(sel_Region="All",C252=sel_Region),OR(sel_Country="All",D252=sel_Country),OR(sel_Channel="All",E252=sel_Channel),OR(sel_Customer="All",F252=sel_Customer),OR(sel_Product="All",H252=sel_Product),AND(S252&gt;=m_From,S252&lt;=m_To)),1,0)</f>
        <v/>
      </c>
      <c r="Z252" s="36">
        <f>IF(AND(OR(sel_Region="All",C252=sel_Region),OR(sel_Country="All",D252=sel_Country),OR(sel_Channel="All",E252=sel_Channel),OR(sel_Customer="All",F252=sel_Customer),OR(sel_Category="All",G252=sel_Category),AND(S252&gt;=m_From,S252&lt;=m_To)),1,0)</f>
        <v/>
      </c>
      <c r="AA252" s="36">
        <f>IF(AND(OR(sel_Region="All",C252=sel_Region),OR(sel_Country="All",D252=sel_Country),OR(sel_Channel="All",E252=sel_Channel),OR(sel_Customer="All",F252=sel_Customer),OR(sel_Category="All",G252=sel_Category),OR(sel_Product="All",H252=sel_Product)),1,0)</f>
        <v/>
      </c>
    </row>
    <row r="253">
      <c r="A253" s="36" t="inlineStr">
        <is>
          <t>00287</t>
        </is>
      </c>
      <c r="B253" s="44" t="n">
        <v>46077</v>
      </c>
      <c r="C253" s="36" t="inlineStr">
        <is>
          <t>Central Europe</t>
        </is>
      </c>
      <c r="D253" s="36" t="inlineStr">
        <is>
          <t>Austria</t>
        </is>
      </c>
      <c r="E253" s="36" t="inlineStr">
        <is>
          <t>Marketplace</t>
        </is>
      </c>
      <c r="F253" s="36" t="inlineStr">
        <is>
          <t>New</t>
        </is>
      </c>
      <c r="G253" s="36" t="inlineStr">
        <is>
          <t>Travel</t>
        </is>
      </c>
      <c r="H253" s="36" t="inlineStr">
        <is>
          <t>Travel Backpack 35L</t>
        </is>
      </c>
      <c r="I253" s="36" t="n">
        <v>1</v>
      </c>
      <c r="J253" s="39" t="n">
        <v>164.6</v>
      </c>
      <c r="K253" s="45" t="n">
        <v>0</v>
      </c>
      <c r="L253" s="39" t="n">
        <v>85.06999999999999</v>
      </c>
      <c r="M253" s="39">
        <f>I253*J253*(1-K253)</f>
        <v/>
      </c>
      <c r="N253" s="39">
        <f>I253*L253</f>
        <v/>
      </c>
      <c r="O253" s="39">
        <f>M253-N253</f>
        <v/>
      </c>
      <c r="P253" s="38">
        <f>IF(M253=0,0,O253/M253)</f>
        <v/>
      </c>
      <c r="Q253" s="36">
        <f>YEAR(B253)</f>
        <v/>
      </c>
      <c r="R253" s="36">
        <f>"Q"&amp;ROUNDUP(MONTH(B253)/3,0)</f>
        <v/>
      </c>
      <c r="S253" s="36">
        <f>MONTH(B253)</f>
        <v/>
      </c>
      <c r="T253" s="36">
        <f>TEXT(B253,"mmm")</f>
        <v/>
      </c>
      <c r="U253" s="36">
        <f>IF(AND(OR(sel_Region="All",C253=sel_Region),OR(sel_Country="All",D253=sel_Country),OR(sel_Channel="All",E253=sel_Channel),OR(sel_Customer="All",F253=sel_Customer),OR(sel_Category="All",G253=sel_Category),OR(sel_Product="All",H253=sel_Product),AND(S253&gt;=m_From,S253&lt;=m_To)),1,0)</f>
        <v/>
      </c>
      <c r="V253" s="36">
        <f>IF(AND(OR(sel_Region="All",C253=sel_Region),OR(sel_Channel="All",E253=sel_Channel),OR(sel_Customer="All",F253=sel_Customer),OR(sel_Category="All",G253=sel_Category),OR(sel_Product="All",H253=sel_Product),AND(S253&gt;=m_From,S253&lt;=m_To)),1,0)</f>
        <v/>
      </c>
      <c r="W253" s="36">
        <f>IF(AND(OR(sel_Region="All",C253=sel_Region),OR(sel_Country="All",D253=sel_Country),OR(sel_Customer="All",F253=sel_Customer),OR(sel_Category="All",G253=sel_Category),OR(sel_Product="All",H253=sel_Product),AND(S253&gt;=m_From,S253&lt;=m_To)),1,0)</f>
        <v/>
      </c>
      <c r="X253" s="36">
        <f>IF(AND(OR(sel_Region="All",C253=sel_Region),OR(sel_Country="All",D253=sel_Country),OR(sel_Channel="All",E253=sel_Channel),OR(sel_Category="All",G253=sel_Category),OR(sel_Product="All",H253=sel_Product),AND(S253&gt;=m_From,S253&lt;=m_To)),1,0)</f>
        <v/>
      </c>
      <c r="Y253" s="36">
        <f>IF(AND(OR(sel_Region="All",C253=sel_Region),OR(sel_Country="All",D253=sel_Country),OR(sel_Channel="All",E253=sel_Channel),OR(sel_Customer="All",F253=sel_Customer),OR(sel_Product="All",H253=sel_Product),AND(S253&gt;=m_From,S253&lt;=m_To)),1,0)</f>
        <v/>
      </c>
      <c r="Z253" s="36">
        <f>IF(AND(OR(sel_Region="All",C253=sel_Region),OR(sel_Country="All",D253=sel_Country),OR(sel_Channel="All",E253=sel_Channel),OR(sel_Customer="All",F253=sel_Customer),OR(sel_Category="All",G253=sel_Category),AND(S253&gt;=m_From,S253&lt;=m_To)),1,0)</f>
        <v/>
      </c>
      <c r="AA253" s="36">
        <f>IF(AND(OR(sel_Region="All",C253=sel_Region),OR(sel_Country="All",D253=sel_Country),OR(sel_Channel="All",E253=sel_Channel),OR(sel_Customer="All",F253=sel_Customer),OR(sel_Category="All",G253=sel_Category),OR(sel_Product="All",H253=sel_Product)),1,0)</f>
        <v/>
      </c>
    </row>
    <row r="254">
      <c r="A254" s="36" t="inlineStr">
        <is>
          <t>00794</t>
        </is>
      </c>
      <c r="B254" s="44" t="n">
        <v>46077</v>
      </c>
      <c r="C254" s="36" t="inlineStr">
        <is>
          <t>Central Europe</t>
        </is>
      </c>
      <c r="D254" s="36" t="inlineStr">
        <is>
          <t>Poland</t>
        </is>
      </c>
      <c r="E254" s="36" t="inlineStr">
        <is>
          <t>Online Store</t>
        </is>
      </c>
      <c r="F254" s="36" t="inlineStr">
        <is>
          <t>New</t>
        </is>
      </c>
      <c r="G254" s="36" t="inlineStr">
        <is>
          <t>Travel</t>
        </is>
      </c>
      <c r="H254" s="36" t="inlineStr">
        <is>
          <t>Carry-On Duffel</t>
        </is>
      </c>
      <c r="I254" s="36" t="n">
        <v>1</v>
      </c>
      <c r="J254" s="39" t="n">
        <v>132.2</v>
      </c>
      <c r="K254" s="45" t="n">
        <v>0</v>
      </c>
      <c r="L254" s="39" t="n">
        <v>67.18000000000001</v>
      </c>
      <c r="M254" s="39">
        <f>I254*J254*(1-K254)</f>
        <v/>
      </c>
      <c r="N254" s="39">
        <f>I254*L254</f>
        <v/>
      </c>
      <c r="O254" s="39">
        <f>M254-N254</f>
        <v/>
      </c>
      <c r="P254" s="38">
        <f>IF(M254=0,0,O254/M254)</f>
        <v/>
      </c>
      <c r="Q254" s="36">
        <f>YEAR(B254)</f>
        <v/>
      </c>
      <c r="R254" s="36">
        <f>"Q"&amp;ROUNDUP(MONTH(B254)/3,0)</f>
        <v/>
      </c>
      <c r="S254" s="36">
        <f>MONTH(B254)</f>
        <v/>
      </c>
      <c r="T254" s="36">
        <f>TEXT(B254,"mmm")</f>
        <v/>
      </c>
      <c r="U254" s="36">
        <f>IF(AND(OR(sel_Region="All",C254=sel_Region),OR(sel_Country="All",D254=sel_Country),OR(sel_Channel="All",E254=sel_Channel),OR(sel_Customer="All",F254=sel_Customer),OR(sel_Category="All",G254=sel_Category),OR(sel_Product="All",H254=sel_Product),AND(S254&gt;=m_From,S254&lt;=m_To)),1,0)</f>
        <v/>
      </c>
      <c r="V254" s="36">
        <f>IF(AND(OR(sel_Region="All",C254=sel_Region),OR(sel_Channel="All",E254=sel_Channel),OR(sel_Customer="All",F254=sel_Customer),OR(sel_Category="All",G254=sel_Category),OR(sel_Product="All",H254=sel_Product),AND(S254&gt;=m_From,S254&lt;=m_To)),1,0)</f>
        <v/>
      </c>
      <c r="W254" s="36">
        <f>IF(AND(OR(sel_Region="All",C254=sel_Region),OR(sel_Country="All",D254=sel_Country),OR(sel_Customer="All",F254=sel_Customer),OR(sel_Category="All",G254=sel_Category),OR(sel_Product="All",H254=sel_Product),AND(S254&gt;=m_From,S254&lt;=m_To)),1,0)</f>
        <v/>
      </c>
      <c r="X254" s="36">
        <f>IF(AND(OR(sel_Region="All",C254=sel_Region),OR(sel_Country="All",D254=sel_Country),OR(sel_Channel="All",E254=sel_Channel),OR(sel_Category="All",G254=sel_Category),OR(sel_Product="All",H254=sel_Product),AND(S254&gt;=m_From,S254&lt;=m_To)),1,0)</f>
        <v/>
      </c>
      <c r="Y254" s="36">
        <f>IF(AND(OR(sel_Region="All",C254=sel_Region),OR(sel_Country="All",D254=sel_Country),OR(sel_Channel="All",E254=sel_Channel),OR(sel_Customer="All",F254=sel_Customer),OR(sel_Product="All",H254=sel_Product),AND(S254&gt;=m_From,S254&lt;=m_To)),1,0)</f>
        <v/>
      </c>
      <c r="Z254" s="36">
        <f>IF(AND(OR(sel_Region="All",C254=sel_Region),OR(sel_Country="All",D254=sel_Country),OR(sel_Channel="All",E254=sel_Channel),OR(sel_Customer="All",F254=sel_Customer),OR(sel_Category="All",G254=sel_Category),AND(S254&gt;=m_From,S254&lt;=m_To)),1,0)</f>
        <v/>
      </c>
      <c r="AA254" s="36">
        <f>IF(AND(OR(sel_Region="All",C254=sel_Region),OR(sel_Country="All",D254=sel_Country),OR(sel_Channel="All",E254=sel_Channel),OR(sel_Customer="All",F254=sel_Customer),OR(sel_Category="All",G254=sel_Category),OR(sel_Product="All",H254=sel_Product)),1,0)</f>
        <v/>
      </c>
    </row>
    <row r="255">
      <c r="A255" s="36" t="inlineStr">
        <is>
          <t>01609</t>
        </is>
      </c>
      <c r="B255" s="44" t="n">
        <v>46077</v>
      </c>
      <c r="C255" s="36" t="inlineStr">
        <is>
          <t>Western Europe</t>
        </is>
      </c>
      <c r="D255" s="36" t="inlineStr">
        <is>
          <t>Belgium</t>
        </is>
      </c>
      <c r="E255" s="36" t="inlineStr">
        <is>
          <t>Online Store</t>
        </is>
      </c>
      <c r="F255" s="36" t="inlineStr">
        <is>
          <t>Returning</t>
        </is>
      </c>
      <c r="G255" s="36" t="inlineStr">
        <is>
          <t>Cycling</t>
        </is>
      </c>
      <c r="H255" s="36" t="inlineStr">
        <is>
          <t>Compact Repair Kit</t>
        </is>
      </c>
      <c r="I255" s="36" t="n">
        <v>2</v>
      </c>
      <c r="J255" s="39" t="n">
        <v>40.7</v>
      </c>
      <c r="K255" s="45" t="n">
        <v>0</v>
      </c>
      <c r="L255" s="39" t="n">
        <v>16.63</v>
      </c>
      <c r="M255" s="39">
        <f>I255*J255*(1-K255)</f>
        <v/>
      </c>
      <c r="N255" s="39">
        <f>I255*L255</f>
        <v/>
      </c>
      <c r="O255" s="39">
        <f>M255-N255</f>
        <v/>
      </c>
      <c r="P255" s="38">
        <f>IF(M255=0,0,O255/M255)</f>
        <v/>
      </c>
      <c r="Q255" s="36">
        <f>YEAR(B255)</f>
        <v/>
      </c>
      <c r="R255" s="36">
        <f>"Q"&amp;ROUNDUP(MONTH(B255)/3,0)</f>
        <v/>
      </c>
      <c r="S255" s="36">
        <f>MONTH(B255)</f>
        <v/>
      </c>
      <c r="T255" s="36">
        <f>TEXT(B255,"mmm")</f>
        <v/>
      </c>
      <c r="U255" s="36">
        <f>IF(AND(OR(sel_Region="All",C255=sel_Region),OR(sel_Country="All",D255=sel_Country),OR(sel_Channel="All",E255=sel_Channel),OR(sel_Customer="All",F255=sel_Customer),OR(sel_Category="All",G255=sel_Category),OR(sel_Product="All",H255=sel_Product),AND(S255&gt;=m_From,S255&lt;=m_To)),1,0)</f>
        <v/>
      </c>
      <c r="V255" s="36">
        <f>IF(AND(OR(sel_Region="All",C255=sel_Region),OR(sel_Channel="All",E255=sel_Channel),OR(sel_Customer="All",F255=sel_Customer),OR(sel_Category="All",G255=sel_Category),OR(sel_Product="All",H255=sel_Product),AND(S255&gt;=m_From,S255&lt;=m_To)),1,0)</f>
        <v/>
      </c>
      <c r="W255" s="36">
        <f>IF(AND(OR(sel_Region="All",C255=sel_Region),OR(sel_Country="All",D255=sel_Country),OR(sel_Customer="All",F255=sel_Customer),OR(sel_Category="All",G255=sel_Category),OR(sel_Product="All",H255=sel_Product),AND(S255&gt;=m_From,S255&lt;=m_To)),1,0)</f>
        <v/>
      </c>
      <c r="X255" s="36">
        <f>IF(AND(OR(sel_Region="All",C255=sel_Region),OR(sel_Country="All",D255=sel_Country),OR(sel_Channel="All",E255=sel_Channel),OR(sel_Category="All",G255=sel_Category),OR(sel_Product="All",H255=sel_Product),AND(S255&gt;=m_From,S255&lt;=m_To)),1,0)</f>
        <v/>
      </c>
      <c r="Y255" s="36">
        <f>IF(AND(OR(sel_Region="All",C255=sel_Region),OR(sel_Country="All",D255=sel_Country),OR(sel_Channel="All",E255=sel_Channel),OR(sel_Customer="All",F255=sel_Customer),OR(sel_Product="All",H255=sel_Product),AND(S255&gt;=m_From,S255&lt;=m_To)),1,0)</f>
        <v/>
      </c>
      <c r="Z255" s="36">
        <f>IF(AND(OR(sel_Region="All",C255=sel_Region),OR(sel_Country="All",D255=sel_Country),OR(sel_Channel="All",E255=sel_Channel),OR(sel_Customer="All",F255=sel_Customer),OR(sel_Category="All",G255=sel_Category),AND(S255&gt;=m_From,S255&lt;=m_To)),1,0)</f>
        <v/>
      </c>
      <c r="AA255" s="36">
        <f>IF(AND(OR(sel_Region="All",C255=sel_Region),OR(sel_Country="All",D255=sel_Country),OR(sel_Channel="All",E255=sel_Channel),OR(sel_Customer="All",F255=sel_Customer),OR(sel_Category="All",G255=sel_Category),OR(sel_Product="All",H255=sel_Product)),1,0)</f>
        <v/>
      </c>
    </row>
    <row r="256">
      <c r="A256" s="36" t="inlineStr">
        <is>
          <t>04921</t>
        </is>
      </c>
      <c r="B256" s="44" t="n">
        <v>46077</v>
      </c>
      <c r="C256" s="36" t="inlineStr">
        <is>
          <t>Central Europe</t>
        </is>
      </c>
      <c r="D256" s="36" t="inlineStr">
        <is>
          <t>Germany</t>
        </is>
      </c>
      <c r="E256" s="36" t="inlineStr">
        <is>
          <t>Online Store</t>
        </is>
      </c>
      <c r="F256" s="36" t="inlineStr">
        <is>
          <t>Returning</t>
        </is>
      </c>
      <c r="G256" s="36" t="inlineStr">
        <is>
          <t>Travel</t>
        </is>
      </c>
      <c r="H256" s="36" t="inlineStr">
        <is>
          <t>Insulated Bottle</t>
        </is>
      </c>
      <c r="I256" s="36" t="n">
        <v>1</v>
      </c>
      <c r="J256" s="39" t="n">
        <v>35.39</v>
      </c>
      <c r="K256" s="45" t="n">
        <v>0</v>
      </c>
      <c r="L256" s="39" t="n">
        <v>13.93</v>
      </c>
      <c r="M256" s="39">
        <f>I256*J256*(1-K256)</f>
        <v/>
      </c>
      <c r="N256" s="39">
        <f>I256*L256</f>
        <v/>
      </c>
      <c r="O256" s="39">
        <f>M256-N256</f>
        <v/>
      </c>
      <c r="P256" s="38">
        <f>IF(M256=0,0,O256/M256)</f>
        <v/>
      </c>
      <c r="Q256" s="36">
        <f>YEAR(B256)</f>
        <v/>
      </c>
      <c r="R256" s="36">
        <f>"Q"&amp;ROUNDUP(MONTH(B256)/3,0)</f>
        <v/>
      </c>
      <c r="S256" s="36">
        <f>MONTH(B256)</f>
        <v/>
      </c>
      <c r="T256" s="36">
        <f>TEXT(B256,"mmm")</f>
        <v/>
      </c>
      <c r="U256" s="36">
        <f>IF(AND(OR(sel_Region="All",C256=sel_Region),OR(sel_Country="All",D256=sel_Country),OR(sel_Channel="All",E256=sel_Channel),OR(sel_Customer="All",F256=sel_Customer),OR(sel_Category="All",G256=sel_Category),OR(sel_Product="All",H256=sel_Product),AND(S256&gt;=m_From,S256&lt;=m_To)),1,0)</f>
        <v/>
      </c>
      <c r="V256" s="36">
        <f>IF(AND(OR(sel_Region="All",C256=sel_Region),OR(sel_Channel="All",E256=sel_Channel),OR(sel_Customer="All",F256=sel_Customer),OR(sel_Category="All",G256=sel_Category),OR(sel_Product="All",H256=sel_Product),AND(S256&gt;=m_From,S256&lt;=m_To)),1,0)</f>
        <v/>
      </c>
      <c r="W256" s="36">
        <f>IF(AND(OR(sel_Region="All",C256=sel_Region),OR(sel_Country="All",D256=sel_Country),OR(sel_Customer="All",F256=sel_Customer),OR(sel_Category="All",G256=sel_Category),OR(sel_Product="All",H256=sel_Product),AND(S256&gt;=m_From,S256&lt;=m_To)),1,0)</f>
        <v/>
      </c>
      <c r="X256" s="36">
        <f>IF(AND(OR(sel_Region="All",C256=sel_Region),OR(sel_Country="All",D256=sel_Country),OR(sel_Channel="All",E256=sel_Channel),OR(sel_Category="All",G256=sel_Category),OR(sel_Product="All",H256=sel_Product),AND(S256&gt;=m_From,S256&lt;=m_To)),1,0)</f>
        <v/>
      </c>
      <c r="Y256" s="36">
        <f>IF(AND(OR(sel_Region="All",C256=sel_Region),OR(sel_Country="All",D256=sel_Country),OR(sel_Channel="All",E256=sel_Channel),OR(sel_Customer="All",F256=sel_Customer),OR(sel_Product="All",H256=sel_Product),AND(S256&gt;=m_From,S256&lt;=m_To)),1,0)</f>
        <v/>
      </c>
      <c r="Z256" s="36">
        <f>IF(AND(OR(sel_Region="All",C256=sel_Region),OR(sel_Country="All",D256=sel_Country),OR(sel_Channel="All",E256=sel_Channel),OR(sel_Customer="All",F256=sel_Customer),OR(sel_Category="All",G256=sel_Category),AND(S256&gt;=m_From,S256&lt;=m_To)),1,0)</f>
        <v/>
      </c>
      <c r="AA256" s="36">
        <f>IF(AND(OR(sel_Region="All",C256=sel_Region),OR(sel_Country="All",D256=sel_Country),OR(sel_Channel="All",E256=sel_Channel),OR(sel_Customer="All",F256=sel_Customer),OR(sel_Category="All",G256=sel_Category),OR(sel_Product="All",H256=sel_Product)),1,0)</f>
        <v/>
      </c>
    </row>
    <row r="257">
      <c r="A257" s="36" t="inlineStr">
        <is>
          <t>02209</t>
        </is>
      </c>
      <c r="B257" s="44" t="n">
        <v>46078</v>
      </c>
      <c r="C257" s="36" t="inlineStr">
        <is>
          <t>Southern Europe</t>
        </is>
      </c>
      <c r="D257" s="36" t="inlineStr">
        <is>
          <t>Spain</t>
        </is>
      </c>
      <c r="E257" s="36" t="inlineStr">
        <is>
          <t>Online Store</t>
        </is>
      </c>
      <c r="F257" s="36" t="inlineStr">
        <is>
          <t>Business</t>
        </is>
      </c>
      <c r="G257" s="36" t="inlineStr">
        <is>
          <t>Cycling</t>
        </is>
      </c>
      <c r="H257" s="36" t="inlineStr">
        <is>
          <t>Trail Bike Light</t>
        </is>
      </c>
      <c r="I257" s="36" t="n">
        <v>5</v>
      </c>
      <c r="J257" s="39" t="n">
        <v>50.58</v>
      </c>
      <c r="K257" s="45" t="n">
        <v>0.1</v>
      </c>
      <c r="L257" s="39" t="n">
        <v>22.42</v>
      </c>
      <c r="M257" s="39">
        <f>I257*J257*(1-K257)</f>
        <v/>
      </c>
      <c r="N257" s="39">
        <f>I257*L257</f>
        <v/>
      </c>
      <c r="O257" s="39">
        <f>M257-N257</f>
        <v/>
      </c>
      <c r="P257" s="38">
        <f>IF(M257=0,0,O257/M257)</f>
        <v/>
      </c>
      <c r="Q257" s="36">
        <f>YEAR(B257)</f>
        <v/>
      </c>
      <c r="R257" s="36">
        <f>"Q"&amp;ROUNDUP(MONTH(B257)/3,0)</f>
        <v/>
      </c>
      <c r="S257" s="36">
        <f>MONTH(B257)</f>
        <v/>
      </c>
      <c r="T257" s="36">
        <f>TEXT(B257,"mmm")</f>
        <v/>
      </c>
      <c r="U257" s="36">
        <f>IF(AND(OR(sel_Region="All",C257=sel_Region),OR(sel_Country="All",D257=sel_Country),OR(sel_Channel="All",E257=sel_Channel),OR(sel_Customer="All",F257=sel_Customer),OR(sel_Category="All",G257=sel_Category),OR(sel_Product="All",H257=sel_Product),AND(S257&gt;=m_From,S257&lt;=m_To)),1,0)</f>
        <v/>
      </c>
      <c r="V257" s="36">
        <f>IF(AND(OR(sel_Region="All",C257=sel_Region),OR(sel_Channel="All",E257=sel_Channel),OR(sel_Customer="All",F257=sel_Customer),OR(sel_Category="All",G257=sel_Category),OR(sel_Product="All",H257=sel_Product),AND(S257&gt;=m_From,S257&lt;=m_To)),1,0)</f>
        <v/>
      </c>
      <c r="W257" s="36">
        <f>IF(AND(OR(sel_Region="All",C257=sel_Region),OR(sel_Country="All",D257=sel_Country),OR(sel_Customer="All",F257=sel_Customer),OR(sel_Category="All",G257=sel_Category),OR(sel_Product="All",H257=sel_Product),AND(S257&gt;=m_From,S257&lt;=m_To)),1,0)</f>
        <v/>
      </c>
      <c r="X257" s="36">
        <f>IF(AND(OR(sel_Region="All",C257=sel_Region),OR(sel_Country="All",D257=sel_Country),OR(sel_Channel="All",E257=sel_Channel),OR(sel_Category="All",G257=sel_Category),OR(sel_Product="All",H257=sel_Product),AND(S257&gt;=m_From,S257&lt;=m_To)),1,0)</f>
        <v/>
      </c>
      <c r="Y257" s="36">
        <f>IF(AND(OR(sel_Region="All",C257=sel_Region),OR(sel_Country="All",D257=sel_Country),OR(sel_Channel="All",E257=sel_Channel),OR(sel_Customer="All",F257=sel_Customer),OR(sel_Product="All",H257=sel_Product),AND(S257&gt;=m_From,S257&lt;=m_To)),1,0)</f>
        <v/>
      </c>
      <c r="Z257" s="36">
        <f>IF(AND(OR(sel_Region="All",C257=sel_Region),OR(sel_Country="All",D257=sel_Country),OR(sel_Channel="All",E257=sel_Channel),OR(sel_Customer="All",F257=sel_Customer),OR(sel_Category="All",G257=sel_Category),AND(S257&gt;=m_From,S257&lt;=m_To)),1,0)</f>
        <v/>
      </c>
      <c r="AA257" s="36">
        <f>IF(AND(OR(sel_Region="All",C257=sel_Region),OR(sel_Country="All",D257=sel_Country),OR(sel_Channel="All",E257=sel_Channel),OR(sel_Customer="All",F257=sel_Customer),OR(sel_Category="All",G257=sel_Category),OR(sel_Product="All",H257=sel_Product)),1,0)</f>
        <v/>
      </c>
    </row>
    <row r="258">
      <c r="A258" s="36" t="inlineStr">
        <is>
          <t>04757</t>
        </is>
      </c>
      <c r="B258" s="44" t="n">
        <v>46078</v>
      </c>
      <c r="C258" s="36" t="inlineStr">
        <is>
          <t>Central Europe</t>
        </is>
      </c>
      <c r="D258" s="36" t="inlineStr">
        <is>
          <t>Switzerland</t>
        </is>
      </c>
      <c r="E258" s="36" t="inlineStr">
        <is>
          <t>Marketplace</t>
        </is>
      </c>
      <c r="F258" s="36" t="inlineStr">
        <is>
          <t>Business</t>
        </is>
      </c>
      <c r="G258" s="36" t="inlineStr">
        <is>
          <t>Fitness</t>
        </is>
      </c>
      <c r="H258" s="36" t="inlineStr">
        <is>
          <t>Training Mat</t>
        </is>
      </c>
      <c r="I258" s="36" t="n">
        <v>2</v>
      </c>
      <c r="J258" s="39" t="n">
        <v>49.48</v>
      </c>
      <c r="K258" s="45" t="n">
        <v>0</v>
      </c>
      <c r="L258" s="39" t="n">
        <v>21.37</v>
      </c>
      <c r="M258" s="39">
        <f>I258*J258*(1-K258)</f>
        <v/>
      </c>
      <c r="N258" s="39">
        <f>I258*L258</f>
        <v/>
      </c>
      <c r="O258" s="39">
        <f>M258-N258</f>
        <v/>
      </c>
      <c r="P258" s="38">
        <f>IF(M258=0,0,O258/M258)</f>
        <v/>
      </c>
      <c r="Q258" s="36">
        <f>YEAR(B258)</f>
        <v/>
      </c>
      <c r="R258" s="36">
        <f>"Q"&amp;ROUNDUP(MONTH(B258)/3,0)</f>
        <v/>
      </c>
      <c r="S258" s="36">
        <f>MONTH(B258)</f>
        <v/>
      </c>
      <c r="T258" s="36">
        <f>TEXT(B258,"mmm")</f>
        <v/>
      </c>
      <c r="U258" s="36">
        <f>IF(AND(OR(sel_Region="All",C258=sel_Region),OR(sel_Country="All",D258=sel_Country),OR(sel_Channel="All",E258=sel_Channel),OR(sel_Customer="All",F258=sel_Customer),OR(sel_Category="All",G258=sel_Category),OR(sel_Product="All",H258=sel_Product),AND(S258&gt;=m_From,S258&lt;=m_To)),1,0)</f>
        <v/>
      </c>
      <c r="V258" s="36">
        <f>IF(AND(OR(sel_Region="All",C258=sel_Region),OR(sel_Channel="All",E258=sel_Channel),OR(sel_Customer="All",F258=sel_Customer),OR(sel_Category="All",G258=sel_Category),OR(sel_Product="All",H258=sel_Product),AND(S258&gt;=m_From,S258&lt;=m_To)),1,0)</f>
        <v/>
      </c>
      <c r="W258" s="36">
        <f>IF(AND(OR(sel_Region="All",C258=sel_Region),OR(sel_Country="All",D258=sel_Country),OR(sel_Customer="All",F258=sel_Customer),OR(sel_Category="All",G258=sel_Category),OR(sel_Product="All",H258=sel_Product),AND(S258&gt;=m_From,S258&lt;=m_To)),1,0)</f>
        <v/>
      </c>
      <c r="X258" s="36">
        <f>IF(AND(OR(sel_Region="All",C258=sel_Region),OR(sel_Country="All",D258=sel_Country),OR(sel_Channel="All",E258=sel_Channel),OR(sel_Category="All",G258=sel_Category),OR(sel_Product="All",H258=sel_Product),AND(S258&gt;=m_From,S258&lt;=m_To)),1,0)</f>
        <v/>
      </c>
      <c r="Y258" s="36">
        <f>IF(AND(OR(sel_Region="All",C258=sel_Region),OR(sel_Country="All",D258=sel_Country),OR(sel_Channel="All",E258=sel_Channel),OR(sel_Customer="All",F258=sel_Customer),OR(sel_Product="All",H258=sel_Product),AND(S258&gt;=m_From,S258&lt;=m_To)),1,0)</f>
        <v/>
      </c>
      <c r="Z258" s="36">
        <f>IF(AND(OR(sel_Region="All",C258=sel_Region),OR(sel_Country="All",D258=sel_Country),OR(sel_Channel="All",E258=sel_Channel),OR(sel_Customer="All",F258=sel_Customer),OR(sel_Category="All",G258=sel_Category),AND(S258&gt;=m_From,S258&lt;=m_To)),1,0)</f>
        <v/>
      </c>
      <c r="AA258" s="36">
        <f>IF(AND(OR(sel_Region="All",C258=sel_Region),OR(sel_Country="All",D258=sel_Country),OR(sel_Channel="All",E258=sel_Channel),OR(sel_Customer="All",F258=sel_Customer),OR(sel_Category="All",G258=sel_Category),OR(sel_Product="All",H258=sel_Product)),1,0)</f>
        <v/>
      </c>
    </row>
    <row r="259">
      <c r="A259" s="36" t="inlineStr">
        <is>
          <t>05155</t>
        </is>
      </c>
      <c r="B259" s="44" t="n">
        <v>46078</v>
      </c>
      <c r="C259" s="36" t="inlineStr">
        <is>
          <t>Western Europe</t>
        </is>
      </c>
      <c r="D259" s="36" t="inlineStr">
        <is>
          <t>France</t>
        </is>
      </c>
      <c r="E259" s="36" t="inlineStr">
        <is>
          <t>Retail Partners</t>
        </is>
      </c>
      <c r="F259" s="36" t="inlineStr">
        <is>
          <t>New</t>
        </is>
      </c>
      <c r="G259" s="36" t="inlineStr">
        <is>
          <t>Fitness</t>
        </is>
      </c>
      <c r="H259" s="36" t="inlineStr">
        <is>
          <t>Training Mat</t>
        </is>
      </c>
      <c r="I259" s="36" t="n">
        <v>1</v>
      </c>
      <c r="J259" s="39" t="n">
        <v>50.51</v>
      </c>
      <c r="K259" s="45" t="n">
        <v>0</v>
      </c>
      <c r="L259" s="39" t="n">
        <v>21.4</v>
      </c>
      <c r="M259" s="39">
        <f>I259*J259*(1-K259)</f>
        <v/>
      </c>
      <c r="N259" s="39">
        <f>I259*L259</f>
        <v/>
      </c>
      <c r="O259" s="39">
        <f>M259-N259</f>
        <v/>
      </c>
      <c r="P259" s="38">
        <f>IF(M259=0,0,O259/M259)</f>
        <v/>
      </c>
      <c r="Q259" s="36">
        <f>YEAR(B259)</f>
        <v/>
      </c>
      <c r="R259" s="36">
        <f>"Q"&amp;ROUNDUP(MONTH(B259)/3,0)</f>
        <v/>
      </c>
      <c r="S259" s="36">
        <f>MONTH(B259)</f>
        <v/>
      </c>
      <c r="T259" s="36">
        <f>TEXT(B259,"mmm")</f>
        <v/>
      </c>
      <c r="U259" s="36">
        <f>IF(AND(OR(sel_Region="All",C259=sel_Region),OR(sel_Country="All",D259=sel_Country),OR(sel_Channel="All",E259=sel_Channel),OR(sel_Customer="All",F259=sel_Customer),OR(sel_Category="All",G259=sel_Category),OR(sel_Product="All",H259=sel_Product),AND(S259&gt;=m_From,S259&lt;=m_To)),1,0)</f>
        <v/>
      </c>
      <c r="V259" s="36">
        <f>IF(AND(OR(sel_Region="All",C259=sel_Region),OR(sel_Channel="All",E259=sel_Channel),OR(sel_Customer="All",F259=sel_Customer),OR(sel_Category="All",G259=sel_Category),OR(sel_Product="All",H259=sel_Product),AND(S259&gt;=m_From,S259&lt;=m_To)),1,0)</f>
        <v/>
      </c>
      <c r="W259" s="36">
        <f>IF(AND(OR(sel_Region="All",C259=sel_Region),OR(sel_Country="All",D259=sel_Country),OR(sel_Customer="All",F259=sel_Customer),OR(sel_Category="All",G259=sel_Category),OR(sel_Product="All",H259=sel_Product),AND(S259&gt;=m_From,S259&lt;=m_To)),1,0)</f>
        <v/>
      </c>
      <c r="X259" s="36">
        <f>IF(AND(OR(sel_Region="All",C259=sel_Region),OR(sel_Country="All",D259=sel_Country),OR(sel_Channel="All",E259=sel_Channel),OR(sel_Category="All",G259=sel_Category),OR(sel_Product="All",H259=sel_Product),AND(S259&gt;=m_From,S259&lt;=m_To)),1,0)</f>
        <v/>
      </c>
      <c r="Y259" s="36">
        <f>IF(AND(OR(sel_Region="All",C259=sel_Region),OR(sel_Country="All",D259=sel_Country),OR(sel_Channel="All",E259=sel_Channel),OR(sel_Customer="All",F259=sel_Customer),OR(sel_Product="All",H259=sel_Product),AND(S259&gt;=m_From,S259&lt;=m_To)),1,0)</f>
        <v/>
      </c>
      <c r="Z259" s="36">
        <f>IF(AND(OR(sel_Region="All",C259=sel_Region),OR(sel_Country="All",D259=sel_Country),OR(sel_Channel="All",E259=sel_Channel),OR(sel_Customer="All",F259=sel_Customer),OR(sel_Category="All",G259=sel_Category),AND(S259&gt;=m_From,S259&lt;=m_To)),1,0)</f>
        <v/>
      </c>
      <c r="AA259" s="36">
        <f>IF(AND(OR(sel_Region="All",C259=sel_Region),OR(sel_Country="All",D259=sel_Country),OR(sel_Channel="All",E259=sel_Channel),OR(sel_Customer="All",F259=sel_Customer),OR(sel_Category="All",G259=sel_Category),OR(sel_Product="All",H259=sel_Product)),1,0)</f>
        <v/>
      </c>
    </row>
    <row r="260">
      <c r="A260" s="36" t="inlineStr">
        <is>
          <t>01737</t>
        </is>
      </c>
      <c r="B260" s="44" t="n">
        <v>46079</v>
      </c>
      <c r="C260" s="36" t="inlineStr">
        <is>
          <t>Southern Europe</t>
        </is>
      </c>
      <c r="D260" s="36" t="inlineStr">
        <is>
          <t>Italy</t>
        </is>
      </c>
      <c r="E260" s="36" t="inlineStr">
        <is>
          <t>Online Store</t>
        </is>
      </c>
      <c r="F260" s="36" t="inlineStr">
        <is>
          <t>New</t>
        </is>
      </c>
      <c r="G260" s="36" t="inlineStr">
        <is>
          <t>Camping</t>
        </is>
      </c>
      <c r="H260" s="36" t="inlineStr">
        <is>
          <t>Compact Sleeping Bag</t>
        </is>
      </c>
      <c r="I260" s="36" t="n">
        <v>2</v>
      </c>
      <c r="J260" s="39" t="n">
        <v>122.16</v>
      </c>
      <c r="K260" s="45" t="n">
        <v>0</v>
      </c>
      <c r="L260" s="39" t="n">
        <v>61.31</v>
      </c>
      <c r="M260" s="39">
        <f>I260*J260*(1-K260)</f>
        <v/>
      </c>
      <c r="N260" s="39">
        <f>I260*L260</f>
        <v/>
      </c>
      <c r="O260" s="39">
        <f>M260-N260</f>
        <v/>
      </c>
      <c r="P260" s="38">
        <f>IF(M260=0,0,O260/M260)</f>
        <v/>
      </c>
      <c r="Q260" s="36">
        <f>YEAR(B260)</f>
        <v/>
      </c>
      <c r="R260" s="36">
        <f>"Q"&amp;ROUNDUP(MONTH(B260)/3,0)</f>
        <v/>
      </c>
      <c r="S260" s="36">
        <f>MONTH(B260)</f>
        <v/>
      </c>
      <c r="T260" s="36">
        <f>TEXT(B260,"mmm")</f>
        <v/>
      </c>
      <c r="U260" s="36">
        <f>IF(AND(OR(sel_Region="All",C260=sel_Region),OR(sel_Country="All",D260=sel_Country),OR(sel_Channel="All",E260=sel_Channel),OR(sel_Customer="All",F260=sel_Customer),OR(sel_Category="All",G260=sel_Category),OR(sel_Product="All",H260=sel_Product),AND(S260&gt;=m_From,S260&lt;=m_To)),1,0)</f>
        <v/>
      </c>
      <c r="V260" s="36">
        <f>IF(AND(OR(sel_Region="All",C260=sel_Region),OR(sel_Channel="All",E260=sel_Channel),OR(sel_Customer="All",F260=sel_Customer),OR(sel_Category="All",G260=sel_Category),OR(sel_Product="All",H260=sel_Product),AND(S260&gt;=m_From,S260&lt;=m_To)),1,0)</f>
        <v/>
      </c>
      <c r="W260" s="36">
        <f>IF(AND(OR(sel_Region="All",C260=sel_Region),OR(sel_Country="All",D260=sel_Country),OR(sel_Customer="All",F260=sel_Customer),OR(sel_Category="All",G260=sel_Category),OR(sel_Product="All",H260=sel_Product),AND(S260&gt;=m_From,S260&lt;=m_To)),1,0)</f>
        <v/>
      </c>
      <c r="X260" s="36">
        <f>IF(AND(OR(sel_Region="All",C260=sel_Region),OR(sel_Country="All",D260=sel_Country),OR(sel_Channel="All",E260=sel_Channel),OR(sel_Category="All",G260=sel_Category),OR(sel_Product="All",H260=sel_Product),AND(S260&gt;=m_From,S260&lt;=m_To)),1,0)</f>
        <v/>
      </c>
      <c r="Y260" s="36">
        <f>IF(AND(OR(sel_Region="All",C260=sel_Region),OR(sel_Country="All",D260=sel_Country),OR(sel_Channel="All",E260=sel_Channel),OR(sel_Customer="All",F260=sel_Customer),OR(sel_Product="All",H260=sel_Product),AND(S260&gt;=m_From,S260&lt;=m_To)),1,0)</f>
        <v/>
      </c>
      <c r="Z260" s="36">
        <f>IF(AND(OR(sel_Region="All",C260=sel_Region),OR(sel_Country="All",D260=sel_Country),OR(sel_Channel="All",E260=sel_Channel),OR(sel_Customer="All",F260=sel_Customer),OR(sel_Category="All",G260=sel_Category),AND(S260&gt;=m_From,S260&lt;=m_To)),1,0)</f>
        <v/>
      </c>
      <c r="AA260" s="36">
        <f>IF(AND(OR(sel_Region="All",C260=sel_Region),OR(sel_Country="All",D260=sel_Country),OR(sel_Channel="All",E260=sel_Channel),OR(sel_Customer="All",F260=sel_Customer),OR(sel_Category="All",G260=sel_Category),OR(sel_Product="All",H260=sel_Product)),1,0)</f>
        <v/>
      </c>
    </row>
    <row r="261">
      <c r="A261" s="36" t="inlineStr">
        <is>
          <t>01905</t>
        </is>
      </c>
      <c r="B261" s="44" t="n">
        <v>46079</v>
      </c>
      <c r="C261" s="36" t="inlineStr">
        <is>
          <t>Western Europe</t>
        </is>
      </c>
      <c r="D261" s="36" t="inlineStr">
        <is>
          <t>Netherlands</t>
        </is>
      </c>
      <c r="E261" s="36" t="inlineStr">
        <is>
          <t>Retail Partners</t>
        </is>
      </c>
      <c r="F261" s="36" t="inlineStr">
        <is>
          <t>Returning</t>
        </is>
      </c>
      <c r="G261" s="36" t="inlineStr">
        <is>
          <t>Cycling</t>
        </is>
      </c>
      <c r="H261" s="36" t="inlineStr">
        <is>
          <t>Trail Bike Light</t>
        </is>
      </c>
      <c r="I261" s="36" t="n">
        <v>3</v>
      </c>
      <c r="J261" s="39" t="n">
        <v>51.32</v>
      </c>
      <c r="K261" s="45" t="n">
        <v>0.1</v>
      </c>
      <c r="L261" s="39" t="n">
        <v>22.62</v>
      </c>
      <c r="M261" s="39">
        <f>I261*J261*(1-K261)</f>
        <v/>
      </c>
      <c r="N261" s="39">
        <f>I261*L261</f>
        <v/>
      </c>
      <c r="O261" s="39">
        <f>M261-N261</f>
        <v/>
      </c>
      <c r="P261" s="38">
        <f>IF(M261=0,0,O261/M261)</f>
        <v/>
      </c>
      <c r="Q261" s="36">
        <f>YEAR(B261)</f>
        <v/>
      </c>
      <c r="R261" s="36">
        <f>"Q"&amp;ROUNDUP(MONTH(B261)/3,0)</f>
        <v/>
      </c>
      <c r="S261" s="36">
        <f>MONTH(B261)</f>
        <v/>
      </c>
      <c r="T261" s="36">
        <f>TEXT(B261,"mmm")</f>
        <v/>
      </c>
      <c r="U261" s="36">
        <f>IF(AND(OR(sel_Region="All",C261=sel_Region),OR(sel_Country="All",D261=sel_Country),OR(sel_Channel="All",E261=sel_Channel),OR(sel_Customer="All",F261=sel_Customer),OR(sel_Category="All",G261=sel_Category),OR(sel_Product="All",H261=sel_Product),AND(S261&gt;=m_From,S261&lt;=m_To)),1,0)</f>
        <v/>
      </c>
      <c r="V261" s="36">
        <f>IF(AND(OR(sel_Region="All",C261=sel_Region),OR(sel_Channel="All",E261=sel_Channel),OR(sel_Customer="All",F261=sel_Customer),OR(sel_Category="All",G261=sel_Category),OR(sel_Product="All",H261=sel_Product),AND(S261&gt;=m_From,S261&lt;=m_To)),1,0)</f>
        <v/>
      </c>
      <c r="W261" s="36">
        <f>IF(AND(OR(sel_Region="All",C261=sel_Region),OR(sel_Country="All",D261=sel_Country),OR(sel_Customer="All",F261=sel_Customer),OR(sel_Category="All",G261=sel_Category),OR(sel_Product="All",H261=sel_Product),AND(S261&gt;=m_From,S261&lt;=m_To)),1,0)</f>
        <v/>
      </c>
      <c r="X261" s="36">
        <f>IF(AND(OR(sel_Region="All",C261=sel_Region),OR(sel_Country="All",D261=sel_Country),OR(sel_Channel="All",E261=sel_Channel),OR(sel_Category="All",G261=sel_Category),OR(sel_Product="All",H261=sel_Product),AND(S261&gt;=m_From,S261&lt;=m_To)),1,0)</f>
        <v/>
      </c>
      <c r="Y261" s="36">
        <f>IF(AND(OR(sel_Region="All",C261=sel_Region),OR(sel_Country="All",D261=sel_Country),OR(sel_Channel="All",E261=sel_Channel),OR(sel_Customer="All",F261=sel_Customer),OR(sel_Product="All",H261=sel_Product),AND(S261&gt;=m_From,S261&lt;=m_To)),1,0)</f>
        <v/>
      </c>
      <c r="Z261" s="36">
        <f>IF(AND(OR(sel_Region="All",C261=sel_Region),OR(sel_Country="All",D261=sel_Country),OR(sel_Channel="All",E261=sel_Channel),OR(sel_Customer="All",F261=sel_Customer),OR(sel_Category="All",G261=sel_Category),AND(S261&gt;=m_From,S261&lt;=m_To)),1,0)</f>
        <v/>
      </c>
      <c r="AA261" s="36">
        <f>IF(AND(OR(sel_Region="All",C261=sel_Region),OR(sel_Country="All",D261=sel_Country),OR(sel_Channel="All",E261=sel_Channel),OR(sel_Customer="All",F261=sel_Customer),OR(sel_Category="All",G261=sel_Category),OR(sel_Product="All",H261=sel_Product)),1,0)</f>
        <v/>
      </c>
    </row>
    <row r="262">
      <c r="A262" s="36" t="inlineStr">
        <is>
          <t>02359</t>
        </is>
      </c>
      <c r="B262" s="44" t="n">
        <v>46079</v>
      </c>
      <c r="C262" s="36" t="inlineStr">
        <is>
          <t>Northern Europe</t>
        </is>
      </c>
      <c r="D262" s="36" t="inlineStr">
        <is>
          <t>Finland</t>
        </is>
      </c>
      <c r="E262" s="36" t="inlineStr">
        <is>
          <t>Online Store</t>
        </is>
      </c>
      <c r="F262" s="36" t="inlineStr">
        <is>
          <t>Returning</t>
        </is>
      </c>
      <c r="G262" s="36" t="inlineStr">
        <is>
          <t>Camping</t>
        </is>
      </c>
      <c r="H262" s="36" t="inlineStr">
        <is>
          <t>Trail Tent 2P</t>
        </is>
      </c>
      <c r="I262" s="36" t="n">
        <v>2</v>
      </c>
      <c r="J262" s="39" t="n">
        <v>195.92</v>
      </c>
      <c r="K262" s="45" t="n">
        <v>0.05</v>
      </c>
      <c r="L262" s="39" t="n">
        <v>104.13</v>
      </c>
      <c r="M262" s="39">
        <f>I262*J262*(1-K262)</f>
        <v/>
      </c>
      <c r="N262" s="39">
        <f>I262*L262</f>
        <v/>
      </c>
      <c r="O262" s="39">
        <f>M262-N262</f>
        <v/>
      </c>
      <c r="P262" s="38">
        <f>IF(M262=0,0,O262/M262)</f>
        <v/>
      </c>
      <c r="Q262" s="36">
        <f>YEAR(B262)</f>
        <v/>
      </c>
      <c r="R262" s="36">
        <f>"Q"&amp;ROUNDUP(MONTH(B262)/3,0)</f>
        <v/>
      </c>
      <c r="S262" s="36">
        <f>MONTH(B262)</f>
        <v/>
      </c>
      <c r="T262" s="36">
        <f>TEXT(B262,"mmm")</f>
        <v/>
      </c>
      <c r="U262" s="36">
        <f>IF(AND(OR(sel_Region="All",C262=sel_Region),OR(sel_Country="All",D262=sel_Country),OR(sel_Channel="All",E262=sel_Channel),OR(sel_Customer="All",F262=sel_Customer),OR(sel_Category="All",G262=sel_Category),OR(sel_Product="All",H262=sel_Product),AND(S262&gt;=m_From,S262&lt;=m_To)),1,0)</f>
        <v/>
      </c>
      <c r="V262" s="36">
        <f>IF(AND(OR(sel_Region="All",C262=sel_Region),OR(sel_Channel="All",E262=sel_Channel),OR(sel_Customer="All",F262=sel_Customer),OR(sel_Category="All",G262=sel_Category),OR(sel_Product="All",H262=sel_Product),AND(S262&gt;=m_From,S262&lt;=m_To)),1,0)</f>
        <v/>
      </c>
      <c r="W262" s="36">
        <f>IF(AND(OR(sel_Region="All",C262=sel_Region),OR(sel_Country="All",D262=sel_Country),OR(sel_Customer="All",F262=sel_Customer),OR(sel_Category="All",G262=sel_Category),OR(sel_Product="All",H262=sel_Product),AND(S262&gt;=m_From,S262&lt;=m_To)),1,0)</f>
        <v/>
      </c>
      <c r="X262" s="36">
        <f>IF(AND(OR(sel_Region="All",C262=sel_Region),OR(sel_Country="All",D262=sel_Country),OR(sel_Channel="All",E262=sel_Channel),OR(sel_Category="All",G262=sel_Category),OR(sel_Product="All",H262=sel_Product),AND(S262&gt;=m_From,S262&lt;=m_To)),1,0)</f>
        <v/>
      </c>
      <c r="Y262" s="36">
        <f>IF(AND(OR(sel_Region="All",C262=sel_Region),OR(sel_Country="All",D262=sel_Country),OR(sel_Channel="All",E262=sel_Channel),OR(sel_Customer="All",F262=sel_Customer),OR(sel_Product="All",H262=sel_Product),AND(S262&gt;=m_From,S262&lt;=m_To)),1,0)</f>
        <v/>
      </c>
      <c r="Z262" s="36">
        <f>IF(AND(OR(sel_Region="All",C262=sel_Region),OR(sel_Country="All",D262=sel_Country),OR(sel_Channel="All",E262=sel_Channel),OR(sel_Customer="All",F262=sel_Customer),OR(sel_Category="All",G262=sel_Category),AND(S262&gt;=m_From,S262&lt;=m_To)),1,0)</f>
        <v/>
      </c>
      <c r="AA262" s="36">
        <f>IF(AND(OR(sel_Region="All",C262=sel_Region),OR(sel_Country="All",D262=sel_Country),OR(sel_Channel="All",E262=sel_Channel),OR(sel_Customer="All",F262=sel_Customer),OR(sel_Category="All",G262=sel_Category),OR(sel_Product="All",H262=sel_Product)),1,0)</f>
        <v/>
      </c>
    </row>
    <row r="263">
      <c r="A263" s="36" t="inlineStr">
        <is>
          <t>03666</t>
        </is>
      </c>
      <c r="B263" s="44" t="n">
        <v>46079</v>
      </c>
      <c r="C263" s="36" t="inlineStr">
        <is>
          <t>Southern Europe</t>
        </is>
      </c>
      <c r="D263" s="36" t="inlineStr">
        <is>
          <t>Italy</t>
        </is>
      </c>
      <c r="E263" s="36" t="inlineStr">
        <is>
          <t>Online Store</t>
        </is>
      </c>
      <c r="F263" s="36" t="inlineStr">
        <is>
          <t>Returning</t>
        </is>
      </c>
      <c r="G263" s="36" t="inlineStr">
        <is>
          <t>Travel</t>
        </is>
      </c>
      <c r="H263" s="36" t="inlineStr">
        <is>
          <t>Insulated Bottle</t>
        </is>
      </c>
      <c r="I263" s="36" t="n">
        <v>1</v>
      </c>
      <c r="J263" s="39" t="n">
        <v>36.19</v>
      </c>
      <c r="K263" s="45" t="n">
        <v>0.1</v>
      </c>
      <c r="L263" s="39" t="n">
        <v>13.62</v>
      </c>
      <c r="M263" s="39">
        <f>I263*J263*(1-K263)</f>
        <v/>
      </c>
      <c r="N263" s="39">
        <f>I263*L263</f>
        <v/>
      </c>
      <c r="O263" s="39">
        <f>M263-N263</f>
        <v/>
      </c>
      <c r="P263" s="38">
        <f>IF(M263=0,0,O263/M263)</f>
        <v/>
      </c>
      <c r="Q263" s="36">
        <f>YEAR(B263)</f>
        <v/>
      </c>
      <c r="R263" s="36">
        <f>"Q"&amp;ROUNDUP(MONTH(B263)/3,0)</f>
        <v/>
      </c>
      <c r="S263" s="36">
        <f>MONTH(B263)</f>
        <v/>
      </c>
      <c r="T263" s="36">
        <f>TEXT(B263,"mmm")</f>
        <v/>
      </c>
      <c r="U263" s="36">
        <f>IF(AND(OR(sel_Region="All",C263=sel_Region),OR(sel_Country="All",D263=sel_Country),OR(sel_Channel="All",E263=sel_Channel),OR(sel_Customer="All",F263=sel_Customer),OR(sel_Category="All",G263=sel_Category),OR(sel_Product="All",H263=sel_Product),AND(S263&gt;=m_From,S263&lt;=m_To)),1,0)</f>
        <v/>
      </c>
      <c r="V263" s="36">
        <f>IF(AND(OR(sel_Region="All",C263=sel_Region),OR(sel_Channel="All",E263=sel_Channel),OR(sel_Customer="All",F263=sel_Customer),OR(sel_Category="All",G263=sel_Category),OR(sel_Product="All",H263=sel_Product),AND(S263&gt;=m_From,S263&lt;=m_To)),1,0)</f>
        <v/>
      </c>
      <c r="W263" s="36">
        <f>IF(AND(OR(sel_Region="All",C263=sel_Region),OR(sel_Country="All",D263=sel_Country),OR(sel_Customer="All",F263=sel_Customer),OR(sel_Category="All",G263=sel_Category),OR(sel_Product="All",H263=sel_Product),AND(S263&gt;=m_From,S263&lt;=m_To)),1,0)</f>
        <v/>
      </c>
      <c r="X263" s="36">
        <f>IF(AND(OR(sel_Region="All",C263=sel_Region),OR(sel_Country="All",D263=sel_Country),OR(sel_Channel="All",E263=sel_Channel),OR(sel_Category="All",G263=sel_Category),OR(sel_Product="All",H263=sel_Product),AND(S263&gt;=m_From,S263&lt;=m_To)),1,0)</f>
        <v/>
      </c>
      <c r="Y263" s="36">
        <f>IF(AND(OR(sel_Region="All",C263=sel_Region),OR(sel_Country="All",D263=sel_Country),OR(sel_Channel="All",E263=sel_Channel),OR(sel_Customer="All",F263=sel_Customer),OR(sel_Product="All",H263=sel_Product),AND(S263&gt;=m_From,S263&lt;=m_To)),1,0)</f>
        <v/>
      </c>
      <c r="Z263" s="36">
        <f>IF(AND(OR(sel_Region="All",C263=sel_Region),OR(sel_Country="All",D263=sel_Country),OR(sel_Channel="All",E263=sel_Channel),OR(sel_Customer="All",F263=sel_Customer),OR(sel_Category="All",G263=sel_Category),AND(S263&gt;=m_From,S263&lt;=m_To)),1,0)</f>
        <v/>
      </c>
      <c r="AA263" s="36">
        <f>IF(AND(OR(sel_Region="All",C263=sel_Region),OR(sel_Country="All",D263=sel_Country),OR(sel_Channel="All",E263=sel_Channel),OR(sel_Customer="All",F263=sel_Customer),OR(sel_Category="All",G263=sel_Category),OR(sel_Product="All",H263=sel_Product)),1,0)</f>
        <v/>
      </c>
    </row>
    <row r="264">
      <c r="A264" s="36" t="inlineStr">
        <is>
          <t>00518</t>
        </is>
      </c>
      <c r="B264" s="44" t="n">
        <v>46080</v>
      </c>
      <c r="C264" s="36" t="inlineStr">
        <is>
          <t>Northern Europe</t>
        </is>
      </c>
      <c r="D264" s="36" t="inlineStr">
        <is>
          <t>Sweden</t>
        </is>
      </c>
      <c r="E264" s="36" t="inlineStr">
        <is>
          <t>Online Store</t>
        </is>
      </c>
      <c r="F264" s="36" t="inlineStr">
        <is>
          <t>New</t>
        </is>
      </c>
      <c r="G264" s="36" t="inlineStr">
        <is>
          <t>Hiking</t>
        </is>
      </c>
      <c r="H264" s="36" t="inlineStr">
        <is>
          <t>Trekking Poles</t>
        </is>
      </c>
      <c r="I264" s="36" t="n">
        <v>1</v>
      </c>
      <c r="J264" s="39" t="n">
        <v>72.97</v>
      </c>
      <c r="K264" s="45" t="n">
        <v>0</v>
      </c>
      <c r="L264" s="39" t="n">
        <v>32.43</v>
      </c>
      <c r="M264" s="39">
        <f>I264*J264*(1-K264)</f>
        <v/>
      </c>
      <c r="N264" s="39">
        <f>I264*L264</f>
        <v/>
      </c>
      <c r="O264" s="39">
        <f>M264-N264</f>
        <v/>
      </c>
      <c r="P264" s="38">
        <f>IF(M264=0,0,O264/M264)</f>
        <v/>
      </c>
      <c r="Q264" s="36">
        <f>YEAR(B264)</f>
        <v/>
      </c>
      <c r="R264" s="36">
        <f>"Q"&amp;ROUNDUP(MONTH(B264)/3,0)</f>
        <v/>
      </c>
      <c r="S264" s="36">
        <f>MONTH(B264)</f>
        <v/>
      </c>
      <c r="T264" s="36">
        <f>TEXT(B264,"mmm")</f>
        <v/>
      </c>
      <c r="U264" s="36">
        <f>IF(AND(OR(sel_Region="All",C264=sel_Region),OR(sel_Country="All",D264=sel_Country),OR(sel_Channel="All",E264=sel_Channel),OR(sel_Customer="All",F264=sel_Customer),OR(sel_Category="All",G264=sel_Category),OR(sel_Product="All",H264=sel_Product),AND(S264&gt;=m_From,S264&lt;=m_To)),1,0)</f>
        <v/>
      </c>
      <c r="V264" s="36">
        <f>IF(AND(OR(sel_Region="All",C264=sel_Region),OR(sel_Channel="All",E264=sel_Channel),OR(sel_Customer="All",F264=sel_Customer),OR(sel_Category="All",G264=sel_Category),OR(sel_Product="All",H264=sel_Product),AND(S264&gt;=m_From,S264&lt;=m_To)),1,0)</f>
        <v/>
      </c>
      <c r="W264" s="36">
        <f>IF(AND(OR(sel_Region="All",C264=sel_Region),OR(sel_Country="All",D264=sel_Country),OR(sel_Customer="All",F264=sel_Customer),OR(sel_Category="All",G264=sel_Category),OR(sel_Product="All",H264=sel_Product),AND(S264&gt;=m_From,S264&lt;=m_To)),1,0)</f>
        <v/>
      </c>
      <c r="X264" s="36">
        <f>IF(AND(OR(sel_Region="All",C264=sel_Region),OR(sel_Country="All",D264=sel_Country),OR(sel_Channel="All",E264=sel_Channel),OR(sel_Category="All",G264=sel_Category),OR(sel_Product="All",H264=sel_Product),AND(S264&gt;=m_From,S264&lt;=m_To)),1,0)</f>
        <v/>
      </c>
      <c r="Y264" s="36">
        <f>IF(AND(OR(sel_Region="All",C264=sel_Region),OR(sel_Country="All",D264=sel_Country),OR(sel_Channel="All",E264=sel_Channel),OR(sel_Customer="All",F264=sel_Customer),OR(sel_Product="All",H264=sel_Product),AND(S264&gt;=m_From,S264&lt;=m_To)),1,0)</f>
        <v/>
      </c>
      <c r="Z264" s="36">
        <f>IF(AND(OR(sel_Region="All",C264=sel_Region),OR(sel_Country="All",D264=sel_Country),OR(sel_Channel="All",E264=sel_Channel),OR(sel_Customer="All",F264=sel_Customer),OR(sel_Category="All",G264=sel_Category),AND(S264&gt;=m_From,S264&lt;=m_To)),1,0)</f>
        <v/>
      </c>
      <c r="AA264" s="36">
        <f>IF(AND(OR(sel_Region="All",C264=sel_Region),OR(sel_Country="All",D264=sel_Country),OR(sel_Channel="All",E264=sel_Channel),OR(sel_Customer="All",F264=sel_Customer),OR(sel_Category="All",G264=sel_Category),OR(sel_Product="All",H264=sel_Product)),1,0)</f>
        <v/>
      </c>
    </row>
    <row r="265">
      <c r="A265" s="36" t="inlineStr">
        <is>
          <t>00892</t>
        </is>
      </c>
      <c r="B265" s="44" t="n">
        <v>46080</v>
      </c>
      <c r="C265" s="36" t="inlineStr">
        <is>
          <t>Western Europe</t>
        </is>
      </c>
      <c r="D265" s="36" t="inlineStr">
        <is>
          <t>Netherlands</t>
        </is>
      </c>
      <c r="E265" s="36" t="inlineStr">
        <is>
          <t>Corporate</t>
        </is>
      </c>
      <c r="F265" s="36" t="inlineStr">
        <is>
          <t>Business</t>
        </is>
      </c>
      <c r="G265" s="36" t="inlineStr">
        <is>
          <t>Travel</t>
        </is>
      </c>
      <c r="H265" s="36" t="inlineStr">
        <is>
          <t>Packing Cube Set</t>
        </is>
      </c>
      <c r="I265" s="36" t="n">
        <v>12</v>
      </c>
      <c r="J265" s="39" t="n">
        <v>47.15</v>
      </c>
      <c r="K265" s="45" t="n">
        <v>0.1</v>
      </c>
      <c r="L265" s="39" t="n">
        <v>17.83</v>
      </c>
      <c r="M265" s="39">
        <f>I265*J265*(1-K265)</f>
        <v/>
      </c>
      <c r="N265" s="39">
        <f>I265*L265</f>
        <v/>
      </c>
      <c r="O265" s="39">
        <f>M265-N265</f>
        <v/>
      </c>
      <c r="P265" s="38">
        <f>IF(M265=0,0,O265/M265)</f>
        <v/>
      </c>
      <c r="Q265" s="36">
        <f>YEAR(B265)</f>
        <v/>
      </c>
      <c r="R265" s="36">
        <f>"Q"&amp;ROUNDUP(MONTH(B265)/3,0)</f>
        <v/>
      </c>
      <c r="S265" s="36">
        <f>MONTH(B265)</f>
        <v/>
      </c>
      <c r="T265" s="36">
        <f>TEXT(B265,"mmm")</f>
        <v/>
      </c>
      <c r="U265" s="36">
        <f>IF(AND(OR(sel_Region="All",C265=sel_Region),OR(sel_Country="All",D265=sel_Country),OR(sel_Channel="All",E265=sel_Channel),OR(sel_Customer="All",F265=sel_Customer),OR(sel_Category="All",G265=sel_Category),OR(sel_Product="All",H265=sel_Product),AND(S265&gt;=m_From,S265&lt;=m_To)),1,0)</f>
        <v/>
      </c>
      <c r="V265" s="36">
        <f>IF(AND(OR(sel_Region="All",C265=sel_Region),OR(sel_Channel="All",E265=sel_Channel),OR(sel_Customer="All",F265=sel_Customer),OR(sel_Category="All",G265=sel_Category),OR(sel_Product="All",H265=sel_Product),AND(S265&gt;=m_From,S265&lt;=m_To)),1,0)</f>
        <v/>
      </c>
      <c r="W265" s="36">
        <f>IF(AND(OR(sel_Region="All",C265=sel_Region),OR(sel_Country="All",D265=sel_Country),OR(sel_Customer="All",F265=sel_Customer),OR(sel_Category="All",G265=sel_Category),OR(sel_Product="All",H265=sel_Product),AND(S265&gt;=m_From,S265&lt;=m_To)),1,0)</f>
        <v/>
      </c>
      <c r="X265" s="36">
        <f>IF(AND(OR(sel_Region="All",C265=sel_Region),OR(sel_Country="All",D265=sel_Country),OR(sel_Channel="All",E265=sel_Channel),OR(sel_Category="All",G265=sel_Category),OR(sel_Product="All",H265=sel_Product),AND(S265&gt;=m_From,S265&lt;=m_To)),1,0)</f>
        <v/>
      </c>
      <c r="Y265" s="36">
        <f>IF(AND(OR(sel_Region="All",C265=sel_Region),OR(sel_Country="All",D265=sel_Country),OR(sel_Channel="All",E265=sel_Channel),OR(sel_Customer="All",F265=sel_Customer),OR(sel_Product="All",H265=sel_Product),AND(S265&gt;=m_From,S265&lt;=m_To)),1,0)</f>
        <v/>
      </c>
      <c r="Z265" s="36">
        <f>IF(AND(OR(sel_Region="All",C265=sel_Region),OR(sel_Country="All",D265=sel_Country),OR(sel_Channel="All",E265=sel_Channel),OR(sel_Customer="All",F265=sel_Customer),OR(sel_Category="All",G265=sel_Category),AND(S265&gt;=m_From,S265&lt;=m_To)),1,0)</f>
        <v/>
      </c>
      <c r="AA265" s="36">
        <f>IF(AND(OR(sel_Region="All",C265=sel_Region),OR(sel_Country="All",D265=sel_Country),OR(sel_Channel="All",E265=sel_Channel),OR(sel_Customer="All",F265=sel_Customer),OR(sel_Category="All",G265=sel_Category),OR(sel_Product="All",H265=sel_Product)),1,0)</f>
        <v/>
      </c>
    </row>
    <row r="266">
      <c r="A266" s="36" t="inlineStr">
        <is>
          <t>01115</t>
        </is>
      </c>
      <c r="B266" s="44" t="n">
        <v>46080</v>
      </c>
      <c r="C266" s="36" t="inlineStr">
        <is>
          <t>Southern Europe</t>
        </is>
      </c>
      <c r="D266" s="36" t="inlineStr">
        <is>
          <t>Spain</t>
        </is>
      </c>
      <c r="E266" s="36" t="inlineStr">
        <is>
          <t>Retail Partners</t>
        </is>
      </c>
      <c r="F266" s="36" t="inlineStr">
        <is>
          <t>Business</t>
        </is>
      </c>
      <c r="G266" s="36" t="inlineStr">
        <is>
          <t>Travel</t>
        </is>
      </c>
      <c r="H266" s="36" t="inlineStr">
        <is>
          <t>Travel Backpack 35L</t>
        </is>
      </c>
      <c r="I266" s="36" t="n">
        <v>3</v>
      </c>
      <c r="J266" s="39" t="n">
        <v>161.2</v>
      </c>
      <c r="K266" s="45" t="n">
        <v>0.1</v>
      </c>
      <c r="L266" s="39" t="n">
        <v>87.37</v>
      </c>
      <c r="M266" s="39">
        <f>I266*J266*(1-K266)</f>
        <v/>
      </c>
      <c r="N266" s="39">
        <f>I266*L266</f>
        <v/>
      </c>
      <c r="O266" s="39">
        <f>M266-N266</f>
        <v/>
      </c>
      <c r="P266" s="38">
        <f>IF(M266=0,0,O266/M266)</f>
        <v/>
      </c>
      <c r="Q266" s="36">
        <f>YEAR(B266)</f>
        <v/>
      </c>
      <c r="R266" s="36">
        <f>"Q"&amp;ROUNDUP(MONTH(B266)/3,0)</f>
        <v/>
      </c>
      <c r="S266" s="36">
        <f>MONTH(B266)</f>
        <v/>
      </c>
      <c r="T266" s="36">
        <f>TEXT(B266,"mmm")</f>
        <v/>
      </c>
      <c r="U266" s="36">
        <f>IF(AND(OR(sel_Region="All",C266=sel_Region),OR(sel_Country="All",D266=sel_Country),OR(sel_Channel="All",E266=sel_Channel),OR(sel_Customer="All",F266=sel_Customer),OR(sel_Category="All",G266=sel_Category),OR(sel_Product="All",H266=sel_Product),AND(S266&gt;=m_From,S266&lt;=m_To)),1,0)</f>
        <v/>
      </c>
      <c r="V266" s="36">
        <f>IF(AND(OR(sel_Region="All",C266=sel_Region),OR(sel_Channel="All",E266=sel_Channel),OR(sel_Customer="All",F266=sel_Customer),OR(sel_Category="All",G266=sel_Category),OR(sel_Product="All",H266=sel_Product),AND(S266&gt;=m_From,S266&lt;=m_To)),1,0)</f>
        <v/>
      </c>
      <c r="W266" s="36">
        <f>IF(AND(OR(sel_Region="All",C266=sel_Region),OR(sel_Country="All",D266=sel_Country),OR(sel_Customer="All",F266=sel_Customer),OR(sel_Category="All",G266=sel_Category),OR(sel_Product="All",H266=sel_Product),AND(S266&gt;=m_From,S266&lt;=m_To)),1,0)</f>
        <v/>
      </c>
      <c r="X266" s="36">
        <f>IF(AND(OR(sel_Region="All",C266=sel_Region),OR(sel_Country="All",D266=sel_Country),OR(sel_Channel="All",E266=sel_Channel),OR(sel_Category="All",G266=sel_Category),OR(sel_Product="All",H266=sel_Product),AND(S266&gt;=m_From,S266&lt;=m_To)),1,0)</f>
        <v/>
      </c>
      <c r="Y266" s="36">
        <f>IF(AND(OR(sel_Region="All",C266=sel_Region),OR(sel_Country="All",D266=sel_Country),OR(sel_Channel="All",E266=sel_Channel),OR(sel_Customer="All",F266=sel_Customer),OR(sel_Product="All",H266=sel_Product),AND(S266&gt;=m_From,S266&lt;=m_To)),1,0)</f>
        <v/>
      </c>
      <c r="Z266" s="36">
        <f>IF(AND(OR(sel_Region="All",C266=sel_Region),OR(sel_Country="All",D266=sel_Country),OR(sel_Channel="All",E266=sel_Channel),OR(sel_Customer="All",F266=sel_Customer),OR(sel_Category="All",G266=sel_Category),AND(S266&gt;=m_From,S266&lt;=m_To)),1,0)</f>
        <v/>
      </c>
      <c r="AA266" s="36">
        <f>IF(AND(OR(sel_Region="All",C266=sel_Region),OR(sel_Country="All",D266=sel_Country),OR(sel_Channel="All",E266=sel_Channel),OR(sel_Customer="All",F266=sel_Customer),OR(sel_Category="All",G266=sel_Category),OR(sel_Product="All",H266=sel_Product)),1,0)</f>
        <v/>
      </c>
    </row>
    <row r="267">
      <c r="A267" s="36" t="inlineStr">
        <is>
          <t>01186</t>
        </is>
      </c>
      <c r="B267" s="44" t="n">
        <v>46080</v>
      </c>
      <c r="C267" s="36" t="inlineStr">
        <is>
          <t>Southern Europe</t>
        </is>
      </c>
      <c r="D267" s="36" t="inlineStr">
        <is>
          <t>Portugal</t>
        </is>
      </c>
      <c r="E267" s="36" t="inlineStr">
        <is>
          <t>Retail Partners</t>
        </is>
      </c>
      <c r="F267" s="36" t="inlineStr">
        <is>
          <t>Business</t>
        </is>
      </c>
      <c r="G267" s="36" t="inlineStr">
        <is>
          <t>Cycling</t>
        </is>
      </c>
      <c r="H267" s="36" t="inlineStr">
        <is>
          <t>Trail Bike Light</t>
        </is>
      </c>
      <c r="I267" s="36" t="n">
        <v>1</v>
      </c>
      <c r="J267" s="39" t="n">
        <v>49.73</v>
      </c>
      <c r="K267" s="45" t="n">
        <v>0</v>
      </c>
      <c r="L267" s="39" t="n">
        <v>22</v>
      </c>
      <c r="M267" s="39">
        <f>I267*J267*(1-K267)</f>
        <v/>
      </c>
      <c r="N267" s="39">
        <f>I267*L267</f>
        <v/>
      </c>
      <c r="O267" s="39">
        <f>M267-N267</f>
        <v/>
      </c>
      <c r="P267" s="38">
        <f>IF(M267=0,0,O267/M267)</f>
        <v/>
      </c>
      <c r="Q267" s="36">
        <f>YEAR(B267)</f>
        <v/>
      </c>
      <c r="R267" s="36">
        <f>"Q"&amp;ROUNDUP(MONTH(B267)/3,0)</f>
        <v/>
      </c>
      <c r="S267" s="36">
        <f>MONTH(B267)</f>
        <v/>
      </c>
      <c r="T267" s="36">
        <f>TEXT(B267,"mmm")</f>
        <v/>
      </c>
      <c r="U267" s="36">
        <f>IF(AND(OR(sel_Region="All",C267=sel_Region),OR(sel_Country="All",D267=sel_Country),OR(sel_Channel="All",E267=sel_Channel),OR(sel_Customer="All",F267=sel_Customer),OR(sel_Category="All",G267=sel_Category),OR(sel_Product="All",H267=sel_Product),AND(S267&gt;=m_From,S267&lt;=m_To)),1,0)</f>
        <v/>
      </c>
      <c r="V267" s="36">
        <f>IF(AND(OR(sel_Region="All",C267=sel_Region),OR(sel_Channel="All",E267=sel_Channel),OR(sel_Customer="All",F267=sel_Customer),OR(sel_Category="All",G267=sel_Category),OR(sel_Product="All",H267=sel_Product),AND(S267&gt;=m_From,S267&lt;=m_To)),1,0)</f>
        <v/>
      </c>
      <c r="W267" s="36">
        <f>IF(AND(OR(sel_Region="All",C267=sel_Region),OR(sel_Country="All",D267=sel_Country),OR(sel_Customer="All",F267=sel_Customer),OR(sel_Category="All",G267=sel_Category),OR(sel_Product="All",H267=sel_Product),AND(S267&gt;=m_From,S267&lt;=m_To)),1,0)</f>
        <v/>
      </c>
      <c r="X267" s="36">
        <f>IF(AND(OR(sel_Region="All",C267=sel_Region),OR(sel_Country="All",D267=sel_Country),OR(sel_Channel="All",E267=sel_Channel),OR(sel_Category="All",G267=sel_Category),OR(sel_Product="All",H267=sel_Product),AND(S267&gt;=m_From,S267&lt;=m_To)),1,0)</f>
        <v/>
      </c>
      <c r="Y267" s="36">
        <f>IF(AND(OR(sel_Region="All",C267=sel_Region),OR(sel_Country="All",D267=sel_Country),OR(sel_Channel="All",E267=sel_Channel),OR(sel_Customer="All",F267=sel_Customer),OR(sel_Product="All",H267=sel_Product),AND(S267&gt;=m_From,S267&lt;=m_To)),1,0)</f>
        <v/>
      </c>
      <c r="Z267" s="36">
        <f>IF(AND(OR(sel_Region="All",C267=sel_Region),OR(sel_Country="All",D267=sel_Country),OR(sel_Channel="All",E267=sel_Channel),OR(sel_Customer="All",F267=sel_Customer),OR(sel_Category="All",G267=sel_Category),AND(S267&gt;=m_From,S267&lt;=m_To)),1,0)</f>
        <v/>
      </c>
      <c r="AA267" s="36">
        <f>IF(AND(OR(sel_Region="All",C267=sel_Region),OR(sel_Country="All",D267=sel_Country),OR(sel_Channel="All",E267=sel_Channel),OR(sel_Customer="All",F267=sel_Customer),OR(sel_Category="All",G267=sel_Category),OR(sel_Product="All",H267=sel_Product)),1,0)</f>
        <v/>
      </c>
    </row>
    <row r="268">
      <c r="A268" s="36" t="inlineStr">
        <is>
          <t>02093</t>
        </is>
      </c>
      <c r="B268" s="44" t="n">
        <v>46080</v>
      </c>
      <c r="C268" s="36" t="inlineStr">
        <is>
          <t>Northern Europe</t>
        </is>
      </c>
      <c r="D268" s="36" t="inlineStr">
        <is>
          <t>Norway</t>
        </is>
      </c>
      <c r="E268" s="36" t="inlineStr">
        <is>
          <t>Online Store</t>
        </is>
      </c>
      <c r="F268" s="36" t="inlineStr">
        <is>
          <t>Returning</t>
        </is>
      </c>
      <c r="G268" s="36" t="inlineStr">
        <is>
          <t>Camping</t>
        </is>
      </c>
      <c r="H268" s="36" t="inlineStr">
        <is>
          <t>Compact Sleeping Bag</t>
        </is>
      </c>
      <c r="I268" s="36" t="n">
        <v>2</v>
      </c>
      <c r="J268" s="39" t="n">
        <v>126.19</v>
      </c>
      <c r="K268" s="45" t="n">
        <v>0</v>
      </c>
      <c r="L268" s="39" t="n">
        <v>58.99</v>
      </c>
      <c r="M268" s="39">
        <f>I268*J268*(1-K268)</f>
        <v/>
      </c>
      <c r="N268" s="39">
        <f>I268*L268</f>
        <v/>
      </c>
      <c r="O268" s="39">
        <f>M268-N268</f>
        <v/>
      </c>
      <c r="P268" s="38">
        <f>IF(M268=0,0,O268/M268)</f>
        <v/>
      </c>
      <c r="Q268" s="36">
        <f>YEAR(B268)</f>
        <v/>
      </c>
      <c r="R268" s="36">
        <f>"Q"&amp;ROUNDUP(MONTH(B268)/3,0)</f>
        <v/>
      </c>
      <c r="S268" s="36">
        <f>MONTH(B268)</f>
        <v/>
      </c>
      <c r="T268" s="36">
        <f>TEXT(B268,"mmm")</f>
        <v/>
      </c>
      <c r="U268" s="36">
        <f>IF(AND(OR(sel_Region="All",C268=sel_Region),OR(sel_Country="All",D268=sel_Country),OR(sel_Channel="All",E268=sel_Channel),OR(sel_Customer="All",F268=sel_Customer),OR(sel_Category="All",G268=sel_Category),OR(sel_Product="All",H268=sel_Product),AND(S268&gt;=m_From,S268&lt;=m_To)),1,0)</f>
        <v/>
      </c>
      <c r="V268" s="36">
        <f>IF(AND(OR(sel_Region="All",C268=sel_Region),OR(sel_Channel="All",E268=sel_Channel),OR(sel_Customer="All",F268=sel_Customer),OR(sel_Category="All",G268=sel_Category),OR(sel_Product="All",H268=sel_Product),AND(S268&gt;=m_From,S268&lt;=m_To)),1,0)</f>
        <v/>
      </c>
      <c r="W268" s="36">
        <f>IF(AND(OR(sel_Region="All",C268=sel_Region),OR(sel_Country="All",D268=sel_Country),OR(sel_Customer="All",F268=sel_Customer),OR(sel_Category="All",G268=sel_Category),OR(sel_Product="All",H268=sel_Product),AND(S268&gt;=m_From,S268&lt;=m_To)),1,0)</f>
        <v/>
      </c>
      <c r="X268" s="36">
        <f>IF(AND(OR(sel_Region="All",C268=sel_Region),OR(sel_Country="All",D268=sel_Country),OR(sel_Channel="All",E268=sel_Channel),OR(sel_Category="All",G268=sel_Category),OR(sel_Product="All",H268=sel_Product),AND(S268&gt;=m_From,S268&lt;=m_To)),1,0)</f>
        <v/>
      </c>
      <c r="Y268" s="36">
        <f>IF(AND(OR(sel_Region="All",C268=sel_Region),OR(sel_Country="All",D268=sel_Country),OR(sel_Channel="All",E268=sel_Channel),OR(sel_Customer="All",F268=sel_Customer),OR(sel_Product="All",H268=sel_Product),AND(S268&gt;=m_From,S268&lt;=m_To)),1,0)</f>
        <v/>
      </c>
      <c r="Z268" s="36">
        <f>IF(AND(OR(sel_Region="All",C268=sel_Region),OR(sel_Country="All",D268=sel_Country),OR(sel_Channel="All",E268=sel_Channel),OR(sel_Customer="All",F268=sel_Customer),OR(sel_Category="All",G268=sel_Category),AND(S268&gt;=m_From,S268&lt;=m_To)),1,0)</f>
        <v/>
      </c>
      <c r="AA268" s="36">
        <f>IF(AND(OR(sel_Region="All",C268=sel_Region),OR(sel_Country="All",D268=sel_Country),OR(sel_Channel="All",E268=sel_Channel),OR(sel_Customer="All",F268=sel_Customer),OR(sel_Category="All",G268=sel_Category),OR(sel_Product="All",H268=sel_Product)),1,0)</f>
        <v/>
      </c>
    </row>
    <row r="269">
      <c r="A269" s="36" t="inlineStr">
        <is>
          <t>02136</t>
        </is>
      </c>
      <c r="B269" s="44" t="n">
        <v>46080</v>
      </c>
      <c r="C269" s="36" t="inlineStr">
        <is>
          <t>Central Europe</t>
        </is>
      </c>
      <c r="D269" s="36" t="inlineStr">
        <is>
          <t>Germany</t>
        </is>
      </c>
      <c r="E269" s="36" t="inlineStr">
        <is>
          <t>Online Store</t>
        </is>
      </c>
      <c r="F269" s="36" t="inlineStr">
        <is>
          <t>Returning</t>
        </is>
      </c>
      <c r="G269" s="36" t="inlineStr">
        <is>
          <t>Travel</t>
        </is>
      </c>
      <c r="H269" s="36" t="inlineStr">
        <is>
          <t>Carry-On Duffel</t>
        </is>
      </c>
      <c r="I269" s="36" t="n">
        <v>2</v>
      </c>
      <c r="J269" s="39" t="n">
        <v>135.39</v>
      </c>
      <c r="K269" s="45" t="n">
        <v>0.05</v>
      </c>
      <c r="L269" s="39" t="n">
        <v>65.69</v>
      </c>
      <c r="M269" s="39">
        <f>I269*J269*(1-K269)</f>
        <v/>
      </c>
      <c r="N269" s="39">
        <f>I269*L269</f>
        <v/>
      </c>
      <c r="O269" s="39">
        <f>M269-N269</f>
        <v/>
      </c>
      <c r="P269" s="38">
        <f>IF(M269=0,0,O269/M269)</f>
        <v/>
      </c>
      <c r="Q269" s="36">
        <f>YEAR(B269)</f>
        <v/>
      </c>
      <c r="R269" s="36">
        <f>"Q"&amp;ROUNDUP(MONTH(B269)/3,0)</f>
        <v/>
      </c>
      <c r="S269" s="36">
        <f>MONTH(B269)</f>
        <v/>
      </c>
      <c r="T269" s="36">
        <f>TEXT(B269,"mmm")</f>
        <v/>
      </c>
      <c r="U269" s="36">
        <f>IF(AND(OR(sel_Region="All",C269=sel_Region),OR(sel_Country="All",D269=sel_Country),OR(sel_Channel="All",E269=sel_Channel),OR(sel_Customer="All",F269=sel_Customer),OR(sel_Category="All",G269=sel_Category),OR(sel_Product="All",H269=sel_Product),AND(S269&gt;=m_From,S269&lt;=m_To)),1,0)</f>
        <v/>
      </c>
      <c r="V269" s="36">
        <f>IF(AND(OR(sel_Region="All",C269=sel_Region),OR(sel_Channel="All",E269=sel_Channel),OR(sel_Customer="All",F269=sel_Customer),OR(sel_Category="All",G269=sel_Category),OR(sel_Product="All",H269=sel_Product),AND(S269&gt;=m_From,S269&lt;=m_To)),1,0)</f>
        <v/>
      </c>
      <c r="W269" s="36">
        <f>IF(AND(OR(sel_Region="All",C269=sel_Region),OR(sel_Country="All",D269=sel_Country),OR(sel_Customer="All",F269=sel_Customer),OR(sel_Category="All",G269=sel_Category),OR(sel_Product="All",H269=sel_Product),AND(S269&gt;=m_From,S269&lt;=m_To)),1,0)</f>
        <v/>
      </c>
      <c r="X269" s="36">
        <f>IF(AND(OR(sel_Region="All",C269=sel_Region),OR(sel_Country="All",D269=sel_Country),OR(sel_Channel="All",E269=sel_Channel),OR(sel_Category="All",G269=sel_Category),OR(sel_Product="All",H269=sel_Product),AND(S269&gt;=m_From,S269&lt;=m_To)),1,0)</f>
        <v/>
      </c>
      <c r="Y269" s="36">
        <f>IF(AND(OR(sel_Region="All",C269=sel_Region),OR(sel_Country="All",D269=sel_Country),OR(sel_Channel="All",E269=sel_Channel),OR(sel_Customer="All",F269=sel_Customer),OR(sel_Product="All",H269=sel_Product),AND(S269&gt;=m_From,S269&lt;=m_To)),1,0)</f>
        <v/>
      </c>
      <c r="Z269" s="36">
        <f>IF(AND(OR(sel_Region="All",C269=sel_Region),OR(sel_Country="All",D269=sel_Country),OR(sel_Channel="All",E269=sel_Channel),OR(sel_Customer="All",F269=sel_Customer),OR(sel_Category="All",G269=sel_Category),AND(S269&gt;=m_From,S269&lt;=m_To)),1,0)</f>
        <v/>
      </c>
      <c r="AA269" s="36">
        <f>IF(AND(OR(sel_Region="All",C269=sel_Region),OR(sel_Country="All",D269=sel_Country),OR(sel_Channel="All",E269=sel_Channel),OR(sel_Customer="All",F269=sel_Customer),OR(sel_Category="All",G269=sel_Category),OR(sel_Product="All",H269=sel_Product)),1,0)</f>
        <v/>
      </c>
    </row>
    <row r="270">
      <c r="A270" s="36" t="inlineStr">
        <is>
          <t>03538</t>
        </is>
      </c>
      <c r="B270" s="44" t="n">
        <v>46080</v>
      </c>
      <c r="C270" s="36" t="inlineStr">
        <is>
          <t>Central Europe</t>
        </is>
      </c>
      <c r="D270" s="36" t="inlineStr">
        <is>
          <t>Poland</t>
        </is>
      </c>
      <c r="E270" s="36" t="inlineStr">
        <is>
          <t>Corporate</t>
        </is>
      </c>
      <c r="F270" s="36" t="inlineStr">
        <is>
          <t>Business</t>
        </is>
      </c>
      <c r="G270" s="36" t="inlineStr">
        <is>
          <t>Fitness</t>
        </is>
      </c>
      <c r="H270" s="36" t="inlineStr">
        <is>
          <t>Resistance Band Set</t>
        </is>
      </c>
      <c r="I270" s="36" t="n">
        <v>12</v>
      </c>
      <c r="J270" s="39" t="n">
        <v>41.27</v>
      </c>
      <c r="K270" s="45" t="n">
        <v>0.1</v>
      </c>
      <c r="L270" s="39" t="n">
        <v>14.71</v>
      </c>
      <c r="M270" s="39">
        <f>I270*J270*(1-K270)</f>
        <v/>
      </c>
      <c r="N270" s="39">
        <f>I270*L270</f>
        <v/>
      </c>
      <c r="O270" s="39">
        <f>M270-N270</f>
        <v/>
      </c>
      <c r="P270" s="38">
        <f>IF(M270=0,0,O270/M270)</f>
        <v/>
      </c>
      <c r="Q270" s="36">
        <f>YEAR(B270)</f>
        <v/>
      </c>
      <c r="R270" s="36">
        <f>"Q"&amp;ROUNDUP(MONTH(B270)/3,0)</f>
        <v/>
      </c>
      <c r="S270" s="36">
        <f>MONTH(B270)</f>
        <v/>
      </c>
      <c r="T270" s="36">
        <f>TEXT(B270,"mmm")</f>
        <v/>
      </c>
      <c r="U270" s="36">
        <f>IF(AND(OR(sel_Region="All",C270=sel_Region),OR(sel_Country="All",D270=sel_Country),OR(sel_Channel="All",E270=sel_Channel),OR(sel_Customer="All",F270=sel_Customer),OR(sel_Category="All",G270=sel_Category),OR(sel_Product="All",H270=sel_Product),AND(S270&gt;=m_From,S270&lt;=m_To)),1,0)</f>
        <v/>
      </c>
      <c r="V270" s="36">
        <f>IF(AND(OR(sel_Region="All",C270=sel_Region),OR(sel_Channel="All",E270=sel_Channel),OR(sel_Customer="All",F270=sel_Customer),OR(sel_Category="All",G270=sel_Category),OR(sel_Product="All",H270=sel_Product),AND(S270&gt;=m_From,S270&lt;=m_To)),1,0)</f>
        <v/>
      </c>
      <c r="W270" s="36">
        <f>IF(AND(OR(sel_Region="All",C270=sel_Region),OR(sel_Country="All",D270=sel_Country),OR(sel_Customer="All",F270=sel_Customer),OR(sel_Category="All",G270=sel_Category),OR(sel_Product="All",H270=sel_Product),AND(S270&gt;=m_From,S270&lt;=m_To)),1,0)</f>
        <v/>
      </c>
      <c r="X270" s="36">
        <f>IF(AND(OR(sel_Region="All",C270=sel_Region),OR(sel_Country="All",D270=sel_Country),OR(sel_Channel="All",E270=sel_Channel),OR(sel_Category="All",G270=sel_Category),OR(sel_Product="All",H270=sel_Product),AND(S270&gt;=m_From,S270&lt;=m_To)),1,0)</f>
        <v/>
      </c>
      <c r="Y270" s="36">
        <f>IF(AND(OR(sel_Region="All",C270=sel_Region),OR(sel_Country="All",D270=sel_Country),OR(sel_Channel="All",E270=sel_Channel),OR(sel_Customer="All",F270=sel_Customer),OR(sel_Product="All",H270=sel_Product),AND(S270&gt;=m_From,S270&lt;=m_To)),1,0)</f>
        <v/>
      </c>
      <c r="Z270" s="36">
        <f>IF(AND(OR(sel_Region="All",C270=sel_Region),OR(sel_Country="All",D270=sel_Country),OR(sel_Channel="All",E270=sel_Channel),OR(sel_Customer="All",F270=sel_Customer),OR(sel_Category="All",G270=sel_Category),AND(S270&gt;=m_From,S270&lt;=m_To)),1,0)</f>
        <v/>
      </c>
      <c r="AA270" s="36">
        <f>IF(AND(OR(sel_Region="All",C270=sel_Region),OR(sel_Country="All",D270=sel_Country),OR(sel_Channel="All",E270=sel_Channel),OR(sel_Customer="All",F270=sel_Customer),OR(sel_Category="All",G270=sel_Category),OR(sel_Product="All",H270=sel_Product)),1,0)</f>
        <v/>
      </c>
    </row>
    <row r="271">
      <c r="A271" s="36" t="inlineStr">
        <is>
          <t>03891</t>
        </is>
      </c>
      <c r="B271" s="44" t="n">
        <v>46080</v>
      </c>
      <c r="C271" s="36" t="inlineStr">
        <is>
          <t>Southern Europe</t>
        </is>
      </c>
      <c r="D271" s="36" t="inlineStr">
        <is>
          <t>Spain</t>
        </is>
      </c>
      <c r="E271" s="36" t="inlineStr">
        <is>
          <t>Retail Partners</t>
        </is>
      </c>
      <c r="F271" s="36" t="inlineStr">
        <is>
          <t>Returning</t>
        </is>
      </c>
      <c r="G271" s="36" t="inlineStr">
        <is>
          <t>Cycling</t>
        </is>
      </c>
      <c r="H271" s="36" t="inlineStr">
        <is>
          <t>Commuter Helmet</t>
        </is>
      </c>
      <c r="I271" s="36" t="n">
        <v>1</v>
      </c>
      <c r="J271" s="39" t="n">
        <v>82.04000000000001</v>
      </c>
      <c r="K271" s="45" t="n">
        <v>0.1</v>
      </c>
      <c r="L271" s="39" t="n">
        <v>41.46</v>
      </c>
      <c r="M271" s="39">
        <f>I271*J271*(1-K271)</f>
        <v/>
      </c>
      <c r="N271" s="39">
        <f>I271*L271</f>
        <v/>
      </c>
      <c r="O271" s="39">
        <f>M271-N271</f>
        <v/>
      </c>
      <c r="P271" s="38">
        <f>IF(M271=0,0,O271/M271)</f>
        <v/>
      </c>
      <c r="Q271" s="36">
        <f>YEAR(B271)</f>
        <v/>
      </c>
      <c r="R271" s="36">
        <f>"Q"&amp;ROUNDUP(MONTH(B271)/3,0)</f>
        <v/>
      </c>
      <c r="S271" s="36">
        <f>MONTH(B271)</f>
        <v/>
      </c>
      <c r="T271" s="36">
        <f>TEXT(B271,"mmm")</f>
        <v/>
      </c>
      <c r="U271" s="36">
        <f>IF(AND(OR(sel_Region="All",C271=sel_Region),OR(sel_Country="All",D271=sel_Country),OR(sel_Channel="All",E271=sel_Channel),OR(sel_Customer="All",F271=sel_Customer),OR(sel_Category="All",G271=sel_Category),OR(sel_Product="All",H271=sel_Product),AND(S271&gt;=m_From,S271&lt;=m_To)),1,0)</f>
        <v/>
      </c>
      <c r="V271" s="36">
        <f>IF(AND(OR(sel_Region="All",C271=sel_Region),OR(sel_Channel="All",E271=sel_Channel),OR(sel_Customer="All",F271=sel_Customer),OR(sel_Category="All",G271=sel_Category),OR(sel_Product="All",H271=sel_Product),AND(S271&gt;=m_From,S271&lt;=m_To)),1,0)</f>
        <v/>
      </c>
      <c r="W271" s="36">
        <f>IF(AND(OR(sel_Region="All",C271=sel_Region),OR(sel_Country="All",D271=sel_Country),OR(sel_Customer="All",F271=sel_Customer),OR(sel_Category="All",G271=sel_Category),OR(sel_Product="All",H271=sel_Product),AND(S271&gt;=m_From,S271&lt;=m_To)),1,0)</f>
        <v/>
      </c>
      <c r="X271" s="36">
        <f>IF(AND(OR(sel_Region="All",C271=sel_Region),OR(sel_Country="All",D271=sel_Country),OR(sel_Channel="All",E271=sel_Channel),OR(sel_Category="All",G271=sel_Category),OR(sel_Product="All",H271=sel_Product),AND(S271&gt;=m_From,S271&lt;=m_To)),1,0)</f>
        <v/>
      </c>
      <c r="Y271" s="36">
        <f>IF(AND(OR(sel_Region="All",C271=sel_Region),OR(sel_Country="All",D271=sel_Country),OR(sel_Channel="All",E271=sel_Channel),OR(sel_Customer="All",F271=sel_Customer),OR(sel_Product="All",H271=sel_Product),AND(S271&gt;=m_From,S271&lt;=m_To)),1,0)</f>
        <v/>
      </c>
      <c r="Z271" s="36">
        <f>IF(AND(OR(sel_Region="All",C271=sel_Region),OR(sel_Country="All",D271=sel_Country),OR(sel_Channel="All",E271=sel_Channel),OR(sel_Customer="All",F271=sel_Customer),OR(sel_Category="All",G271=sel_Category),AND(S271&gt;=m_From,S271&lt;=m_To)),1,0)</f>
        <v/>
      </c>
      <c r="AA271" s="36">
        <f>IF(AND(OR(sel_Region="All",C271=sel_Region),OR(sel_Country="All",D271=sel_Country),OR(sel_Channel="All",E271=sel_Channel),OR(sel_Customer="All",F271=sel_Customer),OR(sel_Category="All",G271=sel_Category),OR(sel_Product="All",H271=sel_Product)),1,0)</f>
        <v/>
      </c>
    </row>
    <row r="272">
      <c r="A272" s="36" t="inlineStr">
        <is>
          <t>03917</t>
        </is>
      </c>
      <c r="B272" s="44" t="n">
        <v>46080</v>
      </c>
      <c r="C272" s="36" t="inlineStr">
        <is>
          <t>Western Europe</t>
        </is>
      </c>
      <c r="D272" s="36" t="inlineStr">
        <is>
          <t>Belgium</t>
        </is>
      </c>
      <c r="E272" s="36" t="inlineStr">
        <is>
          <t>Online Store</t>
        </is>
      </c>
      <c r="F272" s="36" t="inlineStr">
        <is>
          <t>Returning</t>
        </is>
      </c>
      <c r="G272" s="36" t="inlineStr">
        <is>
          <t>Travel</t>
        </is>
      </c>
      <c r="H272" s="36" t="inlineStr">
        <is>
          <t>Insulated Bottle</t>
        </is>
      </c>
      <c r="I272" s="36" t="n">
        <v>3</v>
      </c>
      <c r="J272" s="39" t="n">
        <v>36.63</v>
      </c>
      <c r="K272" s="45" t="n">
        <v>0</v>
      </c>
      <c r="L272" s="39" t="n">
        <v>13.26</v>
      </c>
      <c r="M272" s="39">
        <f>I272*J272*(1-K272)</f>
        <v/>
      </c>
      <c r="N272" s="39">
        <f>I272*L272</f>
        <v/>
      </c>
      <c r="O272" s="39">
        <f>M272-N272</f>
        <v/>
      </c>
      <c r="P272" s="38">
        <f>IF(M272=0,0,O272/M272)</f>
        <v/>
      </c>
      <c r="Q272" s="36">
        <f>YEAR(B272)</f>
        <v/>
      </c>
      <c r="R272" s="36">
        <f>"Q"&amp;ROUNDUP(MONTH(B272)/3,0)</f>
        <v/>
      </c>
      <c r="S272" s="36">
        <f>MONTH(B272)</f>
        <v/>
      </c>
      <c r="T272" s="36">
        <f>TEXT(B272,"mmm")</f>
        <v/>
      </c>
      <c r="U272" s="36">
        <f>IF(AND(OR(sel_Region="All",C272=sel_Region),OR(sel_Country="All",D272=sel_Country),OR(sel_Channel="All",E272=sel_Channel),OR(sel_Customer="All",F272=sel_Customer),OR(sel_Category="All",G272=sel_Category),OR(sel_Product="All",H272=sel_Product),AND(S272&gt;=m_From,S272&lt;=m_To)),1,0)</f>
        <v/>
      </c>
      <c r="V272" s="36">
        <f>IF(AND(OR(sel_Region="All",C272=sel_Region),OR(sel_Channel="All",E272=sel_Channel),OR(sel_Customer="All",F272=sel_Customer),OR(sel_Category="All",G272=sel_Category),OR(sel_Product="All",H272=sel_Product),AND(S272&gt;=m_From,S272&lt;=m_To)),1,0)</f>
        <v/>
      </c>
      <c r="W272" s="36">
        <f>IF(AND(OR(sel_Region="All",C272=sel_Region),OR(sel_Country="All",D272=sel_Country),OR(sel_Customer="All",F272=sel_Customer),OR(sel_Category="All",G272=sel_Category),OR(sel_Product="All",H272=sel_Product),AND(S272&gt;=m_From,S272&lt;=m_To)),1,0)</f>
        <v/>
      </c>
      <c r="X272" s="36">
        <f>IF(AND(OR(sel_Region="All",C272=sel_Region),OR(sel_Country="All",D272=sel_Country),OR(sel_Channel="All",E272=sel_Channel),OR(sel_Category="All",G272=sel_Category),OR(sel_Product="All",H272=sel_Product),AND(S272&gt;=m_From,S272&lt;=m_To)),1,0)</f>
        <v/>
      </c>
      <c r="Y272" s="36">
        <f>IF(AND(OR(sel_Region="All",C272=sel_Region),OR(sel_Country="All",D272=sel_Country),OR(sel_Channel="All",E272=sel_Channel),OR(sel_Customer="All",F272=sel_Customer),OR(sel_Product="All",H272=sel_Product),AND(S272&gt;=m_From,S272&lt;=m_To)),1,0)</f>
        <v/>
      </c>
      <c r="Z272" s="36">
        <f>IF(AND(OR(sel_Region="All",C272=sel_Region),OR(sel_Country="All",D272=sel_Country),OR(sel_Channel="All",E272=sel_Channel),OR(sel_Customer="All",F272=sel_Customer),OR(sel_Category="All",G272=sel_Category),AND(S272&gt;=m_From,S272&lt;=m_To)),1,0)</f>
        <v/>
      </c>
      <c r="AA272" s="36">
        <f>IF(AND(OR(sel_Region="All",C272=sel_Region),OR(sel_Country="All",D272=sel_Country),OR(sel_Channel="All",E272=sel_Channel),OR(sel_Customer="All",F272=sel_Customer),OR(sel_Category="All",G272=sel_Category),OR(sel_Product="All",H272=sel_Product)),1,0)</f>
        <v/>
      </c>
    </row>
    <row r="273">
      <c r="A273" s="36" t="inlineStr">
        <is>
          <t>04594</t>
        </is>
      </c>
      <c r="B273" s="44" t="n">
        <v>46080</v>
      </c>
      <c r="C273" s="36" t="inlineStr">
        <is>
          <t>Western Europe</t>
        </is>
      </c>
      <c r="D273" s="36" t="inlineStr">
        <is>
          <t>Netherlands</t>
        </is>
      </c>
      <c r="E273" s="36" t="inlineStr">
        <is>
          <t>Retail Partners</t>
        </is>
      </c>
      <c r="F273" s="36" t="inlineStr">
        <is>
          <t>Returning</t>
        </is>
      </c>
      <c r="G273" s="36" t="inlineStr">
        <is>
          <t>Hiking</t>
        </is>
      </c>
      <c r="H273" s="36" t="inlineStr">
        <is>
          <t>Hiking Daypack 20L</t>
        </is>
      </c>
      <c r="I273" s="36" t="n">
        <v>5</v>
      </c>
      <c r="J273" s="39" t="n">
        <v>92.94</v>
      </c>
      <c r="K273" s="45" t="n">
        <v>0.05</v>
      </c>
      <c r="L273" s="39" t="n">
        <v>46.47</v>
      </c>
      <c r="M273" s="39">
        <f>I273*J273*(1-K273)</f>
        <v/>
      </c>
      <c r="N273" s="39">
        <f>I273*L273</f>
        <v/>
      </c>
      <c r="O273" s="39">
        <f>M273-N273</f>
        <v/>
      </c>
      <c r="P273" s="38">
        <f>IF(M273=0,0,O273/M273)</f>
        <v/>
      </c>
      <c r="Q273" s="36">
        <f>YEAR(B273)</f>
        <v/>
      </c>
      <c r="R273" s="36">
        <f>"Q"&amp;ROUNDUP(MONTH(B273)/3,0)</f>
        <v/>
      </c>
      <c r="S273" s="36">
        <f>MONTH(B273)</f>
        <v/>
      </c>
      <c r="T273" s="36">
        <f>TEXT(B273,"mmm")</f>
        <v/>
      </c>
      <c r="U273" s="36">
        <f>IF(AND(OR(sel_Region="All",C273=sel_Region),OR(sel_Country="All",D273=sel_Country),OR(sel_Channel="All",E273=sel_Channel),OR(sel_Customer="All",F273=sel_Customer),OR(sel_Category="All",G273=sel_Category),OR(sel_Product="All",H273=sel_Product),AND(S273&gt;=m_From,S273&lt;=m_To)),1,0)</f>
        <v/>
      </c>
      <c r="V273" s="36">
        <f>IF(AND(OR(sel_Region="All",C273=sel_Region),OR(sel_Channel="All",E273=sel_Channel),OR(sel_Customer="All",F273=sel_Customer),OR(sel_Category="All",G273=sel_Category),OR(sel_Product="All",H273=sel_Product),AND(S273&gt;=m_From,S273&lt;=m_To)),1,0)</f>
        <v/>
      </c>
      <c r="W273" s="36">
        <f>IF(AND(OR(sel_Region="All",C273=sel_Region),OR(sel_Country="All",D273=sel_Country),OR(sel_Customer="All",F273=sel_Customer),OR(sel_Category="All",G273=sel_Category),OR(sel_Product="All",H273=sel_Product),AND(S273&gt;=m_From,S273&lt;=m_To)),1,0)</f>
        <v/>
      </c>
      <c r="X273" s="36">
        <f>IF(AND(OR(sel_Region="All",C273=sel_Region),OR(sel_Country="All",D273=sel_Country),OR(sel_Channel="All",E273=sel_Channel),OR(sel_Category="All",G273=sel_Category),OR(sel_Product="All",H273=sel_Product),AND(S273&gt;=m_From,S273&lt;=m_To)),1,0)</f>
        <v/>
      </c>
      <c r="Y273" s="36">
        <f>IF(AND(OR(sel_Region="All",C273=sel_Region),OR(sel_Country="All",D273=sel_Country),OR(sel_Channel="All",E273=sel_Channel),OR(sel_Customer="All",F273=sel_Customer),OR(sel_Product="All",H273=sel_Product),AND(S273&gt;=m_From,S273&lt;=m_To)),1,0)</f>
        <v/>
      </c>
      <c r="Z273" s="36">
        <f>IF(AND(OR(sel_Region="All",C273=sel_Region),OR(sel_Country="All",D273=sel_Country),OR(sel_Channel="All",E273=sel_Channel),OR(sel_Customer="All",F273=sel_Customer),OR(sel_Category="All",G273=sel_Category),AND(S273&gt;=m_From,S273&lt;=m_To)),1,0)</f>
        <v/>
      </c>
      <c r="AA273" s="36">
        <f>IF(AND(OR(sel_Region="All",C273=sel_Region),OR(sel_Country="All",D273=sel_Country),OR(sel_Channel="All",E273=sel_Channel),OR(sel_Customer="All",F273=sel_Customer),OR(sel_Category="All",G273=sel_Category),OR(sel_Product="All",H273=sel_Product)),1,0)</f>
        <v/>
      </c>
    </row>
    <row r="274">
      <c r="A274" s="36" t="inlineStr">
        <is>
          <t>04750</t>
        </is>
      </c>
      <c r="B274" s="44" t="n">
        <v>46080</v>
      </c>
      <c r="C274" s="36" t="inlineStr">
        <is>
          <t>Central Europe</t>
        </is>
      </c>
      <c r="D274" s="36" t="inlineStr">
        <is>
          <t>Germany</t>
        </is>
      </c>
      <c r="E274" s="36" t="inlineStr">
        <is>
          <t>Retail Partners</t>
        </is>
      </c>
      <c r="F274" s="36" t="inlineStr">
        <is>
          <t>Returning</t>
        </is>
      </c>
      <c r="G274" s="36" t="inlineStr">
        <is>
          <t>Fitness</t>
        </is>
      </c>
      <c r="H274" s="36" t="inlineStr">
        <is>
          <t>Weighted Vest</t>
        </is>
      </c>
      <c r="I274" s="36" t="n">
        <v>2</v>
      </c>
      <c r="J274" s="39" t="n">
        <v>120.44</v>
      </c>
      <c r="K274" s="45" t="n">
        <v>0.05</v>
      </c>
      <c r="L274" s="39" t="n">
        <v>68.98</v>
      </c>
      <c r="M274" s="39">
        <f>I274*J274*(1-K274)</f>
        <v/>
      </c>
      <c r="N274" s="39">
        <f>I274*L274</f>
        <v/>
      </c>
      <c r="O274" s="39">
        <f>M274-N274</f>
        <v/>
      </c>
      <c r="P274" s="38">
        <f>IF(M274=0,0,O274/M274)</f>
        <v/>
      </c>
      <c r="Q274" s="36">
        <f>YEAR(B274)</f>
        <v/>
      </c>
      <c r="R274" s="36">
        <f>"Q"&amp;ROUNDUP(MONTH(B274)/3,0)</f>
        <v/>
      </c>
      <c r="S274" s="36">
        <f>MONTH(B274)</f>
        <v/>
      </c>
      <c r="T274" s="36">
        <f>TEXT(B274,"mmm")</f>
        <v/>
      </c>
      <c r="U274" s="36">
        <f>IF(AND(OR(sel_Region="All",C274=sel_Region),OR(sel_Country="All",D274=sel_Country),OR(sel_Channel="All",E274=sel_Channel),OR(sel_Customer="All",F274=sel_Customer),OR(sel_Category="All",G274=sel_Category),OR(sel_Product="All",H274=sel_Product),AND(S274&gt;=m_From,S274&lt;=m_To)),1,0)</f>
        <v/>
      </c>
      <c r="V274" s="36">
        <f>IF(AND(OR(sel_Region="All",C274=sel_Region),OR(sel_Channel="All",E274=sel_Channel),OR(sel_Customer="All",F274=sel_Customer),OR(sel_Category="All",G274=sel_Category),OR(sel_Product="All",H274=sel_Product),AND(S274&gt;=m_From,S274&lt;=m_To)),1,0)</f>
        <v/>
      </c>
      <c r="W274" s="36">
        <f>IF(AND(OR(sel_Region="All",C274=sel_Region),OR(sel_Country="All",D274=sel_Country),OR(sel_Customer="All",F274=sel_Customer),OR(sel_Category="All",G274=sel_Category),OR(sel_Product="All",H274=sel_Product),AND(S274&gt;=m_From,S274&lt;=m_To)),1,0)</f>
        <v/>
      </c>
      <c r="X274" s="36">
        <f>IF(AND(OR(sel_Region="All",C274=sel_Region),OR(sel_Country="All",D274=sel_Country),OR(sel_Channel="All",E274=sel_Channel),OR(sel_Category="All",G274=sel_Category),OR(sel_Product="All",H274=sel_Product),AND(S274&gt;=m_From,S274&lt;=m_To)),1,0)</f>
        <v/>
      </c>
      <c r="Y274" s="36">
        <f>IF(AND(OR(sel_Region="All",C274=sel_Region),OR(sel_Country="All",D274=sel_Country),OR(sel_Channel="All",E274=sel_Channel),OR(sel_Customer="All",F274=sel_Customer),OR(sel_Product="All",H274=sel_Product),AND(S274&gt;=m_From,S274&lt;=m_To)),1,0)</f>
        <v/>
      </c>
      <c r="Z274" s="36">
        <f>IF(AND(OR(sel_Region="All",C274=sel_Region),OR(sel_Country="All",D274=sel_Country),OR(sel_Channel="All",E274=sel_Channel),OR(sel_Customer="All",F274=sel_Customer),OR(sel_Category="All",G274=sel_Category),AND(S274&gt;=m_From,S274&lt;=m_To)),1,0)</f>
        <v/>
      </c>
      <c r="AA274" s="36">
        <f>IF(AND(OR(sel_Region="All",C274=sel_Region),OR(sel_Country="All",D274=sel_Country),OR(sel_Channel="All",E274=sel_Channel),OR(sel_Customer="All",F274=sel_Customer),OR(sel_Category="All",G274=sel_Category),OR(sel_Product="All",H274=sel_Product)),1,0)</f>
        <v/>
      </c>
    </row>
    <row r="275">
      <c r="A275" s="36" t="inlineStr">
        <is>
          <t>04960</t>
        </is>
      </c>
      <c r="B275" s="44" t="n">
        <v>46080</v>
      </c>
      <c r="C275" s="36" t="inlineStr">
        <is>
          <t>Central Europe</t>
        </is>
      </c>
      <c r="D275" s="36" t="inlineStr">
        <is>
          <t>Austria</t>
        </is>
      </c>
      <c r="E275" s="36" t="inlineStr">
        <is>
          <t>Marketplace</t>
        </is>
      </c>
      <c r="F275" s="36" t="inlineStr">
        <is>
          <t>New</t>
        </is>
      </c>
      <c r="G275" s="36" t="inlineStr">
        <is>
          <t>Travel</t>
        </is>
      </c>
      <c r="H275" s="36" t="inlineStr">
        <is>
          <t>Insulated Bottle</t>
        </is>
      </c>
      <c r="I275" s="36" t="n">
        <v>2</v>
      </c>
      <c r="J275" s="39" t="n">
        <v>36.13</v>
      </c>
      <c r="K275" s="45" t="n">
        <v>0</v>
      </c>
      <c r="L275" s="39" t="n">
        <v>13.72</v>
      </c>
      <c r="M275" s="39">
        <f>I275*J275*(1-K275)</f>
        <v/>
      </c>
      <c r="N275" s="39">
        <f>I275*L275</f>
        <v/>
      </c>
      <c r="O275" s="39">
        <f>M275-N275</f>
        <v/>
      </c>
      <c r="P275" s="38">
        <f>IF(M275=0,0,O275/M275)</f>
        <v/>
      </c>
      <c r="Q275" s="36">
        <f>YEAR(B275)</f>
        <v/>
      </c>
      <c r="R275" s="36">
        <f>"Q"&amp;ROUNDUP(MONTH(B275)/3,0)</f>
        <v/>
      </c>
      <c r="S275" s="36">
        <f>MONTH(B275)</f>
        <v/>
      </c>
      <c r="T275" s="36">
        <f>TEXT(B275,"mmm")</f>
        <v/>
      </c>
      <c r="U275" s="36">
        <f>IF(AND(OR(sel_Region="All",C275=sel_Region),OR(sel_Country="All",D275=sel_Country),OR(sel_Channel="All",E275=sel_Channel),OR(sel_Customer="All",F275=sel_Customer),OR(sel_Category="All",G275=sel_Category),OR(sel_Product="All",H275=sel_Product),AND(S275&gt;=m_From,S275&lt;=m_To)),1,0)</f>
        <v/>
      </c>
      <c r="V275" s="36">
        <f>IF(AND(OR(sel_Region="All",C275=sel_Region),OR(sel_Channel="All",E275=sel_Channel),OR(sel_Customer="All",F275=sel_Customer),OR(sel_Category="All",G275=sel_Category),OR(sel_Product="All",H275=sel_Product),AND(S275&gt;=m_From,S275&lt;=m_To)),1,0)</f>
        <v/>
      </c>
      <c r="W275" s="36">
        <f>IF(AND(OR(sel_Region="All",C275=sel_Region),OR(sel_Country="All",D275=sel_Country),OR(sel_Customer="All",F275=sel_Customer),OR(sel_Category="All",G275=sel_Category),OR(sel_Product="All",H275=sel_Product),AND(S275&gt;=m_From,S275&lt;=m_To)),1,0)</f>
        <v/>
      </c>
      <c r="X275" s="36">
        <f>IF(AND(OR(sel_Region="All",C275=sel_Region),OR(sel_Country="All",D275=sel_Country),OR(sel_Channel="All",E275=sel_Channel),OR(sel_Category="All",G275=sel_Category),OR(sel_Product="All",H275=sel_Product),AND(S275&gt;=m_From,S275&lt;=m_To)),1,0)</f>
        <v/>
      </c>
      <c r="Y275" s="36">
        <f>IF(AND(OR(sel_Region="All",C275=sel_Region),OR(sel_Country="All",D275=sel_Country),OR(sel_Channel="All",E275=sel_Channel),OR(sel_Customer="All",F275=sel_Customer),OR(sel_Product="All",H275=sel_Product),AND(S275&gt;=m_From,S275&lt;=m_To)),1,0)</f>
        <v/>
      </c>
      <c r="Z275" s="36">
        <f>IF(AND(OR(sel_Region="All",C275=sel_Region),OR(sel_Country="All",D275=sel_Country),OR(sel_Channel="All",E275=sel_Channel),OR(sel_Customer="All",F275=sel_Customer),OR(sel_Category="All",G275=sel_Category),AND(S275&gt;=m_From,S275&lt;=m_To)),1,0)</f>
        <v/>
      </c>
      <c r="AA275" s="36">
        <f>IF(AND(OR(sel_Region="All",C275=sel_Region),OR(sel_Country="All",D275=sel_Country),OR(sel_Channel="All",E275=sel_Channel),OR(sel_Customer="All",F275=sel_Customer),OR(sel_Category="All",G275=sel_Category),OR(sel_Product="All",H275=sel_Product)),1,0)</f>
        <v/>
      </c>
    </row>
    <row r="276">
      <c r="A276" s="36" t="inlineStr">
        <is>
          <t>04245</t>
        </is>
      </c>
      <c r="B276" s="44" t="n">
        <v>46081</v>
      </c>
      <c r="C276" s="36" t="inlineStr">
        <is>
          <t>Central Europe</t>
        </is>
      </c>
      <c r="D276" s="36" t="inlineStr">
        <is>
          <t>Czechia</t>
        </is>
      </c>
      <c r="E276" s="36" t="inlineStr">
        <is>
          <t>Retail Partners</t>
        </is>
      </c>
      <c r="F276" s="36" t="inlineStr">
        <is>
          <t>Returning</t>
        </is>
      </c>
      <c r="G276" s="36" t="inlineStr">
        <is>
          <t>Fitness</t>
        </is>
      </c>
      <c r="H276" s="36" t="inlineStr">
        <is>
          <t>Weighted Vest</t>
        </is>
      </c>
      <c r="I276" s="36" t="n">
        <v>1</v>
      </c>
      <c r="J276" s="39" t="n">
        <v>124.97</v>
      </c>
      <c r="K276" s="45" t="n">
        <v>0.1</v>
      </c>
      <c r="L276" s="39" t="n">
        <v>69.79000000000001</v>
      </c>
      <c r="M276" s="39">
        <f>I276*J276*(1-K276)</f>
        <v/>
      </c>
      <c r="N276" s="39">
        <f>I276*L276</f>
        <v/>
      </c>
      <c r="O276" s="39">
        <f>M276-N276</f>
        <v/>
      </c>
      <c r="P276" s="38">
        <f>IF(M276=0,0,O276/M276)</f>
        <v/>
      </c>
      <c r="Q276" s="36">
        <f>YEAR(B276)</f>
        <v/>
      </c>
      <c r="R276" s="36">
        <f>"Q"&amp;ROUNDUP(MONTH(B276)/3,0)</f>
        <v/>
      </c>
      <c r="S276" s="36">
        <f>MONTH(B276)</f>
        <v/>
      </c>
      <c r="T276" s="36">
        <f>TEXT(B276,"mmm")</f>
        <v/>
      </c>
      <c r="U276" s="36">
        <f>IF(AND(OR(sel_Region="All",C276=sel_Region),OR(sel_Country="All",D276=sel_Country),OR(sel_Channel="All",E276=sel_Channel),OR(sel_Customer="All",F276=sel_Customer),OR(sel_Category="All",G276=sel_Category),OR(sel_Product="All",H276=sel_Product),AND(S276&gt;=m_From,S276&lt;=m_To)),1,0)</f>
        <v/>
      </c>
      <c r="V276" s="36">
        <f>IF(AND(OR(sel_Region="All",C276=sel_Region),OR(sel_Channel="All",E276=sel_Channel),OR(sel_Customer="All",F276=sel_Customer),OR(sel_Category="All",G276=sel_Category),OR(sel_Product="All",H276=sel_Product),AND(S276&gt;=m_From,S276&lt;=m_To)),1,0)</f>
        <v/>
      </c>
      <c r="W276" s="36">
        <f>IF(AND(OR(sel_Region="All",C276=sel_Region),OR(sel_Country="All",D276=sel_Country),OR(sel_Customer="All",F276=sel_Customer),OR(sel_Category="All",G276=sel_Category),OR(sel_Product="All",H276=sel_Product),AND(S276&gt;=m_From,S276&lt;=m_To)),1,0)</f>
        <v/>
      </c>
      <c r="X276" s="36">
        <f>IF(AND(OR(sel_Region="All",C276=sel_Region),OR(sel_Country="All",D276=sel_Country),OR(sel_Channel="All",E276=sel_Channel),OR(sel_Category="All",G276=sel_Category),OR(sel_Product="All",H276=sel_Product),AND(S276&gt;=m_From,S276&lt;=m_To)),1,0)</f>
        <v/>
      </c>
      <c r="Y276" s="36">
        <f>IF(AND(OR(sel_Region="All",C276=sel_Region),OR(sel_Country="All",D276=sel_Country),OR(sel_Channel="All",E276=sel_Channel),OR(sel_Customer="All",F276=sel_Customer),OR(sel_Product="All",H276=sel_Product),AND(S276&gt;=m_From,S276&lt;=m_To)),1,0)</f>
        <v/>
      </c>
      <c r="Z276" s="36">
        <f>IF(AND(OR(sel_Region="All",C276=sel_Region),OR(sel_Country="All",D276=sel_Country),OR(sel_Channel="All",E276=sel_Channel),OR(sel_Customer="All",F276=sel_Customer),OR(sel_Category="All",G276=sel_Category),AND(S276&gt;=m_From,S276&lt;=m_To)),1,0)</f>
        <v/>
      </c>
      <c r="AA276" s="36">
        <f>IF(AND(OR(sel_Region="All",C276=sel_Region),OR(sel_Country="All",D276=sel_Country),OR(sel_Channel="All",E276=sel_Channel),OR(sel_Customer="All",F276=sel_Customer),OR(sel_Category="All",G276=sel_Category),OR(sel_Product="All",H276=sel_Product)),1,0)</f>
        <v/>
      </c>
    </row>
    <row r="277">
      <c r="A277" s="36" t="inlineStr">
        <is>
          <t>04664</t>
        </is>
      </c>
      <c r="B277" s="44" t="n">
        <v>46081</v>
      </c>
      <c r="C277" s="36" t="inlineStr">
        <is>
          <t>Western Europe</t>
        </is>
      </c>
      <c r="D277" s="36" t="inlineStr">
        <is>
          <t>France</t>
        </is>
      </c>
      <c r="E277" s="36" t="inlineStr">
        <is>
          <t>Online Store</t>
        </is>
      </c>
      <c r="F277" s="36" t="inlineStr">
        <is>
          <t>Returning</t>
        </is>
      </c>
      <c r="G277" s="36" t="inlineStr">
        <is>
          <t>Travel</t>
        </is>
      </c>
      <c r="H277" s="36" t="inlineStr">
        <is>
          <t>Travel Backpack 35L</t>
        </is>
      </c>
      <c r="I277" s="36" t="n">
        <v>1</v>
      </c>
      <c r="J277" s="39" t="n">
        <v>163.31</v>
      </c>
      <c r="K277" s="45" t="n">
        <v>0.05</v>
      </c>
      <c r="L277" s="39" t="n">
        <v>87.22</v>
      </c>
      <c r="M277" s="39">
        <f>I277*J277*(1-K277)</f>
        <v/>
      </c>
      <c r="N277" s="39">
        <f>I277*L277</f>
        <v/>
      </c>
      <c r="O277" s="39">
        <f>M277-N277</f>
        <v/>
      </c>
      <c r="P277" s="38">
        <f>IF(M277=0,0,O277/M277)</f>
        <v/>
      </c>
      <c r="Q277" s="36">
        <f>YEAR(B277)</f>
        <v/>
      </c>
      <c r="R277" s="36">
        <f>"Q"&amp;ROUNDUP(MONTH(B277)/3,0)</f>
        <v/>
      </c>
      <c r="S277" s="36">
        <f>MONTH(B277)</f>
        <v/>
      </c>
      <c r="T277" s="36">
        <f>TEXT(B277,"mmm")</f>
        <v/>
      </c>
      <c r="U277" s="36">
        <f>IF(AND(OR(sel_Region="All",C277=sel_Region),OR(sel_Country="All",D277=sel_Country),OR(sel_Channel="All",E277=sel_Channel),OR(sel_Customer="All",F277=sel_Customer),OR(sel_Category="All",G277=sel_Category),OR(sel_Product="All",H277=sel_Product),AND(S277&gt;=m_From,S277&lt;=m_To)),1,0)</f>
        <v/>
      </c>
      <c r="V277" s="36">
        <f>IF(AND(OR(sel_Region="All",C277=sel_Region),OR(sel_Channel="All",E277=sel_Channel),OR(sel_Customer="All",F277=sel_Customer),OR(sel_Category="All",G277=sel_Category),OR(sel_Product="All",H277=sel_Product),AND(S277&gt;=m_From,S277&lt;=m_To)),1,0)</f>
        <v/>
      </c>
      <c r="W277" s="36">
        <f>IF(AND(OR(sel_Region="All",C277=sel_Region),OR(sel_Country="All",D277=sel_Country),OR(sel_Customer="All",F277=sel_Customer),OR(sel_Category="All",G277=sel_Category),OR(sel_Product="All",H277=sel_Product),AND(S277&gt;=m_From,S277&lt;=m_To)),1,0)</f>
        <v/>
      </c>
      <c r="X277" s="36">
        <f>IF(AND(OR(sel_Region="All",C277=sel_Region),OR(sel_Country="All",D277=sel_Country),OR(sel_Channel="All",E277=sel_Channel),OR(sel_Category="All",G277=sel_Category),OR(sel_Product="All",H277=sel_Product),AND(S277&gt;=m_From,S277&lt;=m_To)),1,0)</f>
        <v/>
      </c>
      <c r="Y277" s="36">
        <f>IF(AND(OR(sel_Region="All",C277=sel_Region),OR(sel_Country="All",D277=sel_Country),OR(sel_Channel="All",E277=sel_Channel),OR(sel_Customer="All",F277=sel_Customer),OR(sel_Product="All",H277=sel_Product),AND(S277&gt;=m_From,S277&lt;=m_To)),1,0)</f>
        <v/>
      </c>
      <c r="Z277" s="36">
        <f>IF(AND(OR(sel_Region="All",C277=sel_Region),OR(sel_Country="All",D277=sel_Country),OR(sel_Channel="All",E277=sel_Channel),OR(sel_Customer="All",F277=sel_Customer),OR(sel_Category="All",G277=sel_Category),AND(S277&gt;=m_From,S277&lt;=m_To)),1,0)</f>
        <v/>
      </c>
      <c r="AA277" s="36">
        <f>IF(AND(OR(sel_Region="All",C277=sel_Region),OR(sel_Country="All",D277=sel_Country),OR(sel_Channel="All",E277=sel_Channel),OR(sel_Customer="All",F277=sel_Customer),OR(sel_Category="All",G277=sel_Category),OR(sel_Product="All",H277=sel_Product)),1,0)</f>
        <v/>
      </c>
    </row>
    <row r="278">
      <c r="A278" s="36" t="inlineStr">
        <is>
          <t>00383</t>
        </is>
      </c>
      <c r="B278" s="44" t="n">
        <v>46082</v>
      </c>
      <c r="C278" s="36" t="inlineStr">
        <is>
          <t>Northern Europe</t>
        </is>
      </c>
      <c r="D278" s="36" t="inlineStr">
        <is>
          <t>Sweden</t>
        </is>
      </c>
      <c r="E278" s="36" t="inlineStr">
        <is>
          <t>Retail Partners</t>
        </is>
      </c>
      <c r="F278" s="36" t="inlineStr">
        <is>
          <t>Returning</t>
        </is>
      </c>
      <c r="G278" s="36" t="inlineStr">
        <is>
          <t>Hiking</t>
        </is>
      </c>
      <c r="H278" s="36" t="inlineStr">
        <is>
          <t>Hiking Daypack 20L</t>
        </is>
      </c>
      <c r="I278" s="36" t="n">
        <v>3</v>
      </c>
      <c r="J278" s="39" t="n">
        <v>92.76000000000001</v>
      </c>
      <c r="K278" s="45" t="n">
        <v>0</v>
      </c>
      <c r="L278" s="39" t="n">
        <v>45.84</v>
      </c>
      <c r="M278" s="39">
        <f>I278*J278*(1-K278)</f>
        <v/>
      </c>
      <c r="N278" s="39">
        <f>I278*L278</f>
        <v/>
      </c>
      <c r="O278" s="39">
        <f>M278-N278</f>
        <v/>
      </c>
      <c r="P278" s="38">
        <f>IF(M278=0,0,O278/M278)</f>
        <v/>
      </c>
      <c r="Q278" s="36">
        <f>YEAR(B278)</f>
        <v/>
      </c>
      <c r="R278" s="36">
        <f>"Q"&amp;ROUNDUP(MONTH(B278)/3,0)</f>
        <v/>
      </c>
      <c r="S278" s="36">
        <f>MONTH(B278)</f>
        <v/>
      </c>
      <c r="T278" s="36">
        <f>TEXT(B278,"mmm")</f>
        <v/>
      </c>
      <c r="U278" s="36">
        <f>IF(AND(OR(sel_Region="All",C278=sel_Region),OR(sel_Country="All",D278=sel_Country),OR(sel_Channel="All",E278=sel_Channel),OR(sel_Customer="All",F278=sel_Customer),OR(sel_Category="All",G278=sel_Category),OR(sel_Product="All",H278=sel_Product),AND(S278&gt;=m_From,S278&lt;=m_To)),1,0)</f>
        <v/>
      </c>
      <c r="V278" s="36">
        <f>IF(AND(OR(sel_Region="All",C278=sel_Region),OR(sel_Channel="All",E278=sel_Channel),OR(sel_Customer="All",F278=sel_Customer),OR(sel_Category="All",G278=sel_Category),OR(sel_Product="All",H278=sel_Product),AND(S278&gt;=m_From,S278&lt;=m_To)),1,0)</f>
        <v/>
      </c>
      <c r="W278" s="36">
        <f>IF(AND(OR(sel_Region="All",C278=sel_Region),OR(sel_Country="All",D278=sel_Country),OR(sel_Customer="All",F278=sel_Customer),OR(sel_Category="All",G278=sel_Category),OR(sel_Product="All",H278=sel_Product),AND(S278&gt;=m_From,S278&lt;=m_To)),1,0)</f>
        <v/>
      </c>
      <c r="X278" s="36">
        <f>IF(AND(OR(sel_Region="All",C278=sel_Region),OR(sel_Country="All",D278=sel_Country),OR(sel_Channel="All",E278=sel_Channel),OR(sel_Category="All",G278=sel_Category),OR(sel_Product="All",H278=sel_Product),AND(S278&gt;=m_From,S278&lt;=m_To)),1,0)</f>
        <v/>
      </c>
      <c r="Y278" s="36">
        <f>IF(AND(OR(sel_Region="All",C278=sel_Region),OR(sel_Country="All",D278=sel_Country),OR(sel_Channel="All",E278=sel_Channel),OR(sel_Customer="All",F278=sel_Customer),OR(sel_Product="All",H278=sel_Product),AND(S278&gt;=m_From,S278&lt;=m_To)),1,0)</f>
        <v/>
      </c>
      <c r="Z278" s="36">
        <f>IF(AND(OR(sel_Region="All",C278=sel_Region),OR(sel_Country="All",D278=sel_Country),OR(sel_Channel="All",E278=sel_Channel),OR(sel_Customer="All",F278=sel_Customer),OR(sel_Category="All",G278=sel_Category),AND(S278&gt;=m_From,S278&lt;=m_To)),1,0)</f>
        <v/>
      </c>
      <c r="AA278" s="36">
        <f>IF(AND(OR(sel_Region="All",C278=sel_Region),OR(sel_Country="All",D278=sel_Country),OR(sel_Channel="All",E278=sel_Channel),OR(sel_Customer="All",F278=sel_Customer),OR(sel_Category="All",G278=sel_Category),OR(sel_Product="All",H278=sel_Product)),1,0)</f>
        <v/>
      </c>
    </row>
    <row r="279">
      <c r="A279" s="36" t="inlineStr">
        <is>
          <t>00730</t>
        </is>
      </c>
      <c r="B279" s="44" t="n">
        <v>46082</v>
      </c>
      <c r="C279" s="36" t="inlineStr">
        <is>
          <t>Southern Europe</t>
        </is>
      </c>
      <c r="D279" s="36" t="inlineStr">
        <is>
          <t>Italy</t>
        </is>
      </c>
      <c r="E279" s="36" t="inlineStr">
        <is>
          <t>Corporate</t>
        </is>
      </c>
      <c r="F279" s="36" t="inlineStr">
        <is>
          <t>Business</t>
        </is>
      </c>
      <c r="G279" s="36" t="inlineStr">
        <is>
          <t>Fitness</t>
        </is>
      </c>
      <c r="H279" s="36" t="inlineStr">
        <is>
          <t>Resistance Band Set</t>
        </is>
      </c>
      <c r="I279" s="36" t="n">
        <v>5</v>
      </c>
      <c r="J279" s="39" t="n">
        <v>41.31</v>
      </c>
      <c r="K279" s="45" t="n">
        <v>0.1</v>
      </c>
      <c r="L279" s="39" t="n">
        <v>15.14</v>
      </c>
      <c r="M279" s="39">
        <f>I279*J279*(1-K279)</f>
        <v/>
      </c>
      <c r="N279" s="39">
        <f>I279*L279</f>
        <v/>
      </c>
      <c r="O279" s="39">
        <f>M279-N279</f>
        <v/>
      </c>
      <c r="P279" s="38">
        <f>IF(M279=0,0,O279/M279)</f>
        <v/>
      </c>
      <c r="Q279" s="36">
        <f>YEAR(B279)</f>
        <v/>
      </c>
      <c r="R279" s="36">
        <f>"Q"&amp;ROUNDUP(MONTH(B279)/3,0)</f>
        <v/>
      </c>
      <c r="S279" s="36">
        <f>MONTH(B279)</f>
        <v/>
      </c>
      <c r="T279" s="36">
        <f>TEXT(B279,"mmm")</f>
        <v/>
      </c>
      <c r="U279" s="36">
        <f>IF(AND(OR(sel_Region="All",C279=sel_Region),OR(sel_Country="All",D279=sel_Country),OR(sel_Channel="All",E279=sel_Channel),OR(sel_Customer="All",F279=sel_Customer),OR(sel_Category="All",G279=sel_Category),OR(sel_Product="All",H279=sel_Product),AND(S279&gt;=m_From,S279&lt;=m_To)),1,0)</f>
        <v/>
      </c>
      <c r="V279" s="36">
        <f>IF(AND(OR(sel_Region="All",C279=sel_Region),OR(sel_Channel="All",E279=sel_Channel),OR(sel_Customer="All",F279=sel_Customer),OR(sel_Category="All",G279=sel_Category),OR(sel_Product="All",H279=sel_Product),AND(S279&gt;=m_From,S279&lt;=m_To)),1,0)</f>
        <v/>
      </c>
      <c r="W279" s="36">
        <f>IF(AND(OR(sel_Region="All",C279=sel_Region),OR(sel_Country="All",D279=sel_Country),OR(sel_Customer="All",F279=sel_Customer),OR(sel_Category="All",G279=sel_Category),OR(sel_Product="All",H279=sel_Product),AND(S279&gt;=m_From,S279&lt;=m_To)),1,0)</f>
        <v/>
      </c>
      <c r="X279" s="36">
        <f>IF(AND(OR(sel_Region="All",C279=sel_Region),OR(sel_Country="All",D279=sel_Country),OR(sel_Channel="All",E279=sel_Channel),OR(sel_Category="All",G279=sel_Category),OR(sel_Product="All",H279=sel_Product),AND(S279&gt;=m_From,S279&lt;=m_To)),1,0)</f>
        <v/>
      </c>
      <c r="Y279" s="36">
        <f>IF(AND(OR(sel_Region="All",C279=sel_Region),OR(sel_Country="All",D279=sel_Country),OR(sel_Channel="All",E279=sel_Channel),OR(sel_Customer="All",F279=sel_Customer),OR(sel_Product="All",H279=sel_Product),AND(S279&gt;=m_From,S279&lt;=m_To)),1,0)</f>
        <v/>
      </c>
      <c r="Z279" s="36">
        <f>IF(AND(OR(sel_Region="All",C279=sel_Region),OR(sel_Country="All",D279=sel_Country),OR(sel_Channel="All",E279=sel_Channel),OR(sel_Customer="All",F279=sel_Customer),OR(sel_Category="All",G279=sel_Category),AND(S279&gt;=m_From,S279&lt;=m_To)),1,0)</f>
        <v/>
      </c>
      <c r="AA279" s="36">
        <f>IF(AND(OR(sel_Region="All",C279=sel_Region),OR(sel_Country="All",D279=sel_Country),OR(sel_Channel="All",E279=sel_Channel),OR(sel_Customer="All",F279=sel_Customer),OR(sel_Category="All",G279=sel_Category),OR(sel_Product="All",H279=sel_Product)),1,0)</f>
        <v/>
      </c>
    </row>
    <row r="280">
      <c r="A280" s="36" t="inlineStr">
        <is>
          <t>00985</t>
        </is>
      </c>
      <c r="B280" s="44" t="n">
        <v>46082</v>
      </c>
      <c r="C280" s="36" t="inlineStr">
        <is>
          <t>Central Europe</t>
        </is>
      </c>
      <c r="D280" s="36" t="inlineStr">
        <is>
          <t>Poland</t>
        </is>
      </c>
      <c r="E280" s="36" t="inlineStr">
        <is>
          <t>Marketplace</t>
        </is>
      </c>
      <c r="F280" s="36" t="inlineStr">
        <is>
          <t>New</t>
        </is>
      </c>
      <c r="G280" s="36" t="inlineStr">
        <is>
          <t>Fitness</t>
        </is>
      </c>
      <c r="H280" s="36" t="inlineStr">
        <is>
          <t>Resistance Band Set</t>
        </is>
      </c>
      <c r="I280" s="36" t="n">
        <v>2</v>
      </c>
      <c r="J280" s="39" t="n">
        <v>41.23</v>
      </c>
      <c r="K280" s="45" t="n">
        <v>0</v>
      </c>
      <c r="L280" s="39" t="n">
        <v>14.28</v>
      </c>
      <c r="M280" s="39">
        <f>I280*J280*(1-K280)</f>
        <v/>
      </c>
      <c r="N280" s="39">
        <f>I280*L280</f>
        <v/>
      </c>
      <c r="O280" s="39">
        <f>M280-N280</f>
        <v/>
      </c>
      <c r="P280" s="38">
        <f>IF(M280=0,0,O280/M280)</f>
        <v/>
      </c>
      <c r="Q280" s="36">
        <f>YEAR(B280)</f>
        <v/>
      </c>
      <c r="R280" s="36">
        <f>"Q"&amp;ROUNDUP(MONTH(B280)/3,0)</f>
        <v/>
      </c>
      <c r="S280" s="36">
        <f>MONTH(B280)</f>
        <v/>
      </c>
      <c r="T280" s="36">
        <f>TEXT(B280,"mmm")</f>
        <v/>
      </c>
      <c r="U280" s="36">
        <f>IF(AND(OR(sel_Region="All",C280=sel_Region),OR(sel_Country="All",D280=sel_Country),OR(sel_Channel="All",E280=sel_Channel),OR(sel_Customer="All",F280=sel_Customer),OR(sel_Category="All",G280=sel_Category),OR(sel_Product="All",H280=sel_Product),AND(S280&gt;=m_From,S280&lt;=m_To)),1,0)</f>
        <v/>
      </c>
      <c r="V280" s="36">
        <f>IF(AND(OR(sel_Region="All",C280=sel_Region),OR(sel_Channel="All",E280=sel_Channel),OR(sel_Customer="All",F280=sel_Customer),OR(sel_Category="All",G280=sel_Category),OR(sel_Product="All",H280=sel_Product),AND(S280&gt;=m_From,S280&lt;=m_To)),1,0)</f>
        <v/>
      </c>
      <c r="W280" s="36">
        <f>IF(AND(OR(sel_Region="All",C280=sel_Region),OR(sel_Country="All",D280=sel_Country),OR(sel_Customer="All",F280=sel_Customer),OR(sel_Category="All",G280=sel_Category),OR(sel_Product="All",H280=sel_Product),AND(S280&gt;=m_From,S280&lt;=m_To)),1,0)</f>
        <v/>
      </c>
      <c r="X280" s="36">
        <f>IF(AND(OR(sel_Region="All",C280=sel_Region),OR(sel_Country="All",D280=sel_Country),OR(sel_Channel="All",E280=sel_Channel),OR(sel_Category="All",G280=sel_Category),OR(sel_Product="All",H280=sel_Product),AND(S280&gt;=m_From,S280&lt;=m_To)),1,0)</f>
        <v/>
      </c>
      <c r="Y280" s="36">
        <f>IF(AND(OR(sel_Region="All",C280=sel_Region),OR(sel_Country="All",D280=sel_Country),OR(sel_Channel="All",E280=sel_Channel),OR(sel_Customer="All",F280=sel_Customer),OR(sel_Product="All",H280=sel_Product),AND(S280&gt;=m_From,S280&lt;=m_To)),1,0)</f>
        <v/>
      </c>
      <c r="Z280" s="36">
        <f>IF(AND(OR(sel_Region="All",C280=sel_Region),OR(sel_Country="All",D280=sel_Country),OR(sel_Channel="All",E280=sel_Channel),OR(sel_Customer="All",F280=sel_Customer),OR(sel_Category="All",G280=sel_Category),AND(S280&gt;=m_From,S280&lt;=m_To)),1,0)</f>
        <v/>
      </c>
      <c r="AA280" s="36">
        <f>IF(AND(OR(sel_Region="All",C280=sel_Region),OR(sel_Country="All",D280=sel_Country),OR(sel_Channel="All",E280=sel_Channel),OR(sel_Customer="All",F280=sel_Customer),OR(sel_Category="All",G280=sel_Category),OR(sel_Product="All",H280=sel_Product)),1,0)</f>
        <v/>
      </c>
    </row>
    <row r="281">
      <c r="A281" s="36" t="inlineStr">
        <is>
          <t>01457</t>
        </is>
      </c>
      <c r="B281" s="44" t="n">
        <v>46082</v>
      </c>
      <c r="C281" s="36" t="inlineStr">
        <is>
          <t>Central Europe</t>
        </is>
      </c>
      <c r="D281" s="36" t="inlineStr">
        <is>
          <t>Czechia</t>
        </is>
      </c>
      <c r="E281" s="36" t="inlineStr">
        <is>
          <t>Online Store</t>
        </is>
      </c>
      <c r="F281" s="36" t="inlineStr">
        <is>
          <t>New</t>
        </is>
      </c>
      <c r="G281" s="36" t="inlineStr">
        <is>
          <t>Travel</t>
        </is>
      </c>
      <c r="H281" s="36" t="inlineStr">
        <is>
          <t>Insulated Bottle</t>
        </is>
      </c>
      <c r="I281" s="36" t="n">
        <v>1</v>
      </c>
      <c r="J281" s="39" t="n">
        <v>36.47</v>
      </c>
      <c r="K281" s="45" t="n">
        <v>0.05</v>
      </c>
      <c r="L281" s="39" t="n">
        <v>13.21</v>
      </c>
      <c r="M281" s="39">
        <f>I281*J281*(1-K281)</f>
        <v/>
      </c>
      <c r="N281" s="39">
        <f>I281*L281</f>
        <v/>
      </c>
      <c r="O281" s="39">
        <f>M281-N281</f>
        <v/>
      </c>
      <c r="P281" s="38">
        <f>IF(M281=0,0,O281/M281)</f>
        <v/>
      </c>
      <c r="Q281" s="36">
        <f>YEAR(B281)</f>
        <v/>
      </c>
      <c r="R281" s="36">
        <f>"Q"&amp;ROUNDUP(MONTH(B281)/3,0)</f>
        <v/>
      </c>
      <c r="S281" s="36">
        <f>MONTH(B281)</f>
        <v/>
      </c>
      <c r="T281" s="36">
        <f>TEXT(B281,"mmm")</f>
        <v/>
      </c>
      <c r="U281" s="36">
        <f>IF(AND(OR(sel_Region="All",C281=sel_Region),OR(sel_Country="All",D281=sel_Country),OR(sel_Channel="All",E281=sel_Channel),OR(sel_Customer="All",F281=sel_Customer),OR(sel_Category="All",G281=sel_Category),OR(sel_Product="All",H281=sel_Product),AND(S281&gt;=m_From,S281&lt;=m_To)),1,0)</f>
        <v/>
      </c>
      <c r="V281" s="36">
        <f>IF(AND(OR(sel_Region="All",C281=sel_Region),OR(sel_Channel="All",E281=sel_Channel),OR(sel_Customer="All",F281=sel_Customer),OR(sel_Category="All",G281=sel_Category),OR(sel_Product="All",H281=sel_Product),AND(S281&gt;=m_From,S281&lt;=m_To)),1,0)</f>
        <v/>
      </c>
      <c r="W281" s="36">
        <f>IF(AND(OR(sel_Region="All",C281=sel_Region),OR(sel_Country="All",D281=sel_Country),OR(sel_Customer="All",F281=sel_Customer),OR(sel_Category="All",G281=sel_Category),OR(sel_Product="All",H281=sel_Product),AND(S281&gt;=m_From,S281&lt;=m_To)),1,0)</f>
        <v/>
      </c>
      <c r="X281" s="36">
        <f>IF(AND(OR(sel_Region="All",C281=sel_Region),OR(sel_Country="All",D281=sel_Country),OR(sel_Channel="All",E281=sel_Channel),OR(sel_Category="All",G281=sel_Category),OR(sel_Product="All",H281=sel_Product),AND(S281&gt;=m_From,S281&lt;=m_To)),1,0)</f>
        <v/>
      </c>
      <c r="Y281" s="36">
        <f>IF(AND(OR(sel_Region="All",C281=sel_Region),OR(sel_Country="All",D281=sel_Country),OR(sel_Channel="All",E281=sel_Channel),OR(sel_Customer="All",F281=sel_Customer),OR(sel_Product="All",H281=sel_Product),AND(S281&gt;=m_From,S281&lt;=m_To)),1,0)</f>
        <v/>
      </c>
      <c r="Z281" s="36">
        <f>IF(AND(OR(sel_Region="All",C281=sel_Region),OR(sel_Country="All",D281=sel_Country),OR(sel_Channel="All",E281=sel_Channel),OR(sel_Customer="All",F281=sel_Customer),OR(sel_Category="All",G281=sel_Category),AND(S281&gt;=m_From,S281&lt;=m_To)),1,0)</f>
        <v/>
      </c>
      <c r="AA281" s="36">
        <f>IF(AND(OR(sel_Region="All",C281=sel_Region),OR(sel_Country="All",D281=sel_Country),OR(sel_Channel="All",E281=sel_Channel),OR(sel_Customer="All",F281=sel_Customer),OR(sel_Category="All",G281=sel_Category),OR(sel_Product="All",H281=sel_Product)),1,0)</f>
        <v/>
      </c>
    </row>
    <row r="282">
      <c r="A282" s="36" t="inlineStr">
        <is>
          <t>02558</t>
        </is>
      </c>
      <c r="B282" s="44" t="n">
        <v>46082</v>
      </c>
      <c r="C282" s="36" t="inlineStr">
        <is>
          <t>Southern Europe</t>
        </is>
      </c>
      <c r="D282" s="36" t="inlineStr">
        <is>
          <t>Italy</t>
        </is>
      </c>
      <c r="E282" s="36" t="inlineStr">
        <is>
          <t>Marketplace</t>
        </is>
      </c>
      <c r="F282" s="36" t="inlineStr">
        <is>
          <t>New</t>
        </is>
      </c>
      <c r="G282" s="36" t="inlineStr">
        <is>
          <t>Fitness</t>
        </is>
      </c>
      <c r="H282" s="36" t="inlineStr">
        <is>
          <t>Recovery Roller</t>
        </is>
      </c>
      <c r="I282" s="36" t="n">
        <v>1</v>
      </c>
      <c r="J282" s="39" t="n">
        <v>36.67</v>
      </c>
      <c r="K282" s="45" t="n">
        <v>0</v>
      </c>
      <c r="L282" s="39" t="n">
        <v>13.97</v>
      </c>
      <c r="M282" s="39">
        <f>I282*J282*(1-K282)</f>
        <v/>
      </c>
      <c r="N282" s="39">
        <f>I282*L282</f>
        <v/>
      </c>
      <c r="O282" s="39">
        <f>M282-N282</f>
        <v/>
      </c>
      <c r="P282" s="38">
        <f>IF(M282=0,0,O282/M282)</f>
        <v/>
      </c>
      <c r="Q282" s="36">
        <f>YEAR(B282)</f>
        <v/>
      </c>
      <c r="R282" s="36">
        <f>"Q"&amp;ROUNDUP(MONTH(B282)/3,0)</f>
        <v/>
      </c>
      <c r="S282" s="36">
        <f>MONTH(B282)</f>
        <v/>
      </c>
      <c r="T282" s="36">
        <f>TEXT(B282,"mmm")</f>
        <v/>
      </c>
      <c r="U282" s="36">
        <f>IF(AND(OR(sel_Region="All",C282=sel_Region),OR(sel_Country="All",D282=sel_Country),OR(sel_Channel="All",E282=sel_Channel),OR(sel_Customer="All",F282=sel_Customer),OR(sel_Category="All",G282=sel_Category),OR(sel_Product="All",H282=sel_Product),AND(S282&gt;=m_From,S282&lt;=m_To)),1,0)</f>
        <v/>
      </c>
      <c r="V282" s="36">
        <f>IF(AND(OR(sel_Region="All",C282=sel_Region),OR(sel_Channel="All",E282=sel_Channel),OR(sel_Customer="All",F282=sel_Customer),OR(sel_Category="All",G282=sel_Category),OR(sel_Product="All",H282=sel_Product),AND(S282&gt;=m_From,S282&lt;=m_To)),1,0)</f>
        <v/>
      </c>
      <c r="W282" s="36">
        <f>IF(AND(OR(sel_Region="All",C282=sel_Region),OR(sel_Country="All",D282=sel_Country),OR(sel_Customer="All",F282=sel_Customer),OR(sel_Category="All",G282=sel_Category),OR(sel_Product="All",H282=sel_Product),AND(S282&gt;=m_From,S282&lt;=m_To)),1,0)</f>
        <v/>
      </c>
      <c r="X282" s="36">
        <f>IF(AND(OR(sel_Region="All",C282=sel_Region),OR(sel_Country="All",D282=sel_Country),OR(sel_Channel="All",E282=sel_Channel),OR(sel_Category="All",G282=sel_Category),OR(sel_Product="All",H282=sel_Product),AND(S282&gt;=m_From,S282&lt;=m_To)),1,0)</f>
        <v/>
      </c>
      <c r="Y282" s="36">
        <f>IF(AND(OR(sel_Region="All",C282=sel_Region),OR(sel_Country="All",D282=sel_Country),OR(sel_Channel="All",E282=sel_Channel),OR(sel_Customer="All",F282=sel_Customer),OR(sel_Product="All",H282=sel_Product),AND(S282&gt;=m_From,S282&lt;=m_To)),1,0)</f>
        <v/>
      </c>
      <c r="Z282" s="36">
        <f>IF(AND(OR(sel_Region="All",C282=sel_Region),OR(sel_Country="All",D282=sel_Country),OR(sel_Channel="All",E282=sel_Channel),OR(sel_Customer="All",F282=sel_Customer),OR(sel_Category="All",G282=sel_Category),AND(S282&gt;=m_From,S282&lt;=m_To)),1,0)</f>
        <v/>
      </c>
      <c r="AA282" s="36">
        <f>IF(AND(OR(sel_Region="All",C282=sel_Region),OR(sel_Country="All",D282=sel_Country),OR(sel_Channel="All",E282=sel_Channel),OR(sel_Customer="All",F282=sel_Customer),OR(sel_Category="All",G282=sel_Category),OR(sel_Product="All",H282=sel_Product)),1,0)</f>
        <v/>
      </c>
    </row>
    <row r="283">
      <c r="A283" s="36" t="inlineStr">
        <is>
          <t>03024</t>
        </is>
      </c>
      <c r="B283" s="44" t="n">
        <v>46082</v>
      </c>
      <c r="C283" s="36" t="inlineStr">
        <is>
          <t>Central Europe</t>
        </is>
      </c>
      <c r="D283" s="36" t="inlineStr">
        <is>
          <t>Switzerland</t>
        </is>
      </c>
      <c r="E283" s="36" t="inlineStr">
        <is>
          <t>Online Store</t>
        </is>
      </c>
      <c r="F283" s="36" t="inlineStr">
        <is>
          <t>Business</t>
        </is>
      </c>
      <c r="G283" s="36" t="inlineStr">
        <is>
          <t>Cycling</t>
        </is>
      </c>
      <c r="H283" s="36" t="inlineStr">
        <is>
          <t>Trail Bike Light</t>
        </is>
      </c>
      <c r="I283" s="36" t="n">
        <v>2</v>
      </c>
      <c r="J283" s="39" t="n">
        <v>51.87</v>
      </c>
      <c r="K283" s="45" t="n">
        <v>0.1</v>
      </c>
      <c r="L283" s="39" t="n">
        <v>22.95</v>
      </c>
      <c r="M283" s="39">
        <f>I283*J283*(1-K283)</f>
        <v/>
      </c>
      <c r="N283" s="39">
        <f>I283*L283</f>
        <v/>
      </c>
      <c r="O283" s="39">
        <f>M283-N283</f>
        <v/>
      </c>
      <c r="P283" s="38">
        <f>IF(M283=0,0,O283/M283)</f>
        <v/>
      </c>
      <c r="Q283" s="36">
        <f>YEAR(B283)</f>
        <v/>
      </c>
      <c r="R283" s="36">
        <f>"Q"&amp;ROUNDUP(MONTH(B283)/3,0)</f>
        <v/>
      </c>
      <c r="S283" s="36">
        <f>MONTH(B283)</f>
        <v/>
      </c>
      <c r="T283" s="36">
        <f>TEXT(B283,"mmm")</f>
        <v/>
      </c>
      <c r="U283" s="36">
        <f>IF(AND(OR(sel_Region="All",C283=sel_Region),OR(sel_Country="All",D283=sel_Country),OR(sel_Channel="All",E283=sel_Channel),OR(sel_Customer="All",F283=sel_Customer),OR(sel_Category="All",G283=sel_Category),OR(sel_Product="All",H283=sel_Product),AND(S283&gt;=m_From,S283&lt;=m_To)),1,0)</f>
        <v/>
      </c>
      <c r="V283" s="36">
        <f>IF(AND(OR(sel_Region="All",C283=sel_Region),OR(sel_Channel="All",E283=sel_Channel),OR(sel_Customer="All",F283=sel_Customer),OR(sel_Category="All",G283=sel_Category),OR(sel_Product="All",H283=sel_Product),AND(S283&gt;=m_From,S283&lt;=m_To)),1,0)</f>
        <v/>
      </c>
      <c r="W283" s="36">
        <f>IF(AND(OR(sel_Region="All",C283=sel_Region),OR(sel_Country="All",D283=sel_Country),OR(sel_Customer="All",F283=sel_Customer),OR(sel_Category="All",G283=sel_Category),OR(sel_Product="All",H283=sel_Product),AND(S283&gt;=m_From,S283&lt;=m_To)),1,0)</f>
        <v/>
      </c>
      <c r="X283" s="36">
        <f>IF(AND(OR(sel_Region="All",C283=sel_Region),OR(sel_Country="All",D283=sel_Country),OR(sel_Channel="All",E283=sel_Channel),OR(sel_Category="All",G283=sel_Category),OR(sel_Product="All",H283=sel_Product),AND(S283&gt;=m_From,S283&lt;=m_To)),1,0)</f>
        <v/>
      </c>
      <c r="Y283" s="36">
        <f>IF(AND(OR(sel_Region="All",C283=sel_Region),OR(sel_Country="All",D283=sel_Country),OR(sel_Channel="All",E283=sel_Channel),OR(sel_Customer="All",F283=sel_Customer),OR(sel_Product="All",H283=sel_Product),AND(S283&gt;=m_From,S283&lt;=m_To)),1,0)</f>
        <v/>
      </c>
      <c r="Z283" s="36">
        <f>IF(AND(OR(sel_Region="All",C283=sel_Region),OR(sel_Country="All",D283=sel_Country),OR(sel_Channel="All",E283=sel_Channel),OR(sel_Customer="All",F283=sel_Customer),OR(sel_Category="All",G283=sel_Category),AND(S283&gt;=m_From,S283&lt;=m_To)),1,0)</f>
        <v/>
      </c>
      <c r="AA283" s="36">
        <f>IF(AND(OR(sel_Region="All",C283=sel_Region),OR(sel_Country="All",D283=sel_Country),OR(sel_Channel="All",E283=sel_Channel),OR(sel_Customer="All",F283=sel_Customer),OR(sel_Category="All",G283=sel_Category),OR(sel_Product="All",H283=sel_Product)),1,0)</f>
        <v/>
      </c>
    </row>
    <row r="284">
      <c r="A284" s="36" t="inlineStr">
        <is>
          <t>03225</t>
        </is>
      </c>
      <c r="B284" s="44" t="n">
        <v>46082</v>
      </c>
      <c r="C284" s="36" t="inlineStr">
        <is>
          <t>Northern Europe</t>
        </is>
      </c>
      <c r="D284" s="36" t="inlineStr">
        <is>
          <t>Sweden</t>
        </is>
      </c>
      <c r="E284" s="36" t="inlineStr">
        <is>
          <t>Retail Partners</t>
        </is>
      </c>
      <c r="F284" s="36" t="inlineStr">
        <is>
          <t>Business</t>
        </is>
      </c>
      <c r="G284" s="36" t="inlineStr">
        <is>
          <t>Camping</t>
        </is>
      </c>
      <c r="H284" s="36" t="inlineStr">
        <is>
          <t>Trail Tent 2P</t>
        </is>
      </c>
      <c r="I284" s="36" t="n">
        <v>1</v>
      </c>
      <c r="J284" s="39" t="n">
        <v>195.06</v>
      </c>
      <c r="K284" s="45" t="n">
        <v>0.1</v>
      </c>
      <c r="L284" s="39" t="n">
        <v>106.68</v>
      </c>
      <c r="M284" s="39">
        <f>I284*J284*(1-K284)</f>
        <v/>
      </c>
      <c r="N284" s="39">
        <f>I284*L284</f>
        <v/>
      </c>
      <c r="O284" s="39">
        <f>M284-N284</f>
        <v/>
      </c>
      <c r="P284" s="38">
        <f>IF(M284=0,0,O284/M284)</f>
        <v/>
      </c>
      <c r="Q284" s="36">
        <f>YEAR(B284)</f>
        <v/>
      </c>
      <c r="R284" s="36">
        <f>"Q"&amp;ROUNDUP(MONTH(B284)/3,0)</f>
        <v/>
      </c>
      <c r="S284" s="36">
        <f>MONTH(B284)</f>
        <v/>
      </c>
      <c r="T284" s="36">
        <f>TEXT(B284,"mmm")</f>
        <v/>
      </c>
      <c r="U284" s="36">
        <f>IF(AND(OR(sel_Region="All",C284=sel_Region),OR(sel_Country="All",D284=sel_Country),OR(sel_Channel="All",E284=sel_Channel),OR(sel_Customer="All",F284=sel_Customer),OR(sel_Category="All",G284=sel_Category),OR(sel_Product="All",H284=sel_Product),AND(S284&gt;=m_From,S284&lt;=m_To)),1,0)</f>
        <v/>
      </c>
      <c r="V284" s="36">
        <f>IF(AND(OR(sel_Region="All",C284=sel_Region),OR(sel_Channel="All",E284=sel_Channel),OR(sel_Customer="All",F284=sel_Customer),OR(sel_Category="All",G284=sel_Category),OR(sel_Product="All",H284=sel_Product),AND(S284&gt;=m_From,S284&lt;=m_To)),1,0)</f>
        <v/>
      </c>
      <c r="W284" s="36">
        <f>IF(AND(OR(sel_Region="All",C284=sel_Region),OR(sel_Country="All",D284=sel_Country),OR(sel_Customer="All",F284=sel_Customer),OR(sel_Category="All",G284=sel_Category),OR(sel_Product="All",H284=sel_Product),AND(S284&gt;=m_From,S284&lt;=m_To)),1,0)</f>
        <v/>
      </c>
      <c r="X284" s="36">
        <f>IF(AND(OR(sel_Region="All",C284=sel_Region),OR(sel_Country="All",D284=sel_Country),OR(sel_Channel="All",E284=sel_Channel),OR(sel_Category="All",G284=sel_Category),OR(sel_Product="All",H284=sel_Product),AND(S284&gt;=m_From,S284&lt;=m_To)),1,0)</f>
        <v/>
      </c>
      <c r="Y284" s="36">
        <f>IF(AND(OR(sel_Region="All",C284=sel_Region),OR(sel_Country="All",D284=sel_Country),OR(sel_Channel="All",E284=sel_Channel),OR(sel_Customer="All",F284=sel_Customer),OR(sel_Product="All",H284=sel_Product),AND(S284&gt;=m_From,S284&lt;=m_To)),1,0)</f>
        <v/>
      </c>
      <c r="Z284" s="36">
        <f>IF(AND(OR(sel_Region="All",C284=sel_Region),OR(sel_Country="All",D284=sel_Country),OR(sel_Channel="All",E284=sel_Channel),OR(sel_Customer="All",F284=sel_Customer),OR(sel_Category="All",G284=sel_Category),AND(S284&gt;=m_From,S284&lt;=m_To)),1,0)</f>
        <v/>
      </c>
      <c r="AA284" s="36">
        <f>IF(AND(OR(sel_Region="All",C284=sel_Region),OR(sel_Country="All",D284=sel_Country),OR(sel_Channel="All",E284=sel_Channel),OR(sel_Customer="All",F284=sel_Customer),OR(sel_Category="All",G284=sel_Category),OR(sel_Product="All",H284=sel_Product)),1,0)</f>
        <v/>
      </c>
    </row>
    <row r="285">
      <c r="A285" s="36" t="inlineStr">
        <is>
          <t>03551</t>
        </is>
      </c>
      <c r="B285" s="44" t="n">
        <v>46082</v>
      </c>
      <c r="C285" s="36" t="inlineStr">
        <is>
          <t>Central Europe</t>
        </is>
      </c>
      <c r="D285" s="36" t="inlineStr">
        <is>
          <t>Switzerland</t>
        </is>
      </c>
      <c r="E285" s="36" t="inlineStr">
        <is>
          <t>Marketplace</t>
        </is>
      </c>
      <c r="F285" s="36" t="inlineStr">
        <is>
          <t>Returning</t>
        </is>
      </c>
      <c r="G285" s="36" t="inlineStr">
        <is>
          <t>Cycling</t>
        </is>
      </c>
      <c r="H285" s="36" t="inlineStr">
        <is>
          <t>Cycling Pack 12L</t>
        </is>
      </c>
      <c r="I285" s="36" t="n">
        <v>2</v>
      </c>
      <c r="J285" s="39" t="n">
        <v>100.79</v>
      </c>
      <c r="K285" s="45" t="n">
        <v>0.05</v>
      </c>
      <c r="L285" s="39" t="n">
        <v>49</v>
      </c>
      <c r="M285" s="39">
        <f>I285*J285*(1-K285)</f>
        <v/>
      </c>
      <c r="N285" s="39">
        <f>I285*L285</f>
        <v/>
      </c>
      <c r="O285" s="39">
        <f>M285-N285</f>
        <v/>
      </c>
      <c r="P285" s="38">
        <f>IF(M285=0,0,O285/M285)</f>
        <v/>
      </c>
      <c r="Q285" s="36">
        <f>YEAR(B285)</f>
        <v/>
      </c>
      <c r="R285" s="36">
        <f>"Q"&amp;ROUNDUP(MONTH(B285)/3,0)</f>
        <v/>
      </c>
      <c r="S285" s="36">
        <f>MONTH(B285)</f>
        <v/>
      </c>
      <c r="T285" s="36">
        <f>TEXT(B285,"mmm")</f>
        <v/>
      </c>
      <c r="U285" s="36">
        <f>IF(AND(OR(sel_Region="All",C285=sel_Region),OR(sel_Country="All",D285=sel_Country),OR(sel_Channel="All",E285=sel_Channel),OR(sel_Customer="All",F285=sel_Customer),OR(sel_Category="All",G285=sel_Category),OR(sel_Product="All",H285=sel_Product),AND(S285&gt;=m_From,S285&lt;=m_To)),1,0)</f>
        <v/>
      </c>
      <c r="V285" s="36">
        <f>IF(AND(OR(sel_Region="All",C285=sel_Region),OR(sel_Channel="All",E285=sel_Channel),OR(sel_Customer="All",F285=sel_Customer),OR(sel_Category="All",G285=sel_Category),OR(sel_Product="All",H285=sel_Product),AND(S285&gt;=m_From,S285&lt;=m_To)),1,0)</f>
        <v/>
      </c>
      <c r="W285" s="36">
        <f>IF(AND(OR(sel_Region="All",C285=sel_Region),OR(sel_Country="All",D285=sel_Country),OR(sel_Customer="All",F285=sel_Customer),OR(sel_Category="All",G285=sel_Category),OR(sel_Product="All",H285=sel_Product),AND(S285&gt;=m_From,S285&lt;=m_To)),1,0)</f>
        <v/>
      </c>
      <c r="X285" s="36">
        <f>IF(AND(OR(sel_Region="All",C285=sel_Region),OR(sel_Country="All",D285=sel_Country),OR(sel_Channel="All",E285=sel_Channel),OR(sel_Category="All",G285=sel_Category),OR(sel_Product="All",H285=sel_Product),AND(S285&gt;=m_From,S285&lt;=m_To)),1,0)</f>
        <v/>
      </c>
      <c r="Y285" s="36">
        <f>IF(AND(OR(sel_Region="All",C285=sel_Region),OR(sel_Country="All",D285=sel_Country),OR(sel_Channel="All",E285=sel_Channel),OR(sel_Customer="All",F285=sel_Customer),OR(sel_Product="All",H285=sel_Product),AND(S285&gt;=m_From,S285&lt;=m_To)),1,0)</f>
        <v/>
      </c>
      <c r="Z285" s="36">
        <f>IF(AND(OR(sel_Region="All",C285=sel_Region),OR(sel_Country="All",D285=sel_Country),OR(sel_Channel="All",E285=sel_Channel),OR(sel_Customer="All",F285=sel_Customer),OR(sel_Category="All",G285=sel_Category),AND(S285&gt;=m_From,S285&lt;=m_To)),1,0)</f>
        <v/>
      </c>
      <c r="AA285" s="36">
        <f>IF(AND(OR(sel_Region="All",C285=sel_Region),OR(sel_Country="All",D285=sel_Country),OR(sel_Channel="All",E285=sel_Channel),OR(sel_Customer="All",F285=sel_Customer),OR(sel_Category="All",G285=sel_Category),OR(sel_Product="All",H285=sel_Product)),1,0)</f>
        <v/>
      </c>
    </row>
    <row r="286">
      <c r="A286" s="36" t="inlineStr">
        <is>
          <t>04157</t>
        </is>
      </c>
      <c r="B286" s="44" t="n">
        <v>46082</v>
      </c>
      <c r="C286" s="36" t="inlineStr">
        <is>
          <t>Western Europe</t>
        </is>
      </c>
      <c r="D286" s="36" t="inlineStr">
        <is>
          <t>United Kingdom</t>
        </is>
      </c>
      <c r="E286" s="36" t="inlineStr">
        <is>
          <t>Online Store</t>
        </is>
      </c>
      <c r="F286" s="36" t="inlineStr">
        <is>
          <t>New</t>
        </is>
      </c>
      <c r="G286" s="36" t="inlineStr">
        <is>
          <t>Cycling</t>
        </is>
      </c>
      <c r="H286" s="36" t="inlineStr">
        <is>
          <t>Trail Bike Light</t>
        </is>
      </c>
      <c r="I286" s="36" t="n">
        <v>5</v>
      </c>
      <c r="J286" s="39" t="n">
        <v>51.92</v>
      </c>
      <c r="K286" s="45" t="n">
        <v>0.15</v>
      </c>
      <c r="L286" s="39" t="n">
        <v>22.24</v>
      </c>
      <c r="M286" s="39">
        <f>I286*J286*(1-K286)</f>
        <v/>
      </c>
      <c r="N286" s="39">
        <f>I286*L286</f>
        <v/>
      </c>
      <c r="O286" s="39">
        <f>M286-N286</f>
        <v/>
      </c>
      <c r="P286" s="38">
        <f>IF(M286=0,0,O286/M286)</f>
        <v/>
      </c>
      <c r="Q286" s="36">
        <f>YEAR(B286)</f>
        <v/>
      </c>
      <c r="R286" s="36">
        <f>"Q"&amp;ROUNDUP(MONTH(B286)/3,0)</f>
        <v/>
      </c>
      <c r="S286" s="36">
        <f>MONTH(B286)</f>
        <v/>
      </c>
      <c r="T286" s="36">
        <f>TEXT(B286,"mmm")</f>
        <v/>
      </c>
      <c r="U286" s="36">
        <f>IF(AND(OR(sel_Region="All",C286=sel_Region),OR(sel_Country="All",D286=sel_Country),OR(sel_Channel="All",E286=sel_Channel),OR(sel_Customer="All",F286=sel_Customer),OR(sel_Category="All",G286=sel_Category),OR(sel_Product="All",H286=sel_Product),AND(S286&gt;=m_From,S286&lt;=m_To)),1,0)</f>
        <v/>
      </c>
      <c r="V286" s="36">
        <f>IF(AND(OR(sel_Region="All",C286=sel_Region),OR(sel_Channel="All",E286=sel_Channel),OR(sel_Customer="All",F286=sel_Customer),OR(sel_Category="All",G286=sel_Category),OR(sel_Product="All",H286=sel_Product),AND(S286&gt;=m_From,S286&lt;=m_To)),1,0)</f>
        <v/>
      </c>
      <c r="W286" s="36">
        <f>IF(AND(OR(sel_Region="All",C286=sel_Region),OR(sel_Country="All",D286=sel_Country),OR(sel_Customer="All",F286=sel_Customer),OR(sel_Category="All",G286=sel_Category),OR(sel_Product="All",H286=sel_Product),AND(S286&gt;=m_From,S286&lt;=m_To)),1,0)</f>
        <v/>
      </c>
      <c r="X286" s="36">
        <f>IF(AND(OR(sel_Region="All",C286=sel_Region),OR(sel_Country="All",D286=sel_Country),OR(sel_Channel="All",E286=sel_Channel),OR(sel_Category="All",G286=sel_Category),OR(sel_Product="All",H286=sel_Product),AND(S286&gt;=m_From,S286&lt;=m_To)),1,0)</f>
        <v/>
      </c>
      <c r="Y286" s="36">
        <f>IF(AND(OR(sel_Region="All",C286=sel_Region),OR(sel_Country="All",D286=sel_Country),OR(sel_Channel="All",E286=sel_Channel),OR(sel_Customer="All",F286=sel_Customer),OR(sel_Product="All",H286=sel_Product),AND(S286&gt;=m_From,S286&lt;=m_To)),1,0)</f>
        <v/>
      </c>
      <c r="Z286" s="36">
        <f>IF(AND(OR(sel_Region="All",C286=sel_Region),OR(sel_Country="All",D286=sel_Country),OR(sel_Channel="All",E286=sel_Channel),OR(sel_Customer="All",F286=sel_Customer),OR(sel_Category="All",G286=sel_Category),AND(S286&gt;=m_From,S286&lt;=m_To)),1,0)</f>
        <v/>
      </c>
      <c r="AA286" s="36">
        <f>IF(AND(OR(sel_Region="All",C286=sel_Region),OR(sel_Country="All",D286=sel_Country),OR(sel_Channel="All",E286=sel_Channel),OR(sel_Customer="All",F286=sel_Customer),OR(sel_Category="All",G286=sel_Category),OR(sel_Product="All",H286=sel_Product)),1,0)</f>
        <v/>
      </c>
    </row>
    <row r="287">
      <c r="A287" s="36" t="inlineStr">
        <is>
          <t>04398</t>
        </is>
      </c>
      <c r="B287" s="44" t="n">
        <v>46082</v>
      </c>
      <c r="C287" s="36" t="inlineStr">
        <is>
          <t>Western Europe</t>
        </is>
      </c>
      <c r="D287" s="36" t="inlineStr">
        <is>
          <t>Netherlands</t>
        </is>
      </c>
      <c r="E287" s="36" t="inlineStr">
        <is>
          <t>Online Store</t>
        </is>
      </c>
      <c r="F287" s="36" t="inlineStr">
        <is>
          <t>New</t>
        </is>
      </c>
      <c r="G287" s="36" t="inlineStr">
        <is>
          <t>Camping</t>
        </is>
      </c>
      <c r="H287" s="36" t="inlineStr">
        <is>
          <t>Compact Sleeping Bag</t>
        </is>
      </c>
      <c r="I287" s="36" t="n">
        <v>1</v>
      </c>
      <c r="J287" s="39" t="n">
        <v>123.99</v>
      </c>
      <c r="K287" s="45" t="n">
        <v>0.05</v>
      </c>
      <c r="L287" s="39" t="n">
        <v>61.67</v>
      </c>
      <c r="M287" s="39">
        <f>I287*J287*(1-K287)</f>
        <v/>
      </c>
      <c r="N287" s="39">
        <f>I287*L287</f>
        <v/>
      </c>
      <c r="O287" s="39">
        <f>M287-N287</f>
        <v/>
      </c>
      <c r="P287" s="38">
        <f>IF(M287=0,0,O287/M287)</f>
        <v/>
      </c>
      <c r="Q287" s="36">
        <f>YEAR(B287)</f>
        <v/>
      </c>
      <c r="R287" s="36">
        <f>"Q"&amp;ROUNDUP(MONTH(B287)/3,0)</f>
        <v/>
      </c>
      <c r="S287" s="36">
        <f>MONTH(B287)</f>
        <v/>
      </c>
      <c r="T287" s="36">
        <f>TEXT(B287,"mmm")</f>
        <v/>
      </c>
      <c r="U287" s="36">
        <f>IF(AND(OR(sel_Region="All",C287=sel_Region),OR(sel_Country="All",D287=sel_Country),OR(sel_Channel="All",E287=sel_Channel),OR(sel_Customer="All",F287=sel_Customer),OR(sel_Category="All",G287=sel_Category),OR(sel_Product="All",H287=sel_Product),AND(S287&gt;=m_From,S287&lt;=m_To)),1,0)</f>
        <v/>
      </c>
      <c r="V287" s="36">
        <f>IF(AND(OR(sel_Region="All",C287=sel_Region),OR(sel_Channel="All",E287=sel_Channel),OR(sel_Customer="All",F287=sel_Customer),OR(sel_Category="All",G287=sel_Category),OR(sel_Product="All",H287=sel_Product),AND(S287&gt;=m_From,S287&lt;=m_To)),1,0)</f>
        <v/>
      </c>
      <c r="W287" s="36">
        <f>IF(AND(OR(sel_Region="All",C287=sel_Region),OR(sel_Country="All",D287=sel_Country),OR(sel_Customer="All",F287=sel_Customer),OR(sel_Category="All",G287=sel_Category),OR(sel_Product="All",H287=sel_Product),AND(S287&gt;=m_From,S287&lt;=m_To)),1,0)</f>
        <v/>
      </c>
      <c r="X287" s="36">
        <f>IF(AND(OR(sel_Region="All",C287=sel_Region),OR(sel_Country="All",D287=sel_Country),OR(sel_Channel="All",E287=sel_Channel),OR(sel_Category="All",G287=sel_Category),OR(sel_Product="All",H287=sel_Product),AND(S287&gt;=m_From,S287&lt;=m_To)),1,0)</f>
        <v/>
      </c>
      <c r="Y287" s="36">
        <f>IF(AND(OR(sel_Region="All",C287=sel_Region),OR(sel_Country="All",D287=sel_Country),OR(sel_Channel="All",E287=sel_Channel),OR(sel_Customer="All",F287=sel_Customer),OR(sel_Product="All",H287=sel_Product),AND(S287&gt;=m_From,S287&lt;=m_To)),1,0)</f>
        <v/>
      </c>
      <c r="Z287" s="36">
        <f>IF(AND(OR(sel_Region="All",C287=sel_Region),OR(sel_Country="All",D287=sel_Country),OR(sel_Channel="All",E287=sel_Channel),OR(sel_Customer="All",F287=sel_Customer),OR(sel_Category="All",G287=sel_Category),AND(S287&gt;=m_From,S287&lt;=m_To)),1,0)</f>
        <v/>
      </c>
      <c r="AA287" s="36">
        <f>IF(AND(OR(sel_Region="All",C287=sel_Region),OR(sel_Country="All",D287=sel_Country),OR(sel_Channel="All",E287=sel_Channel),OR(sel_Customer="All",F287=sel_Customer),OR(sel_Category="All",G287=sel_Category),OR(sel_Product="All",H287=sel_Product)),1,0)</f>
        <v/>
      </c>
    </row>
    <row r="288">
      <c r="A288" s="36" t="inlineStr">
        <is>
          <t>04951</t>
        </is>
      </c>
      <c r="B288" s="44" t="n">
        <v>46082</v>
      </c>
      <c r="C288" s="36" t="inlineStr">
        <is>
          <t>Central Europe</t>
        </is>
      </c>
      <c r="D288" s="36" t="inlineStr">
        <is>
          <t>Poland</t>
        </is>
      </c>
      <c r="E288" s="36" t="inlineStr">
        <is>
          <t>Online Store</t>
        </is>
      </c>
      <c r="F288" s="36" t="inlineStr">
        <is>
          <t>New</t>
        </is>
      </c>
      <c r="G288" s="36" t="inlineStr">
        <is>
          <t>Camping</t>
        </is>
      </c>
      <c r="H288" s="36" t="inlineStr">
        <is>
          <t>Alpine Tent 4P</t>
        </is>
      </c>
      <c r="I288" s="36" t="n">
        <v>1</v>
      </c>
      <c r="J288" s="39" t="n">
        <v>344.8</v>
      </c>
      <c r="K288" s="45" t="n">
        <v>0.05</v>
      </c>
      <c r="L288" s="39" t="n">
        <v>196.14</v>
      </c>
      <c r="M288" s="39">
        <f>I288*J288*(1-K288)</f>
        <v/>
      </c>
      <c r="N288" s="39">
        <f>I288*L288</f>
        <v/>
      </c>
      <c r="O288" s="39">
        <f>M288-N288</f>
        <v/>
      </c>
      <c r="P288" s="38">
        <f>IF(M288=0,0,O288/M288)</f>
        <v/>
      </c>
      <c r="Q288" s="36">
        <f>YEAR(B288)</f>
        <v/>
      </c>
      <c r="R288" s="36">
        <f>"Q"&amp;ROUNDUP(MONTH(B288)/3,0)</f>
        <v/>
      </c>
      <c r="S288" s="36">
        <f>MONTH(B288)</f>
        <v/>
      </c>
      <c r="T288" s="36">
        <f>TEXT(B288,"mmm")</f>
        <v/>
      </c>
      <c r="U288" s="36">
        <f>IF(AND(OR(sel_Region="All",C288=sel_Region),OR(sel_Country="All",D288=sel_Country),OR(sel_Channel="All",E288=sel_Channel),OR(sel_Customer="All",F288=sel_Customer),OR(sel_Category="All",G288=sel_Category),OR(sel_Product="All",H288=sel_Product),AND(S288&gt;=m_From,S288&lt;=m_To)),1,0)</f>
        <v/>
      </c>
      <c r="V288" s="36">
        <f>IF(AND(OR(sel_Region="All",C288=sel_Region),OR(sel_Channel="All",E288=sel_Channel),OR(sel_Customer="All",F288=sel_Customer),OR(sel_Category="All",G288=sel_Category),OR(sel_Product="All",H288=sel_Product),AND(S288&gt;=m_From,S288&lt;=m_To)),1,0)</f>
        <v/>
      </c>
      <c r="W288" s="36">
        <f>IF(AND(OR(sel_Region="All",C288=sel_Region),OR(sel_Country="All",D288=sel_Country),OR(sel_Customer="All",F288=sel_Customer),OR(sel_Category="All",G288=sel_Category),OR(sel_Product="All",H288=sel_Product),AND(S288&gt;=m_From,S288&lt;=m_To)),1,0)</f>
        <v/>
      </c>
      <c r="X288" s="36">
        <f>IF(AND(OR(sel_Region="All",C288=sel_Region),OR(sel_Country="All",D288=sel_Country),OR(sel_Channel="All",E288=sel_Channel),OR(sel_Category="All",G288=sel_Category),OR(sel_Product="All",H288=sel_Product),AND(S288&gt;=m_From,S288&lt;=m_To)),1,0)</f>
        <v/>
      </c>
      <c r="Y288" s="36">
        <f>IF(AND(OR(sel_Region="All",C288=sel_Region),OR(sel_Country="All",D288=sel_Country),OR(sel_Channel="All",E288=sel_Channel),OR(sel_Customer="All",F288=sel_Customer),OR(sel_Product="All",H288=sel_Product),AND(S288&gt;=m_From,S288&lt;=m_To)),1,0)</f>
        <v/>
      </c>
      <c r="Z288" s="36">
        <f>IF(AND(OR(sel_Region="All",C288=sel_Region),OR(sel_Country="All",D288=sel_Country),OR(sel_Channel="All",E288=sel_Channel),OR(sel_Customer="All",F288=sel_Customer),OR(sel_Category="All",G288=sel_Category),AND(S288&gt;=m_From,S288&lt;=m_To)),1,0)</f>
        <v/>
      </c>
      <c r="AA288" s="36">
        <f>IF(AND(OR(sel_Region="All",C288=sel_Region),OR(sel_Country="All",D288=sel_Country),OR(sel_Channel="All",E288=sel_Channel),OR(sel_Customer="All",F288=sel_Customer),OR(sel_Category="All",G288=sel_Category),OR(sel_Product="All",H288=sel_Product)),1,0)</f>
        <v/>
      </c>
    </row>
    <row r="289">
      <c r="A289" s="36" t="inlineStr">
        <is>
          <t>01354</t>
        </is>
      </c>
      <c r="B289" s="44" t="n">
        <v>46083</v>
      </c>
      <c r="C289" s="36" t="inlineStr">
        <is>
          <t>Western Europe</t>
        </is>
      </c>
      <c r="D289" s="36" t="inlineStr">
        <is>
          <t>United Kingdom</t>
        </is>
      </c>
      <c r="E289" s="36" t="inlineStr">
        <is>
          <t>Marketplace</t>
        </is>
      </c>
      <c r="F289" s="36" t="inlineStr">
        <is>
          <t>Returning</t>
        </is>
      </c>
      <c r="G289" s="36" t="inlineStr">
        <is>
          <t>Travel</t>
        </is>
      </c>
      <c r="H289" s="36" t="inlineStr">
        <is>
          <t>Carry-On Duffel</t>
        </is>
      </c>
      <c r="I289" s="36" t="n">
        <v>3</v>
      </c>
      <c r="J289" s="39" t="n">
        <v>131.92</v>
      </c>
      <c r="K289" s="45" t="n">
        <v>0.05</v>
      </c>
      <c r="L289" s="39" t="n">
        <v>67.47</v>
      </c>
      <c r="M289" s="39">
        <f>I289*J289*(1-K289)</f>
        <v/>
      </c>
      <c r="N289" s="39">
        <f>I289*L289</f>
        <v/>
      </c>
      <c r="O289" s="39">
        <f>M289-N289</f>
        <v/>
      </c>
      <c r="P289" s="38">
        <f>IF(M289=0,0,O289/M289)</f>
        <v/>
      </c>
      <c r="Q289" s="36">
        <f>YEAR(B289)</f>
        <v/>
      </c>
      <c r="R289" s="36">
        <f>"Q"&amp;ROUNDUP(MONTH(B289)/3,0)</f>
        <v/>
      </c>
      <c r="S289" s="36">
        <f>MONTH(B289)</f>
        <v/>
      </c>
      <c r="T289" s="36">
        <f>TEXT(B289,"mmm")</f>
        <v/>
      </c>
      <c r="U289" s="36">
        <f>IF(AND(OR(sel_Region="All",C289=sel_Region),OR(sel_Country="All",D289=sel_Country),OR(sel_Channel="All",E289=sel_Channel),OR(sel_Customer="All",F289=sel_Customer),OR(sel_Category="All",G289=sel_Category),OR(sel_Product="All",H289=sel_Product),AND(S289&gt;=m_From,S289&lt;=m_To)),1,0)</f>
        <v/>
      </c>
      <c r="V289" s="36">
        <f>IF(AND(OR(sel_Region="All",C289=sel_Region),OR(sel_Channel="All",E289=sel_Channel),OR(sel_Customer="All",F289=sel_Customer),OR(sel_Category="All",G289=sel_Category),OR(sel_Product="All",H289=sel_Product),AND(S289&gt;=m_From,S289&lt;=m_To)),1,0)</f>
        <v/>
      </c>
      <c r="W289" s="36">
        <f>IF(AND(OR(sel_Region="All",C289=sel_Region),OR(sel_Country="All",D289=sel_Country),OR(sel_Customer="All",F289=sel_Customer),OR(sel_Category="All",G289=sel_Category),OR(sel_Product="All",H289=sel_Product),AND(S289&gt;=m_From,S289&lt;=m_To)),1,0)</f>
        <v/>
      </c>
      <c r="X289" s="36">
        <f>IF(AND(OR(sel_Region="All",C289=sel_Region),OR(sel_Country="All",D289=sel_Country),OR(sel_Channel="All",E289=sel_Channel),OR(sel_Category="All",G289=sel_Category),OR(sel_Product="All",H289=sel_Product),AND(S289&gt;=m_From,S289&lt;=m_To)),1,0)</f>
        <v/>
      </c>
      <c r="Y289" s="36">
        <f>IF(AND(OR(sel_Region="All",C289=sel_Region),OR(sel_Country="All",D289=sel_Country),OR(sel_Channel="All",E289=sel_Channel),OR(sel_Customer="All",F289=sel_Customer),OR(sel_Product="All",H289=sel_Product),AND(S289&gt;=m_From,S289&lt;=m_To)),1,0)</f>
        <v/>
      </c>
      <c r="Z289" s="36">
        <f>IF(AND(OR(sel_Region="All",C289=sel_Region),OR(sel_Country="All",D289=sel_Country),OR(sel_Channel="All",E289=sel_Channel),OR(sel_Customer="All",F289=sel_Customer),OR(sel_Category="All",G289=sel_Category),AND(S289&gt;=m_From,S289&lt;=m_To)),1,0)</f>
        <v/>
      </c>
      <c r="AA289" s="36">
        <f>IF(AND(OR(sel_Region="All",C289=sel_Region),OR(sel_Country="All",D289=sel_Country),OR(sel_Channel="All",E289=sel_Channel),OR(sel_Customer="All",F289=sel_Customer),OR(sel_Category="All",G289=sel_Category),OR(sel_Product="All",H289=sel_Product)),1,0)</f>
        <v/>
      </c>
    </row>
    <row r="290">
      <c r="A290" s="36" t="inlineStr">
        <is>
          <t>02042</t>
        </is>
      </c>
      <c r="B290" s="44" t="n">
        <v>46083</v>
      </c>
      <c r="C290" s="36" t="inlineStr">
        <is>
          <t>Northern Europe</t>
        </is>
      </c>
      <c r="D290" s="36" t="inlineStr">
        <is>
          <t>Norway</t>
        </is>
      </c>
      <c r="E290" s="36" t="inlineStr">
        <is>
          <t>Online Store</t>
        </is>
      </c>
      <c r="F290" s="36" t="inlineStr">
        <is>
          <t>Business</t>
        </is>
      </c>
      <c r="G290" s="36" t="inlineStr">
        <is>
          <t>Hiking</t>
        </is>
      </c>
      <c r="H290" s="36" t="inlineStr">
        <is>
          <t>Trail Boots</t>
        </is>
      </c>
      <c r="I290" s="36" t="n">
        <v>3</v>
      </c>
      <c r="J290" s="39" t="n">
        <v>146.99</v>
      </c>
      <c r="K290" s="45" t="n">
        <v>0</v>
      </c>
      <c r="L290" s="39" t="n">
        <v>80.06999999999999</v>
      </c>
      <c r="M290" s="39">
        <f>I290*J290*(1-K290)</f>
        <v/>
      </c>
      <c r="N290" s="39">
        <f>I290*L290</f>
        <v/>
      </c>
      <c r="O290" s="39">
        <f>M290-N290</f>
        <v/>
      </c>
      <c r="P290" s="38">
        <f>IF(M290=0,0,O290/M290)</f>
        <v/>
      </c>
      <c r="Q290" s="36">
        <f>YEAR(B290)</f>
        <v/>
      </c>
      <c r="R290" s="36">
        <f>"Q"&amp;ROUNDUP(MONTH(B290)/3,0)</f>
        <v/>
      </c>
      <c r="S290" s="36">
        <f>MONTH(B290)</f>
        <v/>
      </c>
      <c r="T290" s="36">
        <f>TEXT(B290,"mmm")</f>
        <v/>
      </c>
      <c r="U290" s="36">
        <f>IF(AND(OR(sel_Region="All",C290=sel_Region),OR(sel_Country="All",D290=sel_Country),OR(sel_Channel="All",E290=sel_Channel),OR(sel_Customer="All",F290=sel_Customer),OR(sel_Category="All",G290=sel_Category),OR(sel_Product="All",H290=sel_Product),AND(S290&gt;=m_From,S290&lt;=m_To)),1,0)</f>
        <v/>
      </c>
      <c r="V290" s="36">
        <f>IF(AND(OR(sel_Region="All",C290=sel_Region),OR(sel_Channel="All",E290=sel_Channel),OR(sel_Customer="All",F290=sel_Customer),OR(sel_Category="All",G290=sel_Category),OR(sel_Product="All",H290=sel_Product),AND(S290&gt;=m_From,S290&lt;=m_To)),1,0)</f>
        <v/>
      </c>
      <c r="W290" s="36">
        <f>IF(AND(OR(sel_Region="All",C290=sel_Region),OR(sel_Country="All",D290=sel_Country),OR(sel_Customer="All",F290=sel_Customer),OR(sel_Category="All",G290=sel_Category),OR(sel_Product="All",H290=sel_Product),AND(S290&gt;=m_From,S290&lt;=m_To)),1,0)</f>
        <v/>
      </c>
      <c r="X290" s="36">
        <f>IF(AND(OR(sel_Region="All",C290=sel_Region),OR(sel_Country="All",D290=sel_Country),OR(sel_Channel="All",E290=sel_Channel),OR(sel_Category="All",G290=sel_Category),OR(sel_Product="All",H290=sel_Product),AND(S290&gt;=m_From,S290&lt;=m_To)),1,0)</f>
        <v/>
      </c>
      <c r="Y290" s="36">
        <f>IF(AND(OR(sel_Region="All",C290=sel_Region),OR(sel_Country="All",D290=sel_Country),OR(sel_Channel="All",E290=sel_Channel),OR(sel_Customer="All",F290=sel_Customer),OR(sel_Product="All",H290=sel_Product),AND(S290&gt;=m_From,S290&lt;=m_To)),1,0)</f>
        <v/>
      </c>
      <c r="Z290" s="36">
        <f>IF(AND(OR(sel_Region="All",C290=sel_Region),OR(sel_Country="All",D290=sel_Country),OR(sel_Channel="All",E290=sel_Channel),OR(sel_Customer="All",F290=sel_Customer),OR(sel_Category="All",G290=sel_Category),AND(S290&gt;=m_From,S290&lt;=m_To)),1,0)</f>
        <v/>
      </c>
      <c r="AA290" s="36">
        <f>IF(AND(OR(sel_Region="All",C290=sel_Region),OR(sel_Country="All",D290=sel_Country),OR(sel_Channel="All",E290=sel_Channel),OR(sel_Customer="All",F290=sel_Customer),OR(sel_Category="All",G290=sel_Category),OR(sel_Product="All",H290=sel_Product)),1,0)</f>
        <v/>
      </c>
    </row>
    <row r="291">
      <c r="A291" s="36" t="inlineStr">
        <is>
          <t>03895</t>
        </is>
      </c>
      <c r="B291" s="44" t="n">
        <v>46083</v>
      </c>
      <c r="C291" s="36" t="inlineStr">
        <is>
          <t>Western Europe</t>
        </is>
      </c>
      <c r="D291" s="36" t="inlineStr">
        <is>
          <t>Netherlands</t>
        </is>
      </c>
      <c r="E291" s="36" t="inlineStr">
        <is>
          <t>Online Store</t>
        </is>
      </c>
      <c r="F291" s="36" t="inlineStr">
        <is>
          <t>Business</t>
        </is>
      </c>
      <c r="G291" s="36" t="inlineStr">
        <is>
          <t>Travel</t>
        </is>
      </c>
      <c r="H291" s="36" t="inlineStr">
        <is>
          <t>Travel Backpack 35L</t>
        </is>
      </c>
      <c r="I291" s="36" t="n">
        <v>2</v>
      </c>
      <c r="J291" s="39" t="n">
        <v>164.74</v>
      </c>
      <c r="K291" s="45" t="n">
        <v>0.05</v>
      </c>
      <c r="L291" s="39" t="n">
        <v>89.90000000000001</v>
      </c>
      <c r="M291" s="39">
        <f>I291*J291*(1-K291)</f>
        <v/>
      </c>
      <c r="N291" s="39">
        <f>I291*L291</f>
        <v/>
      </c>
      <c r="O291" s="39">
        <f>M291-N291</f>
        <v/>
      </c>
      <c r="P291" s="38">
        <f>IF(M291=0,0,O291/M291)</f>
        <v/>
      </c>
      <c r="Q291" s="36">
        <f>YEAR(B291)</f>
        <v/>
      </c>
      <c r="R291" s="36">
        <f>"Q"&amp;ROUNDUP(MONTH(B291)/3,0)</f>
        <v/>
      </c>
      <c r="S291" s="36">
        <f>MONTH(B291)</f>
        <v/>
      </c>
      <c r="T291" s="36">
        <f>TEXT(B291,"mmm")</f>
        <v/>
      </c>
      <c r="U291" s="36">
        <f>IF(AND(OR(sel_Region="All",C291=sel_Region),OR(sel_Country="All",D291=sel_Country),OR(sel_Channel="All",E291=sel_Channel),OR(sel_Customer="All",F291=sel_Customer),OR(sel_Category="All",G291=sel_Category),OR(sel_Product="All",H291=sel_Product),AND(S291&gt;=m_From,S291&lt;=m_To)),1,0)</f>
        <v/>
      </c>
      <c r="V291" s="36">
        <f>IF(AND(OR(sel_Region="All",C291=sel_Region),OR(sel_Channel="All",E291=sel_Channel),OR(sel_Customer="All",F291=sel_Customer),OR(sel_Category="All",G291=sel_Category),OR(sel_Product="All",H291=sel_Product),AND(S291&gt;=m_From,S291&lt;=m_To)),1,0)</f>
        <v/>
      </c>
      <c r="W291" s="36">
        <f>IF(AND(OR(sel_Region="All",C291=sel_Region),OR(sel_Country="All",D291=sel_Country),OR(sel_Customer="All",F291=sel_Customer),OR(sel_Category="All",G291=sel_Category),OR(sel_Product="All",H291=sel_Product),AND(S291&gt;=m_From,S291&lt;=m_To)),1,0)</f>
        <v/>
      </c>
      <c r="X291" s="36">
        <f>IF(AND(OR(sel_Region="All",C291=sel_Region),OR(sel_Country="All",D291=sel_Country),OR(sel_Channel="All",E291=sel_Channel),OR(sel_Category="All",G291=sel_Category),OR(sel_Product="All",H291=sel_Product),AND(S291&gt;=m_From,S291&lt;=m_To)),1,0)</f>
        <v/>
      </c>
      <c r="Y291" s="36">
        <f>IF(AND(OR(sel_Region="All",C291=sel_Region),OR(sel_Country="All",D291=sel_Country),OR(sel_Channel="All",E291=sel_Channel),OR(sel_Customer="All",F291=sel_Customer),OR(sel_Product="All",H291=sel_Product),AND(S291&gt;=m_From,S291&lt;=m_To)),1,0)</f>
        <v/>
      </c>
      <c r="Z291" s="36">
        <f>IF(AND(OR(sel_Region="All",C291=sel_Region),OR(sel_Country="All",D291=sel_Country),OR(sel_Channel="All",E291=sel_Channel),OR(sel_Customer="All",F291=sel_Customer),OR(sel_Category="All",G291=sel_Category),AND(S291&gt;=m_From,S291&lt;=m_To)),1,0)</f>
        <v/>
      </c>
      <c r="AA291" s="36">
        <f>IF(AND(OR(sel_Region="All",C291=sel_Region),OR(sel_Country="All",D291=sel_Country),OR(sel_Channel="All",E291=sel_Channel),OR(sel_Customer="All",F291=sel_Customer),OR(sel_Category="All",G291=sel_Category),OR(sel_Product="All",H291=sel_Product)),1,0)</f>
        <v/>
      </c>
    </row>
    <row r="292">
      <c r="A292" s="36" t="inlineStr">
        <is>
          <t>05074</t>
        </is>
      </c>
      <c r="B292" s="44" t="n">
        <v>46083</v>
      </c>
      <c r="C292" s="36" t="inlineStr">
        <is>
          <t>Western Europe</t>
        </is>
      </c>
      <c r="D292" s="36" t="inlineStr">
        <is>
          <t>Netherlands</t>
        </is>
      </c>
      <c r="E292" s="36" t="inlineStr">
        <is>
          <t>Online Store</t>
        </is>
      </c>
      <c r="F292" s="36" t="inlineStr">
        <is>
          <t>Returning</t>
        </is>
      </c>
      <c r="G292" s="36" t="inlineStr">
        <is>
          <t>Hiking</t>
        </is>
      </c>
      <c r="H292" s="36" t="inlineStr">
        <is>
          <t>Hiking Daypack 20L</t>
        </is>
      </c>
      <c r="I292" s="36" t="n">
        <v>2</v>
      </c>
      <c r="J292" s="39" t="n">
        <v>89.81</v>
      </c>
      <c r="K292" s="45" t="n">
        <v>0</v>
      </c>
      <c r="L292" s="39" t="n">
        <v>46.44</v>
      </c>
      <c r="M292" s="39">
        <f>I292*J292*(1-K292)</f>
        <v/>
      </c>
      <c r="N292" s="39">
        <f>I292*L292</f>
        <v/>
      </c>
      <c r="O292" s="39">
        <f>M292-N292</f>
        <v/>
      </c>
      <c r="P292" s="38">
        <f>IF(M292=0,0,O292/M292)</f>
        <v/>
      </c>
      <c r="Q292" s="36">
        <f>YEAR(B292)</f>
        <v/>
      </c>
      <c r="R292" s="36">
        <f>"Q"&amp;ROUNDUP(MONTH(B292)/3,0)</f>
        <v/>
      </c>
      <c r="S292" s="36">
        <f>MONTH(B292)</f>
        <v/>
      </c>
      <c r="T292" s="36">
        <f>TEXT(B292,"mmm")</f>
        <v/>
      </c>
      <c r="U292" s="36">
        <f>IF(AND(OR(sel_Region="All",C292=sel_Region),OR(sel_Country="All",D292=sel_Country),OR(sel_Channel="All",E292=sel_Channel),OR(sel_Customer="All",F292=sel_Customer),OR(sel_Category="All",G292=sel_Category),OR(sel_Product="All",H292=sel_Product),AND(S292&gt;=m_From,S292&lt;=m_To)),1,0)</f>
        <v/>
      </c>
      <c r="V292" s="36">
        <f>IF(AND(OR(sel_Region="All",C292=sel_Region),OR(sel_Channel="All",E292=sel_Channel),OR(sel_Customer="All",F292=sel_Customer),OR(sel_Category="All",G292=sel_Category),OR(sel_Product="All",H292=sel_Product),AND(S292&gt;=m_From,S292&lt;=m_To)),1,0)</f>
        <v/>
      </c>
      <c r="W292" s="36">
        <f>IF(AND(OR(sel_Region="All",C292=sel_Region),OR(sel_Country="All",D292=sel_Country),OR(sel_Customer="All",F292=sel_Customer),OR(sel_Category="All",G292=sel_Category),OR(sel_Product="All",H292=sel_Product),AND(S292&gt;=m_From,S292&lt;=m_To)),1,0)</f>
        <v/>
      </c>
      <c r="X292" s="36">
        <f>IF(AND(OR(sel_Region="All",C292=sel_Region),OR(sel_Country="All",D292=sel_Country),OR(sel_Channel="All",E292=sel_Channel),OR(sel_Category="All",G292=sel_Category),OR(sel_Product="All",H292=sel_Product),AND(S292&gt;=m_From,S292&lt;=m_To)),1,0)</f>
        <v/>
      </c>
      <c r="Y292" s="36">
        <f>IF(AND(OR(sel_Region="All",C292=sel_Region),OR(sel_Country="All",D292=sel_Country),OR(sel_Channel="All",E292=sel_Channel),OR(sel_Customer="All",F292=sel_Customer),OR(sel_Product="All",H292=sel_Product),AND(S292&gt;=m_From,S292&lt;=m_To)),1,0)</f>
        <v/>
      </c>
      <c r="Z292" s="36">
        <f>IF(AND(OR(sel_Region="All",C292=sel_Region),OR(sel_Country="All",D292=sel_Country),OR(sel_Channel="All",E292=sel_Channel),OR(sel_Customer="All",F292=sel_Customer),OR(sel_Category="All",G292=sel_Category),AND(S292&gt;=m_From,S292&lt;=m_To)),1,0)</f>
        <v/>
      </c>
      <c r="AA292" s="36">
        <f>IF(AND(OR(sel_Region="All",C292=sel_Region),OR(sel_Country="All",D292=sel_Country),OR(sel_Channel="All",E292=sel_Channel),OR(sel_Customer="All",F292=sel_Customer),OR(sel_Category="All",G292=sel_Category),OR(sel_Product="All",H292=sel_Product)),1,0)</f>
        <v/>
      </c>
    </row>
    <row r="293">
      <c r="A293" s="36" t="inlineStr">
        <is>
          <t>00179</t>
        </is>
      </c>
      <c r="B293" s="44" t="n">
        <v>46084</v>
      </c>
      <c r="C293" s="36" t="inlineStr">
        <is>
          <t>Northern Europe</t>
        </is>
      </c>
      <c r="D293" s="36" t="inlineStr">
        <is>
          <t>Norway</t>
        </is>
      </c>
      <c r="E293" s="36" t="inlineStr">
        <is>
          <t>Retail Partners</t>
        </is>
      </c>
      <c r="F293" s="36" t="inlineStr">
        <is>
          <t>Returning</t>
        </is>
      </c>
      <c r="G293" s="36" t="inlineStr">
        <is>
          <t>Fitness</t>
        </is>
      </c>
      <c r="H293" s="36" t="inlineStr">
        <is>
          <t>Recovery Roller</t>
        </is>
      </c>
      <c r="I293" s="36" t="n">
        <v>1</v>
      </c>
      <c r="J293" s="39" t="n">
        <v>35.37</v>
      </c>
      <c r="K293" s="45" t="n">
        <v>0</v>
      </c>
      <c r="L293" s="39" t="n">
        <v>13.88</v>
      </c>
      <c r="M293" s="39">
        <f>I293*J293*(1-K293)</f>
        <v/>
      </c>
      <c r="N293" s="39">
        <f>I293*L293</f>
        <v/>
      </c>
      <c r="O293" s="39">
        <f>M293-N293</f>
        <v/>
      </c>
      <c r="P293" s="38">
        <f>IF(M293=0,0,O293/M293)</f>
        <v/>
      </c>
      <c r="Q293" s="36">
        <f>YEAR(B293)</f>
        <v/>
      </c>
      <c r="R293" s="36">
        <f>"Q"&amp;ROUNDUP(MONTH(B293)/3,0)</f>
        <v/>
      </c>
      <c r="S293" s="36">
        <f>MONTH(B293)</f>
        <v/>
      </c>
      <c r="T293" s="36">
        <f>TEXT(B293,"mmm")</f>
        <v/>
      </c>
      <c r="U293" s="36">
        <f>IF(AND(OR(sel_Region="All",C293=sel_Region),OR(sel_Country="All",D293=sel_Country),OR(sel_Channel="All",E293=sel_Channel),OR(sel_Customer="All",F293=sel_Customer),OR(sel_Category="All",G293=sel_Category),OR(sel_Product="All",H293=sel_Product),AND(S293&gt;=m_From,S293&lt;=m_To)),1,0)</f>
        <v/>
      </c>
      <c r="V293" s="36">
        <f>IF(AND(OR(sel_Region="All",C293=sel_Region),OR(sel_Channel="All",E293=sel_Channel),OR(sel_Customer="All",F293=sel_Customer),OR(sel_Category="All",G293=sel_Category),OR(sel_Product="All",H293=sel_Product),AND(S293&gt;=m_From,S293&lt;=m_To)),1,0)</f>
        <v/>
      </c>
      <c r="W293" s="36">
        <f>IF(AND(OR(sel_Region="All",C293=sel_Region),OR(sel_Country="All",D293=sel_Country),OR(sel_Customer="All",F293=sel_Customer),OR(sel_Category="All",G293=sel_Category),OR(sel_Product="All",H293=sel_Product),AND(S293&gt;=m_From,S293&lt;=m_To)),1,0)</f>
        <v/>
      </c>
      <c r="X293" s="36">
        <f>IF(AND(OR(sel_Region="All",C293=sel_Region),OR(sel_Country="All",D293=sel_Country),OR(sel_Channel="All",E293=sel_Channel),OR(sel_Category="All",G293=sel_Category),OR(sel_Product="All",H293=sel_Product),AND(S293&gt;=m_From,S293&lt;=m_To)),1,0)</f>
        <v/>
      </c>
      <c r="Y293" s="36">
        <f>IF(AND(OR(sel_Region="All",C293=sel_Region),OR(sel_Country="All",D293=sel_Country),OR(sel_Channel="All",E293=sel_Channel),OR(sel_Customer="All",F293=sel_Customer),OR(sel_Product="All",H293=sel_Product),AND(S293&gt;=m_From,S293&lt;=m_To)),1,0)</f>
        <v/>
      </c>
      <c r="Z293" s="36">
        <f>IF(AND(OR(sel_Region="All",C293=sel_Region),OR(sel_Country="All",D293=sel_Country),OR(sel_Channel="All",E293=sel_Channel),OR(sel_Customer="All",F293=sel_Customer),OR(sel_Category="All",G293=sel_Category),AND(S293&gt;=m_From,S293&lt;=m_To)),1,0)</f>
        <v/>
      </c>
      <c r="AA293" s="36">
        <f>IF(AND(OR(sel_Region="All",C293=sel_Region),OR(sel_Country="All",D293=sel_Country),OR(sel_Channel="All",E293=sel_Channel),OR(sel_Customer="All",F293=sel_Customer),OR(sel_Category="All",G293=sel_Category),OR(sel_Product="All",H293=sel_Product)),1,0)</f>
        <v/>
      </c>
    </row>
    <row r="294">
      <c r="A294" s="36" t="inlineStr">
        <is>
          <t>00459</t>
        </is>
      </c>
      <c r="B294" s="44" t="n">
        <v>46084</v>
      </c>
      <c r="C294" s="36" t="inlineStr">
        <is>
          <t>Central Europe</t>
        </is>
      </c>
      <c r="D294" s="36" t="inlineStr">
        <is>
          <t>Germany</t>
        </is>
      </c>
      <c r="E294" s="36" t="inlineStr">
        <is>
          <t>Marketplace</t>
        </is>
      </c>
      <c r="F294" s="36" t="inlineStr">
        <is>
          <t>New</t>
        </is>
      </c>
      <c r="G294" s="36" t="inlineStr">
        <is>
          <t>Cycling</t>
        </is>
      </c>
      <c r="H294" s="36" t="inlineStr">
        <is>
          <t>Trail Bike Light</t>
        </is>
      </c>
      <c r="I294" s="36" t="n">
        <v>4</v>
      </c>
      <c r="J294" s="39" t="n">
        <v>50.64</v>
      </c>
      <c r="K294" s="45" t="n">
        <v>0</v>
      </c>
      <c r="L294" s="39" t="n">
        <v>23.09</v>
      </c>
      <c r="M294" s="39">
        <f>I294*J294*(1-K294)</f>
        <v/>
      </c>
      <c r="N294" s="39">
        <f>I294*L294</f>
        <v/>
      </c>
      <c r="O294" s="39">
        <f>M294-N294</f>
        <v/>
      </c>
      <c r="P294" s="38">
        <f>IF(M294=0,0,O294/M294)</f>
        <v/>
      </c>
      <c r="Q294" s="36">
        <f>YEAR(B294)</f>
        <v/>
      </c>
      <c r="R294" s="36">
        <f>"Q"&amp;ROUNDUP(MONTH(B294)/3,0)</f>
        <v/>
      </c>
      <c r="S294" s="36">
        <f>MONTH(B294)</f>
        <v/>
      </c>
      <c r="T294" s="36">
        <f>TEXT(B294,"mmm")</f>
        <v/>
      </c>
      <c r="U294" s="36">
        <f>IF(AND(OR(sel_Region="All",C294=sel_Region),OR(sel_Country="All",D294=sel_Country),OR(sel_Channel="All",E294=sel_Channel),OR(sel_Customer="All",F294=sel_Customer),OR(sel_Category="All",G294=sel_Category),OR(sel_Product="All",H294=sel_Product),AND(S294&gt;=m_From,S294&lt;=m_To)),1,0)</f>
        <v/>
      </c>
      <c r="V294" s="36">
        <f>IF(AND(OR(sel_Region="All",C294=sel_Region),OR(sel_Channel="All",E294=sel_Channel),OR(sel_Customer="All",F294=sel_Customer),OR(sel_Category="All",G294=sel_Category),OR(sel_Product="All",H294=sel_Product),AND(S294&gt;=m_From,S294&lt;=m_To)),1,0)</f>
        <v/>
      </c>
      <c r="W294" s="36">
        <f>IF(AND(OR(sel_Region="All",C294=sel_Region),OR(sel_Country="All",D294=sel_Country),OR(sel_Customer="All",F294=sel_Customer),OR(sel_Category="All",G294=sel_Category),OR(sel_Product="All",H294=sel_Product),AND(S294&gt;=m_From,S294&lt;=m_To)),1,0)</f>
        <v/>
      </c>
      <c r="X294" s="36">
        <f>IF(AND(OR(sel_Region="All",C294=sel_Region),OR(sel_Country="All",D294=sel_Country),OR(sel_Channel="All",E294=sel_Channel),OR(sel_Category="All",G294=sel_Category),OR(sel_Product="All",H294=sel_Product),AND(S294&gt;=m_From,S294&lt;=m_To)),1,0)</f>
        <v/>
      </c>
      <c r="Y294" s="36">
        <f>IF(AND(OR(sel_Region="All",C294=sel_Region),OR(sel_Country="All",D294=sel_Country),OR(sel_Channel="All",E294=sel_Channel),OR(sel_Customer="All",F294=sel_Customer),OR(sel_Product="All",H294=sel_Product),AND(S294&gt;=m_From,S294&lt;=m_To)),1,0)</f>
        <v/>
      </c>
      <c r="Z294" s="36">
        <f>IF(AND(OR(sel_Region="All",C294=sel_Region),OR(sel_Country="All",D294=sel_Country),OR(sel_Channel="All",E294=sel_Channel),OR(sel_Customer="All",F294=sel_Customer),OR(sel_Category="All",G294=sel_Category),AND(S294&gt;=m_From,S294&lt;=m_To)),1,0)</f>
        <v/>
      </c>
      <c r="AA294" s="36">
        <f>IF(AND(OR(sel_Region="All",C294=sel_Region),OR(sel_Country="All",D294=sel_Country),OR(sel_Channel="All",E294=sel_Channel),OR(sel_Customer="All",F294=sel_Customer),OR(sel_Category="All",G294=sel_Category),OR(sel_Product="All",H294=sel_Product)),1,0)</f>
        <v/>
      </c>
    </row>
    <row r="295">
      <c r="A295" s="36" t="inlineStr">
        <is>
          <t>00525</t>
        </is>
      </c>
      <c r="B295" s="44" t="n">
        <v>46084</v>
      </c>
      <c r="C295" s="36" t="inlineStr">
        <is>
          <t>Western Europe</t>
        </is>
      </c>
      <c r="D295" s="36" t="inlineStr">
        <is>
          <t>Netherlands</t>
        </is>
      </c>
      <c r="E295" s="36" t="inlineStr">
        <is>
          <t>Retail Partners</t>
        </is>
      </c>
      <c r="F295" s="36" t="inlineStr">
        <is>
          <t>Returning</t>
        </is>
      </c>
      <c r="G295" s="36" t="inlineStr">
        <is>
          <t>Hiking</t>
        </is>
      </c>
      <c r="H295" s="36" t="inlineStr">
        <is>
          <t>Trail Boots</t>
        </is>
      </c>
      <c r="I295" s="36" t="n">
        <v>1</v>
      </c>
      <c r="J295" s="39" t="n">
        <v>146.37</v>
      </c>
      <c r="K295" s="45" t="n">
        <v>0</v>
      </c>
      <c r="L295" s="39" t="n">
        <v>78.3</v>
      </c>
      <c r="M295" s="39">
        <f>I295*J295*(1-K295)</f>
        <v/>
      </c>
      <c r="N295" s="39">
        <f>I295*L295</f>
        <v/>
      </c>
      <c r="O295" s="39">
        <f>M295-N295</f>
        <v/>
      </c>
      <c r="P295" s="38">
        <f>IF(M295=0,0,O295/M295)</f>
        <v/>
      </c>
      <c r="Q295" s="36">
        <f>YEAR(B295)</f>
        <v/>
      </c>
      <c r="R295" s="36">
        <f>"Q"&amp;ROUNDUP(MONTH(B295)/3,0)</f>
        <v/>
      </c>
      <c r="S295" s="36">
        <f>MONTH(B295)</f>
        <v/>
      </c>
      <c r="T295" s="36">
        <f>TEXT(B295,"mmm")</f>
        <v/>
      </c>
      <c r="U295" s="36">
        <f>IF(AND(OR(sel_Region="All",C295=sel_Region),OR(sel_Country="All",D295=sel_Country),OR(sel_Channel="All",E295=sel_Channel),OR(sel_Customer="All",F295=sel_Customer),OR(sel_Category="All",G295=sel_Category),OR(sel_Product="All",H295=sel_Product),AND(S295&gt;=m_From,S295&lt;=m_To)),1,0)</f>
        <v/>
      </c>
      <c r="V295" s="36">
        <f>IF(AND(OR(sel_Region="All",C295=sel_Region),OR(sel_Channel="All",E295=sel_Channel),OR(sel_Customer="All",F295=sel_Customer),OR(sel_Category="All",G295=sel_Category),OR(sel_Product="All",H295=sel_Product),AND(S295&gt;=m_From,S295&lt;=m_To)),1,0)</f>
        <v/>
      </c>
      <c r="W295" s="36">
        <f>IF(AND(OR(sel_Region="All",C295=sel_Region),OR(sel_Country="All",D295=sel_Country),OR(sel_Customer="All",F295=sel_Customer),OR(sel_Category="All",G295=sel_Category),OR(sel_Product="All",H295=sel_Product),AND(S295&gt;=m_From,S295&lt;=m_To)),1,0)</f>
        <v/>
      </c>
      <c r="X295" s="36">
        <f>IF(AND(OR(sel_Region="All",C295=sel_Region),OR(sel_Country="All",D295=sel_Country),OR(sel_Channel="All",E295=sel_Channel),OR(sel_Category="All",G295=sel_Category),OR(sel_Product="All",H295=sel_Product),AND(S295&gt;=m_From,S295&lt;=m_To)),1,0)</f>
        <v/>
      </c>
      <c r="Y295" s="36">
        <f>IF(AND(OR(sel_Region="All",C295=sel_Region),OR(sel_Country="All",D295=sel_Country),OR(sel_Channel="All",E295=sel_Channel),OR(sel_Customer="All",F295=sel_Customer),OR(sel_Product="All",H295=sel_Product),AND(S295&gt;=m_From,S295&lt;=m_To)),1,0)</f>
        <v/>
      </c>
      <c r="Z295" s="36">
        <f>IF(AND(OR(sel_Region="All",C295=sel_Region),OR(sel_Country="All",D295=sel_Country),OR(sel_Channel="All",E295=sel_Channel),OR(sel_Customer="All",F295=sel_Customer),OR(sel_Category="All",G295=sel_Category),AND(S295&gt;=m_From,S295&lt;=m_To)),1,0)</f>
        <v/>
      </c>
      <c r="AA295" s="36">
        <f>IF(AND(OR(sel_Region="All",C295=sel_Region),OR(sel_Country="All",D295=sel_Country),OR(sel_Channel="All",E295=sel_Channel),OR(sel_Customer="All",F295=sel_Customer),OR(sel_Category="All",G295=sel_Category),OR(sel_Product="All",H295=sel_Product)),1,0)</f>
        <v/>
      </c>
    </row>
    <row r="296">
      <c r="A296" s="36" t="inlineStr">
        <is>
          <t>03374</t>
        </is>
      </c>
      <c r="B296" s="44" t="n">
        <v>46084</v>
      </c>
      <c r="C296" s="36" t="inlineStr">
        <is>
          <t>Northern Europe</t>
        </is>
      </c>
      <c r="D296" s="36" t="inlineStr">
        <is>
          <t>Sweden</t>
        </is>
      </c>
      <c r="E296" s="36" t="inlineStr">
        <is>
          <t>Online Store</t>
        </is>
      </c>
      <c r="F296" s="36" t="inlineStr">
        <is>
          <t>Returning</t>
        </is>
      </c>
      <c r="G296" s="36" t="inlineStr">
        <is>
          <t>Hiking</t>
        </is>
      </c>
      <c r="H296" s="36" t="inlineStr">
        <is>
          <t>Trail Boots</t>
        </is>
      </c>
      <c r="I296" s="36" t="n">
        <v>3</v>
      </c>
      <c r="J296" s="39" t="n">
        <v>143.74</v>
      </c>
      <c r="K296" s="45" t="n">
        <v>0</v>
      </c>
      <c r="L296" s="39" t="n">
        <v>81.58</v>
      </c>
      <c r="M296" s="39">
        <f>I296*J296*(1-K296)</f>
        <v/>
      </c>
      <c r="N296" s="39">
        <f>I296*L296</f>
        <v/>
      </c>
      <c r="O296" s="39">
        <f>M296-N296</f>
        <v/>
      </c>
      <c r="P296" s="38">
        <f>IF(M296=0,0,O296/M296)</f>
        <v/>
      </c>
      <c r="Q296" s="36">
        <f>YEAR(B296)</f>
        <v/>
      </c>
      <c r="R296" s="36">
        <f>"Q"&amp;ROUNDUP(MONTH(B296)/3,0)</f>
        <v/>
      </c>
      <c r="S296" s="36">
        <f>MONTH(B296)</f>
        <v/>
      </c>
      <c r="T296" s="36">
        <f>TEXT(B296,"mmm")</f>
        <v/>
      </c>
      <c r="U296" s="36">
        <f>IF(AND(OR(sel_Region="All",C296=sel_Region),OR(sel_Country="All",D296=sel_Country),OR(sel_Channel="All",E296=sel_Channel),OR(sel_Customer="All",F296=sel_Customer),OR(sel_Category="All",G296=sel_Category),OR(sel_Product="All",H296=sel_Product),AND(S296&gt;=m_From,S296&lt;=m_To)),1,0)</f>
        <v/>
      </c>
      <c r="V296" s="36">
        <f>IF(AND(OR(sel_Region="All",C296=sel_Region),OR(sel_Channel="All",E296=sel_Channel),OR(sel_Customer="All",F296=sel_Customer),OR(sel_Category="All",G296=sel_Category),OR(sel_Product="All",H296=sel_Product),AND(S296&gt;=m_From,S296&lt;=m_To)),1,0)</f>
        <v/>
      </c>
      <c r="W296" s="36">
        <f>IF(AND(OR(sel_Region="All",C296=sel_Region),OR(sel_Country="All",D296=sel_Country),OR(sel_Customer="All",F296=sel_Customer),OR(sel_Category="All",G296=sel_Category),OR(sel_Product="All",H296=sel_Product),AND(S296&gt;=m_From,S296&lt;=m_To)),1,0)</f>
        <v/>
      </c>
      <c r="X296" s="36">
        <f>IF(AND(OR(sel_Region="All",C296=sel_Region),OR(sel_Country="All",D296=sel_Country),OR(sel_Channel="All",E296=sel_Channel),OR(sel_Category="All",G296=sel_Category),OR(sel_Product="All",H296=sel_Product),AND(S296&gt;=m_From,S296&lt;=m_To)),1,0)</f>
        <v/>
      </c>
      <c r="Y296" s="36">
        <f>IF(AND(OR(sel_Region="All",C296=sel_Region),OR(sel_Country="All",D296=sel_Country),OR(sel_Channel="All",E296=sel_Channel),OR(sel_Customer="All",F296=sel_Customer),OR(sel_Product="All",H296=sel_Product),AND(S296&gt;=m_From,S296&lt;=m_To)),1,0)</f>
        <v/>
      </c>
      <c r="Z296" s="36">
        <f>IF(AND(OR(sel_Region="All",C296=sel_Region),OR(sel_Country="All",D296=sel_Country),OR(sel_Channel="All",E296=sel_Channel),OR(sel_Customer="All",F296=sel_Customer),OR(sel_Category="All",G296=sel_Category),AND(S296&gt;=m_From,S296&lt;=m_To)),1,0)</f>
        <v/>
      </c>
      <c r="AA296" s="36">
        <f>IF(AND(OR(sel_Region="All",C296=sel_Region),OR(sel_Country="All",D296=sel_Country),OR(sel_Channel="All",E296=sel_Channel),OR(sel_Customer="All",F296=sel_Customer),OR(sel_Category="All",G296=sel_Category),OR(sel_Product="All",H296=sel_Product)),1,0)</f>
        <v/>
      </c>
    </row>
    <row r="297">
      <c r="A297" s="36" t="inlineStr">
        <is>
          <t>03850</t>
        </is>
      </c>
      <c r="B297" s="44" t="n">
        <v>46084</v>
      </c>
      <c r="C297" s="36" t="inlineStr">
        <is>
          <t>Western Europe</t>
        </is>
      </c>
      <c r="D297" s="36" t="inlineStr">
        <is>
          <t>Netherlands</t>
        </is>
      </c>
      <c r="E297" s="36" t="inlineStr">
        <is>
          <t>Marketplace</t>
        </is>
      </c>
      <c r="F297" s="36" t="inlineStr">
        <is>
          <t>New</t>
        </is>
      </c>
      <c r="G297" s="36" t="inlineStr">
        <is>
          <t>Camping</t>
        </is>
      </c>
      <c r="H297" s="36" t="inlineStr">
        <is>
          <t>Portable Camp Stove</t>
        </is>
      </c>
      <c r="I297" s="36" t="n">
        <v>2</v>
      </c>
      <c r="J297" s="39" t="n">
        <v>81.94</v>
      </c>
      <c r="K297" s="45" t="n">
        <v>0.1</v>
      </c>
      <c r="L297" s="39" t="n">
        <v>39.9</v>
      </c>
      <c r="M297" s="39">
        <f>I297*J297*(1-K297)</f>
        <v/>
      </c>
      <c r="N297" s="39">
        <f>I297*L297</f>
        <v/>
      </c>
      <c r="O297" s="39">
        <f>M297-N297</f>
        <v/>
      </c>
      <c r="P297" s="38">
        <f>IF(M297=0,0,O297/M297)</f>
        <v/>
      </c>
      <c r="Q297" s="36">
        <f>YEAR(B297)</f>
        <v/>
      </c>
      <c r="R297" s="36">
        <f>"Q"&amp;ROUNDUP(MONTH(B297)/3,0)</f>
        <v/>
      </c>
      <c r="S297" s="36">
        <f>MONTH(B297)</f>
        <v/>
      </c>
      <c r="T297" s="36">
        <f>TEXT(B297,"mmm")</f>
        <v/>
      </c>
      <c r="U297" s="36">
        <f>IF(AND(OR(sel_Region="All",C297=sel_Region),OR(sel_Country="All",D297=sel_Country),OR(sel_Channel="All",E297=sel_Channel),OR(sel_Customer="All",F297=sel_Customer),OR(sel_Category="All",G297=sel_Category),OR(sel_Product="All",H297=sel_Product),AND(S297&gt;=m_From,S297&lt;=m_To)),1,0)</f>
        <v/>
      </c>
      <c r="V297" s="36">
        <f>IF(AND(OR(sel_Region="All",C297=sel_Region),OR(sel_Channel="All",E297=sel_Channel),OR(sel_Customer="All",F297=sel_Customer),OR(sel_Category="All",G297=sel_Category),OR(sel_Product="All",H297=sel_Product),AND(S297&gt;=m_From,S297&lt;=m_To)),1,0)</f>
        <v/>
      </c>
      <c r="W297" s="36">
        <f>IF(AND(OR(sel_Region="All",C297=sel_Region),OR(sel_Country="All",D297=sel_Country),OR(sel_Customer="All",F297=sel_Customer),OR(sel_Category="All",G297=sel_Category),OR(sel_Product="All",H297=sel_Product),AND(S297&gt;=m_From,S297&lt;=m_To)),1,0)</f>
        <v/>
      </c>
      <c r="X297" s="36">
        <f>IF(AND(OR(sel_Region="All",C297=sel_Region),OR(sel_Country="All",D297=sel_Country),OR(sel_Channel="All",E297=sel_Channel),OR(sel_Category="All",G297=sel_Category),OR(sel_Product="All",H297=sel_Product),AND(S297&gt;=m_From,S297&lt;=m_To)),1,0)</f>
        <v/>
      </c>
      <c r="Y297" s="36">
        <f>IF(AND(OR(sel_Region="All",C297=sel_Region),OR(sel_Country="All",D297=sel_Country),OR(sel_Channel="All",E297=sel_Channel),OR(sel_Customer="All",F297=sel_Customer),OR(sel_Product="All",H297=sel_Product),AND(S297&gt;=m_From,S297&lt;=m_To)),1,0)</f>
        <v/>
      </c>
      <c r="Z297" s="36">
        <f>IF(AND(OR(sel_Region="All",C297=sel_Region),OR(sel_Country="All",D297=sel_Country),OR(sel_Channel="All",E297=sel_Channel),OR(sel_Customer="All",F297=sel_Customer),OR(sel_Category="All",G297=sel_Category),AND(S297&gt;=m_From,S297&lt;=m_To)),1,0)</f>
        <v/>
      </c>
      <c r="AA297" s="36">
        <f>IF(AND(OR(sel_Region="All",C297=sel_Region),OR(sel_Country="All",D297=sel_Country),OR(sel_Channel="All",E297=sel_Channel),OR(sel_Customer="All",F297=sel_Customer),OR(sel_Category="All",G297=sel_Category),OR(sel_Product="All",H297=sel_Product)),1,0)</f>
        <v/>
      </c>
    </row>
    <row r="298">
      <c r="A298" s="36" t="inlineStr">
        <is>
          <t>04004</t>
        </is>
      </c>
      <c r="B298" s="44" t="n">
        <v>46084</v>
      </c>
      <c r="C298" s="36" t="inlineStr">
        <is>
          <t>Northern Europe</t>
        </is>
      </c>
      <c r="D298" s="36" t="inlineStr">
        <is>
          <t>Denmark</t>
        </is>
      </c>
      <c r="E298" s="36" t="inlineStr">
        <is>
          <t>Online Store</t>
        </is>
      </c>
      <c r="F298" s="36" t="inlineStr">
        <is>
          <t>New</t>
        </is>
      </c>
      <c r="G298" s="36" t="inlineStr">
        <is>
          <t>Travel</t>
        </is>
      </c>
      <c r="H298" s="36" t="inlineStr">
        <is>
          <t>Packing Cube Set</t>
        </is>
      </c>
      <c r="I298" s="36" t="n">
        <v>1</v>
      </c>
      <c r="J298" s="39" t="n">
        <v>46.46</v>
      </c>
      <c r="K298" s="45" t="n">
        <v>0.1</v>
      </c>
      <c r="L298" s="39" t="n">
        <v>17.99</v>
      </c>
      <c r="M298" s="39">
        <f>I298*J298*(1-K298)</f>
        <v/>
      </c>
      <c r="N298" s="39">
        <f>I298*L298</f>
        <v/>
      </c>
      <c r="O298" s="39">
        <f>M298-N298</f>
        <v/>
      </c>
      <c r="P298" s="38">
        <f>IF(M298=0,0,O298/M298)</f>
        <v/>
      </c>
      <c r="Q298" s="36">
        <f>YEAR(B298)</f>
        <v/>
      </c>
      <c r="R298" s="36">
        <f>"Q"&amp;ROUNDUP(MONTH(B298)/3,0)</f>
        <v/>
      </c>
      <c r="S298" s="36">
        <f>MONTH(B298)</f>
        <v/>
      </c>
      <c r="T298" s="36">
        <f>TEXT(B298,"mmm")</f>
        <v/>
      </c>
      <c r="U298" s="36">
        <f>IF(AND(OR(sel_Region="All",C298=sel_Region),OR(sel_Country="All",D298=sel_Country),OR(sel_Channel="All",E298=sel_Channel),OR(sel_Customer="All",F298=sel_Customer),OR(sel_Category="All",G298=sel_Category),OR(sel_Product="All",H298=sel_Product),AND(S298&gt;=m_From,S298&lt;=m_To)),1,0)</f>
        <v/>
      </c>
      <c r="V298" s="36">
        <f>IF(AND(OR(sel_Region="All",C298=sel_Region),OR(sel_Channel="All",E298=sel_Channel),OR(sel_Customer="All",F298=sel_Customer),OR(sel_Category="All",G298=sel_Category),OR(sel_Product="All",H298=sel_Product),AND(S298&gt;=m_From,S298&lt;=m_To)),1,0)</f>
        <v/>
      </c>
      <c r="W298" s="36">
        <f>IF(AND(OR(sel_Region="All",C298=sel_Region),OR(sel_Country="All",D298=sel_Country),OR(sel_Customer="All",F298=sel_Customer),OR(sel_Category="All",G298=sel_Category),OR(sel_Product="All",H298=sel_Product),AND(S298&gt;=m_From,S298&lt;=m_To)),1,0)</f>
        <v/>
      </c>
      <c r="X298" s="36">
        <f>IF(AND(OR(sel_Region="All",C298=sel_Region),OR(sel_Country="All",D298=sel_Country),OR(sel_Channel="All",E298=sel_Channel),OR(sel_Category="All",G298=sel_Category),OR(sel_Product="All",H298=sel_Product),AND(S298&gt;=m_From,S298&lt;=m_To)),1,0)</f>
        <v/>
      </c>
      <c r="Y298" s="36">
        <f>IF(AND(OR(sel_Region="All",C298=sel_Region),OR(sel_Country="All",D298=sel_Country),OR(sel_Channel="All",E298=sel_Channel),OR(sel_Customer="All",F298=sel_Customer),OR(sel_Product="All",H298=sel_Product),AND(S298&gt;=m_From,S298&lt;=m_To)),1,0)</f>
        <v/>
      </c>
      <c r="Z298" s="36">
        <f>IF(AND(OR(sel_Region="All",C298=sel_Region),OR(sel_Country="All",D298=sel_Country),OR(sel_Channel="All",E298=sel_Channel),OR(sel_Customer="All",F298=sel_Customer),OR(sel_Category="All",G298=sel_Category),AND(S298&gt;=m_From,S298&lt;=m_To)),1,0)</f>
        <v/>
      </c>
      <c r="AA298" s="36">
        <f>IF(AND(OR(sel_Region="All",C298=sel_Region),OR(sel_Country="All",D298=sel_Country),OR(sel_Channel="All",E298=sel_Channel),OR(sel_Customer="All",F298=sel_Customer),OR(sel_Category="All",G298=sel_Category),OR(sel_Product="All",H298=sel_Product)),1,0)</f>
        <v/>
      </c>
    </row>
    <row r="299">
      <c r="A299" s="36" t="inlineStr">
        <is>
          <t>00788</t>
        </is>
      </c>
      <c r="B299" s="44" t="n">
        <v>46085</v>
      </c>
      <c r="C299" s="36" t="inlineStr">
        <is>
          <t>Central Europe</t>
        </is>
      </c>
      <c r="D299" s="36" t="inlineStr">
        <is>
          <t>Switzerland</t>
        </is>
      </c>
      <c r="E299" s="36" t="inlineStr">
        <is>
          <t>Online Store</t>
        </is>
      </c>
      <c r="F299" s="36" t="inlineStr">
        <is>
          <t>New</t>
        </is>
      </c>
      <c r="G299" s="36" t="inlineStr">
        <is>
          <t>Cycling</t>
        </is>
      </c>
      <c r="H299" s="36" t="inlineStr">
        <is>
          <t>Compact Repair Kit</t>
        </is>
      </c>
      <c r="I299" s="36" t="n">
        <v>3</v>
      </c>
      <c r="J299" s="39" t="n">
        <v>39.49</v>
      </c>
      <c r="K299" s="45" t="n">
        <v>0</v>
      </c>
      <c r="L299" s="39" t="n">
        <v>16.42</v>
      </c>
      <c r="M299" s="39">
        <f>I299*J299*(1-K299)</f>
        <v/>
      </c>
      <c r="N299" s="39">
        <f>I299*L299</f>
        <v/>
      </c>
      <c r="O299" s="39">
        <f>M299-N299</f>
        <v/>
      </c>
      <c r="P299" s="38">
        <f>IF(M299=0,0,O299/M299)</f>
        <v/>
      </c>
      <c r="Q299" s="36">
        <f>YEAR(B299)</f>
        <v/>
      </c>
      <c r="R299" s="36">
        <f>"Q"&amp;ROUNDUP(MONTH(B299)/3,0)</f>
        <v/>
      </c>
      <c r="S299" s="36">
        <f>MONTH(B299)</f>
        <v/>
      </c>
      <c r="T299" s="36">
        <f>TEXT(B299,"mmm")</f>
        <v/>
      </c>
      <c r="U299" s="36">
        <f>IF(AND(OR(sel_Region="All",C299=sel_Region),OR(sel_Country="All",D299=sel_Country),OR(sel_Channel="All",E299=sel_Channel),OR(sel_Customer="All",F299=sel_Customer),OR(sel_Category="All",G299=sel_Category),OR(sel_Product="All",H299=sel_Product),AND(S299&gt;=m_From,S299&lt;=m_To)),1,0)</f>
        <v/>
      </c>
      <c r="V299" s="36">
        <f>IF(AND(OR(sel_Region="All",C299=sel_Region),OR(sel_Channel="All",E299=sel_Channel),OR(sel_Customer="All",F299=sel_Customer),OR(sel_Category="All",G299=sel_Category),OR(sel_Product="All",H299=sel_Product),AND(S299&gt;=m_From,S299&lt;=m_To)),1,0)</f>
        <v/>
      </c>
      <c r="W299" s="36">
        <f>IF(AND(OR(sel_Region="All",C299=sel_Region),OR(sel_Country="All",D299=sel_Country),OR(sel_Customer="All",F299=sel_Customer),OR(sel_Category="All",G299=sel_Category),OR(sel_Product="All",H299=sel_Product),AND(S299&gt;=m_From,S299&lt;=m_To)),1,0)</f>
        <v/>
      </c>
      <c r="X299" s="36">
        <f>IF(AND(OR(sel_Region="All",C299=sel_Region),OR(sel_Country="All",D299=sel_Country),OR(sel_Channel="All",E299=sel_Channel),OR(sel_Category="All",G299=sel_Category),OR(sel_Product="All",H299=sel_Product),AND(S299&gt;=m_From,S299&lt;=m_To)),1,0)</f>
        <v/>
      </c>
      <c r="Y299" s="36">
        <f>IF(AND(OR(sel_Region="All",C299=sel_Region),OR(sel_Country="All",D299=sel_Country),OR(sel_Channel="All",E299=sel_Channel),OR(sel_Customer="All",F299=sel_Customer),OR(sel_Product="All",H299=sel_Product),AND(S299&gt;=m_From,S299&lt;=m_To)),1,0)</f>
        <v/>
      </c>
      <c r="Z299" s="36">
        <f>IF(AND(OR(sel_Region="All",C299=sel_Region),OR(sel_Country="All",D299=sel_Country),OR(sel_Channel="All",E299=sel_Channel),OR(sel_Customer="All",F299=sel_Customer),OR(sel_Category="All",G299=sel_Category),AND(S299&gt;=m_From,S299&lt;=m_To)),1,0)</f>
        <v/>
      </c>
      <c r="AA299" s="36">
        <f>IF(AND(OR(sel_Region="All",C299=sel_Region),OR(sel_Country="All",D299=sel_Country),OR(sel_Channel="All",E299=sel_Channel),OR(sel_Customer="All",F299=sel_Customer),OR(sel_Category="All",G299=sel_Category),OR(sel_Product="All",H299=sel_Product)),1,0)</f>
        <v/>
      </c>
    </row>
    <row r="300">
      <c r="A300" s="36" t="inlineStr">
        <is>
          <t>01717</t>
        </is>
      </c>
      <c r="B300" s="44" t="n">
        <v>46085</v>
      </c>
      <c r="C300" s="36" t="inlineStr">
        <is>
          <t>Western Europe</t>
        </is>
      </c>
      <c r="D300" s="36" t="inlineStr">
        <is>
          <t>France</t>
        </is>
      </c>
      <c r="E300" s="36" t="inlineStr">
        <is>
          <t>Online Store</t>
        </is>
      </c>
      <c r="F300" s="36" t="inlineStr">
        <is>
          <t>Returning</t>
        </is>
      </c>
      <c r="G300" s="36" t="inlineStr">
        <is>
          <t>Fitness</t>
        </is>
      </c>
      <c r="H300" s="36" t="inlineStr">
        <is>
          <t>Resistance Band Set</t>
        </is>
      </c>
      <c r="I300" s="36" t="n">
        <v>1</v>
      </c>
      <c r="J300" s="39" t="n">
        <v>40.91</v>
      </c>
      <c r="K300" s="45" t="n">
        <v>0</v>
      </c>
      <c r="L300" s="39" t="n">
        <v>14.89</v>
      </c>
      <c r="M300" s="39">
        <f>I300*J300*(1-K300)</f>
        <v/>
      </c>
      <c r="N300" s="39">
        <f>I300*L300</f>
        <v/>
      </c>
      <c r="O300" s="39">
        <f>M300-N300</f>
        <v/>
      </c>
      <c r="P300" s="38">
        <f>IF(M300=0,0,O300/M300)</f>
        <v/>
      </c>
      <c r="Q300" s="36">
        <f>YEAR(B300)</f>
        <v/>
      </c>
      <c r="R300" s="36">
        <f>"Q"&amp;ROUNDUP(MONTH(B300)/3,0)</f>
        <v/>
      </c>
      <c r="S300" s="36">
        <f>MONTH(B300)</f>
        <v/>
      </c>
      <c r="T300" s="36">
        <f>TEXT(B300,"mmm")</f>
        <v/>
      </c>
      <c r="U300" s="36">
        <f>IF(AND(OR(sel_Region="All",C300=sel_Region),OR(sel_Country="All",D300=sel_Country),OR(sel_Channel="All",E300=sel_Channel),OR(sel_Customer="All",F300=sel_Customer),OR(sel_Category="All",G300=sel_Category),OR(sel_Product="All",H300=sel_Product),AND(S300&gt;=m_From,S300&lt;=m_To)),1,0)</f>
        <v/>
      </c>
      <c r="V300" s="36">
        <f>IF(AND(OR(sel_Region="All",C300=sel_Region),OR(sel_Channel="All",E300=sel_Channel),OR(sel_Customer="All",F300=sel_Customer),OR(sel_Category="All",G300=sel_Category),OR(sel_Product="All",H300=sel_Product),AND(S300&gt;=m_From,S300&lt;=m_To)),1,0)</f>
        <v/>
      </c>
      <c r="W300" s="36">
        <f>IF(AND(OR(sel_Region="All",C300=sel_Region),OR(sel_Country="All",D300=sel_Country),OR(sel_Customer="All",F300=sel_Customer),OR(sel_Category="All",G300=sel_Category),OR(sel_Product="All",H300=sel_Product),AND(S300&gt;=m_From,S300&lt;=m_To)),1,0)</f>
        <v/>
      </c>
      <c r="X300" s="36">
        <f>IF(AND(OR(sel_Region="All",C300=sel_Region),OR(sel_Country="All",D300=sel_Country),OR(sel_Channel="All",E300=sel_Channel),OR(sel_Category="All",G300=sel_Category),OR(sel_Product="All",H300=sel_Product),AND(S300&gt;=m_From,S300&lt;=m_To)),1,0)</f>
        <v/>
      </c>
      <c r="Y300" s="36">
        <f>IF(AND(OR(sel_Region="All",C300=sel_Region),OR(sel_Country="All",D300=sel_Country),OR(sel_Channel="All",E300=sel_Channel),OR(sel_Customer="All",F300=sel_Customer),OR(sel_Product="All",H300=sel_Product),AND(S300&gt;=m_From,S300&lt;=m_To)),1,0)</f>
        <v/>
      </c>
      <c r="Z300" s="36">
        <f>IF(AND(OR(sel_Region="All",C300=sel_Region),OR(sel_Country="All",D300=sel_Country),OR(sel_Channel="All",E300=sel_Channel),OR(sel_Customer="All",F300=sel_Customer),OR(sel_Category="All",G300=sel_Category),AND(S300&gt;=m_From,S300&lt;=m_To)),1,0)</f>
        <v/>
      </c>
      <c r="AA300" s="36">
        <f>IF(AND(OR(sel_Region="All",C300=sel_Region),OR(sel_Country="All",D300=sel_Country),OR(sel_Channel="All",E300=sel_Channel),OR(sel_Customer="All",F300=sel_Customer),OR(sel_Category="All",G300=sel_Category),OR(sel_Product="All",H300=sel_Product)),1,0)</f>
        <v/>
      </c>
    </row>
    <row r="301">
      <c r="A301" s="36" t="inlineStr">
        <is>
          <t>01819</t>
        </is>
      </c>
      <c r="B301" s="44" t="n">
        <v>46085</v>
      </c>
      <c r="C301" s="36" t="inlineStr">
        <is>
          <t>Western Europe</t>
        </is>
      </c>
      <c r="D301" s="36" t="inlineStr">
        <is>
          <t>United Kingdom</t>
        </is>
      </c>
      <c r="E301" s="36" t="inlineStr">
        <is>
          <t>Marketplace</t>
        </is>
      </c>
      <c r="F301" s="36" t="inlineStr">
        <is>
          <t>New</t>
        </is>
      </c>
      <c r="G301" s="36" t="inlineStr">
        <is>
          <t>Cycling</t>
        </is>
      </c>
      <c r="H301" s="36" t="inlineStr">
        <is>
          <t>Trail Bike Light</t>
        </is>
      </c>
      <c r="I301" s="36" t="n">
        <v>1</v>
      </c>
      <c r="J301" s="39" t="n">
        <v>49.94</v>
      </c>
      <c r="K301" s="45" t="n">
        <v>0.1</v>
      </c>
      <c r="L301" s="39" t="n">
        <v>21.84</v>
      </c>
      <c r="M301" s="39">
        <f>I301*J301*(1-K301)</f>
        <v/>
      </c>
      <c r="N301" s="39">
        <f>I301*L301</f>
        <v/>
      </c>
      <c r="O301" s="39">
        <f>M301-N301</f>
        <v/>
      </c>
      <c r="P301" s="38">
        <f>IF(M301=0,0,O301/M301)</f>
        <v/>
      </c>
      <c r="Q301" s="36">
        <f>YEAR(B301)</f>
        <v/>
      </c>
      <c r="R301" s="36">
        <f>"Q"&amp;ROUNDUP(MONTH(B301)/3,0)</f>
        <v/>
      </c>
      <c r="S301" s="36">
        <f>MONTH(B301)</f>
        <v/>
      </c>
      <c r="T301" s="36">
        <f>TEXT(B301,"mmm")</f>
        <v/>
      </c>
      <c r="U301" s="36">
        <f>IF(AND(OR(sel_Region="All",C301=sel_Region),OR(sel_Country="All",D301=sel_Country),OR(sel_Channel="All",E301=sel_Channel),OR(sel_Customer="All",F301=sel_Customer),OR(sel_Category="All",G301=sel_Category),OR(sel_Product="All",H301=sel_Product),AND(S301&gt;=m_From,S301&lt;=m_To)),1,0)</f>
        <v/>
      </c>
      <c r="V301" s="36">
        <f>IF(AND(OR(sel_Region="All",C301=sel_Region),OR(sel_Channel="All",E301=sel_Channel),OR(sel_Customer="All",F301=sel_Customer),OR(sel_Category="All",G301=sel_Category),OR(sel_Product="All",H301=sel_Product),AND(S301&gt;=m_From,S301&lt;=m_To)),1,0)</f>
        <v/>
      </c>
      <c r="W301" s="36">
        <f>IF(AND(OR(sel_Region="All",C301=sel_Region),OR(sel_Country="All",D301=sel_Country),OR(sel_Customer="All",F301=sel_Customer),OR(sel_Category="All",G301=sel_Category),OR(sel_Product="All",H301=sel_Product),AND(S301&gt;=m_From,S301&lt;=m_To)),1,0)</f>
        <v/>
      </c>
      <c r="X301" s="36">
        <f>IF(AND(OR(sel_Region="All",C301=sel_Region),OR(sel_Country="All",D301=sel_Country),OR(sel_Channel="All",E301=sel_Channel),OR(sel_Category="All",G301=sel_Category),OR(sel_Product="All",H301=sel_Product),AND(S301&gt;=m_From,S301&lt;=m_To)),1,0)</f>
        <v/>
      </c>
      <c r="Y301" s="36">
        <f>IF(AND(OR(sel_Region="All",C301=sel_Region),OR(sel_Country="All",D301=sel_Country),OR(sel_Channel="All",E301=sel_Channel),OR(sel_Customer="All",F301=sel_Customer),OR(sel_Product="All",H301=sel_Product),AND(S301&gt;=m_From,S301&lt;=m_To)),1,0)</f>
        <v/>
      </c>
      <c r="Z301" s="36">
        <f>IF(AND(OR(sel_Region="All",C301=sel_Region),OR(sel_Country="All",D301=sel_Country),OR(sel_Channel="All",E301=sel_Channel),OR(sel_Customer="All",F301=sel_Customer),OR(sel_Category="All",G301=sel_Category),AND(S301&gt;=m_From,S301&lt;=m_To)),1,0)</f>
        <v/>
      </c>
      <c r="AA301" s="36">
        <f>IF(AND(OR(sel_Region="All",C301=sel_Region),OR(sel_Country="All",D301=sel_Country),OR(sel_Channel="All",E301=sel_Channel),OR(sel_Customer="All",F301=sel_Customer),OR(sel_Category="All",G301=sel_Category),OR(sel_Product="All",H301=sel_Product)),1,0)</f>
        <v/>
      </c>
    </row>
    <row r="302">
      <c r="A302" s="36" t="inlineStr">
        <is>
          <t>01992</t>
        </is>
      </c>
      <c r="B302" s="44" t="n">
        <v>46085</v>
      </c>
      <c r="C302" s="36" t="inlineStr">
        <is>
          <t>Northern Europe</t>
        </is>
      </c>
      <c r="D302" s="36" t="inlineStr">
        <is>
          <t>Denmark</t>
        </is>
      </c>
      <c r="E302" s="36" t="inlineStr">
        <is>
          <t>Online Store</t>
        </is>
      </c>
      <c r="F302" s="36" t="inlineStr">
        <is>
          <t>Business</t>
        </is>
      </c>
      <c r="G302" s="36" t="inlineStr">
        <is>
          <t>Travel</t>
        </is>
      </c>
      <c r="H302" s="36" t="inlineStr">
        <is>
          <t>Insulated Bottle</t>
        </is>
      </c>
      <c r="I302" s="36" t="n">
        <v>1</v>
      </c>
      <c r="J302" s="39" t="n">
        <v>35.52</v>
      </c>
      <c r="K302" s="45" t="n">
        <v>0</v>
      </c>
      <c r="L302" s="39" t="n">
        <v>13.21</v>
      </c>
      <c r="M302" s="39">
        <f>I302*J302*(1-K302)</f>
        <v/>
      </c>
      <c r="N302" s="39">
        <f>I302*L302</f>
        <v/>
      </c>
      <c r="O302" s="39">
        <f>M302-N302</f>
        <v/>
      </c>
      <c r="P302" s="38">
        <f>IF(M302=0,0,O302/M302)</f>
        <v/>
      </c>
      <c r="Q302" s="36">
        <f>YEAR(B302)</f>
        <v/>
      </c>
      <c r="R302" s="36">
        <f>"Q"&amp;ROUNDUP(MONTH(B302)/3,0)</f>
        <v/>
      </c>
      <c r="S302" s="36">
        <f>MONTH(B302)</f>
        <v/>
      </c>
      <c r="T302" s="36">
        <f>TEXT(B302,"mmm")</f>
        <v/>
      </c>
      <c r="U302" s="36">
        <f>IF(AND(OR(sel_Region="All",C302=sel_Region),OR(sel_Country="All",D302=sel_Country),OR(sel_Channel="All",E302=sel_Channel),OR(sel_Customer="All",F302=sel_Customer),OR(sel_Category="All",G302=sel_Category),OR(sel_Product="All",H302=sel_Product),AND(S302&gt;=m_From,S302&lt;=m_To)),1,0)</f>
        <v/>
      </c>
      <c r="V302" s="36">
        <f>IF(AND(OR(sel_Region="All",C302=sel_Region),OR(sel_Channel="All",E302=sel_Channel),OR(sel_Customer="All",F302=sel_Customer),OR(sel_Category="All",G302=sel_Category),OR(sel_Product="All",H302=sel_Product),AND(S302&gt;=m_From,S302&lt;=m_To)),1,0)</f>
        <v/>
      </c>
      <c r="W302" s="36">
        <f>IF(AND(OR(sel_Region="All",C302=sel_Region),OR(sel_Country="All",D302=sel_Country),OR(sel_Customer="All",F302=sel_Customer),OR(sel_Category="All",G302=sel_Category),OR(sel_Product="All",H302=sel_Product),AND(S302&gt;=m_From,S302&lt;=m_To)),1,0)</f>
        <v/>
      </c>
      <c r="X302" s="36">
        <f>IF(AND(OR(sel_Region="All",C302=sel_Region),OR(sel_Country="All",D302=sel_Country),OR(sel_Channel="All",E302=sel_Channel),OR(sel_Category="All",G302=sel_Category),OR(sel_Product="All",H302=sel_Product),AND(S302&gt;=m_From,S302&lt;=m_To)),1,0)</f>
        <v/>
      </c>
      <c r="Y302" s="36">
        <f>IF(AND(OR(sel_Region="All",C302=sel_Region),OR(sel_Country="All",D302=sel_Country),OR(sel_Channel="All",E302=sel_Channel),OR(sel_Customer="All",F302=sel_Customer),OR(sel_Product="All",H302=sel_Product),AND(S302&gt;=m_From,S302&lt;=m_To)),1,0)</f>
        <v/>
      </c>
      <c r="Z302" s="36">
        <f>IF(AND(OR(sel_Region="All",C302=sel_Region),OR(sel_Country="All",D302=sel_Country),OR(sel_Channel="All",E302=sel_Channel),OR(sel_Customer="All",F302=sel_Customer),OR(sel_Category="All",G302=sel_Category),AND(S302&gt;=m_From,S302&lt;=m_To)),1,0)</f>
        <v/>
      </c>
      <c r="AA302" s="36">
        <f>IF(AND(OR(sel_Region="All",C302=sel_Region),OR(sel_Country="All",D302=sel_Country),OR(sel_Channel="All",E302=sel_Channel),OR(sel_Customer="All",F302=sel_Customer),OR(sel_Category="All",G302=sel_Category),OR(sel_Product="All",H302=sel_Product)),1,0)</f>
        <v/>
      </c>
    </row>
    <row r="303">
      <c r="A303" s="36" t="inlineStr">
        <is>
          <t>02499</t>
        </is>
      </c>
      <c r="B303" s="44" t="n">
        <v>46085</v>
      </c>
      <c r="C303" s="36" t="inlineStr">
        <is>
          <t>Western Europe</t>
        </is>
      </c>
      <c r="D303" s="36" t="inlineStr">
        <is>
          <t>Netherlands</t>
        </is>
      </c>
      <c r="E303" s="36" t="inlineStr">
        <is>
          <t>Retail Partners</t>
        </is>
      </c>
      <c r="F303" s="36" t="inlineStr">
        <is>
          <t>New</t>
        </is>
      </c>
      <c r="G303" s="36" t="inlineStr">
        <is>
          <t>Camping</t>
        </is>
      </c>
      <c r="H303" s="36" t="inlineStr">
        <is>
          <t>Alpine Tent 4P</t>
        </is>
      </c>
      <c r="I303" s="36" t="n">
        <v>2</v>
      </c>
      <c r="J303" s="39" t="n">
        <v>341.1</v>
      </c>
      <c r="K303" s="45" t="n">
        <v>0</v>
      </c>
      <c r="L303" s="39" t="n">
        <v>200.19</v>
      </c>
      <c r="M303" s="39">
        <f>I303*J303*(1-K303)</f>
        <v/>
      </c>
      <c r="N303" s="39">
        <f>I303*L303</f>
        <v/>
      </c>
      <c r="O303" s="39">
        <f>M303-N303</f>
        <v/>
      </c>
      <c r="P303" s="38">
        <f>IF(M303=0,0,O303/M303)</f>
        <v/>
      </c>
      <c r="Q303" s="36">
        <f>YEAR(B303)</f>
        <v/>
      </c>
      <c r="R303" s="36">
        <f>"Q"&amp;ROUNDUP(MONTH(B303)/3,0)</f>
        <v/>
      </c>
      <c r="S303" s="36">
        <f>MONTH(B303)</f>
        <v/>
      </c>
      <c r="T303" s="36">
        <f>TEXT(B303,"mmm")</f>
        <v/>
      </c>
      <c r="U303" s="36">
        <f>IF(AND(OR(sel_Region="All",C303=sel_Region),OR(sel_Country="All",D303=sel_Country),OR(sel_Channel="All",E303=sel_Channel),OR(sel_Customer="All",F303=sel_Customer),OR(sel_Category="All",G303=sel_Category),OR(sel_Product="All",H303=sel_Product),AND(S303&gt;=m_From,S303&lt;=m_To)),1,0)</f>
        <v/>
      </c>
      <c r="V303" s="36">
        <f>IF(AND(OR(sel_Region="All",C303=sel_Region),OR(sel_Channel="All",E303=sel_Channel),OR(sel_Customer="All",F303=sel_Customer),OR(sel_Category="All",G303=sel_Category),OR(sel_Product="All",H303=sel_Product),AND(S303&gt;=m_From,S303&lt;=m_To)),1,0)</f>
        <v/>
      </c>
      <c r="W303" s="36">
        <f>IF(AND(OR(sel_Region="All",C303=sel_Region),OR(sel_Country="All",D303=sel_Country),OR(sel_Customer="All",F303=sel_Customer),OR(sel_Category="All",G303=sel_Category),OR(sel_Product="All",H303=sel_Product),AND(S303&gt;=m_From,S303&lt;=m_To)),1,0)</f>
        <v/>
      </c>
      <c r="X303" s="36">
        <f>IF(AND(OR(sel_Region="All",C303=sel_Region),OR(sel_Country="All",D303=sel_Country),OR(sel_Channel="All",E303=sel_Channel),OR(sel_Category="All",G303=sel_Category),OR(sel_Product="All",H303=sel_Product),AND(S303&gt;=m_From,S303&lt;=m_To)),1,0)</f>
        <v/>
      </c>
      <c r="Y303" s="36">
        <f>IF(AND(OR(sel_Region="All",C303=sel_Region),OR(sel_Country="All",D303=sel_Country),OR(sel_Channel="All",E303=sel_Channel),OR(sel_Customer="All",F303=sel_Customer),OR(sel_Product="All",H303=sel_Product),AND(S303&gt;=m_From,S303&lt;=m_To)),1,0)</f>
        <v/>
      </c>
      <c r="Z303" s="36">
        <f>IF(AND(OR(sel_Region="All",C303=sel_Region),OR(sel_Country="All",D303=sel_Country),OR(sel_Channel="All",E303=sel_Channel),OR(sel_Customer="All",F303=sel_Customer),OR(sel_Category="All",G303=sel_Category),AND(S303&gt;=m_From,S303&lt;=m_To)),1,0)</f>
        <v/>
      </c>
      <c r="AA303" s="36">
        <f>IF(AND(OR(sel_Region="All",C303=sel_Region),OR(sel_Country="All",D303=sel_Country),OR(sel_Channel="All",E303=sel_Channel),OR(sel_Customer="All",F303=sel_Customer),OR(sel_Category="All",G303=sel_Category),OR(sel_Product="All",H303=sel_Product)),1,0)</f>
        <v/>
      </c>
    </row>
    <row r="304">
      <c r="A304" s="36" t="inlineStr">
        <is>
          <t>02698</t>
        </is>
      </c>
      <c r="B304" s="44" t="n">
        <v>46085</v>
      </c>
      <c r="C304" s="36" t="inlineStr">
        <is>
          <t>Northern Europe</t>
        </is>
      </c>
      <c r="D304" s="36" t="inlineStr">
        <is>
          <t>Norway</t>
        </is>
      </c>
      <c r="E304" s="36" t="inlineStr">
        <is>
          <t>Marketplace</t>
        </is>
      </c>
      <c r="F304" s="36" t="inlineStr">
        <is>
          <t>New</t>
        </is>
      </c>
      <c r="G304" s="36" t="inlineStr">
        <is>
          <t>Fitness</t>
        </is>
      </c>
      <c r="H304" s="36" t="inlineStr">
        <is>
          <t>Recovery Roller</t>
        </is>
      </c>
      <c r="I304" s="36" t="n">
        <v>4</v>
      </c>
      <c r="J304" s="39" t="n">
        <v>36.08</v>
      </c>
      <c r="K304" s="45" t="n">
        <v>0</v>
      </c>
      <c r="L304" s="39" t="n">
        <v>13.89</v>
      </c>
      <c r="M304" s="39">
        <f>I304*J304*(1-K304)</f>
        <v/>
      </c>
      <c r="N304" s="39">
        <f>I304*L304</f>
        <v/>
      </c>
      <c r="O304" s="39">
        <f>M304-N304</f>
        <v/>
      </c>
      <c r="P304" s="38">
        <f>IF(M304=0,0,O304/M304)</f>
        <v/>
      </c>
      <c r="Q304" s="36">
        <f>YEAR(B304)</f>
        <v/>
      </c>
      <c r="R304" s="36">
        <f>"Q"&amp;ROUNDUP(MONTH(B304)/3,0)</f>
        <v/>
      </c>
      <c r="S304" s="36">
        <f>MONTH(B304)</f>
        <v/>
      </c>
      <c r="T304" s="36">
        <f>TEXT(B304,"mmm")</f>
        <v/>
      </c>
      <c r="U304" s="36">
        <f>IF(AND(OR(sel_Region="All",C304=sel_Region),OR(sel_Country="All",D304=sel_Country),OR(sel_Channel="All",E304=sel_Channel),OR(sel_Customer="All",F304=sel_Customer),OR(sel_Category="All",G304=sel_Category),OR(sel_Product="All",H304=sel_Product),AND(S304&gt;=m_From,S304&lt;=m_To)),1,0)</f>
        <v/>
      </c>
      <c r="V304" s="36">
        <f>IF(AND(OR(sel_Region="All",C304=sel_Region),OR(sel_Channel="All",E304=sel_Channel),OR(sel_Customer="All",F304=sel_Customer),OR(sel_Category="All",G304=sel_Category),OR(sel_Product="All",H304=sel_Product),AND(S304&gt;=m_From,S304&lt;=m_To)),1,0)</f>
        <v/>
      </c>
      <c r="W304" s="36">
        <f>IF(AND(OR(sel_Region="All",C304=sel_Region),OR(sel_Country="All",D304=sel_Country),OR(sel_Customer="All",F304=sel_Customer),OR(sel_Category="All",G304=sel_Category),OR(sel_Product="All",H304=sel_Product),AND(S304&gt;=m_From,S304&lt;=m_To)),1,0)</f>
        <v/>
      </c>
      <c r="X304" s="36">
        <f>IF(AND(OR(sel_Region="All",C304=sel_Region),OR(sel_Country="All",D304=sel_Country),OR(sel_Channel="All",E304=sel_Channel),OR(sel_Category="All",G304=sel_Category),OR(sel_Product="All",H304=sel_Product),AND(S304&gt;=m_From,S304&lt;=m_To)),1,0)</f>
        <v/>
      </c>
      <c r="Y304" s="36">
        <f>IF(AND(OR(sel_Region="All",C304=sel_Region),OR(sel_Country="All",D304=sel_Country),OR(sel_Channel="All",E304=sel_Channel),OR(sel_Customer="All",F304=sel_Customer),OR(sel_Product="All",H304=sel_Product),AND(S304&gt;=m_From,S304&lt;=m_To)),1,0)</f>
        <v/>
      </c>
      <c r="Z304" s="36">
        <f>IF(AND(OR(sel_Region="All",C304=sel_Region),OR(sel_Country="All",D304=sel_Country),OR(sel_Channel="All",E304=sel_Channel),OR(sel_Customer="All",F304=sel_Customer),OR(sel_Category="All",G304=sel_Category),AND(S304&gt;=m_From,S304&lt;=m_To)),1,0)</f>
        <v/>
      </c>
      <c r="AA304" s="36">
        <f>IF(AND(OR(sel_Region="All",C304=sel_Region),OR(sel_Country="All",D304=sel_Country),OR(sel_Channel="All",E304=sel_Channel),OR(sel_Customer="All",F304=sel_Customer),OR(sel_Category="All",G304=sel_Category),OR(sel_Product="All",H304=sel_Product)),1,0)</f>
        <v/>
      </c>
    </row>
    <row r="305">
      <c r="A305" s="36" t="inlineStr">
        <is>
          <t>04416</t>
        </is>
      </c>
      <c r="B305" s="44" t="n">
        <v>46085</v>
      </c>
      <c r="C305" s="36" t="inlineStr">
        <is>
          <t>Western Europe</t>
        </is>
      </c>
      <c r="D305" s="36" t="inlineStr">
        <is>
          <t>Belgium</t>
        </is>
      </c>
      <c r="E305" s="36" t="inlineStr">
        <is>
          <t>Online Store</t>
        </is>
      </c>
      <c r="F305" s="36" t="inlineStr">
        <is>
          <t>Business</t>
        </is>
      </c>
      <c r="G305" s="36" t="inlineStr">
        <is>
          <t>Hiking</t>
        </is>
      </c>
      <c r="H305" s="36" t="inlineStr">
        <is>
          <t>Summit Backpack 45L</t>
        </is>
      </c>
      <c r="I305" s="36" t="n">
        <v>2</v>
      </c>
      <c r="J305" s="39" t="n">
        <v>151.7</v>
      </c>
      <c r="K305" s="45" t="n">
        <v>0</v>
      </c>
      <c r="L305" s="39" t="n">
        <v>80.44</v>
      </c>
      <c r="M305" s="39">
        <f>I305*J305*(1-K305)</f>
        <v/>
      </c>
      <c r="N305" s="39">
        <f>I305*L305</f>
        <v/>
      </c>
      <c r="O305" s="39">
        <f>M305-N305</f>
        <v/>
      </c>
      <c r="P305" s="38">
        <f>IF(M305=0,0,O305/M305)</f>
        <v/>
      </c>
      <c r="Q305" s="36">
        <f>YEAR(B305)</f>
        <v/>
      </c>
      <c r="R305" s="36">
        <f>"Q"&amp;ROUNDUP(MONTH(B305)/3,0)</f>
        <v/>
      </c>
      <c r="S305" s="36">
        <f>MONTH(B305)</f>
        <v/>
      </c>
      <c r="T305" s="36">
        <f>TEXT(B305,"mmm")</f>
        <v/>
      </c>
      <c r="U305" s="36">
        <f>IF(AND(OR(sel_Region="All",C305=sel_Region),OR(sel_Country="All",D305=sel_Country),OR(sel_Channel="All",E305=sel_Channel),OR(sel_Customer="All",F305=sel_Customer),OR(sel_Category="All",G305=sel_Category),OR(sel_Product="All",H305=sel_Product),AND(S305&gt;=m_From,S305&lt;=m_To)),1,0)</f>
        <v/>
      </c>
      <c r="V305" s="36">
        <f>IF(AND(OR(sel_Region="All",C305=sel_Region),OR(sel_Channel="All",E305=sel_Channel),OR(sel_Customer="All",F305=sel_Customer),OR(sel_Category="All",G305=sel_Category),OR(sel_Product="All",H305=sel_Product),AND(S305&gt;=m_From,S305&lt;=m_To)),1,0)</f>
        <v/>
      </c>
      <c r="W305" s="36">
        <f>IF(AND(OR(sel_Region="All",C305=sel_Region),OR(sel_Country="All",D305=sel_Country),OR(sel_Customer="All",F305=sel_Customer),OR(sel_Category="All",G305=sel_Category),OR(sel_Product="All",H305=sel_Product),AND(S305&gt;=m_From,S305&lt;=m_To)),1,0)</f>
        <v/>
      </c>
      <c r="X305" s="36">
        <f>IF(AND(OR(sel_Region="All",C305=sel_Region),OR(sel_Country="All",D305=sel_Country),OR(sel_Channel="All",E305=sel_Channel),OR(sel_Category="All",G305=sel_Category),OR(sel_Product="All",H305=sel_Product),AND(S305&gt;=m_From,S305&lt;=m_To)),1,0)</f>
        <v/>
      </c>
      <c r="Y305" s="36">
        <f>IF(AND(OR(sel_Region="All",C305=sel_Region),OR(sel_Country="All",D305=sel_Country),OR(sel_Channel="All",E305=sel_Channel),OR(sel_Customer="All",F305=sel_Customer),OR(sel_Product="All",H305=sel_Product),AND(S305&gt;=m_From,S305&lt;=m_To)),1,0)</f>
        <v/>
      </c>
      <c r="Z305" s="36">
        <f>IF(AND(OR(sel_Region="All",C305=sel_Region),OR(sel_Country="All",D305=sel_Country),OR(sel_Channel="All",E305=sel_Channel),OR(sel_Customer="All",F305=sel_Customer),OR(sel_Category="All",G305=sel_Category),AND(S305&gt;=m_From,S305&lt;=m_To)),1,0)</f>
        <v/>
      </c>
      <c r="AA305" s="36">
        <f>IF(AND(OR(sel_Region="All",C305=sel_Region),OR(sel_Country="All",D305=sel_Country),OR(sel_Channel="All",E305=sel_Channel),OR(sel_Customer="All",F305=sel_Customer),OR(sel_Category="All",G305=sel_Category),OR(sel_Product="All",H305=sel_Product)),1,0)</f>
        <v/>
      </c>
    </row>
    <row r="306">
      <c r="A306" s="36" t="inlineStr">
        <is>
          <t>04434</t>
        </is>
      </c>
      <c r="B306" s="44" t="n">
        <v>46085</v>
      </c>
      <c r="C306" s="36" t="inlineStr">
        <is>
          <t>Central Europe</t>
        </is>
      </c>
      <c r="D306" s="36" t="inlineStr">
        <is>
          <t>Austria</t>
        </is>
      </c>
      <c r="E306" s="36" t="inlineStr">
        <is>
          <t>Marketplace</t>
        </is>
      </c>
      <c r="F306" s="36" t="inlineStr">
        <is>
          <t>New</t>
        </is>
      </c>
      <c r="G306" s="36" t="inlineStr">
        <is>
          <t>Hiking</t>
        </is>
      </c>
      <c r="H306" s="36" t="inlineStr">
        <is>
          <t>Summit Backpack 45L</t>
        </is>
      </c>
      <c r="I306" s="36" t="n">
        <v>2</v>
      </c>
      <c r="J306" s="39" t="n">
        <v>151.55</v>
      </c>
      <c r="K306" s="45" t="n">
        <v>0.1</v>
      </c>
      <c r="L306" s="39" t="n">
        <v>80.68000000000001</v>
      </c>
      <c r="M306" s="39">
        <f>I306*J306*(1-K306)</f>
        <v/>
      </c>
      <c r="N306" s="39">
        <f>I306*L306</f>
        <v/>
      </c>
      <c r="O306" s="39">
        <f>M306-N306</f>
        <v/>
      </c>
      <c r="P306" s="38">
        <f>IF(M306=0,0,O306/M306)</f>
        <v/>
      </c>
      <c r="Q306" s="36">
        <f>YEAR(B306)</f>
        <v/>
      </c>
      <c r="R306" s="36">
        <f>"Q"&amp;ROUNDUP(MONTH(B306)/3,0)</f>
        <v/>
      </c>
      <c r="S306" s="36">
        <f>MONTH(B306)</f>
        <v/>
      </c>
      <c r="T306" s="36">
        <f>TEXT(B306,"mmm")</f>
        <v/>
      </c>
      <c r="U306" s="36">
        <f>IF(AND(OR(sel_Region="All",C306=sel_Region),OR(sel_Country="All",D306=sel_Country),OR(sel_Channel="All",E306=sel_Channel),OR(sel_Customer="All",F306=sel_Customer),OR(sel_Category="All",G306=sel_Category),OR(sel_Product="All",H306=sel_Product),AND(S306&gt;=m_From,S306&lt;=m_To)),1,0)</f>
        <v/>
      </c>
      <c r="V306" s="36">
        <f>IF(AND(OR(sel_Region="All",C306=sel_Region),OR(sel_Channel="All",E306=sel_Channel),OR(sel_Customer="All",F306=sel_Customer),OR(sel_Category="All",G306=sel_Category),OR(sel_Product="All",H306=sel_Product),AND(S306&gt;=m_From,S306&lt;=m_To)),1,0)</f>
        <v/>
      </c>
      <c r="W306" s="36">
        <f>IF(AND(OR(sel_Region="All",C306=sel_Region),OR(sel_Country="All",D306=sel_Country),OR(sel_Customer="All",F306=sel_Customer),OR(sel_Category="All",G306=sel_Category),OR(sel_Product="All",H306=sel_Product),AND(S306&gt;=m_From,S306&lt;=m_To)),1,0)</f>
        <v/>
      </c>
      <c r="X306" s="36">
        <f>IF(AND(OR(sel_Region="All",C306=sel_Region),OR(sel_Country="All",D306=sel_Country),OR(sel_Channel="All",E306=sel_Channel),OR(sel_Category="All",G306=sel_Category),OR(sel_Product="All",H306=sel_Product),AND(S306&gt;=m_From,S306&lt;=m_To)),1,0)</f>
        <v/>
      </c>
      <c r="Y306" s="36">
        <f>IF(AND(OR(sel_Region="All",C306=sel_Region),OR(sel_Country="All",D306=sel_Country),OR(sel_Channel="All",E306=sel_Channel),OR(sel_Customer="All",F306=sel_Customer),OR(sel_Product="All",H306=sel_Product),AND(S306&gt;=m_From,S306&lt;=m_To)),1,0)</f>
        <v/>
      </c>
      <c r="Z306" s="36">
        <f>IF(AND(OR(sel_Region="All",C306=sel_Region),OR(sel_Country="All",D306=sel_Country),OR(sel_Channel="All",E306=sel_Channel),OR(sel_Customer="All",F306=sel_Customer),OR(sel_Category="All",G306=sel_Category),AND(S306&gt;=m_From,S306&lt;=m_To)),1,0)</f>
        <v/>
      </c>
      <c r="AA306" s="36">
        <f>IF(AND(OR(sel_Region="All",C306=sel_Region),OR(sel_Country="All",D306=sel_Country),OR(sel_Channel="All",E306=sel_Channel),OR(sel_Customer="All",F306=sel_Customer),OR(sel_Category="All",G306=sel_Category),OR(sel_Product="All",H306=sel_Product)),1,0)</f>
        <v/>
      </c>
    </row>
    <row r="307">
      <c r="A307" s="36" t="inlineStr">
        <is>
          <t>04992</t>
        </is>
      </c>
      <c r="B307" s="44" t="n">
        <v>46085</v>
      </c>
      <c r="C307" s="36" t="inlineStr">
        <is>
          <t>Northern Europe</t>
        </is>
      </c>
      <c r="D307" s="36" t="inlineStr">
        <is>
          <t>Sweden</t>
        </is>
      </c>
      <c r="E307" s="36" t="inlineStr">
        <is>
          <t>Corporate</t>
        </is>
      </c>
      <c r="F307" s="36" t="inlineStr">
        <is>
          <t>Business</t>
        </is>
      </c>
      <c r="G307" s="36" t="inlineStr">
        <is>
          <t>Cycling</t>
        </is>
      </c>
      <c r="H307" s="36" t="inlineStr">
        <is>
          <t>Commuter Helmet</t>
        </is>
      </c>
      <c r="I307" s="36" t="n">
        <v>5</v>
      </c>
      <c r="J307" s="39" t="n">
        <v>82.44</v>
      </c>
      <c r="K307" s="45" t="n">
        <v>0.1</v>
      </c>
      <c r="L307" s="39" t="n">
        <v>41.57</v>
      </c>
      <c r="M307" s="39">
        <f>I307*J307*(1-K307)</f>
        <v/>
      </c>
      <c r="N307" s="39">
        <f>I307*L307</f>
        <v/>
      </c>
      <c r="O307" s="39">
        <f>M307-N307</f>
        <v/>
      </c>
      <c r="P307" s="38">
        <f>IF(M307=0,0,O307/M307)</f>
        <v/>
      </c>
      <c r="Q307" s="36">
        <f>YEAR(B307)</f>
        <v/>
      </c>
      <c r="R307" s="36">
        <f>"Q"&amp;ROUNDUP(MONTH(B307)/3,0)</f>
        <v/>
      </c>
      <c r="S307" s="36">
        <f>MONTH(B307)</f>
        <v/>
      </c>
      <c r="T307" s="36">
        <f>TEXT(B307,"mmm")</f>
        <v/>
      </c>
      <c r="U307" s="36">
        <f>IF(AND(OR(sel_Region="All",C307=sel_Region),OR(sel_Country="All",D307=sel_Country),OR(sel_Channel="All",E307=sel_Channel),OR(sel_Customer="All",F307=sel_Customer),OR(sel_Category="All",G307=sel_Category),OR(sel_Product="All",H307=sel_Product),AND(S307&gt;=m_From,S307&lt;=m_To)),1,0)</f>
        <v/>
      </c>
      <c r="V307" s="36">
        <f>IF(AND(OR(sel_Region="All",C307=sel_Region),OR(sel_Channel="All",E307=sel_Channel),OR(sel_Customer="All",F307=sel_Customer),OR(sel_Category="All",G307=sel_Category),OR(sel_Product="All",H307=sel_Product),AND(S307&gt;=m_From,S307&lt;=m_To)),1,0)</f>
        <v/>
      </c>
      <c r="W307" s="36">
        <f>IF(AND(OR(sel_Region="All",C307=sel_Region),OR(sel_Country="All",D307=sel_Country),OR(sel_Customer="All",F307=sel_Customer),OR(sel_Category="All",G307=sel_Category),OR(sel_Product="All",H307=sel_Product),AND(S307&gt;=m_From,S307&lt;=m_To)),1,0)</f>
        <v/>
      </c>
      <c r="X307" s="36">
        <f>IF(AND(OR(sel_Region="All",C307=sel_Region),OR(sel_Country="All",D307=sel_Country),OR(sel_Channel="All",E307=sel_Channel),OR(sel_Category="All",G307=sel_Category),OR(sel_Product="All",H307=sel_Product),AND(S307&gt;=m_From,S307&lt;=m_To)),1,0)</f>
        <v/>
      </c>
      <c r="Y307" s="36">
        <f>IF(AND(OR(sel_Region="All",C307=sel_Region),OR(sel_Country="All",D307=sel_Country),OR(sel_Channel="All",E307=sel_Channel),OR(sel_Customer="All",F307=sel_Customer),OR(sel_Product="All",H307=sel_Product),AND(S307&gt;=m_From,S307&lt;=m_To)),1,0)</f>
        <v/>
      </c>
      <c r="Z307" s="36">
        <f>IF(AND(OR(sel_Region="All",C307=sel_Region),OR(sel_Country="All",D307=sel_Country),OR(sel_Channel="All",E307=sel_Channel),OR(sel_Customer="All",F307=sel_Customer),OR(sel_Category="All",G307=sel_Category),AND(S307&gt;=m_From,S307&lt;=m_To)),1,0)</f>
        <v/>
      </c>
      <c r="AA307" s="36">
        <f>IF(AND(OR(sel_Region="All",C307=sel_Region),OR(sel_Country="All",D307=sel_Country),OR(sel_Channel="All",E307=sel_Channel),OR(sel_Customer="All",F307=sel_Customer),OR(sel_Category="All",G307=sel_Category),OR(sel_Product="All",H307=sel_Product)),1,0)</f>
        <v/>
      </c>
    </row>
    <row r="308">
      <c r="A308" s="36" t="inlineStr">
        <is>
          <t>00388</t>
        </is>
      </c>
      <c r="B308" s="44" t="n">
        <v>46086</v>
      </c>
      <c r="C308" s="36" t="inlineStr">
        <is>
          <t>Western Europe</t>
        </is>
      </c>
      <c r="D308" s="36" t="inlineStr">
        <is>
          <t>United Kingdom</t>
        </is>
      </c>
      <c r="E308" s="36" t="inlineStr">
        <is>
          <t>Online Store</t>
        </is>
      </c>
      <c r="F308" s="36" t="inlineStr">
        <is>
          <t>Returning</t>
        </is>
      </c>
      <c r="G308" s="36" t="inlineStr">
        <is>
          <t>Fitness</t>
        </is>
      </c>
      <c r="H308" s="36" t="inlineStr">
        <is>
          <t>Recovery Roller</t>
        </is>
      </c>
      <c r="I308" s="36" t="n">
        <v>1</v>
      </c>
      <c r="J308" s="39" t="n">
        <v>35.61</v>
      </c>
      <c r="K308" s="45" t="n">
        <v>0.05</v>
      </c>
      <c r="L308" s="39" t="n">
        <v>13.8</v>
      </c>
      <c r="M308" s="39">
        <f>I308*J308*(1-K308)</f>
        <v/>
      </c>
      <c r="N308" s="39">
        <f>I308*L308</f>
        <v/>
      </c>
      <c r="O308" s="39">
        <f>M308-N308</f>
        <v/>
      </c>
      <c r="P308" s="38">
        <f>IF(M308=0,0,O308/M308)</f>
        <v/>
      </c>
      <c r="Q308" s="36">
        <f>YEAR(B308)</f>
        <v/>
      </c>
      <c r="R308" s="36">
        <f>"Q"&amp;ROUNDUP(MONTH(B308)/3,0)</f>
        <v/>
      </c>
      <c r="S308" s="36">
        <f>MONTH(B308)</f>
        <v/>
      </c>
      <c r="T308" s="36">
        <f>TEXT(B308,"mmm")</f>
        <v/>
      </c>
      <c r="U308" s="36">
        <f>IF(AND(OR(sel_Region="All",C308=sel_Region),OR(sel_Country="All",D308=sel_Country),OR(sel_Channel="All",E308=sel_Channel),OR(sel_Customer="All",F308=sel_Customer),OR(sel_Category="All",G308=sel_Category),OR(sel_Product="All",H308=sel_Product),AND(S308&gt;=m_From,S308&lt;=m_To)),1,0)</f>
        <v/>
      </c>
      <c r="V308" s="36">
        <f>IF(AND(OR(sel_Region="All",C308=sel_Region),OR(sel_Channel="All",E308=sel_Channel),OR(sel_Customer="All",F308=sel_Customer),OR(sel_Category="All",G308=sel_Category),OR(sel_Product="All",H308=sel_Product),AND(S308&gt;=m_From,S308&lt;=m_To)),1,0)</f>
        <v/>
      </c>
      <c r="W308" s="36">
        <f>IF(AND(OR(sel_Region="All",C308=sel_Region),OR(sel_Country="All",D308=sel_Country),OR(sel_Customer="All",F308=sel_Customer),OR(sel_Category="All",G308=sel_Category),OR(sel_Product="All",H308=sel_Product),AND(S308&gt;=m_From,S308&lt;=m_To)),1,0)</f>
        <v/>
      </c>
      <c r="X308" s="36">
        <f>IF(AND(OR(sel_Region="All",C308=sel_Region),OR(sel_Country="All",D308=sel_Country),OR(sel_Channel="All",E308=sel_Channel),OR(sel_Category="All",G308=sel_Category),OR(sel_Product="All",H308=sel_Product),AND(S308&gt;=m_From,S308&lt;=m_To)),1,0)</f>
        <v/>
      </c>
      <c r="Y308" s="36">
        <f>IF(AND(OR(sel_Region="All",C308=sel_Region),OR(sel_Country="All",D308=sel_Country),OR(sel_Channel="All",E308=sel_Channel),OR(sel_Customer="All",F308=sel_Customer),OR(sel_Product="All",H308=sel_Product),AND(S308&gt;=m_From,S308&lt;=m_To)),1,0)</f>
        <v/>
      </c>
      <c r="Z308" s="36">
        <f>IF(AND(OR(sel_Region="All",C308=sel_Region),OR(sel_Country="All",D308=sel_Country),OR(sel_Channel="All",E308=sel_Channel),OR(sel_Customer="All",F308=sel_Customer),OR(sel_Category="All",G308=sel_Category),AND(S308&gt;=m_From,S308&lt;=m_To)),1,0)</f>
        <v/>
      </c>
      <c r="AA308" s="36">
        <f>IF(AND(OR(sel_Region="All",C308=sel_Region),OR(sel_Country="All",D308=sel_Country),OR(sel_Channel="All",E308=sel_Channel),OR(sel_Customer="All",F308=sel_Customer),OR(sel_Category="All",G308=sel_Category),OR(sel_Product="All",H308=sel_Product)),1,0)</f>
        <v/>
      </c>
    </row>
    <row r="309">
      <c r="A309" s="36" t="inlineStr">
        <is>
          <t>00977</t>
        </is>
      </c>
      <c r="B309" s="44" t="n">
        <v>46086</v>
      </c>
      <c r="C309" s="36" t="inlineStr">
        <is>
          <t>Southern Europe</t>
        </is>
      </c>
      <c r="D309" s="36" t="inlineStr">
        <is>
          <t>Spain</t>
        </is>
      </c>
      <c r="E309" s="36" t="inlineStr">
        <is>
          <t>Marketplace</t>
        </is>
      </c>
      <c r="F309" s="36" t="inlineStr">
        <is>
          <t>New</t>
        </is>
      </c>
      <c r="G309" s="36" t="inlineStr">
        <is>
          <t>Hiking</t>
        </is>
      </c>
      <c r="H309" s="36" t="inlineStr">
        <is>
          <t>Summit Backpack 45L</t>
        </is>
      </c>
      <c r="I309" s="36" t="n">
        <v>5</v>
      </c>
      <c r="J309" s="39" t="n">
        <v>156.13</v>
      </c>
      <c r="K309" s="45" t="n">
        <v>0</v>
      </c>
      <c r="L309" s="39" t="n">
        <v>77.03</v>
      </c>
      <c r="M309" s="39">
        <f>I309*J309*(1-K309)</f>
        <v/>
      </c>
      <c r="N309" s="39">
        <f>I309*L309</f>
        <v/>
      </c>
      <c r="O309" s="39">
        <f>M309-N309</f>
        <v/>
      </c>
      <c r="P309" s="38">
        <f>IF(M309=0,0,O309/M309)</f>
        <v/>
      </c>
      <c r="Q309" s="36">
        <f>YEAR(B309)</f>
        <v/>
      </c>
      <c r="R309" s="36">
        <f>"Q"&amp;ROUNDUP(MONTH(B309)/3,0)</f>
        <v/>
      </c>
      <c r="S309" s="36">
        <f>MONTH(B309)</f>
        <v/>
      </c>
      <c r="T309" s="36">
        <f>TEXT(B309,"mmm")</f>
        <v/>
      </c>
      <c r="U309" s="36">
        <f>IF(AND(OR(sel_Region="All",C309=sel_Region),OR(sel_Country="All",D309=sel_Country),OR(sel_Channel="All",E309=sel_Channel),OR(sel_Customer="All",F309=sel_Customer),OR(sel_Category="All",G309=sel_Category),OR(sel_Product="All",H309=sel_Product),AND(S309&gt;=m_From,S309&lt;=m_To)),1,0)</f>
        <v/>
      </c>
      <c r="V309" s="36">
        <f>IF(AND(OR(sel_Region="All",C309=sel_Region),OR(sel_Channel="All",E309=sel_Channel),OR(sel_Customer="All",F309=sel_Customer),OR(sel_Category="All",G309=sel_Category),OR(sel_Product="All",H309=sel_Product),AND(S309&gt;=m_From,S309&lt;=m_To)),1,0)</f>
        <v/>
      </c>
      <c r="W309" s="36">
        <f>IF(AND(OR(sel_Region="All",C309=sel_Region),OR(sel_Country="All",D309=sel_Country),OR(sel_Customer="All",F309=sel_Customer),OR(sel_Category="All",G309=sel_Category),OR(sel_Product="All",H309=sel_Product),AND(S309&gt;=m_From,S309&lt;=m_To)),1,0)</f>
        <v/>
      </c>
      <c r="X309" s="36">
        <f>IF(AND(OR(sel_Region="All",C309=sel_Region),OR(sel_Country="All",D309=sel_Country),OR(sel_Channel="All",E309=sel_Channel),OR(sel_Category="All",G309=sel_Category),OR(sel_Product="All",H309=sel_Product),AND(S309&gt;=m_From,S309&lt;=m_To)),1,0)</f>
        <v/>
      </c>
      <c r="Y309" s="36">
        <f>IF(AND(OR(sel_Region="All",C309=sel_Region),OR(sel_Country="All",D309=sel_Country),OR(sel_Channel="All",E309=sel_Channel),OR(sel_Customer="All",F309=sel_Customer),OR(sel_Product="All",H309=sel_Product),AND(S309&gt;=m_From,S309&lt;=m_To)),1,0)</f>
        <v/>
      </c>
      <c r="Z309" s="36">
        <f>IF(AND(OR(sel_Region="All",C309=sel_Region),OR(sel_Country="All",D309=sel_Country),OR(sel_Channel="All",E309=sel_Channel),OR(sel_Customer="All",F309=sel_Customer),OR(sel_Category="All",G309=sel_Category),AND(S309&gt;=m_From,S309&lt;=m_To)),1,0)</f>
        <v/>
      </c>
      <c r="AA309" s="36">
        <f>IF(AND(OR(sel_Region="All",C309=sel_Region),OR(sel_Country="All",D309=sel_Country),OR(sel_Channel="All",E309=sel_Channel),OR(sel_Customer="All",F309=sel_Customer),OR(sel_Category="All",G309=sel_Category),OR(sel_Product="All",H309=sel_Product)),1,0)</f>
        <v/>
      </c>
    </row>
    <row r="310">
      <c r="A310" s="36" t="inlineStr">
        <is>
          <t>00996</t>
        </is>
      </c>
      <c r="B310" s="44" t="n">
        <v>46086</v>
      </c>
      <c r="C310" s="36" t="inlineStr">
        <is>
          <t>Southern Europe</t>
        </is>
      </c>
      <c r="D310" s="36" t="inlineStr">
        <is>
          <t>Italy</t>
        </is>
      </c>
      <c r="E310" s="36" t="inlineStr">
        <is>
          <t>Online Store</t>
        </is>
      </c>
      <c r="F310" s="36" t="inlineStr">
        <is>
          <t>Returning</t>
        </is>
      </c>
      <c r="G310" s="36" t="inlineStr">
        <is>
          <t>Camping</t>
        </is>
      </c>
      <c r="H310" s="36" t="inlineStr">
        <is>
          <t>Compact Sleeping Bag</t>
        </is>
      </c>
      <c r="I310" s="36" t="n">
        <v>1</v>
      </c>
      <c r="J310" s="39" t="n">
        <v>124.31</v>
      </c>
      <c r="K310" s="45" t="n">
        <v>0</v>
      </c>
      <c r="L310" s="39" t="n">
        <v>61.16</v>
      </c>
      <c r="M310" s="39">
        <f>I310*J310*(1-K310)</f>
        <v/>
      </c>
      <c r="N310" s="39">
        <f>I310*L310</f>
        <v/>
      </c>
      <c r="O310" s="39">
        <f>M310-N310</f>
        <v/>
      </c>
      <c r="P310" s="38">
        <f>IF(M310=0,0,O310/M310)</f>
        <v/>
      </c>
      <c r="Q310" s="36">
        <f>YEAR(B310)</f>
        <v/>
      </c>
      <c r="R310" s="36">
        <f>"Q"&amp;ROUNDUP(MONTH(B310)/3,0)</f>
        <v/>
      </c>
      <c r="S310" s="36">
        <f>MONTH(B310)</f>
        <v/>
      </c>
      <c r="T310" s="36">
        <f>TEXT(B310,"mmm")</f>
        <v/>
      </c>
      <c r="U310" s="36">
        <f>IF(AND(OR(sel_Region="All",C310=sel_Region),OR(sel_Country="All",D310=sel_Country),OR(sel_Channel="All",E310=sel_Channel),OR(sel_Customer="All",F310=sel_Customer),OR(sel_Category="All",G310=sel_Category),OR(sel_Product="All",H310=sel_Product),AND(S310&gt;=m_From,S310&lt;=m_To)),1,0)</f>
        <v/>
      </c>
      <c r="V310" s="36">
        <f>IF(AND(OR(sel_Region="All",C310=sel_Region),OR(sel_Channel="All",E310=sel_Channel),OR(sel_Customer="All",F310=sel_Customer),OR(sel_Category="All",G310=sel_Category),OR(sel_Product="All",H310=sel_Product),AND(S310&gt;=m_From,S310&lt;=m_To)),1,0)</f>
        <v/>
      </c>
      <c r="W310" s="36">
        <f>IF(AND(OR(sel_Region="All",C310=sel_Region),OR(sel_Country="All",D310=sel_Country),OR(sel_Customer="All",F310=sel_Customer),OR(sel_Category="All",G310=sel_Category),OR(sel_Product="All",H310=sel_Product),AND(S310&gt;=m_From,S310&lt;=m_To)),1,0)</f>
        <v/>
      </c>
      <c r="X310" s="36">
        <f>IF(AND(OR(sel_Region="All",C310=sel_Region),OR(sel_Country="All",D310=sel_Country),OR(sel_Channel="All",E310=sel_Channel),OR(sel_Category="All",G310=sel_Category),OR(sel_Product="All",H310=sel_Product),AND(S310&gt;=m_From,S310&lt;=m_To)),1,0)</f>
        <v/>
      </c>
      <c r="Y310" s="36">
        <f>IF(AND(OR(sel_Region="All",C310=sel_Region),OR(sel_Country="All",D310=sel_Country),OR(sel_Channel="All",E310=sel_Channel),OR(sel_Customer="All",F310=sel_Customer),OR(sel_Product="All",H310=sel_Product),AND(S310&gt;=m_From,S310&lt;=m_To)),1,0)</f>
        <v/>
      </c>
      <c r="Z310" s="36">
        <f>IF(AND(OR(sel_Region="All",C310=sel_Region),OR(sel_Country="All",D310=sel_Country),OR(sel_Channel="All",E310=sel_Channel),OR(sel_Customer="All",F310=sel_Customer),OR(sel_Category="All",G310=sel_Category),AND(S310&gt;=m_From,S310&lt;=m_To)),1,0)</f>
        <v/>
      </c>
      <c r="AA310" s="36">
        <f>IF(AND(OR(sel_Region="All",C310=sel_Region),OR(sel_Country="All",D310=sel_Country),OR(sel_Channel="All",E310=sel_Channel),OR(sel_Customer="All",F310=sel_Customer),OR(sel_Category="All",G310=sel_Category),OR(sel_Product="All",H310=sel_Product)),1,0)</f>
        <v/>
      </c>
    </row>
    <row r="311">
      <c r="A311" s="36" t="inlineStr">
        <is>
          <t>01923</t>
        </is>
      </c>
      <c r="B311" s="44" t="n">
        <v>46086</v>
      </c>
      <c r="C311" s="36" t="inlineStr">
        <is>
          <t>Central Europe</t>
        </is>
      </c>
      <c r="D311" s="36" t="inlineStr">
        <is>
          <t>Poland</t>
        </is>
      </c>
      <c r="E311" s="36" t="inlineStr">
        <is>
          <t>Retail Partners</t>
        </is>
      </c>
      <c r="F311" s="36" t="inlineStr">
        <is>
          <t>Business</t>
        </is>
      </c>
      <c r="G311" s="36" t="inlineStr">
        <is>
          <t>Camping</t>
        </is>
      </c>
      <c r="H311" s="36" t="inlineStr">
        <is>
          <t>Portable Camp Stove</t>
        </is>
      </c>
      <c r="I311" s="36" t="n">
        <v>3</v>
      </c>
      <c r="J311" s="39" t="n">
        <v>82.90000000000001</v>
      </c>
      <c r="K311" s="45" t="n">
        <v>0.1</v>
      </c>
      <c r="L311" s="39" t="n">
        <v>38.31</v>
      </c>
      <c r="M311" s="39">
        <f>I311*J311*(1-K311)</f>
        <v/>
      </c>
      <c r="N311" s="39">
        <f>I311*L311</f>
        <v/>
      </c>
      <c r="O311" s="39">
        <f>M311-N311</f>
        <v/>
      </c>
      <c r="P311" s="38">
        <f>IF(M311=0,0,O311/M311)</f>
        <v/>
      </c>
      <c r="Q311" s="36">
        <f>YEAR(B311)</f>
        <v/>
      </c>
      <c r="R311" s="36">
        <f>"Q"&amp;ROUNDUP(MONTH(B311)/3,0)</f>
        <v/>
      </c>
      <c r="S311" s="36">
        <f>MONTH(B311)</f>
        <v/>
      </c>
      <c r="T311" s="36">
        <f>TEXT(B311,"mmm")</f>
        <v/>
      </c>
      <c r="U311" s="36">
        <f>IF(AND(OR(sel_Region="All",C311=sel_Region),OR(sel_Country="All",D311=sel_Country),OR(sel_Channel="All",E311=sel_Channel),OR(sel_Customer="All",F311=sel_Customer),OR(sel_Category="All",G311=sel_Category),OR(sel_Product="All",H311=sel_Product),AND(S311&gt;=m_From,S311&lt;=m_To)),1,0)</f>
        <v/>
      </c>
      <c r="V311" s="36">
        <f>IF(AND(OR(sel_Region="All",C311=sel_Region),OR(sel_Channel="All",E311=sel_Channel),OR(sel_Customer="All",F311=sel_Customer),OR(sel_Category="All",G311=sel_Category),OR(sel_Product="All",H311=sel_Product),AND(S311&gt;=m_From,S311&lt;=m_To)),1,0)</f>
        <v/>
      </c>
      <c r="W311" s="36">
        <f>IF(AND(OR(sel_Region="All",C311=sel_Region),OR(sel_Country="All",D311=sel_Country),OR(sel_Customer="All",F311=sel_Customer),OR(sel_Category="All",G311=sel_Category),OR(sel_Product="All",H311=sel_Product),AND(S311&gt;=m_From,S311&lt;=m_To)),1,0)</f>
        <v/>
      </c>
      <c r="X311" s="36">
        <f>IF(AND(OR(sel_Region="All",C311=sel_Region),OR(sel_Country="All",D311=sel_Country),OR(sel_Channel="All",E311=sel_Channel),OR(sel_Category="All",G311=sel_Category),OR(sel_Product="All",H311=sel_Product),AND(S311&gt;=m_From,S311&lt;=m_To)),1,0)</f>
        <v/>
      </c>
      <c r="Y311" s="36">
        <f>IF(AND(OR(sel_Region="All",C311=sel_Region),OR(sel_Country="All",D311=sel_Country),OR(sel_Channel="All",E311=sel_Channel),OR(sel_Customer="All",F311=sel_Customer),OR(sel_Product="All",H311=sel_Product),AND(S311&gt;=m_From,S311&lt;=m_To)),1,0)</f>
        <v/>
      </c>
      <c r="Z311" s="36">
        <f>IF(AND(OR(sel_Region="All",C311=sel_Region),OR(sel_Country="All",D311=sel_Country),OR(sel_Channel="All",E311=sel_Channel),OR(sel_Customer="All",F311=sel_Customer),OR(sel_Category="All",G311=sel_Category),AND(S311&gt;=m_From,S311&lt;=m_To)),1,0)</f>
        <v/>
      </c>
      <c r="AA311" s="36">
        <f>IF(AND(OR(sel_Region="All",C311=sel_Region),OR(sel_Country="All",D311=sel_Country),OR(sel_Channel="All",E311=sel_Channel),OR(sel_Customer="All",F311=sel_Customer),OR(sel_Category="All",G311=sel_Category),OR(sel_Product="All",H311=sel_Product)),1,0)</f>
        <v/>
      </c>
    </row>
    <row r="312">
      <c r="A312" s="36" t="inlineStr">
        <is>
          <t>04904</t>
        </is>
      </c>
      <c r="B312" s="44" t="n">
        <v>46086</v>
      </c>
      <c r="C312" s="36" t="inlineStr">
        <is>
          <t>Central Europe</t>
        </is>
      </c>
      <c r="D312" s="36" t="inlineStr">
        <is>
          <t>Switzerland</t>
        </is>
      </c>
      <c r="E312" s="36" t="inlineStr">
        <is>
          <t>Retail Partners</t>
        </is>
      </c>
      <c r="F312" s="36" t="inlineStr">
        <is>
          <t>Business</t>
        </is>
      </c>
      <c r="G312" s="36" t="inlineStr">
        <is>
          <t>Cycling</t>
        </is>
      </c>
      <c r="H312" s="36" t="inlineStr">
        <is>
          <t>Compact Repair Kit</t>
        </is>
      </c>
      <c r="I312" s="36" t="n">
        <v>1</v>
      </c>
      <c r="J312" s="39" t="n">
        <v>41.1</v>
      </c>
      <c r="K312" s="45" t="n">
        <v>0</v>
      </c>
      <c r="L312" s="39" t="n">
        <v>16.34</v>
      </c>
      <c r="M312" s="39">
        <f>I312*J312*(1-K312)</f>
        <v/>
      </c>
      <c r="N312" s="39">
        <f>I312*L312</f>
        <v/>
      </c>
      <c r="O312" s="39">
        <f>M312-N312</f>
        <v/>
      </c>
      <c r="P312" s="38">
        <f>IF(M312=0,0,O312/M312)</f>
        <v/>
      </c>
      <c r="Q312" s="36">
        <f>YEAR(B312)</f>
        <v/>
      </c>
      <c r="R312" s="36">
        <f>"Q"&amp;ROUNDUP(MONTH(B312)/3,0)</f>
        <v/>
      </c>
      <c r="S312" s="36">
        <f>MONTH(B312)</f>
        <v/>
      </c>
      <c r="T312" s="36">
        <f>TEXT(B312,"mmm")</f>
        <v/>
      </c>
      <c r="U312" s="36">
        <f>IF(AND(OR(sel_Region="All",C312=sel_Region),OR(sel_Country="All",D312=sel_Country),OR(sel_Channel="All",E312=sel_Channel),OR(sel_Customer="All",F312=sel_Customer),OR(sel_Category="All",G312=sel_Category),OR(sel_Product="All",H312=sel_Product),AND(S312&gt;=m_From,S312&lt;=m_To)),1,0)</f>
        <v/>
      </c>
      <c r="V312" s="36">
        <f>IF(AND(OR(sel_Region="All",C312=sel_Region),OR(sel_Channel="All",E312=sel_Channel),OR(sel_Customer="All",F312=sel_Customer),OR(sel_Category="All",G312=sel_Category),OR(sel_Product="All",H312=sel_Product),AND(S312&gt;=m_From,S312&lt;=m_To)),1,0)</f>
        <v/>
      </c>
      <c r="W312" s="36">
        <f>IF(AND(OR(sel_Region="All",C312=sel_Region),OR(sel_Country="All",D312=sel_Country),OR(sel_Customer="All",F312=sel_Customer),OR(sel_Category="All",G312=sel_Category),OR(sel_Product="All",H312=sel_Product),AND(S312&gt;=m_From,S312&lt;=m_To)),1,0)</f>
        <v/>
      </c>
      <c r="X312" s="36">
        <f>IF(AND(OR(sel_Region="All",C312=sel_Region),OR(sel_Country="All",D312=sel_Country),OR(sel_Channel="All",E312=sel_Channel),OR(sel_Category="All",G312=sel_Category),OR(sel_Product="All",H312=sel_Product),AND(S312&gt;=m_From,S312&lt;=m_To)),1,0)</f>
        <v/>
      </c>
      <c r="Y312" s="36">
        <f>IF(AND(OR(sel_Region="All",C312=sel_Region),OR(sel_Country="All",D312=sel_Country),OR(sel_Channel="All",E312=sel_Channel),OR(sel_Customer="All",F312=sel_Customer),OR(sel_Product="All",H312=sel_Product),AND(S312&gt;=m_From,S312&lt;=m_To)),1,0)</f>
        <v/>
      </c>
      <c r="Z312" s="36">
        <f>IF(AND(OR(sel_Region="All",C312=sel_Region),OR(sel_Country="All",D312=sel_Country),OR(sel_Channel="All",E312=sel_Channel),OR(sel_Customer="All",F312=sel_Customer),OR(sel_Category="All",G312=sel_Category),AND(S312&gt;=m_From,S312&lt;=m_To)),1,0)</f>
        <v/>
      </c>
      <c r="AA312" s="36">
        <f>IF(AND(OR(sel_Region="All",C312=sel_Region),OR(sel_Country="All",D312=sel_Country),OR(sel_Channel="All",E312=sel_Channel),OR(sel_Customer="All",F312=sel_Customer),OR(sel_Category="All",G312=sel_Category),OR(sel_Product="All",H312=sel_Product)),1,0)</f>
        <v/>
      </c>
    </row>
    <row r="313">
      <c r="A313" s="36" t="inlineStr">
        <is>
          <t>01036</t>
        </is>
      </c>
      <c r="B313" s="44" t="n">
        <v>46087</v>
      </c>
      <c r="C313" s="36" t="inlineStr">
        <is>
          <t>Southern Europe</t>
        </is>
      </c>
      <c r="D313" s="36" t="inlineStr">
        <is>
          <t>Spain</t>
        </is>
      </c>
      <c r="E313" s="36" t="inlineStr">
        <is>
          <t>Online Store</t>
        </is>
      </c>
      <c r="F313" s="36" t="inlineStr">
        <is>
          <t>Business</t>
        </is>
      </c>
      <c r="G313" s="36" t="inlineStr">
        <is>
          <t>Cycling</t>
        </is>
      </c>
      <c r="H313" s="36" t="inlineStr">
        <is>
          <t>Compact Repair Kit</t>
        </is>
      </c>
      <c r="I313" s="36" t="n">
        <v>1</v>
      </c>
      <c r="J313" s="39" t="n">
        <v>40.38</v>
      </c>
      <c r="K313" s="45" t="n">
        <v>0</v>
      </c>
      <c r="L313" s="39" t="n">
        <v>16.41</v>
      </c>
      <c r="M313" s="39">
        <f>I313*J313*(1-K313)</f>
        <v/>
      </c>
      <c r="N313" s="39">
        <f>I313*L313</f>
        <v/>
      </c>
      <c r="O313" s="39">
        <f>M313-N313</f>
        <v/>
      </c>
      <c r="P313" s="38">
        <f>IF(M313=0,0,O313/M313)</f>
        <v/>
      </c>
      <c r="Q313" s="36">
        <f>YEAR(B313)</f>
        <v/>
      </c>
      <c r="R313" s="36">
        <f>"Q"&amp;ROUNDUP(MONTH(B313)/3,0)</f>
        <v/>
      </c>
      <c r="S313" s="36">
        <f>MONTH(B313)</f>
        <v/>
      </c>
      <c r="T313" s="36">
        <f>TEXT(B313,"mmm")</f>
        <v/>
      </c>
      <c r="U313" s="36">
        <f>IF(AND(OR(sel_Region="All",C313=sel_Region),OR(sel_Country="All",D313=sel_Country),OR(sel_Channel="All",E313=sel_Channel),OR(sel_Customer="All",F313=sel_Customer),OR(sel_Category="All",G313=sel_Category),OR(sel_Product="All",H313=sel_Product),AND(S313&gt;=m_From,S313&lt;=m_To)),1,0)</f>
        <v/>
      </c>
      <c r="V313" s="36">
        <f>IF(AND(OR(sel_Region="All",C313=sel_Region),OR(sel_Channel="All",E313=sel_Channel),OR(sel_Customer="All",F313=sel_Customer),OR(sel_Category="All",G313=sel_Category),OR(sel_Product="All",H313=sel_Product),AND(S313&gt;=m_From,S313&lt;=m_To)),1,0)</f>
        <v/>
      </c>
      <c r="W313" s="36">
        <f>IF(AND(OR(sel_Region="All",C313=sel_Region),OR(sel_Country="All",D313=sel_Country),OR(sel_Customer="All",F313=sel_Customer),OR(sel_Category="All",G313=sel_Category),OR(sel_Product="All",H313=sel_Product),AND(S313&gt;=m_From,S313&lt;=m_To)),1,0)</f>
        <v/>
      </c>
      <c r="X313" s="36">
        <f>IF(AND(OR(sel_Region="All",C313=sel_Region),OR(sel_Country="All",D313=sel_Country),OR(sel_Channel="All",E313=sel_Channel),OR(sel_Category="All",G313=sel_Category),OR(sel_Product="All",H313=sel_Product),AND(S313&gt;=m_From,S313&lt;=m_To)),1,0)</f>
        <v/>
      </c>
      <c r="Y313" s="36">
        <f>IF(AND(OR(sel_Region="All",C313=sel_Region),OR(sel_Country="All",D313=sel_Country),OR(sel_Channel="All",E313=sel_Channel),OR(sel_Customer="All",F313=sel_Customer),OR(sel_Product="All",H313=sel_Product),AND(S313&gt;=m_From,S313&lt;=m_To)),1,0)</f>
        <v/>
      </c>
      <c r="Z313" s="36">
        <f>IF(AND(OR(sel_Region="All",C313=sel_Region),OR(sel_Country="All",D313=sel_Country),OR(sel_Channel="All",E313=sel_Channel),OR(sel_Customer="All",F313=sel_Customer),OR(sel_Category="All",G313=sel_Category),AND(S313&gt;=m_From,S313&lt;=m_To)),1,0)</f>
        <v/>
      </c>
      <c r="AA313" s="36">
        <f>IF(AND(OR(sel_Region="All",C313=sel_Region),OR(sel_Country="All",D313=sel_Country),OR(sel_Channel="All",E313=sel_Channel),OR(sel_Customer="All",F313=sel_Customer),OR(sel_Category="All",G313=sel_Category),OR(sel_Product="All",H313=sel_Product)),1,0)</f>
        <v/>
      </c>
    </row>
    <row r="314">
      <c r="A314" s="36" t="inlineStr">
        <is>
          <t>01470</t>
        </is>
      </c>
      <c r="B314" s="44" t="n">
        <v>46087</v>
      </c>
      <c r="C314" s="36" t="inlineStr">
        <is>
          <t>Northern Europe</t>
        </is>
      </c>
      <c r="D314" s="36" t="inlineStr">
        <is>
          <t>Sweden</t>
        </is>
      </c>
      <c r="E314" s="36" t="inlineStr">
        <is>
          <t>Online Store</t>
        </is>
      </c>
      <c r="F314" s="36" t="inlineStr">
        <is>
          <t>Returning</t>
        </is>
      </c>
      <c r="G314" s="36" t="inlineStr">
        <is>
          <t>Cycling</t>
        </is>
      </c>
      <c r="H314" s="36" t="inlineStr">
        <is>
          <t>Commuter Helmet</t>
        </is>
      </c>
      <c r="I314" s="36" t="n">
        <v>1</v>
      </c>
      <c r="J314" s="39" t="n">
        <v>80.34999999999999</v>
      </c>
      <c r="K314" s="45" t="n">
        <v>0.1</v>
      </c>
      <c r="L314" s="39" t="n">
        <v>42.43</v>
      </c>
      <c r="M314" s="39">
        <f>I314*J314*(1-K314)</f>
        <v/>
      </c>
      <c r="N314" s="39">
        <f>I314*L314</f>
        <v/>
      </c>
      <c r="O314" s="39">
        <f>M314-N314</f>
        <v/>
      </c>
      <c r="P314" s="38">
        <f>IF(M314=0,0,O314/M314)</f>
        <v/>
      </c>
      <c r="Q314" s="36">
        <f>YEAR(B314)</f>
        <v/>
      </c>
      <c r="R314" s="36">
        <f>"Q"&amp;ROUNDUP(MONTH(B314)/3,0)</f>
        <v/>
      </c>
      <c r="S314" s="36">
        <f>MONTH(B314)</f>
        <v/>
      </c>
      <c r="T314" s="36">
        <f>TEXT(B314,"mmm")</f>
        <v/>
      </c>
      <c r="U314" s="36">
        <f>IF(AND(OR(sel_Region="All",C314=sel_Region),OR(sel_Country="All",D314=sel_Country),OR(sel_Channel="All",E314=sel_Channel),OR(sel_Customer="All",F314=sel_Customer),OR(sel_Category="All",G314=sel_Category),OR(sel_Product="All",H314=sel_Product),AND(S314&gt;=m_From,S314&lt;=m_To)),1,0)</f>
        <v/>
      </c>
      <c r="V314" s="36">
        <f>IF(AND(OR(sel_Region="All",C314=sel_Region),OR(sel_Channel="All",E314=sel_Channel),OR(sel_Customer="All",F314=sel_Customer),OR(sel_Category="All",G314=sel_Category),OR(sel_Product="All",H314=sel_Product),AND(S314&gt;=m_From,S314&lt;=m_To)),1,0)</f>
        <v/>
      </c>
      <c r="W314" s="36">
        <f>IF(AND(OR(sel_Region="All",C314=sel_Region),OR(sel_Country="All",D314=sel_Country),OR(sel_Customer="All",F314=sel_Customer),OR(sel_Category="All",G314=sel_Category),OR(sel_Product="All",H314=sel_Product),AND(S314&gt;=m_From,S314&lt;=m_To)),1,0)</f>
        <v/>
      </c>
      <c r="X314" s="36">
        <f>IF(AND(OR(sel_Region="All",C314=sel_Region),OR(sel_Country="All",D314=sel_Country),OR(sel_Channel="All",E314=sel_Channel),OR(sel_Category="All",G314=sel_Category),OR(sel_Product="All",H314=sel_Product),AND(S314&gt;=m_From,S314&lt;=m_To)),1,0)</f>
        <v/>
      </c>
      <c r="Y314" s="36">
        <f>IF(AND(OR(sel_Region="All",C314=sel_Region),OR(sel_Country="All",D314=sel_Country),OR(sel_Channel="All",E314=sel_Channel),OR(sel_Customer="All",F314=sel_Customer),OR(sel_Product="All",H314=sel_Product),AND(S314&gt;=m_From,S314&lt;=m_To)),1,0)</f>
        <v/>
      </c>
      <c r="Z314" s="36">
        <f>IF(AND(OR(sel_Region="All",C314=sel_Region),OR(sel_Country="All",D314=sel_Country),OR(sel_Channel="All",E314=sel_Channel),OR(sel_Customer="All",F314=sel_Customer),OR(sel_Category="All",G314=sel_Category),AND(S314&gt;=m_From,S314&lt;=m_To)),1,0)</f>
        <v/>
      </c>
      <c r="AA314" s="36">
        <f>IF(AND(OR(sel_Region="All",C314=sel_Region),OR(sel_Country="All",D314=sel_Country),OR(sel_Channel="All",E314=sel_Channel),OR(sel_Customer="All",F314=sel_Customer),OR(sel_Category="All",G314=sel_Category),OR(sel_Product="All",H314=sel_Product)),1,0)</f>
        <v/>
      </c>
    </row>
    <row r="315">
      <c r="A315" s="36" t="inlineStr">
        <is>
          <t>02907</t>
        </is>
      </c>
      <c r="B315" s="44" t="n">
        <v>46087</v>
      </c>
      <c r="C315" s="36" t="inlineStr">
        <is>
          <t>Western Europe</t>
        </is>
      </c>
      <c r="D315" s="36" t="inlineStr">
        <is>
          <t>France</t>
        </is>
      </c>
      <c r="E315" s="36" t="inlineStr">
        <is>
          <t>Online Store</t>
        </is>
      </c>
      <c r="F315" s="36" t="inlineStr">
        <is>
          <t>Returning</t>
        </is>
      </c>
      <c r="G315" s="36" t="inlineStr">
        <is>
          <t>Cycling</t>
        </is>
      </c>
      <c r="H315" s="36" t="inlineStr">
        <is>
          <t>Compact Repair Kit</t>
        </is>
      </c>
      <c r="I315" s="36" t="n">
        <v>1</v>
      </c>
      <c r="J315" s="39" t="n">
        <v>40.44</v>
      </c>
      <c r="K315" s="45" t="n">
        <v>0.05</v>
      </c>
      <c r="L315" s="39" t="n">
        <v>16.83</v>
      </c>
      <c r="M315" s="39">
        <f>I315*J315*(1-K315)</f>
        <v/>
      </c>
      <c r="N315" s="39">
        <f>I315*L315</f>
        <v/>
      </c>
      <c r="O315" s="39">
        <f>M315-N315</f>
        <v/>
      </c>
      <c r="P315" s="38">
        <f>IF(M315=0,0,O315/M315)</f>
        <v/>
      </c>
      <c r="Q315" s="36">
        <f>YEAR(B315)</f>
        <v/>
      </c>
      <c r="R315" s="36">
        <f>"Q"&amp;ROUNDUP(MONTH(B315)/3,0)</f>
        <v/>
      </c>
      <c r="S315" s="36">
        <f>MONTH(B315)</f>
        <v/>
      </c>
      <c r="T315" s="36">
        <f>TEXT(B315,"mmm")</f>
        <v/>
      </c>
      <c r="U315" s="36">
        <f>IF(AND(OR(sel_Region="All",C315=sel_Region),OR(sel_Country="All",D315=sel_Country),OR(sel_Channel="All",E315=sel_Channel),OR(sel_Customer="All",F315=sel_Customer),OR(sel_Category="All",G315=sel_Category),OR(sel_Product="All",H315=sel_Product),AND(S315&gt;=m_From,S315&lt;=m_To)),1,0)</f>
        <v/>
      </c>
      <c r="V315" s="36">
        <f>IF(AND(OR(sel_Region="All",C315=sel_Region),OR(sel_Channel="All",E315=sel_Channel),OR(sel_Customer="All",F315=sel_Customer),OR(sel_Category="All",G315=sel_Category),OR(sel_Product="All",H315=sel_Product),AND(S315&gt;=m_From,S315&lt;=m_To)),1,0)</f>
        <v/>
      </c>
      <c r="W315" s="36">
        <f>IF(AND(OR(sel_Region="All",C315=sel_Region),OR(sel_Country="All",D315=sel_Country),OR(sel_Customer="All",F315=sel_Customer),OR(sel_Category="All",G315=sel_Category),OR(sel_Product="All",H315=sel_Product),AND(S315&gt;=m_From,S315&lt;=m_To)),1,0)</f>
        <v/>
      </c>
      <c r="X315" s="36">
        <f>IF(AND(OR(sel_Region="All",C315=sel_Region),OR(sel_Country="All",D315=sel_Country),OR(sel_Channel="All",E315=sel_Channel),OR(sel_Category="All",G315=sel_Category),OR(sel_Product="All",H315=sel_Product),AND(S315&gt;=m_From,S315&lt;=m_To)),1,0)</f>
        <v/>
      </c>
      <c r="Y315" s="36">
        <f>IF(AND(OR(sel_Region="All",C315=sel_Region),OR(sel_Country="All",D315=sel_Country),OR(sel_Channel="All",E315=sel_Channel),OR(sel_Customer="All",F315=sel_Customer),OR(sel_Product="All",H315=sel_Product),AND(S315&gt;=m_From,S315&lt;=m_To)),1,0)</f>
        <v/>
      </c>
      <c r="Z315" s="36">
        <f>IF(AND(OR(sel_Region="All",C315=sel_Region),OR(sel_Country="All",D315=sel_Country),OR(sel_Channel="All",E315=sel_Channel),OR(sel_Customer="All",F315=sel_Customer),OR(sel_Category="All",G315=sel_Category),AND(S315&gt;=m_From,S315&lt;=m_To)),1,0)</f>
        <v/>
      </c>
      <c r="AA315" s="36">
        <f>IF(AND(OR(sel_Region="All",C315=sel_Region),OR(sel_Country="All",D315=sel_Country),OR(sel_Channel="All",E315=sel_Channel),OR(sel_Customer="All",F315=sel_Customer),OR(sel_Category="All",G315=sel_Category),OR(sel_Product="All",H315=sel_Product)),1,0)</f>
        <v/>
      </c>
    </row>
    <row r="316">
      <c r="A316" s="36" t="inlineStr">
        <is>
          <t>02997</t>
        </is>
      </c>
      <c r="B316" s="44" t="n">
        <v>46087</v>
      </c>
      <c r="C316" s="36" t="inlineStr">
        <is>
          <t>Northern Europe</t>
        </is>
      </c>
      <c r="D316" s="36" t="inlineStr">
        <is>
          <t>Norway</t>
        </is>
      </c>
      <c r="E316" s="36" t="inlineStr">
        <is>
          <t>Online Store</t>
        </is>
      </c>
      <c r="F316" s="36" t="inlineStr">
        <is>
          <t>Returning</t>
        </is>
      </c>
      <c r="G316" s="36" t="inlineStr">
        <is>
          <t>Travel</t>
        </is>
      </c>
      <c r="H316" s="36" t="inlineStr">
        <is>
          <t>Insulated Bottle</t>
        </is>
      </c>
      <c r="I316" s="36" t="n">
        <v>3</v>
      </c>
      <c r="J316" s="39" t="n">
        <v>35.89</v>
      </c>
      <c r="K316" s="45" t="n">
        <v>0</v>
      </c>
      <c r="L316" s="39" t="n">
        <v>13.25</v>
      </c>
      <c r="M316" s="39">
        <f>I316*J316*(1-K316)</f>
        <v/>
      </c>
      <c r="N316" s="39">
        <f>I316*L316</f>
        <v/>
      </c>
      <c r="O316" s="39">
        <f>M316-N316</f>
        <v/>
      </c>
      <c r="P316" s="38">
        <f>IF(M316=0,0,O316/M316)</f>
        <v/>
      </c>
      <c r="Q316" s="36">
        <f>YEAR(B316)</f>
        <v/>
      </c>
      <c r="R316" s="36">
        <f>"Q"&amp;ROUNDUP(MONTH(B316)/3,0)</f>
        <v/>
      </c>
      <c r="S316" s="36">
        <f>MONTH(B316)</f>
        <v/>
      </c>
      <c r="T316" s="36">
        <f>TEXT(B316,"mmm")</f>
        <v/>
      </c>
      <c r="U316" s="36">
        <f>IF(AND(OR(sel_Region="All",C316=sel_Region),OR(sel_Country="All",D316=sel_Country),OR(sel_Channel="All",E316=sel_Channel),OR(sel_Customer="All",F316=sel_Customer),OR(sel_Category="All",G316=sel_Category),OR(sel_Product="All",H316=sel_Product),AND(S316&gt;=m_From,S316&lt;=m_To)),1,0)</f>
        <v/>
      </c>
      <c r="V316" s="36">
        <f>IF(AND(OR(sel_Region="All",C316=sel_Region),OR(sel_Channel="All",E316=sel_Channel),OR(sel_Customer="All",F316=sel_Customer),OR(sel_Category="All",G316=sel_Category),OR(sel_Product="All",H316=sel_Product),AND(S316&gt;=m_From,S316&lt;=m_To)),1,0)</f>
        <v/>
      </c>
      <c r="W316" s="36">
        <f>IF(AND(OR(sel_Region="All",C316=sel_Region),OR(sel_Country="All",D316=sel_Country),OR(sel_Customer="All",F316=sel_Customer),OR(sel_Category="All",G316=sel_Category),OR(sel_Product="All",H316=sel_Product),AND(S316&gt;=m_From,S316&lt;=m_To)),1,0)</f>
        <v/>
      </c>
      <c r="X316" s="36">
        <f>IF(AND(OR(sel_Region="All",C316=sel_Region),OR(sel_Country="All",D316=sel_Country),OR(sel_Channel="All",E316=sel_Channel),OR(sel_Category="All",G316=sel_Category),OR(sel_Product="All",H316=sel_Product),AND(S316&gt;=m_From,S316&lt;=m_To)),1,0)</f>
        <v/>
      </c>
      <c r="Y316" s="36">
        <f>IF(AND(OR(sel_Region="All",C316=sel_Region),OR(sel_Country="All",D316=sel_Country),OR(sel_Channel="All",E316=sel_Channel),OR(sel_Customer="All",F316=sel_Customer),OR(sel_Product="All",H316=sel_Product),AND(S316&gt;=m_From,S316&lt;=m_To)),1,0)</f>
        <v/>
      </c>
      <c r="Z316" s="36">
        <f>IF(AND(OR(sel_Region="All",C316=sel_Region),OR(sel_Country="All",D316=sel_Country),OR(sel_Channel="All",E316=sel_Channel),OR(sel_Customer="All",F316=sel_Customer),OR(sel_Category="All",G316=sel_Category),AND(S316&gt;=m_From,S316&lt;=m_To)),1,0)</f>
        <v/>
      </c>
      <c r="AA316" s="36">
        <f>IF(AND(OR(sel_Region="All",C316=sel_Region),OR(sel_Country="All",D316=sel_Country),OR(sel_Channel="All",E316=sel_Channel),OR(sel_Customer="All",F316=sel_Customer),OR(sel_Category="All",G316=sel_Category),OR(sel_Product="All",H316=sel_Product)),1,0)</f>
        <v/>
      </c>
    </row>
    <row r="317">
      <c r="A317" s="36" t="inlineStr">
        <is>
          <t>03056</t>
        </is>
      </c>
      <c r="B317" s="44" t="n">
        <v>46087</v>
      </c>
      <c r="C317" s="36" t="inlineStr">
        <is>
          <t>Central Europe</t>
        </is>
      </c>
      <c r="D317" s="36" t="inlineStr">
        <is>
          <t>Germany</t>
        </is>
      </c>
      <c r="E317" s="36" t="inlineStr">
        <is>
          <t>Marketplace</t>
        </is>
      </c>
      <c r="F317" s="36" t="inlineStr">
        <is>
          <t>Returning</t>
        </is>
      </c>
      <c r="G317" s="36" t="inlineStr">
        <is>
          <t>Travel</t>
        </is>
      </c>
      <c r="H317" s="36" t="inlineStr">
        <is>
          <t>Travel Backpack 35L</t>
        </is>
      </c>
      <c r="I317" s="36" t="n">
        <v>3</v>
      </c>
      <c r="J317" s="39" t="n">
        <v>163.45</v>
      </c>
      <c r="K317" s="45" t="n">
        <v>0</v>
      </c>
      <c r="L317" s="39" t="n">
        <v>86.88</v>
      </c>
      <c r="M317" s="39">
        <f>I317*J317*(1-K317)</f>
        <v/>
      </c>
      <c r="N317" s="39">
        <f>I317*L317</f>
        <v/>
      </c>
      <c r="O317" s="39">
        <f>M317-N317</f>
        <v/>
      </c>
      <c r="P317" s="38">
        <f>IF(M317=0,0,O317/M317)</f>
        <v/>
      </c>
      <c r="Q317" s="36">
        <f>YEAR(B317)</f>
        <v/>
      </c>
      <c r="R317" s="36">
        <f>"Q"&amp;ROUNDUP(MONTH(B317)/3,0)</f>
        <v/>
      </c>
      <c r="S317" s="36">
        <f>MONTH(B317)</f>
        <v/>
      </c>
      <c r="T317" s="36">
        <f>TEXT(B317,"mmm")</f>
        <v/>
      </c>
      <c r="U317" s="36">
        <f>IF(AND(OR(sel_Region="All",C317=sel_Region),OR(sel_Country="All",D317=sel_Country),OR(sel_Channel="All",E317=sel_Channel),OR(sel_Customer="All",F317=sel_Customer),OR(sel_Category="All",G317=sel_Category),OR(sel_Product="All",H317=sel_Product),AND(S317&gt;=m_From,S317&lt;=m_To)),1,0)</f>
        <v/>
      </c>
      <c r="V317" s="36">
        <f>IF(AND(OR(sel_Region="All",C317=sel_Region),OR(sel_Channel="All",E317=sel_Channel),OR(sel_Customer="All",F317=sel_Customer),OR(sel_Category="All",G317=sel_Category),OR(sel_Product="All",H317=sel_Product),AND(S317&gt;=m_From,S317&lt;=m_To)),1,0)</f>
        <v/>
      </c>
      <c r="W317" s="36">
        <f>IF(AND(OR(sel_Region="All",C317=sel_Region),OR(sel_Country="All",D317=sel_Country),OR(sel_Customer="All",F317=sel_Customer),OR(sel_Category="All",G317=sel_Category),OR(sel_Product="All",H317=sel_Product),AND(S317&gt;=m_From,S317&lt;=m_To)),1,0)</f>
        <v/>
      </c>
      <c r="X317" s="36">
        <f>IF(AND(OR(sel_Region="All",C317=sel_Region),OR(sel_Country="All",D317=sel_Country),OR(sel_Channel="All",E317=sel_Channel),OR(sel_Category="All",G317=sel_Category),OR(sel_Product="All",H317=sel_Product),AND(S317&gt;=m_From,S317&lt;=m_To)),1,0)</f>
        <v/>
      </c>
      <c r="Y317" s="36">
        <f>IF(AND(OR(sel_Region="All",C317=sel_Region),OR(sel_Country="All",D317=sel_Country),OR(sel_Channel="All",E317=sel_Channel),OR(sel_Customer="All",F317=sel_Customer),OR(sel_Product="All",H317=sel_Product),AND(S317&gt;=m_From,S317&lt;=m_To)),1,0)</f>
        <v/>
      </c>
      <c r="Z317" s="36">
        <f>IF(AND(OR(sel_Region="All",C317=sel_Region),OR(sel_Country="All",D317=sel_Country),OR(sel_Channel="All",E317=sel_Channel),OR(sel_Customer="All",F317=sel_Customer),OR(sel_Category="All",G317=sel_Category),AND(S317&gt;=m_From,S317&lt;=m_To)),1,0)</f>
        <v/>
      </c>
      <c r="AA317" s="36">
        <f>IF(AND(OR(sel_Region="All",C317=sel_Region),OR(sel_Country="All",D317=sel_Country),OR(sel_Channel="All",E317=sel_Channel),OR(sel_Customer="All",F317=sel_Customer),OR(sel_Category="All",G317=sel_Category),OR(sel_Product="All",H317=sel_Product)),1,0)</f>
        <v/>
      </c>
    </row>
    <row r="318">
      <c r="A318" s="36" t="inlineStr">
        <is>
          <t>00471</t>
        </is>
      </c>
      <c r="B318" s="44" t="n">
        <v>46088</v>
      </c>
      <c r="C318" s="36" t="inlineStr">
        <is>
          <t>Central Europe</t>
        </is>
      </c>
      <c r="D318" s="36" t="inlineStr">
        <is>
          <t>Czechia</t>
        </is>
      </c>
      <c r="E318" s="36" t="inlineStr">
        <is>
          <t>Retail Partners</t>
        </is>
      </c>
      <c r="F318" s="36" t="inlineStr">
        <is>
          <t>Returning</t>
        </is>
      </c>
      <c r="G318" s="36" t="inlineStr">
        <is>
          <t>Fitness</t>
        </is>
      </c>
      <c r="H318" s="36" t="inlineStr">
        <is>
          <t>Resistance Band Set</t>
        </is>
      </c>
      <c r="I318" s="36" t="n">
        <v>2</v>
      </c>
      <c r="J318" s="39" t="n">
        <v>40.02</v>
      </c>
      <c r="K318" s="45" t="n">
        <v>0</v>
      </c>
      <c r="L318" s="39" t="n">
        <v>14.38</v>
      </c>
      <c r="M318" s="39">
        <f>I318*J318*(1-K318)</f>
        <v/>
      </c>
      <c r="N318" s="39">
        <f>I318*L318</f>
        <v/>
      </c>
      <c r="O318" s="39">
        <f>M318-N318</f>
        <v/>
      </c>
      <c r="P318" s="38">
        <f>IF(M318=0,0,O318/M318)</f>
        <v/>
      </c>
      <c r="Q318" s="36">
        <f>YEAR(B318)</f>
        <v/>
      </c>
      <c r="R318" s="36">
        <f>"Q"&amp;ROUNDUP(MONTH(B318)/3,0)</f>
        <v/>
      </c>
      <c r="S318" s="36">
        <f>MONTH(B318)</f>
        <v/>
      </c>
      <c r="T318" s="36">
        <f>TEXT(B318,"mmm")</f>
        <v/>
      </c>
      <c r="U318" s="36">
        <f>IF(AND(OR(sel_Region="All",C318=sel_Region),OR(sel_Country="All",D318=sel_Country),OR(sel_Channel="All",E318=sel_Channel),OR(sel_Customer="All",F318=sel_Customer),OR(sel_Category="All",G318=sel_Category),OR(sel_Product="All",H318=sel_Product),AND(S318&gt;=m_From,S318&lt;=m_To)),1,0)</f>
        <v/>
      </c>
      <c r="V318" s="36">
        <f>IF(AND(OR(sel_Region="All",C318=sel_Region),OR(sel_Channel="All",E318=sel_Channel),OR(sel_Customer="All",F318=sel_Customer),OR(sel_Category="All",G318=sel_Category),OR(sel_Product="All",H318=sel_Product),AND(S318&gt;=m_From,S318&lt;=m_To)),1,0)</f>
        <v/>
      </c>
      <c r="W318" s="36">
        <f>IF(AND(OR(sel_Region="All",C318=sel_Region),OR(sel_Country="All",D318=sel_Country),OR(sel_Customer="All",F318=sel_Customer),OR(sel_Category="All",G318=sel_Category),OR(sel_Product="All",H318=sel_Product),AND(S318&gt;=m_From,S318&lt;=m_To)),1,0)</f>
        <v/>
      </c>
      <c r="X318" s="36">
        <f>IF(AND(OR(sel_Region="All",C318=sel_Region),OR(sel_Country="All",D318=sel_Country),OR(sel_Channel="All",E318=sel_Channel),OR(sel_Category="All",G318=sel_Category),OR(sel_Product="All",H318=sel_Product),AND(S318&gt;=m_From,S318&lt;=m_To)),1,0)</f>
        <v/>
      </c>
      <c r="Y318" s="36">
        <f>IF(AND(OR(sel_Region="All",C318=sel_Region),OR(sel_Country="All",D318=sel_Country),OR(sel_Channel="All",E318=sel_Channel),OR(sel_Customer="All",F318=sel_Customer),OR(sel_Product="All",H318=sel_Product),AND(S318&gt;=m_From,S318&lt;=m_To)),1,0)</f>
        <v/>
      </c>
      <c r="Z318" s="36">
        <f>IF(AND(OR(sel_Region="All",C318=sel_Region),OR(sel_Country="All",D318=sel_Country),OR(sel_Channel="All",E318=sel_Channel),OR(sel_Customer="All",F318=sel_Customer),OR(sel_Category="All",G318=sel_Category),AND(S318&gt;=m_From,S318&lt;=m_To)),1,0)</f>
        <v/>
      </c>
      <c r="AA318" s="36">
        <f>IF(AND(OR(sel_Region="All",C318=sel_Region),OR(sel_Country="All",D318=sel_Country),OR(sel_Channel="All",E318=sel_Channel),OR(sel_Customer="All",F318=sel_Customer),OR(sel_Category="All",G318=sel_Category),OR(sel_Product="All",H318=sel_Product)),1,0)</f>
        <v/>
      </c>
    </row>
    <row r="319">
      <c r="A319" s="36" t="inlineStr">
        <is>
          <t>00842</t>
        </is>
      </c>
      <c r="B319" s="44" t="n">
        <v>46088</v>
      </c>
      <c r="C319" s="36" t="inlineStr">
        <is>
          <t>Southern Europe</t>
        </is>
      </c>
      <c r="D319" s="36" t="inlineStr">
        <is>
          <t>Italy</t>
        </is>
      </c>
      <c r="E319" s="36" t="inlineStr">
        <is>
          <t>Online Store</t>
        </is>
      </c>
      <c r="F319" s="36" t="inlineStr">
        <is>
          <t>New</t>
        </is>
      </c>
      <c r="G319" s="36" t="inlineStr">
        <is>
          <t>Fitness</t>
        </is>
      </c>
      <c r="H319" s="36" t="inlineStr">
        <is>
          <t>Resistance Band Set</t>
        </is>
      </c>
      <c r="I319" s="36" t="n">
        <v>1</v>
      </c>
      <c r="J319" s="39" t="n">
        <v>40.01</v>
      </c>
      <c r="K319" s="45" t="n">
        <v>0.05</v>
      </c>
      <c r="L319" s="39" t="n">
        <v>14.35</v>
      </c>
      <c r="M319" s="39">
        <f>I319*J319*(1-K319)</f>
        <v/>
      </c>
      <c r="N319" s="39">
        <f>I319*L319</f>
        <v/>
      </c>
      <c r="O319" s="39">
        <f>M319-N319</f>
        <v/>
      </c>
      <c r="P319" s="38">
        <f>IF(M319=0,0,O319/M319)</f>
        <v/>
      </c>
      <c r="Q319" s="36">
        <f>YEAR(B319)</f>
        <v/>
      </c>
      <c r="R319" s="36">
        <f>"Q"&amp;ROUNDUP(MONTH(B319)/3,0)</f>
        <v/>
      </c>
      <c r="S319" s="36">
        <f>MONTH(B319)</f>
        <v/>
      </c>
      <c r="T319" s="36">
        <f>TEXT(B319,"mmm")</f>
        <v/>
      </c>
      <c r="U319" s="36">
        <f>IF(AND(OR(sel_Region="All",C319=sel_Region),OR(sel_Country="All",D319=sel_Country),OR(sel_Channel="All",E319=sel_Channel),OR(sel_Customer="All",F319=sel_Customer),OR(sel_Category="All",G319=sel_Category),OR(sel_Product="All",H319=sel_Product),AND(S319&gt;=m_From,S319&lt;=m_To)),1,0)</f>
        <v/>
      </c>
      <c r="V319" s="36">
        <f>IF(AND(OR(sel_Region="All",C319=sel_Region),OR(sel_Channel="All",E319=sel_Channel),OR(sel_Customer="All",F319=sel_Customer),OR(sel_Category="All",G319=sel_Category),OR(sel_Product="All",H319=sel_Product),AND(S319&gt;=m_From,S319&lt;=m_To)),1,0)</f>
        <v/>
      </c>
      <c r="W319" s="36">
        <f>IF(AND(OR(sel_Region="All",C319=sel_Region),OR(sel_Country="All",D319=sel_Country),OR(sel_Customer="All",F319=sel_Customer),OR(sel_Category="All",G319=sel_Category),OR(sel_Product="All",H319=sel_Product),AND(S319&gt;=m_From,S319&lt;=m_To)),1,0)</f>
        <v/>
      </c>
      <c r="X319" s="36">
        <f>IF(AND(OR(sel_Region="All",C319=sel_Region),OR(sel_Country="All",D319=sel_Country),OR(sel_Channel="All",E319=sel_Channel),OR(sel_Category="All",G319=sel_Category),OR(sel_Product="All",H319=sel_Product),AND(S319&gt;=m_From,S319&lt;=m_To)),1,0)</f>
        <v/>
      </c>
      <c r="Y319" s="36">
        <f>IF(AND(OR(sel_Region="All",C319=sel_Region),OR(sel_Country="All",D319=sel_Country),OR(sel_Channel="All",E319=sel_Channel),OR(sel_Customer="All",F319=sel_Customer),OR(sel_Product="All",H319=sel_Product),AND(S319&gt;=m_From,S319&lt;=m_To)),1,0)</f>
        <v/>
      </c>
      <c r="Z319" s="36">
        <f>IF(AND(OR(sel_Region="All",C319=sel_Region),OR(sel_Country="All",D319=sel_Country),OR(sel_Channel="All",E319=sel_Channel),OR(sel_Customer="All",F319=sel_Customer),OR(sel_Category="All",G319=sel_Category),AND(S319&gt;=m_From,S319&lt;=m_To)),1,0)</f>
        <v/>
      </c>
      <c r="AA319" s="36">
        <f>IF(AND(OR(sel_Region="All",C319=sel_Region),OR(sel_Country="All",D319=sel_Country),OR(sel_Channel="All",E319=sel_Channel),OR(sel_Customer="All",F319=sel_Customer),OR(sel_Category="All",G319=sel_Category),OR(sel_Product="All",H319=sel_Product)),1,0)</f>
        <v/>
      </c>
    </row>
    <row r="320">
      <c r="A320" s="36" t="inlineStr">
        <is>
          <t>03386</t>
        </is>
      </c>
      <c r="B320" s="44" t="n">
        <v>46088</v>
      </c>
      <c r="C320" s="36" t="inlineStr">
        <is>
          <t>Central Europe</t>
        </is>
      </c>
      <c r="D320" s="36" t="inlineStr">
        <is>
          <t>Germany</t>
        </is>
      </c>
      <c r="E320" s="36" t="inlineStr">
        <is>
          <t>Online Store</t>
        </is>
      </c>
      <c r="F320" s="36" t="inlineStr">
        <is>
          <t>Returning</t>
        </is>
      </c>
      <c r="G320" s="36" t="inlineStr">
        <is>
          <t>Hiking</t>
        </is>
      </c>
      <c r="H320" s="36" t="inlineStr">
        <is>
          <t>Summit Backpack 45L</t>
        </is>
      </c>
      <c r="I320" s="36" t="n">
        <v>3</v>
      </c>
      <c r="J320" s="39" t="n">
        <v>155.16</v>
      </c>
      <c r="K320" s="45" t="n">
        <v>0</v>
      </c>
      <c r="L320" s="39" t="n">
        <v>76.84999999999999</v>
      </c>
      <c r="M320" s="39">
        <f>I320*J320*(1-K320)</f>
        <v/>
      </c>
      <c r="N320" s="39">
        <f>I320*L320</f>
        <v/>
      </c>
      <c r="O320" s="39">
        <f>M320-N320</f>
        <v/>
      </c>
      <c r="P320" s="38">
        <f>IF(M320=0,0,O320/M320)</f>
        <v/>
      </c>
      <c r="Q320" s="36">
        <f>YEAR(B320)</f>
        <v/>
      </c>
      <c r="R320" s="36">
        <f>"Q"&amp;ROUNDUP(MONTH(B320)/3,0)</f>
        <v/>
      </c>
      <c r="S320" s="36">
        <f>MONTH(B320)</f>
        <v/>
      </c>
      <c r="T320" s="36">
        <f>TEXT(B320,"mmm")</f>
        <v/>
      </c>
      <c r="U320" s="36">
        <f>IF(AND(OR(sel_Region="All",C320=sel_Region),OR(sel_Country="All",D320=sel_Country),OR(sel_Channel="All",E320=sel_Channel),OR(sel_Customer="All",F320=sel_Customer),OR(sel_Category="All",G320=sel_Category),OR(sel_Product="All",H320=sel_Product),AND(S320&gt;=m_From,S320&lt;=m_To)),1,0)</f>
        <v/>
      </c>
      <c r="V320" s="36">
        <f>IF(AND(OR(sel_Region="All",C320=sel_Region),OR(sel_Channel="All",E320=sel_Channel),OR(sel_Customer="All",F320=sel_Customer),OR(sel_Category="All",G320=sel_Category),OR(sel_Product="All",H320=sel_Product),AND(S320&gt;=m_From,S320&lt;=m_To)),1,0)</f>
        <v/>
      </c>
      <c r="W320" s="36">
        <f>IF(AND(OR(sel_Region="All",C320=sel_Region),OR(sel_Country="All",D320=sel_Country),OR(sel_Customer="All",F320=sel_Customer),OR(sel_Category="All",G320=sel_Category),OR(sel_Product="All",H320=sel_Product),AND(S320&gt;=m_From,S320&lt;=m_To)),1,0)</f>
        <v/>
      </c>
      <c r="X320" s="36">
        <f>IF(AND(OR(sel_Region="All",C320=sel_Region),OR(sel_Country="All",D320=sel_Country),OR(sel_Channel="All",E320=sel_Channel),OR(sel_Category="All",G320=sel_Category),OR(sel_Product="All",H320=sel_Product),AND(S320&gt;=m_From,S320&lt;=m_To)),1,0)</f>
        <v/>
      </c>
      <c r="Y320" s="36">
        <f>IF(AND(OR(sel_Region="All",C320=sel_Region),OR(sel_Country="All",D320=sel_Country),OR(sel_Channel="All",E320=sel_Channel),OR(sel_Customer="All",F320=sel_Customer),OR(sel_Product="All",H320=sel_Product),AND(S320&gt;=m_From,S320&lt;=m_To)),1,0)</f>
        <v/>
      </c>
      <c r="Z320" s="36">
        <f>IF(AND(OR(sel_Region="All",C320=sel_Region),OR(sel_Country="All",D320=sel_Country),OR(sel_Channel="All",E320=sel_Channel),OR(sel_Customer="All",F320=sel_Customer),OR(sel_Category="All",G320=sel_Category),AND(S320&gt;=m_From,S320&lt;=m_To)),1,0)</f>
        <v/>
      </c>
      <c r="AA320" s="36">
        <f>IF(AND(OR(sel_Region="All",C320=sel_Region),OR(sel_Country="All",D320=sel_Country),OR(sel_Channel="All",E320=sel_Channel),OR(sel_Customer="All",F320=sel_Customer),OR(sel_Category="All",G320=sel_Category),OR(sel_Product="All",H320=sel_Product)),1,0)</f>
        <v/>
      </c>
    </row>
    <row r="321">
      <c r="A321" s="36" t="inlineStr">
        <is>
          <t>04505</t>
        </is>
      </c>
      <c r="B321" s="44" t="n">
        <v>46088</v>
      </c>
      <c r="C321" s="36" t="inlineStr">
        <is>
          <t>Central Europe</t>
        </is>
      </c>
      <c r="D321" s="36" t="inlineStr">
        <is>
          <t>Poland</t>
        </is>
      </c>
      <c r="E321" s="36" t="inlineStr">
        <is>
          <t>Marketplace</t>
        </is>
      </c>
      <c r="F321" s="36" t="inlineStr">
        <is>
          <t>New</t>
        </is>
      </c>
      <c r="G321" s="36" t="inlineStr">
        <is>
          <t>Fitness</t>
        </is>
      </c>
      <c r="H321" s="36" t="inlineStr">
        <is>
          <t>Resistance Band Set</t>
        </is>
      </c>
      <c r="I321" s="36" t="n">
        <v>1</v>
      </c>
      <c r="J321" s="39" t="n">
        <v>39.96</v>
      </c>
      <c r="K321" s="45" t="n">
        <v>0</v>
      </c>
      <c r="L321" s="39" t="n">
        <v>14.5</v>
      </c>
      <c r="M321" s="39">
        <f>I321*J321*(1-K321)</f>
        <v/>
      </c>
      <c r="N321" s="39">
        <f>I321*L321</f>
        <v/>
      </c>
      <c r="O321" s="39">
        <f>M321-N321</f>
        <v/>
      </c>
      <c r="P321" s="38">
        <f>IF(M321=0,0,O321/M321)</f>
        <v/>
      </c>
      <c r="Q321" s="36">
        <f>YEAR(B321)</f>
        <v/>
      </c>
      <c r="R321" s="36">
        <f>"Q"&amp;ROUNDUP(MONTH(B321)/3,0)</f>
        <v/>
      </c>
      <c r="S321" s="36">
        <f>MONTH(B321)</f>
        <v/>
      </c>
      <c r="T321" s="36">
        <f>TEXT(B321,"mmm")</f>
        <v/>
      </c>
      <c r="U321" s="36">
        <f>IF(AND(OR(sel_Region="All",C321=sel_Region),OR(sel_Country="All",D321=sel_Country),OR(sel_Channel="All",E321=sel_Channel),OR(sel_Customer="All",F321=sel_Customer),OR(sel_Category="All",G321=sel_Category),OR(sel_Product="All",H321=sel_Product),AND(S321&gt;=m_From,S321&lt;=m_To)),1,0)</f>
        <v/>
      </c>
      <c r="V321" s="36">
        <f>IF(AND(OR(sel_Region="All",C321=sel_Region),OR(sel_Channel="All",E321=sel_Channel),OR(sel_Customer="All",F321=sel_Customer),OR(sel_Category="All",G321=sel_Category),OR(sel_Product="All",H321=sel_Product),AND(S321&gt;=m_From,S321&lt;=m_To)),1,0)</f>
        <v/>
      </c>
      <c r="W321" s="36">
        <f>IF(AND(OR(sel_Region="All",C321=sel_Region),OR(sel_Country="All",D321=sel_Country),OR(sel_Customer="All",F321=sel_Customer),OR(sel_Category="All",G321=sel_Category),OR(sel_Product="All",H321=sel_Product),AND(S321&gt;=m_From,S321&lt;=m_To)),1,0)</f>
        <v/>
      </c>
      <c r="X321" s="36">
        <f>IF(AND(OR(sel_Region="All",C321=sel_Region),OR(sel_Country="All",D321=sel_Country),OR(sel_Channel="All",E321=sel_Channel),OR(sel_Category="All",G321=sel_Category),OR(sel_Product="All",H321=sel_Product),AND(S321&gt;=m_From,S321&lt;=m_To)),1,0)</f>
        <v/>
      </c>
      <c r="Y321" s="36">
        <f>IF(AND(OR(sel_Region="All",C321=sel_Region),OR(sel_Country="All",D321=sel_Country),OR(sel_Channel="All",E321=sel_Channel),OR(sel_Customer="All",F321=sel_Customer),OR(sel_Product="All",H321=sel_Product),AND(S321&gt;=m_From,S321&lt;=m_To)),1,0)</f>
        <v/>
      </c>
      <c r="Z321" s="36">
        <f>IF(AND(OR(sel_Region="All",C321=sel_Region),OR(sel_Country="All",D321=sel_Country),OR(sel_Channel="All",E321=sel_Channel),OR(sel_Customer="All",F321=sel_Customer),OR(sel_Category="All",G321=sel_Category),AND(S321&gt;=m_From,S321&lt;=m_To)),1,0)</f>
        <v/>
      </c>
      <c r="AA321" s="36">
        <f>IF(AND(OR(sel_Region="All",C321=sel_Region),OR(sel_Country="All",D321=sel_Country),OR(sel_Channel="All",E321=sel_Channel),OR(sel_Customer="All",F321=sel_Customer),OR(sel_Category="All",G321=sel_Category),OR(sel_Product="All",H321=sel_Product)),1,0)</f>
        <v/>
      </c>
    </row>
    <row r="322">
      <c r="A322" s="36" t="inlineStr">
        <is>
          <t>01286</t>
        </is>
      </c>
      <c r="B322" s="44" t="n">
        <v>46089</v>
      </c>
      <c r="C322" s="36" t="inlineStr">
        <is>
          <t>Central Europe</t>
        </is>
      </c>
      <c r="D322" s="36" t="inlineStr">
        <is>
          <t>Czechia</t>
        </is>
      </c>
      <c r="E322" s="36" t="inlineStr">
        <is>
          <t>Online Store</t>
        </is>
      </c>
      <c r="F322" s="36" t="inlineStr">
        <is>
          <t>New</t>
        </is>
      </c>
      <c r="G322" s="36" t="inlineStr">
        <is>
          <t>Hiking</t>
        </is>
      </c>
      <c r="H322" s="36" t="inlineStr">
        <is>
          <t>Trail Boots</t>
        </is>
      </c>
      <c r="I322" s="36" t="n">
        <v>1</v>
      </c>
      <c r="J322" s="39" t="n">
        <v>146.6</v>
      </c>
      <c r="K322" s="45" t="n">
        <v>0</v>
      </c>
      <c r="L322" s="39" t="n">
        <v>78.92</v>
      </c>
      <c r="M322" s="39">
        <f>I322*J322*(1-K322)</f>
        <v/>
      </c>
      <c r="N322" s="39">
        <f>I322*L322</f>
        <v/>
      </c>
      <c r="O322" s="39">
        <f>M322-N322</f>
        <v/>
      </c>
      <c r="P322" s="38">
        <f>IF(M322=0,0,O322/M322)</f>
        <v/>
      </c>
      <c r="Q322" s="36">
        <f>YEAR(B322)</f>
        <v/>
      </c>
      <c r="R322" s="36">
        <f>"Q"&amp;ROUNDUP(MONTH(B322)/3,0)</f>
        <v/>
      </c>
      <c r="S322" s="36">
        <f>MONTH(B322)</f>
        <v/>
      </c>
      <c r="T322" s="36">
        <f>TEXT(B322,"mmm")</f>
        <v/>
      </c>
      <c r="U322" s="36">
        <f>IF(AND(OR(sel_Region="All",C322=sel_Region),OR(sel_Country="All",D322=sel_Country),OR(sel_Channel="All",E322=sel_Channel),OR(sel_Customer="All",F322=sel_Customer),OR(sel_Category="All",G322=sel_Category),OR(sel_Product="All",H322=sel_Product),AND(S322&gt;=m_From,S322&lt;=m_To)),1,0)</f>
        <v/>
      </c>
      <c r="V322" s="36">
        <f>IF(AND(OR(sel_Region="All",C322=sel_Region),OR(sel_Channel="All",E322=sel_Channel),OR(sel_Customer="All",F322=sel_Customer),OR(sel_Category="All",G322=sel_Category),OR(sel_Product="All",H322=sel_Product),AND(S322&gt;=m_From,S322&lt;=m_To)),1,0)</f>
        <v/>
      </c>
      <c r="W322" s="36">
        <f>IF(AND(OR(sel_Region="All",C322=sel_Region),OR(sel_Country="All",D322=sel_Country),OR(sel_Customer="All",F322=sel_Customer),OR(sel_Category="All",G322=sel_Category),OR(sel_Product="All",H322=sel_Product),AND(S322&gt;=m_From,S322&lt;=m_To)),1,0)</f>
        <v/>
      </c>
      <c r="X322" s="36">
        <f>IF(AND(OR(sel_Region="All",C322=sel_Region),OR(sel_Country="All",D322=sel_Country),OR(sel_Channel="All",E322=sel_Channel),OR(sel_Category="All",G322=sel_Category),OR(sel_Product="All",H322=sel_Product),AND(S322&gt;=m_From,S322&lt;=m_To)),1,0)</f>
        <v/>
      </c>
      <c r="Y322" s="36">
        <f>IF(AND(OR(sel_Region="All",C322=sel_Region),OR(sel_Country="All",D322=sel_Country),OR(sel_Channel="All",E322=sel_Channel),OR(sel_Customer="All",F322=sel_Customer),OR(sel_Product="All",H322=sel_Product),AND(S322&gt;=m_From,S322&lt;=m_To)),1,0)</f>
        <v/>
      </c>
      <c r="Z322" s="36">
        <f>IF(AND(OR(sel_Region="All",C322=sel_Region),OR(sel_Country="All",D322=sel_Country),OR(sel_Channel="All",E322=sel_Channel),OR(sel_Customer="All",F322=sel_Customer),OR(sel_Category="All",G322=sel_Category),AND(S322&gt;=m_From,S322&lt;=m_To)),1,0)</f>
        <v/>
      </c>
      <c r="AA322" s="36">
        <f>IF(AND(OR(sel_Region="All",C322=sel_Region),OR(sel_Country="All",D322=sel_Country),OR(sel_Channel="All",E322=sel_Channel),OR(sel_Customer="All",F322=sel_Customer),OR(sel_Category="All",G322=sel_Category),OR(sel_Product="All",H322=sel_Product)),1,0)</f>
        <v/>
      </c>
    </row>
    <row r="323">
      <c r="A323" s="36" t="inlineStr">
        <is>
          <t>02653</t>
        </is>
      </c>
      <c r="B323" s="44" t="n">
        <v>46089</v>
      </c>
      <c r="C323" s="36" t="inlineStr">
        <is>
          <t>Central Europe</t>
        </is>
      </c>
      <c r="D323" s="36" t="inlineStr">
        <is>
          <t>Poland</t>
        </is>
      </c>
      <c r="E323" s="36" t="inlineStr">
        <is>
          <t>Retail Partners</t>
        </is>
      </c>
      <c r="F323" s="36" t="inlineStr">
        <is>
          <t>Returning</t>
        </is>
      </c>
      <c r="G323" s="36" t="inlineStr">
        <is>
          <t>Hiking</t>
        </is>
      </c>
      <c r="H323" s="36" t="inlineStr">
        <is>
          <t>Hiking Daypack 20L</t>
        </is>
      </c>
      <c r="I323" s="36" t="n">
        <v>1</v>
      </c>
      <c r="J323" s="39" t="n">
        <v>94.38</v>
      </c>
      <c r="K323" s="45" t="n">
        <v>0</v>
      </c>
      <c r="L323" s="39" t="n">
        <v>44.78</v>
      </c>
      <c r="M323" s="39">
        <f>I323*J323*(1-K323)</f>
        <v/>
      </c>
      <c r="N323" s="39">
        <f>I323*L323</f>
        <v/>
      </c>
      <c r="O323" s="39">
        <f>M323-N323</f>
        <v/>
      </c>
      <c r="P323" s="38">
        <f>IF(M323=0,0,O323/M323)</f>
        <v/>
      </c>
      <c r="Q323" s="36">
        <f>YEAR(B323)</f>
        <v/>
      </c>
      <c r="R323" s="36">
        <f>"Q"&amp;ROUNDUP(MONTH(B323)/3,0)</f>
        <v/>
      </c>
      <c r="S323" s="36">
        <f>MONTH(B323)</f>
        <v/>
      </c>
      <c r="T323" s="36">
        <f>TEXT(B323,"mmm")</f>
        <v/>
      </c>
      <c r="U323" s="36">
        <f>IF(AND(OR(sel_Region="All",C323=sel_Region),OR(sel_Country="All",D323=sel_Country),OR(sel_Channel="All",E323=sel_Channel),OR(sel_Customer="All",F323=sel_Customer),OR(sel_Category="All",G323=sel_Category),OR(sel_Product="All",H323=sel_Product),AND(S323&gt;=m_From,S323&lt;=m_To)),1,0)</f>
        <v/>
      </c>
      <c r="V323" s="36">
        <f>IF(AND(OR(sel_Region="All",C323=sel_Region),OR(sel_Channel="All",E323=sel_Channel),OR(sel_Customer="All",F323=sel_Customer),OR(sel_Category="All",G323=sel_Category),OR(sel_Product="All",H323=sel_Product),AND(S323&gt;=m_From,S323&lt;=m_To)),1,0)</f>
        <v/>
      </c>
      <c r="W323" s="36">
        <f>IF(AND(OR(sel_Region="All",C323=sel_Region),OR(sel_Country="All",D323=sel_Country),OR(sel_Customer="All",F323=sel_Customer),OR(sel_Category="All",G323=sel_Category),OR(sel_Product="All",H323=sel_Product),AND(S323&gt;=m_From,S323&lt;=m_To)),1,0)</f>
        <v/>
      </c>
      <c r="X323" s="36">
        <f>IF(AND(OR(sel_Region="All",C323=sel_Region),OR(sel_Country="All",D323=sel_Country),OR(sel_Channel="All",E323=sel_Channel),OR(sel_Category="All",G323=sel_Category),OR(sel_Product="All",H323=sel_Product),AND(S323&gt;=m_From,S323&lt;=m_To)),1,0)</f>
        <v/>
      </c>
      <c r="Y323" s="36">
        <f>IF(AND(OR(sel_Region="All",C323=sel_Region),OR(sel_Country="All",D323=sel_Country),OR(sel_Channel="All",E323=sel_Channel),OR(sel_Customer="All",F323=sel_Customer),OR(sel_Product="All",H323=sel_Product),AND(S323&gt;=m_From,S323&lt;=m_To)),1,0)</f>
        <v/>
      </c>
      <c r="Z323" s="36">
        <f>IF(AND(OR(sel_Region="All",C323=sel_Region),OR(sel_Country="All",D323=sel_Country),OR(sel_Channel="All",E323=sel_Channel),OR(sel_Customer="All",F323=sel_Customer),OR(sel_Category="All",G323=sel_Category),AND(S323&gt;=m_From,S323&lt;=m_To)),1,0)</f>
        <v/>
      </c>
      <c r="AA323" s="36">
        <f>IF(AND(OR(sel_Region="All",C323=sel_Region),OR(sel_Country="All",D323=sel_Country),OR(sel_Channel="All",E323=sel_Channel),OR(sel_Customer="All",F323=sel_Customer),OR(sel_Category="All",G323=sel_Category),OR(sel_Product="All",H323=sel_Product)),1,0)</f>
        <v/>
      </c>
    </row>
    <row r="324">
      <c r="A324" s="36" t="inlineStr">
        <is>
          <t>04465</t>
        </is>
      </c>
      <c r="B324" s="44" t="n">
        <v>46089</v>
      </c>
      <c r="C324" s="36" t="inlineStr">
        <is>
          <t>Central Europe</t>
        </is>
      </c>
      <c r="D324" s="36" t="inlineStr">
        <is>
          <t>Germany</t>
        </is>
      </c>
      <c r="E324" s="36" t="inlineStr">
        <is>
          <t>Retail Partners</t>
        </is>
      </c>
      <c r="F324" s="36" t="inlineStr">
        <is>
          <t>Returning</t>
        </is>
      </c>
      <c r="G324" s="36" t="inlineStr">
        <is>
          <t>Fitness</t>
        </is>
      </c>
      <c r="H324" s="36" t="inlineStr">
        <is>
          <t>Weighted Vest</t>
        </is>
      </c>
      <c r="I324" s="36" t="n">
        <v>1</v>
      </c>
      <c r="J324" s="39" t="n">
        <v>121.77</v>
      </c>
      <c r="K324" s="45" t="n">
        <v>0</v>
      </c>
      <c r="L324" s="39" t="n">
        <v>67.52</v>
      </c>
      <c r="M324" s="39">
        <f>I324*J324*(1-K324)</f>
        <v/>
      </c>
      <c r="N324" s="39">
        <f>I324*L324</f>
        <v/>
      </c>
      <c r="O324" s="39">
        <f>M324-N324</f>
        <v/>
      </c>
      <c r="P324" s="38">
        <f>IF(M324=0,0,O324/M324)</f>
        <v/>
      </c>
      <c r="Q324" s="36">
        <f>YEAR(B324)</f>
        <v/>
      </c>
      <c r="R324" s="36">
        <f>"Q"&amp;ROUNDUP(MONTH(B324)/3,0)</f>
        <v/>
      </c>
      <c r="S324" s="36">
        <f>MONTH(B324)</f>
        <v/>
      </c>
      <c r="T324" s="36">
        <f>TEXT(B324,"mmm")</f>
        <v/>
      </c>
      <c r="U324" s="36">
        <f>IF(AND(OR(sel_Region="All",C324=sel_Region),OR(sel_Country="All",D324=sel_Country),OR(sel_Channel="All",E324=sel_Channel),OR(sel_Customer="All",F324=sel_Customer),OR(sel_Category="All",G324=sel_Category),OR(sel_Product="All",H324=sel_Product),AND(S324&gt;=m_From,S324&lt;=m_To)),1,0)</f>
        <v/>
      </c>
      <c r="V324" s="36">
        <f>IF(AND(OR(sel_Region="All",C324=sel_Region),OR(sel_Channel="All",E324=sel_Channel),OR(sel_Customer="All",F324=sel_Customer),OR(sel_Category="All",G324=sel_Category),OR(sel_Product="All",H324=sel_Product),AND(S324&gt;=m_From,S324&lt;=m_To)),1,0)</f>
        <v/>
      </c>
      <c r="W324" s="36">
        <f>IF(AND(OR(sel_Region="All",C324=sel_Region),OR(sel_Country="All",D324=sel_Country),OR(sel_Customer="All",F324=sel_Customer),OR(sel_Category="All",G324=sel_Category),OR(sel_Product="All",H324=sel_Product),AND(S324&gt;=m_From,S324&lt;=m_To)),1,0)</f>
        <v/>
      </c>
      <c r="X324" s="36">
        <f>IF(AND(OR(sel_Region="All",C324=sel_Region),OR(sel_Country="All",D324=sel_Country),OR(sel_Channel="All",E324=sel_Channel),OR(sel_Category="All",G324=sel_Category),OR(sel_Product="All",H324=sel_Product),AND(S324&gt;=m_From,S324&lt;=m_To)),1,0)</f>
        <v/>
      </c>
      <c r="Y324" s="36">
        <f>IF(AND(OR(sel_Region="All",C324=sel_Region),OR(sel_Country="All",D324=sel_Country),OR(sel_Channel="All",E324=sel_Channel),OR(sel_Customer="All",F324=sel_Customer),OR(sel_Product="All",H324=sel_Product),AND(S324&gt;=m_From,S324&lt;=m_To)),1,0)</f>
        <v/>
      </c>
      <c r="Z324" s="36">
        <f>IF(AND(OR(sel_Region="All",C324=sel_Region),OR(sel_Country="All",D324=sel_Country),OR(sel_Channel="All",E324=sel_Channel),OR(sel_Customer="All",F324=sel_Customer),OR(sel_Category="All",G324=sel_Category),AND(S324&gt;=m_From,S324&lt;=m_To)),1,0)</f>
        <v/>
      </c>
      <c r="AA324" s="36">
        <f>IF(AND(OR(sel_Region="All",C324=sel_Region),OR(sel_Country="All",D324=sel_Country),OR(sel_Channel="All",E324=sel_Channel),OR(sel_Customer="All",F324=sel_Customer),OR(sel_Category="All",G324=sel_Category),OR(sel_Product="All",H324=sel_Product)),1,0)</f>
        <v/>
      </c>
    </row>
    <row r="325">
      <c r="A325" s="36" t="inlineStr">
        <is>
          <t>04576</t>
        </is>
      </c>
      <c r="B325" s="44" t="n">
        <v>46089</v>
      </c>
      <c r="C325" s="36" t="inlineStr">
        <is>
          <t>Western Europe</t>
        </is>
      </c>
      <c r="D325" s="36" t="inlineStr">
        <is>
          <t>United Kingdom</t>
        </is>
      </c>
      <c r="E325" s="36" t="inlineStr">
        <is>
          <t>Marketplace</t>
        </is>
      </c>
      <c r="F325" s="36" t="inlineStr">
        <is>
          <t>Returning</t>
        </is>
      </c>
      <c r="G325" s="36" t="inlineStr">
        <is>
          <t>Camping</t>
        </is>
      </c>
      <c r="H325" s="36" t="inlineStr">
        <is>
          <t>Compact Sleeping Bag</t>
        </is>
      </c>
      <c r="I325" s="36" t="n">
        <v>5</v>
      </c>
      <c r="J325" s="39" t="n">
        <v>123.29</v>
      </c>
      <c r="K325" s="45" t="n">
        <v>0</v>
      </c>
      <c r="L325" s="39" t="n">
        <v>61.34</v>
      </c>
      <c r="M325" s="39">
        <f>I325*J325*(1-K325)</f>
        <v/>
      </c>
      <c r="N325" s="39">
        <f>I325*L325</f>
        <v/>
      </c>
      <c r="O325" s="39">
        <f>M325-N325</f>
        <v/>
      </c>
      <c r="P325" s="38">
        <f>IF(M325=0,0,O325/M325)</f>
        <v/>
      </c>
      <c r="Q325" s="36">
        <f>YEAR(B325)</f>
        <v/>
      </c>
      <c r="R325" s="36">
        <f>"Q"&amp;ROUNDUP(MONTH(B325)/3,0)</f>
        <v/>
      </c>
      <c r="S325" s="36">
        <f>MONTH(B325)</f>
        <v/>
      </c>
      <c r="T325" s="36">
        <f>TEXT(B325,"mmm")</f>
        <v/>
      </c>
      <c r="U325" s="36">
        <f>IF(AND(OR(sel_Region="All",C325=sel_Region),OR(sel_Country="All",D325=sel_Country),OR(sel_Channel="All",E325=sel_Channel),OR(sel_Customer="All",F325=sel_Customer),OR(sel_Category="All",G325=sel_Category),OR(sel_Product="All",H325=sel_Product),AND(S325&gt;=m_From,S325&lt;=m_To)),1,0)</f>
        <v/>
      </c>
      <c r="V325" s="36">
        <f>IF(AND(OR(sel_Region="All",C325=sel_Region),OR(sel_Channel="All",E325=sel_Channel),OR(sel_Customer="All",F325=sel_Customer),OR(sel_Category="All",G325=sel_Category),OR(sel_Product="All",H325=sel_Product),AND(S325&gt;=m_From,S325&lt;=m_To)),1,0)</f>
        <v/>
      </c>
      <c r="W325" s="36">
        <f>IF(AND(OR(sel_Region="All",C325=sel_Region),OR(sel_Country="All",D325=sel_Country),OR(sel_Customer="All",F325=sel_Customer),OR(sel_Category="All",G325=sel_Category),OR(sel_Product="All",H325=sel_Product),AND(S325&gt;=m_From,S325&lt;=m_To)),1,0)</f>
        <v/>
      </c>
      <c r="X325" s="36">
        <f>IF(AND(OR(sel_Region="All",C325=sel_Region),OR(sel_Country="All",D325=sel_Country),OR(sel_Channel="All",E325=sel_Channel),OR(sel_Category="All",G325=sel_Category),OR(sel_Product="All",H325=sel_Product),AND(S325&gt;=m_From,S325&lt;=m_To)),1,0)</f>
        <v/>
      </c>
      <c r="Y325" s="36">
        <f>IF(AND(OR(sel_Region="All",C325=sel_Region),OR(sel_Country="All",D325=sel_Country),OR(sel_Channel="All",E325=sel_Channel),OR(sel_Customer="All",F325=sel_Customer),OR(sel_Product="All",H325=sel_Product),AND(S325&gt;=m_From,S325&lt;=m_To)),1,0)</f>
        <v/>
      </c>
      <c r="Z325" s="36">
        <f>IF(AND(OR(sel_Region="All",C325=sel_Region),OR(sel_Country="All",D325=sel_Country),OR(sel_Channel="All",E325=sel_Channel),OR(sel_Customer="All",F325=sel_Customer),OR(sel_Category="All",G325=sel_Category),AND(S325&gt;=m_From,S325&lt;=m_To)),1,0)</f>
        <v/>
      </c>
      <c r="AA325" s="36">
        <f>IF(AND(OR(sel_Region="All",C325=sel_Region),OR(sel_Country="All",D325=sel_Country),OR(sel_Channel="All",E325=sel_Channel),OR(sel_Customer="All",F325=sel_Customer),OR(sel_Category="All",G325=sel_Category),OR(sel_Product="All",H325=sel_Product)),1,0)</f>
        <v/>
      </c>
    </row>
    <row r="326">
      <c r="A326" s="36" t="inlineStr">
        <is>
          <t>00718</t>
        </is>
      </c>
      <c r="B326" s="44" t="n">
        <v>46090</v>
      </c>
      <c r="C326" s="36" t="inlineStr">
        <is>
          <t>Central Europe</t>
        </is>
      </c>
      <c r="D326" s="36" t="inlineStr">
        <is>
          <t>Germany</t>
        </is>
      </c>
      <c r="E326" s="36" t="inlineStr">
        <is>
          <t>Online Store</t>
        </is>
      </c>
      <c r="F326" s="36" t="inlineStr">
        <is>
          <t>New</t>
        </is>
      </c>
      <c r="G326" s="36" t="inlineStr">
        <is>
          <t>Fitness</t>
        </is>
      </c>
      <c r="H326" s="36" t="inlineStr">
        <is>
          <t>Resistance Band Set</t>
        </is>
      </c>
      <c r="I326" s="36" t="n">
        <v>1</v>
      </c>
      <c r="J326" s="39" t="n">
        <v>41.15</v>
      </c>
      <c r="K326" s="45" t="n">
        <v>0.05</v>
      </c>
      <c r="L326" s="39" t="n">
        <v>14.4</v>
      </c>
      <c r="M326" s="39">
        <f>I326*J326*(1-K326)</f>
        <v/>
      </c>
      <c r="N326" s="39">
        <f>I326*L326</f>
        <v/>
      </c>
      <c r="O326" s="39">
        <f>M326-N326</f>
        <v/>
      </c>
      <c r="P326" s="38">
        <f>IF(M326=0,0,O326/M326)</f>
        <v/>
      </c>
      <c r="Q326" s="36">
        <f>YEAR(B326)</f>
        <v/>
      </c>
      <c r="R326" s="36">
        <f>"Q"&amp;ROUNDUP(MONTH(B326)/3,0)</f>
        <v/>
      </c>
      <c r="S326" s="36">
        <f>MONTH(B326)</f>
        <v/>
      </c>
      <c r="T326" s="36">
        <f>TEXT(B326,"mmm")</f>
        <v/>
      </c>
      <c r="U326" s="36">
        <f>IF(AND(OR(sel_Region="All",C326=sel_Region),OR(sel_Country="All",D326=sel_Country),OR(sel_Channel="All",E326=sel_Channel),OR(sel_Customer="All",F326=sel_Customer),OR(sel_Category="All",G326=sel_Category),OR(sel_Product="All",H326=sel_Product),AND(S326&gt;=m_From,S326&lt;=m_To)),1,0)</f>
        <v/>
      </c>
      <c r="V326" s="36">
        <f>IF(AND(OR(sel_Region="All",C326=sel_Region),OR(sel_Channel="All",E326=sel_Channel),OR(sel_Customer="All",F326=sel_Customer),OR(sel_Category="All",G326=sel_Category),OR(sel_Product="All",H326=sel_Product),AND(S326&gt;=m_From,S326&lt;=m_To)),1,0)</f>
        <v/>
      </c>
      <c r="W326" s="36">
        <f>IF(AND(OR(sel_Region="All",C326=sel_Region),OR(sel_Country="All",D326=sel_Country),OR(sel_Customer="All",F326=sel_Customer),OR(sel_Category="All",G326=sel_Category),OR(sel_Product="All",H326=sel_Product),AND(S326&gt;=m_From,S326&lt;=m_To)),1,0)</f>
        <v/>
      </c>
      <c r="X326" s="36">
        <f>IF(AND(OR(sel_Region="All",C326=sel_Region),OR(sel_Country="All",D326=sel_Country),OR(sel_Channel="All",E326=sel_Channel),OR(sel_Category="All",G326=sel_Category),OR(sel_Product="All",H326=sel_Product),AND(S326&gt;=m_From,S326&lt;=m_To)),1,0)</f>
        <v/>
      </c>
      <c r="Y326" s="36">
        <f>IF(AND(OR(sel_Region="All",C326=sel_Region),OR(sel_Country="All",D326=sel_Country),OR(sel_Channel="All",E326=sel_Channel),OR(sel_Customer="All",F326=sel_Customer),OR(sel_Product="All",H326=sel_Product),AND(S326&gt;=m_From,S326&lt;=m_To)),1,0)</f>
        <v/>
      </c>
      <c r="Z326" s="36">
        <f>IF(AND(OR(sel_Region="All",C326=sel_Region),OR(sel_Country="All",D326=sel_Country),OR(sel_Channel="All",E326=sel_Channel),OR(sel_Customer="All",F326=sel_Customer),OR(sel_Category="All",G326=sel_Category),AND(S326&gt;=m_From,S326&lt;=m_To)),1,0)</f>
        <v/>
      </c>
      <c r="AA326" s="36">
        <f>IF(AND(OR(sel_Region="All",C326=sel_Region),OR(sel_Country="All",D326=sel_Country),OR(sel_Channel="All",E326=sel_Channel),OR(sel_Customer="All",F326=sel_Customer),OR(sel_Category="All",G326=sel_Category),OR(sel_Product="All",H326=sel_Product)),1,0)</f>
        <v/>
      </c>
    </row>
    <row r="327">
      <c r="A327" s="36" t="inlineStr">
        <is>
          <t>01527</t>
        </is>
      </c>
      <c r="B327" s="44" t="n">
        <v>46090</v>
      </c>
      <c r="C327" s="36" t="inlineStr">
        <is>
          <t>Western Europe</t>
        </is>
      </c>
      <c r="D327" s="36" t="inlineStr">
        <is>
          <t>Belgium</t>
        </is>
      </c>
      <c r="E327" s="36" t="inlineStr">
        <is>
          <t>Marketplace</t>
        </is>
      </c>
      <c r="F327" s="36" t="inlineStr">
        <is>
          <t>New</t>
        </is>
      </c>
      <c r="G327" s="36" t="inlineStr">
        <is>
          <t>Travel</t>
        </is>
      </c>
      <c r="H327" s="36" t="inlineStr">
        <is>
          <t>Insulated Bottle</t>
        </is>
      </c>
      <c r="I327" s="36" t="n">
        <v>4</v>
      </c>
      <c r="J327" s="39" t="n">
        <v>35.42</v>
      </c>
      <c r="K327" s="45" t="n">
        <v>0</v>
      </c>
      <c r="L327" s="39" t="n">
        <v>13.31</v>
      </c>
      <c r="M327" s="39">
        <f>I327*J327*(1-K327)</f>
        <v/>
      </c>
      <c r="N327" s="39">
        <f>I327*L327</f>
        <v/>
      </c>
      <c r="O327" s="39">
        <f>M327-N327</f>
        <v/>
      </c>
      <c r="P327" s="38">
        <f>IF(M327=0,0,O327/M327)</f>
        <v/>
      </c>
      <c r="Q327" s="36">
        <f>YEAR(B327)</f>
        <v/>
      </c>
      <c r="R327" s="36">
        <f>"Q"&amp;ROUNDUP(MONTH(B327)/3,0)</f>
        <v/>
      </c>
      <c r="S327" s="36">
        <f>MONTH(B327)</f>
        <v/>
      </c>
      <c r="T327" s="36">
        <f>TEXT(B327,"mmm")</f>
        <v/>
      </c>
      <c r="U327" s="36">
        <f>IF(AND(OR(sel_Region="All",C327=sel_Region),OR(sel_Country="All",D327=sel_Country),OR(sel_Channel="All",E327=sel_Channel),OR(sel_Customer="All",F327=sel_Customer),OR(sel_Category="All",G327=sel_Category),OR(sel_Product="All",H327=sel_Product),AND(S327&gt;=m_From,S327&lt;=m_To)),1,0)</f>
        <v/>
      </c>
      <c r="V327" s="36">
        <f>IF(AND(OR(sel_Region="All",C327=sel_Region),OR(sel_Channel="All",E327=sel_Channel),OR(sel_Customer="All",F327=sel_Customer),OR(sel_Category="All",G327=sel_Category),OR(sel_Product="All",H327=sel_Product),AND(S327&gt;=m_From,S327&lt;=m_To)),1,0)</f>
        <v/>
      </c>
      <c r="W327" s="36">
        <f>IF(AND(OR(sel_Region="All",C327=sel_Region),OR(sel_Country="All",D327=sel_Country),OR(sel_Customer="All",F327=sel_Customer),OR(sel_Category="All",G327=sel_Category),OR(sel_Product="All",H327=sel_Product),AND(S327&gt;=m_From,S327&lt;=m_To)),1,0)</f>
        <v/>
      </c>
      <c r="X327" s="36">
        <f>IF(AND(OR(sel_Region="All",C327=sel_Region),OR(sel_Country="All",D327=sel_Country),OR(sel_Channel="All",E327=sel_Channel),OR(sel_Category="All",G327=sel_Category),OR(sel_Product="All",H327=sel_Product),AND(S327&gt;=m_From,S327&lt;=m_To)),1,0)</f>
        <v/>
      </c>
      <c r="Y327" s="36">
        <f>IF(AND(OR(sel_Region="All",C327=sel_Region),OR(sel_Country="All",D327=sel_Country),OR(sel_Channel="All",E327=sel_Channel),OR(sel_Customer="All",F327=sel_Customer),OR(sel_Product="All",H327=sel_Product),AND(S327&gt;=m_From,S327&lt;=m_To)),1,0)</f>
        <v/>
      </c>
      <c r="Z327" s="36">
        <f>IF(AND(OR(sel_Region="All",C327=sel_Region),OR(sel_Country="All",D327=sel_Country),OR(sel_Channel="All",E327=sel_Channel),OR(sel_Customer="All",F327=sel_Customer),OR(sel_Category="All",G327=sel_Category),AND(S327&gt;=m_From,S327&lt;=m_To)),1,0)</f>
        <v/>
      </c>
      <c r="AA327" s="36">
        <f>IF(AND(OR(sel_Region="All",C327=sel_Region),OR(sel_Country="All",D327=sel_Country),OR(sel_Channel="All",E327=sel_Channel),OR(sel_Customer="All",F327=sel_Customer),OR(sel_Category="All",G327=sel_Category),OR(sel_Product="All",H327=sel_Product)),1,0)</f>
        <v/>
      </c>
    </row>
    <row r="328">
      <c r="A328" s="36" t="inlineStr">
        <is>
          <t>01797</t>
        </is>
      </c>
      <c r="B328" s="44" t="n">
        <v>46090</v>
      </c>
      <c r="C328" s="36" t="inlineStr">
        <is>
          <t>Central Europe</t>
        </is>
      </c>
      <c r="D328" s="36" t="inlineStr">
        <is>
          <t>Germany</t>
        </is>
      </c>
      <c r="E328" s="36" t="inlineStr">
        <is>
          <t>Online Store</t>
        </is>
      </c>
      <c r="F328" s="36" t="inlineStr">
        <is>
          <t>Business</t>
        </is>
      </c>
      <c r="G328" s="36" t="inlineStr">
        <is>
          <t>Cycling</t>
        </is>
      </c>
      <c r="H328" s="36" t="inlineStr">
        <is>
          <t>Cycling Pack 12L</t>
        </is>
      </c>
      <c r="I328" s="36" t="n">
        <v>1</v>
      </c>
      <c r="J328" s="39" t="n">
        <v>103.74</v>
      </c>
      <c r="K328" s="45" t="n">
        <v>0.1</v>
      </c>
      <c r="L328" s="39" t="n">
        <v>51.32</v>
      </c>
      <c r="M328" s="39">
        <f>I328*J328*(1-K328)</f>
        <v/>
      </c>
      <c r="N328" s="39">
        <f>I328*L328</f>
        <v/>
      </c>
      <c r="O328" s="39">
        <f>M328-N328</f>
        <v/>
      </c>
      <c r="P328" s="38">
        <f>IF(M328=0,0,O328/M328)</f>
        <v/>
      </c>
      <c r="Q328" s="36">
        <f>YEAR(B328)</f>
        <v/>
      </c>
      <c r="R328" s="36">
        <f>"Q"&amp;ROUNDUP(MONTH(B328)/3,0)</f>
        <v/>
      </c>
      <c r="S328" s="36">
        <f>MONTH(B328)</f>
        <v/>
      </c>
      <c r="T328" s="36">
        <f>TEXT(B328,"mmm")</f>
        <v/>
      </c>
      <c r="U328" s="36">
        <f>IF(AND(OR(sel_Region="All",C328=sel_Region),OR(sel_Country="All",D328=sel_Country),OR(sel_Channel="All",E328=sel_Channel),OR(sel_Customer="All",F328=sel_Customer),OR(sel_Category="All",G328=sel_Category),OR(sel_Product="All",H328=sel_Product),AND(S328&gt;=m_From,S328&lt;=m_To)),1,0)</f>
        <v/>
      </c>
      <c r="V328" s="36">
        <f>IF(AND(OR(sel_Region="All",C328=sel_Region),OR(sel_Channel="All",E328=sel_Channel),OR(sel_Customer="All",F328=sel_Customer),OR(sel_Category="All",G328=sel_Category),OR(sel_Product="All",H328=sel_Product),AND(S328&gt;=m_From,S328&lt;=m_To)),1,0)</f>
        <v/>
      </c>
      <c r="W328" s="36">
        <f>IF(AND(OR(sel_Region="All",C328=sel_Region),OR(sel_Country="All",D328=sel_Country),OR(sel_Customer="All",F328=sel_Customer),OR(sel_Category="All",G328=sel_Category),OR(sel_Product="All",H328=sel_Product),AND(S328&gt;=m_From,S328&lt;=m_To)),1,0)</f>
        <v/>
      </c>
      <c r="X328" s="36">
        <f>IF(AND(OR(sel_Region="All",C328=sel_Region),OR(sel_Country="All",D328=sel_Country),OR(sel_Channel="All",E328=sel_Channel),OR(sel_Category="All",G328=sel_Category),OR(sel_Product="All",H328=sel_Product),AND(S328&gt;=m_From,S328&lt;=m_To)),1,0)</f>
        <v/>
      </c>
      <c r="Y328" s="36">
        <f>IF(AND(OR(sel_Region="All",C328=sel_Region),OR(sel_Country="All",D328=sel_Country),OR(sel_Channel="All",E328=sel_Channel),OR(sel_Customer="All",F328=sel_Customer),OR(sel_Product="All",H328=sel_Product),AND(S328&gt;=m_From,S328&lt;=m_To)),1,0)</f>
        <v/>
      </c>
      <c r="Z328" s="36">
        <f>IF(AND(OR(sel_Region="All",C328=sel_Region),OR(sel_Country="All",D328=sel_Country),OR(sel_Channel="All",E328=sel_Channel),OR(sel_Customer="All",F328=sel_Customer),OR(sel_Category="All",G328=sel_Category),AND(S328&gt;=m_From,S328&lt;=m_To)),1,0)</f>
        <v/>
      </c>
      <c r="AA328" s="36">
        <f>IF(AND(OR(sel_Region="All",C328=sel_Region),OR(sel_Country="All",D328=sel_Country),OR(sel_Channel="All",E328=sel_Channel),OR(sel_Customer="All",F328=sel_Customer),OR(sel_Category="All",G328=sel_Category),OR(sel_Product="All",H328=sel_Product)),1,0)</f>
        <v/>
      </c>
    </row>
    <row r="329">
      <c r="A329" s="36" t="inlineStr">
        <is>
          <t>02917</t>
        </is>
      </c>
      <c r="B329" s="44" t="n">
        <v>46090</v>
      </c>
      <c r="C329" s="36" t="inlineStr">
        <is>
          <t>Northern Europe</t>
        </is>
      </c>
      <c r="D329" s="36" t="inlineStr">
        <is>
          <t>Norway</t>
        </is>
      </c>
      <c r="E329" s="36" t="inlineStr">
        <is>
          <t>Marketplace</t>
        </is>
      </c>
      <c r="F329" s="36" t="inlineStr">
        <is>
          <t>Business</t>
        </is>
      </c>
      <c r="G329" s="36" t="inlineStr">
        <is>
          <t>Travel</t>
        </is>
      </c>
      <c r="H329" s="36" t="inlineStr">
        <is>
          <t>Travel Backpack 35L</t>
        </is>
      </c>
      <c r="I329" s="36" t="n">
        <v>2</v>
      </c>
      <c r="J329" s="39" t="n">
        <v>165.49</v>
      </c>
      <c r="K329" s="45" t="n">
        <v>0.05</v>
      </c>
      <c r="L329" s="39" t="n">
        <v>89.81999999999999</v>
      </c>
      <c r="M329" s="39">
        <f>I329*J329*(1-K329)</f>
        <v/>
      </c>
      <c r="N329" s="39">
        <f>I329*L329</f>
        <v/>
      </c>
      <c r="O329" s="39">
        <f>M329-N329</f>
        <v/>
      </c>
      <c r="P329" s="38">
        <f>IF(M329=0,0,O329/M329)</f>
        <v/>
      </c>
      <c r="Q329" s="36">
        <f>YEAR(B329)</f>
        <v/>
      </c>
      <c r="R329" s="36">
        <f>"Q"&amp;ROUNDUP(MONTH(B329)/3,0)</f>
        <v/>
      </c>
      <c r="S329" s="36">
        <f>MONTH(B329)</f>
        <v/>
      </c>
      <c r="T329" s="36">
        <f>TEXT(B329,"mmm")</f>
        <v/>
      </c>
      <c r="U329" s="36">
        <f>IF(AND(OR(sel_Region="All",C329=sel_Region),OR(sel_Country="All",D329=sel_Country),OR(sel_Channel="All",E329=sel_Channel),OR(sel_Customer="All",F329=sel_Customer),OR(sel_Category="All",G329=sel_Category),OR(sel_Product="All",H329=sel_Product),AND(S329&gt;=m_From,S329&lt;=m_To)),1,0)</f>
        <v/>
      </c>
      <c r="V329" s="36">
        <f>IF(AND(OR(sel_Region="All",C329=sel_Region),OR(sel_Channel="All",E329=sel_Channel),OR(sel_Customer="All",F329=sel_Customer),OR(sel_Category="All",G329=sel_Category),OR(sel_Product="All",H329=sel_Product),AND(S329&gt;=m_From,S329&lt;=m_To)),1,0)</f>
        <v/>
      </c>
      <c r="W329" s="36">
        <f>IF(AND(OR(sel_Region="All",C329=sel_Region),OR(sel_Country="All",D329=sel_Country),OR(sel_Customer="All",F329=sel_Customer),OR(sel_Category="All",G329=sel_Category),OR(sel_Product="All",H329=sel_Product),AND(S329&gt;=m_From,S329&lt;=m_To)),1,0)</f>
        <v/>
      </c>
      <c r="X329" s="36">
        <f>IF(AND(OR(sel_Region="All",C329=sel_Region),OR(sel_Country="All",D329=sel_Country),OR(sel_Channel="All",E329=sel_Channel),OR(sel_Category="All",G329=sel_Category),OR(sel_Product="All",H329=sel_Product),AND(S329&gt;=m_From,S329&lt;=m_To)),1,0)</f>
        <v/>
      </c>
      <c r="Y329" s="36">
        <f>IF(AND(OR(sel_Region="All",C329=sel_Region),OR(sel_Country="All",D329=sel_Country),OR(sel_Channel="All",E329=sel_Channel),OR(sel_Customer="All",F329=sel_Customer),OR(sel_Product="All",H329=sel_Product),AND(S329&gt;=m_From,S329&lt;=m_To)),1,0)</f>
        <v/>
      </c>
      <c r="Z329" s="36">
        <f>IF(AND(OR(sel_Region="All",C329=sel_Region),OR(sel_Country="All",D329=sel_Country),OR(sel_Channel="All",E329=sel_Channel),OR(sel_Customer="All",F329=sel_Customer),OR(sel_Category="All",G329=sel_Category),AND(S329&gt;=m_From,S329&lt;=m_To)),1,0)</f>
        <v/>
      </c>
      <c r="AA329" s="36">
        <f>IF(AND(OR(sel_Region="All",C329=sel_Region),OR(sel_Country="All",D329=sel_Country),OR(sel_Channel="All",E329=sel_Channel),OR(sel_Customer="All",F329=sel_Customer),OR(sel_Category="All",G329=sel_Category),OR(sel_Product="All",H329=sel_Product)),1,0)</f>
        <v/>
      </c>
    </row>
    <row r="330">
      <c r="A330" s="36" t="inlineStr">
        <is>
          <t>04095</t>
        </is>
      </c>
      <c r="B330" s="44" t="n">
        <v>46090</v>
      </c>
      <c r="C330" s="36" t="inlineStr">
        <is>
          <t>Central Europe</t>
        </is>
      </c>
      <c r="D330" s="36" t="inlineStr">
        <is>
          <t>Austria</t>
        </is>
      </c>
      <c r="E330" s="36" t="inlineStr">
        <is>
          <t>Marketplace</t>
        </is>
      </c>
      <c r="F330" s="36" t="inlineStr">
        <is>
          <t>New</t>
        </is>
      </c>
      <c r="G330" s="36" t="inlineStr">
        <is>
          <t>Hiking</t>
        </is>
      </c>
      <c r="H330" s="36" t="inlineStr">
        <is>
          <t>Trekking Poles</t>
        </is>
      </c>
      <c r="I330" s="36" t="n">
        <v>1</v>
      </c>
      <c r="J330" s="39" t="n">
        <v>72.87</v>
      </c>
      <c r="K330" s="45" t="n">
        <v>0.05</v>
      </c>
      <c r="L330" s="39" t="n">
        <v>32</v>
      </c>
      <c r="M330" s="39">
        <f>I330*J330*(1-K330)</f>
        <v/>
      </c>
      <c r="N330" s="39">
        <f>I330*L330</f>
        <v/>
      </c>
      <c r="O330" s="39">
        <f>M330-N330</f>
        <v/>
      </c>
      <c r="P330" s="38">
        <f>IF(M330=0,0,O330/M330)</f>
        <v/>
      </c>
      <c r="Q330" s="36">
        <f>YEAR(B330)</f>
        <v/>
      </c>
      <c r="R330" s="36">
        <f>"Q"&amp;ROUNDUP(MONTH(B330)/3,0)</f>
        <v/>
      </c>
      <c r="S330" s="36">
        <f>MONTH(B330)</f>
        <v/>
      </c>
      <c r="T330" s="36">
        <f>TEXT(B330,"mmm")</f>
        <v/>
      </c>
      <c r="U330" s="36">
        <f>IF(AND(OR(sel_Region="All",C330=sel_Region),OR(sel_Country="All",D330=sel_Country),OR(sel_Channel="All",E330=sel_Channel),OR(sel_Customer="All",F330=sel_Customer),OR(sel_Category="All",G330=sel_Category),OR(sel_Product="All",H330=sel_Product),AND(S330&gt;=m_From,S330&lt;=m_To)),1,0)</f>
        <v/>
      </c>
      <c r="V330" s="36">
        <f>IF(AND(OR(sel_Region="All",C330=sel_Region),OR(sel_Channel="All",E330=sel_Channel),OR(sel_Customer="All",F330=sel_Customer),OR(sel_Category="All",G330=sel_Category),OR(sel_Product="All",H330=sel_Product),AND(S330&gt;=m_From,S330&lt;=m_To)),1,0)</f>
        <v/>
      </c>
      <c r="W330" s="36">
        <f>IF(AND(OR(sel_Region="All",C330=sel_Region),OR(sel_Country="All",D330=sel_Country),OR(sel_Customer="All",F330=sel_Customer),OR(sel_Category="All",G330=sel_Category),OR(sel_Product="All",H330=sel_Product),AND(S330&gt;=m_From,S330&lt;=m_To)),1,0)</f>
        <v/>
      </c>
      <c r="X330" s="36">
        <f>IF(AND(OR(sel_Region="All",C330=sel_Region),OR(sel_Country="All",D330=sel_Country),OR(sel_Channel="All",E330=sel_Channel),OR(sel_Category="All",G330=sel_Category),OR(sel_Product="All",H330=sel_Product),AND(S330&gt;=m_From,S330&lt;=m_To)),1,0)</f>
        <v/>
      </c>
      <c r="Y330" s="36">
        <f>IF(AND(OR(sel_Region="All",C330=sel_Region),OR(sel_Country="All",D330=sel_Country),OR(sel_Channel="All",E330=sel_Channel),OR(sel_Customer="All",F330=sel_Customer),OR(sel_Product="All",H330=sel_Product),AND(S330&gt;=m_From,S330&lt;=m_To)),1,0)</f>
        <v/>
      </c>
      <c r="Z330" s="36">
        <f>IF(AND(OR(sel_Region="All",C330=sel_Region),OR(sel_Country="All",D330=sel_Country),OR(sel_Channel="All",E330=sel_Channel),OR(sel_Customer="All",F330=sel_Customer),OR(sel_Category="All",G330=sel_Category),AND(S330&gt;=m_From,S330&lt;=m_To)),1,0)</f>
        <v/>
      </c>
      <c r="AA330" s="36">
        <f>IF(AND(OR(sel_Region="All",C330=sel_Region),OR(sel_Country="All",D330=sel_Country),OR(sel_Channel="All",E330=sel_Channel),OR(sel_Customer="All",F330=sel_Customer),OR(sel_Category="All",G330=sel_Category),OR(sel_Product="All",H330=sel_Product)),1,0)</f>
        <v/>
      </c>
    </row>
    <row r="331">
      <c r="A331" s="36" t="inlineStr">
        <is>
          <t>05050</t>
        </is>
      </c>
      <c r="B331" s="44" t="n">
        <v>46090</v>
      </c>
      <c r="C331" s="36" t="inlineStr">
        <is>
          <t>Western Europe</t>
        </is>
      </c>
      <c r="D331" s="36" t="inlineStr">
        <is>
          <t>France</t>
        </is>
      </c>
      <c r="E331" s="36" t="inlineStr">
        <is>
          <t>Retail Partners</t>
        </is>
      </c>
      <c r="F331" s="36" t="inlineStr">
        <is>
          <t>Returning</t>
        </is>
      </c>
      <c r="G331" s="36" t="inlineStr">
        <is>
          <t>Travel</t>
        </is>
      </c>
      <c r="H331" s="36" t="inlineStr">
        <is>
          <t>Travel Backpack 35L</t>
        </is>
      </c>
      <c r="I331" s="36" t="n">
        <v>1</v>
      </c>
      <c r="J331" s="39" t="n">
        <v>161.04</v>
      </c>
      <c r="K331" s="45" t="n">
        <v>0</v>
      </c>
      <c r="L331" s="39" t="n">
        <v>85.83</v>
      </c>
      <c r="M331" s="39">
        <f>I331*J331*(1-K331)</f>
        <v/>
      </c>
      <c r="N331" s="39">
        <f>I331*L331</f>
        <v/>
      </c>
      <c r="O331" s="39">
        <f>M331-N331</f>
        <v/>
      </c>
      <c r="P331" s="38">
        <f>IF(M331=0,0,O331/M331)</f>
        <v/>
      </c>
      <c r="Q331" s="36">
        <f>YEAR(B331)</f>
        <v/>
      </c>
      <c r="R331" s="36">
        <f>"Q"&amp;ROUNDUP(MONTH(B331)/3,0)</f>
        <v/>
      </c>
      <c r="S331" s="36">
        <f>MONTH(B331)</f>
        <v/>
      </c>
      <c r="T331" s="36">
        <f>TEXT(B331,"mmm")</f>
        <v/>
      </c>
      <c r="U331" s="36">
        <f>IF(AND(OR(sel_Region="All",C331=sel_Region),OR(sel_Country="All",D331=sel_Country),OR(sel_Channel="All",E331=sel_Channel),OR(sel_Customer="All",F331=sel_Customer),OR(sel_Category="All",G331=sel_Category),OR(sel_Product="All",H331=sel_Product),AND(S331&gt;=m_From,S331&lt;=m_To)),1,0)</f>
        <v/>
      </c>
      <c r="V331" s="36">
        <f>IF(AND(OR(sel_Region="All",C331=sel_Region),OR(sel_Channel="All",E331=sel_Channel),OR(sel_Customer="All",F331=sel_Customer),OR(sel_Category="All",G331=sel_Category),OR(sel_Product="All",H331=sel_Product),AND(S331&gt;=m_From,S331&lt;=m_To)),1,0)</f>
        <v/>
      </c>
      <c r="W331" s="36">
        <f>IF(AND(OR(sel_Region="All",C331=sel_Region),OR(sel_Country="All",D331=sel_Country),OR(sel_Customer="All",F331=sel_Customer),OR(sel_Category="All",G331=sel_Category),OR(sel_Product="All",H331=sel_Product),AND(S331&gt;=m_From,S331&lt;=m_To)),1,0)</f>
        <v/>
      </c>
      <c r="X331" s="36">
        <f>IF(AND(OR(sel_Region="All",C331=sel_Region),OR(sel_Country="All",D331=sel_Country),OR(sel_Channel="All",E331=sel_Channel),OR(sel_Category="All",G331=sel_Category),OR(sel_Product="All",H331=sel_Product),AND(S331&gt;=m_From,S331&lt;=m_To)),1,0)</f>
        <v/>
      </c>
      <c r="Y331" s="36">
        <f>IF(AND(OR(sel_Region="All",C331=sel_Region),OR(sel_Country="All",D331=sel_Country),OR(sel_Channel="All",E331=sel_Channel),OR(sel_Customer="All",F331=sel_Customer),OR(sel_Product="All",H331=sel_Product),AND(S331&gt;=m_From,S331&lt;=m_To)),1,0)</f>
        <v/>
      </c>
      <c r="Z331" s="36">
        <f>IF(AND(OR(sel_Region="All",C331=sel_Region),OR(sel_Country="All",D331=sel_Country),OR(sel_Channel="All",E331=sel_Channel),OR(sel_Customer="All",F331=sel_Customer),OR(sel_Category="All",G331=sel_Category),AND(S331&gt;=m_From,S331&lt;=m_To)),1,0)</f>
        <v/>
      </c>
      <c r="AA331" s="36">
        <f>IF(AND(OR(sel_Region="All",C331=sel_Region),OR(sel_Country="All",D331=sel_Country),OR(sel_Channel="All",E331=sel_Channel),OR(sel_Customer="All",F331=sel_Customer),OR(sel_Category="All",G331=sel_Category),OR(sel_Product="All",H331=sel_Product)),1,0)</f>
        <v/>
      </c>
    </row>
    <row r="332">
      <c r="A332" s="36" t="inlineStr">
        <is>
          <t>00709</t>
        </is>
      </c>
      <c r="B332" s="44" t="n">
        <v>46091</v>
      </c>
      <c r="C332" s="36" t="inlineStr">
        <is>
          <t>Southern Europe</t>
        </is>
      </c>
      <c r="D332" s="36" t="inlineStr">
        <is>
          <t>Spain</t>
        </is>
      </c>
      <c r="E332" s="36" t="inlineStr">
        <is>
          <t>Online Store</t>
        </is>
      </c>
      <c r="F332" s="36" t="inlineStr">
        <is>
          <t>New</t>
        </is>
      </c>
      <c r="G332" s="36" t="inlineStr">
        <is>
          <t>Travel</t>
        </is>
      </c>
      <c r="H332" s="36" t="inlineStr">
        <is>
          <t>Carry-On Duffel</t>
        </is>
      </c>
      <c r="I332" s="36" t="n">
        <v>3</v>
      </c>
      <c r="J332" s="39" t="n">
        <v>130.6</v>
      </c>
      <c r="K332" s="45" t="n">
        <v>0.05</v>
      </c>
      <c r="L332" s="39" t="n">
        <v>65.62</v>
      </c>
      <c r="M332" s="39">
        <f>I332*J332*(1-K332)</f>
        <v/>
      </c>
      <c r="N332" s="39">
        <f>I332*L332</f>
        <v/>
      </c>
      <c r="O332" s="39">
        <f>M332-N332</f>
        <v/>
      </c>
      <c r="P332" s="38">
        <f>IF(M332=0,0,O332/M332)</f>
        <v/>
      </c>
      <c r="Q332" s="36">
        <f>YEAR(B332)</f>
        <v/>
      </c>
      <c r="R332" s="36">
        <f>"Q"&amp;ROUNDUP(MONTH(B332)/3,0)</f>
        <v/>
      </c>
      <c r="S332" s="36">
        <f>MONTH(B332)</f>
        <v/>
      </c>
      <c r="T332" s="36">
        <f>TEXT(B332,"mmm")</f>
        <v/>
      </c>
      <c r="U332" s="36">
        <f>IF(AND(OR(sel_Region="All",C332=sel_Region),OR(sel_Country="All",D332=sel_Country),OR(sel_Channel="All",E332=sel_Channel),OR(sel_Customer="All",F332=sel_Customer),OR(sel_Category="All",G332=sel_Category),OR(sel_Product="All",H332=sel_Product),AND(S332&gt;=m_From,S332&lt;=m_To)),1,0)</f>
        <v/>
      </c>
      <c r="V332" s="36">
        <f>IF(AND(OR(sel_Region="All",C332=sel_Region),OR(sel_Channel="All",E332=sel_Channel),OR(sel_Customer="All",F332=sel_Customer),OR(sel_Category="All",G332=sel_Category),OR(sel_Product="All",H332=sel_Product),AND(S332&gt;=m_From,S332&lt;=m_To)),1,0)</f>
        <v/>
      </c>
      <c r="W332" s="36">
        <f>IF(AND(OR(sel_Region="All",C332=sel_Region),OR(sel_Country="All",D332=sel_Country),OR(sel_Customer="All",F332=sel_Customer),OR(sel_Category="All",G332=sel_Category),OR(sel_Product="All",H332=sel_Product),AND(S332&gt;=m_From,S332&lt;=m_To)),1,0)</f>
        <v/>
      </c>
      <c r="X332" s="36">
        <f>IF(AND(OR(sel_Region="All",C332=sel_Region),OR(sel_Country="All",D332=sel_Country),OR(sel_Channel="All",E332=sel_Channel),OR(sel_Category="All",G332=sel_Category),OR(sel_Product="All",H332=sel_Product),AND(S332&gt;=m_From,S332&lt;=m_To)),1,0)</f>
        <v/>
      </c>
      <c r="Y332" s="36">
        <f>IF(AND(OR(sel_Region="All",C332=sel_Region),OR(sel_Country="All",D332=sel_Country),OR(sel_Channel="All",E332=sel_Channel),OR(sel_Customer="All",F332=sel_Customer),OR(sel_Product="All",H332=sel_Product),AND(S332&gt;=m_From,S332&lt;=m_To)),1,0)</f>
        <v/>
      </c>
      <c r="Z332" s="36">
        <f>IF(AND(OR(sel_Region="All",C332=sel_Region),OR(sel_Country="All",D332=sel_Country),OR(sel_Channel="All",E332=sel_Channel),OR(sel_Customer="All",F332=sel_Customer),OR(sel_Category="All",G332=sel_Category),AND(S332&gt;=m_From,S332&lt;=m_To)),1,0)</f>
        <v/>
      </c>
      <c r="AA332" s="36">
        <f>IF(AND(OR(sel_Region="All",C332=sel_Region),OR(sel_Country="All",D332=sel_Country),OR(sel_Channel="All",E332=sel_Channel),OR(sel_Customer="All",F332=sel_Customer),OR(sel_Category="All",G332=sel_Category),OR(sel_Product="All",H332=sel_Product)),1,0)</f>
        <v/>
      </c>
    </row>
    <row r="333">
      <c r="A333" s="36" t="inlineStr">
        <is>
          <t>01073</t>
        </is>
      </c>
      <c r="B333" s="44" t="n">
        <v>46091</v>
      </c>
      <c r="C333" s="36" t="inlineStr">
        <is>
          <t>Northern Europe</t>
        </is>
      </c>
      <c r="D333" s="36" t="inlineStr">
        <is>
          <t>Finland</t>
        </is>
      </c>
      <c r="E333" s="36" t="inlineStr">
        <is>
          <t>Marketplace</t>
        </is>
      </c>
      <c r="F333" s="36" t="inlineStr">
        <is>
          <t>Returning</t>
        </is>
      </c>
      <c r="G333" s="36" t="inlineStr">
        <is>
          <t>Cycling</t>
        </is>
      </c>
      <c r="H333" s="36" t="inlineStr">
        <is>
          <t>Commuter Helmet</t>
        </is>
      </c>
      <c r="I333" s="36" t="n">
        <v>2</v>
      </c>
      <c r="J333" s="39" t="n">
        <v>81.29000000000001</v>
      </c>
      <c r="K333" s="45" t="n">
        <v>0</v>
      </c>
      <c r="L333" s="39" t="n">
        <v>43.9</v>
      </c>
      <c r="M333" s="39">
        <f>I333*J333*(1-K333)</f>
        <v/>
      </c>
      <c r="N333" s="39">
        <f>I333*L333</f>
        <v/>
      </c>
      <c r="O333" s="39">
        <f>M333-N333</f>
        <v/>
      </c>
      <c r="P333" s="38">
        <f>IF(M333=0,0,O333/M333)</f>
        <v/>
      </c>
      <c r="Q333" s="36">
        <f>YEAR(B333)</f>
        <v/>
      </c>
      <c r="R333" s="36">
        <f>"Q"&amp;ROUNDUP(MONTH(B333)/3,0)</f>
        <v/>
      </c>
      <c r="S333" s="36">
        <f>MONTH(B333)</f>
        <v/>
      </c>
      <c r="T333" s="36">
        <f>TEXT(B333,"mmm")</f>
        <v/>
      </c>
      <c r="U333" s="36">
        <f>IF(AND(OR(sel_Region="All",C333=sel_Region),OR(sel_Country="All",D333=sel_Country),OR(sel_Channel="All",E333=sel_Channel),OR(sel_Customer="All",F333=sel_Customer),OR(sel_Category="All",G333=sel_Category),OR(sel_Product="All",H333=sel_Product),AND(S333&gt;=m_From,S333&lt;=m_To)),1,0)</f>
        <v/>
      </c>
      <c r="V333" s="36">
        <f>IF(AND(OR(sel_Region="All",C333=sel_Region),OR(sel_Channel="All",E333=sel_Channel),OR(sel_Customer="All",F333=sel_Customer),OR(sel_Category="All",G333=sel_Category),OR(sel_Product="All",H333=sel_Product),AND(S333&gt;=m_From,S333&lt;=m_To)),1,0)</f>
        <v/>
      </c>
      <c r="W333" s="36">
        <f>IF(AND(OR(sel_Region="All",C333=sel_Region),OR(sel_Country="All",D333=sel_Country),OR(sel_Customer="All",F333=sel_Customer),OR(sel_Category="All",G333=sel_Category),OR(sel_Product="All",H333=sel_Product),AND(S333&gt;=m_From,S333&lt;=m_To)),1,0)</f>
        <v/>
      </c>
      <c r="X333" s="36">
        <f>IF(AND(OR(sel_Region="All",C333=sel_Region),OR(sel_Country="All",D333=sel_Country),OR(sel_Channel="All",E333=sel_Channel),OR(sel_Category="All",G333=sel_Category),OR(sel_Product="All",H333=sel_Product),AND(S333&gt;=m_From,S333&lt;=m_To)),1,0)</f>
        <v/>
      </c>
      <c r="Y333" s="36">
        <f>IF(AND(OR(sel_Region="All",C333=sel_Region),OR(sel_Country="All",D333=sel_Country),OR(sel_Channel="All",E333=sel_Channel),OR(sel_Customer="All",F333=sel_Customer),OR(sel_Product="All",H333=sel_Product),AND(S333&gt;=m_From,S333&lt;=m_To)),1,0)</f>
        <v/>
      </c>
      <c r="Z333" s="36">
        <f>IF(AND(OR(sel_Region="All",C333=sel_Region),OR(sel_Country="All",D333=sel_Country),OR(sel_Channel="All",E333=sel_Channel),OR(sel_Customer="All",F333=sel_Customer),OR(sel_Category="All",G333=sel_Category),AND(S333&gt;=m_From,S333&lt;=m_To)),1,0)</f>
        <v/>
      </c>
      <c r="AA333" s="36">
        <f>IF(AND(OR(sel_Region="All",C333=sel_Region),OR(sel_Country="All",D333=sel_Country),OR(sel_Channel="All",E333=sel_Channel),OR(sel_Customer="All",F333=sel_Customer),OR(sel_Category="All",G333=sel_Category),OR(sel_Product="All",H333=sel_Product)),1,0)</f>
        <v/>
      </c>
    </row>
    <row r="334">
      <c r="A334" s="36" t="inlineStr">
        <is>
          <t>02623</t>
        </is>
      </c>
      <c r="B334" s="44" t="n">
        <v>46091</v>
      </c>
      <c r="C334" s="36" t="inlineStr">
        <is>
          <t>Central Europe</t>
        </is>
      </c>
      <c r="D334" s="36" t="inlineStr">
        <is>
          <t>Germany</t>
        </is>
      </c>
      <c r="E334" s="36" t="inlineStr">
        <is>
          <t>Marketplace</t>
        </is>
      </c>
      <c r="F334" s="36" t="inlineStr">
        <is>
          <t>New</t>
        </is>
      </c>
      <c r="G334" s="36" t="inlineStr">
        <is>
          <t>Cycling</t>
        </is>
      </c>
      <c r="H334" s="36" t="inlineStr">
        <is>
          <t>Cycling Pack 12L</t>
        </is>
      </c>
      <c r="I334" s="36" t="n">
        <v>2</v>
      </c>
      <c r="J334" s="39" t="n">
        <v>103.33</v>
      </c>
      <c r="K334" s="45" t="n">
        <v>0.05</v>
      </c>
      <c r="L334" s="39" t="n">
        <v>51.58</v>
      </c>
      <c r="M334" s="39">
        <f>I334*J334*(1-K334)</f>
        <v/>
      </c>
      <c r="N334" s="39">
        <f>I334*L334</f>
        <v/>
      </c>
      <c r="O334" s="39">
        <f>M334-N334</f>
        <v/>
      </c>
      <c r="P334" s="38">
        <f>IF(M334=0,0,O334/M334)</f>
        <v/>
      </c>
      <c r="Q334" s="36">
        <f>YEAR(B334)</f>
        <v/>
      </c>
      <c r="R334" s="36">
        <f>"Q"&amp;ROUNDUP(MONTH(B334)/3,0)</f>
        <v/>
      </c>
      <c r="S334" s="36">
        <f>MONTH(B334)</f>
        <v/>
      </c>
      <c r="T334" s="36">
        <f>TEXT(B334,"mmm")</f>
        <v/>
      </c>
      <c r="U334" s="36">
        <f>IF(AND(OR(sel_Region="All",C334=sel_Region),OR(sel_Country="All",D334=sel_Country),OR(sel_Channel="All",E334=sel_Channel),OR(sel_Customer="All",F334=sel_Customer),OR(sel_Category="All",G334=sel_Category),OR(sel_Product="All",H334=sel_Product),AND(S334&gt;=m_From,S334&lt;=m_To)),1,0)</f>
        <v/>
      </c>
      <c r="V334" s="36">
        <f>IF(AND(OR(sel_Region="All",C334=sel_Region),OR(sel_Channel="All",E334=sel_Channel),OR(sel_Customer="All",F334=sel_Customer),OR(sel_Category="All",G334=sel_Category),OR(sel_Product="All",H334=sel_Product),AND(S334&gt;=m_From,S334&lt;=m_To)),1,0)</f>
        <v/>
      </c>
      <c r="W334" s="36">
        <f>IF(AND(OR(sel_Region="All",C334=sel_Region),OR(sel_Country="All",D334=sel_Country),OR(sel_Customer="All",F334=sel_Customer),OR(sel_Category="All",G334=sel_Category),OR(sel_Product="All",H334=sel_Product),AND(S334&gt;=m_From,S334&lt;=m_To)),1,0)</f>
        <v/>
      </c>
      <c r="X334" s="36">
        <f>IF(AND(OR(sel_Region="All",C334=sel_Region),OR(sel_Country="All",D334=sel_Country),OR(sel_Channel="All",E334=sel_Channel),OR(sel_Category="All",G334=sel_Category),OR(sel_Product="All",H334=sel_Product),AND(S334&gt;=m_From,S334&lt;=m_To)),1,0)</f>
        <v/>
      </c>
      <c r="Y334" s="36">
        <f>IF(AND(OR(sel_Region="All",C334=sel_Region),OR(sel_Country="All",D334=sel_Country),OR(sel_Channel="All",E334=sel_Channel),OR(sel_Customer="All",F334=sel_Customer),OR(sel_Product="All",H334=sel_Product),AND(S334&gt;=m_From,S334&lt;=m_To)),1,0)</f>
        <v/>
      </c>
      <c r="Z334" s="36">
        <f>IF(AND(OR(sel_Region="All",C334=sel_Region),OR(sel_Country="All",D334=sel_Country),OR(sel_Channel="All",E334=sel_Channel),OR(sel_Customer="All",F334=sel_Customer),OR(sel_Category="All",G334=sel_Category),AND(S334&gt;=m_From,S334&lt;=m_To)),1,0)</f>
        <v/>
      </c>
      <c r="AA334" s="36">
        <f>IF(AND(OR(sel_Region="All",C334=sel_Region),OR(sel_Country="All",D334=sel_Country),OR(sel_Channel="All",E334=sel_Channel),OR(sel_Customer="All",F334=sel_Customer),OR(sel_Category="All",G334=sel_Category),OR(sel_Product="All",H334=sel_Product)),1,0)</f>
        <v/>
      </c>
    </row>
    <row r="335">
      <c r="A335" s="36" t="inlineStr">
        <is>
          <t>02625</t>
        </is>
      </c>
      <c r="B335" s="44" t="n">
        <v>46091</v>
      </c>
      <c r="C335" s="36" t="inlineStr">
        <is>
          <t>Western Europe</t>
        </is>
      </c>
      <c r="D335" s="36" t="inlineStr">
        <is>
          <t>Netherlands</t>
        </is>
      </c>
      <c r="E335" s="36" t="inlineStr">
        <is>
          <t>Retail Partners</t>
        </is>
      </c>
      <c r="F335" s="36" t="inlineStr">
        <is>
          <t>Business</t>
        </is>
      </c>
      <c r="G335" s="36" t="inlineStr">
        <is>
          <t>Fitness</t>
        </is>
      </c>
      <c r="H335" s="36" t="inlineStr">
        <is>
          <t>Training Mat</t>
        </is>
      </c>
      <c r="I335" s="36" t="n">
        <v>2</v>
      </c>
      <c r="J335" s="39" t="n">
        <v>51.14</v>
      </c>
      <c r="K335" s="45" t="n">
        <v>0</v>
      </c>
      <c r="L335" s="39" t="n">
        <v>21.58</v>
      </c>
      <c r="M335" s="39">
        <f>I335*J335*(1-K335)</f>
        <v/>
      </c>
      <c r="N335" s="39">
        <f>I335*L335</f>
        <v/>
      </c>
      <c r="O335" s="39">
        <f>M335-N335</f>
        <v/>
      </c>
      <c r="P335" s="38">
        <f>IF(M335=0,0,O335/M335)</f>
        <v/>
      </c>
      <c r="Q335" s="36">
        <f>YEAR(B335)</f>
        <v/>
      </c>
      <c r="R335" s="36">
        <f>"Q"&amp;ROUNDUP(MONTH(B335)/3,0)</f>
        <v/>
      </c>
      <c r="S335" s="36">
        <f>MONTH(B335)</f>
        <v/>
      </c>
      <c r="T335" s="36">
        <f>TEXT(B335,"mmm")</f>
        <v/>
      </c>
      <c r="U335" s="36">
        <f>IF(AND(OR(sel_Region="All",C335=sel_Region),OR(sel_Country="All",D335=sel_Country),OR(sel_Channel="All",E335=sel_Channel),OR(sel_Customer="All",F335=sel_Customer),OR(sel_Category="All",G335=sel_Category),OR(sel_Product="All",H335=sel_Product),AND(S335&gt;=m_From,S335&lt;=m_To)),1,0)</f>
        <v/>
      </c>
      <c r="V335" s="36">
        <f>IF(AND(OR(sel_Region="All",C335=sel_Region),OR(sel_Channel="All",E335=sel_Channel),OR(sel_Customer="All",F335=sel_Customer),OR(sel_Category="All",G335=sel_Category),OR(sel_Product="All",H335=sel_Product),AND(S335&gt;=m_From,S335&lt;=m_To)),1,0)</f>
        <v/>
      </c>
      <c r="W335" s="36">
        <f>IF(AND(OR(sel_Region="All",C335=sel_Region),OR(sel_Country="All",D335=sel_Country),OR(sel_Customer="All",F335=sel_Customer),OR(sel_Category="All",G335=sel_Category),OR(sel_Product="All",H335=sel_Product),AND(S335&gt;=m_From,S335&lt;=m_To)),1,0)</f>
        <v/>
      </c>
      <c r="X335" s="36">
        <f>IF(AND(OR(sel_Region="All",C335=sel_Region),OR(sel_Country="All",D335=sel_Country),OR(sel_Channel="All",E335=sel_Channel),OR(sel_Category="All",G335=sel_Category),OR(sel_Product="All",H335=sel_Product),AND(S335&gt;=m_From,S335&lt;=m_To)),1,0)</f>
        <v/>
      </c>
      <c r="Y335" s="36">
        <f>IF(AND(OR(sel_Region="All",C335=sel_Region),OR(sel_Country="All",D335=sel_Country),OR(sel_Channel="All",E335=sel_Channel),OR(sel_Customer="All",F335=sel_Customer),OR(sel_Product="All",H335=sel_Product),AND(S335&gt;=m_From,S335&lt;=m_To)),1,0)</f>
        <v/>
      </c>
      <c r="Z335" s="36">
        <f>IF(AND(OR(sel_Region="All",C335=sel_Region),OR(sel_Country="All",D335=sel_Country),OR(sel_Channel="All",E335=sel_Channel),OR(sel_Customer="All",F335=sel_Customer),OR(sel_Category="All",G335=sel_Category),AND(S335&gt;=m_From,S335&lt;=m_To)),1,0)</f>
        <v/>
      </c>
      <c r="AA335" s="36">
        <f>IF(AND(OR(sel_Region="All",C335=sel_Region),OR(sel_Country="All",D335=sel_Country),OR(sel_Channel="All",E335=sel_Channel),OR(sel_Customer="All",F335=sel_Customer),OR(sel_Category="All",G335=sel_Category),OR(sel_Product="All",H335=sel_Product)),1,0)</f>
        <v/>
      </c>
    </row>
    <row r="336">
      <c r="A336" s="36" t="inlineStr">
        <is>
          <t>03304</t>
        </is>
      </c>
      <c r="B336" s="44" t="n">
        <v>46091</v>
      </c>
      <c r="C336" s="36" t="inlineStr">
        <is>
          <t>Central Europe</t>
        </is>
      </c>
      <c r="D336" s="36" t="inlineStr">
        <is>
          <t>Germany</t>
        </is>
      </c>
      <c r="E336" s="36" t="inlineStr">
        <is>
          <t>Marketplace</t>
        </is>
      </c>
      <c r="F336" s="36" t="inlineStr">
        <is>
          <t>Returning</t>
        </is>
      </c>
      <c r="G336" s="36" t="inlineStr">
        <is>
          <t>Cycling</t>
        </is>
      </c>
      <c r="H336" s="36" t="inlineStr">
        <is>
          <t>Trail Bike Light</t>
        </is>
      </c>
      <c r="I336" s="36" t="n">
        <v>2</v>
      </c>
      <c r="J336" s="39" t="n">
        <v>49.7</v>
      </c>
      <c r="K336" s="45" t="n">
        <v>0</v>
      </c>
      <c r="L336" s="39" t="n">
        <v>23.14</v>
      </c>
      <c r="M336" s="39">
        <f>I336*J336*(1-K336)</f>
        <v/>
      </c>
      <c r="N336" s="39">
        <f>I336*L336</f>
        <v/>
      </c>
      <c r="O336" s="39">
        <f>M336-N336</f>
        <v/>
      </c>
      <c r="P336" s="38">
        <f>IF(M336=0,0,O336/M336)</f>
        <v/>
      </c>
      <c r="Q336" s="36">
        <f>YEAR(B336)</f>
        <v/>
      </c>
      <c r="R336" s="36">
        <f>"Q"&amp;ROUNDUP(MONTH(B336)/3,0)</f>
        <v/>
      </c>
      <c r="S336" s="36">
        <f>MONTH(B336)</f>
        <v/>
      </c>
      <c r="T336" s="36">
        <f>TEXT(B336,"mmm")</f>
        <v/>
      </c>
      <c r="U336" s="36">
        <f>IF(AND(OR(sel_Region="All",C336=sel_Region),OR(sel_Country="All",D336=sel_Country),OR(sel_Channel="All",E336=sel_Channel),OR(sel_Customer="All",F336=sel_Customer),OR(sel_Category="All",G336=sel_Category),OR(sel_Product="All",H336=sel_Product),AND(S336&gt;=m_From,S336&lt;=m_To)),1,0)</f>
        <v/>
      </c>
      <c r="V336" s="36">
        <f>IF(AND(OR(sel_Region="All",C336=sel_Region),OR(sel_Channel="All",E336=sel_Channel),OR(sel_Customer="All",F336=sel_Customer),OR(sel_Category="All",G336=sel_Category),OR(sel_Product="All",H336=sel_Product),AND(S336&gt;=m_From,S336&lt;=m_To)),1,0)</f>
        <v/>
      </c>
      <c r="W336" s="36">
        <f>IF(AND(OR(sel_Region="All",C336=sel_Region),OR(sel_Country="All",D336=sel_Country),OR(sel_Customer="All",F336=sel_Customer),OR(sel_Category="All",G336=sel_Category),OR(sel_Product="All",H336=sel_Product),AND(S336&gt;=m_From,S336&lt;=m_To)),1,0)</f>
        <v/>
      </c>
      <c r="X336" s="36">
        <f>IF(AND(OR(sel_Region="All",C336=sel_Region),OR(sel_Country="All",D336=sel_Country),OR(sel_Channel="All",E336=sel_Channel),OR(sel_Category="All",G336=sel_Category),OR(sel_Product="All",H336=sel_Product),AND(S336&gt;=m_From,S336&lt;=m_To)),1,0)</f>
        <v/>
      </c>
      <c r="Y336" s="36">
        <f>IF(AND(OR(sel_Region="All",C336=sel_Region),OR(sel_Country="All",D336=sel_Country),OR(sel_Channel="All",E336=sel_Channel),OR(sel_Customer="All",F336=sel_Customer),OR(sel_Product="All",H336=sel_Product),AND(S336&gt;=m_From,S336&lt;=m_To)),1,0)</f>
        <v/>
      </c>
      <c r="Z336" s="36">
        <f>IF(AND(OR(sel_Region="All",C336=sel_Region),OR(sel_Country="All",D336=sel_Country),OR(sel_Channel="All",E336=sel_Channel),OR(sel_Customer="All",F336=sel_Customer),OR(sel_Category="All",G336=sel_Category),AND(S336&gt;=m_From,S336&lt;=m_To)),1,0)</f>
        <v/>
      </c>
      <c r="AA336" s="36">
        <f>IF(AND(OR(sel_Region="All",C336=sel_Region),OR(sel_Country="All",D336=sel_Country),OR(sel_Channel="All",E336=sel_Channel),OR(sel_Customer="All",F336=sel_Customer),OR(sel_Category="All",G336=sel_Category),OR(sel_Product="All",H336=sel_Product)),1,0)</f>
        <v/>
      </c>
    </row>
    <row r="337">
      <c r="A337" s="36" t="inlineStr">
        <is>
          <t>04876</t>
        </is>
      </c>
      <c r="B337" s="44" t="n">
        <v>46091</v>
      </c>
      <c r="C337" s="36" t="inlineStr">
        <is>
          <t>Western Europe</t>
        </is>
      </c>
      <c r="D337" s="36" t="inlineStr">
        <is>
          <t>Belgium</t>
        </is>
      </c>
      <c r="E337" s="36" t="inlineStr">
        <is>
          <t>Online Store</t>
        </is>
      </c>
      <c r="F337" s="36" t="inlineStr">
        <is>
          <t>Returning</t>
        </is>
      </c>
      <c r="G337" s="36" t="inlineStr">
        <is>
          <t>Cycling</t>
        </is>
      </c>
      <c r="H337" s="36" t="inlineStr">
        <is>
          <t>Compact Repair Kit</t>
        </is>
      </c>
      <c r="I337" s="36" t="n">
        <v>1</v>
      </c>
      <c r="J337" s="39" t="n">
        <v>39.66</v>
      </c>
      <c r="K337" s="45" t="n">
        <v>0.05</v>
      </c>
      <c r="L337" s="39" t="n">
        <v>16.93</v>
      </c>
      <c r="M337" s="39">
        <f>I337*J337*(1-K337)</f>
        <v/>
      </c>
      <c r="N337" s="39">
        <f>I337*L337</f>
        <v/>
      </c>
      <c r="O337" s="39">
        <f>M337-N337</f>
        <v/>
      </c>
      <c r="P337" s="38">
        <f>IF(M337=0,0,O337/M337)</f>
        <v/>
      </c>
      <c r="Q337" s="36">
        <f>YEAR(B337)</f>
        <v/>
      </c>
      <c r="R337" s="36">
        <f>"Q"&amp;ROUNDUP(MONTH(B337)/3,0)</f>
        <v/>
      </c>
      <c r="S337" s="36">
        <f>MONTH(B337)</f>
        <v/>
      </c>
      <c r="T337" s="36">
        <f>TEXT(B337,"mmm")</f>
        <v/>
      </c>
      <c r="U337" s="36">
        <f>IF(AND(OR(sel_Region="All",C337=sel_Region),OR(sel_Country="All",D337=sel_Country),OR(sel_Channel="All",E337=sel_Channel),OR(sel_Customer="All",F337=sel_Customer),OR(sel_Category="All",G337=sel_Category),OR(sel_Product="All",H337=sel_Product),AND(S337&gt;=m_From,S337&lt;=m_To)),1,0)</f>
        <v/>
      </c>
      <c r="V337" s="36">
        <f>IF(AND(OR(sel_Region="All",C337=sel_Region),OR(sel_Channel="All",E337=sel_Channel),OR(sel_Customer="All",F337=sel_Customer),OR(sel_Category="All",G337=sel_Category),OR(sel_Product="All",H337=sel_Product),AND(S337&gt;=m_From,S337&lt;=m_To)),1,0)</f>
        <v/>
      </c>
      <c r="W337" s="36">
        <f>IF(AND(OR(sel_Region="All",C337=sel_Region),OR(sel_Country="All",D337=sel_Country),OR(sel_Customer="All",F337=sel_Customer),OR(sel_Category="All",G337=sel_Category),OR(sel_Product="All",H337=sel_Product),AND(S337&gt;=m_From,S337&lt;=m_To)),1,0)</f>
        <v/>
      </c>
      <c r="X337" s="36">
        <f>IF(AND(OR(sel_Region="All",C337=sel_Region),OR(sel_Country="All",D337=sel_Country),OR(sel_Channel="All",E337=sel_Channel),OR(sel_Category="All",G337=sel_Category),OR(sel_Product="All",H337=sel_Product),AND(S337&gt;=m_From,S337&lt;=m_To)),1,0)</f>
        <v/>
      </c>
      <c r="Y337" s="36">
        <f>IF(AND(OR(sel_Region="All",C337=sel_Region),OR(sel_Country="All",D337=sel_Country),OR(sel_Channel="All",E337=sel_Channel),OR(sel_Customer="All",F337=sel_Customer),OR(sel_Product="All",H337=sel_Product),AND(S337&gt;=m_From,S337&lt;=m_To)),1,0)</f>
        <v/>
      </c>
      <c r="Z337" s="36">
        <f>IF(AND(OR(sel_Region="All",C337=sel_Region),OR(sel_Country="All",D337=sel_Country),OR(sel_Channel="All",E337=sel_Channel),OR(sel_Customer="All",F337=sel_Customer),OR(sel_Category="All",G337=sel_Category),AND(S337&gt;=m_From,S337&lt;=m_To)),1,0)</f>
        <v/>
      </c>
      <c r="AA337" s="36">
        <f>IF(AND(OR(sel_Region="All",C337=sel_Region),OR(sel_Country="All",D337=sel_Country),OR(sel_Channel="All",E337=sel_Channel),OR(sel_Customer="All",F337=sel_Customer),OR(sel_Category="All",G337=sel_Category),OR(sel_Product="All",H337=sel_Product)),1,0)</f>
        <v/>
      </c>
    </row>
    <row r="338">
      <c r="A338" s="36" t="inlineStr">
        <is>
          <t>00083</t>
        </is>
      </c>
      <c r="B338" s="44" t="n">
        <v>46092</v>
      </c>
      <c r="C338" s="36" t="inlineStr">
        <is>
          <t>Central Europe</t>
        </is>
      </c>
      <c r="D338" s="36" t="inlineStr">
        <is>
          <t>Germany</t>
        </is>
      </c>
      <c r="E338" s="36" t="inlineStr">
        <is>
          <t>Corporate</t>
        </is>
      </c>
      <c r="F338" s="36" t="inlineStr">
        <is>
          <t>Business</t>
        </is>
      </c>
      <c r="G338" s="36" t="inlineStr">
        <is>
          <t>Fitness</t>
        </is>
      </c>
      <c r="H338" s="36" t="inlineStr">
        <is>
          <t>Training Mat</t>
        </is>
      </c>
      <c r="I338" s="36" t="n">
        <v>4</v>
      </c>
      <c r="J338" s="39" t="n">
        <v>50.65</v>
      </c>
      <c r="K338" s="45" t="n">
        <v>0.15</v>
      </c>
      <c r="L338" s="39" t="n">
        <v>22</v>
      </c>
      <c r="M338" s="39">
        <f>I338*J338*(1-K338)</f>
        <v/>
      </c>
      <c r="N338" s="39">
        <f>I338*L338</f>
        <v/>
      </c>
      <c r="O338" s="39">
        <f>M338-N338</f>
        <v/>
      </c>
      <c r="P338" s="38">
        <f>IF(M338=0,0,O338/M338)</f>
        <v/>
      </c>
      <c r="Q338" s="36">
        <f>YEAR(B338)</f>
        <v/>
      </c>
      <c r="R338" s="36">
        <f>"Q"&amp;ROUNDUP(MONTH(B338)/3,0)</f>
        <v/>
      </c>
      <c r="S338" s="36">
        <f>MONTH(B338)</f>
        <v/>
      </c>
      <c r="T338" s="36">
        <f>TEXT(B338,"mmm")</f>
        <v/>
      </c>
      <c r="U338" s="36">
        <f>IF(AND(OR(sel_Region="All",C338=sel_Region),OR(sel_Country="All",D338=sel_Country),OR(sel_Channel="All",E338=sel_Channel),OR(sel_Customer="All",F338=sel_Customer),OR(sel_Category="All",G338=sel_Category),OR(sel_Product="All",H338=sel_Product),AND(S338&gt;=m_From,S338&lt;=m_To)),1,0)</f>
        <v/>
      </c>
      <c r="V338" s="36">
        <f>IF(AND(OR(sel_Region="All",C338=sel_Region),OR(sel_Channel="All",E338=sel_Channel),OR(sel_Customer="All",F338=sel_Customer),OR(sel_Category="All",G338=sel_Category),OR(sel_Product="All",H338=sel_Product),AND(S338&gt;=m_From,S338&lt;=m_To)),1,0)</f>
        <v/>
      </c>
      <c r="W338" s="36">
        <f>IF(AND(OR(sel_Region="All",C338=sel_Region),OR(sel_Country="All",D338=sel_Country),OR(sel_Customer="All",F338=sel_Customer),OR(sel_Category="All",G338=sel_Category),OR(sel_Product="All",H338=sel_Product),AND(S338&gt;=m_From,S338&lt;=m_To)),1,0)</f>
        <v/>
      </c>
      <c r="X338" s="36">
        <f>IF(AND(OR(sel_Region="All",C338=sel_Region),OR(sel_Country="All",D338=sel_Country),OR(sel_Channel="All",E338=sel_Channel),OR(sel_Category="All",G338=sel_Category),OR(sel_Product="All",H338=sel_Product),AND(S338&gt;=m_From,S338&lt;=m_To)),1,0)</f>
        <v/>
      </c>
      <c r="Y338" s="36">
        <f>IF(AND(OR(sel_Region="All",C338=sel_Region),OR(sel_Country="All",D338=sel_Country),OR(sel_Channel="All",E338=sel_Channel),OR(sel_Customer="All",F338=sel_Customer),OR(sel_Product="All",H338=sel_Product),AND(S338&gt;=m_From,S338&lt;=m_To)),1,0)</f>
        <v/>
      </c>
      <c r="Z338" s="36">
        <f>IF(AND(OR(sel_Region="All",C338=sel_Region),OR(sel_Country="All",D338=sel_Country),OR(sel_Channel="All",E338=sel_Channel),OR(sel_Customer="All",F338=sel_Customer),OR(sel_Category="All",G338=sel_Category),AND(S338&gt;=m_From,S338&lt;=m_To)),1,0)</f>
        <v/>
      </c>
      <c r="AA338" s="36">
        <f>IF(AND(OR(sel_Region="All",C338=sel_Region),OR(sel_Country="All",D338=sel_Country),OR(sel_Channel="All",E338=sel_Channel),OR(sel_Customer="All",F338=sel_Customer),OR(sel_Category="All",G338=sel_Category),OR(sel_Product="All",H338=sel_Product)),1,0)</f>
        <v/>
      </c>
    </row>
    <row r="339">
      <c r="A339" s="36" t="inlineStr">
        <is>
          <t>00863</t>
        </is>
      </c>
      <c r="B339" s="44" t="n">
        <v>46092</v>
      </c>
      <c r="C339" s="36" t="inlineStr">
        <is>
          <t>Northern Europe</t>
        </is>
      </c>
      <c r="D339" s="36" t="inlineStr">
        <is>
          <t>Sweden</t>
        </is>
      </c>
      <c r="E339" s="36" t="inlineStr">
        <is>
          <t>Marketplace</t>
        </is>
      </c>
      <c r="F339" s="36" t="inlineStr">
        <is>
          <t>Returning</t>
        </is>
      </c>
      <c r="G339" s="36" t="inlineStr">
        <is>
          <t>Fitness</t>
        </is>
      </c>
      <c r="H339" s="36" t="inlineStr">
        <is>
          <t>Training Mat</t>
        </is>
      </c>
      <c r="I339" s="36" t="n">
        <v>2</v>
      </c>
      <c r="J339" s="39" t="n">
        <v>50.72</v>
      </c>
      <c r="K339" s="45" t="n">
        <v>0</v>
      </c>
      <c r="L339" s="39" t="n">
        <v>21.88</v>
      </c>
      <c r="M339" s="39">
        <f>I339*J339*(1-K339)</f>
        <v/>
      </c>
      <c r="N339" s="39">
        <f>I339*L339</f>
        <v/>
      </c>
      <c r="O339" s="39">
        <f>M339-N339</f>
        <v/>
      </c>
      <c r="P339" s="38">
        <f>IF(M339=0,0,O339/M339)</f>
        <v/>
      </c>
      <c r="Q339" s="36">
        <f>YEAR(B339)</f>
        <v/>
      </c>
      <c r="R339" s="36">
        <f>"Q"&amp;ROUNDUP(MONTH(B339)/3,0)</f>
        <v/>
      </c>
      <c r="S339" s="36">
        <f>MONTH(B339)</f>
        <v/>
      </c>
      <c r="T339" s="36">
        <f>TEXT(B339,"mmm")</f>
        <v/>
      </c>
      <c r="U339" s="36">
        <f>IF(AND(OR(sel_Region="All",C339=sel_Region),OR(sel_Country="All",D339=sel_Country),OR(sel_Channel="All",E339=sel_Channel),OR(sel_Customer="All",F339=sel_Customer),OR(sel_Category="All",G339=sel_Category),OR(sel_Product="All",H339=sel_Product),AND(S339&gt;=m_From,S339&lt;=m_To)),1,0)</f>
        <v/>
      </c>
      <c r="V339" s="36">
        <f>IF(AND(OR(sel_Region="All",C339=sel_Region),OR(sel_Channel="All",E339=sel_Channel),OR(sel_Customer="All",F339=sel_Customer),OR(sel_Category="All",G339=sel_Category),OR(sel_Product="All",H339=sel_Product),AND(S339&gt;=m_From,S339&lt;=m_To)),1,0)</f>
        <v/>
      </c>
      <c r="W339" s="36">
        <f>IF(AND(OR(sel_Region="All",C339=sel_Region),OR(sel_Country="All",D339=sel_Country),OR(sel_Customer="All",F339=sel_Customer),OR(sel_Category="All",G339=sel_Category),OR(sel_Product="All",H339=sel_Product),AND(S339&gt;=m_From,S339&lt;=m_To)),1,0)</f>
        <v/>
      </c>
      <c r="X339" s="36">
        <f>IF(AND(OR(sel_Region="All",C339=sel_Region),OR(sel_Country="All",D339=sel_Country),OR(sel_Channel="All",E339=sel_Channel),OR(sel_Category="All",G339=sel_Category),OR(sel_Product="All",H339=sel_Product),AND(S339&gt;=m_From,S339&lt;=m_To)),1,0)</f>
        <v/>
      </c>
      <c r="Y339" s="36">
        <f>IF(AND(OR(sel_Region="All",C339=sel_Region),OR(sel_Country="All",D339=sel_Country),OR(sel_Channel="All",E339=sel_Channel),OR(sel_Customer="All",F339=sel_Customer),OR(sel_Product="All",H339=sel_Product),AND(S339&gt;=m_From,S339&lt;=m_To)),1,0)</f>
        <v/>
      </c>
      <c r="Z339" s="36">
        <f>IF(AND(OR(sel_Region="All",C339=sel_Region),OR(sel_Country="All",D339=sel_Country),OR(sel_Channel="All",E339=sel_Channel),OR(sel_Customer="All",F339=sel_Customer),OR(sel_Category="All",G339=sel_Category),AND(S339&gt;=m_From,S339&lt;=m_To)),1,0)</f>
        <v/>
      </c>
      <c r="AA339" s="36">
        <f>IF(AND(OR(sel_Region="All",C339=sel_Region),OR(sel_Country="All",D339=sel_Country),OR(sel_Channel="All",E339=sel_Channel),OR(sel_Customer="All",F339=sel_Customer),OR(sel_Category="All",G339=sel_Category),OR(sel_Product="All",H339=sel_Product)),1,0)</f>
        <v/>
      </c>
    </row>
    <row r="340">
      <c r="A340" s="36" t="inlineStr">
        <is>
          <t>02323</t>
        </is>
      </c>
      <c r="B340" s="44" t="n">
        <v>46092</v>
      </c>
      <c r="C340" s="36" t="inlineStr">
        <is>
          <t>Central Europe</t>
        </is>
      </c>
      <c r="D340" s="36" t="inlineStr">
        <is>
          <t>Germany</t>
        </is>
      </c>
      <c r="E340" s="36" t="inlineStr">
        <is>
          <t>Retail Partners</t>
        </is>
      </c>
      <c r="F340" s="36" t="inlineStr">
        <is>
          <t>New</t>
        </is>
      </c>
      <c r="G340" s="36" t="inlineStr">
        <is>
          <t>Travel</t>
        </is>
      </c>
      <c r="H340" s="36" t="inlineStr">
        <is>
          <t>Insulated Bottle</t>
        </is>
      </c>
      <c r="I340" s="36" t="n">
        <v>2</v>
      </c>
      <c r="J340" s="39" t="n">
        <v>36.08</v>
      </c>
      <c r="K340" s="45" t="n">
        <v>0.05</v>
      </c>
      <c r="L340" s="39" t="n">
        <v>13.19</v>
      </c>
      <c r="M340" s="39">
        <f>I340*J340*(1-K340)</f>
        <v/>
      </c>
      <c r="N340" s="39">
        <f>I340*L340</f>
        <v/>
      </c>
      <c r="O340" s="39">
        <f>M340-N340</f>
        <v/>
      </c>
      <c r="P340" s="38">
        <f>IF(M340=0,0,O340/M340)</f>
        <v/>
      </c>
      <c r="Q340" s="36">
        <f>YEAR(B340)</f>
        <v/>
      </c>
      <c r="R340" s="36">
        <f>"Q"&amp;ROUNDUP(MONTH(B340)/3,0)</f>
        <v/>
      </c>
      <c r="S340" s="36">
        <f>MONTH(B340)</f>
        <v/>
      </c>
      <c r="T340" s="36">
        <f>TEXT(B340,"mmm")</f>
        <v/>
      </c>
      <c r="U340" s="36">
        <f>IF(AND(OR(sel_Region="All",C340=sel_Region),OR(sel_Country="All",D340=sel_Country),OR(sel_Channel="All",E340=sel_Channel),OR(sel_Customer="All",F340=sel_Customer),OR(sel_Category="All",G340=sel_Category),OR(sel_Product="All",H340=sel_Product),AND(S340&gt;=m_From,S340&lt;=m_To)),1,0)</f>
        <v/>
      </c>
      <c r="V340" s="36">
        <f>IF(AND(OR(sel_Region="All",C340=sel_Region),OR(sel_Channel="All",E340=sel_Channel),OR(sel_Customer="All",F340=sel_Customer),OR(sel_Category="All",G340=sel_Category),OR(sel_Product="All",H340=sel_Product),AND(S340&gt;=m_From,S340&lt;=m_To)),1,0)</f>
        <v/>
      </c>
      <c r="W340" s="36">
        <f>IF(AND(OR(sel_Region="All",C340=sel_Region),OR(sel_Country="All",D340=sel_Country),OR(sel_Customer="All",F340=sel_Customer),OR(sel_Category="All",G340=sel_Category),OR(sel_Product="All",H340=sel_Product),AND(S340&gt;=m_From,S340&lt;=m_To)),1,0)</f>
        <v/>
      </c>
      <c r="X340" s="36">
        <f>IF(AND(OR(sel_Region="All",C340=sel_Region),OR(sel_Country="All",D340=sel_Country),OR(sel_Channel="All",E340=sel_Channel),OR(sel_Category="All",G340=sel_Category),OR(sel_Product="All",H340=sel_Product),AND(S340&gt;=m_From,S340&lt;=m_To)),1,0)</f>
        <v/>
      </c>
      <c r="Y340" s="36">
        <f>IF(AND(OR(sel_Region="All",C340=sel_Region),OR(sel_Country="All",D340=sel_Country),OR(sel_Channel="All",E340=sel_Channel),OR(sel_Customer="All",F340=sel_Customer),OR(sel_Product="All",H340=sel_Product),AND(S340&gt;=m_From,S340&lt;=m_To)),1,0)</f>
        <v/>
      </c>
      <c r="Z340" s="36">
        <f>IF(AND(OR(sel_Region="All",C340=sel_Region),OR(sel_Country="All",D340=sel_Country),OR(sel_Channel="All",E340=sel_Channel),OR(sel_Customer="All",F340=sel_Customer),OR(sel_Category="All",G340=sel_Category),AND(S340&gt;=m_From,S340&lt;=m_To)),1,0)</f>
        <v/>
      </c>
      <c r="AA340" s="36">
        <f>IF(AND(OR(sel_Region="All",C340=sel_Region),OR(sel_Country="All",D340=sel_Country),OR(sel_Channel="All",E340=sel_Channel),OR(sel_Customer="All",F340=sel_Customer),OR(sel_Category="All",G340=sel_Category),OR(sel_Product="All",H340=sel_Product)),1,0)</f>
        <v/>
      </c>
    </row>
    <row r="341">
      <c r="A341" s="36" t="inlineStr">
        <is>
          <t>03064</t>
        </is>
      </c>
      <c r="B341" s="44" t="n">
        <v>46092</v>
      </c>
      <c r="C341" s="36" t="inlineStr">
        <is>
          <t>Western Europe</t>
        </is>
      </c>
      <c r="D341" s="36" t="inlineStr">
        <is>
          <t>United Kingdom</t>
        </is>
      </c>
      <c r="E341" s="36" t="inlineStr">
        <is>
          <t>Online Store</t>
        </is>
      </c>
      <c r="F341" s="36" t="inlineStr">
        <is>
          <t>Returning</t>
        </is>
      </c>
      <c r="G341" s="36" t="inlineStr">
        <is>
          <t>Camping</t>
        </is>
      </c>
      <c r="H341" s="36" t="inlineStr">
        <is>
          <t>Compact Sleeping Bag</t>
        </is>
      </c>
      <c r="I341" s="36" t="n">
        <v>6</v>
      </c>
      <c r="J341" s="39" t="n">
        <v>124.04</v>
      </c>
      <c r="K341" s="45" t="n">
        <v>0.05</v>
      </c>
      <c r="L341" s="39" t="n">
        <v>61.17</v>
      </c>
      <c r="M341" s="39">
        <f>I341*J341*(1-K341)</f>
        <v/>
      </c>
      <c r="N341" s="39">
        <f>I341*L341</f>
        <v/>
      </c>
      <c r="O341" s="39">
        <f>M341-N341</f>
        <v/>
      </c>
      <c r="P341" s="38">
        <f>IF(M341=0,0,O341/M341)</f>
        <v/>
      </c>
      <c r="Q341" s="36">
        <f>YEAR(B341)</f>
        <v/>
      </c>
      <c r="R341" s="36">
        <f>"Q"&amp;ROUNDUP(MONTH(B341)/3,0)</f>
        <v/>
      </c>
      <c r="S341" s="36">
        <f>MONTH(B341)</f>
        <v/>
      </c>
      <c r="T341" s="36">
        <f>TEXT(B341,"mmm")</f>
        <v/>
      </c>
      <c r="U341" s="36">
        <f>IF(AND(OR(sel_Region="All",C341=sel_Region),OR(sel_Country="All",D341=sel_Country),OR(sel_Channel="All",E341=sel_Channel),OR(sel_Customer="All",F341=sel_Customer),OR(sel_Category="All",G341=sel_Category),OR(sel_Product="All",H341=sel_Product),AND(S341&gt;=m_From,S341&lt;=m_To)),1,0)</f>
        <v/>
      </c>
      <c r="V341" s="36">
        <f>IF(AND(OR(sel_Region="All",C341=sel_Region),OR(sel_Channel="All",E341=sel_Channel),OR(sel_Customer="All",F341=sel_Customer),OR(sel_Category="All",G341=sel_Category),OR(sel_Product="All",H341=sel_Product),AND(S341&gt;=m_From,S341&lt;=m_To)),1,0)</f>
        <v/>
      </c>
      <c r="W341" s="36">
        <f>IF(AND(OR(sel_Region="All",C341=sel_Region),OR(sel_Country="All",D341=sel_Country),OR(sel_Customer="All",F341=sel_Customer),OR(sel_Category="All",G341=sel_Category),OR(sel_Product="All",H341=sel_Product),AND(S341&gt;=m_From,S341&lt;=m_To)),1,0)</f>
        <v/>
      </c>
      <c r="X341" s="36">
        <f>IF(AND(OR(sel_Region="All",C341=sel_Region),OR(sel_Country="All",D341=sel_Country),OR(sel_Channel="All",E341=sel_Channel),OR(sel_Category="All",G341=sel_Category),OR(sel_Product="All",H341=sel_Product),AND(S341&gt;=m_From,S341&lt;=m_To)),1,0)</f>
        <v/>
      </c>
      <c r="Y341" s="36">
        <f>IF(AND(OR(sel_Region="All",C341=sel_Region),OR(sel_Country="All",D341=sel_Country),OR(sel_Channel="All",E341=sel_Channel),OR(sel_Customer="All",F341=sel_Customer),OR(sel_Product="All",H341=sel_Product),AND(S341&gt;=m_From,S341&lt;=m_To)),1,0)</f>
        <v/>
      </c>
      <c r="Z341" s="36">
        <f>IF(AND(OR(sel_Region="All",C341=sel_Region),OR(sel_Country="All",D341=sel_Country),OR(sel_Channel="All",E341=sel_Channel),OR(sel_Customer="All",F341=sel_Customer),OR(sel_Category="All",G341=sel_Category),AND(S341&gt;=m_From,S341&lt;=m_To)),1,0)</f>
        <v/>
      </c>
      <c r="AA341" s="36">
        <f>IF(AND(OR(sel_Region="All",C341=sel_Region),OR(sel_Country="All",D341=sel_Country),OR(sel_Channel="All",E341=sel_Channel),OR(sel_Customer="All",F341=sel_Customer),OR(sel_Category="All",G341=sel_Category),OR(sel_Product="All",H341=sel_Product)),1,0)</f>
        <v/>
      </c>
    </row>
    <row r="342">
      <c r="A342" s="36" t="inlineStr">
        <is>
          <t>04995</t>
        </is>
      </c>
      <c r="B342" s="44" t="n">
        <v>46092</v>
      </c>
      <c r="C342" s="36" t="inlineStr">
        <is>
          <t>Central Europe</t>
        </is>
      </c>
      <c r="D342" s="36" t="inlineStr">
        <is>
          <t>Germany</t>
        </is>
      </c>
      <c r="E342" s="36" t="inlineStr">
        <is>
          <t>Marketplace</t>
        </is>
      </c>
      <c r="F342" s="36" t="inlineStr">
        <is>
          <t>New</t>
        </is>
      </c>
      <c r="G342" s="36" t="inlineStr">
        <is>
          <t>Hiking</t>
        </is>
      </c>
      <c r="H342" s="36" t="inlineStr">
        <is>
          <t>Hiking Daypack 20L</t>
        </is>
      </c>
      <c r="I342" s="36" t="n">
        <v>3</v>
      </c>
      <c r="J342" s="39" t="n">
        <v>90.31</v>
      </c>
      <c r="K342" s="45" t="n">
        <v>0</v>
      </c>
      <c r="L342" s="39" t="n">
        <v>44.58</v>
      </c>
      <c r="M342" s="39">
        <f>I342*J342*(1-K342)</f>
        <v/>
      </c>
      <c r="N342" s="39">
        <f>I342*L342</f>
        <v/>
      </c>
      <c r="O342" s="39">
        <f>M342-N342</f>
        <v/>
      </c>
      <c r="P342" s="38">
        <f>IF(M342=0,0,O342/M342)</f>
        <v/>
      </c>
      <c r="Q342" s="36">
        <f>YEAR(B342)</f>
        <v/>
      </c>
      <c r="R342" s="36">
        <f>"Q"&amp;ROUNDUP(MONTH(B342)/3,0)</f>
        <v/>
      </c>
      <c r="S342" s="36">
        <f>MONTH(B342)</f>
        <v/>
      </c>
      <c r="T342" s="36">
        <f>TEXT(B342,"mmm")</f>
        <v/>
      </c>
      <c r="U342" s="36">
        <f>IF(AND(OR(sel_Region="All",C342=sel_Region),OR(sel_Country="All",D342=sel_Country),OR(sel_Channel="All",E342=sel_Channel),OR(sel_Customer="All",F342=sel_Customer),OR(sel_Category="All",G342=sel_Category),OR(sel_Product="All",H342=sel_Product),AND(S342&gt;=m_From,S342&lt;=m_To)),1,0)</f>
        <v/>
      </c>
      <c r="V342" s="36">
        <f>IF(AND(OR(sel_Region="All",C342=sel_Region),OR(sel_Channel="All",E342=sel_Channel),OR(sel_Customer="All",F342=sel_Customer),OR(sel_Category="All",G342=sel_Category),OR(sel_Product="All",H342=sel_Product),AND(S342&gt;=m_From,S342&lt;=m_To)),1,0)</f>
        <v/>
      </c>
      <c r="W342" s="36">
        <f>IF(AND(OR(sel_Region="All",C342=sel_Region),OR(sel_Country="All",D342=sel_Country),OR(sel_Customer="All",F342=sel_Customer),OR(sel_Category="All",G342=sel_Category),OR(sel_Product="All",H342=sel_Product),AND(S342&gt;=m_From,S342&lt;=m_To)),1,0)</f>
        <v/>
      </c>
      <c r="X342" s="36">
        <f>IF(AND(OR(sel_Region="All",C342=sel_Region),OR(sel_Country="All",D342=sel_Country),OR(sel_Channel="All",E342=sel_Channel),OR(sel_Category="All",G342=sel_Category),OR(sel_Product="All",H342=sel_Product),AND(S342&gt;=m_From,S342&lt;=m_To)),1,0)</f>
        <v/>
      </c>
      <c r="Y342" s="36">
        <f>IF(AND(OR(sel_Region="All",C342=sel_Region),OR(sel_Country="All",D342=sel_Country),OR(sel_Channel="All",E342=sel_Channel),OR(sel_Customer="All",F342=sel_Customer),OR(sel_Product="All",H342=sel_Product),AND(S342&gt;=m_From,S342&lt;=m_To)),1,0)</f>
        <v/>
      </c>
      <c r="Z342" s="36">
        <f>IF(AND(OR(sel_Region="All",C342=sel_Region),OR(sel_Country="All",D342=sel_Country),OR(sel_Channel="All",E342=sel_Channel),OR(sel_Customer="All",F342=sel_Customer),OR(sel_Category="All",G342=sel_Category),AND(S342&gt;=m_From,S342&lt;=m_To)),1,0)</f>
        <v/>
      </c>
      <c r="AA342" s="36">
        <f>IF(AND(OR(sel_Region="All",C342=sel_Region),OR(sel_Country="All",D342=sel_Country),OR(sel_Channel="All",E342=sel_Channel),OR(sel_Customer="All",F342=sel_Customer),OR(sel_Category="All",G342=sel_Category),OR(sel_Product="All",H342=sel_Product)),1,0)</f>
        <v/>
      </c>
    </row>
    <row r="343">
      <c r="A343" s="36" t="inlineStr">
        <is>
          <t>00046</t>
        </is>
      </c>
      <c r="B343" s="44" t="n">
        <v>46093</v>
      </c>
      <c r="C343" s="36" t="inlineStr">
        <is>
          <t>Western Europe</t>
        </is>
      </c>
      <c r="D343" s="36" t="inlineStr">
        <is>
          <t>Netherlands</t>
        </is>
      </c>
      <c r="E343" s="36" t="inlineStr">
        <is>
          <t>Online Store</t>
        </is>
      </c>
      <c r="F343" s="36" t="inlineStr">
        <is>
          <t>Returning</t>
        </is>
      </c>
      <c r="G343" s="36" t="inlineStr">
        <is>
          <t>Hiking</t>
        </is>
      </c>
      <c r="H343" s="36" t="inlineStr">
        <is>
          <t>Trekking Poles</t>
        </is>
      </c>
      <c r="I343" s="36" t="n">
        <v>4</v>
      </c>
      <c r="J343" s="39" t="n">
        <v>72.63</v>
      </c>
      <c r="K343" s="45" t="n">
        <v>0.1</v>
      </c>
      <c r="L343" s="39" t="n">
        <v>31.45</v>
      </c>
      <c r="M343" s="39">
        <f>I343*J343*(1-K343)</f>
        <v/>
      </c>
      <c r="N343" s="39">
        <f>I343*L343</f>
        <v/>
      </c>
      <c r="O343" s="39">
        <f>M343-N343</f>
        <v/>
      </c>
      <c r="P343" s="38">
        <f>IF(M343=0,0,O343/M343)</f>
        <v/>
      </c>
      <c r="Q343" s="36">
        <f>YEAR(B343)</f>
        <v/>
      </c>
      <c r="R343" s="36">
        <f>"Q"&amp;ROUNDUP(MONTH(B343)/3,0)</f>
        <v/>
      </c>
      <c r="S343" s="36">
        <f>MONTH(B343)</f>
        <v/>
      </c>
      <c r="T343" s="36">
        <f>TEXT(B343,"mmm")</f>
        <v/>
      </c>
      <c r="U343" s="36">
        <f>IF(AND(OR(sel_Region="All",C343=sel_Region),OR(sel_Country="All",D343=sel_Country),OR(sel_Channel="All",E343=sel_Channel),OR(sel_Customer="All",F343=sel_Customer),OR(sel_Category="All",G343=sel_Category),OR(sel_Product="All",H343=sel_Product),AND(S343&gt;=m_From,S343&lt;=m_To)),1,0)</f>
        <v/>
      </c>
      <c r="V343" s="36">
        <f>IF(AND(OR(sel_Region="All",C343=sel_Region),OR(sel_Channel="All",E343=sel_Channel),OR(sel_Customer="All",F343=sel_Customer),OR(sel_Category="All",G343=sel_Category),OR(sel_Product="All",H343=sel_Product),AND(S343&gt;=m_From,S343&lt;=m_To)),1,0)</f>
        <v/>
      </c>
      <c r="W343" s="36">
        <f>IF(AND(OR(sel_Region="All",C343=sel_Region),OR(sel_Country="All",D343=sel_Country),OR(sel_Customer="All",F343=sel_Customer),OR(sel_Category="All",G343=sel_Category),OR(sel_Product="All",H343=sel_Product),AND(S343&gt;=m_From,S343&lt;=m_To)),1,0)</f>
        <v/>
      </c>
      <c r="X343" s="36">
        <f>IF(AND(OR(sel_Region="All",C343=sel_Region),OR(sel_Country="All",D343=sel_Country),OR(sel_Channel="All",E343=sel_Channel),OR(sel_Category="All",G343=sel_Category),OR(sel_Product="All",H343=sel_Product),AND(S343&gt;=m_From,S343&lt;=m_To)),1,0)</f>
        <v/>
      </c>
      <c r="Y343" s="36">
        <f>IF(AND(OR(sel_Region="All",C343=sel_Region),OR(sel_Country="All",D343=sel_Country),OR(sel_Channel="All",E343=sel_Channel),OR(sel_Customer="All",F343=sel_Customer),OR(sel_Product="All",H343=sel_Product),AND(S343&gt;=m_From,S343&lt;=m_To)),1,0)</f>
        <v/>
      </c>
      <c r="Z343" s="36">
        <f>IF(AND(OR(sel_Region="All",C343=sel_Region),OR(sel_Country="All",D343=sel_Country),OR(sel_Channel="All",E343=sel_Channel),OR(sel_Customer="All",F343=sel_Customer),OR(sel_Category="All",G343=sel_Category),AND(S343&gt;=m_From,S343&lt;=m_To)),1,0)</f>
        <v/>
      </c>
      <c r="AA343" s="36">
        <f>IF(AND(OR(sel_Region="All",C343=sel_Region),OR(sel_Country="All",D343=sel_Country),OR(sel_Channel="All",E343=sel_Channel),OR(sel_Customer="All",F343=sel_Customer),OR(sel_Category="All",G343=sel_Category),OR(sel_Product="All",H343=sel_Product)),1,0)</f>
        <v/>
      </c>
    </row>
    <row r="344">
      <c r="A344" s="36" t="inlineStr">
        <is>
          <t>00443</t>
        </is>
      </c>
      <c r="B344" s="44" t="n">
        <v>46093</v>
      </c>
      <c r="C344" s="36" t="inlineStr">
        <is>
          <t>Central Europe</t>
        </is>
      </c>
      <c r="D344" s="36" t="inlineStr">
        <is>
          <t>Poland</t>
        </is>
      </c>
      <c r="E344" s="36" t="inlineStr">
        <is>
          <t>Online Store</t>
        </is>
      </c>
      <c r="F344" s="36" t="inlineStr">
        <is>
          <t>Returning</t>
        </is>
      </c>
      <c r="G344" s="36" t="inlineStr">
        <is>
          <t>Fitness</t>
        </is>
      </c>
      <c r="H344" s="36" t="inlineStr">
        <is>
          <t>Resistance Band Set</t>
        </is>
      </c>
      <c r="I344" s="36" t="n">
        <v>3</v>
      </c>
      <c r="J344" s="39" t="n">
        <v>39.9</v>
      </c>
      <c r="K344" s="45" t="n">
        <v>0</v>
      </c>
      <c r="L344" s="39" t="n">
        <v>14.49</v>
      </c>
      <c r="M344" s="39">
        <f>I344*J344*(1-K344)</f>
        <v/>
      </c>
      <c r="N344" s="39">
        <f>I344*L344</f>
        <v/>
      </c>
      <c r="O344" s="39">
        <f>M344-N344</f>
        <v/>
      </c>
      <c r="P344" s="38">
        <f>IF(M344=0,0,O344/M344)</f>
        <v/>
      </c>
      <c r="Q344" s="36">
        <f>YEAR(B344)</f>
        <v/>
      </c>
      <c r="R344" s="36">
        <f>"Q"&amp;ROUNDUP(MONTH(B344)/3,0)</f>
        <v/>
      </c>
      <c r="S344" s="36">
        <f>MONTH(B344)</f>
        <v/>
      </c>
      <c r="T344" s="36">
        <f>TEXT(B344,"mmm")</f>
        <v/>
      </c>
      <c r="U344" s="36">
        <f>IF(AND(OR(sel_Region="All",C344=sel_Region),OR(sel_Country="All",D344=sel_Country),OR(sel_Channel="All",E344=sel_Channel),OR(sel_Customer="All",F344=sel_Customer),OR(sel_Category="All",G344=sel_Category),OR(sel_Product="All",H344=sel_Product),AND(S344&gt;=m_From,S344&lt;=m_To)),1,0)</f>
        <v/>
      </c>
      <c r="V344" s="36">
        <f>IF(AND(OR(sel_Region="All",C344=sel_Region),OR(sel_Channel="All",E344=sel_Channel),OR(sel_Customer="All",F344=sel_Customer),OR(sel_Category="All",G344=sel_Category),OR(sel_Product="All",H344=sel_Product),AND(S344&gt;=m_From,S344&lt;=m_To)),1,0)</f>
        <v/>
      </c>
      <c r="W344" s="36">
        <f>IF(AND(OR(sel_Region="All",C344=sel_Region),OR(sel_Country="All",D344=sel_Country),OR(sel_Customer="All",F344=sel_Customer),OR(sel_Category="All",G344=sel_Category),OR(sel_Product="All",H344=sel_Product),AND(S344&gt;=m_From,S344&lt;=m_To)),1,0)</f>
        <v/>
      </c>
      <c r="X344" s="36">
        <f>IF(AND(OR(sel_Region="All",C344=sel_Region),OR(sel_Country="All",D344=sel_Country),OR(sel_Channel="All",E344=sel_Channel),OR(sel_Category="All",G344=sel_Category),OR(sel_Product="All",H344=sel_Product),AND(S344&gt;=m_From,S344&lt;=m_To)),1,0)</f>
        <v/>
      </c>
      <c r="Y344" s="36">
        <f>IF(AND(OR(sel_Region="All",C344=sel_Region),OR(sel_Country="All",D344=sel_Country),OR(sel_Channel="All",E344=sel_Channel),OR(sel_Customer="All",F344=sel_Customer),OR(sel_Product="All",H344=sel_Product),AND(S344&gt;=m_From,S344&lt;=m_To)),1,0)</f>
        <v/>
      </c>
      <c r="Z344" s="36">
        <f>IF(AND(OR(sel_Region="All",C344=sel_Region),OR(sel_Country="All",D344=sel_Country),OR(sel_Channel="All",E344=sel_Channel),OR(sel_Customer="All",F344=sel_Customer),OR(sel_Category="All",G344=sel_Category),AND(S344&gt;=m_From,S344&lt;=m_To)),1,0)</f>
        <v/>
      </c>
      <c r="AA344" s="36">
        <f>IF(AND(OR(sel_Region="All",C344=sel_Region),OR(sel_Country="All",D344=sel_Country),OR(sel_Channel="All",E344=sel_Channel),OR(sel_Customer="All",F344=sel_Customer),OR(sel_Category="All",G344=sel_Category),OR(sel_Product="All",H344=sel_Product)),1,0)</f>
        <v/>
      </c>
    </row>
    <row r="345">
      <c r="A345" s="36" t="inlineStr">
        <is>
          <t>00759</t>
        </is>
      </c>
      <c r="B345" s="44" t="n">
        <v>46093</v>
      </c>
      <c r="C345" s="36" t="inlineStr">
        <is>
          <t>Central Europe</t>
        </is>
      </c>
      <c r="D345" s="36" t="inlineStr">
        <is>
          <t>Germany</t>
        </is>
      </c>
      <c r="E345" s="36" t="inlineStr">
        <is>
          <t>Online Store</t>
        </is>
      </c>
      <c r="F345" s="36" t="inlineStr">
        <is>
          <t>New</t>
        </is>
      </c>
      <c r="G345" s="36" t="inlineStr">
        <is>
          <t>Fitness</t>
        </is>
      </c>
      <c r="H345" s="36" t="inlineStr">
        <is>
          <t>Training Mat</t>
        </is>
      </c>
      <c r="I345" s="36" t="n">
        <v>1</v>
      </c>
      <c r="J345" s="39" t="n">
        <v>49.79</v>
      </c>
      <c r="K345" s="45" t="n">
        <v>0.1</v>
      </c>
      <c r="L345" s="39" t="n">
        <v>22.29</v>
      </c>
      <c r="M345" s="39">
        <f>I345*J345*(1-K345)</f>
        <v/>
      </c>
      <c r="N345" s="39">
        <f>I345*L345</f>
        <v/>
      </c>
      <c r="O345" s="39">
        <f>M345-N345</f>
        <v/>
      </c>
      <c r="P345" s="38">
        <f>IF(M345=0,0,O345/M345)</f>
        <v/>
      </c>
      <c r="Q345" s="36">
        <f>YEAR(B345)</f>
        <v/>
      </c>
      <c r="R345" s="36">
        <f>"Q"&amp;ROUNDUP(MONTH(B345)/3,0)</f>
        <v/>
      </c>
      <c r="S345" s="36">
        <f>MONTH(B345)</f>
        <v/>
      </c>
      <c r="T345" s="36">
        <f>TEXT(B345,"mmm")</f>
        <v/>
      </c>
      <c r="U345" s="36">
        <f>IF(AND(OR(sel_Region="All",C345=sel_Region),OR(sel_Country="All",D345=sel_Country),OR(sel_Channel="All",E345=sel_Channel),OR(sel_Customer="All",F345=sel_Customer),OR(sel_Category="All",G345=sel_Category),OR(sel_Product="All",H345=sel_Product),AND(S345&gt;=m_From,S345&lt;=m_To)),1,0)</f>
        <v/>
      </c>
      <c r="V345" s="36">
        <f>IF(AND(OR(sel_Region="All",C345=sel_Region),OR(sel_Channel="All",E345=sel_Channel),OR(sel_Customer="All",F345=sel_Customer),OR(sel_Category="All",G345=sel_Category),OR(sel_Product="All",H345=sel_Product),AND(S345&gt;=m_From,S345&lt;=m_To)),1,0)</f>
        <v/>
      </c>
      <c r="W345" s="36">
        <f>IF(AND(OR(sel_Region="All",C345=sel_Region),OR(sel_Country="All",D345=sel_Country),OR(sel_Customer="All",F345=sel_Customer),OR(sel_Category="All",G345=sel_Category),OR(sel_Product="All",H345=sel_Product),AND(S345&gt;=m_From,S345&lt;=m_To)),1,0)</f>
        <v/>
      </c>
      <c r="X345" s="36">
        <f>IF(AND(OR(sel_Region="All",C345=sel_Region),OR(sel_Country="All",D345=sel_Country),OR(sel_Channel="All",E345=sel_Channel),OR(sel_Category="All",G345=sel_Category),OR(sel_Product="All",H345=sel_Product),AND(S345&gt;=m_From,S345&lt;=m_To)),1,0)</f>
        <v/>
      </c>
      <c r="Y345" s="36">
        <f>IF(AND(OR(sel_Region="All",C345=sel_Region),OR(sel_Country="All",D345=sel_Country),OR(sel_Channel="All",E345=sel_Channel),OR(sel_Customer="All",F345=sel_Customer),OR(sel_Product="All",H345=sel_Product),AND(S345&gt;=m_From,S345&lt;=m_To)),1,0)</f>
        <v/>
      </c>
      <c r="Z345" s="36">
        <f>IF(AND(OR(sel_Region="All",C345=sel_Region),OR(sel_Country="All",D345=sel_Country),OR(sel_Channel="All",E345=sel_Channel),OR(sel_Customer="All",F345=sel_Customer),OR(sel_Category="All",G345=sel_Category),AND(S345&gt;=m_From,S345&lt;=m_To)),1,0)</f>
        <v/>
      </c>
      <c r="AA345" s="36">
        <f>IF(AND(OR(sel_Region="All",C345=sel_Region),OR(sel_Country="All",D345=sel_Country),OR(sel_Channel="All",E345=sel_Channel),OR(sel_Customer="All",F345=sel_Customer),OR(sel_Category="All",G345=sel_Category),OR(sel_Product="All",H345=sel_Product)),1,0)</f>
        <v/>
      </c>
    </row>
    <row r="346">
      <c r="A346" s="36" t="inlineStr">
        <is>
          <t>01097</t>
        </is>
      </c>
      <c r="B346" s="44" t="n">
        <v>46093</v>
      </c>
      <c r="C346" s="36" t="inlineStr">
        <is>
          <t>Northern Europe</t>
        </is>
      </c>
      <c r="D346" s="36" t="inlineStr">
        <is>
          <t>Sweden</t>
        </is>
      </c>
      <c r="E346" s="36" t="inlineStr">
        <is>
          <t>Marketplace</t>
        </is>
      </c>
      <c r="F346" s="36" t="inlineStr">
        <is>
          <t>New</t>
        </is>
      </c>
      <c r="G346" s="36" t="inlineStr">
        <is>
          <t>Cycling</t>
        </is>
      </c>
      <c r="H346" s="36" t="inlineStr">
        <is>
          <t>Compact Repair Kit</t>
        </is>
      </c>
      <c r="I346" s="36" t="n">
        <v>1</v>
      </c>
      <c r="J346" s="39" t="n">
        <v>41.24</v>
      </c>
      <c r="K346" s="45" t="n">
        <v>0.05</v>
      </c>
      <c r="L346" s="39" t="n">
        <v>16.64</v>
      </c>
      <c r="M346" s="39">
        <f>I346*J346*(1-K346)</f>
        <v/>
      </c>
      <c r="N346" s="39">
        <f>I346*L346</f>
        <v/>
      </c>
      <c r="O346" s="39">
        <f>M346-N346</f>
        <v/>
      </c>
      <c r="P346" s="38">
        <f>IF(M346=0,0,O346/M346)</f>
        <v/>
      </c>
      <c r="Q346" s="36">
        <f>YEAR(B346)</f>
        <v/>
      </c>
      <c r="R346" s="36">
        <f>"Q"&amp;ROUNDUP(MONTH(B346)/3,0)</f>
        <v/>
      </c>
      <c r="S346" s="36">
        <f>MONTH(B346)</f>
        <v/>
      </c>
      <c r="T346" s="36">
        <f>TEXT(B346,"mmm")</f>
        <v/>
      </c>
      <c r="U346" s="36">
        <f>IF(AND(OR(sel_Region="All",C346=sel_Region),OR(sel_Country="All",D346=sel_Country),OR(sel_Channel="All",E346=sel_Channel),OR(sel_Customer="All",F346=sel_Customer),OR(sel_Category="All",G346=sel_Category),OR(sel_Product="All",H346=sel_Product),AND(S346&gt;=m_From,S346&lt;=m_To)),1,0)</f>
        <v/>
      </c>
      <c r="V346" s="36">
        <f>IF(AND(OR(sel_Region="All",C346=sel_Region),OR(sel_Channel="All",E346=sel_Channel),OR(sel_Customer="All",F346=sel_Customer),OR(sel_Category="All",G346=sel_Category),OR(sel_Product="All",H346=sel_Product),AND(S346&gt;=m_From,S346&lt;=m_To)),1,0)</f>
        <v/>
      </c>
      <c r="W346" s="36">
        <f>IF(AND(OR(sel_Region="All",C346=sel_Region),OR(sel_Country="All",D346=sel_Country),OR(sel_Customer="All",F346=sel_Customer),OR(sel_Category="All",G346=sel_Category),OR(sel_Product="All",H346=sel_Product),AND(S346&gt;=m_From,S346&lt;=m_To)),1,0)</f>
        <v/>
      </c>
      <c r="X346" s="36">
        <f>IF(AND(OR(sel_Region="All",C346=sel_Region),OR(sel_Country="All",D346=sel_Country),OR(sel_Channel="All",E346=sel_Channel),OR(sel_Category="All",G346=sel_Category),OR(sel_Product="All",H346=sel_Product),AND(S346&gt;=m_From,S346&lt;=m_To)),1,0)</f>
        <v/>
      </c>
      <c r="Y346" s="36">
        <f>IF(AND(OR(sel_Region="All",C346=sel_Region),OR(sel_Country="All",D346=sel_Country),OR(sel_Channel="All",E346=sel_Channel),OR(sel_Customer="All",F346=sel_Customer),OR(sel_Product="All",H346=sel_Product),AND(S346&gt;=m_From,S346&lt;=m_To)),1,0)</f>
        <v/>
      </c>
      <c r="Z346" s="36">
        <f>IF(AND(OR(sel_Region="All",C346=sel_Region),OR(sel_Country="All",D346=sel_Country),OR(sel_Channel="All",E346=sel_Channel),OR(sel_Customer="All",F346=sel_Customer),OR(sel_Category="All",G346=sel_Category),AND(S346&gt;=m_From,S346&lt;=m_To)),1,0)</f>
        <v/>
      </c>
      <c r="AA346" s="36">
        <f>IF(AND(OR(sel_Region="All",C346=sel_Region),OR(sel_Country="All",D346=sel_Country),OR(sel_Channel="All",E346=sel_Channel),OR(sel_Customer="All",F346=sel_Customer),OR(sel_Category="All",G346=sel_Category),OR(sel_Product="All",H346=sel_Product)),1,0)</f>
        <v/>
      </c>
    </row>
    <row r="347">
      <c r="A347" s="36" t="inlineStr">
        <is>
          <t>02152</t>
        </is>
      </c>
      <c r="B347" s="44" t="n">
        <v>46093</v>
      </c>
      <c r="C347" s="36" t="inlineStr">
        <is>
          <t>Southern Europe</t>
        </is>
      </c>
      <c r="D347" s="36" t="inlineStr">
        <is>
          <t>Portugal</t>
        </is>
      </c>
      <c r="E347" s="36" t="inlineStr">
        <is>
          <t>Online Store</t>
        </is>
      </c>
      <c r="F347" s="36" t="inlineStr">
        <is>
          <t>New</t>
        </is>
      </c>
      <c r="G347" s="36" t="inlineStr">
        <is>
          <t>Hiking</t>
        </is>
      </c>
      <c r="H347" s="36" t="inlineStr">
        <is>
          <t>Trail Boots</t>
        </is>
      </c>
      <c r="I347" s="36" t="n">
        <v>1</v>
      </c>
      <c r="J347" s="39" t="n">
        <v>142.89</v>
      </c>
      <c r="K347" s="45" t="n">
        <v>0</v>
      </c>
      <c r="L347" s="39" t="n">
        <v>81.09999999999999</v>
      </c>
      <c r="M347" s="39">
        <f>I347*J347*(1-K347)</f>
        <v/>
      </c>
      <c r="N347" s="39">
        <f>I347*L347</f>
        <v/>
      </c>
      <c r="O347" s="39">
        <f>M347-N347</f>
        <v/>
      </c>
      <c r="P347" s="38">
        <f>IF(M347=0,0,O347/M347)</f>
        <v/>
      </c>
      <c r="Q347" s="36">
        <f>YEAR(B347)</f>
        <v/>
      </c>
      <c r="R347" s="36">
        <f>"Q"&amp;ROUNDUP(MONTH(B347)/3,0)</f>
        <v/>
      </c>
      <c r="S347" s="36">
        <f>MONTH(B347)</f>
        <v/>
      </c>
      <c r="T347" s="36">
        <f>TEXT(B347,"mmm")</f>
        <v/>
      </c>
      <c r="U347" s="36">
        <f>IF(AND(OR(sel_Region="All",C347=sel_Region),OR(sel_Country="All",D347=sel_Country),OR(sel_Channel="All",E347=sel_Channel),OR(sel_Customer="All",F347=sel_Customer),OR(sel_Category="All",G347=sel_Category),OR(sel_Product="All",H347=sel_Product),AND(S347&gt;=m_From,S347&lt;=m_To)),1,0)</f>
        <v/>
      </c>
      <c r="V347" s="36">
        <f>IF(AND(OR(sel_Region="All",C347=sel_Region),OR(sel_Channel="All",E347=sel_Channel),OR(sel_Customer="All",F347=sel_Customer),OR(sel_Category="All",G347=sel_Category),OR(sel_Product="All",H347=sel_Product),AND(S347&gt;=m_From,S347&lt;=m_To)),1,0)</f>
        <v/>
      </c>
      <c r="W347" s="36">
        <f>IF(AND(OR(sel_Region="All",C347=sel_Region),OR(sel_Country="All",D347=sel_Country),OR(sel_Customer="All",F347=sel_Customer),OR(sel_Category="All",G347=sel_Category),OR(sel_Product="All",H347=sel_Product),AND(S347&gt;=m_From,S347&lt;=m_To)),1,0)</f>
        <v/>
      </c>
      <c r="X347" s="36">
        <f>IF(AND(OR(sel_Region="All",C347=sel_Region),OR(sel_Country="All",D347=sel_Country),OR(sel_Channel="All",E347=sel_Channel),OR(sel_Category="All",G347=sel_Category),OR(sel_Product="All",H347=sel_Product),AND(S347&gt;=m_From,S347&lt;=m_To)),1,0)</f>
        <v/>
      </c>
      <c r="Y347" s="36">
        <f>IF(AND(OR(sel_Region="All",C347=sel_Region),OR(sel_Country="All",D347=sel_Country),OR(sel_Channel="All",E347=sel_Channel),OR(sel_Customer="All",F347=sel_Customer),OR(sel_Product="All",H347=sel_Product),AND(S347&gt;=m_From,S347&lt;=m_To)),1,0)</f>
        <v/>
      </c>
      <c r="Z347" s="36">
        <f>IF(AND(OR(sel_Region="All",C347=sel_Region),OR(sel_Country="All",D347=sel_Country),OR(sel_Channel="All",E347=sel_Channel),OR(sel_Customer="All",F347=sel_Customer),OR(sel_Category="All",G347=sel_Category),AND(S347&gt;=m_From,S347&lt;=m_To)),1,0)</f>
        <v/>
      </c>
      <c r="AA347" s="36">
        <f>IF(AND(OR(sel_Region="All",C347=sel_Region),OR(sel_Country="All",D347=sel_Country),OR(sel_Channel="All",E347=sel_Channel),OR(sel_Customer="All",F347=sel_Customer),OR(sel_Category="All",G347=sel_Category),OR(sel_Product="All",H347=sel_Product)),1,0)</f>
        <v/>
      </c>
    </row>
    <row r="348">
      <c r="A348" s="36" t="inlineStr">
        <is>
          <t>02512</t>
        </is>
      </c>
      <c r="B348" s="44" t="n">
        <v>46093</v>
      </c>
      <c r="C348" s="36" t="inlineStr">
        <is>
          <t>Central Europe</t>
        </is>
      </c>
      <c r="D348" s="36" t="inlineStr">
        <is>
          <t>Czechia</t>
        </is>
      </c>
      <c r="E348" s="36" t="inlineStr">
        <is>
          <t>Online Store</t>
        </is>
      </c>
      <c r="F348" s="36" t="inlineStr">
        <is>
          <t>New</t>
        </is>
      </c>
      <c r="G348" s="36" t="inlineStr">
        <is>
          <t>Camping</t>
        </is>
      </c>
      <c r="H348" s="36" t="inlineStr">
        <is>
          <t>Trail Tent 2P</t>
        </is>
      </c>
      <c r="I348" s="36" t="n">
        <v>2</v>
      </c>
      <c r="J348" s="39" t="n">
        <v>192.76</v>
      </c>
      <c r="K348" s="45" t="n">
        <v>0</v>
      </c>
      <c r="L348" s="39" t="n">
        <v>103.08</v>
      </c>
      <c r="M348" s="39">
        <f>I348*J348*(1-K348)</f>
        <v/>
      </c>
      <c r="N348" s="39">
        <f>I348*L348</f>
        <v/>
      </c>
      <c r="O348" s="39">
        <f>M348-N348</f>
        <v/>
      </c>
      <c r="P348" s="38">
        <f>IF(M348=0,0,O348/M348)</f>
        <v/>
      </c>
      <c r="Q348" s="36">
        <f>YEAR(B348)</f>
        <v/>
      </c>
      <c r="R348" s="36">
        <f>"Q"&amp;ROUNDUP(MONTH(B348)/3,0)</f>
        <v/>
      </c>
      <c r="S348" s="36">
        <f>MONTH(B348)</f>
        <v/>
      </c>
      <c r="T348" s="36">
        <f>TEXT(B348,"mmm")</f>
        <v/>
      </c>
      <c r="U348" s="36">
        <f>IF(AND(OR(sel_Region="All",C348=sel_Region),OR(sel_Country="All",D348=sel_Country),OR(sel_Channel="All",E348=sel_Channel),OR(sel_Customer="All",F348=sel_Customer),OR(sel_Category="All",G348=sel_Category),OR(sel_Product="All",H348=sel_Product),AND(S348&gt;=m_From,S348&lt;=m_To)),1,0)</f>
        <v/>
      </c>
      <c r="V348" s="36">
        <f>IF(AND(OR(sel_Region="All",C348=sel_Region),OR(sel_Channel="All",E348=sel_Channel),OR(sel_Customer="All",F348=sel_Customer),OR(sel_Category="All",G348=sel_Category),OR(sel_Product="All",H348=sel_Product),AND(S348&gt;=m_From,S348&lt;=m_To)),1,0)</f>
        <v/>
      </c>
      <c r="W348" s="36">
        <f>IF(AND(OR(sel_Region="All",C348=sel_Region),OR(sel_Country="All",D348=sel_Country),OR(sel_Customer="All",F348=sel_Customer),OR(sel_Category="All",G348=sel_Category),OR(sel_Product="All",H348=sel_Product),AND(S348&gt;=m_From,S348&lt;=m_To)),1,0)</f>
        <v/>
      </c>
      <c r="X348" s="36">
        <f>IF(AND(OR(sel_Region="All",C348=sel_Region),OR(sel_Country="All",D348=sel_Country),OR(sel_Channel="All",E348=sel_Channel),OR(sel_Category="All",G348=sel_Category),OR(sel_Product="All",H348=sel_Product),AND(S348&gt;=m_From,S348&lt;=m_To)),1,0)</f>
        <v/>
      </c>
      <c r="Y348" s="36">
        <f>IF(AND(OR(sel_Region="All",C348=sel_Region),OR(sel_Country="All",D348=sel_Country),OR(sel_Channel="All",E348=sel_Channel),OR(sel_Customer="All",F348=sel_Customer),OR(sel_Product="All",H348=sel_Product),AND(S348&gt;=m_From,S348&lt;=m_To)),1,0)</f>
        <v/>
      </c>
      <c r="Z348" s="36">
        <f>IF(AND(OR(sel_Region="All",C348=sel_Region),OR(sel_Country="All",D348=sel_Country),OR(sel_Channel="All",E348=sel_Channel),OR(sel_Customer="All",F348=sel_Customer),OR(sel_Category="All",G348=sel_Category),AND(S348&gt;=m_From,S348&lt;=m_To)),1,0)</f>
        <v/>
      </c>
      <c r="AA348" s="36">
        <f>IF(AND(OR(sel_Region="All",C348=sel_Region),OR(sel_Country="All",D348=sel_Country),OR(sel_Channel="All",E348=sel_Channel),OR(sel_Customer="All",F348=sel_Customer),OR(sel_Category="All",G348=sel_Category),OR(sel_Product="All",H348=sel_Product)),1,0)</f>
        <v/>
      </c>
    </row>
    <row r="349">
      <c r="A349" s="36" t="inlineStr">
        <is>
          <t>02578</t>
        </is>
      </c>
      <c r="B349" s="44" t="n">
        <v>46093</v>
      </c>
      <c r="C349" s="36" t="inlineStr">
        <is>
          <t>Northern Europe</t>
        </is>
      </c>
      <c r="D349" s="36" t="inlineStr">
        <is>
          <t>Denmark</t>
        </is>
      </c>
      <c r="E349" s="36" t="inlineStr">
        <is>
          <t>Online Store</t>
        </is>
      </c>
      <c r="F349" s="36" t="inlineStr">
        <is>
          <t>New</t>
        </is>
      </c>
      <c r="G349" s="36" t="inlineStr">
        <is>
          <t>Travel</t>
        </is>
      </c>
      <c r="H349" s="36" t="inlineStr">
        <is>
          <t>Travel Backpack 35L</t>
        </is>
      </c>
      <c r="I349" s="36" t="n">
        <v>1</v>
      </c>
      <c r="J349" s="39" t="n">
        <v>165.72</v>
      </c>
      <c r="K349" s="45" t="n">
        <v>0</v>
      </c>
      <c r="L349" s="39" t="n">
        <v>89.31</v>
      </c>
      <c r="M349" s="39">
        <f>I349*J349*(1-K349)</f>
        <v/>
      </c>
      <c r="N349" s="39">
        <f>I349*L349</f>
        <v/>
      </c>
      <c r="O349" s="39">
        <f>M349-N349</f>
        <v/>
      </c>
      <c r="P349" s="38">
        <f>IF(M349=0,0,O349/M349)</f>
        <v/>
      </c>
      <c r="Q349" s="36">
        <f>YEAR(B349)</f>
        <v/>
      </c>
      <c r="R349" s="36">
        <f>"Q"&amp;ROUNDUP(MONTH(B349)/3,0)</f>
        <v/>
      </c>
      <c r="S349" s="36">
        <f>MONTH(B349)</f>
        <v/>
      </c>
      <c r="T349" s="36">
        <f>TEXT(B349,"mmm")</f>
        <v/>
      </c>
      <c r="U349" s="36">
        <f>IF(AND(OR(sel_Region="All",C349=sel_Region),OR(sel_Country="All",D349=sel_Country),OR(sel_Channel="All",E349=sel_Channel),OR(sel_Customer="All",F349=sel_Customer),OR(sel_Category="All",G349=sel_Category),OR(sel_Product="All",H349=sel_Product),AND(S349&gt;=m_From,S349&lt;=m_To)),1,0)</f>
        <v/>
      </c>
      <c r="V349" s="36">
        <f>IF(AND(OR(sel_Region="All",C349=sel_Region),OR(sel_Channel="All",E349=sel_Channel),OR(sel_Customer="All",F349=sel_Customer),OR(sel_Category="All",G349=sel_Category),OR(sel_Product="All",H349=sel_Product),AND(S349&gt;=m_From,S349&lt;=m_To)),1,0)</f>
        <v/>
      </c>
      <c r="W349" s="36">
        <f>IF(AND(OR(sel_Region="All",C349=sel_Region),OR(sel_Country="All",D349=sel_Country),OR(sel_Customer="All",F349=sel_Customer),OR(sel_Category="All",G349=sel_Category),OR(sel_Product="All",H349=sel_Product),AND(S349&gt;=m_From,S349&lt;=m_To)),1,0)</f>
        <v/>
      </c>
      <c r="X349" s="36">
        <f>IF(AND(OR(sel_Region="All",C349=sel_Region),OR(sel_Country="All",D349=sel_Country),OR(sel_Channel="All",E349=sel_Channel),OR(sel_Category="All",G349=sel_Category),OR(sel_Product="All",H349=sel_Product),AND(S349&gt;=m_From,S349&lt;=m_To)),1,0)</f>
        <v/>
      </c>
      <c r="Y349" s="36">
        <f>IF(AND(OR(sel_Region="All",C349=sel_Region),OR(sel_Country="All",D349=sel_Country),OR(sel_Channel="All",E349=sel_Channel),OR(sel_Customer="All",F349=sel_Customer),OR(sel_Product="All",H349=sel_Product),AND(S349&gt;=m_From,S349&lt;=m_To)),1,0)</f>
        <v/>
      </c>
      <c r="Z349" s="36">
        <f>IF(AND(OR(sel_Region="All",C349=sel_Region),OR(sel_Country="All",D349=sel_Country),OR(sel_Channel="All",E349=sel_Channel),OR(sel_Customer="All",F349=sel_Customer),OR(sel_Category="All",G349=sel_Category),AND(S349&gt;=m_From,S349&lt;=m_To)),1,0)</f>
        <v/>
      </c>
      <c r="AA349" s="36">
        <f>IF(AND(OR(sel_Region="All",C349=sel_Region),OR(sel_Country="All",D349=sel_Country),OR(sel_Channel="All",E349=sel_Channel),OR(sel_Customer="All",F349=sel_Customer),OR(sel_Category="All",G349=sel_Category),OR(sel_Product="All",H349=sel_Product)),1,0)</f>
        <v/>
      </c>
    </row>
    <row r="350">
      <c r="A350" s="36" t="inlineStr">
        <is>
          <t>03302</t>
        </is>
      </c>
      <c r="B350" s="44" t="n">
        <v>46093</v>
      </c>
      <c r="C350" s="36" t="inlineStr">
        <is>
          <t>Western Europe</t>
        </is>
      </c>
      <c r="D350" s="36" t="inlineStr">
        <is>
          <t>Netherlands</t>
        </is>
      </c>
      <c r="E350" s="36" t="inlineStr">
        <is>
          <t>Retail Partners</t>
        </is>
      </c>
      <c r="F350" s="36" t="inlineStr">
        <is>
          <t>Business</t>
        </is>
      </c>
      <c r="G350" s="36" t="inlineStr">
        <is>
          <t>Travel</t>
        </is>
      </c>
      <c r="H350" s="36" t="inlineStr">
        <is>
          <t>Travel Backpack 35L</t>
        </is>
      </c>
      <c r="I350" s="36" t="n">
        <v>2</v>
      </c>
      <c r="J350" s="39" t="n">
        <v>164.33</v>
      </c>
      <c r="K350" s="45" t="n">
        <v>0</v>
      </c>
      <c r="L350" s="39" t="n">
        <v>86.06999999999999</v>
      </c>
      <c r="M350" s="39">
        <f>I350*J350*(1-K350)</f>
        <v/>
      </c>
      <c r="N350" s="39">
        <f>I350*L350</f>
        <v/>
      </c>
      <c r="O350" s="39">
        <f>M350-N350</f>
        <v/>
      </c>
      <c r="P350" s="38">
        <f>IF(M350=0,0,O350/M350)</f>
        <v/>
      </c>
      <c r="Q350" s="36">
        <f>YEAR(B350)</f>
        <v/>
      </c>
      <c r="R350" s="36">
        <f>"Q"&amp;ROUNDUP(MONTH(B350)/3,0)</f>
        <v/>
      </c>
      <c r="S350" s="36">
        <f>MONTH(B350)</f>
        <v/>
      </c>
      <c r="T350" s="36">
        <f>TEXT(B350,"mmm")</f>
        <v/>
      </c>
      <c r="U350" s="36">
        <f>IF(AND(OR(sel_Region="All",C350=sel_Region),OR(sel_Country="All",D350=sel_Country),OR(sel_Channel="All",E350=sel_Channel),OR(sel_Customer="All",F350=sel_Customer),OR(sel_Category="All",G350=sel_Category),OR(sel_Product="All",H350=sel_Product),AND(S350&gt;=m_From,S350&lt;=m_To)),1,0)</f>
        <v/>
      </c>
      <c r="V350" s="36">
        <f>IF(AND(OR(sel_Region="All",C350=sel_Region),OR(sel_Channel="All",E350=sel_Channel),OR(sel_Customer="All",F350=sel_Customer),OR(sel_Category="All",G350=sel_Category),OR(sel_Product="All",H350=sel_Product),AND(S350&gt;=m_From,S350&lt;=m_To)),1,0)</f>
        <v/>
      </c>
      <c r="W350" s="36">
        <f>IF(AND(OR(sel_Region="All",C350=sel_Region),OR(sel_Country="All",D350=sel_Country),OR(sel_Customer="All",F350=sel_Customer),OR(sel_Category="All",G350=sel_Category),OR(sel_Product="All",H350=sel_Product),AND(S350&gt;=m_From,S350&lt;=m_To)),1,0)</f>
        <v/>
      </c>
      <c r="X350" s="36">
        <f>IF(AND(OR(sel_Region="All",C350=sel_Region),OR(sel_Country="All",D350=sel_Country),OR(sel_Channel="All",E350=sel_Channel),OR(sel_Category="All",G350=sel_Category),OR(sel_Product="All",H350=sel_Product),AND(S350&gt;=m_From,S350&lt;=m_To)),1,0)</f>
        <v/>
      </c>
      <c r="Y350" s="36">
        <f>IF(AND(OR(sel_Region="All",C350=sel_Region),OR(sel_Country="All",D350=sel_Country),OR(sel_Channel="All",E350=sel_Channel),OR(sel_Customer="All",F350=sel_Customer),OR(sel_Product="All",H350=sel_Product),AND(S350&gt;=m_From,S350&lt;=m_To)),1,0)</f>
        <v/>
      </c>
      <c r="Z350" s="36">
        <f>IF(AND(OR(sel_Region="All",C350=sel_Region),OR(sel_Country="All",D350=sel_Country),OR(sel_Channel="All",E350=sel_Channel),OR(sel_Customer="All",F350=sel_Customer),OR(sel_Category="All",G350=sel_Category),AND(S350&gt;=m_From,S350&lt;=m_To)),1,0)</f>
        <v/>
      </c>
      <c r="AA350" s="36">
        <f>IF(AND(OR(sel_Region="All",C350=sel_Region),OR(sel_Country="All",D350=sel_Country),OR(sel_Channel="All",E350=sel_Channel),OR(sel_Customer="All",F350=sel_Customer),OR(sel_Category="All",G350=sel_Category),OR(sel_Product="All",H350=sel_Product)),1,0)</f>
        <v/>
      </c>
    </row>
    <row r="351">
      <c r="A351" s="36" t="inlineStr">
        <is>
          <t>03752</t>
        </is>
      </c>
      <c r="B351" s="44" t="n">
        <v>46093</v>
      </c>
      <c r="C351" s="36" t="inlineStr">
        <is>
          <t>Western Europe</t>
        </is>
      </c>
      <c r="D351" s="36" t="inlineStr">
        <is>
          <t>United Kingdom</t>
        </is>
      </c>
      <c r="E351" s="36" t="inlineStr">
        <is>
          <t>Corporate</t>
        </is>
      </c>
      <c r="F351" s="36" t="inlineStr">
        <is>
          <t>Business</t>
        </is>
      </c>
      <c r="G351" s="36" t="inlineStr">
        <is>
          <t>Travel</t>
        </is>
      </c>
      <c r="H351" s="36" t="inlineStr">
        <is>
          <t>Packing Cube Set</t>
        </is>
      </c>
      <c r="I351" s="36" t="n">
        <v>3</v>
      </c>
      <c r="J351" s="39" t="n">
        <v>45.8</v>
      </c>
      <c r="K351" s="45" t="n">
        <v>0.15</v>
      </c>
      <c r="L351" s="39" t="n">
        <v>18.47</v>
      </c>
      <c r="M351" s="39">
        <f>I351*J351*(1-K351)</f>
        <v/>
      </c>
      <c r="N351" s="39">
        <f>I351*L351</f>
        <v/>
      </c>
      <c r="O351" s="39">
        <f>M351-N351</f>
        <v/>
      </c>
      <c r="P351" s="38">
        <f>IF(M351=0,0,O351/M351)</f>
        <v/>
      </c>
      <c r="Q351" s="36">
        <f>YEAR(B351)</f>
        <v/>
      </c>
      <c r="R351" s="36">
        <f>"Q"&amp;ROUNDUP(MONTH(B351)/3,0)</f>
        <v/>
      </c>
      <c r="S351" s="36">
        <f>MONTH(B351)</f>
        <v/>
      </c>
      <c r="T351" s="36">
        <f>TEXT(B351,"mmm")</f>
        <v/>
      </c>
      <c r="U351" s="36">
        <f>IF(AND(OR(sel_Region="All",C351=sel_Region),OR(sel_Country="All",D351=sel_Country),OR(sel_Channel="All",E351=sel_Channel),OR(sel_Customer="All",F351=sel_Customer),OR(sel_Category="All",G351=sel_Category),OR(sel_Product="All",H351=sel_Product),AND(S351&gt;=m_From,S351&lt;=m_To)),1,0)</f>
        <v/>
      </c>
      <c r="V351" s="36">
        <f>IF(AND(OR(sel_Region="All",C351=sel_Region),OR(sel_Channel="All",E351=sel_Channel),OR(sel_Customer="All",F351=sel_Customer),OR(sel_Category="All",G351=sel_Category),OR(sel_Product="All",H351=sel_Product),AND(S351&gt;=m_From,S351&lt;=m_To)),1,0)</f>
        <v/>
      </c>
      <c r="W351" s="36">
        <f>IF(AND(OR(sel_Region="All",C351=sel_Region),OR(sel_Country="All",D351=sel_Country),OR(sel_Customer="All",F351=sel_Customer),OR(sel_Category="All",G351=sel_Category),OR(sel_Product="All",H351=sel_Product),AND(S351&gt;=m_From,S351&lt;=m_To)),1,0)</f>
        <v/>
      </c>
      <c r="X351" s="36">
        <f>IF(AND(OR(sel_Region="All",C351=sel_Region),OR(sel_Country="All",D351=sel_Country),OR(sel_Channel="All",E351=sel_Channel),OR(sel_Category="All",G351=sel_Category),OR(sel_Product="All",H351=sel_Product),AND(S351&gt;=m_From,S351&lt;=m_To)),1,0)</f>
        <v/>
      </c>
      <c r="Y351" s="36">
        <f>IF(AND(OR(sel_Region="All",C351=sel_Region),OR(sel_Country="All",D351=sel_Country),OR(sel_Channel="All",E351=sel_Channel),OR(sel_Customer="All",F351=sel_Customer),OR(sel_Product="All",H351=sel_Product),AND(S351&gt;=m_From,S351&lt;=m_To)),1,0)</f>
        <v/>
      </c>
      <c r="Z351" s="36">
        <f>IF(AND(OR(sel_Region="All",C351=sel_Region),OR(sel_Country="All",D351=sel_Country),OR(sel_Channel="All",E351=sel_Channel),OR(sel_Customer="All",F351=sel_Customer),OR(sel_Category="All",G351=sel_Category),AND(S351&gt;=m_From,S351&lt;=m_To)),1,0)</f>
        <v/>
      </c>
      <c r="AA351" s="36">
        <f>IF(AND(OR(sel_Region="All",C351=sel_Region),OR(sel_Country="All",D351=sel_Country),OR(sel_Channel="All",E351=sel_Channel),OR(sel_Customer="All",F351=sel_Customer),OR(sel_Category="All",G351=sel_Category),OR(sel_Product="All",H351=sel_Product)),1,0)</f>
        <v/>
      </c>
    </row>
    <row r="352">
      <c r="A352" s="36" t="inlineStr">
        <is>
          <t>04839</t>
        </is>
      </c>
      <c r="B352" s="44" t="n">
        <v>46093</v>
      </c>
      <c r="C352" s="36" t="inlineStr">
        <is>
          <t>Central Europe</t>
        </is>
      </c>
      <c r="D352" s="36" t="inlineStr">
        <is>
          <t>Czechia</t>
        </is>
      </c>
      <c r="E352" s="36" t="inlineStr">
        <is>
          <t>Online Store</t>
        </is>
      </c>
      <c r="F352" s="36" t="inlineStr">
        <is>
          <t>New</t>
        </is>
      </c>
      <c r="G352" s="36" t="inlineStr">
        <is>
          <t>Cycling</t>
        </is>
      </c>
      <c r="H352" s="36" t="inlineStr">
        <is>
          <t>Cycling Pack 12L</t>
        </is>
      </c>
      <c r="I352" s="36" t="n">
        <v>2</v>
      </c>
      <c r="J352" s="39" t="n">
        <v>103.08</v>
      </c>
      <c r="K352" s="45" t="n">
        <v>0.05</v>
      </c>
      <c r="L352" s="39" t="n">
        <v>49.27</v>
      </c>
      <c r="M352" s="39">
        <f>I352*J352*(1-K352)</f>
        <v/>
      </c>
      <c r="N352" s="39">
        <f>I352*L352</f>
        <v/>
      </c>
      <c r="O352" s="39">
        <f>M352-N352</f>
        <v/>
      </c>
      <c r="P352" s="38">
        <f>IF(M352=0,0,O352/M352)</f>
        <v/>
      </c>
      <c r="Q352" s="36">
        <f>YEAR(B352)</f>
        <v/>
      </c>
      <c r="R352" s="36">
        <f>"Q"&amp;ROUNDUP(MONTH(B352)/3,0)</f>
        <v/>
      </c>
      <c r="S352" s="36">
        <f>MONTH(B352)</f>
        <v/>
      </c>
      <c r="T352" s="36">
        <f>TEXT(B352,"mmm")</f>
        <v/>
      </c>
      <c r="U352" s="36">
        <f>IF(AND(OR(sel_Region="All",C352=sel_Region),OR(sel_Country="All",D352=sel_Country),OR(sel_Channel="All",E352=sel_Channel),OR(sel_Customer="All",F352=sel_Customer),OR(sel_Category="All",G352=sel_Category),OR(sel_Product="All",H352=sel_Product),AND(S352&gt;=m_From,S352&lt;=m_To)),1,0)</f>
        <v/>
      </c>
      <c r="V352" s="36">
        <f>IF(AND(OR(sel_Region="All",C352=sel_Region),OR(sel_Channel="All",E352=sel_Channel),OR(sel_Customer="All",F352=sel_Customer),OR(sel_Category="All",G352=sel_Category),OR(sel_Product="All",H352=sel_Product),AND(S352&gt;=m_From,S352&lt;=m_To)),1,0)</f>
        <v/>
      </c>
      <c r="W352" s="36">
        <f>IF(AND(OR(sel_Region="All",C352=sel_Region),OR(sel_Country="All",D352=sel_Country),OR(sel_Customer="All",F352=sel_Customer),OR(sel_Category="All",G352=sel_Category),OR(sel_Product="All",H352=sel_Product),AND(S352&gt;=m_From,S352&lt;=m_To)),1,0)</f>
        <v/>
      </c>
      <c r="X352" s="36">
        <f>IF(AND(OR(sel_Region="All",C352=sel_Region),OR(sel_Country="All",D352=sel_Country),OR(sel_Channel="All",E352=sel_Channel),OR(sel_Category="All",G352=sel_Category),OR(sel_Product="All",H352=sel_Product),AND(S352&gt;=m_From,S352&lt;=m_To)),1,0)</f>
        <v/>
      </c>
      <c r="Y352" s="36">
        <f>IF(AND(OR(sel_Region="All",C352=sel_Region),OR(sel_Country="All",D352=sel_Country),OR(sel_Channel="All",E352=sel_Channel),OR(sel_Customer="All",F352=sel_Customer),OR(sel_Product="All",H352=sel_Product),AND(S352&gt;=m_From,S352&lt;=m_To)),1,0)</f>
        <v/>
      </c>
      <c r="Z352" s="36">
        <f>IF(AND(OR(sel_Region="All",C352=sel_Region),OR(sel_Country="All",D352=sel_Country),OR(sel_Channel="All",E352=sel_Channel),OR(sel_Customer="All",F352=sel_Customer),OR(sel_Category="All",G352=sel_Category),AND(S352&gt;=m_From,S352&lt;=m_To)),1,0)</f>
        <v/>
      </c>
      <c r="AA352" s="36">
        <f>IF(AND(OR(sel_Region="All",C352=sel_Region),OR(sel_Country="All",D352=sel_Country),OR(sel_Channel="All",E352=sel_Channel),OR(sel_Customer="All",F352=sel_Customer),OR(sel_Category="All",G352=sel_Category),OR(sel_Product="All",H352=sel_Product)),1,0)</f>
        <v/>
      </c>
    </row>
    <row r="353">
      <c r="A353" s="36" t="inlineStr">
        <is>
          <t>00264</t>
        </is>
      </c>
      <c r="B353" s="44" t="n">
        <v>46094</v>
      </c>
      <c r="C353" s="36" t="inlineStr">
        <is>
          <t>Southern Europe</t>
        </is>
      </c>
      <c r="D353" s="36" t="inlineStr">
        <is>
          <t>Spain</t>
        </is>
      </c>
      <c r="E353" s="36" t="inlineStr">
        <is>
          <t>Online Store</t>
        </is>
      </c>
      <c r="F353" s="36" t="inlineStr">
        <is>
          <t>Business</t>
        </is>
      </c>
      <c r="G353" s="36" t="inlineStr">
        <is>
          <t>Travel</t>
        </is>
      </c>
      <c r="H353" s="36" t="inlineStr">
        <is>
          <t>Packing Cube Set</t>
        </is>
      </c>
      <c r="I353" s="36" t="n">
        <v>4</v>
      </c>
      <c r="J353" s="39" t="n">
        <v>47.33</v>
      </c>
      <c r="K353" s="45" t="n">
        <v>0</v>
      </c>
      <c r="L353" s="39" t="n">
        <v>18.74</v>
      </c>
      <c r="M353" s="39">
        <f>I353*J353*(1-K353)</f>
        <v/>
      </c>
      <c r="N353" s="39">
        <f>I353*L353</f>
        <v/>
      </c>
      <c r="O353" s="39">
        <f>M353-N353</f>
        <v/>
      </c>
      <c r="P353" s="38">
        <f>IF(M353=0,0,O353/M353)</f>
        <v/>
      </c>
      <c r="Q353" s="36">
        <f>YEAR(B353)</f>
        <v/>
      </c>
      <c r="R353" s="36">
        <f>"Q"&amp;ROUNDUP(MONTH(B353)/3,0)</f>
        <v/>
      </c>
      <c r="S353" s="36">
        <f>MONTH(B353)</f>
        <v/>
      </c>
      <c r="T353" s="36">
        <f>TEXT(B353,"mmm")</f>
        <v/>
      </c>
      <c r="U353" s="36">
        <f>IF(AND(OR(sel_Region="All",C353=sel_Region),OR(sel_Country="All",D353=sel_Country),OR(sel_Channel="All",E353=sel_Channel),OR(sel_Customer="All",F353=sel_Customer),OR(sel_Category="All",G353=sel_Category),OR(sel_Product="All",H353=sel_Product),AND(S353&gt;=m_From,S353&lt;=m_To)),1,0)</f>
        <v/>
      </c>
      <c r="V353" s="36">
        <f>IF(AND(OR(sel_Region="All",C353=sel_Region),OR(sel_Channel="All",E353=sel_Channel),OR(sel_Customer="All",F353=sel_Customer),OR(sel_Category="All",G353=sel_Category),OR(sel_Product="All",H353=sel_Product),AND(S353&gt;=m_From,S353&lt;=m_To)),1,0)</f>
        <v/>
      </c>
      <c r="W353" s="36">
        <f>IF(AND(OR(sel_Region="All",C353=sel_Region),OR(sel_Country="All",D353=sel_Country),OR(sel_Customer="All",F353=sel_Customer),OR(sel_Category="All",G353=sel_Category),OR(sel_Product="All",H353=sel_Product),AND(S353&gt;=m_From,S353&lt;=m_To)),1,0)</f>
        <v/>
      </c>
      <c r="X353" s="36">
        <f>IF(AND(OR(sel_Region="All",C353=sel_Region),OR(sel_Country="All",D353=sel_Country),OR(sel_Channel="All",E353=sel_Channel),OR(sel_Category="All",G353=sel_Category),OR(sel_Product="All",H353=sel_Product),AND(S353&gt;=m_From,S353&lt;=m_To)),1,0)</f>
        <v/>
      </c>
      <c r="Y353" s="36">
        <f>IF(AND(OR(sel_Region="All",C353=sel_Region),OR(sel_Country="All",D353=sel_Country),OR(sel_Channel="All",E353=sel_Channel),OR(sel_Customer="All",F353=sel_Customer),OR(sel_Product="All",H353=sel_Product),AND(S353&gt;=m_From,S353&lt;=m_To)),1,0)</f>
        <v/>
      </c>
      <c r="Z353" s="36">
        <f>IF(AND(OR(sel_Region="All",C353=sel_Region),OR(sel_Country="All",D353=sel_Country),OR(sel_Channel="All",E353=sel_Channel),OR(sel_Customer="All",F353=sel_Customer),OR(sel_Category="All",G353=sel_Category),AND(S353&gt;=m_From,S353&lt;=m_To)),1,0)</f>
        <v/>
      </c>
      <c r="AA353" s="36">
        <f>IF(AND(OR(sel_Region="All",C353=sel_Region),OR(sel_Country="All",D353=sel_Country),OR(sel_Channel="All",E353=sel_Channel),OR(sel_Customer="All",F353=sel_Customer),OR(sel_Category="All",G353=sel_Category),OR(sel_Product="All",H353=sel_Product)),1,0)</f>
        <v/>
      </c>
    </row>
    <row r="354">
      <c r="A354" s="36" t="inlineStr">
        <is>
          <t>02498</t>
        </is>
      </c>
      <c r="B354" s="44" t="n">
        <v>46094</v>
      </c>
      <c r="C354" s="36" t="inlineStr">
        <is>
          <t>Northern Europe</t>
        </is>
      </c>
      <c r="D354" s="36" t="inlineStr">
        <is>
          <t>Ireland</t>
        </is>
      </c>
      <c r="E354" s="36" t="inlineStr">
        <is>
          <t>Retail Partners</t>
        </is>
      </c>
      <c r="F354" s="36" t="inlineStr">
        <is>
          <t>New</t>
        </is>
      </c>
      <c r="G354" s="36" t="inlineStr">
        <is>
          <t>Cycling</t>
        </is>
      </c>
      <c r="H354" s="36" t="inlineStr">
        <is>
          <t>Trail Bike Light</t>
        </is>
      </c>
      <c r="I354" s="36" t="n">
        <v>1</v>
      </c>
      <c r="J354" s="39" t="n">
        <v>50.04</v>
      </c>
      <c r="K354" s="45" t="n">
        <v>0</v>
      </c>
      <c r="L354" s="39" t="n">
        <v>22.64</v>
      </c>
      <c r="M354" s="39">
        <f>I354*J354*(1-K354)</f>
        <v/>
      </c>
      <c r="N354" s="39">
        <f>I354*L354</f>
        <v/>
      </c>
      <c r="O354" s="39">
        <f>M354-N354</f>
        <v/>
      </c>
      <c r="P354" s="38">
        <f>IF(M354=0,0,O354/M354)</f>
        <v/>
      </c>
      <c r="Q354" s="36">
        <f>YEAR(B354)</f>
        <v/>
      </c>
      <c r="R354" s="36">
        <f>"Q"&amp;ROUNDUP(MONTH(B354)/3,0)</f>
        <v/>
      </c>
      <c r="S354" s="36">
        <f>MONTH(B354)</f>
        <v/>
      </c>
      <c r="T354" s="36">
        <f>TEXT(B354,"mmm")</f>
        <v/>
      </c>
      <c r="U354" s="36">
        <f>IF(AND(OR(sel_Region="All",C354=sel_Region),OR(sel_Country="All",D354=sel_Country),OR(sel_Channel="All",E354=sel_Channel),OR(sel_Customer="All",F354=sel_Customer),OR(sel_Category="All",G354=sel_Category),OR(sel_Product="All",H354=sel_Product),AND(S354&gt;=m_From,S354&lt;=m_To)),1,0)</f>
        <v/>
      </c>
      <c r="V354" s="36">
        <f>IF(AND(OR(sel_Region="All",C354=sel_Region),OR(sel_Channel="All",E354=sel_Channel),OR(sel_Customer="All",F354=sel_Customer),OR(sel_Category="All",G354=sel_Category),OR(sel_Product="All",H354=sel_Product),AND(S354&gt;=m_From,S354&lt;=m_To)),1,0)</f>
        <v/>
      </c>
      <c r="W354" s="36">
        <f>IF(AND(OR(sel_Region="All",C354=sel_Region),OR(sel_Country="All",D354=sel_Country),OR(sel_Customer="All",F354=sel_Customer),OR(sel_Category="All",G354=sel_Category),OR(sel_Product="All",H354=sel_Product),AND(S354&gt;=m_From,S354&lt;=m_To)),1,0)</f>
        <v/>
      </c>
      <c r="X354" s="36">
        <f>IF(AND(OR(sel_Region="All",C354=sel_Region),OR(sel_Country="All",D354=sel_Country),OR(sel_Channel="All",E354=sel_Channel),OR(sel_Category="All",G354=sel_Category),OR(sel_Product="All",H354=sel_Product),AND(S354&gt;=m_From,S354&lt;=m_To)),1,0)</f>
        <v/>
      </c>
      <c r="Y354" s="36">
        <f>IF(AND(OR(sel_Region="All",C354=sel_Region),OR(sel_Country="All",D354=sel_Country),OR(sel_Channel="All",E354=sel_Channel),OR(sel_Customer="All",F354=sel_Customer),OR(sel_Product="All",H354=sel_Product),AND(S354&gt;=m_From,S354&lt;=m_To)),1,0)</f>
        <v/>
      </c>
      <c r="Z354" s="36">
        <f>IF(AND(OR(sel_Region="All",C354=sel_Region),OR(sel_Country="All",D354=sel_Country),OR(sel_Channel="All",E354=sel_Channel),OR(sel_Customer="All",F354=sel_Customer),OR(sel_Category="All",G354=sel_Category),AND(S354&gt;=m_From,S354&lt;=m_To)),1,0)</f>
        <v/>
      </c>
      <c r="AA354" s="36">
        <f>IF(AND(OR(sel_Region="All",C354=sel_Region),OR(sel_Country="All",D354=sel_Country),OR(sel_Channel="All",E354=sel_Channel),OR(sel_Customer="All",F354=sel_Customer),OR(sel_Category="All",G354=sel_Category),OR(sel_Product="All",H354=sel_Product)),1,0)</f>
        <v/>
      </c>
    </row>
    <row r="355">
      <c r="A355" s="36" t="inlineStr">
        <is>
          <t>03929</t>
        </is>
      </c>
      <c r="B355" s="44" t="n">
        <v>46094</v>
      </c>
      <c r="C355" s="36" t="inlineStr">
        <is>
          <t>Western Europe</t>
        </is>
      </c>
      <c r="D355" s="36" t="inlineStr">
        <is>
          <t>France</t>
        </is>
      </c>
      <c r="E355" s="36" t="inlineStr">
        <is>
          <t>Online Store</t>
        </is>
      </c>
      <c r="F355" s="36" t="inlineStr">
        <is>
          <t>New</t>
        </is>
      </c>
      <c r="G355" s="36" t="inlineStr">
        <is>
          <t>Fitness</t>
        </is>
      </c>
      <c r="H355" s="36" t="inlineStr">
        <is>
          <t>Weighted Vest</t>
        </is>
      </c>
      <c r="I355" s="36" t="n">
        <v>1</v>
      </c>
      <c r="J355" s="39" t="n">
        <v>125.69</v>
      </c>
      <c r="K355" s="45" t="n">
        <v>0</v>
      </c>
      <c r="L355" s="39" t="n">
        <v>67.15000000000001</v>
      </c>
      <c r="M355" s="39">
        <f>I355*J355*(1-K355)</f>
        <v/>
      </c>
      <c r="N355" s="39">
        <f>I355*L355</f>
        <v/>
      </c>
      <c r="O355" s="39">
        <f>M355-N355</f>
        <v/>
      </c>
      <c r="P355" s="38">
        <f>IF(M355=0,0,O355/M355)</f>
        <v/>
      </c>
      <c r="Q355" s="36">
        <f>YEAR(B355)</f>
        <v/>
      </c>
      <c r="R355" s="36">
        <f>"Q"&amp;ROUNDUP(MONTH(B355)/3,0)</f>
        <v/>
      </c>
      <c r="S355" s="36">
        <f>MONTH(B355)</f>
        <v/>
      </c>
      <c r="T355" s="36">
        <f>TEXT(B355,"mmm")</f>
        <v/>
      </c>
      <c r="U355" s="36">
        <f>IF(AND(OR(sel_Region="All",C355=sel_Region),OR(sel_Country="All",D355=sel_Country),OR(sel_Channel="All",E355=sel_Channel),OR(sel_Customer="All",F355=sel_Customer),OR(sel_Category="All",G355=sel_Category),OR(sel_Product="All",H355=sel_Product),AND(S355&gt;=m_From,S355&lt;=m_To)),1,0)</f>
        <v/>
      </c>
      <c r="V355" s="36">
        <f>IF(AND(OR(sel_Region="All",C355=sel_Region),OR(sel_Channel="All",E355=sel_Channel),OR(sel_Customer="All",F355=sel_Customer),OR(sel_Category="All",G355=sel_Category),OR(sel_Product="All",H355=sel_Product),AND(S355&gt;=m_From,S355&lt;=m_To)),1,0)</f>
        <v/>
      </c>
      <c r="W355" s="36">
        <f>IF(AND(OR(sel_Region="All",C355=sel_Region),OR(sel_Country="All",D355=sel_Country),OR(sel_Customer="All",F355=sel_Customer),OR(sel_Category="All",G355=sel_Category),OR(sel_Product="All",H355=sel_Product),AND(S355&gt;=m_From,S355&lt;=m_To)),1,0)</f>
        <v/>
      </c>
      <c r="X355" s="36">
        <f>IF(AND(OR(sel_Region="All",C355=sel_Region),OR(sel_Country="All",D355=sel_Country),OR(sel_Channel="All",E355=sel_Channel),OR(sel_Category="All",G355=sel_Category),OR(sel_Product="All",H355=sel_Product),AND(S355&gt;=m_From,S355&lt;=m_To)),1,0)</f>
        <v/>
      </c>
      <c r="Y355" s="36">
        <f>IF(AND(OR(sel_Region="All",C355=sel_Region),OR(sel_Country="All",D355=sel_Country),OR(sel_Channel="All",E355=sel_Channel),OR(sel_Customer="All",F355=sel_Customer),OR(sel_Product="All",H355=sel_Product),AND(S355&gt;=m_From,S355&lt;=m_To)),1,0)</f>
        <v/>
      </c>
      <c r="Z355" s="36">
        <f>IF(AND(OR(sel_Region="All",C355=sel_Region),OR(sel_Country="All",D355=sel_Country),OR(sel_Channel="All",E355=sel_Channel),OR(sel_Customer="All",F355=sel_Customer),OR(sel_Category="All",G355=sel_Category),AND(S355&gt;=m_From,S355&lt;=m_To)),1,0)</f>
        <v/>
      </c>
      <c r="AA355" s="36">
        <f>IF(AND(OR(sel_Region="All",C355=sel_Region),OR(sel_Country="All",D355=sel_Country),OR(sel_Channel="All",E355=sel_Channel),OR(sel_Customer="All",F355=sel_Customer),OR(sel_Category="All",G355=sel_Category),OR(sel_Product="All",H355=sel_Product)),1,0)</f>
        <v/>
      </c>
    </row>
    <row r="356">
      <c r="A356" s="36" t="inlineStr">
        <is>
          <t>04195</t>
        </is>
      </c>
      <c r="B356" s="44" t="n">
        <v>46094</v>
      </c>
      <c r="C356" s="36" t="inlineStr">
        <is>
          <t>Western Europe</t>
        </is>
      </c>
      <c r="D356" s="36" t="inlineStr">
        <is>
          <t>France</t>
        </is>
      </c>
      <c r="E356" s="36" t="inlineStr">
        <is>
          <t>Marketplace</t>
        </is>
      </c>
      <c r="F356" s="36" t="inlineStr">
        <is>
          <t>New</t>
        </is>
      </c>
      <c r="G356" s="36" t="inlineStr">
        <is>
          <t>Hiking</t>
        </is>
      </c>
      <c r="H356" s="36" t="inlineStr">
        <is>
          <t>Trail Boots</t>
        </is>
      </c>
      <c r="I356" s="36" t="n">
        <v>2</v>
      </c>
      <c r="J356" s="39" t="n">
        <v>142.73</v>
      </c>
      <c r="K356" s="45" t="n">
        <v>0.1</v>
      </c>
      <c r="L356" s="39" t="n">
        <v>77.28</v>
      </c>
      <c r="M356" s="39">
        <f>I356*J356*(1-K356)</f>
        <v/>
      </c>
      <c r="N356" s="39">
        <f>I356*L356</f>
        <v/>
      </c>
      <c r="O356" s="39">
        <f>M356-N356</f>
        <v/>
      </c>
      <c r="P356" s="38">
        <f>IF(M356=0,0,O356/M356)</f>
        <v/>
      </c>
      <c r="Q356" s="36">
        <f>YEAR(B356)</f>
        <v/>
      </c>
      <c r="R356" s="36">
        <f>"Q"&amp;ROUNDUP(MONTH(B356)/3,0)</f>
        <v/>
      </c>
      <c r="S356" s="36">
        <f>MONTH(B356)</f>
        <v/>
      </c>
      <c r="T356" s="36">
        <f>TEXT(B356,"mmm")</f>
        <v/>
      </c>
      <c r="U356" s="36">
        <f>IF(AND(OR(sel_Region="All",C356=sel_Region),OR(sel_Country="All",D356=sel_Country),OR(sel_Channel="All",E356=sel_Channel),OR(sel_Customer="All",F356=sel_Customer),OR(sel_Category="All",G356=sel_Category),OR(sel_Product="All",H356=sel_Product),AND(S356&gt;=m_From,S356&lt;=m_To)),1,0)</f>
        <v/>
      </c>
      <c r="V356" s="36">
        <f>IF(AND(OR(sel_Region="All",C356=sel_Region),OR(sel_Channel="All",E356=sel_Channel),OR(sel_Customer="All",F356=sel_Customer),OR(sel_Category="All",G356=sel_Category),OR(sel_Product="All",H356=sel_Product),AND(S356&gt;=m_From,S356&lt;=m_To)),1,0)</f>
        <v/>
      </c>
      <c r="W356" s="36">
        <f>IF(AND(OR(sel_Region="All",C356=sel_Region),OR(sel_Country="All",D356=sel_Country),OR(sel_Customer="All",F356=sel_Customer),OR(sel_Category="All",G356=sel_Category),OR(sel_Product="All",H356=sel_Product),AND(S356&gt;=m_From,S356&lt;=m_To)),1,0)</f>
        <v/>
      </c>
      <c r="X356" s="36">
        <f>IF(AND(OR(sel_Region="All",C356=sel_Region),OR(sel_Country="All",D356=sel_Country),OR(sel_Channel="All",E356=sel_Channel),OR(sel_Category="All",G356=sel_Category),OR(sel_Product="All",H356=sel_Product),AND(S356&gt;=m_From,S356&lt;=m_To)),1,0)</f>
        <v/>
      </c>
      <c r="Y356" s="36">
        <f>IF(AND(OR(sel_Region="All",C356=sel_Region),OR(sel_Country="All",D356=sel_Country),OR(sel_Channel="All",E356=sel_Channel),OR(sel_Customer="All",F356=sel_Customer),OR(sel_Product="All",H356=sel_Product),AND(S356&gt;=m_From,S356&lt;=m_To)),1,0)</f>
        <v/>
      </c>
      <c r="Z356" s="36">
        <f>IF(AND(OR(sel_Region="All",C356=sel_Region),OR(sel_Country="All",D356=sel_Country),OR(sel_Channel="All",E356=sel_Channel),OR(sel_Customer="All",F356=sel_Customer),OR(sel_Category="All",G356=sel_Category),AND(S356&gt;=m_From,S356&lt;=m_To)),1,0)</f>
        <v/>
      </c>
      <c r="AA356" s="36">
        <f>IF(AND(OR(sel_Region="All",C356=sel_Region),OR(sel_Country="All",D356=sel_Country),OR(sel_Channel="All",E356=sel_Channel),OR(sel_Customer="All",F356=sel_Customer),OR(sel_Category="All",G356=sel_Category),OR(sel_Product="All",H356=sel_Product)),1,0)</f>
        <v/>
      </c>
    </row>
    <row r="357">
      <c r="A357" s="36" t="inlineStr">
        <is>
          <t>04684</t>
        </is>
      </c>
      <c r="B357" s="44" t="n">
        <v>46094</v>
      </c>
      <c r="C357" s="36" t="inlineStr">
        <is>
          <t>Central Europe</t>
        </is>
      </c>
      <c r="D357" s="36" t="inlineStr">
        <is>
          <t>Germany</t>
        </is>
      </c>
      <c r="E357" s="36" t="inlineStr">
        <is>
          <t>Online Store</t>
        </is>
      </c>
      <c r="F357" s="36" t="inlineStr">
        <is>
          <t>Returning</t>
        </is>
      </c>
      <c r="G357" s="36" t="inlineStr">
        <is>
          <t>Fitness</t>
        </is>
      </c>
      <c r="H357" s="36" t="inlineStr">
        <is>
          <t>Weighted Vest</t>
        </is>
      </c>
      <c r="I357" s="36" t="n">
        <v>4</v>
      </c>
      <c r="J357" s="39" t="n">
        <v>124.36</v>
      </c>
      <c r="K357" s="45" t="n">
        <v>0</v>
      </c>
      <c r="L357" s="39" t="n">
        <v>68.79000000000001</v>
      </c>
      <c r="M357" s="39">
        <f>I357*J357*(1-K357)</f>
        <v/>
      </c>
      <c r="N357" s="39">
        <f>I357*L357</f>
        <v/>
      </c>
      <c r="O357" s="39">
        <f>M357-N357</f>
        <v/>
      </c>
      <c r="P357" s="38">
        <f>IF(M357=0,0,O357/M357)</f>
        <v/>
      </c>
      <c r="Q357" s="36">
        <f>YEAR(B357)</f>
        <v/>
      </c>
      <c r="R357" s="36">
        <f>"Q"&amp;ROUNDUP(MONTH(B357)/3,0)</f>
        <v/>
      </c>
      <c r="S357" s="36">
        <f>MONTH(B357)</f>
        <v/>
      </c>
      <c r="T357" s="36">
        <f>TEXT(B357,"mmm")</f>
        <v/>
      </c>
      <c r="U357" s="36">
        <f>IF(AND(OR(sel_Region="All",C357=sel_Region),OR(sel_Country="All",D357=sel_Country),OR(sel_Channel="All",E357=sel_Channel),OR(sel_Customer="All",F357=sel_Customer),OR(sel_Category="All",G357=sel_Category),OR(sel_Product="All",H357=sel_Product),AND(S357&gt;=m_From,S357&lt;=m_To)),1,0)</f>
        <v/>
      </c>
      <c r="V357" s="36">
        <f>IF(AND(OR(sel_Region="All",C357=sel_Region),OR(sel_Channel="All",E357=sel_Channel),OR(sel_Customer="All",F357=sel_Customer),OR(sel_Category="All",G357=sel_Category),OR(sel_Product="All",H357=sel_Product),AND(S357&gt;=m_From,S357&lt;=m_To)),1,0)</f>
        <v/>
      </c>
      <c r="W357" s="36">
        <f>IF(AND(OR(sel_Region="All",C357=sel_Region),OR(sel_Country="All",D357=sel_Country),OR(sel_Customer="All",F357=sel_Customer),OR(sel_Category="All",G357=sel_Category),OR(sel_Product="All",H357=sel_Product),AND(S357&gt;=m_From,S357&lt;=m_To)),1,0)</f>
        <v/>
      </c>
      <c r="X357" s="36">
        <f>IF(AND(OR(sel_Region="All",C357=sel_Region),OR(sel_Country="All",D357=sel_Country),OR(sel_Channel="All",E357=sel_Channel),OR(sel_Category="All",G357=sel_Category),OR(sel_Product="All",H357=sel_Product),AND(S357&gt;=m_From,S357&lt;=m_To)),1,0)</f>
        <v/>
      </c>
      <c r="Y357" s="36">
        <f>IF(AND(OR(sel_Region="All",C357=sel_Region),OR(sel_Country="All",D357=sel_Country),OR(sel_Channel="All",E357=sel_Channel),OR(sel_Customer="All",F357=sel_Customer),OR(sel_Product="All",H357=sel_Product),AND(S357&gt;=m_From,S357&lt;=m_To)),1,0)</f>
        <v/>
      </c>
      <c r="Z357" s="36">
        <f>IF(AND(OR(sel_Region="All",C357=sel_Region),OR(sel_Country="All",D357=sel_Country),OR(sel_Channel="All",E357=sel_Channel),OR(sel_Customer="All",F357=sel_Customer),OR(sel_Category="All",G357=sel_Category),AND(S357&gt;=m_From,S357&lt;=m_To)),1,0)</f>
        <v/>
      </c>
      <c r="AA357" s="36">
        <f>IF(AND(OR(sel_Region="All",C357=sel_Region),OR(sel_Country="All",D357=sel_Country),OR(sel_Channel="All",E357=sel_Channel),OR(sel_Customer="All",F357=sel_Customer),OR(sel_Category="All",G357=sel_Category),OR(sel_Product="All",H357=sel_Product)),1,0)</f>
        <v/>
      </c>
    </row>
    <row r="358">
      <c r="A358" s="36" t="inlineStr">
        <is>
          <t>00313</t>
        </is>
      </c>
      <c r="B358" s="44" t="n">
        <v>46095</v>
      </c>
      <c r="C358" s="36" t="inlineStr">
        <is>
          <t>Western Europe</t>
        </is>
      </c>
      <c r="D358" s="36" t="inlineStr">
        <is>
          <t>United Kingdom</t>
        </is>
      </c>
      <c r="E358" s="36" t="inlineStr">
        <is>
          <t>Online Store</t>
        </is>
      </c>
      <c r="F358" s="36" t="inlineStr">
        <is>
          <t>New</t>
        </is>
      </c>
      <c r="G358" s="36" t="inlineStr">
        <is>
          <t>Cycling</t>
        </is>
      </c>
      <c r="H358" s="36" t="inlineStr">
        <is>
          <t>Compact Repair Kit</t>
        </is>
      </c>
      <c r="I358" s="36" t="n">
        <v>4</v>
      </c>
      <c r="J358" s="39" t="n">
        <v>40.42</v>
      </c>
      <c r="K358" s="45" t="n">
        <v>0.1</v>
      </c>
      <c r="L358" s="39" t="n">
        <v>16.25</v>
      </c>
      <c r="M358" s="39">
        <f>I358*J358*(1-K358)</f>
        <v/>
      </c>
      <c r="N358" s="39">
        <f>I358*L358</f>
        <v/>
      </c>
      <c r="O358" s="39">
        <f>M358-N358</f>
        <v/>
      </c>
      <c r="P358" s="38">
        <f>IF(M358=0,0,O358/M358)</f>
        <v/>
      </c>
      <c r="Q358" s="36">
        <f>YEAR(B358)</f>
        <v/>
      </c>
      <c r="R358" s="36">
        <f>"Q"&amp;ROUNDUP(MONTH(B358)/3,0)</f>
        <v/>
      </c>
      <c r="S358" s="36">
        <f>MONTH(B358)</f>
        <v/>
      </c>
      <c r="T358" s="36">
        <f>TEXT(B358,"mmm")</f>
        <v/>
      </c>
      <c r="U358" s="36">
        <f>IF(AND(OR(sel_Region="All",C358=sel_Region),OR(sel_Country="All",D358=sel_Country),OR(sel_Channel="All",E358=sel_Channel),OR(sel_Customer="All",F358=sel_Customer),OR(sel_Category="All",G358=sel_Category),OR(sel_Product="All",H358=sel_Product),AND(S358&gt;=m_From,S358&lt;=m_To)),1,0)</f>
        <v/>
      </c>
      <c r="V358" s="36">
        <f>IF(AND(OR(sel_Region="All",C358=sel_Region),OR(sel_Channel="All",E358=sel_Channel),OR(sel_Customer="All",F358=sel_Customer),OR(sel_Category="All",G358=sel_Category),OR(sel_Product="All",H358=sel_Product),AND(S358&gt;=m_From,S358&lt;=m_To)),1,0)</f>
        <v/>
      </c>
      <c r="W358" s="36">
        <f>IF(AND(OR(sel_Region="All",C358=sel_Region),OR(sel_Country="All",D358=sel_Country),OR(sel_Customer="All",F358=sel_Customer),OR(sel_Category="All",G358=sel_Category),OR(sel_Product="All",H358=sel_Product),AND(S358&gt;=m_From,S358&lt;=m_To)),1,0)</f>
        <v/>
      </c>
      <c r="X358" s="36">
        <f>IF(AND(OR(sel_Region="All",C358=sel_Region),OR(sel_Country="All",D358=sel_Country),OR(sel_Channel="All",E358=sel_Channel),OR(sel_Category="All",G358=sel_Category),OR(sel_Product="All",H358=sel_Product),AND(S358&gt;=m_From,S358&lt;=m_To)),1,0)</f>
        <v/>
      </c>
      <c r="Y358" s="36">
        <f>IF(AND(OR(sel_Region="All",C358=sel_Region),OR(sel_Country="All",D358=sel_Country),OR(sel_Channel="All",E358=sel_Channel),OR(sel_Customer="All",F358=sel_Customer),OR(sel_Product="All",H358=sel_Product),AND(S358&gt;=m_From,S358&lt;=m_To)),1,0)</f>
        <v/>
      </c>
      <c r="Z358" s="36">
        <f>IF(AND(OR(sel_Region="All",C358=sel_Region),OR(sel_Country="All",D358=sel_Country),OR(sel_Channel="All",E358=sel_Channel),OR(sel_Customer="All",F358=sel_Customer),OR(sel_Category="All",G358=sel_Category),AND(S358&gt;=m_From,S358&lt;=m_To)),1,0)</f>
        <v/>
      </c>
      <c r="AA358" s="36">
        <f>IF(AND(OR(sel_Region="All",C358=sel_Region),OR(sel_Country="All",D358=sel_Country),OR(sel_Channel="All",E358=sel_Channel),OR(sel_Customer="All",F358=sel_Customer),OR(sel_Category="All",G358=sel_Category),OR(sel_Product="All",H358=sel_Product)),1,0)</f>
        <v/>
      </c>
    </row>
    <row r="359">
      <c r="A359" s="36" t="inlineStr">
        <is>
          <t>01056</t>
        </is>
      </c>
      <c r="B359" s="44" t="n">
        <v>46095</v>
      </c>
      <c r="C359" s="36" t="inlineStr">
        <is>
          <t>Southern Europe</t>
        </is>
      </c>
      <c r="D359" s="36" t="inlineStr">
        <is>
          <t>Italy</t>
        </is>
      </c>
      <c r="E359" s="36" t="inlineStr">
        <is>
          <t>Online Store</t>
        </is>
      </c>
      <c r="F359" s="36" t="inlineStr">
        <is>
          <t>Returning</t>
        </is>
      </c>
      <c r="G359" s="36" t="inlineStr">
        <is>
          <t>Camping</t>
        </is>
      </c>
      <c r="H359" s="36" t="inlineStr">
        <is>
          <t>Trail Tent 2P</t>
        </is>
      </c>
      <c r="I359" s="36" t="n">
        <v>1</v>
      </c>
      <c r="J359" s="39" t="n">
        <v>192.86</v>
      </c>
      <c r="K359" s="45" t="n">
        <v>0</v>
      </c>
      <c r="L359" s="39" t="n">
        <v>101.13</v>
      </c>
      <c r="M359" s="39">
        <f>I359*J359*(1-K359)</f>
        <v/>
      </c>
      <c r="N359" s="39">
        <f>I359*L359</f>
        <v/>
      </c>
      <c r="O359" s="39">
        <f>M359-N359</f>
        <v/>
      </c>
      <c r="P359" s="38">
        <f>IF(M359=0,0,O359/M359)</f>
        <v/>
      </c>
      <c r="Q359" s="36">
        <f>YEAR(B359)</f>
        <v/>
      </c>
      <c r="R359" s="36">
        <f>"Q"&amp;ROUNDUP(MONTH(B359)/3,0)</f>
        <v/>
      </c>
      <c r="S359" s="36">
        <f>MONTH(B359)</f>
        <v/>
      </c>
      <c r="T359" s="36">
        <f>TEXT(B359,"mmm")</f>
        <v/>
      </c>
      <c r="U359" s="36">
        <f>IF(AND(OR(sel_Region="All",C359=sel_Region),OR(sel_Country="All",D359=sel_Country),OR(sel_Channel="All",E359=sel_Channel),OR(sel_Customer="All",F359=sel_Customer),OR(sel_Category="All",G359=sel_Category),OR(sel_Product="All",H359=sel_Product),AND(S359&gt;=m_From,S359&lt;=m_To)),1,0)</f>
        <v/>
      </c>
      <c r="V359" s="36">
        <f>IF(AND(OR(sel_Region="All",C359=sel_Region),OR(sel_Channel="All",E359=sel_Channel),OR(sel_Customer="All",F359=sel_Customer),OR(sel_Category="All",G359=sel_Category),OR(sel_Product="All",H359=sel_Product),AND(S359&gt;=m_From,S359&lt;=m_To)),1,0)</f>
        <v/>
      </c>
      <c r="W359" s="36">
        <f>IF(AND(OR(sel_Region="All",C359=sel_Region),OR(sel_Country="All",D359=sel_Country),OR(sel_Customer="All",F359=sel_Customer),OR(sel_Category="All",G359=sel_Category),OR(sel_Product="All",H359=sel_Product),AND(S359&gt;=m_From,S359&lt;=m_To)),1,0)</f>
        <v/>
      </c>
      <c r="X359" s="36">
        <f>IF(AND(OR(sel_Region="All",C359=sel_Region),OR(sel_Country="All",D359=sel_Country),OR(sel_Channel="All",E359=sel_Channel),OR(sel_Category="All",G359=sel_Category),OR(sel_Product="All",H359=sel_Product),AND(S359&gt;=m_From,S359&lt;=m_To)),1,0)</f>
        <v/>
      </c>
      <c r="Y359" s="36">
        <f>IF(AND(OR(sel_Region="All",C359=sel_Region),OR(sel_Country="All",D359=sel_Country),OR(sel_Channel="All",E359=sel_Channel),OR(sel_Customer="All",F359=sel_Customer),OR(sel_Product="All",H359=sel_Product),AND(S359&gt;=m_From,S359&lt;=m_To)),1,0)</f>
        <v/>
      </c>
      <c r="Z359" s="36">
        <f>IF(AND(OR(sel_Region="All",C359=sel_Region),OR(sel_Country="All",D359=sel_Country),OR(sel_Channel="All",E359=sel_Channel),OR(sel_Customer="All",F359=sel_Customer),OR(sel_Category="All",G359=sel_Category),AND(S359&gt;=m_From,S359&lt;=m_To)),1,0)</f>
        <v/>
      </c>
      <c r="AA359" s="36">
        <f>IF(AND(OR(sel_Region="All",C359=sel_Region),OR(sel_Country="All",D359=sel_Country),OR(sel_Channel="All",E359=sel_Channel),OR(sel_Customer="All",F359=sel_Customer),OR(sel_Category="All",G359=sel_Category),OR(sel_Product="All",H359=sel_Product)),1,0)</f>
        <v/>
      </c>
    </row>
    <row r="360">
      <c r="A360" s="36" t="inlineStr">
        <is>
          <t>02189</t>
        </is>
      </c>
      <c r="B360" s="44" t="n">
        <v>46095</v>
      </c>
      <c r="C360" s="36" t="inlineStr">
        <is>
          <t>Western Europe</t>
        </is>
      </c>
      <c r="D360" s="36" t="inlineStr">
        <is>
          <t>Belgium</t>
        </is>
      </c>
      <c r="E360" s="36" t="inlineStr">
        <is>
          <t>Marketplace</t>
        </is>
      </c>
      <c r="F360" s="36" t="inlineStr">
        <is>
          <t>New</t>
        </is>
      </c>
      <c r="G360" s="36" t="inlineStr">
        <is>
          <t>Hiking</t>
        </is>
      </c>
      <c r="H360" s="36" t="inlineStr">
        <is>
          <t>Trekking Poles</t>
        </is>
      </c>
      <c r="I360" s="36" t="n">
        <v>2</v>
      </c>
      <c r="J360" s="39" t="n">
        <v>72.34</v>
      </c>
      <c r="K360" s="45" t="n">
        <v>0</v>
      </c>
      <c r="L360" s="39" t="n">
        <v>33.29</v>
      </c>
      <c r="M360" s="39">
        <f>I360*J360*(1-K360)</f>
        <v/>
      </c>
      <c r="N360" s="39">
        <f>I360*L360</f>
        <v/>
      </c>
      <c r="O360" s="39">
        <f>M360-N360</f>
        <v/>
      </c>
      <c r="P360" s="38">
        <f>IF(M360=0,0,O360/M360)</f>
        <v/>
      </c>
      <c r="Q360" s="36">
        <f>YEAR(B360)</f>
        <v/>
      </c>
      <c r="R360" s="36">
        <f>"Q"&amp;ROUNDUP(MONTH(B360)/3,0)</f>
        <v/>
      </c>
      <c r="S360" s="36">
        <f>MONTH(B360)</f>
        <v/>
      </c>
      <c r="T360" s="36">
        <f>TEXT(B360,"mmm")</f>
        <v/>
      </c>
      <c r="U360" s="36">
        <f>IF(AND(OR(sel_Region="All",C360=sel_Region),OR(sel_Country="All",D360=sel_Country),OR(sel_Channel="All",E360=sel_Channel),OR(sel_Customer="All",F360=sel_Customer),OR(sel_Category="All",G360=sel_Category),OR(sel_Product="All",H360=sel_Product),AND(S360&gt;=m_From,S360&lt;=m_To)),1,0)</f>
        <v/>
      </c>
      <c r="V360" s="36">
        <f>IF(AND(OR(sel_Region="All",C360=sel_Region),OR(sel_Channel="All",E360=sel_Channel),OR(sel_Customer="All",F360=sel_Customer),OR(sel_Category="All",G360=sel_Category),OR(sel_Product="All",H360=sel_Product),AND(S360&gt;=m_From,S360&lt;=m_To)),1,0)</f>
        <v/>
      </c>
      <c r="W360" s="36">
        <f>IF(AND(OR(sel_Region="All",C360=sel_Region),OR(sel_Country="All",D360=sel_Country),OR(sel_Customer="All",F360=sel_Customer),OR(sel_Category="All",G360=sel_Category),OR(sel_Product="All",H360=sel_Product),AND(S360&gt;=m_From,S360&lt;=m_To)),1,0)</f>
        <v/>
      </c>
      <c r="X360" s="36">
        <f>IF(AND(OR(sel_Region="All",C360=sel_Region),OR(sel_Country="All",D360=sel_Country),OR(sel_Channel="All",E360=sel_Channel),OR(sel_Category="All",G360=sel_Category),OR(sel_Product="All",H360=sel_Product),AND(S360&gt;=m_From,S360&lt;=m_To)),1,0)</f>
        <v/>
      </c>
      <c r="Y360" s="36">
        <f>IF(AND(OR(sel_Region="All",C360=sel_Region),OR(sel_Country="All",D360=sel_Country),OR(sel_Channel="All",E360=sel_Channel),OR(sel_Customer="All",F360=sel_Customer),OR(sel_Product="All",H360=sel_Product),AND(S360&gt;=m_From,S360&lt;=m_To)),1,0)</f>
        <v/>
      </c>
      <c r="Z360" s="36">
        <f>IF(AND(OR(sel_Region="All",C360=sel_Region),OR(sel_Country="All",D360=sel_Country),OR(sel_Channel="All",E360=sel_Channel),OR(sel_Customer="All",F360=sel_Customer),OR(sel_Category="All",G360=sel_Category),AND(S360&gt;=m_From,S360&lt;=m_To)),1,0)</f>
        <v/>
      </c>
      <c r="AA360" s="36">
        <f>IF(AND(OR(sel_Region="All",C360=sel_Region),OR(sel_Country="All",D360=sel_Country),OR(sel_Channel="All",E360=sel_Channel),OR(sel_Customer="All",F360=sel_Customer),OR(sel_Category="All",G360=sel_Category),OR(sel_Product="All",H360=sel_Product)),1,0)</f>
        <v/>
      </c>
    </row>
    <row r="361">
      <c r="A361" s="36" t="inlineStr">
        <is>
          <t>02617</t>
        </is>
      </c>
      <c r="B361" s="44" t="n">
        <v>46095</v>
      </c>
      <c r="C361" s="36" t="inlineStr">
        <is>
          <t>Western Europe</t>
        </is>
      </c>
      <c r="D361" s="36" t="inlineStr">
        <is>
          <t>France</t>
        </is>
      </c>
      <c r="E361" s="36" t="inlineStr">
        <is>
          <t>Online Store</t>
        </is>
      </c>
      <c r="F361" s="36" t="inlineStr">
        <is>
          <t>New</t>
        </is>
      </c>
      <c r="G361" s="36" t="inlineStr">
        <is>
          <t>Travel</t>
        </is>
      </c>
      <c r="H361" s="36" t="inlineStr">
        <is>
          <t>Insulated Bottle</t>
        </is>
      </c>
      <c r="I361" s="36" t="n">
        <v>2</v>
      </c>
      <c r="J361" s="39" t="n">
        <v>35.41</v>
      </c>
      <c r="K361" s="45" t="n">
        <v>0</v>
      </c>
      <c r="L361" s="39" t="n">
        <v>13.89</v>
      </c>
      <c r="M361" s="39">
        <f>I361*J361*(1-K361)</f>
        <v/>
      </c>
      <c r="N361" s="39">
        <f>I361*L361</f>
        <v/>
      </c>
      <c r="O361" s="39">
        <f>M361-N361</f>
        <v/>
      </c>
      <c r="P361" s="38">
        <f>IF(M361=0,0,O361/M361)</f>
        <v/>
      </c>
      <c r="Q361" s="36">
        <f>YEAR(B361)</f>
        <v/>
      </c>
      <c r="R361" s="36">
        <f>"Q"&amp;ROUNDUP(MONTH(B361)/3,0)</f>
        <v/>
      </c>
      <c r="S361" s="36">
        <f>MONTH(B361)</f>
        <v/>
      </c>
      <c r="T361" s="36">
        <f>TEXT(B361,"mmm")</f>
        <v/>
      </c>
      <c r="U361" s="36">
        <f>IF(AND(OR(sel_Region="All",C361=sel_Region),OR(sel_Country="All",D361=sel_Country),OR(sel_Channel="All",E361=sel_Channel),OR(sel_Customer="All",F361=sel_Customer),OR(sel_Category="All",G361=sel_Category),OR(sel_Product="All",H361=sel_Product),AND(S361&gt;=m_From,S361&lt;=m_To)),1,0)</f>
        <v/>
      </c>
      <c r="V361" s="36">
        <f>IF(AND(OR(sel_Region="All",C361=sel_Region),OR(sel_Channel="All",E361=sel_Channel),OR(sel_Customer="All",F361=sel_Customer),OR(sel_Category="All",G361=sel_Category),OR(sel_Product="All",H361=sel_Product),AND(S361&gt;=m_From,S361&lt;=m_To)),1,0)</f>
        <v/>
      </c>
      <c r="W361" s="36">
        <f>IF(AND(OR(sel_Region="All",C361=sel_Region),OR(sel_Country="All",D361=sel_Country),OR(sel_Customer="All",F361=sel_Customer),OR(sel_Category="All",G361=sel_Category),OR(sel_Product="All",H361=sel_Product),AND(S361&gt;=m_From,S361&lt;=m_To)),1,0)</f>
        <v/>
      </c>
      <c r="X361" s="36">
        <f>IF(AND(OR(sel_Region="All",C361=sel_Region),OR(sel_Country="All",D361=sel_Country),OR(sel_Channel="All",E361=sel_Channel),OR(sel_Category="All",G361=sel_Category),OR(sel_Product="All",H361=sel_Product),AND(S361&gt;=m_From,S361&lt;=m_To)),1,0)</f>
        <v/>
      </c>
      <c r="Y361" s="36">
        <f>IF(AND(OR(sel_Region="All",C361=sel_Region),OR(sel_Country="All",D361=sel_Country),OR(sel_Channel="All",E361=sel_Channel),OR(sel_Customer="All",F361=sel_Customer),OR(sel_Product="All",H361=sel_Product),AND(S361&gt;=m_From,S361&lt;=m_To)),1,0)</f>
        <v/>
      </c>
      <c r="Z361" s="36">
        <f>IF(AND(OR(sel_Region="All",C361=sel_Region),OR(sel_Country="All",D361=sel_Country),OR(sel_Channel="All",E361=sel_Channel),OR(sel_Customer="All",F361=sel_Customer),OR(sel_Category="All",G361=sel_Category),AND(S361&gt;=m_From,S361&lt;=m_To)),1,0)</f>
        <v/>
      </c>
      <c r="AA361" s="36">
        <f>IF(AND(OR(sel_Region="All",C361=sel_Region),OR(sel_Country="All",D361=sel_Country),OR(sel_Channel="All",E361=sel_Channel),OR(sel_Customer="All",F361=sel_Customer),OR(sel_Category="All",G361=sel_Category),OR(sel_Product="All",H361=sel_Product)),1,0)</f>
        <v/>
      </c>
    </row>
    <row r="362">
      <c r="A362" s="36" t="inlineStr">
        <is>
          <t>02901</t>
        </is>
      </c>
      <c r="B362" s="44" t="n">
        <v>46095</v>
      </c>
      <c r="C362" s="36" t="inlineStr">
        <is>
          <t>Western Europe</t>
        </is>
      </c>
      <c r="D362" s="36" t="inlineStr">
        <is>
          <t>United Kingdom</t>
        </is>
      </c>
      <c r="E362" s="36" t="inlineStr">
        <is>
          <t>Corporate</t>
        </is>
      </c>
      <c r="F362" s="36" t="inlineStr">
        <is>
          <t>Business</t>
        </is>
      </c>
      <c r="G362" s="36" t="inlineStr">
        <is>
          <t>Cycling</t>
        </is>
      </c>
      <c r="H362" s="36" t="inlineStr">
        <is>
          <t>Cycling Pack 12L</t>
        </is>
      </c>
      <c r="I362" s="36" t="n">
        <v>12</v>
      </c>
      <c r="J362" s="39" t="n">
        <v>102.25</v>
      </c>
      <c r="K362" s="45" t="n">
        <v>0.1</v>
      </c>
      <c r="L362" s="39" t="n">
        <v>51.07</v>
      </c>
      <c r="M362" s="39">
        <f>I362*J362*(1-K362)</f>
        <v/>
      </c>
      <c r="N362" s="39">
        <f>I362*L362</f>
        <v/>
      </c>
      <c r="O362" s="39">
        <f>M362-N362</f>
        <v/>
      </c>
      <c r="P362" s="38">
        <f>IF(M362=0,0,O362/M362)</f>
        <v/>
      </c>
      <c r="Q362" s="36">
        <f>YEAR(B362)</f>
        <v/>
      </c>
      <c r="R362" s="36">
        <f>"Q"&amp;ROUNDUP(MONTH(B362)/3,0)</f>
        <v/>
      </c>
      <c r="S362" s="36">
        <f>MONTH(B362)</f>
        <v/>
      </c>
      <c r="T362" s="36">
        <f>TEXT(B362,"mmm")</f>
        <v/>
      </c>
      <c r="U362" s="36">
        <f>IF(AND(OR(sel_Region="All",C362=sel_Region),OR(sel_Country="All",D362=sel_Country),OR(sel_Channel="All",E362=sel_Channel),OR(sel_Customer="All",F362=sel_Customer),OR(sel_Category="All",G362=sel_Category),OR(sel_Product="All",H362=sel_Product),AND(S362&gt;=m_From,S362&lt;=m_To)),1,0)</f>
        <v/>
      </c>
      <c r="V362" s="36">
        <f>IF(AND(OR(sel_Region="All",C362=sel_Region),OR(sel_Channel="All",E362=sel_Channel),OR(sel_Customer="All",F362=sel_Customer),OR(sel_Category="All",G362=sel_Category),OR(sel_Product="All",H362=sel_Product),AND(S362&gt;=m_From,S362&lt;=m_To)),1,0)</f>
        <v/>
      </c>
      <c r="W362" s="36">
        <f>IF(AND(OR(sel_Region="All",C362=sel_Region),OR(sel_Country="All",D362=sel_Country),OR(sel_Customer="All",F362=sel_Customer),OR(sel_Category="All",G362=sel_Category),OR(sel_Product="All",H362=sel_Product),AND(S362&gt;=m_From,S362&lt;=m_To)),1,0)</f>
        <v/>
      </c>
      <c r="X362" s="36">
        <f>IF(AND(OR(sel_Region="All",C362=sel_Region),OR(sel_Country="All",D362=sel_Country),OR(sel_Channel="All",E362=sel_Channel),OR(sel_Category="All",G362=sel_Category),OR(sel_Product="All",H362=sel_Product),AND(S362&gt;=m_From,S362&lt;=m_To)),1,0)</f>
        <v/>
      </c>
      <c r="Y362" s="36">
        <f>IF(AND(OR(sel_Region="All",C362=sel_Region),OR(sel_Country="All",D362=sel_Country),OR(sel_Channel="All",E362=sel_Channel),OR(sel_Customer="All",F362=sel_Customer),OR(sel_Product="All",H362=sel_Product),AND(S362&gt;=m_From,S362&lt;=m_To)),1,0)</f>
        <v/>
      </c>
      <c r="Z362" s="36">
        <f>IF(AND(OR(sel_Region="All",C362=sel_Region),OR(sel_Country="All",D362=sel_Country),OR(sel_Channel="All",E362=sel_Channel),OR(sel_Customer="All",F362=sel_Customer),OR(sel_Category="All",G362=sel_Category),AND(S362&gt;=m_From,S362&lt;=m_To)),1,0)</f>
        <v/>
      </c>
      <c r="AA362" s="36">
        <f>IF(AND(OR(sel_Region="All",C362=sel_Region),OR(sel_Country="All",D362=sel_Country),OR(sel_Channel="All",E362=sel_Channel),OR(sel_Customer="All",F362=sel_Customer),OR(sel_Category="All",G362=sel_Category),OR(sel_Product="All",H362=sel_Product)),1,0)</f>
        <v/>
      </c>
    </row>
    <row r="363">
      <c r="A363" s="36" t="inlineStr">
        <is>
          <t>02952</t>
        </is>
      </c>
      <c r="B363" s="44" t="n">
        <v>46095</v>
      </c>
      <c r="C363" s="36" t="inlineStr">
        <is>
          <t>Central Europe</t>
        </is>
      </c>
      <c r="D363" s="36" t="inlineStr">
        <is>
          <t>Czechia</t>
        </is>
      </c>
      <c r="E363" s="36" t="inlineStr">
        <is>
          <t>Online Store</t>
        </is>
      </c>
      <c r="F363" s="36" t="inlineStr">
        <is>
          <t>New</t>
        </is>
      </c>
      <c r="G363" s="36" t="inlineStr">
        <is>
          <t>Cycling</t>
        </is>
      </c>
      <c r="H363" s="36" t="inlineStr">
        <is>
          <t>Trail Bike Light</t>
        </is>
      </c>
      <c r="I363" s="36" t="n">
        <v>1</v>
      </c>
      <c r="J363" s="39" t="n">
        <v>51.86</v>
      </c>
      <c r="K363" s="45" t="n">
        <v>0.1</v>
      </c>
      <c r="L363" s="39" t="n">
        <v>22.34</v>
      </c>
      <c r="M363" s="39">
        <f>I363*J363*(1-K363)</f>
        <v/>
      </c>
      <c r="N363" s="39">
        <f>I363*L363</f>
        <v/>
      </c>
      <c r="O363" s="39">
        <f>M363-N363</f>
        <v/>
      </c>
      <c r="P363" s="38">
        <f>IF(M363=0,0,O363/M363)</f>
        <v/>
      </c>
      <c r="Q363" s="36">
        <f>YEAR(B363)</f>
        <v/>
      </c>
      <c r="R363" s="36">
        <f>"Q"&amp;ROUNDUP(MONTH(B363)/3,0)</f>
        <v/>
      </c>
      <c r="S363" s="36">
        <f>MONTH(B363)</f>
        <v/>
      </c>
      <c r="T363" s="36">
        <f>TEXT(B363,"mmm")</f>
        <v/>
      </c>
      <c r="U363" s="36">
        <f>IF(AND(OR(sel_Region="All",C363=sel_Region),OR(sel_Country="All",D363=sel_Country),OR(sel_Channel="All",E363=sel_Channel),OR(sel_Customer="All",F363=sel_Customer),OR(sel_Category="All",G363=sel_Category),OR(sel_Product="All",H363=sel_Product),AND(S363&gt;=m_From,S363&lt;=m_To)),1,0)</f>
        <v/>
      </c>
      <c r="V363" s="36">
        <f>IF(AND(OR(sel_Region="All",C363=sel_Region),OR(sel_Channel="All",E363=sel_Channel),OR(sel_Customer="All",F363=sel_Customer),OR(sel_Category="All",G363=sel_Category),OR(sel_Product="All",H363=sel_Product),AND(S363&gt;=m_From,S363&lt;=m_To)),1,0)</f>
        <v/>
      </c>
      <c r="W363" s="36">
        <f>IF(AND(OR(sel_Region="All",C363=sel_Region),OR(sel_Country="All",D363=sel_Country),OR(sel_Customer="All",F363=sel_Customer),OR(sel_Category="All",G363=sel_Category),OR(sel_Product="All",H363=sel_Product),AND(S363&gt;=m_From,S363&lt;=m_To)),1,0)</f>
        <v/>
      </c>
      <c r="X363" s="36">
        <f>IF(AND(OR(sel_Region="All",C363=sel_Region),OR(sel_Country="All",D363=sel_Country),OR(sel_Channel="All",E363=sel_Channel),OR(sel_Category="All",G363=sel_Category),OR(sel_Product="All",H363=sel_Product),AND(S363&gt;=m_From,S363&lt;=m_To)),1,0)</f>
        <v/>
      </c>
      <c r="Y363" s="36">
        <f>IF(AND(OR(sel_Region="All",C363=sel_Region),OR(sel_Country="All",D363=sel_Country),OR(sel_Channel="All",E363=sel_Channel),OR(sel_Customer="All",F363=sel_Customer),OR(sel_Product="All",H363=sel_Product),AND(S363&gt;=m_From,S363&lt;=m_To)),1,0)</f>
        <v/>
      </c>
      <c r="Z363" s="36">
        <f>IF(AND(OR(sel_Region="All",C363=sel_Region),OR(sel_Country="All",D363=sel_Country),OR(sel_Channel="All",E363=sel_Channel),OR(sel_Customer="All",F363=sel_Customer),OR(sel_Category="All",G363=sel_Category),AND(S363&gt;=m_From,S363&lt;=m_To)),1,0)</f>
        <v/>
      </c>
      <c r="AA363" s="36">
        <f>IF(AND(OR(sel_Region="All",C363=sel_Region),OR(sel_Country="All",D363=sel_Country),OR(sel_Channel="All",E363=sel_Channel),OR(sel_Customer="All",F363=sel_Customer),OR(sel_Category="All",G363=sel_Category),OR(sel_Product="All",H363=sel_Product)),1,0)</f>
        <v/>
      </c>
    </row>
    <row r="364">
      <c r="A364" s="36" t="inlineStr">
        <is>
          <t>03421</t>
        </is>
      </c>
      <c r="B364" s="44" t="n">
        <v>46095</v>
      </c>
      <c r="C364" s="36" t="inlineStr">
        <is>
          <t>Western Europe</t>
        </is>
      </c>
      <c r="D364" s="36" t="inlineStr">
        <is>
          <t>United Kingdom</t>
        </is>
      </c>
      <c r="E364" s="36" t="inlineStr">
        <is>
          <t>Online Store</t>
        </is>
      </c>
      <c r="F364" s="36" t="inlineStr">
        <is>
          <t>Returning</t>
        </is>
      </c>
      <c r="G364" s="36" t="inlineStr">
        <is>
          <t>Travel</t>
        </is>
      </c>
      <c r="H364" s="36" t="inlineStr">
        <is>
          <t>Insulated Bottle</t>
        </is>
      </c>
      <c r="I364" s="36" t="n">
        <v>1</v>
      </c>
      <c r="J364" s="39" t="n">
        <v>36.52</v>
      </c>
      <c r="K364" s="45" t="n">
        <v>0.05</v>
      </c>
      <c r="L364" s="39" t="n">
        <v>13.23</v>
      </c>
      <c r="M364" s="39">
        <f>I364*J364*(1-K364)</f>
        <v/>
      </c>
      <c r="N364" s="39">
        <f>I364*L364</f>
        <v/>
      </c>
      <c r="O364" s="39">
        <f>M364-N364</f>
        <v/>
      </c>
      <c r="P364" s="38">
        <f>IF(M364=0,0,O364/M364)</f>
        <v/>
      </c>
      <c r="Q364" s="36">
        <f>YEAR(B364)</f>
        <v/>
      </c>
      <c r="R364" s="36">
        <f>"Q"&amp;ROUNDUP(MONTH(B364)/3,0)</f>
        <v/>
      </c>
      <c r="S364" s="36">
        <f>MONTH(B364)</f>
        <v/>
      </c>
      <c r="T364" s="36">
        <f>TEXT(B364,"mmm")</f>
        <v/>
      </c>
      <c r="U364" s="36">
        <f>IF(AND(OR(sel_Region="All",C364=sel_Region),OR(sel_Country="All",D364=sel_Country),OR(sel_Channel="All",E364=sel_Channel),OR(sel_Customer="All",F364=sel_Customer),OR(sel_Category="All",G364=sel_Category),OR(sel_Product="All",H364=sel_Product),AND(S364&gt;=m_From,S364&lt;=m_To)),1,0)</f>
        <v/>
      </c>
      <c r="V364" s="36">
        <f>IF(AND(OR(sel_Region="All",C364=sel_Region),OR(sel_Channel="All",E364=sel_Channel),OR(sel_Customer="All",F364=sel_Customer),OR(sel_Category="All",G364=sel_Category),OR(sel_Product="All",H364=sel_Product),AND(S364&gt;=m_From,S364&lt;=m_To)),1,0)</f>
        <v/>
      </c>
      <c r="W364" s="36">
        <f>IF(AND(OR(sel_Region="All",C364=sel_Region),OR(sel_Country="All",D364=sel_Country),OR(sel_Customer="All",F364=sel_Customer),OR(sel_Category="All",G364=sel_Category),OR(sel_Product="All",H364=sel_Product),AND(S364&gt;=m_From,S364&lt;=m_To)),1,0)</f>
        <v/>
      </c>
      <c r="X364" s="36">
        <f>IF(AND(OR(sel_Region="All",C364=sel_Region),OR(sel_Country="All",D364=sel_Country),OR(sel_Channel="All",E364=sel_Channel),OR(sel_Category="All",G364=sel_Category),OR(sel_Product="All",H364=sel_Product),AND(S364&gt;=m_From,S364&lt;=m_To)),1,0)</f>
        <v/>
      </c>
      <c r="Y364" s="36">
        <f>IF(AND(OR(sel_Region="All",C364=sel_Region),OR(sel_Country="All",D364=sel_Country),OR(sel_Channel="All",E364=sel_Channel),OR(sel_Customer="All",F364=sel_Customer),OR(sel_Product="All",H364=sel_Product),AND(S364&gt;=m_From,S364&lt;=m_To)),1,0)</f>
        <v/>
      </c>
      <c r="Z364" s="36">
        <f>IF(AND(OR(sel_Region="All",C364=sel_Region),OR(sel_Country="All",D364=sel_Country),OR(sel_Channel="All",E364=sel_Channel),OR(sel_Customer="All",F364=sel_Customer),OR(sel_Category="All",G364=sel_Category),AND(S364&gt;=m_From,S364&lt;=m_To)),1,0)</f>
        <v/>
      </c>
      <c r="AA364" s="36">
        <f>IF(AND(OR(sel_Region="All",C364=sel_Region),OR(sel_Country="All",D364=sel_Country),OR(sel_Channel="All",E364=sel_Channel),OR(sel_Customer="All",F364=sel_Customer),OR(sel_Category="All",G364=sel_Category),OR(sel_Product="All",H364=sel_Product)),1,0)</f>
        <v/>
      </c>
    </row>
    <row r="365">
      <c r="A365" s="36" t="inlineStr">
        <is>
          <t>03536</t>
        </is>
      </c>
      <c r="B365" s="44" t="n">
        <v>46095</v>
      </c>
      <c r="C365" s="36" t="inlineStr">
        <is>
          <t>Northern Europe</t>
        </is>
      </c>
      <c r="D365" s="36" t="inlineStr">
        <is>
          <t>Finland</t>
        </is>
      </c>
      <c r="E365" s="36" t="inlineStr">
        <is>
          <t>Online Store</t>
        </is>
      </c>
      <c r="F365" s="36" t="inlineStr">
        <is>
          <t>New</t>
        </is>
      </c>
      <c r="G365" s="36" t="inlineStr">
        <is>
          <t>Hiking</t>
        </is>
      </c>
      <c r="H365" s="36" t="inlineStr">
        <is>
          <t>Summit Backpack 45L</t>
        </is>
      </c>
      <c r="I365" s="36" t="n">
        <v>2</v>
      </c>
      <c r="J365" s="39" t="n">
        <v>153.66</v>
      </c>
      <c r="K365" s="45" t="n">
        <v>0.1</v>
      </c>
      <c r="L365" s="39" t="n">
        <v>78.43000000000001</v>
      </c>
      <c r="M365" s="39">
        <f>I365*J365*(1-K365)</f>
        <v/>
      </c>
      <c r="N365" s="39">
        <f>I365*L365</f>
        <v/>
      </c>
      <c r="O365" s="39">
        <f>M365-N365</f>
        <v/>
      </c>
      <c r="P365" s="38">
        <f>IF(M365=0,0,O365/M365)</f>
        <v/>
      </c>
      <c r="Q365" s="36">
        <f>YEAR(B365)</f>
        <v/>
      </c>
      <c r="R365" s="36">
        <f>"Q"&amp;ROUNDUP(MONTH(B365)/3,0)</f>
        <v/>
      </c>
      <c r="S365" s="36">
        <f>MONTH(B365)</f>
        <v/>
      </c>
      <c r="T365" s="36">
        <f>TEXT(B365,"mmm")</f>
        <v/>
      </c>
      <c r="U365" s="36">
        <f>IF(AND(OR(sel_Region="All",C365=sel_Region),OR(sel_Country="All",D365=sel_Country),OR(sel_Channel="All",E365=sel_Channel),OR(sel_Customer="All",F365=sel_Customer),OR(sel_Category="All",G365=sel_Category),OR(sel_Product="All",H365=sel_Product),AND(S365&gt;=m_From,S365&lt;=m_To)),1,0)</f>
        <v/>
      </c>
      <c r="V365" s="36">
        <f>IF(AND(OR(sel_Region="All",C365=sel_Region),OR(sel_Channel="All",E365=sel_Channel),OR(sel_Customer="All",F365=sel_Customer),OR(sel_Category="All",G365=sel_Category),OR(sel_Product="All",H365=sel_Product),AND(S365&gt;=m_From,S365&lt;=m_To)),1,0)</f>
        <v/>
      </c>
      <c r="W365" s="36">
        <f>IF(AND(OR(sel_Region="All",C365=sel_Region),OR(sel_Country="All",D365=sel_Country),OR(sel_Customer="All",F365=sel_Customer),OR(sel_Category="All",G365=sel_Category),OR(sel_Product="All",H365=sel_Product),AND(S365&gt;=m_From,S365&lt;=m_To)),1,0)</f>
        <v/>
      </c>
      <c r="X365" s="36">
        <f>IF(AND(OR(sel_Region="All",C365=sel_Region),OR(sel_Country="All",D365=sel_Country),OR(sel_Channel="All",E365=sel_Channel),OR(sel_Category="All",G365=sel_Category),OR(sel_Product="All",H365=sel_Product),AND(S365&gt;=m_From,S365&lt;=m_To)),1,0)</f>
        <v/>
      </c>
      <c r="Y365" s="36">
        <f>IF(AND(OR(sel_Region="All",C365=sel_Region),OR(sel_Country="All",D365=sel_Country),OR(sel_Channel="All",E365=sel_Channel),OR(sel_Customer="All",F365=sel_Customer),OR(sel_Product="All",H365=sel_Product),AND(S365&gt;=m_From,S365&lt;=m_To)),1,0)</f>
        <v/>
      </c>
      <c r="Z365" s="36">
        <f>IF(AND(OR(sel_Region="All",C365=sel_Region),OR(sel_Country="All",D365=sel_Country),OR(sel_Channel="All",E365=sel_Channel),OR(sel_Customer="All",F365=sel_Customer),OR(sel_Category="All",G365=sel_Category),AND(S365&gt;=m_From,S365&lt;=m_To)),1,0)</f>
        <v/>
      </c>
      <c r="AA365" s="36">
        <f>IF(AND(OR(sel_Region="All",C365=sel_Region),OR(sel_Country="All",D365=sel_Country),OR(sel_Channel="All",E365=sel_Channel),OR(sel_Customer="All",F365=sel_Customer),OR(sel_Category="All",G365=sel_Category),OR(sel_Product="All",H365=sel_Product)),1,0)</f>
        <v/>
      </c>
    </row>
    <row r="366">
      <c r="A366" s="36" t="inlineStr">
        <is>
          <t>03878</t>
        </is>
      </c>
      <c r="B366" s="44" t="n">
        <v>46095</v>
      </c>
      <c r="C366" s="36" t="inlineStr">
        <is>
          <t>Central Europe</t>
        </is>
      </c>
      <c r="D366" s="36" t="inlineStr">
        <is>
          <t>Poland</t>
        </is>
      </c>
      <c r="E366" s="36" t="inlineStr">
        <is>
          <t>Marketplace</t>
        </is>
      </c>
      <c r="F366" s="36" t="inlineStr">
        <is>
          <t>Returning</t>
        </is>
      </c>
      <c r="G366" s="36" t="inlineStr">
        <is>
          <t>Fitness</t>
        </is>
      </c>
      <c r="H366" s="36" t="inlineStr">
        <is>
          <t>Resistance Band Set</t>
        </is>
      </c>
      <c r="I366" s="36" t="n">
        <v>1</v>
      </c>
      <c r="J366" s="39" t="n">
        <v>41.05</v>
      </c>
      <c r="K366" s="45" t="n">
        <v>0.1</v>
      </c>
      <c r="L366" s="39" t="n">
        <v>14.94</v>
      </c>
      <c r="M366" s="39">
        <f>I366*J366*(1-K366)</f>
        <v/>
      </c>
      <c r="N366" s="39">
        <f>I366*L366</f>
        <v/>
      </c>
      <c r="O366" s="39">
        <f>M366-N366</f>
        <v/>
      </c>
      <c r="P366" s="38">
        <f>IF(M366=0,0,O366/M366)</f>
        <v/>
      </c>
      <c r="Q366" s="36">
        <f>YEAR(B366)</f>
        <v/>
      </c>
      <c r="R366" s="36">
        <f>"Q"&amp;ROUNDUP(MONTH(B366)/3,0)</f>
        <v/>
      </c>
      <c r="S366" s="36">
        <f>MONTH(B366)</f>
        <v/>
      </c>
      <c r="T366" s="36">
        <f>TEXT(B366,"mmm")</f>
        <v/>
      </c>
      <c r="U366" s="36">
        <f>IF(AND(OR(sel_Region="All",C366=sel_Region),OR(sel_Country="All",D366=sel_Country),OR(sel_Channel="All",E366=sel_Channel),OR(sel_Customer="All",F366=sel_Customer),OR(sel_Category="All",G366=sel_Category),OR(sel_Product="All",H366=sel_Product),AND(S366&gt;=m_From,S366&lt;=m_To)),1,0)</f>
        <v/>
      </c>
      <c r="V366" s="36">
        <f>IF(AND(OR(sel_Region="All",C366=sel_Region),OR(sel_Channel="All",E366=sel_Channel),OR(sel_Customer="All",F366=sel_Customer),OR(sel_Category="All",G366=sel_Category),OR(sel_Product="All",H366=sel_Product),AND(S366&gt;=m_From,S366&lt;=m_To)),1,0)</f>
        <v/>
      </c>
      <c r="W366" s="36">
        <f>IF(AND(OR(sel_Region="All",C366=sel_Region),OR(sel_Country="All",D366=sel_Country),OR(sel_Customer="All",F366=sel_Customer),OR(sel_Category="All",G366=sel_Category),OR(sel_Product="All",H366=sel_Product),AND(S366&gt;=m_From,S366&lt;=m_To)),1,0)</f>
        <v/>
      </c>
      <c r="X366" s="36">
        <f>IF(AND(OR(sel_Region="All",C366=sel_Region),OR(sel_Country="All",D366=sel_Country),OR(sel_Channel="All",E366=sel_Channel),OR(sel_Category="All",G366=sel_Category),OR(sel_Product="All",H366=sel_Product),AND(S366&gt;=m_From,S366&lt;=m_To)),1,0)</f>
        <v/>
      </c>
      <c r="Y366" s="36">
        <f>IF(AND(OR(sel_Region="All",C366=sel_Region),OR(sel_Country="All",D366=sel_Country),OR(sel_Channel="All",E366=sel_Channel),OR(sel_Customer="All",F366=sel_Customer),OR(sel_Product="All",H366=sel_Product),AND(S366&gt;=m_From,S366&lt;=m_To)),1,0)</f>
        <v/>
      </c>
      <c r="Z366" s="36">
        <f>IF(AND(OR(sel_Region="All",C366=sel_Region),OR(sel_Country="All",D366=sel_Country),OR(sel_Channel="All",E366=sel_Channel),OR(sel_Customer="All",F366=sel_Customer),OR(sel_Category="All",G366=sel_Category),AND(S366&gt;=m_From,S366&lt;=m_To)),1,0)</f>
        <v/>
      </c>
      <c r="AA366" s="36">
        <f>IF(AND(OR(sel_Region="All",C366=sel_Region),OR(sel_Country="All",D366=sel_Country),OR(sel_Channel="All",E366=sel_Channel),OR(sel_Customer="All",F366=sel_Customer),OR(sel_Category="All",G366=sel_Category),OR(sel_Product="All",H366=sel_Product)),1,0)</f>
        <v/>
      </c>
    </row>
    <row r="367">
      <c r="A367" s="36" t="inlineStr">
        <is>
          <t>02027</t>
        </is>
      </c>
      <c r="B367" s="44" t="n">
        <v>46096</v>
      </c>
      <c r="C367" s="36" t="inlineStr">
        <is>
          <t>Northern Europe</t>
        </is>
      </c>
      <c r="D367" s="36" t="inlineStr">
        <is>
          <t>Sweden</t>
        </is>
      </c>
      <c r="E367" s="36" t="inlineStr">
        <is>
          <t>Online Store</t>
        </is>
      </c>
      <c r="F367" s="36" t="inlineStr">
        <is>
          <t>Returning</t>
        </is>
      </c>
      <c r="G367" s="36" t="inlineStr">
        <is>
          <t>Travel</t>
        </is>
      </c>
      <c r="H367" s="36" t="inlineStr">
        <is>
          <t>Carry-On Duffel</t>
        </is>
      </c>
      <c r="I367" s="36" t="n">
        <v>4</v>
      </c>
      <c r="J367" s="39" t="n">
        <v>136.21</v>
      </c>
      <c r="K367" s="45" t="n">
        <v>0.05</v>
      </c>
      <c r="L367" s="39" t="n">
        <v>68.55</v>
      </c>
      <c r="M367" s="39">
        <f>I367*J367*(1-K367)</f>
        <v/>
      </c>
      <c r="N367" s="39">
        <f>I367*L367</f>
        <v/>
      </c>
      <c r="O367" s="39">
        <f>M367-N367</f>
        <v/>
      </c>
      <c r="P367" s="38">
        <f>IF(M367=0,0,O367/M367)</f>
        <v/>
      </c>
      <c r="Q367" s="36">
        <f>YEAR(B367)</f>
        <v/>
      </c>
      <c r="R367" s="36">
        <f>"Q"&amp;ROUNDUP(MONTH(B367)/3,0)</f>
        <v/>
      </c>
      <c r="S367" s="36">
        <f>MONTH(B367)</f>
        <v/>
      </c>
      <c r="T367" s="36">
        <f>TEXT(B367,"mmm")</f>
        <v/>
      </c>
      <c r="U367" s="36">
        <f>IF(AND(OR(sel_Region="All",C367=sel_Region),OR(sel_Country="All",D367=sel_Country),OR(sel_Channel="All",E367=sel_Channel),OR(sel_Customer="All",F367=sel_Customer),OR(sel_Category="All",G367=sel_Category),OR(sel_Product="All",H367=sel_Product),AND(S367&gt;=m_From,S367&lt;=m_To)),1,0)</f>
        <v/>
      </c>
      <c r="V367" s="36">
        <f>IF(AND(OR(sel_Region="All",C367=sel_Region),OR(sel_Channel="All",E367=sel_Channel),OR(sel_Customer="All",F367=sel_Customer),OR(sel_Category="All",G367=sel_Category),OR(sel_Product="All",H367=sel_Product),AND(S367&gt;=m_From,S367&lt;=m_To)),1,0)</f>
        <v/>
      </c>
      <c r="W367" s="36">
        <f>IF(AND(OR(sel_Region="All",C367=sel_Region),OR(sel_Country="All",D367=sel_Country),OR(sel_Customer="All",F367=sel_Customer),OR(sel_Category="All",G367=sel_Category),OR(sel_Product="All",H367=sel_Product),AND(S367&gt;=m_From,S367&lt;=m_To)),1,0)</f>
        <v/>
      </c>
      <c r="X367" s="36">
        <f>IF(AND(OR(sel_Region="All",C367=sel_Region),OR(sel_Country="All",D367=sel_Country),OR(sel_Channel="All",E367=sel_Channel),OR(sel_Category="All",G367=sel_Category),OR(sel_Product="All",H367=sel_Product),AND(S367&gt;=m_From,S367&lt;=m_To)),1,0)</f>
        <v/>
      </c>
      <c r="Y367" s="36">
        <f>IF(AND(OR(sel_Region="All",C367=sel_Region),OR(sel_Country="All",D367=sel_Country),OR(sel_Channel="All",E367=sel_Channel),OR(sel_Customer="All",F367=sel_Customer),OR(sel_Product="All",H367=sel_Product),AND(S367&gt;=m_From,S367&lt;=m_To)),1,0)</f>
        <v/>
      </c>
      <c r="Z367" s="36">
        <f>IF(AND(OR(sel_Region="All",C367=sel_Region),OR(sel_Country="All",D367=sel_Country),OR(sel_Channel="All",E367=sel_Channel),OR(sel_Customer="All",F367=sel_Customer),OR(sel_Category="All",G367=sel_Category),AND(S367&gt;=m_From,S367&lt;=m_To)),1,0)</f>
        <v/>
      </c>
      <c r="AA367" s="36">
        <f>IF(AND(OR(sel_Region="All",C367=sel_Region),OR(sel_Country="All",D367=sel_Country),OR(sel_Channel="All",E367=sel_Channel),OR(sel_Customer="All",F367=sel_Customer),OR(sel_Category="All",G367=sel_Category),OR(sel_Product="All",H367=sel_Product)),1,0)</f>
        <v/>
      </c>
    </row>
    <row r="368">
      <c r="A368" s="36" t="inlineStr">
        <is>
          <t>03280</t>
        </is>
      </c>
      <c r="B368" s="44" t="n">
        <v>46096</v>
      </c>
      <c r="C368" s="36" t="inlineStr">
        <is>
          <t>Western Europe</t>
        </is>
      </c>
      <c r="D368" s="36" t="inlineStr">
        <is>
          <t>Belgium</t>
        </is>
      </c>
      <c r="E368" s="36" t="inlineStr">
        <is>
          <t>Online Store</t>
        </is>
      </c>
      <c r="F368" s="36" t="inlineStr">
        <is>
          <t>Returning</t>
        </is>
      </c>
      <c r="G368" s="36" t="inlineStr">
        <is>
          <t>Travel</t>
        </is>
      </c>
      <c r="H368" s="36" t="inlineStr">
        <is>
          <t>Packing Cube Set</t>
        </is>
      </c>
      <c r="I368" s="36" t="n">
        <v>3</v>
      </c>
      <c r="J368" s="39" t="n">
        <v>46.68</v>
      </c>
      <c r="K368" s="45" t="n">
        <v>0</v>
      </c>
      <c r="L368" s="39" t="n">
        <v>18.76</v>
      </c>
      <c r="M368" s="39">
        <f>I368*J368*(1-K368)</f>
        <v/>
      </c>
      <c r="N368" s="39">
        <f>I368*L368</f>
        <v/>
      </c>
      <c r="O368" s="39">
        <f>M368-N368</f>
        <v/>
      </c>
      <c r="P368" s="38">
        <f>IF(M368=0,0,O368/M368)</f>
        <v/>
      </c>
      <c r="Q368" s="36">
        <f>YEAR(B368)</f>
        <v/>
      </c>
      <c r="R368" s="36">
        <f>"Q"&amp;ROUNDUP(MONTH(B368)/3,0)</f>
        <v/>
      </c>
      <c r="S368" s="36">
        <f>MONTH(B368)</f>
        <v/>
      </c>
      <c r="T368" s="36">
        <f>TEXT(B368,"mmm")</f>
        <v/>
      </c>
      <c r="U368" s="36">
        <f>IF(AND(OR(sel_Region="All",C368=sel_Region),OR(sel_Country="All",D368=sel_Country),OR(sel_Channel="All",E368=sel_Channel),OR(sel_Customer="All",F368=sel_Customer),OR(sel_Category="All",G368=sel_Category),OR(sel_Product="All",H368=sel_Product),AND(S368&gt;=m_From,S368&lt;=m_To)),1,0)</f>
        <v/>
      </c>
      <c r="V368" s="36">
        <f>IF(AND(OR(sel_Region="All",C368=sel_Region),OR(sel_Channel="All",E368=sel_Channel),OR(sel_Customer="All",F368=sel_Customer),OR(sel_Category="All",G368=sel_Category),OR(sel_Product="All",H368=sel_Product),AND(S368&gt;=m_From,S368&lt;=m_To)),1,0)</f>
        <v/>
      </c>
      <c r="W368" s="36">
        <f>IF(AND(OR(sel_Region="All",C368=sel_Region),OR(sel_Country="All",D368=sel_Country),OR(sel_Customer="All",F368=sel_Customer),OR(sel_Category="All",G368=sel_Category),OR(sel_Product="All",H368=sel_Product),AND(S368&gt;=m_From,S368&lt;=m_To)),1,0)</f>
        <v/>
      </c>
      <c r="X368" s="36">
        <f>IF(AND(OR(sel_Region="All",C368=sel_Region),OR(sel_Country="All",D368=sel_Country),OR(sel_Channel="All",E368=sel_Channel),OR(sel_Category="All",G368=sel_Category),OR(sel_Product="All",H368=sel_Product),AND(S368&gt;=m_From,S368&lt;=m_To)),1,0)</f>
        <v/>
      </c>
      <c r="Y368" s="36">
        <f>IF(AND(OR(sel_Region="All",C368=sel_Region),OR(sel_Country="All",D368=sel_Country),OR(sel_Channel="All",E368=sel_Channel),OR(sel_Customer="All",F368=sel_Customer),OR(sel_Product="All",H368=sel_Product),AND(S368&gt;=m_From,S368&lt;=m_To)),1,0)</f>
        <v/>
      </c>
      <c r="Z368" s="36">
        <f>IF(AND(OR(sel_Region="All",C368=sel_Region),OR(sel_Country="All",D368=sel_Country),OR(sel_Channel="All",E368=sel_Channel),OR(sel_Customer="All",F368=sel_Customer),OR(sel_Category="All",G368=sel_Category),AND(S368&gt;=m_From,S368&lt;=m_To)),1,0)</f>
        <v/>
      </c>
      <c r="AA368" s="36">
        <f>IF(AND(OR(sel_Region="All",C368=sel_Region),OR(sel_Country="All",D368=sel_Country),OR(sel_Channel="All",E368=sel_Channel),OR(sel_Customer="All",F368=sel_Customer),OR(sel_Category="All",G368=sel_Category),OR(sel_Product="All",H368=sel_Product)),1,0)</f>
        <v/>
      </c>
    </row>
    <row r="369">
      <c r="A369" s="36" t="inlineStr">
        <is>
          <t>05149</t>
        </is>
      </c>
      <c r="B369" s="44" t="n">
        <v>46096</v>
      </c>
      <c r="C369" s="36" t="inlineStr">
        <is>
          <t>Central Europe</t>
        </is>
      </c>
      <c r="D369" s="36" t="inlineStr">
        <is>
          <t>Germany</t>
        </is>
      </c>
      <c r="E369" s="36" t="inlineStr">
        <is>
          <t>Retail Partners</t>
        </is>
      </c>
      <c r="F369" s="36" t="inlineStr">
        <is>
          <t>New</t>
        </is>
      </c>
      <c r="G369" s="36" t="inlineStr">
        <is>
          <t>Travel</t>
        </is>
      </c>
      <c r="H369" s="36" t="inlineStr">
        <is>
          <t>Insulated Bottle</t>
        </is>
      </c>
      <c r="I369" s="36" t="n">
        <v>1</v>
      </c>
      <c r="J369" s="39" t="n">
        <v>35.34</v>
      </c>
      <c r="K369" s="45" t="n">
        <v>0.05</v>
      </c>
      <c r="L369" s="39" t="n">
        <v>13.37</v>
      </c>
      <c r="M369" s="39">
        <f>I369*J369*(1-K369)</f>
        <v/>
      </c>
      <c r="N369" s="39">
        <f>I369*L369</f>
        <v/>
      </c>
      <c r="O369" s="39">
        <f>M369-N369</f>
        <v/>
      </c>
      <c r="P369" s="38">
        <f>IF(M369=0,0,O369/M369)</f>
        <v/>
      </c>
      <c r="Q369" s="36">
        <f>YEAR(B369)</f>
        <v/>
      </c>
      <c r="R369" s="36">
        <f>"Q"&amp;ROUNDUP(MONTH(B369)/3,0)</f>
        <v/>
      </c>
      <c r="S369" s="36">
        <f>MONTH(B369)</f>
        <v/>
      </c>
      <c r="T369" s="36">
        <f>TEXT(B369,"mmm")</f>
        <v/>
      </c>
      <c r="U369" s="36">
        <f>IF(AND(OR(sel_Region="All",C369=sel_Region),OR(sel_Country="All",D369=sel_Country),OR(sel_Channel="All",E369=sel_Channel),OR(sel_Customer="All",F369=sel_Customer),OR(sel_Category="All",G369=sel_Category),OR(sel_Product="All",H369=sel_Product),AND(S369&gt;=m_From,S369&lt;=m_To)),1,0)</f>
        <v/>
      </c>
      <c r="V369" s="36">
        <f>IF(AND(OR(sel_Region="All",C369=sel_Region),OR(sel_Channel="All",E369=sel_Channel),OR(sel_Customer="All",F369=sel_Customer),OR(sel_Category="All",G369=sel_Category),OR(sel_Product="All",H369=sel_Product),AND(S369&gt;=m_From,S369&lt;=m_To)),1,0)</f>
        <v/>
      </c>
      <c r="W369" s="36">
        <f>IF(AND(OR(sel_Region="All",C369=sel_Region),OR(sel_Country="All",D369=sel_Country),OR(sel_Customer="All",F369=sel_Customer),OR(sel_Category="All",G369=sel_Category),OR(sel_Product="All",H369=sel_Product),AND(S369&gt;=m_From,S369&lt;=m_To)),1,0)</f>
        <v/>
      </c>
      <c r="X369" s="36">
        <f>IF(AND(OR(sel_Region="All",C369=sel_Region),OR(sel_Country="All",D369=sel_Country),OR(sel_Channel="All",E369=sel_Channel),OR(sel_Category="All",G369=sel_Category),OR(sel_Product="All",H369=sel_Product),AND(S369&gt;=m_From,S369&lt;=m_To)),1,0)</f>
        <v/>
      </c>
      <c r="Y369" s="36">
        <f>IF(AND(OR(sel_Region="All",C369=sel_Region),OR(sel_Country="All",D369=sel_Country),OR(sel_Channel="All",E369=sel_Channel),OR(sel_Customer="All",F369=sel_Customer),OR(sel_Product="All",H369=sel_Product),AND(S369&gt;=m_From,S369&lt;=m_To)),1,0)</f>
        <v/>
      </c>
      <c r="Z369" s="36">
        <f>IF(AND(OR(sel_Region="All",C369=sel_Region),OR(sel_Country="All",D369=sel_Country),OR(sel_Channel="All",E369=sel_Channel),OR(sel_Customer="All",F369=sel_Customer),OR(sel_Category="All",G369=sel_Category),AND(S369&gt;=m_From,S369&lt;=m_To)),1,0)</f>
        <v/>
      </c>
      <c r="AA369" s="36">
        <f>IF(AND(OR(sel_Region="All",C369=sel_Region),OR(sel_Country="All",D369=sel_Country),OR(sel_Channel="All",E369=sel_Channel),OR(sel_Customer="All",F369=sel_Customer),OR(sel_Category="All",G369=sel_Category),OR(sel_Product="All",H369=sel_Product)),1,0)</f>
        <v/>
      </c>
    </row>
    <row r="370">
      <c r="A370" s="36" t="inlineStr">
        <is>
          <t>00412</t>
        </is>
      </c>
      <c r="B370" s="44" t="n">
        <v>46097</v>
      </c>
      <c r="C370" s="36" t="inlineStr">
        <is>
          <t>Western Europe</t>
        </is>
      </c>
      <c r="D370" s="36" t="inlineStr">
        <is>
          <t>Netherlands</t>
        </is>
      </c>
      <c r="E370" s="36" t="inlineStr">
        <is>
          <t>Retail Partners</t>
        </is>
      </c>
      <c r="F370" s="36" t="inlineStr">
        <is>
          <t>Returning</t>
        </is>
      </c>
      <c r="G370" s="36" t="inlineStr">
        <is>
          <t>Fitness</t>
        </is>
      </c>
      <c r="H370" s="36" t="inlineStr">
        <is>
          <t>Resistance Band Set</t>
        </is>
      </c>
      <c r="I370" s="36" t="n">
        <v>2</v>
      </c>
      <c r="J370" s="39" t="n">
        <v>40.19</v>
      </c>
      <c r="K370" s="45" t="n">
        <v>0</v>
      </c>
      <c r="L370" s="39" t="n">
        <v>14.92</v>
      </c>
      <c r="M370" s="39">
        <f>I370*J370*(1-K370)</f>
        <v/>
      </c>
      <c r="N370" s="39">
        <f>I370*L370</f>
        <v/>
      </c>
      <c r="O370" s="39">
        <f>M370-N370</f>
        <v/>
      </c>
      <c r="P370" s="38">
        <f>IF(M370=0,0,O370/M370)</f>
        <v/>
      </c>
      <c r="Q370" s="36">
        <f>YEAR(B370)</f>
        <v/>
      </c>
      <c r="R370" s="36">
        <f>"Q"&amp;ROUNDUP(MONTH(B370)/3,0)</f>
        <v/>
      </c>
      <c r="S370" s="36">
        <f>MONTH(B370)</f>
        <v/>
      </c>
      <c r="T370" s="36">
        <f>TEXT(B370,"mmm")</f>
        <v/>
      </c>
      <c r="U370" s="36">
        <f>IF(AND(OR(sel_Region="All",C370=sel_Region),OR(sel_Country="All",D370=sel_Country),OR(sel_Channel="All",E370=sel_Channel),OR(sel_Customer="All",F370=sel_Customer),OR(sel_Category="All",G370=sel_Category),OR(sel_Product="All",H370=sel_Product),AND(S370&gt;=m_From,S370&lt;=m_To)),1,0)</f>
        <v/>
      </c>
      <c r="V370" s="36">
        <f>IF(AND(OR(sel_Region="All",C370=sel_Region),OR(sel_Channel="All",E370=sel_Channel),OR(sel_Customer="All",F370=sel_Customer),OR(sel_Category="All",G370=sel_Category),OR(sel_Product="All",H370=sel_Product),AND(S370&gt;=m_From,S370&lt;=m_To)),1,0)</f>
        <v/>
      </c>
      <c r="W370" s="36">
        <f>IF(AND(OR(sel_Region="All",C370=sel_Region),OR(sel_Country="All",D370=sel_Country),OR(sel_Customer="All",F370=sel_Customer),OR(sel_Category="All",G370=sel_Category),OR(sel_Product="All",H370=sel_Product),AND(S370&gt;=m_From,S370&lt;=m_To)),1,0)</f>
        <v/>
      </c>
      <c r="X370" s="36">
        <f>IF(AND(OR(sel_Region="All",C370=sel_Region),OR(sel_Country="All",D370=sel_Country),OR(sel_Channel="All",E370=sel_Channel),OR(sel_Category="All",G370=sel_Category),OR(sel_Product="All",H370=sel_Product),AND(S370&gt;=m_From,S370&lt;=m_To)),1,0)</f>
        <v/>
      </c>
      <c r="Y370" s="36">
        <f>IF(AND(OR(sel_Region="All",C370=sel_Region),OR(sel_Country="All",D370=sel_Country),OR(sel_Channel="All",E370=sel_Channel),OR(sel_Customer="All",F370=sel_Customer),OR(sel_Product="All",H370=sel_Product),AND(S370&gt;=m_From,S370&lt;=m_To)),1,0)</f>
        <v/>
      </c>
      <c r="Z370" s="36">
        <f>IF(AND(OR(sel_Region="All",C370=sel_Region),OR(sel_Country="All",D370=sel_Country),OR(sel_Channel="All",E370=sel_Channel),OR(sel_Customer="All",F370=sel_Customer),OR(sel_Category="All",G370=sel_Category),AND(S370&gt;=m_From,S370&lt;=m_To)),1,0)</f>
        <v/>
      </c>
      <c r="AA370" s="36">
        <f>IF(AND(OR(sel_Region="All",C370=sel_Region),OR(sel_Country="All",D370=sel_Country),OR(sel_Channel="All",E370=sel_Channel),OR(sel_Customer="All",F370=sel_Customer),OR(sel_Category="All",G370=sel_Category),OR(sel_Product="All",H370=sel_Product)),1,0)</f>
        <v/>
      </c>
    </row>
    <row r="371">
      <c r="A371" s="36" t="inlineStr">
        <is>
          <t>01161</t>
        </is>
      </c>
      <c r="B371" s="44" t="n">
        <v>46097</v>
      </c>
      <c r="C371" s="36" t="inlineStr">
        <is>
          <t>Central Europe</t>
        </is>
      </c>
      <c r="D371" s="36" t="inlineStr">
        <is>
          <t>Germany</t>
        </is>
      </c>
      <c r="E371" s="36" t="inlineStr">
        <is>
          <t>Online Store</t>
        </is>
      </c>
      <c r="F371" s="36" t="inlineStr">
        <is>
          <t>New</t>
        </is>
      </c>
      <c r="G371" s="36" t="inlineStr">
        <is>
          <t>Cycling</t>
        </is>
      </c>
      <c r="H371" s="36" t="inlineStr">
        <is>
          <t>Cycling Pack 12L</t>
        </is>
      </c>
      <c r="I371" s="36" t="n">
        <v>2</v>
      </c>
      <c r="J371" s="39" t="n">
        <v>101.73</v>
      </c>
      <c r="K371" s="45" t="n">
        <v>0.05</v>
      </c>
      <c r="L371" s="39" t="n">
        <v>51.56</v>
      </c>
      <c r="M371" s="39">
        <f>I371*J371*(1-K371)</f>
        <v/>
      </c>
      <c r="N371" s="39">
        <f>I371*L371</f>
        <v/>
      </c>
      <c r="O371" s="39">
        <f>M371-N371</f>
        <v/>
      </c>
      <c r="P371" s="38">
        <f>IF(M371=0,0,O371/M371)</f>
        <v/>
      </c>
      <c r="Q371" s="36">
        <f>YEAR(B371)</f>
        <v/>
      </c>
      <c r="R371" s="36">
        <f>"Q"&amp;ROUNDUP(MONTH(B371)/3,0)</f>
        <v/>
      </c>
      <c r="S371" s="36">
        <f>MONTH(B371)</f>
        <v/>
      </c>
      <c r="T371" s="36">
        <f>TEXT(B371,"mmm")</f>
        <v/>
      </c>
      <c r="U371" s="36">
        <f>IF(AND(OR(sel_Region="All",C371=sel_Region),OR(sel_Country="All",D371=sel_Country),OR(sel_Channel="All",E371=sel_Channel),OR(sel_Customer="All",F371=sel_Customer),OR(sel_Category="All",G371=sel_Category),OR(sel_Product="All",H371=sel_Product),AND(S371&gt;=m_From,S371&lt;=m_To)),1,0)</f>
        <v/>
      </c>
      <c r="V371" s="36">
        <f>IF(AND(OR(sel_Region="All",C371=sel_Region),OR(sel_Channel="All",E371=sel_Channel),OR(sel_Customer="All",F371=sel_Customer),OR(sel_Category="All",G371=sel_Category),OR(sel_Product="All",H371=sel_Product),AND(S371&gt;=m_From,S371&lt;=m_To)),1,0)</f>
        <v/>
      </c>
      <c r="W371" s="36">
        <f>IF(AND(OR(sel_Region="All",C371=sel_Region),OR(sel_Country="All",D371=sel_Country),OR(sel_Customer="All",F371=sel_Customer),OR(sel_Category="All",G371=sel_Category),OR(sel_Product="All",H371=sel_Product),AND(S371&gt;=m_From,S371&lt;=m_To)),1,0)</f>
        <v/>
      </c>
      <c r="X371" s="36">
        <f>IF(AND(OR(sel_Region="All",C371=sel_Region),OR(sel_Country="All",D371=sel_Country),OR(sel_Channel="All",E371=sel_Channel),OR(sel_Category="All",G371=sel_Category),OR(sel_Product="All",H371=sel_Product),AND(S371&gt;=m_From,S371&lt;=m_To)),1,0)</f>
        <v/>
      </c>
      <c r="Y371" s="36">
        <f>IF(AND(OR(sel_Region="All",C371=sel_Region),OR(sel_Country="All",D371=sel_Country),OR(sel_Channel="All",E371=sel_Channel),OR(sel_Customer="All",F371=sel_Customer),OR(sel_Product="All",H371=sel_Product),AND(S371&gt;=m_From,S371&lt;=m_To)),1,0)</f>
        <v/>
      </c>
      <c r="Z371" s="36">
        <f>IF(AND(OR(sel_Region="All",C371=sel_Region),OR(sel_Country="All",D371=sel_Country),OR(sel_Channel="All",E371=sel_Channel),OR(sel_Customer="All",F371=sel_Customer),OR(sel_Category="All",G371=sel_Category),AND(S371&gt;=m_From,S371&lt;=m_To)),1,0)</f>
        <v/>
      </c>
      <c r="AA371" s="36">
        <f>IF(AND(OR(sel_Region="All",C371=sel_Region),OR(sel_Country="All",D371=sel_Country),OR(sel_Channel="All",E371=sel_Channel),OR(sel_Customer="All",F371=sel_Customer),OR(sel_Category="All",G371=sel_Category),OR(sel_Product="All",H371=sel_Product)),1,0)</f>
        <v/>
      </c>
    </row>
    <row r="372">
      <c r="A372" s="36" t="inlineStr">
        <is>
          <t>01320</t>
        </is>
      </c>
      <c r="B372" s="44" t="n">
        <v>46097</v>
      </c>
      <c r="C372" s="36" t="inlineStr">
        <is>
          <t>Northern Europe</t>
        </is>
      </c>
      <c r="D372" s="36" t="inlineStr">
        <is>
          <t>Ireland</t>
        </is>
      </c>
      <c r="E372" s="36" t="inlineStr">
        <is>
          <t>Retail Partners</t>
        </is>
      </c>
      <c r="F372" s="36" t="inlineStr">
        <is>
          <t>Business</t>
        </is>
      </c>
      <c r="G372" s="36" t="inlineStr">
        <is>
          <t>Camping</t>
        </is>
      </c>
      <c r="H372" s="36" t="inlineStr">
        <is>
          <t>Trail Tent 2P</t>
        </is>
      </c>
      <c r="I372" s="36" t="n">
        <v>1</v>
      </c>
      <c r="J372" s="39" t="n">
        <v>200.05</v>
      </c>
      <c r="K372" s="45" t="n">
        <v>0</v>
      </c>
      <c r="L372" s="39" t="n">
        <v>102.69</v>
      </c>
      <c r="M372" s="39">
        <f>I372*J372*(1-K372)</f>
        <v/>
      </c>
      <c r="N372" s="39">
        <f>I372*L372</f>
        <v/>
      </c>
      <c r="O372" s="39">
        <f>M372-N372</f>
        <v/>
      </c>
      <c r="P372" s="38">
        <f>IF(M372=0,0,O372/M372)</f>
        <v/>
      </c>
      <c r="Q372" s="36">
        <f>YEAR(B372)</f>
        <v/>
      </c>
      <c r="R372" s="36">
        <f>"Q"&amp;ROUNDUP(MONTH(B372)/3,0)</f>
        <v/>
      </c>
      <c r="S372" s="36">
        <f>MONTH(B372)</f>
        <v/>
      </c>
      <c r="T372" s="36">
        <f>TEXT(B372,"mmm")</f>
        <v/>
      </c>
      <c r="U372" s="36">
        <f>IF(AND(OR(sel_Region="All",C372=sel_Region),OR(sel_Country="All",D372=sel_Country),OR(sel_Channel="All",E372=sel_Channel),OR(sel_Customer="All",F372=sel_Customer),OR(sel_Category="All",G372=sel_Category),OR(sel_Product="All",H372=sel_Product),AND(S372&gt;=m_From,S372&lt;=m_To)),1,0)</f>
        <v/>
      </c>
      <c r="V372" s="36">
        <f>IF(AND(OR(sel_Region="All",C372=sel_Region),OR(sel_Channel="All",E372=sel_Channel),OR(sel_Customer="All",F372=sel_Customer),OR(sel_Category="All",G372=sel_Category),OR(sel_Product="All",H372=sel_Product),AND(S372&gt;=m_From,S372&lt;=m_To)),1,0)</f>
        <v/>
      </c>
      <c r="W372" s="36">
        <f>IF(AND(OR(sel_Region="All",C372=sel_Region),OR(sel_Country="All",D372=sel_Country),OR(sel_Customer="All",F372=sel_Customer),OR(sel_Category="All",G372=sel_Category),OR(sel_Product="All",H372=sel_Product),AND(S372&gt;=m_From,S372&lt;=m_To)),1,0)</f>
        <v/>
      </c>
      <c r="X372" s="36">
        <f>IF(AND(OR(sel_Region="All",C372=sel_Region),OR(sel_Country="All",D372=sel_Country),OR(sel_Channel="All",E372=sel_Channel),OR(sel_Category="All",G372=sel_Category),OR(sel_Product="All",H372=sel_Product),AND(S372&gt;=m_From,S372&lt;=m_To)),1,0)</f>
        <v/>
      </c>
      <c r="Y372" s="36">
        <f>IF(AND(OR(sel_Region="All",C372=sel_Region),OR(sel_Country="All",D372=sel_Country),OR(sel_Channel="All",E372=sel_Channel),OR(sel_Customer="All",F372=sel_Customer),OR(sel_Product="All",H372=sel_Product),AND(S372&gt;=m_From,S372&lt;=m_To)),1,0)</f>
        <v/>
      </c>
      <c r="Z372" s="36">
        <f>IF(AND(OR(sel_Region="All",C372=sel_Region),OR(sel_Country="All",D372=sel_Country),OR(sel_Channel="All",E372=sel_Channel),OR(sel_Customer="All",F372=sel_Customer),OR(sel_Category="All",G372=sel_Category),AND(S372&gt;=m_From,S372&lt;=m_To)),1,0)</f>
        <v/>
      </c>
      <c r="AA372" s="36">
        <f>IF(AND(OR(sel_Region="All",C372=sel_Region),OR(sel_Country="All",D372=sel_Country),OR(sel_Channel="All",E372=sel_Channel),OR(sel_Customer="All",F372=sel_Customer),OR(sel_Category="All",G372=sel_Category),OR(sel_Product="All",H372=sel_Product)),1,0)</f>
        <v/>
      </c>
    </row>
    <row r="373">
      <c r="A373" s="36" t="inlineStr">
        <is>
          <t>02528</t>
        </is>
      </c>
      <c r="B373" s="44" t="n">
        <v>46097</v>
      </c>
      <c r="C373" s="36" t="inlineStr">
        <is>
          <t>Western Europe</t>
        </is>
      </c>
      <c r="D373" s="36" t="inlineStr">
        <is>
          <t>Netherlands</t>
        </is>
      </c>
      <c r="E373" s="36" t="inlineStr">
        <is>
          <t>Online Store</t>
        </is>
      </c>
      <c r="F373" s="36" t="inlineStr">
        <is>
          <t>New</t>
        </is>
      </c>
      <c r="G373" s="36" t="inlineStr">
        <is>
          <t>Hiking</t>
        </is>
      </c>
      <c r="H373" s="36" t="inlineStr">
        <is>
          <t>Hiking Daypack 20L</t>
        </is>
      </c>
      <c r="I373" s="36" t="n">
        <v>1</v>
      </c>
      <c r="J373" s="39" t="n">
        <v>90.06</v>
      </c>
      <c r="K373" s="45" t="n">
        <v>0</v>
      </c>
      <c r="L373" s="39" t="n">
        <v>44.49</v>
      </c>
      <c r="M373" s="39">
        <f>I373*J373*(1-K373)</f>
        <v/>
      </c>
      <c r="N373" s="39">
        <f>I373*L373</f>
        <v/>
      </c>
      <c r="O373" s="39">
        <f>M373-N373</f>
        <v/>
      </c>
      <c r="P373" s="38">
        <f>IF(M373=0,0,O373/M373)</f>
        <v/>
      </c>
      <c r="Q373" s="36">
        <f>YEAR(B373)</f>
        <v/>
      </c>
      <c r="R373" s="36">
        <f>"Q"&amp;ROUNDUP(MONTH(B373)/3,0)</f>
        <v/>
      </c>
      <c r="S373" s="36">
        <f>MONTH(B373)</f>
        <v/>
      </c>
      <c r="T373" s="36">
        <f>TEXT(B373,"mmm")</f>
        <v/>
      </c>
      <c r="U373" s="36">
        <f>IF(AND(OR(sel_Region="All",C373=sel_Region),OR(sel_Country="All",D373=sel_Country),OR(sel_Channel="All",E373=sel_Channel),OR(sel_Customer="All",F373=sel_Customer),OR(sel_Category="All",G373=sel_Category),OR(sel_Product="All",H373=sel_Product),AND(S373&gt;=m_From,S373&lt;=m_To)),1,0)</f>
        <v/>
      </c>
      <c r="V373" s="36">
        <f>IF(AND(OR(sel_Region="All",C373=sel_Region),OR(sel_Channel="All",E373=sel_Channel),OR(sel_Customer="All",F373=sel_Customer),OR(sel_Category="All",G373=sel_Category),OR(sel_Product="All",H373=sel_Product),AND(S373&gt;=m_From,S373&lt;=m_To)),1,0)</f>
        <v/>
      </c>
      <c r="W373" s="36">
        <f>IF(AND(OR(sel_Region="All",C373=sel_Region),OR(sel_Country="All",D373=sel_Country),OR(sel_Customer="All",F373=sel_Customer),OR(sel_Category="All",G373=sel_Category),OR(sel_Product="All",H373=sel_Product),AND(S373&gt;=m_From,S373&lt;=m_To)),1,0)</f>
        <v/>
      </c>
      <c r="X373" s="36">
        <f>IF(AND(OR(sel_Region="All",C373=sel_Region),OR(sel_Country="All",D373=sel_Country),OR(sel_Channel="All",E373=sel_Channel),OR(sel_Category="All",G373=sel_Category),OR(sel_Product="All",H373=sel_Product),AND(S373&gt;=m_From,S373&lt;=m_To)),1,0)</f>
        <v/>
      </c>
      <c r="Y373" s="36">
        <f>IF(AND(OR(sel_Region="All",C373=sel_Region),OR(sel_Country="All",D373=sel_Country),OR(sel_Channel="All",E373=sel_Channel),OR(sel_Customer="All",F373=sel_Customer),OR(sel_Product="All",H373=sel_Product),AND(S373&gt;=m_From,S373&lt;=m_To)),1,0)</f>
        <v/>
      </c>
      <c r="Z373" s="36">
        <f>IF(AND(OR(sel_Region="All",C373=sel_Region),OR(sel_Country="All",D373=sel_Country),OR(sel_Channel="All",E373=sel_Channel),OR(sel_Customer="All",F373=sel_Customer),OR(sel_Category="All",G373=sel_Category),AND(S373&gt;=m_From,S373&lt;=m_To)),1,0)</f>
        <v/>
      </c>
      <c r="AA373" s="36">
        <f>IF(AND(OR(sel_Region="All",C373=sel_Region),OR(sel_Country="All",D373=sel_Country),OR(sel_Channel="All",E373=sel_Channel),OR(sel_Customer="All",F373=sel_Customer),OR(sel_Category="All",G373=sel_Category),OR(sel_Product="All",H373=sel_Product)),1,0)</f>
        <v/>
      </c>
    </row>
    <row r="374">
      <c r="A374" s="36" t="inlineStr">
        <is>
          <t>02956</t>
        </is>
      </c>
      <c r="B374" s="44" t="n">
        <v>46097</v>
      </c>
      <c r="C374" s="36" t="inlineStr">
        <is>
          <t>Central Europe</t>
        </is>
      </c>
      <c r="D374" s="36" t="inlineStr">
        <is>
          <t>Switzerland</t>
        </is>
      </c>
      <c r="E374" s="36" t="inlineStr">
        <is>
          <t>Online Store</t>
        </is>
      </c>
      <c r="F374" s="36" t="inlineStr">
        <is>
          <t>New</t>
        </is>
      </c>
      <c r="G374" s="36" t="inlineStr">
        <is>
          <t>Travel</t>
        </is>
      </c>
      <c r="H374" s="36" t="inlineStr">
        <is>
          <t>Insulated Bottle</t>
        </is>
      </c>
      <c r="I374" s="36" t="n">
        <v>1</v>
      </c>
      <c r="J374" s="39" t="n">
        <v>37.12</v>
      </c>
      <c r="K374" s="45" t="n">
        <v>0.1</v>
      </c>
      <c r="L374" s="39" t="n">
        <v>13.39</v>
      </c>
      <c r="M374" s="39">
        <f>I374*J374*(1-K374)</f>
        <v/>
      </c>
      <c r="N374" s="39">
        <f>I374*L374</f>
        <v/>
      </c>
      <c r="O374" s="39">
        <f>M374-N374</f>
        <v/>
      </c>
      <c r="P374" s="38">
        <f>IF(M374=0,0,O374/M374)</f>
        <v/>
      </c>
      <c r="Q374" s="36">
        <f>YEAR(B374)</f>
        <v/>
      </c>
      <c r="R374" s="36">
        <f>"Q"&amp;ROUNDUP(MONTH(B374)/3,0)</f>
        <v/>
      </c>
      <c r="S374" s="36">
        <f>MONTH(B374)</f>
        <v/>
      </c>
      <c r="T374" s="36">
        <f>TEXT(B374,"mmm")</f>
        <v/>
      </c>
      <c r="U374" s="36">
        <f>IF(AND(OR(sel_Region="All",C374=sel_Region),OR(sel_Country="All",D374=sel_Country),OR(sel_Channel="All",E374=sel_Channel),OR(sel_Customer="All",F374=sel_Customer),OR(sel_Category="All",G374=sel_Category),OR(sel_Product="All",H374=sel_Product),AND(S374&gt;=m_From,S374&lt;=m_To)),1,0)</f>
        <v/>
      </c>
      <c r="V374" s="36">
        <f>IF(AND(OR(sel_Region="All",C374=sel_Region),OR(sel_Channel="All",E374=sel_Channel),OR(sel_Customer="All",F374=sel_Customer),OR(sel_Category="All",G374=sel_Category),OR(sel_Product="All",H374=sel_Product),AND(S374&gt;=m_From,S374&lt;=m_To)),1,0)</f>
        <v/>
      </c>
      <c r="W374" s="36">
        <f>IF(AND(OR(sel_Region="All",C374=sel_Region),OR(sel_Country="All",D374=sel_Country),OR(sel_Customer="All",F374=sel_Customer),OR(sel_Category="All",G374=sel_Category),OR(sel_Product="All",H374=sel_Product),AND(S374&gt;=m_From,S374&lt;=m_To)),1,0)</f>
        <v/>
      </c>
      <c r="X374" s="36">
        <f>IF(AND(OR(sel_Region="All",C374=sel_Region),OR(sel_Country="All",D374=sel_Country),OR(sel_Channel="All",E374=sel_Channel),OR(sel_Category="All",G374=sel_Category),OR(sel_Product="All",H374=sel_Product),AND(S374&gt;=m_From,S374&lt;=m_To)),1,0)</f>
        <v/>
      </c>
      <c r="Y374" s="36">
        <f>IF(AND(OR(sel_Region="All",C374=sel_Region),OR(sel_Country="All",D374=sel_Country),OR(sel_Channel="All",E374=sel_Channel),OR(sel_Customer="All",F374=sel_Customer),OR(sel_Product="All",H374=sel_Product),AND(S374&gt;=m_From,S374&lt;=m_To)),1,0)</f>
        <v/>
      </c>
      <c r="Z374" s="36">
        <f>IF(AND(OR(sel_Region="All",C374=sel_Region),OR(sel_Country="All",D374=sel_Country),OR(sel_Channel="All",E374=sel_Channel),OR(sel_Customer="All",F374=sel_Customer),OR(sel_Category="All",G374=sel_Category),AND(S374&gt;=m_From,S374&lt;=m_To)),1,0)</f>
        <v/>
      </c>
      <c r="AA374" s="36">
        <f>IF(AND(OR(sel_Region="All",C374=sel_Region),OR(sel_Country="All",D374=sel_Country),OR(sel_Channel="All",E374=sel_Channel),OR(sel_Customer="All",F374=sel_Customer),OR(sel_Category="All",G374=sel_Category),OR(sel_Product="All",H374=sel_Product)),1,0)</f>
        <v/>
      </c>
    </row>
    <row r="375">
      <c r="A375" s="36" t="inlineStr">
        <is>
          <t>02973</t>
        </is>
      </c>
      <c r="B375" s="44" t="n">
        <v>46097</v>
      </c>
      <c r="C375" s="36" t="inlineStr">
        <is>
          <t>Southern Europe</t>
        </is>
      </c>
      <c r="D375" s="36" t="inlineStr">
        <is>
          <t>Spain</t>
        </is>
      </c>
      <c r="E375" s="36" t="inlineStr">
        <is>
          <t>Retail Partners</t>
        </is>
      </c>
      <c r="F375" s="36" t="inlineStr">
        <is>
          <t>Returning</t>
        </is>
      </c>
      <c r="G375" s="36" t="inlineStr">
        <is>
          <t>Hiking</t>
        </is>
      </c>
      <c r="H375" s="36" t="inlineStr">
        <is>
          <t>Summit Backpack 45L</t>
        </is>
      </c>
      <c r="I375" s="36" t="n">
        <v>2</v>
      </c>
      <c r="J375" s="39" t="n">
        <v>156.09</v>
      </c>
      <c r="K375" s="45" t="n">
        <v>0.1</v>
      </c>
      <c r="L375" s="39" t="n">
        <v>79.72</v>
      </c>
      <c r="M375" s="39">
        <f>I375*J375*(1-K375)</f>
        <v/>
      </c>
      <c r="N375" s="39">
        <f>I375*L375</f>
        <v/>
      </c>
      <c r="O375" s="39">
        <f>M375-N375</f>
        <v/>
      </c>
      <c r="P375" s="38">
        <f>IF(M375=0,0,O375/M375)</f>
        <v/>
      </c>
      <c r="Q375" s="36">
        <f>YEAR(B375)</f>
        <v/>
      </c>
      <c r="R375" s="36">
        <f>"Q"&amp;ROUNDUP(MONTH(B375)/3,0)</f>
        <v/>
      </c>
      <c r="S375" s="36">
        <f>MONTH(B375)</f>
        <v/>
      </c>
      <c r="T375" s="36">
        <f>TEXT(B375,"mmm")</f>
        <v/>
      </c>
      <c r="U375" s="36">
        <f>IF(AND(OR(sel_Region="All",C375=sel_Region),OR(sel_Country="All",D375=sel_Country),OR(sel_Channel="All",E375=sel_Channel),OR(sel_Customer="All",F375=sel_Customer),OR(sel_Category="All",G375=sel_Category),OR(sel_Product="All",H375=sel_Product),AND(S375&gt;=m_From,S375&lt;=m_To)),1,0)</f>
        <v/>
      </c>
      <c r="V375" s="36">
        <f>IF(AND(OR(sel_Region="All",C375=sel_Region),OR(sel_Channel="All",E375=sel_Channel),OR(sel_Customer="All",F375=sel_Customer),OR(sel_Category="All",G375=sel_Category),OR(sel_Product="All",H375=sel_Product),AND(S375&gt;=m_From,S375&lt;=m_To)),1,0)</f>
        <v/>
      </c>
      <c r="W375" s="36">
        <f>IF(AND(OR(sel_Region="All",C375=sel_Region),OR(sel_Country="All",D375=sel_Country),OR(sel_Customer="All",F375=sel_Customer),OR(sel_Category="All",G375=sel_Category),OR(sel_Product="All",H375=sel_Product),AND(S375&gt;=m_From,S375&lt;=m_To)),1,0)</f>
        <v/>
      </c>
      <c r="X375" s="36">
        <f>IF(AND(OR(sel_Region="All",C375=sel_Region),OR(sel_Country="All",D375=sel_Country),OR(sel_Channel="All",E375=sel_Channel),OR(sel_Category="All",G375=sel_Category),OR(sel_Product="All",H375=sel_Product),AND(S375&gt;=m_From,S375&lt;=m_To)),1,0)</f>
        <v/>
      </c>
      <c r="Y375" s="36">
        <f>IF(AND(OR(sel_Region="All",C375=sel_Region),OR(sel_Country="All",D375=sel_Country),OR(sel_Channel="All",E375=sel_Channel),OR(sel_Customer="All",F375=sel_Customer),OR(sel_Product="All",H375=sel_Product),AND(S375&gt;=m_From,S375&lt;=m_To)),1,0)</f>
        <v/>
      </c>
      <c r="Z375" s="36">
        <f>IF(AND(OR(sel_Region="All",C375=sel_Region),OR(sel_Country="All",D375=sel_Country),OR(sel_Channel="All",E375=sel_Channel),OR(sel_Customer="All",F375=sel_Customer),OR(sel_Category="All",G375=sel_Category),AND(S375&gt;=m_From,S375&lt;=m_To)),1,0)</f>
        <v/>
      </c>
      <c r="AA375" s="36">
        <f>IF(AND(OR(sel_Region="All",C375=sel_Region),OR(sel_Country="All",D375=sel_Country),OR(sel_Channel="All",E375=sel_Channel),OR(sel_Customer="All",F375=sel_Customer),OR(sel_Category="All",G375=sel_Category),OR(sel_Product="All",H375=sel_Product)),1,0)</f>
        <v/>
      </c>
    </row>
    <row r="376">
      <c r="A376" s="36" t="inlineStr">
        <is>
          <t>03358</t>
        </is>
      </c>
      <c r="B376" s="44" t="n">
        <v>46097</v>
      </c>
      <c r="C376" s="36" t="inlineStr">
        <is>
          <t>Southern Europe</t>
        </is>
      </c>
      <c r="D376" s="36" t="inlineStr">
        <is>
          <t>Spain</t>
        </is>
      </c>
      <c r="E376" s="36" t="inlineStr">
        <is>
          <t>Corporate</t>
        </is>
      </c>
      <c r="F376" s="36" t="inlineStr">
        <is>
          <t>Business</t>
        </is>
      </c>
      <c r="G376" s="36" t="inlineStr">
        <is>
          <t>Fitness</t>
        </is>
      </c>
      <c r="H376" s="36" t="inlineStr">
        <is>
          <t>Recovery Roller</t>
        </is>
      </c>
      <c r="I376" s="36" t="n">
        <v>12</v>
      </c>
      <c r="J376" s="39" t="n">
        <v>36.44</v>
      </c>
      <c r="K376" s="45" t="n">
        <v>0.05</v>
      </c>
      <c r="L376" s="39" t="n">
        <v>13.65</v>
      </c>
      <c r="M376" s="39">
        <f>I376*J376*(1-K376)</f>
        <v/>
      </c>
      <c r="N376" s="39">
        <f>I376*L376</f>
        <v/>
      </c>
      <c r="O376" s="39">
        <f>M376-N376</f>
        <v/>
      </c>
      <c r="P376" s="38">
        <f>IF(M376=0,0,O376/M376)</f>
        <v/>
      </c>
      <c r="Q376" s="36">
        <f>YEAR(B376)</f>
        <v/>
      </c>
      <c r="R376" s="36">
        <f>"Q"&amp;ROUNDUP(MONTH(B376)/3,0)</f>
        <v/>
      </c>
      <c r="S376" s="36">
        <f>MONTH(B376)</f>
        <v/>
      </c>
      <c r="T376" s="36">
        <f>TEXT(B376,"mmm")</f>
        <v/>
      </c>
      <c r="U376" s="36">
        <f>IF(AND(OR(sel_Region="All",C376=sel_Region),OR(sel_Country="All",D376=sel_Country),OR(sel_Channel="All",E376=sel_Channel),OR(sel_Customer="All",F376=sel_Customer),OR(sel_Category="All",G376=sel_Category),OR(sel_Product="All",H376=sel_Product),AND(S376&gt;=m_From,S376&lt;=m_To)),1,0)</f>
        <v/>
      </c>
      <c r="V376" s="36">
        <f>IF(AND(OR(sel_Region="All",C376=sel_Region),OR(sel_Channel="All",E376=sel_Channel),OR(sel_Customer="All",F376=sel_Customer),OR(sel_Category="All",G376=sel_Category),OR(sel_Product="All",H376=sel_Product),AND(S376&gt;=m_From,S376&lt;=m_To)),1,0)</f>
        <v/>
      </c>
      <c r="W376" s="36">
        <f>IF(AND(OR(sel_Region="All",C376=sel_Region),OR(sel_Country="All",D376=sel_Country),OR(sel_Customer="All",F376=sel_Customer),OR(sel_Category="All",G376=sel_Category),OR(sel_Product="All",H376=sel_Product),AND(S376&gt;=m_From,S376&lt;=m_To)),1,0)</f>
        <v/>
      </c>
      <c r="X376" s="36">
        <f>IF(AND(OR(sel_Region="All",C376=sel_Region),OR(sel_Country="All",D376=sel_Country),OR(sel_Channel="All",E376=sel_Channel),OR(sel_Category="All",G376=sel_Category),OR(sel_Product="All",H376=sel_Product),AND(S376&gt;=m_From,S376&lt;=m_To)),1,0)</f>
        <v/>
      </c>
      <c r="Y376" s="36">
        <f>IF(AND(OR(sel_Region="All",C376=sel_Region),OR(sel_Country="All",D376=sel_Country),OR(sel_Channel="All",E376=sel_Channel),OR(sel_Customer="All",F376=sel_Customer),OR(sel_Product="All",H376=sel_Product),AND(S376&gt;=m_From,S376&lt;=m_To)),1,0)</f>
        <v/>
      </c>
      <c r="Z376" s="36">
        <f>IF(AND(OR(sel_Region="All",C376=sel_Region),OR(sel_Country="All",D376=sel_Country),OR(sel_Channel="All",E376=sel_Channel),OR(sel_Customer="All",F376=sel_Customer),OR(sel_Category="All",G376=sel_Category),AND(S376&gt;=m_From,S376&lt;=m_To)),1,0)</f>
        <v/>
      </c>
      <c r="AA376" s="36">
        <f>IF(AND(OR(sel_Region="All",C376=sel_Region),OR(sel_Country="All",D376=sel_Country),OR(sel_Channel="All",E376=sel_Channel),OR(sel_Customer="All",F376=sel_Customer),OR(sel_Category="All",G376=sel_Category),OR(sel_Product="All",H376=sel_Product)),1,0)</f>
        <v/>
      </c>
    </row>
    <row r="377">
      <c r="A377" s="36" t="inlineStr">
        <is>
          <t>00164</t>
        </is>
      </c>
      <c r="B377" s="44" t="n">
        <v>46098</v>
      </c>
      <c r="C377" s="36" t="inlineStr">
        <is>
          <t>Southern Europe</t>
        </is>
      </c>
      <c r="D377" s="36" t="inlineStr">
        <is>
          <t>Italy</t>
        </is>
      </c>
      <c r="E377" s="36" t="inlineStr">
        <is>
          <t>Marketplace</t>
        </is>
      </c>
      <c r="F377" s="36" t="inlineStr">
        <is>
          <t>Business</t>
        </is>
      </c>
      <c r="G377" s="36" t="inlineStr">
        <is>
          <t>Camping</t>
        </is>
      </c>
      <c r="H377" s="36" t="inlineStr">
        <is>
          <t>Compact Sleeping Bag</t>
        </is>
      </c>
      <c r="I377" s="36" t="n">
        <v>5</v>
      </c>
      <c r="J377" s="39" t="n">
        <v>123.95</v>
      </c>
      <c r="K377" s="45" t="n">
        <v>0.05</v>
      </c>
      <c r="L377" s="39" t="n">
        <v>59.23</v>
      </c>
      <c r="M377" s="39">
        <f>I377*J377*(1-K377)</f>
        <v/>
      </c>
      <c r="N377" s="39">
        <f>I377*L377</f>
        <v/>
      </c>
      <c r="O377" s="39">
        <f>M377-N377</f>
        <v/>
      </c>
      <c r="P377" s="38">
        <f>IF(M377=0,0,O377/M377)</f>
        <v/>
      </c>
      <c r="Q377" s="36">
        <f>YEAR(B377)</f>
        <v/>
      </c>
      <c r="R377" s="36">
        <f>"Q"&amp;ROUNDUP(MONTH(B377)/3,0)</f>
        <v/>
      </c>
      <c r="S377" s="36">
        <f>MONTH(B377)</f>
        <v/>
      </c>
      <c r="T377" s="36">
        <f>TEXT(B377,"mmm")</f>
        <v/>
      </c>
      <c r="U377" s="36">
        <f>IF(AND(OR(sel_Region="All",C377=sel_Region),OR(sel_Country="All",D377=sel_Country),OR(sel_Channel="All",E377=sel_Channel),OR(sel_Customer="All",F377=sel_Customer),OR(sel_Category="All",G377=sel_Category),OR(sel_Product="All",H377=sel_Product),AND(S377&gt;=m_From,S377&lt;=m_To)),1,0)</f>
        <v/>
      </c>
      <c r="V377" s="36">
        <f>IF(AND(OR(sel_Region="All",C377=sel_Region),OR(sel_Channel="All",E377=sel_Channel),OR(sel_Customer="All",F377=sel_Customer),OR(sel_Category="All",G377=sel_Category),OR(sel_Product="All",H377=sel_Product),AND(S377&gt;=m_From,S377&lt;=m_To)),1,0)</f>
        <v/>
      </c>
      <c r="W377" s="36">
        <f>IF(AND(OR(sel_Region="All",C377=sel_Region),OR(sel_Country="All",D377=sel_Country),OR(sel_Customer="All",F377=sel_Customer),OR(sel_Category="All",G377=sel_Category),OR(sel_Product="All",H377=sel_Product),AND(S377&gt;=m_From,S377&lt;=m_To)),1,0)</f>
        <v/>
      </c>
      <c r="X377" s="36">
        <f>IF(AND(OR(sel_Region="All",C377=sel_Region),OR(sel_Country="All",D377=sel_Country),OR(sel_Channel="All",E377=sel_Channel),OR(sel_Category="All",G377=sel_Category),OR(sel_Product="All",H377=sel_Product),AND(S377&gt;=m_From,S377&lt;=m_To)),1,0)</f>
        <v/>
      </c>
      <c r="Y377" s="36">
        <f>IF(AND(OR(sel_Region="All",C377=sel_Region),OR(sel_Country="All",D377=sel_Country),OR(sel_Channel="All",E377=sel_Channel),OR(sel_Customer="All",F377=sel_Customer),OR(sel_Product="All",H377=sel_Product),AND(S377&gt;=m_From,S377&lt;=m_To)),1,0)</f>
        <v/>
      </c>
      <c r="Z377" s="36">
        <f>IF(AND(OR(sel_Region="All",C377=sel_Region),OR(sel_Country="All",D377=sel_Country),OR(sel_Channel="All",E377=sel_Channel),OR(sel_Customer="All",F377=sel_Customer),OR(sel_Category="All",G377=sel_Category),AND(S377&gt;=m_From,S377&lt;=m_To)),1,0)</f>
        <v/>
      </c>
      <c r="AA377" s="36">
        <f>IF(AND(OR(sel_Region="All",C377=sel_Region),OR(sel_Country="All",D377=sel_Country),OR(sel_Channel="All",E377=sel_Channel),OR(sel_Customer="All",F377=sel_Customer),OR(sel_Category="All",G377=sel_Category),OR(sel_Product="All",H377=sel_Product)),1,0)</f>
        <v/>
      </c>
    </row>
    <row r="378">
      <c r="A378" s="36" t="inlineStr">
        <is>
          <t>00995</t>
        </is>
      </c>
      <c r="B378" s="44" t="n">
        <v>46098</v>
      </c>
      <c r="C378" s="36" t="inlineStr">
        <is>
          <t>Northern Europe</t>
        </is>
      </c>
      <c r="D378" s="36" t="inlineStr">
        <is>
          <t>Norway</t>
        </is>
      </c>
      <c r="E378" s="36" t="inlineStr">
        <is>
          <t>Marketplace</t>
        </is>
      </c>
      <c r="F378" s="36" t="inlineStr">
        <is>
          <t>Business</t>
        </is>
      </c>
      <c r="G378" s="36" t="inlineStr">
        <is>
          <t>Camping</t>
        </is>
      </c>
      <c r="H378" s="36" t="inlineStr">
        <is>
          <t>Trail Tent 2P</t>
        </is>
      </c>
      <c r="I378" s="36" t="n">
        <v>1</v>
      </c>
      <c r="J378" s="39" t="n">
        <v>192.84</v>
      </c>
      <c r="K378" s="45" t="n">
        <v>0.15</v>
      </c>
      <c r="L378" s="39" t="n">
        <v>101.42</v>
      </c>
      <c r="M378" s="39">
        <f>I378*J378*(1-K378)</f>
        <v/>
      </c>
      <c r="N378" s="39">
        <f>I378*L378</f>
        <v/>
      </c>
      <c r="O378" s="39">
        <f>M378-N378</f>
        <v/>
      </c>
      <c r="P378" s="38">
        <f>IF(M378=0,0,O378/M378)</f>
        <v/>
      </c>
      <c r="Q378" s="36">
        <f>YEAR(B378)</f>
        <v/>
      </c>
      <c r="R378" s="36">
        <f>"Q"&amp;ROUNDUP(MONTH(B378)/3,0)</f>
        <v/>
      </c>
      <c r="S378" s="36">
        <f>MONTH(B378)</f>
        <v/>
      </c>
      <c r="T378" s="36">
        <f>TEXT(B378,"mmm")</f>
        <v/>
      </c>
      <c r="U378" s="36">
        <f>IF(AND(OR(sel_Region="All",C378=sel_Region),OR(sel_Country="All",D378=sel_Country),OR(sel_Channel="All",E378=sel_Channel),OR(sel_Customer="All",F378=sel_Customer),OR(sel_Category="All",G378=sel_Category),OR(sel_Product="All",H378=sel_Product),AND(S378&gt;=m_From,S378&lt;=m_To)),1,0)</f>
        <v/>
      </c>
      <c r="V378" s="36">
        <f>IF(AND(OR(sel_Region="All",C378=sel_Region),OR(sel_Channel="All",E378=sel_Channel),OR(sel_Customer="All",F378=sel_Customer),OR(sel_Category="All",G378=sel_Category),OR(sel_Product="All",H378=sel_Product),AND(S378&gt;=m_From,S378&lt;=m_To)),1,0)</f>
        <v/>
      </c>
      <c r="W378" s="36">
        <f>IF(AND(OR(sel_Region="All",C378=sel_Region),OR(sel_Country="All",D378=sel_Country),OR(sel_Customer="All",F378=sel_Customer),OR(sel_Category="All",G378=sel_Category),OR(sel_Product="All",H378=sel_Product),AND(S378&gt;=m_From,S378&lt;=m_To)),1,0)</f>
        <v/>
      </c>
      <c r="X378" s="36">
        <f>IF(AND(OR(sel_Region="All",C378=sel_Region),OR(sel_Country="All",D378=sel_Country),OR(sel_Channel="All",E378=sel_Channel),OR(sel_Category="All",G378=sel_Category),OR(sel_Product="All",H378=sel_Product),AND(S378&gt;=m_From,S378&lt;=m_To)),1,0)</f>
        <v/>
      </c>
      <c r="Y378" s="36">
        <f>IF(AND(OR(sel_Region="All",C378=sel_Region),OR(sel_Country="All",D378=sel_Country),OR(sel_Channel="All",E378=sel_Channel),OR(sel_Customer="All",F378=sel_Customer),OR(sel_Product="All",H378=sel_Product),AND(S378&gt;=m_From,S378&lt;=m_To)),1,0)</f>
        <v/>
      </c>
      <c r="Z378" s="36">
        <f>IF(AND(OR(sel_Region="All",C378=sel_Region),OR(sel_Country="All",D378=sel_Country),OR(sel_Channel="All",E378=sel_Channel),OR(sel_Customer="All",F378=sel_Customer),OR(sel_Category="All",G378=sel_Category),AND(S378&gt;=m_From,S378&lt;=m_To)),1,0)</f>
        <v/>
      </c>
      <c r="AA378" s="36">
        <f>IF(AND(OR(sel_Region="All",C378=sel_Region),OR(sel_Country="All",D378=sel_Country),OR(sel_Channel="All",E378=sel_Channel),OR(sel_Customer="All",F378=sel_Customer),OR(sel_Category="All",G378=sel_Category),OR(sel_Product="All",H378=sel_Product)),1,0)</f>
        <v/>
      </c>
    </row>
    <row r="379">
      <c r="A379" s="36" t="inlineStr">
        <is>
          <t>04912</t>
        </is>
      </c>
      <c r="B379" s="44" t="n">
        <v>46098</v>
      </c>
      <c r="C379" s="36" t="inlineStr">
        <is>
          <t>Central Europe</t>
        </is>
      </c>
      <c r="D379" s="36" t="inlineStr">
        <is>
          <t>Switzerland</t>
        </is>
      </c>
      <c r="E379" s="36" t="inlineStr">
        <is>
          <t>Online Store</t>
        </is>
      </c>
      <c r="F379" s="36" t="inlineStr">
        <is>
          <t>New</t>
        </is>
      </c>
      <c r="G379" s="36" t="inlineStr">
        <is>
          <t>Hiking</t>
        </is>
      </c>
      <c r="H379" s="36" t="inlineStr">
        <is>
          <t>Summit Backpack 45L</t>
        </is>
      </c>
      <c r="I379" s="36" t="n">
        <v>1</v>
      </c>
      <c r="J379" s="39" t="n">
        <v>152.57</v>
      </c>
      <c r="K379" s="45" t="n">
        <v>0.1</v>
      </c>
      <c r="L379" s="39" t="n">
        <v>80.31999999999999</v>
      </c>
      <c r="M379" s="39">
        <f>I379*J379*(1-K379)</f>
        <v/>
      </c>
      <c r="N379" s="39">
        <f>I379*L379</f>
        <v/>
      </c>
      <c r="O379" s="39">
        <f>M379-N379</f>
        <v/>
      </c>
      <c r="P379" s="38">
        <f>IF(M379=0,0,O379/M379)</f>
        <v/>
      </c>
      <c r="Q379" s="36">
        <f>YEAR(B379)</f>
        <v/>
      </c>
      <c r="R379" s="36">
        <f>"Q"&amp;ROUNDUP(MONTH(B379)/3,0)</f>
        <v/>
      </c>
      <c r="S379" s="36">
        <f>MONTH(B379)</f>
        <v/>
      </c>
      <c r="T379" s="36">
        <f>TEXT(B379,"mmm")</f>
        <v/>
      </c>
      <c r="U379" s="36">
        <f>IF(AND(OR(sel_Region="All",C379=sel_Region),OR(sel_Country="All",D379=sel_Country),OR(sel_Channel="All",E379=sel_Channel),OR(sel_Customer="All",F379=sel_Customer),OR(sel_Category="All",G379=sel_Category),OR(sel_Product="All",H379=sel_Product),AND(S379&gt;=m_From,S379&lt;=m_To)),1,0)</f>
        <v/>
      </c>
      <c r="V379" s="36">
        <f>IF(AND(OR(sel_Region="All",C379=sel_Region),OR(sel_Channel="All",E379=sel_Channel),OR(sel_Customer="All",F379=sel_Customer),OR(sel_Category="All",G379=sel_Category),OR(sel_Product="All",H379=sel_Product),AND(S379&gt;=m_From,S379&lt;=m_To)),1,0)</f>
        <v/>
      </c>
      <c r="W379" s="36">
        <f>IF(AND(OR(sel_Region="All",C379=sel_Region),OR(sel_Country="All",D379=sel_Country),OR(sel_Customer="All",F379=sel_Customer),OR(sel_Category="All",G379=sel_Category),OR(sel_Product="All",H379=sel_Product),AND(S379&gt;=m_From,S379&lt;=m_To)),1,0)</f>
        <v/>
      </c>
      <c r="X379" s="36">
        <f>IF(AND(OR(sel_Region="All",C379=sel_Region),OR(sel_Country="All",D379=sel_Country),OR(sel_Channel="All",E379=sel_Channel),OR(sel_Category="All",G379=sel_Category),OR(sel_Product="All",H379=sel_Product),AND(S379&gt;=m_From,S379&lt;=m_To)),1,0)</f>
        <v/>
      </c>
      <c r="Y379" s="36">
        <f>IF(AND(OR(sel_Region="All",C379=sel_Region),OR(sel_Country="All",D379=sel_Country),OR(sel_Channel="All",E379=sel_Channel),OR(sel_Customer="All",F379=sel_Customer),OR(sel_Product="All",H379=sel_Product),AND(S379&gt;=m_From,S379&lt;=m_To)),1,0)</f>
        <v/>
      </c>
      <c r="Z379" s="36">
        <f>IF(AND(OR(sel_Region="All",C379=sel_Region),OR(sel_Country="All",D379=sel_Country),OR(sel_Channel="All",E379=sel_Channel),OR(sel_Customer="All",F379=sel_Customer),OR(sel_Category="All",G379=sel_Category),AND(S379&gt;=m_From,S379&lt;=m_To)),1,0)</f>
        <v/>
      </c>
      <c r="AA379" s="36">
        <f>IF(AND(OR(sel_Region="All",C379=sel_Region),OR(sel_Country="All",D379=sel_Country),OR(sel_Channel="All",E379=sel_Channel),OR(sel_Customer="All",F379=sel_Customer),OR(sel_Category="All",G379=sel_Category),OR(sel_Product="All",H379=sel_Product)),1,0)</f>
        <v/>
      </c>
    </row>
    <row r="380">
      <c r="A380" s="36" t="inlineStr">
        <is>
          <t>00029</t>
        </is>
      </c>
      <c r="B380" s="44" t="n">
        <v>46099</v>
      </c>
      <c r="C380" s="36" t="inlineStr">
        <is>
          <t>Western Europe</t>
        </is>
      </c>
      <c r="D380" s="36" t="inlineStr">
        <is>
          <t>Belgium</t>
        </is>
      </c>
      <c r="E380" s="36" t="inlineStr">
        <is>
          <t>Online Store</t>
        </is>
      </c>
      <c r="F380" s="36" t="inlineStr">
        <is>
          <t>Business</t>
        </is>
      </c>
      <c r="G380" s="36" t="inlineStr">
        <is>
          <t>Travel</t>
        </is>
      </c>
      <c r="H380" s="36" t="inlineStr">
        <is>
          <t>Carry-On Duffel</t>
        </is>
      </c>
      <c r="I380" s="36" t="n">
        <v>2</v>
      </c>
      <c r="J380" s="39" t="n">
        <v>130.4</v>
      </c>
      <c r="K380" s="45" t="n">
        <v>0</v>
      </c>
      <c r="L380" s="39" t="n">
        <v>67.59999999999999</v>
      </c>
      <c r="M380" s="39">
        <f>I380*J380*(1-K380)</f>
        <v/>
      </c>
      <c r="N380" s="39">
        <f>I380*L380</f>
        <v/>
      </c>
      <c r="O380" s="39">
        <f>M380-N380</f>
        <v/>
      </c>
      <c r="P380" s="38">
        <f>IF(M380=0,0,O380/M380)</f>
        <v/>
      </c>
      <c r="Q380" s="36">
        <f>YEAR(B380)</f>
        <v/>
      </c>
      <c r="R380" s="36">
        <f>"Q"&amp;ROUNDUP(MONTH(B380)/3,0)</f>
        <v/>
      </c>
      <c r="S380" s="36">
        <f>MONTH(B380)</f>
        <v/>
      </c>
      <c r="T380" s="36">
        <f>TEXT(B380,"mmm")</f>
        <v/>
      </c>
      <c r="U380" s="36">
        <f>IF(AND(OR(sel_Region="All",C380=sel_Region),OR(sel_Country="All",D380=sel_Country),OR(sel_Channel="All",E380=sel_Channel),OR(sel_Customer="All",F380=sel_Customer),OR(sel_Category="All",G380=sel_Category),OR(sel_Product="All",H380=sel_Product),AND(S380&gt;=m_From,S380&lt;=m_To)),1,0)</f>
        <v/>
      </c>
      <c r="V380" s="36">
        <f>IF(AND(OR(sel_Region="All",C380=sel_Region),OR(sel_Channel="All",E380=sel_Channel),OR(sel_Customer="All",F380=sel_Customer),OR(sel_Category="All",G380=sel_Category),OR(sel_Product="All",H380=sel_Product),AND(S380&gt;=m_From,S380&lt;=m_To)),1,0)</f>
        <v/>
      </c>
      <c r="W380" s="36">
        <f>IF(AND(OR(sel_Region="All",C380=sel_Region),OR(sel_Country="All",D380=sel_Country),OR(sel_Customer="All",F380=sel_Customer),OR(sel_Category="All",G380=sel_Category),OR(sel_Product="All",H380=sel_Product),AND(S380&gt;=m_From,S380&lt;=m_To)),1,0)</f>
        <v/>
      </c>
      <c r="X380" s="36">
        <f>IF(AND(OR(sel_Region="All",C380=sel_Region),OR(sel_Country="All",D380=sel_Country),OR(sel_Channel="All",E380=sel_Channel),OR(sel_Category="All",G380=sel_Category),OR(sel_Product="All",H380=sel_Product),AND(S380&gt;=m_From,S380&lt;=m_To)),1,0)</f>
        <v/>
      </c>
      <c r="Y380" s="36">
        <f>IF(AND(OR(sel_Region="All",C380=sel_Region),OR(sel_Country="All",D380=sel_Country),OR(sel_Channel="All",E380=sel_Channel),OR(sel_Customer="All",F380=sel_Customer),OR(sel_Product="All",H380=sel_Product),AND(S380&gt;=m_From,S380&lt;=m_To)),1,0)</f>
        <v/>
      </c>
      <c r="Z380" s="36">
        <f>IF(AND(OR(sel_Region="All",C380=sel_Region),OR(sel_Country="All",D380=sel_Country),OR(sel_Channel="All",E380=sel_Channel),OR(sel_Customer="All",F380=sel_Customer),OR(sel_Category="All",G380=sel_Category),AND(S380&gt;=m_From,S380&lt;=m_To)),1,0)</f>
        <v/>
      </c>
      <c r="AA380" s="36">
        <f>IF(AND(OR(sel_Region="All",C380=sel_Region),OR(sel_Country="All",D380=sel_Country),OR(sel_Channel="All",E380=sel_Channel),OR(sel_Customer="All",F380=sel_Customer),OR(sel_Category="All",G380=sel_Category),OR(sel_Product="All",H380=sel_Product)),1,0)</f>
        <v/>
      </c>
    </row>
    <row r="381">
      <c r="A381" s="36" t="inlineStr">
        <is>
          <t>00891</t>
        </is>
      </c>
      <c r="B381" s="44" t="n">
        <v>46099</v>
      </c>
      <c r="C381" s="36" t="inlineStr">
        <is>
          <t>Northern Europe</t>
        </is>
      </c>
      <c r="D381" s="36" t="inlineStr">
        <is>
          <t>Ireland</t>
        </is>
      </c>
      <c r="E381" s="36" t="inlineStr">
        <is>
          <t>Online Store</t>
        </is>
      </c>
      <c r="F381" s="36" t="inlineStr">
        <is>
          <t>New</t>
        </is>
      </c>
      <c r="G381" s="36" t="inlineStr">
        <is>
          <t>Hiking</t>
        </is>
      </c>
      <c r="H381" s="36" t="inlineStr">
        <is>
          <t>Hiking Daypack 20L</t>
        </is>
      </c>
      <c r="I381" s="36" t="n">
        <v>2</v>
      </c>
      <c r="J381" s="39" t="n">
        <v>94.25</v>
      </c>
      <c r="K381" s="45" t="n">
        <v>0.1</v>
      </c>
      <c r="L381" s="39" t="n">
        <v>44.99</v>
      </c>
      <c r="M381" s="39">
        <f>I381*J381*(1-K381)</f>
        <v/>
      </c>
      <c r="N381" s="39">
        <f>I381*L381</f>
        <v/>
      </c>
      <c r="O381" s="39">
        <f>M381-N381</f>
        <v/>
      </c>
      <c r="P381" s="38">
        <f>IF(M381=0,0,O381/M381)</f>
        <v/>
      </c>
      <c r="Q381" s="36">
        <f>YEAR(B381)</f>
        <v/>
      </c>
      <c r="R381" s="36">
        <f>"Q"&amp;ROUNDUP(MONTH(B381)/3,0)</f>
        <v/>
      </c>
      <c r="S381" s="36">
        <f>MONTH(B381)</f>
        <v/>
      </c>
      <c r="T381" s="36">
        <f>TEXT(B381,"mmm")</f>
        <v/>
      </c>
      <c r="U381" s="36">
        <f>IF(AND(OR(sel_Region="All",C381=sel_Region),OR(sel_Country="All",D381=sel_Country),OR(sel_Channel="All",E381=sel_Channel),OR(sel_Customer="All",F381=sel_Customer),OR(sel_Category="All",G381=sel_Category),OR(sel_Product="All",H381=sel_Product),AND(S381&gt;=m_From,S381&lt;=m_To)),1,0)</f>
        <v/>
      </c>
      <c r="V381" s="36">
        <f>IF(AND(OR(sel_Region="All",C381=sel_Region),OR(sel_Channel="All",E381=sel_Channel),OR(sel_Customer="All",F381=sel_Customer),OR(sel_Category="All",G381=sel_Category),OR(sel_Product="All",H381=sel_Product),AND(S381&gt;=m_From,S381&lt;=m_To)),1,0)</f>
        <v/>
      </c>
      <c r="W381" s="36">
        <f>IF(AND(OR(sel_Region="All",C381=sel_Region),OR(sel_Country="All",D381=sel_Country),OR(sel_Customer="All",F381=sel_Customer),OR(sel_Category="All",G381=sel_Category),OR(sel_Product="All",H381=sel_Product),AND(S381&gt;=m_From,S381&lt;=m_To)),1,0)</f>
        <v/>
      </c>
      <c r="X381" s="36">
        <f>IF(AND(OR(sel_Region="All",C381=sel_Region),OR(sel_Country="All",D381=sel_Country),OR(sel_Channel="All",E381=sel_Channel),OR(sel_Category="All",G381=sel_Category),OR(sel_Product="All",H381=sel_Product),AND(S381&gt;=m_From,S381&lt;=m_To)),1,0)</f>
        <v/>
      </c>
      <c r="Y381" s="36">
        <f>IF(AND(OR(sel_Region="All",C381=sel_Region),OR(sel_Country="All",D381=sel_Country),OR(sel_Channel="All",E381=sel_Channel),OR(sel_Customer="All",F381=sel_Customer),OR(sel_Product="All",H381=sel_Product),AND(S381&gt;=m_From,S381&lt;=m_To)),1,0)</f>
        <v/>
      </c>
      <c r="Z381" s="36">
        <f>IF(AND(OR(sel_Region="All",C381=sel_Region),OR(sel_Country="All",D381=sel_Country),OR(sel_Channel="All",E381=sel_Channel),OR(sel_Customer="All",F381=sel_Customer),OR(sel_Category="All",G381=sel_Category),AND(S381&gt;=m_From,S381&lt;=m_To)),1,0)</f>
        <v/>
      </c>
      <c r="AA381" s="36">
        <f>IF(AND(OR(sel_Region="All",C381=sel_Region),OR(sel_Country="All",D381=sel_Country),OR(sel_Channel="All",E381=sel_Channel),OR(sel_Customer="All",F381=sel_Customer),OR(sel_Category="All",G381=sel_Category),OR(sel_Product="All",H381=sel_Product)),1,0)</f>
        <v/>
      </c>
    </row>
    <row r="382">
      <c r="A382" s="36" t="inlineStr">
        <is>
          <t>01143</t>
        </is>
      </c>
      <c r="B382" s="44" t="n">
        <v>46099</v>
      </c>
      <c r="C382" s="36" t="inlineStr">
        <is>
          <t>Central Europe</t>
        </is>
      </c>
      <c r="D382" s="36" t="inlineStr">
        <is>
          <t>Germany</t>
        </is>
      </c>
      <c r="E382" s="36" t="inlineStr">
        <is>
          <t>Online Store</t>
        </is>
      </c>
      <c r="F382" s="36" t="inlineStr">
        <is>
          <t>Business</t>
        </is>
      </c>
      <c r="G382" s="36" t="inlineStr">
        <is>
          <t>Camping</t>
        </is>
      </c>
      <c r="H382" s="36" t="inlineStr">
        <is>
          <t>Compact Sleeping Bag</t>
        </is>
      </c>
      <c r="I382" s="36" t="n">
        <v>5</v>
      </c>
      <c r="J382" s="39" t="n">
        <v>125.91</v>
      </c>
      <c r="K382" s="45" t="n">
        <v>0</v>
      </c>
      <c r="L382" s="39" t="n">
        <v>59.36</v>
      </c>
      <c r="M382" s="39">
        <f>I382*J382*(1-K382)</f>
        <v/>
      </c>
      <c r="N382" s="39">
        <f>I382*L382</f>
        <v/>
      </c>
      <c r="O382" s="39">
        <f>M382-N382</f>
        <v/>
      </c>
      <c r="P382" s="38">
        <f>IF(M382=0,0,O382/M382)</f>
        <v/>
      </c>
      <c r="Q382" s="36">
        <f>YEAR(B382)</f>
        <v/>
      </c>
      <c r="R382" s="36">
        <f>"Q"&amp;ROUNDUP(MONTH(B382)/3,0)</f>
        <v/>
      </c>
      <c r="S382" s="36">
        <f>MONTH(B382)</f>
        <v/>
      </c>
      <c r="T382" s="36">
        <f>TEXT(B382,"mmm")</f>
        <v/>
      </c>
      <c r="U382" s="36">
        <f>IF(AND(OR(sel_Region="All",C382=sel_Region),OR(sel_Country="All",D382=sel_Country),OR(sel_Channel="All",E382=sel_Channel),OR(sel_Customer="All",F382=sel_Customer),OR(sel_Category="All",G382=sel_Category),OR(sel_Product="All",H382=sel_Product),AND(S382&gt;=m_From,S382&lt;=m_To)),1,0)</f>
        <v/>
      </c>
      <c r="V382" s="36">
        <f>IF(AND(OR(sel_Region="All",C382=sel_Region),OR(sel_Channel="All",E382=sel_Channel),OR(sel_Customer="All",F382=sel_Customer),OR(sel_Category="All",G382=sel_Category),OR(sel_Product="All",H382=sel_Product),AND(S382&gt;=m_From,S382&lt;=m_To)),1,0)</f>
        <v/>
      </c>
      <c r="W382" s="36">
        <f>IF(AND(OR(sel_Region="All",C382=sel_Region),OR(sel_Country="All",D382=sel_Country),OR(sel_Customer="All",F382=sel_Customer),OR(sel_Category="All",G382=sel_Category),OR(sel_Product="All",H382=sel_Product),AND(S382&gt;=m_From,S382&lt;=m_To)),1,0)</f>
        <v/>
      </c>
      <c r="X382" s="36">
        <f>IF(AND(OR(sel_Region="All",C382=sel_Region),OR(sel_Country="All",D382=sel_Country),OR(sel_Channel="All",E382=sel_Channel),OR(sel_Category="All",G382=sel_Category),OR(sel_Product="All",H382=sel_Product),AND(S382&gt;=m_From,S382&lt;=m_To)),1,0)</f>
        <v/>
      </c>
      <c r="Y382" s="36">
        <f>IF(AND(OR(sel_Region="All",C382=sel_Region),OR(sel_Country="All",D382=sel_Country),OR(sel_Channel="All",E382=sel_Channel),OR(sel_Customer="All",F382=sel_Customer),OR(sel_Product="All",H382=sel_Product),AND(S382&gt;=m_From,S382&lt;=m_To)),1,0)</f>
        <v/>
      </c>
      <c r="Z382" s="36">
        <f>IF(AND(OR(sel_Region="All",C382=sel_Region),OR(sel_Country="All",D382=sel_Country),OR(sel_Channel="All",E382=sel_Channel),OR(sel_Customer="All",F382=sel_Customer),OR(sel_Category="All",G382=sel_Category),AND(S382&gt;=m_From,S382&lt;=m_To)),1,0)</f>
        <v/>
      </c>
      <c r="AA382" s="36">
        <f>IF(AND(OR(sel_Region="All",C382=sel_Region),OR(sel_Country="All",D382=sel_Country),OR(sel_Channel="All",E382=sel_Channel),OR(sel_Customer="All",F382=sel_Customer),OR(sel_Category="All",G382=sel_Category),OR(sel_Product="All",H382=sel_Product)),1,0)</f>
        <v/>
      </c>
    </row>
    <row r="383">
      <c r="A383" s="36" t="inlineStr">
        <is>
          <t>02478</t>
        </is>
      </c>
      <c r="B383" s="44" t="n">
        <v>46099</v>
      </c>
      <c r="C383" s="36" t="inlineStr">
        <is>
          <t>Western Europe</t>
        </is>
      </c>
      <c r="D383" s="36" t="inlineStr">
        <is>
          <t>Netherlands</t>
        </is>
      </c>
      <c r="E383" s="36" t="inlineStr">
        <is>
          <t>Retail Partners</t>
        </is>
      </c>
      <c r="F383" s="36" t="inlineStr">
        <is>
          <t>Returning</t>
        </is>
      </c>
      <c r="G383" s="36" t="inlineStr">
        <is>
          <t>Fitness</t>
        </is>
      </c>
      <c r="H383" s="36" t="inlineStr">
        <is>
          <t>Resistance Band Set</t>
        </is>
      </c>
      <c r="I383" s="36" t="n">
        <v>2</v>
      </c>
      <c r="J383" s="39" t="n">
        <v>39.62</v>
      </c>
      <c r="K383" s="45" t="n">
        <v>0</v>
      </c>
      <c r="L383" s="39" t="n">
        <v>14.78</v>
      </c>
      <c r="M383" s="39">
        <f>I383*J383*(1-K383)</f>
        <v/>
      </c>
      <c r="N383" s="39">
        <f>I383*L383</f>
        <v/>
      </c>
      <c r="O383" s="39">
        <f>M383-N383</f>
        <v/>
      </c>
      <c r="P383" s="38">
        <f>IF(M383=0,0,O383/M383)</f>
        <v/>
      </c>
      <c r="Q383" s="36">
        <f>YEAR(B383)</f>
        <v/>
      </c>
      <c r="R383" s="36">
        <f>"Q"&amp;ROUNDUP(MONTH(B383)/3,0)</f>
        <v/>
      </c>
      <c r="S383" s="36">
        <f>MONTH(B383)</f>
        <v/>
      </c>
      <c r="T383" s="36">
        <f>TEXT(B383,"mmm")</f>
        <v/>
      </c>
      <c r="U383" s="36">
        <f>IF(AND(OR(sel_Region="All",C383=sel_Region),OR(sel_Country="All",D383=sel_Country),OR(sel_Channel="All",E383=sel_Channel),OR(sel_Customer="All",F383=sel_Customer),OR(sel_Category="All",G383=sel_Category),OR(sel_Product="All",H383=sel_Product),AND(S383&gt;=m_From,S383&lt;=m_To)),1,0)</f>
        <v/>
      </c>
      <c r="V383" s="36">
        <f>IF(AND(OR(sel_Region="All",C383=sel_Region),OR(sel_Channel="All",E383=sel_Channel),OR(sel_Customer="All",F383=sel_Customer),OR(sel_Category="All",G383=sel_Category),OR(sel_Product="All",H383=sel_Product),AND(S383&gt;=m_From,S383&lt;=m_To)),1,0)</f>
        <v/>
      </c>
      <c r="W383" s="36">
        <f>IF(AND(OR(sel_Region="All",C383=sel_Region),OR(sel_Country="All",D383=sel_Country),OR(sel_Customer="All",F383=sel_Customer),OR(sel_Category="All",G383=sel_Category),OR(sel_Product="All",H383=sel_Product),AND(S383&gt;=m_From,S383&lt;=m_To)),1,0)</f>
        <v/>
      </c>
      <c r="X383" s="36">
        <f>IF(AND(OR(sel_Region="All",C383=sel_Region),OR(sel_Country="All",D383=sel_Country),OR(sel_Channel="All",E383=sel_Channel),OR(sel_Category="All",G383=sel_Category),OR(sel_Product="All",H383=sel_Product),AND(S383&gt;=m_From,S383&lt;=m_To)),1,0)</f>
        <v/>
      </c>
      <c r="Y383" s="36">
        <f>IF(AND(OR(sel_Region="All",C383=sel_Region),OR(sel_Country="All",D383=sel_Country),OR(sel_Channel="All",E383=sel_Channel),OR(sel_Customer="All",F383=sel_Customer),OR(sel_Product="All",H383=sel_Product),AND(S383&gt;=m_From,S383&lt;=m_To)),1,0)</f>
        <v/>
      </c>
      <c r="Z383" s="36">
        <f>IF(AND(OR(sel_Region="All",C383=sel_Region),OR(sel_Country="All",D383=sel_Country),OR(sel_Channel="All",E383=sel_Channel),OR(sel_Customer="All",F383=sel_Customer),OR(sel_Category="All",G383=sel_Category),AND(S383&gt;=m_From,S383&lt;=m_To)),1,0)</f>
        <v/>
      </c>
      <c r="AA383" s="36">
        <f>IF(AND(OR(sel_Region="All",C383=sel_Region),OR(sel_Country="All",D383=sel_Country),OR(sel_Channel="All",E383=sel_Channel),OR(sel_Customer="All",F383=sel_Customer),OR(sel_Category="All",G383=sel_Category),OR(sel_Product="All",H383=sel_Product)),1,0)</f>
        <v/>
      </c>
    </row>
    <row r="384">
      <c r="A384" s="36" t="inlineStr">
        <is>
          <t>03961</t>
        </is>
      </c>
      <c r="B384" s="44" t="n">
        <v>46099</v>
      </c>
      <c r="C384" s="36" t="inlineStr">
        <is>
          <t>Southern Europe</t>
        </is>
      </c>
      <c r="D384" s="36" t="inlineStr">
        <is>
          <t>Portugal</t>
        </is>
      </c>
      <c r="E384" s="36" t="inlineStr">
        <is>
          <t>Online Store</t>
        </is>
      </c>
      <c r="F384" s="36" t="inlineStr">
        <is>
          <t>Business</t>
        </is>
      </c>
      <c r="G384" s="36" t="inlineStr">
        <is>
          <t>Fitness</t>
        </is>
      </c>
      <c r="H384" s="36" t="inlineStr">
        <is>
          <t>Recovery Roller</t>
        </is>
      </c>
      <c r="I384" s="36" t="n">
        <v>3</v>
      </c>
      <c r="J384" s="39" t="n">
        <v>36.32</v>
      </c>
      <c r="K384" s="45" t="n">
        <v>0</v>
      </c>
      <c r="L384" s="39" t="n">
        <v>14.18</v>
      </c>
      <c r="M384" s="39">
        <f>I384*J384*(1-K384)</f>
        <v/>
      </c>
      <c r="N384" s="39">
        <f>I384*L384</f>
        <v/>
      </c>
      <c r="O384" s="39">
        <f>M384-N384</f>
        <v/>
      </c>
      <c r="P384" s="38">
        <f>IF(M384=0,0,O384/M384)</f>
        <v/>
      </c>
      <c r="Q384" s="36">
        <f>YEAR(B384)</f>
        <v/>
      </c>
      <c r="R384" s="36">
        <f>"Q"&amp;ROUNDUP(MONTH(B384)/3,0)</f>
        <v/>
      </c>
      <c r="S384" s="36">
        <f>MONTH(B384)</f>
        <v/>
      </c>
      <c r="T384" s="36">
        <f>TEXT(B384,"mmm")</f>
        <v/>
      </c>
      <c r="U384" s="36">
        <f>IF(AND(OR(sel_Region="All",C384=sel_Region),OR(sel_Country="All",D384=sel_Country),OR(sel_Channel="All",E384=sel_Channel),OR(sel_Customer="All",F384=sel_Customer),OR(sel_Category="All",G384=sel_Category),OR(sel_Product="All",H384=sel_Product),AND(S384&gt;=m_From,S384&lt;=m_To)),1,0)</f>
        <v/>
      </c>
      <c r="V384" s="36">
        <f>IF(AND(OR(sel_Region="All",C384=sel_Region),OR(sel_Channel="All",E384=sel_Channel),OR(sel_Customer="All",F384=sel_Customer),OR(sel_Category="All",G384=sel_Category),OR(sel_Product="All",H384=sel_Product),AND(S384&gt;=m_From,S384&lt;=m_To)),1,0)</f>
        <v/>
      </c>
      <c r="W384" s="36">
        <f>IF(AND(OR(sel_Region="All",C384=sel_Region),OR(sel_Country="All",D384=sel_Country),OR(sel_Customer="All",F384=sel_Customer),OR(sel_Category="All",G384=sel_Category),OR(sel_Product="All",H384=sel_Product),AND(S384&gt;=m_From,S384&lt;=m_To)),1,0)</f>
        <v/>
      </c>
      <c r="X384" s="36">
        <f>IF(AND(OR(sel_Region="All",C384=sel_Region),OR(sel_Country="All",D384=sel_Country),OR(sel_Channel="All",E384=sel_Channel),OR(sel_Category="All",G384=sel_Category),OR(sel_Product="All",H384=sel_Product),AND(S384&gt;=m_From,S384&lt;=m_To)),1,0)</f>
        <v/>
      </c>
      <c r="Y384" s="36">
        <f>IF(AND(OR(sel_Region="All",C384=sel_Region),OR(sel_Country="All",D384=sel_Country),OR(sel_Channel="All",E384=sel_Channel),OR(sel_Customer="All",F384=sel_Customer),OR(sel_Product="All",H384=sel_Product),AND(S384&gt;=m_From,S384&lt;=m_To)),1,0)</f>
        <v/>
      </c>
      <c r="Z384" s="36">
        <f>IF(AND(OR(sel_Region="All",C384=sel_Region),OR(sel_Country="All",D384=sel_Country),OR(sel_Channel="All",E384=sel_Channel),OR(sel_Customer="All",F384=sel_Customer),OR(sel_Category="All",G384=sel_Category),AND(S384&gt;=m_From,S384&lt;=m_To)),1,0)</f>
        <v/>
      </c>
      <c r="AA384" s="36">
        <f>IF(AND(OR(sel_Region="All",C384=sel_Region),OR(sel_Country="All",D384=sel_Country),OR(sel_Channel="All",E384=sel_Channel),OR(sel_Customer="All",F384=sel_Customer),OR(sel_Category="All",G384=sel_Category),OR(sel_Product="All",H384=sel_Product)),1,0)</f>
        <v/>
      </c>
    </row>
    <row r="385">
      <c r="A385" s="36" t="inlineStr">
        <is>
          <t>04724</t>
        </is>
      </c>
      <c r="B385" s="44" t="n">
        <v>46099</v>
      </c>
      <c r="C385" s="36" t="inlineStr">
        <is>
          <t>Southern Europe</t>
        </is>
      </c>
      <c r="D385" s="36" t="inlineStr">
        <is>
          <t>Italy</t>
        </is>
      </c>
      <c r="E385" s="36" t="inlineStr">
        <is>
          <t>Retail Partners</t>
        </is>
      </c>
      <c r="F385" s="36" t="inlineStr">
        <is>
          <t>New</t>
        </is>
      </c>
      <c r="G385" s="36" t="inlineStr">
        <is>
          <t>Fitness</t>
        </is>
      </c>
      <c r="H385" s="36" t="inlineStr">
        <is>
          <t>Training Mat</t>
        </is>
      </c>
      <c r="I385" s="36" t="n">
        <v>1</v>
      </c>
      <c r="J385" s="39" t="n">
        <v>51.16</v>
      </c>
      <c r="K385" s="45" t="n">
        <v>0</v>
      </c>
      <c r="L385" s="39" t="n">
        <v>22.39</v>
      </c>
      <c r="M385" s="39">
        <f>I385*J385*(1-K385)</f>
        <v/>
      </c>
      <c r="N385" s="39">
        <f>I385*L385</f>
        <v/>
      </c>
      <c r="O385" s="39">
        <f>M385-N385</f>
        <v/>
      </c>
      <c r="P385" s="38">
        <f>IF(M385=0,0,O385/M385)</f>
        <v/>
      </c>
      <c r="Q385" s="36">
        <f>YEAR(B385)</f>
        <v/>
      </c>
      <c r="R385" s="36">
        <f>"Q"&amp;ROUNDUP(MONTH(B385)/3,0)</f>
        <v/>
      </c>
      <c r="S385" s="36">
        <f>MONTH(B385)</f>
        <v/>
      </c>
      <c r="T385" s="36">
        <f>TEXT(B385,"mmm")</f>
        <v/>
      </c>
      <c r="U385" s="36">
        <f>IF(AND(OR(sel_Region="All",C385=sel_Region),OR(sel_Country="All",D385=sel_Country),OR(sel_Channel="All",E385=sel_Channel),OR(sel_Customer="All",F385=sel_Customer),OR(sel_Category="All",G385=sel_Category),OR(sel_Product="All",H385=sel_Product),AND(S385&gt;=m_From,S385&lt;=m_To)),1,0)</f>
        <v/>
      </c>
      <c r="V385" s="36">
        <f>IF(AND(OR(sel_Region="All",C385=sel_Region),OR(sel_Channel="All",E385=sel_Channel),OR(sel_Customer="All",F385=sel_Customer),OR(sel_Category="All",G385=sel_Category),OR(sel_Product="All",H385=sel_Product),AND(S385&gt;=m_From,S385&lt;=m_To)),1,0)</f>
        <v/>
      </c>
      <c r="W385" s="36">
        <f>IF(AND(OR(sel_Region="All",C385=sel_Region),OR(sel_Country="All",D385=sel_Country),OR(sel_Customer="All",F385=sel_Customer),OR(sel_Category="All",G385=sel_Category),OR(sel_Product="All",H385=sel_Product),AND(S385&gt;=m_From,S385&lt;=m_To)),1,0)</f>
        <v/>
      </c>
      <c r="X385" s="36">
        <f>IF(AND(OR(sel_Region="All",C385=sel_Region),OR(sel_Country="All",D385=sel_Country),OR(sel_Channel="All",E385=sel_Channel),OR(sel_Category="All",G385=sel_Category),OR(sel_Product="All",H385=sel_Product),AND(S385&gt;=m_From,S385&lt;=m_To)),1,0)</f>
        <v/>
      </c>
      <c r="Y385" s="36">
        <f>IF(AND(OR(sel_Region="All",C385=sel_Region),OR(sel_Country="All",D385=sel_Country),OR(sel_Channel="All",E385=sel_Channel),OR(sel_Customer="All",F385=sel_Customer),OR(sel_Product="All",H385=sel_Product),AND(S385&gt;=m_From,S385&lt;=m_To)),1,0)</f>
        <v/>
      </c>
      <c r="Z385" s="36">
        <f>IF(AND(OR(sel_Region="All",C385=sel_Region),OR(sel_Country="All",D385=sel_Country),OR(sel_Channel="All",E385=sel_Channel),OR(sel_Customer="All",F385=sel_Customer),OR(sel_Category="All",G385=sel_Category),AND(S385&gt;=m_From,S385&lt;=m_To)),1,0)</f>
        <v/>
      </c>
      <c r="AA385" s="36">
        <f>IF(AND(OR(sel_Region="All",C385=sel_Region),OR(sel_Country="All",D385=sel_Country),OR(sel_Channel="All",E385=sel_Channel),OR(sel_Customer="All",F385=sel_Customer),OR(sel_Category="All",G385=sel_Category),OR(sel_Product="All",H385=sel_Product)),1,0)</f>
        <v/>
      </c>
    </row>
    <row r="386">
      <c r="A386" s="36" t="inlineStr">
        <is>
          <t>02171</t>
        </is>
      </c>
      <c r="B386" s="44" t="n">
        <v>46100</v>
      </c>
      <c r="C386" s="36" t="inlineStr">
        <is>
          <t>Western Europe</t>
        </is>
      </c>
      <c r="D386" s="36" t="inlineStr">
        <is>
          <t>France</t>
        </is>
      </c>
      <c r="E386" s="36" t="inlineStr">
        <is>
          <t>Corporate</t>
        </is>
      </c>
      <c r="F386" s="36" t="inlineStr">
        <is>
          <t>Business</t>
        </is>
      </c>
      <c r="G386" s="36" t="inlineStr">
        <is>
          <t>Fitness</t>
        </is>
      </c>
      <c r="H386" s="36" t="inlineStr">
        <is>
          <t>Recovery Roller</t>
        </is>
      </c>
      <c r="I386" s="36" t="n">
        <v>5</v>
      </c>
      <c r="J386" s="39" t="n">
        <v>35.65</v>
      </c>
      <c r="K386" s="45" t="n">
        <v>0.1</v>
      </c>
      <c r="L386" s="39" t="n">
        <v>13.64</v>
      </c>
      <c r="M386" s="39">
        <f>I386*J386*(1-K386)</f>
        <v/>
      </c>
      <c r="N386" s="39">
        <f>I386*L386</f>
        <v/>
      </c>
      <c r="O386" s="39">
        <f>M386-N386</f>
        <v/>
      </c>
      <c r="P386" s="38">
        <f>IF(M386=0,0,O386/M386)</f>
        <v/>
      </c>
      <c r="Q386" s="36">
        <f>YEAR(B386)</f>
        <v/>
      </c>
      <c r="R386" s="36">
        <f>"Q"&amp;ROUNDUP(MONTH(B386)/3,0)</f>
        <v/>
      </c>
      <c r="S386" s="36">
        <f>MONTH(B386)</f>
        <v/>
      </c>
      <c r="T386" s="36">
        <f>TEXT(B386,"mmm")</f>
        <v/>
      </c>
      <c r="U386" s="36">
        <f>IF(AND(OR(sel_Region="All",C386=sel_Region),OR(sel_Country="All",D386=sel_Country),OR(sel_Channel="All",E386=sel_Channel),OR(sel_Customer="All",F386=sel_Customer),OR(sel_Category="All",G386=sel_Category),OR(sel_Product="All",H386=sel_Product),AND(S386&gt;=m_From,S386&lt;=m_To)),1,0)</f>
        <v/>
      </c>
      <c r="V386" s="36">
        <f>IF(AND(OR(sel_Region="All",C386=sel_Region),OR(sel_Channel="All",E386=sel_Channel),OR(sel_Customer="All",F386=sel_Customer),OR(sel_Category="All",G386=sel_Category),OR(sel_Product="All",H386=sel_Product),AND(S386&gt;=m_From,S386&lt;=m_To)),1,0)</f>
        <v/>
      </c>
      <c r="W386" s="36">
        <f>IF(AND(OR(sel_Region="All",C386=sel_Region),OR(sel_Country="All",D386=sel_Country),OR(sel_Customer="All",F386=sel_Customer),OR(sel_Category="All",G386=sel_Category),OR(sel_Product="All",H386=sel_Product),AND(S386&gt;=m_From,S386&lt;=m_To)),1,0)</f>
        <v/>
      </c>
      <c r="X386" s="36">
        <f>IF(AND(OR(sel_Region="All",C386=sel_Region),OR(sel_Country="All",D386=sel_Country),OR(sel_Channel="All",E386=sel_Channel),OR(sel_Category="All",G386=sel_Category),OR(sel_Product="All",H386=sel_Product),AND(S386&gt;=m_From,S386&lt;=m_To)),1,0)</f>
        <v/>
      </c>
      <c r="Y386" s="36">
        <f>IF(AND(OR(sel_Region="All",C386=sel_Region),OR(sel_Country="All",D386=sel_Country),OR(sel_Channel="All",E386=sel_Channel),OR(sel_Customer="All",F386=sel_Customer),OR(sel_Product="All",H386=sel_Product),AND(S386&gt;=m_From,S386&lt;=m_To)),1,0)</f>
        <v/>
      </c>
      <c r="Z386" s="36">
        <f>IF(AND(OR(sel_Region="All",C386=sel_Region),OR(sel_Country="All",D386=sel_Country),OR(sel_Channel="All",E386=sel_Channel),OR(sel_Customer="All",F386=sel_Customer),OR(sel_Category="All",G386=sel_Category),AND(S386&gt;=m_From,S386&lt;=m_To)),1,0)</f>
        <v/>
      </c>
      <c r="AA386" s="36">
        <f>IF(AND(OR(sel_Region="All",C386=sel_Region),OR(sel_Country="All",D386=sel_Country),OR(sel_Channel="All",E386=sel_Channel),OR(sel_Customer="All",F386=sel_Customer),OR(sel_Category="All",G386=sel_Category),OR(sel_Product="All",H386=sel_Product)),1,0)</f>
        <v/>
      </c>
    </row>
    <row r="387">
      <c r="A387" s="36" t="inlineStr">
        <is>
          <t>02311</t>
        </is>
      </c>
      <c r="B387" s="44" t="n">
        <v>46100</v>
      </c>
      <c r="C387" s="36" t="inlineStr">
        <is>
          <t>Western Europe</t>
        </is>
      </c>
      <c r="D387" s="36" t="inlineStr">
        <is>
          <t>United Kingdom</t>
        </is>
      </c>
      <c r="E387" s="36" t="inlineStr">
        <is>
          <t>Online Store</t>
        </is>
      </c>
      <c r="F387" s="36" t="inlineStr">
        <is>
          <t>New</t>
        </is>
      </c>
      <c r="G387" s="36" t="inlineStr">
        <is>
          <t>Hiking</t>
        </is>
      </c>
      <c r="H387" s="36" t="inlineStr">
        <is>
          <t>Trail Boots</t>
        </is>
      </c>
      <c r="I387" s="36" t="n">
        <v>1</v>
      </c>
      <c r="J387" s="39" t="n">
        <v>145.19</v>
      </c>
      <c r="K387" s="45" t="n">
        <v>0</v>
      </c>
      <c r="L387" s="39" t="n">
        <v>80.67</v>
      </c>
      <c r="M387" s="39">
        <f>I387*J387*(1-K387)</f>
        <v/>
      </c>
      <c r="N387" s="39">
        <f>I387*L387</f>
        <v/>
      </c>
      <c r="O387" s="39">
        <f>M387-N387</f>
        <v/>
      </c>
      <c r="P387" s="38">
        <f>IF(M387=0,0,O387/M387)</f>
        <v/>
      </c>
      <c r="Q387" s="36">
        <f>YEAR(B387)</f>
        <v/>
      </c>
      <c r="R387" s="36">
        <f>"Q"&amp;ROUNDUP(MONTH(B387)/3,0)</f>
        <v/>
      </c>
      <c r="S387" s="36">
        <f>MONTH(B387)</f>
        <v/>
      </c>
      <c r="T387" s="36">
        <f>TEXT(B387,"mmm")</f>
        <v/>
      </c>
      <c r="U387" s="36">
        <f>IF(AND(OR(sel_Region="All",C387=sel_Region),OR(sel_Country="All",D387=sel_Country),OR(sel_Channel="All",E387=sel_Channel),OR(sel_Customer="All",F387=sel_Customer),OR(sel_Category="All",G387=sel_Category),OR(sel_Product="All",H387=sel_Product),AND(S387&gt;=m_From,S387&lt;=m_To)),1,0)</f>
        <v/>
      </c>
      <c r="V387" s="36">
        <f>IF(AND(OR(sel_Region="All",C387=sel_Region),OR(sel_Channel="All",E387=sel_Channel),OR(sel_Customer="All",F387=sel_Customer),OR(sel_Category="All",G387=sel_Category),OR(sel_Product="All",H387=sel_Product),AND(S387&gt;=m_From,S387&lt;=m_To)),1,0)</f>
        <v/>
      </c>
      <c r="W387" s="36">
        <f>IF(AND(OR(sel_Region="All",C387=sel_Region),OR(sel_Country="All",D387=sel_Country),OR(sel_Customer="All",F387=sel_Customer),OR(sel_Category="All",G387=sel_Category),OR(sel_Product="All",H387=sel_Product),AND(S387&gt;=m_From,S387&lt;=m_To)),1,0)</f>
        <v/>
      </c>
      <c r="X387" s="36">
        <f>IF(AND(OR(sel_Region="All",C387=sel_Region),OR(sel_Country="All",D387=sel_Country),OR(sel_Channel="All",E387=sel_Channel),OR(sel_Category="All",G387=sel_Category),OR(sel_Product="All",H387=sel_Product),AND(S387&gt;=m_From,S387&lt;=m_To)),1,0)</f>
        <v/>
      </c>
      <c r="Y387" s="36">
        <f>IF(AND(OR(sel_Region="All",C387=sel_Region),OR(sel_Country="All",D387=sel_Country),OR(sel_Channel="All",E387=sel_Channel),OR(sel_Customer="All",F387=sel_Customer),OR(sel_Product="All",H387=sel_Product),AND(S387&gt;=m_From,S387&lt;=m_To)),1,0)</f>
        <v/>
      </c>
      <c r="Z387" s="36">
        <f>IF(AND(OR(sel_Region="All",C387=sel_Region),OR(sel_Country="All",D387=sel_Country),OR(sel_Channel="All",E387=sel_Channel),OR(sel_Customer="All",F387=sel_Customer),OR(sel_Category="All",G387=sel_Category),AND(S387&gt;=m_From,S387&lt;=m_To)),1,0)</f>
        <v/>
      </c>
      <c r="AA387" s="36">
        <f>IF(AND(OR(sel_Region="All",C387=sel_Region),OR(sel_Country="All",D387=sel_Country),OR(sel_Channel="All",E387=sel_Channel),OR(sel_Customer="All",F387=sel_Customer),OR(sel_Category="All",G387=sel_Category),OR(sel_Product="All",H387=sel_Product)),1,0)</f>
        <v/>
      </c>
    </row>
    <row r="388">
      <c r="A388" s="36" t="inlineStr">
        <is>
          <t>03563</t>
        </is>
      </c>
      <c r="B388" s="44" t="n">
        <v>46100</v>
      </c>
      <c r="C388" s="36" t="inlineStr">
        <is>
          <t>Western Europe</t>
        </is>
      </c>
      <c r="D388" s="36" t="inlineStr">
        <is>
          <t>United Kingdom</t>
        </is>
      </c>
      <c r="E388" s="36" t="inlineStr">
        <is>
          <t>Online Store</t>
        </is>
      </c>
      <c r="F388" s="36" t="inlineStr">
        <is>
          <t>Returning</t>
        </is>
      </c>
      <c r="G388" s="36" t="inlineStr">
        <is>
          <t>Cycling</t>
        </is>
      </c>
      <c r="H388" s="36" t="inlineStr">
        <is>
          <t>Compact Repair Kit</t>
        </is>
      </c>
      <c r="I388" s="36" t="n">
        <v>2</v>
      </c>
      <c r="J388" s="39" t="n">
        <v>40.09</v>
      </c>
      <c r="K388" s="45" t="n">
        <v>0</v>
      </c>
      <c r="L388" s="39" t="n">
        <v>17.2</v>
      </c>
      <c r="M388" s="39">
        <f>I388*J388*(1-K388)</f>
        <v/>
      </c>
      <c r="N388" s="39">
        <f>I388*L388</f>
        <v/>
      </c>
      <c r="O388" s="39">
        <f>M388-N388</f>
        <v/>
      </c>
      <c r="P388" s="38">
        <f>IF(M388=0,0,O388/M388)</f>
        <v/>
      </c>
      <c r="Q388" s="36">
        <f>YEAR(B388)</f>
        <v/>
      </c>
      <c r="R388" s="36">
        <f>"Q"&amp;ROUNDUP(MONTH(B388)/3,0)</f>
        <v/>
      </c>
      <c r="S388" s="36">
        <f>MONTH(B388)</f>
        <v/>
      </c>
      <c r="T388" s="36">
        <f>TEXT(B388,"mmm")</f>
        <v/>
      </c>
      <c r="U388" s="36">
        <f>IF(AND(OR(sel_Region="All",C388=sel_Region),OR(sel_Country="All",D388=sel_Country),OR(sel_Channel="All",E388=sel_Channel),OR(sel_Customer="All",F388=sel_Customer),OR(sel_Category="All",G388=sel_Category),OR(sel_Product="All",H388=sel_Product),AND(S388&gt;=m_From,S388&lt;=m_To)),1,0)</f>
        <v/>
      </c>
      <c r="V388" s="36">
        <f>IF(AND(OR(sel_Region="All",C388=sel_Region),OR(sel_Channel="All",E388=sel_Channel),OR(sel_Customer="All",F388=sel_Customer),OR(sel_Category="All",G388=sel_Category),OR(sel_Product="All",H388=sel_Product),AND(S388&gt;=m_From,S388&lt;=m_To)),1,0)</f>
        <v/>
      </c>
      <c r="W388" s="36">
        <f>IF(AND(OR(sel_Region="All",C388=sel_Region),OR(sel_Country="All",D388=sel_Country),OR(sel_Customer="All",F388=sel_Customer),OR(sel_Category="All",G388=sel_Category),OR(sel_Product="All",H388=sel_Product),AND(S388&gt;=m_From,S388&lt;=m_To)),1,0)</f>
        <v/>
      </c>
      <c r="X388" s="36">
        <f>IF(AND(OR(sel_Region="All",C388=sel_Region),OR(sel_Country="All",D388=sel_Country),OR(sel_Channel="All",E388=sel_Channel),OR(sel_Category="All",G388=sel_Category),OR(sel_Product="All",H388=sel_Product),AND(S388&gt;=m_From,S388&lt;=m_To)),1,0)</f>
        <v/>
      </c>
      <c r="Y388" s="36">
        <f>IF(AND(OR(sel_Region="All",C388=sel_Region),OR(sel_Country="All",D388=sel_Country),OR(sel_Channel="All",E388=sel_Channel),OR(sel_Customer="All",F388=sel_Customer),OR(sel_Product="All",H388=sel_Product),AND(S388&gt;=m_From,S388&lt;=m_To)),1,0)</f>
        <v/>
      </c>
      <c r="Z388" s="36">
        <f>IF(AND(OR(sel_Region="All",C388=sel_Region),OR(sel_Country="All",D388=sel_Country),OR(sel_Channel="All",E388=sel_Channel),OR(sel_Customer="All",F388=sel_Customer),OR(sel_Category="All",G388=sel_Category),AND(S388&gt;=m_From,S388&lt;=m_To)),1,0)</f>
        <v/>
      </c>
      <c r="AA388" s="36">
        <f>IF(AND(OR(sel_Region="All",C388=sel_Region),OR(sel_Country="All",D388=sel_Country),OR(sel_Channel="All",E388=sel_Channel),OR(sel_Customer="All",F388=sel_Customer),OR(sel_Category="All",G388=sel_Category),OR(sel_Product="All",H388=sel_Product)),1,0)</f>
        <v/>
      </c>
    </row>
    <row r="389">
      <c r="A389" s="36" t="inlineStr">
        <is>
          <t>03587</t>
        </is>
      </c>
      <c r="B389" s="44" t="n">
        <v>46100</v>
      </c>
      <c r="C389" s="36" t="inlineStr">
        <is>
          <t>Western Europe</t>
        </is>
      </c>
      <c r="D389" s="36" t="inlineStr">
        <is>
          <t>Netherlands</t>
        </is>
      </c>
      <c r="E389" s="36" t="inlineStr">
        <is>
          <t>Online Store</t>
        </is>
      </c>
      <c r="F389" s="36" t="inlineStr">
        <is>
          <t>Returning</t>
        </is>
      </c>
      <c r="G389" s="36" t="inlineStr">
        <is>
          <t>Fitness</t>
        </is>
      </c>
      <c r="H389" s="36" t="inlineStr">
        <is>
          <t>Resistance Band Set</t>
        </is>
      </c>
      <c r="I389" s="36" t="n">
        <v>1</v>
      </c>
      <c r="J389" s="39" t="n">
        <v>39.47</v>
      </c>
      <c r="K389" s="45" t="n">
        <v>0</v>
      </c>
      <c r="L389" s="39" t="n">
        <v>15.02</v>
      </c>
      <c r="M389" s="39">
        <f>I389*J389*(1-K389)</f>
        <v/>
      </c>
      <c r="N389" s="39">
        <f>I389*L389</f>
        <v/>
      </c>
      <c r="O389" s="39">
        <f>M389-N389</f>
        <v/>
      </c>
      <c r="P389" s="38">
        <f>IF(M389=0,0,O389/M389)</f>
        <v/>
      </c>
      <c r="Q389" s="36">
        <f>YEAR(B389)</f>
        <v/>
      </c>
      <c r="R389" s="36">
        <f>"Q"&amp;ROUNDUP(MONTH(B389)/3,0)</f>
        <v/>
      </c>
      <c r="S389" s="36">
        <f>MONTH(B389)</f>
        <v/>
      </c>
      <c r="T389" s="36">
        <f>TEXT(B389,"mmm")</f>
        <v/>
      </c>
      <c r="U389" s="36">
        <f>IF(AND(OR(sel_Region="All",C389=sel_Region),OR(sel_Country="All",D389=sel_Country),OR(sel_Channel="All",E389=sel_Channel),OR(sel_Customer="All",F389=sel_Customer),OR(sel_Category="All",G389=sel_Category),OR(sel_Product="All",H389=sel_Product),AND(S389&gt;=m_From,S389&lt;=m_To)),1,0)</f>
        <v/>
      </c>
      <c r="V389" s="36">
        <f>IF(AND(OR(sel_Region="All",C389=sel_Region),OR(sel_Channel="All",E389=sel_Channel),OR(sel_Customer="All",F389=sel_Customer),OR(sel_Category="All",G389=sel_Category),OR(sel_Product="All",H389=sel_Product),AND(S389&gt;=m_From,S389&lt;=m_To)),1,0)</f>
        <v/>
      </c>
      <c r="W389" s="36">
        <f>IF(AND(OR(sel_Region="All",C389=sel_Region),OR(sel_Country="All",D389=sel_Country),OR(sel_Customer="All",F389=sel_Customer),OR(sel_Category="All",G389=sel_Category),OR(sel_Product="All",H389=sel_Product),AND(S389&gt;=m_From,S389&lt;=m_To)),1,0)</f>
        <v/>
      </c>
      <c r="X389" s="36">
        <f>IF(AND(OR(sel_Region="All",C389=sel_Region),OR(sel_Country="All",D389=sel_Country),OR(sel_Channel="All",E389=sel_Channel),OR(sel_Category="All",G389=sel_Category),OR(sel_Product="All",H389=sel_Product),AND(S389&gt;=m_From,S389&lt;=m_To)),1,0)</f>
        <v/>
      </c>
      <c r="Y389" s="36">
        <f>IF(AND(OR(sel_Region="All",C389=sel_Region),OR(sel_Country="All",D389=sel_Country),OR(sel_Channel="All",E389=sel_Channel),OR(sel_Customer="All",F389=sel_Customer),OR(sel_Product="All",H389=sel_Product),AND(S389&gt;=m_From,S389&lt;=m_To)),1,0)</f>
        <v/>
      </c>
      <c r="Z389" s="36">
        <f>IF(AND(OR(sel_Region="All",C389=sel_Region),OR(sel_Country="All",D389=sel_Country),OR(sel_Channel="All",E389=sel_Channel),OR(sel_Customer="All",F389=sel_Customer),OR(sel_Category="All",G389=sel_Category),AND(S389&gt;=m_From,S389&lt;=m_To)),1,0)</f>
        <v/>
      </c>
      <c r="AA389" s="36">
        <f>IF(AND(OR(sel_Region="All",C389=sel_Region),OR(sel_Country="All",D389=sel_Country),OR(sel_Channel="All",E389=sel_Channel),OR(sel_Customer="All",F389=sel_Customer),OR(sel_Category="All",G389=sel_Category),OR(sel_Product="All",H389=sel_Product)),1,0)</f>
        <v/>
      </c>
    </row>
    <row r="390">
      <c r="A390" s="36" t="inlineStr">
        <is>
          <t>03706</t>
        </is>
      </c>
      <c r="B390" s="44" t="n">
        <v>46100</v>
      </c>
      <c r="C390" s="36" t="inlineStr">
        <is>
          <t>Southern Europe</t>
        </is>
      </c>
      <c r="D390" s="36" t="inlineStr">
        <is>
          <t>Spain</t>
        </is>
      </c>
      <c r="E390" s="36" t="inlineStr">
        <is>
          <t>Online Store</t>
        </is>
      </c>
      <c r="F390" s="36" t="inlineStr">
        <is>
          <t>Returning</t>
        </is>
      </c>
      <c r="G390" s="36" t="inlineStr">
        <is>
          <t>Cycling</t>
        </is>
      </c>
      <c r="H390" s="36" t="inlineStr">
        <is>
          <t>Cycling Pack 12L</t>
        </is>
      </c>
      <c r="I390" s="36" t="n">
        <v>2</v>
      </c>
      <c r="J390" s="39" t="n">
        <v>103.42</v>
      </c>
      <c r="K390" s="45" t="n">
        <v>0</v>
      </c>
      <c r="L390" s="39" t="n">
        <v>49.51</v>
      </c>
      <c r="M390" s="39">
        <f>I390*J390*(1-K390)</f>
        <v/>
      </c>
      <c r="N390" s="39">
        <f>I390*L390</f>
        <v/>
      </c>
      <c r="O390" s="39">
        <f>M390-N390</f>
        <v/>
      </c>
      <c r="P390" s="38">
        <f>IF(M390=0,0,O390/M390)</f>
        <v/>
      </c>
      <c r="Q390" s="36">
        <f>YEAR(B390)</f>
        <v/>
      </c>
      <c r="R390" s="36">
        <f>"Q"&amp;ROUNDUP(MONTH(B390)/3,0)</f>
        <v/>
      </c>
      <c r="S390" s="36">
        <f>MONTH(B390)</f>
        <v/>
      </c>
      <c r="T390" s="36">
        <f>TEXT(B390,"mmm")</f>
        <v/>
      </c>
      <c r="U390" s="36">
        <f>IF(AND(OR(sel_Region="All",C390=sel_Region),OR(sel_Country="All",D390=sel_Country),OR(sel_Channel="All",E390=sel_Channel),OR(sel_Customer="All",F390=sel_Customer),OR(sel_Category="All",G390=sel_Category),OR(sel_Product="All",H390=sel_Product),AND(S390&gt;=m_From,S390&lt;=m_To)),1,0)</f>
        <v/>
      </c>
      <c r="V390" s="36">
        <f>IF(AND(OR(sel_Region="All",C390=sel_Region),OR(sel_Channel="All",E390=sel_Channel),OR(sel_Customer="All",F390=sel_Customer),OR(sel_Category="All",G390=sel_Category),OR(sel_Product="All",H390=sel_Product),AND(S390&gt;=m_From,S390&lt;=m_To)),1,0)</f>
        <v/>
      </c>
      <c r="W390" s="36">
        <f>IF(AND(OR(sel_Region="All",C390=sel_Region),OR(sel_Country="All",D390=sel_Country),OR(sel_Customer="All",F390=sel_Customer),OR(sel_Category="All",G390=sel_Category),OR(sel_Product="All",H390=sel_Product),AND(S390&gt;=m_From,S390&lt;=m_To)),1,0)</f>
        <v/>
      </c>
      <c r="X390" s="36">
        <f>IF(AND(OR(sel_Region="All",C390=sel_Region),OR(sel_Country="All",D390=sel_Country),OR(sel_Channel="All",E390=sel_Channel),OR(sel_Category="All",G390=sel_Category),OR(sel_Product="All",H390=sel_Product),AND(S390&gt;=m_From,S390&lt;=m_To)),1,0)</f>
        <v/>
      </c>
      <c r="Y390" s="36">
        <f>IF(AND(OR(sel_Region="All",C390=sel_Region),OR(sel_Country="All",D390=sel_Country),OR(sel_Channel="All",E390=sel_Channel),OR(sel_Customer="All",F390=sel_Customer),OR(sel_Product="All",H390=sel_Product),AND(S390&gt;=m_From,S390&lt;=m_To)),1,0)</f>
        <v/>
      </c>
      <c r="Z390" s="36">
        <f>IF(AND(OR(sel_Region="All",C390=sel_Region),OR(sel_Country="All",D390=sel_Country),OR(sel_Channel="All",E390=sel_Channel),OR(sel_Customer="All",F390=sel_Customer),OR(sel_Category="All",G390=sel_Category),AND(S390&gt;=m_From,S390&lt;=m_To)),1,0)</f>
        <v/>
      </c>
      <c r="AA390" s="36">
        <f>IF(AND(OR(sel_Region="All",C390=sel_Region),OR(sel_Country="All",D390=sel_Country),OR(sel_Channel="All",E390=sel_Channel),OR(sel_Customer="All",F390=sel_Customer),OR(sel_Category="All",G390=sel_Category),OR(sel_Product="All",H390=sel_Product)),1,0)</f>
        <v/>
      </c>
    </row>
    <row r="391">
      <c r="A391" s="36" t="inlineStr">
        <is>
          <t>04121</t>
        </is>
      </c>
      <c r="B391" s="44" t="n">
        <v>46100</v>
      </c>
      <c r="C391" s="36" t="inlineStr">
        <is>
          <t>Southern Europe</t>
        </is>
      </c>
      <c r="D391" s="36" t="inlineStr">
        <is>
          <t>Spain</t>
        </is>
      </c>
      <c r="E391" s="36" t="inlineStr">
        <is>
          <t>Online Store</t>
        </is>
      </c>
      <c r="F391" s="36" t="inlineStr">
        <is>
          <t>Returning</t>
        </is>
      </c>
      <c r="G391" s="36" t="inlineStr">
        <is>
          <t>Travel</t>
        </is>
      </c>
      <c r="H391" s="36" t="inlineStr">
        <is>
          <t>Travel Backpack 35L</t>
        </is>
      </c>
      <c r="I391" s="36" t="n">
        <v>4</v>
      </c>
      <c r="J391" s="39" t="n">
        <v>161.93</v>
      </c>
      <c r="K391" s="45" t="n">
        <v>0.15</v>
      </c>
      <c r="L391" s="39" t="n">
        <v>88</v>
      </c>
      <c r="M391" s="39">
        <f>I391*J391*(1-K391)</f>
        <v/>
      </c>
      <c r="N391" s="39">
        <f>I391*L391</f>
        <v/>
      </c>
      <c r="O391" s="39">
        <f>M391-N391</f>
        <v/>
      </c>
      <c r="P391" s="38">
        <f>IF(M391=0,0,O391/M391)</f>
        <v/>
      </c>
      <c r="Q391" s="36">
        <f>YEAR(B391)</f>
        <v/>
      </c>
      <c r="R391" s="36">
        <f>"Q"&amp;ROUNDUP(MONTH(B391)/3,0)</f>
        <v/>
      </c>
      <c r="S391" s="36">
        <f>MONTH(B391)</f>
        <v/>
      </c>
      <c r="T391" s="36">
        <f>TEXT(B391,"mmm")</f>
        <v/>
      </c>
      <c r="U391" s="36">
        <f>IF(AND(OR(sel_Region="All",C391=sel_Region),OR(sel_Country="All",D391=sel_Country),OR(sel_Channel="All",E391=sel_Channel),OR(sel_Customer="All",F391=sel_Customer),OR(sel_Category="All",G391=sel_Category),OR(sel_Product="All",H391=sel_Product),AND(S391&gt;=m_From,S391&lt;=m_To)),1,0)</f>
        <v/>
      </c>
      <c r="V391" s="36">
        <f>IF(AND(OR(sel_Region="All",C391=sel_Region),OR(sel_Channel="All",E391=sel_Channel),OR(sel_Customer="All",F391=sel_Customer),OR(sel_Category="All",G391=sel_Category),OR(sel_Product="All",H391=sel_Product),AND(S391&gt;=m_From,S391&lt;=m_To)),1,0)</f>
        <v/>
      </c>
      <c r="W391" s="36">
        <f>IF(AND(OR(sel_Region="All",C391=sel_Region),OR(sel_Country="All",D391=sel_Country),OR(sel_Customer="All",F391=sel_Customer),OR(sel_Category="All",G391=sel_Category),OR(sel_Product="All",H391=sel_Product),AND(S391&gt;=m_From,S391&lt;=m_To)),1,0)</f>
        <v/>
      </c>
      <c r="X391" s="36">
        <f>IF(AND(OR(sel_Region="All",C391=sel_Region),OR(sel_Country="All",D391=sel_Country),OR(sel_Channel="All",E391=sel_Channel),OR(sel_Category="All",G391=sel_Category),OR(sel_Product="All",H391=sel_Product),AND(S391&gt;=m_From,S391&lt;=m_To)),1,0)</f>
        <v/>
      </c>
      <c r="Y391" s="36">
        <f>IF(AND(OR(sel_Region="All",C391=sel_Region),OR(sel_Country="All",D391=sel_Country),OR(sel_Channel="All",E391=sel_Channel),OR(sel_Customer="All",F391=sel_Customer),OR(sel_Product="All",H391=sel_Product),AND(S391&gt;=m_From,S391&lt;=m_To)),1,0)</f>
        <v/>
      </c>
      <c r="Z391" s="36">
        <f>IF(AND(OR(sel_Region="All",C391=sel_Region),OR(sel_Country="All",D391=sel_Country),OR(sel_Channel="All",E391=sel_Channel),OR(sel_Customer="All",F391=sel_Customer),OR(sel_Category="All",G391=sel_Category),AND(S391&gt;=m_From,S391&lt;=m_To)),1,0)</f>
        <v/>
      </c>
      <c r="AA391" s="36">
        <f>IF(AND(OR(sel_Region="All",C391=sel_Region),OR(sel_Country="All",D391=sel_Country),OR(sel_Channel="All",E391=sel_Channel),OR(sel_Customer="All",F391=sel_Customer),OR(sel_Category="All",G391=sel_Category),OR(sel_Product="All",H391=sel_Product)),1,0)</f>
        <v/>
      </c>
    </row>
    <row r="392">
      <c r="A392" s="36" t="inlineStr">
        <is>
          <t>01047</t>
        </is>
      </c>
      <c r="B392" s="44" t="n">
        <v>46101</v>
      </c>
      <c r="C392" s="36" t="inlineStr">
        <is>
          <t>Southern Europe</t>
        </is>
      </c>
      <c r="D392" s="36" t="inlineStr">
        <is>
          <t>Spain</t>
        </is>
      </c>
      <c r="E392" s="36" t="inlineStr">
        <is>
          <t>Online Store</t>
        </is>
      </c>
      <c r="F392" s="36" t="inlineStr">
        <is>
          <t>Returning</t>
        </is>
      </c>
      <c r="G392" s="36" t="inlineStr">
        <is>
          <t>Travel</t>
        </is>
      </c>
      <c r="H392" s="36" t="inlineStr">
        <is>
          <t>Packing Cube Set</t>
        </is>
      </c>
      <c r="I392" s="36" t="n">
        <v>2</v>
      </c>
      <c r="J392" s="39" t="n">
        <v>46.21</v>
      </c>
      <c r="K392" s="45" t="n">
        <v>0.05</v>
      </c>
      <c r="L392" s="39" t="n">
        <v>18.37</v>
      </c>
      <c r="M392" s="39">
        <f>I392*J392*(1-K392)</f>
        <v/>
      </c>
      <c r="N392" s="39">
        <f>I392*L392</f>
        <v/>
      </c>
      <c r="O392" s="39">
        <f>M392-N392</f>
        <v/>
      </c>
      <c r="P392" s="38">
        <f>IF(M392=0,0,O392/M392)</f>
        <v/>
      </c>
      <c r="Q392" s="36">
        <f>YEAR(B392)</f>
        <v/>
      </c>
      <c r="R392" s="36">
        <f>"Q"&amp;ROUNDUP(MONTH(B392)/3,0)</f>
        <v/>
      </c>
      <c r="S392" s="36">
        <f>MONTH(B392)</f>
        <v/>
      </c>
      <c r="T392" s="36">
        <f>TEXT(B392,"mmm")</f>
        <v/>
      </c>
      <c r="U392" s="36">
        <f>IF(AND(OR(sel_Region="All",C392=sel_Region),OR(sel_Country="All",D392=sel_Country),OR(sel_Channel="All",E392=sel_Channel),OR(sel_Customer="All",F392=sel_Customer),OR(sel_Category="All",G392=sel_Category),OR(sel_Product="All",H392=sel_Product),AND(S392&gt;=m_From,S392&lt;=m_To)),1,0)</f>
        <v/>
      </c>
      <c r="V392" s="36">
        <f>IF(AND(OR(sel_Region="All",C392=sel_Region),OR(sel_Channel="All",E392=sel_Channel),OR(sel_Customer="All",F392=sel_Customer),OR(sel_Category="All",G392=sel_Category),OR(sel_Product="All",H392=sel_Product),AND(S392&gt;=m_From,S392&lt;=m_To)),1,0)</f>
        <v/>
      </c>
      <c r="W392" s="36">
        <f>IF(AND(OR(sel_Region="All",C392=sel_Region),OR(sel_Country="All",D392=sel_Country),OR(sel_Customer="All",F392=sel_Customer),OR(sel_Category="All",G392=sel_Category),OR(sel_Product="All",H392=sel_Product),AND(S392&gt;=m_From,S392&lt;=m_To)),1,0)</f>
        <v/>
      </c>
      <c r="X392" s="36">
        <f>IF(AND(OR(sel_Region="All",C392=sel_Region),OR(sel_Country="All",D392=sel_Country),OR(sel_Channel="All",E392=sel_Channel),OR(sel_Category="All",G392=sel_Category),OR(sel_Product="All",H392=sel_Product),AND(S392&gt;=m_From,S392&lt;=m_To)),1,0)</f>
        <v/>
      </c>
      <c r="Y392" s="36">
        <f>IF(AND(OR(sel_Region="All",C392=sel_Region),OR(sel_Country="All",D392=sel_Country),OR(sel_Channel="All",E392=sel_Channel),OR(sel_Customer="All",F392=sel_Customer),OR(sel_Product="All",H392=sel_Product),AND(S392&gt;=m_From,S392&lt;=m_To)),1,0)</f>
        <v/>
      </c>
      <c r="Z392" s="36">
        <f>IF(AND(OR(sel_Region="All",C392=sel_Region),OR(sel_Country="All",D392=sel_Country),OR(sel_Channel="All",E392=sel_Channel),OR(sel_Customer="All",F392=sel_Customer),OR(sel_Category="All",G392=sel_Category),AND(S392&gt;=m_From,S392&lt;=m_To)),1,0)</f>
        <v/>
      </c>
      <c r="AA392" s="36">
        <f>IF(AND(OR(sel_Region="All",C392=sel_Region),OR(sel_Country="All",D392=sel_Country),OR(sel_Channel="All",E392=sel_Channel),OR(sel_Customer="All",F392=sel_Customer),OR(sel_Category="All",G392=sel_Category),OR(sel_Product="All",H392=sel_Product)),1,0)</f>
        <v/>
      </c>
    </row>
    <row r="393">
      <c r="A393" s="36" t="inlineStr">
        <is>
          <t>01142</t>
        </is>
      </c>
      <c r="B393" s="44" t="n">
        <v>46101</v>
      </c>
      <c r="C393" s="36" t="inlineStr">
        <is>
          <t>Central Europe</t>
        </is>
      </c>
      <c r="D393" s="36" t="inlineStr">
        <is>
          <t>Switzerland</t>
        </is>
      </c>
      <c r="E393" s="36" t="inlineStr">
        <is>
          <t>Online Store</t>
        </is>
      </c>
      <c r="F393" s="36" t="inlineStr">
        <is>
          <t>New</t>
        </is>
      </c>
      <c r="G393" s="36" t="inlineStr">
        <is>
          <t>Camping</t>
        </is>
      </c>
      <c r="H393" s="36" t="inlineStr">
        <is>
          <t>Compact Sleeping Bag</t>
        </is>
      </c>
      <c r="I393" s="36" t="n">
        <v>3</v>
      </c>
      <c r="J393" s="39" t="n">
        <v>125.85</v>
      </c>
      <c r="K393" s="45" t="n">
        <v>0</v>
      </c>
      <c r="L393" s="39" t="n">
        <v>59.19</v>
      </c>
      <c r="M393" s="39">
        <f>I393*J393*(1-K393)</f>
        <v/>
      </c>
      <c r="N393" s="39">
        <f>I393*L393</f>
        <v/>
      </c>
      <c r="O393" s="39">
        <f>M393-N393</f>
        <v/>
      </c>
      <c r="P393" s="38">
        <f>IF(M393=0,0,O393/M393)</f>
        <v/>
      </c>
      <c r="Q393" s="36">
        <f>YEAR(B393)</f>
        <v/>
      </c>
      <c r="R393" s="36">
        <f>"Q"&amp;ROUNDUP(MONTH(B393)/3,0)</f>
        <v/>
      </c>
      <c r="S393" s="36">
        <f>MONTH(B393)</f>
        <v/>
      </c>
      <c r="T393" s="36">
        <f>TEXT(B393,"mmm")</f>
        <v/>
      </c>
      <c r="U393" s="36">
        <f>IF(AND(OR(sel_Region="All",C393=sel_Region),OR(sel_Country="All",D393=sel_Country),OR(sel_Channel="All",E393=sel_Channel),OR(sel_Customer="All",F393=sel_Customer),OR(sel_Category="All",G393=sel_Category),OR(sel_Product="All",H393=sel_Product),AND(S393&gt;=m_From,S393&lt;=m_To)),1,0)</f>
        <v/>
      </c>
      <c r="V393" s="36">
        <f>IF(AND(OR(sel_Region="All",C393=sel_Region),OR(sel_Channel="All",E393=sel_Channel),OR(sel_Customer="All",F393=sel_Customer),OR(sel_Category="All",G393=sel_Category),OR(sel_Product="All",H393=sel_Product),AND(S393&gt;=m_From,S393&lt;=m_To)),1,0)</f>
        <v/>
      </c>
      <c r="W393" s="36">
        <f>IF(AND(OR(sel_Region="All",C393=sel_Region),OR(sel_Country="All",D393=sel_Country),OR(sel_Customer="All",F393=sel_Customer),OR(sel_Category="All",G393=sel_Category),OR(sel_Product="All",H393=sel_Product),AND(S393&gt;=m_From,S393&lt;=m_To)),1,0)</f>
        <v/>
      </c>
      <c r="X393" s="36">
        <f>IF(AND(OR(sel_Region="All",C393=sel_Region),OR(sel_Country="All",D393=sel_Country),OR(sel_Channel="All",E393=sel_Channel),OR(sel_Category="All",G393=sel_Category),OR(sel_Product="All",H393=sel_Product),AND(S393&gt;=m_From,S393&lt;=m_To)),1,0)</f>
        <v/>
      </c>
      <c r="Y393" s="36">
        <f>IF(AND(OR(sel_Region="All",C393=sel_Region),OR(sel_Country="All",D393=sel_Country),OR(sel_Channel="All",E393=sel_Channel),OR(sel_Customer="All",F393=sel_Customer),OR(sel_Product="All",H393=sel_Product),AND(S393&gt;=m_From,S393&lt;=m_To)),1,0)</f>
        <v/>
      </c>
      <c r="Z393" s="36">
        <f>IF(AND(OR(sel_Region="All",C393=sel_Region),OR(sel_Country="All",D393=sel_Country),OR(sel_Channel="All",E393=sel_Channel),OR(sel_Customer="All",F393=sel_Customer),OR(sel_Category="All",G393=sel_Category),AND(S393&gt;=m_From,S393&lt;=m_To)),1,0)</f>
        <v/>
      </c>
      <c r="AA393" s="36">
        <f>IF(AND(OR(sel_Region="All",C393=sel_Region),OR(sel_Country="All",D393=sel_Country),OR(sel_Channel="All",E393=sel_Channel),OR(sel_Customer="All",F393=sel_Customer),OR(sel_Category="All",G393=sel_Category),OR(sel_Product="All",H393=sel_Product)),1,0)</f>
        <v/>
      </c>
    </row>
    <row r="394">
      <c r="A394" s="36" t="inlineStr">
        <is>
          <t>02232</t>
        </is>
      </c>
      <c r="B394" s="44" t="n">
        <v>46101</v>
      </c>
      <c r="C394" s="36" t="inlineStr">
        <is>
          <t>Western Europe</t>
        </is>
      </c>
      <c r="D394" s="36" t="inlineStr">
        <is>
          <t>France</t>
        </is>
      </c>
      <c r="E394" s="36" t="inlineStr">
        <is>
          <t>Retail Partners</t>
        </is>
      </c>
      <c r="F394" s="36" t="inlineStr">
        <is>
          <t>New</t>
        </is>
      </c>
      <c r="G394" s="36" t="inlineStr">
        <is>
          <t>Travel</t>
        </is>
      </c>
      <c r="H394" s="36" t="inlineStr">
        <is>
          <t>Insulated Bottle</t>
        </is>
      </c>
      <c r="I394" s="36" t="n">
        <v>2</v>
      </c>
      <c r="J394" s="39" t="n">
        <v>36.34</v>
      </c>
      <c r="K394" s="45" t="n">
        <v>0</v>
      </c>
      <c r="L394" s="39" t="n">
        <v>13.8</v>
      </c>
      <c r="M394" s="39">
        <f>I394*J394*(1-K394)</f>
        <v/>
      </c>
      <c r="N394" s="39">
        <f>I394*L394</f>
        <v/>
      </c>
      <c r="O394" s="39">
        <f>M394-N394</f>
        <v/>
      </c>
      <c r="P394" s="38">
        <f>IF(M394=0,0,O394/M394)</f>
        <v/>
      </c>
      <c r="Q394" s="36">
        <f>YEAR(B394)</f>
        <v/>
      </c>
      <c r="R394" s="36">
        <f>"Q"&amp;ROUNDUP(MONTH(B394)/3,0)</f>
        <v/>
      </c>
      <c r="S394" s="36">
        <f>MONTH(B394)</f>
        <v/>
      </c>
      <c r="T394" s="36">
        <f>TEXT(B394,"mmm")</f>
        <v/>
      </c>
      <c r="U394" s="36">
        <f>IF(AND(OR(sel_Region="All",C394=sel_Region),OR(sel_Country="All",D394=sel_Country),OR(sel_Channel="All",E394=sel_Channel),OR(sel_Customer="All",F394=sel_Customer),OR(sel_Category="All",G394=sel_Category),OR(sel_Product="All",H394=sel_Product),AND(S394&gt;=m_From,S394&lt;=m_To)),1,0)</f>
        <v/>
      </c>
      <c r="V394" s="36">
        <f>IF(AND(OR(sel_Region="All",C394=sel_Region),OR(sel_Channel="All",E394=sel_Channel),OR(sel_Customer="All",F394=sel_Customer),OR(sel_Category="All",G394=sel_Category),OR(sel_Product="All",H394=sel_Product),AND(S394&gt;=m_From,S394&lt;=m_To)),1,0)</f>
        <v/>
      </c>
      <c r="W394" s="36">
        <f>IF(AND(OR(sel_Region="All",C394=sel_Region),OR(sel_Country="All",D394=sel_Country),OR(sel_Customer="All",F394=sel_Customer),OR(sel_Category="All",G394=sel_Category),OR(sel_Product="All",H394=sel_Product),AND(S394&gt;=m_From,S394&lt;=m_To)),1,0)</f>
        <v/>
      </c>
      <c r="X394" s="36">
        <f>IF(AND(OR(sel_Region="All",C394=sel_Region),OR(sel_Country="All",D394=sel_Country),OR(sel_Channel="All",E394=sel_Channel),OR(sel_Category="All",G394=sel_Category),OR(sel_Product="All",H394=sel_Product),AND(S394&gt;=m_From,S394&lt;=m_To)),1,0)</f>
        <v/>
      </c>
      <c r="Y394" s="36">
        <f>IF(AND(OR(sel_Region="All",C394=sel_Region),OR(sel_Country="All",D394=sel_Country),OR(sel_Channel="All",E394=sel_Channel),OR(sel_Customer="All",F394=sel_Customer),OR(sel_Product="All",H394=sel_Product),AND(S394&gt;=m_From,S394&lt;=m_To)),1,0)</f>
        <v/>
      </c>
      <c r="Z394" s="36">
        <f>IF(AND(OR(sel_Region="All",C394=sel_Region),OR(sel_Country="All",D394=sel_Country),OR(sel_Channel="All",E394=sel_Channel),OR(sel_Customer="All",F394=sel_Customer),OR(sel_Category="All",G394=sel_Category),AND(S394&gt;=m_From,S394&lt;=m_To)),1,0)</f>
        <v/>
      </c>
      <c r="AA394" s="36">
        <f>IF(AND(OR(sel_Region="All",C394=sel_Region),OR(sel_Country="All",D394=sel_Country),OR(sel_Channel="All",E394=sel_Channel),OR(sel_Customer="All",F394=sel_Customer),OR(sel_Category="All",G394=sel_Category),OR(sel_Product="All",H394=sel_Product)),1,0)</f>
        <v/>
      </c>
    </row>
    <row r="395">
      <c r="A395" s="36" t="inlineStr">
        <is>
          <t>02339</t>
        </is>
      </c>
      <c r="B395" s="44" t="n">
        <v>46101</v>
      </c>
      <c r="C395" s="36" t="inlineStr">
        <is>
          <t>Central Europe</t>
        </is>
      </c>
      <c r="D395" s="36" t="inlineStr">
        <is>
          <t>Germany</t>
        </is>
      </c>
      <c r="E395" s="36" t="inlineStr">
        <is>
          <t>Marketplace</t>
        </is>
      </c>
      <c r="F395" s="36" t="inlineStr">
        <is>
          <t>New</t>
        </is>
      </c>
      <c r="G395" s="36" t="inlineStr">
        <is>
          <t>Cycling</t>
        </is>
      </c>
      <c r="H395" s="36" t="inlineStr">
        <is>
          <t>Trail Bike Light</t>
        </is>
      </c>
      <c r="I395" s="36" t="n">
        <v>2</v>
      </c>
      <c r="J395" s="39" t="n">
        <v>51.29</v>
      </c>
      <c r="K395" s="45" t="n">
        <v>0</v>
      </c>
      <c r="L395" s="39" t="n">
        <v>23.15</v>
      </c>
      <c r="M395" s="39">
        <f>I395*J395*(1-K395)</f>
        <v/>
      </c>
      <c r="N395" s="39">
        <f>I395*L395</f>
        <v/>
      </c>
      <c r="O395" s="39">
        <f>M395-N395</f>
        <v/>
      </c>
      <c r="P395" s="38">
        <f>IF(M395=0,0,O395/M395)</f>
        <v/>
      </c>
      <c r="Q395" s="36">
        <f>YEAR(B395)</f>
        <v/>
      </c>
      <c r="R395" s="36">
        <f>"Q"&amp;ROUNDUP(MONTH(B395)/3,0)</f>
        <v/>
      </c>
      <c r="S395" s="36">
        <f>MONTH(B395)</f>
        <v/>
      </c>
      <c r="T395" s="36">
        <f>TEXT(B395,"mmm")</f>
        <v/>
      </c>
      <c r="U395" s="36">
        <f>IF(AND(OR(sel_Region="All",C395=sel_Region),OR(sel_Country="All",D395=sel_Country),OR(sel_Channel="All",E395=sel_Channel),OR(sel_Customer="All",F395=sel_Customer),OR(sel_Category="All",G395=sel_Category),OR(sel_Product="All",H395=sel_Product),AND(S395&gt;=m_From,S395&lt;=m_To)),1,0)</f>
        <v/>
      </c>
      <c r="V395" s="36">
        <f>IF(AND(OR(sel_Region="All",C395=sel_Region),OR(sel_Channel="All",E395=sel_Channel),OR(sel_Customer="All",F395=sel_Customer),OR(sel_Category="All",G395=sel_Category),OR(sel_Product="All",H395=sel_Product),AND(S395&gt;=m_From,S395&lt;=m_To)),1,0)</f>
        <v/>
      </c>
      <c r="W395" s="36">
        <f>IF(AND(OR(sel_Region="All",C395=sel_Region),OR(sel_Country="All",D395=sel_Country),OR(sel_Customer="All",F395=sel_Customer),OR(sel_Category="All",G395=sel_Category),OR(sel_Product="All",H395=sel_Product),AND(S395&gt;=m_From,S395&lt;=m_To)),1,0)</f>
        <v/>
      </c>
      <c r="X395" s="36">
        <f>IF(AND(OR(sel_Region="All",C395=sel_Region),OR(sel_Country="All",D395=sel_Country),OR(sel_Channel="All",E395=sel_Channel),OR(sel_Category="All",G395=sel_Category),OR(sel_Product="All",H395=sel_Product),AND(S395&gt;=m_From,S395&lt;=m_To)),1,0)</f>
        <v/>
      </c>
      <c r="Y395" s="36">
        <f>IF(AND(OR(sel_Region="All",C395=sel_Region),OR(sel_Country="All",D395=sel_Country),OR(sel_Channel="All",E395=sel_Channel),OR(sel_Customer="All",F395=sel_Customer),OR(sel_Product="All",H395=sel_Product),AND(S395&gt;=m_From,S395&lt;=m_To)),1,0)</f>
        <v/>
      </c>
      <c r="Z395" s="36">
        <f>IF(AND(OR(sel_Region="All",C395=sel_Region),OR(sel_Country="All",D395=sel_Country),OR(sel_Channel="All",E395=sel_Channel),OR(sel_Customer="All",F395=sel_Customer),OR(sel_Category="All",G395=sel_Category),AND(S395&gt;=m_From,S395&lt;=m_To)),1,0)</f>
        <v/>
      </c>
      <c r="AA395" s="36">
        <f>IF(AND(OR(sel_Region="All",C395=sel_Region),OR(sel_Country="All",D395=sel_Country),OR(sel_Channel="All",E395=sel_Channel),OR(sel_Customer="All",F395=sel_Customer),OR(sel_Category="All",G395=sel_Category),OR(sel_Product="All",H395=sel_Product)),1,0)</f>
        <v/>
      </c>
    </row>
    <row r="396">
      <c r="A396" s="36" t="inlineStr">
        <is>
          <t>03611</t>
        </is>
      </c>
      <c r="B396" s="44" t="n">
        <v>46101</v>
      </c>
      <c r="C396" s="36" t="inlineStr">
        <is>
          <t>Central Europe</t>
        </is>
      </c>
      <c r="D396" s="36" t="inlineStr">
        <is>
          <t>Czechia</t>
        </is>
      </c>
      <c r="E396" s="36" t="inlineStr">
        <is>
          <t>Corporate</t>
        </is>
      </c>
      <c r="F396" s="36" t="inlineStr">
        <is>
          <t>Business</t>
        </is>
      </c>
      <c r="G396" s="36" t="inlineStr">
        <is>
          <t>Cycling</t>
        </is>
      </c>
      <c r="H396" s="36" t="inlineStr">
        <is>
          <t>Compact Repair Kit</t>
        </is>
      </c>
      <c r="I396" s="36" t="n">
        <v>6</v>
      </c>
      <c r="J396" s="39" t="n">
        <v>40.89</v>
      </c>
      <c r="K396" s="45" t="n">
        <v>0.1</v>
      </c>
      <c r="L396" s="39" t="n">
        <v>16.84</v>
      </c>
      <c r="M396" s="39">
        <f>I396*J396*(1-K396)</f>
        <v/>
      </c>
      <c r="N396" s="39">
        <f>I396*L396</f>
        <v/>
      </c>
      <c r="O396" s="39">
        <f>M396-N396</f>
        <v/>
      </c>
      <c r="P396" s="38">
        <f>IF(M396=0,0,O396/M396)</f>
        <v/>
      </c>
      <c r="Q396" s="36">
        <f>YEAR(B396)</f>
        <v/>
      </c>
      <c r="R396" s="36">
        <f>"Q"&amp;ROUNDUP(MONTH(B396)/3,0)</f>
        <v/>
      </c>
      <c r="S396" s="36">
        <f>MONTH(B396)</f>
        <v/>
      </c>
      <c r="T396" s="36">
        <f>TEXT(B396,"mmm")</f>
        <v/>
      </c>
      <c r="U396" s="36">
        <f>IF(AND(OR(sel_Region="All",C396=sel_Region),OR(sel_Country="All",D396=sel_Country),OR(sel_Channel="All",E396=sel_Channel),OR(sel_Customer="All",F396=sel_Customer),OR(sel_Category="All",G396=sel_Category),OR(sel_Product="All",H396=sel_Product),AND(S396&gt;=m_From,S396&lt;=m_To)),1,0)</f>
        <v/>
      </c>
      <c r="V396" s="36">
        <f>IF(AND(OR(sel_Region="All",C396=sel_Region),OR(sel_Channel="All",E396=sel_Channel),OR(sel_Customer="All",F396=sel_Customer),OR(sel_Category="All",G396=sel_Category),OR(sel_Product="All",H396=sel_Product),AND(S396&gt;=m_From,S396&lt;=m_To)),1,0)</f>
        <v/>
      </c>
      <c r="W396" s="36">
        <f>IF(AND(OR(sel_Region="All",C396=sel_Region),OR(sel_Country="All",D396=sel_Country),OR(sel_Customer="All",F396=sel_Customer),OR(sel_Category="All",G396=sel_Category),OR(sel_Product="All",H396=sel_Product),AND(S396&gt;=m_From,S396&lt;=m_To)),1,0)</f>
        <v/>
      </c>
      <c r="X396" s="36">
        <f>IF(AND(OR(sel_Region="All",C396=sel_Region),OR(sel_Country="All",D396=sel_Country),OR(sel_Channel="All",E396=sel_Channel),OR(sel_Category="All",G396=sel_Category),OR(sel_Product="All",H396=sel_Product),AND(S396&gt;=m_From,S396&lt;=m_To)),1,0)</f>
        <v/>
      </c>
      <c r="Y396" s="36">
        <f>IF(AND(OR(sel_Region="All",C396=sel_Region),OR(sel_Country="All",D396=sel_Country),OR(sel_Channel="All",E396=sel_Channel),OR(sel_Customer="All",F396=sel_Customer),OR(sel_Product="All",H396=sel_Product),AND(S396&gt;=m_From,S396&lt;=m_To)),1,0)</f>
        <v/>
      </c>
      <c r="Z396" s="36">
        <f>IF(AND(OR(sel_Region="All",C396=sel_Region),OR(sel_Country="All",D396=sel_Country),OR(sel_Channel="All",E396=sel_Channel),OR(sel_Customer="All",F396=sel_Customer),OR(sel_Category="All",G396=sel_Category),AND(S396&gt;=m_From,S396&lt;=m_To)),1,0)</f>
        <v/>
      </c>
      <c r="AA396" s="36">
        <f>IF(AND(OR(sel_Region="All",C396=sel_Region),OR(sel_Country="All",D396=sel_Country),OR(sel_Channel="All",E396=sel_Channel),OR(sel_Customer="All",F396=sel_Customer),OR(sel_Category="All",G396=sel_Category),OR(sel_Product="All",H396=sel_Product)),1,0)</f>
        <v/>
      </c>
    </row>
    <row r="397">
      <c r="A397" s="36" t="inlineStr">
        <is>
          <t>03953</t>
        </is>
      </c>
      <c r="B397" s="44" t="n">
        <v>46101</v>
      </c>
      <c r="C397" s="36" t="inlineStr">
        <is>
          <t>Central Europe</t>
        </is>
      </c>
      <c r="D397" s="36" t="inlineStr">
        <is>
          <t>Poland</t>
        </is>
      </c>
      <c r="E397" s="36" t="inlineStr">
        <is>
          <t>Online Store</t>
        </is>
      </c>
      <c r="F397" s="36" t="inlineStr">
        <is>
          <t>New</t>
        </is>
      </c>
      <c r="G397" s="36" t="inlineStr">
        <is>
          <t>Fitness</t>
        </is>
      </c>
      <c r="H397" s="36" t="inlineStr">
        <is>
          <t>Weighted Vest</t>
        </is>
      </c>
      <c r="I397" s="36" t="n">
        <v>1</v>
      </c>
      <c r="J397" s="39" t="n">
        <v>120.63</v>
      </c>
      <c r="K397" s="45" t="n">
        <v>0</v>
      </c>
      <c r="L397" s="39" t="n">
        <v>70.28</v>
      </c>
      <c r="M397" s="39">
        <f>I397*J397*(1-K397)</f>
        <v/>
      </c>
      <c r="N397" s="39">
        <f>I397*L397</f>
        <v/>
      </c>
      <c r="O397" s="39">
        <f>M397-N397</f>
        <v/>
      </c>
      <c r="P397" s="38">
        <f>IF(M397=0,0,O397/M397)</f>
        <v/>
      </c>
      <c r="Q397" s="36">
        <f>YEAR(B397)</f>
        <v/>
      </c>
      <c r="R397" s="36">
        <f>"Q"&amp;ROUNDUP(MONTH(B397)/3,0)</f>
        <v/>
      </c>
      <c r="S397" s="36">
        <f>MONTH(B397)</f>
        <v/>
      </c>
      <c r="T397" s="36">
        <f>TEXT(B397,"mmm")</f>
        <v/>
      </c>
      <c r="U397" s="36">
        <f>IF(AND(OR(sel_Region="All",C397=sel_Region),OR(sel_Country="All",D397=sel_Country),OR(sel_Channel="All",E397=sel_Channel),OR(sel_Customer="All",F397=sel_Customer),OR(sel_Category="All",G397=sel_Category),OR(sel_Product="All",H397=sel_Product),AND(S397&gt;=m_From,S397&lt;=m_To)),1,0)</f>
        <v/>
      </c>
      <c r="V397" s="36">
        <f>IF(AND(OR(sel_Region="All",C397=sel_Region),OR(sel_Channel="All",E397=sel_Channel),OR(sel_Customer="All",F397=sel_Customer),OR(sel_Category="All",G397=sel_Category),OR(sel_Product="All",H397=sel_Product),AND(S397&gt;=m_From,S397&lt;=m_To)),1,0)</f>
        <v/>
      </c>
      <c r="W397" s="36">
        <f>IF(AND(OR(sel_Region="All",C397=sel_Region),OR(sel_Country="All",D397=sel_Country),OR(sel_Customer="All",F397=sel_Customer),OR(sel_Category="All",G397=sel_Category),OR(sel_Product="All",H397=sel_Product),AND(S397&gt;=m_From,S397&lt;=m_To)),1,0)</f>
        <v/>
      </c>
      <c r="X397" s="36">
        <f>IF(AND(OR(sel_Region="All",C397=sel_Region),OR(sel_Country="All",D397=sel_Country),OR(sel_Channel="All",E397=sel_Channel),OR(sel_Category="All",G397=sel_Category),OR(sel_Product="All",H397=sel_Product),AND(S397&gt;=m_From,S397&lt;=m_To)),1,0)</f>
        <v/>
      </c>
      <c r="Y397" s="36">
        <f>IF(AND(OR(sel_Region="All",C397=sel_Region),OR(sel_Country="All",D397=sel_Country),OR(sel_Channel="All",E397=sel_Channel),OR(sel_Customer="All",F397=sel_Customer),OR(sel_Product="All",H397=sel_Product),AND(S397&gt;=m_From,S397&lt;=m_To)),1,0)</f>
        <v/>
      </c>
      <c r="Z397" s="36">
        <f>IF(AND(OR(sel_Region="All",C397=sel_Region),OR(sel_Country="All",D397=sel_Country),OR(sel_Channel="All",E397=sel_Channel),OR(sel_Customer="All",F397=sel_Customer),OR(sel_Category="All",G397=sel_Category),AND(S397&gt;=m_From,S397&lt;=m_To)),1,0)</f>
        <v/>
      </c>
      <c r="AA397" s="36">
        <f>IF(AND(OR(sel_Region="All",C397=sel_Region),OR(sel_Country="All",D397=sel_Country),OR(sel_Channel="All",E397=sel_Channel),OR(sel_Customer="All",F397=sel_Customer),OR(sel_Category="All",G397=sel_Category),OR(sel_Product="All",H397=sel_Product)),1,0)</f>
        <v/>
      </c>
    </row>
    <row r="398">
      <c r="A398" s="36" t="inlineStr">
        <is>
          <t>04253</t>
        </is>
      </c>
      <c r="B398" s="44" t="n">
        <v>46101</v>
      </c>
      <c r="C398" s="36" t="inlineStr">
        <is>
          <t>Western Europe</t>
        </is>
      </c>
      <c r="D398" s="36" t="inlineStr">
        <is>
          <t>France</t>
        </is>
      </c>
      <c r="E398" s="36" t="inlineStr">
        <is>
          <t>Corporate</t>
        </is>
      </c>
      <c r="F398" s="36" t="inlineStr">
        <is>
          <t>New</t>
        </is>
      </c>
      <c r="G398" s="36" t="inlineStr">
        <is>
          <t>Cycling</t>
        </is>
      </c>
      <c r="H398" s="36" t="inlineStr">
        <is>
          <t>Commuter Helmet</t>
        </is>
      </c>
      <c r="I398" s="36" t="n">
        <v>5</v>
      </c>
      <c r="J398" s="39" t="n">
        <v>82.64</v>
      </c>
      <c r="K398" s="45" t="n">
        <v>0.1</v>
      </c>
      <c r="L398" s="39" t="n">
        <v>43.52</v>
      </c>
      <c r="M398" s="39">
        <f>I398*J398*(1-K398)</f>
        <v/>
      </c>
      <c r="N398" s="39">
        <f>I398*L398</f>
        <v/>
      </c>
      <c r="O398" s="39">
        <f>M398-N398</f>
        <v/>
      </c>
      <c r="P398" s="38">
        <f>IF(M398=0,0,O398/M398)</f>
        <v/>
      </c>
      <c r="Q398" s="36">
        <f>YEAR(B398)</f>
        <v/>
      </c>
      <c r="R398" s="36">
        <f>"Q"&amp;ROUNDUP(MONTH(B398)/3,0)</f>
        <v/>
      </c>
      <c r="S398" s="36">
        <f>MONTH(B398)</f>
        <v/>
      </c>
      <c r="T398" s="36">
        <f>TEXT(B398,"mmm")</f>
        <v/>
      </c>
      <c r="U398" s="36">
        <f>IF(AND(OR(sel_Region="All",C398=sel_Region),OR(sel_Country="All",D398=sel_Country),OR(sel_Channel="All",E398=sel_Channel),OR(sel_Customer="All",F398=sel_Customer),OR(sel_Category="All",G398=sel_Category),OR(sel_Product="All",H398=sel_Product),AND(S398&gt;=m_From,S398&lt;=m_To)),1,0)</f>
        <v/>
      </c>
      <c r="V398" s="36">
        <f>IF(AND(OR(sel_Region="All",C398=sel_Region),OR(sel_Channel="All",E398=sel_Channel),OR(sel_Customer="All",F398=sel_Customer),OR(sel_Category="All",G398=sel_Category),OR(sel_Product="All",H398=sel_Product),AND(S398&gt;=m_From,S398&lt;=m_To)),1,0)</f>
        <v/>
      </c>
      <c r="W398" s="36">
        <f>IF(AND(OR(sel_Region="All",C398=sel_Region),OR(sel_Country="All",D398=sel_Country),OR(sel_Customer="All",F398=sel_Customer),OR(sel_Category="All",G398=sel_Category),OR(sel_Product="All",H398=sel_Product),AND(S398&gt;=m_From,S398&lt;=m_To)),1,0)</f>
        <v/>
      </c>
      <c r="X398" s="36">
        <f>IF(AND(OR(sel_Region="All",C398=sel_Region),OR(sel_Country="All",D398=sel_Country),OR(sel_Channel="All",E398=sel_Channel),OR(sel_Category="All",G398=sel_Category),OR(sel_Product="All",H398=sel_Product),AND(S398&gt;=m_From,S398&lt;=m_To)),1,0)</f>
        <v/>
      </c>
      <c r="Y398" s="36">
        <f>IF(AND(OR(sel_Region="All",C398=sel_Region),OR(sel_Country="All",D398=sel_Country),OR(sel_Channel="All",E398=sel_Channel),OR(sel_Customer="All",F398=sel_Customer),OR(sel_Product="All",H398=sel_Product),AND(S398&gt;=m_From,S398&lt;=m_To)),1,0)</f>
        <v/>
      </c>
      <c r="Z398" s="36">
        <f>IF(AND(OR(sel_Region="All",C398=sel_Region),OR(sel_Country="All",D398=sel_Country),OR(sel_Channel="All",E398=sel_Channel),OR(sel_Customer="All",F398=sel_Customer),OR(sel_Category="All",G398=sel_Category),AND(S398&gt;=m_From,S398&lt;=m_To)),1,0)</f>
        <v/>
      </c>
      <c r="AA398" s="36">
        <f>IF(AND(OR(sel_Region="All",C398=sel_Region),OR(sel_Country="All",D398=sel_Country),OR(sel_Channel="All",E398=sel_Channel),OR(sel_Customer="All",F398=sel_Customer),OR(sel_Category="All",G398=sel_Category),OR(sel_Product="All",H398=sel_Product)),1,0)</f>
        <v/>
      </c>
    </row>
    <row r="399">
      <c r="A399" s="36" t="inlineStr">
        <is>
          <t>04952</t>
        </is>
      </c>
      <c r="B399" s="44" t="n">
        <v>46101</v>
      </c>
      <c r="C399" s="36" t="inlineStr">
        <is>
          <t>Central Europe</t>
        </is>
      </c>
      <c r="D399" s="36" t="inlineStr">
        <is>
          <t>Austria</t>
        </is>
      </c>
      <c r="E399" s="36" t="inlineStr">
        <is>
          <t>Online Store</t>
        </is>
      </c>
      <c r="F399" s="36" t="inlineStr">
        <is>
          <t>Business</t>
        </is>
      </c>
      <c r="G399" s="36" t="inlineStr">
        <is>
          <t>Hiking</t>
        </is>
      </c>
      <c r="H399" s="36" t="inlineStr">
        <is>
          <t>Trekking Poles</t>
        </is>
      </c>
      <c r="I399" s="36" t="n">
        <v>2</v>
      </c>
      <c r="J399" s="39" t="n">
        <v>72.45999999999999</v>
      </c>
      <c r="K399" s="45" t="n">
        <v>0</v>
      </c>
      <c r="L399" s="39" t="n">
        <v>33.31</v>
      </c>
      <c r="M399" s="39">
        <f>I399*J399*(1-K399)</f>
        <v/>
      </c>
      <c r="N399" s="39">
        <f>I399*L399</f>
        <v/>
      </c>
      <c r="O399" s="39">
        <f>M399-N399</f>
        <v/>
      </c>
      <c r="P399" s="38">
        <f>IF(M399=0,0,O399/M399)</f>
        <v/>
      </c>
      <c r="Q399" s="36">
        <f>YEAR(B399)</f>
        <v/>
      </c>
      <c r="R399" s="36">
        <f>"Q"&amp;ROUNDUP(MONTH(B399)/3,0)</f>
        <v/>
      </c>
      <c r="S399" s="36">
        <f>MONTH(B399)</f>
        <v/>
      </c>
      <c r="T399" s="36">
        <f>TEXT(B399,"mmm")</f>
        <v/>
      </c>
      <c r="U399" s="36">
        <f>IF(AND(OR(sel_Region="All",C399=sel_Region),OR(sel_Country="All",D399=sel_Country),OR(sel_Channel="All",E399=sel_Channel),OR(sel_Customer="All",F399=sel_Customer),OR(sel_Category="All",G399=sel_Category),OR(sel_Product="All",H399=sel_Product),AND(S399&gt;=m_From,S399&lt;=m_To)),1,0)</f>
        <v/>
      </c>
      <c r="V399" s="36">
        <f>IF(AND(OR(sel_Region="All",C399=sel_Region),OR(sel_Channel="All",E399=sel_Channel),OR(sel_Customer="All",F399=sel_Customer),OR(sel_Category="All",G399=sel_Category),OR(sel_Product="All",H399=sel_Product),AND(S399&gt;=m_From,S399&lt;=m_To)),1,0)</f>
        <v/>
      </c>
      <c r="W399" s="36">
        <f>IF(AND(OR(sel_Region="All",C399=sel_Region),OR(sel_Country="All",D399=sel_Country),OR(sel_Customer="All",F399=sel_Customer),OR(sel_Category="All",G399=sel_Category),OR(sel_Product="All",H399=sel_Product),AND(S399&gt;=m_From,S399&lt;=m_To)),1,0)</f>
        <v/>
      </c>
      <c r="X399" s="36">
        <f>IF(AND(OR(sel_Region="All",C399=sel_Region),OR(sel_Country="All",D399=sel_Country),OR(sel_Channel="All",E399=sel_Channel),OR(sel_Category="All",G399=sel_Category),OR(sel_Product="All",H399=sel_Product),AND(S399&gt;=m_From,S399&lt;=m_To)),1,0)</f>
        <v/>
      </c>
      <c r="Y399" s="36">
        <f>IF(AND(OR(sel_Region="All",C399=sel_Region),OR(sel_Country="All",D399=sel_Country),OR(sel_Channel="All",E399=sel_Channel),OR(sel_Customer="All",F399=sel_Customer),OR(sel_Product="All",H399=sel_Product),AND(S399&gt;=m_From,S399&lt;=m_To)),1,0)</f>
        <v/>
      </c>
      <c r="Z399" s="36">
        <f>IF(AND(OR(sel_Region="All",C399=sel_Region),OR(sel_Country="All",D399=sel_Country),OR(sel_Channel="All",E399=sel_Channel),OR(sel_Customer="All",F399=sel_Customer),OR(sel_Category="All",G399=sel_Category),AND(S399&gt;=m_From,S399&lt;=m_To)),1,0)</f>
        <v/>
      </c>
      <c r="AA399" s="36">
        <f>IF(AND(OR(sel_Region="All",C399=sel_Region),OR(sel_Country="All",D399=sel_Country),OR(sel_Channel="All",E399=sel_Channel),OR(sel_Customer="All",F399=sel_Customer),OR(sel_Category="All",G399=sel_Category),OR(sel_Product="All",H399=sel_Product)),1,0)</f>
        <v/>
      </c>
    </row>
    <row r="400">
      <c r="A400" s="36" t="inlineStr">
        <is>
          <t>05016</t>
        </is>
      </c>
      <c r="B400" s="44" t="n">
        <v>46101</v>
      </c>
      <c r="C400" s="36" t="inlineStr">
        <is>
          <t>Central Europe</t>
        </is>
      </c>
      <c r="D400" s="36" t="inlineStr">
        <is>
          <t>Germany</t>
        </is>
      </c>
      <c r="E400" s="36" t="inlineStr">
        <is>
          <t>Marketplace</t>
        </is>
      </c>
      <c r="F400" s="36" t="inlineStr">
        <is>
          <t>New</t>
        </is>
      </c>
      <c r="G400" s="36" t="inlineStr">
        <is>
          <t>Fitness</t>
        </is>
      </c>
      <c r="H400" s="36" t="inlineStr">
        <is>
          <t>Resistance Band Set</t>
        </is>
      </c>
      <c r="I400" s="36" t="n">
        <v>2</v>
      </c>
      <c r="J400" s="39" t="n">
        <v>40.66</v>
      </c>
      <c r="K400" s="45" t="n">
        <v>0.1</v>
      </c>
      <c r="L400" s="39" t="n">
        <v>14.63</v>
      </c>
      <c r="M400" s="39">
        <f>I400*J400*(1-K400)</f>
        <v/>
      </c>
      <c r="N400" s="39">
        <f>I400*L400</f>
        <v/>
      </c>
      <c r="O400" s="39">
        <f>M400-N400</f>
        <v/>
      </c>
      <c r="P400" s="38">
        <f>IF(M400=0,0,O400/M400)</f>
        <v/>
      </c>
      <c r="Q400" s="36">
        <f>YEAR(B400)</f>
        <v/>
      </c>
      <c r="R400" s="36">
        <f>"Q"&amp;ROUNDUP(MONTH(B400)/3,0)</f>
        <v/>
      </c>
      <c r="S400" s="36">
        <f>MONTH(B400)</f>
        <v/>
      </c>
      <c r="T400" s="36">
        <f>TEXT(B400,"mmm")</f>
        <v/>
      </c>
      <c r="U400" s="36">
        <f>IF(AND(OR(sel_Region="All",C400=sel_Region),OR(sel_Country="All",D400=sel_Country),OR(sel_Channel="All",E400=sel_Channel),OR(sel_Customer="All",F400=sel_Customer),OR(sel_Category="All",G400=sel_Category),OR(sel_Product="All",H400=sel_Product),AND(S400&gt;=m_From,S400&lt;=m_To)),1,0)</f>
        <v/>
      </c>
      <c r="V400" s="36">
        <f>IF(AND(OR(sel_Region="All",C400=sel_Region),OR(sel_Channel="All",E400=sel_Channel),OR(sel_Customer="All",F400=sel_Customer),OR(sel_Category="All",G400=sel_Category),OR(sel_Product="All",H400=sel_Product),AND(S400&gt;=m_From,S400&lt;=m_To)),1,0)</f>
        <v/>
      </c>
      <c r="W400" s="36">
        <f>IF(AND(OR(sel_Region="All",C400=sel_Region),OR(sel_Country="All",D400=sel_Country),OR(sel_Customer="All",F400=sel_Customer),OR(sel_Category="All",G400=sel_Category),OR(sel_Product="All",H400=sel_Product),AND(S400&gt;=m_From,S400&lt;=m_To)),1,0)</f>
        <v/>
      </c>
      <c r="X400" s="36">
        <f>IF(AND(OR(sel_Region="All",C400=sel_Region),OR(sel_Country="All",D400=sel_Country),OR(sel_Channel="All",E400=sel_Channel),OR(sel_Category="All",G400=sel_Category),OR(sel_Product="All",H400=sel_Product),AND(S400&gt;=m_From,S400&lt;=m_To)),1,0)</f>
        <v/>
      </c>
      <c r="Y400" s="36">
        <f>IF(AND(OR(sel_Region="All",C400=sel_Region),OR(sel_Country="All",D400=sel_Country),OR(sel_Channel="All",E400=sel_Channel),OR(sel_Customer="All",F400=sel_Customer),OR(sel_Product="All",H400=sel_Product),AND(S400&gt;=m_From,S400&lt;=m_To)),1,0)</f>
        <v/>
      </c>
      <c r="Z400" s="36">
        <f>IF(AND(OR(sel_Region="All",C400=sel_Region),OR(sel_Country="All",D400=sel_Country),OR(sel_Channel="All",E400=sel_Channel),OR(sel_Customer="All",F400=sel_Customer),OR(sel_Category="All",G400=sel_Category),AND(S400&gt;=m_From,S400&lt;=m_To)),1,0)</f>
        <v/>
      </c>
      <c r="AA400" s="36">
        <f>IF(AND(OR(sel_Region="All",C400=sel_Region),OR(sel_Country="All",D400=sel_Country),OR(sel_Channel="All",E400=sel_Channel),OR(sel_Customer="All",F400=sel_Customer),OR(sel_Category="All",G400=sel_Category),OR(sel_Product="All",H400=sel_Product)),1,0)</f>
        <v/>
      </c>
    </row>
    <row r="401">
      <c r="A401" s="36" t="inlineStr">
        <is>
          <t>00839</t>
        </is>
      </c>
      <c r="B401" s="44" t="n">
        <v>46102</v>
      </c>
      <c r="C401" s="36" t="inlineStr">
        <is>
          <t>Central Europe</t>
        </is>
      </c>
      <c r="D401" s="36" t="inlineStr">
        <is>
          <t>Germany</t>
        </is>
      </c>
      <c r="E401" s="36" t="inlineStr">
        <is>
          <t>Marketplace</t>
        </is>
      </c>
      <c r="F401" s="36" t="inlineStr">
        <is>
          <t>New</t>
        </is>
      </c>
      <c r="G401" s="36" t="inlineStr">
        <is>
          <t>Cycling</t>
        </is>
      </c>
      <c r="H401" s="36" t="inlineStr">
        <is>
          <t>Compact Repair Kit</t>
        </is>
      </c>
      <c r="I401" s="36" t="n">
        <v>1</v>
      </c>
      <c r="J401" s="39" t="n">
        <v>40.5</v>
      </c>
      <c r="K401" s="45" t="n">
        <v>0.05</v>
      </c>
      <c r="L401" s="39" t="n">
        <v>17.16</v>
      </c>
      <c r="M401" s="39">
        <f>I401*J401*(1-K401)</f>
        <v/>
      </c>
      <c r="N401" s="39">
        <f>I401*L401</f>
        <v/>
      </c>
      <c r="O401" s="39">
        <f>M401-N401</f>
        <v/>
      </c>
      <c r="P401" s="38">
        <f>IF(M401=0,0,O401/M401)</f>
        <v/>
      </c>
      <c r="Q401" s="36">
        <f>YEAR(B401)</f>
        <v/>
      </c>
      <c r="R401" s="36">
        <f>"Q"&amp;ROUNDUP(MONTH(B401)/3,0)</f>
        <v/>
      </c>
      <c r="S401" s="36">
        <f>MONTH(B401)</f>
        <v/>
      </c>
      <c r="T401" s="36">
        <f>TEXT(B401,"mmm")</f>
        <v/>
      </c>
      <c r="U401" s="36">
        <f>IF(AND(OR(sel_Region="All",C401=sel_Region),OR(sel_Country="All",D401=sel_Country),OR(sel_Channel="All",E401=sel_Channel),OR(sel_Customer="All",F401=sel_Customer),OR(sel_Category="All",G401=sel_Category),OR(sel_Product="All",H401=sel_Product),AND(S401&gt;=m_From,S401&lt;=m_To)),1,0)</f>
        <v/>
      </c>
      <c r="V401" s="36">
        <f>IF(AND(OR(sel_Region="All",C401=sel_Region),OR(sel_Channel="All",E401=sel_Channel),OR(sel_Customer="All",F401=sel_Customer),OR(sel_Category="All",G401=sel_Category),OR(sel_Product="All",H401=sel_Product),AND(S401&gt;=m_From,S401&lt;=m_To)),1,0)</f>
        <v/>
      </c>
      <c r="W401" s="36">
        <f>IF(AND(OR(sel_Region="All",C401=sel_Region),OR(sel_Country="All",D401=sel_Country),OR(sel_Customer="All",F401=sel_Customer),OR(sel_Category="All",G401=sel_Category),OR(sel_Product="All",H401=sel_Product),AND(S401&gt;=m_From,S401&lt;=m_To)),1,0)</f>
        <v/>
      </c>
      <c r="X401" s="36">
        <f>IF(AND(OR(sel_Region="All",C401=sel_Region),OR(sel_Country="All",D401=sel_Country),OR(sel_Channel="All",E401=sel_Channel),OR(sel_Category="All",G401=sel_Category),OR(sel_Product="All",H401=sel_Product),AND(S401&gt;=m_From,S401&lt;=m_To)),1,0)</f>
        <v/>
      </c>
      <c r="Y401" s="36">
        <f>IF(AND(OR(sel_Region="All",C401=sel_Region),OR(sel_Country="All",D401=sel_Country),OR(sel_Channel="All",E401=sel_Channel),OR(sel_Customer="All",F401=sel_Customer),OR(sel_Product="All",H401=sel_Product),AND(S401&gt;=m_From,S401&lt;=m_To)),1,0)</f>
        <v/>
      </c>
      <c r="Z401" s="36">
        <f>IF(AND(OR(sel_Region="All",C401=sel_Region),OR(sel_Country="All",D401=sel_Country),OR(sel_Channel="All",E401=sel_Channel),OR(sel_Customer="All",F401=sel_Customer),OR(sel_Category="All",G401=sel_Category),AND(S401&gt;=m_From,S401&lt;=m_To)),1,0)</f>
        <v/>
      </c>
      <c r="AA401" s="36">
        <f>IF(AND(OR(sel_Region="All",C401=sel_Region),OR(sel_Country="All",D401=sel_Country),OR(sel_Channel="All",E401=sel_Channel),OR(sel_Customer="All",F401=sel_Customer),OR(sel_Category="All",G401=sel_Category),OR(sel_Product="All",H401=sel_Product)),1,0)</f>
        <v/>
      </c>
    </row>
    <row r="402">
      <c r="A402" s="36" t="inlineStr">
        <is>
          <t>01382</t>
        </is>
      </c>
      <c r="B402" s="44" t="n">
        <v>46102</v>
      </c>
      <c r="C402" s="36" t="inlineStr">
        <is>
          <t>Northern Europe</t>
        </is>
      </c>
      <c r="D402" s="36" t="inlineStr">
        <is>
          <t>Sweden</t>
        </is>
      </c>
      <c r="E402" s="36" t="inlineStr">
        <is>
          <t>Online Store</t>
        </is>
      </c>
      <c r="F402" s="36" t="inlineStr">
        <is>
          <t>Business</t>
        </is>
      </c>
      <c r="G402" s="36" t="inlineStr">
        <is>
          <t>Hiking</t>
        </is>
      </c>
      <c r="H402" s="36" t="inlineStr">
        <is>
          <t>Trekking Poles</t>
        </is>
      </c>
      <c r="I402" s="36" t="n">
        <v>1</v>
      </c>
      <c r="J402" s="39" t="n">
        <v>72.16</v>
      </c>
      <c r="K402" s="45" t="n">
        <v>0</v>
      </c>
      <c r="L402" s="39" t="n">
        <v>33.11</v>
      </c>
      <c r="M402" s="39">
        <f>I402*J402*(1-K402)</f>
        <v/>
      </c>
      <c r="N402" s="39">
        <f>I402*L402</f>
        <v/>
      </c>
      <c r="O402" s="39">
        <f>M402-N402</f>
        <v/>
      </c>
      <c r="P402" s="38">
        <f>IF(M402=0,0,O402/M402)</f>
        <v/>
      </c>
      <c r="Q402" s="36">
        <f>YEAR(B402)</f>
        <v/>
      </c>
      <c r="R402" s="36">
        <f>"Q"&amp;ROUNDUP(MONTH(B402)/3,0)</f>
        <v/>
      </c>
      <c r="S402" s="36">
        <f>MONTH(B402)</f>
        <v/>
      </c>
      <c r="T402" s="36">
        <f>TEXT(B402,"mmm")</f>
        <v/>
      </c>
      <c r="U402" s="36">
        <f>IF(AND(OR(sel_Region="All",C402=sel_Region),OR(sel_Country="All",D402=sel_Country),OR(sel_Channel="All",E402=sel_Channel),OR(sel_Customer="All",F402=sel_Customer),OR(sel_Category="All",G402=sel_Category),OR(sel_Product="All",H402=sel_Product),AND(S402&gt;=m_From,S402&lt;=m_To)),1,0)</f>
        <v/>
      </c>
      <c r="V402" s="36">
        <f>IF(AND(OR(sel_Region="All",C402=sel_Region),OR(sel_Channel="All",E402=sel_Channel),OR(sel_Customer="All",F402=sel_Customer),OR(sel_Category="All",G402=sel_Category),OR(sel_Product="All",H402=sel_Product),AND(S402&gt;=m_From,S402&lt;=m_To)),1,0)</f>
        <v/>
      </c>
      <c r="W402" s="36">
        <f>IF(AND(OR(sel_Region="All",C402=sel_Region),OR(sel_Country="All",D402=sel_Country),OR(sel_Customer="All",F402=sel_Customer),OR(sel_Category="All",G402=sel_Category),OR(sel_Product="All",H402=sel_Product),AND(S402&gt;=m_From,S402&lt;=m_To)),1,0)</f>
        <v/>
      </c>
      <c r="X402" s="36">
        <f>IF(AND(OR(sel_Region="All",C402=sel_Region),OR(sel_Country="All",D402=sel_Country),OR(sel_Channel="All",E402=sel_Channel),OR(sel_Category="All",G402=sel_Category),OR(sel_Product="All",H402=sel_Product),AND(S402&gt;=m_From,S402&lt;=m_To)),1,0)</f>
        <v/>
      </c>
      <c r="Y402" s="36">
        <f>IF(AND(OR(sel_Region="All",C402=sel_Region),OR(sel_Country="All",D402=sel_Country),OR(sel_Channel="All",E402=sel_Channel),OR(sel_Customer="All",F402=sel_Customer),OR(sel_Product="All",H402=sel_Product),AND(S402&gt;=m_From,S402&lt;=m_To)),1,0)</f>
        <v/>
      </c>
      <c r="Z402" s="36">
        <f>IF(AND(OR(sel_Region="All",C402=sel_Region),OR(sel_Country="All",D402=sel_Country),OR(sel_Channel="All",E402=sel_Channel),OR(sel_Customer="All",F402=sel_Customer),OR(sel_Category="All",G402=sel_Category),AND(S402&gt;=m_From,S402&lt;=m_To)),1,0)</f>
        <v/>
      </c>
      <c r="AA402" s="36">
        <f>IF(AND(OR(sel_Region="All",C402=sel_Region),OR(sel_Country="All",D402=sel_Country),OR(sel_Channel="All",E402=sel_Channel),OR(sel_Customer="All",F402=sel_Customer),OR(sel_Category="All",G402=sel_Category),OR(sel_Product="All",H402=sel_Product)),1,0)</f>
        <v/>
      </c>
    </row>
    <row r="403">
      <c r="A403" s="36" t="inlineStr">
        <is>
          <t>01452</t>
        </is>
      </c>
      <c r="B403" s="44" t="n">
        <v>46102</v>
      </c>
      <c r="C403" s="36" t="inlineStr">
        <is>
          <t>Northern Europe</t>
        </is>
      </c>
      <c r="D403" s="36" t="inlineStr">
        <is>
          <t>Denmark</t>
        </is>
      </c>
      <c r="E403" s="36" t="inlineStr">
        <is>
          <t>Marketplace</t>
        </is>
      </c>
      <c r="F403" s="36" t="inlineStr">
        <is>
          <t>Business</t>
        </is>
      </c>
      <c r="G403" s="36" t="inlineStr">
        <is>
          <t>Travel</t>
        </is>
      </c>
      <c r="H403" s="36" t="inlineStr">
        <is>
          <t>Travel Backpack 35L</t>
        </is>
      </c>
      <c r="I403" s="36" t="n">
        <v>1</v>
      </c>
      <c r="J403" s="39" t="n">
        <v>161.93</v>
      </c>
      <c r="K403" s="45" t="n">
        <v>0.15</v>
      </c>
      <c r="L403" s="39" t="n">
        <v>87.5</v>
      </c>
      <c r="M403" s="39">
        <f>I403*J403*(1-K403)</f>
        <v/>
      </c>
      <c r="N403" s="39">
        <f>I403*L403</f>
        <v/>
      </c>
      <c r="O403" s="39">
        <f>M403-N403</f>
        <v/>
      </c>
      <c r="P403" s="38">
        <f>IF(M403=0,0,O403/M403)</f>
        <v/>
      </c>
      <c r="Q403" s="36">
        <f>YEAR(B403)</f>
        <v/>
      </c>
      <c r="R403" s="36">
        <f>"Q"&amp;ROUNDUP(MONTH(B403)/3,0)</f>
        <v/>
      </c>
      <c r="S403" s="36">
        <f>MONTH(B403)</f>
        <v/>
      </c>
      <c r="T403" s="36">
        <f>TEXT(B403,"mmm")</f>
        <v/>
      </c>
      <c r="U403" s="36">
        <f>IF(AND(OR(sel_Region="All",C403=sel_Region),OR(sel_Country="All",D403=sel_Country),OR(sel_Channel="All",E403=sel_Channel),OR(sel_Customer="All",F403=sel_Customer),OR(sel_Category="All",G403=sel_Category),OR(sel_Product="All",H403=sel_Product),AND(S403&gt;=m_From,S403&lt;=m_To)),1,0)</f>
        <v/>
      </c>
      <c r="V403" s="36">
        <f>IF(AND(OR(sel_Region="All",C403=sel_Region),OR(sel_Channel="All",E403=sel_Channel),OR(sel_Customer="All",F403=sel_Customer),OR(sel_Category="All",G403=sel_Category),OR(sel_Product="All",H403=sel_Product),AND(S403&gt;=m_From,S403&lt;=m_To)),1,0)</f>
        <v/>
      </c>
      <c r="W403" s="36">
        <f>IF(AND(OR(sel_Region="All",C403=sel_Region),OR(sel_Country="All",D403=sel_Country),OR(sel_Customer="All",F403=sel_Customer),OR(sel_Category="All",G403=sel_Category),OR(sel_Product="All",H403=sel_Product),AND(S403&gt;=m_From,S403&lt;=m_To)),1,0)</f>
        <v/>
      </c>
      <c r="X403" s="36">
        <f>IF(AND(OR(sel_Region="All",C403=sel_Region),OR(sel_Country="All",D403=sel_Country),OR(sel_Channel="All",E403=sel_Channel),OR(sel_Category="All",G403=sel_Category),OR(sel_Product="All",H403=sel_Product),AND(S403&gt;=m_From,S403&lt;=m_To)),1,0)</f>
        <v/>
      </c>
      <c r="Y403" s="36">
        <f>IF(AND(OR(sel_Region="All",C403=sel_Region),OR(sel_Country="All",D403=sel_Country),OR(sel_Channel="All",E403=sel_Channel),OR(sel_Customer="All",F403=sel_Customer),OR(sel_Product="All",H403=sel_Product),AND(S403&gt;=m_From,S403&lt;=m_To)),1,0)</f>
        <v/>
      </c>
      <c r="Z403" s="36">
        <f>IF(AND(OR(sel_Region="All",C403=sel_Region),OR(sel_Country="All",D403=sel_Country),OR(sel_Channel="All",E403=sel_Channel),OR(sel_Customer="All",F403=sel_Customer),OR(sel_Category="All",G403=sel_Category),AND(S403&gt;=m_From,S403&lt;=m_To)),1,0)</f>
        <v/>
      </c>
      <c r="AA403" s="36">
        <f>IF(AND(OR(sel_Region="All",C403=sel_Region),OR(sel_Country="All",D403=sel_Country),OR(sel_Channel="All",E403=sel_Channel),OR(sel_Customer="All",F403=sel_Customer),OR(sel_Category="All",G403=sel_Category),OR(sel_Product="All",H403=sel_Product)),1,0)</f>
        <v/>
      </c>
    </row>
    <row r="404">
      <c r="A404" s="36" t="inlineStr">
        <is>
          <t>01845</t>
        </is>
      </c>
      <c r="B404" s="44" t="n">
        <v>46102</v>
      </c>
      <c r="C404" s="36" t="inlineStr">
        <is>
          <t>Southern Europe</t>
        </is>
      </c>
      <c r="D404" s="36" t="inlineStr">
        <is>
          <t>Portugal</t>
        </is>
      </c>
      <c r="E404" s="36" t="inlineStr">
        <is>
          <t>Online Store</t>
        </is>
      </c>
      <c r="F404" s="36" t="inlineStr">
        <is>
          <t>Returning</t>
        </is>
      </c>
      <c r="G404" s="36" t="inlineStr">
        <is>
          <t>Camping</t>
        </is>
      </c>
      <c r="H404" s="36" t="inlineStr">
        <is>
          <t>Alpine Tent 4P</t>
        </is>
      </c>
      <c r="I404" s="36" t="n">
        <v>3</v>
      </c>
      <c r="J404" s="39" t="n">
        <v>348.54</v>
      </c>
      <c r="K404" s="45" t="n">
        <v>0.1</v>
      </c>
      <c r="L404" s="39" t="n">
        <v>200.3</v>
      </c>
      <c r="M404" s="39">
        <f>I404*J404*(1-K404)</f>
        <v/>
      </c>
      <c r="N404" s="39">
        <f>I404*L404</f>
        <v/>
      </c>
      <c r="O404" s="39">
        <f>M404-N404</f>
        <v/>
      </c>
      <c r="P404" s="38">
        <f>IF(M404=0,0,O404/M404)</f>
        <v/>
      </c>
      <c r="Q404" s="36">
        <f>YEAR(B404)</f>
        <v/>
      </c>
      <c r="R404" s="36">
        <f>"Q"&amp;ROUNDUP(MONTH(B404)/3,0)</f>
        <v/>
      </c>
      <c r="S404" s="36">
        <f>MONTH(B404)</f>
        <v/>
      </c>
      <c r="T404" s="36">
        <f>TEXT(B404,"mmm")</f>
        <v/>
      </c>
      <c r="U404" s="36">
        <f>IF(AND(OR(sel_Region="All",C404=sel_Region),OR(sel_Country="All",D404=sel_Country),OR(sel_Channel="All",E404=sel_Channel),OR(sel_Customer="All",F404=sel_Customer),OR(sel_Category="All",G404=sel_Category),OR(sel_Product="All",H404=sel_Product),AND(S404&gt;=m_From,S404&lt;=m_To)),1,0)</f>
        <v/>
      </c>
      <c r="V404" s="36">
        <f>IF(AND(OR(sel_Region="All",C404=sel_Region),OR(sel_Channel="All",E404=sel_Channel),OR(sel_Customer="All",F404=sel_Customer),OR(sel_Category="All",G404=sel_Category),OR(sel_Product="All",H404=sel_Product),AND(S404&gt;=m_From,S404&lt;=m_To)),1,0)</f>
        <v/>
      </c>
      <c r="W404" s="36">
        <f>IF(AND(OR(sel_Region="All",C404=sel_Region),OR(sel_Country="All",D404=sel_Country),OR(sel_Customer="All",F404=sel_Customer),OR(sel_Category="All",G404=sel_Category),OR(sel_Product="All",H404=sel_Product),AND(S404&gt;=m_From,S404&lt;=m_To)),1,0)</f>
        <v/>
      </c>
      <c r="X404" s="36">
        <f>IF(AND(OR(sel_Region="All",C404=sel_Region),OR(sel_Country="All",D404=sel_Country),OR(sel_Channel="All",E404=sel_Channel),OR(sel_Category="All",G404=sel_Category),OR(sel_Product="All",H404=sel_Product),AND(S404&gt;=m_From,S404&lt;=m_To)),1,0)</f>
        <v/>
      </c>
      <c r="Y404" s="36">
        <f>IF(AND(OR(sel_Region="All",C404=sel_Region),OR(sel_Country="All",D404=sel_Country),OR(sel_Channel="All",E404=sel_Channel),OR(sel_Customer="All",F404=sel_Customer),OR(sel_Product="All",H404=sel_Product),AND(S404&gt;=m_From,S404&lt;=m_To)),1,0)</f>
        <v/>
      </c>
      <c r="Z404" s="36">
        <f>IF(AND(OR(sel_Region="All",C404=sel_Region),OR(sel_Country="All",D404=sel_Country),OR(sel_Channel="All",E404=sel_Channel),OR(sel_Customer="All",F404=sel_Customer),OR(sel_Category="All",G404=sel_Category),AND(S404&gt;=m_From,S404&lt;=m_To)),1,0)</f>
        <v/>
      </c>
      <c r="AA404" s="36">
        <f>IF(AND(OR(sel_Region="All",C404=sel_Region),OR(sel_Country="All",D404=sel_Country),OR(sel_Channel="All",E404=sel_Channel),OR(sel_Customer="All",F404=sel_Customer),OR(sel_Category="All",G404=sel_Category),OR(sel_Product="All",H404=sel_Product)),1,0)</f>
        <v/>
      </c>
    </row>
    <row r="405">
      <c r="A405" s="36" t="inlineStr">
        <is>
          <t>03560</t>
        </is>
      </c>
      <c r="B405" s="44" t="n">
        <v>46102</v>
      </c>
      <c r="C405" s="36" t="inlineStr">
        <is>
          <t>Northern Europe</t>
        </is>
      </c>
      <c r="D405" s="36" t="inlineStr">
        <is>
          <t>Norway</t>
        </is>
      </c>
      <c r="E405" s="36" t="inlineStr">
        <is>
          <t>Online Store</t>
        </is>
      </c>
      <c r="F405" s="36" t="inlineStr">
        <is>
          <t>Returning</t>
        </is>
      </c>
      <c r="G405" s="36" t="inlineStr">
        <is>
          <t>Fitness</t>
        </is>
      </c>
      <c r="H405" s="36" t="inlineStr">
        <is>
          <t>Training Mat</t>
        </is>
      </c>
      <c r="I405" s="36" t="n">
        <v>3</v>
      </c>
      <c r="J405" s="39" t="n">
        <v>50.46</v>
      </c>
      <c r="K405" s="45" t="n">
        <v>0.1</v>
      </c>
      <c r="L405" s="39" t="n">
        <v>21.9</v>
      </c>
      <c r="M405" s="39">
        <f>I405*J405*(1-K405)</f>
        <v/>
      </c>
      <c r="N405" s="39">
        <f>I405*L405</f>
        <v/>
      </c>
      <c r="O405" s="39">
        <f>M405-N405</f>
        <v/>
      </c>
      <c r="P405" s="38">
        <f>IF(M405=0,0,O405/M405)</f>
        <v/>
      </c>
      <c r="Q405" s="36">
        <f>YEAR(B405)</f>
        <v/>
      </c>
      <c r="R405" s="36">
        <f>"Q"&amp;ROUNDUP(MONTH(B405)/3,0)</f>
        <v/>
      </c>
      <c r="S405" s="36">
        <f>MONTH(B405)</f>
        <v/>
      </c>
      <c r="T405" s="36">
        <f>TEXT(B405,"mmm")</f>
        <v/>
      </c>
      <c r="U405" s="36">
        <f>IF(AND(OR(sel_Region="All",C405=sel_Region),OR(sel_Country="All",D405=sel_Country),OR(sel_Channel="All",E405=sel_Channel),OR(sel_Customer="All",F405=sel_Customer),OR(sel_Category="All",G405=sel_Category),OR(sel_Product="All",H405=sel_Product),AND(S405&gt;=m_From,S405&lt;=m_To)),1,0)</f>
        <v/>
      </c>
      <c r="V405" s="36">
        <f>IF(AND(OR(sel_Region="All",C405=sel_Region),OR(sel_Channel="All",E405=sel_Channel),OR(sel_Customer="All",F405=sel_Customer),OR(sel_Category="All",G405=sel_Category),OR(sel_Product="All",H405=sel_Product),AND(S405&gt;=m_From,S405&lt;=m_To)),1,0)</f>
        <v/>
      </c>
      <c r="W405" s="36">
        <f>IF(AND(OR(sel_Region="All",C405=sel_Region),OR(sel_Country="All",D405=sel_Country),OR(sel_Customer="All",F405=sel_Customer),OR(sel_Category="All",G405=sel_Category),OR(sel_Product="All",H405=sel_Product),AND(S405&gt;=m_From,S405&lt;=m_To)),1,0)</f>
        <v/>
      </c>
      <c r="X405" s="36">
        <f>IF(AND(OR(sel_Region="All",C405=sel_Region),OR(sel_Country="All",D405=sel_Country),OR(sel_Channel="All",E405=sel_Channel),OR(sel_Category="All",G405=sel_Category),OR(sel_Product="All",H405=sel_Product),AND(S405&gt;=m_From,S405&lt;=m_To)),1,0)</f>
        <v/>
      </c>
      <c r="Y405" s="36">
        <f>IF(AND(OR(sel_Region="All",C405=sel_Region),OR(sel_Country="All",D405=sel_Country),OR(sel_Channel="All",E405=sel_Channel),OR(sel_Customer="All",F405=sel_Customer),OR(sel_Product="All",H405=sel_Product),AND(S405&gt;=m_From,S405&lt;=m_To)),1,0)</f>
        <v/>
      </c>
      <c r="Z405" s="36">
        <f>IF(AND(OR(sel_Region="All",C405=sel_Region),OR(sel_Country="All",D405=sel_Country),OR(sel_Channel="All",E405=sel_Channel),OR(sel_Customer="All",F405=sel_Customer),OR(sel_Category="All",G405=sel_Category),AND(S405&gt;=m_From,S405&lt;=m_To)),1,0)</f>
        <v/>
      </c>
      <c r="AA405" s="36">
        <f>IF(AND(OR(sel_Region="All",C405=sel_Region),OR(sel_Country="All",D405=sel_Country),OR(sel_Channel="All",E405=sel_Channel),OR(sel_Customer="All",F405=sel_Customer),OR(sel_Category="All",G405=sel_Category),OR(sel_Product="All",H405=sel_Product)),1,0)</f>
        <v/>
      </c>
    </row>
    <row r="406">
      <c r="A406" s="36" t="inlineStr">
        <is>
          <t>04059</t>
        </is>
      </c>
      <c r="B406" s="44" t="n">
        <v>46102</v>
      </c>
      <c r="C406" s="36" t="inlineStr">
        <is>
          <t>Western Europe</t>
        </is>
      </c>
      <c r="D406" s="36" t="inlineStr">
        <is>
          <t>France</t>
        </is>
      </c>
      <c r="E406" s="36" t="inlineStr">
        <is>
          <t>Marketplace</t>
        </is>
      </c>
      <c r="F406" s="36" t="inlineStr">
        <is>
          <t>New</t>
        </is>
      </c>
      <c r="G406" s="36" t="inlineStr">
        <is>
          <t>Camping</t>
        </is>
      </c>
      <c r="H406" s="36" t="inlineStr">
        <is>
          <t>Portable Camp Stove</t>
        </is>
      </c>
      <c r="I406" s="36" t="n">
        <v>1</v>
      </c>
      <c r="J406" s="39" t="n">
        <v>83.62</v>
      </c>
      <c r="K406" s="45" t="n">
        <v>0</v>
      </c>
      <c r="L406" s="39" t="n">
        <v>39.15</v>
      </c>
      <c r="M406" s="39">
        <f>I406*J406*(1-K406)</f>
        <v/>
      </c>
      <c r="N406" s="39">
        <f>I406*L406</f>
        <v/>
      </c>
      <c r="O406" s="39">
        <f>M406-N406</f>
        <v/>
      </c>
      <c r="P406" s="38">
        <f>IF(M406=0,0,O406/M406)</f>
        <v/>
      </c>
      <c r="Q406" s="36">
        <f>YEAR(B406)</f>
        <v/>
      </c>
      <c r="R406" s="36">
        <f>"Q"&amp;ROUNDUP(MONTH(B406)/3,0)</f>
        <v/>
      </c>
      <c r="S406" s="36">
        <f>MONTH(B406)</f>
        <v/>
      </c>
      <c r="T406" s="36">
        <f>TEXT(B406,"mmm")</f>
        <v/>
      </c>
      <c r="U406" s="36">
        <f>IF(AND(OR(sel_Region="All",C406=sel_Region),OR(sel_Country="All",D406=sel_Country),OR(sel_Channel="All",E406=sel_Channel),OR(sel_Customer="All",F406=sel_Customer),OR(sel_Category="All",G406=sel_Category),OR(sel_Product="All",H406=sel_Product),AND(S406&gt;=m_From,S406&lt;=m_To)),1,0)</f>
        <v/>
      </c>
      <c r="V406" s="36">
        <f>IF(AND(OR(sel_Region="All",C406=sel_Region),OR(sel_Channel="All",E406=sel_Channel),OR(sel_Customer="All",F406=sel_Customer),OR(sel_Category="All",G406=sel_Category),OR(sel_Product="All",H406=sel_Product),AND(S406&gt;=m_From,S406&lt;=m_To)),1,0)</f>
        <v/>
      </c>
      <c r="W406" s="36">
        <f>IF(AND(OR(sel_Region="All",C406=sel_Region),OR(sel_Country="All",D406=sel_Country),OR(sel_Customer="All",F406=sel_Customer),OR(sel_Category="All",G406=sel_Category),OR(sel_Product="All",H406=sel_Product),AND(S406&gt;=m_From,S406&lt;=m_To)),1,0)</f>
        <v/>
      </c>
      <c r="X406" s="36">
        <f>IF(AND(OR(sel_Region="All",C406=sel_Region),OR(sel_Country="All",D406=sel_Country),OR(sel_Channel="All",E406=sel_Channel),OR(sel_Category="All",G406=sel_Category),OR(sel_Product="All",H406=sel_Product),AND(S406&gt;=m_From,S406&lt;=m_To)),1,0)</f>
        <v/>
      </c>
      <c r="Y406" s="36">
        <f>IF(AND(OR(sel_Region="All",C406=sel_Region),OR(sel_Country="All",D406=sel_Country),OR(sel_Channel="All",E406=sel_Channel),OR(sel_Customer="All",F406=sel_Customer),OR(sel_Product="All",H406=sel_Product),AND(S406&gt;=m_From,S406&lt;=m_To)),1,0)</f>
        <v/>
      </c>
      <c r="Z406" s="36">
        <f>IF(AND(OR(sel_Region="All",C406=sel_Region),OR(sel_Country="All",D406=sel_Country),OR(sel_Channel="All",E406=sel_Channel),OR(sel_Customer="All",F406=sel_Customer),OR(sel_Category="All",G406=sel_Category),AND(S406&gt;=m_From,S406&lt;=m_To)),1,0)</f>
        <v/>
      </c>
      <c r="AA406" s="36">
        <f>IF(AND(OR(sel_Region="All",C406=sel_Region),OR(sel_Country="All",D406=sel_Country),OR(sel_Channel="All",E406=sel_Channel),OR(sel_Customer="All",F406=sel_Customer),OR(sel_Category="All",G406=sel_Category),OR(sel_Product="All",H406=sel_Product)),1,0)</f>
        <v/>
      </c>
    </row>
    <row r="407">
      <c r="A407" s="36" t="inlineStr">
        <is>
          <t>04731</t>
        </is>
      </c>
      <c r="B407" s="44" t="n">
        <v>46102</v>
      </c>
      <c r="C407" s="36" t="inlineStr">
        <is>
          <t>Central Europe</t>
        </is>
      </c>
      <c r="D407" s="36" t="inlineStr">
        <is>
          <t>Germany</t>
        </is>
      </c>
      <c r="E407" s="36" t="inlineStr">
        <is>
          <t>Corporate</t>
        </is>
      </c>
      <c r="F407" s="36" t="inlineStr">
        <is>
          <t>Business</t>
        </is>
      </c>
      <c r="G407" s="36" t="inlineStr">
        <is>
          <t>Cycling</t>
        </is>
      </c>
      <c r="H407" s="36" t="inlineStr">
        <is>
          <t>Trail Bike Light</t>
        </is>
      </c>
      <c r="I407" s="36" t="n">
        <v>6</v>
      </c>
      <c r="J407" s="39" t="n">
        <v>51.07</v>
      </c>
      <c r="K407" s="45" t="n">
        <v>0.1</v>
      </c>
      <c r="L407" s="39" t="n">
        <v>22.68</v>
      </c>
      <c r="M407" s="39">
        <f>I407*J407*(1-K407)</f>
        <v/>
      </c>
      <c r="N407" s="39">
        <f>I407*L407</f>
        <v/>
      </c>
      <c r="O407" s="39">
        <f>M407-N407</f>
        <v/>
      </c>
      <c r="P407" s="38">
        <f>IF(M407=0,0,O407/M407)</f>
        <v/>
      </c>
      <c r="Q407" s="36">
        <f>YEAR(B407)</f>
        <v/>
      </c>
      <c r="R407" s="36">
        <f>"Q"&amp;ROUNDUP(MONTH(B407)/3,0)</f>
        <v/>
      </c>
      <c r="S407" s="36">
        <f>MONTH(B407)</f>
        <v/>
      </c>
      <c r="T407" s="36">
        <f>TEXT(B407,"mmm")</f>
        <v/>
      </c>
      <c r="U407" s="36">
        <f>IF(AND(OR(sel_Region="All",C407=sel_Region),OR(sel_Country="All",D407=sel_Country),OR(sel_Channel="All",E407=sel_Channel),OR(sel_Customer="All",F407=sel_Customer),OR(sel_Category="All",G407=sel_Category),OR(sel_Product="All",H407=sel_Product),AND(S407&gt;=m_From,S407&lt;=m_To)),1,0)</f>
        <v/>
      </c>
      <c r="V407" s="36">
        <f>IF(AND(OR(sel_Region="All",C407=sel_Region),OR(sel_Channel="All",E407=sel_Channel),OR(sel_Customer="All",F407=sel_Customer),OR(sel_Category="All",G407=sel_Category),OR(sel_Product="All",H407=sel_Product),AND(S407&gt;=m_From,S407&lt;=m_To)),1,0)</f>
        <v/>
      </c>
      <c r="W407" s="36">
        <f>IF(AND(OR(sel_Region="All",C407=sel_Region),OR(sel_Country="All",D407=sel_Country),OR(sel_Customer="All",F407=sel_Customer),OR(sel_Category="All",G407=sel_Category),OR(sel_Product="All",H407=sel_Product),AND(S407&gt;=m_From,S407&lt;=m_To)),1,0)</f>
        <v/>
      </c>
      <c r="X407" s="36">
        <f>IF(AND(OR(sel_Region="All",C407=sel_Region),OR(sel_Country="All",D407=sel_Country),OR(sel_Channel="All",E407=sel_Channel),OR(sel_Category="All",G407=sel_Category),OR(sel_Product="All",H407=sel_Product),AND(S407&gt;=m_From,S407&lt;=m_To)),1,0)</f>
        <v/>
      </c>
      <c r="Y407" s="36">
        <f>IF(AND(OR(sel_Region="All",C407=sel_Region),OR(sel_Country="All",D407=sel_Country),OR(sel_Channel="All",E407=sel_Channel),OR(sel_Customer="All",F407=sel_Customer),OR(sel_Product="All",H407=sel_Product),AND(S407&gt;=m_From,S407&lt;=m_To)),1,0)</f>
        <v/>
      </c>
      <c r="Z407" s="36">
        <f>IF(AND(OR(sel_Region="All",C407=sel_Region),OR(sel_Country="All",D407=sel_Country),OR(sel_Channel="All",E407=sel_Channel),OR(sel_Customer="All",F407=sel_Customer),OR(sel_Category="All",G407=sel_Category),AND(S407&gt;=m_From,S407&lt;=m_To)),1,0)</f>
        <v/>
      </c>
      <c r="AA407" s="36">
        <f>IF(AND(OR(sel_Region="All",C407=sel_Region),OR(sel_Country="All",D407=sel_Country),OR(sel_Channel="All",E407=sel_Channel),OR(sel_Customer="All",F407=sel_Customer),OR(sel_Category="All",G407=sel_Category),OR(sel_Product="All",H407=sel_Product)),1,0)</f>
        <v/>
      </c>
    </row>
    <row r="408">
      <c r="A408" s="36" t="inlineStr">
        <is>
          <t>00693</t>
        </is>
      </c>
      <c r="B408" s="44" t="n">
        <v>46103</v>
      </c>
      <c r="C408" s="36" t="inlineStr">
        <is>
          <t>Central Europe</t>
        </is>
      </c>
      <c r="D408" s="36" t="inlineStr">
        <is>
          <t>Switzerland</t>
        </is>
      </c>
      <c r="E408" s="36" t="inlineStr">
        <is>
          <t>Online Store</t>
        </is>
      </c>
      <c r="F408" s="36" t="inlineStr">
        <is>
          <t>New</t>
        </is>
      </c>
      <c r="G408" s="36" t="inlineStr">
        <is>
          <t>Travel</t>
        </is>
      </c>
      <c r="H408" s="36" t="inlineStr">
        <is>
          <t>Packing Cube Set</t>
        </is>
      </c>
      <c r="I408" s="36" t="n">
        <v>3</v>
      </c>
      <c r="J408" s="39" t="n">
        <v>47.02</v>
      </c>
      <c r="K408" s="45" t="n">
        <v>0.1</v>
      </c>
      <c r="L408" s="39" t="n">
        <v>17.99</v>
      </c>
      <c r="M408" s="39">
        <f>I408*J408*(1-K408)</f>
        <v/>
      </c>
      <c r="N408" s="39">
        <f>I408*L408</f>
        <v/>
      </c>
      <c r="O408" s="39">
        <f>M408-N408</f>
        <v/>
      </c>
      <c r="P408" s="38">
        <f>IF(M408=0,0,O408/M408)</f>
        <v/>
      </c>
      <c r="Q408" s="36">
        <f>YEAR(B408)</f>
        <v/>
      </c>
      <c r="R408" s="36">
        <f>"Q"&amp;ROUNDUP(MONTH(B408)/3,0)</f>
        <v/>
      </c>
      <c r="S408" s="36">
        <f>MONTH(B408)</f>
        <v/>
      </c>
      <c r="T408" s="36">
        <f>TEXT(B408,"mmm")</f>
        <v/>
      </c>
      <c r="U408" s="36">
        <f>IF(AND(OR(sel_Region="All",C408=sel_Region),OR(sel_Country="All",D408=sel_Country),OR(sel_Channel="All",E408=sel_Channel),OR(sel_Customer="All",F408=sel_Customer),OR(sel_Category="All",G408=sel_Category),OR(sel_Product="All",H408=sel_Product),AND(S408&gt;=m_From,S408&lt;=m_To)),1,0)</f>
        <v/>
      </c>
      <c r="V408" s="36">
        <f>IF(AND(OR(sel_Region="All",C408=sel_Region),OR(sel_Channel="All",E408=sel_Channel),OR(sel_Customer="All",F408=sel_Customer),OR(sel_Category="All",G408=sel_Category),OR(sel_Product="All",H408=sel_Product),AND(S408&gt;=m_From,S408&lt;=m_To)),1,0)</f>
        <v/>
      </c>
      <c r="W408" s="36">
        <f>IF(AND(OR(sel_Region="All",C408=sel_Region),OR(sel_Country="All",D408=sel_Country),OR(sel_Customer="All",F408=sel_Customer),OR(sel_Category="All",G408=sel_Category),OR(sel_Product="All",H408=sel_Product),AND(S408&gt;=m_From,S408&lt;=m_To)),1,0)</f>
        <v/>
      </c>
      <c r="X408" s="36">
        <f>IF(AND(OR(sel_Region="All",C408=sel_Region),OR(sel_Country="All",D408=sel_Country),OR(sel_Channel="All",E408=sel_Channel),OR(sel_Category="All",G408=sel_Category),OR(sel_Product="All",H408=sel_Product),AND(S408&gt;=m_From,S408&lt;=m_To)),1,0)</f>
        <v/>
      </c>
      <c r="Y408" s="36">
        <f>IF(AND(OR(sel_Region="All",C408=sel_Region),OR(sel_Country="All",D408=sel_Country),OR(sel_Channel="All",E408=sel_Channel),OR(sel_Customer="All",F408=sel_Customer),OR(sel_Product="All",H408=sel_Product),AND(S408&gt;=m_From,S408&lt;=m_To)),1,0)</f>
        <v/>
      </c>
      <c r="Z408" s="36">
        <f>IF(AND(OR(sel_Region="All",C408=sel_Region),OR(sel_Country="All",D408=sel_Country),OR(sel_Channel="All",E408=sel_Channel),OR(sel_Customer="All",F408=sel_Customer),OR(sel_Category="All",G408=sel_Category),AND(S408&gt;=m_From,S408&lt;=m_To)),1,0)</f>
        <v/>
      </c>
      <c r="AA408" s="36">
        <f>IF(AND(OR(sel_Region="All",C408=sel_Region),OR(sel_Country="All",D408=sel_Country),OR(sel_Channel="All",E408=sel_Channel),OR(sel_Customer="All",F408=sel_Customer),OR(sel_Category="All",G408=sel_Category),OR(sel_Product="All",H408=sel_Product)),1,0)</f>
        <v/>
      </c>
    </row>
    <row r="409">
      <c r="A409" s="36" t="inlineStr">
        <is>
          <t>01672</t>
        </is>
      </c>
      <c r="B409" s="44" t="n">
        <v>46103</v>
      </c>
      <c r="C409" s="36" t="inlineStr">
        <is>
          <t>Northern Europe</t>
        </is>
      </c>
      <c r="D409" s="36" t="inlineStr">
        <is>
          <t>Denmark</t>
        </is>
      </c>
      <c r="E409" s="36" t="inlineStr">
        <is>
          <t>Marketplace</t>
        </is>
      </c>
      <c r="F409" s="36" t="inlineStr">
        <is>
          <t>Returning</t>
        </is>
      </c>
      <c r="G409" s="36" t="inlineStr">
        <is>
          <t>Travel</t>
        </is>
      </c>
      <c r="H409" s="36" t="inlineStr">
        <is>
          <t>Packing Cube Set</t>
        </is>
      </c>
      <c r="I409" s="36" t="n">
        <v>1</v>
      </c>
      <c r="J409" s="39" t="n">
        <v>47.1</v>
      </c>
      <c r="K409" s="45" t="n">
        <v>0.05</v>
      </c>
      <c r="L409" s="39" t="n">
        <v>18.48</v>
      </c>
      <c r="M409" s="39">
        <f>I409*J409*(1-K409)</f>
        <v/>
      </c>
      <c r="N409" s="39">
        <f>I409*L409</f>
        <v/>
      </c>
      <c r="O409" s="39">
        <f>M409-N409</f>
        <v/>
      </c>
      <c r="P409" s="38">
        <f>IF(M409=0,0,O409/M409)</f>
        <v/>
      </c>
      <c r="Q409" s="36">
        <f>YEAR(B409)</f>
        <v/>
      </c>
      <c r="R409" s="36">
        <f>"Q"&amp;ROUNDUP(MONTH(B409)/3,0)</f>
        <v/>
      </c>
      <c r="S409" s="36">
        <f>MONTH(B409)</f>
        <v/>
      </c>
      <c r="T409" s="36">
        <f>TEXT(B409,"mmm")</f>
        <v/>
      </c>
      <c r="U409" s="36">
        <f>IF(AND(OR(sel_Region="All",C409=sel_Region),OR(sel_Country="All",D409=sel_Country),OR(sel_Channel="All",E409=sel_Channel),OR(sel_Customer="All",F409=sel_Customer),OR(sel_Category="All",G409=sel_Category),OR(sel_Product="All",H409=sel_Product),AND(S409&gt;=m_From,S409&lt;=m_To)),1,0)</f>
        <v/>
      </c>
      <c r="V409" s="36">
        <f>IF(AND(OR(sel_Region="All",C409=sel_Region),OR(sel_Channel="All",E409=sel_Channel),OR(sel_Customer="All",F409=sel_Customer),OR(sel_Category="All",G409=sel_Category),OR(sel_Product="All",H409=sel_Product),AND(S409&gt;=m_From,S409&lt;=m_To)),1,0)</f>
        <v/>
      </c>
      <c r="W409" s="36">
        <f>IF(AND(OR(sel_Region="All",C409=sel_Region),OR(sel_Country="All",D409=sel_Country),OR(sel_Customer="All",F409=sel_Customer),OR(sel_Category="All",G409=sel_Category),OR(sel_Product="All",H409=sel_Product),AND(S409&gt;=m_From,S409&lt;=m_To)),1,0)</f>
        <v/>
      </c>
      <c r="X409" s="36">
        <f>IF(AND(OR(sel_Region="All",C409=sel_Region),OR(sel_Country="All",D409=sel_Country),OR(sel_Channel="All",E409=sel_Channel),OR(sel_Category="All",G409=sel_Category),OR(sel_Product="All",H409=sel_Product),AND(S409&gt;=m_From,S409&lt;=m_To)),1,0)</f>
        <v/>
      </c>
      <c r="Y409" s="36">
        <f>IF(AND(OR(sel_Region="All",C409=sel_Region),OR(sel_Country="All",D409=sel_Country),OR(sel_Channel="All",E409=sel_Channel),OR(sel_Customer="All",F409=sel_Customer),OR(sel_Product="All",H409=sel_Product),AND(S409&gt;=m_From,S409&lt;=m_To)),1,0)</f>
        <v/>
      </c>
      <c r="Z409" s="36">
        <f>IF(AND(OR(sel_Region="All",C409=sel_Region),OR(sel_Country="All",D409=sel_Country),OR(sel_Channel="All",E409=sel_Channel),OR(sel_Customer="All",F409=sel_Customer),OR(sel_Category="All",G409=sel_Category),AND(S409&gt;=m_From,S409&lt;=m_To)),1,0)</f>
        <v/>
      </c>
      <c r="AA409" s="36">
        <f>IF(AND(OR(sel_Region="All",C409=sel_Region),OR(sel_Country="All",D409=sel_Country),OR(sel_Channel="All",E409=sel_Channel),OR(sel_Customer="All",F409=sel_Customer),OR(sel_Category="All",G409=sel_Category),OR(sel_Product="All",H409=sel_Product)),1,0)</f>
        <v/>
      </c>
    </row>
    <row r="410">
      <c r="A410" s="36" t="inlineStr">
        <is>
          <t>02347</t>
        </is>
      </c>
      <c r="B410" s="44" t="n">
        <v>46103</v>
      </c>
      <c r="C410" s="36" t="inlineStr">
        <is>
          <t>Western Europe</t>
        </is>
      </c>
      <c r="D410" s="36" t="inlineStr">
        <is>
          <t>France</t>
        </is>
      </c>
      <c r="E410" s="36" t="inlineStr">
        <is>
          <t>Online Store</t>
        </is>
      </c>
      <c r="F410" s="36" t="inlineStr">
        <is>
          <t>Returning</t>
        </is>
      </c>
      <c r="G410" s="36" t="inlineStr">
        <is>
          <t>Travel</t>
        </is>
      </c>
      <c r="H410" s="36" t="inlineStr">
        <is>
          <t>Carry-On Duffel</t>
        </is>
      </c>
      <c r="I410" s="36" t="n">
        <v>2</v>
      </c>
      <c r="J410" s="39" t="n">
        <v>131.39</v>
      </c>
      <c r="K410" s="45" t="n">
        <v>0</v>
      </c>
      <c r="L410" s="39" t="n">
        <v>66.91</v>
      </c>
      <c r="M410" s="39">
        <f>I410*J410*(1-K410)</f>
        <v/>
      </c>
      <c r="N410" s="39">
        <f>I410*L410</f>
        <v/>
      </c>
      <c r="O410" s="39">
        <f>M410-N410</f>
        <v/>
      </c>
      <c r="P410" s="38">
        <f>IF(M410=0,0,O410/M410)</f>
        <v/>
      </c>
      <c r="Q410" s="36">
        <f>YEAR(B410)</f>
        <v/>
      </c>
      <c r="R410" s="36">
        <f>"Q"&amp;ROUNDUP(MONTH(B410)/3,0)</f>
        <v/>
      </c>
      <c r="S410" s="36">
        <f>MONTH(B410)</f>
        <v/>
      </c>
      <c r="T410" s="36">
        <f>TEXT(B410,"mmm")</f>
        <v/>
      </c>
      <c r="U410" s="36">
        <f>IF(AND(OR(sel_Region="All",C410=sel_Region),OR(sel_Country="All",D410=sel_Country),OR(sel_Channel="All",E410=sel_Channel),OR(sel_Customer="All",F410=sel_Customer),OR(sel_Category="All",G410=sel_Category),OR(sel_Product="All",H410=sel_Product),AND(S410&gt;=m_From,S410&lt;=m_To)),1,0)</f>
        <v/>
      </c>
      <c r="V410" s="36">
        <f>IF(AND(OR(sel_Region="All",C410=sel_Region),OR(sel_Channel="All",E410=sel_Channel),OR(sel_Customer="All",F410=sel_Customer),OR(sel_Category="All",G410=sel_Category),OR(sel_Product="All",H410=sel_Product),AND(S410&gt;=m_From,S410&lt;=m_To)),1,0)</f>
        <v/>
      </c>
      <c r="W410" s="36">
        <f>IF(AND(OR(sel_Region="All",C410=sel_Region),OR(sel_Country="All",D410=sel_Country),OR(sel_Customer="All",F410=sel_Customer),OR(sel_Category="All",G410=sel_Category),OR(sel_Product="All",H410=sel_Product),AND(S410&gt;=m_From,S410&lt;=m_To)),1,0)</f>
        <v/>
      </c>
      <c r="X410" s="36">
        <f>IF(AND(OR(sel_Region="All",C410=sel_Region),OR(sel_Country="All",D410=sel_Country),OR(sel_Channel="All",E410=sel_Channel),OR(sel_Category="All",G410=sel_Category),OR(sel_Product="All",H410=sel_Product),AND(S410&gt;=m_From,S410&lt;=m_To)),1,0)</f>
        <v/>
      </c>
      <c r="Y410" s="36">
        <f>IF(AND(OR(sel_Region="All",C410=sel_Region),OR(sel_Country="All",D410=sel_Country),OR(sel_Channel="All",E410=sel_Channel),OR(sel_Customer="All",F410=sel_Customer),OR(sel_Product="All",H410=sel_Product),AND(S410&gt;=m_From,S410&lt;=m_To)),1,0)</f>
        <v/>
      </c>
      <c r="Z410" s="36">
        <f>IF(AND(OR(sel_Region="All",C410=sel_Region),OR(sel_Country="All",D410=sel_Country),OR(sel_Channel="All",E410=sel_Channel),OR(sel_Customer="All",F410=sel_Customer),OR(sel_Category="All",G410=sel_Category),AND(S410&gt;=m_From,S410&lt;=m_To)),1,0)</f>
        <v/>
      </c>
      <c r="AA410" s="36">
        <f>IF(AND(OR(sel_Region="All",C410=sel_Region),OR(sel_Country="All",D410=sel_Country),OR(sel_Channel="All",E410=sel_Channel),OR(sel_Customer="All",F410=sel_Customer),OR(sel_Category="All",G410=sel_Category),OR(sel_Product="All",H410=sel_Product)),1,0)</f>
        <v/>
      </c>
    </row>
    <row r="411">
      <c r="A411" s="36" t="inlineStr">
        <is>
          <t>02582</t>
        </is>
      </c>
      <c r="B411" s="44" t="n">
        <v>46103</v>
      </c>
      <c r="C411" s="36" t="inlineStr">
        <is>
          <t>Central Europe</t>
        </is>
      </c>
      <c r="D411" s="36" t="inlineStr">
        <is>
          <t>Czechia</t>
        </is>
      </c>
      <c r="E411" s="36" t="inlineStr">
        <is>
          <t>Marketplace</t>
        </is>
      </c>
      <c r="F411" s="36" t="inlineStr">
        <is>
          <t>New</t>
        </is>
      </c>
      <c r="G411" s="36" t="inlineStr">
        <is>
          <t>Fitness</t>
        </is>
      </c>
      <c r="H411" s="36" t="inlineStr">
        <is>
          <t>Weighted Vest</t>
        </is>
      </c>
      <c r="I411" s="36" t="n">
        <v>1</v>
      </c>
      <c r="J411" s="39" t="n">
        <v>120.16</v>
      </c>
      <c r="K411" s="45" t="n">
        <v>0.15</v>
      </c>
      <c r="L411" s="39" t="n">
        <v>68.33</v>
      </c>
      <c r="M411" s="39">
        <f>I411*J411*(1-K411)</f>
        <v/>
      </c>
      <c r="N411" s="39">
        <f>I411*L411</f>
        <v/>
      </c>
      <c r="O411" s="39">
        <f>M411-N411</f>
        <v/>
      </c>
      <c r="P411" s="38">
        <f>IF(M411=0,0,O411/M411)</f>
        <v/>
      </c>
      <c r="Q411" s="36">
        <f>YEAR(B411)</f>
        <v/>
      </c>
      <c r="R411" s="36">
        <f>"Q"&amp;ROUNDUP(MONTH(B411)/3,0)</f>
        <v/>
      </c>
      <c r="S411" s="36">
        <f>MONTH(B411)</f>
        <v/>
      </c>
      <c r="T411" s="36">
        <f>TEXT(B411,"mmm")</f>
        <v/>
      </c>
      <c r="U411" s="36">
        <f>IF(AND(OR(sel_Region="All",C411=sel_Region),OR(sel_Country="All",D411=sel_Country),OR(sel_Channel="All",E411=sel_Channel),OR(sel_Customer="All",F411=sel_Customer),OR(sel_Category="All",G411=sel_Category),OR(sel_Product="All",H411=sel_Product),AND(S411&gt;=m_From,S411&lt;=m_To)),1,0)</f>
        <v/>
      </c>
      <c r="V411" s="36">
        <f>IF(AND(OR(sel_Region="All",C411=sel_Region),OR(sel_Channel="All",E411=sel_Channel),OR(sel_Customer="All",F411=sel_Customer),OR(sel_Category="All",G411=sel_Category),OR(sel_Product="All",H411=sel_Product),AND(S411&gt;=m_From,S411&lt;=m_To)),1,0)</f>
        <v/>
      </c>
      <c r="W411" s="36">
        <f>IF(AND(OR(sel_Region="All",C411=sel_Region),OR(sel_Country="All",D411=sel_Country),OR(sel_Customer="All",F411=sel_Customer),OR(sel_Category="All",G411=sel_Category),OR(sel_Product="All",H411=sel_Product),AND(S411&gt;=m_From,S411&lt;=m_To)),1,0)</f>
        <v/>
      </c>
      <c r="X411" s="36">
        <f>IF(AND(OR(sel_Region="All",C411=sel_Region),OR(sel_Country="All",D411=sel_Country),OR(sel_Channel="All",E411=sel_Channel),OR(sel_Category="All",G411=sel_Category),OR(sel_Product="All",H411=sel_Product),AND(S411&gt;=m_From,S411&lt;=m_To)),1,0)</f>
        <v/>
      </c>
      <c r="Y411" s="36">
        <f>IF(AND(OR(sel_Region="All",C411=sel_Region),OR(sel_Country="All",D411=sel_Country),OR(sel_Channel="All",E411=sel_Channel),OR(sel_Customer="All",F411=sel_Customer),OR(sel_Product="All",H411=sel_Product),AND(S411&gt;=m_From,S411&lt;=m_To)),1,0)</f>
        <v/>
      </c>
      <c r="Z411" s="36">
        <f>IF(AND(OR(sel_Region="All",C411=sel_Region),OR(sel_Country="All",D411=sel_Country),OR(sel_Channel="All",E411=sel_Channel),OR(sel_Customer="All",F411=sel_Customer),OR(sel_Category="All",G411=sel_Category),AND(S411&gt;=m_From,S411&lt;=m_To)),1,0)</f>
        <v/>
      </c>
      <c r="AA411" s="36">
        <f>IF(AND(OR(sel_Region="All",C411=sel_Region),OR(sel_Country="All",D411=sel_Country),OR(sel_Channel="All",E411=sel_Channel),OR(sel_Customer="All",F411=sel_Customer),OR(sel_Category="All",G411=sel_Category),OR(sel_Product="All",H411=sel_Product)),1,0)</f>
        <v/>
      </c>
    </row>
    <row r="412">
      <c r="A412" s="36" t="inlineStr">
        <is>
          <t>02762</t>
        </is>
      </c>
      <c r="B412" s="44" t="n">
        <v>46103</v>
      </c>
      <c r="C412" s="36" t="inlineStr">
        <is>
          <t>Western Europe</t>
        </is>
      </c>
      <c r="D412" s="36" t="inlineStr">
        <is>
          <t>United Kingdom</t>
        </is>
      </c>
      <c r="E412" s="36" t="inlineStr">
        <is>
          <t>Retail Partners</t>
        </is>
      </c>
      <c r="F412" s="36" t="inlineStr">
        <is>
          <t>Returning</t>
        </is>
      </c>
      <c r="G412" s="36" t="inlineStr">
        <is>
          <t>Camping</t>
        </is>
      </c>
      <c r="H412" s="36" t="inlineStr">
        <is>
          <t>Trail Tent 2P</t>
        </is>
      </c>
      <c r="I412" s="36" t="n">
        <v>1</v>
      </c>
      <c r="J412" s="39" t="n">
        <v>196.48</v>
      </c>
      <c r="K412" s="45" t="n">
        <v>0</v>
      </c>
      <c r="L412" s="39" t="n">
        <v>101.29</v>
      </c>
      <c r="M412" s="39">
        <f>I412*J412*(1-K412)</f>
        <v/>
      </c>
      <c r="N412" s="39">
        <f>I412*L412</f>
        <v/>
      </c>
      <c r="O412" s="39">
        <f>M412-N412</f>
        <v/>
      </c>
      <c r="P412" s="38">
        <f>IF(M412=0,0,O412/M412)</f>
        <v/>
      </c>
      <c r="Q412" s="36">
        <f>YEAR(B412)</f>
        <v/>
      </c>
      <c r="R412" s="36">
        <f>"Q"&amp;ROUNDUP(MONTH(B412)/3,0)</f>
        <v/>
      </c>
      <c r="S412" s="36">
        <f>MONTH(B412)</f>
        <v/>
      </c>
      <c r="T412" s="36">
        <f>TEXT(B412,"mmm")</f>
        <v/>
      </c>
      <c r="U412" s="36">
        <f>IF(AND(OR(sel_Region="All",C412=sel_Region),OR(sel_Country="All",D412=sel_Country),OR(sel_Channel="All",E412=sel_Channel),OR(sel_Customer="All",F412=sel_Customer),OR(sel_Category="All",G412=sel_Category),OR(sel_Product="All",H412=sel_Product),AND(S412&gt;=m_From,S412&lt;=m_To)),1,0)</f>
        <v/>
      </c>
      <c r="V412" s="36">
        <f>IF(AND(OR(sel_Region="All",C412=sel_Region),OR(sel_Channel="All",E412=sel_Channel),OR(sel_Customer="All",F412=sel_Customer),OR(sel_Category="All",G412=sel_Category),OR(sel_Product="All",H412=sel_Product),AND(S412&gt;=m_From,S412&lt;=m_To)),1,0)</f>
        <v/>
      </c>
      <c r="W412" s="36">
        <f>IF(AND(OR(sel_Region="All",C412=sel_Region),OR(sel_Country="All",D412=sel_Country),OR(sel_Customer="All",F412=sel_Customer),OR(sel_Category="All",G412=sel_Category),OR(sel_Product="All",H412=sel_Product),AND(S412&gt;=m_From,S412&lt;=m_To)),1,0)</f>
        <v/>
      </c>
      <c r="X412" s="36">
        <f>IF(AND(OR(sel_Region="All",C412=sel_Region),OR(sel_Country="All",D412=sel_Country),OR(sel_Channel="All",E412=sel_Channel),OR(sel_Category="All",G412=sel_Category),OR(sel_Product="All",H412=sel_Product),AND(S412&gt;=m_From,S412&lt;=m_To)),1,0)</f>
        <v/>
      </c>
      <c r="Y412" s="36">
        <f>IF(AND(OR(sel_Region="All",C412=sel_Region),OR(sel_Country="All",D412=sel_Country),OR(sel_Channel="All",E412=sel_Channel),OR(sel_Customer="All",F412=sel_Customer),OR(sel_Product="All",H412=sel_Product),AND(S412&gt;=m_From,S412&lt;=m_To)),1,0)</f>
        <v/>
      </c>
      <c r="Z412" s="36">
        <f>IF(AND(OR(sel_Region="All",C412=sel_Region),OR(sel_Country="All",D412=sel_Country),OR(sel_Channel="All",E412=sel_Channel),OR(sel_Customer="All",F412=sel_Customer),OR(sel_Category="All",G412=sel_Category),AND(S412&gt;=m_From,S412&lt;=m_To)),1,0)</f>
        <v/>
      </c>
      <c r="AA412" s="36">
        <f>IF(AND(OR(sel_Region="All",C412=sel_Region),OR(sel_Country="All",D412=sel_Country),OR(sel_Channel="All",E412=sel_Channel),OR(sel_Customer="All",F412=sel_Customer),OR(sel_Category="All",G412=sel_Category),OR(sel_Product="All",H412=sel_Product)),1,0)</f>
        <v/>
      </c>
    </row>
    <row r="413">
      <c r="A413" s="36" t="inlineStr">
        <is>
          <t>04090</t>
        </is>
      </c>
      <c r="B413" s="44" t="n">
        <v>46103</v>
      </c>
      <c r="C413" s="36" t="inlineStr">
        <is>
          <t>Central Europe</t>
        </is>
      </c>
      <c r="D413" s="36" t="inlineStr">
        <is>
          <t>Switzerland</t>
        </is>
      </c>
      <c r="E413" s="36" t="inlineStr">
        <is>
          <t>Marketplace</t>
        </is>
      </c>
      <c r="F413" s="36" t="inlineStr">
        <is>
          <t>Business</t>
        </is>
      </c>
      <c r="G413" s="36" t="inlineStr">
        <is>
          <t>Travel</t>
        </is>
      </c>
      <c r="H413" s="36" t="inlineStr">
        <is>
          <t>Insulated Bottle</t>
        </is>
      </c>
      <c r="I413" s="36" t="n">
        <v>1</v>
      </c>
      <c r="J413" s="39" t="n">
        <v>36.52</v>
      </c>
      <c r="K413" s="45" t="n">
        <v>0</v>
      </c>
      <c r="L413" s="39" t="n">
        <v>13.96</v>
      </c>
      <c r="M413" s="39">
        <f>I413*J413*(1-K413)</f>
        <v/>
      </c>
      <c r="N413" s="39">
        <f>I413*L413</f>
        <v/>
      </c>
      <c r="O413" s="39">
        <f>M413-N413</f>
        <v/>
      </c>
      <c r="P413" s="38">
        <f>IF(M413=0,0,O413/M413)</f>
        <v/>
      </c>
      <c r="Q413" s="36">
        <f>YEAR(B413)</f>
        <v/>
      </c>
      <c r="R413" s="36">
        <f>"Q"&amp;ROUNDUP(MONTH(B413)/3,0)</f>
        <v/>
      </c>
      <c r="S413" s="36">
        <f>MONTH(B413)</f>
        <v/>
      </c>
      <c r="T413" s="36">
        <f>TEXT(B413,"mmm")</f>
        <v/>
      </c>
      <c r="U413" s="36">
        <f>IF(AND(OR(sel_Region="All",C413=sel_Region),OR(sel_Country="All",D413=sel_Country),OR(sel_Channel="All",E413=sel_Channel),OR(sel_Customer="All",F413=sel_Customer),OR(sel_Category="All",G413=sel_Category),OR(sel_Product="All",H413=sel_Product),AND(S413&gt;=m_From,S413&lt;=m_To)),1,0)</f>
        <v/>
      </c>
      <c r="V413" s="36">
        <f>IF(AND(OR(sel_Region="All",C413=sel_Region),OR(sel_Channel="All",E413=sel_Channel),OR(sel_Customer="All",F413=sel_Customer),OR(sel_Category="All",G413=sel_Category),OR(sel_Product="All",H413=sel_Product),AND(S413&gt;=m_From,S413&lt;=m_To)),1,0)</f>
        <v/>
      </c>
      <c r="W413" s="36">
        <f>IF(AND(OR(sel_Region="All",C413=sel_Region),OR(sel_Country="All",D413=sel_Country),OR(sel_Customer="All",F413=sel_Customer),OR(sel_Category="All",G413=sel_Category),OR(sel_Product="All",H413=sel_Product),AND(S413&gt;=m_From,S413&lt;=m_To)),1,0)</f>
        <v/>
      </c>
      <c r="X413" s="36">
        <f>IF(AND(OR(sel_Region="All",C413=sel_Region),OR(sel_Country="All",D413=sel_Country),OR(sel_Channel="All",E413=sel_Channel),OR(sel_Category="All",G413=sel_Category),OR(sel_Product="All",H413=sel_Product),AND(S413&gt;=m_From,S413&lt;=m_To)),1,0)</f>
        <v/>
      </c>
      <c r="Y413" s="36">
        <f>IF(AND(OR(sel_Region="All",C413=sel_Region),OR(sel_Country="All",D413=sel_Country),OR(sel_Channel="All",E413=sel_Channel),OR(sel_Customer="All",F413=sel_Customer),OR(sel_Product="All",H413=sel_Product),AND(S413&gt;=m_From,S413&lt;=m_To)),1,0)</f>
        <v/>
      </c>
      <c r="Z413" s="36">
        <f>IF(AND(OR(sel_Region="All",C413=sel_Region),OR(sel_Country="All",D413=sel_Country),OR(sel_Channel="All",E413=sel_Channel),OR(sel_Customer="All",F413=sel_Customer),OR(sel_Category="All",G413=sel_Category),AND(S413&gt;=m_From,S413&lt;=m_To)),1,0)</f>
        <v/>
      </c>
      <c r="AA413" s="36">
        <f>IF(AND(OR(sel_Region="All",C413=sel_Region),OR(sel_Country="All",D413=sel_Country),OR(sel_Channel="All",E413=sel_Channel),OR(sel_Customer="All",F413=sel_Customer),OR(sel_Category="All",G413=sel_Category),OR(sel_Product="All",H413=sel_Product)),1,0)</f>
        <v/>
      </c>
    </row>
    <row r="414">
      <c r="A414" s="36" t="inlineStr">
        <is>
          <t>04491</t>
        </is>
      </c>
      <c r="B414" s="44" t="n">
        <v>46103</v>
      </c>
      <c r="C414" s="36" t="inlineStr">
        <is>
          <t>Central Europe</t>
        </is>
      </c>
      <c r="D414" s="36" t="inlineStr">
        <is>
          <t>Germany</t>
        </is>
      </c>
      <c r="E414" s="36" t="inlineStr">
        <is>
          <t>Retail Partners</t>
        </is>
      </c>
      <c r="F414" s="36" t="inlineStr">
        <is>
          <t>Business</t>
        </is>
      </c>
      <c r="G414" s="36" t="inlineStr">
        <is>
          <t>Fitness</t>
        </is>
      </c>
      <c r="H414" s="36" t="inlineStr">
        <is>
          <t>Training Mat</t>
        </is>
      </c>
      <c r="I414" s="36" t="n">
        <v>4</v>
      </c>
      <c r="J414" s="39" t="n">
        <v>49.71</v>
      </c>
      <c r="K414" s="45" t="n">
        <v>0.1</v>
      </c>
      <c r="L414" s="39" t="n">
        <v>22.46</v>
      </c>
      <c r="M414" s="39">
        <f>I414*J414*(1-K414)</f>
        <v/>
      </c>
      <c r="N414" s="39">
        <f>I414*L414</f>
        <v/>
      </c>
      <c r="O414" s="39">
        <f>M414-N414</f>
        <v/>
      </c>
      <c r="P414" s="38">
        <f>IF(M414=0,0,O414/M414)</f>
        <v/>
      </c>
      <c r="Q414" s="36">
        <f>YEAR(B414)</f>
        <v/>
      </c>
      <c r="R414" s="36">
        <f>"Q"&amp;ROUNDUP(MONTH(B414)/3,0)</f>
        <v/>
      </c>
      <c r="S414" s="36">
        <f>MONTH(B414)</f>
        <v/>
      </c>
      <c r="T414" s="36">
        <f>TEXT(B414,"mmm")</f>
        <v/>
      </c>
      <c r="U414" s="36">
        <f>IF(AND(OR(sel_Region="All",C414=sel_Region),OR(sel_Country="All",D414=sel_Country),OR(sel_Channel="All",E414=sel_Channel),OR(sel_Customer="All",F414=sel_Customer),OR(sel_Category="All",G414=sel_Category),OR(sel_Product="All",H414=sel_Product),AND(S414&gt;=m_From,S414&lt;=m_To)),1,0)</f>
        <v/>
      </c>
      <c r="V414" s="36">
        <f>IF(AND(OR(sel_Region="All",C414=sel_Region),OR(sel_Channel="All",E414=sel_Channel),OR(sel_Customer="All",F414=sel_Customer),OR(sel_Category="All",G414=sel_Category),OR(sel_Product="All",H414=sel_Product),AND(S414&gt;=m_From,S414&lt;=m_To)),1,0)</f>
        <v/>
      </c>
      <c r="W414" s="36">
        <f>IF(AND(OR(sel_Region="All",C414=sel_Region),OR(sel_Country="All",D414=sel_Country),OR(sel_Customer="All",F414=sel_Customer),OR(sel_Category="All",G414=sel_Category),OR(sel_Product="All",H414=sel_Product),AND(S414&gt;=m_From,S414&lt;=m_To)),1,0)</f>
        <v/>
      </c>
      <c r="X414" s="36">
        <f>IF(AND(OR(sel_Region="All",C414=sel_Region),OR(sel_Country="All",D414=sel_Country),OR(sel_Channel="All",E414=sel_Channel),OR(sel_Category="All",G414=sel_Category),OR(sel_Product="All",H414=sel_Product),AND(S414&gt;=m_From,S414&lt;=m_To)),1,0)</f>
        <v/>
      </c>
      <c r="Y414" s="36">
        <f>IF(AND(OR(sel_Region="All",C414=sel_Region),OR(sel_Country="All",D414=sel_Country),OR(sel_Channel="All",E414=sel_Channel),OR(sel_Customer="All",F414=sel_Customer),OR(sel_Product="All",H414=sel_Product),AND(S414&gt;=m_From,S414&lt;=m_To)),1,0)</f>
        <v/>
      </c>
      <c r="Z414" s="36">
        <f>IF(AND(OR(sel_Region="All",C414=sel_Region),OR(sel_Country="All",D414=sel_Country),OR(sel_Channel="All",E414=sel_Channel),OR(sel_Customer="All",F414=sel_Customer),OR(sel_Category="All",G414=sel_Category),AND(S414&gt;=m_From,S414&lt;=m_To)),1,0)</f>
        <v/>
      </c>
      <c r="AA414" s="36">
        <f>IF(AND(OR(sel_Region="All",C414=sel_Region),OR(sel_Country="All",D414=sel_Country),OR(sel_Channel="All",E414=sel_Channel),OR(sel_Customer="All",F414=sel_Customer),OR(sel_Category="All",G414=sel_Category),OR(sel_Product="All",H414=sel_Product)),1,0)</f>
        <v/>
      </c>
    </row>
    <row r="415">
      <c r="A415" s="36" t="inlineStr">
        <is>
          <t>04678</t>
        </is>
      </c>
      <c r="B415" s="44" t="n">
        <v>46103</v>
      </c>
      <c r="C415" s="36" t="inlineStr">
        <is>
          <t>Southern Europe</t>
        </is>
      </c>
      <c r="D415" s="36" t="inlineStr">
        <is>
          <t>Spain</t>
        </is>
      </c>
      <c r="E415" s="36" t="inlineStr">
        <is>
          <t>Online Store</t>
        </is>
      </c>
      <c r="F415" s="36" t="inlineStr">
        <is>
          <t>Returning</t>
        </is>
      </c>
      <c r="G415" s="36" t="inlineStr">
        <is>
          <t>Camping</t>
        </is>
      </c>
      <c r="H415" s="36" t="inlineStr">
        <is>
          <t>Portable Camp Stove</t>
        </is>
      </c>
      <c r="I415" s="36" t="n">
        <v>1</v>
      </c>
      <c r="J415" s="39" t="n">
        <v>81.20999999999999</v>
      </c>
      <c r="K415" s="45" t="n">
        <v>0.05</v>
      </c>
      <c r="L415" s="39" t="n">
        <v>40.44</v>
      </c>
      <c r="M415" s="39">
        <f>I415*J415*(1-K415)</f>
        <v/>
      </c>
      <c r="N415" s="39">
        <f>I415*L415</f>
        <v/>
      </c>
      <c r="O415" s="39">
        <f>M415-N415</f>
        <v/>
      </c>
      <c r="P415" s="38">
        <f>IF(M415=0,0,O415/M415)</f>
        <v/>
      </c>
      <c r="Q415" s="36">
        <f>YEAR(B415)</f>
        <v/>
      </c>
      <c r="R415" s="36">
        <f>"Q"&amp;ROUNDUP(MONTH(B415)/3,0)</f>
        <v/>
      </c>
      <c r="S415" s="36">
        <f>MONTH(B415)</f>
        <v/>
      </c>
      <c r="T415" s="36">
        <f>TEXT(B415,"mmm")</f>
        <v/>
      </c>
      <c r="U415" s="36">
        <f>IF(AND(OR(sel_Region="All",C415=sel_Region),OR(sel_Country="All",D415=sel_Country),OR(sel_Channel="All",E415=sel_Channel),OR(sel_Customer="All",F415=sel_Customer),OR(sel_Category="All",G415=sel_Category),OR(sel_Product="All",H415=sel_Product),AND(S415&gt;=m_From,S415&lt;=m_To)),1,0)</f>
        <v/>
      </c>
      <c r="V415" s="36">
        <f>IF(AND(OR(sel_Region="All",C415=sel_Region),OR(sel_Channel="All",E415=sel_Channel),OR(sel_Customer="All",F415=sel_Customer),OR(sel_Category="All",G415=sel_Category),OR(sel_Product="All",H415=sel_Product),AND(S415&gt;=m_From,S415&lt;=m_To)),1,0)</f>
        <v/>
      </c>
      <c r="W415" s="36">
        <f>IF(AND(OR(sel_Region="All",C415=sel_Region),OR(sel_Country="All",D415=sel_Country),OR(sel_Customer="All",F415=sel_Customer),OR(sel_Category="All",G415=sel_Category),OR(sel_Product="All",H415=sel_Product),AND(S415&gt;=m_From,S415&lt;=m_To)),1,0)</f>
        <v/>
      </c>
      <c r="X415" s="36">
        <f>IF(AND(OR(sel_Region="All",C415=sel_Region),OR(sel_Country="All",D415=sel_Country),OR(sel_Channel="All",E415=sel_Channel),OR(sel_Category="All",G415=sel_Category),OR(sel_Product="All",H415=sel_Product),AND(S415&gt;=m_From,S415&lt;=m_To)),1,0)</f>
        <v/>
      </c>
      <c r="Y415" s="36">
        <f>IF(AND(OR(sel_Region="All",C415=sel_Region),OR(sel_Country="All",D415=sel_Country),OR(sel_Channel="All",E415=sel_Channel),OR(sel_Customer="All",F415=sel_Customer),OR(sel_Product="All",H415=sel_Product),AND(S415&gt;=m_From,S415&lt;=m_To)),1,0)</f>
        <v/>
      </c>
      <c r="Z415" s="36">
        <f>IF(AND(OR(sel_Region="All",C415=sel_Region),OR(sel_Country="All",D415=sel_Country),OR(sel_Channel="All",E415=sel_Channel),OR(sel_Customer="All",F415=sel_Customer),OR(sel_Category="All",G415=sel_Category),AND(S415&gt;=m_From,S415&lt;=m_To)),1,0)</f>
        <v/>
      </c>
      <c r="AA415" s="36">
        <f>IF(AND(OR(sel_Region="All",C415=sel_Region),OR(sel_Country="All",D415=sel_Country),OR(sel_Channel="All",E415=sel_Channel),OR(sel_Customer="All",F415=sel_Customer),OR(sel_Category="All",G415=sel_Category),OR(sel_Product="All",H415=sel_Product)),1,0)</f>
        <v/>
      </c>
    </row>
    <row r="416">
      <c r="A416" s="36" t="inlineStr">
        <is>
          <t>01189</t>
        </is>
      </c>
      <c r="B416" s="44" t="n">
        <v>46104</v>
      </c>
      <c r="C416" s="36" t="inlineStr">
        <is>
          <t>Western Europe</t>
        </is>
      </c>
      <c r="D416" s="36" t="inlineStr">
        <is>
          <t>France</t>
        </is>
      </c>
      <c r="E416" s="36" t="inlineStr">
        <is>
          <t>Online Store</t>
        </is>
      </c>
      <c r="F416" s="36" t="inlineStr">
        <is>
          <t>New</t>
        </is>
      </c>
      <c r="G416" s="36" t="inlineStr">
        <is>
          <t>Cycling</t>
        </is>
      </c>
      <c r="H416" s="36" t="inlineStr">
        <is>
          <t>Cycling Pack 12L</t>
        </is>
      </c>
      <c r="I416" s="36" t="n">
        <v>2</v>
      </c>
      <c r="J416" s="39" t="n">
        <v>103.22</v>
      </c>
      <c r="K416" s="45" t="n">
        <v>0</v>
      </c>
      <c r="L416" s="39" t="n">
        <v>51.33</v>
      </c>
      <c r="M416" s="39">
        <f>I416*J416*(1-K416)</f>
        <v/>
      </c>
      <c r="N416" s="39">
        <f>I416*L416</f>
        <v/>
      </c>
      <c r="O416" s="39">
        <f>M416-N416</f>
        <v/>
      </c>
      <c r="P416" s="38">
        <f>IF(M416=0,0,O416/M416)</f>
        <v/>
      </c>
      <c r="Q416" s="36">
        <f>YEAR(B416)</f>
        <v/>
      </c>
      <c r="R416" s="36">
        <f>"Q"&amp;ROUNDUP(MONTH(B416)/3,0)</f>
        <v/>
      </c>
      <c r="S416" s="36">
        <f>MONTH(B416)</f>
        <v/>
      </c>
      <c r="T416" s="36">
        <f>TEXT(B416,"mmm")</f>
        <v/>
      </c>
      <c r="U416" s="36">
        <f>IF(AND(OR(sel_Region="All",C416=sel_Region),OR(sel_Country="All",D416=sel_Country),OR(sel_Channel="All",E416=sel_Channel),OR(sel_Customer="All",F416=sel_Customer),OR(sel_Category="All",G416=sel_Category),OR(sel_Product="All",H416=sel_Product),AND(S416&gt;=m_From,S416&lt;=m_To)),1,0)</f>
        <v/>
      </c>
      <c r="V416" s="36">
        <f>IF(AND(OR(sel_Region="All",C416=sel_Region),OR(sel_Channel="All",E416=sel_Channel),OR(sel_Customer="All",F416=sel_Customer),OR(sel_Category="All",G416=sel_Category),OR(sel_Product="All",H416=sel_Product),AND(S416&gt;=m_From,S416&lt;=m_To)),1,0)</f>
        <v/>
      </c>
      <c r="W416" s="36">
        <f>IF(AND(OR(sel_Region="All",C416=sel_Region),OR(sel_Country="All",D416=sel_Country),OR(sel_Customer="All",F416=sel_Customer),OR(sel_Category="All",G416=sel_Category),OR(sel_Product="All",H416=sel_Product),AND(S416&gt;=m_From,S416&lt;=m_To)),1,0)</f>
        <v/>
      </c>
      <c r="X416" s="36">
        <f>IF(AND(OR(sel_Region="All",C416=sel_Region),OR(sel_Country="All",D416=sel_Country),OR(sel_Channel="All",E416=sel_Channel),OR(sel_Category="All",G416=sel_Category),OR(sel_Product="All",H416=sel_Product),AND(S416&gt;=m_From,S416&lt;=m_To)),1,0)</f>
        <v/>
      </c>
      <c r="Y416" s="36">
        <f>IF(AND(OR(sel_Region="All",C416=sel_Region),OR(sel_Country="All",D416=sel_Country),OR(sel_Channel="All",E416=sel_Channel),OR(sel_Customer="All",F416=sel_Customer),OR(sel_Product="All",H416=sel_Product),AND(S416&gt;=m_From,S416&lt;=m_To)),1,0)</f>
        <v/>
      </c>
      <c r="Z416" s="36">
        <f>IF(AND(OR(sel_Region="All",C416=sel_Region),OR(sel_Country="All",D416=sel_Country),OR(sel_Channel="All",E416=sel_Channel),OR(sel_Customer="All",F416=sel_Customer),OR(sel_Category="All",G416=sel_Category),AND(S416&gt;=m_From,S416&lt;=m_To)),1,0)</f>
        <v/>
      </c>
      <c r="AA416" s="36">
        <f>IF(AND(OR(sel_Region="All",C416=sel_Region),OR(sel_Country="All",D416=sel_Country),OR(sel_Channel="All",E416=sel_Channel),OR(sel_Customer="All",F416=sel_Customer),OR(sel_Category="All",G416=sel_Category),OR(sel_Product="All",H416=sel_Product)),1,0)</f>
        <v/>
      </c>
    </row>
    <row r="417">
      <c r="A417" s="36" t="inlineStr">
        <is>
          <t>01590</t>
        </is>
      </c>
      <c r="B417" s="44" t="n">
        <v>46104</v>
      </c>
      <c r="C417" s="36" t="inlineStr">
        <is>
          <t>Southern Europe</t>
        </is>
      </c>
      <c r="D417" s="36" t="inlineStr">
        <is>
          <t>Italy</t>
        </is>
      </c>
      <c r="E417" s="36" t="inlineStr">
        <is>
          <t>Marketplace</t>
        </is>
      </c>
      <c r="F417" s="36" t="inlineStr">
        <is>
          <t>New</t>
        </is>
      </c>
      <c r="G417" s="36" t="inlineStr">
        <is>
          <t>Hiking</t>
        </is>
      </c>
      <c r="H417" s="36" t="inlineStr">
        <is>
          <t>Summit Backpack 45L</t>
        </is>
      </c>
      <c r="I417" s="36" t="n">
        <v>1</v>
      </c>
      <c r="J417" s="39" t="n">
        <v>153.47</v>
      </c>
      <c r="K417" s="45" t="n">
        <v>0</v>
      </c>
      <c r="L417" s="39" t="n">
        <v>78.19</v>
      </c>
      <c r="M417" s="39">
        <f>I417*J417*(1-K417)</f>
        <v/>
      </c>
      <c r="N417" s="39">
        <f>I417*L417</f>
        <v/>
      </c>
      <c r="O417" s="39">
        <f>M417-N417</f>
        <v/>
      </c>
      <c r="P417" s="38">
        <f>IF(M417=0,0,O417/M417)</f>
        <v/>
      </c>
      <c r="Q417" s="36">
        <f>YEAR(B417)</f>
        <v/>
      </c>
      <c r="R417" s="36">
        <f>"Q"&amp;ROUNDUP(MONTH(B417)/3,0)</f>
        <v/>
      </c>
      <c r="S417" s="36">
        <f>MONTH(B417)</f>
        <v/>
      </c>
      <c r="T417" s="36">
        <f>TEXT(B417,"mmm")</f>
        <v/>
      </c>
      <c r="U417" s="36">
        <f>IF(AND(OR(sel_Region="All",C417=sel_Region),OR(sel_Country="All",D417=sel_Country),OR(sel_Channel="All",E417=sel_Channel),OR(sel_Customer="All",F417=sel_Customer),OR(sel_Category="All",G417=sel_Category),OR(sel_Product="All",H417=sel_Product),AND(S417&gt;=m_From,S417&lt;=m_To)),1,0)</f>
        <v/>
      </c>
      <c r="V417" s="36">
        <f>IF(AND(OR(sel_Region="All",C417=sel_Region),OR(sel_Channel="All",E417=sel_Channel),OR(sel_Customer="All",F417=sel_Customer),OR(sel_Category="All",G417=sel_Category),OR(sel_Product="All",H417=sel_Product),AND(S417&gt;=m_From,S417&lt;=m_To)),1,0)</f>
        <v/>
      </c>
      <c r="W417" s="36">
        <f>IF(AND(OR(sel_Region="All",C417=sel_Region),OR(sel_Country="All",D417=sel_Country),OR(sel_Customer="All",F417=sel_Customer),OR(sel_Category="All",G417=sel_Category),OR(sel_Product="All",H417=sel_Product),AND(S417&gt;=m_From,S417&lt;=m_To)),1,0)</f>
        <v/>
      </c>
      <c r="X417" s="36">
        <f>IF(AND(OR(sel_Region="All",C417=sel_Region),OR(sel_Country="All",D417=sel_Country),OR(sel_Channel="All",E417=sel_Channel),OR(sel_Category="All",G417=sel_Category),OR(sel_Product="All",H417=sel_Product),AND(S417&gt;=m_From,S417&lt;=m_To)),1,0)</f>
        <v/>
      </c>
      <c r="Y417" s="36">
        <f>IF(AND(OR(sel_Region="All",C417=sel_Region),OR(sel_Country="All",D417=sel_Country),OR(sel_Channel="All",E417=sel_Channel),OR(sel_Customer="All",F417=sel_Customer),OR(sel_Product="All",H417=sel_Product),AND(S417&gt;=m_From,S417&lt;=m_To)),1,0)</f>
        <v/>
      </c>
      <c r="Z417" s="36">
        <f>IF(AND(OR(sel_Region="All",C417=sel_Region),OR(sel_Country="All",D417=sel_Country),OR(sel_Channel="All",E417=sel_Channel),OR(sel_Customer="All",F417=sel_Customer),OR(sel_Category="All",G417=sel_Category),AND(S417&gt;=m_From,S417&lt;=m_To)),1,0)</f>
        <v/>
      </c>
      <c r="AA417" s="36">
        <f>IF(AND(OR(sel_Region="All",C417=sel_Region),OR(sel_Country="All",D417=sel_Country),OR(sel_Channel="All",E417=sel_Channel),OR(sel_Customer="All",F417=sel_Customer),OR(sel_Category="All",G417=sel_Category),OR(sel_Product="All",H417=sel_Product)),1,0)</f>
        <v/>
      </c>
    </row>
    <row r="418">
      <c r="A418" s="36" t="inlineStr">
        <is>
          <t>02309</t>
        </is>
      </c>
      <c r="B418" s="44" t="n">
        <v>46104</v>
      </c>
      <c r="C418" s="36" t="inlineStr">
        <is>
          <t>Western Europe</t>
        </is>
      </c>
      <c r="D418" s="36" t="inlineStr">
        <is>
          <t>Netherlands</t>
        </is>
      </c>
      <c r="E418" s="36" t="inlineStr">
        <is>
          <t>Online Store</t>
        </is>
      </c>
      <c r="F418" s="36" t="inlineStr">
        <is>
          <t>Returning</t>
        </is>
      </c>
      <c r="G418" s="36" t="inlineStr">
        <is>
          <t>Camping</t>
        </is>
      </c>
      <c r="H418" s="36" t="inlineStr">
        <is>
          <t>Trail Tent 2P</t>
        </is>
      </c>
      <c r="I418" s="36" t="n">
        <v>6</v>
      </c>
      <c r="J418" s="39" t="n">
        <v>199.75</v>
      </c>
      <c r="K418" s="45" t="n">
        <v>0</v>
      </c>
      <c r="L418" s="39" t="n">
        <v>105.84</v>
      </c>
      <c r="M418" s="39">
        <f>I418*J418*(1-K418)</f>
        <v/>
      </c>
      <c r="N418" s="39">
        <f>I418*L418</f>
        <v/>
      </c>
      <c r="O418" s="39">
        <f>M418-N418</f>
        <v/>
      </c>
      <c r="P418" s="38">
        <f>IF(M418=0,0,O418/M418)</f>
        <v/>
      </c>
      <c r="Q418" s="36">
        <f>YEAR(B418)</f>
        <v/>
      </c>
      <c r="R418" s="36">
        <f>"Q"&amp;ROUNDUP(MONTH(B418)/3,0)</f>
        <v/>
      </c>
      <c r="S418" s="36">
        <f>MONTH(B418)</f>
        <v/>
      </c>
      <c r="T418" s="36">
        <f>TEXT(B418,"mmm")</f>
        <v/>
      </c>
      <c r="U418" s="36">
        <f>IF(AND(OR(sel_Region="All",C418=sel_Region),OR(sel_Country="All",D418=sel_Country),OR(sel_Channel="All",E418=sel_Channel),OR(sel_Customer="All",F418=sel_Customer),OR(sel_Category="All",G418=sel_Category),OR(sel_Product="All",H418=sel_Product),AND(S418&gt;=m_From,S418&lt;=m_To)),1,0)</f>
        <v/>
      </c>
      <c r="V418" s="36">
        <f>IF(AND(OR(sel_Region="All",C418=sel_Region),OR(sel_Channel="All",E418=sel_Channel),OR(sel_Customer="All",F418=sel_Customer),OR(sel_Category="All",G418=sel_Category),OR(sel_Product="All",H418=sel_Product),AND(S418&gt;=m_From,S418&lt;=m_To)),1,0)</f>
        <v/>
      </c>
      <c r="W418" s="36">
        <f>IF(AND(OR(sel_Region="All",C418=sel_Region),OR(sel_Country="All",D418=sel_Country),OR(sel_Customer="All",F418=sel_Customer),OR(sel_Category="All",G418=sel_Category),OR(sel_Product="All",H418=sel_Product),AND(S418&gt;=m_From,S418&lt;=m_To)),1,0)</f>
        <v/>
      </c>
      <c r="X418" s="36">
        <f>IF(AND(OR(sel_Region="All",C418=sel_Region),OR(sel_Country="All",D418=sel_Country),OR(sel_Channel="All",E418=sel_Channel),OR(sel_Category="All",G418=sel_Category),OR(sel_Product="All",H418=sel_Product),AND(S418&gt;=m_From,S418&lt;=m_To)),1,0)</f>
        <v/>
      </c>
      <c r="Y418" s="36">
        <f>IF(AND(OR(sel_Region="All",C418=sel_Region),OR(sel_Country="All",D418=sel_Country),OR(sel_Channel="All",E418=sel_Channel),OR(sel_Customer="All",F418=sel_Customer),OR(sel_Product="All",H418=sel_Product),AND(S418&gt;=m_From,S418&lt;=m_To)),1,0)</f>
        <v/>
      </c>
      <c r="Z418" s="36">
        <f>IF(AND(OR(sel_Region="All",C418=sel_Region),OR(sel_Country="All",D418=sel_Country),OR(sel_Channel="All",E418=sel_Channel),OR(sel_Customer="All",F418=sel_Customer),OR(sel_Category="All",G418=sel_Category),AND(S418&gt;=m_From,S418&lt;=m_To)),1,0)</f>
        <v/>
      </c>
      <c r="AA418" s="36">
        <f>IF(AND(OR(sel_Region="All",C418=sel_Region),OR(sel_Country="All",D418=sel_Country),OR(sel_Channel="All",E418=sel_Channel),OR(sel_Customer="All",F418=sel_Customer),OR(sel_Category="All",G418=sel_Category),OR(sel_Product="All",H418=sel_Product)),1,0)</f>
        <v/>
      </c>
    </row>
    <row r="419">
      <c r="A419" s="36" t="inlineStr">
        <is>
          <t>03628</t>
        </is>
      </c>
      <c r="B419" s="44" t="n">
        <v>46104</v>
      </c>
      <c r="C419" s="36" t="inlineStr">
        <is>
          <t>Central Europe</t>
        </is>
      </c>
      <c r="D419" s="36" t="inlineStr">
        <is>
          <t>Germany</t>
        </is>
      </c>
      <c r="E419" s="36" t="inlineStr">
        <is>
          <t>Marketplace</t>
        </is>
      </c>
      <c r="F419" s="36" t="inlineStr">
        <is>
          <t>New</t>
        </is>
      </c>
      <c r="G419" s="36" t="inlineStr">
        <is>
          <t>Travel</t>
        </is>
      </c>
      <c r="H419" s="36" t="inlineStr">
        <is>
          <t>Packing Cube Set</t>
        </is>
      </c>
      <c r="I419" s="36" t="n">
        <v>1</v>
      </c>
      <c r="J419" s="39" t="n">
        <v>45.84</v>
      </c>
      <c r="K419" s="45" t="n">
        <v>0</v>
      </c>
      <c r="L419" s="39" t="n">
        <v>18.08</v>
      </c>
      <c r="M419" s="39">
        <f>I419*J419*(1-K419)</f>
        <v/>
      </c>
      <c r="N419" s="39">
        <f>I419*L419</f>
        <v/>
      </c>
      <c r="O419" s="39">
        <f>M419-N419</f>
        <v/>
      </c>
      <c r="P419" s="38">
        <f>IF(M419=0,0,O419/M419)</f>
        <v/>
      </c>
      <c r="Q419" s="36">
        <f>YEAR(B419)</f>
        <v/>
      </c>
      <c r="R419" s="36">
        <f>"Q"&amp;ROUNDUP(MONTH(B419)/3,0)</f>
        <v/>
      </c>
      <c r="S419" s="36">
        <f>MONTH(B419)</f>
        <v/>
      </c>
      <c r="T419" s="36">
        <f>TEXT(B419,"mmm")</f>
        <v/>
      </c>
      <c r="U419" s="36">
        <f>IF(AND(OR(sel_Region="All",C419=sel_Region),OR(sel_Country="All",D419=sel_Country),OR(sel_Channel="All",E419=sel_Channel),OR(sel_Customer="All",F419=sel_Customer),OR(sel_Category="All",G419=sel_Category),OR(sel_Product="All",H419=sel_Product),AND(S419&gt;=m_From,S419&lt;=m_To)),1,0)</f>
        <v/>
      </c>
      <c r="V419" s="36">
        <f>IF(AND(OR(sel_Region="All",C419=sel_Region),OR(sel_Channel="All",E419=sel_Channel),OR(sel_Customer="All",F419=sel_Customer),OR(sel_Category="All",G419=sel_Category),OR(sel_Product="All",H419=sel_Product),AND(S419&gt;=m_From,S419&lt;=m_To)),1,0)</f>
        <v/>
      </c>
      <c r="W419" s="36">
        <f>IF(AND(OR(sel_Region="All",C419=sel_Region),OR(sel_Country="All",D419=sel_Country),OR(sel_Customer="All",F419=sel_Customer),OR(sel_Category="All",G419=sel_Category),OR(sel_Product="All",H419=sel_Product),AND(S419&gt;=m_From,S419&lt;=m_To)),1,0)</f>
        <v/>
      </c>
      <c r="X419" s="36">
        <f>IF(AND(OR(sel_Region="All",C419=sel_Region),OR(sel_Country="All",D419=sel_Country),OR(sel_Channel="All",E419=sel_Channel),OR(sel_Category="All",G419=sel_Category),OR(sel_Product="All",H419=sel_Product),AND(S419&gt;=m_From,S419&lt;=m_To)),1,0)</f>
        <v/>
      </c>
      <c r="Y419" s="36">
        <f>IF(AND(OR(sel_Region="All",C419=sel_Region),OR(sel_Country="All",D419=sel_Country),OR(sel_Channel="All",E419=sel_Channel),OR(sel_Customer="All",F419=sel_Customer),OR(sel_Product="All",H419=sel_Product),AND(S419&gt;=m_From,S419&lt;=m_To)),1,0)</f>
        <v/>
      </c>
      <c r="Z419" s="36">
        <f>IF(AND(OR(sel_Region="All",C419=sel_Region),OR(sel_Country="All",D419=sel_Country),OR(sel_Channel="All",E419=sel_Channel),OR(sel_Customer="All",F419=sel_Customer),OR(sel_Category="All",G419=sel_Category),AND(S419&gt;=m_From,S419&lt;=m_To)),1,0)</f>
        <v/>
      </c>
      <c r="AA419" s="36">
        <f>IF(AND(OR(sel_Region="All",C419=sel_Region),OR(sel_Country="All",D419=sel_Country),OR(sel_Channel="All",E419=sel_Channel),OR(sel_Customer="All",F419=sel_Customer),OR(sel_Category="All",G419=sel_Category),OR(sel_Product="All",H419=sel_Product)),1,0)</f>
        <v/>
      </c>
    </row>
    <row r="420">
      <c r="A420" s="36" t="inlineStr">
        <is>
          <t>03718</t>
        </is>
      </c>
      <c r="B420" s="44" t="n">
        <v>46104</v>
      </c>
      <c r="C420" s="36" t="inlineStr">
        <is>
          <t>Central Europe</t>
        </is>
      </c>
      <c r="D420" s="36" t="inlineStr">
        <is>
          <t>Germany</t>
        </is>
      </c>
      <c r="E420" s="36" t="inlineStr">
        <is>
          <t>Marketplace</t>
        </is>
      </c>
      <c r="F420" s="36" t="inlineStr">
        <is>
          <t>New</t>
        </is>
      </c>
      <c r="G420" s="36" t="inlineStr">
        <is>
          <t>Camping</t>
        </is>
      </c>
      <c r="H420" s="36" t="inlineStr">
        <is>
          <t>Compact Sleeping Bag</t>
        </is>
      </c>
      <c r="I420" s="36" t="n">
        <v>2</v>
      </c>
      <c r="J420" s="39" t="n">
        <v>122.07</v>
      </c>
      <c r="K420" s="45" t="n">
        <v>0.05</v>
      </c>
      <c r="L420" s="39" t="n">
        <v>59.16</v>
      </c>
      <c r="M420" s="39">
        <f>I420*J420*(1-K420)</f>
        <v/>
      </c>
      <c r="N420" s="39">
        <f>I420*L420</f>
        <v/>
      </c>
      <c r="O420" s="39">
        <f>M420-N420</f>
        <v/>
      </c>
      <c r="P420" s="38">
        <f>IF(M420=0,0,O420/M420)</f>
        <v/>
      </c>
      <c r="Q420" s="36">
        <f>YEAR(B420)</f>
        <v/>
      </c>
      <c r="R420" s="36">
        <f>"Q"&amp;ROUNDUP(MONTH(B420)/3,0)</f>
        <v/>
      </c>
      <c r="S420" s="36">
        <f>MONTH(B420)</f>
        <v/>
      </c>
      <c r="T420" s="36">
        <f>TEXT(B420,"mmm")</f>
        <v/>
      </c>
      <c r="U420" s="36">
        <f>IF(AND(OR(sel_Region="All",C420=sel_Region),OR(sel_Country="All",D420=sel_Country),OR(sel_Channel="All",E420=sel_Channel),OR(sel_Customer="All",F420=sel_Customer),OR(sel_Category="All",G420=sel_Category),OR(sel_Product="All",H420=sel_Product),AND(S420&gt;=m_From,S420&lt;=m_To)),1,0)</f>
        <v/>
      </c>
      <c r="V420" s="36">
        <f>IF(AND(OR(sel_Region="All",C420=sel_Region),OR(sel_Channel="All",E420=sel_Channel),OR(sel_Customer="All",F420=sel_Customer),OR(sel_Category="All",G420=sel_Category),OR(sel_Product="All",H420=sel_Product),AND(S420&gt;=m_From,S420&lt;=m_To)),1,0)</f>
        <v/>
      </c>
      <c r="W420" s="36">
        <f>IF(AND(OR(sel_Region="All",C420=sel_Region),OR(sel_Country="All",D420=sel_Country),OR(sel_Customer="All",F420=sel_Customer),OR(sel_Category="All",G420=sel_Category),OR(sel_Product="All",H420=sel_Product),AND(S420&gt;=m_From,S420&lt;=m_To)),1,0)</f>
        <v/>
      </c>
      <c r="X420" s="36">
        <f>IF(AND(OR(sel_Region="All",C420=sel_Region),OR(sel_Country="All",D420=sel_Country),OR(sel_Channel="All",E420=sel_Channel),OR(sel_Category="All",G420=sel_Category),OR(sel_Product="All",H420=sel_Product),AND(S420&gt;=m_From,S420&lt;=m_To)),1,0)</f>
        <v/>
      </c>
      <c r="Y420" s="36">
        <f>IF(AND(OR(sel_Region="All",C420=sel_Region),OR(sel_Country="All",D420=sel_Country),OR(sel_Channel="All",E420=sel_Channel),OR(sel_Customer="All",F420=sel_Customer),OR(sel_Product="All",H420=sel_Product),AND(S420&gt;=m_From,S420&lt;=m_To)),1,0)</f>
        <v/>
      </c>
      <c r="Z420" s="36">
        <f>IF(AND(OR(sel_Region="All",C420=sel_Region),OR(sel_Country="All",D420=sel_Country),OR(sel_Channel="All",E420=sel_Channel),OR(sel_Customer="All",F420=sel_Customer),OR(sel_Category="All",G420=sel_Category),AND(S420&gt;=m_From,S420&lt;=m_To)),1,0)</f>
        <v/>
      </c>
      <c r="AA420" s="36">
        <f>IF(AND(OR(sel_Region="All",C420=sel_Region),OR(sel_Country="All",D420=sel_Country),OR(sel_Channel="All",E420=sel_Channel),OR(sel_Customer="All",F420=sel_Customer),OR(sel_Category="All",G420=sel_Category),OR(sel_Product="All",H420=sel_Product)),1,0)</f>
        <v/>
      </c>
    </row>
    <row r="421">
      <c r="A421" s="36" t="inlineStr">
        <is>
          <t>04198</t>
        </is>
      </c>
      <c r="B421" s="44" t="n">
        <v>46104</v>
      </c>
      <c r="C421" s="36" t="inlineStr">
        <is>
          <t>Central Europe</t>
        </is>
      </c>
      <c r="D421" s="36" t="inlineStr">
        <is>
          <t>Poland</t>
        </is>
      </c>
      <c r="E421" s="36" t="inlineStr">
        <is>
          <t>Marketplace</t>
        </is>
      </c>
      <c r="F421" s="36" t="inlineStr">
        <is>
          <t>New</t>
        </is>
      </c>
      <c r="G421" s="36" t="inlineStr">
        <is>
          <t>Fitness</t>
        </is>
      </c>
      <c r="H421" s="36" t="inlineStr">
        <is>
          <t>Weighted Vest</t>
        </is>
      </c>
      <c r="I421" s="36" t="n">
        <v>3</v>
      </c>
      <c r="J421" s="39" t="n">
        <v>122.4</v>
      </c>
      <c r="K421" s="45" t="n">
        <v>0.15</v>
      </c>
      <c r="L421" s="39" t="n">
        <v>71.15000000000001</v>
      </c>
      <c r="M421" s="39">
        <f>I421*J421*(1-K421)</f>
        <v/>
      </c>
      <c r="N421" s="39">
        <f>I421*L421</f>
        <v/>
      </c>
      <c r="O421" s="39">
        <f>M421-N421</f>
        <v/>
      </c>
      <c r="P421" s="38">
        <f>IF(M421=0,0,O421/M421)</f>
        <v/>
      </c>
      <c r="Q421" s="36">
        <f>YEAR(B421)</f>
        <v/>
      </c>
      <c r="R421" s="36">
        <f>"Q"&amp;ROUNDUP(MONTH(B421)/3,0)</f>
        <v/>
      </c>
      <c r="S421" s="36">
        <f>MONTH(B421)</f>
        <v/>
      </c>
      <c r="T421" s="36">
        <f>TEXT(B421,"mmm")</f>
        <v/>
      </c>
      <c r="U421" s="36">
        <f>IF(AND(OR(sel_Region="All",C421=sel_Region),OR(sel_Country="All",D421=sel_Country),OR(sel_Channel="All",E421=sel_Channel),OR(sel_Customer="All",F421=sel_Customer),OR(sel_Category="All",G421=sel_Category),OR(sel_Product="All",H421=sel_Product),AND(S421&gt;=m_From,S421&lt;=m_To)),1,0)</f>
        <v/>
      </c>
      <c r="V421" s="36">
        <f>IF(AND(OR(sel_Region="All",C421=sel_Region),OR(sel_Channel="All",E421=sel_Channel),OR(sel_Customer="All",F421=sel_Customer),OR(sel_Category="All",G421=sel_Category),OR(sel_Product="All",H421=sel_Product),AND(S421&gt;=m_From,S421&lt;=m_To)),1,0)</f>
        <v/>
      </c>
      <c r="W421" s="36">
        <f>IF(AND(OR(sel_Region="All",C421=sel_Region),OR(sel_Country="All",D421=sel_Country),OR(sel_Customer="All",F421=sel_Customer),OR(sel_Category="All",G421=sel_Category),OR(sel_Product="All",H421=sel_Product),AND(S421&gt;=m_From,S421&lt;=m_To)),1,0)</f>
        <v/>
      </c>
      <c r="X421" s="36">
        <f>IF(AND(OR(sel_Region="All",C421=sel_Region),OR(sel_Country="All",D421=sel_Country),OR(sel_Channel="All",E421=sel_Channel),OR(sel_Category="All",G421=sel_Category),OR(sel_Product="All",H421=sel_Product),AND(S421&gt;=m_From,S421&lt;=m_To)),1,0)</f>
        <v/>
      </c>
      <c r="Y421" s="36">
        <f>IF(AND(OR(sel_Region="All",C421=sel_Region),OR(sel_Country="All",D421=sel_Country),OR(sel_Channel="All",E421=sel_Channel),OR(sel_Customer="All",F421=sel_Customer),OR(sel_Product="All",H421=sel_Product),AND(S421&gt;=m_From,S421&lt;=m_To)),1,0)</f>
        <v/>
      </c>
      <c r="Z421" s="36">
        <f>IF(AND(OR(sel_Region="All",C421=sel_Region),OR(sel_Country="All",D421=sel_Country),OR(sel_Channel="All",E421=sel_Channel),OR(sel_Customer="All",F421=sel_Customer),OR(sel_Category="All",G421=sel_Category),AND(S421&gt;=m_From,S421&lt;=m_To)),1,0)</f>
        <v/>
      </c>
      <c r="AA421" s="36">
        <f>IF(AND(OR(sel_Region="All",C421=sel_Region),OR(sel_Country="All",D421=sel_Country),OR(sel_Channel="All",E421=sel_Channel),OR(sel_Customer="All",F421=sel_Customer),OR(sel_Category="All",G421=sel_Category),OR(sel_Product="All",H421=sel_Product)),1,0)</f>
        <v/>
      </c>
    </row>
    <row r="422">
      <c r="A422" s="36" t="inlineStr">
        <is>
          <t>04784</t>
        </is>
      </c>
      <c r="B422" s="44" t="n">
        <v>46104</v>
      </c>
      <c r="C422" s="36" t="inlineStr">
        <is>
          <t>Southern Europe</t>
        </is>
      </c>
      <c r="D422" s="36" t="inlineStr">
        <is>
          <t>Italy</t>
        </is>
      </c>
      <c r="E422" s="36" t="inlineStr">
        <is>
          <t>Online Store</t>
        </is>
      </c>
      <c r="F422" s="36" t="inlineStr">
        <is>
          <t>New</t>
        </is>
      </c>
      <c r="G422" s="36" t="inlineStr">
        <is>
          <t>Cycling</t>
        </is>
      </c>
      <c r="H422" s="36" t="inlineStr">
        <is>
          <t>Cycling Pack 12L</t>
        </is>
      </c>
      <c r="I422" s="36" t="n">
        <v>1</v>
      </c>
      <c r="J422" s="39" t="n">
        <v>101.43</v>
      </c>
      <c r="K422" s="45" t="n">
        <v>0</v>
      </c>
      <c r="L422" s="39" t="n">
        <v>51.78</v>
      </c>
      <c r="M422" s="39">
        <f>I422*J422*(1-K422)</f>
        <v/>
      </c>
      <c r="N422" s="39">
        <f>I422*L422</f>
        <v/>
      </c>
      <c r="O422" s="39">
        <f>M422-N422</f>
        <v/>
      </c>
      <c r="P422" s="38">
        <f>IF(M422=0,0,O422/M422)</f>
        <v/>
      </c>
      <c r="Q422" s="36">
        <f>YEAR(B422)</f>
        <v/>
      </c>
      <c r="R422" s="36">
        <f>"Q"&amp;ROUNDUP(MONTH(B422)/3,0)</f>
        <v/>
      </c>
      <c r="S422" s="36">
        <f>MONTH(B422)</f>
        <v/>
      </c>
      <c r="T422" s="36">
        <f>TEXT(B422,"mmm")</f>
        <v/>
      </c>
      <c r="U422" s="36">
        <f>IF(AND(OR(sel_Region="All",C422=sel_Region),OR(sel_Country="All",D422=sel_Country),OR(sel_Channel="All",E422=sel_Channel),OR(sel_Customer="All",F422=sel_Customer),OR(sel_Category="All",G422=sel_Category),OR(sel_Product="All",H422=sel_Product),AND(S422&gt;=m_From,S422&lt;=m_To)),1,0)</f>
        <v/>
      </c>
      <c r="V422" s="36">
        <f>IF(AND(OR(sel_Region="All",C422=sel_Region),OR(sel_Channel="All",E422=sel_Channel),OR(sel_Customer="All",F422=sel_Customer),OR(sel_Category="All",G422=sel_Category),OR(sel_Product="All",H422=sel_Product),AND(S422&gt;=m_From,S422&lt;=m_To)),1,0)</f>
        <v/>
      </c>
      <c r="W422" s="36">
        <f>IF(AND(OR(sel_Region="All",C422=sel_Region),OR(sel_Country="All",D422=sel_Country),OR(sel_Customer="All",F422=sel_Customer),OR(sel_Category="All",G422=sel_Category),OR(sel_Product="All",H422=sel_Product),AND(S422&gt;=m_From,S422&lt;=m_To)),1,0)</f>
        <v/>
      </c>
      <c r="X422" s="36">
        <f>IF(AND(OR(sel_Region="All",C422=sel_Region),OR(sel_Country="All",D422=sel_Country),OR(sel_Channel="All",E422=sel_Channel),OR(sel_Category="All",G422=sel_Category),OR(sel_Product="All",H422=sel_Product),AND(S422&gt;=m_From,S422&lt;=m_To)),1,0)</f>
        <v/>
      </c>
      <c r="Y422" s="36">
        <f>IF(AND(OR(sel_Region="All",C422=sel_Region),OR(sel_Country="All",D422=sel_Country),OR(sel_Channel="All",E422=sel_Channel),OR(sel_Customer="All",F422=sel_Customer),OR(sel_Product="All",H422=sel_Product),AND(S422&gt;=m_From,S422&lt;=m_To)),1,0)</f>
        <v/>
      </c>
      <c r="Z422" s="36">
        <f>IF(AND(OR(sel_Region="All",C422=sel_Region),OR(sel_Country="All",D422=sel_Country),OR(sel_Channel="All",E422=sel_Channel),OR(sel_Customer="All",F422=sel_Customer),OR(sel_Category="All",G422=sel_Category),AND(S422&gt;=m_From,S422&lt;=m_To)),1,0)</f>
        <v/>
      </c>
      <c r="AA422" s="36">
        <f>IF(AND(OR(sel_Region="All",C422=sel_Region),OR(sel_Country="All",D422=sel_Country),OR(sel_Channel="All",E422=sel_Channel),OR(sel_Customer="All",F422=sel_Customer),OR(sel_Category="All",G422=sel_Category),OR(sel_Product="All",H422=sel_Product)),1,0)</f>
        <v/>
      </c>
    </row>
    <row r="423">
      <c r="A423" s="36" t="inlineStr">
        <is>
          <t>00086</t>
        </is>
      </c>
      <c r="B423" s="44" t="n">
        <v>46105</v>
      </c>
      <c r="C423" s="36" t="inlineStr">
        <is>
          <t>Central Europe</t>
        </is>
      </c>
      <c r="D423" s="36" t="inlineStr">
        <is>
          <t>Germany</t>
        </is>
      </c>
      <c r="E423" s="36" t="inlineStr">
        <is>
          <t>Corporate</t>
        </is>
      </c>
      <c r="F423" s="36" t="inlineStr">
        <is>
          <t>Business</t>
        </is>
      </c>
      <c r="G423" s="36" t="inlineStr">
        <is>
          <t>Cycling</t>
        </is>
      </c>
      <c r="H423" s="36" t="inlineStr">
        <is>
          <t>Cycling Pack 12L</t>
        </is>
      </c>
      <c r="I423" s="36" t="n">
        <v>8</v>
      </c>
      <c r="J423" s="39" t="n">
        <v>104.7</v>
      </c>
      <c r="K423" s="45" t="n">
        <v>0.05</v>
      </c>
      <c r="L423" s="39" t="n">
        <v>49.91</v>
      </c>
      <c r="M423" s="39">
        <f>I423*J423*(1-K423)</f>
        <v/>
      </c>
      <c r="N423" s="39">
        <f>I423*L423</f>
        <v/>
      </c>
      <c r="O423" s="39">
        <f>M423-N423</f>
        <v/>
      </c>
      <c r="P423" s="38">
        <f>IF(M423=0,0,O423/M423)</f>
        <v/>
      </c>
      <c r="Q423" s="36">
        <f>YEAR(B423)</f>
        <v/>
      </c>
      <c r="R423" s="36">
        <f>"Q"&amp;ROUNDUP(MONTH(B423)/3,0)</f>
        <v/>
      </c>
      <c r="S423" s="36">
        <f>MONTH(B423)</f>
        <v/>
      </c>
      <c r="T423" s="36">
        <f>TEXT(B423,"mmm")</f>
        <v/>
      </c>
      <c r="U423" s="36">
        <f>IF(AND(OR(sel_Region="All",C423=sel_Region),OR(sel_Country="All",D423=sel_Country),OR(sel_Channel="All",E423=sel_Channel),OR(sel_Customer="All",F423=sel_Customer),OR(sel_Category="All",G423=sel_Category),OR(sel_Product="All",H423=sel_Product),AND(S423&gt;=m_From,S423&lt;=m_To)),1,0)</f>
        <v/>
      </c>
      <c r="V423" s="36">
        <f>IF(AND(OR(sel_Region="All",C423=sel_Region),OR(sel_Channel="All",E423=sel_Channel),OR(sel_Customer="All",F423=sel_Customer),OR(sel_Category="All",G423=sel_Category),OR(sel_Product="All",H423=sel_Product),AND(S423&gt;=m_From,S423&lt;=m_To)),1,0)</f>
        <v/>
      </c>
      <c r="W423" s="36">
        <f>IF(AND(OR(sel_Region="All",C423=sel_Region),OR(sel_Country="All",D423=sel_Country),OR(sel_Customer="All",F423=sel_Customer),OR(sel_Category="All",G423=sel_Category),OR(sel_Product="All",H423=sel_Product),AND(S423&gt;=m_From,S423&lt;=m_To)),1,0)</f>
        <v/>
      </c>
      <c r="X423" s="36">
        <f>IF(AND(OR(sel_Region="All",C423=sel_Region),OR(sel_Country="All",D423=sel_Country),OR(sel_Channel="All",E423=sel_Channel),OR(sel_Category="All",G423=sel_Category),OR(sel_Product="All",H423=sel_Product),AND(S423&gt;=m_From,S423&lt;=m_To)),1,0)</f>
        <v/>
      </c>
      <c r="Y423" s="36">
        <f>IF(AND(OR(sel_Region="All",C423=sel_Region),OR(sel_Country="All",D423=sel_Country),OR(sel_Channel="All",E423=sel_Channel),OR(sel_Customer="All",F423=sel_Customer),OR(sel_Product="All",H423=sel_Product),AND(S423&gt;=m_From,S423&lt;=m_To)),1,0)</f>
        <v/>
      </c>
      <c r="Z423" s="36">
        <f>IF(AND(OR(sel_Region="All",C423=sel_Region),OR(sel_Country="All",D423=sel_Country),OR(sel_Channel="All",E423=sel_Channel),OR(sel_Customer="All",F423=sel_Customer),OR(sel_Category="All",G423=sel_Category),AND(S423&gt;=m_From,S423&lt;=m_To)),1,0)</f>
        <v/>
      </c>
      <c r="AA423" s="36">
        <f>IF(AND(OR(sel_Region="All",C423=sel_Region),OR(sel_Country="All",D423=sel_Country),OR(sel_Channel="All",E423=sel_Channel),OR(sel_Customer="All",F423=sel_Customer),OR(sel_Category="All",G423=sel_Category),OR(sel_Product="All",H423=sel_Product)),1,0)</f>
        <v/>
      </c>
    </row>
    <row r="424">
      <c r="A424" s="36" t="inlineStr">
        <is>
          <t>01813</t>
        </is>
      </c>
      <c r="B424" s="44" t="n">
        <v>46105</v>
      </c>
      <c r="C424" s="36" t="inlineStr">
        <is>
          <t>Southern Europe</t>
        </is>
      </c>
      <c r="D424" s="36" t="inlineStr">
        <is>
          <t>Spain</t>
        </is>
      </c>
      <c r="E424" s="36" t="inlineStr">
        <is>
          <t>Retail Partners</t>
        </is>
      </c>
      <c r="F424" s="36" t="inlineStr">
        <is>
          <t>Returning</t>
        </is>
      </c>
      <c r="G424" s="36" t="inlineStr">
        <is>
          <t>Hiking</t>
        </is>
      </c>
      <c r="H424" s="36" t="inlineStr">
        <is>
          <t>Trail Boots</t>
        </is>
      </c>
      <c r="I424" s="36" t="n">
        <v>4</v>
      </c>
      <c r="J424" s="39" t="n">
        <v>146.34</v>
      </c>
      <c r="K424" s="45" t="n">
        <v>0</v>
      </c>
      <c r="L424" s="39" t="n">
        <v>79.37</v>
      </c>
      <c r="M424" s="39">
        <f>I424*J424*(1-K424)</f>
        <v/>
      </c>
      <c r="N424" s="39">
        <f>I424*L424</f>
        <v/>
      </c>
      <c r="O424" s="39">
        <f>M424-N424</f>
        <v/>
      </c>
      <c r="P424" s="38">
        <f>IF(M424=0,0,O424/M424)</f>
        <v/>
      </c>
      <c r="Q424" s="36">
        <f>YEAR(B424)</f>
        <v/>
      </c>
      <c r="R424" s="36">
        <f>"Q"&amp;ROUNDUP(MONTH(B424)/3,0)</f>
        <v/>
      </c>
      <c r="S424" s="36">
        <f>MONTH(B424)</f>
        <v/>
      </c>
      <c r="T424" s="36">
        <f>TEXT(B424,"mmm")</f>
        <v/>
      </c>
      <c r="U424" s="36">
        <f>IF(AND(OR(sel_Region="All",C424=sel_Region),OR(sel_Country="All",D424=sel_Country),OR(sel_Channel="All",E424=sel_Channel),OR(sel_Customer="All",F424=sel_Customer),OR(sel_Category="All",G424=sel_Category),OR(sel_Product="All",H424=sel_Product),AND(S424&gt;=m_From,S424&lt;=m_To)),1,0)</f>
        <v/>
      </c>
      <c r="V424" s="36">
        <f>IF(AND(OR(sel_Region="All",C424=sel_Region),OR(sel_Channel="All",E424=sel_Channel),OR(sel_Customer="All",F424=sel_Customer),OR(sel_Category="All",G424=sel_Category),OR(sel_Product="All",H424=sel_Product),AND(S424&gt;=m_From,S424&lt;=m_To)),1,0)</f>
        <v/>
      </c>
      <c r="W424" s="36">
        <f>IF(AND(OR(sel_Region="All",C424=sel_Region),OR(sel_Country="All",D424=sel_Country),OR(sel_Customer="All",F424=sel_Customer),OR(sel_Category="All",G424=sel_Category),OR(sel_Product="All",H424=sel_Product),AND(S424&gt;=m_From,S424&lt;=m_To)),1,0)</f>
        <v/>
      </c>
      <c r="X424" s="36">
        <f>IF(AND(OR(sel_Region="All",C424=sel_Region),OR(sel_Country="All",D424=sel_Country),OR(sel_Channel="All",E424=sel_Channel),OR(sel_Category="All",G424=sel_Category),OR(sel_Product="All",H424=sel_Product),AND(S424&gt;=m_From,S424&lt;=m_To)),1,0)</f>
        <v/>
      </c>
      <c r="Y424" s="36">
        <f>IF(AND(OR(sel_Region="All",C424=sel_Region),OR(sel_Country="All",D424=sel_Country),OR(sel_Channel="All",E424=sel_Channel),OR(sel_Customer="All",F424=sel_Customer),OR(sel_Product="All",H424=sel_Product),AND(S424&gt;=m_From,S424&lt;=m_To)),1,0)</f>
        <v/>
      </c>
      <c r="Z424" s="36">
        <f>IF(AND(OR(sel_Region="All",C424=sel_Region),OR(sel_Country="All",D424=sel_Country),OR(sel_Channel="All",E424=sel_Channel),OR(sel_Customer="All",F424=sel_Customer),OR(sel_Category="All",G424=sel_Category),AND(S424&gt;=m_From,S424&lt;=m_To)),1,0)</f>
        <v/>
      </c>
      <c r="AA424" s="36">
        <f>IF(AND(OR(sel_Region="All",C424=sel_Region),OR(sel_Country="All",D424=sel_Country),OR(sel_Channel="All",E424=sel_Channel),OR(sel_Customer="All",F424=sel_Customer),OR(sel_Category="All",G424=sel_Category),OR(sel_Product="All",H424=sel_Product)),1,0)</f>
        <v/>
      </c>
    </row>
    <row r="425">
      <c r="A425" s="36" t="inlineStr">
        <is>
          <t>02212</t>
        </is>
      </c>
      <c r="B425" s="44" t="n">
        <v>46105</v>
      </c>
      <c r="C425" s="36" t="inlineStr">
        <is>
          <t>Central Europe</t>
        </is>
      </c>
      <c r="D425" s="36" t="inlineStr">
        <is>
          <t>Austria</t>
        </is>
      </c>
      <c r="E425" s="36" t="inlineStr">
        <is>
          <t>Online Store</t>
        </is>
      </c>
      <c r="F425" s="36" t="inlineStr">
        <is>
          <t>Returning</t>
        </is>
      </c>
      <c r="G425" s="36" t="inlineStr">
        <is>
          <t>Fitness</t>
        </is>
      </c>
      <c r="H425" s="36" t="inlineStr">
        <is>
          <t>Weighted Vest</t>
        </is>
      </c>
      <c r="I425" s="36" t="n">
        <v>2</v>
      </c>
      <c r="J425" s="39" t="n">
        <v>122.92</v>
      </c>
      <c r="K425" s="45" t="n">
        <v>0.05</v>
      </c>
      <c r="L425" s="39" t="n">
        <v>70.31</v>
      </c>
      <c r="M425" s="39">
        <f>I425*J425*(1-K425)</f>
        <v/>
      </c>
      <c r="N425" s="39">
        <f>I425*L425</f>
        <v/>
      </c>
      <c r="O425" s="39">
        <f>M425-N425</f>
        <v/>
      </c>
      <c r="P425" s="38">
        <f>IF(M425=0,0,O425/M425)</f>
        <v/>
      </c>
      <c r="Q425" s="36">
        <f>YEAR(B425)</f>
        <v/>
      </c>
      <c r="R425" s="36">
        <f>"Q"&amp;ROUNDUP(MONTH(B425)/3,0)</f>
        <v/>
      </c>
      <c r="S425" s="36">
        <f>MONTH(B425)</f>
        <v/>
      </c>
      <c r="T425" s="36">
        <f>TEXT(B425,"mmm")</f>
        <v/>
      </c>
      <c r="U425" s="36">
        <f>IF(AND(OR(sel_Region="All",C425=sel_Region),OR(sel_Country="All",D425=sel_Country),OR(sel_Channel="All",E425=sel_Channel),OR(sel_Customer="All",F425=sel_Customer),OR(sel_Category="All",G425=sel_Category),OR(sel_Product="All",H425=sel_Product),AND(S425&gt;=m_From,S425&lt;=m_To)),1,0)</f>
        <v/>
      </c>
      <c r="V425" s="36">
        <f>IF(AND(OR(sel_Region="All",C425=sel_Region),OR(sel_Channel="All",E425=sel_Channel),OR(sel_Customer="All",F425=sel_Customer),OR(sel_Category="All",G425=sel_Category),OR(sel_Product="All",H425=sel_Product),AND(S425&gt;=m_From,S425&lt;=m_To)),1,0)</f>
        <v/>
      </c>
      <c r="W425" s="36">
        <f>IF(AND(OR(sel_Region="All",C425=sel_Region),OR(sel_Country="All",D425=sel_Country),OR(sel_Customer="All",F425=sel_Customer),OR(sel_Category="All",G425=sel_Category),OR(sel_Product="All",H425=sel_Product),AND(S425&gt;=m_From,S425&lt;=m_To)),1,0)</f>
        <v/>
      </c>
      <c r="X425" s="36">
        <f>IF(AND(OR(sel_Region="All",C425=sel_Region),OR(sel_Country="All",D425=sel_Country),OR(sel_Channel="All",E425=sel_Channel),OR(sel_Category="All",G425=sel_Category),OR(sel_Product="All",H425=sel_Product),AND(S425&gt;=m_From,S425&lt;=m_To)),1,0)</f>
        <v/>
      </c>
      <c r="Y425" s="36">
        <f>IF(AND(OR(sel_Region="All",C425=sel_Region),OR(sel_Country="All",D425=sel_Country),OR(sel_Channel="All",E425=sel_Channel),OR(sel_Customer="All",F425=sel_Customer),OR(sel_Product="All",H425=sel_Product),AND(S425&gt;=m_From,S425&lt;=m_To)),1,0)</f>
        <v/>
      </c>
      <c r="Z425" s="36">
        <f>IF(AND(OR(sel_Region="All",C425=sel_Region),OR(sel_Country="All",D425=sel_Country),OR(sel_Channel="All",E425=sel_Channel),OR(sel_Customer="All",F425=sel_Customer),OR(sel_Category="All",G425=sel_Category),AND(S425&gt;=m_From,S425&lt;=m_To)),1,0)</f>
        <v/>
      </c>
      <c r="AA425" s="36">
        <f>IF(AND(OR(sel_Region="All",C425=sel_Region),OR(sel_Country="All",D425=sel_Country),OR(sel_Channel="All",E425=sel_Channel),OR(sel_Customer="All",F425=sel_Customer),OR(sel_Category="All",G425=sel_Category),OR(sel_Product="All",H425=sel_Product)),1,0)</f>
        <v/>
      </c>
    </row>
    <row r="426">
      <c r="A426" s="36" t="inlineStr">
        <is>
          <t>04466</t>
        </is>
      </c>
      <c r="B426" s="44" t="n">
        <v>46105</v>
      </c>
      <c r="C426" s="36" t="inlineStr">
        <is>
          <t>Northern Europe</t>
        </is>
      </c>
      <c r="D426" s="36" t="inlineStr">
        <is>
          <t>Sweden</t>
        </is>
      </c>
      <c r="E426" s="36" t="inlineStr">
        <is>
          <t>Online Store</t>
        </is>
      </c>
      <c r="F426" s="36" t="inlineStr">
        <is>
          <t>New</t>
        </is>
      </c>
      <c r="G426" s="36" t="inlineStr">
        <is>
          <t>Hiking</t>
        </is>
      </c>
      <c r="H426" s="36" t="inlineStr">
        <is>
          <t>Hiking Daypack 20L</t>
        </is>
      </c>
      <c r="I426" s="36" t="n">
        <v>1</v>
      </c>
      <c r="J426" s="39" t="n">
        <v>91.34999999999999</v>
      </c>
      <c r="K426" s="45" t="n">
        <v>0.05</v>
      </c>
      <c r="L426" s="39" t="n">
        <v>45.24</v>
      </c>
      <c r="M426" s="39">
        <f>I426*J426*(1-K426)</f>
        <v/>
      </c>
      <c r="N426" s="39">
        <f>I426*L426</f>
        <v/>
      </c>
      <c r="O426" s="39">
        <f>M426-N426</f>
        <v/>
      </c>
      <c r="P426" s="38">
        <f>IF(M426=0,0,O426/M426)</f>
        <v/>
      </c>
      <c r="Q426" s="36">
        <f>YEAR(B426)</f>
        <v/>
      </c>
      <c r="R426" s="36">
        <f>"Q"&amp;ROUNDUP(MONTH(B426)/3,0)</f>
        <v/>
      </c>
      <c r="S426" s="36">
        <f>MONTH(B426)</f>
        <v/>
      </c>
      <c r="T426" s="36">
        <f>TEXT(B426,"mmm")</f>
        <v/>
      </c>
      <c r="U426" s="36">
        <f>IF(AND(OR(sel_Region="All",C426=sel_Region),OR(sel_Country="All",D426=sel_Country),OR(sel_Channel="All",E426=sel_Channel),OR(sel_Customer="All",F426=sel_Customer),OR(sel_Category="All",G426=sel_Category),OR(sel_Product="All",H426=sel_Product),AND(S426&gt;=m_From,S426&lt;=m_To)),1,0)</f>
        <v/>
      </c>
      <c r="V426" s="36">
        <f>IF(AND(OR(sel_Region="All",C426=sel_Region),OR(sel_Channel="All",E426=sel_Channel),OR(sel_Customer="All",F426=sel_Customer),OR(sel_Category="All",G426=sel_Category),OR(sel_Product="All",H426=sel_Product),AND(S426&gt;=m_From,S426&lt;=m_To)),1,0)</f>
        <v/>
      </c>
      <c r="W426" s="36">
        <f>IF(AND(OR(sel_Region="All",C426=sel_Region),OR(sel_Country="All",D426=sel_Country),OR(sel_Customer="All",F426=sel_Customer),OR(sel_Category="All",G426=sel_Category),OR(sel_Product="All",H426=sel_Product),AND(S426&gt;=m_From,S426&lt;=m_To)),1,0)</f>
        <v/>
      </c>
      <c r="X426" s="36">
        <f>IF(AND(OR(sel_Region="All",C426=sel_Region),OR(sel_Country="All",D426=sel_Country),OR(sel_Channel="All",E426=sel_Channel),OR(sel_Category="All",G426=sel_Category),OR(sel_Product="All",H426=sel_Product),AND(S426&gt;=m_From,S426&lt;=m_To)),1,0)</f>
        <v/>
      </c>
      <c r="Y426" s="36">
        <f>IF(AND(OR(sel_Region="All",C426=sel_Region),OR(sel_Country="All",D426=sel_Country),OR(sel_Channel="All",E426=sel_Channel),OR(sel_Customer="All",F426=sel_Customer),OR(sel_Product="All",H426=sel_Product),AND(S426&gt;=m_From,S426&lt;=m_To)),1,0)</f>
        <v/>
      </c>
      <c r="Z426" s="36">
        <f>IF(AND(OR(sel_Region="All",C426=sel_Region),OR(sel_Country="All",D426=sel_Country),OR(sel_Channel="All",E426=sel_Channel),OR(sel_Customer="All",F426=sel_Customer),OR(sel_Category="All",G426=sel_Category),AND(S426&gt;=m_From,S426&lt;=m_To)),1,0)</f>
        <v/>
      </c>
      <c r="AA426" s="36">
        <f>IF(AND(OR(sel_Region="All",C426=sel_Region),OR(sel_Country="All",D426=sel_Country),OR(sel_Channel="All",E426=sel_Channel),OR(sel_Customer="All",F426=sel_Customer),OR(sel_Category="All",G426=sel_Category),OR(sel_Product="All",H426=sel_Product)),1,0)</f>
        <v/>
      </c>
    </row>
    <row r="427">
      <c r="A427" s="36" t="inlineStr">
        <is>
          <t>04483</t>
        </is>
      </c>
      <c r="B427" s="44" t="n">
        <v>46105</v>
      </c>
      <c r="C427" s="36" t="inlineStr">
        <is>
          <t>Central Europe</t>
        </is>
      </c>
      <c r="D427" s="36" t="inlineStr">
        <is>
          <t>Germany</t>
        </is>
      </c>
      <c r="E427" s="36" t="inlineStr">
        <is>
          <t>Online Store</t>
        </is>
      </c>
      <c r="F427" s="36" t="inlineStr">
        <is>
          <t>New</t>
        </is>
      </c>
      <c r="G427" s="36" t="inlineStr">
        <is>
          <t>Cycling</t>
        </is>
      </c>
      <c r="H427" s="36" t="inlineStr">
        <is>
          <t>Trail Bike Light</t>
        </is>
      </c>
      <c r="I427" s="36" t="n">
        <v>3</v>
      </c>
      <c r="J427" s="39" t="n">
        <v>51.01</v>
      </c>
      <c r="K427" s="45" t="n">
        <v>0.15</v>
      </c>
      <c r="L427" s="39" t="n">
        <v>22.84</v>
      </c>
      <c r="M427" s="39">
        <f>I427*J427*(1-K427)</f>
        <v/>
      </c>
      <c r="N427" s="39">
        <f>I427*L427</f>
        <v/>
      </c>
      <c r="O427" s="39">
        <f>M427-N427</f>
        <v/>
      </c>
      <c r="P427" s="38">
        <f>IF(M427=0,0,O427/M427)</f>
        <v/>
      </c>
      <c r="Q427" s="36">
        <f>YEAR(B427)</f>
        <v/>
      </c>
      <c r="R427" s="36">
        <f>"Q"&amp;ROUNDUP(MONTH(B427)/3,0)</f>
        <v/>
      </c>
      <c r="S427" s="36">
        <f>MONTH(B427)</f>
        <v/>
      </c>
      <c r="T427" s="36">
        <f>TEXT(B427,"mmm")</f>
        <v/>
      </c>
      <c r="U427" s="36">
        <f>IF(AND(OR(sel_Region="All",C427=sel_Region),OR(sel_Country="All",D427=sel_Country),OR(sel_Channel="All",E427=sel_Channel),OR(sel_Customer="All",F427=sel_Customer),OR(sel_Category="All",G427=sel_Category),OR(sel_Product="All",H427=sel_Product),AND(S427&gt;=m_From,S427&lt;=m_To)),1,0)</f>
        <v/>
      </c>
      <c r="V427" s="36">
        <f>IF(AND(OR(sel_Region="All",C427=sel_Region),OR(sel_Channel="All",E427=sel_Channel),OR(sel_Customer="All",F427=sel_Customer),OR(sel_Category="All",G427=sel_Category),OR(sel_Product="All",H427=sel_Product),AND(S427&gt;=m_From,S427&lt;=m_To)),1,0)</f>
        <v/>
      </c>
      <c r="W427" s="36">
        <f>IF(AND(OR(sel_Region="All",C427=sel_Region),OR(sel_Country="All",D427=sel_Country),OR(sel_Customer="All",F427=sel_Customer),OR(sel_Category="All",G427=sel_Category),OR(sel_Product="All",H427=sel_Product),AND(S427&gt;=m_From,S427&lt;=m_To)),1,0)</f>
        <v/>
      </c>
      <c r="X427" s="36">
        <f>IF(AND(OR(sel_Region="All",C427=sel_Region),OR(sel_Country="All",D427=sel_Country),OR(sel_Channel="All",E427=sel_Channel),OR(sel_Category="All",G427=sel_Category),OR(sel_Product="All",H427=sel_Product),AND(S427&gt;=m_From,S427&lt;=m_To)),1,0)</f>
        <v/>
      </c>
      <c r="Y427" s="36">
        <f>IF(AND(OR(sel_Region="All",C427=sel_Region),OR(sel_Country="All",D427=sel_Country),OR(sel_Channel="All",E427=sel_Channel),OR(sel_Customer="All",F427=sel_Customer),OR(sel_Product="All",H427=sel_Product),AND(S427&gt;=m_From,S427&lt;=m_To)),1,0)</f>
        <v/>
      </c>
      <c r="Z427" s="36">
        <f>IF(AND(OR(sel_Region="All",C427=sel_Region),OR(sel_Country="All",D427=sel_Country),OR(sel_Channel="All",E427=sel_Channel),OR(sel_Customer="All",F427=sel_Customer),OR(sel_Category="All",G427=sel_Category),AND(S427&gt;=m_From,S427&lt;=m_To)),1,0)</f>
        <v/>
      </c>
      <c r="AA427" s="36">
        <f>IF(AND(OR(sel_Region="All",C427=sel_Region),OR(sel_Country="All",D427=sel_Country),OR(sel_Channel="All",E427=sel_Channel),OR(sel_Customer="All",F427=sel_Customer),OR(sel_Category="All",G427=sel_Category),OR(sel_Product="All",H427=sel_Product)),1,0)</f>
        <v/>
      </c>
    </row>
    <row r="428">
      <c r="A428" s="36" t="inlineStr">
        <is>
          <t>00273</t>
        </is>
      </c>
      <c r="B428" s="44" t="n">
        <v>46106</v>
      </c>
      <c r="C428" s="36" t="inlineStr">
        <is>
          <t>Western Europe</t>
        </is>
      </c>
      <c r="D428" s="36" t="inlineStr">
        <is>
          <t>United Kingdom</t>
        </is>
      </c>
      <c r="E428" s="36" t="inlineStr">
        <is>
          <t>Online Store</t>
        </is>
      </c>
      <c r="F428" s="36" t="inlineStr">
        <is>
          <t>New</t>
        </is>
      </c>
      <c r="G428" s="36" t="inlineStr">
        <is>
          <t>Fitness</t>
        </is>
      </c>
      <c r="H428" s="36" t="inlineStr">
        <is>
          <t>Weighted Vest</t>
        </is>
      </c>
      <c r="I428" s="36" t="n">
        <v>2</v>
      </c>
      <c r="J428" s="39" t="n">
        <v>125.04</v>
      </c>
      <c r="K428" s="45" t="n">
        <v>0.05</v>
      </c>
      <c r="L428" s="39" t="n">
        <v>67.68000000000001</v>
      </c>
      <c r="M428" s="39">
        <f>I428*J428*(1-K428)</f>
        <v/>
      </c>
      <c r="N428" s="39">
        <f>I428*L428</f>
        <v/>
      </c>
      <c r="O428" s="39">
        <f>M428-N428</f>
        <v/>
      </c>
      <c r="P428" s="38">
        <f>IF(M428=0,0,O428/M428)</f>
        <v/>
      </c>
      <c r="Q428" s="36">
        <f>YEAR(B428)</f>
        <v/>
      </c>
      <c r="R428" s="36">
        <f>"Q"&amp;ROUNDUP(MONTH(B428)/3,0)</f>
        <v/>
      </c>
      <c r="S428" s="36">
        <f>MONTH(B428)</f>
        <v/>
      </c>
      <c r="T428" s="36">
        <f>TEXT(B428,"mmm")</f>
        <v/>
      </c>
      <c r="U428" s="36">
        <f>IF(AND(OR(sel_Region="All",C428=sel_Region),OR(sel_Country="All",D428=sel_Country),OR(sel_Channel="All",E428=sel_Channel),OR(sel_Customer="All",F428=sel_Customer),OR(sel_Category="All",G428=sel_Category),OR(sel_Product="All",H428=sel_Product),AND(S428&gt;=m_From,S428&lt;=m_To)),1,0)</f>
        <v/>
      </c>
      <c r="V428" s="36">
        <f>IF(AND(OR(sel_Region="All",C428=sel_Region),OR(sel_Channel="All",E428=sel_Channel),OR(sel_Customer="All",F428=sel_Customer),OR(sel_Category="All",G428=sel_Category),OR(sel_Product="All",H428=sel_Product),AND(S428&gt;=m_From,S428&lt;=m_To)),1,0)</f>
        <v/>
      </c>
      <c r="W428" s="36">
        <f>IF(AND(OR(sel_Region="All",C428=sel_Region),OR(sel_Country="All",D428=sel_Country),OR(sel_Customer="All",F428=sel_Customer),OR(sel_Category="All",G428=sel_Category),OR(sel_Product="All",H428=sel_Product),AND(S428&gt;=m_From,S428&lt;=m_To)),1,0)</f>
        <v/>
      </c>
      <c r="X428" s="36">
        <f>IF(AND(OR(sel_Region="All",C428=sel_Region),OR(sel_Country="All",D428=sel_Country),OR(sel_Channel="All",E428=sel_Channel),OR(sel_Category="All",G428=sel_Category),OR(sel_Product="All",H428=sel_Product),AND(S428&gt;=m_From,S428&lt;=m_To)),1,0)</f>
        <v/>
      </c>
      <c r="Y428" s="36">
        <f>IF(AND(OR(sel_Region="All",C428=sel_Region),OR(sel_Country="All",D428=sel_Country),OR(sel_Channel="All",E428=sel_Channel),OR(sel_Customer="All",F428=sel_Customer),OR(sel_Product="All",H428=sel_Product),AND(S428&gt;=m_From,S428&lt;=m_To)),1,0)</f>
        <v/>
      </c>
      <c r="Z428" s="36">
        <f>IF(AND(OR(sel_Region="All",C428=sel_Region),OR(sel_Country="All",D428=sel_Country),OR(sel_Channel="All",E428=sel_Channel),OR(sel_Customer="All",F428=sel_Customer),OR(sel_Category="All",G428=sel_Category),AND(S428&gt;=m_From,S428&lt;=m_To)),1,0)</f>
        <v/>
      </c>
      <c r="AA428" s="36">
        <f>IF(AND(OR(sel_Region="All",C428=sel_Region),OR(sel_Country="All",D428=sel_Country),OR(sel_Channel="All",E428=sel_Channel),OR(sel_Customer="All",F428=sel_Customer),OR(sel_Category="All",G428=sel_Category),OR(sel_Product="All",H428=sel_Product)),1,0)</f>
        <v/>
      </c>
    </row>
    <row r="429">
      <c r="A429" s="36" t="inlineStr">
        <is>
          <t>00578</t>
        </is>
      </c>
      <c r="B429" s="44" t="n">
        <v>46106</v>
      </c>
      <c r="C429" s="36" t="inlineStr">
        <is>
          <t>Northern Europe</t>
        </is>
      </c>
      <c r="D429" s="36" t="inlineStr">
        <is>
          <t>Denmark</t>
        </is>
      </c>
      <c r="E429" s="36" t="inlineStr">
        <is>
          <t>Marketplace</t>
        </is>
      </c>
      <c r="F429" s="36" t="inlineStr">
        <is>
          <t>Returning</t>
        </is>
      </c>
      <c r="G429" s="36" t="inlineStr">
        <is>
          <t>Cycling</t>
        </is>
      </c>
      <c r="H429" s="36" t="inlineStr">
        <is>
          <t>Trail Bike Light</t>
        </is>
      </c>
      <c r="I429" s="36" t="n">
        <v>2</v>
      </c>
      <c r="J429" s="39" t="n">
        <v>50.22</v>
      </c>
      <c r="K429" s="45" t="n">
        <v>0.05</v>
      </c>
      <c r="L429" s="39" t="n">
        <v>23.16</v>
      </c>
      <c r="M429" s="39">
        <f>I429*J429*(1-K429)</f>
        <v/>
      </c>
      <c r="N429" s="39">
        <f>I429*L429</f>
        <v/>
      </c>
      <c r="O429" s="39">
        <f>M429-N429</f>
        <v/>
      </c>
      <c r="P429" s="38">
        <f>IF(M429=0,0,O429/M429)</f>
        <v/>
      </c>
      <c r="Q429" s="36">
        <f>YEAR(B429)</f>
        <v/>
      </c>
      <c r="R429" s="36">
        <f>"Q"&amp;ROUNDUP(MONTH(B429)/3,0)</f>
        <v/>
      </c>
      <c r="S429" s="36">
        <f>MONTH(B429)</f>
        <v/>
      </c>
      <c r="T429" s="36">
        <f>TEXT(B429,"mmm")</f>
        <v/>
      </c>
      <c r="U429" s="36">
        <f>IF(AND(OR(sel_Region="All",C429=sel_Region),OR(sel_Country="All",D429=sel_Country),OR(sel_Channel="All",E429=sel_Channel),OR(sel_Customer="All",F429=sel_Customer),OR(sel_Category="All",G429=sel_Category),OR(sel_Product="All",H429=sel_Product),AND(S429&gt;=m_From,S429&lt;=m_To)),1,0)</f>
        <v/>
      </c>
      <c r="V429" s="36">
        <f>IF(AND(OR(sel_Region="All",C429=sel_Region),OR(sel_Channel="All",E429=sel_Channel),OR(sel_Customer="All",F429=sel_Customer),OR(sel_Category="All",G429=sel_Category),OR(sel_Product="All",H429=sel_Product),AND(S429&gt;=m_From,S429&lt;=m_To)),1,0)</f>
        <v/>
      </c>
      <c r="W429" s="36">
        <f>IF(AND(OR(sel_Region="All",C429=sel_Region),OR(sel_Country="All",D429=sel_Country),OR(sel_Customer="All",F429=sel_Customer),OR(sel_Category="All",G429=sel_Category),OR(sel_Product="All",H429=sel_Product),AND(S429&gt;=m_From,S429&lt;=m_To)),1,0)</f>
        <v/>
      </c>
      <c r="X429" s="36">
        <f>IF(AND(OR(sel_Region="All",C429=sel_Region),OR(sel_Country="All",D429=sel_Country),OR(sel_Channel="All",E429=sel_Channel),OR(sel_Category="All",G429=sel_Category),OR(sel_Product="All",H429=sel_Product),AND(S429&gt;=m_From,S429&lt;=m_To)),1,0)</f>
        <v/>
      </c>
      <c r="Y429" s="36">
        <f>IF(AND(OR(sel_Region="All",C429=sel_Region),OR(sel_Country="All",D429=sel_Country),OR(sel_Channel="All",E429=sel_Channel),OR(sel_Customer="All",F429=sel_Customer),OR(sel_Product="All",H429=sel_Product),AND(S429&gt;=m_From,S429&lt;=m_To)),1,0)</f>
        <v/>
      </c>
      <c r="Z429" s="36">
        <f>IF(AND(OR(sel_Region="All",C429=sel_Region),OR(sel_Country="All",D429=sel_Country),OR(sel_Channel="All",E429=sel_Channel),OR(sel_Customer="All",F429=sel_Customer),OR(sel_Category="All",G429=sel_Category),AND(S429&gt;=m_From,S429&lt;=m_To)),1,0)</f>
        <v/>
      </c>
      <c r="AA429" s="36">
        <f>IF(AND(OR(sel_Region="All",C429=sel_Region),OR(sel_Country="All",D429=sel_Country),OR(sel_Channel="All",E429=sel_Channel),OR(sel_Customer="All",F429=sel_Customer),OR(sel_Category="All",G429=sel_Category),OR(sel_Product="All",H429=sel_Product)),1,0)</f>
        <v/>
      </c>
    </row>
    <row r="430">
      <c r="A430" s="36" t="inlineStr">
        <is>
          <t>01290</t>
        </is>
      </c>
      <c r="B430" s="44" t="n">
        <v>46106</v>
      </c>
      <c r="C430" s="36" t="inlineStr">
        <is>
          <t>Central Europe</t>
        </is>
      </c>
      <c r="D430" s="36" t="inlineStr">
        <is>
          <t>Czechia</t>
        </is>
      </c>
      <c r="E430" s="36" t="inlineStr">
        <is>
          <t>Online Store</t>
        </is>
      </c>
      <c r="F430" s="36" t="inlineStr">
        <is>
          <t>Business</t>
        </is>
      </c>
      <c r="G430" s="36" t="inlineStr">
        <is>
          <t>Fitness</t>
        </is>
      </c>
      <c r="H430" s="36" t="inlineStr">
        <is>
          <t>Recovery Roller</t>
        </is>
      </c>
      <c r="I430" s="36" t="n">
        <v>5</v>
      </c>
      <c r="J430" s="39" t="n">
        <v>36.37</v>
      </c>
      <c r="K430" s="45" t="n">
        <v>0.05</v>
      </c>
      <c r="L430" s="39" t="n">
        <v>13.81</v>
      </c>
      <c r="M430" s="39">
        <f>I430*J430*(1-K430)</f>
        <v/>
      </c>
      <c r="N430" s="39">
        <f>I430*L430</f>
        <v/>
      </c>
      <c r="O430" s="39">
        <f>M430-N430</f>
        <v/>
      </c>
      <c r="P430" s="38">
        <f>IF(M430=0,0,O430/M430)</f>
        <v/>
      </c>
      <c r="Q430" s="36">
        <f>YEAR(B430)</f>
        <v/>
      </c>
      <c r="R430" s="36">
        <f>"Q"&amp;ROUNDUP(MONTH(B430)/3,0)</f>
        <v/>
      </c>
      <c r="S430" s="36">
        <f>MONTH(B430)</f>
        <v/>
      </c>
      <c r="T430" s="36">
        <f>TEXT(B430,"mmm")</f>
        <v/>
      </c>
      <c r="U430" s="36">
        <f>IF(AND(OR(sel_Region="All",C430=sel_Region),OR(sel_Country="All",D430=sel_Country),OR(sel_Channel="All",E430=sel_Channel),OR(sel_Customer="All",F430=sel_Customer),OR(sel_Category="All",G430=sel_Category),OR(sel_Product="All",H430=sel_Product),AND(S430&gt;=m_From,S430&lt;=m_To)),1,0)</f>
        <v/>
      </c>
      <c r="V430" s="36">
        <f>IF(AND(OR(sel_Region="All",C430=sel_Region),OR(sel_Channel="All",E430=sel_Channel),OR(sel_Customer="All",F430=sel_Customer),OR(sel_Category="All",G430=sel_Category),OR(sel_Product="All",H430=sel_Product),AND(S430&gt;=m_From,S430&lt;=m_To)),1,0)</f>
        <v/>
      </c>
      <c r="W430" s="36">
        <f>IF(AND(OR(sel_Region="All",C430=sel_Region),OR(sel_Country="All",D430=sel_Country),OR(sel_Customer="All",F430=sel_Customer),OR(sel_Category="All",G430=sel_Category),OR(sel_Product="All",H430=sel_Product),AND(S430&gt;=m_From,S430&lt;=m_To)),1,0)</f>
        <v/>
      </c>
      <c r="X430" s="36">
        <f>IF(AND(OR(sel_Region="All",C430=sel_Region),OR(sel_Country="All",D430=sel_Country),OR(sel_Channel="All",E430=sel_Channel),OR(sel_Category="All",G430=sel_Category),OR(sel_Product="All",H430=sel_Product),AND(S430&gt;=m_From,S430&lt;=m_To)),1,0)</f>
        <v/>
      </c>
      <c r="Y430" s="36">
        <f>IF(AND(OR(sel_Region="All",C430=sel_Region),OR(sel_Country="All",D430=sel_Country),OR(sel_Channel="All",E430=sel_Channel),OR(sel_Customer="All",F430=sel_Customer),OR(sel_Product="All",H430=sel_Product),AND(S430&gt;=m_From,S430&lt;=m_To)),1,0)</f>
        <v/>
      </c>
      <c r="Z430" s="36">
        <f>IF(AND(OR(sel_Region="All",C430=sel_Region),OR(sel_Country="All",D430=sel_Country),OR(sel_Channel="All",E430=sel_Channel),OR(sel_Customer="All",F430=sel_Customer),OR(sel_Category="All",G430=sel_Category),AND(S430&gt;=m_From,S430&lt;=m_To)),1,0)</f>
        <v/>
      </c>
      <c r="AA430" s="36">
        <f>IF(AND(OR(sel_Region="All",C430=sel_Region),OR(sel_Country="All",D430=sel_Country),OR(sel_Channel="All",E430=sel_Channel),OR(sel_Customer="All",F430=sel_Customer),OR(sel_Category="All",G430=sel_Category),OR(sel_Product="All",H430=sel_Product)),1,0)</f>
        <v/>
      </c>
    </row>
    <row r="431">
      <c r="A431" s="36" t="inlineStr">
        <is>
          <t>01501</t>
        </is>
      </c>
      <c r="B431" s="44" t="n">
        <v>46106</v>
      </c>
      <c r="C431" s="36" t="inlineStr">
        <is>
          <t>Western Europe</t>
        </is>
      </c>
      <c r="D431" s="36" t="inlineStr">
        <is>
          <t>Netherlands</t>
        </is>
      </c>
      <c r="E431" s="36" t="inlineStr">
        <is>
          <t>Corporate</t>
        </is>
      </c>
      <c r="F431" s="36" t="inlineStr">
        <is>
          <t>New</t>
        </is>
      </c>
      <c r="G431" s="36" t="inlineStr">
        <is>
          <t>Travel</t>
        </is>
      </c>
      <c r="H431" s="36" t="inlineStr">
        <is>
          <t>Insulated Bottle</t>
        </is>
      </c>
      <c r="I431" s="36" t="n">
        <v>3</v>
      </c>
      <c r="J431" s="39" t="n">
        <v>36.43</v>
      </c>
      <c r="K431" s="45" t="n">
        <v>0.1</v>
      </c>
      <c r="L431" s="39" t="n">
        <v>13.23</v>
      </c>
      <c r="M431" s="39">
        <f>I431*J431*(1-K431)</f>
        <v/>
      </c>
      <c r="N431" s="39">
        <f>I431*L431</f>
        <v/>
      </c>
      <c r="O431" s="39">
        <f>M431-N431</f>
        <v/>
      </c>
      <c r="P431" s="38">
        <f>IF(M431=0,0,O431/M431)</f>
        <v/>
      </c>
      <c r="Q431" s="36">
        <f>YEAR(B431)</f>
        <v/>
      </c>
      <c r="R431" s="36">
        <f>"Q"&amp;ROUNDUP(MONTH(B431)/3,0)</f>
        <v/>
      </c>
      <c r="S431" s="36">
        <f>MONTH(B431)</f>
        <v/>
      </c>
      <c r="T431" s="36">
        <f>TEXT(B431,"mmm")</f>
        <v/>
      </c>
      <c r="U431" s="36">
        <f>IF(AND(OR(sel_Region="All",C431=sel_Region),OR(sel_Country="All",D431=sel_Country),OR(sel_Channel="All",E431=sel_Channel),OR(sel_Customer="All",F431=sel_Customer),OR(sel_Category="All",G431=sel_Category),OR(sel_Product="All",H431=sel_Product),AND(S431&gt;=m_From,S431&lt;=m_To)),1,0)</f>
        <v/>
      </c>
      <c r="V431" s="36">
        <f>IF(AND(OR(sel_Region="All",C431=sel_Region),OR(sel_Channel="All",E431=sel_Channel),OR(sel_Customer="All",F431=sel_Customer),OR(sel_Category="All",G431=sel_Category),OR(sel_Product="All",H431=sel_Product),AND(S431&gt;=m_From,S431&lt;=m_To)),1,0)</f>
        <v/>
      </c>
      <c r="W431" s="36">
        <f>IF(AND(OR(sel_Region="All",C431=sel_Region),OR(sel_Country="All",D431=sel_Country),OR(sel_Customer="All",F431=sel_Customer),OR(sel_Category="All",G431=sel_Category),OR(sel_Product="All",H431=sel_Product),AND(S431&gt;=m_From,S431&lt;=m_To)),1,0)</f>
        <v/>
      </c>
      <c r="X431" s="36">
        <f>IF(AND(OR(sel_Region="All",C431=sel_Region),OR(sel_Country="All",D431=sel_Country),OR(sel_Channel="All",E431=sel_Channel),OR(sel_Category="All",G431=sel_Category),OR(sel_Product="All",H431=sel_Product),AND(S431&gt;=m_From,S431&lt;=m_To)),1,0)</f>
        <v/>
      </c>
      <c r="Y431" s="36">
        <f>IF(AND(OR(sel_Region="All",C431=sel_Region),OR(sel_Country="All",D431=sel_Country),OR(sel_Channel="All",E431=sel_Channel),OR(sel_Customer="All",F431=sel_Customer),OR(sel_Product="All",H431=sel_Product),AND(S431&gt;=m_From,S431&lt;=m_To)),1,0)</f>
        <v/>
      </c>
      <c r="Z431" s="36">
        <f>IF(AND(OR(sel_Region="All",C431=sel_Region),OR(sel_Country="All",D431=sel_Country),OR(sel_Channel="All",E431=sel_Channel),OR(sel_Customer="All",F431=sel_Customer),OR(sel_Category="All",G431=sel_Category),AND(S431&gt;=m_From,S431&lt;=m_To)),1,0)</f>
        <v/>
      </c>
      <c r="AA431" s="36">
        <f>IF(AND(OR(sel_Region="All",C431=sel_Region),OR(sel_Country="All",D431=sel_Country),OR(sel_Channel="All",E431=sel_Channel),OR(sel_Customer="All",F431=sel_Customer),OR(sel_Category="All",G431=sel_Category),OR(sel_Product="All",H431=sel_Product)),1,0)</f>
        <v/>
      </c>
    </row>
    <row r="432">
      <c r="A432" s="36" t="inlineStr">
        <is>
          <t>01540</t>
        </is>
      </c>
      <c r="B432" s="44" t="n">
        <v>46106</v>
      </c>
      <c r="C432" s="36" t="inlineStr">
        <is>
          <t>Central Europe</t>
        </is>
      </c>
      <c r="D432" s="36" t="inlineStr">
        <is>
          <t>Germany</t>
        </is>
      </c>
      <c r="E432" s="36" t="inlineStr">
        <is>
          <t>Corporate</t>
        </is>
      </c>
      <c r="F432" s="36" t="inlineStr">
        <is>
          <t>Business</t>
        </is>
      </c>
      <c r="G432" s="36" t="inlineStr">
        <is>
          <t>Cycling</t>
        </is>
      </c>
      <c r="H432" s="36" t="inlineStr">
        <is>
          <t>Trail Bike Light</t>
        </is>
      </c>
      <c r="I432" s="36" t="n">
        <v>10</v>
      </c>
      <c r="J432" s="39" t="n">
        <v>49.7</v>
      </c>
      <c r="K432" s="45" t="n">
        <v>0.1</v>
      </c>
      <c r="L432" s="39" t="n">
        <v>21.96</v>
      </c>
      <c r="M432" s="39">
        <f>I432*J432*(1-K432)</f>
        <v/>
      </c>
      <c r="N432" s="39">
        <f>I432*L432</f>
        <v/>
      </c>
      <c r="O432" s="39">
        <f>M432-N432</f>
        <v/>
      </c>
      <c r="P432" s="38">
        <f>IF(M432=0,0,O432/M432)</f>
        <v/>
      </c>
      <c r="Q432" s="36">
        <f>YEAR(B432)</f>
        <v/>
      </c>
      <c r="R432" s="36">
        <f>"Q"&amp;ROUNDUP(MONTH(B432)/3,0)</f>
        <v/>
      </c>
      <c r="S432" s="36">
        <f>MONTH(B432)</f>
        <v/>
      </c>
      <c r="T432" s="36">
        <f>TEXT(B432,"mmm")</f>
        <v/>
      </c>
      <c r="U432" s="36">
        <f>IF(AND(OR(sel_Region="All",C432=sel_Region),OR(sel_Country="All",D432=sel_Country),OR(sel_Channel="All",E432=sel_Channel),OR(sel_Customer="All",F432=sel_Customer),OR(sel_Category="All",G432=sel_Category),OR(sel_Product="All",H432=sel_Product),AND(S432&gt;=m_From,S432&lt;=m_To)),1,0)</f>
        <v/>
      </c>
      <c r="V432" s="36">
        <f>IF(AND(OR(sel_Region="All",C432=sel_Region),OR(sel_Channel="All",E432=sel_Channel),OR(sel_Customer="All",F432=sel_Customer),OR(sel_Category="All",G432=sel_Category),OR(sel_Product="All",H432=sel_Product),AND(S432&gt;=m_From,S432&lt;=m_To)),1,0)</f>
        <v/>
      </c>
      <c r="W432" s="36">
        <f>IF(AND(OR(sel_Region="All",C432=sel_Region),OR(sel_Country="All",D432=sel_Country),OR(sel_Customer="All",F432=sel_Customer),OR(sel_Category="All",G432=sel_Category),OR(sel_Product="All",H432=sel_Product),AND(S432&gt;=m_From,S432&lt;=m_To)),1,0)</f>
        <v/>
      </c>
      <c r="X432" s="36">
        <f>IF(AND(OR(sel_Region="All",C432=sel_Region),OR(sel_Country="All",D432=sel_Country),OR(sel_Channel="All",E432=sel_Channel),OR(sel_Category="All",G432=sel_Category),OR(sel_Product="All",H432=sel_Product),AND(S432&gt;=m_From,S432&lt;=m_To)),1,0)</f>
        <v/>
      </c>
      <c r="Y432" s="36">
        <f>IF(AND(OR(sel_Region="All",C432=sel_Region),OR(sel_Country="All",D432=sel_Country),OR(sel_Channel="All",E432=sel_Channel),OR(sel_Customer="All",F432=sel_Customer),OR(sel_Product="All",H432=sel_Product),AND(S432&gt;=m_From,S432&lt;=m_To)),1,0)</f>
        <v/>
      </c>
      <c r="Z432" s="36">
        <f>IF(AND(OR(sel_Region="All",C432=sel_Region),OR(sel_Country="All",D432=sel_Country),OR(sel_Channel="All",E432=sel_Channel),OR(sel_Customer="All",F432=sel_Customer),OR(sel_Category="All",G432=sel_Category),AND(S432&gt;=m_From,S432&lt;=m_To)),1,0)</f>
        <v/>
      </c>
      <c r="AA432" s="36">
        <f>IF(AND(OR(sel_Region="All",C432=sel_Region),OR(sel_Country="All",D432=sel_Country),OR(sel_Channel="All",E432=sel_Channel),OR(sel_Customer="All",F432=sel_Customer),OR(sel_Category="All",G432=sel_Category),OR(sel_Product="All",H432=sel_Product)),1,0)</f>
        <v/>
      </c>
    </row>
    <row r="433">
      <c r="A433" s="36" t="inlineStr">
        <is>
          <t>02541</t>
        </is>
      </c>
      <c r="B433" s="44" t="n">
        <v>46106</v>
      </c>
      <c r="C433" s="36" t="inlineStr">
        <is>
          <t>Central Europe</t>
        </is>
      </c>
      <c r="D433" s="36" t="inlineStr">
        <is>
          <t>Germany</t>
        </is>
      </c>
      <c r="E433" s="36" t="inlineStr">
        <is>
          <t>Online Store</t>
        </is>
      </c>
      <c r="F433" s="36" t="inlineStr">
        <is>
          <t>Returning</t>
        </is>
      </c>
      <c r="G433" s="36" t="inlineStr">
        <is>
          <t>Travel</t>
        </is>
      </c>
      <c r="H433" s="36" t="inlineStr">
        <is>
          <t>Packing Cube Set</t>
        </is>
      </c>
      <c r="I433" s="36" t="n">
        <v>2</v>
      </c>
      <c r="J433" s="39" t="n">
        <v>46.61</v>
      </c>
      <c r="K433" s="45" t="n">
        <v>0</v>
      </c>
      <c r="L433" s="39" t="n">
        <v>17.97</v>
      </c>
      <c r="M433" s="39">
        <f>I433*J433*(1-K433)</f>
        <v/>
      </c>
      <c r="N433" s="39">
        <f>I433*L433</f>
        <v/>
      </c>
      <c r="O433" s="39">
        <f>M433-N433</f>
        <v/>
      </c>
      <c r="P433" s="38">
        <f>IF(M433=0,0,O433/M433)</f>
        <v/>
      </c>
      <c r="Q433" s="36">
        <f>YEAR(B433)</f>
        <v/>
      </c>
      <c r="R433" s="36">
        <f>"Q"&amp;ROUNDUP(MONTH(B433)/3,0)</f>
        <v/>
      </c>
      <c r="S433" s="36">
        <f>MONTH(B433)</f>
        <v/>
      </c>
      <c r="T433" s="36">
        <f>TEXT(B433,"mmm")</f>
        <v/>
      </c>
      <c r="U433" s="36">
        <f>IF(AND(OR(sel_Region="All",C433=sel_Region),OR(sel_Country="All",D433=sel_Country),OR(sel_Channel="All",E433=sel_Channel),OR(sel_Customer="All",F433=sel_Customer),OR(sel_Category="All",G433=sel_Category),OR(sel_Product="All",H433=sel_Product),AND(S433&gt;=m_From,S433&lt;=m_To)),1,0)</f>
        <v/>
      </c>
      <c r="V433" s="36">
        <f>IF(AND(OR(sel_Region="All",C433=sel_Region),OR(sel_Channel="All",E433=sel_Channel),OR(sel_Customer="All",F433=sel_Customer),OR(sel_Category="All",G433=sel_Category),OR(sel_Product="All",H433=sel_Product),AND(S433&gt;=m_From,S433&lt;=m_To)),1,0)</f>
        <v/>
      </c>
      <c r="W433" s="36">
        <f>IF(AND(OR(sel_Region="All",C433=sel_Region),OR(sel_Country="All",D433=sel_Country),OR(sel_Customer="All",F433=sel_Customer),OR(sel_Category="All",G433=sel_Category),OR(sel_Product="All",H433=sel_Product),AND(S433&gt;=m_From,S433&lt;=m_To)),1,0)</f>
        <v/>
      </c>
      <c r="X433" s="36">
        <f>IF(AND(OR(sel_Region="All",C433=sel_Region),OR(sel_Country="All",D433=sel_Country),OR(sel_Channel="All",E433=sel_Channel),OR(sel_Category="All",G433=sel_Category),OR(sel_Product="All",H433=sel_Product),AND(S433&gt;=m_From,S433&lt;=m_To)),1,0)</f>
        <v/>
      </c>
      <c r="Y433" s="36">
        <f>IF(AND(OR(sel_Region="All",C433=sel_Region),OR(sel_Country="All",D433=sel_Country),OR(sel_Channel="All",E433=sel_Channel),OR(sel_Customer="All",F433=sel_Customer),OR(sel_Product="All",H433=sel_Product),AND(S433&gt;=m_From,S433&lt;=m_To)),1,0)</f>
        <v/>
      </c>
      <c r="Z433" s="36">
        <f>IF(AND(OR(sel_Region="All",C433=sel_Region),OR(sel_Country="All",D433=sel_Country),OR(sel_Channel="All",E433=sel_Channel),OR(sel_Customer="All",F433=sel_Customer),OR(sel_Category="All",G433=sel_Category),AND(S433&gt;=m_From,S433&lt;=m_To)),1,0)</f>
        <v/>
      </c>
      <c r="AA433" s="36">
        <f>IF(AND(OR(sel_Region="All",C433=sel_Region),OR(sel_Country="All",D433=sel_Country),OR(sel_Channel="All",E433=sel_Channel),OR(sel_Customer="All",F433=sel_Customer),OR(sel_Category="All",G433=sel_Category),OR(sel_Product="All",H433=sel_Product)),1,0)</f>
        <v/>
      </c>
    </row>
    <row r="434">
      <c r="A434" s="36" t="inlineStr">
        <is>
          <t>04264</t>
        </is>
      </c>
      <c r="B434" s="44" t="n">
        <v>46106</v>
      </c>
      <c r="C434" s="36" t="inlineStr">
        <is>
          <t>Northern Europe</t>
        </is>
      </c>
      <c r="D434" s="36" t="inlineStr">
        <is>
          <t>Denmark</t>
        </is>
      </c>
      <c r="E434" s="36" t="inlineStr">
        <is>
          <t>Online Store</t>
        </is>
      </c>
      <c r="F434" s="36" t="inlineStr">
        <is>
          <t>New</t>
        </is>
      </c>
      <c r="G434" s="36" t="inlineStr">
        <is>
          <t>Travel</t>
        </is>
      </c>
      <c r="H434" s="36" t="inlineStr">
        <is>
          <t>Packing Cube Set</t>
        </is>
      </c>
      <c r="I434" s="36" t="n">
        <v>1</v>
      </c>
      <c r="J434" s="39" t="n">
        <v>47.61</v>
      </c>
      <c r="K434" s="45" t="n">
        <v>0</v>
      </c>
      <c r="L434" s="39" t="n">
        <v>18.89</v>
      </c>
      <c r="M434" s="39">
        <f>I434*J434*(1-K434)</f>
        <v/>
      </c>
      <c r="N434" s="39">
        <f>I434*L434</f>
        <v/>
      </c>
      <c r="O434" s="39">
        <f>M434-N434</f>
        <v/>
      </c>
      <c r="P434" s="38">
        <f>IF(M434=0,0,O434/M434)</f>
        <v/>
      </c>
      <c r="Q434" s="36">
        <f>YEAR(B434)</f>
        <v/>
      </c>
      <c r="R434" s="36">
        <f>"Q"&amp;ROUNDUP(MONTH(B434)/3,0)</f>
        <v/>
      </c>
      <c r="S434" s="36">
        <f>MONTH(B434)</f>
        <v/>
      </c>
      <c r="T434" s="36">
        <f>TEXT(B434,"mmm")</f>
        <v/>
      </c>
      <c r="U434" s="36">
        <f>IF(AND(OR(sel_Region="All",C434=sel_Region),OR(sel_Country="All",D434=sel_Country),OR(sel_Channel="All",E434=sel_Channel),OR(sel_Customer="All",F434=sel_Customer),OR(sel_Category="All",G434=sel_Category),OR(sel_Product="All",H434=sel_Product),AND(S434&gt;=m_From,S434&lt;=m_To)),1,0)</f>
        <v/>
      </c>
      <c r="V434" s="36">
        <f>IF(AND(OR(sel_Region="All",C434=sel_Region),OR(sel_Channel="All",E434=sel_Channel),OR(sel_Customer="All",F434=sel_Customer),OR(sel_Category="All",G434=sel_Category),OR(sel_Product="All",H434=sel_Product),AND(S434&gt;=m_From,S434&lt;=m_To)),1,0)</f>
        <v/>
      </c>
      <c r="W434" s="36">
        <f>IF(AND(OR(sel_Region="All",C434=sel_Region),OR(sel_Country="All",D434=sel_Country),OR(sel_Customer="All",F434=sel_Customer),OR(sel_Category="All",G434=sel_Category),OR(sel_Product="All",H434=sel_Product),AND(S434&gt;=m_From,S434&lt;=m_To)),1,0)</f>
        <v/>
      </c>
      <c r="X434" s="36">
        <f>IF(AND(OR(sel_Region="All",C434=sel_Region),OR(sel_Country="All",D434=sel_Country),OR(sel_Channel="All",E434=sel_Channel),OR(sel_Category="All",G434=sel_Category),OR(sel_Product="All",H434=sel_Product),AND(S434&gt;=m_From,S434&lt;=m_To)),1,0)</f>
        <v/>
      </c>
      <c r="Y434" s="36">
        <f>IF(AND(OR(sel_Region="All",C434=sel_Region),OR(sel_Country="All",D434=sel_Country),OR(sel_Channel="All",E434=sel_Channel),OR(sel_Customer="All",F434=sel_Customer),OR(sel_Product="All",H434=sel_Product),AND(S434&gt;=m_From,S434&lt;=m_To)),1,0)</f>
        <v/>
      </c>
      <c r="Z434" s="36">
        <f>IF(AND(OR(sel_Region="All",C434=sel_Region),OR(sel_Country="All",D434=sel_Country),OR(sel_Channel="All",E434=sel_Channel),OR(sel_Customer="All",F434=sel_Customer),OR(sel_Category="All",G434=sel_Category),AND(S434&gt;=m_From,S434&lt;=m_To)),1,0)</f>
        <v/>
      </c>
      <c r="AA434" s="36">
        <f>IF(AND(OR(sel_Region="All",C434=sel_Region),OR(sel_Country="All",D434=sel_Country),OR(sel_Channel="All",E434=sel_Channel),OR(sel_Customer="All",F434=sel_Customer),OR(sel_Category="All",G434=sel_Category),OR(sel_Product="All",H434=sel_Product)),1,0)</f>
        <v/>
      </c>
    </row>
    <row r="435">
      <c r="A435" s="36" t="inlineStr">
        <is>
          <t>04311</t>
        </is>
      </c>
      <c r="B435" s="44" t="n">
        <v>46106</v>
      </c>
      <c r="C435" s="36" t="inlineStr">
        <is>
          <t>Northern Europe</t>
        </is>
      </c>
      <c r="D435" s="36" t="inlineStr">
        <is>
          <t>Sweden</t>
        </is>
      </c>
      <c r="E435" s="36" t="inlineStr">
        <is>
          <t>Online Store</t>
        </is>
      </c>
      <c r="F435" s="36" t="inlineStr">
        <is>
          <t>New</t>
        </is>
      </c>
      <c r="G435" s="36" t="inlineStr">
        <is>
          <t>Cycling</t>
        </is>
      </c>
      <c r="H435" s="36" t="inlineStr">
        <is>
          <t>Compact Repair Kit</t>
        </is>
      </c>
      <c r="I435" s="36" t="n">
        <v>2</v>
      </c>
      <c r="J435" s="39" t="n">
        <v>40.88</v>
      </c>
      <c r="K435" s="45" t="n">
        <v>0.05</v>
      </c>
      <c r="L435" s="39" t="n">
        <v>16.39</v>
      </c>
      <c r="M435" s="39">
        <f>I435*J435*(1-K435)</f>
        <v/>
      </c>
      <c r="N435" s="39">
        <f>I435*L435</f>
        <v/>
      </c>
      <c r="O435" s="39">
        <f>M435-N435</f>
        <v/>
      </c>
      <c r="P435" s="38">
        <f>IF(M435=0,0,O435/M435)</f>
        <v/>
      </c>
      <c r="Q435" s="36">
        <f>YEAR(B435)</f>
        <v/>
      </c>
      <c r="R435" s="36">
        <f>"Q"&amp;ROUNDUP(MONTH(B435)/3,0)</f>
        <v/>
      </c>
      <c r="S435" s="36">
        <f>MONTH(B435)</f>
        <v/>
      </c>
      <c r="T435" s="36">
        <f>TEXT(B435,"mmm")</f>
        <v/>
      </c>
      <c r="U435" s="36">
        <f>IF(AND(OR(sel_Region="All",C435=sel_Region),OR(sel_Country="All",D435=sel_Country),OR(sel_Channel="All",E435=sel_Channel),OR(sel_Customer="All",F435=sel_Customer),OR(sel_Category="All",G435=sel_Category),OR(sel_Product="All",H435=sel_Product),AND(S435&gt;=m_From,S435&lt;=m_To)),1,0)</f>
        <v/>
      </c>
      <c r="V435" s="36">
        <f>IF(AND(OR(sel_Region="All",C435=sel_Region),OR(sel_Channel="All",E435=sel_Channel),OR(sel_Customer="All",F435=sel_Customer),OR(sel_Category="All",G435=sel_Category),OR(sel_Product="All",H435=sel_Product),AND(S435&gt;=m_From,S435&lt;=m_To)),1,0)</f>
        <v/>
      </c>
      <c r="W435" s="36">
        <f>IF(AND(OR(sel_Region="All",C435=sel_Region),OR(sel_Country="All",D435=sel_Country),OR(sel_Customer="All",F435=sel_Customer),OR(sel_Category="All",G435=sel_Category),OR(sel_Product="All",H435=sel_Product),AND(S435&gt;=m_From,S435&lt;=m_To)),1,0)</f>
        <v/>
      </c>
      <c r="X435" s="36">
        <f>IF(AND(OR(sel_Region="All",C435=sel_Region),OR(sel_Country="All",D435=sel_Country),OR(sel_Channel="All",E435=sel_Channel),OR(sel_Category="All",G435=sel_Category),OR(sel_Product="All",H435=sel_Product),AND(S435&gt;=m_From,S435&lt;=m_To)),1,0)</f>
        <v/>
      </c>
      <c r="Y435" s="36">
        <f>IF(AND(OR(sel_Region="All",C435=sel_Region),OR(sel_Country="All",D435=sel_Country),OR(sel_Channel="All",E435=sel_Channel),OR(sel_Customer="All",F435=sel_Customer),OR(sel_Product="All",H435=sel_Product),AND(S435&gt;=m_From,S435&lt;=m_To)),1,0)</f>
        <v/>
      </c>
      <c r="Z435" s="36">
        <f>IF(AND(OR(sel_Region="All",C435=sel_Region),OR(sel_Country="All",D435=sel_Country),OR(sel_Channel="All",E435=sel_Channel),OR(sel_Customer="All",F435=sel_Customer),OR(sel_Category="All",G435=sel_Category),AND(S435&gt;=m_From,S435&lt;=m_To)),1,0)</f>
        <v/>
      </c>
      <c r="AA435" s="36">
        <f>IF(AND(OR(sel_Region="All",C435=sel_Region),OR(sel_Country="All",D435=sel_Country),OR(sel_Channel="All",E435=sel_Channel),OR(sel_Customer="All",F435=sel_Customer),OR(sel_Category="All",G435=sel_Category),OR(sel_Product="All",H435=sel_Product)),1,0)</f>
        <v/>
      </c>
    </row>
    <row r="436">
      <c r="A436" s="36" t="inlineStr">
        <is>
          <t>04796</t>
        </is>
      </c>
      <c r="B436" s="44" t="n">
        <v>46106</v>
      </c>
      <c r="C436" s="36" t="inlineStr">
        <is>
          <t>Central Europe</t>
        </is>
      </c>
      <c r="D436" s="36" t="inlineStr">
        <is>
          <t>Germany</t>
        </is>
      </c>
      <c r="E436" s="36" t="inlineStr">
        <is>
          <t>Online Store</t>
        </is>
      </c>
      <c r="F436" s="36" t="inlineStr">
        <is>
          <t>New</t>
        </is>
      </c>
      <c r="G436" s="36" t="inlineStr">
        <is>
          <t>Fitness</t>
        </is>
      </c>
      <c r="H436" s="36" t="inlineStr">
        <is>
          <t>Resistance Band Set</t>
        </is>
      </c>
      <c r="I436" s="36" t="n">
        <v>2</v>
      </c>
      <c r="J436" s="39" t="n">
        <v>39.41</v>
      </c>
      <c r="K436" s="45" t="n">
        <v>0.15</v>
      </c>
      <c r="L436" s="39" t="n">
        <v>14.91</v>
      </c>
      <c r="M436" s="39">
        <f>I436*J436*(1-K436)</f>
        <v/>
      </c>
      <c r="N436" s="39">
        <f>I436*L436</f>
        <v/>
      </c>
      <c r="O436" s="39">
        <f>M436-N436</f>
        <v/>
      </c>
      <c r="P436" s="38">
        <f>IF(M436=0,0,O436/M436)</f>
        <v/>
      </c>
      <c r="Q436" s="36">
        <f>YEAR(B436)</f>
        <v/>
      </c>
      <c r="R436" s="36">
        <f>"Q"&amp;ROUNDUP(MONTH(B436)/3,0)</f>
        <v/>
      </c>
      <c r="S436" s="36">
        <f>MONTH(B436)</f>
        <v/>
      </c>
      <c r="T436" s="36">
        <f>TEXT(B436,"mmm")</f>
        <v/>
      </c>
      <c r="U436" s="36">
        <f>IF(AND(OR(sel_Region="All",C436=sel_Region),OR(sel_Country="All",D436=sel_Country),OR(sel_Channel="All",E436=sel_Channel),OR(sel_Customer="All",F436=sel_Customer),OR(sel_Category="All",G436=sel_Category),OR(sel_Product="All",H436=sel_Product),AND(S436&gt;=m_From,S436&lt;=m_To)),1,0)</f>
        <v/>
      </c>
      <c r="V436" s="36">
        <f>IF(AND(OR(sel_Region="All",C436=sel_Region),OR(sel_Channel="All",E436=sel_Channel),OR(sel_Customer="All",F436=sel_Customer),OR(sel_Category="All",G436=sel_Category),OR(sel_Product="All",H436=sel_Product),AND(S436&gt;=m_From,S436&lt;=m_To)),1,0)</f>
        <v/>
      </c>
      <c r="W436" s="36">
        <f>IF(AND(OR(sel_Region="All",C436=sel_Region),OR(sel_Country="All",D436=sel_Country),OR(sel_Customer="All",F436=sel_Customer),OR(sel_Category="All",G436=sel_Category),OR(sel_Product="All",H436=sel_Product),AND(S436&gt;=m_From,S436&lt;=m_To)),1,0)</f>
        <v/>
      </c>
      <c r="X436" s="36">
        <f>IF(AND(OR(sel_Region="All",C436=sel_Region),OR(sel_Country="All",D436=sel_Country),OR(sel_Channel="All",E436=sel_Channel),OR(sel_Category="All",G436=sel_Category),OR(sel_Product="All",H436=sel_Product),AND(S436&gt;=m_From,S436&lt;=m_To)),1,0)</f>
        <v/>
      </c>
      <c r="Y436" s="36">
        <f>IF(AND(OR(sel_Region="All",C436=sel_Region),OR(sel_Country="All",D436=sel_Country),OR(sel_Channel="All",E436=sel_Channel),OR(sel_Customer="All",F436=sel_Customer),OR(sel_Product="All",H436=sel_Product),AND(S436&gt;=m_From,S436&lt;=m_To)),1,0)</f>
        <v/>
      </c>
      <c r="Z436" s="36">
        <f>IF(AND(OR(sel_Region="All",C436=sel_Region),OR(sel_Country="All",D436=sel_Country),OR(sel_Channel="All",E436=sel_Channel),OR(sel_Customer="All",F436=sel_Customer),OR(sel_Category="All",G436=sel_Category),AND(S436&gt;=m_From,S436&lt;=m_To)),1,0)</f>
        <v/>
      </c>
      <c r="AA436" s="36">
        <f>IF(AND(OR(sel_Region="All",C436=sel_Region),OR(sel_Country="All",D436=sel_Country),OR(sel_Channel="All",E436=sel_Channel),OR(sel_Customer="All",F436=sel_Customer),OR(sel_Category="All",G436=sel_Category),OR(sel_Product="All",H436=sel_Product)),1,0)</f>
        <v/>
      </c>
    </row>
    <row r="437">
      <c r="A437" s="36" t="inlineStr">
        <is>
          <t>00089</t>
        </is>
      </c>
      <c r="B437" s="44" t="n">
        <v>46107</v>
      </c>
      <c r="C437" s="36" t="inlineStr">
        <is>
          <t>Northern Europe</t>
        </is>
      </c>
      <c r="D437" s="36" t="inlineStr">
        <is>
          <t>Finland</t>
        </is>
      </c>
      <c r="E437" s="36" t="inlineStr">
        <is>
          <t>Online Store</t>
        </is>
      </c>
      <c r="F437" s="36" t="inlineStr">
        <is>
          <t>Returning</t>
        </is>
      </c>
      <c r="G437" s="36" t="inlineStr">
        <is>
          <t>Cycling</t>
        </is>
      </c>
      <c r="H437" s="36" t="inlineStr">
        <is>
          <t>Compact Repair Kit</t>
        </is>
      </c>
      <c r="I437" s="36" t="n">
        <v>1</v>
      </c>
      <c r="J437" s="39" t="n">
        <v>40.82</v>
      </c>
      <c r="K437" s="45" t="n">
        <v>0.05</v>
      </c>
      <c r="L437" s="39" t="n">
        <v>16.94</v>
      </c>
      <c r="M437" s="39">
        <f>I437*J437*(1-K437)</f>
        <v/>
      </c>
      <c r="N437" s="39">
        <f>I437*L437</f>
        <v/>
      </c>
      <c r="O437" s="39">
        <f>M437-N437</f>
        <v/>
      </c>
      <c r="P437" s="38">
        <f>IF(M437=0,0,O437/M437)</f>
        <v/>
      </c>
      <c r="Q437" s="36">
        <f>YEAR(B437)</f>
        <v/>
      </c>
      <c r="R437" s="36">
        <f>"Q"&amp;ROUNDUP(MONTH(B437)/3,0)</f>
        <v/>
      </c>
      <c r="S437" s="36">
        <f>MONTH(B437)</f>
        <v/>
      </c>
      <c r="T437" s="36">
        <f>TEXT(B437,"mmm")</f>
        <v/>
      </c>
      <c r="U437" s="36">
        <f>IF(AND(OR(sel_Region="All",C437=sel_Region),OR(sel_Country="All",D437=sel_Country),OR(sel_Channel="All",E437=sel_Channel),OR(sel_Customer="All",F437=sel_Customer),OR(sel_Category="All",G437=sel_Category),OR(sel_Product="All",H437=sel_Product),AND(S437&gt;=m_From,S437&lt;=m_To)),1,0)</f>
        <v/>
      </c>
      <c r="V437" s="36">
        <f>IF(AND(OR(sel_Region="All",C437=sel_Region),OR(sel_Channel="All",E437=sel_Channel),OR(sel_Customer="All",F437=sel_Customer),OR(sel_Category="All",G437=sel_Category),OR(sel_Product="All",H437=sel_Product),AND(S437&gt;=m_From,S437&lt;=m_To)),1,0)</f>
        <v/>
      </c>
      <c r="W437" s="36">
        <f>IF(AND(OR(sel_Region="All",C437=sel_Region),OR(sel_Country="All",D437=sel_Country),OR(sel_Customer="All",F437=sel_Customer),OR(sel_Category="All",G437=sel_Category),OR(sel_Product="All",H437=sel_Product),AND(S437&gt;=m_From,S437&lt;=m_To)),1,0)</f>
        <v/>
      </c>
      <c r="X437" s="36">
        <f>IF(AND(OR(sel_Region="All",C437=sel_Region),OR(sel_Country="All",D437=sel_Country),OR(sel_Channel="All",E437=sel_Channel),OR(sel_Category="All",G437=sel_Category),OR(sel_Product="All",H437=sel_Product),AND(S437&gt;=m_From,S437&lt;=m_To)),1,0)</f>
        <v/>
      </c>
      <c r="Y437" s="36">
        <f>IF(AND(OR(sel_Region="All",C437=sel_Region),OR(sel_Country="All",D437=sel_Country),OR(sel_Channel="All",E437=sel_Channel),OR(sel_Customer="All",F437=sel_Customer),OR(sel_Product="All",H437=sel_Product),AND(S437&gt;=m_From,S437&lt;=m_To)),1,0)</f>
        <v/>
      </c>
      <c r="Z437" s="36">
        <f>IF(AND(OR(sel_Region="All",C437=sel_Region),OR(sel_Country="All",D437=sel_Country),OR(sel_Channel="All",E437=sel_Channel),OR(sel_Customer="All",F437=sel_Customer),OR(sel_Category="All",G437=sel_Category),AND(S437&gt;=m_From,S437&lt;=m_To)),1,0)</f>
        <v/>
      </c>
      <c r="AA437" s="36">
        <f>IF(AND(OR(sel_Region="All",C437=sel_Region),OR(sel_Country="All",D437=sel_Country),OR(sel_Channel="All",E437=sel_Channel),OR(sel_Customer="All",F437=sel_Customer),OR(sel_Category="All",G437=sel_Category),OR(sel_Product="All",H437=sel_Product)),1,0)</f>
        <v/>
      </c>
    </row>
    <row r="438">
      <c r="A438" s="36" t="inlineStr">
        <is>
          <t>00487</t>
        </is>
      </c>
      <c r="B438" s="44" t="n">
        <v>46107</v>
      </c>
      <c r="C438" s="36" t="inlineStr">
        <is>
          <t>Western Europe</t>
        </is>
      </c>
      <c r="D438" s="36" t="inlineStr">
        <is>
          <t>United Kingdom</t>
        </is>
      </c>
      <c r="E438" s="36" t="inlineStr">
        <is>
          <t>Retail Partners</t>
        </is>
      </c>
      <c r="F438" s="36" t="inlineStr">
        <is>
          <t>Business</t>
        </is>
      </c>
      <c r="G438" s="36" t="inlineStr">
        <is>
          <t>Travel</t>
        </is>
      </c>
      <c r="H438" s="36" t="inlineStr">
        <is>
          <t>Insulated Bottle</t>
        </is>
      </c>
      <c r="I438" s="36" t="n">
        <v>3</v>
      </c>
      <c r="J438" s="39" t="n">
        <v>36.98</v>
      </c>
      <c r="K438" s="45" t="n">
        <v>0.1</v>
      </c>
      <c r="L438" s="39" t="n">
        <v>13.65</v>
      </c>
      <c r="M438" s="39">
        <f>I438*J438*(1-K438)</f>
        <v/>
      </c>
      <c r="N438" s="39">
        <f>I438*L438</f>
        <v/>
      </c>
      <c r="O438" s="39">
        <f>M438-N438</f>
        <v/>
      </c>
      <c r="P438" s="38">
        <f>IF(M438=0,0,O438/M438)</f>
        <v/>
      </c>
      <c r="Q438" s="36">
        <f>YEAR(B438)</f>
        <v/>
      </c>
      <c r="R438" s="36">
        <f>"Q"&amp;ROUNDUP(MONTH(B438)/3,0)</f>
        <v/>
      </c>
      <c r="S438" s="36">
        <f>MONTH(B438)</f>
        <v/>
      </c>
      <c r="T438" s="36">
        <f>TEXT(B438,"mmm")</f>
        <v/>
      </c>
      <c r="U438" s="36">
        <f>IF(AND(OR(sel_Region="All",C438=sel_Region),OR(sel_Country="All",D438=sel_Country),OR(sel_Channel="All",E438=sel_Channel),OR(sel_Customer="All",F438=sel_Customer),OR(sel_Category="All",G438=sel_Category),OR(sel_Product="All",H438=sel_Product),AND(S438&gt;=m_From,S438&lt;=m_To)),1,0)</f>
        <v/>
      </c>
      <c r="V438" s="36">
        <f>IF(AND(OR(sel_Region="All",C438=sel_Region),OR(sel_Channel="All",E438=sel_Channel),OR(sel_Customer="All",F438=sel_Customer),OR(sel_Category="All",G438=sel_Category),OR(sel_Product="All",H438=sel_Product),AND(S438&gt;=m_From,S438&lt;=m_To)),1,0)</f>
        <v/>
      </c>
      <c r="W438" s="36">
        <f>IF(AND(OR(sel_Region="All",C438=sel_Region),OR(sel_Country="All",D438=sel_Country),OR(sel_Customer="All",F438=sel_Customer),OR(sel_Category="All",G438=sel_Category),OR(sel_Product="All",H438=sel_Product),AND(S438&gt;=m_From,S438&lt;=m_To)),1,0)</f>
        <v/>
      </c>
      <c r="X438" s="36">
        <f>IF(AND(OR(sel_Region="All",C438=sel_Region),OR(sel_Country="All",D438=sel_Country),OR(sel_Channel="All",E438=sel_Channel),OR(sel_Category="All",G438=sel_Category),OR(sel_Product="All",H438=sel_Product),AND(S438&gt;=m_From,S438&lt;=m_To)),1,0)</f>
        <v/>
      </c>
      <c r="Y438" s="36">
        <f>IF(AND(OR(sel_Region="All",C438=sel_Region),OR(sel_Country="All",D438=sel_Country),OR(sel_Channel="All",E438=sel_Channel),OR(sel_Customer="All",F438=sel_Customer),OR(sel_Product="All",H438=sel_Product),AND(S438&gt;=m_From,S438&lt;=m_To)),1,0)</f>
        <v/>
      </c>
      <c r="Z438" s="36">
        <f>IF(AND(OR(sel_Region="All",C438=sel_Region),OR(sel_Country="All",D438=sel_Country),OR(sel_Channel="All",E438=sel_Channel),OR(sel_Customer="All",F438=sel_Customer),OR(sel_Category="All",G438=sel_Category),AND(S438&gt;=m_From,S438&lt;=m_To)),1,0)</f>
        <v/>
      </c>
      <c r="AA438" s="36">
        <f>IF(AND(OR(sel_Region="All",C438=sel_Region),OR(sel_Country="All",D438=sel_Country),OR(sel_Channel="All",E438=sel_Channel),OR(sel_Customer="All",F438=sel_Customer),OR(sel_Category="All",G438=sel_Category),OR(sel_Product="All",H438=sel_Product)),1,0)</f>
        <v/>
      </c>
    </row>
    <row r="439">
      <c r="A439" s="36" t="inlineStr">
        <is>
          <t>01476</t>
        </is>
      </c>
      <c r="B439" s="44" t="n">
        <v>46107</v>
      </c>
      <c r="C439" s="36" t="inlineStr">
        <is>
          <t>Central Europe</t>
        </is>
      </c>
      <c r="D439" s="36" t="inlineStr">
        <is>
          <t>Germany</t>
        </is>
      </c>
      <c r="E439" s="36" t="inlineStr">
        <is>
          <t>Marketplace</t>
        </is>
      </c>
      <c r="F439" s="36" t="inlineStr">
        <is>
          <t>New</t>
        </is>
      </c>
      <c r="G439" s="36" t="inlineStr">
        <is>
          <t>Travel</t>
        </is>
      </c>
      <c r="H439" s="36" t="inlineStr">
        <is>
          <t>Insulated Bottle</t>
        </is>
      </c>
      <c r="I439" s="36" t="n">
        <v>1</v>
      </c>
      <c r="J439" s="39" t="n">
        <v>35.7</v>
      </c>
      <c r="K439" s="45" t="n">
        <v>0.05</v>
      </c>
      <c r="L439" s="39" t="n">
        <v>13.91</v>
      </c>
      <c r="M439" s="39">
        <f>I439*J439*(1-K439)</f>
        <v/>
      </c>
      <c r="N439" s="39">
        <f>I439*L439</f>
        <v/>
      </c>
      <c r="O439" s="39">
        <f>M439-N439</f>
        <v/>
      </c>
      <c r="P439" s="38">
        <f>IF(M439=0,0,O439/M439)</f>
        <v/>
      </c>
      <c r="Q439" s="36">
        <f>YEAR(B439)</f>
        <v/>
      </c>
      <c r="R439" s="36">
        <f>"Q"&amp;ROUNDUP(MONTH(B439)/3,0)</f>
        <v/>
      </c>
      <c r="S439" s="36">
        <f>MONTH(B439)</f>
        <v/>
      </c>
      <c r="T439" s="36">
        <f>TEXT(B439,"mmm")</f>
        <v/>
      </c>
      <c r="U439" s="36">
        <f>IF(AND(OR(sel_Region="All",C439=sel_Region),OR(sel_Country="All",D439=sel_Country),OR(sel_Channel="All",E439=sel_Channel),OR(sel_Customer="All",F439=sel_Customer),OR(sel_Category="All",G439=sel_Category),OR(sel_Product="All",H439=sel_Product),AND(S439&gt;=m_From,S439&lt;=m_To)),1,0)</f>
        <v/>
      </c>
      <c r="V439" s="36">
        <f>IF(AND(OR(sel_Region="All",C439=sel_Region),OR(sel_Channel="All",E439=sel_Channel),OR(sel_Customer="All",F439=sel_Customer),OR(sel_Category="All",G439=sel_Category),OR(sel_Product="All",H439=sel_Product),AND(S439&gt;=m_From,S439&lt;=m_To)),1,0)</f>
        <v/>
      </c>
      <c r="W439" s="36">
        <f>IF(AND(OR(sel_Region="All",C439=sel_Region),OR(sel_Country="All",D439=sel_Country),OR(sel_Customer="All",F439=sel_Customer),OR(sel_Category="All",G439=sel_Category),OR(sel_Product="All",H439=sel_Product),AND(S439&gt;=m_From,S439&lt;=m_To)),1,0)</f>
        <v/>
      </c>
      <c r="X439" s="36">
        <f>IF(AND(OR(sel_Region="All",C439=sel_Region),OR(sel_Country="All",D439=sel_Country),OR(sel_Channel="All",E439=sel_Channel),OR(sel_Category="All",G439=sel_Category),OR(sel_Product="All",H439=sel_Product),AND(S439&gt;=m_From,S439&lt;=m_To)),1,0)</f>
        <v/>
      </c>
      <c r="Y439" s="36">
        <f>IF(AND(OR(sel_Region="All",C439=sel_Region),OR(sel_Country="All",D439=sel_Country),OR(sel_Channel="All",E439=sel_Channel),OR(sel_Customer="All",F439=sel_Customer),OR(sel_Product="All",H439=sel_Product),AND(S439&gt;=m_From,S439&lt;=m_To)),1,0)</f>
        <v/>
      </c>
      <c r="Z439" s="36">
        <f>IF(AND(OR(sel_Region="All",C439=sel_Region),OR(sel_Country="All",D439=sel_Country),OR(sel_Channel="All",E439=sel_Channel),OR(sel_Customer="All",F439=sel_Customer),OR(sel_Category="All",G439=sel_Category),AND(S439&gt;=m_From,S439&lt;=m_To)),1,0)</f>
        <v/>
      </c>
      <c r="AA439" s="36">
        <f>IF(AND(OR(sel_Region="All",C439=sel_Region),OR(sel_Country="All",D439=sel_Country),OR(sel_Channel="All",E439=sel_Channel),OR(sel_Customer="All",F439=sel_Customer),OR(sel_Category="All",G439=sel_Category),OR(sel_Product="All",H439=sel_Product)),1,0)</f>
        <v/>
      </c>
    </row>
    <row r="440">
      <c r="A440" s="36" t="inlineStr">
        <is>
          <t>02145</t>
        </is>
      </c>
      <c r="B440" s="44" t="n">
        <v>46107</v>
      </c>
      <c r="C440" s="36" t="inlineStr">
        <is>
          <t>Western Europe</t>
        </is>
      </c>
      <c r="D440" s="36" t="inlineStr">
        <is>
          <t>United Kingdom</t>
        </is>
      </c>
      <c r="E440" s="36" t="inlineStr">
        <is>
          <t>Retail Partners</t>
        </is>
      </c>
      <c r="F440" s="36" t="inlineStr">
        <is>
          <t>Returning</t>
        </is>
      </c>
      <c r="G440" s="36" t="inlineStr">
        <is>
          <t>Cycling</t>
        </is>
      </c>
      <c r="H440" s="36" t="inlineStr">
        <is>
          <t>Compact Repair Kit</t>
        </is>
      </c>
      <c r="I440" s="36" t="n">
        <v>1</v>
      </c>
      <c r="J440" s="39" t="n">
        <v>39.53</v>
      </c>
      <c r="K440" s="45" t="n">
        <v>0.05</v>
      </c>
      <c r="L440" s="39" t="n">
        <v>17.17</v>
      </c>
      <c r="M440" s="39">
        <f>I440*J440*(1-K440)</f>
        <v/>
      </c>
      <c r="N440" s="39">
        <f>I440*L440</f>
        <v/>
      </c>
      <c r="O440" s="39">
        <f>M440-N440</f>
        <v/>
      </c>
      <c r="P440" s="38">
        <f>IF(M440=0,0,O440/M440)</f>
        <v/>
      </c>
      <c r="Q440" s="36">
        <f>YEAR(B440)</f>
        <v/>
      </c>
      <c r="R440" s="36">
        <f>"Q"&amp;ROUNDUP(MONTH(B440)/3,0)</f>
        <v/>
      </c>
      <c r="S440" s="36">
        <f>MONTH(B440)</f>
        <v/>
      </c>
      <c r="T440" s="36">
        <f>TEXT(B440,"mmm")</f>
        <v/>
      </c>
      <c r="U440" s="36">
        <f>IF(AND(OR(sel_Region="All",C440=sel_Region),OR(sel_Country="All",D440=sel_Country),OR(sel_Channel="All",E440=sel_Channel),OR(sel_Customer="All",F440=sel_Customer),OR(sel_Category="All",G440=sel_Category),OR(sel_Product="All",H440=sel_Product),AND(S440&gt;=m_From,S440&lt;=m_To)),1,0)</f>
        <v/>
      </c>
      <c r="V440" s="36">
        <f>IF(AND(OR(sel_Region="All",C440=sel_Region),OR(sel_Channel="All",E440=sel_Channel),OR(sel_Customer="All",F440=sel_Customer),OR(sel_Category="All",G440=sel_Category),OR(sel_Product="All",H440=sel_Product),AND(S440&gt;=m_From,S440&lt;=m_To)),1,0)</f>
        <v/>
      </c>
      <c r="W440" s="36">
        <f>IF(AND(OR(sel_Region="All",C440=sel_Region),OR(sel_Country="All",D440=sel_Country),OR(sel_Customer="All",F440=sel_Customer),OR(sel_Category="All",G440=sel_Category),OR(sel_Product="All",H440=sel_Product),AND(S440&gt;=m_From,S440&lt;=m_To)),1,0)</f>
        <v/>
      </c>
      <c r="X440" s="36">
        <f>IF(AND(OR(sel_Region="All",C440=sel_Region),OR(sel_Country="All",D440=sel_Country),OR(sel_Channel="All",E440=sel_Channel),OR(sel_Category="All",G440=sel_Category),OR(sel_Product="All",H440=sel_Product),AND(S440&gt;=m_From,S440&lt;=m_To)),1,0)</f>
        <v/>
      </c>
      <c r="Y440" s="36">
        <f>IF(AND(OR(sel_Region="All",C440=sel_Region),OR(sel_Country="All",D440=sel_Country),OR(sel_Channel="All",E440=sel_Channel),OR(sel_Customer="All",F440=sel_Customer),OR(sel_Product="All",H440=sel_Product),AND(S440&gt;=m_From,S440&lt;=m_To)),1,0)</f>
        <v/>
      </c>
      <c r="Z440" s="36">
        <f>IF(AND(OR(sel_Region="All",C440=sel_Region),OR(sel_Country="All",D440=sel_Country),OR(sel_Channel="All",E440=sel_Channel),OR(sel_Customer="All",F440=sel_Customer),OR(sel_Category="All",G440=sel_Category),AND(S440&gt;=m_From,S440&lt;=m_To)),1,0)</f>
        <v/>
      </c>
      <c r="AA440" s="36">
        <f>IF(AND(OR(sel_Region="All",C440=sel_Region),OR(sel_Country="All",D440=sel_Country),OR(sel_Channel="All",E440=sel_Channel),OR(sel_Customer="All",F440=sel_Customer),OR(sel_Category="All",G440=sel_Category),OR(sel_Product="All",H440=sel_Product)),1,0)</f>
        <v/>
      </c>
    </row>
    <row r="441">
      <c r="A441" s="36" t="inlineStr">
        <is>
          <t>02999</t>
        </is>
      </c>
      <c r="B441" s="44" t="n">
        <v>46107</v>
      </c>
      <c r="C441" s="36" t="inlineStr">
        <is>
          <t>Northern Europe</t>
        </is>
      </c>
      <c r="D441" s="36" t="inlineStr">
        <is>
          <t>Ireland</t>
        </is>
      </c>
      <c r="E441" s="36" t="inlineStr">
        <is>
          <t>Retail Partners</t>
        </is>
      </c>
      <c r="F441" s="36" t="inlineStr">
        <is>
          <t>Returning</t>
        </is>
      </c>
      <c r="G441" s="36" t="inlineStr">
        <is>
          <t>Travel</t>
        </is>
      </c>
      <c r="H441" s="36" t="inlineStr">
        <is>
          <t>Insulated Bottle</t>
        </is>
      </c>
      <c r="I441" s="36" t="n">
        <v>2</v>
      </c>
      <c r="J441" s="39" t="n">
        <v>35.75</v>
      </c>
      <c r="K441" s="45" t="n">
        <v>0</v>
      </c>
      <c r="L441" s="39" t="n">
        <v>13.28</v>
      </c>
      <c r="M441" s="39">
        <f>I441*J441*(1-K441)</f>
        <v/>
      </c>
      <c r="N441" s="39">
        <f>I441*L441</f>
        <v/>
      </c>
      <c r="O441" s="39">
        <f>M441-N441</f>
        <v/>
      </c>
      <c r="P441" s="38">
        <f>IF(M441=0,0,O441/M441)</f>
        <v/>
      </c>
      <c r="Q441" s="36">
        <f>YEAR(B441)</f>
        <v/>
      </c>
      <c r="R441" s="36">
        <f>"Q"&amp;ROUNDUP(MONTH(B441)/3,0)</f>
        <v/>
      </c>
      <c r="S441" s="36">
        <f>MONTH(B441)</f>
        <v/>
      </c>
      <c r="T441" s="36">
        <f>TEXT(B441,"mmm")</f>
        <v/>
      </c>
      <c r="U441" s="36">
        <f>IF(AND(OR(sel_Region="All",C441=sel_Region),OR(sel_Country="All",D441=sel_Country),OR(sel_Channel="All",E441=sel_Channel),OR(sel_Customer="All",F441=sel_Customer),OR(sel_Category="All",G441=sel_Category),OR(sel_Product="All",H441=sel_Product),AND(S441&gt;=m_From,S441&lt;=m_To)),1,0)</f>
        <v/>
      </c>
      <c r="V441" s="36">
        <f>IF(AND(OR(sel_Region="All",C441=sel_Region),OR(sel_Channel="All",E441=sel_Channel),OR(sel_Customer="All",F441=sel_Customer),OR(sel_Category="All",G441=sel_Category),OR(sel_Product="All",H441=sel_Product),AND(S441&gt;=m_From,S441&lt;=m_To)),1,0)</f>
        <v/>
      </c>
      <c r="W441" s="36">
        <f>IF(AND(OR(sel_Region="All",C441=sel_Region),OR(sel_Country="All",D441=sel_Country),OR(sel_Customer="All",F441=sel_Customer),OR(sel_Category="All",G441=sel_Category),OR(sel_Product="All",H441=sel_Product),AND(S441&gt;=m_From,S441&lt;=m_To)),1,0)</f>
        <v/>
      </c>
      <c r="X441" s="36">
        <f>IF(AND(OR(sel_Region="All",C441=sel_Region),OR(sel_Country="All",D441=sel_Country),OR(sel_Channel="All",E441=sel_Channel),OR(sel_Category="All",G441=sel_Category),OR(sel_Product="All",H441=sel_Product),AND(S441&gt;=m_From,S441&lt;=m_To)),1,0)</f>
        <v/>
      </c>
      <c r="Y441" s="36">
        <f>IF(AND(OR(sel_Region="All",C441=sel_Region),OR(sel_Country="All",D441=sel_Country),OR(sel_Channel="All",E441=sel_Channel),OR(sel_Customer="All",F441=sel_Customer),OR(sel_Product="All",H441=sel_Product),AND(S441&gt;=m_From,S441&lt;=m_To)),1,0)</f>
        <v/>
      </c>
      <c r="Z441" s="36">
        <f>IF(AND(OR(sel_Region="All",C441=sel_Region),OR(sel_Country="All",D441=sel_Country),OR(sel_Channel="All",E441=sel_Channel),OR(sel_Customer="All",F441=sel_Customer),OR(sel_Category="All",G441=sel_Category),AND(S441&gt;=m_From,S441&lt;=m_To)),1,0)</f>
        <v/>
      </c>
      <c r="AA441" s="36">
        <f>IF(AND(OR(sel_Region="All",C441=sel_Region),OR(sel_Country="All",D441=sel_Country),OR(sel_Channel="All",E441=sel_Channel),OR(sel_Customer="All",F441=sel_Customer),OR(sel_Category="All",G441=sel_Category),OR(sel_Product="All",H441=sel_Product)),1,0)</f>
        <v/>
      </c>
    </row>
    <row r="442">
      <c r="A442" s="36" t="inlineStr">
        <is>
          <t>04464</t>
        </is>
      </c>
      <c r="B442" s="44" t="n">
        <v>46107</v>
      </c>
      <c r="C442" s="36" t="inlineStr">
        <is>
          <t>Northern Europe</t>
        </is>
      </c>
      <c r="D442" s="36" t="inlineStr">
        <is>
          <t>Sweden</t>
        </is>
      </c>
      <c r="E442" s="36" t="inlineStr">
        <is>
          <t>Online Store</t>
        </is>
      </c>
      <c r="F442" s="36" t="inlineStr">
        <is>
          <t>Business</t>
        </is>
      </c>
      <c r="G442" s="36" t="inlineStr">
        <is>
          <t>Fitness</t>
        </is>
      </c>
      <c r="H442" s="36" t="inlineStr">
        <is>
          <t>Training Mat</t>
        </is>
      </c>
      <c r="I442" s="36" t="n">
        <v>2</v>
      </c>
      <c r="J442" s="39" t="n">
        <v>50.17</v>
      </c>
      <c r="K442" s="45" t="n">
        <v>0</v>
      </c>
      <c r="L442" s="39" t="n">
        <v>22.37</v>
      </c>
      <c r="M442" s="39">
        <f>I442*J442*(1-K442)</f>
        <v/>
      </c>
      <c r="N442" s="39">
        <f>I442*L442</f>
        <v/>
      </c>
      <c r="O442" s="39">
        <f>M442-N442</f>
        <v/>
      </c>
      <c r="P442" s="38">
        <f>IF(M442=0,0,O442/M442)</f>
        <v/>
      </c>
      <c r="Q442" s="36">
        <f>YEAR(B442)</f>
        <v/>
      </c>
      <c r="R442" s="36">
        <f>"Q"&amp;ROUNDUP(MONTH(B442)/3,0)</f>
        <v/>
      </c>
      <c r="S442" s="36">
        <f>MONTH(B442)</f>
        <v/>
      </c>
      <c r="T442" s="36">
        <f>TEXT(B442,"mmm")</f>
        <v/>
      </c>
      <c r="U442" s="36">
        <f>IF(AND(OR(sel_Region="All",C442=sel_Region),OR(sel_Country="All",D442=sel_Country),OR(sel_Channel="All",E442=sel_Channel),OR(sel_Customer="All",F442=sel_Customer),OR(sel_Category="All",G442=sel_Category),OR(sel_Product="All",H442=sel_Product),AND(S442&gt;=m_From,S442&lt;=m_To)),1,0)</f>
        <v/>
      </c>
      <c r="V442" s="36">
        <f>IF(AND(OR(sel_Region="All",C442=sel_Region),OR(sel_Channel="All",E442=sel_Channel),OR(sel_Customer="All",F442=sel_Customer),OR(sel_Category="All",G442=sel_Category),OR(sel_Product="All",H442=sel_Product),AND(S442&gt;=m_From,S442&lt;=m_To)),1,0)</f>
        <v/>
      </c>
      <c r="W442" s="36">
        <f>IF(AND(OR(sel_Region="All",C442=sel_Region),OR(sel_Country="All",D442=sel_Country),OR(sel_Customer="All",F442=sel_Customer),OR(sel_Category="All",G442=sel_Category),OR(sel_Product="All",H442=sel_Product),AND(S442&gt;=m_From,S442&lt;=m_To)),1,0)</f>
        <v/>
      </c>
      <c r="X442" s="36">
        <f>IF(AND(OR(sel_Region="All",C442=sel_Region),OR(sel_Country="All",D442=sel_Country),OR(sel_Channel="All",E442=sel_Channel),OR(sel_Category="All",G442=sel_Category),OR(sel_Product="All",H442=sel_Product),AND(S442&gt;=m_From,S442&lt;=m_To)),1,0)</f>
        <v/>
      </c>
      <c r="Y442" s="36">
        <f>IF(AND(OR(sel_Region="All",C442=sel_Region),OR(sel_Country="All",D442=sel_Country),OR(sel_Channel="All",E442=sel_Channel),OR(sel_Customer="All",F442=sel_Customer),OR(sel_Product="All",H442=sel_Product),AND(S442&gt;=m_From,S442&lt;=m_To)),1,0)</f>
        <v/>
      </c>
      <c r="Z442" s="36">
        <f>IF(AND(OR(sel_Region="All",C442=sel_Region),OR(sel_Country="All",D442=sel_Country),OR(sel_Channel="All",E442=sel_Channel),OR(sel_Customer="All",F442=sel_Customer),OR(sel_Category="All",G442=sel_Category),AND(S442&gt;=m_From,S442&lt;=m_To)),1,0)</f>
        <v/>
      </c>
      <c r="AA442" s="36">
        <f>IF(AND(OR(sel_Region="All",C442=sel_Region),OR(sel_Country="All",D442=sel_Country),OR(sel_Channel="All",E442=sel_Channel),OR(sel_Customer="All",F442=sel_Customer),OR(sel_Category="All",G442=sel_Category),OR(sel_Product="All",H442=sel_Product)),1,0)</f>
        <v/>
      </c>
    </row>
    <row r="443">
      <c r="A443" s="36" t="inlineStr">
        <is>
          <t>04978</t>
        </is>
      </c>
      <c r="B443" s="44" t="n">
        <v>46107</v>
      </c>
      <c r="C443" s="36" t="inlineStr">
        <is>
          <t>Southern Europe</t>
        </is>
      </c>
      <c r="D443" s="36" t="inlineStr">
        <is>
          <t>Portugal</t>
        </is>
      </c>
      <c r="E443" s="36" t="inlineStr">
        <is>
          <t>Online Store</t>
        </is>
      </c>
      <c r="F443" s="36" t="inlineStr">
        <is>
          <t>New</t>
        </is>
      </c>
      <c r="G443" s="36" t="inlineStr">
        <is>
          <t>Fitness</t>
        </is>
      </c>
      <c r="H443" s="36" t="inlineStr">
        <is>
          <t>Resistance Band Set</t>
        </is>
      </c>
      <c r="I443" s="36" t="n">
        <v>5</v>
      </c>
      <c r="J443" s="39" t="n">
        <v>41.32</v>
      </c>
      <c r="K443" s="45" t="n">
        <v>0</v>
      </c>
      <c r="L443" s="39" t="n">
        <v>15.09</v>
      </c>
      <c r="M443" s="39">
        <f>I443*J443*(1-K443)</f>
        <v/>
      </c>
      <c r="N443" s="39">
        <f>I443*L443</f>
        <v/>
      </c>
      <c r="O443" s="39">
        <f>M443-N443</f>
        <v/>
      </c>
      <c r="P443" s="38">
        <f>IF(M443=0,0,O443/M443)</f>
        <v/>
      </c>
      <c r="Q443" s="36">
        <f>YEAR(B443)</f>
        <v/>
      </c>
      <c r="R443" s="36">
        <f>"Q"&amp;ROUNDUP(MONTH(B443)/3,0)</f>
        <v/>
      </c>
      <c r="S443" s="36">
        <f>MONTH(B443)</f>
        <v/>
      </c>
      <c r="T443" s="36">
        <f>TEXT(B443,"mmm")</f>
        <v/>
      </c>
      <c r="U443" s="36">
        <f>IF(AND(OR(sel_Region="All",C443=sel_Region),OR(sel_Country="All",D443=sel_Country),OR(sel_Channel="All",E443=sel_Channel),OR(sel_Customer="All",F443=sel_Customer),OR(sel_Category="All",G443=sel_Category),OR(sel_Product="All",H443=sel_Product),AND(S443&gt;=m_From,S443&lt;=m_To)),1,0)</f>
        <v/>
      </c>
      <c r="V443" s="36">
        <f>IF(AND(OR(sel_Region="All",C443=sel_Region),OR(sel_Channel="All",E443=sel_Channel),OR(sel_Customer="All",F443=sel_Customer),OR(sel_Category="All",G443=sel_Category),OR(sel_Product="All",H443=sel_Product),AND(S443&gt;=m_From,S443&lt;=m_To)),1,0)</f>
        <v/>
      </c>
      <c r="W443" s="36">
        <f>IF(AND(OR(sel_Region="All",C443=sel_Region),OR(sel_Country="All",D443=sel_Country),OR(sel_Customer="All",F443=sel_Customer),OR(sel_Category="All",G443=sel_Category),OR(sel_Product="All",H443=sel_Product),AND(S443&gt;=m_From,S443&lt;=m_To)),1,0)</f>
        <v/>
      </c>
      <c r="X443" s="36">
        <f>IF(AND(OR(sel_Region="All",C443=sel_Region),OR(sel_Country="All",D443=sel_Country),OR(sel_Channel="All",E443=sel_Channel),OR(sel_Category="All",G443=sel_Category),OR(sel_Product="All",H443=sel_Product),AND(S443&gt;=m_From,S443&lt;=m_To)),1,0)</f>
        <v/>
      </c>
      <c r="Y443" s="36">
        <f>IF(AND(OR(sel_Region="All",C443=sel_Region),OR(sel_Country="All",D443=sel_Country),OR(sel_Channel="All",E443=sel_Channel),OR(sel_Customer="All",F443=sel_Customer),OR(sel_Product="All",H443=sel_Product),AND(S443&gt;=m_From,S443&lt;=m_To)),1,0)</f>
        <v/>
      </c>
      <c r="Z443" s="36">
        <f>IF(AND(OR(sel_Region="All",C443=sel_Region),OR(sel_Country="All",D443=sel_Country),OR(sel_Channel="All",E443=sel_Channel),OR(sel_Customer="All",F443=sel_Customer),OR(sel_Category="All",G443=sel_Category),AND(S443&gt;=m_From,S443&lt;=m_To)),1,0)</f>
        <v/>
      </c>
      <c r="AA443" s="36">
        <f>IF(AND(OR(sel_Region="All",C443=sel_Region),OR(sel_Country="All",D443=sel_Country),OR(sel_Channel="All",E443=sel_Channel),OR(sel_Customer="All",F443=sel_Customer),OR(sel_Category="All",G443=sel_Category),OR(sel_Product="All",H443=sel_Product)),1,0)</f>
        <v/>
      </c>
    </row>
    <row r="444">
      <c r="A444" s="36" t="inlineStr">
        <is>
          <t>00130</t>
        </is>
      </c>
      <c r="B444" s="44" t="n">
        <v>46108</v>
      </c>
      <c r="C444" s="36" t="inlineStr">
        <is>
          <t>Western Europe</t>
        </is>
      </c>
      <c r="D444" s="36" t="inlineStr">
        <is>
          <t>Netherlands</t>
        </is>
      </c>
      <c r="E444" s="36" t="inlineStr">
        <is>
          <t>Marketplace</t>
        </is>
      </c>
      <c r="F444" s="36" t="inlineStr">
        <is>
          <t>New</t>
        </is>
      </c>
      <c r="G444" s="36" t="inlineStr">
        <is>
          <t>Hiking</t>
        </is>
      </c>
      <c r="H444" s="36" t="inlineStr">
        <is>
          <t>Summit Backpack 45L</t>
        </is>
      </c>
      <c r="I444" s="36" t="n">
        <v>3</v>
      </c>
      <c r="J444" s="39" t="n">
        <v>152.4</v>
      </c>
      <c r="K444" s="45" t="n">
        <v>0.05</v>
      </c>
      <c r="L444" s="39" t="n">
        <v>79.97</v>
      </c>
      <c r="M444" s="39">
        <f>I444*J444*(1-K444)</f>
        <v/>
      </c>
      <c r="N444" s="39">
        <f>I444*L444</f>
        <v/>
      </c>
      <c r="O444" s="39">
        <f>M444-N444</f>
        <v/>
      </c>
      <c r="P444" s="38">
        <f>IF(M444=0,0,O444/M444)</f>
        <v/>
      </c>
      <c r="Q444" s="36">
        <f>YEAR(B444)</f>
        <v/>
      </c>
      <c r="R444" s="36">
        <f>"Q"&amp;ROUNDUP(MONTH(B444)/3,0)</f>
        <v/>
      </c>
      <c r="S444" s="36">
        <f>MONTH(B444)</f>
        <v/>
      </c>
      <c r="T444" s="36">
        <f>TEXT(B444,"mmm")</f>
        <v/>
      </c>
      <c r="U444" s="36">
        <f>IF(AND(OR(sel_Region="All",C444=sel_Region),OR(sel_Country="All",D444=sel_Country),OR(sel_Channel="All",E444=sel_Channel),OR(sel_Customer="All",F444=sel_Customer),OR(sel_Category="All",G444=sel_Category),OR(sel_Product="All",H444=sel_Product),AND(S444&gt;=m_From,S444&lt;=m_To)),1,0)</f>
        <v/>
      </c>
      <c r="V444" s="36">
        <f>IF(AND(OR(sel_Region="All",C444=sel_Region),OR(sel_Channel="All",E444=sel_Channel),OR(sel_Customer="All",F444=sel_Customer),OR(sel_Category="All",G444=sel_Category),OR(sel_Product="All",H444=sel_Product),AND(S444&gt;=m_From,S444&lt;=m_To)),1,0)</f>
        <v/>
      </c>
      <c r="W444" s="36">
        <f>IF(AND(OR(sel_Region="All",C444=sel_Region),OR(sel_Country="All",D444=sel_Country),OR(sel_Customer="All",F444=sel_Customer),OR(sel_Category="All",G444=sel_Category),OR(sel_Product="All",H444=sel_Product),AND(S444&gt;=m_From,S444&lt;=m_To)),1,0)</f>
        <v/>
      </c>
      <c r="X444" s="36">
        <f>IF(AND(OR(sel_Region="All",C444=sel_Region),OR(sel_Country="All",D444=sel_Country),OR(sel_Channel="All",E444=sel_Channel),OR(sel_Category="All",G444=sel_Category),OR(sel_Product="All",H444=sel_Product),AND(S444&gt;=m_From,S444&lt;=m_To)),1,0)</f>
        <v/>
      </c>
      <c r="Y444" s="36">
        <f>IF(AND(OR(sel_Region="All",C444=sel_Region),OR(sel_Country="All",D444=sel_Country),OR(sel_Channel="All",E444=sel_Channel),OR(sel_Customer="All",F444=sel_Customer),OR(sel_Product="All",H444=sel_Product),AND(S444&gt;=m_From,S444&lt;=m_To)),1,0)</f>
        <v/>
      </c>
      <c r="Z444" s="36">
        <f>IF(AND(OR(sel_Region="All",C444=sel_Region),OR(sel_Country="All",D444=sel_Country),OR(sel_Channel="All",E444=sel_Channel),OR(sel_Customer="All",F444=sel_Customer),OR(sel_Category="All",G444=sel_Category),AND(S444&gt;=m_From,S444&lt;=m_To)),1,0)</f>
        <v/>
      </c>
      <c r="AA444" s="36">
        <f>IF(AND(OR(sel_Region="All",C444=sel_Region),OR(sel_Country="All",D444=sel_Country),OR(sel_Channel="All",E444=sel_Channel),OR(sel_Customer="All",F444=sel_Customer),OR(sel_Category="All",G444=sel_Category),OR(sel_Product="All",H444=sel_Product)),1,0)</f>
        <v/>
      </c>
    </row>
    <row r="445">
      <c r="A445" s="36" t="inlineStr">
        <is>
          <t>00848</t>
        </is>
      </c>
      <c r="B445" s="44" t="n">
        <v>46108</v>
      </c>
      <c r="C445" s="36" t="inlineStr">
        <is>
          <t>Southern Europe</t>
        </is>
      </c>
      <c r="D445" s="36" t="inlineStr">
        <is>
          <t>Spain</t>
        </is>
      </c>
      <c r="E445" s="36" t="inlineStr">
        <is>
          <t>Online Store</t>
        </is>
      </c>
      <c r="F445" s="36" t="inlineStr">
        <is>
          <t>New</t>
        </is>
      </c>
      <c r="G445" s="36" t="inlineStr">
        <is>
          <t>Fitness</t>
        </is>
      </c>
      <c r="H445" s="36" t="inlineStr">
        <is>
          <t>Recovery Roller</t>
        </is>
      </c>
      <c r="I445" s="36" t="n">
        <v>1</v>
      </c>
      <c r="J445" s="39" t="n">
        <v>36.3</v>
      </c>
      <c r="K445" s="45" t="n">
        <v>0</v>
      </c>
      <c r="L445" s="39" t="n">
        <v>14.1</v>
      </c>
      <c r="M445" s="39">
        <f>I445*J445*(1-K445)</f>
        <v/>
      </c>
      <c r="N445" s="39">
        <f>I445*L445</f>
        <v/>
      </c>
      <c r="O445" s="39">
        <f>M445-N445</f>
        <v/>
      </c>
      <c r="P445" s="38">
        <f>IF(M445=0,0,O445/M445)</f>
        <v/>
      </c>
      <c r="Q445" s="36">
        <f>YEAR(B445)</f>
        <v/>
      </c>
      <c r="R445" s="36">
        <f>"Q"&amp;ROUNDUP(MONTH(B445)/3,0)</f>
        <v/>
      </c>
      <c r="S445" s="36">
        <f>MONTH(B445)</f>
        <v/>
      </c>
      <c r="T445" s="36">
        <f>TEXT(B445,"mmm")</f>
        <v/>
      </c>
      <c r="U445" s="36">
        <f>IF(AND(OR(sel_Region="All",C445=sel_Region),OR(sel_Country="All",D445=sel_Country),OR(sel_Channel="All",E445=sel_Channel),OR(sel_Customer="All",F445=sel_Customer),OR(sel_Category="All",G445=sel_Category),OR(sel_Product="All",H445=sel_Product),AND(S445&gt;=m_From,S445&lt;=m_To)),1,0)</f>
        <v/>
      </c>
      <c r="V445" s="36">
        <f>IF(AND(OR(sel_Region="All",C445=sel_Region),OR(sel_Channel="All",E445=sel_Channel),OR(sel_Customer="All",F445=sel_Customer),OR(sel_Category="All",G445=sel_Category),OR(sel_Product="All",H445=sel_Product),AND(S445&gt;=m_From,S445&lt;=m_To)),1,0)</f>
        <v/>
      </c>
      <c r="W445" s="36">
        <f>IF(AND(OR(sel_Region="All",C445=sel_Region),OR(sel_Country="All",D445=sel_Country),OR(sel_Customer="All",F445=sel_Customer),OR(sel_Category="All",G445=sel_Category),OR(sel_Product="All",H445=sel_Product),AND(S445&gt;=m_From,S445&lt;=m_To)),1,0)</f>
        <v/>
      </c>
      <c r="X445" s="36">
        <f>IF(AND(OR(sel_Region="All",C445=sel_Region),OR(sel_Country="All",D445=sel_Country),OR(sel_Channel="All",E445=sel_Channel),OR(sel_Category="All",G445=sel_Category),OR(sel_Product="All",H445=sel_Product),AND(S445&gt;=m_From,S445&lt;=m_To)),1,0)</f>
        <v/>
      </c>
      <c r="Y445" s="36">
        <f>IF(AND(OR(sel_Region="All",C445=sel_Region),OR(sel_Country="All",D445=sel_Country),OR(sel_Channel="All",E445=sel_Channel),OR(sel_Customer="All",F445=sel_Customer),OR(sel_Product="All",H445=sel_Product),AND(S445&gt;=m_From,S445&lt;=m_To)),1,0)</f>
        <v/>
      </c>
      <c r="Z445" s="36">
        <f>IF(AND(OR(sel_Region="All",C445=sel_Region),OR(sel_Country="All",D445=sel_Country),OR(sel_Channel="All",E445=sel_Channel),OR(sel_Customer="All",F445=sel_Customer),OR(sel_Category="All",G445=sel_Category),AND(S445&gt;=m_From,S445&lt;=m_To)),1,0)</f>
        <v/>
      </c>
      <c r="AA445" s="36">
        <f>IF(AND(OR(sel_Region="All",C445=sel_Region),OR(sel_Country="All",D445=sel_Country),OR(sel_Channel="All",E445=sel_Channel),OR(sel_Customer="All",F445=sel_Customer),OR(sel_Category="All",G445=sel_Category),OR(sel_Product="All",H445=sel_Product)),1,0)</f>
        <v/>
      </c>
    </row>
    <row r="446">
      <c r="A446" s="36" t="inlineStr">
        <is>
          <t>01359</t>
        </is>
      </c>
      <c r="B446" s="44" t="n">
        <v>46108</v>
      </c>
      <c r="C446" s="36" t="inlineStr">
        <is>
          <t>Northern Europe</t>
        </is>
      </c>
      <c r="D446" s="36" t="inlineStr">
        <is>
          <t>Denmark</t>
        </is>
      </c>
      <c r="E446" s="36" t="inlineStr">
        <is>
          <t>Online Store</t>
        </is>
      </c>
      <c r="F446" s="36" t="inlineStr">
        <is>
          <t>Returning</t>
        </is>
      </c>
      <c r="G446" s="36" t="inlineStr">
        <is>
          <t>Travel</t>
        </is>
      </c>
      <c r="H446" s="36" t="inlineStr">
        <is>
          <t>Packing Cube Set</t>
        </is>
      </c>
      <c r="I446" s="36" t="n">
        <v>3</v>
      </c>
      <c r="J446" s="39" t="n">
        <v>46.24</v>
      </c>
      <c r="K446" s="45" t="n">
        <v>0.1</v>
      </c>
      <c r="L446" s="39" t="n">
        <v>18.2</v>
      </c>
      <c r="M446" s="39">
        <f>I446*J446*(1-K446)</f>
        <v/>
      </c>
      <c r="N446" s="39">
        <f>I446*L446</f>
        <v/>
      </c>
      <c r="O446" s="39">
        <f>M446-N446</f>
        <v/>
      </c>
      <c r="P446" s="38">
        <f>IF(M446=0,0,O446/M446)</f>
        <v/>
      </c>
      <c r="Q446" s="36">
        <f>YEAR(B446)</f>
        <v/>
      </c>
      <c r="R446" s="36">
        <f>"Q"&amp;ROUNDUP(MONTH(B446)/3,0)</f>
        <v/>
      </c>
      <c r="S446" s="36">
        <f>MONTH(B446)</f>
        <v/>
      </c>
      <c r="T446" s="36">
        <f>TEXT(B446,"mmm")</f>
        <v/>
      </c>
      <c r="U446" s="36">
        <f>IF(AND(OR(sel_Region="All",C446=sel_Region),OR(sel_Country="All",D446=sel_Country),OR(sel_Channel="All",E446=sel_Channel),OR(sel_Customer="All",F446=sel_Customer),OR(sel_Category="All",G446=sel_Category),OR(sel_Product="All",H446=sel_Product),AND(S446&gt;=m_From,S446&lt;=m_To)),1,0)</f>
        <v/>
      </c>
      <c r="V446" s="36">
        <f>IF(AND(OR(sel_Region="All",C446=sel_Region),OR(sel_Channel="All",E446=sel_Channel),OR(sel_Customer="All",F446=sel_Customer),OR(sel_Category="All",G446=sel_Category),OR(sel_Product="All",H446=sel_Product),AND(S446&gt;=m_From,S446&lt;=m_To)),1,0)</f>
        <v/>
      </c>
      <c r="W446" s="36">
        <f>IF(AND(OR(sel_Region="All",C446=sel_Region),OR(sel_Country="All",D446=sel_Country),OR(sel_Customer="All",F446=sel_Customer),OR(sel_Category="All",G446=sel_Category),OR(sel_Product="All",H446=sel_Product),AND(S446&gt;=m_From,S446&lt;=m_To)),1,0)</f>
        <v/>
      </c>
      <c r="X446" s="36">
        <f>IF(AND(OR(sel_Region="All",C446=sel_Region),OR(sel_Country="All",D446=sel_Country),OR(sel_Channel="All",E446=sel_Channel),OR(sel_Category="All",G446=sel_Category),OR(sel_Product="All",H446=sel_Product),AND(S446&gt;=m_From,S446&lt;=m_To)),1,0)</f>
        <v/>
      </c>
      <c r="Y446" s="36">
        <f>IF(AND(OR(sel_Region="All",C446=sel_Region),OR(sel_Country="All",D446=sel_Country),OR(sel_Channel="All",E446=sel_Channel),OR(sel_Customer="All",F446=sel_Customer),OR(sel_Product="All",H446=sel_Product),AND(S446&gt;=m_From,S446&lt;=m_To)),1,0)</f>
        <v/>
      </c>
      <c r="Z446" s="36">
        <f>IF(AND(OR(sel_Region="All",C446=sel_Region),OR(sel_Country="All",D446=sel_Country),OR(sel_Channel="All",E446=sel_Channel),OR(sel_Customer="All",F446=sel_Customer),OR(sel_Category="All",G446=sel_Category),AND(S446&gt;=m_From,S446&lt;=m_To)),1,0)</f>
        <v/>
      </c>
      <c r="AA446" s="36">
        <f>IF(AND(OR(sel_Region="All",C446=sel_Region),OR(sel_Country="All",D446=sel_Country),OR(sel_Channel="All",E446=sel_Channel),OR(sel_Customer="All",F446=sel_Customer),OR(sel_Category="All",G446=sel_Category),OR(sel_Product="All",H446=sel_Product)),1,0)</f>
        <v/>
      </c>
    </row>
    <row r="447">
      <c r="A447" s="36" t="inlineStr">
        <is>
          <t>02379</t>
        </is>
      </c>
      <c r="B447" s="44" t="n">
        <v>46108</v>
      </c>
      <c r="C447" s="36" t="inlineStr">
        <is>
          <t>Southern Europe</t>
        </is>
      </c>
      <c r="D447" s="36" t="inlineStr">
        <is>
          <t>Spain</t>
        </is>
      </c>
      <c r="E447" s="36" t="inlineStr">
        <is>
          <t>Retail Partners</t>
        </is>
      </c>
      <c r="F447" s="36" t="inlineStr">
        <is>
          <t>Returning</t>
        </is>
      </c>
      <c r="G447" s="36" t="inlineStr">
        <is>
          <t>Travel</t>
        </is>
      </c>
      <c r="H447" s="36" t="inlineStr">
        <is>
          <t>Travel Backpack 35L</t>
        </is>
      </c>
      <c r="I447" s="36" t="n">
        <v>2</v>
      </c>
      <c r="J447" s="39" t="n">
        <v>165.58</v>
      </c>
      <c r="K447" s="45" t="n">
        <v>0</v>
      </c>
      <c r="L447" s="39" t="n">
        <v>86.16</v>
      </c>
      <c r="M447" s="39">
        <f>I447*J447*(1-K447)</f>
        <v/>
      </c>
      <c r="N447" s="39">
        <f>I447*L447</f>
        <v/>
      </c>
      <c r="O447" s="39">
        <f>M447-N447</f>
        <v/>
      </c>
      <c r="P447" s="38">
        <f>IF(M447=0,0,O447/M447)</f>
        <v/>
      </c>
      <c r="Q447" s="36">
        <f>YEAR(B447)</f>
        <v/>
      </c>
      <c r="R447" s="36">
        <f>"Q"&amp;ROUNDUP(MONTH(B447)/3,0)</f>
        <v/>
      </c>
      <c r="S447" s="36">
        <f>MONTH(B447)</f>
        <v/>
      </c>
      <c r="T447" s="36">
        <f>TEXT(B447,"mmm")</f>
        <v/>
      </c>
      <c r="U447" s="36">
        <f>IF(AND(OR(sel_Region="All",C447=sel_Region),OR(sel_Country="All",D447=sel_Country),OR(sel_Channel="All",E447=sel_Channel),OR(sel_Customer="All",F447=sel_Customer),OR(sel_Category="All",G447=sel_Category),OR(sel_Product="All",H447=sel_Product),AND(S447&gt;=m_From,S447&lt;=m_To)),1,0)</f>
        <v/>
      </c>
      <c r="V447" s="36">
        <f>IF(AND(OR(sel_Region="All",C447=sel_Region),OR(sel_Channel="All",E447=sel_Channel),OR(sel_Customer="All",F447=sel_Customer),OR(sel_Category="All",G447=sel_Category),OR(sel_Product="All",H447=sel_Product),AND(S447&gt;=m_From,S447&lt;=m_To)),1,0)</f>
        <v/>
      </c>
      <c r="W447" s="36">
        <f>IF(AND(OR(sel_Region="All",C447=sel_Region),OR(sel_Country="All",D447=sel_Country),OR(sel_Customer="All",F447=sel_Customer),OR(sel_Category="All",G447=sel_Category),OR(sel_Product="All",H447=sel_Product),AND(S447&gt;=m_From,S447&lt;=m_To)),1,0)</f>
        <v/>
      </c>
      <c r="X447" s="36">
        <f>IF(AND(OR(sel_Region="All",C447=sel_Region),OR(sel_Country="All",D447=sel_Country),OR(sel_Channel="All",E447=sel_Channel),OR(sel_Category="All",G447=sel_Category),OR(sel_Product="All",H447=sel_Product),AND(S447&gt;=m_From,S447&lt;=m_To)),1,0)</f>
        <v/>
      </c>
      <c r="Y447" s="36">
        <f>IF(AND(OR(sel_Region="All",C447=sel_Region),OR(sel_Country="All",D447=sel_Country),OR(sel_Channel="All",E447=sel_Channel),OR(sel_Customer="All",F447=sel_Customer),OR(sel_Product="All",H447=sel_Product),AND(S447&gt;=m_From,S447&lt;=m_To)),1,0)</f>
        <v/>
      </c>
      <c r="Z447" s="36">
        <f>IF(AND(OR(sel_Region="All",C447=sel_Region),OR(sel_Country="All",D447=sel_Country),OR(sel_Channel="All",E447=sel_Channel),OR(sel_Customer="All",F447=sel_Customer),OR(sel_Category="All",G447=sel_Category),AND(S447&gt;=m_From,S447&lt;=m_To)),1,0)</f>
        <v/>
      </c>
      <c r="AA447" s="36">
        <f>IF(AND(OR(sel_Region="All",C447=sel_Region),OR(sel_Country="All",D447=sel_Country),OR(sel_Channel="All",E447=sel_Channel),OR(sel_Customer="All",F447=sel_Customer),OR(sel_Category="All",G447=sel_Category),OR(sel_Product="All",H447=sel_Product)),1,0)</f>
        <v/>
      </c>
    </row>
    <row r="448">
      <c r="A448" s="36" t="inlineStr">
        <is>
          <t>02987</t>
        </is>
      </c>
      <c r="B448" s="44" t="n">
        <v>46108</v>
      </c>
      <c r="C448" s="36" t="inlineStr">
        <is>
          <t>Southern Europe</t>
        </is>
      </c>
      <c r="D448" s="36" t="inlineStr">
        <is>
          <t>Portugal</t>
        </is>
      </c>
      <c r="E448" s="36" t="inlineStr">
        <is>
          <t>Online Store</t>
        </is>
      </c>
      <c r="F448" s="36" t="inlineStr">
        <is>
          <t>Returning</t>
        </is>
      </c>
      <c r="G448" s="36" t="inlineStr">
        <is>
          <t>Camping</t>
        </is>
      </c>
      <c r="H448" s="36" t="inlineStr">
        <is>
          <t>Compact Sleeping Bag</t>
        </is>
      </c>
      <c r="I448" s="36" t="n">
        <v>4</v>
      </c>
      <c r="J448" s="39" t="n">
        <v>121.49</v>
      </c>
      <c r="K448" s="45" t="n">
        <v>0</v>
      </c>
      <c r="L448" s="39" t="n">
        <v>62.01</v>
      </c>
      <c r="M448" s="39">
        <f>I448*J448*(1-K448)</f>
        <v/>
      </c>
      <c r="N448" s="39">
        <f>I448*L448</f>
        <v/>
      </c>
      <c r="O448" s="39">
        <f>M448-N448</f>
        <v/>
      </c>
      <c r="P448" s="38">
        <f>IF(M448=0,0,O448/M448)</f>
        <v/>
      </c>
      <c r="Q448" s="36">
        <f>YEAR(B448)</f>
        <v/>
      </c>
      <c r="R448" s="36">
        <f>"Q"&amp;ROUNDUP(MONTH(B448)/3,0)</f>
        <v/>
      </c>
      <c r="S448" s="36">
        <f>MONTH(B448)</f>
        <v/>
      </c>
      <c r="T448" s="36">
        <f>TEXT(B448,"mmm")</f>
        <v/>
      </c>
      <c r="U448" s="36">
        <f>IF(AND(OR(sel_Region="All",C448=sel_Region),OR(sel_Country="All",D448=sel_Country),OR(sel_Channel="All",E448=sel_Channel),OR(sel_Customer="All",F448=sel_Customer),OR(sel_Category="All",G448=sel_Category),OR(sel_Product="All",H448=sel_Product),AND(S448&gt;=m_From,S448&lt;=m_To)),1,0)</f>
        <v/>
      </c>
      <c r="V448" s="36">
        <f>IF(AND(OR(sel_Region="All",C448=sel_Region),OR(sel_Channel="All",E448=sel_Channel),OR(sel_Customer="All",F448=sel_Customer),OR(sel_Category="All",G448=sel_Category),OR(sel_Product="All",H448=sel_Product),AND(S448&gt;=m_From,S448&lt;=m_To)),1,0)</f>
        <v/>
      </c>
      <c r="W448" s="36">
        <f>IF(AND(OR(sel_Region="All",C448=sel_Region),OR(sel_Country="All",D448=sel_Country),OR(sel_Customer="All",F448=sel_Customer),OR(sel_Category="All",G448=sel_Category),OR(sel_Product="All",H448=sel_Product),AND(S448&gt;=m_From,S448&lt;=m_To)),1,0)</f>
        <v/>
      </c>
      <c r="X448" s="36">
        <f>IF(AND(OR(sel_Region="All",C448=sel_Region),OR(sel_Country="All",D448=sel_Country),OR(sel_Channel="All",E448=sel_Channel),OR(sel_Category="All",G448=sel_Category),OR(sel_Product="All",H448=sel_Product),AND(S448&gt;=m_From,S448&lt;=m_To)),1,0)</f>
        <v/>
      </c>
      <c r="Y448" s="36">
        <f>IF(AND(OR(sel_Region="All",C448=sel_Region),OR(sel_Country="All",D448=sel_Country),OR(sel_Channel="All",E448=sel_Channel),OR(sel_Customer="All",F448=sel_Customer),OR(sel_Product="All",H448=sel_Product),AND(S448&gt;=m_From,S448&lt;=m_To)),1,0)</f>
        <v/>
      </c>
      <c r="Z448" s="36">
        <f>IF(AND(OR(sel_Region="All",C448=sel_Region),OR(sel_Country="All",D448=sel_Country),OR(sel_Channel="All",E448=sel_Channel),OR(sel_Customer="All",F448=sel_Customer),OR(sel_Category="All",G448=sel_Category),AND(S448&gt;=m_From,S448&lt;=m_To)),1,0)</f>
        <v/>
      </c>
      <c r="AA448" s="36">
        <f>IF(AND(OR(sel_Region="All",C448=sel_Region),OR(sel_Country="All",D448=sel_Country),OR(sel_Channel="All",E448=sel_Channel),OR(sel_Customer="All",F448=sel_Customer),OR(sel_Category="All",G448=sel_Category),OR(sel_Product="All",H448=sel_Product)),1,0)</f>
        <v/>
      </c>
    </row>
    <row r="449">
      <c r="A449" s="36" t="inlineStr">
        <is>
          <t>03121</t>
        </is>
      </c>
      <c r="B449" s="44" t="n">
        <v>46108</v>
      </c>
      <c r="C449" s="36" t="inlineStr">
        <is>
          <t>Central Europe</t>
        </is>
      </c>
      <c r="D449" s="36" t="inlineStr">
        <is>
          <t>Germany</t>
        </is>
      </c>
      <c r="E449" s="36" t="inlineStr">
        <is>
          <t>Retail Partners</t>
        </is>
      </c>
      <c r="F449" s="36" t="inlineStr">
        <is>
          <t>New</t>
        </is>
      </c>
      <c r="G449" s="36" t="inlineStr">
        <is>
          <t>Cycling</t>
        </is>
      </c>
      <c r="H449" s="36" t="inlineStr">
        <is>
          <t>Commuter Helmet</t>
        </is>
      </c>
      <c r="I449" s="36" t="n">
        <v>5</v>
      </c>
      <c r="J449" s="39" t="n">
        <v>81.84</v>
      </c>
      <c r="K449" s="45" t="n">
        <v>0.1</v>
      </c>
      <c r="L449" s="39" t="n">
        <v>42.7</v>
      </c>
      <c r="M449" s="39">
        <f>I449*J449*(1-K449)</f>
        <v/>
      </c>
      <c r="N449" s="39">
        <f>I449*L449</f>
        <v/>
      </c>
      <c r="O449" s="39">
        <f>M449-N449</f>
        <v/>
      </c>
      <c r="P449" s="38">
        <f>IF(M449=0,0,O449/M449)</f>
        <v/>
      </c>
      <c r="Q449" s="36">
        <f>YEAR(B449)</f>
        <v/>
      </c>
      <c r="R449" s="36">
        <f>"Q"&amp;ROUNDUP(MONTH(B449)/3,0)</f>
        <v/>
      </c>
      <c r="S449" s="36">
        <f>MONTH(B449)</f>
        <v/>
      </c>
      <c r="T449" s="36">
        <f>TEXT(B449,"mmm")</f>
        <v/>
      </c>
      <c r="U449" s="36">
        <f>IF(AND(OR(sel_Region="All",C449=sel_Region),OR(sel_Country="All",D449=sel_Country),OR(sel_Channel="All",E449=sel_Channel),OR(sel_Customer="All",F449=sel_Customer),OR(sel_Category="All",G449=sel_Category),OR(sel_Product="All",H449=sel_Product),AND(S449&gt;=m_From,S449&lt;=m_To)),1,0)</f>
        <v/>
      </c>
      <c r="V449" s="36">
        <f>IF(AND(OR(sel_Region="All",C449=sel_Region),OR(sel_Channel="All",E449=sel_Channel),OR(sel_Customer="All",F449=sel_Customer),OR(sel_Category="All",G449=sel_Category),OR(sel_Product="All",H449=sel_Product),AND(S449&gt;=m_From,S449&lt;=m_To)),1,0)</f>
        <v/>
      </c>
      <c r="W449" s="36">
        <f>IF(AND(OR(sel_Region="All",C449=sel_Region),OR(sel_Country="All",D449=sel_Country),OR(sel_Customer="All",F449=sel_Customer),OR(sel_Category="All",G449=sel_Category),OR(sel_Product="All",H449=sel_Product),AND(S449&gt;=m_From,S449&lt;=m_To)),1,0)</f>
        <v/>
      </c>
      <c r="X449" s="36">
        <f>IF(AND(OR(sel_Region="All",C449=sel_Region),OR(sel_Country="All",D449=sel_Country),OR(sel_Channel="All",E449=sel_Channel),OR(sel_Category="All",G449=sel_Category),OR(sel_Product="All",H449=sel_Product),AND(S449&gt;=m_From,S449&lt;=m_To)),1,0)</f>
        <v/>
      </c>
      <c r="Y449" s="36">
        <f>IF(AND(OR(sel_Region="All",C449=sel_Region),OR(sel_Country="All",D449=sel_Country),OR(sel_Channel="All",E449=sel_Channel),OR(sel_Customer="All",F449=sel_Customer),OR(sel_Product="All",H449=sel_Product),AND(S449&gt;=m_From,S449&lt;=m_To)),1,0)</f>
        <v/>
      </c>
      <c r="Z449" s="36">
        <f>IF(AND(OR(sel_Region="All",C449=sel_Region),OR(sel_Country="All",D449=sel_Country),OR(sel_Channel="All",E449=sel_Channel),OR(sel_Customer="All",F449=sel_Customer),OR(sel_Category="All",G449=sel_Category),AND(S449&gt;=m_From,S449&lt;=m_To)),1,0)</f>
        <v/>
      </c>
      <c r="AA449" s="36">
        <f>IF(AND(OR(sel_Region="All",C449=sel_Region),OR(sel_Country="All",D449=sel_Country),OR(sel_Channel="All",E449=sel_Channel),OR(sel_Customer="All",F449=sel_Customer),OR(sel_Category="All",G449=sel_Category),OR(sel_Product="All",H449=sel_Product)),1,0)</f>
        <v/>
      </c>
    </row>
    <row r="450">
      <c r="A450" s="36" t="inlineStr">
        <is>
          <t>04445</t>
        </is>
      </c>
      <c r="B450" s="44" t="n">
        <v>46108</v>
      </c>
      <c r="C450" s="36" t="inlineStr">
        <is>
          <t>Central Europe</t>
        </is>
      </c>
      <c r="D450" s="36" t="inlineStr">
        <is>
          <t>Switzerland</t>
        </is>
      </c>
      <c r="E450" s="36" t="inlineStr">
        <is>
          <t>Online Store</t>
        </is>
      </c>
      <c r="F450" s="36" t="inlineStr">
        <is>
          <t>New</t>
        </is>
      </c>
      <c r="G450" s="36" t="inlineStr">
        <is>
          <t>Hiking</t>
        </is>
      </c>
      <c r="H450" s="36" t="inlineStr">
        <is>
          <t>Summit Backpack 45L</t>
        </is>
      </c>
      <c r="I450" s="36" t="n">
        <v>1</v>
      </c>
      <c r="J450" s="39" t="n">
        <v>151.48</v>
      </c>
      <c r="K450" s="45" t="n">
        <v>0</v>
      </c>
      <c r="L450" s="39" t="n">
        <v>79.41</v>
      </c>
      <c r="M450" s="39">
        <f>I450*J450*(1-K450)</f>
        <v/>
      </c>
      <c r="N450" s="39">
        <f>I450*L450</f>
        <v/>
      </c>
      <c r="O450" s="39">
        <f>M450-N450</f>
        <v/>
      </c>
      <c r="P450" s="38">
        <f>IF(M450=0,0,O450/M450)</f>
        <v/>
      </c>
      <c r="Q450" s="36">
        <f>YEAR(B450)</f>
        <v/>
      </c>
      <c r="R450" s="36">
        <f>"Q"&amp;ROUNDUP(MONTH(B450)/3,0)</f>
        <v/>
      </c>
      <c r="S450" s="36">
        <f>MONTH(B450)</f>
        <v/>
      </c>
      <c r="T450" s="36">
        <f>TEXT(B450,"mmm")</f>
        <v/>
      </c>
      <c r="U450" s="36">
        <f>IF(AND(OR(sel_Region="All",C450=sel_Region),OR(sel_Country="All",D450=sel_Country),OR(sel_Channel="All",E450=sel_Channel),OR(sel_Customer="All",F450=sel_Customer),OR(sel_Category="All",G450=sel_Category),OR(sel_Product="All",H450=sel_Product),AND(S450&gt;=m_From,S450&lt;=m_To)),1,0)</f>
        <v/>
      </c>
      <c r="V450" s="36">
        <f>IF(AND(OR(sel_Region="All",C450=sel_Region),OR(sel_Channel="All",E450=sel_Channel),OR(sel_Customer="All",F450=sel_Customer),OR(sel_Category="All",G450=sel_Category),OR(sel_Product="All",H450=sel_Product),AND(S450&gt;=m_From,S450&lt;=m_To)),1,0)</f>
        <v/>
      </c>
      <c r="W450" s="36">
        <f>IF(AND(OR(sel_Region="All",C450=sel_Region),OR(sel_Country="All",D450=sel_Country),OR(sel_Customer="All",F450=sel_Customer),OR(sel_Category="All",G450=sel_Category),OR(sel_Product="All",H450=sel_Product),AND(S450&gt;=m_From,S450&lt;=m_To)),1,0)</f>
        <v/>
      </c>
      <c r="X450" s="36">
        <f>IF(AND(OR(sel_Region="All",C450=sel_Region),OR(sel_Country="All",D450=sel_Country),OR(sel_Channel="All",E450=sel_Channel),OR(sel_Category="All",G450=sel_Category),OR(sel_Product="All",H450=sel_Product),AND(S450&gt;=m_From,S450&lt;=m_To)),1,0)</f>
        <v/>
      </c>
      <c r="Y450" s="36">
        <f>IF(AND(OR(sel_Region="All",C450=sel_Region),OR(sel_Country="All",D450=sel_Country),OR(sel_Channel="All",E450=sel_Channel),OR(sel_Customer="All",F450=sel_Customer),OR(sel_Product="All",H450=sel_Product),AND(S450&gt;=m_From,S450&lt;=m_To)),1,0)</f>
        <v/>
      </c>
      <c r="Z450" s="36">
        <f>IF(AND(OR(sel_Region="All",C450=sel_Region),OR(sel_Country="All",D450=sel_Country),OR(sel_Channel="All",E450=sel_Channel),OR(sel_Customer="All",F450=sel_Customer),OR(sel_Category="All",G450=sel_Category),AND(S450&gt;=m_From,S450&lt;=m_To)),1,0)</f>
        <v/>
      </c>
      <c r="AA450" s="36">
        <f>IF(AND(OR(sel_Region="All",C450=sel_Region),OR(sel_Country="All",D450=sel_Country),OR(sel_Channel="All",E450=sel_Channel),OR(sel_Customer="All",F450=sel_Customer),OR(sel_Category="All",G450=sel_Category),OR(sel_Product="All",H450=sel_Product)),1,0)</f>
        <v/>
      </c>
    </row>
    <row r="451">
      <c r="A451" s="36" t="inlineStr">
        <is>
          <t>00441</t>
        </is>
      </c>
      <c r="B451" s="44" t="n">
        <v>46109</v>
      </c>
      <c r="C451" s="36" t="inlineStr">
        <is>
          <t>Southern Europe</t>
        </is>
      </c>
      <c r="D451" s="36" t="inlineStr">
        <is>
          <t>Italy</t>
        </is>
      </c>
      <c r="E451" s="36" t="inlineStr">
        <is>
          <t>Retail Partners</t>
        </is>
      </c>
      <c r="F451" s="36" t="inlineStr">
        <is>
          <t>New</t>
        </is>
      </c>
      <c r="G451" s="36" t="inlineStr">
        <is>
          <t>Fitness</t>
        </is>
      </c>
      <c r="H451" s="36" t="inlineStr">
        <is>
          <t>Training Mat</t>
        </is>
      </c>
      <c r="I451" s="36" t="n">
        <v>1</v>
      </c>
      <c r="J451" s="39" t="n">
        <v>51.02</v>
      </c>
      <c r="K451" s="45" t="n">
        <v>0.05</v>
      </c>
      <c r="L451" s="39" t="n">
        <v>21.94</v>
      </c>
      <c r="M451" s="39">
        <f>I451*J451*(1-K451)</f>
        <v/>
      </c>
      <c r="N451" s="39">
        <f>I451*L451</f>
        <v/>
      </c>
      <c r="O451" s="39">
        <f>M451-N451</f>
        <v/>
      </c>
      <c r="P451" s="38">
        <f>IF(M451=0,0,O451/M451)</f>
        <v/>
      </c>
      <c r="Q451" s="36">
        <f>YEAR(B451)</f>
        <v/>
      </c>
      <c r="R451" s="36">
        <f>"Q"&amp;ROUNDUP(MONTH(B451)/3,0)</f>
        <v/>
      </c>
      <c r="S451" s="36">
        <f>MONTH(B451)</f>
        <v/>
      </c>
      <c r="T451" s="36">
        <f>TEXT(B451,"mmm")</f>
        <v/>
      </c>
      <c r="U451" s="36">
        <f>IF(AND(OR(sel_Region="All",C451=sel_Region),OR(sel_Country="All",D451=sel_Country),OR(sel_Channel="All",E451=sel_Channel),OR(sel_Customer="All",F451=sel_Customer),OR(sel_Category="All",G451=sel_Category),OR(sel_Product="All",H451=sel_Product),AND(S451&gt;=m_From,S451&lt;=m_To)),1,0)</f>
        <v/>
      </c>
      <c r="V451" s="36">
        <f>IF(AND(OR(sel_Region="All",C451=sel_Region),OR(sel_Channel="All",E451=sel_Channel),OR(sel_Customer="All",F451=sel_Customer),OR(sel_Category="All",G451=sel_Category),OR(sel_Product="All",H451=sel_Product),AND(S451&gt;=m_From,S451&lt;=m_To)),1,0)</f>
        <v/>
      </c>
      <c r="W451" s="36">
        <f>IF(AND(OR(sel_Region="All",C451=sel_Region),OR(sel_Country="All",D451=sel_Country),OR(sel_Customer="All",F451=sel_Customer),OR(sel_Category="All",G451=sel_Category),OR(sel_Product="All",H451=sel_Product),AND(S451&gt;=m_From,S451&lt;=m_To)),1,0)</f>
        <v/>
      </c>
      <c r="X451" s="36">
        <f>IF(AND(OR(sel_Region="All",C451=sel_Region),OR(sel_Country="All",D451=sel_Country),OR(sel_Channel="All",E451=sel_Channel),OR(sel_Category="All",G451=sel_Category),OR(sel_Product="All",H451=sel_Product),AND(S451&gt;=m_From,S451&lt;=m_To)),1,0)</f>
        <v/>
      </c>
      <c r="Y451" s="36">
        <f>IF(AND(OR(sel_Region="All",C451=sel_Region),OR(sel_Country="All",D451=sel_Country),OR(sel_Channel="All",E451=sel_Channel),OR(sel_Customer="All",F451=sel_Customer),OR(sel_Product="All",H451=sel_Product),AND(S451&gt;=m_From,S451&lt;=m_To)),1,0)</f>
        <v/>
      </c>
      <c r="Z451" s="36">
        <f>IF(AND(OR(sel_Region="All",C451=sel_Region),OR(sel_Country="All",D451=sel_Country),OR(sel_Channel="All",E451=sel_Channel),OR(sel_Customer="All",F451=sel_Customer),OR(sel_Category="All",G451=sel_Category),AND(S451&gt;=m_From,S451&lt;=m_To)),1,0)</f>
        <v/>
      </c>
      <c r="AA451" s="36">
        <f>IF(AND(OR(sel_Region="All",C451=sel_Region),OR(sel_Country="All",D451=sel_Country),OR(sel_Channel="All",E451=sel_Channel),OR(sel_Customer="All",F451=sel_Customer),OR(sel_Category="All",G451=sel_Category),OR(sel_Product="All",H451=sel_Product)),1,0)</f>
        <v/>
      </c>
    </row>
    <row r="452">
      <c r="A452" s="36" t="inlineStr">
        <is>
          <t>04608</t>
        </is>
      </c>
      <c r="B452" s="44" t="n">
        <v>46109</v>
      </c>
      <c r="C452" s="36" t="inlineStr">
        <is>
          <t>Northern Europe</t>
        </is>
      </c>
      <c r="D452" s="36" t="inlineStr">
        <is>
          <t>Sweden</t>
        </is>
      </c>
      <c r="E452" s="36" t="inlineStr">
        <is>
          <t>Corporate</t>
        </is>
      </c>
      <c r="F452" s="36" t="inlineStr">
        <is>
          <t>Business</t>
        </is>
      </c>
      <c r="G452" s="36" t="inlineStr">
        <is>
          <t>Cycling</t>
        </is>
      </c>
      <c r="H452" s="36" t="inlineStr">
        <is>
          <t>Compact Repair Kit</t>
        </is>
      </c>
      <c r="I452" s="36" t="n">
        <v>8</v>
      </c>
      <c r="J452" s="39" t="n">
        <v>40.86</v>
      </c>
      <c r="K452" s="45" t="n">
        <v>0.1</v>
      </c>
      <c r="L452" s="39" t="n">
        <v>16.34</v>
      </c>
      <c r="M452" s="39">
        <f>I452*J452*(1-K452)</f>
        <v/>
      </c>
      <c r="N452" s="39">
        <f>I452*L452</f>
        <v/>
      </c>
      <c r="O452" s="39">
        <f>M452-N452</f>
        <v/>
      </c>
      <c r="P452" s="38">
        <f>IF(M452=0,0,O452/M452)</f>
        <v/>
      </c>
      <c r="Q452" s="36">
        <f>YEAR(B452)</f>
        <v/>
      </c>
      <c r="R452" s="36">
        <f>"Q"&amp;ROUNDUP(MONTH(B452)/3,0)</f>
        <v/>
      </c>
      <c r="S452" s="36">
        <f>MONTH(B452)</f>
        <v/>
      </c>
      <c r="T452" s="36">
        <f>TEXT(B452,"mmm")</f>
        <v/>
      </c>
      <c r="U452" s="36">
        <f>IF(AND(OR(sel_Region="All",C452=sel_Region),OR(sel_Country="All",D452=sel_Country),OR(sel_Channel="All",E452=sel_Channel),OR(sel_Customer="All",F452=sel_Customer),OR(sel_Category="All",G452=sel_Category),OR(sel_Product="All",H452=sel_Product),AND(S452&gt;=m_From,S452&lt;=m_To)),1,0)</f>
        <v/>
      </c>
      <c r="V452" s="36">
        <f>IF(AND(OR(sel_Region="All",C452=sel_Region),OR(sel_Channel="All",E452=sel_Channel),OR(sel_Customer="All",F452=sel_Customer),OR(sel_Category="All",G452=sel_Category),OR(sel_Product="All",H452=sel_Product),AND(S452&gt;=m_From,S452&lt;=m_To)),1,0)</f>
        <v/>
      </c>
      <c r="W452" s="36">
        <f>IF(AND(OR(sel_Region="All",C452=sel_Region),OR(sel_Country="All",D452=sel_Country),OR(sel_Customer="All",F452=sel_Customer),OR(sel_Category="All",G452=sel_Category),OR(sel_Product="All",H452=sel_Product),AND(S452&gt;=m_From,S452&lt;=m_To)),1,0)</f>
        <v/>
      </c>
      <c r="X452" s="36">
        <f>IF(AND(OR(sel_Region="All",C452=sel_Region),OR(sel_Country="All",D452=sel_Country),OR(sel_Channel="All",E452=sel_Channel),OR(sel_Category="All",G452=sel_Category),OR(sel_Product="All",H452=sel_Product),AND(S452&gt;=m_From,S452&lt;=m_To)),1,0)</f>
        <v/>
      </c>
      <c r="Y452" s="36">
        <f>IF(AND(OR(sel_Region="All",C452=sel_Region),OR(sel_Country="All",D452=sel_Country),OR(sel_Channel="All",E452=sel_Channel),OR(sel_Customer="All",F452=sel_Customer),OR(sel_Product="All",H452=sel_Product),AND(S452&gt;=m_From,S452&lt;=m_To)),1,0)</f>
        <v/>
      </c>
      <c r="Z452" s="36">
        <f>IF(AND(OR(sel_Region="All",C452=sel_Region),OR(sel_Country="All",D452=sel_Country),OR(sel_Channel="All",E452=sel_Channel),OR(sel_Customer="All",F452=sel_Customer),OR(sel_Category="All",G452=sel_Category),AND(S452&gt;=m_From,S452&lt;=m_To)),1,0)</f>
        <v/>
      </c>
      <c r="AA452" s="36">
        <f>IF(AND(OR(sel_Region="All",C452=sel_Region),OR(sel_Country="All",D452=sel_Country),OR(sel_Channel="All",E452=sel_Channel),OR(sel_Customer="All",F452=sel_Customer),OR(sel_Category="All",G452=sel_Category),OR(sel_Product="All",H452=sel_Product)),1,0)</f>
        <v/>
      </c>
    </row>
    <row r="453">
      <c r="A453" s="36" t="inlineStr">
        <is>
          <t>04914</t>
        </is>
      </c>
      <c r="B453" s="44" t="n">
        <v>46109</v>
      </c>
      <c r="C453" s="36" t="inlineStr">
        <is>
          <t>Southern Europe</t>
        </is>
      </c>
      <c r="D453" s="36" t="inlineStr">
        <is>
          <t>Portugal</t>
        </is>
      </c>
      <c r="E453" s="36" t="inlineStr">
        <is>
          <t>Online Store</t>
        </is>
      </c>
      <c r="F453" s="36" t="inlineStr">
        <is>
          <t>New</t>
        </is>
      </c>
      <c r="G453" s="36" t="inlineStr">
        <is>
          <t>Travel</t>
        </is>
      </c>
      <c r="H453" s="36" t="inlineStr">
        <is>
          <t>Travel Backpack 35L</t>
        </is>
      </c>
      <c r="I453" s="36" t="n">
        <v>5</v>
      </c>
      <c r="J453" s="39" t="n">
        <v>163.33</v>
      </c>
      <c r="K453" s="45" t="n">
        <v>0</v>
      </c>
      <c r="L453" s="39" t="n">
        <v>87.05</v>
      </c>
      <c r="M453" s="39">
        <f>I453*J453*(1-K453)</f>
        <v/>
      </c>
      <c r="N453" s="39">
        <f>I453*L453</f>
        <v/>
      </c>
      <c r="O453" s="39">
        <f>M453-N453</f>
        <v/>
      </c>
      <c r="P453" s="38">
        <f>IF(M453=0,0,O453/M453)</f>
        <v/>
      </c>
      <c r="Q453" s="36">
        <f>YEAR(B453)</f>
        <v/>
      </c>
      <c r="R453" s="36">
        <f>"Q"&amp;ROUNDUP(MONTH(B453)/3,0)</f>
        <v/>
      </c>
      <c r="S453" s="36">
        <f>MONTH(B453)</f>
        <v/>
      </c>
      <c r="T453" s="36">
        <f>TEXT(B453,"mmm")</f>
        <v/>
      </c>
      <c r="U453" s="36">
        <f>IF(AND(OR(sel_Region="All",C453=sel_Region),OR(sel_Country="All",D453=sel_Country),OR(sel_Channel="All",E453=sel_Channel),OR(sel_Customer="All",F453=sel_Customer),OR(sel_Category="All",G453=sel_Category),OR(sel_Product="All",H453=sel_Product),AND(S453&gt;=m_From,S453&lt;=m_To)),1,0)</f>
        <v/>
      </c>
      <c r="V453" s="36">
        <f>IF(AND(OR(sel_Region="All",C453=sel_Region),OR(sel_Channel="All",E453=sel_Channel),OR(sel_Customer="All",F453=sel_Customer),OR(sel_Category="All",G453=sel_Category),OR(sel_Product="All",H453=sel_Product),AND(S453&gt;=m_From,S453&lt;=m_To)),1,0)</f>
        <v/>
      </c>
      <c r="W453" s="36">
        <f>IF(AND(OR(sel_Region="All",C453=sel_Region),OR(sel_Country="All",D453=sel_Country),OR(sel_Customer="All",F453=sel_Customer),OR(sel_Category="All",G453=sel_Category),OR(sel_Product="All",H453=sel_Product),AND(S453&gt;=m_From,S453&lt;=m_To)),1,0)</f>
        <v/>
      </c>
      <c r="X453" s="36">
        <f>IF(AND(OR(sel_Region="All",C453=sel_Region),OR(sel_Country="All",D453=sel_Country),OR(sel_Channel="All",E453=sel_Channel),OR(sel_Category="All",G453=sel_Category),OR(sel_Product="All",H453=sel_Product),AND(S453&gt;=m_From,S453&lt;=m_To)),1,0)</f>
        <v/>
      </c>
      <c r="Y453" s="36">
        <f>IF(AND(OR(sel_Region="All",C453=sel_Region),OR(sel_Country="All",D453=sel_Country),OR(sel_Channel="All",E453=sel_Channel),OR(sel_Customer="All",F453=sel_Customer),OR(sel_Product="All",H453=sel_Product),AND(S453&gt;=m_From,S453&lt;=m_To)),1,0)</f>
        <v/>
      </c>
      <c r="Z453" s="36">
        <f>IF(AND(OR(sel_Region="All",C453=sel_Region),OR(sel_Country="All",D453=sel_Country),OR(sel_Channel="All",E453=sel_Channel),OR(sel_Customer="All",F453=sel_Customer),OR(sel_Category="All",G453=sel_Category),AND(S453&gt;=m_From,S453&lt;=m_To)),1,0)</f>
        <v/>
      </c>
      <c r="AA453" s="36">
        <f>IF(AND(OR(sel_Region="All",C453=sel_Region),OR(sel_Country="All",D453=sel_Country),OR(sel_Channel="All",E453=sel_Channel),OR(sel_Customer="All",F453=sel_Customer),OR(sel_Category="All",G453=sel_Category),OR(sel_Product="All",H453=sel_Product)),1,0)</f>
        <v/>
      </c>
    </row>
    <row r="454">
      <c r="A454" s="36" t="inlineStr">
        <is>
          <t>00860</t>
        </is>
      </c>
      <c r="B454" s="44" t="n">
        <v>46110</v>
      </c>
      <c r="C454" s="36" t="inlineStr">
        <is>
          <t>Central Europe</t>
        </is>
      </c>
      <c r="D454" s="36" t="inlineStr">
        <is>
          <t>Poland</t>
        </is>
      </c>
      <c r="E454" s="36" t="inlineStr">
        <is>
          <t>Marketplace</t>
        </is>
      </c>
      <c r="F454" s="36" t="inlineStr">
        <is>
          <t>New</t>
        </is>
      </c>
      <c r="G454" s="36" t="inlineStr">
        <is>
          <t>Hiking</t>
        </is>
      </c>
      <c r="H454" s="36" t="inlineStr">
        <is>
          <t>Hiking Daypack 20L</t>
        </is>
      </c>
      <c r="I454" s="36" t="n">
        <v>1</v>
      </c>
      <c r="J454" s="39" t="n">
        <v>90.27</v>
      </c>
      <c r="K454" s="45" t="n">
        <v>0</v>
      </c>
      <c r="L454" s="39" t="n">
        <v>46.38</v>
      </c>
      <c r="M454" s="39">
        <f>I454*J454*(1-K454)</f>
        <v/>
      </c>
      <c r="N454" s="39">
        <f>I454*L454</f>
        <v/>
      </c>
      <c r="O454" s="39">
        <f>M454-N454</f>
        <v/>
      </c>
      <c r="P454" s="38">
        <f>IF(M454=0,0,O454/M454)</f>
        <v/>
      </c>
      <c r="Q454" s="36">
        <f>YEAR(B454)</f>
        <v/>
      </c>
      <c r="R454" s="36">
        <f>"Q"&amp;ROUNDUP(MONTH(B454)/3,0)</f>
        <v/>
      </c>
      <c r="S454" s="36">
        <f>MONTH(B454)</f>
        <v/>
      </c>
      <c r="T454" s="36">
        <f>TEXT(B454,"mmm")</f>
        <v/>
      </c>
      <c r="U454" s="36">
        <f>IF(AND(OR(sel_Region="All",C454=sel_Region),OR(sel_Country="All",D454=sel_Country),OR(sel_Channel="All",E454=sel_Channel),OR(sel_Customer="All",F454=sel_Customer),OR(sel_Category="All",G454=sel_Category),OR(sel_Product="All",H454=sel_Product),AND(S454&gt;=m_From,S454&lt;=m_To)),1,0)</f>
        <v/>
      </c>
      <c r="V454" s="36">
        <f>IF(AND(OR(sel_Region="All",C454=sel_Region),OR(sel_Channel="All",E454=sel_Channel),OR(sel_Customer="All",F454=sel_Customer),OR(sel_Category="All",G454=sel_Category),OR(sel_Product="All",H454=sel_Product),AND(S454&gt;=m_From,S454&lt;=m_To)),1,0)</f>
        <v/>
      </c>
      <c r="W454" s="36">
        <f>IF(AND(OR(sel_Region="All",C454=sel_Region),OR(sel_Country="All",D454=sel_Country),OR(sel_Customer="All",F454=sel_Customer),OR(sel_Category="All",G454=sel_Category),OR(sel_Product="All",H454=sel_Product),AND(S454&gt;=m_From,S454&lt;=m_To)),1,0)</f>
        <v/>
      </c>
      <c r="X454" s="36">
        <f>IF(AND(OR(sel_Region="All",C454=sel_Region),OR(sel_Country="All",D454=sel_Country),OR(sel_Channel="All",E454=sel_Channel),OR(sel_Category="All",G454=sel_Category),OR(sel_Product="All",H454=sel_Product),AND(S454&gt;=m_From,S454&lt;=m_To)),1,0)</f>
        <v/>
      </c>
      <c r="Y454" s="36">
        <f>IF(AND(OR(sel_Region="All",C454=sel_Region),OR(sel_Country="All",D454=sel_Country),OR(sel_Channel="All",E454=sel_Channel),OR(sel_Customer="All",F454=sel_Customer),OR(sel_Product="All",H454=sel_Product),AND(S454&gt;=m_From,S454&lt;=m_To)),1,0)</f>
        <v/>
      </c>
      <c r="Z454" s="36">
        <f>IF(AND(OR(sel_Region="All",C454=sel_Region),OR(sel_Country="All",D454=sel_Country),OR(sel_Channel="All",E454=sel_Channel),OR(sel_Customer="All",F454=sel_Customer),OR(sel_Category="All",G454=sel_Category),AND(S454&gt;=m_From,S454&lt;=m_To)),1,0)</f>
        <v/>
      </c>
      <c r="AA454" s="36">
        <f>IF(AND(OR(sel_Region="All",C454=sel_Region),OR(sel_Country="All",D454=sel_Country),OR(sel_Channel="All",E454=sel_Channel),OR(sel_Customer="All",F454=sel_Customer),OR(sel_Category="All",G454=sel_Category),OR(sel_Product="All",H454=sel_Product)),1,0)</f>
        <v/>
      </c>
    </row>
    <row r="455">
      <c r="A455" s="36" t="inlineStr">
        <is>
          <t>00920</t>
        </is>
      </c>
      <c r="B455" s="44" t="n">
        <v>46110</v>
      </c>
      <c r="C455" s="36" t="inlineStr">
        <is>
          <t>Southern Europe</t>
        </is>
      </c>
      <c r="D455" s="36" t="inlineStr">
        <is>
          <t>Portugal</t>
        </is>
      </c>
      <c r="E455" s="36" t="inlineStr">
        <is>
          <t>Corporate</t>
        </is>
      </c>
      <c r="F455" s="36" t="inlineStr">
        <is>
          <t>Business</t>
        </is>
      </c>
      <c r="G455" s="36" t="inlineStr">
        <is>
          <t>Travel</t>
        </is>
      </c>
      <c r="H455" s="36" t="inlineStr">
        <is>
          <t>Carry-On Duffel</t>
        </is>
      </c>
      <c r="I455" s="36" t="n">
        <v>12</v>
      </c>
      <c r="J455" s="39" t="n">
        <v>131.31</v>
      </c>
      <c r="K455" s="45" t="n">
        <v>0.05</v>
      </c>
      <c r="L455" s="39" t="n">
        <v>68.45999999999999</v>
      </c>
      <c r="M455" s="39">
        <f>I455*J455*(1-K455)</f>
        <v/>
      </c>
      <c r="N455" s="39">
        <f>I455*L455</f>
        <v/>
      </c>
      <c r="O455" s="39">
        <f>M455-N455</f>
        <v/>
      </c>
      <c r="P455" s="38">
        <f>IF(M455=0,0,O455/M455)</f>
        <v/>
      </c>
      <c r="Q455" s="36">
        <f>YEAR(B455)</f>
        <v/>
      </c>
      <c r="R455" s="36">
        <f>"Q"&amp;ROUNDUP(MONTH(B455)/3,0)</f>
        <v/>
      </c>
      <c r="S455" s="36">
        <f>MONTH(B455)</f>
        <v/>
      </c>
      <c r="T455" s="36">
        <f>TEXT(B455,"mmm")</f>
        <v/>
      </c>
      <c r="U455" s="36">
        <f>IF(AND(OR(sel_Region="All",C455=sel_Region),OR(sel_Country="All",D455=sel_Country),OR(sel_Channel="All",E455=sel_Channel),OR(sel_Customer="All",F455=sel_Customer),OR(sel_Category="All",G455=sel_Category),OR(sel_Product="All",H455=sel_Product),AND(S455&gt;=m_From,S455&lt;=m_To)),1,0)</f>
        <v/>
      </c>
      <c r="V455" s="36">
        <f>IF(AND(OR(sel_Region="All",C455=sel_Region),OR(sel_Channel="All",E455=sel_Channel),OR(sel_Customer="All",F455=sel_Customer),OR(sel_Category="All",G455=sel_Category),OR(sel_Product="All",H455=sel_Product),AND(S455&gt;=m_From,S455&lt;=m_To)),1,0)</f>
        <v/>
      </c>
      <c r="W455" s="36">
        <f>IF(AND(OR(sel_Region="All",C455=sel_Region),OR(sel_Country="All",D455=sel_Country),OR(sel_Customer="All",F455=sel_Customer),OR(sel_Category="All",G455=sel_Category),OR(sel_Product="All",H455=sel_Product),AND(S455&gt;=m_From,S455&lt;=m_To)),1,0)</f>
        <v/>
      </c>
      <c r="X455" s="36">
        <f>IF(AND(OR(sel_Region="All",C455=sel_Region),OR(sel_Country="All",D455=sel_Country),OR(sel_Channel="All",E455=sel_Channel),OR(sel_Category="All",G455=sel_Category),OR(sel_Product="All",H455=sel_Product),AND(S455&gt;=m_From,S455&lt;=m_To)),1,0)</f>
        <v/>
      </c>
      <c r="Y455" s="36">
        <f>IF(AND(OR(sel_Region="All",C455=sel_Region),OR(sel_Country="All",D455=sel_Country),OR(sel_Channel="All",E455=sel_Channel),OR(sel_Customer="All",F455=sel_Customer),OR(sel_Product="All",H455=sel_Product),AND(S455&gt;=m_From,S455&lt;=m_To)),1,0)</f>
        <v/>
      </c>
      <c r="Z455" s="36">
        <f>IF(AND(OR(sel_Region="All",C455=sel_Region),OR(sel_Country="All",D455=sel_Country),OR(sel_Channel="All",E455=sel_Channel),OR(sel_Customer="All",F455=sel_Customer),OR(sel_Category="All",G455=sel_Category),AND(S455&gt;=m_From,S455&lt;=m_To)),1,0)</f>
        <v/>
      </c>
      <c r="AA455" s="36">
        <f>IF(AND(OR(sel_Region="All",C455=sel_Region),OR(sel_Country="All",D455=sel_Country),OR(sel_Channel="All",E455=sel_Channel),OR(sel_Customer="All",F455=sel_Customer),OR(sel_Category="All",G455=sel_Category),OR(sel_Product="All",H455=sel_Product)),1,0)</f>
        <v/>
      </c>
    </row>
    <row r="456">
      <c r="A456" s="36" t="inlineStr">
        <is>
          <t>01700</t>
        </is>
      </c>
      <c r="B456" s="44" t="n">
        <v>46110</v>
      </c>
      <c r="C456" s="36" t="inlineStr">
        <is>
          <t>Central Europe</t>
        </is>
      </c>
      <c r="D456" s="36" t="inlineStr">
        <is>
          <t>Germany</t>
        </is>
      </c>
      <c r="E456" s="36" t="inlineStr">
        <is>
          <t>Marketplace</t>
        </is>
      </c>
      <c r="F456" s="36" t="inlineStr">
        <is>
          <t>New</t>
        </is>
      </c>
      <c r="G456" s="36" t="inlineStr">
        <is>
          <t>Travel</t>
        </is>
      </c>
      <c r="H456" s="36" t="inlineStr">
        <is>
          <t>Travel Backpack 35L</t>
        </is>
      </c>
      <c r="I456" s="36" t="n">
        <v>1</v>
      </c>
      <c r="J456" s="39" t="n">
        <v>167.27</v>
      </c>
      <c r="K456" s="45" t="n">
        <v>0.05</v>
      </c>
      <c r="L456" s="39" t="n">
        <v>88.19</v>
      </c>
      <c r="M456" s="39">
        <f>I456*J456*(1-K456)</f>
        <v/>
      </c>
      <c r="N456" s="39">
        <f>I456*L456</f>
        <v/>
      </c>
      <c r="O456" s="39">
        <f>M456-N456</f>
        <v/>
      </c>
      <c r="P456" s="38">
        <f>IF(M456=0,0,O456/M456)</f>
        <v/>
      </c>
      <c r="Q456" s="36">
        <f>YEAR(B456)</f>
        <v/>
      </c>
      <c r="R456" s="36">
        <f>"Q"&amp;ROUNDUP(MONTH(B456)/3,0)</f>
        <v/>
      </c>
      <c r="S456" s="36">
        <f>MONTH(B456)</f>
        <v/>
      </c>
      <c r="T456" s="36">
        <f>TEXT(B456,"mmm")</f>
        <v/>
      </c>
      <c r="U456" s="36">
        <f>IF(AND(OR(sel_Region="All",C456=sel_Region),OR(sel_Country="All",D456=sel_Country),OR(sel_Channel="All",E456=sel_Channel),OR(sel_Customer="All",F456=sel_Customer),OR(sel_Category="All",G456=sel_Category),OR(sel_Product="All",H456=sel_Product),AND(S456&gt;=m_From,S456&lt;=m_To)),1,0)</f>
        <v/>
      </c>
      <c r="V456" s="36">
        <f>IF(AND(OR(sel_Region="All",C456=sel_Region),OR(sel_Channel="All",E456=sel_Channel),OR(sel_Customer="All",F456=sel_Customer),OR(sel_Category="All",G456=sel_Category),OR(sel_Product="All",H456=sel_Product),AND(S456&gt;=m_From,S456&lt;=m_To)),1,0)</f>
        <v/>
      </c>
      <c r="W456" s="36">
        <f>IF(AND(OR(sel_Region="All",C456=sel_Region),OR(sel_Country="All",D456=sel_Country),OR(sel_Customer="All",F456=sel_Customer),OR(sel_Category="All",G456=sel_Category),OR(sel_Product="All",H456=sel_Product),AND(S456&gt;=m_From,S456&lt;=m_To)),1,0)</f>
        <v/>
      </c>
      <c r="X456" s="36">
        <f>IF(AND(OR(sel_Region="All",C456=sel_Region),OR(sel_Country="All",D456=sel_Country),OR(sel_Channel="All",E456=sel_Channel),OR(sel_Category="All",G456=sel_Category),OR(sel_Product="All",H456=sel_Product),AND(S456&gt;=m_From,S456&lt;=m_To)),1,0)</f>
        <v/>
      </c>
      <c r="Y456" s="36">
        <f>IF(AND(OR(sel_Region="All",C456=sel_Region),OR(sel_Country="All",D456=sel_Country),OR(sel_Channel="All",E456=sel_Channel),OR(sel_Customer="All",F456=sel_Customer),OR(sel_Product="All",H456=sel_Product),AND(S456&gt;=m_From,S456&lt;=m_To)),1,0)</f>
        <v/>
      </c>
      <c r="Z456" s="36">
        <f>IF(AND(OR(sel_Region="All",C456=sel_Region),OR(sel_Country="All",D456=sel_Country),OR(sel_Channel="All",E456=sel_Channel),OR(sel_Customer="All",F456=sel_Customer),OR(sel_Category="All",G456=sel_Category),AND(S456&gt;=m_From,S456&lt;=m_To)),1,0)</f>
        <v/>
      </c>
      <c r="AA456" s="36">
        <f>IF(AND(OR(sel_Region="All",C456=sel_Region),OR(sel_Country="All",D456=sel_Country),OR(sel_Channel="All",E456=sel_Channel),OR(sel_Customer="All",F456=sel_Customer),OR(sel_Category="All",G456=sel_Category),OR(sel_Product="All",H456=sel_Product)),1,0)</f>
        <v/>
      </c>
    </row>
    <row r="457">
      <c r="A457" s="36" t="inlineStr">
        <is>
          <t>01768</t>
        </is>
      </c>
      <c r="B457" s="44" t="n">
        <v>46110</v>
      </c>
      <c r="C457" s="36" t="inlineStr">
        <is>
          <t>Central Europe</t>
        </is>
      </c>
      <c r="D457" s="36" t="inlineStr">
        <is>
          <t>Germany</t>
        </is>
      </c>
      <c r="E457" s="36" t="inlineStr">
        <is>
          <t>Marketplace</t>
        </is>
      </c>
      <c r="F457" s="36" t="inlineStr">
        <is>
          <t>Returning</t>
        </is>
      </c>
      <c r="G457" s="36" t="inlineStr">
        <is>
          <t>Hiking</t>
        </is>
      </c>
      <c r="H457" s="36" t="inlineStr">
        <is>
          <t>Trekking Poles</t>
        </is>
      </c>
      <c r="I457" s="36" t="n">
        <v>4</v>
      </c>
      <c r="J457" s="39" t="n">
        <v>70.51000000000001</v>
      </c>
      <c r="K457" s="45" t="n">
        <v>0</v>
      </c>
      <c r="L457" s="39" t="n">
        <v>31.93</v>
      </c>
      <c r="M457" s="39">
        <f>I457*J457*(1-K457)</f>
        <v/>
      </c>
      <c r="N457" s="39">
        <f>I457*L457</f>
        <v/>
      </c>
      <c r="O457" s="39">
        <f>M457-N457</f>
        <v/>
      </c>
      <c r="P457" s="38">
        <f>IF(M457=0,0,O457/M457)</f>
        <v/>
      </c>
      <c r="Q457" s="36">
        <f>YEAR(B457)</f>
        <v/>
      </c>
      <c r="R457" s="36">
        <f>"Q"&amp;ROUNDUP(MONTH(B457)/3,0)</f>
        <v/>
      </c>
      <c r="S457" s="36">
        <f>MONTH(B457)</f>
        <v/>
      </c>
      <c r="T457" s="36">
        <f>TEXT(B457,"mmm")</f>
        <v/>
      </c>
      <c r="U457" s="36">
        <f>IF(AND(OR(sel_Region="All",C457=sel_Region),OR(sel_Country="All",D457=sel_Country),OR(sel_Channel="All",E457=sel_Channel),OR(sel_Customer="All",F457=sel_Customer),OR(sel_Category="All",G457=sel_Category),OR(sel_Product="All",H457=sel_Product),AND(S457&gt;=m_From,S457&lt;=m_To)),1,0)</f>
        <v/>
      </c>
      <c r="V457" s="36">
        <f>IF(AND(OR(sel_Region="All",C457=sel_Region),OR(sel_Channel="All",E457=sel_Channel),OR(sel_Customer="All",F457=sel_Customer),OR(sel_Category="All",G457=sel_Category),OR(sel_Product="All",H457=sel_Product),AND(S457&gt;=m_From,S457&lt;=m_To)),1,0)</f>
        <v/>
      </c>
      <c r="W457" s="36">
        <f>IF(AND(OR(sel_Region="All",C457=sel_Region),OR(sel_Country="All",D457=sel_Country),OR(sel_Customer="All",F457=sel_Customer),OR(sel_Category="All",G457=sel_Category),OR(sel_Product="All",H457=sel_Product),AND(S457&gt;=m_From,S457&lt;=m_To)),1,0)</f>
        <v/>
      </c>
      <c r="X457" s="36">
        <f>IF(AND(OR(sel_Region="All",C457=sel_Region),OR(sel_Country="All",D457=sel_Country),OR(sel_Channel="All",E457=sel_Channel),OR(sel_Category="All",G457=sel_Category),OR(sel_Product="All",H457=sel_Product),AND(S457&gt;=m_From,S457&lt;=m_To)),1,0)</f>
        <v/>
      </c>
      <c r="Y457" s="36">
        <f>IF(AND(OR(sel_Region="All",C457=sel_Region),OR(sel_Country="All",D457=sel_Country),OR(sel_Channel="All",E457=sel_Channel),OR(sel_Customer="All",F457=sel_Customer),OR(sel_Product="All",H457=sel_Product),AND(S457&gt;=m_From,S457&lt;=m_To)),1,0)</f>
        <v/>
      </c>
      <c r="Z457" s="36">
        <f>IF(AND(OR(sel_Region="All",C457=sel_Region),OR(sel_Country="All",D457=sel_Country),OR(sel_Channel="All",E457=sel_Channel),OR(sel_Customer="All",F457=sel_Customer),OR(sel_Category="All",G457=sel_Category),AND(S457&gt;=m_From,S457&lt;=m_To)),1,0)</f>
        <v/>
      </c>
      <c r="AA457" s="36">
        <f>IF(AND(OR(sel_Region="All",C457=sel_Region),OR(sel_Country="All",D457=sel_Country),OR(sel_Channel="All",E457=sel_Channel),OR(sel_Customer="All",F457=sel_Customer),OR(sel_Category="All",G457=sel_Category),OR(sel_Product="All",H457=sel_Product)),1,0)</f>
        <v/>
      </c>
    </row>
    <row r="458">
      <c r="A458" s="36" t="inlineStr">
        <is>
          <t>01876</t>
        </is>
      </c>
      <c r="B458" s="44" t="n">
        <v>46110</v>
      </c>
      <c r="C458" s="36" t="inlineStr">
        <is>
          <t>Central Europe</t>
        </is>
      </c>
      <c r="D458" s="36" t="inlineStr">
        <is>
          <t>Austria</t>
        </is>
      </c>
      <c r="E458" s="36" t="inlineStr">
        <is>
          <t>Corporate</t>
        </is>
      </c>
      <c r="F458" s="36" t="inlineStr">
        <is>
          <t>New</t>
        </is>
      </c>
      <c r="G458" s="36" t="inlineStr">
        <is>
          <t>Cycling</t>
        </is>
      </c>
      <c r="H458" s="36" t="inlineStr">
        <is>
          <t>Cycling Pack 12L</t>
        </is>
      </c>
      <c r="I458" s="36" t="n">
        <v>12</v>
      </c>
      <c r="J458" s="39" t="n">
        <v>101.06</v>
      </c>
      <c r="K458" s="45" t="n">
        <v>0.1</v>
      </c>
      <c r="L458" s="39" t="n">
        <v>50.59</v>
      </c>
      <c r="M458" s="39">
        <f>I458*J458*(1-K458)</f>
        <v/>
      </c>
      <c r="N458" s="39">
        <f>I458*L458</f>
        <v/>
      </c>
      <c r="O458" s="39">
        <f>M458-N458</f>
        <v/>
      </c>
      <c r="P458" s="38">
        <f>IF(M458=0,0,O458/M458)</f>
        <v/>
      </c>
      <c r="Q458" s="36">
        <f>YEAR(B458)</f>
        <v/>
      </c>
      <c r="R458" s="36">
        <f>"Q"&amp;ROUNDUP(MONTH(B458)/3,0)</f>
        <v/>
      </c>
      <c r="S458" s="36">
        <f>MONTH(B458)</f>
        <v/>
      </c>
      <c r="T458" s="36">
        <f>TEXT(B458,"mmm")</f>
        <v/>
      </c>
      <c r="U458" s="36">
        <f>IF(AND(OR(sel_Region="All",C458=sel_Region),OR(sel_Country="All",D458=sel_Country),OR(sel_Channel="All",E458=sel_Channel),OR(sel_Customer="All",F458=sel_Customer),OR(sel_Category="All",G458=sel_Category),OR(sel_Product="All",H458=sel_Product),AND(S458&gt;=m_From,S458&lt;=m_To)),1,0)</f>
        <v/>
      </c>
      <c r="V458" s="36">
        <f>IF(AND(OR(sel_Region="All",C458=sel_Region),OR(sel_Channel="All",E458=sel_Channel),OR(sel_Customer="All",F458=sel_Customer),OR(sel_Category="All",G458=sel_Category),OR(sel_Product="All",H458=sel_Product),AND(S458&gt;=m_From,S458&lt;=m_To)),1,0)</f>
        <v/>
      </c>
      <c r="W458" s="36">
        <f>IF(AND(OR(sel_Region="All",C458=sel_Region),OR(sel_Country="All",D458=sel_Country),OR(sel_Customer="All",F458=sel_Customer),OR(sel_Category="All",G458=sel_Category),OR(sel_Product="All",H458=sel_Product),AND(S458&gt;=m_From,S458&lt;=m_To)),1,0)</f>
        <v/>
      </c>
      <c r="X458" s="36">
        <f>IF(AND(OR(sel_Region="All",C458=sel_Region),OR(sel_Country="All",D458=sel_Country),OR(sel_Channel="All",E458=sel_Channel),OR(sel_Category="All",G458=sel_Category),OR(sel_Product="All",H458=sel_Product),AND(S458&gt;=m_From,S458&lt;=m_To)),1,0)</f>
        <v/>
      </c>
      <c r="Y458" s="36">
        <f>IF(AND(OR(sel_Region="All",C458=sel_Region),OR(sel_Country="All",D458=sel_Country),OR(sel_Channel="All",E458=sel_Channel),OR(sel_Customer="All",F458=sel_Customer),OR(sel_Product="All",H458=sel_Product),AND(S458&gt;=m_From,S458&lt;=m_To)),1,0)</f>
        <v/>
      </c>
      <c r="Z458" s="36">
        <f>IF(AND(OR(sel_Region="All",C458=sel_Region),OR(sel_Country="All",D458=sel_Country),OR(sel_Channel="All",E458=sel_Channel),OR(sel_Customer="All",F458=sel_Customer),OR(sel_Category="All",G458=sel_Category),AND(S458&gt;=m_From,S458&lt;=m_To)),1,0)</f>
        <v/>
      </c>
      <c r="AA458" s="36">
        <f>IF(AND(OR(sel_Region="All",C458=sel_Region),OR(sel_Country="All",D458=sel_Country),OR(sel_Channel="All",E458=sel_Channel),OR(sel_Customer="All",F458=sel_Customer),OR(sel_Category="All",G458=sel_Category),OR(sel_Product="All",H458=sel_Product)),1,0)</f>
        <v/>
      </c>
    </row>
    <row r="459">
      <c r="A459" s="36" t="inlineStr">
        <is>
          <t>02453</t>
        </is>
      </c>
      <c r="B459" s="44" t="n">
        <v>46110</v>
      </c>
      <c r="C459" s="36" t="inlineStr">
        <is>
          <t>Western Europe</t>
        </is>
      </c>
      <c r="D459" s="36" t="inlineStr">
        <is>
          <t>United Kingdom</t>
        </is>
      </c>
      <c r="E459" s="36" t="inlineStr">
        <is>
          <t>Online Store</t>
        </is>
      </c>
      <c r="F459" s="36" t="inlineStr">
        <is>
          <t>Business</t>
        </is>
      </c>
      <c r="G459" s="36" t="inlineStr">
        <is>
          <t>Cycling</t>
        </is>
      </c>
      <c r="H459" s="36" t="inlineStr">
        <is>
          <t>Commuter Helmet</t>
        </is>
      </c>
      <c r="I459" s="36" t="n">
        <v>2</v>
      </c>
      <c r="J459" s="39" t="n">
        <v>79.84999999999999</v>
      </c>
      <c r="K459" s="45" t="n">
        <v>0.05</v>
      </c>
      <c r="L459" s="39" t="n">
        <v>43.78</v>
      </c>
      <c r="M459" s="39">
        <f>I459*J459*(1-K459)</f>
        <v/>
      </c>
      <c r="N459" s="39">
        <f>I459*L459</f>
        <v/>
      </c>
      <c r="O459" s="39">
        <f>M459-N459</f>
        <v/>
      </c>
      <c r="P459" s="38">
        <f>IF(M459=0,0,O459/M459)</f>
        <v/>
      </c>
      <c r="Q459" s="36">
        <f>YEAR(B459)</f>
        <v/>
      </c>
      <c r="R459" s="36">
        <f>"Q"&amp;ROUNDUP(MONTH(B459)/3,0)</f>
        <v/>
      </c>
      <c r="S459" s="36">
        <f>MONTH(B459)</f>
        <v/>
      </c>
      <c r="T459" s="36">
        <f>TEXT(B459,"mmm")</f>
        <v/>
      </c>
      <c r="U459" s="36">
        <f>IF(AND(OR(sel_Region="All",C459=sel_Region),OR(sel_Country="All",D459=sel_Country),OR(sel_Channel="All",E459=sel_Channel),OR(sel_Customer="All",F459=sel_Customer),OR(sel_Category="All",G459=sel_Category),OR(sel_Product="All",H459=sel_Product),AND(S459&gt;=m_From,S459&lt;=m_To)),1,0)</f>
        <v/>
      </c>
      <c r="V459" s="36">
        <f>IF(AND(OR(sel_Region="All",C459=sel_Region),OR(sel_Channel="All",E459=sel_Channel),OR(sel_Customer="All",F459=sel_Customer),OR(sel_Category="All",G459=sel_Category),OR(sel_Product="All",H459=sel_Product),AND(S459&gt;=m_From,S459&lt;=m_To)),1,0)</f>
        <v/>
      </c>
      <c r="W459" s="36">
        <f>IF(AND(OR(sel_Region="All",C459=sel_Region),OR(sel_Country="All",D459=sel_Country),OR(sel_Customer="All",F459=sel_Customer),OR(sel_Category="All",G459=sel_Category),OR(sel_Product="All",H459=sel_Product),AND(S459&gt;=m_From,S459&lt;=m_To)),1,0)</f>
        <v/>
      </c>
      <c r="X459" s="36">
        <f>IF(AND(OR(sel_Region="All",C459=sel_Region),OR(sel_Country="All",D459=sel_Country),OR(sel_Channel="All",E459=sel_Channel),OR(sel_Category="All",G459=sel_Category),OR(sel_Product="All",H459=sel_Product),AND(S459&gt;=m_From,S459&lt;=m_To)),1,0)</f>
        <v/>
      </c>
      <c r="Y459" s="36">
        <f>IF(AND(OR(sel_Region="All",C459=sel_Region),OR(sel_Country="All",D459=sel_Country),OR(sel_Channel="All",E459=sel_Channel),OR(sel_Customer="All",F459=sel_Customer),OR(sel_Product="All",H459=sel_Product),AND(S459&gt;=m_From,S459&lt;=m_To)),1,0)</f>
        <v/>
      </c>
      <c r="Z459" s="36">
        <f>IF(AND(OR(sel_Region="All",C459=sel_Region),OR(sel_Country="All",D459=sel_Country),OR(sel_Channel="All",E459=sel_Channel),OR(sel_Customer="All",F459=sel_Customer),OR(sel_Category="All",G459=sel_Category),AND(S459&gt;=m_From,S459&lt;=m_To)),1,0)</f>
        <v/>
      </c>
      <c r="AA459" s="36">
        <f>IF(AND(OR(sel_Region="All",C459=sel_Region),OR(sel_Country="All",D459=sel_Country),OR(sel_Channel="All",E459=sel_Channel),OR(sel_Customer="All",F459=sel_Customer),OR(sel_Category="All",G459=sel_Category),OR(sel_Product="All",H459=sel_Product)),1,0)</f>
        <v/>
      </c>
    </row>
    <row r="460">
      <c r="A460" s="36" t="inlineStr">
        <is>
          <t>02676</t>
        </is>
      </c>
      <c r="B460" s="44" t="n">
        <v>46110</v>
      </c>
      <c r="C460" s="36" t="inlineStr">
        <is>
          <t>Northern Europe</t>
        </is>
      </c>
      <c r="D460" s="36" t="inlineStr">
        <is>
          <t>Denmark</t>
        </is>
      </c>
      <c r="E460" s="36" t="inlineStr">
        <is>
          <t>Retail Partners</t>
        </is>
      </c>
      <c r="F460" s="36" t="inlineStr">
        <is>
          <t>New</t>
        </is>
      </c>
      <c r="G460" s="36" t="inlineStr">
        <is>
          <t>Camping</t>
        </is>
      </c>
      <c r="H460" s="36" t="inlineStr">
        <is>
          <t>Trail Tent 2P</t>
        </is>
      </c>
      <c r="I460" s="36" t="n">
        <v>4</v>
      </c>
      <c r="J460" s="39" t="n">
        <v>191.99</v>
      </c>
      <c r="K460" s="45" t="n">
        <v>0</v>
      </c>
      <c r="L460" s="39" t="n">
        <v>104.44</v>
      </c>
      <c r="M460" s="39">
        <f>I460*J460*(1-K460)</f>
        <v/>
      </c>
      <c r="N460" s="39">
        <f>I460*L460</f>
        <v/>
      </c>
      <c r="O460" s="39">
        <f>M460-N460</f>
        <v/>
      </c>
      <c r="P460" s="38">
        <f>IF(M460=0,0,O460/M460)</f>
        <v/>
      </c>
      <c r="Q460" s="36">
        <f>YEAR(B460)</f>
        <v/>
      </c>
      <c r="R460" s="36">
        <f>"Q"&amp;ROUNDUP(MONTH(B460)/3,0)</f>
        <v/>
      </c>
      <c r="S460" s="36">
        <f>MONTH(B460)</f>
        <v/>
      </c>
      <c r="T460" s="36">
        <f>TEXT(B460,"mmm")</f>
        <v/>
      </c>
      <c r="U460" s="36">
        <f>IF(AND(OR(sel_Region="All",C460=sel_Region),OR(sel_Country="All",D460=sel_Country),OR(sel_Channel="All",E460=sel_Channel),OR(sel_Customer="All",F460=sel_Customer),OR(sel_Category="All",G460=sel_Category),OR(sel_Product="All",H460=sel_Product),AND(S460&gt;=m_From,S460&lt;=m_To)),1,0)</f>
        <v/>
      </c>
      <c r="V460" s="36">
        <f>IF(AND(OR(sel_Region="All",C460=sel_Region),OR(sel_Channel="All",E460=sel_Channel),OR(sel_Customer="All",F460=sel_Customer),OR(sel_Category="All",G460=sel_Category),OR(sel_Product="All",H460=sel_Product),AND(S460&gt;=m_From,S460&lt;=m_To)),1,0)</f>
        <v/>
      </c>
      <c r="W460" s="36">
        <f>IF(AND(OR(sel_Region="All",C460=sel_Region),OR(sel_Country="All",D460=sel_Country),OR(sel_Customer="All",F460=sel_Customer),OR(sel_Category="All",G460=sel_Category),OR(sel_Product="All",H460=sel_Product),AND(S460&gt;=m_From,S460&lt;=m_To)),1,0)</f>
        <v/>
      </c>
      <c r="X460" s="36">
        <f>IF(AND(OR(sel_Region="All",C460=sel_Region),OR(sel_Country="All",D460=sel_Country),OR(sel_Channel="All",E460=sel_Channel),OR(sel_Category="All",G460=sel_Category),OR(sel_Product="All",H460=sel_Product),AND(S460&gt;=m_From,S460&lt;=m_To)),1,0)</f>
        <v/>
      </c>
      <c r="Y460" s="36">
        <f>IF(AND(OR(sel_Region="All",C460=sel_Region),OR(sel_Country="All",D460=sel_Country),OR(sel_Channel="All",E460=sel_Channel),OR(sel_Customer="All",F460=sel_Customer),OR(sel_Product="All",H460=sel_Product),AND(S460&gt;=m_From,S460&lt;=m_To)),1,0)</f>
        <v/>
      </c>
      <c r="Z460" s="36">
        <f>IF(AND(OR(sel_Region="All",C460=sel_Region),OR(sel_Country="All",D460=sel_Country),OR(sel_Channel="All",E460=sel_Channel),OR(sel_Customer="All",F460=sel_Customer),OR(sel_Category="All",G460=sel_Category),AND(S460&gt;=m_From,S460&lt;=m_To)),1,0)</f>
        <v/>
      </c>
      <c r="AA460" s="36">
        <f>IF(AND(OR(sel_Region="All",C460=sel_Region),OR(sel_Country="All",D460=sel_Country),OR(sel_Channel="All",E460=sel_Channel),OR(sel_Customer="All",F460=sel_Customer),OR(sel_Category="All",G460=sel_Category),OR(sel_Product="All",H460=sel_Product)),1,0)</f>
        <v/>
      </c>
    </row>
    <row r="461">
      <c r="A461" s="36" t="inlineStr">
        <is>
          <t>02800</t>
        </is>
      </c>
      <c r="B461" s="44" t="n">
        <v>46110</v>
      </c>
      <c r="C461" s="36" t="inlineStr">
        <is>
          <t>Central Europe</t>
        </is>
      </c>
      <c r="D461" s="36" t="inlineStr">
        <is>
          <t>Switzerland</t>
        </is>
      </c>
      <c r="E461" s="36" t="inlineStr">
        <is>
          <t>Online Store</t>
        </is>
      </c>
      <c r="F461" s="36" t="inlineStr">
        <is>
          <t>New</t>
        </is>
      </c>
      <c r="G461" s="36" t="inlineStr">
        <is>
          <t>Cycling</t>
        </is>
      </c>
      <c r="H461" s="36" t="inlineStr">
        <is>
          <t>Trail Bike Light</t>
        </is>
      </c>
      <c r="I461" s="36" t="n">
        <v>1</v>
      </c>
      <c r="J461" s="39" t="n">
        <v>49.81</v>
      </c>
      <c r="K461" s="45" t="n">
        <v>0.05</v>
      </c>
      <c r="L461" s="39" t="n">
        <v>23.12</v>
      </c>
      <c r="M461" s="39">
        <f>I461*J461*(1-K461)</f>
        <v/>
      </c>
      <c r="N461" s="39">
        <f>I461*L461</f>
        <v/>
      </c>
      <c r="O461" s="39">
        <f>M461-N461</f>
        <v/>
      </c>
      <c r="P461" s="38">
        <f>IF(M461=0,0,O461/M461)</f>
        <v/>
      </c>
      <c r="Q461" s="36">
        <f>YEAR(B461)</f>
        <v/>
      </c>
      <c r="R461" s="36">
        <f>"Q"&amp;ROUNDUP(MONTH(B461)/3,0)</f>
        <v/>
      </c>
      <c r="S461" s="36">
        <f>MONTH(B461)</f>
        <v/>
      </c>
      <c r="T461" s="36">
        <f>TEXT(B461,"mmm")</f>
        <v/>
      </c>
      <c r="U461" s="36">
        <f>IF(AND(OR(sel_Region="All",C461=sel_Region),OR(sel_Country="All",D461=sel_Country),OR(sel_Channel="All",E461=sel_Channel),OR(sel_Customer="All",F461=sel_Customer),OR(sel_Category="All",G461=sel_Category),OR(sel_Product="All",H461=sel_Product),AND(S461&gt;=m_From,S461&lt;=m_To)),1,0)</f>
        <v/>
      </c>
      <c r="V461" s="36">
        <f>IF(AND(OR(sel_Region="All",C461=sel_Region),OR(sel_Channel="All",E461=sel_Channel),OR(sel_Customer="All",F461=sel_Customer),OR(sel_Category="All",G461=sel_Category),OR(sel_Product="All",H461=sel_Product),AND(S461&gt;=m_From,S461&lt;=m_To)),1,0)</f>
        <v/>
      </c>
      <c r="W461" s="36">
        <f>IF(AND(OR(sel_Region="All",C461=sel_Region),OR(sel_Country="All",D461=sel_Country),OR(sel_Customer="All",F461=sel_Customer),OR(sel_Category="All",G461=sel_Category),OR(sel_Product="All",H461=sel_Product),AND(S461&gt;=m_From,S461&lt;=m_To)),1,0)</f>
        <v/>
      </c>
      <c r="X461" s="36">
        <f>IF(AND(OR(sel_Region="All",C461=sel_Region),OR(sel_Country="All",D461=sel_Country),OR(sel_Channel="All",E461=sel_Channel),OR(sel_Category="All",G461=sel_Category),OR(sel_Product="All",H461=sel_Product),AND(S461&gt;=m_From,S461&lt;=m_To)),1,0)</f>
        <v/>
      </c>
      <c r="Y461" s="36">
        <f>IF(AND(OR(sel_Region="All",C461=sel_Region),OR(sel_Country="All",D461=sel_Country),OR(sel_Channel="All",E461=sel_Channel),OR(sel_Customer="All",F461=sel_Customer),OR(sel_Product="All",H461=sel_Product),AND(S461&gt;=m_From,S461&lt;=m_To)),1,0)</f>
        <v/>
      </c>
      <c r="Z461" s="36">
        <f>IF(AND(OR(sel_Region="All",C461=sel_Region),OR(sel_Country="All",D461=sel_Country),OR(sel_Channel="All",E461=sel_Channel),OR(sel_Customer="All",F461=sel_Customer),OR(sel_Category="All",G461=sel_Category),AND(S461&gt;=m_From,S461&lt;=m_To)),1,0)</f>
        <v/>
      </c>
      <c r="AA461" s="36">
        <f>IF(AND(OR(sel_Region="All",C461=sel_Region),OR(sel_Country="All",D461=sel_Country),OR(sel_Channel="All",E461=sel_Channel),OR(sel_Customer="All",F461=sel_Customer),OR(sel_Category="All",G461=sel_Category),OR(sel_Product="All",H461=sel_Product)),1,0)</f>
        <v/>
      </c>
    </row>
    <row r="462">
      <c r="A462" s="36" t="inlineStr">
        <is>
          <t>02857</t>
        </is>
      </c>
      <c r="B462" s="44" t="n">
        <v>46110</v>
      </c>
      <c r="C462" s="36" t="inlineStr">
        <is>
          <t>Southern Europe</t>
        </is>
      </c>
      <c r="D462" s="36" t="inlineStr">
        <is>
          <t>Italy</t>
        </is>
      </c>
      <c r="E462" s="36" t="inlineStr">
        <is>
          <t>Retail Partners</t>
        </is>
      </c>
      <c r="F462" s="36" t="inlineStr">
        <is>
          <t>New</t>
        </is>
      </c>
      <c r="G462" s="36" t="inlineStr">
        <is>
          <t>Fitness</t>
        </is>
      </c>
      <c r="H462" s="36" t="inlineStr">
        <is>
          <t>Resistance Band Set</t>
        </is>
      </c>
      <c r="I462" s="36" t="n">
        <v>1</v>
      </c>
      <c r="J462" s="39" t="n">
        <v>40.39</v>
      </c>
      <c r="K462" s="45" t="n">
        <v>0.1</v>
      </c>
      <c r="L462" s="39" t="n">
        <v>14.97</v>
      </c>
      <c r="M462" s="39">
        <f>I462*J462*(1-K462)</f>
        <v/>
      </c>
      <c r="N462" s="39">
        <f>I462*L462</f>
        <v/>
      </c>
      <c r="O462" s="39">
        <f>M462-N462</f>
        <v/>
      </c>
      <c r="P462" s="38">
        <f>IF(M462=0,0,O462/M462)</f>
        <v/>
      </c>
      <c r="Q462" s="36">
        <f>YEAR(B462)</f>
        <v/>
      </c>
      <c r="R462" s="36">
        <f>"Q"&amp;ROUNDUP(MONTH(B462)/3,0)</f>
        <v/>
      </c>
      <c r="S462" s="36">
        <f>MONTH(B462)</f>
        <v/>
      </c>
      <c r="T462" s="36">
        <f>TEXT(B462,"mmm")</f>
        <v/>
      </c>
      <c r="U462" s="36">
        <f>IF(AND(OR(sel_Region="All",C462=sel_Region),OR(sel_Country="All",D462=sel_Country),OR(sel_Channel="All",E462=sel_Channel),OR(sel_Customer="All",F462=sel_Customer),OR(sel_Category="All",G462=sel_Category),OR(sel_Product="All",H462=sel_Product),AND(S462&gt;=m_From,S462&lt;=m_To)),1,0)</f>
        <v/>
      </c>
      <c r="V462" s="36">
        <f>IF(AND(OR(sel_Region="All",C462=sel_Region),OR(sel_Channel="All",E462=sel_Channel),OR(sel_Customer="All",F462=sel_Customer),OR(sel_Category="All",G462=sel_Category),OR(sel_Product="All",H462=sel_Product),AND(S462&gt;=m_From,S462&lt;=m_To)),1,0)</f>
        <v/>
      </c>
      <c r="W462" s="36">
        <f>IF(AND(OR(sel_Region="All",C462=sel_Region),OR(sel_Country="All",D462=sel_Country),OR(sel_Customer="All",F462=sel_Customer),OR(sel_Category="All",G462=sel_Category),OR(sel_Product="All",H462=sel_Product),AND(S462&gt;=m_From,S462&lt;=m_To)),1,0)</f>
        <v/>
      </c>
      <c r="X462" s="36">
        <f>IF(AND(OR(sel_Region="All",C462=sel_Region),OR(sel_Country="All",D462=sel_Country),OR(sel_Channel="All",E462=sel_Channel),OR(sel_Category="All",G462=sel_Category),OR(sel_Product="All",H462=sel_Product),AND(S462&gt;=m_From,S462&lt;=m_To)),1,0)</f>
        <v/>
      </c>
      <c r="Y462" s="36">
        <f>IF(AND(OR(sel_Region="All",C462=sel_Region),OR(sel_Country="All",D462=sel_Country),OR(sel_Channel="All",E462=sel_Channel),OR(sel_Customer="All",F462=sel_Customer),OR(sel_Product="All",H462=sel_Product),AND(S462&gt;=m_From,S462&lt;=m_To)),1,0)</f>
        <v/>
      </c>
      <c r="Z462" s="36">
        <f>IF(AND(OR(sel_Region="All",C462=sel_Region),OR(sel_Country="All",D462=sel_Country),OR(sel_Channel="All",E462=sel_Channel),OR(sel_Customer="All",F462=sel_Customer),OR(sel_Category="All",G462=sel_Category),AND(S462&gt;=m_From,S462&lt;=m_To)),1,0)</f>
        <v/>
      </c>
      <c r="AA462" s="36">
        <f>IF(AND(OR(sel_Region="All",C462=sel_Region),OR(sel_Country="All",D462=sel_Country),OR(sel_Channel="All",E462=sel_Channel),OR(sel_Customer="All",F462=sel_Customer),OR(sel_Category="All",G462=sel_Category),OR(sel_Product="All",H462=sel_Product)),1,0)</f>
        <v/>
      </c>
    </row>
    <row r="463">
      <c r="A463" s="36" t="inlineStr">
        <is>
          <t>03584</t>
        </is>
      </c>
      <c r="B463" s="44" t="n">
        <v>46110</v>
      </c>
      <c r="C463" s="36" t="inlineStr">
        <is>
          <t>Southern Europe</t>
        </is>
      </c>
      <c r="D463" s="36" t="inlineStr">
        <is>
          <t>Spain</t>
        </is>
      </c>
      <c r="E463" s="36" t="inlineStr">
        <is>
          <t>Online Store</t>
        </is>
      </c>
      <c r="F463" s="36" t="inlineStr">
        <is>
          <t>Returning</t>
        </is>
      </c>
      <c r="G463" s="36" t="inlineStr">
        <is>
          <t>Travel</t>
        </is>
      </c>
      <c r="H463" s="36" t="inlineStr">
        <is>
          <t>Insulated Bottle</t>
        </is>
      </c>
      <c r="I463" s="36" t="n">
        <v>1</v>
      </c>
      <c r="J463" s="39" t="n">
        <v>35.7</v>
      </c>
      <c r="K463" s="45" t="n">
        <v>0.05</v>
      </c>
      <c r="L463" s="39" t="n">
        <v>13.85</v>
      </c>
      <c r="M463" s="39">
        <f>I463*J463*(1-K463)</f>
        <v/>
      </c>
      <c r="N463" s="39">
        <f>I463*L463</f>
        <v/>
      </c>
      <c r="O463" s="39">
        <f>M463-N463</f>
        <v/>
      </c>
      <c r="P463" s="38">
        <f>IF(M463=0,0,O463/M463)</f>
        <v/>
      </c>
      <c r="Q463" s="36">
        <f>YEAR(B463)</f>
        <v/>
      </c>
      <c r="R463" s="36">
        <f>"Q"&amp;ROUNDUP(MONTH(B463)/3,0)</f>
        <v/>
      </c>
      <c r="S463" s="36">
        <f>MONTH(B463)</f>
        <v/>
      </c>
      <c r="T463" s="36">
        <f>TEXT(B463,"mmm")</f>
        <v/>
      </c>
      <c r="U463" s="36">
        <f>IF(AND(OR(sel_Region="All",C463=sel_Region),OR(sel_Country="All",D463=sel_Country),OR(sel_Channel="All",E463=sel_Channel),OR(sel_Customer="All",F463=sel_Customer),OR(sel_Category="All",G463=sel_Category),OR(sel_Product="All",H463=sel_Product),AND(S463&gt;=m_From,S463&lt;=m_To)),1,0)</f>
        <v/>
      </c>
      <c r="V463" s="36">
        <f>IF(AND(OR(sel_Region="All",C463=sel_Region),OR(sel_Channel="All",E463=sel_Channel),OR(sel_Customer="All",F463=sel_Customer),OR(sel_Category="All",G463=sel_Category),OR(sel_Product="All",H463=sel_Product),AND(S463&gt;=m_From,S463&lt;=m_To)),1,0)</f>
        <v/>
      </c>
      <c r="W463" s="36">
        <f>IF(AND(OR(sel_Region="All",C463=sel_Region),OR(sel_Country="All",D463=sel_Country),OR(sel_Customer="All",F463=sel_Customer),OR(sel_Category="All",G463=sel_Category),OR(sel_Product="All",H463=sel_Product),AND(S463&gt;=m_From,S463&lt;=m_To)),1,0)</f>
        <v/>
      </c>
      <c r="X463" s="36">
        <f>IF(AND(OR(sel_Region="All",C463=sel_Region),OR(sel_Country="All",D463=sel_Country),OR(sel_Channel="All",E463=sel_Channel),OR(sel_Category="All",G463=sel_Category),OR(sel_Product="All",H463=sel_Product),AND(S463&gt;=m_From,S463&lt;=m_To)),1,0)</f>
        <v/>
      </c>
      <c r="Y463" s="36">
        <f>IF(AND(OR(sel_Region="All",C463=sel_Region),OR(sel_Country="All",D463=sel_Country),OR(sel_Channel="All",E463=sel_Channel),OR(sel_Customer="All",F463=sel_Customer),OR(sel_Product="All",H463=sel_Product),AND(S463&gt;=m_From,S463&lt;=m_To)),1,0)</f>
        <v/>
      </c>
      <c r="Z463" s="36">
        <f>IF(AND(OR(sel_Region="All",C463=sel_Region),OR(sel_Country="All",D463=sel_Country),OR(sel_Channel="All",E463=sel_Channel),OR(sel_Customer="All",F463=sel_Customer),OR(sel_Category="All",G463=sel_Category),AND(S463&gt;=m_From,S463&lt;=m_To)),1,0)</f>
        <v/>
      </c>
      <c r="AA463" s="36">
        <f>IF(AND(OR(sel_Region="All",C463=sel_Region),OR(sel_Country="All",D463=sel_Country),OR(sel_Channel="All",E463=sel_Channel),OR(sel_Customer="All",F463=sel_Customer),OR(sel_Category="All",G463=sel_Category),OR(sel_Product="All",H463=sel_Product)),1,0)</f>
        <v/>
      </c>
    </row>
    <row r="464">
      <c r="A464" s="36" t="inlineStr">
        <is>
          <t>03669</t>
        </is>
      </c>
      <c r="B464" s="44" t="n">
        <v>46110</v>
      </c>
      <c r="C464" s="36" t="inlineStr">
        <is>
          <t>Northern Europe</t>
        </is>
      </c>
      <c r="D464" s="36" t="inlineStr">
        <is>
          <t>Finland</t>
        </is>
      </c>
      <c r="E464" s="36" t="inlineStr">
        <is>
          <t>Marketplace</t>
        </is>
      </c>
      <c r="F464" s="36" t="inlineStr">
        <is>
          <t>Returning</t>
        </is>
      </c>
      <c r="G464" s="36" t="inlineStr">
        <is>
          <t>Camping</t>
        </is>
      </c>
      <c r="H464" s="36" t="inlineStr">
        <is>
          <t>Portable Camp Stove</t>
        </is>
      </c>
      <c r="I464" s="36" t="n">
        <v>1</v>
      </c>
      <c r="J464" s="39" t="n">
        <v>80.09</v>
      </c>
      <c r="K464" s="45" t="n">
        <v>0</v>
      </c>
      <c r="L464" s="39" t="n">
        <v>40.61</v>
      </c>
      <c r="M464" s="39">
        <f>I464*J464*(1-K464)</f>
        <v/>
      </c>
      <c r="N464" s="39">
        <f>I464*L464</f>
        <v/>
      </c>
      <c r="O464" s="39">
        <f>M464-N464</f>
        <v/>
      </c>
      <c r="P464" s="38">
        <f>IF(M464=0,0,O464/M464)</f>
        <v/>
      </c>
      <c r="Q464" s="36">
        <f>YEAR(B464)</f>
        <v/>
      </c>
      <c r="R464" s="36">
        <f>"Q"&amp;ROUNDUP(MONTH(B464)/3,0)</f>
        <v/>
      </c>
      <c r="S464" s="36">
        <f>MONTH(B464)</f>
        <v/>
      </c>
      <c r="T464" s="36">
        <f>TEXT(B464,"mmm")</f>
        <v/>
      </c>
      <c r="U464" s="36">
        <f>IF(AND(OR(sel_Region="All",C464=sel_Region),OR(sel_Country="All",D464=sel_Country),OR(sel_Channel="All",E464=sel_Channel),OR(sel_Customer="All",F464=sel_Customer),OR(sel_Category="All",G464=sel_Category),OR(sel_Product="All",H464=sel_Product),AND(S464&gt;=m_From,S464&lt;=m_To)),1,0)</f>
        <v/>
      </c>
      <c r="V464" s="36">
        <f>IF(AND(OR(sel_Region="All",C464=sel_Region),OR(sel_Channel="All",E464=sel_Channel),OR(sel_Customer="All",F464=sel_Customer),OR(sel_Category="All",G464=sel_Category),OR(sel_Product="All",H464=sel_Product),AND(S464&gt;=m_From,S464&lt;=m_To)),1,0)</f>
        <v/>
      </c>
      <c r="W464" s="36">
        <f>IF(AND(OR(sel_Region="All",C464=sel_Region),OR(sel_Country="All",D464=sel_Country),OR(sel_Customer="All",F464=sel_Customer),OR(sel_Category="All",G464=sel_Category),OR(sel_Product="All",H464=sel_Product),AND(S464&gt;=m_From,S464&lt;=m_To)),1,0)</f>
        <v/>
      </c>
      <c r="X464" s="36">
        <f>IF(AND(OR(sel_Region="All",C464=sel_Region),OR(sel_Country="All",D464=sel_Country),OR(sel_Channel="All",E464=sel_Channel),OR(sel_Category="All",G464=sel_Category),OR(sel_Product="All",H464=sel_Product),AND(S464&gt;=m_From,S464&lt;=m_To)),1,0)</f>
        <v/>
      </c>
      <c r="Y464" s="36">
        <f>IF(AND(OR(sel_Region="All",C464=sel_Region),OR(sel_Country="All",D464=sel_Country),OR(sel_Channel="All",E464=sel_Channel),OR(sel_Customer="All",F464=sel_Customer),OR(sel_Product="All",H464=sel_Product),AND(S464&gt;=m_From,S464&lt;=m_To)),1,0)</f>
        <v/>
      </c>
      <c r="Z464" s="36">
        <f>IF(AND(OR(sel_Region="All",C464=sel_Region),OR(sel_Country="All",D464=sel_Country),OR(sel_Channel="All",E464=sel_Channel),OR(sel_Customer="All",F464=sel_Customer),OR(sel_Category="All",G464=sel_Category),AND(S464&gt;=m_From,S464&lt;=m_To)),1,0)</f>
        <v/>
      </c>
      <c r="AA464" s="36">
        <f>IF(AND(OR(sel_Region="All",C464=sel_Region),OR(sel_Country="All",D464=sel_Country),OR(sel_Channel="All",E464=sel_Channel),OR(sel_Customer="All",F464=sel_Customer),OR(sel_Category="All",G464=sel_Category),OR(sel_Product="All",H464=sel_Product)),1,0)</f>
        <v/>
      </c>
    </row>
    <row r="465">
      <c r="A465" s="36" t="inlineStr">
        <is>
          <t>04787</t>
        </is>
      </c>
      <c r="B465" s="44" t="n">
        <v>46110</v>
      </c>
      <c r="C465" s="36" t="inlineStr">
        <is>
          <t>Western Europe</t>
        </is>
      </c>
      <c r="D465" s="36" t="inlineStr">
        <is>
          <t>France</t>
        </is>
      </c>
      <c r="E465" s="36" t="inlineStr">
        <is>
          <t>Marketplace</t>
        </is>
      </c>
      <c r="F465" s="36" t="inlineStr">
        <is>
          <t>New</t>
        </is>
      </c>
      <c r="G465" s="36" t="inlineStr">
        <is>
          <t>Hiking</t>
        </is>
      </c>
      <c r="H465" s="36" t="inlineStr">
        <is>
          <t>Trail Boots</t>
        </is>
      </c>
      <c r="I465" s="36" t="n">
        <v>1</v>
      </c>
      <c r="J465" s="39" t="n">
        <v>142.87</v>
      </c>
      <c r="K465" s="45" t="n">
        <v>0.1</v>
      </c>
      <c r="L465" s="39" t="n">
        <v>77.33</v>
      </c>
      <c r="M465" s="39">
        <f>I465*J465*(1-K465)</f>
        <v/>
      </c>
      <c r="N465" s="39">
        <f>I465*L465</f>
        <v/>
      </c>
      <c r="O465" s="39">
        <f>M465-N465</f>
        <v/>
      </c>
      <c r="P465" s="38">
        <f>IF(M465=0,0,O465/M465)</f>
        <v/>
      </c>
      <c r="Q465" s="36">
        <f>YEAR(B465)</f>
        <v/>
      </c>
      <c r="R465" s="36">
        <f>"Q"&amp;ROUNDUP(MONTH(B465)/3,0)</f>
        <v/>
      </c>
      <c r="S465" s="36">
        <f>MONTH(B465)</f>
        <v/>
      </c>
      <c r="T465" s="36">
        <f>TEXT(B465,"mmm")</f>
        <v/>
      </c>
      <c r="U465" s="36">
        <f>IF(AND(OR(sel_Region="All",C465=sel_Region),OR(sel_Country="All",D465=sel_Country),OR(sel_Channel="All",E465=sel_Channel),OR(sel_Customer="All",F465=sel_Customer),OR(sel_Category="All",G465=sel_Category),OR(sel_Product="All",H465=sel_Product),AND(S465&gt;=m_From,S465&lt;=m_To)),1,0)</f>
        <v/>
      </c>
      <c r="V465" s="36">
        <f>IF(AND(OR(sel_Region="All",C465=sel_Region),OR(sel_Channel="All",E465=sel_Channel),OR(sel_Customer="All",F465=sel_Customer),OR(sel_Category="All",G465=sel_Category),OR(sel_Product="All",H465=sel_Product),AND(S465&gt;=m_From,S465&lt;=m_To)),1,0)</f>
        <v/>
      </c>
      <c r="W465" s="36">
        <f>IF(AND(OR(sel_Region="All",C465=sel_Region),OR(sel_Country="All",D465=sel_Country),OR(sel_Customer="All",F465=sel_Customer),OR(sel_Category="All",G465=sel_Category),OR(sel_Product="All",H465=sel_Product),AND(S465&gt;=m_From,S465&lt;=m_To)),1,0)</f>
        <v/>
      </c>
      <c r="X465" s="36">
        <f>IF(AND(OR(sel_Region="All",C465=sel_Region),OR(sel_Country="All",D465=sel_Country),OR(sel_Channel="All",E465=sel_Channel),OR(sel_Category="All",G465=sel_Category),OR(sel_Product="All",H465=sel_Product),AND(S465&gt;=m_From,S465&lt;=m_To)),1,0)</f>
        <v/>
      </c>
      <c r="Y465" s="36">
        <f>IF(AND(OR(sel_Region="All",C465=sel_Region),OR(sel_Country="All",D465=sel_Country),OR(sel_Channel="All",E465=sel_Channel),OR(sel_Customer="All",F465=sel_Customer),OR(sel_Product="All",H465=sel_Product),AND(S465&gt;=m_From,S465&lt;=m_To)),1,0)</f>
        <v/>
      </c>
      <c r="Z465" s="36">
        <f>IF(AND(OR(sel_Region="All",C465=sel_Region),OR(sel_Country="All",D465=sel_Country),OR(sel_Channel="All",E465=sel_Channel),OR(sel_Customer="All",F465=sel_Customer),OR(sel_Category="All",G465=sel_Category),AND(S465&gt;=m_From,S465&lt;=m_To)),1,0)</f>
        <v/>
      </c>
      <c r="AA465" s="36">
        <f>IF(AND(OR(sel_Region="All",C465=sel_Region),OR(sel_Country="All",D465=sel_Country),OR(sel_Channel="All",E465=sel_Channel),OR(sel_Customer="All",F465=sel_Customer),OR(sel_Category="All",G465=sel_Category),OR(sel_Product="All",H465=sel_Product)),1,0)</f>
        <v/>
      </c>
    </row>
    <row r="466">
      <c r="A466" s="36" t="inlineStr">
        <is>
          <t>00769</t>
        </is>
      </c>
      <c r="B466" s="44" t="n">
        <v>46111</v>
      </c>
      <c r="C466" s="36" t="inlineStr">
        <is>
          <t>Western Europe</t>
        </is>
      </c>
      <c r="D466" s="36" t="inlineStr">
        <is>
          <t>United Kingdom</t>
        </is>
      </c>
      <c r="E466" s="36" t="inlineStr">
        <is>
          <t>Online Store</t>
        </is>
      </c>
      <c r="F466" s="36" t="inlineStr">
        <is>
          <t>Returning</t>
        </is>
      </c>
      <c r="G466" s="36" t="inlineStr">
        <is>
          <t>Fitness</t>
        </is>
      </c>
      <c r="H466" s="36" t="inlineStr">
        <is>
          <t>Resistance Band Set</t>
        </is>
      </c>
      <c r="I466" s="36" t="n">
        <v>1</v>
      </c>
      <c r="J466" s="39" t="n">
        <v>40.53</v>
      </c>
      <c r="K466" s="45" t="n">
        <v>0</v>
      </c>
      <c r="L466" s="39" t="n">
        <v>14.32</v>
      </c>
      <c r="M466" s="39">
        <f>I466*J466*(1-K466)</f>
        <v/>
      </c>
      <c r="N466" s="39">
        <f>I466*L466</f>
        <v/>
      </c>
      <c r="O466" s="39">
        <f>M466-N466</f>
        <v/>
      </c>
      <c r="P466" s="38">
        <f>IF(M466=0,0,O466/M466)</f>
        <v/>
      </c>
      <c r="Q466" s="36">
        <f>YEAR(B466)</f>
        <v/>
      </c>
      <c r="R466" s="36">
        <f>"Q"&amp;ROUNDUP(MONTH(B466)/3,0)</f>
        <v/>
      </c>
      <c r="S466" s="36">
        <f>MONTH(B466)</f>
        <v/>
      </c>
      <c r="T466" s="36">
        <f>TEXT(B466,"mmm")</f>
        <v/>
      </c>
      <c r="U466" s="36">
        <f>IF(AND(OR(sel_Region="All",C466=sel_Region),OR(sel_Country="All",D466=sel_Country),OR(sel_Channel="All",E466=sel_Channel),OR(sel_Customer="All",F466=sel_Customer),OR(sel_Category="All",G466=sel_Category),OR(sel_Product="All",H466=sel_Product),AND(S466&gt;=m_From,S466&lt;=m_To)),1,0)</f>
        <v/>
      </c>
      <c r="V466" s="36">
        <f>IF(AND(OR(sel_Region="All",C466=sel_Region),OR(sel_Channel="All",E466=sel_Channel),OR(sel_Customer="All",F466=sel_Customer),OR(sel_Category="All",G466=sel_Category),OR(sel_Product="All",H466=sel_Product),AND(S466&gt;=m_From,S466&lt;=m_To)),1,0)</f>
        <v/>
      </c>
      <c r="W466" s="36">
        <f>IF(AND(OR(sel_Region="All",C466=sel_Region),OR(sel_Country="All",D466=sel_Country),OR(sel_Customer="All",F466=sel_Customer),OR(sel_Category="All",G466=sel_Category),OR(sel_Product="All",H466=sel_Product),AND(S466&gt;=m_From,S466&lt;=m_To)),1,0)</f>
        <v/>
      </c>
      <c r="X466" s="36">
        <f>IF(AND(OR(sel_Region="All",C466=sel_Region),OR(sel_Country="All",D466=sel_Country),OR(sel_Channel="All",E466=sel_Channel),OR(sel_Category="All",G466=sel_Category),OR(sel_Product="All",H466=sel_Product),AND(S466&gt;=m_From,S466&lt;=m_To)),1,0)</f>
        <v/>
      </c>
      <c r="Y466" s="36">
        <f>IF(AND(OR(sel_Region="All",C466=sel_Region),OR(sel_Country="All",D466=sel_Country),OR(sel_Channel="All",E466=sel_Channel),OR(sel_Customer="All",F466=sel_Customer),OR(sel_Product="All",H466=sel_Product),AND(S466&gt;=m_From,S466&lt;=m_To)),1,0)</f>
        <v/>
      </c>
      <c r="Z466" s="36">
        <f>IF(AND(OR(sel_Region="All",C466=sel_Region),OR(sel_Country="All",D466=sel_Country),OR(sel_Channel="All",E466=sel_Channel),OR(sel_Customer="All",F466=sel_Customer),OR(sel_Category="All",G466=sel_Category),AND(S466&gt;=m_From,S466&lt;=m_To)),1,0)</f>
        <v/>
      </c>
      <c r="AA466" s="36">
        <f>IF(AND(OR(sel_Region="All",C466=sel_Region),OR(sel_Country="All",D466=sel_Country),OR(sel_Channel="All",E466=sel_Channel),OR(sel_Customer="All",F466=sel_Customer),OR(sel_Category="All",G466=sel_Category),OR(sel_Product="All",H466=sel_Product)),1,0)</f>
        <v/>
      </c>
    </row>
    <row r="467">
      <c r="A467" s="36" t="inlineStr">
        <is>
          <t>01184</t>
        </is>
      </c>
      <c r="B467" s="44" t="n">
        <v>46111</v>
      </c>
      <c r="C467" s="36" t="inlineStr">
        <is>
          <t>Western Europe</t>
        </is>
      </c>
      <c r="D467" s="36" t="inlineStr">
        <is>
          <t>United Kingdom</t>
        </is>
      </c>
      <c r="E467" s="36" t="inlineStr">
        <is>
          <t>Online Store</t>
        </is>
      </c>
      <c r="F467" s="36" t="inlineStr">
        <is>
          <t>Returning</t>
        </is>
      </c>
      <c r="G467" s="36" t="inlineStr">
        <is>
          <t>Cycling</t>
        </is>
      </c>
      <c r="H467" s="36" t="inlineStr">
        <is>
          <t>Trail Bike Light</t>
        </is>
      </c>
      <c r="I467" s="36" t="n">
        <v>1</v>
      </c>
      <c r="J467" s="39" t="n">
        <v>49.46</v>
      </c>
      <c r="K467" s="45" t="n">
        <v>0</v>
      </c>
      <c r="L467" s="39" t="n">
        <v>23.04</v>
      </c>
      <c r="M467" s="39">
        <f>I467*J467*(1-K467)</f>
        <v/>
      </c>
      <c r="N467" s="39">
        <f>I467*L467</f>
        <v/>
      </c>
      <c r="O467" s="39">
        <f>M467-N467</f>
        <v/>
      </c>
      <c r="P467" s="38">
        <f>IF(M467=0,0,O467/M467)</f>
        <v/>
      </c>
      <c r="Q467" s="36">
        <f>YEAR(B467)</f>
        <v/>
      </c>
      <c r="R467" s="36">
        <f>"Q"&amp;ROUNDUP(MONTH(B467)/3,0)</f>
        <v/>
      </c>
      <c r="S467" s="36">
        <f>MONTH(B467)</f>
        <v/>
      </c>
      <c r="T467" s="36">
        <f>TEXT(B467,"mmm")</f>
        <v/>
      </c>
      <c r="U467" s="36">
        <f>IF(AND(OR(sel_Region="All",C467=sel_Region),OR(sel_Country="All",D467=sel_Country),OR(sel_Channel="All",E467=sel_Channel),OR(sel_Customer="All",F467=sel_Customer),OR(sel_Category="All",G467=sel_Category),OR(sel_Product="All",H467=sel_Product),AND(S467&gt;=m_From,S467&lt;=m_To)),1,0)</f>
        <v/>
      </c>
      <c r="V467" s="36">
        <f>IF(AND(OR(sel_Region="All",C467=sel_Region),OR(sel_Channel="All",E467=sel_Channel),OR(sel_Customer="All",F467=sel_Customer),OR(sel_Category="All",G467=sel_Category),OR(sel_Product="All",H467=sel_Product),AND(S467&gt;=m_From,S467&lt;=m_To)),1,0)</f>
        <v/>
      </c>
      <c r="W467" s="36">
        <f>IF(AND(OR(sel_Region="All",C467=sel_Region),OR(sel_Country="All",D467=sel_Country),OR(sel_Customer="All",F467=sel_Customer),OR(sel_Category="All",G467=sel_Category),OR(sel_Product="All",H467=sel_Product),AND(S467&gt;=m_From,S467&lt;=m_To)),1,0)</f>
        <v/>
      </c>
      <c r="X467" s="36">
        <f>IF(AND(OR(sel_Region="All",C467=sel_Region),OR(sel_Country="All",D467=sel_Country),OR(sel_Channel="All",E467=sel_Channel),OR(sel_Category="All",G467=sel_Category),OR(sel_Product="All",H467=sel_Product),AND(S467&gt;=m_From,S467&lt;=m_To)),1,0)</f>
        <v/>
      </c>
      <c r="Y467" s="36">
        <f>IF(AND(OR(sel_Region="All",C467=sel_Region),OR(sel_Country="All",D467=sel_Country),OR(sel_Channel="All",E467=sel_Channel),OR(sel_Customer="All",F467=sel_Customer),OR(sel_Product="All",H467=sel_Product),AND(S467&gt;=m_From,S467&lt;=m_To)),1,0)</f>
        <v/>
      </c>
      <c r="Z467" s="36">
        <f>IF(AND(OR(sel_Region="All",C467=sel_Region),OR(sel_Country="All",D467=sel_Country),OR(sel_Channel="All",E467=sel_Channel),OR(sel_Customer="All",F467=sel_Customer),OR(sel_Category="All",G467=sel_Category),AND(S467&gt;=m_From,S467&lt;=m_To)),1,0)</f>
        <v/>
      </c>
      <c r="AA467" s="36">
        <f>IF(AND(OR(sel_Region="All",C467=sel_Region),OR(sel_Country="All",D467=sel_Country),OR(sel_Channel="All",E467=sel_Channel),OR(sel_Customer="All",F467=sel_Customer),OR(sel_Category="All",G467=sel_Category),OR(sel_Product="All",H467=sel_Product)),1,0)</f>
        <v/>
      </c>
    </row>
    <row r="468">
      <c r="A468" s="36" t="inlineStr">
        <is>
          <t>01498</t>
        </is>
      </c>
      <c r="B468" s="44" t="n">
        <v>46111</v>
      </c>
      <c r="C468" s="36" t="inlineStr">
        <is>
          <t>Central Europe</t>
        </is>
      </c>
      <c r="D468" s="36" t="inlineStr">
        <is>
          <t>Poland</t>
        </is>
      </c>
      <c r="E468" s="36" t="inlineStr">
        <is>
          <t>Marketplace</t>
        </is>
      </c>
      <c r="F468" s="36" t="inlineStr">
        <is>
          <t>Business</t>
        </is>
      </c>
      <c r="G468" s="36" t="inlineStr">
        <is>
          <t>Hiking</t>
        </is>
      </c>
      <c r="H468" s="36" t="inlineStr">
        <is>
          <t>Trail Boots</t>
        </is>
      </c>
      <c r="I468" s="36" t="n">
        <v>3</v>
      </c>
      <c r="J468" s="39" t="n">
        <v>142.46</v>
      </c>
      <c r="K468" s="45" t="n">
        <v>0</v>
      </c>
      <c r="L468" s="39" t="n">
        <v>79.65000000000001</v>
      </c>
      <c r="M468" s="39">
        <f>I468*J468*(1-K468)</f>
        <v/>
      </c>
      <c r="N468" s="39">
        <f>I468*L468</f>
        <v/>
      </c>
      <c r="O468" s="39">
        <f>M468-N468</f>
        <v/>
      </c>
      <c r="P468" s="38">
        <f>IF(M468=0,0,O468/M468)</f>
        <v/>
      </c>
      <c r="Q468" s="36">
        <f>YEAR(B468)</f>
        <v/>
      </c>
      <c r="R468" s="36">
        <f>"Q"&amp;ROUNDUP(MONTH(B468)/3,0)</f>
        <v/>
      </c>
      <c r="S468" s="36">
        <f>MONTH(B468)</f>
        <v/>
      </c>
      <c r="T468" s="36">
        <f>TEXT(B468,"mmm")</f>
        <v/>
      </c>
      <c r="U468" s="36">
        <f>IF(AND(OR(sel_Region="All",C468=sel_Region),OR(sel_Country="All",D468=sel_Country),OR(sel_Channel="All",E468=sel_Channel),OR(sel_Customer="All",F468=sel_Customer),OR(sel_Category="All",G468=sel_Category),OR(sel_Product="All",H468=sel_Product),AND(S468&gt;=m_From,S468&lt;=m_To)),1,0)</f>
        <v/>
      </c>
      <c r="V468" s="36">
        <f>IF(AND(OR(sel_Region="All",C468=sel_Region),OR(sel_Channel="All",E468=sel_Channel),OR(sel_Customer="All",F468=sel_Customer),OR(sel_Category="All",G468=sel_Category),OR(sel_Product="All",H468=sel_Product),AND(S468&gt;=m_From,S468&lt;=m_To)),1,0)</f>
        <v/>
      </c>
      <c r="W468" s="36">
        <f>IF(AND(OR(sel_Region="All",C468=sel_Region),OR(sel_Country="All",D468=sel_Country),OR(sel_Customer="All",F468=sel_Customer),OR(sel_Category="All",G468=sel_Category),OR(sel_Product="All",H468=sel_Product),AND(S468&gt;=m_From,S468&lt;=m_To)),1,0)</f>
        <v/>
      </c>
      <c r="X468" s="36">
        <f>IF(AND(OR(sel_Region="All",C468=sel_Region),OR(sel_Country="All",D468=sel_Country),OR(sel_Channel="All",E468=sel_Channel),OR(sel_Category="All",G468=sel_Category),OR(sel_Product="All",H468=sel_Product),AND(S468&gt;=m_From,S468&lt;=m_To)),1,0)</f>
        <v/>
      </c>
      <c r="Y468" s="36">
        <f>IF(AND(OR(sel_Region="All",C468=sel_Region),OR(sel_Country="All",D468=sel_Country),OR(sel_Channel="All",E468=sel_Channel),OR(sel_Customer="All",F468=sel_Customer),OR(sel_Product="All",H468=sel_Product),AND(S468&gt;=m_From,S468&lt;=m_To)),1,0)</f>
        <v/>
      </c>
      <c r="Z468" s="36">
        <f>IF(AND(OR(sel_Region="All",C468=sel_Region),OR(sel_Country="All",D468=sel_Country),OR(sel_Channel="All",E468=sel_Channel),OR(sel_Customer="All",F468=sel_Customer),OR(sel_Category="All",G468=sel_Category),AND(S468&gt;=m_From,S468&lt;=m_To)),1,0)</f>
        <v/>
      </c>
      <c r="AA468" s="36">
        <f>IF(AND(OR(sel_Region="All",C468=sel_Region),OR(sel_Country="All",D468=sel_Country),OR(sel_Channel="All",E468=sel_Channel),OR(sel_Customer="All",F468=sel_Customer),OR(sel_Category="All",G468=sel_Category),OR(sel_Product="All",H468=sel_Product)),1,0)</f>
        <v/>
      </c>
    </row>
    <row r="469">
      <c r="A469" s="36" t="inlineStr">
        <is>
          <t>02054</t>
        </is>
      </c>
      <c r="B469" s="44" t="n">
        <v>46111</v>
      </c>
      <c r="C469" s="36" t="inlineStr">
        <is>
          <t>Western Europe</t>
        </is>
      </c>
      <c r="D469" s="36" t="inlineStr">
        <is>
          <t>France</t>
        </is>
      </c>
      <c r="E469" s="36" t="inlineStr">
        <is>
          <t>Corporate</t>
        </is>
      </c>
      <c r="F469" s="36" t="inlineStr">
        <is>
          <t>Business</t>
        </is>
      </c>
      <c r="G469" s="36" t="inlineStr">
        <is>
          <t>Hiking</t>
        </is>
      </c>
      <c r="H469" s="36" t="inlineStr">
        <is>
          <t>Trail Boots</t>
        </is>
      </c>
      <c r="I469" s="36" t="n">
        <v>6</v>
      </c>
      <c r="J469" s="39" t="n">
        <v>142.18</v>
      </c>
      <c r="K469" s="45" t="n">
        <v>0.05</v>
      </c>
      <c r="L469" s="39" t="n">
        <v>80.94</v>
      </c>
      <c r="M469" s="39">
        <f>I469*J469*(1-K469)</f>
        <v/>
      </c>
      <c r="N469" s="39">
        <f>I469*L469</f>
        <v/>
      </c>
      <c r="O469" s="39">
        <f>M469-N469</f>
        <v/>
      </c>
      <c r="P469" s="38">
        <f>IF(M469=0,0,O469/M469)</f>
        <v/>
      </c>
      <c r="Q469" s="36">
        <f>YEAR(B469)</f>
        <v/>
      </c>
      <c r="R469" s="36">
        <f>"Q"&amp;ROUNDUP(MONTH(B469)/3,0)</f>
        <v/>
      </c>
      <c r="S469" s="36">
        <f>MONTH(B469)</f>
        <v/>
      </c>
      <c r="T469" s="36">
        <f>TEXT(B469,"mmm")</f>
        <v/>
      </c>
      <c r="U469" s="36">
        <f>IF(AND(OR(sel_Region="All",C469=sel_Region),OR(sel_Country="All",D469=sel_Country),OR(sel_Channel="All",E469=sel_Channel),OR(sel_Customer="All",F469=sel_Customer),OR(sel_Category="All",G469=sel_Category),OR(sel_Product="All",H469=sel_Product),AND(S469&gt;=m_From,S469&lt;=m_To)),1,0)</f>
        <v/>
      </c>
      <c r="V469" s="36">
        <f>IF(AND(OR(sel_Region="All",C469=sel_Region),OR(sel_Channel="All",E469=sel_Channel),OR(sel_Customer="All",F469=sel_Customer),OR(sel_Category="All",G469=sel_Category),OR(sel_Product="All",H469=sel_Product),AND(S469&gt;=m_From,S469&lt;=m_To)),1,0)</f>
        <v/>
      </c>
      <c r="W469" s="36">
        <f>IF(AND(OR(sel_Region="All",C469=sel_Region),OR(sel_Country="All",D469=sel_Country),OR(sel_Customer="All",F469=sel_Customer),OR(sel_Category="All",G469=sel_Category),OR(sel_Product="All",H469=sel_Product),AND(S469&gt;=m_From,S469&lt;=m_To)),1,0)</f>
        <v/>
      </c>
      <c r="X469" s="36">
        <f>IF(AND(OR(sel_Region="All",C469=sel_Region),OR(sel_Country="All",D469=sel_Country),OR(sel_Channel="All",E469=sel_Channel),OR(sel_Category="All",G469=sel_Category),OR(sel_Product="All",H469=sel_Product),AND(S469&gt;=m_From,S469&lt;=m_To)),1,0)</f>
        <v/>
      </c>
      <c r="Y469" s="36">
        <f>IF(AND(OR(sel_Region="All",C469=sel_Region),OR(sel_Country="All",D469=sel_Country),OR(sel_Channel="All",E469=sel_Channel),OR(sel_Customer="All",F469=sel_Customer),OR(sel_Product="All",H469=sel_Product),AND(S469&gt;=m_From,S469&lt;=m_To)),1,0)</f>
        <v/>
      </c>
      <c r="Z469" s="36">
        <f>IF(AND(OR(sel_Region="All",C469=sel_Region),OR(sel_Country="All",D469=sel_Country),OR(sel_Channel="All",E469=sel_Channel),OR(sel_Customer="All",F469=sel_Customer),OR(sel_Category="All",G469=sel_Category),AND(S469&gt;=m_From,S469&lt;=m_To)),1,0)</f>
        <v/>
      </c>
      <c r="AA469" s="36">
        <f>IF(AND(OR(sel_Region="All",C469=sel_Region),OR(sel_Country="All",D469=sel_Country),OR(sel_Channel="All",E469=sel_Channel),OR(sel_Customer="All",F469=sel_Customer),OR(sel_Category="All",G469=sel_Category),OR(sel_Product="All",H469=sel_Product)),1,0)</f>
        <v/>
      </c>
    </row>
    <row r="470">
      <c r="A470" s="36" t="inlineStr">
        <is>
          <t>02294</t>
        </is>
      </c>
      <c r="B470" s="44" t="n">
        <v>46111</v>
      </c>
      <c r="C470" s="36" t="inlineStr">
        <is>
          <t>Central Europe</t>
        </is>
      </c>
      <c r="D470" s="36" t="inlineStr">
        <is>
          <t>Poland</t>
        </is>
      </c>
      <c r="E470" s="36" t="inlineStr">
        <is>
          <t>Online Store</t>
        </is>
      </c>
      <c r="F470" s="36" t="inlineStr">
        <is>
          <t>New</t>
        </is>
      </c>
      <c r="G470" s="36" t="inlineStr">
        <is>
          <t>Fitness</t>
        </is>
      </c>
      <c r="H470" s="36" t="inlineStr">
        <is>
          <t>Resistance Band Set</t>
        </is>
      </c>
      <c r="I470" s="36" t="n">
        <v>2</v>
      </c>
      <c r="J470" s="39" t="n">
        <v>41.04</v>
      </c>
      <c r="K470" s="45" t="n">
        <v>0</v>
      </c>
      <c r="L470" s="39" t="n">
        <v>15.03</v>
      </c>
      <c r="M470" s="39">
        <f>I470*J470*(1-K470)</f>
        <v/>
      </c>
      <c r="N470" s="39">
        <f>I470*L470</f>
        <v/>
      </c>
      <c r="O470" s="39">
        <f>M470-N470</f>
        <v/>
      </c>
      <c r="P470" s="38">
        <f>IF(M470=0,0,O470/M470)</f>
        <v/>
      </c>
      <c r="Q470" s="36">
        <f>YEAR(B470)</f>
        <v/>
      </c>
      <c r="R470" s="36">
        <f>"Q"&amp;ROUNDUP(MONTH(B470)/3,0)</f>
        <v/>
      </c>
      <c r="S470" s="36">
        <f>MONTH(B470)</f>
        <v/>
      </c>
      <c r="T470" s="36">
        <f>TEXT(B470,"mmm")</f>
        <v/>
      </c>
      <c r="U470" s="36">
        <f>IF(AND(OR(sel_Region="All",C470=sel_Region),OR(sel_Country="All",D470=sel_Country),OR(sel_Channel="All",E470=sel_Channel),OR(sel_Customer="All",F470=sel_Customer),OR(sel_Category="All",G470=sel_Category),OR(sel_Product="All",H470=sel_Product),AND(S470&gt;=m_From,S470&lt;=m_To)),1,0)</f>
        <v/>
      </c>
      <c r="V470" s="36">
        <f>IF(AND(OR(sel_Region="All",C470=sel_Region),OR(sel_Channel="All",E470=sel_Channel),OR(sel_Customer="All",F470=sel_Customer),OR(sel_Category="All",G470=sel_Category),OR(sel_Product="All",H470=sel_Product),AND(S470&gt;=m_From,S470&lt;=m_To)),1,0)</f>
        <v/>
      </c>
      <c r="W470" s="36">
        <f>IF(AND(OR(sel_Region="All",C470=sel_Region),OR(sel_Country="All",D470=sel_Country),OR(sel_Customer="All",F470=sel_Customer),OR(sel_Category="All",G470=sel_Category),OR(sel_Product="All",H470=sel_Product),AND(S470&gt;=m_From,S470&lt;=m_To)),1,0)</f>
        <v/>
      </c>
      <c r="X470" s="36">
        <f>IF(AND(OR(sel_Region="All",C470=sel_Region),OR(sel_Country="All",D470=sel_Country),OR(sel_Channel="All",E470=sel_Channel),OR(sel_Category="All",G470=sel_Category),OR(sel_Product="All",H470=sel_Product),AND(S470&gt;=m_From,S470&lt;=m_To)),1,0)</f>
        <v/>
      </c>
      <c r="Y470" s="36">
        <f>IF(AND(OR(sel_Region="All",C470=sel_Region),OR(sel_Country="All",D470=sel_Country),OR(sel_Channel="All",E470=sel_Channel),OR(sel_Customer="All",F470=sel_Customer),OR(sel_Product="All",H470=sel_Product),AND(S470&gt;=m_From,S470&lt;=m_To)),1,0)</f>
        <v/>
      </c>
      <c r="Z470" s="36">
        <f>IF(AND(OR(sel_Region="All",C470=sel_Region),OR(sel_Country="All",D470=sel_Country),OR(sel_Channel="All",E470=sel_Channel),OR(sel_Customer="All",F470=sel_Customer),OR(sel_Category="All",G470=sel_Category),AND(S470&gt;=m_From,S470&lt;=m_To)),1,0)</f>
        <v/>
      </c>
      <c r="AA470" s="36">
        <f>IF(AND(OR(sel_Region="All",C470=sel_Region),OR(sel_Country="All",D470=sel_Country),OR(sel_Channel="All",E470=sel_Channel),OR(sel_Customer="All",F470=sel_Customer),OR(sel_Category="All",G470=sel_Category),OR(sel_Product="All",H470=sel_Product)),1,0)</f>
        <v/>
      </c>
    </row>
    <row r="471">
      <c r="A471" s="36" t="inlineStr">
        <is>
          <t>02892</t>
        </is>
      </c>
      <c r="B471" s="44" t="n">
        <v>46111</v>
      </c>
      <c r="C471" s="36" t="inlineStr">
        <is>
          <t>Central Europe</t>
        </is>
      </c>
      <c r="D471" s="36" t="inlineStr">
        <is>
          <t>Germany</t>
        </is>
      </c>
      <c r="E471" s="36" t="inlineStr">
        <is>
          <t>Online Store</t>
        </is>
      </c>
      <c r="F471" s="36" t="inlineStr">
        <is>
          <t>Returning</t>
        </is>
      </c>
      <c r="G471" s="36" t="inlineStr">
        <is>
          <t>Hiking</t>
        </is>
      </c>
      <c r="H471" s="36" t="inlineStr">
        <is>
          <t>Trail Boots</t>
        </is>
      </c>
      <c r="I471" s="36" t="n">
        <v>2</v>
      </c>
      <c r="J471" s="39" t="n">
        <v>145.06</v>
      </c>
      <c r="K471" s="45" t="n">
        <v>0.15</v>
      </c>
      <c r="L471" s="39" t="n">
        <v>77.08</v>
      </c>
      <c r="M471" s="39">
        <f>I471*J471*(1-K471)</f>
        <v/>
      </c>
      <c r="N471" s="39">
        <f>I471*L471</f>
        <v/>
      </c>
      <c r="O471" s="39">
        <f>M471-N471</f>
        <v/>
      </c>
      <c r="P471" s="38">
        <f>IF(M471=0,0,O471/M471)</f>
        <v/>
      </c>
      <c r="Q471" s="36">
        <f>YEAR(B471)</f>
        <v/>
      </c>
      <c r="R471" s="36">
        <f>"Q"&amp;ROUNDUP(MONTH(B471)/3,0)</f>
        <v/>
      </c>
      <c r="S471" s="36">
        <f>MONTH(B471)</f>
        <v/>
      </c>
      <c r="T471" s="36">
        <f>TEXT(B471,"mmm")</f>
        <v/>
      </c>
      <c r="U471" s="36">
        <f>IF(AND(OR(sel_Region="All",C471=sel_Region),OR(sel_Country="All",D471=sel_Country),OR(sel_Channel="All",E471=sel_Channel),OR(sel_Customer="All",F471=sel_Customer),OR(sel_Category="All",G471=sel_Category),OR(sel_Product="All",H471=sel_Product),AND(S471&gt;=m_From,S471&lt;=m_To)),1,0)</f>
        <v/>
      </c>
      <c r="V471" s="36">
        <f>IF(AND(OR(sel_Region="All",C471=sel_Region),OR(sel_Channel="All",E471=sel_Channel),OR(sel_Customer="All",F471=sel_Customer),OR(sel_Category="All",G471=sel_Category),OR(sel_Product="All",H471=sel_Product),AND(S471&gt;=m_From,S471&lt;=m_To)),1,0)</f>
        <v/>
      </c>
      <c r="W471" s="36">
        <f>IF(AND(OR(sel_Region="All",C471=sel_Region),OR(sel_Country="All",D471=sel_Country),OR(sel_Customer="All",F471=sel_Customer),OR(sel_Category="All",G471=sel_Category),OR(sel_Product="All",H471=sel_Product),AND(S471&gt;=m_From,S471&lt;=m_To)),1,0)</f>
        <v/>
      </c>
      <c r="X471" s="36">
        <f>IF(AND(OR(sel_Region="All",C471=sel_Region),OR(sel_Country="All",D471=sel_Country),OR(sel_Channel="All",E471=sel_Channel),OR(sel_Category="All",G471=sel_Category),OR(sel_Product="All",H471=sel_Product),AND(S471&gt;=m_From,S471&lt;=m_To)),1,0)</f>
        <v/>
      </c>
      <c r="Y471" s="36">
        <f>IF(AND(OR(sel_Region="All",C471=sel_Region),OR(sel_Country="All",D471=sel_Country),OR(sel_Channel="All",E471=sel_Channel),OR(sel_Customer="All",F471=sel_Customer),OR(sel_Product="All",H471=sel_Product),AND(S471&gt;=m_From,S471&lt;=m_To)),1,0)</f>
        <v/>
      </c>
      <c r="Z471" s="36">
        <f>IF(AND(OR(sel_Region="All",C471=sel_Region),OR(sel_Country="All",D471=sel_Country),OR(sel_Channel="All",E471=sel_Channel),OR(sel_Customer="All",F471=sel_Customer),OR(sel_Category="All",G471=sel_Category),AND(S471&gt;=m_From,S471&lt;=m_To)),1,0)</f>
        <v/>
      </c>
      <c r="AA471" s="36">
        <f>IF(AND(OR(sel_Region="All",C471=sel_Region),OR(sel_Country="All",D471=sel_Country),OR(sel_Channel="All",E471=sel_Channel),OR(sel_Customer="All",F471=sel_Customer),OR(sel_Category="All",G471=sel_Category),OR(sel_Product="All",H471=sel_Product)),1,0)</f>
        <v/>
      </c>
    </row>
    <row r="472">
      <c r="A472" s="36" t="inlineStr">
        <is>
          <t>03145</t>
        </is>
      </c>
      <c r="B472" s="44" t="n">
        <v>46111</v>
      </c>
      <c r="C472" s="36" t="inlineStr">
        <is>
          <t>Central Europe</t>
        </is>
      </c>
      <c r="D472" s="36" t="inlineStr">
        <is>
          <t>Switzerland</t>
        </is>
      </c>
      <c r="E472" s="36" t="inlineStr">
        <is>
          <t>Online Store</t>
        </is>
      </c>
      <c r="F472" s="36" t="inlineStr">
        <is>
          <t>Returning</t>
        </is>
      </c>
      <c r="G472" s="36" t="inlineStr">
        <is>
          <t>Travel</t>
        </is>
      </c>
      <c r="H472" s="36" t="inlineStr">
        <is>
          <t>Carry-On Duffel</t>
        </is>
      </c>
      <c r="I472" s="36" t="n">
        <v>1</v>
      </c>
      <c r="J472" s="39" t="n">
        <v>130.73</v>
      </c>
      <c r="K472" s="45" t="n">
        <v>0</v>
      </c>
      <c r="L472" s="39" t="n">
        <v>66.17</v>
      </c>
      <c r="M472" s="39">
        <f>I472*J472*(1-K472)</f>
        <v/>
      </c>
      <c r="N472" s="39">
        <f>I472*L472</f>
        <v/>
      </c>
      <c r="O472" s="39">
        <f>M472-N472</f>
        <v/>
      </c>
      <c r="P472" s="38">
        <f>IF(M472=0,0,O472/M472)</f>
        <v/>
      </c>
      <c r="Q472" s="36">
        <f>YEAR(B472)</f>
        <v/>
      </c>
      <c r="R472" s="36">
        <f>"Q"&amp;ROUNDUP(MONTH(B472)/3,0)</f>
        <v/>
      </c>
      <c r="S472" s="36">
        <f>MONTH(B472)</f>
        <v/>
      </c>
      <c r="T472" s="36">
        <f>TEXT(B472,"mmm")</f>
        <v/>
      </c>
      <c r="U472" s="36">
        <f>IF(AND(OR(sel_Region="All",C472=sel_Region),OR(sel_Country="All",D472=sel_Country),OR(sel_Channel="All",E472=sel_Channel),OR(sel_Customer="All",F472=sel_Customer),OR(sel_Category="All",G472=sel_Category),OR(sel_Product="All",H472=sel_Product),AND(S472&gt;=m_From,S472&lt;=m_To)),1,0)</f>
        <v/>
      </c>
      <c r="V472" s="36">
        <f>IF(AND(OR(sel_Region="All",C472=sel_Region),OR(sel_Channel="All",E472=sel_Channel),OR(sel_Customer="All",F472=sel_Customer),OR(sel_Category="All",G472=sel_Category),OR(sel_Product="All",H472=sel_Product),AND(S472&gt;=m_From,S472&lt;=m_To)),1,0)</f>
        <v/>
      </c>
      <c r="W472" s="36">
        <f>IF(AND(OR(sel_Region="All",C472=sel_Region),OR(sel_Country="All",D472=sel_Country),OR(sel_Customer="All",F472=sel_Customer),OR(sel_Category="All",G472=sel_Category),OR(sel_Product="All",H472=sel_Product),AND(S472&gt;=m_From,S472&lt;=m_To)),1,0)</f>
        <v/>
      </c>
      <c r="X472" s="36">
        <f>IF(AND(OR(sel_Region="All",C472=sel_Region),OR(sel_Country="All",D472=sel_Country),OR(sel_Channel="All",E472=sel_Channel),OR(sel_Category="All",G472=sel_Category),OR(sel_Product="All",H472=sel_Product),AND(S472&gt;=m_From,S472&lt;=m_To)),1,0)</f>
        <v/>
      </c>
      <c r="Y472" s="36">
        <f>IF(AND(OR(sel_Region="All",C472=sel_Region),OR(sel_Country="All",D472=sel_Country),OR(sel_Channel="All",E472=sel_Channel),OR(sel_Customer="All",F472=sel_Customer),OR(sel_Product="All",H472=sel_Product),AND(S472&gt;=m_From,S472&lt;=m_To)),1,0)</f>
        <v/>
      </c>
      <c r="Z472" s="36">
        <f>IF(AND(OR(sel_Region="All",C472=sel_Region),OR(sel_Country="All",D472=sel_Country),OR(sel_Channel="All",E472=sel_Channel),OR(sel_Customer="All",F472=sel_Customer),OR(sel_Category="All",G472=sel_Category),AND(S472&gt;=m_From,S472&lt;=m_To)),1,0)</f>
        <v/>
      </c>
      <c r="AA472" s="36">
        <f>IF(AND(OR(sel_Region="All",C472=sel_Region),OR(sel_Country="All",D472=sel_Country),OR(sel_Channel="All",E472=sel_Channel),OR(sel_Customer="All",F472=sel_Customer),OR(sel_Category="All",G472=sel_Category),OR(sel_Product="All",H472=sel_Product)),1,0)</f>
        <v/>
      </c>
    </row>
    <row r="473">
      <c r="A473" s="36" t="inlineStr">
        <is>
          <t>03925</t>
        </is>
      </c>
      <c r="B473" s="44" t="n">
        <v>46111</v>
      </c>
      <c r="C473" s="36" t="inlineStr">
        <is>
          <t>Western Europe</t>
        </is>
      </c>
      <c r="D473" s="36" t="inlineStr">
        <is>
          <t>France</t>
        </is>
      </c>
      <c r="E473" s="36" t="inlineStr">
        <is>
          <t>Online Store</t>
        </is>
      </c>
      <c r="F473" s="36" t="inlineStr">
        <is>
          <t>Business</t>
        </is>
      </c>
      <c r="G473" s="36" t="inlineStr">
        <is>
          <t>Fitness</t>
        </is>
      </c>
      <c r="H473" s="36" t="inlineStr">
        <is>
          <t>Recovery Roller</t>
        </is>
      </c>
      <c r="I473" s="36" t="n">
        <v>2</v>
      </c>
      <c r="J473" s="39" t="n">
        <v>36.63</v>
      </c>
      <c r="K473" s="45" t="n">
        <v>0</v>
      </c>
      <c r="L473" s="39" t="n">
        <v>14.31</v>
      </c>
      <c r="M473" s="39">
        <f>I473*J473*(1-K473)</f>
        <v/>
      </c>
      <c r="N473" s="39">
        <f>I473*L473</f>
        <v/>
      </c>
      <c r="O473" s="39">
        <f>M473-N473</f>
        <v/>
      </c>
      <c r="P473" s="38">
        <f>IF(M473=0,0,O473/M473)</f>
        <v/>
      </c>
      <c r="Q473" s="36">
        <f>YEAR(B473)</f>
        <v/>
      </c>
      <c r="R473" s="36">
        <f>"Q"&amp;ROUNDUP(MONTH(B473)/3,0)</f>
        <v/>
      </c>
      <c r="S473" s="36">
        <f>MONTH(B473)</f>
        <v/>
      </c>
      <c r="T473" s="36">
        <f>TEXT(B473,"mmm")</f>
        <v/>
      </c>
      <c r="U473" s="36">
        <f>IF(AND(OR(sel_Region="All",C473=sel_Region),OR(sel_Country="All",D473=sel_Country),OR(sel_Channel="All",E473=sel_Channel),OR(sel_Customer="All",F473=sel_Customer),OR(sel_Category="All",G473=sel_Category),OR(sel_Product="All",H473=sel_Product),AND(S473&gt;=m_From,S473&lt;=m_To)),1,0)</f>
        <v/>
      </c>
      <c r="V473" s="36">
        <f>IF(AND(OR(sel_Region="All",C473=sel_Region),OR(sel_Channel="All",E473=sel_Channel),OR(sel_Customer="All",F473=sel_Customer),OR(sel_Category="All",G473=sel_Category),OR(sel_Product="All",H473=sel_Product),AND(S473&gt;=m_From,S473&lt;=m_To)),1,0)</f>
        <v/>
      </c>
      <c r="W473" s="36">
        <f>IF(AND(OR(sel_Region="All",C473=sel_Region),OR(sel_Country="All",D473=sel_Country),OR(sel_Customer="All",F473=sel_Customer),OR(sel_Category="All",G473=sel_Category),OR(sel_Product="All",H473=sel_Product),AND(S473&gt;=m_From,S473&lt;=m_To)),1,0)</f>
        <v/>
      </c>
      <c r="X473" s="36">
        <f>IF(AND(OR(sel_Region="All",C473=sel_Region),OR(sel_Country="All",D473=sel_Country),OR(sel_Channel="All",E473=sel_Channel),OR(sel_Category="All",G473=sel_Category),OR(sel_Product="All",H473=sel_Product),AND(S473&gt;=m_From,S473&lt;=m_To)),1,0)</f>
        <v/>
      </c>
      <c r="Y473" s="36">
        <f>IF(AND(OR(sel_Region="All",C473=sel_Region),OR(sel_Country="All",D473=sel_Country),OR(sel_Channel="All",E473=sel_Channel),OR(sel_Customer="All",F473=sel_Customer),OR(sel_Product="All",H473=sel_Product),AND(S473&gt;=m_From,S473&lt;=m_To)),1,0)</f>
        <v/>
      </c>
      <c r="Z473" s="36">
        <f>IF(AND(OR(sel_Region="All",C473=sel_Region),OR(sel_Country="All",D473=sel_Country),OR(sel_Channel="All",E473=sel_Channel),OR(sel_Customer="All",F473=sel_Customer),OR(sel_Category="All",G473=sel_Category),AND(S473&gt;=m_From,S473&lt;=m_To)),1,0)</f>
        <v/>
      </c>
      <c r="AA473" s="36">
        <f>IF(AND(OR(sel_Region="All",C473=sel_Region),OR(sel_Country="All",D473=sel_Country),OR(sel_Channel="All",E473=sel_Channel),OR(sel_Customer="All",F473=sel_Customer),OR(sel_Category="All",G473=sel_Category),OR(sel_Product="All",H473=sel_Product)),1,0)</f>
        <v/>
      </c>
    </row>
    <row r="474">
      <c r="A474" s="36" t="inlineStr">
        <is>
          <t>02722</t>
        </is>
      </c>
      <c r="B474" s="44" t="n">
        <v>46112</v>
      </c>
      <c r="C474" s="36" t="inlineStr">
        <is>
          <t>Western Europe</t>
        </is>
      </c>
      <c r="D474" s="36" t="inlineStr">
        <is>
          <t>France</t>
        </is>
      </c>
      <c r="E474" s="36" t="inlineStr">
        <is>
          <t>Marketplace</t>
        </is>
      </c>
      <c r="F474" s="36" t="inlineStr">
        <is>
          <t>New</t>
        </is>
      </c>
      <c r="G474" s="36" t="inlineStr">
        <is>
          <t>Cycling</t>
        </is>
      </c>
      <c r="H474" s="36" t="inlineStr">
        <is>
          <t>Trail Bike Light</t>
        </is>
      </c>
      <c r="I474" s="36" t="n">
        <v>1</v>
      </c>
      <c r="J474" s="39" t="n">
        <v>50.99</v>
      </c>
      <c r="K474" s="45" t="n">
        <v>0.1</v>
      </c>
      <c r="L474" s="39" t="n">
        <v>21.86</v>
      </c>
      <c r="M474" s="39">
        <f>I474*J474*(1-K474)</f>
        <v/>
      </c>
      <c r="N474" s="39">
        <f>I474*L474</f>
        <v/>
      </c>
      <c r="O474" s="39">
        <f>M474-N474</f>
        <v/>
      </c>
      <c r="P474" s="38">
        <f>IF(M474=0,0,O474/M474)</f>
        <v/>
      </c>
      <c r="Q474" s="36">
        <f>YEAR(B474)</f>
        <v/>
      </c>
      <c r="R474" s="36">
        <f>"Q"&amp;ROUNDUP(MONTH(B474)/3,0)</f>
        <v/>
      </c>
      <c r="S474" s="36">
        <f>MONTH(B474)</f>
        <v/>
      </c>
      <c r="T474" s="36">
        <f>TEXT(B474,"mmm")</f>
        <v/>
      </c>
      <c r="U474" s="36">
        <f>IF(AND(OR(sel_Region="All",C474=sel_Region),OR(sel_Country="All",D474=sel_Country),OR(sel_Channel="All",E474=sel_Channel),OR(sel_Customer="All",F474=sel_Customer),OR(sel_Category="All",G474=sel_Category),OR(sel_Product="All",H474=sel_Product),AND(S474&gt;=m_From,S474&lt;=m_To)),1,0)</f>
        <v/>
      </c>
      <c r="V474" s="36">
        <f>IF(AND(OR(sel_Region="All",C474=sel_Region),OR(sel_Channel="All",E474=sel_Channel),OR(sel_Customer="All",F474=sel_Customer),OR(sel_Category="All",G474=sel_Category),OR(sel_Product="All",H474=sel_Product),AND(S474&gt;=m_From,S474&lt;=m_To)),1,0)</f>
        <v/>
      </c>
      <c r="W474" s="36">
        <f>IF(AND(OR(sel_Region="All",C474=sel_Region),OR(sel_Country="All",D474=sel_Country),OR(sel_Customer="All",F474=sel_Customer),OR(sel_Category="All",G474=sel_Category),OR(sel_Product="All",H474=sel_Product),AND(S474&gt;=m_From,S474&lt;=m_To)),1,0)</f>
        <v/>
      </c>
      <c r="X474" s="36">
        <f>IF(AND(OR(sel_Region="All",C474=sel_Region),OR(sel_Country="All",D474=sel_Country),OR(sel_Channel="All",E474=sel_Channel),OR(sel_Category="All",G474=sel_Category),OR(sel_Product="All",H474=sel_Product),AND(S474&gt;=m_From,S474&lt;=m_To)),1,0)</f>
        <v/>
      </c>
      <c r="Y474" s="36">
        <f>IF(AND(OR(sel_Region="All",C474=sel_Region),OR(sel_Country="All",D474=sel_Country),OR(sel_Channel="All",E474=sel_Channel),OR(sel_Customer="All",F474=sel_Customer),OR(sel_Product="All",H474=sel_Product),AND(S474&gt;=m_From,S474&lt;=m_To)),1,0)</f>
        <v/>
      </c>
      <c r="Z474" s="36">
        <f>IF(AND(OR(sel_Region="All",C474=sel_Region),OR(sel_Country="All",D474=sel_Country),OR(sel_Channel="All",E474=sel_Channel),OR(sel_Customer="All",F474=sel_Customer),OR(sel_Category="All",G474=sel_Category),AND(S474&gt;=m_From,S474&lt;=m_To)),1,0)</f>
        <v/>
      </c>
      <c r="AA474" s="36">
        <f>IF(AND(OR(sel_Region="All",C474=sel_Region),OR(sel_Country="All",D474=sel_Country),OR(sel_Channel="All",E474=sel_Channel),OR(sel_Customer="All",F474=sel_Customer),OR(sel_Category="All",G474=sel_Category),OR(sel_Product="All",H474=sel_Product)),1,0)</f>
        <v/>
      </c>
    </row>
    <row r="475">
      <c r="A475" s="36" t="inlineStr">
        <is>
          <t>02767</t>
        </is>
      </c>
      <c r="B475" s="44" t="n">
        <v>46112</v>
      </c>
      <c r="C475" s="36" t="inlineStr">
        <is>
          <t>Central Europe</t>
        </is>
      </c>
      <c r="D475" s="36" t="inlineStr">
        <is>
          <t>Austria</t>
        </is>
      </c>
      <c r="E475" s="36" t="inlineStr">
        <is>
          <t>Online Store</t>
        </is>
      </c>
      <c r="F475" s="36" t="inlineStr">
        <is>
          <t>Returning</t>
        </is>
      </c>
      <c r="G475" s="36" t="inlineStr">
        <is>
          <t>Travel</t>
        </is>
      </c>
      <c r="H475" s="36" t="inlineStr">
        <is>
          <t>Carry-On Duffel</t>
        </is>
      </c>
      <c r="I475" s="36" t="n">
        <v>4</v>
      </c>
      <c r="J475" s="39" t="n">
        <v>134.18</v>
      </c>
      <c r="K475" s="45" t="n">
        <v>0</v>
      </c>
      <c r="L475" s="39" t="n">
        <v>66.43000000000001</v>
      </c>
      <c r="M475" s="39">
        <f>I475*J475*(1-K475)</f>
        <v/>
      </c>
      <c r="N475" s="39">
        <f>I475*L475</f>
        <v/>
      </c>
      <c r="O475" s="39">
        <f>M475-N475</f>
        <v/>
      </c>
      <c r="P475" s="38">
        <f>IF(M475=0,0,O475/M475)</f>
        <v/>
      </c>
      <c r="Q475" s="36">
        <f>YEAR(B475)</f>
        <v/>
      </c>
      <c r="R475" s="36">
        <f>"Q"&amp;ROUNDUP(MONTH(B475)/3,0)</f>
        <v/>
      </c>
      <c r="S475" s="36">
        <f>MONTH(B475)</f>
        <v/>
      </c>
      <c r="T475" s="36">
        <f>TEXT(B475,"mmm")</f>
        <v/>
      </c>
      <c r="U475" s="36">
        <f>IF(AND(OR(sel_Region="All",C475=sel_Region),OR(sel_Country="All",D475=sel_Country),OR(sel_Channel="All",E475=sel_Channel),OR(sel_Customer="All",F475=sel_Customer),OR(sel_Category="All",G475=sel_Category),OR(sel_Product="All",H475=sel_Product),AND(S475&gt;=m_From,S475&lt;=m_To)),1,0)</f>
        <v/>
      </c>
      <c r="V475" s="36">
        <f>IF(AND(OR(sel_Region="All",C475=sel_Region),OR(sel_Channel="All",E475=sel_Channel),OR(sel_Customer="All",F475=sel_Customer),OR(sel_Category="All",G475=sel_Category),OR(sel_Product="All",H475=sel_Product),AND(S475&gt;=m_From,S475&lt;=m_To)),1,0)</f>
        <v/>
      </c>
      <c r="W475" s="36">
        <f>IF(AND(OR(sel_Region="All",C475=sel_Region),OR(sel_Country="All",D475=sel_Country),OR(sel_Customer="All",F475=sel_Customer),OR(sel_Category="All",G475=sel_Category),OR(sel_Product="All",H475=sel_Product),AND(S475&gt;=m_From,S475&lt;=m_To)),1,0)</f>
        <v/>
      </c>
      <c r="X475" s="36">
        <f>IF(AND(OR(sel_Region="All",C475=sel_Region),OR(sel_Country="All",D475=sel_Country),OR(sel_Channel="All",E475=sel_Channel),OR(sel_Category="All",G475=sel_Category),OR(sel_Product="All",H475=sel_Product),AND(S475&gt;=m_From,S475&lt;=m_To)),1,0)</f>
        <v/>
      </c>
      <c r="Y475" s="36">
        <f>IF(AND(OR(sel_Region="All",C475=sel_Region),OR(sel_Country="All",D475=sel_Country),OR(sel_Channel="All",E475=sel_Channel),OR(sel_Customer="All",F475=sel_Customer),OR(sel_Product="All",H475=sel_Product),AND(S475&gt;=m_From,S475&lt;=m_To)),1,0)</f>
        <v/>
      </c>
      <c r="Z475" s="36">
        <f>IF(AND(OR(sel_Region="All",C475=sel_Region),OR(sel_Country="All",D475=sel_Country),OR(sel_Channel="All",E475=sel_Channel),OR(sel_Customer="All",F475=sel_Customer),OR(sel_Category="All",G475=sel_Category),AND(S475&gt;=m_From,S475&lt;=m_To)),1,0)</f>
        <v/>
      </c>
      <c r="AA475" s="36">
        <f>IF(AND(OR(sel_Region="All",C475=sel_Region),OR(sel_Country="All",D475=sel_Country),OR(sel_Channel="All",E475=sel_Channel),OR(sel_Customer="All",F475=sel_Customer),OR(sel_Category="All",G475=sel_Category),OR(sel_Product="All",H475=sel_Product)),1,0)</f>
        <v/>
      </c>
    </row>
    <row r="476">
      <c r="A476" s="36" t="inlineStr">
        <is>
          <t>03794</t>
        </is>
      </c>
      <c r="B476" s="44" t="n">
        <v>46112</v>
      </c>
      <c r="C476" s="36" t="inlineStr">
        <is>
          <t>Central Europe</t>
        </is>
      </c>
      <c r="D476" s="36" t="inlineStr">
        <is>
          <t>Germany</t>
        </is>
      </c>
      <c r="E476" s="36" t="inlineStr">
        <is>
          <t>Retail Partners</t>
        </is>
      </c>
      <c r="F476" s="36" t="inlineStr">
        <is>
          <t>Business</t>
        </is>
      </c>
      <c r="G476" s="36" t="inlineStr">
        <is>
          <t>Fitness</t>
        </is>
      </c>
      <c r="H476" s="36" t="inlineStr">
        <is>
          <t>Training Mat</t>
        </is>
      </c>
      <c r="I476" s="36" t="n">
        <v>2</v>
      </c>
      <c r="J476" s="39" t="n">
        <v>50.86</v>
      </c>
      <c r="K476" s="45" t="n">
        <v>0.1</v>
      </c>
      <c r="L476" s="39" t="n">
        <v>21.76</v>
      </c>
      <c r="M476" s="39">
        <f>I476*J476*(1-K476)</f>
        <v/>
      </c>
      <c r="N476" s="39">
        <f>I476*L476</f>
        <v/>
      </c>
      <c r="O476" s="39">
        <f>M476-N476</f>
        <v/>
      </c>
      <c r="P476" s="38">
        <f>IF(M476=0,0,O476/M476)</f>
        <v/>
      </c>
      <c r="Q476" s="36">
        <f>YEAR(B476)</f>
        <v/>
      </c>
      <c r="R476" s="36">
        <f>"Q"&amp;ROUNDUP(MONTH(B476)/3,0)</f>
        <v/>
      </c>
      <c r="S476" s="36">
        <f>MONTH(B476)</f>
        <v/>
      </c>
      <c r="T476" s="36">
        <f>TEXT(B476,"mmm")</f>
        <v/>
      </c>
      <c r="U476" s="36">
        <f>IF(AND(OR(sel_Region="All",C476=sel_Region),OR(sel_Country="All",D476=sel_Country),OR(sel_Channel="All",E476=sel_Channel),OR(sel_Customer="All",F476=sel_Customer),OR(sel_Category="All",G476=sel_Category),OR(sel_Product="All",H476=sel_Product),AND(S476&gt;=m_From,S476&lt;=m_To)),1,0)</f>
        <v/>
      </c>
      <c r="V476" s="36">
        <f>IF(AND(OR(sel_Region="All",C476=sel_Region),OR(sel_Channel="All",E476=sel_Channel),OR(sel_Customer="All",F476=sel_Customer),OR(sel_Category="All",G476=sel_Category),OR(sel_Product="All",H476=sel_Product),AND(S476&gt;=m_From,S476&lt;=m_To)),1,0)</f>
        <v/>
      </c>
      <c r="W476" s="36">
        <f>IF(AND(OR(sel_Region="All",C476=sel_Region),OR(sel_Country="All",D476=sel_Country),OR(sel_Customer="All",F476=sel_Customer),OR(sel_Category="All",G476=sel_Category),OR(sel_Product="All",H476=sel_Product),AND(S476&gt;=m_From,S476&lt;=m_To)),1,0)</f>
        <v/>
      </c>
      <c r="X476" s="36">
        <f>IF(AND(OR(sel_Region="All",C476=sel_Region),OR(sel_Country="All",D476=sel_Country),OR(sel_Channel="All",E476=sel_Channel),OR(sel_Category="All",G476=sel_Category),OR(sel_Product="All",H476=sel_Product),AND(S476&gt;=m_From,S476&lt;=m_To)),1,0)</f>
        <v/>
      </c>
      <c r="Y476" s="36">
        <f>IF(AND(OR(sel_Region="All",C476=sel_Region),OR(sel_Country="All",D476=sel_Country),OR(sel_Channel="All",E476=sel_Channel),OR(sel_Customer="All",F476=sel_Customer),OR(sel_Product="All",H476=sel_Product),AND(S476&gt;=m_From,S476&lt;=m_To)),1,0)</f>
        <v/>
      </c>
      <c r="Z476" s="36">
        <f>IF(AND(OR(sel_Region="All",C476=sel_Region),OR(sel_Country="All",D476=sel_Country),OR(sel_Channel="All",E476=sel_Channel),OR(sel_Customer="All",F476=sel_Customer),OR(sel_Category="All",G476=sel_Category),AND(S476&gt;=m_From,S476&lt;=m_To)),1,0)</f>
        <v/>
      </c>
      <c r="AA476" s="36">
        <f>IF(AND(OR(sel_Region="All",C476=sel_Region),OR(sel_Country="All",D476=sel_Country),OR(sel_Channel="All",E476=sel_Channel),OR(sel_Customer="All",F476=sel_Customer),OR(sel_Category="All",G476=sel_Category),OR(sel_Product="All",H476=sel_Product)),1,0)</f>
        <v/>
      </c>
    </row>
    <row r="477">
      <c r="A477" s="36" t="inlineStr">
        <is>
          <t>03880</t>
        </is>
      </c>
      <c r="B477" s="44" t="n">
        <v>46112</v>
      </c>
      <c r="C477" s="36" t="inlineStr">
        <is>
          <t>Central Europe</t>
        </is>
      </c>
      <c r="D477" s="36" t="inlineStr">
        <is>
          <t>Germany</t>
        </is>
      </c>
      <c r="E477" s="36" t="inlineStr">
        <is>
          <t>Corporate</t>
        </is>
      </c>
      <c r="F477" s="36" t="inlineStr">
        <is>
          <t>Business</t>
        </is>
      </c>
      <c r="G477" s="36" t="inlineStr">
        <is>
          <t>Camping</t>
        </is>
      </c>
      <c r="H477" s="36" t="inlineStr">
        <is>
          <t>Compact Sleeping Bag</t>
        </is>
      </c>
      <c r="I477" s="36" t="n">
        <v>12</v>
      </c>
      <c r="J477" s="39" t="n">
        <v>124.86</v>
      </c>
      <c r="K477" s="45" t="n">
        <v>0.1</v>
      </c>
      <c r="L477" s="39" t="n">
        <v>60.82</v>
      </c>
      <c r="M477" s="39">
        <f>I477*J477*(1-K477)</f>
        <v/>
      </c>
      <c r="N477" s="39">
        <f>I477*L477</f>
        <v/>
      </c>
      <c r="O477" s="39">
        <f>M477-N477</f>
        <v/>
      </c>
      <c r="P477" s="38">
        <f>IF(M477=0,0,O477/M477)</f>
        <v/>
      </c>
      <c r="Q477" s="36">
        <f>YEAR(B477)</f>
        <v/>
      </c>
      <c r="R477" s="36">
        <f>"Q"&amp;ROUNDUP(MONTH(B477)/3,0)</f>
        <v/>
      </c>
      <c r="S477" s="36">
        <f>MONTH(B477)</f>
        <v/>
      </c>
      <c r="T477" s="36">
        <f>TEXT(B477,"mmm")</f>
        <v/>
      </c>
      <c r="U477" s="36">
        <f>IF(AND(OR(sel_Region="All",C477=sel_Region),OR(sel_Country="All",D477=sel_Country),OR(sel_Channel="All",E477=sel_Channel),OR(sel_Customer="All",F477=sel_Customer),OR(sel_Category="All",G477=sel_Category),OR(sel_Product="All",H477=sel_Product),AND(S477&gt;=m_From,S477&lt;=m_To)),1,0)</f>
        <v/>
      </c>
      <c r="V477" s="36">
        <f>IF(AND(OR(sel_Region="All",C477=sel_Region),OR(sel_Channel="All",E477=sel_Channel),OR(sel_Customer="All",F477=sel_Customer),OR(sel_Category="All",G477=sel_Category),OR(sel_Product="All",H477=sel_Product),AND(S477&gt;=m_From,S477&lt;=m_To)),1,0)</f>
        <v/>
      </c>
      <c r="W477" s="36">
        <f>IF(AND(OR(sel_Region="All",C477=sel_Region),OR(sel_Country="All",D477=sel_Country),OR(sel_Customer="All",F477=sel_Customer),OR(sel_Category="All",G477=sel_Category),OR(sel_Product="All",H477=sel_Product),AND(S477&gt;=m_From,S477&lt;=m_To)),1,0)</f>
        <v/>
      </c>
      <c r="X477" s="36">
        <f>IF(AND(OR(sel_Region="All",C477=sel_Region),OR(sel_Country="All",D477=sel_Country),OR(sel_Channel="All",E477=sel_Channel),OR(sel_Category="All",G477=sel_Category),OR(sel_Product="All",H477=sel_Product),AND(S477&gt;=m_From,S477&lt;=m_To)),1,0)</f>
        <v/>
      </c>
      <c r="Y477" s="36">
        <f>IF(AND(OR(sel_Region="All",C477=sel_Region),OR(sel_Country="All",D477=sel_Country),OR(sel_Channel="All",E477=sel_Channel),OR(sel_Customer="All",F477=sel_Customer),OR(sel_Product="All",H477=sel_Product),AND(S477&gt;=m_From,S477&lt;=m_To)),1,0)</f>
        <v/>
      </c>
      <c r="Z477" s="36">
        <f>IF(AND(OR(sel_Region="All",C477=sel_Region),OR(sel_Country="All",D477=sel_Country),OR(sel_Channel="All",E477=sel_Channel),OR(sel_Customer="All",F477=sel_Customer),OR(sel_Category="All",G477=sel_Category),AND(S477&gt;=m_From,S477&lt;=m_To)),1,0)</f>
        <v/>
      </c>
      <c r="AA477" s="36">
        <f>IF(AND(OR(sel_Region="All",C477=sel_Region),OR(sel_Country="All",D477=sel_Country),OR(sel_Channel="All",E477=sel_Channel),OR(sel_Customer="All",F477=sel_Customer),OR(sel_Category="All",G477=sel_Category),OR(sel_Product="All",H477=sel_Product)),1,0)</f>
        <v/>
      </c>
    </row>
    <row r="478">
      <c r="A478" s="36" t="inlineStr">
        <is>
          <t>00422</t>
        </is>
      </c>
      <c r="B478" s="44" t="n">
        <v>46113</v>
      </c>
      <c r="C478" s="36" t="inlineStr">
        <is>
          <t>Western Europe</t>
        </is>
      </c>
      <c r="D478" s="36" t="inlineStr">
        <is>
          <t>Belgium</t>
        </is>
      </c>
      <c r="E478" s="36" t="inlineStr">
        <is>
          <t>Online Store</t>
        </is>
      </c>
      <c r="F478" s="36" t="inlineStr">
        <is>
          <t>Business</t>
        </is>
      </c>
      <c r="G478" s="36" t="inlineStr">
        <is>
          <t>Cycling</t>
        </is>
      </c>
      <c r="H478" s="36" t="inlineStr">
        <is>
          <t>Commuter Helmet</t>
        </is>
      </c>
      <c r="I478" s="36" t="n">
        <v>1</v>
      </c>
      <c r="J478" s="39" t="n">
        <v>81.76000000000001</v>
      </c>
      <c r="K478" s="45" t="n">
        <v>0.1</v>
      </c>
      <c r="L478" s="39" t="n">
        <v>42.78</v>
      </c>
      <c r="M478" s="39">
        <f>I478*J478*(1-K478)</f>
        <v/>
      </c>
      <c r="N478" s="39">
        <f>I478*L478</f>
        <v/>
      </c>
      <c r="O478" s="39">
        <f>M478-N478</f>
        <v/>
      </c>
      <c r="P478" s="38">
        <f>IF(M478=0,0,O478/M478)</f>
        <v/>
      </c>
      <c r="Q478" s="36">
        <f>YEAR(B478)</f>
        <v/>
      </c>
      <c r="R478" s="36">
        <f>"Q"&amp;ROUNDUP(MONTH(B478)/3,0)</f>
        <v/>
      </c>
      <c r="S478" s="36">
        <f>MONTH(B478)</f>
        <v/>
      </c>
      <c r="T478" s="36">
        <f>TEXT(B478,"mmm")</f>
        <v/>
      </c>
      <c r="U478" s="36">
        <f>IF(AND(OR(sel_Region="All",C478=sel_Region),OR(sel_Country="All",D478=sel_Country),OR(sel_Channel="All",E478=sel_Channel),OR(sel_Customer="All",F478=sel_Customer),OR(sel_Category="All",G478=sel_Category),OR(sel_Product="All",H478=sel_Product),AND(S478&gt;=m_From,S478&lt;=m_To)),1,0)</f>
        <v/>
      </c>
      <c r="V478" s="36">
        <f>IF(AND(OR(sel_Region="All",C478=sel_Region),OR(sel_Channel="All",E478=sel_Channel),OR(sel_Customer="All",F478=sel_Customer),OR(sel_Category="All",G478=sel_Category),OR(sel_Product="All",H478=sel_Product),AND(S478&gt;=m_From,S478&lt;=m_To)),1,0)</f>
        <v/>
      </c>
      <c r="W478" s="36">
        <f>IF(AND(OR(sel_Region="All",C478=sel_Region),OR(sel_Country="All",D478=sel_Country),OR(sel_Customer="All",F478=sel_Customer),OR(sel_Category="All",G478=sel_Category),OR(sel_Product="All",H478=sel_Product),AND(S478&gt;=m_From,S478&lt;=m_To)),1,0)</f>
        <v/>
      </c>
      <c r="X478" s="36">
        <f>IF(AND(OR(sel_Region="All",C478=sel_Region),OR(sel_Country="All",D478=sel_Country),OR(sel_Channel="All",E478=sel_Channel),OR(sel_Category="All",G478=sel_Category),OR(sel_Product="All",H478=sel_Product),AND(S478&gt;=m_From,S478&lt;=m_To)),1,0)</f>
        <v/>
      </c>
      <c r="Y478" s="36">
        <f>IF(AND(OR(sel_Region="All",C478=sel_Region),OR(sel_Country="All",D478=sel_Country),OR(sel_Channel="All",E478=sel_Channel),OR(sel_Customer="All",F478=sel_Customer),OR(sel_Product="All",H478=sel_Product),AND(S478&gt;=m_From,S478&lt;=m_To)),1,0)</f>
        <v/>
      </c>
      <c r="Z478" s="36">
        <f>IF(AND(OR(sel_Region="All",C478=sel_Region),OR(sel_Country="All",D478=sel_Country),OR(sel_Channel="All",E478=sel_Channel),OR(sel_Customer="All",F478=sel_Customer),OR(sel_Category="All",G478=sel_Category),AND(S478&gt;=m_From,S478&lt;=m_To)),1,0)</f>
        <v/>
      </c>
      <c r="AA478" s="36">
        <f>IF(AND(OR(sel_Region="All",C478=sel_Region),OR(sel_Country="All",D478=sel_Country),OR(sel_Channel="All",E478=sel_Channel),OR(sel_Customer="All",F478=sel_Customer),OR(sel_Category="All",G478=sel_Category),OR(sel_Product="All",H478=sel_Product)),1,0)</f>
        <v/>
      </c>
    </row>
    <row r="479">
      <c r="A479" s="36" t="inlineStr">
        <is>
          <t>00495</t>
        </is>
      </c>
      <c r="B479" s="44" t="n">
        <v>46113</v>
      </c>
      <c r="C479" s="36" t="inlineStr">
        <is>
          <t>Central Europe</t>
        </is>
      </c>
      <c r="D479" s="36" t="inlineStr">
        <is>
          <t>Poland</t>
        </is>
      </c>
      <c r="E479" s="36" t="inlineStr">
        <is>
          <t>Retail Partners</t>
        </is>
      </c>
      <c r="F479" s="36" t="inlineStr">
        <is>
          <t>Business</t>
        </is>
      </c>
      <c r="G479" s="36" t="inlineStr">
        <is>
          <t>Travel</t>
        </is>
      </c>
      <c r="H479" s="36" t="inlineStr">
        <is>
          <t>Carry-On Duffel</t>
        </is>
      </c>
      <c r="I479" s="36" t="n">
        <v>1</v>
      </c>
      <c r="J479" s="39" t="n">
        <v>134.65</v>
      </c>
      <c r="K479" s="45" t="n">
        <v>0</v>
      </c>
      <c r="L479" s="39" t="n">
        <v>68.19</v>
      </c>
      <c r="M479" s="39">
        <f>I479*J479*(1-K479)</f>
        <v/>
      </c>
      <c r="N479" s="39">
        <f>I479*L479</f>
        <v/>
      </c>
      <c r="O479" s="39">
        <f>M479-N479</f>
        <v/>
      </c>
      <c r="P479" s="38">
        <f>IF(M479=0,0,O479/M479)</f>
        <v/>
      </c>
      <c r="Q479" s="36">
        <f>YEAR(B479)</f>
        <v/>
      </c>
      <c r="R479" s="36">
        <f>"Q"&amp;ROUNDUP(MONTH(B479)/3,0)</f>
        <v/>
      </c>
      <c r="S479" s="36">
        <f>MONTH(B479)</f>
        <v/>
      </c>
      <c r="T479" s="36">
        <f>TEXT(B479,"mmm")</f>
        <v/>
      </c>
      <c r="U479" s="36">
        <f>IF(AND(OR(sel_Region="All",C479=sel_Region),OR(sel_Country="All",D479=sel_Country),OR(sel_Channel="All",E479=sel_Channel),OR(sel_Customer="All",F479=sel_Customer),OR(sel_Category="All",G479=sel_Category),OR(sel_Product="All",H479=sel_Product),AND(S479&gt;=m_From,S479&lt;=m_To)),1,0)</f>
        <v/>
      </c>
      <c r="V479" s="36">
        <f>IF(AND(OR(sel_Region="All",C479=sel_Region),OR(sel_Channel="All",E479=sel_Channel),OR(sel_Customer="All",F479=sel_Customer),OR(sel_Category="All",G479=sel_Category),OR(sel_Product="All",H479=sel_Product),AND(S479&gt;=m_From,S479&lt;=m_To)),1,0)</f>
        <v/>
      </c>
      <c r="W479" s="36">
        <f>IF(AND(OR(sel_Region="All",C479=sel_Region),OR(sel_Country="All",D479=sel_Country),OR(sel_Customer="All",F479=sel_Customer),OR(sel_Category="All",G479=sel_Category),OR(sel_Product="All",H479=sel_Product),AND(S479&gt;=m_From,S479&lt;=m_To)),1,0)</f>
        <v/>
      </c>
      <c r="X479" s="36">
        <f>IF(AND(OR(sel_Region="All",C479=sel_Region),OR(sel_Country="All",D479=sel_Country),OR(sel_Channel="All",E479=sel_Channel),OR(sel_Category="All",G479=sel_Category),OR(sel_Product="All",H479=sel_Product),AND(S479&gt;=m_From,S479&lt;=m_To)),1,0)</f>
        <v/>
      </c>
      <c r="Y479" s="36">
        <f>IF(AND(OR(sel_Region="All",C479=sel_Region),OR(sel_Country="All",D479=sel_Country),OR(sel_Channel="All",E479=sel_Channel),OR(sel_Customer="All",F479=sel_Customer),OR(sel_Product="All",H479=sel_Product),AND(S479&gt;=m_From,S479&lt;=m_To)),1,0)</f>
        <v/>
      </c>
      <c r="Z479" s="36">
        <f>IF(AND(OR(sel_Region="All",C479=sel_Region),OR(sel_Country="All",D479=sel_Country),OR(sel_Channel="All",E479=sel_Channel),OR(sel_Customer="All",F479=sel_Customer),OR(sel_Category="All",G479=sel_Category),AND(S479&gt;=m_From,S479&lt;=m_To)),1,0)</f>
        <v/>
      </c>
      <c r="AA479" s="36">
        <f>IF(AND(OR(sel_Region="All",C479=sel_Region),OR(sel_Country="All",D479=sel_Country),OR(sel_Channel="All",E479=sel_Channel),OR(sel_Customer="All",F479=sel_Customer),OR(sel_Category="All",G479=sel_Category),OR(sel_Product="All",H479=sel_Product)),1,0)</f>
        <v/>
      </c>
    </row>
    <row r="480">
      <c r="A480" s="36" t="inlineStr">
        <is>
          <t>01517</t>
        </is>
      </c>
      <c r="B480" s="44" t="n">
        <v>46113</v>
      </c>
      <c r="C480" s="36" t="inlineStr">
        <is>
          <t>Northern Europe</t>
        </is>
      </c>
      <c r="D480" s="36" t="inlineStr">
        <is>
          <t>Norway</t>
        </is>
      </c>
      <c r="E480" s="36" t="inlineStr">
        <is>
          <t>Online Store</t>
        </is>
      </c>
      <c r="F480" s="36" t="inlineStr">
        <is>
          <t>Business</t>
        </is>
      </c>
      <c r="G480" s="36" t="inlineStr">
        <is>
          <t>Cycling</t>
        </is>
      </c>
      <c r="H480" s="36" t="inlineStr">
        <is>
          <t>Compact Repair Kit</t>
        </is>
      </c>
      <c r="I480" s="36" t="n">
        <v>1</v>
      </c>
      <c r="J480" s="39" t="n">
        <v>41.21</v>
      </c>
      <c r="K480" s="45" t="n">
        <v>0</v>
      </c>
      <c r="L480" s="39" t="n">
        <v>16.34</v>
      </c>
      <c r="M480" s="39">
        <f>I480*J480*(1-K480)</f>
        <v/>
      </c>
      <c r="N480" s="39">
        <f>I480*L480</f>
        <v/>
      </c>
      <c r="O480" s="39">
        <f>M480-N480</f>
        <v/>
      </c>
      <c r="P480" s="38">
        <f>IF(M480=0,0,O480/M480)</f>
        <v/>
      </c>
      <c r="Q480" s="36">
        <f>YEAR(B480)</f>
        <v/>
      </c>
      <c r="R480" s="36">
        <f>"Q"&amp;ROUNDUP(MONTH(B480)/3,0)</f>
        <v/>
      </c>
      <c r="S480" s="36">
        <f>MONTH(B480)</f>
        <v/>
      </c>
      <c r="T480" s="36">
        <f>TEXT(B480,"mmm")</f>
        <v/>
      </c>
      <c r="U480" s="36">
        <f>IF(AND(OR(sel_Region="All",C480=sel_Region),OR(sel_Country="All",D480=sel_Country),OR(sel_Channel="All",E480=sel_Channel),OR(sel_Customer="All",F480=sel_Customer),OR(sel_Category="All",G480=sel_Category),OR(sel_Product="All",H480=sel_Product),AND(S480&gt;=m_From,S480&lt;=m_To)),1,0)</f>
        <v/>
      </c>
      <c r="V480" s="36">
        <f>IF(AND(OR(sel_Region="All",C480=sel_Region),OR(sel_Channel="All",E480=sel_Channel),OR(sel_Customer="All",F480=sel_Customer),OR(sel_Category="All",G480=sel_Category),OR(sel_Product="All",H480=sel_Product),AND(S480&gt;=m_From,S480&lt;=m_To)),1,0)</f>
        <v/>
      </c>
      <c r="W480" s="36">
        <f>IF(AND(OR(sel_Region="All",C480=sel_Region),OR(sel_Country="All",D480=sel_Country),OR(sel_Customer="All",F480=sel_Customer),OR(sel_Category="All",G480=sel_Category),OR(sel_Product="All",H480=sel_Product),AND(S480&gt;=m_From,S480&lt;=m_To)),1,0)</f>
        <v/>
      </c>
      <c r="X480" s="36">
        <f>IF(AND(OR(sel_Region="All",C480=sel_Region),OR(sel_Country="All",D480=sel_Country),OR(sel_Channel="All",E480=sel_Channel),OR(sel_Category="All",G480=sel_Category),OR(sel_Product="All",H480=sel_Product),AND(S480&gt;=m_From,S480&lt;=m_To)),1,0)</f>
        <v/>
      </c>
      <c r="Y480" s="36">
        <f>IF(AND(OR(sel_Region="All",C480=sel_Region),OR(sel_Country="All",D480=sel_Country),OR(sel_Channel="All",E480=sel_Channel),OR(sel_Customer="All",F480=sel_Customer),OR(sel_Product="All",H480=sel_Product),AND(S480&gt;=m_From,S480&lt;=m_To)),1,0)</f>
        <v/>
      </c>
      <c r="Z480" s="36">
        <f>IF(AND(OR(sel_Region="All",C480=sel_Region),OR(sel_Country="All",D480=sel_Country),OR(sel_Channel="All",E480=sel_Channel),OR(sel_Customer="All",F480=sel_Customer),OR(sel_Category="All",G480=sel_Category),AND(S480&gt;=m_From,S480&lt;=m_To)),1,0)</f>
        <v/>
      </c>
      <c r="AA480" s="36">
        <f>IF(AND(OR(sel_Region="All",C480=sel_Region),OR(sel_Country="All",D480=sel_Country),OR(sel_Channel="All",E480=sel_Channel),OR(sel_Customer="All",F480=sel_Customer),OR(sel_Category="All",G480=sel_Category),OR(sel_Product="All",H480=sel_Product)),1,0)</f>
        <v/>
      </c>
    </row>
    <row r="481">
      <c r="A481" s="36" t="inlineStr">
        <is>
          <t>02391</t>
        </is>
      </c>
      <c r="B481" s="44" t="n">
        <v>46113</v>
      </c>
      <c r="C481" s="36" t="inlineStr">
        <is>
          <t>Central Europe</t>
        </is>
      </c>
      <c r="D481" s="36" t="inlineStr">
        <is>
          <t>Germany</t>
        </is>
      </c>
      <c r="E481" s="36" t="inlineStr">
        <is>
          <t>Online Store</t>
        </is>
      </c>
      <c r="F481" s="36" t="inlineStr">
        <is>
          <t>Returning</t>
        </is>
      </c>
      <c r="G481" s="36" t="inlineStr">
        <is>
          <t>Fitness</t>
        </is>
      </c>
      <c r="H481" s="36" t="inlineStr">
        <is>
          <t>Resistance Band Set</t>
        </is>
      </c>
      <c r="I481" s="36" t="n">
        <v>2</v>
      </c>
      <c r="J481" s="39" t="n">
        <v>40.59</v>
      </c>
      <c r="K481" s="45" t="n">
        <v>0</v>
      </c>
      <c r="L481" s="39" t="n">
        <v>15.01</v>
      </c>
      <c r="M481" s="39">
        <f>I481*J481*(1-K481)</f>
        <v/>
      </c>
      <c r="N481" s="39">
        <f>I481*L481</f>
        <v/>
      </c>
      <c r="O481" s="39">
        <f>M481-N481</f>
        <v/>
      </c>
      <c r="P481" s="38">
        <f>IF(M481=0,0,O481/M481)</f>
        <v/>
      </c>
      <c r="Q481" s="36">
        <f>YEAR(B481)</f>
        <v/>
      </c>
      <c r="R481" s="36">
        <f>"Q"&amp;ROUNDUP(MONTH(B481)/3,0)</f>
        <v/>
      </c>
      <c r="S481" s="36">
        <f>MONTH(B481)</f>
        <v/>
      </c>
      <c r="T481" s="36">
        <f>TEXT(B481,"mmm")</f>
        <v/>
      </c>
      <c r="U481" s="36">
        <f>IF(AND(OR(sel_Region="All",C481=sel_Region),OR(sel_Country="All",D481=sel_Country),OR(sel_Channel="All",E481=sel_Channel),OR(sel_Customer="All",F481=sel_Customer),OR(sel_Category="All",G481=sel_Category),OR(sel_Product="All",H481=sel_Product),AND(S481&gt;=m_From,S481&lt;=m_To)),1,0)</f>
        <v/>
      </c>
      <c r="V481" s="36">
        <f>IF(AND(OR(sel_Region="All",C481=sel_Region),OR(sel_Channel="All",E481=sel_Channel),OR(sel_Customer="All",F481=sel_Customer),OR(sel_Category="All",G481=sel_Category),OR(sel_Product="All",H481=sel_Product),AND(S481&gt;=m_From,S481&lt;=m_To)),1,0)</f>
        <v/>
      </c>
      <c r="W481" s="36">
        <f>IF(AND(OR(sel_Region="All",C481=sel_Region),OR(sel_Country="All",D481=sel_Country),OR(sel_Customer="All",F481=sel_Customer),OR(sel_Category="All",G481=sel_Category),OR(sel_Product="All",H481=sel_Product),AND(S481&gt;=m_From,S481&lt;=m_To)),1,0)</f>
        <v/>
      </c>
      <c r="X481" s="36">
        <f>IF(AND(OR(sel_Region="All",C481=sel_Region),OR(sel_Country="All",D481=sel_Country),OR(sel_Channel="All",E481=sel_Channel),OR(sel_Category="All",G481=sel_Category),OR(sel_Product="All",H481=sel_Product),AND(S481&gt;=m_From,S481&lt;=m_To)),1,0)</f>
        <v/>
      </c>
      <c r="Y481" s="36">
        <f>IF(AND(OR(sel_Region="All",C481=sel_Region),OR(sel_Country="All",D481=sel_Country),OR(sel_Channel="All",E481=sel_Channel),OR(sel_Customer="All",F481=sel_Customer),OR(sel_Product="All",H481=sel_Product),AND(S481&gt;=m_From,S481&lt;=m_To)),1,0)</f>
        <v/>
      </c>
      <c r="Z481" s="36">
        <f>IF(AND(OR(sel_Region="All",C481=sel_Region),OR(sel_Country="All",D481=sel_Country),OR(sel_Channel="All",E481=sel_Channel),OR(sel_Customer="All",F481=sel_Customer),OR(sel_Category="All",G481=sel_Category),AND(S481&gt;=m_From,S481&lt;=m_To)),1,0)</f>
        <v/>
      </c>
      <c r="AA481" s="36">
        <f>IF(AND(OR(sel_Region="All",C481=sel_Region),OR(sel_Country="All",D481=sel_Country),OR(sel_Channel="All",E481=sel_Channel),OR(sel_Customer="All",F481=sel_Customer),OR(sel_Category="All",G481=sel_Category),OR(sel_Product="All",H481=sel_Product)),1,0)</f>
        <v/>
      </c>
    </row>
    <row r="482">
      <c r="A482" s="36" t="inlineStr">
        <is>
          <t>03809</t>
        </is>
      </c>
      <c r="B482" s="44" t="n">
        <v>46113</v>
      </c>
      <c r="C482" s="36" t="inlineStr">
        <is>
          <t>Southern Europe</t>
        </is>
      </c>
      <c r="D482" s="36" t="inlineStr">
        <is>
          <t>Italy</t>
        </is>
      </c>
      <c r="E482" s="36" t="inlineStr">
        <is>
          <t>Online Store</t>
        </is>
      </c>
      <c r="F482" s="36" t="inlineStr">
        <is>
          <t>New</t>
        </is>
      </c>
      <c r="G482" s="36" t="inlineStr">
        <is>
          <t>Camping</t>
        </is>
      </c>
      <c r="H482" s="36" t="inlineStr">
        <is>
          <t>Compact Sleeping Bag</t>
        </is>
      </c>
      <c r="I482" s="36" t="n">
        <v>3</v>
      </c>
      <c r="J482" s="39" t="n">
        <v>124.08</v>
      </c>
      <c r="K482" s="45" t="n">
        <v>0.05</v>
      </c>
      <c r="L482" s="39" t="n">
        <v>62.41</v>
      </c>
      <c r="M482" s="39">
        <f>I482*J482*(1-K482)</f>
        <v/>
      </c>
      <c r="N482" s="39">
        <f>I482*L482</f>
        <v/>
      </c>
      <c r="O482" s="39">
        <f>M482-N482</f>
        <v/>
      </c>
      <c r="P482" s="38">
        <f>IF(M482=0,0,O482/M482)</f>
        <v/>
      </c>
      <c r="Q482" s="36">
        <f>YEAR(B482)</f>
        <v/>
      </c>
      <c r="R482" s="36">
        <f>"Q"&amp;ROUNDUP(MONTH(B482)/3,0)</f>
        <v/>
      </c>
      <c r="S482" s="36">
        <f>MONTH(B482)</f>
        <v/>
      </c>
      <c r="T482" s="36">
        <f>TEXT(B482,"mmm")</f>
        <v/>
      </c>
      <c r="U482" s="36">
        <f>IF(AND(OR(sel_Region="All",C482=sel_Region),OR(sel_Country="All",D482=sel_Country),OR(sel_Channel="All",E482=sel_Channel),OR(sel_Customer="All",F482=sel_Customer),OR(sel_Category="All",G482=sel_Category),OR(sel_Product="All",H482=sel_Product),AND(S482&gt;=m_From,S482&lt;=m_To)),1,0)</f>
        <v/>
      </c>
      <c r="V482" s="36">
        <f>IF(AND(OR(sel_Region="All",C482=sel_Region),OR(sel_Channel="All",E482=sel_Channel),OR(sel_Customer="All",F482=sel_Customer),OR(sel_Category="All",G482=sel_Category),OR(sel_Product="All",H482=sel_Product),AND(S482&gt;=m_From,S482&lt;=m_To)),1,0)</f>
        <v/>
      </c>
      <c r="W482" s="36">
        <f>IF(AND(OR(sel_Region="All",C482=sel_Region),OR(sel_Country="All",D482=sel_Country),OR(sel_Customer="All",F482=sel_Customer),OR(sel_Category="All",G482=sel_Category),OR(sel_Product="All",H482=sel_Product),AND(S482&gt;=m_From,S482&lt;=m_To)),1,0)</f>
        <v/>
      </c>
      <c r="X482" s="36">
        <f>IF(AND(OR(sel_Region="All",C482=sel_Region),OR(sel_Country="All",D482=sel_Country),OR(sel_Channel="All",E482=sel_Channel),OR(sel_Category="All",G482=sel_Category),OR(sel_Product="All",H482=sel_Product),AND(S482&gt;=m_From,S482&lt;=m_To)),1,0)</f>
        <v/>
      </c>
      <c r="Y482" s="36">
        <f>IF(AND(OR(sel_Region="All",C482=sel_Region),OR(sel_Country="All",D482=sel_Country),OR(sel_Channel="All",E482=sel_Channel),OR(sel_Customer="All",F482=sel_Customer),OR(sel_Product="All",H482=sel_Product),AND(S482&gt;=m_From,S482&lt;=m_To)),1,0)</f>
        <v/>
      </c>
      <c r="Z482" s="36">
        <f>IF(AND(OR(sel_Region="All",C482=sel_Region),OR(sel_Country="All",D482=sel_Country),OR(sel_Channel="All",E482=sel_Channel),OR(sel_Customer="All",F482=sel_Customer),OR(sel_Category="All",G482=sel_Category),AND(S482&gt;=m_From,S482&lt;=m_To)),1,0)</f>
        <v/>
      </c>
      <c r="AA482" s="36">
        <f>IF(AND(OR(sel_Region="All",C482=sel_Region),OR(sel_Country="All",D482=sel_Country),OR(sel_Channel="All",E482=sel_Channel),OR(sel_Customer="All",F482=sel_Customer),OR(sel_Category="All",G482=sel_Category),OR(sel_Product="All",H482=sel_Product)),1,0)</f>
        <v/>
      </c>
    </row>
    <row r="483">
      <c r="A483" s="36" t="inlineStr">
        <is>
          <t>03958</t>
        </is>
      </c>
      <c r="B483" s="44" t="n">
        <v>46113</v>
      </c>
      <c r="C483" s="36" t="inlineStr">
        <is>
          <t>Central Europe</t>
        </is>
      </c>
      <c r="D483" s="36" t="inlineStr">
        <is>
          <t>Czechia</t>
        </is>
      </c>
      <c r="E483" s="36" t="inlineStr">
        <is>
          <t>Online Store</t>
        </is>
      </c>
      <c r="F483" s="36" t="inlineStr">
        <is>
          <t>Returning</t>
        </is>
      </c>
      <c r="G483" s="36" t="inlineStr">
        <is>
          <t>Camping</t>
        </is>
      </c>
      <c r="H483" s="36" t="inlineStr">
        <is>
          <t>Compact Sleeping Bag</t>
        </is>
      </c>
      <c r="I483" s="36" t="n">
        <v>2</v>
      </c>
      <c r="J483" s="39" t="n">
        <v>125.35</v>
      </c>
      <c r="K483" s="45" t="n">
        <v>0.15</v>
      </c>
      <c r="L483" s="39" t="n">
        <v>60.73</v>
      </c>
      <c r="M483" s="39">
        <f>I483*J483*(1-K483)</f>
        <v/>
      </c>
      <c r="N483" s="39">
        <f>I483*L483</f>
        <v/>
      </c>
      <c r="O483" s="39">
        <f>M483-N483</f>
        <v/>
      </c>
      <c r="P483" s="38">
        <f>IF(M483=0,0,O483/M483)</f>
        <v/>
      </c>
      <c r="Q483" s="36">
        <f>YEAR(B483)</f>
        <v/>
      </c>
      <c r="R483" s="36">
        <f>"Q"&amp;ROUNDUP(MONTH(B483)/3,0)</f>
        <v/>
      </c>
      <c r="S483" s="36">
        <f>MONTH(B483)</f>
        <v/>
      </c>
      <c r="T483" s="36">
        <f>TEXT(B483,"mmm")</f>
        <v/>
      </c>
      <c r="U483" s="36">
        <f>IF(AND(OR(sel_Region="All",C483=sel_Region),OR(sel_Country="All",D483=sel_Country),OR(sel_Channel="All",E483=sel_Channel),OR(sel_Customer="All",F483=sel_Customer),OR(sel_Category="All",G483=sel_Category),OR(sel_Product="All",H483=sel_Product),AND(S483&gt;=m_From,S483&lt;=m_To)),1,0)</f>
        <v/>
      </c>
      <c r="V483" s="36">
        <f>IF(AND(OR(sel_Region="All",C483=sel_Region),OR(sel_Channel="All",E483=sel_Channel),OR(sel_Customer="All",F483=sel_Customer),OR(sel_Category="All",G483=sel_Category),OR(sel_Product="All",H483=sel_Product),AND(S483&gt;=m_From,S483&lt;=m_To)),1,0)</f>
        <v/>
      </c>
      <c r="W483" s="36">
        <f>IF(AND(OR(sel_Region="All",C483=sel_Region),OR(sel_Country="All",D483=sel_Country),OR(sel_Customer="All",F483=sel_Customer),OR(sel_Category="All",G483=sel_Category),OR(sel_Product="All",H483=sel_Product),AND(S483&gt;=m_From,S483&lt;=m_To)),1,0)</f>
        <v/>
      </c>
      <c r="X483" s="36">
        <f>IF(AND(OR(sel_Region="All",C483=sel_Region),OR(sel_Country="All",D483=sel_Country),OR(sel_Channel="All",E483=sel_Channel),OR(sel_Category="All",G483=sel_Category),OR(sel_Product="All",H483=sel_Product),AND(S483&gt;=m_From,S483&lt;=m_To)),1,0)</f>
        <v/>
      </c>
      <c r="Y483" s="36">
        <f>IF(AND(OR(sel_Region="All",C483=sel_Region),OR(sel_Country="All",D483=sel_Country),OR(sel_Channel="All",E483=sel_Channel),OR(sel_Customer="All",F483=sel_Customer),OR(sel_Product="All",H483=sel_Product),AND(S483&gt;=m_From,S483&lt;=m_To)),1,0)</f>
        <v/>
      </c>
      <c r="Z483" s="36">
        <f>IF(AND(OR(sel_Region="All",C483=sel_Region),OR(sel_Country="All",D483=sel_Country),OR(sel_Channel="All",E483=sel_Channel),OR(sel_Customer="All",F483=sel_Customer),OR(sel_Category="All",G483=sel_Category),AND(S483&gt;=m_From,S483&lt;=m_To)),1,0)</f>
        <v/>
      </c>
      <c r="AA483" s="36">
        <f>IF(AND(OR(sel_Region="All",C483=sel_Region),OR(sel_Country="All",D483=sel_Country),OR(sel_Channel="All",E483=sel_Channel),OR(sel_Customer="All",F483=sel_Customer),OR(sel_Category="All",G483=sel_Category),OR(sel_Product="All",H483=sel_Product)),1,0)</f>
        <v/>
      </c>
    </row>
    <row r="484">
      <c r="A484" s="36" t="inlineStr">
        <is>
          <t>04418</t>
        </is>
      </c>
      <c r="B484" s="44" t="n">
        <v>46113</v>
      </c>
      <c r="C484" s="36" t="inlineStr">
        <is>
          <t>Central Europe</t>
        </is>
      </c>
      <c r="D484" s="36" t="inlineStr">
        <is>
          <t>Poland</t>
        </is>
      </c>
      <c r="E484" s="36" t="inlineStr">
        <is>
          <t>Marketplace</t>
        </is>
      </c>
      <c r="F484" s="36" t="inlineStr">
        <is>
          <t>New</t>
        </is>
      </c>
      <c r="G484" s="36" t="inlineStr">
        <is>
          <t>Fitness</t>
        </is>
      </c>
      <c r="H484" s="36" t="inlineStr">
        <is>
          <t>Recovery Roller</t>
        </is>
      </c>
      <c r="I484" s="36" t="n">
        <v>3</v>
      </c>
      <c r="J484" s="39" t="n">
        <v>36.09</v>
      </c>
      <c r="K484" s="45" t="n">
        <v>0</v>
      </c>
      <c r="L484" s="39" t="n">
        <v>14.03</v>
      </c>
      <c r="M484" s="39">
        <f>I484*J484*(1-K484)</f>
        <v/>
      </c>
      <c r="N484" s="39">
        <f>I484*L484</f>
        <v/>
      </c>
      <c r="O484" s="39">
        <f>M484-N484</f>
        <v/>
      </c>
      <c r="P484" s="38">
        <f>IF(M484=0,0,O484/M484)</f>
        <v/>
      </c>
      <c r="Q484" s="36">
        <f>YEAR(B484)</f>
        <v/>
      </c>
      <c r="R484" s="36">
        <f>"Q"&amp;ROUNDUP(MONTH(B484)/3,0)</f>
        <v/>
      </c>
      <c r="S484" s="36">
        <f>MONTH(B484)</f>
        <v/>
      </c>
      <c r="T484" s="36">
        <f>TEXT(B484,"mmm")</f>
        <v/>
      </c>
      <c r="U484" s="36">
        <f>IF(AND(OR(sel_Region="All",C484=sel_Region),OR(sel_Country="All",D484=sel_Country),OR(sel_Channel="All",E484=sel_Channel),OR(sel_Customer="All",F484=sel_Customer),OR(sel_Category="All",G484=sel_Category),OR(sel_Product="All",H484=sel_Product),AND(S484&gt;=m_From,S484&lt;=m_To)),1,0)</f>
        <v/>
      </c>
      <c r="V484" s="36">
        <f>IF(AND(OR(sel_Region="All",C484=sel_Region),OR(sel_Channel="All",E484=sel_Channel),OR(sel_Customer="All",F484=sel_Customer),OR(sel_Category="All",G484=sel_Category),OR(sel_Product="All",H484=sel_Product),AND(S484&gt;=m_From,S484&lt;=m_To)),1,0)</f>
        <v/>
      </c>
      <c r="W484" s="36">
        <f>IF(AND(OR(sel_Region="All",C484=sel_Region),OR(sel_Country="All",D484=sel_Country),OR(sel_Customer="All",F484=sel_Customer),OR(sel_Category="All",G484=sel_Category),OR(sel_Product="All",H484=sel_Product),AND(S484&gt;=m_From,S484&lt;=m_To)),1,0)</f>
        <v/>
      </c>
      <c r="X484" s="36">
        <f>IF(AND(OR(sel_Region="All",C484=sel_Region),OR(sel_Country="All",D484=sel_Country),OR(sel_Channel="All",E484=sel_Channel),OR(sel_Category="All",G484=sel_Category),OR(sel_Product="All",H484=sel_Product),AND(S484&gt;=m_From,S484&lt;=m_To)),1,0)</f>
        <v/>
      </c>
      <c r="Y484" s="36">
        <f>IF(AND(OR(sel_Region="All",C484=sel_Region),OR(sel_Country="All",D484=sel_Country),OR(sel_Channel="All",E484=sel_Channel),OR(sel_Customer="All",F484=sel_Customer),OR(sel_Product="All",H484=sel_Product),AND(S484&gt;=m_From,S484&lt;=m_To)),1,0)</f>
        <v/>
      </c>
      <c r="Z484" s="36">
        <f>IF(AND(OR(sel_Region="All",C484=sel_Region),OR(sel_Country="All",D484=sel_Country),OR(sel_Channel="All",E484=sel_Channel),OR(sel_Customer="All",F484=sel_Customer),OR(sel_Category="All",G484=sel_Category),AND(S484&gt;=m_From,S484&lt;=m_To)),1,0)</f>
        <v/>
      </c>
      <c r="AA484" s="36">
        <f>IF(AND(OR(sel_Region="All",C484=sel_Region),OR(sel_Country="All",D484=sel_Country),OR(sel_Channel="All",E484=sel_Channel),OR(sel_Customer="All",F484=sel_Customer),OR(sel_Category="All",G484=sel_Category),OR(sel_Product="All",H484=sel_Product)),1,0)</f>
        <v/>
      </c>
    </row>
    <row r="485">
      <c r="A485" s="36" t="inlineStr">
        <is>
          <t>04693</t>
        </is>
      </c>
      <c r="B485" s="44" t="n">
        <v>46113</v>
      </c>
      <c r="C485" s="36" t="inlineStr">
        <is>
          <t>Central Europe</t>
        </is>
      </c>
      <c r="D485" s="36" t="inlineStr">
        <is>
          <t>Germany</t>
        </is>
      </c>
      <c r="E485" s="36" t="inlineStr">
        <is>
          <t>Corporate</t>
        </is>
      </c>
      <c r="F485" s="36" t="inlineStr">
        <is>
          <t>Business</t>
        </is>
      </c>
      <c r="G485" s="36" t="inlineStr">
        <is>
          <t>Hiking</t>
        </is>
      </c>
      <c r="H485" s="36" t="inlineStr">
        <is>
          <t>Hiking Daypack 20L</t>
        </is>
      </c>
      <c r="I485" s="36" t="n">
        <v>15</v>
      </c>
      <c r="J485" s="39" t="n">
        <v>94.33</v>
      </c>
      <c r="K485" s="45" t="n">
        <v>0.1</v>
      </c>
      <c r="L485" s="39" t="n">
        <v>44.38</v>
      </c>
      <c r="M485" s="39">
        <f>I485*J485*(1-K485)</f>
        <v/>
      </c>
      <c r="N485" s="39">
        <f>I485*L485</f>
        <v/>
      </c>
      <c r="O485" s="39">
        <f>M485-N485</f>
        <v/>
      </c>
      <c r="P485" s="38">
        <f>IF(M485=0,0,O485/M485)</f>
        <v/>
      </c>
      <c r="Q485" s="36">
        <f>YEAR(B485)</f>
        <v/>
      </c>
      <c r="R485" s="36">
        <f>"Q"&amp;ROUNDUP(MONTH(B485)/3,0)</f>
        <v/>
      </c>
      <c r="S485" s="36">
        <f>MONTH(B485)</f>
        <v/>
      </c>
      <c r="T485" s="36">
        <f>TEXT(B485,"mmm")</f>
        <v/>
      </c>
      <c r="U485" s="36">
        <f>IF(AND(OR(sel_Region="All",C485=sel_Region),OR(sel_Country="All",D485=sel_Country),OR(sel_Channel="All",E485=sel_Channel),OR(sel_Customer="All",F485=sel_Customer),OR(sel_Category="All",G485=sel_Category),OR(sel_Product="All",H485=sel_Product),AND(S485&gt;=m_From,S485&lt;=m_To)),1,0)</f>
        <v/>
      </c>
      <c r="V485" s="36">
        <f>IF(AND(OR(sel_Region="All",C485=sel_Region),OR(sel_Channel="All",E485=sel_Channel),OR(sel_Customer="All",F485=sel_Customer),OR(sel_Category="All",G485=sel_Category),OR(sel_Product="All",H485=sel_Product),AND(S485&gt;=m_From,S485&lt;=m_To)),1,0)</f>
        <v/>
      </c>
      <c r="W485" s="36">
        <f>IF(AND(OR(sel_Region="All",C485=sel_Region),OR(sel_Country="All",D485=sel_Country),OR(sel_Customer="All",F485=sel_Customer),OR(sel_Category="All",G485=sel_Category),OR(sel_Product="All",H485=sel_Product),AND(S485&gt;=m_From,S485&lt;=m_To)),1,0)</f>
        <v/>
      </c>
      <c r="X485" s="36">
        <f>IF(AND(OR(sel_Region="All",C485=sel_Region),OR(sel_Country="All",D485=sel_Country),OR(sel_Channel="All",E485=sel_Channel),OR(sel_Category="All",G485=sel_Category),OR(sel_Product="All",H485=sel_Product),AND(S485&gt;=m_From,S485&lt;=m_To)),1,0)</f>
        <v/>
      </c>
      <c r="Y485" s="36">
        <f>IF(AND(OR(sel_Region="All",C485=sel_Region),OR(sel_Country="All",D485=sel_Country),OR(sel_Channel="All",E485=sel_Channel),OR(sel_Customer="All",F485=sel_Customer),OR(sel_Product="All",H485=sel_Product),AND(S485&gt;=m_From,S485&lt;=m_To)),1,0)</f>
        <v/>
      </c>
      <c r="Z485" s="36">
        <f>IF(AND(OR(sel_Region="All",C485=sel_Region),OR(sel_Country="All",D485=sel_Country),OR(sel_Channel="All",E485=sel_Channel),OR(sel_Customer="All",F485=sel_Customer),OR(sel_Category="All",G485=sel_Category),AND(S485&gt;=m_From,S485&lt;=m_To)),1,0)</f>
        <v/>
      </c>
      <c r="AA485" s="36">
        <f>IF(AND(OR(sel_Region="All",C485=sel_Region),OR(sel_Country="All",D485=sel_Country),OR(sel_Channel="All",E485=sel_Channel),OR(sel_Customer="All",F485=sel_Customer),OR(sel_Category="All",G485=sel_Category),OR(sel_Product="All",H485=sel_Product)),1,0)</f>
        <v/>
      </c>
    </row>
    <row r="486">
      <c r="A486" s="36" t="inlineStr">
        <is>
          <t>00193</t>
        </is>
      </c>
      <c r="B486" s="44" t="n">
        <v>46114</v>
      </c>
      <c r="C486" s="36" t="inlineStr">
        <is>
          <t>Western Europe</t>
        </is>
      </c>
      <c r="D486" s="36" t="inlineStr">
        <is>
          <t>Belgium</t>
        </is>
      </c>
      <c r="E486" s="36" t="inlineStr">
        <is>
          <t>Retail Partners</t>
        </is>
      </c>
      <c r="F486" s="36" t="inlineStr">
        <is>
          <t>Returning</t>
        </is>
      </c>
      <c r="G486" s="36" t="inlineStr">
        <is>
          <t>Travel</t>
        </is>
      </c>
      <c r="H486" s="36" t="inlineStr">
        <is>
          <t>Insulated Bottle</t>
        </is>
      </c>
      <c r="I486" s="36" t="n">
        <v>1</v>
      </c>
      <c r="J486" s="39" t="n">
        <v>35.6</v>
      </c>
      <c r="K486" s="45" t="n">
        <v>0.1</v>
      </c>
      <c r="L486" s="39" t="n">
        <v>13.39</v>
      </c>
      <c r="M486" s="39">
        <f>I486*J486*(1-K486)</f>
        <v/>
      </c>
      <c r="N486" s="39">
        <f>I486*L486</f>
        <v/>
      </c>
      <c r="O486" s="39">
        <f>M486-N486</f>
        <v/>
      </c>
      <c r="P486" s="38">
        <f>IF(M486=0,0,O486/M486)</f>
        <v/>
      </c>
      <c r="Q486" s="36">
        <f>YEAR(B486)</f>
        <v/>
      </c>
      <c r="R486" s="36">
        <f>"Q"&amp;ROUNDUP(MONTH(B486)/3,0)</f>
        <v/>
      </c>
      <c r="S486" s="36">
        <f>MONTH(B486)</f>
        <v/>
      </c>
      <c r="T486" s="36">
        <f>TEXT(B486,"mmm")</f>
        <v/>
      </c>
      <c r="U486" s="36">
        <f>IF(AND(OR(sel_Region="All",C486=sel_Region),OR(sel_Country="All",D486=sel_Country),OR(sel_Channel="All",E486=sel_Channel),OR(sel_Customer="All",F486=sel_Customer),OR(sel_Category="All",G486=sel_Category),OR(sel_Product="All",H486=sel_Product),AND(S486&gt;=m_From,S486&lt;=m_To)),1,0)</f>
        <v/>
      </c>
      <c r="V486" s="36">
        <f>IF(AND(OR(sel_Region="All",C486=sel_Region),OR(sel_Channel="All",E486=sel_Channel),OR(sel_Customer="All",F486=sel_Customer),OR(sel_Category="All",G486=sel_Category),OR(sel_Product="All",H486=sel_Product),AND(S486&gt;=m_From,S486&lt;=m_To)),1,0)</f>
        <v/>
      </c>
      <c r="W486" s="36">
        <f>IF(AND(OR(sel_Region="All",C486=sel_Region),OR(sel_Country="All",D486=sel_Country),OR(sel_Customer="All",F486=sel_Customer),OR(sel_Category="All",G486=sel_Category),OR(sel_Product="All",H486=sel_Product),AND(S486&gt;=m_From,S486&lt;=m_To)),1,0)</f>
        <v/>
      </c>
      <c r="X486" s="36">
        <f>IF(AND(OR(sel_Region="All",C486=sel_Region),OR(sel_Country="All",D486=sel_Country),OR(sel_Channel="All",E486=sel_Channel),OR(sel_Category="All",G486=sel_Category),OR(sel_Product="All",H486=sel_Product),AND(S486&gt;=m_From,S486&lt;=m_To)),1,0)</f>
        <v/>
      </c>
      <c r="Y486" s="36">
        <f>IF(AND(OR(sel_Region="All",C486=sel_Region),OR(sel_Country="All",D486=sel_Country),OR(sel_Channel="All",E486=sel_Channel),OR(sel_Customer="All",F486=sel_Customer),OR(sel_Product="All",H486=sel_Product),AND(S486&gt;=m_From,S486&lt;=m_To)),1,0)</f>
        <v/>
      </c>
      <c r="Z486" s="36">
        <f>IF(AND(OR(sel_Region="All",C486=sel_Region),OR(sel_Country="All",D486=sel_Country),OR(sel_Channel="All",E486=sel_Channel),OR(sel_Customer="All",F486=sel_Customer),OR(sel_Category="All",G486=sel_Category),AND(S486&gt;=m_From,S486&lt;=m_To)),1,0)</f>
        <v/>
      </c>
      <c r="AA486" s="36">
        <f>IF(AND(OR(sel_Region="All",C486=sel_Region),OR(sel_Country="All",D486=sel_Country),OR(sel_Channel="All",E486=sel_Channel),OR(sel_Customer="All",F486=sel_Customer),OR(sel_Category="All",G486=sel_Category),OR(sel_Product="All",H486=sel_Product)),1,0)</f>
        <v/>
      </c>
    </row>
    <row r="487">
      <c r="A487" s="36" t="inlineStr">
        <is>
          <t>02246</t>
        </is>
      </c>
      <c r="B487" s="44" t="n">
        <v>46114</v>
      </c>
      <c r="C487" s="36" t="inlineStr">
        <is>
          <t>Central Europe</t>
        </is>
      </c>
      <c r="D487" s="36" t="inlineStr">
        <is>
          <t>Germany</t>
        </is>
      </c>
      <c r="E487" s="36" t="inlineStr">
        <is>
          <t>Marketplace</t>
        </is>
      </c>
      <c r="F487" s="36" t="inlineStr">
        <is>
          <t>Returning</t>
        </is>
      </c>
      <c r="G487" s="36" t="inlineStr">
        <is>
          <t>Cycling</t>
        </is>
      </c>
      <c r="H487" s="36" t="inlineStr">
        <is>
          <t>Trail Bike Light</t>
        </is>
      </c>
      <c r="I487" s="36" t="n">
        <v>1</v>
      </c>
      <c r="J487" s="39" t="n">
        <v>50.17</v>
      </c>
      <c r="K487" s="45" t="n">
        <v>0</v>
      </c>
      <c r="L487" s="39" t="n">
        <v>21.95</v>
      </c>
      <c r="M487" s="39">
        <f>I487*J487*(1-K487)</f>
        <v/>
      </c>
      <c r="N487" s="39">
        <f>I487*L487</f>
        <v/>
      </c>
      <c r="O487" s="39">
        <f>M487-N487</f>
        <v/>
      </c>
      <c r="P487" s="38">
        <f>IF(M487=0,0,O487/M487)</f>
        <v/>
      </c>
      <c r="Q487" s="36">
        <f>YEAR(B487)</f>
        <v/>
      </c>
      <c r="R487" s="36">
        <f>"Q"&amp;ROUNDUP(MONTH(B487)/3,0)</f>
        <v/>
      </c>
      <c r="S487" s="36">
        <f>MONTH(B487)</f>
        <v/>
      </c>
      <c r="T487" s="36">
        <f>TEXT(B487,"mmm")</f>
        <v/>
      </c>
      <c r="U487" s="36">
        <f>IF(AND(OR(sel_Region="All",C487=sel_Region),OR(sel_Country="All",D487=sel_Country),OR(sel_Channel="All",E487=sel_Channel),OR(sel_Customer="All",F487=sel_Customer),OR(sel_Category="All",G487=sel_Category),OR(sel_Product="All",H487=sel_Product),AND(S487&gt;=m_From,S487&lt;=m_To)),1,0)</f>
        <v/>
      </c>
      <c r="V487" s="36">
        <f>IF(AND(OR(sel_Region="All",C487=sel_Region),OR(sel_Channel="All",E487=sel_Channel),OR(sel_Customer="All",F487=sel_Customer),OR(sel_Category="All",G487=sel_Category),OR(sel_Product="All",H487=sel_Product),AND(S487&gt;=m_From,S487&lt;=m_To)),1,0)</f>
        <v/>
      </c>
      <c r="W487" s="36">
        <f>IF(AND(OR(sel_Region="All",C487=sel_Region),OR(sel_Country="All",D487=sel_Country),OR(sel_Customer="All",F487=sel_Customer),OR(sel_Category="All",G487=sel_Category),OR(sel_Product="All",H487=sel_Product),AND(S487&gt;=m_From,S487&lt;=m_To)),1,0)</f>
        <v/>
      </c>
      <c r="X487" s="36">
        <f>IF(AND(OR(sel_Region="All",C487=sel_Region),OR(sel_Country="All",D487=sel_Country),OR(sel_Channel="All",E487=sel_Channel),OR(sel_Category="All",G487=sel_Category),OR(sel_Product="All",H487=sel_Product),AND(S487&gt;=m_From,S487&lt;=m_To)),1,0)</f>
        <v/>
      </c>
      <c r="Y487" s="36">
        <f>IF(AND(OR(sel_Region="All",C487=sel_Region),OR(sel_Country="All",D487=sel_Country),OR(sel_Channel="All",E487=sel_Channel),OR(sel_Customer="All",F487=sel_Customer),OR(sel_Product="All",H487=sel_Product),AND(S487&gt;=m_From,S487&lt;=m_To)),1,0)</f>
        <v/>
      </c>
      <c r="Z487" s="36">
        <f>IF(AND(OR(sel_Region="All",C487=sel_Region),OR(sel_Country="All",D487=sel_Country),OR(sel_Channel="All",E487=sel_Channel),OR(sel_Customer="All",F487=sel_Customer),OR(sel_Category="All",G487=sel_Category),AND(S487&gt;=m_From,S487&lt;=m_To)),1,0)</f>
        <v/>
      </c>
      <c r="AA487" s="36">
        <f>IF(AND(OR(sel_Region="All",C487=sel_Region),OR(sel_Country="All",D487=sel_Country),OR(sel_Channel="All",E487=sel_Channel),OR(sel_Customer="All",F487=sel_Customer),OR(sel_Category="All",G487=sel_Category),OR(sel_Product="All",H487=sel_Product)),1,0)</f>
        <v/>
      </c>
    </row>
    <row r="488">
      <c r="A488" s="36" t="inlineStr">
        <is>
          <t>02556</t>
        </is>
      </c>
      <c r="B488" s="44" t="n">
        <v>46114</v>
      </c>
      <c r="C488" s="36" t="inlineStr">
        <is>
          <t>Western Europe</t>
        </is>
      </c>
      <c r="D488" s="36" t="inlineStr">
        <is>
          <t>United Kingdom</t>
        </is>
      </c>
      <c r="E488" s="36" t="inlineStr">
        <is>
          <t>Online Store</t>
        </is>
      </c>
      <c r="F488" s="36" t="inlineStr">
        <is>
          <t>Returning</t>
        </is>
      </c>
      <c r="G488" s="36" t="inlineStr">
        <is>
          <t>Hiking</t>
        </is>
      </c>
      <c r="H488" s="36" t="inlineStr">
        <is>
          <t>Trekking Poles</t>
        </is>
      </c>
      <c r="I488" s="36" t="n">
        <v>2</v>
      </c>
      <c r="J488" s="39" t="n">
        <v>72.90000000000001</v>
      </c>
      <c r="K488" s="45" t="n">
        <v>0</v>
      </c>
      <c r="L488" s="39" t="n">
        <v>31.52</v>
      </c>
      <c r="M488" s="39">
        <f>I488*J488*(1-K488)</f>
        <v/>
      </c>
      <c r="N488" s="39">
        <f>I488*L488</f>
        <v/>
      </c>
      <c r="O488" s="39">
        <f>M488-N488</f>
        <v/>
      </c>
      <c r="P488" s="38">
        <f>IF(M488=0,0,O488/M488)</f>
        <v/>
      </c>
      <c r="Q488" s="36">
        <f>YEAR(B488)</f>
        <v/>
      </c>
      <c r="R488" s="36">
        <f>"Q"&amp;ROUNDUP(MONTH(B488)/3,0)</f>
        <v/>
      </c>
      <c r="S488" s="36">
        <f>MONTH(B488)</f>
        <v/>
      </c>
      <c r="T488" s="36">
        <f>TEXT(B488,"mmm")</f>
        <v/>
      </c>
      <c r="U488" s="36">
        <f>IF(AND(OR(sel_Region="All",C488=sel_Region),OR(sel_Country="All",D488=sel_Country),OR(sel_Channel="All",E488=sel_Channel),OR(sel_Customer="All",F488=sel_Customer),OR(sel_Category="All",G488=sel_Category),OR(sel_Product="All",H488=sel_Product),AND(S488&gt;=m_From,S488&lt;=m_To)),1,0)</f>
        <v/>
      </c>
      <c r="V488" s="36">
        <f>IF(AND(OR(sel_Region="All",C488=sel_Region),OR(sel_Channel="All",E488=sel_Channel),OR(sel_Customer="All",F488=sel_Customer),OR(sel_Category="All",G488=sel_Category),OR(sel_Product="All",H488=sel_Product),AND(S488&gt;=m_From,S488&lt;=m_To)),1,0)</f>
        <v/>
      </c>
      <c r="W488" s="36">
        <f>IF(AND(OR(sel_Region="All",C488=sel_Region),OR(sel_Country="All",D488=sel_Country),OR(sel_Customer="All",F488=sel_Customer),OR(sel_Category="All",G488=sel_Category),OR(sel_Product="All",H488=sel_Product),AND(S488&gt;=m_From,S488&lt;=m_To)),1,0)</f>
        <v/>
      </c>
      <c r="X488" s="36">
        <f>IF(AND(OR(sel_Region="All",C488=sel_Region),OR(sel_Country="All",D488=sel_Country),OR(sel_Channel="All",E488=sel_Channel),OR(sel_Category="All",G488=sel_Category),OR(sel_Product="All",H488=sel_Product),AND(S488&gt;=m_From,S488&lt;=m_To)),1,0)</f>
        <v/>
      </c>
      <c r="Y488" s="36">
        <f>IF(AND(OR(sel_Region="All",C488=sel_Region),OR(sel_Country="All",D488=sel_Country),OR(sel_Channel="All",E488=sel_Channel),OR(sel_Customer="All",F488=sel_Customer),OR(sel_Product="All",H488=sel_Product),AND(S488&gt;=m_From,S488&lt;=m_To)),1,0)</f>
        <v/>
      </c>
      <c r="Z488" s="36">
        <f>IF(AND(OR(sel_Region="All",C488=sel_Region),OR(sel_Country="All",D488=sel_Country),OR(sel_Channel="All",E488=sel_Channel),OR(sel_Customer="All",F488=sel_Customer),OR(sel_Category="All",G488=sel_Category),AND(S488&gt;=m_From,S488&lt;=m_To)),1,0)</f>
        <v/>
      </c>
      <c r="AA488" s="36">
        <f>IF(AND(OR(sel_Region="All",C488=sel_Region),OR(sel_Country="All",D488=sel_Country),OR(sel_Channel="All",E488=sel_Channel),OR(sel_Customer="All",F488=sel_Customer),OR(sel_Category="All",G488=sel_Category),OR(sel_Product="All",H488=sel_Product)),1,0)</f>
        <v/>
      </c>
    </row>
    <row r="489">
      <c r="A489" s="36" t="inlineStr">
        <is>
          <t>00169</t>
        </is>
      </c>
      <c r="B489" s="44" t="n">
        <v>46115</v>
      </c>
      <c r="C489" s="36" t="inlineStr">
        <is>
          <t>Northern Europe</t>
        </is>
      </c>
      <c r="D489" s="36" t="inlineStr">
        <is>
          <t>Norway</t>
        </is>
      </c>
      <c r="E489" s="36" t="inlineStr">
        <is>
          <t>Online Store</t>
        </is>
      </c>
      <c r="F489" s="36" t="inlineStr">
        <is>
          <t>New</t>
        </is>
      </c>
      <c r="G489" s="36" t="inlineStr">
        <is>
          <t>Hiking</t>
        </is>
      </c>
      <c r="H489" s="36" t="inlineStr">
        <is>
          <t>Hiking Daypack 20L</t>
        </is>
      </c>
      <c r="I489" s="36" t="n">
        <v>2</v>
      </c>
      <c r="J489" s="39" t="n">
        <v>93.48</v>
      </c>
      <c r="K489" s="45" t="n">
        <v>0</v>
      </c>
      <c r="L489" s="39" t="n">
        <v>45.15</v>
      </c>
      <c r="M489" s="39">
        <f>I489*J489*(1-K489)</f>
        <v/>
      </c>
      <c r="N489" s="39">
        <f>I489*L489</f>
        <v/>
      </c>
      <c r="O489" s="39">
        <f>M489-N489</f>
        <v/>
      </c>
      <c r="P489" s="38">
        <f>IF(M489=0,0,O489/M489)</f>
        <v/>
      </c>
      <c r="Q489" s="36">
        <f>YEAR(B489)</f>
        <v/>
      </c>
      <c r="R489" s="36">
        <f>"Q"&amp;ROUNDUP(MONTH(B489)/3,0)</f>
        <v/>
      </c>
      <c r="S489" s="36">
        <f>MONTH(B489)</f>
        <v/>
      </c>
      <c r="T489" s="36">
        <f>TEXT(B489,"mmm")</f>
        <v/>
      </c>
      <c r="U489" s="36">
        <f>IF(AND(OR(sel_Region="All",C489=sel_Region),OR(sel_Country="All",D489=sel_Country),OR(sel_Channel="All",E489=sel_Channel),OR(sel_Customer="All",F489=sel_Customer),OR(sel_Category="All",G489=sel_Category),OR(sel_Product="All",H489=sel_Product),AND(S489&gt;=m_From,S489&lt;=m_To)),1,0)</f>
        <v/>
      </c>
      <c r="V489" s="36">
        <f>IF(AND(OR(sel_Region="All",C489=sel_Region),OR(sel_Channel="All",E489=sel_Channel),OR(sel_Customer="All",F489=sel_Customer),OR(sel_Category="All",G489=sel_Category),OR(sel_Product="All",H489=sel_Product),AND(S489&gt;=m_From,S489&lt;=m_To)),1,0)</f>
        <v/>
      </c>
      <c r="W489" s="36">
        <f>IF(AND(OR(sel_Region="All",C489=sel_Region),OR(sel_Country="All",D489=sel_Country),OR(sel_Customer="All",F489=sel_Customer),OR(sel_Category="All",G489=sel_Category),OR(sel_Product="All",H489=sel_Product),AND(S489&gt;=m_From,S489&lt;=m_To)),1,0)</f>
        <v/>
      </c>
      <c r="X489" s="36">
        <f>IF(AND(OR(sel_Region="All",C489=sel_Region),OR(sel_Country="All",D489=sel_Country),OR(sel_Channel="All",E489=sel_Channel),OR(sel_Category="All",G489=sel_Category),OR(sel_Product="All",H489=sel_Product),AND(S489&gt;=m_From,S489&lt;=m_To)),1,0)</f>
        <v/>
      </c>
      <c r="Y489" s="36">
        <f>IF(AND(OR(sel_Region="All",C489=sel_Region),OR(sel_Country="All",D489=sel_Country),OR(sel_Channel="All",E489=sel_Channel),OR(sel_Customer="All",F489=sel_Customer),OR(sel_Product="All",H489=sel_Product),AND(S489&gt;=m_From,S489&lt;=m_To)),1,0)</f>
        <v/>
      </c>
      <c r="Z489" s="36">
        <f>IF(AND(OR(sel_Region="All",C489=sel_Region),OR(sel_Country="All",D489=sel_Country),OR(sel_Channel="All",E489=sel_Channel),OR(sel_Customer="All",F489=sel_Customer),OR(sel_Category="All",G489=sel_Category),AND(S489&gt;=m_From,S489&lt;=m_To)),1,0)</f>
        <v/>
      </c>
      <c r="AA489" s="36">
        <f>IF(AND(OR(sel_Region="All",C489=sel_Region),OR(sel_Country="All",D489=sel_Country),OR(sel_Channel="All",E489=sel_Channel),OR(sel_Customer="All",F489=sel_Customer),OR(sel_Category="All",G489=sel_Category),OR(sel_Product="All",H489=sel_Product)),1,0)</f>
        <v/>
      </c>
    </row>
    <row r="490">
      <c r="A490" s="36" t="inlineStr">
        <is>
          <t>00877</t>
        </is>
      </c>
      <c r="B490" s="44" t="n">
        <v>46115</v>
      </c>
      <c r="C490" s="36" t="inlineStr">
        <is>
          <t>Central Europe</t>
        </is>
      </c>
      <c r="D490" s="36" t="inlineStr">
        <is>
          <t>Germany</t>
        </is>
      </c>
      <c r="E490" s="36" t="inlineStr">
        <is>
          <t>Online Store</t>
        </is>
      </c>
      <c r="F490" s="36" t="inlineStr">
        <is>
          <t>New</t>
        </is>
      </c>
      <c r="G490" s="36" t="inlineStr">
        <is>
          <t>Camping</t>
        </is>
      </c>
      <c r="H490" s="36" t="inlineStr">
        <is>
          <t>Compact Sleeping Bag</t>
        </is>
      </c>
      <c r="I490" s="36" t="n">
        <v>1</v>
      </c>
      <c r="J490" s="39" t="n">
        <v>123.63</v>
      </c>
      <c r="K490" s="45" t="n">
        <v>0</v>
      </c>
      <c r="L490" s="39" t="n">
        <v>58.88</v>
      </c>
      <c r="M490" s="39">
        <f>I490*J490*(1-K490)</f>
        <v/>
      </c>
      <c r="N490" s="39">
        <f>I490*L490</f>
        <v/>
      </c>
      <c r="O490" s="39">
        <f>M490-N490</f>
        <v/>
      </c>
      <c r="P490" s="38">
        <f>IF(M490=0,0,O490/M490)</f>
        <v/>
      </c>
      <c r="Q490" s="36">
        <f>YEAR(B490)</f>
        <v/>
      </c>
      <c r="R490" s="36">
        <f>"Q"&amp;ROUNDUP(MONTH(B490)/3,0)</f>
        <v/>
      </c>
      <c r="S490" s="36">
        <f>MONTH(B490)</f>
        <v/>
      </c>
      <c r="T490" s="36">
        <f>TEXT(B490,"mmm")</f>
        <v/>
      </c>
      <c r="U490" s="36">
        <f>IF(AND(OR(sel_Region="All",C490=sel_Region),OR(sel_Country="All",D490=sel_Country),OR(sel_Channel="All",E490=sel_Channel),OR(sel_Customer="All",F490=sel_Customer),OR(sel_Category="All",G490=sel_Category),OR(sel_Product="All",H490=sel_Product),AND(S490&gt;=m_From,S490&lt;=m_To)),1,0)</f>
        <v/>
      </c>
      <c r="V490" s="36">
        <f>IF(AND(OR(sel_Region="All",C490=sel_Region),OR(sel_Channel="All",E490=sel_Channel),OR(sel_Customer="All",F490=sel_Customer),OR(sel_Category="All",G490=sel_Category),OR(sel_Product="All",H490=sel_Product),AND(S490&gt;=m_From,S490&lt;=m_To)),1,0)</f>
        <v/>
      </c>
      <c r="W490" s="36">
        <f>IF(AND(OR(sel_Region="All",C490=sel_Region),OR(sel_Country="All",D490=sel_Country),OR(sel_Customer="All",F490=sel_Customer),OR(sel_Category="All",G490=sel_Category),OR(sel_Product="All",H490=sel_Product),AND(S490&gt;=m_From,S490&lt;=m_To)),1,0)</f>
        <v/>
      </c>
      <c r="X490" s="36">
        <f>IF(AND(OR(sel_Region="All",C490=sel_Region),OR(sel_Country="All",D490=sel_Country),OR(sel_Channel="All",E490=sel_Channel),OR(sel_Category="All",G490=sel_Category),OR(sel_Product="All",H490=sel_Product),AND(S490&gt;=m_From,S490&lt;=m_To)),1,0)</f>
        <v/>
      </c>
      <c r="Y490" s="36">
        <f>IF(AND(OR(sel_Region="All",C490=sel_Region),OR(sel_Country="All",D490=sel_Country),OR(sel_Channel="All",E490=sel_Channel),OR(sel_Customer="All",F490=sel_Customer),OR(sel_Product="All",H490=sel_Product),AND(S490&gt;=m_From,S490&lt;=m_To)),1,0)</f>
        <v/>
      </c>
      <c r="Z490" s="36">
        <f>IF(AND(OR(sel_Region="All",C490=sel_Region),OR(sel_Country="All",D490=sel_Country),OR(sel_Channel="All",E490=sel_Channel),OR(sel_Customer="All",F490=sel_Customer),OR(sel_Category="All",G490=sel_Category),AND(S490&gt;=m_From,S490&lt;=m_To)),1,0)</f>
        <v/>
      </c>
      <c r="AA490" s="36">
        <f>IF(AND(OR(sel_Region="All",C490=sel_Region),OR(sel_Country="All",D490=sel_Country),OR(sel_Channel="All",E490=sel_Channel),OR(sel_Customer="All",F490=sel_Customer),OR(sel_Category="All",G490=sel_Category),OR(sel_Product="All",H490=sel_Product)),1,0)</f>
        <v/>
      </c>
    </row>
    <row r="491">
      <c r="A491" s="36" t="inlineStr">
        <is>
          <t>02023</t>
        </is>
      </c>
      <c r="B491" s="44" t="n">
        <v>46115</v>
      </c>
      <c r="C491" s="36" t="inlineStr">
        <is>
          <t>Central Europe</t>
        </is>
      </c>
      <c r="D491" s="36" t="inlineStr">
        <is>
          <t>Germany</t>
        </is>
      </c>
      <c r="E491" s="36" t="inlineStr">
        <is>
          <t>Online Store</t>
        </is>
      </c>
      <c r="F491" s="36" t="inlineStr">
        <is>
          <t>New</t>
        </is>
      </c>
      <c r="G491" s="36" t="inlineStr">
        <is>
          <t>Travel</t>
        </is>
      </c>
      <c r="H491" s="36" t="inlineStr">
        <is>
          <t>Travel Backpack 35L</t>
        </is>
      </c>
      <c r="I491" s="36" t="n">
        <v>3</v>
      </c>
      <c r="J491" s="39" t="n">
        <v>168.37</v>
      </c>
      <c r="K491" s="45" t="n">
        <v>0</v>
      </c>
      <c r="L491" s="39" t="n">
        <v>87.15000000000001</v>
      </c>
      <c r="M491" s="39">
        <f>I491*J491*(1-K491)</f>
        <v/>
      </c>
      <c r="N491" s="39">
        <f>I491*L491</f>
        <v/>
      </c>
      <c r="O491" s="39">
        <f>M491-N491</f>
        <v/>
      </c>
      <c r="P491" s="38">
        <f>IF(M491=0,0,O491/M491)</f>
        <v/>
      </c>
      <c r="Q491" s="36">
        <f>YEAR(B491)</f>
        <v/>
      </c>
      <c r="R491" s="36">
        <f>"Q"&amp;ROUNDUP(MONTH(B491)/3,0)</f>
        <v/>
      </c>
      <c r="S491" s="36">
        <f>MONTH(B491)</f>
        <v/>
      </c>
      <c r="T491" s="36">
        <f>TEXT(B491,"mmm")</f>
        <v/>
      </c>
      <c r="U491" s="36">
        <f>IF(AND(OR(sel_Region="All",C491=sel_Region),OR(sel_Country="All",D491=sel_Country),OR(sel_Channel="All",E491=sel_Channel),OR(sel_Customer="All",F491=sel_Customer),OR(sel_Category="All",G491=sel_Category),OR(sel_Product="All",H491=sel_Product),AND(S491&gt;=m_From,S491&lt;=m_To)),1,0)</f>
        <v/>
      </c>
      <c r="V491" s="36">
        <f>IF(AND(OR(sel_Region="All",C491=sel_Region),OR(sel_Channel="All",E491=sel_Channel),OR(sel_Customer="All",F491=sel_Customer),OR(sel_Category="All",G491=sel_Category),OR(sel_Product="All",H491=sel_Product),AND(S491&gt;=m_From,S491&lt;=m_To)),1,0)</f>
        <v/>
      </c>
      <c r="W491" s="36">
        <f>IF(AND(OR(sel_Region="All",C491=sel_Region),OR(sel_Country="All",D491=sel_Country),OR(sel_Customer="All",F491=sel_Customer),OR(sel_Category="All",G491=sel_Category),OR(sel_Product="All",H491=sel_Product),AND(S491&gt;=m_From,S491&lt;=m_To)),1,0)</f>
        <v/>
      </c>
      <c r="X491" s="36">
        <f>IF(AND(OR(sel_Region="All",C491=sel_Region),OR(sel_Country="All",D491=sel_Country),OR(sel_Channel="All",E491=sel_Channel),OR(sel_Category="All",G491=sel_Category),OR(sel_Product="All",H491=sel_Product),AND(S491&gt;=m_From,S491&lt;=m_To)),1,0)</f>
        <v/>
      </c>
      <c r="Y491" s="36">
        <f>IF(AND(OR(sel_Region="All",C491=sel_Region),OR(sel_Country="All",D491=sel_Country),OR(sel_Channel="All",E491=sel_Channel),OR(sel_Customer="All",F491=sel_Customer),OR(sel_Product="All",H491=sel_Product),AND(S491&gt;=m_From,S491&lt;=m_To)),1,0)</f>
        <v/>
      </c>
      <c r="Z491" s="36">
        <f>IF(AND(OR(sel_Region="All",C491=sel_Region),OR(sel_Country="All",D491=sel_Country),OR(sel_Channel="All",E491=sel_Channel),OR(sel_Customer="All",F491=sel_Customer),OR(sel_Category="All",G491=sel_Category),AND(S491&gt;=m_From,S491&lt;=m_To)),1,0)</f>
        <v/>
      </c>
      <c r="AA491" s="36">
        <f>IF(AND(OR(sel_Region="All",C491=sel_Region),OR(sel_Country="All",D491=sel_Country),OR(sel_Channel="All",E491=sel_Channel),OR(sel_Customer="All",F491=sel_Customer),OR(sel_Category="All",G491=sel_Category),OR(sel_Product="All",H491=sel_Product)),1,0)</f>
        <v/>
      </c>
    </row>
    <row r="492">
      <c r="A492" s="36" t="inlineStr">
        <is>
          <t>02548</t>
        </is>
      </c>
      <c r="B492" s="44" t="n">
        <v>46115</v>
      </c>
      <c r="C492" s="36" t="inlineStr">
        <is>
          <t>Southern Europe</t>
        </is>
      </c>
      <c r="D492" s="36" t="inlineStr">
        <is>
          <t>Portugal</t>
        </is>
      </c>
      <c r="E492" s="36" t="inlineStr">
        <is>
          <t>Marketplace</t>
        </is>
      </c>
      <c r="F492" s="36" t="inlineStr">
        <is>
          <t>New</t>
        </is>
      </c>
      <c r="G492" s="36" t="inlineStr">
        <is>
          <t>Cycling</t>
        </is>
      </c>
      <c r="H492" s="36" t="inlineStr">
        <is>
          <t>Trail Bike Light</t>
        </is>
      </c>
      <c r="I492" s="36" t="n">
        <v>4</v>
      </c>
      <c r="J492" s="39" t="n">
        <v>51.68</v>
      </c>
      <c r="K492" s="45" t="n">
        <v>0.05</v>
      </c>
      <c r="L492" s="39" t="n">
        <v>23.09</v>
      </c>
      <c r="M492" s="39">
        <f>I492*J492*(1-K492)</f>
        <v/>
      </c>
      <c r="N492" s="39">
        <f>I492*L492</f>
        <v/>
      </c>
      <c r="O492" s="39">
        <f>M492-N492</f>
        <v/>
      </c>
      <c r="P492" s="38">
        <f>IF(M492=0,0,O492/M492)</f>
        <v/>
      </c>
      <c r="Q492" s="36">
        <f>YEAR(B492)</f>
        <v/>
      </c>
      <c r="R492" s="36">
        <f>"Q"&amp;ROUNDUP(MONTH(B492)/3,0)</f>
        <v/>
      </c>
      <c r="S492" s="36">
        <f>MONTH(B492)</f>
        <v/>
      </c>
      <c r="T492" s="36">
        <f>TEXT(B492,"mmm")</f>
        <v/>
      </c>
      <c r="U492" s="36">
        <f>IF(AND(OR(sel_Region="All",C492=sel_Region),OR(sel_Country="All",D492=sel_Country),OR(sel_Channel="All",E492=sel_Channel),OR(sel_Customer="All",F492=sel_Customer),OR(sel_Category="All",G492=sel_Category),OR(sel_Product="All",H492=sel_Product),AND(S492&gt;=m_From,S492&lt;=m_To)),1,0)</f>
        <v/>
      </c>
      <c r="V492" s="36">
        <f>IF(AND(OR(sel_Region="All",C492=sel_Region),OR(sel_Channel="All",E492=sel_Channel),OR(sel_Customer="All",F492=sel_Customer),OR(sel_Category="All",G492=sel_Category),OR(sel_Product="All",H492=sel_Product),AND(S492&gt;=m_From,S492&lt;=m_To)),1,0)</f>
        <v/>
      </c>
      <c r="W492" s="36">
        <f>IF(AND(OR(sel_Region="All",C492=sel_Region),OR(sel_Country="All",D492=sel_Country),OR(sel_Customer="All",F492=sel_Customer),OR(sel_Category="All",G492=sel_Category),OR(sel_Product="All",H492=sel_Product),AND(S492&gt;=m_From,S492&lt;=m_To)),1,0)</f>
        <v/>
      </c>
      <c r="X492" s="36">
        <f>IF(AND(OR(sel_Region="All",C492=sel_Region),OR(sel_Country="All",D492=sel_Country),OR(sel_Channel="All",E492=sel_Channel),OR(sel_Category="All",G492=sel_Category),OR(sel_Product="All",H492=sel_Product),AND(S492&gt;=m_From,S492&lt;=m_To)),1,0)</f>
        <v/>
      </c>
      <c r="Y492" s="36">
        <f>IF(AND(OR(sel_Region="All",C492=sel_Region),OR(sel_Country="All",D492=sel_Country),OR(sel_Channel="All",E492=sel_Channel),OR(sel_Customer="All",F492=sel_Customer),OR(sel_Product="All",H492=sel_Product),AND(S492&gt;=m_From,S492&lt;=m_To)),1,0)</f>
        <v/>
      </c>
      <c r="Z492" s="36">
        <f>IF(AND(OR(sel_Region="All",C492=sel_Region),OR(sel_Country="All",D492=sel_Country),OR(sel_Channel="All",E492=sel_Channel),OR(sel_Customer="All",F492=sel_Customer),OR(sel_Category="All",G492=sel_Category),AND(S492&gt;=m_From,S492&lt;=m_To)),1,0)</f>
        <v/>
      </c>
      <c r="AA492" s="36">
        <f>IF(AND(OR(sel_Region="All",C492=sel_Region),OR(sel_Country="All",D492=sel_Country),OR(sel_Channel="All",E492=sel_Channel),OR(sel_Customer="All",F492=sel_Customer),OR(sel_Category="All",G492=sel_Category),OR(sel_Product="All",H492=sel_Product)),1,0)</f>
        <v/>
      </c>
    </row>
    <row r="493">
      <c r="A493" s="36" t="inlineStr">
        <is>
          <t>02602</t>
        </is>
      </c>
      <c r="B493" s="44" t="n">
        <v>46115</v>
      </c>
      <c r="C493" s="36" t="inlineStr">
        <is>
          <t>Central Europe</t>
        </is>
      </c>
      <c r="D493" s="36" t="inlineStr">
        <is>
          <t>Germany</t>
        </is>
      </c>
      <c r="E493" s="36" t="inlineStr">
        <is>
          <t>Marketplace</t>
        </is>
      </c>
      <c r="F493" s="36" t="inlineStr">
        <is>
          <t>New</t>
        </is>
      </c>
      <c r="G493" s="36" t="inlineStr">
        <is>
          <t>Cycling</t>
        </is>
      </c>
      <c r="H493" s="36" t="inlineStr">
        <is>
          <t>Compact Repair Kit</t>
        </is>
      </c>
      <c r="I493" s="36" t="n">
        <v>1</v>
      </c>
      <c r="J493" s="39" t="n">
        <v>40.16</v>
      </c>
      <c r="K493" s="45" t="n">
        <v>0</v>
      </c>
      <c r="L493" s="39" t="n">
        <v>16.77</v>
      </c>
      <c r="M493" s="39">
        <f>I493*J493*(1-K493)</f>
        <v/>
      </c>
      <c r="N493" s="39">
        <f>I493*L493</f>
        <v/>
      </c>
      <c r="O493" s="39">
        <f>M493-N493</f>
        <v/>
      </c>
      <c r="P493" s="38">
        <f>IF(M493=0,0,O493/M493)</f>
        <v/>
      </c>
      <c r="Q493" s="36">
        <f>YEAR(B493)</f>
        <v/>
      </c>
      <c r="R493" s="36">
        <f>"Q"&amp;ROUNDUP(MONTH(B493)/3,0)</f>
        <v/>
      </c>
      <c r="S493" s="36">
        <f>MONTH(B493)</f>
        <v/>
      </c>
      <c r="T493" s="36">
        <f>TEXT(B493,"mmm")</f>
        <v/>
      </c>
      <c r="U493" s="36">
        <f>IF(AND(OR(sel_Region="All",C493=sel_Region),OR(sel_Country="All",D493=sel_Country),OR(sel_Channel="All",E493=sel_Channel),OR(sel_Customer="All",F493=sel_Customer),OR(sel_Category="All",G493=sel_Category),OR(sel_Product="All",H493=sel_Product),AND(S493&gt;=m_From,S493&lt;=m_To)),1,0)</f>
        <v/>
      </c>
      <c r="V493" s="36">
        <f>IF(AND(OR(sel_Region="All",C493=sel_Region),OR(sel_Channel="All",E493=sel_Channel),OR(sel_Customer="All",F493=sel_Customer),OR(sel_Category="All",G493=sel_Category),OR(sel_Product="All",H493=sel_Product),AND(S493&gt;=m_From,S493&lt;=m_To)),1,0)</f>
        <v/>
      </c>
      <c r="W493" s="36">
        <f>IF(AND(OR(sel_Region="All",C493=sel_Region),OR(sel_Country="All",D493=sel_Country),OR(sel_Customer="All",F493=sel_Customer),OR(sel_Category="All",G493=sel_Category),OR(sel_Product="All",H493=sel_Product),AND(S493&gt;=m_From,S493&lt;=m_To)),1,0)</f>
        <v/>
      </c>
      <c r="X493" s="36">
        <f>IF(AND(OR(sel_Region="All",C493=sel_Region),OR(sel_Country="All",D493=sel_Country),OR(sel_Channel="All",E493=sel_Channel),OR(sel_Category="All",G493=sel_Category),OR(sel_Product="All",H493=sel_Product),AND(S493&gt;=m_From,S493&lt;=m_To)),1,0)</f>
        <v/>
      </c>
      <c r="Y493" s="36">
        <f>IF(AND(OR(sel_Region="All",C493=sel_Region),OR(sel_Country="All",D493=sel_Country),OR(sel_Channel="All",E493=sel_Channel),OR(sel_Customer="All",F493=sel_Customer),OR(sel_Product="All",H493=sel_Product),AND(S493&gt;=m_From,S493&lt;=m_To)),1,0)</f>
        <v/>
      </c>
      <c r="Z493" s="36">
        <f>IF(AND(OR(sel_Region="All",C493=sel_Region),OR(sel_Country="All",D493=sel_Country),OR(sel_Channel="All",E493=sel_Channel),OR(sel_Customer="All",F493=sel_Customer),OR(sel_Category="All",G493=sel_Category),AND(S493&gt;=m_From,S493&lt;=m_To)),1,0)</f>
        <v/>
      </c>
      <c r="AA493" s="36">
        <f>IF(AND(OR(sel_Region="All",C493=sel_Region),OR(sel_Country="All",D493=sel_Country),OR(sel_Channel="All",E493=sel_Channel),OR(sel_Customer="All",F493=sel_Customer),OR(sel_Category="All",G493=sel_Category),OR(sel_Product="All",H493=sel_Product)),1,0)</f>
        <v/>
      </c>
    </row>
    <row r="494">
      <c r="A494" s="36" t="inlineStr">
        <is>
          <t>03229</t>
        </is>
      </c>
      <c r="B494" s="44" t="n">
        <v>46115</v>
      </c>
      <c r="C494" s="36" t="inlineStr">
        <is>
          <t>Western Europe</t>
        </is>
      </c>
      <c r="D494" s="36" t="inlineStr">
        <is>
          <t>France</t>
        </is>
      </c>
      <c r="E494" s="36" t="inlineStr">
        <is>
          <t>Retail Partners</t>
        </is>
      </c>
      <c r="F494" s="36" t="inlineStr">
        <is>
          <t>Returning</t>
        </is>
      </c>
      <c r="G494" s="36" t="inlineStr">
        <is>
          <t>Travel</t>
        </is>
      </c>
      <c r="H494" s="36" t="inlineStr">
        <is>
          <t>Insulated Bottle</t>
        </is>
      </c>
      <c r="I494" s="36" t="n">
        <v>3</v>
      </c>
      <c r="J494" s="39" t="n">
        <v>36.17</v>
      </c>
      <c r="K494" s="45" t="n">
        <v>0.1</v>
      </c>
      <c r="L494" s="39" t="n">
        <v>13.65</v>
      </c>
      <c r="M494" s="39">
        <f>I494*J494*(1-K494)</f>
        <v/>
      </c>
      <c r="N494" s="39">
        <f>I494*L494</f>
        <v/>
      </c>
      <c r="O494" s="39">
        <f>M494-N494</f>
        <v/>
      </c>
      <c r="P494" s="38">
        <f>IF(M494=0,0,O494/M494)</f>
        <v/>
      </c>
      <c r="Q494" s="36">
        <f>YEAR(B494)</f>
        <v/>
      </c>
      <c r="R494" s="36">
        <f>"Q"&amp;ROUNDUP(MONTH(B494)/3,0)</f>
        <v/>
      </c>
      <c r="S494" s="36">
        <f>MONTH(B494)</f>
        <v/>
      </c>
      <c r="T494" s="36">
        <f>TEXT(B494,"mmm")</f>
        <v/>
      </c>
      <c r="U494" s="36">
        <f>IF(AND(OR(sel_Region="All",C494=sel_Region),OR(sel_Country="All",D494=sel_Country),OR(sel_Channel="All",E494=sel_Channel),OR(sel_Customer="All",F494=sel_Customer),OR(sel_Category="All",G494=sel_Category),OR(sel_Product="All",H494=sel_Product),AND(S494&gt;=m_From,S494&lt;=m_To)),1,0)</f>
        <v/>
      </c>
      <c r="V494" s="36">
        <f>IF(AND(OR(sel_Region="All",C494=sel_Region),OR(sel_Channel="All",E494=sel_Channel),OR(sel_Customer="All",F494=sel_Customer),OR(sel_Category="All",G494=sel_Category),OR(sel_Product="All",H494=sel_Product),AND(S494&gt;=m_From,S494&lt;=m_To)),1,0)</f>
        <v/>
      </c>
      <c r="W494" s="36">
        <f>IF(AND(OR(sel_Region="All",C494=sel_Region),OR(sel_Country="All",D494=sel_Country),OR(sel_Customer="All",F494=sel_Customer),OR(sel_Category="All",G494=sel_Category),OR(sel_Product="All",H494=sel_Product),AND(S494&gt;=m_From,S494&lt;=m_To)),1,0)</f>
        <v/>
      </c>
      <c r="X494" s="36">
        <f>IF(AND(OR(sel_Region="All",C494=sel_Region),OR(sel_Country="All",D494=sel_Country),OR(sel_Channel="All",E494=sel_Channel),OR(sel_Category="All",G494=sel_Category),OR(sel_Product="All",H494=sel_Product),AND(S494&gt;=m_From,S494&lt;=m_To)),1,0)</f>
        <v/>
      </c>
      <c r="Y494" s="36">
        <f>IF(AND(OR(sel_Region="All",C494=sel_Region),OR(sel_Country="All",D494=sel_Country),OR(sel_Channel="All",E494=sel_Channel),OR(sel_Customer="All",F494=sel_Customer),OR(sel_Product="All",H494=sel_Product),AND(S494&gt;=m_From,S494&lt;=m_To)),1,0)</f>
        <v/>
      </c>
      <c r="Z494" s="36">
        <f>IF(AND(OR(sel_Region="All",C494=sel_Region),OR(sel_Country="All",D494=sel_Country),OR(sel_Channel="All",E494=sel_Channel),OR(sel_Customer="All",F494=sel_Customer),OR(sel_Category="All",G494=sel_Category),AND(S494&gt;=m_From,S494&lt;=m_To)),1,0)</f>
        <v/>
      </c>
      <c r="AA494" s="36">
        <f>IF(AND(OR(sel_Region="All",C494=sel_Region),OR(sel_Country="All",D494=sel_Country),OR(sel_Channel="All",E494=sel_Channel),OR(sel_Customer="All",F494=sel_Customer),OR(sel_Category="All",G494=sel_Category),OR(sel_Product="All",H494=sel_Product)),1,0)</f>
        <v/>
      </c>
    </row>
    <row r="495">
      <c r="A495" s="36" t="inlineStr">
        <is>
          <t>03261</t>
        </is>
      </c>
      <c r="B495" s="44" t="n">
        <v>46115</v>
      </c>
      <c r="C495" s="36" t="inlineStr">
        <is>
          <t>Northern Europe</t>
        </is>
      </c>
      <c r="D495" s="36" t="inlineStr">
        <is>
          <t>Finland</t>
        </is>
      </c>
      <c r="E495" s="36" t="inlineStr">
        <is>
          <t>Online Store</t>
        </is>
      </c>
      <c r="F495" s="36" t="inlineStr">
        <is>
          <t>New</t>
        </is>
      </c>
      <c r="G495" s="36" t="inlineStr">
        <is>
          <t>Travel</t>
        </is>
      </c>
      <c r="H495" s="36" t="inlineStr">
        <is>
          <t>Carry-On Duffel</t>
        </is>
      </c>
      <c r="I495" s="36" t="n">
        <v>4</v>
      </c>
      <c r="J495" s="39" t="n">
        <v>130.55</v>
      </c>
      <c r="K495" s="45" t="n">
        <v>0</v>
      </c>
      <c r="L495" s="39" t="n">
        <v>67.66</v>
      </c>
      <c r="M495" s="39">
        <f>I495*J495*(1-K495)</f>
        <v/>
      </c>
      <c r="N495" s="39">
        <f>I495*L495</f>
        <v/>
      </c>
      <c r="O495" s="39">
        <f>M495-N495</f>
        <v/>
      </c>
      <c r="P495" s="38">
        <f>IF(M495=0,0,O495/M495)</f>
        <v/>
      </c>
      <c r="Q495" s="36">
        <f>YEAR(B495)</f>
        <v/>
      </c>
      <c r="R495" s="36">
        <f>"Q"&amp;ROUNDUP(MONTH(B495)/3,0)</f>
        <v/>
      </c>
      <c r="S495" s="36">
        <f>MONTH(B495)</f>
        <v/>
      </c>
      <c r="T495" s="36">
        <f>TEXT(B495,"mmm")</f>
        <v/>
      </c>
      <c r="U495" s="36">
        <f>IF(AND(OR(sel_Region="All",C495=sel_Region),OR(sel_Country="All",D495=sel_Country),OR(sel_Channel="All",E495=sel_Channel),OR(sel_Customer="All",F495=sel_Customer),OR(sel_Category="All",G495=sel_Category),OR(sel_Product="All",H495=sel_Product),AND(S495&gt;=m_From,S495&lt;=m_To)),1,0)</f>
        <v/>
      </c>
      <c r="V495" s="36">
        <f>IF(AND(OR(sel_Region="All",C495=sel_Region),OR(sel_Channel="All",E495=sel_Channel),OR(sel_Customer="All",F495=sel_Customer),OR(sel_Category="All",G495=sel_Category),OR(sel_Product="All",H495=sel_Product),AND(S495&gt;=m_From,S495&lt;=m_To)),1,0)</f>
        <v/>
      </c>
      <c r="W495" s="36">
        <f>IF(AND(OR(sel_Region="All",C495=sel_Region),OR(sel_Country="All",D495=sel_Country),OR(sel_Customer="All",F495=sel_Customer),OR(sel_Category="All",G495=sel_Category),OR(sel_Product="All",H495=sel_Product),AND(S495&gt;=m_From,S495&lt;=m_To)),1,0)</f>
        <v/>
      </c>
      <c r="X495" s="36">
        <f>IF(AND(OR(sel_Region="All",C495=sel_Region),OR(sel_Country="All",D495=sel_Country),OR(sel_Channel="All",E495=sel_Channel),OR(sel_Category="All",G495=sel_Category),OR(sel_Product="All",H495=sel_Product),AND(S495&gt;=m_From,S495&lt;=m_To)),1,0)</f>
        <v/>
      </c>
      <c r="Y495" s="36">
        <f>IF(AND(OR(sel_Region="All",C495=sel_Region),OR(sel_Country="All",D495=sel_Country),OR(sel_Channel="All",E495=sel_Channel),OR(sel_Customer="All",F495=sel_Customer),OR(sel_Product="All",H495=sel_Product),AND(S495&gt;=m_From,S495&lt;=m_To)),1,0)</f>
        <v/>
      </c>
      <c r="Z495" s="36">
        <f>IF(AND(OR(sel_Region="All",C495=sel_Region),OR(sel_Country="All",D495=sel_Country),OR(sel_Channel="All",E495=sel_Channel),OR(sel_Customer="All",F495=sel_Customer),OR(sel_Category="All",G495=sel_Category),AND(S495&gt;=m_From,S495&lt;=m_To)),1,0)</f>
        <v/>
      </c>
      <c r="AA495" s="36">
        <f>IF(AND(OR(sel_Region="All",C495=sel_Region),OR(sel_Country="All",D495=sel_Country),OR(sel_Channel="All",E495=sel_Channel),OR(sel_Customer="All",F495=sel_Customer),OR(sel_Category="All",G495=sel_Category),OR(sel_Product="All",H495=sel_Product)),1,0)</f>
        <v/>
      </c>
    </row>
    <row r="496">
      <c r="A496" s="36" t="inlineStr">
        <is>
          <t>03621</t>
        </is>
      </c>
      <c r="B496" s="44" t="n">
        <v>46115</v>
      </c>
      <c r="C496" s="36" t="inlineStr">
        <is>
          <t>Western Europe</t>
        </is>
      </c>
      <c r="D496" s="36" t="inlineStr">
        <is>
          <t>United Kingdom</t>
        </is>
      </c>
      <c r="E496" s="36" t="inlineStr">
        <is>
          <t>Online Store</t>
        </is>
      </c>
      <c r="F496" s="36" t="inlineStr">
        <is>
          <t>New</t>
        </is>
      </c>
      <c r="G496" s="36" t="inlineStr">
        <is>
          <t>Cycling</t>
        </is>
      </c>
      <c r="H496" s="36" t="inlineStr">
        <is>
          <t>Cycling Pack 12L</t>
        </is>
      </c>
      <c r="I496" s="36" t="n">
        <v>2</v>
      </c>
      <c r="J496" s="39" t="n">
        <v>102.63</v>
      </c>
      <c r="K496" s="45" t="n">
        <v>0</v>
      </c>
      <c r="L496" s="39" t="n">
        <v>50.19</v>
      </c>
      <c r="M496" s="39">
        <f>I496*J496*(1-K496)</f>
        <v/>
      </c>
      <c r="N496" s="39">
        <f>I496*L496</f>
        <v/>
      </c>
      <c r="O496" s="39">
        <f>M496-N496</f>
        <v/>
      </c>
      <c r="P496" s="38">
        <f>IF(M496=0,0,O496/M496)</f>
        <v/>
      </c>
      <c r="Q496" s="36">
        <f>YEAR(B496)</f>
        <v/>
      </c>
      <c r="R496" s="36">
        <f>"Q"&amp;ROUNDUP(MONTH(B496)/3,0)</f>
        <v/>
      </c>
      <c r="S496" s="36">
        <f>MONTH(B496)</f>
        <v/>
      </c>
      <c r="T496" s="36">
        <f>TEXT(B496,"mmm")</f>
        <v/>
      </c>
      <c r="U496" s="36">
        <f>IF(AND(OR(sel_Region="All",C496=sel_Region),OR(sel_Country="All",D496=sel_Country),OR(sel_Channel="All",E496=sel_Channel),OR(sel_Customer="All",F496=sel_Customer),OR(sel_Category="All",G496=sel_Category),OR(sel_Product="All",H496=sel_Product),AND(S496&gt;=m_From,S496&lt;=m_To)),1,0)</f>
        <v/>
      </c>
      <c r="V496" s="36">
        <f>IF(AND(OR(sel_Region="All",C496=sel_Region),OR(sel_Channel="All",E496=sel_Channel),OR(sel_Customer="All",F496=sel_Customer),OR(sel_Category="All",G496=sel_Category),OR(sel_Product="All",H496=sel_Product),AND(S496&gt;=m_From,S496&lt;=m_To)),1,0)</f>
        <v/>
      </c>
      <c r="W496" s="36">
        <f>IF(AND(OR(sel_Region="All",C496=sel_Region),OR(sel_Country="All",D496=sel_Country),OR(sel_Customer="All",F496=sel_Customer),OR(sel_Category="All",G496=sel_Category),OR(sel_Product="All",H496=sel_Product),AND(S496&gt;=m_From,S496&lt;=m_To)),1,0)</f>
        <v/>
      </c>
      <c r="X496" s="36">
        <f>IF(AND(OR(sel_Region="All",C496=sel_Region),OR(sel_Country="All",D496=sel_Country),OR(sel_Channel="All",E496=sel_Channel),OR(sel_Category="All",G496=sel_Category),OR(sel_Product="All",H496=sel_Product),AND(S496&gt;=m_From,S496&lt;=m_To)),1,0)</f>
        <v/>
      </c>
      <c r="Y496" s="36">
        <f>IF(AND(OR(sel_Region="All",C496=sel_Region),OR(sel_Country="All",D496=sel_Country),OR(sel_Channel="All",E496=sel_Channel),OR(sel_Customer="All",F496=sel_Customer),OR(sel_Product="All",H496=sel_Product),AND(S496&gt;=m_From,S496&lt;=m_To)),1,0)</f>
        <v/>
      </c>
      <c r="Z496" s="36">
        <f>IF(AND(OR(sel_Region="All",C496=sel_Region),OR(sel_Country="All",D496=sel_Country),OR(sel_Channel="All",E496=sel_Channel),OR(sel_Customer="All",F496=sel_Customer),OR(sel_Category="All",G496=sel_Category),AND(S496&gt;=m_From,S496&lt;=m_To)),1,0)</f>
        <v/>
      </c>
      <c r="AA496" s="36">
        <f>IF(AND(OR(sel_Region="All",C496=sel_Region),OR(sel_Country="All",D496=sel_Country),OR(sel_Channel="All",E496=sel_Channel),OR(sel_Customer="All",F496=sel_Customer),OR(sel_Category="All",G496=sel_Category),OR(sel_Product="All",H496=sel_Product)),1,0)</f>
        <v/>
      </c>
    </row>
    <row r="497">
      <c r="A497" s="36" t="inlineStr">
        <is>
          <t>04681</t>
        </is>
      </c>
      <c r="B497" s="44" t="n">
        <v>46115</v>
      </c>
      <c r="C497" s="36" t="inlineStr">
        <is>
          <t>Western Europe</t>
        </is>
      </c>
      <c r="D497" s="36" t="inlineStr">
        <is>
          <t>France</t>
        </is>
      </c>
      <c r="E497" s="36" t="inlineStr">
        <is>
          <t>Marketplace</t>
        </is>
      </c>
      <c r="F497" s="36" t="inlineStr">
        <is>
          <t>Returning</t>
        </is>
      </c>
      <c r="G497" s="36" t="inlineStr">
        <is>
          <t>Cycling</t>
        </is>
      </c>
      <c r="H497" s="36" t="inlineStr">
        <is>
          <t>Commuter Helmet</t>
        </is>
      </c>
      <c r="I497" s="36" t="n">
        <v>6</v>
      </c>
      <c r="J497" s="39" t="n">
        <v>81.23999999999999</v>
      </c>
      <c r="K497" s="45" t="n">
        <v>0</v>
      </c>
      <c r="L497" s="39" t="n">
        <v>43.28</v>
      </c>
      <c r="M497" s="39">
        <f>I497*J497*(1-K497)</f>
        <v/>
      </c>
      <c r="N497" s="39">
        <f>I497*L497</f>
        <v/>
      </c>
      <c r="O497" s="39">
        <f>M497-N497</f>
        <v/>
      </c>
      <c r="P497" s="38">
        <f>IF(M497=0,0,O497/M497)</f>
        <v/>
      </c>
      <c r="Q497" s="36">
        <f>YEAR(B497)</f>
        <v/>
      </c>
      <c r="R497" s="36">
        <f>"Q"&amp;ROUNDUP(MONTH(B497)/3,0)</f>
        <v/>
      </c>
      <c r="S497" s="36">
        <f>MONTH(B497)</f>
        <v/>
      </c>
      <c r="T497" s="36">
        <f>TEXT(B497,"mmm")</f>
        <v/>
      </c>
      <c r="U497" s="36">
        <f>IF(AND(OR(sel_Region="All",C497=sel_Region),OR(sel_Country="All",D497=sel_Country),OR(sel_Channel="All",E497=sel_Channel),OR(sel_Customer="All",F497=sel_Customer),OR(sel_Category="All",G497=sel_Category),OR(sel_Product="All",H497=sel_Product),AND(S497&gt;=m_From,S497&lt;=m_To)),1,0)</f>
        <v/>
      </c>
      <c r="V497" s="36">
        <f>IF(AND(OR(sel_Region="All",C497=sel_Region),OR(sel_Channel="All",E497=sel_Channel),OR(sel_Customer="All",F497=sel_Customer),OR(sel_Category="All",G497=sel_Category),OR(sel_Product="All",H497=sel_Product),AND(S497&gt;=m_From,S497&lt;=m_To)),1,0)</f>
        <v/>
      </c>
      <c r="W497" s="36">
        <f>IF(AND(OR(sel_Region="All",C497=sel_Region),OR(sel_Country="All",D497=sel_Country),OR(sel_Customer="All",F497=sel_Customer),OR(sel_Category="All",G497=sel_Category),OR(sel_Product="All",H497=sel_Product),AND(S497&gt;=m_From,S497&lt;=m_To)),1,0)</f>
        <v/>
      </c>
      <c r="X497" s="36">
        <f>IF(AND(OR(sel_Region="All",C497=sel_Region),OR(sel_Country="All",D497=sel_Country),OR(sel_Channel="All",E497=sel_Channel),OR(sel_Category="All",G497=sel_Category),OR(sel_Product="All",H497=sel_Product),AND(S497&gt;=m_From,S497&lt;=m_To)),1,0)</f>
        <v/>
      </c>
      <c r="Y497" s="36">
        <f>IF(AND(OR(sel_Region="All",C497=sel_Region),OR(sel_Country="All",D497=sel_Country),OR(sel_Channel="All",E497=sel_Channel),OR(sel_Customer="All",F497=sel_Customer),OR(sel_Product="All",H497=sel_Product),AND(S497&gt;=m_From,S497&lt;=m_To)),1,0)</f>
        <v/>
      </c>
      <c r="Z497" s="36">
        <f>IF(AND(OR(sel_Region="All",C497=sel_Region),OR(sel_Country="All",D497=sel_Country),OR(sel_Channel="All",E497=sel_Channel),OR(sel_Customer="All",F497=sel_Customer),OR(sel_Category="All",G497=sel_Category),AND(S497&gt;=m_From,S497&lt;=m_To)),1,0)</f>
        <v/>
      </c>
      <c r="AA497" s="36">
        <f>IF(AND(OR(sel_Region="All",C497=sel_Region),OR(sel_Country="All",D497=sel_Country),OR(sel_Channel="All",E497=sel_Channel),OR(sel_Customer="All",F497=sel_Customer),OR(sel_Category="All",G497=sel_Category),OR(sel_Product="All",H497=sel_Product)),1,0)</f>
        <v/>
      </c>
    </row>
    <row r="498">
      <c r="A498" s="36" t="inlineStr">
        <is>
          <t>04954</t>
        </is>
      </c>
      <c r="B498" s="44" t="n">
        <v>46115</v>
      </c>
      <c r="C498" s="36" t="inlineStr">
        <is>
          <t>Western Europe</t>
        </is>
      </c>
      <c r="D498" s="36" t="inlineStr">
        <is>
          <t>United Kingdom</t>
        </is>
      </c>
      <c r="E498" s="36" t="inlineStr">
        <is>
          <t>Online Store</t>
        </is>
      </c>
      <c r="F498" s="36" t="inlineStr">
        <is>
          <t>New</t>
        </is>
      </c>
      <c r="G498" s="36" t="inlineStr">
        <is>
          <t>Hiking</t>
        </is>
      </c>
      <c r="H498" s="36" t="inlineStr">
        <is>
          <t>Trekking Poles</t>
        </is>
      </c>
      <c r="I498" s="36" t="n">
        <v>3</v>
      </c>
      <c r="J498" s="39" t="n">
        <v>72.11</v>
      </c>
      <c r="K498" s="45" t="n">
        <v>0.05</v>
      </c>
      <c r="L498" s="39" t="n">
        <v>31.63</v>
      </c>
      <c r="M498" s="39">
        <f>I498*J498*(1-K498)</f>
        <v/>
      </c>
      <c r="N498" s="39">
        <f>I498*L498</f>
        <v/>
      </c>
      <c r="O498" s="39">
        <f>M498-N498</f>
        <v/>
      </c>
      <c r="P498" s="38">
        <f>IF(M498=0,0,O498/M498)</f>
        <v/>
      </c>
      <c r="Q498" s="36">
        <f>YEAR(B498)</f>
        <v/>
      </c>
      <c r="R498" s="36">
        <f>"Q"&amp;ROUNDUP(MONTH(B498)/3,0)</f>
        <v/>
      </c>
      <c r="S498" s="36">
        <f>MONTH(B498)</f>
        <v/>
      </c>
      <c r="T498" s="36">
        <f>TEXT(B498,"mmm")</f>
        <v/>
      </c>
      <c r="U498" s="36">
        <f>IF(AND(OR(sel_Region="All",C498=sel_Region),OR(sel_Country="All",D498=sel_Country),OR(sel_Channel="All",E498=sel_Channel),OR(sel_Customer="All",F498=sel_Customer),OR(sel_Category="All",G498=sel_Category),OR(sel_Product="All",H498=sel_Product),AND(S498&gt;=m_From,S498&lt;=m_To)),1,0)</f>
        <v/>
      </c>
      <c r="V498" s="36">
        <f>IF(AND(OR(sel_Region="All",C498=sel_Region),OR(sel_Channel="All",E498=sel_Channel),OR(sel_Customer="All",F498=sel_Customer),OR(sel_Category="All",G498=sel_Category),OR(sel_Product="All",H498=sel_Product),AND(S498&gt;=m_From,S498&lt;=m_To)),1,0)</f>
        <v/>
      </c>
      <c r="W498" s="36">
        <f>IF(AND(OR(sel_Region="All",C498=sel_Region),OR(sel_Country="All",D498=sel_Country),OR(sel_Customer="All",F498=sel_Customer),OR(sel_Category="All",G498=sel_Category),OR(sel_Product="All",H498=sel_Product),AND(S498&gt;=m_From,S498&lt;=m_To)),1,0)</f>
        <v/>
      </c>
      <c r="X498" s="36">
        <f>IF(AND(OR(sel_Region="All",C498=sel_Region),OR(sel_Country="All",D498=sel_Country),OR(sel_Channel="All",E498=sel_Channel),OR(sel_Category="All",G498=sel_Category),OR(sel_Product="All",H498=sel_Product),AND(S498&gt;=m_From,S498&lt;=m_To)),1,0)</f>
        <v/>
      </c>
      <c r="Y498" s="36">
        <f>IF(AND(OR(sel_Region="All",C498=sel_Region),OR(sel_Country="All",D498=sel_Country),OR(sel_Channel="All",E498=sel_Channel),OR(sel_Customer="All",F498=sel_Customer),OR(sel_Product="All",H498=sel_Product),AND(S498&gt;=m_From,S498&lt;=m_To)),1,0)</f>
        <v/>
      </c>
      <c r="Z498" s="36">
        <f>IF(AND(OR(sel_Region="All",C498=sel_Region),OR(sel_Country="All",D498=sel_Country),OR(sel_Channel="All",E498=sel_Channel),OR(sel_Customer="All",F498=sel_Customer),OR(sel_Category="All",G498=sel_Category),AND(S498&gt;=m_From,S498&lt;=m_To)),1,0)</f>
        <v/>
      </c>
      <c r="AA498" s="36">
        <f>IF(AND(OR(sel_Region="All",C498=sel_Region),OR(sel_Country="All",D498=sel_Country),OR(sel_Channel="All",E498=sel_Channel),OR(sel_Customer="All",F498=sel_Customer),OR(sel_Category="All",G498=sel_Category),OR(sel_Product="All",H498=sel_Product)),1,0)</f>
        <v/>
      </c>
    </row>
    <row r="499">
      <c r="A499" s="36" t="inlineStr">
        <is>
          <t>01153</t>
        </is>
      </c>
      <c r="B499" s="44" t="n">
        <v>46116</v>
      </c>
      <c r="C499" s="36" t="inlineStr">
        <is>
          <t>Northern Europe</t>
        </is>
      </c>
      <c r="D499" s="36" t="inlineStr">
        <is>
          <t>Norway</t>
        </is>
      </c>
      <c r="E499" s="36" t="inlineStr">
        <is>
          <t>Retail Partners</t>
        </is>
      </c>
      <c r="F499" s="36" t="inlineStr">
        <is>
          <t>New</t>
        </is>
      </c>
      <c r="G499" s="36" t="inlineStr">
        <is>
          <t>Hiking</t>
        </is>
      </c>
      <c r="H499" s="36" t="inlineStr">
        <is>
          <t>Hiking Daypack 20L</t>
        </is>
      </c>
      <c r="I499" s="36" t="n">
        <v>4</v>
      </c>
      <c r="J499" s="39" t="n">
        <v>90.15000000000001</v>
      </c>
      <c r="K499" s="45" t="n">
        <v>0</v>
      </c>
      <c r="L499" s="39" t="n">
        <v>44.9</v>
      </c>
      <c r="M499" s="39">
        <f>I499*J499*(1-K499)</f>
        <v/>
      </c>
      <c r="N499" s="39">
        <f>I499*L499</f>
        <v/>
      </c>
      <c r="O499" s="39">
        <f>M499-N499</f>
        <v/>
      </c>
      <c r="P499" s="38">
        <f>IF(M499=0,0,O499/M499)</f>
        <v/>
      </c>
      <c r="Q499" s="36">
        <f>YEAR(B499)</f>
        <v/>
      </c>
      <c r="R499" s="36">
        <f>"Q"&amp;ROUNDUP(MONTH(B499)/3,0)</f>
        <v/>
      </c>
      <c r="S499" s="36">
        <f>MONTH(B499)</f>
        <v/>
      </c>
      <c r="T499" s="36">
        <f>TEXT(B499,"mmm")</f>
        <v/>
      </c>
      <c r="U499" s="36">
        <f>IF(AND(OR(sel_Region="All",C499=sel_Region),OR(sel_Country="All",D499=sel_Country),OR(sel_Channel="All",E499=sel_Channel),OR(sel_Customer="All",F499=sel_Customer),OR(sel_Category="All",G499=sel_Category),OR(sel_Product="All",H499=sel_Product),AND(S499&gt;=m_From,S499&lt;=m_To)),1,0)</f>
        <v/>
      </c>
      <c r="V499" s="36">
        <f>IF(AND(OR(sel_Region="All",C499=sel_Region),OR(sel_Channel="All",E499=sel_Channel),OR(sel_Customer="All",F499=sel_Customer),OR(sel_Category="All",G499=sel_Category),OR(sel_Product="All",H499=sel_Product),AND(S499&gt;=m_From,S499&lt;=m_To)),1,0)</f>
        <v/>
      </c>
      <c r="W499" s="36">
        <f>IF(AND(OR(sel_Region="All",C499=sel_Region),OR(sel_Country="All",D499=sel_Country),OR(sel_Customer="All",F499=sel_Customer),OR(sel_Category="All",G499=sel_Category),OR(sel_Product="All",H499=sel_Product),AND(S499&gt;=m_From,S499&lt;=m_To)),1,0)</f>
        <v/>
      </c>
      <c r="X499" s="36">
        <f>IF(AND(OR(sel_Region="All",C499=sel_Region),OR(sel_Country="All",D499=sel_Country),OR(sel_Channel="All",E499=sel_Channel),OR(sel_Category="All",G499=sel_Category),OR(sel_Product="All",H499=sel_Product),AND(S499&gt;=m_From,S499&lt;=m_To)),1,0)</f>
        <v/>
      </c>
      <c r="Y499" s="36">
        <f>IF(AND(OR(sel_Region="All",C499=sel_Region),OR(sel_Country="All",D499=sel_Country),OR(sel_Channel="All",E499=sel_Channel),OR(sel_Customer="All",F499=sel_Customer),OR(sel_Product="All",H499=sel_Product),AND(S499&gt;=m_From,S499&lt;=m_To)),1,0)</f>
        <v/>
      </c>
      <c r="Z499" s="36">
        <f>IF(AND(OR(sel_Region="All",C499=sel_Region),OR(sel_Country="All",D499=sel_Country),OR(sel_Channel="All",E499=sel_Channel),OR(sel_Customer="All",F499=sel_Customer),OR(sel_Category="All",G499=sel_Category),AND(S499&gt;=m_From,S499&lt;=m_To)),1,0)</f>
        <v/>
      </c>
      <c r="AA499" s="36">
        <f>IF(AND(OR(sel_Region="All",C499=sel_Region),OR(sel_Country="All",D499=sel_Country),OR(sel_Channel="All",E499=sel_Channel),OR(sel_Customer="All",F499=sel_Customer),OR(sel_Category="All",G499=sel_Category),OR(sel_Product="All",H499=sel_Product)),1,0)</f>
        <v/>
      </c>
    </row>
    <row r="500">
      <c r="A500" s="36" t="inlineStr">
        <is>
          <t>01383</t>
        </is>
      </c>
      <c r="B500" s="44" t="n">
        <v>46116</v>
      </c>
      <c r="C500" s="36" t="inlineStr">
        <is>
          <t>Western Europe</t>
        </is>
      </c>
      <c r="D500" s="36" t="inlineStr">
        <is>
          <t>Belgium</t>
        </is>
      </c>
      <c r="E500" s="36" t="inlineStr">
        <is>
          <t>Retail Partners</t>
        </is>
      </c>
      <c r="F500" s="36" t="inlineStr">
        <is>
          <t>Returning</t>
        </is>
      </c>
      <c r="G500" s="36" t="inlineStr">
        <is>
          <t>Cycling</t>
        </is>
      </c>
      <c r="H500" s="36" t="inlineStr">
        <is>
          <t>Trail Bike Light</t>
        </is>
      </c>
      <c r="I500" s="36" t="n">
        <v>1</v>
      </c>
      <c r="J500" s="39" t="n">
        <v>50.7</v>
      </c>
      <c r="K500" s="45" t="n">
        <v>0.05</v>
      </c>
      <c r="L500" s="39" t="n">
        <v>21.85</v>
      </c>
      <c r="M500" s="39">
        <f>I500*J500*(1-K500)</f>
        <v/>
      </c>
      <c r="N500" s="39">
        <f>I500*L500</f>
        <v/>
      </c>
      <c r="O500" s="39">
        <f>M500-N500</f>
        <v/>
      </c>
      <c r="P500" s="38">
        <f>IF(M500=0,0,O500/M500)</f>
        <v/>
      </c>
      <c r="Q500" s="36">
        <f>YEAR(B500)</f>
        <v/>
      </c>
      <c r="R500" s="36">
        <f>"Q"&amp;ROUNDUP(MONTH(B500)/3,0)</f>
        <v/>
      </c>
      <c r="S500" s="36">
        <f>MONTH(B500)</f>
        <v/>
      </c>
      <c r="T500" s="36">
        <f>TEXT(B500,"mmm")</f>
        <v/>
      </c>
      <c r="U500" s="36">
        <f>IF(AND(OR(sel_Region="All",C500=sel_Region),OR(sel_Country="All",D500=sel_Country),OR(sel_Channel="All",E500=sel_Channel),OR(sel_Customer="All",F500=sel_Customer),OR(sel_Category="All",G500=sel_Category),OR(sel_Product="All",H500=sel_Product),AND(S500&gt;=m_From,S500&lt;=m_To)),1,0)</f>
        <v/>
      </c>
      <c r="V500" s="36">
        <f>IF(AND(OR(sel_Region="All",C500=sel_Region),OR(sel_Channel="All",E500=sel_Channel),OR(sel_Customer="All",F500=sel_Customer),OR(sel_Category="All",G500=sel_Category),OR(sel_Product="All",H500=sel_Product),AND(S500&gt;=m_From,S500&lt;=m_To)),1,0)</f>
        <v/>
      </c>
      <c r="W500" s="36">
        <f>IF(AND(OR(sel_Region="All",C500=sel_Region),OR(sel_Country="All",D500=sel_Country),OR(sel_Customer="All",F500=sel_Customer),OR(sel_Category="All",G500=sel_Category),OR(sel_Product="All",H500=sel_Product),AND(S500&gt;=m_From,S500&lt;=m_To)),1,0)</f>
        <v/>
      </c>
      <c r="X500" s="36">
        <f>IF(AND(OR(sel_Region="All",C500=sel_Region),OR(sel_Country="All",D500=sel_Country),OR(sel_Channel="All",E500=sel_Channel),OR(sel_Category="All",G500=sel_Category),OR(sel_Product="All",H500=sel_Product),AND(S500&gt;=m_From,S500&lt;=m_To)),1,0)</f>
        <v/>
      </c>
      <c r="Y500" s="36">
        <f>IF(AND(OR(sel_Region="All",C500=sel_Region),OR(sel_Country="All",D500=sel_Country),OR(sel_Channel="All",E500=sel_Channel),OR(sel_Customer="All",F500=sel_Customer),OR(sel_Product="All",H500=sel_Product),AND(S500&gt;=m_From,S500&lt;=m_To)),1,0)</f>
        <v/>
      </c>
      <c r="Z500" s="36">
        <f>IF(AND(OR(sel_Region="All",C500=sel_Region),OR(sel_Country="All",D500=sel_Country),OR(sel_Channel="All",E500=sel_Channel),OR(sel_Customer="All",F500=sel_Customer),OR(sel_Category="All",G500=sel_Category),AND(S500&gt;=m_From,S500&lt;=m_To)),1,0)</f>
        <v/>
      </c>
      <c r="AA500" s="36">
        <f>IF(AND(OR(sel_Region="All",C500=sel_Region),OR(sel_Country="All",D500=sel_Country),OR(sel_Channel="All",E500=sel_Channel),OR(sel_Customer="All",F500=sel_Customer),OR(sel_Category="All",G500=sel_Category),OR(sel_Product="All",H500=sel_Product)),1,0)</f>
        <v/>
      </c>
    </row>
    <row r="501">
      <c r="A501" s="36" t="inlineStr">
        <is>
          <t>02583</t>
        </is>
      </c>
      <c r="B501" s="44" t="n">
        <v>46116</v>
      </c>
      <c r="C501" s="36" t="inlineStr">
        <is>
          <t>Southern Europe</t>
        </is>
      </c>
      <c r="D501" s="36" t="inlineStr">
        <is>
          <t>Spain</t>
        </is>
      </c>
      <c r="E501" s="36" t="inlineStr">
        <is>
          <t>Online Store</t>
        </is>
      </c>
      <c r="F501" s="36" t="inlineStr">
        <is>
          <t>Returning</t>
        </is>
      </c>
      <c r="G501" s="36" t="inlineStr">
        <is>
          <t>Fitness</t>
        </is>
      </c>
      <c r="H501" s="36" t="inlineStr">
        <is>
          <t>Resistance Band Set</t>
        </is>
      </c>
      <c r="I501" s="36" t="n">
        <v>1</v>
      </c>
      <c r="J501" s="39" t="n">
        <v>41.13</v>
      </c>
      <c r="K501" s="45" t="n">
        <v>0</v>
      </c>
      <c r="L501" s="39" t="n">
        <v>15.04</v>
      </c>
      <c r="M501" s="39">
        <f>I501*J501*(1-K501)</f>
        <v/>
      </c>
      <c r="N501" s="39">
        <f>I501*L501</f>
        <v/>
      </c>
      <c r="O501" s="39">
        <f>M501-N501</f>
        <v/>
      </c>
      <c r="P501" s="38">
        <f>IF(M501=0,0,O501/M501)</f>
        <v/>
      </c>
      <c r="Q501" s="36">
        <f>YEAR(B501)</f>
        <v/>
      </c>
      <c r="R501" s="36">
        <f>"Q"&amp;ROUNDUP(MONTH(B501)/3,0)</f>
        <v/>
      </c>
      <c r="S501" s="36">
        <f>MONTH(B501)</f>
        <v/>
      </c>
      <c r="T501" s="36">
        <f>TEXT(B501,"mmm")</f>
        <v/>
      </c>
      <c r="U501" s="36">
        <f>IF(AND(OR(sel_Region="All",C501=sel_Region),OR(sel_Country="All",D501=sel_Country),OR(sel_Channel="All",E501=sel_Channel),OR(sel_Customer="All",F501=sel_Customer),OR(sel_Category="All",G501=sel_Category),OR(sel_Product="All",H501=sel_Product),AND(S501&gt;=m_From,S501&lt;=m_To)),1,0)</f>
        <v/>
      </c>
      <c r="V501" s="36">
        <f>IF(AND(OR(sel_Region="All",C501=sel_Region),OR(sel_Channel="All",E501=sel_Channel),OR(sel_Customer="All",F501=sel_Customer),OR(sel_Category="All",G501=sel_Category),OR(sel_Product="All",H501=sel_Product),AND(S501&gt;=m_From,S501&lt;=m_To)),1,0)</f>
        <v/>
      </c>
      <c r="W501" s="36">
        <f>IF(AND(OR(sel_Region="All",C501=sel_Region),OR(sel_Country="All",D501=sel_Country),OR(sel_Customer="All",F501=sel_Customer),OR(sel_Category="All",G501=sel_Category),OR(sel_Product="All",H501=sel_Product),AND(S501&gt;=m_From,S501&lt;=m_To)),1,0)</f>
        <v/>
      </c>
      <c r="X501" s="36">
        <f>IF(AND(OR(sel_Region="All",C501=sel_Region),OR(sel_Country="All",D501=sel_Country),OR(sel_Channel="All",E501=sel_Channel),OR(sel_Category="All",G501=sel_Category),OR(sel_Product="All",H501=sel_Product),AND(S501&gt;=m_From,S501&lt;=m_To)),1,0)</f>
        <v/>
      </c>
      <c r="Y501" s="36">
        <f>IF(AND(OR(sel_Region="All",C501=sel_Region),OR(sel_Country="All",D501=sel_Country),OR(sel_Channel="All",E501=sel_Channel),OR(sel_Customer="All",F501=sel_Customer),OR(sel_Product="All",H501=sel_Product),AND(S501&gt;=m_From,S501&lt;=m_To)),1,0)</f>
        <v/>
      </c>
      <c r="Z501" s="36">
        <f>IF(AND(OR(sel_Region="All",C501=sel_Region),OR(sel_Country="All",D501=sel_Country),OR(sel_Channel="All",E501=sel_Channel),OR(sel_Customer="All",F501=sel_Customer),OR(sel_Category="All",G501=sel_Category),AND(S501&gt;=m_From,S501&lt;=m_To)),1,0)</f>
        <v/>
      </c>
      <c r="AA501" s="36">
        <f>IF(AND(OR(sel_Region="All",C501=sel_Region),OR(sel_Country="All",D501=sel_Country),OR(sel_Channel="All",E501=sel_Channel),OR(sel_Customer="All",F501=sel_Customer),OR(sel_Category="All",G501=sel_Category),OR(sel_Product="All",H501=sel_Product)),1,0)</f>
        <v/>
      </c>
    </row>
    <row r="502">
      <c r="A502" s="36" t="inlineStr">
        <is>
          <t>04074</t>
        </is>
      </c>
      <c r="B502" s="44" t="n">
        <v>46116</v>
      </c>
      <c r="C502" s="36" t="inlineStr">
        <is>
          <t>Central Europe</t>
        </is>
      </c>
      <c r="D502" s="36" t="inlineStr">
        <is>
          <t>Czechia</t>
        </is>
      </c>
      <c r="E502" s="36" t="inlineStr">
        <is>
          <t>Retail Partners</t>
        </is>
      </c>
      <c r="F502" s="36" t="inlineStr">
        <is>
          <t>Returning</t>
        </is>
      </c>
      <c r="G502" s="36" t="inlineStr">
        <is>
          <t>Camping</t>
        </is>
      </c>
      <c r="H502" s="36" t="inlineStr">
        <is>
          <t>Compact Sleeping Bag</t>
        </is>
      </c>
      <c r="I502" s="36" t="n">
        <v>1</v>
      </c>
      <c r="J502" s="39" t="n">
        <v>121.66</v>
      </c>
      <c r="K502" s="45" t="n">
        <v>0</v>
      </c>
      <c r="L502" s="39" t="n">
        <v>61.37</v>
      </c>
      <c r="M502" s="39">
        <f>I502*J502*(1-K502)</f>
        <v/>
      </c>
      <c r="N502" s="39">
        <f>I502*L502</f>
        <v/>
      </c>
      <c r="O502" s="39">
        <f>M502-N502</f>
        <v/>
      </c>
      <c r="P502" s="38">
        <f>IF(M502=0,0,O502/M502)</f>
        <v/>
      </c>
      <c r="Q502" s="36">
        <f>YEAR(B502)</f>
        <v/>
      </c>
      <c r="R502" s="36">
        <f>"Q"&amp;ROUNDUP(MONTH(B502)/3,0)</f>
        <v/>
      </c>
      <c r="S502" s="36">
        <f>MONTH(B502)</f>
        <v/>
      </c>
      <c r="T502" s="36">
        <f>TEXT(B502,"mmm")</f>
        <v/>
      </c>
      <c r="U502" s="36">
        <f>IF(AND(OR(sel_Region="All",C502=sel_Region),OR(sel_Country="All",D502=sel_Country),OR(sel_Channel="All",E502=sel_Channel),OR(sel_Customer="All",F502=sel_Customer),OR(sel_Category="All",G502=sel_Category),OR(sel_Product="All",H502=sel_Product),AND(S502&gt;=m_From,S502&lt;=m_To)),1,0)</f>
        <v/>
      </c>
      <c r="V502" s="36">
        <f>IF(AND(OR(sel_Region="All",C502=sel_Region),OR(sel_Channel="All",E502=sel_Channel),OR(sel_Customer="All",F502=sel_Customer),OR(sel_Category="All",G502=sel_Category),OR(sel_Product="All",H502=sel_Product),AND(S502&gt;=m_From,S502&lt;=m_To)),1,0)</f>
        <v/>
      </c>
      <c r="W502" s="36">
        <f>IF(AND(OR(sel_Region="All",C502=sel_Region),OR(sel_Country="All",D502=sel_Country),OR(sel_Customer="All",F502=sel_Customer),OR(sel_Category="All",G502=sel_Category),OR(sel_Product="All",H502=sel_Product),AND(S502&gt;=m_From,S502&lt;=m_To)),1,0)</f>
        <v/>
      </c>
      <c r="X502" s="36">
        <f>IF(AND(OR(sel_Region="All",C502=sel_Region),OR(sel_Country="All",D502=sel_Country),OR(sel_Channel="All",E502=sel_Channel),OR(sel_Category="All",G502=sel_Category),OR(sel_Product="All",H502=sel_Product),AND(S502&gt;=m_From,S502&lt;=m_To)),1,0)</f>
        <v/>
      </c>
      <c r="Y502" s="36">
        <f>IF(AND(OR(sel_Region="All",C502=sel_Region),OR(sel_Country="All",D502=sel_Country),OR(sel_Channel="All",E502=sel_Channel),OR(sel_Customer="All",F502=sel_Customer),OR(sel_Product="All",H502=sel_Product),AND(S502&gt;=m_From,S502&lt;=m_To)),1,0)</f>
        <v/>
      </c>
      <c r="Z502" s="36">
        <f>IF(AND(OR(sel_Region="All",C502=sel_Region),OR(sel_Country="All",D502=sel_Country),OR(sel_Channel="All",E502=sel_Channel),OR(sel_Customer="All",F502=sel_Customer),OR(sel_Category="All",G502=sel_Category),AND(S502&gt;=m_From,S502&lt;=m_To)),1,0)</f>
        <v/>
      </c>
      <c r="AA502" s="36">
        <f>IF(AND(OR(sel_Region="All",C502=sel_Region),OR(sel_Country="All",D502=sel_Country),OR(sel_Channel="All",E502=sel_Channel),OR(sel_Customer="All",F502=sel_Customer),OR(sel_Category="All",G502=sel_Category),OR(sel_Product="All",H502=sel_Product)),1,0)</f>
        <v/>
      </c>
    </row>
    <row r="503">
      <c r="A503" s="36" t="inlineStr">
        <is>
          <t>04301</t>
        </is>
      </c>
      <c r="B503" s="44" t="n">
        <v>46116</v>
      </c>
      <c r="C503" s="36" t="inlineStr">
        <is>
          <t>Northern Europe</t>
        </is>
      </c>
      <c r="D503" s="36" t="inlineStr">
        <is>
          <t>Norway</t>
        </is>
      </c>
      <c r="E503" s="36" t="inlineStr">
        <is>
          <t>Retail Partners</t>
        </is>
      </c>
      <c r="F503" s="36" t="inlineStr">
        <is>
          <t>New</t>
        </is>
      </c>
      <c r="G503" s="36" t="inlineStr">
        <is>
          <t>Fitness</t>
        </is>
      </c>
      <c r="H503" s="36" t="inlineStr">
        <is>
          <t>Weighted Vest</t>
        </is>
      </c>
      <c r="I503" s="36" t="n">
        <v>1</v>
      </c>
      <c r="J503" s="39" t="n">
        <v>122.77</v>
      </c>
      <c r="K503" s="45" t="n">
        <v>0.1</v>
      </c>
      <c r="L503" s="39" t="n">
        <v>70.59</v>
      </c>
      <c r="M503" s="39">
        <f>I503*J503*(1-K503)</f>
        <v/>
      </c>
      <c r="N503" s="39">
        <f>I503*L503</f>
        <v/>
      </c>
      <c r="O503" s="39">
        <f>M503-N503</f>
        <v/>
      </c>
      <c r="P503" s="38">
        <f>IF(M503=0,0,O503/M503)</f>
        <v/>
      </c>
      <c r="Q503" s="36">
        <f>YEAR(B503)</f>
        <v/>
      </c>
      <c r="R503" s="36">
        <f>"Q"&amp;ROUNDUP(MONTH(B503)/3,0)</f>
        <v/>
      </c>
      <c r="S503" s="36">
        <f>MONTH(B503)</f>
        <v/>
      </c>
      <c r="T503" s="36">
        <f>TEXT(B503,"mmm")</f>
        <v/>
      </c>
      <c r="U503" s="36">
        <f>IF(AND(OR(sel_Region="All",C503=sel_Region),OR(sel_Country="All",D503=sel_Country),OR(sel_Channel="All",E503=sel_Channel),OR(sel_Customer="All",F503=sel_Customer),OR(sel_Category="All",G503=sel_Category),OR(sel_Product="All",H503=sel_Product),AND(S503&gt;=m_From,S503&lt;=m_To)),1,0)</f>
        <v/>
      </c>
      <c r="V503" s="36">
        <f>IF(AND(OR(sel_Region="All",C503=sel_Region),OR(sel_Channel="All",E503=sel_Channel),OR(sel_Customer="All",F503=sel_Customer),OR(sel_Category="All",G503=sel_Category),OR(sel_Product="All",H503=sel_Product),AND(S503&gt;=m_From,S503&lt;=m_To)),1,0)</f>
        <v/>
      </c>
      <c r="W503" s="36">
        <f>IF(AND(OR(sel_Region="All",C503=sel_Region),OR(sel_Country="All",D503=sel_Country),OR(sel_Customer="All",F503=sel_Customer),OR(sel_Category="All",G503=sel_Category),OR(sel_Product="All",H503=sel_Product),AND(S503&gt;=m_From,S503&lt;=m_To)),1,0)</f>
        <v/>
      </c>
      <c r="X503" s="36">
        <f>IF(AND(OR(sel_Region="All",C503=sel_Region),OR(sel_Country="All",D503=sel_Country),OR(sel_Channel="All",E503=sel_Channel),OR(sel_Category="All",G503=sel_Category),OR(sel_Product="All",H503=sel_Product),AND(S503&gt;=m_From,S503&lt;=m_To)),1,0)</f>
        <v/>
      </c>
      <c r="Y503" s="36">
        <f>IF(AND(OR(sel_Region="All",C503=sel_Region),OR(sel_Country="All",D503=sel_Country),OR(sel_Channel="All",E503=sel_Channel),OR(sel_Customer="All",F503=sel_Customer),OR(sel_Product="All",H503=sel_Product),AND(S503&gt;=m_From,S503&lt;=m_To)),1,0)</f>
        <v/>
      </c>
      <c r="Z503" s="36">
        <f>IF(AND(OR(sel_Region="All",C503=sel_Region),OR(sel_Country="All",D503=sel_Country),OR(sel_Channel="All",E503=sel_Channel),OR(sel_Customer="All",F503=sel_Customer),OR(sel_Category="All",G503=sel_Category),AND(S503&gt;=m_From,S503&lt;=m_To)),1,0)</f>
        <v/>
      </c>
      <c r="AA503" s="36">
        <f>IF(AND(OR(sel_Region="All",C503=sel_Region),OR(sel_Country="All",D503=sel_Country),OR(sel_Channel="All",E503=sel_Channel),OR(sel_Customer="All",F503=sel_Customer),OR(sel_Category="All",G503=sel_Category),OR(sel_Product="All",H503=sel_Product)),1,0)</f>
        <v/>
      </c>
    </row>
    <row r="504">
      <c r="A504" s="36" t="inlineStr">
        <is>
          <t>04692</t>
        </is>
      </c>
      <c r="B504" s="44" t="n">
        <v>46116</v>
      </c>
      <c r="C504" s="36" t="inlineStr">
        <is>
          <t>Western Europe</t>
        </is>
      </c>
      <c r="D504" s="36" t="inlineStr">
        <is>
          <t>France</t>
        </is>
      </c>
      <c r="E504" s="36" t="inlineStr">
        <is>
          <t>Online Store</t>
        </is>
      </c>
      <c r="F504" s="36" t="inlineStr">
        <is>
          <t>Returning</t>
        </is>
      </c>
      <c r="G504" s="36" t="inlineStr">
        <is>
          <t>Cycling</t>
        </is>
      </c>
      <c r="H504" s="36" t="inlineStr">
        <is>
          <t>Trail Bike Light</t>
        </is>
      </c>
      <c r="I504" s="36" t="n">
        <v>1</v>
      </c>
      <c r="J504" s="39" t="n">
        <v>49.96</v>
      </c>
      <c r="K504" s="45" t="n">
        <v>0</v>
      </c>
      <c r="L504" s="39" t="n">
        <v>22.13</v>
      </c>
      <c r="M504" s="39">
        <f>I504*J504*(1-K504)</f>
        <v/>
      </c>
      <c r="N504" s="39">
        <f>I504*L504</f>
        <v/>
      </c>
      <c r="O504" s="39">
        <f>M504-N504</f>
        <v/>
      </c>
      <c r="P504" s="38">
        <f>IF(M504=0,0,O504/M504)</f>
        <v/>
      </c>
      <c r="Q504" s="36">
        <f>YEAR(B504)</f>
        <v/>
      </c>
      <c r="R504" s="36">
        <f>"Q"&amp;ROUNDUP(MONTH(B504)/3,0)</f>
        <v/>
      </c>
      <c r="S504" s="36">
        <f>MONTH(B504)</f>
        <v/>
      </c>
      <c r="T504" s="36">
        <f>TEXT(B504,"mmm")</f>
        <v/>
      </c>
      <c r="U504" s="36">
        <f>IF(AND(OR(sel_Region="All",C504=sel_Region),OR(sel_Country="All",D504=sel_Country),OR(sel_Channel="All",E504=sel_Channel),OR(sel_Customer="All",F504=sel_Customer),OR(sel_Category="All",G504=sel_Category),OR(sel_Product="All",H504=sel_Product),AND(S504&gt;=m_From,S504&lt;=m_To)),1,0)</f>
        <v/>
      </c>
      <c r="V504" s="36">
        <f>IF(AND(OR(sel_Region="All",C504=sel_Region),OR(sel_Channel="All",E504=sel_Channel),OR(sel_Customer="All",F504=sel_Customer),OR(sel_Category="All",G504=sel_Category),OR(sel_Product="All",H504=sel_Product),AND(S504&gt;=m_From,S504&lt;=m_To)),1,0)</f>
        <v/>
      </c>
      <c r="W504" s="36">
        <f>IF(AND(OR(sel_Region="All",C504=sel_Region),OR(sel_Country="All",D504=sel_Country),OR(sel_Customer="All",F504=sel_Customer),OR(sel_Category="All",G504=sel_Category),OR(sel_Product="All",H504=sel_Product),AND(S504&gt;=m_From,S504&lt;=m_To)),1,0)</f>
        <v/>
      </c>
      <c r="X504" s="36">
        <f>IF(AND(OR(sel_Region="All",C504=sel_Region),OR(sel_Country="All",D504=sel_Country),OR(sel_Channel="All",E504=sel_Channel),OR(sel_Category="All",G504=sel_Category),OR(sel_Product="All",H504=sel_Product),AND(S504&gt;=m_From,S504&lt;=m_To)),1,0)</f>
        <v/>
      </c>
      <c r="Y504" s="36">
        <f>IF(AND(OR(sel_Region="All",C504=sel_Region),OR(sel_Country="All",D504=sel_Country),OR(sel_Channel="All",E504=sel_Channel),OR(sel_Customer="All",F504=sel_Customer),OR(sel_Product="All",H504=sel_Product),AND(S504&gt;=m_From,S504&lt;=m_To)),1,0)</f>
        <v/>
      </c>
      <c r="Z504" s="36">
        <f>IF(AND(OR(sel_Region="All",C504=sel_Region),OR(sel_Country="All",D504=sel_Country),OR(sel_Channel="All",E504=sel_Channel),OR(sel_Customer="All",F504=sel_Customer),OR(sel_Category="All",G504=sel_Category),AND(S504&gt;=m_From,S504&lt;=m_To)),1,0)</f>
        <v/>
      </c>
      <c r="AA504" s="36">
        <f>IF(AND(OR(sel_Region="All",C504=sel_Region),OR(sel_Country="All",D504=sel_Country),OR(sel_Channel="All",E504=sel_Channel),OR(sel_Customer="All",F504=sel_Customer),OR(sel_Category="All",G504=sel_Category),OR(sel_Product="All",H504=sel_Product)),1,0)</f>
        <v/>
      </c>
    </row>
    <row r="505">
      <c r="A505" s="36" t="inlineStr">
        <is>
          <t>01951</t>
        </is>
      </c>
      <c r="B505" s="44" t="n">
        <v>46117</v>
      </c>
      <c r="C505" s="36" t="inlineStr">
        <is>
          <t>Western Europe</t>
        </is>
      </c>
      <c r="D505" s="36" t="inlineStr">
        <is>
          <t>United Kingdom</t>
        </is>
      </c>
      <c r="E505" s="36" t="inlineStr">
        <is>
          <t>Marketplace</t>
        </is>
      </c>
      <c r="F505" s="36" t="inlineStr">
        <is>
          <t>Returning</t>
        </is>
      </c>
      <c r="G505" s="36" t="inlineStr">
        <is>
          <t>Hiking</t>
        </is>
      </c>
      <c r="H505" s="36" t="inlineStr">
        <is>
          <t>Summit Backpack 45L</t>
        </is>
      </c>
      <c r="I505" s="36" t="n">
        <v>2</v>
      </c>
      <c r="J505" s="39" t="n">
        <v>155.13</v>
      </c>
      <c r="K505" s="45" t="n">
        <v>0.15</v>
      </c>
      <c r="L505" s="39" t="n">
        <v>80.95999999999999</v>
      </c>
      <c r="M505" s="39">
        <f>I505*J505*(1-K505)</f>
        <v/>
      </c>
      <c r="N505" s="39">
        <f>I505*L505</f>
        <v/>
      </c>
      <c r="O505" s="39">
        <f>M505-N505</f>
        <v/>
      </c>
      <c r="P505" s="38">
        <f>IF(M505=0,0,O505/M505)</f>
        <v/>
      </c>
      <c r="Q505" s="36">
        <f>YEAR(B505)</f>
        <v/>
      </c>
      <c r="R505" s="36">
        <f>"Q"&amp;ROUNDUP(MONTH(B505)/3,0)</f>
        <v/>
      </c>
      <c r="S505" s="36">
        <f>MONTH(B505)</f>
        <v/>
      </c>
      <c r="T505" s="36">
        <f>TEXT(B505,"mmm")</f>
        <v/>
      </c>
      <c r="U505" s="36">
        <f>IF(AND(OR(sel_Region="All",C505=sel_Region),OR(sel_Country="All",D505=sel_Country),OR(sel_Channel="All",E505=sel_Channel),OR(sel_Customer="All",F505=sel_Customer),OR(sel_Category="All",G505=sel_Category),OR(sel_Product="All",H505=sel_Product),AND(S505&gt;=m_From,S505&lt;=m_To)),1,0)</f>
        <v/>
      </c>
      <c r="V505" s="36">
        <f>IF(AND(OR(sel_Region="All",C505=sel_Region),OR(sel_Channel="All",E505=sel_Channel),OR(sel_Customer="All",F505=sel_Customer),OR(sel_Category="All",G505=sel_Category),OR(sel_Product="All",H505=sel_Product),AND(S505&gt;=m_From,S505&lt;=m_To)),1,0)</f>
        <v/>
      </c>
      <c r="W505" s="36">
        <f>IF(AND(OR(sel_Region="All",C505=sel_Region),OR(sel_Country="All",D505=sel_Country),OR(sel_Customer="All",F505=sel_Customer),OR(sel_Category="All",G505=sel_Category),OR(sel_Product="All",H505=sel_Product),AND(S505&gt;=m_From,S505&lt;=m_To)),1,0)</f>
        <v/>
      </c>
      <c r="X505" s="36">
        <f>IF(AND(OR(sel_Region="All",C505=sel_Region),OR(sel_Country="All",D505=sel_Country),OR(sel_Channel="All",E505=sel_Channel),OR(sel_Category="All",G505=sel_Category),OR(sel_Product="All",H505=sel_Product),AND(S505&gt;=m_From,S505&lt;=m_To)),1,0)</f>
        <v/>
      </c>
      <c r="Y505" s="36">
        <f>IF(AND(OR(sel_Region="All",C505=sel_Region),OR(sel_Country="All",D505=sel_Country),OR(sel_Channel="All",E505=sel_Channel),OR(sel_Customer="All",F505=sel_Customer),OR(sel_Product="All",H505=sel_Product),AND(S505&gt;=m_From,S505&lt;=m_To)),1,0)</f>
        <v/>
      </c>
      <c r="Z505" s="36">
        <f>IF(AND(OR(sel_Region="All",C505=sel_Region),OR(sel_Country="All",D505=sel_Country),OR(sel_Channel="All",E505=sel_Channel),OR(sel_Customer="All",F505=sel_Customer),OR(sel_Category="All",G505=sel_Category),AND(S505&gt;=m_From,S505&lt;=m_To)),1,0)</f>
        <v/>
      </c>
      <c r="AA505" s="36">
        <f>IF(AND(OR(sel_Region="All",C505=sel_Region),OR(sel_Country="All",D505=sel_Country),OR(sel_Channel="All",E505=sel_Channel),OR(sel_Customer="All",F505=sel_Customer),OR(sel_Category="All",G505=sel_Category),OR(sel_Product="All",H505=sel_Product)),1,0)</f>
        <v/>
      </c>
    </row>
    <row r="506">
      <c r="A506" s="36" t="inlineStr">
        <is>
          <t>02111</t>
        </is>
      </c>
      <c r="B506" s="44" t="n">
        <v>46117</v>
      </c>
      <c r="C506" s="36" t="inlineStr">
        <is>
          <t>Western Europe</t>
        </is>
      </c>
      <c r="D506" s="36" t="inlineStr">
        <is>
          <t>France</t>
        </is>
      </c>
      <c r="E506" s="36" t="inlineStr">
        <is>
          <t>Online Store</t>
        </is>
      </c>
      <c r="F506" s="36" t="inlineStr">
        <is>
          <t>New</t>
        </is>
      </c>
      <c r="G506" s="36" t="inlineStr">
        <is>
          <t>Hiking</t>
        </is>
      </c>
      <c r="H506" s="36" t="inlineStr">
        <is>
          <t>Trekking Poles</t>
        </is>
      </c>
      <c r="I506" s="36" t="n">
        <v>3</v>
      </c>
      <c r="J506" s="39" t="n">
        <v>69.83</v>
      </c>
      <c r="K506" s="45" t="n">
        <v>0.05</v>
      </c>
      <c r="L506" s="39" t="n">
        <v>31.53</v>
      </c>
      <c r="M506" s="39">
        <f>I506*J506*(1-K506)</f>
        <v/>
      </c>
      <c r="N506" s="39">
        <f>I506*L506</f>
        <v/>
      </c>
      <c r="O506" s="39">
        <f>M506-N506</f>
        <v/>
      </c>
      <c r="P506" s="38">
        <f>IF(M506=0,0,O506/M506)</f>
        <v/>
      </c>
      <c r="Q506" s="36">
        <f>YEAR(B506)</f>
        <v/>
      </c>
      <c r="R506" s="36">
        <f>"Q"&amp;ROUNDUP(MONTH(B506)/3,0)</f>
        <v/>
      </c>
      <c r="S506" s="36">
        <f>MONTH(B506)</f>
        <v/>
      </c>
      <c r="T506" s="36">
        <f>TEXT(B506,"mmm")</f>
        <v/>
      </c>
      <c r="U506" s="36">
        <f>IF(AND(OR(sel_Region="All",C506=sel_Region),OR(sel_Country="All",D506=sel_Country),OR(sel_Channel="All",E506=sel_Channel),OR(sel_Customer="All",F506=sel_Customer),OR(sel_Category="All",G506=sel_Category),OR(sel_Product="All",H506=sel_Product),AND(S506&gt;=m_From,S506&lt;=m_To)),1,0)</f>
        <v/>
      </c>
      <c r="V506" s="36">
        <f>IF(AND(OR(sel_Region="All",C506=sel_Region),OR(sel_Channel="All",E506=sel_Channel),OR(sel_Customer="All",F506=sel_Customer),OR(sel_Category="All",G506=sel_Category),OR(sel_Product="All",H506=sel_Product),AND(S506&gt;=m_From,S506&lt;=m_To)),1,0)</f>
        <v/>
      </c>
      <c r="W506" s="36">
        <f>IF(AND(OR(sel_Region="All",C506=sel_Region),OR(sel_Country="All",D506=sel_Country),OR(sel_Customer="All",F506=sel_Customer),OR(sel_Category="All",G506=sel_Category),OR(sel_Product="All",H506=sel_Product),AND(S506&gt;=m_From,S506&lt;=m_To)),1,0)</f>
        <v/>
      </c>
      <c r="X506" s="36">
        <f>IF(AND(OR(sel_Region="All",C506=sel_Region),OR(sel_Country="All",D506=sel_Country),OR(sel_Channel="All",E506=sel_Channel),OR(sel_Category="All",G506=sel_Category),OR(sel_Product="All",H506=sel_Product),AND(S506&gt;=m_From,S506&lt;=m_To)),1,0)</f>
        <v/>
      </c>
      <c r="Y506" s="36">
        <f>IF(AND(OR(sel_Region="All",C506=sel_Region),OR(sel_Country="All",D506=sel_Country),OR(sel_Channel="All",E506=sel_Channel),OR(sel_Customer="All",F506=sel_Customer),OR(sel_Product="All",H506=sel_Product),AND(S506&gt;=m_From,S506&lt;=m_To)),1,0)</f>
        <v/>
      </c>
      <c r="Z506" s="36">
        <f>IF(AND(OR(sel_Region="All",C506=sel_Region),OR(sel_Country="All",D506=sel_Country),OR(sel_Channel="All",E506=sel_Channel),OR(sel_Customer="All",F506=sel_Customer),OR(sel_Category="All",G506=sel_Category),AND(S506&gt;=m_From,S506&lt;=m_To)),1,0)</f>
        <v/>
      </c>
      <c r="AA506" s="36">
        <f>IF(AND(OR(sel_Region="All",C506=sel_Region),OR(sel_Country="All",D506=sel_Country),OR(sel_Channel="All",E506=sel_Channel),OR(sel_Customer="All",F506=sel_Customer),OR(sel_Category="All",G506=sel_Category),OR(sel_Product="All",H506=sel_Product)),1,0)</f>
        <v/>
      </c>
    </row>
    <row r="507">
      <c r="A507" s="36" t="inlineStr">
        <is>
          <t>02933</t>
        </is>
      </c>
      <c r="B507" s="44" t="n">
        <v>46117</v>
      </c>
      <c r="C507" s="36" t="inlineStr">
        <is>
          <t>Central Europe</t>
        </is>
      </c>
      <c r="D507" s="36" t="inlineStr">
        <is>
          <t>Austria</t>
        </is>
      </c>
      <c r="E507" s="36" t="inlineStr">
        <is>
          <t>Retail Partners</t>
        </is>
      </c>
      <c r="F507" s="36" t="inlineStr">
        <is>
          <t>Returning</t>
        </is>
      </c>
      <c r="G507" s="36" t="inlineStr">
        <is>
          <t>Travel</t>
        </is>
      </c>
      <c r="H507" s="36" t="inlineStr">
        <is>
          <t>Insulated Bottle</t>
        </is>
      </c>
      <c r="I507" s="36" t="n">
        <v>1</v>
      </c>
      <c r="J507" s="39" t="n">
        <v>35.4</v>
      </c>
      <c r="K507" s="45" t="n">
        <v>0</v>
      </c>
      <c r="L507" s="39" t="n">
        <v>13.37</v>
      </c>
      <c r="M507" s="39">
        <f>I507*J507*(1-K507)</f>
        <v/>
      </c>
      <c r="N507" s="39">
        <f>I507*L507</f>
        <v/>
      </c>
      <c r="O507" s="39">
        <f>M507-N507</f>
        <v/>
      </c>
      <c r="P507" s="38">
        <f>IF(M507=0,0,O507/M507)</f>
        <v/>
      </c>
      <c r="Q507" s="36">
        <f>YEAR(B507)</f>
        <v/>
      </c>
      <c r="R507" s="36">
        <f>"Q"&amp;ROUNDUP(MONTH(B507)/3,0)</f>
        <v/>
      </c>
      <c r="S507" s="36">
        <f>MONTH(B507)</f>
        <v/>
      </c>
      <c r="T507" s="36">
        <f>TEXT(B507,"mmm")</f>
        <v/>
      </c>
      <c r="U507" s="36">
        <f>IF(AND(OR(sel_Region="All",C507=sel_Region),OR(sel_Country="All",D507=sel_Country),OR(sel_Channel="All",E507=sel_Channel),OR(sel_Customer="All",F507=sel_Customer),OR(sel_Category="All",G507=sel_Category),OR(sel_Product="All",H507=sel_Product),AND(S507&gt;=m_From,S507&lt;=m_To)),1,0)</f>
        <v/>
      </c>
      <c r="V507" s="36">
        <f>IF(AND(OR(sel_Region="All",C507=sel_Region),OR(sel_Channel="All",E507=sel_Channel),OR(sel_Customer="All",F507=sel_Customer),OR(sel_Category="All",G507=sel_Category),OR(sel_Product="All",H507=sel_Product),AND(S507&gt;=m_From,S507&lt;=m_To)),1,0)</f>
        <v/>
      </c>
      <c r="W507" s="36">
        <f>IF(AND(OR(sel_Region="All",C507=sel_Region),OR(sel_Country="All",D507=sel_Country),OR(sel_Customer="All",F507=sel_Customer),OR(sel_Category="All",G507=sel_Category),OR(sel_Product="All",H507=sel_Product),AND(S507&gt;=m_From,S507&lt;=m_To)),1,0)</f>
        <v/>
      </c>
      <c r="X507" s="36">
        <f>IF(AND(OR(sel_Region="All",C507=sel_Region),OR(sel_Country="All",D507=sel_Country),OR(sel_Channel="All",E507=sel_Channel),OR(sel_Category="All",G507=sel_Category),OR(sel_Product="All",H507=sel_Product),AND(S507&gt;=m_From,S507&lt;=m_To)),1,0)</f>
        <v/>
      </c>
      <c r="Y507" s="36">
        <f>IF(AND(OR(sel_Region="All",C507=sel_Region),OR(sel_Country="All",D507=sel_Country),OR(sel_Channel="All",E507=sel_Channel),OR(sel_Customer="All",F507=sel_Customer),OR(sel_Product="All",H507=sel_Product),AND(S507&gt;=m_From,S507&lt;=m_To)),1,0)</f>
        <v/>
      </c>
      <c r="Z507" s="36">
        <f>IF(AND(OR(sel_Region="All",C507=sel_Region),OR(sel_Country="All",D507=sel_Country),OR(sel_Channel="All",E507=sel_Channel),OR(sel_Customer="All",F507=sel_Customer),OR(sel_Category="All",G507=sel_Category),AND(S507&gt;=m_From,S507&lt;=m_To)),1,0)</f>
        <v/>
      </c>
      <c r="AA507" s="36">
        <f>IF(AND(OR(sel_Region="All",C507=sel_Region),OR(sel_Country="All",D507=sel_Country),OR(sel_Channel="All",E507=sel_Channel),OR(sel_Customer="All",F507=sel_Customer),OR(sel_Category="All",G507=sel_Category),OR(sel_Product="All",H507=sel_Product)),1,0)</f>
        <v/>
      </c>
    </row>
    <row r="508">
      <c r="A508" s="36" t="inlineStr">
        <is>
          <t>03263</t>
        </is>
      </c>
      <c r="B508" s="44" t="n">
        <v>46117</v>
      </c>
      <c r="C508" s="36" t="inlineStr">
        <is>
          <t>Western Europe</t>
        </is>
      </c>
      <c r="D508" s="36" t="inlineStr">
        <is>
          <t>Netherlands</t>
        </is>
      </c>
      <c r="E508" s="36" t="inlineStr">
        <is>
          <t>Online Store</t>
        </is>
      </c>
      <c r="F508" s="36" t="inlineStr">
        <is>
          <t>New</t>
        </is>
      </c>
      <c r="G508" s="36" t="inlineStr">
        <is>
          <t>Fitness</t>
        </is>
      </c>
      <c r="H508" s="36" t="inlineStr">
        <is>
          <t>Training Mat</t>
        </is>
      </c>
      <c r="I508" s="36" t="n">
        <v>1</v>
      </c>
      <c r="J508" s="39" t="n">
        <v>51.75</v>
      </c>
      <c r="K508" s="45" t="n">
        <v>0.1</v>
      </c>
      <c r="L508" s="39" t="n">
        <v>22.1</v>
      </c>
      <c r="M508" s="39">
        <f>I508*J508*(1-K508)</f>
        <v/>
      </c>
      <c r="N508" s="39">
        <f>I508*L508</f>
        <v/>
      </c>
      <c r="O508" s="39">
        <f>M508-N508</f>
        <v/>
      </c>
      <c r="P508" s="38">
        <f>IF(M508=0,0,O508/M508)</f>
        <v/>
      </c>
      <c r="Q508" s="36">
        <f>YEAR(B508)</f>
        <v/>
      </c>
      <c r="R508" s="36">
        <f>"Q"&amp;ROUNDUP(MONTH(B508)/3,0)</f>
        <v/>
      </c>
      <c r="S508" s="36">
        <f>MONTH(B508)</f>
        <v/>
      </c>
      <c r="T508" s="36">
        <f>TEXT(B508,"mmm")</f>
        <v/>
      </c>
      <c r="U508" s="36">
        <f>IF(AND(OR(sel_Region="All",C508=sel_Region),OR(sel_Country="All",D508=sel_Country),OR(sel_Channel="All",E508=sel_Channel),OR(sel_Customer="All",F508=sel_Customer),OR(sel_Category="All",G508=sel_Category),OR(sel_Product="All",H508=sel_Product),AND(S508&gt;=m_From,S508&lt;=m_To)),1,0)</f>
        <v/>
      </c>
      <c r="V508" s="36">
        <f>IF(AND(OR(sel_Region="All",C508=sel_Region),OR(sel_Channel="All",E508=sel_Channel),OR(sel_Customer="All",F508=sel_Customer),OR(sel_Category="All",G508=sel_Category),OR(sel_Product="All",H508=sel_Product),AND(S508&gt;=m_From,S508&lt;=m_To)),1,0)</f>
        <v/>
      </c>
      <c r="W508" s="36">
        <f>IF(AND(OR(sel_Region="All",C508=sel_Region),OR(sel_Country="All",D508=sel_Country),OR(sel_Customer="All",F508=sel_Customer),OR(sel_Category="All",G508=sel_Category),OR(sel_Product="All",H508=sel_Product),AND(S508&gt;=m_From,S508&lt;=m_To)),1,0)</f>
        <v/>
      </c>
      <c r="X508" s="36">
        <f>IF(AND(OR(sel_Region="All",C508=sel_Region),OR(sel_Country="All",D508=sel_Country),OR(sel_Channel="All",E508=sel_Channel),OR(sel_Category="All",G508=sel_Category),OR(sel_Product="All",H508=sel_Product),AND(S508&gt;=m_From,S508&lt;=m_To)),1,0)</f>
        <v/>
      </c>
      <c r="Y508" s="36">
        <f>IF(AND(OR(sel_Region="All",C508=sel_Region),OR(sel_Country="All",D508=sel_Country),OR(sel_Channel="All",E508=sel_Channel),OR(sel_Customer="All",F508=sel_Customer),OR(sel_Product="All",H508=sel_Product),AND(S508&gt;=m_From,S508&lt;=m_To)),1,0)</f>
        <v/>
      </c>
      <c r="Z508" s="36">
        <f>IF(AND(OR(sel_Region="All",C508=sel_Region),OR(sel_Country="All",D508=sel_Country),OR(sel_Channel="All",E508=sel_Channel),OR(sel_Customer="All",F508=sel_Customer),OR(sel_Category="All",G508=sel_Category),AND(S508&gt;=m_From,S508&lt;=m_To)),1,0)</f>
        <v/>
      </c>
      <c r="AA508" s="36">
        <f>IF(AND(OR(sel_Region="All",C508=sel_Region),OR(sel_Country="All",D508=sel_Country),OR(sel_Channel="All",E508=sel_Channel),OR(sel_Customer="All",F508=sel_Customer),OR(sel_Category="All",G508=sel_Category),OR(sel_Product="All",H508=sel_Product)),1,0)</f>
        <v/>
      </c>
    </row>
    <row r="509">
      <c r="A509" s="36" t="inlineStr">
        <is>
          <t>04764</t>
        </is>
      </c>
      <c r="B509" s="44" t="n">
        <v>46117</v>
      </c>
      <c r="C509" s="36" t="inlineStr">
        <is>
          <t>Western Europe</t>
        </is>
      </c>
      <c r="D509" s="36" t="inlineStr">
        <is>
          <t>France</t>
        </is>
      </c>
      <c r="E509" s="36" t="inlineStr">
        <is>
          <t>Marketplace</t>
        </is>
      </c>
      <c r="F509" s="36" t="inlineStr">
        <is>
          <t>New</t>
        </is>
      </c>
      <c r="G509" s="36" t="inlineStr">
        <is>
          <t>Cycling</t>
        </is>
      </c>
      <c r="H509" s="36" t="inlineStr">
        <is>
          <t>Compact Repair Kit</t>
        </is>
      </c>
      <c r="I509" s="36" t="n">
        <v>6</v>
      </c>
      <c r="J509" s="39" t="n">
        <v>39.6</v>
      </c>
      <c r="K509" s="45" t="n">
        <v>0.15</v>
      </c>
      <c r="L509" s="39" t="n">
        <v>17.01</v>
      </c>
      <c r="M509" s="39">
        <f>I509*J509*(1-K509)</f>
        <v/>
      </c>
      <c r="N509" s="39">
        <f>I509*L509</f>
        <v/>
      </c>
      <c r="O509" s="39">
        <f>M509-N509</f>
        <v/>
      </c>
      <c r="P509" s="38">
        <f>IF(M509=0,0,O509/M509)</f>
        <v/>
      </c>
      <c r="Q509" s="36">
        <f>YEAR(B509)</f>
        <v/>
      </c>
      <c r="R509" s="36">
        <f>"Q"&amp;ROUNDUP(MONTH(B509)/3,0)</f>
        <v/>
      </c>
      <c r="S509" s="36">
        <f>MONTH(B509)</f>
        <v/>
      </c>
      <c r="T509" s="36">
        <f>TEXT(B509,"mmm")</f>
        <v/>
      </c>
      <c r="U509" s="36">
        <f>IF(AND(OR(sel_Region="All",C509=sel_Region),OR(sel_Country="All",D509=sel_Country),OR(sel_Channel="All",E509=sel_Channel),OR(sel_Customer="All",F509=sel_Customer),OR(sel_Category="All",G509=sel_Category),OR(sel_Product="All",H509=sel_Product),AND(S509&gt;=m_From,S509&lt;=m_To)),1,0)</f>
        <v/>
      </c>
      <c r="V509" s="36">
        <f>IF(AND(OR(sel_Region="All",C509=sel_Region),OR(sel_Channel="All",E509=sel_Channel),OR(sel_Customer="All",F509=sel_Customer),OR(sel_Category="All",G509=sel_Category),OR(sel_Product="All",H509=sel_Product),AND(S509&gt;=m_From,S509&lt;=m_To)),1,0)</f>
        <v/>
      </c>
      <c r="W509" s="36">
        <f>IF(AND(OR(sel_Region="All",C509=sel_Region),OR(sel_Country="All",D509=sel_Country),OR(sel_Customer="All",F509=sel_Customer),OR(sel_Category="All",G509=sel_Category),OR(sel_Product="All",H509=sel_Product),AND(S509&gt;=m_From,S509&lt;=m_To)),1,0)</f>
        <v/>
      </c>
      <c r="X509" s="36">
        <f>IF(AND(OR(sel_Region="All",C509=sel_Region),OR(sel_Country="All",D509=sel_Country),OR(sel_Channel="All",E509=sel_Channel),OR(sel_Category="All",G509=sel_Category),OR(sel_Product="All",H509=sel_Product),AND(S509&gt;=m_From,S509&lt;=m_To)),1,0)</f>
        <v/>
      </c>
      <c r="Y509" s="36">
        <f>IF(AND(OR(sel_Region="All",C509=sel_Region),OR(sel_Country="All",D509=sel_Country),OR(sel_Channel="All",E509=sel_Channel),OR(sel_Customer="All",F509=sel_Customer),OR(sel_Product="All",H509=sel_Product),AND(S509&gt;=m_From,S509&lt;=m_To)),1,0)</f>
        <v/>
      </c>
      <c r="Z509" s="36">
        <f>IF(AND(OR(sel_Region="All",C509=sel_Region),OR(sel_Country="All",D509=sel_Country),OR(sel_Channel="All",E509=sel_Channel),OR(sel_Customer="All",F509=sel_Customer),OR(sel_Category="All",G509=sel_Category),AND(S509&gt;=m_From,S509&lt;=m_To)),1,0)</f>
        <v/>
      </c>
      <c r="AA509" s="36">
        <f>IF(AND(OR(sel_Region="All",C509=sel_Region),OR(sel_Country="All",D509=sel_Country),OR(sel_Channel="All",E509=sel_Channel),OR(sel_Customer="All",F509=sel_Customer),OR(sel_Category="All",G509=sel_Category),OR(sel_Product="All",H509=sel_Product)),1,0)</f>
        <v/>
      </c>
    </row>
    <row r="510">
      <c r="A510" s="36" t="inlineStr">
        <is>
          <t>00028</t>
        </is>
      </c>
      <c r="B510" s="44" t="n">
        <v>46118</v>
      </c>
      <c r="C510" s="36" t="inlineStr">
        <is>
          <t>Central Europe</t>
        </is>
      </c>
      <c r="D510" s="36" t="inlineStr">
        <is>
          <t>Austria</t>
        </is>
      </c>
      <c r="E510" s="36" t="inlineStr">
        <is>
          <t>Retail Partners</t>
        </is>
      </c>
      <c r="F510" s="36" t="inlineStr">
        <is>
          <t>New</t>
        </is>
      </c>
      <c r="G510" s="36" t="inlineStr">
        <is>
          <t>Fitness</t>
        </is>
      </c>
      <c r="H510" s="36" t="inlineStr">
        <is>
          <t>Weighted Vest</t>
        </is>
      </c>
      <c r="I510" s="36" t="n">
        <v>2</v>
      </c>
      <c r="J510" s="39" t="n">
        <v>125.94</v>
      </c>
      <c r="K510" s="45" t="n">
        <v>0.05</v>
      </c>
      <c r="L510" s="39" t="n">
        <v>70.94</v>
      </c>
      <c r="M510" s="39">
        <f>I510*J510*(1-K510)</f>
        <v/>
      </c>
      <c r="N510" s="39">
        <f>I510*L510</f>
        <v/>
      </c>
      <c r="O510" s="39">
        <f>M510-N510</f>
        <v/>
      </c>
      <c r="P510" s="38">
        <f>IF(M510=0,0,O510/M510)</f>
        <v/>
      </c>
      <c r="Q510" s="36">
        <f>YEAR(B510)</f>
        <v/>
      </c>
      <c r="R510" s="36">
        <f>"Q"&amp;ROUNDUP(MONTH(B510)/3,0)</f>
        <v/>
      </c>
      <c r="S510" s="36">
        <f>MONTH(B510)</f>
        <v/>
      </c>
      <c r="T510" s="36">
        <f>TEXT(B510,"mmm")</f>
        <v/>
      </c>
      <c r="U510" s="36">
        <f>IF(AND(OR(sel_Region="All",C510=sel_Region),OR(sel_Country="All",D510=sel_Country),OR(sel_Channel="All",E510=sel_Channel),OR(sel_Customer="All",F510=sel_Customer),OR(sel_Category="All",G510=sel_Category),OR(sel_Product="All",H510=sel_Product),AND(S510&gt;=m_From,S510&lt;=m_To)),1,0)</f>
        <v/>
      </c>
      <c r="V510" s="36">
        <f>IF(AND(OR(sel_Region="All",C510=sel_Region),OR(sel_Channel="All",E510=sel_Channel),OR(sel_Customer="All",F510=sel_Customer),OR(sel_Category="All",G510=sel_Category),OR(sel_Product="All",H510=sel_Product),AND(S510&gt;=m_From,S510&lt;=m_To)),1,0)</f>
        <v/>
      </c>
      <c r="W510" s="36">
        <f>IF(AND(OR(sel_Region="All",C510=sel_Region),OR(sel_Country="All",D510=sel_Country),OR(sel_Customer="All",F510=sel_Customer),OR(sel_Category="All",G510=sel_Category),OR(sel_Product="All",H510=sel_Product),AND(S510&gt;=m_From,S510&lt;=m_To)),1,0)</f>
        <v/>
      </c>
      <c r="X510" s="36">
        <f>IF(AND(OR(sel_Region="All",C510=sel_Region),OR(sel_Country="All",D510=sel_Country),OR(sel_Channel="All",E510=sel_Channel),OR(sel_Category="All",G510=sel_Category),OR(sel_Product="All",H510=sel_Product),AND(S510&gt;=m_From,S510&lt;=m_To)),1,0)</f>
        <v/>
      </c>
      <c r="Y510" s="36">
        <f>IF(AND(OR(sel_Region="All",C510=sel_Region),OR(sel_Country="All",D510=sel_Country),OR(sel_Channel="All",E510=sel_Channel),OR(sel_Customer="All",F510=sel_Customer),OR(sel_Product="All",H510=sel_Product),AND(S510&gt;=m_From,S510&lt;=m_To)),1,0)</f>
        <v/>
      </c>
      <c r="Z510" s="36">
        <f>IF(AND(OR(sel_Region="All",C510=sel_Region),OR(sel_Country="All",D510=sel_Country),OR(sel_Channel="All",E510=sel_Channel),OR(sel_Customer="All",F510=sel_Customer),OR(sel_Category="All",G510=sel_Category),AND(S510&gt;=m_From,S510&lt;=m_To)),1,0)</f>
        <v/>
      </c>
      <c r="AA510" s="36">
        <f>IF(AND(OR(sel_Region="All",C510=sel_Region),OR(sel_Country="All",D510=sel_Country),OR(sel_Channel="All",E510=sel_Channel),OR(sel_Customer="All",F510=sel_Customer),OR(sel_Category="All",G510=sel_Category),OR(sel_Product="All",H510=sel_Product)),1,0)</f>
        <v/>
      </c>
    </row>
    <row r="511">
      <c r="A511" s="36" t="inlineStr">
        <is>
          <t>00581</t>
        </is>
      </c>
      <c r="B511" s="44" t="n">
        <v>46118</v>
      </c>
      <c r="C511" s="36" t="inlineStr">
        <is>
          <t>Central Europe</t>
        </is>
      </c>
      <c r="D511" s="36" t="inlineStr">
        <is>
          <t>Czechia</t>
        </is>
      </c>
      <c r="E511" s="36" t="inlineStr">
        <is>
          <t>Online Store</t>
        </is>
      </c>
      <c r="F511" s="36" t="inlineStr">
        <is>
          <t>Returning</t>
        </is>
      </c>
      <c r="G511" s="36" t="inlineStr">
        <is>
          <t>Camping</t>
        </is>
      </c>
      <c r="H511" s="36" t="inlineStr">
        <is>
          <t>Compact Sleeping Bag</t>
        </is>
      </c>
      <c r="I511" s="36" t="n">
        <v>3</v>
      </c>
      <c r="J511" s="39" t="n">
        <v>124.67</v>
      </c>
      <c r="K511" s="45" t="n">
        <v>0</v>
      </c>
      <c r="L511" s="39" t="n">
        <v>61.46</v>
      </c>
      <c r="M511" s="39">
        <f>I511*J511*(1-K511)</f>
        <v/>
      </c>
      <c r="N511" s="39">
        <f>I511*L511</f>
        <v/>
      </c>
      <c r="O511" s="39">
        <f>M511-N511</f>
        <v/>
      </c>
      <c r="P511" s="38">
        <f>IF(M511=0,0,O511/M511)</f>
        <v/>
      </c>
      <c r="Q511" s="36">
        <f>YEAR(B511)</f>
        <v/>
      </c>
      <c r="R511" s="36">
        <f>"Q"&amp;ROUNDUP(MONTH(B511)/3,0)</f>
        <v/>
      </c>
      <c r="S511" s="36">
        <f>MONTH(B511)</f>
        <v/>
      </c>
      <c r="T511" s="36">
        <f>TEXT(B511,"mmm")</f>
        <v/>
      </c>
      <c r="U511" s="36">
        <f>IF(AND(OR(sel_Region="All",C511=sel_Region),OR(sel_Country="All",D511=sel_Country),OR(sel_Channel="All",E511=sel_Channel),OR(sel_Customer="All",F511=sel_Customer),OR(sel_Category="All",G511=sel_Category),OR(sel_Product="All",H511=sel_Product),AND(S511&gt;=m_From,S511&lt;=m_To)),1,0)</f>
        <v/>
      </c>
      <c r="V511" s="36">
        <f>IF(AND(OR(sel_Region="All",C511=sel_Region),OR(sel_Channel="All",E511=sel_Channel),OR(sel_Customer="All",F511=sel_Customer),OR(sel_Category="All",G511=sel_Category),OR(sel_Product="All",H511=sel_Product),AND(S511&gt;=m_From,S511&lt;=m_To)),1,0)</f>
        <v/>
      </c>
      <c r="W511" s="36">
        <f>IF(AND(OR(sel_Region="All",C511=sel_Region),OR(sel_Country="All",D511=sel_Country),OR(sel_Customer="All",F511=sel_Customer),OR(sel_Category="All",G511=sel_Category),OR(sel_Product="All",H511=sel_Product),AND(S511&gt;=m_From,S511&lt;=m_To)),1,0)</f>
        <v/>
      </c>
      <c r="X511" s="36">
        <f>IF(AND(OR(sel_Region="All",C511=sel_Region),OR(sel_Country="All",D511=sel_Country),OR(sel_Channel="All",E511=sel_Channel),OR(sel_Category="All",G511=sel_Category),OR(sel_Product="All",H511=sel_Product),AND(S511&gt;=m_From,S511&lt;=m_To)),1,0)</f>
        <v/>
      </c>
      <c r="Y511" s="36">
        <f>IF(AND(OR(sel_Region="All",C511=sel_Region),OR(sel_Country="All",D511=sel_Country),OR(sel_Channel="All",E511=sel_Channel),OR(sel_Customer="All",F511=sel_Customer),OR(sel_Product="All",H511=sel_Product),AND(S511&gt;=m_From,S511&lt;=m_To)),1,0)</f>
        <v/>
      </c>
      <c r="Z511" s="36">
        <f>IF(AND(OR(sel_Region="All",C511=sel_Region),OR(sel_Country="All",D511=sel_Country),OR(sel_Channel="All",E511=sel_Channel),OR(sel_Customer="All",F511=sel_Customer),OR(sel_Category="All",G511=sel_Category),AND(S511&gt;=m_From,S511&lt;=m_To)),1,0)</f>
        <v/>
      </c>
      <c r="AA511" s="36">
        <f>IF(AND(OR(sel_Region="All",C511=sel_Region),OR(sel_Country="All",D511=sel_Country),OR(sel_Channel="All",E511=sel_Channel),OR(sel_Customer="All",F511=sel_Customer),OR(sel_Category="All",G511=sel_Category),OR(sel_Product="All",H511=sel_Product)),1,0)</f>
        <v/>
      </c>
    </row>
    <row r="512">
      <c r="A512" s="36" t="inlineStr">
        <is>
          <t>00643</t>
        </is>
      </c>
      <c r="B512" s="44" t="n">
        <v>46118</v>
      </c>
      <c r="C512" s="36" t="inlineStr">
        <is>
          <t>Western Europe</t>
        </is>
      </c>
      <c r="D512" s="36" t="inlineStr">
        <is>
          <t>United Kingdom</t>
        </is>
      </c>
      <c r="E512" s="36" t="inlineStr">
        <is>
          <t>Online Store</t>
        </is>
      </c>
      <c r="F512" s="36" t="inlineStr">
        <is>
          <t>Returning</t>
        </is>
      </c>
      <c r="G512" s="36" t="inlineStr">
        <is>
          <t>Hiking</t>
        </is>
      </c>
      <c r="H512" s="36" t="inlineStr">
        <is>
          <t>Trekking Poles</t>
        </is>
      </c>
      <c r="I512" s="36" t="n">
        <v>2</v>
      </c>
      <c r="J512" s="39" t="n">
        <v>72.26000000000001</v>
      </c>
      <c r="K512" s="45" t="n">
        <v>0</v>
      </c>
      <c r="L512" s="39" t="n">
        <v>33.21</v>
      </c>
      <c r="M512" s="39">
        <f>I512*J512*(1-K512)</f>
        <v/>
      </c>
      <c r="N512" s="39">
        <f>I512*L512</f>
        <v/>
      </c>
      <c r="O512" s="39">
        <f>M512-N512</f>
        <v/>
      </c>
      <c r="P512" s="38">
        <f>IF(M512=0,0,O512/M512)</f>
        <v/>
      </c>
      <c r="Q512" s="36">
        <f>YEAR(B512)</f>
        <v/>
      </c>
      <c r="R512" s="36">
        <f>"Q"&amp;ROUNDUP(MONTH(B512)/3,0)</f>
        <v/>
      </c>
      <c r="S512" s="36">
        <f>MONTH(B512)</f>
        <v/>
      </c>
      <c r="T512" s="36">
        <f>TEXT(B512,"mmm")</f>
        <v/>
      </c>
      <c r="U512" s="36">
        <f>IF(AND(OR(sel_Region="All",C512=sel_Region),OR(sel_Country="All",D512=sel_Country),OR(sel_Channel="All",E512=sel_Channel),OR(sel_Customer="All",F512=sel_Customer),OR(sel_Category="All",G512=sel_Category),OR(sel_Product="All",H512=sel_Product),AND(S512&gt;=m_From,S512&lt;=m_To)),1,0)</f>
        <v/>
      </c>
      <c r="V512" s="36">
        <f>IF(AND(OR(sel_Region="All",C512=sel_Region),OR(sel_Channel="All",E512=sel_Channel),OR(sel_Customer="All",F512=sel_Customer),OR(sel_Category="All",G512=sel_Category),OR(sel_Product="All",H512=sel_Product),AND(S512&gt;=m_From,S512&lt;=m_To)),1,0)</f>
        <v/>
      </c>
      <c r="W512" s="36">
        <f>IF(AND(OR(sel_Region="All",C512=sel_Region),OR(sel_Country="All",D512=sel_Country),OR(sel_Customer="All",F512=sel_Customer),OR(sel_Category="All",G512=sel_Category),OR(sel_Product="All",H512=sel_Product),AND(S512&gt;=m_From,S512&lt;=m_To)),1,0)</f>
        <v/>
      </c>
      <c r="X512" s="36">
        <f>IF(AND(OR(sel_Region="All",C512=sel_Region),OR(sel_Country="All",D512=sel_Country),OR(sel_Channel="All",E512=sel_Channel),OR(sel_Category="All",G512=sel_Category),OR(sel_Product="All",H512=sel_Product),AND(S512&gt;=m_From,S512&lt;=m_To)),1,0)</f>
        <v/>
      </c>
      <c r="Y512" s="36">
        <f>IF(AND(OR(sel_Region="All",C512=sel_Region),OR(sel_Country="All",D512=sel_Country),OR(sel_Channel="All",E512=sel_Channel),OR(sel_Customer="All",F512=sel_Customer),OR(sel_Product="All",H512=sel_Product),AND(S512&gt;=m_From,S512&lt;=m_To)),1,0)</f>
        <v/>
      </c>
      <c r="Z512" s="36">
        <f>IF(AND(OR(sel_Region="All",C512=sel_Region),OR(sel_Country="All",D512=sel_Country),OR(sel_Channel="All",E512=sel_Channel),OR(sel_Customer="All",F512=sel_Customer),OR(sel_Category="All",G512=sel_Category),AND(S512&gt;=m_From,S512&lt;=m_To)),1,0)</f>
        <v/>
      </c>
      <c r="AA512" s="36">
        <f>IF(AND(OR(sel_Region="All",C512=sel_Region),OR(sel_Country="All",D512=sel_Country),OR(sel_Channel="All",E512=sel_Channel),OR(sel_Customer="All",F512=sel_Customer),OR(sel_Category="All",G512=sel_Category),OR(sel_Product="All",H512=sel_Product)),1,0)</f>
        <v/>
      </c>
    </row>
    <row r="513">
      <c r="A513" s="36" t="inlineStr">
        <is>
          <t>01907</t>
        </is>
      </c>
      <c r="B513" s="44" t="n">
        <v>46118</v>
      </c>
      <c r="C513" s="36" t="inlineStr">
        <is>
          <t>Central Europe</t>
        </is>
      </c>
      <c r="D513" s="36" t="inlineStr">
        <is>
          <t>Germany</t>
        </is>
      </c>
      <c r="E513" s="36" t="inlineStr">
        <is>
          <t>Corporate</t>
        </is>
      </c>
      <c r="F513" s="36" t="inlineStr">
        <is>
          <t>Business</t>
        </is>
      </c>
      <c r="G513" s="36" t="inlineStr">
        <is>
          <t>Cycling</t>
        </is>
      </c>
      <c r="H513" s="36" t="inlineStr">
        <is>
          <t>Trail Bike Light</t>
        </is>
      </c>
      <c r="I513" s="36" t="n">
        <v>10</v>
      </c>
      <c r="J513" s="39" t="n">
        <v>50.64</v>
      </c>
      <c r="K513" s="45" t="n">
        <v>0.2</v>
      </c>
      <c r="L513" s="39" t="n">
        <v>22.99</v>
      </c>
      <c r="M513" s="39">
        <f>I513*J513*(1-K513)</f>
        <v/>
      </c>
      <c r="N513" s="39">
        <f>I513*L513</f>
        <v/>
      </c>
      <c r="O513" s="39">
        <f>M513-N513</f>
        <v/>
      </c>
      <c r="P513" s="38">
        <f>IF(M513=0,0,O513/M513)</f>
        <v/>
      </c>
      <c r="Q513" s="36">
        <f>YEAR(B513)</f>
        <v/>
      </c>
      <c r="R513" s="36">
        <f>"Q"&amp;ROUNDUP(MONTH(B513)/3,0)</f>
        <v/>
      </c>
      <c r="S513" s="36">
        <f>MONTH(B513)</f>
        <v/>
      </c>
      <c r="T513" s="36">
        <f>TEXT(B513,"mmm")</f>
        <v/>
      </c>
      <c r="U513" s="36">
        <f>IF(AND(OR(sel_Region="All",C513=sel_Region),OR(sel_Country="All",D513=sel_Country),OR(sel_Channel="All",E513=sel_Channel),OR(sel_Customer="All",F513=sel_Customer),OR(sel_Category="All",G513=sel_Category),OR(sel_Product="All",H513=sel_Product),AND(S513&gt;=m_From,S513&lt;=m_To)),1,0)</f>
        <v/>
      </c>
      <c r="V513" s="36">
        <f>IF(AND(OR(sel_Region="All",C513=sel_Region),OR(sel_Channel="All",E513=sel_Channel),OR(sel_Customer="All",F513=sel_Customer),OR(sel_Category="All",G513=sel_Category),OR(sel_Product="All",H513=sel_Product),AND(S513&gt;=m_From,S513&lt;=m_To)),1,0)</f>
        <v/>
      </c>
      <c r="W513" s="36">
        <f>IF(AND(OR(sel_Region="All",C513=sel_Region),OR(sel_Country="All",D513=sel_Country),OR(sel_Customer="All",F513=sel_Customer),OR(sel_Category="All",G513=sel_Category),OR(sel_Product="All",H513=sel_Product),AND(S513&gt;=m_From,S513&lt;=m_To)),1,0)</f>
        <v/>
      </c>
      <c r="X513" s="36">
        <f>IF(AND(OR(sel_Region="All",C513=sel_Region),OR(sel_Country="All",D513=sel_Country),OR(sel_Channel="All",E513=sel_Channel),OR(sel_Category="All",G513=sel_Category),OR(sel_Product="All",H513=sel_Product),AND(S513&gt;=m_From,S513&lt;=m_To)),1,0)</f>
        <v/>
      </c>
      <c r="Y513" s="36">
        <f>IF(AND(OR(sel_Region="All",C513=sel_Region),OR(sel_Country="All",D513=sel_Country),OR(sel_Channel="All",E513=sel_Channel),OR(sel_Customer="All",F513=sel_Customer),OR(sel_Product="All",H513=sel_Product),AND(S513&gt;=m_From,S513&lt;=m_To)),1,0)</f>
        <v/>
      </c>
      <c r="Z513" s="36">
        <f>IF(AND(OR(sel_Region="All",C513=sel_Region),OR(sel_Country="All",D513=sel_Country),OR(sel_Channel="All",E513=sel_Channel),OR(sel_Customer="All",F513=sel_Customer),OR(sel_Category="All",G513=sel_Category),AND(S513&gt;=m_From,S513&lt;=m_To)),1,0)</f>
        <v/>
      </c>
      <c r="AA513" s="36">
        <f>IF(AND(OR(sel_Region="All",C513=sel_Region),OR(sel_Country="All",D513=sel_Country),OR(sel_Channel="All",E513=sel_Channel),OR(sel_Customer="All",F513=sel_Customer),OR(sel_Category="All",G513=sel_Category),OR(sel_Product="All",H513=sel_Product)),1,0)</f>
        <v/>
      </c>
    </row>
    <row r="514">
      <c r="A514" s="36" t="inlineStr">
        <is>
          <t>01950</t>
        </is>
      </c>
      <c r="B514" s="44" t="n">
        <v>46118</v>
      </c>
      <c r="C514" s="36" t="inlineStr">
        <is>
          <t>Southern Europe</t>
        </is>
      </c>
      <c r="D514" s="36" t="inlineStr">
        <is>
          <t>Portugal</t>
        </is>
      </c>
      <c r="E514" s="36" t="inlineStr">
        <is>
          <t>Online Store</t>
        </is>
      </c>
      <c r="F514" s="36" t="inlineStr">
        <is>
          <t>New</t>
        </is>
      </c>
      <c r="G514" s="36" t="inlineStr">
        <is>
          <t>Hiking</t>
        </is>
      </c>
      <c r="H514" s="36" t="inlineStr">
        <is>
          <t>Trekking Poles</t>
        </is>
      </c>
      <c r="I514" s="36" t="n">
        <v>1</v>
      </c>
      <c r="J514" s="39" t="n">
        <v>73</v>
      </c>
      <c r="K514" s="45" t="n">
        <v>0</v>
      </c>
      <c r="L514" s="39" t="n">
        <v>32.4</v>
      </c>
      <c r="M514" s="39">
        <f>I514*J514*(1-K514)</f>
        <v/>
      </c>
      <c r="N514" s="39">
        <f>I514*L514</f>
        <v/>
      </c>
      <c r="O514" s="39">
        <f>M514-N514</f>
        <v/>
      </c>
      <c r="P514" s="38">
        <f>IF(M514=0,0,O514/M514)</f>
        <v/>
      </c>
      <c r="Q514" s="36">
        <f>YEAR(B514)</f>
        <v/>
      </c>
      <c r="R514" s="36">
        <f>"Q"&amp;ROUNDUP(MONTH(B514)/3,0)</f>
        <v/>
      </c>
      <c r="S514" s="36">
        <f>MONTH(B514)</f>
        <v/>
      </c>
      <c r="T514" s="36">
        <f>TEXT(B514,"mmm")</f>
        <v/>
      </c>
      <c r="U514" s="36">
        <f>IF(AND(OR(sel_Region="All",C514=sel_Region),OR(sel_Country="All",D514=sel_Country),OR(sel_Channel="All",E514=sel_Channel),OR(sel_Customer="All",F514=sel_Customer),OR(sel_Category="All",G514=sel_Category),OR(sel_Product="All",H514=sel_Product),AND(S514&gt;=m_From,S514&lt;=m_To)),1,0)</f>
        <v/>
      </c>
      <c r="V514" s="36">
        <f>IF(AND(OR(sel_Region="All",C514=sel_Region),OR(sel_Channel="All",E514=sel_Channel),OR(sel_Customer="All",F514=sel_Customer),OR(sel_Category="All",G514=sel_Category),OR(sel_Product="All",H514=sel_Product),AND(S514&gt;=m_From,S514&lt;=m_To)),1,0)</f>
        <v/>
      </c>
      <c r="W514" s="36">
        <f>IF(AND(OR(sel_Region="All",C514=sel_Region),OR(sel_Country="All",D514=sel_Country),OR(sel_Customer="All",F514=sel_Customer),OR(sel_Category="All",G514=sel_Category),OR(sel_Product="All",H514=sel_Product),AND(S514&gt;=m_From,S514&lt;=m_To)),1,0)</f>
        <v/>
      </c>
      <c r="X514" s="36">
        <f>IF(AND(OR(sel_Region="All",C514=sel_Region),OR(sel_Country="All",D514=sel_Country),OR(sel_Channel="All",E514=sel_Channel),OR(sel_Category="All",G514=sel_Category),OR(sel_Product="All",H514=sel_Product),AND(S514&gt;=m_From,S514&lt;=m_To)),1,0)</f>
        <v/>
      </c>
      <c r="Y514" s="36">
        <f>IF(AND(OR(sel_Region="All",C514=sel_Region),OR(sel_Country="All",D514=sel_Country),OR(sel_Channel="All",E514=sel_Channel),OR(sel_Customer="All",F514=sel_Customer),OR(sel_Product="All",H514=sel_Product),AND(S514&gt;=m_From,S514&lt;=m_To)),1,0)</f>
        <v/>
      </c>
      <c r="Z514" s="36">
        <f>IF(AND(OR(sel_Region="All",C514=sel_Region),OR(sel_Country="All",D514=sel_Country),OR(sel_Channel="All",E514=sel_Channel),OR(sel_Customer="All",F514=sel_Customer),OR(sel_Category="All",G514=sel_Category),AND(S514&gt;=m_From,S514&lt;=m_To)),1,0)</f>
        <v/>
      </c>
      <c r="AA514" s="36">
        <f>IF(AND(OR(sel_Region="All",C514=sel_Region),OR(sel_Country="All",D514=sel_Country),OR(sel_Channel="All",E514=sel_Channel),OR(sel_Customer="All",F514=sel_Customer),OR(sel_Category="All",G514=sel_Category),OR(sel_Product="All",H514=sel_Product)),1,0)</f>
        <v/>
      </c>
    </row>
    <row r="515">
      <c r="A515" s="36" t="inlineStr">
        <is>
          <t>02443</t>
        </is>
      </c>
      <c r="B515" s="44" t="n">
        <v>46118</v>
      </c>
      <c r="C515" s="36" t="inlineStr">
        <is>
          <t>Southern Europe</t>
        </is>
      </c>
      <c r="D515" s="36" t="inlineStr">
        <is>
          <t>Italy</t>
        </is>
      </c>
      <c r="E515" s="36" t="inlineStr">
        <is>
          <t>Online Store</t>
        </is>
      </c>
      <c r="F515" s="36" t="inlineStr">
        <is>
          <t>Returning</t>
        </is>
      </c>
      <c r="G515" s="36" t="inlineStr">
        <is>
          <t>Travel</t>
        </is>
      </c>
      <c r="H515" s="36" t="inlineStr">
        <is>
          <t>Insulated Bottle</t>
        </is>
      </c>
      <c r="I515" s="36" t="n">
        <v>1</v>
      </c>
      <c r="J515" s="39" t="n">
        <v>35.7</v>
      </c>
      <c r="K515" s="45" t="n">
        <v>0</v>
      </c>
      <c r="L515" s="39" t="n">
        <v>13.8</v>
      </c>
      <c r="M515" s="39">
        <f>I515*J515*(1-K515)</f>
        <v/>
      </c>
      <c r="N515" s="39">
        <f>I515*L515</f>
        <v/>
      </c>
      <c r="O515" s="39">
        <f>M515-N515</f>
        <v/>
      </c>
      <c r="P515" s="38">
        <f>IF(M515=0,0,O515/M515)</f>
        <v/>
      </c>
      <c r="Q515" s="36">
        <f>YEAR(B515)</f>
        <v/>
      </c>
      <c r="R515" s="36">
        <f>"Q"&amp;ROUNDUP(MONTH(B515)/3,0)</f>
        <v/>
      </c>
      <c r="S515" s="36">
        <f>MONTH(B515)</f>
        <v/>
      </c>
      <c r="T515" s="36">
        <f>TEXT(B515,"mmm")</f>
        <v/>
      </c>
      <c r="U515" s="36">
        <f>IF(AND(OR(sel_Region="All",C515=sel_Region),OR(sel_Country="All",D515=sel_Country),OR(sel_Channel="All",E515=sel_Channel),OR(sel_Customer="All",F515=sel_Customer),OR(sel_Category="All",G515=sel_Category),OR(sel_Product="All",H515=sel_Product),AND(S515&gt;=m_From,S515&lt;=m_To)),1,0)</f>
        <v/>
      </c>
      <c r="V515" s="36">
        <f>IF(AND(OR(sel_Region="All",C515=sel_Region),OR(sel_Channel="All",E515=sel_Channel),OR(sel_Customer="All",F515=sel_Customer),OR(sel_Category="All",G515=sel_Category),OR(sel_Product="All",H515=sel_Product),AND(S515&gt;=m_From,S515&lt;=m_To)),1,0)</f>
        <v/>
      </c>
      <c r="W515" s="36">
        <f>IF(AND(OR(sel_Region="All",C515=sel_Region),OR(sel_Country="All",D515=sel_Country),OR(sel_Customer="All",F515=sel_Customer),OR(sel_Category="All",G515=sel_Category),OR(sel_Product="All",H515=sel_Product),AND(S515&gt;=m_From,S515&lt;=m_To)),1,0)</f>
        <v/>
      </c>
      <c r="X515" s="36">
        <f>IF(AND(OR(sel_Region="All",C515=sel_Region),OR(sel_Country="All",D515=sel_Country),OR(sel_Channel="All",E515=sel_Channel),OR(sel_Category="All",G515=sel_Category),OR(sel_Product="All",H515=sel_Product),AND(S515&gt;=m_From,S515&lt;=m_To)),1,0)</f>
        <v/>
      </c>
      <c r="Y515" s="36">
        <f>IF(AND(OR(sel_Region="All",C515=sel_Region),OR(sel_Country="All",D515=sel_Country),OR(sel_Channel="All",E515=sel_Channel),OR(sel_Customer="All",F515=sel_Customer),OR(sel_Product="All",H515=sel_Product),AND(S515&gt;=m_From,S515&lt;=m_To)),1,0)</f>
        <v/>
      </c>
      <c r="Z515" s="36">
        <f>IF(AND(OR(sel_Region="All",C515=sel_Region),OR(sel_Country="All",D515=sel_Country),OR(sel_Channel="All",E515=sel_Channel),OR(sel_Customer="All",F515=sel_Customer),OR(sel_Category="All",G515=sel_Category),AND(S515&gt;=m_From,S515&lt;=m_To)),1,0)</f>
        <v/>
      </c>
      <c r="AA515" s="36">
        <f>IF(AND(OR(sel_Region="All",C515=sel_Region),OR(sel_Country="All",D515=sel_Country),OR(sel_Channel="All",E515=sel_Channel),OR(sel_Customer="All",F515=sel_Customer),OR(sel_Category="All",G515=sel_Category),OR(sel_Product="All",H515=sel_Product)),1,0)</f>
        <v/>
      </c>
    </row>
    <row r="516">
      <c r="A516" s="36" t="inlineStr">
        <is>
          <t>02480</t>
        </is>
      </c>
      <c r="B516" s="44" t="n">
        <v>46118</v>
      </c>
      <c r="C516" s="36" t="inlineStr">
        <is>
          <t>Northern Europe</t>
        </is>
      </c>
      <c r="D516" s="36" t="inlineStr">
        <is>
          <t>Norway</t>
        </is>
      </c>
      <c r="E516" s="36" t="inlineStr">
        <is>
          <t>Corporate</t>
        </is>
      </c>
      <c r="F516" s="36" t="inlineStr">
        <is>
          <t>New</t>
        </is>
      </c>
      <c r="G516" s="36" t="inlineStr">
        <is>
          <t>Hiking</t>
        </is>
      </c>
      <c r="H516" s="36" t="inlineStr">
        <is>
          <t>Summit Backpack 45L</t>
        </is>
      </c>
      <c r="I516" s="36" t="n">
        <v>8</v>
      </c>
      <c r="J516" s="39" t="n">
        <v>152.42</v>
      </c>
      <c r="K516" s="45" t="n">
        <v>0.05</v>
      </c>
      <c r="L516" s="39" t="n">
        <v>80.11</v>
      </c>
      <c r="M516" s="39">
        <f>I516*J516*(1-K516)</f>
        <v/>
      </c>
      <c r="N516" s="39">
        <f>I516*L516</f>
        <v/>
      </c>
      <c r="O516" s="39">
        <f>M516-N516</f>
        <v/>
      </c>
      <c r="P516" s="38">
        <f>IF(M516=0,0,O516/M516)</f>
        <v/>
      </c>
      <c r="Q516" s="36">
        <f>YEAR(B516)</f>
        <v/>
      </c>
      <c r="R516" s="36">
        <f>"Q"&amp;ROUNDUP(MONTH(B516)/3,0)</f>
        <v/>
      </c>
      <c r="S516" s="36">
        <f>MONTH(B516)</f>
        <v/>
      </c>
      <c r="T516" s="36">
        <f>TEXT(B516,"mmm")</f>
        <v/>
      </c>
      <c r="U516" s="36">
        <f>IF(AND(OR(sel_Region="All",C516=sel_Region),OR(sel_Country="All",D516=sel_Country),OR(sel_Channel="All",E516=sel_Channel),OR(sel_Customer="All",F516=sel_Customer),OR(sel_Category="All",G516=sel_Category),OR(sel_Product="All",H516=sel_Product),AND(S516&gt;=m_From,S516&lt;=m_To)),1,0)</f>
        <v/>
      </c>
      <c r="V516" s="36">
        <f>IF(AND(OR(sel_Region="All",C516=sel_Region),OR(sel_Channel="All",E516=sel_Channel),OR(sel_Customer="All",F516=sel_Customer),OR(sel_Category="All",G516=sel_Category),OR(sel_Product="All",H516=sel_Product),AND(S516&gt;=m_From,S516&lt;=m_To)),1,0)</f>
        <v/>
      </c>
      <c r="W516" s="36">
        <f>IF(AND(OR(sel_Region="All",C516=sel_Region),OR(sel_Country="All",D516=sel_Country),OR(sel_Customer="All",F516=sel_Customer),OR(sel_Category="All",G516=sel_Category),OR(sel_Product="All",H516=sel_Product),AND(S516&gt;=m_From,S516&lt;=m_To)),1,0)</f>
        <v/>
      </c>
      <c r="X516" s="36">
        <f>IF(AND(OR(sel_Region="All",C516=sel_Region),OR(sel_Country="All",D516=sel_Country),OR(sel_Channel="All",E516=sel_Channel),OR(sel_Category="All",G516=sel_Category),OR(sel_Product="All",H516=sel_Product),AND(S516&gt;=m_From,S516&lt;=m_To)),1,0)</f>
        <v/>
      </c>
      <c r="Y516" s="36">
        <f>IF(AND(OR(sel_Region="All",C516=sel_Region),OR(sel_Country="All",D516=sel_Country),OR(sel_Channel="All",E516=sel_Channel),OR(sel_Customer="All",F516=sel_Customer),OR(sel_Product="All",H516=sel_Product),AND(S516&gt;=m_From,S516&lt;=m_To)),1,0)</f>
        <v/>
      </c>
      <c r="Z516" s="36">
        <f>IF(AND(OR(sel_Region="All",C516=sel_Region),OR(sel_Country="All",D516=sel_Country),OR(sel_Channel="All",E516=sel_Channel),OR(sel_Customer="All",F516=sel_Customer),OR(sel_Category="All",G516=sel_Category),AND(S516&gt;=m_From,S516&lt;=m_To)),1,0)</f>
        <v/>
      </c>
      <c r="AA516" s="36">
        <f>IF(AND(OR(sel_Region="All",C516=sel_Region),OR(sel_Country="All",D516=sel_Country),OR(sel_Channel="All",E516=sel_Channel),OR(sel_Customer="All",F516=sel_Customer),OR(sel_Category="All",G516=sel_Category),OR(sel_Product="All",H516=sel_Product)),1,0)</f>
        <v/>
      </c>
    </row>
    <row r="517">
      <c r="A517" s="36" t="inlineStr">
        <is>
          <t>02515</t>
        </is>
      </c>
      <c r="B517" s="44" t="n">
        <v>46118</v>
      </c>
      <c r="C517" s="36" t="inlineStr">
        <is>
          <t>Western Europe</t>
        </is>
      </c>
      <c r="D517" s="36" t="inlineStr">
        <is>
          <t>United Kingdom</t>
        </is>
      </c>
      <c r="E517" s="36" t="inlineStr">
        <is>
          <t>Online Store</t>
        </is>
      </c>
      <c r="F517" s="36" t="inlineStr">
        <is>
          <t>Returning</t>
        </is>
      </c>
      <c r="G517" s="36" t="inlineStr">
        <is>
          <t>Cycling</t>
        </is>
      </c>
      <c r="H517" s="36" t="inlineStr">
        <is>
          <t>Commuter Helmet</t>
        </is>
      </c>
      <c r="I517" s="36" t="n">
        <v>1</v>
      </c>
      <c r="J517" s="39" t="n">
        <v>81.78</v>
      </c>
      <c r="K517" s="45" t="n">
        <v>0</v>
      </c>
      <c r="L517" s="39" t="n">
        <v>42.82</v>
      </c>
      <c r="M517" s="39">
        <f>I517*J517*(1-K517)</f>
        <v/>
      </c>
      <c r="N517" s="39">
        <f>I517*L517</f>
        <v/>
      </c>
      <c r="O517" s="39">
        <f>M517-N517</f>
        <v/>
      </c>
      <c r="P517" s="38">
        <f>IF(M517=0,0,O517/M517)</f>
        <v/>
      </c>
      <c r="Q517" s="36">
        <f>YEAR(B517)</f>
        <v/>
      </c>
      <c r="R517" s="36">
        <f>"Q"&amp;ROUNDUP(MONTH(B517)/3,0)</f>
        <v/>
      </c>
      <c r="S517" s="36">
        <f>MONTH(B517)</f>
        <v/>
      </c>
      <c r="T517" s="36">
        <f>TEXT(B517,"mmm")</f>
        <v/>
      </c>
      <c r="U517" s="36">
        <f>IF(AND(OR(sel_Region="All",C517=sel_Region),OR(sel_Country="All",D517=sel_Country),OR(sel_Channel="All",E517=sel_Channel),OR(sel_Customer="All",F517=sel_Customer),OR(sel_Category="All",G517=sel_Category),OR(sel_Product="All",H517=sel_Product),AND(S517&gt;=m_From,S517&lt;=m_To)),1,0)</f>
        <v/>
      </c>
      <c r="V517" s="36">
        <f>IF(AND(OR(sel_Region="All",C517=sel_Region),OR(sel_Channel="All",E517=sel_Channel),OR(sel_Customer="All",F517=sel_Customer),OR(sel_Category="All",G517=sel_Category),OR(sel_Product="All",H517=sel_Product),AND(S517&gt;=m_From,S517&lt;=m_To)),1,0)</f>
        <v/>
      </c>
      <c r="W517" s="36">
        <f>IF(AND(OR(sel_Region="All",C517=sel_Region),OR(sel_Country="All",D517=sel_Country),OR(sel_Customer="All",F517=sel_Customer),OR(sel_Category="All",G517=sel_Category),OR(sel_Product="All",H517=sel_Product),AND(S517&gt;=m_From,S517&lt;=m_To)),1,0)</f>
        <v/>
      </c>
      <c r="X517" s="36">
        <f>IF(AND(OR(sel_Region="All",C517=sel_Region),OR(sel_Country="All",D517=sel_Country),OR(sel_Channel="All",E517=sel_Channel),OR(sel_Category="All",G517=sel_Category),OR(sel_Product="All",H517=sel_Product),AND(S517&gt;=m_From,S517&lt;=m_To)),1,0)</f>
        <v/>
      </c>
      <c r="Y517" s="36">
        <f>IF(AND(OR(sel_Region="All",C517=sel_Region),OR(sel_Country="All",D517=sel_Country),OR(sel_Channel="All",E517=sel_Channel),OR(sel_Customer="All",F517=sel_Customer),OR(sel_Product="All",H517=sel_Product),AND(S517&gt;=m_From,S517&lt;=m_To)),1,0)</f>
        <v/>
      </c>
      <c r="Z517" s="36">
        <f>IF(AND(OR(sel_Region="All",C517=sel_Region),OR(sel_Country="All",D517=sel_Country),OR(sel_Channel="All",E517=sel_Channel),OR(sel_Customer="All",F517=sel_Customer),OR(sel_Category="All",G517=sel_Category),AND(S517&gt;=m_From,S517&lt;=m_To)),1,0)</f>
        <v/>
      </c>
      <c r="AA517" s="36">
        <f>IF(AND(OR(sel_Region="All",C517=sel_Region),OR(sel_Country="All",D517=sel_Country),OR(sel_Channel="All",E517=sel_Channel),OR(sel_Customer="All",F517=sel_Customer),OR(sel_Category="All",G517=sel_Category),OR(sel_Product="All",H517=sel_Product)),1,0)</f>
        <v/>
      </c>
    </row>
    <row r="518">
      <c r="A518" s="36" t="inlineStr">
        <is>
          <t>02829</t>
        </is>
      </c>
      <c r="B518" s="44" t="n">
        <v>46118</v>
      </c>
      <c r="C518" s="36" t="inlineStr">
        <is>
          <t>Central Europe</t>
        </is>
      </c>
      <c r="D518" s="36" t="inlineStr">
        <is>
          <t>Austria</t>
        </is>
      </c>
      <c r="E518" s="36" t="inlineStr">
        <is>
          <t>Online Store</t>
        </is>
      </c>
      <c r="F518" s="36" t="inlineStr">
        <is>
          <t>Business</t>
        </is>
      </c>
      <c r="G518" s="36" t="inlineStr">
        <is>
          <t>Cycling</t>
        </is>
      </c>
      <c r="H518" s="36" t="inlineStr">
        <is>
          <t>Cycling Pack 12L</t>
        </is>
      </c>
      <c r="I518" s="36" t="n">
        <v>6</v>
      </c>
      <c r="J518" s="39" t="n">
        <v>102.59</v>
      </c>
      <c r="K518" s="45" t="n">
        <v>0.1</v>
      </c>
      <c r="L518" s="39" t="n">
        <v>49.6</v>
      </c>
      <c r="M518" s="39">
        <f>I518*J518*(1-K518)</f>
        <v/>
      </c>
      <c r="N518" s="39">
        <f>I518*L518</f>
        <v/>
      </c>
      <c r="O518" s="39">
        <f>M518-N518</f>
        <v/>
      </c>
      <c r="P518" s="38">
        <f>IF(M518=0,0,O518/M518)</f>
        <v/>
      </c>
      <c r="Q518" s="36">
        <f>YEAR(B518)</f>
        <v/>
      </c>
      <c r="R518" s="36">
        <f>"Q"&amp;ROUNDUP(MONTH(B518)/3,0)</f>
        <v/>
      </c>
      <c r="S518" s="36">
        <f>MONTH(B518)</f>
        <v/>
      </c>
      <c r="T518" s="36">
        <f>TEXT(B518,"mmm")</f>
        <v/>
      </c>
      <c r="U518" s="36">
        <f>IF(AND(OR(sel_Region="All",C518=sel_Region),OR(sel_Country="All",D518=sel_Country),OR(sel_Channel="All",E518=sel_Channel),OR(sel_Customer="All",F518=sel_Customer),OR(sel_Category="All",G518=sel_Category),OR(sel_Product="All",H518=sel_Product),AND(S518&gt;=m_From,S518&lt;=m_To)),1,0)</f>
        <v/>
      </c>
      <c r="V518" s="36">
        <f>IF(AND(OR(sel_Region="All",C518=sel_Region),OR(sel_Channel="All",E518=sel_Channel),OR(sel_Customer="All",F518=sel_Customer),OR(sel_Category="All",G518=sel_Category),OR(sel_Product="All",H518=sel_Product),AND(S518&gt;=m_From,S518&lt;=m_To)),1,0)</f>
        <v/>
      </c>
      <c r="W518" s="36">
        <f>IF(AND(OR(sel_Region="All",C518=sel_Region),OR(sel_Country="All",D518=sel_Country),OR(sel_Customer="All",F518=sel_Customer),OR(sel_Category="All",G518=sel_Category),OR(sel_Product="All",H518=sel_Product),AND(S518&gt;=m_From,S518&lt;=m_To)),1,0)</f>
        <v/>
      </c>
      <c r="X518" s="36">
        <f>IF(AND(OR(sel_Region="All",C518=sel_Region),OR(sel_Country="All",D518=sel_Country),OR(sel_Channel="All",E518=sel_Channel),OR(sel_Category="All",G518=sel_Category),OR(sel_Product="All",H518=sel_Product),AND(S518&gt;=m_From,S518&lt;=m_To)),1,0)</f>
        <v/>
      </c>
      <c r="Y518" s="36">
        <f>IF(AND(OR(sel_Region="All",C518=sel_Region),OR(sel_Country="All",D518=sel_Country),OR(sel_Channel="All",E518=sel_Channel),OR(sel_Customer="All",F518=sel_Customer),OR(sel_Product="All",H518=sel_Product),AND(S518&gt;=m_From,S518&lt;=m_To)),1,0)</f>
        <v/>
      </c>
      <c r="Z518" s="36">
        <f>IF(AND(OR(sel_Region="All",C518=sel_Region),OR(sel_Country="All",D518=sel_Country),OR(sel_Channel="All",E518=sel_Channel),OR(sel_Customer="All",F518=sel_Customer),OR(sel_Category="All",G518=sel_Category),AND(S518&gt;=m_From,S518&lt;=m_To)),1,0)</f>
        <v/>
      </c>
      <c r="AA518" s="36">
        <f>IF(AND(OR(sel_Region="All",C518=sel_Region),OR(sel_Country="All",D518=sel_Country),OR(sel_Channel="All",E518=sel_Channel),OR(sel_Customer="All",F518=sel_Customer),OR(sel_Category="All",G518=sel_Category),OR(sel_Product="All",H518=sel_Product)),1,0)</f>
        <v/>
      </c>
    </row>
    <row r="519">
      <c r="A519" s="36" t="inlineStr">
        <is>
          <t>04086</t>
        </is>
      </c>
      <c r="B519" s="44" t="n">
        <v>46118</v>
      </c>
      <c r="C519" s="36" t="inlineStr">
        <is>
          <t>Western Europe</t>
        </is>
      </c>
      <c r="D519" s="36" t="inlineStr">
        <is>
          <t>United Kingdom</t>
        </is>
      </c>
      <c r="E519" s="36" t="inlineStr">
        <is>
          <t>Retail Partners</t>
        </is>
      </c>
      <c r="F519" s="36" t="inlineStr">
        <is>
          <t>Returning</t>
        </is>
      </c>
      <c r="G519" s="36" t="inlineStr">
        <is>
          <t>Hiking</t>
        </is>
      </c>
      <c r="H519" s="36" t="inlineStr">
        <is>
          <t>Summit Backpack 45L</t>
        </is>
      </c>
      <c r="I519" s="36" t="n">
        <v>2</v>
      </c>
      <c r="J519" s="39" t="n">
        <v>152.44</v>
      </c>
      <c r="K519" s="45" t="n">
        <v>0.15</v>
      </c>
      <c r="L519" s="39" t="n">
        <v>76.68000000000001</v>
      </c>
      <c r="M519" s="39">
        <f>I519*J519*(1-K519)</f>
        <v/>
      </c>
      <c r="N519" s="39">
        <f>I519*L519</f>
        <v/>
      </c>
      <c r="O519" s="39">
        <f>M519-N519</f>
        <v/>
      </c>
      <c r="P519" s="38">
        <f>IF(M519=0,0,O519/M519)</f>
        <v/>
      </c>
      <c r="Q519" s="36">
        <f>YEAR(B519)</f>
        <v/>
      </c>
      <c r="R519" s="36">
        <f>"Q"&amp;ROUNDUP(MONTH(B519)/3,0)</f>
        <v/>
      </c>
      <c r="S519" s="36">
        <f>MONTH(B519)</f>
        <v/>
      </c>
      <c r="T519" s="36">
        <f>TEXT(B519,"mmm")</f>
        <v/>
      </c>
      <c r="U519" s="36">
        <f>IF(AND(OR(sel_Region="All",C519=sel_Region),OR(sel_Country="All",D519=sel_Country),OR(sel_Channel="All",E519=sel_Channel),OR(sel_Customer="All",F519=sel_Customer),OR(sel_Category="All",G519=sel_Category),OR(sel_Product="All",H519=sel_Product),AND(S519&gt;=m_From,S519&lt;=m_To)),1,0)</f>
        <v/>
      </c>
      <c r="V519" s="36">
        <f>IF(AND(OR(sel_Region="All",C519=sel_Region),OR(sel_Channel="All",E519=sel_Channel),OR(sel_Customer="All",F519=sel_Customer),OR(sel_Category="All",G519=sel_Category),OR(sel_Product="All",H519=sel_Product),AND(S519&gt;=m_From,S519&lt;=m_To)),1,0)</f>
        <v/>
      </c>
      <c r="W519" s="36">
        <f>IF(AND(OR(sel_Region="All",C519=sel_Region),OR(sel_Country="All",D519=sel_Country),OR(sel_Customer="All",F519=sel_Customer),OR(sel_Category="All",G519=sel_Category),OR(sel_Product="All",H519=sel_Product),AND(S519&gt;=m_From,S519&lt;=m_To)),1,0)</f>
        <v/>
      </c>
      <c r="X519" s="36">
        <f>IF(AND(OR(sel_Region="All",C519=sel_Region),OR(sel_Country="All",D519=sel_Country),OR(sel_Channel="All",E519=sel_Channel),OR(sel_Category="All",G519=sel_Category),OR(sel_Product="All",H519=sel_Product),AND(S519&gt;=m_From,S519&lt;=m_To)),1,0)</f>
        <v/>
      </c>
      <c r="Y519" s="36">
        <f>IF(AND(OR(sel_Region="All",C519=sel_Region),OR(sel_Country="All",D519=sel_Country),OR(sel_Channel="All",E519=sel_Channel),OR(sel_Customer="All",F519=sel_Customer),OR(sel_Product="All",H519=sel_Product),AND(S519&gt;=m_From,S519&lt;=m_To)),1,0)</f>
        <v/>
      </c>
      <c r="Z519" s="36">
        <f>IF(AND(OR(sel_Region="All",C519=sel_Region),OR(sel_Country="All",D519=sel_Country),OR(sel_Channel="All",E519=sel_Channel),OR(sel_Customer="All",F519=sel_Customer),OR(sel_Category="All",G519=sel_Category),AND(S519&gt;=m_From,S519&lt;=m_To)),1,0)</f>
        <v/>
      </c>
      <c r="AA519" s="36">
        <f>IF(AND(OR(sel_Region="All",C519=sel_Region),OR(sel_Country="All",D519=sel_Country),OR(sel_Channel="All",E519=sel_Channel),OR(sel_Customer="All",F519=sel_Customer),OR(sel_Category="All",G519=sel_Category),OR(sel_Product="All",H519=sel_Product)),1,0)</f>
        <v/>
      </c>
    </row>
    <row r="520">
      <c r="A520" s="36" t="inlineStr">
        <is>
          <t>04512</t>
        </is>
      </c>
      <c r="B520" s="44" t="n">
        <v>46118</v>
      </c>
      <c r="C520" s="36" t="inlineStr">
        <is>
          <t>Central Europe</t>
        </is>
      </c>
      <c r="D520" s="36" t="inlineStr">
        <is>
          <t>Czechia</t>
        </is>
      </c>
      <c r="E520" s="36" t="inlineStr">
        <is>
          <t>Online Store</t>
        </is>
      </c>
      <c r="F520" s="36" t="inlineStr">
        <is>
          <t>New</t>
        </is>
      </c>
      <c r="G520" s="36" t="inlineStr">
        <is>
          <t>Travel</t>
        </is>
      </c>
      <c r="H520" s="36" t="inlineStr">
        <is>
          <t>Carry-On Duffel</t>
        </is>
      </c>
      <c r="I520" s="36" t="n">
        <v>6</v>
      </c>
      <c r="J520" s="39" t="n">
        <v>136.29</v>
      </c>
      <c r="K520" s="45" t="n">
        <v>0</v>
      </c>
      <c r="L520" s="39" t="n">
        <v>68.20999999999999</v>
      </c>
      <c r="M520" s="39">
        <f>I520*J520*(1-K520)</f>
        <v/>
      </c>
      <c r="N520" s="39">
        <f>I520*L520</f>
        <v/>
      </c>
      <c r="O520" s="39">
        <f>M520-N520</f>
        <v/>
      </c>
      <c r="P520" s="38">
        <f>IF(M520=0,0,O520/M520)</f>
        <v/>
      </c>
      <c r="Q520" s="36">
        <f>YEAR(B520)</f>
        <v/>
      </c>
      <c r="R520" s="36">
        <f>"Q"&amp;ROUNDUP(MONTH(B520)/3,0)</f>
        <v/>
      </c>
      <c r="S520" s="36">
        <f>MONTH(B520)</f>
        <v/>
      </c>
      <c r="T520" s="36">
        <f>TEXT(B520,"mmm")</f>
        <v/>
      </c>
      <c r="U520" s="36">
        <f>IF(AND(OR(sel_Region="All",C520=sel_Region),OR(sel_Country="All",D520=sel_Country),OR(sel_Channel="All",E520=sel_Channel),OR(sel_Customer="All",F520=sel_Customer),OR(sel_Category="All",G520=sel_Category),OR(sel_Product="All",H520=sel_Product),AND(S520&gt;=m_From,S520&lt;=m_To)),1,0)</f>
        <v/>
      </c>
      <c r="V520" s="36">
        <f>IF(AND(OR(sel_Region="All",C520=sel_Region),OR(sel_Channel="All",E520=sel_Channel),OR(sel_Customer="All",F520=sel_Customer),OR(sel_Category="All",G520=sel_Category),OR(sel_Product="All",H520=sel_Product),AND(S520&gt;=m_From,S520&lt;=m_To)),1,0)</f>
        <v/>
      </c>
      <c r="W520" s="36">
        <f>IF(AND(OR(sel_Region="All",C520=sel_Region),OR(sel_Country="All",D520=sel_Country),OR(sel_Customer="All",F520=sel_Customer),OR(sel_Category="All",G520=sel_Category),OR(sel_Product="All",H520=sel_Product),AND(S520&gt;=m_From,S520&lt;=m_To)),1,0)</f>
        <v/>
      </c>
      <c r="X520" s="36">
        <f>IF(AND(OR(sel_Region="All",C520=sel_Region),OR(sel_Country="All",D520=sel_Country),OR(sel_Channel="All",E520=sel_Channel),OR(sel_Category="All",G520=sel_Category),OR(sel_Product="All",H520=sel_Product),AND(S520&gt;=m_From,S520&lt;=m_To)),1,0)</f>
        <v/>
      </c>
      <c r="Y520" s="36">
        <f>IF(AND(OR(sel_Region="All",C520=sel_Region),OR(sel_Country="All",D520=sel_Country),OR(sel_Channel="All",E520=sel_Channel),OR(sel_Customer="All",F520=sel_Customer),OR(sel_Product="All",H520=sel_Product),AND(S520&gt;=m_From,S520&lt;=m_To)),1,0)</f>
        <v/>
      </c>
      <c r="Z520" s="36">
        <f>IF(AND(OR(sel_Region="All",C520=sel_Region),OR(sel_Country="All",D520=sel_Country),OR(sel_Channel="All",E520=sel_Channel),OR(sel_Customer="All",F520=sel_Customer),OR(sel_Category="All",G520=sel_Category),AND(S520&gt;=m_From,S520&lt;=m_To)),1,0)</f>
        <v/>
      </c>
      <c r="AA520" s="36">
        <f>IF(AND(OR(sel_Region="All",C520=sel_Region),OR(sel_Country="All",D520=sel_Country),OR(sel_Channel="All",E520=sel_Channel),OR(sel_Customer="All",F520=sel_Customer),OR(sel_Category="All",G520=sel_Category),OR(sel_Product="All",H520=sel_Product)),1,0)</f>
        <v/>
      </c>
    </row>
    <row r="521">
      <c r="A521" s="36" t="inlineStr">
        <is>
          <t>04837</t>
        </is>
      </c>
      <c r="B521" s="44" t="n">
        <v>46118</v>
      </c>
      <c r="C521" s="36" t="inlineStr">
        <is>
          <t>Southern Europe</t>
        </is>
      </c>
      <c r="D521" s="36" t="inlineStr">
        <is>
          <t>Portugal</t>
        </is>
      </c>
      <c r="E521" s="36" t="inlineStr">
        <is>
          <t>Corporate</t>
        </is>
      </c>
      <c r="F521" s="36" t="inlineStr">
        <is>
          <t>Business</t>
        </is>
      </c>
      <c r="G521" s="36" t="inlineStr">
        <is>
          <t>Hiking</t>
        </is>
      </c>
      <c r="H521" s="36" t="inlineStr">
        <is>
          <t>Summit Backpack 45L</t>
        </is>
      </c>
      <c r="I521" s="36" t="n">
        <v>4</v>
      </c>
      <c r="J521" s="39" t="n">
        <v>157.51</v>
      </c>
      <c r="K521" s="45" t="n">
        <v>0.2</v>
      </c>
      <c r="L521" s="39" t="n">
        <v>79.20999999999999</v>
      </c>
      <c r="M521" s="39">
        <f>I521*J521*(1-K521)</f>
        <v/>
      </c>
      <c r="N521" s="39">
        <f>I521*L521</f>
        <v/>
      </c>
      <c r="O521" s="39">
        <f>M521-N521</f>
        <v/>
      </c>
      <c r="P521" s="38">
        <f>IF(M521=0,0,O521/M521)</f>
        <v/>
      </c>
      <c r="Q521" s="36">
        <f>YEAR(B521)</f>
        <v/>
      </c>
      <c r="R521" s="36">
        <f>"Q"&amp;ROUNDUP(MONTH(B521)/3,0)</f>
        <v/>
      </c>
      <c r="S521" s="36">
        <f>MONTH(B521)</f>
        <v/>
      </c>
      <c r="T521" s="36">
        <f>TEXT(B521,"mmm")</f>
        <v/>
      </c>
      <c r="U521" s="36">
        <f>IF(AND(OR(sel_Region="All",C521=sel_Region),OR(sel_Country="All",D521=sel_Country),OR(sel_Channel="All",E521=sel_Channel),OR(sel_Customer="All",F521=sel_Customer),OR(sel_Category="All",G521=sel_Category),OR(sel_Product="All",H521=sel_Product),AND(S521&gt;=m_From,S521&lt;=m_To)),1,0)</f>
        <v/>
      </c>
      <c r="V521" s="36">
        <f>IF(AND(OR(sel_Region="All",C521=sel_Region),OR(sel_Channel="All",E521=sel_Channel),OR(sel_Customer="All",F521=sel_Customer),OR(sel_Category="All",G521=sel_Category),OR(sel_Product="All",H521=sel_Product),AND(S521&gt;=m_From,S521&lt;=m_To)),1,0)</f>
        <v/>
      </c>
      <c r="W521" s="36">
        <f>IF(AND(OR(sel_Region="All",C521=sel_Region),OR(sel_Country="All",D521=sel_Country),OR(sel_Customer="All",F521=sel_Customer),OR(sel_Category="All",G521=sel_Category),OR(sel_Product="All",H521=sel_Product),AND(S521&gt;=m_From,S521&lt;=m_To)),1,0)</f>
        <v/>
      </c>
      <c r="X521" s="36">
        <f>IF(AND(OR(sel_Region="All",C521=sel_Region),OR(sel_Country="All",D521=sel_Country),OR(sel_Channel="All",E521=sel_Channel),OR(sel_Category="All",G521=sel_Category),OR(sel_Product="All",H521=sel_Product),AND(S521&gt;=m_From,S521&lt;=m_To)),1,0)</f>
        <v/>
      </c>
      <c r="Y521" s="36">
        <f>IF(AND(OR(sel_Region="All",C521=sel_Region),OR(sel_Country="All",D521=sel_Country),OR(sel_Channel="All",E521=sel_Channel),OR(sel_Customer="All",F521=sel_Customer),OR(sel_Product="All",H521=sel_Product),AND(S521&gt;=m_From,S521&lt;=m_To)),1,0)</f>
        <v/>
      </c>
      <c r="Z521" s="36">
        <f>IF(AND(OR(sel_Region="All",C521=sel_Region),OR(sel_Country="All",D521=sel_Country),OR(sel_Channel="All",E521=sel_Channel),OR(sel_Customer="All",F521=sel_Customer),OR(sel_Category="All",G521=sel_Category),AND(S521&gt;=m_From,S521&lt;=m_To)),1,0)</f>
        <v/>
      </c>
      <c r="AA521" s="36">
        <f>IF(AND(OR(sel_Region="All",C521=sel_Region),OR(sel_Country="All",D521=sel_Country),OR(sel_Channel="All",E521=sel_Channel),OR(sel_Customer="All",F521=sel_Customer),OR(sel_Category="All",G521=sel_Category),OR(sel_Product="All",H521=sel_Product)),1,0)</f>
        <v/>
      </c>
    </row>
    <row r="522">
      <c r="A522" s="36" t="inlineStr">
        <is>
          <t>01580</t>
        </is>
      </c>
      <c r="B522" s="44" t="n">
        <v>46119</v>
      </c>
      <c r="C522" s="36" t="inlineStr">
        <is>
          <t>Northern Europe</t>
        </is>
      </c>
      <c r="D522" s="36" t="inlineStr">
        <is>
          <t>Ireland</t>
        </is>
      </c>
      <c r="E522" s="36" t="inlineStr">
        <is>
          <t>Online Store</t>
        </is>
      </c>
      <c r="F522" s="36" t="inlineStr">
        <is>
          <t>New</t>
        </is>
      </c>
      <c r="G522" s="36" t="inlineStr">
        <is>
          <t>Camping</t>
        </is>
      </c>
      <c r="H522" s="36" t="inlineStr">
        <is>
          <t>Compact Sleeping Bag</t>
        </is>
      </c>
      <c r="I522" s="36" t="n">
        <v>2</v>
      </c>
      <c r="J522" s="39" t="n">
        <v>120.5</v>
      </c>
      <c r="K522" s="45" t="n">
        <v>0</v>
      </c>
      <c r="L522" s="39" t="n">
        <v>61.42</v>
      </c>
      <c r="M522" s="39">
        <f>I522*J522*(1-K522)</f>
        <v/>
      </c>
      <c r="N522" s="39">
        <f>I522*L522</f>
        <v/>
      </c>
      <c r="O522" s="39">
        <f>M522-N522</f>
        <v/>
      </c>
      <c r="P522" s="38">
        <f>IF(M522=0,0,O522/M522)</f>
        <v/>
      </c>
      <c r="Q522" s="36">
        <f>YEAR(B522)</f>
        <v/>
      </c>
      <c r="R522" s="36">
        <f>"Q"&amp;ROUNDUP(MONTH(B522)/3,0)</f>
        <v/>
      </c>
      <c r="S522" s="36">
        <f>MONTH(B522)</f>
        <v/>
      </c>
      <c r="T522" s="36">
        <f>TEXT(B522,"mmm")</f>
        <v/>
      </c>
      <c r="U522" s="36">
        <f>IF(AND(OR(sel_Region="All",C522=sel_Region),OR(sel_Country="All",D522=sel_Country),OR(sel_Channel="All",E522=sel_Channel),OR(sel_Customer="All",F522=sel_Customer),OR(sel_Category="All",G522=sel_Category),OR(sel_Product="All",H522=sel_Product),AND(S522&gt;=m_From,S522&lt;=m_To)),1,0)</f>
        <v/>
      </c>
      <c r="V522" s="36">
        <f>IF(AND(OR(sel_Region="All",C522=sel_Region),OR(sel_Channel="All",E522=sel_Channel),OR(sel_Customer="All",F522=sel_Customer),OR(sel_Category="All",G522=sel_Category),OR(sel_Product="All",H522=sel_Product),AND(S522&gt;=m_From,S522&lt;=m_To)),1,0)</f>
        <v/>
      </c>
      <c r="W522" s="36">
        <f>IF(AND(OR(sel_Region="All",C522=sel_Region),OR(sel_Country="All",D522=sel_Country),OR(sel_Customer="All",F522=sel_Customer),OR(sel_Category="All",G522=sel_Category),OR(sel_Product="All",H522=sel_Product),AND(S522&gt;=m_From,S522&lt;=m_To)),1,0)</f>
        <v/>
      </c>
      <c r="X522" s="36">
        <f>IF(AND(OR(sel_Region="All",C522=sel_Region),OR(sel_Country="All",D522=sel_Country),OR(sel_Channel="All",E522=sel_Channel),OR(sel_Category="All",G522=sel_Category),OR(sel_Product="All",H522=sel_Product),AND(S522&gt;=m_From,S522&lt;=m_To)),1,0)</f>
        <v/>
      </c>
      <c r="Y522" s="36">
        <f>IF(AND(OR(sel_Region="All",C522=sel_Region),OR(sel_Country="All",D522=sel_Country),OR(sel_Channel="All",E522=sel_Channel),OR(sel_Customer="All",F522=sel_Customer),OR(sel_Product="All",H522=sel_Product),AND(S522&gt;=m_From,S522&lt;=m_To)),1,0)</f>
        <v/>
      </c>
      <c r="Z522" s="36">
        <f>IF(AND(OR(sel_Region="All",C522=sel_Region),OR(sel_Country="All",D522=sel_Country),OR(sel_Channel="All",E522=sel_Channel),OR(sel_Customer="All",F522=sel_Customer),OR(sel_Category="All",G522=sel_Category),AND(S522&gt;=m_From,S522&lt;=m_To)),1,0)</f>
        <v/>
      </c>
      <c r="AA522" s="36">
        <f>IF(AND(OR(sel_Region="All",C522=sel_Region),OR(sel_Country="All",D522=sel_Country),OR(sel_Channel="All",E522=sel_Channel),OR(sel_Customer="All",F522=sel_Customer),OR(sel_Category="All",G522=sel_Category),OR(sel_Product="All",H522=sel_Product)),1,0)</f>
        <v/>
      </c>
    </row>
    <row r="523">
      <c r="A523" s="36" t="inlineStr">
        <is>
          <t>01962</t>
        </is>
      </c>
      <c r="B523" s="44" t="n">
        <v>46119</v>
      </c>
      <c r="C523" s="36" t="inlineStr">
        <is>
          <t>Southern Europe</t>
        </is>
      </c>
      <c r="D523" s="36" t="inlineStr">
        <is>
          <t>Spain</t>
        </is>
      </c>
      <c r="E523" s="36" t="inlineStr">
        <is>
          <t>Online Store</t>
        </is>
      </c>
      <c r="F523" s="36" t="inlineStr">
        <is>
          <t>Returning</t>
        </is>
      </c>
      <c r="G523" s="36" t="inlineStr">
        <is>
          <t>Hiking</t>
        </is>
      </c>
      <c r="H523" s="36" t="inlineStr">
        <is>
          <t>Summit Backpack 45L</t>
        </is>
      </c>
      <c r="I523" s="36" t="n">
        <v>3</v>
      </c>
      <c r="J523" s="39" t="n">
        <v>152.62</v>
      </c>
      <c r="K523" s="45" t="n">
        <v>0.05</v>
      </c>
      <c r="L523" s="39" t="n">
        <v>77.75</v>
      </c>
      <c r="M523" s="39">
        <f>I523*J523*(1-K523)</f>
        <v/>
      </c>
      <c r="N523" s="39">
        <f>I523*L523</f>
        <v/>
      </c>
      <c r="O523" s="39">
        <f>M523-N523</f>
        <v/>
      </c>
      <c r="P523" s="38">
        <f>IF(M523=0,0,O523/M523)</f>
        <v/>
      </c>
      <c r="Q523" s="36">
        <f>YEAR(B523)</f>
        <v/>
      </c>
      <c r="R523" s="36">
        <f>"Q"&amp;ROUNDUP(MONTH(B523)/3,0)</f>
        <v/>
      </c>
      <c r="S523" s="36">
        <f>MONTH(B523)</f>
        <v/>
      </c>
      <c r="T523" s="36">
        <f>TEXT(B523,"mmm")</f>
        <v/>
      </c>
      <c r="U523" s="36">
        <f>IF(AND(OR(sel_Region="All",C523=sel_Region),OR(sel_Country="All",D523=sel_Country),OR(sel_Channel="All",E523=sel_Channel),OR(sel_Customer="All",F523=sel_Customer),OR(sel_Category="All",G523=sel_Category),OR(sel_Product="All",H523=sel_Product),AND(S523&gt;=m_From,S523&lt;=m_To)),1,0)</f>
        <v/>
      </c>
      <c r="V523" s="36">
        <f>IF(AND(OR(sel_Region="All",C523=sel_Region),OR(sel_Channel="All",E523=sel_Channel),OR(sel_Customer="All",F523=sel_Customer),OR(sel_Category="All",G523=sel_Category),OR(sel_Product="All",H523=sel_Product),AND(S523&gt;=m_From,S523&lt;=m_To)),1,0)</f>
        <v/>
      </c>
      <c r="W523" s="36">
        <f>IF(AND(OR(sel_Region="All",C523=sel_Region),OR(sel_Country="All",D523=sel_Country),OR(sel_Customer="All",F523=sel_Customer),OR(sel_Category="All",G523=sel_Category),OR(sel_Product="All",H523=sel_Product),AND(S523&gt;=m_From,S523&lt;=m_To)),1,0)</f>
        <v/>
      </c>
      <c r="X523" s="36">
        <f>IF(AND(OR(sel_Region="All",C523=sel_Region),OR(sel_Country="All",D523=sel_Country),OR(sel_Channel="All",E523=sel_Channel),OR(sel_Category="All",G523=sel_Category),OR(sel_Product="All",H523=sel_Product),AND(S523&gt;=m_From,S523&lt;=m_To)),1,0)</f>
        <v/>
      </c>
      <c r="Y523" s="36">
        <f>IF(AND(OR(sel_Region="All",C523=sel_Region),OR(sel_Country="All",D523=sel_Country),OR(sel_Channel="All",E523=sel_Channel),OR(sel_Customer="All",F523=sel_Customer),OR(sel_Product="All",H523=sel_Product),AND(S523&gt;=m_From,S523&lt;=m_To)),1,0)</f>
        <v/>
      </c>
      <c r="Z523" s="36">
        <f>IF(AND(OR(sel_Region="All",C523=sel_Region),OR(sel_Country="All",D523=sel_Country),OR(sel_Channel="All",E523=sel_Channel),OR(sel_Customer="All",F523=sel_Customer),OR(sel_Category="All",G523=sel_Category),AND(S523&gt;=m_From,S523&lt;=m_To)),1,0)</f>
        <v/>
      </c>
      <c r="AA523" s="36">
        <f>IF(AND(OR(sel_Region="All",C523=sel_Region),OR(sel_Country="All",D523=sel_Country),OR(sel_Channel="All",E523=sel_Channel),OR(sel_Customer="All",F523=sel_Customer),OR(sel_Category="All",G523=sel_Category),OR(sel_Product="All",H523=sel_Product)),1,0)</f>
        <v/>
      </c>
    </row>
    <row r="524">
      <c r="A524" s="36" t="inlineStr">
        <is>
          <t>02381</t>
        </is>
      </c>
      <c r="B524" s="44" t="n">
        <v>46119</v>
      </c>
      <c r="C524" s="36" t="inlineStr">
        <is>
          <t>Central Europe</t>
        </is>
      </c>
      <c r="D524" s="36" t="inlineStr">
        <is>
          <t>Switzerland</t>
        </is>
      </c>
      <c r="E524" s="36" t="inlineStr">
        <is>
          <t>Online Store</t>
        </is>
      </c>
      <c r="F524" s="36" t="inlineStr">
        <is>
          <t>Returning</t>
        </is>
      </c>
      <c r="G524" s="36" t="inlineStr">
        <is>
          <t>Travel</t>
        </is>
      </c>
      <c r="H524" s="36" t="inlineStr">
        <is>
          <t>Carry-On Duffel</t>
        </is>
      </c>
      <c r="I524" s="36" t="n">
        <v>2</v>
      </c>
      <c r="J524" s="39" t="n">
        <v>134.16</v>
      </c>
      <c r="K524" s="45" t="n">
        <v>0.05</v>
      </c>
      <c r="L524" s="39" t="n">
        <v>67.08</v>
      </c>
      <c r="M524" s="39">
        <f>I524*J524*(1-K524)</f>
        <v/>
      </c>
      <c r="N524" s="39">
        <f>I524*L524</f>
        <v/>
      </c>
      <c r="O524" s="39">
        <f>M524-N524</f>
        <v/>
      </c>
      <c r="P524" s="38">
        <f>IF(M524=0,0,O524/M524)</f>
        <v/>
      </c>
      <c r="Q524" s="36">
        <f>YEAR(B524)</f>
        <v/>
      </c>
      <c r="R524" s="36">
        <f>"Q"&amp;ROUNDUP(MONTH(B524)/3,0)</f>
        <v/>
      </c>
      <c r="S524" s="36">
        <f>MONTH(B524)</f>
        <v/>
      </c>
      <c r="T524" s="36">
        <f>TEXT(B524,"mmm")</f>
        <v/>
      </c>
      <c r="U524" s="36">
        <f>IF(AND(OR(sel_Region="All",C524=sel_Region),OR(sel_Country="All",D524=sel_Country),OR(sel_Channel="All",E524=sel_Channel),OR(sel_Customer="All",F524=sel_Customer),OR(sel_Category="All",G524=sel_Category),OR(sel_Product="All",H524=sel_Product),AND(S524&gt;=m_From,S524&lt;=m_To)),1,0)</f>
        <v/>
      </c>
      <c r="V524" s="36">
        <f>IF(AND(OR(sel_Region="All",C524=sel_Region),OR(sel_Channel="All",E524=sel_Channel),OR(sel_Customer="All",F524=sel_Customer),OR(sel_Category="All",G524=sel_Category),OR(sel_Product="All",H524=sel_Product),AND(S524&gt;=m_From,S524&lt;=m_To)),1,0)</f>
        <v/>
      </c>
      <c r="W524" s="36">
        <f>IF(AND(OR(sel_Region="All",C524=sel_Region),OR(sel_Country="All",D524=sel_Country),OR(sel_Customer="All",F524=sel_Customer),OR(sel_Category="All",G524=sel_Category),OR(sel_Product="All",H524=sel_Product),AND(S524&gt;=m_From,S524&lt;=m_To)),1,0)</f>
        <v/>
      </c>
      <c r="X524" s="36">
        <f>IF(AND(OR(sel_Region="All",C524=sel_Region),OR(sel_Country="All",D524=sel_Country),OR(sel_Channel="All",E524=sel_Channel),OR(sel_Category="All",G524=sel_Category),OR(sel_Product="All",H524=sel_Product),AND(S524&gt;=m_From,S524&lt;=m_To)),1,0)</f>
        <v/>
      </c>
      <c r="Y524" s="36">
        <f>IF(AND(OR(sel_Region="All",C524=sel_Region),OR(sel_Country="All",D524=sel_Country),OR(sel_Channel="All",E524=sel_Channel),OR(sel_Customer="All",F524=sel_Customer),OR(sel_Product="All",H524=sel_Product),AND(S524&gt;=m_From,S524&lt;=m_To)),1,0)</f>
        <v/>
      </c>
      <c r="Z524" s="36">
        <f>IF(AND(OR(sel_Region="All",C524=sel_Region),OR(sel_Country="All",D524=sel_Country),OR(sel_Channel="All",E524=sel_Channel),OR(sel_Customer="All",F524=sel_Customer),OR(sel_Category="All",G524=sel_Category),AND(S524&gt;=m_From,S524&lt;=m_To)),1,0)</f>
        <v/>
      </c>
      <c r="AA524" s="36">
        <f>IF(AND(OR(sel_Region="All",C524=sel_Region),OR(sel_Country="All",D524=sel_Country),OR(sel_Channel="All",E524=sel_Channel),OR(sel_Customer="All",F524=sel_Customer),OR(sel_Category="All",G524=sel_Category),OR(sel_Product="All",H524=sel_Product)),1,0)</f>
        <v/>
      </c>
    </row>
    <row r="525">
      <c r="A525" s="36" t="inlineStr">
        <is>
          <t>02655</t>
        </is>
      </c>
      <c r="B525" s="44" t="n">
        <v>46119</v>
      </c>
      <c r="C525" s="36" t="inlineStr">
        <is>
          <t>Western Europe</t>
        </is>
      </c>
      <c r="D525" s="36" t="inlineStr">
        <is>
          <t>France</t>
        </is>
      </c>
      <c r="E525" s="36" t="inlineStr">
        <is>
          <t>Retail Partners</t>
        </is>
      </c>
      <c r="F525" s="36" t="inlineStr">
        <is>
          <t>Business</t>
        </is>
      </c>
      <c r="G525" s="36" t="inlineStr">
        <is>
          <t>Cycling</t>
        </is>
      </c>
      <c r="H525" s="36" t="inlineStr">
        <is>
          <t>Cycling Pack 12L</t>
        </is>
      </c>
      <c r="I525" s="36" t="n">
        <v>1</v>
      </c>
      <c r="J525" s="39" t="n">
        <v>101.13</v>
      </c>
      <c r="K525" s="45" t="n">
        <v>0</v>
      </c>
      <c r="L525" s="39" t="n">
        <v>50.8</v>
      </c>
      <c r="M525" s="39">
        <f>I525*J525*(1-K525)</f>
        <v/>
      </c>
      <c r="N525" s="39">
        <f>I525*L525</f>
        <v/>
      </c>
      <c r="O525" s="39">
        <f>M525-N525</f>
        <v/>
      </c>
      <c r="P525" s="38">
        <f>IF(M525=0,0,O525/M525)</f>
        <v/>
      </c>
      <c r="Q525" s="36">
        <f>YEAR(B525)</f>
        <v/>
      </c>
      <c r="R525" s="36">
        <f>"Q"&amp;ROUNDUP(MONTH(B525)/3,0)</f>
        <v/>
      </c>
      <c r="S525" s="36">
        <f>MONTH(B525)</f>
        <v/>
      </c>
      <c r="T525" s="36">
        <f>TEXT(B525,"mmm")</f>
        <v/>
      </c>
      <c r="U525" s="36">
        <f>IF(AND(OR(sel_Region="All",C525=sel_Region),OR(sel_Country="All",D525=sel_Country),OR(sel_Channel="All",E525=sel_Channel),OR(sel_Customer="All",F525=sel_Customer),OR(sel_Category="All",G525=sel_Category),OR(sel_Product="All",H525=sel_Product),AND(S525&gt;=m_From,S525&lt;=m_To)),1,0)</f>
        <v/>
      </c>
      <c r="V525" s="36">
        <f>IF(AND(OR(sel_Region="All",C525=sel_Region),OR(sel_Channel="All",E525=sel_Channel),OR(sel_Customer="All",F525=sel_Customer),OR(sel_Category="All",G525=sel_Category),OR(sel_Product="All",H525=sel_Product),AND(S525&gt;=m_From,S525&lt;=m_To)),1,0)</f>
        <v/>
      </c>
      <c r="W525" s="36">
        <f>IF(AND(OR(sel_Region="All",C525=sel_Region),OR(sel_Country="All",D525=sel_Country),OR(sel_Customer="All",F525=sel_Customer),OR(sel_Category="All",G525=sel_Category),OR(sel_Product="All",H525=sel_Product),AND(S525&gt;=m_From,S525&lt;=m_To)),1,0)</f>
        <v/>
      </c>
      <c r="X525" s="36">
        <f>IF(AND(OR(sel_Region="All",C525=sel_Region),OR(sel_Country="All",D525=sel_Country),OR(sel_Channel="All",E525=sel_Channel),OR(sel_Category="All",G525=sel_Category),OR(sel_Product="All",H525=sel_Product),AND(S525&gt;=m_From,S525&lt;=m_To)),1,0)</f>
        <v/>
      </c>
      <c r="Y525" s="36">
        <f>IF(AND(OR(sel_Region="All",C525=sel_Region),OR(sel_Country="All",D525=sel_Country),OR(sel_Channel="All",E525=sel_Channel),OR(sel_Customer="All",F525=sel_Customer),OR(sel_Product="All",H525=sel_Product),AND(S525&gt;=m_From,S525&lt;=m_To)),1,0)</f>
        <v/>
      </c>
      <c r="Z525" s="36">
        <f>IF(AND(OR(sel_Region="All",C525=sel_Region),OR(sel_Country="All",D525=sel_Country),OR(sel_Channel="All",E525=sel_Channel),OR(sel_Customer="All",F525=sel_Customer),OR(sel_Category="All",G525=sel_Category),AND(S525&gt;=m_From,S525&lt;=m_To)),1,0)</f>
        <v/>
      </c>
      <c r="AA525" s="36">
        <f>IF(AND(OR(sel_Region="All",C525=sel_Region),OR(sel_Country="All",D525=sel_Country),OR(sel_Channel="All",E525=sel_Channel),OR(sel_Customer="All",F525=sel_Customer),OR(sel_Category="All",G525=sel_Category),OR(sel_Product="All",H525=sel_Product)),1,0)</f>
        <v/>
      </c>
    </row>
    <row r="526">
      <c r="A526" s="36" t="inlineStr">
        <is>
          <t>02944</t>
        </is>
      </c>
      <c r="B526" s="44" t="n">
        <v>46119</v>
      </c>
      <c r="C526" s="36" t="inlineStr">
        <is>
          <t>Central Europe</t>
        </is>
      </c>
      <c r="D526" s="36" t="inlineStr">
        <is>
          <t>Poland</t>
        </is>
      </c>
      <c r="E526" s="36" t="inlineStr">
        <is>
          <t>Retail Partners</t>
        </is>
      </c>
      <c r="F526" s="36" t="inlineStr">
        <is>
          <t>New</t>
        </is>
      </c>
      <c r="G526" s="36" t="inlineStr">
        <is>
          <t>Fitness</t>
        </is>
      </c>
      <c r="H526" s="36" t="inlineStr">
        <is>
          <t>Training Mat</t>
        </is>
      </c>
      <c r="I526" s="36" t="n">
        <v>1</v>
      </c>
      <c r="J526" s="39" t="n">
        <v>51.36</v>
      </c>
      <c r="K526" s="45" t="n">
        <v>0</v>
      </c>
      <c r="L526" s="39" t="n">
        <v>22.21</v>
      </c>
      <c r="M526" s="39">
        <f>I526*J526*(1-K526)</f>
        <v/>
      </c>
      <c r="N526" s="39">
        <f>I526*L526</f>
        <v/>
      </c>
      <c r="O526" s="39">
        <f>M526-N526</f>
        <v/>
      </c>
      <c r="P526" s="38">
        <f>IF(M526=0,0,O526/M526)</f>
        <v/>
      </c>
      <c r="Q526" s="36">
        <f>YEAR(B526)</f>
        <v/>
      </c>
      <c r="R526" s="36">
        <f>"Q"&amp;ROUNDUP(MONTH(B526)/3,0)</f>
        <v/>
      </c>
      <c r="S526" s="36">
        <f>MONTH(B526)</f>
        <v/>
      </c>
      <c r="T526" s="36">
        <f>TEXT(B526,"mmm")</f>
        <v/>
      </c>
      <c r="U526" s="36">
        <f>IF(AND(OR(sel_Region="All",C526=sel_Region),OR(sel_Country="All",D526=sel_Country),OR(sel_Channel="All",E526=sel_Channel),OR(sel_Customer="All",F526=sel_Customer),OR(sel_Category="All",G526=sel_Category),OR(sel_Product="All",H526=sel_Product),AND(S526&gt;=m_From,S526&lt;=m_To)),1,0)</f>
        <v/>
      </c>
      <c r="V526" s="36">
        <f>IF(AND(OR(sel_Region="All",C526=sel_Region),OR(sel_Channel="All",E526=sel_Channel),OR(sel_Customer="All",F526=sel_Customer),OR(sel_Category="All",G526=sel_Category),OR(sel_Product="All",H526=sel_Product),AND(S526&gt;=m_From,S526&lt;=m_To)),1,0)</f>
        <v/>
      </c>
      <c r="W526" s="36">
        <f>IF(AND(OR(sel_Region="All",C526=sel_Region),OR(sel_Country="All",D526=sel_Country),OR(sel_Customer="All",F526=sel_Customer),OR(sel_Category="All",G526=sel_Category),OR(sel_Product="All",H526=sel_Product),AND(S526&gt;=m_From,S526&lt;=m_To)),1,0)</f>
        <v/>
      </c>
      <c r="X526" s="36">
        <f>IF(AND(OR(sel_Region="All",C526=sel_Region),OR(sel_Country="All",D526=sel_Country),OR(sel_Channel="All",E526=sel_Channel),OR(sel_Category="All",G526=sel_Category),OR(sel_Product="All",H526=sel_Product),AND(S526&gt;=m_From,S526&lt;=m_To)),1,0)</f>
        <v/>
      </c>
      <c r="Y526" s="36">
        <f>IF(AND(OR(sel_Region="All",C526=sel_Region),OR(sel_Country="All",D526=sel_Country),OR(sel_Channel="All",E526=sel_Channel),OR(sel_Customer="All",F526=sel_Customer),OR(sel_Product="All",H526=sel_Product),AND(S526&gt;=m_From,S526&lt;=m_To)),1,0)</f>
        <v/>
      </c>
      <c r="Z526" s="36">
        <f>IF(AND(OR(sel_Region="All",C526=sel_Region),OR(sel_Country="All",D526=sel_Country),OR(sel_Channel="All",E526=sel_Channel),OR(sel_Customer="All",F526=sel_Customer),OR(sel_Category="All",G526=sel_Category),AND(S526&gt;=m_From,S526&lt;=m_To)),1,0)</f>
        <v/>
      </c>
      <c r="AA526" s="36">
        <f>IF(AND(OR(sel_Region="All",C526=sel_Region),OR(sel_Country="All",D526=sel_Country),OR(sel_Channel="All",E526=sel_Channel),OR(sel_Customer="All",F526=sel_Customer),OR(sel_Category="All",G526=sel_Category),OR(sel_Product="All",H526=sel_Product)),1,0)</f>
        <v/>
      </c>
    </row>
    <row r="527">
      <c r="A527" s="36" t="inlineStr">
        <is>
          <t>04756</t>
        </is>
      </c>
      <c r="B527" s="44" t="n">
        <v>46119</v>
      </c>
      <c r="C527" s="36" t="inlineStr">
        <is>
          <t>Northern Europe</t>
        </is>
      </c>
      <c r="D527" s="36" t="inlineStr">
        <is>
          <t>Norway</t>
        </is>
      </c>
      <c r="E527" s="36" t="inlineStr">
        <is>
          <t>Online Store</t>
        </is>
      </c>
      <c r="F527" s="36" t="inlineStr">
        <is>
          <t>Business</t>
        </is>
      </c>
      <c r="G527" s="36" t="inlineStr">
        <is>
          <t>Hiking</t>
        </is>
      </c>
      <c r="H527" s="36" t="inlineStr">
        <is>
          <t>Summit Backpack 45L</t>
        </is>
      </c>
      <c r="I527" s="36" t="n">
        <v>5</v>
      </c>
      <c r="J527" s="39" t="n">
        <v>151.88</v>
      </c>
      <c r="K527" s="45" t="n">
        <v>0</v>
      </c>
      <c r="L527" s="39" t="n">
        <v>80.56</v>
      </c>
      <c r="M527" s="39">
        <f>I527*J527*(1-K527)</f>
        <v/>
      </c>
      <c r="N527" s="39">
        <f>I527*L527</f>
        <v/>
      </c>
      <c r="O527" s="39">
        <f>M527-N527</f>
        <v/>
      </c>
      <c r="P527" s="38">
        <f>IF(M527=0,0,O527/M527)</f>
        <v/>
      </c>
      <c r="Q527" s="36">
        <f>YEAR(B527)</f>
        <v/>
      </c>
      <c r="R527" s="36">
        <f>"Q"&amp;ROUNDUP(MONTH(B527)/3,0)</f>
        <v/>
      </c>
      <c r="S527" s="36">
        <f>MONTH(B527)</f>
        <v/>
      </c>
      <c r="T527" s="36">
        <f>TEXT(B527,"mmm")</f>
        <v/>
      </c>
      <c r="U527" s="36">
        <f>IF(AND(OR(sel_Region="All",C527=sel_Region),OR(sel_Country="All",D527=sel_Country),OR(sel_Channel="All",E527=sel_Channel),OR(sel_Customer="All",F527=sel_Customer),OR(sel_Category="All",G527=sel_Category),OR(sel_Product="All",H527=sel_Product),AND(S527&gt;=m_From,S527&lt;=m_To)),1,0)</f>
        <v/>
      </c>
      <c r="V527" s="36">
        <f>IF(AND(OR(sel_Region="All",C527=sel_Region),OR(sel_Channel="All",E527=sel_Channel),OR(sel_Customer="All",F527=sel_Customer),OR(sel_Category="All",G527=sel_Category),OR(sel_Product="All",H527=sel_Product),AND(S527&gt;=m_From,S527&lt;=m_To)),1,0)</f>
        <v/>
      </c>
      <c r="W527" s="36">
        <f>IF(AND(OR(sel_Region="All",C527=sel_Region),OR(sel_Country="All",D527=sel_Country),OR(sel_Customer="All",F527=sel_Customer),OR(sel_Category="All",G527=sel_Category),OR(sel_Product="All",H527=sel_Product),AND(S527&gt;=m_From,S527&lt;=m_To)),1,0)</f>
        <v/>
      </c>
      <c r="X527" s="36">
        <f>IF(AND(OR(sel_Region="All",C527=sel_Region),OR(sel_Country="All",D527=sel_Country),OR(sel_Channel="All",E527=sel_Channel),OR(sel_Category="All",G527=sel_Category),OR(sel_Product="All",H527=sel_Product),AND(S527&gt;=m_From,S527&lt;=m_To)),1,0)</f>
        <v/>
      </c>
      <c r="Y527" s="36">
        <f>IF(AND(OR(sel_Region="All",C527=sel_Region),OR(sel_Country="All",D527=sel_Country),OR(sel_Channel="All",E527=sel_Channel),OR(sel_Customer="All",F527=sel_Customer),OR(sel_Product="All",H527=sel_Product),AND(S527&gt;=m_From,S527&lt;=m_To)),1,0)</f>
        <v/>
      </c>
      <c r="Z527" s="36">
        <f>IF(AND(OR(sel_Region="All",C527=sel_Region),OR(sel_Country="All",D527=sel_Country),OR(sel_Channel="All",E527=sel_Channel),OR(sel_Customer="All",F527=sel_Customer),OR(sel_Category="All",G527=sel_Category),AND(S527&gt;=m_From,S527&lt;=m_To)),1,0)</f>
        <v/>
      </c>
      <c r="AA527" s="36">
        <f>IF(AND(OR(sel_Region="All",C527=sel_Region),OR(sel_Country="All",D527=sel_Country),OR(sel_Channel="All",E527=sel_Channel),OR(sel_Customer="All",F527=sel_Customer),OR(sel_Category="All",G527=sel_Category),OR(sel_Product="All",H527=sel_Product)),1,0)</f>
        <v/>
      </c>
    </row>
    <row r="528">
      <c r="A528" s="36" t="inlineStr">
        <is>
          <t>00052</t>
        </is>
      </c>
      <c r="B528" s="44" t="n">
        <v>46120</v>
      </c>
      <c r="C528" s="36" t="inlineStr">
        <is>
          <t>Central Europe</t>
        </is>
      </c>
      <c r="D528" s="36" t="inlineStr">
        <is>
          <t>Germany</t>
        </is>
      </c>
      <c r="E528" s="36" t="inlineStr">
        <is>
          <t>Online Store</t>
        </is>
      </c>
      <c r="F528" s="36" t="inlineStr">
        <is>
          <t>New</t>
        </is>
      </c>
      <c r="G528" s="36" t="inlineStr">
        <is>
          <t>Travel</t>
        </is>
      </c>
      <c r="H528" s="36" t="inlineStr">
        <is>
          <t>Carry-On Duffel</t>
        </is>
      </c>
      <c r="I528" s="36" t="n">
        <v>2</v>
      </c>
      <c r="J528" s="39" t="n">
        <v>133.59</v>
      </c>
      <c r="K528" s="45" t="n">
        <v>0</v>
      </c>
      <c r="L528" s="39" t="n">
        <v>66.83</v>
      </c>
      <c r="M528" s="39">
        <f>I528*J528*(1-K528)</f>
        <v/>
      </c>
      <c r="N528" s="39">
        <f>I528*L528</f>
        <v/>
      </c>
      <c r="O528" s="39">
        <f>M528-N528</f>
        <v/>
      </c>
      <c r="P528" s="38">
        <f>IF(M528=0,0,O528/M528)</f>
        <v/>
      </c>
      <c r="Q528" s="36">
        <f>YEAR(B528)</f>
        <v/>
      </c>
      <c r="R528" s="36">
        <f>"Q"&amp;ROUNDUP(MONTH(B528)/3,0)</f>
        <v/>
      </c>
      <c r="S528" s="36">
        <f>MONTH(B528)</f>
        <v/>
      </c>
      <c r="T528" s="36">
        <f>TEXT(B528,"mmm")</f>
        <v/>
      </c>
      <c r="U528" s="36">
        <f>IF(AND(OR(sel_Region="All",C528=sel_Region),OR(sel_Country="All",D528=sel_Country),OR(sel_Channel="All",E528=sel_Channel),OR(sel_Customer="All",F528=sel_Customer),OR(sel_Category="All",G528=sel_Category),OR(sel_Product="All",H528=sel_Product),AND(S528&gt;=m_From,S528&lt;=m_To)),1,0)</f>
        <v/>
      </c>
      <c r="V528" s="36">
        <f>IF(AND(OR(sel_Region="All",C528=sel_Region),OR(sel_Channel="All",E528=sel_Channel),OR(sel_Customer="All",F528=sel_Customer),OR(sel_Category="All",G528=sel_Category),OR(sel_Product="All",H528=sel_Product),AND(S528&gt;=m_From,S528&lt;=m_To)),1,0)</f>
        <v/>
      </c>
      <c r="W528" s="36">
        <f>IF(AND(OR(sel_Region="All",C528=sel_Region),OR(sel_Country="All",D528=sel_Country),OR(sel_Customer="All",F528=sel_Customer),OR(sel_Category="All",G528=sel_Category),OR(sel_Product="All",H528=sel_Product),AND(S528&gt;=m_From,S528&lt;=m_To)),1,0)</f>
        <v/>
      </c>
      <c r="X528" s="36">
        <f>IF(AND(OR(sel_Region="All",C528=sel_Region),OR(sel_Country="All",D528=sel_Country),OR(sel_Channel="All",E528=sel_Channel),OR(sel_Category="All",G528=sel_Category),OR(sel_Product="All",H528=sel_Product),AND(S528&gt;=m_From,S528&lt;=m_To)),1,0)</f>
        <v/>
      </c>
      <c r="Y528" s="36">
        <f>IF(AND(OR(sel_Region="All",C528=sel_Region),OR(sel_Country="All",D528=sel_Country),OR(sel_Channel="All",E528=sel_Channel),OR(sel_Customer="All",F528=sel_Customer),OR(sel_Product="All",H528=sel_Product),AND(S528&gt;=m_From,S528&lt;=m_To)),1,0)</f>
        <v/>
      </c>
      <c r="Z528" s="36">
        <f>IF(AND(OR(sel_Region="All",C528=sel_Region),OR(sel_Country="All",D528=sel_Country),OR(sel_Channel="All",E528=sel_Channel),OR(sel_Customer="All",F528=sel_Customer),OR(sel_Category="All",G528=sel_Category),AND(S528&gt;=m_From,S528&lt;=m_To)),1,0)</f>
        <v/>
      </c>
      <c r="AA528" s="36">
        <f>IF(AND(OR(sel_Region="All",C528=sel_Region),OR(sel_Country="All",D528=sel_Country),OR(sel_Channel="All",E528=sel_Channel),OR(sel_Customer="All",F528=sel_Customer),OR(sel_Category="All",G528=sel_Category),OR(sel_Product="All",H528=sel_Product)),1,0)</f>
        <v/>
      </c>
    </row>
    <row r="529">
      <c r="A529" s="36" t="inlineStr">
        <is>
          <t>00556</t>
        </is>
      </c>
      <c r="B529" s="44" t="n">
        <v>46120</v>
      </c>
      <c r="C529" s="36" t="inlineStr">
        <is>
          <t>Western Europe</t>
        </is>
      </c>
      <c r="D529" s="36" t="inlineStr">
        <is>
          <t>United Kingdom</t>
        </is>
      </c>
      <c r="E529" s="36" t="inlineStr">
        <is>
          <t>Online Store</t>
        </is>
      </c>
      <c r="F529" s="36" t="inlineStr">
        <is>
          <t>New</t>
        </is>
      </c>
      <c r="G529" s="36" t="inlineStr">
        <is>
          <t>Camping</t>
        </is>
      </c>
      <c r="H529" s="36" t="inlineStr">
        <is>
          <t>Compact Sleeping Bag</t>
        </is>
      </c>
      <c r="I529" s="36" t="n">
        <v>2</v>
      </c>
      <c r="J529" s="39" t="n">
        <v>124.39</v>
      </c>
      <c r="K529" s="45" t="n">
        <v>0</v>
      </c>
      <c r="L529" s="39" t="n">
        <v>61.27</v>
      </c>
      <c r="M529" s="39">
        <f>I529*J529*(1-K529)</f>
        <v/>
      </c>
      <c r="N529" s="39">
        <f>I529*L529</f>
        <v/>
      </c>
      <c r="O529" s="39">
        <f>M529-N529</f>
        <v/>
      </c>
      <c r="P529" s="38">
        <f>IF(M529=0,0,O529/M529)</f>
        <v/>
      </c>
      <c r="Q529" s="36">
        <f>YEAR(B529)</f>
        <v/>
      </c>
      <c r="R529" s="36">
        <f>"Q"&amp;ROUNDUP(MONTH(B529)/3,0)</f>
        <v/>
      </c>
      <c r="S529" s="36">
        <f>MONTH(B529)</f>
        <v/>
      </c>
      <c r="T529" s="36">
        <f>TEXT(B529,"mmm")</f>
        <v/>
      </c>
      <c r="U529" s="36">
        <f>IF(AND(OR(sel_Region="All",C529=sel_Region),OR(sel_Country="All",D529=sel_Country),OR(sel_Channel="All",E529=sel_Channel),OR(sel_Customer="All",F529=sel_Customer),OR(sel_Category="All",G529=sel_Category),OR(sel_Product="All",H529=sel_Product),AND(S529&gt;=m_From,S529&lt;=m_To)),1,0)</f>
        <v/>
      </c>
      <c r="V529" s="36">
        <f>IF(AND(OR(sel_Region="All",C529=sel_Region),OR(sel_Channel="All",E529=sel_Channel),OR(sel_Customer="All",F529=sel_Customer),OR(sel_Category="All",G529=sel_Category),OR(sel_Product="All",H529=sel_Product),AND(S529&gt;=m_From,S529&lt;=m_To)),1,0)</f>
        <v/>
      </c>
      <c r="W529" s="36">
        <f>IF(AND(OR(sel_Region="All",C529=sel_Region),OR(sel_Country="All",D529=sel_Country),OR(sel_Customer="All",F529=sel_Customer),OR(sel_Category="All",G529=sel_Category),OR(sel_Product="All",H529=sel_Product),AND(S529&gt;=m_From,S529&lt;=m_To)),1,0)</f>
        <v/>
      </c>
      <c r="X529" s="36">
        <f>IF(AND(OR(sel_Region="All",C529=sel_Region),OR(sel_Country="All",D529=sel_Country),OR(sel_Channel="All",E529=sel_Channel),OR(sel_Category="All",G529=sel_Category),OR(sel_Product="All",H529=sel_Product),AND(S529&gt;=m_From,S529&lt;=m_To)),1,0)</f>
        <v/>
      </c>
      <c r="Y529" s="36">
        <f>IF(AND(OR(sel_Region="All",C529=sel_Region),OR(sel_Country="All",D529=sel_Country),OR(sel_Channel="All",E529=sel_Channel),OR(sel_Customer="All",F529=sel_Customer),OR(sel_Product="All",H529=sel_Product),AND(S529&gt;=m_From,S529&lt;=m_To)),1,0)</f>
        <v/>
      </c>
      <c r="Z529" s="36">
        <f>IF(AND(OR(sel_Region="All",C529=sel_Region),OR(sel_Country="All",D529=sel_Country),OR(sel_Channel="All",E529=sel_Channel),OR(sel_Customer="All",F529=sel_Customer),OR(sel_Category="All",G529=sel_Category),AND(S529&gt;=m_From,S529&lt;=m_To)),1,0)</f>
        <v/>
      </c>
      <c r="AA529" s="36">
        <f>IF(AND(OR(sel_Region="All",C529=sel_Region),OR(sel_Country="All",D529=sel_Country),OR(sel_Channel="All",E529=sel_Channel),OR(sel_Customer="All",F529=sel_Customer),OR(sel_Category="All",G529=sel_Category),OR(sel_Product="All",H529=sel_Product)),1,0)</f>
        <v/>
      </c>
    </row>
    <row r="530">
      <c r="A530" s="36" t="inlineStr">
        <is>
          <t>01233</t>
        </is>
      </c>
      <c r="B530" s="44" t="n">
        <v>46120</v>
      </c>
      <c r="C530" s="36" t="inlineStr">
        <is>
          <t>Southern Europe</t>
        </is>
      </c>
      <c r="D530" s="36" t="inlineStr">
        <is>
          <t>Italy</t>
        </is>
      </c>
      <c r="E530" s="36" t="inlineStr">
        <is>
          <t>Online Store</t>
        </is>
      </c>
      <c r="F530" s="36" t="inlineStr">
        <is>
          <t>New</t>
        </is>
      </c>
      <c r="G530" s="36" t="inlineStr">
        <is>
          <t>Cycling</t>
        </is>
      </c>
      <c r="H530" s="36" t="inlineStr">
        <is>
          <t>Trail Bike Light</t>
        </is>
      </c>
      <c r="I530" s="36" t="n">
        <v>5</v>
      </c>
      <c r="J530" s="39" t="n">
        <v>50.22</v>
      </c>
      <c r="K530" s="45" t="n">
        <v>0.1</v>
      </c>
      <c r="L530" s="39" t="n">
        <v>22.31</v>
      </c>
      <c r="M530" s="39">
        <f>I530*J530*(1-K530)</f>
        <v/>
      </c>
      <c r="N530" s="39">
        <f>I530*L530</f>
        <v/>
      </c>
      <c r="O530" s="39">
        <f>M530-N530</f>
        <v/>
      </c>
      <c r="P530" s="38">
        <f>IF(M530=0,0,O530/M530)</f>
        <v/>
      </c>
      <c r="Q530" s="36">
        <f>YEAR(B530)</f>
        <v/>
      </c>
      <c r="R530" s="36">
        <f>"Q"&amp;ROUNDUP(MONTH(B530)/3,0)</f>
        <v/>
      </c>
      <c r="S530" s="36">
        <f>MONTH(B530)</f>
        <v/>
      </c>
      <c r="T530" s="36">
        <f>TEXT(B530,"mmm")</f>
        <v/>
      </c>
      <c r="U530" s="36">
        <f>IF(AND(OR(sel_Region="All",C530=sel_Region),OR(sel_Country="All",D530=sel_Country),OR(sel_Channel="All",E530=sel_Channel),OR(sel_Customer="All",F530=sel_Customer),OR(sel_Category="All",G530=sel_Category),OR(sel_Product="All",H530=sel_Product),AND(S530&gt;=m_From,S530&lt;=m_To)),1,0)</f>
        <v/>
      </c>
      <c r="V530" s="36">
        <f>IF(AND(OR(sel_Region="All",C530=sel_Region),OR(sel_Channel="All",E530=sel_Channel),OR(sel_Customer="All",F530=sel_Customer),OR(sel_Category="All",G530=sel_Category),OR(sel_Product="All",H530=sel_Product),AND(S530&gt;=m_From,S530&lt;=m_To)),1,0)</f>
        <v/>
      </c>
      <c r="W530" s="36">
        <f>IF(AND(OR(sel_Region="All",C530=sel_Region),OR(sel_Country="All",D530=sel_Country),OR(sel_Customer="All",F530=sel_Customer),OR(sel_Category="All",G530=sel_Category),OR(sel_Product="All",H530=sel_Product),AND(S530&gt;=m_From,S530&lt;=m_To)),1,0)</f>
        <v/>
      </c>
      <c r="X530" s="36">
        <f>IF(AND(OR(sel_Region="All",C530=sel_Region),OR(sel_Country="All",D530=sel_Country),OR(sel_Channel="All",E530=sel_Channel),OR(sel_Category="All",G530=sel_Category),OR(sel_Product="All",H530=sel_Product),AND(S530&gt;=m_From,S530&lt;=m_To)),1,0)</f>
        <v/>
      </c>
      <c r="Y530" s="36">
        <f>IF(AND(OR(sel_Region="All",C530=sel_Region),OR(sel_Country="All",D530=sel_Country),OR(sel_Channel="All",E530=sel_Channel),OR(sel_Customer="All",F530=sel_Customer),OR(sel_Product="All",H530=sel_Product),AND(S530&gt;=m_From,S530&lt;=m_To)),1,0)</f>
        <v/>
      </c>
      <c r="Z530" s="36">
        <f>IF(AND(OR(sel_Region="All",C530=sel_Region),OR(sel_Country="All",D530=sel_Country),OR(sel_Channel="All",E530=sel_Channel),OR(sel_Customer="All",F530=sel_Customer),OR(sel_Category="All",G530=sel_Category),AND(S530&gt;=m_From,S530&lt;=m_To)),1,0)</f>
        <v/>
      </c>
      <c r="AA530" s="36">
        <f>IF(AND(OR(sel_Region="All",C530=sel_Region),OR(sel_Country="All",D530=sel_Country),OR(sel_Channel="All",E530=sel_Channel),OR(sel_Customer="All",F530=sel_Customer),OR(sel_Category="All",G530=sel_Category),OR(sel_Product="All",H530=sel_Product)),1,0)</f>
        <v/>
      </c>
    </row>
    <row r="531">
      <c r="A531" s="36" t="inlineStr">
        <is>
          <t>01492</t>
        </is>
      </c>
      <c r="B531" s="44" t="n">
        <v>46120</v>
      </c>
      <c r="C531" s="36" t="inlineStr">
        <is>
          <t>Central Europe</t>
        </is>
      </c>
      <c r="D531" s="36" t="inlineStr">
        <is>
          <t>Poland</t>
        </is>
      </c>
      <c r="E531" s="36" t="inlineStr">
        <is>
          <t>Online Store</t>
        </is>
      </c>
      <c r="F531" s="36" t="inlineStr">
        <is>
          <t>Returning</t>
        </is>
      </c>
      <c r="G531" s="36" t="inlineStr">
        <is>
          <t>Cycling</t>
        </is>
      </c>
      <c r="H531" s="36" t="inlineStr">
        <is>
          <t>Compact Repair Kit</t>
        </is>
      </c>
      <c r="I531" s="36" t="n">
        <v>2</v>
      </c>
      <c r="J531" s="39" t="n">
        <v>41.08</v>
      </c>
      <c r="K531" s="45" t="n">
        <v>0</v>
      </c>
      <c r="L531" s="39" t="n">
        <v>16.79</v>
      </c>
      <c r="M531" s="39">
        <f>I531*J531*(1-K531)</f>
        <v/>
      </c>
      <c r="N531" s="39">
        <f>I531*L531</f>
        <v/>
      </c>
      <c r="O531" s="39">
        <f>M531-N531</f>
        <v/>
      </c>
      <c r="P531" s="38">
        <f>IF(M531=0,0,O531/M531)</f>
        <v/>
      </c>
      <c r="Q531" s="36">
        <f>YEAR(B531)</f>
        <v/>
      </c>
      <c r="R531" s="36">
        <f>"Q"&amp;ROUNDUP(MONTH(B531)/3,0)</f>
        <v/>
      </c>
      <c r="S531" s="36">
        <f>MONTH(B531)</f>
        <v/>
      </c>
      <c r="T531" s="36">
        <f>TEXT(B531,"mmm")</f>
        <v/>
      </c>
      <c r="U531" s="36">
        <f>IF(AND(OR(sel_Region="All",C531=sel_Region),OR(sel_Country="All",D531=sel_Country),OR(sel_Channel="All",E531=sel_Channel),OR(sel_Customer="All",F531=sel_Customer),OR(sel_Category="All",G531=sel_Category),OR(sel_Product="All",H531=sel_Product),AND(S531&gt;=m_From,S531&lt;=m_To)),1,0)</f>
        <v/>
      </c>
      <c r="V531" s="36">
        <f>IF(AND(OR(sel_Region="All",C531=sel_Region),OR(sel_Channel="All",E531=sel_Channel),OR(sel_Customer="All",F531=sel_Customer),OR(sel_Category="All",G531=sel_Category),OR(sel_Product="All",H531=sel_Product),AND(S531&gt;=m_From,S531&lt;=m_To)),1,0)</f>
        <v/>
      </c>
      <c r="W531" s="36">
        <f>IF(AND(OR(sel_Region="All",C531=sel_Region),OR(sel_Country="All",D531=sel_Country),OR(sel_Customer="All",F531=sel_Customer),OR(sel_Category="All",G531=sel_Category),OR(sel_Product="All",H531=sel_Product),AND(S531&gt;=m_From,S531&lt;=m_To)),1,0)</f>
        <v/>
      </c>
      <c r="X531" s="36">
        <f>IF(AND(OR(sel_Region="All",C531=sel_Region),OR(sel_Country="All",D531=sel_Country),OR(sel_Channel="All",E531=sel_Channel),OR(sel_Category="All",G531=sel_Category),OR(sel_Product="All",H531=sel_Product),AND(S531&gt;=m_From,S531&lt;=m_To)),1,0)</f>
        <v/>
      </c>
      <c r="Y531" s="36">
        <f>IF(AND(OR(sel_Region="All",C531=sel_Region),OR(sel_Country="All",D531=sel_Country),OR(sel_Channel="All",E531=sel_Channel),OR(sel_Customer="All",F531=sel_Customer),OR(sel_Product="All",H531=sel_Product),AND(S531&gt;=m_From,S531&lt;=m_To)),1,0)</f>
        <v/>
      </c>
      <c r="Z531" s="36">
        <f>IF(AND(OR(sel_Region="All",C531=sel_Region),OR(sel_Country="All",D531=sel_Country),OR(sel_Channel="All",E531=sel_Channel),OR(sel_Customer="All",F531=sel_Customer),OR(sel_Category="All",G531=sel_Category),AND(S531&gt;=m_From,S531&lt;=m_To)),1,0)</f>
        <v/>
      </c>
      <c r="AA531" s="36">
        <f>IF(AND(OR(sel_Region="All",C531=sel_Region),OR(sel_Country="All",D531=sel_Country),OR(sel_Channel="All",E531=sel_Channel),OR(sel_Customer="All",F531=sel_Customer),OR(sel_Category="All",G531=sel_Category),OR(sel_Product="All",H531=sel_Product)),1,0)</f>
        <v/>
      </c>
    </row>
    <row r="532">
      <c r="A532" s="36" t="inlineStr">
        <is>
          <t>01619</t>
        </is>
      </c>
      <c r="B532" s="44" t="n">
        <v>46120</v>
      </c>
      <c r="C532" s="36" t="inlineStr">
        <is>
          <t>Western Europe</t>
        </is>
      </c>
      <c r="D532" s="36" t="inlineStr">
        <is>
          <t>United Kingdom</t>
        </is>
      </c>
      <c r="E532" s="36" t="inlineStr">
        <is>
          <t>Retail Partners</t>
        </is>
      </c>
      <c r="F532" s="36" t="inlineStr">
        <is>
          <t>New</t>
        </is>
      </c>
      <c r="G532" s="36" t="inlineStr">
        <is>
          <t>Travel</t>
        </is>
      </c>
      <c r="H532" s="36" t="inlineStr">
        <is>
          <t>Packing Cube Set</t>
        </is>
      </c>
      <c r="I532" s="36" t="n">
        <v>5</v>
      </c>
      <c r="J532" s="39" t="n">
        <v>46.11</v>
      </c>
      <c r="K532" s="45" t="n">
        <v>0</v>
      </c>
      <c r="L532" s="39" t="n">
        <v>18.88</v>
      </c>
      <c r="M532" s="39">
        <f>I532*J532*(1-K532)</f>
        <v/>
      </c>
      <c r="N532" s="39">
        <f>I532*L532</f>
        <v/>
      </c>
      <c r="O532" s="39">
        <f>M532-N532</f>
        <v/>
      </c>
      <c r="P532" s="38">
        <f>IF(M532=0,0,O532/M532)</f>
        <v/>
      </c>
      <c r="Q532" s="36">
        <f>YEAR(B532)</f>
        <v/>
      </c>
      <c r="R532" s="36">
        <f>"Q"&amp;ROUNDUP(MONTH(B532)/3,0)</f>
        <v/>
      </c>
      <c r="S532" s="36">
        <f>MONTH(B532)</f>
        <v/>
      </c>
      <c r="T532" s="36">
        <f>TEXT(B532,"mmm")</f>
        <v/>
      </c>
      <c r="U532" s="36">
        <f>IF(AND(OR(sel_Region="All",C532=sel_Region),OR(sel_Country="All",D532=sel_Country),OR(sel_Channel="All",E532=sel_Channel),OR(sel_Customer="All",F532=sel_Customer),OR(sel_Category="All",G532=sel_Category),OR(sel_Product="All",H532=sel_Product),AND(S532&gt;=m_From,S532&lt;=m_To)),1,0)</f>
        <v/>
      </c>
      <c r="V532" s="36">
        <f>IF(AND(OR(sel_Region="All",C532=sel_Region),OR(sel_Channel="All",E532=sel_Channel),OR(sel_Customer="All",F532=sel_Customer),OR(sel_Category="All",G532=sel_Category),OR(sel_Product="All",H532=sel_Product),AND(S532&gt;=m_From,S532&lt;=m_To)),1,0)</f>
        <v/>
      </c>
      <c r="W532" s="36">
        <f>IF(AND(OR(sel_Region="All",C532=sel_Region),OR(sel_Country="All",D532=sel_Country),OR(sel_Customer="All",F532=sel_Customer),OR(sel_Category="All",G532=sel_Category),OR(sel_Product="All",H532=sel_Product),AND(S532&gt;=m_From,S532&lt;=m_To)),1,0)</f>
        <v/>
      </c>
      <c r="X532" s="36">
        <f>IF(AND(OR(sel_Region="All",C532=sel_Region),OR(sel_Country="All",D532=sel_Country),OR(sel_Channel="All",E532=sel_Channel),OR(sel_Category="All",G532=sel_Category),OR(sel_Product="All",H532=sel_Product),AND(S532&gt;=m_From,S532&lt;=m_To)),1,0)</f>
        <v/>
      </c>
      <c r="Y532" s="36">
        <f>IF(AND(OR(sel_Region="All",C532=sel_Region),OR(sel_Country="All",D532=sel_Country),OR(sel_Channel="All",E532=sel_Channel),OR(sel_Customer="All",F532=sel_Customer),OR(sel_Product="All",H532=sel_Product),AND(S532&gt;=m_From,S532&lt;=m_To)),1,0)</f>
        <v/>
      </c>
      <c r="Z532" s="36">
        <f>IF(AND(OR(sel_Region="All",C532=sel_Region),OR(sel_Country="All",D532=sel_Country),OR(sel_Channel="All",E532=sel_Channel),OR(sel_Customer="All",F532=sel_Customer),OR(sel_Category="All",G532=sel_Category),AND(S532&gt;=m_From,S532&lt;=m_To)),1,0)</f>
        <v/>
      </c>
      <c r="AA532" s="36">
        <f>IF(AND(OR(sel_Region="All",C532=sel_Region),OR(sel_Country="All",D532=sel_Country),OR(sel_Channel="All",E532=sel_Channel),OR(sel_Customer="All",F532=sel_Customer),OR(sel_Category="All",G532=sel_Category),OR(sel_Product="All",H532=sel_Product)),1,0)</f>
        <v/>
      </c>
    </row>
    <row r="533">
      <c r="A533" s="36" t="inlineStr">
        <is>
          <t>01631</t>
        </is>
      </c>
      <c r="B533" s="44" t="n">
        <v>46120</v>
      </c>
      <c r="C533" s="36" t="inlineStr">
        <is>
          <t>Western Europe</t>
        </is>
      </c>
      <c r="D533" s="36" t="inlineStr">
        <is>
          <t>United Kingdom</t>
        </is>
      </c>
      <c r="E533" s="36" t="inlineStr">
        <is>
          <t>Online Store</t>
        </is>
      </c>
      <c r="F533" s="36" t="inlineStr">
        <is>
          <t>Returning</t>
        </is>
      </c>
      <c r="G533" s="36" t="inlineStr">
        <is>
          <t>Travel</t>
        </is>
      </c>
      <c r="H533" s="36" t="inlineStr">
        <is>
          <t>Packing Cube Set</t>
        </is>
      </c>
      <c r="I533" s="36" t="n">
        <v>1</v>
      </c>
      <c r="J533" s="39" t="n">
        <v>45.54</v>
      </c>
      <c r="K533" s="45" t="n">
        <v>0</v>
      </c>
      <c r="L533" s="39" t="n">
        <v>18.36</v>
      </c>
      <c r="M533" s="39">
        <f>I533*J533*(1-K533)</f>
        <v/>
      </c>
      <c r="N533" s="39">
        <f>I533*L533</f>
        <v/>
      </c>
      <c r="O533" s="39">
        <f>M533-N533</f>
        <v/>
      </c>
      <c r="P533" s="38">
        <f>IF(M533=0,0,O533/M533)</f>
        <v/>
      </c>
      <c r="Q533" s="36">
        <f>YEAR(B533)</f>
        <v/>
      </c>
      <c r="R533" s="36">
        <f>"Q"&amp;ROUNDUP(MONTH(B533)/3,0)</f>
        <v/>
      </c>
      <c r="S533" s="36">
        <f>MONTH(B533)</f>
        <v/>
      </c>
      <c r="T533" s="36">
        <f>TEXT(B533,"mmm")</f>
        <v/>
      </c>
      <c r="U533" s="36">
        <f>IF(AND(OR(sel_Region="All",C533=sel_Region),OR(sel_Country="All",D533=sel_Country),OR(sel_Channel="All",E533=sel_Channel),OR(sel_Customer="All",F533=sel_Customer),OR(sel_Category="All",G533=sel_Category),OR(sel_Product="All",H533=sel_Product),AND(S533&gt;=m_From,S533&lt;=m_To)),1,0)</f>
        <v/>
      </c>
      <c r="V533" s="36">
        <f>IF(AND(OR(sel_Region="All",C533=sel_Region),OR(sel_Channel="All",E533=sel_Channel),OR(sel_Customer="All",F533=sel_Customer),OR(sel_Category="All",G533=sel_Category),OR(sel_Product="All",H533=sel_Product),AND(S533&gt;=m_From,S533&lt;=m_To)),1,0)</f>
        <v/>
      </c>
      <c r="W533" s="36">
        <f>IF(AND(OR(sel_Region="All",C533=sel_Region),OR(sel_Country="All",D533=sel_Country),OR(sel_Customer="All",F533=sel_Customer),OR(sel_Category="All",G533=sel_Category),OR(sel_Product="All",H533=sel_Product),AND(S533&gt;=m_From,S533&lt;=m_To)),1,0)</f>
        <v/>
      </c>
      <c r="X533" s="36">
        <f>IF(AND(OR(sel_Region="All",C533=sel_Region),OR(sel_Country="All",D533=sel_Country),OR(sel_Channel="All",E533=sel_Channel),OR(sel_Category="All",G533=sel_Category),OR(sel_Product="All",H533=sel_Product),AND(S533&gt;=m_From,S533&lt;=m_To)),1,0)</f>
        <v/>
      </c>
      <c r="Y533" s="36">
        <f>IF(AND(OR(sel_Region="All",C533=sel_Region),OR(sel_Country="All",D533=sel_Country),OR(sel_Channel="All",E533=sel_Channel),OR(sel_Customer="All",F533=sel_Customer),OR(sel_Product="All",H533=sel_Product),AND(S533&gt;=m_From,S533&lt;=m_To)),1,0)</f>
        <v/>
      </c>
      <c r="Z533" s="36">
        <f>IF(AND(OR(sel_Region="All",C533=sel_Region),OR(sel_Country="All",D533=sel_Country),OR(sel_Channel="All",E533=sel_Channel),OR(sel_Customer="All",F533=sel_Customer),OR(sel_Category="All",G533=sel_Category),AND(S533&gt;=m_From,S533&lt;=m_To)),1,0)</f>
        <v/>
      </c>
      <c r="AA533" s="36">
        <f>IF(AND(OR(sel_Region="All",C533=sel_Region),OR(sel_Country="All",D533=sel_Country),OR(sel_Channel="All",E533=sel_Channel),OR(sel_Customer="All",F533=sel_Customer),OR(sel_Category="All",G533=sel_Category),OR(sel_Product="All",H533=sel_Product)),1,0)</f>
        <v/>
      </c>
    </row>
    <row r="534">
      <c r="A534" s="36" t="inlineStr">
        <is>
          <t>01844</t>
        </is>
      </c>
      <c r="B534" s="44" t="n">
        <v>46120</v>
      </c>
      <c r="C534" s="36" t="inlineStr">
        <is>
          <t>Central Europe</t>
        </is>
      </c>
      <c r="D534" s="36" t="inlineStr">
        <is>
          <t>Poland</t>
        </is>
      </c>
      <c r="E534" s="36" t="inlineStr">
        <is>
          <t>Retail Partners</t>
        </is>
      </c>
      <c r="F534" s="36" t="inlineStr">
        <is>
          <t>New</t>
        </is>
      </c>
      <c r="G534" s="36" t="inlineStr">
        <is>
          <t>Fitness</t>
        </is>
      </c>
      <c r="H534" s="36" t="inlineStr">
        <is>
          <t>Recovery Roller</t>
        </is>
      </c>
      <c r="I534" s="36" t="n">
        <v>2</v>
      </c>
      <c r="J534" s="39" t="n">
        <v>37.1</v>
      </c>
      <c r="K534" s="45" t="n">
        <v>0.1</v>
      </c>
      <c r="L534" s="39" t="n">
        <v>14.17</v>
      </c>
      <c r="M534" s="39">
        <f>I534*J534*(1-K534)</f>
        <v/>
      </c>
      <c r="N534" s="39">
        <f>I534*L534</f>
        <v/>
      </c>
      <c r="O534" s="39">
        <f>M534-N534</f>
        <v/>
      </c>
      <c r="P534" s="38">
        <f>IF(M534=0,0,O534/M534)</f>
        <v/>
      </c>
      <c r="Q534" s="36">
        <f>YEAR(B534)</f>
        <v/>
      </c>
      <c r="R534" s="36">
        <f>"Q"&amp;ROUNDUP(MONTH(B534)/3,0)</f>
        <v/>
      </c>
      <c r="S534" s="36">
        <f>MONTH(B534)</f>
        <v/>
      </c>
      <c r="T534" s="36">
        <f>TEXT(B534,"mmm")</f>
        <v/>
      </c>
      <c r="U534" s="36">
        <f>IF(AND(OR(sel_Region="All",C534=sel_Region),OR(sel_Country="All",D534=sel_Country),OR(sel_Channel="All",E534=sel_Channel),OR(sel_Customer="All",F534=sel_Customer),OR(sel_Category="All",G534=sel_Category),OR(sel_Product="All",H534=sel_Product),AND(S534&gt;=m_From,S534&lt;=m_To)),1,0)</f>
        <v/>
      </c>
      <c r="V534" s="36">
        <f>IF(AND(OR(sel_Region="All",C534=sel_Region),OR(sel_Channel="All",E534=sel_Channel),OR(sel_Customer="All",F534=sel_Customer),OR(sel_Category="All",G534=sel_Category),OR(sel_Product="All",H534=sel_Product),AND(S534&gt;=m_From,S534&lt;=m_To)),1,0)</f>
        <v/>
      </c>
      <c r="W534" s="36">
        <f>IF(AND(OR(sel_Region="All",C534=sel_Region),OR(sel_Country="All",D534=sel_Country),OR(sel_Customer="All",F534=sel_Customer),OR(sel_Category="All",G534=sel_Category),OR(sel_Product="All",H534=sel_Product),AND(S534&gt;=m_From,S534&lt;=m_To)),1,0)</f>
        <v/>
      </c>
      <c r="X534" s="36">
        <f>IF(AND(OR(sel_Region="All",C534=sel_Region),OR(sel_Country="All",D534=sel_Country),OR(sel_Channel="All",E534=sel_Channel),OR(sel_Category="All",G534=sel_Category),OR(sel_Product="All",H534=sel_Product),AND(S534&gt;=m_From,S534&lt;=m_To)),1,0)</f>
        <v/>
      </c>
      <c r="Y534" s="36">
        <f>IF(AND(OR(sel_Region="All",C534=sel_Region),OR(sel_Country="All",D534=sel_Country),OR(sel_Channel="All",E534=sel_Channel),OR(sel_Customer="All",F534=sel_Customer),OR(sel_Product="All",H534=sel_Product),AND(S534&gt;=m_From,S534&lt;=m_To)),1,0)</f>
        <v/>
      </c>
      <c r="Z534" s="36">
        <f>IF(AND(OR(sel_Region="All",C534=sel_Region),OR(sel_Country="All",D534=sel_Country),OR(sel_Channel="All",E534=sel_Channel),OR(sel_Customer="All",F534=sel_Customer),OR(sel_Category="All",G534=sel_Category),AND(S534&gt;=m_From,S534&lt;=m_To)),1,0)</f>
        <v/>
      </c>
      <c r="AA534" s="36">
        <f>IF(AND(OR(sel_Region="All",C534=sel_Region),OR(sel_Country="All",D534=sel_Country),OR(sel_Channel="All",E534=sel_Channel),OR(sel_Customer="All",F534=sel_Customer),OR(sel_Category="All",G534=sel_Category),OR(sel_Product="All",H534=sel_Product)),1,0)</f>
        <v/>
      </c>
    </row>
    <row r="535">
      <c r="A535" s="36" t="inlineStr">
        <is>
          <t>04246</t>
        </is>
      </c>
      <c r="B535" s="44" t="n">
        <v>46120</v>
      </c>
      <c r="C535" s="36" t="inlineStr">
        <is>
          <t>Western Europe</t>
        </is>
      </c>
      <c r="D535" s="36" t="inlineStr">
        <is>
          <t>United Kingdom</t>
        </is>
      </c>
      <c r="E535" s="36" t="inlineStr">
        <is>
          <t>Corporate</t>
        </is>
      </c>
      <c r="F535" s="36" t="inlineStr">
        <is>
          <t>Business</t>
        </is>
      </c>
      <c r="G535" s="36" t="inlineStr">
        <is>
          <t>Hiking</t>
        </is>
      </c>
      <c r="H535" s="36" t="inlineStr">
        <is>
          <t>Summit Backpack 45L</t>
        </is>
      </c>
      <c r="I535" s="36" t="n">
        <v>5</v>
      </c>
      <c r="J535" s="39" t="n">
        <v>156.57</v>
      </c>
      <c r="K535" s="45" t="n">
        <v>0.15</v>
      </c>
      <c r="L535" s="39" t="n">
        <v>80.84999999999999</v>
      </c>
      <c r="M535" s="39">
        <f>I535*J535*(1-K535)</f>
        <v/>
      </c>
      <c r="N535" s="39">
        <f>I535*L535</f>
        <v/>
      </c>
      <c r="O535" s="39">
        <f>M535-N535</f>
        <v/>
      </c>
      <c r="P535" s="38">
        <f>IF(M535=0,0,O535/M535)</f>
        <v/>
      </c>
      <c r="Q535" s="36">
        <f>YEAR(B535)</f>
        <v/>
      </c>
      <c r="R535" s="36">
        <f>"Q"&amp;ROUNDUP(MONTH(B535)/3,0)</f>
        <v/>
      </c>
      <c r="S535" s="36">
        <f>MONTH(B535)</f>
        <v/>
      </c>
      <c r="T535" s="36">
        <f>TEXT(B535,"mmm")</f>
        <v/>
      </c>
      <c r="U535" s="36">
        <f>IF(AND(OR(sel_Region="All",C535=sel_Region),OR(sel_Country="All",D535=sel_Country),OR(sel_Channel="All",E535=sel_Channel),OR(sel_Customer="All",F535=sel_Customer),OR(sel_Category="All",G535=sel_Category),OR(sel_Product="All",H535=sel_Product),AND(S535&gt;=m_From,S535&lt;=m_To)),1,0)</f>
        <v/>
      </c>
      <c r="V535" s="36">
        <f>IF(AND(OR(sel_Region="All",C535=sel_Region),OR(sel_Channel="All",E535=sel_Channel),OR(sel_Customer="All",F535=sel_Customer),OR(sel_Category="All",G535=sel_Category),OR(sel_Product="All",H535=sel_Product),AND(S535&gt;=m_From,S535&lt;=m_To)),1,0)</f>
        <v/>
      </c>
      <c r="W535" s="36">
        <f>IF(AND(OR(sel_Region="All",C535=sel_Region),OR(sel_Country="All",D535=sel_Country),OR(sel_Customer="All",F535=sel_Customer),OR(sel_Category="All",G535=sel_Category),OR(sel_Product="All",H535=sel_Product),AND(S535&gt;=m_From,S535&lt;=m_To)),1,0)</f>
        <v/>
      </c>
      <c r="X535" s="36">
        <f>IF(AND(OR(sel_Region="All",C535=sel_Region),OR(sel_Country="All",D535=sel_Country),OR(sel_Channel="All",E535=sel_Channel),OR(sel_Category="All",G535=sel_Category),OR(sel_Product="All",H535=sel_Product),AND(S535&gt;=m_From,S535&lt;=m_To)),1,0)</f>
        <v/>
      </c>
      <c r="Y535" s="36">
        <f>IF(AND(OR(sel_Region="All",C535=sel_Region),OR(sel_Country="All",D535=sel_Country),OR(sel_Channel="All",E535=sel_Channel),OR(sel_Customer="All",F535=sel_Customer),OR(sel_Product="All",H535=sel_Product),AND(S535&gt;=m_From,S535&lt;=m_To)),1,0)</f>
        <v/>
      </c>
      <c r="Z535" s="36">
        <f>IF(AND(OR(sel_Region="All",C535=sel_Region),OR(sel_Country="All",D535=sel_Country),OR(sel_Channel="All",E535=sel_Channel),OR(sel_Customer="All",F535=sel_Customer),OR(sel_Category="All",G535=sel_Category),AND(S535&gt;=m_From,S535&lt;=m_To)),1,0)</f>
        <v/>
      </c>
      <c r="AA535" s="36">
        <f>IF(AND(OR(sel_Region="All",C535=sel_Region),OR(sel_Country="All",D535=sel_Country),OR(sel_Channel="All",E535=sel_Channel),OR(sel_Customer="All",F535=sel_Customer),OR(sel_Category="All",G535=sel_Category),OR(sel_Product="All",H535=sel_Product)),1,0)</f>
        <v/>
      </c>
    </row>
    <row r="536">
      <c r="A536" s="36" t="inlineStr">
        <is>
          <t>05139</t>
        </is>
      </c>
      <c r="B536" s="44" t="n">
        <v>46120</v>
      </c>
      <c r="C536" s="36" t="inlineStr">
        <is>
          <t>Southern Europe</t>
        </is>
      </c>
      <c r="D536" s="36" t="inlineStr">
        <is>
          <t>Italy</t>
        </is>
      </c>
      <c r="E536" s="36" t="inlineStr">
        <is>
          <t>Online Store</t>
        </is>
      </c>
      <c r="F536" s="36" t="inlineStr">
        <is>
          <t>Returning</t>
        </is>
      </c>
      <c r="G536" s="36" t="inlineStr">
        <is>
          <t>Fitness</t>
        </is>
      </c>
      <c r="H536" s="36" t="inlineStr">
        <is>
          <t>Training Mat</t>
        </is>
      </c>
      <c r="I536" s="36" t="n">
        <v>2</v>
      </c>
      <c r="J536" s="39" t="n">
        <v>51.4</v>
      </c>
      <c r="K536" s="45" t="n">
        <v>0</v>
      </c>
      <c r="L536" s="39" t="n">
        <v>21.99</v>
      </c>
      <c r="M536" s="39">
        <f>I536*J536*(1-K536)</f>
        <v/>
      </c>
      <c r="N536" s="39">
        <f>I536*L536</f>
        <v/>
      </c>
      <c r="O536" s="39">
        <f>M536-N536</f>
        <v/>
      </c>
      <c r="P536" s="38">
        <f>IF(M536=0,0,O536/M536)</f>
        <v/>
      </c>
      <c r="Q536" s="36">
        <f>YEAR(B536)</f>
        <v/>
      </c>
      <c r="R536" s="36">
        <f>"Q"&amp;ROUNDUP(MONTH(B536)/3,0)</f>
        <v/>
      </c>
      <c r="S536" s="36">
        <f>MONTH(B536)</f>
        <v/>
      </c>
      <c r="T536" s="36">
        <f>TEXT(B536,"mmm")</f>
        <v/>
      </c>
      <c r="U536" s="36">
        <f>IF(AND(OR(sel_Region="All",C536=sel_Region),OR(sel_Country="All",D536=sel_Country),OR(sel_Channel="All",E536=sel_Channel),OR(sel_Customer="All",F536=sel_Customer),OR(sel_Category="All",G536=sel_Category),OR(sel_Product="All",H536=sel_Product),AND(S536&gt;=m_From,S536&lt;=m_To)),1,0)</f>
        <v/>
      </c>
      <c r="V536" s="36">
        <f>IF(AND(OR(sel_Region="All",C536=sel_Region),OR(sel_Channel="All",E536=sel_Channel),OR(sel_Customer="All",F536=sel_Customer),OR(sel_Category="All",G536=sel_Category),OR(sel_Product="All",H536=sel_Product),AND(S536&gt;=m_From,S536&lt;=m_To)),1,0)</f>
        <v/>
      </c>
      <c r="W536" s="36">
        <f>IF(AND(OR(sel_Region="All",C536=sel_Region),OR(sel_Country="All",D536=sel_Country),OR(sel_Customer="All",F536=sel_Customer),OR(sel_Category="All",G536=sel_Category),OR(sel_Product="All",H536=sel_Product),AND(S536&gt;=m_From,S536&lt;=m_To)),1,0)</f>
        <v/>
      </c>
      <c r="X536" s="36">
        <f>IF(AND(OR(sel_Region="All",C536=sel_Region),OR(sel_Country="All",D536=sel_Country),OR(sel_Channel="All",E536=sel_Channel),OR(sel_Category="All",G536=sel_Category),OR(sel_Product="All",H536=sel_Product),AND(S536&gt;=m_From,S536&lt;=m_To)),1,0)</f>
        <v/>
      </c>
      <c r="Y536" s="36">
        <f>IF(AND(OR(sel_Region="All",C536=sel_Region),OR(sel_Country="All",D536=sel_Country),OR(sel_Channel="All",E536=sel_Channel),OR(sel_Customer="All",F536=sel_Customer),OR(sel_Product="All",H536=sel_Product),AND(S536&gt;=m_From,S536&lt;=m_To)),1,0)</f>
        <v/>
      </c>
      <c r="Z536" s="36">
        <f>IF(AND(OR(sel_Region="All",C536=sel_Region),OR(sel_Country="All",D536=sel_Country),OR(sel_Channel="All",E536=sel_Channel),OR(sel_Customer="All",F536=sel_Customer),OR(sel_Category="All",G536=sel_Category),AND(S536&gt;=m_From,S536&lt;=m_To)),1,0)</f>
        <v/>
      </c>
      <c r="AA536" s="36">
        <f>IF(AND(OR(sel_Region="All",C536=sel_Region),OR(sel_Country="All",D536=sel_Country),OR(sel_Channel="All",E536=sel_Channel),OR(sel_Customer="All",F536=sel_Customer),OR(sel_Category="All",G536=sel_Category),OR(sel_Product="All",H536=sel_Product)),1,0)</f>
        <v/>
      </c>
    </row>
    <row r="537">
      <c r="A537" s="36" t="inlineStr">
        <is>
          <t>00186</t>
        </is>
      </c>
      <c r="B537" s="44" t="n">
        <v>46121</v>
      </c>
      <c r="C537" s="36" t="inlineStr">
        <is>
          <t>Southern Europe</t>
        </is>
      </c>
      <c r="D537" s="36" t="inlineStr">
        <is>
          <t>Spain</t>
        </is>
      </c>
      <c r="E537" s="36" t="inlineStr">
        <is>
          <t>Online Store</t>
        </is>
      </c>
      <c r="F537" s="36" t="inlineStr">
        <is>
          <t>New</t>
        </is>
      </c>
      <c r="G537" s="36" t="inlineStr">
        <is>
          <t>Travel</t>
        </is>
      </c>
      <c r="H537" s="36" t="inlineStr">
        <is>
          <t>Packing Cube Set</t>
        </is>
      </c>
      <c r="I537" s="36" t="n">
        <v>2</v>
      </c>
      <c r="J537" s="39" t="n">
        <v>46.42</v>
      </c>
      <c r="K537" s="45" t="n">
        <v>0.1</v>
      </c>
      <c r="L537" s="39" t="n">
        <v>18.73</v>
      </c>
      <c r="M537" s="39">
        <f>I537*J537*(1-K537)</f>
        <v/>
      </c>
      <c r="N537" s="39">
        <f>I537*L537</f>
        <v/>
      </c>
      <c r="O537" s="39">
        <f>M537-N537</f>
        <v/>
      </c>
      <c r="P537" s="38">
        <f>IF(M537=0,0,O537/M537)</f>
        <v/>
      </c>
      <c r="Q537" s="36">
        <f>YEAR(B537)</f>
        <v/>
      </c>
      <c r="R537" s="36">
        <f>"Q"&amp;ROUNDUP(MONTH(B537)/3,0)</f>
        <v/>
      </c>
      <c r="S537" s="36">
        <f>MONTH(B537)</f>
        <v/>
      </c>
      <c r="T537" s="36">
        <f>TEXT(B537,"mmm")</f>
        <v/>
      </c>
      <c r="U537" s="36">
        <f>IF(AND(OR(sel_Region="All",C537=sel_Region),OR(sel_Country="All",D537=sel_Country),OR(sel_Channel="All",E537=sel_Channel),OR(sel_Customer="All",F537=sel_Customer),OR(sel_Category="All",G537=sel_Category),OR(sel_Product="All",H537=sel_Product),AND(S537&gt;=m_From,S537&lt;=m_To)),1,0)</f>
        <v/>
      </c>
      <c r="V537" s="36">
        <f>IF(AND(OR(sel_Region="All",C537=sel_Region),OR(sel_Channel="All",E537=sel_Channel),OR(sel_Customer="All",F537=sel_Customer),OR(sel_Category="All",G537=sel_Category),OR(sel_Product="All",H537=sel_Product),AND(S537&gt;=m_From,S537&lt;=m_To)),1,0)</f>
        <v/>
      </c>
      <c r="W537" s="36">
        <f>IF(AND(OR(sel_Region="All",C537=sel_Region),OR(sel_Country="All",D537=sel_Country),OR(sel_Customer="All",F537=sel_Customer),OR(sel_Category="All",G537=sel_Category),OR(sel_Product="All",H537=sel_Product),AND(S537&gt;=m_From,S537&lt;=m_To)),1,0)</f>
        <v/>
      </c>
      <c r="X537" s="36">
        <f>IF(AND(OR(sel_Region="All",C537=sel_Region),OR(sel_Country="All",D537=sel_Country),OR(sel_Channel="All",E537=sel_Channel),OR(sel_Category="All",G537=sel_Category),OR(sel_Product="All",H537=sel_Product),AND(S537&gt;=m_From,S537&lt;=m_To)),1,0)</f>
        <v/>
      </c>
      <c r="Y537" s="36">
        <f>IF(AND(OR(sel_Region="All",C537=sel_Region),OR(sel_Country="All",D537=sel_Country),OR(sel_Channel="All",E537=sel_Channel),OR(sel_Customer="All",F537=sel_Customer),OR(sel_Product="All",H537=sel_Product),AND(S537&gt;=m_From,S537&lt;=m_To)),1,0)</f>
        <v/>
      </c>
      <c r="Z537" s="36">
        <f>IF(AND(OR(sel_Region="All",C537=sel_Region),OR(sel_Country="All",D537=sel_Country),OR(sel_Channel="All",E537=sel_Channel),OR(sel_Customer="All",F537=sel_Customer),OR(sel_Category="All",G537=sel_Category),AND(S537&gt;=m_From,S537&lt;=m_To)),1,0)</f>
        <v/>
      </c>
      <c r="AA537" s="36">
        <f>IF(AND(OR(sel_Region="All",C537=sel_Region),OR(sel_Country="All",D537=sel_Country),OR(sel_Channel="All",E537=sel_Channel),OR(sel_Customer="All",F537=sel_Customer),OR(sel_Category="All",G537=sel_Category),OR(sel_Product="All",H537=sel_Product)),1,0)</f>
        <v/>
      </c>
    </row>
    <row r="538">
      <c r="A538" s="36" t="inlineStr">
        <is>
          <t>01742</t>
        </is>
      </c>
      <c r="B538" s="44" t="n">
        <v>46121</v>
      </c>
      <c r="C538" s="36" t="inlineStr">
        <is>
          <t>Western Europe</t>
        </is>
      </c>
      <c r="D538" s="36" t="inlineStr">
        <is>
          <t>Belgium</t>
        </is>
      </c>
      <c r="E538" s="36" t="inlineStr">
        <is>
          <t>Marketplace</t>
        </is>
      </c>
      <c r="F538" s="36" t="inlineStr">
        <is>
          <t>Returning</t>
        </is>
      </c>
      <c r="G538" s="36" t="inlineStr">
        <is>
          <t>Camping</t>
        </is>
      </c>
      <c r="H538" s="36" t="inlineStr">
        <is>
          <t>Compact Sleeping Bag</t>
        </is>
      </c>
      <c r="I538" s="36" t="n">
        <v>2</v>
      </c>
      <c r="J538" s="39" t="n">
        <v>120.75</v>
      </c>
      <c r="K538" s="45" t="n">
        <v>0.05</v>
      </c>
      <c r="L538" s="39" t="n">
        <v>60.31</v>
      </c>
      <c r="M538" s="39">
        <f>I538*J538*(1-K538)</f>
        <v/>
      </c>
      <c r="N538" s="39">
        <f>I538*L538</f>
        <v/>
      </c>
      <c r="O538" s="39">
        <f>M538-N538</f>
        <v/>
      </c>
      <c r="P538" s="38">
        <f>IF(M538=0,0,O538/M538)</f>
        <v/>
      </c>
      <c r="Q538" s="36">
        <f>YEAR(B538)</f>
        <v/>
      </c>
      <c r="R538" s="36">
        <f>"Q"&amp;ROUNDUP(MONTH(B538)/3,0)</f>
        <v/>
      </c>
      <c r="S538" s="36">
        <f>MONTH(B538)</f>
        <v/>
      </c>
      <c r="T538" s="36">
        <f>TEXT(B538,"mmm")</f>
        <v/>
      </c>
      <c r="U538" s="36">
        <f>IF(AND(OR(sel_Region="All",C538=sel_Region),OR(sel_Country="All",D538=sel_Country),OR(sel_Channel="All",E538=sel_Channel),OR(sel_Customer="All",F538=sel_Customer),OR(sel_Category="All",G538=sel_Category),OR(sel_Product="All",H538=sel_Product),AND(S538&gt;=m_From,S538&lt;=m_To)),1,0)</f>
        <v/>
      </c>
      <c r="V538" s="36">
        <f>IF(AND(OR(sel_Region="All",C538=sel_Region),OR(sel_Channel="All",E538=sel_Channel),OR(sel_Customer="All",F538=sel_Customer),OR(sel_Category="All",G538=sel_Category),OR(sel_Product="All",H538=sel_Product),AND(S538&gt;=m_From,S538&lt;=m_To)),1,0)</f>
        <v/>
      </c>
      <c r="W538" s="36">
        <f>IF(AND(OR(sel_Region="All",C538=sel_Region),OR(sel_Country="All",D538=sel_Country),OR(sel_Customer="All",F538=sel_Customer),OR(sel_Category="All",G538=sel_Category),OR(sel_Product="All",H538=sel_Product),AND(S538&gt;=m_From,S538&lt;=m_To)),1,0)</f>
        <v/>
      </c>
      <c r="X538" s="36">
        <f>IF(AND(OR(sel_Region="All",C538=sel_Region),OR(sel_Country="All",D538=sel_Country),OR(sel_Channel="All",E538=sel_Channel),OR(sel_Category="All",G538=sel_Category),OR(sel_Product="All",H538=sel_Product),AND(S538&gt;=m_From,S538&lt;=m_To)),1,0)</f>
        <v/>
      </c>
      <c r="Y538" s="36">
        <f>IF(AND(OR(sel_Region="All",C538=sel_Region),OR(sel_Country="All",D538=sel_Country),OR(sel_Channel="All",E538=sel_Channel),OR(sel_Customer="All",F538=sel_Customer),OR(sel_Product="All",H538=sel_Product),AND(S538&gt;=m_From,S538&lt;=m_To)),1,0)</f>
        <v/>
      </c>
      <c r="Z538" s="36">
        <f>IF(AND(OR(sel_Region="All",C538=sel_Region),OR(sel_Country="All",D538=sel_Country),OR(sel_Channel="All",E538=sel_Channel),OR(sel_Customer="All",F538=sel_Customer),OR(sel_Category="All",G538=sel_Category),AND(S538&gt;=m_From,S538&lt;=m_To)),1,0)</f>
        <v/>
      </c>
      <c r="AA538" s="36">
        <f>IF(AND(OR(sel_Region="All",C538=sel_Region),OR(sel_Country="All",D538=sel_Country),OR(sel_Channel="All",E538=sel_Channel),OR(sel_Customer="All",F538=sel_Customer),OR(sel_Category="All",G538=sel_Category),OR(sel_Product="All",H538=sel_Product)),1,0)</f>
        <v/>
      </c>
    </row>
    <row r="539">
      <c r="A539" s="36" t="inlineStr">
        <is>
          <t>03189</t>
        </is>
      </c>
      <c r="B539" s="44" t="n">
        <v>46121</v>
      </c>
      <c r="C539" s="36" t="inlineStr">
        <is>
          <t>Central Europe</t>
        </is>
      </c>
      <c r="D539" s="36" t="inlineStr">
        <is>
          <t>Switzerland</t>
        </is>
      </c>
      <c r="E539" s="36" t="inlineStr">
        <is>
          <t>Corporate</t>
        </is>
      </c>
      <c r="F539" s="36" t="inlineStr">
        <is>
          <t>Business</t>
        </is>
      </c>
      <c r="G539" s="36" t="inlineStr">
        <is>
          <t>Hiking</t>
        </is>
      </c>
      <c r="H539" s="36" t="inlineStr">
        <is>
          <t>Summit Backpack 45L</t>
        </is>
      </c>
      <c r="I539" s="36" t="n">
        <v>6</v>
      </c>
      <c r="J539" s="39" t="n">
        <v>157.39</v>
      </c>
      <c r="K539" s="45" t="n">
        <v>0.05</v>
      </c>
      <c r="L539" s="39" t="n">
        <v>79.23999999999999</v>
      </c>
      <c r="M539" s="39">
        <f>I539*J539*(1-K539)</f>
        <v/>
      </c>
      <c r="N539" s="39">
        <f>I539*L539</f>
        <v/>
      </c>
      <c r="O539" s="39">
        <f>M539-N539</f>
        <v/>
      </c>
      <c r="P539" s="38">
        <f>IF(M539=0,0,O539/M539)</f>
        <v/>
      </c>
      <c r="Q539" s="36">
        <f>YEAR(B539)</f>
        <v/>
      </c>
      <c r="R539" s="36">
        <f>"Q"&amp;ROUNDUP(MONTH(B539)/3,0)</f>
        <v/>
      </c>
      <c r="S539" s="36">
        <f>MONTH(B539)</f>
        <v/>
      </c>
      <c r="T539" s="36">
        <f>TEXT(B539,"mmm")</f>
        <v/>
      </c>
      <c r="U539" s="36">
        <f>IF(AND(OR(sel_Region="All",C539=sel_Region),OR(sel_Country="All",D539=sel_Country),OR(sel_Channel="All",E539=sel_Channel),OR(sel_Customer="All",F539=sel_Customer),OR(sel_Category="All",G539=sel_Category),OR(sel_Product="All",H539=sel_Product),AND(S539&gt;=m_From,S539&lt;=m_To)),1,0)</f>
        <v/>
      </c>
      <c r="V539" s="36">
        <f>IF(AND(OR(sel_Region="All",C539=sel_Region),OR(sel_Channel="All",E539=sel_Channel),OR(sel_Customer="All",F539=sel_Customer),OR(sel_Category="All",G539=sel_Category),OR(sel_Product="All",H539=sel_Product),AND(S539&gt;=m_From,S539&lt;=m_To)),1,0)</f>
        <v/>
      </c>
      <c r="W539" s="36">
        <f>IF(AND(OR(sel_Region="All",C539=sel_Region),OR(sel_Country="All",D539=sel_Country),OR(sel_Customer="All",F539=sel_Customer),OR(sel_Category="All",G539=sel_Category),OR(sel_Product="All",H539=sel_Product),AND(S539&gt;=m_From,S539&lt;=m_To)),1,0)</f>
        <v/>
      </c>
      <c r="X539" s="36">
        <f>IF(AND(OR(sel_Region="All",C539=sel_Region),OR(sel_Country="All",D539=sel_Country),OR(sel_Channel="All",E539=sel_Channel),OR(sel_Category="All",G539=sel_Category),OR(sel_Product="All",H539=sel_Product),AND(S539&gt;=m_From,S539&lt;=m_To)),1,0)</f>
        <v/>
      </c>
      <c r="Y539" s="36">
        <f>IF(AND(OR(sel_Region="All",C539=sel_Region),OR(sel_Country="All",D539=sel_Country),OR(sel_Channel="All",E539=sel_Channel),OR(sel_Customer="All",F539=sel_Customer),OR(sel_Product="All",H539=sel_Product),AND(S539&gt;=m_From,S539&lt;=m_To)),1,0)</f>
        <v/>
      </c>
      <c r="Z539" s="36">
        <f>IF(AND(OR(sel_Region="All",C539=sel_Region),OR(sel_Country="All",D539=sel_Country),OR(sel_Channel="All",E539=sel_Channel),OR(sel_Customer="All",F539=sel_Customer),OR(sel_Category="All",G539=sel_Category),AND(S539&gt;=m_From,S539&lt;=m_To)),1,0)</f>
        <v/>
      </c>
      <c r="AA539" s="36">
        <f>IF(AND(OR(sel_Region="All",C539=sel_Region),OR(sel_Country="All",D539=sel_Country),OR(sel_Channel="All",E539=sel_Channel),OR(sel_Customer="All",F539=sel_Customer),OR(sel_Category="All",G539=sel_Category),OR(sel_Product="All",H539=sel_Product)),1,0)</f>
        <v/>
      </c>
    </row>
    <row r="540">
      <c r="A540" s="36" t="inlineStr">
        <is>
          <t>03747</t>
        </is>
      </c>
      <c r="B540" s="44" t="n">
        <v>46121</v>
      </c>
      <c r="C540" s="36" t="inlineStr">
        <is>
          <t>Western Europe</t>
        </is>
      </c>
      <c r="D540" s="36" t="inlineStr">
        <is>
          <t>Netherlands</t>
        </is>
      </c>
      <c r="E540" s="36" t="inlineStr">
        <is>
          <t>Retail Partners</t>
        </is>
      </c>
      <c r="F540" s="36" t="inlineStr">
        <is>
          <t>Returning</t>
        </is>
      </c>
      <c r="G540" s="36" t="inlineStr">
        <is>
          <t>Camping</t>
        </is>
      </c>
      <c r="H540" s="36" t="inlineStr">
        <is>
          <t>Compact Sleeping Bag</t>
        </is>
      </c>
      <c r="I540" s="36" t="n">
        <v>2</v>
      </c>
      <c r="J540" s="39" t="n">
        <v>122.36</v>
      </c>
      <c r="K540" s="45" t="n">
        <v>0.05</v>
      </c>
      <c r="L540" s="39" t="n">
        <v>59.06</v>
      </c>
      <c r="M540" s="39">
        <f>I540*J540*(1-K540)</f>
        <v/>
      </c>
      <c r="N540" s="39">
        <f>I540*L540</f>
        <v/>
      </c>
      <c r="O540" s="39">
        <f>M540-N540</f>
        <v/>
      </c>
      <c r="P540" s="38">
        <f>IF(M540=0,0,O540/M540)</f>
        <v/>
      </c>
      <c r="Q540" s="36">
        <f>YEAR(B540)</f>
        <v/>
      </c>
      <c r="R540" s="36">
        <f>"Q"&amp;ROUNDUP(MONTH(B540)/3,0)</f>
        <v/>
      </c>
      <c r="S540" s="36">
        <f>MONTH(B540)</f>
        <v/>
      </c>
      <c r="T540" s="36">
        <f>TEXT(B540,"mmm")</f>
        <v/>
      </c>
      <c r="U540" s="36">
        <f>IF(AND(OR(sel_Region="All",C540=sel_Region),OR(sel_Country="All",D540=sel_Country),OR(sel_Channel="All",E540=sel_Channel),OR(sel_Customer="All",F540=sel_Customer),OR(sel_Category="All",G540=sel_Category),OR(sel_Product="All",H540=sel_Product),AND(S540&gt;=m_From,S540&lt;=m_To)),1,0)</f>
        <v/>
      </c>
      <c r="V540" s="36">
        <f>IF(AND(OR(sel_Region="All",C540=sel_Region),OR(sel_Channel="All",E540=sel_Channel),OR(sel_Customer="All",F540=sel_Customer),OR(sel_Category="All",G540=sel_Category),OR(sel_Product="All",H540=sel_Product),AND(S540&gt;=m_From,S540&lt;=m_To)),1,0)</f>
        <v/>
      </c>
      <c r="W540" s="36">
        <f>IF(AND(OR(sel_Region="All",C540=sel_Region),OR(sel_Country="All",D540=sel_Country),OR(sel_Customer="All",F540=sel_Customer),OR(sel_Category="All",G540=sel_Category),OR(sel_Product="All",H540=sel_Product),AND(S540&gt;=m_From,S540&lt;=m_To)),1,0)</f>
        <v/>
      </c>
      <c r="X540" s="36">
        <f>IF(AND(OR(sel_Region="All",C540=sel_Region),OR(sel_Country="All",D540=sel_Country),OR(sel_Channel="All",E540=sel_Channel),OR(sel_Category="All",G540=sel_Category),OR(sel_Product="All",H540=sel_Product),AND(S540&gt;=m_From,S540&lt;=m_To)),1,0)</f>
        <v/>
      </c>
      <c r="Y540" s="36">
        <f>IF(AND(OR(sel_Region="All",C540=sel_Region),OR(sel_Country="All",D540=sel_Country),OR(sel_Channel="All",E540=sel_Channel),OR(sel_Customer="All",F540=sel_Customer),OR(sel_Product="All",H540=sel_Product),AND(S540&gt;=m_From,S540&lt;=m_To)),1,0)</f>
        <v/>
      </c>
      <c r="Z540" s="36">
        <f>IF(AND(OR(sel_Region="All",C540=sel_Region),OR(sel_Country="All",D540=sel_Country),OR(sel_Channel="All",E540=sel_Channel),OR(sel_Customer="All",F540=sel_Customer),OR(sel_Category="All",G540=sel_Category),AND(S540&gt;=m_From,S540&lt;=m_To)),1,0)</f>
        <v/>
      </c>
      <c r="AA540" s="36">
        <f>IF(AND(OR(sel_Region="All",C540=sel_Region),OR(sel_Country="All",D540=sel_Country),OR(sel_Channel="All",E540=sel_Channel),OR(sel_Customer="All",F540=sel_Customer),OR(sel_Category="All",G540=sel_Category),OR(sel_Product="All",H540=sel_Product)),1,0)</f>
        <v/>
      </c>
    </row>
    <row r="541">
      <c r="A541" s="36" t="inlineStr">
        <is>
          <t>03782</t>
        </is>
      </c>
      <c r="B541" s="44" t="n">
        <v>46121</v>
      </c>
      <c r="C541" s="36" t="inlineStr">
        <is>
          <t>Southern Europe</t>
        </is>
      </c>
      <c r="D541" s="36" t="inlineStr">
        <is>
          <t>Spain</t>
        </is>
      </c>
      <c r="E541" s="36" t="inlineStr">
        <is>
          <t>Retail Partners</t>
        </is>
      </c>
      <c r="F541" s="36" t="inlineStr">
        <is>
          <t>Returning</t>
        </is>
      </c>
      <c r="G541" s="36" t="inlineStr">
        <is>
          <t>Fitness</t>
        </is>
      </c>
      <c r="H541" s="36" t="inlineStr">
        <is>
          <t>Resistance Band Set</t>
        </is>
      </c>
      <c r="I541" s="36" t="n">
        <v>2</v>
      </c>
      <c r="J541" s="39" t="n">
        <v>39.68</v>
      </c>
      <c r="K541" s="45" t="n">
        <v>0.05</v>
      </c>
      <c r="L541" s="39" t="n">
        <v>14.98</v>
      </c>
      <c r="M541" s="39">
        <f>I541*J541*(1-K541)</f>
        <v/>
      </c>
      <c r="N541" s="39">
        <f>I541*L541</f>
        <v/>
      </c>
      <c r="O541" s="39">
        <f>M541-N541</f>
        <v/>
      </c>
      <c r="P541" s="38">
        <f>IF(M541=0,0,O541/M541)</f>
        <v/>
      </c>
      <c r="Q541" s="36">
        <f>YEAR(B541)</f>
        <v/>
      </c>
      <c r="R541" s="36">
        <f>"Q"&amp;ROUNDUP(MONTH(B541)/3,0)</f>
        <v/>
      </c>
      <c r="S541" s="36">
        <f>MONTH(B541)</f>
        <v/>
      </c>
      <c r="T541" s="36">
        <f>TEXT(B541,"mmm")</f>
        <v/>
      </c>
      <c r="U541" s="36">
        <f>IF(AND(OR(sel_Region="All",C541=sel_Region),OR(sel_Country="All",D541=sel_Country),OR(sel_Channel="All",E541=sel_Channel),OR(sel_Customer="All",F541=sel_Customer),OR(sel_Category="All",G541=sel_Category),OR(sel_Product="All",H541=sel_Product),AND(S541&gt;=m_From,S541&lt;=m_To)),1,0)</f>
        <v/>
      </c>
      <c r="V541" s="36">
        <f>IF(AND(OR(sel_Region="All",C541=sel_Region),OR(sel_Channel="All",E541=sel_Channel),OR(sel_Customer="All",F541=sel_Customer),OR(sel_Category="All",G541=sel_Category),OR(sel_Product="All",H541=sel_Product),AND(S541&gt;=m_From,S541&lt;=m_To)),1,0)</f>
        <v/>
      </c>
      <c r="W541" s="36">
        <f>IF(AND(OR(sel_Region="All",C541=sel_Region),OR(sel_Country="All",D541=sel_Country),OR(sel_Customer="All",F541=sel_Customer),OR(sel_Category="All",G541=sel_Category),OR(sel_Product="All",H541=sel_Product),AND(S541&gt;=m_From,S541&lt;=m_To)),1,0)</f>
        <v/>
      </c>
      <c r="X541" s="36">
        <f>IF(AND(OR(sel_Region="All",C541=sel_Region),OR(sel_Country="All",D541=sel_Country),OR(sel_Channel="All",E541=sel_Channel),OR(sel_Category="All",G541=sel_Category),OR(sel_Product="All",H541=sel_Product),AND(S541&gt;=m_From,S541&lt;=m_To)),1,0)</f>
        <v/>
      </c>
      <c r="Y541" s="36">
        <f>IF(AND(OR(sel_Region="All",C541=sel_Region),OR(sel_Country="All",D541=sel_Country),OR(sel_Channel="All",E541=sel_Channel),OR(sel_Customer="All",F541=sel_Customer),OR(sel_Product="All",H541=sel_Product),AND(S541&gt;=m_From,S541&lt;=m_To)),1,0)</f>
        <v/>
      </c>
      <c r="Z541" s="36">
        <f>IF(AND(OR(sel_Region="All",C541=sel_Region),OR(sel_Country="All",D541=sel_Country),OR(sel_Channel="All",E541=sel_Channel),OR(sel_Customer="All",F541=sel_Customer),OR(sel_Category="All",G541=sel_Category),AND(S541&gt;=m_From,S541&lt;=m_To)),1,0)</f>
        <v/>
      </c>
      <c r="AA541" s="36">
        <f>IF(AND(OR(sel_Region="All",C541=sel_Region),OR(sel_Country="All",D541=sel_Country),OR(sel_Channel="All",E541=sel_Channel),OR(sel_Customer="All",F541=sel_Customer),OR(sel_Category="All",G541=sel_Category),OR(sel_Product="All",H541=sel_Product)),1,0)</f>
        <v/>
      </c>
    </row>
    <row r="542">
      <c r="A542" s="36" t="inlineStr">
        <is>
          <t>04344</t>
        </is>
      </c>
      <c r="B542" s="44" t="n">
        <v>46121</v>
      </c>
      <c r="C542" s="36" t="inlineStr">
        <is>
          <t>Northern Europe</t>
        </is>
      </c>
      <c r="D542" s="36" t="inlineStr">
        <is>
          <t>Denmark</t>
        </is>
      </c>
      <c r="E542" s="36" t="inlineStr">
        <is>
          <t>Retail Partners</t>
        </is>
      </c>
      <c r="F542" s="36" t="inlineStr">
        <is>
          <t>Business</t>
        </is>
      </c>
      <c r="G542" s="36" t="inlineStr">
        <is>
          <t>Camping</t>
        </is>
      </c>
      <c r="H542" s="36" t="inlineStr">
        <is>
          <t>Compact Sleeping Bag</t>
        </is>
      </c>
      <c r="I542" s="36" t="n">
        <v>3</v>
      </c>
      <c r="J542" s="39" t="n">
        <v>121.56</v>
      </c>
      <c r="K542" s="45" t="n">
        <v>0.15</v>
      </c>
      <c r="L542" s="39" t="n">
        <v>61.31</v>
      </c>
      <c r="M542" s="39">
        <f>I542*J542*(1-K542)</f>
        <v/>
      </c>
      <c r="N542" s="39">
        <f>I542*L542</f>
        <v/>
      </c>
      <c r="O542" s="39">
        <f>M542-N542</f>
        <v/>
      </c>
      <c r="P542" s="38">
        <f>IF(M542=0,0,O542/M542)</f>
        <v/>
      </c>
      <c r="Q542" s="36">
        <f>YEAR(B542)</f>
        <v/>
      </c>
      <c r="R542" s="36">
        <f>"Q"&amp;ROUNDUP(MONTH(B542)/3,0)</f>
        <v/>
      </c>
      <c r="S542" s="36">
        <f>MONTH(B542)</f>
        <v/>
      </c>
      <c r="T542" s="36">
        <f>TEXT(B542,"mmm")</f>
        <v/>
      </c>
      <c r="U542" s="36">
        <f>IF(AND(OR(sel_Region="All",C542=sel_Region),OR(sel_Country="All",D542=sel_Country),OR(sel_Channel="All",E542=sel_Channel),OR(sel_Customer="All",F542=sel_Customer),OR(sel_Category="All",G542=sel_Category),OR(sel_Product="All",H542=sel_Product),AND(S542&gt;=m_From,S542&lt;=m_To)),1,0)</f>
        <v/>
      </c>
      <c r="V542" s="36">
        <f>IF(AND(OR(sel_Region="All",C542=sel_Region),OR(sel_Channel="All",E542=sel_Channel),OR(sel_Customer="All",F542=sel_Customer),OR(sel_Category="All",G542=sel_Category),OR(sel_Product="All",H542=sel_Product),AND(S542&gt;=m_From,S542&lt;=m_To)),1,0)</f>
        <v/>
      </c>
      <c r="W542" s="36">
        <f>IF(AND(OR(sel_Region="All",C542=sel_Region),OR(sel_Country="All",D542=sel_Country),OR(sel_Customer="All",F542=sel_Customer),OR(sel_Category="All",G542=sel_Category),OR(sel_Product="All",H542=sel_Product),AND(S542&gt;=m_From,S542&lt;=m_To)),1,0)</f>
        <v/>
      </c>
      <c r="X542" s="36">
        <f>IF(AND(OR(sel_Region="All",C542=sel_Region),OR(sel_Country="All",D542=sel_Country),OR(sel_Channel="All",E542=sel_Channel),OR(sel_Category="All",G542=sel_Category),OR(sel_Product="All",H542=sel_Product),AND(S542&gt;=m_From,S542&lt;=m_To)),1,0)</f>
        <v/>
      </c>
      <c r="Y542" s="36">
        <f>IF(AND(OR(sel_Region="All",C542=sel_Region),OR(sel_Country="All",D542=sel_Country),OR(sel_Channel="All",E542=sel_Channel),OR(sel_Customer="All",F542=sel_Customer),OR(sel_Product="All",H542=sel_Product),AND(S542&gt;=m_From,S542&lt;=m_To)),1,0)</f>
        <v/>
      </c>
      <c r="Z542" s="36">
        <f>IF(AND(OR(sel_Region="All",C542=sel_Region),OR(sel_Country="All",D542=sel_Country),OR(sel_Channel="All",E542=sel_Channel),OR(sel_Customer="All",F542=sel_Customer),OR(sel_Category="All",G542=sel_Category),AND(S542&gt;=m_From,S542&lt;=m_To)),1,0)</f>
        <v/>
      </c>
      <c r="AA542" s="36">
        <f>IF(AND(OR(sel_Region="All",C542=sel_Region),OR(sel_Country="All",D542=sel_Country),OR(sel_Channel="All",E542=sel_Channel),OR(sel_Customer="All",F542=sel_Customer),OR(sel_Category="All",G542=sel_Category),OR(sel_Product="All",H542=sel_Product)),1,0)</f>
        <v/>
      </c>
    </row>
    <row r="543">
      <c r="A543" s="36" t="inlineStr">
        <is>
          <t>04901</t>
        </is>
      </c>
      <c r="B543" s="44" t="n">
        <v>46121</v>
      </c>
      <c r="C543" s="36" t="inlineStr">
        <is>
          <t>Southern Europe</t>
        </is>
      </c>
      <c r="D543" s="36" t="inlineStr">
        <is>
          <t>Spain</t>
        </is>
      </c>
      <c r="E543" s="36" t="inlineStr">
        <is>
          <t>Marketplace</t>
        </is>
      </c>
      <c r="F543" s="36" t="inlineStr">
        <is>
          <t>New</t>
        </is>
      </c>
      <c r="G543" s="36" t="inlineStr">
        <is>
          <t>Cycling</t>
        </is>
      </c>
      <c r="H543" s="36" t="inlineStr">
        <is>
          <t>Commuter Helmet</t>
        </is>
      </c>
      <c r="I543" s="36" t="n">
        <v>1</v>
      </c>
      <c r="J543" s="39" t="n">
        <v>80.19</v>
      </c>
      <c r="K543" s="45" t="n">
        <v>0.1</v>
      </c>
      <c r="L543" s="39" t="n">
        <v>42.15</v>
      </c>
      <c r="M543" s="39">
        <f>I543*J543*(1-K543)</f>
        <v/>
      </c>
      <c r="N543" s="39">
        <f>I543*L543</f>
        <v/>
      </c>
      <c r="O543" s="39">
        <f>M543-N543</f>
        <v/>
      </c>
      <c r="P543" s="38">
        <f>IF(M543=0,0,O543/M543)</f>
        <v/>
      </c>
      <c r="Q543" s="36">
        <f>YEAR(B543)</f>
        <v/>
      </c>
      <c r="R543" s="36">
        <f>"Q"&amp;ROUNDUP(MONTH(B543)/3,0)</f>
        <v/>
      </c>
      <c r="S543" s="36">
        <f>MONTH(B543)</f>
        <v/>
      </c>
      <c r="T543" s="36">
        <f>TEXT(B543,"mmm")</f>
        <v/>
      </c>
      <c r="U543" s="36">
        <f>IF(AND(OR(sel_Region="All",C543=sel_Region),OR(sel_Country="All",D543=sel_Country),OR(sel_Channel="All",E543=sel_Channel),OR(sel_Customer="All",F543=sel_Customer),OR(sel_Category="All",G543=sel_Category),OR(sel_Product="All",H543=sel_Product),AND(S543&gt;=m_From,S543&lt;=m_To)),1,0)</f>
        <v/>
      </c>
      <c r="V543" s="36">
        <f>IF(AND(OR(sel_Region="All",C543=sel_Region),OR(sel_Channel="All",E543=sel_Channel),OR(sel_Customer="All",F543=sel_Customer),OR(sel_Category="All",G543=sel_Category),OR(sel_Product="All",H543=sel_Product),AND(S543&gt;=m_From,S543&lt;=m_To)),1,0)</f>
        <v/>
      </c>
      <c r="W543" s="36">
        <f>IF(AND(OR(sel_Region="All",C543=sel_Region),OR(sel_Country="All",D543=sel_Country),OR(sel_Customer="All",F543=sel_Customer),OR(sel_Category="All",G543=sel_Category),OR(sel_Product="All",H543=sel_Product),AND(S543&gt;=m_From,S543&lt;=m_To)),1,0)</f>
        <v/>
      </c>
      <c r="X543" s="36">
        <f>IF(AND(OR(sel_Region="All",C543=sel_Region),OR(sel_Country="All",D543=sel_Country),OR(sel_Channel="All",E543=sel_Channel),OR(sel_Category="All",G543=sel_Category),OR(sel_Product="All",H543=sel_Product),AND(S543&gt;=m_From,S543&lt;=m_To)),1,0)</f>
        <v/>
      </c>
      <c r="Y543" s="36">
        <f>IF(AND(OR(sel_Region="All",C543=sel_Region),OR(sel_Country="All",D543=sel_Country),OR(sel_Channel="All",E543=sel_Channel),OR(sel_Customer="All",F543=sel_Customer),OR(sel_Product="All",H543=sel_Product),AND(S543&gt;=m_From,S543&lt;=m_To)),1,0)</f>
        <v/>
      </c>
      <c r="Z543" s="36">
        <f>IF(AND(OR(sel_Region="All",C543=sel_Region),OR(sel_Country="All",D543=sel_Country),OR(sel_Channel="All",E543=sel_Channel),OR(sel_Customer="All",F543=sel_Customer),OR(sel_Category="All",G543=sel_Category),AND(S543&gt;=m_From,S543&lt;=m_To)),1,0)</f>
        <v/>
      </c>
      <c r="AA543" s="36">
        <f>IF(AND(OR(sel_Region="All",C543=sel_Region),OR(sel_Country="All",D543=sel_Country),OR(sel_Channel="All",E543=sel_Channel),OR(sel_Customer="All",F543=sel_Customer),OR(sel_Category="All",G543=sel_Category),OR(sel_Product="All",H543=sel_Product)),1,0)</f>
        <v/>
      </c>
    </row>
    <row r="544">
      <c r="A544" s="36" t="inlineStr">
        <is>
          <t>04969</t>
        </is>
      </c>
      <c r="B544" s="44" t="n">
        <v>46121</v>
      </c>
      <c r="C544" s="36" t="inlineStr">
        <is>
          <t>Western Europe</t>
        </is>
      </c>
      <c r="D544" s="36" t="inlineStr">
        <is>
          <t>Netherlands</t>
        </is>
      </c>
      <c r="E544" s="36" t="inlineStr">
        <is>
          <t>Marketplace</t>
        </is>
      </c>
      <c r="F544" s="36" t="inlineStr">
        <is>
          <t>Business</t>
        </is>
      </c>
      <c r="G544" s="36" t="inlineStr">
        <is>
          <t>Cycling</t>
        </is>
      </c>
      <c r="H544" s="36" t="inlineStr">
        <is>
          <t>Commuter Helmet</t>
        </is>
      </c>
      <c r="I544" s="36" t="n">
        <v>2</v>
      </c>
      <c r="J544" s="39" t="n">
        <v>81.14</v>
      </c>
      <c r="K544" s="45" t="n">
        <v>0</v>
      </c>
      <c r="L544" s="39" t="n">
        <v>43.43</v>
      </c>
      <c r="M544" s="39">
        <f>I544*J544*(1-K544)</f>
        <v/>
      </c>
      <c r="N544" s="39">
        <f>I544*L544</f>
        <v/>
      </c>
      <c r="O544" s="39">
        <f>M544-N544</f>
        <v/>
      </c>
      <c r="P544" s="38">
        <f>IF(M544=0,0,O544/M544)</f>
        <v/>
      </c>
      <c r="Q544" s="36">
        <f>YEAR(B544)</f>
        <v/>
      </c>
      <c r="R544" s="36">
        <f>"Q"&amp;ROUNDUP(MONTH(B544)/3,0)</f>
        <v/>
      </c>
      <c r="S544" s="36">
        <f>MONTH(B544)</f>
        <v/>
      </c>
      <c r="T544" s="36">
        <f>TEXT(B544,"mmm")</f>
        <v/>
      </c>
      <c r="U544" s="36">
        <f>IF(AND(OR(sel_Region="All",C544=sel_Region),OR(sel_Country="All",D544=sel_Country),OR(sel_Channel="All",E544=sel_Channel),OR(sel_Customer="All",F544=sel_Customer),OR(sel_Category="All",G544=sel_Category),OR(sel_Product="All",H544=sel_Product),AND(S544&gt;=m_From,S544&lt;=m_To)),1,0)</f>
        <v/>
      </c>
      <c r="V544" s="36">
        <f>IF(AND(OR(sel_Region="All",C544=sel_Region),OR(sel_Channel="All",E544=sel_Channel),OR(sel_Customer="All",F544=sel_Customer),OR(sel_Category="All",G544=sel_Category),OR(sel_Product="All",H544=sel_Product),AND(S544&gt;=m_From,S544&lt;=m_To)),1,0)</f>
        <v/>
      </c>
      <c r="W544" s="36">
        <f>IF(AND(OR(sel_Region="All",C544=sel_Region),OR(sel_Country="All",D544=sel_Country),OR(sel_Customer="All",F544=sel_Customer),OR(sel_Category="All",G544=sel_Category),OR(sel_Product="All",H544=sel_Product),AND(S544&gt;=m_From,S544&lt;=m_To)),1,0)</f>
        <v/>
      </c>
      <c r="X544" s="36">
        <f>IF(AND(OR(sel_Region="All",C544=sel_Region),OR(sel_Country="All",D544=sel_Country),OR(sel_Channel="All",E544=sel_Channel),OR(sel_Category="All",G544=sel_Category),OR(sel_Product="All",H544=sel_Product),AND(S544&gt;=m_From,S544&lt;=m_To)),1,0)</f>
        <v/>
      </c>
      <c r="Y544" s="36">
        <f>IF(AND(OR(sel_Region="All",C544=sel_Region),OR(sel_Country="All",D544=sel_Country),OR(sel_Channel="All",E544=sel_Channel),OR(sel_Customer="All",F544=sel_Customer),OR(sel_Product="All",H544=sel_Product),AND(S544&gt;=m_From,S544&lt;=m_To)),1,0)</f>
        <v/>
      </c>
      <c r="Z544" s="36">
        <f>IF(AND(OR(sel_Region="All",C544=sel_Region),OR(sel_Country="All",D544=sel_Country),OR(sel_Channel="All",E544=sel_Channel),OR(sel_Customer="All",F544=sel_Customer),OR(sel_Category="All",G544=sel_Category),AND(S544&gt;=m_From,S544&lt;=m_To)),1,0)</f>
        <v/>
      </c>
      <c r="AA544" s="36">
        <f>IF(AND(OR(sel_Region="All",C544=sel_Region),OR(sel_Country="All",D544=sel_Country),OR(sel_Channel="All",E544=sel_Channel),OR(sel_Customer="All",F544=sel_Customer),OR(sel_Category="All",G544=sel_Category),OR(sel_Product="All",H544=sel_Product)),1,0)</f>
        <v/>
      </c>
    </row>
    <row r="545">
      <c r="A545" s="36" t="inlineStr">
        <is>
          <t>00673</t>
        </is>
      </c>
      <c r="B545" s="44" t="n">
        <v>46122</v>
      </c>
      <c r="C545" s="36" t="inlineStr">
        <is>
          <t>Western Europe</t>
        </is>
      </c>
      <c r="D545" s="36" t="inlineStr">
        <is>
          <t>United Kingdom</t>
        </is>
      </c>
      <c r="E545" s="36" t="inlineStr">
        <is>
          <t>Retail Partners</t>
        </is>
      </c>
      <c r="F545" s="36" t="inlineStr">
        <is>
          <t>New</t>
        </is>
      </c>
      <c r="G545" s="36" t="inlineStr">
        <is>
          <t>Camping</t>
        </is>
      </c>
      <c r="H545" s="36" t="inlineStr">
        <is>
          <t>Trail Tent 2P</t>
        </is>
      </c>
      <c r="I545" s="36" t="n">
        <v>2</v>
      </c>
      <c r="J545" s="39" t="n">
        <v>191.11</v>
      </c>
      <c r="K545" s="45" t="n">
        <v>0</v>
      </c>
      <c r="L545" s="39" t="n">
        <v>103.58</v>
      </c>
      <c r="M545" s="39">
        <f>I545*J545*(1-K545)</f>
        <v/>
      </c>
      <c r="N545" s="39">
        <f>I545*L545</f>
        <v/>
      </c>
      <c r="O545" s="39">
        <f>M545-N545</f>
        <v/>
      </c>
      <c r="P545" s="38">
        <f>IF(M545=0,0,O545/M545)</f>
        <v/>
      </c>
      <c r="Q545" s="36">
        <f>YEAR(B545)</f>
        <v/>
      </c>
      <c r="R545" s="36">
        <f>"Q"&amp;ROUNDUP(MONTH(B545)/3,0)</f>
        <v/>
      </c>
      <c r="S545" s="36">
        <f>MONTH(B545)</f>
        <v/>
      </c>
      <c r="T545" s="36">
        <f>TEXT(B545,"mmm")</f>
        <v/>
      </c>
      <c r="U545" s="36">
        <f>IF(AND(OR(sel_Region="All",C545=sel_Region),OR(sel_Country="All",D545=sel_Country),OR(sel_Channel="All",E545=sel_Channel),OR(sel_Customer="All",F545=sel_Customer),OR(sel_Category="All",G545=sel_Category),OR(sel_Product="All",H545=sel_Product),AND(S545&gt;=m_From,S545&lt;=m_To)),1,0)</f>
        <v/>
      </c>
      <c r="V545" s="36">
        <f>IF(AND(OR(sel_Region="All",C545=sel_Region),OR(sel_Channel="All",E545=sel_Channel),OR(sel_Customer="All",F545=sel_Customer),OR(sel_Category="All",G545=sel_Category),OR(sel_Product="All",H545=sel_Product),AND(S545&gt;=m_From,S545&lt;=m_To)),1,0)</f>
        <v/>
      </c>
      <c r="W545" s="36">
        <f>IF(AND(OR(sel_Region="All",C545=sel_Region),OR(sel_Country="All",D545=sel_Country),OR(sel_Customer="All",F545=sel_Customer),OR(sel_Category="All",G545=sel_Category),OR(sel_Product="All",H545=sel_Product),AND(S545&gt;=m_From,S545&lt;=m_To)),1,0)</f>
        <v/>
      </c>
      <c r="X545" s="36">
        <f>IF(AND(OR(sel_Region="All",C545=sel_Region),OR(sel_Country="All",D545=sel_Country),OR(sel_Channel="All",E545=sel_Channel),OR(sel_Category="All",G545=sel_Category),OR(sel_Product="All",H545=sel_Product),AND(S545&gt;=m_From,S545&lt;=m_To)),1,0)</f>
        <v/>
      </c>
      <c r="Y545" s="36">
        <f>IF(AND(OR(sel_Region="All",C545=sel_Region),OR(sel_Country="All",D545=sel_Country),OR(sel_Channel="All",E545=sel_Channel),OR(sel_Customer="All",F545=sel_Customer),OR(sel_Product="All",H545=sel_Product),AND(S545&gt;=m_From,S545&lt;=m_To)),1,0)</f>
        <v/>
      </c>
      <c r="Z545" s="36">
        <f>IF(AND(OR(sel_Region="All",C545=sel_Region),OR(sel_Country="All",D545=sel_Country),OR(sel_Channel="All",E545=sel_Channel),OR(sel_Customer="All",F545=sel_Customer),OR(sel_Category="All",G545=sel_Category),AND(S545&gt;=m_From,S545&lt;=m_To)),1,0)</f>
        <v/>
      </c>
      <c r="AA545" s="36">
        <f>IF(AND(OR(sel_Region="All",C545=sel_Region),OR(sel_Country="All",D545=sel_Country),OR(sel_Channel="All",E545=sel_Channel),OR(sel_Customer="All",F545=sel_Customer),OR(sel_Category="All",G545=sel_Category),OR(sel_Product="All",H545=sel_Product)),1,0)</f>
        <v/>
      </c>
    </row>
    <row r="546">
      <c r="A546" s="36" t="inlineStr">
        <is>
          <t>00888</t>
        </is>
      </c>
      <c r="B546" s="44" t="n">
        <v>46122</v>
      </c>
      <c r="C546" s="36" t="inlineStr">
        <is>
          <t>Western Europe</t>
        </is>
      </c>
      <c r="D546" s="36" t="inlineStr">
        <is>
          <t>Netherlands</t>
        </is>
      </c>
      <c r="E546" s="36" t="inlineStr">
        <is>
          <t>Retail Partners</t>
        </is>
      </c>
      <c r="F546" s="36" t="inlineStr">
        <is>
          <t>New</t>
        </is>
      </c>
      <c r="G546" s="36" t="inlineStr">
        <is>
          <t>Cycling</t>
        </is>
      </c>
      <c r="H546" s="36" t="inlineStr">
        <is>
          <t>Compact Repair Kit</t>
        </is>
      </c>
      <c r="I546" s="36" t="n">
        <v>2</v>
      </c>
      <c r="J546" s="39" t="n">
        <v>40.58</v>
      </c>
      <c r="K546" s="45" t="n">
        <v>0.05</v>
      </c>
      <c r="L546" s="39" t="n">
        <v>17.15</v>
      </c>
      <c r="M546" s="39">
        <f>I546*J546*(1-K546)</f>
        <v/>
      </c>
      <c r="N546" s="39">
        <f>I546*L546</f>
        <v/>
      </c>
      <c r="O546" s="39">
        <f>M546-N546</f>
        <v/>
      </c>
      <c r="P546" s="38">
        <f>IF(M546=0,0,O546/M546)</f>
        <v/>
      </c>
      <c r="Q546" s="36">
        <f>YEAR(B546)</f>
        <v/>
      </c>
      <c r="R546" s="36">
        <f>"Q"&amp;ROUNDUP(MONTH(B546)/3,0)</f>
        <v/>
      </c>
      <c r="S546" s="36">
        <f>MONTH(B546)</f>
        <v/>
      </c>
      <c r="T546" s="36">
        <f>TEXT(B546,"mmm")</f>
        <v/>
      </c>
      <c r="U546" s="36">
        <f>IF(AND(OR(sel_Region="All",C546=sel_Region),OR(sel_Country="All",D546=sel_Country),OR(sel_Channel="All",E546=sel_Channel),OR(sel_Customer="All",F546=sel_Customer),OR(sel_Category="All",G546=sel_Category),OR(sel_Product="All",H546=sel_Product),AND(S546&gt;=m_From,S546&lt;=m_To)),1,0)</f>
        <v/>
      </c>
      <c r="V546" s="36">
        <f>IF(AND(OR(sel_Region="All",C546=sel_Region),OR(sel_Channel="All",E546=sel_Channel),OR(sel_Customer="All",F546=sel_Customer),OR(sel_Category="All",G546=sel_Category),OR(sel_Product="All",H546=sel_Product),AND(S546&gt;=m_From,S546&lt;=m_To)),1,0)</f>
        <v/>
      </c>
      <c r="W546" s="36">
        <f>IF(AND(OR(sel_Region="All",C546=sel_Region),OR(sel_Country="All",D546=sel_Country),OR(sel_Customer="All",F546=sel_Customer),OR(sel_Category="All",G546=sel_Category),OR(sel_Product="All",H546=sel_Product),AND(S546&gt;=m_From,S546&lt;=m_To)),1,0)</f>
        <v/>
      </c>
      <c r="X546" s="36">
        <f>IF(AND(OR(sel_Region="All",C546=sel_Region),OR(sel_Country="All",D546=sel_Country),OR(sel_Channel="All",E546=sel_Channel),OR(sel_Category="All",G546=sel_Category),OR(sel_Product="All",H546=sel_Product),AND(S546&gt;=m_From,S546&lt;=m_To)),1,0)</f>
        <v/>
      </c>
      <c r="Y546" s="36">
        <f>IF(AND(OR(sel_Region="All",C546=sel_Region),OR(sel_Country="All",D546=sel_Country),OR(sel_Channel="All",E546=sel_Channel),OR(sel_Customer="All",F546=sel_Customer),OR(sel_Product="All",H546=sel_Product),AND(S546&gt;=m_From,S546&lt;=m_To)),1,0)</f>
        <v/>
      </c>
      <c r="Z546" s="36">
        <f>IF(AND(OR(sel_Region="All",C546=sel_Region),OR(sel_Country="All",D546=sel_Country),OR(sel_Channel="All",E546=sel_Channel),OR(sel_Customer="All",F546=sel_Customer),OR(sel_Category="All",G546=sel_Category),AND(S546&gt;=m_From,S546&lt;=m_To)),1,0)</f>
        <v/>
      </c>
      <c r="AA546" s="36">
        <f>IF(AND(OR(sel_Region="All",C546=sel_Region),OR(sel_Country="All",D546=sel_Country),OR(sel_Channel="All",E546=sel_Channel),OR(sel_Customer="All",F546=sel_Customer),OR(sel_Category="All",G546=sel_Category),OR(sel_Product="All",H546=sel_Product)),1,0)</f>
        <v/>
      </c>
    </row>
    <row r="547">
      <c r="A547" s="36" t="inlineStr">
        <is>
          <t>01541</t>
        </is>
      </c>
      <c r="B547" s="44" t="n">
        <v>46122</v>
      </c>
      <c r="C547" s="36" t="inlineStr">
        <is>
          <t>Southern Europe</t>
        </is>
      </c>
      <c r="D547" s="36" t="inlineStr">
        <is>
          <t>Italy</t>
        </is>
      </c>
      <c r="E547" s="36" t="inlineStr">
        <is>
          <t>Marketplace</t>
        </is>
      </c>
      <c r="F547" s="36" t="inlineStr">
        <is>
          <t>Returning</t>
        </is>
      </c>
      <c r="G547" s="36" t="inlineStr">
        <is>
          <t>Camping</t>
        </is>
      </c>
      <c r="H547" s="36" t="inlineStr">
        <is>
          <t>Portable Camp Stove</t>
        </is>
      </c>
      <c r="I547" s="36" t="n">
        <v>1</v>
      </c>
      <c r="J547" s="39" t="n">
        <v>83.44</v>
      </c>
      <c r="K547" s="45" t="n">
        <v>0</v>
      </c>
      <c r="L547" s="39" t="n">
        <v>40.3</v>
      </c>
      <c r="M547" s="39">
        <f>I547*J547*(1-K547)</f>
        <v/>
      </c>
      <c r="N547" s="39">
        <f>I547*L547</f>
        <v/>
      </c>
      <c r="O547" s="39">
        <f>M547-N547</f>
        <v/>
      </c>
      <c r="P547" s="38">
        <f>IF(M547=0,0,O547/M547)</f>
        <v/>
      </c>
      <c r="Q547" s="36">
        <f>YEAR(B547)</f>
        <v/>
      </c>
      <c r="R547" s="36">
        <f>"Q"&amp;ROUNDUP(MONTH(B547)/3,0)</f>
        <v/>
      </c>
      <c r="S547" s="36">
        <f>MONTH(B547)</f>
        <v/>
      </c>
      <c r="T547" s="36">
        <f>TEXT(B547,"mmm")</f>
        <v/>
      </c>
      <c r="U547" s="36">
        <f>IF(AND(OR(sel_Region="All",C547=sel_Region),OR(sel_Country="All",D547=sel_Country),OR(sel_Channel="All",E547=sel_Channel),OR(sel_Customer="All",F547=sel_Customer),OR(sel_Category="All",G547=sel_Category),OR(sel_Product="All",H547=sel_Product),AND(S547&gt;=m_From,S547&lt;=m_To)),1,0)</f>
        <v/>
      </c>
      <c r="V547" s="36">
        <f>IF(AND(OR(sel_Region="All",C547=sel_Region),OR(sel_Channel="All",E547=sel_Channel),OR(sel_Customer="All",F547=sel_Customer),OR(sel_Category="All",G547=sel_Category),OR(sel_Product="All",H547=sel_Product),AND(S547&gt;=m_From,S547&lt;=m_To)),1,0)</f>
        <v/>
      </c>
      <c r="W547" s="36">
        <f>IF(AND(OR(sel_Region="All",C547=sel_Region),OR(sel_Country="All",D547=sel_Country),OR(sel_Customer="All",F547=sel_Customer),OR(sel_Category="All",G547=sel_Category),OR(sel_Product="All",H547=sel_Product),AND(S547&gt;=m_From,S547&lt;=m_To)),1,0)</f>
        <v/>
      </c>
      <c r="X547" s="36">
        <f>IF(AND(OR(sel_Region="All",C547=sel_Region),OR(sel_Country="All",D547=sel_Country),OR(sel_Channel="All",E547=sel_Channel),OR(sel_Category="All",G547=sel_Category),OR(sel_Product="All",H547=sel_Product),AND(S547&gt;=m_From,S547&lt;=m_To)),1,0)</f>
        <v/>
      </c>
      <c r="Y547" s="36">
        <f>IF(AND(OR(sel_Region="All",C547=sel_Region),OR(sel_Country="All",D547=sel_Country),OR(sel_Channel="All",E547=sel_Channel),OR(sel_Customer="All",F547=sel_Customer),OR(sel_Product="All",H547=sel_Product),AND(S547&gt;=m_From,S547&lt;=m_To)),1,0)</f>
        <v/>
      </c>
      <c r="Z547" s="36">
        <f>IF(AND(OR(sel_Region="All",C547=sel_Region),OR(sel_Country="All",D547=sel_Country),OR(sel_Channel="All",E547=sel_Channel),OR(sel_Customer="All",F547=sel_Customer),OR(sel_Category="All",G547=sel_Category),AND(S547&gt;=m_From,S547&lt;=m_To)),1,0)</f>
        <v/>
      </c>
      <c r="AA547" s="36">
        <f>IF(AND(OR(sel_Region="All",C547=sel_Region),OR(sel_Country="All",D547=sel_Country),OR(sel_Channel="All",E547=sel_Channel),OR(sel_Customer="All",F547=sel_Customer),OR(sel_Category="All",G547=sel_Category),OR(sel_Product="All",H547=sel_Product)),1,0)</f>
        <v/>
      </c>
    </row>
    <row r="548">
      <c r="A548" s="36" t="inlineStr">
        <is>
          <t>01881</t>
        </is>
      </c>
      <c r="B548" s="44" t="n">
        <v>46122</v>
      </c>
      <c r="C548" s="36" t="inlineStr">
        <is>
          <t>Western Europe</t>
        </is>
      </c>
      <c r="D548" s="36" t="inlineStr">
        <is>
          <t>Netherlands</t>
        </is>
      </c>
      <c r="E548" s="36" t="inlineStr">
        <is>
          <t>Marketplace</t>
        </is>
      </c>
      <c r="F548" s="36" t="inlineStr">
        <is>
          <t>New</t>
        </is>
      </c>
      <c r="G548" s="36" t="inlineStr">
        <is>
          <t>Fitness</t>
        </is>
      </c>
      <c r="H548" s="36" t="inlineStr">
        <is>
          <t>Training Mat</t>
        </is>
      </c>
      <c r="I548" s="36" t="n">
        <v>1</v>
      </c>
      <c r="J548" s="39" t="n">
        <v>49.61</v>
      </c>
      <c r="K548" s="45" t="n">
        <v>0</v>
      </c>
      <c r="L548" s="39" t="n">
        <v>21.92</v>
      </c>
      <c r="M548" s="39">
        <f>I548*J548*(1-K548)</f>
        <v/>
      </c>
      <c r="N548" s="39">
        <f>I548*L548</f>
        <v/>
      </c>
      <c r="O548" s="39">
        <f>M548-N548</f>
        <v/>
      </c>
      <c r="P548" s="38">
        <f>IF(M548=0,0,O548/M548)</f>
        <v/>
      </c>
      <c r="Q548" s="36">
        <f>YEAR(B548)</f>
        <v/>
      </c>
      <c r="R548" s="36">
        <f>"Q"&amp;ROUNDUP(MONTH(B548)/3,0)</f>
        <v/>
      </c>
      <c r="S548" s="36">
        <f>MONTH(B548)</f>
        <v/>
      </c>
      <c r="T548" s="36">
        <f>TEXT(B548,"mmm")</f>
        <v/>
      </c>
      <c r="U548" s="36">
        <f>IF(AND(OR(sel_Region="All",C548=sel_Region),OR(sel_Country="All",D548=sel_Country),OR(sel_Channel="All",E548=sel_Channel),OR(sel_Customer="All",F548=sel_Customer),OR(sel_Category="All",G548=sel_Category),OR(sel_Product="All",H548=sel_Product),AND(S548&gt;=m_From,S548&lt;=m_To)),1,0)</f>
        <v/>
      </c>
      <c r="V548" s="36">
        <f>IF(AND(OR(sel_Region="All",C548=sel_Region),OR(sel_Channel="All",E548=sel_Channel),OR(sel_Customer="All",F548=sel_Customer),OR(sel_Category="All",G548=sel_Category),OR(sel_Product="All",H548=sel_Product),AND(S548&gt;=m_From,S548&lt;=m_To)),1,0)</f>
        <v/>
      </c>
      <c r="W548" s="36">
        <f>IF(AND(OR(sel_Region="All",C548=sel_Region),OR(sel_Country="All",D548=sel_Country),OR(sel_Customer="All",F548=sel_Customer),OR(sel_Category="All",G548=sel_Category),OR(sel_Product="All",H548=sel_Product),AND(S548&gt;=m_From,S548&lt;=m_To)),1,0)</f>
        <v/>
      </c>
      <c r="X548" s="36">
        <f>IF(AND(OR(sel_Region="All",C548=sel_Region),OR(sel_Country="All",D548=sel_Country),OR(sel_Channel="All",E548=sel_Channel),OR(sel_Category="All",G548=sel_Category),OR(sel_Product="All",H548=sel_Product),AND(S548&gt;=m_From,S548&lt;=m_To)),1,0)</f>
        <v/>
      </c>
      <c r="Y548" s="36">
        <f>IF(AND(OR(sel_Region="All",C548=sel_Region),OR(sel_Country="All",D548=sel_Country),OR(sel_Channel="All",E548=sel_Channel),OR(sel_Customer="All",F548=sel_Customer),OR(sel_Product="All",H548=sel_Product),AND(S548&gt;=m_From,S548&lt;=m_To)),1,0)</f>
        <v/>
      </c>
      <c r="Z548" s="36">
        <f>IF(AND(OR(sel_Region="All",C548=sel_Region),OR(sel_Country="All",D548=sel_Country),OR(sel_Channel="All",E548=sel_Channel),OR(sel_Customer="All",F548=sel_Customer),OR(sel_Category="All",G548=sel_Category),AND(S548&gt;=m_From,S548&lt;=m_To)),1,0)</f>
        <v/>
      </c>
      <c r="AA548" s="36">
        <f>IF(AND(OR(sel_Region="All",C548=sel_Region),OR(sel_Country="All",D548=sel_Country),OR(sel_Channel="All",E548=sel_Channel),OR(sel_Customer="All",F548=sel_Customer),OR(sel_Category="All",G548=sel_Category),OR(sel_Product="All",H548=sel_Product)),1,0)</f>
        <v/>
      </c>
    </row>
    <row r="549">
      <c r="A549" s="36" t="inlineStr">
        <is>
          <t>02007</t>
        </is>
      </c>
      <c r="B549" s="44" t="n">
        <v>46122</v>
      </c>
      <c r="C549" s="36" t="inlineStr">
        <is>
          <t>Western Europe</t>
        </is>
      </c>
      <c r="D549" s="36" t="inlineStr">
        <is>
          <t>United Kingdom</t>
        </is>
      </c>
      <c r="E549" s="36" t="inlineStr">
        <is>
          <t>Online Store</t>
        </is>
      </c>
      <c r="F549" s="36" t="inlineStr">
        <is>
          <t>Returning</t>
        </is>
      </c>
      <c r="G549" s="36" t="inlineStr">
        <is>
          <t>Fitness</t>
        </is>
      </c>
      <c r="H549" s="36" t="inlineStr">
        <is>
          <t>Weighted Vest</t>
        </is>
      </c>
      <c r="I549" s="36" t="n">
        <v>2</v>
      </c>
      <c r="J549" s="39" t="n">
        <v>123.31</v>
      </c>
      <c r="K549" s="45" t="n">
        <v>0</v>
      </c>
      <c r="L549" s="39" t="n">
        <v>69.23999999999999</v>
      </c>
      <c r="M549" s="39">
        <f>I549*J549*(1-K549)</f>
        <v/>
      </c>
      <c r="N549" s="39">
        <f>I549*L549</f>
        <v/>
      </c>
      <c r="O549" s="39">
        <f>M549-N549</f>
        <v/>
      </c>
      <c r="P549" s="38">
        <f>IF(M549=0,0,O549/M549)</f>
        <v/>
      </c>
      <c r="Q549" s="36">
        <f>YEAR(B549)</f>
        <v/>
      </c>
      <c r="R549" s="36">
        <f>"Q"&amp;ROUNDUP(MONTH(B549)/3,0)</f>
        <v/>
      </c>
      <c r="S549" s="36">
        <f>MONTH(B549)</f>
        <v/>
      </c>
      <c r="T549" s="36">
        <f>TEXT(B549,"mmm")</f>
        <v/>
      </c>
      <c r="U549" s="36">
        <f>IF(AND(OR(sel_Region="All",C549=sel_Region),OR(sel_Country="All",D549=sel_Country),OR(sel_Channel="All",E549=sel_Channel),OR(sel_Customer="All",F549=sel_Customer),OR(sel_Category="All",G549=sel_Category),OR(sel_Product="All",H549=sel_Product),AND(S549&gt;=m_From,S549&lt;=m_To)),1,0)</f>
        <v/>
      </c>
      <c r="V549" s="36">
        <f>IF(AND(OR(sel_Region="All",C549=sel_Region),OR(sel_Channel="All",E549=sel_Channel),OR(sel_Customer="All",F549=sel_Customer),OR(sel_Category="All",G549=sel_Category),OR(sel_Product="All",H549=sel_Product),AND(S549&gt;=m_From,S549&lt;=m_To)),1,0)</f>
        <v/>
      </c>
      <c r="W549" s="36">
        <f>IF(AND(OR(sel_Region="All",C549=sel_Region),OR(sel_Country="All",D549=sel_Country),OR(sel_Customer="All",F549=sel_Customer),OR(sel_Category="All",G549=sel_Category),OR(sel_Product="All",H549=sel_Product),AND(S549&gt;=m_From,S549&lt;=m_To)),1,0)</f>
        <v/>
      </c>
      <c r="X549" s="36">
        <f>IF(AND(OR(sel_Region="All",C549=sel_Region),OR(sel_Country="All",D549=sel_Country),OR(sel_Channel="All",E549=sel_Channel),OR(sel_Category="All",G549=sel_Category),OR(sel_Product="All",H549=sel_Product),AND(S549&gt;=m_From,S549&lt;=m_To)),1,0)</f>
        <v/>
      </c>
      <c r="Y549" s="36">
        <f>IF(AND(OR(sel_Region="All",C549=sel_Region),OR(sel_Country="All",D549=sel_Country),OR(sel_Channel="All",E549=sel_Channel),OR(sel_Customer="All",F549=sel_Customer),OR(sel_Product="All",H549=sel_Product),AND(S549&gt;=m_From,S549&lt;=m_To)),1,0)</f>
        <v/>
      </c>
      <c r="Z549" s="36">
        <f>IF(AND(OR(sel_Region="All",C549=sel_Region),OR(sel_Country="All",D549=sel_Country),OR(sel_Channel="All",E549=sel_Channel),OR(sel_Customer="All",F549=sel_Customer),OR(sel_Category="All",G549=sel_Category),AND(S549&gt;=m_From,S549&lt;=m_To)),1,0)</f>
        <v/>
      </c>
      <c r="AA549" s="36">
        <f>IF(AND(OR(sel_Region="All",C549=sel_Region),OR(sel_Country="All",D549=sel_Country),OR(sel_Channel="All",E549=sel_Channel),OR(sel_Customer="All",F549=sel_Customer),OR(sel_Category="All",G549=sel_Category),OR(sel_Product="All",H549=sel_Product)),1,0)</f>
        <v/>
      </c>
    </row>
    <row r="550">
      <c r="A550" s="36" t="inlineStr">
        <is>
          <t>02312</t>
        </is>
      </c>
      <c r="B550" s="44" t="n">
        <v>46122</v>
      </c>
      <c r="C550" s="36" t="inlineStr">
        <is>
          <t>Southern Europe</t>
        </is>
      </c>
      <c r="D550" s="36" t="inlineStr">
        <is>
          <t>Italy</t>
        </is>
      </c>
      <c r="E550" s="36" t="inlineStr">
        <is>
          <t>Retail Partners</t>
        </is>
      </c>
      <c r="F550" s="36" t="inlineStr">
        <is>
          <t>New</t>
        </is>
      </c>
      <c r="G550" s="36" t="inlineStr">
        <is>
          <t>Hiking</t>
        </is>
      </c>
      <c r="H550" s="36" t="inlineStr">
        <is>
          <t>Hiking Daypack 20L</t>
        </is>
      </c>
      <c r="I550" s="36" t="n">
        <v>1</v>
      </c>
      <c r="J550" s="39" t="n">
        <v>93.34999999999999</v>
      </c>
      <c r="K550" s="45" t="n">
        <v>0.1</v>
      </c>
      <c r="L550" s="39" t="n">
        <v>45.54</v>
      </c>
      <c r="M550" s="39">
        <f>I550*J550*(1-K550)</f>
        <v/>
      </c>
      <c r="N550" s="39">
        <f>I550*L550</f>
        <v/>
      </c>
      <c r="O550" s="39">
        <f>M550-N550</f>
        <v/>
      </c>
      <c r="P550" s="38">
        <f>IF(M550=0,0,O550/M550)</f>
        <v/>
      </c>
      <c r="Q550" s="36">
        <f>YEAR(B550)</f>
        <v/>
      </c>
      <c r="R550" s="36">
        <f>"Q"&amp;ROUNDUP(MONTH(B550)/3,0)</f>
        <v/>
      </c>
      <c r="S550" s="36">
        <f>MONTH(B550)</f>
        <v/>
      </c>
      <c r="T550" s="36">
        <f>TEXT(B550,"mmm")</f>
        <v/>
      </c>
      <c r="U550" s="36">
        <f>IF(AND(OR(sel_Region="All",C550=sel_Region),OR(sel_Country="All",D550=sel_Country),OR(sel_Channel="All",E550=sel_Channel),OR(sel_Customer="All",F550=sel_Customer),OR(sel_Category="All",G550=sel_Category),OR(sel_Product="All",H550=sel_Product),AND(S550&gt;=m_From,S550&lt;=m_To)),1,0)</f>
        <v/>
      </c>
      <c r="V550" s="36">
        <f>IF(AND(OR(sel_Region="All",C550=sel_Region),OR(sel_Channel="All",E550=sel_Channel),OR(sel_Customer="All",F550=sel_Customer),OR(sel_Category="All",G550=sel_Category),OR(sel_Product="All",H550=sel_Product),AND(S550&gt;=m_From,S550&lt;=m_To)),1,0)</f>
        <v/>
      </c>
      <c r="W550" s="36">
        <f>IF(AND(OR(sel_Region="All",C550=sel_Region),OR(sel_Country="All",D550=sel_Country),OR(sel_Customer="All",F550=sel_Customer),OR(sel_Category="All",G550=sel_Category),OR(sel_Product="All",H550=sel_Product),AND(S550&gt;=m_From,S550&lt;=m_To)),1,0)</f>
        <v/>
      </c>
      <c r="X550" s="36">
        <f>IF(AND(OR(sel_Region="All",C550=sel_Region),OR(sel_Country="All",D550=sel_Country),OR(sel_Channel="All",E550=sel_Channel),OR(sel_Category="All",G550=sel_Category),OR(sel_Product="All",H550=sel_Product),AND(S550&gt;=m_From,S550&lt;=m_To)),1,0)</f>
        <v/>
      </c>
      <c r="Y550" s="36">
        <f>IF(AND(OR(sel_Region="All",C550=sel_Region),OR(sel_Country="All",D550=sel_Country),OR(sel_Channel="All",E550=sel_Channel),OR(sel_Customer="All",F550=sel_Customer),OR(sel_Product="All",H550=sel_Product),AND(S550&gt;=m_From,S550&lt;=m_To)),1,0)</f>
        <v/>
      </c>
      <c r="Z550" s="36">
        <f>IF(AND(OR(sel_Region="All",C550=sel_Region),OR(sel_Country="All",D550=sel_Country),OR(sel_Channel="All",E550=sel_Channel),OR(sel_Customer="All",F550=sel_Customer),OR(sel_Category="All",G550=sel_Category),AND(S550&gt;=m_From,S550&lt;=m_To)),1,0)</f>
        <v/>
      </c>
      <c r="AA550" s="36">
        <f>IF(AND(OR(sel_Region="All",C550=sel_Region),OR(sel_Country="All",D550=sel_Country),OR(sel_Channel="All",E550=sel_Channel),OR(sel_Customer="All",F550=sel_Customer),OR(sel_Category="All",G550=sel_Category),OR(sel_Product="All",H550=sel_Product)),1,0)</f>
        <v/>
      </c>
    </row>
    <row r="551">
      <c r="A551" s="36" t="inlineStr">
        <is>
          <t>04493</t>
        </is>
      </c>
      <c r="B551" s="44" t="n">
        <v>46122</v>
      </c>
      <c r="C551" s="36" t="inlineStr">
        <is>
          <t>Southern Europe</t>
        </is>
      </c>
      <c r="D551" s="36" t="inlineStr">
        <is>
          <t>Spain</t>
        </is>
      </c>
      <c r="E551" s="36" t="inlineStr">
        <is>
          <t>Corporate</t>
        </is>
      </c>
      <c r="F551" s="36" t="inlineStr">
        <is>
          <t>Business</t>
        </is>
      </c>
      <c r="G551" s="36" t="inlineStr">
        <is>
          <t>Hiking</t>
        </is>
      </c>
      <c r="H551" s="36" t="inlineStr">
        <is>
          <t>Hiking Daypack 20L</t>
        </is>
      </c>
      <c r="I551" s="36" t="n">
        <v>5</v>
      </c>
      <c r="J551" s="39" t="n">
        <v>92.63</v>
      </c>
      <c r="K551" s="45" t="n">
        <v>0.15</v>
      </c>
      <c r="L551" s="39" t="n">
        <v>46.33</v>
      </c>
      <c r="M551" s="39">
        <f>I551*J551*(1-K551)</f>
        <v/>
      </c>
      <c r="N551" s="39">
        <f>I551*L551</f>
        <v/>
      </c>
      <c r="O551" s="39">
        <f>M551-N551</f>
        <v/>
      </c>
      <c r="P551" s="38">
        <f>IF(M551=0,0,O551/M551)</f>
        <v/>
      </c>
      <c r="Q551" s="36">
        <f>YEAR(B551)</f>
        <v/>
      </c>
      <c r="R551" s="36">
        <f>"Q"&amp;ROUNDUP(MONTH(B551)/3,0)</f>
        <v/>
      </c>
      <c r="S551" s="36">
        <f>MONTH(B551)</f>
        <v/>
      </c>
      <c r="T551" s="36">
        <f>TEXT(B551,"mmm")</f>
        <v/>
      </c>
      <c r="U551" s="36">
        <f>IF(AND(OR(sel_Region="All",C551=sel_Region),OR(sel_Country="All",D551=sel_Country),OR(sel_Channel="All",E551=sel_Channel),OR(sel_Customer="All",F551=sel_Customer),OR(sel_Category="All",G551=sel_Category),OR(sel_Product="All",H551=sel_Product),AND(S551&gt;=m_From,S551&lt;=m_To)),1,0)</f>
        <v/>
      </c>
      <c r="V551" s="36">
        <f>IF(AND(OR(sel_Region="All",C551=sel_Region),OR(sel_Channel="All",E551=sel_Channel),OR(sel_Customer="All",F551=sel_Customer),OR(sel_Category="All",G551=sel_Category),OR(sel_Product="All",H551=sel_Product),AND(S551&gt;=m_From,S551&lt;=m_To)),1,0)</f>
        <v/>
      </c>
      <c r="W551" s="36">
        <f>IF(AND(OR(sel_Region="All",C551=sel_Region),OR(sel_Country="All",D551=sel_Country),OR(sel_Customer="All",F551=sel_Customer),OR(sel_Category="All",G551=sel_Category),OR(sel_Product="All",H551=sel_Product),AND(S551&gt;=m_From,S551&lt;=m_To)),1,0)</f>
        <v/>
      </c>
      <c r="X551" s="36">
        <f>IF(AND(OR(sel_Region="All",C551=sel_Region),OR(sel_Country="All",D551=sel_Country),OR(sel_Channel="All",E551=sel_Channel),OR(sel_Category="All",G551=sel_Category),OR(sel_Product="All",H551=sel_Product),AND(S551&gt;=m_From,S551&lt;=m_To)),1,0)</f>
        <v/>
      </c>
      <c r="Y551" s="36">
        <f>IF(AND(OR(sel_Region="All",C551=sel_Region),OR(sel_Country="All",D551=sel_Country),OR(sel_Channel="All",E551=sel_Channel),OR(sel_Customer="All",F551=sel_Customer),OR(sel_Product="All",H551=sel_Product),AND(S551&gt;=m_From,S551&lt;=m_To)),1,0)</f>
        <v/>
      </c>
      <c r="Z551" s="36">
        <f>IF(AND(OR(sel_Region="All",C551=sel_Region),OR(sel_Country="All",D551=sel_Country),OR(sel_Channel="All",E551=sel_Channel),OR(sel_Customer="All",F551=sel_Customer),OR(sel_Category="All",G551=sel_Category),AND(S551&gt;=m_From,S551&lt;=m_To)),1,0)</f>
        <v/>
      </c>
      <c r="AA551" s="36">
        <f>IF(AND(OR(sel_Region="All",C551=sel_Region),OR(sel_Country="All",D551=sel_Country),OR(sel_Channel="All",E551=sel_Channel),OR(sel_Customer="All",F551=sel_Customer),OR(sel_Category="All",G551=sel_Category),OR(sel_Product="All",H551=sel_Product)),1,0)</f>
        <v/>
      </c>
    </row>
    <row r="552">
      <c r="A552" s="36" t="inlineStr">
        <is>
          <t>02072</t>
        </is>
      </c>
      <c r="B552" s="44" t="n">
        <v>46123</v>
      </c>
      <c r="C552" s="36" t="inlineStr">
        <is>
          <t>Southern Europe</t>
        </is>
      </c>
      <c r="D552" s="36" t="inlineStr">
        <is>
          <t>Portugal</t>
        </is>
      </c>
      <c r="E552" s="36" t="inlineStr">
        <is>
          <t>Online Store</t>
        </is>
      </c>
      <c r="F552" s="36" t="inlineStr">
        <is>
          <t>New</t>
        </is>
      </c>
      <c r="G552" s="36" t="inlineStr">
        <is>
          <t>Camping</t>
        </is>
      </c>
      <c r="H552" s="36" t="inlineStr">
        <is>
          <t>Compact Sleeping Bag</t>
        </is>
      </c>
      <c r="I552" s="36" t="n">
        <v>4</v>
      </c>
      <c r="J552" s="39" t="n">
        <v>124.87</v>
      </c>
      <c r="K552" s="45" t="n">
        <v>0.1</v>
      </c>
      <c r="L552" s="39" t="n">
        <v>62.03</v>
      </c>
      <c r="M552" s="39">
        <f>I552*J552*(1-K552)</f>
        <v/>
      </c>
      <c r="N552" s="39">
        <f>I552*L552</f>
        <v/>
      </c>
      <c r="O552" s="39">
        <f>M552-N552</f>
        <v/>
      </c>
      <c r="P552" s="38">
        <f>IF(M552=0,0,O552/M552)</f>
        <v/>
      </c>
      <c r="Q552" s="36">
        <f>YEAR(B552)</f>
        <v/>
      </c>
      <c r="R552" s="36">
        <f>"Q"&amp;ROUNDUP(MONTH(B552)/3,0)</f>
        <v/>
      </c>
      <c r="S552" s="36">
        <f>MONTH(B552)</f>
        <v/>
      </c>
      <c r="T552" s="36">
        <f>TEXT(B552,"mmm")</f>
        <v/>
      </c>
      <c r="U552" s="36">
        <f>IF(AND(OR(sel_Region="All",C552=sel_Region),OR(sel_Country="All",D552=sel_Country),OR(sel_Channel="All",E552=sel_Channel),OR(sel_Customer="All",F552=sel_Customer),OR(sel_Category="All",G552=sel_Category),OR(sel_Product="All",H552=sel_Product),AND(S552&gt;=m_From,S552&lt;=m_To)),1,0)</f>
        <v/>
      </c>
      <c r="V552" s="36">
        <f>IF(AND(OR(sel_Region="All",C552=sel_Region),OR(sel_Channel="All",E552=sel_Channel),OR(sel_Customer="All",F552=sel_Customer),OR(sel_Category="All",G552=sel_Category),OR(sel_Product="All",H552=sel_Product),AND(S552&gt;=m_From,S552&lt;=m_To)),1,0)</f>
        <v/>
      </c>
      <c r="W552" s="36">
        <f>IF(AND(OR(sel_Region="All",C552=sel_Region),OR(sel_Country="All",D552=sel_Country),OR(sel_Customer="All",F552=sel_Customer),OR(sel_Category="All",G552=sel_Category),OR(sel_Product="All",H552=sel_Product),AND(S552&gt;=m_From,S552&lt;=m_To)),1,0)</f>
        <v/>
      </c>
      <c r="X552" s="36">
        <f>IF(AND(OR(sel_Region="All",C552=sel_Region),OR(sel_Country="All",D552=sel_Country),OR(sel_Channel="All",E552=sel_Channel),OR(sel_Category="All",G552=sel_Category),OR(sel_Product="All",H552=sel_Product),AND(S552&gt;=m_From,S552&lt;=m_To)),1,0)</f>
        <v/>
      </c>
      <c r="Y552" s="36">
        <f>IF(AND(OR(sel_Region="All",C552=sel_Region),OR(sel_Country="All",D552=sel_Country),OR(sel_Channel="All",E552=sel_Channel),OR(sel_Customer="All",F552=sel_Customer),OR(sel_Product="All",H552=sel_Product),AND(S552&gt;=m_From,S552&lt;=m_To)),1,0)</f>
        <v/>
      </c>
      <c r="Z552" s="36">
        <f>IF(AND(OR(sel_Region="All",C552=sel_Region),OR(sel_Country="All",D552=sel_Country),OR(sel_Channel="All",E552=sel_Channel),OR(sel_Customer="All",F552=sel_Customer),OR(sel_Category="All",G552=sel_Category),AND(S552&gt;=m_From,S552&lt;=m_To)),1,0)</f>
        <v/>
      </c>
      <c r="AA552" s="36">
        <f>IF(AND(OR(sel_Region="All",C552=sel_Region),OR(sel_Country="All",D552=sel_Country),OR(sel_Channel="All",E552=sel_Channel),OR(sel_Customer="All",F552=sel_Customer),OR(sel_Category="All",G552=sel_Category),OR(sel_Product="All",H552=sel_Product)),1,0)</f>
        <v/>
      </c>
    </row>
    <row r="553">
      <c r="A553" s="36" t="inlineStr">
        <is>
          <t>02142</t>
        </is>
      </c>
      <c r="B553" s="44" t="n">
        <v>46123</v>
      </c>
      <c r="C553" s="36" t="inlineStr">
        <is>
          <t>Western Europe</t>
        </is>
      </c>
      <c r="D553" s="36" t="inlineStr">
        <is>
          <t>Belgium</t>
        </is>
      </c>
      <c r="E553" s="36" t="inlineStr">
        <is>
          <t>Marketplace</t>
        </is>
      </c>
      <c r="F553" s="36" t="inlineStr">
        <is>
          <t>New</t>
        </is>
      </c>
      <c r="G553" s="36" t="inlineStr">
        <is>
          <t>Camping</t>
        </is>
      </c>
      <c r="H553" s="36" t="inlineStr">
        <is>
          <t>Alpine Tent 4P</t>
        </is>
      </c>
      <c r="I553" s="36" t="n">
        <v>1</v>
      </c>
      <c r="J553" s="39" t="n">
        <v>339.64</v>
      </c>
      <c r="K553" s="45" t="n">
        <v>0.1</v>
      </c>
      <c r="L553" s="39" t="n">
        <v>195.81</v>
      </c>
      <c r="M553" s="39">
        <f>I553*J553*(1-K553)</f>
        <v/>
      </c>
      <c r="N553" s="39">
        <f>I553*L553</f>
        <v/>
      </c>
      <c r="O553" s="39">
        <f>M553-N553</f>
        <v/>
      </c>
      <c r="P553" s="38">
        <f>IF(M553=0,0,O553/M553)</f>
        <v/>
      </c>
      <c r="Q553" s="36">
        <f>YEAR(B553)</f>
        <v/>
      </c>
      <c r="R553" s="36">
        <f>"Q"&amp;ROUNDUP(MONTH(B553)/3,0)</f>
        <v/>
      </c>
      <c r="S553" s="36">
        <f>MONTH(B553)</f>
        <v/>
      </c>
      <c r="T553" s="36">
        <f>TEXT(B553,"mmm")</f>
        <v/>
      </c>
      <c r="U553" s="36">
        <f>IF(AND(OR(sel_Region="All",C553=sel_Region),OR(sel_Country="All",D553=sel_Country),OR(sel_Channel="All",E553=sel_Channel),OR(sel_Customer="All",F553=sel_Customer),OR(sel_Category="All",G553=sel_Category),OR(sel_Product="All",H553=sel_Product),AND(S553&gt;=m_From,S553&lt;=m_To)),1,0)</f>
        <v/>
      </c>
      <c r="V553" s="36">
        <f>IF(AND(OR(sel_Region="All",C553=sel_Region),OR(sel_Channel="All",E553=sel_Channel),OR(sel_Customer="All",F553=sel_Customer),OR(sel_Category="All",G553=sel_Category),OR(sel_Product="All",H553=sel_Product),AND(S553&gt;=m_From,S553&lt;=m_To)),1,0)</f>
        <v/>
      </c>
      <c r="W553" s="36">
        <f>IF(AND(OR(sel_Region="All",C553=sel_Region),OR(sel_Country="All",D553=sel_Country),OR(sel_Customer="All",F553=sel_Customer),OR(sel_Category="All",G553=sel_Category),OR(sel_Product="All",H553=sel_Product),AND(S553&gt;=m_From,S553&lt;=m_To)),1,0)</f>
        <v/>
      </c>
      <c r="X553" s="36">
        <f>IF(AND(OR(sel_Region="All",C553=sel_Region),OR(sel_Country="All",D553=sel_Country),OR(sel_Channel="All",E553=sel_Channel),OR(sel_Category="All",G553=sel_Category),OR(sel_Product="All",H553=sel_Product),AND(S553&gt;=m_From,S553&lt;=m_To)),1,0)</f>
        <v/>
      </c>
      <c r="Y553" s="36">
        <f>IF(AND(OR(sel_Region="All",C553=sel_Region),OR(sel_Country="All",D553=sel_Country),OR(sel_Channel="All",E553=sel_Channel),OR(sel_Customer="All",F553=sel_Customer),OR(sel_Product="All",H553=sel_Product),AND(S553&gt;=m_From,S553&lt;=m_To)),1,0)</f>
        <v/>
      </c>
      <c r="Z553" s="36">
        <f>IF(AND(OR(sel_Region="All",C553=sel_Region),OR(sel_Country="All",D553=sel_Country),OR(sel_Channel="All",E553=sel_Channel),OR(sel_Customer="All",F553=sel_Customer),OR(sel_Category="All",G553=sel_Category),AND(S553&gt;=m_From,S553&lt;=m_To)),1,0)</f>
        <v/>
      </c>
      <c r="AA553" s="36">
        <f>IF(AND(OR(sel_Region="All",C553=sel_Region),OR(sel_Country="All",D553=sel_Country),OR(sel_Channel="All",E553=sel_Channel),OR(sel_Customer="All",F553=sel_Customer),OR(sel_Category="All",G553=sel_Category),OR(sel_Product="All",H553=sel_Product)),1,0)</f>
        <v/>
      </c>
    </row>
    <row r="554">
      <c r="A554" s="36" t="inlineStr">
        <is>
          <t>02911</t>
        </is>
      </c>
      <c r="B554" s="44" t="n">
        <v>46123</v>
      </c>
      <c r="C554" s="36" t="inlineStr">
        <is>
          <t>Northern Europe</t>
        </is>
      </c>
      <c r="D554" s="36" t="inlineStr">
        <is>
          <t>Sweden</t>
        </is>
      </c>
      <c r="E554" s="36" t="inlineStr">
        <is>
          <t>Retail Partners</t>
        </is>
      </c>
      <c r="F554" s="36" t="inlineStr">
        <is>
          <t>New</t>
        </is>
      </c>
      <c r="G554" s="36" t="inlineStr">
        <is>
          <t>Cycling</t>
        </is>
      </c>
      <c r="H554" s="36" t="inlineStr">
        <is>
          <t>Trail Bike Light</t>
        </is>
      </c>
      <c r="I554" s="36" t="n">
        <v>1</v>
      </c>
      <c r="J554" s="39" t="n">
        <v>50.86</v>
      </c>
      <c r="K554" s="45" t="n">
        <v>0.05</v>
      </c>
      <c r="L554" s="39" t="n">
        <v>22.1</v>
      </c>
      <c r="M554" s="39">
        <f>I554*J554*(1-K554)</f>
        <v/>
      </c>
      <c r="N554" s="39">
        <f>I554*L554</f>
        <v/>
      </c>
      <c r="O554" s="39">
        <f>M554-N554</f>
        <v/>
      </c>
      <c r="P554" s="38">
        <f>IF(M554=0,0,O554/M554)</f>
        <v/>
      </c>
      <c r="Q554" s="36">
        <f>YEAR(B554)</f>
        <v/>
      </c>
      <c r="R554" s="36">
        <f>"Q"&amp;ROUNDUP(MONTH(B554)/3,0)</f>
        <v/>
      </c>
      <c r="S554" s="36">
        <f>MONTH(B554)</f>
        <v/>
      </c>
      <c r="T554" s="36">
        <f>TEXT(B554,"mmm")</f>
        <v/>
      </c>
      <c r="U554" s="36">
        <f>IF(AND(OR(sel_Region="All",C554=sel_Region),OR(sel_Country="All",D554=sel_Country),OR(sel_Channel="All",E554=sel_Channel),OR(sel_Customer="All",F554=sel_Customer),OR(sel_Category="All",G554=sel_Category),OR(sel_Product="All",H554=sel_Product),AND(S554&gt;=m_From,S554&lt;=m_To)),1,0)</f>
        <v/>
      </c>
      <c r="V554" s="36">
        <f>IF(AND(OR(sel_Region="All",C554=sel_Region),OR(sel_Channel="All",E554=sel_Channel),OR(sel_Customer="All",F554=sel_Customer),OR(sel_Category="All",G554=sel_Category),OR(sel_Product="All",H554=sel_Product),AND(S554&gt;=m_From,S554&lt;=m_To)),1,0)</f>
        <v/>
      </c>
      <c r="W554" s="36">
        <f>IF(AND(OR(sel_Region="All",C554=sel_Region),OR(sel_Country="All",D554=sel_Country),OR(sel_Customer="All",F554=sel_Customer),OR(sel_Category="All",G554=sel_Category),OR(sel_Product="All",H554=sel_Product),AND(S554&gt;=m_From,S554&lt;=m_To)),1,0)</f>
        <v/>
      </c>
      <c r="X554" s="36">
        <f>IF(AND(OR(sel_Region="All",C554=sel_Region),OR(sel_Country="All",D554=sel_Country),OR(sel_Channel="All",E554=sel_Channel),OR(sel_Category="All",G554=sel_Category),OR(sel_Product="All",H554=sel_Product),AND(S554&gt;=m_From,S554&lt;=m_To)),1,0)</f>
        <v/>
      </c>
      <c r="Y554" s="36">
        <f>IF(AND(OR(sel_Region="All",C554=sel_Region),OR(sel_Country="All",D554=sel_Country),OR(sel_Channel="All",E554=sel_Channel),OR(sel_Customer="All",F554=sel_Customer),OR(sel_Product="All",H554=sel_Product),AND(S554&gt;=m_From,S554&lt;=m_To)),1,0)</f>
        <v/>
      </c>
      <c r="Z554" s="36">
        <f>IF(AND(OR(sel_Region="All",C554=sel_Region),OR(sel_Country="All",D554=sel_Country),OR(sel_Channel="All",E554=sel_Channel),OR(sel_Customer="All",F554=sel_Customer),OR(sel_Category="All",G554=sel_Category),AND(S554&gt;=m_From,S554&lt;=m_To)),1,0)</f>
        <v/>
      </c>
      <c r="AA554" s="36">
        <f>IF(AND(OR(sel_Region="All",C554=sel_Region),OR(sel_Country="All",D554=sel_Country),OR(sel_Channel="All",E554=sel_Channel),OR(sel_Customer="All",F554=sel_Customer),OR(sel_Category="All",G554=sel_Category),OR(sel_Product="All",H554=sel_Product)),1,0)</f>
        <v/>
      </c>
    </row>
    <row r="555">
      <c r="A555" s="36" t="inlineStr">
        <is>
          <t>04276</t>
        </is>
      </c>
      <c r="B555" s="44" t="n">
        <v>46123</v>
      </c>
      <c r="C555" s="36" t="inlineStr">
        <is>
          <t>Western Europe</t>
        </is>
      </c>
      <c r="D555" s="36" t="inlineStr">
        <is>
          <t>United Kingdom</t>
        </is>
      </c>
      <c r="E555" s="36" t="inlineStr">
        <is>
          <t>Online Store</t>
        </is>
      </c>
      <c r="F555" s="36" t="inlineStr">
        <is>
          <t>New</t>
        </is>
      </c>
      <c r="G555" s="36" t="inlineStr">
        <is>
          <t>Travel</t>
        </is>
      </c>
      <c r="H555" s="36" t="inlineStr">
        <is>
          <t>Travel Backpack 35L</t>
        </is>
      </c>
      <c r="I555" s="36" t="n">
        <v>2</v>
      </c>
      <c r="J555" s="39" t="n">
        <v>167.01</v>
      </c>
      <c r="K555" s="45" t="n">
        <v>0</v>
      </c>
      <c r="L555" s="39" t="n">
        <v>89.8</v>
      </c>
      <c r="M555" s="39">
        <f>I555*J555*(1-K555)</f>
        <v/>
      </c>
      <c r="N555" s="39">
        <f>I555*L555</f>
        <v/>
      </c>
      <c r="O555" s="39">
        <f>M555-N555</f>
        <v/>
      </c>
      <c r="P555" s="38">
        <f>IF(M555=0,0,O555/M555)</f>
        <v/>
      </c>
      <c r="Q555" s="36">
        <f>YEAR(B555)</f>
        <v/>
      </c>
      <c r="R555" s="36">
        <f>"Q"&amp;ROUNDUP(MONTH(B555)/3,0)</f>
        <v/>
      </c>
      <c r="S555" s="36">
        <f>MONTH(B555)</f>
        <v/>
      </c>
      <c r="T555" s="36">
        <f>TEXT(B555,"mmm")</f>
        <v/>
      </c>
      <c r="U555" s="36">
        <f>IF(AND(OR(sel_Region="All",C555=sel_Region),OR(sel_Country="All",D555=sel_Country),OR(sel_Channel="All",E555=sel_Channel),OR(sel_Customer="All",F555=sel_Customer),OR(sel_Category="All",G555=sel_Category),OR(sel_Product="All",H555=sel_Product),AND(S555&gt;=m_From,S555&lt;=m_To)),1,0)</f>
        <v/>
      </c>
      <c r="V555" s="36">
        <f>IF(AND(OR(sel_Region="All",C555=sel_Region),OR(sel_Channel="All",E555=sel_Channel),OR(sel_Customer="All",F555=sel_Customer),OR(sel_Category="All",G555=sel_Category),OR(sel_Product="All",H555=sel_Product),AND(S555&gt;=m_From,S555&lt;=m_To)),1,0)</f>
        <v/>
      </c>
      <c r="W555" s="36">
        <f>IF(AND(OR(sel_Region="All",C555=sel_Region),OR(sel_Country="All",D555=sel_Country),OR(sel_Customer="All",F555=sel_Customer),OR(sel_Category="All",G555=sel_Category),OR(sel_Product="All",H555=sel_Product),AND(S555&gt;=m_From,S555&lt;=m_To)),1,0)</f>
        <v/>
      </c>
      <c r="X555" s="36">
        <f>IF(AND(OR(sel_Region="All",C555=sel_Region),OR(sel_Country="All",D555=sel_Country),OR(sel_Channel="All",E555=sel_Channel),OR(sel_Category="All",G555=sel_Category),OR(sel_Product="All",H555=sel_Product),AND(S555&gt;=m_From,S555&lt;=m_To)),1,0)</f>
        <v/>
      </c>
      <c r="Y555" s="36">
        <f>IF(AND(OR(sel_Region="All",C555=sel_Region),OR(sel_Country="All",D555=sel_Country),OR(sel_Channel="All",E555=sel_Channel),OR(sel_Customer="All",F555=sel_Customer),OR(sel_Product="All",H555=sel_Product),AND(S555&gt;=m_From,S555&lt;=m_To)),1,0)</f>
        <v/>
      </c>
      <c r="Z555" s="36">
        <f>IF(AND(OR(sel_Region="All",C555=sel_Region),OR(sel_Country="All",D555=sel_Country),OR(sel_Channel="All",E555=sel_Channel),OR(sel_Customer="All",F555=sel_Customer),OR(sel_Category="All",G555=sel_Category),AND(S555&gt;=m_From,S555&lt;=m_To)),1,0)</f>
        <v/>
      </c>
      <c r="AA555" s="36">
        <f>IF(AND(OR(sel_Region="All",C555=sel_Region),OR(sel_Country="All",D555=sel_Country),OR(sel_Channel="All",E555=sel_Channel),OR(sel_Customer="All",F555=sel_Customer),OR(sel_Category="All",G555=sel_Category),OR(sel_Product="All",H555=sel_Product)),1,0)</f>
        <v/>
      </c>
    </row>
    <row r="556">
      <c r="A556" s="36" t="inlineStr">
        <is>
          <t>05077</t>
        </is>
      </c>
      <c r="B556" s="44" t="n">
        <v>46123</v>
      </c>
      <c r="C556" s="36" t="inlineStr">
        <is>
          <t>Western Europe</t>
        </is>
      </c>
      <c r="D556" s="36" t="inlineStr">
        <is>
          <t>United Kingdom</t>
        </is>
      </c>
      <c r="E556" s="36" t="inlineStr">
        <is>
          <t>Marketplace</t>
        </is>
      </c>
      <c r="F556" s="36" t="inlineStr">
        <is>
          <t>Returning</t>
        </is>
      </c>
      <c r="G556" s="36" t="inlineStr">
        <is>
          <t>Hiking</t>
        </is>
      </c>
      <c r="H556" s="36" t="inlineStr">
        <is>
          <t>Hiking Daypack 20L</t>
        </is>
      </c>
      <c r="I556" s="36" t="n">
        <v>2</v>
      </c>
      <c r="J556" s="39" t="n">
        <v>92.63</v>
      </c>
      <c r="K556" s="45" t="n">
        <v>0.15</v>
      </c>
      <c r="L556" s="39" t="n">
        <v>44.96</v>
      </c>
      <c r="M556" s="39">
        <f>I556*J556*(1-K556)</f>
        <v/>
      </c>
      <c r="N556" s="39">
        <f>I556*L556</f>
        <v/>
      </c>
      <c r="O556" s="39">
        <f>M556-N556</f>
        <v/>
      </c>
      <c r="P556" s="38">
        <f>IF(M556=0,0,O556/M556)</f>
        <v/>
      </c>
      <c r="Q556" s="36">
        <f>YEAR(B556)</f>
        <v/>
      </c>
      <c r="R556" s="36">
        <f>"Q"&amp;ROUNDUP(MONTH(B556)/3,0)</f>
        <v/>
      </c>
      <c r="S556" s="36">
        <f>MONTH(B556)</f>
        <v/>
      </c>
      <c r="T556" s="36">
        <f>TEXT(B556,"mmm")</f>
        <v/>
      </c>
      <c r="U556" s="36">
        <f>IF(AND(OR(sel_Region="All",C556=sel_Region),OR(sel_Country="All",D556=sel_Country),OR(sel_Channel="All",E556=sel_Channel),OR(sel_Customer="All",F556=sel_Customer),OR(sel_Category="All",G556=sel_Category),OR(sel_Product="All",H556=sel_Product),AND(S556&gt;=m_From,S556&lt;=m_To)),1,0)</f>
        <v/>
      </c>
      <c r="V556" s="36">
        <f>IF(AND(OR(sel_Region="All",C556=sel_Region),OR(sel_Channel="All",E556=sel_Channel),OR(sel_Customer="All",F556=sel_Customer),OR(sel_Category="All",G556=sel_Category),OR(sel_Product="All",H556=sel_Product),AND(S556&gt;=m_From,S556&lt;=m_To)),1,0)</f>
        <v/>
      </c>
      <c r="W556" s="36">
        <f>IF(AND(OR(sel_Region="All",C556=sel_Region),OR(sel_Country="All",D556=sel_Country),OR(sel_Customer="All",F556=sel_Customer),OR(sel_Category="All",G556=sel_Category),OR(sel_Product="All",H556=sel_Product),AND(S556&gt;=m_From,S556&lt;=m_To)),1,0)</f>
        <v/>
      </c>
      <c r="X556" s="36">
        <f>IF(AND(OR(sel_Region="All",C556=sel_Region),OR(sel_Country="All",D556=sel_Country),OR(sel_Channel="All",E556=sel_Channel),OR(sel_Category="All",G556=sel_Category),OR(sel_Product="All",H556=sel_Product),AND(S556&gt;=m_From,S556&lt;=m_To)),1,0)</f>
        <v/>
      </c>
      <c r="Y556" s="36">
        <f>IF(AND(OR(sel_Region="All",C556=sel_Region),OR(sel_Country="All",D556=sel_Country),OR(sel_Channel="All",E556=sel_Channel),OR(sel_Customer="All",F556=sel_Customer),OR(sel_Product="All",H556=sel_Product),AND(S556&gt;=m_From,S556&lt;=m_To)),1,0)</f>
        <v/>
      </c>
      <c r="Z556" s="36">
        <f>IF(AND(OR(sel_Region="All",C556=sel_Region),OR(sel_Country="All",D556=sel_Country),OR(sel_Channel="All",E556=sel_Channel),OR(sel_Customer="All",F556=sel_Customer),OR(sel_Category="All",G556=sel_Category),AND(S556&gt;=m_From,S556&lt;=m_To)),1,0)</f>
        <v/>
      </c>
      <c r="AA556" s="36">
        <f>IF(AND(OR(sel_Region="All",C556=sel_Region),OR(sel_Country="All",D556=sel_Country),OR(sel_Channel="All",E556=sel_Channel),OR(sel_Customer="All",F556=sel_Customer),OR(sel_Category="All",G556=sel_Category),OR(sel_Product="All",H556=sel_Product)),1,0)</f>
        <v/>
      </c>
    </row>
    <row r="557">
      <c r="A557" s="36" t="inlineStr">
        <is>
          <t>01259</t>
        </is>
      </c>
      <c r="B557" s="44" t="n">
        <v>46124</v>
      </c>
      <c r="C557" s="36" t="inlineStr">
        <is>
          <t>Central Europe</t>
        </is>
      </c>
      <c r="D557" s="36" t="inlineStr">
        <is>
          <t>Germany</t>
        </is>
      </c>
      <c r="E557" s="36" t="inlineStr">
        <is>
          <t>Marketplace</t>
        </is>
      </c>
      <c r="F557" s="36" t="inlineStr">
        <is>
          <t>New</t>
        </is>
      </c>
      <c r="G557" s="36" t="inlineStr">
        <is>
          <t>Hiking</t>
        </is>
      </c>
      <c r="H557" s="36" t="inlineStr">
        <is>
          <t>Summit Backpack 45L</t>
        </is>
      </c>
      <c r="I557" s="36" t="n">
        <v>2</v>
      </c>
      <c r="J557" s="39" t="n">
        <v>151.01</v>
      </c>
      <c r="K557" s="45" t="n">
        <v>0</v>
      </c>
      <c r="L557" s="39" t="n">
        <v>80.20999999999999</v>
      </c>
      <c r="M557" s="39">
        <f>I557*J557*(1-K557)</f>
        <v/>
      </c>
      <c r="N557" s="39">
        <f>I557*L557</f>
        <v/>
      </c>
      <c r="O557" s="39">
        <f>M557-N557</f>
        <v/>
      </c>
      <c r="P557" s="38">
        <f>IF(M557=0,0,O557/M557)</f>
        <v/>
      </c>
      <c r="Q557" s="36">
        <f>YEAR(B557)</f>
        <v/>
      </c>
      <c r="R557" s="36">
        <f>"Q"&amp;ROUNDUP(MONTH(B557)/3,0)</f>
        <v/>
      </c>
      <c r="S557" s="36">
        <f>MONTH(B557)</f>
        <v/>
      </c>
      <c r="T557" s="36">
        <f>TEXT(B557,"mmm")</f>
        <v/>
      </c>
      <c r="U557" s="36">
        <f>IF(AND(OR(sel_Region="All",C557=sel_Region),OR(sel_Country="All",D557=sel_Country),OR(sel_Channel="All",E557=sel_Channel),OR(sel_Customer="All",F557=sel_Customer),OR(sel_Category="All",G557=sel_Category),OR(sel_Product="All",H557=sel_Product),AND(S557&gt;=m_From,S557&lt;=m_To)),1,0)</f>
        <v/>
      </c>
      <c r="V557" s="36">
        <f>IF(AND(OR(sel_Region="All",C557=sel_Region),OR(sel_Channel="All",E557=sel_Channel),OR(sel_Customer="All",F557=sel_Customer),OR(sel_Category="All",G557=sel_Category),OR(sel_Product="All",H557=sel_Product),AND(S557&gt;=m_From,S557&lt;=m_To)),1,0)</f>
        <v/>
      </c>
      <c r="W557" s="36">
        <f>IF(AND(OR(sel_Region="All",C557=sel_Region),OR(sel_Country="All",D557=sel_Country),OR(sel_Customer="All",F557=sel_Customer),OR(sel_Category="All",G557=sel_Category),OR(sel_Product="All",H557=sel_Product),AND(S557&gt;=m_From,S557&lt;=m_To)),1,0)</f>
        <v/>
      </c>
      <c r="X557" s="36">
        <f>IF(AND(OR(sel_Region="All",C557=sel_Region),OR(sel_Country="All",D557=sel_Country),OR(sel_Channel="All",E557=sel_Channel),OR(sel_Category="All",G557=sel_Category),OR(sel_Product="All",H557=sel_Product),AND(S557&gt;=m_From,S557&lt;=m_To)),1,0)</f>
        <v/>
      </c>
      <c r="Y557" s="36">
        <f>IF(AND(OR(sel_Region="All",C557=sel_Region),OR(sel_Country="All",D557=sel_Country),OR(sel_Channel="All",E557=sel_Channel),OR(sel_Customer="All",F557=sel_Customer),OR(sel_Product="All",H557=sel_Product),AND(S557&gt;=m_From,S557&lt;=m_To)),1,0)</f>
        <v/>
      </c>
      <c r="Z557" s="36">
        <f>IF(AND(OR(sel_Region="All",C557=sel_Region),OR(sel_Country="All",D557=sel_Country),OR(sel_Channel="All",E557=sel_Channel),OR(sel_Customer="All",F557=sel_Customer),OR(sel_Category="All",G557=sel_Category),AND(S557&gt;=m_From,S557&lt;=m_To)),1,0)</f>
        <v/>
      </c>
      <c r="AA557" s="36">
        <f>IF(AND(OR(sel_Region="All",C557=sel_Region),OR(sel_Country="All",D557=sel_Country),OR(sel_Channel="All",E557=sel_Channel),OR(sel_Customer="All",F557=sel_Customer),OR(sel_Category="All",G557=sel_Category),OR(sel_Product="All",H557=sel_Product)),1,0)</f>
        <v/>
      </c>
    </row>
    <row r="558">
      <c r="A558" s="36" t="inlineStr">
        <is>
          <t>01720</t>
        </is>
      </c>
      <c r="B558" s="44" t="n">
        <v>46124</v>
      </c>
      <c r="C558" s="36" t="inlineStr">
        <is>
          <t>Southern Europe</t>
        </is>
      </c>
      <c r="D558" s="36" t="inlineStr">
        <is>
          <t>Italy</t>
        </is>
      </c>
      <c r="E558" s="36" t="inlineStr">
        <is>
          <t>Online Store</t>
        </is>
      </c>
      <c r="F558" s="36" t="inlineStr">
        <is>
          <t>New</t>
        </is>
      </c>
      <c r="G558" s="36" t="inlineStr">
        <is>
          <t>Hiking</t>
        </is>
      </c>
      <c r="H558" s="36" t="inlineStr">
        <is>
          <t>Hiking Daypack 20L</t>
        </is>
      </c>
      <c r="I558" s="36" t="n">
        <v>2</v>
      </c>
      <c r="J558" s="39" t="n">
        <v>92.06999999999999</v>
      </c>
      <c r="K558" s="45" t="n">
        <v>0</v>
      </c>
      <c r="L558" s="39" t="n">
        <v>44.1</v>
      </c>
      <c r="M558" s="39">
        <f>I558*J558*(1-K558)</f>
        <v/>
      </c>
      <c r="N558" s="39">
        <f>I558*L558</f>
        <v/>
      </c>
      <c r="O558" s="39">
        <f>M558-N558</f>
        <v/>
      </c>
      <c r="P558" s="38">
        <f>IF(M558=0,0,O558/M558)</f>
        <v/>
      </c>
      <c r="Q558" s="36">
        <f>YEAR(B558)</f>
        <v/>
      </c>
      <c r="R558" s="36">
        <f>"Q"&amp;ROUNDUP(MONTH(B558)/3,0)</f>
        <v/>
      </c>
      <c r="S558" s="36">
        <f>MONTH(B558)</f>
        <v/>
      </c>
      <c r="T558" s="36">
        <f>TEXT(B558,"mmm")</f>
        <v/>
      </c>
      <c r="U558" s="36">
        <f>IF(AND(OR(sel_Region="All",C558=sel_Region),OR(sel_Country="All",D558=sel_Country),OR(sel_Channel="All",E558=sel_Channel),OR(sel_Customer="All",F558=sel_Customer),OR(sel_Category="All",G558=sel_Category),OR(sel_Product="All",H558=sel_Product),AND(S558&gt;=m_From,S558&lt;=m_To)),1,0)</f>
        <v/>
      </c>
      <c r="V558" s="36">
        <f>IF(AND(OR(sel_Region="All",C558=sel_Region),OR(sel_Channel="All",E558=sel_Channel),OR(sel_Customer="All",F558=sel_Customer),OR(sel_Category="All",G558=sel_Category),OR(sel_Product="All",H558=sel_Product),AND(S558&gt;=m_From,S558&lt;=m_To)),1,0)</f>
        <v/>
      </c>
      <c r="W558" s="36">
        <f>IF(AND(OR(sel_Region="All",C558=sel_Region),OR(sel_Country="All",D558=sel_Country),OR(sel_Customer="All",F558=sel_Customer),OR(sel_Category="All",G558=sel_Category),OR(sel_Product="All",H558=sel_Product),AND(S558&gt;=m_From,S558&lt;=m_To)),1,0)</f>
        <v/>
      </c>
      <c r="X558" s="36">
        <f>IF(AND(OR(sel_Region="All",C558=sel_Region),OR(sel_Country="All",D558=sel_Country),OR(sel_Channel="All",E558=sel_Channel),OR(sel_Category="All",G558=sel_Category),OR(sel_Product="All",H558=sel_Product),AND(S558&gt;=m_From,S558&lt;=m_To)),1,0)</f>
        <v/>
      </c>
      <c r="Y558" s="36">
        <f>IF(AND(OR(sel_Region="All",C558=sel_Region),OR(sel_Country="All",D558=sel_Country),OR(sel_Channel="All",E558=sel_Channel),OR(sel_Customer="All",F558=sel_Customer),OR(sel_Product="All",H558=sel_Product),AND(S558&gt;=m_From,S558&lt;=m_To)),1,0)</f>
        <v/>
      </c>
      <c r="Z558" s="36">
        <f>IF(AND(OR(sel_Region="All",C558=sel_Region),OR(sel_Country="All",D558=sel_Country),OR(sel_Channel="All",E558=sel_Channel),OR(sel_Customer="All",F558=sel_Customer),OR(sel_Category="All",G558=sel_Category),AND(S558&gt;=m_From,S558&lt;=m_To)),1,0)</f>
        <v/>
      </c>
      <c r="AA558" s="36">
        <f>IF(AND(OR(sel_Region="All",C558=sel_Region),OR(sel_Country="All",D558=sel_Country),OR(sel_Channel="All",E558=sel_Channel),OR(sel_Customer="All",F558=sel_Customer),OR(sel_Category="All",G558=sel_Category),OR(sel_Product="All",H558=sel_Product)),1,0)</f>
        <v/>
      </c>
    </row>
    <row r="559">
      <c r="A559" s="36" t="inlineStr">
        <is>
          <t>01975</t>
        </is>
      </c>
      <c r="B559" s="44" t="n">
        <v>46124</v>
      </c>
      <c r="C559" s="36" t="inlineStr">
        <is>
          <t>Southern Europe</t>
        </is>
      </c>
      <c r="D559" s="36" t="inlineStr">
        <is>
          <t>Italy</t>
        </is>
      </c>
      <c r="E559" s="36" t="inlineStr">
        <is>
          <t>Online Store</t>
        </is>
      </c>
      <c r="F559" s="36" t="inlineStr">
        <is>
          <t>Returning</t>
        </is>
      </c>
      <c r="G559" s="36" t="inlineStr">
        <is>
          <t>Fitness</t>
        </is>
      </c>
      <c r="H559" s="36" t="inlineStr">
        <is>
          <t>Recovery Roller</t>
        </is>
      </c>
      <c r="I559" s="36" t="n">
        <v>1</v>
      </c>
      <c r="J559" s="39" t="n">
        <v>36.84</v>
      </c>
      <c r="K559" s="45" t="n">
        <v>0.1</v>
      </c>
      <c r="L559" s="39" t="n">
        <v>13.86</v>
      </c>
      <c r="M559" s="39">
        <f>I559*J559*(1-K559)</f>
        <v/>
      </c>
      <c r="N559" s="39">
        <f>I559*L559</f>
        <v/>
      </c>
      <c r="O559" s="39">
        <f>M559-N559</f>
        <v/>
      </c>
      <c r="P559" s="38">
        <f>IF(M559=0,0,O559/M559)</f>
        <v/>
      </c>
      <c r="Q559" s="36">
        <f>YEAR(B559)</f>
        <v/>
      </c>
      <c r="R559" s="36">
        <f>"Q"&amp;ROUNDUP(MONTH(B559)/3,0)</f>
        <v/>
      </c>
      <c r="S559" s="36">
        <f>MONTH(B559)</f>
        <v/>
      </c>
      <c r="T559" s="36">
        <f>TEXT(B559,"mmm")</f>
        <v/>
      </c>
      <c r="U559" s="36">
        <f>IF(AND(OR(sel_Region="All",C559=sel_Region),OR(sel_Country="All",D559=sel_Country),OR(sel_Channel="All",E559=sel_Channel),OR(sel_Customer="All",F559=sel_Customer),OR(sel_Category="All",G559=sel_Category),OR(sel_Product="All",H559=sel_Product),AND(S559&gt;=m_From,S559&lt;=m_To)),1,0)</f>
        <v/>
      </c>
      <c r="V559" s="36">
        <f>IF(AND(OR(sel_Region="All",C559=sel_Region),OR(sel_Channel="All",E559=sel_Channel),OR(sel_Customer="All",F559=sel_Customer),OR(sel_Category="All",G559=sel_Category),OR(sel_Product="All",H559=sel_Product),AND(S559&gt;=m_From,S559&lt;=m_To)),1,0)</f>
        <v/>
      </c>
      <c r="W559" s="36">
        <f>IF(AND(OR(sel_Region="All",C559=sel_Region),OR(sel_Country="All",D559=sel_Country),OR(sel_Customer="All",F559=sel_Customer),OR(sel_Category="All",G559=sel_Category),OR(sel_Product="All",H559=sel_Product),AND(S559&gt;=m_From,S559&lt;=m_To)),1,0)</f>
        <v/>
      </c>
      <c r="X559" s="36">
        <f>IF(AND(OR(sel_Region="All",C559=sel_Region),OR(sel_Country="All",D559=sel_Country),OR(sel_Channel="All",E559=sel_Channel),OR(sel_Category="All",G559=sel_Category),OR(sel_Product="All",H559=sel_Product),AND(S559&gt;=m_From,S559&lt;=m_To)),1,0)</f>
        <v/>
      </c>
      <c r="Y559" s="36">
        <f>IF(AND(OR(sel_Region="All",C559=sel_Region),OR(sel_Country="All",D559=sel_Country),OR(sel_Channel="All",E559=sel_Channel),OR(sel_Customer="All",F559=sel_Customer),OR(sel_Product="All",H559=sel_Product),AND(S559&gt;=m_From,S559&lt;=m_To)),1,0)</f>
        <v/>
      </c>
      <c r="Z559" s="36">
        <f>IF(AND(OR(sel_Region="All",C559=sel_Region),OR(sel_Country="All",D559=sel_Country),OR(sel_Channel="All",E559=sel_Channel),OR(sel_Customer="All",F559=sel_Customer),OR(sel_Category="All",G559=sel_Category),AND(S559&gt;=m_From,S559&lt;=m_To)),1,0)</f>
        <v/>
      </c>
      <c r="AA559" s="36">
        <f>IF(AND(OR(sel_Region="All",C559=sel_Region),OR(sel_Country="All",D559=sel_Country),OR(sel_Channel="All",E559=sel_Channel),OR(sel_Customer="All",F559=sel_Customer),OR(sel_Category="All",G559=sel_Category),OR(sel_Product="All",H559=sel_Product)),1,0)</f>
        <v/>
      </c>
    </row>
    <row r="560">
      <c r="A560" s="36" t="inlineStr">
        <is>
          <t>02848</t>
        </is>
      </c>
      <c r="B560" s="44" t="n">
        <v>46124</v>
      </c>
      <c r="C560" s="36" t="inlineStr">
        <is>
          <t>Central Europe</t>
        </is>
      </c>
      <c r="D560" s="36" t="inlineStr">
        <is>
          <t>Austria</t>
        </is>
      </c>
      <c r="E560" s="36" t="inlineStr">
        <is>
          <t>Online Store</t>
        </is>
      </c>
      <c r="F560" s="36" t="inlineStr">
        <is>
          <t>New</t>
        </is>
      </c>
      <c r="G560" s="36" t="inlineStr">
        <is>
          <t>Hiking</t>
        </is>
      </c>
      <c r="H560" s="36" t="inlineStr">
        <is>
          <t>Trekking Poles</t>
        </is>
      </c>
      <c r="I560" s="36" t="n">
        <v>1</v>
      </c>
      <c r="J560" s="39" t="n">
        <v>71.64</v>
      </c>
      <c r="K560" s="45" t="n">
        <v>0.05</v>
      </c>
      <c r="L560" s="39" t="n">
        <v>32.73</v>
      </c>
      <c r="M560" s="39">
        <f>I560*J560*(1-K560)</f>
        <v/>
      </c>
      <c r="N560" s="39">
        <f>I560*L560</f>
        <v/>
      </c>
      <c r="O560" s="39">
        <f>M560-N560</f>
        <v/>
      </c>
      <c r="P560" s="38">
        <f>IF(M560=0,0,O560/M560)</f>
        <v/>
      </c>
      <c r="Q560" s="36">
        <f>YEAR(B560)</f>
        <v/>
      </c>
      <c r="R560" s="36">
        <f>"Q"&amp;ROUNDUP(MONTH(B560)/3,0)</f>
        <v/>
      </c>
      <c r="S560" s="36">
        <f>MONTH(B560)</f>
        <v/>
      </c>
      <c r="T560" s="36">
        <f>TEXT(B560,"mmm")</f>
        <v/>
      </c>
      <c r="U560" s="36">
        <f>IF(AND(OR(sel_Region="All",C560=sel_Region),OR(sel_Country="All",D560=sel_Country),OR(sel_Channel="All",E560=sel_Channel),OR(sel_Customer="All",F560=sel_Customer),OR(sel_Category="All",G560=sel_Category),OR(sel_Product="All",H560=sel_Product),AND(S560&gt;=m_From,S560&lt;=m_To)),1,0)</f>
        <v/>
      </c>
      <c r="V560" s="36">
        <f>IF(AND(OR(sel_Region="All",C560=sel_Region),OR(sel_Channel="All",E560=sel_Channel),OR(sel_Customer="All",F560=sel_Customer),OR(sel_Category="All",G560=sel_Category),OR(sel_Product="All",H560=sel_Product),AND(S560&gt;=m_From,S560&lt;=m_To)),1,0)</f>
        <v/>
      </c>
      <c r="W560" s="36">
        <f>IF(AND(OR(sel_Region="All",C560=sel_Region),OR(sel_Country="All",D560=sel_Country),OR(sel_Customer="All",F560=sel_Customer),OR(sel_Category="All",G560=sel_Category),OR(sel_Product="All",H560=sel_Product),AND(S560&gt;=m_From,S560&lt;=m_To)),1,0)</f>
        <v/>
      </c>
      <c r="X560" s="36">
        <f>IF(AND(OR(sel_Region="All",C560=sel_Region),OR(sel_Country="All",D560=sel_Country),OR(sel_Channel="All",E560=sel_Channel),OR(sel_Category="All",G560=sel_Category),OR(sel_Product="All",H560=sel_Product),AND(S560&gt;=m_From,S560&lt;=m_To)),1,0)</f>
        <v/>
      </c>
      <c r="Y560" s="36">
        <f>IF(AND(OR(sel_Region="All",C560=sel_Region),OR(sel_Country="All",D560=sel_Country),OR(sel_Channel="All",E560=sel_Channel),OR(sel_Customer="All",F560=sel_Customer),OR(sel_Product="All",H560=sel_Product),AND(S560&gt;=m_From,S560&lt;=m_To)),1,0)</f>
        <v/>
      </c>
      <c r="Z560" s="36">
        <f>IF(AND(OR(sel_Region="All",C560=sel_Region),OR(sel_Country="All",D560=sel_Country),OR(sel_Channel="All",E560=sel_Channel),OR(sel_Customer="All",F560=sel_Customer),OR(sel_Category="All",G560=sel_Category),AND(S560&gt;=m_From,S560&lt;=m_To)),1,0)</f>
        <v/>
      </c>
      <c r="AA560" s="36">
        <f>IF(AND(OR(sel_Region="All",C560=sel_Region),OR(sel_Country="All",D560=sel_Country),OR(sel_Channel="All",E560=sel_Channel),OR(sel_Customer="All",F560=sel_Customer),OR(sel_Category="All",G560=sel_Category),OR(sel_Product="All",H560=sel_Product)),1,0)</f>
        <v/>
      </c>
    </row>
    <row r="561">
      <c r="A561" s="36" t="inlineStr">
        <is>
          <t>02979</t>
        </is>
      </c>
      <c r="B561" s="44" t="n">
        <v>46124</v>
      </c>
      <c r="C561" s="36" t="inlineStr">
        <is>
          <t>Central Europe</t>
        </is>
      </c>
      <c r="D561" s="36" t="inlineStr">
        <is>
          <t>Poland</t>
        </is>
      </c>
      <c r="E561" s="36" t="inlineStr">
        <is>
          <t>Online Store</t>
        </is>
      </c>
      <c r="F561" s="36" t="inlineStr">
        <is>
          <t>New</t>
        </is>
      </c>
      <c r="G561" s="36" t="inlineStr">
        <is>
          <t>Fitness</t>
        </is>
      </c>
      <c r="H561" s="36" t="inlineStr">
        <is>
          <t>Weighted Vest</t>
        </is>
      </c>
      <c r="I561" s="36" t="n">
        <v>1</v>
      </c>
      <c r="J561" s="39" t="n">
        <v>124.18</v>
      </c>
      <c r="K561" s="45" t="n">
        <v>0</v>
      </c>
      <c r="L561" s="39" t="n">
        <v>67.42</v>
      </c>
      <c r="M561" s="39">
        <f>I561*J561*(1-K561)</f>
        <v/>
      </c>
      <c r="N561" s="39">
        <f>I561*L561</f>
        <v/>
      </c>
      <c r="O561" s="39">
        <f>M561-N561</f>
        <v/>
      </c>
      <c r="P561" s="38">
        <f>IF(M561=0,0,O561/M561)</f>
        <v/>
      </c>
      <c r="Q561" s="36">
        <f>YEAR(B561)</f>
        <v/>
      </c>
      <c r="R561" s="36">
        <f>"Q"&amp;ROUNDUP(MONTH(B561)/3,0)</f>
        <v/>
      </c>
      <c r="S561" s="36">
        <f>MONTH(B561)</f>
        <v/>
      </c>
      <c r="T561" s="36">
        <f>TEXT(B561,"mmm")</f>
        <v/>
      </c>
      <c r="U561" s="36">
        <f>IF(AND(OR(sel_Region="All",C561=sel_Region),OR(sel_Country="All",D561=sel_Country),OR(sel_Channel="All",E561=sel_Channel),OR(sel_Customer="All",F561=sel_Customer),OR(sel_Category="All",G561=sel_Category),OR(sel_Product="All",H561=sel_Product),AND(S561&gt;=m_From,S561&lt;=m_To)),1,0)</f>
        <v/>
      </c>
      <c r="V561" s="36">
        <f>IF(AND(OR(sel_Region="All",C561=sel_Region),OR(sel_Channel="All",E561=sel_Channel),OR(sel_Customer="All",F561=sel_Customer),OR(sel_Category="All",G561=sel_Category),OR(sel_Product="All",H561=sel_Product),AND(S561&gt;=m_From,S561&lt;=m_To)),1,0)</f>
        <v/>
      </c>
      <c r="W561" s="36">
        <f>IF(AND(OR(sel_Region="All",C561=sel_Region),OR(sel_Country="All",D561=sel_Country),OR(sel_Customer="All",F561=sel_Customer),OR(sel_Category="All",G561=sel_Category),OR(sel_Product="All",H561=sel_Product),AND(S561&gt;=m_From,S561&lt;=m_To)),1,0)</f>
        <v/>
      </c>
      <c r="X561" s="36">
        <f>IF(AND(OR(sel_Region="All",C561=sel_Region),OR(sel_Country="All",D561=sel_Country),OR(sel_Channel="All",E561=sel_Channel),OR(sel_Category="All",G561=sel_Category),OR(sel_Product="All",H561=sel_Product),AND(S561&gt;=m_From,S561&lt;=m_To)),1,0)</f>
        <v/>
      </c>
      <c r="Y561" s="36">
        <f>IF(AND(OR(sel_Region="All",C561=sel_Region),OR(sel_Country="All",D561=sel_Country),OR(sel_Channel="All",E561=sel_Channel),OR(sel_Customer="All",F561=sel_Customer),OR(sel_Product="All",H561=sel_Product),AND(S561&gt;=m_From,S561&lt;=m_To)),1,0)</f>
        <v/>
      </c>
      <c r="Z561" s="36">
        <f>IF(AND(OR(sel_Region="All",C561=sel_Region),OR(sel_Country="All",D561=sel_Country),OR(sel_Channel="All",E561=sel_Channel),OR(sel_Customer="All",F561=sel_Customer),OR(sel_Category="All",G561=sel_Category),AND(S561&gt;=m_From,S561&lt;=m_To)),1,0)</f>
        <v/>
      </c>
      <c r="AA561" s="36">
        <f>IF(AND(OR(sel_Region="All",C561=sel_Region),OR(sel_Country="All",D561=sel_Country),OR(sel_Channel="All",E561=sel_Channel),OR(sel_Customer="All",F561=sel_Customer),OR(sel_Category="All",G561=sel_Category),OR(sel_Product="All",H561=sel_Product)),1,0)</f>
        <v/>
      </c>
    </row>
    <row r="562">
      <c r="A562" s="36" t="inlineStr">
        <is>
          <t>02996</t>
        </is>
      </c>
      <c r="B562" s="44" t="n">
        <v>46124</v>
      </c>
      <c r="C562" s="36" t="inlineStr">
        <is>
          <t>Central Europe</t>
        </is>
      </c>
      <c r="D562" s="36" t="inlineStr">
        <is>
          <t>Germany</t>
        </is>
      </c>
      <c r="E562" s="36" t="inlineStr">
        <is>
          <t>Retail Partners</t>
        </is>
      </c>
      <c r="F562" s="36" t="inlineStr">
        <is>
          <t>New</t>
        </is>
      </c>
      <c r="G562" s="36" t="inlineStr">
        <is>
          <t>Travel</t>
        </is>
      </c>
      <c r="H562" s="36" t="inlineStr">
        <is>
          <t>Carry-On Duffel</t>
        </is>
      </c>
      <c r="I562" s="36" t="n">
        <v>1</v>
      </c>
      <c r="J562" s="39" t="n">
        <v>134.95</v>
      </c>
      <c r="K562" s="45" t="n">
        <v>0</v>
      </c>
      <c r="L562" s="39" t="n">
        <v>67.84999999999999</v>
      </c>
      <c r="M562" s="39">
        <f>I562*J562*(1-K562)</f>
        <v/>
      </c>
      <c r="N562" s="39">
        <f>I562*L562</f>
        <v/>
      </c>
      <c r="O562" s="39">
        <f>M562-N562</f>
        <v/>
      </c>
      <c r="P562" s="38">
        <f>IF(M562=0,0,O562/M562)</f>
        <v/>
      </c>
      <c r="Q562" s="36">
        <f>YEAR(B562)</f>
        <v/>
      </c>
      <c r="R562" s="36">
        <f>"Q"&amp;ROUNDUP(MONTH(B562)/3,0)</f>
        <v/>
      </c>
      <c r="S562" s="36">
        <f>MONTH(B562)</f>
        <v/>
      </c>
      <c r="T562" s="36">
        <f>TEXT(B562,"mmm")</f>
        <v/>
      </c>
      <c r="U562" s="36">
        <f>IF(AND(OR(sel_Region="All",C562=sel_Region),OR(sel_Country="All",D562=sel_Country),OR(sel_Channel="All",E562=sel_Channel),OR(sel_Customer="All",F562=sel_Customer),OR(sel_Category="All",G562=sel_Category),OR(sel_Product="All",H562=sel_Product),AND(S562&gt;=m_From,S562&lt;=m_To)),1,0)</f>
        <v/>
      </c>
      <c r="V562" s="36">
        <f>IF(AND(OR(sel_Region="All",C562=sel_Region),OR(sel_Channel="All",E562=sel_Channel),OR(sel_Customer="All",F562=sel_Customer),OR(sel_Category="All",G562=sel_Category),OR(sel_Product="All",H562=sel_Product),AND(S562&gt;=m_From,S562&lt;=m_To)),1,0)</f>
        <v/>
      </c>
      <c r="W562" s="36">
        <f>IF(AND(OR(sel_Region="All",C562=sel_Region),OR(sel_Country="All",D562=sel_Country),OR(sel_Customer="All",F562=sel_Customer),OR(sel_Category="All",G562=sel_Category),OR(sel_Product="All",H562=sel_Product),AND(S562&gt;=m_From,S562&lt;=m_To)),1,0)</f>
        <v/>
      </c>
      <c r="X562" s="36">
        <f>IF(AND(OR(sel_Region="All",C562=sel_Region),OR(sel_Country="All",D562=sel_Country),OR(sel_Channel="All",E562=sel_Channel),OR(sel_Category="All",G562=sel_Category),OR(sel_Product="All",H562=sel_Product),AND(S562&gt;=m_From,S562&lt;=m_To)),1,0)</f>
        <v/>
      </c>
      <c r="Y562" s="36">
        <f>IF(AND(OR(sel_Region="All",C562=sel_Region),OR(sel_Country="All",D562=sel_Country),OR(sel_Channel="All",E562=sel_Channel),OR(sel_Customer="All",F562=sel_Customer),OR(sel_Product="All",H562=sel_Product),AND(S562&gt;=m_From,S562&lt;=m_To)),1,0)</f>
        <v/>
      </c>
      <c r="Z562" s="36">
        <f>IF(AND(OR(sel_Region="All",C562=sel_Region),OR(sel_Country="All",D562=sel_Country),OR(sel_Channel="All",E562=sel_Channel),OR(sel_Customer="All",F562=sel_Customer),OR(sel_Category="All",G562=sel_Category),AND(S562&gt;=m_From,S562&lt;=m_To)),1,0)</f>
        <v/>
      </c>
      <c r="AA562" s="36">
        <f>IF(AND(OR(sel_Region="All",C562=sel_Region),OR(sel_Country="All",D562=sel_Country),OR(sel_Channel="All",E562=sel_Channel),OR(sel_Customer="All",F562=sel_Customer),OR(sel_Category="All",G562=sel_Category),OR(sel_Product="All",H562=sel_Product)),1,0)</f>
        <v/>
      </c>
    </row>
    <row r="563">
      <c r="A563" s="36" t="inlineStr">
        <is>
          <t>00749</t>
        </is>
      </c>
      <c r="B563" s="44" t="n">
        <v>46125</v>
      </c>
      <c r="C563" s="36" t="inlineStr">
        <is>
          <t>Southern Europe</t>
        </is>
      </c>
      <c r="D563" s="36" t="inlineStr">
        <is>
          <t>Italy</t>
        </is>
      </c>
      <c r="E563" s="36" t="inlineStr">
        <is>
          <t>Online Store</t>
        </is>
      </c>
      <c r="F563" s="36" t="inlineStr">
        <is>
          <t>New</t>
        </is>
      </c>
      <c r="G563" s="36" t="inlineStr">
        <is>
          <t>Camping</t>
        </is>
      </c>
      <c r="H563" s="36" t="inlineStr">
        <is>
          <t>Compact Sleeping Bag</t>
        </is>
      </c>
      <c r="I563" s="36" t="n">
        <v>2</v>
      </c>
      <c r="J563" s="39" t="n">
        <v>124</v>
      </c>
      <c r="K563" s="45" t="n">
        <v>0</v>
      </c>
      <c r="L563" s="39" t="n">
        <v>60.14</v>
      </c>
      <c r="M563" s="39">
        <f>I563*J563*(1-K563)</f>
        <v/>
      </c>
      <c r="N563" s="39">
        <f>I563*L563</f>
        <v/>
      </c>
      <c r="O563" s="39">
        <f>M563-N563</f>
        <v/>
      </c>
      <c r="P563" s="38">
        <f>IF(M563=0,0,O563/M563)</f>
        <v/>
      </c>
      <c r="Q563" s="36">
        <f>YEAR(B563)</f>
        <v/>
      </c>
      <c r="R563" s="36">
        <f>"Q"&amp;ROUNDUP(MONTH(B563)/3,0)</f>
        <v/>
      </c>
      <c r="S563" s="36">
        <f>MONTH(B563)</f>
        <v/>
      </c>
      <c r="T563" s="36">
        <f>TEXT(B563,"mmm")</f>
        <v/>
      </c>
      <c r="U563" s="36">
        <f>IF(AND(OR(sel_Region="All",C563=sel_Region),OR(sel_Country="All",D563=sel_Country),OR(sel_Channel="All",E563=sel_Channel),OR(sel_Customer="All",F563=sel_Customer),OR(sel_Category="All",G563=sel_Category),OR(sel_Product="All",H563=sel_Product),AND(S563&gt;=m_From,S563&lt;=m_To)),1,0)</f>
        <v/>
      </c>
      <c r="V563" s="36">
        <f>IF(AND(OR(sel_Region="All",C563=sel_Region),OR(sel_Channel="All",E563=sel_Channel),OR(sel_Customer="All",F563=sel_Customer),OR(sel_Category="All",G563=sel_Category),OR(sel_Product="All",H563=sel_Product),AND(S563&gt;=m_From,S563&lt;=m_To)),1,0)</f>
        <v/>
      </c>
      <c r="W563" s="36">
        <f>IF(AND(OR(sel_Region="All",C563=sel_Region),OR(sel_Country="All",D563=sel_Country),OR(sel_Customer="All",F563=sel_Customer),OR(sel_Category="All",G563=sel_Category),OR(sel_Product="All",H563=sel_Product),AND(S563&gt;=m_From,S563&lt;=m_To)),1,0)</f>
        <v/>
      </c>
      <c r="X563" s="36">
        <f>IF(AND(OR(sel_Region="All",C563=sel_Region),OR(sel_Country="All",D563=sel_Country),OR(sel_Channel="All",E563=sel_Channel),OR(sel_Category="All",G563=sel_Category),OR(sel_Product="All",H563=sel_Product),AND(S563&gt;=m_From,S563&lt;=m_To)),1,0)</f>
        <v/>
      </c>
      <c r="Y563" s="36">
        <f>IF(AND(OR(sel_Region="All",C563=sel_Region),OR(sel_Country="All",D563=sel_Country),OR(sel_Channel="All",E563=sel_Channel),OR(sel_Customer="All",F563=sel_Customer),OR(sel_Product="All",H563=sel_Product),AND(S563&gt;=m_From,S563&lt;=m_To)),1,0)</f>
        <v/>
      </c>
      <c r="Z563" s="36">
        <f>IF(AND(OR(sel_Region="All",C563=sel_Region),OR(sel_Country="All",D563=sel_Country),OR(sel_Channel="All",E563=sel_Channel),OR(sel_Customer="All",F563=sel_Customer),OR(sel_Category="All",G563=sel_Category),AND(S563&gt;=m_From,S563&lt;=m_To)),1,0)</f>
        <v/>
      </c>
      <c r="AA563" s="36">
        <f>IF(AND(OR(sel_Region="All",C563=sel_Region),OR(sel_Country="All",D563=sel_Country),OR(sel_Channel="All",E563=sel_Channel),OR(sel_Customer="All",F563=sel_Customer),OR(sel_Category="All",G563=sel_Category),OR(sel_Product="All",H563=sel_Product)),1,0)</f>
        <v/>
      </c>
    </row>
    <row r="564">
      <c r="A564" s="36" t="inlineStr">
        <is>
          <t>01928</t>
        </is>
      </c>
      <c r="B564" s="44" t="n">
        <v>46125</v>
      </c>
      <c r="C564" s="36" t="inlineStr">
        <is>
          <t>Western Europe</t>
        </is>
      </c>
      <c r="D564" s="36" t="inlineStr">
        <is>
          <t>France</t>
        </is>
      </c>
      <c r="E564" s="36" t="inlineStr">
        <is>
          <t>Marketplace</t>
        </is>
      </c>
      <c r="F564" s="36" t="inlineStr">
        <is>
          <t>Returning</t>
        </is>
      </c>
      <c r="G564" s="36" t="inlineStr">
        <is>
          <t>Fitness</t>
        </is>
      </c>
      <c r="H564" s="36" t="inlineStr">
        <is>
          <t>Training Mat</t>
        </is>
      </c>
      <c r="I564" s="36" t="n">
        <v>2</v>
      </c>
      <c r="J564" s="39" t="n">
        <v>50.2</v>
      </c>
      <c r="K564" s="45" t="n">
        <v>0.1</v>
      </c>
      <c r="L564" s="39" t="n">
        <v>21.48</v>
      </c>
      <c r="M564" s="39">
        <f>I564*J564*(1-K564)</f>
        <v/>
      </c>
      <c r="N564" s="39">
        <f>I564*L564</f>
        <v/>
      </c>
      <c r="O564" s="39">
        <f>M564-N564</f>
        <v/>
      </c>
      <c r="P564" s="38">
        <f>IF(M564=0,0,O564/M564)</f>
        <v/>
      </c>
      <c r="Q564" s="36">
        <f>YEAR(B564)</f>
        <v/>
      </c>
      <c r="R564" s="36">
        <f>"Q"&amp;ROUNDUP(MONTH(B564)/3,0)</f>
        <v/>
      </c>
      <c r="S564" s="36">
        <f>MONTH(B564)</f>
        <v/>
      </c>
      <c r="T564" s="36">
        <f>TEXT(B564,"mmm")</f>
        <v/>
      </c>
      <c r="U564" s="36">
        <f>IF(AND(OR(sel_Region="All",C564=sel_Region),OR(sel_Country="All",D564=sel_Country),OR(sel_Channel="All",E564=sel_Channel),OR(sel_Customer="All",F564=sel_Customer),OR(sel_Category="All",G564=sel_Category),OR(sel_Product="All",H564=sel_Product),AND(S564&gt;=m_From,S564&lt;=m_To)),1,0)</f>
        <v/>
      </c>
      <c r="V564" s="36">
        <f>IF(AND(OR(sel_Region="All",C564=sel_Region),OR(sel_Channel="All",E564=sel_Channel),OR(sel_Customer="All",F564=sel_Customer),OR(sel_Category="All",G564=sel_Category),OR(sel_Product="All",H564=sel_Product),AND(S564&gt;=m_From,S564&lt;=m_To)),1,0)</f>
        <v/>
      </c>
      <c r="W564" s="36">
        <f>IF(AND(OR(sel_Region="All",C564=sel_Region),OR(sel_Country="All",D564=sel_Country),OR(sel_Customer="All",F564=sel_Customer),OR(sel_Category="All",G564=sel_Category),OR(sel_Product="All",H564=sel_Product),AND(S564&gt;=m_From,S564&lt;=m_To)),1,0)</f>
        <v/>
      </c>
      <c r="X564" s="36">
        <f>IF(AND(OR(sel_Region="All",C564=sel_Region),OR(sel_Country="All",D564=sel_Country),OR(sel_Channel="All",E564=sel_Channel),OR(sel_Category="All",G564=sel_Category),OR(sel_Product="All",H564=sel_Product),AND(S564&gt;=m_From,S564&lt;=m_To)),1,0)</f>
        <v/>
      </c>
      <c r="Y564" s="36">
        <f>IF(AND(OR(sel_Region="All",C564=sel_Region),OR(sel_Country="All",D564=sel_Country),OR(sel_Channel="All",E564=sel_Channel),OR(sel_Customer="All",F564=sel_Customer),OR(sel_Product="All",H564=sel_Product),AND(S564&gt;=m_From,S564&lt;=m_To)),1,0)</f>
        <v/>
      </c>
      <c r="Z564" s="36">
        <f>IF(AND(OR(sel_Region="All",C564=sel_Region),OR(sel_Country="All",D564=sel_Country),OR(sel_Channel="All",E564=sel_Channel),OR(sel_Customer="All",F564=sel_Customer),OR(sel_Category="All",G564=sel_Category),AND(S564&gt;=m_From,S564&lt;=m_To)),1,0)</f>
        <v/>
      </c>
      <c r="AA564" s="36">
        <f>IF(AND(OR(sel_Region="All",C564=sel_Region),OR(sel_Country="All",D564=sel_Country),OR(sel_Channel="All",E564=sel_Channel),OR(sel_Customer="All",F564=sel_Customer),OR(sel_Category="All",G564=sel_Category),OR(sel_Product="All",H564=sel_Product)),1,0)</f>
        <v/>
      </c>
    </row>
    <row r="565">
      <c r="A565" s="36" t="inlineStr">
        <is>
          <t>02486</t>
        </is>
      </c>
      <c r="B565" s="44" t="n">
        <v>46125</v>
      </c>
      <c r="C565" s="36" t="inlineStr">
        <is>
          <t>Central Europe</t>
        </is>
      </c>
      <c r="D565" s="36" t="inlineStr">
        <is>
          <t>Switzerland</t>
        </is>
      </c>
      <c r="E565" s="36" t="inlineStr">
        <is>
          <t>Online Store</t>
        </is>
      </c>
      <c r="F565" s="36" t="inlineStr">
        <is>
          <t>Business</t>
        </is>
      </c>
      <c r="G565" s="36" t="inlineStr">
        <is>
          <t>Hiking</t>
        </is>
      </c>
      <c r="H565" s="36" t="inlineStr">
        <is>
          <t>Hiking Daypack 20L</t>
        </is>
      </c>
      <c r="I565" s="36" t="n">
        <v>1</v>
      </c>
      <c r="J565" s="39" t="n">
        <v>93.65000000000001</v>
      </c>
      <c r="K565" s="45" t="n">
        <v>0</v>
      </c>
      <c r="L565" s="39" t="n">
        <v>44.15</v>
      </c>
      <c r="M565" s="39">
        <f>I565*J565*(1-K565)</f>
        <v/>
      </c>
      <c r="N565" s="39">
        <f>I565*L565</f>
        <v/>
      </c>
      <c r="O565" s="39">
        <f>M565-N565</f>
        <v/>
      </c>
      <c r="P565" s="38">
        <f>IF(M565=0,0,O565/M565)</f>
        <v/>
      </c>
      <c r="Q565" s="36">
        <f>YEAR(B565)</f>
        <v/>
      </c>
      <c r="R565" s="36">
        <f>"Q"&amp;ROUNDUP(MONTH(B565)/3,0)</f>
        <v/>
      </c>
      <c r="S565" s="36">
        <f>MONTH(B565)</f>
        <v/>
      </c>
      <c r="T565" s="36">
        <f>TEXT(B565,"mmm")</f>
        <v/>
      </c>
      <c r="U565" s="36">
        <f>IF(AND(OR(sel_Region="All",C565=sel_Region),OR(sel_Country="All",D565=sel_Country),OR(sel_Channel="All",E565=sel_Channel),OR(sel_Customer="All",F565=sel_Customer),OR(sel_Category="All",G565=sel_Category),OR(sel_Product="All",H565=sel_Product),AND(S565&gt;=m_From,S565&lt;=m_To)),1,0)</f>
        <v/>
      </c>
      <c r="V565" s="36">
        <f>IF(AND(OR(sel_Region="All",C565=sel_Region),OR(sel_Channel="All",E565=sel_Channel),OR(sel_Customer="All",F565=sel_Customer),OR(sel_Category="All",G565=sel_Category),OR(sel_Product="All",H565=sel_Product),AND(S565&gt;=m_From,S565&lt;=m_To)),1,0)</f>
        <v/>
      </c>
      <c r="W565" s="36">
        <f>IF(AND(OR(sel_Region="All",C565=sel_Region),OR(sel_Country="All",D565=sel_Country),OR(sel_Customer="All",F565=sel_Customer),OR(sel_Category="All",G565=sel_Category),OR(sel_Product="All",H565=sel_Product),AND(S565&gt;=m_From,S565&lt;=m_To)),1,0)</f>
        <v/>
      </c>
      <c r="X565" s="36">
        <f>IF(AND(OR(sel_Region="All",C565=sel_Region),OR(sel_Country="All",D565=sel_Country),OR(sel_Channel="All",E565=sel_Channel),OR(sel_Category="All",G565=sel_Category),OR(sel_Product="All",H565=sel_Product),AND(S565&gt;=m_From,S565&lt;=m_To)),1,0)</f>
        <v/>
      </c>
      <c r="Y565" s="36">
        <f>IF(AND(OR(sel_Region="All",C565=sel_Region),OR(sel_Country="All",D565=sel_Country),OR(sel_Channel="All",E565=sel_Channel),OR(sel_Customer="All",F565=sel_Customer),OR(sel_Product="All",H565=sel_Product),AND(S565&gt;=m_From,S565&lt;=m_To)),1,0)</f>
        <v/>
      </c>
      <c r="Z565" s="36">
        <f>IF(AND(OR(sel_Region="All",C565=sel_Region),OR(sel_Country="All",D565=sel_Country),OR(sel_Channel="All",E565=sel_Channel),OR(sel_Customer="All",F565=sel_Customer),OR(sel_Category="All",G565=sel_Category),AND(S565&gt;=m_From,S565&lt;=m_To)),1,0)</f>
        <v/>
      </c>
      <c r="AA565" s="36">
        <f>IF(AND(OR(sel_Region="All",C565=sel_Region),OR(sel_Country="All",D565=sel_Country),OR(sel_Channel="All",E565=sel_Channel),OR(sel_Customer="All",F565=sel_Customer),OR(sel_Category="All",G565=sel_Category),OR(sel_Product="All",H565=sel_Product)),1,0)</f>
        <v/>
      </c>
    </row>
    <row r="566">
      <c r="A566" s="36" t="inlineStr">
        <is>
          <t>02688</t>
        </is>
      </c>
      <c r="B566" s="44" t="n">
        <v>46125</v>
      </c>
      <c r="C566" s="36" t="inlineStr">
        <is>
          <t>Northern Europe</t>
        </is>
      </c>
      <c r="D566" s="36" t="inlineStr">
        <is>
          <t>Norway</t>
        </is>
      </c>
      <c r="E566" s="36" t="inlineStr">
        <is>
          <t>Marketplace</t>
        </is>
      </c>
      <c r="F566" s="36" t="inlineStr">
        <is>
          <t>New</t>
        </is>
      </c>
      <c r="G566" s="36" t="inlineStr">
        <is>
          <t>Travel</t>
        </is>
      </c>
      <c r="H566" s="36" t="inlineStr">
        <is>
          <t>Packing Cube Set</t>
        </is>
      </c>
      <c r="I566" s="36" t="n">
        <v>5</v>
      </c>
      <c r="J566" s="39" t="n">
        <v>47.25</v>
      </c>
      <c r="K566" s="45" t="n">
        <v>0.1</v>
      </c>
      <c r="L566" s="39" t="n">
        <v>17.93</v>
      </c>
      <c r="M566" s="39">
        <f>I566*J566*(1-K566)</f>
        <v/>
      </c>
      <c r="N566" s="39">
        <f>I566*L566</f>
        <v/>
      </c>
      <c r="O566" s="39">
        <f>M566-N566</f>
        <v/>
      </c>
      <c r="P566" s="38">
        <f>IF(M566=0,0,O566/M566)</f>
        <v/>
      </c>
      <c r="Q566" s="36">
        <f>YEAR(B566)</f>
        <v/>
      </c>
      <c r="R566" s="36">
        <f>"Q"&amp;ROUNDUP(MONTH(B566)/3,0)</f>
        <v/>
      </c>
      <c r="S566" s="36">
        <f>MONTH(B566)</f>
        <v/>
      </c>
      <c r="T566" s="36">
        <f>TEXT(B566,"mmm")</f>
        <v/>
      </c>
      <c r="U566" s="36">
        <f>IF(AND(OR(sel_Region="All",C566=sel_Region),OR(sel_Country="All",D566=sel_Country),OR(sel_Channel="All",E566=sel_Channel),OR(sel_Customer="All",F566=sel_Customer),OR(sel_Category="All",G566=sel_Category),OR(sel_Product="All",H566=sel_Product),AND(S566&gt;=m_From,S566&lt;=m_To)),1,0)</f>
        <v/>
      </c>
      <c r="V566" s="36">
        <f>IF(AND(OR(sel_Region="All",C566=sel_Region),OR(sel_Channel="All",E566=sel_Channel),OR(sel_Customer="All",F566=sel_Customer),OR(sel_Category="All",G566=sel_Category),OR(sel_Product="All",H566=sel_Product),AND(S566&gt;=m_From,S566&lt;=m_To)),1,0)</f>
        <v/>
      </c>
      <c r="W566" s="36">
        <f>IF(AND(OR(sel_Region="All",C566=sel_Region),OR(sel_Country="All",D566=sel_Country),OR(sel_Customer="All",F566=sel_Customer),OR(sel_Category="All",G566=sel_Category),OR(sel_Product="All",H566=sel_Product),AND(S566&gt;=m_From,S566&lt;=m_To)),1,0)</f>
        <v/>
      </c>
      <c r="X566" s="36">
        <f>IF(AND(OR(sel_Region="All",C566=sel_Region),OR(sel_Country="All",D566=sel_Country),OR(sel_Channel="All",E566=sel_Channel),OR(sel_Category="All",G566=sel_Category),OR(sel_Product="All",H566=sel_Product),AND(S566&gt;=m_From,S566&lt;=m_To)),1,0)</f>
        <v/>
      </c>
      <c r="Y566" s="36">
        <f>IF(AND(OR(sel_Region="All",C566=sel_Region),OR(sel_Country="All",D566=sel_Country),OR(sel_Channel="All",E566=sel_Channel),OR(sel_Customer="All",F566=sel_Customer),OR(sel_Product="All",H566=sel_Product),AND(S566&gt;=m_From,S566&lt;=m_To)),1,0)</f>
        <v/>
      </c>
      <c r="Z566" s="36">
        <f>IF(AND(OR(sel_Region="All",C566=sel_Region),OR(sel_Country="All",D566=sel_Country),OR(sel_Channel="All",E566=sel_Channel),OR(sel_Customer="All",F566=sel_Customer),OR(sel_Category="All",G566=sel_Category),AND(S566&gt;=m_From,S566&lt;=m_To)),1,0)</f>
        <v/>
      </c>
      <c r="AA566" s="36">
        <f>IF(AND(OR(sel_Region="All",C566=sel_Region),OR(sel_Country="All",D566=sel_Country),OR(sel_Channel="All",E566=sel_Channel),OR(sel_Customer="All",F566=sel_Customer),OR(sel_Category="All",G566=sel_Category),OR(sel_Product="All",H566=sel_Product)),1,0)</f>
        <v/>
      </c>
    </row>
    <row r="567">
      <c r="A567" s="36" t="inlineStr">
        <is>
          <t>02712</t>
        </is>
      </c>
      <c r="B567" s="44" t="n">
        <v>46125</v>
      </c>
      <c r="C567" s="36" t="inlineStr">
        <is>
          <t>Northern Europe</t>
        </is>
      </c>
      <c r="D567" s="36" t="inlineStr">
        <is>
          <t>Denmark</t>
        </is>
      </c>
      <c r="E567" s="36" t="inlineStr">
        <is>
          <t>Online Store</t>
        </is>
      </c>
      <c r="F567" s="36" t="inlineStr">
        <is>
          <t>Returning</t>
        </is>
      </c>
      <c r="G567" s="36" t="inlineStr">
        <is>
          <t>Fitness</t>
        </is>
      </c>
      <c r="H567" s="36" t="inlineStr">
        <is>
          <t>Recovery Roller</t>
        </is>
      </c>
      <c r="I567" s="36" t="n">
        <v>1</v>
      </c>
      <c r="J567" s="39" t="n">
        <v>35.69</v>
      </c>
      <c r="K567" s="45" t="n">
        <v>0.05</v>
      </c>
      <c r="L567" s="39" t="n">
        <v>13.53</v>
      </c>
      <c r="M567" s="39">
        <f>I567*J567*(1-K567)</f>
        <v/>
      </c>
      <c r="N567" s="39">
        <f>I567*L567</f>
        <v/>
      </c>
      <c r="O567" s="39">
        <f>M567-N567</f>
        <v/>
      </c>
      <c r="P567" s="38">
        <f>IF(M567=0,0,O567/M567)</f>
        <v/>
      </c>
      <c r="Q567" s="36">
        <f>YEAR(B567)</f>
        <v/>
      </c>
      <c r="R567" s="36">
        <f>"Q"&amp;ROUNDUP(MONTH(B567)/3,0)</f>
        <v/>
      </c>
      <c r="S567" s="36">
        <f>MONTH(B567)</f>
        <v/>
      </c>
      <c r="T567" s="36">
        <f>TEXT(B567,"mmm")</f>
        <v/>
      </c>
      <c r="U567" s="36">
        <f>IF(AND(OR(sel_Region="All",C567=sel_Region),OR(sel_Country="All",D567=sel_Country),OR(sel_Channel="All",E567=sel_Channel),OR(sel_Customer="All",F567=sel_Customer),OR(sel_Category="All",G567=sel_Category),OR(sel_Product="All",H567=sel_Product),AND(S567&gt;=m_From,S567&lt;=m_To)),1,0)</f>
        <v/>
      </c>
      <c r="V567" s="36">
        <f>IF(AND(OR(sel_Region="All",C567=sel_Region),OR(sel_Channel="All",E567=sel_Channel),OR(sel_Customer="All",F567=sel_Customer),OR(sel_Category="All",G567=sel_Category),OR(sel_Product="All",H567=sel_Product),AND(S567&gt;=m_From,S567&lt;=m_To)),1,0)</f>
        <v/>
      </c>
      <c r="W567" s="36">
        <f>IF(AND(OR(sel_Region="All",C567=sel_Region),OR(sel_Country="All",D567=sel_Country),OR(sel_Customer="All",F567=sel_Customer),OR(sel_Category="All",G567=sel_Category),OR(sel_Product="All",H567=sel_Product),AND(S567&gt;=m_From,S567&lt;=m_To)),1,0)</f>
        <v/>
      </c>
      <c r="X567" s="36">
        <f>IF(AND(OR(sel_Region="All",C567=sel_Region),OR(sel_Country="All",D567=sel_Country),OR(sel_Channel="All",E567=sel_Channel),OR(sel_Category="All",G567=sel_Category),OR(sel_Product="All",H567=sel_Product),AND(S567&gt;=m_From,S567&lt;=m_To)),1,0)</f>
        <v/>
      </c>
      <c r="Y567" s="36">
        <f>IF(AND(OR(sel_Region="All",C567=sel_Region),OR(sel_Country="All",D567=sel_Country),OR(sel_Channel="All",E567=sel_Channel),OR(sel_Customer="All",F567=sel_Customer),OR(sel_Product="All",H567=sel_Product),AND(S567&gt;=m_From,S567&lt;=m_To)),1,0)</f>
        <v/>
      </c>
      <c r="Z567" s="36">
        <f>IF(AND(OR(sel_Region="All",C567=sel_Region),OR(sel_Country="All",D567=sel_Country),OR(sel_Channel="All",E567=sel_Channel),OR(sel_Customer="All",F567=sel_Customer),OR(sel_Category="All",G567=sel_Category),AND(S567&gt;=m_From,S567&lt;=m_To)),1,0)</f>
        <v/>
      </c>
      <c r="AA567" s="36">
        <f>IF(AND(OR(sel_Region="All",C567=sel_Region),OR(sel_Country="All",D567=sel_Country),OR(sel_Channel="All",E567=sel_Channel),OR(sel_Customer="All",F567=sel_Customer),OR(sel_Category="All",G567=sel_Category),OR(sel_Product="All",H567=sel_Product)),1,0)</f>
        <v/>
      </c>
    </row>
    <row r="568">
      <c r="A568" s="36" t="inlineStr">
        <is>
          <t>03853</t>
        </is>
      </c>
      <c r="B568" s="44" t="n">
        <v>46125</v>
      </c>
      <c r="C568" s="36" t="inlineStr">
        <is>
          <t>Western Europe</t>
        </is>
      </c>
      <c r="D568" s="36" t="inlineStr">
        <is>
          <t>France</t>
        </is>
      </c>
      <c r="E568" s="36" t="inlineStr">
        <is>
          <t>Online Store</t>
        </is>
      </c>
      <c r="F568" s="36" t="inlineStr">
        <is>
          <t>Returning</t>
        </is>
      </c>
      <c r="G568" s="36" t="inlineStr">
        <is>
          <t>Travel</t>
        </is>
      </c>
      <c r="H568" s="36" t="inlineStr">
        <is>
          <t>Carry-On Duffel</t>
        </is>
      </c>
      <c r="I568" s="36" t="n">
        <v>3</v>
      </c>
      <c r="J568" s="39" t="n">
        <v>136.12</v>
      </c>
      <c r="K568" s="45" t="n">
        <v>0</v>
      </c>
      <c r="L568" s="39" t="n">
        <v>66.58</v>
      </c>
      <c r="M568" s="39">
        <f>I568*J568*(1-K568)</f>
        <v/>
      </c>
      <c r="N568" s="39">
        <f>I568*L568</f>
        <v/>
      </c>
      <c r="O568" s="39">
        <f>M568-N568</f>
        <v/>
      </c>
      <c r="P568" s="38">
        <f>IF(M568=0,0,O568/M568)</f>
        <v/>
      </c>
      <c r="Q568" s="36">
        <f>YEAR(B568)</f>
        <v/>
      </c>
      <c r="R568" s="36">
        <f>"Q"&amp;ROUNDUP(MONTH(B568)/3,0)</f>
        <v/>
      </c>
      <c r="S568" s="36">
        <f>MONTH(B568)</f>
        <v/>
      </c>
      <c r="T568" s="36">
        <f>TEXT(B568,"mmm")</f>
        <v/>
      </c>
      <c r="U568" s="36">
        <f>IF(AND(OR(sel_Region="All",C568=sel_Region),OR(sel_Country="All",D568=sel_Country),OR(sel_Channel="All",E568=sel_Channel),OR(sel_Customer="All",F568=sel_Customer),OR(sel_Category="All",G568=sel_Category),OR(sel_Product="All",H568=sel_Product),AND(S568&gt;=m_From,S568&lt;=m_To)),1,0)</f>
        <v/>
      </c>
      <c r="V568" s="36">
        <f>IF(AND(OR(sel_Region="All",C568=sel_Region),OR(sel_Channel="All",E568=sel_Channel),OR(sel_Customer="All",F568=sel_Customer),OR(sel_Category="All",G568=sel_Category),OR(sel_Product="All",H568=sel_Product),AND(S568&gt;=m_From,S568&lt;=m_To)),1,0)</f>
        <v/>
      </c>
      <c r="W568" s="36">
        <f>IF(AND(OR(sel_Region="All",C568=sel_Region),OR(sel_Country="All",D568=sel_Country),OR(sel_Customer="All",F568=sel_Customer),OR(sel_Category="All",G568=sel_Category),OR(sel_Product="All",H568=sel_Product),AND(S568&gt;=m_From,S568&lt;=m_To)),1,0)</f>
        <v/>
      </c>
      <c r="X568" s="36">
        <f>IF(AND(OR(sel_Region="All",C568=sel_Region),OR(sel_Country="All",D568=sel_Country),OR(sel_Channel="All",E568=sel_Channel),OR(sel_Category="All",G568=sel_Category),OR(sel_Product="All",H568=sel_Product),AND(S568&gt;=m_From,S568&lt;=m_To)),1,0)</f>
        <v/>
      </c>
      <c r="Y568" s="36">
        <f>IF(AND(OR(sel_Region="All",C568=sel_Region),OR(sel_Country="All",D568=sel_Country),OR(sel_Channel="All",E568=sel_Channel),OR(sel_Customer="All",F568=sel_Customer),OR(sel_Product="All",H568=sel_Product),AND(S568&gt;=m_From,S568&lt;=m_To)),1,0)</f>
        <v/>
      </c>
      <c r="Z568" s="36">
        <f>IF(AND(OR(sel_Region="All",C568=sel_Region),OR(sel_Country="All",D568=sel_Country),OR(sel_Channel="All",E568=sel_Channel),OR(sel_Customer="All",F568=sel_Customer),OR(sel_Category="All",G568=sel_Category),AND(S568&gt;=m_From,S568&lt;=m_To)),1,0)</f>
        <v/>
      </c>
      <c r="AA568" s="36">
        <f>IF(AND(OR(sel_Region="All",C568=sel_Region),OR(sel_Country="All",D568=sel_Country),OR(sel_Channel="All",E568=sel_Channel),OR(sel_Customer="All",F568=sel_Customer),OR(sel_Category="All",G568=sel_Category),OR(sel_Product="All",H568=sel_Product)),1,0)</f>
        <v/>
      </c>
    </row>
    <row r="569">
      <c r="A569" s="36" t="inlineStr">
        <is>
          <t>04043</t>
        </is>
      </c>
      <c r="B569" s="44" t="n">
        <v>46125</v>
      </c>
      <c r="C569" s="36" t="inlineStr">
        <is>
          <t>Western Europe</t>
        </is>
      </c>
      <c r="D569" s="36" t="inlineStr">
        <is>
          <t>Netherlands</t>
        </is>
      </c>
      <c r="E569" s="36" t="inlineStr">
        <is>
          <t>Marketplace</t>
        </is>
      </c>
      <c r="F569" s="36" t="inlineStr">
        <is>
          <t>New</t>
        </is>
      </c>
      <c r="G569" s="36" t="inlineStr">
        <is>
          <t>Hiking</t>
        </is>
      </c>
      <c r="H569" s="36" t="inlineStr">
        <is>
          <t>Summit Backpack 45L</t>
        </is>
      </c>
      <c r="I569" s="36" t="n">
        <v>1</v>
      </c>
      <c r="J569" s="39" t="n">
        <v>155.89</v>
      </c>
      <c r="K569" s="45" t="n">
        <v>0</v>
      </c>
      <c r="L569" s="39" t="n">
        <v>77.26000000000001</v>
      </c>
      <c r="M569" s="39">
        <f>I569*J569*(1-K569)</f>
        <v/>
      </c>
      <c r="N569" s="39">
        <f>I569*L569</f>
        <v/>
      </c>
      <c r="O569" s="39">
        <f>M569-N569</f>
        <v/>
      </c>
      <c r="P569" s="38">
        <f>IF(M569=0,0,O569/M569)</f>
        <v/>
      </c>
      <c r="Q569" s="36">
        <f>YEAR(B569)</f>
        <v/>
      </c>
      <c r="R569" s="36">
        <f>"Q"&amp;ROUNDUP(MONTH(B569)/3,0)</f>
        <v/>
      </c>
      <c r="S569" s="36">
        <f>MONTH(B569)</f>
        <v/>
      </c>
      <c r="T569" s="36">
        <f>TEXT(B569,"mmm")</f>
        <v/>
      </c>
      <c r="U569" s="36">
        <f>IF(AND(OR(sel_Region="All",C569=sel_Region),OR(sel_Country="All",D569=sel_Country),OR(sel_Channel="All",E569=sel_Channel),OR(sel_Customer="All",F569=sel_Customer),OR(sel_Category="All",G569=sel_Category),OR(sel_Product="All",H569=sel_Product),AND(S569&gt;=m_From,S569&lt;=m_To)),1,0)</f>
        <v/>
      </c>
      <c r="V569" s="36">
        <f>IF(AND(OR(sel_Region="All",C569=sel_Region),OR(sel_Channel="All",E569=sel_Channel),OR(sel_Customer="All",F569=sel_Customer),OR(sel_Category="All",G569=sel_Category),OR(sel_Product="All",H569=sel_Product),AND(S569&gt;=m_From,S569&lt;=m_To)),1,0)</f>
        <v/>
      </c>
      <c r="W569" s="36">
        <f>IF(AND(OR(sel_Region="All",C569=sel_Region),OR(sel_Country="All",D569=sel_Country),OR(sel_Customer="All",F569=sel_Customer),OR(sel_Category="All",G569=sel_Category),OR(sel_Product="All",H569=sel_Product),AND(S569&gt;=m_From,S569&lt;=m_To)),1,0)</f>
        <v/>
      </c>
      <c r="X569" s="36">
        <f>IF(AND(OR(sel_Region="All",C569=sel_Region),OR(sel_Country="All",D569=sel_Country),OR(sel_Channel="All",E569=sel_Channel),OR(sel_Category="All",G569=sel_Category),OR(sel_Product="All",H569=sel_Product),AND(S569&gt;=m_From,S569&lt;=m_To)),1,0)</f>
        <v/>
      </c>
      <c r="Y569" s="36">
        <f>IF(AND(OR(sel_Region="All",C569=sel_Region),OR(sel_Country="All",D569=sel_Country),OR(sel_Channel="All",E569=sel_Channel),OR(sel_Customer="All",F569=sel_Customer),OR(sel_Product="All",H569=sel_Product),AND(S569&gt;=m_From,S569&lt;=m_To)),1,0)</f>
        <v/>
      </c>
      <c r="Z569" s="36">
        <f>IF(AND(OR(sel_Region="All",C569=sel_Region),OR(sel_Country="All",D569=sel_Country),OR(sel_Channel="All",E569=sel_Channel),OR(sel_Customer="All",F569=sel_Customer),OR(sel_Category="All",G569=sel_Category),AND(S569&gt;=m_From,S569&lt;=m_To)),1,0)</f>
        <v/>
      </c>
      <c r="AA569" s="36">
        <f>IF(AND(OR(sel_Region="All",C569=sel_Region),OR(sel_Country="All",D569=sel_Country),OR(sel_Channel="All",E569=sel_Channel),OR(sel_Customer="All",F569=sel_Customer),OR(sel_Category="All",G569=sel_Category),OR(sel_Product="All",H569=sel_Product)),1,0)</f>
        <v/>
      </c>
    </row>
    <row r="570">
      <c r="A570" s="36" t="inlineStr">
        <is>
          <t>00290</t>
        </is>
      </c>
      <c r="B570" s="44" t="n">
        <v>46126</v>
      </c>
      <c r="C570" s="36" t="inlineStr">
        <is>
          <t>Southern Europe</t>
        </is>
      </c>
      <c r="D570" s="36" t="inlineStr">
        <is>
          <t>Italy</t>
        </is>
      </c>
      <c r="E570" s="36" t="inlineStr">
        <is>
          <t>Online Store</t>
        </is>
      </c>
      <c r="F570" s="36" t="inlineStr">
        <is>
          <t>Business</t>
        </is>
      </c>
      <c r="G570" s="36" t="inlineStr">
        <is>
          <t>Travel</t>
        </is>
      </c>
      <c r="H570" s="36" t="inlineStr">
        <is>
          <t>Carry-On Duffel</t>
        </is>
      </c>
      <c r="I570" s="36" t="n">
        <v>1</v>
      </c>
      <c r="J570" s="39" t="n">
        <v>130.81</v>
      </c>
      <c r="K570" s="45" t="n">
        <v>0</v>
      </c>
      <c r="L570" s="39" t="n">
        <v>67.86</v>
      </c>
      <c r="M570" s="39">
        <f>I570*J570*(1-K570)</f>
        <v/>
      </c>
      <c r="N570" s="39">
        <f>I570*L570</f>
        <v/>
      </c>
      <c r="O570" s="39">
        <f>M570-N570</f>
        <v/>
      </c>
      <c r="P570" s="38">
        <f>IF(M570=0,0,O570/M570)</f>
        <v/>
      </c>
      <c r="Q570" s="36">
        <f>YEAR(B570)</f>
        <v/>
      </c>
      <c r="R570" s="36">
        <f>"Q"&amp;ROUNDUP(MONTH(B570)/3,0)</f>
        <v/>
      </c>
      <c r="S570" s="36">
        <f>MONTH(B570)</f>
        <v/>
      </c>
      <c r="T570" s="36">
        <f>TEXT(B570,"mmm")</f>
        <v/>
      </c>
      <c r="U570" s="36">
        <f>IF(AND(OR(sel_Region="All",C570=sel_Region),OR(sel_Country="All",D570=sel_Country),OR(sel_Channel="All",E570=sel_Channel),OR(sel_Customer="All",F570=sel_Customer),OR(sel_Category="All",G570=sel_Category),OR(sel_Product="All",H570=sel_Product),AND(S570&gt;=m_From,S570&lt;=m_To)),1,0)</f>
        <v/>
      </c>
      <c r="V570" s="36">
        <f>IF(AND(OR(sel_Region="All",C570=sel_Region),OR(sel_Channel="All",E570=sel_Channel),OR(sel_Customer="All",F570=sel_Customer),OR(sel_Category="All",G570=sel_Category),OR(sel_Product="All",H570=sel_Product),AND(S570&gt;=m_From,S570&lt;=m_To)),1,0)</f>
        <v/>
      </c>
      <c r="W570" s="36">
        <f>IF(AND(OR(sel_Region="All",C570=sel_Region),OR(sel_Country="All",D570=sel_Country),OR(sel_Customer="All",F570=sel_Customer),OR(sel_Category="All",G570=sel_Category),OR(sel_Product="All",H570=sel_Product),AND(S570&gt;=m_From,S570&lt;=m_To)),1,0)</f>
        <v/>
      </c>
      <c r="X570" s="36">
        <f>IF(AND(OR(sel_Region="All",C570=sel_Region),OR(sel_Country="All",D570=sel_Country),OR(sel_Channel="All",E570=sel_Channel),OR(sel_Category="All",G570=sel_Category),OR(sel_Product="All",H570=sel_Product),AND(S570&gt;=m_From,S570&lt;=m_To)),1,0)</f>
        <v/>
      </c>
      <c r="Y570" s="36">
        <f>IF(AND(OR(sel_Region="All",C570=sel_Region),OR(sel_Country="All",D570=sel_Country),OR(sel_Channel="All",E570=sel_Channel),OR(sel_Customer="All",F570=sel_Customer),OR(sel_Product="All",H570=sel_Product),AND(S570&gt;=m_From,S570&lt;=m_To)),1,0)</f>
        <v/>
      </c>
      <c r="Z570" s="36">
        <f>IF(AND(OR(sel_Region="All",C570=sel_Region),OR(sel_Country="All",D570=sel_Country),OR(sel_Channel="All",E570=sel_Channel),OR(sel_Customer="All",F570=sel_Customer),OR(sel_Category="All",G570=sel_Category),AND(S570&gt;=m_From,S570&lt;=m_To)),1,0)</f>
        <v/>
      </c>
      <c r="AA570" s="36">
        <f>IF(AND(OR(sel_Region="All",C570=sel_Region),OR(sel_Country="All",D570=sel_Country),OR(sel_Channel="All",E570=sel_Channel),OR(sel_Customer="All",F570=sel_Customer),OR(sel_Category="All",G570=sel_Category),OR(sel_Product="All",H570=sel_Product)),1,0)</f>
        <v/>
      </c>
    </row>
    <row r="571">
      <c r="A571" s="36" t="inlineStr">
        <is>
          <t>02953</t>
        </is>
      </c>
      <c r="B571" s="44" t="n">
        <v>46126</v>
      </c>
      <c r="C571" s="36" t="inlineStr">
        <is>
          <t>Southern Europe</t>
        </is>
      </c>
      <c r="D571" s="36" t="inlineStr">
        <is>
          <t>Spain</t>
        </is>
      </c>
      <c r="E571" s="36" t="inlineStr">
        <is>
          <t>Online Store</t>
        </is>
      </c>
      <c r="F571" s="36" t="inlineStr">
        <is>
          <t>Returning</t>
        </is>
      </c>
      <c r="G571" s="36" t="inlineStr">
        <is>
          <t>Travel</t>
        </is>
      </c>
      <c r="H571" s="36" t="inlineStr">
        <is>
          <t>Packing Cube Set</t>
        </is>
      </c>
      <c r="I571" s="36" t="n">
        <v>2</v>
      </c>
      <c r="J571" s="39" t="n">
        <v>47.56</v>
      </c>
      <c r="K571" s="45" t="n">
        <v>0.05</v>
      </c>
      <c r="L571" s="39" t="n">
        <v>18.65</v>
      </c>
      <c r="M571" s="39">
        <f>I571*J571*(1-K571)</f>
        <v/>
      </c>
      <c r="N571" s="39">
        <f>I571*L571</f>
        <v/>
      </c>
      <c r="O571" s="39">
        <f>M571-N571</f>
        <v/>
      </c>
      <c r="P571" s="38">
        <f>IF(M571=0,0,O571/M571)</f>
        <v/>
      </c>
      <c r="Q571" s="36">
        <f>YEAR(B571)</f>
        <v/>
      </c>
      <c r="R571" s="36">
        <f>"Q"&amp;ROUNDUP(MONTH(B571)/3,0)</f>
        <v/>
      </c>
      <c r="S571" s="36">
        <f>MONTH(B571)</f>
        <v/>
      </c>
      <c r="T571" s="36">
        <f>TEXT(B571,"mmm")</f>
        <v/>
      </c>
      <c r="U571" s="36">
        <f>IF(AND(OR(sel_Region="All",C571=sel_Region),OR(sel_Country="All",D571=sel_Country),OR(sel_Channel="All",E571=sel_Channel),OR(sel_Customer="All",F571=sel_Customer),OR(sel_Category="All",G571=sel_Category),OR(sel_Product="All",H571=sel_Product),AND(S571&gt;=m_From,S571&lt;=m_To)),1,0)</f>
        <v/>
      </c>
      <c r="V571" s="36">
        <f>IF(AND(OR(sel_Region="All",C571=sel_Region),OR(sel_Channel="All",E571=sel_Channel),OR(sel_Customer="All",F571=sel_Customer),OR(sel_Category="All",G571=sel_Category),OR(sel_Product="All",H571=sel_Product),AND(S571&gt;=m_From,S571&lt;=m_To)),1,0)</f>
        <v/>
      </c>
      <c r="W571" s="36">
        <f>IF(AND(OR(sel_Region="All",C571=sel_Region),OR(sel_Country="All",D571=sel_Country),OR(sel_Customer="All",F571=sel_Customer),OR(sel_Category="All",G571=sel_Category),OR(sel_Product="All",H571=sel_Product),AND(S571&gt;=m_From,S571&lt;=m_To)),1,0)</f>
        <v/>
      </c>
      <c r="X571" s="36">
        <f>IF(AND(OR(sel_Region="All",C571=sel_Region),OR(sel_Country="All",D571=sel_Country),OR(sel_Channel="All",E571=sel_Channel),OR(sel_Category="All",G571=sel_Category),OR(sel_Product="All",H571=sel_Product),AND(S571&gt;=m_From,S571&lt;=m_To)),1,0)</f>
        <v/>
      </c>
      <c r="Y571" s="36">
        <f>IF(AND(OR(sel_Region="All",C571=sel_Region),OR(sel_Country="All",D571=sel_Country),OR(sel_Channel="All",E571=sel_Channel),OR(sel_Customer="All",F571=sel_Customer),OR(sel_Product="All",H571=sel_Product),AND(S571&gt;=m_From,S571&lt;=m_To)),1,0)</f>
        <v/>
      </c>
      <c r="Z571" s="36">
        <f>IF(AND(OR(sel_Region="All",C571=sel_Region),OR(sel_Country="All",D571=sel_Country),OR(sel_Channel="All",E571=sel_Channel),OR(sel_Customer="All",F571=sel_Customer),OR(sel_Category="All",G571=sel_Category),AND(S571&gt;=m_From,S571&lt;=m_To)),1,0)</f>
        <v/>
      </c>
      <c r="AA571" s="36">
        <f>IF(AND(OR(sel_Region="All",C571=sel_Region),OR(sel_Country="All",D571=sel_Country),OR(sel_Channel="All",E571=sel_Channel),OR(sel_Customer="All",F571=sel_Customer),OR(sel_Category="All",G571=sel_Category),OR(sel_Product="All",H571=sel_Product)),1,0)</f>
        <v/>
      </c>
    </row>
    <row r="572">
      <c r="A572" s="36" t="inlineStr">
        <is>
          <t>03179</t>
        </is>
      </c>
      <c r="B572" s="44" t="n">
        <v>46126</v>
      </c>
      <c r="C572" s="36" t="inlineStr">
        <is>
          <t>Central Europe</t>
        </is>
      </c>
      <c r="D572" s="36" t="inlineStr">
        <is>
          <t>Poland</t>
        </is>
      </c>
      <c r="E572" s="36" t="inlineStr">
        <is>
          <t>Online Store</t>
        </is>
      </c>
      <c r="F572" s="36" t="inlineStr">
        <is>
          <t>New</t>
        </is>
      </c>
      <c r="G572" s="36" t="inlineStr">
        <is>
          <t>Hiking</t>
        </is>
      </c>
      <c r="H572" s="36" t="inlineStr">
        <is>
          <t>Trail Boots</t>
        </is>
      </c>
      <c r="I572" s="36" t="n">
        <v>2</v>
      </c>
      <c r="J572" s="39" t="n">
        <v>140.65</v>
      </c>
      <c r="K572" s="45" t="n">
        <v>0.05</v>
      </c>
      <c r="L572" s="39" t="n">
        <v>78.90000000000001</v>
      </c>
      <c r="M572" s="39">
        <f>I572*J572*(1-K572)</f>
        <v/>
      </c>
      <c r="N572" s="39">
        <f>I572*L572</f>
        <v/>
      </c>
      <c r="O572" s="39">
        <f>M572-N572</f>
        <v/>
      </c>
      <c r="P572" s="38">
        <f>IF(M572=0,0,O572/M572)</f>
        <v/>
      </c>
      <c r="Q572" s="36">
        <f>YEAR(B572)</f>
        <v/>
      </c>
      <c r="R572" s="36">
        <f>"Q"&amp;ROUNDUP(MONTH(B572)/3,0)</f>
        <v/>
      </c>
      <c r="S572" s="36">
        <f>MONTH(B572)</f>
        <v/>
      </c>
      <c r="T572" s="36">
        <f>TEXT(B572,"mmm")</f>
        <v/>
      </c>
      <c r="U572" s="36">
        <f>IF(AND(OR(sel_Region="All",C572=sel_Region),OR(sel_Country="All",D572=sel_Country),OR(sel_Channel="All",E572=sel_Channel),OR(sel_Customer="All",F572=sel_Customer),OR(sel_Category="All",G572=sel_Category),OR(sel_Product="All",H572=sel_Product),AND(S572&gt;=m_From,S572&lt;=m_To)),1,0)</f>
        <v/>
      </c>
      <c r="V572" s="36">
        <f>IF(AND(OR(sel_Region="All",C572=sel_Region),OR(sel_Channel="All",E572=sel_Channel),OR(sel_Customer="All",F572=sel_Customer),OR(sel_Category="All",G572=sel_Category),OR(sel_Product="All",H572=sel_Product),AND(S572&gt;=m_From,S572&lt;=m_To)),1,0)</f>
        <v/>
      </c>
      <c r="W572" s="36">
        <f>IF(AND(OR(sel_Region="All",C572=sel_Region),OR(sel_Country="All",D572=sel_Country),OR(sel_Customer="All",F572=sel_Customer),OR(sel_Category="All",G572=sel_Category),OR(sel_Product="All",H572=sel_Product),AND(S572&gt;=m_From,S572&lt;=m_To)),1,0)</f>
        <v/>
      </c>
      <c r="X572" s="36">
        <f>IF(AND(OR(sel_Region="All",C572=sel_Region),OR(sel_Country="All",D572=sel_Country),OR(sel_Channel="All",E572=sel_Channel),OR(sel_Category="All",G572=sel_Category),OR(sel_Product="All",H572=sel_Product),AND(S572&gt;=m_From,S572&lt;=m_To)),1,0)</f>
        <v/>
      </c>
      <c r="Y572" s="36">
        <f>IF(AND(OR(sel_Region="All",C572=sel_Region),OR(sel_Country="All",D572=sel_Country),OR(sel_Channel="All",E572=sel_Channel),OR(sel_Customer="All",F572=sel_Customer),OR(sel_Product="All",H572=sel_Product),AND(S572&gt;=m_From,S572&lt;=m_To)),1,0)</f>
        <v/>
      </c>
      <c r="Z572" s="36">
        <f>IF(AND(OR(sel_Region="All",C572=sel_Region),OR(sel_Country="All",D572=sel_Country),OR(sel_Channel="All",E572=sel_Channel),OR(sel_Customer="All",F572=sel_Customer),OR(sel_Category="All",G572=sel_Category),AND(S572&gt;=m_From,S572&lt;=m_To)),1,0)</f>
        <v/>
      </c>
      <c r="AA572" s="36">
        <f>IF(AND(OR(sel_Region="All",C572=sel_Region),OR(sel_Country="All",D572=sel_Country),OR(sel_Channel="All",E572=sel_Channel),OR(sel_Customer="All",F572=sel_Customer),OR(sel_Category="All",G572=sel_Category),OR(sel_Product="All",H572=sel_Product)),1,0)</f>
        <v/>
      </c>
    </row>
    <row r="573">
      <c r="A573" s="36" t="inlineStr">
        <is>
          <t>03301</t>
        </is>
      </c>
      <c r="B573" s="44" t="n">
        <v>46126</v>
      </c>
      <c r="C573" s="36" t="inlineStr">
        <is>
          <t>Western Europe</t>
        </is>
      </c>
      <c r="D573" s="36" t="inlineStr">
        <is>
          <t>Belgium</t>
        </is>
      </c>
      <c r="E573" s="36" t="inlineStr">
        <is>
          <t>Retail Partners</t>
        </is>
      </c>
      <c r="F573" s="36" t="inlineStr">
        <is>
          <t>New</t>
        </is>
      </c>
      <c r="G573" s="36" t="inlineStr">
        <is>
          <t>Cycling</t>
        </is>
      </c>
      <c r="H573" s="36" t="inlineStr">
        <is>
          <t>Commuter Helmet</t>
        </is>
      </c>
      <c r="I573" s="36" t="n">
        <v>1</v>
      </c>
      <c r="J573" s="39" t="n">
        <v>82.75</v>
      </c>
      <c r="K573" s="45" t="n">
        <v>0</v>
      </c>
      <c r="L573" s="39" t="n">
        <v>43.18</v>
      </c>
      <c r="M573" s="39">
        <f>I573*J573*(1-K573)</f>
        <v/>
      </c>
      <c r="N573" s="39">
        <f>I573*L573</f>
        <v/>
      </c>
      <c r="O573" s="39">
        <f>M573-N573</f>
        <v/>
      </c>
      <c r="P573" s="38">
        <f>IF(M573=0,0,O573/M573)</f>
        <v/>
      </c>
      <c r="Q573" s="36">
        <f>YEAR(B573)</f>
        <v/>
      </c>
      <c r="R573" s="36">
        <f>"Q"&amp;ROUNDUP(MONTH(B573)/3,0)</f>
        <v/>
      </c>
      <c r="S573" s="36">
        <f>MONTH(B573)</f>
        <v/>
      </c>
      <c r="T573" s="36">
        <f>TEXT(B573,"mmm")</f>
        <v/>
      </c>
      <c r="U573" s="36">
        <f>IF(AND(OR(sel_Region="All",C573=sel_Region),OR(sel_Country="All",D573=sel_Country),OR(sel_Channel="All",E573=sel_Channel),OR(sel_Customer="All",F573=sel_Customer),OR(sel_Category="All",G573=sel_Category),OR(sel_Product="All",H573=sel_Product),AND(S573&gt;=m_From,S573&lt;=m_To)),1,0)</f>
        <v/>
      </c>
      <c r="V573" s="36">
        <f>IF(AND(OR(sel_Region="All",C573=sel_Region),OR(sel_Channel="All",E573=sel_Channel),OR(sel_Customer="All",F573=sel_Customer),OR(sel_Category="All",G573=sel_Category),OR(sel_Product="All",H573=sel_Product),AND(S573&gt;=m_From,S573&lt;=m_To)),1,0)</f>
        <v/>
      </c>
      <c r="W573" s="36">
        <f>IF(AND(OR(sel_Region="All",C573=sel_Region),OR(sel_Country="All",D573=sel_Country),OR(sel_Customer="All",F573=sel_Customer),OR(sel_Category="All",G573=sel_Category),OR(sel_Product="All",H573=sel_Product),AND(S573&gt;=m_From,S573&lt;=m_To)),1,0)</f>
        <v/>
      </c>
      <c r="X573" s="36">
        <f>IF(AND(OR(sel_Region="All",C573=sel_Region),OR(sel_Country="All",D573=sel_Country),OR(sel_Channel="All",E573=sel_Channel),OR(sel_Category="All",G573=sel_Category),OR(sel_Product="All",H573=sel_Product),AND(S573&gt;=m_From,S573&lt;=m_To)),1,0)</f>
        <v/>
      </c>
      <c r="Y573" s="36">
        <f>IF(AND(OR(sel_Region="All",C573=sel_Region),OR(sel_Country="All",D573=sel_Country),OR(sel_Channel="All",E573=sel_Channel),OR(sel_Customer="All",F573=sel_Customer),OR(sel_Product="All",H573=sel_Product),AND(S573&gt;=m_From,S573&lt;=m_To)),1,0)</f>
        <v/>
      </c>
      <c r="Z573" s="36">
        <f>IF(AND(OR(sel_Region="All",C573=sel_Region),OR(sel_Country="All",D573=sel_Country),OR(sel_Channel="All",E573=sel_Channel),OR(sel_Customer="All",F573=sel_Customer),OR(sel_Category="All",G573=sel_Category),AND(S573&gt;=m_From,S573&lt;=m_To)),1,0)</f>
        <v/>
      </c>
      <c r="AA573" s="36">
        <f>IF(AND(OR(sel_Region="All",C573=sel_Region),OR(sel_Country="All",D573=sel_Country),OR(sel_Channel="All",E573=sel_Channel),OR(sel_Customer="All",F573=sel_Customer),OR(sel_Category="All",G573=sel_Category),OR(sel_Product="All",H573=sel_Product)),1,0)</f>
        <v/>
      </c>
    </row>
    <row r="574">
      <c r="A574" s="36" t="inlineStr">
        <is>
          <t>03349</t>
        </is>
      </c>
      <c r="B574" s="44" t="n">
        <v>46126</v>
      </c>
      <c r="C574" s="36" t="inlineStr">
        <is>
          <t>Western Europe</t>
        </is>
      </c>
      <c r="D574" s="36" t="inlineStr">
        <is>
          <t>United Kingdom</t>
        </is>
      </c>
      <c r="E574" s="36" t="inlineStr">
        <is>
          <t>Online Store</t>
        </is>
      </c>
      <c r="F574" s="36" t="inlineStr">
        <is>
          <t>Returning</t>
        </is>
      </c>
      <c r="G574" s="36" t="inlineStr">
        <is>
          <t>Fitness</t>
        </is>
      </c>
      <c r="H574" s="36" t="inlineStr">
        <is>
          <t>Resistance Band Set</t>
        </is>
      </c>
      <c r="I574" s="36" t="n">
        <v>2</v>
      </c>
      <c r="J574" s="39" t="n">
        <v>40.91</v>
      </c>
      <c r="K574" s="45" t="n">
        <v>0.1</v>
      </c>
      <c r="L574" s="39" t="n">
        <v>14.95</v>
      </c>
      <c r="M574" s="39">
        <f>I574*J574*(1-K574)</f>
        <v/>
      </c>
      <c r="N574" s="39">
        <f>I574*L574</f>
        <v/>
      </c>
      <c r="O574" s="39">
        <f>M574-N574</f>
        <v/>
      </c>
      <c r="P574" s="38">
        <f>IF(M574=0,0,O574/M574)</f>
        <v/>
      </c>
      <c r="Q574" s="36">
        <f>YEAR(B574)</f>
        <v/>
      </c>
      <c r="R574" s="36">
        <f>"Q"&amp;ROUNDUP(MONTH(B574)/3,0)</f>
        <v/>
      </c>
      <c r="S574" s="36">
        <f>MONTH(B574)</f>
        <v/>
      </c>
      <c r="T574" s="36">
        <f>TEXT(B574,"mmm")</f>
        <v/>
      </c>
      <c r="U574" s="36">
        <f>IF(AND(OR(sel_Region="All",C574=sel_Region),OR(sel_Country="All",D574=sel_Country),OR(sel_Channel="All",E574=sel_Channel),OR(sel_Customer="All",F574=sel_Customer),OR(sel_Category="All",G574=sel_Category),OR(sel_Product="All",H574=sel_Product),AND(S574&gt;=m_From,S574&lt;=m_To)),1,0)</f>
        <v/>
      </c>
      <c r="V574" s="36">
        <f>IF(AND(OR(sel_Region="All",C574=sel_Region),OR(sel_Channel="All",E574=sel_Channel),OR(sel_Customer="All",F574=sel_Customer),OR(sel_Category="All",G574=sel_Category),OR(sel_Product="All",H574=sel_Product),AND(S574&gt;=m_From,S574&lt;=m_To)),1,0)</f>
        <v/>
      </c>
      <c r="W574" s="36">
        <f>IF(AND(OR(sel_Region="All",C574=sel_Region),OR(sel_Country="All",D574=sel_Country),OR(sel_Customer="All",F574=sel_Customer),OR(sel_Category="All",G574=sel_Category),OR(sel_Product="All",H574=sel_Product),AND(S574&gt;=m_From,S574&lt;=m_To)),1,0)</f>
        <v/>
      </c>
      <c r="X574" s="36">
        <f>IF(AND(OR(sel_Region="All",C574=sel_Region),OR(sel_Country="All",D574=sel_Country),OR(sel_Channel="All",E574=sel_Channel),OR(sel_Category="All",G574=sel_Category),OR(sel_Product="All",H574=sel_Product),AND(S574&gt;=m_From,S574&lt;=m_To)),1,0)</f>
        <v/>
      </c>
      <c r="Y574" s="36">
        <f>IF(AND(OR(sel_Region="All",C574=sel_Region),OR(sel_Country="All",D574=sel_Country),OR(sel_Channel="All",E574=sel_Channel),OR(sel_Customer="All",F574=sel_Customer),OR(sel_Product="All",H574=sel_Product),AND(S574&gt;=m_From,S574&lt;=m_To)),1,0)</f>
        <v/>
      </c>
      <c r="Z574" s="36">
        <f>IF(AND(OR(sel_Region="All",C574=sel_Region),OR(sel_Country="All",D574=sel_Country),OR(sel_Channel="All",E574=sel_Channel),OR(sel_Customer="All",F574=sel_Customer),OR(sel_Category="All",G574=sel_Category),AND(S574&gt;=m_From,S574&lt;=m_To)),1,0)</f>
        <v/>
      </c>
      <c r="AA574" s="36">
        <f>IF(AND(OR(sel_Region="All",C574=sel_Region),OR(sel_Country="All",D574=sel_Country),OR(sel_Channel="All",E574=sel_Channel),OR(sel_Customer="All",F574=sel_Customer),OR(sel_Category="All",G574=sel_Category),OR(sel_Product="All",H574=sel_Product)),1,0)</f>
        <v/>
      </c>
    </row>
    <row r="575">
      <c r="A575" s="36" t="inlineStr">
        <is>
          <t>04874</t>
        </is>
      </c>
      <c r="B575" s="44" t="n">
        <v>46126</v>
      </c>
      <c r="C575" s="36" t="inlineStr">
        <is>
          <t>Southern Europe</t>
        </is>
      </c>
      <c r="D575" s="36" t="inlineStr">
        <is>
          <t>Spain</t>
        </is>
      </c>
      <c r="E575" s="36" t="inlineStr">
        <is>
          <t>Retail Partners</t>
        </is>
      </c>
      <c r="F575" s="36" t="inlineStr">
        <is>
          <t>Returning</t>
        </is>
      </c>
      <c r="G575" s="36" t="inlineStr">
        <is>
          <t>Travel</t>
        </is>
      </c>
      <c r="H575" s="36" t="inlineStr">
        <is>
          <t>Packing Cube Set</t>
        </is>
      </c>
      <c r="I575" s="36" t="n">
        <v>1</v>
      </c>
      <c r="J575" s="39" t="n">
        <v>46.62</v>
      </c>
      <c r="K575" s="45" t="n">
        <v>0</v>
      </c>
      <c r="L575" s="39" t="n">
        <v>18.86</v>
      </c>
      <c r="M575" s="39">
        <f>I575*J575*(1-K575)</f>
        <v/>
      </c>
      <c r="N575" s="39">
        <f>I575*L575</f>
        <v/>
      </c>
      <c r="O575" s="39">
        <f>M575-N575</f>
        <v/>
      </c>
      <c r="P575" s="38">
        <f>IF(M575=0,0,O575/M575)</f>
        <v/>
      </c>
      <c r="Q575" s="36">
        <f>YEAR(B575)</f>
        <v/>
      </c>
      <c r="R575" s="36">
        <f>"Q"&amp;ROUNDUP(MONTH(B575)/3,0)</f>
        <v/>
      </c>
      <c r="S575" s="36">
        <f>MONTH(B575)</f>
        <v/>
      </c>
      <c r="T575" s="36">
        <f>TEXT(B575,"mmm")</f>
        <v/>
      </c>
      <c r="U575" s="36">
        <f>IF(AND(OR(sel_Region="All",C575=sel_Region),OR(sel_Country="All",D575=sel_Country),OR(sel_Channel="All",E575=sel_Channel),OR(sel_Customer="All",F575=sel_Customer),OR(sel_Category="All",G575=sel_Category),OR(sel_Product="All",H575=sel_Product),AND(S575&gt;=m_From,S575&lt;=m_To)),1,0)</f>
        <v/>
      </c>
      <c r="V575" s="36">
        <f>IF(AND(OR(sel_Region="All",C575=sel_Region),OR(sel_Channel="All",E575=sel_Channel),OR(sel_Customer="All",F575=sel_Customer),OR(sel_Category="All",G575=sel_Category),OR(sel_Product="All",H575=sel_Product),AND(S575&gt;=m_From,S575&lt;=m_To)),1,0)</f>
        <v/>
      </c>
      <c r="W575" s="36">
        <f>IF(AND(OR(sel_Region="All",C575=sel_Region),OR(sel_Country="All",D575=sel_Country),OR(sel_Customer="All",F575=sel_Customer),OR(sel_Category="All",G575=sel_Category),OR(sel_Product="All",H575=sel_Product),AND(S575&gt;=m_From,S575&lt;=m_To)),1,0)</f>
        <v/>
      </c>
      <c r="X575" s="36">
        <f>IF(AND(OR(sel_Region="All",C575=sel_Region),OR(sel_Country="All",D575=sel_Country),OR(sel_Channel="All",E575=sel_Channel),OR(sel_Category="All",G575=sel_Category),OR(sel_Product="All",H575=sel_Product),AND(S575&gt;=m_From,S575&lt;=m_To)),1,0)</f>
        <v/>
      </c>
      <c r="Y575" s="36">
        <f>IF(AND(OR(sel_Region="All",C575=sel_Region),OR(sel_Country="All",D575=sel_Country),OR(sel_Channel="All",E575=sel_Channel),OR(sel_Customer="All",F575=sel_Customer),OR(sel_Product="All",H575=sel_Product),AND(S575&gt;=m_From,S575&lt;=m_To)),1,0)</f>
        <v/>
      </c>
      <c r="Z575" s="36">
        <f>IF(AND(OR(sel_Region="All",C575=sel_Region),OR(sel_Country="All",D575=sel_Country),OR(sel_Channel="All",E575=sel_Channel),OR(sel_Customer="All",F575=sel_Customer),OR(sel_Category="All",G575=sel_Category),AND(S575&gt;=m_From,S575&lt;=m_To)),1,0)</f>
        <v/>
      </c>
      <c r="AA575" s="36">
        <f>IF(AND(OR(sel_Region="All",C575=sel_Region),OR(sel_Country="All",D575=sel_Country),OR(sel_Channel="All",E575=sel_Channel),OR(sel_Customer="All",F575=sel_Customer),OR(sel_Category="All",G575=sel_Category),OR(sel_Product="All",H575=sel_Product)),1,0)</f>
        <v/>
      </c>
    </row>
    <row r="576">
      <c r="A576" s="36" t="inlineStr">
        <is>
          <t>01045</t>
        </is>
      </c>
      <c r="B576" s="44" t="n">
        <v>46127</v>
      </c>
      <c r="C576" s="36" t="inlineStr">
        <is>
          <t>Southern Europe</t>
        </is>
      </c>
      <c r="D576" s="36" t="inlineStr">
        <is>
          <t>Italy</t>
        </is>
      </c>
      <c r="E576" s="36" t="inlineStr">
        <is>
          <t>Online Store</t>
        </is>
      </c>
      <c r="F576" s="36" t="inlineStr">
        <is>
          <t>Returning</t>
        </is>
      </c>
      <c r="G576" s="36" t="inlineStr">
        <is>
          <t>Camping</t>
        </is>
      </c>
      <c r="H576" s="36" t="inlineStr">
        <is>
          <t>Trail Tent 2P</t>
        </is>
      </c>
      <c r="I576" s="36" t="n">
        <v>2</v>
      </c>
      <c r="J576" s="39" t="n">
        <v>196.57</v>
      </c>
      <c r="K576" s="45" t="n">
        <v>0.05</v>
      </c>
      <c r="L576" s="39" t="n">
        <v>106.2</v>
      </c>
      <c r="M576" s="39">
        <f>I576*J576*(1-K576)</f>
        <v/>
      </c>
      <c r="N576" s="39">
        <f>I576*L576</f>
        <v/>
      </c>
      <c r="O576" s="39">
        <f>M576-N576</f>
        <v/>
      </c>
      <c r="P576" s="38">
        <f>IF(M576=0,0,O576/M576)</f>
        <v/>
      </c>
      <c r="Q576" s="36">
        <f>YEAR(B576)</f>
        <v/>
      </c>
      <c r="R576" s="36">
        <f>"Q"&amp;ROUNDUP(MONTH(B576)/3,0)</f>
        <v/>
      </c>
      <c r="S576" s="36">
        <f>MONTH(B576)</f>
        <v/>
      </c>
      <c r="T576" s="36">
        <f>TEXT(B576,"mmm")</f>
        <v/>
      </c>
      <c r="U576" s="36">
        <f>IF(AND(OR(sel_Region="All",C576=sel_Region),OR(sel_Country="All",D576=sel_Country),OR(sel_Channel="All",E576=sel_Channel),OR(sel_Customer="All",F576=sel_Customer),OR(sel_Category="All",G576=sel_Category),OR(sel_Product="All",H576=sel_Product),AND(S576&gt;=m_From,S576&lt;=m_To)),1,0)</f>
        <v/>
      </c>
      <c r="V576" s="36">
        <f>IF(AND(OR(sel_Region="All",C576=sel_Region),OR(sel_Channel="All",E576=sel_Channel),OR(sel_Customer="All",F576=sel_Customer),OR(sel_Category="All",G576=sel_Category),OR(sel_Product="All",H576=sel_Product),AND(S576&gt;=m_From,S576&lt;=m_To)),1,0)</f>
        <v/>
      </c>
      <c r="W576" s="36">
        <f>IF(AND(OR(sel_Region="All",C576=sel_Region),OR(sel_Country="All",D576=sel_Country),OR(sel_Customer="All",F576=sel_Customer),OR(sel_Category="All",G576=sel_Category),OR(sel_Product="All",H576=sel_Product),AND(S576&gt;=m_From,S576&lt;=m_To)),1,0)</f>
        <v/>
      </c>
      <c r="X576" s="36">
        <f>IF(AND(OR(sel_Region="All",C576=sel_Region),OR(sel_Country="All",D576=sel_Country),OR(sel_Channel="All",E576=sel_Channel),OR(sel_Category="All",G576=sel_Category),OR(sel_Product="All",H576=sel_Product),AND(S576&gt;=m_From,S576&lt;=m_To)),1,0)</f>
        <v/>
      </c>
      <c r="Y576" s="36">
        <f>IF(AND(OR(sel_Region="All",C576=sel_Region),OR(sel_Country="All",D576=sel_Country),OR(sel_Channel="All",E576=sel_Channel),OR(sel_Customer="All",F576=sel_Customer),OR(sel_Product="All",H576=sel_Product),AND(S576&gt;=m_From,S576&lt;=m_To)),1,0)</f>
        <v/>
      </c>
      <c r="Z576" s="36">
        <f>IF(AND(OR(sel_Region="All",C576=sel_Region),OR(sel_Country="All",D576=sel_Country),OR(sel_Channel="All",E576=sel_Channel),OR(sel_Customer="All",F576=sel_Customer),OR(sel_Category="All",G576=sel_Category),AND(S576&gt;=m_From,S576&lt;=m_To)),1,0)</f>
        <v/>
      </c>
      <c r="AA576" s="36">
        <f>IF(AND(OR(sel_Region="All",C576=sel_Region),OR(sel_Country="All",D576=sel_Country),OR(sel_Channel="All",E576=sel_Channel),OR(sel_Customer="All",F576=sel_Customer),OR(sel_Category="All",G576=sel_Category),OR(sel_Product="All",H576=sel_Product)),1,0)</f>
        <v/>
      </c>
    </row>
    <row r="577">
      <c r="A577" s="36" t="inlineStr">
        <is>
          <t>01703</t>
        </is>
      </c>
      <c r="B577" s="44" t="n">
        <v>46127</v>
      </c>
      <c r="C577" s="36" t="inlineStr">
        <is>
          <t>Central Europe</t>
        </is>
      </c>
      <c r="D577" s="36" t="inlineStr">
        <is>
          <t>Czechia</t>
        </is>
      </c>
      <c r="E577" s="36" t="inlineStr">
        <is>
          <t>Online Store</t>
        </is>
      </c>
      <c r="F577" s="36" t="inlineStr">
        <is>
          <t>Returning</t>
        </is>
      </c>
      <c r="G577" s="36" t="inlineStr">
        <is>
          <t>Hiking</t>
        </is>
      </c>
      <c r="H577" s="36" t="inlineStr">
        <is>
          <t>Hiking Daypack 20L</t>
        </is>
      </c>
      <c r="I577" s="36" t="n">
        <v>1</v>
      </c>
      <c r="J577" s="39" t="n">
        <v>90.52</v>
      </c>
      <c r="K577" s="45" t="n">
        <v>0</v>
      </c>
      <c r="L577" s="39" t="n">
        <v>46.5</v>
      </c>
      <c r="M577" s="39">
        <f>I577*J577*(1-K577)</f>
        <v/>
      </c>
      <c r="N577" s="39">
        <f>I577*L577</f>
        <v/>
      </c>
      <c r="O577" s="39">
        <f>M577-N577</f>
        <v/>
      </c>
      <c r="P577" s="38">
        <f>IF(M577=0,0,O577/M577)</f>
        <v/>
      </c>
      <c r="Q577" s="36">
        <f>YEAR(B577)</f>
        <v/>
      </c>
      <c r="R577" s="36">
        <f>"Q"&amp;ROUNDUP(MONTH(B577)/3,0)</f>
        <v/>
      </c>
      <c r="S577" s="36">
        <f>MONTH(B577)</f>
        <v/>
      </c>
      <c r="T577" s="36">
        <f>TEXT(B577,"mmm")</f>
        <v/>
      </c>
      <c r="U577" s="36">
        <f>IF(AND(OR(sel_Region="All",C577=sel_Region),OR(sel_Country="All",D577=sel_Country),OR(sel_Channel="All",E577=sel_Channel),OR(sel_Customer="All",F577=sel_Customer),OR(sel_Category="All",G577=sel_Category),OR(sel_Product="All",H577=sel_Product),AND(S577&gt;=m_From,S577&lt;=m_To)),1,0)</f>
        <v/>
      </c>
      <c r="V577" s="36">
        <f>IF(AND(OR(sel_Region="All",C577=sel_Region),OR(sel_Channel="All",E577=sel_Channel),OR(sel_Customer="All",F577=sel_Customer),OR(sel_Category="All",G577=sel_Category),OR(sel_Product="All",H577=sel_Product),AND(S577&gt;=m_From,S577&lt;=m_To)),1,0)</f>
        <v/>
      </c>
      <c r="W577" s="36">
        <f>IF(AND(OR(sel_Region="All",C577=sel_Region),OR(sel_Country="All",D577=sel_Country),OR(sel_Customer="All",F577=sel_Customer),OR(sel_Category="All",G577=sel_Category),OR(sel_Product="All",H577=sel_Product),AND(S577&gt;=m_From,S577&lt;=m_To)),1,0)</f>
        <v/>
      </c>
      <c r="X577" s="36">
        <f>IF(AND(OR(sel_Region="All",C577=sel_Region),OR(sel_Country="All",D577=sel_Country),OR(sel_Channel="All",E577=sel_Channel),OR(sel_Category="All",G577=sel_Category),OR(sel_Product="All",H577=sel_Product),AND(S577&gt;=m_From,S577&lt;=m_To)),1,0)</f>
        <v/>
      </c>
      <c r="Y577" s="36">
        <f>IF(AND(OR(sel_Region="All",C577=sel_Region),OR(sel_Country="All",D577=sel_Country),OR(sel_Channel="All",E577=sel_Channel),OR(sel_Customer="All",F577=sel_Customer),OR(sel_Product="All",H577=sel_Product),AND(S577&gt;=m_From,S577&lt;=m_To)),1,0)</f>
        <v/>
      </c>
      <c r="Z577" s="36">
        <f>IF(AND(OR(sel_Region="All",C577=sel_Region),OR(sel_Country="All",D577=sel_Country),OR(sel_Channel="All",E577=sel_Channel),OR(sel_Customer="All",F577=sel_Customer),OR(sel_Category="All",G577=sel_Category),AND(S577&gt;=m_From,S577&lt;=m_To)),1,0)</f>
        <v/>
      </c>
      <c r="AA577" s="36">
        <f>IF(AND(OR(sel_Region="All",C577=sel_Region),OR(sel_Country="All",D577=sel_Country),OR(sel_Channel="All",E577=sel_Channel),OR(sel_Customer="All",F577=sel_Customer),OR(sel_Category="All",G577=sel_Category),OR(sel_Product="All",H577=sel_Product)),1,0)</f>
        <v/>
      </c>
    </row>
    <row r="578">
      <c r="A578" s="36" t="inlineStr">
        <is>
          <t>02107</t>
        </is>
      </c>
      <c r="B578" s="44" t="n">
        <v>46127</v>
      </c>
      <c r="C578" s="36" t="inlineStr">
        <is>
          <t>Southern Europe</t>
        </is>
      </c>
      <c r="D578" s="36" t="inlineStr">
        <is>
          <t>Italy</t>
        </is>
      </c>
      <c r="E578" s="36" t="inlineStr">
        <is>
          <t>Online Store</t>
        </is>
      </c>
      <c r="F578" s="36" t="inlineStr">
        <is>
          <t>Returning</t>
        </is>
      </c>
      <c r="G578" s="36" t="inlineStr">
        <is>
          <t>Travel</t>
        </is>
      </c>
      <c r="H578" s="36" t="inlineStr">
        <is>
          <t>Travel Backpack 35L</t>
        </is>
      </c>
      <c r="I578" s="36" t="n">
        <v>5</v>
      </c>
      <c r="J578" s="39" t="n">
        <v>165.35</v>
      </c>
      <c r="K578" s="45" t="n">
        <v>0.05</v>
      </c>
      <c r="L578" s="39" t="n">
        <v>89.38</v>
      </c>
      <c r="M578" s="39">
        <f>I578*J578*(1-K578)</f>
        <v/>
      </c>
      <c r="N578" s="39">
        <f>I578*L578</f>
        <v/>
      </c>
      <c r="O578" s="39">
        <f>M578-N578</f>
        <v/>
      </c>
      <c r="P578" s="38">
        <f>IF(M578=0,0,O578/M578)</f>
        <v/>
      </c>
      <c r="Q578" s="36">
        <f>YEAR(B578)</f>
        <v/>
      </c>
      <c r="R578" s="36">
        <f>"Q"&amp;ROUNDUP(MONTH(B578)/3,0)</f>
        <v/>
      </c>
      <c r="S578" s="36">
        <f>MONTH(B578)</f>
        <v/>
      </c>
      <c r="T578" s="36">
        <f>TEXT(B578,"mmm")</f>
        <v/>
      </c>
      <c r="U578" s="36">
        <f>IF(AND(OR(sel_Region="All",C578=sel_Region),OR(sel_Country="All",D578=sel_Country),OR(sel_Channel="All",E578=sel_Channel),OR(sel_Customer="All",F578=sel_Customer),OR(sel_Category="All",G578=sel_Category),OR(sel_Product="All",H578=sel_Product),AND(S578&gt;=m_From,S578&lt;=m_To)),1,0)</f>
        <v/>
      </c>
      <c r="V578" s="36">
        <f>IF(AND(OR(sel_Region="All",C578=sel_Region),OR(sel_Channel="All",E578=sel_Channel),OR(sel_Customer="All",F578=sel_Customer),OR(sel_Category="All",G578=sel_Category),OR(sel_Product="All",H578=sel_Product),AND(S578&gt;=m_From,S578&lt;=m_To)),1,0)</f>
        <v/>
      </c>
      <c r="W578" s="36">
        <f>IF(AND(OR(sel_Region="All",C578=sel_Region),OR(sel_Country="All",D578=sel_Country),OR(sel_Customer="All",F578=sel_Customer),OR(sel_Category="All",G578=sel_Category),OR(sel_Product="All",H578=sel_Product),AND(S578&gt;=m_From,S578&lt;=m_To)),1,0)</f>
        <v/>
      </c>
      <c r="X578" s="36">
        <f>IF(AND(OR(sel_Region="All",C578=sel_Region),OR(sel_Country="All",D578=sel_Country),OR(sel_Channel="All",E578=sel_Channel),OR(sel_Category="All",G578=sel_Category),OR(sel_Product="All",H578=sel_Product),AND(S578&gt;=m_From,S578&lt;=m_To)),1,0)</f>
        <v/>
      </c>
      <c r="Y578" s="36">
        <f>IF(AND(OR(sel_Region="All",C578=sel_Region),OR(sel_Country="All",D578=sel_Country),OR(sel_Channel="All",E578=sel_Channel),OR(sel_Customer="All",F578=sel_Customer),OR(sel_Product="All",H578=sel_Product),AND(S578&gt;=m_From,S578&lt;=m_To)),1,0)</f>
        <v/>
      </c>
      <c r="Z578" s="36">
        <f>IF(AND(OR(sel_Region="All",C578=sel_Region),OR(sel_Country="All",D578=sel_Country),OR(sel_Channel="All",E578=sel_Channel),OR(sel_Customer="All",F578=sel_Customer),OR(sel_Category="All",G578=sel_Category),AND(S578&gt;=m_From,S578&lt;=m_To)),1,0)</f>
        <v/>
      </c>
      <c r="AA578" s="36">
        <f>IF(AND(OR(sel_Region="All",C578=sel_Region),OR(sel_Country="All",D578=sel_Country),OR(sel_Channel="All",E578=sel_Channel),OR(sel_Customer="All",F578=sel_Customer),OR(sel_Category="All",G578=sel_Category),OR(sel_Product="All",H578=sel_Product)),1,0)</f>
        <v/>
      </c>
    </row>
    <row r="579">
      <c r="A579" s="36" t="inlineStr">
        <is>
          <t>02265</t>
        </is>
      </c>
      <c r="B579" s="44" t="n">
        <v>46127</v>
      </c>
      <c r="C579" s="36" t="inlineStr">
        <is>
          <t>Central Europe</t>
        </is>
      </c>
      <c r="D579" s="36" t="inlineStr">
        <is>
          <t>Switzerland</t>
        </is>
      </c>
      <c r="E579" s="36" t="inlineStr">
        <is>
          <t>Retail Partners</t>
        </is>
      </c>
      <c r="F579" s="36" t="inlineStr">
        <is>
          <t>Returning</t>
        </is>
      </c>
      <c r="G579" s="36" t="inlineStr">
        <is>
          <t>Travel</t>
        </is>
      </c>
      <c r="H579" s="36" t="inlineStr">
        <is>
          <t>Insulated Bottle</t>
        </is>
      </c>
      <c r="I579" s="36" t="n">
        <v>2</v>
      </c>
      <c r="J579" s="39" t="n">
        <v>36.35</v>
      </c>
      <c r="K579" s="45" t="n">
        <v>0</v>
      </c>
      <c r="L579" s="39" t="n">
        <v>13.55</v>
      </c>
      <c r="M579" s="39">
        <f>I579*J579*(1-K579)</f>
        <v/>
      </c>
      <c r="N579" s="39">
        <f>I579*L579</f>
        <v/>
      </c>
      <c r="O579" s="39">
        <f>M579-N579</f>
        <v/>
      </c>
      <c r="P579" s="38">
        <f>IF(M579=0,0,O579/M579)</f>
        <v/>
      </c>
      <c r="Q579" s="36">
        <f>YEAR(B579)</f>
        <v/>
      </c>
      <c r="R579" s="36">
        <f>"Q"&amp;ROUNDUP(MONTH(B579)/3,0)</f>
        <v/>
      </c>
      <c r="S579" s="36">
        <f>MONTH(B579)</f>
        <v/>
      </c>
      <c r="T579" s="36">
        <f>TEXT(B579,"mmm")</f>
        <v/>
      </c>
      <c r="U579" s="36">
        <f>IF(AND(OR(sel_Region="All",C579=sel_Region),OR(sel_Country="All",D579=sel_Country),OR(sel_Channel="All",E579=sel_Channel),OR(sel_Customer="All",F579=sel_Customer),OR(sel_Category="All",G579=sel_Category),OR(sel_Product="All",H579=sel_Product),AND(S579&gt;=m_From,S579&lt;=m_To)),1,0)</f>
        <v/>
      </c>
      <c r="V579" s="36">
        <f>IF(AND(OR(sel_Region="All",C579=sel_Region),OR(sel_Channel="All",E579=sel_Channel),OR(sel_Customer="All",F579=sel_Customer),OR(sel_Category="All",G579=sel_Category),OR(sel_Product="All",H579=sel_Product),AND(S579&gt;=m_From,S579&lt;=m_To)),1,0)</f>
        <v/>
      </c>
      <c r="W579" s="36">
        <f>IF(AND(OR(sel_Region="All",C579=sel_Region),OR(sel_Country="All",D579=sel_Country),OR(sel_Customer="All",F579=sel_Customer),OR(sel_Category="All",G579=sel_Category),OR(sel_Product="All",H579=sel_Product),AND(S579&gt;=m_From,S579&lt;=m_To)),1,0)</f>
        <v/>
      </c>
      <c r="X579" s="36">
        <f>IF(AND(OR(sel_Region="All",C579=sel_Region),OR(sel_Country="All",D579=sel_Country),OR(sel_Channel="All",E579=sel_Channel),OR(sel_Category="All",G579=sel_Category),OR(sel_Product="All",H579=sel_Product),AND(S579&gt;=m_From,S579&lt;=m_To)),1,0)</f>
        <v/>
      </c>
      <c r="Y579" s="36">
        <f>IF(AND(OR(sel_Region="All",C579=sel_Region),OR(sel_Country="All",D579=sel_Country),OR(sel_Channel="All",E579=sel_Channel),OR(sel_Customer="All",F579=sel_Customer),OR(sel_Product="All",H579=sel_Product),AND(S579&gt;=m_From,S579&lt;=m_To)),1,0)</f>
        <v/>
      </c>
      <c r="Z579" s="36">
        <f>IF(AND(OR(sel_Region="All",C579=sel_Region),OR(sel_Country="All",D579=sel_Country),OR(sel_Channel="All",E579=sel_Channel),OR(sel_Customer="All",F579=sel_Customer),OR(sel_Category="All",G579=sel_Category),AND(S579&gt;=m_From,S579&lt;=m_To)),1,0)</f>
        <v/>
      </c>
      <c r="AA579" s="36">
        <f>IF(AND(OR(sel_Region="All",C579=sel_Region),OR(sel_Country="All",D579=sel_Country),OR(sel_Channel="All",E579=sel_Channel),OR(sel_Customer="All",F579=sel_Customer),OR(sel_Category="All",G579=sel_Category),OR(sel_Product="All",H579=sel_Product)),1,0)</f>
        <v/>
      </c>
    </row>
    <row r="580">
      <c r="A580" s="36" t="inlineStr">
        <is>
          <t>02839</t>
        </is>
      </c>
      <c r="B580" s="44" t="n">
        <v>46127</v>
      </c>
      <c r="C580" s="36" t="inlineStr">
        <is>
          <t>Central Europe</t>
        </is>
      </c>
      <c r="D580" s="36" t="inlineStr">
        <is>
          <t>Poland</t>
        </is>
      </c>
      <c r="E580" s="36" t="inlineStr">
        <is>
          <t>Retail Partners</t>
        </is>
      </c>
      <c r="F580" s="36" t="inlineStr">
        <is>
          <t>New</t>
        </is>
      </c>
      <c r="G580" s="36" t="inlineStr">
        <is>
          <t>Travel</t>
        </is>
      </c>
      <c r="H580" s="36" t="inlineStr">
        <is>
          <t>Packing Cube Set</t>
        </is>
      </c>
      <c r="I580" s="36" t="n">
        <v>1</v>
      </c>
      <c r="J580" s="39" t="n">
        <v>47</v>
      </c>
      <c r="K580" s="45" t="n">
        <v>0</v>
      </c>
      <c r="L580" s="39" t="n">
        <v>18.64</v>
      </c>
      <c r="M580" s="39">
        <f>I580*J580*(1-K580)</f>
        <v/>
      </c>
      <c r="N580" s="39">
        <f>I580*L580</f>
        <v/>
      </c>
      <c r="O580" s="39">
        <f>M580-N580</f>
        <v/>
      </c>
      <c r="P580" s="38">
        <f>IF(M580=0,0,O580/M580)</f>
        <v/>
      </c>
      <c r="Q580" s="36">
        <f>YEAR(B580)</f>
        <v/>
      </c>
      <c r="R580" s="36">
        <f>"Q"&amp;ROUNDUP(MONTH(B580)/3,0)</f>
        <v/>
      </c>
      <c r="S580" s="36">
        <f>MONTH(B580)</f>
        <v/>
      </c>
      <c r="T580" s="36">
        <f>TEXT(B580,"mmm")</f>
        <v/>
      </c>
      <c r="U580" s="36">
        <f>IF(AND(OR(sel_Region="All",C580=sel_Region),OR(sel_Country="All",D580=sel_Country),OR(sel_Channel="All",E580=sel_Channel),OR(sel_Customer="All",F580=sel_Customer),OR(sel_Category="All",G580=sel_Category),OR(sel_Product="All",H580=sel_Product),AND(S580&gt;=m_From,S580&lt;=m_To)),1,0)</f>
        <v/>
      </c>
      <c r="V580" s="36">
        <f>IF(AND(OR(sel_Region="All",C580=sel_Region),OR(sel_Channel="All",E580=sel_Channel),OR(sel_Customer="All",F580=sel_Customer),OR(sel_Category="All",G580=sel_Category),OR(sel_Product="All",H580=sel_Product),AND(S580&gt;=m_From,S580&lt;=m_To)),1,0)</f>
        <v/>
      </c>
      <c r="W580" s="36">
        <f>IF(AND(OR(sel_Region="All",C580=sel_Region),OR(sel_Country="All",D580=sel_Country),OR(sel_Customer="All",F580=sel_Customer),OR(sel_Category="All",G580=sel_Category),OR(sel_Product="All",H580=sel_Product),AND(S580&gt;=m_From,S580&lt;=m_To)),1,0)</f>
        <v/>
      </c>
      <c r="X580" s="36">
        <f>IF(AND(OR(sel_Region="All",C580=sel_Region),OR(sel_Country="All",D580=sel_Country),OR(sel_Channel="All",E580=sel_Channel),OR(sel_Category="All",G580=sel_Category),OR(sel_Product="All",H580=sel_Product),AND(S580&gt;=m_From,S580&lt;=m_To)),1,0)</f>
        <v/>
      </c>
      <c r="Y580" s="36">
        <f>IF(AND(OR(sel_Region="All",C580=sel_Region),OR(sel_Country="All",D580=sel_Country),OR(sel_Channel="All",E580=sel_Channel),OR(sel_Customer="All",F580=sel_Customer),OR(sel_Product="All",H580=sel_Product),AND(S580&gt;=m_From,S580&lt;=m_To)),1,0)</f>
        <v/>
      </c>
      <c r="Z580" s="36">
        <f>IF(AND(OR(sel_Region="All",C580=sel_Region),OR(sel_Country="All",D580=sel_Country),OR(sel_Channel="All",E580=sel_Channel),OR(sel_Customer="All",F580=sel_Customer),OR(sel_Category="All",G580=sel_Category),AND(S580&gt;=m_From,S580&lt;=m_To)),1,0)</f>
        <v/>
      </c>
      <c r="AA580" s="36">
        <f>IF(AND(OR(sel_Region="All",C580=sel_Region),OR(sel_Country="All",D580=sel_Country),OR(sel_Channel="All",E580=sel_Channel),OR(sel_Customer="All",F580=sel_Customer),OR(sel_Category="All",G580=sel_Category),OR(sel_Product="All",H580=sel_Product)),1,0)</f>
        <v/>
      </c>
    </row>
    <row r="581">
      <c r="A581" s="36" t="inlineStr">
        <is>
          <t>04742</t>
        </is>
      </c>
      <c r="B581" s="44" t="n">
        <v>46127</v>
      </c>
      <c r="C581" s="36" t="inlineStr">
        <is>
          <t>Western Europe</t>
        </is>
      </c>
      <c r="D581" s="36" t="inlineStr">
        <is>
          <t>France</t>
        </is>
      </c>
      <c r="E581" s="36" t="inlineStr">
        <is>
          <t>Marketplace</t>
        </is>
      </c>
      <c r="F581" s="36" t="inlineStr">
        <is>
          <t>Returning</t>
        </is>
      </c>
      <c r="G581" s="36" t="inlineStr">
        <is>
          <t>Travel</t>
        </is>
      </c>
      <c r="H581" s="36" t="inlineStr">
        <is>
          <t>Packing Cube Set</t>
        </is>
      </c>
      <c r="I581" s="36" t="n">
        <v>1</v>
      </c>
      <c r="J581" s="39" t="n">
        <v>46.86</v>
      </c>
      <c r="K581" s="45" t="n">
        <v>0</v>
      </c>
      <c r="L581" s="39" t="n">
        <v>18.19</v>
      </c>
      <c r="M581" s="39">
        <f>I581*J581*(1-K581)</f>
        <v/>
      </c>
      <c r="N581" s="39">
        <f>I581*L581</f>
        <v/>
      </c>
      <c r="O581" s="39">
        <f>M581-N581</f>
        <v/>
      </c>
      <c r="P581" s="38">
        <f>IF(M581=0,0,O581/M581)</f>
        <v/>
      </c>
      <c r="Q581" s="36">
        <f>YEAR(B581)</f>
        <v/>
      </c>
      <c r="R581" s="36">
        <f>"Q"&amp;ROUNDUP(MONTH(B581)/3,0)</f>
        <v/>
      </c>
      <c r="S581" s="36">
        <f>MONTH(B581)</f>
        <v/>
      </c>
      <c r="T581" s="36">
        <f>TEXT(B581,"mmm")</f>
        <v/>
      </c>
      <c r="U581" s="36">
        <f>IF(AND(OR(sel_Region="All",C581=sel_Region),OR(sel_Country="All",D581=sel_Country),OR(sel_Channel="All",E581=sel_Channel),OR(sel_Customer="All",F581=sel_Customer),OR(sel_Category="All",G581=sel_Category),OR(sel_Product="All",H581=sel_Product),AND(S581&gt;=m_From,S581&lt;=m_To)),1,0)</f>
        <v/>
      </c>
      <c r="V581" s="36">
        <f>IF(AND(OR(sel_Region="All",C581=sel_Region),OR(sel_Channel="All",E581=sel_Channel),OR(sel_Customer="All",F581=sel_Customer),OR(sel_Category="All",G581=sel_Category),OR(sel_Product="All",H581=sel_Product),AND(S581&gt;=m_From,S581&lt;=m_To)),1,0)</f>
        <v/>
      </c>
      <c r="W581" s="36">
        <f>IF(AND(OR(sel_Region="All",C581=sel_Region),OR(sel_Country="All",D581=sel_Country),OR(sel_Customer="All",F581=sel_Customer),OR(sel_Category="All",G581=sel_Category),OR(sel_Product="All",H581=sel_Product),AND(S581&gt;=m_From,S581&lt;=m_To)),1,0)</f>
        <v/>
      </c>
      <c r="X581" s="36">
        <f>IF(AND(OR(sel_Region="All",C581=sel_Region),OR(sel_Country="All",D581=sel_Country),OR(sel_Channel="All",E581=sel_Channel),OR(sel_Category="All",G581=sel_Category),OR(sel_Product="All",H581=sel_Product),AND(S581&gt;=m_From,S581&lt;=m_To)),1,0)</f>
        <v/>
      </c>
      <c r="Y581" s="36">
        <f>IF(AND(OR(sel_Region="All",C581=sel_Region),OR(sel_Country="All",D581=sel_Country),OR(sel_Channel="All",E581=sel_Channel),OR(sel_Customer="All",F581=sel_Customer),OR(sel_Product="All",H581=sel_Product),AND(S581&gt;=m_From,S581&lt;=m_To)),1,0)</f>
        <v/>
      </c>
      <c r="Z581" s="36">
        <f>IF(AND(OR(sel_Region="All",C581=sel_Region),OR(sel_Country="All",D581=sel_Country),OR(sel_Channel="All",E581=sel_Channel),OR(sel_Customer="All",F581=sel_Customer),OR(sel_Category="All",G581=sel_Category),AND(S581&gt;=m_From,S581&lt;=m_To)),1,0)</f>
        <v/>
      </c>
      <c r="AA581" s="36">
        <f>IF(AND(OR(sel_Region="All",C581=sel_Region),OR(sel_Country="All",D581=sel_Country),OR(sel_Channel="All",E581=sel_Channel),OR(sel_Customer="All",F581=sel_Customer),OR(sel_Category="All",G581=sel_Category),OR(sel_Product="All",H581=sel_Product)),1,0)</f>
        <v/>
      </c>
    </row>
    <row r="582">
      <c r="A582" s="36" t="inlineStr">
        <is>
          <t>04899</t>
        </is>
      </c>
      <c r="B582" s="44" t="n">
        <v>46127</v>
      </c>
      <c r="C582" s="36" t="inlineStr">
        <is>
          <t>Southern Europe</t>
        </is>
      </c>
      <c r="D582" s="36" t="inlineStr">
        <is>
          <t>Portugal</t>
        </is>
      </c>
      <c r="E582" s="36" t="inlineStr">
        <is>
          <t>Online Store</t>
        </is>
      </c>
      <c r="F582" s="36" t="inlineStr">
        <is>
          <t>New</t>
        </is>
      </c>
      <c r="G582" s="36" t="inlineStr">
        <is>
          <t>Camping</t>
        </is>
      </c>
      <c r="H582" s="36" t="inlineStr">
        <is>
          <t>Portable Camp Stove</t>
        </is>
      </c>
      <c r="I582" s="36" t="n">
        <v>2</v>
      </c>
      <c r="J582" s="39" t="n">
        <v>82.13</v>
      </c>
      <c r="K582" s="45" t="n">
        <v>0.05</v>
      </c>
      <c r="L582" s="39" t="n">
        <v>39.91</v>
      </c>
      <c r="M582" s="39">
        <f>I582*J582*(1-K582)</f>
        <v/>
      </c>
      <c r="N582" s="39">
        <f>I582*L582</f>
        <v/>
      </c>
      <c r="O582" s="39">
        <f>M582-N582</f>
        <v/>
      </c>
      <c r="P582" s="38">
        <f>IF(M582=0,0,O582/M582)</f>
        <v/>
      </c>
      <c r="Q582" s="36">
        <f>YEAR(B582)</f>
        <v/>
      </c>
      <c r="R582" s="36">
        <f>"Q"&amp;ROUNDUP(MONTH(B582)/3,0)</f>
        <v/>
      </c>
      <c r="S582" s="36">
        <f>MONTH(B582)</f>
        <v/>
      </c>
      <c r="T582" s="36">
        <f>TEXT(B582,"mmm")</f>
        <v/>
      </c>
      <c r="U582" s="36">
        <f>IF(AND(OR(sel_Region="All",C582=sel_Region),OR(sel_Country="All",D582=sel_Country),OR(sel_Channel="All",E582=sel_Channel),OR(sel_Customer="All",F582=sel_Customer),OR(sel_Category="All",G582=sel_Category),OR(sel_Product="All",H582=sel_Product),AND(S582&gt;=m_From,S582&lt;=m_To)),1,0)</f>
        <v/>
      </c>
      <c r="V582" s="36">
        <f>IF(AND(OR(sel_Region="All",C582=sel_Region),OR(sel_Channel="All",E582=sel_Channel),OR(sel_Customer="All",F582=sel_Customer),OR(sel_Category="All",G582=sel_Category),OR(sel_Product="All",H582=sel_Product),AND(S582&gt;=m_From,S582&lt;=m_To)),1,0)</f>
        <v/>
      </c>
      <c r="W582" s="36">
        <f>IF(AND(OR(sel_Region="All",C582=sel_Region),OR(sel_Country="All",D582=sel_Country),OR(sel_Customer="All",F582=sel_Customer),OR(sel_Category="All",G582=sel_Category),OR(sel_Product="All",H582=sel_Product),AND(S582&gt;=m_From,S582&lt;=m_To)),1,0)</f>
        <v/>
      </c>
      <c r="X582" s="36">
        <f>IF(AND(OR(sel_Region="All",C582=sel_Region),OR(sel_Country="All",D582=sel_Country),OR(sel_Channel="All",E582=sel_Channel),OR(sel_Category="All",G582=sel_Category),OR(sel_Product="All",H582=sel_Product),AND(S582&gt;=m_From,S582&lt;=m_To)),1,0)</f>
        <v/>
      </c>
      <c r="Y582" s="36">
        <f>IF(AND(OR(sel_Region="All",C582=sel_Region),OR(sel_Country="All",D582=sel_Country),OR(sel_Channel="All",E582=sel_Channel),OR(sel_Customer="All",F582=sel_Customer),OR(sel_Product="All",H582=sel_Product),AND(S582&gt;=m_From,S582&lt;=m_To)),1,0)</f>
        <v/>
      </c>
      <c r="Z582" s="36">
        <f>IF(AND(OR(sel_Region="All",C582=sel_Region),OR(sel_Country="All",D582=sel_Country),OR(sel_Channel="All",E582=sel_Channel),OR(sel_Customer="All",F582=sel_Customer),OR(sel_Category="All",G582=sel_Category),AND(S582&gt;=m_From,S582&lt;=m_To)),1,0)</f>
        <v/>
      </c>
      <c r="AA582" s="36">
        <f>IF(AND(OR(sel_Region="All",C582=sel_Region),OR(sel_Country="All",D582=sel_Country),OR(sel_Channel="All",E582=sel_Channel),OR(sel_Customer="All",F582=sel_Customer),OR(sel_Category="All",G582=sel_Category),OR(sel_Product="All",H582=sel_Product)),1,0)</f>
        <v/>
      </c>
    </row>
    <row r="583">
      <c r="A583" s="36" t="inlineStr">
        <is>
          <t>05042</t>
        </is>
      </c>
      <c r="B583" s="44" t="n">
        <v>46127</v>
      </c>
      <c r="C583" s="36" t="inlineStr">
        <is>
          <t>Central Europe</t>
        </is>
      </c>
      <c r="D583" s="36" t="inlineStr">
        <is>
          <t>Austria</t>
        </is>
      </c>
      <c r="E583" s="36" t="inlineStr">
        <is>
          <t>Retail Partners</t>
        </is>
      </c>
      <c r="F583" s="36" t="inlineStr">
        <is>
          <t>Business</t>
        </is>
      </c>
      <c r="G583" s="36" t="inlineStr">
        <is>
          <t>Travel</t>
        </is>
      </c>
      <c r="H583" s="36" t="inlineStr">
        <is>
          <t>Travel Backpack 35L</t>
        </is>
      </c>
      <c r="I583" s="36" t="n">
        <v>1</v>
      </c>
      <c r="J583" s="39" t="n">
        <v>163.16</v>
      </c>
      <c r="K583" s="45" t="n">
        <v>0</v>
      </c>
      <c r="L583" s="39" t="n">
        <v>88.78</v>
      </c>
      <c r="M583" s="39">
        <f>I583*J583*(1-K583)</f>
        <v/>
      </c>
      <c r="N583" s="39">
        <f>I583*L583</f>
        <v/>
      </c>
      <c r="O583" s="39">
        <f>M583-N583</f>
        <v/>
      </c>
      <c r="P583" s="38">
        <f>IF(M583=0,0,O583/M583)</f>
        <v/>
      </c>
      <c r="Q583" s="36">
        <f>YEAR(B583)</f>
        <v/>
      </c>
      <c r="R583" s="36">
        <f>"Q"&amp;ROUNDUP(MONTH(B583)/3,0)</f>
        <v/>
      </c>
      <c r="S583" s="36">
        <f>MONTH(B583)</f>
        <v/>
      </c>
      <c r="T583" s="36">
        <f>TEXT(B583,"mmm")</f>
        <v/>
      </c>
      <c r="U583" s="36">
        <f>IF(AND(OR(sel_Region="All",C583=sel_Region),OR(sel_Country="All",D583=sel_Country),OR(sel_Channel="All",E583=sel_Channel),OR(sel_Customer="All",F583=sel_Customer),OR(sel_Category="All",G583=sel_Category),OR(sel_Product="All",H583=sel_Product),AND(S583&gt;=m_From,S583&lt;=m_To)),1,0)</f>
        <v/>
      </c>
      <c r="V583" s="36">
        <f>IF(AND(OR(sel_Region="All",C583=sel_Region),OR(sel_Channel="All",E583=sel_Channel),OR(sel_Customer="All",F583=sel_Customer),OR(sel_Category="All",G583=sel_Category),OR(sel_Product="All",H583=sel_Product),AND(S583&gt;=m_From,S583&lt;=m_To)),1,0)</f>
        <v/>
      </c>
      <c r="W583" s="36">
        <f>IF(AND(OR(sel_Region="All",C583=sel_Region),OR(sel_Country="All",D583=sel_Country),OR(sel_Customer="All",F583=sel_Customer),OR(sel_Category="All",G583=sel_Category),OR(sel_Product="All",H583=sel_Product),AND(S583&gt;=m_From,S583&lt;=m_To)),1,0)</f>
        <v/>
      </c>
      <c r="X583" s="36">
        <f>IF(AND(OR(sel_Region="All",C583=sel_Region),OR(sel_Country="All",D583=sel_Country),OR(sel_Channel="All",E583=sel_Channel),OR(sel_Category="All",G583=sel_Category),OR(sel_Product="All",H583=sel_Product),AND(S583&gt;=m_From,S583&lt;=m_To)),1,0)</f>
        <v/>
      </c>
      <c r="Y583" s="36">
        <f>IF(AND(OR(sel_Region="All",C583=sel_Region),OR(sel_Country="All",D583=sel_Country),OR(sel_Channel="All",E583=sel_Channel),OR(sel_Customer="All",F583=sel_Customer),OR(sel_Product="All",H583=sel_Product),AND(S583&gt;=m_From,S583&lt;=m_To)),1,0)</f>
        <v/>
      </c>
      <c r="Z583" s="36">
        <f>IF(AND(OR(sel_Region="All",C583=sel_Region),OR(sel_Country="All",D583=sel_Country),OR(sel_Channel="All",E583=sel_Channel),OR(sel_Customer="All",F583=sel_Customer),OR(sel_Category="All",G583=sel_Category),AND(S583&gt;=m_From,S583&lt;=m_To)),1,0)</f>
        <v/>
      </c>
      <c r="AA583" s="36">
        <f>IF(AND(OR(sel_Region="All",C583=sel_Region),OR(sel_Country="All",D583=sel_Country),OR(sel_Channel="All",E583=sel_Channel),OR(sel_Customer="All",F583=sel_Customer),OR(sel_Category="All",G583=sel_Category),OR(sel_Product="All",H583=sel_Product)),1,0)</f>
        <v/>
      </c>
    </row>
    <row r="584">
      <c r="A584" s="36" t="inlineStr">
        <is>
          <t>02248</t>
        </is>
      </c>
      <c r="B584" s="44" t="n">
        <v>46128</v>
      </c>
      <c r="C584" s="36" t="inlineStr">
        <is>
          <t>Southern Europe</t>
        </is>
      </c>
      <c r="D584" s="36" t="inlineStr">
        <is>
          <t>Italy</t>
        </is>
      </c>
      <c r="E584" s="36" t="inlineStr">
        <is>
          <t>Retail Partners</t>
        </is>
      </c>
      <c r="F584" s="36" t="inlineStr">
        <is>
          <t>New</t>
        </is>
      </c>
      <c r="G584" s="36" t="inlineStr">
        <is>
          <t>Travel</t>
        </is>
      </c>
      <c r="H584" s="36" t="inlineStr">
        <is>
          <t>Insulated Bottle</t>
        </is>
      </c>
      <c r="I584" s="36" t="n">
        <v>2</v>
      </c>
      <c r="J584" s="39" t="n">
        <v>36.68</v>
      </c>
      <c r="K584" s="45" t="n">
        <v>0.1</v>
      </c>
      <c r="L584" s="39" t="n">
        <v>13.92</v>
      </c>
      <c r="M584" s="39">
        <f>I584*J584*(1-K584)</f>
        <v/>
      </c>
      <c r="N584" s="39">
        <f>I584*L584</f>
        <v/>
      </c>
      <c r="O584" s="39">
        <f>M584-N584</f>
        <v/>
      </c>
      <c r="P584" s="38">
        <f>IF(M584=0,0,O584/M584)</f>
        <v/>
      </c>
      <c r="Q584" s="36">
        <f>YEAR(B584)</f>
        <v/>
      </c>
      <c r="R584" s="36">
        <f>"Q"&amp;ROUNDUP(MONTH(B584)/3,0)</f>
        <v/>
      </c>
      <c r="S584" s="36">
        <f>MONTH(B584)</f>
        <v/>
      </c>
      <c r="T584" s="36">
        <f>TEXT(B584,"mmm")</f>
        <v/>
      </c>
      <c r="U584" s="36">
        <f>IF(AND(OR(sel_Region="All",C584=sel_Region),OR(sel_Country="All",D584=sel_Country),OR(sel_Channel="All",E584=sel_Channel),OR(sel_Customer="All",F584=sel_Customer),OR(sel_Category="All",G584=sel_Category),OR(sel_Product="All",H584=sel_Product),AND(S584&gt;=m_From,S584&lt;=m_To)),1,0)</f>
        <v/>
      </c>
      <c r="V584" s="36">
        <f>IF(AND(OR(sel_Region="All",C584=sel_Region),OR(sel_Channel="All",E584=sel_Channel),OR(sel_Customer="All",F584=sel_Customer),OR(sel_Category="All",G584=sel_Category),OR(sel_Product="All",H584=sel_Product),AND(S584&gt;=m_From,S584&lt;=m_To)),1,0)</f>
        <v/>
      </c>
      <c r="W584" s="36">
        <f>IF(AND(OR(sel_Region="All",C584=sel_Region),OR(sel_Country="All",D584=sel_Country),OR(sel_Customer="All",F584=sel_Customer),OR(sel_Category="All",G584=sel_Category),OR(sel_Product="All",H584=sel_Product),AND(S584&gt;=m_From,S584&lt;=m_To)),1,0)</f>
        <v/>
      </c>
      <c r="X584" s="36">
        <f>IF(AND(OR(sel_Region="All",C584=sel_Region),OR(sel_Country="All",D584=sel_Country),OR(sel_Channel="All",E584=sel_Channel),OR(sel_Category="All",G584=sel_Category),OR(sel_Product="All",H584=sel_Product),AND(S584&gt;=m_From,S584&lt;=m_To)),1,0)</f>
        <v/>
      </c>
      <c r="Y584" s="36">
        <f>IF(AND(OR(sel_Region="All",C584=sel_Region),OR(sel_Country="All",D584=sel_Country),OR(sel_Channel="All",E584=sel_Channel),OR(sel_Customer="All",F584=sel_Customer),OR(sel_Product="All",H584=sel_Product),AND(S584&gt;=m_From,S584&lt;=m_To)),1,0)</f>
        <v/>
      </c>
      <c r="Z584" s="36">
        <f>IF(AND(OR(sel_Region="All",C584=sel_Region),OR(sel_Country="All",D584=sel_Country),OR(sel_Channel="All",E584=sel_Channel),OR(sel_Customer="All",F584=sel_Customer),OR(sel_Category="All",G584=sel_Category),AND(S584&gt;=m_From,S584&lt;=m_To)),1,0)</f>
        <v/>
      </c>
      <c r="AA584" s="36">
        <f>IF(AND(OR(sel_Region="All",C584=sel_Region),OR(sel_Country="All",D584=sel_Country),OR(sel_Channel="All",E584=sel_Channel),OR(sel_Customer="All",F584=sel_Customer),OR(sel_Category="All",G584=sel_Category),OR(sel_Product="All",H584=sel_Product)),1,0)</f>
        <v/>
      </c>
    </row>
    <row r="585">
      <c r="A585" s="36" t="inlineStr">
        <is>
          <t>02427</t>
        </is>
      </c>
      <c r="B585" s="44" t="n">
        <v>46128</v>
      </c>
      <c r="C585" s="36" t="inlineStr">
        <is>
          <t>Western Europe</t>
        </is>
      </c>
      <c r="D585" s="36" t="inlineStr">
        <is>
          <t>France</t>
        </is>
      </c>
      <c r="E585" s="36" t="inlineStr">
        <is>
          <t>Online Store</t>
        </is>
      </c>
      <c r="F585" s="36" t="inlineStr">
        <is>
          <t>New</t>
        </is>
      </c>
      <c r="G585" s="36" t="inlineStr">
        <is>
          <t>Travel</t>
        </is>
      </c>
      <c r="H585" s="36" t="inlineStr">
        <is>
          <t>Packing Cube Set</t>
        </is>
      </c>
      <c r="I585" s="36" t="n">
        <v>1</v>
      </c>
      <c r="J585" s="39" t="n">
        <v>45.82</v>
      </c>
      <c r="K585" s="45" t="n">
        <v>0.1</v>
      </c>
      <c r="L585" s="39" t="n">
        <v>18.48</v>
      </c>
      <c r="M585" s="39">
        <f>I585*J585*(1-K585)</f>
        <v/>
      </c>
      <c r="N585" s="39">
        <f>I585*L585</f>
        <v/>
      </c>
      <c r="O585" s="39">
        <f>M585-N585</f>
        <v/>
      </c>
      <c r="P585" s="38">
        <f>IF(M585=0,0,O585/M585)</f>
        <v/>
      </c>
      <c r="Q585" s="36">
        <f>YEAR(B585)</f>
        <v/>
      </c>
      <c r="R585" s="36">
        <f>"Q"&amp;ROUNDUP(MONTH(B585)/3,0)</f>
        <v/>
      </c>
      <c r="S585" s="36">
        <f>MONTH(B585)</f>
        <v/>
      </c>
      <c r="T585" s="36">
        <f>TEXT(B585,"mmm")</f>
        <v/>
      </c>
      <c r="U585" s="36">
        <f>IF(AND(OR(sel_Region="All",C585=sel_Region),OR(sel_Country="All",D585=sel_Country),OR(sel_Channel="All",E585=sel_Channel),OR(sel_Customer="All",F585=sel_Customer),OR(sel_Category="All",G585=sel_Category),OR(sel_Product="All",H585=sel_Product),AND(S585&gt;=m_From,S585&lt;=m_To)),1,0)</f>
        <v/>
      </c>
      <c r="V585" s="36">
        <f>IF(AND(OR(sel_Region="All",C585=sel_Region),OR(sel_Channel="All",E585=sel_Channel),OR(sel_Customer="All",F585=sel_Customer),OR(sel_Category="All",G585=sel_Category),OR(sel_Product="All",H585=sel_Product),AND(S585&gt;=m_From,S585&lt;=m_To)),1,0)</f>
        <v/>
      </c>
      <c r="W585" s="36">
        <f>IF(AND(OR(sel_Region="All",C585=sel_Region),OR(sel_Country="All",D585=sel_Country),OR(sel_Customer="All",F585=sel_Customer),OR(sel_Category="All",G585=sel_Category),OR(sel_Product="All",H585=sel_Product),AND(S585&gt;=m_From,S585&lt;=m_To)),1,0)</f>
        <v/>
      </c>
      <c r="X585" s="36">
        <f>IF(AND(OR(sel_Region="All",C585=sel_Region),OR(sel_Country="All",D585=sel_Country),OR(sel_Channel="All",E585=sel_Channel),OR(sel_Category="All",G585=sel_Category),OR(sel_Product="All",H585=sel_Product),AND(S585&gt;=m_From,S585&lt;=m_To)),1,0)</f>
        <v/>
      </c>
      <c r="Y585" s="36">
        <f>IF(AND(OR(sel_Region="All",C585=sel_Region),OR(sel_Country="All",D585=sel_Country),OR(sel_Channel="All",E585=sel_Channel),OR(sel_Customer="All",F585=sel_Customer),OR(sel_Product="All",H585=sel_Product),AND(S585&gt;=m_From,S585&lt;=m_To)),1,0)</f>
        <v/>
      </c>
      <c r="Z585" s="36">
        <f>IF(AND(OR(sel_Region="All",C585=sel_Region),OR(sel_Country="All",D585=sel_Country),OR(sel_Channel="All",E585=sel_Channel),OR(sel_Customer="All",F585=sel_Customer),OR(sel_Category="All",G585=sel_Category),AND(S585&gt;=m_From,S585&lt;=m_To)),1,0)</f>
        <v/>
      </c>
      <c r="AA585" s="36">
        <f>IF(AND(OR(sel_Region="All",C585=sel_Region),OR(sel_Country="All",D585=sel_Country),OR(sel_Channel="All",E585=sel_Channel),OR(sel_Customer="All",F585=sel_Customer),OR(sel_Category="All",G585=sel_Category),OR(sel_Product="All",H585=sel_Product)),1,0)</f>
        <v/>
      </c>
    </row>
    <row r="586">
      <c r="A586" s="36" t="inlineStr">
        <is>
          <t>02445</t>
        </is>
      </c>
      <c r="B586" s="44" t="n">
        <v>46128</v>
      </c>
      <c r="C586" s="36" t="inlineStr">
        <is>
          <t>Southern Europe</t>
        </is>
      </c>
      <c r="D586" s="36" t="inlineStr">
        <is>
          <t>Italy</t>
        </is>
      </c>
      <c r="E586" s="36" t="inlineStr">
        <is>
          <t>Online Store</t>
        </is>
      </c>
      <c r="F586" s="36" t="inlineStr">
        <is>
          <t>Returning</t>
        </is>
      </c>
      <c r="G586" s="36" t="inlineStr">
        <is>
          <t>Hiking</t>
        </is>
      </c>
      <c r="H586" s="36" t="inlineStr">
        <is>
          <t>Trekking Poles</t>
        </is>
      </c>
      <c r="I586" s="36" t="n">
        <v>1</v>
      </c>
      <c r="J586" s="39" t="n">
        <v>70.95</v>
      </c>
      <c r="K586" s="45" t="n">
        <v>0</v>
      </c>
      <c r="L586" s="39" t="n">
        <v>31.43</v>
      </c>
      <c r="M586" s="39">
        <f>I586*J586*(1-K586)</f>
        <v/>
      </c>
      <c r="N586" s="39">
        <f>I586*L586</f>
        <v/>
      </c>
      <c r="O586" s="39">
        <f>M586-N586</f>
        <v/>
      </c>
      <c r="P586" s="38">
        <f>IF(M586=0,0,O586/M586)</f>
        <v/>
      </c>
      <c r="Q586" s="36">
        <f>YEAR(B586)</f>
        <v/>
      </c>
      <c r="R586" s="36">
        <f>"Q"&amp;ROUNDUP(MONTH(B586)/3,0)</f>
        <v/>
      </c>
      <c r="S586" s="36">
        <f>MONTH(B586)</f>
        <v/>
      </c>
      <c r="T586" s="36">
        <f>TEXT(B586,"mmm")</f>
        <v/>
      </c>
      <c r="U586" s="36">
        <f>IF(AND(OR(sel_Region="All",C586=sel_Region),OR(sel_Country="All",D586=sel_Country),OR(sel_Channel="All",E586=sel_Channel),OR(sel_Customer="All",F586=sel_Customer),OR(sel_Category="All",G586=sel_Category),OR(sel_Product="All",H586=sel_Product),AND(S586&gt;=m_From,S586&lt;=m_To)),1,0)</f>
        <v/>
      </c>
      <c r="V586" s="36">
        <f>IF(AND(OR(sel_Region="All",C586=sel_Region),OR(sel_Channel="All",E586=sel_Channel),OR(sel_Customer="All",F586=sel_Customer),OR(sel_Category="All",G586=sel_Category),OR(sel_Product="All",H586=sel_Product),AND(S586&gt;=m_From,S586&lt;=m_To)),1,0)</f>
        <v/>
      </c>
      <c r="W586" s="36">
        <f>IF(AND(OR(sel_Region="All",C586=sel_Region),OR(sel_Country="All",D586=sel_Country),OR(sel_Customer="All",F586=sel_Customer),OR(sel_Category="All",G586=sel_Category),OR(sel_Product="All",H586=sel_Product),AND(S586&gt;=m_From,S586&lt;=m_To)),1,0)</f>
        <v/>
      </c>
      <c r="X586" s="36">
        <f>IF(AND(OR(sel_Region="All",C586=sel_Region),OR(sel_Country="All",D586=sel_Country),OR(sel_Channel="All",E586=sel_Channel),OR(sel_Category="All",G586=sel_Category),OR(sel_Product="All",H586=sel_Product),AND(S586&gt;=m_From,S586&lt;=m_To)),1,0)</f>
        <v/>
      </c>
      <c r="Y586" s="36">
        <f>IF(AND(OR(sel_Region="All",C586=sel_Region),OR(sel_Country="All",D586=sel_Country),OR(sel_Channel="All",E586=sel_Channel),OR(sel_Customer="All",F586=sel_Customer),OR(sel_Product="All",H586=sel_Product),AND(S586&gt;=m_From,S586&lt;=m_To)),1,0)</f>
        <v/>
      </c>
      <c r="Z586" s="36">
        <f>IF(AND(OR(sel_Region="All",C586=sel_Region),OR(sel_Country="All",D586=sel_Country),OR(sel_Channel="All",E586=sel_Channel),OR(sel_Customer="All",F586=sel_Customer),OR(sel_Category="All",G586=sel_Category),AND(S586&gt;=m_From,S586&lt;=m_To)),1,0)</f>
        <v/>
      </c>
      <c r="AA586" s="36">
        <f>IF(AND(OR(sel_Region="All",C586=sel_Region),OR(sel_Country="All",D586=sel_Country),OR(sel_Channel="All",E586=sel_Channel),OR(sel_Customer="All",F586=sel_Customer),OR(sel_Category="All",G586=sel_Category),OR(sel_Product="All",H586=sel_Product)),1,0)</f>
        <v/>
      </c>
    </row>
    <row r="587">
      <c r="A587" s="36" t="inlineStr">
        <is>
          <t>03311</t>
        </is>
      </c>
      <c r="B587" s="44" t="n">
        <v>46128</v>
      </c>
      <c r="C587" s="36" t="inlineStr">
        <is>
          <t>Central Europe</t>
        </is>
      </c>
      <c r="D587" s="36" t="inlineStr">
        <is>
          <t>Switzerland</t>
        </is>
      </c>
      <c r="E587" s="36" t="inlineStr">
        <is>
          <t>Online Store</t>
        </is>
      </c>
      <c r="F587" s="36" t="inlineStr">
        <is>
          <t>New</t>
        </is>
      </c>
      <c r="G587" s="36" t="inlineStr">
        <is>
          <t>Travel</t>
        </is>
      </c>
      <c r="H587" s="36" t="inlineStr">
        <is>
          <t>Packing Cube Set</t>
        </is>
      </c>
      <c r="I587" s="36" t="n">
        <v>1</v>
      </c>
      <c r="J587" s="39" t="n">
        <v>46.68</v>
      </c>
      <c r="K587" s="45" t="n">
        <v>0.05</v>
      </c>
      <c r="L587" s="39" t="n">
        <v>18.35</v>
      </c>
      <c r="M587" s="39">
        <f>I587*J587*(1-K587)</f>
        <v/>
      </c>
      <c r="N587" s="39">
        <f>I587*L587</f>
        <v/>
      </c>
      <c r="O587" s="39">
        <f>M587-N587</f>
        <v/>
      </c>
      <c r="P587" s="38">
        <f>IF(M587=0,0,O587/M587)</f>
        <v/>
      </c>
      <c r="Q587" s="36">
        <f>YEAR(B587)</f>
        <v/>
      </c>
      <c r="R587" s="36">
        <f>"Q"&amp;ROUNDUP(MONTH(B587)/3,0)</f>
        <v/>
      </c>
      <c r="S587" s="36">
        <f>MONTH(B587)</f>
        <v/>
      </c>
      <c r="T587" s="36">
        <f>TEXT(B587,"mmm")</f>
        <v/>
      </c>
      <c r="U587" s="36">
        <f>IF(AND(OR(sel_Region="All",C587=sel_Region),OR(sel_Country="All",D587=sel_Country),OR(sel_Channel="All",E587=sel_Channel),OR(sel_Customer="All",F587=sel_Customer),OR(sel_Category="All",G587=sel_Category),OR(sel_Product="All",H587=sel_Product),AND(S587&gt;=m_From,S587&lt;=m_To)),1,0)</f>
        <v/>
      </c>
      <c r="V587" s="36">
        <f>IF(AND(OR(sel_Region="All",C587=sel_Region),OR(sel_Channel="All",E587=sel_Channel),OR(sel_Customer="All",F587=sel_Customer),OR(sel_Category="All",G587=sel_Category),OR(sel_Product="All",H587=sel_Product),AND(S587&gt;=m_From,S587&lt;=m_To)),1,0)</f>
        <v/>
      </c>
      <c r="W587" s="36">
        <f>IF(AND(OR(sel_Region="All",C587=sel_Region),OR(sel_Country="All",D587=sel_Country),OR(sel_Customer="All",F587=sel_Customer),OR(sel_Category="All",G587=sel_Category),OR(sel_Product="All",H587=sel_Product),AND(S587&gt;=m_From,S587&lt;=m_To)),1,0)</f>
        <v/>
      </c>
      <c r="X587" s="36">
        <f>IF(AND(OR(sel_Region="All",C587=sel_Region),OR(sel_Country="All",D587=sel_Country),OR(sel_Channel="All",E587=sel_Channel),OR(sel_Category="All",G587=sel_Category),OR(sel_Product="All",H587=sel_Product),AND(S587&gt;=m_From,S587&lt;=m_To)),1,0)</f>
        <v/>
      </c>
      <c r="Y587" s="36">
        <f>IF(AND(OR(sel_Region="All",C587=sel_Region),OR(sel_Country="All",D587=sel_Country),OR(sel_Channel="All",E587=sel_Channel),OR(sel_Customer="All",F587=sel_Customer),OR(sel_Product="All",H587=sel_Product),AND(S587&gt;=m_From,S587&lt;=m_To)),1,0)</f>
        <v/>
      </c>
      <c r="Z587" s="36">
        <f>IF(AND(OR(sel_Region="All",C587=sel_Region),OR(sel_Country="All",D587=sel_Country),OR(sel_Channel="All",E587=sel_Channel),OR(sel_Customer="All",F587=sel_Customer),OR(sel_Category="All",G587=sel_Category),AND(S587&gt;=m_From,S587&lt;=m_To)),1,0)</f>
        <v/>
      </c>
      <c r="AA587" s="36">
        <f>IF(AND(OR(sel_Region="All",C587=sel_Region),OR(sel_Country="All",D587=sel_Country),OR(sel_Channel="All",E587=sel_Channel),OR(sel_Customer="All",F587=sel_Customer),OR(sel_Category="All",G587=sel_Category),OR(sel_Product="All",H587=sel_Product)),1,0)</f>
        <v/>
      </c>
    </row>
    <row r="588">
      <c r="A588" s="36" t="inlineStr">
        <is>
          <t>03320</t>
        </is>
      </c>
      <c r="B588" s="44" t="n">
        <v>46128</v>
      </c>
      <c r="C588" s="36" t="inlineStr">
        <is>
          <t>Northern Europe</t>
        </is>
      </c>
      <c r="D588" s="36" t="inlineStr">
        <is>
          <t>Norway</t>
        </is>
      </c>
      <c r="E588" s="36" t="inlineStr">
        <is>
          <t>Online Store</t>
        </is>
      </c>
      <c r="F588" s="36" t="inlineStr">
        <is>
          <t>Business</t>
        </is>
      </c>
      <c r="G588" s="36" t="inlineStr">
        <is>
          <t>Travel</t>
        </is>
      </c>
      <c r="H588" s="36" t="inlineStr">
        <is>
          <t>Travel Backpack 35L</t>
        </is>
      </c>
      <c r="I588" s="36" t="n">
        <v>5</v>
      </c>
      <c r="J588" s="39" t="n">
        <v>164.31</v>
      </c>
      <c r="K588" s="45" t="n">
        <v>0.05</v>
      </c>
      <c r="L588" s="39" t="n">
        <v>85.41</v>
      </c>
      <c r="M588" s="39">
        <f>I588*J588*(1-K588)</f>
        <v/>
      </c>
      <c r="N588" s="39">
        <f>I588*L588</f>
        <v/>
      </c>
      <c r="O588" s="39">
        <f>M588-N588</f>
        <v/>
      </c>
      <c r="P588" s="38">
        <f>IF(M588=0,0,O588/M588)</f>
        <v/>
      </c>
      <c r="Q588" s="36">
        <f>YEAR(B588)</f>
        <v/>
      </c>
      <c r="R588" s="36">
        <f>"Q"&amp;ROUNDUP(MONTH(B588)/3,0)</f>
        <v/>
      </c>
      <c r="S588" s="36">
        <f>MONTH(B588)</f>
        <v/>
      </c>
      <c r="T588" s="36">
        <f>TEXT(B588,"mmm")</f>
        <v/>
      </c>
      <c r="U588" s="36">
        <f>IF(AND(OR(sel_Region="All",C588=sel_Region),OR(sel_Country="All",D588=sel_Country),OR(sel_Channel="All",E588=sel_Channel),OR(sel_Customer="All",F588=sel_Customer),OR(sel_Category="All",G588=sel_Category),OR(sel_Product="All",H588=sel_Product),AND(S588&gt;=m_From,S588&lt;=m_To)),1,0)</f>
        <v/>
      </c>
      <c r="V588" s="36">
        <f>IF(AND(OR(sel_Region="All",C588=sel_Region),OR(sel_Channel="All",E588=sel_Channel),OR(sel_Customer="All",F588=sel_Customer),OR(sel_Category="All",G588=sel_Category),OR(sel_Product="All",H588=sel_Product),AND(S588&gt;=m_From,S588&lt;=m_To)),1,0)</f>
        <v/>
      </c>
      <c r="W588" s="36">
        <f>IF(AND(OR(sel_Region="All",C588=sel_Region),OR(sel_Country="All",D588=sel_Country),OR(sel_Customer="All",F588=sel_Customer),OR(sel_Category="All",G588=sel_Category),OR(sel_Product="All",H588=sel_Product),AND(S588&gt;=m_From,S588&lt;=m_To)),1,0)</f>
        <v/>
      </c>
      <c r="X588" s="36">
        <f>IF(AND(OR(sel_Region="All",C588=sel_Region),OR(sel_Country="All",D588=sel_Country),OR(sel_Channel="All",E588=sel_Channel),OR(sel_Category="All",G588=sel_Category),OR(sel_Product="All",H588=sel_Product),AND(S588&gt;=m_From,S588&lt;=m_To)),1,0)</f>
        <v/>
      </c>
      <c r="Y588" s="36">
        <f>IF(AND(OR(sel_Region="All",C588=sel_Region),OR(sel_Country="All",D588=sel_Country),OR(sel_Channel="All",E588=sel_Channel),OR(sel_Customer="All",F588=sel_Customer),OR(sel_Product="All",H588=sel_Product),AND(S588&gt;=m_From,S588&lt;=m_To)),1,0)</f>
        <v/>
      </c>
      <c r="Z588" s="36">
        <f>IF(AND(OR(sel_Region="All",C588=sel_Region),OR(sel_Country="All",D588=sel_Country),OR(sel_Channel="All",E588=sel_Channel),OR(sel_Customer="All",F588=sel_Customer),OR(sel_Category="All",G588=sel_Category),AND(S588&gt;=m_From,S588&lt;=m_To)),1,0)</f>
        <v/>
      </c>
      <c r="AA588" s="36">
        <f>IF(AND(OR(sel_Region="All",C588=sel_Region),OR(sel_Country="All",D588=sel_Country),OR(sel_Channel="All",E588=sel_Channel),OR(sel_Customer="All",F588=sel_Customer),OR(sel_Category="All",G588=sel_Category),OR(sel_Product="All",H588=sel_Product)),1,0)</f>
        <v/>
      </c>
    </row>
    <row r="589">
      <c r="A589" s="36" t="inlineStr">
        <is>
          <t>03321</t>
        </is>
      </c>
      <c r="B589" s="44" t="n">
        <v>46128</v>
      </c>
      <c r="C589" s="36" t="inlineStr">
        <is>
          <t>Central Europe</t>
        </is>
      </c>
      <c r="D589" s="36" t="inlineStr">
        <is>
          <t>Austria</t>
        </is>
      </c>
      <c r="E589" s="36" t="inlineStr">
        <is>
          <t>Online Store</t>
        </is>
      </c>
      <c r="F589" s="36" t="inlineStr">
        <is>
          <t>Business</t>
        </is>
      </c>
      <c r="G589" s="36" t="inlineStr">
        <is>
          <t>Travel</t>
        </is>
      </c>
      <c r="H589" s="36" t="inlineStr">
        <is>
          <t>Insulated Bottle</t>
        </is>
      </c>
      <c r="I589" s="36" t="n">
        <v>3</v>
      </c>
      <c r="J589" s="39" t="n">
        <v>35.57</v>
      </c>
      <c r="K589" s="45" t="n">
        <v>0</v>
      </c>
      <c r="L589" s="39" t="n">
        <v>13.67</v>
      </c>
      <c r="M589" s="39">
        <f>I589*J589*(1-K589)</f>
        <v/>
      </c>
      <c r="N589" s="39">
        <f>I589*L589</f>
        <v/>
      </c>
      <c r="O589" s="39">
        <f>M589-N589</f>
        <v/>
      </c>
      <c r="P589" s="38">
        <f>IF(M589=0,0,O589/M589)</f>
        <v/>
      </c>
      <c r="Q589" s="36">
        <f>YEAR(B589)</f>
        <v/>
      </c>
      <c r="R589" s="36">
        <f>"Q"&amp;ROUNDUP(MONTH(B589)/3,0)</f>
        <v/>
      </c>
      <c r="S589" s="36">
        <f>MONTH(B589)</f>
        <v/>
      </c>
      <c r="T589" s="36">
        <f>TEXT(B589,"mmm")</f>
        <v/>
      </c>
      <c r="U589" s="36">
        <f>IF(AND(OR(sel_Region="All",C589=sel_Region),OR(sel_Country="All",D589=sel_Country),OR(sel_Channel="All",E589=sel_Channel),OR(sel_Customer="All",F589=sel_Customer),OR(sel_Category="All",G589=sel_Category),OR(sel_Product="All",H589=sel_Product),AND(S589&gt;=m_From,S589&lt;=m_To)),1,0)</f>
        <v/>
      </c>
      <c r="V589" s="36">
        <f>IF(AND(OR(sel_Region="All",C589=sel_Region),OR(sel_Channel="All",E589=sel_Channel),OR(sel_Customer="All",F589=sel_Customer),OR(sel_Category="All",G589=sel_Category),OR(sel_Product="All",H589=sel_Product),AND(S589&gt;=m_From,S589&lt;=m_To)),1,0)</f>
        <v/>
      </c>
      <c r="W589" s="36">
        <f>IF(AND(OR(sel_Region="All",C589=sel_Region),OR(sel_Country="All",D589=sel_Country),OR(sel_Customer="All",F589=sel_Customer),OR(sel_Category="All",G589=sel_Category),OR(sel_Product="All",H589=sel_Product),AND(S589&gt;=m_From,S589&lt;=m_To)),1,0)</f>
        <v/>
      </c>
      <c r="X589" s="36">
        <f>IF(AND(OR(sel_Region="All",C589=sel_Region),OR(sel_Country="All",D589=sel_Country),OR(sel_Channel="All",E589=sel_Channel),OR(sel_Category="All",G589=sel_Category),OR(sel_Product="All",H589=sel_Product),AND(S589&gt;=m_From,S589&lt;=m_To)),1,0)</f>
        <v/>
      </c>
      <c r="Y589" s="36">
        <f>IF(AND(OR(sel_Region="All",C589=sel_Region),OR(sel_Country="All",D589=sel_Country),OR(sel_Channel="All",E589=sel_Channel),OR(sel_Customer="All",F589=sel_Customer),OR(sel_Product="All",H589=sel_Product),AND(S589&gt;=m_From,S589&lt;=m_To)),1,0)</f>
        <v/>
      </c>
      <c r="Z589" s="36">
        <f>IF(AND(OR(sel_Region="All",C589=sel_Region),OR(sel_Country="All",D589=sel_Country),OR(sel_Channel="All",E589=sel_Channel),OR(sel_Customer="All",F589=sel_Customer),OR(sel_Category="All",G589=sel_Category),AND(S589&gt;=m_From,S589&lt;=m_To)),1,0)</f>
        <v/>
      </c>
      <c r="AA589" s="36">
        <f>IF(AND(OR(sel_Region="All",C589=sel_Region),OR(sel_Country="All",D589=sel_Country),OR(sel_Channel="All",E589=sel_Channel),OR(sel_Customer="All",F589=sel_Customer),OR(sel_Category="All",G589=sel_Category),OR(sel_Product="All",H589=sel_Product)),1,0)</f>
        <v/>
      </c>
    </row>
    <row r="590">
      <c r="A590" s="36" t="inlineStr">
        <is>
          <t>05181</t>
        </is>
      </c>
      <c r="B590" s="44" t="n">
        <v>46128</v>
      </c>
      <c r="C590" s="36" t="inlineStr">
        <is>
          <t>Southern Europe</t>
        </is>
      </c>
      <c r="D590" s="36" t="inlineStr">
        <is>
          <t>Spain</t>
        </is>
      </c>
      <c r="E590" s="36" t="inlineStr">
        <is>
          <t>Marketplace</t>
        </is>
      </c>
      <c r="F590" s="36" t="inlineStr">
        <is>
          <t>New</t>
        </is>
      </c>
      <c r="G590" s="36" t="inlineStr">
        <is>
          <t>Travel</t>
        </is>
      </c>
      <c r="H590" s="36" t="inlineStr">
        <is>
          <t>Packing Cube Set</t>
        </is>
      </c>
      <c r="I590" s="36" t="n">
        <v>2</v>
      </c>
      <c r="J590" s="39" t="n">
        <v>45.51</v>
      </c>
      <c r="K590" s="45" t="n">
        <v>0.1</v>
      </c>
      <c r="L590" s="39" t="n">
        <v>18.81</v>
      </c>
      <c r="M590" s="39">
        <f>I590*J590*(1-K590)</f>
        <v/>
      </c>
      <c r="N590" s="39">
        <f>I590*L590</f>
        <v/>
      </c>
      <c r="O590" s="39">
        <f>M590-N590</f>
        <v/>
      </c>
      <c r="P590" s="38">
        <f>IF(M590=0,0,O590/M590)</f>
        <v/>
      </c>
      <c r="Q590" s="36">
        <f>YEAR(B590)</f>
        <v/>
      </c>
      <c r="R590" s="36">
        <f>"Q"&amp;ROUNDUP(MONTH(B590)/3,0)</f>
        <v/>
      </c>
      <c r="S590" s="36">
        <f>MONTH(B590)</f>
        <v/>
      </c>
      <c r="T590" s="36">
        <f>TEXT(B590,"mmm")</f>
        <v/>
      </c>
      <c r="U590" s="36">
        <f>IF(AND(OR(sel_Region="All",C590=sel_Region),OR(sel_Country="All",D590=sel_Country),OR(sel_Channel="All",E590=sel_Channel),OR(sel_Customer="All",F590=sel_Customer),OR(sel_Category="All",G590=sel_Category),OR(sel_Product="All",H590=sel_Product),AND(S590&gt;=m_From,S590&lt;=m_To)),1,0)</f>
        <v/>
      </c>
      <c r="V590" s="36">
        <f>IF(AND(OR(sel_Region="All",C590=sel_Region),OR(sel_Channel="All",E590=sel_Channel),OR(sel_Customer="All",F590=sel_Customer),OR(sel_Category="All",G590=sel_Category),OR(sel_Product="All",H590=sel_Product),AND(S590&gt;=m_From,S590&lt;=m_To)),1,0)</f>
        <v/>
      </c>
      <c r="W590" s="36">
        <f>IF(AND(OR(sel_Region="All",C590=sel_Region),OR(sel_Country="All",D590=sel_Country),OR(sel_Customer="All",F590=sel_Customer),OR(sel_Category="All",G590=sel_Category),OR(sel_Product="All",H590=sel_Product),AND(S590&gt;=m_From,S590&lt;=m_To)),1,0)</f>
        <v/>
      </c>
      <c r="X590" s="36">
        <f>IF(AND(OR(sel_Region="All",C590=sel_Region),OR(sel_Country="All",D590=sel_Country),OR(sel_Channel="All",E590=sel_Channel),OR(sel_Category="All",G590=sel_Category),OR(sel_Product="All",H590=sel_Product),AND(S590&gt;=m_From,S590&lt;=m_To)),1,0)</f>
        <v/>
      </c>
      <c r="Y590" s="36">
        <f>IF(AND(OR(sel_Region="All",C590=sel_Region),OR(sel_Country="All",D590=sel_Country),OR(sel_Channel="All",E590=sel_Channel),OR(sel_Customer="All",F590=sel_Customer),OR(sel_Product="All",H590=sel_Product),AND(S590&gt;=m_From,S590&lt;=m_To)),1,0)</f>
        <v/>
      </c>
      <c r="Z590" s="36">
        <f>IF(AND(OR(sel_Region="All",C590=sel_Region),OR(sel_Country="All",D590=sel_Country),OR(sel_Channel="All",E590=sel_Channel),OR(sel_Customer="All",F590=sel_Customer),OR(sel_Category="All",G590=sel_Category),AND(S590&gt;=m_From,S590&lt;=m_To)),1,0)</f>
        <v/>
      </c>
      <c r="AA590" s="36">
        <f>IF(AND(OR(sel_Region="All",C590=sel_Region),OR(sel_Country="All",D590=sel_Country),OR(sel_Channel="All",E590=sel_Channel),OR(sel_Customer="All",F590=sel_Customer),OR(sel_Category="All",G590=sel_Category),OR(sel_Product="All",H590=sel_Product)),1,0)</f>
        <v/>
      </c>
    </row>
    <row r="591">
      <c r="A591" s="36" t="inlineStr">
        <is>
          <t>05187</t>
        </is>
      </c>
      <c r="B591" s="44" t="n">
        <v>46128</v>
      </c>
      <c r="C591" s="36" t="inlineStr">
        <is>
          <t>Western Europe</t>
        </is>
      </c>
      <c r="D591" s="36" t="inlineStr">
        <is>
          <t>United Kingdom</t>
        </is>
      </c>
      <c r="E591" s="36" t="inlineStr">
        <is>
          <t>Online Store</t>
        </is>
      </c>
      <c r="F591" s="36" t="inlineStr">
        <is>
          <t>Returning</t>
        </is>
      </c>
      <c r="G591" s="36" t="inlineStr">
        <is>
          <t>Camping</t>
        </is>
      </c>
      <c r="H591" s="36" t="inlineStr">
        <is>
          <t>Trail Tent 2P</t>
        </is>
      </c>
      <c r="I591" s="36" t="n">
        <v>2</v>
      </c>
      <c r="J591" s="39" t="n">
        <v>198.32</v>
      </c>
      <c r="K591" s="45" t="n">
        <v>0</v>
      </c>
      <c r="L591" s="39" t="n">
        <v>106.8</v>
      </c>
      <c r="M591" s="39">
        <f>I591*J591*(1-K591)</f>
        <v/>
      </c>
      <c r="N591" s="39">
        <f>I591*L591</f>
        <v/>
      </c>
      <c r="O591" s="39">
        <f>M591-N591</f>
        <v/>
      </c>
      <c r="P591" s="38">
        <f>IF(M591=0,0,O591/M591)</f>
        <v/>
      </c>
      <c r="Q591" s="36">
        <f>YEAR(B591)</f>
        <v/>
      </c>
      <c r="R591" s="36">
        <f>"Q"&amp;ROUNDUP(MONTH(B591)/3,0)</f>
        <v/>
      </c>
      <c r="S591" s="36">
        <f>MONTH(B591)</f>
        <v/>
      </c>
      <c r="T591" s="36">
        <f>TEXT(B591,"mmm")</f>
        <v/>
      </c>
      <c r="U591" s="36">
        <f>IF(AND(OR(sel_Region="All",C591=sel_Region),OR(sel_Country="All",D591=sel_Country),OR(sel_Channel="All",E591=sel_Channel),OR(sel_Customer="All",F591=sel_Customer),OR(sel_Category="All",G591=sel_Category),OR(sel_Product="All",H591=sel_Product),AND(S591&gt;=m_From,S591&lt;=m_To)),1,0)</f>
        <v/>
      </c>
      <c r="V591" s="36">
        <f>IF(AND(OR(sel_Region="All",C591=sel_Region),OR(sel_Channel="All",E591=sel_Channel),OR(sel_Customer="All",F591=sel_Customer),OR(sel_Category="All",G591=sel_Category),OR(sel_Product="All",H591=sel_Product),AND(S591&gt;=m_From,S591&lt;=m_To)),1,0)</f>
        <v/>
      </c>
      <c r="W591" s="36">
        <f>IF(AND(OR(sel_Region="All",C591=sel_Region),OR(sel_Country="All",D591=sel_Country),OR(sel_Customer="All",F591=sel_Customer),OR(sel_Category="All",G591=sel_Category),OR(sel_Product="All",H591=sel_Product),AND(S591&gt;=m_From,S591&lt;=m_To)),1,0)</f>
        <v/>
      </c>
      <c r="X591" s="36">
        <f>IF(AND(OR(sel_Region="All",C591=sel_Region),OR(sel_Country="All",D591=sel_Country),OR(sel_Channel="All",E591=sel_Channel),OR(sel_Category="All",G591=sel_Category),OR(sel_Product="All",H591=sel_Product),AND(S591&gt;=m_From,S591&lt;=m_To)),1,0)</f>
        <v/>
      </c>
      <c r="Y591" s="36">
        <f>IF(AND(OR(sel_Region="All",C591=sel_Region),OR(sel_Country="All",D591=sel_Country),OR(sel_Channel="All",E591=sel_Channel),OR(sel_Customer="All",F591=sel_Customer),OR(sel_Product="All",H591=sel_Product),AND(S591&gt;=m_From,S591&lt;=m_To)),1,0)</f>
        <v/>
      </c>
      <c r="Z591" s="36">
        <f>IF(AND(OR(sel_Region="All",C591=sel_Region),OR(sel_Country="All",D591=sel_Country),OR(sel_Channel="All",E591=sel_Channel),OR(sel_Customer="All",F591=sel_Customer),OR(sel_Category="All",G591=sel_Category),AND(S591&gt;=m_From,S591&lt;=m_To)),1,0)</f>
        <v/>
      </c>
      <c r="AA591" s="36">
        <f>IF(AND(OR(sel_Region="All",C591=sel_Region),OR(sel_Country="All",D591=sel_Country),OR(sel_Channel="All",E591=sel_Channel),OR(sel_Customer="All",F591=sel_Customer),OR(sel_Category="All",G591=sel_Category),OR(sel_Product="All",H591=sel_Product)),1,0)</f>
        <v/>
      </c>
    </row>
    <row r="592">
      <c r="A592" s="36" t="inlineStr">
        <is>
          <t>00605</t>
        </is>
      </c>
      <c r="B592" s="44" t="n">
        <v>46129</v>
      </c>
      <c r="C592" s="36" t="inlineStr">
        <is>
          <t>Western Europe</t>
        </is>
      </c>
      <c r="D592" s="36" t="inlineStr">
        <is>
          <t>United Kingdom</t>
        </is>
      </c>
      <c r="E592" s="36" t="inlineStr">
        <is>
          <t>Marketplace</t>
        </is>
      </c>
      <c r="F592" s="36" t="inlineStr">
        <is>
          <t>Business</t>
        </is>
      </c>
      <c r="G592" s="36" t="inlineStr">
        <is>
          <t>Travel</t>
        </is>
      </c>
      <c r="H592" s="36" t="inlineStr">
        <is>
          <t>Carry-On Duffel</t>
        </is>
      </c>
      <c r="I592" s="36" t="n">
        <v>2</v>
      </c>
      <c r="J592" s="39" t="n">
        <v>130.94</v>
      </c>
      <c r="K592" s="45" t="n">
        <v>0</v>
      </c>
      <c r="L592" s="39" t="n">
        <v>67.45999999999999</v>
      </c>
      <c r="M592" s="39">
        <f>I592*J592*(1-K592)</f>
        <v/>
      </c>
      <c r="N592" s="39">
        <f>I592*L592</f>
        <v/>
      </c>
      <c r="O592" s="39">
        <f>M592-N592</f>
        <v/>
      </c>
      <c r="P592" s="38">
        <f>IF(M592=0,0,O592/M592)</f>
        <v/>
      </c>
      <c r="Q592" s="36">
        <f>YEAR(B592)</f>
        <v/>
      </c>
      <c r="R592" s="36">
        <f>"Q"&amp;ROUNDUP(MONTH(B592)/3,0)</f>
        <v/>
      </c>
      <c r="S592" s="36">
        <f>MONTH(B592)</f>
        <v/>
      </c>
      <c r="T592" s="36">
        <f>TEXT(B592,"mmm")</f>
        <v/>
      </c>
      <c r="U592" s="36">
        <f>IF(AND(OR(sel_Region="All",C592=sel_Region),OR(sel_Country="All",D592=sel_Country),OR(sel_Channel="All",E592=sel_Channel),OR(sel_Customer="All",F592=sel_Customer),OR(sel_Category="All",G592=sel_Category),OR(sel_Product="All",H592=sel_Product),AND(S592&gt;=m_From,S592&lt;=m_To)),1,0)</f>
        <v/>
      </c>
      <c r="V592" s="36">
        <f>IF(AND(OR(sel_Region="All",C592=sel_Region),OR(sel_Channel="All",E592=sel_Channel),OR(sel_Customer="All",F592=sel_Customer),OR(sel_Category="All",G592=sel_Category),OR(sel_Product="All",H592=sel_Product),AND(S592&gt;=m_From,S592&lt;=m_To)),1,0)</f>
        <v/>
      </c>
      <c r="W592" s="36">
        <f>IF(AND(OR(sel_Region="All",C592=sel_Region),OR(sel_Country="All",D592=sel_Country),OR(sel_Customer="All",F592=sel_Customer),OR(sel_Category="All",G592=sel_Category),OR(sel_Product="All",H592=sel_Product),AND(S592&gt;=m_From,S592&lt;=m_To)),1,0)</f>
        <v/>
      </c>
      <c r="X592" s="36">
        <f>IF(AND(OR(sel_Region="All",C592=sel_Region),OR(sel_Country="All",D592=sel_Country),OR(sel_Channel="All",E592=sel_Channel),OR(sel_Category="All",G592=sel_Category),OR(sel_Product="All",H592=sel_Product),AND(S592&gt;=m_From,S592&lt;=m_To)),1,0)</f>
        <v/>
      </c>
      <c r="Y592" s="36">
        <f>IF(AND(OR(sel_Region="All",C592=sel_Region),OR(sel_Country="All",D592=sel_Country),OR(sel_Channel="All",E592=sel_Channel),OR(sel_Customer="All",F592=sel_Customer),OR(sel_Product="All",H592=sel_Product),AND(S592&gt;=m_From,S592&lt;=m_To)),1,0)</f>
        <v/>
      </c>
      <c r="Z592" s="36">
        <f>IF(AND(OR(sel_Region="All",C592=sel_Region),OR(sel_Country="All",D592=sel_Country),OR(sel_Channel="All",E592=sel_Channel),OR(sel_Customer="All",F592=sel_Customer),OR(sel_Category="All",G592=sel_Category),AND(S592&gt;=m_From,S592&lt;=m_To)),1,0)</f>
        <v/>
      </c>
      <c r="AA592" s="36">
        <f>IF(AND(OR(sel_Region="All",C592=sel_Region),OR(sel_Country="All",D592=sel_Country),OR(sel_Channel="All",E592=sel_Channel),OR(sel_Customer="All",F592=sel_Customer),OR(sel_Category="All",G592=sel_Category),OR(sel_Product="All",H592=sel_Product)),1,0)</f>
        <v/>
      </c>
    </row>
    <row r="593">
      <c r="A593" s="36" t="inlineStr">
        <is>
          <t>03244</t>
        </is>
      </c>
      <c r="B593" s="44" t="n">
        <v>46129</v>
      </c>
      <c r="C593" s="36" t="inlineStr">
        <is>
          <t>Central Europe</t>
        </is>
      </c>
      <c r="D593" s="36" t="inlineStr">
        <is>
          <t>Switzerland</t>
        </is>
      </c>
      <c r="E593" s="36" t="inlineStr">
        <is>
          <t>Marketplace</t>
        </is>
      </c>
      <c r="F593" s="36" t="inlineStr">
        <is>
          <t>Returning</t>
        </is>
      </c>
      <c r="G593" s="36" t="inlineStr">
        <is>
          <t>Travel</t>
        </is>
      </c>
      <c r="H593" s="36" t="inlineStr">
        <is>
          <t>Carry-On Duffel</t>
        </is>
      </c>
      <c r="I593" s="36" t="n">
        <v>1</v>
      </c>
      <c r="J593" s="39" t="n">
        <v>131.62</v>
      </c>
      <c r="K593" s="45" t="n">
        <v>0</v>
      </c>
      <c r="L593" s="39" t="n">
        <v>66.95</v>
      </c>
      <c r="M593" s="39">
        <f>I593*J593*(1-K593)</f>
        <v/>
      </c>
      <c r="N593" s="39">
        <f>I593*L593</f>
        <v/>
      </c>
      <c r="O593" s="39">
        <f>M593-N593</f>
        <v/>
      </c>
      <c r="P593" s="38">
        <f>IF(M593=0,0,O593/M593)</f>
        <v/>
      </c>
      <c r="Q593" s="36">
        <f>YEAR(B593)</f>
        <v/>
      </c>
      <c r="R593" s="36">
        <f>"Q"&amp;ROUNDUP(MONTH(B593)/3,0)</f>
        <v/>
      </c>
      <c r="S593" s="36">
        <f>MONTH(B593)</f>
        <v/>
      </c>
      <c r="T593" s="36">
        <f>TEXT(B593,"mmm")</f>
        <v/>
      </c>
      <c r="U593" s="36">
        <f>IF(AND(OR(sel_Region="All",C593=sel_Region),OR(sel_Country="All",D593=sel_Country),OR(sel_Channel="All",E593=sel_Channel),OR(sel_Customer="All",F593=sel_Customer),OR(sel_Category="All",G593=sel_Category),OR(sel_Product="All",H593=sel_Product),AND(S593&gt;=m_From,S593&lt;=m_To)),1,0)</f>
        <v/>
      </c>
      <c r="V593" s="36">
        <f>IF(AND(OR(sel_Region="All",C593=sel_Region),OR(sel_Channel="All",E593=sel_Channel),OR(sel_Customer="All",F593=sel_Customer),OR(sel_Category="All",G593=sel_Category),OR(sel_Product="All",H593=sel_Product),AND(S593&gt;=m_From,S593&lt;=m_To)),1,0)</f>
        <v/>
      </c>
      <c r="W593" s="36">
        <f>IF(AND(OR(sel_Region="All",C593=sel_Region),OR(sel_Country="All",D593=sel_Country),OR(sel_Customer="All",F593=sel_Customer),OR(sel_Category="All",G593=sel_Category),OR(sel_Product="All",H593=sel_Product),AND(S593&gt;=m_From,S593&lt;=m_To)),1,0)</f>
        <v/>
      </c>
      <c r="X593" s="36">
        <f>IF(AND(OR(sel_Region="All",C593=sel_Region),OR(sel_Country="All",D593=sel_Country),OR(sel_Channel="All",E593=sel_Channel),OR(sel_Category="All",G593=sel_Category),OR(sel_Product="All",H593=sel_Product),AND(S593&gt;=m_From,S593&lt;=m_To)),1,0)</f>
        <v/>
      </c>
      <c r="Y593" s="36">
        <f>IF(AND(OR(sel_Region="All",C593=sel_Region),OR(sel_Country="All",D593=sel_Country),OR(sel_Channel="All",E593=sel_Channel),OR(sel_Customer="All",F593=sel_Customer),OR(sel_Product="All",H593=sel_Product),AND(S593&gt;=m_From,S593&lt;=m_To)),1,0)</f>
        <v/>
      </c>
      <c r="Z593" s="36">
        <f>IF(AND(OR(sel_Region="All",C593=sel_Region),OR(sel_Country="All",D593=sel_Country),OR(sel_Channel="All",E593=sel_Channel),OR(sel_Customer="All",F593=sel_Customer),OR(sel_Category="All",G593=sel_Category),AND(S593&gt;=m_From,S593&lt;=m_To)),1,0)</f>
        <v/>
      </c>
      <c r="AA593" s="36">
        <f>IF(AND(OR(sel_Region="All",C593=sel_Region),OR(sel_Country="All",D593=sel_Country),OR(sel_Channel="All",E593=sel_Channel),OR(sel_Customer="All",F593=sel_Customer),OR(sel_Category="All",G593=sel_Category),OR(sel_Product="All",H593=sel_Product)),1,0)</f>
        <v/>
      </c>
    </row>
    <row r="594">
      <c r="A594" s="36" t="inlineStr">
        <is>
          <t>04047</t>
        </is>
      </c>
      <c r="B594" s="44" t="n">
        <v>46129</v>
      </c>
      <c r="C594" s="36" t="inlineStr">
        <is>
          <t>Southern Europe</t>
        </is>
      </c>
      <c r="D594" s="36" t="inlineStr">
        <is>
          <t>Spain</t>
        </is>
      </c>
      <c r="E594" s="36" t="inlineStr">
        <is>
          <t>Corporate</t>
        </is>
      </c>
      <c r="F594" s="36" t="inlineStr">
        <is>
          <t>Business</t>
        </is>
      </c>
      <c r="G594" s="36" t="inlineStr">
        <is>
          <t>Travel</t>
        </is>
      </c>
      <c r="H594" s="36" t="inlineStr">
        <is>
          <t>Travel Backpack 35L</t>
        </is>
      </c>
      <c r="I594" s="36" t="n">
        <v>8</v>
      </c>
      <c r="J594" s="39" t="n">
        <v>168.34</v>
      </c>
      <c r="K594" s="45" t="n">
        <v>0.15</v>
      </c>
      <c r="L594" s="39" t="n">
        <v>88.7</v>
      </c>
      <c r="M594" s="39">
        <f>I594*J594*(1-K594)</f>
        <v/>
      </c>
      <c r="N594" s="39">
        <f>I594*L594</f>
        <v/>
      </c>
      <c r="O594" s="39">
        <f>M594-N594</f>
        <v/>
      </c>
      <c r="P594" s="38">
        <f>IF(M594=0,0,O594/M594)</f>
        <v/>
      </c>
      <c r="Q594" s="36">
        <f>YEAR(B594)</f>
        <v/>
      </c>
      <c r="R594" s="36">
        <f>"Q"&amp;ROUNDUP(MONTH(B594)/3,0)</f>
        <v/>
      </c>
      <c r="S594" s="36">
        <f>MONTH(B594)</f>
        <v/>
      </c>
      <c r="T594" s="36">
        <f>TEXT(B594,"mmm")</f>
        <v/>
      </c>
      <c r="U594" s="36">
        <f>IF(AND(OR(sel_Region="All",C594=sel_Region),OR(sel_Country="All",D594=sel_Country),OR(sel_Channel="All",E594=sel_Channel),OR(sel_Customer="All",F594=sel_Customer),OR(sel_Category="All",G594=sel_Category),OR(sel_Product="All",H594=sel_Product),AND(S594&gt;=m_From,S594&lt;=m_To)),1,0)</f>
        <v/>
      </c>
      <c r="V594" s="36">
        <f>IF(AND(OR(sel_Region="All",C594=sel_Region),OR(sel_Channel="All",E594=sel_Channel),OR(sel_Customer="All",F594=sel_Customer),OR(sel_Category="All",G594=sel_Category),OR(sel_Product="All",H594=sel_Product),AND(S594&gt;=m_From,S594&lt;=m_To)),1,0)</f>
        <v/>
      </c>
      <c r="W594" s="36">
        <f>IF(AND(OR(sel_Region="All",C594=sel_Region),OR(sel_Country="All",D594=sel_Country),OR(sel_Customer="All",F594=sel_Customer),OR(sel_Category="All",G594=sel_Category),OR(sel_Product="All",H594=sel_Product),AND(S594&gt;=m_From,S594&lt;=m_To)),1,0)</f>
        <v/>
      </c>
      <c r="X594" s="36">
        <f>IF(AND(OR(sel_Region="All",C594=sel_Region),OR(sel_Country="All",D594=sel_Country),OR(sel_Channel="All",E594=sel_Channel),OR(sel_Category="All",G594=sel_Category),OR(sel_Product="All",H594=sel_Product),AND(S594&gt;=m_From,S594&lt;=m_To)),1,0)</f>
        <v/>
      </c>
      <c r="Y594" s="36">
        <f>IF(AND(OR(sel_Region="All",C594=sel_Region),OR(sel_Country="All",D594=sel_Country),OR(sel_Channel="All",E594=sel_Channel),OR(sel_Customer="All",F594=sel_Customer),OR(sel_Product="All",H594=sel_Product),AND(S594&gt;=m_From,S594&lt;=m_To)),1,0)</f>
        <v/>
      </c>
      <c r="Z594" s="36">
        <f>IF(AND(OR(sel_Region="All",C594=sel_Region),OR(sel_Country="All",D594=sel_Country),OR(sel_Channel="All",E594=sel_Channel),OR(sel_Customer="All",F594=sel_Customer),OR(sel_Category="All",G594=sel_Category),AND(S594&gt;=m_From,S594&lt;=m_To)),1,0)</f>
        <v/>
      </c>
      <c r="AA594" s="36">
        <f>IF(AND(OR(sel_Region="All",C594=sel_Region),OR(sel_Country="All",D594=sel_Country),OR(sel_Channel="All",E594=sel_Channel),OR(sel_Customer="All",F594=sel_Customer),OR(sel_Category="All",G594=sel_Category),OR(sel_Product="All",H594=sel_Product)),1,0)</f>
        <v/>
      </c>
    </row>
    <row r="595">
      <c r="A595" s="36" t="inlineStr">
        <is>
          <t>04101</t>
        </is>
      </c>
      <c r="B595" s="44" t="n">
        <v>46129</v>
      </c>
      <c r="C595" s="36" t="inlineStr">
        <is>
          <t>Central Europe</t>
        </is>
      </c>
      <c r="D595" s="36" t="inlineStr">
        <is>
          <t>Austria</t>
        </is>
      </c>
      <c r="E595" s="36" t="inlineStr">
        <is>
          <t>Online Store</t>
        </is>
      </c>
      <c r="F595" s="36" t="inlineStr">
        <is>
          <t>Returning</t>
        </is>
      </c>
      <c r="G595" s="36" t="inlineStr">
        <is>
          <t>Camping</t>
        </is>
      </c>
      <c r="H595" s="36" t="inlineStr">
        <is>
          <t>Portable Camp Stove</t>
        </is>
      </c>
      <c r="I595" s="36" t="n">
        <v>1</v>
      </c>
      <c r="J595" s="39" t="n">
        <v>81.04000000000001</v>
      </c>
      <c r="K595" s="45" t="n">
        <v>0</v>
      </c>
      <c r="L595" s="39" t="n">
        <v>39.97</v>
      </c>
      <c r="M595" s="39">
        <f>I595*J595*(1-K595)</f>
        <v/>
      </c>
      <c r="N595" s="39">
        <f>I595*L595</f>
        <v/>
      </c>
      <c r="O595" s="39">
        <f>M595-N595</f>
        <v/>
      </c>
      <c r="P595" s="38">
        <f>IF(M595=0,0,O595/M595)</f>
        <v/>
      </c>
      <c r="Q595" s="36">
        <f>YEAR(B595)</f>
        <v/>
      </c>
      <c r="R595" s="36">
        <f>"Q"&amp;ROUNDUP(MONTH(B595)/3,0)</f>
        <v/>
      </c>
      <c r="S595" s="36">
        <f>MONTH(B595)</f>
        <v/>
      </c>
      <c r="T595" s="36">
        <f>TEXT(B595,"mmm")</f>
        <v/>
      </c>
      <c r="U595" s="36">
        <f>IF(AND(OR(sel_Region="All",C595=sel_Region),OR(sel_Country="All",D595=sel_Country),OR(sel_Channel="All",E595=sel_Channel),OR(sel_Customer="All",F595=sel_Customer),OR(sel_Category="All",G595=sel_Category),OR(sel_Product="All",H595=sel_Product),AND(S595&gt;=m_From,S595&lt;=m_To)),1,0)</f>
        <v/>
      </c>
      <c r="V595" s="36">
        <f>IF(AND(OR(sel_Region="All",C595=sel_Region),OR(sel_Channel="All",E595=sel_Channel),OR(sel_Customer="All",F595=sel_Customer),OR(sel_Category="All",G595=sel_Category),OR(sel_Product="All",H595=sel_Product),AND(S595&gt;=m_From,S595&lt;=m_To)),1,0)</f>
        <v/>
      </c>
      <c r="W595" s="36">
        <f>IF(AND(OR(sel_Region="All",C595=sel_Region),OR(sel_Country="All",D595=sel_Country),OR(sel_Customer="All",F595=sel_Customer),OR(sel_Category="All",G595=sel_Category),OR(sel_Product="All",H595=sel_Product),AND(S595&gt;=m_From,S595&lt;=m_To)),1,0)</f>
        <v/>
      </c>
      <c r="X595" s="36">
        <f>IF(AND(OR(sel_Region="All",C595=sel_Region),OR(sel_Country="All",D595=sel_Country),OR(sel_Channel="All",E595=sel_Channel),OR(sel_Category="All",G595=sel_Category),OR(sel_Product="All",H595=sel_Product),AND(S595&gt;=m_From,S595&lt;=m_To)),1,0)</f>
        <v/>
      </c>
      <c r="Y595" s="36">
        <f>IF(AND(OR(sel_Region="All",C595=sel_Region),OR(sel_Country="All",D595=sel_Country),OR(sel_Channel="All",E595=sel_Channel),OR(sel_Customer="All",F595=sel_Customer),OR(sel_Product="All",H595=sel_Product),AND(S595&gt;=m_From,S595&lt;=m_To)),1,0)</f>
        <v/>
      </c>
      <c r="Z595" s="36">
        <f>IF(AND(OR(sel_Region="All",C595=sel_Region),OR(sel_Country="All",D595=sel_Country),OR(sel_Channel="All",E595=sel_Channel),OR(sel_Customer="All",F595=sel_Customer),OR(sel_Category="All",G595=sel_Category),AND(S595&gt;=m_From,S595&lt;=m_To)),1,0)</f>
        <v/>
      </c>
      <c r="AA595" s="36">
        <f>IF(AND(OR(sel_Region="All",C595=sel_Region),OR(sel_Country="All",D595=sel_Country),OR(sel_Channel="All",E595=sel_Channel),OR(sel_Customer="All",F595=sel_Customer),OR(sel_Category="All",G595=sel_Category),OR(sel_Product="All",H595=sel_Product)),1,0)</f>
        <v/>
      </c>
    </row>
    <row r="596">
      <c r="A596" s="36" t="inlineStr">
        <is>
          <t>04537</t>
        </is>
      </c>
      <c r="B596" s="44" t="n">
        <v>46129</v>
      </c>
      <c r="C596" s="36" t="inlineStr">
        <is>
          <t>Western Europe</t>
        </is>
      </c>
      <c r="D596" s="36" t="inlineStr">
        <is>
          <t>United Kingdom</t>
        </is>
      </c>
      <c r="E596" s="36" t="inlineStr">
        <is>
          <t>Online Store</t>
        </is>
      </c>
      <c r="F596" s="36" t="inlineStr">
        <is>
          <t>Business</t>
        </is>
      </c>
      <c r="G596" s="36" t="inlineStr">
        <is>
          <t>Camping</t>
        </is>
      </c>
      <c r="H596" s="36" t="inlineStr">
        <is>
          <t>Portable Camp Stove</t>
        </is>
      </c>
      <c r="I596" s="36" t="n">
        <v>3</v>
      </c>
      <c r="J596" s="39" t="n">
        <v>81.53</v>
      </c>
      <c r="K596" s="45" t="n">
        <v>0.05</v>
      </c>
      <c r="L596" s="39" t="n">
        <v>38.63</v>
      </c>
      <c r="M596" s="39">
        <f>I596*J596*(1-K596)</f>
        <v/>
      </c>
      <c r="N596" s="39">
        <f>I596*L596</f>
        <v/>
      </c>
      <c r="O596" s="39">
        <f>M596-N596</f>
        <v/>
      </c>
      <c r="P596" s="38">
        <f>IF(M596=0,0,O596/M596)</f>
        <v/>
      </c>
      <c r="Q596" s="36">
        <f>YEAR(B596)</f>
        <v/>
      </c>
      <c r="R596" s="36">
        <f>"Q"&amp;ROUNDUP(MONTH(B596)/3,0)</f>
        <v/>
      </c>
      <c r="S596" s="36">
        <f>MONTH(B596)</f>
        <v/>
      </c>
      <c r="T596" s="36">
        <f>TEXT(B596,"mmm")</f>
        <v/>
      </c>
      <c r="U596" s="36">
        <f>IF(AND(OR(sel_Region="All",C596=sel_Region),OR(sel_Country="All",D596=sel_Country),OR(sel_Channel="All",E596=sel_Channel),OR(sel_Customer="All",F596=sel_Customer),OR(sel_Category="All",G596=sel_Category),OR(sel_Product="All",H596=sel_Product),AND(S596&gt;=m_From,S596&lt;=m_To)),1,0)</f>
        <v/>
      </c>
      <c r="V596" s="36">
        <f>IF(AND(OR(sel_Region="All",C596=sel_Region),OR(sel_Channel="All",E596=sel_Channel),OR(sel_Customer="All",F596=sel_Customer),OR(sel_Category="All",G596=sel_Category),OR(sel_Product="All",H596=sel_Product),AND(S596&gt;=m_From,S596&lt;=m_To)),1,0)</f>
        <v/>
      </c>
      <c r="W596" s="36">
        <f>IF(AND(OR(sel_Region="All",C596=sel_Region),OR(sel_Country="All",D596=sel_Country),OR(sel_Customer="All",F596=sel_Customer),OR(sel_Category="All",G596=sel_Category),OR(sel_Product="All",H596=sel_Product),AND(S596&gt;=m_From,S596&lt;=m_To)),1,0)</f>
        <v/>
      </c>
      <c r="X596" s="36">
        <f>IF(AND(OR(sel_Region="All",C596=sel_Region),OR(sel_Country="All",D596=sel_Country),OR(sel_Channel="All",E596=sel_Channel),OR(sel_Category="All",G596=sel_Category),OR(sel_Product="All",H596=sel_Product),AND(S596&gt;=m_From,S596&lt;=m_To)),1,0)</f>
        <v/>
      </c>
      <c r="Y596" s="36">
        <f>IF(AND(OR(sel_Region="All",C596=sel_Region),OR(sel_Country="All",D596=sel_Country),OR(sel_Channel="All",E596=sel_Channel),OR(sel_Customer="All",F596=sel_Customer),OR(sel_Product="All",H596=sel_Product),AND(S596&gt;=m_From,S596&lt;=m_To)),1,0)</f>
        <v/>
      </c>
      <c r="Z596" s="36">
        <f>IF(AND(OR(sel_Region="All",C596=sel_Region),OR(sel_Country="All",D596=sel_Country),OR(sel_Channel="All",E596=sel_Channel),OR(sel_Customer="All",F596=sel_Customer),OR(sel_Category="All",G596=sel_Category),AND(S596&gt;=m_From,S596&lt;=m_To)),1,0)</f>
        <v/>
      </c>
      <c r="AA596" s="36">
        <f>IF(AND(OR(sel_Region="All",C596=sel_Region),OR(sel_Country="All",D596=sel_Country),OR(sel_Channel="All",E596=sel_Channel),OR(sel_Customer="All",F596=sel_Customer),OR(sel_Category="All",G596=sel_Category),OR(sel_Product="All",H596=sel_Product)),1,0)</f>
        <v/>
      </c>
    </row>
    <row r="597">
      <c r="A597" s="36" t="inlineStr">
        <is>
          <t>00754</t>
        </is>
      </c>
      <c r="B597" s="44" t="n">
        <v>46130</v>
      </c>
      <c r="C597" s="36" t="inlineStr">
        <is>
          <t>Northern Europe</t>
        </is>
      </c>
      <c r="D597" s="36" t="inlineStr">
        <is>
          <t>Finland</t>
        </is>
      </c>
      <c r="E597" s="36" t="inlineStr">
        <is>
          <t>Marketplace</t>
        </is>
      </c>
      <c r="F597" s="36" t="inlineStr">
        <is>
          <t>Returning</t>
        </is>
      </c>
      <c r="G597" s="36" t="inlineStr">
        <is>
          <t>Cycling</t>
        </is>
      </c>
      <c r="H597" s="36" t="inlineStr">
        <is>
          <t>Cycling Pack 12L</t>
        </is>
      </c>
      <c r="I597" s="36" t="n">
        <v>3</v>
      </c>
      <c r="J597" s="39" t="n">
        <v>104.8</v>
      </c>
      <c r="K597" s="45" t="n">
        <v>0.1</v>
      </c>
      <c r="L597" s="39" t="n">
        <v>50.59</v>
      </c>
      <c r="M597" s="39">
        <f>I597*J597*(1-K597)</f>
        <v/>
      </c>
      <c r="N597" s="39">
        <f>I597*L597</f>
        <v/>
      </c>
      <c r="O597" s="39">
        <f>M597-N597</f>
        <v/>
      </c>
      <c r="P597" s="38">
        <f>IF(M597=0,0,O597/M597)</f>
        <v/>
      </c>
      <c r="Q597" s="36">
        <f>YEAR(B597)</f>
        <v/>
      </c>
      <c r="R597" s="36">
        <f>"Q"&amp;ROUNDUP(MONTH(B597)/3,0)</f>
        <v/>
      </c>
      <c r="S597" s="36">
        <f>MONTH(B597)</f>
        <v/>
      </c>
      <c r="T597" s="36">
        <f>TEXT(B597,"mmm")</f>
        <v/>
      </c>
      <c r="U597" s="36">
        <f>IF(AND(OR(sel_Region="All",C597=sel_Region),OR(sel_Country="All",D597=sel_Country),OR(sel_Channel="All",E597=sel_Channel),OR(sel_Customer="All",F597=sel_Customer),OR(sel_Category="All",G597=sel_Category),OR(sel_Product="All",H597=sel_Product),AND(S597&gt;=m_From,S597&lt;=m_To)),1,0)</f>
        <v/>
      </c>
      <c r="V597" s="36">
        <f>IF(AND(OR(sel_Region="All",C597=sel_Region),OR(sel_Channel="All",E597=sel_Channel),OR(sel_Customer="All",F597=sel_Customer),OR(sel_Category="All",G597=sel_Category),OR(sel_Product="All",H597=sel_Product),AND(S597&gt;=m_From,S597&lt;=m_To)),1,0)</f>
        <v/>
      </c>
      <c r="W597" s="36">
        <f>IF(AND(OR(sel_Region="All",C597=sel_Region),OR(sel_Country="All",D597=sel_Country),OR(sel_Customer="All",F597=sel_Customer),OR(sel_Category="All",G597=sel_Category),OR(sel_Product="All",H597=sel_Product),AND(S597&gt;=m_From,S597&lt;=m_To)),1,0)</f>
        <v/>
      </c>
      <c r="X597" s="36">
        <f>IF(AND(OR(sel_Region="All",C597=sel_Region),OR(sel_Country="All",D597=sel_Country),OR(sel_Channel="All",E597=sel_Channel),OR(sel_Category="All",G597=sel_Category),OR(sel_Product="All",H597=sel_Product),AND(S597&gt;=m_From,S597&lt;=m_To)),1,0)</f>
        <v/>
      </c>
      <c r="Y597" s="36">
        <f>IF(AND(OR(sel_Region="All",C597=sel_Region),OR(sel_Country="All",D597=sel_Country),OR(sel_Channel="All",E597=sel_Channel),OR(sel_Customer="All",F597=sel_Customer),OR(sel_Product="All",H597=sel_Product),AND(S597&gt;=m_From,S597&lt;=m_To)),1,0)</f>
        <v/>
      </c>
      <c r="Z597" s="36">
        <f>IF(AND(OR(sel_Region="All",C597=sel_Region),OR(sel_Country="All",D597=sel_Country),OR(sel_Channel="All",E597=sel_Channel),OR(sel_Customer="All",F597=sel_Customer),OR(sel_Category="All",G597=sel_Category),AND(S597&gt;=m_From,S597&lt;=m_To)),1,0)</f>
        <v/>
      </c>
      <c r="AA597" s="36">
        <f>IF(AND(OR(sel_Region="All",C597=sel_Region),OR(sel_Country="All",D597=sel_Country),OR(sel_Channel="All",E597=sel_Channel),OR(sel_Customer="All",F597=sel_Customer),OR(sel_Category="All",G597=sel_Category),OR(sel_Product="All",H597=sel_Product)),1,0)</f>
        <v/>
      </c>
    </row>
    <row r="598">
      <c r="A598" s="36" t="inlineStr">
        <is>
          <t>01340</t>
        </is>
      </c>
      <c r="B598" s="44" t="n">
        <v>46130</v>
      </c>
      <c r="C598" s="36" t="inlineStr">
        <is>
          <t>Western Europe</t>
        </is>
      </c>
      <c r="D598" s="36" t="inlineStr">
        <is>
          <t>United Kingdom</t>
        </is>
      </c>
      <c r="E598" s="36" t="inlineStr">
        <is>
          <t>Online Store</t>
        </is>
      </c>
      <c r="F598" s="36" t="inlineStr">
        <is>
          <t>New</t>
        </is>
      </c>
      <c r="G598" s="36" t="inlineStr">
        <is>
          <t>Fitness</t>
        </is>
      </c>
      <c r="H598" s="36" t="inlineStr">
        <is>
          <t>Training Mat</t>
        </is>
      </c>
      <c r="I598" s="36" t="n">
        <v>2</v>
      </c>
      <c r="J598" s="39" t="n">
        <v>51.24</v>
      </c>
      <c r="K598" s="45" t="n">
        <v>0</v>
      </c>
      <c r="L598" s="39" t="n">
        <v>22.52</v>
      </c>
      <c r="M598" s="39">
        <f>I598*J598*(1-K598)</f>
        <v/>
      </c>
      <c r="N598" s="39">
        <f>I598*L598</f>
        <v/>
      </c>
      <c r="O598" s="39">
        <f>M598-N598</f>
        <v/>
      </c>
      <c r="P598" s="38">
        <f>IF(M598=0,0,O598/M598)</f>
        <v/>
      </c>
      <c r="Q598" s="36">
        <f>YEAR(B598)</f>
        <v/>
      </c>
      <c r="R598" s="36">
        <f>"Q"&amp;ROUNDUP(MONTH(B598)/3,0)</f>
        <v/>
      </c>
      <c r="S598" s="36">
        <f>MONTH(B598)</f>
        <v/>
      </c>
      <c r="T598" s="36">
        <f>TEXT(B598,"mmm")</f>
        <v/>
      </c>
      <c r="U598" s="36">
        <f>IF(AND(OR(sel_Region="All",C598=sel_Region),OR(sel_Country="All",D598=sel_Country),OR(sel_Channel="All",E598=sel_Channel),OR(sel_Customer="All",F598=sel_Customer),OR(sel_Category="All",G598=sel_Category),OR(sel_Product="All",H598=sel_Product),AND(S598&gt;=m_From,S598&lt;=m_To)),1,0)</f>
        <v/>
      </c>
      <c r="V598" s="36">
        <f>IF(AND(OR(sel_Region="All",C598=sel_Region),OR(sel_Channel="All",E598=sel_Channel),OR(sel_Customer="All",F598=sel_Customer),OR(sel_Category="All",G598=sel_Category),OR(sel_Product="All",H598=sel_Product),AND(S598&gt;=m_From,S598&lt;=m_To)),1,0)</f>
        <v/>
      </c>
      <c r="W598" s="36">
        <f>IF(AND(OR(sel_Region="All",C598=sel_Region),OR(sel_Country="All",D598=sel_Country),OR(sel_Customer="All",F598=sel_Customer),OR(sel_Category="All",G598=sel_Category),OR(sel_Product="All",H598=sel_Product),AND(S598&gt;=m_From,S598&lt;=m_To)),1,0)</f>
        <v/>
      </c>
      <c r="X598" s="36">
        <f>IF(AND(OR(sel_Region="All",C598=sel_Region),OR(sel_Country="All",D598=sel_Country),OR(sel_Channel="All",E598=sel_Channel),OR(sel_Category="All",G598=sel_Category),OR(sel_Product="All",H598=sel_Product),AND(S598&gt;=m_From,S598&lt;=m_To)),1,0)</f>
        <v/>
      </c>
      <c r="Y598" s="36">
        <f>IF(AND(OR(sel_Region="All",C598=sel_Region),OR(sel_Country="All",D598=sel_Country),OR(sel_Channel="All",E598=sel_Channel),OR(sel_Customer="All",F598=sel_Customer),OR(sel_Product="All",H598=sel_Product),AND(S598&gt;=m_From,S598&lt;=m_To)),1,0)</f>
        <v/>
      </c>
      <c r="Z598" s="36">
        <f>IF(AND(OR(sel_Region="All",C598=sel_Region),OR(sel_Country="All",D598=sel_Country),OR(sel_Channel="All",E598=sel_Channel),OR(sel_Customer="All",F598=sel_Customer),OR(sel_Category="All",G598=sel_Category),AND(S598&gt;=m_From,S598&lt;=m_To)),1,0)</f>
        <v/>
      </c>
      <c r="AA598" s="36">
        <f>IF(AND(OR(sel_Region="All",C598=sel_Region),OR(sel_Country="All",D598=sel_Country),OR(sel_Channel="All",E598=sel_Channel),OR(sel_Customer="All",F598=sel_Customer),OR(sel_Category="All",G598=sel_Category),OR(sel_Product="All",H598=sel_Product)),1,0)</f>
        <v/>
      </c>
    </row>
    <row r="599">
      <c r="A599" s="36" t="inlineStr">
        <is>
          <t>01444</t>
        </is>
      </c>
      <c r="B599" s="44" t="n">
        <v>46130</v>
      </c>
      <c r="C599" s="36" t="inlineStr">
        <is>
          <t>Northern Europe</t>
        </is>
      </c>
      <c r="D599" s="36" t="inlineStr">
        <is>
          <t>Finland</t>
        </is>
      </c>
      <c r="E599" s="36" t="inlineStr">
        <is>
          <t>Retail Partners</t>
        </is>
      </c>
      <c r="F599" s="36" t="inlineStr">
        <is>
          <t>Returning</t>
        </is>
      </c>
      <c r="G599" s="36" t="inlineStr">
        <is>
          <t>Camping</t>
        </is>
      </c>
      <c r="H599" s="36" t="inlineStr">
        <is>
          <t>Compact Sleeping Bag</t>
        </is>
      </c>
      <c r="I599" s="36" t="n">
        <v>1</v>
      </c>
      <c r="J599" s="39" t="n">
        <v>120.52</v>
      </c>
      <c r="K599" s="45" t="n">
        <v>0.1</v>
      </c>
      <c r="L599" s="39" t="n">
        <v>59.01</v>
      </c>
      <c r="M599" s="39">
        <f>I599*J599*(1-K599)</f>
        <v/>
      </c>
      <c r="N599" s="39">
        <f>I599*L599</f>
        <v/>
      </c>
      <c r="O599" s="39">
        <f>M599-N599</f>
        <v/>
      </c>
      <c r="P599" s="38">
        <f>IF(M599=0,0,O599/M599)</f>
        <v/>
      </c>
      <c r="Q599" s="36">
        <f>YEAR(B599)</f>
        <v/>
      </c>
      <c r="R599" s="36">
        <f>"Q"&amp;ROUNDUP(MONTH(B599)/3,0)</f>
        <v/>
      </c>
      <c r="S599" s="36">
        <f>MONTH(B599)</f>
        <v/>
      </c>
      <c r="T599" s="36">
        <f>TEXT(B599,"mmm")</f>
        <v/>
      </c>
      <c r="U599" s="36">
        <f>IF(AND(OR(sel_Region="All",C599=sel_Region),OR(sel_Country="All",D599=sel_Country),OR(sel_Channel="All",E599=sel_Channel),OR(sel_Customer="All",F599=sel_Customer),OR(sel_Category="All",G599=sel_Category),OR(sel_Product="All",H599=sel_Product),AND(S599&gt;=m_From,S599&lt;=m_To)),1,0)</f>
        <v/>
      </c>
      <c r="V599" s="36">
        <f>IF(AND(OR(sel_Region="All",C599=sel_Region),OR(sel_Channel="All",E599=sel_Channel),OR(sel_Customer="All",F599=sel_Customer),OR(sel_Category="All",G599=sel_Category),OR(sel_Product="All",H599=sel_Product),AND(S599&gt;=m_From,S599&lt;=m_To)),1,0)</f>
        <v/>
      </c>
      <c r="W599" s="36">
        <f>IF(AND(OR(sel_Region="All",C599=sel_Region),OR(sel_Country="All",D599=sel_Country),OR(sel_Customer="All",F599=sel_Customer),OR(sel_Category="All",G599=sel_Category),OR(sel_Product="All",H599=sel_Product),AND(S599&gt;=m_From,S599&lt;=m_To)),1,0)</f>
        <v/>
      </c>
      <c r="X599" s="36">
        <f>IF(AND(OR(sel_Region="All",C599=sel_Region),OR(sel_Country="All",D599=sel_Country),OR(sel_Channel="All",E599=sel_Channel),OR(sel_Category="All",G599=sel_Category),OR(sel_Product="All",H599=sel_Product),AND(S599&gt;=m_From,S599&lt;=m_To)),1,0)</f>
        <v/>
      </c>
      <c r="Y599" s="36">
        <f>IF(AND(OR(sel_Region="All",C599=sel_Region),OR(sel_Country="All",D599=sel_Country),OR(sel_Channel="All",E599=sel_Channel),OR(sel_Customer="All",F599=sel_Customer),OR(sel_Product="All",H599=sel_Product),AND(S599&gt;=m_From,S599&lt;=m_To)),1,0)</f>
        <v/>
      </c>
      <c r="Z599" s="36">
        <f>IF(AND(OR(sel_Region="All",C599=sel_Region),OR(sel_Country="All",D599=sel_Country),OR(sel_Channel="All",E599=sel_Channel),OR(sel_Customer="All",F599=sel_Customer),OR(sel_Category="All",G599=sel_Category),AND(S599&gt;=m_From,S599&lt;=m_To)),1,0)</f>
        <v/>
      </c>
      <c r="AA599" s="36">
        <f>IF(AND(OR(sel_Region="All",C599=sel_Region),OR(sel_Country="All",D599=sel_Country),OR(sel_Channel="All",E599=sel_Channel),OR(sel_Customer="All",F599=sel_Customer),OR(sel_Category="All",G599=sel_Category),OR(sel_Product="All",H599=sel_Product)),1,0)</f>
        <v/>
      </c>
    </row>
    <row r="600">
      <c r="A600" s="36" t="inlineStr">
        <is>
          <t>02390</t>
        </is>
      </c>
      <c r="B600" s="44" t="n">
        <v>46130</v>
      </c>
      <c r="C600" s="36" t="inlineStr">
        <is>
          <t>Western Europe</t>
        </is>
      </c>
      <c r="D600" s="36" t="inlineStr">
        <is>
          <t>United Kingdom</t>
        </is>
      </c>
      <c r="E600" s="36" t="inlineStr">
        <is>
          <t>Retail Partners</t>
        </is>
      </c>
      <c r="F600" s="36" t="inlineStr">
        <is>
          <t>Returning</t>
        </is>
      </c>
      <c r="G600" s="36" t="inlineStr">
        <is>
          <t>Camping</t>
        </is>
      </c>
      <c r="H600" s="36" t="inlineStr">
        <is>
          <t>Portable Camp Stove</t>
        </is>
      </c>
      <c r="I600" s="36" t="n">
        <v>1</v>
      </c>
      <c r="J600" s="39" t="n">
        <v>80.98</v>
      </c>
      <c r="K600" s="45" t="n">
        <v>0</v>
      </c>
      <c r="L600" s="39" t="n">
        <v>40.19</v>
      </c>
      <c r="M600" s="39">
        <f>I600*J600*(1-K600)</f>
        <v/>
      </c>
      <c r="N600" s="39">
        <f>I600*L600</f>
        <v/>
      </c>
      <c r="O600" s="39">
        <f>M600-N600</f>
        <v/>
      </c>
      <c r="P600" s="38">
        <f>IF(M600=0,0,O600/M600)</f>
        <v/>
      </c>
      <c r="Q600" s="36">
        <f>YEAR(B600)</f>
        <v/>
      </c>
      <c r="R600" s="36">
        <f>"Q"&amp;ROUNDUP(MONTH(B600)/3,0)</f>
        <v/>
      </c>
      <c r="S600" s="36">
        <f>MONTH(B600)</f>
        <v/>
      </c>
      <c r="T600" s="36">
        <f>TEXT(B600,"mmm")</f>
        <v/>
      </c>
      <c r="U600" s="36">
        <f>IF(AND(OR(sel_Region="All",C600=sel_Region),OR(sel_Country="All",D600=sel_Country),OR(sel_Channel="All",E600=sel_Channel),OR(sel_Customer="All",F600=sel_Customer),OR(sel_Category="All",G600=sel_Category),OR(sel_Product="All",H600=sel_Product),AND(S600&gt;=m_From,S600&lt;=m_To)),1,0)</f>
        <v/>
      </c>
      <c r="V600" s="36">
        <f>IF(AND(OR(sel_Region="All",C600=sel_Region),OR(sel_Channel="All",E600=sel_Channel),OR(sel_Customer="All",F600=sel_Customer),OR(sel_Category="All",G600=sel_Category),OR(sel_Product="All",H600=sel_Product),AND(S600&gt;=m_From,S600&lt;=m_To)),1,0)</f>
        <v/>
      </c>
      <c r="W600" s="36">
        <f>IF(AND(OR(sel_Region="All",C600=sel_Region),OR(sel_Country="All",D600=sel_Country),OR(sel_Customer="All",F600=sel_Customer),OR(sel_Category="All",G600=sel_Category),OR(sel_Product="All",H600=sel_Product),AND(S600&gt;=m_From,S600&lt;=m_To)),1,0)</f>
        <v/>
      </c>
      <c r="X600" s="36">
        <f>IF(AND(OR(sel_Region="All",C600=sel_Region),OR(sel_Country="All",D600=sel_Country),OR(sel_Channel="All",E600=sel_Channel),OR(sel_Category="All",G600=sel_Category),OR(sel_Product="All",H600=sel_Product),AND(S600&gt;=m_From,S600&lt;=m_To)),1,0)</f>
        <v/>
      </c>
      <c r="Y600" s="36">
        <f>IF(AND(OR(sel_Region="All",C600=sel_Region),OR(sel_Country="All",D600=sel_Country),OR(sel_Channel="All",E600=sel_Channel),OR(sel_Customer="All",F600=sel_Customer),OR(sel_Product="All",H600=sel_Product),AND(S600&gt;=m_From,S600&lt;=m_To)),1,0)</f>
        <v/>
      </c>
      <c r="Z600" s="36">
        <f>IF(AND(OR(sel_Region="All",C600=sel_Region),OR(sel_Country="All",D600=sel_Country),OR(sel_Channel="All",E600=sel_Channel),OR(sel_Customer="All",F600=sel_Customer),OR(sel_Category="All",G600=sel_Category),AND(S600&gt;=m_From,S600&lt;=m_To)),1,0)</f>
        <v/>
      </c>
      <c r="AA600" s="36">
        <f>IF(AND(OR(sel_Region="All",C600=sel_Region),OR(sel_Country="All",D600=sel_Country),OR(sel_Channel="All",E600=sel_Channel),OR(sel_Customer="All",F600=sel_Customer),OR(sel_Category="All",G600=sel_Category),OR(sel_Product="All",H600=sel_Product)),1,0)</f>
        <v/>
      </c>
    </row>
    <row r="601">
      <c r="A601" s="36" t="inlineStr">
        <is>
          <t>03076</t>
        </is>
      </c>
      <c r="B601" s="44" t="n">
        <v>46130</v>
      </c>
      <c r="C601" s="36" t="inlineStr">
        <is>
          <t>Northern Europe</t>
        </is>
      </c>
      <c r="D601" s="36" t="inlineStr">
        <is>
          <t>Sweden</t>
        </is>
      </c>
      <c r="E601" s="36" t="inlineStr">
        <is>
          <t>Online Store</t>
        </is>
      </c>
      <c r="F601" s="36" t="inlineStr">
        <is>
          <t>Business</t>
        </is>
      </c>
      <c r="G601" s="36" t="inlineStr">
        <is>
          <t>Camping</t>
        </is>
      </c>
      <c r="H601" s="36" t="inlineStr">
        <is>
          <t>Portable Camp Stove</t>
        </is>
      </c>
      <c r="I601" s="36" t="n">
        <v>2</v>
      </c>
      <c r="J601" s="39" t="n">
        <v>82.58</v>
      </c>
      <c r="K601" s="45" t="n">
        <v>0.1</v>
      </c>
      <c r="L601" s="39" t="n">
        <v>39.93</v>
      </c>
      <c r="M601" s="39">
        <f>I601*J601*(1-K601)</f>
        <v/>
      </c>
      <c r="N601" s="39">
        <f>I601*L601</f>
        <v/>
      </c>
      <c r="O601" s="39">
        <f>M601-N601</f>
        <v/>
      </c>
      <c r="P601" s="38">
        <f>IF(M601=0,0,O601/M601)</f>
        <v/>
      </c>
      <c r="Q601" s="36">
        <f>YEAR(B601)</f>
        <v/>
      </c>
      <c r="R601" s="36">
        <f>"Q"&amp;ROUNDUP(MONTH(B601)/3,0)</f>
        <v/>
      </c>
      <c r="S601" s="36">
        <f>MONTH(B601)</f>
        <v/>
      </c>
      <c r="T601" s="36">
        <f>TEXT(B601,"mmm")</f>
        <v/>
      </c>
      <c r="U601" s="36">
        <f>IF(AND(OR(sel_Region="All",C601=sel_Region),OR(sel_Country="All",D601=sel_Country),OR(sel_Channel="All",E601=sel_Channel),OR(sel_Customer="All",F601=sel_Customer),OR(sel_Category="All",G601=sel_Category),OR(sel_Product="All",H601=sel_Product),AND(S601&gt;=m_From,S601&lt;=m_To)),1,0)</f>
        <v/>
      </c>
      <c r="V601" s="36">
        <f>IF(AND(OR(sel_Region="All",C601=sel_Region),OR(sel_Channel="All",E601=sel_Channel),OR(sel_Customer="All",F601=sel_Customer),OR(sel_Category="All",G601=sel_Category),OR(sel_Product="All",H601=sel_Product),AND(S601&gt;=m_From,S601&lt;=m_To)),1,0)</f>
        <v/>
      </c>
      <c r="W601" s="36">
        <f>IF(AND(OR(sel_Region="All",C601=sel_Region),OR(sel_Country="All",D601=sel_Country),OR(sel_Customer="All",F601=sel_Customer),OR(sel_Category="All",G601=sel_Category),OR(sel_Product="All",H601=sel_Product),AND(S601&gt;=m_From,S601&lt;=m_To)),1,0)</f>
        <v/>
      </c>
      <c r="X601" s="36">
        <f>IF(AND(OR(sel_Region="All",C601=sel_Region),OR(sel_Country="All",D601=sel_Country),OR(sel_Channel="All",E601=sel_Channel),OR(sel_Category="All",G601=sel_Category),OR(sel_Product="All",H601=sel_Product),AND(S601&gt;=m_From,S601&lt;=m_To)),1,0)</f>
        <v/>
      </c>
      <c r="Y601" s="36">
        <f>IF(AND(OR(sel_Region="All",C601=sel_Region),OR(sel_Country="All",D601=sel_Country),OR(sel_Channel="All",E601=sel_Channel),OR(sel_Customer="All",F601=sel_Customer),OR(sel_Product="All",H601=sel_Product),AND(S601&gt;=m_From,S601&lt;=m_To)),1,0)</f>
        <v/>
      </c>
      <c r="Z601" s="36">
        <f>IF(AND(OR(sel_Region="All",C601=sel_Region),OR(sel_Country="All",D601=sel_Country),OR(sel_Channel="All",E601=sel_Channel),OR(sel_Customer="All",F601=sel_Customer),OR(sel_Category="All",G601=sel_Category),AND(S601&gt;=m_From,S601&lt;=m_To)),1,0)</f>
        <v/>
      </c>
      <c r="AA601" s="36">
        <f>IF(AND(OR(sel_Region="All",C601=sel_Region),OR(sel_Country="All",D601=sel_Country),OR(sel_Channel="All",E601=sel_Channel),OR(sel_Customer="All",F601=sel_Customer),OR(sel_Category="All",G601=sel_Category),OR(sel_Product="All",H601=sel_Product)),1,0)</f>
        <v/>
      </c>
    </row>
    <row r="602">
      <c r="A602" s="36" t="inlineStr">
        <is>
          <t>03157</t>
        </is>
      </c>
      <c r="B602" s="44" t="n">
        <v>46130</v>
      </c>
      <c r="C602" s="36" t="inlineStr">
        <is>
          <t>Western Europe</t>
        </is>
      </c>
      <c r="D602" s="36" t="inlineStr">
        <is>
          <t>United Kingdom</t>
        </is>
      </c>
      <c r="E602" s="36" t="inlineStr">
        <is>
          <t>Online Store</t>
        </is>
      </c>
      <c r="F602" s="36" t="inlineStr">
        <is>
          <t>New</t>
        </is>
      </c>
      <c r="G602" s="36" t="inlineStr">
        <is>
          <t>Camping</t>
        </is>
      </c>
      <c r="H602" s="36" t="inlineStr">
        <is>
          <t>Trail Tent 2P</t>
        </is>
      </c>
      <c r="I602" s="36" t="n">
        <v>2</v>
      </c>
      <c r="J602" s="39" t="n">
        <v>200.36</v>
      </c>
      <c r="K602" s="45" t="n">
        <v>0</v>
      </c>
      <c r="L602" s="39" t="n">
        <v>105.12</v>
      </c>
      <c r="M602" s="39">
        <f>I602*J602*(1-K602)</f>
        <v/>
      </c>
      <c r="N602" s="39">
        <f>I602*L602</f>
        <v/>
      </c>
      <c r="O602" s="39">
        <f>M602-N602</f>
        <v/>
      </c>
      <c r="P602" s="38">
        <f>IF(M602=0,0,O602/M602)</f>
        <v/>
      </c>
      <c r="Q602" s="36">
        <f>YEAR(B602)</f>
        <v/>
      </c>
      <c r="R602" s="36">
        <f>"Q"&amp;ROUNDUP(MONTH(B602)/3,0)</f>
        <v/>
      </c>
      <c r="S602" s="36">
        <f>MONTH(B602)</f>
        <v/>
      </c>
      <c r="T602" s="36">
        <f>TEXT(B602,"mmm")</f>
        <v/>
      </c>
      <c r="U602" s="36">
        <f>IF(AND(OR(sel_Region="All",C602=sel_Region),OR(sel_Country="All",D602=sel_Country),OR(sel_Channel="All",E602=sel_Channel),OR(sel_Customer="All",F602=sel_Customer),OR(sel_Category="All",G602=sel_Category),OR(sel_Product="All",H602=sel_Product),AND(S602&gt;=m_From,S602&lt;=m_To)),1,0)</f>
        <v/>
      </c>
      <c r="V602" s="36">
        <f>IF(AND(OR(sel_Region="All",C602=sel_Region),OR(sel_Channel="All",E602=sel_Channel),OR(sel_Customer="All",F602=sel_Customer),OR(sel_Category="All",G602=sel_Category),OR(sel_Product="All",H602=sel_Product),AND(S602&gt;=m_From,S602&lt;=m_To)),1,0)</f>
        <v/>
      </c>
      <c r="W602" s="36">
        <f>IF(AND(OR(sel_Region="All",C602=sel_Region),OR(sel_Country="All",D602=sel_Country),OR(sel_Customer="All",F602=sel_Customer),OR(sel_Category="All",G602=sel_Category),OR(sel_Product="All",H602=sel_Product),AND(S602&gt;=m_From,S602&lt;=m_To)),1,0)</f>
        <v/>
      </c>
      <c r="X602" s="36">
        <f>IF(AND(OR(sel_Region="All",C602=sel_Region),OR(sel_Country="All",D602=sel_Country),OR(sel_Channel="All",E602=sel_Channel),OR(sel_Category="All",G602=sel_Category),OR(sel_Product="All",H602=sel_Product),AND(S602&gt;=m_From,S602&lt;=m_To)),1,0)</f>
        <v/>
      </c>
      <c r="Y602" s="36">
        <f>IF(AND(OR(sel_Region="All",C602=sel_Region),OR(sel_Country="All",D602=sel_Country),OR(sel_Channel="All",E602=sel_Channel),OR(sel_Customer="All",F602=sel_Customer),OR(sel_Product="All",H602=sel_Product),AND(S602&gt;=m_From,S602&lt;=m_To)),1,0)</f>
        <v/>
      </c>
      <c r="Z602" s="36">
        <f>IF(AND(OR(sel_Region="All",C602=sel_Region),OR(sel_Country="All",D602=sel_Country),OR(sel_Channel="All",E602=sel_Channel),OR(sel_Customer="All",F602=sel_Customer),OR(sel_Category="All",G602=sel_Category),AND(S602&gt;=m_From,S602&lt;=m_To)),1,0)</f>
        <v/>
      </c>
      <c r="AA602" s="36">
        <f>IF(AND(OR(sel_Region="All",C602=sel_Region),OR(sel_Country="All",D602=sel_Country),OR(sel_Channel="All",E602=sel_Channel),OR(sel_Customer="All",F602=sel_Customer),OR(sel_Category="All",G602=sel_Category),OR(sel_Product="All",H602=sel_Product)),1,0)</f>
        <v/>
      </c>
    </row>
    <row r="603">
      <c r="A603" s="36" t="inlineStr">
        <is>
          <t>04516</t>
        </is>
      </c>
      <c r="B603" s="44" t="n">
        <v>46130</v>
      </c>
      <c r="C603" s="36" t="inlineStr">
        <is>
          <t>Northern Europe</t>
        </is>
      </c>
      <c r="D603" s="36" t="inlineStr">
        <is>
          <t>Denmark</t>
        </is>
      </c>
      <c r="E603" s="36" t="inlineStr">
        <is>
          <t>Online Store</t>
        </is>
      </c>
      <c r="F603" s="36" t="inlineStr">
        <is>
          <t>Returning</t>
        </is>
      </c>
      <c r="G603" s="36" t="inlineStr">
        <is>
          <t>Camping</t>
        </is>
      </c>
      <c r="H603" s="36" t="inlineStr">
        <is>
          <t>Trail Tent 2P</t>
        </is>
      </c>
      <c r="I603" s="36" t="n">
        <v>1</v>
      </c>
      <c r="J603" s="39" t="n">
        <v>196.24</v>
      </c>
      <c r="K603" s="45" t="n">
        <v>0</v>
      </c>
      <c r="L603" s="39" t="n">
        <v>106.34</v>
      </c>
      <c r="M603" s="39">
        <f>I603*J603*(1-K603)</f>
        <v/>
      </c>
      <c r="N603" s="39">
        <f>I603*L603</f>
        <v/>
      </c>
      <c r="O603" s="39">
        <f>M603-N603</f>
        <v/>
      </c>
      <c r="P603" s="38">
        <f>IF(M603=0,0,O603/M603)</f>
        <v/>
      </c>
      <c r="Q603" s="36">
        <f>YEAR(B603)</f>
        <v/>
      </c>
      <c r="R603" s="36">
        <f>"Q"&amp;ROUNDUP(MONTH(B603)/3,0)</f>
        <v/>
      </c>
      <c r="S603" s="36">
        <f>MONTH(B603)</f>
        <v/>
      </c>
      <c r="T603" s="36">
        <f>TEXT(B603,"mmm")</f>
        <v/>
      </c>
      <c r="U603" s="36">
        <f>IF(AND(OR(sel_Region="All",C603=sel_Region),OR(sel_Country="All",D603=sel_Country),OR(sel_Channel="All",E603=sel_Channel),OR(sel_Customer="All",F603=sel_Customer),OR(sel_Category="All",G603=sel_Category),OR(sel_Product="All",H603=sel_Product),AND(S603&gt;=m_From,S603&lt;=m_To)),1,0)</f>
        <v/>
      </c>
      <c r="V603" s="36">
        <f>IF(AND(OR(sel_Region="All",C603=sel_Region),OR(sel_Channel="All",E603=sel_Channel),OR(sel_Customer="All",F603=sel_Customer),OR(sel_Category="All",G603=sel_Category),OR(sel_Product="All",H603=sel_Product),AND(S603&gt;=m_From,S603&lt;=m_To)),1,0)</f>
        <v/>
      </c>
      <c r="W603" s="36">
        <f>IF(AND(OR(sel_Region="All",C603=sel_Region),OR(sel_Country="All",D603=sel_Country),OR(sel_Customer="All",F603=sel_Customer),OR(sel_Category="All",G603=sel_Category),OR(sel_Product="All",H603=sel_Product),AND(S603&gt;=m_From,S603&lt;=m_To)),1,0)</f>
        <v/>
      </c>
      <c r="X603" s="36">
        <f>IF(AND(OR(sel_Region="All",C603=sel_Region),OR(sel_Country="All",D603=sel_Country),OR(sel_Channel="All",E603=sel_Channel),OR(sel_Category="All",G603=sel_Category),OR(sel_Product="All",H603=sel_Product),AND(S603&gt;=m_From,S603&lt;=m_To)),1,0)</f>
        <v/>
      </c>
      <c r="Y603" s="36">
        <f>IF(AND(OR(sel_Region="All",C603=sel_Region),OR(sel_Country="All",D603=sel_Country),OR(sel_Channel="All",E603=sel_Channel),OR(sel_Customer="All",F603=sel_Customer),OR(sel_Product="All",H603=sel_Product),AND(S603&gt;=m_From,S603&lt;=m_To)),1,0)</f>
        <v/>
      </c>
      <c r="Z603" s="36">
        <f>IF(AND(OR(sel_Region="All",C603=sel_Region),OR(sel_Country="All",D603=sel_Country),OR(sel_Channel="All",E603=sel_Channel),OR(sel_Customer="All",F603=sel_Customer),OR(sel_Category="All",G603=sel_Category),AND(S603&gt;=m_From,S603&lt;=m_To)),1,0)</f>
        <v/>
      </c>
      <c r="AA603" s="36">
        <f>IF(AND(OR(sel_Region="All",C603=sel_Region),OR(sel_Country="All",D603=sel_Country),OR(sel_Channel="All",E603=sel_Channel),OR(sel_Customer="All",F603=sel_Customer),OR(sel_Category="All",G603=sel_Category),OR(sel_Product="All",H603=sel_Product)),1,0)</f>
        <v/>
      </c>
    </row>
    <row r="604">
      <c r="A604" s="36" t="inlineStr">
        <is>
          <t>05119</t>
        </is>
      </c>
      <c r="B604" s="44" t="n">
        <v>46130</v>
      </c>
      <c r="C604" s="36" t="inlineStr">
        <is>
          <t>Southern Europe</t>
        </is>
      </c>
      <c r="D604" s="36" t="inlineStr">
        <is>
          <t>Italy</t>
        </is>
      </c>
      <c r="E604" s="36" t="inlineStr">
        <is>
          <t>Online Store</t>
        </is>
      </c>
      <c r="F604" s="36" t="inlineStr">
        <is>
          <t>Business</t>
        </is>
      </c>
      <c r="G604" s="36" t="inlineStr">
        <is>
          <t>Hiking</t>
        </is>
      </c>
      <c r="H604" s="36" t="inlineStr">
        <is>
          <t>Hiking Daypack 20L</t>
        </is>
      </c>
      <c r="I604" s="36" t="n">
        <v>1</v>
      </c>
      <c r="J604" s="39" t="n">
        <v>93.31999999999999</v>
      </c>
      <c r="K604" s="45" t="n">
        <v>0</v>
      </c>
      <c r="L604" s="39" t="n">
        <v>44.82</v>
      </c>
      <c r="M604" s="39">
        <f>I604*J604*(1-K604)</f>
        <v/>
      </c>
      <c r="N604" s="39">
        <f>I604*L604</f>
        <v/>
      </c>
      <c r="O604" s="39">
        <f>M604-N604</f>
        <v/>
      </c>
      <c r="P604" s="38">
        <f>IF(M604=0,0,O604/M604)</f>
        <v/>
      </c>
      <c r="Q604" s="36">
        <f>YEAR(B604)</f>
        <v/>
      </c>
      <c r="R604" s="36">
        <f>"Q"&amp;ROUNDUP(MONTH(B604)/3,0)</f>
        <v/>
      </c>
      <c r="S604" s="36">
        <f>MONTH(B604)</f>
        <v/>
      </c>
      <c r="T604" s="36">
        <f>TEXT(B604,"mmm")</f>
        <v/>
      </c>
      <c r="U604" s="36">
        <f>IF(AND(OR(sel_Region="All",C604=sel_Region),OR(sel_Country="All",D604=sel_Country),OR(sel_Channel="All",E604=sel_Channel),OR(sel_Customer="All",F604=sel_Customer),OR(sel_Category="All",G604=sel_Category),OR(sel_Product="All",H604=sel_Product),AND(S604&gt;=m_From,S604&lt;=m_To)),1,0)</f>
        <v/>
      </c>
      <c r="V604" s="36">
        <f>IF(AND(OR(sel_Region="All",C604=sel_Region),OR(sel_Channel="All",E604=sel_Channel),OR(sel_Customer="All",F604=sel_Customer),OR(sel_Category="All",G604=sel_Category),OR(sel_Product="All",H604=sel_Product),AND(S604&gt;=m_From,S604&lt;=m_To)),1,0)</f>
        <v/>
      </c>
      <c r="W604" s="36">
        <f>IF(AND(OR(sel_Region="All",C604=sel_Region),OR(sel_Country="All",D604=sel_Country),OR(sel_Customer="All",F604=sel_Customer),OR(sel_Category="All",G604=sel_Category),OR(sel_Product="All",H604=sel_Product),AND(S604&gt;=m_From,S604&lt;=m_To)),1,0)</f>
        <v/>
      </c>
      <c r="X604" s="36">
        <f>IF(AND(OR(sel_Region="All",C604=sel_Region),OR(sel_Country="All",D604=sel_Country),OR(sel_Channel="All",E604=sel_Channel),OR(sel_Category="All",G604=sel_Category),OR(sel_Product="All",H604=sel_Product),AND(S604&gt;=m_From,S604&lt;=m_To)),1,0)</f>
        <v/>
      </c>
      <c r="Y604" s="36">
        <f>IF(AND(OR(sel_Region="All",C604=sel_Region),OR(sel_Country="All",D604=sel_Country),OR(sel_Channel="All",E604=sel_Channel),OR(sel_Customer="All",F604=sel_Customer),OR(sel_Product="All",H604=sel_Product),AND(S604&gt;=m_From,S604&lt;=m_To)),1,0)</f>
        <v/>
      </c>
      <c r="Z604" s="36">
        <f>IF(AND(OR(sel_Region="All",C604=sel_Region),OR(sel_Country="All",D604=sel_Country),OR(sel_Channel="All",E604=sel_Channel),OR(sel_Customer="All",F604=sel_Customer),OR(sel_Category="All",G604=sel_Category),AND(S604&gt;=m_From,S604&lt;=m_To)),1,0)</f>
        <v/>
      </c>
      <c r="AA604" s="36">
        <f>IF(AND(OR(sel_Region="All",C604=sel_Region),OR(sel_Country="All",D604=sel_Country),OR(sel_Channel="All",E604=sel_Channel),OR(sel_Customer="All",F604=sel_Customer),OR(sel_Category="All",G604=sel_Category),OR(sel_Product="All",H604=sel_Product)),1,0)</f>
        <v/>
      </c>
    </row>
    <row r="605">
      <c r="A605" s="36" t="inlineStr">
        <is>
          <t>00125</t>
        </is>
      </c>
      <c r="B605" s="44" t="n">
        <v>46131</v>
      </c>
      <c r="C605" s="36" t="inlineStr">
        <is>
          <t>Western Europe</t>
        </is>
      </c>
      <c r="D605" s="36" t="inlineStr">
        <is>
          <t>Netherlands</t>
        </is>
      </c>
      <c r="E605" s="36" t="inlineStr">
        <is>
          <t>Online Store</t>
        </is>
      </c>
      <c r="F605" s="36" t="inlineStr">
        <is>
          <t>Returning</t>
        </is>
      </c>
      <c r="G605" s="36" t="inlineStr">
        <is>
          <t>Cycling</t>
        </is>
      </c>
      <c r="H605" s="36" t="inlineStr">
        <is>
          <t>Cycling Pack 12L</t>
        </is>
      </c>
      <c r="I605" s="36" t="n">
        <v>2</v>
      </c>
      <c r="J605" s="39" t="n">
        <v>101.61</v>
      </c>
      <c r="K605" s="45" t="n">
        <v>0</v>
      </c>
      <c r="L605" s="39" t="n">
        <v>49.9</v>
      </c>
      <c r="M605" s="39">
        <f>I605*J605*(1-K605)</f>
        <v/>
      </c>
      <c r="N605" s="39">
        <f>I605*L605</f>
        <v/>
      </c>
      <c r="O605" s="39">
        <f>M605-N605</f>
        <v/>
      </c>
      <c r="P605" s="38">
        <f>IF(M605=0,0,O605/M605)</f>
        <v/>
      </c>
      <c r="Q605" s="36">
        <f>YEAR(B605)</f>
        <v/>
      </c>
      <c r="R605" s="36">
        <f>"Q"&amp;ROUNDUP(MONTH(B605)/3,0)</f>
        <v/>
      </c>
      <c r="S605" s="36">
        <f>MONTH(B605)</f>
        <v/>
      </c>
      <c r="T605" s="36">
        <f>TEXT(B605,"mmm")</f>
        <v/>
      </c>
      <c r="U605" s="36">
        <f>IF(AND(OR(sel_Region="All",C605=sel_Region),OR(sel_Country="All",D605=sel_Country),OR(sel_Channel="All",E605=sel_Channel),OR(sel_Customer="All",F605=sel_Customer),OR(sel_Category="All",G605=sel_Category),OR(sel_Product="All",H605=sel_Product),AND(S605&gt;=m_From,S605&lt;=m_To)),1,0)</f>
        <v/>
      </c>
      <c r="V605" s="36">
        <f>IF(AND(OR(sel_Region="All",C605=sel_Region),OR(sel_Channel="All",E605=sel_Channel),OR(sel_Customer="All",F605=sel_Customer),OR(sel_Category="All",G605=sel_Category),OR(sel_Product="All",H605=sel_Product),AND(S605&gt;=m_From,S605&lt;=m_To)),1,0)</f>
        <v/>
      </c>
      <c r="W605" s="36">
        <f>IF(AND(OR(sel_Region="All",C605=sel_Region),OR(sel_Country="All",D605=sel_Country),OR(sel_Customer="All",F605=sel_Customer),OR(sel_Category="All",G605=sel_Category),OR(sel_Product="All",H605=sel_Product),AND(S605&gt;=m_From,S605&lt;=m_To)),1,0)</f>
        <v/>
      </c>
      <c r="X605" s="36">
        <f>IF(AND(OR(sel_Region="All",C605=sel_Region),OR(sel_Country="All",D605=sel_Country),OR(sel_Channel="All",E605=sel_Channel),OR(sel_Category="All",G605=sel_Category),OR(sel_Product="All",H605=sel_Product),AND(S605&gt;=m_From,S605&lt;=m_To)),1,0)</f>
        <v/>
      </c>
      <c r="Y605" s="36">
        <f>IF(AND(OR(sel_Region="All",C605=sel_Region),OR(sel_Country="All",D605=sel_Country),OR(sel_Channel="All",E605=sel_Channel),OR(sel_Customer="All",F605=sel_Customer),OR(sel_Product="All",H605=sel_Product),AND(S605&gt;=m_From,S605&lt;=m_To)),1,0)</f>
        <v/>
      </c>
      <c r="Z605" s="36">
        <f>IF(AND(OR(sel_Region="All",C605=sel_Region),OR(sel_Country="All",D605=sel_Country),OR(sel_Channel="All",E605=sel_Channel),OR(sel_Customer="All",F605=sel_Customer),OR(sel_Category="All",G605=sel_Category),AND(S605&gt;=m_From,S605&lt;=m_To)),1,0)</f>
        <v/>
      </c>
      <c r="AA605" s="36">
        <f>IF(AND(OR(sel_Region="All",C605=sel_Region),OR(sel_Country="All",D605=sel_Country),OR(sel_Channel="All",E605=sel_Channel),OR(sel_Customer="All",F605=sel_Customer),OR(sel_Category="All",G605=sel_Category),OR(sel_Product="All",H605=sel_Product)),1,0)</f>
        <v/>
      </c>
    </row>
    <row r="606">
      <c r="A606" s="36" t="inlineStr">
        <is>
          <t>00728</t>
        </is>
      </c>
      <c r="B606" s="44" t="n">
        <v>46131</v>
      </c>
      <c r="C606" s="36" t="inlineStr">
        <is>
          <t>Central Europe</t>
        </is>
      </c>
      <c r="D606" s="36" t="inlineStr">
        <is>
          <t>Poland</t>
        </is>
      </c>
      <c r="E606" s="36" t="inlineStr">
        <is>
          <t>Online Store</t>
        </is>
      </c>
      <c r="F606" s="36" t="inlineStr">
        <is>
          <t>Returning</t>
        </is>
      </c>
      <c r="G606" s="36" t="inlineStr">
        <is>
          <t>Cycling</t>
        </is>
      </c>
      <c r="H606" s="36" t="inlineStr">
        <is>
          <t>Cycling Pack 12L</t>
        </is>
      </c>
      <c r="I606" s="36" t="n">
        <v>1</v>
      </c>
      <c r="J606" s="39" t="n">
        <v>104.91</v>
      </c>
      <c r="K606" s="45" t="n">
        <v>0</v>
      </c>
      <c r="L606" s="39" t="n">
        <v>51.68</v>
      </c>
      <c r="M606" s="39">
        <f>I606*J606*(1-K606)</f>
        <v/>
      </c>
      <c r="N606" s="39">
        <f>I606*L606</f>
        <v/>
      </c>
      <c r="O606" s="39">
        <f>M606-N606</f>
        <v/>
      </c>
      <c r="P606" s="38">
        <f>IF(M606=0,0,O606/M606)</f>
        <v/>
      </c>
      <c r="Q606" s="36">
        <f>YEAR(B606)</f>
        <v/>
      </c>
      <c r="R606" s="36">
        <f>"Q"&amp;ROUNDUP(MONTH(B606)/3,0)</f>
        <v/>
      </c>
      <c r="S606" s="36">
        <f>MONTH(B606)</f>
        <v/>
      </c>
      <c r="T606" s="36">
        <f>TEXT(B606,"mmm")</f>
        <v/>
      </c>
      <c r="U606" s="36">
        <f>IF(AND(OR(sel_Region="All",C606=sel_Region),OR(sel_Country="All",D606=sel_Country),OR(sel_Channel="All",E606=sel_Channel),OR(sel_Customer="All",F606=sel_Customer),OR(sel_Category="All",G606=sel_Category),OR(sel_Product="All",H606=sel_Product),AND(S606&gt;=m_From,S606&lt;=m_To)),1,0)</f>
        <v/>
      </c>
      <c r="V606" s="36">
        <f>IF(AND(OR(sel_Region="All",C606=sel_Region),OR(sel_Channel="All",E606=sel_Channel),OR(sel_Customer="All",F606=sel_Customer),OR(sel_Category="All",G606=sel_Category),OR(sel_Product="All",H606=sel_Product),AND(S606&gt;=m_From,S606&lt;=m_To)),1,0)</f>
        <v/>
      </c>
      <c r="W606" s="36">
        <f>IF(AND(OR(sel_Region="All",C606=sel_Region),OR(sel_Country="All",D606=sel_Country),OR(sel_Customer="All",F606=sel_Customer),OR(sel_Category="All",G606=sel_Category),OR(sel_Product="All",H606=sel_Product),AND(S606&gt;=m_From,S606&lt;=m_To)),1,0)</f>
        <v/>
      </c>
      <c r="X606" s="36">
        <f>IF(AND(OR(sel_Region="All",C606=sel_Region),OR(sel_Country="All",D606=sel_Country),OR(sel_Channel="All",E606=sel_Channel),OR(sel_Category="All",G606=sel_Category),OR(sel_Product="All",H606=sel_Product),AND(S606&gt;=m_From,S606&lt;=m_To)),1,0)</f>
        <v/>
      </c>
      <c r="Y606" s="36">
        <f>IF(AND(OR(sel_Region="All",C606=sel_Region),OR(sel_Country="All",D606=sel_Country),OR(sel_Channel="All",E606=sel_Channel),OR(sel_Customer="All",F606=sel_Customer),OR(sel_Product="All",H606=sel_Product),AND(S606&gt;=m_From,S606&lt;=m_To)),1,0)</f>
        <v/>
      </c>
      <c r="Z606" s="36">
        <f>IF(AND(OR(sel_Region="All",C606=sel_Region),OR(sel_Country="All",D606=sel_Country),OR(sel_Channel="All",E606=sel_Channel),OR(sel_Customer="All",F606=sel_Customer),OR(sel_Category="All",G606=sel_Category),AND(S606&gt;=m_From,S606&lt;=m_To)),1,0)</f>
        <v/>
      </c>
      <c r="AA606" s="36">
        <f>IF(AND(OR(sel_Region="All",C606=sel_Region),OR(sel_Country="All",D606=sel_Country),OR(sel_Channel="All",E606=sel_Channel),OR(sel_Customer="All",F606=sel_Customer),OR(sel_Category="All",G606=sel_Category),OR(sel_Product="All",H606=sel_Product)),1,0)</f>
        <v/>
      </c>
    </row>
    <row r="607">
      <c r="A607" s="36" t="inlineStr">
        <is>
          <t>01271</t>
        </is>
      </c>
      <c r="B607" s="44" t="n">
        <v>46131</v>
      </c>
      <c r="C607" s="36" t="inlineStr">
        <is>
          <t>Northern Europe</t>
        </is>
      </c>
      <c r="D607" s="36" t="inlineStr">
        <is>
          <t>Sweden</t>
        </is>
      </c>
      <c r="E607" s="36" t="inlineStr">
        <is>
          <t>Corporate</t>
        </is>
      </c>
      <c r="F607" s="36" t="inlineStr">
        <is>
          <t>Business</t>
        </is>
      </c>
      <c r="G607" s="36" t="inlineStr">
        <is>
          <t>Fitness</t>
        </is>
      </c>
      <c r="H607" s="36" t="inlineStr">
        <is>
          <t>Resistance Band Set</t>
        </is>
      </c>
      <c r="I607" s="36" t="n">
        <v>8</v>
      </c>
      <c r="J607" s="39" t="n">
        <v>39.99</v>
      </c>
      <c r="K607" s="45" t="n">
        <v>0.15</v>
      </c>
      <c r="L607" s="39" t="n">
        <v>14.92</v>
      </c>
      <c r="M607" s="39">
        <f>I607*J607*(1-K607)</f>
        <v/>
      </c>
      <c r="N607" s="39">
        <f>I607*L607</f>
        <v/>
      </c>
      <c r="O607" s="39">
        <f>M607-N607</f>
        <v/>
      </c>
      <c r="P607" s="38">
        <f>IF(M607=0,0,O607/M607)</f>
        <v/>
      </c>
      <c r="Q607" s="36">
        <f>YEAR(B607)</f>
        <v/>
      </c>
      <c r="R607" s="36">
        <f>"Q"&amp;ROUNDUP(MONTH(B607)/3,0)</f>
        <v/>
      </c>
      <c r="S607" s="36">
        <f>MONTH(B607)</f>
        <v/>
      </c>
      <c r="T607" s="36">
        <f>TEXT(B607,"mmm")</f>
        <v/>
      </c>
      <c r="U607" s="36">
        <f>IF(AND(OR(sel_Region="All",C607=sel_Region),OR(sel_Country="All",D607=sel_Country),OR(sel_Channel="All",E607=sel_Channel),OR(sel_Customer="All",F607=sel_Customer),OR(sel_Category="All",G607=sel_Category),OR(sel_Product="All",H607=sel_Product),AND(S607&gt;=m_From,S607&lt;=m_To)),1,0)</f>
        <v/>
      </c>
      <c r="V607" s="36">
        <f>IF(AND(OR(sel_Region="All",C607=sel_Region),OR(sel_Channel="All",E607=sel_Channel),OR(sel_Customer="All",F607=sel_Customer),OR(sel_Category="All",G607=sel_Category),OR(sel_Product="All",H607=sel_Product),AND(S607&gt;=m_From,S607&lt;=m_To)),1,0)</f>
        <v/>
      </c>
      <c r="W607" s="36">
        <f>IF(AND(OR(sel_Region="All",C607=sel_Region),OR(sel_Country="All",D607=sel_Country),OR(sel_Customer="All",F607=sel_Customer),OR(sel_Category="All",G607=sel_Category),OR(sel_Product="All",H607=sel_Product),AND(S607&gt;=m_From,S607&lt;=m_To)),1,0)</f>
        <v/>
      </c>
      <c r="X607" s="36">
        <f>IF(AND(OR(sel_Region="All",C607=sel_Region),OR(sel_Country="All",D607=sel_Country),OR(sel_Channel="All",E607=sel_Channel),OR(sel_Category="All",G607=sel_Category),OR(sel_Product="All",H607=sel_Product),AND(S607&gt;=m_From,S607&lt;=m_To)),1,0)</f>
        <v/>
      </c>
      <c r="Y607" s="36">
        <f>IF(AND(OR(sel_Region="All",C607=sel_Region),OR(sel_Country="All",D607=sel_Country),OR(sel_Channel="All",E607=sel_Channel),OR(sel_Customer="All",F607=sel_Customer),OR(sel_Product="All",H607=sel_Product),AND(S607&gt;=m_From,S607&lt;=m_To)),1,0)</f>
        <v/>
      </c>
      <c r="Z607" s="36">
        <f>IF(AND(OR(sel_Region="All",C607=sel_Region),OR(sel_Country="All",D607=sel_Country),OR(sel_Channel="All",E607=sel_Channel),OR(sel_Customer="All",F607=sel_Customer),OR(sel_Category="All",G607=sel_Category),AND(S607&gt;=m_From,S607&lt;=m_To)),1,0)</f>
        <v/>
      </c>
      <c r="AA607" s="36">
        <f>IF(AND(OR(sel_Region="All",C607=sel_Region),OR(sel_Country="All",D607=sel_Country),OR(sel_Channel="All",E607=sel_Channel),OR(sel_Customer="All",F607=sel_Customer),OR(sel_Category="All",G607=sel_Category),OR(sel_Product="All",H607=sel_Product)),1,0)</f>
        <v/>
      </c>
    </row>
    <row r="608">
      <c r="A608" s="36" t="inlineStr">
        <is>
          <t>01284</t>
        </is>
      </c>
      <c r="B608" s="44" t="n">
        <v>46131</v>
      </c>
      <c r="C608" s="36" t="inlineStr">
        <is>
          <t>Central Europe</t>
        </is>
      </c>
      <c r="D608" s="36" t="inlineStr">
        <is>
          <t>Germany</t>
        </is>
      </c>
      <c r="E608" s="36" t="inlineStr">
        <is>
          <t>Retail Partners</t>
        </is>
      </c>
      <c r="F608" s="36" t="inlineStr">
        <is>
          <t>New</t>
        </is>
      </c>
      <c r="G608" s="36" t="inlineStr">
        <is>
          <t>Travel</t>
        </is>
      </c>
      <c r="H608" s="36" t="inlineStr">
        <is>
          <t>Carry-On Duffel</t>
        </is>
      </c>
      <c r="I608" s="36" t="n">
        <v>1</v>
      </c>
      <c r="J608" s="39" t="n">
        <v>136.01</v>
      </c>
      <c r="K608" s="45" t="n">
        <v>0</v>
      </c>
      <c r="L608" s="39" t="n">
        <v>66.59</v>
      </c>
      <c r="M608" s="39">
        <f>I608*J608*(1-K608)</f>
        <v/>
      </c>
      <c r="N608" s="39">
        <f>I608*L608</f>
        <v/>
      </c>
      <c r="O608" s="39">
        <f>M608-N608</f>
        <v/>
      </c>
      <c r="P608" s="38">
        <f>IF(M608=0,0,O608/M608)</f>
        <v/>
      </c>
      <c r="Q608" s="36">
        <f>YEAR(B608)</f>
        <v/>
      </c>
      <c r="R608" s="36">
        <f>"Q"&amp;ROUNDUP(MONTH(B608)/3,0)</f>
        <v/>
      </c>
      <c r="S608" s="36">
        <f>MONTH(B608)</f>
        <v/>
      </c>
      <c r="T608" s="36">
        <f>TEXT(B608,"mmm")</f>
        <v/>
      </c>
      <c r="U608" s="36">
        <f>IF(AND(OR(sel_Region="All",C608=sel_Region),OR(sel_Country="All",D608=sel_Country),OR(sel_Channel="All",E608=sel_Channel),OR(sel_Customer="All",F608=sel_Customer),OR(sel_Category="All",G608=sel_Category),OR(sel_Product="All",H608=sel_Product),AND(S608&gt;=m_From,S608&lt;=m_To)),1,0)</f>
        <v/>
      </c>
      <c r="V608" s="36">
        <f>IF(AND(OR(sel_Region="All",C608=sel_Region),OR(sel_Channel="All",E608=sel_Channel),OR(sel_Customer="All",F608=sel_Customer),OR(sel_Category="All",G608=sel_Category),OR(sel_Product="All",H608=sel_Product),AND(S608&gt;=m_From,S608&lt;=m_To)),1,0)</f>
        <v/>
      </c>
      <c r="W608" s="36">
        <f>IF(AND(OR(sel_Region="All",C608=sel_Region),OR(sel_Country="All",D608=sel_Country),OR(sel_Customer="All",F608=sel_Customer),OR(sel_Category="All",G608=sel_Category),OR(sel_Product="All",H608=sel_Product),AND(S608&gt;=m_From,S608&lt;=m_To)),1,0)</f>
        <v/>
      </c>
      <c r="X608" s="36">
        <f>IF(AND(OR(sel_Region="All",C608=sel_Region),OR(sel_Country="All",D608=sel_Country),OR(sel_Channel="All",E608=sel_Channel),OR(sel_Category="All",G608=sel_Category),OR(sel_Product="All",H608=sel_Product),AND(S608&gt;=m_From,S608&lt;=m_To)),1,0)</f>
        <v/>
      </c>
      <c r="Y608" s="36">
        <f>IF(AND(OR(sel_Region="All",C608=sel_Region),OR(sel_Country="All",D608=sel_Country),OR(sel_Channel="All",E608=sel_Channel),OR(sel_Customer="All",F608=sel_Customer),OR(sel_Product="All",H608=sel_Product),AND(S608&gt;=m_From,S608&lt;=m_To)),1,0)</f>
        <v/>
      </c>
      <c r="Z608" s="36">
        <f>IF(AND(OR(sel_Region="All",C608=sel_Region),OR(sel_Country="All",D608=sel_Country),OR(sel_Channel="All",E608=sel_Channel),OR(sel_Customer="All",F608=sel_Customer),OR(sel_Category="All",G608=sel_Category),AND(S608&gt;=m_From,S608&lt;=m_To)),1,0)</f>
        <v/>
      </c>
      <c r="AA608" s="36">
        <f>IF(AND(OR(sel_Region="All",C608=sel_Region),OR(sel_Country="All",D608=sel_Country),OR(sel_Channel="All",E608=sel_Channel),OR(sel_Customer="All",F608=sel_Customer),OR(sel_Category="All",G608=sel_Category),OR(sel_Product="All",H608=sel_Product)),1,0)</f>
        <v/>
      </c>
    </row>
    <row r="609">
      <c r="A609" s="36" t="inlineStr">
        <is>
          <t>01657</t>
        </is>
      </c>
      <c r="B609" s="44" t="n">
        <v>46131</v>
      </c>
      <c r="C609" s="36" t="inlineStr">
        <is>
          <t>Southern Europe</t>
        </is>
      </c>
      <c r="D609" s="36" t="inlineStr">
        <is>
          <t>Spain</t>
        </is>
      </c>
      <c r="E609" s="36" t="inlineStr">
        <is>
          <t>Corporate</t>
        </is>
      </c>
      <c r="F609" s="36" t="inlineStr">
        <is>
          <t>Business</t>
        </is>
      </c>
      <c r="G609" s="36" t="inlineStr">
        <is>
          <t>Camping</t>
        </is>
      </c>
      <c r="H609" s="36" t="inlineStr">
        <is>
          <t>Compact Sleeping Bag</t>
        </is>
      </c>
      <c r="I609" s="36" t="n">
        <v>15</v>
      </c>
      <c r="J609" s="39" t="n">
        <v>122.1</v>
      </c>
      <c r="K609" s="45" t="n">
        <v>0.15</v>
      </c>
      <c r="L609" s="39" t="n">
        <v>62.33</v>
      </c>
      <c r="M609" s="39">
        <f>I609*J609*(1-K609)</f>
        <v/>
      </c>
      <c r="N609" s="39">
        <f>I609*L609</f>
        <v/>
      </c>
      <c r="O609" s="39">
        <f>M609-N609</f>
        <v/>
      </c>
      <c r="P609" s="38">
        <f>IF(M609=0,0,O609/M609)</f>
        <v/>
      </c>
      <c r="Q609" s="36">
        <f>YEAR(B609)</f>
        <v/>
      </c>
      <c r="R609" s="36">
        <f>"Q"&amp;ROUNDUP(MONTH(B609)/3,0)</f>
        <v/>
      </c>
      <c r="S609" s="36">
        <f>MONTH(B609)</f>
        <v/>
      </c>
      <c r="T609" s="36">
        <f>TEXT(B609,"mmm")</f>
        <v/>
      </c>
      <c r="U609" s="36">
        <f>IF(AND(OR(sel_Region="All",C609=sel_Region),OR(sel_Country="All",D609=sel_Country),OR(sel_Channel="All",E609=sel_Channel),OR(sel_Customer="All",F609=sel_Customer),OR(sel_Category="All",G609=sel_Category),OR(sel_Product="All",H609=sel_Product),AND(S609&gt;=m_From,S609&lt;=m_To)),1,0)</f>
        <v/>
      </c>
      <c r="V609" s="36">
        <f>IF(AND(OR(sel_Region="All",C609=sel_Region),OR(sel_Channel="All",E609=sel_Channel),OR(sel_Customer="All",F609=sel_Customer),OR(sel_Category="All",G609=sel_Category),OR(sel_Product="All",H609=sel_Product),AND(S609&gt;=m_From,S609&lt;=m_To)),1,0)</f>
        <v/>
      </c>
      <c r="W609" s="36">
        <f>IF(AND(OR(sel_Region="All",C609=sel_Region),OR(sel_Country="All",D609=sel_Country),OR(sel_Customer="All",F609=sel_Customer),OR(sel_Category="All",G609=sel_Category),OR(sel_Product="All",H609=sel_Product),AND(S609&gt;=m_From,S609&lt;=m_To)),1,0)</f>
        <v/>
      </c>
      <c r="X609" s="36">
        <f>IF(AND(OR(sel_Region="All",C609=sel_Region),OR(sel_Country="All",D609=sel_Country),OR(sel_Channel="All",E609=sel_Channel),OR(sel_Category="All",G609=sel_Category),OR(sel_Product="All",H609=sel_Product),AND(S609&gt;=m_From,S609&lt;=m_To)),1,0)</f>
        <v/>
      </c>
      <c r="Y609" s="36">
        <f>IF(AND(OR(sel_Region="All",C609=sel_Region),OR(sel_Country="All",D609=sel_Country),OR(sel_Channel="All",E609=sel_Channel),OR(sel_Customer="All",F609=sel_Customer),OR(sel_Product="All",H609=sel_Product),AND(S609&gt;=m_From,S609&lt;=m_To)),1,0)</f>
        <v/>
      </c>
      <c r="Z609" s="36">
        <f>IF(AND(OR(sel_Region="All",C609=sel_Region),OR(sel_Country="All",D609=sel_Country),OR(sel_Channel="All",E609=sel_Channel),OR(sel_Customer="All",F609=sel_Customer),OR(sel_Category="All",G609=sel_Category),AND(S609&gt;=m_From,S609&lt;=m_To)),1,0)</f>
        <v/>
      </c>
      <c r="AA609" s="36">
        <f>IF(AND(OR(sel_Region="All",C609=sel_Region),OR(sel_Country="All",D609=sel_Country),OR(sel_Channel="All",E609=sel_Channel),OR(sel_Customer="All",F609=sel_Customer),OR(sel_Category="All",G609=sel_Category),OR(sel_Product="All",H609=sel_Product)),1,0)</f>
        <v/>
      </c>
    </row>
    <row r="610">
      <c r="A610" s="36" t="inlineStr">
        <is>
          <t>02240</t>
        </is>
      </c>
      <c r="B610" s="44" t="n">
        <v>46131</v>
      </c>
      <c r="C610" s="36" t="inlineStr">
        <is>
          <t>Southern Europe</t>
        </is>
      </c>
      <c r="D610" s="36" t="inlineStr">
        <is>
          <t>Italy</t>
        </is>
      </c>
      <c r="E610" s="36" t="inlineStr">
        <is>
          <t>Marketplace</t>
        </is>
      </c>
      <c r="F610" s="36" t="inlineStr">
        <is>
          <t>Returning</t>
        </is>
      </c>
      <c r="G610" s="36" t="inlineStr">
        <is>
          <t>Camping</t>
        </is>
      </c>
      <c r="H610" s="36" t="inlineStr">
        <is>
          <t>Alpine Tent 4P</t>
        </is>
      </c>
      <c r="I610" s="36" t="n">
        <v>4</v>
      </c>
      <c r="J610" s="39" t="n">
        <v>341.75</v>
      </c>
      <c r="K610" s="45" t="n">
        <v>0.1</v>
      </c>
      <c r="L610" s="39" t="n">
        <v>191.91</v>
      </c>
      <c r="M610" s="39">
        <f>I610*J610*(1-K610)</f>
        <v/>
      </c>
      <c r="N610" s="39">
        <f>I610*L610</f>
        <v/>
      </c>
      <c r="O610" s="39">
        <f>M610-N610</f>
        <v/>
      </c>
      <c r="P610" s="38">
        <f>IF(M610=0,0,O610/M610)</f>
        <v/>
      </c>
      <c r="Q610" s="36">
        <f>YEAR(B610)</f>
        <v/>
      </c>
      <c r="R610" s="36">
        <f>"Q"&amp;ROUNDUP(MONTH(B610)/3,0)</f>
        <v/>
      </c>
      <c r="S610" s="36">
        <f>MONTH(B610)</f>
        <v/>
      </c>
      <c r="T610" s="36">
        <f>TEXT(B610,"mmm")</f>
        <v/>
      </c>
      <c r="U610" s="36">
        <f>IF(AND(OR(sel_Region="All",C610=sel_Region),OR(sel_Country="All",D610=sel_Country),OR(sel_Channel="All",E610=sel_Channel),OR(sel_Customer="All",F610=sel_Customer),OR(sel_Category="All",G610=sel_Category),OR(sel_Product="All",H610=sel_Product),AND(S610&gt;=m_From,S610&lt;=m_To)),1,0)</f>
        <v/>
      </c>
      <c r="V610" s="36">
        <f>IF(AND(OR(sel_Region="All",C610=sel_Region),OR(sel_Channel="All",E610=sel_Channel),OR(sel_Customer="All",F610=sel_Customer),OR(sel_Category="All",G610=sel_Category),OR(sel_Product="All",H610=sel_Product),AND(S610&gt;=m_From,S610&lt;=m_To)),1,0)</f>
        <v/>
      </c>
      <c r="W610" s="36">
        <f>IF(AND(OR(sel_Region="All",C610=sel_Region),OR(sel_Country="All",D610=sel_Country),OR(sel_Customer="All",F610=sel_Customer),OR(sel_Category="All",G610=sel_Category),OR(sel_Product="All",H610=sel_Product),AND(S610&gt;=m_From,S610&lt;=m_To)),1,0)</f>
        <v/>
      </c>
      <c r="X610" s="36">
        <f>IF(AND(OR(sel_Region="All",C610=sel_Region),OR(sel_Country="All",D610=sel_Country),OR(sel_Channel="All",E610=sel_Channel),OR(sel_Category="All",G610=sel_Category),OR(sel_Product="All",H610=sel_Product),AND(S610&gt;=m_From,S610&lt;=m_To)),1,0)</f>
        <v/>
      </c>
      <c r="Y610" s="36">
        <f>IF(AND(OR(sel_Region="All",C610=sel_Region),OR(sel_Country="All",D610=sel_Country),OR(sel_Channel="All",E610=sel_Channel),OR(sel_Customer="All",F610=sel_Customer),OR(sel_Product="All",H610=sel_Product),AND(S610&gt;=m_From,S610&lt;=m_To)),1,0)</f>
        <v/>
      </c>
      <c r="Z610" s="36">
        <f>IF(AND(OR(sel_Region="All",C610=sel_Region),OR(sel_Country="All",D610=sel_Country),OR(sel_Channel="All",E610=sel_Channel),OR(sel_Customer="All",F610=sel_Customer),OR(sel_Category="All",G610=sel_Category),AND(S610&gt;=m_From,S610&lt;=m_To)),1,0)</f>
        <v/>
      </c>
      <c r="AA610" s="36">
        <f>IF(AND(OR(sel_Region="All",C610=sel_Region),OR(sel_Country="All",D610=sel_Country),OR(sel_Channel="All",E610=sel_Channel),OR(sel_Customer="All",F610=sel_Customer),OR(sel_Category="All",G610=sel_Category),OR(sel_Product="All",H610=sel_Product)),1,0)</f>
        <v/>
      </c>
    </row>
    <row r="611">
      <c r="A611" s="36" t="inlineStr">
        <is>
          <t>03050</t>
        </is>
      </c>
      <c r="B611" s="44" t="n">
        <v>46131</v>
      </c>
      <c r="C611" s="36" t="inlineStr">
        <is>
          <t>Western Europe</t>
        </is>
      </c>
      <c r="D611" s="36" t="inlineStr">
        <is>
          <t>France</t>
        </is>
      </c>
      <c r="E611" s="36" t="inlineStr">
        <is>
          <t>Retail Partners</t>
        </is>
      </c>
      <c r="F611" s="36" t="inlineStr">
        <is>
          <t>Returning</t>
        </is>
      </c>
      <c r="G611" s="36" t="inlineStr">
        <is>
          <t>Hiking</t>
        </is>
      </c>
      <c r="H611" s="36" t="inlineStr">
        <is>
          <t>Summit Backpack 45L</t>
        </is>
      </c>
      <c r="I611" s="36" t="n">
        <v>3</v>
      </c>
      <c r="J611" s="39" t="n">
        <v>156.16</v>
      </c>
      <c r="K611" s="45" t="n">
        <v>0.05</v>
      </c>
      <c r="L611" s="39" t="n">
        <v>77.81</v>
      </c>
      <c r="M611" s="39">
        <f>I611*J611*(1-K611)</f>
        <v/>
      </c>
      <c r="N611" s="39">
        <f>I611*L611</f>
        <v/>
      </c>
      <c r="O611" s="39">
        <f>M611-N611</f>
        <v/>
      </c>
      <c r="P611" s="38">
        <f>IF(M611=0,0,O611/M611)</f>
        <v/>
      </c>
      <c r="Q611" s="36">
        <f>YEAR(B611)</f>
        <v/>
      </c>
      <c r="R611" s="36">
        <f>"Q"&amp;ROUNDUP(MONTH(B611)/3,0)</f>
        <v/>
      </c>
      <c r="S611" s="36">
        <f>MONTH(B611)</f>
        <v/>
      </c>
      <c r="T611" s="36">
        <f>TEXT(B611,"mmm")</f>
        <v/>
      </c>
      <c r="U611" s="36">
        <f>IF(AND(OR(sel_Region="All",C611=sel_Region),OR(sel_Country="All",D611=sel_Country),OR(sel_Channel="All",E611=sel_Channel),OR(sel_Customer="All",F611=sel_Customer),OR(sel_Category="All",G611=sel_Category),OR(sel_Product="All",H611=sel_Product),AND(S611&gt;=m_From,S611&lt;=m_To)),1,0)</f>
        <v/>
      </c>
      <c r="V611" s="36">
        <f>IF(AND(OR(sel_Region="All",C611=sel_Region),OR(sel_Channel="All",E611=sel_Channel),OR(sel_Customer="All",F611=sel_Customer),OR(sel_Category="All",G611=sel_Category),OR(sel_Product="All",H611=sel_Product),AND(S611&gt;=m_From,S611&lt;=m_To)),1,0)</f>
        <v/>
      </c>
      <c r="W611" s="36">
        <f>IF(AND(OR(sel_Region="All",C611=sel_Region),OR(sel_Country="All",D611=sel_Country),OR(sel_Customer="All",F611=sel_Customer),OR(sel_Category="All",G611=sel_Category),OR(sel_Product="All",H611=sel_Product),AND(S611&gt;=m_From,S611&lt;=m_To)),1,0)</f>
        <v/>
      </c>
      <c r="X611" s="36">
        <f>IF(AND(OR(sel_Region="All",C611=sel_Region),OR(sel_Country="All",D611=sel_Country),OR(sel_Channel="All",E611=sel_Channel),OR(sel_Category="All",G611=sel_Category),OR(sel_Product="All",H611=sel_Product),AND(S611&gt;=m_From,S611&lt;=m_To)),1,0)</f>
        <v/>
      </c>
      <c r="Y611" s="36">
        <f>IF(AND(OR(sel_Region="All",C611=sel_Region),OR(sel_Country="All",D611=sel_Country),OR(sel_Channel="All",E611=sel_Channel),OR(sel_Customer="All",F611=sel_Customer),OR(sel_Product="All",H611=sel_Product),AND(S611&gt;=m_From,S611&lt;=m_To)),1,0)</f>
        <v/>
      </c>
      <c r="Z611" s="36">
        <f>IF(AND(OR(sel_Region="All",C611=sel_Region),OR(sel_Country="All",D611=sel_Country),OR(sel_Channel="All",E611=sel_Channel),OR(sel_Customer="All",F611=sel_Customer),OR(sel_Category="All",G611=sel_Category),AND(S611&gt;=m_From,S611&lt;=m_To)),1,0)</f>
        <v/>
      </c>
      <c r="AA611" s="36">
        <f>IF(AND(OR(sel_Region="All",C611=sel_Region),OR(sel_Country="All",D611=sel_Country),OR(sel_Channel="All",E611=sel_Channel),OR(sel_Customer="All",F611=sel_Customer),OR(sel_Category="All",G611=sel_Category),OR(sel_Product="All",H611=sel_Product)),1,0)</f>
        <v/>
      </c>
    </row>
    <row r="612">
      <c r="A612" s="36" t="inlineStr">
        <is>
          <t>03213</t>
        </is>
      </c>
      <c r="B612" s="44" t="n">
        <v>46131</v>
      </c>
      <c r="C612" s="36" t="inlineStr">
        <is>
          <t>Southern Europe</t>
        </is>
      </c>
      <c r="D612" s="36" t="inlineStr">
        <is>
          <t>Italy</t>
        </is>
      </c>
      <c r="E612" s="36" t="inlineStr">
        <is>
          <t>Online Store</t>
        </is>
      </c>
      <c r="F612" s="36" t="inlineStr">
        <is>
          <t>Returning</t>
        </is>
      </c>
      <c r="G612" s="36" t="inlineStr">
        <is>
          <t>Travel</t>
        </is>
      </c>
      <c r="H612" s="36" t="inlineStr">
        <is>
          <t>Carry-On Duffel</t>
        </is>
      </c>
      <c r="I612" s="36" t="n">
        <v>2</v>
      </c>
      <c r="J612" s="39" t="n">
        <v>132.53</v>
      </c>
      <c r="K612" s="45" t="n">
        <v>0.05</v>
      </c>
      <c r="L612" s="39" t="n">
        <v>66.39</v>
      </c>
      <c r="M612" s="39">
        <f>I612*J612*(1-K612)</f>
        <v/>
      </c>
      <c r="N612" s="39">
        <f>I612*L612</f>
        <v/>
      </c>
      <c r="O612" s="39">
        <f>M612-N612</f>
        <v/>
      </c>
      <c r="P612" s="38">
        <f>IF(M612=0,0,O612/M612)</f>
        <v/>
      </c>
      <c r="Q612" s="36">
        <f>YEAR(B612)</f>
        <v/>
      </c>
      <c r="R612" s="36">
        <f>"Q"&amp;ROUNDUP(MONTH(B612)/3,0)</f>
        <v/>
      </c>
      <c r="S612" s="36">
        <f>MONTH(B612)</f>
        <v/>
      </c>
      <c r="T612" s="36">
        <f>TEXT(B612,"mmm")</f>
        <v/>
      </c>
      <c r="U612" s="36">
        <f>IF(AND(OR(sel_Region="All",C612=sel_Region),OR(sel_Country="All",D612=sel_Country),OR(sel_Channel="All",E612=sel_Channel),OR(sel_Customer="All",F612=sel_Customer),OR(sel_Category="All",G612=sel_Category),OR(sel_Product="All",H612=sel_Product),AND(S612&gt;=m_From,S612&lt;=m_To)),1,0)</f>
        <v/>
      </c>
      <c r="V612" s="36">
        <f>IF(AND(OR(sel_Region="All",C612=sel_Region),OR(sel_Channel="All",E612=sel_Channel),OR(sel_Customer="All",F612=sel_Customer),OR(sel_Category="All",G612=sel_Category),OR(sel_Product="All",H612=sel_Product),AND(S612&gt;=m_From,S612&lt;=m_To)),1,0)</f>
        <v/>
      </c>
      <c r="W612" s="36">
        <f>IF(AND(OR(sel_Region="All",C612=sel_Region),OR(sel_Country="All",D612=sel_Country),OR(sel_Customer="All",F612=sel_Customer),OR(sel_Category="All",G612=sel_Category),OR(sel_Product="All",H612=sel_Product),AND(S612&gt;=m_From,S612&lt;=m_To)),1,0)</f>
        <v/>
      </c>
      <c r="X612" s="36">
        <f>IF(AND(OR(sel_Region="All",C612=sel_Region),OR(sel_Country="All",D612=sel_Country),OR(sel_Channel="All",E612=sel_Channel),OR(sel_Category="All",G612=sel_Category),OR(sel_Product="All",H612=sel_Product),AND(S612&gt;=m_From,S612&lt;=m_To)),1,0)</f>
        <v/>
      </c>
      <c r="Y612" s="36">
        <f>IF(AND(OR(sel_Region="All",C612=sel_Region),OR(sel_Country="All",D612=sel_Country),OR(sel_Channel="All",E612=sel_Channel),OR(sel_Customer="All",F612=sel_Customer),OR(sel_Product="All",H612=sel_Product),AND(S612&gt;=m_From,S612&lt;=m_To)),1,0)</f>
        <v/>
      </c>
      <c r="Z612" s="36">
        <f>IF(AND(OR(sel_Region="All",C612=sel_Region),OR(sel_Country="All",D612=sel_Country),OR(sel_Channel="All",E612=sel_Channel),OR(sel_Customer="All",F612=sel_Customer),OR(sel_Category="All",G612=sel_Category),AND(S612&gt;=m_From,S612&lt;=m_To)),1,0)</f>
        <v/>
      </c>
      <c r="AA612" s="36">
        <f>IF(AND(OR(sel_Region="All",C612=sel_Region),OR(sel_Country="All",D612=sel_Country),OR(sel_Channel="All",E612=sel_Channel),OR(sel_Customer="All",F612=sel_Customer),OR(sel_Category="All",G612=sel_Category),OR(sel_Product="All",H612=sel_Product)),1,0)</f>
        <v/>
      </c>
    </row>
    <row r="613">
      <c r="A613" s="36" t="inlineStr">
        <is>
          <t>03367</t>
        </is>
      </c>
      <c r="B613" s="44" t="n">
        <v>46131</v>
      </c>
      <c r="C613" s="36" t="inlineStr">
        <is>
          <t>Northern Europe</t>
        </is>
      </c>
      <c r="D613" s="36" t="inlineStr">
        <is>
          <t>Ireland</t>
        </is>
      </c>
      <c r="E613" s="36" t="inlineStr">
        <is>
          <t>Online Store</t>
        </is>
      </c>
      <c r="F613" s="36" t="inlineStr">
        <is>
          <t>Returning</t>
        </is>
      </c>
      <c r="G613" s="36" t="inlineStr">
        <is>
          <t>Travel</t>
        </is>
      </c>
      <c r="H613" s="36" t="inlineStr">
        <is>
          <t>Packing Cube Set</t>
        </is>
      </c>
      <c r="I613" s="36" t="n">
        <v>3</v>
      </c>
      <c r="J613" s="39" t="n">
        <v>45.79</v>
      </c>
      <c r="K613" s="45" t="n">
        <v>0</v>
      </c>
      <c r="L613" s="39" t="n">
        <v>17.98</v>
      </c>
      <c r="M613" s="39">
        <f>I613*J613*(1-K613)</f>
        <v/>
      </c>
      <c r="N613" s="39">
        <f>I613*L613</f>
        <v/>
      </c>
      <c r="O613" s="39">
        <f>M613-N613</f>
        <v/>
      </c>
      <c r="P613" s="38">
        <f>IF(M613=0,0,O613/M613)</f>
        <v/>
      </c>
      <c r="Q613" s="36">
        <f>YEAR(B613)</f>
        <v/>
      </c>
      <c r="R613" s="36">
        <f>"Q"&amp;ROUNDUP(MONTH(B613)/3,0)</f>
        <v/>
      </c>
      <c r="S613" s="36">
        <f>MONTH(B613)</f>
        <v/>
      </c>
      <c r="T613" s="36">
        <f>TEXT(B613,"mmm")</f>
        <v/>
      </c>
      <c r="U613" s="36">
        <f>IF(AND(OR(sel_Region="All",C613=sel_Region),OR(sel_Country="All",D613=sel_Country),OR(sel_Channel="All",E613=sel_Channel),OR(sel_Customer="All",F613=sel_Customer),OR(sel_Category="All",G613=sel_Category),OR(sel_Product="All",H613=sel_Product),AND(S613&gt;=m_From,S613&lt;=m_To)),1,0)</f>
        <v/>
      </c>
      <c r="V613" s="36">
        <f>IF(AND(OR(sel_Region="All",C613=sel_Region),OR(sel_Channel="All",E613=sel_Channel),OR(sel_Customer="All",F613=sel_Customer),OR(sel_Category="All",G613=sel_Category),OR(sel_Product="All",H613=sel_Product),AND(S613&gt;=m_From,S613&lt;=m_To)),1,0)</f>
        <v/>
      </c>
      <c r="W613" s="36">
        <f>IF(AND(OR(sel_Region="All",C613=sel_Region),OR(sel_Country="All",D613=sel_Country),OR(sel_Customer="All",F613=sel_Customer),OR(sel_Category="All",G613=sel_Category),OR(sel_Product="All",H613=sel_Product),AND(S613&gt;=m_From,S613&lt;=m_To)),1,0)</f>
        <v/>
      </c>
      <c r="X613" s="36">
        <f>IF(AND(OR(sel_Region="All",C613=sel_Region),OR(sel_Country="All",D613=sel_Country),OR(sel_Channel="All",E613=sel_Channel),OR(sel_Category="All",G613=sel_Category),OR(sel_Product="All",H613=sel_Product),AND(S613&gt;=m_From,S613&lt;=m_To)),1,0)</f>
        <v/>
      </c>
      <c r="Y613" s="36">
        <f>IF(AND(OR(sel_Region="All",C613=sel_Region),OR(sel_Country="All",D613=sel_Country),OR(sel_Channel="All",E613=sel_Channel),OR(sel_Customer="All",F613=sel_Customer),OR(sel_Product="All",H613=sel_Product),AND(S613&gt;=m_From,S613&lt;=m_To)),1,0)</f>
        <v/>
      </c>
      <c r="Z613" s="36">
        <f>IF(AND(OR(sel_Region="All",C613=sel_Region),OR(sel_Country="All",D613=sel_Country),OR(sel_Channel="All",E613=sel_Channel),OR(sel_Customer="All",F613=sel_Customer),OR(sel_Category="All",G613=sel_Category),AND(S613&gt;=m_From,S613&lt;=m_To)),1,0)</f>
        <v/>
      </c>
      <c r="AA613" s="36">
        <f>IF(AND(OR(sel_Region="All",C613=sel_Region),OR(sel_Country="All",D613=sel_Country),OR(sel_Channel="All",E613=sel_Channel),OR(sel_Customer="All",F613=sel_Customer),OR(sel_Category="All",G613=sel_Category),OR(sel_Product="All",H613=sel_Product)),1,0)</f>
        <v/>
      </c>
    </row>
    <row r="614">
      <c r="A614" s="36" t="inlineStr">
        <is>
          <t>03885</t>
        </is>
      </c>
      <c r="B614" s="44" t="n">
        <v>46131</v>
      </c>
      <c r="C614" s="36" t="inlineStr">
        <is>
          <t>Southern Europe</t>
        </is>
      </c>
      <c r="D614" s="36" t="inlineStr">
        <is>
          <t>Italy</t>
        </is>
      </c>
      <c r="E614" s="36" t="inlineStr">
        <is>
          <t>Online Store</t>
        </is>
      </c>
      <c r="F614" s="36" t="inlineStr">
        <is>
          <t>New</t>
        </is>
      </c>
      <c r="G614" s="36" t="inlineStr">
        <is>
          <t>Travel</t>
        </is>
      </c>
      <c r="H614" s="36" t="inlineStr">
        <is>
          <t>Carry-On Duffel</t>
        </is>
      </c>
      <c r="I614" s="36" t="n">
        <v>2</v>
      </c>
      <c r="J614" s="39" t="n">
        <v>133.97</v>
      </c>
      <c r="K614" s="45" t="n">
        <v>0.15</v>
      </c>
      <c r="L614" s="39" t="n">
        <v>67.36</v>
      </c>
      <c r="M614" s="39">
        <f>I614*J614*(1-K614)</f>
        <v/>
      </c>
      <c r="N614" s="39">
        <f>I614*L614</f>
        <v/>
      </c>
      <c r="O614" s="39">
        <f>M614-N614</f>
        <v/>
      </c>
      <c r="P614" s="38">
        <f>IF(M614=0,0,O614/M614)</f>
        <v/>
      </c>
      <c r="Q614" s="36">
        <f>YEAR(B614)</f>
        <v/>
      </c>
      <c r="R614" s="36">
        <f>"Q"&amp;ROUNDUP(MONTH(B614)/3,0)</f>
        <v/>
      </c>
      <c r="S614" s="36">
        <f>MONTH(B614)</f>
        <v/>
      </c>
      <c r="T614" s="36">
        <f>TEXT(B614,"mmm")</f>
        <v/>
      </c>
      <c r="U614" s="36">
        <f>IF(AND(OR(sel_Region="All",C614=sel_Region),OR(sel_Country="All",D614=sel_Country),OR(sel_Channel="All",E614=sel_Channel),OR(sel_Customer="All",F614=sel_Customer),OR(sel_Category="All",G614=sel_Category),OR(sel_Product="All",H614=sel_Product),AND(S614&gt;=m_From,S614&lt;=m_To)),1,0)</f>
        <v/>
      </c>
      <c r="V614" s="36">
        <f>IF(AND(OR(sel_Region="All",C614=sel_Region),OR(sel_Channel="All",E614=sel_Channel),OR(sel_Customer="All",F614=sel_Customer),OR(sel_Category="All",G614=sel_Category),OR(sel_Product="All",H614=sel_Product),AND(S614&gt;=m_From,S614&lt;=m_To)),1,0)</f>
        <v/>
      </c>
      <c r="W614" s="36">
        <f>IF(AND(OR(sel_Region="All",C614=sel_Region),OR(sel_Country="All",D614=sel_Country),OR(sel_Customer="All",F614=sel_Customer),OR(sel_Category="All",G614=sel_Category),OR(sel_Product="All",H614=sel_Product),AND(S614&gt;=m_From,S614&lt;=m_To)),1,0)</f>
        <v/>
      </c>
      <c r="X614" s="36">
        <f>IF(AND(OR(sel_Region="All",C614=sel_Region),OR(sel_Country="All",D614=sel_Country),OR(sel_Channel="All",E614=sel_Channel),OR(sel_Category="All",G614=sel_Category),OR(sel_Product="All",H614=sel_Product),AND(S614&gt;=m_From,S614&lt;=m_To)),1,0)</f>
        <v/>
      </c>
      <c r="Y614" s="36">
        <f>IF(AND(OR(sel_Region="All",C614=sel_Region),OR(sel_Country="All",D614=sel_Country),OR(sel_Channel="All",E614=sel_Channel),OR(sel_Customer="All",F614=sel_Customer),OR(sel_Product="All",H614=sel_Product),AND(S614&gt;=m_From,S614&lt;=m_To)),1,0)</f>
        <v/>
      </c>
      <c r="Z614" s="36">
        <f>IF(AND(OR(sel_Region="All",C614=sel_Region),OR(sel_Country="All",D614=sel_Country),OR(sel_Channel="All",E614=sel_Channel),OR(sel_Customer="All",F614=sel_Customer),OR(sel_Category="All",G614=sel_Category),AND(S614&gt;=m_From,S614&lt;=m_To)),1,0)</f>
        <v/>
      </c>
      <c r="AA614" s="36">
        <f>IF(AND(OR(sel_Region="All",C614=sel_Region),OR(sel_Country="All",D614=sel_Country),OR(sel_Channel="All",E614=sel_Channel),OR(sel_Customer="All",F614=sel_Customer),OR(sel_Category="All",G614=sel_Category),OR(sel_Product="All",H614=sel_Product)),1,0)</f>
        <v/>
      </c>
    </row>
    <row r="615">
      <c r="A615" s="36" t="inlineStr">
        <is>
          <t>04372</t>
        </is>
      </c>
      <c r="B615" s="44" t="n">
        <v>46131</v>
      </c>
      <c r="C615" s="36" t="inlineStr">
        <is>
          <t>Southern Europe</t>
        </is>
      </c>
      <c r="D615" s="36" t="inlineStr">
        <is>
          <t>Italy</t>
        </is>
      </c>
      <c r="E615" s="36" t="inlineStr">
        <is>
          <t>Online Store</t>
        </is>
      </c>
      <c r="F615" s="36" t="inlineStr">
        <is>
          <t>New</t>
        </is>
      </c>
      <c r="G615" s="36" t="inlineStr">
        <is>
          <t>Fitness</t>
        </is>
      </c>
      <c r="H615" s="36" t="inlineStr">
        <is>
          <t>Recovery Roller</t>
        </is>
      </c>
      <c r="I615" s="36" t="n">
        <v>1</v>
      </c>
      <c r="J615" s="39" t="n">
        <v>37.11</v>
      </c>
      <c r="K615" s="45" t="n">
        <v>0.1</v>
      </c>
      <c r="L615" s="39" t="n">
        <v>14.27</v>
      </c>
      <c r="M615" s="39">
        <f>I615*J615*(1-K615)</f>
        <v/>
      </c>
      <c r="N615" s="39">
        <f>I615*L615</f>
        <v/>
      </c>
      <c r="O615" s="39">
        <f>M615-N615</f>
        <v/>
      </c>
      <c r="P615" s="38">
        <f>IF(M615=0,0,O615/M615)</f>
        <v/>
      </c>
      <c r="Q615" s="36">
        <f>YEAR(B615)</f>
        <v/>
      </c>
      <c r="R615" s="36">
        <f>"Q"&amp;ROUNDUP(MONTH(B615)/3,0)</f>
        <v/>
      </c>
      <c r="S615" s="36">
        <f>MONTH(B615)</f>
        <v/>
      </c>
      <c r="T615" s="36">
        <f>TEXT(B615,"mmm")</f>
        <v/>
      </c>
      <c r="U615" s="36">
        <f>IF(AND(OR(sel_Region="All",C615=sel_Region),OR(sel_Country="All",D615=sel_Country),OR(sel_Channel="All",E615=sel_Channel),OR(sel_Customer="All",F615=sel_Customer),OR(sel_Category="All",G615=sel_Category),OR(sel_Product="All",H615=sel_Product),AND(S615&gt;=m_From,S615&lt;=m_To)),1,0)</f>
        <v/>
      </c>
      <c r="V615" s="36">
        <f>IF(AND(OR(sel_Region="All",C615=sel_Region),OR(sel_Channel="All",E615=sel_Channel),OR(sel_Customer="All",F615=sel_Customer),OR(sel_Category="All",G615=sel_Category),OR(sel_Product="All",H615=sel_Product),AND(S615&gt;=m_From,S615&lt;=m_To)),1,0)</f>
        <v/>
      </c>
      <c r="W615" s="36">
        <f>IF(AND(OR(sel_Region="All",C615=sel_Region),OR(sel_Country="All",D615=sel_Country),OR(sel_Customer="All",F615=sel_Customer),OR(sel_Category="All",G615=sel_Category),OR(sel_Product="All",H615=sel_Product),AND(S615&gt;=m_From,S615&lt;=m_To)),1,0)</f>
        <v/>
      </c>
      <c r="X615" s="36">
        <f>IF(AND(OR(sel_Region="All",C615=sel_Region),OR(sel_Country="All",D615=sel_Country),OR(sel_Channel="All",E615=sel_Channel),OR(sel_Category="All",G615=sel_Category),OR(sel_Product="All",H615=sel_Product),AND(S615&gt;=m_From,S615&lt;=m_To)),1,0)</f>
        <v/>
      </c>
      <c r="Y615" s="36">
        <f>IF(AND(OR(sel_Region="All",C615=sel_Region),OR(sel_Country="All",D615=sel_Country),OR(sel_Channel="All",E615=sel_Channel),OR(sel_Customer="All",F615=sel_Customer),OR(sel_Product="All",H615=sel_Product),AND(S615&gt;=m_From,S615&lt;=m_To)),1,0)</f>
        <v/>
      </c>
      <c r="Z615" s="36">
        <f>IF(AND(OR(sel_Region="All",C615=sel_Region),OR(sel_Country="All",D615=sel_Country),OR(sel_Channel="All",E615=sel_Channel),OR(sel_Customer="All",F615=sel_Customer),OR(sel_Category="All",G615=sel_Category),AND(S615&gt;=m_From,S615&lt;=m_To)),1,0)</f>
        <v/>
      </c>
      <c r="AA615" s="36">
        <f>IF(AND(OR(sel_Region="All",C615=sel_Region),OR(sel_Country="All",D615=sel_Country),OR(sel_Channel="All",E615=sel_Channel),OR(sel_Customer="All",F615=sel_Customer),OR(sel_Category="All",G615=sel_Category),OR(sel_Product="All",H615=sel_Product)),1,0)</f>
        <v/>
      </c>
    </row>
    <row r="616">
      <c r="A616" s="36" t="inlineStr">
        <is>
          <t>04417</t>
        </is>
      </c>
      <c r="B616" s="44" t="n">
        <v>46131</v>
      </c>
      <c r="C616" s="36" t="inlineStr">
        <is>
          <t>Western Europe</t>
        </is>
      </c>
      <c r="D616" s="36" t="inlineStr">
        <is>
          <t>United Kingdom</t>
        </is>
      </c>
      <c r="E616" s="36" t="inlineStr">
        <is>
          <t>Retail Partners</t>
        </is>
      </c>
      <c r="F616" s="36" t="inlineStr">
        <is>
          <t>New</t>
        </is>
      </c>
      <c r="G616" s="36" t="inlineStr">
        <is>
          <t>Camping</t>
        </is>
      </c>
      <c r="H616" s="36" t="inlineStr">
        <is>
          <t>Alpine Tent 4P</t>
        </is>
      </c>
      <c r="I616" s="36" t="n">
        <v>3</v>
      </c>
      <c r="J616" s="39" t="n">
        <v>334.01</v>
      </c>
      <c r="K616" s="45" t="n">
        <v>0.15</v>
      </c>
      <c r="L616" s="39" t="n">
        <v>192.17</v>
      </c>
      <c r="M616" s="39">
        <f>I616*J616*(1-K616)</f>
        <v/>
      </c>
      <c r="N616" s="39">
        <f>I616*L616</f>
        <v/>
      </c>
      <c r="O616" s="39">
        <f>M616-N616</f>
        <v/>
      </c>
      <c r="P616" s="38">
        <f>IF(M616=0,0,O616/M616)</f>
        <v/>
      </c>
      <c r="Q616" s="36">
        <f>YEAR(B616)</f>
        <v/>
      </c>
      <c r="R616" s="36">
        <f>"Q"&amp;ROUNDUP(MONTH(B616)/3,0)</f>
        <v/>
      </c>
      <c r="S616" s="36">
        <f>MONTH(B616)</f>
        <v/>
      </c>
      <c r="T616" s="36">
        <f>TEXT(B616,"mmm")</f>
        <v/>
      </c>
      <c r="U616" s="36">
        <f>IF(AND(OR(sel_Region="All",C616=sel_Region),OR(sel_Country="All",D616=sel_Country),OR(sel_Channel="All",E616=sel_Channel),OR(sel_Customer="All",F616=sel_Customer),OR(sel_Category="All",G616=sel_Category),OR(sel_Product="All",H616=sel_Product),AND(S616&gt;=m_From,S616&lt;=m_To)),1,0)</f>
        <v/>
      </c>
      <c r="V616" s="36">
        <f>IF(AND(OR(sel_Region="All",C616=sel_Region),OR(sel_Channel="All",E616=sel_Channel),OR(sel_Customer="All",F616=sel_Customer),OR(sel_Category="All",G616=sel_Category),OR(sel_Product="All",H616=sel_Product),AND(S616&gt;=m_From,S616&lt;=m_To)),1,0)</f>
        <v/>
      </c>
      <c r="W616" s="36">
        <f>IF(AND(OR(sel_Region="All",C616=sel_Region),OR(sel_Country="All",D616=sel_Country),OR(sel_Customer="All",F616=sel_Customer),OR(sel_Category="All",G616=sel_Category),OR(sel_Product="All",H616=sel_Product),AND(S616&gt;=m_From,S616&lt;=m_To)),1,0)</f>
        <v/>
      </c>
      <c r="X616" s="36">
        <f>IF(AND(OR(sel_Region="All",C616=sel_Region),OR(sel_Country="All",D616=sel_Country),OR(sel_Channel="All",E616=sel_Channel),OR(sel_Category="All",G616=sel_Category),OR(sel_Product="All",H616=sel_Product),AND(S616&gt;=m_From,S616&lt;=m_To)),1,0)</f>
        <v/>
      </c>
      <c r="Y616" s="36">
        <f>IF(AND(OR(sel_Region="All",C616=sel_Region),OR(sel_Country="All",D616=sel_Country),OR(sel_Channel="All",E616=sel_Channel),OR(sel_Customer="All",F616=sel_Customer),OR(sel_Product="All",H616=sel_Product),AND(S616&gt;=m_From,S616&lt;=m_To)),1,0)</f>
        <v/>
      </c>
      <c r="Z616" s="36">
        <f>IF(AND(OR(sel_Region="All",C616=sel_Region),OR(sel_Country="All",D616=sel_Country),OR(sel_Channel="All",E616=sel_Channel),OR(sel_Customer="All",F616=sel_Customer),OR(sel_Category="All",G616=sel_Category),AND(S616&gt;=m_From,S616&lt;=m_To)),1,0)</f>
        <v/>
      </c>
      <c r="AA616" s="36">
        <f>IF(AND(OR(sel_Region="All",C616=sel_Region),OR(sel_Country="All",D616=sel_Country),OR(sel_Channel="All",E616=sel_Channel),OR(sel_Customer="All",F616=sel_Customer),OR(sel_Category="All",G616=sel_Category),OR(sel_Product="All",H616=sel_Product)),1,0)</f>
        <v/>
      </c>
    </row>
    <row r="617">
      <c r="A617" s="36" t="inlineStr">
        <is>
          <t>01147</t>
        </is>
      </c>
      <c r="B617" s="44" t="n">
        <v>46132</v>
      </c>
      <c r="C617" s="36" t="inlineStr">
        <is>
          <t>Western Europe</t>
        </is>
      </c>
      <c r="D617" s="36" t="inlineStr">
        <is>
          <t>Netherlands</t>
        </is>
      </c>
      <c r="E617" s="36" t="inlineStr">
        <is>
          <t>Online Store</t>
        </is>
      </c>
      <c r="F617" s="36" t="inlineStr">
        <is>
          <t>New</t>
        </is>
      </c>
      <c r="G617" s="36" t="inlineStr">
        <is>
          <t>Travel</t>
        </is>
      </c>
      <c r="H617" s="36" t="inlineStr">
        <is>
          <t>Carry-On Duffel</t>
        </is>
      </c>
      <c r="I617" s="36" t="n">
        <v>1</v>
      </c>
      <c r="J617" s="39" t="n">
        <v>131.46</v>
      </c>
      <c r="K617" s="45" t="n">
        <v>0</v>
      </c>
      <c r="L617" s="39" t="n">
        <v>67.77</v>
      </c>
      <c r="M617" s="39">
        <f>I617*J617*(1-K617)</f>
        <v/>
      </c>
      <c r="N617" s="39">
        <f>I617*L617</f>
        <v/>
      </c>
      <c r="O617" s="39">
        <f>M617-N617</f>
        <v/>
      </c>
      <c r="P617" s="38">
        <f>IF(M617=0,0,O617/M617)</f>
        <v/>
      </c>
      <c r="Q617" s="36">
        <f>YEAR(B617)</f>
        <v/>
      </c>
      <c r="R617" s="36">
        <f>"Q"&amp;ROUNDUP(MONTH(B617)/3,0)</f>
        <v/>
      </c>
      <c r="S617" s="36">
        <f>MONTH(B617)</f>
        <v/>
      </c>
      <c r="T617" s="36">
        <f>TEXT(B617,"mmm")</f>
        <v/>
      </c>
      <c r="U617" s="36">
        <f>IF(AND(OR(sel_Region="All",C617=sel_Region),OR(sel_Country="All",D617=sel_Country),OR(sel_Channel="All",E617=sel_Channel),OR(sel_Customer="All",F617=sel_Customer),OR(sel_Category="All",G617=sel_Category),OR(sel_Product="All",H617=sel_Product),AND(S617&gt;=m_From,S617&lt;=m_To)),1,0)</f>
        <v/>
      </c>
      <c r="V617" s="36">
        <f>IF(AND(OR(sel_Region="All",C617=sel_Region),OR(sel_Channel="All",E617=sel_Channel),OR(sel_Customer="All",F617=sel_Customer),OR(sel_Category="All",G617=sel_Category),OR(sel_Product="All",H617=sel_Product),AND(S617&gt;=m_From,S617&lt;=m_To)),1,0)</f>
        <v/>
      </c>
      <c r="W617" s="36">
        <f>IF(AND(OR(sel_Region="All",C617=sel_Region),OR(sel_Country="All",D617=sel_Country),OR(sel_Customer="All",F617=sel_Customer),OR(sel_Category="All",G617=sel_Category),OR(sel_Product="All",H617=sel_Product),AND(S617&gt;=m_From,S617&lt;=m_To)),1,0)</f>
        <v/>
      </c>
      <c r="X617" s="36">
        <f>IF(AND(OR(sel_Region="All",C617=sel_Region),OR(sel_Country="All",D617=sel_Country),OR(sel_Channel="All",E617=sel_Channel),OR(sel_Category="All",G617=sel_Category),OR(sel_Product="All",H617=sel_Product),AND(S617&gt;=m_From,S617&lt;=m_To)),1,0)</f>
        <v/>
      </c>
      <c r="Y617" s="36">
        <f>IF(AND(OR(sel_Region="All",C617=sel_Region),OR(sel_Country="All",D617=sel_Country),OR(sel_Channel="All",E617=sel_Channel),OR(sel_Customer="All",F617=sel_Customer),OR(sel_Product="All",H617=sel_Product),AND(S617&gt;=m_From,S617&lt;=m_To)),1,0)</f>
        <v/>
      </c>
      <c r="Z617" s="36">
        <f>IF(AND(OR(sel_Region="All",C617=sel_Region),OR(sel_Country="All",D617=sel_Country),OR(sel_Channel="All",E617=sel_Channel),OR(sel_Customer="All",F617=sel_Customer),OR(sel_Category="All",G617=sel_Category),AND(S617&gt;=m_From,S617&lt;=m_To)),1,0)</f>
        <v/>
      </c>
      <c r="AA617" s="36">
        <f>IF(AND(OR(sel_Region="All",C617=sel_Region),OR(sel_Country="All",D617=sel_Country),OR(sel_Channel="All",E617=sel_Channel),OR(sel_Customer="All",F617=sel_Customer),OR(sel_Category="All",G617=sel_Category),OR(sel_Product="All",H617=sel_Product)),1,0)</f>
        <v/>
      </c>
    </row>
    <row r="618">
      <c r="A618" s="36" t="inlineStr">
        <is>
          <t>01514</t>
        </is>
      </c>
      <c r="B618" s="44" t="n">
        <v>46132</v>
      </c>
      <c r="C618" s="36" t="inlineStr">
        <is>
          <t>Northern Europe</t>
        </is>
      </c>
      <c r="D618" s="36" t="inlineStr">
        <is>
          <t>Ireland</t>
        </is>
      </c>
      <c r="E618" s="36" t="inlineStr">
        <is>
          <t>Retail Partners</t>
        </is>
      </c>
      <c r="F618" s="36" t="inlineStr">
        <is>
          <t>Returning</t>
        </is>
      </c>
      <c r="G618" s="36" t="inlineStr">
        <is>
          <t>Hiking</t>
        </is>
      </c>
      <c r="H618" s="36" t="inlineStr">
        <is>
          <t>Trekking Poles</t>
        </is>
      </c>
      <c r="I618" s="36" t="n">
        <v>3</v>
      </c>
      <c r="J618" s="39" t="n">
        <v>72.48</v>
      </c>
      <c r="K618" s="45" t="n">
        <v>0</v>
      </c>
      <c r="L618" s="39" t="n">
        <v>32.36</v>
      </c>
      <c r="M618" s="39">
        <f>I618*J618*(1-K618)</f>
        <v/>
      </c>
      <c r="N618" s="39">
        <f>I618*L618</f>
        <v/>
      </c>
      <c r="O618" s="39">
        <f>M618-N618</f>
        <v/>
      </c>
      <c r="P618" s="38">
        <f>IF(M618=0,0,O618/M618)</f>
        <v/>
      </c>
      <c r="Q618" s="36">
        <f>YEAR(B618)</f>
        <v/>
      </c>
      <c r="R618" s="36">
        <f>"Q"&amp;ROUNDUP(MONTH(B618)/3,0)</f>
        <v/>
      </c>
      <c r="S618" s="36">
        <f>MONTH(B618)</f>
        <v/>
      </c>
      <c r="T618" s="36">
        <f>TEXT(B618,"mmm")</f>
        <v/>
      </c>
      <c r="U618" s="36">
        <f>IF(AND(OR(sel_Region="All",C618=sel_Region),OR(sel_Country="All",D618=sel_Country),OR(sel_Channel="All",E618=sel_Channel),OR(sel_Customer="All",F618=sel_Customer),OR(sel_Category="All",G618=sel_Category),OR(sel_Product="All",H618=sel_Product),AND(S618&gt;=m_From,S618&lt;=m_To)),1,0)</f>
        <v/>
      </c>
      <c r="V618" s="36">
        <f>IF(AND(OR(sel_Region="All",C618=sel_Region),OR(sel_Channel="All",E618=sel_Channel),OR(sel_Customer="All",F618=sel_Customer),OR(sel_Category="All",G618=sel_Category),OR(sel_Product="All",H618=sel_Product),AND(S618&gt;=m_From,S618&lt;=m_To)),1,0)</f>
        <v/>
      </c>
      <c r="W618" s="36">
        <f>IF(AND(OR(sel_Region="All",C618=sel_Region),OR(sel_Country="All",D618=sel_Country),OR(sel_Customer="All",F618=sel_Customer),OR(sel_Category="All",G618=sel_Category),OR(sel_Product="All",H618=sel_Product),AND(S618&gt;=m_From,S618&lt;=m_To)),1,0)</f>
        <v/>
      </c>
      <c r="X618" s="36">
        <f>IF(AND(OR(sel_Region="All",C618=sel_Region),OR(sel_Country="All",D618=sel_Country),OR(sel_Channel="All",E618=sel_Channel),OR(sel_Category="All",G618=sel_Category),OR(sel_Product="All",H618=sel_Product),AND(S618&gt;=m_From,S618&lt;=m_To)),1,0)</f>
        <v/>
      </c>
      <c r="Y618" s="36">
        <f>IF(AND(OR(sel_Region="All",C618=sel_Region),OR(sel_Country="All",D618=sel_Country),OR(sel_Channel="All",E618=sel_Channel),OR(sel_Customer="All",F618=sel_Customer),OR(sel_Product="All",H618=sel_Product),AND(S618&gt;=m_From,S618&lt;=m_To)),1,0)</f>
        <v/>
      </c>
      <c r="Z618" s="36">
        <f>IF(AND(OR(sel_Region="All",C618=sel_Region),OR(sel_Country="All",D618=sel_Country),OR(sel_Channel="All",E618=sel_Channel),OR(sel_Customer="All",F618=sel_Customer),OR(sel_Category="All",G618=sel_Category),AND(S618&gt;=m_From,S618&lt;=m_To)),1,0)</f>
        <v/>
      </c>
      <c r="AA618" s="36">
        <f>IF(AND(OR(sel_Region="All",C618=sel_Region),OR(sel_Country="All",D618=sel_Country),OR(sel_Channel="All",E618=sel_Channel),OR(sel_Customer="All",F618=sel_Customer),OR(sel_Category="All",G618=sel_Category),OR(sel_Product="All",H618=sel_Product)),1,0)</f>
        <v/>
      </c>
    </row>
    <row r="619">
      <c r="A619" s="36" t="inlineStr">
        <is>
          <t>01538</t>
        </is>
      </c>
      <c r="B619" s="44" t="n">
        <v>46132</v>
      </c>
      <c r="C619" s="36" t="inlineStr">
        <is>
          <t>Northern Europe</t>
        </is>
      </c>
      <c r="D619" s="36" t="inlineStr">
        <is>
          <t>Sweden</t>
        </is>
      </c>
      <c r="E619" s="36" t="inlineStr">
        <is>
          <t>Marketplace</t>
        </is>
      </c>
      <c r="F619" s="36" t="inlineStr">
        <is>
          <t>New</t>
        </is>
      </c>
      <c r="G619" s="36" t="inlineStr">
        <is>
          <t>Cycling</t>
        </is>
      </c>
      <c r="H619" s="36" t="inlineStr">
        <is>
          <t>Commuter Helmet</t>
        </is>
      </c>
      <c r="I619" s="36" t="n">
        <v>1</v>
      </c>
      <c r="J619" s="39" t="n">
        <v>81.98</v>
      </c>
      <c r="K619" s="45" t="n">
        <v>0</v>
      </c>
      <c r="L619" s="39" t="n">
        <v>43.15</v>
      </c>
      <c r="M619" s="39">
        <f>I619*J619*(1-K619)</f>
        <v/>
      </c>
      <c r="N619" s="39">
        <f>I619*L619</f>
        <v/>
      </c>
      <c r="O619" s="39">
        <f>M619-N619</f>
        <v/>
      </c>
      <c r="P619" s="38">
        <f>IF(M619=0,0,O619/M619)</f>
        <v/>
      </c>
      <c r="Q619" s="36">
        <f>YEAR(B619)</f>
        <v/>
      </c>
      <c r="R619" s="36">
        <f>"Q"&amp;ROUNDUP(MONTH(B619)/3,0)</f>
        <v/>
      </c>
      <c r="S619" s="36">
        <f>MONTH(B619)</f>
        <v/>
      </c>
      <c r="T619" s="36">
        <f>TEXT(B619,"mmm")</f>
        <v/>
      </c>
      <c r="U619" s="36">
        <f>IF(AND(OR(sel_Region="All",C619=sel_Region),OR(sel_Country="All",D619=sel_Country),OR(sel_Channel="All",E619=sel_Channel),OR(sel_Customer="All",F619=sel_Customer),OR(sel_Category="All",G619=sel_Category),OR(sel_Product="All",H619=sel_Product),AND(S619&gt;=m_From,S619&lt;=m_To)),1,0)</f>
        <v/>
      </c>
      <c r="V619" s="36">
        <f>IF(AND(OR(sel_Region="All",C619=sel_Region),OR(sel_Channel="All",E619=sel_Channel),OR(sel_Customer="All",F619=sel_Customer),OR(sel_Category="All",G619=sel_Category),OR(sel_Product="All",H619=sel_Product),AND(S619&gt;=m_From,S619&lt;=m_To)),1,0)</f>
        <v/>
      </c>
      <c r="W619" s="36">
        <f>IF(AND(OR(sel_Region="All",C619=sel_Region),OR(sel_Country="All",D619=sel_Country),OR(sel_Customer="All",F619=sel_Customer),OR(sel_Category="All",G619=sel_Category),OR(sel_Product="All",H619=sel_Product),AND(S619&gt;=m_From,S619&lt;=m_To)),1,0)</f>
        <v/>
      </c>
      <c r="X619" s="36">
        <f>IF(AND(OR(sel_Region="All",C619=sel_Region),OR(sel_Country="All",D619=sel_Country),OR(sel_Channel="All",E619=sel_Channel),OR(sel_Category="All",G619=sel_Category),OR(sel_Product="All",H619=sel_Product),AND(S619&gt;=m_From,S619&lt;=m_To)),1,0)</f>
        <v/>
      </c>
      <c r="Y619" s="36">
        <f>IF(AND(OR(sel_Region="All",C619=sel_Region),OR(sel_Country="All",D619=sel_Country),OR(sel_Channel="All",E619=sel_Channel),OR(sel_Customer="All",F619=sel_Customer),OR(sel_Product="All",H619=sel_Product),AND(S619&gt;=m_From,S619&lt;=m_To)),1,0)</f>
        <v/>
      </c>
      <c r="Z619" s="36">
        <f>IF(AND(OR(sel_Region="All",C619=sel_Region),OR(sel_Country="All",D619=sel_Country),OR(sel_Channel="All",E619=sel_Channel),OR(sel_Customer="All",F619=sel_Customer),OR(sel_Category="All",G619=sel_Category),AND(S619&gt;=m_From,S619&lt;=m_To)),1,0)</f>
        <v/>
      </c>
      <c r="AA619" s="36">
        <f>IF(AND(OR(sel_Region="All",C619=sel_Region),OR(sel_Country="All",D619=sel_Country),OR(sel_Channel="All",E619=sel_Channel),OR(sel_Customer="All",F619=sel_Customer),OR(sel_Category="All",G619=sel_Category),OR(sel_Product="All",H619=sel_Product)),1,0)</f>
        <v/>
      </c>
    </row>
    <row r="620">
      <c r="A620" s="36" t="inlineStr">
        <is>
          <t>01679</t>
        </is>
      </c>
      <c r="B620" s="44" t="n">
        <v>46132</v>
      </c>
      <c r="C620" s="36" t="inlineStr">
        <is>
          <t>Western Europe</t>
        </is>
      </c>
      <c r="D620" s="36" t="inlineStr">
        <is>
          <t>France</t>
        </is>
      </c>
      <c r="E620" s="36" t="inlineStr">
        <is>
          <t>Marketplace</t>
        </is>
      </c>
      <c r="F620" s="36" t="inlineStr">
        <is>
          <t>Returning</t>
        </is>
      </c>
      <c r="G620" s="36" t="inlineStr">
        <is>
          <t>Travel</t>
        </is>
      </c>
      <c r="H620" s="36" t="inlineStr">
        <is>
          <t>Packing Cube Set</t>
        </is>
      </c>
      <c r="I620" s="36" t="n">
        <v>1</v>
      </c>
      <c r="J620" s="39" t="n">
        <v>46.71</v>
      </c>
      <c r="K620" s="45" t="n">
        <v>0</v>
      </c>
      <c r="L620" s="39" t="n">
        <v>18.18</v>
      </c>
      <c r="M620" s="39">
        <f>I620*J620*(1-K620)</f>
        <v/>
      </c>
      <c r="N620" s="39">
        <f>I620*L620</f>
        <v/>
      </c>
      <c r="O620" s="39">
        <f>M620-N620</f>
        <v/>
      </c>
      <c r="P620" s="38">
        <f>IF(M620=0,0,O620/M620)</f>
        <v/>
      </c>
      <c r="Q620" s="36">
        <f>YEAR(B620)</f>
        <v/>
      </c>
      <c r="R620" s="36">
        <f>"Q"&amp;ROUNDUP(MONTH(B620)/3,0)</f>
        <v/>
      </c>
      <c r="S620" s="36">
        <f>MONTH(B620)</f>
        <v/>
      </c>
      <c r="T620" s="36">
        <f>TEXT(B620,"mmm")</f>
        <v/>
      </c>
      <c r="U620" s="36">
        <f>IF(AND(OR(sel_Region="All",C620=sel_Region),OR(sel_Country="All",D620=sel_Country),OR(sel_Channel="All",E620=sel_Channel),OR(sel_Customer="All",F620=sel_Customer),OR(sel_Category="All",G620=sel_Category),OR(sel_Product="All",H620=sel_Product),AND(S620&gt;=m_From,S620&lt;=m_To)),1,0)</f>
        <v/>
      </c>
      <c r="V620" s="36">
        <f>IF(AND(OR(sel_Region="All",C620=sel_Region),OR(sel_Channel="All",E620=sel_Channel),OR(sel_Customer="All",F620=sel_Customer),OR(sel_Category="All",G620=sel_Category),OR(sel_Product="All",H620=sel_Product),AND(S620&gt;=m_From,S620&lt;=m_To)),1,0)</f>
        <v/>
      </c>
      <c r="W620" s="36">
        <f>IF(AND(OR(sel_Region="All",C620=sel_Region),OR(sel_Country="All",D620=sel_Country),OR(sel_Customer="All",F620=sel_Customer),OR(sel_Category="All",G620=sel_Category),OR(sel_Product="All",H620=sel_Product),AND(S620&gt;=m_From,S620&lt;=m_To)),1,0)</f>
        <v/>
      </c>
      <c r="X620" s="36">
        <f>IF(AND(OR(sel_Region="All",C620=sel_Region),OR(sel_Country="All",D620=sel_Country),OR(sel_Channel="All",E620=sel_Channel),OR(sel_Category="All",G620=sel_Category),OR(sel_Product="All",H620=sel_Product),AND(S620&gt;=m_From,S620&lt;=m_To)),1,0)</f>
        <v/>
      </c>
      <c r="Y620" s="36">
        <f>IF(AND(OR(sel_Region="All",C620=sel_Region),OR(sel_Country="All",D620=sel_Country),OR(sel_Channel="All",E620=sel_Channel),OR(sel_Customer="All",F620=sel_Customer),OR(sel_Product="All",H620=sel_Product),AND(S620&gt;=m_From,S620&lt;=m_To)),1,0)</f>
        <v/>
      </c>
      <c r="Z620" s="36">
        <f>IF(AND(OR(sel_Region="All",C620=sel_Region),OR(sel_Country="All",D620=sel_Country),OR(sel_Channel="All",E620=sel_Channel),OR(sel_Customer="All",F620=sel_Customer),OR(sel_Category="All",G620=sel_Category),AND(S620&gt;=m_From,S620&lt;=m_To)),1,0)</f>
        <v/>
      </c>
      <c r="AA620" s="36">
        <f>IF(AND(OR(sel_Region="All",C620=sel_Region),OR(sel_Country="All",D620=sel_Country),OR(sel_Channel="All",E620=sel_Channel),OR(sel_Customer="All",F620=sel_Customer),OR(sel_Category="All",G620=sel_Category),OR(sel_Product="All",H620=sel_Product)),1,0)</f>
        <v/>
      </c>
    </row>
    <row r="621">
      <c r="A621" s="36" t="inlineStr">
        <is>
          <t>01708</t>
        </is>
      </c>
      <c r="B621" s="44" t="n">
        <v>46132</v>
      </c>
      <c r="C621" s="36" t="inlineStr">
        <is>
          <t>Northern Europe</t>
        </is>
      </c>
      <c r="D621" s="36" t="inlineStr">
        <is>
          <t>Denmark</t>
        </is>
      </c>
      <c r="E621" s="36" t="inlineStr">
        <is>
          <t>Marketplace</t>
        </is>
      </c>
      <c r="F621" s="36" t="inlineStr">
        <is>
          <t>New</t>
        </is>
      </c>
      <c r="G621" s="36" t="inlineStr">
        <is>
          <t>Fitness</t>
        </is>
      </c>
      <c r="H621" s="36" t="inlineStr">
        <is>
          <t>Resistance Band Set</t>
        </is>
      </c>
      <c r="I621" s="36" t="n">
        <v>1</v>
      </c>
      <c r="J621" s="39" t="n">
        <v>41.01</v>
      </c>
      <c r="K621" s="45" t="n">
        <v>0</v>
      </c>
      <c r="L621" s="39" t="n">
        <v>14.5</v>
      </c>
      <c r="M621" s="39">
        <f>I621*J621*(1-K621)</f>
        <v/>
      </c>
      <c r="N621" s="39">
        <f>I621*L621</f>
        <v/>
      </c>
      <c r="O621" s="39">
        <f>M621-N621</f>
        <v/>
      </c>
      <c r="P621" s="38">
        <f>IF(M621=0,0,O621/M621)</f>
        <v/>
      </c>
      <c r="Q621" s="36">
        <f>YEAR(B621)</f>
        <v/>
      </c>
      <c r="R621" s="36">
        <f>"Q"&amp;ROUNDUP(MONTH(B621)/3,0)</f>
        <v/>
      </c>
      <c r="S621" s="36">
        <f>MONTH(B621)</f>
        <v/>
      </c>
      <c r="T621" s="36">
        <f>TEXT(B621,"mmm")</f>
        <v/>
      </c>
      <c r="U621" s="36">
        <f>IF(AND(OR(sel_Region="All",C621=sel_Region),OR(sel_Country="All",D621=sel_Country),OR(sel_Channel="All",E621=sel_Channel),OR(sel_Customer="All",F621=sel_Customer),OR(sel_Category="All",G621=sel_Category),OR(sel_Product="All",H621=sel_Product),AND(S621&gt;=m_From,S621&lt;=m_To)),1,0)</f>
        <v/>
      </c>
      <c r="V621" s="36">
        <f>IF(AND(OR(sel_Region="All",C621=sel_Region),OR(sel_Channel="All",E621=sel_Channel),OR(sel_Customer="All",F621=sel_Customer),OR(sel_Category="All",G621=sel_Category),OR(sel_Product="All",H621=sel_Product),AND(S621&gt;=m_From,S621&lt;=m_To)),1,0)</f>
        <v/>
      </c>
      <c r="W621" s="36">
        <f>IF(AND(OR(sel_Region="All",C621=sel_Region),OR(sel_Country="All",D621=sel_Country),OR(sel_Customer="All",F621=sel_Customer),OR(sel_Category="All",G621=sel_Category),OR(sel_Product="All",H621=sel_Product),AND(S621&gt;=m_From,S621&lt;=m_To)),1,0)</f>
        <v/>
      </c>
      <c r="X621" s="36">
        <f>IF(AND(OR(sel_Region="All",C621=sel_Region),OR(sel_Country="All",D621=sel_Country),OR(sel_Channel="All",E621=sel_Channel),OR(sel_Category="All",G621=sel_Category),OR(sel_Product="All",H621=sel_Product),AND(S621&gt;=m_From,S621&lt;=m_To)),1,0)</f>
        <v/>
      </c>
      <c r="Y621" s="36">
        <f>IF(AND(OR(sel_Region="All",C621=sel_Region),OR(sel_Country="All",D621=sel_Country),OR(sel_Channel="All",E621=sel_Channel),OR(sel_Customer="All",F621=sel_Customer),OR(sel_Product="All",H621=sel_Product),AND(S621&gt;=m_From,S621&lt;=m_To)),1,0)</f>
        <v/>
      </c>
      <c r="Z621" s="36">
        <f>IF(AND(OR(sel_Region="All",C621=sel_Region),OR(sel_Country="All",D621=sel_Country),OR(sel_Channel="All",E621=sel_Channel),OR(sel_Customer="All",F621=sel_Customer),OR(sel_Category="All",G621=sel_Category),AND(S621&gt;=m_From,S621&lt;=m_To)),1,0)</f>
        <v/>
      </c>
      <c r="AA621" s="36">
        <f>IF(AND(OR(sel_Region="All",C621=sel_Region),OR(sel_Country="All",D621=sel_Country),OR(sel_Channel="All",E621=sel_Channel),OR(sel_Customer="All",F621=sel_Customer),OR(sel_Category="All",G621=sel_Category),OR(sel_Product="All",H621=sel_Product)),1,0)</f>
        <v/>
      </c>
    </row>
    <row r="622">
      <c r="A622" s="36" t="inlineStr">
        <is>
          <t>02686</t>
        </is>
      </c>
      <c r="B622" s="44" t="n">
        <v>46132</v>
      </c>
      <c r="C622" s="36" t="inlineStr">
        <is>
          <t>Central Europe</t>
        </is>
      </c>
      <c r="D622" s="36" t="inlineStr">
        <is>
          <t>Germany</t>
        </is>
      </c>
      <c r="E622" s="36" t="inlineStr">
        <is>
          <t>Online Store</t>
        </is>
      </c>
      <c r="F622" s="36" t="inlineStr">
        <is>
          <t>Returning</t>
        </is>
      </c>
      <c r="G622" s="36" t="inlineStr">
        <is>
          <t>Hiking</t>
        </is>
      </c>
      <c r="H622" s="36" t="inlineStr">
        <is>
          <t>Trekking Poles</t>
        </is>
      </c>
      <c r="I622" s="36" t="n">
        <v>1</v>
      </c>
      <c r="J622" s="39" t="n">
        <v>70.45</v>
      </c>
      <c r="K622" s="45" t="n">
        <v>0.05</v>
      </c>
      <c r="L622" s="39" t="n">
        <v>31.98</v>
      </c>
      <c r="M622" s="39">
        <f>I622*J622*(1-K622)</f>
        <v/>
      </c>
      <c r="N622" s="39">
        <f>I622*L622</f>
        <v/>
      </c>
      <c r="O622" s="39">
        <f>M622-N622</f>
        <v/>
      </c>
      <c r="P622" s="38">
        <f>IF(M622=0,0,O622/M622)</f>
        <v/>
      </c>
      <c r="Q622" s="36">
        <f>YEAR(B622)</f>
        <v/>
      </c>
      <c r="R622" s="36">
        <f>"Q"&amp;ROUNDUP(MONTH(B622)/3,0)</f>
        <v/>
      </c>
      <c r="S622" s="36">
        <f>MONTH(B622)</f>
        <v/>
      </c>
      <c r="T622" s="36">
        <f>TEXT(B622,"mmm")</f>
        <v/>
      </c>
      <c r="U622" s="36">
        <f>IF(AND(OR(sel_Region="All",C622=sel_Region),OR(sel_Country="All",D622=sel_Country),OR(sel_Channel="All",E622=sel_Channel),OR(sel_Customer="All",F622=sel_Customer),OR(sel_Category="All",G622=sel_Category),OR(sel_Product="All",H622=sel_Product),AND(S622&gt;=m_From,S622&lt;=m_To)),1,0)</f>
        <v/>
      </c>
      <c r="V622" s="36">
        <f>IF(AND(OR(sel_Region="All",C622=sel_Region),OR(sel_Channel="All",E622=sel_Channel),OR(sel_Customer="All",F622=sel_Customer),OR(sel_Category="All",G622=sel_Category),OR(sel_Product="All",H622=sel_Product),AND(S622&gt;=m_From,S622&lt;=m_To)),1,0)</f>
        <v/>
      </c>
      <c r="W622" s="36">
        <f>IF(AND(OR(sel_Region="All",C622=sel_Region),OR(sel_Country="All",D622=sel_Country),OR(sel_Customer="All",F622=sel_Customer),OR(sel_Category="All",G622=sel_Category),OR(sel_Product="All",H622=sel_Product),AND(S622&gt;=m_From,S622&lt;=m_To)),1,0)</f>
        <v/>
      </c>
      <c r="X622" s="36">
        <f>IF(AND(OR(sel_Region="All",C622=sel_Region),OR(sel_Country="All",D622=sel_Country),OR(sel_Channel="All",E622=sel_Channel),OR(sel_Category="All",G622=sel_Category),OR(sel_Product="All",H622=sel_Product),AND(S622&gt;=m_From,S622&lt;=m_To)),1,0)</f>
        <v/>
      </c>
      <c r="Y622" s="36">
        <f>IF(AND(OR(sel_Region="All",C622=sel_Region),OR(sel_Country="All",D622=sel_Country),OR(sel_Channel="All",E622=sel_Channel),OR(sel_Customer="All",F622=sel_Customer),OR(sel_Product="All",H622=sel_Product),AND(S622&gt;=m_From,S622&lt;=m_To)),1,0)</f>
        <v/>
      </c>
      <c r="Z622" s="36">
        <f>IF(AND(OR(sel_Region="All",C622=sel_Region),OR(sel_Country="All",D622=sel_Country),OR(sel_Channel="All",E622=sel_Channel),OR(sel_Customer="All",F622=sel_Customer),OR(sel_Category="All",G622=sel_Category),AND(S622&gt;=m_From,S622&lt;=m_To)),1,0)</f>
        <v/>
      </c>
      <c r="AA622" s="36">
        <f>IF(AND(OR(sel_Region="All",C622=sel_Region),OR(sel_Country="All",D622=sel_Country),OR(sel_Channel="All",E622=sel_Channel),OR(sel_Customer="All",F622=sel_Customer),OR(sel_Category="All",G622=sel_Category),OR(sel_Product="All",H622=sel_Product)),1,0)</f>
        <v/>
      </c>
    </row>
    <row r="623">
      <c r="A623" s="36" t="inlineStr">
        <is>
          <t>03307</t>
        </is>
      </c>
      <c r="B623" s="44" t="n">
        <v>46132</v>
      </c>
      <c r="C623" s="36" t="inlineStr">
        <is>
          <t>Western Europe</t>
        </is>
      </c>
      <c r="D623" s="36" t="inlineStr">
        <is>
          <t>France</t>
        </is>
      </c>
      <c r="E623" s="36" t="inlineStr">
        <is>
          <t>Retail Partners</t>
        </is>
      </c>
      <c r="F623" s="36" t="inlineStr">
        <is>
          <t>Business</t>
        </is>
      </c>
      <c r="G623" s="36" t="inlineStr">
        <is>
          <t>Cycling</t>
        </is>
      </c>
      <c r="H623" s="36" t="inlineStr">
        <is>
          <t>Trail Bike Light</t>
        </is>
      </c>
      <c r="I623" s="36" t="n">
        <v>2</v>
      </c>
      <c r="J623" s="39" t="n">
        <v>51.39</v>
      </c>
      <c r="K623" s="45" t="n">
        <v>0.05</v>
      </c>
      <c r="L623" s="39" t="n">
        <v>22.28</v>
      </c>
      <c r="M623" s="39">
        <f>I623*J623*(1-K623)</f>
        <v/>
      </c>
      <c r="N623" s="39">
        <f>I623*L623</f>
        <v/>
      </c>
      <c r="O623" s="39">
        <f>M623-N623</f>
        <v/>
      </c>
      <c r="P623" s="38">
        <f>IF(M623=0,0,O623/M623)</f>
        <v/>
      </c>
      <c r="Q623" s="36">
        <f>YEAR(B623)</f>
        <v/>
      </c>
      <c r="R623" s="36">
        <f>"Q"&amp;ROUNDUP(MONTH(B623)/3,0)</f>
        <v/>
      </c>
      <c r="S623" s="36">
        <f>MONTH(B623)</f>
        <v/>
      </c>
      <c r="T623" s="36">
        <f>TEXT(B623,"mmm")</f>
        <v/>
      </c>
      <c r="U623" s="36">
        <f>IF(AND(OR(sel_Region="All",C623=sel_Region),OR(sel_Country="All",D623=sel_Country),OR(sel_Channel="All",E623=sel_Channel),OR(sel_Customer="All",F623=sel_Customer),OR(sel_Category="All",G623=sel_Category),OR(sel_Product="All",H623=sel_Product),AND(S623&gt;=m_From,S623&lt;=m_To)),1,0)</f>
        <v/>
      </c>
      <c r="V623" s="36">
        <f>IF(AND(OR(sel_Region="All",C623=sel_Region),OR(sel_Channel="All",E623=sel_Channel),OR(sel_Customer="All",F623=sel_Customer),OR(sel_Category="All",G623=sel_Category),OR(sel_Product="All",H623=sel_Product),AND(S623&gt;=m_From,S623&lt;=m_To)),1,0)</f>
        <v/>
      </c>
      <c r="W623" s="36">
        <f>IF(AND(OR(sel_Region="All",C623=sel_Region),OR(sel_Country="All",D623=sel_Country),OR(sel_Customer="All",F623=sel_Customer),OR(sel_Category="All",G623=sel_Category),OR(sel_Product="All",H623=sel_Product),AND(S623&gt;=m_From,S623&lt;=m_To)),1,0)</f>
        <v/>
      </c>
      <c r="X623" s="36">
        <f>IF(AND(OR(sel_Region="All",C623=sel_Region),OR(sel_Country="All",D623=sel_Country),OR(sel_Channel="All",E623=sel_Channel),OR(sel_Category="All",G623=sel_Category),OR(sel_Product="All",H623=sel_Product),AND(S623&gt;=m_From,S623&lt;=m_To)),1,0)</f>
        <v/>
      </c>
      <c r="Y623" s="36">
        <f>IF(AND(OR(sel_Region="All",C623=sel_Region),OR(sel_Country="All",D623=sel_Country),OR(sel_Channel="All",E623=sel_Channel),OR(sel_Customer="All",F623=sel_Customer),OR(sel_Product="All",H623=sel_Product),AND(S623&gt;=m_From,S623&lt;=m_To)),1,0)</f>
        <v/>
      </c>
      <c r="Z623" s="36">
        <f>IF(AND(OR(sel_Region="All",C623=sel_Region),OR(sel_Country="All",D623=sel_Country),OR(sel_Channel="All",E623=sel_Channel),OR(sel_Customer="All",F623=sel_Customer),OR(sel_Category="All",G623=sel_Category),AND(S623&gt;=m_From,S623&lt;=m_To)),1,0)</f>
        <v/>
      </c>
      <c r="AA623" s="36">
        <f>IF(AND(OR(sel_Region="All",C623=sel_Region),OR(sel_Country="All",D623=sel_Country),OR(sel_Channel="All",E623=sel_Channel),OR(sel_Customer="All",F623=sel_Customer),OR(sel_Category="All",G623=sel_Category),OR(sel_Product="All",H623=sel_Product)),1,0)</f>
        <v/>
      </c>
    </row>
    <row r="624">
      <c r="A624" s="36" t="inlineStr">
        <is>
          <t>03772</t>
        </is>
      </c>
      <c r="B624" s="44" t="n">
        <v>46132</v>
      </c>
      <c r="C624" s="36" t="inlineStr">
        <is>
          <t>Southern Europe</t>
        </is>
      </c>
      <c r="D624" s="36" t="inlineStr">
        <is>
          <t>Italy</t>
        </is>
      </c>
      <c r="E624" s="36" t="inlineStr">
        <is>
          <t>Retail Partners</t>
        </is>
      </c>
      <c r="F624" s="36" t="inlineStr">
        <is>
          <t>Returning</t>
        </is>
      </c>
      <c r="G624" s="36" t="inlineStr">
        <is>
          <t>Camping</t>
        </is>
      </c>
      <c r="H624" s="36" t="inlineStr">
        <is>
          <t>Compact Sleeping Bag</t>
        </is>
      </c>
      <c r="I624" s="36" t="n">
        <v>2</v>
      </c>
      <c r="J624" s="39" t="n">
        <v>122.03</v>
      </c>
      <c r="K624" s="45" t="n">
        <v>0</v>
      </c>
      <c r="L624" s="39" t="n">
        <v>59.43</v>
      </c>
      <c r="M624" s="39">
        <f>I624*J624*(1-K624)</f>
        <v/>
      </c>
      <c r="N624" s="39">
        <f>I624*L624</f>
        <v/>
      </c>
      <c r="O624" s="39">
        <f>M624-N624</f>
        <v/>
      </c>
      <c r="P624" s="38">
        <f>IF(M624=0,0,O624/M624)</f>
        <v/>
      </c>
      <c r="Q624" s="36">
        <f>YEAR(B624)</f>
        <v/>
      </c>
      <c r="R624" s="36">
        <f>"Q"&amp;ROUNDUP(MONTH(B624)/3,0)</f>
        <v/>
      </c>
      <c r="S624" s="36">
        <f>MONTH(B624)</f>
        <v/>
      </c>
      <c r="T624" s="36">
        <f>TEXT(B624,"mmm")</f>
        <v/>
      </c>
      <c r="U624" s="36">
        <f>IF(AND(OR(sel_Region="All",C624=sel_Region),OR(sel_Country="All",D624=sel_Country),OR(sel_Channel="All",E624=sel_Channel),OR(sel_Customer="All",F624=sel_Customer),OR(sel_Category="All",G624=sel_Category),OR(sel_Product="All",H624=sel_Product),AND(S624&gt;=m_From,S624&lt;=m_To)),1,0)</f>
        <v/>
      </c>
      <c r="V624" s="36">
        <f>IF(AND(OR(sel_Region="All",C624=sel_Region),OR(sel_Channel="All",E624=sel_Channel),OR(sel_Customer="All",F624=sel_Customer),OR(sel_Category="All",G624=sel_Category),OR(sel_Product="All",H624=sel_Product),AND(S624&gt;=m_From,S624&lt;=m_To)),1,0)</f>
        <v/>
      </c>
      <c r="W624" s="36">
        <f>IF(AND(OR(sel_Region="All",C624=sel_Region),OR(sel_Country="All",D624=sel_Country),OR(sel_Customer="All",F624=sel_Customer),OR(sel_Category="All",G624=sel_Category),OR(sel_Product="All",H624=sel_Product),AND(S624&gt;=m_From,S624&lt;=m_To)),1,0)</f>
        <v/>
      </c>
      <c r="X624" s="36">
        <f>IF(AND(OR(sel_Region="All",C624=sel_Region),OR(sel_Country="All",D624=sel_Country),OR(sel_Channel="All",E624=sel_Channel),OR(sel_Category="All",G624=sel_Category),OR(sel_Product="All",H624=sel_Product),AND(S624&gt;=m_From,S624&lt;=m_To)),1,0)</f>
        <v/>
      </c>
      <c r="Y624" s="36">
        <f>IF(AND(OR(sel_Region="All",C624=sel_Region),OR(sel_Country="All",D624=sel_Country),OR(sel_Channel="All",E624=sel_Channel),OR(sel_Customer="All",F624=sel_Customer),OR(sel_Product="All",H624=sel_Product),AND(S624&gt;=m_From,S624&lt;=m_To)),1,0)</f>
        <v/>
      </c>
      <c r="Z624" s="36">
        <f>IF(AND(OR(sel_Region="All",C624=sel_Region),OR(sel_Country="All",D624=sel_Country),OR(sel_Channel="All",E624=sel_Channel),OR(sel_Customer="All",F624=sel_Customer),OR(sel_Category="All",G624=sel_Category),AND(S624&gt;=m_From,S624&lt;=m_To)),1,0)</f>
        <v/>
      </c>
      <c r="AA624" s="36">
        <f>IF(AND(OR(sel_Region="All",C624=sel_Region),OR(sel_Country="All",D624=sel_Country),OR(sel_Channel="All",E624=sel_Channel),OR(sel_Customer="All",F624=sel_Customer),OR(sel_Category="All",G624=sel_Category),OR(sel_Product="All",H624=sel_Product)),1,0)</f>
        <v/>
      </c>
    </row>
    <row r="625">
      <c r="A625" s="36" t="inlineStr">
        <is>
          <t>03877</t>
        </is>
      </c>
      <c r="B625" s="44" t="n">
        <v>46132</v>
      </c>
      <c r="C625" s="36" t="inlineStr">
        <is>
          <t>Western Europe</t>
        </is>
      </c>
      <c r="D625" s="36" t="inlineStr">
        <is>
          <t>Belgium</t>
        </is>
      </c>
      <c r="E625" s="36" t="inlineStr">
        <is>
          <t>Online Store</t>
        </is>
      </c>
      <c r="F625" s="36" t="inlineStr">
        <is>
          <t>New</t>
        </is>
      </c>
      <c r="G625" s="36" t="inlineStr">
        <is>
          <t>Travel</t>
        </is>
      </c>
      <c r="H625" s="36" t="inlineStr">
        <is>
          <t>Carry-On Duffel</t>
        </is>
      </c>
      <c r="I625" s="36" t="n">
        <v>3</v>
      </c>
      <c r="J625" s="39" t="n">
        <v>132.07</v>
      </c>
      <c r="K625" s="45" t="n">
        <v>0.05</v>
      </c>
      <c r="L625" s="39" t="n">
        <v>66.41</v>
      </c>
      <c r="M625" s="39">
        <f>I625*J625*(1-K625)</f>
        <v/>
      </c>
      <c r="N625" s="39">
        <f>I625*L625</f>
        <v/>
      </c>
      <c r="O625" s="39">
        <f>M625-N625</f>
        <v/>
      </c>
      <c r="P625" s="38">
        <f>IF(M625=0,0,O625/M625)</f>
        <v/>
      </c>
      <c r="Q625" s="36">
        <f>YEAR(B625)</f>
        <v/>
      </c>
      <c r="R625" s="36">
        <f>"Q"&amp;ROUNDUP(MONTH(B625)/3,0)</f>
        <v/>
      </c>
      <c r="S625" s="36">
        <f>MONTH(B625)</f>
        <v/>
      </c>
      <c r="T625" s="36">
        <f>TEXT(B625,"mmm")</f>
        <v/>
      </c>
      <c r="U625" s="36">
        <f>IF(AND(OR(sel_Region="All",C625=sel_Region),OR(sel_Country="All",D625=sel_Country),OR(sel_Channel="All",E625=sel_Channel),OR(sel_Customer="All",F625=sel_Customer),OR(sel_Category="All",G625=sel_Category),OR(sel_Product="All",H625=sel_Product),AND(S625&gt;=m_From,S625&lt;=m_To)),1,0)</f>
        <v/>
      </c>
      <c r="V625" s="36">
        <f>IF(AND(OR(sel_Region="All",C625=sel_Region),OR(sel_Channel="All",E625=sel_Channel),OR(sel_Customer="All",F625=sel_Customer),OR(sel_Category="All",G625=sel_Category),OR(sel_Product="All",H625=sel_Product),AND(S625&gt;=m_From,S625&lt;=m_To)),1,0)</f>
        <v/>
      </c>
      <c r="W625" s="36">
        <f>IF(AND(OR(sel_Region="All",C625=sel_Region),OR(sel_Country="All",D625=sel_Country),OR(sel_Customer="All",F625=sel_Customer),OR(sel_Category="All",G625=sel_Category),OR(sel_Product="All",H625=sel_Product),AND(S625&gt;=m_From,S625&lt;=m_To)),1,0)</f>
        <v/>
      </c>
      <c r="X625" s="36">
        <f>IF(AND(OR(sel_Region="All",C625=sel_Region),OR(sel_Country="All",D625=sel_Country),OR(sel_Channel="All",E625=sel_Channel),OR(sel_Category="All",G625=sel_Category),OR(sel_Product="All",H625=sel_Product),AND(S625&gt;=m_From,S625&lt;=m_To)),1,0)</f>
        <v/>
      </c>
      <c r="Y625" s="36">
        <f>IF(AND(OR(sel_Region="All",C625=sel_Region),OR(sel_Country="All",D625=sel_Country),OR(sel_Channel="All",E625=sel_Channel),OR(sel_Customer="All",F625=sel_Customer),OR(sel_Product="All",H625=sel_Product),AND(S625&gt;=m_From,S625&lt;=m_To)),1,0)</f>
        <v/>
      </c>
      <c r="Z625" s="36">
        <f>IF(AND(OR(sel_Region="All",C625=sel_Region),OR(sel_Country="All",D625=sel_Country),OR(sel_Channel="All",E625=sel_Channel),OR(sel_Customer="All",F625=sel_Customer),OR(sel_Category="All",G625=sel_Category),AND(S625&gt;=m_From,S625&lt;=m_To)),1,0)</f>
        <v/>
      </c>
      <c r="AA625" s="36">
        <f>IF(AND(OR(sel_Region="All",C625=sel_Region),OR(sel_Country="All",D625=sel_Country),OR(sel_Channel="All",E625=sel_Channel),OR(sel_Customer="All",F625=sel_Customer),OR(sel_Category="All",G625=sel_Category),OR(sel_Product="All",H625=sel_Product)),1,0)</f>
        <v/>
      </c>
    </row>
    <row r="626">
      <c r="A626" s="36" t="inlineStr">
        <is>
          <t>04117</t>
        </is>
      </c>
      <c r="B626" s="44" t="n">
        <v>46132</v>
      </c>
      <c r="C626" s="36" t="inlineStr">
        <is>
          <t>Western Europe</t>
        </is>
      </c>
      <c r="D626" s="36" t="inlineStr">
        <is>
          <t>Netherlands</t>
        </is>
      </c>
      <c r="E626" s="36" t="inlineStr">
        <is>
          <t>Marketplace</t>
        </is>
      </c>
      <c r="F626" s="36" t="inlineStr">
        <is>
          <t>Returning</t>
        </is>
      </c>
      <c r="G626" s="36" t="inlineStr">
        <is>
          <t>Cycling</t>
        </is>
      </c>
      <c r="H626" s="36" t="inlineStr">
        <is>
          <t>Compact Repair Kit</t>
        </is>
      </c>
      <c r="I626" s="36" t="n">
        <v>1</v>
      </c>
      <c r="J626" s="39" t="n">
        <v>41.04</v>
      </c>
      <c r="K626" s="45" t="n">
        <v>0.1</v>
      </c>
      <c r="L626" s="39" t="n">
        <v>17.02</v>
      </c>
      <c r="M626" s="39">
        <f>I626*J626*(1-K626)</f>
        <v/>
      </c>
      <c r="N626" s="39">
        <f>I626*L626</f>
        <v/>
      </c>
      <c r="O626" s="39">
        <f>M626-N626</f>
        <v/>
      </c>
      <c r="P626" s="38">
        <f>IF(M626=0,0,O626/M626)</f>
        <v/>
      </c>
      <c r="Q626" s="36">
        <f>YEAR(B626)</f>
        <v/>
      </c>
      <c r="R626" s="36">
        <f>"Q"&amp;ROUNDUP(MONTH(B626)/3,0)</f>
        <v/>
      </c>
      <c r="S626" s="36">
        <f>MONTH(B626)</f>
        <v/>
      </c>
      <c r="T626" s="36">
        <f>TEXT(B626,"mmm")</f>
        <v/>
      </c>
      <c r="U626" s="36">
        <f>IF(AND(OR(sel_Region="All",C626=sel_Region),OR(sel_Country="All",D626=sel_Country),OR(sel_Channel="All",E626=sel_Channel),OR(sel_Customer="All",F626=sel_Customer),OR(sel_Category="All",G626=sel_Category),OR(sel_Product="All",H626=sel_Product),AND(S626&gt;=m_From,S626&lt;=m_To)),1,0)</f>
        <v/>
      </c>
      <c r="V626" s="36">
        <f>IF(AND(OR(sel_Region="All",C626=sel_Region),OR(sel_Channel="All",E626=sel_Channel),OR(sel_Customer="All",F626=sel_Customer),OR(sel_Category="All",G626=sel_Category),OR(sel_Product="All",H626=sel_Product),AND(S626&gt;=m_From,S626&lt;=m_To)),1,0)</f>
        <v/>
      </c>
      <c r="W626" s="36">
        <f>IF(AND(OR(sel_Region="All",C626=sel_Region),OR(sel_Country="All",D626=sel_Country),OR(sel_Customer="All",F626=sel_Customer),OR(sel_Category="All",G626=sel_Category),OR(sel_Product="All",H626=sel_Product),AND(S626&gt;=m_From,S626&lt;=m_To)),1,0)</f>
        <v/>
      </c>
      <c r="X626" s="36">
        <f>IF(AND(OR(sel_Region="All",C626=sel_Region),OR(sel_Country="All",D626=sel_Country),OR(sel_Channel="All",E626=sel_Channel),OR(sel_Category="All",G626=sel_Category),OR(sel_Product="All",H626=sel_Product),AND(S626&gt;=m_From,S626&lt;=m_To)),1,0)</f>
        <v/>
      </c>
      <c r="Y626" s="36">
        <f>IF(AND(OR(sel_Region="All",C626=sel_Region),OR(sel_Country="All",D626=sel_Country),OR(sel_Channel="All",E626=sel_Channel),OR(sel_Customer="All",F626=sel_Customer),OR(sel_Product="All",H626=sel_Product),AND(S626&gt;=m_From,S626&lt;=m_To)),1,0)</f>
        <v/>
      </c>
      <c r="Z626" s="36">
        <f>IF(AND(OR(sel_Region="All",C626=sel_Region),OR(sel_Country="All",D626=sel_Country),OR(sel_Channel="All",E626=sel_Channel),OR(sel_Customer="All",F626=sel_Customer),OR(sel_Category="All",G626=sel_Category),AND(S626&gt;=m_From,S626&lt;=m_To)),1,0)</f>
        <v/>
      </c>
      <c r="AA626" s="36">
        <f>IF(AND(OR(sel_Region="All",C626=sel_Region),OR(sel_Country="All",D626=sel_Country),OR(sel_Channel="All",E626=sel_Channel),OR(sel_Customer="All",F626=sel_Customer),OR(sel_Category="All",G626=sel_Category),OR(sel_Product="All",H626=sel_Product)),1,0)</f>
        <v/>
      </c>
    </row>
    <row r="627">
      <c r="A627" s="36" t="inlineStr">
        <is>
          <t>04562</t>
        </is>
      </c>
      <c r="B627" s="44" t="n">
        <v>46132</v>
      </c>
      <c r="C627" s="36" t="inlineStr">
        <is>
          <t>Central Europe</t>
        </is>
      </c>
      <c r="D627" s="36" t="inlineStr">
        <is>
          <t>Czechia</t>
        </is>
      </c>
      <c r="E627" s="36" t="inlineStr">
        <is>
          <t>Retail Partners</t>
        </is>
      </c>
      <c r="F627" s="36" t="inlineStr">
        <is>
          <t>New</t>
        </is>
      </c>
      <c r="G627" s="36" t="inlineStr">
        <is>
          <t>Fitness</t>
        </is>
      </c>
      <c r="H627" s="36" t="inlineStr">
        <is>
          <t>Resistance Band Set</t>
        </is>
      </c>
      <c r="I627" s="36" t="n">
        <v>2</v>
      </c>
      <c r="J627" s="39" t="n">
        <v>40.56</v>
      </c>
      <c r="K627" s="45" t="n">
        <v>0</v>
      </c>
      <c r="L627" s="39" t="n">
        <v>15.09</v>
      </c>
      <c r="M627" s="39">
        <f>I627*J627*(1-K627)</f>
        <v/>
      </c>
      <c r="N627" s="39">
        <f>I627*L627</f>
        <v/>
      </c>
      <c r="O627" s="39">
        <f>M627-N627</f>
        <v/>
      </c>
      <c r="P627" s="38">
        <f>IF(M627=0,0,O627/M627)</f>
        <v/>
      </c>
      <c r="Q627" s="36">
        <f>YEAR(B627)</f>
        <v/>
      </c>
      <c r="R627" s="36">
        <f>"Q"&amp;ROUNDUP(MONTH(B627)/3,0)</f>
        <v/>
      </c>
      <c r="S627" s="36">
        <f>MONTH(B627)</f>
        <v/>
      </c>
      <c r="T627" s="36">
        <f>TEXT(B627,"mmm")</f>
        <v/>
      </c>
      <c r="U627" s="36">
        <f>IF(AND(OR(sel_Region="All",C627=sel_Region),OR(sel_Country="All",D627=sel_Country),OR(sel_Channel="All",E627=sel_Channel),OR(sel_Customer="All",F627=sel_Customer),OR(sel_Category="All",G627=sel_Category),OR(sel_Product="All",H627=sel_Product),AND(S627&gt;=m_From,S627&lt;=m_To)),1,0)</f>
        <v/>
      </c>
      <c r="V627" s="36">
        <f>IF(AND(OR(sel_Region="All",C627=sel_Region),OR(sel_Channel="All",E627=sel_Channel),OR(sel_Customer="All",F627=sel_Customer),OR(sel_Category="All",G627=sel_Category),OR(sel_Product="All",H627=sel_Product),AND(S627&gt;=m_From,S627&lt;=m_To)),1,0)</f>
        <v/>
      </c>
      <c r="W627" s="36">
        <f>IF(AND(OR(sel_Region="All",C627=sel_Region),OR(sel_Country="All",D627=sel_Country),OR(sel_Customer="All",F627=sel_Customer),OR(sel_Category="All",G627=sel_Category),OR(sel_Product="All",H627=sel_Product),AND(S627&gt;=m_From,S627&lt;=m_To)),1,0)</f>
        <v/>
      </c>
      <c r="X627" s="36">
        <f>IF(AND(OR(sel_Region="All",C627=sel_Region),OR(sel_Country="All",D627=sel_Country),OR(sel_Channel="All",E627=sel_Channel),OR(sel_Category="All",G627=sel_Category),OR(sel_Product="All",H627=sel_Product),AND(S627&gt;=m_From,S627&lt;=m_To)),1,0)</f>
        <v/>
      </c>
      <c r="Y627" s="36">
        <f>IF(AND(OR(sel_Region="All",C627=sel_Region),OR(sel_Country="All",D627=sel_Country),OR(sel_Channel="All",E627=sel_Channel),OR(sel_Customer="All",F627=sel_Customer),OR(sel_Product="All",H627=sel_Product),AND(S627&gt;=m_From,S627&lt;=m_To)),1,0)</f>
        <v/>
      </c>
      <c r="Z627" s="36">
        <f>IF(AND(OR(sel_Region="All",C627=sel_Region),OR(sel_Country="All",D627=sel_Country),OR(sel_Channel="All",E627=sel_Channel),OR(sel_Customer="All",F627=sel_Customer),OR(sel_Category="All",G627=sel_Category),AND(S627&gt;=m_From,S627&lt;=m_To)),1,0)</f>
        <v/>
      </c>
      <c r="AA627" s="36">
        <f>IF(AND(OR(sel_Region="All",C627=sel_Region),OR(sel_Country="All",D627=sel_Country),OR(sel_Channel="All",E627=sel_Channel),OR(sel_Customer="All",F627=sel_Customer),OR(sel_Category="All",G627=sel_Category),OR(sel_Product="All",H627=sel_Product)),1,0)</f>
        <v/>
      </c>
    </row>
    <row r="628">
      <c r="A628" s="36" t="inlineStr">
        <is>
          <t>04683</t>
        </is>
      </c>
      <c r="B628" s="44" t="n">
        <v>46132</v>
      </c>
      <c r="C628" s="36" t="inlineStr">
        <is>
          <t>Northern Europe</t>
        </is>
      </c>
      <c r="D628" s="36" t="inlineStr">
        <is>
          <t>Norway</t>
        </is>
      </c>
      <c r="E628" s="36" t="inlineStr">
        <is>
          <t>Online Store</t>
        </is>
      </c>
      <c r="F628" s="36" t="inlineStr">
        <is>
          <t>Business</t>
        </is>
      </c>
      <c r="G628" s="36" t="inlineStr">
        <is>
          <t>Fitness</t>
        </is>
      </c>
      <c r="H628" s="36" t="inlineStr">
        <is>
          <t>Training Mat</t>
        </is>
      </c>
      <c r="I628" s="36" t="n">
        <v>3</v>
      </c>
      <c r="J628" s="39" t="n">
        <v>51.36</v>
      </c>
      <c r="K628" s="45" t="n">
        <v>0</v>
      </c>
      <c r="L628" s="39" t="n">
        <v>22.05</v>
      </c>
      <c r="M628" s="39">
        <f>I628*J628*(1-K628)</f>
        <v/>
      </c>
      <c r="N628" s="39">
        <f>I628*L628</f>
        <v/>
      </c>
      <c r="O628" s="39">
        <f>M628-N628</f>
        <v/>
      </c>
      <c r="P628" s="38">
        <f>IF(M628=0,0,O628/M628)</f>
        <v/>
      </c>
      <c r="Q628" s="36">
        <f>YEAR(B628)</f>
        <v/>
      </c>
      <c r="R628" s="36">
        <f>"Q"&amp;ROUNDUP(MONTH(B628)/3,0)</f>
        <v/>
      </c>
      <c r="S628" s="36">
        <f>MONTH(B628)</f>
        <v/>
      </c>
      <c r="T628" s="36">
        <f>TEXT(B628,"mmm")</f>
        <v/>
      </c>
      <c r="U628" s="36">
        <f>IF(AND(OR(sel_Region="All",C628=sel_Region),OR(sel_Country="All",D628=sel_Country),OR(sel_Channel="All",E628=sel_Channel),OR(sel_Customer="All",F628=sel_Customer),OR(sel_Category="All",G628=sel_Category),OR(sel_Product="All",H628=sel_Product),AND(S628&gt;=m_From,S628&lt;=m_To)),1,0)</f>
        <v/>
      </c>
      <c r="V628" s="36">
        <f>IF(AND(OR(sel_Region="All",C628=sel_Region),OR(sel_Channel="All",E628=sel_Channel),OR(sel_Customer="All",F628=sel_Customer),OR(sel_Category="All",G628=sel_Category),OR(sel_Product="All",H628=sel_Product),AND(S628&gt;=m_From,S628&lt;=m_To)),1,0)</f>
        <v/>
      </c>
      <c r="W628" s="36">
        <f>IF(AND(OR(sel_Region="All",C628=sel_Region),OR(sel_Country="All",D628=sel_Country),OR(sel_Customer="All",F628=sel_Customer),OR(sel_Category="All",G628=sel_Category),OR(sel_Product="All",H628=sel_Product),AND(S628&gt;=m_From,S628&lt;=m_To)),1,0)</f>
        <v/>
      </c>
      <c r="X628" s="36">
        <f>IF(AND(OR(sel_Region="All",C628=sel_Region),OR(sel_Country="All",D628=sel_Country),OR(sel_Channel="All",E628=sel_Channel),OR(sel_Category="All",G628=sel_Category),OR(sel_Product="All",H628=sel_Product),AND(S628&gt;=m_From,S628&lt;=m_To)),1,0)</f>
        <v/>
      </c>
      <c r="Y628" s="36">
        <f>IF(AND(OR(sel_Region="All",C628=sel_Region),OR(sel_Country="All",D628=sel_Country),OR(sel_Channel="All",E628=sel_Channel),OR(sel_Customer="All",F628=sel_Customer),OR(sel_Product="All",H628=sel_Product),AND(S628&gt;=m_From,S628&lt;=m_To)),1,0)</f>
        <v/>
      </c>
      <c r="Z628" s="36">
        <f>IF(AND(OR(sel_Region="All",C628=sel_Region),OR(sel_Country="All",D628=sel_Country),OR(sel_Channel="All",E628=sel_Channel),OR(sel_Customer="All",F628=sel_Customer),OR(sel_Category="All",G628=sel_Category),AND(S628&gt;=m_From,S628&lt;=m_To)),1,0)</f>
        <v/>
      </c>
      <c r="AA628" s="36">
        <f>IF(AND(OR(sel_Region="All",C628=sel_Region),OR(sel_Country="All",D628=sel_Country),OR(sel_Channel="All",E628=sel_Channel),OR(sel_Customer="All",F628=sel_Customer),OR(sel_Category="All",G628=sel_Category),OR(sel_Product="All",H628=sel_Product)),1,0)</f>
        <v/>
      </c>
    </row>
    <row r="629">
      <c r="A629" s="36" t="inlineStr">
        <is>
          <t>00308</t>
        </is>
      </c>
      <c r="B629" s="44" t="n">
        <v>46133</v>
      </c>
      <c r="C629" s="36" t="inlineStr">
        <is>
          <t>Western Europe</t>
        </is>
      </c>
      <c r="D629" s="36" t="inlineStr">
        <is>
          <t>Netherlands</t>
        </is>
      </c>
      <c r="E629" s="36" t="inlineStr">
        <is>
          <t>Online Store</t>
        </is>
      </c>
      <c r="F629" s="36" t="inlineStr">
        <is>
          <t>Returning</t>
        </is>
      </c>
      <c r="G629" s="36" t="inlineStr">
        <is>
          <t>Hiking</t>
        </is>
      </c>
      <c r="H629" s="36" t="inlineStr">
        <is>
          <t>Hiking Daypack 20L</t>
        </is>
      </c>
      <c r="I629" s="36" t="n">
        <v>6</v>
      </c>
      <c r="J629" s="39" t="n">
        <v>93.58</v>
      </c>
      <c r="K629" s="45" t="n">
        <v>0</v>
      </c>
      <c r="L629" s="39" t="n">
        <v>46.68</v>
      </c>
      <c r="M629" s="39">
        <f>I629*J629*(1-K629)</f>
        <v/>
      </c>
      <c r="N629" s="39">
        <f>I629*L629</f>
        <v/>
      </c>
      <c r="O629" s="39">
        <f>M629-N629</f>
        <v/>
      </c>
      <c r="P629" s="38">
        <f>IF(M629=0,0,O629/M629)</f>
        <v/>
      </c>
      <c r="Q629" s="36">
        <f>YEAR(B629)</f>
        <v/>
      </c>
      <c r="R629" s="36">
        <f>"Q"&amp;ROUNDUP(MONTH(B629)/3,0)</f>
        <v/>
      </c>
      <c r="S629" s="36">
        <f>MONTH(B629)</f>
        <v/>
      </c>
      <c r="T629" s="36">
        <f>TEXT(B629,"mmm")</f>
        <v/>
      </c>
      <c r="U629" s="36">
        <f>IF(AND(OR(sel_Region="All",C629=sel_Region),OR(sel_Country="All",D629=sel_Country),OR(sel_Channel="All",E629=sel_Channel),OR(sel_Customer="All",F629=sel_Customer),OR(sel_Category="All",G629=sel_Category),OR(sel_Product="All",H629=sel_Product),AND(S629&gt;=m_From,S629&lt;=m_To)),1,0)</f>
        <v/>
      </c>
      <c r="V629" s="36">
        <f>IF(AND(OR(sel_Region="All",C629=sel_Region),OR(sel_Channel="All",E629=sel_Channel),OR(sel_Customer="All",F629=sel_Customer),OR(sel_Category="All",G629=sel_Category),OR(sel_Product="All",H629=sel_Product),AND(S629&gt;=m_From,S629&lt;=m_To)),1,0)</f>
        <v/>
      </c>
      <c r="W629" s="36">
        <f>IF(AND(OR(sel_Region="All",C629=sel_Region),OR(sel_Country="All",D629=sel_Country),OR(sel_Customer="All",F629=sel_Customer),OR(sel_Category="All",G629=sel_Category),OR(sel_Product="All",H629=sel_Product),AND(S629&gt;=m_From,S629&lt;=m_To)),1,0)</f>
        <v/>
      </c>
      <c r="X629" s="36">
        <f>IF(AND(OR(sel_Region="All",C629=sel_Region),OR(sel_Country="All",D629=sel_Country),OR(sel_Channel="All",E629=sel_Channel),OR(sel_Category="All",G629=sel_Category),OR(sel_Product="All",H629=sel_Product),AND(S629&gt;=m_From,S629&lt;=m_To)),1,0)</f>
        <v/>
      </c>
      <c r="Y629" s="36">
        <f>IF(AND(OR(sel_Region="All",C629=sel_Region),OR(sel_Country="All",D629=sel_Country),OR(sel_Channel="All",E629=sel_Channel),OR(sel_Customer="All",F629=sel_Customer),OR(sel_Product="All",H629=sel_Product),AND(S629&gt;=m_From,S629&lt;=m_To)),1,0)</f>
        <v/>
      </c>
      <c r="Z629" s="36">
        <f>IF(AND(OR(sel_Region="All",C629=sel_Region),OR(sel_Country="All",D629=sel_Country),OR(sel_Channel="All",E629=sel_Channel),OR(sel_Customer="All",F629=sel_Customer),OR(sel_Category="All",G629=sel_Category),AND(S629&gt;=m_From,S629&lt;=m_To)),1,0)</f>
        <v/>
      </c>
      <c r="AA629" s="36">
        <f>IF(AND(OR(sel_Region="All",C629=sel_Region),OR(sel_Country="All",D629=sel_Country),OR(sel_Channel="All",E629=sel_Channel),OR(sel_Customer="All",F629=sel_Customer),OR(sel_Category="All",G629=sel_Category),OR(sel_Product="All",H629=sel_Product)),1,0)</f>
        <v/>
      </c>
    </row>
    <row r="630">
      <c r="A630" s="36" t="inlineStr">
        <is>
          <t>00773</t>
        </is>
      </c>
      <c r="B630" s="44" t="n">
        <v>46133</v>
      </c>
      <c r="C630" s="36" t="inlineStr">
        <is>
          <t>Western Europe</t>
        </is>
      </c>
      <c r="D630" s="36" t="inlineStr">
        <is>
          <t>Netherlands</t>
        </is>
      </c>
      <c r="E630" s="36" t="inlineStr">
        <is>
          <t>Online Store</t>
        </is>
      </c>
      <c r="F630" s="36" t="inlineStr">
        <is>
          <t>Business</t>
        </is>
      </c>
      <c r="G630" s="36" t="inlineStr">
        <is>
          <t>Cycling</t>
        </is>
      </c>
      <c r="H630" s="36" t="inlineStr">
        <is>
          <t>Commuter Helmet</t>
        </is>
      </c>
      <c r="I630" s="36" t="n">
        <v>5</v>
      </c>
      <c r="J630" s="39" t="n">
        <v>80.16</v>
      </c>
      <c r="K630" s="45" t="n">
        <v>0.1</v>
      </c>
      <c r="L630" s="39" t="n">
        <v>42.5</v>
      </c>
      <c r="M630" s="39">
        <f>I630*J630*(1-K630)</f>
        <v/>
      </c>
      <c r="N630" s="39">
        <f>I630*L630</f>
        <v/>
      </c>
      <c r="O630" s="39">
        <f>M630-N630</f>
        <v/>
      </c>
      <c r="P630" s="38">
        <f>IF(M630=0,0,O630/M630)</f>
        <v/>
      </c>
      <c r="Q630" s="36">
        <f>YEAR(B630)</f>
        <v/>
      </c>
      <c r="R630" s="36">
        <f>"Q"&amp;ROUNDUP(MONTH(B630)/3,0)</f>
        <v/>
      </c>
      <c r="S630" s="36">
        <f>MONTH(B630)</f>
        <v/>
      </c>
      <c r="T630" s="36">
        <f>TEXT(B630,"mmm")</f>
        <v/>
      </c>
      <c r="U630" s="36">
        <f>IF(AND(OR(sel_Region="All",C630=sel_Region),OR(sel_Country="All",D630=sel_Country),OR(sel_Channel="All",E630=sel_Channel),OR(sel_Customer="All",F630=sel_Customer),OR(sel_Category="All",G630=sel_Category),OR(sel_Product="All",H630=sel_Product),AND(S630&gt;=m_From,S630&lt;=m_To)),1,0)</f>
        <v/>
      </c>
      <c r="V630" s="36">
        <f>IF(AND(OR(sel_Region="All",C630=sel_Region),OR(sel_Channel="All",E630=sel_Channel),OR(sel_Customer="All",F630=sel_Customer),OR(sel_Category="All",G630=sel_Category),OR(sel_Product="All",H630=sel_Product),AND(S630&gt;=m_From,S630&lt;=m_To)),1,0)</f>
        <v/>
      </c>
      <c r="W630" s="36">
        <f>IF(AND(OR(sel_Region="All",C630=sel_Region),OR(sel_Country="All",D630=sel_Country),OR(sel_Customer="All",F630=sel_Customer),OR(sel_Category="All",G630=sel_Category),OR(sel_Product="All",H630=sel_Product),AND(S630&gt;=m_From,S630&lt;=m_To)),1,0)</f>
        <v/>
      </c>
      <c r="X630" s="36">
        <f>IF(AND(OR(sel_Region="All",C630=sel_Region),OR(sel_Country="All",D630=sel_Country),OR(sel_Channel="All",E630=sel_Channel),OR(sel_Category="All",G630=sel_Category),OR(sel_Product="All",H630=sel_Product),AND(S630&gt;=m_From,S630&lt;=m_To)),1,0)</f>
        <v/>
      </c>
      <c r="Y630" s="36">
        <f>IF(AND(OR(sel_Region="All",C630=sel_Region),OR(sel_Country="All",D630=sel_Country),OR(sel_Channel="All",E630=sel_Channel),OR(sel_Customer="All",F630=sel_Customer),OR(sel_Product="All",H630=sel_Product),AND(S630&gt;=m_From,S630&lt;=m_To)),1,0)</f>
        <v/>
      </c>
      <c r="Z630" s="36">
        <f>IF(AND(OR(sel_Region="All",C630=sel_Region),OR(sel_Country="All",D630=sel_Country),OR(sel_Channel="All",E630=sel_Channel),OR(sel_Customer="All",F630=sel_Customer),OR(sel_Category="All",G630=sel_Category),AND(S630&gt;=m_From,S630&lt;=m_To)),1,0)</f>
        <v/>
      </c>
      <c r="AA630" s="36">
        <f>IF(AND(OR(sel_Region="All",C630=sel_Region),OR(sel_Country="All",D630=sel_Country),OR(sel_Channel="All",E630=sel_Channel),OR(sel_Customer="All",F630=sel_Customer),OR(sel_Category="All",G630=sel_Category),OR(sel_Product="All",H630=sel_Product)),1,0)</f>
        <v/>
      </c>
    </row>
    <row r="631">
      <c r="A631" s="36" t="inlineStr">
        <is>
          <t>01303</t>
        </is>
      </c>
      <c r="B631" s="44" t="n">
        <v>46133</v>
      </c>
      <c r="C631" s="36" t="inlineStr">
        <is>
          <t>Central Europe</t>
        </is>
      </c>
      <c r="D631" s="36" t="inlineStr">
        <is>
          <t>Germany</t>
        </is>
      </c>
      <c r="E631" s="36" t="inlineStr">
        <is>
          <t>Online Store</t>
        </is>
      </c>
      <c r="F631" s="36" t="inlineStr">
        <is>
          <t>New</t>
        </is>
      </c>
      <c r="G631" s="36" t="inlineStr">
        <is>
          <t>Hiking</t>
        </is>
      </c>
      <c r="H631" s="36" t="inlineStr">
        <is>
          <t>Trail Boots</t>
        </is>
      </c>
      <c r="I631" s="36" t="n">
        <v>1</v>
      </c>
      <c r="J631" s="39" t="n">
        <v>142.23</v>
      </c>
      <c r="K631" s="45" t="n">
        <v>0.05</v>
      </c>
      <c r="L631" s="39" t="n">
        <v>77.66</v>
      </c>
      <c r="M631" s="39">
        <f>I631*J631*(1-K631)</f>
        <v/>
      </c>
      <c r="N631" s="39">
        <f>I631*L631</f>
        <v/>
      </c>
      <c r="O631" s="39">
        <f>M631-N631</f>
        <v/>
      </c>
      <c r="P631" s="38">
        <f>IF(M631=0,0,O631/M631)</f>
        <v/>
      </c>
      <c r="Q631" s="36">
        <f>YEAR(B631)</f>
        <v/>
      </c>
      <c r="R631" s="36">
        <f>"Q"&amp;ROUNDUP(MONTH(B631)/3,0)</f>
        <v/>
      </c>
      <c r="S631" s="36">
        <f>MONTH(B631)</f>
        <v/>
      </c>
      <c r="T631" s="36">
        <f>TEXT(B631,"mmm")</f>
        <v/>
      </c>
      <c r="U631" s="36">
        <f>IF(AND(OR(sel_Region="All",C631=sel_Region),OR(sel_Country="All",D631=sel_Country),OR(sel_Channel="All",E631=sel_Channel),OR(sel_Customer="All",F631=sel_Customer),OR(sel_Category="All",G631=sel_Category),OR(sel_Product="All",H631=sel_Product),AND(S631&gt;=m_From,S631&lt;=m_To)),1,0)</f>
        <v/>
      </c>
      <c r="V631" s="36">
        <f>IF(AND(OR(sel_Region="All",C631=sel_Region),OR(sel_Channel="All",E631=sel_Channel),OR(sel_Customer="All",F631=sel_Customer),OR(sel_Category="All",G631=sel_Category),OR(sel_Product="All",H631=sel_Product),AND(S631&gt;=m_From,S631&lt;=m_To)),1,0)</f>
        <v/>
      </c>
      <c r="W631" s="36">
        <f>IF(AND(OR(sel_Region="All",C631=sel_Region),OR(sel_Country="All",D631=sel_Country),OR(sel_Customer="All",F631=sel_Customer),OR(sel_Category="All",G631=sel_Category),OR(sel_Product="All",H631=sel_Product),AND(S631&gt;=m_From,S631&lt;=m_To)),1,0)</f>
        <v/>
      </c>
      <c r="X631" s="36">
        <f>IF(AND(OR(sel_Region="All",C631=sel_Region),OR(sel_Country="All",D631=sel_Country),OR(sel_Channel="All",E631=sel_Channel),OR(sel_Category="All",G631=sel_Category),OR(sel_Product="All",H631=sel_Product),AND(S631&gt;=m_From,S631&lt;=m_To)),1,0)</f>
        <v/>
      </c>
      <c r="Y631" s="36">
        <f>IF(AND(OR(sel_Region="All",C631=sel_Region),OR(sel_Country="All",D631=sel_Country),OR(sel_Channel="All",E631=sel_Channel),OR(sel_Customer="All",F631=sel_Customer),OR(sel_Product="All",H631=sel_Product),AND(S631&gt;=m_From,S631&lt;=m_To)),1,0)</f>
        <v/>
      </c>
      <c r="Z631" s="36">
        <f>IF(AND(OR(sel_Region="All",C631=sel_Region),OR(sel_Country="All",D631=sel_Country),OR(sel_Channel="All",E631=sel_Channel),OR(sel_Customer="All",F631=sel_Customer),OR(sel_Category="All",G631=sel_Category),AND(S631&gt;=m_From,S631&lt;=m_To)),1,0)</f>
        <v/>
      </c>
      <c r="AA631" s="36">
        <f>IF(AND(OR(sel_Region="All",C631=sel_Region),OR(sel_Country="All",D631=sel_Country),OR(sel_Channel="All",E631=sel_Channel),OR(sel_Customer="All",F631=sel_Customer),OR(sel_Category="All",G631=sel_Category),OR(sel_Product="All",H631=sel_Product)),1,0)</f>
        <v/>
      </c>
    </row>
    <row r="632">
      <c r="A632" s="36" t="inlineStr">
        <is>
          <t>01348</t>
        </is>
      </c>
      <c r="B632" s="44" t="n">
        <v>46133</v>
      </c>
      <c r="C632" s="36" t="inlineStr">
        <is>
          <t>Central Europe</t>
        </is>
      </c>
      <c r="D632" s="36" t="inlineStr">
        <is>
          <t>Poland</t>
        </is>
      </c>
      <c r="E632" s="36" t="inlineStr">
        <is>
          <t>Online Store</t>
        </is>
      </c>
      <c r="F632" s="36" t="inlineStr">
        <is>
          <t>Returning</t>
        </is>
      </c>
      <c r="G632" s="36" t="inlineStr">
        <is>
          <t>Hiking</t>
        </is>
      </c>
      <c r="H632" s="36" t="inlineStr">
        <is>
          <t>Trekking Poles</t>
        </is>
      </c>
      <c r="I632" s="36" t="n">
        <v>2</v>
      </c>
      <c r="J632" s="39" t="n">
        <v>71.77</v>
      </c>
      <c r="K632" s="45" t="n">
        <v>0</v>
      </c>
      <c r="L632" s="39" t="n">
        <v>32.45</v>
      </c>
      <c r="M632" s="39">
        <f>I632*J632*(1-K632)</f>
        <v/>
      </c>
      <c r="N632" s="39">
        <f>I632*L632</f>
        <v/>
      </c>
      <c r="O632" s="39">
        <f>M632-N632</f>
        <v/>
      </c>
      <c r="P632" s="38">
        <f>IF(M632=0,0,O632/M632)</f>
        <v/>
      </c>
      <c r="Q632" s="36">
        <f>YEAR(B632)</f>
        <v/>
      </c>
      <c r="R632" s="36">
        <f>"Q"&amp;ROUNDUP(MONTH(B632)/3,0)</f>
        <v/>
      </c>
      <c r="S632" s="36">
        <f>MONTH(B632)</f>
        <v/>
      </c>
      <c r="T632" s="36">
        <f>TEXT(B632,"mmm")</f>
        <v/>
      </c>
      <c r="U632" s="36">
        <f>IF(AND(OR(sel_Region="All",C632=sel_Region),OR(sel_Country="All",D632=sel_Country),OR(sel_Channel="All",E632=sel_Channel),OR(sel_Customer="All",F632=sel_Customer),OR(sel_Category="All",G632=sel_Category),OR(sel_Product="All",H632=sel_Product),AND(S632&gt;=m_From,S632&lt;=m_To)),1,0)</f>
        <v/>
      </c>
      <c r="V632" s="36">
        <f>IF(AND(OR(sel_Region="All",C632=sel_Region),OR(sel_Channel="All",E632=sel_Channel),OR(sel_Customer="All",F632=sel_Customer),OR(sel_Category="All",G632=sel_Category),OR(sel_Product="All",H632=sel_Product),AND(S632&gt;=m_From,S632&lt;=m_To)),1,0)</f>
        <v/>
      </c>
      <c r="W632" s="36">
        <f>IF(AND(OR(sel_Region="All",C632=sel_Region),OR(sel_Country="All",D632=sel_Country),OR(sel_Customer="All",F632=sel_Customer),OR(sel_Category="All",G632=sel_Category),OR(sel_Product="All",H632=sel_Product),AND(S632&gt;=m_From,S632&lt;=m_To)),1,0)</f>
        <v/>
      </c>
      <c r="X632" s="36">
        <f>IF(AND(OR(sel_Region="All",C632=sel_Region),OR(sel_Country="All",D632=sel_Country),OR(sel_Channel="All",E632=sel_Channel),OR(sel_Category="All",G632=sel_Category),OR(sel_Product="All",H632=sel_Product),AND(S632&gt;=m_From,S632&lt;=m_To)),1,0)</f>
        <v/>
      </c>
      <c r="Y632" s="36">
        <f>IF(AND(OR(sel_Region="All",C632=sel_Region),OR(sel_Country="All",D632=sel_Country),OR(sel_Channel="All",E632=sel_Channel),OR(sel_Customer="All",F632=sel_Customer),OR(sel_Product="All",H632=sel_Product),AND(S632&gt;=m_From,S632&lt;=m_To)),1,0)</f>
        <v/>
      </c>
      <c r="Z632" s="36">
        <f>IF(AND(OR(sel_Region="All",C632=sel_Region),OR(sel_Country="All",D632=sel_Country),OR(sel_Channel="All",E632=sel_Channel),OR(sel_Customer="All",F632=sel_Customer),OR(sel_Category="All",G632=sel_Category),AND(S632&gt;=m_From,S632&lt;=m_To)),1,0)</f>
        <v/>
      </c>
      <c r="AA632" s="36">
        <f>IF(AND(OR(sel_Region="All",C632=sel_Region),OR(sel_Country="All",D632=sel_Country),OR(sel_Channel="All",E632=sel_Channel),OR(sel_Customer="All",F632=sel_Customer),OR(sel_Category="All",G632=sel_Category),OR(sel_Product="All",H632=sel_Product)),1,0)</f>
        <v/>
      </c>
    </row>
    <row r="633">
      <c r="A633" s="36" t="inlineStr">
        <is>
          <t>01496</t>
        </is>
      </c>
      <c r="B633" s="44" t="n">
        <v>46133</v>
      </c>
      <c r="C633" s="36" t="inlineStr">
        <is>
          <t>Southern Europe</t>
        </is>
      </c>
      <c r="D633" s="36" t="inlineStr">
        <is>
          <t>Spain</t>
        </is>
      </c>
      <c r="E633" s="36" t="inlineStr">
        <is>
          <t>Marketplace</t>
        </is>
      </c>
      <c r="F633" s="36" t="inlineStr">
        <is>
          <t>Returning</t>
        </is>
      </c>
      <c r="G633" s="36" t="inlineStr">
        <is>
          <t>Hiking</t>
        </is>
      </c>
      <c r="H633" s="36" t="inlineStr">
        <is>
          <t>Trekking Poles</t>
        </is>
      </c>
      <c r="I633" s="36" t="n">
        <v>1</v>
      </c>
      <c r="J633" s="39" t="n">
        <v>71.23</v>
      </c>
      <c r="K633" s="45" t="n">
        <v>0.05</v>
      </c>
      <c r="L633" s="39" t="n">
        <v>33.28</v>
      </c>
      <c r="M633" s="39">
        <f>I633*J633*(1-K633)</f>
        <v/>
      </c>
      <c r="N633" s="39">
        <f>I633*L633</f>
        <v/>
      </c>
      <c r="O633" s="39">
        <f>M633-N633</f>
        <v/>
      </c>
      <c r="P633" s="38">
        <f>IF(M633=0,0,O633/M633)</f>
        <v/>
      </c>
      <c r="Q633" s="36">
        <f>YEAR(B633)</f>
        <v/>
      </c>
      <c r="R633" s="36">
        <f>"Q"&amp;ROUNDUP(MONTH(B633)/3,0)</f>
        <v/>
      </c>
      <c r="S633" s="36">
        <f>MONTH(B633)</f>
        <v/>
      </c>
      <c r="T633" s="36">
        <f>TEXT(B633,"mmm")</f>
        <v/>
      </c>
      <c r="U633" s="36">
        <f>IF(AND(OR(sel_Region="All",C633=sel_Region),OR(sel_Country="All",D633=sel_Country),OR(sel_Channel="All",E633=sel_Channel),OR(sel_Customer="All",F633=sel_Customer),OR(sel_Category="All",G633=sel_Category),OR(sel_Product="All",H633=sel_Product),AND(S633&gt;=m_From,S633&lt;=m_To)),1,0)</f>
        <v/>
      </c>
      <c r="V633" s="36">
        <f>IF(AND(OR(sel_Region="All",C633=sel_Region),OR(sel_Channel="All",E633=sel_Channel),OR(sel_Customer="All",F633=sel_Customer),OR(sel_Category="All",G633=sel_Category),OR(sel_Product="All",H633=sel_Product),AND(S633&gt;=m_From,S633&lt;=m_To)),1,0)</f>
        <v/>
      </c>
      <c r="W633" s="36">
        <f>IF(AND(OR(sel_Region="All",C633=sel_Region),OR(sel_Country="All",D633=sel_Country),OR(sel_Customer="All",F633=sel_Customer),OR(sel_Category="All",G633=sel_Category),OR(sel_Product="All",H633=sel_Product),AND(S633&gt;=m_From,S633&lt;=m_To)),1,0)</f>
        <v/>
      </c>
      <c r="X633" s="36">
        <f>IF(AND(OR(sel_Region="All",C633=sel_Region),OR(sel_Country="All",D633=sel_Country),OR(sel_Channel="All",E633=sel_Channel),OR(sel_Category="All",G633=sel_Category),OR(sel_Product="All",H633=sel_Product),AND(S633&gt;=m_From,S633&lt;=m_To)),1,0)</f>
        <v/>
      </c>
      <c r="Y633" s="36">
        <f>IF(AND(OR(sel_Region="All",C633=sel_Region),OR(sel_Country="All",D633=sel_Country),OR(sel_Channel="All",E633=sel_Channel),OR(sel_Customer="All",F633=sel_Customer),OR(sel_Product="All",H633=sel_Product),AND(S633&gt;=m_From,S633&lt;=m_To)),1,0)</f>
        <v/>
      </c>
      <c r="Z633" s="36">
        <f>IF(AND(OR(sel_Region="All",C633=sel_Region),OR(sel_Country="All",D633=sel_Country),OR(sel_Channel="All",E633=sel_Channel),OR(sel_Customer="All",F633=sel_Customer),OR(sel_Category="All",G633=sel_Category),AND(S633&gt;=m_From,S633&lt;=m_To)),1,0)</f>
        <v/>
      </c>
      <c r="AA633" s="36">
        <f>IF(AND(OR(sel_Region="All",C633=sel_Region),OR(sel_Country="All",D633=sel_Country),OR(sel_Channel="All",E633=sel_Channel),OR(sel_Customer="All",F633=sel_Customer),OR(sel_Category="All",G633=sel_Category),OR(sel_Product="All",H633=sel_Product)),1,0)</f>
        <v/>
      </c>
    </row>
    <row r="634">
      <c r="A634" s="36" t="inlineStr">
        <is>
          <t>01695</t>
        </is>
      </c>
      <c r="B634" s="44" t="n">
        <v>46133</v>
      </c>
      <c r="C634" s="36" t="inlineStr">
        <is>
          <t>Southern Europe</t>
        </is>
      </c>
      <c r="D634" s="36" t="inlineStr">
        <is>
          <t>Spain</t>
        </is>
      </c>
      <c r="E634" s="36" t="inlineStr">
        <is>
          <t>Retail Partners</t>
        </is>
      </c>
      <c r="F634" s="36" t="inlineStr">
        <is>
          <t>Returning</t>
        </is>
      </c>
      <c r="G634" s="36" t="inlineStr">
        <is>
          <t>Hiking</t>
        </is>
      </c>
      <c r="H634" s="36" t="inlineStr">
        <is>
          <t>Trekking Poles</t>
        </is>
      </c>
      <c r="I634" s="36" t="n">
        <v>1</v>
      </c>
      <c r="J634" s="39" t="n">
        <v>71.23999999999999</v>
      </c>
      <c r="K634" s="45" t="n">
        <v>0.1</v>
      </c>
      <c r="L634" s="39" t="n">
        <v>33.07</v>
      </c>
      <c r="M634" s="39">
        <f>I634*J634*(1-K634)</f>
        <v/>
      </c>
      <c r="N634" s="39">
        <f>I634*L634</f>
        <v/>
      </c>
      <c r="O634" s="39">
        <f>M634-N634</f>
        <v/>
      </c>
      <c r="P634" s="38">
        <f>IF(M634=0,0,O634/M634)</f>
        <v/>
      </c>
      <c r="Q634" s="36">
        <f>YEAR(B634)</f>
        <v/>
      </c>
      <c r="R634" s="36">
        <f>"Q"&amp;ROUNDUP(MONTH(B634)/3,0)</f>
        <v/>
      </c>
      <c r="S634" s="36">
        <f>MONTH(B634)</f>
        <v/>
      </c>
      <c r="T634" s="36">
        <f>TEXT(B634,"mmm")</f>
        <v/>
      </c>
      <c r="U634" s="36">
        <f>IF(AND(OR(sel_Region="All",C634=sel_Region),OR(sel_Country="All",D634=sel_Country),OR(sel_Channel="All",E634=sel_Channel),OR(sel_Customer="All",F634=sel_Customer),OR(sel_Category="All",G634=sel_Category),OR(sel_Product="All",H634=sel_Product),AND(S634&gt;=m_From,S634&lt;=m_To)),1,0)</f>
        <v/>
      </c>
      <c r="V634" s="36">
        <f>IF(AND(OR(sel_Region="All",C634=sel_Region),OR(sel_Channel="All",E634=sel_Channel),OR(sel_Customer="All",F634=sel_Customer),OR(sel_Category="All",G634=sel_Category),OR(sel_Product="All",H634=sel_Product),AND(S634&gt;=m_From,S634&lt;=m_To)),1,0)</f>
        <v/>
      </c>
      <c r="W634" s="36">
        <f>IF(AND(OR(sel_Region="All",C634=sel_Region),OR(sel_Country="All",D634=sel_Country),OR(sel_Customer="All",F634=sel_Customer),OR(sel_Category="All",G634=sel_Category),OR(sel_Product="All",H634=sel_Product),AND(S634&gt;=m_From,S634&lt;=m_To)),1,0)</f>
        <v/>
      </c>
      <c r="X634" s="36">
        <f>IF(AND(OR(sel_Region="All",C634=sel_Region),OR(sel_Country="All",D634=sel_Country),OR(sel_Channel="All",E634=sel_Channel),OR(sel_Category="All",G634=sel_Category),OR(sel_Product="All",H634=sel_Product),AND(S634&gt;=m_From,S634&lt;=m_To)),1,0)</f>
        <v/>
      </c>
      <c r="Y634" s="36">
        <f>IF(AND(OR(sel_Region="All",C634=sel_Region),OR(sel_Country="All",D634=sel_Country),OR(sel_Channel="All",E634=sel_Channel),OR(sel_Customer="All",F634=sel_Customer),OR(sel_Product="All",H634=sel_Product),AND(S634&gt;=m_From,S634&lt;=m_To)),1,0)</f>
        <v/>
      </c>
      <c r="Z634" s="36">
        <f>IF(AND(OR(sel_Region="All",C634=sel_Region),OR(sel_Country="All",D634=sel_Country),OR(sel_Channel="All",E634=sel_Channel),OR(sel_Customer="All",F634=sel_Customer),OR(sel_Category="All",G634=sel_Category),AND(S634&gt;=m_From,S634&lt;=m_To)),1,0)</f>
        <v/>
      </c>
      <c r="AA634" s="36">
        <f>IF(AND(OR(sel_Region="All",C634=sel_Region),OR(sel_Country="All",D634=sel_Country),OR(sel_Channel="All",E634=sel_Channel),OR(sel_Customer="All",F634=sel_Customer),OR(sel_Category="All",G634=sel_Category),OR(sel_Product="All",H634=sel_Product)),1,0)</f>
        <v/>
      </c>
    </row>
    <row r="635">
      <c r="A635" s="36" t="inlineStr">
        <is>
          <t>02812</t>
        </is>
      </c>
      <c r="B635" s="44" t="n">
        <v>46133</v>
      </c>
      <c r="C635" s="36" t="inlineStr">
        <is>
          <t>Central Europe</t>
        </is>
      </c>
      <c r="D635" s="36" t="inlineStr">
        <is>
          <t>Austria</t>
        </is>
      </c>
      <c r="E635" s="36" t="inlineStr">
        <is>
          <t>Online Store</t>
        </is>
      </c>
      <c r="F635" s="36" t="inlineStr">
        <is>
          <t>New</t>
        </is>
      </c>
      <c r="G635" s="36" t="inlineStr">
        <is>
          <t>Cycling</t>
        </is>
      </c>
      <c r="H635" s="36" t="inlineStr">
        <is>
          <t>Trail Bike Light</t>
        </is>
      </c>
      <c r="I635" s="36" t="n">
        <v>1</v>
      </c>
      <c r="J635" s="39" t="n">
        <v>51.39</v>
      </c>
      <c r="K635" s="45" t="n">
        <v>0</v>
      </c>
      <c r="L635" s="39" t="n">
        <v>22.08</v>
      </c>
      <c r="M635" s="39">
        <f>I635*J635*(1-K635)</f>
        <v/>
      </c>
      <c r="N635" s="39">
        <f>I635*L635</f>
        <v/>
      </c>
      <c r="O635" s="39">
        <f>M635-N635</f>
        <v/>
      </c>
      <c r="P635" s="38">
        <f>IF(M635=0,0,O635/M635)</f>
        <v/>
      </c>
      <c r="Q635" s="36">
        <f>YEAR(B635)</f>
        <v/>
      </c>
      <c r="R635" s="36">
        <f>"Q"&amp;ROUNDUP(MONTH(B635)/3,0)</f>
        <v/>
      </c>
      <c r="S635" s="36">
        <f>MONTH(B635)</f>
        <v/>
      </c>
      <c r="T635" s="36">
        <f>TEXT(B635,"mmm")</f>
        <v/>
      </c>
      <c r="U635" s="36">
        <f>IF(AND(OR(sel_Region="All",C635=sel_Region),OR(sel_Country="All",D635=sel_Country),OR(sel_Channel="All",E635=sel_Channel),OR(sel_Customer="All",F635=sel_Customer),OR(sel_Category="All",G635=sel_Category),OR(sel_Product="All",H635=sel_Product),AND(S635&gt;=m_From,S635&lt;=m_To)),1,0)</f>
        <v/>
      </c>
      <c r="V635" s="36">
        <f>IF(AND(OR(sel_Region="All",C635=sel_Region),OR(sel_Channel="All",E635=sel_Channel),OR(sel_Customer="All",F635=sel_Customer),OR(sel_Category="All",G635=sel_Category),OR(sel_Product="All",H635=sel_Product),AND(S635&gt;=m_From,S635&lt;=m_To)),1,0)</f>
        <v/>
      </c>
      <c r="W635" s="36">
        <f>IF(AND(OR(sel_Region="All",C635=sel_Region),OR(sel_Country="All",D635=sel_Country),OR(sel_Customer="All",F635=sel_Customer),OR(sel_Category="All",G635=sel_Category),OR(sel_Product="All",H635=sel_Product),AND(S635&gt;=m_From,S635&lt;=m_To)),1,0)</f>
        <v/>
      </c>
      <c r="X635" s="36">
        <f>IF(AND(OR(sel_Region="All",C635=sel_Region),OR(sel_Country="All",D635=sel_Country),OR(sel_Channel="All",E635=sel_Channel),OR(sel_Category="All",G635=sel_Category),OR(sel_Product="All",H635=sel_Product),AND(S635&gt;=m_From,S635&lt;=m_To)),1,0)</f>
        <v/>
      </c>
      <c r="Y635" s="36">
        <f>IF(AND(OR(sel_Region="All",C635=sel_Region),OR(sel_Country="All",D635=sel_Country),OR(sel_Channel="All",E635=sel_Channel),OR(sel_Customer="All",F635=sel_Customer),OR(sel_Product="All",H635=sel_Product),AND(S635&gt;=m_From,S635&lt;=m_To)),1,0)</f>
        <v/>
      </c>
      <c r="Z635" s="36">
        <f>IF(AND(OR(sel_Region="All",C635=sel_Region),OR(sel_Country="All",D635=sel_Country),OR(sel_Channel="All",E635=sel_Channel),OR(sel_Customer="All",F635=sel_Customer),OR(sel_Category="All",G635=sel_Category),AND(S635&gt;=m_From,S635&lt;=m_To)),1,0)</f>
        <v/>
      </c>
      <c r="AA635" s="36">
        <f>IF(AND(OR(sel_Region="All",C635=sel_Region),OR(sel_Country="All",D635=sel_Country),OR(sel_Channel="All",E635=sel_Channel),OR(sel_Customer="All",F635=sel_Customer),OR(sel_Category="All",G635=sel_Category),OR(sel_Product="All",H635=sel_Product)),1,0)</f>
        <v/>
      </c>
    </row>
    <row r="636">
      <c r="A636" s="36" t="inlineStr">
        <is>
          <t>03017</t>
        </is>
      </c>
      <c r="B636" s="44" t="n">
        <v>46133</v>
      </c>
      <c r="C636" s="36" t="inlineStr">
        <is>
          <t>Central Europe</t>
        </is>
      </c>
      <c r="D636" s="36" t="inlineStr">
        <is>
          <t>Germany</t>
        </is>
      </c>
      <c r="E636" s="36" t="inlineStr">
        <is>
          <t>Online Store</t>
        </is>
      </c>
      <c r="F636" s="36" t="inlineStr">
        <is>
          <t>Returning</t>
        </is>
      </c>
      <c r="G636" s="36" t="inlineStr">
        <is>
          <t>Cycling</t>
        </is>
      </c>
      <c r="H636" s="36" t="inlineStr">
        <is>
          <t>Cycling Pack 12L</t>
        </is>
      </c>
      <c r="I636" s="36" t="n">
        <v>1</v>
      </c>
      <c r="J636" s="39" t="n">
        <v>102.64</v>
      </c>
      <c r="K636" s="45" t="n">
        <v>0</v>
      </c>
      <c r="L636" s="39" t="n">
        <v>51.86</v>
      </c>
      <c r="M636" s="39">
        <f>I636*J636*(1-K636)</f>
        <v/>
      </c>
      <c r="N636" s="39">
        <f>I636*L636</f>
        <v/>
      </c>
      <c r="O636" s="39">
        <f>M636-N636</f>
        <v/>
      </c>
      <c r="P636" s="38">
        <f>IF(M636=0,0,O636/M636)</f>
        <v/>
      </c>
      <c r="Q636" s="36">
        <f>YEAR(B636)</f>
        <v/>
      </c>
      <c r="R636" s="36">
        <f>"Q"&amp;ROUNDUP(MONTH(B636)/3,0)</f>
        <v/>
      </c>
      <c r="S636" s="36">
        <f>MONTH(B636)</f>
        <v/>
      </c>
      <c r="T636" s="36">
        <f>TEXT(B636,"mmm")</f>
        <v/>
      </c>
      <c r="U636" s="36">
        <f>IF(AND(OR(sel_Region="All",C636=sel_Region),OR(sel_Country="All",D636=sel_Country),OR(sel_Channel="All",E636=sel_Channel),OR(sel_Customer="All",F636=sel_Customer),OR(sel_Category="All",G636=sel_Category),OR(sel_Product="All",H636=sel_Product),AND(S636&gt;=m_From,S636&lt;=m_To)),1,0)</f>
        <v/>
      </c>
      <c r="V636" s="36">
        <f>IF(AND(OR(sel_Region="All",C636=sel_Region),OR(sel_Channel="All",E636=sel_Channel),OR(sel_Customer="All",F636=sel_Customer),OR(sel_Category="All",G636=sel_Category),OR(sel_Product="All",H636=sel_Product),AND(S636&gt;=m_From,S636&lt;=m_To)),1,0)</f>
        <v/>
      </c>
      <c r="W636" s="36">
        <f>IF(AND(OR(sel_Region="All",C636=sel_Region),OR(sel_Country="All",D636=sel_Country),OR(sel_Customer="All",F636=sel_Customer),OR(sel_Category="All",G636=sel_Category),OR(sel_Product="All",H636=sel_Product),AND(S636&gt;=m_From,S636&lt;=m_To)),1,0)</f>
        <v/>
      </c>
      <c r="X636" s="36">
        <f>IF(AND(OR(sel_Region="All",C636=sel_Region),OR(sel_Country="All",D636=sel_Country),OR(sel_Channel="All",E636=sel_Channel),OR(sel_Category="All",G636=sel_Category),OR(sel_Product="All",H636=sel_Product),AND(S636&gt;=m_From,S636&lt;=m_To)),1,0)</f>
        <v/>
      </c>
      <c r="Y636" s="36">
        <f>IF(AND(OR(sel_Region="All",C636=sel_Region),OR(sel_Country="All",D636=sel_Country),OR(sel_Channel="All",E636=sel_Channel),OR(sel_Customer="All",F636=sel_Customer),OR(sel_Product="All",H636=sel_Product),AND(S636&gt;=m_From,S636&lt;=m_To)),1,0)</f>
        <v/>
      </c>
      <c r="Z636" s="36">
        <f>IF(AND(OR(sel_Region="All",C636=sel_Region),OR(sel_Country="All",D636=sel_Country),OR(sel_Channel="All",E636=sel_Channel),OR(sel_Customer="All",F636=sel_Customer),OR(sel_Category="All",G636=sel_Category),AND(S636&gt;=m_From,S636&lt;=m_To)),1,0)</f>
        <v/>
      </c>
      <c r="AA636" s="36">
        <f>IF(AND(OR(sel_Region="All",C636=sel_Region),OR(sel_Country="All",D636=sel_Country),OR(sel_Channel="All",E636=sel_Channel),OR(sel_Customer="All",F636=sel_Customer),OR(sel_Category="All",G636=sel_Category),OR(sel_Product="All",H636=sel_Product)),1,0)</f>
        <v/>
      </c>
    </row>
    <row r="637">
      <c r="A637" s="36" t="inlineStr">
        <is>
          <t>03719</t>
        </is>
      </c>
      <c r="B637" s="44" t="n">
        <v>46133</v>
      </c>
      <c r="C637" s="36" t="inlineStr">
        <is>
          <t>Northern Europe</t>
        </is>
      </c>
      <c r="D637" s="36" t="inlineStr">
        <is>
          <t>Sweden</t>
        </is>
      </c>
      <c r="E637" s="36" t="inlineStr">
        <is>
          <t>Online Store</t>
        </is>
      </c>
      <c r="F637" s="36" t="inlineStr">
        <is>
          <t>New</t>
        </is>
      </c>
      <c r="G637" s="36" t="inlineStr">
        <is>
          <t>Fitness</t>
        </is>
      </c>
      <c r="H637" s="36" t="inlineStr">
        <is>
          <t>Recovery Roller</t>
        </is>
      </c>
      <c r="I637" s="36" t="n">
        <v>2</v>
      </c>
      <c r="J637" s="39" t="n">
        <v>35.56</v>
      </c>
      <c r="K637" s="45" t="n">
        <v>0.1</v>
      </c>
      <c r="L637" s="39" t="n">
        <v>13.85</v>
      </c>
      <c r="M637" s="39">
        <f>I637*J637*(1-K637)</f>
        <v/>
      </c>
      <c r="N637" s="39">
        <f>I637*L637</f>
        <v/>
      </c>
      <c r="O637" s="39">
        <f>M637-N637</f>
        <v/>
      </c>
      <c r="P637" s="38">
        <f>IF(M637=0,0,O637/M637)</f>
        <v/>
      </c>
      <c r="Q637" s="36">
        <f>YEAR(B637)</f>
        <v/>
      </c>
      <c r="R637" s="36">
        <f>"Q"&amp;ROUNDUP(MONTH(B637)/3,0)</f>
        <v/>
      </c>
      <c r="S637" s="36">
        <f>MONTH(B637)</f>
        <v/>
      </c>
      <c r="T637" s="36">
        <f>TEXT(B637,"mmm")</f>
        <v/>
      </c>
      <c r="U637" s="36">
        <f>IF(AND(OR(sel_Region="All",C637=sel_Region),OR(sel_Country="All",D637=sel_Country),OR(sel_Channel="All",E637=sel_Channel),OR(sel_Customer="All",F637=sel_Customer),OR(sel_Category="All",G637=sel_Category),OR(sel_Product="All",H637=sel_Product),AND(S637&gt;=m_From,S637&lt;=m_To)),1,0)</f>
        <v/>
      </c>
      <c r="V637" s="36">
        <f>IF(AND(OR(sel_Region="All",C637=sel_Region),OR(sel_Channel="All",E637=sel_Channel),OR(sel_Customer="All",F637=sel_Customer),OR(sel_Category="All",G637=sel_Category),OR(sel_Product="All",H637=sel_Product),AND(S637&gt;=m_From,S637&lt;=m_To)),1,0)</f>
        <v/>
      </c>
      <c r="W637" s="36">
        <f>IF(AND(OR(sel_Region="All",C637=sel_Region),OR(sel_Country="All",D637=sel_Country),OR(sel_Customer="All",F637=sel_Customer),OR(sel_Category="All",G637=sel_Category),OR(sel_Product="All",H637=sel_Product),AND(S637&gt;=m_From,S637&lt;=m_To)),1,0)</f>
        <v/>
      </c>
      <c r="X637" s="36">
        <f>IF(AND(OR(sel_Region="All",C637=sel_Region),OR(sel_Country="All",D637=sel_Country),OR(sel_Channel="All",E637=sel_Channel),OR(sel_Category="All",G637=sel_Category),OR(sel_Product="All",H637=sel_Product),AND(S637&gt;=m_From,S637&lt;=m_To)),1,0)</f>
        <v/>
      </c>
      <c r="Y637" s="36">
        <f>IF(AND(OR(sel_Region="All",C637=sel_Region),OR(sel_Country="All",D637=sel_Country),OR(sel_Channel="All",E637=sel_Channel),OR(sel_Customer="All",F637=sel_Customer),OR(sel_Product="All",H637=sel_Product),AND(S637&gt;=m_From,S637&lt;=m_To)),1,0)</f>
        <v/>
      </c>
      <c r="Z637" s="36">
        <f>IF(AND(OR(sel_Region="All",C637=sel_Region),OR(sel_Country="All",D637=sel_Country),OR(sel_Channel="All",E637=sel_Channel),OR(sel_Customer="All",F637=sel_Customer),OR(sel_Category="All",G637=sel_Category),AND(S637&gt;=m_From,S637&lt;=m_To)),1,0)</f>
        <v/>
      </c>
      <c r="AA637" s="36">
        <f>IF(AND(OR(sel_Region="All",C637=sel_Region),OR(sel_Country="All",D637=sel_Country),OR(sel_Channel="All",E637=sel_Channel),OR(sel_Customer="All",F637=sel_Customer),OR(sel_Category="All",G637=sel_Category),OR(sel_Product="All",H637=sel_Product)),1,0)</f>
        <v/>
      </c>
    </row>
    <row r="638">
      <c r="A638" s="36" t="inlineStr">
        <is>
          <t>03920</t>
        </is>
      </c>
      <c r="B638" s="44" t="n">
        <v>46133</v>
      </c>
      <c r="C638" s="36" t="inlineStr">
        <is>
          <t>Central Europe</t>
        </is>
      </c>
      <c r="D638" s="36" t="inlineStr">
        <is>
          <t>Switzerland</t>
        </is>
      </c>
      <c r="E638" s="36" t="inlineStr">
        <is>
          <t>Online Store</t>
        </is>
      </c>
      <c r="F638" s="36" t="inlineStr">
        <is>
          <t>Returning</t>
        </is>
      </c>
      <c r="G638" s="36" t="inlineStr">
        <is>
          <t>Cycling</t>
        </is>
      </c>
      <c r="H638" s="36" t="inlineStr">
        <is>
          <t>Cycling Pack 12L</t>
        </is>
      </c>
      <c r="I638" s="36" t="n">
        <v>2</v>
      </c>
      <c r="J638" s="39" t="n">
        <v>100.39</v>
      </c>
      <c r="K638" s="45" t="n">
        <v>0</v>
      </c>
      <c r="L638" s="39" t="n">
        <v>49.05</v>
      </c>
      <c r="M638" s="39">
        <f>I638*J638*(1-K638)</f>
        <v/>
      </c>
      <c r="N638" s="39">
        <f>I638*L638</f>
        <v/>
      </c>
      <c r="O638" s="39">
        <f>M638-N638</f>
        <v/>
      </c>
      <c r="P638" s="38">
        <f>IF(M638=0,0,O638/M638)</f>
        <v/>
      </c>
      <c r="Q638" s="36">
        <f>YEAR(B638)</f>
        <v/>
      </c>
      <c r="R638" s="36">
        <f>"Q"&amp;ROUNDUP(MONTH(B638)/3,0)</f>
        <v/>
      </c>
      <c r="S638" s="36">
        <f>MONTH(B638)</f>
        <v/>
      </c>
      <c r="T638" s="36">
        <f>TEXT(B638,"mmm")</f>
        <v/>
      </c>
      <c r="U638" s="36">
        <f>IF(AND(OR(sel_Region="All",C638=sel_Region),OR(sel_Country="All",D638=sel_Country),OR(sel_Channel="All",E638=sel_Channel),OR(sel_Customer="All",F638=sel_Customer),OR(sel_Category="All",G638=sel_Category),OR(sel_Product="All",H638=sel_Product),AND(S638&gt;=m_From,S638&lt;=m_To)),1,0)</f>
        <v/>
      </c>
      <c r="V638" s="36">
        <f>IF(AND(OR(sel_Region="All",C638=sel_Region),OR(sel_Channel="All",E638=sel_Channel),OR(sel_Customer="All",F638=sel_Customer),OR(sel_Category="All",G638=sel_Category),OR(sel_Product="All",H638=sel_Product),AND(S638&gt;=m_From,S638&lt;=m_To)),1,0)</f>
        <v/>
      </c>
      <c r="W638" s="36">
        <f>IF(AND(OR(sel_Region="All",C638=sel_Region),OR(sel_Country="All",D638=sel_Country),OR(sel_Customer="All",F638=sel_Customer),OR(sel_Category="All",G638=sel_Category),OR(sel_Product="All",H638=sel_Product),AND(S638&gt;=m_From,S638&lt;=m_To)),1,0)</f>
        <v/>
      </c>
      <c r="X638" s="36">
        <f>IF(AND(OR(sel_Region="All",C638=sel_Region),OR(sel_Country="All",D638=sel_Country),OR(sel_Channel="All",E638=sel_Channel),OR(sel_Category="All",G638=sel_Category),OR(sel_Product="All",H638=sel_Product),AND(S638&gt;=m_From,S638&lt;=m_To)),1,0)</f>
        <v/>
      </c>
      <c r="Y638" s="36">
        <f>IF(AND(OR(sel_Region="All",C638=sel_Region),OR(sel_Country="All",D638=sel_Country),OR(sel_Channel="All",E638=sel_Channel),OR(sel_Customer="All",F638=sel_Customer),OR(sel_Product="All",H638=sel_Product),AND(S638&gt;=m_From,S638&lt;=m_To)),1,0)</f>
        <v/>
      </c>
      <c r="Z638" s="36">
        <f>IF(AND(OR(sel_Region="All",C638=sel_Region),OR(sel_Country="All",D638=sel_Country),OR(sel_Channel="All",E638=sel_Channel),OR(sel_Customer="All",F638=sel_Customer),OR(sel_Category="All",G638=sel_Category),AND(S638&gt;=m_From,S638&lt;=m_To)),1,0)</f>
        <v/>
      </c>
      <c r="AA638" s="36">
        <f>IF(AND(OR(sel_Region="All",C638=sel_Region),OR(sel_Country="All",D638=sel_Country),OR(sel_Channel="All",E638=sel_Channel),OR(sel_Customer="All",F638=sel_Customer),OR(sel_Category="All",G638=sel_Category),OR(sel_Product="All",H638=sel_Product)),1,0)</f>
        <v/>
      </c>
    </row>
    <row r="639">
      <c r="A639" s="36" t="inlineStr">
        <is>
          <t>04654</t>
        </is>
      </c>
      <c r="B639" s="44" t="n">
        <v>46133</v>
      </c>
      <c r="C639" s="36" t="inlineStr">
        <is>
          <t>Southern Europe</t>
        </is>
      </c>
      <c r="D639" s="36" t="inlineStr">
        <is>
          <t>Italy</t>
        </is>
      </c>
      <c r="E639" s="36" t="inlineStr">
        <is>
          <t>Retail Partners</t>
        </is>
      </c>
      <c r="F639" s="36" t="inlineStr">
        <is>
          <t>Returning</t>
        </is>
      </c>
      <c r="G639" s="36" t="inlineStr">
        <is>
          <t>Camping</t>
        </is>
      </c>
      <c r="H639" s="36" t="inlineStr">
        <is>
          <t>Trail Tent 2P</t>
        </is>
      </c>
      <c r="I639" s="36" t="n">
        <v>2</v>
      </c>
      <c r="J639" s="39" t="n">
        <v>191.51</v>
      </c>
      <c r="K639" s="45" t="n">
        <v>0.1</v>
      </c>
      <c r="L639" s="39" t="n">
        <v>101.25</v>
      </c>
      <c r="M639" s="39">
        <f>I639*J639*(1-K639)</f>
        <v/>
      </c>
      <c r="N639" s="39">
        <f>I639*L639</f>
        <v/>
      </c>
      <c r="O639" s="39">
        <f>M639-N639</f>
        <v/>
      </c>
      <c r="P639" s="38">
        <f>IF(M639=0,0,O639/M639)</f>
        <v/>
      </c>
      <c r="Q639" s="36">
        <f>YEAR(B639)</f>
        <v/>
      </c>
      <c r="R639" s="36">
        <f>"Q"&amp;ROUNDUP(MONTH(B639)/3,0)</f>
        <v/>
      </c>
      <c r="S639" s="36">
        <f>MONTH(B639)</f>
        <v/>
      </c>
      <c r="T639" s="36">
        <f>TEXT(B639,"mmm")</f>
        <v/>
      </c>
      <c r="U639" s="36">
        <f>IF(AND(OR(sel_Region="All",C639=sel_Region),OR(sel_Country="All",D639=sel_Country),OR(sel_Channel="All",E639=sel_Channel),OR(sel_Customer="All",F639=sel_Customer),OR(sel_Category="All",G639=sel_Category),OR(sel_Product="All",H639=sel_Product),AND(S639&gt;=m_From,S639&lt;=m_To)),1,0)</f>
        <v/>
      </c>
      <c r="V639" s="36">
        <f>IF(AND(OR(sel_Region="All",C639=sel_Region),OR(sel_Channel="All",E639=sel_Channel),OR(sel_Customer="All",F639=sel_Customer),OR(sel_Category="All",G639=sel_Category),OR(sel_Product="All",H639=sel_Product),AND(S639&gt;=m_From,S639&lt;=m_To)),1,0)</f>
        <v/>
      </c>
      <c r="W639" s="36">
        <f>IF(AND(OR(sel_Region="All",C639=sel_Region),OR(sel_Country="All",D639=sel_Country),OR(sel_Customer="All",F639=sel_Customer),OR(sel_Category="All",G639=sel_Category),OR(sel_Product="All",H639=sel_Product),AND(S639&gt;=m_From,S639&lt;=m_To)),1,0)</f>
        <v/>
      </c>
      <c r="X639" s="36">
        <f>IF(AND(OR(sel_Region="All",C639=sel_Region),OR(sel_Country="All",D639=sel_Country),OR(sel_Channel="All",E639=sel_Channel),OR(sel_Category="All",G639=sel_Category),OR(sel_Product="All",H639=sel_Product),AND(S639&gt;=m_From,S639&lt;=m_To)),1,0)</f>
        <v/>
      </c>
      <c r="Y639" s="36">
        <f>IF(AND(OR(sel_Region="All",C639=sel_Region),OR(sel_Country="All",D639=sel_Country),OR(sel_Channel="All",E639=sel_Channel),OR(sel_Customer="All",F639=sel_Customer),OR(sel_Product="All",H639=sel_Product),AND(S639&gt;=m_From,S639&lt;=m_To)),1,0)</f>
        <v/>
      </c>
      <c r="Z639" s="36">
        <f>IF(AND(OR(sel_Region="All",C639=sel_Region),OR(sel_Country="All",D639=sel_Country),OR(sel_Channel="All",E639=sel_Channel),OR(sel_Customer="All",F639=sel_Customer),OR(sel_Category="All",G639=sel_Category),AND(S639&gt;=m_From,S639&lt;=m_To)),1,0)</f>
        <v/>
      </c>
      <c r="AA639" s="36">
        <f>IF(AND(OR(sel_Region="All",C639=sel_Region),OR(sel_Country="All",D639=sel_Country),OR(sel_Channel="All",E639=sel_Channel),OR(sel_Customer="All",F639=sel_Customer),OR(sel_Category="All",G639=sel_Category),OR(sel_Product="All",H639=sel_Product)),1,0)</f>
        <v/>
      </c>
    </row>
    <row r="640">
      <c r="A640" s="36" t="inlineStr">
        <is>
          <t>04920</t>
        </is>
      </c>
      <c r="B640" s="44" t="n">
        <v>46133</v>
      </c>
      <c r="C640" s="36" t="inlineStr">
        <is>
          <t>Central Europe</t>
        </is>
      </c>
      <c r="D640" s="36" t="inlineStr">
        <is>
          <t>Germany</t>
        </is>
      </c>
      <c r="E640" s="36" t="inlineStr">
        <is>
          <t>Retail Partners</t>
        </is>
      </c>
      <c r="F640" s="36" t="inlineStr">
        <is>
          <t>New</t>
        </is>
      </c>
      <c r="G640" s="36" t="inlineStr">
        <is>
          <t>Hiking</t>
        </is>
      </c>
      <c r="H640" s="36" t="inlineStr">
        <is>
          <t>Trail Boots</t>
        </is>
      </c>
      <c r="I640" s="36" t="n">
        <v>2</v>
      </c>
      <c r="J640" s="39" t="n">
        <v>147.3</v>
      </c>
      <c r="K640" s="45" t="n">
        <v>0</v>
      </c>
      <c r="L640" s="39" t="n">
        <v>81.2</v>
      </c>
      <c r="M640" s="39">
        <f>I640*J640*(1-K640)</f>
        <v/>
      </c>
      <c r="N640" s="39">
        <f>I640*L640</f>
        <v/>
      </c>
      <c r="O640" s="39">
        <f>M640-N640</f>
        <v/>
      </c>
      <c r="P640" s="38">
        <f>IF(M640=0,0,O640/M640)</f>
        <v/>
      </c>
      <c r="Q640" s="36">
        <f>YEAR(B640)</f>
        <v/>
      </c>
      <c r="R640" s="36">
        <f>"Q"&amp;ROUNDUP(MONTH(B640)/3,0)</f>
        <v/>
      </c>
      <c r="S640" s="36">
        <f>MONTH(B640)</f>
        <v/>
      </c>
      <c r="T640" s="36">
        <f>TEXT(B640,"mmm")</f>
        <v/>
      </c>
      <c r="U640" s="36">
        <f>IF(AND(OR(sel_Region="All",C640=sel_Region),OR(sel_Country="All",D640=sel_Country),OR(sel_Channel="All",E640=sel_Channel),OR(sel_Customer="All",F640=sel_Customer),OR(sel_Category="All",G640=sel_Category),OR(sel_Product="All",H640=sel_Product),AND(S640&gt;=m_From,S640&lt;=m_To)),1,0)</f>
        <v/>
      </c>
      <c r="V640" s="36">
        <f>IF(AND(OR(sel_Region="All",C640=sel_Region),OR(sel_Channel="All",E640=sel_Channel),OR(sel_Customer="All",F640=sel_Customer),OR(sel_Category="All",G640=sel_Category),OR(sel_Product="All",H640=sel_Product),AND(S640&gt;=m_From,S640&lt;=m_To)),1,0)</f>
        <v/>
      </c>
      <c r="W640" s="36">
        <f>IF(AND(OR(sel_Region="All",C640=sel_Region),OR(sel_Country="All",D640=sel_Country),OR(sel_Customer="All",F640=sel_Customer),OR(sel_Category="All",G640=sel_Category),OR(sel_Product="All",H640=sel_Product),AND(S640&gt;=m_From,S640&lt;=m_To)),1,0)</f>
        <v/>
      </c>
      <c r="X640" s="36">
        <f>IF(AND(OR(sel_Region="All",C640=sel_Region),OR(sel_Country="All",D640=sel_Country),OR(sel_Channel="All",E640=sel_Channel),OR(sel_Category="All",G640=sel_Category),OR(sel_Product="All",H640=sel_Product),AND(S640&gt;=m_From,S640&lt;=m_To)),1,0)</f>
        <v/>
      </c>
      <c r="Y640" s="36">
        <f>IF(AND(OR(sel_Region="All",C640=sel_Region),OR(sel_Country="All",D640=sel_Country),OR(sel_Channel="All",E640=sel_Channel),OR(sel_Customer="All",F640=sel_Customer),OR(sel_Product="All",H640=sel_Product),AND(S640&gt;=m_From,S640&lt;=m_To)),1,0)</f>
        <v/>
      </c>
      <c r="Z640" s="36">
        <f>IF(AND(OR(sel_Region="All",C640=sel_Region),OR(sel_Country="All",D640=sel_Country),OR(sel_Channel="All",E640=sel_Channel),OR(sel_Customer="All",F640=sel_Customer),OR(sel_Category="All",G640=sel_Category),AND(S640&gt;=m_From,S640&lt;=m_To)),1,0)</f>
        <v/>
      </c>
      <c r="AA640" s="36">
        <f>IF(AND(OR(sel_Region="All",C640=sel_Region),OR(sel_Country="All",D640=sel_Country),OR(sel_Channel="All",E640=sel_Channel),OR(sel_Customer="All",F640=sel_Customer),OR(sel_Category="All",G640=sel_Category),OR(sel_Product="All",H640=sel_Product)),1,0)</f>
        <v/>
      </c>
    </row>
    <row r="641">
      <c r="A641" s="36" t="inlineStr">
        <is>
          <t>05191</t>
        </is>
      </c>
      <c r="B641" s="44" t="n">
        <v>46133</v>
      </c>
      <c r="C641" s="36" t="inlineStr">
        <is>
          <t>Central Europe</t>
        </is>
      </c>
      <c r="D641" s="36" t="inlineStr">
        <is>
          <t>Switzerland</t>
        </is>
      </c>
      <c r="E641" s="36" t="inlineStr">
        <is>
          <t>Retail Partners</t>
        </is>
      </c>
      <c r="F641" s="36" t="inlineStr">
        <is>
          <t>Returning</t>
        </is>
      </c>
      <c r="G641" s="36" t="inlineStr">
        <is>
          <t>Cycling</t>
        </is>
      </c>
      <c r="H641" s="36" t="inlineStr">
        <is>
          <t>Commuter Helmet</t>
        </is>
      </c>
      <c r="I641" s="36" t="n">
        <v>1</v>
      </c>
      <c r="J641" s="39" t="n">
        <v>79.92</v>
      </c>
      <c r="K641" s="45" t="n">
        <v>0.1</v>
      </c>
      <c r="L641" s="39" t="n">
        <v>43.13</v>
      </c>
      <c r="M641" s="39">
        <f>I641*J641*(1-K641)</f>
        <v/>
      </c>
      <c r="N641" s="39">
        <f>I641*L641</f>
        <v/>
      </c>
      <c r="O641" s="39">
        <f>M641-N641</f>
        <v/>
      </c>
      <c r="P641" s="38">
        <f>IF(M641=0,0,O641/M641)</f>
        <v/>
      </c>
      <c r="Q641" s="36">
        <f>YEAR(B641)</f>
        <v/>
      </c>
      <c r="R641" s="36">
        <f>"Q"&amp;ROUNDUP(MONTH(B641)/3,0)</f>
        <v/>
      </c>
      <c r="S641" s="36">
        <f>MONTH(B641)</f>
        <v/>
      </c>
      <c r="T641" s="36">
        <f>TEXT(B641,"mmm")</f>
        <v/>
      </c>
      <c r="U641" s="36">
        <f>IF(AND(OR(sel_Region="All",C641=sel_Region),OR(sel_Country="All",D641=sel_Country),OR(sel_Channel="All",E641=sel_Channel),OR(sel_Customer="All",F641=sel_Customer),OR(sel_Category="All",G641=sel_Category),OR(sel_Product="All",H641=sel_Product),AND(S641&gt;=m_From,S641&lt;=m_To)),1,0)</f>
        <v/>
      </c>
      <c r="V641" s="36">
        <f>IF(AND(OR(sel_Region="All",C641=sel_Region),OR(sel_Channel="All",E641=sel_Channel),OR(sel_Customer="All",F641=sel_Customer),OR(sel_Category="All",G641=sel_Category),OR(sel_Product="All",H641=sel_Product),AND(S641&gt;=m_From,S641&lt;=m_To)),1,0)</f>
        <v/>
      </c>
      <c r="W641" s="36">
        <f>IF(AND(OR(sel_Region="All",C641=sel_Region),OR(sel_Country="All",D641=sel_Country),OR(sel_Customer="All",F641=sel_Customer),OR(sel_Category="All",G641=sel_Category),OR(sel_Product="All",H641=sel_Product),AND(S641&gt;=m_From,S641&lt;=m_To)),1,0)</f>
        <v/>
      </c>
      <c r="X641" s="36">
        <f>IF(AND(OR(sel_Region="All",C641=sel_Region),OR(sel_Country="All",D641=sel_Country),OR(sel_Channel="All",E641=sel_Channel),OR(sel_Category="All",G641=sel_Category),OR(sel_Product="All",H641=sel_Product),AND(S641&gt;=m_From,S641&lt;=m_To)),1,0)</f>
        <v/>
      </c>
      <c r="Y641" s="36">
        <f>IF(AND(OR(sel_Region="All",C641=sel_Region),OR(sel_Country="All",D641=sel_Country),OR(sel_Channel="All",E641=sel_Channel),OR(sel_Customer="All",F641=sel_Customer),OR(sel_Product="All",H641=sel_Product),AND(S641&gt;=m_From,S641&lt;=m_To)),1,0)</f>
        <v/>
      </c>
      <c r="Z641" s="36">
        <f>IF(AND(OR(sel_Region="All",C641=sel_Region),OR(sel_Country="All",D641=sel_Country),OR(sel_Channel="All",E641=sel_Channel),OR(sel_Customer="All",F641=sel_Customer),OR(sel_Category="All",G641=sel_Category),AND(S641&gt;=m_From,S641&lt;=m_To)),1,0)</f>
        <v/>
      </c>
      <c r="AA641" s="36">
        <f>IF(AND(OR(sel_Region="All",C641=sel_Region),OR(sel_Country="All",D641=sel_Country),OR(sel_Channel="All",E641=sel_Channel),OR(sel_Customer="All",F641=sel_Customer),OR(sel_Category="All",G641=sel_Category),OR(sel_Product="All",H641=sel_Product)),1,0)</f>
        <v/>
      </c>
    </row>
    <row r="642">
      <c r="A642" s="36" t="inlineStr">
        <is>
          <t>00413</t>
        </is>
      </c>
      <c r="B642" s="44" t="n">
        <v>46134</v>
      </c>
      <c r="C642" s="36" t="inlineStr">
        <is>
          <t>Central Europe</t>
        </is>
      </c>
      <c r="D642" s="36" t="inlineStr">
        <is>
          <t>Czechia</t>
        </is>
      </c>
      <c r="E642" s="36" t="inlineStr">
        <is>
          <t>Online Store</t>
        </is>
      </c>
      <c r="F642" s="36" t="inlineStr">
        <is>
          <t>Returning</t>
        </is>
      </c>
      <c r="G642" s="36" t="inlineStr">
        <is>
          <t>Camping</t>
        </is>
      </c>
      <c r="H642" s="36" t="inlineStr">
        <is>
          <t>Alpine Tent 4P</t>
        </is>
      </c>
      <c r="I642" s="36" t="n">
        <v>2</v>
      </c>
      <c r="J642" s="39" t="n">
        <v>344.29</v>
      </c>
      <c r="K642" s="45" t="n">
        <v>0.1</v>
      </c>
      <c r="L642" s="39" t="n">
        <v>192.66</v>
      </c>
      <c r="M642" s="39">
        <f>I642*J642*(1-K642)</f>
        <v/>
      </c>
      <c r="N642" s="39">
        <f>I642*L642</f>
        <v/>
      </c>
      <c r="O642" s="39">
        <f>M642-N642</f>
        <v/>
      </c>
      <c r="P642" s="38">
        <f>IF(M642=0,0,O642/M642)</f>
        <v/>
      </c>
      <c r="Q642" s="36">
        <f>YEAR(B642)</f>
        <v/>
      </c>
      <c r="R642" s="36">
        <f>"Q"&amp;ROUNDUP(MONTH(B642)/3,0)</f>
        <v/>
      </c>
      <c r="S642" s="36">
        <f>MONTH(B642)</f>
        <v/>
      </c>
      <c r="T642" s="36">
        <f>TEXT(B642,"mmm")</f>
        <v/>
      </c>
      <c r="U642" s="36">
        <f>IF(AND(OR(sel_Region="All",C642=sel_Region),OR(sel_Country="All",D642=sel_Country),OR(sel_Channel="All",E642=sel_Channel),OR(sel_Customer="All",F642=sel_Customer),OR(sel_Category="All",G642=sel_Category),OR(sel_Product="All",H642=sel_Product),AND(S642&gt;=m_From,S642&lt;=m_To)),1,0)</f>
        <v/>
      </c>
      <c r="V642" s="36">
        <f>IF(AND(OR(sel_Region="All",C642=sel_Region),OR(sel_Channel="All",E642=sel_Channel),OR(sel_Customer="All",F642=sel_Customer),OR(sel_Category="All",G642=sel_Category),OR(sel_Product="All",H642=sel_Product),AND(S642&gt;=m_From,S642&lt;=m_To)),1,0)</f>
        <v/>
      </c>
      <c r="W642" s="36">
        <f>IF(AND(OR(sel_Region="All",C642=sel_Region),OR(sel_Country="All",D642=sel_Country),OR(sel_Customer="All",F642=sel_Customer),OR(sel_Category="All",G642=sel_Category),OR(sel_Product="All",H642=sel_Product),AND(S642&gt;=m_From,S642&lt;=m_To)),1,0)</f>
        <v/>
      </c>
      <c r="X642" s="36">
        <f>IF(AND(OR(sel_Region="All",C642=sel_Region),OR(sel_Country="All",D642=sel_Country),OR(sel_Channel="All",E642=sel_Channel),OR(sel_Category="All",G642=sel_Category),OR(sel_Product="All",H642=sel_Product),AND(S642&gt;=m_From,S642&lt;=m_To)),1,0)</f>
        <v/>
      </c>
      <c r="Y642" s="36">
        <f>IF(AND(OR(sel_Region="All",C642=sel_Region),OR(sel_Country="All",D642=sel_Country),OR(sel_Channel="All",E642=sel_Channel),OR(sel_Customer="All",F642=sel_Customer),OR(sel_Product="All",H642=sel_Product),AND(S642&gt;=m_From,S642&lt;=m_To)),1,0)</f>
        <v/>
      </c>
      <c r="Z642" s="36">
        <f>IF(AND(OR(sel_Region="All",C642=sel_Region),OR(sel_Country="All",D642=sel_Country),OR(sel_Channel="All",E642=sel_Channel),OR(sel_Customer="All",F642=sel_Customer),OR(sel_Category="All",G642=sel_Category),AND(S642&gt;=m_From,S642&lt;=m_To)),1,0)</f>
        <v/>
      </c>
      <c r="AA642" s="36">
        <f>IF(AND(OR(sel_Region="All",C642=sel_Region),OR(sel_Country="All",D642=sel_Country),OR(sel_Channel="All",E642=sel_Channel),OR(sel_Customer="All",F642=sel_Customer),OR(sel_Category="All",G642=sel_Category),OR(sel_Product="All",H642=sel_Product)),1,0)</f>
        <v/>
      </c>
    </row>
    <row r="643">
      <c r="A643" s="36" t="inlineStr">
        <is>
          <t>01658</t>
        </is>
      </c>
      <c r="B643" s="44" t="n">
        <v>46134</v>
      </c>
      <c r="C643" s="36" t="inlineStr">
        <is>
          <t>Northern Europe</t>
        </is>
      </c>
      <c r="D643" s="36" t="inlineStr">
        <is>
          <t>Denmark</t>
        </is>
      </c>
      <c r="E643" s="36" t="inlineStr">
        <is>
          <t>Online Store</t>
        </is>
      </c>
      <c r="F643" s="36" t="inlineStr">
        <is>
          <t>Returning</t>
        </is>
      </c>
      <c r="G643" s="36" t="inlineStr">
        <is>
          <t>Hiking</t>
        </is>
      </c>
      <c r="H643" s="36" t="inlineStr">
        <is>
          <t>Summit Backpack 45L</t>
        </is>
      </c>
      <c r="I643" s="36" t="n">
        <v>1</v>
      </c>
      <c r="J643" s="39" t="n">
        <v>151.15</v>
      </c>
      <c r="K643" s="45" t="n">
        <v>0</v>
      </c>
      <c r="L643" s="39" t="n">
        <v>77.68000000000001</v>
      </c>
      <c r="M643" s="39">
        <f>I643*J643*(1-K643)</f>
        <v/>
      </c>
      <c r="N643" s="39">
        <f>I643*L643</f>
        <v/>
      </c>
      <c r="O643" s="39">
        <f>M643-N643</f>
        <v/>
      </c>
      <c r="P643" s="38">
        <f>IF(M643=0,0,O643/M643)</f>
        <v/>
      </c>
      <c r="Q643" s="36">
        <f>YEAR(B643)</f>
        <v/>
      </c>
      <c r="R643" s="36">
        <f>"Q"&amp;ROUNDUP(MONTH(B643)/3,0)</f>
        <v/>
      </c>
      <c r="S643" s="36">
        <f>MONTH(B643)</f>
        <v/>
      </c>
      <c r="T643" s="36">
        <f>TEXT(B643,"mmm")</f>
        <v/>
      </c>
      <c r="U643" s="36">
        <f>IF(AND(OR(sel_Region="All",C643=sel_Region),OR(sel_Country="All",D643=sel_Country),OR(sel_Channel="All",E643=sel_Channel),OR(sel_Customer="All",F643=sel_Customer),OR(sel_Category="All",G643=sel_Category),OR(sel_Product="All",H643=sel_Product),AND(S643&gt;=m_From,S643&lt;=m_To)),1,0)</f>
        <v/>
      </c>
      <c r="V643" s="36">
        <f>IF(AND(OR(sel_Region="All",C643=sel_Region),OR(sel_Channel="All",E643=sel_Channel),OR(sel_Customer="All",F643=sel_Customer),OR(sel_Category="All",G643=sel_Category),OR(sel_Product="All",H643=sel_Product),AND(S643&gt;=m_From,S643&lt;=m_To)),1,0)</f>
        <v/>
      </c>
      <c r="W643" s="36">
        <f>IF(AND(OR(sel_Region="All",C643=sel_Region),OR(sel_Country="All",D643=sel_Country),OR(sel_Customer="All",F643=sel_Customer),OR(sel_Category="All",G643=sel_Category),OR(sel_Product="All",H643=sel_Product),AND(S643&gt;=m_From,S643&lt;=m_To)),1,0)</f>
        <v/>
      </c>
      <c r="X643" s="36">
        <f>IF(AND(OR(sel_Region="All",C643=sel_Region),OR(sel_Country="All",D643=sel_Country),OR(sel_Channel="All",E643=sel_Channel),OR(sel_Category="All",G643=sel_Category),OR(sel_Product="All",H643=sel_Product),AND(S643&gt;=m_From,S643&lt;=m_To)),1,0)</f>
        <v/>
      </c>
      <c r="Y643" s="36">
        <f>IF(AND(OR(sel_Region="All",C643=sel_Region),OR(sel_Country="All",D643=sel_Country),OR(sel_Channel="All",E643=sel_Channel),OR(sel_Customer="All",F643=sel_Customer),OR(sel_Product="All",H643=sel_Product),AND(S643&gt;=m_From,S643&lt;=m_To)),1,0)</f>
        <v/>
      </c>
      <c r="Z643" s="36">
        <f>IF(AND(OR(sel_Region="All",C643=sel_Region),OR(sel_Country="All",D643=sel_Country),OR(sel_Channel="All",E643=sel_Channel),OR(sel_Customer="All",F643=sel_Customer),OR(sel_Category="All",G643=sel_Category),AND(S643&gt;=m_From,S643&lt;=m_To)),1,0)</f>
        <v/>
      </c>
      <c r="AA643" s="36">
        <f>IF(AND(OR(sel_Region="All",C643=sel_Region),OR(sel_Country="All",D643=sel_Country),OR(sel_Channel="All",E643=sel_Channel),OR(sel_Customer="All",F643=sel_Customer),OR(sel_Category="All",G643=sel_Category),OR(sel_Product="All",H643=sel_Product)),1,0)</f>
        <v/>
      </c>
    </row>
    <row r="644">
      <c r="A644" s="36" t="inlineStr">
        <is>
          <t>02024</t>
        </is>
      </c>
      <c r="B644" s="44" t="n">
        <v>46134</v>
      </c>
      <c r="C644" s="36" t="inlineStr">
        <is>
          <t>Central Europe</t>
        </is>
      </c>
      <c r="D644" s="36" t="inlineStr">
        <is>
          <t>Austria</t>
        </is>
      </c>
      <c r="E644" s="36" t="inlineStr">
        <is>
          <t>Retail Partners</t>
        </is>
      </c>
      <c r="F644" s="36" t="inlineStr">
        <is>
          <t>New</t>
        </is>
      </c>
      <c r="G644" s="36" t="inlineStr">
        <is>
          <t>Camping</t>
        </is>
      </c>
      <c r="H644" s="36" t="inlineStr">
        <is>
          <t>Portable Camp Stove</t>
        </is>
      </c>
      <c r="I644" s="36" t="n">
        <v>1</v>
      </c>
      <c r="J644" s="39" t="n">
        <v>81.73</v>
      </c>
      <c r="K644" s="45" t="n">
        <v>0.05</v>
      </c>
      <c r="L644" s="39" t="n">
        <v>39.98</v>
      </c>
      <c r="M644" s="39">
        <f>I644*J644*(1-K644)</f>
        <v/>
      </c>
      <c r="N644" s="39">
        <f>I644*L644</f>
        <v/>
      </c>
      <c r="O644" s="39">
        <f>M644-N644</f>
        <v/>
      </c>
      <c r="P644" s="38">
        <f>IF(M644=0,0,O644/M644)</f>
        <v/>
      </c>
      <c r="Q644" s="36">
        <f>YEAR(B644)</f>
        <v/>
      </c>
      <c r="R644" s="36">
        <f>"Q"&amp;ROUNDUP(MONTH(B644)/3,0)</f>
        <v/>
      </c>
      <c r="S644" s="36">
        <f>MONTH(B644)</f>
        <v/>
      </c>
      <c r="T644" s="36">
        <f>TEXT(B644,"mmm")</f>
        <v/>
      </c>
      <c r="U644" s="36">
        <f>IF(AND(OR(sel_Region="All",C644=sel_Region),OR(sel_Country="All",D644=sel_Country),OR(sel_Channel="All",E644=sel_Channel),OR(sel_Customer="All",F644=sel_Customer),OR(sel_Category="All",G644=sel_Category),OR(sel_Product="All",H644=sel_Product),AND(S644&gt;=m_From,S644&lt;=m_To)),1,0)</f>
        <v/>
      </c>
      <c r="V644" s="36">
        <f>IF(AND(OR(sel_Region="All",C644=sel_Region),OR(sel_Channel="All",E644=sel_Channel),OR(sel_Customer="All",F644=sel_Customer),OR(sel_Category="All",G644=sel_Category),OR(sel_Product="All",H644=sel_Product),AND(S644&gt;=m_From,S644&lt;=m_To)),1,0)</f>
        <v/>
      </c>
      <c r="W644" s="36">
        <f>IF(AND(OR(sel_Region="All",C644=sel_Region),OR(sel_Country="All",D644=sel_Country),OR(sel_Customer="All",F644=sel_Customer),OR(sel_Category="All",G644=sel_Category),OR(sel_Product="All",H644=sel_Product),AND(S644&gt;=m_From,S644&lt;=m_To)),1,0)</f>
        <v/>
      </c>
      <c r="X644" s="36">
        <f>IF(AND(OR(sel_Region="All",C644=sel_Region),OR(sel_Country="All",D644=sel_Country),OR(sel_Channel="All",E644=sel_Channel),OR(sel_Category="All",G644=sel_Category),OR(sel_Product="All",H644=sel_Product),AND(S644&gt;=m_From,S644&lt;=m_To)),1,0)</f>
        <v/>
      </c>
      <c r="Y644" s="36">
        <f>IF(AND(OR(sel_Region="All",C644=sel_Region),OR(sel_Country="All",D644=sel_Country),OR(sel_Channel="All",E644=sel_Channel),OR(sel_Customer="All",F644=sel_Customer),OR(sel_Product="All",H644=sel_Product),AND(S644&gt;=m_From,S644&lt;=m_To)),1,0)</f>
        <v/>
      </c>
      <c r="Z644" s="36">
        <f>IF(AND(OR(sel_Region="All",C644=sel_Region),OR(sel_Country="All",D644=sel_Country),OR(sel_Channel="All",E644=sel_Channel),OR(sel_Customer="All",F644=sel_Customer),OR(sel_Category="All",G644=sel_Category),AND(S644&gt;=m_From,S644&lt;=m_To)),1,0)</f>
        <v/>
      </c>
      <c r="AA644" s="36">
        <f>IF(AND(OR(sel_Region="All",C644=sel_Region),OR(sel_Country="All",D644=sel_Country),OR(sel_Channel="All",E644=sel_Channel),OR(sel_Customer="All",F644=sel_Customer),OR(sel_Category="All",G644=sel_Category),OR(sel_Product="All",H644=sel_Product)),1,0)</f>
        <v/>
      </c>
    </row>
    <row r="645">
      <c r="A645" s="36" t="inlineStr">
        <is>
          <t>03980</t>
        </is>
      </c>
      <c r="B645" s="44" t="n">
        <v>46134</v>
      </c>
      <c r="C645" s="36" t="inlineStr">
        <is>
          <t>Western Europe</t>
        </is>
      </c>
      <c r="D645" s="36" t="inlineStr">
        <is>
          <t>Belgium</t>
        </is>
      </c>
      <c r="E645" s="36" t="inlineStr">
        <is>
          <t>Retail Partners</t>
        </is>
      </c>
      <c r="F645" s="36" t="inlineStr">
        <is>
          <t>New</t>
        </is>
      </c>
      <c r="G645" s="36" t="inlineStr">
        <is>
          <t>Hiking</t>
        </is>
      </c>
      <c r="H645" s="36" t="inlineStr">
        <is>
          <t>Trail Boots</t>
        </is>
      </c>
      <c r="I645" s="36" t="n">
        <v>1</v>
      </c>
      <c r="J645" s="39" t="n">
        <v>142.53</v>
      </c>
      <c r="K645" s="45" t="n">
        <v>0.05</v>
      </c>
      <c r="L645" s="39" t="n">
        <v>77.77</v>
      </c>
      <c r="M645" s="39">
        <f>I645*J645*(1-K645)</f>
        <v/>
      </c>
      <c r="N645" s="39">
        <f>I645*L645</f>
        <v/>
      </c>
      <c r="O645" s="39">
        <f>M645-N645</f>
        <v/>
      </c>
      <c r="P645" s="38">
        <f>IF(M645=0,0,O645/M645)</f>
        <v/>
      </c>
      <c r="Q645" s="36">
        <f>YEAR(B645)</f>
        <v/>
      </c>
      <c r="R645" s="36">
        <f>"Q"&amp;ROUNDUP(MONTH(B645)/3,0)</f>
        <v/>
      </c>
      <c r="S645" s="36">
        <f>MONTH(B645)</f>
        <v/>
      </c>
      <c r="T645" s="36">
        <f>TEXT(B645,"mmm")</f>
        <v/>
      </c>
      <c r="U645" s="36">
        <f>IF(AND(OR(sel_Region="All",C645=sel_Region),OR(sel_Country="All",D645=sel_Country),OR(sel_Channel="All",E645=sel_Channel),OR(sel_Customer="All",F645=sel_Customer),OR(sel_Category="All",G645=sel_Category),OR(sel_Product="All",H645=sel_Product),AND(S645&gt;=m_From,S645&lt;=m_To)),1,0)</f>
        <v/>
      </c>
      <c r="V645" s="36">
        <f>IF(AND(OR(sel_Region="All",C645=sel_Region),OR(sel_Channel="All",E645=sel_Channel),OR(sel_Customer="All",F645=sel_Customer),OR(sel_Category="All",G645=sel_Category),OR(sel_Product="All",H645=sel_Product),AND(S645&gt;=m_From,S645&lt;=m_To)),1,0)</f>
        <v/>
      </c>
      <c r="W645" s="36">
        <f>IF(AND(OR(sel_Region="All",C645=sel_Region),OR(sel_Country="All",D645=sel_Country),OR(sel_Customer="All",F645=sel_Customer),OR(sel_Category="All",G645=sel_Category),OR(sel_Product="All",H645=sel_Product),AND(S645&gt;=m_From,S645&lt;=m_To)),1,0)</f>
        <v/>
      </c>
      <c r="X645" s="36">
        <f>IF(AND(OR(sel_Region="All",C645=sel_Region),OR(sel_Country="All",D645=sel_Country),OR(sel_Channel="All",E645=sel_Channel),OR(sel_Category="All",G645=sel_Category),OR(sel_Product="All",H645=sel_Product),AND(S645&gt;=m_From,S645&lt;=m_To)),1,0)</f>
        <v/>
      </c>
      <c r="Y645" s="36">
        <f>IF(AND(OR(sel_Region="All",C645=sel_Region),OR(sel_Country="All",D645=sel_Country),OR(sel_Channel="All",E645=sel_Channel),OR(sel_Customer="All",F645=sel_Customer),OR(sel_Product="All",H645=sel_Product),AND(S645&gt;=m_From,S645&lt;=m_To)),1,0)</f>
        <v/>
      </c>
      <c r="Z645" s="36">
        <f>IF(AND(OR(sel_Region="All",C645=sel_Region),OR(sel_Country="All",D645=sel_Country),OR(sel_Channel="All",E645=sel_Channel),OR(sel_Customer="All",F645=sel_Customer),OR(sel_Category="All",G645=sel_Category),AND(S645&gt;=m_From,S645&lt;=m_To)),1,0)</f>
        <v/>
      </c>
      <c r="AA645" s="36">
        <f>IF(AND(OR(sel_Region="All",C645=sel_Region),OR(sel_Country="All",D645=sel_Country),OR(sel_Channel="All",E645=sel_Channel),OR(sel_Customer="All",F645=sel_Customer),OR(sel_Category="All",G645=sel_Category),OR(sel_Product="All",H645=sel_Product)),1,0)</f>
        <v/>
      </c>
    </row>
    <row r="646">
      <c r="A646" s="36" t="inlineStr">
        <is>
          <t>04239</t>
        </is>
      </c>
      <c r="B646" s="44" t="n">
        <v>46134</v>
      </c>
      <c r="C646" s="36" t="inlineStr">
        <is>
          <t>Central Europe</t>
        </is>
      </c>
      <c r="D646" s="36" t="inlineStr">
        <is>
          <t>Czechia</t>
        </is>
      </c>
      <c r="E646" s="36" t="inlineStr">
        <is>
          <t>Online Store</t>
        </is>
      </c>
      <c r="F646" s="36" t="inlineStr">
        <is>
          <t>New</t>
        </is>
      </c>
      <c r="G646" s="36" t="inlineStr">
        <is>
          <t>Camping</t>
        </is>
      </c>
      <c r="H646" s="36" t="inlineStr">
        <is>
          <t>Portable Camp Stove</t>
        </is>
      </c>
      <c r="I646" s="36" t="n">
        <v>2</v>
      </c>
      <c r="J646" s="39" t="n">
        <v>83.23999999999999</v>
      </c>
      <c r="K646" s="45" t="n">
        <v>0</v>
      </c>
      <c r="L646" s="39" t="n">
        <v>40.03</v>
      </c>
      <c r="M646" s="39">
        <f>I646*J646*(1-K646)</f>
        <v/>
      </c>
      <c r="N646" s="39">
        <f>I646*L646</f>
        <v/>
      </c>
      <c r="O646" s="39">
        <f>M646-N646</f>
        <v/>
      </c>
      <c r="P646" s="38">
        <f>IF(M646=0,0,O646/M646)</f>
        <v/>
      </c>
      <c r="Q646" s="36">
        <f>YEAR(B646)</f>
        <v/>
      </c>
      <c r="R646" s="36">
        <f>"Q"&amp;ROUNDUP(MONTH(B646)/3,0)</f>
        <v/>
      </c>
      <c r="S646" s="36">
        <f>MONTH(B646)</f>
        <v/>
      </c>
      <c r="T646" s="36">
        <f>TEXT(B646,"mmm")</f>
        <v/>
      </c>
      <c r="U646" s="36">
        <f>IF(AND(OR(sel_Region="All",C646=sel_Region),OR(sel_Country="All",D646=sel_Country),OR(sel_Channel="All",E646=sel_Channel),OR(sel_Customer="All",F646=sel_Customer),OR(sel_Category="All",G646=sel_Category),OR(sel_Product="All",H646=sel_Product),AND(S646&gt;=m_From,S646&lt;=m_To)),1,0)</f>
        <v/>
      </c>
      <c r="V646" s="36">
        <f>IF(AND(OR(sel_Region="All",C646=sel_Region),OR(sel_Channel="All",E646=sel_Channel),OR(sel_Customer="All",F646=sel_Customer),OR(sel_Category="All",G646=sel_Category),OR(sel_Product="All",H646=sel_Product),AND(S646&gt;=m_From,S646&lt;=m_To)),1,0)</f>
        <v/>
      </c>
      <c r="W646" s="36">
        <f>IF(AND(OR(sel_Region="All",C646=sel_Region),OR(sel_Country="All",D646=sel_Country),OR(sel_Customer="All",F646=sel_Customer),OR(sel_Category="All",G646=sel_Category),OR(sel_Product="All",H646=sel_Product),AND(S646&gt;=m_From,S646&lt;=m_To)),1,0)</f>
        <v/>
      </c>
      <c r="X646" s="36">
        <f>IF(AND(OR(sel_Region="All",C646=sel_Region),OR(sel_Country="All",D646=sel_Country),OR(sel_Channel="All",E646=sel_Channel),OR(sel_Category="All",G646=sel_Category),OR(sel_Product="All",H646=sel_Product),AND(S646&gt;=m_From,S646&lt;=m_To)),1,0)</f>
        <v/>
      </c>
      <c r="Y646" s="36">
        <f>IF(AND(OR(sel_Region="All",C646=sel_Region),OR(sel_Country="All",D646=sel_Country),OR(sel_Channel="All",E646=sel_Channel),OR(sel_Customer="All",F646=sel_Customer),OR(sel_Product="All",H646=sel_Product),AND(S646&gt;=m_From,S646&lt;=m_To)),1,0)</f>
        <v/>
      </c>
      <c r="Z646" s="36">
        <f>IF(AND(OR(sel_Region="All",C646=sel_Region),OR(sel_Country="All",D646=sel_Country),OR(sel_Channel="All",E646=sel_Channel),OR(sel_Customer="All",F646=sel_Customer),OR(sel_Category="All",G646=sel_Category),AND(S646&gt;=m_From,S646&lt;=m_To)),1,0)</f>
        <v/>
      </c>
      <c r="AA646" s="36">
        <f>IF(AND(OR(sel_Region="All",C646=sel_Region),OR(sel_Country="All",D646=sel_Country),OR(sel_Channel="All",E646=sel_Channel),OR(sel_Customer="All",F646=sel_Customer),OR(sel_Category="All",G646=sel_Category),OR(sel_Product="All",H646=sel_Product)),1,0)</f>
        <v/>
      </c>
    </row>
    <row r="647">
      <c r="A647" s="36" t="inlineStr">
        <is>
          <t>04761</t>
        </is>
      </c>
      <c r="B647" s="44" t="n">
        <v>46134</v>
      </c>
      <c r="C647" s="36" t="inlineStr">
        <is>
          <t>Southern Europe</t>
        </is>
      </c>
      <c r="D647" s="36" t="inlineStr">
        <is>
          <t>Spain</t>
        </is>
      </c>
      <c r="E647" s="36" t="inlineStr">
        <is>
          <t>Marketplace</t>
        </is>
      </c>
      <c r="F647" s="36" t="inlineStr">
        <is>
          <t>New</t>
        </is>
      </c>
      <c r="G647" s="36" t="inlineStr">
        <is>
          <t>Hiking</t>
        </is>
      </c>
      <c r="H647" s="36" t="inlineStr">
        <is>
          <t>Trail Boots</t>
        </is>
      </c>
      <c r="I647" s="36" t="n">
        <v>1</v>
      </c>
      <c r="J647" s="39" t="n">
        <v>141.99</v>
      </c>
      <c r="K647" s="45" t="n">
        <v>0.05</v>
      </c>
      <c r="L647" s="39" t="n">
        <v>79.7</v>
      </c>
      <c r="M647" s="39">
        <f>I647*J647*(1-K647)</f>
        <v/>
      </c>
      <c r="N647" s="39">
        <f>I647*L647</f>
        <v/>
      </c>
      <c r="O647" s="39">
        <f>M647-N647</f>
        <v/>
      </c>
      <c r="P647" s="38">
        <f>IF(M647=0,0,O647/M647)</f>
        <v/>
      </c>
      <c r="Q647" s="36">
        <f>YEAR(B647)</f>
        <v/>
      </c>
      <c r="R647" s="36">
        <f>"Q"&amp;ROUNDUP(MONTH(B647)/3,0)</f>
        <v/>
      </c>
      <c r="S647" s="36">
        <f>MONTH(B647)</f>
        <v/>
      </c>
      <c r="T647" s="36">
        <f>TEXT(B647,"mmm")</f>
        <v/>
      </c>
      <c r="U647" s="36">
        <f>IF(AND(OR(sel_Region="All",C647=sel_Region),OR(sel_Country="All",D647=sel_Country),OR(sel_Channel="All",E647=sel_Channel),OR(sel_Customer="All",F647=sel_Customer),OR(sel_Category="All",G647=sel_Category),OR(sel_Product="All",H647=sel_Product),AND(S647&gt;=m_From,S647&lt;=m_To)),1,0)</f>
        <v/>
      </c>
      <c r="V647" s="36">
        <f>IF(AND(OR(sel_Region="All",C647=sel_Region),OR(sel_Channel="All",E647=sel_Channel),OR(sel_Customer="All",F647=sel_Customer),OR(sel_Category="All",G647=sel_Category),OR(sel_Product="All",H647=sel_Product),AND(S647&gt;=m_From,S647&lt;=m_To)),1,0)</f>
        <v/>
      </c>
      <c r="W647" s="36">
        <f>IF(AND(OR(sel_Region="All",C647=sel_Region),OR(sel_Country="All",D647=sel_Country),OR(sel_Customer="All",F647=sel_Customer),OR(sel_Category="All",G647=sel_Category),OR(sel_Product="All",H647=sel_Product),AND(S647&gt;=m_From,S647&lt;=m_To)),1,0)</f>
        <v/>
      </c>
      <c r="X647" s="36">
        <f>IF(AND(OR(sel_Region="All",C647=sel_Region),OR(sel_Country="All",D647=sel_Country),OR(sel_Channel="All",E647=sel_Channel),OR(sel_Category="All",G647=sel_Category),OR(sel_Product="All",H647=sel_Product),AND(S647&gt;=m_From,S647&lt;=m_To)),1,0)</f>
        <v/>
      </c>
      <c r="Y647" s="36">
        <f>IF(AND(OR(sel_Region="All",C647=sel_Region),OR(sel_Country="All",D647=sel_Country),OR(sel_Channel="All",E647=sel_Channel),OR(sel_Customer="All",F647=sel_Customer),OR(sel_Product="All",H647=sel_Product),AND(S647&gt;=m_From,S647&lt;=m_To)),1,0)</f>
        <v/>
      </c>
      <c r="Z647" s="36">
        <f>IF(AND(OR(sel_Region="All",C647=sel_Region),OR(sel_Country="All",D647=sel_Country),OR(sel_Channel="All",E647=sel_Channel),OR(sel_Customer="All",F647=sel_Customer),OR(sel_Category="All",G647=sel_Category),AND(S647&gt;=m_From,S647&lt;=m_To)),1,0)</f>
        <v/>
      </c>
      <c r="AA647" s="36">
        <f>IF(AND(OR(sel_Region="All",C647=sel_Region),OR(sel_Country="All",D647=sel_Country),OR(sel_Channel="All",E647=sel_Channel),OR(sel_Customer="All",F647=sel_Customer),OR(sel_Category="All",G647=sel_Category),OR(sel_Product="All",H647=sel_Product)),1,0)</f>
        <v/>
      </c>
    </row>
    <row r="648">
      <c r="A648" s="36" t="inlineStr">
        <is>
          <t>05160</t>
        </is>
      </c>
      <c r="B648" s="44" t="n">
        <v>46134</v>
      </c>
      <c r="C648" s="36" t="inlineStr">
        <is>
          <t>Central Europe</t>
        </is>
      </c>
      <c r="D648" s="36" t="inlineStr">
        <is>
          <t>Germany</t>
        </is>
      </c>
      <c r="E648" s="36" t="inlineStr">
        <is>
          <t>Online Store</t>
        </is>
      </c>
      <c r="F648" s="36" t="inlineStr">
        <is>
          <t>New</t>
        </is>
      </c>
      <c r="G648" s="36" t="inlineStr">
        <is>
          <t>Fitness</t>
        </is>
      </c>
      <c r="H648" s="36" t="inlineStr">
        <is>
          <t>Recovery Roller</t>
        </is>
      </c>
      <c r="I648" s="36" t="n">
        <v>2</v>
      </c>
      <c r="J648" s="39" t="n">
        <v>35.94</v>
      </c>
      <c r="K648" s="45" t="n">
        <v>0.05</v>
      </c>
      <c r="L648" s="39" t="n">
        <v>14.17</v>
      </c>
      <c r="M648" s="39">
        <f>I648*J648*(1-K648)</f>
        <v/>
      </c>
      <c r="N648" s="39">
        <f>I648*L648</f>
        <v/>
      </c>
      <c r="O648" s="39">
        <f>M648-N648</f>
        <v/>
      </c>
      <c r="P648" s="38">
        <f>IF(M648=0,0,O648/M648)</f>
        <v/>
      </c>
      <c r="Q648" s="36">
        <f>YEAR(B648)</f>
        <v/>
      </c>
      <c r="R648" s="36">
        <f>"Q"&amp;ROUNDUP(MONTH(B648)/3,0)</f>
        <v/>
      </c>
      <c r="S648" s="36">
        <f>MONTH(B648)</f>
        <v/>
      </c>
      <c r="T648" s="36">
        <f>TEXT(B648,"mmm")</f>
        <v/>
      </c>
      <c r="U648" s="36">
        <f>IF(AND(OR(sel_Region="All",C648=sel_Region),OR(sel_Country="All",D648=sel_Country),OR(sel_Channel="All",E648=sel_Channel),OR(sel_Customer="All",F648=sel_Customer),OR(sel_Category="All",G648=sel_Category),OR(sel_Product="All",H648=sel_Product),AND(S648&gt;=m_From,S648&lt;=m_To)),1,0)</f>
        <v/>
      </c>
      <c r="V648" s="36">
        <f>IF(AND(OR(sel_Region="All",C648=sel_Region),OR(sel_Channel="All",E648=sel_Channel),OR(sel_Customer="All",F648=sel_Customer),OR(sel_Category="All",G648=sel_Category),OR(sel_Product="All",H648=sel_Product),AND(S648&gt;=m_From,S648&lt;=m_To)),1,0)</f>
        <v/>
      </c>
      <c r="W648" s="36">
        <f>IF(AND(OR(sel_Region="All",C648=sel_Region),OR(sel_Country="All",D648=sel_Country),OR(sel_Customer="All",F648=sel_Customer),OR(sel_Category="All",G648=sel_Category),OR(sel_Product="All",H648=sel_Product),AND(S648&gt;=m_From,S648&lt;=m_To)),1,0)</f>
        <v/>
      </c>
      <c r="X648" s="36">
        <f>IF(AND(OR(sel_Region="All",C648=sel_Region),OR(sel_Country="All",D648=sel_Country),OR(sel_Channel="All",E648=sel_Channel),OR(sel_Category="All",G648=sel_Category),OR(sel_Product="All",H648=sel_Product),AND(S648&gt;=m_From,S648&lt;=m_To)),1,0)</f>
        <v/>
      </c>
      <c r="Y648" s="36">
        <f>IF(AND(OR(sel_Region="All",C648=sel_Region),OR(sel_Country="All",D648=sel_Country),OR(sel_Channel="All",E648=sel_Channel),OR(sel_Customer="All",F648=sel_Customer),OR(sel_Product="All",H648=sel_Product),AND(S648&gt;=m_From,S648&lt;=m_To)),1,0)</f>
        <v/>
      </c>
      <c r="Z648" s="36">
        <f>IF(AND(OR(sel_Region="All",C648=sel_Region),OR(sel_Country="All",D648=sel_Country),OR(sel_Channel="All",E648=sel_Channel),OR(sel_Customer="All",F648=sel_Customer),OR(sel_Category="All",G648=sel_Category),AND(S648&gt;=m_From,S648&lt;=m_To)),1,0)</f>
        <v/>
      </c>
      <c r="AA648" s="36">
        <f>IF(AND(OR(sel_Region="All",C648=sel_Region),OR(sel_Country="All",D648=sel_Country),OR(sel_Channel="All",E648=sel_Channel),OR(sel_Customer="All",F648=sel_Customer),OR(sel_Category="All",G648=sel_Category),OR(sel_Product="All",H648=sel_Product)),1,0)</f>
        <v/>
      </c>
    </row>
    <row r="649">
      <c r="A649" s="36" t="inlineStr">
        <is>
          <t>02224</t>
        </is>
      </c>
      <c r="B649" s="44" t="n">
        <v>46135</v>
      </c>
      <c r="C649" s="36" t="inlineStr">
        <is>
          <t>Central Europe</t>
        </is>
      </c>
      <c r="D649" s="36" t="inlineStr">
        <is>
          <t>Czechia</t>
        </is>
      </c>
      <c r="E649" s="36" t="inlineStr">
        <is>
          <t>Online Store</t>
        </is>
      </c>
      <c r="F649" s="36" t="inlineStr">
        <is>
          <t>New</t>
        </is>
      </c>
      <c r="G649" s="36" t="inlineStr">
        <is>
          <t>Fitness</t>
        </is>
      </c>
      <c r="H649" s="36" t="inlineStr">
        <is>
          <t>Training Mat</t>
        </is>
      </c>
      <c r="I649" s="36" t="n">
        <v>3</v>
      </c>
      <c r="J649" s="39" t="n">
        <v>49.55</v>
      </c>
      <c r="K649" s="45" t="n">
        <v>0</v>
      </c>
      <c r="L649" s="39" t="n">
        <v>22.55</v>
      </c>
      <c r="M649" s="39">
        <f>I649*J649*(1-K649)</f>
        <v/>
      </c>
      <c r="N649" s="39">
        <f>I649*L649</f>
        <v/>
      </c>
      <c r="O649" s="39">
        <f>M649-N649</f>
        <v/>
      </c>
      <c r="P649" s="38">
        <f>IF(M649=0,0,O649/M649)</f>
        <v/>
      </c>
      <c r="Q649" s="36">
        <f>YEAR(B649)</f>
        <v/>
      </c>
      <c r="R649" s="36">
        <f>"Q"&amp;ROUNDUP(MONTH(B649)/3,0)</f>
        <v/>
      </c>
      <c r="S649" s="36">
        <f>MONTH(B649)</f>
        <v/>
      </c>
      <c r="T649" s="36">
        <f>TEXT(B649,"mmm")</f>
        <v/>
      </c>
      <c r="U649" s="36">
        <f>IF(AND(OR(sel_Region="All",C649=sel_Region),OR(sel_Country="All",D649=sel_Country),OR(sel_Channel="All",E649=sel_Channel),OR(sel_Customer="All",F649=sel_Customer),OR(sel_Category="All",G649=sel_Category),OR(sel_Product="All",H649=sel_Product),AND(S649&gt;=m_From,S649&lt;=m_To)),1,0)</f>
        <v/>
      </c>
      <c r="V649" s="36">
        <f>IF(AND(OR(sel_Region="All",C649=sel_Region),OR(sel_Channel="All",E649=sel_Channel),OR(sel_Customer="All",F649=sel_Customer),OR(sel_Category="All",G649=sel_Category),OR(sel_Product="All",H649=sel_Product),AND(S649&gt;=m_From,S649&lt;=m_To)),1,0)</f>
        <v/>
      </c>
      <c r="W649" s="36">
        <f>IF(AND(OR(sel_Region="All",C649=sel_Region),OR(sel_Country="All",D649=sel_Country),OR(sel_Customer="All",F649=sel_Customer),OR(sel_Category="All",G649=sel_Category),OR(sel_Product="All",H649=sel_Product),AND(S649&gt;=m_From,S649&lt;=m_To)),1,0)</f>
        <v/>
      </c>
      <c r="X649" s="36">
        <f>IF(AND(OR(sel_Region="All",C649=sel_Region),OR(sel_Country="All",D649=sel_Country),OR(sel_Channel="All",E649=sel_Channel),OR(sel_Category="All",G649=sel_Category),OR(sel_Product="All",H649=sel_Product),AND(S649&gt;=m_From,S649&lt;=m_To)),1,0)</f>
        <v/>
      </c>
      <c r="Y649" s="36">
        <f>IF(AND(OR(sel_Region="All",C649=sel_Region),OR(sel_Country="All",D649=sel_Country),OR(sel_Channel="All",E649=sel_Channel),OR(sel_Customer="All",F649=sel_Customer),OR(sel_Product="All",H649=sel_Product),AND(S649&gt;=m_From,S649&lt;=m_To)),1,0)</f>
        <v/>
      </c>
      <c r="Z649" s="36">
        <f>IF(AND(OR(sel_Region="All",C649=sel_Region),OR(sel_Country="All",D649=sel_Country),OR(sel_Channel="All",E649=sel_Channel),OR(sel_Customer="All",F649=sel_Customer),OR(sel_Category="All",G649=sel_Category),AND(S649&gt;=m_From,S649&lt;=m_To)),1,0)</f>
        <v/>
      </c>
      <c r="AA649" s="36">
        <f>IF(AND(OR(sel_Region="All",C649=sel_Region),OR(sel_Country="All",D649=sel_Country),OR(sel_Channel="All",E649=sel_Channel),OR(sel_Customer="All",F649=sel_Customer),OR(sel_Category="All",G649=sel_Category),OR(sel_Product="All",H649=sel_Product)),1,0)</f>
        <v/>
      </c>
    </row>
    <row r="650">
      <c r="A650" s="36" t="inlineStr">
        <is>
          <t>02832</t>
        </is>
      </c>
      <c r="B650" s="44" t="n">
        <v>46135</v>
      </c>
      <c r="C650" s="36" t="inlineStr">
        <is>
          <t>Western Europe</t>
        </is>
      </c>
      <c r="D650" s="36" t="inlineStr">
        <is>
          <t>United Kingdom</t>
        </is>
      </c>
      <c r="E650" s="36" t="inlineStr">
        <is>
          <t>Marketplace</t>
        </is>
      </c>
      <c r="F650" s="36" t="inlineStr">
        <is>
          <t>Returning</t>
        </is>
      </c>
      <c r="G650" s="36" t="inlineStr">
        <is>
          <t>Fitness</t>
        </is>
      </c>
      <c r="H650" s="36" t="inlineStr">
        <is>
          <t>Resistance Band Set</t>
        </is>
      </c>
      <c r="I650" s="36" t="n">
        <v>1</v>
      </c>
      <c r="J650" s="39" t="n">
        <v>39.89</v>
      </c>
      <c r="K650" s="45" t="n">
        <v>0.05</v>
      </c>
      <c r="L650" s="39" t="n">
        <v>15.06</v>
      </c>
      <c r="M650" s="39">
        <f>I650*J650*(1-K650)</f>
        <v/>
      </c>
      <c r="N650" s="39">
        <f>I650*L650</f>
        <v/>
      </c>
      <c r="O650" s="39">
        <f>M650-N650</f>
        <v/>
      </c>
      <c r="P650" s="38">
        <f>IF(M650=0,0,O650/M650)</f>
        <v/>
      </c>
      <c r="Q650" s="36">
        <f>YEAR(B650)</f>
        <v/>
      </c>
      <c r="R650" s="36">
        <f>"Q"&amp;ROUNDUP(MONTH(B650)/3,0)</f>
        <v/>
      </c>
      <c r="S650" s="36">
        <f>MONTH(B650)</f>
        <v/>
      </c>
      <c r="T650" s="36">
        <f>TEXT(B650,"mmm")</f>
        <v/>
      </c>
      <c r="U650" s="36">
        <f>IF(AND(OR(sel_Region="All",C650=sel_Region),OR(sel_Country="All",D650=sel_Country),OR(sel_Channel="All",E650=sel_Channel),OR(sel_Customer="All",F650=sel_Customer),OR(sel_Category="All",G650=sel_Category),OR(sel_Product="All",H650=sel_Product),AND(S650&gt;=m_From,S650&lt;=m_To)),1,0)</f>
        <v/>
      </c>
      <c r="V650" s="36">
        <f>IF(AND(OR(sel_Region="All",C650=sel_Region),OR(sel_Channel="All",E650=sel_Channel),OR(sel_Customer="All",F650=sel_Customer),OR(sel_Category="All",G650=sel_Category),OR(sel_Product="All",H650=sel_Product),AND(S650&gt;=m_From,S650&lt;=m_To)),1,0)</f>
        <v/>
      </c>
      <c r="W650" s="36">
        <f>IF(AND(OR(sel_Region="All",C650=sel_Region),OR(sel_Country="All",D650=sel_Country),OR(sel_Customer="All",F650=sel_Customer),OR(sel_Category="All",G650=sel_Category),OR(sel_Product="All",H650=sel_Product),AND(S650&gt;=m_From,S650&lt;=m_To)),1,0)</f>
        <v/>
      </c>
      <c r="X650" s="36">
        <f>IF(AND(OR(sel_Region="All",C650=sel_Region),OR(sel_Country="All",D650=sel_Country),OR(sel_Channel="All",E650=sel_Channel),OR(sel_Category="All",G650=sel_Category),OR(sel_Product="All",H650=sel_Product),AND(S650&gt;=m_From,S650&lt;=m_To)),1,0)</f>
        <v/>
      </c>
      <c r="Y650" s="36">
        <f>IF(AND(OR(sel_Region="All",C650=sel_Region),OR(sel_Country="All",D650=sel_Country),OR(sel_Channel="All",E650=sel_Channel),OR(sel_Customer="All",F650=sel_Customer),OR(sel_Product="All",H650=sel_Product),AND(S650&gt;=m_From,S650&lt;=m_To)),1,0)</f>
        <v/>
      </c>
      <c r="Z650" s="36">
        <f>IF(AND(OR(sel_Region="All",C650=sel_Region),OR(sel_Country="All",D650=sel_Country),OR(sel_Channel="All",E650=sel_Channel),OR(sel_Customer="All",F650=sel_Customer),OR(sel_Category="All",G650=sel_Category),AND(S650&gt;=m_From,S650&lt;=m_To)),1,0)</f>
        <v/>
      </c>
      <c r="AA650" s="36">
        <f>IF(AND(OR(sel_Region="All",C650=sel_Region),OR(sel_Country="All",D650=sel_Country),OR(sel_Channel="All",E650=sel_Channel),OR(sel_Customer="All",F650=sel_Customer),OR(sel_Category="All",G650=sel_Category),OR(sel_Product="All",H650=sel_Product)),1,0)</f>
        <v/>
      </c>
    </row>
    <row r="651">
      <c r="A651" s="36" t="inlineStr">
        <is>
          <t>03000</t>
        </is>
      </c>
      <c r="B651" s="44" t="n">
        <v>46135</v>
      </c>
      <c r="C651" s="36" t="inlineStr">
        <is>
          <t>Western Europe</t>
        </is>
      </c>
      <c r="D651" s="36" t="inlineStr">
        <is>
          <t>Netherlands</t>
        </is>
      </c>
      <c r="E651" s="36" t="inlineStr">
        <is>
          <t>Marketplace</t>
        </is>
      </c>
      <c r="F651" s="36" t="inlineStr">
        <is>
          <t>New</t>
        </is>
      </c>
      <c r="G651" s="36" t="inlineStr">
        <is>
          <t>Fitness</t>
        </is>
      </c>
      <c r="H651" s="36" t="inlineStr">
        <is>
          <t>Resistance Band Set</t>
        </is>
      </c>
      <c r="I651" s="36" t="n">
        <v>1</v>
      </c>
      <c r="J651" s="39" t="n">
        <v>40.63</v>
      </c>
      <c r="K651" s="45" t="n">
        <v>0.1</v>
      </c>
      <c r="L651" s="39" t="n">
        <v>14.67</v>
      </c>
      <c r="M651" s="39">
        <f>I651*J651*(1-K651)</f>
        <v/>
      </c>
      <c r="N651" s="39">
        <f>I651*L651</f>
        <v/>
      </c>
      <c r="O651" s="39">
        <f>M651-N651</f>
        <v/>
      </c>
      <c r="P651" s="38">
        <f>IF(M651=0,0,O651/M651)</f>
        <v/>
      </c>
      <c r="Q651" s="36">
        <f>YEAR(B651)</f>
        <v/>
      </c>
      <c r="R651" s="36">
        <f>"Q"&amp;ROUNDUP(MONTH(B651)/3,0)</f>
        <v/>
      </c>
      <c r="S651" s="36">
        <f>MONTH(B651)</f>
        <v/>
      </c>
      <c r="T651" s="36">
        <f>TEXT(B651,"mmm")</f>
        <v/>
      </c>
      <c r="U651" s="36">
        <f>IF(AND(OR(sel_Region="All",C651=sel_Region),OR(sel_Country="All",D651=sel_Country),OR(sel_Channel="All",E651=sel_Channel),OR(sel_Customer="All",F651=sel_Customer),OR(sel_Category="All",G651=sel_Category),OR(sel_Product="All",H651=sel_Product),AND(S651&gt;=m_From,S651&lt;=m_To)),1,0)</f>
        <v/>
      </c>
      <c r="V651" s="36">
        <f>IF(AND(OR(sel_Region="All",C651=sel_Region),OR(sel_Channel="All",E651=sel_Channel),OR(sel_Customer="All",F651=sel_Customer),OR(sel_Category="All",G651=sel_Category),OR(sel_Product="All",H651=sel_Product),AND(S651&gt;=m_From,S651&lt;=m_To)),1,0)</f>
        <v/>
      </c>
      <c r="W651" s="36">
        <f>IF(AND(OR(sel_Region="All",C651=sel_Region),OR(sel_Country="All",D651=sel_Country),OR(sel_Customer="All",F651=sel_Customer),OR(sel_Category="All",G651=sel_Category),OR(sel_Product="All",H651=sel_Product),AND(S651&gt;=m_From,S651&lt;=m_To)),1,0)</f>
        <v/>
      </c>
      <c r="X651" s="36">
        <f>IF(AND(OR(sel_Region="All",C651=sel_Region),OR(sel_Country="All",D651=sel_Country),OR(sel_Channel="All",E651=sel_Channel),OR(sel_Category="All",G651=sel_Category),OR(sel_Product="All",H651=sel_Product),AND(S651&gt;=m_From,S651&lt;=m_To)),1,0)</f>
        <v/>
      </c>
      <c r="Y651" s="36">
        <f>IF(AND(OR(sel_Region="All",C651=sel_Region),OR(sel_Country="All",D651=sel_Country),OR(sel_Channel="All",E651=sel_Channel),OR(sel_Customer="All",F651=sel_Customer),OR(sel_Product="All",H651=sel_Product),AND(S651&gt;=m_From,S651&lt;=m_To)),1,0)</f>
        <v/>
      </c>
      <c r="Z651" s="36">
        <f>IF(AND(OR(sel_Region="All",C651=sel_Region),OR(sel_Country="All",D651=sel_Country),OR(sel_Channel="All",E651=sel_Channel),OR(sel_Customer="All",F651=sel_Customer),OR(sel_Category="All",G651=sel_Category),AND(S651&gt;=m_From,S651&lt;=m_To)),1,0)</f>
        <v/>
      </c>
      <c r="AA651" s="36">
        <f>IF(AND(OR(sel_Region="All",C651=sel_Region),OR(sel_Country="All",D651=sel_Country),OR(sel_Channel="All",E651=sel_Channel),OR(sel_Customer="All",F651=sel_Customer),OR(sel_Category="All",G651=sel_Category),OR(sel_Product="All",H651=sel_Product)),1,0)</f>
        <v/>
      </c>
    </row>
    <row r="652">
      <c r="A652" s="36" t="inlineStr">
        <is>
          <t>03206</t>
        </is>
      </c>
      <c r="B652" s="44" t="n">
        <v>46135</v>
      </c>
      <c r="C652" s="36" t="inlineStr">
        <is>
          <t>Western Europe</t>
        </is>
      </c>
      <c r="D652" s="36" t="inlineStr">
        <is>
          <t>United Kingdom</t>
        </is>
      </c>
      <c r="E652" s="36" t="inlineStr">
        <is>
          <t>Marketplace</t>
        </is>
      </c>
      <c r="F652" s="36" t="inlineStr">
        <is>
          <t>Returning</t>
        </is>
      </c>
      <c r="G652" s="36" t="inlineStr">
        <is>
          <t>Cycling</t>
        </is>
      </c>
      <c r="H652" s="36" t="inlineStr">
        <is>
          <t>Compact Repair Kit</t>
        </is>
      </c>
      <c r="I652" s="36" t="n">
        <v>4</v>
      </c>
      <c r="J652" s="39" t="n">
        <v>39.78</v>
      </c>
      <c r="K652" s="45" t="n">
        <v>0.05</v>
      </c>
      <c r="L652" s="39" t="n">
        <v>16.7</v>
      </c>
      <c r="M652" s="39">
        <f>I652*J652*(1-K652)</f>
        <v/>
      </c>
      <c r="N652" s="39">
        <f>I652*L652</f>
        <v/>
      </c>
      <c r="O652" s="39">
        <f>M652-N652</f>
        <v/>
      </c>
      <c r="P652" s="38">
        <f>IF(M652=0,0,O652/M652)</f>
        <v/>
      </c>
      <c r="Q652" s="36">
        <f>YEAR(B652)</f>
        <v/>
      </c>
      <c r="R652" s="36">
        <f>"Q"&amp;ROUNDUP(MONTH(B652)/3,0)</f>
        <v/>
      </c>
      <c r="S652" s="36">
        <f>MONTH(B652)</f>
        <v/>
      </c>
      <c r="T652" s="36">
        <f>TEXT(B652,"mmm")</f>
        <v/>
      </c>
      <c r="U652" s="36">
        <f>IF(AND(OR(sel_Region="All",C652=sel_Region),OR(sel_Country="All",D652=sel_Country),OR(sel_Channel="All",E652=sel_Channel),OR(sel_Customer="All",F652=sel_Customer),OR(sel_Category="All",G652=sel_Category),OR(sel_Product="All",H652=sel_Product),AND(S652&gt;=m_From,S652&lt;=m_To)),1,0)</f>
        <v/>
      </c>
      <c r="V652" s="36">
        <f>IF(AND(OR(sel_Region="All",C652=sel_Region),OR(sel_Channel="All",E652=sel_Channel),OR(sel_Customer="All",F652=sel_Customer),OR(sel_Category="All",G652=sel_Category),OR(sel_Product="All",H652=sel_Product),AND(S652&gt;=m_From,S652&lt;=m_To)),1,0)</f>
        <v/>
      </c>
      <c r="W652" s="36">
        <f>IF(AND(OR(sel_Region="All",C652=sel_Region),OR(sel_Country="All",D652=sel_Country),OR(sel_Customer="All",F652=sel_Customer),OR(sel_Category="All",G652=sel_Category),OR(sel_Product="All",H652=sel_Product),AND(S652&gt;=m_From,S652&lt;=m_To)),1,0)</f>
        <v/>
      </c>
      <c r="X652" s="36">
        <f>IF(AND(OR(sel_Region="All",C652=sel_Region),OR(sel_Country="All",D652=sel_Country),OR(sel_Channel="All",E652=sel_Channel),OR(sel_Category="All",G652=sel_Category),OR(sel_Product="All",H652=sel_Product),AND(S652&gt;=m_From,S652&lt;=m_To)),1,0)</f>
        <v/>
      </c>
      <c r="Y652" s="36">
        <f>IF(AND(OR(sel_Region="All",C652=sel_Region),OR(sel_Country="All",D652=sel_Country),OR(sel_Channel="All",E652=sel_Channel),OR(sel_Customer="All",F652=sel_Customer),OR(sel_Product="All",H652=sel_Product),AND(S652&gt;=m_From,S652&lt;=m_To)),1,0)</f>
        <v/>
      </c>
      <c r="Z652" s="36">
        <f>IF(AND(OR(sel_Region="All",C652=sel_Region),OR(sel_Country="All",D652=sel_Country),OR(sel_Channel="All",E652=sel_Channel),OR(sel_Customer="All",F652=sel_Customer),OR(sel_Category="All",G652=sel_Category),AND(S652&gt;=m_From,S652&lt;=m_To)),1,0)</f>
        <v/>
      </c>
      <c r="AA652" s="36">
        <f>IF(AND(OR(sel_Region="All",C652=sel_Region),OR(sel_Country="All",D652=sel_Country),OR(sel_Channel="All",E652=sel_Channel),OR(sel_Customer="All",F652=sel_Customer),OR(sel_Category="All",G652=sel_Category),OR(sel_Product="All",H652=sel_Product)),1,0)</f>
        <v/>
      </c>
    </row>
    <row r="653">
      <c r="A653" s="36" t="inlineStr">
        <is>
          <t>03777</t>
        </is>
      </c>
      <c r="B653" s="44" t="n">
        <v>46135</v>
      </c>
      <c r="C653" s="36" t="inlineStr">
        <is>
          <t>Western Europe</t>
        </is>
      </c>
      <c r="D653" s="36" t="inlineStr">
        <is>
          <t>Belgium</t>
        </is>
      </c>
      <c r="E653" s="36" t="inlineStr">
        <is>
          <t>Marketplace</t>
        </is>
      </c>
      <c r="F653" s="36" t="inlineStr">
        <is>
          <t>Business</t>
        </is>
      </c>
      <c r="G653" s="36" t="inlineStr">
        <is>
          <t>Hiking</t>
        </is>
      </c>
      <c r="H653" s="36" t="inlineStr">
        <is>
          <t>Hiking Daypack 20L</t>
        </is>
      </c>
      <c r="I653" s="36" t="n">
        <v>1</v>
      </c>
      <c r="J653" s="39" t="n">
        <v>92.73999999999999</v>
      </c>
      <c r="K653" s="45" t="n">
        <v>0</v>
      </c>
      <c r="L653" s="39" t="n">
        <v>46.1</v>
      </c>
      <c r="M653" s="39">
        <f>I653*J653*(1-K653)</f>
        <v/>
      </c>
      <c r="N653" s="39">
        <f>I653*L653</f>
        <v/>
      </c>
      <c r="O653" s="39">
        <f>M653-N653</f>
        <v/>
      </c>
      <c r="P653" s="38">
        <f>IF(M653=0,0,O653/M653)</f>
        <v/>
      </c>
      <c r="Q653" s="36">
        <f>YEAR(B653)</f>
        <v/>
      </c>
      <c r="R653" s="36">
        <f>"Q"&amp;ROUNDUP(MONTH(B653)/3,0)</f>
        <v/>
      </c>
      <c r="S653" s="36">
        <f>MONTH(B653)</f>
        <v/>
      </c>
      <c r="T653" s="36">
        <f>TEXT(B653,"mmm")</f>
        <v/>
      </c>
      <c r="U653" s="36">
        <f>IF(AND(OR(sel_Region="All",C653=sel_Region),OR(sel_Country="All",D653=sel_Country),OR(sel_Channel="All",E653=sel_Channel),OR(sel_Customer="All",F653=sel_Customer),OR(sel_Category="All",G653=sel_Category),OR(sel_Product="All",H653=sel_Product),AND(S653&gt;=m_From,S653&lt;=m_To)),1,0)</f>
        <v/>
      </c>
      <c r="V653" s="36">
        <f>IF(AND(OR(sel_Region="All",C653=sel_Region),OR(sel_Channel="All",E653=sel_Channel),OR(sel_Customer="All",F653=sel_Customer),OR(sel_Category="All",G653=sel_Category),OR(sel_Product="All",H653=sel_Product),AND(S653&gt;=m_From,S653&lt;=m_To)),1,0)</f>
        <v/>
      </c>
      <c r="W653" s="36">
        <f>IF(AND(OR(sel_Region="All",C653=sel_Region),OR(sel_Country="All",D653=sel_Country),OR(sel_Customer="All",F653=sel_Customer),OR(sel_Category="All",G653=sel_Category),OR(sel_Product="All",H653=sel_Product),AND(S653&gt;=m_From,S653&lt;=m_To)),1,0)</f>
        <v/>
      </c>
      <c r="X653" s="36">
        <f>IF(AND(OR(sel_Region="All",C653=sel_Region),OR(sel_Country="All",D653=sel_Country),OR(sel_Channel="All",E653=sel_Channel),OR(sel_Category="All",G653=sel_Category),OR(sel_Product="All",H653=sel_Product),AND(S653&gt;=m_From,S653&lt;=m_To)),1,0)</f>
        <v/>
      </c>
      <c r="Y653" s="36">
        <f>IF(AND(OR(sel_Region="All",C653=sel_Region),OR(sel_Country="All",D653=sel_Country),OR(sel_Channel="All",E653=sel_Channel),OR(sel_Customer="All",F653=sel_Customer),OR(sel_Product="All",H653=sel_Product),AND(S653&gt;=m_From,S653&lt;=m_To)),1,0)</f>
        <v/>
      </c>
      <c r="Z653" s="36">
        <f>IF(AND(OR(sel_Region="All",C653=sel_Region),OR(sel_Country="All",D653=sel_Country),OR(sel_Channel="All",E653=sel_Channel),OR(sel_Customer="All",F653=sel_Customer),OR(sel_Category="All",G653=sel_Category),AND(S653&gt;=m_From,S653&lt;=m_To)),1,0)</f>
        <v/>
      </c>
      <c r="AA653" s="36">
        <f>IF(AND(OR(sel_Region="All",C653=sel_Region),OR(sel_Country="All",D653=sel_Country),OR(sel_Channel="All",E653=sel_Channel),OR(sel_Customer="All",F653=sel_Customer),OR(sel_Category="All",G653=sel_Category),OR(sel_Product="All",H653=sel_Product)),1,0)</f>
        <v/>
      </c>
    </row>
    <row r="654">
      <c r="A654" s="36" t="inlineStr">
        <is>
          <t>04980</t>
        </is>
      </c>
      <c r="B654" s="44" t="n">
        <v>46135</v>
      </c>
      <c r="C654" s="36" t="inlineStr">
        <is>
          <t>Central Europe</t>
        </is>
      </c>
      <c r="D654" s="36" t="inlineStr">
        <is>
          <t>Austria</t>
        </is>
      </c>
      <c r="E654" s="36" t="inlineStr">
        <is>
          <t>Retail Partners</t>
        </is>
      </c>
      <c r="F654" s="36" t="inlineStr">
        <is>
          <t>Returning</t>
        </is>
      </c>
      <c r="G654" s="36" t="inlineStr">
        <is>
          <t>Camping</t>
        </is>
      </c>
      <c r="H654" s="36" t="inlineStr">
        <is>
          <t>Compact Sleeping Bag</t>
        </is>
      </c>
      <c r="I654" s="36" t="n">
        <v>2</v>
      </c>
      <c r="J654" s="39" t="n">
        <v>120.49</v>
      </c>
      <c r="K654" s="45" t="n">
        <v>0.1</v>
      </c>
      <c r="L654" s="39" t="n">
        <v>62.23</v>
      </c>
      <c r="M654" s="39">
        <f>I654*J654*(1-K654)</f>
        <v/>
      </c>
      <c r="N654" s="39">
        <f>I654*L654</f>
        <v/>
      </c>
      <c r="O654" s="39">
        <f>M654-N654</f>
        <v/>
      </c>
      <c r="P654" s="38">
        <f>IF(M654=0,0,O654/M654)</f>
        <v/>
      </c>
      <c r="Q654" s="36">
        <f>YEAR(B654)</f>
        <v/>
      </c>
      <c r="R654" s="36">
        <f>"Q"&amp;ROUNDUP(MONTH(B654)/3,0)</f>
        <v/>
      </c>
      <c r="S654" s="36">
        <f>MONTH(B654)</f>
        <v/>
      </c>
      <c r="T654" s="36">
        <f>TEXT(B654,"mmm")</f>
        <v/>
      </c>
      <c r="U654" s="36">
        <f>IF(AND(OR(sel_Region="All",C654=sel_Region),OR(sel_Country="All",D654=sel_Country),OR(sel_Channel="All",E654=sel_Channel),OR(sel_Customer="All",F654=sel_Customer),OR(sel_Category="All",G654=sel_Category),OR(sel_Product="All",H654=sel_Product),AND(S654&gt;=m_From,S654&lt;=m_To)),1,0)</f>
        <v/>
      </c>
      <c r="V654" s="36">
        <f>IF(AND(OR(sel_Region="All",C654=sel_Region),OR(sel_Channel="All",E654=sel_Channel),OR(sel_Customer="All",F654=sel_Customer),OR(sel_Category="All",G654=sel_Category),OR(sel_Product="All",H654=sel_Product),AND(S654&gt;=m_From,S654&lt;=m_To)),1,0)</f>
        <v/>
      </c>
      <c r="W654" s="36">
        <f>IF(AND(OR(sel_Region="All",C654=sel_Region),OR(sel_Country="All",D654=sel_Country),OR(sel_Customer="All",F654=sel_Customer),OR(sel_Category="All",G654=sel_Category),OR(sel_Product="All",H654=sel_Product),AND(S654&gt;=m_From,S654&lt;=m_To)),1,0)</f>
        <v/>
      </c>
      <c r="X654" s="36">
        <f>IF(AND(OR(sel_Region="All",C654=sel_Region),OR(sel_Country="All",D654=sel_Country),OR(sel_Channel="All",E654=sel_Channel),OR(sel_Category="All",G654=sel_Category),OR(sel_Product="All",H654=sel_Product),AND(S654&gt;=m_From,S654&lt;=m_To)),1,0)</f>
        <v/>
      </c>
      <c r="Y654" s="36">
        <f>IF(AND(OR(sel_Region="All",C654=sel_Region),OR(sel_Country="All",D654=sel_Country),OR(sel_Channel="All",E654=sel_Channel),OR(sel_Customer="All",F654=sel_Customer),OR(sel_Product="All",H654=sel_Product),AND(S654&gt;=m_From,S654&lt;=m_To)),1,0)</f>
        <v/>
      </c>
      <c r="Z654" s="36">
        <f>IF(AND(OR(sel_Region="All",C654=sel_Region),OR(sel_Country="All",D654=sel_Country),OR(sel_Channel="All",E654=sel_Channel),OR(sel_Customer="All",F654=sel_Customer),OR(sel_Category="All",G654=sel_Category),AND(S654&gt;=m_From,S654&lt;=m_To)),1,0)</f>
        <v/>
      </c>
      <c r="AA654" s="36">
        <f>IF(AND(OR(sel_Region="All",C654=sel_Region),OR(sel_Country="All",D654=sel_Country),OR(sel_Channel="All",E654=sel_Channel),OR(sel_Customer="All",F654=sel_Customer),OR(sel_Category="All",G654=sel_Category),OR(sel_Product="All",H654=sel_Product)),1,0)</f>
        <v/>
      </c>
    </row>
    <row r="655">
      <c r="A655" s="36" t="inlineStr">
        <is>
          <t>01102</t>
        </is>
      </c>
      <c r="B655" s="44" t="n">
        <v>46136</v>
      </c>
      <c r="C655" s="36" t="inlineStr">
        <is>
          <t>Central Europe</t>
        </is>
      </c>
      <c r="D655" s="36" t="inlineStr">
        <is>
          <t>Austria</t>
        </is>
      </c>
      <c r="E655" s="36" t="inlineStr">
        <is>
          <t>Online Store</t>
        </is>
      </c>
      <c r="F655" s="36" t="inlineStr">
        <is>
          <t>Business</t>
        </is>
      </c>
      <c r="G655" s="36" t="inlineStr">
        <is>
          <t>Hiking</t>
        </is>
      </c>
      <c r="H655" s="36" t="inlineStr">
        <is>
          <t>Trekking Poles</t>
        </is>
      </c>
      <c r="I655" s="36" t="n">
        <v>2</v>
      </c>
      <c r="J655" s="39" t="n">
        <v>70.53</v>
      </c>
      <c r="K655" s="45" t="n">
        <v>0</v>
      </c>
      <c r="L655" s="39" t="n">
        <v>32.23</v>
      </c>
      <c r="M655" s="39">
        <f>I655*J655*(1-K655)</f>
        <v/>
      </c>
      <c r="N655" s="39">
        <f>I655*L655</f>
        <v/>
      </c>
      <c r="O655" s="39">
        <f>M655-N655</f>
        <v/>
      </c>
      <c r="P655" s="38">
        <f>IF(M655=0,0,O655/M655)</f>
        <v/>
      </c>
      <c r="Q655" s="36">
        <f>YEAR(B655)</f>
        <v/>
      </c>
      <c r="R655" s="36">
        <f>"Q"&amp;ROUNDUP(MONTH(B655)/3,0)</f>
        <v/>
      </c>
      <c r="S655" s="36">
        <f>MONTH(B655)</f>
        <v/>
      </c>
      <c r="T655" s="36">
        <f>TEXT(B655,"mmm")</f>
        <v/>
      </c>
      <c r="U655" s="36">
        <f>IF(AND(OR(sel_Region="All",C655=sel_Region),OR(sel_Country="All",D655=sel_Country),OR(sel_Channel="All",E655=sel_Channel),OR(sel_Customer="All",F655=sel_Customer),OR(sel_Category="All",G655=sel_Category),OR(sel_Product="All",H655=sel_Product),AND(S655&gt;=m_From,S655&lt;=m_To)),1,0)</f>
        <v/>
      </c>
      <c r="V655" s="36">
        <f>IF(AND(OR(sel_Region="All",C655=sel_Region),OR(sel_Channel="All",E655=sel_Channel),OR(sel_Customer="All",F655=sel_Customer),OR(sel_Category="All",G655=sel_Category),OR(sel_Product="All",H655=sel_Product),AND(S655&gt;=m_From,S655&lt;=m_To)),1,0)</f>
        <v/>
      </c>
      <c r="W655" s="36">
        <f>IF(AND(OR(sel_Region="All",C655=sel_Region),OR(sel_Country="All",D655=sel_Country),OR(sel_Customer="All",F655=sel_Customer),OR(sel_Category="All",G655=sel_Category),OR(sel_Product="All",H655=sel_Product),AND(S655&gt;=m_From,S655&lt;=m_To)),1,0)</f>
        <v/>
      </c>
      <c r="X655" s="36">
        <f>IF(AND(OR(sel_Region="All",C655=sel_Region),OR(sel_Country="All",D655=sel_Country),OR(sel_Channel="All",E655=sel_Channel),OR(sel_Category="All",G655=sel_Category),OR(sel_Product="All",H655=sel_Product),AND(S655&gt;=m_From,S655&lt;=m_To)),1,0)</f>
        <v/>
      </c>
      <c r="Y655" s="36">
        <f>IF(AND(OR(sel_Region="All",C655=sel_Region),OR(sel_Country="All",D655=sel_Country),OR(sel_Channel="All",E655=sel_Channel),OR(sel_Customer="All",F655=sel_Customer),OR(sel_Product="All",H655=sel_Product),AND(S655&gt;=m_From,S655&lt;=m_To)),1,0)</f>
        <v/>
      </c>
      <c r="Z655" s="36">
        <f>IF(AND(OR(sel_Region="All",C655=sel_Region),OR(sel_Country="All",D655=sel_Country),OR(sel_Channel="All",E655=sel_Channel),OR(sel_Customer="All",F655=sel_Customer),OR(sel_Category="All",G655=sel_Category),AND(S655&gt;=m_From,S655&lt;=m_To)),1,0)</f>
        <v/>
      </c>
      <c r="AA655" s="36">
        <f>IF(AND(OR(sel_Region="All",C655=sel_Region),OR(sel_Country="All",D655=sel_Country),OR(sel_Channel="All",E655=sel_Channel),OR(sel_Customer="All",F655=sel_Customer),OR(sel_Category="All",G655=sel_Category),OR(sel_Product="All",H655=sel_Product)),1,0)</f>
        <v/>
      </c>
    </row>
    <row r="656">
      <c r="A656" s="36" t="inlineStr">
        <is>
          <t>01333</t>
        </is>
      </c>
      <c r="B656" s="44" t="n">
        <v>46136</v>
      </c>
      <c r="C656" s="36" t="inlineStr">
        <is>
          <t>Central Europe</t>
        </is>
      </c>
      <c r="D656" s="36" t="inlineStr">
        <is>
          <t>Poland</t>
        </is>
      </c>
      <c r="E656" s="36" t="inlineStr">
        <is>
          <t>Online Store</t>
        </is>
      </c>
      <c r="F656" s="36" t="inlineStr">
        <is>
          <t>New</t>
        </is>
      </c>
      <c r="G656" s="36" t="inlineStr">
        <is>
          <t>Hiking</t>
        </is>
      </c>
      <c r="H656" s="36" t="inlineStr">
        <is>
          <t>Hiking Daypack 20L</t>
        </is>
      </c>
      <c r="I656" s="36" t="n">
        <v>1</v>
      </c>
      <c r="J656" s="39" t="n">
        <v>90.87</v>
      </c>
      <c r="K656" s="45" t="n">
        <v>0.1</v>
      </c>
      <c r="L656" s="39" t="n">
        <v>44.4</v>
      </c>
      <c r="M656" s="39">
        <f>I656*J656*(1-K656)</f>
        <v/>
      </c>
      <c r="N656" s="39">
        <f>I656*L656</f>
        <v/>
      </c>
      <c r="O656" s="39">
        <f>M656-N656</f>
        <v/>
      </c>
      <c r="P656" s="38">
        <f>IF(M656=0,0,O656/M656)</f>
        <v/>
      </c>
      <c r="Q656" s="36">
        <f>YEAR(B656)</f>
        <v/>
      </c>
      <c r="R656" s="36">
        <f>"Q"&amp;ROUNDUP(MONTH(B656)/3,0)</f>
        <v/>
      </c>
      <c r="S656" s="36">
        <f>MONTH(B656)</f>
        <v/>
      </c>
      <c r="T656" s="36">
        <f>TEXT(B656,"mmm")</f>
        <v/>
      </c>
      <c r="U656" s="36">
        <f>IF(AND(OR(sel_Region="All",C656=sel_Region),OR(sel_Country="All",D656=sel_Country),OR(sel_Channel="All",E656=sel_Channel),OR(sel_Customer="All",F656=sel_Customer),OR(sel_Category="All",G656=sel_Category),OR(sel_Product="All",H656=sel_Product),AND(S656&gt;=m_From,S656&lt;=m_To)),1,0)</f>
        <v/>
      </c>
      <c r="V656" s="36">
        <f>IF(AND(OR(sel_Region="All",C656=sel_Region),OR(sel_Channel="All",E656=sel_Channel),OR(sel_Customer="All",F656=sel_Customer),OR(sel_Category="All",G656=sel_Category),OR(sel_Product="All",H656=sel_Product),AND(S656&gt;=m_From,S656&lt;=m_To)),1,0)</f>
        <v/>
      </c>
      <c r="W656" s="36">
        <f>IF(AND(OR(sel_Region="All",C656=sel_Region),OR(sel_Country="All",D656=sel_Country),OR(sel_Customer="All",F656=sel_Customer),OR(sel_Category="All",G656=sel_Category),OR(sel_Product="All",H656=sel_Product),AND(S656&gt;=m_From,S656&lt;=m_To)),1,0)</f>
        <v/>
      </c>
      <c r="X656" s="36">
        <f>IF(AND(OR(sel_Region="All",C656=sel_Region),OR(sel_Country="All",D656=sel_Country),OR(sel_Channel="All",E656=sel_Channel),OR(sel_Category="All",G656=sel_Category),OR(sel_Product="All",H656=sel_Product),AND(S656&gt;=m_From,S656&lt;=m_To)),1,0)</f>
        <v/>
      </c>
      <c r="Y656" s="36">
        <f>IF(AND(OR(sel_Region="All",C656=sel_Region),OR(sel_Country="All",D656=sel_Country),OR(sel_Channel="All",E656=sel_Channel),OR(sel_Customer="All",F656=sel_Customer),OR(sel_Product="All",H656=sel_Product),AND(S656&gt;=m_From,S656&lt;=m_To)),1,0)</f>
        <v/>
      </c>
      <c r="Z656" s="36">
        <f>IF(AND(OR(sel_Region="All",C656=sel_Region),OR(sel_Country="All",D656=sel_Country),OR(sel_Channel="All",E656=sel_Channel),OR(sel_Customer="All",F656=sel_Customer),OR(sel_Category="All",G656=sel_Category),AND(S656&gt;=m_From,S656&lt;=m_To)),1,0)</f>
        <v/>
      </c>
      <c r="AA656" s="36">
        <f>IF(AND(OR(sel_Region="All",C656=sel_Region),OR(sel_Country="All",D656=sel_Country),OR(sel_Channel="All",E656=sel_Channel),OR(sel_Customer="All",F656=sel_Customer),OR(sel_Category="All",G656=sel_Category),OR(sel_Product="All",H656=sel_Product)),1,0)</f>
        <v/>
      </c>
    </row>
    <row r="657">
      <c r="A657" s="36" t="inlineStr">
        <is>
          <t>01369</t>
        </is>
      </c>
      <c r="B657" s="44" t="n">
        <v>46136</v>
      </c>
      <c r="C657" s="36" t="inlineStr">
        <is>
          <t>Central Europe</t>
        </is>
      </c>
      <c r="D657" s="36" t="inlineStr">
        <is>
          <t>Poland</t>
        </is>
      </c>
      <c r="E657" s="36" t="inlineStr">
        <is>
          <t>Corporate</t>
        </is>
      </c>
      <c r="F657" s="36" t="inlineStr">
        <is>
          <t>Returning</t>
        </is>
      </c>
      <c r="G657" s="36" t="inlineStr">
        <is>
          <t>Fitness</t>
        </is>
      </c>
      <c r="H657" s="36" t="inlineStr">
        <is>
          <t>Weighted Vest</t>
        </is>
      </c>
      <c r="I657" s="36" t="n">
        <v>3</v>
      </c>
      <c r="J657" s="39" t="n">
        <v>124.31</v>
      </c>
      <c r="K657" s="45" t="n">
        <v>0.2</v>
      </c>
      <c r="L657" s="39" t="n">
        <v>67.97</v>
      </c>
      <c r="M657" s="39">
        <f>I657*J657*(1-K657)</f>
        <v/>
      </c>
      <c r="N657" s="39">
        <f>I657*L657</f>
        <v/>
      </c>
      <c r="O657" s="39">
        <f>M657-N657</f>
        <v/>
      </c>
      <c r="P657" s="38">
        <f>IF(M657=0,0,O657/M657)</f>
        <v/>
      </c>
      <c r="Q657" s="36">
        <f>YEAR(B657)</f>
        <v/>
      </c>
      <c r="R657" s="36">
        <f>"Q"&amp;ROUNDUP(MONTH(B657)/3,0)</f>
        <v/>
      </c>
      <c r="S657" s="36">
        <f>MONTH(B657)</f>
        <v/>
      </c>
      <c r="T657" s="36">
        <f>TEXT(B657,"mmm")</f>
        <v/>
      </c>
      <c r="U657" s="36">
        <f>IF(AND(OR(sel_Region="All",C657=sel_Region),OR(sel_Country="All",D657=sel_Country),OR(sel_Channel="All",E657=sel_Channel),OR(sel_Customer="All",F657=sel_Customer),OR(sel_Category="All",G657=sel_Category),OR(sel_Product="All",H657=sel_Product),AND(S657&gt;=m_From,S657&lt;=m_To)),1,0)</f>
        <v/>
      </c>
      <c r="V657" s="36">
        <f>IF(AND(OR(sel_Region="All",C657=sel_Region),OR(sel_Channel="All",E657=sel_Channel),OR(sel_Customer="All",F657=sel_Customer),OR(sel_Category="All",G657=sel_Category),OR(sel_Product="All",H657=sel_Product),AND(S657&gt;=m_From,S657&lt;=m_To)),1,0)</f>
        <v/>
      </c>
      <c r="W657" s="36">
        <f>IF(AND(OR(sel_Region="All",C657=sel_Region),OR(sel_Country="All",D657=sel_Country),OR(sel_Customer="All",F657=sel_Customer),OR(sel_Category="All",G657=sel_Category),OR(sel_Product="All",H657=sel_Product),AND(S657&gt;=m_From,S657&lt;=m_To)),1,0)</f>
        <v/>
      </c>
      <c r="X657" s="36">
        <f>IF(AND(OR(sel_Region="All",C657=sel_Region),OR(sel_Country="All",D657=sel_Country),OR(sel_Channel="All",E657=sel_Channel),OR(sel_Category="All",G657=sel_Category),OR(sel_Product="All",H657=sel_Product),AND(S657&gt;=m_From,S657&lt;=m_To)),1,0)</f>
        <v/>
      </c>
      <c r="Y657" s="36">
        <f>IF(AND(OR(sel_Region="All",C657=sel_Region),OR(sel_Country="All",D657=sel_Country),OR(sel_Channel="All",E657=sel_Channel),OR(sel_Customer="All",F657=sel_Customer),OR(sel_Product="All",H657=sel_Product),AND(S657&gt;=m_From,S657&lt;=m_To)),1,0)</f>
        <v/>
      </c>
      <c r="Z657" s="36">
        <f>IF(AND(OR(sel_Region="All",C657=sel_Region),OR(sel_Country="All",D657=sel_Country),OR(sel_Channel="All",E657=sel_Channel),OR(sel_Customer="All",F657=sel_Customer),OR(sel_Category="All",G657=sel_Category),AND(S657&gt;=m_From,S657&lt;=m_To)),1,0)</f>
        <v/>
      </c>
      <c r="AA657" s="36">
        <f>IF(AND(OR(sel_Region="All",C657=sel_Region),OR(sel_Country="All",D657=sel_Country),OR(sel_Channel="All",E657=sel_Channel),OR(sel_Customer="All",F657=sel_Customer),OR(sel_Category="All",G657=sel_Category),OR(sel_Product="All",H657=sel_Product)),1,0)</f>
        <v/>
      </c>
    </row>
    <row r="658">
      <c r="A658" s="36" t="inlineStr">
        <is>
          <t>01712</t>
        </is>
      </c>
      <c r="B658" s="44" t="n">
        <v>46136</v>
      </c>
      <c r="C658" s="36" t="inlineStr">
        <is>
          <t>Central Europe</t>
        </is>
      </c>
      <c r="D658" s="36" t="inlineStr">
        <is>
          <t>Czechia</t>
        </is>
      </c>
      <c r="E658" s="36" t="inlineStr">
        <is>
          <t>Corporate</t>
        </is>
      </c>
      <c r="F658" s="36" t="inlineStr">
        <is>
          <t>Returning</t>
        </is>
      </c>
      <c r="G658" s="36" t="inlineStr">
        <is>
          <t>Cycling</t>
        </is>
      </c>
      <c r="H658" s="36" t="inlineStr">
        <is>
          <t>Compact Repair Kit</t>
        </is>
      </c>
      <c r="I658" s="36" t="n">
        <v>15</v>
      </c>
      <c r="J658" s="39" t="n">
        <v>41.21</v>
      </c>
      <c r="K658" s="45" t="n">
        <v>0.15</v>
      </c>
      <c r="L658" s="39" t="n">
        <v>16.76</v>
      </c>
      <c r="M658" s="39">
        <f>I658*J658*(1-K658)</f>
        <v/>
      </c>
      <c r="N658" s="39">
        <f>I658*L658</f>
        <v/>
      </c>
      <c r="O658" s="39">
        <f>M658-N658</f>
        <v/>
      </c>
      <c r="P658" s="38">
        <f>IF(M658=0,0,O658/M658)</f>
        <v/>
      </c>
      <c r="Q658" s="36">
        <f>YEAR(B658)</f>
        <v/>
      </c>
      <c r="R658" s="36">
        <f>"Q"&amp;ROUNDUP(MONTH(B658)/3,0)</f>
        <v/>
      </c>
      <c r="S658" s="36">
        <f>MONTH(B658)</f>
        <v/>
      </c>
      <c r="T658" s="36">
        <f>TEXT(B658,"mmm")</f>
        <v/>
      </c>
      <c r="U658" s="36">
        <f>IF(AND(OR(sel_Region="All",C658=sel_Region),OR(sel_Country="All",D658=sel_Country),OR(sel_Channel="All",E658=sel_Channel),OR(sel_Customer="All",F658=sel_Customer),OR(sel_Category="All",G658=sel_Category),OR(sel_Product="All",H658=sel_Product),AND(S658&gt;=m_From,S658&lt;=m_To)),1,0)</f>
        <v/>
      </c>
      <c r="V658" s="36">
        <f>IF(AND(OR(sel_Region="All",C658=sel_Region),OR(sel_Channel="All",E658=sel_Channel),OR(sel_Customer="All",F658=sel_Customer),OR(sel_Category="All",G658=sel_Category),OR(sel_Product="All",H658=sel_Product),AND(S658&gt;=m_From,S658&lt;=m_To)),1,0)</f>
        <v/>
      </c>
      <c r="W658" s="36">
        <f>IF(AND(OR(sel_Region="All",C658=sel_Region),OR(sel_Country="All",D658=sel_Country),OR(sel_Customer="All",F658=sel_Customer),OR(sel_Category="All",G658=sel_Category),OR(sel_Product="All",H658=sel_Product),AND(S658&gt;=m_From,S658&lt;=m_To)),1,0)</f>
        <v/>
      </c>
      <c r="X658" s="36">
        <f>IF(AND(OR(sel_Region="All",C658=sel_Region),OR(sel_Country="All",D658=sel_Country),OR(sel_Channel="All",E658=sel_Channel),OR(sel_Category="All",G658=sel_Category),OR(sel_Product="All",H658=sel_Product),AND(S658&gt;=m_From,S658&lt;=m_To)),1,0)</f>
        <v/>
      </c>
      <c r="Y658" s="36">
        <f>IF(AND(OR(sel_Region="All",C658=sel_Region),OR(sel_Country="All",D658=sel_Country),OR(sel_Channel="All",E658=sel_Channel),OR(sel_Customer="All",F658=sel_Customer),OR(sel_Product="All",H658=sel_Product),AND(S658&gt;=m_From,S658&lt;=m_To)),1,0)</f>
        <v/>
      </c>
      <c r="Z658" s="36">
        <f>IF(AND(OR(sel_Region="All",C658=sel_Region),OR(sel_Country="All",D658=sel_Country),OR(sel_Channel="All",E658=sel_Channel),OR(sel_Customer="All",F658=sel_Customer),OR(sel_Category="All",G658=sel_Category),AND(S658&gt;=m_From,S658&lt;=m_To)),1,0)</f>
        <v/>
      </c>
      <c r="AA658" s="36">
        <f>IF(AND(OR(sel_Region="All",C658=sel_Region),OR(sel_Country="All",D658=sel_Country),OR(sel_Channel="All",E658=sel_Channel),OR(sel_Customer="All",F658=sel_Customer),OR(sel_Category="All",G658=sel_Category),OR(sel_Product="All",H658=sel_Product)),1,0)</f>
        <v/>
      </c>
    </row>
    <row r="659">
      <c r="A659" s="36" t="inlineStr">
        <is>
          <t>02229</t>
        </is>
      </c>
      <c r="B659" s="44" t="n">
        <v>46136</v>
      </c>
      <c r="C659" s="36" t="inlineStr">
        <is>
          <t>Southern Europe</t>
        </is>
      </c>
      <c r="D659" s="36" t="inlineStr">
        <is>
          <t>Spain</t>
        </is>
      </c>
      <c r="E659" s="36" t="inlineStr">
        <is>
          <t>Online Store</t>
        </is>
      </c>
      <c r="F659" s="36" t="inlineStr">
        <is>
          <t>New</t>
        </is>
      </c>
      <c r="G659" s="36" t="inlineStr">
        <is>
          <t>Hiking</t>
        </is>
      </c>
      <c r="H659" s="36" t="inlineStr">
        <is>
          <t>Trail Boots</t>
        </is>
      </c>
      <c r="I659" s="36" t="n">
        <v>2</v>
      </c>
      <c r="J659" s="39" t="n">
        <v>145.75</v>
      </c>
      <c r="K659" s="45" t="n">
        <v>0.1</v>
      </c>
      <c r="L659" s="39" t="n">
        <v>78.90000000000001</v>
      </c>
      <c r="M659" s="39">
        <f>I659*J659*(1-K659)</f>
        <v/>
      </c>
      <c r="N659" s="39">
        <f>I659*L659</f>
        <v/>
      </c>
      <c r="O659" s="39">
        <f>M659-N659</f>
        <v/>
      </c>
      <c r="P659" s="38">
        <f>IF(M659=0,0,O659/M659)</f>
        <v/>
      </c>
      <c r="Q659" s="36">
        <f>YEAR(B659)</f>
        <v/>
      </c>
      <c r="R659" s="36">
        <f>"Q"&amp;ROUNDUP(MONTH(B659)/3,0)</f>
        <v/>
      </c>
      <c r="S659" s="36">
        <f>MONTH(B659)</f>
        <v/>
      </c>
      <c r="T659" s="36">
        <f>TEXT(B659,"mmm")</f>
        <v/>
      </c>
      <c r="U659" s="36">
        <f>IF(AND(OR(sel_Region="All",C659=sel_Region),OR(sel_Country="All",D659=sel_Country),OR(sel_Channel="All",E659=sel_Channel),OR(sel_Customer="All",F659=sel_Customer),OR(sel_Category="All",G659=sel_Category),OR(sel_Product="All",H659=sel_Product),AND(S659&gt;=m_From,S659&lt;=m_To)),1,0)</f>
        <v/>
      </c>
      <c r="V659" s="36">
        <f>IF(AND(OR(sel_Region="All",C659=sel_Region),OR(sel_Channel="All",E659=sel_Channel),OR(sel_Customer="All",F659=sel_Customer),OR(sel_Category="All",G659=sel_Category),OR(sel_Product="All",H659=sel_Product),AND(S659&gt;=m_From,S659&lt;=m_To)),1,0)</f>
        <v/>
      </c>
      <c r="W659" s="36">
        <f>IF(AND(OR(sel_Region="All",C659=sel_Region),OR(sel_Country="All",D659=sel_Country),OR(sel_Customer="All",F659=sel_Customer),OR(sel_Category="All",G659=sel_Category),OR(sel_Product="All",H659=sel_Product),AND(S659&gt;=m_From,S659&lt;=m_To)),1,0)</f>
        <v/>
      </c>
      <c r="X659" s="36">
        <f>IF(AND(OR(sel_Region="All",C659=sel_Region),OR(sel_Country="All",D659=sel_Country),OR(sel_Channel="All",E659=sel_Channel),OR(sel_Category="All",G659=sel_Category),OR(sel_Product="All",H659=sel_Product),AND(S659&gt;=m_From,S659&lt;=m_To)),1,0)</f>
        <v/>
      </c>
      <c r="Y659" s="36">
        <f>IF(AND(OR(sel_Region="All",C659=sel_Region),OR(sel_Country="All",D659=sel_Country),OR(sel_Channel="All",E659=sel_Channel),OR(sel_Customer="All",F659=sel_Customer),OR(sel_Product="All",H659=sel_Product),AND(S659&gt;=m_From,S659&lt;=m_To)),1,0)</f>
        <v/>
      </c>
      <c r="Z659" s="36">
        <f>IF(AND(OR(sel_Region="All",C659=sel_Region),OR(sel_Country="All",D659=sel_Country),OR(sel_Channel="All",E659=sel_Channel),OR(sel_Customer="All",F659=sel_Customer),OR(sel_Category="All",G659=sel_Category),AND(S659&gt;=m_From,S659&lt;=m_To)),1,0)</f>
        <v/>
      </c>
      <c r="AA659" s="36">
        <f>IF(AND(OR(sel_Region="All",C659=sel_Region),OR(sel_Country="All",D659=sel_Country),OR(sel_Channel="All",E659=sel_Channel),OR(sel_Customer="All",F659=sel_Customer),OR(sel_Category="All",G659=sel_Category),OR(sel_Product="All",H659=sel_Product)),1,0)</f>
        <v/>
      </c>
    </row>
    <row r="660">
      <c r="A660" s="36" t="inlineStr">
        <is>
          <t>03458</t>
        </is>
      </c>
      <c r="B660" s="44" t="n">
        <v>46136</v>
      </c>
      <c r="C660" s="36" t="inlineStr">
        <is>
          <t>Northern Europe</t>
        </is>
      </c>
      <c r="D660" s="36" t="inlineStr">
        <is>
          <t>Ireland</t>
        </is>
      </c>
      <c r="E660" s="36" t="inlineStr">
        <is>
          <t>Online Store</t>
        </is>
      </c>
      <c r="F660" s="36" t="inlineStr">
        <is>
          <t>New</t>
        </is>
      </c>
      <c r="G660" s="36" t="inlineStr">
        <is>
          <t>Travel</t>
        </is>
      </c>
      <c r="H660" s="36" t="inlineStr">
        <is>
          <t>Carry-On Duffel</t>
        </is>
      </c>
      <c r="I660" s="36" t="n">
        <v>1</v>
      </c>
      <c r="J660" s="39" t="n">
        <v>134.86</v>
      </c>
      <c r="K660" s="45" t="n">
        <v>0</v>
      </c>
      <c r="L660" s="39" t="n">
        <v>66.04000000000001</v>
      </c>
      <c r="M660" s="39">
        <f>I660*J660*(1-K660)</f>
        <v/>
      </c>
      <c r="N660" s="39">
        <f>I660*L660</f>
        <v/>
      </c>
      <c r="O660" s="39">
        <f>M660-N660</f>
        <v/>
      </c>
      <c r="P660" s="38">
        <f>IF(M660=0,0,O660/M660)</f>
        <v/>
      </c>
      <c r="Q660" s="36">
        <f>YEAR(B660)</f>
        <v/>
      </c>
      <c r="R660" s="36">
        <f>"Q"&amp;ROUNDUP(MONTH(B660)/3,0)</f>
        <v/>
      </c>
      <c r="S660" s="36">
        <f>MONTH(B660)</f>
        <v/>
      </c>
      <c r="T660" s="36">
        <f>TEXT(B660,"mmm")</f>
        <v/>
      </c>
      <c r="U660" s="36">
        <f>IF(AND(OR(sel_Region="All",C660=sel_Region),OR(sel_Country="All",D660=sel_Country),OR(sel_Channel="All",E660=sel_Channel),OR(sel_Customer="All",F660=sel_Customer),OR(sel_Category="All",G660=sel_Category),OR(sel_Product="All",H660=sel_Product),AND(S660&gt;=m_From,S660&lt;=m_To)),1,0)</f>
        <v/>
      </c>
      <c r="V660" s="36">
        <f>IF(AND(OR(sel_Region="All",C660=sel_Region),OR(sel_Channel="All",E660=sel_Channel),OR(sel_Customer="All",F660=sel_Customer),OR(sel_Category="All",G660=sel_Category),OR(sel_Product="All",H660=sel_Product),AND(S660&gt;=m_From,S660&lt;=m_To)),1,0)</f>
        <v/>
      </c>
      <c r="W660" s="36">
        <f>IF(AND(OR(sel_Region="All",C660=sel_Region),OR(sel_Country="All",D660=sel_Country),OR(sel_Customer="All",F660=sel_Customer),OR(sel_Category="All",G660=sel_Category),OR(sel_Product="All",H660=sel_Product),AND(S660&gt;=m_From,S660&lt;=m_To)),1,0)</f>
        <v/>
      </c>
      <c r="X660" s="36">
        <f>IF(AND(OR(sel_Region="All",C660=sel_Region),OR(sel_Country="All",D660=sel_Country),OR(sel_Channel="All",E660=sel_Channel),OR(sel_Category="All",G660=sel_Category),OR(sel_Product="All",H660=sel_Product),AND(S660&gt;=m_From,S660&lt;=m_To)),1,0)</f>
        <v/>
      </c>
      <c r="Y660" s="36">
        <f>IF(AND(OR(sel_Region="All",C660=sel_Region),OR(sel_Country="All",D660=sel_Country),OR(sel_Channel="All",E660=sel_Channel),OR(sel_Customer="All",F660=sel_Customer),OR(sel_Product="All",H660=sel_Product),AND(S660&gt;=m_From,S660&lt;=m_To)),1,0)</f>
        <v/>
      </c>
      <c r="Z660" s="36">
        <f>IF(AND(OR(sel_Region="All",C660=sel_Region),OR(sel_Country="All",D660=sel_Country),OR(sel_Channel="All",E660=sel_Channel),OR(sel_Customer="All",F660=sel_Customer),OR(sel_Category="All",G660=sel_Category),AND(S660&gt;=m_From,S660&lt;=m_To)),1,0)</f>
        <v/>
      </c>
      <c r="AA660" s="36">
        <f>IF(AND(OR(sel_Region="All",C660=sel_Region),OR(sel_Country="All",D660=sel_Country),OR(sel_Channel="All",E660=sel_Channel),OR(sel_Customer="All",F660=sel_Customer),OR(sel_Category="All",G660=sel_Category),OR(sel_Product="All",H660=sel_Product)),1,0)</f>
        <v/>
      </c>
    </row>
    <row r="661">
      <c r="A661" s="36" t="inlineStr">
        <is>
          <t>04637</t>
        </is>
      </c>
      <c r="B661" s="44" t="n">
        <v>46136</v>
      </c>
      <c r="C661" s="36" t="inlineStr">
        <is>
          <t>Western Europe</t>
        </is>
      </c>
      <c r="D661" s="36" t="inlineStr">
        <is>
          <t>France</t>
        </is>
      </c>
      <c r="E661" s="36" t="inlineStr">
        <is>
          <t>Retail Partners</t>
        </is>
      </c>
      <c r="F661" s="36" t="inlineStr">
        <is>
          <t>New</t>
        </is>
      </c>
      <c r="G661" s="36" t="inlineStr">
        <is>
          <t>Travel</t>
        </is>
      </c>
      <c r="H661" s="36" t="inlineStr">
        <is>
          <t>Carry-On Duffel</t>
        </is>
      </c>
      <c r="I661" s="36" t="n">
        <v>1</v>
      </c>
      <c r="J661" s="39" t="n">
        <v>136.07</v>
      </c>
      <c r="K661" s="45" t="n">
        <v>0</v>
      </c>
      <c r="L661" s="39" t="n">
        <v>65.17</v>
      </c>
      <c r="M661" s="39">
        <f>I661*J661*(1-K661)</f>
        <v/>
      </c>
      <c r="N661" s="39">
        <f>I661*L661</f>
        <v/>
      </c>
      <c r="O661" s="39">
        <f>M661-N661</f>
        <v/>
      </c>
      <c r="P661" s="38">
        <f>IF(M661=0,0,O661/M661)</f>
        <v/>
      </c>
      <c r="Q661" s="36">
        <f>YEAR(B661)</f>
        <v/>
      </c>
      <c r="R661" s="36">
        <f>"Q"&amp;ROUNDUP(MONTH(B661)/3,0)</f>
        <v/>
      </c>
      <c r="S661" s="36">
        <f>MONTH(B661)</f>
        <v/>
      </c>
      <c r="T661" s="36">
        <f>TEXT(B661,"mmm")</f>
        <v/>
      </c>
      <c r="U661" s="36">
        <f>IF(AND(OR(sel_Region="All",C661=sel_Region),OR(sel_Country="All",D661=sel_Country),OR(sel_Channel="All",E661=sel_Channel),OR(sel_Customer="All",F661=sel_Customer),OR(sel_Category="All",G661=sel_Category),OR(sel_Product="All",H661=sel_Product),AND(S661&gt;=m_From,S661&lt;=m_To)),1,0)</f>
        <v/>
      </c>
      <c r="V661" s="36">
        <f>IF(AND(OR(sel_Region="All",C661=sel_Region),OR(sel_Channel="All",E661=sel_Channel),OR(sel_Customer="All",F661=sel_Customer),OR(sel_Category="All",G661=sel_Category),OR(sel_Product="All",H661=sel_Product),AND(S661&gt;=m_From,S661&lt;=m_To)),1,0)</f>
        <v/>
      </c>
      <c r="W661" s="36">
        <f>IF(AND(OR(sel_Region="All",C661=sel_Region),OR(sel_Country="All",D661=sel_Country),OR(sel_Customer="All",F661=sel_Customer),OR(sel_Category="All",G661=sel_Category),OR(sel_Product="All",H661=sel_Product),AND(S661&gt;=m_From,S661&lt;=m_To)),1,0)</f>
        <v/>
      </c>
      <c r="X661" s="36">
        <f>IF(AND(OR(sel_Region="All",C661=sel_Region),OR(sel_Country="All",D661=sel_Country),OR(sel_Channel="All",E661=sel_Channel),OR(sel_Category="All",G661=sel_Category),OR(sel_Product="All",H661=sel_Product),AND(S661&gt;=m_From,S661&lt;=m_To)),1,0)</f>
        <v/>
      </c>
      <c r="Y661" s="36">
        <f>IF(AND(OR(sel_Region="All",C661=sel_Region),OR(sel_Country="All",D661=sel_Country),OR(sel_Channel="All",E661=sel_Channel),OR(sel_Customer="All",F661=sel_Customer),OR(sel_Product="All",H661=sel_Product),AND(S661&gt;=m_From,S661&lt;=m_To)),1,0)</f>
        <v/>
      </c>
      <c r="Z661" s="36">
        <f>IF(AND(OR(sel_Region="All",C661=sel_Region),OR(sel_Country="All",D661=sel_Country),OR(sel_Channel="All",E661=sel_Channel),OR(sel_Customer="All",F661=sel_Customer),OR(sel_Category="All",G661=sel_Category),AND(S661&gt;=m_From,S661&lt;=m_To)),1,0)</f>
        <v/>
      </c>
      <c r="AA661" s="36">
        <f>IF(AND(OR(sel_Region="All",C661=sel_Region),OR(sel_Country="All",D661=sel_Country),OR(sel_Channel="All",E661=sel_Channel),OR(sel_Customer="All",F661=sel_Customer),OR(sel_Category="All",G661=sel_Category),OR(sel_Product="All",H661=sel_Product)),1,0)</f>
        <v/>
      </c>
    </row>
    <row r="662">
      <c r="A662" s="36" t="inlineStr">
        <is>
          <t>04726</t>
        </is>
      </c>
      <c r="B662" s="44" t="n">
        <v>46136</v>
      </c>
      <c r="C662" s="36" t="inlineStr">
        <is>
          <t>Southern Europe</t>
        </is>
      </c>
      <c r="D662" s="36" t="inlineStr">
        <is>
          <t>Italy</t>
        </is>
      </c>
      <c r="E662" s="36" t="inlineStr">
        <is>
          <t>Retail Partners</t>
        </is>
      </c>
      <c r="F662" s="36" t="inlineStr">
        <is>
          <t>Business</t>
        </is>
      </c>
      <c r="G662" s="36" t="inlineStr">
        <is>
          <t>Travel</t>
        </is>
      </c>
      <c r="H662" s="36" t="inlineStr">
        <is>
          <t>Packing Cube Set</t>
        </is>
      </c>
      <c r="I662" s="36" t="n">
        <v>1</v>
      </c>
      <c r="J662" s="39" t="n">
        <v>47.25</v>
      </c>
      <c r="K662" s="45" t="n">
        <v>0.1</v>
      </c>
      <c r="L662" s="39" t="n">
        <v>18.25</v>
      </c>
      <c r="M662" s="39">
        <f>I662*J662*(1-K662)</f>
        <v/>
      </c>
      <c r="N662" s="39">
        <f>I662*L662</f>
        <v/>
      </c>
      <c r="O662" s="39">
        <f>M662-N662</f>
        <v/>
      </c>
      <c r="P662" s="38">
        <f>IF(M662=0,0,O662/M662)</f>
        <v/>
      </c>
      <c r="Q662" s="36">
        <f>YEAR(B662)</f>
        <v/>
      </c>
      <c r="R662" s="36">
        <f>"Q"&amp;ROUNDUP(MONTH(B662)/3,0)</f>
        <v/>
      </c>
      <c r="S662" s="36">
        <f>MONTH(B662)</f>
        <v/>
      </c>
      <c r="T662" s="36">
        <f>TEXT(B662,"mmm")</f>
        <v/>
      </c>
      <c r="U662" s="36">
        <f>IF(AND(OR(sel_Region="All",C662=sel_Region),OR(sel_Country="All",D662=sel_Country),OR(sel_Channel="All",E662=sel_Channel),OR(sel_Customer="All",F662=sel_Customer),OR(sel_Category="All",G662=sel_Category),OR(sel_Product="All",H662=sel_Product),AND(S662&gt;=m_From,S662&lt;=m_To)),1,0)</f>
        <v/>
      </c>
      <c r="V662" s="36">
        <f>IF(AND(OR(sel_Region="All",C662=sel_Region),OR(sel_Channel="All",E662=sel_Channel),OR(sel_Customer="All",F662=sel_Customer),OR(sel_Category="All",G662=sel_Category),OR(sel_Product="All",H662=sel_Product),AND(S662&gt;=m_From,S662&lt;=m_To)),1,0)</f>
        <v/>
      </c>
      <c r="W662" s="36">
        <f>IF(AND(OR(sel_Region="All",C662=sel_Region),OR(sel_Country="All",D662=sel_Country),OR(sel_Customer="All",F662=sel_Customer),OR(sel_Category="All",G662=sel_Category),OR(sel_Product="All",H662=sel_Product),AND(S662&gt;=m_From,S662&lt;=m_To)),1,0)</f>
        <v/>
      </c>
      <c r="X662" s="36">
        <f>IF(AND(OR(sel_Region="All",C662=sel_Region),OR(sel_Country="All",D662=sel_Country),OR(sel_Channel="All",E662=sel_Channel),OR(sel_Category="All",G662=sel_Category),OR(sel_Product="All",H662=sel_Product),AND(S662&gt;=m_From,S662&lt;=m_To)),1,0)</f>
        <v/>
      </c>
      <c r="Y662" s="36">
        <f>IF(AND(OR(sel_Region="All",C662=sel_Region),OR(sel_Country="All",D662=sel_Country),OR(sel_Channel="All",E662=sel_Channel),OR(sel_Customer="All",F662=sel_Customer),OR(sel_Product="All",H662=sel_Product),AND(S662&gt;=m_From,S662&lt;=m_To)),1,0)</f>
        <v/>
      </c>
      <c r="Z662" s="36">
        <f>IF(AND(OR(sel_Region="All",C662=sel_Region),OR(sel_Country="All",D662=sel_Country),OR(sel_Channel="All",E662=sel_Channel),OR(sel_Customer="All",F662=sel_Customer),OR(sel_Category="All",G662=sel_Category),AND(S662&gt;=m_From,S662&lt;=m_To)),1,0)</f>
        <v/>
      </c>
      <c r="AA662" s="36">
        <f>IF(AND(OR(sel_Region="All",C662=sel_Region),OR(sel_Country="All",D662=sel_Country),OR(sel_Channel="All",E662=sel_Channel),OR(sel_Customer="All",F662=sel_Customer),OR(sel_Category="All",G662=sel_Category),OR(sel_Product="All",H662=sel_Product)),1,0)</f>
        <v/>
      </c>
    </row>
    <row r="663">
      <c r="A663" s="36" t="inlineStr">
        <is>
          <t>04838</t>
        </is>
      </c>
      <c r="B663" s="44" t="n">
        <v>46136</v>
      </c>
      <c r="C663" s="36" t="inlineStr">
        <is>
          <t>Southern Europe</t>
        </is>
      </c>
      <c r="D663" s="36" t="inlineStr">
        <is>
          <t>Spain</t>
        </is>
      </c>
      <c r="E663" s="36" t="inlineStr">
        <is>
          <t>Online Store</t>
        </is>
      </c>
      <c r="F663" s="36" t="inlineStr">
        <is>
          <t>Business</t>
        </is>
      </c>
      <c r="G663" s="36" t="inlineStr">
        <is>
          <t>Cycling</t>
        </is>
      </c>
      <c r="H663" s="36" t="inlineStr">
        <is>
          <t>Compact Repair Kit</t>
        </is>
      </c>
      <c r="I663" s="36" t="n">
        <v>2</v>
      </c>
      <c r="J663" s="39" t="n">
        <v>41.32</v>
      </c>
      <c r="K663" s="45" t="n">
        <v>0.1</v>
      </c>
      <c r="L663" s="39" t="n">
        <v>16.66</v>
      </c>
      <c r="M663" s="39">
        <f>I663*J663*(1-K663)</f>
        <v/>
      </c>
      <c r="N663" s="39">
        <f>I663*L663</f>
        <v/>
      </c>
      <c r="O663" s="39">
        <f>M663-N663</f>
        <v/>
      </c>
      <c r="P663" s="38">
        <f>IF(M663=0,0,O663/M663)</f>
        <v/>
      </c>
      <c r="Q663" s="36">
        <f>YEAR(B663)</f>
        <v/>
      </c>
      <c r="R663" s="36">
        <f>"Q"&amp;ROUNDUP(MONTH(B663)/3,0)</f>
        <v/>
      </c>
      <c r="S663" s="36">
        <f>MONTH(B663)</f>
        <v/>
      </c>
      <c r="T663" s="36">
        <f>TEXT(B663,"mmm")</f>
        <v/>
      </c>
      <c r="U663" s="36">
        <f>IF(AND(OR(sel_Region="All",C663=sel_Region),OR(sel_Country="All",D663=sel_Country),OR(sel_Channel="All",E663=sel_Channel),OR(sel_Customer="All",F663=sel_Customer),OR(sel_Category="All",G663=sel_Category),OR(sel_Product="All",H663=sel_Product),AND(S663&gt;=m_From,S663&lt;=m_To)),1,0)</f>
        <v/>
      </c>
      <c r="V663" s="36">
        <f>IF(AND(OR(sel_Region="All",C663=sel_Region),OR(sel_Channel="All",E663=sel_Channel),OR(sel_Customer="All",F663=sel_Customer),OR(sel_Category="All",G663=sel_Category),OR(sel_Product="All",H663=sel_Product),AND(S663&gt;=m_From,S663&lt;=m_To)),1,0)</f>
        <v/>
      </c>
      <c r="W663" s="36">
        <f>IF(AND(OR(sel_Region="All",C663=sel_Region),OR(sel_Country="All",D663=sel_Country),OR(sel_Customer="All",F663=sel_Customer),OR(sel_Category="All",G663=sel_Category),OR(sel_Product="All",H663=sel_Product),AND(S663&gt;=m_From,S663&lt;=m_To)),1,0)</f>
        <v/>
      </c>
      <c r="X663" s="36">
        <f>IF(AND(OR(sel_Region="All",C663=sel_Region),OR(sel_Country="All",D663=sel_Country),OR(sel_Channel="All",E663=sel_Channel),OR(sel_Category="All",G663=sel_Category),OR(sel_Product="All",H663=sel_Product),AND(S663&gt;=m_From,S663&lt;=m_To)),1,0)</f>
        <v/>
      </c>
      <c r="Y663" s="36">
        <f>IF(AND(OR(sel_Region="All",C663=sel_Region),OR(sel_Country="All",D663=sel_Country),OR(sel_Channel="All",E663=sel_Channel),OR(sel_Customer="All",F663=sel_Customer),OR(sel_Product="All",H663=sel_Product),AND(S663&gt;=m_From,S663&lt;=m_To)),1,0)</f>
        <v/>
      </c>
      <c r="Z663" s="36">
        <f>IF(AND(OR(sel_Region="All",C663=sel_Region),OR(sel_Country="All",D663=sel_Country),OR(sel_Channel="All",E663=sel_Channel),OR(sel_Customer="All",F663=sel_Customer),OR(sel_Category="All",G663=sel_Category),AND(S663&gt;=m_From,S663&lt;=m_To)),1,0)</f>
        <v/>
      </c>
      <c r="AA663" s="36">
        <f>IF(AND(OR(sel_Region="All",C663=sel_Region),OR(sel_Country="All",D663=sel_Country),OR(sel_Channel="All",E663=sel_Channel),OR(sel_Customer="All",F663=sel_Customer),OR(sel_Category="All",G663=sel_Category),OR(sel_Product="All",H663=sel_Product)),1,0)</f>
        <v/>
      </c>
    </row>
    <row r="664">
      <c r="A664" s="36" t="inlineStr">
        <is>
          <t>05075</t>
        </is>
      </c>
      <c r="B664" s="44" t="n">
        <v>46136</v>
      </c>
      <c r="C664" s="36" t="inlineStr">
        <is>
          <t>Southern Europe</t>
        </is>
      </c>
      <c r="D664" s="36" t="inlineStr">
        <is>
          <t>Italy</t>
        </is>
      </c>
      <c r="E664" s="36" t="inlineStr">
        <is>
          <t>Marketplace</t>
        </is>
      </c>
      <c r="F664" s="36" t="inlineStr">
        <is>
          <t>New</t>
        </is>
      </c>
      <c r="G664" s="36" t="inlineStr">
        <is>
          <t>Cycling</t>
        </is>
      </c>
      <c r="H664" s="36" t="inlineStr">
        <is>
          <t>Commuter Helmet</t>
        </is>
      </c>
      <c r="I664" s="36" t="n">
        <v>2</v>
      </c>
      <c r="J664" s="39" t="n">
        <v>81.75</v>
      </c>
      <c r="K664" s="45" t="n">
        <v>0</v>
      </c>
      <c r="L664" s="39" t="n">
        <v>41.92</v>
      </c>
      <c r="M664" s="39">
        <f>I664*J664*(1-K664)</f>
        <v/>
      </c>
      <c r="N664" s="39">
        <f>I664*L664</f>
        <v/>
      </c>
      <c r="O664" s="39">
        <f>M664-N664</f>
        <v/>
      </c>
      <c r="P664" s="38">
        <f>IF(M664=0,0,O664/M664)</f>
        <v/>
      </c>
      <c r="Q664" s="36">
        <f>YEAR(B664)</f>
        <v/>
      </c>
      <c r="R664" s="36">
        <f>"Q"&amp;ROUNDUP(MONTH(B664)/3,0)</f>
        <v/>
      </c>
      <c r="S664" s="36">
        <f>MONTH(B664)</f>
        <v/>
      </c>
      <c r="T664" s="36">
        <f>TEXT(B664,"mmm")</f>
        <v/>
      </c>
      <c r="U664" s="36">
        <f>IF(AND(OR(sel_Region="All",C664=sel_Region),OR(sel_Country="All",D664=sel_Country),OR(sel_Channel="All",E664=sel_Channel),OR(sel_Customer="All",F664=sel_Customer),OR(sel_Category="All",G664=sel_Category),OR(sel_Product="All",H664=sel_Product),AND(S664&gt;=m_From,S664&lt;=m_To)),1,0)</f>
        <v/>
      </c>
      <c r="V664" s="36">
        <f>IF(AND(OR(sel_Region="All",C664=sel_Region),OR(sel_Channel="All",E664=sel_Channel),OR(sel_Customer="All",F664=sel_Customer),OR(sel_Category="All",G664=sel_Category),OR(sel_Product="All",H664=sel_Product),AND(S664&gt;=m_From,S664&lt;=m_To)),1,0)</f>
        <v/>
      </c>
      <c r="W664" s="36">
        <f>IF(AND(OR(sel_Region="All",C664=sel_Region),OR(sel_Country="All",D664=sel_Country),OR(sel_Customer="All",F664=sel_Customer),OR(sel_Category="All",G664=sel_Category),OR(sel_Product="All",H664=sel_Product),AND(S664&gt;=m_From,S664&lt;=m_To)),1,0)</f>
        <v/>
      </c>
      <c r="X664" s="36">
        <f>IF(AND(OR(sel_Region="All",C664=sel_Region),OR(sel_Country="All",D664=sel_Country),OR(sel_Channel="All",E664=sel_Channel),OR(sel_Category="All",G664=sel_Category),OR(sel_Product="All",H664=sel_Product),AND(S664&gt;=m_From,S664&lt;=m_To)),1,0)</f>
        <v/>
      </c>
      <c r="Y664" s="36">
        <f>IF(AND(OR(sel_Region="All",C664=sel_Region),OR(sel_Country="All",D664=sel_Country),OR(sel_Channel="All",E664=sel_Channel),OR(sel_Customer="All",F664=sel_Customer),OR(sel_Product="All",H664=sel_Product),AND(S664&gt;=m_From,S664&lt;=m_To)),1,0)</f>
        <v/>
      </c>
      <c r="Z664" s="36">
        <f>IF(AND(OR(sel_Region="All",C664=sel_Region),OR(sel_Country="All",D664=sel_Country),OR(sel_Channel="All",E664=sel_Channel),OR(sel_Customer="All",F664=sel_Customer),OR(sel_Category="All",G664=sel_Category),AND(S664&gt;=m_From,S664&lt;=m_To)),1,0)</f>
        <v/>
      </c>
      <c r="AA664" s="36">
        <f>IF(AND(OR(sel_Region="All",C664=sel_Region),OR(sel_Country="All",D664=sel_Country),OR(sel_Channel="All",E664=sel_Channel),OR(sel_Customer="All",F664=sel_Customer),OR(sel_Category="All",G664=sel_Category),OR(sel_Product="All",H664=sel_Product)),1,0)</f>
        <v/>
      </c>
    </row>
    <row r="665">
      <c r="A665" s="36" t="inlineStr">
        <is>
          <t>00149</t>
        </is>
      </c>
      <c r="B665" s="44" t="n">
        <v>46137</v>
      </c>
      <c r="C665" s="36" t="inlineStr">
        <is>
          <t>Central Europe</t>
        </is>
      </c>
      <c r="D665" s="36" t="inlineStr">
        <is>
          <t>Germany</t>
        </is>
      </c>
      <c r="E665" s="36" t="inlineStr">
        <is>
          <t>Online Store</t>
        </is>
      </c>
      <c r="F665" s="36" t="inlineStr">
        <is>
          <t>Returning</t>
        </is>
      </c>
      <c r="G665" s="36" t="inlineStr">
        <is>
          <t>Travel</t>
        </is>
      </c>
      <c r="H665" s="36" t="inlineStr">
        <is>
          <t>Insulated Bottle</t>
        </is>
      </c>
      <c r="I665" s="36" t="n">
        <v>1</v>
      </c>
      <c r="J665" s="39" t="n">
        <v>36.02</v>
      </c>
      <c r="K665" s="45" t="n">
        <v>0.05</v>
      </c>
      <c r="L665" s="39" t="n">
        <v>13.72</v>
      </c>
      <c r="M665" s="39">
        <f>I665*J665*(1-K665)</f>
        <v/>
      </c>
      <c r="N665" s="39">
        <f>I665*L665</f>
        <v/>
      </c>
      <c r="O665" s="39">
        <f>M665-N665</f>
        <v/>
      </c>
      <c r="P665" s="38">
        <f>IF(M665=0,0,O665/M665)</f>
        <v/>
      </c>
      <c r="Q665" s="36">
        <f>YEAR(B665)</f>
        <v/>
      </c>
      <c r="R665" s="36">
        <f>"Q"&amp;ROUNDUP(MONTH(B665)/3,0)</f>
        <v/>
      </c>
      <c r="S665" s="36">
        <f>MONTH(B665)</f>
        <v/>
      </c>
      <c r="T665" s="36">
        <f>TEXT(B665,"mmm")</f>
        <v/>
      </c>
      <c r="U665" s="36">
        <f>IF(AND(OR(sel_Region="All",C665=sel_Region),OR(sel_Country="All",D665=sel_Country),OR(sel_Channel="All",E665=sel_Channel),OR(sel_Customer="All",F665=sel_Customer),OR(sel_Category="All",G665=sel_Category),OR(sel_Product="All",H665=sel_Product),AND(S665&gt;=m_From,S665&lt;=m_To)),1,0)</f>
        <v/>
      </c>
      <c r="V665" s="36">
        <f>IF(AND(OR(sel_Region="All",C665=sel_Region),OR(sel_Channel="All",E665=sel_Channel),OR(sel_Customer="All",F665=sel_Customer),OR(sel_Category="All",G665=sel_Category),OR(sel_Product="All",H665=sel_Product),AND(S665&gt;=m_From,S665&lt;=m_To)),1,0)</f>
        <v/>
      </c>
      <c r="W665" s="36">
        <f>IF(AND(OR(sel_Region="All",C665=sel_Region),OR(sel_Country="All",D665=sel_Country),OR(sel_Customer="All",F665=sel_Customer),OR(sel_Category="All",G665=sel_Category),OR(sel_Product="All",H665=sel_Product),AND(S665&gt;=m_From,S665&lt;=m_To)),1,0)</f>
        <v/>
      </c>
      <c r="X665" s="36">
        <f>IF(AND(OR(sel_Region="All",C665=sel_Region),OR(sel_Country="All",D665=sel_Country),OR(sel_Channel="All",E665=sel_Channel),OR(sel_Category="All",G665=sel_Category),OR(sel_Product="All",H665=sel_Product),AND(S665&gt;=m_From,S665&lt;=m_To)),1,0)</f>
        <v/>
      </c>
      <c r="Y665" s="36">
        <f>IF(AND(OR(sel_Region="All",C665=sel_Region),OR(sel_Country="All",D665=sel_Country),OR(sel_Channel="All",E665=sel_Channel),OR(sel_Customer="All",F665=sel_Customer),OR(sel_Product="All",H665=sel_Product),AND(S665&gt;=m_From,S665&lt;=m_To)),1,0)</f>
        <v/>
      </c>
      <c r="Z665" s="36">
        <f>IF(AND(OR(sel_Region="All",C665=sel_Region),OR(sel_Country="All",D665=sel_Country),OR(sel_Channel="All",E665=sel_Channel),OR(sel_Customer="All",F665=sel_Customer),OR(sel_Category="All",G665=sel_Category),AND(S665&gt;=m_From,S665&lt;=m_To)),1,0)</f>
        <v/>
      </c>
      <c r="AA665" s="36">
        <f>IF(AND(OR(sel_Region="All",C665=sel_Region),OR(sel_Country="All",D665=sel_Country),OR(sel_Channel="All",E665=sel_Channel),OR(sel_Customer="All",F665=sel_Customer),OR(sel_Category="All",G665=sel_Category),OR(sel_Product="All",H665=sel_Product)),1,0)</f>
        <v/>
      </c>
    </row>
    <row r="666">
      <c r="A666" s="36" t="inlineStr">
        <is>
          <t>00449</t>
        </is>
      </c>
      <c r="B666" s="44" t="n">
        <v>46137</v>
      </c>
      <c r="C666" s="36" t="inlineStr">
        <is>
          <t>Northern Europe</t>
        </is>
      </c>
      <c r="D666" s="36" t="inlineStr">
        <is>
          <t>Denmark</t>
        </is>
      </c>
      <c r="E666" s="36" t="inlineStr">
        <is>
          <t>Online Store</t>
        </is>
      </c>
      <c r="F666" s="36" t="inlineStr">
        <is>
          <t>Business</t>
        </is>
      </c>
      <c r="G666" s="36" t="inlineStr">
        <is>
          <t>Travel</t>
        </is>
      </c>
      <c r="H666" s="36" t="inlineStr">
        <is>
          <t>Insulated Bottle</t>
        </is>
      </c>
      <c r="I666" s="36" t="n">
        <v>1</v>
      </c>
      <c r="J666" s="39" t="n">
        <v>36.68</v>
      </c>
      <c r="K666" s="45" t="n">
        <v>0</v>
      </c>
      <c r="L666" s="39" t="n">
        <v>13.27</v>
      </c>
      <c r="M666" s="39">
        <f>I666*J666*(1-K666)</f>
        <v/>
      </c>
      <c r="N666" s="39">
        <f>I666*L666</f>
        <v/>
      </c>
      <c r="O666" s="39">
        <f>M666-N666</f>
        <v/>
      </c>
      <c r="P666" s="38">
        <f>IF(M666=0,0,O666/M666)</f>
        <v/>
      </c>
      <c r="Q666" s="36">
        <f>YEAR(B666)</f>
        <v/>
      </c>
      <c r="R666" s="36">
        <f>"Q"&amp;ROUNDUP(MONTH(B666)/3,0)</f>
        <v/>
      </c>
      <c r="S666" s="36">
        <f>MONTH(B666)</f>
        <v/>
      </c>
      <c r="T666" s="36">
        <f>TEXT(B666,"mmm")</f>
        <v/>
      </c>
      <c r="U666" s="36">
        <f>IF(AND(OR(sel_Region="All",C666=sel_Region),OR(sel_Country="All",D666=sel_Country),OR(sel_Channel="All",E666=sel_Channel),OR(sel_Customer="All",F666=sel_Customer),OR(sel_Category="All",G666=sel_Category),OR(sel_Product="All",H666=sel_Product),AND(S666&gt;=m_From,S666&lt;=m_To)),1,0)</f>
        <v/>
      </c>
      <c r="V666" s="36">
        <f>IF(AND(OR(sel_Region="All",C666=sel_Region),OR(sel_Channel="All",E666=sel_Channel),OR(sel_Customer="All",F666=sel_Customer),OR(sel_Category="All",G666=sel_Category),OR(sel_Product="All",H666=sel_Product),AND(S666&gt;=m_From,S666&lt;=m_To)),1,0)</f>
        <v/>
      </c>
      <c r="W666" s="36">
        <f>IF(AND(OR(sel_Region="All",C666=sel_Region),OR(sel_Country="All",D666=sel_Country),OR(sel_Customer="All",F666=sel_Customer),OR(sel_Category="All",G666=sel_Category),OR(sel_Product="All",H666=sel_Product),AND(S666&gt;=m_From,S666&lt;=m_To)),1,0)</f>
        <v/>
      </c>
      <c r="X666" s="36">
        <f>IF(AND(OR(sel_Region="All",C666=sel_Region),OR(sel_Country="All",D666=sel_Country),OR(sel_Channel="All",E666=sel_Channel),OR(sel_Category="All",G666=sel_Category),OR(sel_Product="All",H666=sel_Product),AND(S666&gt;=m_From,S666&lt;=m_To)),1,0)</f>
        <v/>
      </c>
      <c r="Y666" s="36">
        <f>IF(AND(OR(sel_Region="All",C666=sel_Region),OR(sel_Country="All",D666=sel_Country),OR(sel_Channel="All",E666=sel_Channel),OR(sel_Customer="All",F666=sel_Customer),OR(sel_Product="All",H666=sel_Product),AND(S666&gt;=m_From,S666&lt;=m_To)),1,0)</f>
        <v/>
      </c>
      <c r="Z666" s="36">
        <f>IF(AND(OR(sel_Region="All",C666=sel_Region),OR(sel_Country="All",D666=sel_Country),OR(sel_Channel="All",E666=sel_Channel),OR(sel_Customer="All",F666=sel_Customer),OR(sel_Category="All",G666=sel_Category),AND(S666&gt;=m_From,S666&lt;=m_To)),1,0)</f>
        <v/>
      </c>
      <c r="AA666" s="36">
        <f>IF(AND(OR(sel_Region="All",C666=sel_Region),OR(sel_Country="All",D666=sel_Country),OR(sel_Channel="All",E666=sel_Channel),OR(sel_Customer="All",F666=sel_Customer),OR(sel_Category="All",G666=sel_Category),OR(sel_Product="All",H666=sel_Product)),1,0)</f>
        <v/>
      </c>
    </row>
    <row r="667">
      <c r="A667" s="36" t="inlineStr">
        <is>
          <t>01422</t>
        </is>
      </c>
      <c r="B667" s="44" t="n">
        <v>46137</v>
      </c>
      <c r="C667" s="36" t="inlineStr">
        <is>
          <t>Western Europe</t>
        </is>
      </c>
      <c r="D667" s="36" t="inlineStr">
        <is>
          <t>United Kingdom</t>
        </is>
      </c>
      <c r="E667" s="36" t="inlineStr">
        <is>
          <t>Corporate</t>
        </is>
      </c>
      <c r="F667" s="36" t="inlineStr">
        <is>
          <t>Business</t>
        </is>
      </c>
      <c r="G667" s="36" t="inlineStr">
        <is>
          <t>Camping</t>
        </is>
      </c>
      <c r="H667" s="36" t="inlineStr">
        <is>
          <t>Alpine Tent 4P</t>
        </is>
      </c>
      <c r="I667" s="36" t="n">
        <v>6</v>
      </c>
      <c r="J667" s="39" t="n">
        <v>348.16</v>
      </c>
      <c r="K667" s="45" t="n">
        <v>0.1</v>
      </c>
      <c r="L667" s="39" t="n">
        <v>198.24</v>
      </c>
      <c r="M667" s="39">
        <f>I667*J667*(1-K667)</f>
        <v/>
      </c>
      <c r="N667" s="39">
        <f>I667*L667</f>
        <v/>
      </c>
      <c r="O667" s="39">
        <f>M667-N667</f>
        <v/>
      </c>
      <c r="P667" s="38">
        <f>IF(M667=0,0,O667/M667)</f>
        <v/>
      </c>
      <c r="Q667" s="36">
        <f>YEAR(B667)</f>
        <v/>
      </c>
      <c r="R667" s="36">
        <f>"Q"&amp;ROUNDUP(MONTH(B667)/3,0)</f>
        <v/>
      </c>
      <c r="S667" s="36">
        <f>MONTH(B667)</f>
        <v/>
      </c>
      <c r="T667" s="36">
        <f>TEXT(B667,"mmm")</f>
        <v/>
      </c>
      <c r="U667" s="36">
        <f>IF(AND(OR(sel_Region="All",C667=sel_Region),OR(sel_Country="All",D667=sel_Country),OR(sel_Channel="All",E667=sel_Channel),OR(sel_Customer="All",F667=sel_Customer),OR(sel_Category="All",G667=sel_Category),OR(sel_Product="All",H667=sel_Product),AND(S667&gt;=m_From,S667&lt;=m_To)),1,0)</f>
        <v/>
      </c>
      <c r="V667" s="36">
        <f>IF(AND(OR(sel_Region="All",C667=sel_Region),OR(sel_Channel="All",E667=sel_Channel),OR(sel_Customer="All",F667=sel_Customer),OR(sel_Category="All",G667=sel_Category),OR(sel_Product="All",H667=sel_Product),AND(S667&gt;=m_From,S667&lt;=m_To)),1,0)</f>
        <v/>
      </c>
      <c r="W667" s="36">
        <f>IF(AND(OR(sel_Region="All",C667=sel_Region),OR(sel_Country="All",D667=sel_Country),OR(sel_Customer="All",F667=sel_Customer),OR(sel_Category="All",G667=sel_Category),OR(sel_Product="All",H667=sel_Product),AND(S667&gt;=m_From,S667&lt;=m_To)),1,0)</f>
        <v/>
      </c>
      <c r="X667" s="36">
        <f>IF(AND(OR(sel_Region="All",C667=sel_Region),OR(sel_Country="All",D667=sel_Country),OR(sel_Channel="All",E667=sel_Channel),OR(sel_Category="All",G667=sel_Category),OR(sel_Product="All",H667=sel_Product),AND(S667&gt;=m_From,S667&lt;=m_To)),1,0)</f>
        <v/>
      </c>
      <c r="Y667" s="36">
        <f>IF(AND(OR(sel_Region="All",C667=sel_Region),OR(sel_Country="All",D667=sel_Country),OR(sel_Channel="All",E667=sel_Channel),OR(sel_Customer="All",F667=sel_Customer),OR(sel_Product="All",H667=sel_Product),AND(S667&gt;=m_From,S667&lt;=m_To)),1,0)</f>
        <v/>
      </c>
      <c r="Z667" s="36">
        <f>IF(AND(OR(sel_Region="All",C667=sel_Region),OR(sel_Country="All",D667=sel_Country),OR(sel_Channel="All",E667=sel_Channel),OR(sel_Customer="All",F667=sel_Customer),OR(sel_Category="All",G667=sel_Category),AND(S667&gt;=m_From,S667&lt;=m_To)),1,0)</f>
        <v/>
      </c>
      <c r="AA667" s="36">
        <f>IF(AND(OR(sel_Region="All",C667=sel_Region),OR(sel_Country="All",D667=sel_Country),OR(sel_Channel="All",E667=sel_Channel),OR(sel_Customer="All",F667=sel_Customer),OR(sel_Category="All",G667=sel_Category),OR(sel_Product="All",H667=sel_Product)),1,0)</f>
        <v/>
      </c>
    </row>
    <row r="668">
      <c r="A668" s="36" t="inlineStr">
        <is>
          <t>03248</t>
        </is>
      </c>
      <c r="B668" s="44" t="n">
        <v>46137</v>
      </c>
      <c r="C668" s="36" t="inlineStr">
        <is>
          <t>Northern Europe</t>
        </is>
      </c>
      <c r="D668" s="36" t="inlineStr">
        <is>
          <t>Norway</t>
        </is>
      </c>
      <c r="E668" s="36" t="inlineStr">
        <is>
          <t>Online Store</t>
        </is>
      </c>
      <c r="F668" s="36" t="inlineStr">
        <is>
          <t>Returning</t>
        </is>
      </c>
      <c r="G668" s="36" t="inlineStr">
        <is>
          <t>Cycling</t>
        </is>
      </c>
      <c r="H668" s="36" t="inlineStr">
        <is>
          <t>Compact Repair Kit</t>
        </is>
      </c>
      <c r="I668" s="36" t="n">
        <v>2</v>
      </c>
      <c r="J668" s="39" t="n">
        <v>39.8</v>
      </c>
      <c r="K668" s="45" t="n">
        <v>0.05</v>
      </c>
      <c r="L668" s="39" t="n">
        <v>16.23</v>
      </c>
      <c r="M668" s="39">
        <f>I668*J668*(1-K668)</f>
        <v/>
      </c>
      <c r="N668" s="39">
        <f>I668*L668</f>
        <v/>
      </c>
      <c r="O668" s="39">
        <f>M668-N668</f>
        <v/>
      </c>
      <c r="P668" s="38">
        <f>IF(M668=0,0,O668/M668)</f>
        <v/>
      </c>
      <c r="Q668" s="36">
        <f>YEAR(B668)</f>
        <v/>
      </c>
      <c r="R668" s="36">
        <f>"Q"&amp;ROUNDUP(MONTH(B668)/3,0)</f>
        <v/>
      </c>
      <c r="S668" s="36">
        <f>MONTH(B668)</f>
        <v/>
      </c>
      <c r="T668" s="36">
        <f>TEXT(B668,"mmm")</f>
        <v/>
      </c>
      <c r="U668" s="36">
        <f>IF(AND(OR(sel_Region="All",C668=sel_Region),OR(sel_Country="All",D668=sel_Country),OR(sel_Channel="All",E668=sel_Channel),OR(sel_Customer="All",F668=sel_Customer),OR(sel_Category="All",G668=sel_Category),OR(sel_Product="All",H668=sel_Product),AND(S668&gt;=m_From,S668&lt;=m_To)),1,0)</f>
        <v/>
      </c>
      <c r="V668" s="36">
        <f>IF(AND(OR(sel_Region="All",C668=sel_Region),OR(sel_Channel="All",E668=sel_Channel),OR(sel_Customer="All",F668=sel_Customer),OR(sel_Category="All",G668=sel_Category),OR(sel_Product="All",H668=sel_Product),AND(S668&gt;=m_From,S668&lt;=m_To)),1,0)</f>
        <v/>
      </c>
      <c r="W668" s="36">
        <f>IF(AND(OR(sel_Region="All",C668=sel_Region),OR(sel_Country="All",D668=sel_Country),OR(sel_Customer="All",F668=sel_Customer),OR(sel_Category="All",G668=sel_Category),OR(sel_Product="All",H668=sel_Product),AND(S668&gt;=m_From,S668&lt;=m_To)),1,0)</f>
        <v/>
      </c>
      <c r="X668" s="36">
        <f>IF(AND(OR(sel_Region="All",C668=sel_Region),OR(sel_Country="All",D668=sel_Country),OR(sel_Channel="All",E668=sel_Channel),OR(sel_Category="All",G668=sel_Category),OR(sel_Product="All",H668=sel_Product),AND(S668&gt;=m_From,S668&lt;=m_To)),1,0)</f>
        <v/>
      </c>
      <c r="Y668" s="36">
        <f>IF(AND(OR(sel_Region="All",C668=sel_Region),OR(sel_Country="All",D668=sel_Country),OR(sel_Channel="All",E668=sel_Channel),OR(sel_Customer="All",F668=sel_Customer),OR(sel_Product="All",H668=sel_Product),AND(S668&gt;=m_From,S668&lt;=m_To)),1,0)</f>
        <v/>
      </c>
      <c r="Z668" s="36">
        <f>IF(AND(OR(sel_Region="All",C668=sel_Region),OR(sel_Country="All",D668=sel_Country),OR(sel_Channel="All",E668=sel_Channel),OR(sel_Customer="All",F668=sel_Customer),OR(sel_Category="All",G668=sel_Category),AND(S668&gt;=m_From,S668&lt;=m_To)),1,0)</f>
        <v/>
      </c>
      <c r="AA668" s="36">
        <f>IF(AND(OR(sel_Region="All",C668=sel_Region),OR(sel_Country="All",D668=sel_Country),OR(sel_Channel="All",E668=sel_Channel),OR(sel_Customer="All",F668=sel_Customer),OR(sel_Category="All",G668=sel_Category),OR(sel_Product="All",H668=sel_Product)),1,0)</f>
        <v/>
      </c>
    </row>
    <row r="669">
      <c r="A669" s="36" t="inlineStr">
        <is>
          <t>03445</t>
        </is>
      </c>
      <c r="B669" s="44" t="n">
        <v>46137</v>
      </c>
      <c r="C669" s="36" t="inlineStr">
        <is>
          <t>Southern Europe</t>
        </is>
      </c>
      <c r="D669" s="36" t="inlineStr">
        <is>
          <t>Italy</t>
        </is>
      </c>
      <c r="E669" s="36" t="inlineStr">
        <is>
          <t>Online Store</t>
        </is>
      </c>
      <c r="F669" s="36" t="inlineStr">
        <is>
          <t>Returning</t>
        </is>
      </c>
      <c r="G669" s="36" t="inlineStr">
        <is>
          <t>Cycling</t>
        </is>
      </c>
      <c r="H669" s="36" t="inlineStr">
        <is>
          <t>Compact Repair Kit</t>
        </is>
      </c>
      <c r="I669" s="36" t="n">
        <v>5</v>
      </c>
      <c r="J669" s="39" t="n">
        <v>39.37</v>
      </c>
      <c r="K669" s="45" t="n">
        <v>0.05</v>
      </c>
      <c r="L669" s="39" t="n">
        <v>16.76</v>
      </c>
      <c r="M669" s="39">
        <f>I669*J669*(1-K669)</f>
        <v/>
      </c>
      <c r="N669" s="39">
        <f>I669*L669</f>
        <v/>
      </c>
      <c r="O669" s="39">
        <f>M669-N669</f>
        <v/>
      </c>
      <c r="P669" s="38">
        <f>IF(M669=0,0,O669/M669)</f>
        <v/>
      </c>
      <c r="Q669" s="36">
        <f>YEAR(B669)</f>
        <v/>
      </c>
      <c r="R669" s="36">
        <f>"Q"&amp;ROUNDUP(MONTH(B669)/3,0)</f>
        <v/>
      </c>
      <c r="S669" s="36">
        <f>MONTH(B669)</f>
        <v/>
      </c>
      <c r="T669" s="36">
        <f>TEXT(B669,"mmm")</f>
        <v/>
      </c>
      <c r="U669" s="36">
        <f>IF(AND(OR(sel_Region="All",C669=sel_Region),OR(sel_Country="All",D669=sel_Country),OR(sel_Channel="All",E669=sel_Channel),OR(sel_Customer="All",F669=sel_Customer),OR(sel_Category="All",G669=sel_Category),OR(sel_Product="All",H669=sel_Product),AND(S669&gt;=m_From,S669&lt;=m_To)),1,0)</f>
        <v/>
      </c>
      <c r="V669" s="36">
        <f>IF(AND(OR(sel_Region="All",C669=sel_Region),OR(sel_Channel="All",E669=sel_Channel),OR(sel_Customer="All",F669=sel_Customer),OR(sel_Category="All",G669=sel_Category),OR(sel_Product="All",H669=sel_Product),AND(S669&gt;=m_From,S669&lt;=m_To)),1,0)</f>
        <v/>
      </c>
      <c r="W669" s="36">
        <f>IF(AND(OR(sel_Region="All",C669=sel_Region),OR(sel_Country="All",D669=sel_Country),OR(sel_Customer="All",F669=sel_Customer),OR(sel_Category="All",G669=sel_Category),OR(sel_Product="All",H669=sel_Product),AND(S669&gt;=m_From,S669&lt;=m_To)),1,0)</f>
        <v/>
      </c>
      <c r="X669" s="36">
        <f>IF(AND(OR(sel_Region="All",C669=sel_Region),OR(sel_Country="All",D669=sel_Country),OR(sel_Channel="All",E669=sel_Channel),OR(sel_Category="All",G669=sel_Category),OR(sel_Product="All",H669=sel_Product),AND(S669&gt;=m_From,S669&lt;=m_To)),1,0)</f>
        <v/>
      </c>
      <c r="Y669" s="36">
        <f>IF(AND(OR(sel_Region="All",C669=sel_Region),OR(sel_Country="All",D669=sel_Country),OR(sel_Channel="All",E669=sel_Channel),OR(sel_Customer="All",F669=sel_Customer),OR(sel_Product="All",H669=sel_Product),AND(S669&gt;=m_From,S669&lt;=m_To)),1,0)</f>
        <v/>
      </c>
      <c r="Z669" s="36">
        <f>IF(AND(OR(sel_Region="All",C669=sel_Region),OR(sel_Country="All",D669=sel_Country),OR(sel_Channel="All",E669=sel_Channel),OR(sel_Customer="All",F669=sel_Customer),OR(sel_Category="All",G669=sel_Category),AND(S669&gt;=m_From,S669&lt;=m_To)),1,0)</f>
        <v/>
      </c>
      <c r="AA669" s="36">
        <f>IF(AND(OR(sel_Region="All",C669=sel_Region),OR(sel_Country="All",D669=sel_Country),OR(sel_Channel="All",E669=sel_Channel),OR(sel_Customer="All",F669=sel_Customer),OR(sel_Category="All",G669=sel_Category),OR(sel_Product="All",H669=sel_Product)),1,0)</f>
        <v/>
      </c>
    </row>
    <row r="670">
      <c r="A670" s="36" t="inlineStr">
        <is>
          <t>03930</t>
        </is>
      </c>
      <c r="B670" s="44" t="n">
        <v>46137</v>
      </c>
      <c r="C670" s="36" t="inlineStr">
        <is>
          <t>Central Europe</t>
        </is>
      </c>
      <c r="D670" s="36" t="inlineStr">
        <is>
          <t>Germany</t>
        </is>
      </c>
      <c r="E670" s="36" t="inlineStr">
        <is>
          <t>Marketplace</t>
        </is>
      </c>
      <c r="F670" s="36" t="inlineStr">
        <is>
          <t>Returning</t>
        </is>
      </c>
      <c r="G670" s="36" t="inlineStr">
        <is>
          <t>Fitness</t>
        </is>
      </c>
      <c r="H670" s="36" t="inlineStr">
        <is>
          <t>Resistance Band Set</t>
        </is>
      </c>
      <c r="I670" s="36" t="n">
        <v>2</v>
      </c>
      <c r="J670" s="39" t="n">
        <v>40.85</v>
      </c>
      <c r="K670" s="45" t="n">
        <v>0</v>
      </c>
      <c r="L670" s="39" t="n">
        <v>14.99</v>
      </c>
      <c r="M670" s="39">
        <f>I670*J670*(1-K670)</f>
        <v/>
      </c>
      <c r="N670" s="39">
        <f>I670*L670</f>
        <v/>
      </c>
      <c r="O670" s="39">
        <f>M670-N670</f>
        <v/>
      </c>
      <c r="P670" s="38">
        <f>IF(M670=0,0,O670/M670)</f>
        <v/>
      </c>
      <c r="Q670" s="36">
        <f>YEAR(B670)</f>
        <v/>
      </c>
      <c r="R670" s="36">
        <f>"Q"&amp;ROUNDUP(MONTH(B670)/3,0)</f>
        <v/>
      </c>
      <c r="S670" s="36">
        <f>MONTH(B670)</f>
        <v/>
      </c>
      <c r="T670" s="36">
        <f>TEXT(B670,"mmm")</f>
        <v/>
      </c>
      <c r="U670" s="36">
        <f>IF(AND(OR(sel_Region="All",C670=sel_Region),OR(sel_Country="All",D670=sel_Country),OR(sel_Channel="All",E670=sel_Channel),OR(sel_Customer="All",F670=sel_Customer),OR(sel_Category="All",G670=sel_Category),OR(sel_Product="All",H670=sel_Product),AND(S670&gt;=m_From,S670&lt;=m_To)),1,0)</f>
        <v/>
      </c>
      <c r="V670" s="36">
        <f>IF(AND(OR(sel_Region="All",C670=sel_Region),OR(sel_Channel="All",E670=sel_Channel),OR(sel_Customer="All",F670=sel_Customer),OR(sel_Category="All",G670=sel_Category),OR(sel_Product="All",H670=sel_Product),AND(S670&gt;=m_From,S670&lt;=m_To)),1,0)</f>
        <v/>
      </c>
      <c r="W670" s="36">
        <f>IF(AND(OR(sel_Region="All",C670=sel_Region),OR(sel_Country="All",D670=sel_Country),OR(sel_Customer="All",F670=sel_Customer),OR(sel_Category="All",G670=sel_Category),OR(sel_Product="All",H670=sel_Product),AND(S670&gt;=m_From,S670&lt;=m_To)),1,0)</f>
        <v/>
      </c>
      <c r="X670" s="36">
        <f>IF(AND(OR(sel_Region="All",C670=sel_Region),OR(sel_Country="All",D670=sel_Country),OR(sel_Channel="All",E670=sel_Channel),OR(sel_Category="All",G670=sel_Category),OR(sel_Product="All",H670=sel_Product),AND(S670&gt;=m_From,S670&lt;=m_To)),1,0)</f>
        <v/>
      </c>
      <c r="Y670" s="36">
        <f>IF(AND(OR(sel_Region="All",C670=sel_Region),OR(sel_Country="All",D670=sel_Country),OR(sel_Channel="All",E670=sel_Channel),OR(sel_Customer="All",F670=sel_Customer),OR(sel_Product="All",H670=sel_Product),AND(S670&gt;=m_From,S670&lt;=m_To)),1,0)</f>
        <v/>
      </c>
      <c r="Z670" s="36">
        <f>IF(AND(OR(sel_Region="All",C670=sel_Region),OR(sel_Country="All",D670=sel_Country),OR(sel_Channel="All",E670=sel_Channel),OR(sel_Customer="All",F670=sel_Customer),OR(sel_Category="All",G670=sel_Category),AND(S670&gt;=m_From,S670&lt;=m_To)),1,0)</f>
        <v/>
      </c>
      <c r="AA670" s="36">
        <f>IF(AND(OR(sel_Region="All",C670=sel_Region),OR(sel_Country="All",D670=sel_Country),OR(sel_Channel="All",E670=sel_Channel),OR(sel_Customer="All",F670=sel_Customer),OR(sel_Category="All",G670=sel_Category),OR(sel_Product="All",H670=sel_Product)),1,0)</f>
        <v/>
      </c>
    </row>
    <row r="671">
      <c r="A671" s="36" t="inlineStr">
        <is>
          <t>03969</t>
        </is>
      </c>
      <c r="B671" s="44" t="n">
        <v>46137</v>
      </c>
      <c r="C671" s="36" t="inlineStr">
        <is>
          <t>Western Europe</t>
        </is>
      </c>
      <c r="D671" s="36" t="inlineStr">
        <is>
          <t>United Kingdom</t>
        </is>
      </c>
      <c r="E671" s="36" t="inlineStr">
        <is>
          <t>Marketplace</t>
        </is>
      </c>
      <c r="F671" s="36" t="inlineStr">
        <is>
          <t>Returning</t>
        </is>
      </c>
      <c r="G671" s="36" t="inlineStr">
        <is>
          <t>Hiking</t>
        </is>
      </c>
      <c r="H671" s="36" t="inlineStr">
        <is>
          <t>Hiking Daypack 20L</t>
        </is>
      </c>
      <c r="I671" s="36" t="n">
        <v>1</v>
      </c>
      <c r="J671" s="39" t="n">
        <v>92.91</v>
      </c>
      <c r="K671" s="45" t="n">
        <v>0.05</v>
      </c>
      <c r="L671" s="39" t="n">
        <v>46</v>
      </c>
      <c r="M671" s="39">
        <f>I671*J671*(1-K671)</f>
        <v/>
      </c>
      <c r="N671" s="39">
        <f>I671*L671</f>
        <v/>
      </c>
      <c r="O671" s="39">
        <f>M671-N671</f>
        <v/>
      </c>
      <c r="P671" s="38">
        <f>IF(M671=0,0,O671/M671)</f>
        <v/>
      </c>
      <c r="Q671" s="36">
        <f>YEAR(B671)</f>
        <v/>
      </c>
      <c r="R671" s="36">
        <f>"Q"&amp;ROUNDUP(MONTH(B671)/3,0)</f>
        <v/>
      </c>
      <c r="S671" s="36">
        <f>MONTH(B671)</f>
        <v/>
      </c>
      <c r="T671" s="36">
        <f>TEXT(B671,"mmm")</f>
        <v/>
      </c>
      <c r="U671" s="36">
        <f>IF(AND(OR(sel_Region="All",C671=sel_Region),OR(sel_Country="All",D671=sel_Country),OR(sel_Channel="All",E671=sel_Channel),OR(sel_Customer="All",F671=sel_Customer),OR(sel_Category="All",G671=sel_Category),OR(sel_Product="All",H671=sel_Product),AND(S671&gt;=m_From,S671&lt;=m_To)),1,0)</f>
        <v/>
      </c>
      <c r="V671" s="36">
        <f>IF(AND(OR(sel_Region="All",C671=sel_Region),OR(sel_Channel="All",E671=sel_Channel),OR(sel_Customer="All",F671=sel_Customer),OR(sel_Category="All",G671=sel_Category),OR(sel_Product="All",H671=sel_Product),AND(S671&gt;=m_From,S671&lt;=m_To)),1,0)</f>
        <v/>
      </c>
      <c r="W671" s="36">
        <f>IF(AND(OR(sel_Region="All",C671=sel_Region),OR(sel_Country="All",D671=sel_Country),OR(sel_Customer="All",F671=sel_Customer),OR(sel_Category="All",G671=sel_Category),OR(sel_Product="All",H671=sel_Product),AND(S671&gt;=m_From,S671&lt;=m_To)),1,0)</f>
        <v/>
      </c>
      <c r="X671" s="36">
        <f>IF(AND(OR(sel_Region="All",C671=sel_Region),OR(sel_Country="All",D671=sel_Country),OR(sel_Channel="All",E671=sel_Channel),OR(sel_Category="All",G671=sel_Category),OR(sel_Product="All",H671=sel_Product),AND(S671&gt;=m_From,S671&lt;=m_To)),1,0)</f>
        <v/>
      </c>
      <c r="Y671" s="36">
        <f>IF(AND(OR(sel_Region="All",C671=sel_Region),OR(sel_Country="All",D671=sel_Country),OR(sel_Channel="All",E671=sel_Channel),OR(sel_Customer="All",F671=sel_Customer),OR(sel_Product="All",H671=sel_Product),AND(S671&gt;=m_From,S671&lt;=m_To)),1,0)</f>
        <v/>
      </c>
      <c r="Z671" s="36">
        <f>IF(AND(OR(sel_Region="All",C671=sel_Region),OR(sel_Country="All",D671=sel_Country),OR(sel_Channel="All",E671=sel_Channel),OR(sel_Customer="All",F671=sel_Customer),OR(sel_Category="All",G671=sel_Category),AND(S671&gt;=m_From,S671&lt;=m_To)),1,0)</f>
        <v/>
      </c>
      <c r="AA671" s="36">
        <f>IF(AND(OR(sel_Region="All",C671=sel_Region),OR(sel_Country="All",D671=sel_Country),OR(sel_Channel="All",E671=sel_Channel),OR(sel_Customer="All",F671=sel_Customer),OR(sel_Category="All",G671=sel_Category),OR(sel_Product="All",H671=sel_Product)),1,0)</f>
        <v/>
      </c>
    </row>
    <row r="672">
      <c r="A672" s="36" t="inlineStr">
        <is>
          <t>04190</t>
        </is>
      </c>
      <c r="B672" s="44" t="n">
        <v>46137</v>
      </c>
      <c r="C672" s="36" t="inlineStr">
        <is>
          <t>Western Europe</t>
        </is>
      </c>
      <c r="D672" s="36" t="inlineStr">
        <is>
          <t>France</t>
        </is>
      </c>
      <c r="E672" s="36" t="inlineStr">
        <is>
          <t>Online Store</t>
        </is>
      </c>
      <c r="F672" s="36" t="inlineStr">
        <is>
          <t>New</t>
        </is>
      </c>
      <c r="G672" s="36" t="inlineStr">
        <is>
          <t>Hiking</t>
        </is>
      </c>
      <c r="H672" s="36" t="inlineStr">
        <is>
          <t>Summit Backpack 45L</t>
        </is>
      </c>
      <c r="I672" s="36" t="n">
        <v>1</v>
      </c>
      <c r="J672" s="39" t="n">
        <v>152.01</v>
      </c>
      <c r="K672" s="45" t="n">
        <v>0</v>
      </c>
      <c r="L672" s="39" t="n">
        <v>80.33</v>
      </c>
      <c r="M672" s="39">
        <f>I672*J672*(1-K672)</f>
        <v/>
      </c>
      <c r="N672" s="39">
        <f>I672*L672</f>
        <v/>
      </c>
      <c r="O672" s="39">
        <f>M672-N672</f>
        <v/>
      </c>
      <c r="P672" s="38">
        <f>IF(M672=0,0,O672/M672)</f>
        <v/>
      </c>
      <c r="Q672" s="36">
        <f>YEAR(B672)</f>
        <v/>
      </c>
      <c r="R672" s="36">
        <f>"Q"&amp;ROUNDUP(MONTH(B672)/3,0)</f>
        <v/>
      </c>
      <c r="S672" s="36">
        <f>MONTH(B672)</f>
        <v/>
      </c>
      <c r="T672" s="36">
        <f>TEXT(B672,"mmm")</f>
        <v/>
      </c>
      <c r="U672" s="36">
        <f>IF(AND(OR(sel_Region="All",C672=sel_Region),OR(sel_Country="All",D672=sel_Country),OR(sel_Channel="All",E672=sel_Channel),OR(sel_Customer="All",F672=sel_Customer),OR(sel_Category="All",G672=sel_Category),OR(sel_Product="All",H672=sel_Product),AND(S672&gt;=m_From,S672&lt;=m_To)),1,0)</f>
        <v/>
      </c>
      <c r="V672" s="36">
        <f>IF(AND(OR(sel_Region="All",C672=sel_Region),OR(sel_Channel="All",E672=sel_Channel),OR(sel_Customer="All",F672=sel_Customer),OR(sel_Category="All",G672=sel_Category),OR(sel_Product="All",H672=sel_Product),AND(S672&gt;=m_From,S672&lt;=m_To)),1,0)</f>
        <v/>
      </c>
      <c r="W672" s="36">
        <f>IF(AND(OR(sel_Region="All",C672=sel_Region),OR(sel_Country="All",D672=sel_Country),OR(sel_Customer="All",F672=sel_Customer),OR(sel_Category="All",G672=sel_Category),OR(sel_Product="All",H672=sel_Product),AND(S672&gt;=m_From,S672&lt;=m_To)),1,0)</f>
        <v/>
      </c>
      <c r="X672" s="36">
        <f>IF(AND(OR(sel_Region="All",C672=sel_Region),OR(sel_Country="All",D672=sel_Country),OR(sel_Channel="All",E672=sel_Channel),OR(sel_Category="All",G672=sel_Category),OR(sel_Product="All",H672=sel_Product),AND(S672&gt;=m_From,S672&lt;=m_To)),1,0)</f>
        <v/>
      </c>
      <c r="Y672" s="36">
        <f>IF(AND(OR(sel_Region="All",C672=sel_Region),OR(sel_Country="All",D672=sel_Country),OR(sel_Channel="All",E672=sel_Channel),OR(sel_Customer="All",F672=sel_Customer),OR(sel_Product="All",H672=sel_Product),AND(S672&gt;=m_From,S672&lt;=m_To)),1,0)</f>
        <v/>
      </c>
      <c r="Z672" s="36">
        <f>IF(AND(OR(sel_Region="All",C672=sel_Region),OR(sel_Country="All",D672=sel_Country),OR(sel_Channel="All",E672=sel_Channel),OR(sel_Customer="All",F672=sel_Customer),OR(sel_Category="All",G672=sel_Category),AND(S672&gt;=m_From,S672&lt;=m_To)),1,0)</f>
        <v/>
      </c>
      <c r="AA672" s="36">
        <f>IF(AND(OR(sel_Region="All",C672=sel_Region),OR(sel_Country="All",D672=sel_Country),OR(sel_Channel="All",E672=sel_Channel),OR(sel_Customer="All",F672=sel_Customer),OR(sel_Category="All",G672=sel_Category),OR(sel_Product="All",H672=sel_Product)),1,0)</f>
        <v/>
      </c>
    </row>
    <row r="673">
      <c r="A673" s="36" t="inlineStr">
        <is>
          <t>04442</t>
        </is>
      </c>
      <c r="B673" s="44" t="n">
        <v>46137</v>
      </c>
      <c r="C673" s="36" t="inlineStr">
        <is>
          <t>Central Europe</t>
        </is>
      </c>
      <c r="D673" s="36" t="inlineStr">
        <is>
          <t>Austria</t>
        </is>
      </c>
      <c r="E673" s="36" t="inlineStr">
        <is>
          <t>Marketplace</t>
        </is>
      </c>
      <c r="F673" s="36" t="inlineStr">
        <is>
          <t>New</t>
        </is>
      </c>
      <c r="G673" s="36" t="inlineStr">
        <is>
          <t>Travel</t>
        </is>
      </c>
      <c r="H673" s="36" t="inlineStr">
        <is>
          <t>Insulated Bottle</t>
        </is>
      </c>
      <c r="I673" s="36" t="n">
        <v>1</v>
      </c>
      <c r="J673" s="39" t="n">
        <v>36.65</v>
      </c>
      <c r="K673" s="45" t="n">
        <v>0</v>
      </c>
      <c r="L673" s="39" t="n">
        <v>13.28</v>
      </c>
      <c r="M673" s="39">
        <f>I673*J673*(1-K673)</f>
        <v/>
      </c>
      <c r="N673" s="39">
        <f>I673*L673</f>
        <v/>
      </c>
      <c r="O673" s="39">
        <f>M673-N673</f>
        <v/>
      </c>
      <c r="P673" s="38">
        <f>IF(M673=0,0,O673/M673)</f>
        <v/>
      </c>
      <c r="Q673" s="36">
        <f>YEAR(B673)</f>
        <v/>
      </c>
      <c r="R673" s="36">
        <f>"Q"&amp;ROUNDUP(MONTH(B673)/3,0)</f>
        <v/>
      </c>
      <c r="S673" s="36">
        <f>MONTH(B673)</f>
        <v/>
      </c>
      <c r="T673" s="36">
        <f>TEXT(B673,"mmm")</f>
        <v/>
      </c>
      <c r="U673" s="36">
        <f>IF(AND(OR(sel_Region="All",C673=sel_Region),OR(sel_Country="All",D673=sel_Country),OR(sel_Channel="All",E673=sel_Channel),OR(sel_Customer="All",F673=sel_Customer),OR(sel_Category="All",G673=sel_Category),OR(sel_Product="All",H673=sel_Product),AND(S673&gt;=m_From,S673&lt;=m_To)),1,0)</f>
        <v/>
      </c>
      <c r="V673" s="36">
        <f>IF(AND(OR(sel_Region="All",C673=sel_Region),OR(sel_Channel="All",E673=sel_Channel),OR(sel_Customer="All",F673=sel_Customer),OR(sel_Category="All",G673=sel_Category),OR(sel_Product="All",H673=sel_Product),AND(S673&gt;=m_From,S673&lt;=m_To)),1,0)</f>
        <v/>
      </c>
      <c r="W673" s="36">
        <f>IF(AND(OR(sel_Region="All",C673=sel_Region),OR(sel_Country="All",D673=sel_Country),OR(sel_Customer="All",F673=sel_Customer),OR(sel_Category="All",G673=sel_Category),OR(sel_Product="All",H673=sel_Product),AND(S673&gt;=m_From,S673&lt;=m_To)),1,0)</f>
        <v/>
      </c>
      <c r="X673" s="36">
        <f>IF(AND(OR(sel_Region="All",C673=sel_Region),OR(sel_Country="All",D673=sel_Country),OR(sel_Channel="All",E673=sel_Channel),OR(sel_Category="All",G673=sel_Category),OR(sel_Product="All",H673=sel_Product),AND(S673&gt;=m_From,S673&lt;=m_To)),1,0)</f>
        <v/>
      </c>
      <c r="Y673" s="36">
        <f>IF(AND(OR(sel_Region="All",C673=sel_Region),OR(sel_Country="All",D673=sel_Country),OR(sel_Channel="All",E673=sel_Channel),OR(sel_Customer="All",F673=sel_Customer),OR(sel_Product="All",H673=sel_Product),AND(S673&gt;=m_From,S673&lt;=m_To)),1,0)</f>
        <v/>
      </c>
      <c r="Z673" s="36">
        <f>IF(AND(OR(sel_Region="All",C673=sel_Region),OR(sel_Country="All",D673=sel_Country),OR(sel_Channel="All",E673=sel_Channel),OR(sel_Customer="All",F673=sel_Customer),OR(sel_Category="All",G673=sel_Category),AND(S673&gt;=m_From,S673&lt;=m_To)),1,0)</f>
        <v/>
      </c>
      <c r="AA673" s="36">
        <f>IF(AND(OR(sel_Region="All",C673=sel_Region),OR(sel_Country="All",D673=sel_Country),OR(sel_Channel="All",E673=sel_Channel),OR(sel_Customer="All",F673=sel_Customer),OR(sel_Category="All",G673=sel_Category),OR(sel_Product="All",H673=sel_Product)),1,0)</f>
        <v/>
      </c>
    </row>
    <row r="674">
      <c r="A674" s="36" t="inlineStr">
        <is>
          <t>00228</t>
        </is>
      </c>
      <c r="B674" s="44" t="n">
        <v>46138</v>
      </c>
      <c r="C674" s="36" t="inlineStr">
        <is>
          <t>Western Europe</t>
        </is>
      </c>
      <c r="D674" s="36" t="inlineStr">
        <is>
          <t>United Kingdom</t>
        </is>
      </c>
      <c r="E674" s="36" t="inlineStr">
        <is>
          <t>Online Store</t>
        </is>
      </c>
      <c r="F674" s="36" t="inlineStr">
        <is>
          <t>Returning</t>
        </is>
      </c>
      <c r="G674" s="36" t="inlineStr">
        <is>
          <t>Camping</t>
        </is>
      </c>
      <c r="H674" s="36" t="inlineStr">
        <is>
          <t>Portable Camp Stove</t>
        </is>
      </c>
      <c r="I674" s="36" t="n">
        <v>5</v>
      </c>
      <c r="J674" s="39" t="n">
        <v>80.81999999999999</v>
      </c>
      <c r="K674" s="45" t="n">
        <v>0</v>
      </c>
      <c r="L674" s="39" t="n">
        <v>40.47</v>
      </c>
      <c r="M674" s="39">
        <f>I674*J674*(1-K674)</f>
        <v/>
      </c>
      <c r="N674" s="39">
        <f>I674*L674</f>
        <v/>
      </c>
      <c r="O674" s="39">
        <f>M674-N674</f>
        <v/>
      </c>
      <c r="P674" s="38">
        <f>IF(M674=0,0,O674/M674)</f>
        <v/>
      </c>
      <c r="Q674" s="36">
        <f>YEAR(B674)</f>
        <v/>
      </c>
      <c r="R674" s="36">
        <f>"Q"&amp;ROUNDUP(MONTH(B674)/3,0)</f>
        <v/>
      </c>
      <c r="S674" s="36">
        <f>MONTH(B674)</f>
        <v/>
      </c>
      <c r="T674" s="36">
        <f>TEXT(B674,"mmm")</f>
        <v/>
      </c>
      <c r="U674" s="36">
        <f>IF(AND(OR(sel_Region="All",C674=sel_Region),OR(sel_Country="All",D674=sel_Country),OR(sel_Channel="All",E674=sel_Channel),OR(sel_Customer="All",F674=sel_Customer),OR(sel_Category="All",G674=sel_Category),OR(sel_Product="All",H674=sel_Product),AND(S674&gt;=m_From,S674&lt;=m_To)),1,0)</f>
        <v/>
      </c>
      <c r="V674" s="36">
        <f>IF(AND(OR(sel_Region="All",C674=sel_Region),OR(sel_Channel="All",E674=sel_Channel),OR(sel_Customer="All",F674=sel_Customer),OR(sel_Category="All",G674=sel_Category),OR(sel_Product="All",H674=sel_Product),AND(S674&gt;=m_From,S674&lt;=m_To)),1,0)</f>
        <v/>
      </c>
      <c r="W674" s="36">
        <f>IF(AND(OR(sel_Region="All",C674=sel_Region),OR(sel_Country="All",D674=sel_Country),OR(sel_Customer="All",F674=sel_Customer),OR(sel_Category="All",G674=sel_Category),OR(sel_Product="All",H674=sel_Product),AND(S674&gt;=m_From,S674&lt;=m_To)),1,0)</f>
        <v/>
      </c>
      <c r="X674" s="36">
        <f>IF(AND(OR(sel_Region="All",C674=sel_Region),OR(sel_Country="All",D674=sel_Country),OR(sel_Channel="All",E674=sel_Channel),OR(sel_Category="All",G674=sel_Category),OR(sel_Product="All",H674=sel_Product),AND(S674&gt;=m_From,S674&lt;=m_To)),1,0)</f>
        <v/>
      </c>
      <c r="Y674" s="36">
        <f>IF(AND(OR(sel_Region="All",C674=sel_Region),OR(sel_Country="All",D674=sel_Country),OR(sel_Channel="All",E674=sel_Channel),OR(sel_Customer="All",F674=sel_Customer),OR(sel_Product="All",H674=sel_Product),AND(S674&gt;=m_From,S674&lt;=m_To)),1,0)</f>
        <v/>
      </c>
      <c r="Z674" s="36">
        <f>IF(AND(OR(sel_Region="All",C674=sel_Region),OR(sel_Country="All",D674=sel_Country),OR(sel_Channel="All",E674=sel_Channel),OR(sel_Customer="All",F674=sel_Customer),OR(sel_Category="All",G674=sel_Category),AND(S674&gt;=m_From,S674&lt;=m_To)),1,0)</f>
        <v/>
      </c>
      <c r="AA674" s="36">
        <f>IF(AND(OR(sel_Region="All",C674=sel_Region),OR(sel_Country="All",D674=sel_Country),OR(sel_Channel="All",E674=sel_Channel),OR(sel_Customer="All",F674=sel_Customer),OR(sel_Category="All",G674=sel_Category),OR(sel_Product="All",H674=sel_Product)),1,0)</f>
        <v/>
      </c>
    </row>
    <row r="675">
      <c r="A675" s="36" t="inlineStr">
        <is>
          <t>02101</t>
        </is>
      </c>
      <c r="B675" s="44" t="n">
        <v>46138</v>
      </c>
      <c r="C675" s="36" t="inlineStr">
        <is>
          <t>Western Europe</t>
        </is>
      </c>
      <c r="D675" s="36" t="inlineStr">
        <is>
          <t>Belgium</t>
        </is>
      </c>
      <c r="E675" s="36" t="inlineStr">
        <is>
          <t>Online Store</t>
        </is>
      </c>
      <c r="F675" s="36" t="inlineStr">
        <is>
          <t>New</t>
        </is>
      </c>
      <c r="G675" s="36" t="inlineStr">
        <is>
          <t>Hiking</t>
        </is>
      </c>
      <c r="H675" s="36" t="inlineStr">
        <is>
          <t>Trail Boots</t>
        </is>
      </c>
      <c r="I675" s="36" t="n">
        <v>4</v>
      </c>
      <c r="J675" s="39" t="n">
        <v>144.7</v>
      </c>
      <c r="K675" s="45" t="n">
        <v>0</v>
      </c>
      <c r="L675" s="39" t="n">
        <v>79.41</v>
      </c>
      <c r="M675" s="39">
        <f>I675*J675*(1-K675)</f>
        <v/>
      </c>
      <c r="N675" s="39">
        <f>I675*L675</f>
        <v/>
      </c>
      <c r="O675" s="39">
        <f>M675-N675</f>
        <v/>
      </c>
      <c r="P675" s="38">
        <f>IF(M675=0,0,O675/M675)</f>
        <v/>
      </c>
      <c r="Q675" s="36">
        <f>YEAR(B675)</f>
        <v/>
      </c>
      <c r="R675" s="36">
        <f>"Q"&amp;ROUNDUP(MONTH(B675)/3,0)</f>
        <v/>
      </c>
      <c r="S675" s="36">
        <f>MONTH(B675)</f>
        <v/>
      </c>
      <c r="T675" s="36">
        <f>TEXT(B675,"mmm")</f>
        <v/>
      </c>
      <c r="U675" s="36">
        <f>IF(AND(OR(sel_Region="All",C675=sel_Region),OR(sel_Country="All",D675=sel_Country),OR(sel_Channel="All",E675=sel_Channel),OR(sel_Customer="All",F675=sel_Customer),OR(sel_Category="All",G675=sel_Category),OR(sel_Product="All",H675=sel_Product),AND(S675&gt;=m_From,S675&lt;=m_To)),1,0)</f>
        <v/>
      </c>
      <c r="V675" s="36">
        <f>IF(AND(OR(sel_Region="All",C675=sel_Region),OR(sel_Channel="All",E675=sel_Channel),OR(sel_Customer="All",F675=sel_Customer),OR(sel_Category="All",G675=sel_Category),OR(sel_Product="All",H675=sel_Product),AND(S675&gt;=m_From,S675&lt;=m_To)),1,0)</f>
        <v/>
      </c>
      <c r="W675" s="36">
        <f>IF(AND(OR(sel_Region="All",C675=sel_Region),OR(sel_Country="All",D675=sel_Country),OR(sel_Customer="All",F675=sel_Customer),OR(sel_Category="All",G675=sel_Category),OR(sel_Product="All",H675=sel_Product),AND(S675&gt;=m_From,S675&lt;=m_To)),1,0)</f>
        <v/>
      </c>
      <c r="X675" s="36">
        <f>IF(AND(OR(sel_Region="All",C675=sel_Region),OR(sel_Country="All",D675=sel_Country),OR(sel_Channel="All",E675=sel_Channel),OR(sel_Category="All",G675=sel_Category),OR(sel_Product="All",H675=sel_Product),AND(S675&gt;=m_From,S675&lt;=m_To)),1,0)</f>
        <v/>
      </c>
      <c r="Y675" s="36">
        <f>IF(AND(OR(sel_Region="All",C675=sel_Region),OR(sel_Country="All",D675=sel_Country),OR(sel_Channel="All",E675=sel_Channel),OR(sel_Customer="All",F675=sel_Customer),OR(sel_Product="All",H675=sel_Product),AND(S675&gt;=m_From,S675&lt;=m_To)),1,0)</f>
        <v/>
      </c>
      <c r="Z675" s="36">
        <f>IF(AND(OR(sel_Region="All",C675=sel_Region),OR(sel_Country="All",D675=sel_Country),OR(sel_Channel="All",E675=sel_Channel),OR(sel_Customer="All",F675=sel_Customer),OR(sel_Category="All",G675=sel_Category),AND(S675&gt;=m_From,S675&lt;=m_To)),1,0)</f>
        <v/>
      </c>
      <c r="AA675" s="36">
        <f>IF(AND(OR(sel_Region="All",C675=sel_Region),OR(sel_Country="All",D675=sel_Country),OR(sel_Channel="All",E675=sel_Channel),OR(sel_Customer="All",F675=sel_Customer),OR(sel_Category="All",G675=sel_Category),OR(sel_Product="All",H675=sel_Product)),1,0)</f>
        <v/>
      </c>
    </row>
    <row r="676">
      <c r="A676" s="36" t="inlineStr">
        <is>
          <t>02590</t>
        </is>
      </c>
      <c r="B676" s="44" t="n">
        <v>46138</v>
      </c>
      <c r="C676" s="36" t="inlineStr">
        <is>
          <t>Central Europe</t>
        </is>
      </c>
      <c r="D676" s="36" t="inlineStr">
        <is>
          <t>Austria</t>
        </is>
      </c>
      <c r="E676" s="36" t="inlineStr">
        <is>
          <t>Retail Partners</t>
        </is>
      </c>
      <c r="F676" s="36" t="inlineStr">
        <is>
          <t>New</t>
        </is>
      </c>
      <c r="G676" s="36" t="inlineStr">
        <is>
          <t>Fitness</t>
        </is>
      </c>
      <c r="H676" s="36" t="inlineStr">
        <is>
          <t>Recovery Roller</t>
        </is>
      </c>
      <c r="I676" s="36" t="n">
        <v>2</v>
      </c>
      <c r="J676" s="39" t="n">
        <v>36.51</v>
      </c>
      <c r="K676" s="45" t="n">
        <v>0.1</v>
      </c>
      <c r="L676" s="39" t="n">
        <v>14.18</v>
      </c>
      <c r="M676" s="39">
        <f>I676*J676*(1-K676)</f>
        <v/>
      </c>
      <c r="N676" s="39">
        <f>I676*L676</f>
        <v/>
      </c>
      <c r="O676" s="39">
        <f>M676-N676</f>
        <v/>
      </c>
      <c r="P676" s="38">
        <f>IF(M676=0,0,O676/M676)</f>
        <v/>
      </c>
      <c r="Q676" s="36">
        <f>YEAR(B676)</f>
        <v/>
      </c>
      <c r="R676" s="36">
        <f>"Q"&amp;ROUNDUP(MONTH(B676)/3,0)</f>
        <v/>
      </c>
      <c r="S676" s="36">
        <f>MONTH(B676)</f>
        <v/>
      </c>
      <c r="T676" s="36">
        <f>TEXT(B676,"mmm")</f>
        <v/>
      </c>
      <c r="U676" s="36">
        <f>IF(AND(OR(sel_Region="All",C676=sel_Region),OR(sel_Country="All",D676=sel_Country),OR(sel_Channel="All",E676=sel_Channel),OR(sel_Customer="All",F676=sel_Customer),OR(sel_Category="All",G676=sel_Category),OR(sel_Product="All",H676=sel_Product),AND(S676&gt;=m_From,S676&lt;=m_To)),1,0)</f>
        <v/>
      </c>
      <c r="V676" s="36">
        <f>IF(AND(OR(sel_Region="All",C676=sel_Region),OR(sel_Channel="All",E676=sel_Channel),OR(sel_Customer="All",F676=sel_Customer),OR(sel_Category="All",G676=sel_Category),OR(sel_Product="All",H676=sel_Product),AND(S676&gt;=m_From,S676&lt;=m_To)),1,0)</f>
        <v/>
      </c>
      <c r="W676" s="36">
        <f>IF(AND(OR(sel_Region="All",C676=sel_Region),OR(sel_Country="All",D676=sel_Country),OR(sel_Customer="All",F676=sel_Customer),OR(sel_Category="All",G676=sel_Category),OR(sel_Product="All",H676=sel_Product),AND(S676&gt;=m_From,S676&lt;=m_To)),1,0)</f>
        <v/>
      </c>
      <c r="X676" s="36">
        <f>IF(AND(OR(sel_Region="All",C676=sel_Region),OR(sel_Country="All",D676=sel_Country),OR(sel_Channel="All",E676=sel_Channel),OR(sel_Category="All",G676=sel_Category),OR(sel_Product="All",H676=sel_Product),AND(S676&gt;=m_From,S676&lt;=m_To)),1,0)</f>
        <v/>
      </c>
      <c r="Y676" s="36">
        <f>IF(AND(OR(sel_Region="All",C676=sel_Region),OR(sel_Country="All",D676=sel_Country),OR(sel_Channel="All",E676=sel_Channel),OR(sel_Customer="All",F676=sel_Customer),OR(sel_Product="All",H676=sel_Product),AND(S676&gt;=m_From,S676&lt;=m_To)),1,0)</f>
        <v/>
      </c>
      <c r="Z676" s="36">
        <f>IF(AND(OR(sel_Region="All",C676=sel_Region),OR(sel_Country="All",D676=sel_Country),OR(sel_Channel="All",E676=sel_Channel),OR(sel_Customer="All",F676=sel_Customer),OR(sel_Category="All",G676=sel_Category),AND(S676&gt;=m_From,S676&lt;=m_To)),1,0)</f>
        <v/>
      </c>
      <c r="AA676" s="36">
        <f>IF(AND(OR(sel_Region="All",C676=sel_Region),OR(sel_Country="All",D676=sel_Country),OR(sel_Channel="All",E676=sel_Channel),OR(sel_Customer="All",F676=sel_Customer),OR(sel_Category="All",G676=sel_Category),OR(sel_Product="All",H676=sel_Product)),1,0)</f>
        <v/>
      </c>
    </row>
    <row r="677">
      <c r="A677" s="36" t="inlineStr">
        <is>
          <t>02957</t>
        </is>
      </c>
      <c r="B677" s="44" t="n">
        <v>46138</v>
      </c>
      <c r="C677" s="36" t="inlineStr">
        <is>
          <t>Western Europe</t>
        </is>
      </c>
      <c r="D677" s="36" t="inlineStr">
        <is>
          <t>Netherlands</t>
        </is>
      </c>
      <c r="E677" s="36" t="inlineStr">
        <is>
          <t>Marketplace</t>
        </is>
      </c>
      <c r="F677" s="36" t="inlineStr">
        <is>
          <t>New</t>
        </is>
      </c>
      <c r="G677" s="36" t="inlineStr">
        <is>
          <t>Travel</t>
        </is>
      </c>
      <c r="H677" s="36" t="inlineStr">
        <is>
          <t>Insulated Bottle</t>
        </is>
      </c>
      <c r="I677" s="36" t="n">
        <v>3</v>
      </c>
      <c r="J677" s="39" t="n">
        <v>36.58</v>
      </c>
      <c r="K677" s="45" t="n">
        <v>0.05</v>
      </c>
      <c r="L677" s="39" t="n">
        <v>13.71</v>
      </c>
      <c r="M677" s="39">
        <f>I677*J677*(1-K677)</f>
        <v/>
      </c>
      <c r="N677" s="39">
        <f>I677*L677</f>
        <v/>
      </c>
      <c r="O677" s="39">
        <f>M677-N677</f>
        <v/>
      </c>
      <c r="P677" s="38">
        <f>IF(M677=0,0,O677/M677)</f>
        <v/>
      </c>
      <c r="Q677" s="36">
        <f>YEAR(B677)</f>
        <v/>
      </c>
      <c r="R677" s="36">
        <f>"Q"&amp;ROUNDUP(MONTH(B677)/3,0)</f>
        <v/>
      </c>
      <c r="S677" s="36">
        <f>MONTH(B677)</f>
        <v/>
      </c>
      <c r="T677" s="36">
        <f>TEXT(B677,"mmm")</f>
        <v/>
      </c>
      <c r="U677" s="36">
        <f>IF(AND(OR(sel_Region="All",C677=sel_Region),OR(sel_Country="All",D677=sel_Country),OR(sel_Channel="All",E677=sel_Channel),OR(sel_Customer="All",F677=sel_Customer),OR(sel_Category="All",G677=sel_Category),OR(sel_Product="All",H677=sel_Product),AND(S677&gt;=m_From,S677&lt;=m_To)),1,0)</f>
        <v/>
      </c>
      <c r="V677" s="36">
        <f>IF(AND(OR(sel_Region="All",C677=sel_Region),OR(sel_Channel="All",E677=sel_Channel),OR(sel_Customer="All",F677=sel_Customer),OR(sel_Category="All",G677=sel_Category),OR(sel_Product="All",H677=sel_Product),AND(S677&gt;=m_From,S677&lt;=m_To)),1,0)</f>
        <v/>
      </c>
      <c r="W677" s="36">
        <f>IF(AND(OR(sel_Region="All",C677=sel_Region),OR(sel_Country="All",D677=sel_Country),OR(sel_Customer="All",F677=sel_Customer),OR(sel_Category="All",G677=sel_Category),OR(sel_Product="All",H677=sel_Product),AND(S677&gt;=m_From,S677&lt;=m_To)),1,0)</f>
        <v/>
      </c>
      <c r="X677" s="36">
        <f>IF(AND(OR(sel_Region="All",C677=sel_Region),OR(sel_Country="All",D677=sel_Country),OR(sel_Channel="All",E677=sel_Channel),OR(sel_Category="All",G677=sel_Category),OR(sel_Product="All",H677=sel_Product),AND(S677&gt;=m_From,S677&lt;=m_To)),1,0)</f>
        <v/>
      </c>
      <c r="Y677" s="36">
        <f>IF(AND(OR(sel_Region="All",C677=sel_Region),OR(sel_Country="All",D677=sel_Country),OR(sel_Channel="All",E677=sel_Channel),OR(sel_Customer="All",F677=sel_Customer),OR(sel_Product="All",H677=sel_Product),AND(S677&gt;=m_From,S677&lt;=m_To)),1,0)</f>
        <v/>
      </c>
      <c r="Z677" s="36">
        <f>IF(AND(OR(sel_Region="All",C677=sel_Region),OR(sel_Country="All",D677=sel_Country),OR(sel_Channel="All",E677=sel_Channel),OR(sel_Customer="All",F677=sel_Customer),OR(sel_Category="All",G677=sel_Category),AND(S677&gt;=m_From,S677&lt;=m_To)),1,0)</f>
        <v/>
      </c>
      <c r="AA677" s="36">
        <f>IF(AND(OR(sel_Region="All",C677=sel_Region),OR(sel_Country="All",D677=sel_Country),OR(sel_Channel="All",E677=sel_Channel),OR(sel_Customer="All",F677=sel_Customer),OR(sel_Category="All",G677=sel_Category),OR(sel_Product="All",H677=sel_Product)),1,0)</f>
        <v/>
      </c>
    </row>
    <row r="678">
      <c r="A678" s="36" t="inlineStr">
        <is>
          <t>04270</t>
        </is>
      </c>
      <c r="B678" s="44" t="n">
        <v>46138</v>
      </c>
      <c r="C678" s="36" t="inlineStr">
        <is>
          <t>Western Europe</t>
        </is>
      </c>
      <c r="D678" s="36" t="inlineStr">
        <is>
          <t>Netherlands</t>
        </is>
      </c>
      <c r="E678" s="36" t="inlineStr">
        <is>
          <t>Retail Partners</t>
        </is>
      </c>
      <c r="F678" s="36" t="inlineStr">
        <is>
          <t>Business</t>
        </is>
      </c>
      <c r="G678" s="36" t="inlineStr">
        <is>
          <t>Camping</t>
        </is>
      </c>
      <c r="H678" s="36" t="inlineStr">
        <is>
          <t>Trail Tent 2P</t>
        </is>
      </c>
      <c r="I678" s="36" t="n">
        <v>2</v>
      </c>
      <c r="J678" s="39" t="n">
        <v>191.59</v>
      </c>
      <c r="K678" s="45" t="n">
        <v>0</v>
      </c>
      <c r="L678" s="39" t="n">
        <v>102.52</v>
      </c>
      <c r="M678" s="39">
        <f>I678*J678*(1-K678)</f>
        <v/>
      </c>
      <c r="N678" s="39">
        <f>I678*L678</f>
        <v/>
      </c>
      <c r="O678" s="39">
        <f>M678-N678</f>
        <v/>
      </c>
      <c r="P678" s="38">
        <f>IF(M678=0,0,O678/M678)</f>
        <v/>
      </c>
      <c r="Q678" s="36">
        <f>YEAR(B678)</f>
        <v/>
      </c>
      <c r="R678" s="36">
        <f>"Q"&amp;ROUNDUP(MONTH(B678)/3,0)</f>
        <v/>
      </c>
      <c r="S678" s="36">
        <f>MONTH(B678)</f>
        <v/>
      </c>
      <c r="T678" s="36">
        <f>TEXT(B678,"mmm")</f>
        <v/>
      </c>
      <c r="U678" s="36">
        <f>IF(AND(OR(sel_Region="All",C678=sel_Region),OR(sel_Country="All",D678=sel_Country),OR(sel_Channel="All",E678=sel_Channel),OR(sel_Customer="All",F678=sel_Customer),OR(sel_Category="All",G678=sel_Category),OR(sel_Product="All",H678=sel_Product),AND(S678&gt;=m_From,S678&lt;=m_To)),1,0)</f>
        <v/>
      </c>
      <c r="V678" s="36">
        <f>IF(AND(OR(sel_Region="All",C678=sel_Region),OR(sel_Channel="All",E678=sel_Channel),OR(sel_Customer="All",F678=sel_Customer),OR(sel_Category="All",G678=sel_Category),OR(sel_Product="All",H678=sel_Product),AND(S678&gt;=m_From,S678&lt;=m_To)),1,0)</f>
        <v/>
      </c>
      <c r="W678" s="36">
        <f>IF(AND(OR(sel_Region="All",C678=sel_Region),OR(sel_Country="All",D678=sel_Country),OR(sel_Customer="All",F678=sel_Customer),OR(sel_Category="All",G678=sel_Category),OR(sel_Product="All",H678=sel_Product),AND(S678&gt;=m_From,S678&lt;=m_To)),1,0)</f>
        <v/>
      </c>
      <c r="X678" s="36">
        <f>IF(AND(OR(sel_Region="All",C678=sel_Region),OR(sel_Country="All",D678=sel_Country),OR(sel_Channel="All",E678=sel_Channel),OR(sel_Category="All",G678=sel_Category),OR(sel_Product="All",H678=sel_Product),AND(S678&gt;=m_From,S678&lt;=m_To)),1,0)</f>
        <v/>
      </c>
      <c r="Y678" s="36">
        <f>IF(AND(OR(sel_Region="All",C678=sel_Region),OR(sel_Country="All",D678=sel_Country),OR(sel_Channel="All",E678=sel_Channel),OR(sel_Customer="All",F678=sel_Customer),OR(sel_Product="All",H678=sel_Product),AND(S678&gt;=m_From,S678&lt;=m_To)),1,0)</f>
        <v/>
      </c>
      <c r="Z678" s="36">
        <f>IF(AND(OR(sel_Region="All",C678=sel_Region),OR(sel_Country="All",D678=sel_Country),OR(sel_Channel="All",E678=sel_Channel),OR(sel_Customer="All",F678=sel_Customer),OR(sel_Category="All",G678=sel_Category),AND(S678&gt;=m_From,S678&lt;=m_To)),1,0)</f>
        <v/>
      </c>
      <c r="AA678" s="36">
        <f>IF(AND(OR(sel_Region="All",C678=sel_Region),OR(sel_Country="All",D678=sel_Country),OR(sel_Channel="All",E678=sel_Channel),OR(sel_Customer="All",F678=sel_Customer),OR(sel_Category="All",G678=sel_Category),OR(sel_Product="All",H678=sel_Product)),1,0)</f>
        <v/>
      </c>
    </row>
    <row r="679">
      <c r="A679" s="36" t="inlineStr">
        <is>
          <t>04324</t>
        </is>
      </c>
      <c r="B679" s="44" t="n">
        <v>46138</v>
      </c>
      <c r="C679" s="36" t="inlineStr">
        <is>
          <t>Western Europe</t>
        </is>
      </c>
      <c r="D679" s="36" t="inlineStr">
        <is>
          <t>United Kingdom</t>
        </is>
      </c>
      <c r="E679" s="36" t="inlineStr">
        <is>
          <t>Corporate</t>
        </is>
      </c>
      <c r="F679" s="36" t="inlineStr">
        <is>
          <t>Business</t>
        </is>
      </c>
      <c r="G679" s="36" t="inlineStr">
        <is>
          <t>Camping</t>
        </is>
      </c>
      <c r="H679" s="36" t="inlineStr">
        <is>
          <t>Alpine Tent 4P</t>
        </is>
      </c>
      <c r="I679" s="36" t="n">
        <v>6</v>
      </c>
      <c r="J679" s="39" t="n">
        <v>337.24</v>
      </c>
      <c r="K679" s="45" t="n">
        <v>0.05</v>
      </c>
      <c r="L679" s="39" t="n">
        <v>198.63</v>
      </c>
      <c r="M679" s="39">
        <f>I679*J679*(1-K679)</f>
        <v/>
      </c>
      <c r="N679" s="39">
        <f>I679*L679</f>
        <v/>
      </c>
      <c r="O679" s="39">
        <f>M679-N679</f>
        <v/>
      </c>
      <c r="P679" s="38">
        <f>IF(M679=0,0,O679/M679)</f>
        <v/>
      </c>
      <c r="Q679" s="36">
        <f>YEAR(B679)</f>
        <v/>
      </c>
      <c r="R679" s="36">
        <f>"Q"&amp;ROUNDUP(MONTH(B679)/3,0)</f>
        <v/>
      </c>
      <c r="S679" s="36">
        <f>MONTH(B679)</f>
        <v/>
      </c>
      <c r="T679" s="36">
        <f>TEXT(B679,"mmm")</f>
        <v/>
      </c>
      <c r="U679" s="36">
        <f>IF(AND(OR(sel_Region="All",C679=sel_Region),OR(sel_Country="All",D679=sel_Country),OR(sel_Channel="All",E679=sel_Channel),OR(sel_Customer="All",F679=sel_Customer),OR(sel_Category="All",G679=sel_Category),OR(sel_Product="All",H679=sel_Product),AND(S679&gt;=m_From,S679&lt;=m_To)),1,0)</f>
        <v/>
      </c>
      <c r="V679" s="36">
        <f>IF(AND(OR(sel_Region="All",C679=sel_Region),OR(sel_Channel="All",E679=sel_Channel),OR(sel_Customer="All",F679=sel_Customer),OR(sel_Category="All",G679=sel_Category),OR(sel_Product="All",H679=sel_Product),AND(S679&gt;=m_From,S679&lt;=m_To)),1,0)</f>
        <v/>
      </c>
      <c r="W679" s="36">
        <f>IF(AND(OR(sel_Region="All",C679=sel_Region),OR(sel_Country="All",D679=sel_Country),OR(sel_Customer="All",F679=sel_Customer),OR(sel_Category="All",G679=sel_Category),OR(sel_Product="All",H679=sel_Product),AND(S679&gt;=m_From,S679&lt;=m_To)),1,0)</f>
        <v/>
      </c>
      <c r="X679" s="36">
        <f>IF(AND(OR(sel_Region="All",C679=sel_Region),OR(sel_Country="All",D679=sel_Country),OR(sel_Channel="All",E679=sel_Channel),OR(sel_Category="All",G679=sel_Category),OR(sel_Product="All",H679=sel_Product),AND(S679&gt;=m_From,S679&lt;=m_To)),1,0)</f>
        <v/>
      </c>
      <c r="Y679" s="36">
        <f>IF(AND(OR(sel_Region="All",C679=sel_Region),OR(sel_Country="All",D679=sel_Country),OR(sel_Channel="All",E679=sel_Channel),OR(sel_Customer="All",F679=sel_Customer),OR(sel_Product="All",H679=sel_Product),AND(S679&gt;=m_From,S679&lt;=m_To)),1,0)</f>
        <v/>
      </c>
      <c r="Z679" s="36">
        <f>IF(AND(OR(sel_Region="All",C679=sel_Region),OR(sel_Country="All",D679=sel_Country),OR(sel_Channel="All",E679=sel_Channel),OR(sel_Customer="All",F679=sel_Customer),OR(sel_Category="All",G679=sel_Category),AND(S679&gt;=m_From,S679&lt;=m_To)),1,0)</f>
        <v/>
      </c>
      <c r="AA679" s="36">
        <f>IF(AND(OR(sel_Region="All",C679=sel_Region),OR(sel_Country="All",D679=sel_Country),OR(sel_Channel="All",E679=sel_Channel),OR(sel_Customer="All",F679=sel_Customer),OR(sel_Category="All",G679=sel_Category),OR(sel_Product="All",H679=sel_Product)),1,0)</f>
        <v/>
      </c>
    </row>
    <row r="680">
      <c r="A680" s="36" t="inlineStr">
        <is>
          <t>05010</t>
        </is>
      </c>
      <c r="B680" s="44" t="n">
        <v>46138</v>
      </c>
      <c r="C680" s="36" t="inlineStr">
        <is>
          <t>Western Europe</t>
        </is>
      </c>
      <c r="D680" s="36" t="inlineStr">
        <is>
          <t>Netherlands</t>
        </is>
      </c>
      <c r="E680" s="36" t="inlineStr">
        <is>
          <t>Corporate</t>
        </is>
      </c>
      <c r="F680" s="36" t="inlineStr">
        <is>
          <t>Business</t>
        </is>
      </c>
      <c r="G680" s="36" t="inlineStr">
        <is>
          <t>Travel</t>
        </is>
      </c>
      <c r="H680" s="36" t="inlineStr">
        <is>
          <t>Packing Cube Set</t>
        </is>
      </c>
      <c r="I680" s="36" t="n">
        <v>3</v>
      </c>
      <c r="J680" s="39" t="n">
        <v>46.2</v>
      </c>
      <c r="K680" s="45" t="n">
        <v>0.1</v>
      </c>
      <c r="L680" s="39" t="n">
        <v>18.15</v>
      </c>
      <c r="M680" s="39">
        <f>I680*J680*(1-K680)</f>
        <v/>
      </c>
      <c r="N680" s="39">
        <f>I680*L680</f>
        <v/>
      </c>
      <c r="O680" s="39">
        <f>M680-N680</f>
        <v/>
      </c>
      <c r="P680" s="38">
        <f>IF(M680=0,0,O680/M680)</f>
        <v/>
      </c>
      <c r="Q680" s="36">
        <f>YEAR(B680)</f>
        <v/>
      </c>
      <c r="R680" s="36">
        <f>"Q"&amp;ROUNDUP(MONTH(B680)/3,0)</f>
        <v/>
      </c>
      <c r="S680" s="36">
        <f>MONTH(B680)</f>
        <v/>
      </c>
      <c r="T680" s="36">
        <f>TEXT(B680,"mmm")</f>
        <v/>
      </c>
      <c r="U680" s="36">
        <f>IF(AND(OR(sel_Region="All",C680=sel_Region),OR(sel_Country="All",D680=sel_Country),OR(sel_Channel="All",E680=sel_Channel),OR(sel_Customer="All",F680=sel_Customer),OR(sel_Category="All",G680=sel_Category),OR(sel_Product="All",H680=sel_Product),AND(S680&gt;=m_From,S680&lt;=m_To)),1,0)</f>
        <v/>
      </c>
      <c r="V680" s="36">
        <f>IF(AND(OR(sel_Region="All",C680=sel_Region),OR(sel_Channel="All",E680=sel_Channel),OR(sel_Customer="All",F680=sel_Customer),OR(sel_Category="All",G680=sel_Category),OR(sel_Product="All",H680=sel_Product),AND(S680&gt;=m_From,S680&lt;=m_To)),1,0)</f>
        <v/>
      </c>
      <c r="W680" s="36">
        <f>IF(AND(OR(sel_Region="All",C680=sel_Region),OR(sel_Country="All",D680=sel_Country),OR(sel_Customer="All",F680=sel_Customer),OR(sel_Category="All",G680=sel_Category),OR(sel_Product="All",H680=sel_Product),AND(S680&gt;=m_From,S680&lt;=m_To)),1,0)</f>
        <v/>
      </c>
      <c r="X680" s="36">
        <f>IF(AND(OR(sel_Region="All",C680=sel_Region),OR(sel_Country="All",D680=sel_Country),OR(sel_Channel="All",E680=sel_Channel),OR(sel_Category="All",G680=sel_Category),OR(sel_Product="All",H680=sel_Product),AND(S680&gt;=m_From,S680&lt;=m_To)),1,0)</f>
        <v/>
      </c>
      <c r="Y680" s="36">
        <f>IF(AND(OR(sel_Region="All",C680=sel_Region),OR(sel_Country="All",D680=sel_Country),OR(sel_Channel="All",E680=sel_Channel),OR(sel_Customer="All",F680=sel_Customer),OR(sel_Product="All",H680=sel_Product),AND(S680&gt;=m_From,S680&lt;=m_To)),1,0)</f>
        <v/>
      </c>
      <c r="Z680" s="36">
        <f>IF(AND(OR(sel_Region="All",C680=sel_Region),OR(sel_Country="All",D680=sel_Country),OR(sel_Channel="All",E680=sel_Channel),OR(sel_Customer="All",F680=sel_Customer),OR(sel_Category="All",G680=sel_Category),AND(S680&gt;=m_From,S680&lt;=m_To)),1,0)</f>
        <v/>
      </c>
      <c r="AA680" s="36">
        <f>IF(AND(OR(sel_Region="All",C680=sel_Region),OR(sel_Country="All",D680=sel_Country),OR(sel_Channel="All",E680=sel_Channel),OR(sel_Customer="All",F680=sel_Customer),OR(sel_Category="All",G680=sel_Category),OR(sel_Product="All",H680=sel_Product)),1,0)</f>
        <v/>
      </c>
    </row>
    <row r="681">
      <c r="A681" s="36" t="inlineStr">
        <is>
          <t>05092</t>
        </is>
      </c>
      <c r="B681" s="44" t="n">
        <v>46138</v>
      </c>
      <c r="C681" s="36" t="inlineStr">
        <is>
          <t>Central Europe</t>
        </is>
      </c>
      <c r="D681" s="36" t="inlineStr">
        <is>
          <t>Czechia</t>
        </is>
      </c>
      <c r="E681" s="36" t="inlineStr">
        <is>
          <t>Marketplace</t>
        </is>
      </c>
      <c r="F681" s="36" t="inlineStr">
        <is>
          <t>Business</t>
        </is>
      </c>
      <c r="G681" s="36" t="inlineStr">
        <is>
          <t>Fitness</t>
        </is>
      </c>
      <c r="H681" s="36" t="inlineStr">
        <is>
          <t>Training Mat</t>
        </is>
      </c>
      <c r="I681" s="36" t="n">
        <v>4</v>
      </c>
      <c r="J681" s="39" t="n">
        <v>50.84</v>
      </c>
      <c r="K681" s="45" t="n">
        <v>0.05</v>
      </c>
      <c r="L681" s="39" t="n">
        <v>22.63</v>
      </c>
      <c r="M681" s="39">
        <f>I681*J681*(1-K681)</f>
        <v/>
      </c>
      <c r="N681" s="39">
        <f>I681*L681</f>
        <v/>
      </c>
      <c r="O681" s="39">
        <f>M681-N681</f>
        <v/>
      </c>
      <c r="P681" s="38">
        <f>IF(M681=0,0,O681/M681)</f>
        <v/>
      </c>
      <c r="Q681" s="36">
        <f>YEAR(B681)</f>
        <v/>
      </c>
      <c r="R681" s="36">
        <f>"Q"&amp;ROUNDUP(MONTH(B681)/3,0)</f>
        <v/>
      </c>
      <c r="S681" s="36">
        <f>MONTH(B681)</f>
        <v/>
      </c>
      <c r="T681" s="36">
        <f>TEXT(B681,"mmm")</f>
        <v/>
      </c>
      <c r="U681" s="36">
        <f>IF(AND(OR(sel_Region="All",C681=sel_Region),OR(sel_Country="All",D681=sel_Country),OR(sel_Channel="All",E681=sel_Channel),OR(sel_Customer="All",F681=sel_Customer),OR(sel_Category="All",G681=sel_Category),OR(sel_Product="All",H681=sel_Product),AND(S681&gt;=m_From,S681&lt;=m_To)),1,0)</f>
        <v/>
      </c>
      <c r="V681" s="36">
        <f>IF(AND(OR(sel_Region="All",C681=sel_Region),OR(sel_Channel="All",E681=sel_Channel),OR(sel_Customer="All",F681=sel_Customer),OR(sel_Category="All",G681=sel_Category),OR(sel_Product="All",H681=sel_Product),AND(S681&gt;=m_From,S681&lt;=m_To)),1,0)</f>
        <v/>
      </c>
      <c r="W681" s="36">
        <f>IF(AND(OR(sel_Region="All",C681=sel_Region),OR(sel_Country="All",D681=sel_Country),OR(sel_Customer="All",F681=sel_Customer),OR(sel_Category="All",G681=sel_Category),OR(sel_Product="All",H681=sel_Product),AND(S681&gt;=m_From,S681&lt;=m_To)),1,0)</f>
        <v/>
      </c>
      <c r="X681" s="36">
        <f>IF(AND(OR(sel_Region="All",C681=sel_Region),OR(sel_Country="All",D681=sel_Country),OR(sel_Channel="All",E681=sel_Channel),OR(sel_Category="All",G681=sel_Category),OR(sel_Product="All",H681=sel_Product),AND(S681&gt;=m_From,S681&lt;=m_To)),1,0)</f>
        <v/>
      </c>
      <c r="Y681" s="36">
        <f>IF(AND(OR(sel_Region="All",C681=sel_Region),OR(sel_Country="All",D681=sel_Country),OR(sel_Channel="All",E681=sel_Channel),OR(sel_Customer="All",F681=sel_Customer),OR(sel_Product="All",H681=sel_Product),AND(S681&gt;=m_From,S681&lt;=m_To)),1,0)</f>
        <v/>
      </c>
      <c r="Z681" s="36">
        <f>IF(AND(OR(sel_Region="All",C681=sel_Region),OR(sel_Country="All",D681=sel_Country),OR(sel_Channel="All",E681=sel_Channel),OR(sel_Customer="All",F681=sel_Customer),OR(sel_Category="All",G681=sel_Category),AND(S681&gt;=m_From,S681&lt;=m_To)),1,0)</f>
        <v/>
      </c>
      <c r="AA681" s="36">
        <f>IF(AND(OR(sel_Region="All",C681=sel_Region),OR(sel_Country="All",D681=sel_Country),OR(sel_Channel="All",E681=sel_Channel),OR(sel_Customer="All",F681=sel_Customer),OR(sel_Category="All",G681=sel_Category),OR(sel_Product="All",H681=sel_Product)),1,0)</f>
        <v/>
      </c>
    </row>
    <row r="682">
      <c r="A682" s="36" t="inlineStr">
        <is>
          <t>01061</t>
        </is>
      </c>
      <c r="B682" s="44" t="n">
        <v>46139</v>
      </c>
      <c r="C682" s="36" t="inlineStr">
        <is>
          <t>Western Europe</t>
        </is>
      </c>
      <c r="D682" s="36" t="inlineStr">
        <is>
          <t>France</t>
        </is>
      </c>
      <c r="E682" s="36" t="inlineStr">
        <is>
          <t>Online Store</t>
        </is>
      </c>
      <c r="F682" s="36" t="inlineStr">
        <is>
          <t>Returning</t>
        </is>
      </c>
      <c r="G682" s="36" t="inlineStr">
        <is>
          <t>Travel</t>
        </is>
      </c>
      <c r="H682" s="36" t="inlineStr">
        <is>
          <t>Travel Backpack 35L</t>
        </is>
      </c>
      <c r="I682" s="36" t="n">
        <v>1</v>
      </c>
      <c r="J682" s="39" t="n">
        <v>166.5</v>
      </c>
      <c r="K682" s="45" t="n">
        <v>0</v>
      </c>
      <c r="L682" s="39" t="n">
        <v>85.55</v>
      </c>
      <c r="M682" s="39">
        <f>I682*J682*(1-K682)</f>
        <v/>
      </c>
      <c r="N682" s="39">
        <f>I682*L682</f>
        <v/>
      </c>
      <c r="O682" s="39">
        <f>M682-N682</f>
        <v/>
      </c>
      <c r="P682" s="38">
        <f>IF(M682=0,0,O682/M682)</f>
        <v/>
      </c>
      <c r="Q682" s="36">
        <f>YEAR(B682)</f>
        <v/>
      </c>
      <c r="R682" s="36">
        <f>"Q"&amp;ROUNDUP(MONTH(B682)/3,0)</f>
        <v/>
      </c>
      <c r="S682" s="36">
        <f>MONTH(B682)</f>
        <v/>
      </c>
      <c r="T682" s="36">
        <f>TEXT(B682,"mmm")</f>
        <v/>
      </c>
      <c r="U682" s="36">
        <f>IF(AND(OR(sel_Region="All",C682=sel_Region),OR(sel_Country="All",D682=sel_Country),OR(sel_Channel="All",E682=sel_Channel),OR(sel_Customer="All",F682=sel_Customer),OR(sel_Category="All",G682=sel_Category),OR(sel_Product="All",H682=sel_Product),AND(S682&gt;=m_From,S682&lt;=m_To)),1,0)</f>
        <v/>
      </c>
      <c r="V682" s="36">
        <f>IF(AND(OR(sel_Region="All",C682=sel_Region),OR(sel_Channel="All",E682=sel_Channel),OR(sel_Customer="All",F682=sel_Customer),OR(sel_Category="All",G682=sel_Category),OR(sel_Product="All",H682=sel_Product),AND(S682&gt;=m_From,S682&lt;=m_To)),1,0)</f>
        <v/>
      </c>
      <c r="W682" s="36">
        <f>IF(AND(OR(sel_Region="All",C682=sel_Region),OR(sel_Country="All",D682=sel_Country),OR(sel_Customer="All",F682=sel_Customer),OR(sel_Category="All",G682=sel_Category),OR(sel_Product="All",H682=sel_Product),AND(S682&gt;=m_From,S682&lt;=m_To)),1,0)</f>
        <v/>
      </c>
      <c r="X682" s="36">
        <f>IF(AND(OR(sel_Region="All",C682=sel_Region),OR(sel_Country="All",D682=sel_Country),OR(sel_Channel="All",E682=sel_Channel),OR(sel_Category="All",G682=sel_Category),OR(sel_Product="All",H682=sel_Product),AND(S682&gt;=m_From,S682&lt;=m_To)),1,0)</f>
        <v/>
      </c>
      <c r="Y682" s="36">
        <f>IF(AND(OR(sel_Region="All",C682=sel_Region),OR(sel_Country="All",D682=sel_Country),OR(sel_Channel="All",E682=sel_Channel),OR(sel_Customer="All",F682=sel_Customer),OR(sel_Product="All",H682=sel_Product),AND(S682&gt;=m_From,S682&lt;=m_To)),1,0)</f>
        <v/>
      </c>
      <c r="Z682" s="36">
        <f>IF(AND(OR(sel_Region="All",C682=sel_Region),OR(sel_Country="All",D682=sel_Country),OR(sel_Channel="All",E682=sel_Channel),OR(sel_Customer="All",F682=sel_Customer),OR(sel_Category="All",G682=sel_Category),AND(S682&gt;=m_From,S682&lt;=m_To)),1,0)</f>
        <v/>
      </c>
      <c r="AA682" s="36">
        <f>IF(AND(OR(sel_Region="All",C682=sel_Region),OR(sel_Country="All",D682=sel_Country),OR(sel_Channel="All",E682=sel_Channel),OR(sel_Customer="All",F682=sel_Customer),OR(sel_Category="All",G682=sel_Category),OR(sel_Product="All",H682=sel_Product)),1,0)</f>
        <v/>
      </c>
    </row>
    <row r="683">
      <c r="A683" s="36" t="inlineStr">
        <is>
          <t>01099</t>
        </is>
      </c>
      <c r="B683" s="44" t="n">
        <v>46139</v>
      </c>
      <c r="C683" s="36" t="inlineStr">
        <is>
          <t>Western Europe</t>
        </is>
      </c>
      <c r="D683" s="36" t="inlineStr">
        <is>
          <t>Belgium</t>
        </is>
      </c>
      <c r="E683" s="36" t="inlineStr">
        <is>
          <t>Marketplace</t>
        </is>
      </c>
      <c r="F683" s="36" t="inlineStr">
        <is>
          <t>New</t>
        </is>
      </c>
      <c r="G683" s="36" t="inlineStr">
        <is>
          <t>Hiking</t>
        </is>
      </c>
      <c r="H683" s="36" t="inlineStr">
        <is>
          <t>Trekking Poles</t>
        </is>
      </c>
      <c r="I683" s="36" t="n">
        <v>1</v>
      </c>
      <c r="J683" s="39" t="n">
        <v>70.2</v>
      </c>
      <c r="K683" s="45" t="n">
        <v>0</v>
      </c>
      <c r="L683" s="39" t="n">
        <v>32.06</v>
      </c>
      <c r="M683" s="39">
        <f>I683*J683*(1-K683)</f>
        <v/>
      </c>
      <c r="N683" s="39">
        <f>I683*L683</f>
        <v/>
      </c>
      <c r="O683" s="39">
        <f>M683-N683</f>
        <v/>
      </c>
      <c r="P683" s="38">
        <f>IF(M683=0,0,O683/M683)</f>
        <v/>
      </c>
      <c r="Q683" s="36">
        <f>YEAR(B683)</f>
        <v/>
      </c>
      <c r="R683" s="36">
        <f>"Q"&amp;ROUNDUP(MONTH(B683)/3,0)</f>
        <v/>
      </c>
      <c r="S683" s="36">
        <f>MONTH(B683)</f>
        <v/>
      </c>
      <c r="T683" s="36">
        <f>TEXT(B683,"mmm")</f>
        <v/>
      </c>
      <c r="U683" s="36">
        <f>IF(AND(OR(sel_Region="All",C683=sel_Region),OR(sel_Country="All",D683=sel_Country),OR(sel_Channel="All",E683=sel_Channel),OR(sel_Customer="All",F683=sel_Customer),OR(sel_Category="All",G683=sel_Category),OR(sel_Product="All",H683=sel_Product),AND(S683&gt;=m_From,S683&lt;=m_To)),1,0)</f>
        <v/>
      </c>
      <c r="V683" s="36">
        <f>IF(AND(OR(sel_Region="All",C683=sel_Region),OR(sel_Channel="All",E683=sel_Channel),OR(sel_Customer="All",F683=sel_Customer),OR(sel_Category="All",G683=sel_Category),OR(sel_Product="All",H683=sel_Product),AND(S683&gt;=m_From,S683&lt;=m_To)),1,0)</f>
        <v/>
      </c>
      <c r="W683" s="36">
        <f>IF(AND(OR(sel_Region="All",C683=sel_Region),OR(sel_Country="All",D683=sel_Country),OR(sel_Customer="All",F683=sel_Customer),OR(sel_Category="All",G683=sel_Category),OR(sel_Product="All",H683=sel_Product),AND(S683&gt;=m_From,S683&lt;=m_To)),1,0)</f>
        <v/>
      </c>
      <c r="X683" s="36">
        <f>IF(AND(OR(sel_Region="All",C683=sel_Region),OR(sel_Country="All",D683=sel_Country),OR(sel_Channel="All",E683=sel_Channel),OR(sel_Category="All",G683=sel_Category),OR(sel_Product="All",H683=sel_Product),AND(S683&gt;=m_From,S683&lt;=m_To)),1,0)</f>
        <v/>
      </c>
      <c r="Y683" s="36">
        <f>IF(AND(OR(sel_Region="All",C683=sel_Region),OR(sel_Country="All",D683=sel_Country),OR(sel_Channel="All",E683=sel_Channel),OR(sel_Customer="All",F683=sel_Customer),OR(sel_Product="All",H683=sel_Product),AND(S683&gt;=m_From,S683&lt;=m_To)),1,0)</f>
        <v/>
      </c>
      <c r="Z683" s="36">
        <f>IF(AND(OR(sel_Region="All",C683=sel_Region),OR(sel_Country="All",D683=sel_Country),OR(sel_Channel="All",E683=sel_Channel),OR(sel_Customer="All",F683=sel_Customer),OR(sel_Category="All",G683=sel_Category),AND(S683&gt;=m_From,S683&lt;=m_To)),1,0)</f>
        <v/>
      </c>
      <c r="AA683" s="36">
        <f>IF(AND(OR(sel_Region="All",C683=sel_Region),OR(sel_Country="All",D683=sel_Country),OR(sel_Channel="All",E683=sel_Channel),OR(sel_Customer="All",F683=sel_Customer),OR(sel_Category="All",G683=sel_Category),OR(sel_Product="All",H683=sel_Product)),1,0)</f>
        <v/>
      </c>
    </row>
    <row r="684">
      <c r="A684" s="36" t="inlineStr">
        <is>
          <t>03500</t>
        </is>
      </c>
      <c r="B684" s="44" t="n">
        <v>46139</v>
      </c>
      <c r="C684" s="36" t="inlineStr">
        <is>
          <t>Central Europe</t>
        </is>
      </c>
      <c r="D684" s="36" t="inlineStr">
        <is>
          <t>Germany</t>
        </is>
      </c>
      <c r="E684" s="36" t="inlineStr">
        <is>
          <t>Online Store</t>
        </is>
      </c>
      <c r="F684" s="36" t="inlineStr">
        <is>
          <t>New</t>
        </is>
      </c>
      <c r="G684" s="36" t="inlineStr">
        <is>
          <t>Fitness</t>
        </is>
      </c>
      <c r="H684" s="36" t="inlineStr">
        <is>
          <t>Training Mat</t>
        </is>
      </c>
      <c r="I684" s="36" t="n">
        <v>4</v>
      </c>
      <c r="J684" s="39" t="n">
        <v>50.67</v>
      </c>
      <c r="K684" s="45" t="n">
        <v>0</v>
      </c>
      <c r="L684" s="39" t="n">
        <v>22.62</v>
      </c>
      <c r="M684" s="39">
        <f>I684*J684*(1-K684)</f>
        <v/>
      </c>
      <c r="N684" s="39">
        <f>I684*L684</f>
        <v/>
      </c>
      <c r="O684" s="39">
        <f>M684-N684</f>
        <v/>
      </c>
      <c r="P684" s="38">
        <f>IF(M684=0,0,O684/M684)</f>
        <v/>
      </c>
      <c r="Q684" s="36">
        <f>YEAR(B684)</f>
        <v/>
      </c>
      <c r="R684" s="36">
        <f>"Q"&amp;ROUNDUP(MONTH(B684)/3,0)</f>
        <v/>
      </c>
      <c r="S684" s="36">
        <f>MONTH(B684)</f>
        <v/>
      </c>
      <c r="T684" s="36">
        <f>TEXT(B684,"mmm")</f>
        <v/>
      </c>
      <c r="U684" s="36">
        <f>IF(AND(OR(sel_Region="All",C684=sel_Region),OR(sel_Country="All",D684=sel_Country),OR(sel_Channel="All",E684=sel_Channel),OR(sel_Customer="All",F684=sel_Customer),OR(sel_Category="All",G684=sel_Category),OR(sel_Product="All",H684=sel_Product),AND(S684&gt;=m_From,S684&lt;=m_To)),1,0)</f>
        <v/>
      </c>
      <c r="V684" s="36">
        <f>IF(AND(OR(sel_Region="All",C684=sel_Region),OR(sel_Channel="All",E684=sel_Channel),OR(sel_Customer="All",F684=sel_Customer),OR(sel_Category="All",G684=sel_Category),OR(sel_Product="All",H684=sel_Product),AND(S684&gt;=m_From,S684&lt;=m_To)),1,0)</f>
        <v/>
      </c>
      <c r="W684" s="36">
        <f>IF(AND(OR(sel_Region="All",C684=sel_Region),OR(sel_Country="All",D684=sel_Country),OR(sel_Customer="All",F684=sel_Customer),OR(sel_Category="All",G684=sel_Category),OR(sel_Product="All",H684=sel_Product),AND(S684&gt;=m_From,S684&lt;=m_To)),1,0)</f>
        <v/>
      </c>
      <c r="X684" s="36">
        <f>IF(AND(OR(sel_Region="All",C684=sel_Region),OR(sel_Country="All",D684=sel_Country),OR(sel_Channel="All",E684=sel_Channel),OR(sel_Category="All",G684=sel_Category),OR(sel_Product="All",H684=sel_Product),AND(S684&gt;=m_From,S684&lt;=m_To)),1,0)</f>
        <v/>
      </c>
      <c r="Y684" s="36">
        <f>IF(AND(OR(sel_Region="All",C684=sel_Region),OR(sel_Country="All",D684=sel_Country),OR(sel_Channel="All",E684=sel_Channel),OR(sel_Customer="All",F684=sel_Customer),OR(sel_Product="All",H684=sel_Product),AND(S684&gt;=m_From,S684&lt;=m_To)),1,0)</f>
        <v/>
      </c>
      <c r="Z684" s="36">
        <f>IF(AND(OR(sel_Region="All",C684=sel_Region),OR(sel_Country="All",D684=sel_Country),OR(sel_Channel="All",E684=sel_Channel),OR(sel_Customer="All",F684=sel_Customer),OR(sel_Category="All",G684=sel_Category),AND(S684&gt;=m_From,S684&lt;=m_To)),1,0)</f>
        <v/>
      </c>
      <c r="AA684" s="36">
        <f>IF(AND(OR(sel_Region="All",C684=sel_Region),OR(sel_Country="All",D684=sel_Country),OR(sel_Channel="All",E684=sel_Channel),OR(sel_Customer="All",F684=sel_Customer),OR(sel_Category="All",G684=sel_Category),OR(sel_Product="All",H684=sel_Product)),1,0)</f>
        <v/>
      </c>
    </row>
    <row r="685">
      <c r="A685" s="36" t="inlineStr">
        <is>
          <t>03856</t>
        </is>
      </c>
      <c r="B685" s="44" t="n">
        <v>46139</v>
      </c>
      <c r="C685" s="36" t="inlineStr">
        <is>
          <t>Central Europe</t>
        </is>
      </c>
      <c r="D685" s="36" t="inlineStr">
        <is>
          <t>Switzerland</t>
        </is>
      </c>
      <c r="E685" s="36" t="inlineStr">
        <is>
          <t>Retail Partners</t>
        </is>
      </c>
      <c r="F685" s="36" t="inlineStr">
        <is>
          <t>New</t>
        </is>
      </c>
      <c r="G685" s="36" t="inlineStr">
        <is>
          <t>Travel</t>
        </is>
      </c>
      <c r="H685" s="36" t="inlineStr">
        <is>
          <t>Travel Backpack 35L</t>
        </is>
      </c>
      <c r="I685" s="36" t="n">
        <v>3</v>
      </c>
      <c r="J685" s="39" t="n">
        <v>161.05</v>
      </c>
      <c r="K685" s="45" t="n">
        <v>0.05</v>
      </c>
      <c r="L685" s="39" t="n">
        <v>87.43000000000001</v>
      </c>
      <c r="M685" s="39">
        <f>I685*J685*(1-K685)</f>
        <v/>
      </c>
      <c r="N685" s="39">
        <f>I685*L685</f>
        <v/>
      </c>
      <c r="O685" s="39">
        <f>M685-N685</f>
        <v/>
      </c>
      <c r="P685" s="38">
        <f>IF(M685=0,0,O685/M685)</f>
        <v/>
      </c>
      <c r="Q685" s="36">
        <f>YEAR(B685)</f>
        <v/>
      </c>
      <c r="R685" s="36">
        <f>"Q"&amp;ROUNDUP(MONTH(B685)/3,0)</f>
        <v/>
      </c>
      <c r="S685" s="36">
        <f>MONTH(B685)</f>
        <v/>
      </c>
      <c r="T685" s="36">
        <f>TEXT(B685,"mmm")</f>
        <v/>
      </c>
      <c r="U685" s="36">
        <f>IF(AND(OR(sel_Region="All",C685=sel_Region),OR(sel_Country="All",D685=sel_Country),OR(sel_Channel="All",E685=sel_Channel),OR(sel_Customer="All",F685=sel_Customer),OR(sel_Category="All",G685=sel_Category),OR(sel_Product="All",H685=sel_Product),AND(S685&gt;=m_From,S685&lt;=m_To)),1,0)</f>
        <v/>
      </c>
      <c r="V685" s="36">
        <f>IF(AND(OR(sel_Region="All",C685=sel_Region),OR(sel_Channel="All",E685=sel_Channel),OR(sel_Customer="All",F685=sel_Customer),OR(sel_Category="All",G685=sel_Category),OR(sel_Product="All",H685=sel_Product),AND(S685&gt;=m_From,S685&lt;=m_To)),1,0)</f>
        <v/>
      </c>
      <c r="W685" s="36">
        <f>IF(AND(OR(sel_Region="All",C685=sel_Region),OR(sel_Country="All",D685=sel_Country),OR(sel_Customer="All",F685=sel_Customer),OR(sel_Category="All",G685=sel_Category),OR(sel_Product="All",H685=sel_Product),AND(S685&gt;=m_From,S685&lt;=m_To)),1,0)</f>
        <v/>
      </c>
      <c r="X685" s="36">
        <f>IF(AND(OR(sel_Region="All",C685=sel_Region),OR(sel_Country="All",D685=sel_Country),OR(sel_Channel="All",E685=sel_Channel),OR(sel_Category="All",G685=sel_Category),OR(sel_Product="All",H685=sel_Product),AND(S685&gt;=m_From,S685&lt;=m_To)),1,0)</f>
        <v/>
      </c>
      <c r="Y685" s="36">
        <f>IF(AND(OR(sel_Region="All",C685=sel_Region),OR(sel_Country="All",D685=sel_Country),OR(sel_Channel="All",E685=sel_Channel),OR(sel_Customer="All",F685=sel_Customer),OR(sel_Product="All",H685=sel_Product),AND(S685&gt;=m_From,S685&lt;=m_To)),1,0)</f>
        <v/>
      </c>
      <c r="Z685" s="36">
        <f>IF(AND(OR(sel_Region="All",C685=sel_Region),OR(sel_Country="All",D685=sel_Country),OR(sel_Channel="All",E685=sel_Channel),OR(sel_Customer="All",F685=sel_Customer),OR(sel_Category="All",G685=sel_Category),AND(S685&gt;=m_From,S685&lt;=m_To)),1,0)</f>
        <v/>
      </c>
      <c r="AA685" s="36">
        <f>IF(AND(OR(sel_Region="All",C685=sel_Region),OR(sel_Country="All",D685=sel_Country),OR(sel_Channel="All",E685=sel_Channel),OR(sel_Customer="All",F685=sel_Customer),OR(sel_Category="All",G685=sel_Category),OR(sel_Product="All",H685=sel_Product)),1,0)</f>
        <v/>
      </c>
    </row>
    <row r="686">
      <c r="A686" s="36" t="inlineStr">
        <is>
          <t>04044</t>
        </is>
      </c>
      <c r="B686" s="44" t="n">
        <v>46139</v>
      </c>
      <c r="C686" s="36" t="inlineStr">
        <is>
          <t>Central Europe</t>
        </is>
      </c>
      <c r="D686" s="36" t="inlineStr">
        <is>
          <t>Austria</t>
        </is>
      </c>
      <c r="E686" s="36" t="inlineStr">
        <is>
          <t>Corporate</t>
        </is>
      </c>
      <c r="F686" s="36" t="inlineStr">
        <is>
          <t>New</t>
        </is>
      </c>
      <c r="G686" s="36" t="inlineStr">
        <is>
          <t>Fitness</t>
        </is>
      </c>
      <c r="H686" s="36" t="inlineStr">
        <is>
          <t>Weighted Vest</t>
        </is>
      </c>
      <c r="I686" s="36" t="n">
        <v>10</v>
      </c>
      <c r="J686" s="39" t="n">
        <v>124.59</v>
      </c>
      <c r="K686" s="45" t="n">
        <v>0.15</v>
      </c>
      <c r="L686" s="39" t="n">
        <v>67.14</v>
      </c>
      <c r="M686" s="39">
        <f>I686*J686*(1-K686)</f>
        <v/>
      </c>
      <c r="N686" s="39">
        <f>I686*L686</f>
        <v/>
      </c>
      <c r="O686" s="39">
        <f>M686-N686</f>
        <v/>
      </c>
      <c r="P686" s="38">
        <f>IF(M686=0,0,O686/M686)</f>
        <v/>
      </c>
      <c r="Q686" s="36">
        <f>YEAR(B686)</f>
        <v/>
      </c>
      <c r="R686" s="36">
        <f>"Q"&amp;ROUNDUP(MONTH(B686)/3,0)</f>
        <v/>
      </c>
      <c r="S686" s="36">
        <f>MONTH(B686)</f>
        <v/>
      </c>
      <c r="T686" s="36">
        <f>TEXT(B686,"mmm")</f>
        <v/>
      </c>
      <c r="U686" s="36">
        <f>IF(AND(OR(sel_Region="All",C686=sel_Region),OR(sel_Country="All",D686=sel_Country),OR(sel_Channel="All",E686=sel_Channel),OR(sel_Customer="All",F686=sel_Customer),OR(sel_Category="All",G686=sel_Category),OR(sel_Product="All",H686=sel_Product),AND(S686&gt;=m_From,S686&lt;=m_To)),1,0)</f>
        <v/>
      </c>
      <c r="V686" s="36">
        <f>IF(AND(OR(sel_Region="All",C686=sel_Region),OR(sel_Channel="All",E686=sel_Channel),OR(sel_Customer="All",F686=sel_Customer),OR(sel_Category="All",G686=sel_Category),OR(sel_Product="All",H686=sel_Product),AND(S686&gt;=m_From,S686&lt;=m_To)),1,0)</f>
        <v/>
      </c>
      <c r="W686" s="36">
        <f>IF(AND(OR(sel_Region="All",C686=sel_Region),OR(sel_Country="All",D686=sel_Country),OR(sel_Customer="All",F686=sel_Customer),OR(sel_Category="All",G686=sel_Category),OR(sel_Product="All",H686=sel_Product),AND(S686&gt;=m_From,S686&lt;=m_To)),1,0)</f>
        <v/>
      </c>
      <c r="X686" s="36">
        <f>IF(AND(OR(sel_Region="All",C686=sel_Region),OR(sel_Country="All",D686=sel_Country),OR(sel_Channel="All",E686=sel_Channel),OR(sel_Category="All",G686=sel_Category),OR(sel_Product="All",H686=sel_Product),AND(S686&gt;=m_From,S686&lt;=m_To)),1,0)</f>
        <v/>
      </c>
      <c r="Y686" s="36">
        <f>IF(AND(OR(sel_Region="All",C686=sel_Region),OR(sel_Country="All",D686=sel_Country),OR(sel_Channel="All",E686=sel_Channel),OR(sel_Customer="All",F686=sel_Customer),OR(sel_Product="All",H686=sel_Product),AND(S686&gt;=m_From,S686&lt;=m_To)),1,0)</f>
        <v/>
      </c>
      <c r="Z686" s="36">
        <f>IF(AND(OR(sel_Region="All",C686=sel_Region),OR(sel_Country="All",D686=sel_Country),OR(sel_Channel="All",E686=sel_Channel),OR(sel_Customer="All",F686=sel_Customer),OR(sel_Category="All",G686=sel_Category),AND(S686&gt;=m_From,S686&lt;=m_To)),1,0)</f>
        <v/>
      </c>
      <c r="AA686" s="36">
        <f>IF(AND(OR(sel_Region="All",C686=sel_Region),OR(sel_Country="All",D686=sel_Country),OR(sel_Channel="All",E686=sel_Channel),OR(sel_Customer="All",F686=sel_Customer),OR(sel_Category="All",G686=sel_Category),OR(sel_Product="All",H686=sel_Product)),1,0)</f>
        <v/>
      </c>
    </row>
    <row r="687">
      <c r="A687" s="36" t="inlineStr">
        <is>
          <t>04235</t>
        </is>
      </c>
      <c r="B687" s="44" t="n">
        <v>46139</v>
      </c>
      <c r="C687" s="36" t="inlineStr">
        <is>
          <t>Northern Europe</t>
        </is>
      </c>
      <c r="D687" s="36" t="inlineStr">
        <is>
          <t>Norway</t>
        </is>
      </c>
      <c r="E687" s="36" t="inlineStr">
        <is>
          <t>Online Store</t>
        </is>
      </c>
      <c r="F687" s="36" t="inlineStr">
        <is>
          <t>Business</t>
        </is>
      </c>
      <c r="G687" s="36" t="inlineStr">
        <is>
          <t>Fitness</t>
        </is>
      </c>
      <c r="H687" s="36" t="inlineStr">
        <is>
          <t>Training Mat</t>
        </is>
      </c>
      <c r="I687" s="36" t="n">
        <v>1</v>
      </c>
      <c r="J687" s="39" t="n">
        <v>50.18</v>
      </c>
      <c r="K687" s="45" t="n">
        <v>0</v>
      </c>
      <c r="L687" s="39" t="n">
        <v>22.05</v>
      </c>
      <c r="M687" s="39">
        <f>I687*J687*(1-K687)</f>
        <v/>
      </c>
      <c r="N687" s="39">
        <f>I687*L687</f>
        <v/>
      </c>
      <c r="O687" s="39">
        <f>M687-N687</f>
        <v/>
      </c>
      <c r="P687" s="38">
        <f>IF(M687=0,0,O687/M687)</f>
        <v/>
      </c>
      <c r="Q687" s="36">
        <f>YEAR(B687)</f>
        <v/>
      </c>
      <c r="R687" s="36">
        <f>"Q"&amp;ROUNDUP(MONTH(B687)/3,0)</f>
        <v/>
      </c>
      <c r="S687" s="36">
        <f>MONTH(B687)</f>
        <v/>
      </c>
      <c r="T687" s="36">
        <f>TEXT(B687,"mmm")</f>
        <v/>
      </c>
      <c r="U687" s="36">
        <f>IF(AND(OR(sel_Region="All",C687=sel_Region),OR(sel_Country="All",D687=sel_Country),OR(sel_Channel="All",E687=sel_Channel),OR(sel_Customer="All",F687=sel_Customer),OR(sel_Category="All",G687=sel_Category),OR(sel_Product="All",H687=sel_Product),AND(S687&gt;=m_From,S687&lt;=m_To)),1,0)</f>
        <v/>
      </c>
      <c r="V687" s="36">
        <f>IF(AND(OR(sel_Region="All",C687=sel_Region),OR(sel_Channel="All",E687=sel_Channel),OR(sel_Customer="All",F687=sel_Customer),OR(sel_Category="All",G687=sel_Category),OR(sel_Product="All",H687=sel_Product),AND(S687&gt;=m_From,S687&lt;=m_To)),1,0)</f>
        <v/>
      </c>
      <c r="W687" s="36">
        <f>IF(AND(OR(sel_Region="All",C687=sel_Region),OR(sel_Country="All",D687=sel_Country),OR(sel_Customer="All",F687=sel_Customer),OR(sel_Category="All",G687=sel_Category),OR(sel_Product="All",H687=sel_Product),AND(S687&gt;=m_From,S687&lt;=m_To)),1,0)</f>
        <v/>
      </c>
      <c r="X687" s="36">
        <f>IF(AND(OR(sel_Region="All",C687=sel_Region),OR(sel_Country="All",D687=sel_Country),OR(sel_Channel="All",E687=sel_Channel),OR(sel_Category="All",G687=sel_Category),OR(sel_Product="All",H687=sel_Product),AND(S687&gt;=m_From,S687&lt;=m_To)),1,0)</f>
        <v/>
      </c>
      <c r="Y687" s="36">
        <f>IF(AND(OR(sel_Region="All",C687=sel_Region),OR(sel_Country="All",D687=sel_Country),OR(sel_Channel="All",E687=sel_Channel),OR(sel_Customer="All",F687=sel_Customer),OR(sel_Product="All",H687=sel_Product),AND(S687&gt;=m_From,S687&lt;=m_To)),1,0)</f>
        <v/>
      </c>
      <c r="Z687" s="36">
        <f>IF(AND(OR(sel_Region="All",C687=sel_Region),OR(sel_Country="All",D687=sel_Country),OR(sel_Channel="All",E687=sel_Channel),OR(sel_Customer="All",F687=sel_Customer),OR(sel_Category="All",G687=sel_Category),AND(S687&gt;=m_From,S687&lt;=m_To)),1,0)</f>
        <v/>
      </c>
      <c r="AA687" s="36">
        <f>IF(AND(OR(sel_Region="All",C687=sel_Region),OR(sel_Country="All",D687=sel_Country),OR(sel_Channel="All",E687=sel_Channel),OR(sel_Customer="All",F687=sel_Customer),OR(sel_Category="All",G687=sel_Category),OR(sel_Product="All",H687=sel_Product)),1,0)</f>
        <v/>
      </c>
    </row>
    <row r="688">
      <c r="A688" s="36" t="inlineStr">
        <is>
          <t>00122</t>
        </is>
      </c>
      <c r="B688" s="44" t="n">
        <v>46140</v>
      </c>
      <c r="C688" s="36" t="inlineStr">
        <is>
          <t>Central Europe</t>
        </is>
      </c>
      <c r="D688" s="36" t="inlineStr">
        <is>
          <t>Switzerland</t>
        </is>
      </c>
      <c r="E688" s="36" t="inlineStr">
        <is>
          <t>Online Store</t>
        </is>
      </c>
      <c r="F688" s="36" t="inlineStr">
        <is>
          <t>New</t>
        </is>
      </c>
      <c r="G688" s="36" t="inlineStr">
        <is>
          <t>Camping</t>
        </is>
      </c>
      <c r="H688" s="36" t="inlineStr">
        <is>
          <t>Portable Camp Stove</t>
        </is>
      </c>
      <c r="I688" s="36" t="n">
        <v>1</v>
      </c>
      <c r="J688" s="39" t="n">
        <v>83.38</v>
      </c>
      <c r="K688" s="45" t="n">
        <v>0</v>
      </c>
      <c r="L688" s="39" t="n">
        <v>38.98</v>
      </c>
      <c r="M688" s="39">
        <f>I688*J688*(1-K688)</f>
        <v/>
      </c>
      <c r="N688" s="39">
        <f>I688*L688</f>
        <v/>
      </c>
      <c r="O688" s="39">
        <f>M688-N688</f>
        <v/>
      </c>
      <c r="P688" s="38">
        <f>IF(M688=0,0,O688/M688)</f>
        <v/>
      </c>
      <c r="Q688" s="36">
        <f>YEAR(B688)</f>
        <v/>
      </c>
      <c r="R688" s="36">
        <f>"Q"&amp;ROUNDUP(MONTH(B688)/3,0)</f>
        <v/>
      </c>
      <c r="S688" s="36">
        <f>MONTH(B688)</f>
        <v/>
      </c>
      <c r="T688" s="36">
        <f>TEXT(B688,"mmm")</f>
        <v/>
      </c>
      <c r="U688" s="36">
        <f>IF(AND(OR(sel_Region="All",C688=sel_Region),OR(sel_Country="All",D688=sel_Country),OR(sel_Channel="All",E688=sel_Channel),OR(sel_Customer="All",F688=sel_Customer),OR(sel_Category="All",G688=sel_Category),OR(sel_Product="All",H688=sel_Product),AND(S688&gt;=m_From,S688&lt;=m_To)),1,0)</f>
        <v/>
      </c>
      <c r="V688" s="36">
        <f>IF(AND(OR(sel_Region="All",C688=sel_Region),OR(sel_Channel="All",E688=sel_Channel),OR(sel_Customer="All",F688=sel_Customer),OR(sel_Category="All",G688=sel_Category),OR(sel_Product="All",H688=sel_Product),AND(S688&gt;=m_From,S688&lt;=m_To)),1,0)</f>
        <v/>
      </c>
      <c r="W688" s="36">
        <f>IF(AND(OR(sel_Region="All",C688=sel_Region),OR(sel_Country="All",D688=sel_Country),OR(sel_Customer="All",F688=sel_Customer),OR(sel_Category="All",G688=sel_Category),OR(sel_Product="All",H688=sel_Product),AND(S688&gt;=m_From,S688&lt;=m_To)),1,0)</f>
        <v/>
      </c>
      <c r="X688" s="36">
        <f>IF(AND(OR(sel_Region="All",C688=sel_Region),OR(sel_Country="All",D688=sel_Country),OR(sel_Channel="All",E688=sel_Channel),OR(sel_Category="All",G688=sel_Category),OR(sel_Product="All",H688=sel_Product),AND(S688&gt;=m_From,S688&lt;=m_To)),1,0)</f>
        <v/>
      </c>
      <c r="Y688" s="36">
        <f>IF(AND(OR(sel_Region="All",C688=sel_Region),OR(sel_Country="All",D688=sel_Country),OR(sel_Channel="All",E688=sel_Channel),OR(sel_Customer="All",F688=sel_Customer),OR(sel_Product="All",H688=sel_Product),AND(S688&gt;=m_From,S688&lt;=m_To)),1,0)</f>
        <v/>
      </c>
      <c r="Z688" s="36">
        <f>IF(AND(OR(sel_Region="All",C688=sel_Region),OR(sel_Country="All",D688=sel_Country),OR(sel_Channel="All",E688=sel_Channel),OR(sel_Customer="All",F688=sel_Customer),OR(sel_Category="All",G688=sel_Category),AND(S688&gt;=m_From,S688&lt;=m_To)),1,0)</f>
        <v/>
      </c>
      <c r="AA688" s="36">
        <f>IF(AND(OR(sel_Region="All",C688=sel_Region),OR(sel_Country="All",D688=sel_Country),OR(sel_Channel="All",E688=sel_Channel),OR(sel_Customer="All",F688=sel_Customer),OR(sel_Category="All",G688=sel_Category),OR(sel_Product="All",H688=sel_Product)),1,0)</f>
        <v/>
      </c>
    </row>
    <row r="689">
      <c r="A689" s="36" t="inlineStr">
        <is>
          <t>00239</t>
        </is>
      </c>
      <c r="B689" s="44" t="n">
        <v>46140</v>
      </c>
      <c r="C689" s="36" t="inlineStr">
        <is>
          <t>Western Europe</t>
        </is>
      </c>
      <c r="D689" s="36" t="inlineStr">
        <is>
          <t>Netherlands</t>
        </is>
      </c>
      <c r="E689" s="36" t="inlineStr">
        <is>
          <t>Online Store</t>
        </is>
      </c>
      <c r="F689" s="36" t="inlineStr">
        <is>
          <t>Returning</t>
        </is>
      </c>
      <c r="G689" s="36" t="inlineStr">
        <is>
          <t>Travel</t>
        </is>
      </c>
      <c r="H689" s="36" t="inlineStr">
        <is>
          <t>Insulated Bottle</t>
        </is>
      </c>
      <c r="I689" s="36" t="n">
        <v>1</v>
      </c>
      <c r="J689" s="39" t="n">
        <v>35.55</v>
      </c>
      <c r="K689" s="45" t="n">
        <v>0.05</v>
      </c>
      <c r="L689" s="39" t="n">
        <v>13.25</v>
      </c>
      <c r="M689" s="39">
        <f>I689*J689*(1-K689)</f>
        <v/>
      </c>
      <c r="N689" s="39">
        <f>I689*L689</f>
        <v/>
      </c>
      <c r="O689" s="39">
        <f>M689-N689</f>
        <v/>
      </c>
      <c r="P689" s="38">
        <f>IF(M689=0,0,O689/M689)</f>
        <v/>
      </c>
      <c r="Q689" s="36">
        <f>YEAR(B689)</f>
        <v/>
      </c>
      <c r="R689" s="36">
        <f>"Q"&amp;ROUNDUP(MONTH(B689)/3,0)</f>
        <v/>
      </c>
      <c r="S689" s="36">
        <f>MONTH(B689)</f>
        <v/>
      </c>
      <c r="T689" s="36">
        <f>TEXT(B689,"mmm")</f>
        <v/>
      </c>
      <c r="U689" s="36">
        <f>IF(AND(OR(sel_Region="All",C689=sel_Region),OR(sel_Country="All",D689=sel_Country),OR(sel_Channel="All",E689=sel_Channel),OR(sel_Customer="All",F689=sel_Customer),OR(sel_Category="All",G689=sel_Category),OR(sel_Product="All",H689=sel_Product),AND(S689&gt;=m_From,S689&lt;=m_To)),1,0)</f>
        <v/>
      </c>
      <c r="V689" s="36">
        <f>IF(AND(OR(sel_Region="All",C689=sel_Region),OR(sel_Channel="All",E689=sel_Channel),OR(sel_Customer="All",F689=sel_Customer),OR(sel_Category="All",G689=sel_Category),OR(sel_Product="All",H689=sel_Product),AND(S689&gt;=m_From,S689&lt;=m_To)),1,0)</f>
        <v/>
      </c>
      <c r="W689" s="36">
        <f>IF(AND(OR(sel_Region="All",C689=sel_Region),OR(sel_Country="All",D689=sel_Country),OR(sel_Customer="All",F689=sel_Customer),OR(sel_Category="All",G689=sel_Category),OR(sel_Product="All",H689=sel_Product),AND(S689&gt;=m_From,S689&lt;=m_To)),1,0)</f>
        <v/>
      </c>
      <c r="X689" s="36">
        <f>IF(AND(OR(sel_Region="All",C689=sel_Region),OR(sel_Country="All",D689=sel_Country),OR(sel_Channel="All",E689=sel_Channel),OR(sel_Category="All",G689=sel_Category),OR(sel_Product="All",H689=sel_Product),AND(S689&gt;=m_From,S689&lt;=m_To)),1,0)</f>
        <v/>
      </c>
      <c r="Y689" s="36">
        <f>IF(AND(OR(sel_Region="All",C689=sel_Region),OR(sel_Country="All",D689=sel_Country),OR(sel_Channel="All",E689=sel_Channel),OR(sel_Customer="All",F689=sel_Customer),OR(sel_Product="All",H689=sel_Product),AND(S689&gt;=m_From,S689&lt;=m_To)),1,0)</f>
        <v/>
      </c>
      <c r="Z689" s="36">
        <f>IF(AND(OR(sel_Region="All",C689=sel_Region),OR(sel_Country="All",D689=sel_Country),OR(sel_Channel="All",E689=sel_Channel),OR(sel_Customer="All",F689=sel_Customer),OR(sel_Category="All",G689=sel_Category),AND(S689&gt;=m_From,S689&lt;=m_To)),1,0)</f>
        <v/>
      </c>
      <c r="AA689" s="36">
        <f>IF(AND(OR(sel_Region="All",C689=sel_Region),OR(sel_Country="All",D689=sel_Country),OR(sel_Channel="All",E689=sel_Channel),OR(sel_Customer="All",F689=sel_Customer),OR(sel_Category="All",G689=sel_Category),OR(sel_Product="All",H689=sel_Product)),1,0)</f>
        <v/>
      </c>
    </row>
    <row r="690">
      <c r="A690" s="36" t="inlineStr">
        <is>
          <t>00356</t>
        </is>
      </c>
      <c r="B690" s="44" t="n">
        <v>46140</v>
      </c>
      <c r="C690" s="36" t="inlineStr">
        <is>
          <t>Western Europe</t>
        </is>
      </c>
      <c r="D690" s="36" t="inlineStr">
        <is>
          <t>United Kingdom</t>
        </is>
      </c>
      <c r="E690" s="36" t="inlineStr">
        <is>
          <t>Retail Partners</t>
        </is>
      </c>
      <c r="F690" s="36" t="inlineStr">
        <is>
          <t>New</t>
        </is>
      </c>
      <c r="G690" s="36" t="inlineStr">
        <is>
          <t>Hiking</t>
        </is>
      </c>
      <c r="H690" s="36" t="inlineStr">
        <is>
          <t>Summit Backpack 45L</t>
        </is>
      </c>
      <c r="I690" s="36" t="n">
        <v>1</v>
      </c>
      <c r="J690" s="39" t="n">
        <v>154.36</v>
      </c>
      <c r="K690" s="45" t="n">
        <v>0</v>
      </c>
      <c r="L690" s="39" t="n">
        <v>77.76000000000001</v>
      </c>
      <c r="M690" s="39">
        <f>I690*J690*(1-K690)</f>
        <v/>
      </c>
      <c r="N690" s="39">
        <f>I690*L690</f>
        <v/>
      </c>
      <c r="O690" s="39">
        <f>M690-N690</f>
        <v/>
      </c>
      <c r="P690" s="38">
        <f>IF(M690=0,0,O690/M690)</f>
        <v/>
      </c>
      <c r="Q690" s="36">
        <f>YEAR(B690)</f>
        <v/>
      </c>
      <c r="R690" s="36">
        <f>"Q"&amp;ROUNDUP(MONTH(B690)/3,0)</f>
        <v/>
      </c>
      <c r="S690" s="36">
        <f>MONTH(B690)</f>
        <v/>
      </c>
      <c r="T690" s="36">
        <f>TEXT(B690,"mmm")</f>
        <v/>
      </c>
      <c r="U690" s="36">
        <f>IF(AND(OR(sel_Region="All",C690=sel_Region),OR(sel_Country="All",D690=sel_Country),OR(sel_Channel="All",E690=sel_Channel),OR(sel_Customer="All",F690=sel_Customer),OR(sel_Category="All",G690=sel_Category),OR(sel_Product="All",H690=sel_Product),AND(S690&gt;=m_From,S690&lt;=m_To)),1,0)</f>
        <v/>
      </c>
      <c r="V690" s="36">
        <f>IF(AND(OR(sel_Region="All",C690=sel_Region),OR(sel_Channel="All",E690=sel_Channel),OR(sel_Customer="All",F690=sel_Customer),OR(sel_Category="All",G690=sel_Category),OR(sel_Product="All",H690=sel_Product),AND(S690&gt;=m_From,S690&lt;=m_To)),1,0)</f>
        <v/>
      </c>
      <c r="W690" s="36">
        <f>IF(AND(OR(sel_Region="All",C690=sel_Region),OR(sel_Country="All",D690=sel_Country),OR(sel_Customer="All",F690=sel_Customer),OR(sel_Category="All",G690=sel_Category),OR(sel_Product="All",H690=sel_Product),AND(S690&gt;=m_From,S690&lt;=m_To)),1,0)</f>
        <v/>
      </c>
      <c r="X690" s="36">
        <f>IF(AND(OR(sel_Region="All",C690=sel_Region),OR(sel_Country="All",D690=sel_Country),OR(sel_Channel="All",E690=sel_Channel),OR(sel_Category="All",G690=sel_Category),OR(sel_Product="All",H690=sel_Product),AND(S690&gt;=m_From,S690&lt;=m_To)),1,0)</f>
        <v/>
      </c>
      <c r="Y690" s="36">
        <f>IF(AND(OR(sel_Region="All",C690=sel_Region),OR(sel_Country="All",D690=sel_Country),OR(sel_Channel="All",E690=sel_Channel),OR(sel_Customer="All",F690=sel_Customer),OR(sel_Product="All",H690=sel_Product),AND(S690&gt;=m_From,S690&lt;=m_To)),1,0)</f>
        <v/>
      </c>
      <c r="Z690" s="36">
        <f>IF(AND(OR(sel_Region="All",C690=sel_Region),OR(sel_Country="All",D690=sel_Country),OR(sel_Channel="All",E690=sel_Channel),OR(sel_Customer="All",F690=sel_Customer),OR(sel_Category="All",G690=sel_Category),AND(S690&gt;=m_From,S690&lt;=m_To)),1,0)</f>
        <v/>
      </c>
      <c r="AA690" s="36">
        <f>IF(AND(OR(sel_Region="All",C690=sel_Region),OR(sel_Country="All",D690=sel_Country),OR(sel_Channel="All",E690=sel_Channel),OR(sel_Customer="All",F690=sel_Customer),OR(sel_Category="All",G690=sel_Category),OR(sel_Product="All",H690=sel_Product)),1,0)</f>
        <v/>
      </c>
    </row>
    <row r="691">
      <c r="A691" s="36" t="inlineStr">
        <is>
          <t>00785</t>
        </is>
      </c>
      <c r="B691" s="44" t="n">
        <v>46140</v>
      </c>
      <c r="C691" s="36" t="inlineStr">
        <is>
          <t>Southern Europe</t>
        </is>
      </c>
      <c r="D691" s="36" t="inlineStr">
        <is>
          <t>Portugal</t>
        </is>
      </c>
      <c r="E691" s="36" t="inlineStr">
        <is>
          <t>Marketplace</t>
        </is>
      </c>
      <c r="F691" s="36" t="inlineStr">
        <is>
          <t>New</t>
        </is>
      </c>
      <c r="G691" s="36" t="inlineStr">
        <is>
          <t>Hiking</t>
        </is>
      </c>
      <c r="H691" s="36" t="inlineStr">
        <is>
          <t>Summit Backpack 45L</t>
        </is>
      </c>
      <c r="I691" s="36" t="n">
        <v>1</v>
      </c>
      <c r="J691" s="39" t="n">
        <v>155.68</v>
      </c>
      <c r="K691" s="45" t="n">
        <v>0</v>
      </c>
      <c r="L691" s="39" t="n">
        <v>77.97</v>
      </c>
      <c r="M691" s="39">
        <f>I691*J691*(1-K691)</f>
        <v/>
      </c>
      <c r="N691" s="39">
        <f>I691*L691</f>
        <v/>
      </c>
      <c r="O691" s="39">
        <f>M691-N691</f>
        <v/>
      </c>
      <c r="P691" s="38">
        <f>IF(M691=0,0,O691/M691)</f>
        <v/>
      </c>
      <c r="Q691" s="36">
        <f>YEAR(B691)</f>
        <v/>
      </c>
      <c r="R691" s="36">
        <f>"Q"&amp;ROUNDUP(MONTH(B691)/3,0)</f>
        <v/>
      </c>
      <c r="S691" s="36">
        <f>MONTH(B691)</f>
        <v/>
      </c>
      <c r="T691" s="36">
        <f>TEXT(B691,"mmm")</f>
        <v/>
      </c>
      <c r="U691" s="36">
        <f>IF(AND(OR(sel_Region="All",C691=sel_Region),OR(sel_Country="All",D691=sel_Country),OR(sel_Channel="All",E691=sel_Channel),OR(sel_Customer="All",F691=sel_Customer),OR(sel_Category="All",G691=sel_Category),OR(sel_Product="All",H691=sel_Product),AND(S691&gt;=m_From,S691&lt;=m_To)),1,0)</f>
        <v/>
      </c>
      <c r="V691" s="36">
        <f>IF(AND(OR(sel_Region="All",C691=sel_Region),OR(sel_Channel="All",E691=sel_Channel),OR(sel_Customer="All",F691=sel_Customer),OR(sel_Category="All",G691=sel_Category),OR(sel_Product="All",H691=sel_Product),AND(S691&gt;=m_From,S691&lt;=m_To)),1,0)</f>
        <v/>
      </c>
      <c r="W691" s="36">
        <f>IF(AND(OR(sel_Region="All",C691=sel_Region),OR(sel_Country="All",D691=sel_Country),OR(sel_Customer="All",F691=sel_Customer),OR(sel_Category="All",G691=sel_Category),OR(sel_Product="All",H691=sel_Product),AND(S691&gt;=m_From,S691&lt;=m_To)),1,0)</f>
        <v/>
      </c>
      <c r="X691" s="36">
        <f>IF(AND(OR(sel_Region="All",C691=sel_Region),OR(sel_Country="All",D691=sel_Country),OR(sel_Channel="All",E691=sel_Channel),OR(sel_Category="All",G691=sel_Category),OR(sel_Product="All",H691=sel_Product),AND(S691&gt;=m_From,S691&lt;=m_To)),1,0)</f>
        <v/>
      </c>
      <c r="Y691" s="36">
        <f>IF(AND(OR(sel_Region="All",C691=sel_Region),OR(sel_Country="All",D691=sel_Country),OR(sel_Channel="All",E691=sel_Channel),OR(sel_Customer="All",F691=sel_Customer),OR(sel_Product="All",H691=sel_Product),AND(S691&gt;=m_From,S691&lt;=m_To)),1,0)</f>
        <v/>
      </c>
      <c r="Z691" s="36">
        <f>IF(AND(OR(sel_Region="All",C691=sel_Region),OR(sel_Country="All",D691=sel_Country),OR(sel_Channel="All",E691=sel_Channel),OR(sel_Customer="All",F691=sel_Customer),OR(sel_Category="All",G691=sel_Category),AND(S691&gt;=m_From,S691&lt;=m_To)),1,0)</f>
        <v/>
      </c>
      <c r="AA691" s="36">
        <f>IF(AND(OR(sel_Region="All",C691=sel_Region),OR(sel_Country="All",D691=sel_Country),OR(sel_Channel="All",E691=sel_Channel),OR(sel_Customer="All",F691=sel_Customer),OR(sel_Category="All",G691=sel_Category),OR(sel_Product="All",H691=sel_Product)),1,0)</f>
        <v/>
      </c>
    </row>
    <row r="692">
      <c r="A692" s="36" t="inlineStr">
        <is>
          <t>02325</t>
        </is>
      </c>
      <c r="B692" s="44" t="n">
        <v>46140</v>
      </c>
      <c r="C692" s="36" t="inlineStr">
        <is>
          <t>Southern Europe</t>
        </is>
      </c>
      <c r="D692" s="36" t="inlineStr">
        <is>
          <t>Spain</t>
        </is>
      </c>
      <c r="E692" s="36" t="inlineStr">
        <is>
          <t>Online Store</t>
        </is>
      </c>
      <c r="F692" s="36" t="inlineStr">
        <is>
          <t>Returning</t>
        </is>
      </c>
      <c r="G692" s="36" t="inlineStr">
        <is>
          <t>Fitness</t>
        </is>
      </c>
      <c r="H692" s="36" t="inlineStr">
        <is>
          <t>Resistance Band Set</t>
        </is>
      </c>
      <c r="I692" s="36" t="n">
        <v>1</v>
      </c>
      <c r="J692" s="39" t="n">
        <v>40.95</v>
      </c>
      <c r="K692" s="45" t="n">
        <v>0.15</v>
      </c>
      <c r="L692" s="39" t="n">
        <v>14.89</v>
      </c>
      <c r="M692" s="39">
        <f>I692*J692*(1-K692)</f>
        <v/>
      </c>
      <c r="N692" s="39">
        <f>I692*L692</f>
        <v/>
      </c>
      <c r="O692" s="39">
        <f>M692-N692</f>
        <v/>
      </c>
      <c r="P692" s="38">
        <f>IF(M692=0,0,O692/M692)</f>
        <v/>
      </c>
      <c r="Q692" s="36">
        <f>YEAR(B692)</f>
        <v/>
      </c>
      <c r="R692" s="36">
        <f>"Q"&amp;ROUNDUP(MONTH(B692)/3,0)</f>
        <v/>
      </c>
      <c r="S692" s="36">
        <f>MONTH(B692)</f>
        <v/>
      </c>
      <c r="T692" s="36">
        <f>TEXT(B692,"mmm")</f>
        <v/>
      </c>
      <c r="U692" s="36">
        <f>IF(AND(OR(sel_Region="All",C692=sel_Region),OR(sel_Country="All",D692=sel_Country),OR(sel_Channel="All",E692=sel_Channel),OR(sel_Customer="All",F692=sel_Customer),OR(sel_Category="All",G692=sel_Category),OR(sel_Product="All",H692=sel_Product),AND(S692&gt;=m_From,S692&lt;=m_To)),1,0)</f>
        <v/>
      </c>
      <c r="V692" s="36">
        <f>IF(AND(OR(sel_Region="All",C692=sel_Region),OR(sel_Channel="All",E692=sel_Channel),OR(sel_Customer="All",F692=sel_Customer),OR(sel_Category="All",G692=sel_Category),OR(sel_Product="All",H692=sel_Product),AND(S692&gt;=m_From,S692&lt;=m_To)),1,0)</f>
        <v/>
      </c>
      <c r="W692" s="36">
        <f>IF(AND(OR(sel_Region="All",C692=sel_Region),OR(sel_Country="All",D692=sel_Country),OR(sel_Customer="All",F692=sel_Customer),OR(sel_Category="All",G692=sel_Category),OR(sel_Product="All",H692=sel_Product),AND(S692&gt;=m_From,S692&lt;=m_To)),1,0)</f>
        <v/>
      </c>
      <c r="X692" s="36">
        <f>IF(AND(OR(sel_Region="All",C692=sel_Region),OR(sel_Country="All",D692=sel_Country),OR(sel_Channel="All",E692=sel_Channel),OR(sel_Category="All",G692=sel_Category),OR(sel_Product="All",H692=sel_Product),AND(S692&gt;=m_From,S692&lt;=m_To)),1,0)</f>
        <v/>
      </c>
      <c r="Y692" s="36">
        <f>IF(AND(OR(sel_Region="All",C692=sel_Region),OR(sel_Country="All",D692=sel_Country),OR(sel_Channel="All",E692=sel_Channel),OR(sel_Customer="All",F692=sel_Customer),OR(sel_Product="All",H692=sel_Product),AND(S692&gt;=m_From,S692&lt;=m_To)),1,0)</f>
        <v/>
      </c>
      <c r="Z692" s="36">
        <f>IF(AND(OR(sel_Region="All",C692=sel_Region),OR(sel_Country="All",D692=sel_Country),OR(sel_Channel="All",E692=sel_Channel),OR(sel_Customer="All",F692=sel_Customer),OR(sel_Category="All",G692=sel_Category),AND(S692&gt;=m_From,S692&lt;=m_To)),1,0)</f>
        <v/>
      </c>
      <c r="AA692" s="36">
        <f>IF(AND(OR(sel_Region="All",C692=sel_Region),OR(sel_Country="All",D692=sel_Country),OR(sel_Channel="All",E692=sel_Channel),OR(sel_Customer="All",F692=sel_Customer),OR(sel_Category="All",G692=sel_Category),OR(sel_Product="All",H692=sel_Product)),1,0)</f>
        <v/>
      </c>
    </row>
    <row r="693">
      <c r="A693" s="36" t="inlineStr">
        <is>
          <t>02566</t>
        </is>
      </c>
      <c r="B693" s="44" t="n">
        <v>46140</v>
      </c>
      <c r="C693" s="36" t="inlineStr">
        <is>
          <t>Western Europe</t>
        </is>
      </c>
      <c r="D693" s="36" t="inlineStr">
        <is>
          <t>France</t>
        </is>
      </c>
      <c r="E693" s="36" t="inlineStr">
        <is>
          <t>Marketplace</t>
        </is>
      </c>
      <c r="F693" s="36" t="inlineStr">
        <is>
          <t>Returning</t>
        </is>
      </c>
      <c r="G693" s="36" t="inlineStr">
        <is>
          <t>Travel</t>
        </is>
      </c>
      <c r="H693" s="36" t="inlineStr">
        <is>
          <t>Packing Cube Set</t>
        </is>
      </c>
      <c r="I693" s="36" t="n">
        <v>3</v>
      </c>
      <c r="J693" s="39" t="n">
        <v>47.28</v>
      </c>
      <c r="K693" s="45" t="n">
        <v>0.05</v>
      </c>
      <c r="L693" s="39" t="n">
        <v>18.52</v>
      </c>
      <c r="M693" s="39">
        <f>I693*J693*(1-K693)</f>
        <v/>
      </c>
      <c r="N693" s="39">
        <f>I693*L693</f>
        <v/>
      </c>
      <c r="O693" s="39">
        <f>M693-N693</f>
        <v/>
      </c>
      <c r="P693" s="38">
        <f>IF(M693=0,0,O693/M693)</f>
        <v/>
      </c>
      <c r="Q693" s="36">
        <f>YEAR(B693)</f>
        <v/>
      </c>
      <c r="R693" s="36">
        <f>"Q"&amp;ROUNDUP(MONTH(B693)/3,0)</f>
        <v/>
      </c>
      <c r="S693" s="36">
        <f>MONTH(B693)</f>
        <v/>
      </c>
      <c r="T693" s="36">
        <f>TEXT(B693,"mmm")</f>
        <v/>
      </c>
      <c r="U693" s="36">
        <f>IF(AND(OR(sel_Region="All",C693=sel_Region),OR(sel_Country="All",D693=sel_Country),OR(sel_Channel="All",E693=sel_Channel),OR(sel_Customer="All",F693=sel_Customer),OR(sel_Category="All",G693=sel_Category),OR(sel_Product="All",H693=sel_Product),AND(S693&gt;=m_From,S693&lt;=m_To)),1,0)</f>
        <v/>
      </c>
      <c r="V693" s="36">
        <f>IF(AND(OR(sel_Region="All",C693=sel_Region),OR(sel_Channel="All",E693=sel_Channel),OR(sel_Customer="All",F693=sel_Customer),OR(sel_Category="All",G693=sel_Category),OR(sel_Product="All",H693=sel_Product),AND(S693&gt;=m_From,S693&lt;=m_To)),1,0)</f>
        <v/>
      </c>
      <c r="W693" s="36">
        <f>IF(AND(OR(sel_Region="All",C693=sel_Region),OR(sel_Country="All",D693=sel_Country),OR(sel_Customer="All",F693=sel_Customer),OR(sel_Category="All",G693=sel_Category),OR(sel_Product="All",H693=sel_Product),AND(S693&gt;=m_From,S693&lt;=m_To)),1,0)</f>
        <v/>
      </c>
      <c r="X693" s="36">
        <f>IF(AND(OR(sel_Region="All",C693=sel_Region),OR(sel_Country="All",D693=sel_Country),OR(sel_Channel="All",E693=sel_Channel),OR(sel_Category="All",G693=sel_Category),OR(sel_Product="All",H693=sel_Product),AND(S693&gt;=m_From,S693&lt;=m_To)),1,0)</f>
        <v/>
      </c>
      <c r="Y693" s="36">
        <f>IF(AND(OR(sel_Region="All",C693=sel_Region),OR(sel_Country="All",D693=sel_Country),OR(sel_Channel="All",E693=sel_Channel),OR(sel_Customer="All",F693=sel_Customer),OR(sel_Product="All",H693=sel_Product),AND(S693&gt;=m_From,S693&lt;=m_To)),1,0)</f>
        <v/>
      </c>
      <c r="Z693" s="36">
        <f>IF(AND(OR(sel_Region="All",C693=sel_Region),OR(sel_Country="All",D693=sel_Country),OR(sel_Channel="All",E693=sel_Channel),OR(sel_Customer="All",F693=sel_Customer),OR(sel_Category="All",G693=sel_Category),AND(S693&gt;=m_From,S693&lt;=m_To)),1,0)</f>
        <v/>
      </c>
      <c r="AA693" s="36">
        <f>IF(AND(OR(sel_Region="All",C693=sel_Region),OR(sel_Country="All",D693=sel_Country),OR(sel_Channel="All",E693=sel_Channel),OR(sel_Customer="All",F693=sel_Customer),OR(sel_Category="All",G693=sel_Category),OR(sel_Product="All",H693=sel_Product)),1,0)</f>
        <v/>
      </c>
    </row>
    <row r="694">
      <c r="A694" s="36" t="inlineStr">
        <is>
          <t>03105</t>
        </is>
      </c>
      <c r="B694" s="44" t="n">
        <v>46140</v>
      </c>
      <c r="C694" s="36" t="inlineStr">
        <is>
          <t>Western Europe</t>
        </is>
      </c>
      <c r="D694" s="36" t="inlineStr">
        <is>
          <t>Netherlands</t>
        </is>
      </c>
      <c r="E694" s="36" t="inlineStr">
        <is>
          <t>Online Store</t>
        </is>
      </c>
      <c r="F694" s="36" t="inlineStr">
        <is>
          <t>Returning</t>
        </is>
      </c>
      <c r="G694" s="36" t="inlineStr">
        <is>
          <t>Fitness</t>
        </is>
      </c>
      <c r="H694" s="36" t="inlineStr">
        <is>
          <t>Training Mat</t>
        </is>
      </c>
      <c r="I694" s="36" t="n">
        <v>4</v>
      </c>
      <c r="J694" s="39" t="n">
        <v>51.57</v>
      </c>
      <c r="K694" s="45" t="n">
        <v>0.1</v>
      </c>
      <c r="L694" s="39" t="n">
        <v>22.58</v>
      </c>
      <c r="M694" s="39">
        <f>I694*J694*(1-K694)</f>
        <v/>
      </c>
      <c r="N694" s="39">
        <f>I694*L694</f>
        <v/>
      </c>
      <c r="O694" s="39">
        <f>M694-N694</f>
        <v/>
      </c>
      <c r="P694" s="38">
        <f>IF(M694=0,0,O694/M694)</f>
        <v/>
      </c>
      <c r="Q694" s="36">
        <f>YEAR(B694)</f>
        <v/>
      </c>
      <c r="R694" s="36">
        <f>"Q"&amp;ROUNDUP(MONTH(B694)/3,0)</f>
        <v/>
      </c>
      <c r="S694" s="36">
        <f>MONTH(B694)</f>
        <v/>
      </c>
      <c r="T694" s="36">
        <f>TEXT(B694,"mmm")</f>
        <v/>
      </c>
      <c r="U694" s="36">
        <f>IF(AND(OR(sel_Region="All",C694=sel_Region),OR(sel_Country="All",D694=sel_Country),OR(sel_Channel="All",E694=sel_Channel),OR(sel_Customer="All",F694=sel_Customer),OR(sel_Category="All",G694=sel_Category),OR(sel_Product="All",H694=sel_Product),AND(S694&gt;=m_From,S694&lt;=m_To)),1,0)</f>
        <v/>
      </c>
      <c r="V694" s="36">
        <f>IF(AND(OR(sel_Region="All",C694=sel_Region),OR(sel_Channel="All",E694=sel_Channel),OR(sel_Customer="All",F694=sel_Customer),OR(sel_Category="All",G694=sel_Category),OR(sel_Product="All",H694=sel_Product),AND(S694&gt;=m_From,S694&lt;=m_To)),1,0)</f>
        <v/>
      </c>
      <c r="W694" s="36">
        <f>IF(AND(OR(sel_Region="All",C694=sel_Region),OR(sel_Country="All",D694=sel_Country),OR(sel_Customer="All",F694=sel_Customer),OR(sel_Category="All",G694=sel_Category),OR(sel_Product="All",H694=sel_Product),AND(S694&gt;=m_From,S694&lt;=m_To)),1,0)</f>
        <v/>
      </c>
      <c r="X694" s="36">
        <f>IF(AND(OR(sel_Region="All",C694=sel_Region),OR(sel_Country="All",D694=sel_Country),OR(sel_Channel="All",E694=sel_Channel),OR(sel_Category="All",G694=sel_Category),OR(sel_Product="All",H694=sel_Product),AND(S694&gt;=m_From,S694&lt;=m_To)),1,0)</f>
        <v/>
      </c>
      <c r="Y694" s="36">
        <f>IF(AND(OR(sel_Region="All",C694=sel_Region),OR(sel_Country="All",D694=sel_Country),OR(sel_Channel="All",E694=sel_Channel),OR(sel_Customer="All",F694=sel_Customer),OR(sel_Product="All",H694=sel_Product),AND(S694&gt;=m_From,S694&lt;=m_To)),1,0)</f>
        <v/>
      </c>
      <c r="Z694" s="36">
        <f>IF(AND(OR(sel_Region="All",C694=sel_Region),OR(sel_Country="All",D694=sel_Country),OR(sel_Channel="All",E694=sel_Channel),OR(sel_Customer="All",F694=sel_Customer),OR(sel_Category="All",G694=sel_Category),AND(S694&gt;=m_From,S694&lt;=m_To)),1,0)</f>
        <v/>
      </c>
      <c r="AA694" s="36">
        <f>IF(AND(OR(sel_Region="All",C694=sel_Region),OR(sel_Country="All",D694=sel_Country),OR(sel_Channel="All",E694=sel_Channel),OR(sel_Customer="All",F694=sel_Customer),OR(sel_Category="All",G694=sel_Category),OR(sel_Product="All",H694=sel_Product)),1,0)</f>
        <v/>
      </c>
    </row>
    <row r="695">
      <c r="A695" s="36" t="inlineStr">
        <is>
          <t>03167</t>
        </is>
      </c>
      <c r="B695" s="44" t="n">
        <v>46140</v>
      </c>
      <c r="C695" s="36" t="inlineStr">
        <is>
          <t>Western Europe</t>
        </is>
      </c>
      <c r="D695" s="36" t="inlineStr">
        <is>
          <t>United Kingdom</t>
        </is>
      </c>
      <c r="E695" s="36" t="inlineStr">
        <is>
          <t>Online Store</t>
        </is>
      </c>
      <c r="F695" s="36" t="inlineStr">
        <is>
          <t>Business</t>
        </is>
      </c>
      <c r="G695" s="36" t="inlineStr">
        <is>
          <t>Cycling</t>
        </is>
      </c>
      <c r="H695" s="36" t="inlineStr">
        <is>
          <t>Trail Bike Light</t>
        </is>
      </c>
      <c r="I695" s="36" t="n">
        <v>1</v>
      </c>
      <c r="J695" s="39" t="n">
        <v>51.61</v>
      </c>
      <c r="K695" s="45" t="n">
        <v>0</v>
      </c>
      <c r="L695" s="39" t="n">
        <v>23</v>
      </c>
      <c r="M695" s="39">
        <f>I695*J695*(1-K695)</f>
        <v/>
      </c>
      <c r="N695" s="39">
        <f>I695*L695</f>
        <v/>
      </c>
      <c r="O695" s="39">
        <f>M695-N695</f>
        <v/>
      </c>
      <c r="P695" s="38">
        <f>IF(M695=0,0,O695/M695)</f>
        <v/>
      </c>
      <c r="Q695" s="36">
        <f>YEAR(B695)</f>
        <v/>
      </c>
      <c r="R695" s="36">
        <f>"Q"&amp;ROUNDUP(MONTH(B695)/3,0)</f>
        <v/>
      </c>
      <c r="S695" s="36">
        <f>MONTH(B695)</f>
        <v/>
      </c>
      <c r="T695" s="36">
        <f>TEXT(B695,"mmm")</f>
        <v/>
      </c>
      <c r="U695" s="36">
        <f>IF(AND(OR(sel_Region="All",C695=sel_Region),OR(sel_Country="All",D695=sel_Country),OR(sel_Channel="All",E695=sel_Channel),OR(sel_Customer="All",F695=sel_Customer),OR(sel_Category="All",G695=sel_Category),OR(sel_Product="All",H695=sel_Product),AND(S695&gt;=m_From,S695&lt;=m_To)),1,0)</f>
        <v/>
      </c>
      <c r="V695" s="36">
        <f>IF(AND(OR(sel_Region="All",C695=sel_Region),OR(sel_Channel="All",E695=sel_Channel),OR(sel_Customer="All",F695=sel_Customer),OR(sel_Category="All",G695=sel_Category),OR(sel_Product="All",H695=sel_Product),AND(S695&gt;=m_From,S695&lt;=m_To)),1,0)</f>
        <v/>
      </c>
      <c r="W695" s="36">
        <f>IF(AND(OR(sel_Region="All",C695=sel_Region),OR(sel_Country="All",D695=sel_Country),OR(sel_Customer="All",F695=sel_Customer),OR(sel_Category="All",G695=sel_Category),OR(sel_Product="All",H695=sel_Product),AND(S695&gt;=m_From,S695&lt;=m_To)),1,0)</f>
        <v/>
      </c>
      <c r="X695" s="36">
        <f>IF(AND(OR(sel_Region="All",C695=sel_Region),OR(sel_Country="All",D695=sel_Country),OR(sel_Channel="All",E695=sel_Channel),OR(sel_Category="All",G695=sel_Category),OR(sel_Product="All",H695=sel_Product),AND(S695&gt;=m_From,S695&lt;=m_To)),1,0)</f>
        <v/>
      </c>
      <c r="Y695" s="36">
        <f>IF(AND(OR(sel_Region="All",C695=sel_Region),OR(sel_Country="All",D695=sel_Country),OR(sel_Channel="All",E695=sel_Channel),OR(sel_Customer="All",F695=sel_Customer),OR(sel_Product="All",H695=sel_Product),AND(S695&gt;=m_From,S695&lt;=m_To)),1,0)</f>
        <v/>
      </c>
      <c r="Z695" s="36">
        <f>IF(AND(OR(sel_Region="All",C695=sel_Region),OR(sel_Country="All",D695=sel_Country),OR(sel_Channel="All",E695=sel_Channel),OR(sel_Customer="All",F695=sel_Customer),OR(sel_Category="All",G695=sel_Category),AND(S695&gt;=m_From,S695&lt;=m_To)),1,0)</f>
        <v/>
      </c>
      <c r="AA695" s="36">
        <f>IF(AND(OR(sel_Region="All",C695=sel_Region),OR(sel_Country="All",D695=sel_Country),OR(sel_Channel="All",E695=sel_Channel),OR(sel_Customer="All",F695=sel_Customer),OR(sel_Category="All",G695=sel_Category),OR(sel_Product="All",H695=sel_Product)),1,0)</f>
        <v/>
      </c>
    </row>
    <row r="696">
      <c r="A696" s="36" t="inlineStr">
        <is>
          <t>04396</t>
        </is>
      </c>
      <c r="B696" s="44" t="n">
        <v>46140</v>
      </c>
      <c r="C696" s="36" t="inlineStr">
        <is>
          <t>Southern Europe</t>
        </is>
      </c>
      <c r="D696" s="36" t="inlineStr">
        <is>
          <t>Italy</t>
        </is>
      </c>
      <c r="E696" s="36" t="inlineStr">
        <is>
          <t>Retail Partners</t>
        </is>
      </c>
      <c r="F696" s="36" t="inlineStr">
        <is>
          <t>Returning</t>
        </is>
      </c>
      <c r="G696" s="36" t="inlineStr">
        <is>
          <t>Fitness</t>
        </is>
      </c>
      <c r="H696" s="36" t="inlineStr">
        <is>
          <t>Training Mat</t>
        </is>
      </c>
      <c r="I696" s="36" t="n">
        <v>1</v>
      </c>
      <c r="J696" s="39" t="n">
        <v>50.56</v>
      </c>
      <c r="K696" s="45" t="n">
        <v>0.05</v>
      </c>
      <c r="L696" s="39" t="n">
        <v>22.06</v>
      </c>
      <c r="M696" s="39">
        <f>I696*J696*(1-K696)</f>
        <v/>
      </c>
      <c r="N696" s="39">
        <f>I696*L696</f>
        <v/>
      </c>
      <c r="O696" s="39">
        <f>M696-N696</f>
        <v/>
      </c>
      <c r="P696" s="38">
        <f>IF(M696=0,0,O696/M696)</f>
        <v/>
      </c>
      <c r="Q696" s="36">
        <f>YEAR(B696)</f>
        <v/>
      </c>
      <c r="R696" s="36">
        <f>"Q"&amp;ROUNDUP(MONTH(B696)/3,0)</f>
        <v/>
      </c>
      <c r="S696" s="36">
        <f>MONTH(B696)</f>
        <v/>
      </c>
      <c r="T696" s="36">
        <f>TEXT(B696,"mmm")</f>
        <v/>
      </c>
      <c r="U696" s="36">
        <f>IF(AND(OR(sel_Region="All",C696=sel_Region),OR(sel_Country="All",D696=sel_Country),OR(sel_Channel="All",E696=sel_Channel),OR(sel_Customer="All",F696=sel_Customer),OR(sel_Category="All",G696=sel_Category),OR(sel_Product="All",H696=sel_Product),AND(S696&gt;=m_From,S696&lt;=m_To)),1,0)</f>
        <v/>
      </c>
      <c r="V696" s="36">
        <f>IF(AND(OR(sel_Region="All",C696=sel_Region),OR(sel_Channel="All",E696=sel_Channel),OR(sel_Customer="All",F696=sel_Customer),OR(sel_Category="All",G696=sel_Category),OR(sel_Product="All",H696=sel_Product),AND(S696&gt;=m_From,S696&lt;=m_To)),1,0)</f>
        <v/>
      </c>
      <c r="W696" s="36">
        <f>IF(AND(OR(sel_Region="All",C696=sel_Region),OR(sel_Country="All",D696=sel_Country),OR(sel_Customer="All",F696=sel_Customer),OR(sel_Category="All",G696=sel_Category),OR(sel_Product="All",H696=sel_Product),AND(S696&gt;=m_From,S696&lt;=m_To)),1,0)</f>
        <v/>
      </c>
      <c r="X696" s="36">
        <f>IF(AND(OR(sel_Region="All",C696=sel_Region),OR(sel_Country="All",D696=sel_Country),OR(sel_Channel="All",E696=sel_Channel),OR(sel_Category="All",G696=sel_Category),OR(sel_Product="All",H696=sel_Product),AND(S696&gt;=m_From,S696&lt;=m_To)),1,0)</f>
        <v/>
      </c>
      <c r="Y696" s="36">
        <f>IF(AND(OR(sel_Region="All",C696=sel_Region),OR(sel_Country="All",D696=sel_Country),OR(sel_Channel="All",E696=sel_Channel),OR(sel_Customer="All",F696=sel_Customer),OR(sel_Product="All",H696=sel_Product),AND(S696&gt;=m_From,S696&lt;=m_To)),1,0)</f>
        <v/>
      </c>
      <c r="Z696" s="36">
        <f>IF(AND(OR(sel_Region="All",C696=sel_Region),OR(sel_Country="All",D696=sel_Country),OR(sel_Channel="All",E696=sel_Channel),OR(sel_Customer="All",F696=sel_Customer),OR(sel_Category="All",G696=sel_Category),AND(S696&gt;=m_From,S696&lt;=m_To)),1,0)</f>
        <v/>
      </c>
      <c r="AA696" s="36">
        <f>IF(AND(OR(sel_Region="All",C696=sel_Region),OR(sel_Country="All",D696=sel_Country),OR(sel_Channel="All",E696=sel_Channel),OR(sel_Customer="All",F696=sel_Customer),OR(sel_Category="All",G696=sel_Category),OR(sel_Product="All",H696=sel_Product)),1,0)</f>
        <v/>
      </c>
    </row>
    <row r="697">
      <c r="A697" s="36" t="inlineStr">
        <is>
          <t>04475</t>
        </is>
      </c>
      <c r="B697" s="44" t="n">
        <v>46140</v>
      </c>
      <c r="C697" s="36" t="inlineStr">
        <is>
          <t>Northern Europe</t>
        </is>
      </c>
      <c r="D697" s="36" t="inlineStr">
        <is>
          <t>Denmark</t>
        </is>
      </c>
      <c r="E697" s="36" t="inlineStr">
        <is>
          <t>Marketplace</t>
        </is>
      </c>
      <c r="F697" s="36" t="inlineStr">
        <is>
          <t>Business</t>
        </is>
      </c>
      <c r="G697" s="36" t="inlineStr">
        <is>
          <t>Travel</t>
        </is>
      </c>
      <c r="H697" s="36" t="inlineStr">
        <is>
          <t>Travel Backpack 35L</t>
        </is>
      </c>
      <c r="I697" s="36" t="n">
        <v>2</v>
      </c>
      <c r="J697" s="39" t="n">
        <v>165.74</v>
      </c>
      <c r="K697" s="45" t="n">
        <v>0</v>
      </c>
      <c r="L697" s="39" t="n">
        <v>87.73</v>
      </c>
      <c r="M697" s="39">
        <f>I697*J697*(1-K697)</f>
        <v/>
      </c>
      <c r="N697" s="39">
        <f>I697*L697</f>
        <v/>
      </c>
      <c r="O697" s="39">
        <f>M697-N697</f>
        <v/>
      </c>
      <c r="P697" s="38">
        <f>IF(M697=0,0,O697/M697)</f>
        <v/>
      </c>
      <c r="Q697" s="36">
        <f>YEAR(B697)</f>
        <v/>
      </c>
      <c r="R697" s="36">
        <f>"Q"&amp;ROUNDUP(MONTH(B697)/3,0)</f>
        <v/>
      </c>
      <c r="S697" s="36">
        <f>MONTH(B697)</f>
        <v/>
      </c>
      <c r="T697" s="36">
        <f>TEXT(B697,"mmm")</f>
        <v/>
      </c>
      <c r="U697" s="36">
        <f>IF(AND(OR(sel_Region="All",C697=sel_Region),OR(sel_Country="All",D697=sel_Country),OR(sel_Channel="All",E697=sel_Channel),OR(sel_Customer="All",F697=sel_Customer),OR(sel_Category="All",G697=sel_Category),OR(sel_Product="All",H697=sel_Product),AND(S697&gt;=m_From,S697&lt;=m_To)),1,0)</f>
        <v/>
      </c>
      <c r="V697" s="36">
        <f>IF(AND(OR(sel_Region="All",C697=sel_Region),OR(sel_Channel="All",E697=sel_Channel),OR(sel_Customer="All",F697=sel_Customer),OR(sel_Category="All",G697=sel_Category),OR(sel_Product="All",H697=sel_Product),AND(S697&gt;=m_From,S697&lt;=m_To)),1,0)</f>
        <v/>
      </c>
      <c r="W697" s="36">
        <f>IF(AND(OR(sel_Region="All",C697=sel_Region),OR(sel_Country="All",D697=sel_Country),OR(sel_Customer="All",F697=sel_Customer),OR(sel_Category="All",G697=sel_Category),OR(sel_Product="All",H697=sel_Product),AND(S697&gt;=m_From,S697&lt;=m_To)),1,0)</f>
        <v/>
      </c>
      <c r="X697" s="36">
        <f>IF(AND(OR(sel_Region="All",C697=sel_Region),OR(sel_Country="All",D697=sel_Country),OR(sel_Channel="All",E697=sel_Channel),OR(sel_Category="All",G697=sel_Category),OR(sel_Product="All",H697=sel_Product),AND(S697&gt;=m_From,S697&lt;=m_To)),1,0)</f>
        <v/>
      </c>
      <c r="Y697" s="36">
        <f>IF(AND(OR(sel_Region="All",C697=sel_Region),OR(sel_Country="All",D697=sel_Country),OR(sel_Channel="All",E697=sel_Channel),OR(sel_Customer="All",F697=sel_Customer),OR(sel_Product="All",H697=sel_Product),AND(S697&gt;=m_From,S697&lt;=m_To)),1,0)</f>
        <v/>
      </c>
      <c r="Z697" s="36">
        <f>IF(AND(OR(sel_Region="All",C697=sel_Region),OR(sel_Country="All",D697=sel_Country),OR(sel_Channel="All",E697=sel_Channel),OR(sel_Customer="All",F697=sel_Customer),OR(sel_Category="All",G697=sel_Category),AND(S697&gt;=m_From,S697&lt;=m_To)),1,0)</f>
        <v/>
      </c>
      <c r="AA697" s="36">
        <f>IF(AND(OR(sel_Region="All",C697=sel_Region),OR(sel_Country="All",D697=sel_Country),OR(sel_Channel="All",E697=sel_Channel),OR(sel_Customer="All",F697=sel_Customer),OR(sel_Category="All",G697=sel_Category),OR(sel_Product="All",H697=sel_Product)),1,0)</f>
        <v/>
      </c>
    </row>
    <row r="698">
      <c r="A698" s="36" t="inlineStr">
        <is>
          <t>04482</t>
        </is>
      </c>
      <c r="B698" s="44" t="n">
        <v>46140</v>
      </c>
      <c r="C698" s="36" t="inlineStr">
        <is>
          <t>Northern Europe</t>
        </is>
      </c>
      <c r="D698" s="36" t="inlineStr">
        <is>
          <t>Sweden</t>
        </is>
      </c>
      <c r="E698" s="36" t="inlineStr">
        <is>
          <t>Online Store</t>
        </is>
      </c>
      <c r="F698" s="36" t="inlineStr">
        <is>
          <t>Business</t>
        </is>
      </c>
      <c r="G698" s="36" t="inlineStr">
        <is>
          <t>Fitness</t>
        </is>
      </c>
      <c r="H698" s="36" t="inlineStr">
        <is>
          <t>Recovery Roller</t>
        </is>
      </c>
      <c r="I698" s="36" t="n">
        <v>3</v>
      </c>
      <c r="J698" s="39" t="n">
        <v>36.77</v>
      </c>
      <c r="K698" s="45" t="n">
        <v>0</v>
      </c>
      <c r="L698" s="39" t="n">
        <v>13.63</v>
      </c>
      <c r="M698" s="39">
        <f>I698*J698*(1-K698)</f>
        <v/>
      </c>
      <c r="N698" s="39">
        <f>I698*L698</f>
        <v/>
      </c>
      <c r="O698" s="39">
        <f>M698-N698</f>
        <v/>
      </c>
      <c r="P698" s="38">
        <f>IF(M698=0,0,O698/M698)</f>
        <v/>
      </c>
      <c r="Q698" s="36">
        <f>YEAR(B698)</f>
        <v/>
      </c>
      <c r="R698" s="36">
        <f>"Q"&amp;ROUNDUP(MONTH(B698)/3,0)</f>
        <v/>
      </c>
      <c r="S698" s="36">
        <f>MONTH(B698)</f>
        <v/>
      </c>
      <c r="T698" s="36">
        <f>TEXT(B698,"mmm")</f>
        <v/>
      </c>
      <c r="U698" s="36">
        <f>IF(AND(OR(sel_Region="All",C698=sel_Region),OR(sel_Country="All",D698=sel_Country),OR(sel_Channel="All",E698=sel_Channel),OR(sel_Customer="All",F698=sel_Customer),OR(sel_Category="All",G698=sel_Category),OR(sel_Product="All",H698=sel_Product),AND(S698&gt;=m_From,S698&lt;=m_To)),1,0)</f>
        <v/>
      </c>
      <c r="V698" s="36">
        <f>IF(AND(OR(sel_Region="All",C698=sel_Region),OR(sel_Channel="All",E698=sel_Channel),OR(sel_Customer="All",F698=sel_Customer),OR(sel_Category="All",G698=sel_Category),OR(sel_Product="All",H698=sel_Product),AND(S698&gt;=m_From,S698&lt;=m_To)),1,0)</f>
        <v/>
      </c>
      <c r="W698" s="36">
        <f>IF(AND(OR(sel_Region="All",C698=sel_Region),OR(sel_Country="All",D698=sel_Country),OR(sel_Customer="All",F698=sel_Customer),OR(sel_Category="All",G698=sel_Category),OR(sel_Product="All",H698=sel_Product),AND(S698&gt;=m_From,S698&lt;=m_To)),1,0)</f>
        <v/>
      </c>
      <c r="X698" s="36">
        <f>IF(AND(OR(sel_Region="All",C698=sel_Region),OR(sel_Country="All",D698=sel_Country),OR(sel_Channel="All",E698=sel_Channel),OR(sel_Category="All",G698=sel_Category),OR(sel_Product="All",H698=sel_Product),AND(S698&gt;=m_From,S698&lt;=m_To)),1,0)</f>
        <v/>
      </c>
      <c r="Y698" s="36">
        <f>IF(AND(OR(sel_Region="All",C698=sel_Region),OR(sel_Country="All",D698=sel_Country),OR(sel_Channel="All",E698=sel_Channel),OR(sel_Customer="All",F698=sel_Customer),OR(sel_Product="All",H698=sel_Product),AND(S698&gt;=m_From,S698&lt;=m_To)),1,0)</f>
        <v/>
      </c>
      <c r="Z698" s="36">
        <f>IF(AND(OR(sel_Region="All",C698=sel_Region),OR(sel_Country="All",D698=sel_Country),OR(sel_Channel="All",E698=sel_Channel),OR(sel_Customer="All",F698=sel_Customer),OR(sel_Category="All",G698=sel_Category),AND(S698&gt;=m_From,S698&lt;=m_To)),1,0)</f>
        <v/>
      </c>
      <c r="AA698" s="36">
        <f>IF(AND(OR(sel_Region="All",C698=sel_Region),OR(sel_Country="All",D698=sel_Country),OR(sel_Channel="All",E698=sel_Channel),OR(sel_Customer="All",F698=sel_Customer),OR(sel_Category="All",G698=sel_Category),OR(sel_Product="All",H698=sel_Product)),1,0)</f>
        <v/>
      </c>
    </row>
    <row r="699">
      <c r="A699" s="36" t="inlineStr">
        <is>
          <t>05022</t>
        </is>
      </c>
      <c r="B699" s="44" t="n">
        <v>46140</v>
      </c>
      <c r="C699" s="36" t="inlineStr">
        <is>
          <t>Western Europe</t>
        </is>
      </c>
      <c r="D699" s="36" t="inlineStr">
        <is>
          <t>Netherlands</t>
        </is>
      </c>
      <c r="E699" s="36" t="inlineStr">
        <is>
          <t>Online Store</t>
        </is>
      </c>
      <c r="F699" s="36" t="inlineStr">
        <is>
          <t>Business</t>
        </is>
      </c>
      <c r="G699" s="36" t="inlineStr">
        <is>
          <t>Camping</t>
        </is>
      </c>
      <c r="H699" s="36" t="inlineStr">
        <is>
          <t>Trail Tent 2P</t>
        </is>
      </c>
      <c r="I699" s="36" t="n">
        <v>2</v>
      </c>
      <c r="J699" s="39" t="n">
        <v>196.37</v>
      </c>
      <c r="K699" s="45" t="n">
        <v>0</v>
      </c>
      <c r="L699" s="39" t="n">
        <v>101.73</v>
      </c>
      <c r="M699" s="39">
        <f>I699*J699*(1-K699)</f>
        <v/>
      </c>
      <c r="N699" s="39">
        <f>I699*L699</f>
        <v/>
      </c>
      <c r="O699" s="39">
        <f>M699-N699</f>
        <v/>
      </c>
      <c r="P699" s="38">
        <f>IF(M699=0,0,O699/M699)</f>
        <v/>
      </c>
      <c r="Q699" s="36">
        <f>YEAR(B699)</f>
        <v/>
      </c>
      <c r="R699" s="36">
        <f>"Q"&amp;ROUNDUP(MONTH(B699)/3,0)</f>
        <v/>
      </c>
      <c r="S699" s="36">
        <f>MONTH(B699)</f>
        <v/>
      </c>
      <c r="T699" s="36">
        <f>TEXT(B699,"mmm")</f>
        <v/>
      </c>
      <c r="U699" s="36">
        <f>IF(AND(OR(sel_Region="All",C699=sel_Region),OR(sel_Country="All",D699=sel_Country),OR(sel_Channel="All",E699=sel_Channel),OR(sel_Customer="All",F699=sel_Customer),OR(sel_Category="All",G699=sel_Category),OR(sel_Product="All",H699=sel_Product),AND(S699&gt;=m_From,S699&lt;=m_To)),1,0)</f>
        <v/>
      </c>
      <c r="V699" s="36">
        <f>IF(AND(OR(sel_Region="All",C699=sel_Region),OR(sel_Channel="All",E699=sel_Channel),OR(sel_Customer="All",F699=sel_Customer),OR(sel_Category="All",G699=sel_Category),OR(sel_Product="All",H699=sel_Product),AND(S699&gt;=m_From,S699&lt;=m_To)),1,0)</f>
        <v/>
      </c>
      <c r="W699" s="36">
        <f>IF(AND(OR(sel_Region="All",C699=sel_Region),OR(sel_Country="All",D699=sel_Country),OR(sel_Customer="All",F699=sel_Customer),OR(sel_Category="All",G699=sel_Category),OR(sel_Product="All",H699=sel_Product),AND(S699&gt;=m_From,S699&lt;=m_To)),1,0)</f>
        <v/>
      </c>
      <c r="X699" s="36">
        <f>IF(AND(OR(sel_Region="All",C699=sel_Region),OR(sel_Country="All",D699=sel_Country),OR(sel_Channel="All",E699=sel_Channel),OR(sel_Category="All",G699=sel_Category),OR(sel_Product="All",H699=sel_Product),AND(S699&gt;=m_From,S699&lt;=m_To)),1,0)</f>
        <v/>
      </c>
      <c r="Y699" s="36">
        <f>IF(AND(OR(sel_Region="All",C699=sel_Region),OR(sel_Country="All",D699=sel_Country),OR(sel_Channel="All",E699=sel_Channel),OR(sel_Customer="All",F699=sel_Customer),OR(sel_Product="All",H699=sel_Product),AND(S699&gt;=m_From,S699&lt;=m_To)),1,0)</f>
        <v/>
      </c>
      <c r="Z699" s="36">
        <f>IF(AND(OR(sel_Region="All",C699=sel_Region),OR(sel_Country="All",D699=sel_Country),OR(sel_Channel="All",E699=sel_Channel),OR(sel_Customer="All",F699=sel_Customer),OR(sel_Category="All",G699=sel_Category),AND(S699&gt;=m_From,S699&lt;=m_To)),1,0)</f>
        <v/>
      </c>
      <c r="AA699" s="36">
        <f>IF(AND(OR(sel_Region="All",C699=sel_Region),OR(sel_Country="All",D699=sel_Country),OR(sel_Channel="All",E699=sel_Channel),OR(sel_Customer="All",F699=sel_Customer),OR(sel_Category="All",G699=sel_Category),OR(sel_Product="All",H699=sel_Product)),1,0)</f>
        <v/>
      </c>
    </row>
    <row r="700">
      <c r="A700" s="36" t="inlineStr">
        <is>
          <t>01304</t>
        </is>
      </c>
      <c r="B700" s="44" t="n">
        <v>46141</v>
      </c>
      <c r="C700" s="36" t="inlineStr">
        <is>
          <t>Southern Europe</t>
        </is>
      </c>
      <c r="D700" s="36" t="inlineStr">
        <is>
          <t>Spain</t>
        </is>
      </c>
      <c r="E700" s="36" t="inlineStr">
        <is>
          <t>Marketplace</t>
        </is>
      </c>
      <c r="F700" s="36" t="inlineStr">
        <is>
          <t>Returning</t>
        </is>
      </c>
      <c r="G700" s="36" t="inlineStr">
        <is>
          <t>Travel</t>
        </is>
      </c>
      <c r="H700" s="36" t="inlineStr">
        <is>
          <t>Insulated Bottle</t>
        </is>
      </c>
      <c r="I700" s="36" t="n">
        <v>2</v>
      </c>
      <c r="J700" s="39" t="n">
        <v>35.33</v>
      </c>
      <c r="K700" s="45" t="n">
        <v>0</v>
      </c>
      <c r="L700" s="39" t="n">
        <v>13.69</v>
      </c>
      <c r="M700" s="39">
        <f>I700*J700*(1-K700)</f>
        <v/>
      </c>
      <c r="N700" s="39">
        <f>I700*L700</f>
        <v/>
      </c>
      <c r="O700" s="39">
        <f>M700-N700</f>
        <v/>
      </c>
      <c r="P700" s="38">
        <f>IF(M700=0,0,O700/M700)</f>
        <v/>
      </c>
      <c r="Q700" s="36">
        <f>YEAR(B700)</f>
        <v/>
      </c>
      <c r="R700" s="36">
        <f>"Q"&amp;ROUNDUP(MONTH(B700)/3,0)</f>
        <v/>
      </c>
      <c r="S700" s="36">
        <f>MONTH(B700)</f>
        <v/>
      </c>
      <c r="T700" s="36">
        <f>TEXT(B700,"mmm")</f>
        <v/>
      </c>
      <c r="U700" s="36">
        <f>IF(AND(OR(sel_Region="All",C700=sel_Region),OR(sel_Country="All",D700=sel_Country),OR(sel_Channel="All",E700=sel_Channel),OR(sel_Customer="All",F700=sel_Customer),OR(sel_Category="All",G700=sel_Category),OR(sel_Product="All",H700=sel_Product),AND(S700&gt;=m_From,S700&lt;=m_To)),1,0)</f>
        <v/>
      </c>
      <c r="V700" s="36">
        <f>IF(AND(OR(sel_Region="All",C700=sel_Region),OR(sel_Channel="All",E700=sel_Channel),OR(sel_Customer="All",F700=sel_Customer),OR(sel_Category="All",G700=sel_Category),OR(sel_Product="All",H700=sel_Product),AND(S700&gt;=m_From,S700&lt;=m_To)),1,0)</f>
        <v/>
      </c>
      <c r="W700" s="36">
        <f>IF(AND(OR(sel_Region="All",C700=sel_Region),OR(sel_Country="All",D700=sel_Country),OR(sel_Customer="All",F700=sel_Customer),OR(sel_Category="All",G700=sel_Category),OR(sel_Product="All",H700=sel_Product),AND(S700&gt;=m_From,S700&lt;=m_To)),1,0)</f>
        <v/>
      </c>
      <c r="X700" s="36">
        <f>IF(AND(OR(sel_Region="All",C700=sel_Region),OR(sel_Country="All",D700=sel_Country),OR(sel_Channel="All",E700=sel_Channel),OR(sel_Category="All",G700=sel_Category),OR(sel_Product="All",H700=sel_Product),AND(S700&gt;=m_From,S700&lt;=m_To)),1,0)</f>
        <v/>
      </c>
      <c r="Y700" s="36">
        <f>IF(AND(OR(sel_Region="All",C700=sel_Region),OR(sel_Country="All",D700=sel_Country),OR(sel_Channel="All",E700=sel_Channel),OR(sel_Customer="All",F700=sel_Customer),OR(sel_Product="All",H700=sel_Product),AND(S700&gt;=m_From,S700&lt;=m_To)),1,0)</f>
        <v/>
      </c>
      <c r="Z700" s="36">
        <f>IF(AND(OR(sel_Region="All",C700=sel_Region),OR(sel_Country="All",D700=sel_Country),OR(sel_Channel="All",E700=sel_Channel),OR(sel_Customer="All",F700=sel_Customer),OR(sel_Category="All",G700=sel_Category),AND(S700&gt;=m_From,S700&lt;=m_To)),1,0)</f>
        <v/>
      </c>
      <c r="AA700" s="36">
        <f>IF(AND(OR(sel_Region="All",C700=sel_Region),OR(sel_Country="All",D700=sel_Country),OR(sel_Channel="All",E700=sel_Channel),OR(sel_Customer="All",F700=sel_Customer),OR(sel_Category="All",G700=sel_Category),OR(sel_Product="All",H700=sel_Product)),1,0)</f>
        <v/>
      </c>
    </row>
    <row r="701">
      <c r="A701" s="36" t="inlineStr">
        <is>
          <t>03008</t>
        </is>
      </c>
      <c r="B701" s="44" t="n">
        <v>46141</v>
      </c>
      <c r="C701" s="36" t="inlineStr">
        <is>
          <t>Northern Europe</t>
        </is>
      </c>
      <c r="D701" s="36" t="inlineStr">
        <is>
          <t>Sweden</t>
        </is>
      </c>
      <c r="E701" s="36" t="inlineStr">
        <is>
          <t>Corporate</t>
        </is>
      </c>
      <c r="F701" s="36" t="inlineStr">
        <is>
          <t>Business</t>
        </is>
      </c>
      <c r="G701" s="36" t="inlineStr">
        <is>
          <t>Travel</t>
        </is>
      </c>
      <c r="H701" s="36" t="inlineStr">
        <is>
          <t>Packing Cube Set</t>
        </is>
      </c>
      <c r="I701" s="36" t="n">
        <v>4</v>
      </c>
      <c r="J701" s="39" t="n">
        <v>46.43</v>
      </c>
      <c r="K701" s="45" t="n">
        <v>0.1</v>
      </c>
      <c r="L701" s="39" t="n">
        <v>18.04</v>
      </c>
      <c r="M701" s="39">
        <f>I701*J701*(1-K701)</f>
        <v/>
      </c>
      <c r="N701" s="39">
        <f>I701*L701</f>
        <v/>
      </c>
      <c r="O701" s="39">
        <f>M701-N701</f>
        <v/>
      </c>
      <c r="P701" s="38">
        <f>IF(M701=0,0,O701/M701)</f>
        <v/>
      </c>
      <c r="Q701" s="36">
        <f>YEAR(B701)</f>
        <v/>
      </c>
      <c r="R701" s="36">
        <f>"Q"&amp;ROUNDUP(MONTH(B701)/3,0)</f>
        <v/>
      </c>
      <c r="S701" s="36">
        <f>MONTH(B701)</f>
        <v/>
      </c>
      <c r="T701" s="36">
        <f>TEXT(B701,"mmm")</f>
        <v/>
      </c>
      <c r="U701" s="36">
        <f>IF(AND(OR(sel_Region="All",C701=sel_Region),OR(sel_Country="All",D701=sel_Country),OR(sel_Channel="All",E701=sel_Channel),OR(sel_Customer="All",F701=sel_Customer),OR(sel_Category="All",G701=sel_Category),OR(sel_Product="All",H701=sel_Product),AND(S701&gt;=m_From,S701&lt;=m_To)),1,0)</f>
        <v/>
      </c>
      <c r="V701" s="36">
        <f>IF(AND(OR(sel_Region="All",C701=sel_Region),OR(sel_Channel="All",E701=sel_Channel),OR(sel_Customer="All",F701=sel_Customer),OR(sel_Category="All",G701=sel_Category),OR(sel_Product="All",H701=sel_Product),AND(S701&gt;=m_From,S701&lt;=m_To)),1,0)</f>
        <v/>
      </c>
      <c r="W701" s="36">
        <f>IF(AND(OR(sel_Region="All",C701=sel_Region),OR(sel_Country="All",D701=sel_Country),OR(sel_Customer="All",F701=sel_Customer),OR(sel_Category="All",G701=sel_Category),OR(sel_Product="All",H701=sel_Product),AND(S701&gt;=m_From,S701&lt;=m_To)),1,0)</f>
        <v/>
      </c>
      <c r="X701" s="36">
        <f>IF(AND(OR(sel_Region="All",C701=sel_Region),OR(sel_Country="All",D701=sel_Country),OR(sel_Channel="All",E701=sel_Channel),OR(sel_Category="All",G701=sel_Category),OR(sel_Product="All",H701=sel_Product),AND(S701&gt;=m_From,S701&lt;=m_To)),1,0)</f>
        <v/>
      </c>
      <c r="Y701" s="36">
        <f>IF(AND(OR(sel_Region="All",C701=sel_Region),OR(sel_Country="All",D701=sel_Country),OR(sel_Channel="All",E701=sel_Channel),OR(sel_Customer="All",F701=sel_Customer),OR(sel_Product="All",H701=sel_Product),AND(S701&gt;=m_From,S701&lt;=m_To)),1,0)</f>
        <v/>
      </c>
      <c r="Z701" s="36">
        <f>IF(AND(OR(sel_Region="All",C701=sel_Region),OR(sel_Country="All",D701=sel_Country),OR(sel_Channel="All",E701=sel_Channel),OR(sel_Customer="All",F701=sel_Customer),OR(sel_Category="All",G701=sel_Category),AND(S701&gt;=m_From,S701&lt;=m_To)),1,0)</f>
        <v/>
      </c>
      <c r="AA701" s="36">
        <f>IF(AND(OR(sel_Region="All",C701=sel_Region),OR(sel_Country="All",D701=sel_Country),OR(sel_Channel="All",E701=sel_Channel),OR(sel_Customer="All",F701=sel_Customer),OR(sel_Category="All",G701=sel_Category),OR(sel_Product="All",H701=sel_Product)),1,0)</f>
        <v/>
      </c>
    </row>
    <row r="702">
      <c r="A702" s="36" t="inlineStr">
        <is>
          <t>04140</t>
        </is>
      </c>
      <c r="B702" s="44" t="n">
        <v>46141</v>
      </c>
      <c r="C702" s="36" t="inlineStr">
        <is>
          <t>Western Europe</t>
        </is>
      </c>
      <c r="D702" s="36" t="inlineStr">
        <is>
          <t>Netherlands</t>
        </is>
      </c>
      <c r="E702" s="36" t="inlineStr">
        <is>
          <t>Marketplace</t>
        </is>
      </c>
      <c r="F702" s="36" t="inlineStr">
        <is>
          <t>New</t>
        </is>
      </c>
      <c r="G702" s="36" t="inlineStr">
        <is>
          <t>Fitness</t>
        </is>
      </c>
      <c r="H702" s="36" t="inlineStr">
        <is>
          <t>Weighted Vest</t>
        </is>
      </c>
      <c r="I702" s="36" t="n">
        <v>1</v>
      </c>
      <c r="J702" s="39" t="n">
        <v>125.25</v>
      </c>
      <c r="K702" s="45" t="n">
        <v>0</v>
      </c>
      <c r="L702" s="39" t="n">
        <v>70.88</v>
      </c>
      <c r="M702" s="39">
        <f>I702*J702*(1-K702)</f>
        <v/>
      </c>
      <c r="N702" s="39">
        <f>I702*L702</f>
        <v/>
      </c>
      <c r="O702" s="39">
        <f>M702-N702</f>
        <v/>
      </c>
      <c r="P702" s="38">
        <f>IF(M702=0,0,O702/M702)</f>
        <v/>
      </c>
      <c r="Q702" s="36">
        <f>YEAR(B702)</f>
        <v/>
      </c>
      <c r="R702" s="36">
        <f>"Q"&amp;ROUNDUP(MONTH(B702)/3,0)</f>
        <v/>
      </c>
      <c r="S702" s="36">
        <f>MONTH(B702)</f>
        <v/>
      </c>
      <c r="T702" s="36">
        <f>TEXT(B702,"mmm")</f>
        <v/>
      </c>
      <c r="U702" s="36">
        <f>IF(AND(OR(sel_Region="All",C702=sel_Region),OR(sel_Country="All",D702=sel_Country),OR(sel_Channel="All",E702=sel_Channel),OR(sel_Customer="All",F702=sel_Customer),OR(sel_Category="All",G702=sel_Category),OR(sel_Product="All",H702=sel_Product),AND(S702&gt;=m_From,S702&lt;=m_To)),1,0)</f>
        <v/>
      </c>
      <c r="V702" s="36">
        <f>IF(AND(OR(sel_Region="All",C702=sel_Region),OR(sel_Channel="All",E702=sel_Channel),OR(sel_Customer="All",F702=sel_Customer),OR(sel_Category="All",G702=sel_Category),OR(sel_Product="All",H702=sel_Product),AND(S702&gt;=m_From,S702&lt;=m_To)),1,0)</f>
        <v/>
      </c>
      <c r="W702" s="36">
        <f>IF(AND(OR(sel_Region="All",C702=sel_Region),OR(sel_Country="All",D702=sel_Country),OR(sel_Customer="All",F702=sel_Customer),OR(sel_Category="All",G702=sel_Category),OR(sel_Product="All",H702=sel_Product),AND(S702&gt;=m_From,S702&lt;=m_To)),1,0)</f>
        <v/>
      </c>
      <c r="X702" s="36">
        <f>IF(AND(OR(sel_Region="All",C702=sel_Region),OR(sel_Country="All",D702=sel_Country),OR(sel_Channel="All",E702=sel_Channel),OR(sel_Category="All",G702=sel_Category),OR(sel_Product="All",H702=sel_Product),AND(S702&gt;=m_From,S702&lt;=m_To)),1,0)</f>
        <v/>
      </c>
      <c r="Y702" s="36">
        <f>IF(AND(OR(sel_Region="All",C702=sel_Region),OR(sel_Country="All",D702=sel_Country),OR(sel_Channel="All",E702=sel_Channel),OR(sel_Customer="All",F702=sel_Customer),OR(sel_Product="All",H702=sel_Product),AND(S702&gt;=m_From,S702&lt;=m_To)),1,0)</f>
        <v/>
      </c>
      <c r="Z702" s="36">
        <f>IF(AND(OR(sel_Region="All",C702=sel_Region),OR(sel_Country="All",D702=sel_Country),OR(sel_Channel="All",E702=sel_Channel),OR(sel_Customer="All",F702=sel_Customer),OR(sel_Category="All",G702=sel_Category),AND(S702&gt;=m_From,S702&lt;=m_To)),1,0)</f>
        <v/>
      </c>
      <c r="AA702" s="36">
        <f>IF(AND(OR(sel_Region="All",C702=sel_Region),OR(sel_Country="All",D702=sel_Country),OR(sel_Channel="All",E702=sel_Channel),OR(sel_Customer="All",F702=sel_Customer),OR(sel_Category="All",G702=sel_Category),OR(sel_Product="All",H702=sel_Product)),1,0)</f>
        <v/>
      </c>
    </row>
    <row r="703">
      <c r="A703" s="36" t="inlineStr">
        <is>
          <t>04151</t>
        </is>
      </c>
      <c r="B703" s="44" t="n">
        <v>46141</v>
      </c>
      <c r="C703" s="36" t="inlineStr">
        <is>
          <t>Central Europe</t>
        </is>
      </c>
      <c r="D703" s="36" t="inlineStr">
        <is>
          <t>Poland</t>
        </is>
      </c>
      <c r="E703" s="36" t="inlineStr">
        <is>
          <t>Online Store</t>
        </is>
      </c>
      <c r="F703" s="36" t="inlineStr">
        <is>
          <t>Returning</t>
        </is>
      </c>
      <c r="G703" s="36" t="inlineStr">
        <is>
          <t>Camping</t>
        </is>
      </c>
      <c r="H703" s="36" t="inlineStr">
        <is>
          <t>Alpine Tent 4P</t>
        </is>
      </c>
      <c r="I703" s="36" t="n">
        <v>1</v>
      </c>
      <c r="J703" s="39" t="n">
        <v>341.98</v>
      </c>
      <c r="K703" s="45" t="n">
        <v>0</v>
      </c>
      <c r="L703" s="39" t="n">
        <v>192.43</v>
      </c>
      <c r="M703" s="39">
        <f>I703*J703*(1-K703)</f>
        <v/>
      </c>
      <c r="N703" s="39">
        <f>I703*L703</f>
        <v/>
      </c>
      <c r="O703" s="39">
        <f>M703-N703</f>
        <v/>
      </c>
      <c r="P703" s="38">
        <f>IF(M703=0,0,O703/M703)</f>
        <v/>
      </c>
      <c r="Q703" s="36">
        <f>YEAR(B703)</f>
        <v/>
      </c>
      <c r="R703" s="36">
        <f>"Q"&amp;ROUNDUP(MONTH(B703)/3,0)</f>
        <v/>
      </c>
      <c r="S703" s="36">
        <f>MONTH(B703)</f>
        <v/>
      </c>
      <c r="T703" s="36">
        <f>TEXT(B703,"mmm")</f>
        <v/>
      </c>
      <c r="U703" s="36">
        <f>IF(AND(OR(sel_Region="All",C703=sel_Region),OR(sel_Country="All",D703=sel_Country),OR(sel_Channel="All",E703=sel_Channel),OR(sel_Customer="All",F703=sel_Customer),OR(sel_Category="All",G703=sel_Category),OR(sel_Product="All",H703=sel_Product),AND(S703&gt;=m_From,S703&lt;=m_To)),1,0)</f>
        <v/>
      </c>
      <c r="V703" s="36">
        <f>IF(AND(OR(sel_Region="All",C703=sel_Region),OR(sel_Channel="All",E703=sel_Channel),OR(sel_Customer="All",F703=sel_Customer),OR(sel_Category="All",G703=sel_Category),OR(sel_Product="All",H703=sel_Product),AND(S703&gt;=m_From,S703&lt;=m_To)),1,0)</f>
        <v/>
      </c>
      <c r="W703" s="36">
        <f>IF(AND(OR(sel_Region="All",C703=sel_Region),OR(sel_Country="All",D703=sel_Country),OR(sel_Customer="All",F703=sel_Customer),OR(sel_Category="All",G703=sel_Category),OR(sel_Product="All",H703=sel_Product),AND(S703&gt;=m_From,S703&lt;=m_To)),1,0)</f>
        <v/>
      </c>
      <c r="X703" s="36">
        <f>IF(AND(OR(sel_Region="All",C703=sel_Region),OR(sel_Country="All",D703=sel_Country),OR(sel_Channel="All",E703=sel_Channel),OR(sel_Category="All",G703=sel_Category),OR(sel_Product="All",H703=sel_Product),AND(S703&gt;=m_From,S703&lt;=m_To)),1,0)</f>
        <v/>
      </c>
      <c r="Y703" s="36">
        <f>IF(AND(OR(sel_Region="All",C703=sel_Region),OR(sel_Country="All",D703=sel_Country),OR(sel_Channel="All",E703=sel_Channel),OR(sel_Customer="All",F703=sel_Customer),OR(sel_Product="All",H703=sel_Product),AND(S703&gt;=m_From,S703&lt;=m_To)),1,0)</f>
        <v/>
      </c>
      <c r="Z703" s="36">
        <f>IF(AND(OR(sel_Region="All",C703=sel_Region),OR(sel_Country="All",D703=sel_Country),OR(sel_Channel="All",E703=sel_Channel),OR(sel_Customer="All",F703=sel_Customer),OR(sel_Category="All",G703=sel_Category),AND(S703&gt;=m_From,S703&lt;=m_To)),1,0)</f>
        <v/>
      </c>
      <c r="AA703" s="36">
        <f>IF(AND(OR(sel_Region="All",C703=sel_Region),OR(sel_Country="All",D703=sel_Country),OR(sel_Channel="All",E703=sel_Channel),OR(sel_Customer="All",F703=sel_Customer),OR(sel_Category="All",G703=sel_Category),OR(sel_Product="All",H703=sel_Product)),1,0)</f>
        <v/>
      </c>
    </row>
    <row r="704">
      <c r="A704" s="36" t="inlineStr">
        <is>
          <t>04650</t>
        </is>
      </c>
      <c r="B704" s="44" t="n">
        <v>46141</v>
      </c>
      <c r="C704" s="36" t="inlineStr">
        <is>
          <t>Central Europe</t>
        </is>
      </c>
      <c r="D704" s="36" t="inlineStr">
        <is>
          <t>Austria</t>
        </is>
      </c>
      <c r="E704" s="36" t="inlineStr">
        <is>
          <t>Marketplace</t>
        </is>
      </c>
      <c r="F704" s="36" t="inlineStr">
        <is>
          <t>Business</t>
        </is>
      </c>
      <c r="G704" s="36" t="inlineStr">
        <is>
          <t>Fitness</t>
        </is>
      </c>
      <c r="H704" s="36" t="inlineStr">
        <is>
          <t>Resistance Band Set</t>
        </is>
      </c>
      <c r="I704" s="36" t="n">
        <v>1</v>
      </c>
      <c r="J704" s="39" t="n">
        <v>40.04</v>
      </c>
      <c r="K704" s="45" t="n">
        <v>0</v>
      </c>
      <c r="L704" s="39" t="n">
        <v>14.72</v>
      </c>
      <c r="M704" s="39">
        <f>I704*J704*(1-K704)</f>
        <v/>
      </c>
      <c r="N704" s="39">
        <f>I704*L704</f>
        <v/>
      </c>
      <c r="O704" s="39">
        <f>M704-N704</f>
        <v/>
      </c>
      <c r="P704" s="38">
        <f>IF(M704=0,0,O704/M704)</f>
        <v/>
      </c>
      <c r="Q704" s="36">
        <f>YEAR(B704)</f>
        <v/>
      </c>
      <c r="R704" s="36">
        <f>"Q"&amp;ROUNDUP(MONTH(B704)/3,0)</f>
        <v/>
      </c>
      <c r="S704" s="36">
        <f>MONTH(B704)</f>
        <v/>
      </c>
      <c r="T704" s="36">
        <f>TEXT(B704,"mmm")</f>
        <v/>
      </c>
      <c r="U704" s="36">
        <f>IF(AND(OR(sel_Region="All",C704=sel_Region),OR(sel_Country="All",D704=sel_Country),OR(sel_Channel="All",E704=sel_Channel),OR(sel_Customer="All",F704=sel_Customer),OR(sel_Category="All",G704=sel_Category),OR(sel_Product="All",H704=sel_Product),AND(S704&gt;=m_From,S704&lt;=m_To)),1,0)</f>
        <v/>
      </c>
      <c r="V704" s="36">
        <f>IF(AND(OR(sel_Region="All",C704=sel_Region),OR(sel_Channel="All",E704=sel_Channel),OR(sel_Customer="All",F704=sel_Customer),OR(sel_Category="All",G704=sel_Category),OR(sel_Product="All",H704=sel_Product),AND(S704&gt;=m_From,S704&lt;=m_To)),1,0)</f>
        <v/>
      </c>
      <c r="W704" s="36">
        <f>IF(AND(OR(sel_Region="All",C704=sel_Region),OR(sel_Country="All",D704=sel_Country),OR(sel_Customer="All",F704=sel_Customer),OR(sel_Category="All",G704=sel_Category),OR(sel_Product="All",H704=sel_Product),AND(S704&gt;=m_From,S704&lt;=m_To)),1,0)</f>
        <v/>
      </c>
      <c r="X704" s="36">
        <f>IF(AND(OR(sel_Region="All",C704=sel_Region),OR(sel_Country="All",D704=sel_Country),OR(sel_Channel="All",E704=sel_Channel),OR(sel_Category="All",G704=sel_Category),OR(sel_Product="All",H704=sel_Product),AND(S704&gt;=m_From,S704&lt;=m_To)),1,0)</f>
        <v/>
      </c>
      <c r="Y704" s="36">
        <f>IF(AND(OR(sel_Region="All",C704=sel_Region),OR(sel_Country="All",D704=sel_Country),OR(sel_Channel="All",E704=sel_Channel),OR(sel_Customer="All",F704=sel_Customer),OR(sel_Product="All",H704=sel_Product),AND(S704&gt;=m_From,S704&lt;=m_To)),1,0)</f>
        <v/>
      </c>
      <c r="Z704" s="36">
        <f>IF(AND(OR(sel_Region="All",C704=sel_Region),OR(sel_Country="All",D704=sel_Country),OR(sel_Channel="All",E704=sel_Channel),OR(sel_Customer="All",F704=sel_Customer),OR(sel_Category="All",G704=sel_Category),AND(S704&gt;=m_From,S704&lt;=m_To)),1,0)</f>
        <v/>
      </c>
      <c r="AA704" s="36">
        <f>IF(AND(OR(sel_Region="All",C704=sel_Region),OR(sel_Country="All",D704=sel_Country),OR(sel_Channel="All",E704=sel_Channel),OR(sel_Customer="All",F704=sel_Customer),OR(sel_Category="All",G704=sel_Category),OR(sel_Product="All",H704=sel_Product)),1,0)</f>
        <v/>
      </c>
    </row>
    <row r="705">
      <c r="A705" s="36" t="inlineStr">
        <is>
          <t>04897</t>
        </is>
      </c>
      <c r="B705" s="44" t="n">
        <v>46141</v>
      </c>
      <c r="C705" s="36" t="inlineStr">
        <is>
          <t>Western Europe</t>
        </is>
      </c>
      <c r="D705" s="36" t="inlineStr">
        <is>
          <t>France</t>
        </is>
      </c>
      <c r="E705" s="36" t="inlineStr">
        <is>
          <t>Online Store</t>
        </is>
      </c>
      <c r="F705" s="36" t="inlineStr">
        <is>
          <t>Returning</t>
        </is>
      </c>
      <c r="G705" s="36" t="inlineStr">
        <is>
          <t>Cycling</t>
        </is>
      </c>
      <c r="H705" s="36" t="inlineStr">
        <is>
          <t>Compact Repair Kit</t>
        </is>
      </c>
      <c r="I705" s="36" t="n">
        <v>3</v>
      </c>
      <c r="J705" s="39" t="n">
        <v>40.47</v>
      </c>
      <c r="K705" s="45" t="n">
        <v>0.05</v>
      </c>
      <c r="L705" s="39" t="n">
        <v>17.14</v>
      </c>
      <c r="M705" s="39">
        <f>I705*J705*(1-K705)</f>
        <v/>
      </c>
      <c r="N705" s="39">
        <f>I705*L705</f>
        <v/>
      </c>
      <c r="O705" s="39">
        <f>M705-N705</f>
        <v/>
      </c>
      <c r="P705" s="38">
        <f>IF(M705=0,0,O705/M705)</f>
        <v/>
      </c>
      <c r="Q705" s="36">
        <f>YEAR(B705)</f>
        <v/>
      </c>
      <c r="R705" s="36">
        <f>"Q"&amp;ROUNDUP(MONTH(B705)/3,0)</f>
        <v/>
      </c>
      <c r="S705" s="36">
        <f>MONTH(B705)</f>
        <v/>
      </c>
      <c r="T705" s="36">
        <f>TEXT(B705,"mmm")</f>
        <v/>
      </c>
      <c r="U705" s="36">
        <f>IF(AND(OR(sel_Region="All",C705=sel_Region),OR(sel_Country="All",D705=sel_Country),OR(sel_Channel="All",E705=sel_Channel),OR(sel_Customer="All",F705=sel_Customer),OR(sel_Category="All",G705=sel_Category),OR(sel_Product="All",H705=sel_Product),AND(S705&gt;=m_From,S705&lt;=m_To)),1,0)</f>
        <v/>
      </c>
      <c r="V705" s="36">
        <f>IF(AND(OR(sel_Region="All",C705=sel_Region),OR(sel_Channel="All",E705=sel_Channel),OR(sel_Customer="All",F705=sel_Customer),OR(sel_Category="All",G705=sel_Category),OR(sel_Product="All",H705=sel_Product),AND(S705&gt;=m_From,S705&lt;=m_To)),1,0)</f>
        <v/>
      </c>
      <c r="W705" s="36">
        <f>IF(AND(OR(sel_Region="All",C705=sel_Region),OR(sel_Country="All",D705=sel_Country),OR(sel_Customer="All",F705=sel_Customer),OR(sel_Category="All",G705=sel_Category),OR(sel_Product="All",H705=sel_Product),AND(S705&gt;=m_From,S705&lt;=m_To)),1,0)</f>
        <v/>
      </c>
      <c r="X705" s="36">
        <f>IF(AND(OR(sel_Region="All",C705=sel_Region),OR(sel_Country="All",D705=sel_Country),OR(sel_Channel="All",E705=sel_Channel),OR(sel_Category="All",G705=sel_Category),OR(sel_Product="All",H705=sel_Product),AND(S705&gt;=m_From,S705&lt;=m_To)),1,0)</f>
        <v/>
      </c>
      <c r="Y705" s="36">
        <f>IF(AND(OR(sel_Region="All",C705=sel_Region),OR(sel_Country="All",D705=sel_Country),OR(sel_Channel="All",E705=sel_Channel),OR(sel_Customer="All",F705=sel_Customer),OR(sel_Product="All",H705=sel_Product),AND(S705&gt;=m_From,S705&lt;=m_To)),1,0)</f>
        <v/>
      </c>
      <c r="Z705" s="36">
        <f>IF(AND(OR(sel_Region="All",C705=sel_Region),OR(sel_Country="All",D705=sel_Country),OR(sel_Channel="All",E705=sel_Channel),OR(sel_Customer="All",F705=sel_Customer),OR(sel_Category="All",G705=sel_Category),AND(S705&gt;=m_From,S705&lt;=m_To)),1,0)</f>
        <v/>
      </c>
      <c r="AA705" s="36">
        <f>IF(AND(OR(sel_Region="All",C705=sel_Region),OR(sel_Country="All",D705=sel_Country),OR(sel_Channel="All",E705=sel_Channel),OR(sel_Customer="All",F705=sel_Customer),OR(sel_Category="All",G705=sel_Category),OR(sel_Product="All",H705=sel_Product)),1,0)</f>
        <v/>
      </c>
    </row>
    <row r="706">
      <c r="A706" s="36" t="inlineStr">
        <is>
          <t>00792</t>
        </is>
      </c>
      <c r="B706" s="44" t="n">
        <v>46142</v>
      </c>
      <c r="C706" s="36" t="inlineStr">
        <is>
          <t>Western Europe</t>
        </is>
      </c>
      <c r="D706" s="36" t="inlineStr">
        <is>
          <t>United Kingdom</t>
        </is>
      </c>
      <c r="E706" s="36" t="inlineStr">
        <is>
          <t>Corporate</t>
        </is>
      </c>
      <c r="F706" s="36" t="inlineStr">
        <is>
          <t>Returning</t>
        </is>
      </c>
      <c r="G706" s="36" t="inlineStr">
        <is>
          <t>Camping</t>
        </is>
      </c>
      <c r="H706" s="36" t="inlineStr">
        <is>
          <t>Portable Camp Stove</t>
        </is>
      </c>
      <c r="I706" s="36" t="n">
        <v>6</v>
      </c>
      <c r="J706" s="39" t="n">
        <v>83.7</v>
      </c>
      <c r="K706" s="45" t="n">
        <v>0.2</v>
      </c>
      <c r="L706" s="39" t="n">
        <v>38.58</v>
      </c>
      <c r="M706" s="39">
        <f>I706*J706*(1-K706)</f>
        <v/>
      </c>
      <c r="N706" s="39">
        <f>I706*L706</f>
        <v/>
      </c>
      <c r="O706" s="39">
        <f>M706-N706</f>
        <v/>
      </c>
      <c r="P706" s="38">
        <f>IF(M706=0,0,O706/M706)</f>
        <v/>
      </c>
      <c r="Q706" s="36">
        <f>YEAR(B706)</f>
        <v/>
      </c>
      <c r="R706" s="36">
        <f>"Q"&amp;ROUNDUP(MONTH(B706)/3,0)</f>
        <v/>
      </c>
      <c r="S706" s="36">
        <f>MONTH(B706)</f>
        <v/>
      </c>
      <c r="T706" s="36">
        <f>TEXT(B706,"mmm")</f>
        <v/>
      </c>
      <c r="U706" s="36">
        <f>IF(AND(OR(sel_Region="All",C706=sel_Region),OR(sel_Country="All",D706=sel_Country),OR(sel_Channel="All",E706=sel_Channel),OR(sel_Customer="All",F706=sel_Customer),OR(sel_Category="All",G706=sel_Category),OR(sel_Product="All",H706=sel_Product),AND(S706&gt;=m_From,S706&lt;=m_To)),1,0)</f>
        <v/>
      </c>
      <c r="V706" s="36">
        <f>IF(AND(OR(sel_Region="All",C706=sel_Region),OR(sel_Channel="All",E706=sel_Channel),OR(sel_Customer="All",F706=sel_Customer),OR(sel_Category="All",G706=sel_Category),OR(sel_Product="All",H706=sel_Product),AND(S706&gt;=m_From,S706&lt;=m_To)),1,0)</f>
        <v/>
      </c>
      <c r="W706" s="36">
        <f>IF(AND(OR(sel_Region="All",C706=sel_Region),OR(sel_Country="All",D706=sel_Country),OR(sel_Customer="All",F706=sel_Customer),OR(sel_Category="All",G706=sel_Category),OR(sel_Product="All",H706=sel_Product),AND(S706&gt;=m_From,S706&lt;=m_To)),1,0)</f>
        <v/>
      </c>
      <c r="X706" s="36">
        <f>IF(AND(OR(sel_Region="All",C706=sel_Region),OR(sel_Country="All",D706=sel_Country),OR(sel_Channel="All",E706=sel_Channel),OR(sel_Category="All",G706=sel_Category),OR(sel_Product="All",H706=sel_Product),AND(S706&gt;=m_From,S706&lt;=m_To)),1,0)</f>
        <v/>
      </c>
      <c r="Y706" s="36">
        <f>IF(AND(OR(sel_Region="All",C706=sel_Region),OR(sel_Country="All",D706=sel_Country),OR(sel_Channel="All",E706=sel_Channel),OR(sel_Customer="All",F706=sel_Customer),OR(sel_Product="All",H706=sel_Product),AND(S706&gt;=m_From,S706&lt;=m_To)),1,0)</f>
        <v/>
      </c>
      <c r="Z706" s="36">
        <f>IF(AND(OR(sel_Region="All",C706=sel_Region),OR(sel_Country="All",D706=sel_Country),OR(sel_Channel="All",E706=sel_Channel),OR(sel_Customer="All",F706=sel_Customer),OR(sel_Category="All",G706=sel_Category),AND(S706&gt;=m_From,S706&lt;=m_To)),1,0)</f>
        <v/>
      </c>
      <c r="AA706" s="36">
        <f>IF(AND(OR(sel_Region="All",C706=sel_Region),OR(sel_Country="All",D706=sel_Country),OR(sel_Channel="All",E706=sel_Channel),OR(sel_Customer="All",F706=sel_Customer),OR(sel_Category="All",G706=sel_Category),OR(sel_Product="All",H706=sel_Product)),1,0)</f>
        <v/>
      </c>
    </row>
    <row r="707">
      <c r="A707" s="36" t="inlineStr">
        <is>
          <t>01796</t>
        </is>
      </c>
      <c r="B707" s="44" t="n">
        <v>46142</v>
      </c>
      <c r="C707" s="36" t="inlineStr">
        <is>
          <t>Southern Europe</t>
        </is>
      </c>
      <c r="D707" s="36" t="inlineStr">
        <is>
          <t>Italy</t>
        </is>
      </c>
      <c r="E707" s="36" t="inlineStr">
        <is>
          <t>Online Store</t>
        </is>
      </c>
      <c r="F707" s="36" t="inlineStr">
        <is>
          <t>Returning</t>
        </is>
      </c>
      <c r="G707" s="36" t="inlineStr">
        <is>
          <t>Camping</t>
        </is>
      </c>
      <c r="H707" s="36" t="inlineStr">
        <is>
          <t>Portable Camp Stove</t>
        </is>
      </c>
      <c r="I707" s="36" t="n">
        <v>4</v>
      </c>
      <c r="J707" s="39" t="n">
        <v>83.27</v>
      </c>
      <c r="K707" s="45" t="n">
        <v>0</v>
      </c>
      <c r="L707" s="39" t="n">
        <v>39.98</v>
      </c>
      <c r="M707" s="39">
        <f>I707*J707*(1-K707)</f>
        <v/>
      </c>
      <c r="N707" s="39">
        <f>I707*L707</f>
        <v/>
      </c>
      <c r="O707" s="39">
        <f>M707-N707</f>
        <v/>
      </c>
      <c r="P707" s="38">
        <f>IF(M707=0,0,O707/M707)</f>
        <v/>
      </c>
      <c r="Q707" s="36">
        <f>YEAR(B707)</f>
        <v/>
      </c>
      <c r="R707" s="36">
        <f>"Q"&amp;ROUNDUP(MONTH(B707)/3,0)</f>
        <v/>
      </c>
      <c r="S707" s="36">
        <f>MONTH(B707)</f>
        <v/>
      </c>
      <c r="T707" s="36">
        <f>TEXT(B707,"mmm")</f>
        <v/>
      </c>
      <c r="U707" s="36">
        <f>IF(AND(OR(sel_Region="All",C707=sel_Region),OR(sel_Country="All",D707=sel_Country),OR(sel_Channel="All",E707=sel_Channel),OR(sel_Customer="All",F707=sel_Customer),OR(sel_Category="All",G707=sel_Category),OR(sel_Product="All",H707=sel_Product),AND(S707&gt;=m_From,S707&lt;=m_To)),1,0)</f>
        <v/>
      </c>
      <c r="V707" s="36">
        <f>IF(AND(OR(sel_Region="All",C707=sel_Region),OR(sel_Channel="All",E707=sel_Channel),OR(sel_Customer="All",F707=sel_Customer),OR(sel_Category="All",G707=sel_Category),OR(sel_Product="All",H707=sel_Product),AND(S707&gt;=m_From,S707&lt;=m_To)),1,0)</f>
        <v/>
      </c>
      <c r="W707" s="36">
        <f>IF(AND(OR(sel_Region="All",C707=sel_Region),OR(sel_Country="All",D707=sel_Country),OR(sel_Customer="All",F707=sel_Customer),OR(sel_Category="All",G707=sel_Category),OR(sel_Product="All",H707=sel_Product),AND(S707&gt;=m_From,S707&lt;=m_To)),1,0)</f>
        <v/>
      </c>
      <c r="X707" s="36">
        <f>IF(AND(OR(sel_Region="All",C707=sel_Region),OR(sel_Country="All",D707=sel_Country),OR(sel_Channel="All",E707=sel_Channel),OR(sel_Category="All",G707=sel_Category),OR(sel_Product="All",H707=sel_Product),AND(S707&gt;=m_From,S707&lt;=m_To)),1,0)</f>
        <v/>
      </c>
      <c r="Y707" s="36">
        <f>IF(AND(OR(sel_Region="All",C707=sel_Region),OR(sel_Country="All",D707=sel_Country),OR(sel_Channel="All",E707=sel_Channel),OR(sel_Customer="All",F707=sel_Customer),OR(sel_Product="All",H707=sel_Product),AND(S707&gt;=m_From,S707&lt;=m_To)),1,0)</f>
        <v/>
      </c>
      <c r="Z707" s="36">
        <f>IF(AND(OR(sel_Region="All",C707=sel_Region),OR(sel_Country="All",D707=sel_Country),OR(sel_Channel="All",E707=sel_Channel),OR(sel_Customer="All",F707=sel_Customer),OR(sel_Category="All",G707=sel_Category),AND(S707&gt;=m_From,S707&lt;=m_To)),1,0)</f>
        <v/>
      </c>
      <c r="AA707" s="36">
        <f>IF(AND(OR(sel_Region="All",C707=sel_Region),OR(sel_Country="All",D707=sel_Country),OR(sel_Channel="All",E707=sel_Channel),OR(sel_Customer="All",F707=sel_Customer),OR(sel_Category="All",G707=sel_Category),OR(sel_Product="All",H707=sel_Product)),1,0)</f>
        <v/>
      </c>
    </row>
    <row r="708">
      <c r="A708" s="36" t="inlineStr">
        <is>
          <t>03222</t>
        </is>
      </c>
      <c r="B708" s="44" t="n">
        <v>46142</v>
      </c>
      <c r="C708" s="36" t="inlineStr">
        <is>
          <t>Northern Europe</t>
        </is>
      </c>
      <c r="D708" s="36" t="inlineStr">
        <is>
          <t>Norway</t>
        </is>
      </c>
      <c r="E708" s="36" t="inlineStr">
        <is>
          <t>Corporate</t>
        </is>
      </c>
      <c r="F708" s="36" t="inlineStr">
        <is>
          <t>Business</t>
        </is>
      </c>
      <c r="G708" s="36" t="inlineStr">
        <is>
          <t>Camping</t>
        </is>
      </c>
      <c r="H708" s="36" t="inlineStr">
        <is>
          <t>Compact Sleeping Bag</t>
        </is>
      </c>
      <c r="I708" s="36" t="n">
        <v>3</v>
      </c>
      <c r="J708" s="39" t="n">
        <v>126.03</v>
      </c>
      <c r="K708" s="45" t="n">
        <v>0.1</v>
      </c>
      <c r="L708" s="39" t="n">
        <v>61.75</v>
      </c>
      <c r="M708" s="39">
        <f>I708*J708*(1-K708)</f>
        <v/>
      </c>
      <c r="N708" s="39">
        <f>I708*L708</f>
        <v/>
      </c>
      <c r="O708" s="39">
        <f>M708-N708</f>
        <v/>
      </c>
      <c r="P708" s="38">
        <f>IF(M708=0,0,O708/M708)</f>
        <v/>
      </c>
      <c r="Q708" s="36">
        <f>YEAR(B708)</f>
        <v/>
      </c>
      <c r="R708" s="36">
        <f>"Q"&amp;ROUNDUP(MONTH(B708)/3,0)</f>
        <v/>
      </c>
      <c r="S708" s="36">
        <f>MONTH(B708)</f>
        <v/>
      </c>
      <c r="T708" s="36">
        <f>TEXT(B708,"mmm")</f>
        <v/>
      </c>
      <c r="U708" s="36">
        <f>IF(AND(OR(sel_Region="All",C708=sel_Region),OR(sel_Country="All",D708=sel_Country),OR(sel_Channel="All",E708=sel_Channel),OR(sel_Customer="All",F708=sel_Customer),OR(sel_Category="All",G708=sel_Category),OR(sel_Product="All",H708=sel_Product),AND(S708&gt;=m_From,S708&lt;=m_To)),1,0)</f>
        <v/>
      </c>
      <c r="V708" s="36">
        <f>IF(AND(OR(sel_Region="All",C708=sel_Region),OR(sel_Channel="All",E708=sel_Channel),OR(sel_Customer="All",F708=sel_Customer),OR(sel_Category="All",G708=sel_Category),OR(sel_Product="All",H708=sel_Product),AND(S708&gt;=m_From,S708&lt;=m_To)),1,0)</f>
        <v/>
      </c>
      <c r="W708" s="36">
        <f>IF(AND(OR(sel_Region="All",C708=sel_Region),OR(sel_Country="All",D708=sel_Country),OR(sel_Customer="All",F708=sel_Customer),OR(sel_Category="All",G708=sel_Category),OR(sel_Product="All",H708=sel_Product),AND(S708&gt;=m_From,S708&lt;=m_To)),1,0)</f>
        <v/>
      </c>
      <c r="X708" s="36">
        <f>IF(AND(OR(sel_Region="All",C708=sel_Region),OR(sel_Country="All",D708=sel_Country),OR(sel_Channel="All",E708=sel_Channel),OR(sel_Category="All",G708=sel_Category),OR(sel_Product="All",H708=sel_Product),AND(S708&gt;=m_From,S708&lt;=m_To)),1,0)</f>
        <v/>
      </c>
      <c r="Y708" s="36">
        <f>IF(AND(OR(sel_Region="All",C708=sel_Region),OR(sel_Country="All",D708=sel_Country),OR(sel_Channel="All",E708=sel_Channel),OR(sel_Customer="All",F708=sel_Customer),OR(sel_Product="All",H708=sel_Product),AND(S708&gt;=m_From,S708&lt;=m_To)),1,0)</f>
        <v/>
      </c>
      <c r="Z708" s="36">
        <f>IF(AND(OR(sel_Region="All",C708=sel_Region),OR(sel_Country="All",D708=sel_Country),OR(sel_Channel="All",E708=sel_Channel),OR(sel_Customer="All",F708=sel_Customer),OR(sel_Category="All",G708=sel_Category),AND(S708&gt;=m_From,S708&lt;=m_To)),1,0)</f>
        <v/>
      </c>
      <c r="AA708" s="36">
        <f>IF(AND(OR(sel_Region="All",C708=sel_Region),OR(sel_Country="All",D708=sel_Country),OR(sel_Channel="All",E708=sel_Channel),OR(sel_Customer="All",F708=sel_Customer),OR(sel_Category="All",G708=sel_Category),OR(sel_Product="All",H708=sel_Product)),1,0)</f>
        <v/>
      </c>
    </row>
    <row r="709">
      <c r="A709" s="36" t="inlineStr">
        <is>
          <t>03237</t>
        </is>
      </c>
      <c r="B709" s="44" t="n">
        <v>46142</v>
      </c>
      <c r="C709" s="36" t="inlineStr">
        <is>
          <t>Central Europe</t>
        </is>
      </c>
      <c r="D709" s="36" t="inlineStr">
        <is>
          <t>Poland</t>
        </is>
      </c>
      <c r="E709" s="36" t="inlineStr">
        <is>
          <t>Online Store</t>
        </is>
      </c>
      <c r="F709" s="36" t="inlineStr">
        <is>
          <t>New</t>
        </is>
      </c>
      <c r="G709" s="36" t="inlineStr">
        <is>
          <t>Camping</t>
        </is>
      </c>
      <c r="H709" s="36" t="inlineStr">
        <is>
          <t>Compact Sleeping Bag</t>
        </is>
      </c>
      <c r="I709" s="36" t="n">
        <v>1</v>
      </c>
      <c r="J709" s="39" t="n">
        <v>122.86</v>
      </c>
      <c r="K709" s="45" t="n">
        <v>0.05</v>
      </c>
      <c r="L709" s="39" t="n">
        <v>59.22</v>
      </c>
      <c r="M709" s="39">
        <f>I709*J709*(1-K709)</f>
        <v/>
      </c>
      <c r="N709" s="39">
        <f>I709*L709</f>
        <v/>
      </c>
      <c r="O709" s="39">
        <f>M709-N709</f>
        <v/>
      </c>
      <c r="P709" s="38">
        <f>IF(M709=0,0,O709/M709)</f>
        <v/>
      </c>
      <c r="Q709" s="36">
        <f>YEAR(B709)</f>
        <v/>
      </c>
      <c r="R709" s="36">
        <f>"Q"&amp;ROUNDUP(MONTH(B709)/3,0)</f>
        <v/>
      </c>
      <c r="S709" s="36">
        <f>MONTH(B709)</f>
        <v/>
      </c>
      <c r="T709" s="36">
        <f>TEXT(B709,"mmm")</f>
        <v/>
      </c>
      <c r="U709" s="36">
        <f>IF(AND(OR(sel_Region="All",C709=sel_Region),OR(sel_Country="All",D709=sel_Country),OR(sel_Channel="All",E709=sel_Channel),OR(sel_Customer="All",F709=sel_Customer),OR(sel_Category="All",G709=sel_Category),OR(sel_Product="All",H709=sel_Product),AND(S709&gt;=m_From,S709&lt;=m_To)),1,0)</f>
        <v/>
      </c>
      <c r="V709" s="36">
        <f>IF(AND(OR(sel_Region="All",C709=sel_Region),OR(sel_Channel="All",E709=sel_Channel),OR(sel_Customer="All",F709=sel_Customer),OR(sel_Category="All",G709=sel_Category),OR(sel_Product="All",H709=sel_Product),AND(S709&gt;=m_From,S709&lt;=m_To)),1,0)</f>
        <v/>
      </c>
      <c r="W709" s="36">
        <f>IF(AND(OR(sel_Region="All",C709=sel_Region),OR(sel_Country="All",D709=sel_Country),OR(sel_Customer="All",F709=sel_Customer),OR(sel_Category="All",G709=sel_Category),OR(sel_Product="All",H709=sel_Product),AND(S709&gt;=m_From,S709&lt;=m_To)),1,0)</f>
        <v/>
      </c>
      <c r="X709" s="36">
        <f>IF(AND(OR(sel_Region="All",C709=sel_Region),OR(sel_Country="All",D709=sel_Country),OR(sel_Channel="All",E709=sel_Channel),OR(sel_Category="All",G709=sel_Category),OR(sel_Product="All",H709=sel_Product),AND(S709&gt;=m_From,S709&lt;=m_To)),1,0)</f>
        <v/>
      </c>
      <c r="Y709" s="36">
        <f>IF(AND(OR(sel_Region="All",C709=sel_Region),OR(sel_Country="All",D709=sel_Country),OR(sel_Channel="All",E709=sel_Channel),OR(sel_Customer="All",F709=sel_Customer),OR(sel_Product="All",H709=sel_Product),AND(S709&gt;=m_From,S709&lt;=m_To)),1,0)</f>
        <v/>
      </c>
      <c r="Z709" s="36">
        <f>IF(AND(OR(sel_Region="All",C709=sel_Region),OR(sel_Country="All",D709=sel_Country),OR(sel_Channel="All",E709=sel_Channel),OR(sel_Customer="All",F709=sel_Customer),OR(sel_Category="All",G709=sel_Category),AND(S709&gt;=m_From,S709&lt;=m_To)),1,0)</f>
        <v/>
      </c>
      <c r="AA709" s="36">
        <f>IF(AND(OR(sel_Region="All",C709=sel_Region),OR(sel_Country="All",D709=sel_Country),OR(sel_Channel="All",E709=sel_Channel),OR(sel_Customer="All",F709=sel_Customer),OR(sel_Category="All",G709=sel_Category),OR(sel_Product="All",H709=sel_Product)),1,0)</f>
        <v/>
      </c>
    </row>
    <row r="710">
      <c r="A710" s="36" t="inlineStr">
        <is>
          <t>03695</t>
        </is>
      </c>
      <c r="B710" s="44" t="n">
        <v>46142</v>
      </c>
      <c r="C710" s="36" t="inlineStr">
        <is>
          <t>Northern Europe</t>
        </is>
      </c>
      <c r="D710" s="36" t="inlineStr">
        <is>
          <t>Sweden</t>
        </is>
      </c>
      <c r="E710" s="36" t="inlineStr">
        <is>
          <t>Online Store</t>
        </is>
      </c>
      <c r="F710" s="36" t="inlineStr">
        <is>
          <t>New</t>
        </is>
      </c>
      <c r="G710" s="36" t="inlineStr">
        <is>
          <t>Cycling</t>
        </is>
      </c>
      <c r="H710" s="36" t="inlineStr">
        <is>
          <t>Compact Repair Kit</t>
        </is>
      </c>
      <c r="I710" s="36" t="n">
        <v>1</v>
      </c>
      <c r="J710" s="39" t="n">
        <v>39.44</v>
      </c>
      <c r="K710" s="45" t="n">
        <v>0.1</v>
      </c>
      <c r="L710" s="39" t="n">
        <v>16.63</v>
      </c>
      <c r="M710" s="39">
        <f>I710*J710*(1-K710)</f>
        <v/>
      </c>
      <c r="N710" s="39">
        <f>I710*L710</f>
        <v/>
      </c>
      <c r="O710" s="39">
        <f>M710-N710</f>
        <v/>
      </c>
      <c r="P710" s="38">
        <f>IF(M710=0,0,O710/M710)</f>
        <v/>
      </c>
      <c r="Q710" s="36">
        <f>YEAR(B710)</f>
        <v/>
      </c>
      <c r="R710" s="36">
        <f>"Q"&amp;ROUNDUP(MONTH(B710)/3,0)</f>
        <v/>
      </c>
      <c r="S710" s="36">
        <f>MONTH(B710)</f>
        <v/>
      </c>
      <c r="T710" s="36">
        <f>TEXT(B710,"mmm")</f>
        <v/>
      </c>
      <c r="U710" s="36">
        <f>IF(AND(OR(sel_Region="All",C710=sel_Region),OR(sel_Country="All",D710=sel_Country),OR(sel_Channel="All",E710=sel_Channel),OR(sel_Customer="All",F710=sel_Customer),OR(sel_Category="All",G710=sel_Category),OR(sel_Product="All",H710=sel_Product),AND(S710&gt;=m_From,S710&lt;=m_To)),1,0)</f>
        <v/>
      </c>
      <c r="V710" s="36">
        <f>IF(AND(OR(sel_Region="All",C710=sel_Region),OR(sel_Channel="All",E710=sel_Channel),OR(sel_Customer="All",F710=sel_Customer),OR(sel_Category="All",G710=sel_Category),OR(sel_Product="All",H710=sel_Product),AND(S710&gt;=m_From,S710&lt;=m_To)),1,0)</f>
        <v/>
      </c>
      <c r="W710" s="36">
        <f>IF(AND(OR(sel_Region="All",C710=sel_Region),OR(sel_Country="All",D710=sel_Country),OR(sel_Customer="All",F710=sel_Customer),OR(sel_Category="All",G710=sel_Category),OR(sel_Product="All",H710=sel_Product),AND(S710&gt;=m_From,S710&lt;=m_To)),1,0)</f>
        <v/>
      </c>
      <c r="X710" s="36">
        <f>IF(AND(OR(sel_Region="All",C710=sel_Region),OR(sel_Country="All",D710=sel_Country),OR(sel_Channel="All",E710=sel_Channel),OR(sel_Category="All",G710=sel_Category),OR(sel_Product="All",H710=sel_Product),AND(S710&gt;=m_From,S710&lt;=m_To)),1,0)</f>
        <v/>
      </c>
      <c r="Y710" s="36">
        <f>IF(AND(OR(sel_Region="All",C710=sel_Region),OR(sel_Country="All",D710=sel_Country),OR(sel_Channel="All",E710=sel_Channel),OR(sel_Customer="All",F710=sel_Customer),OR(sel_Product="All",H710=sel_Product),AND(S710&gt;=m_From,S710&lt;=m_To)),1,0)</f>
        <v/>
      </c>
      <c r="Z710" s="36">
        <f>IF(AND(OR(sel_Region="All",C710=sel_Region),OR(sel_Country="All",D710=sel_Country),OR(sel_Channel="All",E710=sel_Channel),OR(sel_Customer="All",F710=sel_Customer),OR(sel_Category="All",G710=sel_Category),AND(S710&gt;=m_From,S710&lt;=m_To)),1,0)</f>
        <v/>
      </c>
      <c r="AA710" s="36">
        <f>IF(AND(OR(sel_Region="All",C710=sel_Region),OR(sel_Country="All",D710=sel_Country),OR(sel_Channel="All",E710=sel_Channel),OR(sel_Customer="All",F710=sel_Customer),OR(sel_Category="All",G710=sel_Category),OR(sel_Product="All",H710=sel_Product)),1,0)</f>
        <v/>
      </c>
    </row>
    <row r="711">
      <c r="A711" s="36" t="inlineStr">
        <is>
          <t>05148</t>
        </is>
      </c>
      <c r="B711" s="44" t="n">
        <v>46142</v>
      </c>
      <c r="C711" s="36" t="inlineStr">
        <is>
          <t>Northern Europe</t>
        </is>
      </c>
      <c r="D711" s="36" t="inlineStr">
        <is>
          <t>Finland</t>
        </is>
      </c>
      <c r="E711" s="36" t="inlineStr">
        <is>
          <t>Online Store</t>
        </is>
      </c>
      <c r="F711" s="36" t="inlineStr">
        <is>
          <t>Returning</t>
        </is>
      </c>
      <c r="G711" s="36" t="inlineStr">
        <is>
          <t>Travel</t>
        </is>
      </c>
      <c r="H711" s="36" t="inlineStr">
        <is>
          <t>Carry-On Duffel</t>
        </is>
      </c>
      <c r="I711" s="36" t="n">
        <v>1</v>
      </c>
      <c r="J711" s="39" t="n">
        <v>130.34</v>
      </c>
      <c r="K711" s="45" t="n">
        <v>0.1</v>
      </c>
      <c r="L711" s="39" t="n">
        <v>66.68000000000001</v>
      </c>
      <c r="M711" s="39">
        <f>I711*J711*(1-K711)</f>
        <v/>
      </c>
      <c r="N711" s="39">
        <f>I711*L711</f>
        <v/>
      </c>
      <c r="O711" s="39">
        <f>M711-N711</f>
        <v/>
      </c>
      <c r="P711" s="38">
        <f>IF(M711=0,0,O711/M711)</f>
        <v/>
      </c>
      <c r="Q711" s="36">
        <f>YEAR(B711)</f>
        <v/>
      </c>
      <c r="R711" s="36">
        <f>"Q"&amp;ROUNDUP(MONTH(B711)/3,0)</f>
        <v/>
      </c>
      <c r="S711" s="36">
        <f>MONTH(B711)</f>
        <v/>
      </c>
      <c r="T711" s="36">
        <f>TEXT(B711,"mmm")</f>
        <v/>
      </c>
      <c r="U711" s="36">
        <f>IF(AND(OR(sel_Region="All",C711=sel_Region),OR(sel_Country="All",D711=sel_Country),OR(sel_Channel="All",E711=sel_Channel),OR(sel_Customer="All",F711=sel_Customer),OR(sel_Category="All",G711=sel_Category),OR(sel_Product="All",H711=sel_Product),AND(S711&gt;=m_From,S711&lt;=m_To)),1,0)</f>
        <v/>
      </c>
      <c r="V711" s="36">
        <f>IF(AND(OR(sel_Region="All",C711=sel_Region),OR(sel_Channel="All",E711=sel_Channel),OR(sel_Customer="All",F711=sel_Customer),OR(sel_Category="All",G711=sel_Category),OR(sel_Product="All",H711=sel_Product),AND(S711&gt;=m_From,S711&lt;=m_To)),1,0)</f>
        <v/>
      </c>
      <c r="W711" s="36">
        <f>IF(AND(OR(sel_Region="All",C711=sel_Region),OR(sel_Country="All",D711=sel_Country),OR(sel_Customer="All",F711=sel_Customer),OR(sel_Category="All",G711=sel_Category),OR(sel_Product="All",H711=sel_Product),AND(S711&gt;=m_From,S711&lt;=m_To)),1,0)</f>
        <v/>
      </c>
      <c r="X711" s="36">
        <f>IF(AND(OR(sel_Region="All",C711=sel_Region),OR(sel_Country="All",D711=sel_Country),OR(sel_Channel="All",E711=sel_Channel),OR(sel_Category="All",G711=sel_Category),OR(sel_Product="All",H711=sel_Product),AND(S711&gt;=m_From,S711&lt;=m_To)),1,0)</f>
        <v/>
      </c>
      <c r="Y711" s="36">
        <f>IF(AND(OR(sel_Region="All",C711=sel_Region),OR(sel_Country="All",D711=sel_Country),OR(sel_Channel="All",E711=sel_Channel),OR(sel_Customer="All",F711=sel_Customer),OR(sel_Product="All",H711=sel_Product),AND(S711&gt;=m_From,S711&lt;=m_To)),1,0)</f>
        <v/>
      </c>
      <c r="Z711" s="36">
        <f>IF(AND(OR(sel_Region="All",C711=sel_Region),OR(sel_Country="All",D711=sel_Country),OR(sel_Channel="All",E711=sel_Channel),OR(sel_Customer="All",F711=sel_Customer),OR(sel_Category="All",G711=sel_Category),AND(S711&gt;=m_From,S711&lt;=m_To)),1,0)</f>
        <v/>
      </c>
      <c r="AA711" s="36">
        <f>IF(AND(OR(sel_Region="All",C711=sel_Region),OR(sel_Country="All",D711=sel_Country),OR(sel_Channel="All",E711=sel_Channel),OR(sel_Customer="All",F711=sel_Customer),OR(sel_Category="All",G711=sel_Category),OR(sel_Product="All",H711=sel_Product)),1,0)</f>
        <v/>
      </c>
    </row>
    <row r="712">
      <c r="A712" s="36" t="inlineStr">
        <is>
          <t>00534</t>
        </is>
      </c>
      <c r="B712" s="44" t="n">
        <v>46143</v>
      </c>
      <c r="C712" s="36" t="inlineStr">
        <is>
          <t>Central Europe</t>
        </is>
      </c>
      <c r="D712" s="36" t="inlineStr">
        <is>
          <t>Germany</t>
        </is>
      </c>
      <c r="E712" s="36" t="inlineStr">
        <is>
          <t>Online Store</t>
        </is>
      </c>
      <c r="F712" s="36" t="inlineStr">
        <is>
          <t>Business</t>
        </is>
      </c>
      <c r="G712" s="36" t="inlineStr">
        <is>
          <t>Hiking</t>
        </is>
      </c>
      <c r="H712" s="36" t="inlineStr">
        <is>
          <t>Summit Backpack 45L</t>
        </is>
      </c>
      <c r="I712" s="36" t="n">
        <v>1</v>
      </c>
      <c r="J712" s="39" t="n">
        <v>154.86</v>
      </c>
      <c r="K712" s="45" t="n">
        <v>0</v>
      </c>
      <c r="L712" s="39" t="n">
        <v>78.37</v>
      </c>
      <c r="M712" s="39">
        <f>I712*J712*(1-K712)</f>
        <v/>
      </c>
      <c r="N712" s="39">
        <f>I712*L712</f>
        <v/>
      </c>
      <c r="O712" s="39">
        <f>M712-N712</f>
        <v/>
      </c>
      <c r="P712" s="38">
        <f>IF(M712=0,0,O712/M712)</f>
        <v/>
      </c>
      <c r="Q712" s="36">
        <f>YEAR(B712)</f>
        <v/>
      </c>
      <c r="R712" s="36">
        <f>"Q"&amp;ROUNDUP(MONTH(B712)/3,0)</f>
        <v/>
      </c>
      <c r="S712" s="36">
        <f>MONTH(B712)</f>
        <v/>
      </c>
      <c r="T712" s="36">
        <f>TEXT(B712,"mmm")</f>
        <v/>
      </c>
      <c r="U712" s="36">
        <f>IF(AND(OR(sel_Region="All",C712=sel_Region),OR(sel_Country="All",D712=sel_Country),OR(sel_Channel="All",E712=sel_Channel),OR(sel_Customer="All",F712=sel_Customer),OR(sel_Category="All",G712=sel_Category),OR(sel_Product="All",H712=sel_Product),AND(S712&gt;=m_From,S712&lt;=m_To)),1,0)</f>
        <v/>
      </c>
      <c r="V712" s="36">
        <f>IF(AND(OR(sel_Region="All",C712=sel_Region),OR(sel_Channel="All",E712=sel_Channel),OR(sel_Customer="All",F712=sel_Customer),OR(sel_Category="All",G712=sel_Category),OR(sel_Product="All",H712=sel_Product),AND(S712&gt;=m_From,S712&lt;=m_To)),1,0)</f>
        <v/>
      </c>
      <c r="W712" s="36">
        <f>IF(AND(OR(sel_Region="All",C712=sel_Region),OR(sel_Country="All",D712=sel_Country),OR(sel_Customer="All",F712=sel_Customer),OR(sel_Category="All",G712=sel_Category),OR(sel_Product="All",H712=sel_Product),AND(S712&gt;=m_From,S712&lt;=m_To)),1,0)</f>
        <v/>
      </c>
      <c r="X712" s="36">
        <f>IF(AND(OR(sel_Region="All",C712=sel_Region),OR(sel_Country="All",D712=sel_Country),OR(sel_Channel="All",E712=sel_Channel),OR(sel_Category="All",G712=sel_Category),OR(sel_Product="All",H712=sel_Product),AND(S712&gt;=m_From,S712&lt;=m_To)),1,0)</f>
        <v/>
      </c>
      <c r="Y712" s="36">
        <f>IF(AND(OR(sel_Region="All",C712=sel_Region),OR(sel_Country="All",D712=sel_Country),OR(sel_Channel="All",E712=sel_Channel),OR(sel_Customer="All",F712=sel_Customer),OR(sel_Product="All",H712=sel_Product),AND(S712&gt;=m_From,S712&lt;=m_To)),1,0)</f>
        <v/>
      </c>
      <c r="Z712" s="36">
        <f>IF(AND(OR(sel_Region="All",C712=sel_Region),OR(sel_Country="All",D712=sel_Country),OR(sel_Channel="All",E712=sel_Channel),OR(sel_Customer="All",F712=sel_Customer),OR(sel_Category="All",G712=sel_Category),AND(S712&gt;=m_From,S712&lt;=m_To)),1,0)</f>
        <v/>
      </c>
      <c r="AA712" s="36">
        <f>IF(AND(OR(sel_Region="All",C712=sel_Region),OR(sel_Country="All",D712=sel_Country),OR(sel_Channel="All",E712=sel_Channel),OR(sel_Customer="All",F712=sel_Customer),OR(sel_Category="All",G712=sel_Category),OR(sel_Product="All",H712=sel_Product)),1,0)</f>
        <v/>
      </c>
    </row>
    <row r="713">
      <c r="A713" s="36" t="inlineStr">
        <is>
          <t>00551</t>
        </is>
      </c>
      <c r="B713" s="44" t="n">
        <v>46143</v>
      </c>
      <c r="C713" s="36" t="inlineStr">
        <is>
          <t>Western Europe</t>
        </is>
      </c>
      <c r="D713" s="36" t="inlineStr">
        <is>
          <t>United Kingdom</t>
        </is>
      </c>
      <c r="E713" s="36" t="inlineStr">
        <is>
          <t>Retail Partners</t>
        </is>
      </c>
      <c r="F713" s="36" t="inlineStr">
        <is>
          <t>Returning</t>
        </is>
      </c>
      <c r="G713" s="36" t="inlineStr">
        <is>
          <t>Cycling</t>
        </is>
      </c>
      <c r="H713" s="36" t="inlineStr">
        <is>
          <t>Cycling Pack 12L</t>
        </is>
      </c>
      <c r="I713" s="36" t="n">
        <v>4</v>
      </c>
      <c r="J713" s="39" t="n">
        <v>103.64</v>
      </c>
      <c r="K713" s="45" t="n">
        <v>0</v>
      </c>
      <c r="L713" s="39" t="n">
        <v>50.59</v>
      </c>
      <c r="M713" s="39">
        <f>I713*J713*(1-K713)</f>
        <v/>
      </c>
      <c r="N713" s="39">
        <f>I713*L713</f>
        <v/>
      </c>
      <c r="O713" s="39">
        <f>M713-N713</f>
        <v/>
      </c>
      <c r="P713" s="38">
        <f>IF(M713=0,0,O713/M713)</f>
        <v/>
      </c>
      <c r="Q713" s="36">
        <f>YEAR(B713)</f>
        <v/>
      </c>
      <c r="R713" s="36">
        <f>"Q"&amp;ROUNDUP(MONTH(B713)/3,0)</f>
        <v/>
      </c>
      <c r="S713" s="36">
        <f>MONTH(B713)</f>
        <v/>
      </c>
      <c r="T713" s="36">
        <f>TEXT(B713,"mmm")</f>
        <v/>
      </c>
      <c r="U713" s="36">
        <f>IF(AND(OR(sel_Region="All",C713=sel_Region),OR(sel_Country="All",D713=sel_Country),OR(sel_Channel="All",E713=sel_Channel),OR(sel_Customer="All",F713=sel_Customer),OR(sel_Category="All",G713=sel_Category),OR(sel_Product="All",H713=sel_Product),AND(S713&gt;=m_From,S713&lt;=m_To)),1,0)</f>
        <v/>
      </c>
      <c r="V713" s="36">
        <f>IF(AND(OR(sel_Region="All",C713=sel_Region),OR(sel_Channel="All",E713=sel_Channel),OR(sel_Customer="All",F713=sel_Customer),OR(sel_Category="All",G713=sel_Category),OR(sel_Product="All",H713=sel_Product),AND(S713&gt;=m_From,S713&lt;=m_To)),1,0)</f>
        <v/>
      </c>
      <c r="W713" s="36">
        <f>IF(AND(OR(sel_Region="All",C713=sel_Region),OR(sel_Country="All",D713=sel_Country),OR(sel_Customer="All",F713=sel_Customer),OR(sel_Category="All",G713=sel_Category),OR(sel_Product="All",H713=sel_Product),AND(S713&gt;=m_From,S713&lt;=m_To)),1,0)</f>
        <v/>
      </c>
      <c r="X713" s="36">
        <f>IF(AND(OR(sel_Region="All",C713=sel_Region),OR(sel_Country="All",D713=sel_Country),OR(sel_Channel="All",E713=sel_Channel),OR(sel_Category="All",G713=sel_Category),OR(sel_Product="All",H713=sel_Product),AND(S713&gt;=m_From,S713&lt;=m_To)),1,0)</f>
        <v/>
      </c>
      <c r="Y713" s="36">
        <f>IF(AND(OR(sel_Region="All",C713=sel_Region),OR(sel_Country="All",D713=sel_Country),OR(sel_Channel="All",E713=sel_Channel),OR(sel_Customer="All",F713=sel_Customer),OR(sel_Product="All",H713=sel_Product),AND(S713&gt;=m_From,S713&lt;=m_To)),1,0)</f>
        <v/>
      </c>
      <c r="Z713" s="36">
        <f>IF(AND(OR(sel_Region="All",C713=sel_Region),OR(sel_Country="All",D713=sel_Country),OR(sel_Channel="All",E713=sel_Channel),OR(sel_Customer="All",F713=sel_Customer),OR(sel_Category="All",G713=sel_Category),AND(S713&gt;=m_From,S713&lt;=m_To)),1,0)</f>
        <v/>
      </c>
      <c r="AA713" s="36">
        <f>IF(AND(OR(sel_Region="All",C713=sel_Region),OR(sel_Country="All",D713=sel_Country),OR(sel_Channel="All",E713=sel_Channel),OR(sel_Customer="All",F713=sel_Customer),OR(sel_Category="All",G713=sel_Category),OR(sel_Product="All",H713=sel_Product)),1,0)</f>
        <v/>
      </c>
    </row>
    <row r="714">
      <c r="A714" s="36" t="inlineStr">
        <is>
          <t>02110</t>
        </is>
      </c>
      <c r="B714" s="44" t="n">
        <v>46143</v>
      </c>
      <c r="C714" s="36" t="inlineStr">
        <is>
          <t>Southern Europe</t>
        </is>
      </c>
      <c r="D714" s="36" t="inlineStr">
        <is>
          <t>Italy</t>
        </is>
      </c>
      <c r="E714" s="36" t="inlineStr">
        <is>
          <t>Online Store</t>
        </is>
      </c>
      <c r="F714" s="36" t="inlineStr">
        <is>
          <t>Returning</t>
        </is>
      </c>
      <c r="G714" s="36" t="inlineStr">
        <is>
          <t>Travel</t>
        </is>
      </c>
      <c r="H714" s="36" t="inlineStr">
        <is>
          <t>Travel Backpack 35L</t>
        </is>
      </c>
      <c r="I714" s="36" t="n">
        <v>1</v>
      </c>
      <c r="J714" s="39" t="n">
        <v>164.49</v>
      </c>
      <c r="K714" s="45" t="n">
        <v>0.05</v>
      </c>
      <c r="L714" s="39" t="n">
        <v>87.81</v>
      </c>
      <c r="M714" s="39">
        <f>I714*J714*(1-K714)</f>
        <v/>
      </c>
      <c r="N714" s="39">
        <f>I714*L714</f>
        <v/>
      </c>
      <c r="O714" s="39">
        <f>M714-N714</f>
        <v/>
      </c>
      <c r="P714" s="38">
        <f>IF(M714=0,0,O714/M714)</f>
        <v/>
      </c>
      <c r="Q714" s="36">
        <f>YEAR(B714)</f>
        <v/>
      </c>
      <c r="R714" s="36">
        <f>"Q"&amp;ROUNDUP(MONTH(B714)/3,0)</f>
        <v/>
      </c>
      <c r="S714" s="36">
        <f>MONTH(B714)</f>
        <v/>
      </c>
      <c r="T714" s="36">
        <f>TEXT(B714,"mmm")</f>
        <v/>
      </c>
      <c r="U714" s="36">
        <f>IF(AND(OR(sel_Region="All",C714=sel_Region),OR(sel_Country="All",D714=sel_Country),OR(sel_Channel="All",E714=sel_Channel),OR(sel_Customer="All",F714=sel_Customer),OR(sel_Category="All",G714=sel_Category),OR(sel_Product="All",H714=sel_Product),AND(S714&gt;=m_From,S714&lt;=m_To)),1,0)</f>
        <v/>
      </c>
      <c r="V714" s="36">
        <f>IF(AND(OR(sel_Region="All",C714=sel_Region),OR(sel_Channel="All",E714=sel_Channel),OR(sel_Customer="All",F714=sel_Customer),OR(sel_Category="All",G714=sel_Category),OR(sel_Product="All",H714=sel_Product),AND(S714&gt;=m_From,S714&lt;=m_To)),1,0)</f>
        <v/>
      </c>
      <c r="W714" s="36">
        <f>IF(AND(OR(sel_Region="All",C714=sel_Region),OR(sel_Country="All",D714=sel_Country),OR(sel_Customer="All",F714=sel_Customer),OR(sel_Category="All",G714=sel_Category),OR(sel_Product="All",H714=sel_Product),AND(S714&gt;=m_From,S714&lt;=m_To)),1,0)</f>
        <v/>
      </c>
      <c r="X714" s="36">
        <f>IF(AND(OR(sel_Region="All",C714=sel_Region),OR(sel_Country="All",D714=sel_Country),OR(sel_Channel="All",E714=sel_Channel),OR(sel_Category="All",G714=sel_Category),OR(sel_Product="All",H714=sel_Product),AND(S714&gt;=m_From,S714&lt;=m_To)),1,0)</f>
        <v/>
      </c>
      <c r="Y714" s="36">
        <f>IF(AND(OR(sel_Region="All",C714=sel_Region),OR(sel_Country="All",D714=sel_Country),OR(sel_Channel="All",E714=sel_Channel),OR(sel_Customer="All",F714=sel_Customer),OR(sel_Product="All",H714=sel_Product),AND(S714&gt;=m_From,S714&lt;=m_To)),1,0)</f>
        <v/>
      </c>
      <c r="Z714" s="36">
        <f>IF(AND(OR(sel_Region="All",C714=sel_Region),OR(sel_Country="All",D714=sel_Country),OR(sel_Channel="All",E714=sel_Channel),OR(sel_Customer="All",F714=sel_Customer),OR(sel_Category="All",G714=sel_Category),AND(S714&gt;=m_From,S714&lt;=m_To)),1,0)</f>
        <v/>
      </c>
      <c r="AA714" s="36">
        <f>IF(AND(OR(sel_Region="All",C714=sel_Region),OR(sel_Country="All",D714=sel_Country),OR(sel_Channel="All",E714=sel_Channel),OR(sel_Customer="All",F714=sel_Customer),OR(sel_Category="All",G714=sel_Category),OR(sel_Product="All",H714=sel_Product)),1,0)</f>
        <v/>
      </c>
    </row>
    <row r="715">
      <c r="A715" s="36" t="inlineStr">
        <is>
          <t>02217</t>
        </is>
      </c>
      <c r="B715" s="44" t="n">
        <v>46143</v>
      </c>
      <c r="C715" s="36" t="inlineStr">
        <is>
          <t>Western Europe</t>
        </is>
      </c>
      <c r="D715" s="36" t="inlineStr">
        <is>
          <t>United Kingdom</t>
        </is>
      </c>
      <c r="E715" s="36" t="inlineStr">
        <is>
          <t>Corporate</t>
        </is>
      </c>
      <c r="F715" s="36" t="inlineStr">
        <is>
          <t>Returning</t>
        </is>
      </c>
      <c r="G715" s="36" t="inlineStr">
        <is>
          <t>Travel</t>
        </is>
      </c>
      <c r="H715" s="36" t="inlineStr">
        <is>
          <t>Travel Backpack 35L</t>
        </is>
      </c>
      <c r="I715" s="36" t="n">
        <v>3</v>
      </c>
      <c r="J715" s="39" t="n">
        <v>163.45</v>
      </c>
      <c r="K715" s="45" t="n">
        <v>0.05</v>
      </c>
      <c r="L715" s="39" t="n">
        <v>87.54000000000001</v>
      </c>
      <c r="M715" s="39">
        <f>I715*J715*(1-K715)</f>
        <v/>
      </c>
      <c r="N715" s="39">
        <f>I715*L715</f>
        <v/>
      </c>
      <c r="O715" s="39">
        <f>M715-N715</f>
        <v/>
      </c>
      <c r="P715" s="38">
        <f>IF(M715=0,0,O715/M715)</f>
        <v/>
      </c>
      <c r="Q715" s="36">
        <f>YEAR(B715)</f>
        <v/>
      </c>
      <c r="R715" s="36">
        <f>"Q"&amp;ROUNDUP(MONTH(B715)/3,0)</f>
        <v/>
      </c>
      <c r="S715" s="36">
        <f>MONTH(B715)</f>
        <v/>
      </c>
      <c r="T715" s="36">
        <f>TEXT(B715,"mmm")</f>
        <v/>
      </c>
      <c r="U715" s="36">
        <f>IF(AND(OR(sel_Region="All",C715=sel_Region),OR(sel_Country="All",D715=sel_Country),OR(sel_Channel="All",E715=sel_Channel),OR(sel_Customer="All",F715=sel_Customer),OR(sel_Category="All",G715=sel_Category),OR(sel_Product="All",H715=sel_Product),AND(S715&gt;=m_From,S715&lt;=m_To)),1,0)</f>
        <v/>
      </c>
      <c r="V715" s="36">
        <f>IF(AND(OR(sel_Region="All",C715=sel_Region),OR(sel_Channel="All",E715=sel_Channel),OR(sel_Customer="All",F715=sel_Customer),OR(sel_Category="All",G715=sel_Category),OR(sel_Product="All",H715=sel_Product),AND(S715&gt;=m_From,S715&lt;=m_To)),1,0)</f>
        <v/>
      </c>
      <c r="W715" s="36">
        <f>IF(AND(OR(sel_Region="All",C715=sel_Region),OR(sel_Country="All",D715=sel_Country),OR(sel_Customer="All",F715=sel_Customer),OR(sel_Category="All",G715=sel_Category),OR(sel_Product="All",H715=sel_Product),AND(S715&gt;=m_From,S715&lt;=m_To)),1,0)</f>
        <v/>
      </c>
      <c r="X715" s="36">
        <f>IF(AND(OR(sel_Region="All",C715=sel_Region),OR(sel_Country="All",D715=sel_Country),OR(sel_Channel="All",E715=sel_Channel),OR(sel_Category="All",G715=sel_Category),OR(sel_Product="All",H715=sel_Product),AND(S715&gt;=m_From,S715&lt;=m_To)),1,0)</f>
        <v/>
      </c>
      <c r="Y715" s="36">
        <f>IF(AND(OR(sel_Region="All",C715=sel_Region),OR(sel_Country="All",D715=sel_Country),OR(sel_Channel="All",E715=sel_Channel),OR(sel_Customer="All",F715=sel_Customer),OR(sel_Product="All",H715=sel_Product),AND(S715&gt;=m_From,S715&lt;=m_To)),1,0)</f>
        <v/>
      </c>
      <c r="Z715" s="36">
        <f>IF(AND(OR(sel_Region="All",C715=sel_Region),OR(sel_Country="All",D715=sel_Country),OR(sel_Channel="All",E715=sel_Channel),OR(sel_Customer="All",F715=sel_Customer),OR(sel_Category="All",G715=sel_Category),AND(S715&gt;=m_From,S715&lt;=m_To)),1,0)</f>
        <v/>
      </c>
      <c r="AA715" s="36">
        <f>IF(AND(OR(sel_Region="All",C715=sel_Region),OR(sel_Country="All",D715=sel_Country),OR(sel_Channel="All",E715=sel_Channel),OR(sel_Customer="All",F715=sel_Customer),OR(sel_Category="All",G715=sel_Category),OR(sel_Product="All",H715=sel_Product)),1,0)</f>
        <v/>
      </c>
    </row>
    <row r="716">
      <c r="A716" s="36" t="inlineStr">
        <is>
          <t>02544</t>
        </is>
      </c>
      <c r="B716" s="44" t="n">
        <v>46143</v>
      </c>
      <c r="C716" s="36" t="inlineStr">
        <is>
          <t>Western Europe</t>
        </is>
      </c>
      <c r="D716" s="36" t="inlineStr">
        <is>
          <t>Belgium</t>
        </is>
      </c>
      <c r="E716" s="36" t="inlineStr">
        <is>
          <t>Online Store</t>
        </is>
      </c>
      <c r="F716" s="36" t="inlineStr">
        <is>
          <t>Returning</t>
        </is>
      </c>
      <c r="G716" s="36" t="inlineStr">
        <is>
          <t>Hiking</t>
        </is>
      </c>
      <c r="H716" s="36" t="inlineStr">
        <is>
          <t>Trekking Poles</t>
        </is>
      </c>
      <c r="I716" s="36" t="n">
        <v>1</v>
      </c>
      <c r="J716" s="39" t="n">
        <v>71.87</v>
      </c>
      <c r="K716" s="45" t="n">
        <v>0.05</v>
      </c>
      <c r="L716" s="39" t="n">
        <v>31.97</v>
      </c>
      <c r="M716" s="39">
        <f>I716*J716*(1-K716)</f>
        <v/>
      </c>
      <c r="N716" s="39">
        <f>I716*L716</f>
        <v/>
      </c>
      <c r="O716" s="39">
        <f>M716-N716</f>
        <v/>
      </c>
      <c r="P716" s="38">
        <f>IF(M716=0,0,O716/M716)</f>
        <v/>
      </c>
      <c r="Q716" s="36">
        <f>YEAR(B716)</f>
        <v/>
      </c>
      <c r="R716" s="36">
        <f>"Q"&amp;ROUNDUP(MONTH(B716)/3,0)</f>
        <v/>
      </c>
      <c r="S716" s="36">
        <f>MONTH(B716)</f>
        <v/>
      </c>
      <c r="T716" s="36">
        <f>TEXT(B716,"mmm")</f>
        <v/>
      </c>
      <c r="U716" s="36">
        <f>IF(AND(OR(sel_Region="All",C716=sel_Region),OR(sel_Country="All",D716=sel_Country),OR(sel_Channel="All",E716=sel_Channel),OR(sel_Customer="All",F716=sel_Customer),OR(sel_Category="All",G716=sel_Category),OR(sel_Product="All",H716=sel_Product),AND(S716&gt;=m_From,S716&lt;=m_To)),1,0)</f>
        <v/>
      </c>
      <c r="V716" s="36">
        <f>IF(AND(OR(sel_Region="All",C716=sel_Region),OR(sel_Channel="All",E716=sel_Channel),OR(sel_Customer="All",F716=sel_Customer),OR(sel_Category="All",G716=sel_Category),OR(sel_Product="All",H716=sel_Product),AND(S716&gt;=m_From,S716&lt;=m_To)),1,0)</f>
        <v/>
      </c>
      <c r="W716" s="36">
        <f>IF(AND(OR(sel_Region="All",C716=sel_Region),OR(sel_Country="All",D716=sel_Country),OR(sel_Customer="All",F716=sel_Customer),OR(sel_Category="All",G716=sel_Category),OR(sel_Product="All",H716=sel_Product),AND(S716&gt;=m_From,S716&lt;=m_To)),1,0)</f>
        <v/>
      </c>
      <c r="X716" s="36">
        <f>IF(AND(OR(sel_Region="All",C716=sel_Region),OR(sel_Country="All",D716=sel_Country),OR(sel_Channel="All",E716=sel_Channel),OR(sel_Category="All",G716=sel_Category),OR(sel_Product="All",H716=sel_Product),AND(S716&gt;=m_From,S716&lt;=m_To)),1,0)</f>
        <v/>
      </c>
      <c r="Y716" s="36">
        <f>IF(AND(OR(sel_Region="All",C716=sel_Region),OR(sel_Country="All",D716=sel_Country),OR(sel_Channel="All",E716=sel_Channel),OR(sel_Customer="All",F716=sel_Customer),OR(sel_Product="All",H716=sel_Product),AND(S716&gt;=m_From,S716&lt;=m_To)),1,0)</f>
        <v/>
      </c>
      <c r="Z716" s="36">
        <f>IF(AND(OR(sel_Region="All",C716=sel_Region),OR(sel_Country="All",D716=sel_Country),OR(sel_Channel="All",E716=sel_Channel),OR(sel_Customer="All",F716=sel_Customer),OR(sel_Category="All",G716=sel_Category),AND(S716&gt;=m_From,S716&lt;=m_To)),1,0)</f>
        <v/>
      </c>
      <c r="AA716" s="36">
        <f>IF(AND(OR(sel_Region="All",C716=sel_Region),OR(sel_Country="All",D716=sel_Country),OR(sel_Channel="All",E716=sel_Channel),OR(sel_Customer="All",F716=sel_Customer),OR(sel_Category="All",G716=sel_Category),OR(sel_Product="All",H716=sel_Product)),1,0)</f>
        <v/>
      </c>
    </row>
    <row r="717">
      <c r="A717" s="36" t="inlineStr">
        <is>
          <t>03678</t>
        </is>
      </c>
      <c r="B717" s="44" t="n">
        <v>46143</v>
      </c>
      <c r="C717" s="36" t="inlineStr">
        <is>
          <t>Central Europe</t>
        </is>
      </c>
      <c r="D717" s="36" t="inlineStr">
        <is>
          <t>Poland</t>
        </is>
      </c>
      <c r="E717" s="36" t="inlineStr">
        <is>
          <t>Marketplace</t>
        </is>
      </c>
      <c r="F717" s="36" t="inlineStr">
        <is>
          <t>Returning</t>
        </is>
      </c>
      <c r="G717" s="36" t="inlineStr">
        <is>
          <t>Camping</t>
        </is>
      </c>
      <c r="H717" s="36" t="inlineStr">
        <is>
          <t>Trail Tent 2P</t>
        </is>
      </c>
      <c r="I717" s="36" t="n">
        <v>2</v>
      </c>
      <c r="J717" s="39" t="n">
        <v>194.97</v>
      </c>
      <c r="K717" s="45" t="n">
        <v>0</v>
      </c>
      <c r="L717" s="39" t="n">
        <v>101.14</v>
      </c>
      <c r="M717" s="39">
        <f>I717*J717*(1-K717)</f>
        <v/>
      </c>
      <c r="N717" s="39">
        <f>I717*L717</f>
        <v/>
      </c>
      <c r="O717" s="39">
        <f>M717-N717</f>
        <v/>
      </c>
      <c r="P717" s="38">
        <f>IF(M717=0,0,O717/M717)</f>
        <v/>
      </c>
      <c r="Q717" s="36">
        <f>YEAR(B717)</f>
        <v/>
      </c>
      <c r="R717" s="36">
        <f>"Q"&amp;ROUNDUP(MONTH(B717)/3,0)</f>
        <v/>
      </c>
      <c r="S717" s="36">
        <f>MONTH(B717)</f>
        <v/>
      </c>
      <c r="T717" s="36">
        <f>TEXT(B717,"mmm")</f>
        <v/>
      </c>
      <c r="U717" s="36">
        <f>IF(AND(OR(sel_Region="All",C717=sel_Region),OR(sel_Country="All",D717=sel_Country),OR(sel_Channel="All",E717=sel_Channel),OR(sel_Customer="All",F717=sel_Customer),OR(sel_Category="All",G717=sel_Category),OR(sel_Product="All",H717=sel_Product),AND(S717&gt;=m_From,S717&lt;=m_To)),1,0)</f>
        <v/>
      </c>
      <c r="V717" s="36">
        <f>IF(AND(OR(sel_Region="All",C717=sel_Region),OR(sel_Channel="All",E717=sel_Channel),OR(sel_Customer="All",F717=sel_Customer),OR(sel_Category="All",G717=sel_Category),OR(sel_Product="All",H717=sel_Product),AND(S717&gt;=m_From,S717&lt;=m_To)),1,0)</f>
        <v/>
      </c>
      <c r="W717" s="36">
        <f>IF(AND(OR(sel_Region="All",C717=sel_Region),OR(sel_Country="All",D717=sel_Country),OR(sel_Customer="All",F717=sel_Customer),OR(sel_Category="All",G717=sel_Category),OR(sel_Product="All",H717=sel_Product),AND(S717&gt;=m_From,S717&lt;=m_To)),1,0)</f>
        <v/>
      </c>
      <c r="X717" s="36">
        <f>IF(AND(OR(sel_Region="All",C717=sel_Region),OR(sel_Country="All",D717=sel_Country),OR(sel_Channel="All",E717=sel_Channel),OR(sel_Category="All",G717=sel_Category),OR(sel_Product="All",H717=sel_Product),AND(S717&gt;=m_From,S717&lt;=m_To)),1,0)</f>
        <v/>
      </c>
      <c r="Y717" s="36">
        <f>IF(AND(OR(sel_Region="All",C717=sel_Region),OR(sel_Country="All",D717=sel_Country),OR(sel_Channel="All",E717=sel_Channel),OR(sel_Customer="All",F717=sel_Customer),OR(sel_Product="All",H717=sel_Product),AND(S717&gt;=m_From,S717&lt;=m_To)),1,0)</f>
        <v/>
      </c>
      <c r="Z717" s="36">
        <f>IF(AND(OR(sel_Region="All",C717=sel_Region),OR(sel_Country="All",D717=sel_Country),OR(sel_Channel="All",E717=sel_Channel),OR(sel_Customer="All",F717=sel_Customer),OR(sel_Category="All",G717=sel_Category),AND(S717&gt;=m_From,S717&lt;=m_To)),1,0)</f>
        <v/>
      </c>
      <c r="AA717" s="36">
        <f>IF(AND(OR(sel_Region="All",C717=sel_Region),OR(sel_Country="All",D717=sel_Country),OR(sel_Channel="All",E717=sel_Channel),OR(sel_Customer="All",F717=sel_Customer),OR(sel_Category="All",G717=sel_Category),OR(sel_Product="All",H717=sel_Product)),1,0)</f>
        <v/>
      </c>
    </row>
    <row r="718">
      <c r="A718" s="36" t="inlineStr">
        <is>
          <t>03726</t>
        </is>
      </c>
      <c r="B718" s="44" t="n">
        <v>46143</v>
      </c>
      <c r="C718" s="36" t="inlineStr">
        <is>
          <t>Western Europe</t>
        </is>
      </c>
      <c r="D718" s="36" t="inlineStr">
        <is>
          <t>United Kingdom</t>
        </is>
      </c>
      <c r="E718" s="36" t="inlineStr">
        <is>
          <t>Marketplace</t>
        </is>
      </c>
      <c r="F718" s="36" t="inlineStr">
        <is>
          <t>Returning</t>
        </is>
      </c>
      <c r="G718" s="36" t="inlineStr">
        <is>
          <t>Cycling</t>
        </is>
      </c>
      <c r="H718" s="36" t="inlineStr">
        <is>
          <t>Trail Bike Light</t>
        </is>
      </c>
      <c r="I718" s="36" t="n">
        <v>2</v>
      </c>
      <c r="J718" s="39" t="n">
        <v>49.53</v>
      </c>
      <c r="K718" s="45" t="n">
        <v>0</v>
      </c>
      <c r="L718" s="39" t="n">
        <v>22.91</v>
      </c>
      <c r="M718" s="39">
        <f>I718*J718*(1-K718)</f>
        <v/>
      </c>
      <c r="N718" s="39">
        <f>I718*L718</f>
        <v/>
      </c>
      <c r="O718" s="39">
        <f>M718-N718</f>
        <v/>
      </c>
      <c r="P718" s="38">
        <f>IF(M718=0,0,O718/M718)</f>
        <v/>
      </c>
      <c r="Q718" s="36">
        <f>YEAR(B718)</f>
        <v/>
      </c>
      <c r="R718" s="36">
        <f>"Q"&amp;ROUNDUP(MONTH(B718)/3,0)</f>
        <v/>
      </c>
      <c r="S718" s="36">
        <f>MONTH(B718)</f>
        <v/>
      </c>
      <c r="T718" s="36">
        <f>TEXT(B718,"mmm")</f>
        <v/>
      </c>
      <c r="U718" s="36">
        <f>IF(AND(OR(sel_Region="All",C718=sel_Region),OR(sel_Country="All",D718=sel_Country),OR(sel_Channel="All",E718=sel_Channel),OR(sel_Customer="All",F718=sel_Customer),OR(sel_Category="All",G718=sel_Category),OR(sel_Product="All",H718=sel_Product),AND(S718&gt;=m_From,S718&lt;=m_To)),1,0)</f>
        <v/>
      </c>
      <c r="V718" s="36">
        <f>IF(AND(OR(sel_Region="All",C718=sel_Region),OR(sel_Channel="All",E718=sel_Channel),OR(sel_Customer="All",F718=sel_Customer),OR(sel_Category="All",G718=sel_Category),OR(sel_Product="All",H718=sel_Product),AND(S718&gt;=m_From,S718&lt;=m_To)),1,0)</f>
        <v/>
      </c>
      <c r="W718" s="36">
        <f>IF(AND(OR(sel_Region="All",C718=sel_Region),OR(sel_Country="All",D718=sel_Country),OR(sel_Customer="All",F718=sel_Customer),OR(sel_Category="All",G718=sel_Category),OR(sel_Product="All",H718=sel_Product),AND(S718&gt;=m_From,S718&lt;=m_To)),1,0)</f>
        <v/>
      </c>
      <c r="X718" s="36">
        <f>IF(AND(OR(sel_Region="All",C718=sel_Region),OR(sel_Country="All",D718=sel_Country),OR(sel_Channel="All",E718=sel_Channel),OR(sel_Category="All",G718=sel_Category),OR(sel_Product="All",H718=sel_Product),AND(S718&gt;=m_From,S718&lt;=m_To)),1,0)</f>
        <v/>
      </c>
      <c r="Y718" s="36">
        <f>IF(AND(OR(sel_Region="All",C718=sel_Region),OR(sel_Country="All",D718=sel_Country),OR(sel_Channel="All",E718=sel_Channel),OR(sel_Customer="All",F718=sel_Customer),OR(sel_Product="All",H718=sel_Product),AND(S718&gt;=m_From,S718&lt;=m_To)),1,0)</f>
        <v/>
      </c>
      <c r="Z718" s="36">
        <f>IF(AND(OR(sel_Region="All",C718=sel_Region),OR(sel_Country="All",D718=sel_Country),OR(sel_Channel="All",E718=sel_Channel),OR(sel_Customer="All",F718=sel_Customer),OR(sel_Category="All",G718=sel_Category),AND(S718&gt;=m_From,S718&lt;=m_To)),1,0)</f>
        <v/>
      </c>
      <c r="AA718" s="36">
        <f>IF(AND(OR(sel_Region="All",C718=sel_Region),OR(sel_Country="All",D718=sel_Country),OR(sel_Channel="All",E718=sel_Channel),OR(sel_Customer="All",F718=sel_Customer),OR(sel_Category="All",G718=sel_Category),OR(sel_Product="All",H718=sel_Product)),1,0)</f>
        <v/>
      </c>
    </row>
    <row r="719">
      <c r="A719" s="36" t="inlineStr">
        <is>
          <t>03897</t>
        </is>
      </c>
      <c r="B719" s="44" t="n">
        <v>46143</v>
      </c>
      <c r="C719" s="36" t="inlineStr">
        <is>
          <t>Western Europe</t>
        </is>
      </c>
      <c r="D719" s="36" t="inlineStr">
        <is>
          <t>United Kingdom</t>
        </is>
      </c>
      <c r="E719" s="36" t="inlineStr">
        <is>
          <t>Corporate</t>
        </is>
      </c>
      <c r="F719" s="36" t="inlineStr">
        <is>
          <t>Business</t>
        </is>
      </c>
      <c r="G719" s="36" t="inlineStr">
        <is>
          <t>Fitness</t>
        </is>
      </c>
      <c r="H719" s="36" t="inlineStr">
        <is>
          <t>Recovery Roller</t>
        </is>
      </c>
      <c r="I719" s="36" t="n">
        <v>4</v>
      </c>
      <c r="J719" s="39" t="n">
        <v>35.62</v>
      </c>
      <c r="K719" s="45" t="n">
        <v>0.15</v>
      </c>
      <c r="L719" s="39" t="n">
        <v>13.76</v>
      </c>
      <c r="M719" s="39">
        <f>I719*J719*(1-K719)</f>
        <v/>
      </c>
      <c r="N719" s="39">
        <f>I719*L719</f>
        <v/>
      </c>
      <c r="O719" s="39">
        <f>M719-N719</f>
        <v/>
      </c>
      <c r="P719" s="38">
        <f>IF(M719=0,0,O719/M719)</f>
        <v/>
      </c>
      <c r="Q719" s="36">
        <f>YEAR(B719)</f>
        <v/>
      </c>
      <c r="R719" s="36">
        <f>"Q"&amp;ROUNDUP(MONTH(B719)/3,0)</f>
        <v/>
      </c>
      <c r="S719" s="36">
        <f>MONTH(B719)</f>
        <v/>
      </c>
      <c r="T719" s="36">
        <f>TEXT(B719,"mmm")</f>
        <v/>
      </c>
      <c r="U719" s="36">
        <f>IF(AND(OR(sel_Region="All",C719=sel_Region),OR(sel_Country="All",D719=sel_Country),OR(sel_Channel="All",E719=sel_Channel),OR(sel_Customer="All",F719=sel_Customer),OR(sel_Category="All",G719=sel_Category),OR(sel_Product="All",H719=sel_Product),AND(S719&gt;=m_From,S719&lt;=m_To)),1,0)</f>
        <v/>
      </c>
      <c r="V719" s="36">
        <f>IF(AND(OR(sel_Region="All",C719=sel_Region),OR(sel_Channel="All",E719=sel_Channel),OR(sel_Customer="All",F719=sel_Customer),OR(sel_Category="All",G719=sel_Category),OR(sel_Product="All",H719=sel_Product),AND(S719&gt;=m_From,S719&lt;=m_To)),1,0)</f>
        <v/>
      </c>
      <c r="W719" s="36">
        <f>IF(AND(OR(sel_Region="All",C719=sel_Region),OR(sel_Country="All",D719=sel_Country),OR(sel_Customer="All",F719=sel_Customer),OR(sel_Category="All",G719=sel_Category),OR(sel_Product="All",H719=sel_Product),AND(S719&gt;=m_From,S719&lt;=m_To)),1,0)</f>
        <v/>
      </c>
      <c r="X719" s="36">
        <f>IF(AND(OR(sel_Region="All",C719=sel_Region),OR(sel_Country="All",D719=sel_Country),OR(sel_Channel="All",E719=sel_Channel),OR(sel_Category="All",G719=sel_Category),OR(sel_Product="All",H719=sel_Product),AND(S719&gt;=m_From,S719&lt;=m_To)),1,0)</f>
        <v/>
      </c>
      <c r="Y719" s="36">
        <f>IF(AND(OR(sel_Region="All",C719=sel_Region),OR(sel_Country="All",D719=sel_Country),OR(sel_Channel="All",E719=sel_Channel),OR(sel_Customer="All",F719=sel_Customer),OR(sel_Product="All",H719=sel_Product),AND(S719&gt;=m_From,S719&lt;=m_To)),1,0)</f>
        <v/>
      </c>
      <c r="Z719" s="36">
        <f>IF(AND(OR(sel_Region="All",C719=sel_Region),OR(sel_Country="All",D719=sel_Country),OR(sel_Channel="All",E719=sel_Channel),OR(sel_Customer="All",F719=sel_Customer),OR(sel_Category="All",G719=sel_Category),AND(S719&gt;=m_From,S719&lt;=m_To)),1,0)</f>
        <v/>
      </c>
      <c r="AA719" s="36">
        <f>IF(AND(OR(sel_Region="All",C719=sel_Region),OR(sel_Country="All",D719=sel_Country),OR(sel_Channel="All",E719=sel_Channel),OR(sel_Customer="All",F719=sel_Customer),OR(sel_Category="All",G719=sel_Category),OR(sel_Product="All",H719=sel_Product)),1,0)</f>
        <v/>
      </c>
    </row>
    <row r="720">
      <c r="A720" s="36" t="inlineStr">
        <is>
          <t>01262</t>
        </is>
      </c>
      <c r="B720" s="44" t="n">
        <v>46144</v>
      </c>
      <c r="C720" s="36" t="inlineStr">
        <is>
          <t>Western Europe</t>
        </is>
      </c>
      <c r="D720" s="36" t="inlineStr">
        <is>
          <t>Netherlands</t>
        </is>
      </c>
      <c r="E720" s="36" t="inlineStr">
        <is>
          <t>Retail Partners</t>
        </is>
      </c>
      <c r="F720" s="36" t="inlineStr">
        <is>
          <t>Returning</t>
        </is>
      </c>
      <c r="G720" s="36" t="inlineStr">
        <is>
          <t>Travel</t>
        </is>
      </c>
      <c r="H720" s="36" t="inlineStr">
        <is>
          <t>Packing Cube Set</t>
        </is>
      </c>
      <c r="I720" s="36" t="n">
        <v>2</v>
      </c>
      <c r="J720" s="39" t="n">
        <v>45.47</v>
      </c>
      <c r="K720" s="45" t="n">
        <v>0</v>
      </c>
      <c r="L720" s="39" t="n">
        <v>18.37</v>
      </c>
      <c r="M720" s="39">
        <f>I720*J720*(1-K720)</f>
        <v/>
      </c>
      <c r="N720" s="39">
        <f>I720*L720</f>
        <v/>
      </c>
      <c r="O720" s="39">
        <f>M720-N720</f>
        <v/>
      </c>
      <c r="P720" s="38">
        <f>IF(M720=0,0,O720/M720)</f>
        <v/>
      </c>
      <c r="Q720" s="36">
        <f>YEAR(B720)</f>
        <v/>
      </c>
      <c r="R720" s="36">
        <f>"Q"&amp;ROUNDUP(MONTH(B720)/3,0)</f>
        <v/>
      </c>
      <c r="S720" s="36">
        <f>MONTH(B720)</f>
        <v/>
      </c>
      <c r="T720" s="36">
        <f>TEXT(B720,"mmm")</f>
        <v/>
      </c>
      <c r="U720" s="36">
        <f>IF(AND(OR(sel_Region="All",C720=sel_Region),OR(sel_Country="All",D720=sel_Country),OR(sel_Channel="All",E720=sel_Channel),OR(sel_Customer="All",F720=sel_Customer),OR(sel_Category="All",G720=sel_Category),OR(sel_Product="All",H720=sel_Product),AND(S720&gt;=m_From,S720&lt;=m_To)),1,0)</f>
        <v/>
      </c>
      <c r="V720" s="36">
        <f>IF(AND(OR(sel_Region="All",C720=sel_Region),OR(sel_Channel="All",E720=sel_Channel),OR(sel_Customer="All",F720=sel_Customer),OR(sel_Category="All",G720=sel_Category),OR(sel_Product="All",H720=sel_Product),AND(S720&gt;=m_From,S720&lt;=m_To)),1,0)</f>
        <v/>
      </c>
      <c r="W720" s="36">
        <f>IF(AND(OR(sel_Region="All",C720=sel_Region),OR(sel_Country="All",D720=sel_Country),OR(sel_Customer="All",F720=sel_Customer),OR(sel_Category="All",G720=sel_Category),OR(sel_Product="All",H720=sel_Product),AND(S720&gt;=m_From,S720&lt;=m_To)),1,0)</f>
        <v/>
      </c>
      <c r="X720" s="36">
        <f>IF(AND(OR(sel_Region="All",C720=sel_Region),OR(sel_Country="All",D720=sel_Country),OR(sel_Channel="All",E720=sel_Channel),OR(sel_Category="All",G720=sel_Category),OR(sel_Product="All",H720=sel_Product),AND(S720&gt;=m_From,S720&lt;=m_To)),1,0)</f>
        <v/>
      </c>
      <c r="Y720" s="36">
        <f>IF(AND(OR(sel_Region="All",C720=sel_Region),OR(sel_Country="All",D720=sel_Country),OR(sel_Channel="All",E720=sel_Channel),OR(sel_Customer="All",F720=sel_Customer),OR(sel_Product="All",H720=sel_Product),AND(S720&gt;=m_From,S720&lt;=m_To)),1,0)</f>
        <v/>
      </c>
      <c r="Z720" s="36">
        <f>IF(AND(OR(sel_Region="All",C720=sel_Region),OR(sel_Country="All",D720=sel_Country),OR(sel_Channel="All",E720=sel_Channel),OR(sel_Customer="All",F720=sel_Customer),OR(sel_Category="All",G720=sel_Category),AND(S720&gt;=m_From,S720&lt;=m_To)),1,0)</f>
        <v/>
      </c>
      <c r="AA720" s="36">
        <f>IF(AND(OR(sel_Region="All",C720=sel_Region),OR(sel_Country="All",D720=sel_Country),OR(sel_Channel="All",E720=sel_Channel),OR(sel_Customer="All",F720=sel_Customer),OR(sel_Category="All",G720=sel_Category),OR(sel_Product="All",H720=sel_Product)),1,0)</f>
        <v/>
      </c>
    </row>
    <row r="721">
      <c r="A721" s="36" t="inlineStr">
        <is>
          <t>02657</t>
        </is>
      </c>
      <c r="B721" s="44" t="n">
        <v>46144</v>
      </c>
      <c r="C721" s="36" t="inlineStr">
        <is>
          <t>Southern Europe</t>
        </is>
      </c>
      <c r="D721" s="36" t="inlineStr">
        <is>
          <t>Spain</t>
        </is>
      </c>
      <c r="E721" s="36" t="inlineStr">
        <is>
          <t>Retail Partners</t>
        </is>
      </c>
      <c r="F721" s="36" t="inlineStr">
        <is>
          <t>New</t>
        </is>
      </c>
      <c r="G721" s="36" t="inlineStr">
        <is>
          <t>Hiking</t>
        </is>
      </c>
      <c r="H721" s="36" t="inlineStr">
        <is>
          <t>Trail Boots</t>
        </is>
      </c>
      <c r="I721" s="36" t="n">
        <v>1</v>
      </c>
      <c r="J721" s="39" t="n">
        <v>145.68</v>
      </c>
      <c r="K721" s="45" t="n">
        <v>0</v>
      </c>
      <c r="L721" s="39" t="n">
        <v>77.8</v>
      </c>
      <c r="M721" s="39">
        <f>I721*J721*(1-K721)</f>
        <v/>
      </c>
      <c r="N721" s="39">
        <f>I721*L721</f>
        <v/>
      </c>
      <c r="O721" s="39">
        <f>M721-N721</f>
        <v/>
      </c>
      <c r="P721" s="38">
        <f>IF(M721=0,0,O721/M721)</f>
        <v/>
      </c>
      <c r="Q721" s="36">
        <f>YEAR(B721)</f>
        <v/>
      </c>
      <c r="R721" s="36">
        <f>"Q"&amp;ROUNDUP(MONTH(B721)/3,0)</f>
        <v/>
      </c>
      <c r="S721" s="36">
        <f>MONTH(B721)</f>
        <v/>
      </c>
      <c r="T721" s="36">
        <f>TEXT(B721,"mmm")</f>
        <v/>
      </c>
      <c r="U721" s="36">
        <f>IF(AND(OR(sel_Region="All",C721=sel_Region),OR(sel_Country="All",D721=sel_Country),OR(sel_Channel="All",E721=sel_Channel),OR(sel_Customer="All",F721=sel_Customer),OR(sel_Category="All",G721=sel_Category),OR(sel_Product="All",H721=sel_Product),AND(S721&gt;=m_From,S721&lt;=m_To)),1,0)</f>
        <v/>
      </c>
      <c r="V721" s="36">
        <f>IF(AND(OR(sel_Region="All",C721=sel_Region),OR(sel_Channel="All",E721=sel_Channel),OR(sel_Customer="All",F721=sel_Customer),OR(sel_Category="All",G721=sel_Category),OR(sel_Product="All",H721=sel_Product),AND(S721&gt;=m_From,S721&lt;=m_To)),1,0)</f>
        <v/>
      </c>
      <c r="W721" s="36">
        <f>IF(AND(OR(sel_Region="All",C721=sel_Region),OR(sel_Country="All",D721=sel_Country),OR(sel_Customer="All",F721=sel_Customer),OR(sel_Category="All",G721=sel_Category),OR(sel_Product="All",H721=sel_Product),AND(S721&gt;=m_From,S721&lt;=m_To)),1,0)</f>
        <v/>
      </c>
      <c r="X721" s="36">
        <f>IF(AND(OR(sel_Region="All",C721=sel_Region),OR(sel_Country="All",D721=sel_Country),OR(sel_Channel="All",E721=sel_Channel),OR(sel_Category="All",G721=sel_Category),OR(sel_Product="All",H721=sel_Product),AND(S721&gt;=m_From,S721&lt;=m_To)),1,0)</f>
        <v/>
      </c>
      <c r="Y721" s="36">
        <f>IF(AND(OR(sel_Region="All",C721=sel_Region),OR(sel_Country="All",D721=sel_Country),OR(sel_Channel="All",E721=sel_Channel),OR(sel_Customer="All",F721=sel_Customer),OR(sel_Product="All",H721=sel_Product),AND(S721&gt;=m_From,S721&lt;=m_To)),1,0)</f>
        <v/>
      </c>
      <c r="Z721" s="36">
        <f>IF(AND(OR(sel_Region="All",C721=sel_Region),OR(sel_Country="All",D721=sel_Country),OR(sel_Channel="All",E721=sel_Channel),OR(sel_Customer="All",F721=sel_Customer),OR(sel_Category="All",G721=sel_Category),AND(S721&gt;=m_From,S721&lt;=m_To)),1,0)</f>
        <v/>
      </c>
      <c r="AA721" s="36">
        <f>IF(AND(OR(sel_Region="All",C721=sel_Region),OR(sel_Country="All",D721=sel_Country),OR(sel_Channel="All",E721=sel_Channel),OR(sel_Customer="All",F721=sel_Customer),OR(sel_Category="All",G721=sel_Category),OR(sel_Product="All",H721=sel_Product)),1,0)</f>
        <v/>
      </c>
    </row>
    <row r="722">
      <c r="A722" s="36" t="inlineStr">
        <is>
          <t>03238</t>
        </is>
      </c>
      <c r="B722" s="44" t="n">
        <v>46144</v>
      </c>
      <c r="C722" s="36" t="inlineStr">
        <is>
          <t>Western Europe</t>
        </is>
      </c>
      <c r="D722" s="36" t="inlineStr">
        <is>
          <t>United Kingdom</t>
        </is>
      </c>
      <c r="E722" s="36" t="inlineStr">
        <is>
          <t>Marketplace</t>
        </is>
      </c>
      <c r="F722" s="36" t="inlineStr">
        <is>
          <t>Returning</t>
        </is>
      </c>
      <c r="G722" s="36" t="inlineStr">
        <is>
          <t>Camping</t>
        </is>
      </c>
      <c r="H722" s="36" t="inlineStr">
        <is>
          <t>Portable Camp Stove</t>
        </is>
      </c>
      <c r="I722" s="36" t="n">
        <v>2</v>
      </c>
      <c r="J722" s="39" t="n">
        <v>82.65000000000001</v>
      </c>
      <c r="K722" s="45" t="n">
        <v>0.05</v>
      </c>
      <c r="L722" s="39" t="n">
        <v>40.46</v>
      </c>
      <c r="M722" s="39">
        <f>I722*J722*(1-K722)</f>
        <v/>
      </c>
      <c r="N722" s="39">
        <f>I722*L722</f>
        <v/>
      </c>
      <c r="O722" s="39">
        <f>M722-N722</f>
        <v/>
      </c>
      <c r="P722" s="38">
        <f>IF(M722=0,0,O722/M722)</f>
        <v/>
      </c>
      <c r="Q722" s="36">
        <f>YEAR(B722)</f>
        <v/>
      </c>
      <c r="R722" s="36">
        <f>"Q"&amp;ROUNDUP(MONTH(B722)/3,0)</f>
        <v/>
      </c>
      <c r="S722" s="36">
        <f>MONTH(B722)</f>
        <v/>
      </c>
      <c r="T722" s="36">
        <f>TEXT(B722,"mmm")</f>
        <v/>
      </c>
      <c r="U722" s="36">
        <f>IF(AND(OR(sel_Region="All",C722=sel_Region),OR(sel_Country="All",D722=sel_Country),OR(sel_Channel="All",E722=sel_Channel),OR(sel_Customer="All",F722=sel_Customer),OR(sel_Category="All",G722=sel_Category),OR(sel_Product="All",H722=sel_Product),AND(S722&gt;=m_From,S722&lt;=m_To)),1,0)</f>
        <v/>
      </c>
      <c r="V722" s="36">
        <f>IF(AND(OR(sel_Region="All",C722=sel_Region),OR(sel_Channel="All",E722=sel_Channel),OR(sel_Customer="All",F722=sel_Customer),OR(sel_Category="All",G722=sel_Category),OR(sel_Product="All",H722=sel_Product),AND(S722&gt;=m_From,S722&lt;=m_To)),1,0)</f>
        <v/>
      </c>
      <c r="W722" s="36">
        <f>IF(AND(OR(sel_Region="All",C722=sel_Region),OR(sel_Country="All",D722=sel_Country),OR(sel_Customer="All",F722=sel_Customer),OR(sel_Category="All",G722=sel_Category),OR(sel_Product="All",H722=sel_Product),AND(S722&gt;=m_From,S722&lt;=m_To)),1,0)</f>
        <v/>
      </c>
      <c r="X722" s="36">
        <f>IF(AND(OR(sel_Region="All",C722=sel_Region),OR(sel_Country="All",D722=sel_Country),OR(sel_Channel="All",E722=sel_Channel),OR(sel_Category="All",G722=sel_Category),OR(sel_Product="All",H722=sel_Product),AND(S722&gt;=m_From,S722&lt;=m_To)),1,0)</f>
        <v/>
      </c>
      <c r="Y722" s="36">
        <f>IF(AND(OR(sel_Region="All",C722=sel_Region),OR(sel_Country="All",D722=sel_Country),OR(sel_Channel="All",E722=sel_Channel),OR(sel_Customer="All",F722=sel_Customer),OR(sel_Product="All",H722=sel_Product),AND(S722&gt;=m_From,S722&lt;=m_To)),1,0)</f>
        <v/>
      </c>
      <c r="Z722" s="36">
        <f>IF(AND(OR(sel_Region="All",C722=sel_Region),OR(sel_Country="All",D722=sel_Country),OR(sel_Channel="All",E722=sel_Channel),OR(sel_Customer="All",F722=sel_Customer),OR(sel_Category="All",G722=sel_Category),AND(S722&gt;=m_From,S722&lt;=m_To)),1,0)</f>
        <v/>
      </c>
      <c r="AA722" s="36">
        <f>IF(AND(OR(sel_Region="All",C722=sel_Region),OR(sel_Country="All",D722=sel_Country),OR(sel_Channel="All",E722=sel_Channel),OR(sel_Customer="All",F722=sel_Customer),OR(sel_Category="All",G722=sel_Category),OR(sel_Product="All",H722=sel_Product)),1,0)</f>
        <v/>
      </c>
    </row>
    <row r="723">
      <c r="A723" s="36" t="inlineStr">
        <is>
          <t>03607</t>
        </is>
      </c>
      <c r="B723" s="44" t="n">
        <v>46144</v>
      </c>
      <c r="C723" s="36" t="inlineStr">
        <is>
          <t>Central Europe</t>
        </is>
      </c>
      <c r="D723" s="36" t="inlineStr">
        <is>
          <t>Austria</t>
        </is>
      </c>
      <c r="E723" s="36" t="inlineStr">
        <is>
          <t>Online Store</t>
        </is>
      </c>
      <c r="F723" s="36" t="inlineStr">
        <is>
          <t>Business</t>
        </is>
      </c>
      <c r="G723" s="36" t="inlineStr">
        <is>
          <t>Travel</t>
        </is>
      </c>
      <c r="H723" s="36" t="inlineStr">
        <is>
          <t>Insulated Bottle</t>
        </is>
      </c>
      <c r="I723" s="36" t="n">
        <v>1</v>
      </c>
      <c r="J723" s="39" t="n">
        <v>36.27</v>
      </c>
      <c r="K723" s="45" t="n">
        <v>0</v>
      </c>
      <c r="L723" s="39" t="n">
        <v>13.8</v>
      </c>
      <c r="M723" s="39">
        <f>I723*J723*(1-K723)</f>
        <v/>
      </c>
      <c r="N723" s="39">
        <f>I723*L723</f>
        <v/>
      </c>
      <c r="O723" s="39">
        <f>M723-N723</f>
        <v/>
      </c>
      <c r="P723" s="38">
        <f>IF(M723=0,0,O723/M723)</f>
        <v/>
      </c>
      <c r="Q723" s="36">
        <f>YEAR(B723)</f>
        <v/>
      </c>
      <c r="R723" s="36">
        <f>"Q"&amp;ROUNDUP(MONTH(B723)/3,0)</f>
        <v/>
      </c>
      <c r="S723" s="36">
        <f>MONTH(B723)</f>
        <v/>
      </c>
      <c r="T723" s="36">
        <f>TEXT(B723,"mmm")</f>
        <v/>
      </c>
      <c r="U723" s="36">
        <f>IF(AND(OR(sel_Region="All",C723=sel_Region),OR(sel_Country="All",D723=sel_Country),OR(sel_Channel="All",E723=sel_Channel),OR(sel_Customer="All",F723=sel_Customer),OR(sel_Category="All",G723=sel_Category),OR(sel_Product="All",H723=sel_Product),AND(S723&gt;=m_From,S723&lt;=m_To)),1,0)</f>
        <v/>
      </c>
      <c r="V723" s="36">
        <f>IF(AND(OR(sel_Region="All",C723=sel_Region),OR(sel_Channel="All",E723=sel_Channel),OR(sel_Customer="All",F723=sel_Customer),OR(sel_Category="All",G723=sel_Category),OR(sel_Product="All",H723=sel_Product),AND(S723&gt;=m_From,S723&lt;=m_To)),1,0)</f>
        <v/>
      </c>
      <c r="W723" s="36">
        <f>IF(AND(OR(sel_Region="All",C723=sel_Region),OR(sel_Country="All",D723=sel_Country),OR(sel_Customer="All",F723=sel_Customer),OR(sel_Category="All",G723=sel_Category),OR(sel_Product="All",H723=sel_Product),AND(S723&gt;=m_From,S723&lt;=m_To)),1,0)</f>
        <v/>
      </c>
      <c r="X723" s="36">
        <f>IF(AND(OR(sel_Region="All",C723=sel_Region),OR(sel_Country="All",D723=sel_Country),OR(sel_Channel="All",E723=sel_Channel),OR(sel_Category="All",G723=sel_Category),OR(sel_Product="All",H723=sel_Product),AND(S723&gt;=m_From,S723&lt;=m_To)),1,0)</f>
        <v/>
      </c>
      <c r="Y723" s="36">
        <f>IF(AND(OR(sel_Region="All",C723=sel_Region),OR(sel_Country="All",D723=sel_Country),OR(sel_Channel="All",E723=sel_Channel),OR(sel_Customer="All",F723=sel_Customer),OR(sel_Product="All",H723=sel_Product),AND(S723&gt;=m_From,S723&lt;=m_To)),1,0)</f>
        <v/>
      </c>
      <c r="Z723" s="36">
        <f>IF(AND(OR(sel_Region="All",C723=sel_Region),OR(sel_Country="All",D723=sel_Country),OR(sel_Channel="All",E723=sel_Channel),OR(sel_Customer="All",F723=sel_Customer),OR(sel_Category="All",G723=sel_Category),AND(S723&gt;=m_From,S723&lt;=m_To)),1,0)</f>
        <v/>
      </c>
      <c r="AA723" s="36">
        <f>IF(AND(OR(sel_Region="All",C723=sel_Region),OR(sel_Country="All",D723=sel_Country),OR(sel_Channel="All",E723=sel_Channel),OR(sel_Customer="All",F723=sel_Customer),OR(sel_Category="All",G723=sel_Category),OR(sel_Product="All",H723=sel_Product)),1,0)</f>
        <v/>
      </c>
    </row>
    <row r="724">
      <c r="A724" s="36" t="inlineStr">
        <is>
          <t>05070</t>
        </is>
      </c>
      <c r="B724" s="44" t="n">
        <v>46144</v>
      </c>
      <c r="C724" s="36" t="inlineStr">
        <is>
          <t>Northern Europe</t>
        </is>
      </c>
      <c r="D724" s="36" t="inlineStr">
        <is>
          <t>Norway</t>
        </is>
      </c>
      <c r="E724" s="36" t="inlineStr">
        <is>
          <t>Retail Partners</t>
        </is>
      </c>
      <c r="F724" s="36" t="inlineStr">
        <is>
          <t>New</t>
        </is>
      </c>
      <c r="G724" s="36" t="inlineStr">
        <is>
          <t>Camping</t>
        </is>
      </c>
      <c r="H724" s="36" t="inlineStr">
        <is>
          <t>Portable Camp Stove</t>
        </is>
      </c>
      <c r="I724" s="36" t="n">
        <v>1</v>
      </c>
      <c r="J724" s="39" t="n">
        <v>80.81999999999999</v>
      </c>
      <c r="K724" s="45" t="n">
        <v>0</v>
      </c>
      <c r="L724" s="39" t="n">
        <v>39.95</v>
      </c>
      <c r="M724" s="39">
        <f>I724*J724*(1-K724)</f>
        <v/>
      </c>
      <c r="N724" s="39">
        <f>I724*L724</f>
        <v/>
      </c>
      <c r="O724" s="39">
        <f>M724-N724</f>
        <v/>
      </c>
      <c r="P724" s="38">
        <f>IF(M724=0,0,O724/M724)</f>
        <v/>
      </c>
      <c r="Q724" s="36">
        <f>YEAR(B724)</f>
        <v/>
      </c>
      <c r="R724" s="36">
        <f>"Q"&amp;ROUNDUP(MONTH(B724)/3,0)</f>
        <v/>
      </c>
      <c r="S724" s="36">
        <f>MONTH(B724)</f>
        <v/>
      </c>
      <c r="T724" s="36">
        <f>TEXT(B724,"mmm")</f>
        <v/>
      </c>
      <c r="U724" s="36">
        <f>IF(AND(OR(sel_Region="All",C724=sel_Region),OR(sel_Country="All",D724=sel_Country),OR(sel_Channel="All",E724=sel_Channel),OR(sel_Customer="All",F724=sel_Customer),OR(sel_Category="All",G724=sel_Category),OR(sel_Product="All",H724=sel_Product),AND(S724&gt;=m_From,S724&lt;=m_To)),1,0)</f>
        <v/>
      </c>
      <c r="V724" s="36">
        <f>IF(AND(OR(sel_Region="All",C724=sel_Region),OR(sel_Channel="All",E724=sel_Channel),OR(sel_Customer="All",F724=sel_Customer),OR(sel_Category="All",G724=sel_Category),OR(sel_Product="All",H724=sel_Product),AND(S724&gt;=m_From,S724&lt;=m_To)),1,0)</f>
        <v/>
      </c>
      <c r="W724" s="36">
        <f>IF(AND(OR(sel_Region="All",C724=sel_Region),OR(sel_Country="All",D724=sel_Country),OR(sel_Customer="All",F724=sel_Customer),OR(sel_Category="All",G724=sel_Category),OR(sel_Product="All",H724=sel_Product),AND(S724&gt;=m_From,S724&lt;=m_To)),1,0)</f>
        <v/>
      </c>
      <c r="X724" s="36">
        <f>IF(AND(OR(sel_Region="All",C724=sel_Region),OR(sel_Country="All",D724=sel_Country),OR(sel_Channel="All",E724=sel_Channel),OR(sel_Category="All",G724=sel_Category),OR(sel_Product="All",H724=sel_Product),AND(S724&gt;=m_From,S724&lt;=m_To)),1,0)</f>
        <v/>
      </c>
      <c r="Y724" s="36">
        <f>IF(AND(OR(sel_Region="All",C724=sel_Region),OR(sel_Country="All",D724=sel_Country),OR(sel_Channel="All",E724=sel_Channel),OR(sel_Customer="All",F724=sel_Customer),OR(sel_Product="All",H724=sel_Product),AND(S724&gt;=m_From,S724&lt;=m_To)),1,0)</f>
        <v/>
      </c>
      <c r="Z724" s="36">
        <f>IF(AND(OR(sel_Region="All",C724=sel_Region),OR(sel_Country="All",D724=sel_Country),OR(sel_Channel="All",E724=sel_Channel),OR(sel_Customer="All",F724=sel_Customer),OR(sel_Category="All",G724=sel_Category),AND(S724&gt;=m_From,S724&lt;=m_To)),1,0)</f>
        <v/>
      </c>
      <c r="AA724" s="36">
        <f>IF(AND(OR(sel_Region="All",C724=sel_Region),OR(sel_Country="All",D724=sel_Country),OR(sel_Channel="All",E724=sel_Channel),OR(sel_Customer="All",F724=sel_Customer),OR(sel_Category="All",G724=sel_Category),OR(sel_Product="All",H724=sel_Product)),1,0)</f>
        <v/>
      </c>
    </row>
    <row r="725">
      <c r="A725" s="36" t="inlineStr">
        <is>
          <t>05171</t>
        </is>
      </c>
      <c r="B725" s="44" t="n">
        <v>46144</v>
      </c>
      <c r="C725" s="36" t="inlineStr">
        <is>
          <t>Central Europe</t>
        </is>
      </c>
      <c r="D725" s="36" t="inlineStr">
        <is>
          <t>Czechia</t>
        </is>
      </c>
      <c r="E725" s="36" t="inlineStr">
        <is>
          <t>Retail Partners</t>
        </is>
      </c>
      <c r="F725" s="36" t="inlineStr">
        <is>
          <t>New</t>
        </is>
      </c>
      <c r="G725" s="36" t="inlineStr">
        <is>
          <t>Hiking</t>
        </is>
      </c>
      <c r="H725" s="36" t="inlineStr">
        <is>
          <t>Summit Backpack 45L</t>
        </is>
      </c>
      <c r="I725" s="36" t="n">
        <v>2</v>
      </c>
      <c r="J725" s="39" t="n">
        <v>157.84</v>
      </c>
      <c r="K725" s="45" t="n">
        <v>0.1</v>
      </c>
      <c r="L725" s="39" t="n">
        <v>79.28</v>
      </c>
      <c r="M725" s="39">
        <f>I725*J725*(1-K725)</f>
        <v/>
      </c>
      <c r="N725" s="39">
        <f>I725*L725</f>
        <v/>
      </c>
      <c r="O725" s="39">
        <f>M725-N725</f>
        <v/>
      </c>
      <c r="P725" s="38">
        <f>IF(M725=0,0,O725/M725)</f>
        <v/>
      </c>
      <c r="Q725" s="36">
        <f>YEAR(B725)</f>
        <v/>
      </c>
      <c r="R725" s="36">
        <f>"Q"&amp;ROUNDUP(MONTH(B725)/3,0)</f>
        <v/>
      </c>
      <c r="S725" s="36">
        <f>MONTH(B725)</f>
        <v/>
      </c>
      <c r="T725" s="36">
        <f>TEXT(B725,"mmm")</f>
        <v/>
      </c>
      <c r="U725" s="36">
        <f>IF(AND(OR(sel_Region="All",C725=sel_Region),OR(sel_Country="All",D725=sel_Country),OR(sel_Channel="All",E725=sel_Channel),OR(sel_Customer="All",F725=sel_Customer),OR(sel_Category="All",G725=sel_Category),OR(sel_Product="All",H725=sel_Product),AND(S725&gt;=m_From,S725&lt;=m_To)),1,0)</f>
        <v/>
      </c>
      <c r="V725" s="36">
        <f>IF(AND(OR(sel_Region="All",C725=sel_Region),OR(sel_Channel="All",E725=sel_Channel),OR(sel_Customer="All",F725=sel_Customer),OR(sel_Category="All",G725=sel_Category),OR(sel_Product="All",H725=sel_Product),AND(S725&gt;=m_From,S725&lt;=m_To)),1,0)</f>
        <v/>
      </c>
      <c r="W725" s="36">
        <f>IF(AND(OR(sel_Region="All",C725=sel_Region),OR(sel_Country="All",D725=sel_Country),OR(sel_Customer="All",F725=sel_Customer),OR(sel_Category="All",G725=sel_Category),OR(sel_Product="All",H725=sel_Product),AND(S725&gt;=m_From,S725&lt;=m_To)),1,0)</f>
        <v/>
      </c>
      <c r="X725" s="36">
        <f>IF(AND(OR(sel_Region="All",C725=sel_Region),OR(sel_Country="All",D725=sel_Country),OR(sel_Channel="All",E725=sel_Channel),OR(sel_Category="All",G725=sel_Category),OR(sel_Product="All",H725=sel_Product),AND(S725&gt;=m_From,S725&lt;=m_To)),1,0)</f>
        <v/>
      </c>
      <c r="Y725" s="36">
        <f>IF(AND(OR(sel_Region="All",C725=sel_Region),OR(sel_Country="All",D725=sel_Country),OR(sel_Channel="All",E725=sel_Channel),OR(sel_Customer="All",F725=sel_Customer),OR(sel_Product="All",H725=sel_Product),AND(S725&gt;=m_From,S725&lt;=m_To)),1,0)</f>
        <v/>
      </c>
      <c r="Z725" s="36">
        <f>IF(AND(OR(sel_Region="All",C725=sel_Region),OR(sel_Country="All",D725=sel_Country),OR(sel_Channel="All",E725=sel_Channel),OR(sel_Customer="All",F725=sel_Customer),OR(sel_Category="All",G725=sel_Category),AND(S725&gt;=m_From,S725&lt;=m_To)),1,0)</f>
        <v/>
      </c>
      <c r="AA725" s="36">
        <f>IF(AND(OR(sel_Region="All",C725=sel_Region),OR(sel_Country="All",D725=sel_Country),OR(sel_Channel="All",E725=sel_Channel),OR(sel_Customer="All",F725=sel_Customer),OR(sel_Category="All",G725=sel_Category),OR(sel_Product="All",H725=sel_Product)),1,0)</f>
        <v/>
      </c>
    </row>
    <row r="726">
      <c r="A726" s="36" t="inlineStr">
        <is>
          <t>00617</t>
        </is>
      </c>
      <c r="B726" s="44" t="n">
        <v>46145</v>
      </c>
      <c r="C726" s="36" t="inlineStr">
        <is>
          <t>Central Europe</t>
        </is>
      </c>
      <c r="D726" s="36" t="inlineStr">
        <is>
          <t>Poland</t>
        </is>
      </c>
      <c r="E726" s="36" t="inlineStr">
        <is>
          <t>Marketplace</t>
        </is>
      </c>
      <c r="F726" s="36" t="inlineStr">
        <is>
          <t>Returning</t>
        </is>
      </c>
      <c r="G726" s="36" t="inlineStr">
        <is>
          <t>Fitness</t>
        </is>
      </c>
      <c r="H726" s="36" t="inlineStr">
        <is>
          <t>Recovery Roller</t>
        </is>
      </c>
      <c r="I726" s="36" t="n">
        <v>4</v>
      </c>
      <c r="J726" s="39" t="n">
        <v>36.91</v>
      </c>
      <c r="K726" s="45" t="n">
        <v>0.1</v>
      </c>
      <c r="L726" s="39" t="n">
        <v>13.85</v>
      </c>
      <c r="M726" s="39">
        <f>I726*J726*(1-K726)</f>
        <v/>
      </c>
      <c r="N726" s="39">
        <f>I726*L726</f>
        <v/>
      </c>
      <c r="O726" s="39">
        <f>M726-N726</f>
        <v/>
      </c>
      <c r="P726" s="38">
        <f>IF(M726=0,0,O726/M726)</f>
        <v/>
      </c>
      <c r="Q726" s="36">
        <f>YEAR(B726)</f>
        <v/>
      </c>
      <c r="R726" s="36">
        <f>"Q"&amp;ROUNDUP(MONTH(B726)/3,0)</f>
        <v/>
      </c>
      <c r="S726" s="36">
        <f>MONTH(B726)</f>
        <v/>
      </c>
      <c r="T726" s="36">
        <f>TEXT(B726,"mmm")</f>
        <v/>
      </c>
      <c r="U726" s="36">
        <f>IF(AND(OR(sel_Region="All",C726=sel_Region),OR(sel_Country="All",D726=sel_Country),OR(sel_Channel="All",E726=sel_Channel),OR(sel_Customer="All",F726=sel_Customer),OR(sel_Category="All",G726=sel_Category),OR(sel_Product="All",H726=sel_Product),AND(S726&gt;=m_From,S726&lt;=m_To)),1,0)</f>
        <v/>
      </c>
      <c r="V726" s="36">
        <f>IF(AND(OR(sel_Region="All",C726=sel_Region),OR(sel_Channel="All",E726=sel_Channel),OR(sel_Customer="All",F726=sel_Customer),OR(sel_Category="All",G726=sel_Category),OR(sel_Product="All",H726=sel_Product),AND(S726&gt;=m_From,S726&lt;=m_To)),1,0)</f>
        <v/>
      </c>
      <c r="W726" s="36">
        <f>IF(AND(OR(sel_Region="All",C726=sel_Region),OR(sel_Country="All",D726=sel_Country),OR(sel_Customer="All",F726=sel_Customer),OR(sel_Category="All",G726=sel_Category),OR(sel_Product="All",H726=sel_Product),AND(S726&gt;=m_From,S726&lt;=m_To)),1,0)</f>
        <v/>
      </c>
      <c r="X726" s="36">
        <f>IF(AND(OR(sel_Region="All",C726=sel_Region),OR(sel_Country="All",D726=sel_Country),OR(sel_Channel="All",E726=sel_Channel),OR(sel_Category="All",G726=sel_Category),OR(sel_Product="All",H726=sel_Product),AND(S726&gt;=m_From,S726&lt;=m_To)),1,0)</f>
        <v/>
      </c>
      <c r="Y726" s="36">
        <f>IF(AND(OR(sel_Region="All",C726=sel_Region),OR(sel_Country="All",D726=sel_Country),OR(sel_Channel="All",E726=sel_Channel),OR(sel_Customer="All",F726=sel_Customer),OR(sel_Product="All",H726=sel_Product),AND(S726&gt;=m_From,S726&lt;=m_To)),1,0)</f>
        <v/>
      </c>
      <c r="Z726" s="36">
        <f>IF(AND(OR(sel_Region="All",C726=sel_Region),OR(sel_Country="All",D726=sel_Country),OR(sel_Channel="All",E726=sel_Channel),OR(sel_Customer="All",F726=sel_Customer),OR(sel_Category="All",G726=sel_Category),AND(S726&gt;=m_From,S726&lt;=m_To)),1,0)</f>
        <v/>
      </c>
      <c r="AA726" s="36">
        <f>IF(AND(OR(sel_Region="All",C726=sel_Region),OR(sel_Country="All",D726=sel_Country),OR(sel_Channel="All",E726=sel_Channel),OR(sel_Customer="All",F726=sel_Customer),OR(sel_Category="All",G726=sel_Category),OR(sel_Product="All",H726=sel_Product)),1,0)</f>
        <v/>
      </c>
    </row>
    <row r="727">
      <c r="A727" s="36" t="inlineStr">
        <is>
          <t>00849</t>
        </is>
      </c>
      <c r="B727" s="44" t="n">
        <v>46145</v>
      </c>
      <c r="C727" s="36" t="inlineStr">
        <is>
          <t>Central Europe</t>
        </is>
      </c>
      <c r="D727" s="36" t="inlineStr">
        <is>
          <t>Poland</t>
        </is>
      </c>
      <c r="E727" s="36" t="inlineStr">
        <is>
          <t>Corporate</t>
        </is>
      </c>
      <c r="F727" s="36" t="inlineStr">
        <is>
          <t>Business</t>
        </is>
      </c>
      <c r="G727" s="36" t="inlineStr">
        <is>
          <t>Camping</t>
        </is>
      </c>
      <c r="H727" s="36" t="inlineStr">
        <is>
          <t>Trail Tent 2P</t>
        </is>
      </c>
      <c r="I727" s="36" t="n">
        <v>3</v>
      </c>
      <c r="J727" s="39" t="n">
        <v>193.18</v>
      </c>
      <c r="K727" s="45" t="n">
        <v>0.1</v>
      </c>
      <c r="L727" s="39" t="n">
        <v>102.31</v>
      </c>
      <c r="M727" s="39">
        <f>I727*J727*(1-K727)</f>
        <v/>
      </c>
      <c r="N727" s="39">
        <f>I727*L727</f>
        <v/>
      </c>
      <c r="O727" s="39">
        <f>M727-N727</f>
        <v/>
      </c>
      <c r="P727" s="38">
        <f>IF(M727=0,0,O727/M727)</f>
        <v/>
      </c>
      <c r="Q727" s="36">
        <f>YEAR(B727)</f>
        <v/>
      </c>
      <c r="R727" s="36">
        <f>"Q"&amp;ROUNDUP(MONTH(B727)/3,0)</f>
        <v/>
      </c>
      <c r="S727" s="36">
        <f>MONTH(B727)</f>
        <v/>
      </c>
      <c r="T727" s="36">
        <f>TEXT(B727,"mmm")</f>
        <v/>
      </c>
      <c r="U727" s="36">
        <f>IF(AND(OR(sel_Region="All",C727=sel_Region),OR(sel_Country="All",D727=sel_Country),OR(sel_Channel="All",E727=sel_Channel),OR(sel_Customer="All",F727=sel_Customer),OR(sel_Category="All",G727=sel_Category),OR(sel_Product="All",H727=sel_Product),AND(S727&gt;=m_From,S727&lt;=m_To)),1,0)</f>
        <v/>
      </c>
      <c r="V727" s="36">
        <f>IF(AND(OR(sel_Region="All",C727=sel_Region),OR(sel_Channel="All",E727=sel_Channel),OR(sel_Customer="All",F727=sel_Customer),OR(sel_Category="All",G727=sel_Category),OR(sel_Product="All",H727=sel_Product),AND(S727&gt;=m_From,S727&lt;=m_To)),1,0)</f>
        <v/>
      </c>
      <c r="W727" s="36">
        <f>IF(AND(OR(sel_Region="All",C727=sel_Region),OR(sel_Country="All",D727=sel_Country),OR(sel_Customer="All",F727=sel_Customer),OR(sel_Category="All",G727=sel_Category),OR(sel_Product="All",H727=sel_Product),AND(S727&gt;=m_From,S727&lt;=m_To)),1,0)</f>
        <v/>
      </c>
      <c r="X727" s="36">
        <f>IF(AND(OR(sel_Region="All",C727=sel_Region),OR(sel_Country="All",D727=sel_Country),OR(sel_Channel="All",E727=sel_Channel),OR(sel_Category="All",G727=sel_Category),OR(sel_Product="All",H727=sel_Product),AND(S727&gt;=m_From,S727&lt;=m_To)),1,0)</f>
        <v/>
      </c>
      <c r="Y727" s="36">
        <f>IF(AND(OR(sel_Region="All",C727=sel_Region),OR(sel_Country="All",D727=sel_Country),OR(sel_Channel="All",E727=sel_Channel),OR(sel_Customer="All",F727=sel_Customer),OR(sel_Product="All",H727=sel_Product),AND(S727&gt;=m_From,S727&lt;=m_To)),1,0)</f>
        <v/>
      </c>
      <c r="Z727" s="36">
        <f>IF(AND(OR(sel_Region="All",C727=sel_Region),OR(sel_Country="All",D727=sel_Country),OR(sel_Channel="All",E727=sel_Channel),OR(sel_Customer="All",F727=sel_Customer),OR(sel_Category="All",G727=sel_Category),AND(S727&gt;=m_From,S727&lt;=m_To)),1,0)</f>
        <v/>
      </c>
      <c r="AA727" s="36">
        <f>IF(AND(OR(sel_Region="All",C727=sel_Region),OR(sel_Country="All",D727=sel_Country),OR(sel_Channel="All",E727=sel_Channel),OR(sel_Customer="All",F727=sel_Customer),OR(sel_Category="All",G727=sel_Category),OR(sel_Product="All",H727=sel_Product)),1,0)</f>
        <v/>
      </c>
    </row>
    <row r="728">
      <c r="A728" s="36" t="inlineStr">
        <is>
          <t>00956</t>
        </is>
      </c>
      <c r="B728" s="44" t="n">
        <v>46145</v>
      </c>
      <c r="C728" s="36" t="inlineStr">
        <is>
          <t>Southern Europe</t>
        </is>
      </c>
      <c r="D728" s="36" t="inlineStr">
        <is>
          <t>Italy</t>
        </is>
      </c>
      <c r="E728" s="36" t="inlineStr">
        <is>
          <t>Online Store</t>
        </is>
      </c>
      <c r="F728" s="36" t="inlineStr">
        <is>
          <t>Business</t>
        </is>
      </c>
      <c r="G728" s="36" t="inlineStr">
        <is>
          <t>Hiking</t>
        </is>
      </c>
      <c r="H728" s="36" t="inlineStr">
        <is>
          <t>Summit Backpack 45L</t>
        </is>
      </c>
      <c r="I728" s="36" t="n">
        <v>1</v>
      </c>
      <c r="J728" s="39" t="n">
        <v>157.59</v>
      </c>
      <c r="K728" s="45" t="n">
        <v>0.05</v>
      </c>
      <c r="L728" s="39" t="n">
        <v>77.59999999999999</v>
      </c>
      <c r="M728" s="39">
        <f>I728*J728*(1-K728)</f>
        <v/>
      </c>
      <c r="N728" s="39">
        <f>I728*L728</f>
        <v/>
      </c>
      <c r="O728" s="39">
        <f>M728-N728</f>
        <v/>
      </c>
      <c r="P728" s="38">
        <f>IF(M728=0,0,O728/M728)</f>
        <v/>
      </c>
      <c r="Q728" s="36">
        <f>YEAR(B728)</f>
        <v/>
      </c>
      <c r="R728" s="36">
        <f>"Q"&amp;ROUNDUP(MONTH(B728)/3,0)</f>
        <v/>
      </c>
      <c r="S728" s="36">
        <f>MONTH(B728)</f>
        <v/>
      </c>
      <c r="T728" s="36">
        <f>TEXT(B728,"mmm")</f>
        <v/>
      </c>
      <c r="U728" s="36">
        <f>IF(AND(OR(sel_Region="All",C728=sel_Region),OR(sel_Country="All",D728=sel_Country),OR(sel_Channel="All",E728=sel_Channel),OR(sel_Customer="All",F728=sel_Customer),OR(sel_Category="All",G728=sel_Category),OR(sel_Product="All",H728=sel_Product),AND(S728&gt;=m_From,S728&lt;=m_To)),1,0)</f>
        <v/>
      </c>
      <c r="V728" s="36">
        <f>IF(AND(OR(sel_Region="All",C728=sel_Region),OR(sel_Channel="All",E728=sel_Channel),OR(sel_Customer="All",F728=sel_Customer),OR(sel_Category="All",G728=sel_Category),OR(sel_Product="All",H728=sel_Product),AND(S728&gt;=m_From,S728&lt;=m_To)),1,0)</f>
        <v/>
      </c>
      <c r="W728" s="36">
        <f>IF(AND(OR(sel_Region="All",C728=sel_Region),OR(sel_Country="All",D728=sel_Country),OR(sel_Customer="All",F728=sel_Customer),OR(sel_Category="All",G728=sel_Category),OR(sel_Product="All",H728=sel_Product),AND(S728&gt;=m_From,S728&lt;=m_To)),1,0)</f>
        <v/>
      </c>
      <c r="X728" s="36">
        <f>IF(AND(OR(sel_Region="All",C728=sel_Region),OR(sel_Country="All",D728=sel_Country),OR(sel_Channel="All",E728=sel_Channel),OR(sel_Category="All",G728=sel_Category),OR(sel_Product="All",H728=sel_Product),AND(S728&gt;=m_From,S728&lt;=m_To)),1,0)</f>
        <v/>
      </c>
      <c r="Y728" s="36">
        <f>IF(AND(OR(sel_Region="All",C728=sel_Region),OR(sel_Country="All",D728=sel_Country),OR(sel_Channel="All",E728=sel_Channel),OR(sel_Customer="All",F728=sel_Customer),OR(sel_Product="All",H728=sel_Product),AND(S728&gt;=m_From,S728&lt;=m_To)),1,0)</f>
        <v/>
      </c>
      <c r="Z728" s="36">
        <f>IF(AND(OR(sel_Region="All",C728=sel_Region),OR(sel_Country="All",D728=sel_Country),OR(sel_Channel="All",E728=sel_Channel),OR(sel_Customer="All",F728=sel_Customer),OR(sel_Category="All",G728=sel_Category),AND(S728&gt;=m_From,S728&lt;=m_To)),1,0)</f>
        <v/>
      </c>
      <c r="AA728" s="36">
        <f>IF(AND(OR(sel_Region="All",C728=sel_Region),OR(sel_Country="All",D728=sel_Country),OR(sel_Channel="All",E728=sel_Channel),OR(sel_Customer="All",F728=sel_Customer),OR(sel_Category="All",G728=sel_Category),OR(sel_Product="All",H728=sel_Product)),1,0)</f>
        <v/>
      </c>
    </row>
    <row r="729">
      <c r="A729" s="36" t="inlineStr">
        <is>
          <t>01896</t>
        </is>
      </c>
      <c r="B729" s="44" t="n">
        <v>46145</v>
      </c>
      <c r="C729" s="36" t="inlineStr">
        <is>
          <t>Central Europe</t>
        </is>
      </c>
      <c r="D729" s="36" t="inlineStr">
        <is>
          <t>Germany</t>
        </is>
      </c>
      <c r="E729" s="36" t="inlineStr">
        <is>
          <t>Marketplace</t>
        </is>
      </c>
      <c r="F729" s="36" t="inlineStr">
        <is>
          <t>New</t>
        </is>
      </c>
      <c r="G729" s="36" t="inlineStr">
        <is>
          <t>Fitness</t>
        </is>
      </c>
      <c r="H729" s="36" t="inlineStr">
        <is>
          <t>Training Mat</t>
        </is>
      </c>
      <c r="I729" s="36" t="n">
        <v>2</v>
      </c>
      <c r="J729" s="39" t="n">
        <v>49.97</v>
      </c>
      <c r="K729" s="45" t="n">
        <v>0</v>
      </c>
      <c r="L729" s="39" t="n">
        <v>22.63</v>
      </c>
      <c r="M729" s="39">
        <f>I729*J729*(1-K729)</f>
        <v/>
      </c>
      <c r="N729" s="39">
        <f>I729*L729</f>
        <v/>
      </c>
      <c r="O729" s="39">
        <f>M729-N729</f>
        <v/>
      </c>
      <c r="P729" s="38">
        <f>IF(M729=0,0,O729/M729)</f>
        <v/>
      </c>
      <c r="Q729" s="36">
        <f>YEAR(B729)</f>
        <v/>
      </c>
      <c r="R729" s="36">
        <f>"Q"&amp;ROUNDUP(MONTH(B729)/3,0)</f>
        <v/>
      </c>
      <c r="S729" s="36">
        <f>MONTH(B729)</f>
        <v/>
      </c>
      <c r="T729" s="36">
        <f>TEXT(B729,"mmm")</f>
        <v/>
      </c>
      <c r="U729" s="36">
        <f>IF(AND(OR(sel_Region="All",C729=sel_Region),OR(sel_Country="All",D729=sel_Country),OR(sel_Channel="All",E729=sel_Channel),OR(sel_Customer="All",F729=sel_Customer),OR(sel_Category="All",G729=sel_Category),OR(sel_Product="All",H729=sel_Product),AND(S729&gt;=m_From,S729&lt;=m_To)),1,0)</f>
        <v/>
      </c>
      <c r="V729" s="36">
        <f>IF(AND(OR(sel_Region="All",C729=sel_Region),OR(sel_Channel="All",E729=sel_Channel),OR(sel_Customer="All",F729=sel_Customer),OR(sel_Category="All",G729=sel_Category),OR(sel_Product="All",H729=sel_Product),AND(S729&gt;=m_From,S729&lt;=m_To)),1,0)</f>
        <v/>
      </c>
      <c r="W729" s="36">
        <f>IF(AND(OR(sel_Region="All",C729=sel_Region),OR(sel_Country="All",D729=sel_Country),OR(sel_Customer="All",F729=sel_Customer),OR(sel_Category="All",G729=sel_Category),OR(sel_Product="All",H729=sel_Product),AND(S729&gt;=m_From,S729&lt;=m_To)),1,0)</f>
        <v/>
      </c>
      <c r="X729" s="36">
        <f>IF(AND(OR(sel_Region="All",C729=sel_Region),OR(sel_Country="All",D729=sel_Country),OR(sel_Channel="All",E729=sel_Channel),OR(sel_Category="All",G729=sel_Category),OR(sel_Product="All",H729=sel_Product),AND(S729&gt;=m_From,S729&lt;=m_To)),1,0)</f>
        <v/>
      </c>
      <c r="Y729" s="36">
        <f>IF(AND(OR(sel_Region="All",C729=sel_Region),OR(sel_Country="All",D729=sel_Country),OR(sel_Channel="All",E729=sel_Channel),OR(sel_Customer="All",F729=sel_Customer),OR(sel_Product="All",H729=sel_Product),AND(S729&gt;=m_From,S729&lt;=m_To)),1,0)</f>
        <v/>
      </c>
      <c r="Z729" s="36">
        <f>IF(AND(OR(sel_Region="All",C729=sel_Region),OR(sel_Country="All",D729=sel_Country),OR(sel_Channel="All",E729=sel_Channel),OR(sel_Customer="All",F729=sel_Customer),OR(sel_Category="All",G729=sel_Category),AND(S729&gt;=m_From,S729&lt;=m_To)),1,0)</f>
        <v/>
      </c>
      <c r="AA729" s="36">
        <f>IF(AND(OR(sel_Region="All",C729=sel_Region),OR(sel_Country="All",D729=sel_Country),OR(sel_Channel="All",E729=sel_Channel),OR(sel_Customer="All",F729=sel_Customer),OR(sel_Category="All",G729=sel_Category),OR(sel_Product="All",H729=sel_Product)),1,0)</f>
        <v/>
      </c>
    </row>
    <row r="730">
      <c r="A730" s="36" t="inlineStr">
        <is>
          <t>02317</t>
        </is>
      </c>
      <c r="B730" s="44" t="n">
        <v>46145</v>
      </c>
      <c r="C730" s="36" t="inlineStr">
        <is>
          <t>Southern Europe</t>
        </is>
      </c>
      <c r="D730" s="36" t="inlineStr">
        <is>
          <t>Italy</t>
        </is>
      </c>
      <c r="E730" s="36" t="inlineStr">
        <is>
          <t>Corporate</t>
        </is>
      </c>
      <c r="F730" s="36" t="inlineStr">
        <is>
          <t>Business</t>
        </is>
      </c>
      <c r="G730" s="36" t="inlineStr">
        <is>
          <t>Hiking</t>
        </is>
      </c>
      <c r="H730" s="36" t="inlineStr">
        <is>
          <t>Summit Backpack 45L</t>
        </is>
      </c>
      <c r="I730" s="36" t="n">
        <v>5</v>
      </c>
      <c r="J730" s="39" t="n">
        <v>155.54</v>
      </c>
      <c r="K730" s="45" t="n">
        <v>0.1</v>
      </c>
      <c r="L730" s="39" t="n">
        <v>78.02</v>
      </c>
      <c r="M730" s="39">
        <f>I730*J730*(1-K730)</f>
        <v/>
      </c>
      <c r="N730" s="39">
        <f>I730*L730</f>
        <v/>
      </c>
      <c r="O730" s="39">
        <f>M730-N730</f>
        <v/>
      </c>
      <c r="P730" s="38">
        <f>IF(M730=0,0,O730/M730)</f>
        <v/>
      </c>
      <c r="Q730" s="36">
        <f>YEAR(B730)</f>
        <v/>
      </c>
      <c r="R730" s="36">
        <f>"Q"&amp;ROUNDUP(MONTH(B730)/3,0)</f>
        <v/>
      </c>
      <c r="S730" s="36">
        <f>MONTH(B730)</f>
        <v/>
      </c>
      <c r="T730" s="36">
        <f>TEXT(B730,"mmm")</f>
        <v/>
      </c>
      <c r="U730" s="36">
        <f>IF(AND(OR(sel_Region="All",C730=sel_Region),OR(sel_Country="All",D730=sel_Country),OR(sel_Channel="All",E730=sel_Channel),OR(sel_Customer="All",F730=sel_Customer),OR(sel_Category="All",G730=sel_Category),OR(sel_Product="All",H730=sel_Product),AND(S730&gt;=m_From,S730&lt;=m_To)),1,0)</f>
        <v/>
      </c>
      <c r="V730" s="36">
        <f>IF(AND(OR(sel_Region="All",C730=sel_Region),OR(sel_Channel="All",E730=sel_Channel),OR(sel_Customer="All",F730=sel_Customer),OR(sel_Category="All",G730=sel_Category),OR(sel_Product="All",H730=sel_Product),AND(S730&gt;=m_From,S730&lt;=m_To)),1,0)</f>
        <v/>
      </c>
      <c r="W730" s="36">
        <f>IF(AND(OR(sel_Region="All",C730=sel_Region),OR(sel_Country="All",D730=sel_Country),OR(sel_Customer="All",F730=sel_Customer),OR(sel_Category="All",G730=sel_Category),OR(sel_Product="All",H730=sel_Product),AND(S730&gt;=m_From,S730&lt;=m_To)),1,0)</f>
        <v/>
      </c>
      <c r="X730" s="36">
        <f>IF(AND(OR(sel_Region="All",C730=sel_Region),OR(sel_Country="All",D730=sel_Country),OR(sel_Channel="All",E730=sel_Channel),OR(sel_Category="All",G730=sel_Category),OR(sel_Product="All",H730=sel_Product),AND(S730&gt;=m_From,S730&lt;=m_To)),1,0)</f>
        <v/>
      </c>
      <c r="Y730" s="36">
        <f>IF(AND(OR(sel_Region="All",C730=sel_Region),OR(sel_Country="All",D730=sel_Country),OR(sel_Channel="All",E730=sel_Channel),OR(sel_Customer="All",F730=sel_Customer),OR(sel_Product="All",H730=sel_Product),AND(S730&gt;=m_From,S730&lt;=m_To)),1,0)</f>
        <v/>
      </c>
      <c r="Z730" s="36">
        <f>IF(AND(OR(sel_Region="All",C730=sel_Region),OR(sel_Country="All",D730=sel_Country),OR(sel_Channel="All",E730=sel_Channel),OR(sel_Customer="All",F730=sel_Customer),OR(sel_Category="All",G730=sel_Category),AND(S730&gt;=m_From,S730&lt;=m_To)),1,0)</f>
        <v/>
      </c>
      <c r="AA730" s="36">
        <f>IF(AND(OR(sel_Region="All",C730=sel_Region),OR(sel_Country="All",D730=sel_Country),OR(sel_Channel="All",E730=sel_Channel),OR(sel_Customer="All",F730=sel_Customer),OR(sel_Category="All",G730=sel_Category),OR(sel_Product="All",H730=sel_Product)),1,0)</f>
        <v/>
      </c>
    </row>
    <row r="731">
      <c r="A731" s="36" t="inlineStr">
        <is>
          <t>02542</t>
        </is>
      </c>
      <c r="B731" s="44" t="n">
        <v>46145</v>
      </c>
      <c r="C731" s="36" t="inlineStr">
        <is>
          <t>Western Europe</t>
        </is>
      </c>
      <c r="D731" s="36" t="inlineStr">
        <is>
          <t>United Kingdom</t>
        </is>
      </c>
      <c r="E731" s="36" t="inlineStr">
        <is>
          <t>Retail Partners</t>
        </is>
      </c>
      <c r="F731" s="36" t="inlineStr">
        <is>
          <t>New</t>
        </is>
      </c>
      <c r="G731" s="36" t="inlineStr">
        <is>
          <t>Travel</t>
        </is>
      </c>
      <c r="H731" s="36" t="inlineStr">
        <is>
          <t>Carry-On Duffel</t>
        </is>
      </c>
      <c r="I731" s="36" t="n">
        <v>1</v>
      </c>
      <c r="J731" s="39" t="n">
        <v>131.13</v>
      </c>
      <c r="K731" s="45" t="n">
        <v>0.05</v>
      </c>
      <c r="L731" s="39" t="n">
        <v>67.01000000000001</v>
      </c>
      <c r="M731" s="39">
        <f>I731*J731*(1-K731)</f>
        <v/>
      </c>
      <c r="N731" s="39">
        <f>I731*L731</f>
        <v/>
      </c>
      <c r="O731" s="39">
        <f>M731-N731</f>
        <v/>
      </c>
      <c r="P731" s="38">
        <f>IF(M731=0,0,O731/M731)</f>
        <v/>
      </c>
      <c r="Q731" s="36">
        <f>YEAR(B731)</f>
        <v/>
      </c>
      <c r="R731" s="36">
        <f>"Q"&amp;ROUNDUP(MONTH(B731)/3,0)</f>
        <v/>
      </c>
      <c r="S731" s="36">
        <f>MONTH(B731)</f>
        <v/>
      </c>
      <c r="T731" s="36">
        <f>TEXT(B731,"mmm")</f>
        <v/>
      </c>
      <c r="U731" s="36">
        <f>IF(AND(OR(sel_Region="All",C731=sel_Region),OR(sel_Country="All",D731=sel_Country),OR(sel_Channel="All",E731=sel_Channel),OR(sel_Customer="All",F731=sel_Customer),OR(sel_Category="All",G731=sel_Category),OR(sel_Product="All",H731=sel_Product),AND(S731&gt;=m_From,S731&lt;=m_To)),1,0)</f>
        <v/>
      </c>
      <c r="V731" s="36">
        <f>IF(AND(OR(sel_Region="All",C731=sel_Region),OR(sel_Channel="All",E731=sel_Channel),OR(sel_Customer="All",F731=sel_Customer),OR(sel_Category="All",G731=sel_Category),OR(sel_Product="All",H731=sel_Product),AND(S731&gt;=m_From,S731&lt;=m_To)),1,0)</f>
        <v/>
      </c>
      <c r="W731" s="36">
        <f>IF(AND(OR(sel_Region="All",C731=sel_Region),OR(sel_Country="All",D731=sel_Country),OR(sel_Customer="All",F731=sel_Customer),OR(sel_Category="All",G731=sel_Category),OR(sel_Product="All",H731=sel_Product),AND(S731&gt;=m_From,S731&lt;=m_To)),1,0)</f>
        <v/>
      </c>
      <c r="X731" s="36">
        <f>IF(AND(OR(sel_Region="All",C731=sel_Region),OR(sel_Country="All",D731=sel_Country),OR(sel_Channel="All",E731=sel_Channel),OR(sel_Category="All",G731=sel_Category),OR(sel_Product="All",H731=sel_Product),AND(S731&gt;=m_From,S731&lt;=m_To)),1,0)</f>
        <v/>
      </c>
      <c r="Y731" s="36">
        <f>IF(AND(OR(sel_Region="All",C731=sel_Region),OR(sel_Country="All",D731=sel_Country),OR(sel_Channel="All",E731=sel_Channel),OR(sel_Customer="All",F731=sel_Customer),OR(sel_Product="All",H731=sel_Product),AND(S731&gt;=m_From,S731&lt;=m_To)),1,0)</f>
        <v/>
      </c>
      <c r="Z731" s="36">
        <f>IF(AND(OR(sel_Region="All",C731=sel_Region),OR(sel_Country="All",D731=sel_Country),OR(sel_Channel="All",E731=sel_Channel),OR(sel_Customer="All",F731=sel_Customer),OR(sel_Category="All",G731=sel_Category),AND(S731&gt;=m_From,S731&lt;=m_To)),1,0)</f>
        <v/>
      </c>
      <c r="AA731" s="36">
        <f>IF(AND(OR(sel_Region="All",C731=sel_Region),OR(sel_Country="All",D731=sel_Country),OR(sel_Channel="All",E731=sel_Channel),OR(sel_Customer="All",F731=sel_Customer),OR(sel_Category="All",G731=sel_Category),OR(sel_Product="All",H731=sel_Product)),1,0)</f>
        <v/>
      </c>
    </row>
    <row r="732">
      <c r="A732" s="36" t="inlineStr">
        <is>
          <t>04535</t>
        </is>
      </c>
      <c r="B732" s="44" t="n">
        <v>46145</v>
      </c>
      <c r="C732" s="36" t="inlineStr">
        <is>
          <t>Northern Europe</t>
        </is>
      </c>
      <c r="D732" s="36" t="inlineStr">
        <is>
          <t>Denmark</t>
        </is>
      </c>
      <c r="E732" s="36" t="inlineStr">
        <is>
          <t>Online Store</t>
        </is>
      </c>
      <c r="F732" s="36" t="inlineStr">
        <is>
          <t>New</t>
        </is>
      </c>
      <c r="G732" s="36" t="inlineStr">
        <is>
          <t>Travel</t>
        </is>
      </c>
      <c r="H732" s="36" t="inlineStr">
        <is>
          <t>Insulated Bottle</t>
        </is>
      </c>
      <c r="I732" s="36" t="n">
        <v>1</v>
      </c>
      <c r="J732" s="39" t="n">
        <v>36.82</v>
      </c>
      <c r="K732" s="45" t="n">
        <v>0.1</v>
      </c>
      <c r="L732" s="39" t="n">
        <v>13.4</v>
      </c>
      <c r="M732" s="39">
        <f>I732*J732*(1-K732)</f>
        <v/>
      </c>
      <c r="N732" s="39">
        <f>I732*L732</f>
        <v/>
      </c>
      <c r="O732" s="39">
        <f>M732-N732</f>
        <v/>
      </c>
      <c r="P732" s="38">
        <f>IF(M732=0,0,O732/M732)</f>
        <v/>
      </c>
      <c r="Q732" s="36">
        <f>YEAR(B732)</f>
        <v/>
      </c>
      <c r="R732" s="36">
        <f>"Q"&amp;ROUNDUP(MONTH(B732)/3,0)</f>
        <v/>
      </c>
      <c r="S732" s="36">
        <f>MONTH(B732)</f>
        <v/>
      </c>
      <c r="T732" s="36">
        <f>TEXT(B732,"mmm")</f>
        <v/>
      </c>
      <c r="U732" s="36">
        <f>IF(AND(OR(sel_Region="All",C732=sel_Region),OR(sel_Country="All",D732=sel_Country),OR(sel_Channel="All",E732=sel_Channel),OR(sel_Customer="All",F732=sel_Customer),OR(sel_Category="All",G732=sel_Category),OR(sel_Product="All",H732=sel_Product),AND(S732&gt;=m_From,S732&lt;=m_To)),1,0)</f>
        <v/>
      </c>
      <c r="V732" s="36">
        <f>IF(AND(OR(sel_Region="All",C732=sel_Region),OR(sel_Channel="All",E732=sel_Channel),OR(sel_Customer="All",F732=sel_Customer),OR(sel_Category="All",G732=sel_Category),OR(sel_Product="All",H732=sel_Product),AND(S732&gt;=m_From,S732&lt;=m_To)),1,0)</f>
        <v/>
      </c>
      <c r="W732" s="36">
        <f>IF(AND(OR(sel_Region="All",C732=sel_Region),OR(sel_Country="All",D732=sel_Country),OR(sel_Customer="All",F732=sel_Customer),OR(sel_Category="All",G732=sel_Category),OR(sel_Product="All",H732=sel_Product),AND(S732&gt;=m_From,S732&lt;=m_To)),1,0)</f>
        <v/>
      </c>
      <c r="X732" s="36">
        <f>IF(AND(OR(sel_Region="All",C732=sel_Region),OR(sel_Country="All",D732=sel_Country),OR(sel_Channel="All",E732=sel_Channel),OR(sel_Category="All",G732=sel_Category),OR(sel_Product="All",H732=sel_Product),AND(S732&gt;=m_From,S732&lt;=m_To)),1,0)</f>
        <v/>
      </c>
      <c r="Y732" s="36">
        <f>IF(AND(OR(sel_Region="All",C732=sel_Region),OR(sel_Country="All",D732=sel_Country),OR(sel_Channel="All",E732=sel_Channel),OR(sel_Customer="All",F732=sel_Customer),OR(sel_Product="All",H732=sel_Product),AND(S732&gt;=m_From,S732&lt;=m_To)),1,0)</f>
        <v/>
      </c>
      <c r="Z732" s="36">
        <f>IF(AND(OR(sel_Region="All",C732=sel_Region),OR(sel_Country="All",D732=sel_Country),OR(sel_Channel="All",E732=sel_Channel),OR(sel_Customer="All",F732=sel_Customer),OR(sel_Category="All",G732=sel_Category),AND(S732&gt;=m_From,S732&lt;=m_To)),1,0)</f>
        <v/>
      </c>
      <c r="AA732" s="36">
        <f>IF(AND(OR(sel_Region="All",C732=sel_Region),OR(sel_Country="All",D732=sel_Country),OR(sel_Channel="All",E732=sel_Channel),OR(sel_Customer="All",F732=sel_Customer),OR(sel_Category="All",G732=sel_Category),OR(sel_Product="All",H732=sel_Product)),1,0)</f>
        <v/>
      </c>
    </row>
    <row r="733">
      <c r="A733" s="36" t="inlineStr">
        <is>
          <t>04988</t>
        </is>
      </c>
      <c r="B733" s="44" t="n">
        <v>46145</v>
      </c>
      <c r="C733" s="36" t="inlineStr">
        <is>
          <t>Northern Europe</t>
        </is>
      </c>
      <c r="D733" s="36" t="inlineStr">
        <is>
          <t>Finland</t>
        </is>
      </c>
      <c r="E733" s="36" t="inlineStr">
        <is>
          <t>Retail Partners</t>
        </is>
      </c>
      <c r="F733" s="36" t="inlineStr">
        <is>
          <t>New</t>
        </is>
      </c>
      <c r="G733" s="36" t="inlineStr">
        <is>
          <t>Fitness</t>
        </is>
      </c>
      <c r="H733" s="36" t="inlineStr">
        <is>
          <t>Weighted Vest</t>
        </is>
      </c>
      <c r="I733" s="36" t="n">
        <v>1</v>
      </c>
      <c r="J733" s="39" t="n">
        <v>122.28</v>
      </c>
      <c r="K733" s="45" t="n">
        <v>0</v>
      </c>
      <c r="L733" s="39" t="n">
        <v>67.28</v>
      </c>
      <c r="M733" s="39">
        <f>I733*J733*(1-K733)</f>
        <v/>
      </c>
      <c r="N733" s="39">
        <f>I733*L733</f>
        <v/>
      </c>
      <c r="O733" s="39">
        <f>M733-N733</f>
        <v/>
      </c>
      <c r="P733" s="38">
        <f>IF(M733=0,0,O733/M733)</f>
        <v/>
      </c>
      <c r="Q733" s="36">
        <f>YEAR(B733)</f>
        <v/>
      </c>
      <c r="R733" s="36">
        <f>"Q"&amp;ROUNDUP(MONTH(B733)/3,0)</f>
        <v/>
      </c>
      <c r="S733" s="36">
        <f>MONTH(B733)</f>
        <v/>
      </c>
      <c r="T733" s="36">
        <f>TEXT(B733,"mmm")</f>
        <v/>
      </c>
      <c r="U733" s="36">
        <f>IF(AND(OR(sel_Region="All",C733=sel_Region),OR(sel_Country="All",D733=sel_Country),OR(sel_Channel="All",E733=sel_Channel),OR(sel_Customer="All",F733=sel_Customer),OR(sel_Category="All",G733=sel_Category),OR(sel_Product="All",H733=sel_Product),AND(S733&gt;=m_From,S733&lt;=m_To)),1,0)</f>
        <v/>
      </c>
      <c r="V733" s="36">
        <f>IF(AND(OR(sel_Region="All",C733=sel_Region),OR(sel_Channel="All",E733=sel_Channel),OR(sel_Customer="All",F733=sel_Customer),OR(sel_Category="All",G733=sel_Category),OR(sel_Product="All",H733=sel_Product),AND(S733&gt;=m_From,S733&lt;=m_To)),1,0)</f>
        <v/>
      </c>
      <c r="W733" s="36">
        <f>IF(AND(OR(sel_Region="All",C733=sel_Region),OR(sel_Country="All",D733=sel_Country),OR(sel_Customer="All",F733=sel_Customer),OR(sel_Category="All",G733=sel_Category),OR(sel_Product="All",H733=sel_Product),AND(S733&gt;=m_From,S733&lt;=m_To)),1,0)</f>
        <v/>
      </c>
      <c r="X733" s="36">
        <f>IF(AND(OR(sel_Region="All",C733=sel_Region),OR(sel_Country="All",D733=sel_Country),OR(sel_Channel="All",E733=sel_Channel),OR(sel_Category="All",G733=sel_Category),OR(sel_Product="All",H733=sel_Product),AND(S733&gt;=m_From,S733&lt;=m_To)),1,0)</f>
        <v/>
      </c>
      <c r="Y733" s="36">
        <f>IF(AND(OR(sel_Region="All",C733=sel_Region),OR(sel_Country="All",D733=sel_Country),OR(sel_Channel="All",E733=sel_Channel),OR(sel_Customer="All",F733=sel_Customer),OR(sel_Product="All",H733=sel_Product),AND(S733&gt;=m_From,S733&lt;=m_To)),1,0)</f>
        <v/>
      </c>
      <c r="Z733" s="36">
        <f>IF(AND(OR(sel_Region="All",C733=sel_Region),OR(sel_Country="All",D733=sel_Country),OR(sel_Channel="All",E733=sel_Channel),OR(sel_Customer="All",F733=sel_Customer),OR(sel_Category="All",G733=sel_Category),AND(S733&gt;=m_From,S733&lt;=m_To)),1,0)</f>
        <v/>
      </c>
      <c r="AA733" s="36">
        <f>IF(AND(OR(sel_Region="All",C733=sel_Region),OR(sel_Country="All",D733=sel_Country),OR(sel_Channel="All",E733=sel_Channel),OR(sel_Customer="All",F733=sel_Customer),OR(sel_Category="All",G733=sel_Category),OR(sel_Product="All",H733=sel_Product)),1,0)</f>
        <v/>
      </c>
    </row>
    <row r="734">
      <c r="A734" s="36" t="inlineStr">
        <is>
          <t>00253</t>
        </is>
      </c>
      <c r="B734" s="44" t="n">
        <v>46146</v>
      </c>
      <c r="C734" s="36" t="inlineStr">
        <is>
          <t>Northern Europe</t>
        </is>
      </c>
      <c r="D734" s="36" t="inlineStr">
        <is>
          <t>Finland</t>
        </is>
      </c>
      <c r="E734" s="36" t="inlineStr">
        <is>
          <t>Retail Partners</t>
        </is>
      </c>
      <c r="F734" s="36" t="inlineStr">
        <is>
          <t>Business</t>
        </is>
      </c>
      <c r="G734" s="36" t="inlineStr">
        <is>
          <t>Hiking</t>
        </is>
      </c>
      <c r="H734" s="36" t="inlineStr">
        <is>
          <t>Hiking Daypack 20L</t>
        </is>
      </c>
      <c r="I734" s="36" t="n">
        <v>1</v>
      </c>
      <c r="J734" s="39" t="n">
        <v>90.92</v>
      </c>
      <c r="K734" s="45" t="n">
        <v>0.15</v>
      </c>
      <c r="L734" s="39" t="n">
        <v>44.93</v>
      </c>
      <c r="M734" s="39">
        <f>I734*J734*(1-K734)</f>
        <v/>
      </c>
      <c r="N734" s="39">
        <f>I734*L734</f>
        <v/>
      </c>
      <c r="O734" s="39">
        <f>M734-N734</f>
        <v/>
      </c>
      <c r="P734" s="38">
        <f>IF(M734=0,0,O734/M734)</f>
        <v/>
      </c>
      <c r="Q734" s="36">
        <f>YEAR(B734)</f>
        <v/>
      </c>
      <c r="R734" s="36">
        <f>"Q"&amp;ROUNDUP(MONTH(B734)/3,0)</f>
        <v/>
      </c>
      <c r="S734" s="36">
        <f>MONTH(B734)</f>
        <v/>
      </c>
      <c r="T734" s="36">
        <f>TEXT(B734,"mmm")</f>
        <v/>
      </c>
      <c r="U734" s="36">
        <f>IF(AND(OR(sel_Region="All",C734=sel_Region),OR(sel_Country="All",D734=sel_Country),OR(sel_Channel="All",E734=sel_Channel),OR(sel_Customer="All",F734=sel_Customer),OR(sel_Category="All",G734=sel_Category),OR(sel_Product="All",H734=sel_Product),AND(S734&gt;=m_From,S734&lt;=m_To)),1,0)</f>
        <v/>
      </c>
      <c r="V734" s="36">
        <f>IF(AND(OR(sel_Region="All",C734=sel_Region),OR(sel_Channel="All",E734=sel_Channel),OR(sel_Customer="All",F734=sel_Customer),OR(sel_Category="All",G734=sel_Category),OR(sel_Product="All",H734=sel_Product),AND(S734&gt;=m_From,S734&lt;=m_To)),1,0)</f>
        <v/>
      </c>
      <c r="W734" s="36">
        <f>IF(AND(OR(sel_Region="All",C734=sel_Region),OR(sel_Country="All",D734=sel_Country),OR(sel_Customer="All",F734=sel_Customer),OR(sel_Category="All",G734=sel_Category),OR(sel_Product="All",H734=sel_Product),AND(S734&gt;=m_From,S734&lt;=m_To)),1,0)</f>
        <v/>
      </c>
      <c r="X734" s="36">
        <f>IF(AND(OR(sel_Region="All",C734=sel_Region),OR(sel_Country="All",D734=sel_Country),OR(sel_Channel="All",E734=sel_Channel),OR(sel_Category="All",G734=sel_Category),OR(sel_Product="All",H734=sel_Product),AND(S734&gt;=m_From,S734&lt;=m_To)),1,0)</f>
        <v/>
      </c>
      <c r="Y734" s="36">
        <f>IF(AND(OR(sel_Region="All",C734=sel_Region),OR(sel_Country="All",D734=sel_Country),OR(sel_Channel="All",E734=sel_Channel),OR(sel_Customer="All",F734=sel_Customer),OR(sel_Product="All",H734=sel_Product),AND(S734&gt;=m_From,S734&lt;=m_To)),1,0)</f>
        <v/>
      </c>
      <c r="Z734" s="36">
        <f>IF(AND(OR(sel_Region="All",C734=sel_Region),OR(sel_Country="All",D734=sel_Country),OR(sel_Channel="All",E734=sel_Channel),OR(sel_Customer="All",F734=sel_Customer),OR(sel_Category="All",G734=sel_Category),AND(S734&gt;=m_From,S734&lt;=m_To)),1,0)</f>
        <v/>
      </c>
      <c r="AA734" s="36">
        <f>IF(AND(OR(sel_Region="All",C734=sel_Region),OR(sel_Country="All",D734=sel_Country),OR(sel_Channel="All",E734=sel_Channel),OR(sel_Customer="All",F734=sel_Customer),OR(sel_Category="All",G734=sel_Category),OR(sel_Product="All",H734=sel_Product)),1,0)</f>
        <v/>
      </c>
    </row>
    <row r="735">
      <c r="A735" s="36" t="inlineStr">
        <is>
          <t>01743</t>
        </is>
      </c>
      <c r="B735" s="44" t="n">
        <v>46146</v>
      </c>
      <c r="C735" s="36" t="inlineStr">
        <is>
          <t>Central Europe</t>
        </is>
      </c>
      <c r="D735" s="36" t="inlineStr">
        <is>
          <t>Germany</t>
        </is>
      </c>
      <c r="E735" s="36" t="inlineStr">
        <is>
          <t>Online Store</t>
        </is>
      </c>
      <c r="F735" s="36" t="inlineStr">
        <is>
          <t>New</t>
        </is>
      </c>
      <c r="G735" s="36" t="inlineStr">
        <is>
          <t>Fitness</t>
        </is>
      </c>
      <c r="H735" s="36" t="inlineStr">
        <is>
          <t>Training Mat</t>
        </is>
      </c>
      <c r="I735" s="36" t="n">
        <v>1</v>
      </c>
      <c r="J735" s="39" t="n">
        <v>51.02</v>
      </c>
      <c r="K735" s="45" t="n">
        <v>0</v>
      </c>
      <c r="L735" s="39" t="n">
        <v>21.83</v>
      </c>
      <c r="M735" s="39">
        <f>I735*J735*(1-K735)</f>
        <v/>
      </c>
      <c r="N735" s="39">
        <f>I735*L735</f>
        <v/>
      </c>
      <c r="O735" s="39">
        <f>M735-N735</f>
        <v/>
      </c>
      <c r="P735" s="38">
        <f>IF(M735=0,0,O735/M735)</f>
        <v/>
      </c>
      <c r="Q735" s="36">
        <f>YEAR(B735)</f>
        <v/>
      </c>
      <c r="R735" s="36">
        <f>"Q"&amp;ROUNDUP(MONTH(B735)/3,0)</f>
        <v/>
      </c>
      <c r="S735" s="36">
        <f>MONTH(B735)</f>
        <v/>
      </c>
      <c r="T735" s="36">
        <f>TEXT(B735,"mmm")</f>
        <v/>
      </c>
      <c r="U735" s="36">
        <f>IF(AND(OR(sel_Region="All",C735=sel_Region),OR(sel_Country="All",D735=sel_Country),OR(sel_Channel="All",E735=sel_Channel),OR(sel_Customer="All",F735=sel_Customer),OR(sel_Category="All",G735=sel_Category),OR(sel_Product="All",H735=sel_Product),AND(S735&gt;=m_From,S735&lt;=m_To)),1,0)</f>
        <v/>
      </c>
      <c r="V735" s="36">
        <f>IF(AND(OR(sel_Region="All",C735=sel_Region),OR(sel_Channel="All",E735=sel_Channel),OR(sel_Customer="All",F735=sel_Customer),OR(sel_Category="All",G735=sel_Category),OR(sel_Product="All",H735=sel_Product),AND(S735&gt;=m_From,S735&lt;=m_To)),1,0)</f>
        <v/>
      </c>
      <c r="W735" s="36">
        <f>IF(AND(OR(sel_Region="All",C735=sel_Region),OR(sel_Country="All",D735=sel_Country),OR(sel_Customer="All",F735=sel_Customer),OR(sel_Category="All",G735=sel_Category),OR(sel_Product="All",H735=sel_Product),AND(S735&gt;=m_From,S735&lt;=m_To)),1,0)</f>
        <v/>
      </c>
      <c r="X735" s="36">
        <f>IF(AND(OR(sel_Region="All",C735=sel_Region),OR(sel_Country="All",D735=sel_Country),OR(sel_Channel="All",E735=sel_Channel),OR(sel_Category="All",G735=sel_Category),OR(sel_Product="All",H735=sel_Product),AND(S735&gt;=m_From,S735&lt;=m_To)),1,0)</f>
        <v/>
      </c>
      <c r="Y735" s="36">
        <f>IF(AND(OR(sel_Region="All",C735=sel_Region),OR(sel_Country="All",D735=sel_Country),OR(sel_Channel="All",E735=sel_Channel),OR(sel_Customer="All",F735=sel_Customer),OR(sel_Product="All",H735=sel_Product),AND(S735&gt;=m_From,S735&lt;=m_To)),1,0)</f>
        <v/>
      </c>
      <c r="Z735" s="36">
        <f>IF(AND(OR(sel_Region="All",C735=sel_Region),OR(sel_Country="All",D735=sel_Country),OR(sel_Channel="All",E735=sel_Channel),OR(sel_Customer="All",F735=sel_Customer),OR(sel_Category="All",G735=sel_Category),AND(S735&gt;=m_From,S735&lt;=m_To)),1,0)</f>
        <v/>
      </c>
      <c r="AA735" s="36">
        <f>IF(AND(OR(sel_Region="All",C735=sel_Region),OR(sel_Country="All",D735=sel_Country),OR(sel_Channel="All",E735=sel_Channel),OR(sel_Customer="All",F735=sel_Customer),OR(sel_Category="All",G735=sel_Category),OR(sel_Product="All",H735=sel_Product)),1,0)</f>
        <v/>
      </c>
    </row>
    <row r="736">
      <c r="A736" s="36" t="inlineStr">
        <is>
          <t>01801</t>
        </is>
      </c>
      <c r="B736" s="44" t="n">
        <v>46146</v>
      </c>
      <c r="C736" s="36" t="inlineStr">
        <is>
          <t>Northern Europe</t>
        </is>
      </c>
      <c r="D736" s="36" t="inlineStr">
        <is>
          <t>Sweden</t>
        </is>
      </c>
      <c r="E736" s="36" t="inlineStr">
        <is>
          <t>Online Store</t>
        </is>
      </c>
      <c r="F736" s="36" t="inlineStr">
        <is>
          <t>Business</t>
        </is>
      </c>
      <c r="G736" s="36" t="inlineStr">
        <is>
          <t>Travel</t>
        </is>
      </c>
      <c r="H736" s="36" t="inlineStr">
        <is>
          <t>Insulated Bottle</t>
        </is>
      </c>
      <c r="I736" s="36" t="n">
        <v>2</v>
      </c>
      <c r="J736" s="39" t="n">
        <v>36.3</v>
      </c>
      <c r="K736" s="45" t="n">
        <v>0.05</v>
      </c>
      <c r="L736" s="39" t="n">
        <v>13.9</v>
      </c>
      <c r="M736" s="39">
        <f>I736*J736*(1-K736)</f>
        <v/>
      </c>
      <c r="N736" s="39">
        <f>I736*L736</f>
        <v/>
      </c>
      <c r="O736" s="39">
        <f>M736-N736</f>
        <v/>
      </c>
      <c r="P736" s="38">
        <f>IF(M736=0,0,O736/M736)</f>
        <v/>
      </c>
      <c r="Q736" s="36">
        <f>YEAR(B736)</f>
        <v/>
      </c>
      <c r="R736" s="36">
        <f>"Q"&amp;ROUNDUP(MONTH(B736)/3,0)</f>
        <v/>
      </c>
      <c r="S736" s="36">
        <f>MONTH(B736)</f>
        <v/>
      </c>
      <c r="T736" s="36">
        <f>TEXT(B736,"mmm")</f>
        <v/>
      </c>
      <c r="U736" s="36">
        <f>IF(AND(OR(sel_Region="All",C736=sel_Region),OR(sel_Country="All",D736=sel_Country),OR(sel_Channel="All",E736=sel_Channel),OR(sel_Customer="All",F736=sel_Customer),OR(sel_Category="All",G736=sel_Category),OR(sel_Product="All",H736=sel_Product),AND(S736&gt;=m_From,S736&lt;=m_To)),1,0)</f>
        <v/>
      </c>
      <c r="V736" s="36">
        <f>IF(AND(OR(sel_Region="All",C736=sel_Region),OR(sel_Channel="All",E736=sel_Channel),OR(sel_Customer="All",F736=sel_Customer),OR(sel_Category="All",G736=sel_Category),OR(sel_Product="All",H736=sel_Product),AND(S736&gt;=m_From,S736&lt;=m_To)),1,0)</f>
        <v/>
      </c>
      <c r="W736" s="36">
        <f>IF(AND(OR(sel_Region="All",C736=sel_Region),OR(sel_Country="All",D736=sel_Country),OR(sel_Customer="All",F736=sel_Customer),OR(sel_Category="All",G736=sel_Category),OR(sel_Product="All",H736=sel_Product),AND(S736&gt;=m_From,S736&lt;=m_To)),1,0)</f>
        <v/>
      </c>
      <c r="X736" s="36">
        <f>IF(AND(OR(sel_Region="All",C736=sel_Region),OR(sel_Country="All",D736=sel_Country),OR(sel_Channel="All",E736=sel_Channel),OR(sel_Category="All",G736=sel_Category),OR(sel_Product="All",H736=sel_Product),AND(S736&gt;=m_From,S736&lt;=m_To)),1,0)</f>
        <v/>
      </c>
      <c r="Y736" s="36">
        <f>IF(AND(OR(sel_Region="All",C736=sel_Region),OR(sel_Country="All",D736=sel_Country),OR(sel_Channel="All",E736=sel_Channel),OR(sel_Customer="All",F736=sel_Customer),OR(sel_Product="All",H736=sel_Product),AND(S736&gt;=m_From,S736&lt;=m_To)),1,0)</f>
        <v/>
      </c>
      <c r="Z736" s="36">
        <f>IF(AND(OR(sel_Region="All",C736=sel_Region),OR(sel_Country="All",D736=sel_Country),OR(sel_Channel="All",E736=sel_Channel),OR(sel_Customer="All",F736=sel_Customer),OR(sel_Category="All",G736=sel_Category),AND(S736&gt;=m_From,S736&lt;=m_To)),1,0)</f>
        <v/>
      </c>
      <c r="AA736" s="36">
        <f>IF(AND(OR(sel_Region="All",C736=sel_Region),OR(sel_Country="All",D736=sel_Country),OR(sel_Channel="All",E736=sel_Channel),OR(sel_Customer="All",F736=sel_Customer),OR(sel_Category="All",G736=sel_Category),OR(sel_Product="All",H736=sel_Product)),1,0)</f>
        <v/>
      </c>
    </row>
    <row r="737">
      <c r="A737" s="36" t="inlineStr">
        <is>
          <t>02511</t>
        </is>
      </c>
      <c r="B737" s="44" t="n">
        <v>46146</v>
      </c>
      <c r="C737" s="36" t="inlineStr">
        <is>
          <t>Northern Europe</t>
        </is>
      </c>
      <c r="D737" s="36" t="inlineStr">
        <is>
          <t>Finland</t>
        </is>
      </c>
      <c r="E737" s="36" t="inlineStr">
        <is>
          <t>Corporate</t>
        </is>
      </c>
      <c r="F737" s="36" t="inlineStr">
        <is>
          <t>Business</t>
        </is>
      </c>
      <c r="G737" s="36" t="inlineStr">
        <is>
          <t>Camping</t>
        </is>
      </c>
      <c r="H737" s="36" t="inlineStr">
        <is>
          <t>Trail Tent 2P</t>
        </is>
      </c>
      <c r="I737" s="36" t="n">
        <v>8</v>
      </c>
      <c r="J737" s="39" t="n">
        <v>195.03</v>
      </c>
      <c r="K737" s="45" t="n">
        <v>0.15</v>
      </c>
      <c r="L737" s="39" t="n">
        <v>101.13</v>
      </c>
      <c r="M737" s="39">
        <f>I737*J737*(1-K737)</f>
        <v/>
      </c>
      <c r="N737" s="39">
        <f>I737*L737</f>
        <v/>
      </c>
      <c r="O737" s="39">
        <f>M737-N737</f>
        <v/>
      </c>
      <c r="P737" s="38">
        <f>IF(M737=0,0,O737/M737)</f>
        <v/>
      </c>
      <c r="Q737" s="36">
        <f>YEAR(B737)</f>
        <v/>
      </c>
      <c r="R737" s="36">
        <f>"Q"&amp;ROUNDUP(MONTH(B737)/3,0)</f>
        <v/>
      </c>
      <c r="S737" s="36">
        <f>MONTH(B737)</f>
        <v/>
      </c>
      <c r="T737" s="36">
        <f>TEXT(B737,"mmm")</f>
        <v/>
      </c>
      <c r="U737" s="36">
        <f>IF(AND(OR(sel_Region="All",C737=sel_Region),OR(sel_Country="All",D737=sel_Country),OR(sel_Channel="All",E737=sel_Channel),OR(sel_Customer="All",F737=sel_Customer),OR(sel_Category="All",G737=sel_Category),OR(sel_Product="All",H737=sel_Product),AND(S737&gt;=m_From,S737&lt;=m_To)),1,0)</f>
        <v/>
      </c>
      <c r="V737" s="36">
        <f>IF(AND(OR(sel_Region="All",C737=sel_Region),OR(sel_Channel="All",E737=sel_Channel),OR(sel_Customer="All",F737=sel_Customer),OR(sel_Category="All",G737=sel_Category),OR(sel_Product="All",H737=sel_Product),AND(S737&gt;=m_From,S737&lt;=m_To)),1,0)</f>
        <v/>
      </c>
      <c r="W737" s="36">
        <f>IF(AND(OR(sel_Region="All",C737=sel_Region),OR(sel_Country="All",D737=sel_Country),OR(sel_Customer="All",F737=sel_Customer),OR(sel_Category="All",G737=sel_Category),OR(sel_Product="All",H737=sel_Product),AND(S737&gt;=m_From,S737&lt;=m_To)),1,0)</f>
        <v/>
      </c>
      <c r="X737" s="36">
        <f>IF(AND(OR(sel_Region="All",C737=sel_Region),OR(sel_Country="All",D737=sel_Country),OR(sel_Channel="All",E737=sel_Channel),OR(sel_Category="All",G737=sel_Category),OR(sel_Product="All",H737=sel_Product),AND(S737&gt;=m_From,S737&lt;=m_To)),1,0)</f>
        <v/>
      </c>
      <c r="Y737" s="36">
        <f>IF(AND(OR(sel_Region="All",C737=sel_Region),OR(sel_Country="All",D737=sel_Country),OR(sel_Channel="All",E737=sel_Channel),OR(sel_Customer="All",F737=sel_Customer),OR(sel_Product="All",H737=sel_Product),AND(S737&gt;=m_From,S737&lt;=m_To)),1,0)</f>
        <v/>
      </c>
      <c r="Z737" s="36">
        <f>IF(AND(OR(sel_Region="All",C737=sel_Region),OR(sel_Country="All",D737=sel_Country),OR(sel_Channel="All",E737=sel_Channel),OR(sel_Customer="All",F737=sel_Customer),OR(sel_Category="All",G737=sel_Category),AND(S737&gt;=m_From,S737&lt;=m_To)),1,0)</f>
        <v/>
      </c>
      <c r="AA737" s="36">
        <f>IF(AND(OR(sel_Region="All",C737=sel_Region),OR(sel_Country="All",D737=sel_Country),OR(sel_Channel="All",E737=sel_Channel),OR(sel_Customer="All",F737=sel_Customer),OR(sel_Category="All",G737=sel_Category),OR(sel_Product="All",H737=sel_Product)),1,0)</f>
        <v/>
      </c>
    </row>
    <row r="738">
      <c r="A738" s="36" t="inlineStr">
        <is>
          <t>03186</t>
        </is>
      </c>
      <c r="B738" s="44" t="n">
        <v>46146</v>
      </c>
      <c r="C738" s="36" t="inlineStr">
        <is>
          <t>Central Europe</t>
        </is>
      </c>
      <c r="D738" s="36" t="inlineStr">
        <is>
          <t>Austria</t>
        </is>
      </c>
      <c r="E738" s="36" t="inlineStr">
        <is>
          <t>Online Store</t>
        </is>
      </c>
      <c r="F738" s="36" t="inlineStr">
        <is>
          <t>New</t>
        </is>
      </c>
      <c r="G738" s="36" t="inlineStr">
        <is>
          <t>Hiking</t>
        </is>
      </c>
      <c r="H738" s="36" t="inlineStr">
        <is>
          <t>Trail Boots</t>
        </is>
      </c>
      <c r="I738" s="36" t="n">
        <v>1</v>
      </c>
      <c r="J738" s="39" t="n">
        <v>143.66</v>
      </c>
      <c r="K738" s="45" t="n">
        <v>0.1</v>
      </c>
      <c r="L738" s="39" t="n">
        <v>79.25</v>
      </c>
      <c r="M738" s="39">
        <f>I738*J738*(1-K738)</f>
        <v/>
      </c>
      <c r="N738" s="39">
        <f>I738*L738</f>
        <v/>
      </c>
      <c r="O738" s="39">
        <f>M738-N738</f>
        <v/>
      </c>
      <c r="P738" s="38">
        <f>IF(M738=0,0,O738/M738)</f>
        <v/>
      </c>
      <c r="Q738" s="36">
        <f>YEAR(B738)</f>
        <v/>
      </c>
      <c r="R738" s="36">
        <f>"Q"&amp;ROUNDUP(MONTH(B738)/3,0)</f>
        <v/>
      </c>
      <c r="S738" s="36">
        <f>MONTH(B738)</f>
        <v/>
      </c>
      <c r="T738" s="36">
        <f>TEXT(B738,"mmm")</f>
        <v/>
      </c>
      <c r="U738" s="36">
        <f>IF(AND(OR(sel_Region="All",C738=sel_Region),OR(sel_Country="All",D738=sel_Country),OR(sel_Channel="All",E738=sel_Channel),OR(sel_Customer="All",F738=sel_Customer),OR(sel_Category="All",G738=sel_Category),OR(sel_Product="All",H738=sel_Product),AND(S738&gt;=m_From,S738&lt;=m_To)),1,0)</f>
        <v/>
      </c>
      <c r="V738" s="36">
        <f>IF(AND(OR(sel_Region="All",C738=sel_Region),OR(sel_Channel="All",E738=sel_Channel),OR(sel_Customer="All",F738=sel_Customer),OR(sel_Category="All",G738=sel_Category),OR(sel_Product="All",H738=sel_Product),AND(S738&gt;=m_From,S738&lt;=m_To)),1,0)</f>
        <v/>
      </c>
      <c r="W738" s="36">
        <f>IF(AND(OR(sel_Region="All",C738=sel_Region),OR(sel_Country="All",D738=sel_Country),OR(sel_Customer="All",F738=sel_Customer),OR(sel_Category="All",G738=sel_Category),OR(sel_Product="All",H738=sel_Product),AND(S738&gt;=m_From,S738&lt;=m_To)),1,0)</f>
        <v/>
      </c>
      <c r="X738" s="36">
        <f>IF(AND(OR(sel_Region="All",C738=sel_Region),OR(sel_Country="All",D738=sel_Country),OR(sel_Channel="All",E738=sel_Channel),OR(sel_Category="All",G738=sel_Category),OR(sel_Product="All",H738=sel_Product),AND(S738&gt;=m_From,S738&lt;=m_To)),1,0)</f>
        <v/>
      </c>
      <c r="Y738" s="36">
        <f>IF(AND(OR(sel_Region="All",C738=sel_Region),OR(sel_Country="All",D738=sel_Country),OR(sel_Channel="All",E738=sel_Channel),OR(sel_Customer="All",F738=sel_Customer),OR(sel_Product="All",H738=sel_Product),AND(S738&gt;=m_From,S738&lt;=m_To)),1,0)</f>
        <v/>
      </c>
      <c r="Z738" s="36">
        <f>IF(AND(OR(sel_Region="All",C738=sel_Region),OR(sel_Country="All",D738=sel_Country),OR(sel_Channel="All",E738=sel_Channel),OR(sel_Customer="All",F738=sel_Customer),OR(sel_Category="All",G738=sel_Category),AND(S738&gt;=m_From,S738&lt;=m_To)),1,0)</f>
        <v/>
      </c>
      <c r="AA738" s="36">
        <f>IF(AND(OR(sel_Region="All",C738=sel_Region),OR(sel_Country="All",D738=sel_Country),OR(sel_Channel="All",E738=sel_Channel),OR(sel_Customer="All",F738=sel_Customer),OR(sel_Category="All",G738=sel_Category),OR(sel_Product="All",H738=sel_Product)),1,0)</f>
        <v/>
      </c>
    </row>
    <row r="739">
      <c r="A739" s="36" t="inlineStr">
        <is>
          <t>03378</t>
        </is>
      </c>
      <c r="B739" s="44" t="n">
        <v>46146</v>
      </c>
      <c r="C739" s="36" t="inlineStr">
        <is>
          <t>Southern Europe</t>
        </is>
      </c>
      <c r="D739" s="36" t="inlineStr">
        <is>
          <t>Spain</t>
        </is>
      </c>
      <c r="E739" s="36" t="inlineStr">
        <is>
          <t>Corporate</t>
        </is>
      </c>
      <c r="F739" s="36" t="inlineStr">
        <is>
          <t>Business</t>
        </is>
      </c>
      <c r="G739" s="36" t="inlineStr">
        <is>
          <t>Fitness</t>
        </is>
      </c>
      <c r="H739" s="36" t="inlineStr">
        <is>
          <t>Weighted Vest</t>
        </is>
      </c>
      <c r="I739" s="36" t="n">
        <v>3</v>
      </c>
      <c r="J739" s="39" t="n">
        <v>120.28</v>
      </c>
      <c r="K739" s="45" t="n">
        <v>0.2</v>
      </c>
      <c r="L739" s="39" t="n">
        <v>69.23</v>
      </c>
      <c r="M739" s="39">
        <f>I739*J739*(1-K739)</f>
        <v/>
      </c>
      <c r="N739" s="39">
        <f>I739*L739</f>
        <v/>
      </c>
      <c r="O739" s="39">
        <f>M739-N739</f>
        <v/>
      </c>
      <c r="P739" s="38">
        <f>IF(M739=0,0,O739/M739)</f>
        <v/>
      </c>
      <c r="Q739" s="36">
        <f>YEAR(B739)</f>
        <v/>
      </c>
      <c r="R739" s="36">
        <f>"Q"&amp;ROUNDUP(MONTH(B739)/3,0)</f>
        <v/>
      </c>
      <c r="S739" s="36">
        <f>MONTH(B739)</f>
        <v/>
      </c>
      <c r="T739" s="36">
        <f>TEXT(B739,"mmm")</f>
        <v/>
      </c>
      <c r="U739" s="36">
        <f>IF(AND(OR(sel_Region="All",C739=sel_Region),OR(sel_Country="All",D739=sel_Country),OR(sel_Channel="All",E739=sel_Channel),OR(sel_Customer="All",F739=sel_Customer),OR(sel_Category="All",G739=sel_Category),OR(sel_Product="All",H739=sel_Product),AND(S739&gt;=m_From,S739&lt;=m_To)),1,0)</f>
        <v/>
      </c>
      <c r="V739" s="36">
        <f>IF(AND(OR(sel_Region="All",C739=sel_Region),OR(sel_Channel="All",E739=sel_Channel),OR(sel_Customer="All",F739=sel_Customer),OR(sel_Category="All",G739=sel_Category),OR(sel_Product="All",H739=sel_Product),AND(S739&gt;=m_From,S739&lt;=m_To)),1,0)</f>
        <v/>
      </c>
      <c r="W739" s="36">
        <f>IF(AND(OR(sel_Region="All",C739=sel_Region),OR(sel_Country="All",D739=sel_Country),OR(sel_Customer="All",F739=sel_Customer),OR(sel_Category="All",G739=sel_Category),OR(sel_Product="All",H739=sel_Product),AND(S739&gt;=m_From,S739&lt;=m_To)),1,0)</f>
        <v/>
      </c>
      <c r="X739" s="36">
        <f>IF(AND(OR(sel_Region="All",C739=sel_Region),OR(sel_Country="All",D739=sel_Country),OR(sel_Channel="All",E739=sel_Channel),OR(sel_Category="All",G739=sel_Category),OR(sel_Product="All",H739=sel_Product),AND(S739&gt;=m_From,S739&lt;=m_To)),1,0)</f>
        <v/>
      </c>
      <c r="Y739" s="36">
        <f>IF(AND(OR(sel_Region="All",C739=sel_Region),OR(sel_Country="All",D739=sel_Country),OR(sel_Channel="All",E739=sel_Channel),OR(sel_Customer="All",F739=sel_Customer),OR(sel_Product="All",H739=sel_Product),AND(S739&gt;=m_From,S739&lt;=m_To)),1,0)</f>
        <v/>
      </c>
      <c r="Z739" s="36">
        <f>IF(AND(OR(sel_Region="All",C739=sel_Region),OR(sel_Country="All",D739=sel_Country),OR(sel_Channel="All",E739=sel_Channel),OR(sel_Customer="All",F739=sel_Customer),OR(sel_Category="All",G739=sel_Category),AND(S739&gt;=m_From,S739&lt;=m_To)),1,0)</f>
        <v/>
      </c>
      <c r="AA739" s="36">
        <f>IF(AND(OR(sel_Region="All",C739=sel_Region),OR(sel_Country="All",D739=sel_Country),OR(sel_Channel="All",E739=sel_Channel),OR(sel_Customer="All",F739=sel_Customer),OR(sel_Category="All",G739=sel_Category),OR(sel_Product="All",H739=sel_Product)),1,0)</f>
        <v/>
      </c>
    </row>
    <row r="740">
      <c r="A740" s="36" t="inlineStr">
        <is>
          <t>04255</t>
        </is>
      </c>
      <c r="B740" s="44" t="n">
        <v>46146</v>
      </c>
      <c r="C740" s="36" t="inlineStr">
        <is>
          <t>Western Europe</t>
        </is>
      </c>
      <c r="D740" s="36" t="inlineStr">
        <is>
          <t>Netherlands</t>
        </is>
      </c>
      <c r="E740" s="36" t="inlineStr">
        <is>
          <t>Marketplace</t>
        </is>
      </c>
      <c r="F740" s="36" t="inlineStr">
        <is>
          <t>Returning</t>
        </is>
      </c>
      <c r="G740" s="36" t="inlineStr">
        <is>
          <t>Travel</t>
        </is>
      </c>
      <c r="H740" s="36" t="inlineStr">
        <is>
          <t>Insulated Bottle</t>
        </is>
      </c>
      <c r="I740" s="36" t="n">
        <v>6</v>
      </c>
      <c r="J740" s="39" t="n">
        <v>36.04</v>
      </c>
      <c r="K740" s="45" t="n">
        <v>0</v>
      </c>
      <c r="L740" s="39" t="n">
        <v>13.38</v>
      </c>
      <c r="M740" s="39">
        <f>I740*J740*(1-K740)</f>
        <v/>
      </c>
      <c r="N740" s="39">
        <f>I740*L740</f>
        <v/>
      </c>
      <c r="O740" s="39">
        <f>M740-N740</f>
        <v/>
      </c>
      <c r="P740" s="38">
        <f>IF(M740=0,0,O740/M740)</f>
        <v/>
      </c>
      <c r="Q740" s="36">
        <f>YEAR(B740)</f>
        <v/>
      </c>
      <c r="R740" s="36">
        <f>"Q"&amp;ROUNDUP(MONTH(B740)/3,0)</f>
        <v/>
      </c>
      <c r="S740" s="36">
        <f>MONTH(B740)</f>
        <v/>
      </c>
      <c r="T740" s="36">
        <f>TEXT(B740,"mmm")</f>
        <v/>
      </c>
      <c r="U740" s="36">
        <f>IF(AND(OR(sel_Region="All",C740=sel_Region),OR(sel_Country="All",D740=sel_Country),OR(sel_Channel="All",E740=sel_Channel),OR(sel_Customer="All",F740=sel_Customer),OR(sel_Category="All",G740=sel_Category),OR(sel_Product="All",H740=sel_Product),AND(S740&gt;=m_From,S740&lt;=m_To)),1,0)</f>
        <v/>
      </c>
      <c r="V740" s="36">
        <f>IF(AND(OR(sel_Region="All",C740=sel_Region),OR(sel_Channel="All",E740=sel_Channel),OR(sel_Customer="All",F740=sel_Customer),OR(sel_Category="All",G740=sel_Category),OR(sel_Product="All",H740=sel_Product),AND(S740&gt;=m_From,S740&lt;=m_To)),1,0)</f>
        <v/>
      </c>
      <c r="W740" s="36">
        <f>IF(AND(OR(sel_Region="All",C740=sel_Region),OR(sel_Country="All",D740=sel_Country),OR(sel_Customer="All",F740=sel_Customer),OR(sel_Category="All",G740=sel_Category),OR(sel_Product="All",H740=sel_Product),AND(S740&gt;=m_From,S740&lt;=m_To)),1,0)</f>
        <v/>
      </c>
      <c r="X740" s="36">
        <f>IF(AND(OR(sel_Region="All",C740=sel_Region),OR(sel_Country="All",D740=sel_Country),OR(sel_Channel="All",E740=sel_Channel),OR(sel_Category="All",G740=sel_Category),OR(sel_Product="All",H740=sel_Product),AND(S740&gt;=m_From,S740&lt;=m_To)),1,0)</f>
        <v/>
      </c>
      <c r="Y740" s="36">
        <f>IF(AND(OR(sel_Region="All",C740=sel_Region),OR(sel_Country="All",D740=sel_Country),OR(sel_Channel="All",E740=sel_Channel),OR(sel_Customer="All",F740=sel_Customer),OR(sel_Product="All",H740=sel_Product),AND(S740&gt;=m_From,S740&lt;=m_To)),1,0)</f>
        <v/>
      </c>
      <c r="Z740" s="36">
        <f>IF(AND(OR(sel_Region="All",C740=sel_Region),OR(sel_Country="All",D740=sel_Country),OR(sel_Channel="All",E740=sel_Channel),OR(sel_Customer="All",F740=sel_Customer),OR(sel_Category="All",G740=sel_Category),AND(S740&gt;=m_From,S740&lt;=m_To)),1,0)</f>
        <v/>
      </c>
      <c r="AA740" s="36">
        <f>IF(AND(OR(sel_Region="All",C740=sel_Region),OR(sel_Country="All",D740=sel_Country),OR(sel_Channel="All",E740=sel_Channel),OR(sel_Customer="All",F740=sel_Customer),OR(sel_Category="All",G740=sel_Category),OR(sel_Product="All",H740=sel_Product)),1,0)</f>
        <v/>
      </c>
    </row>
    <row r="741">
      <c r="A741" s="36" t="inlineStr">
        <is>
          <t>04587</t>
        </is>
      </c>
      <c r="B741" s="44" t="n">
        <v>46146</v>
      </c>
      <c r="C741" s="36" t="inlineStr">
        <is>
          <t>Northern Europe</t>
        </is>
      </c>
      <c r="D741" s="36" t="inlineStr">
        <is>
          <t>Sweden</t>
        </is>
      </c>
      <c r="E741" s="36" t="inlineStr">
        <is>
          <t>Marketplace</t>
        </is>
      </c>
      <c r="F741" s="36" t="inlineStr">
        <is>
          <t>Returning</t>
        </is>
      </c>
      <c r="G741" s="36" t="inlineStr">
        <is>
          <t>Hiking</t>
        </is>
      </c>
      <c r="H741" s="36" t="inlineStr">
        <is>
          <t>Hiking Daypack 20L</t>
        </is>
      </c>
      <c r="I741" s="36" t="n">
        <v>2</v>
      </c>
      <c r="J741" s="39" t="n">
        <v>91.72</v>
      </c>
      <c r="K741" s="45" t="n">
        <v>0</v>
      </c>
      <c r="L741" s="39" t="n">
        <v>45.67</v>
      </c>
      <c r="M741" s="39">
        <f>I741*J741*(1-K741)</f>
        <v/>
      </c>
      <c r="N741" s="39">
        <f>I741*L741</f>
        <v/>
      </c>
      <c r="O741" s="39">
        <f>M741-N741</f>
        <v/>
      </c>
      <c r="P741" s="38">
        <f>IF(M741=0,0,O741/M741)</f>
        <v/>
      </c>
      <c r="Q741" s="36">
        <f>YEAR(B741)</f>
        <v/>
      </c>
      <c r="R741" s="36">
        <f>"Q"&amp;ROUNDUP(MONTH(B741)/3,0)</f>
        <v/>
      </c>
      <c r="S741" s="36">
        <f>MONTH(B741)</f>
        <v/>
      </c>
      <c r="T741" s="36">
        <f>TEXT(B741,"mmm")</f>
        <v/>
      </c>
      <c r="U741" s="36">
        <f>IF(AND(OR(sel_Region="All",C741=sel_Region),OR(sel_Country="All",D741=sel_Country),OR(sel_Channel="All",E741=sel_Channel),OR(sel_Customer="All",F741=sel_Customer),OR(sel_Category="All",G741=sel_Category),OR(sel_Product="All",H741=sel_Product),AND(S741&gt;=m_From,S741&lt;=m_To)),1,0)</f>
        <v/>
      </c>
      <c r="V741" s="36">
        <f>IF(AND(OR(sel_Region="All",C741=sel_Region),OR(sel_Channel="All",E741=sel_Channel),OR(sel_Customer="All",F741=sel_Customer),OR(sel_Category="All",G741=sel_Category),OR(sel_Product="All",H741=sel_Product),AND(S741&gt;=m_From,S741&lt;=m_To)),1,0)</f>
        <v/>
      </c>
      <c r="W741" s="36">
        <f>IF(AND(OR(sel_Region="All",C741=sel_Region),OR(sel_Country="All",D741=sel_Country),OR(sel_Customer="All",F741=sel_Customer),OR(sel_Category="All",G741=sel_Category),OR(sel_Product="All",H741=sel_Product),AND(S741&gt;=m_From,S741&lt;=m_To)),1,0)</f>
        <v/>
      </c>
      <c r="X741" s="36">
        <f>IF(AND(OR(sel_Region="All",C741=sel_Region),OR(sel_Country="All",D741=sel_Country),OR(sel_Channel="All",E741=sel_Channel),OR(sel_Category="All",G741=sel_Category),OR(sel_Product="All",H741=sel_Product),AND(S741&gt;=m_From,S741&lt;=m_To)),1,0)</f>
        <v/>
      </c>
      <c r="Y741" s="36">
        <f>IF(AND(OR(sel_Region="All",C741=sel_Region),OR(sel_Country="All",D741=sel_Country),OR(sel_Channel="All",E741=sel_Channel),OR(sel_Customer="All",F741=sel_Customer),OR(sel_Product="All",H741=sel_Product),AND(S741&gt;=m_From,S741&lt;=m_To)),1,0)</f>
        <v/>
      </c>
      <c r="Z741" s="36">
        <f>IF(AND(OR(sel_Region="All",C741=sel_Region),OR(sel_Country="All",D741=sel_Country),OR(sel_Channel="All",E741=sel_Channel),OR(sel_Customer="All",F741=sel_Customer),OR(sel_Category="All",G741=sel_Category),AND(S741&gt;=m_From,S741&lt;=m_To)),1,0)</f>
        <v/>
      </c>
      <c r="AA741" s="36">
        <f>IF(AND(OR(sel_Region="All",C741=sel_Region),OR(sel_Country="All",D741=sel_Country),OR(sel_Channel="All",E741=sel_Channel),OR(sel_Customer="All",F741=sel_Customer),OR(sel_Category="All",G741=sel_Category),OR(sel_Product="All",H741=sel_Product)),1,0)</f>
        <v/>
      </c>
    </row>
    <row r="742">
      <c r="A742" s="36" t="inlineStr">
        <is>
          <t>00830</t>
        </is>
      </c>
      <c r="B742" s="44" t="n">
        <v>46147</v>
      </c>
      <c r="C742" s="36" t="inlineStr">
        <is>
          <t>Western Europe</t>
        </is>
      </c>
      <c r="D742" s="36" t="inlineStr">
        <is>
          <t>United Kingdom</t>
        </is>
      </c>
      <c r="E742" s="36" t="inlineStr">
        <is>
          <t>Online Store</t>
        </is>
      </c>
      <c r="F742" s="36" t="inlineStr">
        <is>
          <t>Business</t>
        </is>
      </c>
      <c r="G742" s="36" t="inlineStr">
        <is>
          <t>Cycling</t>
        </is>
      </c>
      <c r="H742" s="36" t="inlineStr">
        <is>
          <t>Trail Bike Light</t>
        </is>
      </c>
      <c r="I742" s="36" t="n">
        <v>2</v>
      </c>
      <c r="J742" s="39" t="n">
        <v>50.4</v>
      </c>
      <c r="K742" s="45" t="n">
        <v>0</v>
      </c>
      <c r="L742" s="39" t="n">
        <v>22.21</v>
      </c>
      <c r="M742" s="39">
        <f>I742*J742*(1-K742)</f>
        <v/>
      </c>
      <c r="N742" s="39">
        <f>I742*L742</f>
        <v/>
      </c>
      <c r="O742" s="39">
        <f>M742-N742</f>
        <v/>
      </c>
      <c r="P742" s="38">
        <f>IF(M742=0,0,O742/M742)</f>
        <v/>
      </c>
      <c r="Q742" s="36">
        <f>YEAR(B742)</f>
        <v/>
      </c>
      <c r="R742" s="36">
        <f>"Q"&amp;ROUNDUP(MONTH(B742)/3,0)</f>
        <v/>
      </c>
      <c r="S742" s="36">
        <f>MONTH(B742)</f>
        <v/>
      </c>
      <c r="T742" s="36">
        <f>TEXT(B742,"mmm")</f>
        <v/>
      </c>
      <c r="U742" s="36">
        <f>IF(AND(OR(sel_Region="All",C742=sel_Region),OR(sel_Country="All",D742=sel_Country),OR(sel_Channel="All",E742=sel_Channel),OR(sel_Customer="All",F742=sel_Customer),OR(sel_Category="All",G742=sel_Category),OR(sel_Product="All",H742=sel_Product),AND(S742&gt;=m_From,S742&lt;=m_To)),1,0)</f>
        <v/>
      </c>
      <c r="V742" s="36">
        <f>IF(AND(OR(sel_Region="All",C742=sel_Region),OR(sel_Channel="All",E742=sel_Channel),OR(sel_Customer="All",F742=sel_Customer),OR(sel_Category="All",G742=sel_Category),OR(sel_Product="All",H742=sel_Product),AND(S742&gt;=m_From,S742&lt;=m_To)),1,0)</f>
        <v/>
      </c>
      <c r="W742" s="36">
        <f>IF(AND(OR(sel_Region="All",C742=sel_Region),OR(sel_Country="All",D742=sel_Country),OR(sel_Customer="All",F742=sel_Customer),OR(sel_Category="All",G742=sel_Category),OR(sel_Product="All",H742=sel_Product),AND(S742&gt;=m_From,S742&lt;=m_To)),1,0)</f>
        <v/>
      </c>
      <c r="X742" s="36">
        <f>IF(AND(OR(sel_Region="All",C742=sel_Region),OR(sel_Country="All",D742=sel_Country),OR(sel_Channel="All",E742=sel_Channel),OR(sel_Category="All",G742=sel_Category),OR(sel_Product="All",H742=sel_Product),AND(S742&gt;=m_From,S742&lt;=m_To)),1,0)</f>
        <v/>
      </c>
      <c r="Y742" s="36">
        <f>IF(AND(OR(sel_Region="All",C742=sel_Region),OR(sel_Country="All",D742=sel_Country),OR(sel_Channel="All",E742=sel_Channel),OR(sel_Customer="All",F742=sel_Customer),OR(sel_Product="All",H742=sel_Product),AND(S742&gt;=m_From,S742&lt;=m_To)),1,0)</f>
        <v/>
      </c>
      <c r="Z742" s="36">
        <f>IF(AND(OR(sel_Region="All",C742=sel_Region),OR(sel_Country="All",D742=sel_Country),OR(sel_Channel="All",E742=sel_Channel),OR(sel_Customer="All",F742=sel_Customer),OR(sel_Category="All",G742=sel_Category),AND(S742&gt;=m_From,S742&lt;=m_To)),1,0)</f>
        <v/>
      </c>
      <c r="AA742" s="36">
        <f>IF(AND(OR(sel_Region="All",C742=sel_Region),OR(sel_Country="All",D742=sel_Country),OR(sel_Channel="All",E742=sel_Channel),OR(sel_Customer="All",F742=sel_Customer),OR(sel_Category="All",G742=sel_Category),OR(sel_Product="All",H742=sel_Product)),1,0)</f>
        <v/>
      </c>
    </row>
    <row r="743">
      <c r="A743" s="36" t="inlineStr">
        <is>
          <t>04320</t>
        </is>
      </c>
      <c r="B743" s="44" t="n">
        <v>46147</v>
      </c>
      <c r="C743" s="36" t="inlineStr">
        <is>
          <t>Central Europe</t>
        </is>
      </c>
      <c r="D743" s="36" t="inlineStr">
        <is>
          <t>Austria</t>
        </is>
      </c>
      <c r="E743" s="36" t="inlineStr">
        <is>
          <t>Online Store</t>
        </is>
      </c>
      <c r="F743" s="36" t="inlineStr">
        <is>
          <t>Returning</t>
        </is>
      </c>
      <c r="G743" s="36" t="inlineStr">
        <is>
          <t>Travel</t>
        </is>
      </c>
      <c r="H743" s="36" t="inlineStr">
        <is>
          <t>Travel Backpack 35L</t>
        </is>
      </c>
      <c r="I743" s="36" t="n">
        <v>2</v>
      </c>
      <c r="J743" s="39" t="n">
        <v>165.17</v>
      </c>
      <c r="K743" s="45" t="n">
        <v>0</v>
      </c>
      <c r="L743" s="39" t="n">
        <v>87.78</v>
      </c>
      <c r="M743" s="39">
        <f>I743*J743*(1-K743)</f>
        <v/>
      </c>
      <c r="N743" s="39">
        <f>I743*L743</f>
        <v/>
      </c>
      <c r="O743" s="39">
        <f>M743-N743</f>
        <v/>
      </c>
      <c r="P743" s="38">
        <f>IF(M743=0,0,O743/M743)</f>
        <v/>
      </c>
      <c r="Q743" s="36">
        <f>YEAR(B743)</f>
        <v/>
      </c>
      <c r="R743" s="36">
        <f>"Q"&amp;ROUNDUP(MONTH(B743)/3,0)</f>
        <v/>
      </c>
      <c r="S743" s="36">
        <f>MONTH(B743)</f>
        <v/>
      </c>
      <c r="T743" s="36">
        <f>TEXT(B743,"mmm")</f>
        <v/>
      </c>
      <c r="U743" s="36">
        <f>IF(AND(OR(sel_Region="All",C743=sel_Region),OR(sel_Country="All",D743=sel_Country),OR(sel_Channel="All",E743=sel_Channel),OR(sel_Customer="All",F743=sel_Customer),OR(sel_Category="All",G743=sel_Category),OR(sel_Product="All",H743=sel_Product),AND(S743&gt;=m_From,S743&lt;=m_To)),1,0)</f>
        <v/>
      </c>
      <c r="V743" s="36">
        <f>IF(AND(OR(sel_Region="All",C743=sel_Region),OR(sel_Channel="All",E743=sel_Channel),OR(sel_Customer="All",F743=sel_Customer),OR(sel_Category="All",G743=sel_Category),OR(sel_Product="All",H743=sel_Product),AND(S743&gt;=m_From,S743&lt;=m_To)),1,0)</f>
        <v/>
      </c>
      <c r="W743" s="36">
        <f>IF(AND(OR(sel_Region="All",C743=sel_Region),OR(sel_Country="All",D743=sel_Country),OR(sel_Customer="All",F743=sel_Customer),OR(sel_Category="All",G743=sel_Category),OR(sel_Product="All",H743=sel_Product),AND(S743&gt;=m_From,S743&lt;=m_To)),1,0)</f>
        <v/>
      </c>
      <c r="X743" s="36">
        <f>IF(AND(OR(sel_Region="All",C743=sel_Region),OR(sel_Country="All",D743=sel_Country),OR(sel_Channel="All",E743=sel_Channel),OR(sel_Category="All",G743=sel_Category),OR(sel_Product="All",H743=sel_Product),AND(S743&gt;=m_From,S743&lt;=m_To)),1,0)</f>
        <v/>
      </c>
      <c r="Y743" s="36">
        <f>IF(AND(OR(sel_Region="All",C743=sel_Region),OR(sel_Country="All",D743=sel_Country),OR(sel_Channel="All",E743=sel_Channel),OR(sel_Customer="All",F743=sel_Customer),OR(sel_Product="All",H743=sel_Product),AND(S743&gt;=m_From,S743&lt;=m_To)),1,0)</f>
        <v/>
      </c>
      <c r="Z743" s="36">
        <f>IF(AND(OR(sel_Region="All",C743=sel_Region),OR(sel_Country="All",D743=sel_Country),OR(sel_Channel="All",E743=sel_Channel),OR(sel_Customer="All",F743=sel_Customer),OR(sel_Category="All",G743=sel_Category),AND(S743&gt;=m_From,S743&lt;=m_To)),1,0)</f>
        <v/>
      </c>
      <c r="AA743" s="36">
        <f>IF(AND(OR(sel_Region="All",C743=sel_Region),OR(sel_Country="All",D743=sel_Country),OR(sel_Channel="All",E743=sel_Channel),OR(sel_Customer="All",F743=sel_Customer),OR(sel_Category="All",G743=sel_Category),OR(sel_Product="All",H743=sel_Product)),1,0)</f>
        <v/>
      </c>
    </row>
    <row r="744">
      <c r="A744" s="36" t="inlineStr">
        <is>
          <t>04386</t>
        </is>
      </c>
      <c r="B744" s="44" t="n">
        <v>46147</v>
      </c>
      <c r="C744" s="36" t="inlineStr">
        <is>
          <t>Southern Europe</t>
        </is>
      </c>
      <c r="D744" s="36" t="inlineStr">
        <is>
          <t>Italy</t>
        </is>
      </c>
      <c r="E744" s="36" t="inlineStr">
        <is>
          <t>Online Store</t>
        </is>
      </c>
      <c r="F744" s="36" t="inlineStr">
        <is>
          <t>Returning</t>
        </is>
      </c>
      <c r="G744" s="36" t="inlineStr">
        <is>
          <t>Hiking</t>
        </is>
      </c>
      <c r="H744" s="36" t="inlineStr">
        <is>
          <t>Trekking Poles</t>
        </is>
      </c>
      <c r="I744" s="36" t="n">
        <v>1</v>
      </c>
      <c r="J744" s="39" t="n">
        <v>69.81999999999999</v>
      </c>
      <c r="K744" s="45" t="n">
        <v>0.05</v>
      </c>
      <c r="L744" s="39" t="n">
        <v>33.29</v>
      </c>
      <c r="M744" s="39">
        <f>I744*J744*(1-K744)</f>
        <v/>
      </c>
      <c r="N744" s="39">
        <f>I744*L744</f>
        <v/>
      </c>
      <c r="O744" s="39">
        <f>M744-N744</f>
        <v/>
      </c>
      <c r="P744" s="38">
        <f>IF(M744=0,0,O744/M744)</f>
        <v/>
      </c>
      <c r="Q744" s="36">
        <f>YEAR(B744)</f>
        <v/>
      </c>
      <c r="R744" s="36">
        <f>"Q"&amp;ROUNDUP(MONTH(B744)/3,0)</f>
        <v/>
      </c>
      <c r="S744" s="36">
        <f>MONTH(B744)</f>
        <v/>
      </c>
      <c r="T744" s="36">
        <f>TEXT(B744,"mmm")</f>
        <v/>
      </c>
      <c r="U744" s="36">
        <f>IF(AND(OR(sel_Region="All",C744=sel_Region),OR(sel_Country="All",D744=sel_Country),OR(sel_Channel="All",E744=sel_Channel),OR(sel_Customer="All",F744=sel_Customer),OR(sel_Category="All",G744=sel_Category),OR(sel_Product="All",H744=sel_Product),AND(S744&gt;=m_From,S744&lt;=m_To)),1,0)</f>
        <v/>
      </c>
      <c r="V744" s="36">
        <f>IF(AND(OR(sel_Region="All",C744=sel_Region),OR(sel_Channel="All",E744=sel_Channel),OR(sel_Customer="All",F744=sel_Customer),OR(sel_Category="All",G744=sel_Category),OR(sel_Product="All",H744=sel_Product),AND(S744&gt;=m_From,S744&lt;=m_To)),1,0)</f>
        <v/>
      </c>
      <c r="W744" s="36">
        <f>IF(AND(OR(sel_Region="All",C744=sel_Region),OR(sel_Country="All",D744=sel_Country),OR(sel_Customer="All",F744=sel_Customer),OR(sel_Category="All",G744=sel_Category),OR(sel_Product="All",H744=sel_Product),AND(S744&gt;=m_From,S744&lt;=m_To)),1,0)</f>
        <v/>
      </c>
      <c r="X744" s="36">
        <f>IF(AND(OR(sel_Region="All",C744=sel_Region),OR(sel_Country="All",D744=sel_Country),OR(sel_Channel="All",E744=sel_Channel),OR(sel_Category="All",G744=sel_Category),OR(sel_Product="All",H744=sel_Product),AND(S744&gt;=m_From,S744&lt;=m_To)),1,0)</f>
        <v/>
      </c>
      <c r="Y744" s="36">
        <f>IF(AND(OR(sel_Region="All",C744=sel_Region),OR(sel_Country="All",D744=sel_Country),OR(sel_Channel="All",E744=sel_Channel),OR(sel_Customer="All",F744=sel_Customer),OR(sel_Product="All",H744=sel_Product),AND(S744&gt;=m_From,S744&lt;=m_To)),1,0)</f>
        <v/>
      </c>
      <c r="Z744" s="36">
        <f>IF(AND(OR(sel_Region="All",C744=sel_Region),OR(sel_Country="All",D744=sel_Country),OR(sel_Channel="All",E744=sel_Channel),OR(sel_Customer="All",F744=sel_Customer),OR(sel_Category="All",G744=sel_Category),AND(S744&gt;=m_From,S744&lt;=m_To)),1,0)</f>
        <v/>
      </c>
      <c r="AA744" s="36">
        <f>IF(AND(OR(sel_Region="All",C744=sel_Region),OR(sel_Country="All",D744=sel_Country),OR(sel_Channel="All",E744=sel_Channel),OR(sel_Customer="All",F744=sel_Customer),OR(sel_Category="All",G744=sel_Category),OR(sel_Product="All",H744=sel_Product)),1,0)</f>
        <v/>
      </c>
    </row>
    <row r="745">
      <c r="A745" s="36" t="inlineStr">
        <is>
          <t>04602</t>
        </is>
      </c>
      <c r="B745" s="44" t="n">
        <v>46147</v>
      </c>
      <c r="C745" s="36" t="inlineStr">
        <is>
          <t>Central Europe</t>
        </is>
      </c>
      <c r="D745" s="36" t="inlineStr">
        <is>
          <t>Germany</t>
        </is>
      </c>
      <c r="E745" s="36" t="inlineStr">
        <is>
          <t>Marketplace</t>
        </is>
      </c>
      <c r="F745" s="36" t="inlineStr">
        <is>
          <t>New</t>
        </is>
      </c>
      <c r="G745" s="36" t="inlineStr">
        <is>
          <t>Travel</t>
        </is>
      </c>
      <c r="H745" s="36" t="inlineStr">
        <is>
          <t>Carry-On Duffel</t>
        </is>
      </c>
      <c r="I745" s="36" t="n">
        <v>2</v>
      </c>
      <c r="J745" s="39" t="n">
        <v>131.36</v>
      </c>
      <c r="K745" s="45" t="n">
        <v>0.1</v>
      </c>
      <c r="L745" s="39" t="n">
        <v>65.3</v>
      </c>
      <c r="M745" s="39">
        <f>I745*J745*(1-K745)</f>
        <v/>
      </c>
      <c r="N745" s="39">
        <f>I745*L745</f>
        <v/>
      </c>
      <c r="O745" s="39">
        <f>M745-N745</f>
        <v/>
      </c>
      <c r="P745" s="38">
        <f>IF(M745=0,0,O745/M745)</f>
        <v/>
      </c>
      <c r="Q745" s="36">
        <f>YEAR(B745)</f>
        <v/>
      </c>
      <c r="R745" s="36">
        <f>"Q"&amp;ROUNDUP(MONTH(B745)/3,0)</f>
        <v/>
      </c>
      <c r="S745" s="36">
        <f>MONTH(B745)</f>
        <v/>
      </c>
      <c r="T745" s="36">
        <f>TEXT(B745,"mmm")</f>
        <v/>
      </c>
      <c r="U745" s="36">
        <f>IF(AND(OR(sel_Region="All",C745=sel_Region),OR(sel_Country="All",D745=sel_Country),OR(sel_Channel="All",E745=sel_Channel),OR(sel_Customer="All",F745=sel_Customer),OR(sel_Category="All",G745=sel_Category),OR(sel_Product="All",H745=sel_Product),AND(S745&gt;=m_From,S745&lt;=m_To)),1,0)</f>
        <v/>
      </c>
      <c r="V745" s="36">
        <f>IF(AND(OR(sel_Region="All",C745=sel_Region),OR(sel_Channel="All",E745=sel_Channel),OR(sel_Customer="All",F745=sel_Customer),OR(sel_Category="All",G745=sel_Category),OR(sel_Product="All",H745=sel_Product),AND(S745&gt;=m_From,S745&lt;=m_To)),1,0)</f>
        <v/>
      </c>
      <c r="W745" s="36">
        <f>IF(AND(OR(sel_Region="All",C745=sel_Region),OR(sel_Country="All",D745=sel_Country),OR(sel_Customer="All",F745=sel_Customer),OR(sel_Category="All",G745=sel_Category),OR(sel_Product="All",H745=sel_Product),AND(S745&gt;=m_From,S745&lt;=m_To)),1,0)</f>
        <v/>
      </c>
      <c r="X745" s="36">
        <f>IF(AND(OR(sel_Region="All",C745=sel_Region),OR(sel_Country="All",D745=sel_Country),OR(sel_Channel="All",E745=sel_Channel),OR(sel_Category="All",G745=sel_Category),OR(sel_Product="All",H745=sel_Product),AND(S745&gt;=m_From,S745&lt;=m_To)),1,0)</f>
        <v/>
      </c>
      <c r="Y745" s="36">
        <f>IF(AND(OR(sel_Region="All",C745=sel_Region),OR(sel_Country="All",D745=sel_Country),OR(sel_Channel="All",E745=sel_Channel),OR(sel_Customer="All",F745=sel_Customer),OR(sel_Product="All",H745=sel_Product),AND(S745&gt;=m_From,S745&lt;=m_To)),1,0)</f>
        <v/>
      </c>
      <c r="Z745" s="36">
        <f>IF(AND(OR(sel_Region="All",C745=sel_Region),OR(sel_Country="All",D745=sel_Country),OR(sel_Channel="All",E745=sel_Channel),OR(sel_Customer="All",F745=sel_Customer),OR(sel_Category="All",G745=sel_Category),AND(S745&gt;=m_From,S745&lt;=m_To)),1,0)</f>
        <v/>
      </c>
      <c r="AA745" s="36">
        <f>IF(AND(OR(sel_Region="All",C745=sel_Region),OR(sel_Country="All",D745=sel_Country),OR(sel_Channel="All",E745=sel_Channel),OR(sel_Customer="All",F745=sel_Customer),OR(sel_Category="All",G745=sel_Category),OR(sel_Product="All",H745=sel_Product)),1,0)</f>
        <v/>
      </c>
    </row>
    <row r="746">
      <c r="A746" s="36" t="inlineStr">
        <is>
          <t>05190</t>
        </is>
      </c>
      <c r="B746" s="44" t="n">
        <v>46147</v>
      </c>
      <c r="C746" s="36" t="inlineStr">
        <is>
          <t>Western Europe</t>
        </is>
      </c>
      <c r="D746" s="36" t="inlineStr">
        <is>
          <t>United Kingdom</t>
        </is>
      </c>
      <c r="E746" s="36" t="inlineStr">
        <is>
          <t>Corporate</t>
        </is>
      </c>
      <c r="F746" s="36" t="inlineStr">
        <is>
          <t>Returning</t>
        </is>
      </c>
      <c r="G746" s="36" t="inlineStr">
        <is>
          <t>Hiking</t>
        </is>
      </c>
      <c r="H746" s="36" t="inlineStr">
        <is>
          <t>Hiking Daypack 20L</t>
        </is>
      </c>
      <c r="I746" s="36" t="n">
        <v>15</v>
      </c>
      <c r="J746" s="39" t="n">
        <v>93.65000000000001</v>
      </c>
      <c r="K746" s="45" t="n">
        <v>0.1</v>
      </c>
      <c r="L746" s="39" t="n">
        <v>44.89</v>
      </c>
      <c r="M746" s="39">
        <f>I746*J746*(1-K746)</f>
        <v/>
      </c>
      <c r="N746" s="39">
        <f>I746*L746</f>
        <v/>
      </c>
      <c r="O746" s="39">
        <f>M746-N746</f>
        <v/>
      </c>
      <c r="P746" s="38">
        <f>IF(M746=0,0,O746/M746)</f>
        <v/>
      </c>
      <c r="Q746" s="36">
        <f>YEAR(B746)</f>
        <v/>
      </c>
      <c r="R746" s="36">
        <f>"Q"&amp;ROUNDUP(MONTH(B746)/3,0)</f>
        <v/>
      </c>
      <c r="S746" s="36">
        <f>MONTH(B746)</f>
        <v/>
      </c>
      <c r="T746" s="36">
        <f>TEXT(B746,"mmm")</f>
        <v/>
      </c>
      <c r="U746" s="36">
        <f>IF(AND(OR(sel_Region="All",C746=sel_Region),OR(sel_Country="All",D746=sel_Country),OR(sel_Channel="All",E746=sel_Channel),OR(sel_Customer="All",F746=sel_Customer),OR(sel_Category="All",G746=sel_Category),OR(sel_Product="All",H746=sel_Product),AND(S746&gt;=m_From,S746&lt;=m_To)),1,0)</f>
        <v/>
      </c>
      <c r="V746" s="36">
        <f>IF(AND(OR(sel_Region="All",C746=sel_Region),OR(sel_Channel="All",E746=sel_Channel),OR(sel_Customer="All",F746=sel_Customer),OR(sel_Category="All",G746=sel_Category),OR(sel_Product="All",H746=sel_Product),AND(S746&gt;=m_From,S746&lt;=m_To)),1,0)</f>
        <v/>
      </c>
      <c r="W746" s="36">
        <f>IF(AND(OR(sel_Region="All",C746=sel_Region),OR(sel_Country="All",D746=sel_Country),OR(sel_Customer="All",F746=sel_Customer),OR(sel_Category="All",G746=sel_Category),OR(sel_Product="All",H746=sel_Product),AND(S746&gt;=m_From,S746&lt;=m_To)),1,0)</f>
        <v/>
      </c>
      <c r="X746" s="36">
        <f>IF(AND(OR(sel_Region="All",C746=sel_Region),OR(sel_Country="All",D746=sel_Country),OR(sel_Channel="All",E746=sel_Channel),OR(sel_Category="All",G746=sel_Category),OR(sel_Product="All",H746=sel_Product),AND(S746&gt;=m_From,S746&lt;=m_To)),1,0)</f>
        <v/>
      </c>
      <c r="Y746" s="36">
        <f>IF(AND(OR(sel_Region="All",C746=sel_Region),OR(sel_Country="All",D746=sel_Country),OR(sel_Channel="All",E746=sel_Channel),OR(sel_Customer="All",F746=sel_Customer),OR(sel_Product="All",H746=sel_Product),AND(S746&gt;=m_From,S746&lt;=m_To)),1,0)</f>
        <v/>
      </c>
      <c r="Z746" s="36">
        <f>IF(AND(OR(sel_Region="All",C746=sel_Region),OR(sel_Country="All",D746=sel_Country),OR(sel_Channel="All",E746=sel_Channel),OR(sel_Customer="All",F746=sel_Customer),OR(sel_Category="All",G746=sel_Category),AND(S746&gt;=m_From,S746&lt;=m_To)),1,0)</f>
        <v/>
      </c>
      <c r="AA746" s="36">
        <f>IF(AND(OR(sel_Region="All",C746=sel_Region),OR(sel_Country="All",D746=sel_Country),OR(sel_Channel="All",E746=sel_Channel),OR(sel_Customer="All",F746=sel_Customer),OR(sel_Category="All",G746=sel_Category),OR(sel_Product="All",H746=sel_Product)),1,0)</f>
        <v/>
      </c>
    </row>
    <row r="747">
      <c r="A747" s="36" t="inlineStr">
        <is>
          <t>00393</t>
        </is>
      </c>
      <c r="B747" s="44" t="n">
        <v>46148</v>
      </c>
      <c r="C747" s="36" t="inlineStr">
        <is>
          <t>Central Europe</t>
        </is>
      </c>
      <c r="D747" s="36" t="inlineStr">
        <is>
          <t>Germany</t>
        </is>
      </c>
      <c r="E747" s="36" t="inlineStr">
        <is>
          <t>Marketplace</t>
        </is>
      </c>
      <c r="F747" s="36" t="inlineStr">
        <is>
          <t>New</t>
        </is>
      </c>
      <c r="G747" s="36" t="inlineStr">
        <is>
          <t>Camping</t>
        </is>
      </c>
      <c r="H747" s="36" t="inlineStr">
        <is>
          <t>Trail Tent 2P</t>
        </is>
      </c>
      <c r="I747" s="36" t="n">
        <v>3</v>
      </c>
      <c r="J747" s="39" t="n">
        <v>199.93</v>
      </c>
      <c r="K747" s="45" t="n">
        <v>0</v>
      </c>
      <c r="L747" s="39" t="n">
        <v>104.86</v>
      </c>
      <c r="M747" s="39">
        <f>I747*J747*(1-K747)</f>
        <v/>
      </c>
      <c r="N747" s="39">
        <f>I747*L747</f>
        <v/>
      </c>
      <c r="O747" s="39">
        <f>M747-N747</f>
        <v/>
      </c>
      <c r="P747" s="38">
        <f>IF(M747=0,0,O747/M747)</f>
        <v/>
      </c>
      <c r="Q747" s="36">
        <f>YEAR(B747)</f>
        <v/>
      </c>
      <c r="R747" s="36">
        <f>"Q"&amp;ROUNDUP(MONTH(B747)/3,0)</f>
        <v/>
      </c>
      <c r="S747" s="36">
        <f>MONTH(B747)</f>
        <v/>
      </c>
      <c r="T747" s="36">
        <f>TEXT(B747,"mmm")</f>
        <v/>
      </c>
      <c r="U747" s="36">
        <f>IF(AND(OR(sel_Region="All",C747=sel_Region),OR(sel_Country="All",D747=sel_Country),OR(sel_Channel="All",E747=sel_Channel),OR(sel_Customer="All",F747=sel_Customer),OR(sel_Category="All",G747=sel_Category),OR(sel_Product="All",H747=sel_Product),AND(S747&gt;=m_From,S747&lt;=m_To)),1,0)</f>
        <v/>
      </c>
      <c r="V747" s="36">
        <f>IF(AND(OR(sel_Region="All",C747=sel_Region),OR(sel_Channel="All",E747=sel_Channel),OR(sel_Customer="All",F747=sel_Customer),OR(sel_Category="All",G747=sel_Category),OR(sel_Product="All",H747=sel_Product),AND(S747&gt;=m_From,S747&lt;=m_To)),1,0)</f>
        <v/>
      </c>
      <c r="W747" s="36">
        <f>IF(AND(OR(sel_Region="All",C747=sel_Region),OR(sel_Country="All",D747=sel_Country),OR(sel_Customer="All",F747=sel_Customer),OR(sel_Category="All",G747=sel_Category),OR(sel_Product="All",H747=sel_Product),AND(S747&gt;=m_From,S747&lt;=m_To)),1,0)</f>
        <v/>
      </c>
      <c r="X747" s="36">
        <f>IF(AND(OR(sel_Region="All",C747=sel_Region),OR(sel_Country="All",D747=sel_Country),OR(sel_Channel="All",E747=sel_Channel),OR(sel_Category="All",G747=sel_Category),OR(sel_Product="All",H747=sel_Product),AND(S747&gt;=m_From,S747&lt;=m_To)),1,0)</f>
        <v/>
      </c>
      <c r="Y747" s="36">
        <f>IF(AND(OR(sel_Region="All",C747=sel_Region),OR(sel_Country="All",D747=sel_Country),OR(sel_Channel="All",E747=sel_Channel),OR(sel_Customer="All",F747=sel_Customer),OR(sel_Product="All",H747=sel_Product),AND(S747&gt;=m_From,S747&lt;=m_To)),1,0)</f>
        <v/>
      </c>
      <c r="Z747" s="36">
        <f>IF(AND(OR(sel_Region="All",C747=sel_Region),OR(sel_Country="All",D747=sel_Country),OR(sel_Channel="All",E747=sel_Channel),OR(sel_Customer="All",F747=sel_Customer),OR(sel_Category="All",G747=sel_Category),AND(S747&gt;=m_From,S747&lt;=m_To)),1,0)</f>
        <v/>
      </c>
      <c r="AA747" s="36">
        <f>IF(AND(OR(sel_Region="All",C747=sel_Region),OR(sel_Country="All",D747=sel_Country),OR(sel_Channel="All",E747=sel_Channel),OR(sel_Customer="All",F747=sel_Customer),OR(sel_Category="All",G747=sel_Category),OR(sel_Product="All",H747=sel_Product)),1,0)</f>
        <v/>
      </c>
    </row>
    <row r="748">
      <c r="A748" s="36" t="inlineStr">
        <is>
          <t>00812</t>
        </is>
      </c>
      <c r="B748" s="44" t="n">
        <v>46148</v>
      </c>
      <c r="C748" s="36" t="inlineStr">
        <is>
          <t>Southern Europe</t>
        </is>
      </c>
      <c r="D748" s="36" t="inlineStr">
        <is>
          <t>Spain</t>
        </is>
      </c>
      <c r="E748" s="36" t="inlineStr">
        <is>
          <t>Online Store</t>
        </is>
      </c>
      <c r="F748" s="36" t="inlineStr">
        <is>
          <t>New</t>
        </is>
      </c>
      <c r="G748" s="36" t="inlineStr">
        <is>
          <t>Hiking</t>
        </is>
      </c>
      <c r="H748" s="36" t="inlineStr">
        <is>
          <t>Trekking Poles</t>
        </is>
      </c>
      <c r="I748" s="36" t="n">
        <v>5</v>
      </c>
      <c r="J748" s="39" t="n">
        <v>70.15000000000001</v>
      </c>
      <c r="K748" s="45" t="n">
        <v>0</v>
      </c>
      <c r="L748" s="39" t="n">
        <v>32.7</v>
      </c>
      <c r="M748" s="39">
        <f>I748*J748*(1-K748)</f>
        <v/>
      </c>
      <c r="N748" s="39">
        <f>I748*L748</f>
        <v/>
      </c>
      <c r="O748" s="39">
        <f>M748-N748</f>
        <v/>
      </c>
      <c r="P748" s="38">
        <f>IF(M748=0,0,O748/M748)</f>
        <v/>
      </c>
      <c r="Q748" s="36">
        <f>YEAR(B748)</f>
        <v/>
      </c>
      <c r="R748" s="36">
        <f>"Q"&amp;ROUNDUP(MONTH(B748)/3,0)</f>
        <v/>
      </c>
      <c r="S748" s="36">
        <f>MONTH(B748)</f>
        <v/>
      </c>
      <c r="T748" s="36">
        <f>TEXT(B748,"mmm")</f>
        <v/>
      </c>
      <c r="U748" s="36">
        <f>IF(AND(OR(sel_Region="All",C748=sel_Region),OR(sel_Country="All",D748=sel_Country),OR(sel_Channel="All",E748=sel_Channel),OR(sel_Customer="All",F748=sel_Customer),OR(sel_Category="All",G748=sel_Category),OR(sel_Product="All",H748=sel_Product),AND(S748&gt;=m_From,S748&lt;=m_To)),1,0)</f>
        <v/>
      </c>
      <c r="V748" s="36">
        <f>IF(AND(OR(sel_Region="All",C748=sel_Region),OR(sel_Channel="All",E748=sel_Channel),OR(sel_Customer="All",F748=sel_Customer),OR(sel_Category="All",G748=sel_Category),OR(sel_Product="All",H748=sel_Product),AND(S748&gt;=m_From,S748&lt;=m_To)),1,0)</f>
        <v/>
      </c>
      <c r="W748" s="36">
        <f>IF(AND(OR(sel_Region="All",C748=sel_Region),OR(sel_Country="All",D748=sel_Country),OR(sel_Customer="All",F748=sel_Customer),OR(sel_Category="All",G748=sel_Category),OR(sel_Product="All",H748=sel_Product),AND(S748&gt;=m_From,S748&lt;=m_To)),1,0)</f>
        <v/>
      </c>
      <c r="X748" s="36">
        <f>IF(AND(OR(sel_Region="All",C748=sel_Region),OR(sel_Country="All",D748=sel_Country),OR(sel_Channel="All",E748=sel_Channel),OR(sel_Category="All",G748=sel_Category),OR(sel_Product="All",H748=sel_Product),AND(S748&gt;=m_From,S748&lt;=m_To)),1,0)</f>
        <v/>
      </c>
      <c r="Y748" s="36">
        <f>IF(AND(OR(sel_Region="All",C748=sel_Region),OR(sel_Country="All",D748=sel_Country),OR(sel_Channel="All",E748=sel_Channel),OR(sel_Customer="All",F748=sel_Customer),OR(sel_Product="All",H748=sel_Product),AND(S748&gt;=m_From,S748&lt;=m_To)),1,0)</f>
        <v/>
      </c>
      <c r="Z748" s="36">
        <f>IF(AND(OR(sel_Region="All",C748=sel_Region),OR(sel_Country="All",D748=sel_Country),OR(sel_Channel="All",E748=sel_Channel),OR(sel_Customer="All",F748=sel_Customer),OR(sel_Category="All",G748=sel_Category),AND(S748&gt;=m_From,S748&lt;=m_To)),1,0)</f>
        <v/>
      </c>
      <c r="AA748" s="36">
        <f>IF(AND(OR(sel_Region="All",C748=sel_Region),OR(sel_Country="All",D748=sel_Country),OR(sel_Channel="All",E748=sel_Channel),OR(sel_Customer="All",F748=sel_Customer),OR(sel_Category="All",G748=sel_Category),OR(sel_Product="All",H748=sel_Product)),1,0)</f>
        <v/>
      </c>
    </row>
    <row r="749">
      <c r="A749" s="36" t="inlineStr">
        <is>
          <t>01297</t>
        </is>
      </c>
      <c r="B749" s="44" t="n">
        <v>46148</v>
      </c>
      <c r="C749" s="36" t="inlineStr">
        <is>
          <t>Northern Europe</t>
        </is>
      </c>
      <c r="D749" s="36" t="inlineStr">
        <is>
          <t>Sweden</t>
        </is>
      </c>
      <c r="E749" s="36" t="inlineStr">
        <is>
          <t>Retail Partners</t>
        </is>
      </c>
      <c r="F749" s="36" t="inlineStr">
        <is>
          <t>New</t>
        </is>
      </c>
      <c r="G749" s="36" t="inlineStr">
        <is>
          <t>Fitness</t>
        </is>
      </c>
      <c r="H749" s="36" t="inlineStr">
        <is>
          <t>Recovery Roller</t>
        </is>
      </c>
      <c r="I749" s="36" t="n">
        <v>2</v>
      </c>
      <c r="J749" s="39" t="n">
        <v>35.86</v>
      </c>
      <c r="K749" s="45" t="n">
        <v>0</v>
      </c>
      <c r="L749" s="39" t="n">
        <v>13.9</v>
      </c>
      <c r="M749" s="39">
        <f>I749*J749*(1-K749)</f>
        <v/>
      </c>
      <c r="N749" s="39">
        <f>I749*L749</f>
        <v/>
      </c>
      <c r="O749" s="39">
        <f>M749-N749</f>
        <v/>
      </c>
      <c r="P749" s="38">
        <f>IF(M749=0,0,O749/M749)</f>
        <v/>
      </c>
      <c r="Q749" s="36">
        <f>YEAR(B749)</f>
        <v/>
      </c>
      <c r="R749" s="36">
        <f>"Q"&amp;ROUNDUP(MONTH(B749)/3,0)</f>
        <v/>
      </c>
      <c r="S749" s="36">
        <f>MONTH(B749)</f>
        <v/>
      </c>
      <c r="T749" s="36">
        <f>TEXT(B749,"mmm")</f>
        <v/>
      </c>
      <c r="U749" s="36">
        <f>IF(AND(OR(sel_Region="All",C749=sel_Region),OR(sel_Country="All",D749=sel_Country),OR(sel_Channel="All",E749=sel_Channel),OR(sel_Customer="All",F749=sel_Customer),OR(sel_Category="All",G749=sel_Category),OR(sel_Product="All",H749=sel_Product),AND(S749&gt;=m_From,S749&lt;=m_To)),1,0)</f>
        <v/>
      </c>
      <c r="V749" s="36">
        <f>IF(AND(OR(sel_Region="All",C749=sel_Region),OR(sel_Channel="All",E749=sel_Channel),OR(sel_Customer="All",F749=sel_Customer),OR(sel_Category="All",G749=sel_Category),OR(sel_Product="All",H749=sel_Product),AND(S749&gt;=m_From,S749&lt;=m_To)),1,0)</f>
        <v/>
      </c>
      <c r="W749" s="36">
        <f>IF(AND(OR(sel_Region="All",C749=sel_Region),OR(sel_Country="All",D749=sel_Country),OR(sel_Customer="All",F749=sel_Customer),OR(sel_Category="All",G749=sel_Category),OR(sel_Product="All",H749=sel_Product),AND(S749&gt;=m_From,S749&lt;=m_To)),1,0)</f>
        <v/>
      </c>
      <c r="X749" s="36">
        <f>IF(AND(OR(sel_Region="All",C749=sel_Region),OR(sel_Country="All",D749=sel_Country),OR(sel_Channel="All",E749=sel_Channel),OR(sel_Category="All",G749=sel_Category),OR(sel_Product="All",H749=sel_Product),AND(S749&gt;=m_From,S749&lt;=m_To)),1,0)</f>
        <v/>
      </c>
      <c r="Y749" s="36">
        <f>IF(AND(OR(sel_Region="All",C749=sel_Region),OR(sel_Country="All",D749=sel_Country),OR(sel_Channel="All",E749=sel_Channel),OR(sel_Customer="All",F749=sel_Customer),OR(sel_Product="All",H749=sel_Product),AND(S749&gt;=m_From,S749&lt;=m_To)),1,0)</f>
        <v/>
      </c>
      <c r="Z749" s="36">
        <f>IF(AND(OR(sel_Region="All",C749=sel_Region),OR(sel_Country="All",D749=sel_Country),OR(sel_Channel="All",E749=sel_Channel),OR(sel_Customer="All",F749=sel_Customer),OR(sel_Category="All",G749=sel_Category),AND(S749&gt;=m_From,S749&lt;=m_To)),1,0)</f>
        <v/>
      </c>
      <c r="AA749" s="36">
        <f>IF(AND(OR(sel_Region="All",C749=sel_Region),OR(sel_Country="All",D749=sel_Country),OR(sel_Channel="All",E749=sel_Channel),OR(sel_Customer="All",F749=sel_Customer),OR(sel_Category="All",G749=sel_Category),OR(sel_Product="All",H749=sel_Product)),1,0)</f>
        <v/>
      </c>
    </row>
    <row r="750">
      <c r="A750" s="36" t="inlineStr">
        <is>
          <t>01574</t>
        </is>
      </c>
      <c r="B750" s="44" t="n">
        <v>46148</v>
      </c>
      <c r="C750" s="36" t="inlineStr">
        <is>
          <t>Central Europe</t>
        </is>
      </c>
      <c r="D750" s="36" t="inlineStr">
        <is>
          <t>Austria</t>
        </is>
      </c>
      <c r="E750" s="36" t="inlineStr">
        <is>
          <t>Online Store</t>
        </is>
      </c>
      <c r="F750" s="36" t="inlineStr">
        <is>
          <t>Returning</t>
        </is>
      </c>
      <c r="G750" s="36" t="inlineStr">
        <is>
          <t>Hiking</t>
        </is>
      </c>
      <c r="H750" s="36" t="inlineStr">
        <is>
          <t>Hiking Daypack 20L</t>
        </is>
      </c>
      <c r="I750" s="36" t="n">
        <v>1</v>
      </c>
      <c r="J750" s="39" t="n">
        <v>92.27</v>
      </c>
      <c r="K750" s="45" t="n">
        <v>0</v>
      </c>
      <c r="L750" s="39" t="n">
        <v>46.5</v>
      </c>
      <c r="M750" s="39">
        <f>I750*J750*(1-K750)</f>
        <v/>
      </c>
      <c r="N750" s="39">
        <f>I750*L750</f>
        <v/>
      </c>
      <c r="O750" s="39">
        <f>M750-N750</f>
        <v/>
      </c>
      <c r="P750" s="38">
        <f>IF(M750=0,0,O750/M750)</f>
        <v/>
      </c>
      <c r="Q750" s="36">
        <f>YEAR(B750)</f>
        <v/>
      </c>
      <c r="R750" s="36">
        <f>"Q"&amp;ROUNDUP(MONTH(B750)/3,0)</f>
        <v/>
      </c>
      <c r="S750" s="36">
        <f>MONTH(B750)</f>
        <v/>
      </c>
      <c r="T750" s="36">
        <f>TEXT(B750,"mmm")</f>
        <v/>
      </c>
      <c r="U750" s="36">
        <f>IF(AND(OR(sel_Region="All",C750=sel_Region),OR(sel_Country="All",D750=sel_Country),OR(sel_Channel="All",E750=sel_Channel),OR(sel_Customer="All",F750=sel_Customer),OR(sel_Category="All",G750=sel_Category),OR(sel_Product="All",H750=sel_Product),AND(S750&gt;=m_From,S750&lt;=m_To)),1,0)</f>
        <v/>
      </c>
      <c r="V750" s="36">
        <f>IF(AND(OR(sel_Region="All",C750=sel_Region),OR(sel_Channel="All",E750=sel_Channel),OR(sel_Customer="All",F750=sel_Customer),OR(sel_Category="All",G750=sel_Category),OR(sel_Product="All",H750=sel_Product),AND(S750&gt;=m_From,S750&lt;=m_To)),1,0)</f>
        <v/>
      </c>
      <c r="W750" s="36">
        <f>IF(AND(OR(sel_Region="All",C750=sel_Region),OR(sel_Country="All",D750=sel_Country),OR(sel_Customer="All",F750=sel_Customer),OR(sel_Category="All",G750=sel_Category),OR(sel_Product="All",H750=sel_Product),AND(S750&gt;=m_From,S750&lt;=m_To)),1,0)</f>
        <v/>
      </c>
      <c r="X750" s="36">
        <f>IF(AND(OR(sel_Region="All",C750=sel_Region),OR(sel_Country="All",D750=sel_Country),OR(sel_Channel="All",E750=sel_Channel),OR(sel_Category="All",G750=sel_Category),OR(sel_Product="All",H750=sel_Product),AND(S750&gt;=m_From,S750&lt;=m_To)),1,0)</f>
        <v/>
      </c>
      <c r="Y750" s="36">
        <f>IF(AND(OR(sel_Region="All",C750=sel_Region),OR(sel_Country="All",D750=sel_Country),OR(sel_Channel="All",E750=sel_Channel),OR(sel_Customer="All",F750=sel_Customer),OR(sel_Product="All",H750=sel_Product),AND(S750&gt;=m_From,S750&lt;=m_To)),1,0)</f>
        <v/>
      </c>
      <c r="Z750" s="36">
        <f>IF(AND(OR(sel_Region="All",C750=sel_Region),OR(sel_Country="All",D750=sel_Country),OR(sel_Channel="All",E750=sel_Channel),OR(sel_Customer="All",F750=sel_Customer),OR(sel_Category="All",G750=sel_Category),AND(S750&gt;=m_From,S750&lt;=m_To)),1,0)</f>
        <v/>
      </c>
      <c r="AA750" s="36">
        <f>IF(AND(OR(sel_Region="All",C750=sel_Region),OR(sel_Country="All",D750=sel_Country),OR(sel_Channel="All",E750=sel_Channel),OR(sel_Customer="All",F750=sel_Customer),OR(sel_Category="All",G750=sel_Category),OR(sel_Product="All",H750=sel_Product)),1,0)</f>
        <v/>
      </c>
    </row>
    <row r="751">
      <c r="A751" s="36" t="inlineStr">
        <is>
          <t>03060</t>
        </is>
      </c>
      <c r="B751" s="44" t="n">
        <v>46148</v>
      </c>
      <c r="C751" s="36" t="inlineStr">
        <is>
          <t>Central Europe</t>
        </is>
      </c>
      <c r="D751" s="36" t="inlineStr">
        <is>
          <t>Austria</t>
        </is>
      </c>
      <c r="E751" s="36" t="inlineStr">
        <is>
          <t>Corporate</t>
        </is>
      </c>
      <c r="F751" s="36" t="inlineStr">
        <is>
          <t>Business</t>
        </is>
      </c>
      <c r="G751" s="36" t="inlineStr">
        <is>
          <t>Hiking</t>
        </is>
      </c>
      <c r="H751" s="36" t="inlineStr">
        <is>
          <t>Summit Backpack 45L</t>
        </is>
      </c>
      <c r="I751" s="36" t="n">
        <v>6</v>
      </c>
      <c r="J751" s="39" t="n">
        <v>157.31</v>
      </c>
      <c r="K751" s="45" t="n">
        <v>0.15</v>
      </c>
      <c r="L751" s="39" t="n">
        <v>80.34</v>
      </c>
      <c r="M751" s="39">
        <f>I751*J751*(1-K751)</f>
        <v/>
      </c>
      <c r="N751" s="39">
        <f>I751*L751</f>
        <v/>
      </c>
      <c r="O751" s="39">
        <f>M751-N751</f>
        <v/>
      </c>
      <c r="P751" s="38">
        <f>IF(M751=0,0,O751/M751)</f>
        <v/>
      </c>
      <c r="Q751" s="36">
        <f>YEAR(B751)</f>
        <v/>
      </c>
      <c r="R751" s="36">
        <f>"Q"&amp;ROUNDUP(MONTH(B751)/3,0)</f>
        <v/>
      </c>
      <c r="S751" s="36">
        <f>MONTH(B751)</f>
        <v/>
      </c>
      <c r="T751" s="36">
        <f>TEXT(B751,"mmm")</f>
        <v/>
      </c>
      <c r="U751" s="36">
        <f>IF(AND(OR(sel_Region="All",C751=sel_Region),OR(sel_Country="All",D751=sel_Country),OR(sel_Channel="All",E751=sel_Channel),OR(sel_Customer="All",F751=sel_Customer),OR(sel_Category="All",G751=sel_Category),OR(sel_Product="All",H751=sel_Product),AND(S751&gt;=m_From,S751&lt;=m_To)),1,0)</f>
        <v/>
      </c>
      <c r="V751" s="36">
        <f>IF(AND(OR(sel_Region="All",C751=sel_Region),OR(sel_Channel="All",E751=sel_Channel),OR(sel_Customer="All",F751=sel_Customer),OR(sel_Category="All",G751=sel_Category),OR(sel_Product="All",H751=sel_Product),AND(S751&gt;=m_From,S751&lt;=m_To)),1,0)</f>
        <v/>
      </c>
      <c r="W751" s="36">
        <f>IF(AND(OR(sel_Region="All",C751=sel_Region),OR(sel_Country="All",D751=sel_Country),OR(sel_Customer="All",F751=sel_Customer),OR(sel_Category="All",G751=sel_Category),OR(sel_Product="All",H751=sel_Product),AND(S751&gt;=m_From,S751&lt;=m_To)),1,0)</f>
        <v/>
      </c>
      <c r="X751" s="36">
        <f>IF(AND(OR(sel_Region="All",C751=sel_Region),OR(sel_Country="All",D751=sel_Country),OR(sel_Channel="All",E751=sel_Channel),OR(sel_Category="All",G751=sel_Category),OR(sel_Product="All",H751=sel_Product),AND(S751&gt;=m_From,S751&lt;=m_To)),1,0)</f>
        <v/>
      </c>
      <c r="Y751" s="36">
        <f>IF(AND(OR(sel_Region="All",C751=sel_Region),OR(sel_Country="All",D751=sel_Country),OR(sel_Channel="All",E751=sel_Channel),OR(sel_Customer="All",F751=sel_Customer),OR(sel_Product="All",H751=sel_Product),AND(S751&gt;=m_From,S751&lt;=m_To)),1,0)</f>
        <v/>
      </c>
      <c r="Z751" s="36">
        <f>IF(AND(OR(sel_Region="All",C751=sel_Region),OR(sel_Country="All",D751=sel_Country),OR(sel_Channel="All",E751=sel_Channel),OR(sel_Customer="All",F751=sel_Customer),OR(sel_Category="All",G751=sel_Category),AND(S751&gt;=m_From,S751&lt;=m_To)),1,0)</f>
        <v/>
      </c>
      <c r="AA751" s="36">
        <f>IF(AND(OR(sel_Region="All",C751=sel_Region),OR(sel_Country="All",D751=sel_Country),OR(sel_Channel="All",E751=sel_Channel),OR(sel_Customer="All",F751=sel_Customer),OR(sel_Category="All",G751=sel_Category),OR(sel_Product="All",H751=sel_Product)),1,0)</f>
        <v/>
      </c>
    </row>
    <row r="752">
      <c r="A752" s="36" t="inlineStr">
        <is>
          <t>03490</t>
        </is>
      </c>
      <c r="B752" s="44" t="n">
        <v>46148</v>
      </c>
      <c r="C752" s="36" t="inlineStr">
        <is>
          <t>Central Europe</t>
        </is>
      </c>
      <c r="D752" s="36" t="inlineStr">
        <is>
          <t>Switzerland</t>
        </is>
      </c>
      <c r="E752" s="36" t="inlineStr">
        <is>
          <t>Online Store</t>
        </is>
      </c>
      <c r="F752" s="36" t="inlineStr">
        <is>
          <t>New</t>
        </is>
      </c>
      <c r="G752" s="36" t="inlineStr">
        <is>
          <t>Travel</t>
        </is>
      </c>
      <c r="H752" s="36" t="inlineStr">
        <is>
          <t>Packing Cube Set</t>
        </is>
      </c>
      <c r="I752" s="36" t="n">
        <v>2</v>
      </c>
      <c r="J752" s="39" t="n">
        <v>46.18</v>
      </c>
      <c r="K752" s="45" t="n">
        <v>0.05</v>
      </c>
      <c r="L752" s="39" t="n">
        <v>17.9</v>
      </c>
      <c r="M752" s="39">
        <f>I752*J752*(1-K752)</f>
        <v/>
      </c>
      <c r="N752" s="39">
        <f>I752*L752</f>
        <v/>
      </c>
      <c r="O752" s="39">
        <f>M752-N752</f>
        <v/>
      </c>
      <c r="P752" s="38">
        <f>IF(M752=0,0,O752/M752)</f>
        <v/>
      </c>
      <c r="Q752" s="36">
        <f>YEAR(B752)</f>
        <v/>
      </c>
      <c r="R752" s="36">
        <f>"Q"&amp;ROUNDUP(MONTH(B752)/3,0)</f>
        <v/>
      </c>
      <c r="S752" s="36">
        <f>MONTH(B752)</f>
        <v/>
      </c>
      <c r="T752" s="36">
        <f>TEXT(B752,"mmm")</f>
        <v/>
      </c>
      <c r="U752" s="36">
        <f>IF(AND(OR(sel_Region="All",C752=sel_Region),OR(sel_Country="All",D752=sel_Country),OR(sel_Channel="All",E752=sel_Channel),OR(sel_Customer="All",F752=sel_Customer),OR(sel_Category="All",G752=sel_Category),OR(sel_Product="All",H752=sel_Product),AND(S752&gt;=m_From,S752&lt;=m_To)),1,0)</f>
        <v/>
      </c>
      <c r="V752" s="36">
        <f>IF(AND(OR(sel_Region="All",C752=sel_Region),OR(sel_Channel="All",E752=sel_Channel),OR(sel_Customer="All",F752=sel_Customer),OR(sel_Category="All",G752=sel_Category),OR(sel_Product="All",H752=sel_Product),AND(S752&gt;=m_From,S752&lt;=m_To)),1,0)</f>
        <v/>
      </c>
      <c r="W752" s="36">
        <f>IF(AND(OR(sel_Region="All",C752=sel_Region),OR(sel_Country="All",D752=sel_Country),OR(sel_Customer="All",F752=sel_Customer),OR(sel_Category="All",G752=sel_Category),OR(sel_Product="All",H752=sel_Product),AND(S752&gt;=m_From,S752&lt;=m_To)),1,0)</f>
        <v/>
      </c>
      <c r="X752" s="36">
        <f>IF(AND(OR(sel_Region="All",C752=sel_Region),OR(sel_Country="All",D752=sel_Country),OR(sel_Channel="All",E752=sel_Channel),OR(sel_Category="All",G752=sel_Category),OR(sel_Product="All",H752=sel_Product),AND(S752&gt;=m_From,S752&lt;=m_To)),1,0)</f>
        <v/>
      </c>
      <c r="Y752" s="36">
        <f>IF(AND(OR(sel_Region="All",C752=sel_Region),OR(sel_Country="All",D752=sel_Country),OR(sel_Channel="All",E752=sel_Channel),OR(sel_Customer="All",F752=sel_Customer),OR(sel_Product="All",H752=sel_Product),AND(S752&gt;=m_From,S752&lt;=m_To)),1,0)</f>
        <v/>
      </c>
      <c r="Z752" s="36">
        <f>IF(AND(OR(sel_Region="All",C752=sel_Region),OR(sel_Country="All",D752=sel_Country),OR(sel_Channel="All",E752=sel_Channel),OR(sel_Customer="All",F752=sel_Customer),OR(sel_Category="All",G752=sel_Category),AND(S752&gt;=m_From,S752&lt;=m_To)),1,0)</f>
        <v/>
      </c>
      <c r="AA752" s="36">
        <f>IF(AND(OR(sel_Region="All",C752=sel_Region),OR(sel_Country="All",D752=sel_Country),OR(sel_Channel="All",E752=sel_Channel),OR(sel_Customer="All",F752=sel_Customer),OR(sel_Category="All",G752=sel_Category),OR(sel_Product="All",H752=sel_Product)),1,0)</f>
        <v/>
      </c>
    </row>
    <row r="753">
      <c r="A753" s="36" t="inlineStr">
        <is>
          <t>03654</t>
        </is>
      </c>
      <c r="B753" s="44" t="n">
        <v>46148</v>
      </c>
      <c r="C753" s="36" t="inlineStr">
        <is>
          <t>Northern Europe</t>
        </is>
      </c>
      <c r="D753" s="36" t="inlineStr">
        <is>
          <t>Finland</t>
        </is>
      </c>
      <c r="E753" s="36" t="inlineStr">
        <is>
          <t>Online Store</t>
        </is>
      </c>
      <c r="F753" s="36" t="inlineStr">
        <is>
          <t>Business</t>
        </is>
      </c>
      <c r="G753" s="36" t="inlineStr">
        <is>
          <t>Cycling</t>
        </is>
      </c>
      <c r="H753" s="36" t="inlineStr">
        <is>
          <t>Trail Bike Light</t>
        </is>
      </c>
      <c r="I753" s="36" t="n">
        <v>1</v>
      </c>
      <c r="J753" s="39" t="n">
        <v>51.44</v>
      </c>
      <c r="K753" s="45" t="n">
        <v>0.1</v>
      </c>
      <c r="L753" s="39" t="n">
        <v>22.88</v>
      </c>
      <c r="M753" s="39">
        <f>I753*J753*(1-K753)</f>
        <v/>
      </c>
      <c r="N753" s="39">
        <f>I753*L753</f>
        <v/>
      </c>
      <c r="O753" s="39">
        <f>M753-N753</f>
        <v/>
      </c>
      <c r="P753" s="38">
        <f>IF(M753=0,0,O753/M753)</f>
        <v/>
      </c>
      <c r="Q753" s="36">
        <f>YEAR(B753)</f>
        <v/>
      </c>
      <c r="R753" s="36">
        <f>"Q"&amp;ROUNDUP(MONTH(B753)/3,0)</f>
        <v/>
      </c>
      <c r="S753" s="36">
        <f>MONTH(B753)</f>
        <v/>
      </c>
      <c r="T753" s="36">
        <f>TEXT(B753,"mmm")</f>
        <v/>
      </c>
      <c r="U753" s="36">
        <f>IF(AND(OR(sel_Region="All",C753=sel_Region),OR(sel_Country="All",D753=sel_Country),OR(sel_Channel="All",E753=sel_Channel),OR(sel_Customer="All",F753=sel_Customer),OR(sel_Category="All",G753=sel_Category),OR(sel_Product="All",H753=sel_Product),AND(S753&gt;=m_From,S753&lt;=m_To)),1,0)</f>
        <v/>
      </c>
      <c r="V753" s="36">
        <f>IF(AND(OR(sel_Region="All",C753=sel_Region),OR(sel_Channel="All",E753=sel_Channel),OR(sel_Customer="All",F753=sel_Customer),OR(sel_Category="All",G753=sel_Category),OR(sel_Product="All",H753=sel_Product),AND(S753&gt;=m_From,S753&lt;=m_To)),1,0)</f>
        <v/>
      </c>
      <c r="W753" s="36">
        <f>IF(AND(OR(sel_Region="All",C753=sel_Region),OR(sel_Country="All",D753=sel_Country),OR(sel_Customer="All",F753=sel_Customer),OR(sel_Category="All",G753=sel_Category),OR(sel_Product="All",H753=sel_Product),AND(S753&gt;=m_From,S753&lt;=m_To)),1,0)</f>
        <v/>
      </c>
      <c r="X753" s="36">
        <f>IF(AND(OR(sel_Region="All",C753=sel_Region),OR(sel_Country="All",D753=sel_Country),OR(sel_Channel="All",E753=sel_Channel),OR(sel_Category="All",G753=sel_Category),OR(sel_Product="All",H753=sel_Product),AND(S753&gt;=m_From,S753&lt;=m_To)),1,0)</f>
        <v/>
      </c>
      <c r="Y753" s="36">
        <f>IF(AND(OR(sel_Region="All",C753=sel_Region),OR(sel_Country="All",D753=sel_Country),OR(sel_Channel="All",E753=sel_Channel),OR(sel_Customer="All",F753=sel_Customer),OR(sel_Product="All",H753=sel_Product),AND(S753&gt;=m_From,S753&lt;=m_To)),1,0)</f>
        <v/>
      </c>
      <c r="Z753" s="36">
        <f>IF(AND(OR(sel_Region="All",C753=sel_Region),OR(sel_Country="All",D753=sel_Country),OR(sel_Channel="All",E753=sel_Channel),OR(sel_Customer="All",F753=sel_Customer),OR(sel_Category="All",G753=sel_Category),AND(S753&gt;=m_From,S753&lt;=m_To)),1,0)</f>
        <v/>
      </c>
      <c r="AA753" s="36">
        <f>IF(AND(OR(sel_Region="All",C753=sel_Region),OR(sel_Country="All",D753=sel_Country),OR(sel_Channel="All",E753=sel_Channel),OR(sel_Customer="All",F753=sel_Customer),OR(sel_Category="All",G753=sel_Category),OR(sel_Product="All",H753=sel_Product)),1,0)</f>
        <v/>
      </c>
    </row>
    <row r="754">
      <c r="A754" s="36" t="inlineStr">
        <is>
          <t>04209</t>
        </is>
      </c>
      <c r="B754" s="44" t="n">
        <v>46148</v>
      </c>
      <c r="C754" s="36" t="inlineStr">
        <is>
          <t>Central Europe</t>
        </is>
      </c>
      <c r="D754" s="36" t="inlineStr">
        <is>
          <t>Czechia</t>
        </is>
      </c>
      <c r="E754" s="36" t="inlineStr">
        <is>
          <t>Online Store</t>
        </is>
      </c>
      <c r="F754" s="36" t="inlineStr">
        <is>
          <t>New</t>
        </is>
      </c>
      <c r="G754" s="36" t="inlineStr">
        <is>
          <t>Fitness</t>
        </is>
      </c>
      <c r="H754" s="36" t="inlineStr">
        <is>
          <t>Training Mat</t>
        </is>
      </c>
      <c r="I754" s="36" t="n">
        <v>2</v>
      </c>
      <c r="J754" s="39" t="n">
        <v>50.97</v>
      </c>
      <c r="K754" s="45" t="n">
        <v>0.05</v>
      </c>
      <c r="L754" s="39" t="n">
        <v>21.67</v>
      </c>
      <c r="M754" s="39">
        <f>I754*J754*(1-K754)</f>
        <v/>
      </c>
      <c r="N754" s="39">
        <f>I754*L754</f>
        <v/>
      </c>
      <c r="O754" s="39">
        <f>M754-N754</f>
        <v/>
      </c>
      <c r="P754" s="38">
        <f>IF(M754=0,0,O754/M754)</f>
        <v/>
      </c>
      <c r="Q754" s="36">
        <f>YEAR(B754)</f>
        <v/>
      </c>
      <c r="R754" s="36">
        <f>"Q"&amp;ROUNDUP(MONTH(B754)/3,0)</f>
        <v/>
      </c>
      <c r="S754" s="36">
        <f>MONTH(B754)</f>
        <v/>
      </c>
      <c r="T754" s="36">
        <f>TEXT(B754,"mmm")</f>
        <v/>
      </c>
      <c r="U754" s="36">
        <f>IF(AND(OR(sel_Region="All",C754=sel_Region),OR(sel_Country="All",D754=sel_Country),OR(sel_Channel="All",E754=sel_Channel),OR(sel_Customer="All",F754=sel_Customer),OR(sel_Category="All",G754=sel_Category),OR(sel_Product="All",H754=sel_Product),AND(S754&gt;=m_From,S754&lt;=m_To)),1,0)</f>
        <v/>
      </c>
      <c r="V754" s="36">
        <f>IF(AND(OR(sel_Region="All",C754=sel_Region),OR(sel_Channel="All",E754=sel_Channel),OR(sel_Customer="All",F754=sel_Customer),OR(sel_Category="All",G754=sel_Category),OR(sel_Product="All",H754=sel_Product),AND(S754&gt;=m_From,S754&lt;=m_To)),1,0)</f>
        <v/>
      </c>
      <c r="W754" s="36">
        <f>IF(AND(OR(sel_Region="All",C754=sel_Region),OR(sel_Country="All",D754=sel_Country),OR(sel_Customer="All",F754=sel_Customer),OR(sel_Category="All",G754=sel_Category),OR(sel_Product="All",H754=sel_Product),AND(S754&gt;=m_From,S754&lt;=m_To)),1,0)</f>
        <v/>
      </c>
      <c r="X754" s="36">
        <f>IF(AND(OR(sel_Region="All",C754=sel_Region),OR(sel_Country="All",D754=sel_Country),OR(sel_Channel="All",E754=sel_Channel),OR(sel_Category="All",G754=sel_Category),OR(sel_Product="All",H754=sel_Product),AND(S754&gt;=m_From,S754&lt;=m_To)),1,0)</f>
        <v/>
      </c>
      <c r="Y754" s="36">
        <f>IF(AND(OR(sel_Region="All",C754=sel_Region),OR(sel_Country="All",D754=sel_Country),OR(sel_Channel="All",E754=sel_Channel),OR(sel_Customer="All",F754=sel_Customer),OR(sel_Product="All",H754=sel_Product),AND(S754&gt;=m_From,S754&lt;=m_To)),1,0)</f>
        <v/>
      </c>
      <c r="Z754" s="36">
        <f>IF(AND(OR(sel_Region="All",C754=sel_Region),OR(sel_Country="All",D754=sel_Country),OR(sel_Channel="All",E754=sel_Channel),OR(sel_Customer="All",F754=sel_Customer),OR(sel_Category="All",G754=sel_Category),AND(S754&gt;=m_From,S754&lt;=m_To)),1,0)</f>
        <v/>
      </c>
      <c r="AA754" s="36">
        <f>IF(AND(OR(sel_Region="All",C754=sel_Region),OR(sel_Country="All",D754=sel_Country),OR(sel_Channel="All",E754=sel_Channel),OR(sel_Customer="All",F754=sel_Customer),OR(sel_Category="All",G754=sel_Category),OR(sel_Product="All",H754=sel_Product)),1,0)</f>
        <v/>
      </c>
    </row>
    <row r="755">
      <c r="A755" s="36" t="inlineStr">
        <is>
          <t>04227</t>
        </is>
      </c>
      <c r="B755" s="44" t="n">
        <v>46148</v>
      </c>
      <c r="C755" s="36" t="inlineStr">
        <is>
          <t>Central Europe</t>
        </is>
      </c>
      <c r="D755" s="36" t="inlineStr">
        <is>
          <t>Czechia</t>
        </is>
      </c>
      <c r="E755" s="36" t="inlineStr">
        <is>
          <t>Online Store</t>
        </is>
      </c>
      <c r="F755" s="36" t="inlineStr">
        <is>
          <t>New</t>
        </is>
      </c>
      <c r="G755" s="36" t="inlineStr">
        <is>
          <t>Cycling</t>
        </is>
      </c>
      <c r="H755" s="36" t="inlineStr">
        <is>
          <t>Compact Repair Kit</t>
        </is>
      </c>
      <c r="I755" s="36" t="n">
        <v>2</v>
      </c>
      <c r="J755" s="39" t="n">
        <v>40.55</v>
      </c>
      <c r="K755" s="45" t="n">
        <v>0</v>
      </c>
      <c r="L755" s="39" t="n">
        <v>16.52</v>
      </c>
      <c r="M755" s="39">
        <f>I755*J755*(1-K755)</f>
        <v/>
      </c>
      <c r="N755" s="39">
        <f>I755*L755</f>
        <v/>
      </c>
      <c r="O755" s="39">
        <f>M755-N755</f>
        <v/>
      </c>
      <c r="P755" s="38">
        <f>IF(M755=0,0,O755/M755)</f>
        <v/>
      </c>
      <c r="Q755" s="36">
        <f>YEAR(B755)</f>
        <v/>
      </c>
      <c r="R755" s="36">
        <f>"Q"&amp;ROUNDUP(MONTH(B755)/3,0)</f>
        <v/>
      </c>
      <c r="S755" s="36">
        <f>MONTH(B755)</f>
        <v/>
      </c>
      <c r="T755" s="36">
        <f>TEXT(B755,"mmm")</f>
        <v/>
      </c>
      <c r="U755" s="36">
        <f>IF(AND(OR(sel_Region="All",C755=sel_Region),OR(sel_Country="All",D755=sel_Country),OR(sel_Channel="All",E755=sel_Channel),OR(sel_Customer="All",F755=sel_Customer),OR(sel_Category="All",G755=sel_Category),OR(sel_Product="All",H755=sel_Product),AND(S755&gt;=m_From,S755&lt;=m_To)),1,0)</f>
        <v/>
      </c>
      <c r="V755" s="36">
        <f>IF(AND(OR(sel_Region="All",C755=sel_Region),OR(sel_Channel="All",E755=sel_Channel),OR(sel_Customer="All",F755=sel_Customer),OR(sel_Category="All",G755=sel_Category),OR(sel_Product="All",H755=sel_Product),AND(S755&gt;=m_From,S755&lt;=m_To)),1,0)</f>
        <v/>
      </c>
      <c r="W755" s="36">
        <f>IF(AND(OR(sel_Region="All",C755=sel_Region),OR(sel_Country="All",D755=sel_Country),OR(sel_Customer="All",F755=sel_Customer),OR(sel_Category="All",G755=sel_Category),OR(sel_Product="All",H755=sel_Product),AND(S755&gt;=m_From,S755&lt;=m_To)),1,0)</f>
        <v/>
      </c>
      <c r="X755" s="36">
        <f>IF(AND(OR(sel_Region="All",C755=sel_Region),OR(sel_Country="All",D755=sel_Country),OR(sel_Channel="All",E755=sel_Channel),OR(sel_Category="All",G755=sel_Category),OR(sel_Product="All",H755=sel_Product),AND(S755&gt;=m_From,S755&lt;=m_To)),1,0)</f>
        <v/>
      </c>
      <c r="Y755" s="36">
        <f>IF(AND(OR(sel_Region="All",C755=sel_Region),OR(sel_Country="All",D755=sel_Country),OR(sel_Channel="All",E755=sel_Channel),OR(sel_Customer="All",F755=sel_Customer),OR(sel_Product="All",H755=sel_Product),AND(S755&gt;=m_From,S755&lt;=m_To)),1,0)</f>
        <v/>
      </c>
      <c r="Z755" s="36">
        <f>IF(AND(OR(sel_Region="All",C755=sel_Region),OR(sel_Country="All",D755=sel_Country),OR(sel_Channel="All",E755=sel_Channel),OR(sel_Customer="All",F755=sel_Customer),OR(sel_Category="All",G755=sel_Category),AND(S755&gt;=m_From,S755&lt;=m_To)),1,0)</f>
        <v/>
      </c>
      <c r="AA755" s="36">
        <f>IF(AND(OR(sel_Region="All",C755=sel_Region),OR(sel_Country="All",D755=sel_Country),OR(sel_Channel="All",E755=sel_Channel),OR(sel_Customer="All",F755=sel_Customer),OR(sel_Category="All",G755=sel_Category),OR(sel_Product="All",H755=sel_Product)),1,0)</f>
        <v/>
      </c>
    </row>
    <row r="756">
      <c r="A756" s="36" t="inlineStr">
        <is>
          <t>04247</t>
        </is>
      </c>
      <c r="B756" s="44" t="n">
        <v>46148</v>
      </c>
      <c r="C756" s="36" t="inlineStr">
        <is>
          <t>Northern Europe</t>
        </is>
      </c>
      <c r="D756" s="36" t="inlineStr">
        <is>
          <t>Norway</t>
        </is>
      </c>
      <c r="E756" s="36" t="inlineStr">
        <is>
          <t>Online Store</t>
        </is>
      </c>
      <c r="F756" s="36" t="inlineStr">
        <is>
          <t>New</t>
        </is>
      </c>
      <c r="G756" s="36" t="inlineStr">
        <is>
          <t>Cycling</t>
        </is>
      </c>
      <c r="H756" s="36" t="inlineStr">
        <is>
          <t>Trail Bike Light</t>
        </is>
      </c>
      <c r="I756" s="36" t="n">
        <v>2</v>
      </c>
      <c r="J756" s="39" t="n">
        <v>51.3</v>
      </c>
      <c r="K756" s="45" t="n">
        <v>0</v>
      </c>
      <c r="L756" s="39" t="n">
        <v>23.12</v>
      </c>
      <c r="M756" s="39">
        <f>I756*J756*(1-K756)</f>
        <v/>
      </c>
      <c r="N756" s="39">
        <f>I756*L756</f>
        <v/>
      </c>
      <c r="O756" s="39">
        <f>M756-N756</f>
        <v/>
      </c>
      <c r="P756" s="38">
        <f>IF(M756=0,0,O756/M756)</f>
        <v/>
      </c>
      <c r="Q756" s="36">
        <f>YEAR(B756)</f>
        <v/>
      </c>
      <c r="R756" s="36">
        <f>"Q"&amp;ROUNDUP(MONTH(B756)/3,0)</f>
        <v/>
      </c>
      <c r="S756" s="36">
        <f>MONTH(B756)</f>
        <v/>
      </c>
      <c r="T756" s="36">
        <f>TEXT(B756,"mmm")</f>
        <v/>
      </c>
      <c r="U756" s="36">
        <f>IF(AND(OR(sel_Region="All",C756=sel_Region),OR(sel_Country="All",D756=sel_Country),OR(sel_Channel="All",E756=sel_Channel),OR(sel_Customer="All",F756=sel_Customer),OR(sel_Category="All",G756=sel_Category),OR(sel_Product="All",H756=sel_Product),AND(S756&gt;=m_From,S756&lt;=m_To)),1,0)</f>
        <v/>
      </c>
      <c r="V756" s="36">
        <f>IF(AND(OR(sel_Region="All",C756=sel_Region),OR(sel_Channel="All",E756=sel_Channel),OR(sel_Customer="All",F756=sel_Customer),OR(sel_Category="All",G756=sel_Category),OR(sel_Product="All",H756=sel_Product),AND(S756&gt;=m_From,S756&lt;=m_To)),1,0)</f>
        <v/>
      </c>
      <c r="W756" s="36">
        <f>IF(AND(OR(sel_Region="All",C756=sel_Region),OR(sel_Country="All",D756=sel_Country),OR(sel_Customer="All",F756=sel_Customer),OR(sel_Category="All",G756=sel_Category),OR(sel_Product="All",H756=sel_Product),AND(S756&gt;=m_From,S756&lt;=m_To)),1,0)</f>
        <v/>
      </c>
      <c r="X756" s="36">
        <f>IF(AND(OR(sel_Region="All",C756=sel_Region),OR(sel_Country="All",D756=sel_Country),OR(sel_Channel="All",E756=sel_Channel),OR(sel_Category="All",G756=sel_Category),OR(sel_Product="All",H756=sel_Product),AND(S756&gt;=m_From,S756&lt;=m_To)),1,0)</f>
        <v/>
      </c>
      <c r="Y756" s="36">
        <f>IF(AND(OR(sel_Region="All",C756=sel_Region),OR(sel_Country="All",D756=sel_Country),OR(sel_Channel="All",E756=sel_Channel),OR(sel_Customer="All",F756=sel_Customer),OR(sel_Product="All",H756=sel_Product),AND(S756&gt;=m_From,S756&lt;=m_To)),1,0)</f>
        <v/>
      </c>
      <c r="Z756" s="36">
        <f>IF(AND(OR(sel_Region="All",C756=sel_Region),OR(sel_Country="All",D756=sel_Country),OR(sel_Channel="All",E756=sel_Channel),OR(sel_Customer="All",F756=sel_Customer),OR(sel_Category="All",G756=sel_Category),AND(S756&gt;=m_From,S756&lt;=m_To)),1,0)</f>
        <v/>
      </c>
      <c r="AA756" s="36">
        <f>IF(AND(OR(sel_Region="All",C756=sel_Region),OR(sel_Country="All",D756=sel_Country),OR(sel_Channel="All",E756=sel_Channel),OR(sel_Customer="All",F756=sel_Customer),OR(sel_Category="All",G756=sel_Category),OR(sel_Product="All",H756=sel_Product)),1,0)</f>
        <v/>
      </c>
    </row>
    <row r="757">
      <c r="A757" s="36" t="inlineStr">
        <is>
          <t>05196</t>
        </is>
      </c>
      <c r="B757" s="44" t="n">
        <v>46148</v>
      </c>
      <c r="C757" s="36" t="inlineStr">
        <is>
          <t>Western Europe</t>
        </is>
      </c>
      <c r="D757" s="36" t="inlineStr">
        <is>
          <t>United Kingdom</t>
        </is>
      </c>
      <c r="E757" s="36" t="inlineStr">
        <is>
          <t>Online Store</t>
        </is>
      </c>
      <c r="F757" s="36" t="inlineStr">
        <is>
          <t>New</t>
        </is>
      </c>
      <c r="G757" s="36" t="inlineStr">
        <is>
          <t>Camping</t>
        </is>
      </c>
      <c r="H757" s="36" t="inlineStr">
        <is>
          <t>Portable Camp Stove</t>
        </is>
      </c>
      <c r="I757" s="36" t="n">
        <v>3</v>
      </c>
      <c r="J757" s="39" t="n">
        <v>82.56</v>
      </c>
      <c r="K757" s="45" t="n">
        <v>0</v>
      </c>
      <c r="L757" s="39" t="n">
        <v>39.99</v>
      </c>
      <c r="M757" s="39">
        <f>I757*J757*(1-K757)</f>
        <v/>
      </c>
      <c r="N757" s="39">
        <f>I757*L757</f>
        <v/>
      </c>
      <c r="O757" s="39">
        <f>M757-N757</f>
        <v/>
      </c>
      <c r="P757" s="38">
        <f>IF(M757=0,0,O757/M757)</f>
        <v/>
      </c>
      <c r="Q757" s="36">
        <f>YEAR(B757)</f>
        <v/>
      </c>
      <c r="R757" s="36">
        <f>"Q"&amp;ROUNDUP(MONTH(B757)/3,0)</f>
        <v/>
      </c>
      <c r="S757" s="36">
        <f>MONTH(B757)</f>
        <v/>
      </c>
      <c r="T757" s="36">
        <f>TEXT(B757,"mmm")</f>
        <v/>
      </c>
      <c r="U757" s="36">
        <f>IF(AND(OR(sel_Region="All",C757=sel_Region),OR(sel_Country="All",D757=sel_Country),OR(sel_Channel="All",E757=sel_Channel),OR(sel_Customer="All",F757=sel_Customer),OR(sel_Category="All",G757=sel_Category),OR(sel_Product="All",H757=sel_Product),AND(S757&gt;=m_From,S757&lt;=m_To)),1,0)</f>
        <v/>
      </c>
      <c r="V757" s="36">
        <f>IF(AND(OR(sel_Region="All",C757=sel_Region),OR(sel_Channel="All",E757=sel_Channel),OR(sel_Customer="All",F757=sel_Customer),OR(sel_Category="All",G757=sel_Category),OR(sel_Product="All",H757=sel_Product),AND(S757&gt;=m_From,S757&lt;=m_To)),1,0)</f>
        <v/>
      </c>
      <c r="W757" s="36">
        <f>IF(AND(OR(sel_Region="All",C757=sel_Region),OR(sel_Country="All",D757=sel_Country),OR(sel_Customer="All",F757=sel_Customer),OR(sel_Category="All",G757=sel_Category),OR(sel_Product="All",H757=sel_Product),AND(S757&gt;=m_From,S757&lt;=m_To)),1,0)</f>
        <v/>
      </c>
      <c r="X757" s="36">
        <f>IF(AND(OR(sel_Region="All",C757=sel_Region),OR(sel_Country="All",D757=sel_Country),OR(sel_Channel="All",E757=sel_Channel),OR(sel_Category="All",G757=sel_Category),OR(sel_Product="All",H757=sel_Product),AND(S757&gt;=m_From,S757&lt;=m_To)),1,0)</f>
        <v/>
      </c>
      <c r="Y757" s="36">
        <f>IF(AND(OR(sel_Region="All",C757=sel_Region),OR(sel_Country="All",D757=sel_Country),OR(sel_Channel="All",E757=sel_Channel),OR(sel_Customer="All",F757=sel_Customer),OR(sel_Product="All",H757=sel_Product),AND(S757&gt;=m_From,S757&lt;=m_To)),1,0)</f>
        <v/>
      </c>
      <c r="Z757" s="36">
        <f>IF(AND(OR(sel_Region="All",C757=sel_Region),OR(sel_Country="All",D757=sel_Country),OR(sel_Channel="All",E757=sel_Channel),OR(sel_Customer="All",F757=sel_Customer),OR(sel_Category="All",G757=sel_Category),AND(S757&gt;=m_From,S757&lt;=m_To)),1,0)</f>
        <v/>
      </c>
      <c r="AA757" s="36">
        <f>IF(AND(OR(sel_Region="All",C757=sel_Region),OR(sel_Country="All",D757=sel_Country),OR(sel_Channel="All",E757=sel_Channel),OR(sel_Customer="All",F757=sel_Customer),OR(sel_Category="All",G757=sel_Category),OR(sel_Product="All",H757=sel_Product)),1,0)</f>
        <v/>
      </c>
    </row>
    <row r="758">
      <c r="A758" s="36" t="inlineStr">
        <is>
          <t>00400</t>
        </is>
      </c>
      <c r="B758" s="44" t="n">
        <v>46149</v>
      </c>
      <c r="C758" s="36" t="inlineStr">
        <is>
          <t>Central Europe</t>
        </is>
      </c>
      <c r="D758" s="36" t="inlineStr">
        <is>
          <t>Germany</t>
        </is>
      </c>
      <c r="E758" s="36" t="inlineStr">
        <is>
          <t>Corporate</t>
        </is>
      </c>
      <c r="F758" s="36" t="inlineStr">
        <is>
          <t>Business</t>
        </is>
      </c>
      <c r="G758" s="36" t="inlineStr">
        <is>
          <t>Hiking</t>
        </is>
      </c>
      <c r="H758" s="36" t="inlineStr">
        <is>
          <t>Hiking Daypack 20L</t>
        </is>
      </c>
      <c r="I758" s="36" t="n">
        <v>6</v>
      </c>
      <c r="J758" s="39" t="n">
        <v>92.66</v>
      </c>
      <c r="K758" s="45" t="n">
        <v>0.15</v>
      </c>
      <c r="L758" s="39" t="n">
        <v>44.71</v>
      </c>
      <c r="M758" s="39">
        <f>I758*J758*(1-K758)</f>
        <v/>
      </c>
      <c r="N758" s="39">
        <f>I758*L758</f>
        <v/>
      </c>
      <c r="O758" s="39">
        <f>M758-N758</f>
        <v/>
      </c>
      <c r="P758" s="38">
        <f>IF(M758=0,0,O758/M758)</f>
        <v/>
      </c>
      <c r="Q758" s="36">
        <f>YEAR(B758)</f>
        <v/>
      </c>
      <c r="R758" s="36">
        <f>"Q"&amp;ROUNDUP(MONTH(B758)/3,0)</f>
        <v/>
      </c>
      <c r="S758" s="36">
        <f>MONTH(B758)</f>
        <v/>
      </c>
      <c r="T758" s="36">
        <f>TEXT(B758,"mmm")</f>
        <v/>
      </c>
      <c r="U758" s="36">
        <f>IF(AND(OR(sel_Region="All",C758=sel_Region),OR(sel_Country="All",D758=sel_Country),OR(sel_Channel="All",E758=sel_Channel),OR(sel_Customer="All",F758=sel_Customer),OR(sel_Category="All",G758=sel_Category),OR(sel_Product="All",H758=sel_Product),AND(S758&gt;=m_From,S758&lt;=m_To)),1,0)</f>
        <v/>
      </c>
      <c r="V758" s="36">
        <f>IF(AND(OR(sel_Region="All",C758=sel_Region),OR(sel_Channel="All",E758=sel_Channel),OR(sel_Customer="All",F758=sel_Customer),OR(sel_Category="All",G758=sel_Category),OR(sel_Product="All",H758=sel_Product),AND(S758&gt;=m_From,S758&lt;=m_To)),1,0)</f>
        <v/>
      </c>
      <c r="W758" s="36">
        <f>IF(AND(OR(sel_Region="All",C758=sel_Region),OR(sel_Country="All",D758=sel_Country),OR(sel_Customer="All",F758=sel_Customer),OR(sel_Category="All",G758=sel_Category),OR(sel_Product="All",H758=sel_Product),AND(S758&gt;=m_From,S758&lt;=m_To)),1,0)</f>
        <v/>
      </c>
      <c r="X758" s="36">
        <f>IF(AND(OR(sel_Region="All",C758=sel_Region),OR(sel_Country="All",D758=sel_Country),OR(sel_Channel="All",E758=sel_Channel),OR(sel_Category="All",G758=sel_Category),OR(sel_Product="All",H758=sel_Product),AND(S758&gt;=m_From,S758&lt;=m_To)),1,0)</f>
        <v/>
      </c>
      <c r="Y758" s="36">
        <f>IF(AND(OR(sel_Region="All",C758=sel_Region),OR(sel_Country="All",D758=sel_Country),OR(sel_Channel="All",E758=sel_Channel),OR(sel_Customer="All",F758=sel_Customer),OR(sel_Product="All",H758=sel_Product),AND(S758&gt;=m_From,S758&lt;=m_To)),1,0)</f>
        <v/>
      </c>
      <c r="Z758" s="36">
        <f>IF(AND(OR(sel_Region="All",C758=sel_Region),OR(sel_Country="All",D758=sel_Country),OR(sel_Channel="All",E758=sel_Channel),OR(sel_Customer="All",F758=sel_Customer),OR(sel_Category="All",G758=sel_Category),AND(S758&gt;=m_From,S758&lt;=m_To)),1,0)</f>
        <v/>
      </c>
      <c r="AA758" s="36">
        <f>IF(AND(OR(sel_Region="All",C758=sel_Region),OR(sel_Country="All",D758=sel_Country),OR(sel_Channel="All",E758=sel_Channel),OR(sel_Customer="All",F758=sel_Customer),OR(sel_Category="All",G758=sel_Category),OR(sel_Product="All",H758=sel_Product)),1,0)</f>
        <v/>
      </c>
    </row>
    <row r="759">
      <c r="A759" s="36" t="inlineStr">
        <is>
          <t>00829</t>
        </is>
      </c>
      <c r="B759" s="44" t="n">
        <v>46149</v>
      </c>
      <c r="C759" s="36" t="inlineStr">
        <is>
          <t>Northern Europe</t>
        </is>
      </c>
      <c r="D759" s="36" t="inlineStr">
        <is>
          <t>Norway</t>
        </is>
      </c>
      <c r="E759" s="36" t="inlineStr">
        <is>
          <t>Marketplace</t>
        </is>
      </c>
      <c r="F759" s="36" t="inlineStr">
        <is>
          <t>New</t>
        </is>
      </c>
      <c r="G759" s="36" t="inlineStr">
        <is>
          <t>Fitness</t>
        </is>
      </c>
      <c r="H759" s="36" t="inlineStr">
        <is>
          <t>Resistance Band Set</t>
        </is>
      </c>
      <c r="I759" s="36" t="n">
        <v>1</v>
      </c>
      <c r="J759" s="39" t="n">
        <v>39.42</v>
      </c>
      <c r="K759" s="45" t="n">
        <v>0</v>
      </c>
      <c r="L759" s="39" t="n">
        <v>14.86</v>
      </c>
      <c r="M759" s="39">
        <f>I759*J759*(1-K759)</f>
        <v/>
      </c>
      <c r="N759" s="39">
        <f>I759*L759</f>
        <v/>
      </c>
      <c r="O759" s="39">
        <f>M759-N759</f>
        <v/>
      </c>
      <c r="P759" s="38">
        <f>IF(M759=0,0,O759/M759)</f>
        <v/>
      </c>
      <c r="Q759" s="36">
        <f>YEAR(B759)</f>
        <v/>
      </c>
      <c r="R759" s="36">
        <f>"Q"&amp;ROUNDUP(MONTH(B759)/3,0)</f>
        <v/>
      </c>
      <c r="S759" s="36">
        <f>MONTH(B759)</f>
        <v/>
      </c>
      <c r="T759" s="36">
        <f>TEXT(B759,"mmm")</f>
        <v/>
      </c>
      <c r="U759" s="36">
        <f>IF(AND(OR(sel_Region="All",C759=sel_Region),OR(sel_Country="All",D759=sel_Country),OR(sel_Channel="All",E759=sel_Channel),OR(sel_Customer="All",F759=sel_Customer),OR(sel_Category="All",G759=sel_Category),OR(sel_Product="All",H759=sel_Product),AND(S759&gt;=m_From,S759&lt;=m_To)),1,0)</f>
        <v/>
      </c>
      <c r="V759" s="36">
        <f>IF(AND(OR(sel_Region="All",C759=sel_Region),OR(sel_Channel="All",E759=sel_Channel),OR(sel_Customer="All",F759=sel_Customer),OR(sel_Category="All",G759=sel_Category),OR(sel_Product="All",H759=sel_Product),AND(S759&gt;=m_From,S759&lt;=m_To)),1,0)</f>
        <v/>
      </c>
      <c r="W759" s="36">
        <f>IF(AND(OR(sel_Region="All",C759=sel_Region),OR(sel_Country="All",D759=sel_Country),OR(sel_Customer="All",F759=sel_Customer),OR(sel_Category="All",G759=sel_Category),OR(sel_Product="All",H759=sel_Product),AND(S759&gt;=m_From,S759&lt;=m_To)),1,0)</f>
        <v/>
      </c>
      <c r="X759" s="36">
        <f>IF(AND(OR(sel_Region="All",C759=sel_Region),OR(sel_Country="All",D759=sel_Country),OR(sel_Channel="All",E759=sel_Channel),OR(sel_Category="All",G759=sel_Category),OR(sel_Product="All",H759=sel_Product),AND(S759&gt;=m_From,S759&lt;=m_To)),1,0)</f>
        <v/>
      </c>
      <c r="Y759" s="36">
        <f>IF(AND(OR(sel_Region="All",C759=sel_Region),OR(sel_Country="All",D759=sel_Country),OR(sel_Channel="All",E759=sel_Channel),OR(sel_Customer="All",F759=sel_Customer),OR(sel_Product="All",H759=sel_Product),AND(S759&gt;=m_From,S759&lt;=m_To)),1,0)</f>
        <v/>
      </c>
      <c r="Z759" s="36">
        <f>IF(AND(OR(sel_Region="All",C759=sel_Region),OR(sel_Country="All",D759=sel_Country),OR(sel_Channel="All",E759=sel_Channel),OR(sel_Customer="All",F759=sel_Customer),OR(sel_Category="All",G759=sel_Category),AND(S759&gt;=m_From,S759&lt;=m_To)),1,0)</f>
        <v/>
      </c>
      <c r="AA759" s="36">
        <f>IF(AND(OR(sel_Region="All",C759=sel_Region),OR(sel_Country="All",D759=sel_Country),OR(sel_Channel="All",E759=sel_Channel),OR(sel_Customer="All",F759=sel_Customer),OR(sel_Category="All",G759=sel_Category),OR(sel_Product="All",H759=sel_Product)),1,0)</f>
        <v/>
      </c>
    </row>
    <row r="760">
      <c r="A760" s="36" t="inlineStr">
        <is>
          <t>01236</t>
        </is>
      </c>
      <c r="B760" s="44" t="n">
        <v>46149</v>
      </c>
      <c r="C760" s="36" t="inlineStr">
        <is>
          <t>Southern Europe</t>
        </is>
      </c>
      <c r="D760" s="36" t="inlineStr">
        <is>
          <t>Portugal</t>
        </is>
      </c>
      <c r="E760" s="36" t="inlineStr">
        <is>
          <t>Retail Partners</t>
        </is>
      </c>
      <c r="F760" s="36" t="inlineStr">
        <is>
          <t>Returning</t>
        </is>
      </c>
      <c r="G760" s="36" t="inlineStr">
        <is>
          <t>Fitness</t>
        </is>
      </c>
      <c r="H760" s="36" t="inlineStr">
        <is>
          <t>Weighted Vest</t>
        </is>
      </c>
      <c r="I760" s="36" t="n">
        <v>2</v>
      </c>
      <c r="J760" s="39" t="n">
        <v>124.25</v>
      </c>
      <c r="K760" s="45" t="n">
        <v>0</v>
      </c>
      <c r="L760" s="39" t="n">
        <v>69.51000000000001</v>
      </c>
      <c r="M760" s="39">
        <f>I760*J760*(1-K760)</f>
        <v/>
      </c>
      <c r="N760" s="39">
        <f>I760*L760</f>
        <v/>
      </c>
      <c r="O760" s="39">
        <f>M760-N760</f>
        <v/>
      </c>
      <c r="P760" s="38">
        <f>IF(M760=0,0,O760/M760)</f>
        <v/>
      </c>
      <c r="Q760" s="36">
        <f>YEAR(B760)</f>
        <v/>
      </c>
      <c r="R760" s="36">
        <f>"Q"&amp;ROUNDUP(MONTH(B760)/3,0)</f>
        <v/>
      </c>
      <c r="S760" s="36">
        <f>MONTH(B760)</f>
        <v/>
      </c>
      <c r="T760" s="36">
        <f>TEXT(B760,"mmm")</f>
        <v/>
      </c>
      <c r="U760" s="36">
        <f>IF(AND(OR(sel_Region="All",C760=sel_Region),OR(sel_Country="All",D760=sel_Country),OR(sel_Channel="All",E760=sel_Channel),OR(sel_Customer="All",F760=sel_Customer),OR(sel_Category="All",G760=sel_Category),OR(sel_Product="All",H760=sel_Product),AND(S760&gt;=m_From,S760&lt;=m_To)),1,0)</f>
        <v/>
      </c>
      <c r="V760" s="36">
        <f>IF(AND(OR(sel_Region="All",C760=sel_Region),OR(sel_Channel="All",E760=sel_Channel),OR(sel_Customer="All",F760=sel_Customer),OR(sel_Category="All",G760=sel_Category),OR(sel_Product="All",H760=sel_Product),AND(S760&gt;=m_From,S760&lt;=m_To)),1,0)</f>
        <v/>
      </c>
      <c r="W760" s="36">
        <f>IF(AND(OR(sel_Region="All",C760=sel_Region),OR(sel_Country="All",D760=sel_Country),OR(sel_Customer="All",F760=sel_Customer),OR(sel_Category="All",G760=sel_Category),OR(sel_Product="All",H760=sel_Product),AND(S760&gt;=m_From,S760&lt;=m_To)),1,0)</f>
        <v/>
      </c>
      <c r="X760" s="36">
        <f>IF(AND(OR(sel_Region="All",C760=sel_Region),OR(sel_Country="All",D760=sel_Country),OR(sel_Channel="All",E760=sel_Channel),OR(sel_Category="All",G760=sel_Category),OR(sel_Product="All",H760=sel_Product),AND(S760&gt;=m_From,S760&lt;=m_To)),1,0)</f>
        <v/>
      </c>
      <c r="Y760" s="36">
        <f>IF(AND(OR(sel_Region="All",C760=sel_Region),OR(sel_Country="All",D760=sel_Country),OR(sel_Channel="All",E760=sel_Channel),OR(sel_Customer="All",F760=sel_Customer),OR(sel_Product="All",H760=sel_Product),AND(S760&gt;=m_From,S760&lt;=m_To)),1,0)</f>
        <v/>
      </c>
      <c r="Z760" s="36">
        <f>IF(AND(OR(sel_Region="All",C760=sel_Region),OR(sel_Country="All",D760=sel_Country),OR(sel_Channel="All",E760=sel_Channel),OR(sel_Customer="All",F760=sel_Customer),OR(sel_Category="All",G760=sel_Category),AND(S760&gt;=m_From,S760&lt;=m_To)),1,0)</f>
        <v/>
      </c>
      <c r="AA760" s="36">
        <f>IF(AND(OR(sel_Region="All",C760=sel_Region),OR(sel_Country="All",D760=sel_Country),OR(sel_Channel="All",E760=sel_Channel),OR(sel_Customer="All",F760=sel_Customer),OR(sel_Category="All",G760=sel_Category),OR(sel_Product="All",H760=sel_Product)),1,0)</f>
        <v/>
      </c>
    </row>
    <row r="761">
      <c r="A761" s="36" t="inlineStr">
        <is>
          <t>01364</t>
        </is>
      </c>
      <c r="B761" s="44" t="n">
        <v>46149</v>
      </c>
      <c r="C761" s="36" t="inlineStr">
        <is>
          <t>Central Europe</t>
        </is>
      </c>
      <c r="D761" s="36" t="inlineStr">
        <is>
          <t>Poland</t>
        </is>
      </c>
      <c r="E761" s="36" t="inlineStr">
        <is>
          <t>Online Store</t>
        </is>
      </c>
      <c r="F761" s="36" t="inlineStr">
        <is>
          <t>New</t>
        </is>
      </c>
      <c r="G761" s="36" t="inlineStr">
        <is>
          <t>Hiking</t>
        </is>
      </c>
      <c r="H761" s="36" t="inlineStr">
        <is>
          <t>Summit Backpack 45L</t>
        </is>
      </c>
      <c r="I761" s="36" t="n">
        <v>2</v>
      </c>
      <c r="J761" s="39" t="n">
        <v>156.43</v>
      </c>
      <c r="K761" s="45" t="n">
        <v>0</v>
      </c>
      <c r="L761" s="39" t="n">
        <v>78.56999999999999</v>
      </c>
      <c r="M761" s="39">
        <f>I761*J761*(1-K761)</f>
        <v/>
      </c>
      <c r="N761" s="39">
        <f>I761*L761</f>
        <v/>
      </c>
      <c r="O761" s="39">
        <f>M761-N761</f>
        <v/>
      </c>
      <c r="P761" s="38">
        <f>IF(M761=0,0,O761/M761)</f>
        <v/>
      </c>
      <c r="Q761" s="36">
        <f>YEAR(B761)</f>
        <v/>
      </c>
      <c r="R761" s="36">
        <f>"Q"&amp;ROUNDUP(MONTH(B761)/3,0)</f>
        <v/>
      </c>
      <c r="S761" s="36">
        <f>MONTH(B761)</f>
        <v/>
      </c>
      <c r="T761" s="36">
        <f>TEXT(B761,"mmm")</f>
        <v/>
      </c>
      <c r="U761" s="36">
        <f>IF(AND(OR(sel_Region="All",C761=sel_Region),OR(sel_Country="All",D761=sel_Country),OR(sel_Channel="All",E761=sel_Channel),OR(sel_Customer="All",F761=sel_Customer),OR(sel_Category="All",G761=sel_Category),OR(sel_Product="All",H761=sel_Product),AND(S761&gt;=m_From,S761&lt;=m_To)),1,0)</f>
        <v/>
      </c>
      <c r="V761" s="36">
        <f>IF(AND(OR(sel_Region="All",C761=sel_Region),OR(sel_Channel="All",E761=sel_Channel),OR(sel_Customer="All",F761=sel_Customer),OR(sel_Category="All",G761=sel_Category),OR(sel_Product="All",H761=sel_Product),AND(S761&gt;=m_From,S761&lt;=m_To)),1,0)</f>
        <v/>
      </c>
      <c r="W761" s="36">
        <f>IF(AND(OR(sel_Region="All",C761=sel_Region),OR(sel_Country="All",D761=sel_Country),OR(sel_Customer="All",F761=sel_Customer),OR(sel_Category="All",G761=sel_Category),OR(sel_Product="All",H761=sel_Product),AND(S761&gt;=m_From,S761&lt;=m_To)),1,0)</f>
        <v/>
      </c>
      <c r="X761" s="36">
        <f>IF(AND(OR(sel_Region="All",C761=sel_Region),OR(sel_Country="All",D761=sel_Country),OR(sel_Channel="All",E761=sel_Channel),OR(sel_Category="All",G761=sel_Category),OR(sel_Product="All",H761=sel_Product),AND(S761&gt;=m_From,S761&lt;=m_To)),1,0)</f>
        <v/>
      </c>
      <c r="Y761" s="36">
        <f>IF(AND(OR(sel_Region="All",C761=sel_Region),OR(sel_Country="All",D761=sel_Country),OR(sel_Channel="All",E761=sel_Channel),OR(sel_Customer="All",F761=sel_Customer),OR(sel_Product="All",H761=sel_Product),AND(S761&gt;=m_From,S761&lt;=m_To)),1,0)</f>
        <v/>
      </c>
      <c r="Z761" s="36">
        <f>IF(AND(OR(sel_Region="All",C761=sel_Region),OR(sel_Country="All",D761=sel_Country),OR(sel_Channel="All",E761=sel_Channel),OR(sel_Customer="All",F761=sel_Customer),OR(sel_Category="All",G761=sel_Category),AND(S761&gt;=m_From,S761&lt;=m_To)),1,0)</f>
        <v/>
      </c>
      <c r="AA761" s="36">
        <f>IF(AND(OR(sel_Region="All",C761=sel_Region),OR(sel_Country="All",D761=sel_Country),OR(sel_Channel="All",E761=sel_Channel),OR(sel_Customer="All",F761=sel_Customer),OR(sel_Category="All",G761=sel_Category),OR(sel_Product="All",H761=sel_Product)),1,0)</f>
        <v/>
      </c>
    </row>
    <row r="762">
      <c r="A762" s="36" t="inlineStr">
        <is>
          <t>02105</t>
        </is>
      </c>
      <c r="B762" s="44" t="n">
        <v>46149</v>
      </c>
      <c r="C762" s="36" t="inlineStr">
        <is>
          <t>Central Europe</t>
        </is>
      </c>
      <c r="D762" s="36" t="inlineStr">
        <is>
          <t>Poland</t>
        </is>
      </c>
      <c r="E762" s="36" t="inlineStr">
        <is>
          <t>Retail Partners</t>
        </is>
      </c>
      <c r="F762" s="36" t="inlineStr">
        <is>
          <t>New</t>
        </is>
      </c>
      <c r="G762" s="36" t="inlineStr">
        <is>
          <t>Camping</t>
        </is>
      </c>
      <c r="H762" s="36" t="inlineStr">
        <is>
          <t>Portable Camp Stove</t>
        </is>
      </c>
      <c r="I762" s="36" t="n">
        <v>1</v>
      </c>
      <c r="J762" s="39" t="n">
        <v>80.3</v>
      </c>
      <c r="K762" s="45" t="n">
        <v>0</v>
      </c>
      <c r="L762" s="39" t="n">
        <v>40.02</v>
      </c>
      <c r="M762" s="39">
        <f>I762*J762*(1-K762)</f>
        <v/>
      </c>
      <c r="N762" s="39">
        <f>I762*L762</f>
        <v/>
      </c>
      <c r="O762" s="39">
        <f>M762-N762</f>
        <v/>
      </c>
      <c r="P762" s="38">
        <f>IF(M762=0,0,O762/M762)</f>
        <v/>
      </c>
      <c r="Q762" s="36">
        <f>YEAR(B762)</f>
        <v/>
      </c>
      <c r="R762" s="36">
        <f>"Q"&amp;ROUNDUP(MONTH(B762)/3,0)</f>
        <v/>
      </c>
      <c r="S762" s="36">
        <f>MONTH(B762)</f>
        <v/>
      </c>
      <c r="T762" s="36">
        <f>TEXT(B762,"mmm")</f>
        <v/>
      </c>
      <c r="U762" s="36">
        <f>IF(AND(OR(sel_Region="All",C762=sel_Region),OR(sel_Country="All",D762=sel_Country),OR(sel_Channel="All",E762=sel_Channel),OR(sel_Customer="All",F762=sel_Customer),OR(sel_Category="All",G762=sel_Category),OR(sel_Product="All",H762=sel_Product),AND(S762&gt;=m_From,S762&lt;=m_To)),1,0)</f>
        <v/>
      </c>
      <c r="V762" s="36">
        <f>IF(AND(OR(sel_Region="All",C762=sel_Region),OR(sel_Channel="All",E762=sel_Channel),OR(sel_Customer="All",F762=sel_Customer),OR(sel_Category="All",G762=sel_Category),OR(sel_Product="All",H762=sel_Product),AND(S762&gt;=m_From,S762&lt;=m_To)),1,0)</f>
        <v/>
      </c>
      <c r="W762" s="36">
        <f>IF(AND(OR(sel_Region="All",C762=sel_Region),OR(sel_Country="All",D762=sel_Country),OR(sel_Customer="All",F762=sel_Customer),OR(sel_Category="All",G762=sel_Category),OR(sel_Product="All",H762=sel_Product),AND(S762&gt;=m_From,S762&lt;=m_To)),1,0)</f>
        <v/>
      </c>
      <c r="X762" s="36">
        <f>IF(AND(OR(sel_Region="All",C762=sel_Region),OR(sel_Country="All",D762=sel_Country),OR(sel_Channel="All",E762=sel_Channel),OR(sel_Category="All",G762=sel_Category),OR(sel_Product="All",H762=sel_Product),AND(S762&gt;=m_From,S762&lt;=m_To)),1,0)</f>
        <v/>
      </c>
      <c r="Y762" s="36">
        <f>IF(AND(OR(sel_Region="All",C762=sel_Region),OR(sel_Country="All",D762=sel_Country),OR(sel_Channel="All",E762=sel_Channel),OR(sel_Customer="All",F762=sel_Customer),OR(sel_Product="All",H762=sel_Product),AND(S762&gt;=m_From,S762&lt;=m_To)),1,0)</f>
        <v/>
      </c>
      <c r="Z762" s="36">
        <f>IF(AND(OR(sel_Region="All",C762=sel_Region),OR(sel_Country="All",D762=sel_Country),OR(sel_Channel="All",E762=sel_Channel),OR(sel_Customer="All",F762=sel_Customer),OR(sel_Category="All",G762=sel_Category),AND(S762&gt;=m_From,S762&lt;=m_To)),1,0)</f>
        <v/>
      </c>
      <c r="AA762" s="36">
        <f>IF(AND(OR(sel_Region="All",C762=sel_Region),OR(sel_Country="All",D762=sel_Country),OR(sel_Channel="All",E762=sel_Channel),OR(sel_Customer="All",F762=sel_Customer),OR(sel_Category="All",G762=sel_Category),OR(sel_Product="All",H762=sel_Product)),1,0)</f>
        <v/>
      </c>
    </row>
    <row r="763">
      <c r="A763" s="36" t="inlineStr">
        <is>
          <t>04706</t>
        </is>
      </c>
      <c r="B763" s="44" t="n">
        <v>46149</v>
      </c>
      <c r="C763" s="36" t="inlineStr">
        <is>
          <t>Western Europe</t>
        </is>
      </c>
      <c r="D763" s="36" t="inlineStr">
        <is>
          <t>France</t>
        </is>
      </c>
      <c r="E763" s="36" t="inlineStr">
        <is>
          <t>Retail Partners</t>
        </is>
      </c>
      <c r="F763" s="36" t="inlineStr">
        <is>
          <t>New</t>
        </is>
      </c>
      <c r="G763" s="36" t="inlineStr">
        <is>
          <t>Camping</t>
        </is>
      </c>
      <c r="H763" s="36" t="inlineStr">
        <is>
          <t>Portable Camp Stove</t>
        </is>
      </c>
      <c r="I763" s="36" t="n">
        <v>1</v>
      </c>
      <c r="J763" s="39" t="n">
        <v>79.89</v>
      </c>
      <c r="K763" s="45" t="n">
        <v>0</v>
      </c>
      <c r="L763" s="39" t="n">
        <v>39.55</v>
      </c>
      <c r="M763" s="39">
        <f>I763*J763*(1-K763)</f>
        <v/>
      </c>
      <c r="N763" s="39">
        <f>I763*L763</f>
        <v/>
      </c>
      <c r="O763" s="39">
        <f>M763-N763</f>
        <v/>
      </c>
      <c r="P763" s="38">
        <f>IF(M763=0,0,O763/M763)</f>
        <v/>
      </c>
      <c r="Q763" s="36">
        <f>YEAR(B763)</f>
        <v/>
      </c>
      <c r="R763" s="36">
        <f>"Q"&amp;ROUNDUP(MONTH(B763)/3,0)</f>
        <v/>
      </c>
      <c r="S763" s="36">
        <f>MONTH(B763)</f>
        <v/>
      </c>
      <c r="T763" s="36">
        <f>TEXT(B763,"mmm")</f>
        <v/>
      </c>
      <c r="U763" s="36">
        <f>IF(AND(OR(sel_Region="All",C763=sel_Region),OR(sel_Country="All",D763=sel_Country),OR(sel_Channel="All",E763=sel_Channel),OR(sel_Customer="All",F763=sel_Customer),OR(sel_Category="All",G763=sel_Category),OR(sel_Product="All",H763=sel_Product),AND(S763&gt;=m_From,S763&lt;=m_To)),1,0)</f>
        <v/>
      </c>
      <c r="V763" s="36">
        <f>IF(AND(OR(sel_Region="All",C763=sel_Region),OR(sel_Channel="All",E763=sel_Channel),OR(sel_Customer="All",F763=sel_Customer),OR(sel_Category="All",G763=sel_Category),OR(sel_Product="All",H763=sel_Product),AND(S763&gt;=m_From,S763&lt;=m_To)),1,0)</f>
        <v/>
      </c>
      <c r="W763" s="36">
        <f>IF(AND(OR(sel_Region="All",C763=sel_Region),OR(sel_Country="All",D763=sel_Country),OR(sel_Customer="All",F763=sel_Customer),OR(sel_Category="All",G763=sel_Category),OR(sel_Product="All",H763=sel_Product),AND(S763&gt;=m_From,S763&lt;=m_To)),1,0)</f>
        <v/>
      </c>
      <c r="X763" s="36">
        <f>IF(AND(OR(sel_Region="All",C763=sel_Region),OR(sel_Country="All",D763=sel_Country),OR(sel_Channel="All",E763=sel_Channel),OR(sel_Category="All",G763=sel_Category),OR(sel_Product="All",H763=sel_Product),AND(S763&gt;=m_From,S763&lt;=m_To)),1,0)</f>
        <v/>
      </c>
      <c r="Y763" s="36">
        <f>IF(AND(OR(sel_Region="All",C763=sel_Region),OR(sel_Country="All",D763=sel_Country),OR(sel_Channel="All",E763=sel_Channel),OR(sel_Customer="All",F763=sel_Customer),OR(sel_Product="All",H763=sel_Product),AND(S763&gt;=m_From,S763&lt;=m_To)),1,0)</f>
        <v/>
      </c>
      <c r="Z763" s="36">
        <f>IF(AND(OR(sel_Region="All",C763=sel_Region),OR(sel_Country="All",D763=sel_Country),OR(sel_Channel="All",E763=sel_Channel),OR(sel_Customer="All",F763=sel_Customer),OR(sel_Category="All",G763=sel_Category),AND(S763&gt;=m_From,S763&lt;=m_To)),1,0)</f>
        <v/>
      </c>
      <c r="AA763" s="36">
        <f>IF(AND(OR(sel_Region="All",C763=sel_Region),OR(sel_Country="All",D763=sel_Country),OR(sel_Channel="All",E763=sel_Channel),OR(sel_Customer="All",F763=sel_Customer),OR(sel_Category="All",G763=sel_Category),OR(sel_Product="All",H763=sel_Product)),1,0)</f>
        <v/>
      </c>
    </row>
    <row r="764">
      <c r="A764" s="36" t="inlineStr">
        <is>
          <t>00068</t>
        </is>
      </c>
      <c r="B764" s="44" t="n">
        <v>46150</v>
      </c>
      <c r="C764" s="36" t="inlineStr">
        <is>
          <t>Western Europe</t>
        </is>
      </c>
      <c r="D764" s="36" t="inlineStr">
        <is>
          <t>Netherlands</t>
        </is>
      </c>
      <c r="E764" s="36" t="inlineStr">
        <is>
          <t>Retail Partners</t>
        </is>
      </c>
      <c r="F764" s="36" t="inlineStr">
        <is>
          <t>New</t>
        </is>
      </c>
      <c r="G764" s="36" t="inlineStr">
        <is>
          <t>Fitness</t>
        </is>
      </c>
      <c r="H764" s="36" t="inlineStr">
        <is>
          <t>Resistance Band Set</t>
        </is>
      </c>
      <c r="I764" s="36" t="n">
        <v>1</v>
      </c>
      <c r="J764" s="39" t="n">
        <v>39.5</v>
      </c>
      <c r="K764" s="45" t="n">
        <v>0</v>
      </c>
      <c r="L764" s="39" t="n">
        <v>14.68</v>
      </c>
      <c r="M764" s="39">
        <f>I764*J764*(1-K764)</f>
        <v/>
      </c>
      <c r="N764" s="39">
        <f>I764*L764</f>
        <v/>
      </c>
      <c r="O764" s="39">
        <f>M764-N764</f>
        <v/>
      </c>
      <c r="P764" s="38">
        <f>IF(M764=0,0,O764/M764)</f>
        <v/>
      </c>
      <c r="Q764" s="36">
        <f>YEAR(B764)</f>
        <v/>
      </c>
      <c r="R764" s="36">
        <f>"Q"&amp;ROUNDUP(MONTH(B764)/3,0)</f>
        <v/>
      </c>
      <c r="S764" s="36">
        <f>MONTH(B764)</f>
        <v/>
      </c>
      <c r="T764" s="36">
        <f>TEXT(B764,"mmm")</f>
        <v/>
      </c>
      <c r="U764" s="36">
        <f>IF(AND(OR(sel_Region="All",C764=sel_Region),OR(sel_Country="All",D764=sel_Country),OR(sel_Channel="All",E764=sel_Channel),OR(sel_Customer="All",F764=sel_Customer),OR(sel_Category="All",G764=sel_Category),OR(sel_Product="All",H764=sel_Product),AND(S764&gt;=m_From,S764&lt;=m_To)),1,0)</f>
        <v/>
      </c>
      <c r="V764" s="36">
        <f>IF(AND(OR(sel_Region="All",C764=sel_Region),OR(sel_Channel="All",E764=sel_Channel),OR(sel_Customer="All",F764=sel_Customer),OR(sel_Category="All",G764=sel_Category),OR(sel_Product="All",H764=sel_Product),AND(S764&gt;=m_From,S764&lt;=m_To)),1,0)</f>
        <v/>
      </c>
      <c r="W764" s="36">
        <f>IF(AND(OR(sel_Region="All",C764=sel_Region),OR(sel_Country="All",D764=sel_Country),OR(sel_Customer="All",F764=sel_Customer),OR(sel_Category="All",G764=sel_Category),OR(sel_Product="All",H764=sel_Product),AND(S764&gt;=m_From,S764&lt;=m_To)),1,0)</f>
        <v/>
      </c>
      <c r="X764" s="36">
        <f>IF(AND(OR(sel_Region="All",C764=sel_Region),OR(sel_Country="All",D764=sel_Country),OR(sel_Channel="All",E764=sel_Channel),OR(sel_Category="All",G764=sel_Category),OR(sel_Product="All",H764=sel_Product),AND(S764&gt;=m_From,S764&lt;=m_To)),1,0)</f>
        <v/>
      </c>
      <c r="Y764" s="36">
        <f>IF(AND(OR(sel_Region="All",C764=sel_Region),OR(sel_Country="All",D764=sel_Country),OR(sel_Channel="All",E764=sel_Channel),OR(sel_Customer="All",F764=sel_Customer),OR(sel_Product="All",H764=sel_Product),AND(S764&gt;=m_From,S764&lt;=m_To)),1,0)</f>
        <v/>
      </c>
      <c r="Z764" s="36">
        <f>IF(AND(OR(sel_Region="All",C764=sel_Region),OR(sel_Country="All",D764=sel_Country),OR(sel_Channel="All",E764=sel_Channel),OR(sel_Customer="All",F764=sel_Customer),OR(sel_Category="All",G764=sel_Category),AND(S764&gt;=m_From,S764&lt;=m_To)),1,0)</f>
        <v/>
      </c>
      <c r="AA764" s="36">
        <f>IF(AND(OR(sel_Region="All",C764=sel_Region),OR(sel_Country="All",D764=sel_Country),OR(sel_Channel="All",E764=sel_Channel),OR(sel_Customer="All",F764=sel_Customer),OR(sel_Category="All",G764=sel_Category),OR(sel_Product="All",H764=sel_Product)),1,0)</f>
        <v/>
      </c>
    </row>
    <row r="765">
      <c r="A765" s="36" t="inlineStr">
        <is>
          <t>01352</t>
        </is>
      </c>
      <c r="B765" s="44" t="n">
        <v>46150</v>
      </c>
      <c r="C765" s="36" t="inlineStr">
        <is>
          <t>Western Europe</t>
        </is>
      </c>
      <c r="D765" s="36" t="inlineStr">
        <is>
          <t>Netherlands</t>
        </is>
      </c>
      <c r="E765" s="36" t="inlineStr">
        <is>
          <t>Online Store</t>
        </is>
      </c>
      <c r="F765" s="36" t="inlineStr">
        <is>
          <t>Returning</t>
        </is>
      </c>
      <c r="G765" s="36" t="inlineStr">
        <is>
          <t>Cycling</t>
        </is>
      </c>
      <c r="H765" s="36" t="inlineStr">
        <is>
          <t>Commuter Helmet</t>
        </is>
      </c>
      <c r="I765" s="36" t="n">
        <v>1</v>
      </c>
      <c r="J765" s="39" t="n">
        <v>80.7</v>
      </c>
      <c r="K765" s="45" t="n">
        <v>0</v>
      </c>
      <c r="L765" s="39" t="n">
        <v>41.88</v>
      </c>
      <c r="M765" s="39">
        <f>I765*J765*(1-K765)</f>
        <v/>
      </c>
      <c r="N765" s="39">
        <f>I765*L765</f>
        <v/>
      </c>
      <c r="O765" s="39">
        <f>M765-N765</f>
        <v/>
      </c>
      <c r="P765" s="38">
        <f>IF(M765=0,0,O765/M765)</f>
        <v/>
      </c>
      <c r="Q765" s="36">
        <f>YEAR(B765)</f>
        <v/>
      </c>
      <c r="R765" s="36">
        <f>"Q"&amp;ROUNDUP(MONTH(B765)/3,0)</f>
        <v/>
      </c>
      <c r="S765" s="36">
        <f>MONTH(B765)</f>
        <v/>
      </c>
      <c r="T765" s="36">
        <f>TEXT(B765,"mmm")</f>
        <v/>
      </c>
      <c r="U765" s="36">
        <f>IF(AND(OR(sel_Region="All",C765=sel_Region),OR(sel_Country="All",D765=sel_Country),OR(sel_Channel="All",E765=sel_Channel),OR(sel_Customer="All",F765=sel_Customer),OR(sel_Category="All",G765=sel_Category),OR(sel_Product="All",H765=sel_Product),AND(S765&gt;=m_From,S765&lt;=m_To)),1,0)</f>
        <v/>
      </c>
      <c r="V765" s="36">
        <f>IF(AND(OR(sel_Region="All",C765=sel_Region),OR(sel_Channel="All",E765=sel_Channel),OR(sel_Customer="All",F765=sel_Customer),OR(sel_Category="All",G765=sel_Category),OR(sel_Product="All",H765=sel_Product),AND(S765&gt;=m_From,S765&lt;=m_To)),1,0)</f>
        <v/>
      </c>
      <c r="W765" s="36">
        <f>IF(AND(OR(sel_Region="All",C765=sel_Region),OR(sel_Country="All",D765=sel_Country),OR(sel_Customer="All",F765=sel_Customer),OR(sel_Category="All",G765=sel_Category),OR(sel_Product="All",H765=sel_Product),AND(S765&gt;=m_From,S765&lt;=m_To)),1,0)</f>
        <v/>
      </c>
      <c r="X765" s="36">
        <f>IF(AND(OR(sel_Region="All",C765=sel_Region),OR(sel_Country="All",D765=sel_Country),OR(sel_Channel="All",E765=sel_Channel),OR(sel_Category="All",G765=sel_Category),OR(sel_Product="All",H765=sel_Product),AND(S765&gt;=m_From,S765&lt;=m_To)),1,0)</f>
        <v/>
      </c>
      <c r="Y765" s="36">
        <f>IF(AND(OR(sel_Region="All",C765=sel_Region),OR(sel_Country="All",D765=sel_Country),OR(sel_Channel="All",E765=sel_Channel),OR(sel_Customer="All",F765=sel_Customer),OR(sel_Product="All",H765=sel_Product),AND(S765&gt;=m_From,S765&lt;=m_To)),1,0)</f>
        <v/>
      </c>
      <c r="Z765" s="36">
        <f>IF(AND(OR(sel_Region="All",C765=sel_Region),OR(sel_Country="All",D765=sel_Country),OR(sel_Channel="All",E765=sel_Channel),OR(sel_Customer="All",F765=sel_Customer),OR(sel_Category="All",G765=sel_Category),AND(S765&gt;=m_From,S765&lt;=m_To)),1,0)</f>
        <v/>
      </c>
      <c r="AA765" s="36">
        <f>IF(AND(OR(sel_Region="All",C765=sel_Region),OR(sel_Country="All",D765=sel_Country),OR(sel_Channel="All",E765=sel_Channel),OR(sel_Customer="All",F765=sel_Customer),OR(sel_Category="All",G765=sel_Category),OR(sel_Product="All",H765=sel_Product)),1,0)</f>
        <v/>
      </c>
    </row>
    <row r="766">
      <c r="A766" s="36" t="inlineStr">
        <is>
          <t>02526</t>
        </is>
      </c>
      <c r="B766" s="44" t="n">
        <v>46150</v>
      </c>
      <c r="C766" s="36" t="inlineStr">
        <is>
          <t>Central Europe</t>
        </is>
      </c>
      <c r="D766" s="36" t="inlineStr">
        <is>
          <t>Poland</t>
        </is>
      </c>
      <c r="E766" s="36" t="inlineStr">
        <is>
          <t>Online Store</t>
        </is>
      </c>
      <c r="F766" s="36" t="inlineStr">
        <is>
          <t>New</t>
        </is>
      </c>
      <c r="G766" s="36" t="inlineStr">
        <is>
          <t>Camping</t>
        </is>
      </c>
      <c r="H766" s="36" t="inlineStr">
        <is>
          <t>Portable Camp Stove</t>
        </is>
      </c>
      <c r="I766" s="36" t="n">
        <v>1</v>
      </c>
      <c r="J766" s="39" t="n">
        <v>80.86</v>
      </c>
      <c r="K766" s="45" t="n">
        <v>0</v>
      </c>
      <c r="L766" s="39" t="n">
        <v>38.44</v>
      </c>
      <c r="M766" s="39">
        <f>I766*J766*(1-K766)</f>
        <v/>
      </c>
      <c r="N766" s="39">
        <f>I766*L766</f>
        <v/>
      </c>
      <c r="O766" s="39">
        <f>M766-N766</f>
        <v/>
      </c>
      <c r="P766" s="38">
        <f>IF(M766=0,0,O766/M766)</f>
        <v/>
      </c>
      <c r="Q766" s="36">
        <f>YEAR(B766)</f>
        <v/>
      </c>
      <c r="R766" s="36">
        <f>"Q"&amp;ROUNDUP(MONTH(B766)/3,0)</f>
        <v/>
      </c>
      <c r="S766" s="36">
        <f>MONTH(B766)</f>
        <v/>
      </c>
      <c r="T766" s="36">
        <f>TEXT(B766,"mmm")</f>
        <v/>
      </c>
      <c r="U766" s="36">
        <f>IF(AND(OR(sel_Region="All",C766=sel_Region),OR(sel_Country="All",D766=sel_Country),OR(sel_Channel="All",E766=sel_Channel),OR(sel_Customer="All",F766=sel_Customer),OR(sel_Category="All",G766=sel_Category),OR(sel_Product="All",H766=sel_Product),AND(S766&gt;=m_From,S766&lt;=m_To)),1,0)</f>
        <v/>
      </c>
      <c r="V766" s="36">
        <f>IF(AND(OR(sel_Region="All",C766=sel_Region),OR(sel_Channel="All",E766=sel_Channel),OR(sel_Customer="All",F766=sel_Customer),OR(sel_Category="All",G766=sel_Category),OR(sel_Product="All",H766=sel_Product),AND(S766&gt;=m_From,S766&lt;=m_To)),1,0)</f>
        <v/>
      </c>
      <c r="W766" s="36">
        <f>IF(AND(OR(sel_Region="All",C766=sel_Region),OR(sel_Country="All",D766=sel_Country),OR(sel_Customer="All",F766=sel_Customer),OR(sel_Category="All",G766=sel_Category),OR(sel_Product="All",H766=sel_Product),AND(S766&gt;=m_From,S766&lt;=m_To)),1,0)</f>
        <v/>
      </c>
      <c r="X766" s="36">
        <f>IF(AND(OR(sel_Region="All",C766=sel_Region),OR(sel_Country="All",D766=sel_Country),OR(sel_Channel="All",E766=sel_Channel),OR(sel_Category="All",G766=sel_Category),OR(sel_Product="All",H766=sel_Product),AND(S766&gt;=m_From,S766&lt;=m_To)),1,0)</f>
        <v/>
      </c>
      <c r="Y766" s="36">
        <f>IF(AND(OR(sel_Region="All",C766=sel_Region),OR(sel_Country="All",D766=sel_Country),OR(sel_Channel="All",E766=sel_Channel),OR(sel_Customer="All",F766=sel_Customer),OR(sel_Product="All",H766=sel_Product),AND(S766&gt;=m_From,S766&lt;=m_To)),1,0)</f>
        <v/>
      </c>
      <c r="Z766" s="36">
        <f>IF(AND(OR(sel_Region="All",C766=sel_Region),OR(sel_Country="All",D766=sel_Country),OR(sel_Channel="All",E766=sel_Channel),OR(sel_Customer="All",F766=sel_Customer),OR(sel_Category="All",G766=sel_Category),AND(S766&gt;=m_From,S766&lt;=m_To)),1,0)</f>
        <v/>
      </c>
      <c r="AA766" s="36">
        <f>IF(AND(OR(sel_Region="All",C766=sel_Region),OR(sel_Country="All",D766=sel_Country),OR(sel_Channel="All",E766=sel_Channel),OR(sel_Customer="All",F766=sel_Customer),OR(sel_Category="All",G766=sel_Category),OR(sel_Product="All",H766=sel_Product)),1,0)</f>
        <v/>
      </c>
    </row>
    <row r="767">
      <c r="A767" s="36" t="inlineStr">
        <is>
          <t>03298</t>
        </is>
      </c>
      <c r="B767" s="44" t="n">
        <v>46150</v>
      </c>
      <c r="C767" s="36" t="inlineStr">
        <is>
          <t>Central Europe</t>
        </is>
      </c>
      <c r="D767" s="36" t="inlineStr">
        <is>
          <t>Poland</t>
        </is>
      </c>
      <c r="E767" s="36" t="inlineStr">
        <is>
          <t>Marketplace</t>
        </is>
      </c>
      <c r="F767" s="36" t="inlineStr">
        <is>
          <t>New</t>
        </is>
      </c>
      <c r="G767" s="36" t="inlineStr">
        <is>
          <t>Camping</t>
        </is>
      </c>
      <c r="H767" s="36" t="inlineStr">
        <is>
          <t>Alpine Tent 4P</t>
        </is>
      </c>
      <c r="I767" s="36" t="n">
        <v>2</v>
      </c>
      <c r="J767" s="39" t="n">
        <v>337.7</v>
      </c>
      <c r="K767" s="45" t="n">
        <v>0.1</v>
      </c>
      <c r="L767" s="39" t="n">
        <v>192.16</v>
      </c>
      <c r="M767" s="39">
        <f>I767*J767*(1-K767)</f>
        <v/>
      </c>
      <c r="N767" s="39">
        <f>I767*L767</f>
        <v/>
      </c>
      <c r="O767" s="39">
        <f>M767-N767</f>
        <v/>
      </c>
      <c r="P767" s="38">
        <f>IF(M767=0,0,O767/M767)</f>
        <v/>
      </c>
      <c r="Q767" s="36">
        <f>YEAR(B767)</f>
        <v/>
      </c>
      <c r="R767" s="36">
        <f>"Q"&amp;ROUNDUP(MONTH(B767)/3,0)</f>
        <v/>
      </c>
      <c r="S767" s="36">
        <f>MONTH(B767)</f>
        <v/>
      </c>
      <c r="T767" s="36">
        <f>TEXT(B767,"mmm")</f>
        <v/>
      </c>
      <c r="U767" s="36">
        <f>IF(AND(OR(sel_Region="All",C767=sel_Region),OR(sel_Country="All",D767=sel_Country),OR(sel_Channel="All",E767=sel_Channel),OR(sel_Customer="All",F767=sel_Customer),OR(sel_Category="All",G767=sel_Category),OR(sel_Product="All",H767=sel_Product),AND(S767&gt;=m_From,S767&lt;=m_To)),1,0)</f>
        <v/>
      </c>
      <c r="V767" s="36">
        <f>IF(AND(OR(sel_Region="All",C767=sel_Region),OR(sel_Channel="All",E767=sel_Channel),OR(sel_Customer="All",F767=sel_Customer),OR(sel_Category="All",G767=sel_Category),OR(sel_Product="All",H767=sel_Product),AND(S767&gt;=m_From,S767&lt;=m_To)),1,0)</f>
        <v/>
      </c>
      <c r="W767" s="36">
        <f>IF(AND(OR(sel_Region="All",C767=sel_Region),OR(sel_Country="All",D767=sel_Country),OR(sel_Customer="All",F767=sel_Customer),OR(sel_Category="All",G767=sel_Category),OR(sel_Product="All",H767=sel_Product),AND(S767&gt;=m_From,S767&lt;=m_To)),1,0)</f>
        <v/>
      </c>
      <c r="X767" s="36">
        <f>IF(AND(OR(sel_Region="All",C767=sel_Region),OR(sel_Country="All",D767=sel_Country),OR(sel_Channel="All",E767=sel_Channel),OR(sel_Category="All",G767=sel_Category),OR(sel_Product="All",H767=sel_Product),AND(S767&gt;=m_From,S767&lt;=m_To)),1,0)</f>
        <v/>
      </c>
      <c r="Y767" s="36">
        <f>IF(AND(OR(sel_Region="All",C767=sel_Region),OR(sel_Country="All",D767=sel_Country),OR(sel_Channel="All",E767=sel_Channel),OR(sel_Customer="All",F767=sel_Customer),OR(sel_Product="All",H767=sel_Product),AND(S767&gt;=m_From,S767&lt;=m_To)),1,0)</f>
        <v/>
      </c>
      <c r="Z767" s="36">
        <f>IF(AND(OR(sel_Region="All",C767=sel_Region),OR(sel_Country="All",D767=sel_Country),OR(sel_Channel="All",E767=sel_Channel),OR(sel_Customer="All",F767=sel_Customer),OR(sel_Category="All",G767=sel_Category),AND(S767&gt;=m_From,S767&lt;=m_To)),1,0)</f>
        <v/>
      </c>
      <c r="AA767" s="36">
        <f>IF(AND(OR(sel_Region="All",C767=sel_Region),OR(sel_Country="All",D767=sel_Country),OR(sel_Channel="All",E767=sel_Channel),OR(sel_Customer="All",F767=sel_Customer),OR(sel_Category="All",G767=sel_Category),OR(sel_Product="All",H767=sel_Product)),1,0)</f>
        <v/>
      </c>
    </row>
    <row r="768">
      <c r="A768" s="36" t="inlineStr">
        <is>
          <t>03510</t>
        </is>
      </c>
      <c r="B768" s="44" t="n">
        <v>46150</v>
      </c>
      <c r="C768" s="36" t="inlineStr">
        <is>
          <t>Northern Europe</t>
        </is>
      </c>
      <c r="D768" s="36" t="inlineStr">
        <is>
          <t>Sweden</t>
        </is>
      </c>
      <c r="E768" s="36" t="inlineStr">
        <is>
          <t>Online Store</t>
        </is>
      </c>
      <c r="F768" s="36" t="inlineStr">
        <is>
          <t>Returning</t>
        </is>
      </c>
      <c r="G768" s="36" t="inlineStr">
        <is>
          <t>Camping</t>
        </is>
      </c>
      <c r="H768" s="36" t="inlineStr">
        <is>
          <t>Compact Sleeping Bag</t>
        </is>
      </c>
      <c r="I768" s="36" t="n">
        <v>4</v>
      </c>
      <c r="J768" s="39" t="n">
        <v>121.81</v>
      </c>
      <c r="K768" s="45" t="n">
        <v>0</v>
      </c>
      <c r="L768" s="39" t="n">
        <v>58.95</v>
      </c>
      <c r="M768" s="39">
        <f>I768*J768*(1-K768)</f>
        <v/>
      </c>
      <c r="N768" s="39">
        <f>I768*L768</f>
        <v/>
      </c>
      <c r="O768" s="39">
        <f>M768-N768</f>
        <v/>
      </c>
      <c r="P768" s="38">
        <f>IF(M768=0,0,O768/M768)</f>
        <v/>
      </c>
      <c r="Q768" s="36">
        <f>YEAR(B768)</f>
        <v/>
      </c>
      <c r="R768" s="36">
        <f>"Q"&amp;ROUNDUP(MONTH(B768)/3,0)</f>
        <v/>
      </c>
      <c r="S768" s="36">
        <f>MONTH(B768)</f>
        <v/>
      </c>
      <c r="T768" s="36">
        <f>TEXT(B768,"mmm")</f>
        <v/>
      </c>
      <c r="U768" s="36">
        <f>IF(AND(OR(sel_Region="All",C768=sel_Region),OR(sel_Country="All",D768=sel_Country),OR(sel_Channel="All",E768=sel_Channel),OR(sel_Customer="All",F768=sel_Customer),OR(sel_Category="All",G768=sel_Category),OR(sel_Product="All",H768=sel_Product),AND(S768&gt;=m_From,S768&lt;=m_To)),1,0)</f>
        <v/>
      </c>
      <c r="V768" s="36">
        <f>IF(AND(OR(sel_Region="All",C768=sel_Region),OR(sel_Channel="All",E768=sel_Channel),OR(sel_Customer="All",F768=sel_Customer),OR(sel_Category="All",G768=sel_Category),OR(sel_Product="All",H768=sel_Product),AND(S768&gt;=m_From,S768&lt;=m_To)),1,0)</f>
        <v/>
      </c>
      <c r="W768" s="36">
        <f>IF(AND(OR(sel_Region="All",C768=sel_Region),OR(sel_Country="All",D768=sel_Country),OR(sel_Customer="All",F768=sel_Customer),OR(sel_Category="All",G768=sel_Category),OR(sel_Product="All",H768=sel_Product),AND(S768&gt;=m_From,S768&lt;=m_To)),1,0)</f>
        <v/>
      </c>
      <c r="X768" s="36">
        <f>IF(AND(OR(sel_Region="All",C768=sel_Region),OR(sel_Country="All",D768=sel_Country),OR(sel_Channel="All",E768=sel_Channel),OR(sel_Category="All",G768=sel_Category),OR(sel_Product="All",H768=sel_Product),AND(S768&gt;=m_From,S768&lt;=m_To)),1,0)</f>
        <v/>
      </c>
      <c r="Y768" s="36">
        <f>IF(AND(OR(sel_Region="All",C768=sel_Region),OR(sel_Country="All",D768=sel_Country),OR(sel_Channel="All",E768=sel_Channel),OR(sel_Customer="All",F768=sel_Customer),OR(sel_Product="All",H768=sel_Product),AND(S768&gt;=m_From,S768&lt;=m_To)),1,0)</f>
        <v/>
      </c>
      <c r="Z768" s="36">
        <f>IF(AND(OR(sel_Region="All",C768=sel_Region),OR(sel_Country="All",D768=sel_Country),OR(sel_Channel="All",E768=sel_Channel),OR(sel_Customer="All",F768=sel_Customer),OR(sel_Category="All",G768=sel_Category),AND(S768&gt;=m_From,S768&lt;=m_To)),1,0)</f>
        <v/>
      </c>
      <c r="AA768" s="36">
        <f>IF(AND(OR(sel_Region="All",C768=sel_Region),OR(sel_Country="All",D768=sel_Country),OR(sel_Channel="All",E768=sel_Channel),OR(sel_Customer="All",F768=sel_Customer),OR(sel_Category="All",G768=sel_Category),OR(sel_Product="All",H768=sel_Product)),1,0)</f>
        <v/>
      </c>
    </row>
    <row r="769">
      <c r="A769" s="36" t="inlineStr">
        <is>
          <t>03638</t>
        </is>
      </c>
      <c r="B769" s="44" t="n">
        <v>46150</v>
      </c>
      <c r="C769" s="36" t="inlineStr">
        <is>
          <t>Western Europe</t>
        </is>
      </c>
      <c r="D769" s="36" t="inlineStr">
        <is>
          <t>Netherlands</t>
        </is>
      </c>
      <c r="E769" s="36" t="inlineStr">
        <is>
          <t>Corporate</t>
        </is>
      </c>
      <c r="F769" s="36" t="inlineStr">
        <is>
          <t>Business</t>
        </is>
      </c>
      <c r="G769" s="36" t="inlineStr">
        <is>
          <t>Travel</t>
        </is>
      </c>
      <c r="H769" s="36" t="inlineStr">
        <is>
          <t>Travel Backpack 35L</t>
        </is>
      </c>
      <c r="I769" s="36" t="n">
        <v>10</v>
      </c>
      <c r="J769" s="39" t="n">
        <v>168.55</v>
      </c>
      <c r="K769" s="45" t="n">
        <v>0.1</v>
      </c>
      <c r="L769" s="39" t="n">
        <v>88.84999999999999</v>
      </c>
      <c r="M769" s="39">
        <f>I769*J769*(1-K769)</f>
        <v/>
      </c>
      <c r="N769" s="39">
        <f>I769*L769</f>
        <v/>
      </c>
      <c r="O769" s="39">
        <f>M769-N769</f>
        <v/>
      </c>
      <c r="P769" s="38">
        <f>IF(M769=0,0,O769/M769)</f>
        <v/>
      </c>
      <c r="Q769" s="36">
        <f>YEAR(B769)</f>
        <v/>
      </c>
      <c r="R769" s="36">
        <f>"Q"&amp;ROUNDUP(MONTH(B769)/3,0)</f>
        <v/>
      </c>
      <c r="S769" s="36">
        <f>MONTH(B769)</f>
        <v/>
      </c>
      <c r="T769" s="36">
        <f>TEXT(B769,"mmm")</f>
        <v/>
      </c>
      <c r="U769" s="36">
        <f>IF(AND(OR(sel_Region="All",C769=sel_Region),OR(sel_Country="All",D769=sel_Country),OR(sel_Channel="All",E769=sel_Channel),OR(sel_Customer="All",F769=sel_Customer),OR(sel_Category="All",G769=sel_Category),OR(sel_Product="All",H769=sel_Product),AND(S769&gt;=m_From,S769&lt;=m_To)),1,0)</f>
        <v/>
      </c>
      <c r="V769" s="36">
        <f>IF(AND(OR(sel_Region="All",C769=sel_Region),OR(sel_Channel="All",E769=sel_Channel),OR(sel_Customer="All",F769=sel_Customer),OR(sel_Category="All",G769=sel_Category),OR(sel_Product="All",H769=sel_Product),AND(S769&gt;=m_From,S769&lt;=m_To)),1,0)</f>
        <v/>
      </c>
      <c r="W769" s="36">
        <f>IF(AND(OR(sel_Region="All",C769=sel_Region),OR(sel_Country="All",D769=sel_Country),OR(sel_Customer="All",F769=sel_Customer),OR(sel_Category="All",G769=sel_Category),OR(sel_Product="All",H769=sel_Product),AND(S769&gt;=m_From,S769&lt;=m_To)),1,0)</f>
        <v/>
      </c>
      <c r="X769" s="36">
        <f>IF(AND(OR(sel_Region="All",C769=sel_Region),OR(sel_Country="All",D769=sel_Country),OR(sel_Channel="All",E769=sel_Channel),OR(sel_Category="All",G769=sel_Category),OR(sel_Product="All",H769=sel_Product),AND(S769&gt;=m_From,S769&lt;=m_To)),1,0)</f>
        <v/>
      </c>
      <c r="Y769" s="36">
        <f>IF(AND(OR(sel_Region="All",C769=sel_Region),OR(sel_Country="All",D769=sel_Country),OR(sel_Channel="All",E769=sel_Channel),OR(sel_Customer="All",F769=sel_Customer),OR(sel_Product="All",H769=sel_Product),AND(S769&gt;=m_From,S769&lt;=m_To)),1,0)</f>
        <v/>
      </c>
      <c r="Z769" s="36">
        <f>IF(AND(OR(sel_Region="All",C769=sel_Region),OR(sel_Country="All",D769=sel_Country),OR(sel_Channel="All",E769=sel_Channel),OR(sel_Customer="All",F769=sel_Customer),OR(sel_Category="All",G769=sel_Category),AND(S769&gt;=m_From,S769&lt;=m_To)),1,0)</f>
        <v/>
      </c>
      <c r="AA769" s="36">
        <f>IF(AND(OR(sel_Region="All",C769=sel_Region),OR(sel_Country="All",D769=sel_Country),OR(sel_Channel="All",E769=sel_Channel),OR(sel_Customer="All",F769=sel_Customer),OR(sel_Category="All",G769=sel_Category),OR(sel_Product="All",H769=sel_Product)),1,0)</f>
        <v/>
      </c>
    </row>
    <row r="770">
      <c r="A770" s="36" t="inlineStr">
        <is>
          <t>03754</t>
        </is>
      </c>
      <c r="B770" s="44" t="n">
        <v>46150</v>
      </c>
      <c r="C770" s="36" t="inlineStr">
        <is>
          <t>Central Europe</t>
        </is>
      </c>
      <c r="D770" s="36" t="inlineStr">
        <is>
          <t>Germany</t>
        </is>
      </c>
      <c r="E770" s="36" t="inlineStr">
        <is>
          <t>Online Store</t>
        </is>
      </c>
      <c r="F770" s="36" t="inlineStr">
        <is>
          <t>Returning</t>
        </is>
      </c>
      <c r="G770" s="36" t="inlineStr">
        <is>
          <t>Cycling</t>
        </is>
      </c>
      <c r="H770" s="36" t="inlineStr">
        <is>
          <t>Compact Repair Kit</t>
        </is>
      </c>
      <c r="I770" s="36" t="n">
        <v>1</v>
      </c>
      <c r="J770" s="39" t="n">
        <v>39.42</v>
      </c>
      <c r="K770" s="45" t="n">
        <v>0.05</v>
      </c>
      <c r="L770" s="39" t="n">
        <v>16.77</v>
      </c>
      <c r="M770" s="39">
        <f>I770*J770*(1-K770)</f>
        <v/>
      </c>
      <c r="N770" s="39">
        <f>I770*L770</f>
        <v/>
      </c>
      <c r="O770" s="39">
        <f>M770-N770</f>
        <v/>
      </c>
      <c r="P770" s="38">
        <f>IF(M770=0,0,O770/M770)</f>
        <v/>
      </c>
      <c r="Q770" s="36">
        <f>YEAR(B770)</f>
        <v/>
      </c>
      <c r="R770" s="36">
        <f>"Q"&amp;ROUNDUP(MONTH(B770)/3,0)</f>
        <v/>
      </c>
      <c r="S770" s="36">
        <f>MONTH(B770)</f>
        <v/>
      </c>
      <c r="T770" s="36">
        <f>TEXT(B770,"mmm")</f>
        <v/>
      </c>
      <c r="U770" s="36">
        <f>IF(AND(OR(sel_Region="All",C770=sel_Region),OR(sel_Country="All",D770=sel_Country),OR(sel_Channel="All",E770=sel_Channel),OR(sel_Customer="All",F770=sel_Customer),OR(sel_Category="All",G770=sel_Category),OR(sel_Product="All",H770=sel_Product),AND(S770&gt;=m_From,S770&lt;=m_To)),1,0)</f>
        <v/>
      </c>
      <c r="V770" s="36">
        <f>IF(AND(OR(sel_Region="All",C770=sel_Region),OR(sel_Channel="All",E770=sel_Channel),OR(sel_Customer="All",F770=sel_Customer),OR(sel_Category="All",G770=sel_Category),OR(sel_Product="All",H770=sel_Product),AND(S770&gt;=m_From,S770&lt;=m_To)),1,0)</f>
        <v/>
      </c>
      <c r="W770" s="36">
        <f>IF(AND(OR(sel_Region="All",C770=sel_Region),OR(sel_Country="All",D770=sel_Country),OR(sel_Customer="All",F770=sel_Customer),OR(sel_Category="All",G770=sel_Category),OR(sel_Product="All",H770=sel_Product),AND(S770&gt;=m_From,S770&lt;=m_To)),1,0)</f>
        <v/>
      </c>
      <c r="X770" s="36">
        <f>IF(AND(OR(sel_Region="All",C770=sel_Region),OR(sel_Country="All",D770=sel_Country),OR(sel_Channel="All",E770=sel_Channel),OR(sel_Category="All",G770=sel_Category),OR(sel_Product="All",H770=sel_Product),AND(S770&gt;=m_From,S770&lt;=m_To)),1,0)</f>
        <v/>
      </c>
      <c r="Y770" s="36">
        <f>IF(AND(OR(sel_Region="All",C770=sel_Region),OR(sel_Country="All",D770=sel_Country),OR(sel_Channel="All",E770=sel_Channel),OR(sel_Customer="All",F770=sel_Customer),OR(sel_Product="All",H770=sel_Product),AND(S770&gt;=m_From,S770&lt;=m_To)),1,0)</f>
        <v/>
      </c>
      <c r="Z770" s="36">
        <f>IF(AND(OR(sel_Region="All",C770=sel_Region),OR(sel_Country="All",D770=sel_Country),OR(sel_Channel="All",E770=sel_Channel),OR(sel_Customer="All",F770=sel_Customer),OR(sel_Category="All",G770=sel_Category),AND(S770&gt;=m_From,S770&lt;=m_To)),1,0)</f>
        <v/>
      </c>
      <c r="AA770" s="36">
        <f>IF(AND(OR(sel_Region="All",C770=sel_Region),OR(sel_Country="All",D770=sel_Country),OR(sel_Channel="All",E770=sel_Channel),OR(sel_Customer="All",F770=sel_Customer),OR(sel_Category="All",G770=sel_Category),OR(sel_Product="All",H770=sel_Product)),1,0)</f>
        <v/>
      </c>
    </row>
    <row r="771">
      <c r="A771" s="36" t="inlineStr">
        <is>
          <t>04029</t>
        </is>
      </c>
      <c r="B771" s="44" t="n">
        <v>46150</v>
      </c>
      <c r="C771" s="36" t="inlineStr">
        <is>
          <t>Western Europe</t>
        </is>
      </c>
      <c r="D771" s="36" t="inlineStr">
        <is>
          <t>France</t>
        </is>
      </c>
      <c r="E771" s="36" t="inlineStr">
        <is>
          <t>Retail Partners</t>
        </is>
      </c>
      <c r="F771" s="36" t="inlineStr">
        <is>
          <t>New</t>
        </is>
      </c>
      <c r="G771" s="36" t="inlineStr">
        <is>
          <t>Travel</t>
        </is>
      </c>
      <c r="H771" s="36" t="inlineStr">
        <is>
          <t>Travel Backpack 35L</t>
        </is>
      </c>
      <c r="I771" s="36" t="n">
        <v>1</v>
      </c>
      <c r="J771" s="39" t="n">
        <v>161.36</v>
      </c>
      <c r="K771" s="45" t="n">
        <v>0</v>
      </c>
      <c r="L771" s="39" t="n">
        <v>87</v>
      </c>
      <c r="M771" s="39">
        <f>I771*J771*(1-K771)</f>
        <v/>
      </c>
      <c r="N771" s="39">
        <f>I771*L771</f>
        <v/>
      </c>
      <c r="O771" s="39">
        <f>M771-N771</f>
        <v/>
      </c>
      <c r="P771" s="38">
        <f>IF(M771=0,0,O771/M771)</f>
        <v/>
      </c>
      <c r="Q771" s="36">
        <f>YEAR(B771)</f>
        <v/>
      </c>
      <c r="R771" s="36">
        <f>"Q"&amp;ROUNDUP(MONTH(B771)/3,0)</f>
        <v/>
      </c>
      <c r="S771" s="36">
        <f>MONTH(B771)</f>
        <v/>
      </c>
      <c r="T771" s="36">
        <f>TEXT(B771,"mmm")</f>
        <v/>
      </c>
      <c r="U771" s="36">
        <f>IF(AND(OR(sel_Region="All",C771=sel_Region),OR(sel_Country="All",D771=sel_Country),OR(sel_Channel="All",E771=sel_Channel),OR(sel_Customer="All",F771=sel_Customer),OR(sel_Category="All",G771=sel_Category),OR(sel_Product="All",H771=sel_Product),AND(S771&gt;=m_From,S771&lt;=m_To)),1,0)</f>
        <v/>
      </c>
      <c r="V771" s="36">
        <f>IF(AND(OR(sel_Region="All",C771=sel_Region),OR(sel_Channel="All",E771=sel_Channel),OR(sel_Customer="All",F771=sel_Customer),OR(sel_Category="All",G771=sel_Category),OR(sel_Product="All",H771=sel_Product),AND(S771&gt;=m_From,S771&lt;=m_To)),1,0)</f>
        <v/>
      </c>
      <c r="W771" s="36">
        <f>IF(AND(OR(sel_Region="All",C771=sel_Region),OR(sel_Country="All",D771=sel_Country),OR(sel_Customer="All",F771=sel_Customer),OR(sel_Category="All",G771=sel_Category),OR(sel_Product="All",H771=sel_Product),AND(S771&gt;=m_From,S771&lt;=m_To)),1,0)</f>
        <v/>
      </c>
      <c r="X771" s="36">
        <f>IF(AND(OR(sel_Region="All",C771=sel_Region),OR(sel_Country="All",D771=sel_Country),OR(sel_Channel="All",E771=sel_Channel),OR(sel_Category="All",G771=sel_Category),OR(sel_Product="All",H771=sel_Product),AND(S771&gt;=m_From,S771&lt;=m_To)),1,0)</f>
        <v/>
      </c>
      <c r="Y771" s="36">
        <f>IF(AND(OR(sel_Region="All",C771=sel_Region),OR(sel_Country="All",D771=sel_Country),OR(sel_Channel="All",E771=sel_Channel),OR(sel_Customer="All",F771=sel_Customer),OR(sel_Product="All",H771=sel_Product),AND(S771&gt;=m_From,S771&lt;=m_To)),1,0)</f>
        <v/>
      </c>
      <c r="Z771" s="36">
        <f>IF(AND(OR(sel_Region="All",C771=sel_Region),OR(sel_Country="All",D771=sel_Country),OR(sel_Channel="All",E771=sel_Channel),OR(sel_Customer="All",F771=sel_Customer),OR(sel_Category="All",G771=sel_Category),AND(S771&gt;=m_From,S771&lt;=m_To)),1,0)</f>
        <v/>
      </c>
      <c r="AA771" s="36">
        <f>IF(AND(OR(sel_Region="All",C771=sel_Region),OR(sel_Country="All",D771=sel_Country),OR(sel_Channel="All",E771=sel_Channel),OR(sel_Customer="All",F771=sel_Customer),OR(sel_Category="All",G771=sel_Category),OR(sel_Product="All",H771=sel_Product)),1,0)</f>
        <v/>
      </c>
    </row>
    <row r="772">
      <c r="A772" s="36" t="inlineStr">
        <is>
          <t>04651</t>
        </is>
      </c>
      <c r="B772" s="44" t="n">
        <v>46150</v>
      </c>
      <c r="C772" s="36" t="inlineStr">
        <is>
          <t>Central Europe</t>
        </is>
      </c>
      <c r="D772" s="36" t="inlineStr">
        <is>
          <t>Switzerland</t>
        </is>
      </c>
      <c r="E772" s="36" t="inlineStr">
        <is>
          <t>Online Store</t>
        </is>
      </c>
      <c r="F772" s="36" t="inlineStr">
        <is>
          <t>Business</t>
        </is>
      </c>
      <c r="G772" s="36" t="inlineStr">
        <is>
          <t>Camping</t>
        </is>
      </c>
      <c r="H772" s="36" t="inlineStr">
        <is>
          <t>Compact Sleeping Bag</t>
        </is>
      </c>
      <c r="I772" s="36" t="n">
        <v>1</v>
      </c>
      <c r="J772" s="39" t="n">
        <v>123.68</v>
      </c>
      <c r="K772" s="45" t="n">
        <v>0</v>
      </c>
      <c r="L772" s="39" t="n">
        <v>59.26</v>
      </c>
      <c r="M772" s="39">
        <f>I772*J772*(1-K772)</f>
        <v/>
      </c>
      <c r="N772" s="39">
        <f>I772*L772</f>
        <v/>
      </c>
      <c r="O772" s="39">
        <f>M772-N772</f>
        <v/>
      </c>
      <c r="P772" s="38">
        <f>IF(M772=0,0,O772/M772)</f>
        <v/>
      </c>
      <c r="Q772" s="36">
        <f>YEAR(B772)</f>
        <v/>
      </c>
      <c r="R772" s="36">
        <f>"Q"&amp;ROUNDUP(MONTH(B772)/3,0)</f>
        <v/>
      </c>
      <c r="S772" s="36">
        <f>MONTH(B772)</f>
        <v/>
      </c>
      <c r="T772" s="36">
        <f>TEXT(B772,"mmm")</f>
        <v/>
      </c>
      <c r="U772" s="36">
        <f>IF(AND(OR(sel_Region="All",C772=sel_Region),OR(sel_Country="All",D772=sel_Country),OR(sel_Channel="All",E772=sel_Channel),OR(sel_Customer="All",F772=sel_Customer),OR(sel_Category="All",G772=sel_Category),OR(sel_Product="All",H772=sel_Product),AND(S772&gt;=m_From,S772&lt;=m_To)),1,0)</f>
        <v/>
      </c>
      <c r="V772" s="36">
        <f>IF(AND(OR(sel_Region="All",C772=sel_Region),OR(sel_Channel="All",E772=sel_Channel),OR(sel_Customer="All",F772=sel_Customer),OR(sel_Category="All",G772=sel_Category),OR(sel_Product="All",H772=sel_Product),AND(S772&gt;=m_From,S772&lt;=m_To)),1,0)</f>
        <v/>
      </c>
      <c r="W772" s="36">
        <f>IF(AND(OR(sel_Region="All",C772=sel_Region),OR(sel_Country="All",D772=sel_Country),OR(sel_Customer="All",F772=sel_Customer),OR(sel_Category="All",G772=sel_Category),OR(sel_Product="All",H772=sel_Product),AND(S772&gt;=m_From,S772&lt;=m_To)),1,0)</f>
        <v/>
      </c>
      <c r="X772" s="36">
        <f>IF(AND(OR(sel_Region="All",C772=sel_Region),OR(sel_Country="All",D772=sel_Country),OR(sel_Channel="All",E772=sel_Channel),OR(sel_Category="All",G772=sel_Category),OR(sel_Product="All",H772=sel_Product),AND(S772&gt;=m_From,S772&lt;=m_To)),1,0)</f>
        <v/>
      </c>
      <c r="Y772" s="36">
        <f>IF(AND(OR(sel_Region="All",C772=sel_Region),OR(sel_Country="All",D772=sel_Country),OR(sel_Channel="All",E772=sel_Channel),OR(sel_Customer="All",F772=sel_Customer),OR(sel_Product="All",H772=sel_Product),AND(S772&gt;=m_From,S772&lt;=m_To)),1,0)</f>
        <v/>
      </c>
      <c r="Z772" s="36">
        <f>IF(AND(OR(sel_Region="All",C772=sel_Region),OR(sel_Country="All",D772=sel_Country),OR(sel_Channel="All",E772=sel_Channel),OR(sel_Customer="All",F772=sel_Customer),OR(sel_Category="All",G772=sel_Category),AND(S772&gt;=m_From,S772&lt;=m_To)),1,0)</f>
        <v/>
      </c>
      <c r="AA772" s="36">
        <f>IF(AND(OR(sel_Region="All",C772=sel_Region),OR(sel_Country="All",D772=sel_Country),OR(sel_Channel="All",E772=sel_Channel),OR(sel_Customer="All",F772=sel_Customer),OR(sel_Category="All",G772=sel_Category),OR(sel_Product="All",H772=sel_Product)),1,0)</f>
        <v/>
      </c>
    </row>
    <row r="773">
      <c r="A773" s="36" t="inlineStr">
        <is>
          <t>04886</t>
        </is>
      </c>
      <c r="B773" s="44" t="n">
        <v>46150</v>
      </c>
      <c r="C773" s="36" t="inlineStr">
        <is>
          <t>Western Europe</t>
        </is>
      </c>
      <c r="D773" s="36" t="inlineStr">
        <is>
          <t>United Kingdom</t>
        </is>
      </c>
      <c r="E773" s="36" t="inlineStr">
        <is>
          <t>Marketplace</t>
        </is>
      </c>
      <c r="F773" s="36" t="inlineStr">
        <is>
          <t>Returning</t>
        </is>
      </c>
      <c r="G773" s="36" t="inlineStr">
        <is>
          <t>Hiking</t>
        </is>
      </c>
      <c r="H773" s="36" t="inlineStr">
        <is>
          <t>Trail Boots</t>
        </is>
      </c>
      <c r="I773" s="36" t="n">
        <v>1</v>
      </c>
      <c r="J773" s="39" t="n">
        <v>146.29</v>
      </c>
      <c r="K773" s="45" t="n">
        <v>0</v>
      </c>
      <c r="L773" s="39" t="n">
        <v>81.16</v>
      </c>
      <c r="M773" s="39">
        <f>I773*J773*(1-K773)</f>
        <v/>
      </c>
      <c r="N773" s="39">
        <f>I773*L773</f>
        <v/>
      </c>
      <c r="O773" s="39">
        <f>M773-N773</f>
        <v/>
      </c>
      <c r="P773" s="38">
        <f>IF(M773=0,0,O773/M773)</f>
        <v/>
      </c>
      <c r="Q773" s="36">
        <f>YEAR(B773)</f>
        <v/>
      </c>
      <c r="R773" s="36">
        <f>"Q"&amp;ROUNDUP(MONTH(B773)/3,0)</f>
        <v/>
      </c>
      <c r="S773" s="36">
        <f>MONTH(B773)</f>
        <v/>
      </c>
      <c r="T773" s="36">
        <f>TEXT(B773,"mmm")</f>
        <v/>
      </c>
      <c r="U773" s="36">
        <f>IF(AND(OR(sel_Region="All",C773=sel_Region),OR(sel_Country="All",D773=sel_Country),OR(sel_Channel="All",E773=sel_Channel),OR(sel_Customer="All",F773=sel_Customer),OR(sel_Category="All",G773=sel_Category),OR(sel_Product="All",H773=sel_Product),AND(S773&gt;=m_From,S773&lt;=m_To)),1,0)</f>
        <v/>
      </c>
      <c r="V773" s="36">
        <f>IF(AND(OR(sel_Region="All",C773=sel_Region),OR(sel_Channel="All",E773=sel_Channel),OR(sel_Customer="All",F773=sel_Customer),OR(sel_Category="All",G773=sel_Category),OR(sel_Product="All",H773=sel_Product),AND(S773&gt;=m_From,S773&lt;=m_To)),1,0)</f>
        <v/>
      </c>
      <c r="W773" s="36">
        <f>IF(AND(OR(sel_Region="All",C773=sel_Region),OR(sel_Country="All",D773=sel_Country),OR(sel_Customer="All",F773=sel_Customer),OR(sel_Category="All",G773=sel_Category),OR(sel_Product="All",H773=sel_Product),AND(S773&gt;=m_From,S773&lt;=m_To)),1,0)</f>
        <v/>
      </c>
      <c r="X773" s="36">
        <f>IF(AND(OR(sel_Region="All",C773=sel_Region),OR(sel_Country="All",D773=sel_Country),OR(sel_Channel="All",E773=sel_Channel),OR(sel_Category="All",G773=sel_Category),OR(sel_Product="All",H773=sel_Product),AND(S773&gt;=m_From,S773&lt;=m_To)),1,0)</f>
        <v/>
      </c>
      <c r="Y773" s="36">
        <f>IF(AND(OR(sel_Region="All",C773=sel_Region),OR(sel_Country="All",D773=sel_Country),OR(sel_Channel="All",E773=sel_Channel),OR(sel_Customer="All",F773=sel_Customer),OR(sel_Product="All",H773=sel_Product),AND(S773&gt;=m_From,S773&lt;=m_To)),1,0)</f>
        <v/>
      </c>
      <c r="Z773" s="36">
        <f>IF(AND(OR(sel_Region="All",C773=sel_Region),OR(sel_Country="All",D773=sel_Country),OR(sel_Channel="All",E773=sel_Channel),OR(sel_Customer="All",F773=sel_Customer),OR(sel_Category="All",G773=sel_Category),AND(S773&gt;=m_From,S773&lt;=m_To)),1,0)</f>
        <v/>
      </c>
      <c r="AA773" s="36">
        <f>IF(AND(OR(sel_Region="All",C773=sel_Region),OR(sel_Country="All",D773=sel_Country),OR(sel_Channel="All",E773=sel_Channel),OR(sel_Customer="All",F773=sel_Customer),OR(sel_Category="All",G773=sel_Category),OR(sel_Product="All",H773=sel_Product)),1,0)</f>
        <v/>
      </c>
    </row>
    <row r="774">
      <c r="A774" s="36" t="inlineStr">
        <is>
          <t>00162</t>
        </is>
      </c>
      <c r="B774" s="44" t="n">
        <v>46151</v>
      </c>
      <c r="C774" s="36" t="inlineStr">
        <is>
          <t>Southern Europe</t>
        </is>
      </c>
      <c r="D774" s="36" t="inlineStr">
        <is>
          <t>Spain</t>
        </is>
      </c>
      <c r="E774" s="36" t="inlineStr">
        <is>
          <t>Online Store</t>
        </is>
      </c>
      <c r="F774" s="36" t="inlineStr">
        <is>
          <t>New</t>
        </is>
      </c>
      <c r="G774" s="36" t="inlineStr">
        <is>
          <t>Travel</t>
        </is>
      </c>
      <c r="H774" s="36" t="inlineStr">
        <is>
          <t>Travel Backpack 35L</t>
        </is>
      </c>
      <c r="I774" s="36" t="n">
        <v>2</v>
      </c>
      <c r="J774" s="39" t="n">
        <v>164.95</v>
      </c>
      <c r="K774" s="45" t="n">
        <v>0.1</v>
      </c>
      <c r="L774" s="39" t="n">
        <v>86.27</v>
      </c>
      <c r="M774" s="39">
        <f>I774*J774*(1-K774)</f>
        <v/>
      </c>
      <c r="N774" s="39">
        <f>I774*L774</f>
        <v/>
      </c>
      <c r="O774" s="39">
        <f>M774-N774</f>
        <v/>
      </c>
      <c r="P774" s="38">
        <f>IF(M774=0,0,O774/M774)</f>
        <v/>
      </c>
      <c r="Q774" s="36">
        <f>YEAR(B774)</f>
        <v/>
      </c>
      <c r="R774" s="36">
        <f>"Q"&amp;ROUNDUP(MONTH(B774)/3,0)</f>
        <v/>
      </c>
      <c r="S774" s="36">
        <f>MONTH(B774)</f>
        <v/>
      </c>
      <c r="T774" s="36">
        <f>TEXT(B774,"mmm")</f>
        <v/>
      </c>
      <c r="U774" s="36">
        <f>IF(AND(OR(sel_Region="All",C774=sel_Region),OR(sel_Country="All",D774=sel_Country),OR(sel_Channel="All",E774=sel_Channel),OR(sel_Customer="All",F774=sel_Customer),OR(sel_Category="All",G774=sel_Category),OR(sel_Product="All",H774=sel_Product),AND(S774&gt;=m_From,S774&lt;=m_To)),1,0)</f>
        <v/>
      </c>
      <c r="V774" s="36">
        <f>IF(AND(OR(sel_Region="All",C774=sel_Region),OR(sel_Channel="All",E774=sel_Channel),OR(sel_Customer="All",F774=sel_Customer),OR(sel_Category="All",G774=sel_Category),OR(sel_Product="All",H774=sel_Product),AND(S774&gt;=m_From,S774&lt;=m_To)),1,0)</f>
        <v/>
      </c>
      <c r="W774" s="36">
        <f>IF(AND(OR(sel_Region="All",C774=sel_Region),OR(sel_Country="All",D774=sel_Country),OR(sel_Customer="All",F774=sel_Customer),OR(sel_Category="All",G774=sel_Category),OR(sel_Product="All",H774=sel_Product),AND(S774&gt;=m_From,S774&lt;=m_To)),1,0)</f>
        <v/>
      </c>
      <c r="X774" s="36">
        <f>IF(AND(OR(sel_Region="All",C774=sel_Region),OR(sel_Country="All",D774=sel_Country),OR(sel_Channel="All",E774=sel_Channel),OR(sel_Category="All",G774=sel_Category),OR(sel_Product="All",H774=sel_Product),AND(S774&gt;=m_From,S774&lt;=m_To)),1,0)</f>
        <v/>
      </c>
      <c r="Y774" s="36">
        <f>IF(AND(OR(sel_Region="All",C774=sel_Region),OR(sel_Country="All",D774=sel_Country),OR(sel_Channel="All",E774=sel_Channel),OR(sel_Customer="All",F774=sel_Customer),OR(sel_Product="All",H774=sel_Product),AND(S774&gt;=m_From,S774&lt;=m_To)),1,0)</f>
        <v/>
      </c>
      <c r="Z774" s="36">
        <f>IF(AND(OR(sel_Region="All",C774=sel_Region),OR(sel_Country="All",D774=sel_Country),OR(sel_Channel="All",E774=sel_Channel),OR(sel_Customer="All",F774=sel_Customer),OR(sel_Category="All",G774=sel_Category),AND(S774&gt;=m_From,S774&lt;=m_To)),1,0)</f>
        <v/>
      </c>
      <c r="AA774" s="36">
        <f>IF(AND(OR(sel_Region="All",C774=sel_Region),OR(sel_Country="All",D774=sel_Country),OR(sel_Channel="All",E774=sel_Channel),OR(sel_Customer="All",F774=sel_Customer),OR(sel_Category="All",G774=sel_Category),OR(sel_Product="All",H774=sel_Product)),1,0)</f>
        <v/>
      </c>
    </row>
    <row r="775">
      <c r="A775" s="36" t="inlineStr">
        <is>
          <t>00184</t>
        </is>
      </c>
      <c r="B775" s="44" t="n">
        <v>46151</v>
      </c>
      <c r="C775" s="36" t="inlineStr">
        <is>
          <t>Southern Europe</t>
        </is>
      </c>
      <c r="D775" s="36" t="inlineStr">
        <is>
          <t>Italy</t>
        </is>
      </c>
      <c r="E775" s="36" t="inlineStr">
        <is>
          <t>Retail Partners</t>
        </is>
      </c>
      <c r="F775" s="36" t="inlineStr">
        <is>
          <t>Business</t>
        </is>
      </c>
      <c r="G775" s="36" t="inlineStr">
        <is>
          <t>Hiking</t>
        </is>
      </c>
      <c r="H775" s="36" t="inlineStr">
        <is>
          <t>Hiking Daypack 20L</t>
        </is>
      </c>
      <c r="I775" s="36" t="n">
        <v>2</v>
      </c>
      <c r="J775" s="39" t="n">
        <v>91.59</v>
      </c>
      <c r="K775" s="45" t="n">
        <v>0</v>
      </c>
      <c r="L775" s="39" t="n">
        <v>44.97</v>
      </c>
      <c r="M775" s="39">
        <f>I775*J775*(1-K775)</f>
        <v/>
      </c>
      <c r="N775" s="39">
        <f>I775*L775</f>
        <v/>
      </c>
      <c r="O775" s="39">
        <f>M775-N775</f>
        <v/>
      </c>
      <c r="P775" s="38">
        <f>IF(M775=0,0,O775/M775)</f>
        <v/>
      </c>
      <c r="Q775" s="36">
        <f>YEAR(B775)</f>
        <v/>
      </c>
      <c r="R775" s="36">
        <f>"Q"&amp;ROUNDUP(MONTH(B775)/3,0)</f>
        <v/>
      </c>
      <c r="S775" s="36">
        <f>MONTH(B775)</f>
        <v/>
      </c>
      <c r="T775" s="36">
        <f>TEXT(B775,"mmm")</f>
        <v/>
      </c>
      <c r="U775" s="36">
        <f>IF(AND(OR(sel_Region="All",C775=sel_Region),OR(sel_Country="All",D775=sel_Country),OR(sel_Channel="All",E775=sel_Channel),OR(sel_Customer="All",F775=sel_Customer),OR(sel_Category="All",G775=sel_Category),OR(sel_Product="All",H775=sel_Product),AND(S775&gt;=m_From,S775&lt;=m_To)),1,0)</f>
        <v/>
      </c>
      <c r="V775" s="36">
        <f>IF(AND(OR(sel_Region="All",C775=sel_Region),OR(sel_Channel="All",E775=sel_Channel),OR(sel_Customer="All",F775=sel_Customer),OR(sel_Category="All",G775=sel_Category),OR(sel_Product="All",H775=sel_Product),AND(S775&gt;=m_From,S775&lt;=m_To)),1,0)</f>
        <v/>
      </c>
      <c r="W775" s="36">
        <f>IF(AND(OR(sel_Region="All",C775=sel_Region),OR(sel_Country="All",D775=sel_Country),OR(sel_Customer="All",F775=sel_Customer),OR(sel_Category="All",G775=sel_Category),OR(sel_Product="All",H775=sel_Product),AND(S775&gt;=m_From,S775&lt;=m_To)),1,0)</f>
        <v/>
      </c>
      <c r="X775" s="36">
        <f>IF(AND(OR(sel_Region="All",C775=sel_Region),OR(sel_Country="All",D775=sel_Country),OR(sel_Channel="All",E775=sel_Channel),OR(sel_Category="All",G775=sel_Category),OR(sel_Product="All",H775=sel_Product),AND(S775&gt;=m_From,S775&lt;=m_To)),1,0)</f>
        <v/>
      </c>
      <c r="Y775" s="36">
        <f>IF(AND(OR(sel_Region="All",C775=sel_Region),OR(sel_Country="All",D775=sel_Country),OR(sel_Channel="All",E775=sel_Channel),OR(sel_Customer="All",F775=sel_Customer),OR(sel_Product="All",H775=sel_Product),AND(S775&gt;=m_From,S775&lt;=m_To)),1,0)</f>
        <v/>
      </c>
      <c r="Z775" s="36">
        <f>IF(AND(OR(sel_Region="All",C775=sel_Region),OR(sel_Country="All",D775=sel_Country),OR(sel_Channel="All",E775=sel_Channel),OR(sel_Customer="All",F775=sel_Customer),OR(sel_Category="All",G775=sel_Category),AND(S775&gt;=m_From,S775&lt;=m_To)),1,0)</f>
        <v/>
      </c>
      <c r="AA775" s="36">
        <f>IF(AND(OR(sel_Region="All",C775=sel_Region),OR(sel_Country="All",D775=sel_Country),OR(sel_Channel="All",E775=sel_Channel),OR(sel_Customer="All",F775=sel_Customer),OR(sel_Category="All",G775=sel_Category),OR(sel_Product="All",H775=sel_Product)),1,0)</f>
        <v/>
      </c>
    </row>
    <row r="776">
      <c r="A776" s="36" t="inlineStr">
        <is>
          <t>00328</t>
        </is>
      </c>
      <c r="B776" s="44" t="n">
        <v>46151</v>
      </c>
      <c r="C776" s="36" t="inlineStr">
        <is>
          <t>Western Europe</t>
        </is>
      </c>
      <c r="D776" s="36" t="inlineStr">
        <is>
          <t>France</t>
        </is>
      </c>
      <c r="E776" s="36" t="inlineStr">
        <is>
          <t>Online Store</t>
        </is>
      </c>
      <c r="F776" s="36" t="inlineStr">
        <is>
          <t>Returning</t>
        </is>
      </c>
      <c r="G776" s="36" t="inlineStr">
        <is>
          <t>Fitness</t>
        </is>
      </c>
      <c r="H776" s="36" t="inlineStr">
        <is>
          <t>Training Mat</t>
        </is>
      </c>
      <c r="I776" s="36" t="n">
        <v>1</v>
      </c>
      <c r="J776" s="39" t="n">
        <v>51.78</v>
      </c>
      <c r="K776" s="45" t="n">
        <v>0.1</v>
      </c>
      <c r="L776" s="39" t="n">
        <v>21.63</v>
      </c>
      <c r="M776" s="39">
        <f>I776*J776*(1-K776)</f>
        <v/>
      </c>
      <c r="N776" s="39">
        <f>I776*L776</f>
        <v/>
      </c>
      <c r="O776" s="39">
        <f>M776-N776</f>
        <v/>
      </c>
      <c r="P776" s="38">
        <f>IF(M776=0,0,O776/M776)</f>
        <v/>
      </c>
      <c r="Q776" s="36">
        <f>YEAR(B776)</f>
        <v/>
      </c>
      <c r="R776" s="36">
        <f>"Q"&amp;ROUNDUP(MONTH(B776)/3,0)</f>
        <v/>
      </c>
      <c r="S776" s="36">
        <f>MONTH(B776)</f>
        <v/>
      </c>
      <c r="T776" s="36">
        <f>TEXT(B776,"mmm")</f>
        <v/>
      </c>
      <c r="U776" s="36">
        <f>IF(AND(OR(sel_Region="All",C776=sel_Region),OR(sel_Country="All",D776=sel_Country),OR(sel_Channel="All",E776=sel_Channel),OR(sel_Customer="All",F776=sel_Customer),OR(sel_Category="All",G776=sel_Category),OR(sel_Product="All",H776=sel_Product),AND(S776&gt;=m_From,S776&lt;=m_To)),1,0)</f>
        <v/>
      </c>
      <c r="V776" s="36">
        <f>IF(AND(OR(sel_Region="All",C776=sel_Region),OR(sel_Channel="All",E776=sel_Channel),OR(sel_Customer="All",F776=sel_Customer),OR(sel_Category="All",G776=sel_Category),OR(sel_Product="All",H776=sel_Product),AND(S776&gt;=m_From,S776&lt;=m_To)),1,0)</f>
        <v/>
      </c>
      <c r="W776" s="36">
        <f>IF(AND(OR(sel_Region="All",C776=sel_Region),OR(sel_Country="All",D776=sel_Country),OR(sel_Customer="All",F776=sel_Customer),OR(sel_Category="All",G776=sel_Category),OR(sel_Product="All",H776=sel_Product),AND(S776&gt;=m_From,S776&lt;=m_To)),1,0)</f>
        <v/>
      </c>
      <c r="X776" s="36">
        <f>IF(AND(OR(sel_Region="All",C776=sel_Region),OR(sel_Country="All",D776=sel_Country),OR(sel_Channel="All",E776=sel_Channel),OR(sel_Category="All",G776=sel_Category),OR(sel_Product="All",H776=sel_Product),AND(S776&gt;=m_From,S776&lt;=m_To)),1,0)</f>
        <v/>
      </c>
      <c r="Y776" s="36">
        <f>IF(AND(OR(sel_Region="All",C776=sel_Region),OR(sel_Country="All",D776=sel_Country),OR(sel_Channel="All",E776=sel_Channel),OR(sel_Customer="All",F776=sel_Customer),OR(sel_Product="All",H776=sel_Product),AND(S776&gt;=m_From,S776&lt;=m_To)),1,0)</f>
        <v/>
      </c>
      <c r="Z776" s="36">
        <f>IF(AND(OR(sel_Region="All",C776=sel_Region),OR(sel_Country="All",D776=sel_Country),OR(sel_Channel="All",E776=sel_Channel),OR(sel_Customer="All",F776=sel_Customer),OR(sel_Category="All",G776=sel_Category),AND(S776&gt;=m_From,S776&lt;=m_To)),1,0)</f>
        <v/>
      </c>
      <c r="AA776" s="36">
        <f>IF(AND(OR(sel_Region="All",C776=sel_Region),OR(sel_Country="All",D776=sel_Country),OR(sel_Channel="All",E776=sel_Channel),OR(sel_Customer="All",F776=sel_Customer),OR(sel_Category="All",G776=sel_Category),OR(sel_Product="All",H776=sel_Product)),1,0)</f>
        <v/>
      </c>
    </row>
    <row r="777">
      <c r="A777" s="36" t="inlineStr">
        <is>
          <t>00908</t>
        </is>
      </c>
      <c r="B777" s="44" t="n">
        <v>46151</v>
      </c>
      <c r="C777" s="36" t="inlineStr">
        <is>
          <t>Western Europe</t>
        </is>
      </c>
      <c r="D777" s="36" t="inlineStr">
        <is>
          <t>United Kingdom</t>
        </is>
      </c>
      <c r="E777" s="36" t="inlineStr">
        <is>
          <t>Retail Partners</t>
        </is>
      </c>
      <c r="F777" s="36" t="inlineStr">
        <is>
          <t>Returning</t>
        </is>
      </c>
      <c r="G777" s="36" t="inlineStr">
        <is>
          <t>Travel</t>
        </is>
      </c>
      <c r="H777" s="36" t="inlineStr">
        <is>
          <t>Packing Cube Set</t>
        </is>
      </c>
      <c r="I777" s="36" t="n">
        <v>2</v>
      </c>
      <c r="J777" s="39" t="n">
        <v>46.25</v>
      </c>
      <c r="K777" s="45" t="n">
        <v>0</v>
      </c>
      <c r="L777" s="39" t="n">
        <v>18.12</v>
      </c>
      <c r="M777" s="39">
        <f>I777*J777*(1-K777)</f>
        <v/>
      </c>
      <c r="N777" s="39">
        <f>I777*L777</f>
        <v/>
      </c>
      <c r="O777" s="39">
        <f>M777-N777</f>
        <v/>
      </c>
      <c r="P777" s="38">
        <f>IF(M777=0,0,O777/M777)</f>
        <v/>
      </c>
      <c r="Q777" s="36">
        <f>YEAR(B777)</f>
        <v/>
      </c>
      <c r="R777" s="36">
        <f>"Q"&amp;ROUNDUP(MONTH(B777)/3,0)</f>
        <v/>
      </c>
      <c r="S777" s="36">
        <f>MONTH(B777)</f>
        <v/>
      </c>
      <c r="T777" s="36">
        <f>TEXT(B777,"mmm")</f>
        <v/>
      </c>
      <c r="U777" s="36">
        <f>IF(AND(OR(sel_Region="All",C777=sel_Region),OR(sel_Country="All",D777=sel_Country),OR(sel_Channel="All",E777=sel_Channel),OR(sel_Customer="All",F777=sel_Customer),OR(sel_Category="All",G777=sel_Category),OR(sel_Product="All",H777=sel_Product),AND(S777&gt;=m_From,S777&lt;=m_To)),1,0)</f>
        <v/>
      </c>
      <c r="V777" s="36">
        <f>IF(AND(OR(sel_Region="All",C777=sel_Region),OR(sel_Channel="All",E777=sel_Channel),OR(sel_Customer="All",F777=sel_Customer),OR(sel_Category="All",G777=sel_Category),OR(sel_Product="All",H777=sel_Product),AND(S777&gt;=m_From,S777&lt;=m_To)),1,0)</f>
        <v/>
      </c>
      <c r="W777" s="36">
        <f>IF(AND(OR(sel_Region="All",C777=sel_Region),OR(sel_Country="All",D777=sel_Country),OR(sel_Customer="All",F777=sel_Customer),OR(sel_Category="All",G777=sel_Category),OR(sel_Product="All",H777=sel_Product),AND(S777&gt;=m_From,S777&lt;=m_To)),1,0)</f>
        <v/>
      </c>
      <c r="X777" s="36">
        <f>IF(AND(OR(sel_Region="All",C777=sel_Region),OR(sel_Country="All",D777=sel_Country),OR(sel_Channel="All",E777=sel_Channel),OR(sel_Category="All",G777=sel_Category),OR(sel_Product="All",H777=sel_Product),AND(S777&gt;=m_From,S777&lt;=m_To)),1,0)</f>
        <v/>
      </c>
      <c r="Y777" s="36">
        <f>IF(AND(OR(sel_Region="All",C777=sel_Region),OR(sel_Country="All",D777=sel_Country),OR(sel_Channel="All",E777=sel_Channel),OR(sel_Customer="All",F777=sel_Customer),OR(sel_Product="All",H777=sel_Product),AND(S777&gt;=m_From,S777&lt;=m_To)),1,0)</f>
        <v/>
      </c>
      <c r="Z777" s="36">
        <f>IF(AND(OR(sel_Region="All",C777=sel_Region),OR(sel_Country="All",D777=sel_Country),OR(sel_Channel="All",E777=sel_Channel),OR(sel_Customer="All",F777=sel_Customer),OR(sel_Category="All",G777=sel_Category),AND(S777&gt;=m_From,S777&lt;=m_To)),1,0)</f>
        <v/>
      </c>
      <c r="AA777" s="36">
        <f>IF(AND(OR(sel_Region="All",C777=sel_Region),OR(sel_Country="All",D777=sel_Country),OR(sel_Channel="All",E777=sel_Channel),OR(sel_Customer="All",F777=sel_Customer),OR(sel_Category="All",G777=sel_Category),OR(sel_Product="All",H777=sel_Product)),1,0)</f>
        <v/>
      </c>
    </row>
    <row r="778">
      <c r="A778" s="36" t="inlineStr">
        <is>
          <t>03159</t>
        </is>
      </c>
      <c r="B778" s="44" t="n">
        <v>46151</v>
      </c>
      <c r="C778" s="36" t="inlineStr">
        <is>
          <t>Southern Europe</t>
        </is>
      </c>
      <c r="D778" s="36" t="inlineStr">
        <is>
          <t>Spain</t>
        </is>
      </c>
      <c r="E778" s="36" t="inlineStr">
        <is>
          <t>Online Store</t>
        </is>
      </c>
      <c r="F778" s="36" t="inlineStr">
        <is>
          <t>Returning</t>
        </is>
      </c>
      <c r="G778" s="36" t="inlineStr">
        <is>
          <t>Camping</t>
        </is>
      </c>
      <c r="H778" s="36" t="inlineStr">
        <is>
          <t>Trail Tent 2P</t>
        </is>
      </c>
      <c r="I778" s="36" t="n">
        <v>3</v>
      </c>
      <c r="J778" s="39" t="n">
        <v>198.5</v>
      </c>
      <c r="K778" s="45" t="n">
        <v>0</v>
      </c>
      <c r="L778" s="39" t="n">
        <v>102.23</v>
      </c>
      <c r="M778" s="39">
        <f>I778*J778*(1-K778)</f>
        <v/>
      </c>
      <c r="N778" s="39">
        <f>I778*L778</f>
        <v/>
      </c>
      <c r="O778" s="39">
        <f>M778-N778</f>
        <v/>
      </c>
      <c r="P778" s="38">
        <f>IF(M778=0,0,O778/M778)</f>
        <v/>
      </c>
      <c r="Q778" s="36">
        <f>YEAR(B778)</f>
        <v/>
      </c>
      <c r="R778" s="36">
        <f>"Q"&amp;ROUNDUP(MONTH(B778)/3,0)</f>
        <v/>
      </c>
      <c r="S778" s="36">
        <f>MONTH(B778)</f>
        <v/>
      </c>
      <c r="T778" s="36">
        <f>TEXT(B778,"mmm")</f>
        <v/>
      </c>
      <c r="U778" s="36">
        <f>IF(AND(OR(sel_Region="All",C778=sel_Region),OR(sel_Country="All",D778=sel_Country),OR(sel_Channel="All",E778=sel_Channel),OR(sel_Customer="All",F778=sel_Customer),OR(sel_Category="All",G778=sel_Category),OR(sel_Product="All",H778=sel_Product),AND(S778&gt;=m_From,S778&lt;=m_To)),1,0)</f>
        <v/>
      </c>
      <c r="V778" s="36">
        <f>IF(AND(OR(sel_Region="All",C778=sel_Region),OR(sel_Channel="All",E778=sel_Channel),OR(sel_Customer="All",F778=sel_Customer),OR(sel_Category="All",G778=sel_Category),OR(sel_Product="All",H778=sel_Product),AND(S778&gt;=m_From,S778&lt;=m_To)),1,0)</f>
        <v/>
      </c>
      <c r="W778" s="36">
        <f>IF(AND(OR(sel_Region="All",C778=sel_Region),OR(sel_Country="All",D778=sel_Country),OR(sel_Customer="All",F778=sel_Customer),OR(sel_Category="All",G778=sel_Category),OR(sel_Product="All",H778=sel_Product),AND(S778&gt;=m_From,S778&lt;=m_To)),1,0)</f>
        <v/>
      </c>
      <c r="X778" s="36">
        <f>IF(AND(OR(sel_Region="All",C778=sel_Region),OR(sel_Country="All",D778=sel_Country),OR(sel_Channel="All",E778=sel_Channel),OR(sel_Category="All",G778=sel_Category),OR(sel_Product="All",H778=sel_Product),AND(S778&gt;=m_From,S778&lt;=m_To)),1,0)</f>
        <v/>
      </c>
      <c r="Y778" s="36">
        <f>IF(AND(OR(sel_Region="All",C778=sel_Region),OR(sel_Country="All",D778=sel_Country),OR(sel_Channel="All",E778=sel_Channel),OR(sel_Customer="All",F778=sel_Customer),OR(sel_Product="All",H778=sel_Product),AND(S778&gt;=m_From,S778&lt;=m_To)),1,0)</f>
        <v/>
      </c>
      <c r="Z778" s="36">
        <f>IF(AND(OR(sel_Region="All",C778=sel_Region),OR(sel_Country="All",D778=sel_Country),OR(sel_Channel="All",E778=sel_Channel),OR(sel_Customer="All",F778=sel_Customer),OR(sel_Category="All",G778=sel_Category),AND(S778&gt;=m_From,S778&lt;=m_To)),1,0)</f>
        <v/>
      </c>
      <c r="AA778" s="36">
        <f>IF(AND(OR(sel_Region="All",C778=sel_Region),OR(sel_Country="All",D778=sel_Country),OR(sel_Channel="All",E778=sel_Channel),OR(sel_Customer="All",F778=sel_Customer),OR(sel_Category="All",G778=sel_Category),OR(sel_Product="All",H778=sel_Product)),1,0)</f>
        <v/>
      </c>
    </row>
    <row r="779">
      <c r="A779" s="36" t="inlineStr">
        <is>
          <t>04509</t>
        </is>
      </c>
      <c r="B779" s="44" t="n">
        <v>46151</v>
      </c>
      <c r="C779" s="36" t="inlineStr">
        <is>
          <t>Western Europe</t>
        </is>
      </c>
      <c r="D779" s="36" t="inlineStr">
        <is>
          <t>United Kingdom</t>
        </is>
      </c>
      <c r="E779" s="36" t="inlineStr">
        <is>
          <t>Online Store</t>
        </is>
      </c>
      <c r="F779" s="36" t="inlineStr">
        <is>
          <t>New</t>
        </is>
      </c>
      <c r="G779" s="36" t="inlineStr">
        <is>
          <t>Hiking</t>
        </is>
      </c>
      <c r="H779" s="36" t="inlineStr">
        <is>
          <t>Summit Backpack 45L</t>
        </is>
      </c>
      <c r="I779" s="36" t="n">
        <v>1</v>
      </c>
      <c r="J779" s="39" t="n">
        <v>152.8</v>
      </c>
      <c r="K779" s="45" t="n">
        <v>0.1</v>
      </c>
      <c r="L779" s="39" t="n">
        <v>77.67</v>
      </c>
      <c r="M779" s="39">
        <f>I779*J779*(1-K779)</f>
        <v/>
      </c>
      <c r="N779" s="39">
        <f>I779*L779</f>
        <v/>
      </c>
      <c r="O779" s="39">
        <f>M779-N779</f>
        <v/>
      </c>
      <c r="P779" s="38">
        <f>IF(M779=0,0,O779/M779)</f>
        <v/>
      </c>
      <c r="Q779" s="36">
        <f>YEAR(B779)</f>
        <v/>
      </c>
      <c r="R779" s="36">
        <f>"Q"&amp;ROUNDUP(MONTH(B779)/3,0)</f>
        <v/>
      </c>
      <c r="S779" s="36">
        <f>MONTH(B779)</f>
        <v/>
      </c>
      <c r="T779" s="36">
        <f>TEXT(B779,"mmm")</f>
        <v/>
      </c>
      <c r="U779" s="36">
        <f>IF(AND(OR(sel_Region="All",C779=sel_Region),OR(sel_Country="All",D779=sel_Country),OR(sel_Channel="All",E779=sel_Channel),OR(sel_Customer="All",F779=sel_Customer),OR(sel_Category="All",G779=sel_Category),OR(sel_Product="All",H779=sel_Product),AND(S779&gt;=m_From,S779&lt;=m_To)),1,0)</f>
        <v/>
      </c>
      <c r="V779" s="36">
        <f>IF(AND(OR(sel_Region="All",C779=sel_Region),OR(sel_Channel="All",E779=sel_Channel),OR(sel_Customer="All",F779=sel_Customer),OR(sel_Category="All",G779=sel_Category),OR(sel_Product="All",H779=sel_Product),AND(S779&gt;=m_From,S779&lt;=m_To)),1,0)</f>
        <v/>
      </c>
      <c r="W779" s="36">
        <f>IF(AND(OR(sel_Region="All",C779=sel_Region),OR(sel_Country="All",D779=sel_Country),OR(sel_Customer="All",F779=sel_Customer),OR(sel_Category="All",G779=sel_Category),OR(sel_Product="All",H779=sel_Product),AND(S779&gt;=m_From,S779&lt;=m_To)),1,0)</f>
        <v/>
      </c>
      <c r="X779" s="36">
        <f>IF(AND(OR(sel_Region="All",C779=sel_Region),OR(sel_Country="All",D779=sel_Country),OR(sel_Channel="All",E779=sel_Channel),OR(sel_Category="All",G779=sel_Category),OR(sel_Product="All",H779=sel_Product),AND(S779&gt;=m_From,S779&lt;=m_To)),1,0)</f>
        <v/>
      </c>
      <c r="Y779" s="36">
        <f>IF(AND(OR(sel_Region="All",C779=sel_Region),OR(sel_Country="All",D779=sel_Country),OR(sel_Channel="All",E779=sel_Channel),OR(sel_Customer="All",F779=sel_Customer),OR(sel_Product="All",H779=sel_Product),AND(S779&gt;=m_From,S779&lt;=m_To)),1,0)</f>
        <v/>
      </c>
      <c r="Z779" s="36">
        <f>IF(AND(OR(sel_Region="All",C779=sel_Region),OR(sel_Country="All",D779=sel_Country),OR(sel_Channel="All",E779=sel_Channel),OR(sel_Customer="All",F779=sel_Customer),OR(sel_Category="All",G779=sel_Category),AND(S779&gt;=m_From,S779&lt;=m_To)),1,0)</f>
        <v/>
      </c>
      <c r="AA779" s="36">
        <f>IF(AND(OR(sel_Region="All",C779=sel_Region),OR(sel_Country="All",D779=sel_Country),OR(sel_Channel="All",E779=sel_Channel),OR(sel_Customer="All",F779=sel_Customer),OR(sel_Category="All",G779=sel_Category),OR(sel_Product="All",H779=sel_Product)),1,0)</f>
        <v/>
      </c>
    </row>
    <row r="780">
      <c r="A780" s="36" t="inlineStr">
        <is>
          <t>04677</t>
        </is>
      </c>
      <c r="B780" s="44" t="n">
        <v>46151</v>
      </c>
      <c r="C780" s="36" t="inlineStr">
        <is>
          <t>Central Europe</t>
        </is>
      </c>
      <c r="D780" s="36" t="inlineStr">
        <is>
          <t>Poland</t>
        </is>
      </c>
      <c r="E780" s="36" t="inlineStr">
        <is>
          <t>Online Store</t>
        </is>
      </c>
      <c r="F780" s="36" t="inlineStr">
        <is>
          <t>Business</t>
        </is>
      </c>
      <c r="G780" s="36" t="inlineStr">
        <is>
          <t>Travel</t>
        </is>
      </c>
      <c r="H780" s="36" t="inlineStr">
        <is>
          <t>Travel Backpack 35L</t>
        </is>
      </c>
      <c r="I780" s="36" t="n">
        <v>2</v>
      </c>
      <c r="J780" s="39" t="n">
        <v>161.48</v>
      </c>
      <c r="K780" s="45" t="n">
        <v>0</v>
      </c>
      <c r="L780" s="39" t="n">
        <v>85.03</v>
      </c>
      <c r="M780" s="39">
        <f>I780*J780*(1-K780)</f>
        <v/>
      </c>
      <c r="N780" s="39">
        <f>I780*L780</f>
        <v/>
      </c>
      <c r="O780" s="39">
        <f>M780-N780</f>
        <v/>
      </c>
      <c r="P780" s="38">
        <f>IF(M780=0,0,O780/M780)</f>
        <v/>
      </c>
      <c r="Q780" s="36">
        <f>YEAR(B780)</f>
        <v/>
      </c>
      <c r="R780" s="36">
        <f>"Q"&amp;ROUNDUP(MONTH(B780)/3,0)</f>
        <v/>
      </c>
      <c r="S780" s="36">
        <f>MONTH(B780)</f>
        <v/>
      </c>
      <c r="T780" s="36">
        <f>TEXT(B780,"mmm")</f>
        <v/>
      </c>
      <c r="U780" s="36">
        <f>IF(AND(OR(sel_Region="All",C780=sel_Region),OR(sel_Country="All",D780=sel_Country),OR(sel_Channel="All",E780=sel_Channel),OR(sel_Customer="All",F780=sel_Customer),OR(sel_Category="All",G780=sel_Category),OR(sel_Product="All",H780=sel_Product),AND(S780&gt;=m_From,S780&lt;=m_To)),1,0)</f>
        <v/>
      </c>
      <c r="V780" s="36">
        <f>IF(AND(OR(sel_Region="All",C780=sel_Region),OR(sel_Channel="All",E780=sel_Channel),OR(sel_Customer="All",F780=sel_Customer),OR(sel_Category="All",G780=sel_Category),OR(sel_Product="All",H780=sel_Product),AND(S780&gt;=m_From,S780&lt;=m_To)),1,0)</f>
        <v/>
      </c>
      <c r="W780" s="36">
        <f>IF(AND(OR(sel_Region="All",C780=sel_Region),OR(sel_Country="All",D780=sel_Country),OR(sel_Customer="All",F780=sel_Customer),OR(sel_Category="All",G780=sel_Category),OR(sel_Product="All",H780=sel_Product),AND(S780&gt;=m_From,S780&lt;=m_To)),1,0)</f>
        <v/>
      </c>
      <c r="X780" s="36">
        <f>IF(AND(OR(sel_Region="All",C780=sel_Region),OR(sel_Country="All",D780=sel_Country),OR(sel_Channel="All",E780=sel_Channel),OR(sel_Category="All",G780=sel_Category),OR(sel_Product="All",H780=sel_Product),AND(S780&gt;=m_From,S780&lt;=m_To)),1,0)</f>
        <v/>
      </c>
      <c r="Y780" s="36">
        <f>IF(AND(OR(sel_Region="All",C780=sel_Region),OR(sel_Country="All",D780=sel_Country),OR(sel_Channel="All",E780=sel_Channel),OR(sel_Customer="All",F780=sel_Customer),OR(sel_Product="All",H780=sel_Product),AND(S780&gt;=m_From,S780&lt;=m_To)),1,0)</f>
        <v/>
      </c>
      <c r="Z780" s="36">
        <f>IF(AND(OR(sel_Region="All",C780=sel_Region),OR(sel_Country="All",D780=sel_Country),OR(sel_Channel="All",E780=sel_Channel),OR(sel_Customer="All",F780=sel_Customer),OR(sel_Category="All",G780=sel_Category),AND(S780&gt;=m_From,S780&lt;=m_To)),1,0)</f>
        <v/>
      </c>
      <c r="AA780" s="36">
        <f>IF(AND(OR(sel_Region="All",C780=sel_Region),OR(sel_Country="All",D780=sel_Country),OR(sel_Channel="All",E780=sel_Channel),OR(sel_Customer="All",F780=sel_Customer),OR(sel_Category="All",G780=sel_Category),OR(sel_Product="All",H780=sel_Product)),1,0)</f>
        <v/>
      </c>
    </row>
    <row r="781">
      <c r="A781" s="36" t="inlineStr">
        <is>
          <t>04867</t>
        </is>
      </c>
      <c r="B781" s="44" t="n">
        <v>46151</v>
      </c>
      <c r="C781" s="36" t="inlineStr">
        <is>
          <t>Central Europe</t>
        </is>
      </c>
      <c r="D781" s="36" t="inlineStr">
        <is>
          <t>Austria</t>
        </is>
      </c>
      <c r="E781" s="36" t="inlineStr">
        <is>
          <t>Retail Partners</t>
        </is>
      </c>
      <c r="F781" s="36" t="inlineStr">
        <is>
          <t>Returning</t>
        </is>
      </c>
      <c r="G781" s="36" t="inlineStr">
        <is>
          <t>Cycling</t>
        </is>
      </c>
      <c r="H781" s="36" t="inlineStr">
        <is>
          <t>Commuter Helmet</t>
        </is>
      </c>
      <c r="I781" s="36" t="n">
        <v>1</v>
      </c>
      <c r="J781" s="39" t="n">
        <v>82.86</v>
      </c>
      <c r="K781" s="45" t="n">
        <v>0</v>
      </c>
      <c r="L781" s="39" t="n">
        <v>42.67</v>
      </c>
      <c r="M781" s="39">
        <f>I781*J781*(1-K781)</f>
        <v/>
      </c>
      <c r="N781" s="39">
        <f>I781*L781</f>
        <v/>
      </c>
      <c r="O781" s="39">
        <f>M781-N781</f>
        <v/>
      </c>
      <c r="P781" s="38">
        <f>IF(M781=0,0,O781/M781)</f>
        <v/>
      </c>
      <c r="Q781" s="36">
        <f>YEAR(B781)</f>
        <v/>
      </c>
      <c r="R781" s="36">
        <f>"Q"&amp;ROUNDUP(MONTH(B781)/3,0)</f>
        <v/>
      </c>
      <c r="S781" s="36">
        <f>MONTH(B781)</f>
        <v/>
      </c>
      <c r="T781" s="36">
        <f>TEXT(B781,"mmm")</f>
        <v/>
      </c>
      <c r="U781" s="36">
        <f>IF(AND(OR(sel_Region="All",C781=sel_Region),OR(sel_Country="All",D781=sel_Country),OR(sel_Channel="All",E781=sel_Channel),OR(sel_Customer="All",F781=sel_Customer),OR(sel_Category="All",G781=sel_Category),OR(sel_Product="All",H781=sel_Product),AND(S781&gt;=m_From,S781&lt;=m_To)),1,0)</f>
        <v/>
      </c>
      <c r="V781" s="36">
        <f>IF(AND(OR(sel_Region="All",C781=sel_Region),OR(sel_Channel="All",E781=sel_Channel),OR(sel_Customer="All",F781=sel_Customer),OR(sel_Category="All",G781=sel_Category),OR(sel_Product="All",H781=sel_Product),AND(S781&gt;=m_From,S781&lt;=m_To)),1,0)</f>
        <v/>
      </c>
      <c r="W781" s="36">
        <f>IF(AND(OR(sel_Region="All",C781=sel_Region),OR(sel_Country="All",D781=sel_Country),OR(sel_Customer="All",F781=sel_Customer),OR(sel_Category="All",G781=sel_Category),OR(sel_Product="All",H781=sel_Product),AND(S781&gt;=m_From,S781&lt;=m_To)),1,0)</f>
        <v/>
      </c>
      <c r="X781" s="36">
        <f>IF(AND(OR(sel_Region="All",C781=sel_Region),OR(sel_Country="All",D781=sel_Country),OR(sel_Channel="All",E781=sel_Channel),OR(sel_Category="All",G781=sel_Category),OR(sel_Product="All",H781=sel_Product),AND(S781&gt;=m_From,S781&lt;=m_To)),1,0)</f>
        <v/>
      </c>
      <c r="Y781" s="36">
        <f>IF(AND(OR(sel_Region="All",C781=sel_Region),OR(sel_Country="All",D781=sel_Country),OR(sel_Channel="All",E781=sel_Channel),OR(sel_Customer="All",F781=sel_Customer),OR(sel_Product="All",H781=sel_Product),AND(S781&gt;=m_From,S781&lt;=m_To)),1,0)</f>
        <v/>
      </c>
      <c r="Z781" s="36">
        <f>IF(AND(OR(sel_Region="All",C781=sel_Region),OR(sel_Country="All",D781=sel_Country),OR(sel_Channel="All",E781=sel_Channel),OR(sel_Customer="All",F781=sel_Customer),OR(sel_Category="All",G781=sel_Category),AND(S781&gt;=m_From,S781&lt;=m_To)),1,0)</f>
        <v/>
      </c>
      <c r="AA781" s="36">
        <f>IF(AND(OR(sel_Region="All",C781=sel_Region),OR(sel_Country="All",D781=sel_Country),OR(sel_Channel="All",E781=sel_Channel),OR(sel_Customer="All",F781=sel_Customer),OR(sel_Category="All",G781=sel_Category),OR(sel_Product="All",H781=sel_Product)),1,0)</f>
        <v/>
      </c>
    </row>
    <row r="782">
      <c r="A782" s="36" t="inlineStr">
        <is>
          <t>01615</t>
        </is>
      </c>
      <c r="B782" s="44" t="n">
        <v>46152</v>
      </c>
      <c r="C782" s="36" t="inlineStr">
        <is>
          <t>Western Europe</t>
        </is>
      </c>
      <c r="D782" s="36" t="inlineStr">
        <is>
          <t>Belgium</t>
        </is>
      </c>
      <c r="E782" s="36" t="inlineStr">
        <is>
          <t>Online Store</t>
        </is>
      </c>
      <c r="F782" s="36" t="inlineStr">
        <is>
          <t>New</t>
        </is>
      </c>
      <c r="G782" s="36" t="inlineStr">
        <is>
          <t>Fitness</t>
        </is>
      </c>
      <c r="H782" s="36" t="inlineStr">
        <is>
          <t>Training Mat</t>
        </is>
      </c>
      <c r="I782" s="36" t="n">
        <v>1</v>
      </c>
      <c r="J782" s="39" t="n">
        <v>51.15</v>
      </c>
      <c r="K782" s="45" t="n">
        <v>0</v>
      </c>
      <c r="L782" s="39" t="n">
        <v>21.39</v>
      </c>
      <c r="M782" s="39">
        <f>I782*J782*(1-K782)</f>
        <v/>
      </c>
      <c r="N782" s="39">
        <f>I782*L782</f>
        <v/>
      </c>
      <c r="O782" s="39">
        <f>M782-N782</f>
        <v/>
      </c>
      <c r="P782" s="38">
        <f>IF(M782=0,0,O782/M782)</f>
        <v/>
      </c>
      <c r="Q782" s="36">
        <f>YEAR(B782)</f>
        <v/>
      </c>
      <c r="R782" s="36">
        <f>"Q"&amp;ROUNDUP(MONTH(B782)/3,0)</f>
        <v/>
      </c>
      <c r="S782" s="36">
        <f>MONTH(B782)</f>
        <v/>
      </c>
      <c r="T782" s="36">
        <f>TEXT(B782,"mmm")</f>
        <v/>
      </c>
      <c r="U782" s="36">
        <f>IF(AND(OR(sel_Region="All",C782=sel_Region),OR(sel_Country="All",D782=sel_Country),OR(sel_Channel="All",E782=sel_Channel),OR(sel_Customer="All",F782=sel_Customer),OR(sel_Category="All",G782=sel_Category),OR(sel_Product="All",H782=sel_Product),AND(S782&gt;=m_From,S782&lt;=m_To)),1,0)</f>
        <v/>
      </c>
      <c r="V782" s="36">
        <f>IF(AND(OR(sel_Region="All",C782=sel_Region),OR(sel_Channel="All",E782=sel_Channel),OR(sel_Customer="All",F782=sel_Customer),OR(sel_Category="All",G782=sel_Category),OR(sel_Product="All",H782=sel_Product),AND(S782&gt;=m_From,S782&lt;=m_To)),1,0)</f>
        <v/>
      </c>
      <c r="W782" s="36">
        <f>IF(AND(OR(sel_Region="All",C782=sel_Region),OR(sel_Country="All",D782=sel_Country),OR(sel_Customer="All",F782=sel_Customer),OR(sel_Category="All",G782=sel_Category),OR(sel_Product="All",H782=sel_Product),AND(S782&gt;=m_From,S782&lt;=m_To)),1,0)</f>
        <v/>
      </c>
      <c r="X782" s="36">
        <f>IF(AND(OR(sel_Region="All",C782=sel_Region),OR(sel_Country="All",D782=sel_Country),OR(sel_Channel="All",E782=sel_Channel),OR(sel_Category="All",G782=sel_Category),OR(sel_Product="All",H782=sel_Product),AND(S782&gt;=m_From,S782&lt;=m_To)),1,0)</f>
        <v/>
      </c>
      <c r="Y782" s="36">
        <f>IF(AND(OR(sel_Region="All",C782=sel_Region),OR(sel_Country="All",D782=sel_Country),OR(sel_Channel="All",E782=sel_Channel),OR(sel_Customer="All",F782=sel_Customer),OR(sel_Product="All",H782=sel_Product),AND(S782&gt;=m_From,S782&lt;=m_To)),1,0)</f>
        <v/>
      </c>
      <c r="Z782" s="36">
        <f>IF(AND(OR(sel_Region="All",C782=sel_Region),OR(sel_Country="All",D782=sel_Country),OR(sel_Channel="All",E782=sel_Channel),OR(sel_Customer="All",F782=sel_Customer),OR(sel_Category="All",G782=sel_Category),AND(S782&gt;=m_From,S782&lt;=m_To)),1,0)</f>
        <v/>
      </c>
      <c r="AA782" s="36">
        <f>IF(AND(OR(sel_Region="All",C782=sel_Region),OR(sel_Country="All",D782=sel_Country),OR(sel_Channel="All",E782=sel_Channel),OR(sel_Customer="All",F782=sel_Customer),OR(sel_Category="All",G782=sel_Category),OR(sel_Product="All",H782=sel_Product)),1,0)</f>
        <v/>
      </c>
    </row>
    <row r="783">
      <c r="A783" s="36" t="inlineStr">
        <is>
          <t>01812</t>
        </is>
      </c>
      <c r="B783" s="44" t="n">
        <v>46152</v>
      </c>
      <c r="C783" s="36" t="inlineStr">
        <is>
          <t>Northern Europe</t>
        </is>
      </c>
      <c r="D783" s="36" t="inlineStr">
        <is>
          <t>Sweden</t>
        </is>
      </c>
      <c r="E783" s="36" t="inlineStr">
        <is>
          <t>Corporate</t>
        </is>
      </c>
      <c r="F783" s="36" t="inlineStr">
        <is>
          <t>Business</t>
        </is>
      </c>
      <c r="G783" s="36" t="inlineStr">
        <is>
          <t>Fitness</t>
        </is>
      </c>
      <c r="H783" s="36" t="inlineStr">
        <is>
          <t>Training Mat</t>
        </is>
      </c>
      <c r="I783" s="36" t="n">
        <v>12</v>
      </c>
      <c r="J783" s="39" t="n">
        <v>50.53</v>
      </c>
      <c r="K783" s="45" t="n">
        <v>0.1</v>
      </c>
      <c r="L783" s="39" t="n">
        <v>22.09</v>
      </c>
      <c r="M783" s="39">
        <f>I783*J783*(1-K783)</f>
        <v/>
      </c>
      <c r="N783" s="39">
        <f>I783*L783</f>
        <v/>
      </c>
      <c r="O783" s="39">
        <f>M783-N783</f>
        <v/>
      </c>
      <c r="P783" s="38">
        <f>IF(M783=0,0,O783/M783)</f>
        <v/>
      </c>
      <c r="Q783" s="36">
        <f>YEAR(B783)</f>
        <v/>
      </c>
      <c r="R783" s="36">
        <f>"Q"&amp;ROUNDUP(MONTH(B783)/3,0)</f>
        <v/>
      </c>
      <c r="S783" s="36">
        <f>MONTH(B783)</f>
        <v/>
      </c>
      <c r="T783" s="36">
        <f>TEXT(B783,"mmm")</f>
        <v/>
      </c>
      <c r="U783" s="36">
        <f>IF(AND(OR(sel_Region="All",C783=sel_Region),OR(sel_Country="All",D783=sel_Country),OR(sel_Channel="All",E783=sel_Channel),OR(sel_Customer="All",F783=sel_Customer),OR(sel_Category="All",G783=sel_Category),OR(sel_Product="All",H783=sel_Product),AND(S783&gt;=m_From,S783&lt;=m_To)),1,0)</f>
        <v/>
      </c>
      <c r="V783" s="36">
        <f>IF(AND(OR(sel_Region="All",C783=sel_Region),OR(sel_Channel="All",E783=sel_Channel),OR(sel_Customer="All",F783=sel_Customer),OR(sel_Category="All",G783=sel_Category),OR(sel_Product="All",H783=sel_Product),AND(S783&gt;=m_From,S783&lt;=m_To)),1,0)</f>
        <v/>
      </c>
      <c r="W783" s="36">
        <f>IF(AND(OR(sel_Region="All",C783=sel_Region),OR(sel_Country="All",D783=sel_Country),OR(sel_Customer="All",F783=sel_Customer),OR(sel_Category="All",G783=sel_Category),OR(sel_Product="All",H783=sel_Product),AND(S783&gt;=m_From,S783&lt;=m_To)),1,0)</f>
        <v/>
      </c>
      <c r="X783" s="36">
        <f>IF(AND(OR(sel_Region="All",C783=sel_Region),OR(sel_Country="All",D783=sel_Country),OR(sel_Channel="All",E783=sel_Channel),OR(sel_Category="All",G783=sel_Category),OR(sel_Product="All",H783=sel_Product),AND(S783&gt;=m_From,S783&lt;=m_To)),1,0)</f>
        <v/>
      </c>
      <c r="Y783" s="36">
        <f>IF(AND(OR(sel_Region="All",C783=sel_Region),OR(sel_Country="All",D783=sel_Country),OR(sel_Channel="All",E783=sel_Channel),OR(sel_Customer="All",F783=sel_Customer),OR(sel_Product="All",H783=sel_Product),AND(S783&gt;=m_From,S783&lt;=m_To)),1,0)</f>
        <v/>
      </c>
      <c r="Z783" s="36">
        <f>IF(AND(OR(sel_Region="All",C783=sel_Region),OR(sel_Country="All",D783=sel_Country),OR(sel_Channel="All",E783=sel_Channel),OR(sel_Customer="All",F783=sel_Customer),OR(sel_Category="All",G783=sel_Category),AND(S783&gt;=m_From,S783&lt;=m_To)),1,0)</f>
        <v/>
      </c>
      <c r="AA783" s="36">
        <f>IF(AND(OR(sel_Region="All",C783=sel_Region),OR(sel_Country="All",D783=sel_Country),OR(sel_Channel="All",E783=sel_Channel),OR(sel_Customer="All",F783=sel_Customer),OR(sel_Category="All",G783=sel_Category),OR(sel_Product="All",H783=sel_Product)),1,0)</f>
        <v/>
      </c>
    </row>
    <row r="784">
      <c r="A784" s="36" t="inlineStr">
        <is>
          <t>03645</t>
        </is>
      </c>
      <c r="B784" s="44" t="n">
        <v>46152</v>
      </c>
      <c r="C784" s="36" t="inlineStr">
        <is>
          <t>Central Europe</t>
        </is>
      </c>
      <c r="D784" s="36" t="inlineStr">
        <is>
          <t>Czechia</t>
        </is>
      </c>
      <c r="E784" s="36" t="inlineStr">
        <is>
          <t>Marketplace</t>
        </is>
      </c>
      <c r="F784" s="36" t="inlineStr">
        <is>
          <t>Returning</t>
        </is>
      </c>
      <c r="G784" s="36" t="inlineStr">
        <is>
          <t>Cycling</t>
        </is>
      </c>
      <c r="H784" s="36" t="inlineStr">
        <is>
          <t>Trail Bike Light</t>
        </is>
      </c>
      <c r="I784" s="36" t="n">
        <v>2</v>
      </c>
      <c r="J784" s="39" t="n">
        <v>50.93</v>
      </c>
      <c r="K784" s="45" t="n">
        <v>0</v>
      </c>
      <c r="L784" s="39" t="n">
        <v>22.91</v>
      </c>
      <c r="M784" s="39">
        <f>I784*J784*(1-K784)</f>
        <v/>
      </c>
      <c r="N784" s="39">
        <f>I784*L784</f>
        <v/>
      </c>
      <c r="O784" s="39">
        <f>M784-N784</f>
        <v/>
      </c>
      <c r="P784" s="38">
        <f>IF(M784=0,0,O784/M784)</f>
        <v/>
      </c>
      <c r="Q784" s="36">
        <f>YEAR(B784)</f>
        <v/>
      </c>
      <c r="R784" s="36">
        <f>"Q"&amp;ROUNDUP(MONTH(B784)/3,0)</f>
        <v/>
      </c>
      <c r="S784" s="36">
        <f>MONTH(B784)</f>
        <v/>
      </c>
      <c r="T784" s="36">
        <f>TEXT(B784,"mmm")</f>
        <v/>
      </c>
      <c r="U784" s="36">
        <f>IF(AND(OR(sel_Region="All",C784=sel_Region),OR(sel_Country="All",D784=sel_Country),OR(sel_Channel="All",E784=sel_Channel),OR(sel_Customer="All",F784=sel_Customer),OR(sel_Category="All",G784=sel_Category),OR(sel_Product="All",H784=sel_Product),AND(S784&gt;=m_From,S784&lt;=m_To)),1,0)</f>
        <v/>
      </c>
      <c r="V784" s="36">
        <f>IF(AND(OR(sel_Region="All",C784=sel_Region),OR(sel_Channel="All",E784=sel_Channel),OR(sel_Customer="All",F784=sel_Customer),OR(sel_Category="All",G784=sel_Category),OR(sel_Product="All",H784=sel_Product),AND(S784&gt;=m_From,S784&lt;=m_To)),1,0)</f>
        <v/>
      </c>
      <c r="W784" s="36">
        <f>IF(AND(OR(sel_Region="All",C784=sel_Region),OR(sel_Country="All",D784=sel_Country),OR(sel_Customer="All",F784=sel_Customer),OR(sel_Category="All",G784=sel_Category),OR(sel_Product="All",H784=sel_Product),AND(S784&gt;=m_From,S784&lt;=m_To)),1,0)</f>
        <v/>
      </c>
      <c r="X784" s="36">
        <f>IF(AND(OR(sel_Region="All",C784=sel_Region),OR(sel_Country="All",D784=sel_Country),OR(sel_Channel="All",E784=sel_Channel),OR(sel_Category="All",G784=sel_Category),OR(sel_Product="All",H784=sel_Product),AND(S784&gt;=m_From,S784&lt;=m_To)),1,0)</f>
        <v/>
      </c>
      <c r="Y784" s="36">
        <f>IF(AND(OR(sel_Region="All",C784=sel_Region),OR(sel_Country="All",D784=sel_Country),OR(sel_Channel="All",E784=sel_Channel),OR(sel_Customer="All",F784=sel_Customer),OR(sel_Product="All",H784=sel_Product),AND(S784&gt;=m_From,S784&lt;=m_To)),1,0)</f>
        <v/>
      </c>
      <c r="Z784" s="36">
        <f>IF(AND(OR(sel_Region="All",C784=sel_Region),OR(sel_Country="All",D784=sel_Country),OR(sel_Channel="All",E784=sel_Channel),OR(sel_Customer="All",F784=sel_Customer),OR(sel_Category="All",G784=sel_Category),AND(S784&gt;=m_From,S784&lt;=m_To)),1,0)</f>
        <v/>
      </c>
      <c r="AA784" s="36">
        <f>IF(AND(OR(sel_Region="All",C784=sel_Region),OR(sel_Country="All",D784=sel_Country),OR(sel_Channel="All",E784=sel_Channel),OR(sel_Customer="All",F784=sel_Customer),OR(sel_Category="All",G784=sel_Category),OR(sel_Product="All",H784=sel_Product)),1,0)</f>
        <v/>
      </c>
    </row>
    <row r="785">
      <c r="A785" s="36" t="inlineStr">
        <is>
          <t>03804</t>
        </is>
      </c>
      <c r="B785" s="44" t="n">
        <v>46152</v>
      </c>
      <c r="C785" s="36" t="inlineStr">
        <is>
          <t>Northern Europe</t>
        </is>
      </c>
      <c r="D785" s="36" t="inlineStr">
        <is>
          <t>Denmark</t>
        </is>
      </c>
      <c r="E785" s="36" t="inlineStr">
        <is>
          <t>Online Store</t>
        </is>
      </c>
      <c r="F785" s="36" t="inlineStr">
        <is>
          <t>Returning</t>
        </is>
      </c>
      <c r="G785" s="36" t="inlineStr">
        <is>
          <t>Fitness</t>
        </is>
      </c>
      <c r="H785" s="36" t="inlineStr">
        <is>
          <t>Training Mat</t>
        </is>
      </c>
      <c r="I785" s="36" t="n">
        <v>2</v>
      </c>
      <c r="J785" s="39" t="n">
        <v>50.79</v>
      </c>
      <c r="K785" s="45" t="n">
        <v>0.05</v>
      </c>
      <c r="L785" s="39" t="n">
        <v>21.83</v>
      </c>
      <c r="M785" s="39">
        <f>I785*J785*(1-K785)</f>
        <v/>
      </c>
      <c r="N785" s="39">
        <f>I785*L785</f>
        <v/>
      </c>
      <c r="O785" s="39">
        <f>M785-N785</f>
        <v/>
      </c>
      <c r="P785" s="38">
        <f>IF(M785=0,0,O785/M785)</f>
        <v/>
      </c>
      <c r="Q785" s="36">
        <f>YEAR(B785)</f>
        <v/>
      </c>
      <c r="R785" s="36">
        <f>"Q"&amp;ROUNDUP(MONTH(B785)/3,0)</f>
        <v/>
      </c>
      <c r="S785" s="36">
        <f>MONTH(B785)</f>
        <v/>
      </c>
      <c r="T785" s="36">
        <f>TEXT(B785,"mmm")</f>
        <v/>
      </c>
      <c r="U785" s="36">
        <f>IF(AND(OR(sel_Region="All",C785=sel_Region),OR(sel_Country="All",D785=sel_Country),OR(sel_Channel="All",E785=sel_Channel),OR(sel_Customer="All",F785=sel_Customer),OR(sel_Category="All",G785=sel_Category),OR(sel_Product="All",H785=sel_Product),AND(S785&gt;=m_From,S785&lt;=m_To)),1,0)</f>
        <v/>
      </c>
      <c r="V785" s="36">
        <f>IF(AND(OR(sel_Region="All",C785=sel_Region),OR(sel_Channel="All",E785=sel_Channel),OR(sel_Customer="All",F785=sel_Customer),OR(sel_Category="All",G785=sel_Category),OR(sel_Product="All",H785=sel_Product),AND(S785&gt;=m_From,S785&lt;=m_To)),1,0)</f>
        <v/>
      </c>
      <c r="W785" s="36">
        <f>IF(AND(OR(sel_Region="All",C785=sel_Region),OR(sel_Country="All",D785=sel_Country),OR(sel_Customer="All",F785=sel_Customer),OR(sel_Category="All",G785=sel_Category),OR(sel_Product="All",H785=sel_Product),AND(S785&gt;=m_From,S785&lt;=m_To)),1,0)</f>
        <v/>
      </c>
      <c r="X785" s="36">
        <f>IF(AND(OR(sel_Region="All",C785=sel_Region),OR(sel_Country="All",D785=sel_Country),OR(sel_Channel="All",E785=sel_Channel),OR(sel_Category="All",G785=sel_Category),OR(sel_Product="All",H785=sel_Product),AND(S785&gt;=m_From,S785&lt;=m_To)),1,0)</f>
        <v/>
      </c>
      <c r="Y785" s="36">
        <f>IF(AND(OR(sel_Region="All",C785=sel_Region),OR(sel_Country="All",D785=sel_Country),OR(sel_Channel="All",E785=sel_Channel),OR(sel_Customer="All",F785=sel_Customer),OR(sel_Product="All",H785=sel_Product),AND(S785&gt;=m_From,S785&lt;=m_To)),1,0)</f>
        <v/>
      </c>
      <c r="Z785" s="36">
        <f>IF(AND(OR(sel_Region="All",C785=sel_Region),OR(sel_Country="All",D785=sel_Country),OR(sel_Channel="All",E785=sel_Channel),OR(sel_Customer="All",F785=sel_Customer),OR(sel_Category="All",G785=sel_Category),AND(S785&gt;=m_From,S785&lt;=m_To)),1,0)</f>
        <v/>
      </c>
      <c r="AA785" s="36">
        <f>IF(AND(OR(sel_Region="All",C785=sel_Region),OR(sel_Country="All",D785=sel_Country),OR(sel_Channel="All",E785=sel_Channel),OR(sel_Customer="All",F785=sel_Customer),OR(sel_Category="All",G785=sel_Category),OR(sel_Product="All",H785=sel_Product)),1,0)</f>
        <v/>
      </c>
    </row>
    <row r="786">
      <c r="A786" s="36" t="inlineStr">
        <is>
          <t>04367</t>
        </is>
      </c>
      <c r="B786" s="44" t="n">
        <v>46152</v>
      </c>
      <c r="C786" s="36" t="inlineStr">
        <is>
          <t>Western Europe</t>
        </is>
      </c>
      <c r="D786" s="36" t="inlineStr">
        <is>
          <t>United Kingdom</t>
        </is>
      </c>
      <c r="E786" s="36" t="inlineStr">
        <is>
          <t>Online Store</t>
        </is>
      </c>
      <c r="F786" s="36" t="inlineStr">
        <is>
          <t>Business</t>
        </is>
      </c>
      <c r="G786" s="36" t="inlineStr">
        <is>
          <t>Travel</t>
        </is>
      </c>
      <c r="H786" s="36" t="inlineStr">
        <is>
          <t>Travel Backpack 35L</t>
        </is>
      </c>
      <c r="I786" s="36" t="n">
        <v>5</v>
      </c>
      <c r="J786" s="39" t="n">
        <v>160.94</v>
      </c>
      <c r="K786" s="45" t="n">
        <v>0.1</v>
      </c>
      <c r="L786" s="39" t="n">
        <v>88.89</v>
      </c>
      <c r="M786" s="39">
        <f>I786*J786*(1-K786)</f>
        <v/>
      </c>
      <c r="N786" s="39">
        <f>I786*L786</f>
        <v/>
      </c>
      <c r="O786" s="39">
        <f>M786-N786</f>
        <v/>
      </c>
      <c r="P786" s="38">
        <f>IF(M786=0,0,O786/M786)</f>
        <v/>
      </c>
      <c r="Q786" s="36">
        <f>YEAR(B786)</f>
        <v/>
      </c>
      <c r="R786" s="36">
        <f>"Q"&amp;ROUNDUP(MONTH(B786)/3,0)</f>
        <v/>
      </c>
      <c r="S786" s="36">
        <f>MONTH(B786)</f>
        <v/>
      </c>
      <c r="T786" s="36">
        <f>TEXT(B786,"mmm")</f>
        <v/>
      </c>
      <c r="U786" s="36">
        <f>IF(AND(OR(sel_Region="All",C786=sel_Region),OR(sel_Country="All",D786=sel_Country),OR(sel_Channel="All",E786=sel_Channel),OR(sel_Customer="All",F786=sel_Customer),OR(sel_Category="All",G786=sel_Category),OR(sel_Product="All",H786=sel_Product),AND(S786&gt;=m_From,S786&lt;=m_To)),1,0)</f>
        <v/>
      </c>
      <c r="V786" s="36">
        <f>IF(AND(OR(sel_Region="All",C786=sel_Region),OR(sel_Channel="All",E786=sel_Channel),OR(sel_Customer="All",F786=sel_Customer),OR(sel_Category="All",G786=sel_Category),OR(sel_Product="All",H786=sel_Product),AND(S786&gt;=m_From,S786&lt;=m_To)),1,0)</f>
        <v/>
      </c>
      <c r="W786" s="36">
        <f>IF(AND(OR(sel_Region="All",C786=sel_Region),OR(sel_Country="All",D786=sel_Country),OR(sel_Customer="All",F786=sel_Customer),OR(sel_Category="All",G786=sel_Category),OR(sel_Product="All",H786=sel_Product),AND(S786&gt;=m_From,S786&lt;=m_To)),1,0)</f>
        <v/>
      </c>
      <c r="X786" s="36">
        <f>IF(AND(OR(sel_Region="All",C786=sel_Region),OR(sel_Country="All",D786=sel_Country),OR(sel_Channel="All",E786=sel_Channel),OR(sel_Category="All",G786=sel_Category),OR(sel_Product="All",H786=sel_Product),AND(S786&gt;=m_From,S786&lt;=m_To)),1,0)</f>
        <v/>
      </c>
      <c r="Y786" s="36">
        <f>IF(AND(OR(sel_Region="All",C786=sel_Region),OR(sel_Country="All",D786=sel_Country),OR(sel_Channel="All",E786=sel_Channel),OR(sel_Customer="All",F786=sel_Customer),OR(sel_Product="All",H786=sel_Product),AND(S786&gt;=m_From,S786&lt;=m_To)),1,0)</f>
        <v/>
      </c>
      <c r="Z786" s="36">
        <f>IF(AND(OR(sel_Region="All",C786=sel_Region),OR(sel_Country="All",D786=sel_Country),OR(sel_Channel="All",E786=sel_Channel),OR(sel_Customer="All",F786=sel_Customer),OR(sel_Category="All",G786=sel_Category),AND(S786&gt;=m_From,S786&lt;=m_To)),1,0)</f>
        <v/>
      </c>
      <c r="AA786" s="36">
        <f>IF(AND(OR(sel_Region="All",C786=sel_Region),OR(sel_Country="All",D786=sel_Country),OR(sel_Channel="All",E786=sel_Channel),OR(sel_Customer="All",F786=sel_Customer),OR(sel_Category="All",G786=sel_Category),OR(sel_Product="All",H786=sel_Product)),1,0)</f>
        <v/>
      </c>
    </row>
    <row r="787">
      <c r="A787" s="36" t="inlineStr">
        <is>
          <t>04746</t>
        </is>
      </c>
      <c r="B787" s="44" t="n">
        <v>46152</v>
      </c>
      <c r="C787" s="36" t="inlineStr">
        <is>
          <t>Central Europe</t>
        </is>
      </c>
      <c r="D787" s="36" t="inlineStr">
        <is>
          <t>Czechia</t>
        </is>
      </c>
      <c r="E787" s="36" t="inlineStr">
        <is>
          <t>Online Store</t>
        </is>
      </c>
      <c r="F787" s="36" t="inlineStr">
        <is>
          <t>Returning</t>
        </is>
      </c>
      <c r="G787" s="36" t="inlineStr">
        <is>
          <t>Fitness</t>
        </is>
      </c>
      <c r="H787" s="36" t="inlineStr">
        <is>
          <t>Recovery Roller</t>
        </is>
      </c>
      <c r="I787" s="36" t="n">
        <v>2</v>
      </c>
      <c r="J787" s="39" t="n">
        <v>36.41</v>
      </c>
      <c r="K787" s="45" t="n">
        <v>0</v>
      </c>
      <c r="L787" s="39" t="n">
        <v>13.92</v>
      </c>
      <c r="M787" s="39">
        <f>I787*J787*(1-K787)</f>
        <v/>
      </c>
      <c r="N787" s="39">
        <f>I787*L787</f>
        <v/>
      </c>
      <c r="O787" s="39">
        <f>M787-N787</f>
        <v/>
      </c>
      <c r="P787" s="38">
        <f>IF(M787=0,0,O787/M787)</f>
        <v/>
      </c>
      <c r="Q787" s="36">
        <f>YEAR(B787)</f>
        <v/>
      </c>
      <c r="R787" s="36">
        <f>"Q"&amp;ROUNDUP(MONTH(B787)/3,0)</f>
        <v/>
      </c>
      <c r="S787" s="36">
        <f>MONTH(B787)</f>
        <v/>
      </c>
      <c r="T787" s="36">
        <f>TEXT(B787,"mmm")</f>
        <v/>
      </c>
      <c r="U787" s="36">
        <f>IF(AND(OR(sel_Region="All",C787=sel_Region),OR(sel_Country="All",D787=sel_Country),OR(sel_Channel="All",E787=sel_Channel),OR(sel_Customer="All",F787=sel_Customer),OR(sel_Category="All",G787=sel_Category),OR(sel_Product="All",H787=sel_Product),AND(S787&gt;=m_From,S787&lt;=m_To)),1,0)</f>
        <v/>
      </c>
      <c r="V787" s="36">
        <f>IF(AND(OR(sel_Region="All",C787=sel_Region),OR(sel_Channel="All",E787=sel_Channel),OR(sel_Customer="All",F787=sel_Customer),OR(sel_Category="All",G787=sel_Category),OR(sel_Product="All",H787=sel_Product),AND(S787&gt;=m_From,S787&lt;=m_To)),1,0)</f>
        <v/>
      </c>
      <c r="W787" s="36">
        <f>IF(AND(OR(sel_Region="All",C787=sel_Region),OR(sel_Country="All",D787=sel_Country),OR(sel_Customer="All",F787=sel_Customer),OR(sel_Category="All",G787=sel_Category),OR(sel_Product="All",H787=sel_Product),AND(S787&gt;=m_From,S787&lt;=m_To)),1,0)</f>
        <v/>
      </c>
      <c r="X787" s="36">
        <f>IF(AND(OR(sel_Region="All",C787=sel_Region),OR(sel_Country="All",D787=sel_Country),OR(sel_Channel="All",E787=sel_Channel),OR(sel_Category="All",G787=sel_Category),OR(sel_Product="All",H787=sel_Product),AND(S787&gt;=m_From,S787&lt;=m_To)),1,0)</f>
        <v/>
      </c>
      <c r="Y787" s="36">
        <f>IF(AND(OR(sel_Region="All",C787=sel_Region),OR(sel_Country="All",D787=sel_Country),OR(sel_Channel="All",E787=sel_Channel),OR(sel_Customer="All",F787=sel_Customer),OR(sel_Product="All",H787=sel_Product),AND(S787&gt;=m_From,S787&lt;=m_To)),1,0)</f>
        <v/>
      </c>
      <c r="Z787" s="36">
        <f>IF(AND(OR(sel_Region="All",C787=sel_Region),OR(sel_Country="All",D787=sel_Country),OR(sel_Channel="All",E787=sel_Channel),OR(sel_Customer="All",F787=sel_Customer),OR(sel_Category="All",G787=sel_Category),AND(S787&gt;=m_From,S787&lt;=m_To)),1,0)</f>
        <v/>
      </c>
      <c r="AA787" s="36">
        <f>IF(AND(OR(sel_Region="All",C787=sel_Region),OR(sel_Country="All",D787=sel_Country),OR(sel_Channel="All",E787=sel_Channel),OR(sel_Customer="All",F787=sel_Customer),OR(sel_Category="All",G787=sel_Category),OR(sel_Product="All",H787=sel_Product)),1,0)</f>
        <v/>
      </c>
    </row>
    <row r="788">
      <c r="A788" s="36" t="inlineStr">
        <is>
          <t>04795</t>
        </is>
      </c>
      <c r="B788" s="44" t="n">
        <v>46152</v>
      </c>
      <c r="C788" s="36" t="inlineStr">
        <is>
          <t>Western Europe</t>
        </is>
      </c>
      <c r="D788" s="36" t="inlineStr">
        <is>
          <t>Belgium</t>
        </is>
      </c>
      <c r="E788" s="36" t="inlineStr">
        <is>
          <t>Marketplace</t>
        </is>
      </c>
      <c r="F788" s="36" t="inlineStr">
        <is>
          <t>Returning</t>
        </is>
      </c>
      <c r="G788" s="36" t="inlineStr">
        <is>
          <t>Hiking</t>
        </is>
      </c>
      <c r="H788" s="36" t="inlineStr">
        <is>
          <t>Trekking Poles</t>
        </is>
      </c>
      <c r="I788" s="36" t="n">
        <v>2</v>
      </c>
      <c r="J788" s="39" t="n">
        <v>72.25</v>
      </c>
      <c r="K788" s="45" t="n">
        <v>0</v>
      </c>
      <c r="L788" s="39" t="n">
        <v>32.25</v>
      </c>
      <c r="M788" s="39">
        <f>I788*J788*(1-K788)</f>
        <v/>
      </c>
      <c r="N788" s="39">
        <f>I788*L788</f>
        <v/>
      </c>
      <c r="O788" s="39">
        <f>M788-N788</f>
        <v/>
      </c>
      <c r="P788" s="38">
        <f>IF(M788=0,0,O788/M788)</f>
        <v/>
      </c>
      <c r="Q788" s="36">
        <f>YEAR(B788)</f>
        <v/>
      </c>
      <c r="R788" s="36">
        <f>"Q"&amp;ROUNDUP(MONTH(B788)/3,0)</f>
        <v/>
      </c>
      <c r="S788" s="36">
        <f>MONTH(B788)</f>
        <v/>
      </c>
      <c r="T788" s="36">
        <f>TEXT(B788,"mmm")</f>
        <v/>
      </c>
      <c r="U788" s="36">
        <f>IF(AND(OR(sel_Region="All",C788=sel_Region),OR(sel_Country="All",D788=sel_Country),OR(sel_Channel="All",E788=sel_Channel),OR(sel_Customer="All",F788=sel_Customer),OR(sel_Category="All",G788=sel_Category),OR(sel_Product="All",H788=sel_Product),AND(S788&gt;=m_From,S788&lt;=m_To)),1,0)</f>
        <v/>
      </c>
      <c r="V788" s="36">
        <f>IF(AND(OR(sel_Region="All",C788=sel_Region),OR(sel_Channel="All",E788=sel_Channel),OR(sel_Customer="All",F788=sel_Customer),OR(sel_Category="All",G788=sel_Category),OR(sel_Product="All",H788=sel_Product),AND(S788&gt;=m_From,S788&lt;=m_To)),1,0)</f>
        <v/>
      </c>
      <c r="W788" s="36">
        <f>IF(AND(OR(sel_Region="All",C788=sel_Region),OR(sel_Country="All",D788=sel_Country),OR(sel_Customer="All",F788=sel_Customer),OR(sel_Category="All",G788=sel_Category),OR(sel_Product="All",H788=sel_Product),AND(S788&gt;=m_From,S788&lt;=m_To)),1,0)</f>
        <v/>
      </c>
      <c r="X788" s="36">
        <f>IF(AND(OR(sel_Region="All",C788=sel_Region),OR(sel_Country="All",D788=sel_Country),OR(sel_Channel="All",E788=sel_Channel),OR(sel_Category="All",G788=sel_Category),OR(sel_Product="All",H788=sel_Product),AND(S788&gt;=m_From,S788&lt;=m_To)),1,0)</f>
        <v/>
      </c>
      <c r="Y788" s="36">
        <f>IF(AND(OR(sel_Region="All",C788=sel_Region),OR(sel_Country="All",D788=sel_Country),OR(sel_Channel="All",E788=sel_Channel),OR(sel_Customer="All",F788=sel_Customer),OR(sel_Product="All",H788=sel_Product),AND(S788&gt;=m_From,S788&lt;=m_To)),1,0)</f>
        <v/>
      </c>
      <c r="Z788" s="36">
        <f>IF(AND(OR(sel_Region="All",C788=sel_Region),OR(sel_Country="All",D788=sel_Country),OR(sel_Channel="All",E788=sel_Channel),OR(sel_Customer="All",F788=sel_Customer),OR(sel_Category="All",G788=sel_Category),AND(S788&gt;=m_From,S788&lt;=m_To)),1,0)</f>
        <v/>
      </c>
      <c r="AA788" s="36">
        <f>IF(AND(OR(sel_Region="All",C788=sel_Region),OR(sel_Country="All",D788=sel_Country),OR(sel_Channel="All",E788=sel_Channel),OR(sel_Customer="All",F788=sel_Customer),OR(sel_Category="All",G788=sel_Category),OR(sel_Product="All",H788=sel_Product)),1,0)</f>
        <v/>
      </c>
    </row>
    <row r="789">
      <c r="A789" s="36" t="inlineStr">
        <is>
          <t>04800</t>
        </is>
      </c>
      <c r="B789" s="44" t="n">
        <v>46152</v>
      </c>
      <c r="C789" s="36" t="inlineStr">
        <is>
          <t>Western Europe</t>
        </is>
      </c>
      <c r="D789" s="36" t="inlineStr">
        <is>
          <t>United Kingdom</t>
        </is>
      </c>
      <c r="E789" s="36" t="inlineStr">
        <is>
          <t>Retail Partners</t>
        </is>
      </c>
      <c r="F789" s="36" t="inlineStr">
        <is>
          <t>New</t>
        </is>
      </c>
      <c r="G789" s="36" t="inlineStr">
        <is>
          <t>Cycling</t>
        </is>
      </c>
      <c r="H789" s="36" t="inlineStr">
        <is>
          <t>Cycling Pack 12L</t>
        </is>
      </c>
      <c r="I789" s="36" t="n">
        <v>4</v>
      </c>
      <c r="J789" s="39" t="n">
        <v>103.36</v>
      </c>
      <c r="K789" s="45" t="n">
        <v>0</v>
      </c>
      <c r="L789" s="39" t="n">
        <v>51.59</v>
      </c>
      <c r="M789" s="39">
        <f>I789*J789*(1-K789)</f>
        <v/>
      </c>
      <c r="N789" s="39">
        <f>I789*L789</f>
        <v/>
      </c>
      <c r="O789" s="39">
        <f>M789-N789</f>
        <v/>
      </c>
      <c r="P789" s="38">
        <f>IF(M789=0,0,O789/M789)</f>
        <v/>
      </c>
      <c r="Q789" s="36">
        <f>YEAR(B789)</f>
        <v/>
      </c>
      <c r="R789" s="36">
        <f>"Q"&amp;ROUNDUP(MONTH(B789)/3,0)</f>
        <v/>
      </c>
      <c r="S789" s="36">
        <f>MONTH(B789)</f>
        <v/>
      </c>
      <c r="T789" s="36">
        <f>TEXT(B789,"mmm")</f>
        <v/>
      </c>
      <c r="U789" s="36">
        <f>IF(AND(OR(sel_Region="All",C789=sel_Region),OR(sel_Country="All",D789=sel_Country),OR(sel_Channel="All",E789=sel_Channel),OR(sel_Customer="All",F789=sel_Customer),OR(sel_Category="All",G789=sel_Category),OR(sel_Product="All",H789=sel_Product),AND(S789&gt;=m_From,S789&lt;=m_To)),1,0)</f>
        <v/>
      </c>
      <c r="V789" s="36">
        <f>IF(AND(OR(sel_Region="All",C789=sel_Region),OR(sel_Channel="All",E789=sel_Channel),OR(sel_Customer="All",F789=sel_Customer),OR(sel_Category="All",G789=sel_Category),OR(sel_Product="All",H789=sel_Product),AND(S789&gt;=m_From,S789&lt;=m_To)),1,0)</f>
        <v/>
      </c>
      <c r="W789" s="36">
        <f>IF(AND(OR(sel_Region="All",C789=sel_Region),OR(sel_Country="All",D789=sel_Country),OR(sel_Customer="All",F789=sel_Customer),OR(sel_Category="All",G789=sel_Category),OR(sel_Product="All",H789=sel_Product),AND(S789&gt;=m_From,S789&lt;=m_To)),1,0)</f>
        <v/>
      </c>
      <c r="X789" s="36">
        <f>IF(AND(OR(sel_Region="All",C789=sel_Region),OR(sel_Country="All",D789=sel_Country),OR(sel_Channel="All",E789=sel_Channel),OR(sel_Category="All",G789=sel_Category),OR(sel_Product="All",H789=sel_Product),AND(S789&gt;=m_From,S789&lt;=m_To)),1,0)</f>
        <v/>
      </c>
      <c r="Y789" s="36">
        <f>IF(AND(OR(sel_Region="All",C789=sel_Region),OR(sel_Country="All",D789=sel_Country),OR(sel_Channel="All",E789=sel_Channel),OR(sel_Customer="All",F789=sel_Customer),OR(sel_Product="All",H789=sel_Product),AND(S789&gt;=m_From,S789&lt;=m_To)),1,0)</f>
        <v/>
      </c>
      <c r="Z789" s="36">
        <f>IF(AND(OR(sel_Region="All",C789=sel_Region),OR(sel_Country="All",D789=sel_Country),OR(sel_Channel="All",E789=sel_Channel),OR(sel_Customer="All",F789=sel_Customer),OR(sel_Category="All",G789=sel_Category),AND(S789&gt;=m_From,S789&lt;=m_To)),1,0)</f>
        <v/>
      </c>
      <c r="AA789" s="36">
        <f>IF(AND(OR(sel_Region="All",C789=sel_Region),OR(sel_Country="All",D789=sel_Country),OR(sel_Channel="All",E789=sel_Channel),OR(sel_Customer="All",F789=sel_Customer),OR(sel_Category="All",G789=sel_Category),OR(sel_Product="All",H789=sel_Product)),1,0)</f>
        <v/>
      </c>
    </row>
    <row r="790">
      <c r="A790" s="36" t="inlineStr">
        <is>
          <t>05018</t>
        </is>
      </c>
      <c r="B790" s="44" t="n">
        <v>46152</v>
      </c>
      <c r="C790" s="36" t="inlineStr">
        <is>
          <t>Northern Europe</t>
        </is>
      </c>
      <c r="D790" s="36" t="inlineStr">
        <is>
          <t>Sweden</t>
        </is>
      </c>
      <c r="E790" s="36" t="inlineStr">
        <is>
          <t>Corporate</t>
        </is>
      </c>
      <c r="F790" s="36" t="inlineStr">
        <is>
          <t>Business</t>
        </is>
      </c>
      <c r="G790" s="36" t="inlineStr">
        <is>
          <t>Hiking</t>
        </is>
      </c>
      <c r="H790" s="36" t="inlineStr">
        <is>
          <t>Trail Boots</t>
        </is>
      </c>
      <c r="I790" s="36" t="n">
        <v>4</v>
      </c>
      <c r="J790" s="39" t="n">
        <v>145.85</v>
      </c>
      <c r="K790" s="45" t="n">
        <v>0.15</v>
      </c>
      <c r="L790" s="39" t="n">
        <v>79.69</v>
      </c>
      <c r="M790" s="39">
        <f>I790*J790*(1-K790)</f>
        <v/>
      </c>
      <c r="N790" s="39">
        <f>I790*L790</f>
        <v/>
      </c>
      <c r="O790" s="39">
        <f>M790-N790</f>
        <v/>
      </c>
      <c r="P790" s="38">
        <f>IF(M790=0,0,O790/M790)</f>
        <v/>
      </c>
      <c r="Q790" s="36">
        <f>YEAR(B790)</f>
        <v/>
      </c>
      <c r="R790" s="36">
        <f>"Q"&amp;ROUNDUP(MONTH(B790)/3,0)</f>
        <v/>
      </c>
      <c r="S790" s="36">
        <f>MONTH(B790)</f>
        <v/>
      </c>
      <c r="T790" s="36">
        <f>TEXT(B790,"mmm")</f>
        <v/>
      </c>
      <c r="U790" s="36">
        <f>IF(AND(OR(sel_Region="All",C790=sel_Region),OR(sel_Country="All",D790=sel_Country),OR(sel_Channel="All",E790=sel_Channel),OR(sel_Customer="All",F790=sel_Customer),OR(sel_Category="All",G790=sel_Category),OR(sel_Product="All",H790=sel_Product),AND(S790&gt;=m_From,S790&lt;=m_To)),1,0)</f>
        <v/>
      </c>
      <c r="V790" s="36">
        <f>IF(AND(OR(sel_Region="All",C790=sel_Region),OR(sel_Channel="All",E790=sel_Channel),OR(sel_Customer="All",F790=sel_Customer),OR(sel_Category="All",G790=sel_Category),OR(sel_Product="All",H790=sel_Product),AND(S790&gt;=m_From,S790&lt;=m_To)),1,0)</f>
        <v/>
      </c>
      <c r="W790" s="36">
        <f>IF(AND(OR(sel_Region="All",C790=sel_Region),OR(sel_Country="All",D790=sel_Country),OR(sel_Customer="All",F790=sel_Customer),OR(sel_Category="All",G790=sel_Category),OR(sel_Product="All",H790=sel_Product),AND(S790&gt;=m_From,S790&lt;=m_To)),1,0)</f>
        <v/>
      </c>
      <c r="X790" s="36">
        <f>IF(AND(OR(sel_Region="All",C790=sel_Region),OR(sel_Country="All",D790=sel_Country),OR(sel_Channel="All",E790=sel_Channel),OR(sel_Category="All",G790=sel_Category),OR(sel_Product="All",H790=sel_Product),AND(S790&gt;=m_From,S790&lt;=m_To)),1,0)</f>
        <v/>
      </c>
      <c r="Y790" s="36">
        <f>IF(AND(OR(sel_Region="All",C790=sel_Region),OR(sel_Country="All",D790=sel_Country),OR(sel_Channel="All",E790=sel_Channel),OR(sel_Customer="All",F790=sel_Customer),OR(sel_Product="All",H790=sel_Product),AND(S790&gt;=m_From,S790&lt;=m_To)),1,0)</f>
        <v/>
      </c>
      <c r="Z790" s="36">
        <f>IF(AND(OR(sel_Region="All",C790=sel_Region),OR(sel_Country="All",D790=sel_Country),OR(sel_Channel="All",E790=sel_Channel),OR(sel_Customer="All",F790=sel_Customer),OR(sel_Category="All",G790=sel_Category),AND(S790&gt;=m_From,S790&lt;=m_To)),1,0)</f>
        <v/>
      </c>
      <c r="AA790" s="36">
        <f>IF(AND(OR(sel_Region="All",C790=sel_Region),OR(sel_Country="All",D790=sel_Country),OR(sel_Channel="All",E790=sel_Channel),OR(sel_Customer="All",F790=sel_Customer),OR(sel_Category="All",G790=sel_Category),OR(sel_Product="All",H790=sel_Product)),1,0)</f>
        <v/>
      </c>
    </row>
    <row r="791">
      <c r="A791" s="36" t="inlineStr">
        <is>
          <t>00474</t>
        </is>
      </c>
      <c r="B791" s="44" t="n">
        <v>46153</v>
      </c>
      <c r="C791" s="36" t="inlineStr">
        <is>
          <t>Central Europe</t>
        </is>
      </c>
      <c r="D791" s="36" t="inlineStr">
        <is>
          <t>Germany</t>
        </is>
      </c>
      <c r="E791" s="36" t="inlineStr">
        <is>
          <t>Online Store</t>
        </is>
      </c>
      <c r="F791" s="36" t="inlineStr">
        <is>
          <t>Returning</t>
        </is>
      </c>
      <c r="G791" s="36" t="inlineStr">
        <is>
          <t>Cycling</t>
        </is>
      </c>
      <c r="H791" s="36" t="inlineStr">
        <is>
          <t>Cycling Pack 12L</t>
        </is>
      </c>
      <c r="I791" s="36" t="n">
        <v>2</v>
      </c>
      <c r="J791" s="39" t="n">
        <v>100.49</v>
      </c>
      <c r="K791" s="45" t="n">
        <v>0.1</v>
      </c>
      <c r="L791" s="39" t="n">
        <v>50.11</v>
      </c>
      <c r="M791" s="39">
        <f>I791*J791*(1-K791)</f>
        <v/>
      </c>
      <c r="N791" s="39">
        <f>I791*L791</f>
        <v/>
      </c>
      <c r="O791" s="39">
        <f>M791-N791</f>
        <v/>
      </c>
      <c r="P791" s="38">
        <f>IF(M791=0,0,O791/M791)</f>
        <v/>
      </c>
      <c r="Q791" s="36">
        <f>YEAR(B791)</f>
        <v/>
      </c>
      <c r="R791" s="36">
        <f>"Q"&amp;ROUNDUP(MONTH(B791)/3,0)</f>
        <v/>
      </c>
      <c r="S791" s="36">
        <f>MONTH(B791)</f>
        <v/>
      </c>
      <c r="T791" s="36">
        <f>TEXT(B791,"mmm")</f>
        <v/>
      </c>
      <c r="U791" s="36">
        <f>IF(AND(OR(sel_Region="All",C791=sel_Region),OR(sel_Country="All",D791=sel_Country),OR(sel_Channel="All",E791=sel_Channel),OR(sel_Customer="All",F791=sel_Customer),OR(sel_Category="All",G791=sel_Category),OR(sel_Product="All",H791=sel_Product),AND(S791&gt;=m_From,S791&lt;=m_To)),1,0)</f>
        <v/>
      </c>
      <c r="V791" s="36">
        <f>IF(AND(OR(sel_Region="All",C791=sel_Region),OR(sel_Channel="All",E791=sel_Channel),OR(sel_Customer="All",F791=sel_Customer),OR(sel_Category="All",G791=sel_Category),OR(sel_Product="All",H791=sel_Product),AND(S791&gt;=m_From,S791&lt;=m_To)),1,0)</f>
        <v/>
      </c>
      <c r="W791" s="36">
        <f>IF(AND(OR(sel_Region="All",C791=sel_Region),OR(sel_Country="All",D791=sel_Country),OR(sel_Customer="All",F791=sel_Customer),OR(sel_Category="All",G791=sel_Category),OR(sel_Product="All",H791=sel_Product),AND(S791&gt;=m_From,S791&lt;=m_To)),1,0)</f>
        <v/>
      </c>
      <c r="X791" s="36">
        <f>IF(AND(OR(sel_Region="All",C791=sel_Region),OR(sel_Country="All",D791=sel_Country),OR(sel_Channel="All",E791=sel_Channel),OR(sel_Category="All",G791=sel_Category),OR(sel_Product="All",H791=sel_Product),AND(S791&gt;=m_From,S791&lt;=m_To)),1,0)</f>
        <v/>
      </c>
      <c r="Y791" s="36">
        <f>IF(AND(OR(sel_Region="All",C791=sel_Region),OR(sel_Country="All",D791=sel_Country),OR(sel_Channel="All",E791=sel_Channel),OR(sel_Customer="All",F791=sel_Customer),OR(sel_Product="All",H791=sel_Product),AND(S791&gt;=m_From,S791&lt;=m_To)),1,0)</f>
        <v/>
      </c>
      <c r="Z791" s="36">
        <f>IF(AND(OR(sel_Region="All",C791=sel_Region),OR(sel_Country="All",D791=sel_Country),OR(sel_Channel="All",E791=sel_Channel),OR(sel_Customer="All",F791=sel_Customer),OR(sel_Category="All",G791=sel_Category),AND(S791&gt;=m_From,S791&lt;=m_To)),1,0)</f>
        <v/>
      </c>
      <c r="AA791" s="36">
        <f>IF(AND(OR(sel_Region="All",C791=sel_Region),OR(sel_Country="All",D791=sel_Country),OR(sel_Channel="All",E791=sel_Channel),OR(sel_Customer="All",F791=sel_Customer),OR(sel_Category="All",G791=sel_Category),OR(sel_Product="All",H791=sel_Product)),1,0)</f>
        <v/>
      </c>
    </row>
    <row r="792">
      <c r="A792" s="36" t="inlineStr">
        <is>
          <t>01175</t>
        </is>
      </c>
      <c r="B792" s="44" t="n">
        <v>46153</v>
      </c>
      <c r="C792" s="36" t="inlineStr">
        <is>
          <t>Northern Europe</t>
        </is>
      </c>
      <c r="D792" s="36" t="inlineStr">
        <is>
          <t>Norway</t>
        </is>
      </c>
      <c r="E792" s="36" t="inlineStr">
        <is>
          <t>Corporate</t>
        </is>
      </c>
      <c r="F792" s="36" t="inlineStr">
        <is>
          <t>Returning</t>
        </is>
      </c>
      <c r="G792" s="36" t="inlineStr">
        <is>
          <t>Camping</t>
        </is>
      </c>
      <c r="H792" s="36" t="inlineStr">
        <is>
          <t>Alpine Tent 4P</t>
        </is>
      </c>
      <c r="I792" s="36" t="n">
        <v>4</v>
      </c>
      <c r="J792" s="39" t="n">
        <v>332.89</v>
      </c>
      <c r="K792" s="45" t="n">
        <v>0.1</v>
      </c>
      <c r="L792" s="39" t="n">
        <v>198.06</v>
      </c>
      <c r="M792" s="39">
        <f>I792*J792*(1-K792)</f>
        <v/>
      </c>
      <c r="N792" s="39">
        <f>I792*L792</f>
        <v/>
      </c>
      <c r="O792" s="39">
        <f>M792-N792</f>
        <v/>
      </c>
      <c r="P792" s="38">
        <f>IF(M792=0,0,O792/M792)</f>
        <v/>
      </c>
      <c r="Q792" s="36">
        <f>YEAR(B792)</f>
        <v/>
      </c>
      <c r="R792" s="36">
        <f>"Q"&amp;ROUNDUP(MONTH(B792)/3,0)</f>
        <v/>
      </c>
      <c r="S792" s="36">
        <f>MONTH(B792)</f>
        <v/>
      </c>
      <c r="T792" s="36">
        <f>TEXT(B792,"mmm")</f>
        <v/>
      </c>
      <c r="U792" s="36">
        <f>IF(AND(OR(sel_Region="All",C792=sel_Region),OR(sel_Country="All",D792=sel_Country),OR(sel_Channel="All",E792=sel_Channel),OR(sel_Customer="All",F792=sel_Customer),OR(sel_Category="All",G792=sel_Category),OR(sel_Product="All",H792=sel_Product),AND(S792&gt;=m_From,S792&lt;=m_To)),1,0)</f>
        <v/>
      </c>
      <c r="V792" s="36">
        <f>IF(AND(OR(sel_Region="All",C792=sel_Region),OR(sel_Channel="All",E792=sel_Channel),OR(sel_Customer="All",F792=sel_Customer),OR(sel_Category="All",G792=sel_Category),OR(sel_Product="All",H792=sel_Product),AND(S792&gt;=m_From,S792&lt;=m_To)),1,0)</f>
        <v/>
      </c>
      <c r="W792" s="36">
        <f>IF(AND(OR(sel_Region="All",C792=sel_Region),OR(sel_Country="All",D792=sel_Country),OR(sel_Customer="All",F792=sel_Customer),OR(sel_Category="All",G792=sel_Category),OR(sel_Product="All",H792=sel_Product),AND(S792&gt;=m_From,S792&lt;=m_To)),1,0)</f>
        <v/>
      </c>
      <c r="X792" s="36">
        <f>IF(AND(OR(sel_Region="All",C792=sel_Region),OR(sel_Country="All",D792=sel_Country),OR(sel_Channel="All",E792=sel_Channel),OR(sel_Category="All",G792=sel_Category),OR(sel_Product="All",H792=sel_Product),AND(S792&gt;=m_From,S792&lt;=m_To)),1,0)</f>
        <v/>
      </c>
      <c r="Y792" s="36">
        <f>IF(AND(OR(sel_Region="All",C792=sel_Region),OR(sel_Country="All",D792=sel_Country),OR(sel_Channel="All",E792=sel_Channel),OR(sel_Customer="All",F792=sel_Customer),OR(sel_Product="All",H792=sel_Product),AND(S792&gt;=m_From,S792&lt;=m_To)),1,0)</f>
        <v/>
      </c>
      <c r="Z792" s="36">
        <f>IF(AND(OR(sel_Region="All",C792=sel_Region),OR(sel_Country="All",D792=sel_Country),OR(sel_Channel="All",E792=sel_Channel),OR(sel_Customer="All",F792=sel_Customer),OR(sel_Category="All",G792=sel_Category),AND(S792&gt;=m_From,S792&lt;=m_To)),1,0)</f>
        <v/>
      </c>
      <c r="AA792" s="36">
        <f>IF(AND(OR(sel_Region="All",C792=sel_Region),OR(sel_Country="All",D792=sel_Country),OR(sel_Channel="All",E792=sel_Channel),OR(sel_Customer="All",F792=sel_Customer),OR(sel_Category="All",G792=sel_Category),OR(sel_Product="All",H792=sel_Product)),1,0)</f>
        <v/>
      </c>
    </row>
    <row r="793">
      <c r="A793" s="36" t="inlineStr">
        <is>
          <t>02015</t>
        </is>
      </c>
      <c r="B793" s="44" t="n">
        <v>46153</v>
      </c>
      <c r="C793" s="36" t="inlineStr">
        <is>
          <t>Central Europe</t>
        </is>
      </c>
      <c r="D793" s="36" t="inlineStr">
        <is>
          <t>Germany</t>
        </is>
      </c>
      <c r="E793" s="36" t="inlineStr">
        <is>
          <t>Online Store</t>
        </is>
      </c>
      <c r="F793" s="36" t="inlineStr">
        <is>
          <t>New</t>
        </is>
      </c>
      <c r="G793" s="36" t="inlineStr">
        <is>
          <t>Hiking</t>
        </is>
      </c>
      <c r="H793" s="36" t="inlineStr">
        <is>
          <t>Summit Backpack 45L</t>
        </is>
      </c>
      <c r="I793" s="36" t="n">
        <v>1</v>
      </c>
      <c r="J793" s="39" t="n">
        <v>154.6</v>
      </c>
      <c r="K793" s="45" t="n">
        <v>0</v>
      </c>
      <c r="L793" s="39" t="n">
        <v>80.05</v>
      </c>
      <c r="M793" s="39">
        <f>I793*J793*(1-K793)</f>
        <v/>
      </c>
      <c r="N793" s="39">
        <f>I793*L793</f>
        <v/>
      </c>
      <c r="O793" s="39">
        <f>M793-N793</f>
        <v/>
      </c>
      <c r="P793" s="38">
        <f>IF(M793=0,0,O793/M793)</f>
        <v/>
      </c>
      <c r="Q793" s="36">
        <f>YEAR(B793)</f>
        <v/>
      </c>
      <c r="R793" s="36">
        <f>"Q"&amp;ROUNDUP(MONTH(B793)/3,0)</f>
        <v/>
      </c>
      <c r="S793" s="36">
        <f>MONTH(B793)</f>
        <v/>
      </c>
      <c r="T793" s="36">
        <f>TEXT(B793,"mmm")</f>
        <v/>
      </c>
      <c r="U793" s="36">
        <f>IF(AND(OR(sel_Region="All",C793=sel_Region),OR(sel_Country="All",D793=sel_Country),OR(sel_Channel="All",E793=sel_Channel),OR(sel_Customer="All",F793=sel_Customer),OR(sel_Category="All",G793=sel_Category),OR(sel_Product="All",H793=sel_Product),AND(S793&gt;=m_From,S793&lt;=m_To)),1,0)</f>
        <v/>
      </c>
      <c r="V793" s="36">
        <f>IF(AND(OR(sel_Region="All",C793=sel_Region),OR(sel_Channel="All",E793=sel_Channel),OR(sel_Customer="All",F793=sel_Customer),OR(sel_Category="All",G793=sel_Category),OR(sel_Product="All",H793=sel_Product),AND(S793&gt;=m_From,S793&lt;=m_To)),1,0)</f>
        <v/>
      </c>
      <c r="W793" s="36">
        <f>IF(AND(OR(sel_Region="All",C793=sel_Region),OR(sel_Country="All",D793=sel_Country),OR(sel_Customer="All",F793=sel_Customer),OR(sel_Category="All",G793=sel_Category),OR(sel_Product="All",H793=sel_Product),AND(S793&gt;=m_From,S793&lt;=m_To)),1,0)</f>
        <v/>
      </c>
      <c r="X793" s="36">
        <f>IF(AND(OR(sel_Region="All",C793=sel_Region),OR(sel_Country="All",D793=sel_Country),OR(sel_Channel="All",E793=sel_Channel),OR(sel_Category="All",G793=sel_Category),OR(sel_Product="All",H793=sel_Product),AND(S793&gt;=m_From,S793&lt;=m_To)),1,0)</f>
        <v/>
      </c>
      <c r="Y793" s="36">
        <f>IF(AND(OR(sel_Region="All",C793=sel_Region),OR(sel_Country="All",D793=sel_Country),OR(sel_Channel="All",E793=sel_Channel),OR(sel_Customer="All",F793=sel_Customer),OR(sel_Product="All",H793=sel_Product),AND(S793&gt;=m_From,S793&lt;=m_To)),1,0)</f>
        <v/>
      </c>
      <c r="Z793" s="36">
        <f>IF(AND(OR(sel_Region="All",C793=sel_Region),OR(sel_Country="All",D793=sel_Country),OR(sel_Channel="All",E793=sel_Channel),OR(sel_Customer="All",F793=sel_Customer),OR(sel_Category="All",G793=sel_Category),AND(S793&gt;=m_From,S793&lt;=m_To)),1,0)</f>
        <v/>
      </c>
      <c r="AA793" s="36">
        <f>IF(AND(OR(sel_Region="All",C793=sel_Region),OR(sel_Country="All",D793=sel_Country),OR(sel_Channel="All",E793=sel_Channel),OR(sel_Customer="All",F793=sel_Customer),OR(sel_Category="All",G793=sel_Category),OR(sel_Product="All",H793=sel_Product)),1,0)</f>
        <v/>
      </c>
    </row>
    <row r="794">
      <c r="A794" s="36" t="inlineStr">
        <is>
          <t>02196</t>
        </is>
      </c>
      <c r="B794" s="44" t="n">
        <v>46153</v>
      </c>
      <c r="C794" s="36" t="inlineStr">
        <is>
          <t>Western Europe</t>
        </is>
      </c>
      <c r="D794" s="36" t="inlineStr">
        <is>
          <t>Belgium</t>
        </is>
      </c>
      <c r="E794" s="36" t="inlineStr">
        <is>
          <t>Marketplace</t>
        </is>
      </c>
      <c r="F794" s="36" t="inlineStr">
        <is>
          <t>Returning</t>
        </is>
      </c>
      <c r="G794" s="36" t="inlineStr">
        <is>
          <t>Cycling</t>
        </is>
      </c>
      <c r="H794" s="36" t="inlineStr">
        <is>
          <t>Commuter Helmet</t>
        </is>
      </c>
      <c r="I794" s="36" t="n">
        <v>1</v>
      </c>
      <c r="J794" s="39" t="n">
        <v>83.23</v>
      </c>
      <c r="K794" s="45" t="n">
        <v>0.05</v>
      </c>
      <c r="L794" s="39" t="n">
        <v>43.82</v>
      </c>
      <c r="M794" s="39">
        <f>I794*J794*(1-K794)</f>
        <v/>
      </c>
      <c r="N794" s="39">
        <f>I794*L794</f>
        <v/>
      </c>
      <c r="O794" s="39">
        <f>M794-N794</f>
        <v/>
      </c>
      <c r="P794" s="38">
        <f>IF(M794=0,0,O794/M794)</f>
        <v/>
      </c>
      <c r="Q794" s="36">
        <f>YEAR(B794)</f>
        <v/>
      </c>
      <c r="R794" s="36">
        <f>"Q"&amp;ROUNDUP(MONTH(B794)/3,0)</f>
        <v/>
      </c>
      <c r="S794" s="36">
        <f>MONTH(B794)</f>
        <v/>
      </c>
      <c r="T794" s="36">
        <f>TEXT(B794,"mmm")</f>
        <v/>
      </c>
      <c r="U794" s="36">
        <f>IF(AND(OR(sel_Region="All",C794=sel_Region),OR(sel_Country="All",D794=sel_Country),OR(sel_Channel="All",E794=sel_Channel),OR(sel_Customer="All",F794=sel_Customer),OR(sel_Category="All",G794=sel_Category),OR(sel_Product="All",H794=sel_Product),AND(S794&gt;=m_From,S794&lt;=m_To)),1,0)</f>
        <v/>
      </c>
      <c r="V794" s="36">
        <f>IF(AND(OR(sel_Region="All",C794=sel_Region),OR(sel_Channel="All",E794=sel_Channel),OR(sel_Customer="All",F794=sel_Customer),OR(sel_Category="All",G794=sel_Category),OR(sel_Product="All",H794=sel_Product),AND(S794&gt;=m_From,S794&lt;=m_To)),1,0)</f>
        <v/>
      </c>
      <c r="W794" s="36">
        <f>IF(AND(OR(sel_Region="All",C794=sel_Region),OR(sel_Country="All",D794=sel_Country),OR(sel_Customer="All",F794=sel_Customer),OR(sel_Category="All",G794=sel_Category),OR(sel_Product="All",H794=sel_Product),AND(S794&gt;=m_From,S794&lt;=m_To)),1,0)</f>
        <v/>
      </c>
      <c r="X794" s="36">
        <f>IF(AND(OR(sel_Region="All",C794=sel_Region),OR(sel_Country="All",D794=sel_Country),OR(sel_Channel="All",E794=sel_Channel),OR(sel_Category="All",G794=sel_Category),OR(sel_Product="All",H794=sel_Product),AND(S794&gt;=m_From,S794&lt;=m_To)),1,0)</f>
        <v/>
      </c>
      <c r="Y794" s="36">
        <f>IF(AND(OR(sel_Region="All",C794=sel_Region),OR(sel_Country="All",D794=sel_Country),OR(sel_Channel="All",E794=sel_Channel),OR(sel_Customer="All",F794=sel_Customer),OR(sel_Product="All",H794=sel_Product),AND(S794&gt;=m_From,S794&lt;=m_To)),1,0)</f>
        <v/>
      </c>
      <c r="Z794" s="36">
        <f>IF(AND(OR(sel_Region="All",C794=sel_Region),OR(sel_Country="All",D794=sel_Country),OR(sel_Channel="All",E794=sel_Channel),OR(sel_Customer="All",F794=sel_Customer),OR(sel_Category="All",G794=sel_Category),AND(S794&gt;=m_From,S794&lt;=m_To)),1,0)</f>
        <v/>
      </c>
      <c r="AA794" s="36">
        <f>IF(AND(OR(sel_Region="All",C794=sel_Region),OR(sel_Country="All",D794=sel_Country),OR(sel_Channel="All",E794=sel_Channel),OR(sel_Customer="All",F794=sel_Customer),OR(sel_Category="All",G794=sel_Category),OR(sel_Product="All",H794=sel_Product)),1,0)</f>
        <v/>
      </c>
    </row>
    <row r="795">
      <c r="A795" s="36" t="inlineStr">
        <is>
          <t>03508</t>
        </is>
      </c>
      <c r="B795" s="44" t="n">
        <v>46153</v>
      </c>
      <c r="C795" s="36" t="inlineStr">
        <is>
          <t>Central Europe</t>
        </is>
      </c>
      <c r="D795" s="36" t="inlineStr">
        <is>
          <t>Germany</t>
        </is>
      </c>
      <c r="E795" s="36" t="inlineStr">
        <is>
          <t>Marketplace</t>
        </is>
      </c>
      <c r="F795" s="36" t="inlineStr">
        <is>
          <t>Returning</t>
        </is>
      </c>
      <c r="G795" s="36" t="inlineStr">
        <is>
          <t>Travel</t>
        </is>
      </c>
      <c r="H795" s="36" t="inlineStr">
        <is>
          <t>Packing Cube Set</t>
        </is>
      </c>
      <c r="I795" s="36" t="n">
        <v>3</v>
      </c>
      <c r="J795" s="39" t="n">
        <v>46.23</v>
      </c>
      <c r="K795" s="45" t="n">
        <v>0</v>
      </c>
      <c r="L795" s="39" t="n">
        <v>18.47</v>
      </c>
      <c r="M795" s="39">
        <f>I795*J795*(1-K795)</f>
        <v/>
      </c>
      <c r="N795" s="39">
        <f>I795*L795</f>
        <v/>
      </c>
      <c r="O795" s="39">
        <f>M795-N795</f>
        <v/>
      </c>
      <c r="P795" s="38">
        <f>IF(M795=0,0,O795/M795)</f>
        <v/>
      </c>
      <c r="Q795" s="36">
        <f>YEAR(B795)</f>
        <v/>
      </c>
      <c r="R795" s="36">
        <f>"Q"&amp;ROUNDUP(MONTH(B795)/3,0)</f>
        <v/>
      </c>
      <c r="S795" s="36">
        <f>MONTH(B795)</f>
        <v/>
      </c>
      <c r="T795" s="36">
        <f>TEXT(B795,"mmm")</f>
        <v/>
      </c>
      <c r="U795" s="36">
        <f>IF(AND(OR(sel_Region="All",C795=sel_Region),OR(sel_Country="All",D795=sel_Country),OR(sel_Channel="All",E795=sel_Channel),OR(sel_Customer="All",F795=sel_Customer),OR(sel_Category="All",G795=sel_Category),OR(sel_Product="All",H795=sel_Product),AND(S795&gt;=m_From,S795&lt;=m_To)),1,0)</f>
        <v/>
      </c>
      <c r="V795" s="36">
        <f>IF(AND(OR(sel_Region="All",C795=sel_Region),OR(sel_Channel="All",E795=sel_Channel),OR(sel_Customer="All",F795=sel_Customer),OR(sel_Category="All",G795=sel_Category),OR(sel_Product="All",H795=sel_Product),AND(S795&gt;=m_From,S795&lt;=m_To)),1,0)</f>
        <v/>
      </c>
      <c r="W795" s="36">
        <f>IF(AND(OR(sel_Region="All",C795=sel_Region),OR(sel_Country="All",D795=sel_Country),OR(sel_Customer="All",F795=sel_Customer),OR(sel_Category="All",G795=sel_Category),OR(sel_Product="All",H795=sel_Product),AND(S795&gt;=m_From,S795&lt;=m_To)),1,0)</f>
        <v/>
      </c>
      <c r="X795" s="36">
        <f>IF(AND(OR(sel_Region="All",C795=sel_Region),OR(sel_Country="All",D795=sel_Country),OR(sel_Channel="All",E795=sel_Channel),OR(sel_Category="All",G795=sel_Category),OR(sel_Product="All",H795=sel_Product),AND(S795&gt;=m_From,S795&lt;=m_To)),1,0)</f>
        <v/>
      </c>
      <c r="Y795" s="36">
        <f>IF(AND(OR(sel_Region="All",C795=sel_Region),OR(sel_Country="All",D795=sel_Country),OR(sel_Channel="All",E795=sel_Channel),OR(sel_Customer="All",F795=sel_Customer),OR(sel_Product="All",H795=sel_Product),AND(S795&gt;=m_From,S795&lt;=m_To)),1,0)</f>
        <v/>
      </c>
      <c r="Z795" s="36">
        <f>IF(AND(OR(sel_Region="All",C795=sel_Region),OR(sel_Country="All",D795=sel_Country),OR(sel_Channel="All",E795=sel_Channel),OR(sel_Customer="All",F795=sel_Customer),OR(sel_Category="All",G795=sel_Category),AND(S795&gt;=m_From,S795&lt;=m_To)),1,0)</f>
        <v/>
      </c>
      <c r="AA795" s="36">
        <f>IF(AND(OR(sel_Region="All",C795=sel_Region),OR(sel_Country="All",D795=sel_Country),OR(sel_Channel="All",E795=sel_Channel),OR(sel_Customer="All",F795=sel_Customer),OR(sel_Category="All",G795=sel_Category),OR(sel_Product="All",H795=sel_Product)),1,0)</f>
        <v/>
      </c>
    </row>
    <row r="796">
      <c r="A796" s="36" t="inlineStr">
        <is>
          <t>03516</t>
        </is>
      </c>
      <c r="B796" s="44" t="n">
        <v>46153</v>
      </c>
      <c r="C796" s="36" t="inlineStr">
        <is>
          <t>Western Europe</t>
        </is>
      </c>
      <c r="D796" s="36" t="inlineStr">
        <is>
          <t>Netherlands</t>
        </is>
      </c>
      <c r="E796" s="36" t="inlineStr">
        <is>
          <t>Marketplace</t>
        </is>
      </c>
      <c r="F796" s="36" t="inlineStr">
        <is>
          <t>Returning</t>
        </is>
      </c>
      <c r="G796" s="36" t="inlineStr">
        <is>
          <t>Camping</t>
        </is>
      </c>
      <c r="H796" s="36" t="inlineStr">
        <is>
          <t>Compact Sleeping Bag</t>
        </is>
      </c>
      <c r="I796" s="36" t="n">
        <v>1</v>
      </c>
      <c r="J796" s="39" t="n">
        <v>125.3</v>
      </c>
      <c r="K796" s="45" t="n">
        <v>0.05</v>
      </c>
      <c r="L796" s="39" t="n">
        <v>59.62</v>
      </c>
      <c r="M796" s="39">
        <f>I796*J796*(1-K796)</f>
        <v/>
      </c>
      <c r="N796" s="39">
        <f>I796*L796</f>
        <v/>
      </c>
      <c r="O796" s="39">
        <f>M796-N796</f>
        <v/>
      </c>
      <c r="P796" s="38">
        <f>IF(M796=0,0,O796/M796)</f>
        <v/>
      </c>
      <c r="Q796" s="36">
        <f>YEAR(B796)</f>
        <v/>
      </c>
      <c r="R796" s="36">
        <f>"Q"&amp;ROUNDUP(MONTH(B796)/3,0)</f>
        <v/>
      </c>
      <c r="S796" s="36">
        <f>MONTH(B796)</f>
        <v/>
      </c>
      <c r="T796" s="36">
        <f>TEXT(B796,"mmm")</f>
        <v/>
      </c>
      <c r="U796" s="36">
        <f>IF(AND(OR(sel_Region="All",C796=sel_Region),OR(sel_Country="All",D796=sel_Country),OR(sel_Channel="All",E796=sel_Channel),OR(sel_Customer="All",F796=sel_Customer),OR(sel_Category="All",G796=sel_Category),OR(sel_Product="All",H796=sel_Product),AND(S796&gt;=m_From,S796&lt;=m_To)),1,0)</f>
        <v/>
      </c>
      <c r="V796" s="36">
        <f>IF(AND(OR(sel_Region="All",C796=sel_Region),OR(sel_Channel="All",E796=sel_Channel),OR(sel_Customer="All",F796=sel_Customer),OR(sel_Category="All",G796=sel_Category),OR(sel_Product="All",H796=sel_Product),AND(S796&gt;=m_From,S796&lt;=m_To)),1,0)</f>
        <v/>
      </c>
      <c r="W796" s="36">
        <f>IF(AND(OR(sel_Region="All",C796=sel_Region),OR(sel_Country="All",D796=sel_Country),OR(sel_Customer="All",F796=sel_Customer),OR(sel_Category="All",G796=sel_Category),OR(sel_Product="All",H796=sel_Product),AND(S796&gt;=m_From,S796&lt;=m_To)),1,0)</f>
        <v/>
      </c>
      <c r="X796" s="36">
        <f>IF(AND(OR(sel_Region="All",C796=sel_Region),OR(sel_Country="All",D796=sel_Country),OR(sel_Channel="All",E796=sel_Channel),OR(sel_Category="All",G796=sel_Category),OR(sel_Product="All",H796=sel_Product),AND(S796&gt;=m_From,S796&lt;=m_To)),1,0)</f>
        <v/>
      </c>
      <c r="Y796" s="36">
        <f>IF(AND(OR(sel_Region="All",C796=sel_Region),OR(sel_Country="All",D796=sel_Country),OR(sel_Channel="All",E796=sel_Channel),OR(sel_Customer="All",F796=sel_Customer),OR(sel_Product="All",H796=sel_Product),AND(S796&gt;=m_From,S796&lt;=m_To)),1,0)</f>
        <v/>
      </c>
      <c r="Z796" s="36">
        <f>IF(AND(OR(sel_Region="All",C796=sel_Region),OR(sel_Country="All",D796=sel_Country),OR(sel_Channel="All",E796=sel_Channel),OR(sel_Customer="All",F796=sel_Customer),OR(sel_Category="All",G796=sel_Category),AND(S796&gt;=m_From,S796&lt;=m_To)),1,0)</f>
        <v/>
      </c>
      <c r="AA796" s="36">
        <f>IF(AND(OR(sel_Region="All",C796=sel_Region),OR(sel_Country="All",D796=sel_Country),OR(sel_Channel="All",E796=sel_Channel),OR(sel_Customer="All",F796=sel_Customer),OR(sel_Category="All",G796=sel_Category),OR(sel_Product="All",H796=sel_Product)),1,0)</f>
        <v/>
      </c>
    </row>
    <row r="797">
      <c r="A797" s="36" t="inlineStr">
        <is>
          <t>03570</t>
        </is>
      </c>
      <c r="B797" s="44" t="n">
        <v>46153</v>
      </c>
      <c r="C797" s="36" t="inlineStr">
        <is>
          <t>Central Europe</t>
        </is>
      </c>
      <c r="D797" s="36" t="inlineStr">
        <is>
          <t>Germany</t>
        </is>
      </c>
      <c r="E797" s="36" t="inlineStr">
        <is>
          <t>Online Store</t>
        </is>
      </c>
      <c r="F797" s="36" t="inlineStr">
        <is>
          <t>Business</t>
        </is>
      </c>
      <c r="G797" s="36" t="inlineStr">
        <is>
          <t>Travel</t>
        </is>
      </c>
      <c r="H797" s="36" t="inlineStr">
        <is>
          <t>Insulated Bottle</t>
        </is>
      </c>
      <c r="I797" s="36" t="n">
        <v>1</v>
      </c>
      <c r="J797" s="39" t="n">
        <v>36.16</v>
      </c>
      <c r="K797" s="45" t="n">
        <v>0.1</v>
      </c>
      <c r="L797" s="39" t="n">
        <v>13.38</v>
      </c>
      <c r="M797" s="39">
        <f>I797*J797*(1-K797)</f>
        <v/>
      </c>
      <c r="N797" s="39">
        <f>I797*L797</f>
        <v/>
      </c>
      <c r="O797" s="39">
        <f>M797-N797</f>
        <v/>
      </c>
      <c r="P797" s="38">
        <f>IF(M797=0,0,O797/M797)</f>
        <v/>
      </c>
      <c r="Q797" s="36">
        <f>YEAR(B797)</f>
        <v/>
      </c>
      <c r="R797" s="36">
        <f>"Q"&amp;ROUNDUP(MONTH(B797)/3,0)</f>
        <v/>
      </c>
      <c r="S797" s="36">
        <f>MONTH(B797)</f>
        <v/>
      </c>
      <c r="T797" s="36">
        <f>TEXT(B797,"mmm")</f>
        <v/>
      </c>
      <c r="U797" s="36">
        <f>IF(AND(OR(sel_Region="All",C797=sel_Region),OR(sel_Country="All",D797=sel_Country),OR(sel_Channel="All",E797=sel_Channel),OR(sel_Customer="All",F797=sel_Customer),OR(sel_Category="All",G797=sel_Category),OR(sel_Product="All",H797=sel_Product),AND(S797&gt;=m_From,S797&lt;=m_To)),1,0)</f>
        <v/>
      </c>
      <c r="V797" s="36">
        <f>IF(AND(OR(sel_Region="All",C797=sel_Region),OR(sel_Channel="All",E797=sel_Channel),OR(sel_Customer="All",F797=sel_Customer),OR(sel_Category="All",G797=sel_Category),OR(sel_Product="All",H797=sel_Product),AND(S797&gt;=m_From,S797&lt;=m_To)),1,0)</f>
        <v/>
      </c>
      <c r="W797" s="36">
        <f>IF(AND(OR(sel_Region="All",C797=sel_Region),OR(sel_Country="All",D797=sel_Country),OR(sel_Customer="All",F797=sel_Customer),OR(sel_Category="All",G797=sel_Category),OR(sel_Product="All",H797=sel_Product),AND(S797&gt;=m_From,S797&lt;=m_To)),1,0)</f>
        <v/>
      </c>
      <c r="X797" s="36">
        <f>IF(AND(OR(sel_Region="All",C797=sel_Region),OR(sel_Country="All",D797=sel_Country),OR(sel_Channel="All",E797=sel_Channel),OR(sel_Category="All",G797=sel_Category),OR(sel_Product="All",H797=sel_Product),AND(S797&gt;=m_From,S797&lt;=m_To)),1,0)</f>
        <v/>
      </c>
      <c r="Y797" s="36">
        <f>IF(AND(OR(sel_Region="All",C797=sel_Region),OR(sel_Country="All",D797=sel_Country),OR(sel_Channel="All",E797=sel_Channel),OR(sel_Customer="All",F797=sel_Customer),OR(sel_Product="All",H797=sel_Product),AND(S797&gt;=m_From,S797&lt;=m_To)),1,0)</f>
        <v/>
      </c>
      <c r="Z797" s="36">
        <f>IF(AND(OR(sel_Region="All",C797=sel_Region),OR(sel_Country="All",D797=sel_Country),OR(sel_Channel="All",E797=sel_Channel),OR(sel_Customer="All",F797=sel_Customer),OR(sel_Category="All",G797=sel_Category),AND(S797&gt;=m_From,S797&lt;=m_To)),1,0)</f>
        <v/>
      </c>
      <c r="AA797" s="36">
        <f>IF(AND(OR(sel_Region="All",C797=sel_Region),OR(sel_Country="All",D797=sel_Country),OR(sel_Channel="All",E797=sel_Channel),OR(sel_Customer="All",F797=sel_Customer),OR(sel_Category="All",G797=sel_Category),OR(sel_Product="All",H797=sel_Product)),1,0)</f>
        <v/>
      </c>
    </row>
    <row r="798">
      <c r="A798" s="36" t="inlineStr">
        <is>
          <t>04799</t>
        </is>
      </c>
      <c r="B798" s="44" t="n">
        <v>46153</v>
      </c>
      <c r="C798" s="36" t="inlineStr">
        <is>
          <t>Western Europe</t>
        </is>
      </c>
      <c r="D798" s="36" t="inlineStr">
        <is>
          <t>France</t>
        </is>
      </c>
      <c r="E798" s="36" t="inlineStr">
        <is>
          <t>Online Store</t>
        </is>
      </c>
      <c r="F798" s="36" t="inlineStr">
        <is>
          <t>Returning</t>
        </is>
      </c>
      <c r="G798" s="36" t="inlineStr">
        <is>
          <t>Camping</t>
        </is>
      </c>
      <c r="H798" s="36" t="inlineStr">
        <is>
          <t>Compact Sleeping Bag</t>
        </is>
      </c>
      <c r="I798" s="36" t="n">
        <v>1</v>
      </c>
      <c r="J798" s="39" t="n">
        <v>121.41</v>
      </c>
      <c r="K798" s="45" t="n">
        <v>0.05</v>
      </c>
      <c r="L798" s="39" t="n">
        <v>60.75</v>
      </c>
      <c r="M798" s="39">
        <f>I798*J798*(1-K798)</f>
        <v/>
      </c>
      <c r="N798" s="39">
        <f>I798*L798</f>
        <v/>
      </c>
      <c r="O798" s="39">
        <f>M798-N798</f>
        <v/>
      </c>
      <c r="P798" s="38">
        <f>IF(M798=0,0,O798/M798)</f>
        <v/>
      </c>
      <c r="Q798" s="36">
        <f>YEAR(B798)</f>
        <v/>
      </c>
      <c r="R798" s="36">
        <f>"Q"&amp;ROUNDUP(MONTH(B798)/3,0)</f>
        <v/>
      </c>
      <c r="S798" s="36">
        <f>MONTH(B798)</f>
        <v/>
      </c>
      <c r="T798" s="36">
        <f>TEXT(B798,"mmm")</f>
        <v/>
      </c>
      <c r="U798" s="36">
        <f>IF(AND(OR(sel_Region="All",C798=sel_Region),OR(sel_Country="All",D798=sel_Country),OR(sel_Channel="All",E798=sel_Channel),OR(sel_Customer="All",F798=sel_Customer),OR(sel_Category="All",G798=sel_Category),OR(sel_Product="All",H798=sel_Product),AND(S798&gt;=m_From,S798&lt;=m_To)),1,0)</f>
        <v/>
      </c>
      <c r="V798" s="36">
        <f>IF(AND(OR(sel_Region="All",C798=sel_Region),OR(sel_Channel="All",E798=sel_Channel),OR(sel_Customer="All",F798=sel_Customer),OR(sel_Category="All",G798=sel_Category),OR(sel_Product="All",H798=sel_Product),AND(S798&gt;=m_From,S798&lt;=m_To)),1,0)</f>
        <v/>
      </c>
      <c r="W798" s="36">
        <f>IF(AND(OR(sel_Region="All",C798=sel_Region),OR(sel_Country="All",D798=sel_Country),OR(sel_Customer="All",F798=sel_Customer),OR(sel_Category="All",G798=sel_Category),OR(sel_Product="All",H798=sel_Product),AND(S798&gt;=m_From,S798&lt;=m_To)),1,0)</f>
        <v/>
      </c>
      <c r="X798" s="36">
        <f>IF(AND(OR(sel_Region="All",C798=sel_Region),OR(sel_Country="All",D798=sel_Country),OR(sel_Channel="All",E798=sel_Channel),OR(sel_Category="All",G798=sel_Category),OR(sel_Product="All",H798=sel_Product),AND(S798&gt;=m_From,S798&lt;=m_To)),1,0)</f>
        <v/>
      </c>
      <c r="Y798" s="36">
        <f>IF(AND(OR(sel_Region="All",C798=sel_Region),OR(sel_Country="All",D798=sel_Country),OR(sel_Channel="All",E798=sel_Channel),OR(sel_Customer="All",F798=sel_Customer),OR(sel_Product="All",H798=sel_Product),AND(S798&gt;=m_From,S798&lt;=m_To)),1,0)</f>
        <v/>
      </c>
      <c r="Z798" s="36">
        <f>IF(AND(OR(sel_Region="All",C798=sel_Region),OR(sel_Country="All",D798=sel_Country),OR(sel_Channel="All",E798=sel_Channel),OR(sel_Customer="All",F798=sel_Customer),OR(sel_Category="All",G798=sel_Category),AND(S798&gt;=m_From,S798&lt;=m_To)),1,0)</f>
        <v/>
      </c>
      <c r="AA798" s="36">
        <f>IF(AND(OR(sel_Region="All",C798=sel_Region),OR(sel_Country="All",D798=sel_Country),OR(sel_Channel="All",E798=sel_Channel),OR(sel_Customer="All",F798=sel_Customer),OR(sel_Category="All",G798=sel_Category),OR(sel_Product="All",H798=sel_Product)),1,0)</f>
        <v/>
      </c>
    </row>
    <row r="799">
      <c r="A799" s="36" t="inlineStr">
        <is>
          <t>05156</t>
        </is>
      </c>
      <c r="B799" s="44" t="n">
        <v>46153</v>
      </c>
      <c r="C799" s="36" t="inlineStr">
        <is>
          <t>Southern Europe</t>
        </is>
      </c>
      <c r="D799" s="36" t="inlineStr">
        <is>
          <t>Spain</t>
        </is>
      </c>
      <c r="E799" s="36" t="inlineStr">
        <is>
          <t>Retail Partners</t>
        </is>
      </c>
      <c r="F799" s="36" t="inlineStr">
        <is>
          <t>New</t>
        </is>
      </c>
      <c r="G799" s="36" t="inlineStr">
        <is>
          <t>Travel</t>
        </is>
      </c>
      <c r="H799" s="36" t="inlineStr">
        <is>
          <t>Carry-On Duffel</t>
        </is>
      </c>
      <c r="I799" s="36" t="n">
        <v>3</v>
      </c>
      <c r="J799" s="39" t="n">
        <v>132.58</v>
      </c>
      <c r="K799" s="45" t="n">
        <v>0.1</v>
      </c>
      <c r="L799" s="39" t="n">
        <v>67.88</v>
      </c>
      <c r="M799" s="39">
        <f>I799*J799*(1-K799)</f>
        <v/>
      </c>
      <c r="N799" s="39">
        <f>I799*L799</f>
        <v/>
      </c>
      <c r="O799" s="39">
        <f>M799-N799</f>
        <v/>
      </c>
      <c r="P799" s="38">
        <f>IF(M799=0,0,O799/M799)</f>
        <v/>
      </c>
      <c r="Q799" s="36">
        <f>YEAR(B799)</f>
        <v/>
      </c>
      <c r="R799" s="36">
        <f>"Q"&amp;ROUNDUP(MONTH(B799)/3,0)</f>
        <v/>
      </c>
      <c r="S799" s="36">
        <f>MONTH(B799)</f>
        <v/>
      </c>
      <c r="T799" s="36">
        <f>TEXT(B799,"mmm")</f>
        <v/>
      </c>
      <c r="U799" s="36">
        <f>IF(AND(OR(sel_Region="All",C799=sel_Region),OR(sel_Country="All",D799=sel_Country),OR(sel_Channel="All",E799=sel_Channel),OR(sel_Customer="All",F799=sel_Customer),OR(sel_Category="All",G799=sel_Category),OR(sel_Product="All",H799=sel_Product),AND(S799&gt;=m_From,S799&lt;=m_To)),1,0)</f>
        <v/>
      </c>
      <c r="V799" s="36">
        <f>IF(AND(OR(sel_Region="All",C799=sel_Region),OR(sel_Channel="All",E799=sel_Channel),OR(sel_Customer="All",F799=sel_Customer),OR(sel_Category="All",G799=sel_Category),OR(sel_Product="All",H799=sel_Product),AND(S799&gt;=m_From,S799&lt;=m_To)),1,0)</f>
        <v/>
      </c>
      <c r="W799" s="36">
        <f>IF(AND(OR(sel_Region="All",C799=sel_Region),OR(sel_Country="All",D799=sel_Country),OR(sel_Customer="All",F799=sel_Customer),OR(sel_Category="All",G799=sel_Category),OR(sel_Product="All",H799=sel_Product),AND(S799&gt;=m_From,S799&lt;=m_To)),1,0)</f>
        <v/>
      </c>
      <c r="X799" s="36">
        <f>IF(AND(OR(sel_Region="All",C799=sel_Region),OR(sel_Country="All",D799=sel_Country),OR(sel_Channel="All",E799=sel_Channel),OR(sel_Category="All",G799=sel_Category),OR(sel_Product="All",H799=sel_Product),AND(S799&gt;=m_From,S799&lt;=m_To)),1,0)</f>
        <v/>
      </c>
      <c r="Y799" s="36">
        <f>IF(AND(OR(sel_Region="All",C799=sel_Region),OR(sel_Country="All",D799=sel_Country),OR(sel_Channel="All",E799=sel_Channel),OR(sel_Customer="All",F799=sel_Customer),OR(sel_Product="All",H799=sel_Product),AND(S799&gt;=m_From,S799&lt;=m_To)),1,0)</f>
        <v/>
      </c>
      <c r="Z799" s="36">
        <f>IF(AND(OR(sel_Region="All",C799=sel_Region),OR(sel_Country="All",D799=sel_Country),OR(sel_Channel="All",E799=sel_Channel),OR(sel_Customer="All",F799=sel_Customer),OR(sel_Category="All",G799=sel_Category),AND(S799&gt;=m_From,S799&lt;=m_To)),1,0)</f>
        <v/>
      </c>
      <c r="AA799" s="36">
        <f>IF(AND(OR(sel_Region="All",C799=sel_Region),OR(sel_Country="All",D799=sel_Country),OR(sel_Channel="All",E799=sel_Channel),OR(sel_Customer="All",F799=sel_Customer),OR(sel_Category="All",G799=sel_Category),OR(sel_Product="All",H799=sel_Product)),1,0)</f>
        <v/>
      </c>
    </row>
    <row r="800">
      <c r="A800" s="36" t="inlineStr">
        <is>
          <t>00526</t>
        </is>
      </c>
      <c r="B800" s="44" t="n">
        <v>46154</v>
      </c>
      <c r="C800" s="36" t="inlineStr">
        <is>
          <t>Central Europe</t>
        </is>
      </c>
      <c r="D800" s="36" t="inlineStr">
        <is>
          <t>Czechia</t>
        </is>
      </c>
      <c r="E800" s="36" t="inlineStr">
        <is>
          <t>Retail Partners</t>
        </is>
      </c>
      <c r="F800" s="36" t="inlineStr">
        <is>
          <t>Returning</t>
        </is>
      </c>
      <c r="G800" s="36" t="inlineStr">
        <is>
          <t>Camping</t>
        </is>
      </c>
      <c r="H800" s="36" t="inlineStr">
        <is>
          <t>Portable Camp Stove</t>
        </is>
      </c>
      <c r="I800" s="36" t="n">
        <v>2</v>
      </c>
      <c r="J800" s="39" t="n">
        <v>81.11</v>
      </c>
      <c r="K800" s="45" t="n">
        <v>0.05</v>
      </c>
      <c r="L800" s="39" t="n">
        <v>40.05</v>
      </c>
      <c r="M800" s="39">
        <f>I800*J800*(1-K800)</f>
        <v/>
      </c>
      <c r="N800" s="39">
        <f>I800*L800</f>
        <v/>
      </c>
      <c r="O800" s="39">
        <f>M800-N800</f>
        <v/>
      </c>
      <c r="P800" s="38">
        <f>IF(M800=0,0,O800/M800)</f>
        <v/>
      </c>
      <c r="Q800" s="36">
        <f>YEAR(B800)</f>
        <v/>
      </c>
      <c r="R800" s="36">
        <f>"Q"&amp;ROUNDUP(MONTH(B800)/3,0)</f>
        <v/>
      </c>
      <c r="S800" s="36">
        <f>MONTH(B800)</f>
        <v/>
      </c>
      <c r="T800" s="36">
        <f>TEXT(B800,"mmm")</f>
        <v/>
      </c>
      <c r="U800" s="36">
        <f>IF(AND(OR(sel_Region="All",C800=sel_Region),OR(sel_Country="All",D800=sel_Country),OR(sel_Channel="All",E800=sel_Channel),OR(sel_Customer="All",F800=sel_Customer),OR(sel_Category="All",G800=sel_Category),OR(sel_Product="All",H800=sel_Product),AND(S800&gt;=m_From,S800&lt;=m_To)),1,0)</f>
        <v/>
      </c>
      <c r="V800" s="36">
        <f>IF(AND(OR(sel_Region="All",C800=sel_Region),OR(sel_Channel="All",E800=sel_Channel),OR(sel_Customer="All",F800=sel_Customer),OR(sel_Category="All",G800=sel_Category),OR(sel_Product="All",H800=sel_Product),AND(S800&gt;=m_From,S800&lt;=m_To)),1,0)</f>
        <v/>
      </c>
      <c r="W800" s="36">
        <f>IF(AND(OR(sel_Region="All",C800=sel_Region),OR(sel_Country="All",D800=sel_Country),OR(sel_Customer="All",F800=sel_Customer),OR(sel_Category="All",G800=sel_Category),OR(sel_Product="All",H800=sel_Product),AND(S800&gt;=m_From,S800&lt;=m_To)),1,0)</f>
        <v/>
      </c>
      <c r="X800" s="36">
        <f>IF(AND(OR(sel_Region="All",C800=sel_Region),OR(sel_Country="All",D800=sel_Country),OR(sel_Channel="All",E800=sel_Channel),OR(sel_Category="All",G800=sel_Category),OR(sel_Product="All",H800=sel_Product),AND(S800&gt;=m_From,S800&lt;=m_To)),1,0)</f>
        <v/>
      </c>
      <c r="Y800" s="36">
        <f>IF(AND(OR(sel_Region="All",C800=sel_Region),OR(sel_Country="All",D800=sel_Country),OR(sel_Channel="All",E800=sel_Channel),OR(sel_Customer="All",F800=sel_Customer),OR(sel_Product="All",H800=sel_Product),AND(S800&gt;=m_From,S800&lt;=m_To)),1,0)</f>
        <v/>
      </c>
      <c r="Z800" s="36">
        <f>IF(AND(OR(sel_Region="All",C800=sel_Region),OR(sel_Country="All",D800=sel_Country),OR(sel_Channel="All",E800=sel_Channel),OR(sel_Customer="All",F800=sel_Customer),OR(sel_Category="All",G800=sel_Category),AND(S800&gt;=m_From,S800&lt;=m_To)),1,0)</f>
        <v/>
      </c>
      <c r="AA800" s="36">
        <f>IF(AND(OR(sel_Region="All",C800=sel_Region),OR(sel_Country="All",D800=sel_Country),OR(sel_Channel="All",E800=sel_Channel),OR(sel_Customer="All",F800=sel_Customer),OR(sel_Category="All",G800=sel_Category),OR(sel_Product="All",H800=sel_Product)),1,0)</f>
        <v/>
      </c>
    </row>
    <row r="801">
      <c r="A801" s="36" t="inlineStr">
        <is>
          <t>00712</t>
        </is>
      </c>
      <c r="B801" s="44" t="n">
        <v>46154</v>
      </c>
      <c r="C801" s="36" t="inlineStr">
        <is>
          <t>Central Europe</t>
        </is>
      </c>
      <c r="D801" s="36" t="inlineStr">
        <is>
          <t>Poland</t>
        </is>
      </c>
      <c r="E801" s="36" t="inlineStr">
        <is>
          <t>Marketplace</t>
        </is>
      </c>
      <c r="F801" s="36" t="inlineStr">
        <is>
          <t>Business</t>
        </is>
      </c>
      <c r="G801" s="36" t="inlineStr">
        <is>
          <t>Cycling</t>
        </is>
      </c>
      <c r="H801" s="36" t="inlineStr">
        <is>
          <t>Cycling Pack 12L</t>
        </is>
      </c>
      <c r="I801" s="36" t="n">
        <v>3</v>
      </c>
      <c r="J801" s="39" t="n">
        <v>104.54</v>
      </c>
      <c r="K801" s="45" t="n">
        <v>0</v>
      </c>
      <c r="L801" s="39" t="n">
        <v>51.45</v>
      </c>
      <c r="M801" s="39">
        <f>I801*J801*(1-K801)</f>
        <v/>
      </c>
      <c r="N801" s="39">
        <f>I801*L801</f>
        <v/>
      </c>
      <c r="O801" s="39">
        <f>M801-N801</f>
        <v/>
      </c>
      <c r="P801" s="38">
        <f>IF(M801=0,0,O801/M801)</f>
        <v/>
      </c>
      <c r="Q801" s="36">
        <f>YEAR(B801)</f>
        <v/>
      </c>
      <c r="R801" s="36">
        <f>"Q"&amp;ROUNDUP(MONTH(B801)/3,0)</f>
        <v/>
      </c>
      <c r="S801" s="36">
        <f>MONTH(B801)</f>
        <v/>
      </c>
      <c r="T801" s="36">
        <f>TEXT(B801,"mmm")</f>
        <v/>
      </c>
      <c r="U801" s="36">
        <f>IF(AND(OR(sel_Region="All",C801=sel_Region),OR(sel_Country="All",D801=sel_Country),OR(sel_Channel="All",E801=sel_Channel),OR(sel_Customer="All",F801=sel_Customer),OR(sel_Category="All",G801=sel_Category),OR(sel_Product="All",H801=sel_Product),AND(S801&gt;=m_From,S801&lt;=m_To)),1,0)</f>
        <v/>
      </c>
      <c r="V801" s="36">
        <f>IF(AND(OR(sel_Region="All",C801=sel_Region),OR(sel_Channel="All",E801=sel_Channel),OR(sel_Customer="All",F801=sel_Customer),OR(sel_Category="All",G801=sel_Category),OR(sel_Product="All",H801=sel_Product),AND(S801&gt;=m_From,S801&lt;=m_To)),1,0)</f>
        <v/>
      </c>
      <c r="W801" s="36">
        <f>IF(AND(OR(sel_Region="All",C801=sel_Region),OR(sel_Country="All",D801=sel_Country),OR(sel_Customer="All",F801=sel_Customer),OR(sel_Category="All",G801=sel_Category),OR(sel_Product="All",H801=sel_Product),AND(S801&gt;=m_From,S801&lt;=m_To)),1,0)</f>
        <v/>
      </c>
      <c r="X801" s="36">
        <f>IF(AND(OR(sel_Region="All",C801=sel_Region),OR(sel_Country="All",D801=sel_Country),OR(sel_Channel="All",E801=sel_Channel),OR(sel_Category="All",G801=sel_Category),OR(sel_Product="All",H801=sel_Product),AND(S801&gt;=m_From,S801&lt;=m_To)),1,0)</f>
        <v/>
      </c>
      <c r="Y801" s="36">
        <f>IF(AND(OR(sel_Region="All",C801=sel_Region),OR(sel_Country="All",D801=sel_Country),OR(sel_Channel="All",E801=sel_Channel),OR(sel_Customer="All",F801=sel_Customer),OR(sel_Product="All",H801=sel_Product),AND(S801&gt;=m_From,S801&lt;=m_To)),1,0)</f>
        <v/>
      </c>
      <c r="Z801" s="36">
        <f>IF(AND(OR(sel_Region="All",C801=sel_Region),OR(sel_Country="All",D801=sel_Country),OR(sel_Channel="All",E801=sel_Channel),OR(sel_Customer="All",F801=sel_Customer),OR(sel_Category="All",G801=sel_Category),AND(S801&gt;=m_From,S801&lt;=m_To)),1,0)</f>
        <v/>
      </c>
      <c r="AA801" s="36">
        <f>IF(AND(OR(sel_Region="All",C801=sel_Region),OR(sel_Country="All",D801=sel_Country),OR(sel_Channel="All",E801=sel_Channel),OR(sel_Customer="All",F801=sel_Customer),OR(sel_Category="All",G801=sel_Category),OR(sel_Product="All",H801=sel_Product)),1,0)</f>
        <v/>
      </c>
    </row>
    <row r="802">
      <c r="A802" s="36" t="inlineStr">
        <is>
          <t>01533</t>
        </is>
      </c>
      <c r="B802" s="44" t="n">
        <v>46154</v>
      </c>
      <c r="C802" s="36" t="inlineStr">
        <is>
          <t>Northern Europe</t>
        </is>
      </c>
      <c r="D802" s="36" t="inlineStr">
        <is>
          <t>Norway</t>
        </is>
      </c>
      <c r="E802" s="36" t="inlineStr">
        <is>
          <t>Retail Partners</t>
        </is>
      </c>
      <c r="F802" s="36" t="inlineStr">
        <is>
          <t>New</t>
        </is>
      </c>
      <c r="G802" s="36" t="inlineStr">
        <is>
          <t>Hiking</t>
        </is>
      </c>
      <c r="H802" s="36" t="inlineStr">
        <is>
          <t>Trail Boots</t>
        </is>
      </c>
      <c r="I802" s="36" t="n">
        <v>3</v>
      </c>
      <c r="J802" s="39" t="n">
        <v>143.87</v>
      </c>
      <c r="K802" s="45" t="n">
        <v>0</v>
      </c>
      <c r="L802" s="39" t="n">
        <v>79.2</v>
      </c>
      <c r="M802" s="39">
        <f>I802*J802*(1-K802)</f>
        <v/>
      </c>
      <c r="N802" s="39">
        <f>I802*L802</f>
        <v/>
      </c>
      <c r="O802" s="39">
        <f>M802-N802</f>
        <v/>
      </c>
      <c r="P802" s="38">
        <f>IF(M802=0,0,O802/M802)</f>
        <v/>
      </c>
      <c r="Q802" s="36">
        <f>YEAR(B802)</f>
        <v/>
      </c>
      <c r="R802" s="36">
        <f>"Q"&amp;ROUNDUP(MONTH(B802)/3,0)</f>
        <v/>
      </c>
      <c r="S802" s="36">
        <f>MONTH(B802)</f>
        <v/>
      </c>
      <c r="T802" s="36">
        <f>TEXT(B802,"mmm")</f>
        <v/>
      </c>
      <c r="U802" s="36">
        <f>IF(AND(OR(sel_Region="All",C802=sel_Region),OR(sel_Country="All",D802=sel_Country),OR(sel_Channel="All",E802=sel_Channel),OR(sel_Customer="All",F802=sel_Customer),OR(sel_Category="All",G802=sel_Category),OR(sel_Product="All",H802=sel_Product),AND(S802&gt;=m_From,S802&lt;=m_To)),1,0)</f>
        <v/>
      </c>
      <c r="V802" s="36">
        <f>IF(AND(OR(sel_Region="All",C802=sel_Region),OR(sel_Channel="All",E802=sel_Channel),OR(sel_Customer="All",F802=sel_Customer),OR(sel_Category="All",G802=sel_Category),OR(sel_Product="All",H802=sel_Product),AND(S802&gt;=m_From,S802&lt;=m_To)),1,0)</f>
        <v/>
      </c>
      <c r="W802" s="36">
        <f>IF(AND(OR(sel_Region="All",C802=sel_Region),OR(sel_Country="All",D802=sel_Country),OR(sel_Customer="All",F802=sel_Customer),OR(sel_Category="All",G802=sel_Category),OR(sel_Product="All",H802=sel_Product),AND(S802&gt;=m_From,S802&lt;=m_To)),1,0)</f>
        <v/>
      </c>
      <c r="X802" s="36">
        <f>IF(AND(OR(sel_Region="All",C802=sel_Region),OR(sel_Country="All",D802=sel_Country),OR(sel_Channel="All",E802=sel_Channel),OR(sel_Category="All",G802=sel_Category),OR(sel_Product="All",H802=sel_Product),AND(S802&gt;=m_From,S802&lt;=m_To)),1,0)</f>
        <v/>
      </c>
      <c r="Y802" s="36">
        <f>IF(AND(OR(sel_Region="All",C802=sel_Region),OR(sel_Country="All",D802=sel_Country),OR(sel_Channel="All",E802=sel_Channel),OR(sel_Customer="All",F802=sel_Customer),OR(sel_Product="All",H802=sel_Product),AND(S802&gt;=m_From,S802&lt;=m_To)),1,0)</f>
        <v/>
      </c>
      <c r="Z802" s="36">
        <f>IF(AND(OR(sel_Region="All",C802=sel_Region),OR(sel_Country="All",D802=sel_Country),OR(sel_Channel="All",E802=sel_Channel),OR(sel_Customer="All",F802=sel_Customer),OR(sel_Category="All",G802=sel_Category),AND(S802&gt;=m_From,S802&lt;=m_To)),1,0)</f>
        <v/>
      </c>
      <c r="AA802" s="36">
        <f>IF(AND(OR(sel_Region="All",C802=sel_Region),OR(sel_Country="All",D802=sel_Country),OR(sel_Channel="All",E802=sel_Channel),OR(sel_Customer="All",F802=sel_Customer),OR(sel_Category="All",G802=sel_Category),OR(sel_Product="All",H802=sel_Product)),1,0)</f>
        <v/>
      </c>
    </row>
    <row r="803">
      <c r="A803" s="36" t="inlineStr">
        <is>
          <t>01933</t>
        </is>
      </c>
      <c r="B803" s="44" t="n">
        <v>46154</v>
      </c>
      <c r="C803" s="36" t="inlineStr">
        <is>
          <t>Western Europe</t>
        </is>
      </c>
      <c r="D803" s="36" t="inlineStr">
        <is>
          <t>France</t>
        </is>
      </c>
      <c r="E803" s="36" t="inlineStr">
        <is>
          <t>Online Store</t>
        </is>
      </c>
      <c r="F803" s="36" t="inlineStr">
        <is>
          <t>Returning</t>
        </is>
      </c>
      <c r="G803" s="36" t="inlineStr">
        <is>
          <t>Travel</t>
        </is>
      </c>
      <c r="H803" s="36" t="inlineStr">
        <is>
          <t>Insulated Bottle</t>
        </is>
      </c>
      <c r="I803" s="36" t="n">
        <v>1</v>
      </c>
      <c r="J803" s="39" t="n">
        <v>36.95</v>
      </c>
      <c r="K803" s="45" t="n">
        <v>0.1</v>
      </c>
      <c r="L803" s="39" t="n">
        <v>13.26</v>
      </c>
      <c r="M803" s="39">
        <f>I803*J803*(1-K803)</f>
        <v/>
      </c>
      <c r="N803" s="39">
        <f>I803*L803</f>
        <v/>
      </c>
      <c r="O803" s="39">
        <f>M803-N803</f>
        <v/>
      </c>
      <c r="P803" s="38">
        <f>IF(M803=0,0,O803/M803)</f>
        <v/>
      </c>
      <c r="Q803" s="36">
        <f>YEAR(B803)</f>
        <v/>
      </c>
      <c r="R803" s="36">
        <f>"Q"&amp;ROUNDUP(MONTH(B803)/3,0)</f>
        <v/>
      </c>
      <c r="S803" s="36">
        <f>MONTH(B803)</f>
        <v/>
      </c>
      <c r="T803" s="36">
        <f>TEXT(B803,"mmm")</f>
        <v/>
      </c>
      <c r="U803" s="36">
        <f>IF(AND(OR(sel_Region="All",C803=sel_Region),OR(sel_Country="All",D803=sel_Country),OR(sel_Channel="All",E803=sel_Channel),OR(sel_Customer="All",F803=sel_Customer),OR(sel_Category="All",G803=sel_Category),OR(sel_Product="All",H803=sel_Product),AND(S803&gt;=m_From,S803&lt;=m_To)),1,0)</f>
        <v/>
      </c>
      <c r="V803" s="36">
        <f>IF(AND(OR(sel_Region="All",C803=sel_Region),OR(sel_Channel="All",E803=sel_Channel),OR(sel_Customer="All",F803=sel_Customer),OR(sel_Category="All",G803=sel_Category),OR(sel_Product="All",H803=sel_Product),AND(S803&gt;=m_From,S803&lt;=m_To)),1,0)</f>
        <v/>
      </c>
      <c r="W803" s="36">
        <f>IF(AND(OR(sel_Region="All",C803=sel_Region),OR(sel_Country="All",D803=sel_Country),OR(sel_Customer="All",F803=sel_Customer),OR(sel_Category="All",G803=sel_Category),OR(sel_Product="All",H803=sel_Product),AND(S803&gt;=m_From,S803&lt;=m_To)),1,0)</f>
        <v/>
      </c>
      <c r="X803" s="36">
        <f>IF(AND(OR(sel_Region="All",C803=sel_Region),OR(sel_Country="All",D803=sel_Country),OR(sel_Channel="All",E803=sel_Channel),OR(sel_Category="All",G803=sel_Category),OR(sel_Product="All",H803=sel_Product),AND(S803&gt;=m_From,S803&lt;=m_To)),1,0)</f>
        <v/>
      </c>
      <c r="Y803" s="36">
        <f>IF(AND(OR(sel_Region="All",C803=sel_Region),OR(sel_Country="All",D803=sel_Country),OR(sel_Channel="All",E803=sel_Channel),OR(sel_Customer="All",F803=sel_Customer),OR(sel_Product="All",H803=sel_Product),AND(S803&gt;=m_From,S803&lt;=m_To)),1,0)</f>
        <v/>
      </c>
      <c r="Z803" s="36">
        <f>IF(AND(OR(sel_Region="All",C803=sel_Region),OR(sel_Country="All",D803=sel_Country),OR(sel_Channel="All",E803=sel_Channel),OR(sel_Customer="All",F803=sel_Customer),OR(sel_Category="All",G803=sel_Category),AND(S803&gt;=m_From,S803&lt;=m_To)),1,0)</f>
        <v/>
      </c>
      <c r="AA803" s="36">
        <f>IF(AND(OR(sel_Region="All",C803=sel_Region),OR(sel_Country="All",D803=sel_Country),OR(sel_Channel="All",E803=sel_Channel),OR(sel_Customer="All",F803=sel_Customer),OR(sel_Category="All",G803=sel_Category),OR(sel_Product="All",H803=sel_Product)),1,0)</f>
        <v/>
      </c>
    </row>
    <row r="804">
      <c r="A804" s="36" t="inlineStr">
        <is>
          <t>03128</t>
        </is>
      </c>
      <c r="B804" s="44" t="n">
        <v>46154</v>
      </c>
      <c r="C804" s="36" t="inlineStr">
        <is>
          <t>Northern Europe</t>
        </is>
      </c>
      <c r="D804" s="36" t="inlineStr">
        <is>
          <t>Denmark</t>
        </is>
      </c>
      <c r="E804" s="36" t="inlineStr">
        <is>
          <t>Online Store</t>
        </is>
      </c>
      <c r="F804" s="36" t="inlineStr">
        <is>
          <t>New</t>
        </is>
      </c>
      <c r="G804" s="36" t="inlineStr">
        <is>
          <t>Camping</t>
        </is>
      </c>
      <c r="H804" s="36" t="inlineStr">
        <is>
          <t>Compact Sleeping Bag</t>
        </is>
      </c>
      <c r="I804" s="36" t="n">
        <v>1</v>
      </c>
      <c r="J804" s="39" t="n">
        <v>121.38</v>
      </c>
      <c r="K804" s="45" t="n">
        <v>0</v>
      </c>
      <c r="L804" s="39" t="n">
        <v>59.68</v>
      </c>
      <c r="M804" s="39">
        <f>I804*J804*(1-K804)</f>
        <v/>
      </c>
      <c r="N804" s="39">
        <f>I804*L804</f>
        <v/>
      </c>
      <c r="O804" s="39">
        <f>M804-N804</f>
        <v/>
      </c>
      <c r="P804" s="38">
        <f>IF(M804=0,0,O804/M804)</f>
        <v/>
      </c>
      <c r="Q804" s="36">
        <f>YEAR(B804)</f>
        <v/>
      </c>
      <c r="R804" s="36">
        <f>"Q"&amp;ROUNDUP(MONTH(B804)/3,0)</f>
        <v/>
      </c>
      <c r="S804" s="36">
        <f>MONTH(B804)</f>
        <v/>
      </c>
      <c r="T804" s="36">
        <f>TEXT(B804,"mmm")</f>
        <v/>
      </c>
      <c r="U804" s="36">
        <f>IF(AND(OR(sel_Region="All",C804=sel_Region),OR(sel_Country="All",D804=sel_Country),OR(sel_Channel="All",E804=sel_Channel),OR(sel_Customer="All",F804=sel_Customer),OR(sel_Category="All",G804=sel_Category),OR(sel_Product="All",H804=sel_Product),AND(S804&gt;=m_From,S804&lt;=m_To)),1,0)</f>
        <v/>
      </c>
      <c r="V804" s="36">
        <f>IF(AND(OR(sel_Region="All",C804=sel_Region),OR(sel_Channel="All",E804=sel_Channel),OR(sel_Customer="All",F804=sel_Customer),OR(sel_Category="All",G804=sel_Category),OR(sel_Product="All",H804=sel_Product),AND(S804&gt;=m_From,S804&lt;=m_To)),1,0)</f>
        <v/>
      </c>
      <c r="W804" s="36">
        <f>IF(AND(OR(sel_Region="All",C804=sel_Region),OR(sel_Country="All",D804=sel_Country),OR(sel_Customer="All",F804=sel_Customer),OR(sel_Category="All",G804=sel_Category),OR(sel_Product="All",H804=sel_Product),AND(S804&gt;=m_From,S804&lt;=m_To)),1,0)</f>
        <v/>
      </c>
      <c r="X804" s="36">
        <f>IF(AND(OR(sel_Region="All",C804=sel_Region),OR(sel_Country="All",D804=sel_Country),OR(sel_Channel="All",E804=sel_Channel),OR(sel_Category="All",G804=sel_Category),OR(sel_Product="All",H804=sel_Product),AND(S804&gt;=m_From,S804&lt;=m_To)),1,0)</f>
        <v/>
      </c>
      <c r="Y804" s="36">
        <f>IF(AND(OR(sel_Region="All",C804=sel_Region),OR(sel_Country="All",D804=sel_Country),OR(sel_Channel="All",E804=sel_Channel),OR(sel_Customer="All",F804=sel_Customer),OR(sel_Product="All",H804=sel_Product),AND(S804&gt;=m_From,S804&lt;=m_To)),1,0)</f>
        <v/>
      </c>
      <c r="Z804" s="36">
        <f>IF(AND(OR(sel_Region="All",C804=sel_Region),OR(sel_Country="All",D804=sel_Country),OR(sel_Channel="All",E804=sel_Channel),OR(sel_Customer="All",F804=sel_Customer),OR(sel_Category="All",G804=sel_Category),AND(S804&gt;=m_From,S804&lt;=m_To)),1,0)</f>
        <v/>
      </c>
      <c r="AA804" s="36">
        <f>IF(AND(OR(sel_Region="All",C804=sel_Region),OR(sel_Country="All",D804=sel_Country),OR(sel_Channel="All",E804=sel_Channel),OR(sel_Customer="All",F804=sel_Customer),OR(sel_Category="All",G804=sel_Category),OR(sel_Product="All",H804=sel_Product)),1,0)</f>
        <v/>
      </c>
    </row>
    <row r="805">
      <c r="A805" s="36" t="inlineStr">
        <is>
          <t>04922</t>
        </is>
      </c>
      <c r="B805" s="44" t="n">
        <v>46154</v>
      </c>
      <c r="C805" s="36" t="inlineStr">
        <is>
          <t>Western Europe</t>
        </is>
      </c>
      <c r="D805" s="36" t="inlineStr">
        <is>
          <t>United Kingdom</t>
        </is>
      </c>
      <c r="E805" s="36" t="inlineStr">
        <is>
          <t>Online Store</t>
        </is>
      </c>
      <c r="F805" s="36" t="inlineStr">
        <is>
          <t>Returning</t>
        </is>
      </c>
      <c r="G805" s="36" t="inlineStr">
        <is>
          <t>Fitness</t>
        </is>
      </c>
      <c r="H805" s="36" t="inlineStr">
        <is>
          <t>Resistance Band Set</t>
        </is>
      </c>
      <c r="I805" s="36" t="n">
        <v>2</v>
      </c>
      <c r="J805" s="39" t="n">
        <v>39.79</v>
      </c>
      <c r="K805" s="45" t="n">
        <v>0.1</v>
      </c>
      <c r="L805" s="39" t="n">
        <v>14.33</v>
      </c>
      <c r="M805" s="39">
        <f>I805*J805*(1-K805)</f>
        <v/>
      </c>
      <c r="N805" s="39">
        <f>I805*L805</f>
        <v/>
      </c>
      <c r="O805" s="39">
        <f>M805-N805</f>
        <v/>
      </c>
      <c r="P805" s="38">
        <f>IF(M805=0,0,O805/M805)</f>
        <v/>
      </c>
      <c r="Q805" s="36">
        <f>YEAR(B805)</f>
        <v/>
      </c>
      <c r="R805" s="36">
        <f>"Q"&amp;ROUNDUP(MONTH(B805)/3,0)</f>
        <v/>
      </c>
      <c r="S805" s="36">
        <f>MONTH(B805)</f>
        <v/>
      </c>
      <c r="T805" s="36">
        <f>TEXT(B805,"mmm")</f>
        <v/>
      </c>
      <c r="U805" s="36">
        <f>IF(AND(OR(sel_Region="All",C805=sel_Region),OR(sel_Country="All",D805=sel_Country),OR(sel_Channel="All",E805=sel_Channel),OR(sel_Customer="All",F805=sel_Customer),OR(sel_Category="All",G805=sel_Category),OR(sel_Product="All",H805=sel_Product),AND(S805&gt;=m_From,S805&lt;=m_To)),1,0)</f>
        <v/>
      </c>
      <c r="V805" s="36">
        <f>IF(AND(OR(sel_Region="All",C805=sel_Region),OR(sel_Channel="All",E805=sel_Channel),OR(sel_Customer="All",F805=sel_Customer),OR(sel_Category="All",G805=sel_Category),OR(sel_Product="All",H805=sel_Product),AND(S805&gt;=m_From,S805&lt;=m_To)),1,0)</f>
        <v/>
      </c>
      <c r="W805" s="36">
        <f>IF(AND(OR(sel_Region="All",C805=sel_Region),OR(sel_Country="All",D805=sel_Country),OR(sel_Customer="All",F805=sel_Customer),OR(sel_Category="All",G805=sel_Category),OR(sel_Product="All",H805=sel_Product),AND(S805&gt;=m_From,S805&lt;=m_To)),1,0)</f>
        <v/>
      </c>
      <c r="X805" s="36">
        <f>IF(AND(OR(sel_Region="All",C805=sel_Region),OR(sel_Country="All",D805=sel_Country),OR(sel_Channel="All",E805=sel_Channel),OR(sel_Category="All",G805=sel_Category),OR(sel_Product="All",H805=sel_Product),AND(S805&gt;=m_From,S805&lt;=m_To)),1,0)</f>
        <v/>
      </c>
      <c r="Y805" s="36">
        <f>IF(AND(OR(sel_Region="All",C805=sel_Region),OR(sel_Country="All",D805=sel_Country),OR(sel_Channel="All",E805=sel_Channel),OR(sel_Customer="All",F805=sel_Customer),OR(sel_Product="All",H805=sel_Product),AND(S805&gt;=m_From,S805&lt;=m_To)),1,0)</f>
        <v/>
      </c>
      <c r="Z805" s="36">
        <f>IF(AND(OR(sel_Region="All",C805=sel_Region),OR(sel_Country="All",D805=sel_Country),OR(sel_Channel="All",E805=sel_Channel),OR(sel_Customer="All",F805=sel_Customer),OR(sel_Category="All",G805=sel_Category),AND(S805&gt;=m_From,S805&lt;=m_To)),1,0)</f>
        <v/>
      </c>
      <c r="AA805" s="36">
        <f>IF(AND(OR(sel_Region="All",C805=sel_Region),OR(sel_Country="All",D805=sel_Country),OR(sel_Channel="All",E805=sel_Channel),OR(sel_Customer="All",F805=sel_Customer),OR(sel_Category="All",G805=sel_Category),OR(sel_Product="All",H805=sel_Product)),1,0)</f>
        <v/>
      </c>
    </row>
    <row r="806">
      <c r="A806" s="36" t="inlineStr">
        <is>
          <t>05051</t>
        </is>
      </c>
      <c r="B806" s="44" t="n">
        <v>46154</v>
      </c>
      <c r="C806" s="36" t="inlineStr">
        <is>
          <t>Southern Europe</t>
        </is>
      </c>
      <c r="D806" s="36" t="inlineStr">
        <is>
          <t>Italy</t>
        </is>
      </c>
      <c r="E806" s="36" t="inlineStr">
        <is>
          <t>Retail Partners</t>
        </is>
      </c>
      <c r="F806" s="36" t="inlineStr">
        <is>
          <t>Returning</t>
        </is>
      </c>
      <c r="G806" s="36" t="inlineStr">
        <is>
          <t>Cycling</t>
        </is>
      </c>
      <c r="H806" s="36" t="inlineStr">
        <is>
          <t>Trail Bike Light</t>
        </is>
      </c>
      <c r="I806" s="36" t="n">
        <v>4</v>
      </c>
      <c r="J806" s="39" t="n">
        <v>51.31</v>
      </c>
      <c r="K806" s="45" t="n">
        <v>0</v>
      </c>
      <c r="L806" s="39" t="n">
        <v>22.19</v>
      </c>
      <c r="M806" s="39">
        <f>I806*J806*(1-K806)</f>
        <v/>
      </c>
      <c r="N806" s="39">
        <f>I806*L806</f>
        <v/>
      </c>
      <c r="O806" s="39">
        <f>M806-N806</f>
        <v/>
      </c>
      <c r="P806" s="38">
        <f>IF(M806=0,0,O806/M806)</f>
        <v/>
      </c>
      <c r="Q806" s="36">
        <f>YEAR(B806)</f>
        <v/>
      </c>
      <c r="R806" s="36">
        <f>"Q"&amp;ROUNDUP(MONTH(B806)/3,0)</f>
        <v/>
      </c>
      <c r="S806" s="36">
        <f>MONTH(B806)</f>
        <v/>
      </c>
      <c r="T806" s="36">
        <f>TEXT(B806,"mmm")</f>
        <v/>
      </c>
      <c r="U806" s="36">
        <f>IF(AND(OR(sel_Region="All",C806=sel_Region),OR(sel_Country="All",D806=sel_Country),OR(sel_Channel="All",E806=sel_Channel),OR(sel_Customer="All",F806=sel_Customer),OR(sel_Category="All",G806=sel_Category),OR(sel_Product="All",H806=sel_Product),AND(S806&gt;=m_From,S806&lt;=m_To)),1,0)</f>
        <v/>
      </c>
      <c r="V806" s="36">
        <f>IF(AND(OR(sel_Region="All",C806=sel_Region),OR(sel_Channel="All",E806=sel_Channel),OR(sel_Customer="All",F806=sel_Customer),OR(sel_Category="All",G806=sel_Category),OR(sel_Product="All",H806=sel_Product),AND(S806&gt;=m_From,S806&lt;=m_To)),1,0)</f>
        <v/>
      </c>
      <c r="W806" s="36">
        <f>IF(AND(OR(sel_Region="All",C806=sel_Region),OR(sel_Country="All",D806=sel_Country),OR(sel_Customer="All",F806=sel_Customer),OR(sel_Category="All",G806=sel_Category),OR(sel_Product="All",H806=sel_Product),AND(S806&gt;=m_From,S806&lt;=m_To)),1,0)</f>
        <v/>
      </c>
      <c r="X806" s="36">
        <f>IF(AND(OR(sel_Region="All",C806=sel_Region),OR(sel_Country="All",D806=sel_Country),OR(sel_Channel="All",E806=sel_Channel),OR(sel_Category="All",G806=sel_Category),OR(sel_Product="All",H806=sel_Product),AND(S806&gt;=m_From,S806&lt;=m_To)),1,0)</f>
        <v/>
      </c>
      <c r="Y806" s="36">
        <f>IF(AND(OR(sel_Region="All",C806=sel_Region),OR(sel_Country="All",D806=sel_Country),OR(sel_Channel="All",E806=sel_Channel),OR(sel_Customer="All",F806=sel_Customer),OR(sel_Product="All",H806=sel_Product),AND(S806&gt;=m_From,S806&lt;=m_To)),1,0)</f>
        <v/>
      </c>
      <c r="Z806" s="36">
        <f>IF(AND(OR(sel_Region="All",C806=sel_Region),OR(sel_Country="All",D806=sel_Country),OR(sel_Channel="All",E806=sel_Channel),OR(sel_Customer="All",F806=sel_Customer),OR(sel_Category="All",G806=sel_Category),AND(S806&gt;=m_From,S806&lt;=m_To)),1,0)</f>
        <v/>
      </c>
      <c r="AA806" s="36">
        <f>IF(AND(OR(sel_Region="All",C806=sel_Region),OR(sel_Country="All",D806=sel_Country),OR(sel_Channel="All",E806=sel_Channel),OR(sel_Customer="All",F806=sel_Customer),OR(sel_Category="All",G806=sel_Category),OR(sel_Product="All",H806=sel_Product)),1,0)</f>
        <v/>
      </c>
    </row>
    <row r="807">
      <c r="A807" s="36" t="inlineStr">
        <is>
          <t>05182</t>
        </is>
      </c>
      <c r="B807" s="44" t="n">
        <v>46154</v>
      </c>
      <c r="C807" s="36" t="inlineStr">
        <is>
          <t>Western Europe</t>
        </is>
      </c>
      <c r="D807" s="36" t="inlineStr">
        <is>
          <t>Netherlands</t>
        </is>
      </c>
      <c r="E807" s="36" t="inlineStr">
        <is>
          <t>Online Store</t>
        </is>
      </c>
      <c r="F807" s="36" t="inlineStr">
        <is>
          <t>Returning</t>
        </is>
      </c>
      <c r="G807" s="36" t="inlineStr">
        <is>
          <t>Fitness</t>
        </is>
      </c>
      <c r="H807" s="36" t="inlineStr">
        <is>
          <t>Training Mat</t>
        </is>
      </c>
      <c r="I807" s="36" t="n">
        <v>2</v>
      </c>
      <c r="J807" s="39" t="n">
        <v>51.15</v>
      </c>
      <c r="K807" s="45" t="n">
        <v>0</v>
      </c>
      <c r="L807" s="39" t="n">
        <v>22.53</v>
      </c>
      <c r="M807" s="39">
        <f>I807*J807*(1-K807)</f>
        <v/>
      </c>
      <c r="N807" s="39">
        <f>I807*L807</f>
        <v/>
      </c>
      <c r="O807" s="39">
        <f>M807-N807</f>
        <v/>
      </c>
      <c r="P807" s="38">
        <f>IF(M807=0,0,O807/M807)</f>
        <v/>
      </c>
      <c r="Q807" s="36">
        <f>YEAR(B807)</f>
        <v/>
      </c>
      <c r="R807" s="36">
        <f>"Q"&amp;ROUNDUP(MONTH(B807)/3,0)</f>
        <v/>
      </c>
      <c r="S807" s="36">
        <f>MONTH(B807)</f>
        <v/>
      </c>
      <c r="T807" s="36">
        <f>TEXT(B807,"mmm")</f>
        <v/>
      </c>
      <c r="U807" s="36">
        <f>IF(AND(OR(sel_Region="All",C807=sel_Region),OR(sel_Country="All",D807=sel_Country),OR(sel_Channel="All",E807=sel_Channel),OR(sel_Customer="All",F807=sel_Customer),OR(sel_Category="All",G807=sel_Category),OR(sel_Product="All",H807=sel_Product),AND(S807&gt;=m_From,S807&lt;=m_To)),1,0)</f>
        <v/>
      </c>
      <c r="V807" s="36">
        <f>IF(AND(OR(sel_Region="All",C807=sel_Region),OR(sel_Channel="All",E807=sel_Channel),OR(sel_Customer="All",F807=sel_Customer),OR(sel_Category="All",G807=sel_Category),OR(sel_Product="All",H807=sel_Product),AND(S807&gt;=m_From,S807&lt;=m_To)),1,0)</f>
        <v/>
      </c>
      <c r="W807" s="36">
        <f>IF(AND(OR(sel_Region="All",C807=sel_Region),OR(sel_Country="All",D807=sel_Country),OR(sel_Customer="All",F807=sel_Customer),OR(sel_Category="All",G807=sel_Category),OR(sel_Product="All",H807=sel_Product),AND(S807&gt;=m_From,S807&lt;=m_To)),1,0)</f>
        <v/>
      </c>
      <c r="X807" s="36">
        <f>IF(AND(OR(sel_Region="All",C807=sel_Region),OR(sel_Country="All",D807=sel_Country),OR(sel_Channel="All",E807=sel_Channel),OR(sel_Category="All",G807=sel_Category),OR(sel_Product="All",H807=sel_Product),AND(S807&gt;=m_From,S807&lt;=m_To)),1,0)</f>
        <v/>
      </c>
      <c r="Y807" s="36">
        <f>IF(AND(OR(sel_Region="All",C807=sel_Region),OR(sel_Country="All",D807=sel_Country),OR(sel_Channel="All",E807=sel_Channel),OR(sel_Customer="All",F807=sel_Customer),OR(sel_Product="All",H807=sel_Product),AND(S807&gt;=m_From,S807&lt;=m_To)),1,0)</f>
        <v/>
      </c>
      <c r="Z807" s="36">
        <f>IF(AND(OR(sel_Region="All",C807=sel_Region),OR(sel_Country="All",D807=sel_Country),OR(sel_Channel="All",E807=sel_Channel),OR(sel_Customer="All",F807=sel_Customer),OR(sel_Category="All",G807=sel_Category),AND(S807&gt;=m_From,S807&lt;=m_To)),1,0)</f>
        <v/>
      </c>
      <c r="AA807" s="36">
        <f>IF(AND(OR(sel_Region="All",C807=sel_Region),OR(sel_Country="All",D807=sel_Country),OR(sel_Channel="All",E807=sel_Channel),OR(sel_Customer="All",F807=sel_Customer),OR(sel_Category="All",G807=sel_Category),OR(sel_Product="All",H807=sel_Product)),1,0)</f>
        <v/>
      </c>
    </row>
    <row r="808">
      <c r="A808" s="36" t="inlineStr">
        <is>
          <t>01071</t>
        </is>
      </c>
      <c r="B808" s="44" t="n">
        <v>46155</v>
      </c>
      <c r="C808" s="36" t="inlineStr">
        <is>
          <t>Central Europe</t>
        </is>
      </c>
      <c r="D808" s="36" t="inlineStr">
        <is>
          <t>Germany</t>
        </is>
      </c>
      <c r="E808" s="36" t="inlineStr">
        <is>
          <t>Retail Partners</t>
        </is>
      </c>
      <c r="F808" s="36" t="inlineStr">
        <is>
          <t>Business</t>
        </is>
      </c>
      <c r="G808" s="36" t="inlineStr">
        <is>
          <t>Fitness</t>
        </is>
      </c>
      <c r="H808" s="36" t="inlineStr">
        <is>
          <t>Training Mat</t>
        </is>
      </c>
      <c r="I808" s="36" t="n">
        <v>1</v>
      </c>
      <c r="J808" s="39" t="n">
        <v>50.83</v>
      </c>
      <c r="K808" s="45" t="n">
        <v>0.1</v>
      </c>
      <c r="L808" s="39" t="n">
        <v>21.82</v>
      </c>
      <c r="M808" s="39">
        <f>I808*J808*(1-K808)</f>
        <v/>
      </c>
      <c r="N808" s="39">
        <f>I808*L808</f>
        <v/>
      </c>
      <c r="O808" s="39">
        <f>M808-N808</f>
        <v/>
      </c>
      <c r="P808" s="38">
        <f>IF(M808=0,0,O808/M808)</f>
        <v/>
      </c>
      <c r="Q808" s="36">
        <f>YEAR(B808)</f>
        <v/>
      </c>
      <c r="R808" s="36">
        <f>"Q"&amp;ROUNDUP(MONTH(B808)/3,0)</f>
        <v/>
      </c>
      <c r="S808" s="36">
        <f>MONTH(B808)</f>
        <v/>
      </c>
      <c r="T808" s="36">
        <f>TEXT(B808,"mmm")</f>
        <v/>
      </c>
      <c r="U808" s="36">
        <f>IF(AND(OR(sel_Region="All",C808=sel_Region),OR(sel_Country="All",D808=sel_Country),OR(sel_Channel="All",E808=sel_Channel),OR(sel_Customer="All",F808=sel_Customer),OR(sel_Category="All",G808=sel_Category),OR(sel_Product="All",H808=sel_Product),AND(S808&gt;=m_From,S808&lt;=m_To)),1,0)</f>
        <v/>
      </c>
      <c r="V808" s="36">
        <f>IF(AND(OR(sel_Region="All",C808=sel_Region),OR(sel_Channel="All",E808=sel_Channel),OR(sel_Customer="All",F808=sel_Customer),OR(sel_Category="All",G808=sel_Category),OR(sel_Product="All",H808=sel_Product),AND(S808&gt;=m_From,S808&lt;=m_To)),1,0)</f>
        <v/>
      </c>
      <c r="W808" s="36">
        <f>IF(AND(OR(sel_Region="All",C808=sel_Region),OR(sel_Country="All",D808=sel_Country),OR(sel_Customer="All",F808=sel_Customer),OR(sel_Category="All",G808=sel_Category),OR(sel_Product="All",H808=sel_Product),AND(S808&gt;=m_From,S808&lt;=m_To)),1,0)</f>
        <v/>
      </c>
      <c r="X808" s="36">
        <f>IF(AND(OR(sel_Region="All",C808=sel_Region),OR(sel_Country="All",D808=sel_Country),OR(sel_Channel="All",E808=sel_Channel),OR(sel_Category="All",G808=sel_Category),OR(sel_Product="All",H808=sel_Product),AND(S808&gt;=m_From,S808&lt;=m_To)),1,0)</f>
        <v/>
      </c>
      <c r="Y808" s="36">
        <f>IF(AND(OR(sel_Region="All",C808=sel_Region),OR(sel_Country="All",D808=sel_Country),OR(sel_Channel="All",E808=sel_Channel),OR(sel_Customer="All",F808=sel_Customer),OR(sel_Product="All",H808=sel_Product),AND(S808&gt;=m_From,S808&lt;=m_To)),1,0)</f>
        <v/>
      </c>
      <c r="Z808" s="36">
        <f>IF(AND(OR(sel_Region="All",C808=sel_Region),OR(sel_Country="All",D808=sel_Country),OR(sel_Channel="All",E808=sel_Channel),OR(sel_Customer="All",F808=sel_Customer),OR(sel_Category="All",G808=sel_Category),AND(S808&gt;=m_From,S808&lt;=m_To)),1,0)</f>
        <v/>
      </c>
      <c r="AA808" s="36">
        <f>IF(AND(OR(sel_Region="All",C808=sel_Region),OR(sel_Country="All",D808=sel_Country),OR(sel_Channel="All",E808=sel_Channel),OR(sel_Customer="All",F808=sel_Customer),OR(sel_Category="All",G808=sel_Category),OR(sel_Product="All",H808=sel_Product)),1,0)</f>
        <v/>
      </c>
    </row>
    <row r="809">
      <c r="A809" s="36" t="inlineStr">
        <is>
          <t>01210</t>
        </is>
      </c>
      <c r="B809" s="44" t="n">
        <v>46155</v>
      </c>
      <c r="C809" s="36" t="inlineStr">
        <is>
          <t>Northern Europe</t>
        </is>
      </c>
      <c r="D809" s="36" t="inlineStr">
        <is>
          <t>Sweden</t>
        </is>
      </c>
      <c r="E809" s="36" t="inlineStr">
        <is>
          <t>Corporate</t>
        </is>
      </c>
      <c r="F809" s="36" t="inlineStr">
        <is>
          <t>Business</t>
        </is>
      </c>
      <c r="G809" s="36" t="inlineStr">
        <is>
          <t>Hiking</t>
        </is>
      </c>
      <c r="H809" s="36" t="inlineStr">
        <is>
          <t>Trail Boots</t>
        </is>
      </c>
      <c r="I809" s="36" t="n">
        <v>6</v>
      </c>
      <c r="J809" s="39" t="n">
        <v>141.9</v>
      </c>
      <c r="K809" s="45" t="n">
        <v>0.1</v>
      </c>
      <c r="L809" s="39" t="n">
        <v>79.64</v>
      </c>
      <c r="M809" s="39">
        <f>I809*J809*(1-K809)</f>
        <v/>
      </c>
      <c r="N809" s="39">
        <f>I809*L809</f>
        <v/>
      </c>
      <c r="O809" s="39">
        <f>M809-N809</f>
        <v/>
      </c>
      <c r="P809" s="38">
        <f>IF(M809=0,0,O809/M809)</f>
        <v/>
      </c>
      <c r="Q809" s="36">
        <f>YEAR(B809)</f>
        <v/>
      </c>
      <c r="R809" s="36">
        <f>"Q"&amp;ROUNDUP(MONTH(B809)/3,0)</f>
        <v/>
      </c>
      <c r="S809" s="36">
        <f>MONTH(B809)</f>
        <v/>
      </c>
      <c r="T809" s="36">
        <f>TEXT(B809,"mmm")</f>
        <v/>
      </c>
      <c r="U809" s="36">
        <f>IF(AND(OR(sel_Region="All",C809=sel_Region),OR(sel_Country="All",D809=sel_Country),OR(sel_Channel="All",E809=sel_Channel),OR(sel_Customer="All",F809=sel_Customer),OR(sel_Category="All",G809=sel_Category),OR(sel_Product="All",H809=sel_Product),AND(S809&gt;=m_From,S809&lt;=m_To)),1,0)</f>
        <v/>
      </c>
      <c r="V809" s="36">
        <f>IF(AND(OR(sel_Region="All",C809=sel_Region),OR(sel_Channel="All",E809=sel_Channel),OR(sel_Customer="All",F809=sel_Customer),OR(sel_Category="All",G809=sel_Category),OR(sel_Product="All",H809=sel_Product),AND(S809&gt;=m_From,S809&lt;=m_To)),1,0)</f>
        <v/>
      </c>
      <c r="W809" s="36">
        <f>IF(AND(OR(sel_Region="All",C809=sel_Region),OR(sel_Country="All",D809=sel_Country),OR(sel_Customer="All",F809=sel_Customer),OR(sel_Category="All",G809=sel_Category),OR(sel_Product="All",H809=sel_Product),AND(S809&gt;=m_From,S809&lt;=m_To)),1,0)</f>
        <v/>
      </c>
      <c r="X809" s="36">
        <f>IF(AND(OR(sel_Region="All",C809=sel_Region),OR(sel_Country="All",D809=sel_Country),OR(sel_Channel="All",E809=sel_Channel),OR(sel_Category="All",G809=sel_Category),OR(sel_Product="All",H809=sel_Product),AND(S809&gt;=m_From,S809&lt;=m_To)),1,0)</f>
        <v/>
      </c>
      <c r="Y809" s="36">
        <f>IF(AND(OR(sel_Region="All",C809=sel_Region),OR(sel_Country="All",D809=sel_Country),OR(sel_Channel="All",E809=sel_Channel),OR(sel_Customer="All",F809=sel_Customer),OR(sel_Product="All",H809=sel_Product),AND(S809&gt;=m_From,S809&lt;=m_To)),1,0)</f>
        <v/>
      </c>
      <c r="Z809" s="36">
        <f>IF(AND(OR(sel_Region="All",C809=sel_Region),OR(sel_Country="All",D809=sel_Country),OR(sel_Channel="All",E809=sel_Channel),OR(sel_Customer="All",F809=sel_Customer),OR(sel_Category="All",G809=sel_Category),AND(S809&gt;=m_From,S809&lt;=m_To)),1,0)</f>
        <v/>
      </c>
      <c r="AA809" s="36">
        <f>IF(AND(OR(sel_Region="All",C809=sel_Region),OR(sel_Country="All",D809=sel_Country),OR(sel_Channel="All",E809=sel_Channel),OR(sel_Customer="All",F809=sel_Customer),OR(sel_Category="All",G809=sel_Category),OR(sel_Product="All",H809=sel_Product)),1,0)</f>
        <v/>
      </c>
    </row>
    <row r="810">
      <c r="A810" s="36" t="inlineStr">
        <is>
          <t>01244</t>
        </is>
      </c>
      <c r="B810" s="44" t="n">
        <v>46155</v>
      </c>
      <c r="C810" s="36" t="inlineStr">
        <is>
          <t>Western Europe</t>
        </is>
      </c>
      <c r="D810" s="36" t="inlineStr">
        <is>
          <t>United Kingdom</t>
        </is>
      </c>
      <c r="E810" s="36" t="inlineStr">
        <is>
          <t>Online Store</t>
        </is>
      </c>
      <c r="F810" s="36" t="inlineStr">
        <is>
          <t>Returning</t>
        </is>
      </c>
      <c r="G810" s="36" t="inlineStr">
        <is>
          <t>Camping</t>
        </is>
      </c>
      <c r="H810" s="36" t="inlineStr">
        <is>
          <t>Compact Sleeping Bag</t>
        </is>
      </c>
      <c r="I810" s="36" t="n">
        <v>1</v>
      </c>
      <c r="J810" s="39" t="n">
        <v>122.11</v>
      </c>
      <c r="K810" s="45" t="n">
        <v>0</v>
      </c>
      <c r="L810" s="39" t="n">
        <v>59.86</v>
      </c>
      <c r="M810" s="39">
        <f>I810*J810*(1-K810)</f>
        <v/>
      </c>
      <c r="N810" s="39">
        <f>I810*L810</f>
        <v/>
      </c>
      <c r="O810" s="39">
        <f>M810-N810</f>
        <v/>
      </c>
      <c r="P810" s="38">
        <f>IF(M810=0,0,O810/M810)</f>
        <v/>
      </c>
      <c r="Q810" s="36">
        <f>YEAR(B810)</f>
        <v/>
      </c>
      <c r="R810" s="36">
        <f>"Q"&amp;ROUNDUP(MONTH(B810)/3,0)</f>
        <v/>
      </c>
      <c r="S810" s="36">
        <f>MONTH(B810)</f>
        <v/>
      </c>
      <c r="T810" s="36">
        <f>TEXT(B810,"mmm")</f>
        <v/>
      </c>
      <c r="U810" s="36">
        <f>IF(AND(OR(sel_Region="All",C810=sel_Region),OR(sel_Country="All",D810=sel_Country),OR(sel_Channel="All",E810=sel_Channel),OR(sel_Customer="All",F810=sel_Customer),OR(sel_Category="All",G810=sel_Category),OR(sel_Product="All",H810=sel_Product),AND(S810&gt;=m_From,S810&lt;=m_To)),1,0)</f>
        <v/>
      </c>
      <c r="V810" s="36">
        <f>IF(AND(OR(sel_Region="All",C810=sel_Region),OR(sel_Channel="All",E810=sel_Channel),OR(sel_Customer="All",F810=sel_Customer),OR(sel_Category="All",G810=sel_Category),OR(sel_Product="All",H810=sel_Product),AND(S810&gt;=m_From,S810&lt;=m_To)),1,0)</f>
        <v/>
      </c>
      <c r="W810" s="36">
        <f>IF(AND(OR(sel_Region="All",C810=sel_Region),OR(sel_Country="All",D810=sel_Country),OR(sel_Customer="All",F810=sel_Customer),OR(sel_Category="All",G810=sel_Category),OR(sel_Product="All",H810=sel_Product),AND(S810&gt;=m_From,S810&lt;=m_To)),1,0)</f>
        <v/>
      </c>
      <c r="X810" s="36">
        <f>IF(AND(OR(sel_Region="All",C810=sel_Region),OR(sel_Country="All",D810=sel_Country),OR(sel_Channel="All",E810=sel_Channel),OR(sel_Category="All",G810=sel_Category),OR(sel_Product="All",H810=sel_Product),AND(S810&gt;=m_From,S810&lt;=m_To)),1,0)</f>
        <v/>
      </c>
      <c r="Y810" s="36">
        <f>IF(AND(OR(sel_Region="All",C810=sel_Region),OR(sel_Country="All",D810=sel_Country),OR(sel_Channel="All",E810=sel_Channel),OR(sel_Customer="All",F810=sel_Customer),OR(sel_Product="All",H810=sel_Product),AND(S810&gt;=m_From,S810&lt;=m_To)),1,0)</f>
        <v/>
      </c>
      <c r="Z810" s="36">
        <f>IF(AND(OR(sel_Region="All",C810=sel_Region),OR(sel_Country="All",D810=sel_Country),OR(sel_Channel="All",E810=sel_Channel),OR(sel_Customer="All",F810=sel_Customer),OR(sel_Category="All",G810=sel_Category),AND(S810&gt;=m_From,S810&lt;=m_To)),1,0)</f>
        <v/>
      </c>
      <c r="AA810" s="36">
        <f>IF(AND(OR(sel_Region="All",C810=sel_Region),OR(sel_Country="All",D810=sel_Country),OR(sel_Channel="All",E810=sel_Channel),OR(sel_Customer="All",F810=sel_Customer),OR(sel_Category="All",G810=sel_Category),OR(sel_Product="All",H810=sel_Product)),1,0)</f>
        <v/>
      </c>
    </row>
    <row r="811">
      <c r="A811" s="36" t="inlineStr">
        <is>
          <t>01403</t>
        </is>
      </c>
      <c r="B811" s="44" t="n">
        <v>46155</v>
      </c>
      <c r="C811" s="36" t="inlineStr">
        <is>
          <t>Central Europe</t>
        </is>
      </c>
      <c r="D811" s="36" t="inlineStr">
        <is>
          <t>Switzerland</t>
        </is>
      </c>
      <c r="E811" s="36" t="inlineStr">
        <is>
          <t>Online Store</t>
        </is>
      </c>
      <c r="F811" s="36" t="inlineStr">
        <is>
          <t>Returning</t>
        </is>
      </c>
      <c r="G811" s="36" t="inlineStr">
        <is>
          <t>Cycling</t>
        </is>
      </c>
      <c r="H811" s="36" t="inlineStr">
        <is>
          <t>Cycling Pack 12L</t>
        </is>
      </c>
      <c r="I811" s="36" t="n">
        <v>1</v>
      </c>
      <c r="J811" s="39" t="n">
        <v>102.38</v>
      </c>
      <c r="K811" s="45" t="n">
        <v>0</v>
      </c>
      <c r="L811" s="39" t="n">
        <v>50.82</v>
      </c>
      <c r="M811" s="39">
        <f>I811*J811*(1-K811)</f>
        <v/>
      </c>
      <c r="N811" s="39">
        <f>I811*L811</f>
        <v/>
      </c>
      <c r="O811" s="39">
        <f>M811-N811</f>
        <v/>
      </c>
      <c r="P811" s="38">
        <f>IF(M811=0,0,O811/M811)</f>
        <v/>
      </c>
      <c r="Q811" s="36">
        <f>YEAR(B811)</f>
        <v/>
      </c>
      <c r="R811" s="36">
        <f>"Q"&amp;ROUNDUP(MONTH(B811)/3,0)</f>
        <v/>
      </c>
      <c r="S811" s="36">
        <f>MONTH(B811)</f>
        <v/>
      </c>
      <c r="T811" s="36">
        <f>TEXT(B811,"mmm")</f>
        <v/>
      </c>
      <c r="U811" s="36">
        <f>IF(AND(OR(sel_Region="All",C811=sel_Region),OR(sel_Country="All",D811=sel_Country),OR(sel_Channel="All",E811=sel_Channel),OR(sel_Customer="All",F811=sel_Customer),OR(sel_Category="All",G811=sel_Category),OR(sel_Product="All",H811=sel_Product),AND(S811&gt;=m_From,S811&lt;=m_To)),1,0)</f>
        <v/>
      </c>
      <c r="V811" s="36">
        <f>IF(AND(OR(sel_Region="All",C811=sel_Region),OR(sel_Channel="All",E811=sel_Channel),OR(sel_Customer="All",F811=sel_Customer),OR(sel_Category="All",G811=sel_Category),OR(sel_Product="All",H811=sel_Product),AND(S811&gt;=m_From,S811&lt;=m_To)),1,0)</f>
        <v/>
      </c>
      <c r="W811" s="36">
        <f>IF(AND(OR(sel_Region="All",C811=sel_Region),OR(sel_Country="All",D811=sel_Country),OR(sel_Customer="All",F811=sel_Customer),OR(sel_Category="All",G811=sel_Category),OR(sel_Product="All",H811=sel_Product),AND(S811&gt;=m_From,S811&lt;=m_To)),1,0)</f>
        <v/>
      </c>
      <c r="X811" s="36">
        <f>IF(AND(OR(sel_Region="All",C811=sel_Region),OR(sel_Country="All",D811=sel_Country),OR(sel_Channel="All",E811=sel_Channel),OR(sel_Category="All",G811=sel_Category),OR(sel_Product="All",H811=sel_Product),AND(S811&gt;=m_From,S811&lt;=m_To)),1,0)</f>
        <v/>
      </c>
      <c r="Y811" s="36">
        <f>IF(AND(OR(sel_Region="All",C811=sel_Region),OR(sel_Country="All",D811=sel_Country),OR(sel_Channel="All",E811=sel_Channel),OR(sel_Customer="All",F811=sel_Customer),OR(sel_Product="All",H811=sel_Product),AND(S811&gt;=m_From,S811&lt;=m_To)),1,0)</f>
        <v/>
      </c>
      <c r="Z811" s="36">
        <f>IF(AND(OR(sel_Region="All",C811=sel_Region),OR(sel_Country="All",D811=sel_Country),OR(sel_Channel="All",E811=sel_Channel),OR(sel_Customer="All",F811=sel_Customer),OR(sel_Category="All",G811=sel_Category),AND(S811&gt;=m_From,S811&lt;=m_To)),1,0)</f>
        <v/>
      </c>
      <c r="AA811" s="36">
        <f>IF(AND(OR(sel_Region="All",C811=sel_Region),OR(sel_Country="All",D811=sel_Country),OR(sel_Channel="All",E811=sel_Channel),OR(sel_Customer="All",F811=sel_Customer),OR(sel_Category="All",G811=sel_Category),OR(sel_Product="All",H811=sel_Product)),1,0)</f>
        <v/>
      </c>
    </row>
    <row r="812">
      <c r="A812" s="36" t="inlineStr">
        <is>
          <t>01592</t>
        </is>
      </c>
      <c r="B812" s="44" t="n">
        <v>46155</v>
      </c>
      <c r="C812" s="36" t="inlineStr">
        <is>
          <t>Northern Europe</t>
        </is>
      </c>
      <c r="D812" s="36" t="inlineStr">
        <is>
          <t>Norway</t>
        </is>
      </c>
      <c r="E812" s="36" t="inlineStr">
        <is>
          <t>Retail Partners</t>
        </is>
      </c>
      <c r="F812" s="36" t="inlineStr">
        <is>
          <t>Returning</t>
        </is>
      </c>
      <c r="G812" s="36" t="inlineStr">
        <is>
          <t>Fitness</t>
        </is>
      </c>
      <c r="H812" s="36" t="inlineStr">
        <is>
          <t>Recovery Roller</t>
        </is>
      </c>
      <c r="I812" s="36" t="n">
        <v>5</v>
      </c>
      <c r="J812" s="39" t="n">
        <v>37.12</v>
      </c>
      <c r="K812" s="45" t="n">
        <v>0.1</v>
      </c>
      <c r="L812" s="39" t="n">
        <v>13.96</v>
      </c>
      <c r="M812" s="39">
        <f>I812*J812*(1-K812)</f>
        <v/>
      </c>
      <c r="N812" s="39">
        <f>I812*L812</f>
        <v/>
      </c>
      <c r="O812" s="39">
        <f>M812-N812</f>
        <v/>
      </c>
      <c r="P812" s="38">
        <f>IF(M812=0,0,O812/M812)</f>
        <v/>
      </c>
      <c r="Q812" s="36">
        <f>YEAR(B812)</f>
        <v/>
      </c>
      <c r="R812" s="36">
        <f>"Q"&amp;ROUNDUP(MONTH(B812)/3,0)</f>
        <v/>
      </c>
      <c r="S812" s="36">
        <f>MONTH(B812)</f>
        <v/>
      </c>
      <c r="T812" s="36">
        <f>TEXT(B812,"mmm")</f>
        <v/>
      </c>
      <c r="U812" s="36">
        <f>IF(AND(OR(sel_Region="All",C812=sel_Region),OR(sel_Country="All",D812=sel_Country),OR(sel_Channel="All",E812=sel_Channel),OR(sel_Customer="All",F812=sel_Customer),OR(sel_Category="All",G812=sel_Category),OR(sel_Product="All",H812=sel_Product),AND(S812&gt;=m_From,S812&lt;=m_To)),1,0)</f>
        <v/>
      </c>
      <c r="V812" s="36">
        <f>IF(AND(OR(sel_Region="All",C812=sel_Region),OR(sel_Channel="All",E812=sel_Channel),OR(sel_Customer="All",F812=sel_Customer),OR(sel_Category="All",G812=sel_Category),OR(sel_Product="All",H812=sel_Product),AND(S812&gt;=m_From,S812&lt;=m_To)),1,0)</f>
        <v/>
      </c>
      <c r="W812" s="36">
        <f>IF(AND(OR(sel_Region="All",C812=sel_Region),OR(sel_Country="All",D812=sel_Country),OR(sel_Customer="All",F812=sel_Customer),OR(sel_Category="All",G812=sel_Category),OR(sel_Product="All",H812=sel_Product),AND(S812&gt;=m_From,S812&lt;=m_To)),1,0)</f>
        <v/>
      </c>
      <c r="X812" s="36">
        <f>IF(AND(OR(sel_Region="All",C812=sel_Region),OR(sel_Country="All",D812=sel_Country),OR(sel_Channel="All",E812=sel_Channel),OR(sel_Category="All",G812=sel_Category),OR(sel_Product="All",H812=sel_Product),AND(S812&gt;=m_From,S812&lt;=m_To)),1,0)</f>
        <v/>
      </c>
      <c r="Y812" s="36">
        <f>IF(AND(OR(sel_Region="All",C812=sel_Region),OR(sel_Country="All",D812=sel_Country),OR(sel_Channel="All",E812=sel_Channel),OR(sel_Customer="All",F812=sel_Customer),OR(sel_Product="All",H812=sel_Product),AND(S812&gt;=m_From,S812&lt;=m_To)),1,0)</f>
        <v/>
      </c>
      <c r="Z812" s="36">
        <f>IF(AND(OR(sel_Region="All",C812=sel_Region),OR(sel_Country="All",D812=sel_Country),OR(sel_Channel="All",E812=sel_Channel),OR(sel_Customer="All",F812=sel_Customer),OR(sel_Category="All",G812=sel_Category),AND(S812&gt;=m_From,S812&lt;=m_To)),1,0)</f>
        <v/>
      </c>
      <c r="AA812" s="36">
        <f>IF(AND(OR(sel_Region="All",C812=sel_Region),OR(sel_Country="All",D812=sel_Country),OR(sel_Channel="All",E812=sel_Channel),OR(sel_Customer="All",F812=sel_Customer),OR(sel_Category="All",G812=sel_Category),OR(sel_Product="All",H812=sel_Product)),1,0)</f>
        <v/>
      </c>
    </row>
    <row r="813">
      <c r="A813" s="36" t="inlineStr">
        <is>
          <t>02581</t>
        </is>
      </c>
      <c r="B813" s="44" t="n">
        <v>46155</v>
      </c>
      <c r="C813" s="36" t="inlineStr">
        <is>
          <t>Central Europe</t>
        </is>
      </c>
      <c r="D813" s="36" t="inlineStr">
        <is>
          <t>Germany</t>
        </is>
      </c>
      <c r="E813" s="36" t="inlineStr">
        <is>
          <t>Online Store</t>
        </is>
      </c>
      <c r="F813" s="36" t="inlineStr">
        <is>
          <t>New</t>
        </is>
      </c>
      <c r="G813" s="36" t="inlineStr">
        <is>
          <t>Hiking</t>
        </is>
      </c>
      <c r="H813" s="36" t="inlineStr">
        <is>
          <t>Hiking Daypack 20L</t>
        </is>
      </c>
      <c r="I813" s="36" t="n">
        <v>2</v>
      </c>
      <c r="J813" s="39" t="n">
        <v>91.76000000000001</v>
      </c>
      <c r="K813" s="45" t="n">
        <v>0.05</v>
      </c>
      <c r="L813" s="39" t="n">
        <v>46.31</v>
      </c>
      <c r="M813" s="39">
        <f>I813*J813*(1-K813)</f>
        <v/>
      </c>
      <c r="N813" s="39">
        <f>I813*L813</f>
        <v/>
      </c>
      <c r="O813" s="39">
        <f>M813-N813</f>
        <v/>
      </c>
      <c r="P813" s="38">
        <f>IF(M813=0,0,O813/M813)</f>
        <v/>
      </c>
      <c r="Q813" s="36">
        <f>YEAR(B813)</f>
        <v/>
      </c>
      <c r="R813" s="36">
        <f>"Q"&amp;ROUNDUP(MONTH(B813)/3,0)</f>
        <v/>
      </c>
      <c r="S813" s="36">
        <f>MONTH(B813)</f>
        <v/>
      </c>
      <c r="T813" s="36">
        <f>TEXT(B813,"mmm")</f>
        <v/>
      </c>
      <c r="U813" s="36">
        <f>IF(AND(OR(sel_Region="All",C813=sel_Region),OR(sel_Country="All",D813=sel_Country),OR(sel_Channel="All",E813=sel_Channel),OR(sel_Customer="All",F813=sel_Customer),OR(sel_Category="All",G813=sel_Category),OR(sel_Product="All",H813=sel_Product),AND(S813&gt;=m_From,S813&lt;=m_To)),1,0)</f>
        <v/>
      </c>
      <c r="V813" s="36">
        <f>IF(AND(OR(sel_Region="All",C813=sel_Region),OR(sel_Channel="All",E813=sel_Channel),OR(sel_Customer="All",F813=sel_Customer),OR(sel_Category="All",G813=sel_Category),OR(sel_Product="All",H813=sel_Product),AND(S813&gt;=m_From,S813&lt;=m_To)),1,0)</f>
        <v/>
      </c>
      <c r="W813" s="36">
        <f>IF(AND(OR(sel_Region="All",C813=sel_Region),OR(sel_Country="All",D813=sel_Country),OR(sel_Customer="All",F813=sel_Customer),OR(sel_Category="All",G813=sel_Category),OR(sel_Product="All",H813=sel_Product),AND(S813&gt;=m_From,S813&lt;=m_To)),1,0)</f>
        <v/>
      </c>
      <c r="X813" s="36">
        <f>IF(AND(OR(sel_Region="All",C813=sel_Region),OR(sel_Country="All",D813=sel_Country),OR(sel_Channel="All",E813=sel_Channel),OR(sel_Category="All",G813=sel_Category),OR(sel_Product="All",H813=sel_Product),AND(S813&gt;=m_From,S813&lt;=m_To)),1,0)</f>
        <v/>
      </c>
      <c r="Y813" s="36">
        <f>IF(AND(OR(sel_Region="All",C813=sel_Region),OR(sel_Country="All",D813=sel_Country),OR(sel_Channel="All",E813=sel_Channel),OR(sel_Customer="All",F813=sel_Customer),OR(sel_Product="All",H813=sel_Product),AND(S813&gt;=m_From,S813&lt;=m_To)),1,0)</f>
        <v/>
      </c>
      <c r="Z813" s="36">
        <f>IF(AND(OR(sel_Region="All",C813=sel_Region),OR(sel_Country="All",D813=sel_Country),OR(sel_Channel="All",E813=sel_Channel),OR(sel_Customer="All",F813=sel_Customer),OR(sel_Category="All",G813=sel_Category),AND(S813&gt;=m_From,S813&lt;=m_To)),1,0)</f>
        <v/>
      </c>
      <c r="AA813" s="36">
        <f>IF(AND(OR(sel_Region="All",C813=sel_Region),OR(sel_Country="All",D813=sel_Country),OR(sel_Channel="All",E813=sel_Channel),OR(sel_Customer="All",F813=sel_Customer),OR(sel_Category="All",G813=sel_Category),OR(sel_Product="All",H813=sel_Product)),1,0)</f>
        <v/>
      </c>
    </row>
    <row r="814">
      <c r="A814" s="36" t="inlineStr">
        <is>
          <t>03428</t>
        </is>
      </c>
      <c r="B814" s="44" t="n">
        <v>46155</v>
      </c>
      <c r="C814" s="36" t="inlineStr">
        <is>
          <t>Western Europe</t>
        </is>
      </c>
      <c r="D814" s="36" t="inlineStr">
        <is>
          <t>Belgium</t>
        </is>
      </c>
      <c r="E814" s="36" t="inlineStr">
        <is>
          <t>Online Store</t>
        </is>
      </c>
      <c r="F814" s="36" t="inlineStr">
        <is>
          <t>Returning</t>
        </is>
      </c>
      <c r="G814" s="36" t="inlineStr">
        <is>
          <t>Hiking</t>
        </is>
      </c>
      <c r="H814" s="36" t="inlineStr">
        <is>
          <t>Trail Boots</t>
        </is>
      </c>
      <c r="I814" s="36" t="n">
        <v>1</v>
      </c>
      <c r="J814" s="39" t="n">
        <v>144.51</v>
      </c>
      <c r="K814" s="45" t="n">
        <v>0</v>
      </c>
      <c r="L814" s="39" t="n">
        <v>79.22</v>
      </c>
      <c r="M814" s="39">
        <f>I814*J814*(1-K814)</f>
        <v/>
      </c>
      <c r="N814" s="39">
        <f>I814*L814</f>
        <v/>
      </c>
      <c r="O814" s="39">
        <f>M814-N814</f>
        <v/>
      </c>
      <c r="P814" s="38">
        <f>IF(M814=0,0,O814/M814)</f>
        <v/>
      </c>
      <c r="Q814" s="36">
        <f>YEAR(B814)</f>
        <v/>
      </c>
      <c r="R814" s="36">
        <f>"Q"&amp;ROUNDUP(MONTH(B814)/3,0)</f>
        <v/>
      </c>
      <c r="S814" s="36">
        <f>MONTH(B814)</f>
        <v/>
      </c>
      <c r="T814" s="36">
        <f>TEXT(B814,"mmm")</f>
        <v/>
      </c>
      <c r="U814" s="36">
        <f>IF(AND(OR(sel_Region="All",C814=sel_Region),OR(sel_Country="All",D814=sel_Country),OR(sel_Channel="All",E814=sel_Channel),OR(sel_Customer="All",F814=sel_Customer),OR(sel_Category="All",G814=sel_Category),OR(sel_Product="All",H814=sel_Product),AND(S814&gt;=m_From,S814&lt;=m_To)),1,0)</f>
        <v/>
      </c>
      <c r="V814" s="36">
        <f>IF(AND(OR(sel_Region="All",C814=sel_Region),OR(sel_Channel="All",E814=sel_Channel),OR(sel_Customer="All",F814=sel_Customer),OR(sel_Category="All",G814=sel_Category),OR(sel_Product="All",H814=sel_Product),AND(S814&gt;=m_From,S814&lt;=m_To)),1,0)</f>
        <v/>
      </c>
      <c r="W814" s="36">
        <f>IF(AND(OR(sel_Region="All",C814=sel_Region),OR(sel_Country="All",D814=sel_Country),OR(sel_Customer="All",F814=sel_Customer),OR(sel_Category="All",G814=sel_Category),OR(sel_Product="All",H814=sel_Product),AND(S814&gt;=m_From,S814&lt;=m_To)),1,0)</f>
        <v/>
      </c>
      <c r="X814" s="36">
        <f>IF(AND(OR(sel_Region="All",C814=sel_Region),OR(sel_Country="All",D814=sel_Country),OR(sel_Channel="All",E814=sel_Channel),OR(sel_Category="All",G814=sel_Category),OR(sel_Product="All",H814=sel_Product),AND(S814&gt;=m_From,S814&lt;=m_To)),1,0)</f>
        <v/>
      </c>
      <c r="Y814" s="36">
        <f>IF(AND(OR(sel_Region="All",C814=sel_Region),OR(sel_Country="All",D814=sel_Country),OR(sel_Channel="All",E814=sel_Channel),OR(sel_Customer="All",F814=sel_Customer),OR(sel_Product="All",H814=sel_Product),AND(S814&gt;=m_From,S814&lt;=m_To)),1,0)</f>
        <v/>
      </c>
      <c r="Z814" s="36">
        <f>IF(AND(OR(sel_Region="All",C814=sel_Region),OR(sel_Country="All",D814=sel_Country),OR(sel_Channel="All",E814=sel_Channel),OR(sel_Customer="All",F814=sel_Customer),OR(sel_Category="All",G814=sel_Category),AND(S814&gt;=m_From,S814&lt;=m_To)),1,0)</f>
        <v/>
      </c>
      <c r="AA814" s="36">
        <f>IF(AND(OR(sel_Region="All",C814=sel_Region),OR(sel_Country="All",D814=sel_Country),OR(sel_Channel="All",E814=sel_Channel),OR(sel_Customer="All",F814=sel_Customer),OR(sel_Category="All",G814=sel_Category),OR(sel_Product="All",H814=sel_Product)),1,0)</f>
        <v/>
      </c>
    </row>
    <row r="815">
      <c r="A815" s="36" t="inlineStr">
        <is>
          <t>00765</t>
        </is>
      </c>
      <c r="B815" s="44" t="n">
        <v>46156</v>
      </c>
      <c r="C815" s="36" t="inlineStr">
        <is>
          <t>Central Europe</t>
        </is>
      </c>
      <c r="D815" s="36" t="inlineStr">
        <is>
          <t>Austria</t>
        </is>
      </c>
      <c r="E815" s="36" t="inlineStr">
        <is>
          <t>Corporate</t>
        </is>
      </c>
      <c r="F815" s="36" t="inlineStr">
        <is>
          <t>Business</t>
        </is>
      </c>
      <c r="G815" s="36" t="inlineStr">
        <is>
          <t>Fitness</t>
        </is>
      </c>
      <c r="H815" s="36" t="inlineStr">
        <is>
          <t>Training Mat</t>
        </is>
      </c>
      <c r="I815" s="36" t="n">
        <v>3</v>
      </c>
      <c r="J815" s="39" t="n">
        <v>49.7</v>
      </c>
      <c r="K815" s="45" t="n">
        <v>0.1</v>
      </c>
      <c r="L815" s="39" t="n">
        <v>21.84</v>
      </c>
      <c r="M815" s="39">
        <f>I815*J815*(1-K815)</f>
        <v/>
      </c>
      <c r="N815" s="39">
        <f>I815*L815</f>
        <v/>
      </c>
      <c r="O815" s="39">
        <f>M815-N815</f>
        <v/>
      </c>
      <c r="P815" s="38">
        <f>IF(M815=0,0,O815/M815)</f>
        <v/>
      </c>
      <c r="Q815" s="36">
        <f>YEAR(B815)</f>
        <v/>
      </c>
      <c r="R815" s="36">
        <f>"Q"&amp;ROUNDUP(MONTH(B815)/3,0)</f>
        <v/>
      </c>
      <c r="S815" s="36">
        <f>MONTH(B815)</f>
        <v/>
      </c>
      <c r="T815" s="36">
        <f>TEXT(B815,"mmm")</f>
        <v/>
      </c>
      <c r="U815" s="36">
        <f>IF(AND(OR(sel_Region="All",C815=sel_Region),OR(sel_Country="All",D815=sel_Country),OR(sel_Channel="All",E815=sel_Channel),OR(sel_Customer="All",F815=sel_Customer),OR(sel_Category="All",G815=sel_Category),OR(sel_Product="All",H815=sel_Product),AND(S815&gt;=m_From,S815&lt;=m_To)),1,0)</f>
        <v/>
      </c>
      <c r="V815" s="36">
        <f>IF(AND(OR(sel_Region="All",C815=sel_Region),OR(sel_Channel="All",E815=sel_Channel),OR(sel_Customer="All",F815=sel_Customer),OR(sel_Category="All",G815=sel_Category),OR(sel_Product="All",H815=sel_Product),AND(S815&gt;=m_From,S815&lt;=m_To)),1,0)</f>
        <v/>
      </c>
      <c r="W815" s="36">
        <f>IF(AND(OR(sel_Region="All",C815=sel_Region),OR(sel_Country="All",D815=sel_Country),OR(sel_Customer="All",F815=sel_Customer),OR(sel_Category="All",G815=sel_Category),OR(sel_Product="All",H815=sel_Product),AND(S815&gt;=m_From,S815&lt;=m_To)),1,0)</f>
        <v/>
      </c>
      <c r="X815" s="36">
        <f>IF(AND(OR(sel_Region="All",C815=sel_Region),OR(sel_Country="All",D815=sel_Country),OR(sel_Channel="All",E815=sel_Channel),OR(sel_Category="All",G815=sel_Category),OR(sel_Product="All",H815=sel_Product),AND(S815&gt;=m_From,S815&lt;=m_To)),1,0)</f>
        <v/>
      </c>
      <c r="Y815" s="36">
        <f>IF(AND(OR(sel_Region="All",C815=sel_Region),OR(sel_Country="All",D815=sel_Country),OR(sel_Channel="All",E815=sel_Channel),OR(sel_Customer="All",F815=sel_Customer),OR(sel_Product="All",H815=sel_Product),AND(S815&gt;=m_From,S815&lt;=m_To)),1,0)</f>
        <v/>
      </c>
      <c r="Z815" s="36">
        <f>IF(AND(OR(sel_Region="All",C815=sel_Region),OR(sel_Country="All",D815=sel_Country),OR(sel_Channel="All",E815=sel_Channel),OR(sel_Customer="All",F815=sel_Customer),OR(sel_Category="All",G815=sel_Category),AND(S815&gt;=m_From,S815&lt;=m_To)),1,0)</f>
        <v/>
      </c>
      <c r="AA815" s="36">
        <f>IF(AND(OR(sel_Region="All",C815=sel_Region),OR(sel_Country="All",D815=sel_Country),OR(sel_Channel="All",E815=sel_Channel),OR(sel_Customer="All",F815=sel_Customer),OR(sel_Category="All",G815=sel_Category),OR(sel_Product="All",H815=sel_Product)),1,0)</f>
        <v/>
      </c>
    </row>
    <row r="816">
      <c r="A816" s="36" t="inlineStr">
        <is>
          <t>00854</t>
        </is>
      </c>
      <c r="B816" s="44" t="n">
        <v>46156</v>
      </c>
      <c r="C816" s="36" t="inlineStr">
        <is>
          <t>Southern Europe</t>
        </is>
      </c>
      <c r="D816" s="36" t="inlineStr">
        <is>
          <t>Spain</t>
        </is>
      </c>
      <c r="E816" s="36" t="inlineStr">
        <is>
          <t>Online Store</t>
        </is>
      </c>
      <c r="F816" s="36" t="inlineStr">
        <is>
          <t>Returning</t>
        </is>
      </c>
      <c r="G816" s="36" t="inlineStr">
        <is>
          <t>Camping</t>
        </is>
      </c>
      <c r="H816" s="36" t="inlineStr">
        <is>
          <t>Compact Sleeping Bag</t>
        </is>
      </c>
      <c r="I816" s="36" t="n">
        <v>1</v>
      </c>
      <c r="J816" s="39" t="n">
        <v>120.9</v>
      </c>
      <c r="K816" s="45" t="n">
        <v>0</v>
      </c>
      <c r="L816" s="39" t="n">
        <v>59.31</v>
      </c>
      <c r="M816" s="39">
        <f>I816*J816*(1-K816)</f>
        <v/>
      </c>
      <c r="N816" s="39">
        <f>I816*L816</f>
        <v/>
      </c>
      <c r="O816" s="39">
        <f>M816-N816</f>
        <v/>
      </c>
      <c r="P816" s="38">
        <f>IF(M816=0,0,O816/M816)</f>
        <v/>
      </c>
      <c r="Q816" s="36">
        <f>YEAR(B816)</f>
        <v/>
      </c>
      <c r="R816" s="36">
        <f>"Q"&amp;ROUNDUP(MONTH(B816)/3,0)</f>
        <v/>
      </c>
      <c r="S816" s="36">
        <f>MONTH(B816)</f>
        <v/>
      </c>
      <c r="T816" s="36">
        <f>TEXT(B816,"mmm")</f>
        <v/>
      </c>
      <c r="U816" s="36">
        <f>IF(AND(OR(sel_Region="All",C816=sel_Region),OR(sel_Country="All",D816=sel_Country),OR(sel_Channel="All",E816=sel_Channel),OR(sel_Customer="All",F816=sel_Customer),OR(sel_Category="All",G816=sel_Category),OR(sel_Product="All",H816=sel_Product),AND(S816&gt;=m_From,S816&lt;=m_To)),1,0)</f>
        <v/>
      </c>
      <c r="V816" s="36">
        <f>IF(AND(OR(sel_Region="All",C816=sel_Region),OR(sel_Channel="All",E816=sel_Channel),OR(sel_Customer="All",F816=sel_Customer),OR(sel_Category="All",G816=sel_Category),OR(sel_Product="All",H816=sel_Product),AND(S816&gt;=m_From,S816&lt;=m_To)),1,0)</f>
        <v/>
      </c>
      <c r="W816" s="36">
        <f>IF(AND(OR(sel_Region="All",C816=sel_Region),OR(sel_Country="All",D816=sel_Country),OR(sel_Customer="All",F816=sel_Customer),OR(sel_Category="All",G816=sel_Category),OR(sel_Product="All",H816=sel_Product),AND(S816&gt;=m_From,S816&lt;=m_To)),1,0)</f>
        <v/>
      </c>
      <c r="X816" s="36">
        <f>IF(AND(OR(sel_Region="All",C816=sel_Region),OR(sel_Country="All",D816=sel_Country),OR(sel_Channel="All",E816=sel_Channel),OR(sel_Category="All",G816=sel_Category),OR(sel_Product="All",H816=sel_Product),AND(S816&gt;=m_From,S816&lt;=m_To)),1,0)</f>
        <v/>
      </c>
      <c r="Y816" s="36">
        <f>IF(AND(OR(sel_Region="All",C816=sel_Region),OR(sel_Country="All",D816=sel_Country),OR(sel_Channel="All",E816=sel_Channel),OR(sel_Customer="All",F816=sel_Customer),OR(sel_Product="All",H816=sel_Product),AND(S816&gt;=m_From,S816&lt;=m_To)),1,0)</f>
        <v/>
      </c>
      <c r="Z816" s="36">
        <f>IF(AND(OR(sel_Region="All",C816=sel_Region),OR(sel_Country="All",D816=sel_Country),OR(sel_Channel="All",E816=sel_Channel),OR(sel_Customer="All",F816=sel_Customer),OR(sel_Category="All",G816=sel_Category),AND(S816&gt;=m_From,S816&lt;=m_To)),1,0)</f>
        <v/>
      </c>
      <c r="AA816" s="36">
        <f>IF(AND(OR(sel_Region="All",C816=sel_Region),OR(sel_Country="All",D816=sel_Country),OR(sel_Channel="All",E816=sel_Channel),OR(sel_Customer="All",F816=sel_Customer),OR(sel_Category="All",G816=sel_Category),OR(sel_Product="All",H816=sel_Product)),1,0)</f>
        <v/>
      </c>
    </row>
    <row r="817">
      <c r="A817" s="36" t="inlineStr">
        <is>
          <t>01087</t>
        </is>
      </c>
      <c r="B817" s="44" t="n">
        <v>46156</v>
      </c>
      <c r="C817" s="36" t="inlineStr">
        <is>
          <t>Northern Europe</t>
        </is>
      </c>
      <c r="D817" s="36" t="inlineStr">
        <is>
          <t>Finland</t>
        </is>
      </c>
      <c r="E817" s="36" t="inlineStr">
        <is>
          <t>Online Store</t>
        </is>
      </c>
      <c r="F817" s="36" t="inlineStr">
        <is>
          <t>Returning</t>
        </is>
      </c>
      <c r="G817" s="36" t="inlineStr">
        <is>
          <t>Camping</t>
        </is>
      </c>
      <c r="H817" s="36" t="inlineStr">
        <is>
          <t>Trail Tent 2P</t>
        </is>
      </c>
      <c r="I817" s="36" t="n">
        <v>1</v>
      </c>
      <c r="J817" s="39" t="n">
        <v>195.72</v>
      </c>
      <c r="K817" s="45" t="n">
        <v>0.05</v>
      </c>
      <c r="L817" s="39" t="n">
        <v>105.73</v>
      </c>
      <c r="M817" s="39">
        <f>I817*J817*(1-K817)</f>
        <v/>
      </c>
      <c r="N817" s="39">
        <f>I817*L817</f>
        <v/>
      </c>
      <c r="O817" s="39">
        <f>M817-N817</f>
        <v/>
      </c>
      <c r="P817" s="38">
        <f>IF(M817=0,0,O817/M817)</f>
        <v/>
      </c>
      <c r="Q817" s="36">
        <f>YEAR(B817)</f>
        <v/>
      </c>
      <c r="R817" s="36">
        <f>"Q"&amp;ROUNDUP(MONTH(B817)/3,0)</f>
        <v/>
      </c>
      <c r="S817" s="36">
        <f>MONTH(B817)</f>
        <v/>
      </c>
      <c r="T817" s="36">
        <f>TEXT(B817,"mmm")</f>
        <v/>
      </c>
      <c r="U817" s="36">
        <f>IF(AND(OR(sel_Region="All",C817=sel_Region),OR(sel_Country="All",D817=sel_Country),OR(sel_Channel="All",E817=sel_Channel),OR(sel_Customer="All",F817=sel_Customer),OR(sel_Category="All",G817=sel_Category),OR(sel_Product="All",H817=sel_Product),AND(S817&gt;=m_From,S817&lt;=m_To)),1,0)</f>
        <v/>
      </c>
      <c r="V817" s="36">
        <f>IF(AND(OR(sel_Region="All",C817=sel_Region),OR(sel_Channel="All",E817=sel_Channel),OR(sel_Customer="All",F817=sel_Customer),OR(sel_Category="All",G817=sel_Category),OR(sel_Product="All",H817=sel_Product),AND(S817&gt;=m_From,S817&lt;=m_To)),1,0)</f>
        <v/>
      </c>
      <c r="W817" s="36">
        <f>IF(AND(OR(sel_Region="All",C817=sel_Region),OR(sel_Country="All",D817=sel_Country),OR(sel_Customer="All",F817=sel_Customer),OR(sel_Category="All",G817=sel_Category),OR(sel_Product="All",H817=sel_Product),AND(S817&gt;=m_From,S817&lt;=m_To)),1,0)</f>
        <v/>
      </c>
      <c r="X817" s="36">
        <f>IF(AND(OR(sel_Region="All",C817=sel_Region),OR(sel_Country="All",D817=sel_Country),OR(sel_Channel="All",E817=sel_Channel),OR(sel_Category="All",G817=sel_Category),OR(sel_Product="All",H817=sel_Product),AND(S817&gt;=m_From,S817&lt;=m_To)),1,0)</f>
        <v/>
      </c>
      <c r="Y817" s="36">
        <f>IF(AND(OR(sel_Region="All",C817=sel_Region),OR(sel_Country="All",D817=sel_Country),OR(sel_Channel="All",E817=sel_Channel),OR(sel_Customer="All",F817=sel_Customer),OR(sel_Product="All",H817=sel_Product),AND(S817&gt;=m_From,S817&lt;=m_To)),1,0)</f>
        <v/>
      </c>
      <c r="Z817" s="36">
        <f>IF(AND(OR(sel_Region="All",C817=sel_Region),OR(sel_Country="All",D817=sel_Country),OR(sel_Channel="All",E817=sel_Channel),OR(sel_Customer="All",F817=sel_Customer),OR(sel_Category="All",G817=sel_Category),AND(S817&gt;=m_From,S817&lt;=m_To)),1,0)</f>
        <v/>
      </c>
      <c r="AA817" s="36">
        <f>IF(AND(OR(sel_Region="All",C817=sel_Region),OR(sel_Country="All",D817=sel_Country),OR(sel_Channel="All",E817=sel_Channel),OR(sel_Customer="All",F817=sel_Customer),OR(sel_Category="All",G817=sel_Category),OR(sel_Product="All",H817=sel_Product)),1,0)</f>
        <v/>
      </c>
    </row>
    <row r="818">
      <c r="A818" s="36" t="inlineStr">
        <is>
          <t>01150</t>
        </is>
      </c>
      <c r="B818" s="44" t="n">
        <v>46156</v>
      </c>
      <c r="C818" s="36" t="inlineStr">
        <is>
          <t>Southern Europe</t>
        </is>
      </c>
      <c r="D818" s="36" t="inlineStr">
        <is>
          <t>Spain</t>
        </is>
      </c>
      <c r="E818" s="36" t="inlineStr">
        <is>
          <t>Corporate</t>
        </is>
      </c>
      <c r="F818" s="36" t="inlineStr">
        <is>
          <t>Returning</t>
        </is>
      </c>
      <c r="G818" s="36" t="inlineStr">
        <is>
          <t>Cycling</t>
        </is>
      </c>
      <c r="H818" s="36" t="inlineStr">
        <is>
          <t>Compact Repair Kit</t>
        </is>
      </c>
      <c r="I818" s="36" t="n">
        <v>8</v>
      </c>
      <c r="J818" s="39" t="n">
        <v>40.15</v>
      </c>
      <c r="K818" s="45" t="n">
        <v>0.15</v>
      </c>
      <c r="L818" s="39" t="n">
        <v>16.91</v>
      </c>
      <c r="M818" s="39">
        <f>I818*J818*(1-K818)</f>
        <v/>
      </c>
      <c r="N818" s="39">
        <f>I818*L818</f>
        <v/>
      </c>
      <c r="O818" s="39">
        <f>M818-N818</f>
        <v/>
      </c>
      <c r="P818" s="38">
        <f>IF(M818=0,0,O818/M818)</f>
        <v/>
      </c>
      <c r="Q818" s="36">
        <f>YEAR(B818)</f>
        <v/>
      </c>
      <c r="R818" s="36">
        <f>"Q"&amp;ROUNDUP(MONTH(B818)/3,0)</f>
        <v/>
      </c>
      <c r="S818" s="36">
        <f>MONTH(B818)</f>
        <v/>
      </c>
      <c r="T818" s="36">
        <f>TEXT(B818,"mmm")</f>
        <v/>
      </c>
      <c r="U818" s="36">
        <f>IF(AND(OR(sel_Region="All",C818=sel_Region),OR(sel_Country="All",D818=sel_Country),OR(sel_Channel="All",E818=sel_Channel),OR(sel_Customer="All",F818=sel_Customer),OR(sel_Category="All",G818=sel_Category),OR(sel_Product="All",H818=sel_Product),AND(S818&gt;=m_From,S818&lt;=m_To)),1,0)</f>
        <v/>
      </c>
      <c r="V818" s="36">
        <f>IF(AND(OR(sel_Region="All",C818=sel_Region),OR(sel_Channel="All",E818=sel_Channel),OR(sel_Customer="All",F818=sel_Customer),OR(sel_Category="All",G818=sel_Category),OR(sel_Product="All",H818=sel_Product),AND(S818&gt;=m_From,S818&lt;=m_To)),1,0)</f>
        <v/>
      </c>
      <c r="W818" s="36">
        <f>IF(AND(OR(sel_Region="All",C818=sel_Region),OR(sel_Country="All",D818=sel_Country),OR(sel_Customer="All",F818=sel_Customer),OR(sel_Category="All",G818=sel_Category),OR(sel_Product="All",H818=sel_Product),AND(S818&gt;=m_From,S818&lt;=m_To)),1,0)</f>
        <v/>
      </c>
      <c r="X818" s="36">
        <f>IF(AND(OR(sel_Region="All",C818=sel_Region),OR(sel_Country="All",D818=sel_Country),OR(sel_Channel="All",E818=sel_Channel),OR(sel_Category="All",G818=sel_Category),OR(sel_Product="All",H818=sel_Product),AND(S818&gt;=m_From,S818&lt;=m_To)),1,0)</f>
        <v/>
      </c>
      <c r="Y818" s="36">
        <f>IF(AND(OR(sel_Region="All",C818=sel_Region),OR(sel_Country="All",D818=sel_Country),OR(sel_Channel="All",E818=sel_Channel),OR(sel_Customer="All",F818=sel_Customer),OR(sel_Product="All",H818=sel_Product),AND(S818&gt;=m_From,S818&lt;=m_To)),1,0)</f>
        <v/>
      </c>
      <c r="Z818" s="36">
        <f>IF(AND(OR(sel_Region="All",C818=sel_Region),OR(sel_Country="All",D818=sel_Country),OR(sel_Channel="All",E818=sel_Channel),OR(sel_Customer="All",F818=sel_Customer),OR(sel_Category="All",G818=sel_Category),AND(S818&gt;=m_From,S818&lt;=m_To)),1,0)</f>
        <v/>
      </c>
      <c r="AA818" s="36">
        <f>IF(AND(OR(sel_Region="All",C818=sel_Region),OR(sel_Country="All",D818=sel_Country),OR(sel_Channel="All",E818=sel_Channel),OR(sel_Customer="All",F818=sel_Customer),OR(sel_Category="All",G818=sel_Category),OR(sel_Product="All",H818=sel_Product)),1,0)</f>
        <v/>
      </c>
    </row>
    <row r="819">
      <c r="A819" s="36" t="inlineStr">
        <is>
          <t>01902</t>
        </is>
      </c>
      <c r="B819" s="44" t="n">
        <v>46156</v>
      </c>
      <c r="C819" s="36" t="inlineStr">
        <is>
          <t>Central Europe</t>
        </is>
      </c>
      <c r="D819" s="36" t="inlineStr">
        <is>
          <t>Poland</t>
        </is>
      </c>
      <c r="E819" s="36" t="inlineStr">
        <is>
          <t>Retail Partners</t>
        </is>
      </c>
      <c r="F819" s="36" t="inlineStr">
        <is>
          <t>Business</t>
        </is>
      </c>
      <c r="G819" s="36" t="inlineStr">
        <is>
          <t>Travel</t>
        </is>
      </c>
      <c r="H819" s="36" t="inlineStr">
        <is>
          <t>Carry-On Duffel</t>
        </is>
      </c>
      <c r="I819" s="36" t="n">
        <v>4</v>
      </c>
      <c r="J819" s="39" t="n">
        <v>130.83</v>
      </c>
      <c r="K819" s="45" t="n">
        <v>0</v>
      </c>
      <c r="L819" s="39" t="n">
        <v>66.95999999999999</v>
      </c>
      <c r="M819" s="39">
        <f>I819*J819*(1-K819)</f>
        <v/>
      </c>
      <c r="N819" s="39">
        <f>I819*L819</f>
        <v/>
      </c>
      <c r="O819" s="39">
        <f>M819-N819</f>
        <v/>
      </c>
      <c r="P819" s="38">
        <f>IF(M819=0,0,O819/M819)</f>
        <v/>
      </c>
      <c r="Q819" s="36">
        <f>YEAR(B819)</f>
        <v/>
      </c>
      <c r="R819" s="36">
        <f>"Q"&amp;ROUNDUP(MONTH(B819)/3,0)</f>
        <v/>
      </c>
      <c r="S819" s="36">
        <f>MONTH(B819)</f>
        <v/>
      </c>
      <c r="T819" s="36">
        <f>TEXT(B819,"mmm")</f>
        <v/>
      </c>
      <c r="U819" s="36">
        <f>IF(AND(OR(sel_Region="All",C819=sel_Region),OR(sel_Country="All",D819=sel_Country),OR(sel_Channel="All",E819=sel_Channel),OR(sel_Customer="All",F819=sel_Customer),OR(sel_Category="All",G819=sel_Category),OR(sel_Product="All",H819=sel_Product),AND(S819&gt;=m_From,S819&lt;=m_To)),1,0)</f>
        <v/>
      </c>
      <c r="V819" s="36">
        <f>IF(AND(OR(sel_Region="All",C819=sel_Region),OR(sel_Channel="All",E819=sel_Channel),OR(sel_Customer="All",F819=sel_Customer),OR(sel_Category="All",G819=sel_Category),OR(sel_Product="All",H819=sel_Product),AND(S819&gt;=m_From,S819&lt;=m_To)),1,0)</f>
        <v/>
      </c>
      <c r="W819" s="36">
        <f>IF(AND(OR(sel_Region="All",C819=sel_Region),OR(sel_Country="All",D819=sel_Country),OR(sel_Customer="All",F819=sel_Customer),OR(sel_Category="All",G819=sel_Category),OR(sel_Product="All",H819=sel_Product),AND(S819&gt;=m_From,S819&lt;=m_To)),1,0)</f>
        <v/>
      </c>
      <c r="X819" s="36">
        <f>IF(AND(OR(sel_Region="All",C819=sel_Region),OR(sel_Country="All",D819=sel_Country),OR(sel_Channel="All",E819=sel_Channel),OR(sel_Category="All",G819=sel_Category),OR(sel_Product="All",H819=sel_Product),AND(S819&gt;=m_From,S819&lt;=m_To)),1,0)</f>
        <v/>
      </c>
      <c r="Y819" s="36">
        <f>IF(AND(OR(sel_Region="All",C819=sel_Region),OR(sel_Country="All",D819=sel_Country),OR(sel_Channel="All",E819=sel_Channel),OR(sel_Customer="All",F819=sel_Customer),OR(sel_Product="All",H819=sel_Product),AND(S819&gt;=m_From,S819&lt;=m_To)),1,0)</f>
        <v/>
      </c>
      <c r="Z819" s="36">
        <f>IF(AND(OR(sel_Region="All",C819=sel_Region),OR(sel_Country="All",D819=sel_Country),OR(sel_Channel="All",E819=sel_Channel),OR(sel_Customer="All",F819=sel_Customer),OR(sel_Category="All",G819=sel_Category),AND(S819&gt;=m_From,S819&lt;=m_To)),1,0)</f>
        <v/>
      </c>
      <c r="AA819" s="36">
        <f>IF(AND(OR(sel_Region="All",C819=sel_Region),OR(sel_Country="All",D819=sel_Country),OR(sel_Channel="All",E819=sel_Channel),OR(sel_Customer="All",F819=sel_Customer),OR(sel_Category="All",G819=sel_Category),OR(sel_Product="All",H819=sel_Product)),1,0)</f>
        <v/>
      </c>
    </row>
    <row r="820">
      <c r="A820" s="36" t="inlineStr">
        <is>
          <t>03913</t>
        </is>
      </c>
      <c r="B820" s="44" t="n">
        <v>46156</v>
      </c>
      <c r="C820" s="36" t="inlineStr">
        <is>
          <t>Central Europe</t>
        </is>
      </c>
      <c r="D820" s="36" t="inlineStr">
        <is>
          <t>Germany</t>
        </is>
      </c>
      <c r="E820" s="36" t="inlineStr">
        <is>
          <t>Online Store</t>
        </is>
      </c>
      <c r="F820" s="36" t="inlineStr">
        <is>
          <t>New</t>
        </is>
      </c>
      <c r="G820" s="36" t="inlineStr">
        <is>
          <t>Cycling</t>
        </is>
      </c>
      <c r="H820" s="36" t="inlineStr">
        <is>
          <t>Trail Bike Light</t>
        </is>
      </c>
      <c r="I820" s="36" t="n">
        <v>1</v>
      </c>
      <c r="J820" s="39" t="n">
        <v>50.34</v>
      </c>
      <c r="K820" s="45" t="n">
        <v>0.05</v>
      </c>
      <c r="L820" s="39" t="n">
        <v>22.23</v>
      </c>
      <c r="M820" s="39">
        <f>I820*J820*(1-K820)</f>
        <v/>
      </c>
      <c r="N820" s="39">
        <f>I820*L820</f>
        <v/>
      </c>
      <c r="O820" s="39">
        <f>M820-N820</f>
        <v/>
      </c>
      <c r="P820" s="38">
        <f>IF(M820=0,0,O820/M820)</f>
        <v/>
      </c>
      <c r="Q820" s="36">
        <f>YEAR(B820)</f>
        <v/>
      </c>
      <c r="R820" s="36">
        <f>"Q"&amp;ROUNDUP(MONTH(B820)/3,0)</f>
        <v/>
      </c>
      <c r="S820" s="36">
        <f>MONTH(B820)</f>
        <v/>
      </c>
      <c r="T820" s="36">
        <f>TEXT(B820,"mmm")</f>
        <v/>
      </c>
      <c r="U820" s="36">
        <f>IF(AND(OR(sel_Region="All",C820=sel_Region),OR(sel_Country="All",D820=sel_Country),OR(sel_Channel="All",E820=sel_Channel),OR(sel_Customer="All",F820=sel_Customer),OR(sel_Category="All",G820=sel_Category),OR(sel_Product="All",H820=sel_Product),AND(S820&gt;=m_From,S820&lt;=m_To)),1,0)</f>
        <v/>
      </c>
      <c r="V820" s="36">
        <f>IF(AND(OR(sel_Region="All",C820=sel_Region),OR(sel_Channel="All",E820=sel_Channel),OR(sel_Customer="All",F820=sel_Customer),OR(sel_Category="All",G820=sel_Category),OR(sel_Product="All",H820=sel_Product),AND(S820&gt;=m_From,S820&lt;=m_To)),1,0)</f>
        <v/>
      </c>
      <c r="W820" s="36">
        <f>IF(AND(OR(sel_Region="All",C820=sel_Region),OR(sel_Country="All",D820=sel_Country),OR(sel_Customer="All",F820=sel_Customer),OR(sel_Category="All",G820=sel_Category),OR(sel_Product="All",H820=sel_Product),AND(S820&gt;=m_From,S820&lt;=m_To)),1,0)</f>
        <v/>
      </c>
      <c r="X820" s="36">
        <f>IF(AND(OR(sel_Region="All",C820=sel_Region),OR(sel_Country="All",D820=sel_Country),OR(sel_Channel="All",E820=sel_Channel),OR(sel_Category="All",G820=sel_Category),OR(sel_Product="All",H820=sel_Product),AND(S820&gt;=m_From,S820&lt;=m_To)),1,0)</f>
        <v/>
      </c>
      <c r="Y820" s="36">
        <f>IF(AND(OR(sel_Region="All",C820=sel_Region),OR(sel_Country="All",D820=sel_Country),OR(sel_Channel="All",E820=sel_Channel),OR(sel_Customer="All",F820=sel_Customer),OR(sel_Product="All",H820=sel_Product),AND(S820&gt;=m_From,S820&lt;=m_To)),1,0)</f>
        <v/>
      </c>
      <c r="Z820" s="36">
        <f>IF(AND(OR(sel_Region="All",C820=sel_Region),OR(sel_Country="All",D820=sel_Country),OR(sel_Channel="All",E820=sel_Channel),OR(sel_Customer="All",F820=sel_Customer),OR(sel_Category="All",G820=sel_Category),AND(S820&gt;=m_From,S820&lt;=m_To)),1,0)</f>
        <v/>
      </c>
      <c r="AA820" s="36">
        <f>IF(AND(OR(sel_Region="All",C820=sel_Region),OR(sel_Country="All",D820=sel_Country),OR(sel_Channel="All",E820=sel_Channel),OR(sel_Customer="All",F820=sel_Customer),OR(sel_Category="All",G820=sel_Category),OR(sel_Product="All",H820=sel_Product)),1,0)</f>
        <v/>
      </c>
    </row>
    <row r="821">
      <c r="A821" s="36" t="inlineStr">
        <is>
          <t>04378</t>
        </is>
      </c>
      <c r="B821" s="44" t="n">
        <v>46156</v>
      </c>
      <c r="C821" s="36" t="inlineStr">
        <is>
          <t>Northern Europe</t>
        </is>
      </c>
      <c r="D821" s="36" t="inlineStr">
        <is>
          <t>Finland</t>
        </is>
      </c>
      <c r="E821" s="36" t="inlineStr">
        <is>
          <t>Online Store</t>
        </is>
      </c>
      <c r="F821" s="36" t="inlineStr">
        <is>
          <t>Returning</t>
        </is>
      </c>
      <c r="G821" s="36" t="inlineStr">
        <is>
          <t>Cycling</t>
        </is>
      </c>
      <c r="H821" s="36" t="inlineStr">
        <is>
          <t>Cycling Pack 12L</t>
        </is>
      </c>
      <c r="I821" s="36" t="n">
        <v>2</v>
      </c>
      <c r="J821" s="39" t="n">
        <v>103.37</v>
      </c>
      <c r="K821" s="45" t="n">
        <v>0</v>
      </c>
      <c r="L821" s="39" t="n">
        <v>50.49</v>
      </c>
      <c r="M821" s="39">
        <f>I821*J821*(1-K821)</f>
        <v/>
      </c>
      <c r="N821" s="39">
        <f>I821*L821</f>
        <v/>
      </c>
      <c r="O821" s="39">
        <f>M821-N821</f>
        <v/>
      </c>
      <c r="P821" s="38">
        <f>IF(M821=0,0,O821/M821)</f>
        <v/>
      </c>
      <c r="Q821" s="36">
        <f>YEAR(B821)</f>
        <v/>
      </c>
      <c r="R821" s="36">
        <f>"Q"&amp;ROUNDUP(MONTH(B821)/3,0)</f>
        <v/>
      </c>
      <c r="S821" s="36">
        <f>MONTH(B821)</f>
        <v/>
      </c>
      <c r="T821" s="36">
        <f>TEXT(B821,"mmm")</f>
        <v/>
      </c>
      <c r="U821" s="36">
        <f>IF(AND(OR(sel_Region="All",C821=sel_Region),OR(sel_Country="All",D821=sel_Country),OR(sel_Channel="All",E821=sel_Channel),OR(sel_Customer="All",F821=sel_Customer),OR(sel_Category="All",G821=sel_Category),OR(sel_Product="All",H821=sel_Product),AND(S821&gt;=m_From,S821&lt;=m_To)),1,0)</f>
        <v/>
      </c>
      <c r="V821" s="36">
        <f>IF(AND(OR(sel_Region="All",C821=sel_Region),OR(sel_Channel="All",E821=sel_Channel),OR(sel_Customer="All",F821=sel_Customer),OR(sel_Category="All",G821=sel_Category),OR(sel_Product="All",H821=sel_Product),AND(S821&gt;=m_From,S821&lt;=m_To)),1,0)</f>
        <v/>
      </c>
      <c r="W821" s="36">
        <f>IF(AND(OR(sel_Region="All",C821=sel_Region),OR(sel_Country="All",D821=sel_Country),OR(sel_Customer="All",F821=sel_Customer),OR(sel_Category="All",G821=sel_Category),OR(sel_Product="All",H821=sel_Product),AND(S821&gt;=m_From,S821&lt;=m_To)),1,0)</f>
        <v/>
      </c>
      <c r="X821" s="36">
        <f>IF(AND(OR(sel_Region="All",C821=sel_Region),OR(sel_Country="All",D821=sel_Country),OR(sel_Channel="All",E821=sel_Channel),OR(sel_Category="All",G821=sel_Category),OR(sel_Product="All",H821=sel_Product),AND(S821&gt;=m_From,S821&lt;=m_To)),1,0)</f>
        <v/>
      </c>
      <c r="Y821" s="36">
        <f>IF(AND(OR(sel_Region="All",C821=sel_Region),OR(sel_Country="All",D821=sel_Country),OR(sel_Channel="All",E821=sel_Channel),OR(sel_Customer="All",F821=sel_Customer),OR(sel_Product="All",H821=sel_Product),AND(S821&gt;=m_From,S821&lt;=m_To)),1,0)</f>
        <v/>
      </c>
      <c r="Z821" s="36">
        <f>IF(AND(OR(sel_Region="All",C821=sel_Region),OR(sel_Country="All",D821=sel_Country),OR(sel_Channel="All",E821=sel_Channel),OR(sel_Customer="All",F821=sel_Customer),OR(sel_Category="All",G821=sel_Category),AND(S821&gt;=m_From,S821&lt;=m_To)),1,0)</f>
        <v/>
      </c>
      <c r="AA821" s="36">
        <f>IF(AND(OR(sel_Region="All",C821=sel_Region),OR(sel_Country="All",D821=sel_Country),OR(sel_Channel="All",E821=sel_Channel),OR(sel_Customer="All",F821=sel_Customer),OR(sel_Category="All",G821=sel_Category),OR(sel_Product="All",H821=sel_Product)),1,0)</f>
        <v/>
      </c>
    </row>
    <row r="822">
      <c r="A822" s="36" t="inlineStr">
        <is>
          <t>04551</t>
        </is>
      </c>
      <c r="B822" s="44" t="n">
        <v>46156</v>
      </c>
      <c r="C822" s="36" t="inlineStr">
        <is>
          <t>Central Europe</t>
        </is>
      </c>
      <c r="D822" s="36" t="inlineStr">
        <is>
          <t>Poland</t>
        </is>
      </c>
      <c r="E822" s="36" t="inlineStr">
        <is>
          <t>Retail Partners</t>
        </is>
      </c>
      <c r="F822" s="36" t="inlineStr">
        <is>
          <t>Business</t>
        </is>
      </c>
      <c r="G822" s="36" t="inlineStr">
        <is>
          <t>Fitness</t>
        </is>
      </c>
      <c r="H822" s="36" t="inlineStr">
        <is>
          <t>Weighted Vest</t>
        </is>
      </c>
      <c r="I822" s="36" t="n">
        <v>3</v>
      </c>
      <c r="J822" s="39" t="n">
        <v>122.31</v>
      </c>
      <c r="K822" s="45" t="n">
        <v>0.05</v>
      </c>
      <c r="L822" s="39" t="n">
        <v>71.11</v>
      </c>
      <c r="M822" s="39">
        <f>I822*J822*(1-K822)</f>
        <v/>
      </c>
      <c r="N822" s="39">
        <f>I822*L822</f>
        <v/>
      </c>
      <c r="O822" s="39">
        <f>M822-N822</f>
        <v/>
      </c>
      <c r="P822" s="38">
        <f>IF(M822=0,0,O822/M822)</f>
        <v/>
      </c>
      <c r="Q822" s="36">
        <f>YEAR(B822)</f>
        <v/>
      </c>
      <c r="R822" s="36">
        <f>"Q"&amp;ROUNDUP(MONTH(B822)/3,0)</f>
        <v/>
      </c>
      <c r="S822" s="36">
        <f>MONTH(B822)</f>
        <v/>
      </c>
      <c r="T822" s="36">
        <f>TEXT(B822,"mmm")</f>
        <v/>
      </c>
      <c r="U822" s="36">
        <f>IF(AND(OR(sel_Region="All",C822=sel_Region),OR(sel_Country="All",D822=sel_Country),OR(sel_Channel="All",E822=sel_Channel),OR(sel_Customer="All",F822=sel_Customer),OR(sel_Category="All",G822=sel_Category),OR(sel_Product="All",H822=sel_Product),AND(S822&gt;=m_From,S822&lt;=m_To)),1,0)</f>
        <v/>
      </c>
      <c r="V822" s="36">
        <f>IF(AND(OR(sel_Region="All",C822=sel_Region),OR(sel_Channel="All",E822=sel_Channel),OR(sel_Customer="All",F822=sel_Customer),OR(sel_Category="All",G822=sel_Category),OR(sel_Product="All",H822=sel_Product),AND(S822&gt;=m_From,S822&lt;=m_To)),1,0)</f>
        <v/>
      </c>
      <c r="W822" s="36">
        <f>IF(AND(OR(sel_Region="All",C822=sel_Region),OR(sel_Country="All",D822=sel_Country),OR(sel_Customer="All",F822=sel_Customer),OR(sel_Category="All",G822=sel_Category),OR(sel_Product="All",H822=sel_Product),AND(S822&gt;=m_From,S822&lt;=m_To)),1,0)</f>
        <v/>
      </c>
      <c r="X822" s="36">
        <f>IF(AND(OR(sel_Region="All",C822=sel_Region),OR(sel_Country="All",D822=sel_Country),OR(sel_Channel="All",E822=sel_Channel),OR(sel_Category="All",G822=sel_Category),OR(sel_Product="All",H822=sel_Product),AND(S822&gt;=m_From,S822&lt;=m_To)),1,0)</f>
        <v/>
      </c>
      <c r="Y822" s="36">
        <f>IF(AND(OR(sel_Region="All",C822=sel_Region),OR(sel_Country="All",D822=sel_Country),OR(sel_Channel="All",E822=sel_Channel),OR(sel_Customer="All",F822=sel_Customer),OR(sel_Product="All",H822=sel_Product),AND(S822&gt;=m_From,S822&lt;=m_To)),1,0)</f>
        <v/>
      </c>
      <c r="Z822" s="36">
        <f>IF(AND(OR(sel_Region="All",C822=sel_Region),OR(sel_Country="All",D822=sel_Country),OR(sel_Channel="All",E822=sel_Channel),OR(sel_Customer="All",F822=sel_Customer),OR(sel_Category="All",G822=sel_Category),AND(S822&gt;=m_From,S822&lt;=m_To)),1,0)</f>
        <v/>
      </c>
      <c r="AA822" s="36">
        <f>IF(AND(OR(sel_Region="All",C822=sel_Region),OR(sel_Country="All",D822=sel_Country),OR(sel_Channel="All",E822=sel_Channel),OR(sel_Customer="All",F822=sel_Customer),OR(sel_Category="All",G822=sel_Category),OR(sel_Product="All",H822=sel_Product)),1,0)</f>
        <v/>
      </c>
    </row>
    <row r="823">
      <c r="A823" s="36" t="inlineStr">
        <is>
          <t>00787</t>
        </is>
      </c>
      <c r="B823" s="44" t="n">
        <v>46157</v>
      </c>
      <c r="C823" s="36" t="inlineStr">
        <is>
          <t>Southern Europe</t>
        </is>
      </c>
      <c r="D823" s="36" t="inlineStr">
        <is>
          <t>Portugal</t>
        </is>
      </c>
      <c r="E823" s="36" t="inlineStr">
        <is>
          <t>Online Store</t>
        </is>
      </c>
      <c r="F823" s="36" t="inlineStr">
        <is>
          <t>Business</t>
        </is>
      </c>
      <c r="G823" s="36" t="inlineStr">
        <is>
          <t>Travel</t>
        </is>
      </c>
      <c r="H823" s="36" t="inlineStr">
        <is>
          <t>Travel Backpack 35L</t>
        </is>
      </c>
      <c r="I823" s="36" t="n">
        <v>1</v>
      </c>
      <c r="J823" s="39" t="n">
        <v>166.48</v>
      </c>
      <c r="K823" s="45" t="n">
        <v>0</v>
      </c>
      <c r="L823" s="39" t="n">
        <v>89.42</v>
      </c>
      <c r="M823" s="39">
        <f>I823*J823*(1-K823)</f>
        <v/>
      </c>
      <c r="N823" s="39">
        <f>I823*L823</f>
        <v/>
      </c>
      <c r="O823" s="39">
        <f>M823-N823</f>
        <v/>
      </c>
      <c r="P823" s="38">
        <f>IF(M823=0,0,O823/M823)</f>
        <v/>
      </c>
      <c r="Q823" s="36">
        <f>YEAR(B823)</f>
        <v/>
      </c>
      <c r="R823" s="36">
        <f>"Q"&amp;ROUNDUP(MONTH(B823)/3,0)</f>
        <v/>
      </c>
      <c r="S823" s="36">
        <f>MONTH(B823)</f>
        <v/>
      </c>
      <c r="T823" s="36">
        <f>TEXT(B823,"mmm")</f>
        <v/>
      </c>
      <c r="U823" s="36">
        <f>IF(AND(OR(sel_Region="All",C823=sel_Region),OR(sel_Country="All",D823=sel_Country),OR(sel_Channel="All",E823=sel_Channel),OR(sel_Customer="All",F823=sel_Customer),OR(sel_Category="All",G823=sel_Category),OR(sel_Product="All",H823=sel_Product),AND(S823&gt;=m_From,S823&lt;=m_To)),1,0)</f>
        <v/>
      </c>
      <c r="V823" s="36">
        <f>IF(AND(OR(sel_Region="All",C823=sel_Region),OR(sel_Channel="All",E823=sel_Channel),OR(sel_Customer="All",F823=sel_Customer),OR(sel_Category="All",G823=sel_Category),OR(sel_Product="All",H823=sel_Product),AND(S823&gt;=m_From,S823&lt;=m_To)),1,0)</f>
        <v/>
      </c>
      <c r="W823" s="36">
        <f>IF(AND(OR(sel_Region="All",C823=sel_Region),OR(sel_Country="All",D823=sel_Country),OR(sel_Customer="All",F823=sel_Customer),OR(sel_Category="All",G823=sel_Category),OR(sel_Product="All",H823=sel_Product),AND(S823&gt;=m_From,S823&lt;=m_To)),1,0)</f>
        <v/>
      </c>
      <c r="X823" s="36">
        <f>IF(AND(OR(sel_Region="All",C823=sel_Region),OR(sel_Country="All",D823=sel_Country),OR(sel_Channel="All",E823=sel_Channel),OR(sel_Category="All",G823=sel_Category),OR(sel_Product="All",H823=sel_Product),AND(S823&gt;=m_From,S823&lt;=m_To)),1,0)</f>
        <v/>
      </c>
      <c r="Y823" s="36">
        <f>IF(AND(OR(sel_Region="All",C823=sel_Region),OR(sel_Country="All",D823=sel_Country),OR(sel_Channel="All",E823=sel_Channel),OR(sel_Customer="All",F823=sel_Customer),OR(sel_Product="All",H823=sel_Product),AND(S823&gt;=m_From,S823&lt;=m_To)),1,0)</f>
        <v/>
      </c>
      <c r="Z823" s="36">
        <f>IF(AND(OR(sel_Region="All",C823=sel_Region),OR(sel_Country="All",D823=sel_Country),OR(sel_Channel="All",E823=sel_Channel),OR(sel_Customer="All",F823=sel_Customer),OR(sel_Category="All",G823=sel_Category),AND(S823&gt;=m_From,S823&lt;=m_To)),1,0)</f>
        <v/>
      </c>
      <c r="AA823" s="36">
        <f>IF(AND(OR(sel_Region="All",C823=sel_Region),OR(sel_Country="All",D823=sel_Country),OR(sel_Channel="All",E823=sel_Channel),OR(sel_Customer="All",F823=sel_Customer),OR(sel_Category="All",G823=sel_Category),OR(sel_Product="All",H823=sel_Product)),1,0)</f>
        <v/>
      </c>
    </row>
    <row r="824">
      <c r="A824" s="36" t="inlineStr">
        <is>
          <t>01133</t>
        </is>
      </c>
      <c r="B824" s="44" t="n">
        <v>46157</v>
      </c>
      <c r="C824" s="36" t="inlineStr">
        <is>
          <t>Southern Europe</t>
        </is>
      </c>
      <c r="D824" s="36" t="inlineStr">
        <is>
          <t>Italy</t>
        </is>
      </c>
      <c r="E824" s="36" t="inlineStr">
        <is>
          <t>Retail Partners</t>
        </is>
      </c>
      <c r="F824" s="36" t="inlineStr">
        <is>
          <t>New</t>
        </is>
      </c>
      <c r="G824" s="36" t="inlineStr">
        <is>
          <t>Camping</t>
        </is>
      </c>
      <c r="H824" s="36" t="inlineStr">
        <is>
          <t>Trail Tent 2P</t>
        </is>
      </c>
      <c r="I824" s="36" t="n">
        <v>3</v>
      </c>
      <c r="J824" s="39" t="n">
        <v>192.21</v>
      </c>
      <c r="K824" s="45" t="n">
        <v>0</v>
      </c>
      <c r="L824" s="39" t="n">
        <v>103.51</v>
      </c>
      <c r="M824" s="39">
        <f>I824*J824*(1-K824)</f>
        <v/>
      </c>
      <c r="N824" s="39">
        <f>I824*L824</f>
        <v/>
      </c>
      <c r="O824" s="39">
        <f>M824-N824</f>
        <v/>
      </c>
      <c r="P824" s="38">
        <f>IF(M824=0,0,O824/M824)</f>
        <v/>
      </c>
      <c r="Q824" s="36">
        <f>YEAR(B824)</f>
        <v/>
      </c>
      <c r="R824" s="36">
        <f>"Q"&amp;ROUNDUP(MONTH(B824)/3,0)</f>
        <v/>
      </c>
      <c r="S824" s="36">
        <f>MONTH(B824)</f>
        <v/>
      </c>
      <c r="T824" s="36">
        <f>TEXT(B824,"mmm")</f>
        <v/>
      </c>
      <c r="U824" s="36">
        <f>IF(AND(OR(sel_Region="All",C824=sel_Region),OR(sel_Country="All",D824=sel_Country),OR(sel_Channel="All",E824=sel_Channel),OR(sel_Customer="All",F824=sel_Customer),OR(sel_Category="All",G824=sel_Category),OR(sel_Product="All",H824=sel_Product),AND(S824&gt;=m_From,S824&lt;=m_To)),1,0)</f>
        <v/>
      </c>
      <c r="V824" s="36">
        <f>IF(AND(OR(sel_Region="All",C824=sel_Region),OR(sel_Channel="All",E824=sel_Channel),OR(sel_Customer="All",F824=sel_Customer),OR(sel_Category="All",G824=sel_Category),OR(sel_Product="All",H824=sel_Product),AND(S824&gt;=m_From,S824&lt;=m_To)),1,0)</f>
        <v/>
      </c>
      <c r="W824" s="36">
        <f>IF(AND(OR(sel_Region="All",C824=sel_Region),OR(sel_Country="All",D824=sel_Country),OR(sel_Customer="All",F824=sel_Customer),OR(sel_Category="All",G824=sel_Category),OR(sel_Product="All",H824=sel_Product),AND(S824&gt;=m_From,S824&lt;=m_To)),1,0)</f>
        <v/>
      </c>
      <c r="X824" s="36">
        <f>IF(AND(OR(sel_Region="All",C824=sel_Region),OR(sel_Country="All",D824=sel_Country),OR(sel_Channel="All",E824=sel_Channel),OR(sel_Category="All",G824=sel_Category),OR(sel_Product="All",H824=sel_Product),AND(S824&gt;=m_From,S824&lt;=m_To)),1,0)</f>
        <v/>
      </c>
      <c r="Y824" s="36">
        <f>IF(AND(OR(sel_Region="All",C824=sel_Region),OR(sel_Country="All",D824=sel_Country),OR(sel_Channel="All",E824=sel_Channel),OR(sel_Customer="All",F824=sel_Customer),OR(sel_Product="All",H824=sel_Product),AND(S824&gt;=m_From,S824&lt;=m_To)),1,0)</f>
        <v/>
      </c>
      <c r="Z824" s="36">
        <f>IF(AND(OR(sel_Region="All",C824=sel_Region),OR(sel_Country="All",D824=sel_Country),OR(sel_Channel="All",E824=sel_Channel),OR(sel_Customer="All",F824=sel_Customer),OR(sel_Category="All",G824=sel_Category),AND(S824&gt;=m_From,S824&lt;=m_To)),1,0)</f>
        <v/>
      </c>
      <c r="AA824" s="36">
        <f>IF(AND(OR(sel_Region="All",C824=sel_Region),OR(sel_Country="All",D824=sel_Country),OR(sel_Channel="All",E824=sel_Channel),OR(sel_Customer="All",F824=sel_Customer),OR(sel_Category="All",G824=sel_Category),OR(sel_Product="All",H824=sel_Product)),1,0)</f>
        <v/>
      </c>
    </row>
    <row r="825">
      <c r="A825" s="36" t="inlineStr">
        <is>
          <t>02075</t>
        </is>
      </c>
      <c r="B825" s="44" t="n">
        <v>46157</v>
      </c>
      <c r="C825" s="36" t="inlineStr">
        <is>
          <t>Southern Europe</t>
        </is>
      </c>
      <c r="D825" s="36" t="inlineStr">
        <is>
          <t>Portugal</t>
        </is>
      </c>
      <c r="E825" s="36" t="inlineStr">
        <is>
          <t>Corporate</t>
        </is>
      </c>
      <c r="F825" s="36" t="inlineStr">
        <is>
          <t>Business</t>
        </is>
      </c>
      <c r="G825" s="36" t="inlineStr">
        <is>
          <t>Camping</t>
        </is>
      </c>
      <c r="H825" s="36" t="inlineStr">
        <is>
          <t>Portable Camp Stove</t>
        </is>
      </c>
      <c r="I825" s="36" t="n">
        <v>6</v>
      </c>
      <c r="J825" s="39" t="n">
        <v>81.13</v>
      </c>
      <c r="K825" s="45" t="n">
        <v>0.05</v>
      </c>
      <c r="L825" s="39" t="n">
        <v>39.41</v>
      </c>
      <c r="M825" s="39">
        <f>I825*J825*(1-K825)</f>
        <v/>
      </c>
      <c r="N825" s="39">
        <f>I825*L825</f>
        <v/>
      </c>
      <c r="O825" s="39">
        <f>M825-N825</f>
        <v/>
      </c>
      <c r="P825" s="38">
        <f>IF(M825=0,0,O825/M825)</f>
        <v/>
      </c>
      <c r="Q825" s="36">
        <f>YEAR(B825)</f>
        <v/>
      </c>
      <c r="R825" s="36">
        <f>"Q"&amp;ROUNDUP(MONTH(B825)/3,0)</f>
        <v/>
      </c>
      <c r="S825" s="36">
        <f>MONTH(B825)</f>
        <v/>
      </c>
      <c r="T825" s="36">
        <f>TEXT(B825,"mmm")</f>
        <v/>
      </c>
      <c r="U825" s="36">
        <f>IF(AND(OR(sel_Region="All",C825=sel_Region),OR(sel_Country="All",D825=sel_Country),OR(sel_Channel="All",E825=sel_Channel),OR(sel_Customer="All",F825=sel_Customer),OR(sel_Category="All",G825=sel_Category),OR(sel_Product="All",H825=sel_Product),AND(S825&gt;=m_From,S825&lt;=m_To)),1,0)</f>
        <v/>
      </c>
      <c r="V825" s="36">
        <f>IF(AND(OR(sel_Region="All",C825=sel_Region),OR(sel_Channel="All",E825=sel_Channel),OR(sel_Customer="All",F825=sel_Customer),OR(sel_Category="All",G825=sel_Category),OR(sel_Product="All",H825=sel_Product),AND(S825&gt;=m_From,S825&lt;=m_To)),1,0)</f>
        <v/>
      </c>
      <c r="W825" s="36">
        <f>IF(AND(OR(sel_Region="All",C825=sel_Region),OR(sel_Country="All",D825=sel_Country),OR(sel_Customer="All",F825=sel_Customer),OR(sel_Category="All",G825=sel_Category),OR(sel_Product="All",H825=sel_Product),AND(S825&gt;=m_From,S825&lt;=m_To)),1,0)</f>
        <v/>
      </c>
      <c r="X825" s="36">
        <f>IF(AND(OR(sel_Region="All",C825=sel_Region),OR(sel_Country="All",D825=sel_Country),OR(sel_Channel="All",E825=sel_Channel),OR(sel_Category="All",G825=sel_Category),OR(sel_Product="All",H825=sel_Product),AND(S825&gt;=m_From,S825&lt;=m_To)),1,0)</f>
        <v/>
      </c>
      <c r="Y825" s="36">
        <f>IF(AND(OR(sel_Region="All",C825=sel_Region),OR(sel_Country="All",D825=sel_Country),OR(sel_Channel="All",E825=sel_Channel),OR(sel_Customer="All",F825=sel_Customer),OR(sel_Product="All",H825=sel_Product),AND(S825&gt;=m_From,S825&lt;=m_To)),1,0)</f>
        <v/>
      </c>
      <c r="Z825" s="36">
        <f>IF(AND(OR(sel_Region="All",C825=sel_Region),OR(sel_Country="All",D825=sel_Country),OR(sel_Channel="All",E825=sel_Channel),OR(sel_Customer="All",F825=sel_Customer),OR(sel_Category="All",G825=sel_Category),AND(S825&gt;=m_From,S825&lt;=m_To)),1,0)</f>
        <v/>
      </c>
      <c r="AA825" s="36">
        <f>IF(AND(OR(sel_Region="All",C825=sel_Region),OR(sel_Country="All",D825=sel_Country),OR(sel_Channel="All",E825=sel_Channel),OR(sel_Customer="All",F825=sel_Customer),OR(sel_Category="All",G825=sel_Category),OR(sel_Product="All",H825=sel_Product)),1,0)</f>
        <v/>
      </c>
    </row>
    <row r="826">
      <c r="A826" s="36" t="inlineStr">
        <is>
          <t>02172</t>
        </is>
      </c>
      <c r="B826" s="44" t="n">
        <v>46157</v>
      </c>
      <c r="C826" s="36" t="inlineStr">
        <is>
          <t>Northern Europe</t>
        </is>
      </c>
      <c r="D826" s="36" t="inlineStr">
        <is>
          <t>Finland</t>
        </is>
      </c>
      <c r="E826" s="36" t="inlineStr">
        <is>
          <t>Corporate</t>
        </is>
      </c>
      <c r="F826" s="36" t="inlineStr">
        <is>
          <t>Business</t>
        </is>
      </c>
      <c r="G826" s="36" t="inlineStr">
        <is>
          <t>Travel</t>
        </is>
      </c>
      <c r="H826" s="36" t="inlineStr">
        <is>
          <t>Insulated Bottle</t>
        </is>
      </c>
      <c r="I826" s="36" t="n">
        <v>6</v>
      </c>
      <c r="J826" s="39" t="n">
        <v>37.1</v>
      </c>
      <c r="K826" s="45" t="n">
        <v>0.1</v>
      </c>
      <c r="L826" s="39" t="n">
        <v>13.63</v>
      </c>
      <c r="M826" s="39">
        <f>I826*J826*(1-K826)</f>
        <v/>
      </c>
      <c r="N826" s="39">
        <f>I826*L826</f>
        <v/>
      </c>
      <c r="O826" s="39">
        <f>M826-N826</f>
        <v/>
      </c>
      <c r="P826" s="38">
        <f>IF(M826=0,0,O826/M826)</f>
        <v/>
      </c>
      <c r="Q826" s="36">
        <f>YEAR(B826)</f>
        <v/>
      </c>
      <c r="R826" s="36">
        <f>"Q"&amp;ROUNDUP(MONTH(B826)/3,0)</f>
        <v/>
      </c>
      <c r="S826" s="36">
        <f>MONTH(B826)</f>
        <v/>
      </c>
      <c r="T826" s="36">
        <f>TEXT(B826,"mmm")</f>
        <v/>
      </c>
      <c r="U826" s="36">
        <f>IF(AND(OR(sel_Region="All",C826=sel_Region),OR(sel_Country="All",D826=sel_Country),OR(sel_Channel="All",E826=sel_Channel),OR(sel_Customer="All",F826=sel_Customer),OR(sel_Category="All",G826=sel_Category),OR(sel_Product="All",H826=sel_Product),AND(S826&gt;=m_From,S826&lt;=m_To)),1,0)</f>
        <v/>
      </c>
      <c r="V826" s="36">
        <f>IF(AND(OR(sel_Region="All",C826=sel_Region),OR(sel_Channel="All",E826=sel_Channel),OR(sel_Customer="All",F826=sel_Customer),OR(sel_Category="All",G826=sel_Category),OR(sel_Product="All",H826=sel_Product),AND(S826&gt;=m_From,S826&lt;=m_To)),1,0)</f>
        <v/>
      </c>
      <c r="W826" s="36">
        <f>IF(AND(OR(sel_Region="All",C826=sel_Region),OR(sel_Country="All",D826=sel_Country),OR(sel_Customer="All",F826=sel_Customer),OR(sel_Category="All",G826=sel_Category),OR(sel_Product="All",H826=sel_Product),AND(S826&gt;=m_From,S826&lt;=m_To)),1,0)</f>
        <v/>
      </c>
      <c r="X826" s="36">
        <f>IF(AND(OR(sel_Region="All",C826=sel_Region),OR(sel_Country="All",D826=sel_Country),OR(sel_Channel="All",E826=sel_Channel),OR(sel_Category="All",G826=sel_Category),OR(sel_Product="All",H826=sel_Product),AND(S826&gt;=m_From,S826&lt;=m_To)),1,0)</f>
        <v/>
      </c>
      <c r="Y826" s="36">
        <f>IF(AND(OR(sel_Region="All",C826=sel_Region),OR(sel_Country="All",D826=sel_Country),OR(sel_Channel="All",E826=sel_Channel),OR(sel_Customer="All",F826=sel_Customer),OR(sel_Product="All",H826=sel_Product),AND(S826&gt;=m_From,S826&lt;=m_To)),1,0)</f>
        <v/>
      </c>
      <c r="Z826" s="36">
        <f>IF(AND(OR(sel_Region="All",C826=sel_Region),OR(sel_Country="All",D826=sel_Country),OR(sel_Channel="All",E826=sel_Channel),OR(sel_Customer="All",F826=sel_Customer),OR(sel_Category="All",G826=sel_Category),AND(S826&gt;=m_From,S826&lt;=m_To)),1,0)</f>
        <v/>
      </c>
      <c r="AA826" s="36">
        <f>IF(AND(OR(sel_Region="All",C826=sel_Region),OR(sel_Country="All",D826=sel_Country),OR(sel_Channel="All",E826=sel_Channel),OR(sel_Customer="All",F826=sel_Customer),OR(sel_Category="All",G826=sel_Category),OR(sel_Product="All",H826=sel_Product)),1,0)</f>
        <v/>
      </c>
    </row>
    <row r="827">
      <c r="A827" s="36" t="inlineStr">
        <is>
          <t>02977</t>
        </is>
      </c>
      <c r="B827" s="44" t="n">
        <v>46157</v>
      </c>
      <c r="C827" s="36" t="inlineStr">
        <is>
          <t>Central Europe</t>
        </is>
      </c>
      <c r="D827" s="36" t="inlineStr">
        <is>
          <t>Poland</t>
        </is>
      </c>
      <c r="E827" s="36" t="inlineStr">
        <is>
          <t>Corporate</t>
        </is>
      </c>
      <c r="F827" s="36" t="inlineStr">
        <is>
          <t>Business</t>
        </is>
      </c>
      <c r="G827" s="36" t="inlineStr">
        <is>
          <t>Travel</t>
        </is>
      </c>
      <c r="H827" s="36" t="inlineStr">
        <is>
          <t>Insulated Bottle</t>
        </is>
      </c>
      <c r="I827" s="36" t="n">
        <v>6</v>
      </c>
      <c r="J827" s="39" t="n">
        <v>35.92</v>
      </c>
      <c r="K827" s="45" t="n">
        <v>0.15</v>
      </c>
      <c r="L827" s="39" t="n">
        <v>13.3</v>
      </c>
      <c r="M827" s="39">
        <f>I827*J827*(1-K827)</f>
        <v/>
      </c>
      <c r="N827" s="39">
        <f>I827*L827</f>
        <v/>
      </c>
      <c r="O827" s="39">
        <f>M827-N827</f>
        <v/>
      </c>
      <c r="P827" s="38">
        <f>IF(M827=0,0,O827/M827)</f>
        <v/>
      </c>
      <c r="Q827" s="36">
        <f>YEAR(B827)</f>
        <v/>
      </c>
      <c r="R827" s="36">
        <f>"Q"&amp;ROUNDUP(MONTH(B827)/3,0)</f>
        <v/>
      </c>
      <c r="S827" s="36">
        <f>MONTH(B827)</f>
        <v/>
      </c>
      <c r="T827" s="36">
        <f>TEXT(B827,"mmm")</f>
        <v/>
      </c>
      <c r="U827" s="36">
        <f>IF(AND(OR(sel_Region="All",C827=sel_Region),OR(sel_Country="All",D827=sel_Country),OR(sel_Channel="All",E827=sel_Channel),OR(sel_Customer="All",F827=sel_Customer),OR(sel_Category="All",G827=sel_Category),OR(sel_Product="All",H827=sel_Product),AND(S827&gt;=m_From,S827&lt;=m_To)),1,0)</f>
        <v/>
      </c>
      <c r="V827" s="36">
        <f>IF(AND(OR(sel_Region="All",C827=sel_Region),OR(sel_Channel="All",E827=sel_Channel),OR(sel_Customer="All",F827=sel_Customer),OR(sel_Category="All",G827=sel_Category),OR(sel_Product="All",H827=sel_Product),AND(S827&gt;=m_From,S827&lt;=m_To)),1,0)</f>
        <v/>
      </c>
      <c r="W827" s="36">
        <f>IF(AND(OR(sel_Region="All",C827=sel_Region),OR(sel_Country="All",D827=sel_Country),OR(sel_Customer="All",F827=sel_Customer),OR(sel_Category="All",G827=sel_Category),OR(sel_Product="All",H827=sel_Product),AND(S827&gt;=m_From,S827&lt;=m_To)),1,0)</f>
        <v/>
      </c>
      <c r="X827" s="36">
        <f>IF(AND(OR(sel_Region="All",C827=sel_Region),OR(sel_Country="All",D827=sel_Country),OR(sel_Channel="All",E827=sel_Channel),OR(sel_Category="All",G827=sel_Category),OR(sel_Product="All",H827=sel_Product),AND(S827&gt;=m_From,S827&lt;=m_To)),1,0)</f>
        <v/>
      </c>
      <c r="Y827" s="36">
        <f>IF(AND(OR(sel_Region="All",C827=sel_Region),OR(sel_Country="All",D827=sel_Country),OR(sel_Channel="All",E827=sel_Channel),OR(sel_Customer="All",F827=sel_Customer),OR(sel_Product="All",H827=sel_Product),AND(S827&gt;=m_From,S827&lt;=m_To)),1,0)</f>
        <v/>
      </c>
      <c r="Z827" s="36">
        <f>IF(AND(OR(sel_Region="All",C827=sel_Region),OR(sel_Country="All",D827=sel_Country),OR(sel_Channel="All",E827=sel_Channel),OR(sel_Customer="All",F827=sel_Customer),OR(sel_Category="All",G827=sel_Category),AND(S827&gt;=m_From,S827&lt;=m_To)),1,0)</f>
        <v/>
      </c>
      <c r="AA827" s="36">
        <f>IF(AND(OR(sel_Region="All",C827=sel_Region),OR(sel_Country="All",D827=sel_Country),OR(sel_Channel="All",E827=sel_Channel),OR(sel_Customer="All",F827=sel_Customer),OR(sel_Category="All",G827=sel_Category),OR(sel_Product="All",H827=sel_Product)),1,0)</f>
        <v/>
      </c>
    </row>
    <row r="828">
      <c r="A828" s="36" t="inlineStr">
        <is>
          <t>03531</t>
        </is>
      </c>
      <c r="B828" s="44" t="n">
        <v>46157</v>
      </c>
      <c r="C828" s="36" t="inlineStr">
        <is>
          <t>Western Europe</t>
        </is>
      </c>
      <c r="D828" s="36" t="inlineStr">
        <is>
          <t>France</t>
        </is>
      </c>
      <c r="E828" s="36" t="inlineStr">
        <is>
          <t>Retail Partners</t>
        </is>
      </c>
      <c r="F828" s="36" t="inlineStr">
        <is>
          <t>Business</t>
        </is>
      </c>
      <c r="G828" s="36" t="inlineStr">
        <is>
          <t>Fitness</t>
        </is>
      </c>
      <c r="H828" s="36" t="inlineStr">
        <is>
          <t>Recovery Roller</t>
        </is>
      </c>
      <c r="I828" s="36" t="n">
        <v>4</v>
      </c>
      <c r="J828" s="39" t="n">
        <v>36.21</v>
      </c>
      <c r="K828" s="45" t="n">
        <v>0</v>
      </c>
      <c r="L828" s="39" t="n">
        <v>14.3</v>
      </c>
      <c r="M828" s="39">
        <f>I828*J828*(1-K828)</f>
        <v/>
      </c>
      <c r="N828" s="39">
        <f>I828*L828</f>
        <v/>
      </c>
      <c r="O828" s="39">
        <f>M828-N828</f>
        <v/>
      </c>
      <c r="P828" s="38">
        <f>IF(M828=0,0,O828/M828)</f>
        <v/>
      </c>
      <c r="Q828" s="36">
        <f>YEAR(B828)</f>
        <v/>
      </c>
      <c r="R828" s="36">
        <f>"Q"&amp;ROUNDUP(MONTH(B828)/3,0)</f>
        <v/>
      </c>
      <c r="S828" s="36">
        <f>MONTH(B828)</f>
        <v/>
      </c>
      <c r="T828" s="36">
        <f>TEXT(B828,"mmm")</f>
        <v/>
      </c>
      <c r="U828" s="36">
        <f>IF(AND(OR(sel_Region="All",C828=sel_Region),OR(sel_Country="All",D828=sel_Country),OR(sel_Channel="All",E828=sel_Channel),OR(sel_Customer="All",F828=sel_Customer),OR(sel_Category="All",G828=sel_Category),OR(sel_Product="All",H828=sel_Product),AND(S828&gt;=m_From,S828&lt;=m_To)),1,0)</f>
        <v/>
      </c>
      <c r="V828" s="36">
        <f>IF(AND(OR(sel_Region="All",C828=sel_Region),OR(sel_Channel="All",E828=sel_Channel),OR(sel_Customer="All",F828=sel_Customer),OR(sel_Category="All",G828=sel_Category),OR(sel_Product="All",H828=sel_Product),AND(S828&gt;=m_From,S828&lt;=m_To)),1,0)</f>
        <v/>
      </c>
      <c r="W828" s="36">
        <f>IF(AND(OR(sel_Region="All",C828=sel_Region),OR(sel_Country="All",D828=sel_Country),OR(sel_Customer="All",F828=sel_Customer),OR(sel_Category="All",G828=sel_Category),OR(sel_Product="All",H828=sel_Product),AND(S828&gt;=m_From,S828&lt;=m_To)),1,0)</f>
        <v/>
      </c>
      <c r="X828" s="36">
        <f>IF(AND(OR(sel_Region="All",C828=sel_Region),OR(sel_Country="All",D828=sel_Country),OR(sel_Channel="All",E828=sel_Channel),OR(sel_Category="All",G828=sel_Category),OR(sel_Product="All",H828=sel_Product),AND(S828&gt;=m_From,S828&lt;=m_To)),1,0)</f>
        <v/>
      </c>
      <c r="Y828" s="36">
        <f>IF(AND(OR(sel_Region="All",C828=sel_Region),OR(sel_Country="All",D828=sel_Country),OR(sel_Channel="All",E828=sel_Channel),OR(sel_Customer="All",F828=sel_Customer),OR(sel_Product="All",H828=sel_Product),AND(S828&gt;=m_From,S828&lt;=m_To)),1,0)</f>
        <v/>
      </c>
      <c r="Z828" s="36">
        <f>IF(AND(OR(sel_Region="All",C828=sel_Region),OR(sel_Country="All",D828=sel_Country),OR(sel_Channel="All",E828=sel_Channel),OR(sel_Customer="All",F828=sel_Customer),OR(sel_Category="All",G828=sel_Category),AND(S828&gt;=m_From,S828&lt;=m_To)),1,0)</f>
        <v/>
      </c>
      <c r="AA828" s="36">
        <f>IF(AND(OR(sel_Region="All",C828=sel_Region),OR(sel_Country="All",D828=sel_Country),OR(sel_Channel="All",E828=sel_Channel),OR(sel_Customer="All",F828=sel_Customer),OR(sel_Category="All",G828=sel_Category),OR(sel_Product="All",H828=sel_Product)),1,0)</f>
        <v/>
      </c>
    </row>
    <row r="829">
      <c r="A829" s="36" t="inlineStr">
        <is>
          <t>03881</t>
        </is>
      </c>
      <c r="B829" s="44" t="n">
        <v>46157</v>
      </c>
      <c r="C829" s="36" t="inlineStr">
        <is>
          <t>Northern Europe</t>
        </is>
      </c>
      <c r="D829" s="36" t="inlineStr">
        <is>
          <t>Finland</t>
        </is>
      </c>
      <c r="E829" s="36" t="inlineStr">
        <is>
          <t>Online Store</t>
        </is>
      </c>
      <c r="F829" s="36" t="inlineStr">
        <is>
          <t>Business</t>
        </is>
      </c>
      <c r="G829" s="36" t="inlineStr">
        <is>
          <t>Hiking</t>
        </is>
      </c>
      <c r="H829" s="36" t="inlineStr">
        <is>
          <t>Trekking Poles</t>
        </is>
      </c>
      <c r="I829" s="36" t="n">
        <v>3</v>
      </c>
      <c r="J829" s="39" t="n">
        <v>73.03</v>
      </c>
      <c r="K829" s="45" t="n">
        <v>0.05</v>
      </c>
      <c r="L829" s="39" t="n">
        <v>33.2</v>
      </c>
      <c r="M829" s="39">
        <f>I829*J829*(1-K829)</f>
        <v/>
      </c>
      <c r="N829" s="39">
        <f>I829*L829</f>
        <v/>
      </c>
      <c r="O829" s="39">
        <f>M829-N829</f>
        <v/>
      </c>
      <c r="P829" s="38">
        <f>IF(M829=0,0,O829/M829)</f>
        <v/>
      </c>
      <c r="Q829" s="36">
        <f>YEAR(B829)</f>
        <v/>
      </c>
      <c r="R829" s="36">
        <f>"Q"&amp;ROUNDUP(MONTH(B829)/3,0)</f>
        <v/>
      </c>
      <c r="S829" s="36">
        <f>MONTH(B829)</f>
        <v/>
      </c>
      <c r="T829" s="36">
        <f>TEXT(B829,"mmm")</f>
        <v/>
      </c>
      <c r="U829" s="36">
        <f>IF(AND(OR(sel_Region="All",C829=sel_Region),OR(sel_Country="All",D829=sel_Country),OR(sel_Channel="All",E829=sel_Channel),OR(sel_Customer="All",F829=sel_Customer),OR(sel_Category="All",G829=sel_Category),OR(sel_Product="All",H829=sel_Product),AND(S829&gt;=m_From,S829&lt;=m_To)),1,0)</f>
        <v/>
      </c>
      <c r="V829" s="36">
        <f>IF(AND(OR(sel_Region="All",C829=sel_Region),OR(sel_Channel="All",E829=sel_Channel),OR(sel_Customer="All",F829=sel_Customer),OR(sel_Category="All",G829=sel_Category),OR(sel_Product="All",H829=sel_Product),AND(S829&gt;=m_From,S829&lt;=m_To)),1,0)</f>
        <v/>
      </c>
      <c r="W829" s="36">
        <f>IF(AND(OR(sel_Region="All",C829=sel_Region),OR(sel_Country="All",D829=sel_Country),OR(sel_Customer="All",F829=sel_Customer),OR(sel_Category="All",G829=sel_Category),OR(sel_Product="All",H829=sel_Product),AND(S829&gt;=m_From,S829&lt;=m_To)),1,0)</f>
        <v/>
      </c>
      <c r="X829" s="36">
        <f>IF(AND(OR(sel_Region="All",C829=sel_Region),OR(sel_Country="All",D829=sel_Country),OR(sel_Channel="All",E829=sel_Channel),OR(sel_Category="All",G829=sel_Category),OR(sel_Product="All",H829=sel_Product),AND(S829&gt;=m_From,S829&lt;=m_To)),1,0)</f>
        <v/>
      </c>
      <c r="Y829" s="36">
        <f>IF(AND(OR(sel_Region="All",C829=sel_Region),OR(sel_Country="All",D829=sel_Country),OR(sel_Channel="All",E829=sel_Channel),OR(sel_Customer="All",F829=sel_Customer),OR(sel_Product="All",H829=sel_Product),AND(S829&gt;=m_From,S829&lt;=m_To)),1,0)</f>
        <v/>
      </c>
      <c r="Z829" s="36">
        <f>IF(AND(OR(sel_Region="All",C829=sel_Region),OR(sel_Country="All",D829=sel_Country),OR(sel_Channel="All",E829=sel_Channel),OR(sel_Customer="All",F829=sel_Customer),OR(sel_Category="All",G829=sel_Category),AND(S829&gt;=m_From,S829&lt;=m_To)),1,0)</f>
        <v/>
      </c>
      <c r="AA829" s="36">
        <f>IF(AND(OR(sel_Region="All",C829=sel_Region),OR(sel_Country="All",D829=sel_Country),OR(sel_Channel="All",E829=sel_Channel),OR(sel_Customer="All",F829=sel_Customer),OR(sel_Category="All",G829=sel_Category),OR(sel_Product="All",H829=sel_Product)),1,0)</f>
        <v/>
      </c>
    </row>
    <row r="830">
      <c r="A830" s="36" t="inlineStr">
        <is>
          <t>04469</t>
        </is>
      </c>
      <c r="B830" s="44" t="n">
        <v>46157</v>
      </c>
      <c r="C830" s="36" t="inlineStr">
        <is>
          <t>Northern Europe</t>
        </is>
      </c>
      <c r="D830" s="36" t="inlineStr">
        <is>
          <t>Denmark</t>
        </is>
      </c>
      <c r="E830" s="36" t="inlineStr">
        <is>
          <t>Retail Partners</t>
        </is>
      </c>
      <c r="F830" s="36" t="inlineStr">
        <is>
          <t>Returning</t>
        </is>
      </c>
      <c r="G830" s="36" t="inlineStr">
        <is>
          <t>Cycling</t>
        </is>
      </c>
      <c r="H830" s="36" t="inlineStr">
        <is>
          <t>Commuter Helmet</t>
        </is>
      </c>
      <c r="I830" s="36" t="n">
        <v>2</v>
      </c>
      <c r="J830" s="39" t="n">
        <v>80.81</v>
      </c>
      <c r="K830" s="45" t="n">
        <v>0</v>
      </c>
      <c r="L830" s="39" t="n">
        <v>42.53</v>
      </c>
      <c r="M830" s="39">
        <f>I830*J830*(1-K830)</f>
        <v/>
      </c>
      <c r="N830" s="39">
        <f>I830*L830</f>
        <v/>
      </c>
      <c r="O830" s="39">
        <f>M830-N830</f>
        <v/>
      </c>
      <c r="P830" s="38">
        <f>IF(M830=0,0,O830/M830)</f>
        <v/>
      </c>
      <c r="Q830" s="36">
        <f>YEAR(B830)</f>
        <v/>
      </c>
      <c r="R830" s="36">
        <f>"Q"&amp;ROUNDUP(MONTH(B830)/3,0)</f>
        <v/>
      </c>
      <c r="S830" s="36">
        <f>MONTH(B830)</f>
        <v/>
      </c>
      <c r="T830" s="36">
        <f>TEXT(B830,"mmm")</f>
        <v/>
      </c>
      <c r="U830" s="36">
        <f>IF(AND(OR(sel_Region="All",C830=sel_Region),OR(sel_Country="All",D830=sel_Country),OR(sel_Channel="All",E830=sel_Channel),OR(sel_Customer="All",F830=sel_Customer),OR(sel_Category="All",G830=sel_Category),OR(sel_Product="All",H830=sel_Product),AND(S830&gt;=m_From,S830&lt;=m_To)),1,0)</f>
        <v/>
      </c>
      <c r="V830" s="36">
        <f>IF(AND(OR(sel_Region="All",C830=sel_Region),OR(sel_Channel="All",E830=sel_Channel),OR(sel_Customer="All",F830=sel_Customer),OR(sel_Category="All",G830=sel_Category),OR(sel_Product="All",H830=sel_Product),AND(S830&gt;=m_From,S830&lt;=m_To)),1,0)</f>
        <v/>
      </c>
      <c r="W830" s="36">
        <f>IF(AND(OR(sel_Region="All",C830=sel_Region),OR(sel_Country="All",D830=sel_Country),OR(sel_Customer="All",F830=sel_Customer),OR(sel_Category="All",G830=sel_Category),OR(sel_Product="All",H830=sel_Product),AND(S830&gt;=m_From,S830&lt;=m_To)),1,0)</f>
        <v/>
      </c>
      <c r="X830" s="36">
        <f>IF(AND(OR(sel_Region="All",C830=sel_Region),OR(sel_Country="All",D830=sel_Country),OR(sel_Channel="All",E830=sel_Channel),OR(sel_Category="All",G830=sel_Category),OR(sel_Product="All",H830=sel_Product),AND(S830&gt;=m_From,S830&lt;=m_To)),1,0)</f>
        <v/>
      </c>
      <c r="Y830" s="36">
        <f>IF(AND(OR(sel_Region="All",C830=sel_Region),OR(sel_Country="All",D830=sel_Country),OR(sel_Channel="All",E830=sel_Channel),OR(sel_Customer="All",F830=sel_Customer),OR(sel_Product="All",H830=sel_Product),AND(S830&gt;=m_From,S830&lt;=m_To)),1,0)</f>
        <v/>
      </c>
      <c r="Z830" s="36">
        <f>IF(AND(OR(sel_Region="All",C830=sel_Region),OR(sel_Country="All",D830=sel_Country),OR(sel_Channel="All",E830=sel_Channel),OR(sel_Customer="All",F830=sel_Customer),OR(sel_Category="All",G830=sel_Category),AND(S830&gt;=m_From,S830&lt;=m_To)),1,0)</f>
        <v/>
      </c>
      <c r="AA830" s="36">
        <f>IF(AND(OR(sel_Region="All",C830=sel_Region),OR(sel_Country="All",D830=sel_Country),OR(sel_Channel="All",E830=sel_Channel),OR(sel_Customer="All",F830=sel_Customer),OR(sel_Category="All",G830=sel_Category),OR(sel_Product="All",H830=sel_Product)),1,0)</f>
        <v/>
      </c>
    </row>
    <row r="831">
      <c r="A831" s="36" t="inlineStr">
        <is>
          <t>05037</t>
        </is>
      </c>
      <c r="B831" s="44" t="n">
        <v>46157</v>
      </c>
      <c r="C831" s="36" t="inlineStr">
        <is>
          <t>Central Europe</t>
        </is>
      </c>
      <c r="D831" s="36" t="inlineStr">
        <is>
          <t>Switzerland</t>
        </is>
      </c>
      <c r="E831" s="36" t="inlineStr">
        <is>
          <t>Online Store</t>
        </is>
      </c>
      <c r="F831" s="36" t="inlineStr">
        <is>
          <t>New</t>
        </is>
      </c>
      <c r="G831" s="36" t="inlineStr">
        <is>
          <t>Cycling</t>
        </is>
      </c>
      <c r="H831" s="36" t="inlineStr">
        <is>
          <t>Trail Bike Light</t>
        </is>
      </c>
      <c r="I831" s="36" t="n">
        <v>1</v>
      </c>
      <c r="J831" s="39" t="n">
        <v>51.53</v>
      </c>
      <c r="K831" s="45" t="n">
        <v>0.1</v>
      </c>
      <c r="L831" s="39" t="n">
        <v>23.06</v>
      </c>
      <c r="M831" s="39">
        <f>I831*J831*(1-K831)</f>
        <v/>
      </c>
      <c r="N831" s="39">
        <f>I831*L831</f>
        <v/>
      </c>
      <c r="O831" s="39">
        <f>M831-N831</f>
        <v/>
      </c>
      <c r="P831" s="38">
        <f>IF(M831=0,0,O831/M831)</f>
        <v/>
      </c>
      <c r="Q831" s="36">
        <f>YEAR(B831)</f>
        <v/>
      </c>
      <c r="R831" s="36">
        <f>"Q"&amp;ROUNDUP(MONTH(B831)/3,0)</f>
        <v/>
      </c>
      <c r="S831" s="36">
        <f>MONTH(B831)</f>
        <v/>
      </c>
      <c r="T831" s="36">
        <f>TEXT(B831,"mmm")</f>
        <v/>
      </c>
      <c r="U831" s="36">
        <f>IF(AND(OR(sel_Region="All",C831=sel_Region),OR(sel_Country="All",D831=sel_Country),OR(sel_Channel="All",E831=sel_Channel),OR(sel_Customer="All",F831=sel_Customer),OR(sel_Category="All",G831=sel_Category),OR(sel_Product="All",H831=sel_Product),AND(S831&gt;=m_From,S831&lt;=m_To)),1,0)</f>
        <v/>
      </c>
      <c r="V831" s="36">
        <f>IF(AND(OR(sel_Region="All",C831=sel_Region),OR(sel_Channel="All",E831=sel_Channel),OR(sel_Customer="All",F831=sel_Customer),OR(sel_Category="All",G831=sel_Category),OR(sel_Product="All",H831=sel_Product),AND(S831&gt;=m_From,S831&lt;=m_To)),1,0)</f>
        <v/>
      </c>
      <c r="W831" s="36">
        <f>IF(AND(OR(sel_Region="All",C831=sel_Region),OR(sel_Country="All",D831=sel_Country),OR(sel_Customer="All",F831=sel_Customer),OR(sel_Category="All",G831=sel_Category),OR(sel_Product="All",H831=sel_Product),AND(S831&gt;=m_From,S831&lt;=m_To)),1,0)</f>
        <v/>
      </c>
      <c r="X831" s="36">
        <f>IF(AND(OR(sel_Region="All",C831=sel_Region),OR(sel_Country="All",D831=sel_Country),OR(sel_Channel="All",E831=sel_Channel),OR(sel_Category="All",G831=sel_Category),OR(sel_Product="All",H831=sel_Product),AND(S831&gt;=m_From,S831&lt;=m_To)),1,0)</f>
        <v/>
      </c>
      <c r="Y831" s="36">
        <f>IF(AND(OR(sel_Region="All",C831=sel_Region),OR(sel_Country="All",D831=sel_Country),OR(sel_Channel="All",E831=sel_Channel),OR(sel_Customer="All",F831=sel_Customer),OR(sel_Product="All",H831=sel_Product),AND(S831&gt;=m_From,S831&lt;=m_To)),1,0)</f>
        <v/>
      </c>
      <c r="Z831" s="36">
        <f>IF(AND(OR(sel_Region="All",C831=sel_Region),OR(sel_Country="All",D831=sel_Country),OR(sel_Channel="All",E831=sel_Channel),OR(sel_Customer="All",F831=sel_Customer),OR(sel_Category="All",G831=sel_Category),AND(S831&gt;=m_From,S831&lt;=m_To)),1,0)</f>
        <v/>
      </c>
      <c r="AA831" s="36">
        <f>IF(AND(OR(sel_Region="All",C831=sel_Region),OR(sel_Country="All",D831=sel_Country),OR(sel_Channel="All",E831=sel_Channel),OR(sel_Customer="All",F831=sel_Customer),OR(sel_Category="All",G831=sel_Category),OR(sel_Product="All",H831=sel_Product)),1,0)</f>
        <v/>
      </c>
    </row>
    <row r="832">
      <c r="A832" s="36" t="inlineStr">
        <is>
          <t>00035</t>
        </is>
      </c>
      <c r="B832" s="44" t="n">
        <v>46158</v>
      </c>
      <c r="C832" s="36" t="inlineStr">
        <is>
          <t>Western Europe</t>
        </is>
      </c>
      <c r="D832" s="36" t="inlineStr">
        <is>
          <t>France</t>
        </is>
      </c>
      <c r="E832" s="36" t="inlineStr">
        <is>
          <t>Corporate</t>
        </is>
      </c>
      <c r="F832" s="36" t="inlineStr">
        <is>
          <t>Business</t>
        </is>
      </c>
      <c r="G832" s="36" t="inlineStr">
        <is>
          <t>Camping</t>
        </is>
      </c>
      <c r="H832" s="36" t="inlineStr">
        <is>
          <t>Portable Camp Stove</t>
        </is>
      </c>
      <c r="I832" s="36" t="n">
        <v>5</v>
      </c>
      <c r="J832" s="39" t="n">
        <v>81.75</v>
      </c>
      <c r="K832" s="45" t="n">
        <v>0.05</v>
      </c>
      <c r="L832" s="39" t="n">
        <v>39.16</v>
      </c>
      <c r="M832" s="39">
        <f>I832*J832*(1-K832)</f>
        <v/>
      </c>
      <c r="N832" s="39">
        <f>I832*L832</f>
        <v/>
      </c>
      <c r="O832" s="39">
        <f>M832-N832</f>
        <v/>
      </c>
      <c r="P832" s="38">
        <f>IF(M832=0,0,O832/M832)</f>
        <v/>
      </c>
      <c r="Q832" s="36">
        <f>YEAR(B832)</f>
        <v/>
      </c>
      <c r="R832" s="36">
        <f>"Q"&amp;ROUNDUP(MONTH(B832)/3,0)</f>
        <v/>
      </c>
      <c r="S832" s="36">
        <f>MONTH(B832)</f>
        <v/>
      </c>
      <c r="T832" s="36">
        <f>TEXT(B832,"mmm")</f>
        <v/>
      </c>
      <c r="U832" s="36">
        <f>IF(AND(OR(sel_Region="All",C832=sel_Region),OR(sel_Country="All",D832=sel_Country),OR(sel_Channel="All",E832=sel_Channel),OR(sel_Customer="All",F832=sel_Customer),OR(sel_Category="All",G832=sel_Category),OR(sel_Product="All",H832=sel_Product),AND(S832&gt;=m_From,S832&lt;=m_To)),1,0)</f>
        <v/>
      </c>
      <c r="V832" s="36">
        <f>IF(AND(OR(sel_Region="All",C832=sel_Region),OR(sel_Channel="All",E832=sel_Channel),OR(sel_Customer="All",F832=sel_Customer),OR(sel_Category="All",G832=sel_Category),OR(sel_Product="All",H832=sel_Product),AND(S832&gt;=m_From,S832&lt;=m_To)),1,0)</f>
        <v/>
      </c>
      <c r="W832" s="36">
        <f>IF(AND(OR(sel_Region="All",C832=sel_Region),OR(sel_Country="All",D832=sel_Country),OR(sel_Customer="All",F832=sel_Customer),OR(sel_Category="All",G832=sel_Category),OR(sel_Product="All",H832=sel_Product),AND(S832&gt;=m_From,S832&lt;=m_To)),1,0)</f>
        <v/>
      </c>
      <c r="X832" s="36">
        <f>IF(AND(OR(sel_Region="All",C832=sel_Region),OR(sel_Country="All",D832=sel_Country),OR(sel_Channel="All",E832=sel_Channel),OR(sel_Category="All",G832=sel_Category),OR(sel_Product="All",H832=sel_Product),AND(S832&gt;=m_From,S832&lt;=m_To)),1,0)</f>
        <v/>
      </c>
      <c r="Y832" s="36">
        <f>IF(AND(OR(sel_Region="All",C832=sel_Region),OR(sel_Country="All",D832=sel_Country),OR(sel_Channel="All",E832=sel_Channel),OR(sel_Customer="All",F832=sel_Customer),OR(sel_Product="All",H832=sel_Product),AND(S832&gt;=m_From,S832&lt;=m_To)),1,0)</f>
        <v/>
      </c>
      <c r="Z832" s="36">
        <f>IF(AND(OR(sel_Region="All",C832=sel_Region),OR(sel_Country="All",D832=sel_Country),OR(sel_Channel="All",E832=sel_Channel),OR(sel_Customer="All",F832=sel_Customer),OR(sel_Category="All",G832=sel_Category),AND(S832&gt;=m_From,S832&lt;=m_To)),1,0)</f>
        <v/>
      </c>
      <c r="AA832" s="36">
        <f>IF(AND(OR(sel_Region="All",C832=sel_Region),OR(sel_Country="All",D832=sel_Country),OR(sel_Channel="All",E832=sel_Channel),OR(sel_Customer="All",F832=sel_Customer),OR(sel_Category="All",G832=sel_Category),OR(sel_Product="All",H832=sel_Product)),1,0)</f>
        <v/>
      </c>
    </row>
    <row r="833">
      <c r="A833" s="36" t="inlineStr">
        <is>
          <t>00226</t>
        </is>
      </c>
      <c r="B833" s="44" t="n">
        <v>46158</v>
      </c>
      <c r="C833" s="36" t="inlineStr">
        <is>
          <t>Northern Europe</t>
        </is>
      </c>
      <c r="D833" s="36" t="inlineStr">
        <is>
          <t>Finland</t>
        </is>
      </c>
      <c r="E833" s="36" t="inlineStr">
        <is>
          <t>Online Store</t>
        </is>
      </c>
      <c r="F833" s="36" t="inlineStr">
        <is>
          <t>New</t>
        </is>
      </c>
      <c r="G833" s="36" t="inlineStr">
        <is>
          <t>Travel</t>
        </is>
      </c>
      <c r="H833" s="36" t="inlineStr">
        <is>
          <t>Travel Backpack 35L</t>
        </is>
      </c>
      <c r="I833" s="36" t="n">
        <v>1</v>
      </c>
      <c r="J833" s="39" t="n">
        <v>165.99</v>
      </c>
      <c r="K833" s="45" t="n">
        <v>0.1</v>
      </c>
      <c r="L833" s="39" t="n">
        <v>89.90000000000001</v>
      </c>
      <c r="M833" s="39">
        <f>I833*J833*(1-K833)</f>
        <v/>
      </c>
      <c r="N833" s="39">
        <f>I833*L833</f>
        <v/>
      </c>
      <c r="O833" s="39">
        <f>M833-N833</f>
        <v/>
      </c>
      <c r="P833" s="38">
        <f>IF(M833=0,0,O833/M833)</f>
        <v/>
      </c>
      <c r="Q833" s="36">
        <f>YEAR(B833)</f>
        <v/>
      </c>
      <c r="R833" s="36">
        <f>"Q"&amp;ROUNDUP(MONTH(B833)/3,0)</f>
        <v/>
      </c>
      <c r="S833" s="36">
        <f>MONTH(B833)</f>
        <v/>
      </c>
      <c r="T833" s="36">
        <f>TEXT(B833,"mmm")</f>
        <v/>
      </c>
      <c r="U833" s="36">
        <f>IF(AND(OR(sel_Region="All",C833=sel_Region),OR(sel_Country="All",D833=sel_Country),OR(sel_Channel="All",E833=sel_Channel),OR(sel_Customer="All",F833=sel_Customer),OR(sel_Category="All",G833=sel_Category),OR(sel_Product="All",H833=sel_Product),AND(S833&gt;=m_From,S833&lt;=m_To)),1,0)</f>
        <v/>
      </c>
      <c r="V833" s="36">
        <f>IF(AND(OR(sel_Region="All",C833=sel_Region),OR(sel_Channel="All",E833=sel_Channel),OR(sel_Customer="All",F833=sel_Customer),OR(sel_Category="All",G833=sel_Category),OR(sel_Product="All",H833=sel_Product),AND(S833&gt;=m_From,S833&lt;=m_To)),1,0)</f>
        <v/>
      </c>
      <c r="W833" s="36">
        <f>IF(AND(OR(sel_Region="All",C833=sel_Region),OR(sel_Country="All",D833=sel_Country),OR(sel_Customer="All",F833=sel_Customer),OR(sel_Category="All",G833=sel_Category),OR(sel_Product="All",H833=sel_Product),AND(S833&gt;=m_From,S833&lt;=m_To)),1,0)</f>
        <v/>
      </c>
      <c r="X833" s="36">
        <f>IF(AND(OR(sel_Region="All",C833=sel_Region),OR(sel_Country="All",D833=sel_Country),OR(sel_Channel="All",E833=sel_Channel),OR(sel_Category="All",G833=sel_Category),OR(sel_Product="All",H833=sel_Product),AND(S833&gt;=m_From,S833&lt;=m_To)),1,0)</f>
        <v/>
      </c>
      <c r="Y833" s="36">
        <f>IF(AND(OR(sel_Region="All",C833=sel_Region),OR(sel_Country="All",D833=sel_Country),OR(sel_Channel="All",E833=sel_Channel),OR(sel_Customer="All",F833=sel_Customer),OR(sel_Product="All",H833=sel_Product),AND(S833&gt;=m_From,S833&lt;=m_To)),1,0)</f>
        <v/>
      </c>
      <c r="Z833" s="36">
        <f>IF(AND(OR(sel_Region="All",C833=sel_Region),OR(sel_Country="All",D833=sel_Country),OR(sel_Channel="All",E833=sel_Channel),OR(sel_Customer="All",F833=sel_Customer),OR(sel_Category="All",G833=sel_Category),AND(S833&gt;=m_From,S833&lt;=m_To)),1,0)</f>
        <v/>
      </c>
      <c r="AA833" s="36">
        <f>IF(AND(OR(sel_Region="All",C833=sel_Region),OR(sel_Country="All",D833=sel_Country),OR(sel_Channel="All",E833=sel_Channel),OR(sel_Customer="All",F833=sel_Customer),OR(sel_Category="All",G833=sel_Category),OR(sel_Product="All",H833=sel_Product)),1,0)</f>
        <v/>
      </c>
    </row>
    <row r="834">
      <c r="A834" s="36" t="inlineStr">
        <is>
          <t>01713</t>
        </is>
      </c>
      <c r="B834" s="44" t="n">
        <v>46158</v>
      </c>
      <c r="C834" s="36" t="inlineStr">
        <is>
          <t>Southern Europe</t>
        </is>
      </c>
      <c r="D834" s="36" t="inlineStr">
        <is>
          <t>Italy</t>
        </is>
      </c>
      <c r="E834" s="36" t="inlineStr">
        <is>
          <t>Retail Partners</t>
        </is>
      </c>
      <c r="F834" s="36" t="inlineStr">
        <is>
          <t>New</t>
        </is>
      </c>
      <c r="G834" s="36" t="inlineStr">
        <is>
          <t>Camping</t>
        </is>
      </c>
      <c r="H834" s="36" t="inlineStr">
        <is>
          <t>Compact Sleeping Bag</t>
        </is>
      </c>
      <c r="I834" s="36" t="n">
        <v>2</v>
      </c>
      <c r="J834" s="39" t="n">
        <v>121.22</v>
      </c>
      <c r="K834" s="45" t="n">
        <v>0</v>
      </c>
      <c r="L834" s="39" t="n">
        <v>60.38</v>
      </c>
      <c r="M834" s="39">
        <f>I834*J834*(1-K834)</f>
        <v/>
      </c>
      <c r="N834" s="39">
        <f>I834*L834</f>
        <v/>
      </c>
      <c r="O834" s="39">
        <f>M834-N834</f>
        <v/>
      </c>
      <c r="P834" s="38">
        <f>IF(M834=0,0,O834/M834)</f>
        <v/>
      </c>
      <c r="Q834" s="36">
        <f>YEAR(B834)</f>
        <v/>
      </c>
      <c r="R834" s="36">
        <f>"Q"&amp;ROUNDUP(MONTH(B834)/3,0)</f>
        <v/>
      </c>
      <c r="S834" s="36">
        <f>MONTH(B834)</f>
        <v/>
      </c>
      <c r="T834" s="36">
        <f>TEXT(B834,"mmm")</f>
        <v/>
      </c>
      <c r="U834" s="36">
        <f>IF(AND(OR(sel_Region="All",C834=sel_Region),OR(sel_Country="All",D834=sel_Country),OR(sel_Channel="All",E834=sel_Channel),OR(sel_Customer="All",F834=sel_Customer),OR(sel_Category="All",G834=sel_Category),OR(sel_Product="All",H834=sel_Product),AND(S834&gt;=m_From,S834&lt;=m_To)),1,0)</f>
        <v/>
      </c>
      <c r="V834" s="36">
        <f>IF(AND(OR(sel_Region="All",C834=sel_Region),OR(sel_Channel="All",E834=sel_Channel),OR(sel_Customer="All",F834=sel_Customer),OR(sel_Category="All",G834=sel_Category),OR(sel_Product="All",H834=sel_Product),AND(S834&gt;=m_From,S834&lt;=m_To)),1,0)</f>
        <v/>
      </c>
      <c r="W834" s="36">
        <f>IF(AND(OR(sel_Region="All",C834=sel_Region),OR(sel_Country="All",D834=sel_Country),OR(sel_Customer="All",F834=sel_Customer),OR(sel_Category="All",G834=sel_Category),OR(sel_Product="All",H834=sel_Product),AND(S834&gt;=m_From,S834&lt;=m_To)),1,0)</f>
        <v/>
      </c>
      <c r="X834" s="36">
        <f>IF(AND(OR(sel_Region="All",C834=sel_Region),OR(sel_Country="All",D834=sel_Country),OR(sel_Channel="All",E834=sel_Channel),OR(sel_Category="All",G834=sel_Category),OR(sel_Product="All",H834=sel_Product),AND(S834&gt;=m_From,S834&lt;=m_To)),1,0)</f>
        <v/>
      </c>
      <c r="Y834" s="36">
        <f>IF(AND(OR(sel_Region="All",C834=sel_Region),OR(sel_Country="All",D834=sel_Country),OR(sel_Channel="All",E834=sel_Channel),OR(sel_Customer="All",F834=sel_Customer),OR(sel_Product="All",H834=sel_Product),AND(S834&gt;=m_From,S834&lt;=m_To)),1,0)</f>
        <v/>
      </c>
      <c r="Z834" s="36">
        <f>IF(AND(OR(sel_Region="All",C834=sel_Region),OR(sel_Country="All",D834=sel_Country),OR(sel_Channel="All",E834=sel_Channel),OR(sel_Customer="All",F834=sel_Customer),OR(sel_Category="All",G834=sel_Category),AND(S834&gt;=m_From,S834&lt;=m_To)),1,0)</f>
        <v/>
      </c>
      <c r="AA834" s="36">
        <f>IF(AND(OR(sel_Region="All",C834=sel_Region),OR(sel_Country="All",D834=sel_Country),OR(sel_Channel="All",E834=sel_Channel),OR(sel_Customer="All",F834=sel_Customer),OR(sel_Category="All",G834=sel_Category),OR(sel_Product="All",H834=sel_Product)),1,0)</f>
        <v/>
      </c>
    </row>
    <row r="835">
      <c r="A835" s="36" t="inlineStr">
        <is>
          <t>02320</t>
        </is>
      </c>
      <c r="B835" s="44" t="n">
        <v>46158</v>
      </c>
      <c r="C835" s="36" t="inlineStr">
        <is>
          <t>Central Europe</t>
        </is>
      </c>
      <c r="D835" s="36" t="inlineStr">
        <is>
          <t>Germany</t>
        </is>
      </c>
      <c r="E835" s="36" t="inlineStr">
        <is>
          <t>Retail Partners</t>
        </is>
      </c>
      <c r="F835" s="36" t="inlineStr">
        <is>
          <t>Business</t>
        </is>
      </c>
      <c r="G835" s="36" t="inlineStr">
        <is>
          <t>Travel</t>
        </is>
      </c>
      <c r="H835" s="36" t="inlineStr">
        <is>
          <t>Carry-On Duffel</t>
        </is>
      </c>
      <c r="I835" s="36" t="n">
        <v>2</v>
      </c>
      <c r="J835" s="39" t="n">
        <v>131.1</v>
      </c>
      <c r="K835" s="45" t="n">
        <v>0</v>
      </c>
      <c r="L835" s="39" t="n">
        <v>65.55</v>
      </c>
      <c r="M835" s="39">
        <f>I835*J835*(1-K835)</f>
        <v/>
      </c>
      <c r="N835" s="39">
        <f>I835*L835</f>
        <v/>
      </c>
      <c r="O835" s="39">
        <f>M835-N835</f>
        <v/>
      </c>
      <c r="P835" s="38">
        <f>IF(M835=0,0,O835/M835)</f>
        <v/>
      </c>
      <c r="Q835" s="36">
        <f>YEAR(B835)</f>
        <v/>
      </c>
      <c r="R835" s="36">
        <f>"Q"&amp;ROUNDUP(MONTH(B835)/3,0)</f>
        <v/>
      </c>
      <c r="S835" s="36">
        <f>MONTH(B835)</f>
        <v/>
      </c>
      <c r="T835" s="36">
        <f>TEXT(B835,"mmm")</f>
        <v/>
      </c>
      <c r="U835" s="36">
        <f>IF(AND(OR(sel_Region="All",C835=sel_Region),OR(sel_Country="All",D835=sel_Country),OR(sel_Channel="All",E835=sel_Channel),OR(sel_Customer="All",F835=sel_Customer),OR(sel_Category="All",G835=sel_Category),OR(sel_Product="All",H835=sel_Product),AND(S835&gt;=m_From,S835&lt;=m_To)),1,0)</f>
        <v/>
      </c>
      <c r="V835" s="36">
        <f>IF(AND(OR(sel_Region="All",C835=sel_Region),OR(sel_Channel="All",E835=sel_Channel),OR(sel_Customer="All",F835=sel_Customer),OR(sel_Category="All",G835=sel_Category),OR(sel_Product="All",H835=sel_Product),AND(S835&gt;=m_From,S835&lt;=m_To)),1,0)</f>
        <v/>
      </c>
      <c r="W835" s="36">
        <f>IF(AND(OR(sel_Region="All",C835=sel_Region),OR(sel_Country="All",D835=sel_Country),OR(sel_Customer="All",F835=sel_Customer),OR(sel_Category="All",G835=sel_Category),OR(sel_Product="All",H835=sel_Product),AND(S835&gt;=m_From,S835&lt;=m_To)),1,0)</f>
        <v/>
      </c>
      <c r="X835" s="36">
        <f>IF(AND(OR(sel_Region="All",C835=sel_Region),OR(sel_Country="All",D835=sel_Country),OR(sel_Channel="All",E835=sel_Channel),OR(sel_Category="All",G835=sel_Category),OR(sel_Product="All",H835=sel_Product),AND(S835&gt;=m_From,S835&lt;=m_To)),1,0)</f>
        <v/>
      </c>
      <c r="Y835" s="36">
        <f>IF(AND(OR(sel_Region="All",C835=sel_Region),OR(sel_Country="All",D835=sel_Country),OR(sel_Channel="All",E835=sel_Channel),OR(sel_Customer="All",F835=sel_Customer),OR(sel_Product="All",H835=sel_Product),AND(S835&gt;=m_From,S835&lt;=m_To)),1,0)</f>
        <v/>
      </c>
      <c r="Z835" s="36">
        <f>IF(AND(OR(sel_Region="All",C835=sel_Region),OR(sel_Country="All",D835=sel_Country),OR(sel_Channel="All",E835=sel_Channel),OR(sel_Customer="All",F835=sel_Customer),OR(sel_Category="All",G835=sel_Category),AND(S835&gt;=m_From,S835&lt;=m_To)),1,0)</f>
        <v/>
      </c>
      <c r="AA835" s="36">
        <f>IF(AND(OR(sel_Region="All",C835=sel_Region),OR(sel_Country="All",D835=sel_Country),OR(sel_Channel="All",E835=sel_Channel),OR(sel_Customer="All",F835=sel_Customer),OR(sel_Category="All",G835=sel_Category),OR(sel_Product="All",H835=sel_Product)),1,0)</f>
        <v/>
      </c>
    </row>
    <row r="836">
      <c r="A836" s="36" t="inlineStr">
        <is>
          <t>02496</t>
        </is>
      </c>
      <c r="B836" s="44" t="n">
        <v>46158</v>
      </c>
      <c r="C836" s="36" t="inlineStr">
        <is>
          <t>Central Europe</t>
        </is>
      </c>
      <c r="D836" s="36" t="inlineStr">
        <is>
          <t>Austria</t>
        </is>
      </c>
      <c r="E836" s="36" t="inlineStr">
        <is>
          <t>Online Store</t>
        </is>
      </c>
      <c r="F836" s="36" t="inlineStr">
        <is>
          <t>Returning</t>
        </is>
      </c>
      <c r="G836" s="36" t="inlineStr">
        <is>
          <t>Travel</t>
        </is>
      </c>
      <c r="H836" s="36" t="inlineStr">
        <is>
          <t>Packing Cube Set</t>
        </is>
      </c>
      <c r="I836" s="36" t="n">
        <v>2</v>
      </c>
      <c r="J836" s="39" t="n">
        <v>46.44</v>
      </c>
      <c r="K836" s="45" t="n">
        <v>0</v>
      </c>
      <c r="L836" s="39" t="n">
        <v>18.63</v>
      </c>
      <c r="M836" s="39">
        <f>I836*J836*(1-K836)</f>
        <v/>
      </c>
      <c r="N836" s="39">
        <f>I836*L836</f>
        <v/>
      </c>
      <c r="O836" s="39">
        <f>M836-N836</f>
        <v/>
      </c>
      <c r="P836" s="38">
        <f>IF(M836=0,0,O836/M836)</f>
        <v/>
      </c>
      <c r="Q836" s="36">
        <f>YEAR(B836)</f>
        <v/>
      </c>
      <c r="R836" s="36">
        <f>"Q"&amp;ROUNDUP(MONTH(B836)/3,0)</f>
        <v/>
      </c>
      <c r="S836" s="36">
        <f>MONTH(B836)</f>
        <v/>
      </c>
      <c r="T836" s="36">
        <f>TEXT(B836,"mmm")</f>
        <v/>
      </c>
      <c r="U836" s="36">
        <f>IF(AND(OR(sel_Region="All",C836=sel_Region),OR(sel_Country="All",D836=sel_Country),OR(sel_Channel="All",E836=sel_Channel),OR(sel_Customer="All",F836=sel_Customer),OR(sel_Category="All",G836=sel_Category),OR(sel_Product="All",H836=sel_Product),AND(S836&gt;=m_From,S836&lt;=m_To)),1,0)</f>
        <v/>
      </c>
      <c r="V836" s="36">
        <f>IF(AND(OR(sel_Region="All",C836=sel_Region),OR(sel_Channel="All",E836=sel_Channel),OR(sel_Customer="All",F836=sel_Customer),OR(sel_Category="All",G836=sel_Category),OR(sel_Product="All",H836=sel_Product),AND(S836&gt;=m_From,S836&lt;=m_To)),1,0)</f>
        <v/>
      </c>
      <c r="W836" s="36">
        <f>IF(AND(OR(sel_Region="All",C836=sel_Region),OR(sel_Country="All",D836=sel_Country),OR(sel_Customer="All",F836=sel_Customer),OR(sel_Category="All",G836=sel_Category),OR(sel_Product="All",H836=sel_Product),AND(S836&gt;=m_From,S836&lt;=m_To)),1,0)</f>
        <v/>
      </c>
      <c r="X836" s="36">
        <f>IF(AND(OR(sel_Region="All",C836=sel_Region),OR(sel_Country="All",D836=sel_Country),OR(sel_Channel="All",E836=sel_Channel),OR(sel_Category="All",G836=sel_Category),OR(sel_Product="All",H836=sel_Product),AND(S836&gt;=m_From,S836&lt;=m_To)),1,0)</f>
        <v/>
      </c>
      <c r="Y836" s="36">
        <f>IF(AND(OR(sel_Region="All",C836=sel_Region),OR(sel_Country="All",D836=sel_Country),OR(sel_Channel="All",E836=sel_Channel),OR(sel_Customer="All",F836=sel_Customer),OR(sel_Product="All",H836=sel_Product),AND(S836&gt;=m_From,S836&lt;=m_To)),1,0)</f>
        <v/>
      </c>
      <c r="Z836" s="36">
        <f>IF(AND(OR(sel_Region="All",C836=sel_Region),OR(sel_Country="All",D836=sel_Country),OR(sel_Channel="All",E836=sel_Channel),OR(sel_Customer="All",F836=sel_Customer),OR(sel_Category="All",G836=sel_Category),AND(S836&gt;=m_From,S836&lt;=m_To)),1,0)</f>
        <v/>
      </c>
      <c r="AA836" s="36">
        <f>IF(AND(OR(sel_Region="All",C836=sel_Region),OR(sel_Country="All",D836=sel_Country),OR(sel_Channel="All",E836=sel_Channel),OR(sel_Customer="All",F836=sel_Customer),OR(sel_Category="All",G836=sel_Category),OR(sel_Product="All",H836=sel_Product)),1,0)</f>
        <v/>
      </c>
    </row>
    <row r="837">
      <c r="A837" s="36" t="inlineStr">
        <is>
          <t>02504</t>
        </is>
      </c>
      <c r="B837" s="44" t="n">
        <v>46158</v>
      </c>
      <c r="C837" s="36" t="inlineStr">
        <is>
          <t>Western Europe</t>
        </is>
      </c>
      <c r="D837" s="36" t="inlineStr">
        <is>
          <t>Netherlands</t>
        </is>
      </c>
      <c r="E837" s="36" t="inlineStr">
        <is>
          <t>Online Store</t>
        </is>
      </c>
      <c r="F837" s="36" t="inlineStr">
        <is>
          <t>New</t>
        </is>
      </c>
      <c r="G837" s="36" t="inlineStr">
        <is>
          <t>Travel</t>
        </is>
      </c>
      <c r="H837" s="36" t="inlineStr">
        <is>
          <t>Insulated Bottle</t>
        </is>
      </c>
      <c r="I837" s="36" t="n">
        <v>1</v>
      </c>
      <c r="J837" s="39" t="n">
        <v>36.66</v>
      </c>
      <c r="K837" s="45" t="n">
        <v>0</v>
      </c>
      <c r="L837" s="39" t="n">
        <v>13.61</v>
      </c>
      <c r="M837" s="39">
        <f>I837*J837*(1-K837)</f>
        <v/>
      </c>
      <c r="N837" s="39">
        <f>I837*L837</f>
        <v/>
      </c>
      <c r="O837" s="39">
        <f>M837-N837</f>
        <v/>
      </c>
      <c r="P837" s="38">
        <f>IF(M837=0,0,O837/M837)</f>
        <v/>
      </c>
      <c r="Q837" s="36">
        <f>YEAR(B837)</f>
        <v/>
      </c>
      <c r="R837" s="36">
        <f>"Q"&amp;ROUNDUP(MONTH(B837)/3,0)</f>
        <v/>
      </c>
      <c r="S837" s="36">
        <f>MONTH(B837)</f>
        <v/>
      </c>
      <c r="T837" s="36">
        <f>TEXT(B837,"mmm")</f>
        <v/>
      </c>
      <c r="U837" s="36">
        <f>IF(AND(OR(sel_Region="All",C837=sel_Region),OR(sel_Country="All",D837=sel_Country),OR(sel_Channel="All",E837=sel_Channel),OR(sel_Customer="All",F837=sel_Customer),OR(sel_Category="All",G837=sel_Category),OR(sel_Product="All",H837=sel_Product),AND(S837&gt;=m_From,S837&lt;=m_To)),1,0)</f>
        <v/>
      </c>
      <c r="V837" s="36">
        <f>IF(AND(OR(sel_Region="All",C837=sel_Region),OR(sel_Channel="All",E837=sel_Channel),OR(sel_Customer="All",F837=sel_Customer),OR(sel_Category="All",G837=sel_Category),OR(sel_Product="All",H837=sel_Product),AND(S837&gt;=m_From,S837&lt;=m_To)),1,0)</f>
        <v/>
      </c>
      <c r="W837" s="36">
        <f>IF(AND(OR(sel_Region="All",C837=sel_Region),OR(sel_Country="All",D837=sel_Country),OR(sel_Customer="All",F837=sel_Customer),OR(sel_Category="All",G837=sel_Category),OR(sel_Product="All",H837=sel_Product),AND(S837&gt;=m_From,S837&lt;=m_To)),1,0)</f>
        <v/>
      </c>
      <c r="X837" s="36">
        <f>IF(AND(OR(sel_Region="All",C837=sel_Region),OR(sel_Country="All",D837=sel_Country),OR(sel_Channel="All",E837=sel_Channel),OR(sel_Category="All",G837=sel_Category),OR(sel_Product="All",H837=sel_Product),AND(S837&gt;=m_From,S837&lt;=m_To)),1,0)</f>
        <v/>
      </c>
      <c r="Y837" s="36">
        <f>IF(AND(OR(sel_Region="All",C837=sel_Region),OR(sel_Country="All",D837=sel_Country),OR(sel_Channel="All",E837=sel_Channel),OR(sel_Customer="All",F837=sel_Customer),OR(sel_Product="All",H837=sel_Product),AND(S837&gt;=m_From,S837&lt;=m_To)),1,0)</f>
        <v/>
      </c>
      <c r="Z837" s="36">
        <f>IF(AND(OR(sel_Region="All",C837=sel_Region),OR(sel_Country="All",D837=sel_Country),OR(sel_Channel="All",E837=sel_Channel),OR(sel_Customer="All",F837=sel_Customer),OR(sel_Category="All",G837=sel_Category),AND(S837&gt;=m_From,S837&lt;=m_To)),1,0)</f>
        <v/>
      </c>
      <c r="AA837" s="36">
        <f>IF(AND(OR(sel_Region="All",C837=sel_Region),OR(sel_Country="All",D837=sel_Country),OR(sel_Channel="All",E837=sel_Channel),OR(sel_Customer="All",F837=sel_Customer),OR(sel_Category="All",G837=sel_Category),OR(sel_Product="All",H837=sel_Product)),1,0)</f>
        <v/>
      </c>
    </row>
    <row r="838">
      <c r="A838" s="36" t="inlineStr">
        <is>
          <t>02598</t>
        </is>
      </c>
      <c r="B838" s="44" t="n">
        <v>46158</v>
      </c>
      <c r="C838" s="36" t="inlineStr">
        <is>
          <t>Western Europe</t>
        </is>
      </c>
      <c r="D838" s="36" t="inlineStr">
        <is>
          <t>United Kingdom</t>
        </is>
      </c>
      <c r="E838" s="36" t="inlineStr">
        <is>
          <t>Online Store</t>
        </is>
      </c>
      <c r="F838" s="36" t="inlineStr">
        <is>
          <t>New</t>
        </is>
      </c>
      <c r="G838" s="36" t="inlineStr">
        <is>
          <t>Hiking</t>
        </is>
      </c>
      <c r="H838" s="36" t="inlineStr">
        <is>
          <t>Summit Backpack 45L</t>
        </is>
      </c>
      <c r="I838" s="36" t="n">
        <v>5</v>
      </c>
      <c r="J838" s="39" t="n">
        <v>156.17</v>
      </c>
      <c r="K838" s="45" t="n">
        <v>0.1</v>
      </c>
      <c r="L838" s="39" t="n">
        <v>80.59</v>
      </c>
      <c r="M838" s="39">
        <f>I838*J838*(1-K838)</f>
        <v/>
      </c>
      <c r="N838" s="39">
        <f>I838*L838</f>
        <v/>
      </c>
      <c r="O838" s="39">
        <f>M838-N838</f>
        <v/>
      </c>
      <c r="P838" s="38">
        <f>IF(M838=0,0,O838/M838)</f>
        <v/>
      </c>
      <c r="Q838" s="36">
        <f>YEAR(B838)</f>
        <v/>
      </c>
      <c r="R838" s="36">
        <f>"Q"&amp;ROUNDUP(MONTH(B838)/3,0)</f>
        <v/>
      </c>
      <c r="S838" s="36">
        <f>MONTH(B838)</f>
        <v/>
      </c>
      <c r="T838" s="36">
        <f>TEXT(B838,"mmm")</f>
        <v/>
      </c>
      <c r="U838" s="36">
        <f>IF(AND(OR(sel_Region="All",C838=sel_Region),OR(sel_Country="All",D838=sel_Country),OR(sel_Channel="All",E838=sel_Channel),OR(sel_Customer="All",F838=sel_Customer),OR(sel_Category="All",G838=sel_Category),OR(sel_Product="All",H838=sel_Product),AND(S838&gt;=m_From,S838&lt;=m_To)),1,0)</f>
        <v/>
      </c>
      <c r="V838" s="36">
        <f>IF(AND(OR(sel_Region="All",C838=sel_Region),OR(sel_Channel="All",E838=sel_Channel),OR(sel_Customer="All",F838=sel_Customer),OR(sel_Category="All",G838=sel_Category),OR(sel_Product="All",H838=sel_Product),AND(S838&gt;=m_From,S838&lt;=m_To)),1,0)</f>
        <v/>
      </c>
      <c r="W838" s="36">
        <f>IF(AND(OR(sel_Region="All",C838=sel_Region),OR(sel_Country="All",D838=sel_Country),OR(sel_Customer="All",F838=sel_Customer),OR(sel_Category="All",G838=sel_Category),OR(sel_Product="All",H838=sel_Product),AND(S838&gt;=m_From,S838&lt;=m_To)),1,0)</f>
        <v/>
      </c>
      <c r="X838" s="36">
        <f>IF(AND(OR(sel_Region="All",C838=sel_Region),OR(sel_Country="All",D838=sel_Country),OR(sel_Channel="All",E838=sel_Channel),OR(sel_Category="All",G838=sel_Category),OR(sel_Product="All",H838=sel_Product),AND(S838&gt;=m_From,S838&lt;=m_To)),1,0)</f>
        <v/>
      </c>
      <c r="Y838" s="36">
        <f>IF(AND(OR(sel_Region="All",C838=sel_Region),OR(sel_Country="All",D838=sel_Country),OR(sel_Channel="All",E838=sel_Channel),OR(sel_Customer="All",F838=sel_Customer),OR(sel_Product="All",H838=sel_Product),AND(S838&gt;=m_From,S838&lt;=m_To)),1,0)</f>
        <v/>
      </c>
      <c r="Z838" s="36">
        <f>IF(AND(OR(sel_Region="All",C838=sel_Region),OR(sel_Country="All",D838=sel_Country),OR(sel_Channel="All",E838=sel_Channel),OR(sel_Customer="All",F838=sel_Customer),OR(sel_Category="All",G838=sel_Category),AND(S838&gt;=m_From,S838&lt;=m_To)),1,0)</f>
        <v/>
      </c>
      <c r="AA838" s="36">
        <f>IF(AND(OR(sel_Region="All",C838=sel_Region),OR(sel_Country="All",D838=sel_Country),OR(sel_Channel="All",E838=sel_Channel),OR(sel_Customer="All",F838=sel_Customer),OR(sel_Category="All",G838=sel_Category),OR(sel_Product="All",H838=sel_Product)),1,0)</f>
        <v/>
      </c>
    </row>
    <row r="839">
      <c r="A839" s="36" t="inlineStr">
        <is>
          <t>02600</t>
        </is>
      </c>
      <c r="B839" s="44" t="n">
        <v>46158</v>
      </c>
      <c r="C839" s="36" t="inlineStr">
        <is>
          <t>Central Europe</t>
        </is>
      </c>
      <c r="D839" s="36" t="inlineStr">
        <is>
          <t>Germany</t>
        </is>
      </c>
      <c r="E839" s="36" t="inlineStr">
        <is>
          <t>Retail Partners</t>
        </is>
      </c>
      <c r="F839" s="36" t="inlineStr">
        <is>
          <t>New</t>
        </is>
      </c>
      <c r="G839" s="36" t="inlineStr">
        <is>
          <t>Travel</t>
        </is>
      </c>
      <c r="H839" s="36" t="inlineStr">
        <is>
          <t>Insulated Bottle</t>
        </is>
      </c>
      <c r="I839" s="36" t="n">
        <v>1</v>
      </c>
      <c r="J839" s="39" t="n">
        <v>35.97</v>
      </c>
      <c r="K839" s="45" t="n">
        <v>0.1</v>
      </c>
      <c r="L839" s="39" t="n">
        <v>13.54</v>
      </c>
      <c r="M839" s="39">
        <f>I839*J839*(1-K839)</f>
        <v/>
      </c>
      <c r="N839" s="39">
        <f>I839*L839</f>
        <v/>
      </c>
      <c r="O839" s="39">
        <f>M839-N839</f>
        <v/>
      </c>
      <c r="P839" s="38">
        <f>IF(M839=0,0,O839/M839)</f>
        <v/>
      </c>
      <c r="Q839" s="36">
        <f>YEAR(B839)</f>
        <v/>
      </c>
      <c r="R839" s="36">
        <f>"Q"&amp;ROUNDUP(MONTH(B839)/3,0)</f>
        <v/>
      </c>
      <c r="S839" s="36">
        <f>MONTH(B839)</f>
        <v/>
      </c>
      <c r="T839" s="36">
        <f>TEXT(B839,"mmm")</f>
        <v/>
      </c>
      <c r="U839" s="36">
        <f>IF(AND(OR(sel_Region="All",C839=sel_Region),OR(sel_Country="All",D839=sel_Country),OR(sel_Channel="All",E839=sel_Channel),OR(sel_Customer="All",F839=sel_Customer),OR(sel_Category="All",G839=sel_Category),OR(sel_Product="All",H839=sel_Product),AND(S839&gt;=m_From,S839&lt;=m_To)),1,0)</f>
        <v/>
      </c>
      <c r="V839" s="36">
        <f>IF(AND(OR(sel_Region="All",C839=sel_Region),OR(sel_Channel="All",E839=sel_Channel),OR(sel_Customer="All",F839=sel_Customer),OR(sel_Category="All",G839=sel_Category),OR(sel_Product="All",H839=sel_Product),AND(S839&gt;=m_From,S839&lt;=m_To)),1,0)</f>
        <v/>
      </c>
      <c r="W839" s="36">
        <f>IF(AND(OR(sel_Region="All",C839=sel_Region),OR(sel_Country="All",D839=sel_Country),OR(sel_Customer="All",F839=sel_Customer),OR(sel_Category="All",G839=sel_Category),OR(sel_Product="All",H839=sel_Product),AND(S839&gt;=m_From,S839&lt;=m_To)),1,0)</f>
        <v/>
      </c>
      <c r="X839" s="36">
        <f>IF(AND(OR(sel_Region="All",C839=sel_Region),OR(sel_Country="All",D839=sel_Country),OR(sel_Channel="All",E839=sel_Channel),OR(sel_Category="All",G839=sel_Category),OR(sel_Product="All",H839=sel_Product),AND(S839&gt;=m_From,S839&lt;=m_To)),1,0)</f>
        <v/>
      </c>
      <c r="Y839" s="36">
        <f>IF(AND(OR(sel_Region="All",C839=sel_Region),OR(sel_Country="All",D839=sel_Country),OR(sel_Channel="All",E839=sel_Channel),OR(sel_Customer="All",F839=sel_Customer),OR(sel_Product="All",H839=sel_Product),AND(S839&gt;=m_From,S839&lt;=m_To)),1,0)</f>
        <v/>
      </c>
      <c r="Z839" s="36">
        <f>IF(AND(OR(sel_Region="All",C839=sel_Region),OR(sel_Country="All",D839=sel_Country),OR(sel_Channel="All",E839=sel_Channel),OR(sel_Customer="All",F839=sel_Customer),OR(sel_Category="All",G839=sel_Category),AND(S839&gt;=m_From,S839&lt;=m_To)),1,0)</f>
        <v/>
      </c>
      <c r="AA839" s="36">
        <f>IF(AND(OR(sel_Region="All",C839=sel_Region),OR(sel_Country="All",D839=sel_Country),OR(sel_Channel="All",E839=sel_Channel),OR(sel_Customer="All",F839=sel_Customer),OR(sel_Category="All",G839=sel_Category),OR(sel_Product="All",H839=sel_Product)),1,0)</f>
        <v/>
      </c>
    </row>
    <row r="840">
      <c r="A840" s="36" t="inlineStr">
        <is>
          <t>02856</t>
        </is>
      </c>
      <c r="B840" s="44" t="n">
        <v>46158</v>
      </c>
      <c r="C840" s="36" t="inlineStr">
        <is>
          <t>Central Europe</t>
        </is>
      </c>
      <c r="D840" s="36" t="inlineStr">
        <is>
          <t>Switzerland</t>
        </is>
      </c>
      <c r="E840" s="36" t="inlineStr">
        <is>
          <t>Corporate</t>
        </is>
      </c>
      <c r="F840" s="36" t="inlineStr">
        <is>
          <t>Business</t>
        </is>
      </c>
      <c r="G840" s="36" t="inlineStr">
        <is>
          <t>Fitness</t>
        </is>
      </c>
      <c r="H840" s="36" t="inlineStr">
        <is>
          <t>Weighted Vest</t>
        </is>
      </c>
      <c r="I840" s="36" t="n">
        <v>4</v>
      </c>
      <c r="J840" s="39" t="n">
        <v>125.11</v>
      </c>
      <c r="K840" s="45" t="n">
        <v>0.15</v>
      </c>
      <c r="L840" s="39" t="n">
        <v>70.01000000000001</v>
      </c>
      <c r="M840" s="39">
        <f>I840*J840*(1-K840)</f>
        <v/>
      </c>
      <c r="N840" s="39">
        <f>I840*L840</f>
        <v/>
      </c>
      <c r="O840" s="39">
        <f>M840-N840</f>
        <v/>
      </c>
      <c r="P840" s="38">
        <f>IF(M840=0,0,O840/M840)</f>
        <v/>
      </c>
      <c r="Q840" s="36">
        <f>YEAR(B840)</f>
        <v/>
      </c>
      <c r="R840" s="36">
        <f>"Q"&amp;ROUNDUP(MONTH(B840)/3,0)</f>
        <v/>
      </c>
      <c r="S840" s="36">
        <f>MONTH(B840)</f>
        <v/>
      </c>
      <c r="T840" s="36">
        <f>TEXT(B840,"mmm")</f>
        <v/>
      </c>
      <c r="U840" s="36">
        <f>IF(AND(OR(sel_Region="All",C840=sel_Region),OR(sel_Country="All",D840=sel_Country),OR(sel_Channel="All",E840=sel_Channel),OR(sel_Customer="All",F840=sel_Customer),OR(sel_Category="All",G840=sel_Category),OR(sel_Product="All",H840=sel_Product),AND(S840&gt;=m_From,S840&lt;=m_To)),1,0)</f>
        <v/>
      </c>
      <c r="V840" s="36">
        <f>IF(AND(OR(sel_Region="All",C840=sel_Region),OR(sel_Channel="All",E840=sel_Channel),OR(sel_Customer="All",F840=sel_Customer),OR(sel_Category="All",G840=sel_Category),OR(sel_Product="All",H840=sel_Product),AND(S840&gt;=m_From,S840&lt;=m_To)),1,0)</f>
        <v/>
      </c>
      <c r="W840" s="36">
        <f>IF(AND(OR(sel_Region="All",C840=sel_Region),OR(sel_Country="All",D840=sel_Country),OR(sel_Customer="All",F840=sel_Customer),OR(sel_Category="All",G840=sel_Category),OR(sel_Product="All",H840=sel_Product),AND(S840&gt;=m_From,S840&lt;=m_To)),1,0)</f>
        <v/>
      </c>
      <c r="X840" s="36">
        <f>IF(AND(OR(sel_Region="All",C840=sel_Region),OR(sel_Country="All",D840=sel_Country),OR(sel_Channel="All",E840=sel_Channel),OR(sel_Category="All",G840=sel_Category),OR(sel_Product="All",H840=sel_Product),AND(S840&gt;=m_From,S840&lt;=m_To)),1,0)</f>
        <v/>
      </c>
      <c r="Y840" s="36">
        <f>IF(AND(OR(sel_Region="All",C840=sel_Region),OR(sel_Country="All",D840=sel_Country),OR(sel_Channel="All",E840=sel_Channel),OR(sel_Customer="All",F840=sel_Customer),OR(sel_Product="All",H840=sel_Product),AND(S840&gt;=m_From,S840&lt;=m_To)),1,0)</f>
        <v/>
      </c>
      <c r="Z840" s="36">
        <f>IF(AND(OR(sel_Region="All",C840=sel_Region),OR(sel_Country="All",D840=sel_Country),OR(sel_Channel="All",E840=sel_Channel),OR(sel_Customer="All",F840=sel_Customer),OR(sel_Category="All",G840=sel_Category),AND(S840&gt;=m_From,S840&lt;=m_To)),1,0)</f>
        <v/>
      </c>
      <c r="AA840" s="36">
        <f>IF(AND(OR(sel_Region="All",C840=sel_Region),OR(sel_Country="All",D840=sel_Country),OR(sel_Channel="All",E840=sel_Channel),OR(sel_Customer="All",F840=sel_Customer),OR(sel_Category="All",G840=sel_Category),OR(sel_Product="All",H840=sel_Product)),1,0)</f>
        <v/>
      </c>
    </row>
    <row r="841">
      <c r="A841" s="36" t="inlineStr">
        <is>
          <t>03478</t>
        </is>
      </c>
      <c r="B841" s="44" t="n">
        <v>46158</v>
      </c>
      <c r="C841" s="36" t="inlineStr">
        <is>
          <t>Western Europe</t>
        </is>
      </c>
      <c r="D841" s="36" t="inlineStr">
        <is>
          <t>United Kingdom</t>
        </is>
      </c>
      <c r="E841" s="36" t="inlineStr">
        <is>
          <t>Online Store</t>
        </is>
      </c>
      <c r="F841" s="36" t="inlineStr">
        <is>
          <t>New</t>
        </is>
      </c>
      <c r="G841" s="36" t="inlineStr">
        <is>
          <t>Fitness</t>
        </is>
      </c>
      <c r="H841" s="36" t="inlineStr">
        <is>
          <t>Recovery Roller</t>
        </is>
      </c>
      <c r="I841" s="36" t="n">
        <v>4</v>
      </c>
      <c r="J841" s="39" t="n">
        <v>36.29</v>
      </c>
      <c r="K841" s="45" t="n">
        <v>0.1</v>
      </c>
      <c r="L841" s="39" t="n">
        <v>13.77</v>
      </c>
      <c r="M841" s="39">
        <f>I841*J841*(1-K841)</f>
        <v/>
      </c>
      <c r="N841" s="39">
        <f>I841*L841</f>
        <v/>
      </c>
      <c r="O841" s="39">
        <f>M841-N841</f>
        <v/>
      </c>
      <c r="P841" s="38">
        <f>IF(M841=0,0,O841/M841)</f>
        <v/>
      </c>
      <c r="Q841" s="36">
        <f>YEAR(B841)</f>
        <v/>
      </c>
      <c r="R841" s="36">
        <f>"Q"&amp;ROUNDUP(MONTH(B841)/3,0)</f>
        <v/>
      </c>
      <c r="S841" s="36">
        <f>MONTH(B841)</f>
        <v/>
      </c>
      <c r="T841" s="36">
        <f>TEXT(B841,"mmm")</f>
        <v/>
      </c>
      <c r="U841" s="36">
        <f>IF(AND(OR(sel_Region="All",C841=sel_Region),OR(sel_Country="All",D841=sel_Country),OR(sel_Channel="All",E841=sel_Channel),OR(sel_Customer="All",F841=sel_Customer),OR(sel_Category="All",G841=sel_Category),OR(sel_Product="All",H841=sel_Product),AND(S841&gt;=m_From,S841&lt;=m_To)),1,0)</f>
        <v/>
      </c>
      <c r="V841" s="36">
        <f>IF(AND(OR(sel_Region="All",C841=sel_Region),OR(sel_Channel="All",E841=sel_Channel),OR(sel_Customer="All",F841=sel_Customer),OR(sel_Category="All",G841=sel_Category),OR(sel_Product="All",H841=sel_Product),AND(S841&gt;=m_From,S841&lt;=m_To)),1,0)</f>
        <v/>
      </c>
      <c r="W841" s="36">
        <f>IF(AND(OR(sel_Region="All",C841=sel_Region),OR(sel_Country="All",D841=sel_Country),OR(sel_Customer="All",F841=sel_Customer),OR(sel_Category="All",G841=sel_Category),OR(sel_Product="All",H841=sel_Product),AND(S841&gt;=m_From,S841&lt;=m_To)),1,0)</f>
        <v/>
      </c>
      <c r="X841" s="36">
        <f>IF(AND(OR(sel_Region="All",C841=sel_Region),OR(sel_Country="All",D841=sel_Country),OR(sel_Channel="All",E841=sel_Channel),OR(sel_Category="All",G841=sel_Category),OR(sel_Product="All",H841=sel_Product),AND(S841&gt;=m_From,S841&lt;=m_To)),1,0)</f>
        <v/>
      </c>
      <c r="Y841" s="36">
        <f>IF(AND(OR(sel_Region="All",C841=sel_Region),OR(sel_Country="All",D841=sel_Country),OR(sel_Channel="All",E841=sel_Channel),OR(sel_Customer="All",F841=sel_Customer),OR(sel_Product="All",H841=sel_Product),AND(S841&gt;=m_From,S841&lt;=m_To)),1,0)</f>
        <v/>
      </c>
      <c r="Z841" s="36">
        <f>IF(AND(OR(sel_Region="All",C841=sel_Region),OR(sel_Country="All",D841=sel_Country),OR(sel_Channel="All",E841=sel_Channel),OR(sel_Customer="All",F841=sel_Customer),OR(sel_Category="All",G841=sel_Category),AND(S841&gt;=m_From,S841&lt;=m_To)),1,0)</f>
        <v/>
      </c>
      <c r="AA841" s="36">
        <f>IF(AND(OR(sel_Region="All",C841=sel_Region),OR(sel_Country="All",D841=sel_Country),OR(sel_Channel="All",E841=sel_Channel),OR(sel_Customer="All",F841=sel_Customer),OR(sel_Category="All",G841=sel_Category),OR(sel_Product="All",H841=sel_Product)),1,0)</f>
        <v/>
      </c>
    </row>
    <row r="842">
      <c r="A842" s="36" t="inlineStr">
        <is>
          <t>03599</t>
        </is>
      </c>
      <c r="B842" s="44" t="n">
        <v>46158</v>
      </c>
      <c r="C842" s="36" t="inlineStr">
        <is>
          <t>Central Europe</t>
        </is>
      </c>
      <c r="D842" s="36" t="inlineStr">
        <is>
          <t>Austria</t>
        </is>
      </c>
      <c r="E842" s="36" t="inlineStr">
        <is>
          <t>Online Store</t>
        </is>
      </c>
      <c r="F842" s="36" t="inlineStr">
        <is>
          <t>New</t>
        </is>
      </c>
      <c r="G842" s="36" t="inlineStr">
        <is>
          <t>Hiking</t>
        </is>
      </c>
      <c r="H842" s="36" t="inlineStr">
        <is>
          <t>Trail Boots</t>
        </is>
      </c>
      <c r="I842" s="36" t="n">
        <v>4</v>
      </c>
      <c r="J842" s="39" t="n">
        <v>143.34</v>
      </c>
      <c r="K842" s="45" t="n">
        <v>0</v>
      </c>
      <c r="L842" s="39" t="n">
        <v>80.55</v>
      </c>
      <c r="M842" s="39">
        <f>I842*J842*(1-K842)</f>
        <v/>
      </c>
      <c r="N842" s="39">
        <f>I842*L842</f>
        <v/>
      </c>
      <c r="O842" s="39">
        <f>M842-N842</f>
        <v/>
      </c>
      <c r="P842" s="38">
        <f>IF(M842=0,0,O842/M842)</f>
        <v/>
      </c>
      <c r="Q842" s="36">
        <f>YEAR(B842)</f>
        <v/>
      </c>
      <c r="R842" s="36">
        <f>"Q"&amp;ROUNDUP(MONTH(B842)/3,0)</f>
        <v/>
      </c>
      <c r="S842" s="36">
        <f>MONTH(B842)</f>
        <v/>
      </c>
      <c r="T842" s="36">
        <f>TEXT(B842,"mmm")</f>
        <v/>
      </c>
      <c r="U842" s="36">
        <f>IF(AND(OR(sel_Region="All",C842=sel_Region),OR(sel_Country="All",D842=sel_Country),OR(sel_Channel="All",E842=sel_Channel),OR(sel_Customer="All",F842=sel_Customer),OR(sel_Category="All",G842=sel_Category),OR(sel_Product="All",H842=sel_Product),AND(S842&gt;=m_From,S842&lt;=m_To)),1,0)</f>
        <v/>
      </c>
      <c r="V842" s="36">
        <f>IF(AND(OR(sel_Region="All",C842=sel_Region),OR(sel_Channel="All",E842=sel_Channel),OR(sel_Customer="All",F842=sel_Customer),OR(sel_Category="All",G842=sel_Category),OR(sel_Product="All",H842=sel_Product),AND(S842&gt;=m_From,S842&lt;=m_To)),1,0)</f>
        <v/>
      </c>
      <c r="W842" s="36">
        <f>IF(AND(OR(sel_Region="All",C842=sel_Region),OR(sel_Country="All",D842=sel_Country),OR(sel_Customer="All",F842=sel_Customer),OR(sel_Category="All",G842=sel_Category),OR(sel_Product="All",H842=sel_Product),AND(S842&gt;=m_From,S842&lt;=m_To)),1,0)</f>
        <v/>
      </c>
      <c r="X842" s="36">
        <f>IF(AND(OR(sel_Region="All",C842=sel_Region),OR(sel_Country="All",D842=sel_Country),OR(sel_Channel="All",E842=sel_Channel),OR(sel_Category="All",G842=sel_Category),OR(sel_Product="All",H842=sel_Product),AND(S842&gt;=m_From,S842&lt;=m_To)),1,0)</f>
        <v/>
      </c>
      <c r="Y842" s="36">
        <f>IF(AND(OR(sel_Region="All",C842=sel_Region),OR(sel_Country="All",D842=sel_Country),OR(sel_Channel="All",E842=sel_Channel),OR(sel_Customer="All",F842=sel_Customer),OR(sel_Product="All",H842=sel_Product),AND(S842&gt;=m_From,S842&lt;=m_To)),1,0)</f>
        <v/>
      </c>
      <c r="Z842" s="36">
        <f>IF(AND(OR(sel_Region="All",C842=sel_Region),OR(sel_Country="All",D842=sel_Country),OR(sel_Channel="All",E842=sel_Channel),OR(sel_Customer="All",F842=sel_Customer),OR(sel_Category="All",G842=sel_Category),AND(S842&gt;=m_From,S842&lt;=m_To)),1,0)</f>
        <v/>
      </c>
      <c r="AA842" s="36">
        <f>IF(AND(OR(sel_Region="All",C842=sel_Region),OR(sel_Country="All",D842=sel_Country),OR(sel_Channel="All",E842=sel_Channel),OR(sel_Customer="All",F842=sel_Customer),OR(sel_Category="All",G842=sel_Category),OR(sel_Product="All",H842=sel_Product)),1,0)</f>
        <v/>
      </c>
    </row>
    <row r="843">
      <c r="A843" s="36" t="inlineStr">
        <is>
          <t>00282</t>
        </is>
      </c>
      <c r="B843" s="44" t="n">
        <v>46159</v>
      </c>
      <c r="C843" s="36" t="inlineStr">
        <is>
          <t>Central Europe</t>
        </is>
      </c>
      <c r="D843" s="36" t="inlineStr">
        <is>
          <t>Germany</t>
        </is>
      </c>
      <c r="E843" s="36" t="inlineStr">
        <is>
          <t>Marketplace</t>
        </is>
      </c>
      <c r="F843" s="36" t="inlineStr">
        <is>
          <t>New</t>
        </is>
      </c>
      <c r="G843" s="36" t="inlineStr">
        <is>
          <t>Cycling</t>
        </is>
      </c>
      <c r="H843" s="36" t="inlineStr">
        <is>
          <t>Trail Bike Light</t>
        </is>
      </c>
      <c r="I843" s="36" t="n">
        <v>3</v>
      </c>
      <c r="J843" s="39" t="n">
        <v>51.68</v>
      </c>
      <c r="K843" s="45" t="n">
        <v>0</v>
      </c>
      <c r="L843" s="39" t="n">
        <v>22.4</v>
      </c>
      <c r="M843" s="39">
        <f>I843*J843*(1-K843)</f>
        <v/>
      </c>
      <c r="N843" s="39">
        <f>I843*L843</f>
        <v/>
      </c>
      <c r="O843" s="39">
        <f>M843-N843</f>
        <v/>
      </c>
      <c r="P843" s="38">
        <f>IF(M843=0,0,O843/M843)</f>
        <v/>
      </c>
      <c r="Q843" s="36">
        <f>YEAR(B843)</f>
        <v/>
      </c>
      <c r="R843" s="36">
        <f>"Q"&amp;ROUNDUP(MONTH(B843)/3,0)</f>
        <v/>
      </c>
      <c r="S843" s="36">
        <f>MONTH(B843)</f>
        <v/>
      </c>
      <c r="T843" s="36">
        <f>TEXT(B843,"mmm")</f>
        <v/>
      </c>
      <c r="U843" s="36">
        <f>IF(AND(OR(sel_Region="All",C843=sel_Region),OR(sel_Country="All",D843=sel_Country),OR(sel_Channel="All",E843=sel_Channel),OR(sel_Customer="All",F843=sel_Customer),OR(sel_Category="All",G843=sel_Category),OR(sel_Product="All",H843=sel_Product),AND(S843&gt;=m_From,S843&lt;=m_To)),1,0)</f>
        <v/>
      </c>
      <c r="V843" s="36">
        <f>IF(AND(OR(sel_Region="All",C843=sel_Region),OR(sel_Channel="All",E843=sel_Channel),OR(sel_Customer="All",F843=sel_Customer),OR(sel_Category="All",G843=sel_Category),OR(sel_Product="All",H843=sel_Product),AND(S843&gt;=m_From,S843&lt;=m_To)),1,0)</f>
        <v/>
      </c>
      <c r="W843" s="36">
        <f>IF(AND(OR(sel_Region="All",C843=sel_Region),OR(sel_Country="All",D843=sel_Country),OR(sel_Customer="All",F843=sel_Customer),OR(sel_Category="All",G843=sel_Category),OR(sel_Product="All",H843=sel_Product),AND(S843&gt;=m_From,S843&lt;=m_To)),1,0)</f>
        <v/>
      </c>
      <c r="X843" s="36">
        <f>IF(AND(OR(sel_Region="All",C843=sel_Region),OR(sel_Country="All",D843=sel_Country),OR(sel_Channel="All",E843=sel_Channel),OR(sel_Category="All",G843=sel_Category),OR(sel_Product="All",H843=sel_Product),AND(S843&gt;=m_From,S843&lt;=m_To)),1,0)</f>
        <v/>
      </c>
      <c r="Y843" s="36">
        <f>IF(AND(OR(sel_Region="All",C843=sel_Region),OR(sel_Country="All",D843=sel_Country),OR(sel_Channel="All",E843=sel_Channel),OR(sel_Customer="All",F843=sel_Customer),OR(sel_Product="All",H843=sel_Product),AND(S843&gt;=m_From,S843&lt;=m_To)),1,0)</f>
        <v/>
      </c>
      <c r="Z843" s="36">
        <f>IF(AND(OR(sel_Region="All",C843=sel_Region),OR(sel_Country="All",D843=sel_Country),OR(sel_Channel="All",E843=sel_Channel),OR(sel_Customer="All",F843=sel_Customer),OR(sel_Category="All",G843=sel_Category),AND(S843&gt;=m_From,S843&lt;=m_To)),1,0)</f>
        <v/>
      </c>
      <c r="AA843" s="36">
        <f>IF(AND(OR(sel_Region="All",C843=sel_Region),OR(sel_Country="All",D843=sel_Country),OR(sel_Channel="All",E843=sel_Channel),OR(sel_Customer="All",F843=sel_Customer),OR(sel_Category="All",G843=sel_Category),OR(sel_Product="All",H843=sel_Product)),1,0)</f>
        <v/>
      </c>
    </row>
    <row r="844">
      <c r="A844" s="36" t="inlineStr">
        <is>
          <t>00980</t>
        </is>
      </c>
      <c r="B844" s="44" t="n">
        <v>46159</v>
      </c>
      <c r="C844" s="36" t="inlineStr">
        <is>
          <t>Western Europe</t>
        </is>
      </c>
      <c r="D844" s="36" t="inlineStr">
        <is>
          <t>Netherlands</t>
        </is>
      </c>
      <c r="E844" s="36" t="inlineStr">
        <is>
          <t>Online Store</t>
        </is>
      </c>
      <c r="F844" s="36" t="inlineStr">
        <is>
          <t>Returning</t>
        </is>
      </c>
      <c r="G844" s="36" t="inlineStr">
        <is>
          <t>Travel</t>
        </is>
      </c>
      <c r="H844" s="36" t="inlineStr">
        <is>
          <t>Packing Cube Set</t>
        </is>
      </c>
      <c r="I844" s="36" t="n">
        <v>1</v>
      </c>
      <c r="J844" s="39" t="n">
        <v>46.84</v>
      </c>
      <c r="K844" s="45" t="n">
        <v>0</v>
      </c>
      <c r="L844" s="39" t="n">
        <v>17.93</v>
      </c>
      <c r="M844" s="39">
        <f>I844*J844*(1-K844)</f>
        <v/>
      </c>
      <c r="N844" s="39">
        <f>I844*L844</f>
        <v/>
      </c>
      <c r="O844" s="39">
        <f>M844-N844</f>
        <v/>
      </c>
      <c r="P844" s="38">
        <f>IF(M844=0,0,O844/M844)</f>
        <v/>
      </c>
      <c r="Q844" s="36">
        <f>YEAR(B844)</f>
        <v/>
      </c>
      <c r="R844" s="36">
        <f>"Q"&amp;ROUNDUP(MONTH(B844)/3,0)</f>
        <v/>
      </c>
      <c r="S844" s="36">
        <f>MONTH(B844)</f>
        <v/>
      </c>
      <c r="T844" s="36">
        <f>TEXT(B844,"mmm")</f>
        <v/>
      </c>
      <c r="U844" s="36">
        <f>IF(AND(OR(sel_Region="All",C844=sel_Region),OR(sel_Country="All",D844=sel_Country),OR(sel_Channel="All",E844=sel_Channel),OR(sel_Customer="All",F844=sel_Customer),OR(sel_Category="All",G844=sel_Category),OR(sel_Product="All",H844=sel_Product),AND(S844&gt;=m_From,S844&lt;=m_To)),1,0)</f>
        <v/>
      </c>
      <c r="V844" s="36">
        <f>IF(AND(OR(sel_Region="All",C844=sel_Region),OR(sel_Channel="All",E844=sel_Channel),OR(sel_Customer="All",F844=sel_Customer),OR(sel_Category="All",G844=sel_Category),OR(sel_Product="All",H844=sel_Product),AND(S844&gt;=m_From,S844&lt;=m_To)),1,0)</f>
        <v/>
      </c>
      <c r="W844" s="36">
        <f>IF(AND(OR(sel_Region="All",C844=sel_Region),OR(sel_Country="All",D844=sel_Country),OR(sel_Customer="All",F844=sel_Customer),OR(sel_Category="All",G844=sel_Category),OR(sel_Product="All",H844=sel_Product),AND(S844&gt;=m_From,S844&lt;=m_To)),1,0)</f>
        <v/>
      </c>
      <c r="X844" s="36">
        <f>IF(AND(OR(sel_Region="All",C844=sel_Region),OR(sel_Country="All",D844=sel_Country),OR(sel_Channel="All",E844=sel_Channel),OR(sel_Category="All",G844=sel_Category),OR(sel_Product="All",H844=sel_Product),AND(S844&gt;=m_From,S844&lt;=m_To)),1,0)</f>
        <v/>
      </c>
      <c r="Y844" s="36">
        <f>IF(AND(OR(sel_Region="All",C844=sel_Region),OR(sel_Country="All",D844=sel_Country),OR(sel_Channel="All",E844=sel_Channel),OR(sel_Customer="All",F844=sel_Customer),OR(sel_Product="All",H844=sel_Product),AND(S844&gt;=m_From,S844&lt;=m_To)),1,0)</f>
        <v/>
      </c>
      <c r="Z844" s="36">
        <f>IF(AND(OR(sel_Region="All",C844=sel_Region),OR(sel_Country="All",D844=sel_Country),OR(sel_Channel="All",E844=sel_Channel),OR(sel_Customer="All",F844=sel_Customer),OR(sel_Category="All",G844=sel_Category),AND(S844&gt;=m_From,S844&lt;=m_To)),1,0)</f>
        <v/>
      </c>
      <c r="AA844" s="36">
        <f>IF(AND(OR(sel_Region="All",C844=sel_Region),OR(sel_Country="All",D844=sel_Country),OR(sel_Channel="All",E844=sel_Channel),OR(sel_Customer="All",F844=sel_Customer),OR(sel_Category="All",G844=sel_Category),OR(sel_Product="All",H844=sel_Product)),1,0)</f>
        <v/>
      </c>
    </row>
    <row r="845">
      <c r="A845" s="36" t="inlineStr">
        <is>
          <t>01155</t>
        </is>
      </c>
      <c r="B845" s="44" t="n">
        <v>46159</v>
      </c>
      <c r="C845" s="36" t="inlineStr">
        <is>
          <t>Northern Europe</t>
        </is>
      </c>
      <c r="D845" s="36" t="inlineStr">
        <is>
          <t>Sweden</t>
        </is>
      </c>
      <c r="E845" s="36" t="inlineStr">
        <is>
          <t>Marketplace</t>
        </is>
      </c>
      <c r="F845" s="36" t="inlineStr">
        <is>
          <t>New</t>
        </is>
      </c>
      <c r="G845" s="36" t="inlineStr">
        <is>
          <t>Hiking</t>
        </is>
      </c>
      <c r="H845" s="36" t="inlineStr">
        <is>
          <t>Trekking Poles</t>
        </is>
      </c>
      <c r="I845" s="36" t="n">
        <v>5</v>
      </c>
      <c r="J845" s="39" t="n">
        <v>72.90000000000001</v>
      </c>
      <c r="K845" s="45" t="n">
        <v>0.05</v>
      </c>
      <c r="L845" s="39" t="n">
        <v>31.57</v>
      </c>
      <c r="M845" s="39">
        <f>I845*J845*(1-K845)</f>
        <v/>
      </c>
      <c r="N845" s="39">
        <f>I845*L845</f>
        <v/>
      </c>
      <c r="O845" s="39">
        <f>M845-N845</f>
        <v/>
      </c>
      <c r="P845" s="38">
        <f>IF(M845=0,0,O845/M845)</f>
        <v/>
      </c>
      <c r="Q845" s="36">
        <f>YEAR(B845)</f>
        <v/>
      </c>
      <c r="R845" s="36">
        <f>"Q"&amp;ROUNDUP(MONTH(B845)/3,0)</f>
        <v/>
      </c>
      <c r="S845" s="36">
        <f>MONTH(B845)</f>
        <v/>
      </c>
      <c r="T845" s="36">
        <f>TEXT(B845,"mmm")</f>
        <v/>
      </c>
      <c r="U845" s="36">
        <f>IF(AND(OR(sel_Region="All",C845=sel_Region),OR(sel_Country="All",D845=sel_Country),OR(sel_Channel="All",E845=sel_Channel),OR(sel_Customer="All",F845=sel_Customer),OR(sel_Category="All",G845=sel_Category),OR(sel_Product="All",H845=sel_Product),AND(S845&gt;=m_From,S845&lt;=m_To)),1,0)</f>
        <v/>
      </c>
      <c r="V845" s="36">
        <f>IF(AND(OR(sel_Region="All",C845=sel_Region),OR(sel_Channel="All",E845=sel_Channel),OR(sel_Customer="All",F845=sel_Customer),OR(sel_Category="All",G845=sel_Category),OR(sel_Product="All",H845=sel_Product),AND(S845&gt;=m_From,S845&lt;=m_To)),1,0)</f>
        <v/>
      </c>
      <c r="W845" s="36">
        <f>IF(AND(OR(sel_Region="All",C845=sel_Region),OR(sel_Country="All",D845=sel_Country),OR(sel_Customer="All",F845=sel_Customer),OR(sel_Category="All",G845=sel_Category),OR(sel_Product="All",H845=sel_Product),AND(S845&gt;=m_From,S845&lt;=m_To)),1,0)</f>
        <v/>
      </c>
      <c r="X845" s="36">
        <f>IF(AND(OR(sel_Region="All",C845=sel_Region),OR(sel_Country="All",D845=sel_Country),OR(sel_Channel="All",E845=sel_Channel),OR(sel_Category="All",G845=sel_Category),OR(sel_Product="All",H845=sel_Product),AND(S845&gt;=m_From,S845&lt;=m_To)),1,0)</f>
        <v/>
      </c>
      <c r="Y845" s="36">
        <f>IF(AND(OR(sel_Region="All",C845=sel_Region),OR(sel_Country="All",D845=sel_Country),OR(sel_Channel="All",E845=sel_Channel),OR(sel_Customer="All",F845=sel_Customer),OR(sel_Product="All",H845=sel_Product),AND(S845&gt;=m_From,S845&lt;=m_To)),1,0)</f>
        <v/>
      </c>
      <c r="Z845" s="36">
        <f>IF(AND(OR(sel_Region="All",C845=sel_Region),OR(sel_Country="All",D845=sel_Country),OR(sel_Channel="All",E845=sel_Channel),OR(sel_Customer="All",F845=sel_Customer),OR(sel_Category="All",G845=sel_Category),AND(S845&gt;=m_From,S845&lt;=m_To)),1,0)</f>
        <v/>
      </c>
      <c r="AA845" s="36">
        <f>IF(AND(OR(sel_Region="All",C845=sel_Region),OR(sel_Country="All",D845=sel_Country),OR(sel_Channel="All",E845=sel_Channel),OR(sel_Customer="All",F845=sel_Customer),OR(sel_Category="All",G845=sel_Category),OR(sel_Product="All",H845=sel_Product)),1,0)</f>
        <v/>
      </c>
    </row>
    <row r="846">
      <c r="A846" s="36" t="inlineStr">
        <is>
          <t>01816</t>
        </is>
      </c>
      <c r="B846" s="44" t="n">
        <v>46159</v>
      </c>
      <c r="C846" s="36" t="inlineStr">
        <is>
          <t>Western Europe</t>
        </is>
      </c>
      <c r="D846" s="36" t="inlineStr">
        <is>
          <t>Netherlands</t>
        </is>
      </c>
      <c r="E846" s="36" t="inlineStr">
        <is>
          <t>Online Store</t>
        </is>
      </c>
      <c r="F846" s="36" t="inlineStr">
        <is>
          <t>New</t>
        </is>
      </c>
      <c r="G846" s="36" t="inlineStr">
        <is>
          <t>Hiking</t>
        </is>
      </c>
      <c r="H846" s="36" t="inlineStr">
        <is>
          <t>Hiking Daypack 20L</t>
        </is>
      </c>
      <c r="I846" s="36" t="n">
        <v>1</v>
      </c>
      <c r="J846" s="39" t="n">
        <v>91.06999999999999</v>
      </c>
      <c r="K846" s="45" t="n">
        <v>0</v>
      </c>
      <c r="L846" s="39" t="n">
        <v>45.3</v>
      </c>
      <c r="M846" s="39">
        <f>I846*J846*(1-K846)</f>
        <v/>
      </c>
      <c r="N846" s="39">
        <f>I846*L846</f>
        <v/>
      </c>
      <c r="O846" s="39">
        <f>M846-N846</f>
        <v/>
      </c>
      <c r="P846" s="38">
        <f>IF(M846=0,0,O846/M846)</f>
        <v/>
      </c>
      <c r="Q846" s="36">
        <f>YEAR(B846)</f>
        <v/>
      </c>
      <c r="R846" s="36">
        <f>"Q"&amp;ROUNDUP(MONTH(B846)/3,0)</f>
        <v/>
      </c>
      <c r="S846" s="36">
        <f>MONTH(B846)</f>
        <v/>
      </c>
      <c r="T846" s="36">
        <f>TEXT(B846,"mmm")</f>
        <v/>
      </c>
      <c r="U846" s="36">
        <f>IF(AND(OR(sel_Region="All",C846=sel_Region),OR(sel_Country="All",D846=sel_Country),OR(sel_Channel="All",E846=sel_Channel),OR(sel_Customer="All",F846=sel_Customer),OR(sel_Category="All",G846=sel_Category),OR(sel_Product="All",H846=sel_Product),AND(S846&gt;=m_From,S846&lt;=m_To)),1,0)</f>
        <v/>
      </c>
      <c r="V846" s="36">
        <f>IF(AND(OR(sel_Region="All",C846=sel_Region),OR(sel_Channel="All",E846=sel_Channel),OR(sel_Customer="All",F846=sel_Customer),OR(sel_Category="All",G846=sel_Category),OR(sel_Product="All",H846=sel_Product),AND(S846&gt;=m_From,S846&lt;=m_To)),1,0)</f>
        <v/>
      </c>
      <c r="W846" s="36">
        <f>IF(AND(OR(sel_Region="All",C846=sel_Region),OR(sel_Country="All",D846=sel_Country),OR(sel_Customer="All",F846=sel_Customer),OR(sel_Category="All",G846=sel_Category),OR(sel_Product="All",H846=sel_Product),AND(S846&gt;=m_From,S846&lt;=m_To)),1,0)</f>
        <v/>
      </c>
      <c r="X846" s="36">
        <f>IF(AND(OR(sel_Region="All",C846=sel_Region),OR(sel_Country="All",D846=sel_Country),OR(sel_Channel="All",E846=sel_Channel),OR(sel_Category="All",G846=sel_Category),OR(sel_Product="All",H846=sel_Product),AND(S846&gt;=m_From,S846&lt;=m_To)),1,0)</f>
        <v/>
      </c>
      <c r="Y846" s="36">
        <f>IF(AND(OR(sel_Region="All",C846=sel_Region),OR(sel_Country="All",D846=sel_Country),OR(sel_Channel="All",E846=sel_Channel),OR(sel_Customer="All",F846=sel_Customer),OR(sel_Product="All",H846=sel_Product),AND(S846&gt;=m_From,S846&lt;=m_To)),1,0)</f>
        <v/>
      </c>
      <c r="Z846" s="36">
        <f>IF(AND(OR(sel_Region="All",C846=sel_Region),OR(sel_Country="All",D846=sel_Country),OR(sel_Channel="All",E846=sel_Channel),OR(sel_Customer="All",F846=sel_Customer),OR(sel_Category="All",G846=sel_Category),AND(S846&gt;=m_From,S846&lt;=m_To)),1,0)</f>
        <v/>
      </c>
      <c r="AA846" s="36">
        <f>IF(AND(OR(sel_Region="All",C846=sel_Region),OR(sel_Country="All",D846=sel_Country),OR(sel_Channel="All",E846=sel_Channel),OR(sel_Customer="All",F846=sel_Customer),OR(sel_Category="All",G846=sel_Category),OR(sel_Product="All",H846=sel_Product)),1,0)</f>
        <v/>
      </c>
    </row>
    <row r="847">
      <c r="A847" s="36" t="inlineStr">
        <is>
          <t>02128</t>
        </is>
      </c>
      <c r="B847" s="44" t="n">
        <v>46159</v>
      </c>
      <c r="C847" s="36" t="inlineStr">
        <is>
          <t>Northern Europe</t>
        </is>
      </c>
      <c r="D847" s="36" t="inlineStr">
        <is>
          <t>Finland</t>
        </is>
      </c>
      <c r="E847" s="36" t="inlineStr">
        <is>
          <t>Retail Partners</t>
        </is>
      </c>
      <c r="F847" s="36" t="inlineStr">
        <is>
          <t>New</t>
        </is>
      </c>
      <c r="G847" s="36" t="inlineStr">
        <is>
          <t>Cycling</t>
        </is>
      </c>
      <c r="H847" s="36" t="inlineStr">
        <is>
          <t>Commuter Helmet</t>
        </is>
      </c>
      <c r="I847" s="36" t="n">
        <v>1</v>
      </c>
      <c r="J847" s="39" t="n">
        <v>81.86</v>
      </c>
      <c r="K847" s="45" t="n">
        <v>0</v>
      </c>
      <c r="L847" s="39" t="n">
        <v>43.14</v>
      </c>
      <c r="M847" s="39">
        <f>I847*J847*(1-K847)</f>
        <v/>
      </c>
      <c r="N847" s="39">
        <f>I847*L847</f>
        <v/>
      </c>
      <c r="O847" s="39">
        <f>M847-N847</f>
        <v/>
      </c>
      <c r="P847" s="38">
        <f>IF(M847=0,0,O847/M847)</f>
        <v/>
      </c>
      <c r="Q847" s="36">
        <f>YEAR(B847)</f>
        <v/>
      </c>
      <c r="R847" s="36">
        <f>"Q"&amp;ROUNDUP(MONTH(B847)/3,0)</f>
        <v/>
      </c>
      <c r="S847" s="36">
        <f>MONTH(B847)</f>
        <v/>
      </c>
      <c r="T847" s="36">
        <f>TEXT(B847,"mmm")</f>
        <v/>
      </c>
      <c r="U847" s="36">
        <f>IF(AND(OR(sel_Region="All",C847=sel_Region),OR(sel_Country="All",D847=sel_Country),OR(sel_Channel="All",E847=sel_Channel),OR(sel_Customer="All",F847=sel_Customer),OR(sel_Category="All",G847=sel_Category),OR(sel_Product="All",H847=sel_Product),AND(S847&gt;=m_From,S847&lt;=m_To)),1,0)</f>
        <v/>
      </c>
      <c r="V847" s="36">
        <f>IF(AND(OR(sel_Region="All",C847=sel_Region),OR(sel_Channel="All",E847=sel_Channel),OR(sel_Customer="All",F847=sel_Customer),OR(sel_Category="All",G847=sel_Category),OR(sel_Product="All",H847=sel_Product),AND(S847&gt;=m_From,S847&lt;=m_To)),1,0)</f>
        <v/>
      </c>
      <c r="W847" s="36">
        <f>IF(AND(OR(sel_Region="All",C847=sel_Region),OR(sel_Country="All",D847=sel_Country),OR(sel_Customer="All",F847=sel_Customer),OR(sel_Category="All",G847=sel_Category),OR(sel_Product="All",H847=sel_Product),AND(S847&gt;=m_From,S847&lt;=m_To)),1,0)</f>
        <v/>
      </c>
      <c r="X847" s="36">
        <f>IF(AND(OR(sel_Region="All",C847=sel_Region),OR(sel_Country="All",D847=sel_Country),OR(sel_Channel="All",E847=sel_Channel),OR(sel_Category="All",G847=sel_Category),OR(sel_Product="All",H847=sel_Product),AND(S847&gt;=m_From,S847&lt;=m_To)),1,0)</f>
        <v/>
      </c>
      <c r="Y847" s="36">
        <f>IF(AND(OR(sel_Region="All",C847=sel_Region),OR(sel_Country="All",D847=sel_Country),OR(sel_Channel="All",E847=sel_Channel),OR(sel_Customer="All",F847=sel_Customer),OR(sel_Product="All",H847=sel_Product),AND(S847&gt;=m_From,S847&lt;=m_To)),1,0)</f>
        <v/>
      </c>
      <c r="Z847" s="36">
        <f>IF(AND(OR(sel_Region="All",C847=sel_Region),OR(sel_Country="All",D847=sel_Country),OR(sel_Channel="All",E847=sel_Channel),OR(sel_Customer="All",F847=sel_Customer),OR(sel_Category="All",G847=sel_Category),AND(S847&gt;=m_From,S847&lt;=m_To)),1,0)</f>
        <v/>
      </c>
      <c r="AA847" s="36">
        <f>IF(AND(OR(sel_Region="All",C847=sel_Region),OR(sel_Country="All",D847=sel_Country),OR(sel_Channel="All",E847=sel_Channel),OR(sel_Customer="All",F847=sel_Customer),OR(sel_Category="All",G847=sel_Category),OR(sel_Product="All",H847=sel_Product)),1,0)</f>
        <v/>
      </c>
    </row>
    <row r="848">
      <c r="A848" s="36" t="inlineStr">
        <is>
          <t>02296</t>
        </is>
      </c>
      <c r="B848" s="44" t="n">
        <v>46159</v>
      </c>
      <c r="C848" s="36" t="inlineStr">
        <is>
          <t>Western Europe</t>
        </is>
      </c>
      <c r="D848" s="36" t="inlineStr">
        <is>
          <t>United Kingdom</t>
        </is>
      </c>
      <c r="E848" s="36" t="inlineStr">
        <is>
          <t>Online Store</t>
        </is>
      </c>
      <c r="F848" s="36" t="inlineStr">
        <is>
          <t>Returning</t>
        </is>
      </c>
      <c r="G848" s="36" t="inlineStr">
        <is>
          <t>Travel</t>
        </is>
      </c>
      <c r="H848" s="36" t="inlineStr">
        <is>
          <t>Packing Cube Set</t>
        </is>
      </c>
      <c r="I848" s="36" t="n">
        <v>1</v>
      </c>
      <c r="J848" s="39" t="n">
        <v>45.45</v>
      </c>
      <c r="K848" s="45" t="n">
        <v>0</v>
      </c>
      <c r="L848" s="39" t="n">
        <v>17.93</v>
      </c>
      <c r="M848" s="39">
        <f>I848*J848*(1-K848)</f>
        <v/>
      </c>
      <c r="N848" s="39">
        <f>I848*L848</f>
        <v/>
      </c>
      <c r="O848" s="39">
        <f>M848-N848</f>
        <v/>
      </c>
      <c r="P848" s="38">
        <f>IF(M848=0,0,O848/M848)</f>
        <v/>
      </c>
      <c r="Q848" s="36">
        <f>YEAR(B848)</f>
        <v/>
      </c>
      <c r="R848" s="36">
        <f>"Q"&amp;ROUNDUP(MONTH(B848)/3,0)</f>
        <v/>
      </c>
      <c r="S848" s="36">
        <f>MONTH(B848)</f>
        <v/>
      </c>
      <c r="T848" s="36">
        <f>TEXT(B848,"mmm")</f>
        <v/>
      </c>
      <c r="U848" s="36">
        <f>IF(AND(OR(sel_Region="All",C848=sel_Region),OR(sel_Country="All",D848=sel_Country),OR(sel_Channel="All",E848=sel_Channel),OR(sel_Customer="All",F848=sel_Customer),OR(sel_Category="All",G848=sel_Category),OR(sel_Product="All",H848=sel_Product),AND(S848&gt;=m_From,S848&lt;=m_To)),1,0)</f>
        <v/>
      </c>
      <c r="V848" s="36">
        <f>IF(AND(OR(sel_Region="All",C848=sel_Region),OR(sel_Channel="All",E848=sel_Channel),OR(sel_Customer="All",F848=sel_Customer),OR(sel_Category="All",G848=sel_Category),OR(sel_Product="All",H848=sel_Product),AND(S848&gt;=m_From,S848&lt;=m_To)),1,0)</f>
        <v/>
      </c>
      <c r="W848" s="36">
        <f>IF(AND(OR(sel_Region="All",C848=sel_Region),OR(sel_Country="All",D848=sel_Country),OR(sel_Customer="All",F848=sel_Customer),OR(sel_Category="All",G848=sel_Category),OR(sel_Product="All",H848=sel_Product),AND(S848&gt;=m_From,S848&lt;=m_To)),1,0)</f>
        <v/>
      </c>
      <c r="X848" s="36">
        <f>IF(AND(OR(sel_Region="All",C848=sel_Region),OR(sel_Country="All",D848=sel_Country),OR(sel_Channel="All",E848=sel_Channel),OR(sel_Category="All",G848=sel_Category),OR(sel_Product="All",H848=sel_Product),AND(S848&gt;=m_From,S848&lt;=m_To)),1,0)</f>
        <v/>
      </c>
      <c r="Y848" s="36">
        <f>IF(AND(OR(sel_Region="All",C848=sel_Region),OR(sel_Country="All",D848=sel_Country),OR(sel_Channel="All",E848=sel_Channel),OR(sel_Customer="All",F848=sel_Customer),OR(sel_Product="All",H848=sel_Product),AND(S848&gt;=m_From,S848&lt;=m_To)),1,0)</f>
        <v/>
      </c>
      <c r="Z848" s="36">
        <f>IF(AND(OR(sel_Region="All",C848=sel_Region),OR(sel_Country="All",D848=sel_Country),OR(sel_Channel="All",E848=sel_Channel),OR(sel_Customer="All",F848=sel_Customer),OR(sel_Category="All",G848=sel_Category),AND(S848&gt;=m_From,S848&lt;=m_To)),1,0)</f>
        <v/>
      </c>
      <c r="AA848" s="36">
        <f>IF(AND(OR(sel_Region="All",C848=sel_Region),OR(sel_Country="All",D848=sel_Country),OR(sel_Channel="All",E848=sel_Channel),OR(sel_Customer="All",F848=sel_Customer),OR(sel_Category="All",G848=sel_Category),OR(sel_Product="All",H848=sel_Product)),1,0)</f>
        <v/>
      </c>
    </row>
    <row r="849">
      <c r="A849" s="36" t="inlineStr">
        <is>
          <t>02322</t>
        </is>
      </c>
      <c r="B849" s="44" t="n">
        <v>46159</v>
      </c>
      <c r="C849" s="36" t="inlineStr">
        <is>
          <t>Northern Europe</t>
        </is>
      </c>
      <c r="D849" s="36" t="inlineStr">
        <is>
          <t>Finland</t>
        </is>
      </c>
      <c r="E849" s="36" t="inlineStr">
        <is>
          <t>Retail Partners</t>
        </is>
      </c>
      <c r="F849" s="36" t="inlineStr">
        <is>
          <t>Business</t>
        </is>
      </c>
      <c r="G849" s="36" t="inlineStr">
        <is>
          <t>Hiking</t>
        </is>
      </c>
      <c r="H849" s="36" t="inlineStr">
        <is>
          <t>Trekking Poles</t>
        </is>
      </c>
      <c r="I849" s="36" t="n">
        <v>1</v>
      </c>
      <c r="J849" s="39" t="n">
        <v>70.62</v>
      </c>
      <c r="K849" s="45" t="n">
        <v>0</v>
      </c>
      <c r="L849" s="39" t="n">
        <v>32.53</v>
      </c>
      <c r="M849" s="39">
        <f>I849*J849*(1-K849)</f>
        <v/>
      </c>
      <c r="N849" s="39">
        <f>I849*L849</f>
        <v/>
      </c>
      <c r="O849" s="39">
        <f>M849-N849</f>
        <v/>
      </c>
      <c r="P849" s="38">
        <f>IF(M849=0,0,O849/M849)</f>
        <v/>
      </c>
      <c r="Q849" s="36">
        <f>YEAR(B849)</f>
        <v/>
      </c>
      <c r="R849" s="36">
        <f>"Q"&amp;ROUNDUP(MONTH(B849)/3,0)</f>
        <v/>
      </c>
      <c r="S849" s="36">
        <f>MONTH(B849)</f>
        <v/>
      </c>
      <c r="T849" s="36">
        <f>TEXT(B849,"mmm")</f>
        <v/>
      </c>
      <c r="U849" s="36">
        <f>IF(AND(OR(sel_Region="All",C849=sel_Region),OR(sel_Country="All",D849=sel_Country),OR(sel_Channel="All",E849=sel_Channel),OR(sel_Customer="All",F849=sel_Customer),OR(sel_Category="All",G849=sel_Category),OR(sel_Product="All",H849=sel_Product),AND(S849&gt;=m_From,S849&lt;=m_To)),1,0)</f>
        <v/>
      </c>
      <c r="V849" s="36">
        <f>IF(AND(OR(sel_Region="All",C849=sel_Region),OR(sel_Channel="All",E849=sel_Channel),OR(sel_Customer="All",F849=sel_Customer),OR(sel_Category="All",G849=sel_Category),OR(sel_Product="All",H849=sel_Product),AND(S849&gt;=m_From,S849&lt;=m_To)),1,0)</f>
        <v/>
      </c>
      <c r="W849" s="36">
        <f>IF(AND(OR(sel_Region="All",C849=sel_Region),OR(sel_Country="All",D849=sel_Country),OR(sel_Customer="All",F849=sel_Customer),OR(sel_Category="All",G849=sel_Category),OR(sel_Product="All",H849=sel_Product),AND(S849&gt;=m_From,S849&lt;=m_To)),1,0)</f>
        <v/>
      </c>
      <c r="X849" s="36">
        <f>IF(AND(OR(sel_Region="All",C849=sel_Region),OR(sel_Country="All",D849=sel_Country),OR(sel_Channel="All",E849=sel_Channel),OR(sel_Category="All",G849=sel_Category),OR(sel_Product="All",H849=sel_Product),AND(S849&gt;=m_From,S849&lt;=m_To)),1,0)</f>
        <v/>
      </c>
      <c r="Y849" s="36">
        <f>IF(AND(OR(sel_Region="All",C849=sel_Region),OR(sel_Country="All",D849=sel_Country),OR(sel_Channel="All",E849=sel_Channel),OR(sel_Customer="All",F849=sel_Customer),OR(sel_Product="All",H849=sel_Product),AND(S849&gt;=m_From,S849&lt;=m_To)),1,0)</f>
        <v/>
      </c>
      <c r="Z849" s="36">
        <f>IF(AND(OR(sel_Region="All",C849=sel_Region),OR(sel_Country="All",D849=sel_Country),OR(sel_Channel="All",E849=sel_Channel),OR(sel_Customer="All",F849=sel_Customer),OR(sel_Category="All",G849=sel_Category),AND(S849&gt;=m_From,S849&lt;=m_To)),1,0)</f>
        <v/>
      </c>
      <c r="AA849" s="36">
        <f>IF(AND(OR(sel_Region="All",C849=sel_Region),OR(sel_Country="All",D849=sel_Country),OR(sel_Channel="All",E849=sel_Channel),OR(sel_Customer="All",F849=sel_Customer),OR(sel_Category="All",G849=sel_Category),OR(sel_Product="All",H849=sel_Product)),1,0)</f>
        <v/>
      </c>
    </row>
    <row r="850">
      <c r="A850" s="36" t="inlineStr">
        <is>
          <t>03480</t>
        </is>
      </c>
      <c r="B850" s="44" t="n">
        <v>46159</v>
      </c>
      <c r="C850" s="36" t="inlineStr">
        <is>
          <t>Western Europe</t>
        </is>
      </c>
      <c r="D850" s="36" t="inlineStr">
        <is>
          <t>United Kingdom</t>
        </is>
      </c>
      <c r="E850" s="36" t="inlineStr">
        <is>
          <t>Online Store</t>
        </is>
      </c>
      <c r="F850" s="36" t="inlineStr">
        <is>
          <t>New</t>
        </is>
      </c>
      <c r="G850" s="36" t="inlineStr">
        <is>
          <t>Fitness</t>
        </is>
      </c>
      <c r="H850" s="36" t="inlineStr">
        <is>
          <t>Training Mat</t>
        </is>
      </c>
      <c r="I850" s="36" t="n">
        <v>2</v>
      </c>
      <c r="J850" s="39" t="n">
        <v>51.56</v>
      </c>
      <c r="K850" s="45" t="n">
        <v>0</v>
      </c>
      <c r="L850" s="39" t="n">
        <v>22.46</v>
      </c>
      <c r="M850" s="39">
        <f>I850*J850*(1-K850)</f>
        <v/>
      </c>
      <c r="N850" s="39">
        <f>I850*L850</f>
        <v/>
      </c>
      <c r="O850" s="39">
        <f>M850-N850</f>
        <v/>
      </c>
      <c r="P850" s="38">
        <f>IF(M850=0,0,O850/M850)</f>
        <v/>
      </c>
      <c r="Q850" s="36">
        <f>YEAR(B850)</f>
        <v/>
      </c>
      <c r="R850" s="36">
        <f>"Q"&amp;ROUNDUP(MONTH(B850)/3,0)</f>
        <v/>
      </c>
      <c r="S850" s="36">
        <f>MONTH(B850)</f>
        <v/>
      </c>
      <c r="T850" s="36">
        <f>TEXT(B850,"mmm")</f>
        <v/>
      </c>
      <c r="U850" s="36">
        <f>IF(AND(OR(sel_Region="All",C850=sel_Region),OR(sel_Country="All",D850=sel_Country),OR(sel_Channel="All",E850=sel_Channel),OR(sel_Customer="All",F850=sel_Customer),OR(sel_Category="All",G850=sel_Category),OR(sel_Product="All",H850=sel_Product),AND(S850&gt;=m_From,S850&lt;=m_To)),1,0)</f>
        <v/>
      </c>
      <c r="V850" s="36">
        <f>IF(AND(OR(sel_Region="All",C850=sel_Region),OR(sel_Channel="All",E850=sel_Channel),OR(sel_Customer="All",F850=sel_Customer),OR(sel_Category="All",G850=sel_Category),OR(sel_Product="All",H850=sel_Product),AND(S850&gt;=m_From,S850&lt;=m_To)),1,0)</f>
        <v/>
      </c>
      <c r="W850" s="36">
        <f>IF(AND(OR(sel_Region="All",C850=sel_Region),OR(sel_Country="All",D850=sel_Country),OR(sel_Customer="All",F850=sel_Customer),OR(sel_Category="All",G850=sel_Category),OR(sel_Product="All",H850=sel_Product),AND(S850&gt;=m_From,S850&lt;=m_To)),1,0)</f>
        <v/>
      </c>
      <c r="X850" s="36">
        <f>IF(AND(OR(sel_Region="All",C850=sel_Region),OR(sel_Country="All",D850=sel_Country),OR(sel_Channel="All",E850=sel_Channel),OR(sel_Category="All",G850=sel_Category),OR(sel_Product="All",H850=sel_Product),AND(S850&gt;=m_From,S850&lt;=m_To)),1,0)</f>
        <v/>
      </c>
      <c r="Y850" s="36">
        <f>IF(AND(OR(sel_Region="All",C850=sel_Region),OR(sel_Country="All",D850=sel_Country),OR(sel_Channel="All",E850=sel_Channel),OR(sel_Customer="All",F850=sel_Customer),OR(sel_Product="All",H850=sel_Product),AND(S850&gt;=m_From,S850&lt;=m_To)),1,0)</f>
        <v/>
      </c>
      <c r="Z850" s="36">
        <f>IF(AND(OR(sel_Region="All",C850=sel_Region),OR(sel_Country="All",D850=sel_Country),OR(sel_Channel="All",E850=sel_Channel),OR(sel_Customer="All",F850=sel_Customer),OR(sel_Category="All",G850=sel_Category),AND(S850&gt;=m_From,S850&lt;=m_To)),1,0)</f>
        <v/>
      </c>
      <c r="AA850" s="36">
        <f>IF(AND(OR(sel_Region="All",C850=sel_Region),OR(sel_Country="All",D850=sel_Country),OR(sel_Channel="All",E850=sel_Channel),OR(sel_Customer="All",F850=sel_Customer),OR(sel_Category="All",G850=sel_Category),OR(sel_Product="All",H850=sel_Product)),1,0)</f>
        <v/>
      </c>
    </row>
    <row r="851">
      <c r="A851" s="36" t="inlineStr">
        <is>
          <t>04426</t>
        </is>
      </c>
      <c r="B851" s="44" t="n">
        <v>46159</v>
      </c>
      <c r="C851" s="36" t="inlineStr">
        <is>
          <t>Western Europe</t>
        </is>
      </c>
      <c r="D851" s="36" t="inlineStr">
        <is>
          <t>United Kingdom</t>
        </is>
      </c>
      <c r="E851" s="36" t="inlineStr">
        <is>
          <t>Online Store</t>
        </is>
      </c>
      <c r="F851" s="36" t="inlineStr">
        <is>
          <t>New</t>
        </is>
      </c>
      <c r="G851" s="36" t="inlineStr">
        <is>
          <t>Hiking</t>
        </is>
      </c>
      <c r="H851" s="36" t="inlineStr">
        <is>
          <t>Trail Boots</t>
        </is>
      </c>
      <c r="I851" s="36" t="n">
        <v>2</v>
      </c>
      <c r="J851" s="39" t="n">
        <v>146.22</v>
      </c>
      <c r="K851" s="45" t="n">
        <v>0</v>
      </c>
      <c r="L851" s="39" t="n">
        <v>81.06999999999999</v>
      </c>
      <c r="M851" s="39">
        <f>I851*J851*(1-K851)</f>
        <v/>
      </c>
      <c r="N851" s="39">
        <f>I851*L851</f>
        <v/>
      </c>
      <c r="O851" s="39">
        <f>M851-N851</f>
        <v/>
      </c>
      <c r="P851" s="38">
        <f>IF(M851=0,0,O851/M851)</f>
        <v/>
      </c>
      <c r="Q851" s="36">
        <f>YEAR(B851)</f>
        <v/>
      </c>
      <c r="R851" s="36">
        <f>"Q"&amp;ROUNDUP(MONTH(B851)/3,0)</f>
        <v/>
      </c>
      <c r="S851" s="36">
        <f>MONTH(B851)</f>
        <v/>
      </c>
      <c r="T851" s="36">
        <f>TEXT(B851,"mmm")</f>
        <v/>
      </c>
      <c r="U851" s="36">
        <f>IF(AND(OR(sel_Region="All",C851=sel_Region),OR(sel_Country="All",D851=sel_Country),OR(sel_Channel="All",E851=sel_Channel),OR(sel_Customer="All",F851=sel_Customer),OR(sel_Category="All",G851=sel_Category),OR(sel_Product="All",H851=sel_Product),AND(S851&gt;=m_From,S851&lt;=m_To)),1,0)</f>
        <v/>
      </c>
      <c r="V851" s="36">
        <f>IF(AND(OR(sel_Region="All",C851=sel_Region),OR(sel_Channel="All",E851=sel_Channel),OR(sel_Customer="All",F851=sel_Customer),OR(sel_Category="All",G851=sel_Category),OR(sel_Product="All",H851=sel_Product),AND(S851&gt;=m_From,S851&lt;=m_To)),1,0)</f>
        <v/>
      </c>
      <c r="W851" s="36">
        <f>IF(AND(OR(sel_Region="All",C851=sel_Region),OR(sel_Country="All",D851=sel_Country),OR(sel_Customer="All",F851=sel_Customer),OR(sel_Category="All",G851=sel_Category),OR(sel_Product="All",H851=sel_Product),AND(S851&gt;=m_From,S851&lt;=m_To)),1,0)</f>
        <v/>
      </c>
      <c r="X851" s="36">
        <f>IF(AND(OR(sel_Region="All",C851=sel_Region),OR(sel_Country="All",D851=sel_Country),OR(sel_Channel="All",E851=sel_Channel),OR(sel_Category="All",G851=sel_Category),OR(sel_Product="All",H851=sel_Product),AND(S851&gt;=m_From,S851&lt;=m_To)),1,0)</f>
        <v/>
      </c>
      <c r="Y851" s="36">
        <f>IF(AND(OR(sel_Region="All",C851=sel_Region),OR(sel_Country="All",D851=sel_Country),OR(sel_Channel="All",E851=sel_Channel),OR(sel_Customer="All",F851=sel_Customer),OR(sel_Product="All",H851=sel_Product),AND(S851&gt;=m_From,S851&lt;=m_To)),1,0)</f>
        <v/>
      </c>
      <c r="Z851" s="36">
        <f>IF(AND(OR(sel_Region="All",C851=sel_Region),OR(sel_Country="All",D851=sel_Country),OR(sel_Channel="All",E851=sel_Channel),OR(sel_Customer="All",F851=sel_Customer),OR(sel_Category="All",G851=sel_Category),AND(S851&gt;=m_From,S851&lt;=m_To)),1,0)</f>
        <v/>
      </c>
      <c r="AA851" s="36">
        <f>IF(AND(OR(sel_Region="All",C851=sel_Region),OR(sel_Country="All",D851=sel_Country),OR(sel_Channel="All",E851=sel_Channel),OR(sel_Customer="All",F851=sel_Customer),OR(sel_Category="All",G851=sel_Category),OR(sel_Product="All",H851=sel_Product)),1,0)</f>
        <v/>
      </c>
    </row>
    <row r="852">
      <c r="A852" s="36" t="inlineStr">
        <is>
          <t>04938</t>
        </is>
      </c>
      <c r="B852" s="44" t="n">
        <v>46159</v>
      </c>
      <c r="C852" s="36" t="inlineStr">
        <is>
          <t>Western Europe</t>
        </is>
      </c>
      <c r="D852" s="36" t="inlineStr">
        <is>
          <t>France</t>
        </is>
      </c>
      <c r="E852" s="36" t="inlineStr">
        <is>
          <t>Retail Partners</t>
        </is>
      </c>
      <c r="F852" s="36" t="inlineStr">
        <is>
          <t>Returning</t>
        </is>
      </c>
      <c r="G852" s="36" t="inlineStr">
        <is>
          <t>Fitness</t>
        </is>
      </c>
      <c r="H852" s="36" t="inlineStr">
        <is>
          <t>Training Mat</t>
        </is>
      </c>
      <c r="I852" s="36" t="n">
        <v>2</v>
      </c>
      <c r="J852" s="39" t="n">
        <v>51.34</v>
      </c>
      <c r="K852" s="45" t="n">
        <v>0</v>
      </c>
      <c r="L852" s="39" t="n">
        <v>22.17</v>
      </c>
      <c r="M852" s="39">
        <f>I852*J852*(1-K852)</f>
        <v/>
      </c>
      <c r="N852" s="39">
        <f>I852*L852</f>
        <v/>
      </c>
      <c r="O852" s="39">
        <f>M852-N852</f>
        <v/>
      </c>
      <c r="P852" s="38">
        <f>IF(M852=0,0,O852/M852)</f>
        <v/>
      </c>
      <c r="Q852" s="36">
        <f>YEAR(B852)</f>
        <v/>
      </c>
      <c r="R852" s="36">
        <f>"Q"&amp;ROUNDUP(MONTH(B852)/3,0)</f>
        <v/>
      </c>
      <c r="S852" s="36">
        <f>MONTH(B852)</f>
        <v/>
      </c>
      <c r="T852" s="36">
        <f>TEXT(B852,"mmm")</f>
        <v/>
      </c>
      <c r="U852" s="36">
        <f>IF(AND(OR(sel_Region="All",C852=sel_Region),OR(sel_Country="All",D852=sel_Country),OR(sel_Channel="All",E852=sel_Channel),OR(sel_Customer="All",F852=sel_Customer),OR(sel_Category="All",G852=sel_Category),OR(sel_Product="All",H852=sel_Product),AND(S852&gt;=m_From,S852&lt;=m_To)),1,0)</f>
        <v/>
      </c>
      <c r="V852" s="36">
        <f>IF(AND(OR(sel_Region="All",C852=sel_Region),OR(sel_Channel="All",E852=sel_Channel),OR(sel_Customer="All",F852=sel_Customer),OR(sel_Category="All",G852=sel_Category),OR(sel_Product="All",H852=sel_Product),AND(S852&gt;=m_From,S852&lt;=m_To)),1,0)</f>
        <v/>
      </c>
      <c r="W852" s="36">
        <f>IF(AND(OR(sel_Region="All",C852=sel_Region),OR(sel_Country="All",D852=sel_Country),OR(sel_Customer="All",F852=sel_Customer),OR(sel_Category="All",G852=sel_Category),OR(sel_Product="All",H852=sel_Product),AND(S852&gt;=m_From,S852&lt;=m_To)),1,0)</f>
        <v/>
      </c>
      <c r="X852" s="36">
        <f>IF(AND(OR(sel_Region="All",C852=sel_Region),OR(sel_Country="All",D852=sel_Country),OR(sel_Channel="All",E852=sel_Channel),OR(sel_Category="All",G852=sel_Category),OR(sel_Product="All",H852=sel_Product),AND(S852&gt;=m_From,S852&lt;=m_To)),1,0)</f>
        <v/>
      </c>
      <c r="Y852" s="36">
        <f>IF(AND(OR(sel_Region="All",C852=sel_Region),OR(sel_Country="All",D852=sel_Country),OR(sel_Channel="All",E852=sel_Channel),OR(sel_Customer="All",F852=sel_Customer),OR(sel_Product="All",H852=sel_Product),AND(S852&gt;=m_From,S852&lt;=m_To)),1,0)</f>
        <v/>
      </c>
      <c r="Z852" s="36">
        <f>IF(AND(OR(sel_Region="All",C852=sel_Region),OR(sel_Country="All",D852=sel_Country),OR(sel_Channel="All",E852=sel_Channel),OR(sel_Customer="All",F852=sel_Customer),OR(sel_Category="All",G852=sel_Category),AND(S852&gt;=m_From,S852&lt;=m_To)),1,0)</f>
        <v/>
      </c>
      <c r="AA852" s="36">
        <f>IF(AND(OR(sel_Region="All",C852=sel_Region),OR(sel_Country="All",D852=sel_Country),OR(sel_Channel="All",E852=sel_Channel),OR(sel_Customer="All",F852=sel_Customer),OR(sel_Category="All",G852=sel_Category),OR(sel_Product="All",H852=sel_Product)),1,0)</f>
        <v/>
      </c>
    </row>
    <row r="853">
      <c r="A853" s="36" t="inlineStr">
        <is>
          <t>00915</t>
        </is>
      </c>
      <c r="B853" s="44" t="n">
        <v>46160</v>
      </c>
      <c r="C853" s="36" t="inlineStr">
        <is>
          <t>Western Europe</t>
        </is>
      </c>
      <c r="D853" s="36" t="inlineStr">
        <is>
          <t>United Kingdom</t>
        </is>
      </c>
      <c r="E853" s="36" t="inlineStr">
        <is>
          <t>Online Store</t>
        </is>
      </c>
      <c r="F853" s="36" t="inlineStr">
        <is>
          <t>New</t>
        </is>
      </c>
      <c r="G853" s="36" t="inlineStr">
        <is>
          <t>Hiking</t>
        </is>
      </c>
      <c r="H853" s="36" t="inlineStr">
        <is>
          <t>Summit Backpack 45L</t>
        </is>
      </c>
      <c r="I853" s="36" t="n">
        <v>1</v>
      </c>
      <c r="J853" s="39" t="n">
        <v>153.61</v>
      </c>
      <c r="K853" s="45" t="n">
        <v>0.05</v>
      </c>
      <c r="L853" s="39" t="n">
        <v>79.94</v>
      </c>
      <c r="M853" s="39">
        <f>I853*J853*(1-K853)</f>
        <v/>
      </c>
      <c r="N853" s="39">
        <f>I853*L853</f>
        <v/>
      </c>
      <c r="O853" s="39">
        <f>M853-N853</f>
        <v/>
      </c>
      <c r="P853" s="38">
        <f>IF(M853=0,0,O853/M853)</f>
        <v/>
      </c>
      <c r="Q853" s="36">
        <f>YEAR(B853)</f>
        <v/>
      </c>
      <c r="R853" s="36">
        <f>"Q"&amp;ROUNDUP(MONTH(B853)/3,0)</f>
        <v/>
      </c>
      <c r="S853" s="36">
        <f>MONTH(B853)</f>
        <v/>
      </c>
      <c r="T853" s="36">
        <f>TEXT(B853,"mmm")</f>
        <v/>
      </c>
      <c r="U853" s="36">
        <f>IF(AND(OR(sel_Region="All",C853=sel_Region),OR(sel_Country="All",D853=sel_Country),OR(sel_Channel="All",E853=sel_Channel),OR(sel_Customer="All",F853=sel_Customer),OR(sel_Category="All",G853=sel_Category),OR(sel_Product="All",H853=sel_Product),AND(S853&gt;=m_From,S853&lt;=m_To)),1,0)</f>
        <v/>
      </c>
      <c r="V853" s="36">
        <f>IF(AND(OR(sel_Region="All",C853=sel_Region),OR(sel_Channel="All",E853=sel_Channel),OR(sel_Customer="All",F853=sel_Customer),OR(sel_Category="All",G853=sel_Category),OR(sel_Product="All",H853=sel_Product),AND(S853&gt;=m_From,S853&lt;=m_To)),1,0)</f>
        <v/>
      </c>
      <c r="W853" s="36">
        <f>IF(AND(OR(sel_Region="All",C853=sel_Region),OR(sel_Country="All",D853=sel_Country),OR(sel_Customer="All",F853=sel_Customer),OR(sel_Category="All",G853=sel_Category),OR(sel_Product="All",H853=sel_Product),AND(S853&gt;=m_From,S853&lt;=m_To)),1,0)</f>
        <v/>
      </c>
      <c r="X853" s="36">
        <f>IF(AND(OR(sel_Region="All",C853=sel_Region),OR(sel_Country="All",D853=sel_Country),OR(sel_Channel="All",E853=sel_Channel),OR(sel_Category="All",G853=sel_Category),OR(sel_Product="All",H853=sel_Product),AND(S853&gt;=m_From,S853&lt;=m_To)),1,0)</f>
        <v/>
      </c>
      <c r="Y853" s="36">
        <f>IF(AND(OR(sel_Region="All",C853=sel_Region),OR(sel_Country="All",D853=sel_Country),OR(sel_Channel="All",E853=sel_Channel),OR(sel_Customer="All",F853=sel_Customer),OR(sel_Product="All",H853=sel_Product),AND(S853&gt;=m_From,S853&lt;=m_To)),1,0)</f>
        <v/>
      </c>
      <c r="Z853" s="36">
        <f>IF(AND(OR(sel_Region="All",C853=sel_Region),OR(sel_Country="All",D853=sel_Country),OR(sel_Channel="All",E853=sel_Channel),OR(sel_Customer="All",F853=sel_Customer),OR(sel_Category="All",G853=sel_Category),AND(S853&gt;=m_From,S853&lt;=m_To)),1,0)</f>
        <v/>
      </c>
      <c r="AA853" s="36">
        <f>IF(AND(OR(sel_Region="All",C853=sel_Region),OR(sel_Country="All",D853=sel_Country),OR(sel_Channel="All",E853=sel_Channel),OR(sel_Customer="All",F853=sel_Customer),OR(sel_Category="All",G853=sel_Category),OR(sel_Product="All",H853=sel_Product)),1,0)</f>
        <v/>
      </c>
    </row>
    <row r="854">
      <c r="A854" s="36" t="inlineStr">
        <is>
          <t>01188</t>
        </is>
      </c>
      <c r="B854" s="44" t="n">
        <v>46160</v>
      </c>
      <c r="C854" s="36" t="inlineStr">
        <is>
          <t>Central Europe</t>
        </is>
      </c>
      <c r="D854" s="36" t="inlineStr">
        <is>
          <t>Austria</t>
        </is>
      </c>
      <c r="E854" s="36" t="inlineStr">
        <is>
          <t>Online Store</t>
        </is>
      </c>
      <c r="F854" s="36" t="inlineStr">
        <is>
          <t>Returning</t>
        </is>
      </c>
      <c r="G854" s="36" t="inlineStr">
        <is>
          <t>Camping</t>
        </is>
      </c>
      <c r="H854" s="36" t="inlineStr">
        <is>
          <t>Portable Camp Stove</t>
        </is>
      </c>
      <c r="I854" s="36" t="n">
        <v>1</v>
      </c>
      <c r="J854" s="39" t="n">
        <v>82.44</v>
      </c>
      <c r="K854" s="45" t="n">
        <v>0.15</v>
      </c>
      <c r="L854" s="39" t="n">
        <v>39.38</v>
      </c>
      <c r="M854" s="39">
        <f>I854*J854*(1-K854)</f>
        <v/>
      </c>
      <c r="N854" s="39">
        <f>I854*L854</f>
        <v/>
      </c>
      <c r="O854" s="39">
        <f>M854-N854</f>
        <v/>
      </c>
      <c r="P854" s="38">
        <f>IF(M854=0,0,O854/M854)</f>
        <v/>
      </c>
      <c r="Q854" s="36">
        <f>YEAR(B854)</f>
        <v/>
      </c>
      <c r="R854" s="36">
        <f>"Q"&amp;ROUNDUP(MONTH(B854)/3,0)</f>
        <v/>
      </c>
      <c r="S854" s="36">
        <f>MONTH(B854)</f>
        <v/>
      </c>
      <c r="T854" s="36">
        <f>TEXT(B854,"mmm")</f>
        <v/>
      </c>
      <c r="U854" s="36">
        <f>IF(AND(OR(sel_Region="All",C854=sel_Region),OR(sel_Country="All",D854=sel_Country),OR(sel_Channel="All",E854=sel_Channel),OR(sel_Customer="All",F854=sel_Customer),OR(sel_Category="All",G854=sel_Category),OR(sel_Product="All",H854=sel_Product),AND(S854&gt;=m_From,S854&lt;=m_To)),1,0)</f>
        <v/>
      </c>
      <c r="V854" s="36">
        <f>IF(AND(OR(sel_Region="All",C854=sel_Region),OR(sel_Channel="All",E854=sel_Channel),OR(sel_Customer="All",F854=sel_Customer),OR(sel_Category="All",G854=sel_Category),OR(sel_Product="All",H854=sel_Product),AND(S854&gt;=m_From,S854&lt;=m_To)),1,0)</f>
        <v/>
      </c>
      <c r="W854" s="36">
        <f>IF(AND(OR(sel_Region="All",C854=sel_Region),OR(sel_Country="All",D854=sel_Country),OR(sel_Customer="All",F854=sel_Customer),OR(sel_Category="All",G854=sel_Category),OR(sel_Product="All",H854=sel_Product),AND(S854&gt;=m_From,S854&lt;=m_To)),1,0)</f>
        <v/>
      </c>
      <c r="X854" s="36">
        <f>IF(AND(OR(sel_Region="All",C854=sel_Region),OR(sel_Country="All",D854=sel_Country),OR(sel_Channel="All",E854=sel_Channel),OR(sel_Category="All",G854=sel_Category),OR(sel_Product="All",H854=sel_Product),AND(S854&gt;=m_From,S854&lt;=m_To)),1,0)</f>
        <v/>
      </c>
      <c r="Y854" s="36">
        <f>IF(AND(OR(sel_Region="All",C854=sel_Region),OR(sel_Country="All",D854=sel_Country),OR(sel_Channel="All",E854=sel_Channel),OR(sel_Customer="All",F854=sel_Customer),OR(sel_Product="All",H854=sel_Product),AND(S854&gt;=m_From,S854&lt;=m_To)),1,0)</f>
        <v/>
      </c>
      <c r="Z854" s="36">
        <f>IF(AND(OR(sel_Region="All",C854=sel_Region),OR(sel_Country="All",D854=sel_Country),OR(sel_Channel="All",E854=sel_Channel),OR(sel_Customer="All",F854=sel_Customer),OR(sel_Category="All",G854=sel_Category),AND(S854&gt;=m_From,S854&lt;=m_To)),1,0)</f>
        <v/>
      </c>
      <c r="AA854" s="36">
        <f>IF(AND(OR(sel_Region="All",C854=sel_Region),OR(sel_Country="All",D854=sel_Country),OR(sel_Channel="All",E854=sel_Channel),OR(sel_Customer="All",F854=sel_Customer),OR(sel_Category="All",G854=sel_Category),OR(sel_Product="All",H854=sel_Product)),1,0)</f>
        <v/>
      </c>
    </row>
    <row r="855">
      <c r="A855" s="36" t="inlineStr">
        <is>
          <t>01594</t>
        </is>
      </c>
      <c r="B855" s="44" t="n">
        <v>46160</v>
      </c>
      <c r="C855" s="36" t="inlineStr">
        <is>
          <t>Southern Europe</t>
        </is>
      </c>
      <c r="D855" s="36" t="inlineStr">
        <is>
          <t>Spain</t>
        </is>
      </c>
      <c r="E855" s="36" t="inlineStr">
        <is>
          <t>Corporate</t>
        </is>
      </c>
      <c r="F855" s="36" t="inlineStr">
        <is>
          <t>Business</t>
        </is>
      </c>
      <c r="G855" s="36" t="inlineStr">
        <is>
          <t>Hiking</t>
        </is>
      </c>
      <c r="H855" s="36" t="inlineStr">
        <is>
          <t>Hiking Daypack 20L</t>
        </is>
      </c>
      <c r="I855" s="36" t="n">
        <v>10</v>
      </c>
      <c r="J855" s="39" t="n">
        <v>92.09</v>
      </c>
      <c r="K855" s="45" t="n">
        <v>0.15</v>
      </c>
      <c r="L855" s="39" t="n">
        <v>45.13</v>
      </c>
      <c r="M855" s="39">
        <f>I855*J855*(1-K855)</f>
        <v/>
      </c>
      <c r="N855" s="39">
        <f>I855*L855</f>
        <v/>
      </c>
      <c r="O855" s="39">
        <f>M855-N855</f>
        <v/>
      </c>
      <c r="P855" s="38">
        <f>IF(M855=0,0,O855/M855)</f>
        <v/>
      </c>
      <c r="Q855" s="36">
        <f>YEAR(B855)</f>
        <v/>
      </c>
      <c r="R855" s="36">
        <f>"Q"&amp;ROUNDUP(MONTH(B855)/3,0)</f>
        <v/>
      </c>
      <c r="S855" s="36">
        <f>MONTH(B855)</f>
        <v/>
      </c>
      <c r="T855" s="36">
        <f>TEXT(B855,"mmm")</f>
        <v/>
      </c>
      <c r="U855" s="36">
        <f>IF(AND(OR(sel_Region="All",C855=sel_Region),OR(sel_Country="All",D855=sel_Country),OR(sel_Channel="All",E855=sel_Channel),OR(sel_Customer="All",F855=sel_Customer),OR(sel_Category="All",G855=sel_Category),OR(sel_Product="All",H855=sel_Product),AND(S855&gt;=m_From,S855&lt;=m_To)),1,0)</f>
        <v/>
      </c>
      <c r="V855" s="36">
        <f>IF(AND(OR(sel_Region="All",C855=sel_Region),OR(sel_Channel="All",E855=sel_Channel),OR(sel_Customer="All",F855=sel_Customer),OR(sel_Category="All",G855=sel_Category),OR(sel_Product="All",H855=sel_Product),AND(S855&gt;=m_From,S855&lt;=m_To)),1,0)</f>
        <v/>
      </c>
      <c r="W855" s="36">
        <f>IF(AND(OR(sel_Region="All",C855=sel_Region),OR(sel_Country="All",D855=sel_Country),OR(sel_Customer="All",F855=sel_Customer),OR(sel_Category="All",G855=sel_Category),OR(sel_Product="All",H855=sel_Product),AND(S855&gt;=m_From,S855&lt;=m_To)),1,0)</f>
        <v/>
      </c>
      <c r="X855" s="36">
        <f>IF(AND(OR(sel_Region="All",C855=sel_Region),OR(sel_Country="All",D855=sel_Country),OR(sel_Channel="All",E855=sel_Channel),OR(sel_Category="All",G855=sel_Category),OR(sel_Product="All",H855=sel_Product),AND(S855&gt;=m_From,S855&lt;=m_To)),1,0)</f>
        <v/>
      </c>
      <c r="Y855" s="36">
        <f>IF(AND(OR(sel_Region="All",C855=sel_Region),OR(sel_Country="All",D855=sel_Country),OR(sel_Channel="All",E855=sel_Channel),OR(sel_Customer="All",F855=sel_Customer),OR(sel_Product="All",H855=sel_Product),AND(S855&gt;=m_From,S855&lt;=m_To)),1,0)</f>
        <v/>
      </c>
      <c r="Z855" s="36">
        <f>IF(AND(OR(sel_Region="All",C855=sel_Region),OR(sel_Country="All",D855=sel_Country),OR(sel_Channel="All",E855=sel_Channel),OR(sel_Customer="All",F855=sel_Customer),OR(sel_Category="All",G855=sel_Category),AND(S855&gt;=m_From,S855&lt;=m_To)),1,0)</f>
        <v/>
      </c>
      <c r="AA855" s="36">
        <f>IF(AND(OR(sel_Region="All",C855=sel_Region),OR(sel_Country="All",D855=sel_Country),OR(sel_Channel="All",E855=sel_Channel),OR(sel_Customer="All",F855=sel_Customer),OR(sel_Category="All",G855=sel_Category),OR(sel_Product="All",H855=sel_Product)),1,0)</f>
        <v/>
      </c>
    </row>
    <row r="856">
      <c r="A856" s="36" t="inlineStr">
        <is>
          <t>03022</t>
        </is>
      </c>
      <c r="B856" s="44" t="n">
        <v>46160</v>
      </c>
      <c r="C856" s="36" t="inlineStr">
        <is>
          <t>Western Europe</t>
        </is>
      </c>
      <c r="D856" s="36" t="inlineStr">
        <is>
          <t>United Kingdom</t>
        </is>
      </c>
      <c r="E856" s="36" t="inlineStr">
        <is>
          <t>Marketplace</t>
        </is>
      </c>
      <c r="F856" s="36" t="inlineStr">
        <is>
          <t>New</t>
        </is>
      </c>
      <c r="G856" s="36" t="inlineStr">
        <is>
          <t>Travel</t>
        </is>
      </c>
      <c r="H856" s="36" t="inlineStr">
        <is>
          <t>Insulated Bottle</t>
        </is>
      </c>
      <c r="I856" s="36" t="n">
        <v>1</v>
      </c>
      <c r="J856" s="39" t="n">
        <v>36.72</v>
      </c>
      <c r="K856" s="45" t="n">
        <v>0</v>
      </c>
      <c r="L856" s="39" t="n">
        <v>13.67</v>
      </c>
      <c r="M856" s="39">
        <f>I856*J856*(1-K856)</f>
        <v/>
      </c>
      <c r="N856" s="39">
        <f>I856*L856</f>
        <v/>
      </c>
      <c r="O856" s="39">
        <f>M856-N856</f>
        <v/>
      </c>
      <c r="P856" s="38">
        <f>IF(M856=0,0,O856/M856)</f>
        <v/>
      </c>
      <c r="Q856" s="36">
        <f>YEAR(B856)</f>
        <v/>
      </c>
      <c r="R856" s="36">
        <f>"Q"&amp;ROUNDUP(MONTH(B856)/3,0)</f>
        <v/>
      </c>
      <c r="S856" s="36">
        <f>MONTH(B856)</f>
        <v/>
      </c>
      <c r="T856" s="36">
        <f>TEXT(B856,"mmm")</f>
        <v/>
      </c>
      <c r="U856" s="36">
        <f>IF(AND(OR(sel_Region="All",C856=sel_Region),OR(sel_Country="All",D856=sel_Country),OR(sel_Channel="All",E856=sel_Channel),OR(sel_Customer="All",F856=sel_Customer),OR(sel_Category="All",G856=sel_Category),OR(sel_Product="All",H856=sel_Product),AND(S856&gt;=m_From,S856&lt;=m_To)),1,0)</f>
        <v/>
      </c>
      <c r="V856" s="36">
        <f>IF(AND(OR(sel_Region="All",C856=sel_Region),OR(sel_Channel="All",E856=sel_Channel),OR(sel_Customer="All",F856=sel_Customer),OR(sel_Category="All",G856=sel_Category),OR(sel_Product="All",H856=sel_Product),AND(S856&gt;=m_From,S856&lt;=m_To)),1,0)</f>
        <v/>
      </c>
      <c r="W856" s="36">
        <f>IF(AND(OR(sel_Region="All",C856=sel_Region),OR(sel_Country="All",D856=sel_Country),OR(sel_Customer="All",F856=sel_Customer),OR(sel_Category="All",G856=sel_Category),OR(sel_Product="All",H856=sel_Product),AND(S856&gt;=m_From,S856&lt;=m_To)),1,0)</f>
        <v/>
      </c>
      <c r="X856" s="36">
        <f>IF(AND(OR(sel_Region="All",C856=sel_Region),OR(sel_Country="All",D856=sel_Country),OR(sel_Channel="All",E856=sel_Channel),OR(sel_Category="All",G856=sel_Category),OR(sel_Product="All",H856=sel_Product),AND(S856&gt;=m_From,S856&lt;=m_To)),1,0)</f>
        <v/>
      </c>
      <c r="Y856" s="36">
        <f>IF(AND(OR(sel_Region="All",C856=sel_Region),OR(sel_Country="All",D856=sel_Country),OR(sel_Channel="All",E856=sel_Channel),OR(sel_Customer="All",F856=sel_Customer),OR(sel_Product="All",H856=sel_Product),AND(S856&gt;=m_From,S856&lt;=m_To)),1,0)</f>
        <v/>
      </c>
      <c r="Z856" s="36">
        <f>IF(AND(OR(sel_Region="All",C856=sel_Region),OR(sel_Country="All",D856=sel_Country),OR(sel_Channel="All",E856=sel_Channel),OR(sel_Customer="All",F856=sel_Customer),OR(sel_Category="All",G856=sel_Category),AND(S856&gt;=m_From,S856&lt;=m_To)),1,0)</f>
        <v/>
      </c>
      <c r="AA856" s="36">
        <f>IF(AND(OR(sel_Region="All",C856=sel_Region),OR(sel_Country="All",D856=sel_Country),OR(sel_Channel="All",E856=sel_Channel),OR(sel_Customer="All",F856=sel_Customer),OR(sel_Category="All",G856=sel_Category),OR(sel_Product="All",H856=sel_Product)),1,0)</f>
        <v/>
      </c>
    </row>
    <row r="857">
      <c r="A857" s="36" t="inlineStr">
        <is>
          <t>00588</t>
        </is>
      </c>
      <c r="B857" s="44" t="n">
        <v>46161</v>
      </c>
      <c r="C857" s="36" t="inlineStr">
        <is>
          <t>Central Europe</t>
        </is>
      </c>
      <c r="D857" s="36" t="inlineStr">
        <is>
          <t>Czechia</t>
        </is>
      </c>
      <c r="E857" s="36" t="inlineStr">
        <is>
          <t>Corporate</t>
        </is>
      </c>
      <c r="F857" s="36" t="inlineStr">
        <is>
          <t>Business</t>
        </is>
      </c>
      <c r="G857" s="36" t="inlineStr">
        <is>
          <t>Travel</t>
        </is>
      </c>
      <c r="H857" s="36" t="inlineStr">
        <is>
          <t>Carry-On Duffel</t>
        </is>
      </c>
      <c r="I857" s="36" t="n">
        <v>3</v>
      </c>
      <c r="J857" s="39" t="n">
        <v>132.42</v>
      </c>
      <c r="K857" s="45" t="n">
        <v>0.05</v>
      </c>
      <c r="L857" s="39" t="n">
        <v>67.09</v>
      </c>
      <c r="M857" s="39">
        <f>I857*J857*(1-K857)</f>
        <v/>
      </c>
      <c r="N857" s="39">
        <f>I857*L857</f>
        <v/>
      </c>
      <c r="O857" s="39">
        <f>M857-N857</f>
        <v/>
      </c>
      <c r="P857" s="38">
        <f>IF(M857=0,0,O857/M857)</f>
        <v/>
      </c>
      <c r="Q857" s="36">
        <f>YEAR(B857)</f>
        <v/>
      </c>
      <c r="R857" s="36">
        <f>"Q"&amp;ROUNDUP(MONTH(B857)/3,0)</f>
        <v/>
      </c>
      <c r="S857" s="36">
        <f>MONTH(B857)</f>
        <v/>
      </c>
      <c r="T857" s="36">
        <f>TEXT(B857,"mmm")</f>
        <v/>
      </c>
      <c r="U857" s="36">
        <f>IF(AND(OR(sel_Region="All",C857=sel_Region),OR(sel_Country="All",D857=sel_Country),OR(sel_Channel="All",E857=sel_Channel),OR(sel_Customer="All",F857=sel_Customer),OR(sel_Category="All",G857=sel_Category),OR(sel_Product="All",H857=sel_Product),AND(S857&gt;=m_From,S857&lt;=m_To)),1,0)</f>
        <v/>
      </c>
      <c r="V857" s="36">
        <f>IF(AND(OR(sel_Region="All",C857=sel_Region),OR(sel_Channel="All",E857=sel_Channel),OR(sel_Customer="All",F857=sel_Customer),OR(sel_Category="All",G857=sel_Category),OR(sel_Product="All",H857=sel_Product),AND(S857&gt;=m_From,S857&lt;=m_To)),1,0)</f>
        <v/>
      </c>
      <c r="W857" s="36">
        <f>IF(AND(OR(sel_Region="All",C857=sel_Region),OR(sel_Country="All",D857=sel_Country),OR(sel_Customer="All",F857=sel_Customer),OR(sel_Category="All",G857=sel_Category),OR(sel_Product="All",H857=sel_Product),AND(S857&gt;=m_From,S857&lt;=m_To)),1,0)</f>
        <v/>
      </c>
      <c r="X857" s="36">
        <f>IF(AND(OR(sel_Region="All",C857=sel_Region),OR(sel_Country="All",D857=sel_Country),OR(sel_Channel="All",E857=sel_Channel),OR(sel_Category="All",G857=sel_Category),OR(sel_Product="All",H857=sel_Product),AND(S857&gt;=m_From,S857&lt;=m_To)),1,0)</f>
        <v/>
      </c>
      <c r="Y857" s="36">
        <f>IF(AND(OR(sel_Region="All",C857=sel_Region),OR(sel_Country="All",D857=sel_Country),OR(sel_Channel="All",E857=sel_Channel),OR(sel_Customer="All",F857=sel_Customer),OR(sel_Product="All",H857=sel_Product),AND(S857&gt;=m_From,S857&lt;=m_To)),1,0)</f>
        <v/>
      </c>
      <c r="Z857" s="36">
        <f>IF(AND(OR(sel_Region="All",C857=sel_Region),OR(sel_Country="All",D857=sel_Country),OR(sel_Channel="All",E857=sel_Channel),OR(sel_Customer="All",F857=sel_Customer),OR(sel_Category="All",G857=sel_Category),AND(S857&gt;=m_From,S857&lt;=m_To)),1,0)</f>
        <v/>
      </c>
      <c r="AA857" s="36">
        <f>IF(AND(OR(sel_Region="All",C857=sel_Region),OR(sel_Country="All",D857=sel_Country),OR(sel_Channel="All",E857=sel_Channel),OR(sel_Customer="All",F857=sel_Customer),OR(sel_Category="All",G857=sel_Category),OR(sel_Product="All",H857=sel_Product)),1,0)</f>
        <v/>
      </c>
    </row>
    <row r="858">
      <c r="A858" s="36" t="inlineStr">
        <is>
          <t>01016</t>
        </is>
      </c>
      <c r="B858" s="44" t="n">
        <v>46161</v>
      </c>
      <c r="C858" s="36" t="inlineStr">
        <is>
          <t>Western Europe</t>
        </is>
      </c>
      <c r="D858" s="36" t="inlineStr">
        <is>
          <t>France</t>
        </is>
      </c>
      <c r="E858" s="36" t="inlineStr">
        <is>
          <t>Retail Partners</t>
        </is>
      </c>
      <c r="F858" s="36" t="inlineStr">
        <is>
          <t>Returning</t>
        </is>
      </c>
      <c r="G858" s="36" t="inlineStr">
        <is>
          <t>Camping</t>
        </is>
      </c>
      <c r="H858" s="36" t="inlineStr">
        <is>
          <t>Trail Tent 2P</t>
        </is>
      </c>
      <c r="I858" s="36" t="n">
        <v>2</v>
      </c>
      <c r="J858" s="39" t="n">
        <v>192.1</v>
      </c>
      <c r="K858" s="45" t="n">
        <v>0.05</v>
      </c>
      <c r="L858" s="39" t="n">
        <v>106.07</v>
      </c>
      <c r="M858" s="39">
        <f>I858*J858*(1-K858)</f>
        <v/>
      </c>
      <c r="N858" s="39">
        <f>I858*L858</f>
        <v/>
      </c>
      <c r="O858" s="39">
        <f>M858-N858</f>
        <v/>
      </c>
      <c r="P858" s="38">
        <f>IF(M858=0,0,O858/M858)</f>
        <v/>
      </c>
      <c r="Q858" s="36">
        <f>YEAR(B858)</f>
        <v/>
      </c>
      <c r="R858" s="36">
        <f>"Q"&amp;ROUNDUP(MONTH(B858)/3,0)</f>
        <v/>
      </c>
      <c r="S858" s="36">
        <f>MONTH(B858)</f>
        <v/>
      </c>
      <c r="T858" s="36">
        <f>TEXT(B858,"mmm")</f>
        <v/>
      </c>
      <c r="U858" s="36">
        <f>IF(AND(OR(sel_Region="All",C858=sel_Region),OR(sel_Country="All",D858=sel_Country),OR(sel_Channel="All",E858=sel_Channel),OR(sel_Customer="All",F858=sel_Customer),OR(sel_Category="All",G858=sel_Category),OR(sel_Product="All",H858=sel_Product),AND(S858&gt;=m_From,S858&lt;=m_To)),1,0)</f>
        <v/>
      </c>
      <c r="V858" s="36">
        <f>IF(AND(OR(sel_Region="All",C858=sel_Region),OR(sel_Channel="All",E858=sel_Channel),OR(sel_Customer="All",F858=sel_Customer),OR(sel_Category="All",G858=sel_Category),OR(sel_Product="All",H858=sel_Product),AND(S858&gt;=m_From,S858&lt;=m_To)),1,0)</f>
        <v/>
      </c>
      <c r="W858" s="36">
        <f>IF(AND(OR(sel_Region="All",C858=sel_Region),OR(sel_Country="All",D858=sel_Country),OR(sel_Customer="All",F858=sel_Customer),OR(sel_Category="All",G858=sel_Category),OR(sel_Product="All",H858=sel_Product),AND(S858&gt;=m_From,S858&lt;=m_To)),1,0)</f>
        <v/>
      </c>
      <c r="X858" s="36">
        <f>IF(AND(OR(sel_Region="All",C858=sel_Region),OR(sel_Country="All",D858=sel_Country),OR(sel_Channel="All",E858=sel_Channel),OR(sel_Category="All",G858=sel_Category),OR(sel_Product="All",H858=sel_Product),AND(S858&gt;=m_From,S858&lt;=m_To)),1,0)</f>
        <v/>
      </c>
      <c r="Y858" s="36">
        <f>IF(AND(OR(sel_Region="All",C858=sel_Region),OR(sel_Country="All",D858=sel_Country),OR(sel_Channel="All",E858=sel_Channel),OR(sel_Customer="All",F858=sel_Customer),OR(sel_Product="All",H858=sel_Product),AND(S858&gt;=m_From,S858&lt;=m_To)),1,0)</f>
        <v/>
      </c>
      <c r="Z858" s="36">
        <f>IF(AND(OR(sel_Region="All",C858=sel_Region),OR(sel_Country="All",D858=sel_Country),OR(sel_Channel="All",E858=sel_Channel),OR(sel_Customer="All",F858=sel_Customer),OR(sel_Category="All",G858=sel_Category),AND(S858&gt;=m_From,S858&lt;=m_To)),1,0)</f>
        <v/>
      </c>
      <c r="AA858" s="36">
        <f>IF(AND(OR(sel_Region="All",C858=sel_Region),OR(sel_Country="All",D858=sel_Country),OR(sel_Channel="All",E858=sel_Channel),OR(sel_Customer="All",F858=sel_Customer),OR(sel_Category="All",G858=sel_Category),OR(sel_Product="All",H858=sel_Product)),1,0)</f>
        <v/>
      </c>
    </row>
    <row r="859">
      <c r="A859" s="36" t="inlineStr">
        <is>
          <t>01930</t>
        </is>
      </c>
      <c r="B859" s="44" t="n">
        <v>46161</v>
      </c>
      <c r="C859" s="36" t="inlineStr">
        <is>
          <t>Northern Europe</t>
        </is>
      </c>
      <c r="D859" s="36" t="inlineStr">
        <is>
          <t>Norway</t>
        </is>
      </c>
      <c r="E859" s="36" t="inlineStr">
        <is>
          <t>Retail Partners</t>
        </is>
      </c>
      <c r="F859" s="36" t="inlineStr">
        <is>
          <t>New</t>
        </is>
      </c>
      <c r="G859" s="36" t="inlineStr">
        <is>
          <t>Travel</t>
        </is>
      </c>
      <c r="H859" s="36" t="inlineStr">
        <is>
          <t>Insulated Bottle</t>
        </is>
      </c>
      <c r="I859" s="36" t="n">
        <v>4</v>
      </c>
      <c r="J859" s="39" t="n">
        <v>36.94</v>
      </c>
      <c r="K859" s="45" t="n">
        <v>0</v>
      </c>
      <c r="L859" s="39" t="n">
        <v>13.63</v>
      </c>
      <c r="M859" s="39">
        <f>I859*J859*(1-K859)</f>
        <v/>
      </c>
      <c r="N859" s="39">
        <f>I859*L859</f>
        <v/>
      </c>
      <c r="O859" s="39">
        <f>M859-N859</f>
        <v/>
      </c>
      <c r="P859" s="38">
        <f>IF(M859=0,0,O859/M859)</f>
        <v/>
      </c>
      <c r="Q859" s="36">
        <f>YEAR(B859)</f>
        <v/>
      </c>
      <c r="R859" s="36">
        <f>"Q"&amp;ROUNDUP(MONTH(B859)/3,0)</f>
        <v/>
      </c>
      <c r="S859" s="36">
        <f>MONTH(B859)</f>
        <v/>
      </c>
      <c r="T859" s="36">
        <f>TEXT(B859,"mmm")</f>
        <v/>
      </c>
      <c r="U859" s="36">
        <f>IF(AND(OR(sel_Region="All",C859=sel_Region),OR(sel_Country="All",D859=sel_Country),OR(sel_Channel="All",E859=sel_Channel),OR(sel_Customer="All",F859=sel_Customer),OR(sel_Category="All",G859=sel_Category),OR(sel_Product="All",H859=sel_Product),AND(S859&gt;=m_From,S859&lt;=m_To)),1,0)</f>
        <v/>
      </c>
      <c r="V859" s="36">
        <f>IF(AND(OR(sel_Region="All",C859=sel_Region),OR(sel_Channel="All",E859=sel_Channel),OR(sel_Customer="All",F859=sel_Customer),OR(sel_Category="All",G859=sel_Category),OR(sel_Product="All",H859=sel_Product),AND(S859&gt;=m_From,S859&lt;=m_To)),1,0)</f>
        <v/>
      </c>
      <c r="W859" s="36">
        <f>IF(AND(OR(sel_Region="All",C859=sel_Region),OR(sel_Country="All",D859=sel_Country),OR(sel_Customer="All",F859=sel_Customer),OR(sel_Category="All",G859=sel_Category),OR(sel_Product="All",H859=sel_Product),AND(S859&gt;=m_From,S859&lt;=m_To)),1,0)</f>
        <v/>
      </c>
      <c r="X859" s="36">
        <f>IF(AND(OR(sel_Region="All",C859=sel_Region),OR(sel_Country="All",D859=sel_Country),OR(sel_Channel="All",E859=sel_Channel),OR(sel_Category="All",G859=sel_Category),OR(sel_Product="All",H859=sel_Product),AND(S859&gt;=m_From,S859&lt;=m_To)),1,0)</f>
        <v/>
      </c>
      <c r="Y859" s="36">
        <f>IF(AND(OR(sel_Region="All",C859=sel_Region),OR(sel_Country="All",D859=sel_Country),OR(sel_Channel="All",E859=sel_Channel),OR(sel_Customer="All",F859=sel_Customer),OR(sel_Product="All",H859=sel_Product),AND(S859&gt;=m_From,S859&lt;=m_To)),1,0)</f>
        <v/>
      </c>
      <c r="Z859" s="36">
        <f>IF(AND(OR(sel_Region="All",C859=sel_Region),OR(sel_Country="All",D859=sel_Country),OR(sel_Channel="All",E859=sel_Channel),OR(sel_Customer="All",F859=sel_Customer),OR(sel_Category="All",G859=sel_Category),AND(S859&gt;=m_From,S859&lt;=m_To)),1,0)</f>
        <v/>
      </c>
      <c r="AA859" s="36">
        <f>IF(AND(OR(sel_Region="All",C859=sel_Region),OR(sel_Country="All",D859=sel_Country),OR(sel_Channel="All",E859=sel_Channel),OR(sel_Customer="All",F859=sel_Customer),OR(sel_Category="All",G859=sel_Category),OR(sel_Product="All",H859=sel_Product)),1,0)</f>
        <v/>
      </c>
    </row>
    <row r="860">
      <c r="A860" s="36" t="inlineStr">
        <is>
          <t>02658</t>
        </is>
      </c>
      <c r="B860" s="44" t="n">
        <v>46161</v>
      </c>
      <c r="C860" s="36" t="inlineStr">
        <is>
          <t>Southern Europe</t>
        </is>
      </c>
      <c r="D860" s="36" t="inlineStr">
        <is>
          <t>Italy</t>
        </is>
      </c>
      <c r="E860" s="36" t="inlineStr">
        <is>
          <t>Online Store</t>
        </is>
      </c>
      <c r="F860" s="36" t="inlineStr">
        <is>
          <t>Business</t>
        </is>
      </c>
      <c r="G860" s="36" t="inlineStr">
        <is>
          <t>Hiking</t>
        </is>
      </c>
      <c r="H860" s="36" t="inlineStr">
        <is>
          <t>Summit Backpack 45L</t>
        </is>
      </c>
      <c r="I860" s="36" t="n">
        <v>1</v>
      </c>
      <c r="J860" s="39" t="n">
        <v>153.17</v>
      </c>
      <c r="K860" s="45" t="n">
        <v>0</v>
      </c>
      <c r="L860" s="39" t="n">
        <v>78.48999999999999</v>
      </c>
      <c r="M860" s="39">
        <f>I860*J860*(1-K860)</f>
        <v/>
      </c>
      <c r="N860" s="39">
        <f>I860*L860</f>
        <v/>
      </c>
      <c r="O860" s="39">
        <f>M860-N860</f>
        <v/>
      </c>
      <c r="P860" s="38">
        <f>IF(M860=0,0,O860/M860)</f>
        <v/>
      </c>
      <c r="Q860" s="36">
        <f>YEAR(B860)</f>
        <v/>
      </c>
      <c r="R860" s="36">
        <f>"Q"&amp;ROUNDUP(MONTH(B860)/3,0)</f>
        <v/>
      </c>
      <c r="S860" s="36">
        <f>MONTH(B860)</f>
        <v/>
      </c>
      <c r="T860" s="36">
        <f>TEXT(B860,"mmm")</f>
        <v/>
      </c>
      <c r="U860" s="36">
        <f>IF(AND(OR(sel_Region="All",C860=sel_Region),OR(sel_Country="All",D860=sel_Country),OR(sel_Channel="All",E860=sel_Channel),OR(sel_Customer="All",F860=sel_Customer),OR(sel_Category="All",G860=sel_Category),OR(sel_Product="All",H860=sel_Product),AND(S860&gt;=m_From,S860&lt;=m_To)),1,0)</f>
        <v/>
      </c>
      <c r="V860" s="36">
        <f>IF(AND(OR(sel_Region="All",C860=sel_Region),OR(sel_Channel="All",E860=sel_Channel),OR(sel_Customer="All",F860=sel_Customer),OR(sel_Category="All",G860=sel_Category),OR(sel_Product="All",H860=sel_Product),AND(S860&gt;=m_From,S860&lt;=m_To)),1,0)</f>
        <v/>
      </c>
      <c r="W860" s="36">
        <f>IF(AND(OR(sel_Region="All",C860=sel_Region),OR(sel_Country="All",D860=sel_Country),OR(sel_Customer="All",F860=sel_Customer),OR(sel_Category="All",G860=sel_Category),OR(sel_Product="All",H860=sel_Product),AND(S860&gt;=m_From,S860&lt;=m_To)),1,0)</f>
        <v/>
      </c>
      <c r="X860" s="36">
        <f>IF(AND(OR(sel_Region="All",C860=sel_Region),OR(sel_Country="All",D860=sel_Country),OR(sel_Channel="All",E860=sel_Channel),OR(sel_Category="All",G860=sel_Category),OR(sel_Product="All",H860=sel_Product),AND(S860&gt;=m_From,S860&lt;=m_To)),1,0)</f>
        <v/>
      </c>
      <c r="Y860" s="36">
        <f>IF(AND(OR(sel_Region="All",C860=sel_Region),OR(sel_Country="All",D860=sel_Country),OR(sel_Channel="All",E860=sel_Channel),OR(sel_Customer="All",F860=sel_Customer),OR(sel_Product="All",H860=sel_Product),AND(S860&gt;=m_From,S860&lt;=m_To)),1,0)</f>
        <v/>
      </c>
      <c r="Z860" s="36">
        <f>IF(AND(OR(sel_Region="All",C860=sel_Region),OR(sel_Country="All",D860=sel_Country),OR(sel_Channel="All",E860=sel_Channel),OR(sel_Customer="All",F860=sel_Customer),OR(sel_Category="All",G860=sel_Category),AND(S860&gt;=m_From,S860&lt;=m_To)),1,0)</f>
        <v/>
      </c>
      <c r="AA860" s="36">
        <f>IF(AND(OR(sel_Region="All",C860=sel_Region),OR(sel_Country="All",D860=sel_Country),OR(sel_Channel="All",E860=sel_Channel),OR(sel_Customer="All",F860=sel_Customer),OR(sel_Category="All",G860=sel_Category),OR(sel_Product="All",H860=sel_Product)),1,0)</f>
        <v/>
      </c>
    </row>
    <row r="861">
      <c r="A861" s="36" t="inlineStr">
        <is>
          <t>02951</t>
        </is>
      </c>
      <c r="B861" s="44" t="n">
        <v>46161</v>
      </c>
      <c r="C861" s="36" t="inlineStr">
        <is>
          <t>Southern Europe</t>
        </is>
      </c>
      <c r="D861" s="36" t="inlineStr">
        <is>
          <t>Spain</t>
        </is>
      </c>
      <c r="E861" s="36" t="inlineStr">
        <is>
          <t>Online Store</t>
        </is>
      </c>
      <c r="F861" s="36" t="inlineStr">
        <is>
          <t>Business</t>
        </is>
      </c>
      <c r="G861" s="36" t="inlineStr">
        <is>
          <t>Cycling</t>
        </is>
      </c>
      <c r="H861" s="36" t="inlineStr">
        <is>
          <t>Commuter Helmet</t>
        </is>
      </c>
      <c r="I861" s="36" t="n">
        <v>2</v>
      </c>
      <c r="J861" s="39" t="n">
        <v>82.84999999999999</v>
      </c>
      <c r="K861" s="45" t="n">
        <v>0</v>
      </c>
      <c r="L861" s="39" t="n">
        <v>42.53</v>
      </c>
      <c r="M861" s="39">
        <f>I861*J861*(1-K861)</f>
        <v/>
      </c>
      <c r="N861" s="39">
        <f>I861*L861</f>
        <v/>
      </c>
      <c r="O861" s="39">
        <f>M861-N861</f>
        <v/>
      </c>
      <c r="P861" s="38">
        <f>IF(M861=0,0,O861/M861)</f>
        <v/>
      </c>
      <c r="Q861" s="36">
        <f>YEAR(B861)</f>
        <v/>
      </c>
      <c r="R861" s="36">
        <f>"Q"&amp;ROUNDUP(MONTH(B861)/3,0)</f>
        <v/>
      </c>
      <c r="S861" s="36">
        <f>MONTH(B861)</f>
        <v/>
      </c>
      <c r="T861" s="36">
        <f>TEXT(B861,"mmm")</f>
        <v/>
      </c>
      <c r="U861" s="36">
        <f>IF(AND(OR(sel_Region="All",C861=sel_Region),OR(sel_Country="All",D861=sel_Country),OR(sel_Channel="All",E861=sel_Channel),OR(sel_Customer="All",F861=sel_Customer),OR(sel_Category="All",G861=sel_Category),OR(sel_Product="All",H861=sel_Product),AND(S861&gt;=m_From,S861&lt;=m_To)),1,0)</f>
        <v/>
      </c>
      <c r="V861" s="36">
        <f>IF(AND(OR(sel_Region="All",C861=sel_Region),OR(sel_Channel="All",E861=sel_Channel),OR(sel_Customer="All",F861=sel_Customer),OR(sel_Category="All",G861=sel_Category),OR(sel_Product="All",H861=sel_Product),AND(S861&gt;=m_From,S861&lt;=m_To)),1,0)</f>
        <v/>
      </c>
      <c r="W861" s="36">
        <f>IF(AND(OR(sel_Region="All",C861=sel_Region),OR(sel_Country="All",D861=sel_Country),OR(sel_Customer="All",F861=sel_Customer),OR(sel_Category="All",G861=sel_Category),OR(sel_Product="All",H861=sel_Product),AND(S861&gt;=m_From,S861&lt;=m_To)),1,0)</f>
        <v/>
      </c>
      <c r="X861" s="36">
        <f>IF(AND(OR(sel_Region="All",C861=sel_Region),OR(sel_Country="All",D861=sel_Country),OR(sel_Channel="All",E861=sel_Channel),OR(sel_Category="All",G861=sel_Category),OR(sel_Product="All",H861=sel_Product),AND(S861&gt;=m_From,S861&lt;=m_To)),1,0)</f>
        <v/>
      </c>
      <c r="Y861" s="36">
        <f>IF(AND(OR(sel_Region="All",C861=sel_Region),OR(sel_Country="All",D861=sel_Country),OR(sel_Channel="All",E861=sel_Channel),OR(sel_Customer="All",F861=sel_Customer),OR(sel_Product="All",H861=sel_Product),AND(S861&gt;=m_From,S861&lt;=m_To)),1,0)</f>
        <v/>
      </c>
      <c r="Z861" s="36">
        <f>IF(AND(OR(sel_Region="All",C861=sel_Region),OR(sel_Country="All",D861=sel_Country),OR(sel_Channel="All",E861=sel_Channel),OR(sel_Customer="All",F861=sel_Customer),OR(sel_Category="All",G861=sel_Category),AND(S861&gt;=m_From,S861&lt;=m_To)),1,0)</f>
        <v/>
      </c>
      <c r="AA861" s="36">
        <f>IF(AND(OR(sel_Region="All",C861=sel_Region),OR(sel_Country="All",D861=sel_Country),OR(sel_Channel="All",E861=sel_Channel),OR(sel_Customer="All",F861=sel_Customer),OR(sel_Category="All",G861=sel_Category),OR(sel_Product="All",H861=sel_Product)),1,0)</f>
        <v/>
      </c>
    </row>
    <row r="862">
      <c r="A862" s="36" t="inlineStr">
        <is>
          <t>04328</t>
        </is>
      </c>
      <c r="B862" s="44" t="n">
        <v>46161</v>
      </c>
      <c r="C862" s="36" t="inlineStr">
        <is>
          <t>Northern Europe</t>
        </is>
      </c>
      <c r="D862" s="36" t="inlineStr">
        <is>
          <t>Denmark</t>
        </is>
      </c>
      <c r="E862" s="36" t="inlineStr">
        <is>
          <t>Marketplace</t>
        </is>
      </c>
      <c r="F862" s="36" t="inlineStr">
        <is>
          <t>New</t>
        </is>
      </c>
      <c r="G862" s="36" t="inlineStr">
        <is>
          <t>Hiking</t>
        </is>
      </c>
      <c r="H862" s="36" t="inlineStr">
        <is>
          <t>Trail Boots</t>
        </is>
      </c>
      <c r="I862" s="36" t="n">
        <v>1</v>
      </c>
      <c r="J862" s="39" t="n">
        <v>143.52</v>
      </c>
      <c r="K862" s="45" t="n">
        <v>0</v>
      </c>
      <c r="L862" s="39" t="n">
        <v>81.04000000000001</v>
      </c>
      <c r="M862" s="39">
        <f>I862*J862*(1-K862)</f>
        <v/>
      </c>
      <c r="N862" s="39">
        <f>I862*L862</f>
        <v/>
      </c>
      <c r="O862" s="39">
        <f>M862-N862</f>
        <v/>
      </c>
      <c r="P862" s="38">
        <f>IF(M862=0,0,O862/M862)</f>
        <v/>
      </c>
      <c r="Q862" s="36">
        <f>YEAR(B862)</f>
        <v/>
      </c>
      <c r="R862" s="36">
        <f>"Q"&amp;ROUNDUP(MONTH(B862)/3,0)</f>
        <v/>
      </c>
      <c r="S862" s="36">
        <f>MONTH(B862)</f>
        <v/>
      </c>
      <c r="T862" s="36">
        <f>TEXT(B862,"mmm")</f>
        <v/>
      </c>
      <c r="U862" s="36">
        <f>IF(AND(OR(sel_Region="All",C862=sel_Region),OR(sel_Country="All",D862=sel_Country),OR(sel_Channel="All",E862=sel_Channel),OR(sel_Customer="All",F862=sel_Customer),OR(sel_Category="All",G862=sel_Category),OR(sel_Product="All",H862=sel_Product),AND(S862&gt;=m_From,S862&lt;=m_To)),1,0)</f>
        <v/>
      </c>
      <c r="V862" s="36">
        <f>IF(AND(OR(sel_Region="All",C862=sel_Region),OR(sel_Channel="All",E862=sel_Channel),OR(sel_Customer="All",F862=sel_Customer),OR(sel_Category="All",G862=sel_Category),OR(sel_Product="All",H862=sel_Product),AND(S862&gt;=m_From,S862&lt;=m_To)),1,0)</f>
        <v/>
      </c>
      <c r="W862" s="36">
        <f>IF(AND(OR(sel_Region="All",C862=sel_Region),OR(sel_Country="All",D862=sel_Country),OR(sel_Customer="All",F862=sel_Customer),OR(sel_Category="All",G862=sel_Category),OR(sel_Product="All",H862=sel_Product),AND(S862&gt;=m_From,S862&lt;=m_To)),1,0)</f>
        <v/>
      </c>
      <c r="X862" s="36">
        <f>IF(AND(OR(sel_Region="All",C862=sel_Region),OR(sel_Country="All",D862=sel_Country),OR(sel_Channel="All",E862=sel_Channel),OR(sel_Category="All",G862=sel_Category),OR(sel_Product="All",H862=sel_Product),AND(S862&gt;=m_From,S862&lt;=m_To)),1,0)</f>
        <v/>
      </c>
      <c r="Y862" s="36">
        <f>IF(AND(OR(sel_Region="All",C862=sel_Region),OR(sel_Country="All",D862=sel_Country),OR(sel_Channel="All",E862=sel_Channel),OR(sel_Customer="All",F862=sel_Customer),OR(sel_Product="All",H862=sel_Product),AND(S862&gt;=m_From,S862&lt;=m_To)),1,0)</f>
        <v/>
      </c>
      <c r="Z862" s="36">
        <f>IF(AND(OR(sel_Region="All",C862=sel_Region),OR(sel_Country="All",D862=sel_Country),OR(sel_Channel="All",E862=sel_Channel),OR(sel_Customer="All",F862=sel_Customer),OR(sel_Category="All",G862=sel_Category),AND(S862&gt;=m_From,S862&lt;=m_To)),1,0)</f>
        <v/>
      </c>
      <c r="AA862" s="36">
        <f>IF(AND(OR(sel_Region="All",C862=sel_Region),OR(sel_Country="All",D862=sel_Country),OR(sel_Channel="All",E862=sel_Channel),OR(sel_Customer="All",F862=sel_Customer),OR(sel_Category="All",G862=sel_Category),OR(sel_Product="All",H862=sel_Product)),1,0)</f>
        <v/>
      </c>
    </row>
    <row r="863">
      <c r="A863" s="36" t="inlineStr">
        <is>
          <t>04591</t>
        </is>
      </c>
      <c r="B863" s="44" t="n">
        <v>46161</v>
      </c>
      <c r="C863" s="36" t="inlineStr">
        <is>
          <t>Northern Europe</t>
        </is>
      </c>
      <c r="D863" s="36" t="inlineStr">
        <is>
          <t>Norway</t>
        </is>
      </c>
      <c r="E863" s="36" t="inlineStr">
        <is>
          <t>Retail Partners</t>
        </is>
      </c>
      <c r="F863" s="36" t="inlineStr">
        <is>
          <t>New</t>
        </is>
      </c>
      <c r="G863" s="36" t="inlineStr">
        <is>
          <t>Camping</t>
        </is>
      </c>
      <c r="H863" s="36" t="inlineStr">
        <is>
          <t>Trail Tent 2P</t>
        </is>
      </c>
      <c r="I863" s="36" t="n">
        <v>1</v>
      </c>
      <c r="J863" s="39" t="n">
        <v>192.94</v>
      </c>
      <c r="K863" s="45" t="n">
        <v>0</v>
      </c>
      <c r="L863" s="39" t="n">
        <v>105.15</v>
      </c>
      <c r="M863" s="39">
        <f>I863*J863*(1-K863)</f>
        <v/>
      </c>
      <c r="N863" s="39">
        <f>I863*L863</f>
        <v/>
      </c>
      <c r="O863" s="39">
        <f>M863-N863</f>
        <v/>
      </c>
      <c r="P863" s="38">
        <f>IF(M863=0,0,O863/M863)</f>
        <v/>
      </c>
      <c r="Q863" s="36">
        <f>YEAR(B863)</f>
        <v/>
      </c>
      <c r="R863" s="36">
        <f>"Q"&amp;ROUNDUP(MONTH(B863)/3,0)</f>
        <v/>
      </c>
      <c r="S863" s="36">
        <f>MONTH(B863)</f>
        <v/>
      </c>
      <c r="T863" s="36">
        <f>TEXT(B863,"mmm")</f>
        <v/>
      </c>
      <c r="U863" s="36">
        <f>IF(AND(OR(sel_Region="All",C863=sel_Region),OR(sel_Country="All",D863=sel_Country),OR(sel_Channel="All",E863=sel_Channel),OR(sel_Customer="All",F863=sel_Customer),OR(sel_Category="All",G863=sel_Category),OR(sel_Product="All",H863=sel_Product),AND(S863&gt;=m_From,S863&lt;=m_To)),1,0)</f>
        <v/>
      </c>
      <c r="V863" s="36">
        <f>IF(AND(OR(sel_Region="All",C863=sel_Region),OR(sel_Channel="All",E863=sel_Channel),OR(sel_Customer="All",F863=sel_Customer),OR(sel_Category="All",G863=sel_Category),OR(sel_Product="All",H863=sel_Product),AND(S863&gt;=m_From,S863&lt;=m_To)),1,0)</f>
        <v/>
      </c>
      <c r="W863" s="36">
        <f>IF(AND(OR(sel_Region="All",C863=sel_Region),OR(sel_Country="All",D863=sel_Country),OR(sel_Customer="All",F863=sel_Customer),OR(sel_Category="All",G863=sel_Category),OR(sel_Product="All",H863=sel_Product),AND(S863&gt;=m_From,S863&lt;=m_To)),1,0)</f>
        <v/>
      </c>
      <c r="X863" s="36">
        <f>IF(AND(OR(sel_Region="All",C863=sel_Region),OR(sel_Country="All",D863=sel_Country),OR(sel_Channel="All",E863=sel_Channel),OR(sel_Category="All",G863=sel_Category),OR(sel_Product="All",H863=sel_Product),AND(S863&gt;=m_From,S863&lt;=m_To)),1,0)</f>
        <v/>
      </c>
      <c r="Y863" s="36">
        <f>IF(AND(OR(sel_Region="All",C863=sel_Region),OR(sel_Country="All",D863=sel_Country),OR(sel_Channel="All",E863=sel_Channel),OR(sel_Customer="All",F863=sel_Customer),OR(sel_Product="All",H863=sel_Product),AND(S863&gt;=m_From,S863&lt;=m_To)),1,0)</f>
        <v/>
      </c>
      <c r="Z863" s="36">
        <f>IF(AND(OR(sel_Region="All",C863=sel_Region),OR(sel_Country="All",D863=sel_Country),OR(sel_Channel="All",E863=sel_Channel),OR(sel_Customer="All",F863=sel_Customer),OR(sel_Category="All",G863=sel_Category),AND(S863&gt;=m_From,S863&lt;=m_To)),1,0)</f>
        <v/>
      </c>
      <c r="AA863" s="36">
        <f>IF(AND(OR(sel_Region="All",C863=sel_Region),OR(sel_Country="All",D863=sel_Country),OR(sel_Channel="All",E863=sel_Channel),OR(sel_Customer="All",F863=sel_Customer),OR(sel_Category="All",G863=sel_Category),OR(sel_Product="All",H863=sel_Product)),1,0)</f>
        <v/>
      </c>
    </row>
    <row r="864">
      <c r="A864" s="36" t="inlineStr">
        <is>
          <t>00280</t>
        </is>
      </c>
      <c r="B864" s="44" t="n">
        <v>46162</v>
      </c>
      <c r="C864" s="36" t="inlineStr">
        <is>
          <t>Western Europe</t>
        </is>
      </c>
      <c r="D864" s="36" t="inlineStr">
        <is>
          <t>United Kingdom</t>
        </is>
      </c>
      <c r="E864" s="36" t="inlineStr">
        <is>
          <t>Retail Partners</t>
        </is>
      </c>
      <c r="F864" s="36" t="inlineStr">
        <is>
          <t>Business</t>
        </is>
      </c>
      <c r="G864" s="36" t="inlineStr">
        <is>
          <t>Travel</t>
        </is>
      </c>
      <c r="H864" s="36" t="inlineStr">
        <is>
          <t>Travel Backpack 35L</t>
        </is>
      </c>
      <c r="I864" s="36" t="n">
        <v>1</v>
      </c>
      <c r="J864" s="39" t="n">
        <v>168.56</v>
      </c>
      <c r="K864" s="45" t="n">
        <v>0</v>
      </c>
      <c r="L864" s="39" t="n">
        <v>85.45999999999999</v>
      </c>
      <c r="M864" s="39">
        <f>I864*J864*(1-K864)</f>
        <v/>
      </c>
      <c r="N864" s="39">
        <f>I864*L864</f>
        <v/>
      </c>
      <c r="O864" s="39">
        <f>M864-N864</f>
        <v/>
      </c>
      <c r="P864" s="38">
        <f>IF(M864=0,0,O864/M864)</f>
        <v/>
      </c>
      <c r="Q864" s="36">
        <f>YEAR(B864)</f>
        <v/>
      </c>
      <c r="R864" s="36">
        <f>"Q"&amp;ROUNDUP(MONTH(B864)/3,0)</f>
        <v/>
      </c>
      <c r="S864" s="36">
        <f>MONTH(B864)</f>
        <v/>
      </c>
      <c r="T864" s="36">
        <f>TEXT(B864,"mmm")</f>
        <v/>
      </c>
      <c r="U864" s="36">
        <f>IF(AND(OR(sel_Region="All",C864=sel_Region),OR(sel_Country="All",D864=sel_Country),OR(sel_Channel="All",E864=sel_Channel),OR(sel_Customer="All",F864=sel_Customer),OR(sel_Category="All",G864=sel_Category),OR(sel_Product="All",H864=sel_Product),AND(S864&gt;=m_From,S864&lt;=m_To)),1,0)</f>
        <v/>
      </c>
      <c r="V864" s="36">
        <f>IF(AND(OR(sel_Region="All",C864=sel_Region),OR(sel_Channel="All",E864=sel_Channel),OR(sel_Customer="All",F864=sel_Customer),OR(sel_Category="All",G864=sel_Category),OR(sel_Product="All",H864=sel_Product),AND(S864&gt;=m_From,S864&lt;=m_To)),1,0)</f>
        <v/>
      </c>
      <c r="W864" s="36">
        <f>IF(AND(OR(sel_Region="All",C864=sel_Region),OR(sel_Country="All",D864=sel_Country),OR(sel_Customer="All",F864=sel_Customer),OR(sel_Category="All",G864=sel_Category),OR(sel_Product="All",H864=sel_Product),AND(S864&gt;=m_From,S864&lt;=m_To)),1,0)</f>
        <v/>
      </c>
      <c r="X864" s="36">
        <f>IF(AND(OR(sel_Region="All",C864=sel_Region),OR(sel_Country="All",D864=sel_Country),OR(sel_Channel="All",E864=sel_Channel),OR(sel_Category="All",G864=sel_Category),OR(sel_Product="All",H864=sel_Product),AND(S864&gt;=m_From,S864&lt;=m_To)),1,0)</f>
        <v/>
      </c>
      <c r="Y864" s="36">
        <f>IF(AND(OR(sel_Region="All",C864=sel_Region),OR(sel_Country="All",D864=sel_Country),OR(sel_Channel="All",E864=sel_Channel),OR(sel_Customer="All",F864=sel_Customer),OR(sel_Product="All",H864=sel_Product),AND(S864&gt;=m_From,S864&lt;=m_To)),1,0)</f>
        <v/>
      </c>
      <c r="Z864" s="36">
        <f>IF(AND(OR(sel_Region="All",C864=sel_Region),OR(sel_Country="All",D864=sel_Country),OR(sel_Channel="All",E864=sel_Channel),OR(sel_Customer="All",F864=sel_Customer),OR(sel_Category="All",G864=sel_Category),AND(S864&gt;=m_From,S864&lt;=m_To)),1,0)</f>
        <v/>
      </c>
      <c r="AA864" s="36">
        <f>IF(AND(OR(sel_Region="All",C864=sel_Region),OR(sel_Country="All",D864=sel_Country),OR(sel_Channel="All",E864=sel_Channel),OR(sel_Customer="All",F864=sel_Customer),OR(sel_Category="All",G864=sel_Category),OR(sel_Product="All",H864=sel_Product)),1,0)</f>
        <v/>
      </c>
    </row>
    <row r="865">
      <c r="A865" s="36" t="inlineStr">
        <is>
          <t>00409</t>
        </is>
      </c>
      <c r="B865" s="44" t="n">
        <v>46162</v>
      </c>
      <c r="C865" s="36" t="inlineStr">
        <is>
          <t>Southern Europe</t>
        </is>
      </c>
      <c r="D865" s="36" t="inlineStr">
        <is>
          <t>Spain</t>
        </is>
      </c>
      <c r="E865" s="36" t="inlineStr">
        <is>
          <t>Online Store</t>
        </is>
      </c>
      <c r="F865" s="36" t="inlineStr">
        <is>
          <t>New</t>
        </is>
      </c>
      <c r="G865" s="36" t="inlineStr">
        <is>
          <t>Camping</t>
        </is>
      </c>
      <c r="H865" s="36" t="inlineStr">
        <is>
          <t>Compact Sleeping Bag</t>
        </is>
      </c>
      <c r="I865" s="36" t="n">
        <v>2</v>
      </c>
      <c r="J865" s="39" t="n">
        <v>123.9</v>
      </c>
      <c r="K865" s="45" t="n">
        <v>0</v>
      </c>
      <c r="L865" s="39" t="n">
        <v>58.95</v>
      </c>
      <c r="M865" s="39">
        <f>I865*J865*(1-K865)</f>
        <v/>
      </c>
      <c r="N865" s="39">
        <f>I865*L865</f>
        <v/>
      </c>
      <c r="O865" s="39">
        <f>M865-N865</f>
        <v/>
      </c>
      <c r="P865" s="38">
        <f>IF(M865=0,0,O865/M865)</f>
        <v/>
      </c>
      <c r="Q865" s="36">
        <f>YEAR(B865)</f>
        <v/>
      </c>
      <c r="R865" s="36">
        <f>"Q"&amp;ROUNDUP(MONTH(B865)/3,0)</f>
        <v/>
      </c>
      <c r="S865" s="36">
        <f>MONTH(B865)</f>
        <v/>
      </c>
      <c r="T865" s="36">
        <f>TEXT(B865,"mmm")</f>
        <v/>
      </c>
      <c r="U865" s="36">
        <f>IF(AND(OR(sel_Region="All",C865=sel_Region),OR(sel_Country="All",D865=sel_Country),OR(sel_Channel="All",E865=sel_Channel),OR(sel_Customer="All",F865=sel_Customer),OR(sel_Category="All",G865=sel_Category),OR(sel_Product="All",H865=sel_Product),AND(S865&gt;=m_From,S865&lt;=m_To)),1,0)</f>
        <v/>
      </c>
      <c r="V865" s="36">
        <f>IF(AND(OR(sel_Region="All",C865=sel_Region),OR(sel_Channel="All",E865=sel_Channel),OR(sel_Customer="All",F865=sel_Customer),OR(sel_Category="All",G865=sel_Category),OR(sel_Product="All",H865=sel_Product),AND(S865&gt;=m_From,S865&lt;=m_To)),1,0)</f>
        <v/>
      </c>
      <c r="W865" s="36">
        <f>IF(AND(OR(sel_Region="All",C865=sel_Region),OR(sel_Country="All",D865=sel_Country),OR(sel_Customer="All",F865=sel_Customer),OR(sel_Category="All",G865=sel_Category),OR(sel_Product="All",H865=sel_Product),AND(S865&gt;=m_From,S865&lt;=m_To)),1,0)</f>
        <v/>
      </c>
      <c r="X865" s="36">
        <f>IF(AND(OR(sel_Region="All",C865=sel_Region),OR(sel_Country="All",D865=sel_Country),OR(sel_Channel="All",E865=sel_Channel),OR(sel_Category="All",G865=sel_Category),OR(sel_Product="All",H865=sel_Product),AND(S865&gt;=m_From,S865&lt;=m_To)),1,0)</f>
        <v/>
      </c>
      <c r="Y865" s="36">
        <f>IF(AND(OR(sel_Region="All",C865=sel_Region),OR(sel_Country="All",D865=sel_Country),OR(sel_Channel="All",E865=sel_Channel),OR(sel_Customer="All",F865=sel_Customer),OR(sel_Product="All",H865=sel_Product),AND(S865&gt;=m_From,S865&lt;=m_To)),1,0)</f>
        <v/>
      </c>
      <c r="Z865" s="36">
        <f>IF(AND(OR(sel_Region="All",C865=sel_Region),OR(sel_Country="All",D865=sel_Country),OR(sel_Channel="All",E865=sel_Channel),OR(sel_Customer="All",F865=sel_Customer),OR(sel_Category="All",G865=sel_Category),AND(S865&gt;=m_From,S865&lt;=m_To)),1,0)</f>
        <v/>
      </c>
      <c r="AA865" s="36">
        <f>IF(AND(OR(sel_Region="All",C865=sel_Region),OR(sel_Country="All",D865=sel_Country),OR(sel_Channel="All",E865=sel_Channel),OR(sel_Customer="All",F865=sel_Customer),OR(sel_Category="All",G865=sel_Category),OR(sel_Product="All",H865=sel_Product)),1,0)</f>
        <v/>
      </c>
    </row>
    <row r="866">
      <c r="A866" s="36" t="inlineStr">
        <is>
          <t>01372</t>
        </is>
      </c>
      <c r="B866" s="44" t="n">
        <v>46162</v>
      </c>
      <c r="C866" s="36" t="inlineStr">
        <is>
          <t>Southern Europe</t>
        </is>
      </c>
      <c r="D866" s="36" t="inlineStr">
        <is>
          <t>Portugal</t>
        </is>
      </c>
      <c r="E866" s="36" t="inlineStr">
        <is>
          <t>Online Store</t>
        </is>
      </c>
      <c r="F866" s="36" t="inlineStr">
        <is>
          <t>New</t>
        </is>
      </c>
      <c r="G866" s="36" t="inlineStr">
        <is>
          <t>Hiking</t>
        </is>
      </c>
      <c r="H866" s="36" t="inlineStr">
        <is>
          <t>Trail Boots</t>
        </is>
      </c>
      <c r="I866" s="36" t="n">
        <v>2</v>
      </c>
      <c r="J866" s="39" t="n">
        <v>140.93</v>
      </c>
      <c r="K866" s="45" t="n">
        <v>0</v>
      </c>
      <c r="L866" s="39" t="n">
        <v>81.04000000000001</v>
      </c>
      <c r="M866" s="39">
        <f>I866*J866*(1-K866)</f>
        <v/>
      </c>
      <c r="N866" s="39">
        <f>I866*L866</f>
        <v/>
      </c>
      <c r="O866" s="39">
        <f>M866-N866</f>
        <v/>
      </c>
      <c r="P866" s="38">
        <f>IF(M866=0,0,O866/M866)</f>
        <v/>
      </c>
      <c r="Q866" s="36">
        <f>YEAR(B866)</f>
        <v/>
      </c>
      <c r="R866" s="36">
        <f>"Q"&amp;ROUNDUP(MONTH(B866)/3,0)</f>
        <v/>
      </c>
      <c r="S866" s="36">
        <f>MONTH(B866)</f>
        <v/>
      </c>
      <c r="T866" s="36">
        <f>TEXT(B866,"mmm")</f>
        <v/>
      </c>
      <c r="U866" s="36">
        <f>IF(AND(OR(sel_Region="All",C866=sel_Region),OR(sel_Country="All",D866=sel_Country),OR(sel_Channel="All",E866=sel_Channel),OR(sel_Customer="All",F866=sel_Customer),OR(sel_Category="All",G866=sel_Category),OR(sel_Product="All",H866=sel_Product),AND(S866&gt;=m_From,S866&lt;=m_To)),1,0)</f>
        <v/>
      </c>
      <c r="V866" s="36">
        <f>IF(AND(OR(sel_Region="All",C866=sel_Region),OR(sel_Channel="All",E866=sel_Channel),OR(sel_Customer="All",F866=sel_Customer),OR(sel_Category="All",G866=sel_Category),OR(sel_Product="All",H866=sel_Product),AND(S866&gt;=m_From,S866&lt;=m_To)),1,0)</f>
        <v/>
      </c>
      <c r="W866" s="36">
        <f>IF(AND(OR(sel_Region="All",C866=sel_Region),OR(sel_Country="All",D866=sel_Country),OR(sel_Customer="All",F866=sel_Customer),OR(sel_Category="All",G866=sel_Category),OR(sel_Product="All",H866=sel_Product),AND(S866&gt;=m_From,S866&lt;=m_To)),1,0)</f>
        <v/>
      </c>
      <c r="X866" s="36">
        <f>IF(AND(OR(sel_Region="All",C866=sel_Region),OR(sel_Country="All",D866=sel_Country),OR(sel_Channel="All",E866=sel_Channel),OR(sel_Category="All",G866=sel_Category),OR(sel_Product="All",H866=sel_Product),AND(S866&gt;=m_From,S866&lt;=m_To)),1,0)</f>
        <v/>
      </c>
      <c r="Y866" s="36">
        <f>IF(AND(OR(sel_Region="All",C866=sel_Region),OR(sel_Country="All",D866=sel_Country),OR(sel_Channel="All",E866=sel_Channel),OR(sel_Customer="All",F866=sel_Customer),OR(sel_Product="All",H866=sel_Product),AND(S866&gt;=m_From,S866&lt;=m_To)),1,0)</f>
        <v/>
      </c>
      <c r="Z866" s="36">
        <f>IF(AND(OR(sel_Region="All",C866=sel_Region),OR(sel_Country="All",D866=sel_Country),OR(sel_Channel="All",E866=sel_Channel),OR(sel_Customer="All",F866=sel_Customer),OR(sel_Category="All",G866=sel_Category),AND(S866&gt;=m_From,S866&lt;=m_To)),1,0)</f>
        <v/>
      </c>
      <c r="AA866" s="36">
        <f>IF(AND(OR(sel_Region="All",C866=sel_Region),OR(sel_Country="All",D866=sel_Country),OR(sel_Channel="All",E866=sel_Channel),OR(sel_Customer="All",F866=sel_Customer),OR(sel_Category="All",G866=sel_Category),OR(sel_Product="All",H866=sel_Product)),1,0)</f>
        <v/>
      </c>
    </row>
    <row r="867">
      <c r="A867" s="36" t="inlineStr">
        <is>
          <t>02327</t>
        </is>
      </c>
      <c r="B867" s="44" t="n">
        <v>46162</v>
      </c>
      <c r="C867" s="36" t="inlineStr">
        <is>
          <t>Northern Europe</t>
        </is>
      </c>
      <c r="D867" s="36" t="inlineStr">
        <is>
          <t>Denmark</t>
        </is>
      </c>
      <c r="E867" s="36" t="inlineStr">
        <is>
          <t>Retail Partners</t>
        </is>
      </c>
      <c r="F867" s="36" t="inlineStr">
        <is>
          <t>Returning</t>
        </is>
      </c>
      <c r="G867" s="36" t="inlineStr">
        <is>
          <t>Hiking</t>
        </is>
      </c>
      <c r="H867" s="36" t="inlineStr">
        <is>
          <t>Trekking Poles</t>
        </is>
      </c>
      <c r="I867" s="36" t="n">
        <v>1</v>
      </c>
      <c r="J867" s="39" t="n">
        <v>73.15000000000001</v>
      </c>
      <c r="K867" s="45" t="n">
        <v>0</v>
      </c>
      <c r="L867" s="39" t="n">
        <v>32.95</v>
      </c>
      <c r="M867" s="39">
        <f>I867*J867*(1-K867)</f>
        <v/>
      </c>
      <c r="N867" s="39">
        <f>I867*L867</f>
        <v/>
      </c>
      <c r="O867" s="39">
        <f>M867-N867</f>
        <v/>
      </c>
      <c r="P867" s="38">
        <f>IF(M867=0,0,O867/M867)</f>
        <v/>
      </c>
      <c r="Q867" s="36">
        <f>YEAR(B867)</f>
        <v/>
      </c>
      <c r="R867" s="36">
        <f>"Q"&amp;ROUNDUP(MONTH(B867)/3,0)</f>
        <v/>
      </c>
      <c r="S867" s="36">
        <f>MONTH(B867)</f>
        <v/>
      </c>
      <c r="T867" s="36">
        <f>TEXT(B867,"mmm")</f>
        <v/>
      </c>
      <c r="U867" s="36">
        <f>IF(AND(OR(sel_Region="All",C867=sel_Region),OR(sel_Country="All",D867=sel_Country),OR(sel_Channel="All",E867=sel_Channel),OR(sel_Customer="All",F867=sel_Customer),OR(sel_Category="All",G867=sel_Category),OR(sel_Product="All",H867=sel_Product),AND(S867&gt;=m_From,S867&lt;=m_To)),1,0)</f>
        <v/>
      </c>
      <c r="V867" s="36">
        <f>IF(AND(OR(sel_Region="All",C867=sel_Region),OR(sel_Channel="All",E867=sel_Channel),OR(sel_Customer="All",F867=sel_Customer),OR(sel_Category="All",G867=sel_Category),OR(sel_Product="All",H867=sel_Product),AND(S867&gt;=m_From,S867&lt;=m_To)),1,0)</f>
        <v/>
      </c>
      <c r="W867" s="36">
        <f>IF(AND(OR(sel_Region="All",C867=sel_Region),OR(sel_Country="All",D867=sel_Country),OR(sel_Customer="All",F867=sel_Customer),OR(sel_Category="All",G867=sel_Category),OR(sel_Product="All",H867=sel_Product),AND(S867&gt;=m_From,S867&lt;=m_To)),1,0)</f>
        <v/>
      </c>
      <c r="X867" s="36">
        <f>IF(AND(OR(sel_Region="All",C867=sel_Region),OR(sel_Country="All",D867=sel_Country),OR(sel_Channel="All",E867=sel_Channel),OR(sel_Category="All",G867=sel_Category),OR(sel_Product="All",H867=sel_Product),AND(S867&gt;=m_From,S867&lt;=m_To)),1,0)</f>
        <v/>
      </c>
      <c r="Y867" s="36">
        <f>IF(AND(OR(sel_Region="All",C867=sel_Region),OR(sel_Country="All",D867=sel_Country),OR(sel_Channel="All",E867=sel_Channel),OR(sel_Customer="All",F867=sel_Customer),OR(sel_Product="All",H867=sel_Product),AND(S867&gt;=m_From,S867&lt;=m_To)),1,0)</f>
        <v/>
      </c>
      <c r="Z867" s="36">
        <f>IF(AND(OR(sel_Region="All",C867=sel_Region),OR(sel_Country="All",D867=sel_Country),OR(sel_Channel="All",E867=sel_Channel),OR(sel_Customer="All",F867=sel_Customer),OR(sel_Category="All",G867=sel_Category),AND(S867&gt;=m_From,S867&lt;=m_To)),1,0)</f>
        <v/>
      </c>
      <c r="AA867" s="36">
        <f>IF(AND(OR(sel_Region="All",C867=sel_Region),OR(sel_Country="All",D867=sel_Country),OR(sel_Channel="All",E867=sel_Channel),OR(sel_Customer="All",F867=sel_Customer),OR(sel_Category="All",G867=sel_Category),OR(sel_Product="All",H867=sel_Product)),1,0)</f>
        <v/>
      </c>
    </row>
    <row r="868">
      <c r="A868" s="36" t="inlineStr">
        <is>
          <t>02703</t>
        </is>
      </c>
      <c r="B868" s="44" t="n">
        <v>46162</v>
      </c>
      <c r="C868" s="36" t="inlineStr">
        <is>
          <t>Western Europe</t>
        </is>
      </c>
      <c r="D868" s="36" t="inlineStr">
        <is>
          <t>United Kingdom</t>
        </is>
      </c>
      <c r="E868" s="36" t="inlineStr">
        <is>
          <t>Retail Partners</t>
        </is>
      </c>
      <c r="F868" s="36" t="inlineStr">
        <is>
          <t>Business</t>
        </is>
      </c>
      <c r="G868" s="36" t="inlineStr">
        <is>
          <t>Camping</t>
        </is>
      </c>
      <c r="H868" s="36" t="inlineStr">
        <is>
          <t>Trail Tent 2P</t>
        </is>
      </c>
      <c r="I868" s="36" t="n">
        <v>2</v>
      </c>
      <c r="J868" s="39" t="n">
        <v>197.35</v>
      </c>
      <c r="K868" s="45" t="n">
        <v>0.05</v>
      </c>
      <c r="L868" s="39" t="n">
        <v>102.63</v>
      </c>
      <c r="M868" s="39">
        <f>I868*J868*(1-K868)</f>
        <v/>
      </c>
      <c r="N868" s="39">
        <f>I868*L868</f>
        <v/>
      </c>
      <c r="O868" s="39">
        <f>M868-N868</f>
        <v/>
      </c>
      <c r="P868" s="38">
        <f>IF(M868=0,0,O868/M868)</f>
        <v/>
      </c>
      <c r="Q868" s="36">
        <f>YEAR(B868)</f>
        <v/>
      </c>
      <c r="R868" s="36">
        <f>"Q"&amp;ROUNDUP(MONTH(B868)/3,0)</f>
        <v/>
      </c>
      <c r="S868" s="36">
        <f>MONTH(B868)</f>
        <v/>
      </c>
      <c r="T868" s="36">
        <f>TEXT(B868,"mmm")</f>
        <v/>
      </c>
      <c r="U868" s="36">
        <f>IF(AND(OR(sel_Region="All",C868=sel_Region),OR(sel_Country="All",D868=sel_Country),OR(sel_Channel="All",E868=sel_Channel),OR(sel_Customer="All",F868=sel_Customer),OR(sel_Category="All",G868=sel_Category),OR(sel_Product="All",H868=sel_Product),AND(S868&gt;=m_From,S868&lt;=m_To)),1,0)</f>
        <v/>
      </c>
      <c r="V868" s="36">
        <f>IF(AND(OR(sel_Region="All",C868=sel_Region),OR(sel_Channel="All",E868=sel_Channel),OR(sel_Customer="All",F868=sel_Customer),OR(sel_Category="All",G868=sel_Category),OR(sel_Product="All",H868=sel_Product),AND(S868&gt;=m_From,S868&lt;=m_To)),1,0)</f>
        <v/>
      </c>
      <c r="W868" s="36">
        <f>IF(AND(OR(sel_Region="All",C868=sel_Region),OR(sel_Country="All",D868=sel_Country),OR(sel_Customer="All",F868=sel_Customer),OR(sel_Category="All",G868=sel_Category),OR(sel_Product="All",H868=sel_Product),AND(S868&gt;=m_From,S868&lt;=m_To)),1,0)</f>
        <v/>
      </c>
      <c r="X868" s="36">
        <f>IF(AND(OR(sel_Region="All",C868=sel_Region),OR(sel_Country="All",D868=sel_Country),OR(sel_Channel="All",E868=sel_Channel),OR(sel_Category="All",G868=sel_Category),OR(sel_Product="All",H868=sel_Product),AND(S868&gt;=m_From,S868&lt;=m_To)),1,0)</f>
        <v/>
      </c>
      <c r="Y868" s="36">
        <f>IF(AND(OR(sel_Region="All",C868=sel_Region),OR(sel_Country="All",D868=sel_Country),OR(sel_Channel="All",E868=sel_Channel),OR(sel_Customer="All",F868=sel_Customer),OR(sel_Product="All",H868=sel_Product),AND(S868&gt;=m_From,S868&lt;=m_To)),1,0)</f>
        <v/>
      </c>
      <c r="Z868" s="36">
        <f>IF(AND(OR(sel_Region="All",C868=sel_Region),OR(sel_Country="All",D868=sel_Country),OR(sel_Channel="All",E868=sel_Channel),OR(sel_Customer="All",F868=sel_Customer),OR(sel_Category="All",G868=sel_Category),AND(S868&gt;=m_From,S868&lt;=m_To)),1,0)</f>
        <v/>
      </c>
      <c r="AA868" s="36">
        <f>IF(AND(OR(sel_Region="All",C868=sel_Region),OR(sel_Country="All",D868=sel_Country),OR(sel_Channel="All",E868=sel_Channel),OR(sel_Customer="All",F868=sel_Customer),OR(sel_Category="All",G868=sel_Category),OR(sel_Product="All",H868=sel_Product)),1,0)</f>
        <v/>
      </c>
    </row>
    <row r="869">
      <c r="A869" s="36" t="inlineStr">
        <is>
          <t>02776</t>
        </is>
      </c>
      <c r="B869" s="44" t="n">
        <v>46162</v>
      </c>
      <c r="C869" s="36" t="inlineStr">
        <is>
          <t>Western Europe</t>
        </is>
      </c>
      <c r="D869" s="36" t="inlineStr">
        <is>
          <t>Belgium</t>
        </is>
      </c>
      <c r="E869" s="36" t="inlineStr">
        <is>
          <t>Online Store</t>
        </is>
      </c>
      <c r="F869" s="36" t="inlineStr">
        <is>
          <t>Business</t>
        </is>
      </c>
      <c r="G869" s="36" t="inlineStr">
        <is>
          <t>Travel</t>
        </is>
      </c>
      <c r="H869" s="36" t="inlineStr">
        <is>
          <t>Insulated Bottle</t>
        </is>
      </c>
      <c r="I869" s="36" t="n">
        <v>3</v>
      </c>
      <c r="J869" s="39" t="n">
        <v>36.74</v>
      </c>
      <c r="K869" s="45" t="n">
        <v>0.05</v>
      </c>
      <c r="L869" s="39" t="n">
        <v>13.97</v>
      </c>
      <c r="M869" s="39">
        <f>I869*J869*(1-K869)</f>
        <v/>
      </c>
      <c r="N869" s="39">
        <f>I869*L869</f>
        <v/>
      </c>
      <c r="O869" s="39">
        <f>M869-N869</f>
        <v/>
      </c>
      <c r="P869" s="38">
        <f>IF(M869=0,0,O869/M869)</f>
        <v/>
      </c>
      <c r="Q869" s="36">
        <f>YEAR(B869)</f>
        <v/>
      </c>
      <c r="R869" s="36">
        <f>"Q"&amp;ROUNDUP(MONTH(B869)/3,0)</f>
        <v/>
      </c>
      <c r="S869" s="36">
        <f>MONTH(B869)</f>
        <v/>
      </c>
      <c r="T869" s="36">
        <f>TEXT(B869,"mmm")</f>
        <v/>
      </c>
      <c r="U869" s="36">
        <f>IF(AND(OR(sel_Region="All",C869=sel_Region),OR(sel_Country="All",D869=sel_Country),OR(sel_Channel="All",E869=sel_Channel),OR(sel_Customer="All",F869=sel_Customer),OR(sel_Category="All",G869=sel_Category),OR(sel_Product="All",H869=sel_Product),AND(S869&gt;=m_From,S869&lt;=m_To)),1,0)</f>
        <v/>
      </c>
      <c r="V869" s="36">
        <f>IF(AND(OR(sel_Region="All",C869=sel_Region),OR(sel_Channel="All",E869=sel_Channel),OR(sel_Customer="All",F869=sel_Customer),OR(sel_Category="All",G869=sel_Category),OR(sel_Product="All",H869=sel_Product),AND(S869&gt;=m_From,S869&lt;=m_To)),1,0)</f>
        <v/>
      </c>
      <c r="W869" s="36">
        <f>IF(AND(OR(sel_Region="All",C869=sel_Region),OR(sel_Country="All",D869=sel_Country),OR(sel_Customer="All",F869=sel_Customer),OR(sel_Category="All",G869=sel_Category),OR(sel_Product="All",H869=sel_Product),AND(S869&gt;=m_From,S869&lt;=m_To)),1,0)</f>
        <v/>
      </c>
      <c r="X869" s="36">
        <f>IF(AND(OR(sel_Region="All",C869=sel_Region),OR(sel_Country="All",D869=sel_Country),OR(sel_Channel="All",E869=sel_Channel),OR(sel_Category="All",G869=sel_Category),OR(sel_Product="All",H869=sel_Product),AND(S869&gt;=m_From,S869&lt;=m_To)),1,0)</f>
        <v/>
      </c>
      <c r="Y869" s="36">
        <f>IF(AND(OR(sel_Region="All",C869=sel_Region),OR(sel_Country="All",D869=sel_Country),OR(sel_Channel="All",E869=sel_Channel),OR(sel_Customer="All",F869=sel_Customer),OR(sel_Product="All",H869=sel_Product),AND(S869&gt;=m_From,S869&lt;=m_To)),1,0)</f>
        <v/>
      </c>
      <c r="Z869" s="36">
        <f>IF(AND(OR(sel_Region="All",C869=sel_Region),OR(sel_Country="All",D869=sel_Country),OR(sel_Channel="All",E869=sel_Channel),OR(sel_Customer="All",F869=sel_Customer),OR(sel_Category="All",G869=sel_Category),AND(S869&gt;=m_From,S869&lt;=m_To)),1,0)</f>
        <v/>
      </c>
      <c r="AA869" s="36">
        <f>IF(AND(OR(sel_Region="All",C869=sel_Region),OR(sel_Country="All",D869=sel_Country),OR(sel_Channel="All",E869=sel_Channel),OR(sel_Customer="All",F869=sel_Customer),OR(sel_Category="All",G869=sel_Category),OR(sel_Product="All",H869=sel_Product)),1,0)</f>
        <v/>
      </c>
    </row>
    <row r="870">
      <c r="A870" s="36" t="inlineStr">
        <is>
          <t>03411</t>
        </is>
      </c>
      <c r="B870" s="44" t="n">
        <v>46162</v>
      </c>
      <c r="C870" s="36" t="inlineStr">
        <is>
          <t>Central Europe</t>
        </is>
      </c>
      <c r="D870" s="36" t="inlineStr">
        <is>
          <t>Switzerland</t>
        </is>
      </c>
      <c r="E870" s="36" t="inlineStr">
        <is>
          <t>Online Store</t>
        </is>
      </c>
      <c r="F870" s="36" t="inlineStr">
        <is>
          <t>Returning</t>
        </is>
      </c>
      <c r="G870" s="36" t="inlineStr">
        <is>
          <t>Hiking</t>
        </is>
      </c>
      <c r="H870" s="36" t="inlineStr">
        <is>
          <t>Summit Backpack 45L</t>
        </is>
      </c>
      <c r="I870" s="36" t="n">
        <v>2</v>
      </c>
      <c r="J870" s="39" t="n">
        <v>151.35</v>
      </c>
      <c r="K870" s="45" t="n">
        <v>0.05</v>
      </c>
      <c r="L870" s="39" t="n">
        <v>77.15000000000001</v>
      </c>
      <c r="M870" s="39">
        <f>I870*J870*(1-K870)</f>
        <v/>
      </c>
      <c r="N870" s="39">
        <f>I870*L870</f>
        <v/>
      </c>
      <c r="O870" s="39">
        <f>M870-N870</f>
        <v/>
      </c>
      <c r="P870" s="38">
        <f>IF(M870=0,0,O870/M870)</f>
        <v/>
      </c>
      <c r="Q870" s="36">
        <f>YEAR(B870)</f>
        <v/>
      </c>
      <c r="R870" s="36">
        <f>"Q"&amp;ROUNDUP(MONTH(B870)/3,0)</f>
        <v/>
      </c>
      <c r="S870" s="36">
        <f>MONTH(B870)</f>
        <v/>
      </c>
      <c r="T870" s="36">
        <f>TEXT(B870,"mmm")</f>
        <v/>
      </c>
      <c r="U870" s="36">
        <f>IF(AND(OR(sel_Region="All",C870=sel_Region),OR(sel_Country="All",D870=sel_Country),OR(sel_Channel="All",E870=sel_Channel),OR(sel_Customer="All",F870=sel_Customer),OR(sel_Category="All",G870=sel_Category),OR(sel_Product="All",H870=sel_Product),AND(S870&gt;=m_From,S870&lt;=m_To)),1,0)</f>
        <v/>
      </c>
      <c r="V870" s="36">
        <f>IF(AND(OR(sel_Region="All",C870=sel_Region),OR(sel_Channel="All",E870=sel_Channel),OR(sel_Customer="All",F870=sel_Customer),OR(sel_Category="All",G870=sel_Category),OR(sel_Product="All",H870=sel_Product),AND(S870&gt;=m_From,S870&lt;=m_To)),1,0)</f>
        <v/>
      </c>
      <c r="W870" s="36">
        <f>IF(AND(OR(sel_Region="All",C870=sel_Region),OR(sel_Country="All",D870=sel_Country),OR(sel_Customer="All",F870=sel_Customer),OR(sel_Category="All",G870=sel_Category),OR(sel_Product="All",H870=sel_Product),AND(S870&gt;=m_From,S870&lt;=m_To)),1,0)</f>
        <v/>
      </c>
      <c r="X870" s="36">
        <f>IF(AND(OR(sel_Region="All",C870=sel_Region),OR(sel_Country="All",D870=sel_Country),OR(sel_Channel="All",E870=sel_Channel),OR(sel_Category="All",G870=sel_Category),OR(sel_Product="All",H870=sel_Product),AND(S870&gt;=m_From,S870&lt;=m_To)),1,0)</f>
        <v/>
      </c>
      <c r="Y870" s="36">
        <f>IF(AND(OR(sel_Region="All",C870=sel_Region),OR(sel_Country="All",D870=sel_Country),OR(sel_Channel="All",E870=sel_Channel),OR(sel_Customer="All",F870=sel_Customer),OR(sel_Product="All",H870=sel_Product),AND(S870&gt;=m_From,S870&lt;=m_To)),1,0)</f>
        <v/>
      </c>
      <c r="Z870" s="36">
        <f>IF(AND(OR(sel_Region="All",C870=sel_Region),OR(sel_Country="All",D870=sel_Country),OR(sel_Channel="All",E870=sel_Channel),OR(sel_Customer="All",F870=sel_Customer),OR(sel_Category="All",G870=sel_Category),AND(S870&gt;=m_From,S870&lt;=m_To)),1,0)</f>
        <v/>
      </c>
      <c r="AA870" s="36">
        <f>IF(AND(OR(sel_Region="All",C870=sel_Region),OR(sel_Country="All",D870=sel_Country),OR(sel_Channel="All",E870=sel_Channel),OR(sel_Customer="All",F870=sel_Customer),OR(sel_Category="All",G870=sel_Category),OR(sel_Product="All",H870=sel_Product)),1,0)</f>
        <v/>
      </c>
    </row>
    <row r="871">
      <c r="A871" s="36" t="inlineStr">
        <is>
          <t>03841</t>
        </is>
      </c>
      <c r="B871" s="44" t="n">
        <v>46162</v>
      </c>
      <c r="C871" s="36" t="inlineStr">
        <is>
          <t>Southern Europe</t>
        </is>
      </c>
      <c r="D871" s="36" t="inlineStr">
        <is>
          <t>Italy</t>
        </is>
      </c>
      <c r="E871" s="36" t="inlineStr">
        <is>
          <t>Retail Partners</t>
        </is>
      </c>
      <c r="F871" s="36" t="inlineStr">
        <is>
          <t>New</t>
        </is>
      </c>
      <c r="G871" s="36" t="inlineStr">
        <is>
          <t>Cycling</t>
        </is>
      </c>
      <c r="H871" s="36" t="inlineStr">
        <is>
          <t>Trail Bike Light</t>
        </is>
      </c>
      <c r="I871" s="36" t="n">
        <v>2</v>
      </c>
      <c r="J871" s="39" t="n">
        <v>50.09</v>
      </c>
      <c r="K871" s="45" t="n">
        <v>0.05</v>
      </c>
      <c r="L871" s="39" t="n">
        <v>23.16</v>
      </c>
      <c r="M871" s="39">
        <f>I871*J871*(1-K871)</f>
        <v/>
      </c>
      <c r="N871" s="39">
        <f>I871*L871</f>
        <v/>
      </c>
      <c r="O871" s="39">
        <f>M871-N871</f>
        <v/>
      </c>
      <c r="P871" s="38">
        <f>IF(M871=0,0,O871/M871)</f>
        <v/>
      </c>
      <c r="Q871" s="36">
        <f>YEAR(B871)</f>
        <v/>
      </c>
      <c r="R871" s="36">
        <f>"Q"&amp;ROUNDUP(MONTH(B871)/3,0)</f>
        <v/>
      </c>
      <c r="S871" s="36">
        <f>MONTH(B871)</f>
        <v/>
      </c>
      <c r="T871" s="36">
        <f>TEXT(B871,"mmm")</f>
        <v/>
      </c>
      <c r="U871" s="36">
        <f>IF(AND(OR(sel_Region="All",C871=sel_Region),OR(sel_Country="All",D871=sel_Country),OR(sel_Channel="All",E871=sel_Channel),OR(sel_Customer="All",F871=sel_Customer),OR(sel_Category="All",G871=sel_Category),OR(sel_Product="All",H871=sel_Product),AND(S871&gt;=m_From,S871&lt;=m_To)),1,0)</f>
        <v/>
      </c>
      <c r="V871" s="36">
        <f>IF(AND(OR(sel_Region="All",C871=sel_Region),OR(sel_Channel="All",E871=sel_Channel),OR(sel_Customer="All",F871=sel_Customer),OR(sel_Category="All",G871=sel_Category),OR(sel_Product="All",H871=sel_Product),AND(S871&gt;=m_From,S871&lt;=m_To)),1,0)</f>
        <v/>
      </c>
      <c r="W871" s="36">
        <f>IF(AND(OR(sel_Region="All",C871=sel_Region),OR(sel_Country="All",D871=sel_Country),OR(sel_Customer="All",F871=sel_Customer),OR(sel_Category="All",G871=sel_Category),OR(sel_Product="All",H871=sel_Product),AND(S871&gt;=m_From,S871&lt;=m_To)),1,0)</f>
        <v/>
      </c>
      <c r="X871" s="36">
        <f>IF(AND(OR(sel_Region="All",C871=sel_Region),OR(sel_Country="All",D871=sel_Country),OR(sel_Channel="All",E871=sel_Channel),OR(sel_Category="All",G871=sel_Category),OR(sel_Product="All",H871=sel_Product),AND(S871&gt;=m_From,S871&lt;=m_To)),1,0)</f>
        <v/>
      </c>
      <c r="Y871" s="36">
        <f>IF(AND(OR(sel_Region="All",C871=sel_Region),OR(sel_Country="All",D871=sel_Country),OR(sel_Channel="All",E871=sel_Channel),OR(sel_Customer="All",F871=sel_Customer),OR(sel_Product="All",H871=sel_Product),AND(S871&gt;=m_From,S871&lt;=m_To)),1,0)</f>
        <v/>
      </c>
      <c r="Z871" s="36">
        <f>IF(AND(OR(sel_Region="All",C871=sel_Region),OR(sel_Country="All",D871=sel_Country),OR(sel_Channel="All",E871=sel_Channel),OR(sel_Customer="All",F871=sel_Customer),OR(sel_Category="All",G871=sel_Category),AND(S871&gt;=m_From,S871&lt;=m_To)),1,0)</f>
        <v/>
      </c>
      <c r="AA871" s="36">
        <f>IF(AND(OR(sel_Region="All",C871=sel_Region),OR(sel_Country="All",D871=sel_Country),OR(sel_Channel="All",E871=sel_Channel),OR(sel_Customer="All",F871=sel_Customer),OR(sel_Category="All",G871=sel_Category),OR(sel_Product="All",H871=sel_Product)),1,0)</f>
        <v/>
      </c>
    </row>
    <row r="872">
      <c r="A872" s="36" t="inlineStr">
        <is>
          <t>05121</t>
        </is>
      </c>
      <c r="B872" s="44" t="n">
        <v>46162</v>
      </c>
      <c r="C872" s="36" t="inlineStr">
        <is>
          <t>Southern Europe</t>
        </is>
      </c>
      <c r="D872" s="36" t="inlineStr">
        <is>
          <t>Portugal</t>
        </is>
      </c>
      <c r="E872" s="36" t="inlineStr">
        <is>
          <t>Online Store</t>
        </is>
      </c>
      <c r="F872" s="36" t="inlineStr">
        <is>
          <t>New</t>
        </is>
      </c>
      <c r="G872" s="36" t="inlineStr">
        <is>
          <t>Fitness</t>
        </is>
      </c>
      <c r="H872" s="36" t="inlineStr">
        <is>
          <t>Weighted Vest</t>
        </is>
      </c>
      <c r="I872" s="36" t="n">
        <v>2</v>
      </c>
      <c r="J872" s="39" t="n">
        <v>121.96</v>
      </c>
      <c r="K872" s="45" t="n">
        <v>0.05</v>
      </c>
      <c r="L872" s="39" t="n">
        <v>71.2</v>
      </c>
      <c r="M872" s="39">
        <f>I872*J872*(1-K872)</f>
        <v/>
      </c>
      <c r="N872" s="39">
        <f>I872*L872</f>
        <v/>
      </c>
      <c r="O872" s="39">
        <f>M872-N872</f>
        <v/>
      </c>
      <c r="P872" s="38">
        <f>IF(M872=0,0,O872/M872)</f>
        <v/>
      </c>
      <c r="Q872" s="36">
        <f>YEAR(B872)</f>
        <v/>
      </c>
      <c r="R872" s="36">
        <f>"Q"&amp;ROUNDUP(MONTH(B872)/3,0)</f>
        <v/>
      </c>
      <c r="S872" s="36">
        <f>MONTH(B872)</f>
        <v/>
      </c>
      <c r="T872" s="36">
        <f>TEXT(B872,"mmm")</f>
        <v/>
      </c>
      <c r="U872" s="36">
        <f>IF(AND(OR(sel_Region="All",C872=sel_Region),OR(sel_Country="All",D872=sel_Country),OR(sel_Channel="All",E872=sel_Channel),OR(sel_Customer="All",F872=sel_Customer),OR(sel_Category="All",G872=sel_Category),OR(sel_Product="All",H872=sel_Product),AND(S872&gt;=m_From,S872&lt;=m_To)),1,0)</f>
        <v/>
      </c>
      <c r="V872" s="36">
        <f>IF(AND(OR(sel_Region="All",C872=sel_Region),OR(sel_Channel="All",E872=sel_Channel),OR(sel_Customer="All",F872=sel_Customer),OR(sel_Category="All",G872=sel_Category),OR(sel_Product="All",H872=sel_Product),AND(S872&gt;=m_From,S872&lt;=m_To)),1,0)</f>
        <v/>
      </c>
      <c r="W872" s="36">
        <f>IF(AND(OR(sel_Region="All",C872=sel_Region),OR(sel_Country="All",D872=sel_Country),OR(sel_Customer="All",F872=sel_Customer),OR(sel_Category="All",G872=sel_Category),OR(sel_Product="All",H872=sel_Product),AND(S872&gt;=m_From,S872&lt;=m_To)),1,0)</f>
        <v/>
      </c>
      <c r="X872" s="36">
        <f>IF(AND(OR(sel_Region="All",C872=sel_Region),OR(sel_Country="All",D872=sel_Country),OR(sel_Channel="All",E872=sel_Channel),OR(sel_Category="All",G872=sel_Category),OR(sel_Product="All",H872=sel_Product),AND(S872&gt;=m_From,S872&lt;=m_To)),1,0)</f>
        <v/>
      </c>
      <c r="Y872" s="36">
        <f>IF(AND(OR(sel_Region="All",C872=sel_Region),OR(sel_Country="All",D872=sel_Country),OR(sel_Channel="All",E872=sel_Channel),OR(sel_Customer="All",F872=sel_Customer),OR(sel_Product="All",H872=sel_Product),AND(S872&gt;=m_From,S872&lt;=m_To)),1,0)</f>
        <v/>
      </c>
      <c r="Z872" s="36">
        <f>IF(AND(OR(sel_Region="All",C872=sel_Region),OR(sel_Country="All",D872=sel_Country),OR(sel_Channel="All",E872=sel_Channel),OR(sel_Customer="All",F872=sel_Customer),OR(sel_Category="All",G872=sel_Category),AND(S872&gt;=m_From,S872&lt;=m_To)),1,0)</f>
        <v/>
      </c>
      <c r="AA872" s="36">
        <f>IF(AND(OR(sel_Region="All",C872=sel_Region),OR(sel_Country="All",D872=sel_Country),OR(sel_Channel="All",E872=sel_Channel),OR(sel_Customer="All",F872=sel_Customer),OR(sel_Category="All",G872=sel_Category),OR(sel_Product="All",H872=sel_Product)),1,0)</f>
        <v/>
      </c>
    </row>
    <row r="873">
      <c r="A873" s="36" t="inlineStr">
        <is>
          <t>00053</t>
        </is>
      </c>
      <c r="B873" s="44" t="n">
        <v>46163</v>
      </c>
      <c r="C873" s="36" t="inlineStr">
        <is>
          <t>Western Europe</t>
        </is>
      </c>
      <c r="D873" s="36" t="inlineStr">
        <is>
          <t>France</t>
        </is>
      </c>
      <c r="E873" s="36" t="inlineStr">
        <is>
          <t>Online Store</t>
        </is>
      </c>
      <c r="F873" s="36" t="inlineStr">
        <is>
          <t>Business</t>
        </is>
      </c>
      <c r="G873" s="36" t="inlineStr">
        <is>
          <t>Travel</t>
        </is>
      </c>
      <c r="H873" s="36" t="inlineStr">
        <is>
          <t>Carry-On Duffel</t>
        </is>
      </c>
      <c r="I873" s="36" t="n">
        <v>1</v>
      </c>
      <c r="J873" s="39" t="n">
        <v>134.28</v>
      </c>
      <c r="K873" s="45" t="n">
        <v>0.05</v>
      </c>
      <c r="L873" s="39" t="n">
        <v>65.44</v>
      </c>
      <c r="M873" s="39">
        <f>I873*J873*(1-K873)</f>
        <v/>
      </c>
      <c r="N873" s="39">
        <f>I873*L873</f>
        <v/>
      </c>
      <c r="O873" s="39">
        <f>M873-N873</f>
        <v/>
      </c>
      <c r="P873" s="38">
        <f>IF(M873=0,0,O873/M873)</f>
        <v/>
      </c>
      <c r="Q873" s="36">
        <f>YEAR(B873)</f>
        <v/>
      </c>
      <c r="R873" s="36">
        <f>"Q"&amp;ROUNDUP(MONTH(B873)/3,0)</f>
        <v/>
      </c>
      <c r="S873" s="36">
        <f>MONTH(B873)</f>
        <v/>
      </c>
      <c r="T873" s="36">
        <f>TEXT(B873,"mmm")</f>
        <v/>
      </c>
      <c r="U873" s="36">
        <f>IF(AND(OR(sel_Region="All",C873=sel_Region),OR(sel_Country="All",D873=sel_Country),OR(sel_Channel="All",E873=sel_Channel),OR(sel_Customer="All",F873=sel_Customer),OR(sel_Category="All",G873=sel_Category),OR(sel_Product="All",H873=sel_Product),AND(S873&gt;=m_From,S873&lt;=m_To)),1,0)</f>
        <v/>
      </c>
      <c r="V873" s="36">
        <f>IF(AND(OR(sel_Region="All",C873=sel_Region),OR(sel_Channel="All",E873=sel_Channel),OR(sel_Customer="All",F873=sel_Customer),OR(sel_Category="All",G873=sel_Category),OR(sel_Product="All",H873=sel_Product),AND(S873&gt;=m_From,S873&lt;=m_To)),1,0)</f>
        <v/>
      </c>
      <c r="W873" s="36">
        <f>IF(AND(OR(sel_Region="All",C873=sel_Region),OR(sel_Country="All",D873=sel_Country),OR(sel_Customer="All",F873=sel_Customer),OR(sel_Category="All",G873=sel_Category),OR(sel_Product="All",H873=sel_Product),AND(S873&gt;=m_From,S873&lt;=m_To)),1,0)</f>
        <v/>
      </c>
      <c r="X873" s="36">
        <f>IF(AND(OR(sel_Region="All",C873=sel_Region),OR(sel_Country="All",D873=sel_Country),OR(sel_Channel="All",E873=sel_Channel),OR(sel_Category="All",G873=sel_Category),OR(sel_Product="All",H873=sel_Product),AND(S873&gt;=m_From,S873&lt;=m_To)),1,0)</f>
        <v/>
      </c>
      <c r="Y873" s="36">
        <f>IF(AND(OR(sel_Region="All",C873=sel_Region),OR(sel_Country="All",D873=sel_Country),OR(sel_Channel="All",E873=sel_Channel),OR(sel_Customer="All",F873=sel_Customer),OR(sel_Product="All",H873=sel_Product),AND(S873&gt;=m_From,S873&lt;=m_To)),1,0)</f>
        <v/>
      </c>
      <c r="Z873" s="36">
        <f>IF(AND(OR(sel_Region="All",C873=sel_Region),OR(sel_Country="All",D873=sel_Country),OR(sel_Channel="All",E873=sel_Channel),OR(sel_Customer="All",F873=sel_Customer),OR(sel_Category="All",G873=sel_Category),AND(S873&gt;=m_From,S873&lt;=m_To)),1,0)</f>
        <v/>
      </c>
      <c r="AA873" s="36">
        <f>IF(AND(OR(sel_Region="All",C873=sel_Region),OR(sel_Country="All",D873=sel_Country),OR(sel_Channel="All",E873=sel_Channel),OR(sel_Customer="All",F873=sel_Customer),OR(sel_Category="All",G873=sel_Category),OR(sel_Product="All",H873=sel_Product)),1,0)</f>
        <v/>
      </c>
    </row>
    <row r="874">
      <c r="A874" s="36" t="inlineStr">
        <is>
          <t>00127</t>
        </is>
      </c>
      <c r="B874" s="44" t="n">
        <v>46163</v>
      </c>
      <c r="C874" s="36" t="inlineStr">
        <is>
          <t>Western Europe</t>
        </is>
      </c>
      <c r="D874" s="36" t="inlineStr">
        <is>
          <t>Netherlands</t>
        </is>
      </c>
      <c r="E874" s="36" t="inlineStr">
        <is>
          <t>Online Store</t>
        </is>
      </c>
      <c r="F874" s="36" t="inlineStr">
        <is>
          <t>Business</t>
        </is>
      </c>
      <c r="G874" s="36" t="inlineStr">
        <is>
          <t>Cycling</t>
        </is>
      </c>
      <c r="H874" s="36" t="inlineStr">
        <is>
          <t>Cycling Pack 12L</t>
        </is>
      </c>
      <c r="I874" s="36" t="n">
        <v>3</v>
      </c>
      <c r="J874" s="39" t="n">
        <v>100.48</v>
      </c>
      <c r="K874" s="45" t="n">
        <v>0.05</v>
      </c>
      <c r="L874" s="39" t="n">
        <v>50.68</v>
      </c>
      <c r="M874" s="39">
        <f>I874*J874*(1-K874)</f>
        <v/>
      </c>
      <c r="N874" s="39">
        <f>I874*L874</f>
        <v/>
      </c>
      <c r="O874" s="39">
        <f>M874-N874</f>
        <v/>
      </c>
      <c r="P874" s="38">
        <f>IF(M874=0,0,O874/M874)</f>
        <v/>
      </c>
      <c r="Q874" s="36">
        <f>YEAR(B874)</f>
        <v/>
      </c>
      <c r="R874" s="36">
        <f>"Q"&amp;ROUNDUP(MONTH(B874)/3,0)</f>
        <v/>
      </c>
      <c r="S874" s="36">
        <f>MONTH(B874)</f>
        <v/>
      </c>
      <c r="T874" s="36">
        <f>TEXT(B874,"mmm")</f>
        <v/>
      </c>
      <c r="U874" s="36">
        <f>IF(AND(OR(sel_Region="All",C874=sel_Region),OR(sel_Country="All",D874=sel_Country),OR(sel_Channel="All",E874=sel_Channel),OR(sel_Customer="All",F874=sel_Customer),OR(sel_Category="All",G874=sel_Category),OR(sel_Product="All",H874=sel_Product),AND(S874&gt;=m_From,S874&lt;=m_To)),1,0)</f>
        <v/>
      </c>
      <c r="V874" s="36">
        <f>IF(AND(OR(sel_Region="All",C874=sel_Region),OR(sel_Channel="All",E874=sel_Channel),OR(sel_Customer="All",F874=sel_Customer),OR(sel_Category="All",G874=sel_Category),OR(sel_Product="All",H874=sel_Product),AND(S874&gt;=m_From,S874&lt;=m_To)),1,0)</f>
        <v/>
      </c>
      <c r="W874" s="36">
        <f>IF(AND(OR(sel_Region="All",C874=sel_Region),OR(sel_Country="All",D874=sel_Country),OR(sel_Customer="All",F874=sel_Customer),OR(sel_Category="All",G874=sel_Category),OR(sel_Product="All",H874=sel_Product),AND(S874&gt;=m_From,S874&lt;=m_To)),1,0)</f>
        <v/>
      </c>
      <c r="X874" s="36">
        <f>IF(AND(OR(sel_Region="All",C874=sel_Region),OR(sel_Country="All",D874=sel_Country),OR(sel_Channel="All",E874=sel_Channel),OR(sel_Category="All",G874=sel_Category),OR(sel_Product="All",H874=sel_Product),AND(S874&gt;=m_From,S874&lt;=m_To)),1,0)</f>
        <v/>
      </c>
      <c r="Y874" s="36">
        <f>IF(AND(OR(sel_Region="All",C874=sel_Region),OR(sel_Country="All",D874=sel_Country),OR(sel_Channel="All",E874=sel_Channel),OR(sel_Customer="All",F874=sel_Customer),OR(sel_Product="All",H874=sel_Product),AND(S874&gt;=m_From,S874&lt;=m_To)),1,0)</f>
        <v/>
      </c>
      <c r="Z874" s="36">
        <f>IF(AND(OR(sel_Region="All",C874=sel_Region),OR(sel_Country="All",D874=sel_Country),OR(sel_Channel="All",E874=sel_Channel),OR(sel_Customer="All",F874=sel_Customer),OR(sel_Category="All",G874=sel_Category),AND(S874&gt;=m_From,S874&lt;=m_To)),1,0)</f>
        <v/>
      </c>
      <c r="AA874" s="36">
        <f>IF(AND(OR(sel_Region="All",C874=sel_Region),OR(sel_Country="All",D874=sel_Country),OR(sel_Channel="All",E874=sel_Channel),OR(sel_Customer="All",F874=sel_Customer),OR(sel_Category="All",G874=sel_Category),OR(sel_Product="All",H874=sel_Product)),1,0)</f>
        <v/>
      </c>
    </row>
    <row r="875">
      <c r="A875" s="36" t="inlineStr">
        <is>
          <t>01092</t>
        </is>
      </c>
      <c r="B875" s="44" t="n">
        <v>46163</v>
      </c>
      <c r="C875" s="36" t="inlineStr">
        <is>
          <t>Western Europe</t>
        </is>
      </c>
      <c r="D875" s="36" t="inlineStr">
        <is>
          <t>United Kingdom</t>
        </is>
      </c>
      <c r="E875" s="36" t="inlineStr">
        <is>
          <t>Online Store</t>
        </is>
      </c>
      <c r="F875" s="36" t="inlineStr">
        <is>
          <t>New</t>
        </is>
      </c>
      <c r="G875" s="36" t="inlineStr">
        <is>
          <t>Fitness</t>
        </is>
      </c>
      <c r="H875" s="36" t="inlineStr">
        <is>
          <t>Recovery Roller</t>
        </is>
      </c>
      <c r="I875" s="36" t="n">
        <v>3</v>
      </c>
      <c r="J875" s="39" t="n">
        <v>36.23</v>
      </c>
      <c r="K875" s="45" t="n">
        <v>0</v>
      </c>
      <c r="L875" s="39" t="n">
        <v>13.55</v>
      </c>
      <c r="M875" s="39">
        <f>I875*J875*(1-K875)</f>
        <v/>
      </c>
      <c r="N875" s="39">
        <f>I875*L875</f>
        <v/>
      </c>
      <c r="O875" s="39">
        <f>M875-N875</f>
        <v/>
      </c>
      <c r="P875" s="38">
        <f>IF(M875=0,0,O875/M875)</f>
        <v/>
      </c>
      <c r="Q875" s="36">
        <f>YEAR(B875)</f>
        <v/>
      </c>
      <c r="R875" s="36">
        <f>"Q"&amp;ROUNDUP(MONTH(B875)/3,0)</f>
        <v/>
      </c>
      <c r="S875" s="36">
        <f>MONTH(B875)</f>
        <v/>
      </c>
      <c r="T875" s="36">
        <f>TEXT(B875,"mmm")</f>
        <v/>
      </c>
      <c r="U875" s="36">
        <f>IF(AND(OR(sel_Region="All",C875=sel_Region),OR(sel_Country="All",D875=sel_Country),OR(sel_Channel="All",E875=sel_Channel),OR(sel_Customer="All",F875=sel_Customer),OR(sel_Category="All",G875=sel_Category),OR(sel_Product="All",H875=sel_Product),AND(S875&gt;=m_From,S875&lt;=m_To)),1,0)</f>
        <v/>
      </c>
      <c r="V875" s="36">
        <f>IF(AND(OR(sel_Region="All",C875=sel_Region),OR(sel_Channel="All",E875=sel_Channel),OR(sel_Customer="All",F875=sel_Customer),OR(sel_Category="All",G875=sel_Category),OR(sel_Product="All",H875=sel_Product),AND(S875&gt;=m_From,S875&lt;=m_To)),1,0)</f>
        <v/>
      </c>
      <c r="W875" s="36">
        <f>IF(AND(OR(sel_Region="All",C875=sel_Region),OR(sel_Country="All",D875=sel_Country),OR(sel_Customer="All",F875=sel_Customer),OR(sel_Category="All",G875=sel_Category),OR(sel_Product="All",H875=sel_Product),AND(S875&gt;=m_From,S875&lt;=m_To)),1,0)</f>
        <v/>
      </c>
      <c r="X875" s="36">
        <f>IF(AND(OR(sel_Region="All",C875=sel_Region),OR(sel_Country="All",D875=sel_Country),OR(sel_Channel="All",E875=sel_Channel),OR(sel_Category="All",G875=sel_Category),OR(sel_Product="All",H875=sel_Product),AND(S875&gt;=m_From,S875&lt;=m_To)),1,0)</f>
        <v/>
      </c>
      <c r="Y875" s="36">
        <f>IF(AND(OR(sel_Region="All",C875=sel_Region),OR(sel_Country="All",D875=sel_Country),OR(sel_Channel="All",E875=sel_Channel),OR(sel_Customer="All",F875=sel_Customer),OR(sel_Product="All",H875=sel_Product),AND(S875&gt;=m_From,S875&lt;=m_To)),1,0)</f>
        <v/>
      </c>
      <c r="Z875" s="36">
        <f>IF(AND(OR(sel_Region="All",C875=sel_Region),OR(sel_Country="All",D875=sel_Country),OR(sel_Channel="All",E875=sel_Channel),OR(sel_Customer="All",F875=sel_Customer),OR(sel_Category="All",G875=sel_Category),AND(S875&gt;=m_From,S875&lt;=m_To)),1,0)</f>
        <v/>
      </c>
      <c r="AA875" s="36">
        <f>IF(AND(OR(sel_Region="All",C875=sel_Region),OR(sel_Country="All",D875=sel_Country),OR(sel_Channel="All",E875=sel_Channel),OR(sel_Customer="All",F875=sel_Customer),OR(sel_Category="All",G875=sel_Category),OR(sel_Product="All",H875=sel_Product)),1,0)</f>
        <v/>
      </c>
    </row>
    <row r="876">
      <c r="A876" s="36" t="inlineStr">
        <is>
          <t>01213</t>
        </is>
      </c>
      <c r="B876" s="44" t="n">
        <v>46163</v>
      </c>
      <c r="C876" s="36" t="inlineStr">
        <is>
          <t>Northern Europe</t>
        </is>
      </c>
      <c r="D876" s="36" t="inlineStr">
        <is>
          <t>Sweden</t>
        </is>
      </c>
      <c r="E876" s="36" t="inlineStr">
        <is>
          <t>Marketplace</t>
        </is>
      </c>
      <c r="F876" s="36" t="inlineStr">
        <is>
          <t>Returning</t>
        </is>
      </c>
      <c r="G876" s="36" t="inlineStr">
        <is>
          <t>Camping</t>
        </is>
      </c>
      <c r="H876" s="36" t="inlineStr">
        <is>
          <t>Compact Sleeping Bag</t>
        </is>
      </c>
      <c r="I876" s="36" t="n">
        <v>3</v>
      </c>
      <c r="J876" s="39" t="n">
        <v>120.61</v>
      </c>
      <c r="K876" s="45" t="n">
        <v>0</v>
      </c>
      <c r="L876" s="39" t="n">
        <v>60.17</v>
      </c>
      <c r="M876" s="39">
        <f>I876*J876*(1-K876)</f>
        <v/>
      </c>
      <c r="N876" s="39">
        <f>I876*L876</f>
        <v/>
      </c>
      <c r="O876" s="39">
        <f>M876-N876</f>
        <v/>
      </c>
      <c r="P876" s="38">
        <f>IF(M876=0,0,O876/M876)</f>
        <v/>
      </c>
      <c r="Q876" s="36">
        <f>YEAR(B876)</f>
        <v/>
      </c>
      <c r="R876" s="36">
        <f>"Q"&amp;ROUNDUP(MONTH(B876)/3,0)</f>
        <v/>
      </c>
      <c r="S876" s="36">
        <f>MONTH(B876)</f>
        <v/>
      </c>
      <c r="T876" s="36">
        <f>TEXT(B876,"mmm")</f>
        <v/>
      </c>
      <c r="U876" s="36">
        <f>IF(AND(OR(sel_Region="All",C876=sel_Region),OR(sel_Country="All",D876=sel_Country),OR(sel_Channel="All",E876=sel_Channel),OR(sel_Customer="All",F876=sel_Customer),OR(sel_Category="All",G876=sel_Category),OR(sel_Product="All",H876=sel_Product),AND(S876&gt;=m_From,S876&lt;=m_To)),1,0)</f>
        <v/>
      </c>
      <c r="V876" s="36">
        <f>IF(AND(OR(sel_Region="All",C876=sel_Region),OR(sel_Channel="All",E876=sel_Channel),OR(sel_Customer="All",F876=sel_Customer),OR(sel_Category="All",G876=sel_Category),OR(sel_Product="All",H876=sel_Product),AND(S876&gt;=m_From,S876&lt;=m_To)),1,0)</f>
        <v/>
      </c>
      <c r="W876" s="36">
        <f>IF(AND(OR(sel_Region="All",C876=sel_Region),OR(sel_Country="All",D876=sel_Country),OR(sel_Customer="All",F876=sel_Customer),OR(sel_Category="All",G876=sel_Category),OR(sel_Product="All",H876=sel_Product),AND(S876&gt;=m_From,S876&lt;=m_To)),1,0)</f>
        <v/>
      </c>
      <c r="X876" s="36">
        <f>IF(AND(OR(sel_Region="All",C876=sel_Region),OR(sel_Country="All",D876=sel_Country),OR(sel_Channel="All",E876=sel_Channel),OR(sel_Category="All",G876=sel_Category),OR(sel_Product="All",H876=sel_Product),AND(S876&gt;=m_From,S876&lt;=m_To)),1,0)</f>
        <v/>
      </c>
      <c r="Y876" s="36">
        <f>IF(AND(OR(sel_Region="All",C876=sel_Region),OR(sel_Country="All",D876=sel_Country),OR(sel_Channel="All",E876=sel_Channel),OR(sel_Customer="All",F876=sel_Customer),OR(sel_Product="All",H876=sel_Product),AND(S876&gt;=m_From,S876&lt;=m_To)),1,0)</f>
        <v/>
      </c>
      <c r="Z876" s="36">
        <f>IF(AND(OR(sel_Region="All",C876=sel_Region),OR(sel_Country="All",D876=sel_Country),OR(sel_Channel="All",E876=sel_Channel),OR(sel_Customer="All",F876=sel_Customer),OR(sel_Category="All",G876=sel_Category),AND(S876&gt;=m_From,S876&lt;=m_To)),1,0)</f>
        <v/>
      </c>
      <c r="AA876" s="36">
        <f>IF(AND(OR(sel_Region="All",C876=sel_Region),OR(sel_Country="All",D876=sel_Country),OR(sel_Channel="All",E876=sel_Channel),OR(sel_Customer="All",F876=sel_Customer),OR(sel_Category="All",G876=sel_Category),OR(sel_Product="All",H876=sel_Product)),1,0)</f>
        <v/>
      </c>
    </row>
    <row r="877">
      <c r="A877" s="36" t="inlineStr">
        <is>
          <t>01849</t>
        </is>
      </c>
      <c r="B877" s="44" t="n">
        <v>46163</v>
      </c>
      <c r="C877" s="36" t="inlineStr">
        <is>
          <t>Northern Europe</t>
        </is>
      </c>
      <c r="D877" s="36" t="inlineStr">
        <is>
          <t>Denmark</t>
        </is>
      </c>
      <c r="E877" s="36" t="inlineStr">
        <is>
          <t>Marketplace</t>
        </is>
      </c>
      <c r="F877" s="36" t="inlineStr">
        <is>
          <t>Returning</t>
        </is>
      </c>
      <c r="G877" s="36" t="inlineStr">
        <is>
          <t>Travel</t>
        </is>
      </c>
      <c r="H877" s="36" t="inlineStr">
        <is>
          <t>Packing Cube Set</t>
        </is>
      </c>
      <c r="I877" s="36" t="n">
        <v>3</v>
      </c>
      <c r="J877" s="39" t="n">
        <v>46.46</v>
      </c>
      <c r="K877" s="45" t="n">
        <v>0</v>
      </c>
      <c r="L877" s="39" t="n">
        <v>18.71</v>
      </c>
      <c r="M877" s="39">
        <f>I877*J877*(1-K877)</f>
        <v/>
      </c>
      <c r="N877" s="39">
        <f>I877*L877</f>
        <v/>
      </c>
      <c r="O877" s="39">
        <f>M877-N877</f>
        <v/>
      </c>
      <c r="P877" s="38">
        <f>IF(M877=0,0,O877/M877)</f>
        <v/>
      </c>
      <c r="Q877" s="36">
        <f>YEAR(B877)</f>
        <v/>
      </c>
      <c r="R877" s="36">
        <f>"Q"&amp;ROUNDUP(MONTH(B877)/3,0)</f>
        <v/>
      </c>
      <c r="S877" s="36">
        <f>MONTH(B877)</f>
        <v/>
      </c>
      <c r="T877" s="36">
        <f>TEXT(B877,"mmm")</f>
        <v/>
      </c>
      <c r="U877" s="36">
        <f>IF(AND(OR(sel_Region="All",C877=sel_Region),OR(sel_Country="All",D877=sel_Country),OR(sel_Channel="All",E877=sel_Channel),OR(sel_Customer="All",F877=sel_Customer),OR(sel_Category="All",G877=sel_Category),OR(sel_Product="All",H877=sel_Product),AND(S877&gt;=m_From,S877&lt;=m_To)),1,0)</f>
        <v/>
      </c>
      <c r="V877" s="36">
        <f>IF(AND(OR(sel_Region="All",C877=sel_Region),OR(sel_Channel="All",E877=sel_Channel),OR(sel_Customer="All",F877=sel_Customer),OR(sel_Category="All",G877=sel_Category),OR(sel_Product="All",H877=sel_Product),AND(S877&gt;=m_From,S877&lt;=m_To)),1,0)</f>
        <v/>
      </c>
      <c r="W877" s="36">
        <f>IF(AND(OR(sel_Region="All",C877=sel_Region),OR(sel_Country="All",D877=sel_Country),OR(sel_Customer="All",F877=sel_Customer),OR(sel_Category="All",G877=sel_Category),OR(sel_Product="All",H877=sel_Product),AND(S877&gt;=m_From,S877&lt;=m_To)),1,0)</f>
        <v/>
      </c>
      <c r="X877" s="36">
        <f>IF(AND(OR(sel_Region="All",C877=sel_Region),OR(sel_Country="All",D877=sel_Country),OR(sel_Channel="All",E877=sel_Channel),OR(sel_Category="All",G877=sel_Category),OR(sel_Product="All",H877=sel_Product),AND(S877&gt;=m_From,S877&lt;=m_To)),1,0)</f>
        <v/>
      </c>
      <c r="Y877" s="36">
        <f>IF(AND(OR(sel_Region="All",C877=sel_Region),OR(sel_Country="All",D877=sel_Country),OR(sel_Channel="All",E877=sel_Channel),OR(sel_Customer="All",F877=sel_Customer),OR(sel_Product="All",H877=sel_Product),AND(S877&gt;=m_From,S877&lt;=m_To)),1,0)</f>
        <v/>
      </c>
      <c r="Z877" s="36">
        <f>IF(AND(OR(sel_Region="All",C877=sel_Region),OR(sel_Country="All",D877=sel_Country),OR(sel_Channel="All",E877=sel_Channel),OR(sel_Customer="All",F877=sel_Customer),OR(sel_Category="All",G877=sel_Category),AND(S877&gt;=m_From,S877&lt;=m_To)),1,0)</f>
        <v/>
      </c>
      <c r="AA877" s="36">
        <f>IF(AND(OR(sel_Region="All",C877=sel_Region),OR(sel_Country="All",D877=sel_Country),OR(sel_Channel="All",E877=sel_Channel),OR(sel_Customer="All",F877=sel_Customer),OR(sel_Category="All",G877=sel_Category),OR(sel_Product="All",H877=sel_Product)),1,0)</f>
        <v/>
      </c>
    </row>
    <row r="878">
      <c r="A878" s="36" t="inlineStr">
        <is>
          <t>02395</t>
        </is>
      </c>
      <c r="B878" s="44" t="n">
        <v>46163</v>
      </c>
      <c r="C878" s="36" t="inlineStr">
        <is>
          <t>Central Europe</t>
        </is>
      </c>
      <c r="D878" s="36" t="inlineStr">
        <is>
          <t>Germany</t>
        </is>
      </c>
      <c r="E878" s="36" t="inlineStr">
        <is>
          <t>Online Store</t>
        </is>
      </c>
      <c r="F878" s="36" t="inlineStr">
        <is>
          <t>Business</t>
        </is>
      </c>
      <c r="G878" s="36" t="inlineStr">
        <is>
          <t>Fitness</t>
        </is>
      </c>
      <c r="H878" s="36" t="inlineStr">
        <is>
          <t>Recovery Roller</t>
        </is>
      </c>
      <c r="I878" s="36" t="n">
        <v>1</v>
      </c>
      <c r="J878" s="39" t="n">
        <v>36.9</v>
      </c>
      <c r="K878" s="45" t="n">
        <v>0.05</v>
      </c>
      <c r="L878" s="39" t="n">
        <v>13.89</v>
      </c>
      <c r="M878" s="39">
        <f>I878*J878*(1-K878)</f>
        <v/>
      </c>
      <c r="N878" s="39">
        <f>I878*L878</f>
        <v/>
      </c>
      <c r="O878" s="39">
        <f>M878-N878</f>
        <v/>
      </c>
      <c r="P878" s="38">
        <f>IF(M878=0,0,O878/M878)</f>
        <v/>
      </c>
      <c r="Q878" s="36">
        <f>YEAR(B878)</f>
        <v/>
      </c>
      <c r="R878" s="36">
        <f>"Q"&amp;ROUNDUP(MONTH(B878)/3,0)</f>
        <v/>
      </c>
      <c r="S878" s="36">
        <f>MONTH(B878)</f>
        <v/>
      </c>
      <c r="T878" s="36">
        <f>TEXT(B878,"mmm")</f>
        <v/>
      </c>
      <c r="U878" s="36">
        <f>IF(AND(OR(sel_Region="All",C878=sel_Region),OR(sel_Country="All",D878=sel_Country),OR(sel_Channel="All",E878=sel_Channel),OR(sel_Customer="All",F878=sel_Customer),OR(sel_Category="All",G878=sel_Category),OR(sel_Product="All",H878=sel_Product),AND(S878&gt;=m_From,S878&lt;=m_To)),1,0)</f>
        <v/>
      </c>
      <c r="V878" s="36">
        <f>IF(AND(OR(sel_Region="All",C878=sel_Region),OR(sel_Channel="All",E878=sel_Channel),OR(sel_Customer="All",F878=sel_Customer),OR(sel_Category="All",G878=sel_Category),OR(sel_Product="All",H878=sel_Product),AND(S878&gt;=m_From,S878&lt;=m_To)),1,0)</f>
        <v/>
      </c>
      <c r="W878" s="36">
        <f>IF(AND(OR(sel_Region="All",C878=sel_Region),OR(sel_Country="All",D878=sel_Country),OR(sel_Customer="All",F878=sel_Customer),OR(sel_Category="All",G878=sel_Category),OR(sel_Product="All",H878=sel_Product),AND(S878&gt;=m_From,S878&lt;=m_To)),1,0)</f>
        <v/>
      </c>
      <c r="X878" s="36">
        <f>IF(AND(OR(sel_Region="All",C878=sel_Region),OR(sel_Country="All",D878=sel_Country),OR(sel_Channel="All",E878=sel_Channel),OR(sel_Category="All",G878=sel_Category),OR(sel_Product="All",H878=sel_Product),AND(S878&gt;=m_From,S878&lt;=m_To)),1,0)</f>
        <v/>
      </c>
      <c r="Y878" s="36">
        <f>IF(AND(OR(sel_Region="All",C878=sel_Region),OR(sel_Country="All",D878=sel_Country),OR(sel_Channel="All",E878=sel_Channel),OR(sel_Customer="All",F878=sel_Customer),OR(sel_Product="All",H878=sel_Product),AND(S878&gt;=m_From,S878&lt;=m_To)),1,0)</f>
        <v/>
      </c>
      <c r="Z878" s="36">
        <f>IF(AND(OR(sel_Region="All",C878=sel_Region),OR(sel_Country="All",D878=sel_Country),OR(sel_Channel="All",E878=sel_Channel),OR(sel_Customer="All",F878=sel_Customer),OR(sel_Category="All",G878=sel_Category),AND(S878&gt;=m_From,S878&lt;=m_To)),1,0)</f>
        <v/>
      </c>
      <c r="AA878" s="36">
        <f>IF(AND(OR(sel_Region="All",C878=sel_Region),OR(sel_Country="All",D878=sel_Country),OR(sel_Channel="All",E878=sel_Channel),OR(sel_Customer="All",F878=sel_Customer),OR(sel_Category="All",G878=sel_Category),OR(sel_Product="All",H878=sel_Product)),1,0)</f>
        <v/>
      </c>
    </row>
    <row r="879">
      <c r="A879" s="36" t="inlineStr">
        <is>
          <t>04166</t>
        </is>
      </c>
      <c r="B879" s="44" t="n">
        <v>46163</v>
      </c>
      <c r="C879" s="36" t="inlineStr">
        <is>
          <t>Northern Europe</t>
        </is>
      </c>
      <c r="D879" s="36" t="inlineStr">
        <is>
          <t>Ireland</t>
        </is>
      </c>
      <c r="E879" s="36" t="inlineStr">
        <is>
          <t>Online Store</t>
        </is>
      </c>
      <c r="F879" s="36" t="inlineStr">
        <is>
          <t>New</t>
        </is>
      </c>
      <c r="G879" s="36" t="inlineStr">
        <is>
          <t>Fitness</t>
        </is>
      </c>
      <c r="H879" s="36" t="inlineStr">
        <is>
          <t>Resistance Band Set</t>
        </is>
      </c>
      <c r="I879" s="36" t="n">
        <v>6</v>
      </c>
      <c r="J879" s="39" t="n">
        <v>40.61</v>
      </c>
      <c r="K879" s="45" t="n">
        <v>0.05</v>
      </c>
      <c r="L879" s="39" t="n">
        <v>15.14</v>
      </c>
      <c r="M879" s="39">
        <f>I879*J879*(1-K879)</f>
        <v/>
      </c>
      <c r="N879" s="39">
        <f>I879*L879</f>
        <v/>
      </c>
      <c r="O879" s="39">
        <f>M879-N879</f>
        <v/>
      </c>
      <c r="P879" s="38">
        <f>IF(M879=0,0,O879/M879)</f>
        <v/>
      </c>
      <c r="Q879" s="36">
        <f>YEAR(B879)</f>
        <v/>
      </c>
      <c r="R879" s="36">
        <f>"Q"&amp;ROUNDUP(MONTH(B879)/3,0)</f>
        <v/>
      </c>
      <c r="S879" s="36">
        <f>MONTH(B879)</f>
        <v/>
      </c>
      <c r="T879" s="36">
        <f>TEXT(B879,"mmm")</f>
        <v/>
      </c>
      <c r="U879" s="36">
        <f>IF(AND(OR(sel_Region="All",C879=sel_Region),OR(sel_Country="All",D879=sel_Country),OR(sel_Channel="All",E879=sel_Channel),OR(sel_Customer="All",F879=sel_Customer),OR(sel_Category="All",G879=sel_Category),OR(sel_Product="All",H879=sel_Product),AND(S879&gt;=m_From,S879&lt;=m_To)),1,0)</f>
        <v/>
      </c>
      <c r="V879" s="36">
        <f>IF(AND(OR(sel_Region="All",C879=sel_Region),OR(sel_Channel="All",E879=sel_Channel),OR(sel_Customer="All",F879=sel_Customer),OR(sel_Category="All",G879=sel_Category),OR(sel_Product="All",H879=sel_Product),AND(S879&gt;=m_From,S879&lt;=m_To)),1,0)</f>
        <v/>
      </c>
      <c r="W879" s="36">
        <f>IF(AND(OR(sel_Region="All",C879=sel_Region),OR(sel_Country="All",D879=sel_Country),OR(sel_Customer="All",F879=sel_Customer),OR(sel_Category="All",G879=sel_Category),OR(sel_Product="All",H879=sel_Product),AND(S879&gt;=m_From,S879&lt;=m_To)),1,0)</f>
        <v/>
      </c>
      <c r="X879" s="36">
        <f>IF(AND(OR(sel_Region="All",C879=sel_Region),OR(sel_Country="All",D879=sel_Country),OR(sel_Channel="All",E879=sel_Channel),OR(sel_Category="All",G879=sel_Category),OR(sel_Product="All",H879=sel_Product),AND(S879&gt;=m_From,S879&lt;=m_To)),1,0)</f>
        <v/>
      </c>
      <c r="Y879" s="36">
        <f>IF(AND(OR(sel_Region="All",C879=sel_Region),OR(sel_Country="All",D879=sel_Country),OR(sel_Channel="All",E879=sel_Channel),OR(sel_Customer="All",F879=sel_Customer),OR(sel_Product="All",H879=sel_Product),AND(S879&gt;=m_From,S879&lt;=m_To)),1,0)</f>
        <v/>
      </c>
      <c r="Z879" s="36">
        <f>IF(AND(OR(sel_Region="All",C879=sel_Region),OR(sel_Country="All",D879=sel_Country),OR(sel_Channel="All",E879=sel_Channel),OR(sel_Customer="All",F879=sel_Customer),OR(sel_Category="All",G879=sel_Category),AND(S879&gt;=m_From,S879&lt;=m_To)),1,0)</f>
        <v/>
      </c>
      <c r="AA879" s="36">
        <f>IF(AND(OR(sel_Region="All",C879=sel_Region),OR(sel_Country="All",D879=sel_Country),OR(sel_Channel="All",E879=sel_Channel),OR(sel_Customer="All",F879=sel_Customer),OR(sel_Category="All",G879=sel_Category),OR(sel_Product="All",H879=sel_Product)),1,0)</f>
        <v/>
      </c>
    </row>
    <row r="880">
      <c r="A880" s="36" t="inlineStr">
        <is>
          <t>01004</t>
        </is>
      </c>
      <c r="B880" s="44" t="n">
        <v>46164</v>
      </c>
      <c r="C880" s="36" t="inlineStr">
        <is>
          <t>Western Europe</t>
        </is>
      </c>
      <c r="D880" s="36" t="inlineStr">
        <is>
          <t>France</t>
        </is>
      </c>
      <c r="E880" s="36" t="inlineStr">
        <is>
          <t>Online Store</t>
        </is>
      </c>
      <c r="F880" s="36" t="inlineStr">
        <is>
          <t>Business</t>
        </is>
      </c>
      <c r="G880" s="36" t="inlineStr">
        <is>
          <t>Travel</t>
        </is>
      </c>
      <c r="H880" s="36" t="inlineStr">
        <is>
          <t>Insulated Bottle</t>
        </is>
      </c>
      <c r="I880" s="36" t="n">
        <v>2</v>
      </c>
      <c r="J880" s="39" t="n">
        <v>36.86</v>
      </c>
      <c r="K880" s="45" t="n">
        <v>0.05</v>
      </c>
      <c r="L880" s="39" t="n">
        <v>13.85</v>
      </c>
      <c r="M880" s="39">
        <f>I880*J880*(1-K880)</f>
        <v/>
      </c>
      <c r="N880" s="39">
        <f>I880*L880</f>
        <v/>
      </c>
      <c r="O880" s="39">
        <f>M880-N880</f>
        <v/>
      </c>
      <c r="P880" s="38">
        <f>IF(M880=0,0,O880/M880)</f>
        <v/>
      </c>
      <c r="Q880" s="36">
        <f>YEAR(B880)</f>
        <v/>
      </c>
      <c r="R880" s="36">
        <f>"Q"&amp;ROUNDUP(MONTH(B880)/3,0)</f>
        <v/>
      </c>
      <c r="S880" s="36">
        <f>MONTH(B880)</f>
        <v/>
      </c>
      <c r="T880" s="36">
        <f>TEXT(B880,"mmm")</f>
        <v/>
      </c>
      <c r="U880" s="36">
        <f>IF(AND(OR(sel_Region="All",C880=sel_Region),OR(sel_Country="All",D880=sel_Country),OR(sel_Channel="All",E880=sel_Channel),OR(sel_Customer="All",F880=sel_Customer),OR(sel_Category="All",G880=sel_Category),OR(sel_Product="All",H880=sel_Product),AND(S880&gt;=m_From,S880&lt;=m_To)),1,0)</f>
        <v/>
      </c>
      <c r="V880" s="36">
        <f>IF(AND(OR(sel_Region="All",C880=sel_Region),OR(sel_Channel="All",E880=sel_Channel),OR(sel_Customer="All",F880=sel_Customer),OR(sel_Category="All",G880=sel_Category),OR(sel_Product="All",H880=sel_Product),AND(S880&gt;=m_From,S880&lt;=m_To)),1,0)</f>
        <v/>
      </c>
      <c r="W880" s="36">
        <f>IF(AND(OR(sel_Region="All",C880=sel_Region),OR(sel_Country="All",D880=sel_Country),OR(sel_Customer="All",F880=sel_Customer),OR(sel_Category="All",G880=sel_Category),OR(sel_Product="All",H880=sel_Product),AND(S880&gt;=m_From,S880&lt;=m_To)),1,0)</f>
        <v/>
      </c>
      <c r="X880" s="36">
        <f>IF(AND(OR(sel_Region="All",C880=sel_Region),OR(sel_Country="All",D880=sel_Country),OR(sel_Channel="All",E880=sel_Channel),OR(sel_Category="All",G880=sel_Category),OR(sel_Product="All",H880=sel_Product),AND(S880&gt;=m_From,S880&lt;=m_To)),1,0)</f>
        <v/>
      </c>
      <c r="Y880" s="36">
        <f>IF(AND(OR(sel_Region="All",C880=sel_Region),OR(sel_Country="All",D880=sel_Country),OR(sel_Channel="All",E880=sel_Channel),OR(sel_Customer="All",F880=sel_Customer),OR(sel_Product="All",H880=sel_Product),AND(S880&gt;=m_From,S880&lt;=m_To)),1,0)</f>
        <v/>
      </c>
      <c r="Z880" s="36">
        <f>IF(AND(OR(sel_Region="All",C880=sel_Region),OR(sel_Country="All",D880=sel_Country),OR(sel_Channel="All",E880=sel_Channel),OR(sel_Customer="All",F880=sel_Customer),OR(sel_Category="All",G880=sel_Category),AND(S880&gt;=m_From,S880&lt;=m_To)),1,0)</f>
        <v/>
      </c>
      <c r="AA880" s="36">
        <f>IF(AND(OR(sel_Region="All",C880=sel_Region),OR(sel_Country="All",D880=sel_Country),OR(sel_Channel="All",E880=sel_Channel),OR(sel_Customer="All",F880=sel_Customer),OR(sel_Category="All",G880=sel_Category),OR(sel_Product="All",H880=sel_Product)),1,0)</f>
        <v/>
      </c>
    </row>
    <row r="881">
      <c r="A881" s="36" t="inlineStr">
        <is>
          <t>01012</t>
        </is>
      </c>
      <c r="B881" s="44" t="n">
        <v>46164</v>
      </c>
      <c r="C881" s="36" t="inlineStr">
        <is>
          <t>Central Europe</t>
        </is>
      </c>
      <c r="D881" s="36" t="inlineStr">
        <is>
          <t>Austria</t>
        </is>
      </c>
      <c r="E881" s="36" t="inlineStr">
        <is>
          <t>Online Store</t>
        </is>
      </c>
      <c r="F881" s="36" t="inlineStr">
        <is>
          <t>New</t>
        </is>
      </c>
      <c r="G881" s="36" t="inlineStr">
        <is>
          <t>Hiking</t>
        </is>
      </c>
      <c r="H881" s="36" t="inlineStr">
        <is>
          <t>Summit Backpack 45L</t>
        </is>
      </c>
      <c r="I881" s="36" t="n">
        <v>3</v>
      </c>
      <c r="J881" s="39" t="n">
        <v>156.74</v>
      </c>
      <c r="K881" s="45" t="n">
        <v>0</v>
      </c>
      <c r="L881" s="39" t="n">
        <v>79.81999999999999</v>
      </c>
      <c r="M881" s="39">
        <f>I881*J881*(1-K881)</f>
        <v/>
      </c>
      <c r="N881" s="39">
        <f>I881*L881</f>
        <v/>
      </c>
      <c r="O881" s="39">
        <f>M881-N881</f>
        <v/>
      </c>
      <c r="P881" s="38">
        <f>IF(M881=0,0,O881/M881)</f>
        <v/>
      </c>
      <c r="Q881" s="36">
        <f>YEAR(B881)</f>
        <v/>
      </c>
      <c r="R881" s="36">
        <f>"Q"&amp;ROUNDUP(MONTH(B881)/3,0)</f>
        <v/>
      </c>
      <c r="S881" s="36">
        <f>MONTH(B881)</f>
        <v/>
      </c>
      <c r="T881" s="36">
        <f>TEXT(B881,"mmm")</f>
        <v/>
      </c>
      <c r="U881" s="36">
        <f>IF(AND(OR(sel_Region="All",C881=sel_Region),OR(sel_Country="All",D881=sel_Country),OR(sel_Channel="All",E881=sel_Channel),OR(sel_Customer="All",F881=sel_Customer),OR(sel_Category="All",G881=sel_Category),OR(sel_Product="All",H881=sel_Product),AND(S881&gt;=m_From,S881&lt;=m_To)),1,0)</f>
        <v/>
      </c>
      <c r="V881" s="36">
        <f>IF(AND(OR(sel_Region="All",C881=sel_Region),OR(sel_Channel="All",E881=sel_Channel),OR(sel_Customer="All",F881=sel_Customer),OR(sel_Category="All",G881=sel_Category),OR(sel_Product="All",H881=sel_Product),AND(S881&gt;=m_From,S881&lt;=m_To)),1,0)</f>
        <v/>
      </c>
      <c r="W881" s="36">
        <f>IF(AND(OR(sel_Region="All",C881=sel_Region),OR(sel_Country="All",D881=sel_Country),OR(sel_Customer="All",F881=sel_Customer),OR(sel_Category="All",G881=sel_Category),OR(sel_Product="All",H881=sel_Product),AND(S881&gt;=m_From,S881&lt;=m_To)),1,0)</f>
        <v/>
      </c>
      <c r="X881" s="36">
        <f>IF(AND(OR(sel_Region="All",C881=sel_Region),OR(sel_Country="All",D881=sel_Country),OR(sel_Channel="All",E881=sel_Channel),OR(sel_Category="All",G881=sel_Category),OR(sel_Product="All",H881=sel_Product),AND(S881&gt;=m_From,S881&lt;=m_To)),1,0)</f>
        <v/>
      </c>
      <c r="Y881" s="36">
        <f>IF(AND(OR(sel_Region="All",C881=sel_Region),OR(sel_Country="All",D881=sel_Country),OR(sel_Channel="All",E881=sel_Channel),OR(sel_Customer="All",F881=sel_Customer),OR(sel_Product="All",H881=sel_Product),AND(S881&gt;=m_From,S881&lt;=m_To)),1,0)</f>
        <v/>
      </c>
      <c r="Z881" s="36">
        <f>IF(AND(OR(sel_Region="All",C881=sel_Region),OR(sel_Country="All",D881=sel_Country),OR(sel_Channel="All",E881=sel_Channel),OR(sel_Customer="All",F881=sel_Customer),OR(sel_Category="All",G881=sel_Category),AND(S881&gt;=m_From,S881&lt;=m_To)),1,0)</f>
        <v/>
      </c>
      <c r="AA881" s="36">
        <f>IF(AND(OR(sel_Region="All",C881=sel_Region),OR(sel_Country="All",D881=sel_Country),OR(sel_Channel="All",E881=sel_Channel),OR(sel_Customer="All",F881=sel_Customer),OR(sel_Category="All",G881=sel_Category),OR(sel_Product="All",H881=sel_Product)),1,0)</f>
        <v/>
      </c>
    </row>
    <row r="882">
      <c r="A882" s="36" t="inlineStr">
        <is>
          <t>02180</t>
        </is>
      </c>
      <c r="B882" s="44" t="n">
        <v>46164</v>
      </c>
      <c r="C882" s="36" t="inlineStr">
        <is>
          <t>Southern Europe</t>
        </is>
      </c>
      <c r="D882" s="36" t="inlineStr">
        <is>
          <t>Portugal</t>
        </is>
      </c>
      <c r="E882" s="36" t="inlineStr">
        <is>
          <t>Corporate</t>
        </is>
      </c>
      <c r="F882" s="36" t="inlineStr">
        <is>
          <t>Returning</t>
        </is>
      </c>
      <c r="G882" s="36" t="inlineStr">
        <is>
          <t>Cycling</t>
        </is>
      </c>
      <c r="H882" s="36" t="inlineStr">
        <is>
          <t>Trail Bike Light</t>
        </is>
      </c>
      <c r="I882" s="36" t="n">
        <v>3</v>
      </c>
      <c r="J882" s="39" t="n">
        <v>51.04</v>
      </c>
      <c r="K882" s="45" t="n">
        <v>0.2</v>
      </c>
      <c r="L882" s="39" t="n">
        <v>22.32</v>
      </c>
      <c r="M882" s="39">
        <f>I882*J882*(1-K882)</f>
        <v/>
      </c>
      <c r="N882" s="39">
        <f>I882*L882</f>
        <v/>
      </c>
      <c r="O882" s="39">
        <f>M882-N882</f>
        <v/>
      </c>
      <c r="P882" s="38">
        <f>IF(M882=0,0,O882/M882)</f>
        <v/>
      </c>
      <c r="Q882" s="36">
        <f>YEAR(B882)</f>
        <v/>
      </c>
      <c r="R882" s="36">
        <f>"Q"&amp;ROUNDUP(MONTH(B882)/3,0)</f>
        <v/>
      </c>
      <c r="S882" s="36">
        <f>MONTH(B882)</f>
        <v/>
      </c>
      <c r="T882" s="36">
        <f>TEXT(B882,"mmm")</f>
        <v/>
      </c>
      <c r="U882" s="36">
        <f>IF(AND(OR(sel_Region="All",C882=sel_Region),OR(sel_Country="All",D882=sel_Country),OR(sel_Channel="All",E882=sel_Channel),OR(sel_Customer="All",F882=sel_Customer),OR(sel_Category="All",G882=sel_Category),OR(sel_Product="All",H882=sel_Product),AND(S882&gt;=m_From,S882&lt;=m_To)),1,0)</f>
        <v/>
      </c>
      <c r="V882" s="36">
        <f>IF(AND(OR(sel_Region="All",C882=sel_Region),OR(sel_Channel="All",E882=sel_Channel),OR(sel_Customer="All",F882=sel_Customer),OR(sel_Category="All",G882=sel_Category),OR(sel_Product="All",H882=sel_Product),AND(S882&gt;=m_From,S882&lt;=m_To)),1,0)</f>
        <v/>
      </c>
      <c r="W882" s="36">
        <f>IF(AND(OR(sel_Region="All",C882=sel_Region),OR(sel_Country="All",D882=sel_Country),OR(sel_Customer="All",F882=sel_Customer),OR(sel_Category="All",G882=sel_Category),OR(sel_Product="All",H882=sel_Product),AND(S882&gt;=m_From,S882&lt;=m_To)),1,0)</f>
        <v/>
      </c>
      <c r="X882" s="36">
        <f>IF(AND(OR(sel_Region="All",C882=sel_Region),OR(sel_Country="All",D882=sel_Country),OR(sel_Channel="All",E882=sel_Channel),OR(sel_Category="All",G882=sel_Category),OR(sel_Product="All",H882=sel_Product),AND(S882&gt;=m_From,S882&lt;=m_To)),1,0)</f>
        <v/>
      </c>
      <c r="Y882" s="36">
        <f>IF(AND(OR(sel_Region="All",C882=sel_Region),OR(sel_Country="All",D882=sel_Country),OR(sel_Channel="All",E882=sel_Channel),OR(sel_Customer="All",F882=sel_Customer),OR(sel_Product="All",H882=sel_Product),AND(S882&gt;=m_From,S882&lt;=m_To)),1,0)</f>
        <v/>
      </c>
      <c r="Z882" s="36">
        <f>IF(AND(OR(sel_Region="All",C882=sel_Region),OR(sel_Country="All",D882=sel_Country),OR(sel_Channel="All",E882=sel_Channel),OR(sel_Customer="All",F882=sel_Customer),OR(sel_Category="All",G882=sel_Category),AND(S882&gt;=m_From,S882&lt;=m_To)),1,0)</f>
        <v/>
      </c>
      <c r="AA882" s="36">
        <f>IF(AND(OR(sel_Region="All",C882=sel_Region),OR(sel_Country="All",D882=sel_Country),OR(sel_Channel="All",E882=sel_Channel),OR(sel_Customer="All",F882=sel_Customer),OR(sel_Category="All",G882=sel_Category),OR(sel_Product="All",H882=sel_Product)),1,0)</f>
        <v/>
      </c>
    </row>
    <row r="883">
      <c r="A883" s="36" t="inlineStr">
        <is>
          <t>03659</t>
        </is>
      </c>
      <c r="B883" s="44" t="n">
        <v>46164</v>
      </c>
      <c r="C883" s="36" t="inlineStr">
        <is>
          <t>Western Europe</t>
        </is>
      </c>
      <c r="D883" s="36" t="inlineStr">
        <is>
          <t>France</t>
        </is>
      </c>
      <c r="E883" s="36" t="inlineStr">
        <is>
          <t>Retail Partners</t>
        </is>
      </c>
      <c r="F883" s="36" t="inlineStr">
        <is>
          <t>New</t>
        </is>
      </c>
      <c r="G883" s="36" t="inlineStr">
        <is>
          <t>Hiking</t>
        </is>
      </c>
      <c r="H883" s="36" t="inlineStr">
        <is>
          <t>Hiking Daypack 20L</t>
        </is>
      </c>
      <c r="I883" s="36" t="n">
        <v>2</v>
      </c>
      <c r="J883" s="39" t="n">
        <v>93.55</v>
      </c>
      <c r="K883" s="45" t="n">
        <v>0</v>
      </c>
      <c r="L883" s="39" t="n">
        <v>44.31</v>
      </c>
      <c r="M883" s="39">
        <f>I883*J883*(1-K883)</f>
        <v/>
      </c>
      <c r="N883" s="39">
        <f>I883*L883</f>
        <v/>
      </c>
      <c r="O883" s="39">
        <f>M883-N883</f>
        <v/>
      </c>
      <c r="P883" s="38">
        <f>IF(M883=0,0,O883/M883)</f>
        <v/>
      </c>
      <c r="Q883" s="36">
        <f>YEAR(B883)</f>
        <v/>
      </c>
      <c r="R883" s="36">
        <f>"Q"&amp;ROUNDUP(MONTH(B883)/3,0)</f>
        <v/>
      </c>
      <c r="S883" s="36">
        <f>MONTH(B883)</f>
        <v/>
      </c>
      <c r="T883" s="36">
        <f>TEXT(B883,"mmm")</f>
        <v/>
      </c>
      <c r="U883" s="36">
        <f>IF(AND(OR(sel_Region="All",C883=sel_Region),OR(sel_Country="All",D883=sel_Country),OR(sel_Channel="All",E883=sel_Channel),OR(sel_Customer="All",F883=sel_Customer),OR(sel_Category="All",G883=sel_Category),OR(sel_Product="All",H883=sel_Product),AND(S883&gt;=m_From,S883&lt;=m_To)),1,0)</f>
        <v/>
      </c>
      <c r="V883" s="36">
        <f>IF(AND(OR(sel_Region="All",C883=sel_Region),OR(sel_Channel="All",E883=sel_Channel),OR(sel_Customer="All",F883=sel_Customer),OR(sel_Category="All",G883=sel_Category),OR(sel_Product="All",H883=sel_Product),AND(S883&gt;=m_From,S883&lt;=m_To)),1,0)</f>
        <v/>
      </c>
      <c r="W883" s="36">
        <f>IF(AND(OR(sel_Region="All",C883=sel_Region),OR(sel_Country="All",D883=sel_Country),OR(sel_Customer="All",F883=sel_Customer),OR(sel_Category="All",G883=sel_Category),OR(sel_Product="All",H883=sel_Product),AND(S883&gt;=m_From,S883&lt;=m_To)),1,0)</f>
        <v/>
      </c>
      <c r="X883" s="36">
        <f>IF(AND(OR(sel_Region="All",C883=sel_Region),OR(sel_Country="All",D883=sel_Country),OR(sel_Channel="All",E883=sel_Channel),OR(sel_Category="All",G883=sel_Category),OR(sel_Product="All",H883=sel_Product),AND(S883&gt;=m_From,S883&lt;=m_To)),1,0)</f>
        <v/>
      </c>
      <c r="Y883" s="36">
        <f>IF(AND(OR(sel_Region="All",C883=sel_Region),OR(sel_Country="All",D883=sel_Country),OR(sel_Channel="All",E883=sel_Channel),OR(sel_Customer="All",F883=sel_Customer),OR(sel_Product="All",H883=sel_Product),AND(S883&gt;=m_From,S883&lt;=m_To)),1,0)</f>
        <v/>
      </c>
      <c r="Z883" s="36">
        <f>IF(AND(OR(sel_Region="All",C883=sel_Region),OR(sel_Country="All",D883=sel_Country),OR(sel_Channel="All",E883=sel_Channel),OR(sel_Customer="All",F883=sel_Customer),OR(sel_Category="All",G883=sel_Category),AND(S883&gt;=m_From,S883&lt;=m_To)),1,0)</f>
        <v/>
      </c>
      <c r="AA883" s="36">
        <f>IF(AND(OR(sel_Region="All",C883=sel_Region),OR(sel_Country="All",D883=sel_Country),OR(sel_Channel="All",E883=sel_Channel),OR(sel_Customer="All",F883=sel_Customer),OR(sel_Category="All",G883=sel_Category),OR(sel_Product="All",H883=sel_Product)),1,0)</f>
        <v/>
      </c>
    </row>
    <row r="884">
      <c r="A884" s="36" t="inlineStr">
        <is>
          <t>03775</t>
        </is>
      </c>
      <c r="B884" s="44" t="n">
        <v>46164</v>
      </c>
      <c r="C884" s="36" t="inlineStr">
        <is>
          <t>Northern Europe</t>
        </is>
      </c>
      <c r="D884" s="36" t="inlineStr">
        <is>
          <t>Sweden</t>
        </is>
      </c>
      <c r="E884" s="36" t="inlineStr">
        <is>
          <t>Online Store</t>
        </is>
      </c>
      <c r="F884" s="36" t="inlineStr">
        <is>
          <t>Business</t>
        </is>
      </c>
      <c r="G884" s="36" t="inlineStr">
        <is>
          <t>Travel</t>
        </is>
      </c>
      <c r="H884" s="36" t="inlineStr">
        <is>
          <t>Carry-On Duffel</t>
        </is>
      </c>
      <c r="I884" s="36" t="n">
        <v>1</v>
      </c>
      <c r="J884" s="39" t="n">
        <v>131.74</v>
      </c>
      <c r="K884" s="45" t="n">
        <v>0</v>
      </c>
      <c r="L884" s="39" t="n">
        <v>66.65000000000001</v>
      </c>
      <c r="M884" s="39">
        <f>I884*J884*(1-K884)</f>
        <v/>
      </c>
      <c r="N884" s="39">
        <f>I884*L884</f>
        <v/>
      </c>
      <c r="O884" s="39">
        <f>M884-N884</f>
        <v/>
      </c>
      <c r="P884" s="38">
        <f>IF(M884=0,0,O884/M884)</f>
        <v/>
      </c>
      <c r="Q884" s="36">
        <f>YEAR(B884)</f>
        <v/>
      </c>
      <c r="R884" s="36">
        <f>"Q"&amp;ROUNDUP(MONTH(B884)/3,0)</f>
        <v/>
      </c>
      <c r="S884" s="36">
        <f>MONTH(B884)</f>
        <v/>
      </c>
      <c r="T884" s="36">
        <f>TEXT(B884,"mmm")</f>
        <v/>
      </c>
      <c r="U884" s="36">
        <f>IF(AND(OR(sel_Region="All",C884=sel_Region),OR(sel_Country="All",D884=sel_Country),OR(sel_Channel="All",E884=sel_Channel),OR(sel_Customer="All",F884=sel_Customer),OR(sel_Category="All",G884=sel_Category),OR(sel_Product="All",H884=sel_Product),AND(S884&gt;=m_From,S884&lt;=m_To)),1,0)</f>
        <v/>
      </c>
      <c r="V884" s="36">
        <f>IF(AND(OR(sel_Region="All",C884=sel_Region),OR(sel_Channel="All",E884=sel_Channel),OR(sel_Customer="All",F884=sel_Customer),OR(sel_Category="All",G884=sel_Category),OR(sel_Product="All",H884=sel_Product),AND(S884&gt;=m_From,S884&lt;=m_To)),1,0)</f>
        <v/>
      </c>
      <c r="W884" s="36">
        <f>IF(AND(OR(sel_Region="All",C884=sel_Region),OR(sel_Country="All",D884=sel_Country),OR(sel_Customer="All",F884=sel_Customer),OR(sel_Category="All",G884=sel_Category),OR(sel_Product="All",H884=sel_Product),AND(S884&gt;=m_From,S884&lt;=m_To)),1,0)</f>
        <v/>
      </c>
      <c r="X884" s="36">
        <f>IF(AND(OR(sel_Region="All",C884=sel_Region),OR(sel_Country="All",D884=sel_Country),OR(sel_Channel="All",E884=sel_Channel),OR(sel_Category="All",G884=sel_Category),OR(sel_Product="All",H884=sel_Product),AND(S884&gt;=m_From,S884&lt;=m_To)),1,0)</f>
        <v/>
      </c>
      <c r="Y884" s="36">
        <f>IF(AND(OR(sel_Region="All",C884=sel_Region),OR(sel_Country="All",D884=sel_Country),OR(sel_Channel="All",E884=sel_Channel),OR(sel_Customer="All",F884=sel_Customer),OR(sel_Product="All",H884=sel_Product),AND(S884&gt;=m_From,S884&lt;=m_To)),1,0)</f>
        <v/>
      </c>
      <c r="Z884" s="36">
        <f>IF(AND(OR(sel_Region="All",C884=sel_Region),OR(sel_Country="All",D884=sel_Country),OR(sel_Channel="All",E884=sel_Channel),OR(sel_Customer="All",F884=sel_Customer),OR(sel_Category="All",G884=sel_Category),AND(S884&gt;=m_From,S884&lt;=m_To)),1,0)</f>
        <v/>
      </c>
      <c r="AA884" s="36">
        <f>IF(AND(OR(sel_Region="All",C884=sel_Region),OR(sel_Country="All",D884=sel_Country),OR(sel_Channel="All",E884=sel_Channel),OR(sel_Customer="All",F884=sel_Customer),OR(sel_Category="All",G884=sel_Category),OR(sel_Product="All",H884=sel_Product)),1,0)</f>
        <v/>
      </c>
    </row>
    <row r="885">
      <c r="A885" s="36" t="inlineStr">
        <is>
          <t>04071</t>
        </is>
      </c>
      <c r="B885" s="44" t="n">
        <v>46164</v>
      </c>
      <c r="C885" s="36" t="inlineStr">
        <is>
          <t>Western Europe</t>
        </is>
      </c>
      <c r="D885" s="36" t="inlineStr">
        <is>
          <t>United Kingdom</t>
        </is>
      </c>
      <c r="E885" s="36" t="inlineStr">
        <is>
          <t>Online Store</t>
        </is>
      </c>
      <c r="F885" s="36" t="inlineStr">
        <is>
          <t>New</t>
        </is>
      </c>
      <c r="G885" s="36" t="inlineStr">
        <is>
          <t>Hiking</t>
        </is>
      </c>
      <c r="H885" s="36" t="inlineStr">
        <is>
          <t>Hiking Daypack 20L</t>
        </is>
      </c>
      <c r="I885" s="36" t="n">
        <v>5</v>
      </c>
      <c r="J885" s="39" t="n">
        <v>91.79000000000001</v>
      </c>
      <c r="K885" s="45" t="n">
        <v>0.05</v>
      </c>
      <c r="L885" s="39" t="n">
        <v>44.48</v>
      </c>
      <c r="M885" s="39">
        <f>I885*J885*(1-K885)</f>
        <v/>
      </c>
      <c r="N885" s="39">
        <f>I885*L885</f>
        <v/>
      </c>
      <c r="O885" s="39">
        <f>M885-N885</f>
        <v/>
      </c>
      <c r="P885" s="38">
        <f>IF(M885=0,0,O885/M885)</f>
        <v/>
      </c>
      <c r="Q885" s="36">
        <f>YEAR(B885)</f>
        <v/>
      </c>
      <c r="R885" s="36">
        <f>"Q"&amp;ROUNDUP(MONTH(B885)/3,0)</f>
        <v/>
      </c>
      <c r="S885" s="36">
        <f>MONTH(B885)</f>
        <v/>
      </c>
      <c r="T885" s="36">
        <f>TEXT(B885,"mmm")</f>
        <v/>
      </c>
      <c r="U885" s="36">
        <f>IF(AND(OR(sel_Region="All",C885=sel_Region),OR(sel_Country="All",D885=sel_Country),OR(sel_Channel="All",E885=sel_Channel),OR(sel_Customer="All",F885=sel_Customer),OR(sel_Category="All",G885=sel_Category),OR(sel_Product="All",H885=sel_Product),AND(S885&gt;=m_From,S885&lt;=m_To)),1,0)</f>
        <v/>
      </c>
      <c r="V885" s="36">
        <f>IF(AND(OR(sel_Region="All",C885=sel_Region),OR(sel_Channel="All",E885=sel_Channel),OR(sel_Customer="All",F885=sel_Customer),OR(sel_Category="All",G885=sel_Category),OR(sel_Product="All",H885=sel_Product),AND(S885&gt;=m_From,S885&lt;=m_To)),1,0)</f>
        <v/>
      </c>
      <c r="W885" s="36">
        <f>IF(AND(OR(sel_Region="All",C885=sel_Region),OR(sel_Country="All",D885=sel_Country),OR(sel_Customer="All",F885=sel_Customer),OR(sel_Category="All",G885=sel_Category),OR(sel_Product="All",H885=sel_Product),AND(S885&gt;=m_From,S885&lt;=m_To)),1,0)</f>
        <v/>
      </c>
      <c r="X885" s="36">
        <f>IF(AND(OR(sel_Region="All",C885=sel_Region),OR(sel_Country="All",D885=sel_Country),OR(sel_Channel="All",E885=sel_Channel),OR(sel_Category="All",G885=sel_Category),OR(sel_Product="All",H885=sel_Product),AND(S885&gt;=m_From,S885&lt;=m_To)),1,0)</f>
        <v/>
      </c>
      <c r="Y885" s="36">
        <f>IF(AND(OR(sel_Region="All",C885=sel_Region),OR(sel_Country="All",D885=sel_Country),OR(sel_Channel="All",E885=sel_Channel),OR(sel_Customer="All",F885=sel_Customer),OR(sel_Product="All",H885=sel_Product),AND(S885&gt;=m_From,S885&lt;=m_To)),1,0)</f>
        <v/>
      </c>
      <c r="Z885" s="36">
        <f>IF(AND(OR(sel_Region="All",C885=sel_Region),OR(sel_Country="All",D885=sel_Country),OR(sel_Channel="All",E885=sel_Channel),OR(sel_Customer="All",F885=sel_Customer),OR(sel_Category="All",G885=sel_Category),AND(S885&gt;=m_From,S885&lt;=m_To)),1,0)</f>
        <v/>
      </c>
      <c r="AA885" s="36">
        <f>IF(AND(OR(sel_Region="All",C885=sel_Region),OR(sel_Country="All",D885=sel_Country),OR(sel_Channel="All",E885=sel_Channel),OR(sel_Customer="All",F885=sel_Customer),OR(sel_Category="All",G885=sel_Category),OR(sel_Product="All",H885=sel_Product)),1,0)</f>
        <v/>
      </c>
    </row>
    <row r="886">
      <c r="A886" s="36" t="inlineStr">
        <is>
          <t>05137</t>
        </is>
      </c>
      <c r="B886" s="44" t="n">
        <v>46164</v>
      </c>
      <c r="C886" s="36" t="inlineStr">
        <is>
          <t>Western Europe</t>
        </is>
      </c>
      <c r="D886" s="36" t="inlineStr">
        <is>
          <t>France</t>
        </is>
      </c>
      <c r="E886" s="36" t="inlineStr">
        <is>
          <t>Online Store</t>
        </is>
      </c>
      <c r="F886" s="36" t="inlineStr">
        <is>
          <t>Business</t>
        </is>
      </c>
      <c r="G886" s="36" t="inlineStr">
        <is>
          <t>Hiking</t>
        </is>
      </c>
      <c r="H886" s="36" t="inlineStr">
        <is>
          <t>Summit Backpack 45L</t>
        </is>
      </c>
      <c r="I886" s="36" t="n">
        <v>4</v>
      </c>
      <c r="J886" s="39" t="n">
        <v>155.4</v>
      </c>
      <c r="K886" s="45" t="n">
        <v>0.05</v>
      </c>
      <c r="L886" s="39" t="n">
        <v>77.31</v>
      </c>
      <c r="M886" s="39">
        <f>I886*J886*(1-K886)</f>
        <v/>
      </c>
      <c r="N886" s="39">
        <f>I886*L886</f>
        <v/>
      </c>
      <c r="O886" s="39">
        <f>M886-N886</f>
        <v/>
      </c>
      <c r="P886" s="38">
        <f>IF(M886=0,0,O886/M886)</f>
        <v/>
      </c>
      <c r="Q886" s="36">
        <f>YEAR(B886)</f>
        <v/>
      </c>
      <c r="R886" s="36">
        <f>"Q"&amp;ROUNDUP(MONTH(B886)/3,0)</f>
        <v/>
      </c>
      <c r="S886" s="36">
        <f>MONTH(B886)</f>
        <v/>
      </c>
      <c r="T886" s="36">
        <f>TEXT(B886,"mmm")</f>
        <v/>
      </c>
      <c r="U886" s="36">
        <f>IF(AND(OR(sel_Region="All",C886=sel_Region),OR(sel_Country="All",D886=sel_Country),OR(sel_Channel="All",E886=sel_Channel),OR(sel_Customer="All",F886=sel_Customer),OR(sel_Category="All",G886=sel_Category),OR(sel_Product="All",H886=sel_Product),AND(S886&gt;=m_From,S886&lt;=m_To)),1,0)</f>
        <v/>
      </c>
      <c r="V886" s="36">
        <f>IF(AND(OR(sel_Region="All",C886=sel_Region),OR(sel_Channel="All",E886=sel_Channel),OR(sel_Customer="All",F886=sel_Customer),OR(sel_Category="All",G886=sel_Category),OR(sel_Product="All",H886=sel_Product),AND(S886&gt;=m_From,S886&lt;=m_To)),1,0)</f>
        <v/>
      </c>
      <c r="W886" s="36">
        <f>IF(AND(OR(sel_Region="All",C886=sel_Region),OR(sel_Country="All",D886=sel_Country),OR(sel_Customer="All",F886=sel_Customer),OR(sel_Category="All",G886=sel_Category),OR(sel_Product="All",H886=sel_Product),AND(S886&gt;=m_From,S886&lt;=m_To)),1,0)</f>
        <v/>
      </c>
      <c r="X886" s="36">
        <f>IF(AND(OR(sel_Region="All",C886=sel_Region),OR(sel_Country="All",D886=sel_Country),OR(sel_Channel="All",E886=sel_Channel),OR(sel_Category="All",G886=sel_Category),OR(sel_Product="All",H886=sel_Product),AND(S886&gt;=m_From,S886&lt;=m_To)),1,0)</f>
        <v/>
      </c>
      <c r="Y886" s="36">
        <f>IF(AND(OR(sel_Region="All",C886=sel_Region),OR(sel_Country="All",D886=sel_Country),OR(sel_Channel="All",E886=sel_Channel),OR(sel_Customer="All",F886=sel_Customer),OR(sel_Product="All",H886=sel_Product),AND(S886&gt;=m_From,S886&lt;=m_To)),1,0)</f>
        <v/>
      </c>
      <c r="Z886" s="36">
        <f>IF(AND(OR(sel_Region="All",C886=sel_Region),OR(sel_Country="All",D886=sel_Country),OR(sel_Channel="All",E886=sel_Channel),OR(sel_Customer="All",F886=sel_Customer),OR(sel_Category="All",G886=sel_Category),AND(S886&gt;=m_From,S886&lt;=m_To)),1,0)</f>
        <v/>
      </c>
      <c r="AA886" s="36">
        <f>IF(AND(OR(sel_Region="All",C886=sel_Region),OR(sel_Country="All",D886=sel_Country),OR(sel_Channel="All",E886=sel_Channel),OR(sel_Customer="All",F886=sel_Customer),OR(sel_Category="All",G886=sel_Category),OR(sel_Product="All",H886=sel_Product)),1,0)</f>
        <v/>
      </c>
    </row>
    <row r="887">
      <c r="A887" s="36" t="inlineStr">
        <is>
          <t>00133</t>
        </is>
      </c>
      <c r="B887" s="44" t="n">
        <v>46165</v>
      </c>
      <c r="C887" s="36" t="inlineStr">
        <is>
          <t>Central Europe</t>
        </is>
      </c>
      <c r="D887" s="36" t="inlineStr">
        <is>
          <t>Czechia</t>
        </is>
      </c>
      <c r="E887" s="36" t="inlineStr">
        <is>
          <t>Online Store</t>
        </is>
      </c>
      <c r="F887" s="36" t="inlineStr">
        <is>
          <t>New</t>
        </is>
      </c>
      <c r="G887" s="36" t="inlineStr">
        <is>
          <t>Travel</t>
        </is>
      </c>
      <c r="H887" s="36" t="inlineStr">
        <is>
          <t>Insulated Bottle</t>
        </is>
      </c>
      <c r="I887" s="36" t="n">
        <v>1</v>
      </c>
      <c r="J887" s="39" t="n">
        <v>36.57</v>
      </c>
      <c r="K887" s="45" t="n">
        <v>0.05</v>
      </c>
      <c r="L887" s="39" t="n">
        <v>13.33</v>
      </c>
      <c r="M887" s="39">
        <f>I887*J887*(1-K887)</f>
        <v/>
      </c>
      <c r="N887" s="39">
        <f>I887*L887</f>
        <v/>
      </c>
      <c r="O887" s="39">
        <f>M887-N887</f>
        <v/>
      </c>
      <c r="P887" s="38">
        <f>IF(M887=0,0,O887/M887)</f>
        <v/>
      </c>
      <c r="Q887" s="36">
        <f>YEAR(B887)</f>
        <v/>
      </c>
      <c r="R887" s="36">
        <f>"Q"&amp;ROUNDUP(MONTH(B887)/3,0)</f>
        <v/>
      </c>
      <c r="S887" s="36">
        <f>MONTH(B887)</f>
        <v/>
      </c>
      <c r="T887" s="36">
        <f>TEXT(B887,"mmm")</f>
        <v/>
      </c>
      <c r="U887" s="36">
        <f>IF(AND(OR(sel_Region="All",C887=sel_Region),OR(sel_Country="All",D887=sel_Country),OR(sel_Channel="All",E887=sel_Channel),OR(sel_Customer="All",F887=sel_Customer),OR(sel_Category="All",G887=sel_Category),OR(sel_Product="All",H887=sel_Product),AND(S887&gt;=m_From,S887&lt;=m_To)),1,0)</f>
        <v/>
      </c>
      <c r="V887" s="36">
        <f>IF(AND(OR(sel_Region="All",C887=sel_Region),OR(sel_Channel="All",E887=sel_Channel),OR(sel_Customer="All",F887=sel_Customer),OR(sel_Category="All",G887=sel_Category),OR(sel_Product="All",H887=sel_Product),AND(S887&gt;=m_From,S887&lt;=m_To)),1,0)</f>
        <v/>
      </c>
      <c r="W887" s="36">
        <f>IF(AND(OR(sel_Region="All",C887=sel_Region),OR(sel_Country="All",D887=sel_Country),OR(sel_Customer="All",F887=sel_Customer),OR(sel_Category="All",G887=sel_Category),OR(sel_Product="All",H887=sel_Product),AND(S887&gt;=m_From,S887&lt;=m_To)),1,0)</f>
        <v/>
      </c>
      <c r="X887" s="36">
        <f>IF(AND(OR(sel_Region="All",C887=sel_Region),OR(sel_Country="All",D887=sel_Country),OR(sel_Channel="All",E887=sel_Channel),OR(sel_Category="All",G887=sel_Category),OR(sel_Product="All",H887=sel_Product),AND(S887&gt;=m_From,S887&lt;=m_To)),1,0)</f>
        <v/>
      </c>
      <c r="Y887" s="36">
        <f>IF(AND(OR(sel_Region="All",C887=sel_Region),OR(sel_Country="All",D887=sel_Country),OR(sel_Channel="All",E887=sel_Channel),OR(sel_Customer="All",F887=sel_Customer),OR(sel_Product="All",H887=sel_Product),AND(S887&gt;=m_From,S887&lt;=m_To)),1,0)</f>
        <v/>
      </c>
      <c r="Z887" s="36">
        <f>IF(AND(OR(sel_Region="All",C887=sel_Region),OR(sel_Country="All",D887=sel_Country),OR(sel_Channel="All",E887=sel_Channel),OR(sel_Customer="All",F887=sel_Customer),OR(sel_Category="All",G887=sel_Category),AND(S887&gt;=m_From,S887&lt;=m_To)),1,0)</f>
        <v/>
      </c>
      <c r="AA887" s="36">
        <f>IF(AND(OR(sel_Region="All",C887=sel_Region),OR(sel_Country="All",D887=sel_Country),OR(sel_Channel="All",E887=sel_Channel),OR(sel_Customer="All",F887=sel_Customer),OR(sel_Category="All",G887=sel_Category),OR(sel_Product="All",H887=sel_Product)),1,0)</f>
        <v/>
      </c>
    </row>
    <row r="888">
      <c r="A888" s="36" t="inlineStr">
        <is>
          <t>01385</t>
        </is>
      </c>
      <c r="B888" s="44" t="n">
        <v>46165</v>
      </c>
      <c r="C888" s="36" t="inlineStr">
        <is>
          <t>Northern Europe</t>
        </is>
      </c>
      <c r="D888" s="36" t="inlineStr">
        <is>
          <t>Norway</t>
        </is>
      </c>
      <c r="E888" s="36" t="inlineStr">
        <is>
          <t>Online Store</t>
        </is>
      </c>
      <c r="F888" s="36" t="inlineStr">
        <is>
          <t>New</t>
        </is>
      </c>
      <c r="G888" s="36" t="inlineStr">
        <is>
          <t>Cycling</t>
        </is>
      </c>
      <c r="H888" s="36" t="inlineStr">
        <is>
          <t>Compact Repair Kit</t>
        </is>
      </c>
      <c r="I888" s="36" t="n">
        <v>2</v>
      </c>
      <c r="J888" s="39" t="n">
        <v>41.19</v>
      </c>
      <c r="K888" s="45" t="n">
        <v>0</v>
      </c>
      <c r="L888" s="39" t="n">
        <v>17.19</v>
      </c>
      <c r="M888" s="39">
        <f>I888*J888*(1-K888)</f>
        <v/>
      </c>
      <c r="N888" s="39">
        <f>I888*L888</f>
        <v/>
      </c>
      <c r="O888" s="39">
        <f>M888-N888</f>
        <v/>
      </c>
      <c r="P888" s="38">
        <f>IF(M888=0,0,O888/M888)</f>
        <v/>
      </c>
      <c r="Q888" s="36">
        <f>YEAR(B888)</f>
        <v/>
      </c>
      <c r="R888" s="36">
        <f>"Q"&amp;ROUNDUP(MONTH(B888)/3,0)</f>
        <v/>
      </c>
      <c r="S888" s="36">
        <f>MONTH(B888)</f>
        <v/>
      </c>
      <c r="T888" s="36">
        <f>TEXT(B888,"mmm")</f>
        <v/>
      </c>
      <c r="U888" s="36">
        <f>IF(AND(OR(sel_Region="All",C888=sel_Region),OR(sel_Country="All",D888=sel_Country),OR(sel_Channel="All",E888=sel_Channel),OR(sel_Customer="All",F888=sel_Customer),OR(sel_Category="All",G888=sel_Category),OR(sel_Product="All",H888=sel_Product),AND(S888&gt;=m_From,S888&lt;=m_To)),1,0)</f>
        <v/>
      </c>
      <c r="V888" s="36">
        <f>IF(AND(OR(sel_Region="All",C888=sel_Region),OR(sel_Channel="All",E888=sel_Channel),OR(sel_Customer="All",F888=sel_Customer),OR(sel_Category="All",G888=sel_Category),OR(sel_Product="All",H888=sel_Product),AND(S888&gt;=m_From,S888&lt;=m_To)),1,0)</f>
        <v/>
      </c>
      <c r="W888" s="36">
        <f>IF(AND(OR(sel_Region="All",C888=sel_Region),OR(sel_Country="All",D888=sel_Country),OR(sel_Customer="All",F888=sel_Customer),OR(sel_Category="All",G888=sel_Category),OR(sel_Product="All",H888=sel_Product),AND(S888&gt;=m_From,S888&lt;=m_To)),1,0)</f>
        <v/>
      </c>
      <c r="X888" s="36">
        <f>IF(AND(OR(sel_Region="All",C888=sel_Region),OR(sel_Country="All",D888=sel_Country),OR(sel_Channel="All",E888=sel_Channel),OR(sel_Category="All",G888=sel_Category),OR(sel_Product="All",H888=sel_Product),AND(S888&gt;=m_From,S888&lt;=m_To)),1,0)</f>
        <v/>
      </c>
      <c r="Y888" s="36">
        <f>IF(AND(OR(sel_Region="All",C888=sel_Region),OR(sel_Country="All",D888=sel_Country),OR(sel_Channel="All",E888=sel_Channel),OR(sel_Customer="All",F888=sel_Customer),OR(sel_Product="All",H888=sel_Product),AND(S888&gt;=m_From,S888&lt;=m_To)),1,0)</f>
        <v/>
      </c>
      <c r="Z888" s="36">
        <f>IF(AND(OR(sel_Region="All",C888=sel_Region),OR(sel_Country="All",D888=sel_Country),OR(sel_Channel="All",E888=sel_Channel),OR(sel_Customer="All",F888=sel_Customer),OR(sel_Category="All",G888=sel_Category),AND(S888&gt;=m_From,S888&lt;=m_To)),1,0)</f>
        <v/>
      </c>
      <c r="AA888" s="36">
        <f>IF(AND(OR(sel_Region="All",C888=sel_Region),OR(sel_Country="All",D888=sel_Country),OR(sel_Channel="All",E888=sel_Channel),OR(sel_Customer="All",F888=sel_Customer),OR(sel_Category="All",G888=sel_Category),OR(sel_Product="All",H888=sel_Product)),1,0)</f>
        <v/>
      </c>
    </row>
    <row r="889">
      <c r="A889" s="36" t="inlineStr">
        <is>
          <t>01597</t>
        </is>
      </c>
      <c r="B889" s="44" t="n">
        <v>46165</v>
      </c>
      <c r="C889" s="36" t="inlineStr">
        <is>
          <t>Western Europe</t>
        </is>
      </c>
      <c r="D889" s="36" t="inlineStr">
        <is>
          <t>United Kingdom</t>
        </is>
      </c>
      <c r="E889" s="36" t="inlineStr">
        <is>
          <t>Online Store</t>
        </is>
      </c>
      <c r="F889" s="36" t="inlineStr">
        <is>
          <t>Returning</t>
        </is>
      </c>
      <c r="G889" s="36" t="inlineStr">
        <is>
          <t>Travel</t>
        </is>
      </c>
      <c r="H889" s="36" t="inlineStr">
        <is>
          <t>Carry-On Duffel</t>
        </is>
      </c>
      <c r="I889" s="36" t="n">
        <v>1</v>
      </c>
      <c r="J889" s="39" t="n">
        <v>136.67</v>
      </c>
      <c r="K889" s="45" t="n">
        <v>0.05</v>
      </c>
      <c r="L889" s="39" t="n">
        <v>67.09999999999999</v>
      </c>
      <c r="M889" s="39">
        <f>I889*J889*(1-K889)</f>
        <v/>
      </c>
      <c r="N889" s="39">
        <f>I889*L889</f>
        <v/>
      </c>
      <c r="O889" s="39">
        <f>M889-N889</f>
        <v/>
      </c>
      <c r="P889" s="38">
        <f>IF(M889=0,0,O889/M889)</f>
        <v/>
      </c>
      <c r="Q889" s="36">
        <f>YEAR(B889)</f>
        <v/>
      </c>
      <c r="R889" s="36">
        <f>"Q"&amp;ROUNDUP(MONTH(B889)/3,0)</f>
        <v/>
      </c>
      <c r="S889" s="36">
        <f>MONTH(B889)</f>
        <v/>
      </c>
      <c r="T889" s="36">
        <f>TEXT(B889,"mmm")</f>
        <v/>
      </c>
      <c r="U889" s="36">
        <f>IF(AND(OR(sel_Region="All",C889=sel_Region),OR(sel_Country="All",D889=sel_Country),OR(sel_Channel="All",E889=sel_Channel),OR(sel_Customer="All",F889=sel_Customer),OR(sel_Category="All",G889=sel_Category),OR(sel_Product="All",H889=sel_Product),AND(S889&gt;=m_From,S889&lt;=m_To)),1,0)</f>
        <v/>
      </c>
      <c r="V889" s="36">
        <f>IF(AND(OR(sel_Region="All",C889=sel_Region),OR(sel_Channel="All",E889=sel_Channel),OR(sel_Customer="All",F889=sel_Customer),OR(sel_Category="All",G889=sel_Category),OR(sel_Product="All",H889=sel_Product),AND(S889&gt;=m_From,S889&lt;=m_To)),1,0)</f>
        <v/>
      </c>
      <c r="W889" s="36">
        <f>IF(AND(OR(sel_Region="All",C889=sel_Region),OR(sel_Country="All",D889=sel_Country),OR(sel_Customer="All",F889=sel_Customer),OR(sel_Category="All",G889=sel_Category),OR(sel_Product="All",H889=sel_Product),AND(S889&gt;=m_From,S889&lt;=m_To)),1,0)</f>
        <v/>
      </c>
      <c r="X889" s="36">
        <f>IF(AND(OR(sel_Region="All",C889=sel_Region),OR(sel_Country="All",D889=sel_Country),OR(sel_Channel="All",E889=sel_Channel),OR(sel_Category="All",G889=sel_Category),OR(sel_Product="All",H889=sel_Product),AND(S889&gt;=m_From,S889&lt;=m_To)),1,0)</f>
        <v/>
      </c>
      <c r="Y889" s="36">
        <f>IF(AND(OR(sel_Region="All",C889=sel_Region),OR(sel_Country="All",D889=sel_Country),OR(sel_Channel="All",E889=sel_Channel),OR(sel_Customer="All",F889=sel_Customer),OR(sel_Product="All",H889=sel_Product),AND(S889&gt;=m_From,S889&lt;=m_To)),1,0)</f>
        <v/>
      </c>
      <c r="Z889" s="36">
        <f>IF(AND(OR(sel_Region="All",C889=sel_Region),OR(sel_Country="All",D889=sel_Country),OR(sel_Channel="All",E889=sel_Channel),OR(sel_Customer="All",F889=sel_Customer),OR(sel_Category="All",G889=sel_Category),AND(S889&gt;=m_From,S889&lt;=m_To)),1,0)</f>
        <v/>
      </c>
      <c r="AA889" s="36">
        <f>IF(AND(OR(sel_Region="All",C889=sel_Region),OR(sel_Country="All",D889=sel_Country),OR(sel_Channel="All",E889=sel_Channel),OR(sel_Customer="All",F889=sel_Customer),OR(sel_Category="All",G889=sel_Category),OR(sel_Product="All",H889=sel_Product)),1,0)</f>
        <v/>
      </c>
    </row>
    <row r="890">
      <c r="A890" s="36" t="inlineStr">
        <is>
          <t>02273</t>
        </is>
      </c>
      <c r="B890" s="44" t="n">
        <v>46165</v>
      </c>
      <c r="C890" s="36" t="inlineStr">
        <is>
          <t>Northern Europe</t>
        </is>
      </c>
      <c r="D890" s="36" t="inlineStr">
        <is>
          <t>Sweden</t>
        </is>
      </c>
      <c r="E890" s="36" t="inlineStr">
        <is>
          <t>Retail Partners</t>
        </is>
      </c>
      <c r="F890" s="36" t="inlineStr">
        <is>
          <t>New</t>
        </is>
      </c>
      <c r="G890" s="36" t="inlineStr">
        <is>
          <t>Fitness</t>
        </is>
      </c>
      <c r="H890" s="36" t="inlineStr">
        <is>
          <t>Recovery Roller</t>
        </is>
      </c>
      <c r="I890" s="36" t="n">
        <v>2</v>
      </c>
      <c r="J890" s="39" t="n">
        <v>35.7</v>
      </c>
      <c r="K890" s="45" t="n">
        <v>0</v>
      </c>
      <c r="L890" s="39" t="n">
        <v>13.52</v>
      </c>
      <c r="M890" s="39">
        <f>I890*J890*(1-K890)</f>
        <v/>
      </c>
      <c r="N890" s="39">
        <f>I890*L890</f>
        <v/>
      </c>
      <c r="O890" s="39">
        <f>M890-N890</f>
        <v/>
      </c>
      <c r="P890" s="38">
        <f>IF(M890=0,0,O890/M890)</f>
        <v/>
      </c>
      <c r="Q890" s="36">
        <f>YEAR(B890)</f>
        <v/>
      </c>
      <c r="R890" s="36">
        <f>"Q"&amp;ROUNDUP(MONTH(B890)/3,0)</f>
        <v/>
      </c>
      <c r="S890" s="36">
        <f>MONTH(B890)</f>
        <v/>
      </c>
      <c r="T890" s="36">
        <f>TEXT(B890,"mmm")</f>
        <v/>
      </c>
      <c r="U890" s="36">
        <f>IF(AND(OR(sel_Region="All",C890=sel_Region),OR(sel_Country="All",D890=sel_Country),OR(sel_Channel="All",E890=sel_Channel),OR(sel_Customer="All",F890=sel_Customer),OR(sel_Category="All",G890=sel_Category),OR(sel_Product="All",H890=sel_Product),AND(S890&gt;=m_From,S890&lt;=m_To)),1,0)</f>
        <v/>
      </c>
      <c r="V890" s="36">
        <f>IF(AND(OR(sel_Region="All",C890=sel_Region),OR(sel_Channel="All",E890=sel_Channel),OR(sel_Customer="All",F890=sel_Customer),OR(sel_Category="All",G890=sel_Category),OR(sel_Product="All",H890=sel_Product),AND(S890&gt;=m_From,S890&lt;=m_To)),1,0)</f>
        <v/>
      </c>
      <c r="W890" s="36">
        <f>IF(AND(OR(sel_Region="All",C890=sel_Region),OR(sel_Country="All",D890=sel_Country),OR(sel_Customer="All",F890=sel_Customer),OR(sel_Category="All",G890=sel_Category),OR(sel_Product="All",H890=sel_Product),AND(S890&gt;=m_From,S890&lt;=m_To)),1,0)</f>
        <v/>
      </c>
      <c r="X890" s="36">
        <f>IF(AND(OR(sel_Region="All",C890=sel_Region),OR(sel_Country="All",D890=sel_Country),OR(sel_Channel="All",E890=sel_Channel),OR(sel_Category="All",G890=sel_Category),OR(sel_Product="All",H890=sel_Product),AND(S890&gt;=m_From,S890&lt;=m_To)),1,0)</f>
        <v/>
      </c>
      <c r="Y890" s="36">
        <f>IF(AND(OR(sel_Region="All",C890=sel_Region),OR(sel_Country="All",D890=sel_Country),OR(sel_Channel="All",E890=sel_Channel),OR(sel_Customer="All",F890=sel_Customer),OR(sel_Product="All",H890=sel_Product),AND(S890&gt;=m_From,S890&lt;=m_To)),1,0)</f>
        <v/>
      </c>
      <c r="Z890" s="36">
        <f>IF(AND(OR(sel_Region="All",C890=sel_Region),OR(sel_Country="All",D890=sel_Country),OR(sel_Channel="All",E890=sel_Channel),OR(sel_Customer="All",F890=sel_Customer),OR(sel_Category="All",G890=sel_Category),AND(S890&gt;=m_From,S890&lt;=m_To)),1,0)</f>
        <v/>
      </c>
      <c r="AA890" s="36">
        <f>IF(AND(OR(sel_Region="All",C890=sel_Region),OR(sel_Country="All",D890=sel_Country),OR(sel_Channel="All",E890=sel_Channel),OR(sel_Customer="All",F890=sel_Customer),OR(sel_Category="All",G890=sel_Category),OR(sel_Product="All",H890=sel_Product)),1,0)</f>
        <v/>
      </c>
    </row>
    <row r="891">
      <c r="A891" s="36" t="inlineStr">
        <is>
          <t>02931</t>
        </is>
      </c>
      <c r="B891" s="44" t="n">
        <v>46165</v>
      </c>
      <c r="C891" s="36" t="inlineStr">
        <is>
          <t>Southern Europe</t>
        </is>
      </c>
      <c r="D891" s="36" t="inlineStr">
        <is>
          <t>Spain</t>
        </is>
      </c>
      <c r="E891" s="36" t="inlineStr">
        <is>
          <t>Online Store</t>
        </is>
      </c>
      <c r="F891" s="36" t="inlineStr">
        <is>
          <t>Returning</t>
        </is>
      </c>
      <c r="G891" s="36" t="inlineStr">
        <is>
          <t>Cycling</t>
        </is>
      </c>
      <c r="H891" s="36" t="inlineStr">
        <is>
          <t>Cycling Pack 12L</t>
        </is>
      </c>
      <c r="I891" s="36" t="n">
        <v>1</v>
      </c>
      <c r="J891" s="39" t="n">
        <v>100.87</v>
      </c>
      <c r="K891" s="45" t="n">
        <v>0</v>
      </c>
      <c r="L891" s="39" t="n">
        <v>50.4</v>
      </c>
      <c r="M891" s="39">
        <f>I891*J891*(1-K891)</f>
        <v/>
      </c>
      <c r="N891" s="39">
        <f>I891*L891</f>
        <v/>
      </c>
      <c r="O891" s="39">
        <f>M891-N891</f>
        <v/>
      </c>
      <c r="P891" s="38">
        <f>IF(M891=0,0,O891/M891)</f>
        <v/>
      </c>
      <c r="Q891" s="36">
        <f>YEAR(B891)</f>
        <v/>
      </c>
      <c r="R891" s="36">
        <f>"Q"&amp;ROUNDUP(MONTH(B891)/3,0)</f>
        <v/>
      </c>
      <c r="S891" s="36">
        <f>MONTH(B891)</f>
        <v/>
      </c>
      <c r="T891" s="36">
        <f>TEXT(B891,"mmm")</f>
        <v/>
      </c>
      <c r="U891" s="36">
        <f>IF(AND(OR(sel_Region="All",C891=sel_Region),OR(sel_Country="All",D891=sel_Country),OR(sel_Channel="All",E891=sel_Channel),OR(sel_Customer="All",F891=sel_Customer),OR(sel_Category="All",G891=sel_Category),OR(sel_Product="All",H891=sel_Product),AND(S891&gt;=m_From,S891&lt;=m_To)),1,0)</f>
        <v/>
      </c>
      <c r="V891" s="36">
        <f>IF(AND(OR(sel_Region="All",C891=sel_Region),OR(sel_Channel="All",E891=sel_Channel),OR(sel_Customer="All",F891=sel_Customer),OR(sel_Category="All",G891=sel_Category),OR(sel_Product="All",H891=sel_Product),AND(S891&gt;=m_From,S891&lt;=m_To)),1,0)</f>
        <v/>
      </c>
      <c r="W891" s="36">
        <f>IF(AND(OR(sel_Region="All",C891=sel_Region),OR(sel_Country="All",D891=sel_Country),OR(sel_Customer="All",F891=sel_Customer),OR(sel_Category="All",G891=sel_Category),OR(sel_Product="All",H891=sel_Product),AND(S891&gt;=m_From,S891&lt;=m_To)),1,0)</f>
        <v/>
      </c>
      <c r="X891" s="36">
        <f>IF(AND(OR(sel_Region="All",C891=sel_Region),OR(sel_Country="All",D891=sel_Country),OR(sel_Channel="All",E891=sel_Channel),OR(sel_Category="All",G891=sel_Category),OR(sel_Product="All",H891=sel_Product),AND(S891&gt;=m_From,S891&lt;=m_To)),1,0)</f>
        <v/>
      </c>
      <c r="Y891" s="36">
        <f>IF(AND(OR(sel_Region="All",C891=sel_Region),OR(sel_Country="All",D891=sel_Country),OR(sel_Channel="All",E891=sel_Channel),OR(sel_Customer="All",F891=sel_Customer),OR(sel_Product="All",H891=sel_Product),AND(S891&gt;=m_From,S891&lt;=m_To)),1,0)</f>
        <v/>
      </c>
      <c r="Z891" s="36">
        <f>IF(AND(OR(sel_Region="All",C891=sel_Region),OR(sel_Country="All",D891=sel_Country),OR(sel_Channel="All",E891=sel_Channel),OR(sel_Customer="All",F891=sel_Customer),OR(sel_Category="All",G891=sel_Category),AND(S891&gt;=m_From,S891&lt;=m_To)),1,0)</f>
        <v/>
      </c>
      <c r="AA891" s="36">
        <f>IF(AND(OR(sel_Region="All",C891=sel_Region),OR(sel_Country="All",D891=sel_Country),OR(sel_Channel="All",E891=sel_Channel),OR(sel_Customer="All",F891=sel_Customer),OR(sel_Category="All",G891=sel_Category),OR(sel_Product="All",H891=sel_Product)),1,0)</f>
        <v/>
      </c>
    </row>
    <row r="892">
      <c r="A892" s="36" t="inlineStr">
        <is>
          <t>04143</t>
        </is>
      </c>
      <c r="B892" s="44" t="n">
        <v>46165</v>
      </c>
      <c r="C892" s="36" t="inlineStr">
        <is>
          <t>Northern Europe</t>
        </is>
      </c>
      <c r="D892" s="36" t="inlineStr">
        <is>
          <t>Norway</t>
        </is>
      </c>
      <c r="E892" s="36" t="inlineStr">
        <is>
          <t>Retail Partners</t>
        </is>
      </c>
      <c r="F892" s="36" t="inlineStr">
        <is>
          <t>Returning</t>
        </is>
      </c>
      <c r="G892" s="36" t="inlineStr">
        <is>
          <t>Travel</t>
        </is>
      </c>
      <c r="H892" s="36" t="inlineStr">
        <is>
          <t>Carry-On Duffel</t>
        </is>
      </c>
      <c r="I892" s="36" t="n">
        <v>1</v>
      </c>
      <c r="J892" s="39" t="n">
        <v>130.8</v>
      </c>
      <c r="K892" s="45" t="n">
        <v>0</v>
      </c>
      <c r="L892" s="39" t="n">
        <v>68.7</v>
      </c>
      <c r="M892" s="39">
        <f>I892*J892*(1-K892)</f>
        <v/>
      </c>
      <c r="N892" s="39">
        <f>I892*L892</f>
        <v/>
      </c>
      <c r="O892" s="39">
        <f>M892-N892</f>
        <v/>
      </c>
      <c r="P892" s="38">
        <f>IF(M892=0,0,O892/M892)</f>
        <v/>
      </c>
      <c r="Q892" s="36">
        <f>YEAR(B892)</f>
        <v/>
      </c>
      <c r="R892" s="36">
        <f>"Q"&amp;ROUNDUP(MONTH(B892)/3,0)</f>
        <v/>
      </c>
      <c r="S892" s="36">
        <f>MONTH(B892)</f>
        <v/>
      </c>
      <c r="T892" s="36">
        <f>TEXT(B892,"mmm")</f>
        <v/>
      </c>
      <c r="U892" s="36">
        <f>IF(AND(OR(sel_Region="All",C892=sel_Region),OR(sel_Country="All",D892=sel_Country),OR(sel_Channel="All",E892=sel_Channel),OR(sel_Customer="All",F892=sel_Customer),OR(sel_Category="All",G892=sel_Category),OR(sel_Product="All",H892=sel_Product),AND(S892&gt;=m_From,S892&lt;=m_To)),1,0)</f>
        <v/>
      </c>
      <c r="V892" s="36">
        <f>IF(AND(OR(sel_Region="All",C892=sel_Region),OR(sel_Channel="All",E892=sel_Channel),OR(sel_Customer="All",F892=sel_Customer),OR(sel_Category="All",G892=sel_Category),OR(sel_Product="All",H892=sel_Product),AND(S892&gt;=m_From,S892&lt;=m_To)),1,0)</f>
        <v/>
      </c>
      <c r="W892" s="36">
        <f>IF(AND(OR(sel_Region="All",C892=sel_Region),OR(sel_Country="All",D892=sel_Country),OR(sel_Customer="All",F892=sel_Customer),OR(sel_Category="All",G892=sel_Category),OR(sel_Product="All",H892=sel_Product),AND(S892&gt;=m_From,S892&lt;=m_To)),1,0)</f>
        <v/>
      </c>
      <c r="X892" s="36">
        <f>IF(AND(OR(sel_Region="All",C892=sel_Region),OR(sel_Country="All",D892=sel_Country),OR(sel_Channel="All",E892=sel_Channel),OR(sel_Category="All",G892=sel_Category),OR(sel_Product="All",H892=sel_Product),AND(S892&gt;=m_From,S892&lt;=m_To)),1,0)</f>
        <v/>
      </c>
      <c r="Y892" s="36">
        <f>IF(AND(OR(sel_Region="All",C892=sel_Region),OR(sel_Country="All",D892=sel_Country),OR(sel_Channel="All",E892=sel_Channel),OR(sel_Customer="All",F892=sel_Customer),OR(sel_Product="All",H892=sel_Product),AND(S892&gt;=m_From,S892&lt;=m_To)),1,0)</f>
        <v/>
      </c>
      <c r="Z892" s="36">
        <f>IF(AND(OR(sel_Region="All",C892=sel_Region),OR(sel_Country="All",D892=sel_Country),OR(sel_Channel="All",E892=sel_Channel),OR(sel_Customer="All",F892=sel_Customer),OR(sel_Category="All",G892=sel_Category),AND(S892&gt;=m_From,S892&lt;=m_To)),1,0)</f>
        <v/>
      </c>
      <c r="AA892" s="36">
        <f>IF(AND(OR(sel_Region="All",C892=sel_Region),OR(sel_Country="All",D892=sel_Country),OR(sel_Channel="All",E892=sel_Channel),OR(sel_Customer="All",F892=sel_Customer),OR(sel_Category="All",G892=sel_Category),OR(sel_Product="All",H892=sel_Product)),1,0)</f>
        <v/>
      </c>
    </row>
    <row r="893">
      <c r="A893" s="36" t="inlineStr">
        <is>
          <t>04504</t>
        </is>
      </c>
      <c r="B893" s="44" t="n">
        <v>46165</v>
      </c>
      <c r="C893" s="36" t="inlineStr">
        <is>
          <t>Southern Europe</t>
        </is>
      </c>
      <c r="D893" s="36" t="inlineStr">
        <is>
          <t>Portugal</t>
        </is>
      </c>
      <c r="E893" s="36" t="inlineStr">
        <is>
          <t>Marketplace</t>
        </is>
      </c>
      <c r="F893" s="36" t="inlineStr">
        <is>
          <t>Returning</t>
        </is>
      </c>
      <c r="G893" s="36" t="inlineStr">
        <is>
          <t>Hiking</t>
        </is>
      </c>
      <c r="H893" s="36" t="inlineStr">
        <is>
          <t>Summit Backpack 45L</t>
        </is>
      </c>
      <c r="I893" s="36" t="n">
        <v>1</v>
      </c>
      <c r="J893" s="39" t="n">
        <v>153.89</v>
      </c>
      <c r="K893" s="45" t="n">
        <v>0</v>
      </c>
      <c r="L893" s="39" t="n">
        <v>79.64</v>
      </c>
      <c r="M893" s="39">
        <f>I893*J893*(1-K893)</f>
        <v/>
      </c>
      <c r="N893" s="39">
        <f>I893*L893</f>
        <v/>
      </c>
      <c r="O893" s="39">
        <f>M893-N893</f>
        <v/>
      </c>
      <c r="P893" s="38">
        <f>IF(M893=0,0,O893/M893)</f>
        <v/>
      </c>
      <c r="Q893" s="36">
        <f>YEAR(B893)</f>
        <v/>
      </c>
      <c r="R893" s="36">
        <f>"Q"&amp;ROUNDUP(MONTH(B893)/3,0)</f>
        <v/>
      </c>
      <c r="S893" s="36">
        <f>MONTH(B893)</f>
        <v/>
      </c>
      <c r="T893" s="36">
        <f>TEXT(B893,"mmm")</f>
        <v/>
      </c>
      <c r="U893" s="36">
        <f>IF(AND(OR(sel_Region="All",C893=sel_Region),OR(sel_Country="All",D893=sel_Country),OR(sel_Channel="All",E893=sel_Channel),OR(sel_Customer="All",F893=sel_Customer),OR(sel_Category="All",G893=sel_Category),OR(sel_Product="All",H893=sel_Product),AND(S893&gt;=m_From,S893&lt;=m_To)),1,0)</f>
        <v/>
      </c>
      <c r="V893" s="36">
        <f>IF(AND(OR(sel_Region="All",C893=sel_Region),OR(sel_Channel="All",E893=sel_Channel),OR(sel_Customer="All",F893=sel_Customer),OR(sel_Category="All",G893=sel_Category),OR(sel_Product="All",H893=sel_Product),AND(S893&gt;=m_From,S893&lt;=m_To)),1,0)</f>
        <v/>
      </c>
      <c r="W893" s="36">
        <f>IF(AND(OR(sel_Region="All",C893=sel_Region),OR(sel_Country="All",D893=sel_Country),OR(sel_Customer="All",F893=sel_Customer),OR(sel_Category="All",G893=sel_Category),OR(sel_Product="All",H893=sel_Product),AND(S893&gt;=m_From,S893&lt;=m_To)),1,0)</f>
        <v/>
      </c>
      <c r="X893" s="36">
        <f>IF(AND(OR(sel_Region="All",C893=sel_Region),OR(sel_Country="All",D893=sel_Country),OR(sel_Channel="All",E893=sel_Channel),OR(sel_Category="All",G893=sel_Category),OR(sel_Product="All",H893=sel_Product),AND(S893&gt;=m_From,S893&lt;=m_To)),1,0)</f>
        <v/>
      </c>
      <c r="Y893" s="36">
        <f>IF(AND(OR(sel_Region="All",C893=sel_Region),OR(sel_Country="All",D893=sel_Country),OR(sel_Channel="All",E893=sel_Channel),OR(sel_Customer="All",F893=sel_Customer),OR(sel_Product="All",H893=sel_Product),AND(S893&gt;=m_From,S893&lt;=m_To)),1,0)</f>
        <v/>
      </c>
      <c r="Z893" s="36">
        <f>IF(AND(OR(sel_Region="All",C893=sel_Region),OR(sel_Country="All",D893=sel_Country),OR(sel_Channel="All",E893=sel_Channel),OR(sel_Customer="All",F893=sel_Customer),OR(sel_Category="All",G893=sel_Category),AND(S893&gt;=m_From,S893&lt;=m_To)),1,0)</f>
        <v/>
      </c>
      <c r="AA893" s="36">
        <f>IF(AND(OR(sel_Region="All",C893=sel_Region),OR(sel_Country="All",D893=sel_Country),OR(sel_Channel="All",E893=sel_Channel),OR(sel_Customer="All",F893=sel_Customer),OR(sel_Category="All",G893=sel_Category),OR(sel_Product="All",H893=sel_Product)),1,0)</f>
        <v/>
      </c>
    </row>
    <row r="894">
      <c r="A894" s="36" t="inlineStr">
        <is>
          <t>00656</t>
        </is>
      </c>
      <c r="B894" s="44" t="n">
        <v>46166</v>
      </c>
      <c r="C894" s="36" t="inlineStr">
        <is>
          <t>Western Europe</t>
        </is>
      </c>
      <c r="D894" s="36" t="inlineStr">
        <is>
          <t>Netherlands</t>
        </is>
      </c>
      <c r="E894" s="36" t="inlineStr">
        <is>
          <t>Online Store</t>
        </is>
      </c>
      <c r="F894" s="36" t="inlineStr">
        <is>
          <t>New</t>
        </is>
      </c>
      <c r="G894" s="36" t="inlineStr">
        <is>
          <t>Camping</t>
        </is>
      </c>
      <c r="H894" s="36" t="inlineStr">
        <is>
          <t>Compact Sleeping Bag</t>
        </is>
      </c>
      <c r="I894" s="36" t="n">
        <v>1</v>
      </c>
      <c r="J894" s="39" t="n">
        <v>122.51</v>
      </c>
      <c r="K894" s="45" t="n">
        <v>0.15</v>
      </c>
      <c r="L894" s="39" t="n">
        <v>62.2</v>
      </c>
      <c r="M894" s="39">
        <f>I894*J894*(1-K894)</f>
        <v/>
      </c>
      <c r="N894" s="39">
        <f>I894*L894</f>
        <v/>
      </c>
      <c r="O894" s="39">
        <f>M894-N894</f>
        <v/>
      </c>
      <c r="P894" s="38">
        <f>IF(M894=0,0,O894/M894)</f>
        <v/>
      </c>
      <c r="Q894" s="36">
        <f>YEAR(B894)</f>
        <v/>
      </c>
      <c r="R894" s="36">
        <f>"Q"&amp;ROUNDUP(MONTH(B894)/3,0)</f>
        <v/>
      </c>
      <c r="S894" s="36">
        <f>MONTH(B894)</f>
        <v/>
      </c>
      <c r="T894" s="36">
        <f>TEXT(B894,"mmm")</f>
        <v/>
      </c>
      <c r="U894" s="36">
        <f>IF(AND(OR(sel_Region="All",C894=sel_Region),OR(sel_Country="All",D894=sel_Country),OR(sel_Channel="All",E894=sel_Channel),OR(sel_Customer="All",F894=sel_Customer),OR(sel_Category="All",G894=sel_Category),OR(sel_Product="All",H894=sel_Product),AND(S894&gt;=m_From,S894&lt;=m_To)),1,0)</f>
        <v/>
      </c>
      <c r="V894" s="36">
        <f>IF(AND(OR(sel_Region="All",C894=sel_Region),OR(sel_Channel="All",E894=sel_Channel),OR(sel_Customer="All",F894=sel_Customer),OR(sel_Category="All",G894=sel_Category),OR(sel_Product="All",H894=sel_Product),AND(S894&gt;=m_From,S894&lt;=m_To)),1,0)</f>
        <v/>
      </c>
      <c r="W894" s="36">
        <f>IF(AND(OR(sel_Region="All",C894=sel_Region),OR(sel_Country="All",D894=sel_Country),OR(sel_Customer="All",F894=sel_Customer),OR(sel_Category="All",G894=sel_Category),OR(sel_Product="All",H894=sel_Product),AND(S894&gt;=m_From,S894&lt;=m_To)),1,0)</f>
        <v/>
      </c>
      <c r="X894" s="36">
        <f>IF(AND(OR(sel_Region="All",C894=sel_Region),OR(sel_Country="All",D894=sel_Country),OR(sel_Channel="All",E894=sel_Channel),OR(sel_Category="All",G894=sel_Category),OR(sel_Product="All",H894=sel_Product),AND(S894&gt;=m_From,S894&lt;=m_To)),1,0)</f>
        <v/>
      </c>
      <c r="Y894" s="36">
        <f>IF(AND(OR(sel_Region="All",C894=sel_Region),OR(sel_Country="All",D894=sel_Country),OR(sel_Channel="All",E894=sel_Channel),OR(sel_Customer="All",F894=sel_Customer),OR(sel_Product="All",H894=sel_Product),AND(S894&gt;=m_From,S894&lt;=m_To)),1,0)</f>
        <v/>
      </c>
      <c r="Z894" s="36">
        <f>IF(AND(OR(sel_Region="All",C894=sel_Region),OR(sel_Country="All",D894=sel_Country),OR(sel_Channel="All",E894=sel_Channel),OR(sel_Customer="All",F894=sel_Customer),OR(sel_Category="All",G894=sel_Category),AND(S894&gt;=m_From,S894&lt;=m_To)),1,0)</f>
        <v/>
      </c>
      <c r="AA894" s="36">
        <f>IF(AND(OR(sel_Region="All",C894=sel_Region),OR(sel_Country="All",D894=sel_Country),OR(sel_Channel="All",E894=sel_Channel),OR(sel_Customer="All",F894=sel_Customer),OR(sel_Category="All",G894=sel_Category),OR(sel_Product="All",H894=sel_Product)),1,0)</f>
        <v/>
      </c>
    </row>
    <row r="895">
      <c r="A895" s="36" t="inlineStr">
        <is>
          <t>00979</t>
        </is>
      </c>
      <c r="B895" s="44" t="n">
        <v>46166</v>
      </c>
      <c r="C895" s="36" t="inlineStr">
        <is>
          <t>Western Europe</t>
        </is>
      </c>
      <c r="D895" s="36" t="inlineStr">
        <is>
          <t>Belgium</t>
        </is>
      </c>
      <c r="E895" s="36" t="inlineStr">
        <is>
          <t>Corporate</t>
        </is>
      </c>
      <c r="F895" s="36" t="inlineStr">
        <is>
          <t>Returning</t>
        </is>
      </c>
      <c r="G895" s="36" t="inlineStr">
        <is>
          <t>Cycling</t>
        </is>
      </c>
      <c r="H895" s="36" t="inlineStr">
        <is>
          <t>Commuter Helmet</t>
        </is>
      </c>
      <c r="I895" s="36" t="n">
        <v>8</v>
      </c>
      <c r="J895" s="39" t="n">
        <v>79.94</v>
      </c>
      <c r="K895" s="45" t="n">
        <v>0.15</v>
      </c>
      <c r="L895" s="39" t="n">
        <v>41.65</v>
      </c>
      <c r="M895" s="39">
        <f>I895*J895*(1-K895)</f>
        <v/>
      </c>
      <c r="N895" s="39">
        <f>I895*L895</f>
        <v/>
      </c>
      <c r="O895" s="39">
        <f>M895-N895</f>
        <v/>
      </c>
      <c r="P895" s="38">
        <f>IF(M895=0,0,O895/M895)</f>
        <v/>
      </c>
      <c r="Q895" s="36">
        <f>YEAR(B895)</f>
        <v/>
      </c>
      <c r="R895" s="36">
        <f>"Q"&amp;ROUNDUP(MONTH(B895)/3,0)</f>
        <v/>
      </c>
      <c r="S895" s="36">
        <f>MONTH(B895)</f>
        <v/>
      </c>
      <c r="T895" s="36">
        <f>TEXT(B895,"mmm")</f>
        <v/>
      </c>
      <c r="U895" s="36">
        <f>IF(AND(OR(sel_Region="All",C895=sel_Region),OR(sel_Country="All",D895=sel_Country),OR(sel_Channel="All",E895=sel_Channel),OR(sel_Customer="All",F895=sel_Customer),OR(sel_Category="All",G895=sel_Category),OR(sel_Product="All",H895=sel_Product),AND(S895&gt;=m_From,S895&lt;=m_To)),1,0)</f>
        <v/>
      </c>
      <c r="V895" s="36">
        <f>IF(AND(OR(sel_Region="All",C895=sel_Region),OR(sel_Channel="All",E895=sel_Channel),OR(sel_Customer="All",F895=sel_Customer),OR(sel_Category="All",G895=sel_Category),OR(sel_Product="All",H895=sel_Product),AND(S895&gt;=m_From,S895&lt;=m_To)),1,0)</f>
        <v/>
      </c>
      <c r="W895" s="36">
        <f>IF(AND(OR(sel_Region="All",C895=sel_Region),OR(sel_Country="All",D895=sel_Country),OR(sel_Customer="All",F895=sel_Customer),OR(sel_Category="All",G895=sel_Category),OR(sel_Product="All",H895=sel_Product),AND(S895&gt;=m_From,S895&lt;=m_To)),1,0)</f>
        <v/>
      </c>
      <c r="X895" s="36">
        <f>IF(AND(OR(sel_Region="All",C895=sel_Region),OR(sel_Country="All",D895=sel_Country),OR(sel_Channel="All",E895=sel_Channel),OR(sel_Category="All",G895=sel_Category),OR(sel_Product="All",H895=sel_Product),AND(S895&gt;=m_From,S895&lt;=m_To)),1,0)</f>
        <v/>
      </c>
      <c r="Y895" s="36">
        <f>IF(AND(OR(sel_Region="All",C895=sel_Region),OR(sel_Country="All",D895=sel_Country),OR(sel_Channel="All",E895=sel_Channel),OR(sel_Customer="All",F895=sel_Customer),OR(sel_Product="All",H895=sel_Product),AND(S895&gt;=m_From,S895&lt;=m_To)),1,0)</f>
        <v/>
      </c>
      <c r="Z895" s="36">
        <f>IF(AND(OR(sel_Region="All",C895=sel_Region),OR(sel_Country="All",D895=sel_Country),OR(sel_Channel="All",E895=sel_Channel),OR(sel_Customer="All",F895=sel_Customer),OR(sel_Category="All",G895=sel_Category),AND(S895&gt;=m_From,S895&lt;=m_To)),1,0)</f>
        <v/>
      </c>
      <c r="AA895" s="36">
        <f>IF(AND(OR(sel_Region="All",C895=sel_Region),OR(sel_Country="All",D895=sel_Country),OR(sel_Channel="All",E895=sel_Channel),OR(sel_Customer="All",F895=sel_Customer),OR(sel_Category="All",G895=sel_Category),OR(sel_Product="All",H895=sel_Product)),1,0)</f>
        <v/>
      </c>
    </row>
    <row r="896">
      <c r="A896" s="36" t="inlineStr">
        <is>
          <t>01510</t>
        </is>
      </c>
      <c r="B896" s="44" t="n">
        <v>46166</v>
      </c>
      <c r="C896" s="36" t="inlineStr">
        <is>
          <t>Western Europe</t>
        </is>
      </c>
      <c r="D896" s="36" t="inlineStr">
        <is>
          <t>Netherlands</t>
        </is>
      </c>
      <c r="E896" s="36" t="inlineStr">
        <is>
          <t>Online Store</t>
        </is>
      </c>
      <c r="F896" s="36" t="inlineStr">
        <is>
          <t>New</t>
        </is>
      </c>
      <c r="G896" s="36" t="inlineStr">
        <is>
          <t>Cycling</t>
        </is>
      </c>
      <c r="H896" s="36" t="inlineStr">
        <is>
          <t>Trail Bike Light</t>
        </is>
      </c>
      <c r="I896" s="36" t="n">
        <v>2</v>
      </c>
      <c r="J896" s="39" t="n">
        <v>50.78</v>
      </c>
      <c r="K896" s="45" t="n">
        <v>0.05</v>
      </c>
      <c r="L896" s="39" t="n">
        <v>23.03</v>
      </c>
      <c r="M896" s="39">
        <f>I896*J896*(1-K896)</f>
        <v/>
      </c>
      <c r="N896" s="39">
        <f>I896*L896</f>
        <v/>
      </c>
      <c r="O896" s="39">
        <f>M896-N896</f>
        <v/>
      </c>
      <c r="P896" s="38">
        <f>IF(M896=0,0,O896/M896)</f>
        <v/>
      </c>
      <c r="Q896" s="36">
        <f>YEAR(B896)</f>
        <v/>
      </c>
      <c r="R896" s="36">
        <f>"Q"&amp;ROUNDUP(MONTH(B896)/3,0)</f>
        <v/>
      </c>
      <c r="S896" s="36">
        <f>MONTH(B896)</f>
        <v/>
      </c>
      <c r="T896" s="36">
        <f>TEXT(B896,"mmm")</f>
        <v/>
      </c>
      <c r="U896" s="36">
        <f>IF(AND(OR(sel_Region="All",C896=sel_Region),OR(sel_Country="All",D896=sel_Country),OR(sel_Channel="All",E896=sel_Channel),OR(sel_Customer="All",F896=sel_Customer),OR(sel_Category="All",G896=sel_Category),OR(sel_Product="All",H896=sel_Product),AND(S896&gt;=m_From,S896&lt;=m_To)),1,0)</f>
        <v/>
      </c>
      <c r="V896" s="36">
        <f>IF(AND(OR(sel_Region="All",C896=sel_Region),OR(sel_Channel="All",E896=sel_Channel),OR(sel_Customer="All",F896=sel_Customer),OR(sel_Category="All",G896=sel_Category),OR(sel_Product="All",H896=sel_Product),AND(S896&gt;=m_From,S896&lt;=m_To)),1,0)</f>
        <v/>
      </c>
      <c r="W896" s="36">
        <f>IF(AND(OR(sel_Region="All",C896=sel_Region),OR(sel_Country="All",D896=sel_Country),OR(sel_Customer="All",F896=sel_Customer),OR(sel_Category="All",G896=sel_Category),OR(sel_Product="All",H896=sel_Product),AND(S896&gt;=m_From,S896&lt;=m_To)),1,0)</f>
        <v/>
      </c>
      <c r="X896" s="36">
        <f>IF(AND(OR(sel_Region="All",C896=sel_Region),OR(sel_Country="All",D896=sel_Country),OR(sel_Channel="All",E896=sel_Channel),OR(sel_Category="All",G896=sel_Category),OR(sel_Product="All",H896=sel_Product),AND(S896&gt;=m_From,S896&lt;=m_To)),1,0)</f>
        <v/>
      </c>
      <c r="Y896" s="36">
        <f>IF(AND(OR(sel_Region="All",C896=sel_Region),OR(sel_Country="All",D896=sel_Country),OR(sel_Channel="All",E896=sel_Channel),OR(sel_Customer="All",F896=sel_Customer),OR(sel_Product="All",H896=sel_Product),AND(S896&gt;=m_From,S896&lt;=m_To)),1,0)</f>
        <v/>
      </c>
      <c r="Z896" s="36">
        <f>IF(AND(OR(sel_Region="All",C896=sel_Region),OR(sel_Country="All",D896=sel_Country),OR(sel_Channel="All",E896=sel_Channel),OR(sel_Customer="All",F896=sel_Customer),OR(sel_Category="All",G896=sel_Category),AND(S896&gt;=m_From,S896&lt;=m_To)),1,0)</f>
        <v/>
      </c>
      <c r="AA896" s="36">
        <f>IF(AND(OR(sel_Region="All",C896=sel_Region),OR(sel_Country="All",D896=sel_Country),OR(sel_Channel="All",E896=sel_Channel),OR(sel_Customer="All",F896=sel_Customer),OR(sel_Category="All",G896=sel_Category),OR(sel_Product="All",H896=sel_Product)),1,0)</f>
        <v/>
      </c>
    </row>
    <row r="897">
      <c r="A897" s="36" t="inlineStr">
        <is>
          <t>01959</t>
        </is>
      </c>
      <c r="B897" s="44" t="n">
        <v>46166</v>
      </c>
      <c r="C897" s="36" t="inlineStr">
        <is>
          <t>Southern Europe</t>
        </is>
      </c>
      <c r="D897" s="36" t="inlineStr">
        <is>
          <t>Italy</t>
        </is>
      </c>
      <c r="E897" s="36" t="inlineStr">
        <is>
          <t>Marketplace</t>
        </is>
      </c>
      <c r="F897" s="36" t="inlineStr">
        <is>
          <t>Business</t>
        </is>
      </c>
      <c r="G897" s="36" t="inlineStr">
        <is>
          <t>Cycling</t>
        </is>
      </c>
      <c r="H897" s="36" t="inlineStr">
        <is>
          <t>Commuter Helmet</t>
        </is>
      </c>
      <c r="I897" s="36" t="n">
        <v>2</v>
      </c>
      <c r="J897" s="39" t="n">
        <v>80.59</v>
      </c>
      <c r="K897" s="45" t="n">
        <v>0.05</v>
      </c>
      <c r="L897" s="39" t="n">
        <v>41.44</v>
      </c>
      <c r="M897" s="39">
        <f>I897*J897*(1-K897)</f>
        <v/>
      </c>
      <c r="N897" s="39">
        <f>I897*L897</f>
        <v/>
      </c>
      <c r="O897" s="39">
        <f>M897-N897</f>
        <v/>
      </c>
      <c r="P897" s="38">
        <f>IF(M897=0,0,O897/M897)</f>
        <v/>
      </c>
      <c r="Q897" s="36">
        <f>YEAR(B897)</f>
        <v/>
      </c>
      <c r="R897" s="36">
        <f>"Q"&amp;ROUNDUP(MONTH(B897)/3,0)</f>
        <v/>
      </c>
      <c r="S897" s="36">
        <f>MONTH(B897)</f>
        <v/>
      </c>
      <c r="T897" s="36">
        <f>TEXT(B897,"mmm")</f>
        <v/>
      </c>
      <c r="U897" s="36">
        <f>IF(AND(OR(sel_Region="All",C897=sel_Region),OR(sel_Country="All",D897=sel_Country),OR(sel_Channel="All",E897=sel_Channel),OR(sel_Customer="All",F897=sel_Customer),OR(sel_Category="All",G897=sel_Category),OR(sel_Product="All",H897=sel_Product),AND(S897&gt;=m_From,S897&lt;=m_To)),1,0)</f>
        <v/>
      </c>
      <c r="V897" s="36">
        <f>IF(AND(OR(sel_Region="All",C897=sel_Region),OR(sel_Channel="All",E897=sel_Channel),OR(sel_Customer="All",F897=sel_Customer),OR(sel_Category="All",G897=sel_Category),OR(sel_Product="All",H897=sel_Product),AND(S897&gt;=m_From,S897&lt;=m_To)),1,0)</f>
        <v/>
      </c>
      <c r="W897" s="36">
        <f>IF(AND(OR(sel_Region="All",C897=sel_Region),OR(sel_Country="All",D897=sel_Country),OR(sel_Customer="All",F897=sel_Customer),OR(sel_Category="All",G897=sel_Category),OR(sel_Product="All",H897=sel_Product),AND(S897&gt;=m_From,S897&lt;=m_To)),1,0)</f>
        <v/>
      </c>
      <c r="X897" s="36">
        <f>IF(AND(OR(sel_Region="All",C897=sel_Region),OR(sel_Country="All",D897=sel_Country),OR(sel_Channel="All",E897=sel_Channel),OR(sel_Category="All",G897=sel_Category),OR(sel_Product="All",H897=sel_Product),AND(S897&gt;=m_From,S897&lt;=m_To)),1,0)</f>
        <v/>
      </c>
      <c r="Y897" s="36">
        <f>IF(AND(OR(sel_Region="All",C897=sel_Region),OR(sel_Country="All",D897=sel_Country),OR(sel_Channel="All",E897=sel_Channel),OR(sel_Customer="All",F897=sel_Customer),OR(sel_Product="All",H897=sel_Product),AND(S897&gt;=m_From,S897&lt;=m_To)),1,0)</f>
        <v/>
      </c>
      <c r="Z897" s="36">
        <f>IF(AND(OR(sel_Region="All",C897=sel_Region),OR(sel_Country="All",D897=sel_Country),OR(sel_Channel="All",E897=sel_Channel),OR(sel_Customer="All",F897=sel_Customer),OR(sel_Category="All",G897=sel_Category),AND(S897&gt;=m_From,S897&lt;=m_To)),1,0)</f>
        <v/>
      </c>
      <c r="AA897" s="36">
        <f>IF(AND(OR(sel_Region="All",C897=sel_Region),OR(sel_Country="All",D897=sel_Country),OR(sel_Channel="All",E897=sel_Channel),OR(sel_Customer="All",F897=sel_Customer),OR(sel_Category="All",G897=sel_Category),OR(sel_Product="All",H897=sel_Product)),1,0)</f>
        <v/>
      </c>
    </row>
    <row r="898">
      <c r="A898" s="36" t="inlineStr">
        <is>
          <t>02089</t>
        </is>
      </c>
      <c r="B898" s="44" t="n">
        <v>46166</v>
      </c>
      <c r="C898" s="36" t="inlineStr">
        <is>
          <t>Southern Europe</t>
        </is>
      </c>
      <c r="D898" s="36" t="inlineStr">
        <is>
          <t>Italy</t>
        </is>
      </c>
      <c r="E898" s="36" t="inlineStr">
        <is>
          <t>Marketplace</t>
        </is>
      </c>
      <c r="F898" s="36" t="inlineStr">
        <is>
          <t>New</t>
        </is>
      </c>
      <c r="G898" s="36" t="inlineStr">
        <is>
          <t>Fitness</t>
        </is>
      </c>
      <c r="H898" s="36" t="inlineStr">
        <is>
          <t>Recovery Roller</t>
        </is>
      </c>
      <c r="I898" s="36" t="n">
        <v>3</v>
      </c>
      <c r="J898" s="39" t="n">
        <v>35.75</v>
      </c>
      <c r="K898" s="45" t="n">
        <v>0.15</v>
      </c>
      <c r="L898" s="39" t="n">
        <v>13.54</v>
      </c>
      <c r="M898" s="39">
        <f>I898*J898*(1-K898)</f>
        <v/>
      </c>
      <c r="N898" s="39">
        <f>I898*L898</f>
        <v/>
      </c>
      <c r="O898" s="39">
        <f>M898-N898</f>
        <v/>
      </c>
      <c r="P898" s="38">
        <f>IF(M898=0,0,O898/M898)</f>
        <v/>
      </c>
      <c r="Q898" s="36">
        <f>YEAR(B898)</f>
        <v/>
      </c>
      <c r="R898" s="36">
        <f>"Q"&amp;ROUNDUP(MONTH(B898)/3,0)</f>
        <v/>
      </c>
      <c r="S898" s="36">
        <f>MONTH(B898)</f>
        <v/>
      </c>
      <c r="T898" s="36">
        <f>TEXT(B898,"mmm")</f>
        <v/>
      </c>
      <c r="U898" s="36">
        <f>IF(AND(OR(sel_Region="All",C898=sel_Region),OR(sel_Country="All",D898=sel_Country),OR(sel_Channel="All",E898=sel_Channel),OR(sel_Customer="All",F898=sel_Customer),OR(sel_Category="All",G898=sel_Category),OR(sel_Product="All",H898=sel_Product),AND(S898&gt;=m_From,S898&lt;=m_To)),1,0)</f>
        <v/>
      </c>
      <c r="V898" s="36">
        <f>IF(AND(OR(sel_Region="All",C898=sel_Region),OR(sel_Channel="All",E898=sel_Channel),OR(sel_Customer="All",F898=sel_Customer),OR(sel_Category="All",G898=sel_Category),OR(sel_Product="All",H898=sel_Product),AND(S898&gt;=m_From,S898&lt;=m_To)),1,0)</f>
        <v/>
      </c>
      <c r="W898" s="36">
        <f>IF(AND(OR(sel_Region="All",C898=sel_Region),OR(sel_Country="All",D898=sel_Country),OR(sel_Customer="All",F898=sel_Customer),OR(sel_Category="All",G898=sel_Category),OR(sel_Product="All",H898=sel_Product),AND(S898&gt;=m_From,S898&lt;=m_To)),1,0)</f>
        <v/>
      </c>
      <c r="X898" s="36">
        <f>IF(AND(OR(sel_Region="All",C898=sel_Region),OR(sel_Country="All",D898=sel_Country),OR(sel_Channel="All",E898=sel_Channel),OR(sel_Category="All",G898=sel_Category),OR(sel_Product="All",H898=sel_Product),AND(S898&gt;=m_From,S898&lt;=m_To)),1,0)</f>
        <v/>
      </c>
      <c r="Y898" s="36">
        <f>IF(AND(OR(sel_Region="All",C898=sel_Region),OR(sel_Country="All",D898=sel_Country),OR(sel_Channel="All",E898=sel_Channel),OR(sel_Customer="All",F898=sel_Customer),OR(sel_Product="All",H898=sel_Product),AND(S898&gt;=m_From,S898&lt;=m_To)),1,0)</f>
        <v/>
      </c>
      <c r="Z898" s="36">
        <f>IF(AND(OR(sel_Region="All",C898=sel_Region),OR(sel_Country="All",D898=sel_Country),OR(sel_Channel="All",E898=sel_Channel),OR(sel_Customer="All",F898=sel_Customer),OR(sel_Category="All",G898=sel_Category),AND(S898&gt;=m_From,S898&lt;=m_To)),1,0)</f>
        <v/>
      </c>
      <c r="AA898" s="36">
        <f>IF(AND(OR(sel_Region="All",C898=sel_Region),OR(sel_Country="All",D898=sel_Country),OR(sel_Channel="All",E898=sel_Channel),OR(sel_Customer="All",F898=sel_Customer),OR(sel_Category="All",G898=sel_Category),OR(sel_Product="All",H898=sel_Product)),1,0)</f>
        <v/>
      </c>
    </row>
    <row r="899">
      <c r="A899" s="36" t="inlineStr">
        <is>
          <t>02446</t>
        </is>
      </c>
      <c r="B899" s="44" t="n">
        <v>46166</v>
      </c>
      <c r="C899" s="36" t="inlineStr">
        <is>
          <t>Central Europe</t>
        </is>
      </c>
      <c r="D899" s="36" t="inlineStr">
        <is>
          <t>Germany</t>
        </is>
      </c>
      <c r="E899" s="36" t="inlineStr">
        <is>
          <t>Online Store</t>
        </is>
      </c>
      <c r="F899" s="36" t="inlineStr">
        <is>
          <t>New</t>
        </is>
      </c>
      <c r="G899" s="36" t="inlineStr">
        <is>
          <t>Camping</t>
        </is>
      </c>
      <c r="H899" s="36" t="inlineStr">
        <is>
          <t>Trail Tent 2P</t>
        </is>
      </c>
      <c r="I899" s="36" t="n">
        <v>5</v>
      </c>
      <c r="J899" s="39" t="n">
        <v>195.78</v>
      </c>
      <c r="K899" s="45" t="n">
        <v>0.1</v>
      </c>
      <c r="L899" s="39" t="n">
        <v>101.98</v>
      </c>
      <c r="M899" s="39">
        <f>I899*J899*(1-K899)</f>
        <v/>
      </c>
      <c r="N899" s="39">
        <f>I899*L899</f>
        <v/>
      </c>
      <c r="O899" s="39">
        <f>M899-N899</f>
        <v/>
      </c>
      <c r="P899" s="38">
        <f>IF(M899=0,0,O899/M899)</f>
        <v/>
      </c>
      <c r="Q899" s="36">
        <f>YEAR(B899)</f>
        <v/>
      </c>
      <c r="R899" s="36">
        <f>"Q"&amp;ROUNDUP(MONTH(B899)/3,0)</f>
        <v/>
      </c>
      <c r="S899" s="36">
        <f>MONTH(B899)</f>
        <v/>
      </c>
      <c r="T899" s="36">
        <f>TEXT(B899,"mmm")</f>
        <v/>
      </c>
      <c r="U899" s="36">
        <f>IF(AND(OR(sel_Region="All",C899=sel_Region),OR(sel_Country="All",D899=sel_Country),OR(sel_Channel="All",E899=sel_Channel),OR(sel_Customer="All",F899=sel_Customer),OR(sel_Category="All",G899=sel_Category),OR(sel_Product="All",H899=sel_Product),AND(S899&gt;=m_From,S899&lt;=m_To)),1,0)</f>
        <v/>
      </c>
      <c r="V899" s="36">
        <f>IF(AND(OR(sel_Region="All",C899=sel_Region),OR(sel_Channel="All",E899=sel_Channel),OR(sel_Customer="All",F899=sel_Customer),OR(sel_Category="All",G899=sel_Category),OR(sel_Product="All",H899=sel_Product),AND(S899&gt;=m_From,S899&lt;=m_To)),1,0)</f>
        <v/>
      </c>
      <c r="W899" s="36">
        <f>IF(AND(OR(sel_Region="All",C899=sel_Region),OR(sel_Country="All",D899=sel_Country),OR(sel_Customer="All",F899=sel_Customer),OR(sel_Category="All",G899=sel_Category),OR(sel_Product="All",H899=sel_Product),AND(S899&gt;=m_From,S899&lt;=m_To)),1,0)</f>
        <v/>
      </c>
      <c r="X899" s="36">
        <f>IF(AND(OR(sel_Region="All",C899=sel_Region),OR(sel_Country="All",D899=sel_Country),OR(sel_Channel="All",E899=sel_Channel),OR(sel_Category="All",G899=sel_Category),OR(sel_Product="All",H899=sel_Product),AND(S899&gt;=m_From,S899&lt;=m_To)),1,0)</f>
        <v/>
      </c>
      <c r="Y899" s="36">
        <f>IF(AND(OR(sel_Region="All",C899=sel_Region),OR(sel_Country="All",D899=sel_Country),OR(sel_Channel="All",E899=sel_Channel),OR(sel_Customer="All",F899=sel_Customer),OR(sel_Product="All",H899=sel_Product),AND(S899&gt;=m_From,S899&lt;=m_To)),1,0)</f>
        <v/>
      </c>
      <c r="Z899" s="36">
        <f>IF(AND(OR(sel_Region="All",C899=sel_Region),OR(sel_Country="All",D899=sel_Country),OR(sel_Channel="All",E899=sel_Channel),OR(sel_Customer="All",F899=sel_Customer),OR(sel_Category="All",G899=sel_Category),AND(S899&gt;=m_From,S899&lt;=m_To)),1,0)</f>
        <v/>
      </c>
      <c r="AA899" s="36">
        <f>IF(AND(OR(sel_Region="All",C899=sel_Region),OR(sel_Country="All",D899=sel_Country),OR(sel_Channel="All",E899=sel_Channel),OR(sel_Customer="All",F899=sel_Customer),OR(sel_Category="All",G899=sel_Category),OR(sel_Product="All",H899=sel_Product)),1,0)</f>
        <v/>
      </c>
    </row>
    <row r="900">
      <c r="A900" s="36" t="inlineStr">
        <is>
          <t>02847</t>
        </is>
      </c>
      <c r="B900" s="44" t="n">
        <v>46166</v>
      </c>
      <c r="C900" s="36" t="inlineStr">
        <is>
          <t>Western Europe</t>
        </is>
      </c>
      <c r="D900" s="36" t="inlineStr">
        <is>
          <t>France</t>
        </is>
      </c>
      <c r="E900" s="36" t="inlineStr">
        <is>
          <t>Online Store</t>
        </is>
      </c>
      <c r="F900" s="36" t="inlineStr">
        <is>
          <t>Returning</t>
        </is>
      </c>
      <c r="G900" s="36" t="inlineStr">
        <is>
          <t>Camping</t>
        </is>
      </c>
      <c r="H900" s="36" t="inlineStr">
        <is>
          <t>Compact Sleeping Bag</t>
        </is>
      </c>
      <c r="I900" s="36" t="n">
        <v>2</v>
      </c>
      <c r="J900" s="39" t="n">
        <v>125.95</v>
      </c>
      <c r="K900" s="45" t="n">
        <v>0.05</v>
      </c>
      <c r="L900" s="39" t="n">
        <v>61.74</v>
      </c>
      <c r="M900" s="39">
        <f>I900*J900*(1-K900)</f>
        <v/>
      </c>
      <c r="N900" s="39">
        <f>I900*L900</f>
        <v/>
      </c>
      <c r="O900" s="39">
        <f>M900-N900</f>
        <v/>
      </c>
      <c r="P900" s="38">
        <f>IF(M900=0,0,O900/M900)</f>
        <v/>
      </c>
      <c r="Q900" s="36">
        <f>YEAR(B900)</f>
        <v/>
      </c>
      <c r="R900" s="36">
        <f>"Q"&amp;ROUNDUP(MONTH(B900)/3,0)</f>
        <v/>
      </c>
      <c r="S900" s="36">
        <f>MONTH(B900)</f>
        <v/>
      </c>
      <c r="T900" s="36">
        <f>TEXT(B900,"mmm")</f>
        <v/>
      </c>
      <c r="U900" s="36">
        <f>IF(AND(OR(sel_Region="All",C900=sel_Region),OR(sel_Country="All",D900=sel_Country),OR(sel_Channel="All",E900=sel_Channel),OR(sel_Customer="All",F900=sel_Customer),OR(sel_Category="All",G900=sel_Category),OR(sel_Product="All",H900=sel_Product),AND(S900&gt;=m_From,S900&lt;=m_To)),1,0)</f>
        <v/>
      </c>
      <c r="V900" s="36">
        <f>IF(AND(OR(sel_Region="All",C900=sel_Region),OR(sel_Channel="All",E900=sel_Channel),OR(sel_Customer="All",F900=sel_Customer),OR(sel_Category="All",G900=sel_Category),OR(sel_Product="All",H900=sel_Product),AND(S900&gt;=m_From,S900&lt;=m_To)),1,0)</f>
        <v/>
      </c>
      <c r="W900" s="36">
        <f>IF(AND(OR(sel_Region="All",C900=sel_Region),OR(sel_Country="All",D900=sel_Country),OR(sel_Customer="All",F900=sel_Customer),OR(sel_Category="All",G900=sel_Category),OR(sel_Product="All",H900=sel_Product),AND(S900&gt;=m_From,S900&lt;=m_To)),1,0)</f>
        <v/>
      </c>
      <c r="X900" s="36">
        <f>IF(AND(OR(sel_Region="All",C900=sel_Region),OR(sel_Country="All",D900=sel_Country),OR(sel_Channel="All",E900=sel_Channel),OR(sel_Category="All",G900=sel_Category),OR(sel_Product="All",H900=sel_Product),AND(S900&gt;=m_From,S900&lt;=m_To)),1,0)</f>
        <v/>
      </c>
      <c r="Y900" s="36">
        <f>IF(AND(OR(sel_Region="All",C900=sel_Region),OR(sel_Country="All",D900=sel_Country),OR(sel_Channel="All",E900=sel_Channel),OR(sel_Customer="All",F900=sel_Customer),OR(sel_Product="All",H900=sel_Product),AND(S900&gt;=m_From,S900&lt;=m_To)),1,0)</f>
        <v/>
      </c>
      <c r="Z900" s="36">
        <f>IF(AND(OR(sel_Region="All",C900=sel_Region),OR(sel_Country="All",D900=sel_Country),OR(sel_Channel="All",E900=sel_Channel),OR(sel_Customer="All",F900=sel_Customer),OR(sel_Category="All",G900=sel_Category),AND(S900&gt;=m_From,S900&lt;=m_To)),1,0)</f>
        <v/>
      </c>
      <c r="AA900" s="36">
        <f>IF(AND(OR(sel_Region="All",C900=sel_Region),OR(sel_Country="All",D900=sel_Country),OR(sel_Channel="All",E900=sel_Channel),OR(sel_Customer="All",F900=sel_Customer),OR(sel_Category="All",G900=sel_Category),OR(sel_Product="All",H900=sel_Product)),1,0)</f>
        <v/>
      </c>
    </row>
    <row r="901">
      <c r="A901" s="36" t="inlineStr">
        <is>
          <t>03454</t>
        </is>
      </c>
      <c r="B901" s="44" t="n">
        <v>46166</v>
      </c>
      <c r="C901" s="36" t="inlineStr">
        <is>
          <t>Western Europe</t>
        </is>
      </c>
      <c r="D901" s="36" t="inlineStr">
        <is>
          <t>Netherlands</t>
        </is>
      </c>
      <c r="E901" s="36" t="inlineStr">
        <is>
          <t>Online Store</t>
        </is>
      </c>
      <c r="F901" s="36" t="inlineStr">
        <is>
          <t>New</t>
        </is>
      </c>
      <c r="G901" s="36" t="inlineStr">
        <is>
          <t>Fitness</t>
        </is>
      </c>
      <c r="H901" s="36" t="inlineStr">
        <is>
          <t>Resistance Band Set</t>
        </is>
      </c>
      <c r="I901" s="36" t="n">
        <v>2</v>
      </c>
      <c r="J901" s="39" t="n">
        <v>41.32</v>
      </c>
      <c r="K901" s="45" t="n">
        <v>0</v>
      </c>
      <c r="L901" s="39" t="n">
        <v>14.91</v>
      </c>
      <c r="M901" s="39">
        <f>I901*J901*(1-K901)</f>
        <v/>
      </c>
      <c r="N901" s="39">
        <f>I901*L901</f>
        <v/>
      </c>
      <c r="O901" s="39">
        <f>M901-N901</f>
        <v/>
      </c>
      <c r="P901" s="38">
        <f>IF(M901=0,0,O901/M901)</f>
        <v/>
      </c>
      <c r="Q901" s="36">
        <f>YEAR(B901)</f>
        <v/>
      </c>
      <c r="R901" s="36">
        <f>"Q"&amp;ROUNDUP(MONTH(B901)/3,0)</f>
        <v/>
      </c>
      <c r="S901" s="36">
        <f>MONTH(B901)</f>
        <v/>
      </c>
      <c r="T901" s="36">
        <f>TEXT(B901,"mmm")</f>
        <v/>
      </c>
      <c r="U901" s="36">
        <f>IF(AND(OR(sel_Region="All",C901=sel_Region),OR(sel_Country="All",D901=sel_Country),OR(sel_Channel="All",E901=sel_Channel),OR(sel_Customer="All",F901=sel_Customer),OR(sel_Category="All",G901=sel_Category),OR(sel_Product="All",H901=sel_Product),AND(S901&gt;=m_From,S901&lt;=m_To)),1,0)</f>
        <v/>
      </c>
      <c r="V901" s="36">
        <f>IF(AND(OR(sel_Region="All",C901=sel_Region),OR(sel_Channel="All",E901=sel_Channel),OR(sel_Customer="All",F901=sel_Customer),OR(sel_Category="All",G901=sel_Category),OR(sel_Product="All",H901=sel_Product),AND(S901&gt;=m_From,S901&lt;=m_To)),1,0)</f>
        <v/>
      </c>
      <c r="W901" s="36">
        <f>IF(AND(OR(sel_Region="All",C901=sel_Region),OR(sel_Country="All",D901=sel_Country),OR(sel_Customer="All",F901=sel_Customer),OR(sel_Category="All",G901=sel_Category),OR(sel_Product="All",H901=sel_Product),AND(S901&gt;=m_From,S901&lt;=m_To)),1,0)</f>
        <v/>
      </c>
      <c r="X901" s="36">
        <f>IF(AND(OR(sel_Region="All",C901=sel_Region),OR(sel_Country="All",D901=sel_Country),OR(sel_Channel="All",E901=sel_Channel),OR(sel_Category="All",G901=sel_Category),OR(sel_Product="All",H901=sel_Product),AND(S901&gt;=m_From,S901&lt;=m_To)),1,0)</f>
        <v/>
      </c>
      <c r="Y901" s="36">
        <f>IF(AND(OR(sel_Region="All",C901=sel_Region),OR(sel_Country="All",D901=sel_Country),OR(sel_Channel="All",E901=sel_Channel),OR(sel_Customer="All",F901=sel_Customer),OR(sel_Product="All",H901=sel_Product),AND(S901&gt;=m_From,S901&lt;=m_To)),1,0)</f>
        <v/>
      </c>
      <c r="Z901" s="36">
        <f>IF(AND(OR(sel_Region="All",C901=sel_Region),OR(sel_Country="All",D901=sel_Country),OR(sel_Channel="All",E901=sel_Channel),OR(sel_Customer="All",F901=sel_Customer),OR(sel_Category="All",G901=sel_Category),AND(S901&gt;=m_From,S901&lt;=m_To)),1,0)</f>
        <v/>
      </c>
      <c r="AA901" s="36">
        <f>IF(AND(OR(sel_Region="All",C901=sel_Region),OR(sel_Country="All",D901=sel_Country),OR(sel_Channel="All",E901=sel_Channel),OR(sel_Customer="All",F901=sel_Customer),OR(sel_Category="All",G901=sel_Category),OR(sel_Product="All",H901=sel_Product)),1,0)</f>
        <v/>
      </c>
    </row>
    <row r="902">
      <c r="A902" s="36" t="inlineStr">
        <is>
          <t>04472</t>
        </is>
      </c>
      <c r="B902" s="44" t="n">
        <v>46166</v>
      </c>
      <c r="C902" s="36" t="inlineStr">
        <is>
          <t>Western Europe</t>
        </is>
      </c>
      <c r="D902" s="36" t="inlineStr">
        <is>
          <t>United Kingdom</t>
        </is>
      </c>
      <c r="E902" s="36" t="inlineStr">
        <is>
          <t>Marketplace</t>
        </is>
      </c>
      <c r="F902" s="36" t="inlineStr">
        <is>
          <t>New</t>
        </is>
      </c>
      <c r="G902" s="36" t="inlineStr">
        <is>
          <t>Hiking</t>
        </is>
      </c>
      <c r="H902" s="36" t="inlineStr">
        <is>
          <t>Trail Boots</t>
        </is>
      </c>
      <c r="I902" s="36" t="n">
        <v>2</v>
      </c>
      <c r="J902" s="39" t="n">
        <v>144.01</v>
      </c>
      <c r="K902" s="45" t="n">
        <v>0</v>
      </c>
      <c r="L902" s="39" t="n">
        <v>79.37</v>
      </c>
      <c r="M902" s="39">
        <f>I902*J902*(1-K902)</f>
        <v/>
      </c>
      <c r="N902" s="39">
        <f>I902*L902</f>
        <v/>
      </c>
      <c r="O902" s="39">
        <f>M902-N902</f>
        <v/>
      </c>
      <c r="P902" s="38">
        <f>IF(M902=0,0,O902/M902)</f>
        <v/>
      </c>
      <c r="Q902" s="36">
        <f>YEAR(B902)</f>
        <v/>
      </c>
      <c r="R902" s="36">
        <f>"Q"&amp;ROUNDUP(MONTH(B902)/3,0)</f>
        <v/>
      </c>
      <c r="S902" s="36">
        <f>MONTH(B902)</f>
        <v/>
      </c>
      <c r="T902" s="36">
        <f>TEXT(B902,"mmm")</f>
        <v/>
      </c>
      <c r="U902" s="36">
        <f>IF(AND(OR(sel_Region="All",C902=sel_Region),OR(sel_Country="All",D902=sel_Country),OR(sel_Channel="All",E902=sel_Channel),OR(sel_Customer="All",F902=sel_Customer),OR(sel_Category="All",G902=sel_Category),OR(sel_Product="All",H902=sel_Product),AND(S902&gt;=m_From,S902&lt;=m_To)),1,0)</f>
        <v/>
      </c>
      <c r="V902" s="36">
        <f>IF(AND(OR(sel_Region="All",C902=sel_Region),OR(sel_Channel="All",E902=sel_Channel),OR(sel_Customer="All",F902=sel_Customer),OR(sel_Category="All",G902=sel_Category),OR(sel_Product="All",H902=sel_Product),AND(S902&gt;=m_From,S902&lt;=m_To)),1,0)</f>
        <v/>
      </c>
      <c r="W902" s="36">
        <f>IF(AND(OR(sel_Region="All",C902=sel_Region),OR(sel_Country="All",D902=sel_Country),OR(sel_Customer="All",F902=sel_Customer),OR(sel_Category="All",G902=sel_Category),OR(sel_Product="All",H902=sel_Product),AND(S902&gt;=m_From,S902&lt;=m_To)),1,0)</f>
        <v/>
      </c>
      <c r="X902" s="36">
        <f>IF(AND(OR(sel_Region="All",C902=sel_Region),OR(sel_Country="All",D902=sel_Country),OR(sel_Channel="All",E902=sel_Channel),OR(sel_Category="All",G902=sel_Category),OR(sel_Product="All",H902=sel_Product),AND(S902&gt;=m_From,S902&lt;=m_To)),1,0)</f>
        <v/>
      </c>
      <c r="Y902" s="36">
        <f>IF(AND(OR(sel_Region="All",C902=sel_Region),OR(sel_Country="All",D902=sel_Country),OR(sel_Channel="All",E902=sel_Channel),OR(sel_Customer="All",F902=sel_Customer),OR(sel_Product="All",H902=sel_Product),AND(S902&gt;=m_From,S902&lt;=m_To)),1,0)</f>
        <v/>
      </c>
      <c r="Z902" s="36">
        <f>IF(AND(OR(sel_Region="All",C902=sel_Region),OR(sel_Country="All",D902=sel_Country),OR(sel_Channel="All",E902=sel_Channel),OR(sel_Customer="All",F902=sel_Customer),OR(sel_Category="All",G902=sel_Category),AND(S902&gt;=m_From,S902&lt;=m_To)),1,0)</f>
        <v/>
      </c>
      <c r="AA902" s="36">
        <f>IF(AND(OR(sel_Region="All",C902=sel_Region),OR(sel_Country="All",D902=sel_Country),OR(sel_Channel="All",E902=sel_Channel),OR(sel_Customer="All",F902=sel_Customer),OR(sel_Category="All",G902=sel_Category),OR(sel_Product="All",H902=sel_Product)),1,0)</f>
        <v/>
      </c>
    </row>
    <row r="903">
      <c r="A903" s="36" t="inlineStr">
        <is>
          <t>04852</t>
        </is>
      </c>
      <c r="B903" s="44" t="n">
        <v>46166</v>
      </c>
      <c r="C903" s="36" t="inlineStr">
        <is>
          <t>Southern Europe</t>
        </is>
      </c>
      <c r="D903" s="36" t="inlineStr">
        <is>
          <t>Italy</t>
        </is>
      </c>
      <c r="E903" s="36" t="inlineStr">
        <is>
          <t>Online Store</t>
        </is>
      </c>
      <c r="F903" s="36" t="inlineStr">
        <is>
          <t>Business</t>
        </is>
      </c>
      <c r="G903" s="36" t="inlineStr">
        <is>
          <t>Cycling</t>
        </is>
      </c>
      <c r="H903" s="36" t="inlineStr">
        <is>
          <t>Trail Bike Light</t>
        </is>
      </c>
      <c r="I903" s="36" t="n">
        <v>2</v>
      </c>
      <c r="J903" s="39" t="n">
        <v>51.17</v>
      </c>
      <c r="K903" s="45" t="n">
        <v>0.05</v>
      </c>
      <c r="L903" s="39" t="n">
        <v>21.97</v>
      </c>
      <c r="M903" s="39">
        <f>I903*J903*(1-K903)</f>
        <v/>
      </c>
      <c r="N903" s="39">
        <f>I903*L903</f>
        <v/>
      </c>
      <c r="O903" s="39">
        <f>M903-N903</f>
        <v/>
      </c>
      <c r="P903" s="38">
        <f>IF(M903=0,0,O903/M903)</f>
        <v/>
      </c>
      <c r="Q903" s="36">
        <f>YEAR(B903)</f>
        <v/>
      </c>
      <c r="R903" s="36">
        <f>"Q"&amp;ROUNDUP(MONTH(B903)/3,0)</f>
        <v/>
      </c>
      <c r="S903" s="36">
        <f>MONTH(B903)</f>
        <v/>
      </c>
      <c r="T903" s="36">
        <f>TEXT(B903,"mmm")</f>
        <v/>
      </c>
      <c r="U903" s="36">
        <f>IF(AND(OR(sel_Region="All",C903=sel_Region),OR(sel_Country="All",D903=sel_Country),OR(sel_Channel="All",E903=sel_Channel),OR(sel_Customer="All",F903=sel_Customer),OR(sel_Category="All",G903=sel_Category),OR(sel_Product="All",H903=sel_Product),AND(S903&gt;=m_From,S903&lt;=m_To)),1,0)</f>
        <v/>
      </c>
      <c r="V903" s="36">
        <f>IF(AND(OR(sel_Region="All",C903=sel_Region),OR(sel_Channel="All",E903=sel_Channel),OR(sel_Customer="All",F903=sel_Customer),OR(sel_Category="All",G903=sel_Category),OR(sel_Product="All",H903=sel_Product),AND(S903&gt;=m_From,S903&lt;=m_To)),1,0)</f>
        <v/>
      </c>
      <c r="W903" s="36">
        <f>IF(AND(OR(sel_Region="All",C903=sel_Region),OR(sel_Country="All",D903=sel_Country),OR(sel_Customer="All",F903=sel_Customer),OR(sel_Category="All",G903=sel_Category),OR(sel_Product="All",H903=sel_Product),AND(S903&gt;=m_From,S903&lt;=m_To)),1,0)</f>
        <v/>
      </c>
      <c r="X903" s="36">
        <f>IF(AND(OR(sel_Region="All",C903=sel_Region),OR(sel_Country="All",D903=sel_Country),OR(sel_Channel="All",E903=sel_Channel),OR(sel_Category="All",G903=sel_Category),OR(sel_Product="All",H903=sel_Product),AND(S903&gt;=m_From,S903&lt;=m_To)),1,0)</f>
        <v/>
      </c>
      <c r="Y903" s="36">
        <f>IF(AND(OR(sel_Region="All",C903=sel_Region),OR(sel_Country="All",D903=sel_Country),OR(sel_Channel="All",E903=sel_Channel),OR(sel_Customer="All",F903=sel_Customer),OR(sel_Product="All",H903=sel_Product),AND(S903&gt;=m_From,S903&lt;=m_To)),1,0)</f>
        <v/>
      </c>
      <c r="Z903" s="36">
        <f>IF(AND(OR(sel_Region="All",C903=sel_Region),OR(sel_Country="All",D903=sel_Country),OR(sel_Channel="All",E903=sel_Channel),OR(sel_Customer="All",F903=sel_Customer),OR(sel_Category="All",G903=sel_Category),AND(S903&gt;=m_From,S903&lt;=m_To)),1,0)</f>
        <v/>
      </c>
      <c r="AA903" s="36">
        <f>IF(AND(OR(sel_Region="All",C903=sel_Region),OR(sel_Country="All",D903=sel_Country),OR(sel_Channel="All",E903=sel_Channel),OR(sel_Customer="All",F903=sel_Customer),OR(sel_Category="All",G903=sel_Category),OR(sel_Product="All",H903=sel_Product)),1,0)</f>
        <v/>
      </c>
    </row>
    <row r="904">
      <c r="A904" s="36" t="inlineStr">
        <is>
          <t>04959</t>
        </is>
      </c>
      <c r="B904" s="44" t="n">
        <v>46166</v>
      </c>
      <c r="C904" s="36" t="inlineStr">
        <is>
          <t>Southern Europe</t>
        </is>
      </c>
      <c r="D904" s="36" t="inlineStr">
        <is>
          <t>Spain</t>
        </is>
      </c>
      <c r="E904" s="36" t="inlineStr">
        <is>
          <t>Corporate</t>
        </is>
      </c>
      <c r="F904" s="36" t="inlineStr">
        <is>
          <t>Business</t>
        </is>
      </c>
      <c r="G904" s="36" t="inlineStr">
        <is>
          <t>Camping</t>
        </is>
      </c>
      <c r="H904" s="36" t="inlineStr">
        <is>
          <t>Portable Camp Stove</t>
        </is>
      </c>
      <c r="I904" s="36" t="n">
        <v>6</v>
      </c>
      <c r="J904" s="39" t="n">
        <v>83.58</v>
      </c>
      <c r="K904" s="45" t="n">
        <v>0.2</v>
      </c>
      <c r="L904" s="39" t="n">
        <v>40.5</v>
      </c>
      <c r="M904" s="39">
        <f>I904*J904*(1-K904)</f>
        <v/>
      </c>
      <c r="N904" s="39">
        <f>I904*L904</f>
        <v/>
      </c>
      <c r="O904" s="39">
        <f>M904-N904</f>
        <v/>
      </c>
      <c r="P904" s="38">
        <f>IF(M904=0,0,O904/M904)</f>
        <v/>
      </c>
      <c r="Q904" s="36">
        <f>YEAR(B904)</f>
        <v/>
      </c>
      <c r="R904" s="36">
        <f>"Q"&amp;ROUNDUP(MONTH(B904)/3,0)</f>
        <v/>
      </c>
      <c r="S904" s="36">
        <f>MONTH(B904)</f>
        <v/>
      </c>
      <c r="T904" s="36">
        <f>TEXT(B904,"mmm")</f>
        <v/>
      </c>
      <c r="U904" s="36">
        <f>IF(AND(OR(sel_Region="All",C904=sel_Region),OR(sel_Country="All",D904=sel_Country),OR(sel_Channel="All",E904=sel_Channel),OR(sel_Customer="All",F904=sel_Customer),OR(sel_Category="All",G904=sel_Category),OR(sel_Product="All",H904=sel_Product),AND(S904&gt;=m_From,S904&lt;=m_To)),1,0)</f>
        <v/>
      </c>
      <c r="V904" s="36">
        <f>IF(AND(OR(sel_Region="All",C904=sel_Region),OR(sel_Channel="All",E904=sel_Channel),OR(sel_Customer="All",F904=sel_Customer),OR(sel_Category="All",G904=sel_Category),OR(sel_Product="All",H904=sel_Product),AND(S904&gt;=m_From,S904&lt;=m_To)),1,0)</f>
        <v/>
      </c>
      <c r="W904" s="36">
        <f>IF(AND(OR(sel_Region="All",C904=sel_Region),OR(sel_Country="All",D904=sel_Country),OR(sel_Customer="All",F904=sel_Customer),OR(sel_Category="All",G904=sel_Category),OR(sel_Product="All",H904=sel_Product),AND(S904&gt;=m_From,S904&lt;=m_To)),1,0)</f>
        <v/>
      </c>
      <c r="X904" s="36">
        <f>IF(AND(OR(sel_Region="All",C904=sel_Region),OR(sel_Country="All",D904=sel_Country),OR(sel_Channel="All",E904=sel_Channel),OR(sel_Category="All",G904=sel_Category),OR(sel_Product="All",H904=sel_Product),AND(S904&gt;=m_From,S904&lt;=m_To)),1,0)</f>
        <v/>
      </c>
      <c r="Y904" s="36">
        <f>IF(AND(OR(sel_Region="All",C904=sel_Region),OR(sel_Country="All",D904=sel_Country),OR(sel_Channel="All",E904=sel_Channel),OR(sel_Customer="All",F904=sel_Customer),OR(sel_Product="All",H904=sel_Product),AND(S904&gt;=m_From,S904&lt;=m_To)),1,0)</f>
        <v/>
      </c>
      <c r="Z904" s="36">
        <f>IF(AND(OR(sel_Region="All",C904=sel_Region),OR(sel_Country="All",D904=sel_Country),OR(sel_Channel="All",E904=sel_Channel),OR(sel_Customer="All",F904=sel_Customer),OR(sel_Category="All",G904=sel_Category),AND(S904&gt;=m_From,S904&lt;=m_To)),1,0)</f>
        <v/>
      </c>
      <c r="AA904" s="36">
        <f>IF(AND(OR(sel_Region="All",C904=sel_Region),OR(sel_Country="All",D904=sel_Country),OR(sel_Channel="All",E904=sel_Channel),OR(sel_Customer="All",F904=sel_Customer),OR(sel_Category="All",G904=sel_Category),OR(sel_Product="All",H904=sel_Product)),1,0)</f>
        <v/>
      </c>
    </row>
    <row r="905">
      <c r="A905" s="36" t="inlineStr">
        <is>
          <t>05056</t>
        </is>
      </c>
      <c r="B905" s="44" t="n">
        <v>46166</v>
      </c>
      <c r="C905" s="36" t="inlineStr">
        <is>
          <t>Northern Europe</t>
        </is>
      </c>
      <c r="D905" s="36" t="inlineStr">
        <is>
          <t>Norway</t>
        </is>
      </c>
      <c r="E905" s="36" t="inlineStr">
        <is>
          <t>Marketplace</t>
        </is>
      </c>
      <c r="F905" s="36" t="inlineStr">
        <is>
          <t>Returning</t>
        </is>
      </c>
      <c r="G905" s="36" t="inlineStr">
        <is>
          <t>Camping</t>
        </is>
      </c>
      <c r="H905" s="36" t="inlineStr">
        <is>
          <t>Portable Camp Stove</t>
        </is>
      </c>
      <c r="I905" s="36" t="n">
        <v>2</v>
      </c>
      <c r="J905" s="39" t="n">
        <v>80.01000000000001</v>
      </c>
      <c r="K905" s="45" t="n">
        <v>0</v>
      </c>
      <c r="L905" s="39" t="n">
        <v>38.54</v>
      </c>
      <c r="M905" s="39">
        <f>I905*J905*(1-K905)</f>
        <v/>
      </c>
      <c r="N905" s="39">
        <f>I905*L905</f>
        <v/>
      </c>
      <c r="O905" s="39">
        <f>M905-N905</f>
        <v/>
      </c>
      <c r="P905" s="38">
        <f>IF(M905=0,0,O905/M905)</f>
        <v/>
      </c>
      <c r="Q905" s="36">
        <f>YEAR(B905)</f>
        <v/>
      </c>
      <c r="R905" s="36">
        <f>"Q"&amp;ROUNDUP(MONTH(B905)/3,0)</f>
        <v/>
      </c>
      <c r="S905" s="36">
        <f>MONTH(B905)</f>
        <v/>
      </c>
      <c r="T905" s="36">
        <f>TEXT(B905,"mmm")</f>
        <v/>
      </c>
      <c r="U905" s="36">
        <f>IF(AND(OR(sel_Region="All",C905=sel_Region),OR(sel_Country="All",D905=sel_Country),OR(sel_Channel="All",E905=sel_Channel),OR(sel_Customer="All",F905=sel_Customer),OR(sel_Category="All",G905=sel_Category),OR(sel_Product="All",H905=sel_Product),AND(S905&gt;=m_From,S905&lt;=m_To)),1,0)</f>
        <v/>
      </c>
      <c r="V905" s="36">
        <f>IF(AND(OR(sel_Region="All",C905=sel_Region),OR(sel_Channel="All",E905=sel_Channel),OR(sel_Customer="All",F905=sel_Customer),OR(sel_Category="All",G905=sel_Category),OR(sel_Product="All",H905=sel_Product),AND(S905&gt;=m_From,S905&lt;=m_To)),1,0)</f>
        <v/>
      </c>
      <c r="W905" s="36">
        <f>IF(AND(OR(sel_Region="All",C905=sel_Region),OR(sel_Country="All",D905=sel_Country),OR(sel_Customer="All",F905=sel_Customer),OR(sel_Category="All",G905=sel_Category),OR(sel_Product="All",H905=sel_Product),AND(S905&gt;=m_From,S905&lt;=m_To)),1,0)</f>
        <v/>
      </c>
      <c r="X905" s="36">
        <f>IF(AND(OR(sel_Region="All",C905=sel_Region),OR(sel_Country="All",D905=sel_Country),OR(sel_Channel="All",E905=sel_Channel),OR(sel_Category="All",G905=sel_Category),OR(sel_Product="All",H905=sel_Product),AND(S905&gt;=m_From,S905&lt;=m_To)),1,0)</f>
        <v/>
      </c>
      <c r="Y905" s="36">
        <f>IF(AND(OR(sel_Region="All",C905=sel_Region),OR(sel_Country="All",D905=sel_Country),OR(sel_Channel="All",E905=sel_Channel),OR(sel_Customer="All",F905=sel_Customer),OR(sel_Product="All",H905=sel_Product),AND(S905&gt;=m_From,S905&lt;=m_To)),1,0)</f>
        <v/>
      </c>
      <c r="Z905" s="36">
        <f>IF(AND(OR(sel_Region="All",C905=sel_Region),OR(sel_Country="All",D905=sel_Country),OR(sel_Channel="All",E905=sel_Channel),OR(sel_Customer="All",F905=sel_Customer),OR(sel_Category="All",G905=sel_Category),AND(S905&gt;=m_From,S905&lt;=m_To)),1,0)</f>
        <v/>
      </c>
      <c r="AA905" s="36">
        <f>IF(AND(OR(sel_Region="All",C905=sel_Region),OR(sel_Country="All",D905=sel_Country),OR(sel_Channel="All",E905=sel_Channel),OR(sel_Customer="All",F905=sel_Customer),OR(sel_Category="All",G905=sel_Category),OR(sel_Product="All",H905=sel_Product)),1,0)</f>
        <v/>
      </c>
    </row>
    <row r="906">
      <c r="A906" s="36" t="inlineStr">
        <is>
          <t>01152</t>
        </is>
      </c>
      <c r="B906" s="44" t="n">
        <v>46167</v>
      </c>
      <c r="C906" s="36" t="inlineStr">
        <is>
          <t>Western Europe</t>
        </is>
      </c>
      <c r="D906" s="36" t="inlineStr">
        <is>
          <t>Netherlands</t>
        </is>
      </c>
      <c r="E906" s="36" t="inlineStr">
        <is>
          <t>Online Store</t>
        </is>
      </c>
      <c r="F906" s="36" t="inlineStr">
        <is>
          <t>New</t>
        </is>
      </c>
      <c r="G906" s="36" t="inlineStr">
        <is>
          <t>Hiking</t>
        </is>
      </c>
      <c r="H906" s="36" t="inlineStr">
        <is>
          <t>Hiking Daypack 20L</t>
        </is>
      </c>
      <c r="I906" s="36" t="n">
        <v>2</v>
      </c>
      <c r="J906" s="39" t="n">
        <v>94.40000000000001</v>
      </c>
      <c r="K906" s="45" t="n">
        <v>0</v>
      </c>
      <c r="L906" s="39" t="n">
        <v>46.39</v>
      </c>
      <c r="M906" s="39">
        <f>I906*J906*(1-K906)</f>
        <v/>
      </c>
      <c r="N906" s="39">
        <f>I906*L906</f>
        <v/>
      </c>
      <c r="O906" s="39">
        <f>M906-N906</f>
        <v/>
      </c>
      <c r="P906" s="38">
        <f>IF(M906=0,0,O906/M906)</f>
        <v/>
      </c>
      <c r="Q906" s="36">
        <f>YEAR(B906)</f>
        <v/>
      </c>
      <c r="R906" s="36">
        <f>"Q"&amp;ROUNDUP(MONTH(B906)/3,0)</f>
        <v/>
      </c>
      <c r="S906" s="36">
        <f>MONTH(B906)</f>
        <v/>
      </c>
      <c r="T906" s="36">
        <f>TEXT(B906,"mmm")</f>
        <v/>
      </c>
      <c r="U906" s="36">
        <f>IF(AND(OR(sel_Region="All",C906=sel_Region),OR(sel_Country="All",D906=sel_Country),OR(sel_Channel="All",E906=sel_Channel),OR(sel_Customer="All",F906=sel_Customer),OR(sel_Category="All",G906=sel_Category),OR(sel_Product="All",H906=sel_Product),AND(S906&gt;=m_From,S906&lt;=m_To)),1,0)</f>
        <v/>
      </c>
      <c r="V906" s="36">
        <f>IF(AND(OR(sel_Region="All",C906=sel_Region),OR(sel_Channel="All",E906=sel_Channel),OR(sel_Customer="All",F906=sel_Customer),OR(sel_Category="All",G906=sel_Category),OR(sel_Product="All",H906=sel_Product),AND(S906&gt;=m_From,S906&lt;=m_To)),1,0)</f>
        <v/>
      </c>
      <c r="W906" s="36">
        <f>IF(AND(OR(sel_Region="All",C906=sel_Region),OR(sel_Country="All",D906=sel_Country),OR(sel_Customer="All",F906=sel_Customer),OR(sel_Category="All",G906=sel_Category),OR(sel_Product="All",H906=sel_Product),AND(S906&gt;=m_From,S906&lt;=m_To)),1,0)</f>
        <v/>
      </c>
      <c r="X906" s="36">
        <f>IF(AND(OR(sel_Region="All",C906=sel_Region),OR(sel_Country="All",D906=sel_Country),OR(sel_Channel="All",E906=sel_Channel),OR(sel_Category="All",G906=sel_Category),OR(sel_Product="All",H906=sel_Product),AND(S906&gt;=m_From,S906&lt;=m_To)),1,0)</f>
        <v/>
      </c>
      <c r="Y906" s="36">
        <f>IF(AND(OR(sel_Region="All",C906=sel_Region),OR(sel_Country="All",D906=sel_Country),OR(sel_Channel="All",E906=sel_Channel),OR(sel_Customer="All",F906=sel_Customer),OR(sel_Product="All",H906=sel_Product),AND(S906&gt;=m_From,S906&lt;=m_To)),1,0)</f>
        <v/>
      </c>
      <c r="Z906" s="36">
        <f>IF(AND(OR(sel_Region="All",C906=sel_Region),OR(sel_Country="All",D906=sel_Country),OR(sel_Channel="All",E906=sel_Channel),OR(sel_Customer="All",F906=sel_Customer),OR(sel_Category="All",G906=sel_Category),AND(S906&gt;=m_From,S906&lt;=m_To)),1,0)</f>
        <v/>
      </c>
      <c r="AA906" s="36">
        <f>IF(AND(OR(sel_Region="All",C906=sel_Region),OR(sel_Country="All",D906=sel_Country),OR(sel_Channel="All",E906=sel_Channel),OR(sel_Customer="All",F906=sel_Customer),OR(sel_Category="All",G906=sel_Category),OR(sel_Product="All",H906=sel_Product)),1,0)</f>
        <v/>
      </c>
    </row>
    <row r="907">
      <c r="A907" s="36" t="inlineStr">
        <is>
          <t>03919</t>
        </is>
      </c>
      <c r="B907" s="44" t="n">
        <v>46167</v>
      </c>
      <c r="C907" s="36" t="inlineStr">
        <is>
          <t>Northern Europe</t>
        </is>
      </c>
      <c r="D907" s="36" t="inlineStr">
        <is>
          <t>Sweden</t>
        </is>
      </c>
      <c r="E907" s="36" t="inlineStr">
        <is>
          <t>Retail Partners</t>
        </is>
      </c>
      <c r="F907" s="36" t="inlineStr">
        <is>
          <t>Business</t>
        </is>
      </c>
      <c r="G907" s="36" t="inlineStr">
        <is>
          <t>Hiking</t>
        </is>
      </c>
      <c r="H907" s="36" t="inlineStr">
        <is>
          <t>Summit Backpack 45L</t>
        </is>
      </c>
      <c r="I907" s="36" t="n">
        <v>6</v>
      </c>
      <c r="J907" s="39" t="n">
        <v>157.33</v>
      </c>
      <c r="K907" s="45" t="n">
        <v>0</v>
      </c>
      <c r="L907" s="39" t="n">
        <v>78.84999999999999</v>
      </c>
      <c r="M907" s="39">
        <f>I907*J907*(1-K907)</f>
        <v/>
      </c>
      <c r="N907" s="39">
        <f>I907*L907</f>
        <v/>
      </c>
      <c r="O907" s="39">
        <f>M907-N907</f>
        <v/>
      </c>
      <c r="P907" s="38">
        <f>IF(M907=0,0,O907/M907)</f>
        <v/>
      </c>
      <c r="Q907" s="36">
        <f>YEAR(B907)</f>
        <v/>
      </c>
      <c r="R907" s="36">
        <f>"Q"&amp;ROUNDUP(MONTH(B907)/3,0)</f>
        <v/>
      </c>
      <c r="S907" s="36">
        <f>MONTH(B907)</f>
        <v/>
      </c>
      <c r="T907" s="36">
        <f>TEXT(B907,"mmm")</f>
        <v/>
      </c>
      <c r="U907" s="36">
        <f>IF(AND(OR(sel_Region="All",C907=sel_Region),OR(sel_Country="All",D907=sel_Country),OR(sel_Channel="All",E907=sel_Channel),OR(sel_Customer="All",F907=sel_Customer),OR(sel_Category="All",G907=sel_Category),OR(sel_Product="All",H907=sel_Product),AND(S907&gt;=m_From,S907&lt;=m_To)),1,0)</f>
        <v/>
      </c>
      <c r="V907" s="36">
        <f>IF(AND(OR(sel_Region="All",C907=sel_Region),OR(sel_Channel="All",E907=sel_Channel),OR(sel_Customer="All",F907=sel_Customer),OR(sel_Category="All",G907=sel_Category),OR(sel_Product="All",H907=sel_Product),AND(S907&gt;=m_From,S907&lt;=m_To)),1,0)</f>
        <v/>
      </c>
      <c r="W907" s="36">
        <f>IF(AND(OR(sel_Region="All",C907=sel_Region),OR(sel_Country="All",D907=sel_Country),OR(sel_Customer="All",F907=sel_Customer),OR(sel_Category="All",G907=sel_Category),OR(sel_Product="All",H907=sel_Product),AND(S907&gt;=m_From,S907&lt;=m_To)),1,0)</f>
        <v/>
      </c>
      <c r="X907" s="36">
        <f>IF(AND(OR(sel_Region="All",C907=sel_Region),OR(sel_Country="All",D907=sel_Country),OR(sel_Channel="All",E907=sel_Channel),OR(sel_Category="All",G907=sel_Category),OR(sel_Product="All",H907=sel_Product),AND(S907&gt;=m_From,S907&lt;=m_To)),1,0)</f>
        <v/>
      </c>
      <c r="Y907" s="36">
        <f>IF(AND(OR(sel_Region="All",C907=sel_Region),OR(sel_Country="All",D907=sel_Country),OR(sel_Channel="All",E907=sel_Channel),OR(sel_Customer="All",F907=sel_Customer),OR(sel_Product="All",H907=sel_Product),AND(S907&gt;=m_From,S907&lt;=m_To)),1,0)</f>
        <v/>
      </c>
      <c r="Z907" s="36">
        <f>IF(AND(OR(sel_Region="All",C907=sel_Region),OR(sel_Country="All",D907=sel_Country),OR(sel_Channel="All",E907=sel_Channel),OR(sel_Customer="All",F907=sel_Customer),OR(sel_Category="All",G907=sel_Category),AND(S907&gt;=m_From,S907&lt;=m_To)),1,0)</f>
        <v/>
      </c>
      <c r="AA907" s="36">
        <f>IF(AND(OR(sel_Region="All",C907=sel_Region),OR(sel_Country="All",D907=sel_Country),OR(sel_Channel="All",E907=sel_Channel),OR(sel_Customer="All",F907=sel_Customer),OR(sel_Category="All",G907=sel_Category),OR(sel_Product="All",H907=sel_Product)),1,0)</f>
        <v/>
      </c>
    </row>
    <row r="908">
      <c r="A908" s="36" t="inlineStr">
        <is>
          <t>04202</t>
        </is>
      </c>
      <c r="B908" s="44" t="n">
        <v>46167</v>
      </c>
      <c r="C908" s="36" t="inlineStr">
        <is>
          <t>Northern Europe</t>
        </is>
      </c>
      <c r="D908" s="36" t="inlineStr">
        <is>
          <t>Ireland</t>
        </is>
      </c>
      <c r="E908" s="36" t="inlineStr">
        <is>
          <t>Online Store</t>
        </is>
      </c>
      <c r="F908" s="36" t="inlineStr">
        <is>
          <t>New</t>
        </is>
      </c>
      <c r="G908" s="36" t="inlineStr">
        <is>
          <t>Camping</t>
        </is>
      </c>
      <c r="H908" s="36" t="inlineStr">
        <is>
          <t>Compact Sleeping Bag</t>
        </is>
      </c>
      <c r="I908" s="36" t="n">
        <v>1</v>
      </c>
      <c r="J908" s="39" t="n">
        <v>125.44</v>
      </c>
      <c r="K908" s="45" t="n">
        <v>0</v>
      </c>
      <c r="L908" s="39" t="n">
        <v>59.92</v>
      </c>
      <c r="M908" s="39">
        <f>I908*J908*(1-K908)</f>
        <v/>
      </c>
      <c r="N908" s="39">
        <f>I908*L908</f>
        <v/>
      </c>
      <c r="O908" s="39">
        <f>M908-N908</f>
        <v/>
      </c>
      <c r="P908" s="38">
        <f>IF(M908=0,0,O908/M908)</f>
        <v/>
      </c>
      <c r="Q908" s="36">
        <f>YEAR(B908)</f>
        <v/>
      </c>
      <c r="R908" s="36">
        <f>"Q"&amp;ROUNDUP(MONTH(B908)/3,0)</f>
        <v/>
      </c>
      <c r="S908" s="36">
        <f>MONTH(B908)</f>
        <v/>
      </c>
      <c r="T908" s="36">
        <f>TEXT(B908,"mmm")</f>
        <v/>
      </c>
      <c r="U908" s="36">
        <f>IF(AND(OR(sel_Region="All",C908=sel_Region),OR(sel_Country="All",D908=sel_Country),OR(sel_Channel="All",E908=sel_Channel),OR(sel_Customer="All",F908=sel_Customer),OR(sel_Category="All",G908=sel_Category),OR(sel_Product="All",H908=sel_Product),AND(S908&gt;=m_From,S908&lt;=m_To)),1,0)</f>
        <v/>
      </c>
      <c r="V908" s="36">
        <f>IF(AND(OR(sel_Region="All",C908=sel_Region),OR(sel_Channel="All",E908=sel_Channel),OR(sel_Customer="All",F908=sel_Customer),OR(sel_Category="All",G908=sel_Category),OR(sel_Product="All",H908=sel_Product),AND(S908&gt;=m_From,S908&lt;=m_To)),1,0)</f>
        <v/>
      </c>
      <c r="W908" s="36">
        <f>IF(AND(OR(sel_Region="All",C908=sel_Region),OR(sel_Country="All",D908=sel_Country),OR(sel_Customer="All",F908=sel_Customer),OR(sel_Category="All",G908=sel_Category),OR(sel_Product="All",H908=sel_Product),AND(S908&gt;=m_From,S908&lt;=m_To)),1,0)</f>
        <v/>
      </c>
      <c r="X908" s="36">
        <f>IF(AND(OR(sel_Region="All",C908=sel_Region),OR(sel_Country="All",D908=sel_Country),OR(sel_Channel="All",E908=sel_Channel),OR(sel_Category="All",G908=sel_Category),OR(sel_Product="All",H908=sel_Product),AND(S908&gt;=m_From,S908&lt;=m_To)),1,0)</f>
        <v/>
      </c>
      <c r="Y908" s="36">
        <f>IF(AND(OR(sel_Region="All",C908=sel_Region),OR(sel_Country="All",D908=sel_Country),OR(sel_Channel="All",E908=sel_Channel),OR(sel_Customer="All",F908=sel_Customer),OR(sel_Product="All",H908=sel_Product),AND(S908&gt;=m_From,S908&lt;=m_To)),1,0)</f>
        <v/>
      </c>
      <c r="Z908" s="36">
        <f>IF(AND(OR(sel_Region="All",C908=sel_Region),OR(sel_Country="All",D908=sel_Country),OR(sel_Channel="All",E908=sel_Channel),OR(sel_Customer="All",F908=sel_Customer),OR(sel_Category="All",G908=sel_Category),AND(S908&gt;=m_From,S908&lt;=m_To)),1,0)</f>
        <v/>
      </c>
      <c r="AA908" s="36">
        <f>IF(AND(OR(sel_Region="All",C908=sel_Region),OR(sel_Country="All",D908=sel_Country),OR(sel_Channel="All",E908=sel_Channel),OR(sel_Customer="All",F908=sel_Customer),OR(sel_Category="All",G908=sel_Category),OR(sel_Product="All",H908=sel_Product)),1,0)</f>
        <v/>
      </c>
    </row>
    <row r="909">
      <c r="A909" s="36" t="inlineStr">
        <is>
          <t>04274</t>
        </is>
      </c>
      <c r="B909" s="44" t="n">
        <v>46167</v>
      </c>
      <c r="C909" s="36" t="inlineStr">
        <is>
          <t>Central Europe</t>
        </is>
      </c>
      <c r="D909" s="36" t="inlineStr">
        <is>
          <t>Germany</t>
        </is>
      </c>
      <c r="E909" s="36" t="inlineStr">
        <is>
          <t>Marketplace</t>
        </is>
      </c>
      <c r="F909" s="36" t="inlineStr">
        <is>
          <t>Returning</t>
        </is>
      </c>
      <c r="G909" s="36" t="inlineStr">
        <is>
          <t>Fitness</t>
        </is>
      </c>
      <c r="H909" s="36" t="inlineStr">
        <is>
          <t>Recovery Roller</t>
        </is>
      </c>
      <c r="I909" s="36" t="n">
        <v>2</v>
      </c>
      <c r="J909" s="39" t="n">
        <v>36.18</v>
      </c>
      <c r="K909" s="45" t="n">
        <v>0</v>
      </c>
      <c r="L909" s="39" t="n">
        <v>13.71</v>
      </c>
      <c r="M909" s="39">
        <f>I909*J909*(1-K909)</f>
        <v/>
      </c>
      <c r="N909" s="39">
        <f>I909*L909</f>
        <v/>
      </c>
      <c r="O909" s="39">
        <f>M909-N909</f>
        <v/>
      </c>
      <c r="P909" s="38">
        <f>IF(M909=0,0,O909/M909)</f>
        <v/>
      </c>
      <c r="Q909" s="36">
        <f>YEAR(B909)</f>
        <v/>
      </c>
      <c r="R909" s="36">
        <f>"Q"&amp;ROUNDUP(MONTH(B909)/3,0)</f>
        <v/>
      </c>
      <c r="S909" s="36">
        <f>MONTH(B909)</f>
        <v/>
      </c>
      <c r="T909" s="36">
        <f>TEXT(B909,"mmm")</f>
        <v/>
      </c>
      <c r="U909" s="36">
        <f>IF(AND(OR(sel_Region="All",C909=sel_Region),OR(sel_Country="All",D909=sel_Country),OR(sel_Channel="All",E909=sel_Channel),OR(sel_Customer="All",F909=sel_Customer),OR(sel_Category="All",G909=sel_Category),OR(sel_Product="All",H909=sel_Product),AND(S909&gt;=m_From,S909&lt;=m_To)),1,0)</f>
        <v/>
      </c>
      <c r="V909" s="36">
        <f>IF(AND(OR(sel_Region="All",C909=sel_Region),OR(sel_Channel="All",E909=sel_Channel),OR(sel_Customer="All",F909=sel_Customer),OR(sel_Category="All",G909=sel_Category),OR(sel_Product="All",H909=sel_Product),AND(S909&gt;=m_From,S909&lt;=m_To)),1,0)</f>
        <v/>
      </c>
      <c r="W909" s="36">
        <f>IF(AND(OR(sel_Region="All",C909=sel_Region),OR(sel_Country="All",D909=sel_Country),OR(sel_Customer="All",F909=sel_Customer),OR(sel_Category="All",G909=sel_Category),OR(sel_Product="All",H909=sel_Product),AND(S909&gt;=m_From,S909&lt;=m_To)),1,0)</f>
        <v/>
      </c>
      <c r="X909" s="36">
        <f>IF(AND(OR(sel_Region="All",C909=sel_Region),OR(sel_Country="All",D909=sel_Country),OR(sel_Channel="All",E909=sel_Channel),OR(sel_Category="All",G909=sel_Category),OR(sel_Product="All",H909=sel_Product),AND(S909&gt;=m_From,S909&lt;=m_To)),1,0)</f>
        <v/>
      </c>
      <c r="Y909" s="36">
        <f>IF(AND(OR(sel_Region="All",C909=sel_Region),OR(sel_Country="All",D909=sel_Country),OR(sel_Channel="All",E909=sel_Channel),OR(sel_Customer="All",F909=sel_Customer),OR(sel_Product="All",H909=sel_Product),AND(S909&gt;=m_From,S909&lt;=m_To)),1,0)</f>
        <v/>
      </c>
      <c r="Z909" s="36">
        <f>IF(AND(OR(sel_Region="All",C909=sel_Region),OR(sel_Country="All",D909=sel_Country),OR(sel_Channel="All",E909=sel_Channel),OR(sel_Customer="All",F909=sel_Customer),OR(sel_Category="All",G909=sel_Category),AND(S909&gt;=m_From,S909&lt;=m_To)),1,0)</f>
        <v/>
      </c>
      <c r="AA909" s="36">
        <f>IF(AND(OR(sel_Region="All",C909=sel_Region),OR(sel_Country="All",D909=sel_Country),OR(sel_Channel="All",E909=sel_Channel),OR(sel_Customer="All",F909=sel_Customer),OR(sel_Category="All",G909=sel_Category),OR(sel_Product="All",H909=sel_Product)),1,0)</f>
        <v/>
      </c>
    </row>
    <row r="910">
      <c r="A910" s="36" t="inlineStr">
        <is>
          <t>04364</t>
        </is>
      </c>
      <c r="B910" s="44" t="n">
        <v>46167</v>
      </c>
      <c r="C910" s="36" t="inlineStr">
        <is>
          <t>Southern Europe</t>
        </is>
      </c>
      <c r="D910" s="36" t="inlineStr">
        <is>
          <t>Italy</t>
        </is>
      </c>
      <c r="E910" s="36" t="inlineStr">
        <is>
          <t>Retail Partners</t>
        </is>
      </c>
      <c r="F910" s="36" t="inlineStr">
        <is>
          <t>Returning</t>
        </is>
      </c>
      <c r="G910" s="36" t="inlineStr">
        <is>
          <t>Fitness</t>
        </is>
      </c>
      <c r="H910" s="36" t="inlineStr">
        <is>
          <t>Resistance Band Set</t>
        </is>
      </c>
      <c r="I910" s="36" t="n">
        <v>1</v>
      </c>
      <c r="J910" s="39" t="n">
        <v>41</v>
      </c>
      <c r="K910" s="45" t="n">
        <v>0.05</v>
      </c>
      <c r="L910" s="39" t="n">
        <v>14.51</v>
      </c>
      <c r="M910" s="39">
        <f>I910*J910*(1-K910)</f>
        <v/>
      </c>
      <c r="N910" s="39">
        <f>I910*L910</f>
        <v/>
      </c>
      <c r="O910" s="39">
        <f>M910-N910</f>
        <v/>
      </c>
      <c r="P910" s="38">
        <f>IF(M910=0,0,O910/M910)</f>
        <v/>
      </c>
      <c r="Q910" s="36">
        <f>YEAR(B910)</f>
        <v/>
      </c>
      <c r="R910" s="36">
        <f>"Q"&amp;ROUNDUP(MONTH(B910)/3,0)</f>
        <v/>
      </c>
      <c r="S910" s="36">
        <f>MONTH(B910)</f>
        <v/>
      </c>
      <c r="T910" s="36">
        <f>TEXT(B910,"mmm")</f>
        <v/>
      </c>
      <c r="U910" s="36">
        <f>IF(AND(OR(sel_Region="All",C910=sel_Region),OR(sel_Country="All",D910=sel_Country),OR(sel_Channel="All",E910=sel_Channel),OR(sel_Customer="All",F910=sel_Customer),OR(sel_Category="All",G910=sel_Category),OR(sel_Product="All",H910=sel_Product),AND(S910&gt;=m_From,S910&lt;=m_To)),1,0)</f>
        <v/>
      </c>
      <c r="V910" s="36">
        <f>IF(AND(OR(sel_Region="All",C910=sel_Region),OR(sel_Channel="All",E910=sel_Channel),OR(sel_Customer="All",F910=sel_Customer),OR(sel_Category="All",G910=sel_Category),OR(sel_Product="All",H910=sel_Product),AND(S910&gt;=m_From,S910&lt;=m_To)),1,0)</f>
        <v/>
      </c>
      <c r="W910" s="36">
        <f>IF(AND(OR(sel_Region="All",C910=sel_Region),OR(sel_Country="All",D910=sel_Country),OR(sel_Customer="All",F910=sel_Customer),OR(sel_Category="All",G910=sel_Category),OR(sel_Product="All",H910=sel_Product),AND(S910&gt;=m_From,S910&lt;=m_To)),1,0)</f>
        <v/>
      </c>
      <c r="X910" s="36">
        <f>IF(AND(OR(sel_Region="All",C910=sel_Region),OR(sel_Country="All",D910=sel_Country),OR(sel_Channel="All",E910=sel_Channel),OR(sel_Category="All",G910=sel_Category),OR(sel_Product="All",H910=sel_Product),AND(S910&gt;=m_From,S910&lt;=m_To)),1,0)</f>
        <v/>
      </c>
      <c r="Y910" s="36">
        <f>IF(AND(OR(sel_Region="All",C910=sel_Region),OR(sel_Country="All",D910=sel_Country),OR(sel_Channel="All",E910=sel_Channel),OR(sel_Customer="All",F910=sel_Customer),OR(sel_Product="All",H910=sel_Product),AND(S910&gt;=m_From,S910&lt;=m_To)),1,0)</f>
        <v/>
      </c>
      <c r="Z910" s="36">
        <f>IF(AND(OR(sel_Region="All",C910=sel_Region),OR(sel_Country="All",D910=sel_Country),OR(sel_Channel="All",E910=sel_Channel),OR(sel_Customer="All",F910=sel_Customer),OR(sel_Category="All",G910=sel_Category),AND(S910&gt;=m_From,S910&lt;=m_To)),1,0)</f>
        <v/>
      </c>
      <c r="AA910" s="36">
        <f>IF(AND(OR(sel_Region="All",C910=sel_Region),OR(sel_Country="All",D910=sel_Country),OR(sel_Channel="All",E910=sel_Channel),OR(sel_Customer="All",F910=sel_Customer),OR(sel_Category="All",G910=sel_Category),OR(sel_Product="All",H910=sel_Product)),1,0)</f>
        <v/>
      </c>
    </row>
    <row r="911">
      <c r="A911" s="36" t="inlineStr">
        <is>
          <t>04896</t>
        </is>
      </c>
      <c r="B911" s="44" t="n">
        <v>46167</v>
      </c>
      <c r="C911" s="36" t="inlineStr">
        <is>
          <t>Northern Europe</t>
        </is>
      </c>
      <c r="D911" s="36" t="inlineStr">
        <is>
          <t>Denmark</t>
        </is>
      </c>
      <c r="E911" s="36" t="inlineStr">
        <is>
          <t>Online Store</t>
        </is>
      </c>
      <c r="F911" s="36" t="inlineStr">
        <is>
          <t>Returning</t>
        </is>
      </c>
      <c r="G911" s="36" t="inlineStr">
        <is>
          <t>Hiking</t>
        </is>
      </c>
      <c r="H911" s="36" t="inlineStr">
        <is>
          <t>Trekking Poles</t>
        </is>
      </c>
      <c r="I911" s="36" t="n">
        <v>1</v>
      </c>
      <c r="J911" s="39" t="n">
        <v>72.33</v>
      </c>
      <c r="K911" s="45" t="n">
        <v>0.1</v>
      </c>
      <c r="L911" s="39" t="n">
        <v>32.61</v>
      </c>
      <c r="M911" s="39">
        <f>I911*J911*(1-K911)</f>
        <v/>
      </c>
      <c r="N911" s="39">
        <f>I911*L911</f>
        <v/>
      </c>
      <c r="O911" s="39">
        <f>M911-N911</f>
        <v/>
      </c>
      <c r="P911" s="38">
        <f>IF(M911=0,0,O911/M911)</f>
        <v/>
      </c>
      <c r="Q911" s="36">
        <f>YEAR(B911)</f>
        <v/>
      </c>
      <c r="R911" s="36">
        <f>"Q"&amp;ROUNDUP(MONTH(B911)/3,0)</f>
        <v/>
      </c>
      <c r="S911" s="36">
        <f>MONTH(B911)</f>
        <v/>
      </c>
      <c r="T911" s="36">
        <f>TEXT(B911,"mmm")</f>
        <v/>
      </c>
      <c r="U911" s="36">
        <f>IF(AND(OR(sel_Region="All",C911=sel_Region),OR(sel_Country="All",D911=sel_Country),OR(sel_Channel="All",E911=sel_Channel),OR(sel_Customer="All",F911=sel_Customer),OR(sel_Category="All",G911=sel_Category),OR(sel_Product="All",H911=sel_Product),AND(S911&gt;=m_From,S911&lt;=m_To)),1,0)</f>
        <v/>
      </c>
      <c r="V911" s="36">
        <f>IF(AND(OR(sel_Region="All",C911=sel_Region),OR(sel_Channel="All",E911=sel_Channel),OR(sel_Customer="All",F911=sel_Customer),OR(sel_Category="All",G911=sel_Category),OR(sel_Product="All",H911=sel_Product),AND(S911&gt;=m_From,S911&lt;=m_To)),1,0)</f>
        <v/>
      </c>
      <c r="W911" s="36">
        <f>IF(AND(OR(sel_Region="All",C911=sel_Region),OR(sel_Country="All",D911=sel_Country),OR(sel_Customer="All",F911=sel_Customer),OR(sel_Category="All",G911=sel_Category),OR(sel_Product="All",H911=sel_Product),AND(S911&gt;=m_From,S911&lt;=m_To)),1,0)</f>
        <v/>
      </c>
      <c r="X911" s="36">
        <f>IF(AND(OR(sel_Region="All",C911=sel_Region),OR(sel_Country="All",D911=sel_Country),OR(sel_Channel="All",E911=sel_Channel),OR(sel_Category="All",G911=sel_Category),OR(sel_Product="All",H911=sel_Product),AND(S911&gt;=m_From,S911&lt;=m_To)),1,0)</f>
        <v/>
      </c>
      <c r="Y911" s="36">
        <f>IF(AND(OR(sel_Region="All",C911=sel_Region),OR(sel_Country="All",D911=sel_Country),OR(sel_Channel="All",E911=sel_Channel),OR(sel_Customer="All",F911=sel_Customer),OR(sel_Product="All",H911=sel_Product),AND(S911&gt;=m_From,S911&lt;=m_To)),1,0)</f>
        <v/>
      </c>
      <c r="Z911" s="36">
        <f>IF(AND(OR(sel_Region="All",C911=sel_Region),OR(sel_Country="All",D911=sel_Country),OR(sel_Channel="All",E911=sel_Channel),OR(sel_Customer="All",F911=sel_Customer),OR(sel_Category="All",G911=sel_Category),AND(S911&gt;=m_From,S911&lt;=m_To)),1,0)</f>
        <v/>
      </c>
      <c r="AA911" s="36">
        <f>IF(AND(OR(sel_Region="All",C911=sel_Region),OR(sel_Country="All",D911=sel_Country),OR(sel_Channel="All",E911=sel_Channel),OR(sel_Customer="All",F911=sel_Customer),OR(sel_Category="All",G911=sel_Category),OR(sel_Product="All",H911=sel_Product)),1,0)</f>
        <v/>
      </c>
    </row>
    <row r="912">
      <c r="A912" s="36" t="inlineStr">
        <is>
          <t>05109</t>
        </is>
      </c>
      <c r="B912" s="44" t="n">
        <v>46167</v>
      </c>
      <c r="C912" s="36" t="inlineStr">
        <is>
          <t>Western Europe</t>
        </is>
      </c>
      <c r="D912" s="36" t="inlineStr">
        <is>
          <t>Belgium</t>
        </is>
      </c>
      <c r="E912" s="36" t="inlineStr">
        <is>
          <t>Online Store</t>
        </is>
      </c>
      <c r="F912" s="36" t="inlineStr">
        <is>
          <t>Business</t>
        </is>
      </c>
      <c r="G912" s="36" t="inlineStr">
        <is>
          <t>Camping</t>
        </is>
      </c>
      <c r="H912" s="36" t="inlineStr">
        <is>
          <t>Compact Sleeping Bag</t>
        </is>
      </c>
      <c r="I912" s="36" t="n">
        <v>2</v>
      </c>
      <c r="J912" s="39" t="n">
        <v>125.42</v>
      </c>
      <c r="K912" s="45" t="n">
        <v>0</v>
      </c>
      <c r="L912" s="39" t="n">
        <v>62.28</v>
      </c>
      <c r="M912" s="39">
        <f>I912*J912*(1-K912)</f>
        <v/>
      </c>
      <c r="N912" s="39">
        <f>I912*L912</f>
        <v/>
      </c>
      <c r="O912" s="39">
        <f>M912-N912</f>
        <v/>
      </c>
      <c r="P912" s="38">
        <f>IF(M912=0,0,O912/M912)</f>
        <v/>
      </c>
      <c r="Q912" s="36">
        <f>YEAR(B912)</f>
        <v/>
      </c>
      <c r="R912" s="36">
        <f>"Q"&amp;ROUNDUP(MONTH(B912)/3,0)</f>
        <v/>
      </c>
      <c r="S912" s="36">
        <f>MONTH(B912)</f>
        <v/>
      </c>
      <c r="T912" s="36">
        <f>TEXT(B912,"mmm")</f>
        <v/>
      </c>
      <c r="U912" s="36">
        <f>IF(AND(OR(sel_Region="All",C912=sel_Region),OR(sel_Country="All",D912=sel_Country),OR(sel_Channel="All",E912=sel_Channel),OR(sel_Customer="All",F912=sel_Customer),OR(sel_Category="All",G912=sel_Category),OR(sel_Product="All",H912=sel_Product),AND(S912&gt;=m_From,S912&lt;=m_To)),1,0)</f>
        <v/>
      </c>
      <c r="V912" s="36">
        <f>IF(AND(OR(sel_Region="All",C912=sel_Region),OR(sel_Channel="All",E912=sel_Channel),OR(sel_Customer="All",F912=sel_Customer),OR(sel_Category="All",G912=sel_Category),OR(sel_Product="All",H912=sel_Product),AND(S912&gt;=m_From,S912&lt;=m_To)),1,0)</f>
        <v/>
      </c>
      <c r="W912" s="36">
        <f>IF(AND(OR(sel_Region="All",C912=sel_Region),OR(sel_Country="All",D912=sel_Country),OR(sel_Customer="All",F912=sel_Customer),OR(sel_Category="All",G912=sel_Category),OR(sel_Product="All",H912=sel_Product),AND(S912&gt;=m_From,S912&lt;=m_To)),1,0)</f>
        <v/>
      </c>
      <c r="X912" s="36">
        <f>IF(AND(OR(sel_Region="All",C912=sel_Region),OR(sel_Country="All",D912=sel_Country),OR(sel_Channel="All",E912=sel_Channel),OR(sel_Category="All",G912=sel_Category),OR(sel_Product="All",H912=sel_Product),AND(S912&gt;=m_From,S912&lt;=m_To)),1,0)</f>
        <v/>
      </c>
      <c r="Y912" s="36">
        <f>IF(AND(OR(sel_Region="All",C912=sel_Region),OR(sel_Country="All",D912=sel_Country),OR(sel_Channel="All",E912=sel_Channel),OR(sel_Customer="All",F912=sel_Customer),OR(sel_Product="All",H912=sel_Product),AND(S912&gt;=m_From,S912&lt;=m_To)),1,0)</f>
        <v/>
      </c>
      <c r="Z912" s="36">
        <f>IF(AND(OR(sel_Region="All",C912=sel_Region),OR(sel_Country="All",D912=sel_Country),OR(sel_Channel="All",E912=sel_Channel),OR(sel_Customer="All",F912=sel_Customer),OR(sel_Category="All",G912=sel_Category),AND(S912&gt;=m_From,S912&lt;=m_To)),1,0)</f>
        <v/>
      </c>
      <c r="AA912" s="36">
        <f>IF(AND(OR(sel_Region="All",C912=sel_Region),OR(sel_Country="All",D912=sel_Country),OR(sel_Channel="All",E912=sel_Channel),OR(sel_Customer="All",F912=sel_Customer),OR(sel_Category="All",G912=sel_Category),OR(sel_Product="All",H912=sel_Product)),1,0)</f>
        <v/>
      </c>
    </row>
    <row r="913">
      <c r="A913" s="36" t="inlineStr">
        <is>
          <t>00289</t>
        </is>
      </c>
      <c r="B913" s="44" t="n">
        <v>46168</v>
      </c>
      <c r="C913" s="36" t="inlineStr">
        <is>
          <t>Southern Europe</t>
        </is>
      </c>
      <c r="D913" s="36" t="inlineStr">
        <is>
          <t>Italy</t>
        </is>
      </c>
      <c r="E913" s="36" t="inlineStr">
        <is>
          <t>Online Store</t>
        </is>
      </c>
      <c r="F913" s="36" t="inlineStr">
        <is>
          <t>Business</t>
        </is>
      </c>
      <c r="G913" s="36" t="inlineStr">
        <is>
          <t>Cycling</t>
        </is>
      </c>
      <c r="H913" s="36" t="inlineStr">
        <is>
          <t>Compact Repair Kit</t>
        </is>
      </c>
      <c r="I913" s="36" t="n">
        <v>2</v>
      </c>
      <c r="J913" s="39" t="n">
        <v>41.29</v>
      </c>
      <c r="K913" s="45" t="n">
        <v>0.15</v>
      </c>
      <c r="L913" s="39" t="n">
        <v>16.43</v>
      </c>
      <c r="M913" s="39">
        <f>I913*J913*(1-K913)</f>
        <v/>
      </c>
      <c r="N913" s="39">
        <f>I913*L913</f>
        <v/>
      </c>
      <c r="O913" s="39">
        <f>M913-N913</f>
        <v/>
      </c>
      <c r="P913" s="38">
        <f>IF(M913=0,0,O913/M913)</f>
        <v/>
      </c>
      <c r="Q913" s="36">
        <f>YEAR(B913)</f>
        <v/>
      </c>
      <c r="R913" s="36">
        <f>"Q"&amp;ROUNDUP(MONTH(B913)/3,0)</f>
        <v/>
      </c>
      <c r="S913" s="36">
        <f>MONTH(B913)</f>
        <v/>
      </c>
      <c r="T913" s="36">
        <f>TEXT(B913,"mmm")</f>
        <v/>
      </c>
      <c r="U913" s="36">
        <f>IF(AND(OR(sel_Region="All",C913=sel_Region),OR(sel_Country="All",D913=sel_Country),OR(sel_Channel="All",E913=sel_Channel),OR(sel_Customer="All",F913=sel_Customer),OR(sel_Category="All",G913=sel_Category),OR(sel_Product="All",H913=sel_Product),AND(S913&gt;=m_From,S913&lt;=m_To)),1,0)</f>
        <v/>
      </c>
      <c r="V913" s="36">
        <f>IF(AND(OR(sel_Region="All",C913=sel_Region),OR(sel_Channel="All",E913=sel_Channel),OR(sel_Customer="All",F913=sel_Customer),OR(sel_Category="All",G913=sel_Category),OR(sel_Product="All",H913=sel_Product),AND(S913&gt;=m_From,S913&lt;=m_To)),1,0)</f>
        <v/>
      </c>
      <c r="W913" s="36">
        <f>IF(AND(OR(sel_Region="All",C913=sel_Region),OR(sel_Country="All",D913=sel_Country),OR(sel_Customer="All",F913=sel_Customer),OR(sel_Category="All",G913=sel_Category),OR(sel_Product="All",H913=sel_Product),AND(S913&gt;=m_From,S913&lt;=m_To)),1,0)</f>
        <v/>
      </c>
      <c r="X913" s="36">
        <f>IF(AND(OR(sel_Region="All",C913=sel_Region),OR(sel_Country="All",D913=sel_Country),OR(sel_Channel="All",E913=sel_Channel),OR(sel_Category="All",G913=sel_Category),OR(sel_Product="All",H913=sel_Product),AND(S913&gt;=m_From,S913&lt;=m_To)),1,0)</f>
        <v/>
      </c>
      <c r="Y913" s="36">
        <f>IF(AND(OR(sel_Region="All",C913=sel_Region),OR(sel_Country="All",D913=sel_Country),OR(sel_Channel="All",E913=sel_Channel),OR(sel_Customer="All",F913=sel_Customer),OR(sel_Product="All",H913=sel_Product),AND(S913&gt;=m_From,S913&lt;=m_To)),1,0)</f>
        <v/>
      </c>
      <c r="Z913" s="36">
        <f>IF(AND(OR(sel_Region="All",C913=sel_Region),OR(sel_Country="All",D913=sel_Country),OR(sel_Channel="All",E913=sel_Channel),OR(sel_Customer="All",F913=sel_Customer),OR(sel_Category="All",G913=sel_Category),AND(S913&gt;=m_From,S913&lt;=m_To)),1,0)</f>
        <v/>
      </c>
      <c r="AA913" s="36">
        <f>IF(AND(OR(sel_Region="All",C913=sel_Region),OR(sel_Country="All",D913=sel_Country),OR(sel_Channel="All",E913=sel_Channel),OR(sel_Customer="All",F913=sel_Customer),OR(sel_Category="All",G913=sel_Category),OR(sel_Product="All",H913=sel_Product)),1,0)</f>
        <v/>
      </c>
    </row>
    <row r="914">
      <c r="A914" s="36" t="inlineStr">
        <is>
          <t>04092</t>
        </is>
      </c>
      <c r="B914" s="44" t="n">
        <v>46168</v>
      </c>
      <c r="C914" s="36" t="inlineStr">
        <is>
          <t>Western Europe</t>
        </is>
      </c>
      <c r="D914" s="36" t="inlineStr">
        <is>
          <t>United Kingdom</t>
        </is>
      </c>
      <c r="E914" s="36" t="inlineStr">
        <is>
          <t>Corporate</t>
        </is>
      </c>
      <c r="F914" s="36" t="inlineStr">
        <is>
          <t>Business</t>
        </is>
      </c>
      <c r="G914" s="36" t="inlineStr">
        <is>
          <t>Travel</t>
        </is>
      </c>
      <c r="H914" s="36" t="inlineStr">
        <is>
          <t>Carry-On Duffel</t>
        </is>
      </c>
      <c r="I914" s="36" t="n">
        <v>8</v>
      </c>
      <c r="J914" s="39" t="n">
        <v>131.4</v>
      </c>
      <c r="K914" s="45" t="n">
        <v>0.05</v>
      </c>
      <c r="L914" s="39" t="n">
        <v>66.48999999999999</v>
      </c>
      <c r="M914" s="39">
        <f>I914*J914*(1-K914)</f>
        <v/>
      </c>
      <c r="N914" s="39">
        <f>I914*L914</f>
        <v/>
      </c>
      <c r="O914" s="39">
        <f>M914-N914</f>
        <v/>
      </c>
      <c r="P914" s="38">
        <f>IF(M914=0,0,O914/M914)</f>
        <v/>
      </c>
      <c r="Q914" s="36">
        <f>YEAR(B914)</f>
        <v/>
      </c>
      <c r="R914" s="36">
        <f>"Q"&amp;ROUNDUP(MONTH(B914)/3,0)</f>
        <v/>
      </c>
      <c r="S914" s="36">
        <f>MONTH(B914)</f>
        <v/>
      </c>
      <c r="T914" s="36">
        <f>TEXT(B914,"mmm")</f>
        <v/>
      </c>
      <c r="U914" s="36">
        <f>IF(AND(OR(sel_Region="All",C914=sel_Region),OR(sel_Country="All",D914=sel_Country),OR(sel_Channel="All",E914=sel_Channel),OR(sel_Customer="All",F914=sel_Customer),OR(sel_Category="All",G914=sel_Category),OR(sel_Product="All",H914=sel_Product),AND(S914&gt;=m_From,S914&lt;=m_To)),1,0)</f>
        <v/>
      </c>
      <c r="V914" s="36">
        <f>IF(AND(OR(sel_Region="All",C914=sel_Region),OR(sel_Channel="All",E914=sel_Channel),OR(sel_Customer="All",F914=sel_Customer),OR(sel_Category="All",G914=sel_Category),OR(sel_Product="All",H914=sel_Product),AND(S914&gt;=m_From,S914&lt;=m_To)),1,0)</f>
        <v/>
      </c>
      <c r="W914" s="36">
        <f>IF(AND(OR(sel_Region="All",C914=sel_Region),OR(sel_Country="All",D914=sel_Country),OR(sel_Customer="All",F914=sel_Customer),OR(sel_Category="All",G914=sel_Category),OR(sel_Product="All",H914=sel_Product),AND(S914&gt;=m_From,S914&lt;=m_To)),1,0)</f>
        <v/>
      </c>
      <c r="X914" s="36">
        <f>IF(AND(OR(sel_Region="All",C914=sel_Region),OR(sel_Country="All",D914=sel_Country),OR(sel_Channel="All",E914=sel_Channel),OR(sel_Category="All",G914=sel_Category),OR(sel_Product="All",H914=sel_Product),AND(S914&gt;=m_From,S914&lt;=m_To)),1,0)</f>
        <v/>
      </c>
      <c r="Y914" s="36">
        <f>IF(AND(OR(sel_Region="All",C914=sel_Region),OR(sel_Country="All",D914=sel_Country),OR(sel_Channel="All",E914=sel_Channel),OR(sel_Customer="All",F914=sel_Customer),OR(sel_Product="All",H914=sel_Product),AND(S914&gt;=m_From,S914&lt;=m_To)),1,0)</f>
        <v/>
      </c>
      <c r="Z914" s="36">
        <f>IF(AND(OR(sel_Region="All",C914=sel_Region),OR(sel_Country="All",D914=sel_Country),OR(sel_Channel="All",E914=sel_Channel),OR(sel_Customer="All",F914=sel_Customer),OR(sel_Category="All",G914=sel_Category),AND(S914&gt;=m_From,S914&lt;=m_To)),1,0)</f>
        <v/>
      </c>
      <c r="AA914" s="36">
        <f>IF(AND(OR(sel_Region="All",C914=sel_Region),OR(sel_Country="All",D914=sel_Country),OR(sel_Channel="All",E914=sel_Channel),OR(sel_Customer="All",F914=sel_Customer),OR(sel_Category="All",G914=sel_Category),OR(sel_Product="All",H914=sel_Product)),1,0)</f>
        <v/>
      </c>
    </row>
    <row r="915">
      <c r="A915" s="36" t="inlineStr">
        <is>
          <t>04727</t>
        </is>
      </c>
      <c r="B915" s="44" t="n">
        <v>46168</v>
      </c>
      <c r="C915" s="36" t="inlineStr">
        <is>
          <t>Northern Europe</t>
        </is>
      </c>
      <c r="D915" s="36" t="inlineStr">
        <is>
          <t>Norway</t>
        </is>
      </c>
      <c r="E915" s="36" t="inlineStr">
        <is>
          <t>Online Store</t>
        </is>
      </c>
      <c r="F915" s="36" t="inlineStr">
        <is>
          <t>New</t>
        </is>
      </c>
      <c r="G915" s="36" t="inlineStr">
        <is>
          <t>Hiking</t>
        </is>
      </c>
      <c r="H915" s="36" t="inlineStr">
        <is>
          <t>Trail Boots</t>
        </is>
      </c>
      <c r="I915" s="36" t="n">
        <v>4</v>
      </c>
      <c r="J915" s="39" t="n">
        <v>140.67</v>
      </c>
      <c r="K915" s="45" t="n">
        <v>0</v>
      </c>
      <c r="L915" s="39" t="n">
        <v>80.72</v>
      </c>
      <c r="M915" s="39">
        <f>I915*J915*(1-K915)</f>
        <v/>
      </c>
      <c r="N915" s="39">
        <f>I915*L915</f>
        <v/>
      </c>
      <c r="O915" s="39">
        <f>M915-N915</f>
        <v/>
      </c>
      <c r="P915" s="38">
        <f>IF(M915=0,0,O915/M915)</f>
        <v/>
      </c>
      <c r="Q915" s="36">
        <f>YEAR(B915)</f>
        <v/>
      </c>
      <c r="R915" s="36">
        <f>"Q"&amp;ROUNDUP(MONTH(B915)/3,0)</f>
        <v/>
      </c>
      <c r="S915" s="36">
        <f>MONTH(B915)</f>
        <v/>
      </c>
      <c r="T915" s="36">
        <f>TEXT(B915,"mmm")</f>
        <v/>
      </c>
      <c r="U915" s="36">
        <f>IF(AND(OR(sel_Region="All",C915=sel_Region),OR(sel_Country="All",D915=sel_Country),OR(sel_Channel="All",E915=sel_Channel),OR(sel_Customer="All",F915=sel_Customer),OR(sel_Category="All",G915=sel_Category),OR(sel_Product="All",H915=sel_Product),AND(S915&gt;=m_From,S915&lt;=m_To)),1,0)</f>
        <v/>
      </c>
      <c r="V915" s="36">
        <f>IF(AND(OR(sel_Region="All",C915=sel_Region),OR(sel_Channel="All",E915=sel_Channel),OR(sel_Customer="All",F915=sel_Customer),OR(sel_Category="All",G915=sel_Category),OR(sel_Product="All",H915=sel_Product),AND(S915&gt;=m_From,S915&lt;=m_To)),1,0)</f>
        <v/>
      </c>
      <c r="W915" s="36">
        <f>IF(AND(OR(sel_Region="All",C915=sel_Region),OR(sel_Country="All",D915=sel_Country),OR(sel_Customer="All",F915=sel_Customer),OR(sel_Category="All",G915=sel_Category),OR(sel_Product="All",H915=sel_Product),AND(S915&gt;=m_From,S915&lt;=m_To)),1,0)</f>
        <v/>
      </c>
      <c r="X915" s="36">
        <f>IF(AND(OR(sel_Region="All",C915=sel_Region),OR(sel_Country="All",D915=sel_Country),OR(sel_Channel="All",E915=sel_Channel),OR(sel_Category="All",G915=sel_Category),OR(sel_Product="All",H915=sel_Product),AND(S915&gt;=m_From,S915&lt;=m_To)),1,0)</f>
        <v/>
      </c>
      <c r="Y915" s="36">
        <f>IF(AND(OR(sel_Region="All",C915=sel_Region),OR(sel_Country="All",D915=sel_Country),OR(sel_Channel="All",E915=sel_Channel),OR(sel_Customer="All",F915=sel_Customer),OR(sel_Product="All",H915=sel_Product),AND(S915&gt;=m_From,S915&lt;=m_To)),1,0)</f>
        <v/>
      </c>
      <c r="Z915" s="36">
        <f>IF(AND(OR(sel_Region="All",C915=sel_Region),OR(sel_Country="All",D915=sel_Country),OR(sel_Channel="All",E915=sel_Channel),OR(sel_Customer="All",F915=sel_Customer),OR(sel_Category="All",G915=sel_Category),AND(S915&gt;=m_From,S915&lt;=m_To)),1,0)</f>
        <v/>
      </c>
      <c r="AA915" s="36">
        <f>IF(AND(OR(sel_Region="All",C915=sel_Region),OR(sel_Country="All",D915=sel_Country),OR(sel_Channel="All",E915=sel_Channel),OR(sel_Customer="All",F915=sel_Customer),OR(sel_Category="All",G915=sel_Category),OR(sel_Product="All",H915=sel_Product)),1,0)</f>
        <v/>
      </c>
    </row>
    <row r="916">
      <c r="A916" s="36" t="inlineStr">
        <is>
          <t>04753</t>
        </is>
      </c>
      <c r="B916" s="44" t="n">
        <v>46168</v>
      </c>
      <c r="C916" s="36" t="inlineStr">
        <is>
          <t>Western Europe</t>
        </is>
      </c>
      <c r="D916" s="36" t="inlineStr">
        <is>
          <t>United Kingdom</t>
        </is>
      </c>
      <c r="E916" s="36" t="inlineStr">
        <is>
          <t>Online Store</t>
        </is>
      </c>
      <c r="F916" s="36" t="inlineStr">
        <is>
          <t>Returning</t>
        </is>
      </c>
      <c r="G916" s="36" t="inlineStr">
        <is>
          <t>Fitness</t>
        </is>
      </c>
      <c r="H916" s="36" t="inlineStr">
        <is>
          <t>Recovery Roller</t>
        </is>
      </c>
      <c r="I916" s="36" t="n">
        <v>1</v>
      </c>
      <c r="J916" s="39" t="n">
        <v>36.66</v>
      </c>
      <c r="K916" s="45" t="n">
        <v>0.05</v>
      </c>
      <c r="L916" s="39" t="n">
        <v>13.51</v>
      </c>
      <c r="M916" s="39">
        <f>I916*J916*(1-K916)</f>
        <v/>
      </c>
      <c r="N916" s="39">
        <f>I916*L916</f>
        <v/>
      </c>
      <c r="O916" s="39">
        <f>M916-N916</f>
        <v/>
      </c>
      <c r="P916" s="38">
        <f>IF(M916=0,0,O916/M916)</f>
        <v/>
      </c>
      <c r="Q916" s="36">
        <f>YEAR(B916)</f>
        <v/>
      </c>
      <c r="R916" s="36">
        <f>"Q"&amp;ROUNDUP(MONTH(B916)/3,0)</f>
        <v/>
      </c>
      <c r="S916" s="36">
        <f>MONTH(B916)</f>
        <v/>
      </c>
      <c r="T916" s="36">
        <f>TEXT(B916,"mmm")</f>
        <v/>
      </c>
      <c r="U916" s="36">
        <f>IF(AND(OR(sel_Region="All",C916=sel_Region),OR(sel_Country="All",D916=sel_Country),OR(sel_Channel="All",E916=sel_Channel),OR(sel_Customer="All",F916=sel_Customer),OR(sel_Category="All",G916=sel_Category),OR(sel_Product="All",H916=sel_Product),AND(S916&gt;=m_From,S916&lt;=m_To)),1,0)</f>
        <v/>
      </c>
      <c r="V916" s="36">
        <f>IF(AND(OR(sel_Region="All",C916=sel_Region),OR(sel_Channel="All",E916=sel_Channel),OR(sel_Customer="All",F916=sel_Customer),OR(sel_Category="All",G916=sel_Category),OR(sel_Product="All",H916=sel_Product),AND(S916&gt;=m_From,S916&lt;=m_To)),1,0)</f>
        <v/>
      </c>
      <c r="W916" s="36">
        <f>IF(AND(OR(sel_Region="All",C916=sel_Region),OR(sel_Country="All",D916=sel_Country),OR(sel_Customer="All",F916=sel_Customer),OR(sel_Category="All",G916=sel_Category),OR(sel_Product="All",H916=sel_Product),AND(S916&gt;=m_From,S916&lt;=m_To)),1,0)</f>
        <v/>
      </c>
      <c r="X916" s="36">
        <f>IF(AND(OR(sel_Region="All",C916=sel_Region),OR(sel_Country="All",D916=sel_Country),OR(sel_Channel="All",E916=sel_Channel),OR(sel_Category="All",G916=sel_Category),OR(sel_Product="All",H916=sel_Product),AND(S916&gt;=m_From,S916&lt;=m_To)),1,0)</f>
        <v/>
      </c>
      <c r="Y916" s="36">
        <f>IF(AND(OR(sel_Region="All",C916=sel_Region),OR(sel_Country="All",D916=sel_Country),OR(sel_Channel="All",E916=sel_Channel),OR(sel_Customer="All",F916=sel_Customer),OR(sel_Product="All",H916=sel_Product),AND(S916&gt;=m_From,S916&lt;=m_To)),1,0)</f>
        <v/>
      </c>
      <c r="Z916" s="36">
        <f>IF(AND(OR(sel_Region="All",C916=sel_Region),OR(sel_Country="All",D916=sel_Country),OR(sel_Channel="All",E916=sel_Channel),OR(sel_Customer="All",F916=sel_Customer),OR(sel_Category="All",G916=sel_Category),AND(S916&gt;=m_From,S916&lt;=m_To)),1,0)</f>
        <v/>
      </c>
      <c r="AA916" s="36">
        <f>IF(AND(OR(sel_Region="All",C916=sel_Region),OR(sel_Country="All",D916=sel_Country),OR(sel_Channel="All",E916=sel_Channel),OR(sel_Customer="All",F916=sel_Customer),OR(sel_Category="All",G916=sel_Category),OR(sel_Product="All",H916=sel_Product)),1,0)</f>
        <v/>
      </c>
    </row>
    <row r="917">
      <c r="A917" s="36" t="inlineStr">
        <is>
          <t>00942</t>
        </is>
      </c>
      <c r="B917" s="44" t="n">
        <v>46169</v>
      </c>
      <c r="C917" s="36" t="inlineStr">
        <is>
          <t>Western Europe</t>
        </is>
      </c>
      <c r="D917" s="36" t="inlineStr">
        <is>
          <t>Belgium</t>
        </is>
      </c>
      <c r="E917" s="36" t="inlineStr">
        <is>
          <t>Online Store</t>
        </is>
      </c>
      <c r="F917" s="36" t="inlineStr">
        <is>
          <t>Returning</t>
        </is>
      </c>
      <c r="G917" s="36" t="inlineStr">
        <is>
          <t>Travel</t>
        </is>
      </c>
      <c r="H917" s="36" t="inlineStr">
        <is>
          <t>Packing Cube Set</t>
        </is>
      </c>
      <c r="I917" s="36" t="n">
        <v>1</v>
      </c>
      <c r="J917" s="39" t="n">
        <v>46.28</v>
      </c>
      <c r="K917" s="45" t="n">
        <v>0.05</v>
      </c>
      <c r="L917" s="39" t="n">
        <v>17.95</v>
      </c>
      <c r="M917" s="39">
        <f>I917*J917*(1-K917)</f>
        <v/>
      </c>
      <c r="N917" s="39">
        <f>I917*L917</f>
        <v/>
      </c>
      <c r="O917" s="39">
        <f>M917-N917</f>
        <v/>
      </c>
      <c r="P917" s="38">
        <f>IF(M917=0,0,O917/M917)</f>
        <v/>
      </c>
      <c r="Q917" s="36">
        <f>YEAR(B917)</f>
        <v/>
      </c>
      <c r="R917" s="36">
        <f>"Q"&amp;ROUNDUP(MONTH(B917)/3,0)</f>
        <v/>
      </c>
      <c r="S917" s="36">
        <f>MONTH(B917)</f>
        <v/>
      </c>
      <c r="T917" s="36">
        <f>TEXT(B917,"mmm")</f>
        <v/>
      </c>
      <c r="U917" s="36">
        <f>IF(AND(OR(sel_Region="All",C917=sel_Region),OR(sel_Country="All",D917=sel_Country),OR(sel_Channel="All",E917=sel_Channel),OR(sel_Customer="All",F917=sel_Customer),OR(sel_Category="All",G917=sel_Category),OR(sel_Product="All",H917=sel_Product),AND(S917&gt;=m_From,S917&lt;=m_To)),1,0)</f>
        <v/>
      </c>
      <c r="V917" s="36">
        <f>IF(AND(OR(sel_Region="All",C917=sel_Region),OR(sel_Channel="All",E917=sel_Channel),OR(sel_Customer="All",F917=sel_Customer),OR(sel_Category="All",G917=sel_Category),OR(sel_Product="All",H917=sel_Product),AND(S917&gt;=m_From,S917&lt;=m_To)),1,0)</f>
        <v/>
      </c>
      <c r="W917" s="36">
        <f>IF(AND(OR(sel_Region="All",C917=sel_Region),OR(sel_Country="All",D917=sel_Country),OR(sel_Customer="All",F917=sel_Customer),OR(sel_Category="All",G917=sel_Category),OR(sel_Product="All",H917=sel_Product),AND(S917&gt;=m_From,S917&lt;=m_To)),1,0)</f>
        <v/>
      </c>
      <c r="X917" s="36">
        <f>IF(AND(OR(sel_Region="All",C917=sel_Region),OR(sel_Country="All",D917=sel_Country),OR(sel_Channel="All",E917=sel_Channel),OR(sel_Category="All",G917=sel_Category),OR(sel_Product="All",H917=sel_Product),AND(S917&gt;=m_From,S917&lt;=m_To)),1,0)</f>
        <v/>
      </c>
      <c r="Y917" s="36">
        <f>IF(AND(OR(sel_Region="All",C917=sel_Region),OR(sel_Country="All",D917=sel_Country),OR(sel_Channel="All",E917=sel_Channel),OR(sel_Customer="All",F917=sel_Customer),OR(sel_Product="All",H917=sel_Product),AND(S917&gt;=m_From,S917&lt;=m_To)),1,0)</f>
        <v/>
      </c>
      <c r="Z917" s="36">
        <f>IF(AND(OR(sel_Region="All",C917=sel_Region),OR(sel_Country="All",D917=sel_Country),OR(sel_Channel="All",E917=sel_Channel),OR(sel_Customer="All",F917=sel_Customer),OR(sel_Category="All",G917=sel_Category),AND(S917&gt;=m_From,S917&lt;=m_To)),1,0)</f>
        <v/>
      </c>
      <c r="AA917" s="36">
        <f>IF(AND(OR(sel_Region="All",C917=sel_Region),OR(sel_Country="All",D917=sel_Country),OR(sel_Channel="All",E917=sel_Channel),OR(sel_Customer="All",F917=sel_Customer),OR(sel_Category="All",G917=sel_Category),OR(sel_Product="All",H917=sel_Product)),1,0)</f>
        <v/>
      </c>
    </row>
    <row r="918">
      <c r="A918" s="36" t="inlineStr">
        <is>
          <t>01755</t>
        </is>
      </c>
      <c r="B918" s="44" t="n">
        <v>46169</v>
      </c>
      <c r="C918" s="36" t="inlineStr">
        <is>
          <t>Western Europe</t>
        </is>
      </c>
      <c r="D918" s="36" t="inlineStr">
        <is>
          <t>France</t>
        </is>
      </c>
      <c r="E918" s="36" t="inlineStr">
        <is>
          <t>Marketplace</t>
        </is>
      </c>
      <c r="F918" s="36" t="inlineStr">
        <is>
          <t>Returning</t>
        </is>
      </c>
      <c r="G918" s="36" t="inlineStr">
        <is>
          <t>Hiking</t>
        </is>
      </c>
      <c r="H918" s="36" t="inlineStr">
        <is>
          <t>Hiking Daypack 20L</t>
        </is>
      </c>
      <c r="I918" s="36" t="n">
        <v>2</v>
      </c>
      <c r="J918" s="39" t="n">
        <v>92.12</v>
      </c>
      <c r="K918" s="45" t="n">
        <v>0</v>
      </c>
      <c r="L918" s="39" t="n">
        <v>46.64</v>
      </c>
      <c r="M918" s="39">
        <f>I918*J918*(1-K918)</f>
        <v/>
      </c>
      <c r="N918" s="39">
        <f>I918*L918</f>
        <v/>
      </c>
      <c r="O918" s="39">
        <f>M918-N918</f>
        <v/>
      </c>
      <c r="P918" s="38">
        <f>IF(M918=0,0,O918/M918)</f>
        <v/>
      </c>
      <c r="Q918" s="36">
        <f>YEAR(B918)</f>
        <v/>
      </c>
      <c r="R918" s="36">
        <f>"Q"&amp;ROUNDUP(MONTH(B918)/3,0)</f>
        <v/>
      </c>
      <c r="S918" s="36">
        <f>MONTH(B918)</f>
        <v/>
      </c>
      <c r="T918" s="36">
        <f>TEXT(B918,"mmm")</f>
        <v/>
      </c>
      <c r="U918" s="36">
        <f>IF(AND(OR(sel_Region="All",C918=sel_Region),OR(sel_Country="All",D918=sel_Country),OR(sel_Channel="All",E918=sel_Channel),OR(sel_Customer="All",F918=sel_Customer),OR(sel_Category="All",G918=sel_Category),OR(sel_Product="All",H918=sel_Product),AND(S918&gt;=m_From,S918&lt;=m_To)),1,0)</f>
        <v/>
      </c>
      <c r="V918" s="36">
        <f>IF(AND(OR(sel_Region="All",C918=sel_Region),OR(sel_Channel="All",E918=sel_Channel),OR(sel_Customer="All",F918=sel_Customer),OR(sel_Category="All",G918=sel_Category),OR(sel_Product="All",H918=sel_Product),AND(S918&gt;=m_From,S918&lt;=m_To)),1,0)</f>
        <v/>
      </c>
      <c r="W918" s="36">
        <f>IF(AND(OR(sel_Region="All",C918=sel_Region),OR(sel_Country="All",D918=sel_Country),OR(sel_Customer="All",F918=sel_Customer),OR(sel_Category="All",G918=sel_Category),OR(sel_Product="All",H918=sel_Product),AND(S918&gt;=m_From,S918&lt;=m_To)),1,0)</f>
        <v/>
      </c>
      <c r="X918" s="36">
        <f>IF(AND(OR(sel_Region="All",C918=sel_Region),OR(sel_Country="All",D918=sel_Country),OR(sel_Channel="All",E918=sel_Channel),OR(sel_Category="All",G918=sel_Category),OR(sel_Product="All",H918=sel_Product),AND(S918&gt;=m_From,S918&lt;=m_To)),1,0)</f>
        <v/>
      </c>
      <c r="Y918" s="36">
        <f>IF(AND(OR(sel_Region="All",C918=sel_Region),OR(sel_Country="All",D918=sel_Country),OR(sel_Channel="All",E918=sel_Channel),OR(sel_Customer="All",F918=sel_Customer),OR(sel_Product="All",H918=sel_Product),AND(S918&gt;=m_From,S918&lt;=m_To)),1,0)</f>
        <v/>
      </c>
      <c r="Z918" s="36">
        <f>IF(AND(OR(sel_Region="All",C918=sel_Region),OR(sel_Country="All",D918=sel_Country),OR(sel_Channel="All",E918=sel_Channel),OR(sel_Customer="All",F918=sel_Customer),OR(sel_Category="All",G918=sel_Category),AND(S918&gt;=m_From,S918&lt;=m_To)),1,0)</f>
        <v/>
      </c>
      <c r="AA918" s="36">
        <f>IF(AND(OR(sel_Region="All",C918=sel_Region),OR(sel_Country="All",D918=sel_Country),OR(sel_Channel="All",E918=sel_Channel),OR(sel_Customer="All",F918=sel_Customer),OR(sel_Category="All",G918=sel_Category),OR(sel_Product="All",H918=sel_Product)),1,0)</f>
        <v/>
      </c>
    </row>
    <row r="919">
      <c r="A919" s="36" t="inlineStr">
        <is>
          <t>03073</t>
        </is>
      </c>
      <c r="B919" s="44" t="n">
        <v>46169</v>
      </c>
      <c r="C919" s="36" t="inlineStr">
        <is>
          <t>Western Europe</t>
        </is>
      </c>
      <c r="D919" s="36" t="inlineStr">
        <is>
          <t>France</t>
        </is>
      </c>
      <c r="E919" s="36" t="inlineStr">
        <is>
          <t>Online Store</t>
        </is>
      </c>
      <c r="F919" s="36" t="inlineStr">
        <is>
          <t>Returning</t>
        </is>
      </c>
      <c r="G919" s="36" t="inlineStr">
        <is>
          <t>Fitness</t>
        </is>
      </c>
      <c r="H919" s="36" t="inlineStr">
        <is>
          <t>Resistance Band Set</t>
        </is>
      </c>
      <c r="I919" s="36" t="n">
        <v>3</v>
      </c>
      <c r="J919" s="39" t="n">
        <v>39.55</v>
      </c>
      <c r="K919" s="45" t="n">
        <v>0</v>
      </c>
      <c r="L919" s="39" t="n">
        <v>14.87</v>
      </c>
      <c r="M919" s="39">
        <f>I919*J919*(1-K919)</f>
        <v/>
      </c>
      <c r="N919" s="39">
        <f>I919*L919</f>
        <v/>
      </c>
      <c r="O919" s="39">
        <f>M919-N919</f>
        <v/>
      </c>
      <c r="P919" s="38">
        <f>IF(M919=0,0,O919/M919)</f>
        <v/>
      </c>
      <c r="Q919" s="36">
        <f>YEAR(B919)</f>
        <v/>
      </c>
      <c r="R919" s="36">
        <f>"Q"&amp;ROUNDUP(MONTH(B919)/3,0)</f>
        <v/>
      </c>
      <c r="S919" s="36">
        <f>MONTH(B919)</f>
        <v/>
      </c>
      <c r="T919" s="36">
        <f>TEXT(B919,"mmm")</f>
        <v/>
      </c>
      <c r="U919" s="36">
        <f>IF(AND(OR(sel_Region="All",C919=sel_Region),OR(sel_Country="All",D919=sel_Country),OR(sel_Channel="All",E919=sel_Channel),OR(sel_Customer="All",F919=sel_Customer),OR(sel_Category="All",G919=sel_Category),OR(sel_Product="All",H919=sel_Product),AND(S919&gt;=m_From,S919&lt;=m_To)),1,0)</f>
        <v/>
      </c>
      <c r="V919" s="36">
        <f>IF(AND(OR(sel_Region="All",C919=sel_Region),OR(sel_Channel="All",E919=sel_Channel),OR(sel_Customer="All",F919=sel_Customer),OR(sel_Category="All",G919=sel_Category),OR(sel_Product="All",H919=sel_Product),AND(S919&gt;=m_From,S919&lt;=m_To)),1,0)</f>
        <v/>
      </c>
      <c r="W919" s="36">
        <f>IF(AND(OR(sel_Region="All",C919=sel_Region),OR(sel_Country="All",D919=sel_Country),OR(sel_Customer="All",F919=sel_Customer),OR(sel_Category="All",G919=sel_Category),OR(sel_Product="All",H919=sel_Product),AND(S919&gt;=m_From,S919&lt;=m_To)),1,0)</f>
        <v/>
      </c>
      <c r="X919" s="36">
        <f>IF(AND(OR(sel_Region="All",C919=sel_Region),OR(sel_Country="All",D919=sel_Country),OR(sel_Channel="All",E919=sel_Channel),OR(sel_Category="All",G919=sel_Category),OR(sel_Product="All",H919=sel_Product),AND(S919&gt;=m_From,S919&lt;=m_To)),1,0)</f>
        <v/>
      </c>
      <c r="Y919" s="36">
        <f>IF(AND(OR(sel_Region="All",C919=sel_Region),OR(sel_Country="All",D919=sel_Country),OR(sel_Channel="All",E919=sel_Channel),OR(sel_Customer="All",F919=sel_Customer),OR(sel_Product="All",H919=sel_Product),AND(S919&gt;=m_From,S919&lt;=m_To)),1,0)</f>
        <v/>
      </c>
      <c r="Z919" s="36">
        <f>IF(AND(OR(sel_Region="All",C919=sel_Region),OR(sel_Country="All",D919=sel_Country),OR(sel_Channel="All",E919=sel_Channel),OR(sel_Customer="All",F919=sel_Customer),OR(sel_Category="All",G919=sel_Category),AND(S919&gt;=m_From,S919&lt;=m_To)),1,0)</f>
        <v/>
      </c>
      <c r="AA919" s="36">
        <f>IF(AND(OR(sel_Region="All",C919=sel_Region),OR(sel_Country="All",D919=sel_Country),OR(sel_Channel="All",E919=sel_Channel),OR(sel_Customer="All",F919=sel_Customer),OR(sel_Category="All",G919=sel_Category),OR(sel_Product="All",H919=sel_Product)),1,0)</f>
        <v/>
      </c>
    </row>
    <row r="920">
      <c r="A920" s="36" t="inlineStr">
        <is>
          <t>04230</t>
        </is>
      </c>
      <c r="B920" s="44" t="n">
        <v>46169</v>
      </c>
      <c r="C920" s="36" t="inlineStr">
        <is>
          <t>Southern Europe</t>
        </is>
      </c>
      <c r="D920" s="36" t="inlineStr">
        <is>
          <t>Spain</t>
        </is>
      </c>
      <c r="E920" s="36" t="inlineStr">
        <is>
          <t>Retail Partners</t>
        </is>
      </c>
      <c r="F920" s="36" t="inlineStr">
        <is>
          <t>New</t>
        </is>
      </c>
      <c r="G920" s="36" t="inlineStr">
        <is>
          <t>Cycling</t>
        </is>
      </c>
      <c r="H920" s="36" t="inlineStr">
        <is>
          <t>Commuter Helmet</t>
        </is>
      </c>
      <c r="I920" s="36" t="n">
        <v>1</v>
      </c>
      <c r="J920" s="39" t="n">
        <v>83.3</v>
      </c>
      <c r="K920" s="45" t="n">
        <v>0</v>
      </c>
      <c r="L920" s="39" t="n">
        <v>41.93</v>
      </c>
      <c r="M920" s="39">
        <f>I920*J920*(1-K920)</f>
        <v/>
      </c>
      <c r="N920" s="39">
        <f>I920*L920</f>
        <v/>
      </c>
      <c r="O920" s="39">
        <f>M920-N920</f>
        <v/>
      </c>
      <c r="P920" s="38">
        <f>IF(M920=0,0,O920/M920)</f>
        <v/>
      </c>
      <c r="Q920" s="36">
        <f>YEAR(B920)</f>
        <v/>
      </c>
      <c r="R920" s="36">
        <f>"Q"&amp;ROUNDUP(MONTH(B920)/3,0)</f>
        <v/>
      </c>
      <c r="S920" s="36">
        <f>MONTH(B920)</f>
        <v/>
      </c>
      <c r="T920" s="36">
        <f>TEXT(B920,"mmm")</f>
        <v/>
      </c>
      <c r="U920" s="36">
        <f>IF(AND(OR(sel_Region="All",C920=sel_Region),OR(sel_Country="All",D920=sel_Country),OR(sel_Channel="All",E920=sel_Channel),OR(sel_Customer="All",F920=sel_Customer),OR(sel_Category="All",G920=sel_Category),OR(sel_Product="All",H920=sel_Product),AND(S920&gt;=m_From,S920&lt;=m_To)),1,0)</f>
        <v/>
      </c>
      <c r="V920" s="36">
        <f>IF(AND(OR(sel_Region="All",C920=sel_Region),OR(sel_Channel="All",E920=sel_Channel),OR(sel_Customer="All",F920=sel_Customer),OR(sel_Category="All",G920=sel_Category),OR(sel_Product="All",H920=sel_Product),AND(S920&gt;=m_From,S920&lt;=m_To)),1,0)</f>
        <v/>
      </c>
      <c r="W920" s="36">
        <f>IF(AND(OR(sel_Region="All",C920=sel_Region),OR(sel_Country="All",D920=sel_Country),OR(sel_Customer="All",F920=sel_Customer),OR(sel_Category="All",G920=sel_Category),OR(sel_Product="All",H920=sel_Product),AND(S920&gt;=m_From,S920&lt;=m_To)),1,0)</f>
        <v/>
      </c>
      <c r="X920" s="36">
        <f>IF(AND(OR(sel_Region="All",C920=sel_Region),OR(sel_Country="All",D920=sel_Country),OR(sel_Channel="All",E920=sel_Channel),OR(sel_Category="All",G920=sel_Category),OR(sel_Product="All",H920=sel_Product),AND(S920&gt;=m_From,S920&lt;=m_To)),1,0)</f>
        <v/>
      </c>
      <c r="Y920" s="36">
        <f>IF(AND(OR(sel_Region="All",C920=sel_Region),OR(sel_Country="All",D920=sel_Country),OR(sel_Channel="All",E920=sel_Channel),OR(sel_Customer="All",F920=sel_Customer),OR(sel_Product="All",H920=sel_Product),AND(S920&gt;=m_From,S920&lt;=m_To)),1,0)</f>
        <v/>
      </c>
      <c r="Z920" s="36">
        <f>IF(AND(OR(sel_Region="All",C920=sel_Region),OR(sel_Country="All",D920=sel_Country),OR(sel_Channel="All",E920=sel_Channel),OR(sel_Customer="All",F920=sel_Customer),OR(sel_Category="All",G920=sel_Category),AND(S920&gt;=m_From,S920&lt;=m_To)),1,0)</f>
        <v/>
      </c>
      <c r="AA920" s="36">
        <f>IF(AND(OR(sel_Region="All",C920=sel_Region),OR(sel_Country="All",D920=sel_Country),OR(sel_Channel="All",E920=sel_Channel),OR(sel_Customer="All",F920=sel_Customer),OR(sel_Category="All",G920=sel_Category),OR(sel_Product="All",H920=sel_Product)),1,0)</f>
        <v/>
      </c>
    </row>
    <row r="921">
      <c r="A921" s="36" t="inlineStr">
        <is>
          <t>00644</t>
        </is>
      </c>
      <c r="B921" s="44" t="n">
        <v>46170</v>
      </c>
      <c r="C921" s="36" t="inlineStr">
        <is>
          <t>Western Europe</t>
        </is>
      </c>
      <c r="D921" s="36" t="inlineStr">
        <is>
          <t>France</t>
        </is>
      </c>
      <c r="E921" s="36" t="inlineStr">
        <is>
          <t>Retail Partners</t>
        </is>
      </c>
      <c r="F921" s="36" t="inlineStr">
        <is>
          <t>New</t>
        </is>
      </c>
      <c r="G921" s="36" t="inlineStr">
        <is>
          <t>Hiking</t>
        </is>
      </c>
      <c r="H921" s="36" t="inlineStr">
        <is>
          <t>Hiking Daypack 20L</t>
        </is>
      </c>
      <c r="I921" s="36" t="n">
        <v>2</v>
      </c>
      <c r="J921" s="39" t="n">
        <v>93.84</v>
      </c>
      <c r="K921" s="45" t="n">
        <v>0</v>
      </c>
      <c r="L921" s="39" t="n">
        <v>44.72</v>
      </c>
      <c r="M921" s="39">
        <f>I921*J921*(1-K921)</f>
        <v/>
      </c>
      <c r="N921" s="39">
        <f>I921*L921</f>
        <v/>
      </c>
      <c r="O921" s="39">
        <f>M921-N921</f>
        <v/>
      </c>
      <c r="P921" s="38">
        <f>IF(M921=0,0,O921/M921)</f>
        <v/>
      </c>
      <c r="Q921" s="36">
        <f>YEAR(B921)</f>
        <v/>
      </c>
      <c r="R921" s="36">
        <f>"Q"&amp;ROUNDUP(MONTH(B921)/3,0)</f>
        <v/>
      </c>
      <c r="S921" s="36">
        <f>MONTH(B921)</f>
        <v/>
      </c>
      <c r="T921" s="36">
        <f>TEXT(B921,"mmm")</f>
        <v/>
      </c>
      <c r="U921" s="36">
        <f>IF(AND(OR(sel_Region="All",C921=sel_Region),OR(sel_Country="All",D921=sel_Country),OR(sel_Channel="All",E921=sel_Channel),OR(sel_Customer="All",F921=sel_Customer),OR(sel_Category="All",G921=sel_Category),OR(sel_Product="All",H921=sel_Product),AND(S921&gt;=m_From,S921&lt;=m_To)),1,0)</f>
        <v/>
      </c>
      <c r="V921" s="36">
        <f>IF(AND(OR(sel_Region="All",C921=sel_Region),OR(sel_Channel="All",E921=sel_Channel),OR(sel_Customer="All",F921=sel_Customer),OR(sel_Category="All",G921=sel_Category),OR(sel_Product="All",H921=sel_Product),AND(S921&gt;=m_From,S921&lt;=m_To)),1,0)</f>
        <v/>
      </c>
      <c r="W921" s="36">
        <f>IF(AND(OR(sel_Region="All",C921=sel_Region),OR(sel_Country="All",D921=sel_Country),OR(sel_Customer="All",F921=sel_Customer),OR(sel_Category="All",G921=sel_Category),OR(sel_Product="All",H921=sel_Product),AND(S921&gt;=m_From,S921&lt;=m_To)),1,0)</f>
        <v/>
      </c>
      <c r="X921" s="36">
        <f>IF(AND(OR(sel_Region="All",C921=sel_Region),OR(sel_Country="All",D921=sel_Country),OR(sel_Channel="All",E921=sel_Channel),OR(sel_Category="All",G921=sel_Category),OR(sel_Product="All",H921=sel_Product),AND(S921&gt;=m_From,S921&lt;=m_To)),1,0)</f>
        <v/>
      </c>
      <c r="Y921" s="36">
        <f>IF(AND(OR(sel_Region="All",C921=sel_Region),OR(sel_Country="All",D921=sel_Country),OR(sel_Channel="All",E921=sel_Channel),OR(sel_Customer="All",F921=sel_Customer),OR(sel_Product="All",H921=sel_Product),AND(S921&gt;=m_From,S921&lt;=m_To)),1,0)</f>
        <v/>
      </c>
      <c r="Z921" s="36">
        <f>IF(AND(OR(sel_Region="All",C921=sel_Region),OR(sel_Country="All",D921=sel_Country),OR(sel_Channel="All",E921=sel_Channel),OR(sel_Customer="All",F921=sel_Customer),OR(sel_Category="All",G921=sel_Category),AND(S921&gt;=m_From,S921&lt;=m_To)),1,0)</f>
        <v/>
      </c>
      <c r="AA921" s="36">
        <f>IF(AND(OR(sel_Region="All",C921=sel_Region),OR(sel_Country="All",D921=sel_Country),OR(sel_Channel="All",E921=sel_Channel),OR(sel_Customer="All",F921=sel_Customer),OR(sel_Category="All",G921=sel_Category),OR(sel_Product="All",H921=sel_Product)),1,0)</f>
        <v/>
      </c>
    </row>
    <row r="922">
      <c r="A922" s="36" t="inlineStr">
        <is>
          <t>01122</t>
        </is>
      </c>
      <c r="B922" s="44" t="n">
        <v>46170</v>
      </c>
      <c r="C922" s="36" t="inlineStr">
        <is>
          <t>Northern Europe</t>
        </is>
      </c>
      <c r="D922" s="36" t="inlineStr">
        <is>
          <t>Norway</t>
        </is>
      </c>
      <c r="E922" s="36" t="inlineStr">
        <is>
          <t>Online Store</t>
        </is>
      </c>
      <c r="F922" s="36" t="inlineStr">
        <is>
          <t>Returning</t>
        </is>
      </c>
      <c r="G922" s="36" t="inlineStr">
        <is>
          <t>Cycling</t>
        </is>
      </c>
      <c r="H922" s="36" t="inlineStr">
        <is>
          <t>Trail Bike Light</t>
        </is>
      </c>
      <c r="I922" s="36" t="n">
        <v>2</v>
      </c>
      <c r="J922" s="39" t="n">
        <v>51.25</v>
      </c>
      <c r="K922" s="45" t="n">
        <v>0</v>
      </c>
      <c r="L922" s="39" t="n">
        <v>22.57</v>
      </c>
      <c r="M922" s="39">
        <f>I922*J922*(1-K922)</f>
        <v/>
      </c>
      <c r="N922" s="39">
        <f>I922*L922</f>
        <v/>
      </c>
      <c r="O922" s="39">
        <f>M922-N922</f>
        <v/>
      </c>
      <c r="P922" s="38">
        <f>IF(M922=0,0,O922/M922)</f>
        <v/>
      </c>
      <c r="Q922" s="36">
        <f>YEAR(B922)</f>
        <v/>
      </c>
      <c r="R922" s="36">
        <f>"Q"&amp;ROUNDUP(MONTH(B922)/3,0)</f>
        <v/>
      </c>
      <c r="S922" s="36">
        <f>MONTH(B922)</f>
        <v/>
      </c>
      <c r="T922" s="36">
        <f>TEXT(B922,"mmm")</f>
        <v/>
      </c>
      <c r="U922" s="36">
        <f>IF(AND(OR(sel_Region="All",C922=sel_Region),OR(sel_Country="All",D922=sel_Country),OR(sel_Channel="All",E922=sel_Channel),OR(sel_Customer="All",F922=sel_Customer),OR(sel_Category="All",G922=sel_Category),OR(sel_Product="All",H922=sel_Product),AND(S922&gt;=m_From,S922&lt;=m_To)),1,0)</f>
        <v/>
      </c>
      <c r="V922" s="36">
        <f>IF(AND(OR(sel_Region="All",C922=sel_Region),OR(sel_Channel="All",E922=sel_Channel),OR(sel_Customer="All",F922=sel_Customer),OR(sel_Category="All",G922=sel_Category),OR(sel_Product="All",H922=sel_Product),AND(S922&gt;=m_From,S922&lt;=m_To)),1,0)</f>
        <v/>
      </c>
      <c r="W922" s="36">
        <f>IF(AND(OR(sel_Region="All",C922=sel_Region),OR(sel_Country="All",D922=sel_Country),OR(sel_Customer="All",F922=sel_Customer),OR(sel_Category="All",G922=sel_Category),OR(sel_Product="All",H922=sel_Product),AND(S922&gt;=m_From,S922&lt;=m_To)),1,0)</f>
        <v/>
      </c>
      <c r="X922" s="36">
        <f>IF(AND(OR(sel_Region="All",C922=sel_Region),OR(sel_Country="All",D922=sel_Country),OR(sel_Channel="All",E922=sel_Channel),OR(sel_Category="All",G922=sel_Category),OR(sel_Product="All",H922=sel_Product),AND(S922&gt;=m_From,S922&lt;=m_To)),1,0)</f>
        <v/>
      </c>
      <c r="Y922" s="36">
        <f>IF(AND(OR(sel_Region="All",C922=sel_Region),OR(sel_Country="All",D922=sel_Country),OR(sel_Channel="All",E922=sel_Channel),OR(sel_Customer="All",F922=sel_Customer),OR(sel_Product="All",H922=sel_Product),AND(S922&gt;=m_From,S922&lt;=m_To)),1,0)</f>
        <v/>
      </c>
      <c r="Z922" s="36">
        <f>IF(AND(OR(sel_Region="All",C922=sel_Region),OR(sel_Country="All",D922=sel_Country),OR(sel_Channel="All",E922=sel_Channel),OR(sel_Customer="All",F922=sel_Customer),OR(sel_Category="All",G922=sel_Category),AND(S922&gt;=m_From,S922&lt;=m_To)),1,0)</f>
        <v/>
      </c>
      <c r="AA922" s="36">
        <f>IF(AND(OR(sel_Region="All",C922=sel_Region),OR(sel_Country="All",D922=sel_Country),OR(sel_Channel="All",E922=sel_Channel),OR(sel_Customer="All",F922=sel_Customer),OR(sel_Category="All",G922=sel_Category),OR(sel_Product="All",H922=sel_Product)),1,0)</f>
        <v/>
      </c>
    </row>
    <row r="923">
      <c r="A923" s="36" t="inlineStr">
        <is>
          <t>02019</t>
        </is>
      </c>
      <c r="B923" s="44" t="n">
        <v>46170</v>
      </c>
      <c r="C923" s="36" t="inlineStr">
        <is>
          <t>Western Europe</t>
        </is>
      </c>
      <c r="D923" s="36" t="inlineStr">
        <is>
          <t>France</t>
        </is>
      </c>
      <c r="E923" s="36" t="inlineStr">
        <is>
          <t>Corporate</t>
        </is>
      </c>
      <c r="F923" s="36" t="inlineStr">
        <is>
          <t>Business</t>
        </is>
      </c>
      <c r="G923" s="36" t="inlineStr">
        <is>
          <t>Cycling</t>
        </is>
      </c>
      <c r="H923" s="36" t="inlineStr">
        <is>
          <t>Commuter Helmet</t>
        </is>
      </c>
      <c r="I923" s="36" t="n">
        <v>8</v>
      </c>
      <c r="J923" s="39" t="n">
        <v>80.13</v>
      </c>
      <c r="K923" s="45" t="n">
        <v>0.1</v>
      </c>
      <c r="L923" s="39" t="n">
        <v>43.8</v>
      </c>
      <c r="M923" s="39">
        <f>I923*J923*(1-K923)</f>
        <v/>
      </c>
      <c r="N923" s="39">
        <f>I923*L923</f>
        <v/>
      </c>
      <c r="O923" s="39">
        <f>M923-N923</f>
        <v/>
      </c>
      <c r="P923" s="38">
        <f>IF(M923=0,0,O923/M923)</f>
        <v/>
      </c>
      <c r="Q923" s="36">
        <f>YEAR(B923)</f>
        <v/>
      </c>
      <c r="R923" s="36">
        <f>"Q"&amp;ROUNDUP(MONTH(B923)/3,0)</f>
        <v/>
      </c>
      <c r="S923" s="36">
        <f>MONTH(B923)</f>
        <v/>
      </c>
      <c r="T923" s="36">
        <f>TEXT(B923,"mmm")</f>
        <v/>
      </c>
      <c r="U923" s="36">
        <f>IF(AND(OR(sel_Region="All",C923=sel_Region),OR(sel_Country="All",D923=sel_Country),OR(sel_Channel="All",E923=sel_Channel),OR(sel_Customer="All",F923=sel_Customer),OR(sel_Category="All",G923=sel_Category),OR(sel_Product="All",H923=sel_Product),AND(S923&gt;=m_From,S923&lt;=m_To)),1,0)</f>
        <v/>
      </c>
      <c r="V923" s="36">
        <f>IF(AND(OR(sel_Region="All",C923=sel_Region),OR(sel_Channel="All",E923=sel_Channel),OR(sel_Customer="All",F923=sel_Customer),OR(sel_Category="All",G923=sel_Category),OR(sel_Product="All",H923=sel_Product),AND(S923&gt;=m_From,S923&lt;=m_To)),1,0)</f>
        <v/>
      </c>
      <c r="W923" s="36">
        <f>IF(AND(OR(sel_Region="All",C923=sel_Region),OR(sel_Country="All",D923=sel_Country),OR(sel_Customer="All",F923=sel_Customer),OR(sel_Category="All",G923=sel_Category),OR(sel_Product="All",H923=sel_Product),AND(S923&gt;=m_From,S923&lt;=m_To)),1,0)</f>
        <v/>
      </c>
      <c r="X923" s="36">
        <f>IF(AND(OR(sel_Region="All",C923=sel_Region),OR(sel_Country="All",D923=sel_Country),OR(sel_Channel="All",E923=sel_Channel),OR(sel_Category="All",G923=sel_Category),OR(sel_Product="All",H923=sel_Product),AND(S923&gt;=m_From,S923&lt;=m_To)),1,0)</f>
        <v/>
      </c>
      <c r="Y923" s="36">
        <f>IF(AND(OR(sel_Region="All",C923=sel_Region),OR(sel_Country="All",D923=sel_Country),OR(sel_Channel="All",E923=sel_Channel),OR(sel_Customer="All",F923=sel_Customer),OR(sel_Product="All",H923=sel_Product),AND(S923&gt;=m_From,S923&lt;=m_To)),1,0)</f>
        <v/>
      </c>
      <c r="Z923" s="36">
        <f>IF(AND(OR(sel_Region="All",C923=sel_Region),OR(sel_Country="All",D923=sel_Country),OR(sel_Channel="All",E923=sel_Channel),OR(sel_Customer="All",F923=sel_Customer),OR(sel_Category="All",G923=sel_Category),AND(S923&gt;=m_From,S923&lt;=m_To)),1,0)</f>
        <v/>
      </c>
      <c r="AA923" s="36">
        <f>IF(AND(OR(sel_Region="All",C923=sel_Region),OR(sel_Country="All",D923=sel_Country),OR(sel_Channel="All",E923=sel_Channel),OR(sel_Customer="All",F923=sel_Customer),OR(sel_Category="All",G923=sel_Category),OR(sel_Product="All",H923=sel_Product)),1,0)</f>
        <v/>
      </c>
    </row>
    <row r="924">
      <c r="A924" s="36" t="inlineStr">
        <is>
          <t>02432</t>
        </is>
      </c>
      <c r="B924" s="44" t="n">
        <v>46170</v>
      </c>
      <c r="C924" s="36" t="inlineStr">
        <is>
          <t>Central Europe</t>
        </is>
      </c>
      <c r="D924" s="36" t="inlineStr">
        <is>
          <t>Germany</t>
        </is>
      </c>
      <c r="E924" s="36" t="inlineStr">
        <is>
          <t>Online Store</t>
        </is>
      </c>
      <c r="F924" s="36" t="inlineStr">
        <is>
          <t>Returning</t>
        </is>
      </c>
      <c r="G924" s="36" t="inlineStr">
        <is>
          <t>Fitness</t>
        </is>
      </c>
      <c r="H924" s="36" t="inlineStr">
        <is>
          <t>Resistance Band Set</t>
        </is>
      </c>
      <c r="I924" s="36" t="n">
        <v>1</v>
      </c>
      <c r="J924" s="39" t="n">
        <v>41.13</v>
      </c>
      <c r="K924" s="45" t="n">
        <v>0</v>
      </c>
      <c r="L924" s="39" t="n">
        <v>14.8</v>
      </c>
      <c r="M924" s="39">
        <f>I924*J924*(1-K924)</f>
        <v/>
      </c>
      <c r="N924" s="39">
        <f>I924*L924</f>
        <v/>
      </c>
      <c r="O924" s="39">
        <f>M924-N924</f>
        <v/>
      </c>
      <c r="P924" s="38">
        <f>IF(M924=0,0,O924/M924)</f>
        <v/>
      </c>
      <c r="Q924" s="36">
        <f>YEAR(B924)</f>
        <v/>
      </c>
      <c r="R924" s="36">
        <f>"Q"&amp;ROUNDUP(MONTH(B924)/3,0)</f>
        <v/>
      </c>
      <c r="S924" s="36">
        <f>MONTH(B924)</f>
        <v/>
      </c>
      <c r="T924" s="36">
        <f>TEXT(B924,"mmm")</f>
        <v/>
      </c>
      <c r="U924" s="36">
        <f>IF(AND(OR(sel_Region="All",C924=sel_Region),OR(sel_Country="All",D924=sel_Country),OR(sel_Channel="All",E924=sel_Channel),OR(sel_Customer="All",F924=sel_Customer),OR(sel_Category="All",G924=sel_Category),OR(sel_Product="All",H924=sel_Product),AND(S924&gt;=m_From,S924&lt;=m_To)),1,0)</f>
        <v/>
      </c>
      <c r="V924" s="36">
        <f>IF(AND(OR(sel_Region="All",C924=sel_Region),OR(sel_Channel="All",E924=sel_Channel),OR(sel_Customer="All",F924=sel_Customer),OR(sel_Category="All",G924=sel_Category),OR(sel_Product="All",H924=sel_Product),AND(S924&gt;=m_From,S924&lt;=m_To)),1,0)</f>
        <v/>
      </c>
      <c r="W924" s="36">
        <f>IF(AND(OR(sel_Region="All",C924=sel_Region),OR(sel_Country="All",D924=sel_Country),OR(sel_Customer="All",F924=sel_Customer),OR(sel_Category="All",G924=sel_Category),OR(sel_Product="All",H924=sel_Product),AND(S924&gt;=m_From,S924&lt;=m_To)),1,0)</f>
        <v/>
      </c>
      <c r="X924" s="36">
        <f>IF(AND(OR(sel_Region="All",C924=sel_Region),OR(sel_Country="All",D924=sel_Country),OR(sel_Channel="All",E924=sel_Channel),OR(sel_Category="All",G924=sel_Category),OR(sel_Product="All",H924=sel_Product),AND(S924&gt;=m_From,S924&lt;=m_To)),1,0)</f>
        <v/>
      </c>
      <c r="Y924" s="36">
        <f>IF(AND(OR(sel_Region="All",C924=sel_Region),OR(sel_Country="All",D924=sel_Country),OR(sel_Channel="All",E924=sel_Channel),OR(sel_Customer="All",F924=sel_Customer),OR(sel_Product="All",H924=sel_Product),AND(S924&gt;=m_From,S924&lt;=m_To)),1,0)</f>
        <v/>
      </c>
      <c r="Z924" s="36">
        <f>IF(AND(OR(sel_Region="All",C924=sel_Region),OR(sel_Country="All",D924=sel_Country),OR(sel_Channel="All",E924=sel_Channel),OR(sel_Customer="All",F924=sel_Customer),OR(sel_Category="All",G924=sel_Category),AND(S924&gt;=m_From,S924&lt;=m_To)),1,0)</f>
        <v/>
      </c>
      <c r="AA924" s="36">
        <f>IF(AND(OR(sel_Region="All",C924=sel_Region),OR(sel_Country="All",D924=sel_Country),OR(sel_Channel="All",E924=sel_Channel),OR(sel_Customer="All",F924=sel_Customer),OR(sel_Category="All",G924=sel_Category),OR(sel_Product="All",H924=sel_Product)),1,0)</f>
        <v/>
      </c>
    </row>
    <row r="925">
      <c r="A925" s="36" t="inlineStr">
        <is>
          <t>02989</t>
        </is>
      </c>
      <c r="B925" s="44" t="n">
        <v>46170</v>
      </c>
      <c r="C925" s="36" t="inlineStr">
        <is>
          <t>Western Europe</t>
        </is>
      </c>
      <c r="D925" s="36" t="inlineStr">
        <is>
          <t>France</t>
        </is>
      </c>
      <c r="E925" s="36" t="inlineStr">
        <is>
          <t>Online Store</t>
        </is>
      </c>
      <c r="F925" s="36" t="inlineStr">
        <is>
          <t>Returning</t>
        </is>
      </c>
      <c r="G925" s="36" t="inlineStr">
        <is>
          <t>Camping</t>
        </is>
      </c>
      <c r="H925" s="36" t="inlineStr">
        <is>
          <t>Portable Camp Stove</t>
        </is>
      </c>
      <c r="I925" s="36" t="n">
        <v>1</v>
      </c>
      <c r="J925" s="39" t="n">
        <v>81.28</v>
      </c>
      <c r="K925" s="45" t="n">
        <v>0.15</v>
      </c>
      <c r="L925" s="39" t="n">
        <v>39.02</v>
      </c>
      <c r="M925" s="39">
        <f>I925*J925*(1-K925)</f>
        <v/>
      </c>
      <c r="N925" s="39">
        <f>I925*L925</f>
        <v/>
      </c>
      <c r="O925" s="39">
        <f>M925-N925</f>
        <v/>
      </c>
      <c r="P925" s="38">
        <f>IF(M925=0,0,O925/M925)</f>
        <v/>
      </c>
      <c r="Q925" s="36">
        <f>YEAR(B925)</f>
        <v/>
      </c>
      <c r="R925" s="36">
        <f>"Q"&amp;ROUNDUP(MONTH(B925)/3,0)</f>
        <v/>
      </c>
      <c r="S925" s="36">
        <f>MONTH(B925)</f>
        <v/>
      </c>
      <c r="T925" s="36">
        <f>TEXT(B925,"mmm")</f>
        <v/>
      </c>
      <c r="U925" s="36">
        <f>IF(AND(OR(sel_Region="All",C925=sel_Region),OR(sel_Country="All",D925=sel_Country),OR(sel_Channel="All",E925=sel_Channel),OR(sel_Customer="All",F925=sel_Customer),OR(sel_Category="All",G925=sel_Category),OR(sel_Product="All",H925=sel_Product),AND(S925&gt;=m_From,S925&lt;=m_To)),1,0)</f>
        <v/>
      </c>
      <c r="V925" s="36">
        <f>IF(AND(OR(sel_Region="All",C925=sel_Region),OR(sel_Channel="All",E925=sel_Channel),OR(sel_Customer="All",F925=sel_Customer),OR(sel_Category="All",G925=sel_Category),OR(sel_Product="All",H925=sel_Product),AND(S925&gt;=m_From,S925&lt;=m_To)),1,0)</f>
        <v/>
      </c>
      <c r="W925" s="36">
        <f>IF(AND(OR(sel_Region="All",C925=sel_Region),OR(sel_Country="All",D925=sel_Country),OR(sel_Customer="All",F925=sel_Customer),OR(sel_Category="All",G925=sel_Category),OR(sel_Product="All",H925=sel_Product),AND(S925&gt;=m_From,S925&lt;=m_To)),1,0)</f>
        <v/>
      </c>
      <c r="X925" s="36">
        <f>IF(AND(OR(sel_Region="All",C925=sel_Region),OR(sel_Country="All",D925=sel_Country),OR(sel_Channel="All",E925=sel_Channel),OR(sel_Category="All",G925=sel_Category),OR(sel_Product="All",H925=sel_Product),AND(S925&gt;=m_From,S925&lt;=m_To)),1,0)</f>
        <v/>
      </c>
      <c r="Y925" s="36">
        <f>IF(AND(OR(sel_Region="All",C925=sel_Region),OR(sel_Country="All",D925=sel_Country),OR(sel_Channel="All",E925=sel_Channel),OR(sel_Customer="All",F925=sel_Customer),OR(sel_Product="All",H925=sel_Product),AND(S925&gt;=m_From,S925&lt;=m_To)),1,0)</f>
        <v/>
      </c>
      <c r="Z925" s="36">
        <f>IF(AND(OR(sel_Region="All",C925=sel_Region),OR(sel_Country="All",D925=sel_Country),OR(sel_Channel="All",E925=sel_Channel),OR(sel_Customer="All",F925=sel_Customer),OR(sel_Category="All",G925=sel_Category),AND(S925&gt;=m_From,S925&lt;=m_To)),1,0)</f>
        <v/>
      </c>
      <c r="AA925" s="36">
        <f>IF(AND(OR(sel_Region="All",C925=sel_Region),OR(sel_Country="All",D925=sel_Country),OR(sel_Channel="All",E925=sel_Channel),OR(sel_Customer="All",F925=sel_Customer),OR(sel_Category="All",G925=sel_Category),OR(sel_Product="All",H925=sel_Product)),1,0)</f>
        <v/>
      </c>
    </row>
    <row r="926">
      <c r="A926" s="36" t="inlineStr">
        <is>
          <t>03019</t>
        </is>
      </c>
      <c r="B926" s="44" t="n">
        <v>46170</v>
      </c>
      <c r="C926" s="36" t="inlineStr">
        <is>
          <t>Northern Europe</t>
        </is>
      </c>
      <c r="D926" s="36" t="inlineStr">
        <is>
          <t>Ireland</t>
        </is>
      </c>
      <c r="E926" s="36" t="inlineStr">
        <is>
          <t>Online Store</t>
        </is>
      </c>
      <c r="F926" s="36" t="inlineStr">
        <is>
          <t>Business</t>
        </is>
      </c>
      <c r="G926" s="36" t="inlineStr">
        <is>
          <t>Travel</t>
        </is>
      </c>
      <c r="H926" s="36" t="inlineStr">
        <is>
          <t>Packing Cube Set</t>
        </is>
      </c>
      <c r="I926" s="36" t="n">
        <v>1</v>
      </c>
      <c r="J926" s="39" t="n">
        <v>46.19</v>
      </c>
      <c r="K926" s="45" t="n">
        <v>0</v>
      </c>
      <c r="L926" s="39" t="n">
        <v>18.33</v>
      </c>
      <c r="M926" s="39">
        <f>I926*J926*(1-K926)</f>
        <v/>
      </c>
      <c r="N926" s="39">
        <f>I926*L926</f>
        <v/>
      </c>
      <c r="O926" s="39">
        <f>M926-N926</f>
        <v/>
      </c>
      <c r="P926" s="38">
        <f>IF(M926=0,0,O926/M926)</f>
        <v/>
      </c>
      <c r="Q926" s="36">
        <f>YEAR(B926)</f>
        <v/>
      </c>
      <c r="R926" s="36">
        <f>"Q"&amp;ROUNDUP(MONTH(B926)/3,0)</f>
        <v/>
      </c>
      <c r="S926" s="36">
        <f>MONTH(B926)</f>
        <v/>
      </c>
      <c r="T926" s="36">
        <f>TEXT(B926,"mmm")</f>
        <v/>
      </c>
      <c r="U926" s="36">
        <f>IF(AND(OR(sel_Region="All",C926=sel_Region),OR(sel_Country="All",D926=sel_Country),OR(sel_Channel="All",E926=sel_Channel),OR(sel_Customer="All",F926=sel_Customer),OR(sel_Category="All",G926=sel_Category),OR(sel_Product="All",H926=sel_Product),AND(S926&gt;=m_From,S926&lt;=m_To)),1,0)</f>
        <v/>
      </c>
      <c r="V926" s="36">
        <f>IF(AND(OR(sel_Region="All",C926=sel_Region),OR(sel_Channel="All",E926=sel_Channel),OR(sel_Customer="All",F926=sel_Customer),OR(sel_Category="All",G926=sel_Category),OR(sel_Product="All",H926=sel_Product),AND(S926&gt;=m_From,S926&lt;=m_To)),1,0)</f>
        <v/>
      </c>
      <c r="W926" s="36">
        <f>IF(AND(OR(sel_Region="All",C926=sel_Region),OR(sel_Country="All",D926=sel_Country),OR(sel_Customer="All",F926=sel_Customer),OR(sel_Category="All",G926=sel_Category),OR(sel_Product="All",H926=sel_Product),AND(S926&gt;=m_From,S926&lt;=m_To)),1,0)</f>
        <v/>
      </c>
      <c r="X926" s="36">
        <f>IF(AND(OR(sel_Region="All",C926=sel_Region),OR(sel_Country="All",D926=sel_Country),OR(sel_Channel="All",E926=sel_Channel),OR(sel_Category="All",G926=sel_Category),OR(sel_Product="All",H926=sel_Product),AND(S926&gt;=m_From,S926&lt;=m_To)),1,0)</f>
        <v/>
      </c>
      <c r="Y926" s="36">
        <f>IF(AND(OR(sel_Region="All",C926=sel_Region),OR(sel_Country="All",D926=sel_Country),OR(sel_Channel="All",E926=sel_Channel),OR(sel_Customer="All",F926=sel_Customer),OR(sel_Product="All",H926=sel_Product),AND(S926&gt;=m_From,S926&lt;=m_To)),1,0)</f>
        <v/>
      </c>
      <c r="Z926" s="36">
        <f>IF(AND(OR(sel_Region="All",C926=sel_Region),OR(sel_Country="All",D926=sel_Country),OR(sel_Channel="All",E926=sel_Channel),OR(sel_Customer="All",F926=sel_Customer),OR(sel_Category="All",G926=sel_Category),AND(S926&gt;=m_From,S926&lt;=m_To)),1,0)</f>
        <v/>
      </c>
      <c r="AA926" s="36">
        <f>IF(AND(OR(sel_Region="All",C926=sel_Region),OR(sel_Country="All",D926=sel_Country),OR(sel_Channel="All",E926=sel_Channel),OR(sel_Customer="All",F926=sel_Customer),OR(sel_Category="All",G926=sel_Category),OR(sel_Product="All",H926=sel_Product)),1,0)</f>
        <v/>
      </c>
    </row>
    <row r="927">
      <c r="A927" s="36" t="inlineStr">
        <is>
          <t>03798</t>
        </is>
      </c>
      <c r="B927" s="44" t="n">
        <v>46170</v>
      </c>
      <c r="C927" s="36" t="inlineStr">
        <is>
          <t>Western Europe</t>
        </is>
      </c>
      <c r="D927" s="36" t="inlineStr">
        <is>
          <t>United Kingdom</t>
        </is>
      </c>
      <c r="E927" s="36" t="inlineStr">
        <is>
          <t>Online Store</t>
        </is>
      </c>
      <c r="F927" s="36" t="inlineStr">
        <is>
          <t>Returning</t>
        </is>
      </c>
      <c r="G927" s="36" t="inlineStr">
        <is>
          <t>Hiking</t>
        </is>
      </c>
      <c r="H927" s="36" t="inlineStr">
        <is>
          <t>Summit Backpack 45L</t>
        </is>
      </c>
      <c r="I927" s="36" t="n">
        <v>3</v>
      </c>
      <c r="J927" s="39" t="n">
        <v>156.58</v>
      </c>
      <c r="K927" s="45" t="n">
        <v>0</v>
      </c>
      <c r="L927" s="39" t="n">
        <v>79.09999999999999</v>
      </c>
      <c r="M927" s="39">
        <f>I927*J927*(1-K927)</f>
        <v/>
      </c>
      <c r="N927" s="39">
        <f>I927*L927</f>
        <v/>
      </c>
      <c r="O927" s="39">
        <f>M927-N927</f>
        <v/>
      </c>
      <c r="P927" s="38">
        <f>IF(M927=0,0,O927/M927)</f>
        <v/>
      </c>
      <c r="Q927" s="36">
        <f>YEAR(B927)</f>
        <v/>
      </c>
      <c r="R927" s="36">
        <f>"Q"&amp;ROUNDUP(MONTH(B927)/3,0)</f>
        <v/>
      </c>
      <c r="S927" s="36">
        <f>MONTH(B927)</f>
        <v/>
      </c>
      <c r="T927" s="36">
        <f>TEXT(B927,"mmm")</f>
        <v/>
      </c>
      <c r="U927" s="36">
        <f>IF(AND(OR(sel_Region="All",C927=sel_Region),OR(sel_Country="All",D927=sel_Country),OR(sel_Channel="All",E927=sel_Channel),OR(sel_Customer="All",F927=sel_Customer),OR(sel_Category="All",G927=sel_Category),OR(sel_Product="All",H927=sel_Product),AND(S927&gt;=m_From,S927&lt;=m_To)),1,0)</f>
        <v/>
      </c>
      <c r="V927" s="36">
        <f>IF(AND(OR(sel_Region="All",C927=sel_Region),OR(sel_Channel="All",E927=sel_Channel),OR(sel_Customer="All",F927=sel_Customer),OR(sel_Category="All",G927=sel_Category),OR(sel_Product="All",H927=sel_Product),AND(S927&gt;=m_From,S927&lt;=m_To)),1,0)</f>
        <v/>
      </c>
      <c r="W927" s="36">
        <f>IF(AND(OR(sel_Region="All",C927=sel_Region),OR(sel_Country="All",D927=sel_Country),OR(sel_Customer="All",F927=sel_Customer),OR(sel_Category="All",G927=sel_Category),OR(sel_Product="All",H927=sel_Product),AND(S927&gt;=m_From,S927&lt;=m_To)),1,0)</f>
        <v/>
      </c>
      <c r="X927" s="36">
        <f>IF(AND(OR(sel_Region="All",C927=sel_Region),OR(sel_Country="All",D927=sel_Country),OR(sel_Channel="All",E927=sel_Channel),OR(sel_Category="All",G927=sel_Category),OR(sel_Product="All",H927=sel_Product),AND(S927&gt;=m_From,S927&lt;=m_To)),1,0)</f>
        <v/>
      </c>
      <c r="Y927" s="36">
        <f>IF(AND(OR(sel_Region="All",C927=sel_Region),OR(sel_Country="All",D927=sel_Country),OR(sel_Channel="All",E927=sel_Channel),OR(sel_Customer="All",F927=sel_Customer),OR(sel_Product="All",H927=sel_Product),AND(S927&gt;=m_From,S927&lt;=m_To)),1,0)</f>
        <v/>
      </c>
      <c r="Z927" s="36">
        <f>IF(AND(OR(sel_Region="All",C927=sel_Region),OR(sel_Country="All",D927=sel_Country),OR(sel_Channel="All",E927=sel_Channel),OR(sel_Customer="All",F927=sel_Customer),OR(sel_Category="All",G927=sel_Category),AND(S927&gt;=m_From,S927&lt;=m_To)),1,0)</f>
        <v/>
      </c>
      <c r="AA927" s="36">
        <f>IF(AND(OR(sel_Region="All",C927=sel_Region),OR(sel_Country="All",D927=sel_Country),OR(sel_Channel="All",E927=sel_Channel),OR(sel_Customer="All",F927=sel_Customer),OR(sel_Category="All",G927=sel_Category),OR(sel_Product="All",H927=sel_Product)),1,0)</f>
        <v/>
      </c>
    </row>
    <row r="928">
      <c r="A928" s="36" t="inlineStr">
        <is>
          <t>03862</t>
        </is>
      </c>
      <c r="B928" s="44" t="n">
        <v>46170</v>
      </c>
      <c r="C928" s="36" t="inlineStr">
        <is>
          <t>Western Europe</t>
        </is>
      </c>
      <c r="D928" s="36" t="inlineStr">
        <is>
          <t>France</t>
        </is>
      </c>
      <c r="E928" s="36" t="inlineStr">
        <is>
          <t>Marketplace</t>
        </is>
      </c>
      <c r="F928" s="36" t="inlineStr">
        <is>
          <t>New</t>
        </is>
      </c>
      <c r="G928" s="36" t="inlineStr">
        <is>
          <t>Fitness</t>
        </is>
      </c>
      <c r="H928" s="36" t="inlineStr">
        <is>
          <t>Weighted Vest</t>
        </is>
      </c>
      <c r="I928" s="36" t="n">
        <v>1</v>
      </c>
      <c r="J928" s="39" t="n">
        <v>123.91</v>
      </c>
      <c r="K928" s="45" t="n">
        <v>0</v>
      </c>
      <c r="L928" s="39" t="n">
        <v>68.89</v>
      </c>
      <c r="M928" s="39">
        <f>I928*J928*(1-K928)</f>
        <v/>
      </c>
      <c r="N928" s="39">
        <f>I928*L928</f>
        <v/>
      </c>
      <c r="O928" s="39">
        <f>M928-N928</f>
        <v/>
      </c>
      <c r="P928" s="38">
        <f>IF(M928=0,0,O928/M928)</f>
        <v/>
      </c>
      <c r="Q928" s="36">
        <f>YEAR(B928)</f>
        <v/>
      </c>
      <c r="R928" s="36">
        <f>"Q"&amp;ROUNDUP(MONTH(B928)/3,0)</f>
        <v/>
      </c>
      <c r="S928" s="36">
        <f>MONTH(B928)</f>
        <v/>
      </c>
      <c r="T928" s="36">
        <f>TEXT(B928,"mmm")</f>
        <v/>
      </c>
      <c r="U928" s="36">
        <f>IF(AND(OR(sel_Region="All",C928=sel_Region),OR(sel_Country="All",D928=sel_Country),OR(sel_Channel="All",E928=sel_Channel),OR(sel_Customer="All",F928=sel_Customer),OR(sel_Category="All",G928=sel_Category),OR(sel_Product="All",H928=sel_Product),AND(S928&gt;=m_From,S928&lt;=m_To)),1,0)</f>
        <v/>
      </c>
      <c r="V928" s="36">
        <f>IF(AND(OR(sel_Region="All",C928=sel_Region),OR(sel_Channel="All",E928=sel_Channel),OR(sel_Customer="All",F928=sel_Customer),OR(sel_Category="All",G928=sel_Category),OR(sel_Product="All",H928=sel_Product),AND(S928&gt;=m_From,S928&lt;=m_To)),1,0)</f>
        <v/>
      </c>
      <c r="W928" s="36">
        <f>IF(AND(OR(sel_Region="All",C928=sel_Region),OR(sel_Country="All",D928=sel_Country),OR(sel_Customer="All",F928=sel_Customer),OR(sel_Category="All",G928=sel_Category),OR(sel_Product="All",H928=sel_Product),AND(S928&gt;=m_From,S928&lt;=m_To)),1,0)</f>
        <v/>
      </c>
      <c r="X928" s="36">
        <f>IF(AND(OR(sel_Region="All",C928=sel_Region),OR(sel_Country="All",D928=sel_Country),OR(sel_Channel="All",E928=sel_Channel),OR(sel_Category="All",G928=sel_Category),OR(sel_Product="All",H928=sel_Product),AND(S928&gt;=m_From,S928&lt;=m_To)),1,0)</f>
        <v/>
      </c>
      <c r="Y928" s="36">
        <f>IF(AND(OR(sel_Region="All",C928=sel_Region),OR(sel_Country="All",D928=sel_Country),OR(sel_Channel="All",E928=sel_Channel),OR(sel_Customer="All",F928=sel_Customer),OR(sel_Product="All",H928=sel_Product),AND(S928&gt;=m_From,S928&lt;=m_To)),1,0)</f>
        <v/>
      </c>
      <c r="Z928" s="36">
        <f>IF(AND(OR(sel_Region="All",C928=sel_Region),OR(sel_Country="All",D928=sel_Country),OR(sel_Channel="All",E928=sel_Channel),OR(sel_Customer="All",F928=sel_Customer),OR(sel_Category="All",G928=sel_Category),AND(S928&gt;=m_From,S928&lt;=m_To)),1,0)</f>
        <v/>
      </c>
      <c r="AA928" s="36">
        <f>IF(AND(OR(sel_Region="All",C928=sel_Region),OR(sel_Country="All",D928=sel_Country),OR(sel_Channel="All",E928=sel_Channel),OR(sel_Customer="All",F928=sel_Customer),OR(sel_Category="All",G928=sel_Category),OR(sel_Product="All",H928=sel_Product)),1,0)</f>
        <v/>
      </c>
    </row>
    <row r="929">
      <c r="A929" s="36" t="inlineStr">
        <is>
          <t>04281</t>
        </is>
      </c>
      <c r="B929" s="44" t="n">
        <v>46170</v>
      </c>
      <c r="C929" s="36" t="inlineStr">
        <is>
          <t>Northern Europe</t>
        </is>
      </c>
      <c r="D929" s="36" t="inlineStr">
        <is>
          <t>Sweden</t>
        </is>
      </c>
      <c r="E929" s="36" t="inlineStr">
        <is>
          <t>Marketplace</t>
        </is>
      </c>
      <c r="F929" s="36" t="inlineStr">
        <is>
          <t>New</t>
        </is>
      </c>
      <c r="G929" s="36" t="inlineStr">
        <is>
          <t>Cycling</t>
        </is>
      </c>
      <c r="H929" s="36" t="inlineStr">
        <is>
          <t>Trail Bike Light</t>
        </is>
      </c>
      <c r="I929" s="36" t="n">
        <v>1</v>
      </c>
      <c r="J929" s="39" t="n">
        <v>50.64</v>
      </c>
      <c r="K929" s="45" t="n">
        <v>0</v>
      </c>
      <c r="L929" s="39" t="n">
        <v>22.97</v>
      </c>
      <c r="M929" s="39">
        <f>I929*J929*(1-K929)</f>
        <v/>
      </c>
      <c r="N929" s="39">
        <f>I929*L929</f>
        <v/>
      </c>
      <c r="O929" s="39">
        <f>M929-N929</f>
        <v/>
      </c>
      <c r="P929" s="38">
        <f>IF(M929=0,0,O929/M929)</f>
        <v/>
      </c>
      <c r="Q929" s="36">
        <f>YEAR(B929)</f>
        <v/>
      </c>
      <c r="R929" s="36">
        <f>"Q"&amp;ROUNDUP(MONTH(B929)/3,0)</f>
        <v/>
      </c>
      <c r="S929" s="36">
        <f>MONTH(B929)</f>
        <v/>
      </c>
      <c r="T929" s="36">
        <f>TEXT(B929,"mmm")</f>
        <v/>
      </c>
      <c r="U929" s="36">
        <f>IF(AND(OR(sel_Region="All",C929=sel_Region),OR(sel_Country="All",D929=sel_Country),OR(sel_Channel="All",E929=sel_Channel),OR(sel_Customer="All",F929=sel_Customer),OR(sel_Category="All",G929=sel_Category),OR(sel_Product="All",H929=sel_Product),AND(S929&gt;=m_From,S929&lt;=m_To)),1,0)</f>
        <v/>
      </c>
      <c r="V929" s="36">
        <f>IF(AND(OR(sel_Region="All",C929=sel_Region),OR(sel_Channel="All",E929=sel_Channel),OR(sel_Customer="All",F929=sel_Customer),OR(sel_Category="All",G929=sel_Category),OR(sel_Product="All",H929=sel_Product),AND(S929&gt;=m_From,S929&lt;=m_To)),1,0)</f>
        <v/>
      </c>
      <c r="W929" s="36">
        <f>IF(AND(OR(sel_Region="All",C929=sel_Region),OR(sel_Country="All",D929=sel_Country),OR(sel_Customer="All",F929=sel_Customer),OR(sel_Category="All",G929=sel_Category),OR(sel_Product="All",H929=sel_Product),AND(S929&gt;=m_From,S929&lt;=m_To)),1,0)</f>
        <v/>
      </c>
      <c r="X929" s="36">
        <f>IF(AND(OR(sel_Region="All",C929=sel_Region),OR(sel_Country="All",D929=sel_Country),OR(sel_Channel="All",E929=sel_Channel),OR(sel_Category="All",G929=sel_Category),OR(sel_Product="All",H929=sel_Product),AND(S929&gt;=m_From,S929&lt;=m_To)),1,0)</f>
        <v/>
      </c>
      <c r="Y929" s="36">
        <f>IF(AND(OR(sel_Region="All",C929=sel_Region),OR(sel_Country="All",D929=sel_Country),OR(sel_Channel="All",E929=sel_Channel),OR(sel_Customer="All",F929=sel_Customer),OR(sel_Product="All",H929=sel_Product),AND(S929&gt;=m_From,S929&lt;=m_To)),1,0)</f>
        <v/>
      </c>
      <c r="Z929" s="36">
        <f>IF(AND(OR(sel_Region="All",C929=sel_Region),OR(sel_Country="All",D929=sel_Country),OR(sel_Channel="All",E929=sel_Channel),OR(sel_Customer="All",F929=sel_Customer),OR(sel_Category="All",G929=sel_Category),AND(S929&gt;=m_From,S929&lt;=m_To)),1,0)</f>
        <v/>
      </c>
      <c r="AA929" s="36">
        <f>IF(AND(OR(sel_Region="All",C929=sel_Region),OR(sel_Country="All",D929=sel_Country),OR(sel_Channel="All",E929=sel_Channel),OR(sel_Customer="All",F929=sel_Customer),OR(sel_Category="All",G929=sel_Category),OR(sel_Product="All",H929=sel_Product)),1,0)</f>
        <v/>
      </c>
    </row>
    <row r="930">
      <c r="A930" s="36" t="inlineStr">
        <is>
          <t>00191</t>
        </is>
      </c>
      <c r="B930" s="44" t="n">
        <v>46171</v>
      </c>
      <c r="C930" s="36" t="inlineStr">
        <is>
          <t>Northern Europe</t>
        </is>
      </c>
      <c r="D930" s="36" t="inlineStr">
        <is>
          <t>Denmark</t>
        </is>
      </c>
      <c r="E930" s="36" t="inlineStr">
        <is>
          <t>Online Store</t>
        </is>
      </c>
      <c r="F930" s="36" t="inlineStr">
        <is>
          <t>Returning</t>
        </is>
      </c>
      <c r="G930" s="36" t="inlineStr">
        <is>
          <t>Hiking</t>
        </is>
      </c>
      <c r="H930" s="36" t="inlineStr">
        <is>
          <t>Trekking Poles</t>
        </is>
      </c>
      <c r="I930" s="36" t="n">
        <v>2</v>
      </c>
      <c r="J930" s="39" t="n">
        <v>70.48</v>
      </c>
      <c r="K930" s="45" t="n">
        <v>0.1</v>
      </c>
      <c r="L930" s="39" t="n">
        <v>33.23</v>
      </c>
      <c r="M930" s="39">
        <f>I930*J930*(1-K930)</f>
        <v/>
      </c>
      <c r="N930" s="39">
        <f>I930*L930</f>
        <v/>
      </c>
      <c r="O930" s="39">
        <f>M930-N930</f>
        <v/>
      </c>
      <c r="P930" s="38">
        <f>IF(M930=0,0,O930/M930)</f>
        <v/>
      </c>
      <c r="Q930" s="36">
        <f>YEAR(B930)</f>
        <v/>
      </c>
      <c r="R930" s="36">
        <f>"Q"&amp;ROUNDUP(MONTH(B930)/3,0)</f>
        <v/>
      </c>
      <c r="S930" s="36">
        <f>MONTH(B930)</f>
        <v/>
      </c>
      <c r="T930" s="36">
        <f>TEXT(B930,"mmm")</f>
        <v/>
      </c>
      <c r="U930" s="36">
        <f>IF(AND(OR(sel_Region="All",C930=sel_Region),OR(sel_Country="All",D930=sel_Country),OR(sel_Channel="All",E930=sel_Channel),OR(sel_Customer="All",F930=sel_Customer),OR(sel_Category="All",G930=sel_Category),OR(sel_Product="All",H930=sel_Product),AND(S930&gt;=m_From,S930&lt;=m_To)),1,0)</f>
        <v/>
      </c>
      <c r="V930" s="36">
        <f>IF(AND(OR(sel_Region="All",C930=sel_Region),OR(sel_Channel="All",E930=sel_Channel),OR(sel_Customer="All",F930=sel_Customer),OR(sel_Category="All",G930=sel_Category),OR(sel_Product="All",H930=sel_Product),AND(S930&gt;=m_From,S930&lt;=m_To)),1,0)</f>
        <v/>
      </c>
      <c r="W930" s="36">
        <f>IF(AND(OR(sel_Region="All",C930=sel_Region),OR(sel_Country="All",D930=sel_Country),OR(sel_Customer="All",F930=sel_Customer),OR(sel_Category="All",G930=sel_Category),OR(sel_Product="All",H930=sel_Product),AND(S930&gt;=m_From,S930&lt;=m_To)),1,0)</f>
        <v/>
      </c>
      <c r="X930" s="36">
        <f>IF(AND(OR(sel_Region="All",C930=sel_Region),OR(sel_Country="All",D930=sel_Country),OR(sel_Channel="All",E930=sel_Channel),OR(sel_Category="All",G930=sel_Category),OR(sel_Product="All",H930=sel_Product),AND(S930&gt;=m_From,S930&lt;=m_To)),1,0)</f>
        <v/>
      </c>
      <c r="Y930" s="36">
        <f>IF(AND(OR(sel_Region="All",C930=sel_Region),OR(sel_Country="All",D930=sel_Country),OR(sel_Channel="All",E930=sel_Channel),OR(sel_Customer="All",F930=sel_Customer),OR(sel_Product="All",H930=sel_Product),AND(S930&gt;=m_From,S930&lt;=m_To)),1,0)</f>
        <v/>
      </c>
      <c r="Z930" s="36">
        <f>IF(AND(OR(sel_Region="All",C930=sel_Region),OR(sel_Country="All",D930=sel_Country),OR(sel_Channel="All",E930=sel_Channel),OR(sel_Customer="All",F930=sel_Customer),OR(sel_Category="All",G930=sel_Category),AND(S930&gt;=m_From,S930&lt;=m_To)),1,0)</f>
        <v/>
      </c>
      <c r="AA930" s="36">
        <f>IF(AND(OR(sel_Region="All",C930=sel_Region),OR(sel_Country="All",D930=sel_Country),OR(sel_Channel="All",E930=sel_Channel),OR(sel_Customer="All",F930=sel_Customer),OR(sel_Category="All",G930=sel_Category),OR(sel_Product="All",H930=sel_Product)),1,0)</f>
        <v/>
      </c>
    </row>
    <row r="931">
      <c r="A931" s="36" t="inlineStr">
        <is>
          <t>01039</t>
        </is>
      </c>
      <c r="B931" s="44" t="n">
        <v>46171</v>
      </c>
      <c r="C931" s="36" t="inlineStr">
        <is>
          <t>Central Europe</t>
        </is>
      </c>
      <c r="D931" s="36" t="inlineStr">
        <is>
          <t>Switzerland</t>
        </is>
      </c>
      <c r="E931" s="36" t="inlineStr">
        <is>
          <t>Marketplace</t>
        </is>
      </c>
      <c r="F931" s="36" t="inlineStr">
        <is>
          <t>New</t>
        </is>
      </c>
      <c r="G931" s="36" t="inlineStr">
        <is>
          <t>Cycling</t>
        </is>
      </c>
      <c r="H931" s="36" t="inlineStr">
        <is>
          <t>Compact Repair Kit</t>
        </is>
      </c>
      <c r="I931" s="36" t="n">
        <v>1</v>
      </c>
      <c r="J931" s="39" t="n">
        <v>41.27</v>
      </c>
      <c r="K931" s="45" t="n">
        <v>0.05</v>
      </c>
      <c r="L931" s="39" t="n">
        <v>17.15</v>
      </c>
      <c r="M931" s="39">
        <f>I931*J931*(1-K931)</f>
        <v/>
      </c>
      <c r="N931" s="39">
        <f>I931*L931</f>
        <v/>
      </c>
      <c r="O931" s="39">
        <f>M931-N931</f>
        <v/>
      </c>
      <c r="P931" s="38">
        <f>IF(M931=0,0,O931/M931)</f>
        <v/>
      </c>
      <c r="Q931" s="36">
        <f>YEAR(B931)</f>
        <v/>
      </c>
      <c r="R931" s="36">
        <f>"Q"&amp;ROUNDUP(MONTH(B931)/3,0)</f>
        <v/>
      </c>
      <c r="S931" s="36">
        <f>MONTH(B931)</f>
        <v/>
      </c>
      <c r="T931" s="36">
        <f>TEXT(B931,"mmm")</f>
        <v/>
      </c>
      <c r="U931" s="36">
        <f>IF(AND(OR(sel_Region="All",C931=sel_Region),OR(sel_Country="All",D931=sel_Country),OR(sel_Channel="All",E931=sel_Channel),OR(sel_Customer="All",F931=sel_Customer),OR(sel_Category="All",G931=sel_Category),OR(sel_Product="All",H931=sel_Product),AND(S931&gt;=m_From,S931&lt;=m_To)),1,0)</f>
        <v/>
      </c>
      <c r="V931" s="36">
        <f>IF(AND(OR(sel_Region="All",C931=sel_Region),OR(sel_Channel="All",E931=sel_Channel),OR(sel_Customer="All",F931=sel_Customer),OR(sel_Category="All",G931=sel_Category),OR(sel_Product="All",H931=sel_Product),AND(S931&gt;=m_From,S931&lt;=m_To)),1,0)</f>
        <v/>
      </c>
      <c r="W931" s="36">
        <f>IF(AND(OR(sel_Region="All",C931=sel_Region),OR(sel_Country="All",D931=sel_Country),OR(sel_Customer="All",F931=sel_Customer),OR(sel_Category="All",G931=sel_Category),OR(sel_Product="All",H931=sel_Product),AND(S931&gt;=m_From,S931&lt;=m_To)),1,0)</f>
        <v/>
      </c>
      <c r="X931" s="36">
        <f>IF(AND(OR(sel_Region="All",C931=sel_Region),OR(sel_Country="All",D931=sel_Country),OR(sel_Channel="All",E931=sel_Channel),OR(sel_Category="All",G931=sel_Category),OR(sel_Product="All",H931=sel_Product),AND(S931&gt;=m_From,S931&lt;=m_To)),1,0)</f>
        <v/>
      </c>
      <c r="Y931" s="36">
        <f>IF(AND(OR(sel_Region="All",C931=sel_Region),OR(sel_Country="All",D931=sel_Country),OR(sel_Channel="All",E931=sel_Channel),OR(sel_Customer="All",F931=sel_Customer),OR(sel_Product="All",H931=sel_Product),AND(S931&gt;=m_From,S931&lt;=m_To)),1,0)</f>
        <v/>
      </c>
      <c r="Z931" s="36">
        <f>IF(AND(OR(sel_Region="All",C931=sel_Region),OR(sel_Country="All",D931=sel_Country),OR(sel_Channel="All",E931=sel_Channel),OR(sel_Customer="All",F931=sel_Customer),OR(sel_Category="All",G931=sel_Category),AND(S931&gt;=m_From,S931&lt;=m_To)),1,0)</f>
        <v/>
      </c>
      <c r="AA931" s="36">
        <f>IF(AND(OR(sel_Region="All",C931=sel_Region),OR(sel_Country="All",D931=sel_Country),OR(sel_Channel="All",E931=sel_Channel),OR(sel_Customer="All",F931=sel_Customer),OR(sel_Category="All",G931=sel_Category),OR(sel_Product="All",H931=sel_Product)),1,0)</f>
        <v/>
      </c>
    </row>
    <row r="932">
      <c r="A932" s="36" t="inlineStr">
        <is>
          <t>02641</t>
        </is>
      </c>
      <c r="B932" s="44" t="n">
        <v>46171</v>
      </c>
      <c r="C932" s="36" t="inlineStr">
        <is>
          <t>Southern Europe</t>
        </is>
      </c>
      <c r="D932" s="36" t="inlineStr">
        <is>
          <t>Italy</t>
        </is>
      </c>
      <c r="E932" s="36" t="inlineStr">
        <is>
          <t>Marketplace</t>
        </is>
      </c>
      <c r="F932" s="36" t="inlineStr">
        <is>
          <t>Returning</t>
        </is>
      </c>
      <c r="G932" s="36" t="inlineStr">
        <is>
          <t>Fitness</t>
        </is>
      </c>
      <c r="H932" s="36" t="inlineStr">
        <is>
          <t>Recovery Roller</t>
        </is>
      </c>
      <c r="I932" s="36" t="n">
        <v>2</v>
      </c>
      <c r="J932" s="39" t="n">
        <v>36.9</v>
      </c>
      <c r="K932" s="45" t="n">
        <v>0</v>
      </c>
      <c r="L932" s="39" t="n">
        <v>14.07</v>
      </c>
      <c r="M932" s="39">
        <f>I932*J932*(1-K932)</f>
        <v/>
      </c>
      <c r="N932" s="39">
        <f>I932*L932</f>
        <v/>
      </c>
      <c r="O932" s="39">
        <f>M932-N932</f>
        <v/>
      </c>
      <c r="P932" s="38">
        <f>IF(M932=0,0,O932/M932)</f>
        <v/>
      </c>
      <c r="Q932" s="36">
        <f>YEAR(B932)</f>
        <v/>
      </c>
      <c r="R932" s="36">
        <f>"Q"&amp;ROUNDUP(MONTH(B932)/3,0)</f>
        <v/>
      </c>
      <c r="S932" s="36">
        <f>MONTH(B932)</f>
        <v/>
      </c>
      <c r="T932" s="36">
        <f>TEXT(B932,"mmm")</f>
        <v/>
      </c>
      <c r="U932" s="36">
        <f>IF(AND(OR(sel_Region="All",C932=sel_Region),OR(sel_Country="All",D932=sel_Country),OR(sel_Channel="All",E932=sel_Channel),OR(sel_Customer="All",F932=sel_Customer),OR(sel_Category="All",G932=sel_Category),OR(sel_Product="All",H932=sel_Product),AND(S932&gt;=m_From,S932&lt;=m_To)),1,0)</f>
        <v/>
      </c>
      <c r="V932" s="36">
        <f>IF(AND(OR(sel_Region="All",C932=sel_Region),OR(sel_Channel="All",E932=sel_Channel),OR(sel_Customer="All",F932=sel_Customer),OR(sel_Category="All",G932=sel_Category),OR(sel_Product="All",H932=sel_Product),AND(S932&gt;=m_From,S932&lt;=m_To)),1,0)</f>
        <v/>
      </c>
      <c r="W932" s="36">
        <f>IF(AND(OR(sel_Region="All",C932=sel_Region),OR(sel_Country="All",D932=sel_Country),OR(sel_Customer="All",F932=sel_Customer),OR(sel_Category="All",G932=sel_Category),OR(sel_Product="All",H932=sel_Product),AND(S932&gt;=m_From,S932&lt;=m_To)),1,0)</f>
        <v/>
      </c>
      <c r="X932" s="36">
        <f>IF(AND(OR(sel_Region="All",C932=sel_Region),OR(sel_Country="All",D932=sel_Country),OR(sel_Channel="All",E932=sel_Channel),OR(sel_Category="All",G932=sel_Category),OR(sel_Product="All",H932=sel_Product),AND(S932&gt;=m_From,S932&lt;=m_To)),1,0)</f>
        <v/>
      </c>
      <c r="Y932" s="36">
        <f>IF(AND(OR(sel_Region="All",C932=sel_Region),OR(sel_Country="All",D932=sel_Country),OR(sel_Channel="All",E932=sel_Channel),OR(sel_Customer="All",F932=sel_Customer),OR(sel_Product="All",H932=sel_Product),AND(S932&gt;=m_From,S932&lt;=m_To)),1,0)</f>
        <v/>
      </c>
      <c r="Z932" s="36">
        <f>IF(AND(OR(sel_Region="All",C932=sel_Region),OR(sel_Country="All",D932=sel_Country),OR(sel_Channel="All",E932=sel_Channel),OR(sel_Customer="All",F932=sel_Customer),OR(sel_Category="All",G932=sel_Category),AND(S932&gt;=m_From,S932&lt;=m_To)),1,0)</f>
        <v/>
      </c>
      <c r="AA932" s="36">
        <f>IF(AND(OR(sel_Region="All",C932=sel_Region),OR(sel_Country="All",D932=sel_Country),OR(sel_Channel="All",E932=sel_Channel),OR(sel_Customer="All",F932=sel_Customer),OR(sel_Category="All",G932=sel_Category),OR(sel_Product="All",H932=sel_Product)),1,0)</f>
        <v/>
      </c>
    </row>
    <row r="933">
      <c r="A933" s="36" t="inlineStr">
        <is>
          <t>03058</t>
        </is>
      </c>
      <c r="B933" s="44" t="n">
        <v>46171</v>
      </c>
      <c r="C933" s="36" t="inlineStr">
        <is>
          <t>Central Europe</t>
        </is>
      </c>
      <c r="D933" s="36" t="inlineStr">
        <is>
          <t>Switzerland</t>
        </is>
      </c>
      <c r="E933" s="36" t="inlineStr">
        <is>
          <t>Online Store</t>
        </is>
      </c>
      <c r="F933" s="36" t="inlineStr">
        <is>
          <t>Returning</t>
        </is>
      </c>
      <c r="G933" s="36" t="inlineStr">
        <is>
          <t>Camping</t>
        </is>
      </c>
      <c r="H933" s="36" t="inlineStr">
        <is>
          <t>Trail Tent 2P</t>
        </is>
      </c>
      <c r="I933" s="36" t="n">
        <v>1</v>
      </c>
      <c r="J933" s="39" t="n">
        <v>196.91</v>
      </c>
      <c r="K933" s="45" t="n">
        <v>0</v>
      </c>
      <c r="L933" s="39" t="n">
        <v>106.31</v>
      </c>
      <c r="M933" s="39">
        <f>I933*J933*(1-K933)</f>
        <v/>
      </c>
      <c r="N933" s="39">
        <f>I933*L933</f>
        <v/>
      </c>
      <c r="O933" s="39">
        <f>M933-N933</f>
        <v/>
      </c>
      <c r="P933" s="38">
        <f>IF(M933=0,0,O933/M933)</f>
        <v/>
      </c>
      <c r="Q933" s="36">
        <f>YEAR(B933)</f>
        <v/>
      </c>
      <c r="R933" s="36">
        <f>"Q"&amp;ROUNDUP(MONTH(B933)/3,0)</f>
        <v/>
      </c>
      <c r="S933" s="36">
        <f>MONTH(B933)</f>
        <v/>
      </c>
      <c r="T933" s="36">
        <f>TEXT(B933,"mmm")</f>
        <v/>
      </c>
      <c r="U933" s="36">
        <f>IF(AND(OR(sel_Region="All",C933=sel_Region),OR(sel_Country="All",D933=sel_Country),OR(sel_Channel="All",E933=sel_Channel),OR(sel_Customer="All",F933=sel_Customer),OR(sel_Category="All",G933=sel_Category),OR(sel_Product="All",H933=sel_Product),AND(S933&gt;=m_From,S933&lt;=m_To)),1,0)</f>
        <v/>
      </c>
      <c r="V933" s="36">
        <f>IF(AND(OR(sel_Region="All",C933=sel_Region),OR(sel_Channel="All",E933=sel_Channel),OR(sel_Customer="All",F933=sel_Customer),OR(sel_Category="All",G933=sel_Category),OR(sel_Product="All",H933=sel_Product),AND(S933&gt;=m_From,S933&lt;=m_To)),1,0)</f>
        <v/>
      </c>
      <c r="W933" s="36">
        <f>IF(AND(OR(sel_Region="All",C933=sel_Region),OR(sel_Country="All",D933=sel_Country),OR(sel_Customer="All",F933=sel_Customer),OR(sel_Category="All",G933=sel_Category),OR(sel_Product="All",H933=sel_Product),AND(S933&gt;=m_From,S933&lt;=m_To)),1,0)</f>
        <v/>
      </c>
      <c r="X933" s="36">
        <f>IF(AND(OR(sel_Region="All",C933=sel_Region),OR(sel_Country="All",D933=sel_Country),OR(sel_Channel="All",E933=sel_Channel),OR(sel_Category="All",G933=sel_Category),OR(sel_Product="All",H933=sel_Product),AND(S933&gt;=m_From,S933&lt;=m_To)),1,0)</f>
        <v/>
      </c>
      <c r="Y933" s="36">
        <f>IF(AND(OR(sel_Region="All",C933=sel_Region),OR(sel_Country="All",D933=sel_Country),OR(sel_Channel="All",E933=sel_Channel),OR(sel_Customer="All",F933=sel_Customer),OR(sel_Product="All",H933=sel_Product),AND(S933&gt;=m_From,S933&lt;=m_To)),1,0)</f>
        <v/>
      </c>
      <c r="Z933" s="36">
        <f>IF(AND(OR(sel_Region="All",C933=sel_Region),OR(sel_Country="All",D933=sel_Country),OR(sel_Channel="All",E933=sel_Channel),OR(sel_Customer="All",F933=sel_Customer),OR(sel_Category="All",G933=sel_Category),AND(S933&gt;=m_From,S933&lt;=m_To)),1,0)</f>
        <v/>
      </c>
      <c r="AA933" s="36">
        <f>IF(AND(OR(sel_Region="All",C933=sel_Region),OR(sel_Country="All",D933=sel_Country),OR(sel_Channel="All",E933=sel_Channel),OR(sel_Customer="All",F933=sel_Customer),OR(sel_Category="All",G933=sel_Category),OR(sel_Product="All",H933=sel_Product)),1,0)</f>
        <v/>
      </c>
    </row>
    <row r="934">
      <c r="A934" s="36" t="inlineStr">
        <is>
          <t>03110</t>
        </is>
      </c>
      <c r="B934" s="44" t="n">
        <v>46171</v>
      </c>
      <c r="C934" s="36" t="inlineStr">
        <is>
          <t>Central Europe</t>
        </is>
      </c>
      <c r="D934" s="36" t="inlineStr">
        <is>
          <t>Austria</t>
        </is>
      </c>
      <c r="E934" s="36" t="inlineStr">
        <is>
          <t>Retail Partners</t>
        </is>
      </c>
      <c r="F934" s="36" t="inlineStr">
        <is>
          <t>Business</t>
        </is>
      </c>
      <c r="G934" s="36" t="inlineStr">
        <is>
          <t>Fitness</t>
        </is>
      </c>
      <c r="H934" s="36" t="inlineStr">
        <is>
          <t>Recovery Roller</t>
        </is>
      </c>
      <c r="I934" s="36" t="n">
        <v>3</v>
      </c>
      <c r="J934" s="39" t="n">
        <v>35.79</v>
      </c>
      <c r="K934" s="45" t="n">
        <v>0</v>
      </c>
      <c r="L934" s="39" t="n">
        <v>13.67</v>
      </c>
      <c r="M934" s="39">
        <f>I934*J934*(1-K934)</f>
        <v/>
      </c>
      <c r="N934" s="39">
        <f>I934*L934</f>
        <v/>
      </c>
      <c r="O934" s="39">
        <f>M934-N934</f>
        <v/>
      </c>
      <c r="P934" s="38">
        <f>IF(M934=0,0,O934/M934)</f>
        <v/>
      </c>
      <c r="Q934" s="36">
        <f>YEAR(B934)</f>
        <v/>
      </c>
      <c r="R934" s="36">
        <f>"Q"&amp;ROUNDUP(MONTH(B934)/3,0)</f>
        <v/>
      </c>
      <c r="S934" s="36">
        <f>MONTH(B934)</f>
        <v/>
      </c>
      <c r="T934" s="36">
        <f>TEXT(B934,"mmm")</f>
        <v/>
      </c>
      <c r="U934" s="36">
        <f>IF(AND(OR(sel_Region="All",C934=sel_Region),OR(sel_Country="All",D934=sel_Country),OR(sel_Channel="All",E934=sel_Channel),OR(sel_Customer="All",F934=sel_Customer),OR(sel_Category="All",G934=sel_Category),OR(sel_Product="All",H934=sel_Product),AND(S934&gt;=m_From,S934&lt;=m_To)),1,0)</f>
        <v/>
      </c>
      <c r="V934" s="36">
        <f>IF(AND(OR(sel_Region="All",C934=sel_Region),OR(sel_Channel="All",E934=sel_Channel),OR(sel_Customer="All",F934=sel_Customer),OR(sel_Category="All",G934=sel_Category),OR(sel_Product="All",H934=sel_Product),AND(S934&gt;=m_From,S934&lt;=m_To)),1,0)</f>
        <v/>
      </c>
      <c r="W934" s="36">
        <f>IF(AND(OR(sel_Region="All",C934=sel_Region),OR(sel_Country="All",D934=sel_Country),OR(sel_Customer="All",F934=sel_Customer),OR(sel_Category="All",G934=sel_Category),OR(sel_Product="All",H934=sel_Product),AND(S934&gt;=m_From,S934&lt;=m_To)),1,0)</f>
        <v/>
      </c>
      <c r="X934" s="36">
        <f>IF(AND(OR(sel_Region="All",C934=sel_Region),OR(sel_Country="All",D934=sel_Country),OR(sel_Channel="All",E934=sel_Channel),OR(sel_Category="All",G934=sel_Category),OR(sel_Product="All",H934=sel_Product),AND(S934&gt;=m_From,S934&lt;=m_To)),1,0)</f>
        <v/>
      </c>
      <c r="Y934" s="36">
        <f>IF(AND(OR(sel_Region="All",C934=sel_Region),OR(sel_Country="All",D934=sel_Country),OR(sel_Channel="All",E934=sel_Channel),OR(sel_Customer="All",F934=sel_Customer),OR(sel_Product="All",H934=sel_Product),AND(S934&gt;=m_From,S934&lt;=m_To)),1,0)</f>
        <v/>
      </c>
      <c r="Z934" s="36">
        <f>IF(AND(OR(sel_Region="All",C934=sel_Region),OR(sel_Country="All",D934=sel_Country),OR(sel_Channel="All",E934=sel_Channel),OR(sel_Customer="All",F934=sel_Customer),OR(sel_Category="All",G934=sel_Category),AND(S934&gt;=m_From,S934&lt;=m_To)),1,0)</f>
        <v/>
      </c>
      <c r="AA934" s="36">
        <f>IF(AND(OR(sel_Region="All",C934=sel_Region),OR(sel_Country="All",D934=sel_Country),OR(sel_Channel="All",E934=sel_Channel),OR(sel_Customer="All",F934=sel_Customer),OR(sel_Category="All",G934=sel_Category),OR(sel_Product="All",H934=sel_Product)),1,0)</f>
        <v/>
      </c>
    </row>
    <row r="935">
      <c r="A935" s="36" t="inlineStr">
        <is>
          <t>03981</t>
        </is>
      </c>
      <c r="B935" s="44" t="n">
        <v>46171</v>
      </c>
      <c r="C935" s="36" t="inlineStr">
        <is>
          <t>Western Europe</t>
        </is>
      </c>
      <c r="D935" s="36" t="inlineStr">
        <is>
          <t>France</t>
        </is>
      </c>
      <c r="E935" s="36" t="inlineStr">
        <is>
          <t>Online Store</t>
        </is>
      </c>
      <c r="F935" s="36" t="inlineStr">
        <is>
          <t>New</t>
        </is>
      </c>
      <c r="G935" s="36" t="inlineStr">
        <is>
          <t>Cycling</t>
        </is>
      </c>
      <c r="H935" s="36" t="inlineStr">
        <is>
          <t>Commuter Helmet</t>
        </is>
      </c>
      <c r="I935" s="36" t="n">
        <v>2</v>
      </c>
      <c r="J935" s="39" t="n">
        <v>82.22</v>
      </c>
      <c r="K935" s="45" t="n">
        <v>0.05</v>
      </c>
      <c r="L935" s="39" t="n">
        <v>42.35</v>
      </c>
      <c r="M935" s="39">
        <f>I935*J935*(1-K935)</f>
        <v/>
      </c>
      <c r="N935" s="39">
        <f>I935*L935</f>
        <v/>
      </c>
      <c r="O935" s="39">
        <f>M935-N935</f>
        <v/>
      </c>
      <c r="P935" s="38">
        <f>IF(M935=0,0,O935/M935)</f>
        <v/>
      </c>
      <c r="Q935" s="36">
        <f>YEAR(B935)</f>
        <v/>
      </c>
      <c r="R935" s="36">
        <f>"Q"&amp;ROUNDUP(MONTH(B935)/3,0)</f>
        <v/>
      </c>
      <c r="S935" s="36">
        <f>MONTH(B935)</f>
        <v/>
      </c>
      <c r="T935" s="36">
        <f>TEXT(B935,"mmm")</f>
        <v/>
      </c>
      <c r="U935" s="36">
        <f>IF(AND(OR(sel_Region="All",C935=sel_Region),OR(sel_Country="All",D935=sel_Country),OR(sel_Channel="All",E935=sel_Channel),OR(sel_Customer="All",F935=sel_Customer),OR(sel_Category="All",G935=sel_Category),OR(sel_Product="All",H935=sel_Product),AND(S935&gt;=m_From,S935&lt;=m_To)),1,0)</f>
        <v/>
      </c>
      <c r="V935" s="36">
        <f>IF(AND(OR(sel_Region="All",C935=sel_Region),OR(sel_Channel="All",E935=sel_Channel),OR(sel_Customer="All",F935=sel_Customer),OR(sel_Category="All",G935=sel_Category),OR(sel_Product="All",H935=sel_Product),AND(S935&gt;=m_From,S935&lt;=m_To)),1,0)</f>
        <v/>
      </c>
      <c r="W935" s="36">
        <f>IF(AND(OR(sel_Region="All",C935=sel_Region),OR(sel_Country="All",D935=sel_Country),OR(sel_Customer="All",F935=sel_Customer),OR(sel_Category="All",G935=sel_Category),OR(sel_Product="All",H935=sel_Product),AND(S935&gt;=m_From,S935&lt;=m_To)),1,0)</f>
        <v/>
      </c>
      <c r="X935" s="36">
        <f>IF(AND(OR(sel_Region="All",C935=sel_Region),OR(sel_Country="All",D935=sel_Country),OR(sel_Channel="All",E935=sel_Channel),OR(sel_Category="All",G935=sel_Category),OR(sel_Product="All",H935=sel_Product),AND(S935&gt;=m_From,S935&lt;=m_To)),1,0)</f>
        <v/>
      </c>
      <c r="Y935" s="36">
        <f>IF(AND(OR(sel_Region="All",C935=sel_Region),OR(sel_Country="All",D935=sel_Country),OR(sel_Channel="All",E935=sel_Channel),OR(sel_Customer="All",F935=sel_Customer),OR(sel_Product="All",H935=sel_Product),AND(S935&gt;=m_From,S935&lt;=m_To)),1,0)</f>
        <v/>
      </c>
      <c r="Z935" s="36">
        <f>IF(AND(OR(sel_Region="All",C935=sel_Region),OR(sel_Country="All",D935=sel_Country),OR(sel_Channel="All",E935=sel_Channel),OR(sel_Customer="All",F935=sel_Customer),OR(sel_Category="All",G935=sel_Category),AND(S935&gt;=m_From,S935&lt;=m_To)),1,0)</f>
        <v/>
      </c>
      <c r="AA935" s="36">
        <f>IF(AND(OR(sel_Region="All",C935=sel_Region),OR(sel_Country="All",D935=sel_Country),OR(sel_Channel="All",E935=sel_Channel),OR(sel_Customer="All",F935=sel_Customer),OR(sel_Category="All",G935=sel_Category),OR(sel_Product="All",H935=sel_Product)),1,0)</f>
        <v/>
      </c>
    </row>
    <row r="936">
      <c r="A936" s="36" t="inlineStr">
        <is>
          <t>04663</t>
        </is>
      </c>
      <c r="B936" s="44" t="n">
        <v>46171</v>
      </c>
      <c r="C936" s="36" t="inlineStr">
        <is>
          <t>Northern Europe</t>
        </is>
      </c>
      <c r="D936" s="36" t="inlineStr">
        <is>
          <t>Denmark</t>
        </is>
      </c>
      <c r="E936" s="36" t="inlineStr">
        <is>
          <t>Online Store</t>
        </is>
      </c>
      <c r="F936" s="36" t="inlineStr">
        <is>
          <t>New</t>
        </is>
      </c>
      <c r="G936" s="36" t="inlineStr">
        <is>
          <t>Cycling</t>
        </is>
      </c>
      <c r="H936" s="36" t="inlineStr">
        <is>
          <t>Compact Repair Kit</t>
        </is>
      </c>
      <c r="I936" s="36" t="n">
        <v>1</v>
      </c>
      <c r="J936" s="39" t="n">
        <v>40.57</v>
      </c>
      <c r="K936" s="45" t="n">
        <v>0</v>
      </c>
      <c r="L936" s="39" t="n">
        <v>16.81</v>
      </c>
      <c r="M936" s="39">
        <f>I936*J936*(1-K936)</f>
        <v/>
      </c>
      <c r="N936" s="39">
        <f>I936*L936</f>
        <v/>
      </c>
      <c r="O936" s="39">
        <f>M936-N936</f>
        <v/>
      </c>
      <c r="P936" s="38">
        <f>IF(M936=0,0,O936/M936)</f>
        <v/>
      </c>
      <c r="Q936" s="36">
        <f>YEAR(B936)</f>
        <v/>
      </c>
      <c r="R936" s="36">
        <f>"Q"&amp;ROUNDUP(MONTH(B936)/3,0)</f>
        <v/>
      </c>
      <c r="S936" s="36">
        <f>MONTH(B936)</f>
        <v/>
      </c>
      <c r="T936" s="36">
        <f>TEXT(B936,"mmm")</f>
        <v/>
      </c>
      <c r="U936" s="36">
        <f>IF(AND(OR(sel_Region="All",C936=sel_Region),OR(sel_Country="All",D936=sel_Country),OR(sel_Channel="All",E936=sel_Channel),OR(sel_Customer="All",F936=sel_Customer),OR(sel_Category="All",G936=sel_Category),OR(sel_Product="All",H936=sel_Product),AND(S936&gt;=m_From,S936&lt;=m_To)),1,0)</f>
        <v/>
      </c>
      <c r="V936" s="36">
        <f>IF(AND(OR(sel_Region="All",C936=sel_Region),OR(sel_Channel="All",E936=sel_Channel),OR(sel_Customer="All",F936=sel_Customer),OR(sel_Category="All",G936=sel_Category),OR(sel_Product="All",H936=sel_Product),AND(S936&gt;=m_From,S936&lt;=m_To)),1,0)</f>
        <v/>
      </c>
      <c r="W936" s="36">
        <f>IF(AND(OR(sel_Region="All",C936=sel_Region),OR(sel_Country="All",D936=sel_Country),OR(sel_Customer="All",F936=sel_Customer),OR(sel_Category="All",G936=sel_Category),OR(sel_Product="All",H936=sel_Product),AND(S936&gt;=m_From,S936&lt;=m_To)),1,0)</f>
        <v/>
      </c>
      <c r="X936" s="36">
        <f>IF(AND(OR(sel_Region="All",C936=sel_Region),OR(sel_Country="All",D936=sel_Country),OR(sel_Channel="All",E936=sel_Channel),OR(sel_Category="All",G936=sel_Category),OR(sel_Product="All",H936=sel_Product),AND(S936&gt;=m_From,S936&lt;=m_To)),1,0)</f>
        <v/>
      </c>
      <c r="Y936" s="36">
        <f>IF(AND(OR(sel_Region="All",C936=sel_Region),OR(sel_Country="All",D936=sel_Country),OR(sel_Channel="All",E936=sel_Channel),OR(sel_Customer="All",F936=sel_Customer),OR(sel_Product="All",H936=sel_Product),AND(S936&gt;=m_From,S936&lt;=m_To)),1,0)</f>
        <v/>
      </c>
      <c r="Z936" s="36">
        <f>IF(AND(OR(sel_Region="All",C936=sel_Region),OR(sel_Country="All",D936=sel_Country),OR(sel_Channel="All",E936=sel_Channel),OR(sel_Customer="All",F936=sel_Customer),OR(sel_Category="All",G936=sel_Category),AND(S936&gt;=m_From,S936&lt;=m_To)),1,0)</f>
        <v/>
      </c>
      <c r="AA936" s="36">
        <f>IF(AND(OR(sel_Region="All",C936=sel_Region),OR(sel_Country="All",D936=sel_Country),OR(sel_Channel="All",E936=sel_Channel),OR(sel_Customer="All",F936=sel_Customer),OR(sel_Category="All",G936=sel_Category),OR(sel_Product="All",H936=sel_Product)),1,0)</f>
        <v/>
      </c>
    </row>
    <row r="937">
      <c r="A937" s="36" t="inlineStr">
        <is>
          <t>05021</t>
        </is>
      </c>
      <c r="B937" s="44" t="n">
        <v>46171</v>
      </c>
      <c r="C937" s="36" t="inlineStr">
        <is>
          <t>Northern Europe</t>
        </is>
      </c>
      <c r="D937" s="36" t="inlineStr">
        <is>
          <t>Finland</t>
        </is>
      </c>
      <c r="E937" s="36" t="inlineStr">
        <is>
          <t>Retail Partners</t>
        </is>
      </c>
      <c r="F937" s="36" t="inlineStr">
        <is>
          <t>Returning</t>
        </is>
      </c>
      <c r="G937" s="36" t="inlineStr">
        <is>
          <t>Camping</t>
        </is>
      </c>
      <c r="H937" s="36" t="inlineStr">
        <is>
          <t>Trail Tent 2P</t>
        </is>
      </c>
      <c r="I937" s="36" t="n">
        <v>1</v>
      </c>
      <c r="J937" s="39" t="n">
        <v>191.62</v>
      </c>
      <c r="K937" s="45" t="n">
        <v>0.05</v>
      </c>
      <c r="L937" s="39" t="n">
        <v>106.15</v>
      </c>
      <c r="M937" s="39">
        <f>I937*J937*(1-K937)</f>
        <v/>
      </c>
      <c r="N937" s="39">
        <f>I937*L937</f>
        <v/>
      </c>
      <c r="O937" s="39">
        <f>M937-N937</f>
        <v/>
      </c>
      <c r="P937" s="38">
        <f>IF(M937=0,0,O937/M937)</f>
        <v/>
      </c>
      <c r="Q937" s="36">
        <f>YEAR(B937)</f>
        <v/>
      </c>
      <c r="R937" s="36">
        <f>"Q"&amp;ROUNDUP(MONTH(B937)/3,0)</f>
        <v/>
      </c>
      <c r="S937" s="36">
        <f>MONTH(B937)</f>
        <v/>
      </c>
      <c r="T937" s="36">
        <f>TEXT(B937,"mmm")</f>
        <v/>
      </c>
      <c r="U937" s="36">
        <f>IF(AND(OR(sel_Region="All",C937=sel_Region),OR(sel_Country="All",D937=sel_Country),OR(sel_Channel="All",E937=sel_Channel),OR(sel_Customer="All",F937=sel_Customer),OR(sel_Category="All",G937=sel_Category),OR(sel_Product="All",H937=sel_Product),AND(S937&gt;=m_From,S937&lt;=m_To)),1,0)</f>
        <v/>
      </c>
      <c r="V937" s="36">
        <f>IF(AND(OR(sel_Region="All",C937=sel_Region),OR(sel_Channel="All",E937=sel_Channel),OR(sel_Customer="All",F937=sel_Customer),OR(sel_Category="All",G937=sel_Category),OR(sel_Product="All",H937=sel_Product),AND(S937&gt;=m_From,S937&lt;=m_To)),1,0)</f>
        <v/>
      </c>
      <c r="W937" s="36">
        <f>IF(AND(OR(sel_Region="All",C937=sel_Region),OR(sel_Country="All",D937=sel_Country),OR(sel_Customer="All",F937=sel_Customer),OR(sel_Category="All",G937=sel_Category),OR(sel_Product="All",H937=sel_Product),AND(S937&gt;=m_From,S937&lt;=m_To)),1,0)</f>
        <v/>
      </c>
      <c r="X937" s="36">
        <f>IF(AND(OR(sel_Region="All",C937=sel_Region),OR(sel_Country="All",D937=sel_Country),OR(sel_Channel="All",E937=sel_Channel),OR(sel_Category="All",G937=sel_Category),OR(sel_Product="All",H937=sel_Product),AND(S937&gt;=m_From,S937&lt;=m_To)),1,0)</f>
        <v/>
      </c>
      <c r="Y937" s="36">
        <f>IF(AND(OR(sel_Region="All",C937=sel_Region),OR(sel_Country="All",D937=sel_Country),OR(sel_Channel="All",E937=sel_Channel),OR(sel_Customer="All",F937=sel_Customer),OR(sel_Product="All",H937=sel_Product),AND(S937&gt;=m_From,S937&lt;=m_To)),1,0)</f>
        <v/>
      </c>
      <c r="Z937" s="36">
        <f>IF(AND(OR(sel_Region="All",C937=sel_Region),OR(sel_Country="All",D937=sel_Country),OR(sel_Channel="All",E937=sel_Channel),OR(sel_Customer="All",F937=sel_Customer),OR(sel_Category="All",G937=sel_Category),AND(S937&gt;=m_From,S937&lt;=m_To)),1,0)</f>
        <v/>
      </c>
      <c r="AA937" s="36">
        <f>IF(AND(OR(sel_Region="All",C937=sel_Region),OR(sel_Country="All",D937=sel_Country),OR(sel_Channel="All",E937=sel_Channel),OR(sel_Customer="All",F937=sel_Customer),OR(sel_Category="All",G937=sel_Category),OR(sel_Product="All",H937=sel_Product)),1,0)</f>
        <v/>
      </c>
    </row>
    <row r="938">
      <c r="A938" s="36" t="inlineStr">
        <is>
          <t>05107</t>
        </is>
      </c>
      <c r="B938" s="44" t="n">
        <v>46171</v>
      </c>
      <c r="C938" s="36" t="inlineStr">
        <is>
          <t>Central Europe</t>
        </is>
      </c>
      <c r="D938" s="36" t="inlineStr">
        <is>
          <t>Austria</t>
        </is>
      </c>
      <c r="E938" s="36" t="inlineStr">
        <is>
          <t>Marketplace</t>
        </is>
      </c>
      <c r="F938" s="36" t="inlineStr">
        <is>
          <t>Returning</t>
        </is>
      </c>
      <c r="G938" s="36" t="inlineStr">
        <is>
          <t>Hiking</t>
        </is>
      </c>
      <c r="H938" s="36" t="inlineStr">
        <is>
          <t>Summit Backpack 45L</t>
        </is>
      </c>
      <c r="I938" s="36" t="n">
        <v>1</v>
      </c>
      <c r="J938" s="39" t="n">
        <v>154.07</v>
      </c>
      <c r="K938" s="45" t="n">
        <v>0.05</v>
      </c>
      <c r="L938" s="39" t="n">
        <v>78.40000000000001</v>
      </c>
      <c r="M938" s="39">
        <f>I938*J938*(1-K938)</f>
        <v/>
      </c>
      <c r="N938" s="39">
        <f>I938*L938</f>
        <v/>
      </c>
      <c r="O938" s="39">
        <f>M938-N938</f>
        <v/>
      </c>
      <c r="P938" s="38">
        <f>IF(M938=0,0,O938/M938)</f>
        <v/>
      </c>
      <c r="Q938" s="36">
        <f>YEAR(B938)</f>
        <v/>
      </c>
      <c r="R938" s="36">
        <f>"Q"&amp;ROUNDUP(MONTH(B938)/3,0)</f>
        <v/>
      </c>
      <c r="S938" s="36">
        <f>MONTH(B938)</f>
        <v/>
      </c>
      <c r="T938" s="36">
        <f>TEXT(B938,"mmm")</f>
        <v/>
      </c>
      <c r="U938" s="36">
        <f>IF(AND(OR(sel_Region="All",C938=sel_Region),OR(sel_Country="All",D938=sel_Country),OR(sel_Channel="All",E938=sel_Channel),OR(sel_Customer="All",F938=sel_Customer),OR(sel_Category="All",G938=sel_Category),OR(sel_Product="All",H938=sel_Product),AND(S938&gt;=m_From,S938&lt;=m_To)),1,0)</f>
        <v/>
      </c>
      <c r="V938" s="36">
        <f>IF(AND(OR(sel_Region="All",C938=sel_Region),OR(sel_Channel="All",E938=sel_Channel),OR(sel_Customer="All",F938=sel_Customer),OR(sel_Category="All",G938=sel_Category),OR(sel_Product="All",H938=sel_Product),AND(S938&gt;=m_From,S938&lt;=m_To)),1,0)</f>
        <v/>
      </c>
      <c r="W938" s="36">
        <f>IF(AND(OR(sel_Region="All",C938=sel_Region),OR(sel_Country="All",D938=sel_Country),OR(sel_Customer="All",F938=sel_Customer),OR(sel_Category="All",G938=sel_Category),OR(sel_Product="All",H938=sel_Product),AND(S938&gt;=m_From,S938&lt;=m_To)),1,0)</f>
        <v/>
      </c>
      <c r="X938" s="36">
        <f>IF(AND(OR(sel_Region="All",C938=sel_Region),OR(sel_Country="All",D938=sel_Country),OR(sel_Channel="All",E938=sel_Channel),OR(sel_Category="All",G938=sel_Category),OR(sel_Product="All",H938=sel_Product),AND(S938&gt;=m_From,S938&lt;=m_To)),1,0)</f>
        <v/>
      </c>
      <c r="Y938" s="36">
        <f>IF(AND(OR(sel_Region="All",C938=sel_Region),OR(sel_Country="All",D938=sel_Country),OR(sel_Channel="All",E938=sel_Channel),OR(sel_Customer="All",F938=sel_Customer),OR(sel_Product="All",H938=sel_Product),AND(S938&gt;=m_From,S938&lt;=m_To)),1,0)</f>
        <v/>
      </c>
      <c r="Z938" s="36">
        <f>IF(AND(OR(sel_Region="All",C938=sel_Region),OR(sel_Country="All",D938=sel_Country),OR(sel_Channel="All",E938=sel_Channel),OR(sel_Customer="All",F938=sel_Customer),OR(sel_Category="All",G938=sel_Category),AND(S938&gt;=m_From,S938&lt;=m_To)),1,0)</f>
        <v/>
      </c>
      <c r="AA938" s="36">
        <f>IF(AND(OR(sel_Region="All",C938=sel_Region),OR(sel_Country="All",D938=sel_Country),OR(sel_Channel="All",E938=sel_Channel),OR(sel_Customer="All",F938=sel_Customer),OR(sel_Category="All",G938=sel_Category),OR(sel_Product="All",H938=sel_Product)),1,0)</f>
        <v/>
      </c>
    </row>
    <row r="939">
      <c r="A939" s="36" t="inlineStr">
        <is>
          <t>00454</t>
        </is>
      </c>
      <c r="B939" s="44" t="n">
        <v>46172</v>
      </c>
      <c r="C939" s="36" t="inlineStr">
        <is>
          <t>Northern Europe</t>
        </is>
      </c>
      <c r="D939" s="36" t="inlineStr">
        <is>
          <t>Finland</t>
        </is>
      </c>
      <c r="E939" s="36" t="inlineStr">
        <is>
          <t>Marketplace</t>
        </is>
      </c>
      <c r="F939" s="36" t="inlineStr">
        <is>
          <t>Returning</t>
        </is>
      </c>
      <c r="G939" s="36" t="inlineStr">
        <is>
          <t>Camping</t>
        </is>
      </c>
      <c r="H939" s="36" t="inlineStr">
        <is>
          <t>Compact Sleeping Bag</t>
        </is>
      </c>
      <c r="I939" s="36" t="n">
        <v>1</v>
      </c>
      <c r="J939" s="39" t="n">
        <v>120.8</v>
      </c>
      <c r="K939" s="45" t="n">
        <v>0</v>
      </c>
      <c r="L939" s="39" t="n">
        <v>61.4</v>
      </c>
      <c r="M939" s="39">
        <f>I939*J939*(1-K939)</f>
        <v/>
      </c>
      <c r="N939" s="39">
        <f>I939*L939</f>
        <v/>
      </c>
      <c r="O939" s="39">
        <f>M939-N939</f>
        <v/>
      </c>
      <c r="P939" s="38">
        <f>IF(M939=0,0,O939/M939)</f>
        <v/>
      </c>
      <c r="Q939" s="36">
        <f>YEAR(B939)</f>
        <v/>
      </c>
      <c r="R939" s="36">
        <f>"Q"&amp;ROUNDUP(MONTH(B939)/3,0)</f>
        <v/>
      </c>
      <c r="S939" s="36">
        <f>MONTH(B939)</f>
        <v/>
      </c>
      <c r="T939" s="36">
        <f>TEXT(B939,"mmm")</f>
        <v/>
      </c>
      <c r="U939" s="36">
        <f>IF(AND(OR(sel_Region="All",C939=sel_Region),OR(sel_Country="All",D939=sel_Country),OR(sel_Channel="All",E939=sel_Channel),OR(sel_Customer="All",F939=sel_Customer),OR(sel_Category="All",G939=sel_Category),OR(sel_Product="All",H939=sel_Product),AND(S939&gt;=m_From,S939&lt;=m_To)),1,0)</f>
        <v/>
      </c>
      <c r="V939" s="36">
        <f>IF(AND(OR(sel_Region="All",C939=sel_Region),OR(sel_Channel="All",E939=sel_Channel),OR(sel_Customer="All",F939=sel_Customer),OR(sel_Category="All",G939=sel_Category),OR(sel_Product="All",H939=sel_Product),AND(S939&gt;=m_From,S939&lt;=m_To)),1,0)</f>
        <v/>
      </c>
      <c r="W939" s="36">
        <f>IF(AND(OR(sel_Region="All",C939=sel_Region),OR(sel_Country="All",D939=sel_Country),OR(sel_Customer="All",F939=sel_Customer),OR(sel_Category="All",G939=sel_Category),OR(sel_Product="All",H939=sel_Product),AND(S939&gt;=m_From,S939&lt;=m_To)),1,0)</f>
        <v/>
      </c>
      <c r="X939" s="36">
        <f>IF(AND(OR(sel_Region="All",C939=sel_Region),OR(sel_Country="All",D939=sel_Country),OR(sel_Channel="All",E939=sel_Channel),OR(sel_Category="All",G939=sel_Category),OR(sel_Product="All",H939=sel_Product),AND(S939&gt;=m_From,S939&lt;=m_To)),1,0)</f>
        <v/>
      </c>
      <c r="Y939" s="36">
        <f>IF(AND(OR(sel_Region="All",C939=sel_Region),OR(sel_Country="All",D939=sel_Country),OR(sel_Channel="All",E939=sel_Channel),OR(sel_Customer="All",F939=sel_Customer),OR(sel_Product="All",H939=sel_Product),AND(S939&gt;=m_From,S939&lt;=m_To)),1,0)</f>
        <v/>
      </c>
      <c r="Z939" s="36">
        <f>IF(AND(OR(sel_Region="All",C939=sel_Region),OR(sel_Country="All",D939=sel_Country),OR(sel_Channel="All",E939=sel_Channel),OR(sel_Customer="All",F939=sel_Customer),OR(sel_Category="All",G939=sel_Category),AND(S939&gt;=m_From,S939&lt;=m_To)),1,0)</f>
        <v/>
      </c>
      <c r="AA939" s="36">
        <f>IF(AND(OR(sel_Region="All",C939=sel_Region),OR(sel_Country="All",D939=sel_Country),OR(sel_Channel="All",E939=sel_Channel),OR(sel_Customer="All",F939=sel_Customer),OR(sel_Category="All",G939=sel_Category),OR(sel_Product="All",H939=sel_Product)),1,0)</f>
        <v/>
      </c>
    </row>
    <row r="940">
      <c r="A940" s="36" t="inlineStr">
        <is>
          <t>00873</t>
        </is>
      </c>
      <c r="B940" s="44" t="n">
        <v>46172</v>
      </c>
      <c r="C940" s="36" t="inlineStr">
        <is>
          <t>Northern Europe</t>
        </is>
      </c>
      <c r="D940" s="36" t="inlineStr">
        <is>
          <t>Finland</t>
        </is>
      </c>
      <c r="E940" s="36" t="inlineStr">
        <is>
          <t>Online Store</t>
        </is>
      </c>
      <c r="F940" s="36" t="inlineStr">
        <is>
          <t>Business</t>
        </is>
      </c>
      <c r="G940" s="36" t="inlineStr">
        <is>
          <t>Cycling</t>
        </is>
      </c>
      <c r="H940" s="36" t="inlineStr">
        <is>
          <t>Compact Repair Kit</t>
        </is>
      </c>
      <c r="I940" s="36" t="n">
        <v>1</v>
      </c>
      <c r="J940" s="39" t="n">
        <v>40.15</v>
      </c>
      <c r="K940" s="45" t="n">
        <v>0</v>
      </c>
      <c r="L940" s="39" t="n">
        <v>16.82</v>
      </c>
      <c r="M940" s="39">
        <f>I940*J940*(1-K940)</f>
        <v/>
      </c>
      <c r="N940" s="39">
        <f>I940*L940</f>
        <v/>
      </c>
      <c r="O940" s="39">
        <f>M940-N940</f>
        <v/>
      </c>
      <c r="P940" s="38">
        <f>IF(M940=0,0,O940/M940)</f>
        <v/>
      </c>
      <c r="Q940" s="36">
        <f>YEAR(B940)</f>
        <v/>
      </c>
      <c r="R940" s="36">
        <f>"Q"&amp;ROUNDUP(MONTH(B940)/3,0)</f>
        <v/>
      </c>
      <c r="S940" s="36">
        <f>MONTH(B940)</f>
        <v/>
      </c>
      <c r="T940" s="36">
        <f>TEXT(B940,"mmm")</f>
        <v/>
      </c>
      <c r="U940" s="36">
        <f>IF(AND(OR(sel_Region="All",C940=sel_Region),OR(sel_Country="All",D940=sel_Country),OR(sel_Channel="All",E940=sel_Channel),OR(sel_Customer="All",F940=sel_Customer),OR(sel_Category="All",G940=sel_Category),OR(sel_Product="All",H940=sel_Product),AND(S940&gt;=m_From,S940&lt;=m_To)),1,0)</f>
        <v/>
      </c>
      <c r="V940" s="36">
        <f>IF(AND(OR(sel_Region="All",C940=sel_Region),OR(sel_Channel="All",E940=sel_Channel),OR(sel_Customer="All",F940=sel_Customer),OR(sel_Category="All",G940=sel_Category),OR(sel_Product="All",H940=sel_Product),AND(S940&gt;=m_From,S940&lt;=m_To)),1,0)</f>
        <v/>
      </c>
      <c r="W940" s="36">
        <f>IF(AND(OR(sel_Region="All",C940=sel_Region),OR(sel_Country="All",D940=sel_Country),OR(sel_Customer="All",F940=sel_Customer),OR(sel_Category="All",G940=sel_Category),OR(sel_Product="All",H940=sel_Product),AND(S940&gt;=m_From,S940&lt;=m_To)),1,0)</f>
        <v/>
      </c>
      <c r="X940" s="36">
        <f>IF(AND(OR(sel_Region="All",C940=sel_Region),OR(sel_Country="All",D940=sel_Country),OR(sel_Channel="All",E940=sel_Channel),OR(sel_Category="All",G940=sel_Category),OR(sel_Product="All",H940=sel_Product),AND(S940&gt;=m_From,S940&lt;=m_To)),1,0)</f>
        <v/>
      </c>
      <c r="Y940" s="36">
        <f>IF(AND(OR(sel_Region="All",C940=sel_Region),OR(sel_Country="All",D940=sel_Country),OR(sel_Channel="All",E940=sel_Channel),OR(sel_Customer="All",F940=sel_Customer),OR(sel_Product="All",H940=sel_Product),AND(S940&gt;=m_From,S940&lt;=m_To)),1,0)</f>
        <v/>
      </c>
      <c r="Z940" s="36">
        <f>IF(AND(OR(sel_Region="All",C940=sel_Region),OR(sel_Country="All",D940=sel_Country),OR(sel_Channel="All",E940=sel_Channel),OR(sel_Customer="All",F940=sel_Customer),OR(sel_Category="All",G940=sel_Category),AND(S940&gt;=m_From,S940&lt;=m_To)),1,0)</f>
        <v/>
      </c>
      <c r="AA940" s="36">
        <f>IF(AND(OR(sel_Region="All",C940=sel_Region),OR(sel_Country="All",D940=sel_Country),OR(sel_Channel="All",E940=sel_Channel),OR(sel_Customer="All",F940=sel_Customer),OR(sel_Category="All",G940=sel_Category),OR(sel_Product="All",H940=sel_Product)),1,0)</f>
        <v/>
      </c>
    </row>
    <row r="941">
      <c r="A941" s="36" t="inlineStr">
        <is>
          <t>01116</t>
        </is>
      </c>
      <c r="B941" s="44" t="n">
        <v>46172</v>
      </c>
      <c r="C941" s="36" t="inlineStr">
        <is>
          <t>Central Europe</t>
        </is>
      </c>
      <c r="D941" s="36" t="inlineStr">
        <is>
          <t>Germany</t>
        </is>
      </c>
      <c r="E941" s="36" t="inlineStr">
        <is>
          <t>Corporate</t>
        </is>
      </c>
      <c r="F941" s="36" t="inlineStr">
        <is>
          <t>Business</t>
        </is>
      </c>
      <c r="G941" s="36" t="inlineStr">
        <is>
          <t>Travel</t>
        </is>
      </c>
      <c r="H941" s="36" t="inlineStr">
        <is>
          <t>Carry-On Duffel</t>
        </is>
      </c>
      <c r="I941" s="36" t="n">
        <v>5</v>
      </c>
      <c r="J941" s="39" t="n">
        <v>134.4</v>
      </c>
      <c r="K941" s="45" t="n">
        <v>0.15</v>
      </c>
      <c r="L941" s="39" t="n">
        <v>67.70999999999999</v>
      </c>
      <c r="M941" s="39">
        <f>I941*J941*(1-K941)</f>
        <v/>
      </c>
      <c r="N941" s="39">
        <f>I941*L941</f>
        <v/>
      </c>
      <c r="O941" s="39">
        <f>M941-N941</f>
        <v/>
      </c>
      <c r="P941" s="38">
        <f>IF(M941=0,0,O941/M941)</f>
        <v/>
      </c>
      <c r="Q941" s="36">
        <f>YEAR(B941)</f>
        <v/>
      </c>
      <c r="R941" s="36">
        <f>"Q"&amp;ROUNDUP(MONTH(B941)/3,0)</f>
        <v/>
      </c>
      <c r="S941" s="36">
        <f>MONTH(B941)</f>
        <v/>
      </c>
      <c r="T941" s="36">
        <f>TEXT(B941,"mmm")</f>
        <v/>
      </c>
      <c r="U941" s="36">
        <f>IF(AND(OR(sel_Region="All",C941=sel_Region),OR(sel_Country="All",D941=sel_Country),OR(sel_Channel="All",E941=sel_Channel),OR(sel_Customer="All",F941=sel_Customer),OR(sel_Category="All",G941=sel_Category),OR(sel_Product="All",H941=sel_Product),AND(S941&gt;=m_From,S941&lt;=m_To)),1,0)</f>
        <v/>
      </c>
      <c r="V941" s="36">
        <f>IF(AND(OR(sel_Region="All",C941=sel_Region),OR(sel_Channel="All",E941=sel_Channel),OR(sel_Customer="All",F941=sel_Customer),OR(sel_Category="All",G941=sel_Category),OR(sel_Product="All",H941=sel_Product),AND(S941&gt;=m_From,S941&lt;=m_To)),1,0)</f>
        <v/>
      </c>
      <c r="W941" s="36">
        <f>IF(AND(OR(sel_Region="All",C941=sel_Region),OR(sel_Country="All",D941=sel_Country),OR(sel_Customer="All",F941=sel_Customer),OR(sel_Category="All",G941=sel_Category),OR(sel_Product="All",H941=sel_Product),AND(S941&gt;=m_From,S941&lt;=m_To)),1,0)</f>
        <v/>
      </c>
      <c r="X941" s="36">
        <f>IF(AND(OR(sel_Region="All",C941=sel_Region),OR(sel_Country="All",D941=sel_Country),OR(sel_Channel="All",E941=sel_Channel),OR(sel_Category="All",G941=sel_Category),OR(sel_Product="All",H941=sel_Product),AND(S941&gt;=m_From,S941&lt;=m_To)),1,0)</f>
        <v/>
      </c>
      <c r="Y941" s="36">
        <f>IF(AND(OR(sel_Region="All",C941=sel_Region),OR(sel_Country="All",D941=sel_Country),OR(sel_Channel="All",E941=sel_Channel),OR(sel_Customer="All",F941=sel_Customer),OR(sel_Product="All",H941=sel_Product),AND(S941&gt;=m_From,S941&lt;=m_To)),1,0)</f>
        <v/>
      </c>
      <c r="Z941" s="36">
        <f>IF(AND(OR(sel_Region="All",C941=sel_Region),OR(sel_Country="All",D941=sel_Country),OR(sel_Channel="All",E941=sel_Channel),OR(sel_Customer="All",F941=sel_Customer),OR(sel_Category="All",G941=sel_Category),AND(S941&gt;=m_From,S941&lt;=m_To)),1,0)</f>
        <v/>
      </c>
      <c r="AA941" s="36">
        <f>IF(AND(OR(sel_Region="All",C941=sel_Region),OR(sel_Country="All",D941=sel_Country),OR(sel_Channel="All",E941=sel_Channel),OR(sel_Customer="All",F941=sel_Customer),OR(sel_Category="All",G941=sel_Category),OR(sel_Product="All",H941=sel_Product)),1,0)</f>
        <v/>
      </c>
    </row>
    <row r="942">
      <c r="A942" s="36" t="inlineStr">
        <is>
          <t>01206</t>
        </is>
      </c>
      <c r="B942" s="44" t="n">
        <v>46172</v>
      </c>
      <c r="C942" s="36" t="inlineStr">
        <is>
          <t>Western Europe</t>
        </is>
      </c>
      <c r="D942" s="36" t="inlineStr">
        <is>
          <t>France</t>
        </is>
      </c>
      <c r="E942" s="36" t="inlineStr">
        <is>
          <t>Online Store</t>
        </is>
      </c>
      <c r="F942" s="36" t="inlineStr">
        <is>
          <t>Returning</t>
        </is>
      </c>
      <c r="G942" s="36" t="inlineStr">
        <is>
          <t>Travel</t>
        </is>
      </c>
      <c r="H942" s="36" t="inlineStr">
        <is>
          <t>Insulated Bottle</t>
        </is>
      </c>
      <c r="I942" s="36" t="n">
        <v>2</v>
      </c>
      <c r="J942" s="39" t="n">
        <v>37.13</v>
      </c>
      <c r="K942" s="45" t="n">
        <v>0.05</v>
      </c>
      <c r="L942" s="39" t="n">
        <v>13.44</v>
      </c>
      <c r="M942" s="39">
        <f>I942*J942*(1-K942)</f>
        <v/>
      </c>
      <c r="N942" s="39">
        <f>I942*L942</f>
        <v/>
      </c>
      <c r="O942" s="39">
        <f>M942-N942</f>
        <v/>
      </c>
      <c r="P942" s="38">
        <f>IF(M942=0,0,O942/M942)</f>
        <v/>
      </c>
      <c r="Q942" s="36">
        <f>YEAR(B942)</f>
        <v/>
      </c>
      <c r="R942" s="36">
        <f>"Q"&amp;ROUNDUP(MONTH(B942)/3,0)</f>
        <v/>
      </c>
      <c r="S942" s="36">
        <f>MONTH(B942)</f>
        <v/>
      </c>
      <c r="T942" s="36">
        <f>TEXT(B942,"mmm")</f>
        <v/>
      </c>
      <c r="U942" s="36">
        <f>IF(AND(OR(sel_Region="All",C942=sel_Region),OR(sel_Country="All",D942=sel_Country),OR(sel_Channel="All",E942=sel_Channel),OR(sel_Customer="All",F942=sel_Customer),OR(sel_Category="All",G942=sel_Category),OR(sel_Product="All",H942=sel_Product),AND(S942&gt;=m_From,S942&lt;=m_To)),1,0)</f>
        <v/>
      </c>
      <c r="V942" s="36">
        <f>IF(AND(OR(sel_Region="All",C942=sel_Region),OR(sel_Channel="All",E942=sel_Channel),OR(sel_Customer="All",F942=sel_Customer),OR(sel_Category="All",G942=sel_Category),OR(sel_Product="All",H942=sel_Product),AND(S942&gt;=m_From,S942&lt;=m_To)),1,0)</f>
        <v/>
      </c>
      <c r="W942" s="36">
        <f>IF(AND(OR(sel_Region="All",C942=sel_Region),OR(sel_Country="All",D942=sel_Country),OR(sel_Customer="All",F942=sel_Customer),OR(sel_Category="All",G942=sel_Category),OR(sel_Product="All",H942=sel_Product),AND(S942&gt;=m_From,S942&lt;=m_To)),1,0)</f>
        <v/>
      </c>
      <c r="X942" s="36">
        <f>IF(AND(OR(sel_Region="All",C942=sel_Region),OR(sel_Country="All",D942=sel_Country),OR(sel_Channel="All",E942=sel_Channel),OR(sel_Category="All",G942=sel_Category),OR(sel_Product="All",H942=sel_Product),AND(S942&gt;=m_From,S942&lt;=m_To)),1,0)</f>
        <v/>
      </c>
      <c r="Y942" s="36">
        <f>IF(AND(OR(sel_Region="All",C942=sel_Region),OR(sel_Country="All",D942=sel_Country),OR(sel_Channel="All",E942=sel_Channel),OR(sel_Customer="All",F942=sel_Customer),OR(sel_Product="All",H942=sel_Product),AND(S942&gt;=m_From,S942&lt;=m_To)),1,0)</f>
        <v/>
      </c>
      <c r="Z942" s="36">
        <f>IF(AND(OR(sel_Region="All",C942=sel_Region),OR(sel_Country="All",D942=sel_Country),OR(sel_Channel="All",E942=sel_Channel),OR(sel_Customer="All",F942=sel_Customer),OR(sel_Category="All",G942=sel_Category),AND(S942&gt;=m_From,S942&lt;=m_To)),1,0)</f>
        <v/>
      </c>
      <c r="AA942" s="36">
        <f>IF(AND(OR(sel_Region="All",C942=sel_Region),OR(sel_Country="All",D942=sel_Country),OR(sel_Channel="All",E942=sel_Channel),OR(sel_Customer="All",F942=sel_Customer),OR(sel_Category="All",G942=sel_Category),OR(sel_Product="All",H942=sel_Product)),1,0)</f>
        <v/>
      </c>
    </row>
    <row r="943">
      <c r="A943" s="36" t="inlineStr">
        <is>
          <t>01576</t>
        </is>
      </c>
      <c r="B943" s="44" t="n">
        <v>46172</v>
      </c>
      <c r="C943" s="36" t="inlineStr">
        <is>
          <t>Central Europe</t>
        </is>
      </c>
      <c r="D943" s="36" t="inlineStr">
        <is>
          <t>Czechia</t>
        </is>
      </c>
      <c r="E943" s="36" t="inlineStr">
        <is>
          <t>Online Store</t>
        </is>
      </c>
      <c r="F943" s="36" t="inlineStr">
        <is>
          <t>Business</t>
        </is>
      </c>
      <c r="G943" s="36" t="inlineStr">
        <is>
          <t>Camping</t>
        </is>
      </c>
      <c r="H943" s="36" t="inlineStr">
        <is>
          <t>Compact Sleeping Bag</t>
        </is>
      </c>
      <c r="I943" s="36" t="n">
        <v>6</v>
      </c>
      <c r="J943" s="39" t="n">
        <v>123.82</v>
      </c>
      <c r="K943" s="45" t="n">
        <v>0</v>
      </c>
      <c r="L943" s="39" t="n">
        <v>61.91</v>
      </c>
      <c r="M943" s="39">
        <f>I943*J943*(1-K943)</f>
        <v/>
      </c>
      <c r="N943" s="39">
        <f>I943*L943</f>
        <v/>
      </c>
      <c r="O943" s="39">
        <f>M943-N943</f>
        <v/>
      </c>
      <c r="P943" s="38">
        <f>IF(M943=0,0,O943/M943)</f>
        <v/>
      </c>
      <c r="Q943" s="36">
        <f>YEAR(B943)</f>
        <v/>
      </c>
      <c r="R943" s="36">
        <f>"Q"&amp;ROUNDUP(MONTH(B943)/3,0)</f>
        <v/>
      </c>
      <c r="S943" s="36">
        <f>MONTH(B943)</f>
        <v/>
      </c>
      <c r="T943" s="36">
        <f>TEXT(B943,"mmm")</f>
        <v/>
      </c>
      <c r="U943" s="36">
        <f>IF(AND(OR(sel_Region="All",C943=sel_Region),OR(sel_Country="All",D943=sel_Country),OR(sel_Channel="All",E943=sel_Channel),OR(sel_Customer="All",F943=sel_Customer),OR(sel_Category="All",G943=sel_Category),OR(sel_Product="All",H943=sel_Product),AND(S943&gt;=m_From,S943&lt;=m_To)),1,0)</f>
        <v/>
      </c>
      <c r="V943" s="36">
        <f>IF(AND(OR(sel_Region="All",C943=sel_Region),OR(sel_Channel="All",E943=sel_Channel),OR(sel_Customer="All",F943=sel_Customer),OR(sel_Category="All",G943=sel_Category),OR(sel_Product="All",H943=sel_Product),AND(S943&gt;=m_From,S943&lt;=m_To)),1,0)</f>
        <v/>
      </c>
      <c r="W943" s="36">
        <f>IF(AND(OR(sel_Region="All",C943=sel_Region),OR(sel_Country="All",D943=sel_Country),OR(sel_Customer="All",F943=sel_Customer),OR(sel_Category="All",G943=sel_Category),OR(sel_Product="All",H943=sel_Product),AND(S943&gt;=m_From,S943&lt;=m_To)),1,0)</f>
        <v/>
      </c>
      <c r="X943" s="36">
        <f>IF(AND(OR(sel_Region="All",C943=sel_Region),OR(sel_Country="All",D943=sel_Country),OR(sel_Channel="All",E943=sel_Channel),OR(sel_Category="All",G943=sel_Category),OR(sel_Product="All",H943=sel_Product),AND(S943&gt;=m_From,S943&lt;=m_To)),1,0)</f>
        <v/>
      </c>
      <c r="Y943" s="36">
        <f>IF(AND(OR(sel_Region="All",C943=sel_Region),OR(sel_Country="All",D943=sel_Country),OR(sel_Channel="All",E943=sel_Channel),OR(sel_Customer="All",F943=sel_Customer),OR(sel_Product="All",H943=sel_Product),AND(S943&gt;=m_From,S943&lt;=m_To)),1,0)</f>
        <v/>
      </c>
      <c r="Z943" s="36">
        <f>IF(AND(OR(sel_Region="All",C943=sel_Region),OR(sel_Country="All",D943=sel_Country),OR(sel_Channel="All",E943=sel_Channel),OR(sel_Customer="All",F943=sel_Customer),OR(sel_Category="All",G943=sel_Category),AND(S943&gt;=m_From,S943&lt;=m_To)),1,0)</f>
        <v/>
      </c>
      <c r="AA943" s="36">
        <f>IF(AND(OR(sel_Region="All",C943=sel_Region),OR(sel_Country="All",D943=sel_Country),OR(sel_Channel="All",E943=sel_Channel),OR(sel_Customer="All",F943=sel_Customer),OR(sel_Category="All",G943=sel_Category),OR(sel_Product="All",H943=sel_Product)),1,0)</f>
        <v/>
      </c>
    </row>
    <row r="944">
      <c r="A944" s="36" t="inlineStr">
        <is>
          <t>02634</t>
        </is>
      </c>
      <c r="B944" s="44" t="n">
        <v>46172</v>
      </c>
      <c r="C944" s="36" t="inlineStr">
        <is>
          <t>Northern Europe</t>
        </is>
      </c>
      <c r="D944" s="36" t="inlineStr">
        <is>
          <t>Norway</t>
        </is>
      </c>
      <c r="E944" s="36" t="inlineStr">
        <is>
          <t>Marketplace</t>
        </is>
      </c>
      <c r="F944" s="36" t="inlineStr">
        <is>
          <t>Returning</t>
        </is>
      </c>
      <c r="G944" s="36" t="inlineStr">
        <is>
          <t>Travel</t>
        </is>
      </c>
      <c r="H944" s="36" t="inlineStr">
        <is>
          <t>Insulated Bottle</t>
        </is>
      </c>
      <c r="I944" s="36" t="n">
        <v>2</v>
      </c>
      <c r="J944" s="39" t="n">
        <v>36.94</v>
      </c>
      <c r="K944" s="45" t="n">
        <v>0.05</v>
      </c>
      <c r="L944" s="39" t="n">
        <v>13.82</v>
      </c>
      <c r="M944" s="39">
        <f>I944*J944*(1-K944)</f>
        <v/>
      </c>
      <c r="N944" s="39">
        <f>I944*L944</f>
        <v/>
      </c>
      <c r="O944" s="39">
        <f>M944-N944</f>
        <v/>
      </c>
      <c r="P944" s="38">
        <f>IF(M944=0,0,O944/M944)</f>
        <v/>
      </c>
      <c r="Q944" s="36">
        <f>YEAR(B944)</f>
        <v/>
      </c>
      <c r="R944" s="36">
        <f>"Q"&amp;ROUNDUP(MONTH(B944)/3,0)</f>
        <v/>
      </c>
      <c r="S944" s="36">
        <f>MONTH(B944)</f>
        <v/>
      </c>
      <c r="T944" s="36">
        <f>TEXT(B944,"mmm")</f>
        <v/>
      </c>
      <c r="U944" s="36">
        <f>IF(AND(OR(sel_Region="All",C944=sel_Region),OR(sel_Country="All",D944=sel_Country),OR(sel_Channel="All",E944=sel_Channel),OR(sel_Customer="All",F944=sel_Customer),OR(sel_Category="All",G944=sel_Category),OR(sel_Product="All",H944=sel_Product),AND(S944&gt;=m_From,S944&lt;=m_To)),1,0)</f>
        <v/>
      </c>
      <c r="V944" s="36">
        <f>IF(AND(OR(sel_Region="All",C944=sel_Region),OR(sel_Channel="All",E944=sel_Channel),OR(sel_Customer="All",F944=sel_Customer),OR(sel_Category="All",G944=sel_Category),OR(sel_Product="All",H944=sel_Product),AND(S944&gt;=m_From,S944&lt;=m_To)),1,0)</f>
        <v/>
      </c>
      <c r="W944" s="36">
        <f>IF(AND(OR(sel_Region="All",C944=sel_Region),OR(sel_Country="All",D944=sel_Country),OR(sel_Customer="All",F944=sel_Customer),OR(sel_Category="All",G944=sel_Category),OR(sel_Product="All",H944=sel_Product),AND(S944&gt;=m_From,S944&lt;=m_To)),1,0)</f>
        <v/>
      </c>
      <c r="X944" s="36">
        <f>IF(AND(OR(sel_Region="All",C944=sel_Region),OR(sel_Country="All",D944=sel_Country),OR(sel_Channel="All",E944=sel_Channel),OR(sel_Category="All",G944=sel_Category),OR(sel_Product="All",H944=sel_Product),AND(S944&gt;=m_From,S944&lt;=m_To)),1,0)</f>
        <v/>
      </c>
      <c r="Y944" s="36">
        <f>IF(AND(OR(sel_Region="All",C944=sel_Region),OR(sel_Country="All",D944=sel_Country),OR(sel_Channel="All",E944=sel_Channel),OR(sel_Customer="All",F944=sel_Customer),OR(sel_Product="All",H944=sel_Product),AND(S944&gt;=m_From,S944&lt;=m_To)),1,0)</f>
        <v/>
      </c>
      <c r="Z944" s="36">
        <f>IF(AND(OR(sel_Region="All",C944=sel_Region),OR(sel_Country="All",D944=sel_Country),OR(sel_Channel="All",E944=sel_Channel),OR(sel_Customer="All",F944=sel_Customer),OR(sel_Category="All",G944=sel_Category),AND(S944&gt;=m_From,S944&lt;=m_To)),1,0)</f>
        <v/>
      </c>
      <c r="AA944" s="36">
        <f>IF(AND(OR(sel_Region="All",C944=sel_Region),OR(sel_Country="All",D944=sel_Country),OR(sel_Channel="All",E944=sel_Channel),OR(sel_Customer="All",F944=sel_Customer),OR(sel_Category="All",G944=sel_Category),OR(sel_Product="All",H944=sel_Product)),1,0)</f>
        <v/>
      </c>
    </row>
    <row r="945">
      <c r="A945" s="36" t="inlineStr">
        <is>
          <t>02649</t>
        </is>
      </c>
      <c r="B945" s="44" t="n">
        <v>46172</v>
      </c>
      <c r="C945" s="36" t="inlineStr">
        <is>
          <t>Southern Europe</t>
        </is>
      </c>
      <c r="D945" s="36" t="inlineStr">
        <is>
          <t>Spain</t>
        </is>
      </c>
      <c r="E945" s="36" t="inlineStr">
        <is>
          <t>Online Store</t>
        </is>
      </c>
      <c r="F945" s="36" t="inlineStr">
        <is>
          <t>New</t>
        </is>
      </c>
      <c r="G945" s="36" t="inlineStr">
        <is>
          <t>Camping</t>
        </is>
      </c>
      <c r="H945" s="36" t="inlineStr">
        <is>
          <t>Trail Tent 2P</t>
        </is>
      </c>
      <c r="I945" s="36" t="n">
        <v>3</v>
      </c>
      <c r="J945" s="39" t="n">
        <v>199.17</v>
      </c>
      <c r="K945" s="45" t="n">
        <v>0.05</v>
      </c>
      <c r="L945" s="39" t="n">
        <v>105.24</v>
      </c>
      <c r="M945" s="39">
        <f>I945*J945*(1-K945)</f>
        <v/>
      </c>
      <c r="N945" s="39">
        <f>I945*L945</f>
        <v/>
      </c>
      <c r="O945" s="39">
        <f>M945-N945</f>
        <v/>
      </c>
      <c r="P945" s="38">
        <f>IF(M945=0,0,O945/M945)</f>
        <v/>
      </c>
      <c r="Q945" s="36">
        <f>YEAR(B945)</f>
        <v/>
      </c>
      <c r="R945" s="36">
        <f>"Q"&amp;ROUNDUP(MONTH(B945)/3,0)</f>
        <v/>
      </c>
      <c r="S945" s="36">
        <f>MONTH(B945)</f>
        <v/>
      </c>
      <c r="T945" s="36">
        <f>TEXT(B945,"mmm")</f>
        <v/>
      </c>
      <c r="U945" s="36">
        <f>IF(AND(OR(sel_Region="All",C945=sel_Region),OR(sel_Country="All",D945=sel_Country),OR(sel_Channel="All",E945=sel_Channel),OR(sel_Customer="All",F945=sel_Customer),OR(sel_Category="All",G945=sel_Category),OR(sel_Product="All",H945=sel_Product),AND(S945&gt;=m_From,S945&lt;=m_To)),1,0)</f>
        <v/>
      </c>
      <c r="V945" s="36">
        <f>IF(AND(OR(sel_Region="All",C945=sel_Region),OR(sel_Channel="All",E945=sel_Channel),OR(sel_Customer="All",F945=sel_Customer),OR(sel_Category="All",G945=sel_Category),OR(sel_Product="All",H945=sel_Product),AND(S945&gt;=m_From,S945&lt;=m_To)),1,0)</f>
        <v/>
      </c>
      <c r="W945" s="36">
        <f>IF(AND(OR(sel_Region="All",C945=sel_Region),OR(sel_Country="All",D945=sel_Country),OR(sel_Customer="All",F945=sel_Customer),OR(sel_Category="All",G945=sel_Category),OR(sel_Product="All",H945=sel_Product),AND(S945&gt;=m_From,S945&lt;=m_To)),1,0)</f>
        <v/>
      </c>
      <c r="X945" s="36">
        <f>IF(AND(OR(sel_Region="All",C945=sel_Region),OR(sel_Country="All",D945=sel_Country),OR(sel_Channel="All",E945=sel_Channel),OR(sel_Category="All",G945=sel_Category),OR(sel_Product="All",H945=sel_Product),AND(S945&gt;=m_From,S945&lt;=m_To)),1,0)</f>
        <v/>
      </c>
      <c r="Y945" s="36">
        <f>IF(AND(OR(sel_Region="All",C945=sel_Region),OR(sel_Country="All",D945=sel_Country),OR(sel_Channel="All",E945=sel_Channel),OR(sel_Customer="All",F945=sel_Customer),OR(sel_Product="All",H945=sel_Product),AND(S945&gt;=m_From,S945&lt;=m_To)),1,0)</f>
        <v/>
      </c>
      <c r="Z945" s="36">
        <f>IF(AND(OR(sel_Region="All",C945=sel_Region),OR(sel_Country="All",D945=sel_Country),OR(sel_Channel="All",E945=sel_Channel),OR(sel_Customer="All",F945=sel_Customer),OR(sel_Category="All",G945=sel_Category),AND(S945&gt;=m_From,S945&lt;=m_To)),1,0)</f>
        <v/>
      </c>
      <c r="AA945" s="36">
        <f>IF(AND(OR(sel_Region="All",C945=sel_Region),OR(sel_Country="All",D945=sel_Country),OR(sel_Channel="All",E945=sel_Channel),OR(sel_Customer="All",F945=sel_Customer),OR(sel_Category="All",G945=sel_Category),OR(sel_Product="All",H945=sel_Product)),1,0)</f>
        <v/>
      </c>
    </row>
    <row r="946">
      <c r="A946" s="36" t="inlineStr">
        <is>
          <t>02774</t>
        </is>
      </c>
      <c r="B946" s="44" t="n">
        <v>46172</v>
      </c>
      <c r="C946" s="36" t="inlineStr">
        <is>
          <t>Southern Europe</t>
        </is>
      </c>
      <c r="D946" s="36" t="inlineStr">
        <is>
          <t>Portugal</t>
        </is>
      </c>
      <c r="E946" s="36" t="inlineStr">
        <is>
          <t>Online Store</t>
        </is>
      </c>
      <c r="F946" s="36" t="inlineStr">
        <is>
          <t>Returning</t>
        </is>
      </c>
      <c r="G946" s="36" t="inlineStr">
        <is>
          <t>Camping</t>
        </is>
      </c>
      <c r="H946" s="36" t="inlineStr">
        <is>
          <t>Portable Camp Stove</t>
        </is>
      </c>
      <c r="I946" s="36" t="n">
        <v>3</v>
      </c>
      <c r="J946" s="39" t="n">
        <v>83.17</v>
      </c>
      <c r="K946" s="45" t="n">
        <v>0</v>
      </c>
      <c r="L946" s="39" t="n">
        <v>40.52</v>
      </c>
      <c r="M946" s="39">
        <f>I946*J946*(1-K946)</f>
        <v/>
      </c>
      <c r="N946" s="39">
        <f>I946*L946</f>
        <v/>
      </c>
      <c r="O946" s="39">
        <f>M946-N946</f>
        <v/>
      </c>
      <c r="P946" s="38">
        <f>IF(M946=0,0,O946/M946)</f>
        <v/>
      </c>
      <c r="Q946" s="36">
        <f>YEAR(B946)</f>
        <v/>
      </c>
      <c r="R946" s="36">
        <f>"Q"&amp;ROUNDUP(MONTH(B946)/3,0)</f>
        <v/>
      </c>
      <c r="S946" s="36">
        <f>MONTH(B946)</f>
        <v/>
      </c>
      <c r="T946" s="36">
        <f>TEXT(B946,"mmm")</f>
        <v/>
      </c>
      <c r="U946" s="36">
        <f>IF(AND(OR(sel_Region="All",C946=sel_Region),OR(sel_Country="All",D946=sel_Country),OR(sel_Channel="All",E946=sel_Channel),OR(sel_Customer="All",F946=sel_Customer),OR(sel_Category="All",G946=sel_Category),OR(sel_Product="All",H946=sel_Product),AND(S946&gt;=m_From,S946&lt;=m_To)),1,0)</f>
        <v/>
      </c>
      <c r="V946" s="36">
        <f>IF(AND(OR(sel_Region="All",C946=sel_Region),OR(sel_Channel="All",E946=sel_Channel),OR(sel_Customer="All",F946=sel_Customer),OR(sel_Category="All",G946=sel_Category),OR(sel_Product="All",H946=sel_Product),AND(S946&gt;=m_From,S946&lt;=m_To)),1,0)</f>
        <v/>
      </c>
      <c r="W946" s="36">
        <f>IF(AND(OR(sel_Region="All",C946=sel_Region),OR(sel_Country="All",D946=sel_Country),OR(sel_Customer="All",F946=sel_Customer),OR(sel_Category="All",G946=sel_Category),OR(sel_Product="All",H946=sel_Product),AND(S946&gt;=m_From,S946&lt;=m_To)),1,0)</f>
        <v/>
      </c>
      <c r="X946" s="36">
        <f>IF(AND(OR(sel_Region="All",C946=sel_Region),OR(sel_Country="All",D946=sel_Country),OR(sel_Channel="All",E946=sel_Channel),OR(sel_Category="All",G946=sel_Category),OR(sel_Product="All",H946=sel_Product),AND(S946&gt;=m_From,S946&lt;=m_To)),1,0)</f>
        <v/>
      </c>
      <c r="Y946" s="36">
        <f>IF(AND(OR(sel_Region="All",C946=sel_Region),OR(sel_Country="All",D946=sel_Country),OR(sel_Channel="All",E946=sel_Channel),OR(sel_Customer="All",F946=sel_Customer),OR(sel_Product="All",H946=sel_Product),AND(S946&gt;=m_From,S946&lt;=m_To)),1,0)</f>
        <v/>
      </c>
      <c r="Z946" s="36">
        <f>IF(AND(OR(sel_Region="All",C946=sel_Region),OR(sel_Country="All",D946=sel_Country),OR(sel_Channel="All",E946=sel_Channel),OR(sel_Customer="All",F946=sel_Customer),OR(sel_Category="All",G946=sel_Category),AND(S946&gt;=m_From,S946&lt;=m_To)),1,0)</f>
        <v/>
      </c>
      <c r="AA946" s="36">
        <f>IF(AND(OR(sel_Region="All",C946=sel_Region),OR(sel_Country="All",D946=sel_Country),OR(sel_Channel="All",E946=sel_Channel),OR(sel_Customer="All",F946=sel_Customer),OR(sel_Category="All",G946=sel_Category),OR(sel_Product="All",H946=sel_Product)),1,0)</f>
        <v/>
      </c>
    </row>
    <row r="947">
      <c r="A947" s="36" t="inlineStr">
        <is>
          <t>03037</t>
        </is>
      </c>
      <c r="B947" s="44" t="n">
        <v>46172</v>
      </c>
      <c r="C947" s="36" t="inlineStr">
        <is>
          <t>Central Europe</t>
        </is>
      </c>
      <c r="D947" s="36" t="inlineStr">
        <is>
          <t>Austria</t>
        </is>
      </c>
      <c r="E947" s="36" t="inlineStr">
        <is>
          <t>Online Store</t>
        </is>
      </c>
      <c r="F947" s="36" t="inlineStr">
        <is>
          <t>Business</t>
        </is>
      </c>
      <c r="G947" s="36" t="inlineStr">
        <is>
          <t>Travel</t>
        </is>
      </c>
      <c r="H947" s="36" t="inlineStr">
        <is>
          <t>Packing Cube Set</t>
        </is>
      </c>
      <c r="I947" s="36" t="n">
        <v>1</v>
      </c>
      <c r="J947" s="39" t="n">
        <v>45.8</v>
      </c>
      <c r="K947" s="45" t="n">
        <v>0.05</v>
      </c>
      <c r="L947" s="39" t="n">
        <v>17.88</v>
      </c>
      <c r="M947" s="39">
        <f>I947*J947*(1-K947)</f>
        <v/>
      </c>
      <c r="N947" s="39">
        <f>I947*L947</f>
        <v/>
      </c>
      <c r="O947" s="39">
        <f>M947-N947</f>
        <v/>
      </c>
      <c r="P947" s="38">
        <f>IF(M947=0,0,O947/M947)</f>
        <v/>
      </c>
      <c r="Q947" s="36">
        <f>YEAR(B947)</f>
        <v/>
      </c>
      <c r="R947" s="36">
        <f>"Q"&amp;ROUNDUP(MONTH(B947)/3,0)</f>
        <v/>
      </c>
      <c r="S947" s="36">
        <f>MONTH(B947)</f>
        <v/>
      </c>
      <c r="T947" s="36">
        <f>TEXT(B947,"mmm")</f>
        <v/>
      </c>
      <c r="U947" s="36">
        <f>IF(AND(OR(sel_Region="All",C947=sel_Region),OR(sel_Country="All",D947=sel_Country),OR(sel_Channel="All",E947=sel_Channel),OR(sel_Customer="All",F947=sel_Customer),OR(sel_Category="All",G947=sel_Category),OR(sel_Product="All",H947=sel_Product),AND(S947&gt;=m_From,S947&lt;=m_To)),1,0)</f>
        <v/>
      </c>
      <c r="V947" s="36">
        <f>IF(AND(OR(sel_Region="All",C947=sel_Region),OR(sel_Channel="All",E947=sel_Channel),OR(sel_Customer="All",F947=sel_Customer),OR(sel_Category="All",G947=sel_Category),OR(sel_Product="All",H947=sel_Product),AND(S947&gt;=m_From,S947&lt;=m_To)),1,0)</f>
        <v/>
      </c>
      <c r="W947" s="36">
        <f>IF(AND(OR(sel_Region="All",C947=sel_Region),OR(sel_Country="All",D947=sel_Country),OR(sel_Customer="All",F947=sel_Customer),OR(sel_Category="All",G947=sel_Category),OR(sel_Product="All",H947=sel_Product),AND(S947&gt;=m_From,S947&lt;=m_To)),1,0)</f>
        <v/>
      </c>
      <c r="X947" s="36">
        <f>IF(AND(OR(sel_Region="All",C947=sel_Region),OR(sel_Country="All",D947=sel_Country),OR(sel_Channel="All",E947=sel_Channel),OR(sel_Category="All",G947=sel_Category),OR(sel_Product="All",H947=sel_Product),AND(S947&gt;=m_From,S947&lt;=m_To)),1,0)</f>
        <v/>
      </c>
      <c r="Y947" s="36">
        <f>IF(AND(OR(sel_Region="All",C947=sel_Region),OR(sel_Country="All",D947=sel_Country),OR(sel_Channel="All",E947=sel_Channel),OR(sel_Customer="All",F947=sel_Customer),OR(sel_Product="All",H947=sel_Product),AND(S947&gt;=m_From,S947&lt;=m_To)),1,0)</f>
        <v/>
      </c>
      <c r="Z947" s="36">
        <f>IF(AND(OR(sel_Region="All",C947=sel_Region),OR(sel_Country="All",D947=sel_Country),OR(sel_Channel="All",E947=sel_Channel),OR(sel_Customer="All",F947=sel_Customer),OR(sel_Category="All",G947=sel_Category),AND(S947&gt;=m_From,S947&lt;=m_To)),1,0)</f>
        <v/>
      </c>
      <c r="AA947" s="36">
        <f>IF(AND(OR(sel_Region="All",C947=sel_Region),OR(sel_Country="All",D947=sel_Country),OR(sel_Channel="All",E947=sel_Channel),OR(sel_Customer="All",F947=sel_Customer),OR(sel_Category="All",G947=sel_Category),OR(sel_Product="All",H947=sel_Product)),1,0)</f>
        <v/>
      </c>
    </row>
    <row r="948">
      <c r="A948" s="36" t="inlineStr">
        <is>
          <t>03138</t>
        </is>
      </c>
      <c r="B948" s="44" t="n">
        <v>46172</v>
      </c>
      <c r="C948" s="36" t="inlineStr">
        <is>
          <t>Northern Europe</t>
        </is>
      </c>
      <c r="D948" s="36" t="inlineStr">
        <is>
          <t>Sweden</t>
        </is>
      </c>
      <c r="E948" s="36" t="inlineStr">
        <is>
          <t>Marketplace</t>
        </is>
      </c>
      <c r="F948" s="36" t="inlineStr">
        <is>
          <t>Returning</t>
        </is>
      </c>
      <c r="G948" s="36" t="inlineStr">
        <is>
          <t>Hiking</t>
        </is>
      </c>
      <c r="H948" s="36" t="inlineStr">
        <is>
          <t>Summit Backpack 45L</t>
        </is>
      </c>
      <c r="I948" s="36" t="n">
        <v>1</v>
      </c>
      <c r="J948" s="39" t="n">
        <v>154.85</v>
      </c>
      <c r="K948" s="45" t="n">
        <v>0</v>
      </c>
      <c r="L948" s="39" t="n">
        <v>80.17</v>
      </c>
      <c r="M948" s="39">
        <f>I948*J948*(1-K948)</f>
        <v/>
      </c>
      <c r="N948" s="39">
        <f>I948*L948</f>
        <v/>
      </c>
      <c r="O948" s="39">
        <f>M948-N948</f>
        <v/>
      </c>
      <c r="P948" s="38">
        <f>IF(M948=0,0,O948/M948)</f>
        <v/>
      </c>
      <c r="Q948" s="36">
        <f>YEAR(B948)</f>
        <v/>
      </c>
      <c r="R948" s="36">
        <f>"Q"&amp;ROUNDUP(MONTH(B948)/3,0)</f>
        <v/>
      </c>
      <c r="S948" s="36">
        <f>MONTH(B948)</f>
        <v/>
      </c>
      <c r="T948" s="36">
        <f>TEXT(B948,"mmm")</f>
        <v/>
      </c>
      <c r="U948" s="36">
        <f>IF(AND(OR(sel_Region="All",C948=sel_Region),OR(sel_Country="All",D948=sel_Country),OR(sel_Channel="All",E948=sel_Channel),OR(sel_Customer="All",F948=sel_Customer),OR(sel_Category="All",G948=sel_Category),OR(sel_Product="All",H948=sel_Product),AND(S948&gt;=m_From,S948&lt;=m_To)),1,0)</f>
        <v/>
      </c>
      <c r="V948" s="36">
        <f>IF(AND(OR(sel_Region="All",C948=sel_Region),OR(sel_Channel="All",E948=sel_Channel),OR(sel_Customer="All",F948=sel_Customer),OR(sel_Category="All",G948=sel_Category),OR(sel_Product="All",H948=sel_Product),AND(S948&gt;=m_From,S948&lt;=m_To)),1,0)</f>
        <v/>
      </c>
      <c r="W948" s="36">
        <f>IF(AND(OR(sel_Region="All",C948=sel_Region),OR(sel_Country="All",D948=sel_Country),OR(sel_Customer="All",F948=sel_Customer),OR(sel_Category="All",G948=sel_Category),OR(sel_Product="All",H948=sel_Product),AND(S948&gt;=m_From,S948&lt;=m_To)),1,0)</f>
        <v/>
      </c>
      <c r="X948" s="36">
        <f>IF(AND(OR(sel_Region="All",C948=sel_Region),OR(sel_Country="All",D948=sel_Country),OR(sel_Channel="All",E948=sel_Channel),OR(sel_Category="All",G948=sel_Category),OR(sel_Product="All",H948=sel_Product),AND(S948&gt;=m_From,S948&lt;=m_To)),1,0)</f>
        <v/>
      </c>
      <c r="Y948" s="36">
        <f>IF(AND(OR(sel_Region="All",C948=sel_Region),OR(sel_Country="All",D948=sel_Country),OR(sel_Channel="All",E948=sel_Channel),OR(sel_Customer="All",F948=sel_Customer),OR(sel_Product="All",H948=sel_Product),AND(S948&gt;=m_From,S948&lt;=m_To)),1,0)</f>
        <v/>
      </c>
      <c r="Z948" s="36">
        <f>IF(AND(OR(sel_Region="All",C948=sel_Region),OR(sel_Country="All",D948=sel_Country),OR(sel_Channel="All",E948=sel_Channel),OR(sel_Customer="All",F948=sel_Customer),OR(sel_Category="All",G948=sel_Category),AND(S948&gt;=m_From,S948&lt;=m_To)),1,0)</f>
        <v/>
      </c>
      <c r="AA948" s="36">
        <f>IF(AND(OR(sel_Region="All",C948=sel_Region),OR(sel_Country="All",D948=sel_Country),OR(sel_Channel="All",E948=sel_Channel),OR(sel_Customer="All",F948=sel_Customer),OR(sel_Category="All",G948=sel_Category),OR(sel_Product="All",H948=sel_Product)),1,0)</f>
        <v/>
      </c>
    </row>
    <row r="949">
      <c r="A949" s="36" t="inlineStr">
        <is>
          <t>03228</t>
        </is>
      </c>
      <c r="B949" s="44" t="n">
        <v>46172</v>
      </c>
      <c r="C949" s="36" t="inlineStr">
        <is>
          <t>Western Europe</t>
        </is>
      </c>
      <c r="D949" s="36" t="inlineStr">
        <is>
          <t>France</t>
        </is>
      </c>
      <c r="E949" s="36" t="inlineStr">
        <is>
          <t>Online Store</t>
        </is>
      </c>
      <c r="F949" s="36" t="inlineStr">
        <is>
          <t>Business</t>
        </is>
      </c>
      <c r="G949" s="36" t="inlineStr">
        <is>
          <t>Camping</t>
        </is>
      </c>
      <c r="H949" s="36" t="inlineStr">
        <is>
          <t>Trail Tent 2P</t>
        </is>
      </c>
      <c r="I949" s="36" t="n">
        <v>1</v>
      </c>
      <c r="J949" s="39" t="n">
        <v>194.99</v>
      </c>
      <c r="K949" s="45" t="n">
        <v>0</v>
      </c>
      <c r="L949" s="39" t="n">
        <v>101.21</v>
      </c>
      <c r="M949" s="39">
        <f>I949*J949*(1-K949)</f>
        <v/>
      </c>
      <c r="N949" s="39">
        <f>I949*L949</f>
        <v/>
      </c>
      <c r="O949" s="39">
        <f>M949-N949</f>
        <v/>
      </c>
      <c r="P949" s="38">
        <f>IF(M949=0,0,O949/M949)</f>
        <v/>
      </c>
      <c r="Q949" s="36">
        <f>YEAR(B949)</f>
        <v/>
      </c>
      <c r="R949" s="36">
        <f>"Q"&amp;ROUNDUP(MONTH(B949)/3,0)</f>
        <v/>
      </c>
      <c r="S949" s="36">
        <f>MONTH(B949)</f>
        <v/>
      </c>
      <c r="T949" s="36">
        <f>TEXT(B949,"mmm")</f>
        <v/>
      </c>
      <c r="U949" s="36">
        <f>IF(AND(OR(sel_Region="All",C949=sel_Region),OR(sel_Country="All",D949=sel_Country),OR(sel_Channel="All",E949=sel_Channel),OR(sel_Customer="All",F949=sel_Customer),OR(sel_Category="All",G949=sel_Category),OR(sel_Product="All",H949=sel_Product),AND(S949&gt;=m_From,S949&lt;=m_To)),1,0)</f>
        <v/>
      </c>
      <c r="V949" s="36">
        <f>IF(AND(OR(sel_Region="All",C949=sel_Region),OR(sel_Channel="All",E949=sel_Channel),OR(sel_Customer="All",F949=sel_Customer),OR(sel_Category="All",G949=sel_Category),OR(sel_Product="All",H949=sel_Product),AND(S949&gt;=m_From,S949&lt;=m_To)),1,0)</f>
        <v/>
      </c>
      <c r="W949" s="36">
        <f>IF(AND(OR(sel_Region="All",C949=sel_Region),OR(sel_Country="All",D949=sel_Country),OR(sel_Customer="All",F949=sel_Customer),OR(sel_Category="All",G949=sel_Category),OR(sel_Product="All",H949=sel_Product),AND(S949&gt;=m_From,S949&lt;=m_To)),1,0)</f>
        <v/>
      </c>
      <c r="X949" s="36">
        <f>IF(AND(OR(sel_Region="All",C949=sel_Region),OR(sel_Country="All",D949=sel_Country),OR(sel_Channel="All",E949=sel_Channel),OR(sel_Category="All",G949=sel_Category),OR(sel_Product="All",H949=sel_Product),AND(S949&gt;=m_From,S949&lt;=m_To)),1,0)</f>
        <v/>
      </c>
      <c r="Y949" s="36">
        <f>IF(AND(OR(sel_Region="All",C949=sel_Region),OR(sel_Country="All",D949=sel_Country),OR(sel_Channel="All",E949=sel_Channel),OR(sel_Customer="All",F949=sel_Customer),OR(sel_Product="All",H949=sel_Product),AND(S949&gt;=m_From,S949&lt;=m_To)),1,0)</f>
        <v/>
      </c>
      <c r="Z949" s="36">
        <f>IF(AND(OR(sel_Region="All",C949=sel_Region),OR(sel_Country="All",D949=sel_Country),OR(sel_Channel="All",E949=sel_Channel),OR(sel_Customer="All",F949=sel_Customer),OR(sel_Category="All",G949=sel_Category),AND(S949&gt;=m_From,S949&lt;=m_To)),1,0)</f>
        <v/>
      </c>
      <c r="AA949" s="36">
        <f>IF(AND(OR(sel_Region="All",C949=sel_Region),OR(sel_Country="All",D949=sel_Country),OR(sel_Channel="All",E949=sel_Channel),OR(sel_Customer="All",F949=sel_Customer),OR(sel_Category="All",G949=sel_Category),OR(sel_Product="All",H949=sel_Product)),1,0)</f>
        <v/>
      </c>
    </row>
    <row r="950">
      <c r="A950" s="36" t="inlineStr">
        <is>
          <t>03401</t>
        </is>
      </c>
      <c r="B950" s="44" t="n">
        <v>46172</v>
      </c>
      <c r="C950" s="36" t="inlineStr">
        <is>
          <t>Northern Europe</t>
        </is>
      </c>
      <c r="D950" s="36" t="inlineStr">
        <is>
          <t>Finland</t>
        </is>
      </c>
      <c r="E950" s="36" t="inlineStr">
        <is>
          <t>Online Store</t>
        </is>
      </c>
      <c r="F950" s="36" t="inlineStr">
        <is>
          <t>Returning</t>
        </is>
      </c>
      <c r="G950" s="36" t="inlineStr">
        <is>
          <t>Fitness</t>
        </is>
      </c>
      <c r="H950" s="36" t="inlineStr">
        <is>
          <t>Recovery Roller</t>
        </is>
      </c>
      <c r="I950" s="36" t="n">
        <v>1</v>
      </c>
      <c r="J950" s="39" t="n">
        <v>36.31</v>
      </c>
      <c r="K950" s="45" t="n">
        <v>0</v>
      </c>
      <c r="L950" s="39" t="n">
        <v>13.93</v>
      </c>
      <c r="M950" s="39">
        <f>I950*J950*(1-K950)</f>
        <v/>
      </c>
      <c r="N950" s="39">
        <f>I950*L950</f>
        <v/>
      </c>
      <c r="O950" s="39">
        <f>M950-N950</f>
        <v/>
      </c>
      <c r="P950" s="38">
        <f>IF(M950=0,0,O950/M950)</f>
        <v/>
      </c>
      <c r="Q950" s="36">
        <f>YEAR(B950)</f>
        <v/>
      </c>
      <c r="R950" s="36">
        <f>"Q"&amp;ROUNDUP(MONTH(B950)/3,0)</f>
        <v/>
      </c>
      <c r="S950" s="36">
        <f>MONTH(B950)</f>
        <v/>
      </c>
      <c r="T950" s="36">
        <f>TEXT(B950,"mmm")</f>
        <v/>
      </c>
      <c r="U950" s="36">
        <f>IF(AND(OR(sel_Region="All",C950=sel_Region),OR(sel_Country="All",D950=sel_Country),OR(sel_Channel="All",E950=sel_Channel),OR(sel_Customer="All",F950=sel_Customer),OR(sel_Category="All",G950=sel_Category),OR(sel_Product="All",H950=sel_Product),AND(S950&gt;=m_From,S950&lt;=m_To)),1,0)</f>
        <v/>
      </c>
      <c r="V950" s="36">
        <f>IF(AND(OR(sel_Region="All",C950=sel_Region),OR(sel_Channel="All",E950=sel_Channel),OR(sel_Customer="All",F950=sel_Customer),OR(sel_Category="All",G950=sel_Category),OR(sel_Product="All",H950=sel_Product),AND(S950&gt;=m_From,S950&lt;=m_To)),1,0)</f>
        <v/>
      </c>
      <c r="W950" s="36">
        <f>IF(AND(OR(sel_Region="All",C950=sel_Region),OR(sel_Country="All",D950=sel_Country),OR(sel_Customer="All",F950=sel_Customer),OR(sel_Category="All",G950=sel_Category),OR(sel_Product="All",H950=sel_Product),AND(S950&gt;=m_From,S950&lt;=m_To)),1,0)</f>
        <v/>
      </c>
      <c r="X950" s="36">
        <f>IF(AND(OR(sel_Region="All",C950=sel_Region),OR(sel_Country="All",D950=sel_Country),OR(sel_Channel="All",E950=sel_Channel),OR(sel_Category="All",G950=sel_Category),OR(sel_Product="All",H950=sel_Product),AND(S950&gt;=m_From,S950&lt;=m_To)),1,0)</f>
        <v/>
      </c>
      <c r="Y950" s="36">
        <f>IF(AND(OR(sel_Region="All",C950=sel_Region),OR(sel_Country="All",D950=sel_Country),OR(sel_Channel="All",E950=sel_Channel),OR(sel_Customer="All",F950=sel_Customer),OR(sel_Product="All",H950=sel_Product),AND(S950&gt;=m_From,S950&lt;=m_To)),1,0)</f>
        <v/>
      </c>
      <c r="Z950" s="36">
        <f>IF(AND(OR(sel_Region="All",C950=sel_Region),OR(sel_Country="All",D950=sel_Country),OR(sel_Channel="All",E950=sel_Channel),OR(sel_Customer="All",F950=sel_Customer),OR(sel_Category="All",G950=sel_Category),AND(S950&gt;=m_From,S950&lt;=m_To)),1,0)</f>
        <v/>
      </c>
      <c r="AA950" s="36">
        <f>IF(AND(OR(sel_Region="All",C950=sel_Region),OR(sel_Country="All",D950=sel_Country),OR(sel_Channel="All",E950=sel_Channel),OR(sel_Customer="All",F950=sel_Customer),OR(sel_Category="All",G950=sel_Category),OR(sel_Product="All",H950=sel_Product)),1,0)</f>
        <v/>
      </c>
    </row>
    <row r="951">
      <c r="A951" s="36" t="inlineStr">
        <is>
          <t>03511</t>
        </is>
      </c>
      <c r="B951" s="44" t="n">
        <v>46172</v>
      </c>
      <c r="C951" s="36" t="inlineStr">
        <is>
          <t>Southern Europe</t>
        </is>
      </c>
      <c r="D951" s="36" t="inlineStr">
        <is>
          <t>Spain</t>
        </is>
      </c>
      <c r="E951" s="36" t="inlineStr">
        <is>
          <t>Online Store</t>
        </is>
      </c>
      <c r="F951" s="36" t="inlineStr">
        <is>
          <t>Returning</t>
        </is>
      </c>
      <c r="G951" s="36" t="inlineStr">
        <is>
          <t>Travel</t>
        </is>
      </c>
      <c r="H951" s="36" t="inlineStr">
        <is>
          <t>Packing Cube Set</t>
        </is>
      </c>
      <c r="I951" s="36" t="n">
        <v>1</v>
      </c>
      <c r="J951" s="39" t="n">
        <v>47.19</v>
      </c>
      <c r="K951" s="45" t="n">
        <v>0</v>
      </c>
      <c r="L951" s="39" t="n">
        <v>18.54</v>
      </c>
      <c r="M951" s="39">
        <f>I951*J951*(1-K951)</f>
        <v/>
      </c>
      <c r="N951" s="39">
        <f>I951*L951</f>
        <v/>
      </c>
      <c r="O951" s="39">
        <f>M951-N951</f>
        <v/>
      </c>
      <c r="P951" s="38">
        <f>IF(M951=0,0,O951/M951)</f>
        <v/>
      </c>
      <c r="Q951" s="36">
        <f>YEAR(B951)</f>
        <v/>
      </c>
      <c r="R951" s="36">
        <f>"Q"&amp;ROUNDUP(MONTH(B951)/3,0)</f>
        <v/>
      </c>
      <c r="S951" s="36">
        <f>MONTH(B951)</f>
        <v/>
      </c>
      <c r="T951" s="36">
        <f>TEXT(B951,"mmm")</f>
        <v/>
      </c>
      <c r="U951" s="36">
        <f>IF(AND(OR(sel_Region="All",C951=sel_Region),OR(sel_Country="All",D951=sel_Country),OR(sel_Channel="All",E951=sel_Channel),OR(sel_Customer="All",F951=sel_Customer),OR(sel_Category="All",G951=sel_Category),OR(sel_Product="All",H951=sel_Product),AND(S951&gt;=m_From,S951&lt;=m_To)),1,0)</f>
        <v/>
      </c>
      <c r="V951" s="36">
        <f>IF(AND(OR(sel_Region="All",C951=sel_Region),OR(sel_Channel="All",E951=sel_Channel),OR(sel_Customer="All",F951=sel_Customer),OR(sel_Category="All",G951=sel_Category),OR(sel_Product="All",H951=sel_Product),AND(S951&gt;=m_From,S951&lt;=m_To)),1,0)</f>
        <v/>
      </c>
      <c r="W951" s="36">
        <f>IF(AND(OR(sel_Region="All",C951=sel_Region),OR(sel_Country="All",D951=sel_Country),OR(sel_Customer="All",F951=sel_Customer),OR(sel_Category="All",G951=sel_Category),OR(sel_Product="All",H951=sel_Product),AND(S951&gt;=m_From,S951&lt;=m_To)),1,0)</f>
        <v/>
      </c>
      <c r="X951" s="36">
        <f>IF(AND(OR(sel_Region="All",C951=sel_Region),OR(sel_Country="All",D951=sel_Country),OR(sel_Channel="All",E951=sel_Channel),OR(sel_Category="All",G951=sel_Category),OR(sel_Product="All",H951=sel_Product),AND(S951&gt;=m_From,S951&lt;=m_To)),1,0)</f>
        <v/>
      </c>
      <c r="Y951" s="36">
        <f>IF(AND(OR(sel_Region="All",C951=sel_Region),OR(sel_Country="All",D951=sel_Country),OR(sel_Channel="All",E951=sel_Channel),OR(sel_Customer="All",F951=sel_Customer),OR(sel_Product="All",H951=sel_Product),AND(S951&gt;=m_From,S951&lt;=m_To)),1,0)</f>
        <v/>
      </c>
      <c r="Z951" s="36">
        <f>IF(AND(OR(sel_Region="All",C951=sel_Region),OR(sel_Country="All",D951=sel_Country),OR(sel_Channel="All",E951=sel_Channel),OR(sel_Customer="All",F951=sel_Customer),OR(sel_Category="All",G951=sel_Category),AND(S951&gt;=m_From,S951&lt;=m_To)),1,0)</f>
        <v/>
      </c>
      <c r="AA951" s="36">
        <f>IF(AND(OR(sel_Region="All",C951=sel_Region),OR(sel_Country="All",D951=sel_Country),OR(sel_Channel="All",E951=sel_Channel),OR(sel_Customer="All",F951=sel_Customer),OR(sel_Category="All",G951=sel_Category),OR(sel_Product="All",H951=sel_Product)),1,0)</f>
        <v/>
      </c>
    </row>
    <row r="952">
      <c r="A952" s="36" t="inlineStr">
        <is>
          <t>04485</t>
        </is>
      </c>
      <c r="B952" s="44" t="n">
        <v>46172</v>
      </c>
      <c r="C952" s="36" t="inlineStr">
        <is>
          <t>Western Europe</t>
        </is>
      </c>
      <c r="D952" s="36" t="inlineStr">
        <is>
          <t>United Kingdom</t>
        </is>
      </c>
      <c r="E952" s="36" t="inlineStr">
        <is>
          <t>Online Store</t>
        </is>
      </c>
      <c r="F952" s="36" t="inlineStr">
        <is>
          <t>New</t>
        </is>
      </c>
      <c r="G952" s="36" t="inlineStr">
        <is>
          <t>Fitness</t>
        </is>
      </c>
      <c r="H952" s="36" t="inlineStr">
        <is>
          <t>Weighted Vest</t>
        </is>
      </c>
      <c r="I952" s="36" t="n">
        <v>1</v>
      </c>
      <c r="J952" s="39" t="n">
        <v>124.14</v>
      </c>
      <c r="K952" s="45" t="n">
        <v>0</v>
      </c>
      <c r="L952" s="39" t="n">
        <v>70.90000000000001</v>
      </c>
      <c r="M952" s="39">
        <f>I952*J952*(1-K952)</f>
        <v/>
      </c>
      <c r="N952" s="39">
        <f>I952*L952</f>
        <v/>
      </c>
      <c r="O952" s="39">
        <f>M952-N952</f>
        <v/>
      </c>
      <c r="P952" s="38">
        <f>IF(M952=0,0,O952/M952)</f>
        <v/>
      </c>
      <c r="Q952" s="36">
        <f>YEAR(B952)</f>
        <v/>
      </c>
      <c r="R952" s="36">
        <f>"Q"&amp;ROUNDUP(MONTH(B952)/3,0)</f>
        <v/>
      </c>
      <c r="S952" s="36">
        <f>MONTH(B952)</f>
        <v/>
      </c>
      <c r="T952" s="36">
        <f>TEXT(B952,"mmm")</f>
        <v/>
      </c>
      <c r="U952" s="36">
        <f>IF(AND(OR(sel_Region="All",C952=sel_Region),OR(sel_Country="All",D952=sel_Country),OR(sel_Channel="All",E952=sel_Channel),OR(sel_Customer="All",F952=sel_Customer),OR(sel_Category="All",G952=sel_Category),OR(sel_Product="All",H952=sel_Product),AND(S952&gt;=m_From,S952&lt;=m_To)),1,0)</f>
        <v/>
      </c>
      <c r="V952" s="36">
        <f>IF(AND(OR(sel_Region="All",C952=sel_Region),OR(sel_Channel="All",E952=sel_Channel),OR(sel_Customer="All",F952=sel_Customer),OR(sel_Category="All",G952=sel_Category),OR(sel_Product="All",H952=sel_Product),AND(S952&gt;=m_From,S952&lt;=m_To)),1,0)</f>
        <v/>
      </c>
      <c r="W952" s="36">
        <f>IF(AND(OR(sel_Region="All",C952=sel_Region),OR(sel_Country="All",D952=sel_Country),OR(sel_Customer="All",F952=sel_Customer),OR(sel_Category="All",G952=sel_Category),OR(sel_Product="All",H952=sel_Product),AND(S952&gt;=m_From,S952&lt;=m_To)),1,0)</f>
        <v/>
      </c>
      <c r="X952" s="36">
        <f>IF(AND(OR(sel_Region="All",C952=sel_Region),OR(sel_Country="All",D952=sel_Country),OR(sel_Channel="All",E952=sel_Channel),OR(sel_Category="All",G952=sel_Category),OR(sel_Product="All",H952=sel_Product),AND(S952&gt;=m_From,S952&lt;=m_To)),1,0)</f>
        <v/>
      </c>
      <c r="Y952" s="36">
        <f>IF(AND(OR(sel_Region="All",C952=sel_Region),OR(sel_Country="All",D952=sel_Country),OR(sel_Channel="All",E952=sel_Channel),OR(sel_Customer="All",F952=sel_Customer),OR(sel_Product="All",H952=sel_Product),AND(S952&gt;=m_From,S952&lt;=m_To)),1,0)</f>
        <v/>
      </c>
      <c r="Z952" s="36">
        <f>IF(AND(OR(sel_Region="All",C952=sel_Region),OR(sel_Country="All",D952=sel_Country),OR(sel_Channel="All",E952=sel_Channel),OR(sel_Customer="All",F952=sel_Customer),OR(sel_Category="All",G952=sel_Category),AND(S952&gt;=m_From,S952&lt;=m_To)),1,0)</f>
        <v/>
      </c>
      <c r="AA952" s="36">
        <f>IF(AND(OR(sel_Region="All",C952=sel_Region),OR(sel_Country="All",D952=sel_Country),OR(sel_Channel="All",E952=sel_Channel),OR(sel_Customer="All",F952=sel_Customer),OR(sel_Category="All",G952=sel_Category),OR(sel_Product="All",H952=sel_Product)),1,0)</f>
        <v/>
      </c>
    </row>
    <row r="953">
      <c r="A953" s="36" t="inlineStr">
        <is>
          <t>00447</t>
        </is>
      </c>
      <c r="B953" s="44" t="n">
        <v>46173</v>
      </c>
      <c r="C953" s="36" t="inlineStr">
        <is>
          <t>Western Europe</t>
        </is>
      </c>
      <c r="D953" s="36" t="inlineStr">
        <is>
          <t>United Kingdom</t>
        </is>
      </c>
      <c r="E953" s="36" t="inlineStr">
        <is>
          <t>Online Store</t>
        </is>
      </c>
      <c r="F953" s="36" t="inlineStr">
        <is>
          <t>Returning</t>
        </is>
      </c>
      <c r="G953" s="36" t="inlineStr">
        <is>
          <t>Travel</t>
        </is>
      </c>
      <c r="H953" s="36" t="inlineStr">
        <is>
          <t>Carry-On Duffel</t>
        </is>
      </c>
      <c r="I953" s="36" t="n">
        <v>1</v>
      </c>
      <c r="J953" s="39" t="n">
        <v>131.95</v>
      </c>
      <c r="K953" s="45" t="n">
        <v>0</v>
      </c>
      <c r="L953" s="39" t="n">
        <v>65.17</v>
      </c>
      <c r="M953" s="39">
        <f>I953*J953*(1-K953)</f>
        <v/>
      </c>
      <c r="N953" s="39">
        <f>I953*L953</f>
        <v/>
      </c>
      <c r="O953" s="39">
        <f>M953-N953</f>
        <v/>
      </c>
      <c r="P953" s="38">
        <f>IF(M953=0,0,O953/M953)</f>
        <v/>
      </c>
      <c r="Q953" s="36">
        <f>YEAR(B953)</f>
        <v/>
      </c>
      <c r="R953" s="36">
        <f>"Q"&amp;ROUNDUP(MONTH(B953)/3,0)</f>
        <v/>
      </c>
      <c r="S953" s="36">
        <f>MONTH(B953)</f>
        <v/>
      </c>
      <c r="T953" s="36">
        <f>TEXT(B953,"mmm")</f>
        <v/>
      </c>
      <c r="U953" s="36">
        <f>IF(AND(OR(sel_Region="All",C953=sel_Region),OR(sel_Country="All",D953=sel_Country),OR(sel_Channel="All",E953=sel_Channel),OR(sel_Customer="All",F953=sel_Customer),OR(sel_Category="All",G953=sel_Category),OR(sel_Product="All",H953=sel_Product),AND(S953&gt;=m_From,S953&lt;=m_To)),1,0)</f>
        <v/>
      </c>
      <c r="V953" s="36">
        <f>IF(AND(OR(sel_Region="All",C953=sel_Region),OR(sel_Channel="All",E953=sel_Channel),OR(sel_Customer="All",F953=sel_Customer),OR(sel_Category="All",G953=sel_Category),OR(sel_Product="All",H953=sel_Product),AND(S953&gt;=m_From,S953&lt;=m_To)),1,0)</f>
        <v/>
      </c>
      <c r="W953" s="36">
        <f>IF(AND(OR(sel_Region="All",C953=sel_Region),OR(sel_Country="All",D953=sel_Country),OR(sel_Customer="All",F953=sel_Customer),OR(sel_Category="All",G953=sel_Category),OR(sel_Product="All",H953=sel_Product),AND(S953&gt;=m_From,S953&lt;=m_To)),1,0)</f>
        <v/>
      </c>
      <c r="X953" s="36">
        <f>IF(AND(OR(sel_Region="All",C953=sel_Region),OR(sel_Country="All",D953=sel_Country),OR(sel_Channel="All",E953=sel_Channel),OR(sel_Category="All",G953=sel_Category),OR(sel_Product="All",H953=sel_Product),AND(S953&gt;=m_From,S953&lt;=m_To)),1,0)</f>
        <v/>
      </c>
      <c r="Y953" s="36">
        <f>IF(AND(OR(sel_Region="All",C953=sel_Region),OR(sel_Country="All",D953=sel_Country),OR(sel_Channel="All",E953=sel_Channel),OR(sel_Customer="All",F953=sel_Customer),OR(sel_Product="All",H953=sel_Product),AND(S953&gt;=m_From,S953&lt;=m_To)),1,0)</f>
        <v/>
      </c>
      <c r="Z953" s="36">
        <f>IF(AND(OR(sel_Region="All",C953=sel_Region),OR(sel_Country="All",D953=sel_Country),OR(sel_Channel="All",E953=sel_Channel),OR(sel_Customer="All",F953=sel_Customer),OR(sel_Category="All",G953=sel_Category),AND(S953&gt;=m_From,S953&lt;=m_To)),1,0)</f>
        <v/>
      </c>
      <c r="AA953" s="36">
        <f>IF(AND(OR(sel_Region="All",C953=sel_Region),OR(sel_Country="All",D953=sel_Country),OR(sel_Channel="All",E953=sel_Channel),OR(sel_Customer="All",F953=sel_Customer),OR(sel_Category="All",G953=sel_Category),OR(sel_Product="All",H953=sel_Product)),1,0)</f>
        <v/>
      </c>
    </row>
    <row r="954">
      <c r="A954" s="36" t="inlineStr">
        <is>
          <t>01208</t>
        </is>
      </c>
      <c r="B954" s="44" t="n">
        <v>46173</v>
      </c>
      <c r="C954" s="36" t="inlineStr">
        <is>
          <t>Western Europe</t>
        </is>
      </c>
      <c r="D954" s="36" t="inlineStr">
        <is>
          <t>United Kingdom</t>
        </is>
      </c>
      <c r="E954" s="36" t="inlineStr">
        <is>
          <t>Marketplace</t>
        </is>
      </c>
      <c r="F954" s="36" t="inlineStr">
        <is>
          <t>New</t>
        </is>
      </c>
      <c r="G954" s="36" t="inlineStr">
        <is>
          <t>Cycling</t>
        </is>
      </c>
      <c r="H954" s="36" t="inlineStr">
        <is>
          <t>Cycling Pack 12L</t>
        </is>
      </c>
      <c r="I954" s="36" t="n">
        <v>1</v>
      </c>
      <c r="J954" s="39" t="n">
        <v>102.24</v>
      </c>
      <c r="K954" s="45" t="n">
        <v>0</v>
      </c>
      <c r="L954" s="39" t="n">
        <v>50.75</v>
      </c>
      <c r="M954" s="39">
        <f>I954*J954*(1-K954)</f>
        <v/>
      </c>
      <c r="N954" s="39">
        <f>I954*L954</f>
        <v/>
      </c>
      <c r="O954" s="39">
        <f>M954-N954</f>
        <v/>
      </c>
      <c r="P954" s="38">
        <f>IF(M954=0,0,O954/M954)</f>
        <v/>
      </c>
      <c r="Q954" s="36">
        <f>YEAR(B954)</f>
        <v/>
      </c>
      <c r="R954" s="36">
        <f>"Q"&amp;ROUNDUP(MONTH(B954)/3,0)</f>
        <v/>
      </c>
      <c r="S954" s="36">
        <f>MONTH(B954)</f>
        <v/>
      </c>
      <c r="T954" s="36">
        <f>TEXT(B954,"mmm")</f>
        <v/>
      </c>
      <c r="U954" s="36">
        <f>IF(AND(OR(sel_Region="All",C954=sel_Region),OR(sel_Country="All",D954=sel_Country),OR(sel_Channel="All",E954=sel_Channel),OR(sel_Customer="All",F954=sel_Customer),OR(sel_Category="All",G954=sel_Category),OR(sel_Product="All",H954=sel_Product),AND(S954&gt;=m_From,S954&lt;=m_To)),1,0)</f>
        <v/>
      </c>
      <c r="V954" s="36">
        <f>IF(AND(OR(sel_Region="All",C954=sel_Region),OR(sel_Channel="All",E954=sel_Channel),OR(sel_Customer="All",F954=sel_Customer),OR(sel_Category="All",G954=sel_Category),OR(sel_Product="All",H954=sel_Product),AND(S954&gt;=m_From,S954&lt;=m_To)),1,0)</f>
        <v/>
      </c>
      <c r="W954" s="36">
        <f>IF(AND(OR(sel_Region="All",C954=sel_Region),OR(sel_Country="All",D954=sel_Country),OR(sel_Customer="All",F954=sel_Customer),OR(sel_Category="All",G954=sel_Category),OR(sel_Product="All",H954=sel_Product),AND(S954&gt;=m_From,S954&lt;=m_To)),1,0)</f>
        <v/>
      </c>
      <c r="X954" s="36">
        <f>IF(AND(OR(sel_Region="All",C954=sel_Region),OR(sel_Country="All",D954=sel_Country),OR(sel_Channel="All",E954=sel_Channel),OR(sel_Category="All",G954=sel_Category),OR(sel_Product="All",H954=sel_Product),AND(S954&gt;=m_From,S954&lt;=m_To)),1,0)</f>
        <v/>
      </c>
      <c r="Y954" s="36">
        <f>IF(AND(OR(sel_Region="All",C954=sel_Region),OR(sel_Country="All",D954=sel_Country),OR(sel_Channel="All",E954=sel_Channel),OR(sel_Customer="All",F954=sel_Customer),OR(sel_Product="All",H954=sel_Product),AND(S954&gt;=m_From,S954&lt;=m_To)),1,0)</f>
        <v/>
      </c>
      <c r="Z954" s="36">
        <f>IF(AND(OR(sel_Region="All",C954=sel_Region),OR(sel_Country="All",D954=sel_Country),OR(sel_Channel="All",E954=sel_Channel),OR(sel_Customer="All",F954=sel_Customer),OR(sel_Category="All",G954=sel_Category),AND(S954&gt;=m_From,S954&lt;=m_To)),1,0)</f>
        <v/>
      </c>
      <c r="AA954" s="36">
        <f>IF(AND(OR(sel_Region="All",C954=sel_Region),OR(sel_Country="All",D954=sel_Country),OR(sel_Channel="All",E954=sel_Channel),OR(sel_Customer="All",F954=sel_Customer),OR(sel_Category="All",G954=sel_Category),OR(sel_Product="All",H954=sel_Product)),1,0)</f>
        <v/>
      </c>
    </row>
    <row r="955">
      <c r="A955" s="36" t="inlineStr">
        <is>
          <t>01355</t>
        </is>
      </c>
      <c r="B955" s="44" t="n">
        <v>46173</v>
      </c>
      <c r="C955" s="36" t="inlineStr">
        <is>
          <t>Western Europe</t>
        </is>
      </c>
      <c r="D955" s="36" t="inlineStr">
        <is>
          <t>France</t>
        </is>
      </c>
      <c r="E955" s="36" t="inlineStr">
        <is>
          <t>Marketplace</t>
        </is>
      </c>
      <c r="F955" s="36" t="inlineStr">
        <is>
          <t>New</t>
        </is>
      </c>
      <c r="G955" s="36" t="inlineStr">
        <is>
          <t>Hiking</t>
        </is>
      </c>
      <c r="H955" s="36" t="inlineStr">
        <is>
          <t>Summit Backpack 45L</t>
        </is>
      </c>
      <c r="I955" s="36" t="n">
        <v>2</v>
      </c>
      <c r="J955" s="39" t="n">
        <v>152.07</v>
      </c>
      <c r="K955" s="45" t="n">
        <v>0</v>
      </c>
      <c r="L955" s="39" t="n">
        <v>76.84999999999999</v>
      </c>
      <c r="M955" s="39">
        <f>I955*J955*(1-K955)</f>
        <v/>
      </c>
      <c r="N955" s="39">
        <f>I955*L955</f>
        <v/>
      </c>
      <c r="O955" s="39">
        <f>M955-N955</f>
        <v/>
      </c>
      <c r="P955" s="38">
        <f>IF(M955=0,0,O955/M955)</f>
        <v/>
      </c>
      <c r="Q955" s="36">
        <f>YEAR(B955)</f>
        <v/>
      </c>
      <c r="R955" s="36">
        <f>"Q"&amp;ROUNDUP(MONTH(B955)/3,0)</f>
        <v/>
      </c>
      <c r="S955" s="36">
        <f>MONTH(B955)</f>
        <v/>
      </c>
      <c r="T955" s="36">
        <f>TEXT(B955,"mmm")</f>
        <v/>
      </c>
      <c r="U955" s="36">
        <f>IF(AND(OR(sel_Region="All",C955=sel_Region),OR(sel_Country="All",D955=sel_Country),OR(sel_Channel="All",E955=sel_Channel),OR(sel_Customer="All",F955=sel_Customer),OR(sel_Category="All",G955=sel_Category),OR(sel_Product="All",H955=sel_Product),AND(S955&gt;=m_From,S955&lt;=m_To)),1,0)</f>
        <v/>
      </c>
      <c r="V955" s="36">
        <f>IF(AND(OR(sel_Region="All",C955=sel_Region),OR(sel_Channel="All",E955=sel_Channel),OR(sel_Customer="All",F955=sel_Customer),OR(sel_Category="All",G955=sel_Category),OR(sel_Product="All",H955=sel_Product),AND(S955&gt;=m_From,S955&lt;=m_To)),1,0)</f>
        <v/>
      </c>
      <c r="W955" s="36">
        <f>IF(AND(OR(sel_Region="All",C955=sel_Region),OR(sel_Country="All",D955=sel_Country),OR(sel_Customer="All",F955=sel_Customer),OR(sel_Category="All",G955=sel_Category),OR(sel_Product="All",H955=sel_Product),AND(S955&gt;=m_From,S955&lt;=m_To)),1,0)</f>
        <v/>
      </c>
      <c r="X955" s="36">
        <f>IF(AND(OR(sel_Region="All",C955=sel_Region),OR(sel_Country="All",D955=sel_Country),OR(sel_Channel="All",E955=sel_Channel),OR(sel_Category="All",G955=sel_Category),OR(sel_Product="All",H955=sel_Product),AND(S955&gt;=m_From,S955&lt;=m_To)),1,0)</f>
        <v/>
      </c>
      <c r="Y955" s="36">
        <f>IF(AND(OR(sel_Region="All",C955=sel_Region),OR(sel_Country="All",D955=sel_Country),OR(sel_Channel="All",E955=sel_Channel),OR(sel_Customer="All",F955=sel_Customer),OR(sel_Product="All",H955=sel_Product),AND(S955&gt;=m_From,S955&lt;=m_To)),1,0)</f>
        <v/>
      </c>
      <c r="Z955" s="36">
        <f>IF(AND(OR(sel_Region="All",C955=sel_Region),OR(sel_Country="All",D955=sel_Country),OR(sel_Channel="All",E955=sel_Channel),OR(sel_Customer="All",F955=sel_Customer),OR(sel_Category="All",G955=sel_Category),AND(S955&gt;=m_From,S955&lt;=m_To)),1,0)</f>
        <v/>
      </c>
      <c r="AA955" s="36">
        <f>IF(AND(OR(sel_Region="All",C955=sel_Region),OR(sel_Country="All",D955=sel_Country),OR(sel_Channel="All",E955=sel_Channel),OR(sel_Customer="All",F955=sel_Customer),OR(sel_Category="All",G955=sel_Category),OR(sel_Product="All",H955=sel_Product)),1,0)</f>
        <v/>
      </c>
    </row>
    <row r="956">
      <c r="A956" s="36" t="inlineStr">
        <is>
          <t>01474</t>
        </is>
      </c>
      <c r="B956" s="44" t="n">
        <v>46173</v>
      </c>
      <c r="C956" s="36" t="inlineStr">
        <is>
          <t>Northern Europe</t>
        </is>
      </c>
      <c r="D956" s="36" t="inlineStr">
        <is>
          <t>Ireland</t>
        </is>
      </c>
      <c r="E956" s="36" t="inlineStr">
        <is>
          <t>Online Store</t>
        </is>
      </c>
      <c r="F956" s="36" t="inlineStr">
        <is>
          <t>New</t>
        </is>
      </c>
      <c r="G956" s="36" t="inlineStr">
        <is>
          <t>Camping</t>
        </is>
      </c>
      <c r="H956" s="36" t="inlineStr">
        <is>
          <t>Compact Sleeping Bag</t>
        </is>
      </c>
      <c r="I956" s="36" t="n">
        <v>2</v>
      </c>
      <c r="J956" s="39" t="n">
        <v>123.34</v>
      </c>
      <c r="K956" s="45" t="n">
        <v>0.05</v>
      </c>
      <c r="L956" s="39" t="n">
        <v>58.96</v>
      </c>
      <c r="M956" s="39">
        <f>I956*J956*(1-K956)</f>
        <v/>
      </c>
      <c r="N956" s="39">
        <f>I956*L956</f>
        <v/>
      </c>
      <c r="O956" s="39">
        <f>M956-N956</f>
        <v/>
      </c>
      <c r="P956" s="38">
        <f>IF(M956=0,0,O956/M956)</f>
        <v/>
      </c>
      <c r="Q956" s="36">
        <f>YEAR(B956)</f>
        <v/>
      </c>
      <c r="R956" s="36">
        <f>"Q"&amp;ROUNDUP(MONTH(B956)/3,0)</f>
        <v/>
      </c>
      <c r="S956" s="36">
        <f>MONTH(B956)</f>
        <v/>
      </c>
      <c r="T956" s="36">
        <f>TEXT(B956,"mmm")</f>
        <v/>
      </c>
      <c r="U956" s="36">
        <f>IF(AND(OR(sel_Region="All",C956=sel_Region),OR(sel_Country="All",D956=sel_Country),OR(sel_Channel="All",E956=sel_Channel),OR(sel_Customer="All",F956=sel_Customer),OR(sel_Category="All",G956=sel_Category),OR(sel_Product="All",H956=sel_Product),AND(S956&gt;=m_From,S956&lt;=m_To)),1,0)</f>
        <v/>
      </c>
      <c r="V956" s="36">
        <f>IF(AND(OR(sel_Region="All",C956=sel_Region),OR(sel_Channel="All",E956=sel_Channel),OR(sel_Customer="All",F956=sel_Customer),OR(sel_Category="All",G956=sel_Category),OR(sel_Product="All",H956=sel_Product),AND(S956&gt;=m_From,S956&lt;=m_To)),1,0)</f>
        <v/>
      </c>
      <c r="W956" s="36">
        <f>IF(AND(OR(sel_Region="All",C956=sel_Region),OR(sel_Country="All",D956=sel_Country),OR(sel_Customer="All",F956=sel_Customer),OR(sel_Category="All",G956=sel_Category),OR(sel_Product="All",H956=sel_Product),AND(S956&gt;=m_From,S956&lt;=m_To)),1,0)</f>
        <v/>
      </c>
      <c r="X956" s="36">
        <f>IF(AND(OR(sel_Region="All",C956=sel_Region),OR(sel_Country="All",D956=sel_Country),OR(sel_Channel="All",E956=sel_Channel),OR(sel_Category="All",G956=sel_Category),OR(sel_Product="All",H956=sel_Product),AND(S956&gt;=m_From,S956&lt;=m_To)),1,0)</f>
        <v/>
      </c>
      <c r="Y956" s="36">
        <f>IF(AND(OR(sel_Region="All",C956=sel_Region),OR(sel_Country="All",D956=sel_Country),OR(sel_Channel="All",E956=sel_Channel),OR(sel_Customer="All",F956=sel_Customer),OR(sel_Product="All",H956=sel_Product),AND(S956&gt;=m_From,S956&lt;=m_To)),1,0)</f>
        <v/>
      </c>
      <c r="Z956" s="36">
        <f>IF(AND(OR(sel_Region="All",C956=sel_Region),OR(sel_Country="All",D956=sel_Country),OR(sel_Channel="All",E956=sel_Channel),OR(sel_Customer="All",F956=sel_Customer),OR(sel_Category="All",G956=sel_Category),AND(S956&gt;=m_From,S956&lt;=m_To)),1,0)</f>
        <v/>
      </c>
      <c r="AA956" s="36">
        <f>IF(AND(OR(sel_Region="All",C956=sel_Region),OR(sel_Country="All",D956=sel_Country),OR(sel_Channel="All",E956=sel_Channel),OR(sel_Customer="All",F956=sel_Customer),OR(sel_Category="All",G956=sel_Category),OR(sel_Product="All",H956=sel_Product)),1,0)</f>
        <v/>
      </c>
    </row>
    <row r="957">
      <c r="A957" s="36" t="inlineStr">
        <is>
          <t>01625</t>
        </is>
      </c>
      <c r="B957" s="44" t="n">
        <v>46173</v>
      </c>
      <c r="C957" s="36" t="inlineStr">
        <is>
          <t>Northern Europe</t>
        </is>
      </c>
      <c r="D957" s="36" t="inlineStr">
        <is>
          <t>Sweden</t>
        </is>
      </c>
      <c r="E957" s="36" t="inlineStr">
        <is>
          <t>Retail Partners</t>
        </is>
      </c>
      <c r="F957" s="36" t="inlineStr">
        <is>
          <t>Returning</t>
        </is>
      </c>
      <c r="G957" s="36" t="inlineStr">
        <is>
          <t>Hiking</t>
        </is>
      </c>
      <c r="H957" s="36" t="inlineStr">
        <is>
          <t>Summit Backpack 45L</t>
        </is>
      </c>
      <c r="I957" s="36" t="n">
        <v>1</v>
      </c>
      <c r="J957" s="39" t="n">
        <v>155.81</v>
      </c>
      <c r="K957" s="45" t="n">
        <v>0</v>
      </c>
      <c r="L957" s="39" t="n">
        <v>80.31</v>
      </c>
      <c r="M957" s="39">
        <f>I957*J957*(1-K957)</f>
        <v/>
      </c>
      <c r="N957" s="39">
        <f>I957*L957</f>
        <v/>
      </c>
      <c r="O957" s="39">
        <f>M957-N957</f>
        <v/>
      </c>
      <c r="P957" s="38">
        <f>IF(M957=0,0,O957/M957)</f>
        <v/>
      </c>
      <c r="Q957" s="36">
        <f>YEAR(B957)</f>
        <v/>
      </c>
      <c r="R957" s="36">
        <f>"Q"&amp;ROUNDUP(MONTH(B957)/3,0)</f>
        <v/>
      </c>
      <c r="S957" s="36">
        <f>MONTH(B957)</f>
        <v/>
      </c>
      <c r="T957" s="36">
        <f>TEXT(B957,"mmm")</f>
        <v/>
      </c>
      <c r="U957" s="36">
        <f>IF(AND(OR(sel_Region="All",C957=sel_Region),OR(sel_Country="All",D957=sel_Country),OR(sel_Channel="All",E957=sel_Channel),OR(sel_Customer="All",F957=sel_Customer),OR(sel_Category="All",G957=sel_Category),OR(sel_Product="All",H957=sel_Product),AND(S957&gt;=m_From,S957&lt;=m_To)),1,0)</f>
        <v/>
      </c>
      <c r="V957" s="36">
        <f>IF(AND(OR(sel_Region="All",C957=sel_Region),OR(sel_Channel="All",E957=sel_Channel),OR(sel_Customer="All",F957=sel_Customer),OR(sel_Category="All",G957=sel_Category),OR(sel_Product="All",H957=sel_Product),AND(S957&gt;=m_From,S957&lt;=m_To)),1,0)</f>
        <v/>
      </c>
      <c r="W957" s="36">
        <f>IF(AND(OR(sel_Region="All",C957=sel_Region),OR(sel_Country="All",D957=sel_Country),OR(sel_Customer="All",F957=sel_Customer),OR(sel_Category="All",G957=sel_Category),OR(sel_Product="All",H957=sel_Product),AND(S957&gt;=m_From,S957&lt;=m_To)),1,0)</f>
        <v/>
      </c>
      <c r="X957" s="36">
        <f>IF(AND(OR(sel_Region="All",C957=sel_Region),OR(sel_Country="All",D957=sel_Country),OR(sel_Channel="All",E957=sel_Channel),OR(sel_Category="All",G957=sel_Category),OR(sel_Product="All",H957=sel_Product),AND(S957&gt;=m_From,S957&lt;=m_To)),1,0)</f>
        <v/>
      </c>
      <c r="Y957" s="36">
        <f>IF(AND(OR(sel_Region="All",C957=sel_Region),OR(sel_Country="All",D957=sel_Country),OR(sel_Channel="All",E957=sel_Channel),OR(sel_Customer="All",F957=sel_Customer),OR(sel_Product="All",H957=sel_Product),AND(S957&gt;=m_From,S957&lt;=m_To)),1,0)</f>
        <v/>
      </c>
      <c r="Z957" s="36">
        <f>IF(AND(OR(sel_Region="All",C957=sel_Region),OR(sel_Country="All",D957=sel_Country),OR(sel_Channel="All",E957=sel_Channel),OR(sel_Customer="All",F957=sel_Customer),OR(sel_Category="All",G957=sel_Category),AND(S957&gt;=m_From,S957&lt;=m_To)),1,0)</f>
        <v/>
      </c>
      <c r="AA957" s="36">
        <f>IF(AND(OR(sel_Region="All",C957=sel_Region),OR(sel_Country="All",D957=sel_Country),OR(sel_Channel="All",E957=sel_Channel),OR(sel_Customer="All",F957=sel_Customer),OR(sel_Category="All",G957=sel_Category),OR(sel_Product="All",H957=sel_Product)),1,0)</f>
        <v/>
      </c>
    </row>
    <row r="958">
      <c r="A958" s="36" t="inlineStr">
        <is>
          <t>01877</t>
        </is>
      </c>
      <c r="B958" s="44" t="n">
        <v>46173</v>
      </c>
      <c r="C958" s="36" t="inlineStr">
        <is>
          <t>Northern Europe</t>
        </is>
      </c>
      <c r="D958" s="36" t="inlineStr">
        <is>
          <t>Norway</t>
        </is>
      </c>
      <c r="E958" s="36" t="inlineStr">
        <is>
          <t>Online Store</t>
        </is>
      </c>
      <c r="F958" s="36" t="inlineStr">
        <is>
          <t>Returning</t>
        </is>
      </c>
      <c r="G958" s="36" t="inlineStr">
        <is>
          <t>Travel</t>
        </is>
      </c>
      <c r="H958" s="36" t="inlineStr">
        <is>
          <t>Travel Backpack 35L</t>
        </is>
      </c>
      <c r="I958" s="36" t="n">
        <v>1</v>
      </c>
      <c r="J958" s="39" t="n">
        <v>163.19</v>
      </c>
      <c r="K958" s="45" t="n">
        <v>0.05</v>
      </c>
      <c r="L958" s="39" t="n">
        <v>87.95</v>
      </c>
      <c r="M958" s="39">
        <f>I958*J958*(1-K958)</f>
        <v/>
      </c>
      <c r="N958" s="39">
        <f>I958*L958</f>
        <v/>
      </c>
      <c r="O958" s="39">
        <f>M958-N958</f>
        <v/>
      </c>
      <c r="P958" s="38">
        <f>IF(M958=0,0,O958/M958)</f>
        <v/>
      </c>
      <c r="Q958" s="36">
        <f>YEAR(B958)</f>
        <v/>
      </c>
      <c r="R958" s="36">
        <f>"Q"&amp;ROUNDUP(MONTH(B958)/3,0)</f>
        <v/>
      </c>
      <c r="S958" s="36">
        <f>MONTH(B958)</f>
        <v/>
      </c>
      <c r="T958" s="36">
        <f>TEXT(B958,"mmm")</f>
        <v/>
      </c>
      <c r="U958" s="36">
        <f>IF(AND(OR(sel_Region="All",C958=sel_Region),OR(sel_Country="All",D958=sel_Country),OR(sel_Channel="All",E958=sel_Channel),OR(sel_Customer="All",F958=sel_Customer),OR(sel_Category="All",G958=sel_Category),OR(sel_Product="All",H958=sel_Product),AND(S958&gt;=m_From,S958&lt;=m_To)),1,0)</f>
        <v/>
      </c>
      <c r="V958" s="36">
        <f>IF(AND(OR(sel_Region="All",C958=sel_Region),OR(sel_Channel="All",E958=sel_Channel),OR(sel_Customer="All",F958=sel_Customer),OR(sel_Category="All",G958=sel_Category),OR(sel_Product="All",H958=sel_Product),AND(S958&gt;=m_From,S958&lt;=m_To)),1,0)</f>
        <v/>
      </c>
      <c r="W958" s="36">
        <f>IF(AND(OR(sel_Region="All",C958=sel_Region),OR(sel_Country="All",D958=sel_Country),OR(sel_Customer="All",F958=sel_Customer),OR(sel_Category="All",G958=sel_Category),OR(sel_Product="All",H958=sel_Product),AND(S958&gt;=m_From,S958&lt;=m_To)),1,0)</f>
        <v/>
      </c>
      <c r="X958" s="36">
        <f>IF(AND(OR(sel_Region="All",C958=sel_Region),OR(sel_Country="All",D958=sel_Country),OR(sel_Channel="All",E958=sel_Channel),OR(sel_Category="All",G958=sel_Category),OR(sel_Product="All",H958=sel_Product),AND(S958&gt;=m_From,S958&lt;=m_To)),1,0)</f>
        <v/>
      </c>
      <c r="Y958" s="36">
        <f>IF(AND(OR(sel_Region="All",C958=sel_Region),OR(sel_Country="All",D958=sel_Country),OR(sel_Channel="All",E958=sel_Channel),OR(sel_Customer="All",F958=sel_Customer),OR(sel_Product="All",H958=sel_Product),AND(S958&gt;=m_From,S958&lt;=m_To)),1,0)</f>
        <v/>
      </c>
      <c r="Z958" s="36">
        <f>IF(AND(OR(sel_Region="All",C958=sel_Region),OR(sel_Country="All",D958=sel_Country),OR(sel_Channel="All",E958=sel_Channel),OR(sel_Customer="All",F958=sel_Customer),OR(sel_Category="All",G958=sel_Category),AND(S958&gt;=m_From,S958&lt;=m_To)),1,0)</f>
        <v/>
      </c>
      <c r="AA958" s="36">
        <f>IF(AND(OR(sel_Region="All",C958=sel_Region),OR(sel_Country="All",D958=sel_Country),OR(sel_Channel="All",E958=sel_Channel),OR(sel_Customer="All",F958=sel_Customer),OR(sel_Category="All",G958=sel_Category),OR(sel_Product="All",H958=sel_Product)),1,0)</f>
        <v/>
      </c>
    </row>
    <row r="959">
      <c r="A959" s="36" t="inlineStr">
        <is>
          <t>01978</t>
        </is>
      </c>
      <c r="B959" s="44" t="n">
        <v>46173</v>
      </c>
      <c r="C959" s="36" t="inlineStr">
        <is>
          <t>Central Europe</t>
        </is>
      </c>
      <c r="D959" s="36" t="inlineStr">
        <is>
          <t>Germany</t>
        </is>
      </c>
      <c r="E959" s="36" t="inlineStr">
        <is>
          <t>Online Store</t>
        </is>
      </c>
      <c r="F959" s="36" t="inlineStr">
        <is>
          <t>Returning</t>
        </is>
      </c>
      <c r="G959" s="36" t="inlineStr">
        <is>
          <t>Hiking</t>
        </is>
      </c>
      <c r="H959" s="36" t="inlineStr">
        <is>
          <t>Trail Boots</t>
        </is>
      </c>
      <c r="I959" s="36" t="n">
        <v>1</v>
      </c>
      <c r="J959" s="39" t="n">
        <v>147.3</v>
      </c>
      <c r="K959" s="45" t="n">
        <v>0.05</v>
      </c>
      <c r="L959" s="39" t="n">
        <v>81.51000000000001</v>
      </c>
      <c r="M959" s="39">
        <f>I959*J959*(1-K959)</f>
        <v/>
      </c>
      <c r="N959" s="39">
        <f>I959*L959</f>
        <v/>
      </c>
      <c r="O959" s="39">
        <f>M959-N959</f>
        <v/>
      </c>
      <c r="P959" s="38">
        <f>IF(M959=0,0,O959/M959)</f>
        <v/>
      </c>
      <c r="Q959" s="36">
        <f>YEAR(B959)</f>
        <v/>
      </c>
      <c r="R959" s="36">
        <f>"Q"&amp;ROUNDUP(MONTH(B959)/3,0)</f>
        <v/>
      </c>
      <c r="S959" s="36">
        <f>MONTH(B959)</f>
        <v/>
      </c>
      <c r="T959" s="36">
        <f>TEXT(B959,"mmm")</f>
        <v/>
      </c>
      <c r="U959" s="36">
        <f>IF(AND(OR(sel_Region="All",C959=sel_Region),OR(sel_Country="All",D959=sel_Country),OR(sel_Channel="All",E959=sel_Channel),OR(sel_Customer="All",F959=sel_Customer),OR(sel_Category="All",G959=sel_Category),OR(sel_Product="All",H959=sel_Product),AND(S959&gt;=m_From,S959&lt;=m_To)),1,0)</f>
        <v/>
      </c>
      <c r="V959" s="36">
        <f>IF(AND(OR(sel_Region="All",C959=sel_Region),OR(sel_Channel="All",E959=sel_Channel),OR(sel_Customer="All",F959=sel_Customer),OR(sel_Category="All",G959=sel_Category),OR(sel_Product="All",H959=sel_Product),AND(S959&gt;=m_From,S959&lt;=m_To)),1,0)</f>
        <v/>
      </c>
      <c r="W959" s="36">
        <f>IF(AND(OR(sel_Region="All",C959=sel_Region),OR(sel_Country="All",D959=sel_Country),OR(sel_Customer="All",F959=sel_Customer),OR(sel_Category="All",G959=sel_Category),OR(sel_Product="All",H959=sel_Product),AND(S959&gt;=m_From,S959&lt;=m_To)),1,0)</f>
        <v/>
      </c>
      <c r="X959" s="36">
        <f>IF(AND(OR(sel_Region="All",C959=sel_Region),OR(sel_Country="All",D959=sel_Country),OR(sel_Channel="All",E959=sel_Channel),OR(sel_Category="All",G959=sel_Category),OR(sel_Product="All",H959=sel_Product),AND(S959&gt;=m_From,S959&lt;=m_To)),1,0)</f>
        <v/>
      </c>
      <c r="Y959" s="36">
        <f>IF(AND(OR(sel_Region="All",C959=sel_Region),OR(sel_Country="All",D959=sel_Country),OR(sel_Channel="All",E959=sel_Channel),OR(sel_Customer="All",F959=sel_Customer),OR(sel_Product="All",H959=sel_Product),AND(S959&gt;=m_From,S959&lt;=m_To)),1,0)</f>
        <v/>
      </c>
      <c r="Z959" s="36">
        <f>IF(AND(OR(sel_Region="All",C959=sel_Region),OR(sel_Country="All",D959=sel_Country),OR(sel_Channel="All",E959=sel_Channel),OR(sel_Customer="All",F959=sel_Customer),OR(sel_Category="All",G959=sel_Category),AND(S959&gt;=m_From,S959&lt;=m_To)),1,0)</f>
        <v/>
      </c>
      <c r="AA959" s="36">
        <f>IF(AND(OR(sel_Region="All",C959=sel_Region),OR(sel_Country="All",D959=sel_Country),OR(sel_Channel="All",E959=sel_Channel),OR(sel_Customer="All",F959=sel_Customer),OR(sel_Category="All",G959=sel_Category),OR(sel_Product="All",H959=sel_Product)),1,0)</f>
        <v/>
      </c>
    </row>
    <row r="960">
      <c r="A960" s="36" t="inlineStr">
        <is>
          <t>03616</t>
        </is>
      </c>
      <c r="B960" s="44" t="n">
        <v>46173</v>
      </c>
      <c r="C960" s="36" t="inlineStr">
        <is>
          <t>Northern Europe</t>
        </is>
      </c>
      <c r="D960" s="36" t="inlineStr">
        <is>
          <t>Sweden</t>
        </is>
      </c>
      <c r="E960" s="36" t="inlineStr">
        <is>
          <t>Online Store</t>
        </is>
      </c>
      <c r="F960" s="36" t="inlineStr">
        <is>
          <t>Returning</t>
        </is>
      </c>
      <c r="G960" s="36" t="inlineStr">
        <is>
          <t>Fitness</t>
        </is>
      </c>
      <c r="H960" s="36" t="inlineStr">
        <is>
          <t>Weighted Vest</t>
        </is>
      </c>
      <c r="I960" s="36" t="n">
        <v>5</v>
      </c>
      <c r="J960" s="39" t="n">
        <v>126.16</v>
      </c>
      <c r="K960" s="45" t="n">
        <v>0</v>
      </c>
      <c r="L960" s="39" t="n">
        <v>68.59</v>
      </c>
      <c r="M960" s="39">
        <f>I960*J960*(1-K960)</f>
        <v/>
      </c>
      <c r="N960" s="39">
        <f>I960*L960</f>
        <v/>
      </c>
      <c r="O960" s="39">
        <f>M960-N960</f>
        <v/>
      </c>
      <c r="P960" s="38">
        <f>IF(M960=0,0,O960/M960)</f>
        <v/>
      </c>
      <c r="Q960" s="36">
        <f>YEAR(B960)</f>
        <v/>
      </c>
      <c r="R960" s="36">
        <f>"Q"&amp;ROUNDUP(MONTH(B960)/3,0)</f>
        <v/>
      </c>
      <c r="S960" s="36">
        <f>MONTH(B960)</f>
        <v/>
      </c>
      <c r="T960" s="36">
        <f>TEXT(B960,"mmm")</f>
        <v/>
      </c>
      <c r="U960" s="36">
        <f>IF(AND(OR(sel_Region="All",C960=sel_Region),OR(sel_Country="All",D960=sel_Country),OR(sel_Channel="All",E960=sel_Channel),OR(sel_Customer="All",F960=sel_Customer),OR(sel_Category="All",G960=sel_Category),OR(sel_Product="All",H960=sel_Product),AND(S960&gt;=m_From,S960&lt;=m_To)),1,0)</f>
        <v/>
      </c>
      <c r="V960" s="36">
        <f>IF(AND(OR(sel_Region="All",C960=sel_Region),OR(sel_Channel="All",E960=sel_Channel),OR(sel_Customer="All",F960=sel_Customer),OR(sel_Category="All",G960=sel_Category),OR(sel_Product="All",H960=sel_Product),AND(S960&gt;=m_From,S960&lt;=m_To)),1,0)</f>
        <v/>
      </c>
      <c r="W960" s="36">
        <f>IF(AND(OR(sel_Region="All",C960=sel_Region),OR(sel_Country="All",D960=sel_Country),OR(sel_Customer="All",F960=sel_Customer),OR(sel_Category="All",G960=sel_Category),OR(sel_Product="All",H960=sel_Product),AND(S960&gt;=m_From,S960&lt;=m_To)),1,0)</f>
        <v/>
      </c>
      <c r="X960" s="36">
        <f>IF(AND(OR(sel_Region="All",C960=sel_Region),OR(sel_Country="All",D960=sel_Country),OR(sel_Channel="All",E960=sel_Channel),OR(sel_Category="All",G960=sel_Category),OR(sel_Product="All",H960=sel_Product),AND(S960&gt;=m_From,S960&lt;=m_To)),1,0)</f>
        <v/>
      </c>
      <c r="Y960" s="36">
        <f>IF(AND(OR(sel_Region="All",C960=sel_Region),OR(sel_Country="All",D960=sel_Country),OR(sel_Channel="All",E960=sel_Channel),OR(sel_Customer="All",F960=sel_Customer),OR(sel_Product="All",H960=sel_Product),AND(S960&gt;=m_From,S960&lt;=m_To)),1,0)</f>
        <v/>
      </c>
      <c r="Z960" s="36">
        <f>IF(AND(OR(sel_Region="All",C960=sel_Region),OR(sel_Country="All",D960=sel_Country),OR(sel_Channel="All",E960=sel_Channel),OR(sel_Customer="All",F960=sel_Customer),OR(sel_Category="All",G960=sel_Category),AND(S960&gt;=m_From,S960&lt;=m_To)),1,0)</f>
        <v/>
      </c>
      <c r="AA960" s="36">
        <f>IF(AND(OR(sel_Region="All",C960=sel_Region),OR(sel_Country="All",D960=sel_Country),OR(sel_Channel="All",E960=sel_Channel),OR(sel_Customer="All",F960=sel_Customer),OR(sel_Category="All",G960=sel_Category),OR(sel_Product="All",H960=sel_Product)),1,0)</f>
        <v/>
      </c>
    </row>
    <row r="961">
      <c r="A961" s="36" t="inlineStr">
        <is>
          <t>03992</t>
        </is>
      </c>
      <c r="B961" s="44" t="n">
        <v>46173</v>
      </c>
      <c r="C961" s="36" t="inlineStr">
        <is>
          <t>Western Europe</t>
        </is>
      </c>
      <c r="D961" s="36" t="inlineStr">
        <is>
          <t>United Kingdom</t>
        </is>
      </c>
      <c r="E961" s="36" t="inlineStr">
        <is>
          <t>Online Store</t>
        </is>
      </c>
      <c r="F961" s="36" t="inlineStr">
        <is>
          <t>New</t>
        </is>
      </c>
      <c r="G961" s="36" t="inlineStr">
        <is>
          <t>Travel</t>
        </is>
      </c>
      <c r="H961" s="36" t="inlineStr">
        <is>
          <t>Travel Backpack 35L</t>
        </is>
      </c>
      <c r="I961" s="36" t="n">
        <v>2</v>
      </c>
      <c r="J961" s="39" t="n">
        <v>163.57</v>
      </c>
      <c r="K961" s="45" t="n">
        <v>0</v>
      </c>
      <c r="L961" s="39" t="n">
        <v>85.72</v>
      </c>
      <c r="M961" s="39">
        <f>I961*J961*(1-K961)</f>
        <v/>
      </c>
      <c r="N961" s="39">
        <f>I961*L961</f>
        <v/>
      </c>
      <c r="O961" s="39">
        <f>M961-N961</f>
        <v/>
      </c>
      <c r="P961" s="38">
        <f>IF(M961=0,0,O961/M961)</f>
        <v/>
      </c>
      <c r="Q961" s="36">
        <f>YEAR(B961)</f>
        <v/>
      </c>
      <c r="R961" s="36">
        <f>"Q"&amp;ROUNDUP(MONTH(B961)/3,0)</f>
        <v/>
      </c>
      <c r="S961" s="36">
        <f>MONTH(B961)</f>
        <v/>
      </c>
      <c r="T961" s="36">
        <f>TEXT(B961,"mmm")</f>
        <v/>
      </c>
      <c r="U961" s="36">
        <f>IF(AND(OR(sel_Region="All",C961=sel_Region),OR(sel_Country="All",D961=sel_Country),OR(sel_Channel="All",E961=sel_Channel),OR(sel_Customer="All",F961=sel_Customer),OR(sel_Category="All",G961=sel_Category),OR(sel_Product="All",H961=sel_Product),AND(S961&gt;=m_From,S961&lt;=m_To)),1,0)</f>
        <v/>
      </c>
      <c r="V961" s="36">
        <f>IF(AND(OR(sel_Region="All",C961=sel_Region),OR(sel_Channel="All",E961=sel_Channel),OR(sel_Customer="All",F961=sel_Customer),OR(sel_Category="All",G961=sel_Category),OR(sel_Product="All",H961=sel_Product),AND(S961&gt;=m_From,S961&lt;=m_To)),1,0)</f>
        <v/>
      </c>
      <c r="W961" s="36">
        <f>IF(AND(OR(sel_Region="All",C961=sel_Region),OR(sel_Country="All",D961=sel_Country),OR(sel_Customer="All",F961=sel_Customer),OR(sel_Category="All",G961=sel_Category),OR(sel_Product="All",H961=sel_Product),AND(S961&gt;=m_From,S961&lt;=m_To)),1,0)</f>
        <v/>
      </c>
      <c r="X961" s="36">
        <f>IF(AND(OR(sel_Region="All",C961=sel_Region),OR(sel_Country="All",D961=sel_Country),OR(sel_Channel="All",E961=sel_Channel),OR(sel_Category="All",G961=sel_Category),OR(sel_Product="All",H961=sel_Product),AND(S961&gt;=m_From,S961&lt;=m_To)),1,0)</f>
        <v/>
      </c>
      <c r="Y961" s="36">
        <f>IF(AND(OR(sel_Region="All",C961=sel_Region),OR(sel_Country="All",D961=sel_Country),OR(sel_Channel="All",E961=sel_Channel),OR(sel_Customer="All",F961=sel_Customer),OR(sel_Product="All",H961=sel_Product),AND(S961&gt;=m_From,S961&lt;=m_To)),1,0)</f>
        <v/>
      </c>
      <c r="Z961" s="36">
        <f>IF(AND(OR(sel_Region="All",C961=sel_Region),OR(sel_Country="All",D961=sel_Country),OR(sel_Channel="All",E961=sel_Channel),OR(sel_Customer="All",F961=sel_Customer),OR(sel_Category="All",G961=sel_Category),AND(S961&gt;=m_From,S961&lt;=m_To)),1,0)</f>
        <v/>
      </c>
      <c r="AA961" s="36">
        <f>IF(AND(OR(sel_Region="All",C961=sel_Region),OR(sel_Country="All",D961=sel_Country),OR(sel_Channel="All",E961=sel_Channel),OR(sel_Customer="All",F961=sel_Customer),OR(sel_Category="All",G961=sel_Category),OR(sel_Product="All",H961=sel_Product)),1,0)</f>
        <v/>
      </c>
    </row>
    <row r="962">
      <c r="A962" s="36" t="inlineStr">
        <is>
          <t>04091</t>
        </is>
      </c>
      <c r="B962" s="44" t="n">
        <v>46173</v>
      </c>
      <c r="C962" s="36" t="inlineStr">
        <is>
          <t>Northern Europe</t>
        </is>
      </c>
      <c r="D962" s="36" t="inlineStr">
        <is>
          <t>Norway</t>
        </is>
      </c>
      <c r="E962" s="36" t="inlineStr">
        <is>
          <t>Online Store</t>
        </is>
      </c>
      <c r="F962" s="36" t="inlineStr">
        <is>
          <t>New</t>
        </is>
      </c>
      <c r="G962" s="36" t="inlineStr">
        <is>
          <t>Hiking</t>
        </is>
      </c>
      <c r="H962" s="36" t="inlineStr">
        <is>
          <t>Trail Boots</t>
        </is>
      </c>
      <c r="I962" s="36" t="n">
        <v>1</v>
      </c>
      <c r="J962" s="39" t="n">
        <v>142.06</v>
      </c>
      <c r="K962" s="45" t="n">
        <v>0</v>
      </c>
      <c r="L962" s="39" t="n">
        <v>77.36</v>
      </c>
      <c r="M962" s="39">
        <f>I962*J962*(1-K962)</f>
        <v/>
      </c>
      <c r="N962" s="39">
        <f>I962*L962</f>
        <v/>
      </c>
      <c r="O962" s="39">
        <f>M962-N962</f>
        <v/>
      </c>
      <c r="P962" s="38">
        <f>IF(M962=0,0,O962/M962)</f>
        <v/>
      </c>
      <c r="Q962" s="36">
        <f>YEAR(B962)</f>
        <v/>
      </c>
      <c r="R962" s="36">
        <f>"Q"&amp;ROUNDUP(MONTH(B962)/3,0)</f>
        <v/>
      </c>
      <c r="S962" s="36">
        <f>MONTH(B962)</f>
        <v/>
      </c>
      <c r="T962" s="36">
        <f>TEXT(B962,"mmm")</f>
        <v/>
      </c>
      <c r="U962" s="36">
        <f>IF(AND(OR(sel_Region="All",C962=sel_Region),OR(sel_Country="All",D962=sel_Country),OR(sel_Channel="All",E962=sel_Channel),OR(sel_Customer="All",F962=sel_Customer),OR(sel_Category="All",G962=sel_Category),OR(sel_Product="All",H962=sel_Product),AND(S962&gt;=m_From,S962&lt;=m_To)),1,0)</f>
        <v/>
      </c>
      <c r="V962" s="36">
        <f>IF(AND(OR(sel_Region="All",C962=sel_Region),OR(sel_Channel="All",E962=sel_Channel),OR(sel_Customer="All",F962=sel_Customer),OR(sel_Category="All",G962=sel_Category),OR(sel_Product="All",H962=sel_Product),AND(S962&gt;=m_From,S962&lt;=m_To)),1,0)</f>
        <v/>
      </c>
      <c r="W962" s="36">
        <f>IF(AND(OR(sel_Region="All",C962=sel_Region),OR(sel_Country="All",D962=sel_Country),OR(sel_Customer="All",F962=sel_Customer),OR(sel_Category="All",G962=sel_Category),OR(sel_Product="All",H962=sel_Product),AND(S962&gt;=m_From,S962&lt;=m_To)),1,0)</f>
        <v/>
      </c>
      <c r="X962" s="36">
        <f>IF(AND(OR(sel_Region="All",C962=sel_Region),OR(sel_Country="All",D962=sel_Country),OR(sel_Channel="All",E962=sel_Channel),OR(sel_Category="All",G962=sel_Category),OR(sel_Product="All",H962=sel_Product),AND(S962&gt;=m_From,S962&lt;=m_To)),1,0)</f>
        <v/>
      </c>
      <c r="Y962" s="36">
        <f>IF(AND(OR(sel_Region="All",C962=sel_Region),OR(sel_Country="All",D962=sel_Country),OR(sel_Channel="All",E962=sel_Channel),OR(sel_Customer="All",F962=sel_Customer),OR(sel_Product="All",H962=sel_Product),AND(S962&gt;=m_From,S962&lt;=m_To)),1,0)</f>
        <v/>
      </c>
      <c r="Z962" s="36">
        <f>IF(AND(OR(sel_Region="All",C962=sel_Region),OR(sel_Country="All",D962=sel_Country),OR(sel_Channel="All",E962=sel_Channel),OR(sel_Customer="All",F962=sel_Customer),OR(sel_Category="All",G962=sel_Category),AND(S962&gt;=m_From,S962&lt;=m_To)),1,0)</f>
        <v/>
      </c>
      <c r="AA962" s="36">
        <f>IF(AND(OR(sel_Region="All",C962=sel_Region),OR(sel_Country="All",D962=sel_Country),OR(sel_Channel="All",E962=sel_Channel),OR(sel_Customer="All",F962=sel_Customer),OR(sel_Category="All",G962=sel_Category),OR(sel_Product="All",H962=sel_Product)),1,0)</f>
        <v/>
      </c>
    </row>
    <row r="963">
      <c r="A963" s="36" t="inlineStr">
        <is>
          <t>04204</t>
        </is>
      </c>
      <c r="B963" s="44" t="n">
        <v>46173</v>
      </c>
      <c r="C963" s="36" t="inlineStr">
        <is>
          <t>Central Europe</t>
        </is>
      </c>
      <c r="D963" s="36" t="inlineStr">
        <is>
          <t>Switzerland</t>
        </is>
      </c>
      <c r="E963" s="36" t="inlineStr">
        <is>
          <t>Online Store</t>
        </is>
      </c>
      <c r="F963" s="36" t="inlineStr">
        <is>
          <t>New</t>
        </is>
      </c>
      <c r="G963" s="36" t="inlineStr">
        <is>
          <t>Cycling</t>
        </is>
      </c>
      <c r="H963" s="36" t="inlineStr">
        <is>
          <t>Commuter Helmet</t>
        </is>
      </c>
      <c r="I963" s="36" t="n">
        <v>1</v>
      </c>
      <c r="J963" s="39" t="n">
        <v>81.37</v>
      </c>
      <c r="K963" s="45" t="n">
        <v>0</v>
      </c>
      <c r="L963" s="39" t="n">
        <v>42.01</v>
      </c>
      <c r="M963" s="39">
        <f>I963*J963*(1-K963)</f>
        <v/>
      </c>
      <c r="N963" s="39">
        <f>I963*L963</f>
        <v/>
      </c>
      <c r="O963" s="39">
        <f>M963-N963</f>
        <v/>
      </c>
      <c r="P963" s="38">
        <f>IF(M963=0,0,O963/M963)</f>
        <v/>
      </c>
      <c r="Q963" s="36">
        <f>YEAR(B963)</f>
        <v/>
      </c>
      <c r="R963" s="36">
        <f>"Q"&amp;ROUNDUP(MONTH(B963)/3,0)</f>
        <v/>
      </c>
      <c r="S963" s="36">
        <f>MONTH(B963)</f>
        <v/>
      </c>
      <c r="T963" s="36">
        <f>TEXT(B963,"mmm")</f>
        <v/>
      </c>
      <c r="U963" s="36">
        <f>IF(AND(OR(sel_Region="All",C963=sel_Region),OR(sel_Country="All",D963=sel_Country),OR(sel_Channel="All",E963=sel_Channel),OR(sel_Customer="All",F963=sel_Customer),OR(sel_Category="All",G963=sel_Category),OR(sel_Product="All",H963=sel_Product),AND(S963&gt;=m_From,S963&lt;=m_To)),1,0)</f>
        <v/>
      </c>
      <c r="V963" s="36">
        <f>IF(AND(OR(sel_Region="All",C963=sel_Region),OR(sel_Channel="All",E963=sel_Channel),OR(sel_Customer="All",F963=sel_Customer),OR(sel_Category="All",G963=sel_Category),OR(sel_Product="All",H963=sel_Product),AND(S963&gt;=m_From,S963&lt;=m_To)),1,0)</f>
        <v/>
      </c>
      <c r="W963" s="36">
        <f>IF(AND(OR(sel_Region="All",C963=sel_Region),OR(sel_Country="All",D963=sel_Country),OR(sel_Customer="All",F963=sel_Customer),OR(sel_Category="All",G963=sel_Category),OR(sel_Product="All",H963=sel_Product),AND(S963&gt;=m_From,S963&lt;=m_To)),1,0)</f>
        <v/>
      </c>
      <c r="X963" s="36">
        <f>IF(AND(OR(sel_Region="All",C963=sel_Region),OR(sel_Country="All",D963=sel_Country),OR(sel_Channel="All",E963=sel_Channel),OR(sel_Category="All",G963=sel_Category),OR(sel_Product="All",H963=sel_Product),AND(S963&gt;=m_From,S963&lt;=m_To)),1,0)</f>
        <v/>
      </c>
      <c r="Y963" s="36">
        <f>IF(AND(OR(sel_Region="All",C963=sel_Region),OR(sel_Country="All",D963=sel_Country),OR(sel_Channel="All",E963=sel_Channel),OR(sel_Customer="All",F963=sel_Customer),OR(sel_Product="All",H963=sel_Product),AND(S963&gt;=m_From,S963&lt;=m_To)),1,0)</f>
        <v/>
      </c>
      <c r="Z963" s="36">
        <f>IF(AND(OR(sel_Region="All",C963=sel_Region),OR(sel_Country="All",D963=sel_Country),OR(sel_Channel="All",E963=sel_Channel),OR(sel_Customer="All",F963=sel_Customer),OR(sel_Category="All",G963=sel_Category),AND(S963&gt;=m_From,S963&lt;=m_To)),1,0)</f>
        <v/>
      </c>
      <c r="AA963" s="36">
        <f>IF(AND(OR(sel_Region="All",C963=sel_Region),OR(sel_Country="All",D963=sel_Country),OR(sel_Channel="All",E963=sel_Channel),OR(sel_Customer="All",F963=sel_Customer),OR(sel_Category="All",G963=sel_Category),OR(sel_Product="All",H963=sel_Product)),1,0)</f>
        <v/>
      </c>
    </row>
    <row r="964">
      <c r="A964" s="36" t="inlineStr">
        <is>
          <t>04234</t>
        </is>
      </c>
      <c r="B964" s="44" t="n">
        <v>46173</v>
      </c>
      <c r="C964" s="36" t="inlineStr">
        <is>
          <t>Western Europe</t>
        </is>
      </c>
      <c r="D964" s="36" t="inlineStr">
        <is>
          <t>United Kingdom</t>
        </is>
      </c>
      <c r="E964" s="36" t="inlineStr">
        <is>
          <t>Retail Partners</t>
        </is>
      </c>
      <c r="F964" s="36" t="inlineStr">
        <is>
          <t>New</t>
        </is>
      </c>
      <c r="G964" s="36" t="inlineStr">
        <is>
          <t>Camping</t>
        </is>
      </c>
      <c r="H964" s="36" t="inlineStr">
        <is>
          <t>Compact Sleeping Bag</t>
        </is>
      </c>
      <c r="I964" s="36" t="n">
        <v>1</v>
      </c>
      <c r="J964" s="39" t="n">
        <v>120.75</v>
      </c>
      <c r="K964" s="45" t="n">
        <v>0</v>
      </c>
      <c r="L964" s="39" t="n">
        <v>61.21</v>
      </c>
      <c r="M964" s="39">
        <f>I964*J964*(1-K964)</f>
        <v/>
      </c>
      <c r="N964" s="39">
        <f>I964*L964</f>
        <v/>
      </c>
      <c r="O964" s="39">
        <f>M964-N964</f>
        <v/>
      </c>
      <c r="P964" s="38">
        <f>IF(M964=0,0,O964/M964)</f>
        <v/>
      </c>
      <c r="Q964" s="36">
        <f>YEAR(B964)</f>
        <v/>
      </c>
      <c r="R964" s="36">
        <f>"Q"&amp;ROUNDUP(MONTH(B964)/3,0)</f>
        <v/>
      </c>
      <c r="S964" s="36">
        <f>MONTH(B964)</f>
        <v/>
      </c>
      <c r="T964" s="36">
        <f>TEXT(B964,"mmm")</f>
        <v/>
      </c>
      <c r="U964" s="36">
        <f>IF(AND(OR(sel_Region="All",C964=sel_Region),OR(sel_Country="All",D964=sel_Country),OR(sel_Channel="All",E964=sel_Channel),OR(sel_Customer="All",F964=sel_Customer),OR(sel_Category="All",G964=sel_Category),OR(sel_Product="All",H964=sel_Product),AND(S964&gt;=m_From,S964&lt;=m_To)),1,0)</f>
        <v/>
      </c>
      <c r="V964" s="36">
        <f>IF(AND(OR(sel_Region="All",C964=sel_Region),OR(sel_Channel="All",E964=sel_Channel),OR(sel_Customer="All",F964=sel_Customer),OR(sel_Category="All",G964=sel_Category),OR(sel_Product="All",H964=sel_Product),AND(S964&gt;=m_From,S964&lt;=m_To)),1,0)</f>
        <v/>
      </c>
      <c r="W964" s="36">
        <f>IF(AND(OR(sel_Region="All",C964=sel_Region),OR(sel_Country="All",D964=sel_Country),OR(sel_Customer="All",F964=sel_Customer),OR(sel_Category="All",G964=sel_Category),OR(sel_Product="All",H964=sel_Product),AND(S964&gt;=m_From,S964&lt;=m_To)),1,0)</f>
        <v/>
      </c>
      <c r="X964" s="36">
        <f>IF(AND(OR(sel_Region="All",C964=sel_Region),OR(sel_Country="All",D964=sel_Country),OR(sel_Channel="All",E964=sel_Channel),OR(sel_Category="All",G964=sel_Category),OR(sel_Product="All",H964=sel_Product),AND(S964&gt;=m_From,S964&lt;=m_To)),1,0)</f>
        <v/>
      </c>
      <c r="Y964" s="36">
        <f>IF(AND(OR(sel_Region="All",C964=sel_Region),OR(sel_Country="All",D964=sel_Country),OR(sel_Channel="All",E964=sel_Channel),OR(sel_Customer="All",F964=sel_Customer),OR(sel_Product="All",H964=sel_Product),AND(S964&gt;=m_From,S964&lt;=m_To)),1,0)</f>
        <v/>
      </c>
      <c r="Z964" s="36">
        <f>IF(AND(OR(sel_Region="All",C964=sel_Region),OR(sel_Country="All",D964=sel_Country),OR(sel_Channel="All",E964=sel_Channel),OR(sel_Customer="All",F964=sel_Customer),OR(sel_Category="All",G964=sel_Category),AND(S964&gt;=m_From,S964&lt;=m_To)),1,0)</f>
        <v/>
      </c>
      <c r="AA964" s="36">
        <f>IF(AND(OR(sel_Region="All",C964=sel_Region),OR(sel_Country="All",D964=sel_Country),OR(sel_Channel="All",E964=sel_Channel),OR(sel_Customer="All",F964=sel_Customer),OR(sel_Category="All",G964=sel_Category),OR(sel_Product="All",H964=sel_Product)),1,0)</f>
        <v/>
      </c>
    </row>
    <row r="965">
      <c r="A965" s="36" t="inlineStr">
        <is>
          <t>04696</t>
        </is>
      </c>
      <c r="B965" s="44" t="n">
        <v>46173</v>
      </c>
      <c r="C965" s="36" t="inlineStr">
        <is>
          <t>Central Europe</t>
        </is>
      </c>
      <c r="D965" s="36" t="inlineStr">
        <is>
          <t>Poland</t>
        </is>
      </c>
      <c r="E965" s="36" t="inlineStr">
        <is>
          <t>Online Store</t>
        </is>
      </c>
      <c r="F965" s="36" t="inlineStr">
        <is>
          <t>New</t>
        </is>
      </c>
      <c r="G965" s="36" t="inlineStr">
        <is>
          <t>Cycling</t>
        </is>
      </c>
      <c r="H965" s="36" t="inlineStr">
        <is>
          <t>Commuter Helmet</t>
        </is>
      </c>
      <c r="I965" s="36" t="n">
        <v>4</v>
      </c>
      <c r="J965" s="39" t="n">
        <v>81.79000000000001</v>
      </c>
      <c r="K965" s="45" t="n">
        <v>0</v>
      </c>
      <c r="L965" s="39" t="n">
        <v>42.96</v>
      </c>
      <c r="M965" s="39">
        <f>I965*J965*(1-K965)</f>
        <v/>
      </c>
      <c r="N965" s="39">
        <f>I965*L965</f>
        <v/>
      </c>
      <c r="O965" s="39">
        <f>M965-N965</f>
        <v/>
      </c>
      <c r="P965" s="38">
        <f>IF(M965=0,0,O965/M965)</f>
        <v/>
      </c>
      <c r="Q965" s="36">
        <f>YEAR(B965)</f>
        <v/>
      </c>
      <c r="R965" s="36">
        <f>"Q"&amp;ROUNDUP(MONTH(B965)/3,0)</f>
        <v/>
      </c>
      <c r="S965" s="36">
        <f>MONTH(B965)</f>
        <v/>
      </c>
      <c r="T965" s="36">
        <f>TEXT(B965,"mmm")</f>
        <v/>
      </c>
      <c r="U965" s="36">
        <f>IF(AND(OR(sel_Region="All",C965=sel_Region),OR(sel_Country="All",D965=sel_Country),OR(sel_Channel="All",E965=sel_Channel),OR(sel_Customer="All",F965=sel_Customer),OR(sel_Category="All",G965=sel_Category),OR(sel_Product="All",H965=sel_Product),AND(S965&gt;=m_From,S965&lt;=m_To)),1,0)</f>
        <v/>
      </c>
      <c r="V965" s="36">
        <f>IF(AND(OR(sel_Region="All",C965=sel_Region),OR(sel_Channel="All",E965=sel_Channel),OR(sel_Customer="All",F965=sel_Customer),OR(sel_Category="All",G965=sel_Category),OR(sel_Product="All",H965=sel_Product),AND(S965&gt;=m_From,S965&lt;=m_To)),1,0)</f>
        <v/>
      </c>
      <c r="W965" s="36">
        <f>IF(AND(OR(sel_Region="All",C965=sel_Region),OR(sel_Country="All",D965=sel_Country),OR(sel_Customer="All",F965=sel_Customer),OR(sel_Category="All",G965=sel_Category),OR(sel_Product="All",H965=sel_Product),AND(S965&gt;=m_From,S965&lt;=m_To)),1,0)</f>
        <v/>
      </c>
      <c r="X965" s="36">
        <f>IF(AND(OR(sel_Region="All",C965=sel_Region),OR(sel_Country="All",D965=sel_Country),OR(sel_Channel="All",E965=sel_Channel),OR(sel_Category="All",G965=sel_Category),OR(sel_Product="All",H965=sel_Product),AND(S965&gt;=m_From,S965&lt;=m_To)),1,0)</f>
        <v/>
      </c>
      <c r="Y965" s="36">
        <f>IF(AND(OR(sel_Region="All",C965=sel_Region),OR(sel_Country="All",D965=sel_Country),OR(sel_Channel="All",E965=sel_Channel),OR(sel_Customer="All",F965=sel_Customer),OR(sel_Product="All",H965=sel_Product),AND(S965&gt;=m_From,S965&lt;=m_To)),1,0)</f>
        <v/>
      </c>
      <c r="Z965" s="36">
        <f>IF(AND(OR(sel_Region="All",C965=sel_Region),OR(sel_Country="All",D965=sel_Country),OR(sel_Channel="All",E965=sel_Channel),OR(sel_Customer="All",F965=sel_Customer),OR(sel_Category="All",G965=sel_Category),AND(S965&gt;=m_From,S965&lt;=m_To)),1,0)</f>
        <v/>
      </c>
      <c r="AA965" s="36">
        <f>IF(AND(OR(sel_Region="All",C965=sel_Region),OR(sel_Country="All",D965=sel_Country),OR(sel_Channel="All",E965=sel_Channel),OR(sel_Customer="All",F965=sel_Customer),OR(sel_Category="All",G965=sel_Category),OR(sel_Product="All",H965=sel_Product)),1,0)</f>
        <v/>
      </c>
    </row>
    <row r="966">
      <c r="A966" s="36" t="inlineStr">
        <is>
          <t>04755</t>
        </is>
      </c>
      <c r="B966" s="44" t="n">
        <v>46173</v>
      </c>
      <c r="C966" s="36" t="inlineStr">
        <is>
          <t>Southern Europe</t>
        </is>
      </c>
      <c r="D966" s="36" t="inlineStr">
        <is>
          <t>Italy</t>
        </is>
      </c>
      <c r="E966" s="36" t="inlineStr">
        <is>
          <t>Online Store</t>
        </is>
      </c>
      <c r="F966" s="36" t="inlineStr">
        <is>
          <t>New</t>
        </is>
      </c>
      <c r="G966" s="36" t="inlineStr">
        <is>
          <t>Camping</t>
        </is>
      </c>
      <c r="H966" s="36" t="inlineStr">
        <is>
          <t>Portable Camp Stove</t>
        </is>
      </c>
      <c r="I966" s="36" t="n">
        <v>1</v>
      </c>
      <c r="J966" s="39" t="n">
        <v>81.2</v>
      </c>
      <c r="K966" s="45" t="n">
        <v>0.1</v>
      </c>
      <c r="L966" s="39" t="n">
        <v>40.27</v>
      </c>
      <c r="M966" s="39">
        <f>I966*J966*(1-K966)</f>
        <v/>
      </c>
      <c r="N966" s="39">
        <f>I966*L966</f>
        <v/>
      </c>
      <c r="O966" s="39">
        <f>M966-N966</f>
        <v/>
      </c>
      <c r="P966" s="38">
        <f>IF(M966=0,0,O966/M966)</f>
        <v/>
      </c>
      <c r="Q966" s="36">
        <f>YEAR(B966)</f>
        <v/>
      </c>
      <c r="R966" s="36">
        <f>"Q"&amp;ROUNDUP(MONTH(B966)/3,0)</f>
        <v/>
      </c>
      <c r="S966" s="36">
        <f>MONTH(B966)</f>
        <v/>
      </c>
      <c r="T966" s="36">
        <f>TEXT(B966,"mmm")</f>
        <v/>
      </c>
      <c r="U966" s="36">
        <f>IF(AND(OR(sel_Region="All",C966=sel_Region),OR(sel_Country="All",D966=sel_Country),OR(sel_Channel="All",E966=sel_Channel),OR(sel_Customer="All",F966=sel_Customer),OR(sel_Category="All",G966=sel_Category),OR(sel_Product="All",H966=sel_Product),AND(S966&gt;=m_From,S966&lt;=m_To)),1,0)</f>
        <v/>
      </c>
      <c r="V966" s="36">
        <f>IF(AND(OR(sel_Region="All",C966=sel_Region),OR(sel_Channel="All",E966=sel_Channel),OR(sel_Customer="All",F966=sel_Customer),OR(sel_Category="All",G966=sel_Category),OR(sel_Product="All",H966=sel_Product),AND(S966&gt;=m_From,S966&lt;=m_To)),1,0)</f>
        <v/>
      </c>
      <c r="W966" s="36">
        <f>IF(AND(OR(sel_Region="All",C966=sel_Region),OR(sel_Country="All",D966=sel_Country),OR(sel_Customer="All",F966=sel_Customer),OR(sel_Category="All",G966=sel_Category),OR(sel_Product="All",H966=sel_Product),AND(S966&gt;=m_From,S966&lt;=m_To)),1,0)</f>
        <v/>
      </c>
      <c r="X966" s="36">
        <f>IF(AND(OR(sel_Region="All",C966=sel_Region),OR(sel_Country="All",D966=sel_Country),OR(sel_Channel="All",E966=sel_Channel),OR(sel_Category="All",G966=sel_Category),OR(sel_Product="All",H966=sel_Product),AND(S966&gt;=m_From,S966&lt;=m_To)),1,0)</f>
        <v/>
      </c>
      <c r="Y966" s="36">
        <f>IF(AND(OR(sel_Region="All",C966=sel_Region),OR(sel_Country="All",D966=sel_Country),OR(sel_Channel="All",E966=sel_Channel),OR(sel_Customer="All",F966=sel_Customer),OR(sel_Product="All",H966=sel_Product),AND(S966&gt;=m_From,S966&lt;=m_To)),1,0)</f>
        <v/>
      </c>
      <c r="Z966" s="36">
        <f>IF(AND(OR(sel_Region="All",C966=sel_Region),OR(sel_Country="All",D966=sel_Country),OR(sel_Channel="All",E966=sel_Channel),OR(sel_Customer="All",F966=sel_Customer),OR(sel_Category="All",G966=sel_Category),AND(S966&gt;=m_From,S966&lt;=m_To)),1,0)</f>
        <v/>
      </c>
      <c r="AA966" s="36">
        <f>IF(AND(OR(sel_Region="All",C966=sel_Region),OR(sel_Country="All",D966=sel_Country),OR(sel_Channel="All",E966=sel_Channel),OR(sel_Customer="All",F966=sel_Customer),OR(sel_Category="All",G966=sel_Category),OR(sel_Product="All",H966=sel_Product)),1,0)</f>
        <v/>
      </c>
    </row>
    <row r="967">
      <c r="A967" s="36" t="inlineStr">
        <is>
          <t>05090</t>
        </is>
      </c>
      <c r="B967" s="44" t="n">
        <v>46173</v>
      </c>
      <c r="C967" s="36" t="inlineStr">
        <is>
          <t>Central Europe</t>
        </is>
      </c>
      <c r="D967" s="36" t="inlineStr">
        <is>
          <t>Czechia</t>
        </is>
      </c>
      <c r="E967" s="36" t="inlineStr">
        <is>
          <t>Marketplace</t>
        </is>
      </c>
      <c r="F967" s="36" t="inlineStr">
        <is>
          <t>New</t>
        </is>
      </c>
      <c r="G967" s="36" t="inlineStr">
        <is>
          <t>Travel</t>
        </is>
      </c>
      <c r="H967" s="36" t="inlineStr">
        <is>
          <t>Packing Cube Set</t>
        </is>
      </c>
      <c r="I967" s="36" t="n">
        <v>2</v>
      </c>
      <c r="J967" s="39" t="n">
        <v>46.52</v>
      </c>
      <c r="K967" s="45" t="n">
        <v>0.05</v>
      </c>
      <c r="L967" s="39" t="n">
        <v>18.74</v>
      </c>
      <c r="M967" s="39">
        <f>I967*J967*(1-K967)</f>
        <v/>
      </c>
      <c r="N967" s="39">
        <f>I967*L967</f>
        <v/>
      </c>
      <c r="O967" s="39">
        <f>M967-N967</f>
        <v/>
      </c>
      <c r="P967" s="38">
        <f>IF(M967=0,0,O967/M967)</f>
        <v/>
      </c>
      <c r="Q967" s="36">
        <f>YEAR(B967)</f>
        <v/>
      </c>
      <c r="R967" s="36">
        <f>"Q"&amp;ROUNDUP(MONTH(B967)/3,0)</f>
        <v/>
      </c>
      <c r="S967" s="36">
        <f>MONTH(B967)</f>
        <v/>
      </c>
      <c r="T967" s="36">
        <f>TEXT(B967,"mmm")</f>
        <v/>
      </c>
      <c r="U967" s="36">
        <f>IF(AND(OR(sel_Region="All",C967=sel_Region),OR(sel_Country="All",D967=sel_Country),OR(sel_Channel="All",E967=sel_Channel),OR(sel_Customer="All",F967=sel_Customer),OR(sel_Category="All",G967=sel_Category),OR(sel_Product="All",H967=sel_Product),AND(S967&gt;=m_From,S967&lt;=m_To)),1,0)</f>
        <v/>
      </c>
      <c r="V967" s="36">
        <f>IF(AND(OR(sel_Region="All",C967=sel_Region),OR(sel_Channel="All",E967=sel_Channel),OR(sel_Customer="All",F967=sel_Customer),OR(sel_Category="All",G967=sel_Category),OR(sel_Product="All",H967=sel_Product),AND(S967&gt;=m_From,S967&lt;=m_To)),1,0)</f>
        <v/>
      </c>
      <c r="W967" s="36">
        <f>IF(AND(OR(sel_Region="All",C967=sel_Region),OR(sel_Country="All",D967=sel_Country),OR(sel_Customer="All",F967=sel_Customer),OR(sel_Category="All",G967=sel_Category),OR(sel_Product="All",H967=sel_Product),AND(S967&gt;=m_From,S967&lt;=m_To)),1,0)</f>
        <v/>
      </c>
      <c r="X967" s="36">
        <f>IF(AND(OR(sel_Region="All",C967=sel_Region),OR(sel_Country="All",D967=sel_Country),OR(sel_Channel="All",E967=sel_Channel),OR(sel_Category="All",G967=sel_Category),OR(sel_Product="All",H967=sel_Product),AND(S967&gt;=m_From,S967&lt;=m_To)),1,0)</f>
        <v/>
      </c>
      <c r="Y967" s="36">
        <f>IF(AND(OR(sel_Region="All",C967=sel_Region),OR(sel_Country="All",D967=sel_Country),OR(sel_Channel="All",E967=sel_Channel),OR(sel_Customer="All",F967=sel_Customer),OR(sel_Product="All",H967=sel_Product),AND(S967&gt;=m_From,S967&lt;=m_To)),1,0)</f>
        <v/>
      </c>
      <c r="Z967" s="36">
        <f>IF(AND(OR(sel_Region="All",C967=sel_Region),OR(sel_Country="All",D967=sel_Country),OR(sel_Channel="All",E967=sel_Channel),OR(sel_Customer="All",F967=sel_Customer),OR(sel_Category="All",G967=sel_Category),AND(S967&gt;=m_From,S967&lt;=m_To)),1,0)</f>
        <v/>
      </c>
      <c r="AA967" s="36">
        <f>IF(AND(OR(sel_Region="All",C967=sel_Region),OR(sel_Country="All",D967=sel_Country),OR(sel_Channel="All",E967=sel_Channel),OR(sel_Customer="All",F967=sel_Customer),OR(sel_Category="All",G967=sel_Category),OR(sel_Product="All",H967=sel_Product)),1,0)</f>
        <v/>
      </c>
    </row>
    <row r="968">
      <c r="A968" s="36" t="inlineStr">
        <is>
          <t>00027</t>
        </is>
      </c>
      <c r="B968" s="44" t="n">
        <v>46174</v>
      </c>
      <c r="C968" s="36" t="inlineStr">
        <is>
          <t>Western Europe</t>
        </is>
      </c>
      <c r="D968" s="36" t="inlineStr">
        <is>
          <t>France</t>
        </is>
      </c>
      <c r="E968" s="36" t="inlineStr">
        <is>
          <t>Online Store</t>
        </is>
      </c>
      <c r="F968" s="36" t="inlineStr">
        <is>
          <t>Returning</t>
        </is>
      </c>
      <c r="G968" s="36" t="inlineStr">
        <is>
          <t>Camping</t>
        </is>
      </c>
      <c r="H968" s="36" t="inlineStr">
        <is>
          <t>Trail Tent 2P</t>
        </is>
      </c>
      <c r="I968" s="36" t="n">
        <v>1</v>
      </c>
      <c r="J968" s="39" t="n">
        <v>195.22</v>
      </c>
      <c r="K968" s="45" t="n">
        <v>0</v>
      </c>
      <c r="L968" s="39" t="n">
        <v>105.91</v>
      </c>
      <c r="M968" s="39">
        <f>I968*J968*(1-K968)</f>
        <v/>
      </c>
      <c r="N968" s="39">
        <f>I968*L968</f>
        <v/>
      </c>
      <c r="O968" s="39">
        <f>M968-N968</f>
        <v/>
      </c>
      <c r="P968" s="38">
        <f>IF(M968=0,0,O968/M968)</f>
        <v/>
      </c>
      <c r="Q968" s="36">
        <f>YEAR(B968)</f>
        <v/>
      </c>
      <c r="R968" s="36">
        <f>"Q"&amp;ROUNDUP(MONTH(B968)/3,0)</f>
        <v/>
      </c>
      <c r="S968" s="36">
        <f>MONTH(B968)</f>
        <v/>
      </c>
      <c r="T968" s="36">
        <f>TEXT(B968,"mmm")</f>
        <v/>
      </c>
      <c r="U968" s="36">
        <f>IF(AND(OR(sel_Region="All",C968=sel_Region),OR(sel_Country="All",D968=sel_Country),OR(sel_Channel="All",E968=sel_Channel),OR(sel_Customer="All",F968=sel_Customer),OR(sel_Category="All",G968=sel_Category),OR(sel_Product="All",H968=sel_Product),AND(S968&gt;=m_From,S968&lt;=m_To)),1,0)</f>
        <v/>
      </c>
      <c r="V968" s="36">
        <f>IF(AND(OR(sel_Region="All",C968=sel_Region),OR(sel_Channel="All",E968=sel_Channel),OR(sel_Customer="All",F968=sel_Customer),OR(sel_Category="All",G968=sel_Category),OR(sel_Product="All",H968=sel_Product),AND(S968&gt;=m_From,S968&lt;=m_To)),1,0)</f>
        <v/>
      </c>
      <c r="W968" s="36">
        <f>IF(AND(OR(sel_Region="All",C968=sel_Region),OR(sel_Country="All",D968=sel_Country),OR(sel_Customer="All",F968=sel_Customer),OR(sel_Category="All",G968=sel_Category),OR(sel_Product="All",H968=sel_Product),AND(S968&gt;=m_From,S968&lt;=m_To)),1,0)</f>
        <v/>
      </c>
      <c r="X968" s="36">
        <f>IF(AND(OR(sel_Region="All",C968=sel_Region),OR(sel_Country="All",D968=sel_Country),OR(sel_Channel="All",E968=sel_Channel),OR(sel_Category="All",G968=sel_Category),OR(sel_Product="All",H968=sel_Product),AND(S968&gt;=m_From,S968&lt;=m_To)),1,0)</f>
        <v/>
      </c>
      <c r="Y968" s="36">
        <f>IF(AND(OR(sel_Region="All",C968=sel_Region),OR(sel_Country="All",D968=sel_Country),OR(sel_Channel="All",E968=sel_Channel),OR(sel_Customer="All",F968=sel_Customer),OR(sel_Product="All",H968=sel_Product),AND(S968&gt;=m_From,S968&lt;=m_To)),1,0)</f>
        <v/>
      </c>
      <c r="Z968" s="36">
        <f>IF(AND(OR(sel_Region="All",C968=sel_Region),OR(sel_Country="All",D968=sel_Country),OR(sel_Channel="All",E968=sel_Channel),OR(sel_Customer="All",F968=sel_Customer),OR(sel_Category="All",G968=sel_Category),AND(S968&gt;=m_From,S968&lt;=m_To)),1,0)</f>
        <v/>
      </c>
      <c r="AA968" s="36">
        <f>IF(AND(OR(sel_Region="All",C968=sel_Region),OR(sel_Country="All",D968=sel_Country),OR(sel_Channel="All",E968=sel_Channel),OR(sel_Customer="All",F968=sel_Customer),OR(sel_Category="All",G968=sel_Category),OR(sel_Product="All",H968=sel_Product)),1,0)</f>
        <v/>
      </c>
    </row>
    <row r="969">
      <c r="A969" s="36" t="inlineStr">
        <is>
          <t>00463</t>
        </is>
      </c>
      <c r="B969" s="44" t="n">
        <v>46174</v>
      </c>
      <c r="C969" s="36" t="inlineStr">
        <is>
          <t>Western Europe</t>
        </is>
      </c>
      <c r="D969" s="36" t="inlineStr">
        <is>
          <t>Belgium</t>
        </is>
      </c>
      <c r="E969" s="36" t="inlineStr">
        <is>
          <t>Online Store</t>
        </is>
      </c>
      <c r="F969" s="36" t="inlineStr">
        <is>
          <t>New</t>
        </is>
      </c>
      <c r="G969" s="36" t="inlineStr">
        <is>
          <t>Cycling</t>
        </is>
      </c>
      <c r="H969" s="36" t="inlineStr">
        <is>
          <t>Compact Repair Kit</t>
        </is>
      </c>
      <c r="I969" s="36" t="n">
        <v>1</v>
      </c>
      <c r="J969" s="39" t="n">
        <v>40.71</v>
      </c>
      <c r="K969" s="45" t="n">
        <v>0.05</v>
      </c>
      <c r="L969" s="39" t="n">
        <v>16.56</v>
      </c>
      <c r="M969" s="39">
        <f>I969*J969*(1-K969)</f>
        <v/>
      </c>
      <c r="N969" s="39">
        <f>I969*L969</f>
        <v/>
      </c>
      <c r="O969" s="39">
        <f>M969-N969</f>
        <v/>
      </c>
      <c r="P969" s="38">
        <f>IF(M969=0,0,O969/M969)</f>
        <v/>
      </c>
      <c r="Q969" s="36">
        <f>YEAR(B969)</f>
        <v/>
      </c>
      <c r="R969" s="36">
        <f>"Q"&amp;ROUNDUP(MONTH(B969)/3,0)</f>
        <v/>
      </c>
      <c r="S969" s="36">
        <f>MONTH(B969)</f>
        <v/>
      </c>
      <c r="T969" s="36">
        <f>TEXT(B969,"mmm")</f>
        <v/>
      </c>
      <c r="U969" s="36">
        <f>IF(AND(OR(sel_Region="All",C969=sel_Region),OR(sel_Country="All",D969=sel_Country),OR(sel_Channel="All",E969=sel_Channel),OR(sel_Customer="All",F969=sel_Customer),OR(sel_Category="All",G969=sel_Category),OR(sel_Product="All",H969=sel_Product),AND(S969&gt;=m_From,S969&lt;=m_To)),1,0)</f>
        <v/>
      </c>
      <c r="V969" s="36">
        <f>IF(AND(OR(sel_Region="All",C969=sel_Region),OR(sel_Channel="All",E969=sel_Channel),OR(sel_Customer="All",F969=sel_Customer),OR(sel_Category="All",G969=sel_Category),OR(sel_Product="All",H969=sel_Product),AND(S969&gt;=m_From,S969&lt;=m_To)),1,0)</f>
        <v/>
      </c>
      <c r="W969" s="36">
        <f>IF(AND(OR(sel_Region="All",C969=sel_Region),OR(sel_Country="All",D969=sel_Country),OR(sel_Customer="All",F969=sel_Customer),OR(sel_Category="All",G969=sel_Category),OR(sel_Product="All",H969=sel_Product),AND(S969&gt;=m_From,S969&lt;=m_To)),1,0)</f>
        <v/>
      </c>
      <c r="X969" s="36">
        <f>IF(AND(OR(sel_Region="All",C969=sel_Region),OR(sel_Country="All",D969=sel_Country),OR(sel_Channel="All",E969=sel_Channel),OR(sel_Category="All",G969=sel_Category),OR(sel_Product="All",H969=sel_Product),AND(S969&gt;=m_From,S969&lt;=m_To)),1,0)</f>
        <v/>
      </c>
      <c r="Y969" s="36">
        <f>IF(AND(OR(sel_Region="All",C969=sel_Region),OR(sel_Country="All",D969=sel_Country),OR(sel_Channel="All",E969=sel_Channel),OR(sel_Customer="All",F969=sel_Customer),OR(sel_Product="All",H969=sel_Product),AND(S969&gt;=m_From,S969&lt;=m_To)),1,0)</f>
        <v/>
      </c>
      <c r="Z969" s="36">
        <f>IF(AND(OR(sel_Region="All",C969=sel_Region),OR(sel_Country="All",D969=sel_Country),OR(sel_Channel="All",E969=sel_Channel),OR(sel_Customer="All",F969=sel_Customer),OR(sel_Category="All",G969=sel_Category),AND(S969&gt;=m_From,S969&lt;=m_To)),1,0)</f>
        <v/>
      </c>
      <c r="AA969" s="36">
        <f>IF(AND(OR(sel_Region="All",C969=sel_Region),OR(sel_Country="All",D969=sel_Country),OR(sel_Channel="All",E969=sel_Channel),OR(sel_Customer="All",F969=sel_Customer),OR(sel_Category="All",G969=sel_Category),OR(sel_Product="All",H969=sel_Product)),1,0)</f>
        <v/>
      </c>
    </row>
    <row r="970">
      <c r="A970" s="36" t="inlineStr">
        <is>
          <t>00653</t>
        </is>
      </c>
      <c r="B970" s="44" t="n">
        <v>46174</v>
      </c>
      <c r="C970" s="36" t="inlineStr">
        <is>
          <t>Central Europe</t>
        </is>
      </c>
      <c r="D970" s="36" t="inlineStr">
        <is>
          <t>Switzerland</t>
        </is>
      </c>
      <c r="E970" s="36" t="inlineStr">
        <is>
          <t>Online Store</t>
        </is>
      </c>
      <c r="F970" s="36" t="inlineStr">
        <is>
          <t>Returning</t>
        </is>
      </c>
      <c r="G970" s="36" t="inlineStr">
        <is>
          <t>Fitness</t>
        </is>
      </c>
      <c r="H970" s="36" t="inlineStr">
        <is>
          <t>Resistance Band Set</t>
        </is>
      </c>
      <c r="I970" s="36" t="n">
        <v>1</v>
      </c>
      <c r="J970" s="39" t="n">
        <v>41.26</v>
      </c>
      <c r="K970" s="45" t="n">
        <v>0.05</v>
      </c>
      <c r="L970" s="39" t="n">
        <v>14.32</v>
      </c>
      <c r="M970" s="39">
        <f>I970*J970*(1-K970)</f>
        <v/>
      </c>
      <c r="N970" s="39">
        <f>I970*L970</f>
        <v/>
      </c>
      <c r="O970" s="39">
        <f>M970-N970</f>
        <v/>
      </c>
      <c r="P970" s="38">
        <f>IF(M970=0,0,O970/M970)</f>
        <v/>
      </c>
      <c r="Q970" s="36">
        <f>YEAR(B970)</f>
        <v/>
      </c>
      <c r="R970" s="36">
        <f>"Q"&amp;ROUNDUP(MONTH(B970)/3,0)</f>
        <v/>
      </c>
      <c r="S970" s="36">
        <f>MONTH(B970)</f>
        <v/>
      </c>
      <c r="T970" s="36">
        <f>TEXT(B970,"mmm")</f>
        <v/>
      </c>
      <c r="U970" s="36">
        <f>IF(AND(OR(sel_Region="All",C970=sel_Region),OR(sel_Country="All",D970=sel_Country),OR(sel_Channel="All",E970=sel_Channel),OR(sel_Customer="All",F970=sel_Customer),OR(sel_Category="All",G970=sel_Category),OR(sel_Product="All",H970=sel_Product),AND(S970&gt;=m_From,S970&lt;=m_To)),1,0)</f>
        <v/>
      </c>
      <c r="V970" s="36">
        <f>IF(AND(OR(sel_Region="All",C970=sel_Region),OR(sel_Channel="All",E970=sel_Channel),OR(sel_Customer="All",F970=sel_Customer),OR(sel_Category="All",G970=sel_Category),OR(sel_Product="All",H970=sel_Product),AND(S970&gt;=m_From,S970&lt;=m_To)),1,0)</f>
        <v/>
      </c>
      <c r="W970" s="36">
        <f>IF(AND(OR(sel_Region="All",C970=sel_Region),OR(sel_Country="All",D970=sel_Country),OR(sel_Customer="All",F970=sel_Customer),OR(sel_Category="All",G970=sel_Category),OR(sel_Product="All",H970=sel_Product),AND(S970&gt;=m_From,S970&lt;=m_To)),1,0)</f>
        <v/>
      </c>
      <c r="X970" s="36">
        <f>IF(AND(OR(sel_Region="All",C970=sel_Region),OR(sel_Country="All",D970=sel_Country),OR(sel_Channel="All",E970=sel_Channel),OR(sel_Category="All",G970=sel_Category),OR(sel_Product="All",H970=sel_Product),AND(S970&gt;=m_From,S970&lt;=m_To)),1,0)</f>
        <v/>
      </c>
      <c r="Y970" s="36">
        <f>IF(AND(OR(sel_Region="All",C970=sel_Region),OR(sel_Country="All",D970=sel_Country),OR(sel_Channel="All",E970=sel_Channel),OR(sel_Customer="All",F970=sel_Customer),OR(sel_Product="All",H970=sel_Product),AND(S970&gt;=m_From,S970&lt;=m_To)),1,0)</f>
        <v/>
      </c>
      <c r="Z970" s="36">
        <f>IF(AND(OR(sel_Region="All",C970=sel_Region),OR(sel_Country="All",D970=sel_Country),OR(sel_Channel="All",E970=sel_Channel),OR(sel_Customer="All",F970=sel_Customer),OR(sel_Category="All",G970=sel_Category),AND(S970&gt;=m_From,S970&lt;=m_To)),1,0)</f>
        <v/>
      </c>
      <c r="AA970" s="36">
        <f>IF(AND(OR(sel_Region="All",C970=sel_Region),OR(sel_Country="All",D970=sel_Country),OR(sel_Channel="All",E970=sel_Channel),OR(sel_Customer="All",F970=sel_Customer),OR(sel_Category="All",G970=sel_Category),OR(sel_Product="All",H970=sel_Product)),1,0)</f>
        <v/>
      </c>
    </row>
    <row r="971">
      <c r="A971" s="36" t="inlineStr">
        <is>
          <t>01485</t>
        </is>
      </c>
      <c r="B971" s="44" t="n">
        <v>46174</v>
      </c>
      <c r="C971" s="36" t="inlineStr">
        <is>
          <t>Central Europe</t>
        </is>
      </c>
      <c r="D971" s="36" t="inlineStr">
        <is>
          <t>Switzerland</t>
        </is>
      </c>
      <c r="E971" s="36" t="inlineStr">
        <is>
          <t>Retail Partners</t>
        </is>
      </c>
      <c r="F971" s="36" t="inlineStr">
        <is>
          <t>New</t>
        </is>
      </c>
      <c r="G971" s="36" t="inlineStr">
        <is>
          <t>Fitness</t>
        </is>
      </c>
      <c r="H971" s="36" t="inlineStr">
        <is>
          <t>Resistance Band Set</t>
        </is>
      </c>
      <c r="I971" s="36" t="n">
        <v>2</v>
      </c>
      <c r="J971" s="39" t="n">
        <v>40.84</v>
      </c>
      <c r="K971" s="45" t="n">
        <v>0</v>
      </c>
      <c r="L971" s="39" t="n">
        <v>14.48</v>
      </c>
      <c r="M971" s="39">
        <f>I971*J971*(1-K971)</f>
        <v/>
      </c>
      <c r="N971" s="39">
        <f>I971*L971</f>
        <v/>
      </c>
      <c r="O971" s="39">
        <f>M971-N971</f>
        <v/>
      </c>
      <c r="P971" s="38">
        <f>IF(M971=0,0,O971/M971)</f>
        <v/>
      </c>
      <c r="Q971" s="36">
        <f>YEAR(B971)</f>
        <v/>
      </c>
      <c r="R971" s="36">
        <f>"Q"&amp;ROUNDUP(MONTH(B971)/3,0)</f>
        <v/>
      </c>
      <c r="S971" s="36">
        <f>MONTH(B971)</f>
        <v/>
      </c>
      <c r="T971" s="36">
        <f>TEXT(B971,"mmm")</f>
        <v/>
      </c>
      <c r="U971" s="36">
        <f>IF(AND(OR(sel_Region="All",C971=sel_Region),OR(sel_Country="All",D971=sel_Country),OR(sel_Channel="All",E971=sel_Channel),OR(sel_Customer="All",F971=sel_Customer),OR(sel_Category="All",G971=sel_Category),OR(sel_Product="All",H971=sel_Product),AND(S971&gt;=m_From,S971&lt;=m_To)),1,0)</f>
        <v/>
      </c>
      <c r="V971" s="36">
        <f>IF(AND(OR(sel_Region="All",C971=sel_Region),OR(sel_Channel="All",E971=sel_Channel),OR(sel_Customer="All",F971=sel_Customer),OR(sel_Category="All",G971=sel_Category),OR(sel_Product="All",H971=sel_Product),AND(S971&gt;=m_From,S971&lt;=m_To)),1,0)</f>
        <v/>
      </c>
      <c r="W971" s="36">
        <f>IF(AND(OR(sel_Region="All",C971=sel_Region),OR(sel_Country="All",D971=sel_Country),OR(sel_Customer="All",F971=sel_Customer),OR(sel_Category="All",G971=sel_Category),OR(sel_Product="All",H971=sel_Product),AND(S971&gt;=m_From,S971&lt;=m_To)),1,0)</f>
        <v/>
      </c>
      <c r="X971" s="36">
        <f>IF(AND(OR(sel_Region="All",C971=sel_Region),OR(sel_Country="All",D971=sel_Country),OR(sel_Channel="All",E971=sel_Channel),OR(sel_Category="All",G971=sel_Category),OR(sel_Product="All",H971=sel_Product),AND(S971&gt;=m_From,S971&lt;=m_To)),1,0)</f>
        <v/>
      </c>
      <c r="Y971" s="36">
        <f>IF(AND(OR(sel_Region="All",C971=sel_Region),OR(sel_Country="All",D971=sel_Country),OR(sel_Channel="All",E971=sel_Channel),OR(sel_Customer="All",F971=sel_Customer),OR(sel_Product="All",H971=sel_Product),AND(S971&gt;=m_From,S971&lt;=m_To)),1,0)</f>
        <v/>
      </c>
      <c r="Z971" s="36">
        <f>IF(AND(OR(sel_Region="All",C971=sel_Region),OR(sel_Country="All",D971=sel_Country),OR(sel_Channel="All",E971=sel_Channel),OR(sel_Customer="All",F971=sel_Customer),OR(sel_Category="All",G971=sel_Category),AND(S971&gt;=m_From,S971&lt;=m_To)),1,0)</f>
        <v/>
      </c>
      <c r="AA971" s="36">
        <f>IF(AND(OR(sel_Region="All",C971=sel_Region),OR(sel_Country="All",D971=sel_Country),OR(sel_Channel="All",E971=sel_Channel),OR(sel_Customer="All",F971=sel_Customer),OR(sel_Category="All",G971=sel_Category),OR(sel_Product="All",H971=sel_Product)),1,0)</f>
        <v/>
      </c>
    </row>
    <row r="972">
      <c r="A972" s="36" t="inlineStr">
        <is>
          <t>01925</t>
        </is>
      </c>
      <c r="B972" s="44" t="n">
        <v>46174</v>
      </c>
      <c r="C972" s="36" t="inlineStr">
        <is>
          <t>Western Europe</t>
        </is>
      </c>
      <c r="D972" s="36" t="inlineStr">
        <is>
          <t>Belgium</t>
        </is>
      </c>
      <c r="E972" s="36" t="inlineStr">
        <is>
          <t>Online Store</t>
        </is>
      </c>
      <c r="F972" s="36" t="inlineStr">
        <is>
          <t>Returning</t>
        </is>
      </c>
      <c r="G972" s="36" t="inlineStr">
        <is>
          <t>Hiking</t>
        </is>
      </c>
      <c r="H972" s="36" t="inlineStr">
        <is>
          <t>Trail Boots</t>
        </is>
      </c>
      <c r="I972" s="36" t="n">
        <v>1</v>
      </c>
      <c r="J972" s="39" t="n">
        <v>143.32</v>
      </c>
      <c r="K972" s="45" t="n">
        <v>0</v>
      </c>
      <c r="L972" s="39" t="n">
        <v>80.36</v>
      </c>
      <c r="M972" s="39">
        <f>I972*J972*(1-K972)</f>
        <v/>
      </c>
      <c r="N972" s="39">
        <f>I972*L972</f>
        <v/>
      </c>
      <c r="O972" s="39">
        <f>M972-N972</f>
        <v/>
      </c>
      <c r="P972" s="38">
        <f>IF(M972=0,0,O972/M972)</f>
        <v/>
      </c>
      <c r="Q972" s="36">
        <f>YEAR(B972)</f>
        <v/>
      </c>
      <c r="R972" s="36">
        <f>"Q"&amp;ROUNDUP(MONTH(B972)/3,0)</f>
        <v/>
      </c>
      <c r="S972" s="36">
        <f>MONTH(B972)</f>
        <v/>
      </c>
      <c r="T972" s="36">
        <f>TEXT(B972,"mmm")</f>
        <v/>
      </c>
      <c r="U972" s="36">
        <f>IF(AND(OR(sel_Region="All",C972=sel_Region),OR(sel_Country="All",D972=sel_Country),OR(sel_Channel="All",E972=sel_Channel),OR(sel_Customer="All",F972=sel_Customer),OR(sel_Category="All",G972=sel_Category),OR(sel_Product="All",H972=sel_Product),AND(S972&gt;=m_From,S972&lt;=m_To)),1,0)</f>
        <v/>
      </c>
      <c r="V972" s="36">
        <f>IF(AND(OR(sel_Region="All",C972=sel_Region),OR(sel_Channel="All",E972=sel_Channel),OR(sel_Customer="All",F972=sel_Customer),OR(sel_Category="All",G972=sel_Category),OR(sel_Product="All",H972=sel_Product),AND(S972&gt;=m_From,S972&lt;=m_To)),1,0)</f>
        <v/>
      </c>
      <c r="W972" s="36">
        <f>IF(AND(OR(sel_Region="All",C972=sel_Region),OR(sel_Country="All",D972=sel_Country),OR(sel_Customer="All",F972=sel_Customer),OR(sel_Category="All",G972=sel_Category),OR(sel_Product="All",H972=sel_Product),AND(S972&gt;=m_From,S972&lt;=m_To)),1,0)</f>
        <v/>
      </c>
      <c r="X972" s="36">
        <f>IF(AND(OR(sel_Region="All",C972=sel_Region),OR(sel_Country="All",D972=sel_Country),OR(sel_Channel="All",E972=sel_Channel),OR(sel_Category="All",G972=sel_Category),OR(sel_Product="All",H972=sel_Product),AND(S972&gt;=m_From,S972&lt;=m_To)),1,0)</f>
        <v/>
      </c>
      <c r="Y972" s="36">
        <f>IF(AND(OR(sel_Region="All",C972=sel_Region),OR(sel_Country="All",D972=sel_Country),OR(sel_Channel="All",E972=sel_Channel),OR(sel_Customer="All",F972=sel_Customer),OR(sel_Product="All",H972=sel_Product),AND(S972&gt;=m_From,S972&lt;=m_To)),1,0)</f>
        <v/>
      </c>
      <c r="Z972" s="36">
        <f>IF(AND(OR(sel_Region="All",C972=sel_Region),OR(sel_Country="All",D972=sel_Country),OR(sel_Channel="All",E972=sel_Channel),OR(sel_Customer="All",F972=sel_Customer),OR(sel_Category="All",G972=sel_Category),AND(S972&gt;=m_From,S972&lt;=m_To)),1,0)</f>
        <v/>
      </c>
      <c r="AA972" s="36">
        <f>IF(AND(OR(sel_Region="All",C972=sel_Region),OR(sel_Country="All",D972=sel_Country),OR(sel_Channel="All",E972=sel_Channel),OR(sel_Customer="All",F972=sel_Customer),OR(sel_Category="All",G972=sel_Category),OR(sel_Product="All",H972=sel_Product)),1,0)</f>
        <v/>
      </c>
    </row>
    <row r="973">
      <c r="A973" s="36" t="inlineStr">
        <is>
          <t>01952</t>
        </is>
      </c>
      <c r="B973" s="44" t="n">
        <v>46174</v>
      </c>
      <c r="C973" s="36" t="inlineStr">
        <is>
          <t>Southern Europe</t>
        </is>
      </c>
      <c r="D973" s="36" t="inlineStr">
        <is>
          <t>Italy</t>
        </is>
      </c>
      <c r="E973" s="36" t="inlineStr">
        <is>
          <t>Online Store</t>
        </is>
      </c>
      <c r="F973" s="36" t="inlineStr">
        <is>
          <t>New</t>
        </is>
      </c>
      <c r="G973" s="36" t="inlineStr">
        <is>
          <t>Hiking</t>
        </is>
      </c>
      <c r="H973" s="36" t="inlineStr">
        <is>
          <t>Summit Backpack 45L</t>
        </is>
      </c>
      <c r="I973" s="36" t="n">
        <v>2</v>
      </c>
      <c r="J973" s="39" t="n">
        <v>156.31</v>
      </c>
      <c r="K973" s="45" t="n">
        <v>0</v>
      </c>
      <c r="L973" s="39" t="n">
        <v>79.87</v>
      </c>
      <c r="M973" s="39">
        <f>I973*J973*(1-K973)</f>
        <v/>
      </c>
      <c r="N973" s="39">
        <f>I973*L973</f>
        <v/>
      </c>
      <c r="O973" s="39">
        <f>M973-N973</f>
        <v/>
      </c>
      <c r="P973" s="38">
        <f>IF(M973=0,0,O973/M973)</f>
        <v/>
      </c>
      <c r="Q973" s="36">
        <f>YEAR(B973)</f>
        <v/>
      </c>
      <c r="R973" s="36">
        <f>"Q"&amp;ROUNDUP(MONTH(B973)/3,0)</f>
        <v/>
      </c>
      <c r="S973" s="36">
        <f>MONTH(B973)</f>
        <v/>
      </c>
      <c r="T973" s="36">
        <f>TEXT(B973,"mmm")</f>
        <v/>
      </c>
      <c r="U973" s="36">
        <f>IF(AND(OR(sel_Region="All",C973=sel_Region),OR(sel_Country="All",D973=sel_Country),OR(sel_Channel="All",E973=sel_Channel),OR(sel_Customer="All",F973=sel_Customer),OR(sel_Category="All",G973=sel_Category),OR(sel_Product="All",H973=sel_Product),AND(S973&gt;=m_From,S973&lt;=m_To)),1,0)</f>
        <v/>
      </c>
      <c r="V973" s="36">
        <f>IF(AND(OR(sel_Region="All",C973=sel_Region),OR(sel_Channel="All",E973=sel_Channel),OR(sel_Customer="All",F973=sel_Customer),OR(sel_Category="All",G973=sel_Category),OR(sel_Product="All",H973=sel_Product),AND(S973&gt;=m_From,S973&lt;=m_To)),1,0)</f>
        <v/>
      </c>
      <c r="W973" s="36">
        <f>IF(AND(OR(sel_Region="All",C973=sel_Region),OR(sel_Country="All",D973=sel_Country),OR(sel_Customer="All",F973=sel_Customer),OR(sel_Category="All",G973=sel_Category),OR(sel_Product="All",H973=sel_Product),AND(S973&gt;=m_From,S973&lt;=m_To)),1,0)</f>
        <v/>
      </c>
      <c r="X973" s="36">
        <f>IF(AND(OR(sel_Region="All",C973=sel_Region),OR(sel_Country="All",D973=sel_Country),OR(sel_Channel="All",E973=sel_Channel),OR(sel_Category="All",G973=sel_Category),OR(sel_Product="All",H973=sel_Product),AND(S973&gt;=m_From,S973&lt;=m_To)),1,0)</f>
        <v/>
      </c>
      <c r="Y973" s="36">
        <f>IF(AND(OR(sel_Region="All",C973=sel_Region),OR(sel_Country="All",D973=sel_Country),OR(sel_Channel="All",E973=sel_Channel),OR(sel_Customer="All",F973=sel_Customer),OR(sel_Product="All",H973=sel_Product),AND(S973&gt;=m_From,S973&lt;=m_To)),1,0)</f>
        <v/>
      </c>
      <c r="Z973" s="36">
        <f>IF(AND(OR(sel_Region="All",C973=sel_Region),OR(sel_Country="All",D973=sel_Country),OR(sel_Channel="All",E973=sel_Channel),OR(sel_Customer="All",F973=sel_Customer),OR(sel_Category="All",G973=sel_Category),AND(S973&gt;=m_From,S973&lt;=m_To)),1,0)</f>
        <v/>
      </c>
      <c r="AA973" s="36">
        <f>IF(AND(OR(sel_Region="All",C973=sel_Region),OR(sel_Country="All",D973=sel_Country),OR(sel_Channel="All",E973=sel_Channel),OR(sel_Customer="All",F973=sel_Customer),OR(sel_Category="All",G973=sel_Category),OR(sel_Product="All",H973=sel_Product)),1,0)</f>
        <v/>
      </c>
    </row>
    <row r="974">
      <c r="A974" s="36" t="inlineStr">
        <is>
          <t>02010</t>
        </is>
      </c>
      <c r="B974" s="44" t="n">
        <v>46174</v>
      </c>
      <c r="C974" s="36" t="inlineStr">
        <is>
          <t>Western Europe</t>
        </is>
      </c>
      <c r="D974" s="36" t="inlineStr">
        <is>
          <t>United Kingdom</t>
        </is>
      </c>
      <c r="E974" s="36" t="inlineStr">
        <is>
          <t>Online Store</t>
        </is>
      </c>
      <c r="F974" s="36" t="inlineStr">
        <is>
          <t>New</t>
        </is>
      </c>
      <c r="G974" s="36" t="inlineStr">
        <is>
          <t>Cycling</t>
        </is>
      </c>
      <c r="H974" s="36" t="inlineStr">
        <is>
          <t>Cycling Pack 12L</t>
        </is>
      </c>
      <c r="I974" s="36" t="n">
        <v>3</v>
      </c>
      <c r="J974" s="39" t="n">
        <v>100.69</v>
      </c>
      <c r="K974" s="45" t="n">
        <v>0.1</v>
      </c>
      <c r="L974" s="39" t="n">
        <v>51.31</v>
      </c>
      <c r="M974" s="39">
        <f>I974*J974*(1-K974)</f>
        <v/>
      </c>
      <c r="N974" s="39">
        <f>I974*L974</f>
        <v/>
      </c>
      <c r="O974" s="39">
        <f>M974-N974</f>
        <v/>
      </c>
      <c r="P974" s="38">
        <f>IF(M974=0,0,O974/M974)</f>
        <v/>
      </c>
      <c r="Q974" s="36">
        <f>YEAR(B974)</f>
        <v/>
      </c>
      <c r="R974" s="36">
        <f>"Q"&amp;ROUNDUP(MONTH(B974)/3,0)</f>
        <v/>
      </c>
      <c r="S974" s="36">
        <f>MONTH(B974)</f>
        <v/>
      </c>
      <c r="T974" s="36">
        <f>TEXT(B974,"mmm")</f>
        <v/>
      </c>
      <c r="U974" s="36">
        <f>IF(AND(OR(sel_Region="All",C974=sel_Region),OR(sel_Country="All",D974=sel_Country),OR(sel_Channel="All",E974=sel_Channel),OR(sel_Customer="All",F974=sel_Customer),OR(sel_Category="All",G974=sel_Category),OR(sel_Product="All",H974=sel_Product),AND(S974&gt;=m_From,S974&lt;=m_To)),1,0)</f>
        <v/>
      </c>
      <c r="V974" s="36">
        <f>IF(AND(OR(sel_Region="All",C974=sel_Region),OR(sel_Channel="All",E974=sel_Channel),OR(sel_Customer="All",F974=sel_Customer),OR(sel_Category="All",G974=sel_Category),OR(sel_Product="All",H974=sel_Product),AND(S974&gt;=m_From,S974&lt;=m_To)),1,0)</f>
        <v/>
      </c>
      <c r="W974" s="36">
        <f>IF(AND(OR(sel_Region="All",C974=sel_Region),OR(sel_Country="All",D974=sel_Country),OR(sel_Customer="All",F974=sel_Customer),OR(sel_Category="All",G974=sel_Category),OR(sel_Product="All",H974=sel_Product),AND(S974&gt;=m_From,S974&lt;=m_To)),1,0)</f>
        <v/>
      </c>
      <c r="X974" s="36">
        <f>IF(AND(OR(sel_Region="All",C974=sel_Region),OR(sel_Country="All",D974=sel_Country),OR(sel_Channel="All",E974=sel_Channel),OR(sel_Category="All",G974=sel_Category),OR(sel_Product="All",H974=sel_Product),AND(S974&gt;=m_From,S974&lt;=m_To)),1,0)</f>
        <v/>
      </c>
      <c r="Y974" s="36">
        <f>IF(AND(OR(sel_Region="All",C974=sel_Region),OR(sel_Country="All",D974=sel_Country),OR(sel_Channel="All",E974=sel_Channel),OR(sel_Customer="All",F974=sel_Customer),OR(sel_Product="All",H974=sel_Product),AND(S974&gt;=m_From,S974&lt;=m_To)),1,0)</f>
        <v/>
      </c>
      <c r="Z974" s="36">
        <f>IF(AND(OR(sel_Region="All",C974=sel_Region),OR(sel_Country="All",D974=sel_Country),OR(sel_Channel="All",E974=sel_Channel),OR(sel_Customer="All",F974=sel_Customer),OR(sel_Category="All",G974=sel_Category),AND(S974&gt;=m_From,S974&lt;=m_To)),1,0)</f>
        <v/>
      </c>
      <c r="AA974" s="36">
        <f>IF(AND(OR(sel_Region="All",C974=sel_Region),OR(sel_Country="All",D974=sel_Country),OR(sel_Channel="All",E974=sel_Channel),OR(sel_Customer="All",F974=sel_Customer),OR(sel_Category="All",G974=sel_Category),OR(sel_Product="All",H974=sel_Product)),1,0)</f>
        <v/>
      </c>
    </row>
    <row r="975">
      <c r="A975" s="36" t="inlineStr">
        <is>
          <t>02114</t>
        </is>
      </c>
      <c r="B975" s="44" t="n">
        <v>46174</v>
      </c>
      <c r="C975" s="36" t="inlineStr">
        <is>
          <t>Western Europe</t>
        </is>
      </c>
      <c r="D975" s="36" t="inlineStr">
        <is>
          <t>France</t>
        </is>
      </c>
      <c r="E975" s="36" t="inlineStr">
        <is>
          <t>Retail Partners</t>
        </is>
      </c>
      <c r="F975" s="36" t="inlineStr">
        <is>
          <t>Business</t>
        </is>
      </c>
      <c r="G975" s="36" t="inlineStr">
        <is>
          <t>Travel</t>
        </is>
      </c>
      <c r="H975" s="36" t="inlineStr">
        <is>
          <t>Packing Cube Set</t>
        </is>
      </c>
      <c r="I975" s="36" t="n">
        <v>2</v>
      </c>
      <c r="J975" s="39" t="n">
        <v>45.54</v>
      </c>
      <c r="K975" s="45" t="n">
        <v>0.1</v>
      </c>
      <c r="L975" s="39" t="n">
        <v>18.31</v>
      </c>
      <c r="M975" s="39">
        <f>I975*J975*(1-K975)</f>
        <v/>
      </c>
      <c r="N975" s="39">
        <f>I975*L975</f>
        <v/>
      </c>
      <c r="O975" s="39">
        <f>M975-N975</f>
        <v/>
      </c>
      <c r="P975" s="38">
        <f>IF(M975=0,0,O975/M975)</f>
        <v/>
      </c>
      <c r="Q975" s="36">
        <f>YEAR(B975)</f>
        <v/>
      </c>
      <c r="R975" s="36">
        <f>"Q"&amp;ROUNDUP(MONTH(B975)/3,0)</f>
        <v/>
      </c>
      <c r="S975" s="36">
        <f>MONTH(B975)</f>
        <v/>
      </c>
      <c r="T975" s="36">
        <f>TEXT(B975,"mmm")</f>
        <v/>
      </c>
      <c r="U975" s="36">
        <f>IF(AND(OR(sel_Region="All",C975=sel_Region),OR(sel_Country="All",D975=sel_Country),OR(sel_Channel="All",E975=sel_Channel),OR(sel_Customer="All",F975=sel_Customer),OR(sel_Category="All",G975=sel_Category),OR(sel_Product="All",H975=sel_Product),AND(S975&gt;=m_From,S975&lt;=m_To)),1,0)</f>
        <v/>
      </c>
      <c r="V975" s="36">
        <f>IF(AND(OR(sel_Region="All",C975=sel_Region),OR(sel_Channel="All",E975=sel_Channel),OR(sel_Customer="All",F975=sel_Customer),OR(sel_Category="All",G975=sel_Category),OR(sel_Product="All",H975=sel_Product),AND(S975&gt;=m_From,S975&lt;=m_To)),1,0)</f>
        <v/>
      </c>
      <c r="W975" s="36">
        <f>IF(AND(OR(sel_Region="All",C975=sel_Region),OR(sel_Country="All",D975=sel_Country),OR(sel_Customer="All",F975=sel_Customer),OR(sel_Category="All",G975=sel_Category),OR(sel_Product="All",H975=sel_Product),AND(S975&gt;=m_From,S975&lt;=m_To)),1,0)</f>
        <v/>
      </c>
      <c r="X975" s="36">
        <f>IF(AND(OR(sel_Region="All",C975=sel_Region),OR(sel_Country="All",D975=sel_Country),OR(sel_Channel="All",E975=sel_Channel),OR(sel_Category="All",G975=sel_Category),OR(sel_Product="All",H975=sel_Product),AND(S975&gt;=m_From,S975&lt;=m_To)),1,0)</f>
        <v/>
      </c>
      <c r="Y975" s="36">
        <f>IF(AND(OR(sel_Region="All",C975=sel_Region),OR(sel_Country="All",D975=sel_Country),OR(sel_Channel="All",E975=sel_Channel),OR(sel_Customer="All",F975=sel_Customer),OR(sel_Product="All",H975=sel_Product),AND(S975&gt;=m_From,S975&lt;=m_To)),1,0)</f>
        <v/>
      </c>
      <c r="Z975" s="36">
        <f>IF(AND(OR(sel_Region="All",C975=sel_Region),OR(sel_Country="All",D975=sel_Country),OR(sel_Channel="All",E975=sel_Channel),OR(sel_Customer="All",F975=sel_Customer),OR(sel_Category="All",G975=sel_Category),AND(S975&gt;=m_From,S975&lt;=m_To)),1,0)</f>
        <v/>
      </c>
      <c r="AA975" s="36">
        <f>IF(AND(OR(sel_Region="All",C975=sel_Region),OR(sel_Country="All",D975=sel_Country),OR(sel_Channel="All",E975=sel_Channel),OR(sel_Customer="All",F975=sel_Customer),OR(sel_Category="All",G975=sel_Category),OR(sel_Product="All",H975=sel_Product)),1,0)</f>
        <v/>
      </c>
    </row>
    <row r="976">
      <c r="A976" s="36" t="inlineStr">
        <is>
          <t>03104</t>
        </is>
      </c>
      <c r="B976" s="44" t="n">
        <v>46174</v>
      </c>
      <c r="C976" s="36" t="inlineStr">
        <is>
          <t>Northern Europe</t>
        </is>
      </c>
      <c r="D976" s="36" t="inlineStr">
        <is>
          <t>Ireland</t>
        </is>
      </c>
      <c r="E976" s="36" t="inlineStr">
        <is>
          <t>Corporate</t>
        </is>
      </c>
      <c r="F976" s="36" t="inlineStr">
        <is>
          <t>Business</t>
        </is>
      </c>
      <c r="G976" s="36" t="inlineStr">
        <is>
          <t>Hiking</t>
        </is>
      </c>
      <c r="H976" s="36" t="inlineStr">
        <is>
          <t>Summit Backpack 45L</t>
        </is>
      </c>
      <c r="I976" s="36" t="n">
        <v>5</v>
      </c>
      <c r="J976" s="39" t="n">
        <v>153.97</v>
      </c>
      <c r="K976" s="45" t="n">
        <v>0.15</v>
      </c>
      <c r="L976" s="39" t="n">
        <v>79.81</v>
      </c>
      <c r="M976" s="39">
        <f>I976*J976*(1-K976)</f>
        <v/>
      </c>
      <c r="N976" s="39">
        <f>I976*L976</f>
        <v/>
      </c>
      <c r="O976" s="39">
        <f>M976-N976</f>
        <v/>
      </c>
      <c r="P976" s="38">
        <f>IF(M976=0,0,O976/M976)</f>
        <v/>
      </c>
      <c r="Q976" s="36">
        <f>YEAR(B976)</f>
        <v/>
      </c>
      <c r="R976" s="36">
        <f>"Q"&amp;ROUNDUP(MONTH(B976)/3,0)</f>
        <v/>
      </c>
      <c r="S976" s="36">
        <f>MONTH(B976)</f>
        <v/>
      </c>
      <c r="T976" s="36">
        <f>TEXT(B976,"mmm")</f>
        <v/>
      </c>
      <c r="U976" s="36">
        <f>IF(AND(OR(sel_Region="All",C976=sel_Region),OR(sel_Country="All",D976=sel_Country),OR(sel_Channel="All",E976=sel_Channel),OR(sel_Customer="All",F976=sel_Customer),OR(sel_Category="All",G976=sel_Category),OR(sel_Product="All",H976=sel_Product),AND(S976&gt;=m_From,S976&lt;=m_To)),1,0)</f>
        <v/>
      </c>
      <c r="V976" s="36">
        <f>IF(AND(OR(sel_Region="All",C976=sel_Region),OR(sel_Channel="All",E976=sel_Channel),OR(sel_Customer="All",F976=sel_Customer),OR(sel_Category="All",G976=sel_Category),OR(sel_Product="All",H976=sel_Product),AND(S976&gt;=m_From,S976&lt;=m_To)),1,0)</f>
        <v/>
      </c>
      <c r="W976" s="36">
        <f>IF(AND(OR(sel_Region="All",C976=sel_Region),OR(sel_Country="All",D976=sel_Country),OR(sel_Customer="All",F976=sel_Customer),OR(sel_Category="All",G976=sel_Category),OR(sel_Product="All",H976=sel_Product),AND(S976&gt;=m_From,S976&lt;=m_To)),1,0)</f>
        <v/>
      </c>
      <c r="X976" s="36">
        <f>IF(AND(OR(sel_Region="All",C976=sel_Region),OR(sel_Country="All",D976=sel_Country),OR(sel_Channel="All",E976=sel_Channel),OR(sel_Category="All",G976=sel_Category),OR(sel_Product="All",H976=sel_Product),AND(S976&gt;=m_From,S976&lt;=m_To)),1,0)</f>
        <v/>
      </c>
      <c r="Y976" s="36">
        <f>IF(AND(OR(sel_Region="All",C976=sel_Region),OR(sel_Country="All",D976=sel_Country),OR(sel_Channel="All",E976=sel_Channel),OR(sel_Customer="All",F976=sel_Customer),OR(sel_Product="All",H976=sel_Product),AND(S976&gt;=m_From,S976&lt;=m_To)),1,0)</f>
        <v/>
      </c>
      <c r="Z976" s="36">
        <f>IF(AND(OR(sel_Region="All",C976=sel_Region),OR(sel_Country="All",D976=sel_Country),OR(sel_Channel="All",E976=sel_Channel),OR(sel_Customer="All",F976=sel_Customer),OR(sel_Category="All",G976=sel_Category),AND(S976&gt;=m_From,S976&lt;=m_To)),1,0)</f>
        <v/>
      </c>
      <c r="AA976" s="36">
        <f>IF(AND(OR(sel_Region="All",C976=sel_Region),OR(sel_Country="All",D976=sel_Country),OR(sel_Channel="All",E976=sel_Channel),OR(sel_Customer="All",F976=sel_Customer),OR(sel_Category="All",G976=sel_Category),OR(sel_Product="All",H976=sel_Product)),1,0)</f>
        <v/>
      </c>
    </row>
    <row r="977">
      <c r="A977" s="36" t="inlineStr">
        <is>
          <t>03230</t>
        </is>
      </c>
      <c r="B977" s="44" t="n">
        <v>46174</v>
      </c>
      <c r="C977" s="36" t="inlineStr">
        <is>
          <t>Northern Europe</t>
        </is>
      </c>
      <c r="D977" s="36" t="inlineStr">
        <is>
          <t>Norway</t>
        </is>
      </c>
      <c r="E977" s="36" t="inlineStr">
        <is>
          <t>Retail Partners</t>
        </is>
      </c>
      <c r="F977" s="36" t="inlineStr">
        <is>
          <t>Returning</t>
        </is>
      </c>
      <c r="G977" s="36" t="inlineStr">
        <is>
          <t>Fitness</t>
        </is>
      </c>
      <c r="H977" s="36" t="inlineStr">
        <is>
          <t>Weighted Vest</t>
        </is>
      </c>
      <c r="I977" s="36" t="n">
        <v>1</v>
      </c>
      <c r="J977" s="39" t="n">
        <v>124.17</v>
      </c>
      <c r="K977" s="45" t="n">
        <v>0</v>
      </c>
      <c r="L977" s="39" t="n">
        <v>71.04000000000001</v>
      </c>
      <c r="M977" s="39">
        <f>I977*J977*(1-K977)</f>
        <v/>
      </c>
      <c r="N977" s="39">
        <f>I977*L977</f>
        <v/>
      </c>
      <c r="O977" s="39">
        <f>M977-N977</f>
        <v/>
      </c>
      <c r="P977" s="38">
        <f>IF(M977=0,0,O977/M977)</f>
        <v/>
      </c>
      <c r="Q977" s="36">
        <f>YEAR(B977)</f>
        <v/>
      </c>
      <c r="R977" s="36">
        <f>"Q"&amp;ROUNDUP(MONTH(B977)/3,0)</f>
        <v/>
      </c>
      <c r="S977" s="36">
        <f>MONTH(B977)</f>
        <v/>
      </c>
      <c r="T977" s="36">
        <f>TEXT(B977,"mmm")</f>
        <v/>
      </c>
      <c r="U977" s="36">
        <f>IF(AND(OR(sel_Region="All",C977=sel_Region),OR(sel_Country="All",D977=sel_Country),OR(sel_Channel="All",E977=sel_Channel),OR(sel_Customer="All",F977=sel_Customer),OR(sel_Category="All",G977=sel_Category),OR(sel_Product="All",H977=sel_Product),AND(S977&gt;=m_From,S977&lt;=m_To)),1,0)</f>
        <v/>
      </c>
      <c r="V977" s="36">
        <f>IF(AND(OR(sel_Region="All",C977=sel_Region),OR(sel_Channel="All",E977=sel_Channel),OR(sel_Customer="All",F977=sel_Customer),OR(sel_Category="All",G977=sel_Category),OR(sel_Product="All",H977=sel_Product),AND(S977&gt;=m_From,S977&lt;=m_To)),1,0)</f>
        <v/>
      </c>
      <c r="W977" s="36">
        <f>IF(AND(OR(sel_Region="All",C977=sel_Region),OR(sel_Country="All",D977=sel_Country),OR(sel_Customer="All",F977=sel_Customer),OR(sel_Category="All",G977=sel_Category),OR(sel_Product="All",H977=sel_Product),AND(S977&gt;=m_From,S977&lt;=m_To)),1,0)</f>
        <v/>
      </c>
      <c r="X977" s="36">
        <f>IF(AND(OR(sel_Region="All",C977=sel_Region),OR(sel_Country="All",D977=sel_Country),OR(sel_Channel="All",E977=sel_Channel),OR(sel_Category="All",G977=sel_Category),OR(sel_Product="All",H977=sel_Product),AND(S977&gt;=m_From,S977&lt;=m_To)),1,0)</f>
        <v/>
      </c>
      <c r="Y977" s="36">
        <f>IF(AND(OR(sel_Region="All",C977=sel_Region),OR(sel_Country="All",D977=sel_Country),OR(sel_Channel="All",E977=sel_Channel),OR(sel_Customer="All",F977=sel_Customer),OR(sel_Product="All",H977=sel_Product),AND(S977&gt;=m_From,S977&lt;=m_To)),1,0)</f>
        <v/>
      </c>
      <c r="Z977" s="36">
        <f>IF(AND(OR(sel_Region="All",C977=sel_Region),OR(sel_Country="All",D977=sel_Country),OR(sel_Channel="All",E977=sel_Channel),OR(sel_Customer="All",F977=sel_Customer),OR(sel_Category="All",G977=sel_Category),AND(S977&gt;=m_From,S977&lt;=m_To)),1,0)</f>
        <v/>
      </c>
      <c r="AA977" s="36">
        <f>IF(AND(OR(sel_Region="All",C977=sel_Region),OR(sel_Country="All",D977=sel_Country),OR(sel_Channel="All",E977=sel_Channel),OR(sel_Customer="All",F977=sel_Customer),OR(sel_Category="All",G977=sel_Category),OR(sel_Product="All",H977=sel_Product)),1,0)</f>
        <v/>
      </c>
    </row>
    <row r="978">
      <c r="A978" s="36" t="inlineStr">
        <is>
          <t>03415</t>
        </is>
      </c>
      <c r="B978" s="44" t="n">
        <v>46174</v>
      </c>
      <c r="C978" s="36" t="inlineStr">
        <is>
          <t>Northern Europe</t>
        </is>
      </c>
      <c r="D978" s="36" t="inlineStr">
        <is>
          <t>Denmark</t>
        </is>
      </c>
      <c r="E978" s="36" t="inlineStr">
        <is>
          <t>Retail Partners</t>
        </is>
      </c>
      <c r="F978" s="36" t="inlineStr">
        <is>
          <t>Returning</t>
        </is>
      </c>
      <c r="G978" s="36" t="inlineStr">
        <is>
          <t>Hiking</t>
        </is>
      </c>
      <c r="H978" s="36" t="inlineStr">
        <is>
          <t>Summit Backpack 45L</t>
        </is>
      </c>
      <c r="I978" s="36" t="n">
        <v>1</v>
      </c>
      <c r="J978" s="39" t="n">
        <v>152.95</v>
      </c>
      <c r="K978" s="45" t="n">
        <v>0.05</v>
      </c>
      <c r="L978" s="39" t="n">
        <v>76.97</v>
      </c>
      <c r="M978" s="39">
        <f>I978*J978*(1-K978)</f>
        <v/>
      </c>
      <c r="N978" s="39">
        <f>I978*L978</f>
        <v/>
      </c>
      <c r="O978" s="39">
        <f>M978-N978</f>
        <v/>
      </c>
      <c r="P978" s="38">
        <f>IF(M978=0,0,O978/M978)</f>
        <v/>
      </c>
      <c r="Q978" s="36">
        <f>YEAR(B978)</f>
        <v/>
      </c>
      <c r="R978" s="36">
        <f>"Q"&amp;ROUNDUP(MONTH(B978)/3,0)</f>
        <v/>
      </c>
      <c r="S978" s="36">
        <f>MONTH(B978)</f>
        <v/>
      </c>
      <c r="T978" s="36">
        <f>TEXT(B978,"mmm")</f>
        <v/>
      </c>
      <c r="U978" s="36">
        <f>IF(AND(OR(sel_Region="All",C978=sel_Region),OR(sel_Country="All",D978=sel_Country),OR(sel_Channel="All",E978=sel_Channel),OR(sel_Customer="All",F978=sel_Customer),OR(sel_Category="All",G978=sel_Category),OR(sel_Product="All",H978=sel_Product),AND(S978&gt;=m_From,S978&lt;=m_To)),1,0)</f>
        <v/>
      </c>
      <c r="V978" s="36">
        <f>IF(AND(OR(sel_Region="All",C978=sel_Region),OR(sel_Channel="All",E978=sel_Channel),OR(sel_Customer="All",F978=sel_Customer),OR(sel_Category="All",G978=sel_Category),OR(sel_Product="All",H978=sel_Product),AND(S978&gt;=m_From,S978&lt;=m_To)),1,0)</f>
        <v/>
      </c>
      <c r="W978" s="36">
        <f>IF(AND(OR(sel_Region="All",C978=sel_Region),OR(sel_Country="All",D978=sel_Country),OR(sel_Customer="All",F978=sel_Customer),OR(sel_Category="All",G978=sel_Category),OR(sel_Product="All",H978=sel_Product),AND(S978&gt;=m_From,S978&lt;=m_To)),1,0)</f>
        <v/>
      </c>
      <c r="X978" s="36">
        <f>IF(AND(OR(sel_Region="All",C978=sel_Region),OR(sel_Country="All",D978=sel_Country),OR(sel_Channel="All",E978=sel_Channel),OR(sel_Category="All",G978=sel_Category),OR(sel_Product="All",H978=sel_Product),AND(S978&gt;=m_From,S978&lt;=m_To)),1,0)</f>
        <v/>
      </c>
      <c r="Y978" s="36">
        <f>IF(AND(OR(sel_Region="All",C978=sel_Region),OR(sel_Country="All",D978=sel_Country),OR(sel_Channel="All",E978=sel_Channel),OR(sel_Customer="All",F978=sel_Customer),OR(sel_Product="All",H978=sel_Product),AND(S978&gt;=m_From,S978&lt;=m_To)),1,0)</f>
        <v/>
      </c>
      <c r="Z978" s="36">
        <f>IF(AND(OR(sel_Region="All",C978=sel_Region),OR(sel_Country="All",D978=sel_Country),OR(sel_Channel="All",E978=sel_Channel),OR(sel_Customer="All",F978=sel_Customer),OR(sel_Category="All",G978=sel_Category),AND(S978&gt;=m_From,S978&lt;=m_To)),1,0)</f>
        <v/>
      </c>
      <c r="AA978" s="36">
        <f>IF(AND(OR(sel_Region="All",C978=sel_Region),OR(sel_Country="All",D978=sel_Country),OR(sel_Channel="All",E978=sel_Channel),OR(sel_Customer="All",F978=sel_Customer),OR(sel_Category="All",G978=sel_Category),OR(sel_Product="All",H978=sel_Product)),1,0)</f>
        <v/>
      </c>
    </row>
    <row r="979">
      <c r="A979" s="36" t="inlineStr">
        <is>
          <t>04130</t>
        </is>
      </c>
      <c r="B979" s="44" t="n">
        <v>46174</v>
      </c>
      <c r="C979" s="36" t="inlineStr">
        <is>
          <t>Western Europe</t>
        </is>
      </c>
      <c r="D979" s="36" t="inlineStr">
        <is>
          <t>France</t>
        </is>
      </c>
      <c r="E979" s="36" t="inlineStr">
        <is>
          <t>Online Store</t>
        </is>
      </c>
      <c r="F979" s="36" t="inlineStr">
        <is>
          <t>New</t>
        </is>
      </c>
      <c r="G979" s="36" t="inlineStr">
        <is>
          <t>Cycling</t>
        </is>
      </c>
      <c r="H979" s="36" t="inlineStr">
        <is>
          <t>Commuter Helmet</t>
        </is>
      </c>
      <c r="I979" s="36" t="n">
        <v>3</v>
      </c>
      <c r="J979" s="39" t="n">
        <v>80.09999999999999</v>
      </c>
      <c r="K979" s="45" t="n">
        <v>0</v>
      </c>
      <c r="L979" s="39" t="n">
        <v>43.51</v>
      </c>
      <c r="M979" s="39">
        <f>I979*J979*(1-K979)</f>
        <v/>
      </c>
      <c r="N979" s="39">
        <f>I979*L979</f>
        <v/>
      </c>
      <c r="O979" s="39">
        <f>M979-N979</f>
        <v/>
      </c>
      <c r="P979" s="38">
        <f>IF(M979=0,0,O979/M979)</f>
        <v/>
      </c>
      <c r="Q979" s="36">
        <f>YEAR(B979)</f>
        <v/>
      </c>
      <c r="R979" s="36">
        <f>"Q"&amp;ROUNDUP(MONTH(B979)/3,0)</f>
        <v/>
      </c>
      <c r="S979" s="36">
        <f>MONTH(B979)</f>
        <v/>
      </c>
      <c r="T979" s="36">
        <f>TEXT(B979,"mmm")</f>
        <v/>
      </c>
      <c r="U979" s="36">
        <f>IF(AND(OR(sel_Region="All",C979=sel_Region),OR(sel_Country="All",D979=sel_Country),OR(sel_Channel="All",E979=sel_Channel),OR(sel_Customer="All",F979=sel_Customer),OR(sel_Category="All",G979=sel_Category),OR(sel_Product="All",H979=sel_Product),AND(S979&gt;=m_From,S979&lt;=m_To)),1,0)</f>
        <v/>
      </c>
      <c r="V979" s="36">
        <f>IF(AND(OR(sel_Region="All",C979=sel_Region),OR(sel_Channel="All",E979=sel_Channel),OR(sel_Customer="All",F979=sel_Customer),OR(sel_Category="All",G979=sel_Category),OR(sel_Product="All",H979=sel_Product),AND(S979&gt;=m_From,S979&lt;=m_To)),1,0)</f>
        <v/>
      </c>
      <c r="W979" s="36">
        <f>IF(AND(OR(sel_Region="All",C979=sel_Region),OR(sel_Country="All",D979=sel_Country),OR(sel_Customer="All",F979=sel_Customer),OR(sel_Category="All",G979=sel_Category),OR(sel_Product="All",H979=sel_Product),AND(S979&gt;=m_From,S979&lt;=m_To)),1,0)</f>
        <v/>
      </c>
      <c r="X979" s="36">
        <f>IF(AND(OR(sel_Region="All",C979=sel_Region),OR(sel_Country="All",D979=sel_Country),OR(sel_Channel="All",E979=sel_Channel),OR(sel_Category="All",G979=sel_Category),OR(sel_Product="All",H979=sel_Product),AND(S979&gt;=m_From,S979&lt;=m_To)),1,0)</f>
        <v/>
      </c>
      <c r="Y979" s="36">
        <f>IF(AND(OR(sel_Region="All",C979=sel_Region),OR(sel_Country="All",D979=sel_Country),OR(sel_Channel="All",E979=sel_Channel),OR(sel_Customer="All",F979=sel_Customer),OR(sel_Product="All",H979=sel_Product),AND(S979&gt;=m_From,S979&lt;=m_To)),1,0)</f>
        <v/>
      </c>
      <c r="Z979" s="36">
        <f>IF(AND(OR(sel_Region="All",C979=sel_Region),OR(sel_Country="All",D979=sel_Country),OR(sel_Channel="All",E979=sel_Channel),OR(sel_Customer="All",F979=sel_Customer),OR(sel_Category="All",G979=sel_Category),AND(S979&gt;=m_From,S979&lt;=m_To)),1,0)</f>
        <v/>
      </c>
      <c r="AA979" s="36">
        <f>IF(AND(OR(sel_Region="All",C979=sel_Region),OR(sel_Country="All",D979=sel_Country),OR(sel_Channel="All",E979=sel_Channel),OR(sel_Customer="All",F979=sel_Customer),OR(sel_Category="All",G979=sel_Category),OR(sel_Product="All",H979=sel_Product)),1,0)</f>
        <v/>
      </c>
    </row>
    <row r="980">
      <c r="A980" s="36" t="inlineStr">
        <is>
          <t>04314</t>
        </is>
      </c>
      <c r="B980" s="44" t="n">
        <v>46174</v>
      </c>
      <c r="C980" s="36" t="inlineStr">
        <is>
          <t>Western Europe</t>
        </is>
      </c>
      <c r="D980" s="36" t="inlineStr">
        <is>
          <t>Belgium</t>
        </is>
      </c>
      <c r="E980" s="36" t="inlineStr">
        <is>
          <t>Retail Partners</t>
        </is>
      </c>
      <c r="F980" s="36" t="inlineStr">
        <is>
          <t>New</t>
        </is>
      </c>
      <c r="G980" s="36" t="inlineStr">
        <is>
          <t>Fitness</t>
        </is>
      </c>
      <c r="H980" s="36" t="inlineStr">
        <is>
          <t>Recovery Roller</t>
        </is>
      </c>
      <c r="I980" s="36" t="n">
        <v>2</v>
      </c>
      <c r="J980" s="39" t="n">
        <v>36.61</v>
      </c>
      <c r="K980" s="45" t="n">
        <v>0</v>
      </c>
      <c r="L980" s="39" t="n">
        <v>14.15</v>
      </c>
      <c r="M980" s="39">
        <f>I980*J980*(1-K980)</f>
        <v/>
      </c>
      <c r="N980" s="39">
        <f>I980*L980</f>
        <v/>
      </c>
      <c r="O980" s="39">
        <f>M980-N980</f>
        <v/>
      </c>
      <c r="P980" s="38">
        <f>IF(M980=0,0,O980/M980)</f>
        <v/>
      </c>
      <c r="Q980" s="36">
        <f>YEAR(B980)</f>
        <v/>
      </c>
      <c r="R980" s="36">
        <f>"Q"&amp;ROUNDUP(MONTH(B980)/3,0)</f>
        <v/>
      </c>
      <c r="S980" s="36">
        <f>MONTH(B980)</f>
        <v/>
      </c>
      <c r="T980" s="36">
        <f>TEXT(B980,"mmm")</f>
        <v/>
      </c>
      <c r="U980" s="36">
        <f>IF(AND(OR(sel_Region="All",C980=sel_Region),OR(sel_Country="All",D980=sel_Country),OR(sel_Channel="All",E980=sel_Channel),OR(sel_Customer="All",F980=sel_Customer),OR(sel_Category="All",G980=sel_Category),OR(sel_Product="All",H980=sel_Product),AND(S980&gt;=m_From,S980&lt;=m_To)),1,0)</f>
        <v/>
      </c>
      <c r="V980" s="36">
        <f>IF(AND(OR(sel_Region="All",C980=sel_Region),OR(sel_Channel="All",E980=sel_Channel),OR(sel_Customer="All",F980=sel_Customer),OR(sel_Category="All",G980=sel_Category),OR(sel_Product="All",H980=sel_Product),AND(S980&gt;=m_From,S980&lt;=m_To)),1,0)</f>
        <v/>
      </c>
      <c r="W980" s="36">
        <f>IF(AND(OR(sel_Region="All",C980=sel_Region),OR(sel_Country="All",D980=sel_Country),OR(sel_Customer="All",F980=sel_Customer),OR(sel_Category="All",G980=sel_Category),OR(sel_Product="All",H980=sel_Product),AND(S980&gt;=m_From,S980&lt;=m_To)),1,0)</f>
        <v/>
      </c>
      <c r="X980" s="36">
        <f>IF(AND(OR(sel_Region="All",C980=sel_Region),OR(sel_Country="All",D980=sel_Country),OR(sel_Channel="All",E980=sel_Channel),OR(sel_Category="All",G980=sel_Category),OR(sel_Product="All",H980=sel_Product),AND(S980&gt;=m_From,S980&lt;=m_To)),1,0)</f>
        <v/>
      </c>
      <c r="Y980" s="36">
        <f>IF(AND(OR(sel_Region="All",C980=sel_Region),OR(sel_Country="All",D980=sel_Country),OR(sel_Channel="All",E980=sel_Channel),OR(sel_Customer="All",F980=sel_Customer),OR(sel_Product="All",H980=sel_Product),AND(S980&gt;=m_From,S980&lt;=m_To)),1,0)</f>
        <v/>
      </c>
      <c r="Z980" s="36">
        <f>IF(AND(OR(sel_Region="All",C980=sel_Region),OR(sel_Country="All",D980=sel_Country),OR(sel_Channel="All",E980=sel_Channel),OR(sel_Customer="All",F980=sel_Customer),OR(sel_Category="All",G980=sel_Category),AND(S980&gt;=m_From,S980&lt;=m_To)),1,0)</f>
        <v/>
      </c>
      <c r="AA980" s="36">
        <f>IF(AND(OR(sel_Region="All",C980=sel_Region),OR(sel_Country="All",D980=sel_Country),OR(sel_Channel="All",E980=sel_Channel),OR(sel_Customer="All",F980=sel_Customer),OR(sel_Category="All",G980=sel_Category),OR(sel_Product="All",H980=sel_Product)),1,0)</f>
        <v/>
      </c>
    </row>
    <row r="981">
      <c r="A981" s="36" t="inlineStr">
        <is>
          <t>00998</t>
        </is>
      </c>
      <c r="B981" s="44" t="n">
        <v>46175</v>
      </c>
      <c r="C981" s="36" t="inlineStr">
        <is>
          <t>Central Europe</t>
        </is>
      </c>
      <c r="D981" s="36" t="inlineStr">
        <is>
          <t>Switzerland</t>
        </is>
      </c>
      <c r="E981" s="36" t="inlineStr">
        <is>
          <t>Online Store</t>
        </is>
      </c>
      <c r="F981" s="36" t="inlineStr">
        <is>
          <t>Returning</t>
        </is>
      </c>
      <c r="G981" s="36" t="inlineStr">
        <is>
          <t>Travel</t>
        </is>
      </c>
      <c r="H981" s="36" t="inlineStr">
        <is>
          <t>Carry-On Duffel</t>
        </is>
      </c>
      <c r="I981" s="36" t="n">
        <v>2</v>
      </c>
      <c r="J981" s="39" t="n">
        <v>131.81</v>
      </c>
      <c r="K981" s="45" t="n">
        <v>0.05</v>
      </c>
      <c r="L981" s="39" t="n">
        <v>66.09</v>
      </c>
      <c r="M981" s="39">
        <f>I981*J981*(1-K981)</f>
        <v/>
      </c>
      <c r="N981" s="39">
        <f>I981*L981</f>
        <v/>
      </c>
      <c r="O981" s="39">
        <f>M981-N981</f>
        <v/>
      </c>
      <c r="P981" s="38">
        <f>IF(M981=0,0,O981/M981)</f>
        <v/>
      </c>
      <c r="Q981" s="36">
        <f>YEAR(B981)</f>
        <v/>
      </c>
      <c r="R981" s="36">
        <f>"Q"&amp;ROUNDUP(MONTH(B981)/3,0)</f>
        <v/>
      </c>
      <c r="S981" s="36">
        <f>MONTH(B981)</f>
        <v/>
      </c>
      <c r="T981" s="36">
        <f>TEXT(B981,"mmm")</f>
        <v/>
      </c>
      <c r="U981" s="36">
        <f>IF(AND(OR(sel_Region="All",C981=sel_Region),OR(sel_Country="All",D981=sel_Country),OR(sel_Channel="All",E981=sel_Channel),OR(sel_Customer="All",F981=sel_Customer),OR(sel_Category="All",G981=sel_Category),OR(sel_Product="All",H981=sel_Product),AND(S981&gt;=m_From,S981&lt;=m_To)),1,0)</f>
        <v/>
      </c>
      <c r="V981" s="36">
        <f>IF(AND(OR(sel_Region="All",C981=sel_Region),OR(sel_Channel="All",E981=sel_Channel),OR(sel_Customer="All",F981=sel_Customer),OR(sel_Category="All",G981=sel_Category),OR(sel_Product="All",H981=sel_Product),AND(S981&gt;=m_From,S981&lt;=m_To)),1,0)</f>
        <v/>
      </c>
      <c r="W981" s="36">
        <f>IF(AND(OR(sel_Region="All",C981=sel_Region),OR(sel_Country="All",D981=sel_Country),OR(sel_Customer="All",F981=sel_Customer),OR(sel_Category="All",G981=sel_Category),OR(sel_Product="All",H981=sel_Product),AND(S981&gt;=m_From,S981&lt;=m_To)),1,0)</f>
        <v/>
      </c>
      <c r="X981" s="36">
        <f>IF(AND(OR(sel_Region="All",C981=sel_Region),OR(sel_Country="All",D981=sel_Country),OR(sel_Channel="All",E981=sel_Channel),OR(sel_Category="All",G981=sel_Category),OR(sel_Product="All",H981=sel_Product),AND(S981&gt;=m_From,S981&lt;=m_To)),1,0)</f>
        <v/>
      </c>
      <c r="Y981" s="36">
        <f>IF(AND(OR(sel_Region="All",C981=sel_Region),OR(sel_Country="All",D981=sel_Country),OR(sel_Channel="All",E981=sel_Channel),OR(sel_Customer="All",F981=sel_Customer),OR(sel_Product="All",H981=sel_Product),AND(S981&gt;=m_From,S981&lt;=m_To)),1,0)</f>
        <v/>
      </c>
      <c r="Z981" s="36">
        <f>IF(AND(OR(sel_Region="All",C981=sel_Region),OR(sel_Country="All",D981=sel_Country),OR(sel_Channel="All",E981=sel_Channel),OR(sel_Customer="All",F981=sel_Customer),OR(sel_Category="All",G981=sel_Category),AND(S981&gt;=m_From,S981&lt;=m_To)),1,0)</f>
        <v/>
      </c>
      <c r="AA981" s="36">
        <f>IF(AND(OR(sel_Region="All",C981=sel_Region),OR(sel_Country="All",D981=sel_Country),OR(sel_Channel="All",E981=sel_Channel),OR(sel_Customer="All",F981=sel_Customer),OR(sel_Category="All",G981=sel_Category),OR(sel_Product="All",H981=sel_Product)),1,0)</f>
        <v/>
      </c>
    </row>
    <row r="982">
      <c r="A982" s="36" t="inlineStr">
        <is>
          <t>01172</t>
        </is>
      </c>
      <c r="B982" s="44" t="n">
        <v>46175</v>
      </c>
      <c r="C982" s="36" t="inlineStr">
        <is>
          <t>Southern Europe</t>
        </is>
      </c>
      <c r="D982" s="36" t="inlineStr">
        <is>
          <t>Italy</t>
        </is>
      </c>
      <c r="E982" s="36" t="inlineStr">
        <is>
          <t>Online Store</t>
        </is>
      </c>
      <c r="F982" s="36" t="inlineStr">
        <is>
          <t>Returning</t>
        </is>
      </c>
      <c r="G982" s="36" t="inlineStr">
        <is>
          <t>Hiking</t>
        </is>
      </c>
      <c r="H982" s="36" t="inlineStr">
        <is>
          <t>Summit Backpack 45L</t>
        </is>
      </c>
      <c r="I982" s="36" t="n">
        <v>1</v>
      </c>
      <c r="J982" s="39" t="n">
        <v>153.43</v>
      </c>
      <c r="K982" s="45" t="n">
        <v>0.05</v>
      </c>
      <c r="L982" s="39" t="n">
        <v>78.16</v>
      </c>
      <c r="M982" s="39">
        <f>I982*J982*(1-K982)</f>
        <v/>
      </c>
      <c r="N982" s="39">
        <f>I982*L982</f>
        <v/>
      </c>
      <c r="O982" s="39">
        <f>M982-N982</f>
        <v/>
      </c>
      <c r="P982" s="38">
        <f>IF(M982=0,0,O982/M982)</f>
        <v/>
      </c>
      <c r="Q982" s="36">
        <f>YEAR(B982)</f>
        <v/>
      </c>
      <c r="R982" s="36">
        <f>"Q"&amp;ROUNDUP(MONTH(B982)/3,0)</f>
        <v/>
      </c>
      <c r="S982" s="36">
        <f>MONTH(B982)</f>
        <v/>
      </c>
      <c r="T982" s="36">
        <f>TEXT(B982,"mmm")</f>
        <v/>
      </c>
      <c r="U982" s="36">
        <f>IF(AND(OR(sel_Region="All",C982=sel_Region),OR(sel_Country="All",D982=sel_Country),OR(sel_Channel="All",E982=sel_Channel),OR(sel_Customer="All",F982=sel_Customer),OR(sel_Category="All",G982=sel_Category),OR(sel_Product="All",H982=sel_Product),AND(S982&gt;=m_From,S982&lt;=m_To)),1,0)</f>
        <v/>
      </c>
      <c r="V982" s="36">
        <f>IF(AND(OR(sel_Region="All",C982=sel_Region),OR(sel_Channel="All",E982=sel_Channel),OR(sel_Customer="All",F982=sel_Customer),OR(sel_Category="All",G982=sel_Category),OR(sel_Product="All",H982=sel_Product),AND(S982&gt;=m_From,S982&lt;=m_To)),1,0)</f>
        <v/>
      </c>
      <c r="W982" s="36">
        <f>IF(AND(OR(sel_Region="All",C982=sel_Region),OR(sel_Country="All",D982=sel_Country),OR(sel_Customer="All",F982=sel_Customer),OR(sel_Category="All",G982=sel_Category),OR(sel_Product="All",H982=sel_Product),AND(S982&gt;=m_From,S982&lt;=m_To)),1,0)</f>
        <v/>
      </c>
      <c r="X982" s="36">
        <f>IF(AND(OR(sel_Region="All",C982=sel_Region),OR(sel_Country="All",D982=sel_Country),OR(sel_Channel="All",E982=sel_Channel),OR(sel_Category="All",G982=sel_Category),OR(sel_Product="All",H982=sel_Product),AND(S982&gt;=m_From,S982&lt;=m_To)),1,0)</f>
        <v/>
      </c>
      <c r="Y982" s="36">
        <f>IF(AND(OR(sel_Region="All",C982=sel_Region),OR(sel_Country="All",D982=sel_Country),OR(sel_Channel="All",E982=sel_Channel),OR(sel_Customer="All",F982=sel_Customer),OR(sel_Product="All",H982=sel_Product),AND(S982&gt;=m_From,S982&lt;=m_To)),1,0)</f>
        <v/>
      </c>
      <c r="Z982" s="36">
        <f>IF(AND(OR(sel_Region="All",C982=sel_Region),OR(sel_Country="All",D982=sel_Country),OR(sel_Channel="All",E982=sel_Channel),OR(sel_Customer="All",F982=sel_Customer),OR(sel_Category="All",G982=sel_Category),AND(S982&gt;=m_From,S982&lt;=m_To)),1,0)</f>
        <v/>
      </c>
      <c r="AA982" s="36">
        <f>IF(AND(OR(sel_Region="All",C982=sel_Region),OR(sel_Country="All",D982=sel_Country),OR(sel_Channel="All",E982=sel_Channel),OR(sel_Customer="All",F982=sel_Customer),OR(sel_Category="All",G982=sel_Category),OR(sel_Product="All",H982=sel_Product)),1,0)</f>
        <v/>
      </c>
    </row>
    <row r="983">
      <c r="A983" s="36" t="inlineStr">
        <is>
          <t>01261</t>
        </is>
      </c>
      <c r="B983" s="44" t="n">
        <v>46175</v>
      </c>
      <c r="C983" s="36" t="inlineStr">
        <is>
          <t>Central Europe</t>
        </is>
      </c>
      <c r="D983" s="36" t="inlineStr">
        <is>
          <t>Poland</t>
        </is>
      </c>
      <c r="E983" s="36" t="inlineStr">
        <is>
          <t>Online Store</t>
        </is>
      </c>
      <c r="F983" s="36" t="inlineStr">
        <is>
          <t>New</t>
        </is>
      </c>
      <c r="G983" s="36" t="inlineStr">
        <is>
          <t>Cycling</t>
        </is>
      </c>
      <c r="H983" s="36" t="inlineStr">
        <is>
          <t>Commuter Helmet</t>
        </is>
      </c>
      <c r="I983" s="36" t="n">
        <v>2</v>
      </c>
      <c r="J983" s="39" t="n">
        <v>80.06</v>
      </c>
      <c r="K983" s="45" t="n">
        <v>0</v>
      </c>
      <c r="L983" s="39" t="n">
        <v>42.87</v>
      </c>
      <c r="M983" s="39">
        <f>I983*J983*(1-K983)</f>
        <v/>
      </c>
      <c r="N983" s="39">
        <f>I983*L983</f>
        <v/>
      </c>
      <c r="O983" s="39">
        <f>M983-N983</f>
        <v/>
      </c>
      <c r="P983" s="38">
        <f>IF(M983=0,0,O983/M983)</f>
        <v/>
      </c>
      <c r="Q983" s="36">
        <f>YEAR(B983)</f>
        <v/>
      </c>
      <c r="R983" s="36">
        <f>"Q"&amp;ROUNDUP(MONTH(B983)/3,0)</f>
        <v/>
      </c>
      <c r="S983" s="36">
        <f>MONTH(B983)</f>
        <v/>
      </c>
      <c r="T983" s="36">
        <f>TEXT(B983,"mmm")</f>
        <v/>
      </c>
      <c r="U983" s="36">
        <f>IF(AND(OR(sel_Region="All",C983=sel_Region),OR(sel_Country="All",D983=sel_Country),OR(sel_Channel="All",E983=sel_Channel),OR(sel_Customer="All",F983=sel_Customer),OR(sel_Category="All",G983=sel_Category),OR(sel_Product="All",H983=sel_Product),AND(S983&gt;=m_From,S983&lt;=m_To)),1,0)</f>
        <v/>
      </c>
      <c r="V983" s="36">
        <f>IF(AND(OR(sel_Region="All",C983=sel_Region),OR(sel_Channel="All",E983=sel_Channel),OR(sel_Customer="All",F983=sel_Customer),OR(sel_Category="All",G983=sel_Category),OR(sel_Product="All",H983=sel_Product),AND(S983&gt;=m_From,S983&lt;=m_To)),1,0)</f>
        <v/>
      </c>
      <c r="W983" s="36">
        <f>IF(AND(OR(sel_Region="All",C983=sel_Region),OR(sel_Country="All",D983=sel_Country),OR(sel_Customer="All",F983=sel_Customer),OR(sel_Category="All",G983=sel_Category),OR(sel_Product="All",H983=sel_Product),AND(S983&gt;=m_From,S983&lt;=m_To)),1,0)</f>
        <v/>
      </c>
      <c r="X983" s="36">
        <f>IF(AND(OR(sel_Region="All",C983=sel_Region),OR(sel_Country="All",D983=sel_Country),OR(sel_Channel="All",E983=sel_Channel),OR(sel_Category="All",G983=sel_Category),OR(sel_Product="All",H983=sel_Product),AND(S983&gt;=m_From,S983&lt;=m_To)),1,0)</f>
        <v/>
      </c>
      <c r="Y983" s="36">
        <f>IF(AND(OR(sel_Region="All",C983=sel_Region),OR(sel_Country="All",D983=sel_Country),OR(sel_Channel="All",E983=sel_Channel),OR(sel_Customer="All",F983=sel_Customer),OR(sel_Product="All",H983=sel_Product),AND(S983&gt;=m_From,S983&lt;=m_To)),1,0)</f>
        <v/>
      </c>
      <c r="Z983" s="36">
        <f>IF(AND(OR(sel_Region="All",C983=sel_Region),OR(sel_Country="All",D983=sel_Country),OR(sel_Channel="All",E983=sel_Channel),OR(sel_Customer="All",F983=sel_Customer),OR(sel_Category="All",G983=sel_Category),AND(S983&gt;=m_From,S983&lt;=m_To)),1,0)</f>
        <v/>
      </c>
      <c r="AA983" s="36">
        <f>IF(AND(OR(sel_Region="All",C983=sel_Region),OR(sel_Country="All",D983=sel_Country),OR(sel_Channel="All",E983=sel_Channel),OR(sel_Customer="All",F983=sel_Customer),OR(sel_Category="All",G983=sel_Category),OR(sel_Product="All",H983=sel_Product)),1,0)</f>
        <v/>
      </c>
    </row>
    <row r="984">
      <c r="A984" s="36" t="inlineStr">
        <is>
          <t>01762</t>
        </is>
      </c>
      <c r="B984" s="44" t="n">
        <v>46175</v>
      </c>
      <c r="C984" s="36" t="inlineStr">
        <is>
          <t>Western Europe</t>
        </is>
      </c>
      <c r="D984" s="36" t="inlineStr">
        <is>
          <t>France</t>
        </is>
      </c>
      <c r="E984" s="36" t="inlineStr">
        <is>
          <t>Retail Partners</t>
        </is>
      </c>
      <c r="F984" s="36" t="inlineStr">
        <is>
          <t>Business</t>
        </is>
      </c>
      <c r="G984" s="36" t="inlineStr">
        <is>
          <t>Fitness</t>
        </is>
      </c>
      <c r="H984" s="36" t="inlineStr">
        <is>
          <t>Resistance Band Set</t>
        </is>
      </c>
      <c r="I984" s="36" t="n">
        <v>1</v>
      </c>
      <c r="J984" s="39" t="n">
        <v>40.55</v>
      </c>
      <c r="K984" s="45" t="n">
        <v>0</v>
      </c>
      <c r="L984" s="39" t="n">
        <v>15.16</v>
      </c>
      <c r="M984" s="39">
        <f>I984*J984*(1-K984)</f>
        <v/>
      </c>
      <c r="N984" s="39">
        <f>I984*L984</f>
        <v/>
      </c>
      <c r="O984" s="39">
        <f>M984-N984</f>
        <v/>
      </c>
      <c r="P984" s="38">
        <f>IF(M984=0,0,O984/M984)</f>
        <v/>
      </c>
      <c r="Q984" s="36">
        <f>YEAR(B984)</f>
        <v/>
      </c>
      <c r="R984" s="36">
        <f>"Q"&amp;ROUNDUP(MONTH(B984)/3,0)</f>
        <v/>
      </c>
      <c r="S984" s="36">
        <f>MONTH(B984)</f>
        <v/>
      </c>
      <c r="T984" s="36">
        <f>TEXT(B984,"mmm")</f>
        <v/>
      </c>
      <c r="U984" s="36">
        <f>IF(AND(OR(sel_Region="All",C984=sel_Region),OR(sel_Country="All",D984=sel_Country),OR(sel_Channel="All",E984=sel_Channel),OR(sel_Customer="All",F984=sel_Customer),OR(sel_Category="All",G984=sel_Category),OR(sel_Product="All",H984=sel_Product),AND(S984&gt;=m_From,S984&lt;=m_To)),1,0)</f>
        <v/>
      </c>
      <c r="V984" s="36">
        <f>IF(AND(OR(sel_Region="All",C984=sel_Region),OR(sel_Channel="All",E984=sel_Channel),OR(sel_Customer="All",F984=sel_Customer),OR(sel_Category="All",G984=sel_Category),OR(sel_Product="All",H984=sel_Product),AND(S984&gt;=m_From,S984&lt;=m_To)),1,0)</f>
        <v/>
      </c>
      <c r="W984" s="36">
        <f>IF(AND(OR(sel_Region="All",C984=sel_Region),OR(sel_Country="All",D984=sel_Country),OR(sel_Customer="All",F984=sel_Customer),OR(sel_Category="All",G984=sel_Category),OR(sel_Product="All",H984=sel_Product),AND(S984&gt;=m_From,S984&lt;=m_To)),1,0)</f>
        <v/>
      </c>
      <c r="X984" s="36">
        <f>IF(AND(OR(sel_Region="All",C984=sel_Region),OR(sel_Country="All",D984=sel_Country),OR(sel_Channel="All",E984=sel_Channel),OR(sel_Category="All",G984=sel_Category),OR(sel_Product="All",H984=sel_Product),AND(S984&gt;=m_From,S984&lt;=m_To)),1,0)</f>
        <v/>
      </c>
      <c r="Y984" s="36">
        <f>IF(AND(OR(sel_Region="All",C984=sel_Region),OR(sel_Country="All",D984=sel_Country),OR(sel_Channel="All",E984=sel_Channel),OR(sel_Customer="All",F984=sel_Customer),OR(sel_Product="All",H984=sel_Product),AND(S984&gt;=m_From,S984&lt;=m_To)),1,0)</f>
        <v/>
      </c>
      <c r="Z984" s="36">
        <f>IF(AND(OR(sel_Region="All",C984=sel_Region),OR(sel_Country="All",D984=sel_Country),OR(sel_Channel="All",E984=sel_Channel),OR(sel_Customer="All",F984=sel_Customer),OR(sel_Category="All",G984=sel_Category),AND(S984&gt;=m_From,S984&lt;=m_To)),1,0)</f>
        <v/>
      </c>
      <c r="AA984" s="36">
        <f>IF(AND(OR(sel_Region="All",C984=sel_Region),OR(sel_Country="All",D984=sel_Country),OR(sel_Channel="All",E984=sel_Channel),OR(sel_Customer="All",F984=sel_Customer),OR(sel_Category="All",G984=sel_Category),OR(sel_Product="All",H984=sel_Product)),1,0)</f>
        <v/>
      </c>
    </row>
    <row r="985">
      <c r="A985" s="36" t="inlineStr">
        <is>
          <t>01851</t>
        </is>
      </c>
      <c r="B985" s="44" t="n">
        <v>46175</v>
      </c>
      <c r="C985" s="36" t="inlineStr">
        <is>
          <t>Central Europe</t>
        </is>
      </c>
      <c r="D985" s="36" t="inlineStr">
        <is>
          <t>Austria</t>
        </is>
      </c>
      <c r="E985" s="36" t="inlineStr">
        <is>
          <t>Online Store</t>
        </is>
      </c>
      <c r="F985" s="36" t="inlineStr">
        <is>
          <t>New</t>
        </is>
      </c>
      <c r="G985" s="36" t="inlineStr">
        <is>
          <t>Travel</t>
        </is>
      </c>
      <c r="H985" s="36" t="inlineStr">
        <is>
          <t>Packing Cube Set</t>
        </is>
      </c>
      <c r="I985" s="36" t="n">
        <v>3</v>
      </c>
      <c r="J985" s="39" t="n">
        <v>45.43</v>
      </c>
      <c r="K985" s="45" t="n">
        <v>0.15</v>
      </c>
      <c r="L985" s="39" t="n">
        <v>17.85</v>
      </c>
      <c r="M985" s="39">
        <f>I985*J985*(1-K985)</f>
        <v/>
      </c>
      <c r="N985" s="39">
        <f>I985*L985</f>
        <v/>
      </c>
      <c r="O985" s="39">
        <f>M985-N985</f>
        <v/>
      </c>
      <c r="P985" s="38">
        <f>IF(M985=0,0,O985/M985)</f>
        <v/>
      </c>
      <c r="Q985" s="36">
        <f>YEAR(B985)</f>
        <v/>
      </c>
      <c r="R985" s="36">
        <f>"Q"&amp;ROUNDUP(MONTH(B985)/3,0)</f>
        <v/>
      </c>
      <c r="S985" s="36">
        <f>MONTH(B985)</f>
        <v/>
      </c>
      <c r="T985" s="36">
        <f>TEXT(B985,"mmm")</f>
        <v/>
      </c>
      <c r="U985" s="36">
        <f>IF(AND(OR(sel_Region="All",C985=sel_Region),OR(sel_Country="All",D985=sel_Country),OR(sel_Channel="All",E985=sel_Channel),OR(sel_Customer="All",F985=sel_Customer),OR(sel_Category="All",G985=sel_Category),OR(sel_Product="All",H985=sel_Product),AND(S985&gt;=m_From,S985&lt;=m_To)),1,0)</f>
        <v/>
      </c>
      <c r="V985" s="36">
        <f>IF(AND(OR(sel_Region="All",C985=sel_Region),OR(sel_Channel="All",E985=sel_Channel),OR(sel_Customer="All",F985=sel_Customer),OR(sel_Category="All",G985=sel_Category),OR(sel_Product="All",H985=sel_Product),AND(S985&gt;=m_From,S985&lt;=m_To)),1,0)</f>
        <v/>
      </c>
      <c r="W985" s="36">
        <f>IF(AND(OR(sel_Region="All",C985=sel_Region),OR(sel_Country="All",D985=sel_Country),OR(sel_Customer="All",F985=sel_Customer),OR(sel_Category="All",G985=sel_Category),OR(sel_Product="All",H985=sel_Product),AND(S985&gt;=m_From,S985&lt;=m_To)),1,0)</f>
        <v/>
      </c>
      <c r="X985" s="36">
        <f>IF(AND(OR(sel_Region="All",C985=sel_Region),OR(sel_Country="All",D985=sel_Country),OR(sel_Channel="All",E985=sel_Channel),OR(sel_Category="All",G985=sel_Category),OR(sel_Product="All",H985=sel_Product),AND(S985&gt;=m_From,S985&lt;=m_To)),1,0)</f>
        <v/>
      </c>
      <c r="Y985" s="36">
        <f>IF(AND(OR(sel_Region="All",C985=sel_Region),OR(sel_Country="All",D985=sel_Country),OR(sel_Channel="All",E985=sel_Channel),OR(sel_Customer="All",F985=sel_Customer),OR(sel_Product="All",H985=sel_Product),AND(S985&gt;=m_From,S985&lt;=m_To)),1,0)</f>
        <v/>
      </c>
      <c r="Z985" s="36">
        <f>IF(AND(OR(sel_Region="All",C985=sel_Region),OR(sel_Country="All",D985=sel_Country),OR(sel_Channel="All",E985=sel_Channel),OR(sel_Customer="All",F985=sel_Customer),OR(sel_Category="All",G985=sel_Category),AND(S985&gt;=m_From,S985&lt;=m_To)),1,0)</f>
        <v/>
      </c>
      <c r="AA985" s="36">
        <f>IF(AND(OR(sel_Region="All",C985=sel_Region),OR(sel_Country="All",D985=sel_Country),OR(sel_Channel="All",E985=sel_Channel),OR(sel_Customer="All",F985=sel_Customer),OR(sel_Category="All",G985=sel_Category),OR(sel_Product="All",H985=sel_Product)),1,0)</f>
        <v/>
      </c>
    </row>
    <row r="986">
      <c r="A986" s="36" t="inlineStr">
        <is>
          <t>03205</t>
        </is>
      </c>
      <c r="B986" s="44" t="n">
        <v>46175</v>
      </c>
      <c r="C986" s="36" t="inlineStr">
        <is>
          <t>Western Europe</t>
        </is>
      </c>
      <c r="D986" s="36" t="inlineStr">
        <is>
          <t>Belgium</t>
        </is>
      </c>
      <c r="E986" s="36" t="inlineStr">
        <is>
          <t>Corporate</t>
        </is>
      </c>
      <c r="F986" s="36" t="inlineStr">
        <is>
          <t>Business</t>
        </is>
      </c>
      <c r="G986" s="36" t="inlineStr">
        <is>
          <t>Hiking</t>
        </is>
      </c>
      <c r="H986" s="36" t="inlineStr">
        <is>
          <t>Trail Boots</t>
        </is>
      </c>
      <c r="I986" s="36" t="n">
        <v>6</v>
      </c>
      <c r="J986" s="39" t="n">
        <v>146.85</v>
      </c>
      <c r="K986" s="45" t="n">
        <v>0.15</v>
      </c>
      <c r="L986" s="39" t="n">
        <v>80.45</v>
      </c>
      <c r="M986" s="39">
        <f>I986*J986*(1-K986)</f>
        <v/>
      </c>
      <c r="N986" s="39">
        <f>I986*L986</f>
        <v/>
      </c>
      <c r="O986" s="39">
        <f>M986-N986</f>
        <v/>
      </c>
      <c r="P986" s="38">
        <f>IF(M986=0,0,O986/M986)</f>
        <v/>
      </c>
      <c r="Q986" s="36">
        <f>YEAR(B986)</f>
        <v/>
      </c>
      <c r="R986" s="36">
        <f>"Q"&amp;ROUNDUP(MONTH(B986)/3,0)</f>
        <v/>
      </c>
      <c r="S986" s="36">
        <f>MONTH(B986)</f>
        <v/>
      </c>
      <c r="T986" s="36">
        <f>TEXT(B986,"mmm")</f>
        <v/>
      </c>
      <c r="U986" s="36">
        <f>IF(AND(OR(sel_Region="All",C986=sel_Region),OR(sel_Country="All",D986=sel_Country),OR(sel_Channel="All",E986=sel_Channel),OR(sel_Customer="All",F986=sel_Customer),OR(sel_Category="All",G986=sel_Category),OR(sel_Product="All",H986=sel_Product),AND(S986&gt;=m_From,S986&lt;=m_To)),1,0)</f>
        <v/>
      </c>
      <c r="V986" s="36">
        <f>IF(AND(OR(sel_Region="All",C986=sel_Region),OR(sel_Channel="All",E986=sel_Channel),OR(sel_Customer="All",F986=sel_Customer),OR(sel_Category="All",G986=sel_Category),OR(sel_Product="All",H986=sel_Product),AND(S986&gt;=m_From,S986&lt;=m_To)),1,0)</f>
        <v/>
      </c>
      <c r="W986" s="36">
        <f>IF(AND(OR(sel_Region="All",C986=sel_Region),OR(sel_Country="All",D986=sel_Country),OR(sel_Customer="All",F986=sel_Customer),OR(sel_Category="All",G986=sel_Category),OR(sel_Product="All",H986=sel_Product),AND(S986&gt;=m_From,S986&lt;=m_To)),1,0)</f>
        <v/>
      </c>
      <c r="X986" s="36">
        <f>IF(AND(OR(sel_Region="All",C986=sel_Region),OR(sel_Country="All",D986=sel_Country),OR(sel_Channel="All",E986=sel_Channel),OR(sel_Category="All",G986=sel_Category),OR(sel_Product="All",H986=sel_Product),AND(S986&gt;=m_From,S986&lt;=m_To)),1,0)</f>
        <v/>
      </c>
      <c r="Y986" s="36">
        <f>IF(AND(OR(sel_Region="All",C986=sel_Region),OR(sel_Country="All",D986=sel_Country),OR(sel_Channel="All",E986=sel_Channel),OR(sel_Customer="All",F986=sel_Customer),OR(sel_Product="All",H986=sel_Product),AND(S986&gt;=m_From,S986&lt;=m_To)),1,0)</f>
        <v/>
      </c>
      <c r="Z986" s="36">
        <f>IF(AND(OR(sel_Region="All",C986=sel_Region),OR(sel_Country="All",D986=sel_Country),OR(sel_Channel="All",E986=sel_Channel),OR(sel_Customer="All",F986=sel_Customer),OR(sel_Category="All",G986=sel_Category),AND(S986&gt;=m_From,S986&lt;=m_To)),1,0)</f>
        <v/>
      </c>
      <c r="AA986" s="36">
        <f>IF(AND(OR(sel_Region="All",C986=sel_Region),OR(sel_Country="All",D986=sel_Country),OR(sel_Channel="All",E986=sel_Channel),OR(sel_Customer="All",F986=sel_Customer),OR(sel_Category="All",G986=sel_Category),OR(sel_Product="All",H986=sel_Product)),1,0)</f>
        <v/>
      </c>
    </row>
    <row r="987">
      <c r="A987" s="36" t="inlineStr">
        <is>
          <t>01396</t>
        </is>
      </c>
      <c r="B987" s="44" t="n">
        <v>46176</v>
      </c>
      <c r="C987" s="36" t="inlineStr">
        <is>
          <t>Northern Europe</t>
        </is>
      </c>
      <c r="D987" s="36" t="inlineStr">
        <is>
          <t>Ireland</t>
        </is>
      </c>
      <c r="E987" s="36" t="inlineStr">
        <is>
          <t>Online Store</t>
        </is>
      </c>
      <c r="F987" s="36" t="inlineStr">
        <is>
          <t>Business</t>
        </is>
      </c>
      <c r="G987" s="36" t="inlineStr">
        <is>
          <t>Camping</t>
        </is>
      </c>
      <c r="H987" s="36" t="inlineStr">
        <is>
          <t>Trail Tent 2P</t>
        </is>
      </c>
      <c r="I987" s="36" t="n">
        <v>1</v>
      </c>
      <c r="J987" s="39" t="n">
        <v>192.33</v>
      </c>
      <c r="K987" s="45" t="n">
        <v>0.1</v>
      </c>
      <c r="L987" s="39" t="n">
        <v>105.15</v>
      </c>
      <c r="M987" s="39">
        <f>I987*J987*(1-K987)</f>
        <v/>
      </c>
      <c r="N987" s="39">
        <f>I987*L987</f>
        <v/>
      </c>
      <c r="O987" s="39">
        <f>M987-N987</f>
        <v/>
      </c>
      <c r="P987" s="38">
        <f>IF(M987=0,0,O987/M987)</f>
        <v/>
      </c>
      <c r="Q987" s="36">
        <f>YEAR(B987)</f>
        <v/>
      </c>
      <c r="R987" s="36">
        <f>"Q"&amp;ROUNDUP(MONTH(B987)/3,0)</f>
        <v/>
      </c>
      <c r="S987" s="36">
        <f>MONTH(B987)</f>
        <v/>
      </c>
      <c r="T987" s="36">
        <f>TEXT(B987,"mmm")</f>
        <v/>
      </c>
      <c r="U987" s="36">
        <f>IF(AND(OR(sel_Region="All",C987=sel_Region),OR(sel_Country="All",D987=sel_Country),OR(sel_Channel="All",E987=sel_Channel),OR(sel_Customer="All",F987=sel_Customer),OR(sel_Category="All",G987=sel_Category),OR(sel_Product="All",H987=sel_Product),AND(S987&gt;=m_From,S987&lt;=m_To)),1,0)</f>
        <v/>
      </c>
      <c r="V987" s="36">
        <f>IF(AND(OR(sel_Region="All",C987=sel_Region),OR(sel_Channel="All",E987=sel_Channel),OR(sel_Customer="All",F987=sel_Customer),OR(sel_Category="All",G987=sel_Category),OR(sel_Product="All",H987=sel_Product),AND(S987&gt;=m_From,S987&lt;=m_To)),1,0)</f>
        <v/>
      </c>
      <c r="W987" s="36">
        <f>IF(AND(OR(sel_Region="All",C987=sel_Region),OR(sel_Country="All",D987=sel_Country),OR(sel_Customer="All",F987=sel_Customer),OR(sel_Category="All",G987=sel_Category),OR(sel_Product="All",H987=sel_Product),AND(S987&gt;=m_From,S987&lt;=m_To)),1,0)</f>
        <v/>
      </c>
      <c r="X987" s="36">
        <f>IF(AND(OR(sel_Region="All",C987=sel_Region),OR(sel_Country="All",D987=sel_Country),OR(sel_Channel="All",E987=sel_Channel),OR(sel_Category="All",G987=sel_Category),OR(sel_Product="All",H987=sel_Product),AND(S987&gt;=m_From,S987&lt;=m_To)),1,0)</f>
        <v/>
      </c>
      <c r="Y987" s="36">
        <f>IF(AND(OR(sel_Region="All",C987=sel_Region),OR(sel_Country="All",D987=sel_Country),OR(sel_Channel="All",E987=sel_Channel),OR(sel_Customer="All",F987=sel_Customer),OR(sel_Product="All",H987=sel_Product),AND(S987&gt;=m_From,S987&lt;=m_To)),1,0)</f>
        <v/>
      </c>
      <c r="Z987" s="36">
        <f>IF(AND(OR(sel_Region="All",C987=sel_Region),OR(sel_Country="All",D987=sel_Country),OR(sel_Channel="All",E987=sel_Channel),OR(sel_Customer="All",F987=sel_Customer),OR(sel_Category="All",G987=sel_Category),AND(S987&gt;=m_From,S987&lt;=m_To)),1,0)</f>
        <v/>
      </c>
      <c r="AA987" s="36">
        <f>IF(AND(OR(sel_Region="All",C987=sel_Region),OR(sel_Country="All",D987=sel_Country),OR(sel_Channel="All",E987=sel_Channel),OR(sel_Customer="All",F987=sel_Customer),OR(sel_Category="All",G987=sel_Category),OR(sel_Product="All",H987=sel_Product)),1,0)</f>
        <v/>
      </c>
    </row>
    <row r="988">
      <c r="A988" s="36" t="inlineStr">
        <is>
          <t>01441</t>
        </is>
      </c>
      <c r="B988" s="44" t="n">
        <v>46176</v>
      </c>
      <c r="C988" s="36" t="inlineStr">
        <is>
          <t>Northern Europe</t>
        </is>
      </c>
      <c r="D988" s="36" t="inlineStr">
        <is>
          <t>Finland</t>
        </is>
      </c>
      <c r="E988" s="36" t="inlineStr">
        <is>
          <t>Marketplace</t>
        </is>
      </c>
      <c r="F988" s="36" t="inlineStr">
        <is>
          <t>New</t>
        </is>
      </c>
      <c r="G988" s="36" t="inlineStr">
        <is>
          <t>Travel</t>
        </is>
      </c>
      <c r="H988" s="36" t="inlineStr">
        <is>
          <t>Carry-On Duffel</t>
        </is>
      </c>
      <c r="I988" s="36" t="n">
        <v>3</v>
      </c>
      <c r="J988" s="39" t="n">
        <v>135.4</v>
      </c>
      <c r="K988" s="45" t="n">
        <v>0</v>
      </c>
      <c r="L988" s="39" t="n">
        <v>65.16</v>
      </c>
      <c r="M988" s="39">
        <f>I988*J988*(1-K988)</f>
        <v/>
      </c>
      <c r="N988" s="39">
        <f>I988*L988</f>
        <v/>
      </c>
      <c r="O988" s="39">
        <f>M988-N988</f>
        <v/>
      </c>
      <c r="P988" s="38">
        <f>IF(M988=0,0,O988/M988)</f>
        <v/>
      </c>
      <c r="Q988" s="36">
        <f>YEAR(B988)</f>
        <v/>
      </c>
      <c r="R988" s="36">
        <f>"Q"&amp;ROUNDUP(MONTH(B988)/3,0)</f>
        <v/>
      </c>
      <c r="S988" s="36">
        <f>MONTH(B988)</f>
        <v/>
      </c>
      <c r="T988" s="36">
        <f>TEXT(B988,"mmm")</f>
        <v/>
      </c>
      <c r="U988" s="36">
        <f>IF(AND(OR(sel_Region="All",C988=sel_Region),OR(sel_Country="All",D988=sel_Country),OR(sel_Channel="All",E988=sel_Channel),OR(sel_Customer="All",F988=sel_Customer),OR(sel_Category="All",G988=sel_Category),OR(sel_Product="All",H988=sel_Product),AND(S988&gt;=m_From,S988&lt;=m_To)),1,0)</f>
        <v/>
      </c>
      <c r="V988" s="36">
        <f>IF(AND(OR(sel_Region="All",C988=sel_Region),OR(sel_Channel="All",E988=sel_Channel),OR(sel_Customer="All",F988=sel_Customer),OR(sel_Category="All",G988=sel_Category),OR(sel_Product="All",H988=sel_Product),AND(S988&gt;=m_From,S988&lt;=m_To)),1,0)</f>
        <v/>
      </c>
      <c r="W988" s="36">
        <f>IF(AND(OR(sel_Region="All",C988=sel_Region),OR(sel_Country="All",D988=sel_Country),OR(sel_Customer="All",F988=sel_Customer),OR(sel_Category="All",G988=sel_Category),OR(sel_Product="All",H988=sel_Product),AND(S988&gt;=m_From,S988&lt;=m_To)),1,0)</f>
        <v/>
      </c>
      <c r="X988" s="36">
        <f>IF(AND(OR(sel_Region="All",C988=sel_Region),OR(sel_Country="All",D988=sel_Country),OR(sel_Channel="All",E988=sel_Channel),OR(sel_Category="All",G988=sel_Category),OR(sel_Product="All",H988=sel_Product),AND(S988&gt;=m_From,S988&lt;=m_To)),1,0)</f>
        <v/>
      </c>
      <c r="Y988" s="36">
        <f>IF(AND(OR(sel_Region="All",C988=sel_Region),OR(sel_Country="All",D988=sel_Country),OR(sel_Channel="All",E988=sel_Channel),OR(sel_Customer="All",F988=sel_Customer),OR(sel_Product="All",H988=sel_Product),AND(S988&gt;=m_From,S988&lt;=m_To)),1,0)</f>
        <v/>
      </c>
      <c r="Z988" s="36">
        <f>IF(AND(OR(sel_Region="All",C988=sel_Region),OR(sel_Country="All",D988=sel_Country),OR(sel_Channel="All",E988=sel_Channel),OR(sel_Customer="All",F988=sel_Customer),OR(sel_Category="All",G988=sel_Category),AND(S988&gt;=m_From,S988&lt;=m_To)),1,0)</f>
        <v/>
      </c>
      <c r="AA988" s="36">
        <f>IF(AND(OR(sel_Region="All",C988=sel_Region),OR(sel_Country="All",D988=sel_Country),OR(sel_Channel="All",E988=sel_Channel),OR(sel_Customer="All",F988=sel_Customer),OR(sel_Category="All",G988=sel_Category),OR(sel_Product="All",H988=sel_Product)),1,0)</f>
        <v/>
      </c>
    </row>
    <row r="989">
      <c r="A989" s="36" t="inlineStr">
        <is>
          <t>01511</t>
        </is>
      </c>
      <c r="B989" s="44" t="n">
        <v>46176</v>
      </c>
      <c r="C989" s="36" t="inlineStr">
        <is>
          <t>Northern Europe</t>
        </is>
      </c>
      <c r="D989" s="36" t="inlineStr">
        <is>
          <t>Denmark</t>
        </is>
      </c>
      <c r="E989" s="36" t="inlineStr">
        <is>
          <t>Online Store</t>
        </is>
      </c>
      <c r="F989" s="36" t="inlineStr">
        <is>
          <t>New</t>
        </is>
      </c>
      <c r="G989" s="36" t="inlineStr">
        <is>
          <t>Fitness</t>
        </is>
      </c>
      <c r="H989" s="36" t="inlineStr">
        <is>
          <t>Recovery Roller</t>
        </is>
      </c>
      <c r="I989" s="36" t="n">
        <v>2</v>
      </c>
      <c r="J989" s="39" t="n">
        <v>36.08</v>
      </c>
      <c r="K989" s="45" t="n">
        <v>0.05</v>
      </c>
      <c r="L989" s="39" t="n">
        <v>13.73</v>
      </c>
      <c r="M989" s="39">
        <f>I989*J989*(1-K989)</f>
        <v/>
      </c>
      <c r="N989" s="39">
        <f>I989*L989</f>
        <v/>
      </c>
      <c r="O989" s="39">
        <f>M989-N989</f>
        <v/>
      </c>
      <c r="P989" s="38">
        <f>IF(M989=0,0,O989/M989)</f>
        <v/>
      </c>
      <c r="Q989" s="36">
        <f>YEAR(B989)</f>
        <v/>
      </c>
      <c r="R989" s="36">
        <f>"Q"&amp;ROUNDUP(MONTH(B989)/3,0)</f>
        <v/>
      </c>
      <c r="S989" s="36">
        <f>MONTH(B989)</f>
        <v/>
      </c>
      <c r="T989" s="36">
        <f>TEXT(B989,"mmm")</f>
        <v/>
      </c>
      <c r="U989" s="36">
        <f>IF(AND(OR(sel_Region="All",C989=sel_Region),OR(sel_Country="All",D989=sel_Country),OR(sel_Channel="All",E989=sel_Channel),OR(sel_Customer="All",F989=sel_Customer),OR(sel_Category="All",G989=sel_Category),OR(sel_Product="All",H989=sel_Product),AND(S989&gt;=m_From,S989&lt;=m_To)),1,0)</f>
        <v/>
      </c>
      <c r="V989" s="36">
        <f>IF(AND(OR(sel_Region="All",C989=sel_Region),OR(sel_Channel="All",E989=sel_Channel),OR(sel_Customer="All",F989=sel_Customer),OR(sel_Category="All",G989=sel_Category),OR(sel_Product="All",H989=sel_Product),AND(S989&gt;=m_From,S989&lt;=m_To)),1,0)</f>
        <v/>
      </c>
      <c r="W989" s="36">
        <f>IF(AND(OR(sel_Region="All",C989=sel_Region),OR(sel_Country="All",D989=sel_Country),OR(sel_Customer="All",F989=sel_Customer),OR(sel_Category="All",G989=sel_Category),OR(sel_Product="All",H989=sel_Product),AND(S989&gt;=m_From,S989&lt;=m_To)),1,0)</f>
        <v/>
      </c>
      <c r="X989" s="36">
        <f>IF(AND(OR(sel_Region="All",C989=sel_Region),OR(sel_Country="All",D989=sel_Country),OR(sel_Channel="All",E989=sel_Channel),OR(sel_Category="All",G989=sel_Category),OR(sel_Product="All",H989=sel_Product),AND(S989&gt;=m_From,S989&lt;=m_To)),1,0)</f>
        <v/>
      </c>
      <c r="Y989" s="36">
        <f>IF(AND(OR(sel_Region="All",C989=sel_Region),OR(sel_Country="All",D989=sel_Country),OR(sel_Channel="All",E989=sel_Channel),OR(sel_Customer="All",F989=sel_Customer),OR(sel_Product="All",H989=sel_Product),AND(S989&gt;=m_From,S989&lt;=m_To)),1,0)</f>
        <v/>
      </c>
      <c r="Z989" s="36">
        <f>IF(AND(OR(sel_Region="All",C989=sel_Region),OR(sel_Country="All",D989=sel_Country),OR(sel_Channel="All",E989=sel_Channel),OR(sel_Customer="All",F989=sel_Customer),OR(sel_Category="All",G989=sel_Category),AND(S989&gt;=m_From,S989&lt;=m_To)),1,0)</f>
        <v/>
      </c>
      <c r="AA989" s="36">
        <f>IF(AND(OR(sel_Region="All",C989=sel_Region),OR(sel_Country="All",D989=sel_Country),OR(sel_Channel="All",E989=sel_Channel),OR(sel_Customer="All",F989=sel_Customer),OR(sel_Category="All",G989=sel_Category),OR(sel_Product="All",H989=sel_Product)),1,0)</f>
        <v/>
      </c>
    </row>
    <row r="990">
      <c r="A990" s="36" t="inlineStr">
        <is>
          <t>01701</t>
        </is>
      </c>
      <c r="B990" s="44" t="n">
        <v>46176</v>
      </c>
      <c r="C990" s="36" t="inlineStr">
        <is>
          <t>Southern Europe</t>
        </is>
      </c>
      <c r="D990" s="36" t="inlineStr">
        <is>
          <t>Portugal</t>
        </is>
      </c>
      <c r="E990" s="36" t="inlineStr">
        <is>
          <t>Online Store</t>
        </is>
      </c>
      <c r="F990" s="36" t="inlineStr">
        <is>
          <t>New</t>
        </is>
      </c>
      <c r="G990" s="36" t="inlineStr">
        <is>
          <t>Travel</t>
        </is>
      </c>
      <c r="H990" s="36" t="inlineStr">
        <is>
          <t>Packing Cube Set</t>
        </is>
      </c>
      <c r="I990" s="36" t="n">
        <v>1</v>
      </c>
      <c r="J990" s="39" t="n">
        <v>46.16</v>
      </c>
      <c r="K990" s="45" t="n">
        <v>0</v>
      </c>
      <c r="L990" s="39" t="n">
        <v>18.36</v>
      </c>
      <c r="M990" s="39">
        <f>I990*J990*(1-K990)</f>
        <v/>
      </c>
      <c r="N990" s="39">
        <f>I990*L990</f>
        <v/>
      </c>
      <c r="O990" s="39">
        <f>M990-N990</f>
        <v/>
      </c>
      <c r="P990" s="38">
        <f>IF(M990=0,0,O990/M990)</f>
        <v/>
      </c>
      <c r="Q990" s="36">
        <f>YEAR(B990)</f>
        <v/>
      </c>
      <c r="R990" s="36">
        <f>"Q"&amp;ROUNDUP(MONTH(B990)/3,0)</f>
        <v/>
      </c>
      <c r="S990" s="36">
        <f>MONTH(B990)</f>
        <v/>
      </c>
      <c r="T990" s="36">
        <f>TEXT(B990,"mmm")</f>
        <v/>
      </c>
      <c r="U990" s="36">
        <f>IF(AND(OR(sel_Region="All",C990=sel_Region),OR(sel_Country="All",D990=sel_Country),OR(sel_Channel="All",E990=sel_Channel),OR(sel_Customer="All",F990=sel_Customer),OR(sel_Category="All",G990=sel_Category),OR(sel_Product="All",H990=sel_Product),AND(S990&gt;=m_From,S990&lt;=m_To)),1,0)</f>
        <v/>
      </c>
      <c r="V990" s="36">
        <f>IF(AND(OR(sel_Region="All",C990=sel_Region),OR(sel_Channel="All",E990=sel_Channel),OR(sel_Customer="All",F990=sel_Customer),OR(sel_Category="All",G990=sel_Category),OR(sel_Product="All",H990=sel_Product),AND(S990&gt;=m_From,S990&lt;=m_To)),1,0)</f>
        <v/>
      </c>
      <c r="W990" s="36">
        <f>IF(AND(OR(sel_Region="All",C990=sel_Region),OR(sel_Country="All",D990=sel_Country),OR(sel_Customer="All",F990=sel_Customer),OR(sel_Category="All",G990=sel_Category),OR(sel_Product="All",H990=sel_Product),AND(S990&gt;=m_From,S990&lt;=m_To)),1,0)</f>
        <v/>
      </c>
      <c r="X990" s="36">
        <f>IF(AND(OR(sel_Region="All",C990=sel_Region),OR(sel_Country="All",D990=sel_Country),OR(sel_Channel="All",E990=sel_Channel),OR(sel_Category="All",G990=sel_Category),OR(sel_Product="All",H990=sel_Product),AND(S990&gt;=m_From,S990&lt;=m_To)),1,0)</f>
        <v/>
      </c>
      <c r="Y990" s="36">
        <f>IF(AND(OR(sel_Region="All",C990=sel_Region),OR(sel_Country="All",D990=sel_Country),OR(sel_Channel="All",E990=sel_Channel),OR(sel_Customer="All",F990=sel_Customer),OR(sel_Product="All",H990=sel_Product),AND(S990&gt;=m_From,S990&lt;=m_To)),1,0)</f>
        <v/>
      </c>
      <c r="Z990" s="36">
        <f>IF(AND(OR(sel_Region="All",C990=sel_Region),OR(sel_Country="All",D990=sel_Country),OR(sel_Channel="All",E990=sel_Channel),OR(sel_Customer="All",F990=sel_Customer),OR(sel_Category="All",G990=sel_Category),AND(S990&gt;=m_From,S990&lt;=m_To)),1,0)</f>
        <v/>
      </c>
      <c r="AA990" s="36">
        <f>IF(AND(OR(sel_Region="All",C990=sel_Region),OR(sel_Country="All",D990=sel_Country),OR(sel_Channel="All",E990=sel_Channel),OR(sel_Customer="All",F990=sel_Customer),OR(sel_Category="All",G990=sel_Category),OR(sel_Product="All",H990=sel_Product)),1,0)</f>
        <v/>
      </c>
    </row>
    <row r="991">
      <c r="A991" s="36" t="inlineStr">
        <is>
          <t>01984</t>
        </is>
      </c>
      <c r="B991" s="44" t="n">
        <v>46176</v>
      </c>
      <c r="C991" s="36" t="inlineStr">
        <is>
          <t>Central Europe</t>
        </is>
      </c>
      <c r="D991" s="36" t="inlineStr">
        <is>
          <t>Czechia</t>
        </is>
      </c>
      <c r="E991" s="36" t="inlineStr">
        <is>
          <t>Online Store</t>
        </is>
      </c>
      <c r="F991" s="36" t="inlineStr">
        <is>
          <t>Returning</t>
        </is>
      </c>
      <c r="G991" s="36" t="inlineStr">
        <is>
          <t>Cycling</t>
        </is>
      </c>
      <c r="H991" s="36" t="inlineStr">
        <is>
          <t>Trail Bike Light</t>
        </is>
      </c>
      <c r="I991" s="36" t="n">
        <v>2</v>
      </c>
      <c r="J991" s="39" t="n">
        <v>50.77</v>
      </c>
      <c r="K991" s="45" t="n">
        <v>0</v>
      </c>
      <c r="L991" s="39" t="n">
        <v>22.93</v>
      </c>
      <c r="M991" s="39">
        <f>I991*J991*(1-K991)</f>
        <v/>
      </c>
      <c r="N991" s="39">
        <f>I991*L991</f>
        <v/>
      </c>
      <c r="O991" s="39">
        <f>M991-N991</f>
        <v/>
      </c>
      <c r="P991" s="38">
        <f>IF(M991=0,0,O991/M991)</f>
        <v/>
      </c>
      <c r="Q991" s="36">
        <f>YEAR(B991)</f>
        <v/>
      </c>
      <c r="R991" s="36">
        <f>"Q"&amp;ROUNDUP(MONTH(B991)/3,0)</f>
        <v/>
      </c>
      <c r="S991" s="36">
        <f>MONTH(B991)</f>
        <v/>
      </c>
      <c r="T991" s="36">
        <f>TEXT(B991,"mmm")</f>
        <v/>
      </c>
      <c r="U991" s="36">
        <f>IF(AND(OR(sel_Region="All",C991=sel_Region),OR(sel_Country="All",D991=sel_Country),OR(sel_Channel="All",E991=sel_Channel),OR(sel_Customer="All",F991=sel_Customer),OR(sel_Category="All",G991=sel_Category),OR(sel_Product="All",H991=sel_Product),AND(S991&gt;=m_From,S991&lt;=m_To)),1,0)</f>
        <v/>
      </c>
      <c r="V991" s="36">
        <f>IF(AND(OR(sel_Region="All",C991=sel_Region),OR(sel_Channel="All",E991=sel_Channel),OR(sel_Customer="All",F991=sel_Customer),OR(sel_Category="All",G991=sel_Category),OR(sel_Product="All",H991=sel_Product),AND(S991&gt;=m_From,S991&lt;=m_To)),1,0)</f>
        <v/>
      </c>
      <c r="W991" s="36">
        <f>IF(AND(OR(sel_Region="All",C991=sel_Region),OR(sel_Country="All",D991=sel_Country),OR(sel_Customer="All",F991=sel_Customer),OR(sel_Category="All",G991=sel_Category),OR(sel_Product="All",H991=sel_Product),AND(S991&gt;=m_From,S991&lt;=m_To)),1,0)</f>
        <v/>
      </c>
      <c r="X991" s="36">
        <f>IF(AND(OR(sel_Region="All",C991=sel_Region),OR(sel_Country="All",D991=sel_Country),OR(sel_Channel="All",E991=sel_Channel),OR(sel_Category="All",G991=sel_Category),OR(sel_Product="All",H991=sel_Product),AND(S991&gt;=m_From,S991&lt;=m_To)),1,0)</f>
        <v/>
      </c>
      <c r="Y991" s="36">
        <f>IF(AND(OR(sel_Region="All",C991=sel_Region),OR(sel_Country="All",D991=sel_Country),OR(sel_Channel="All",E991=sel_Channel),OR(sel_Customer="All",F991=sel_Customer),OR(sel_Product="All",H991=sel_Product),AND(S991&gt;=m_From,S991&lt;=m_To)),1,0)</f>
        <v/>
      </c>
      <c r="Z991" s="36">
        <f>IF(AND(OR(sel_Region="All",C991=sel_Region),OR(sel_Country="All",D991=sel_Country),OR(sel_Channel="All",E991=sel_Channel),OR(sel_Customer="All",F991=sel_Customer),OR(sel_Category="All",G991=sel_Category),AND(S991&gt;=m_From,S991&lt;=m_To)),1,0)</f>
        <v/>
      </c>
      <c r="AA991" s="36">
        <f>IF(AND(OR(sel_Region="All",C991=sel_Region),OR(sel_Country="All",D991=sel_Country),OR(sel_Channel="All",E991=sel_Channel),OR(sel_Customer="All",F991=sel_Customer),OR(sel_Category="All",G991=sel_Category),OR(sel_Product="All",H991=sel_Product)),1,0)</f>
        <v/>
      </c>
    </row>
    <row r="992">
      <c r="A992" s="36" t="inlineStr">
        <is>
          <t>02572</t>
        </is>
      </c>
      <c r="B992" s="44" t="n">
        <v>46176</v>
      </c>
      <c r="C992" s="36" t="inlineStr">
        <is>
          <t>Western Europe</t>
        </is>
      </c>
      <c r="D992" s="36" t="inlineStr">
        <is>
          <t>United Kingdom</t>
        </is>
      </c>
      <c r="E992" s="36" t="inlineStr">
        <is>
          <t>Marketplace</t>
        </is>
      </c>
      <c r="F992" s="36" t="inlineStr">
        <is>
          <t>Business</t>
        </is>
      </c>
      <c r="G992" s="36" t="inlineStr">
        <is>
          <t>Hiking</t>
        </is>
      </c>
      <c r="H992" s="36" t="inlineStr">
        <is>
          <t>Trekking Poles</t>
        </is>
      </c>
      <c r="I992" s="36" t="n">
        <v>2</v>
      </c>
      <c r="J992" s="39" t="n">
        <v>70.97</v>
      </c>
      <c r="K992" s="45" t="n">
        <v>0.05</v>
      </c>
      <c r="L992" s="39" t="n">
        <v>32.54</v>
      </c>
      <c r="M992" s="39">
        <f>I992*J992*(1-K992)</f>
        <v/>
      </c>
      <c r="N992" s="39">
        <f>I992*L992</f>
        <v/>
      </c>
      <c r="O992" s="39">
        <f>M992-N992</f>
        <v/>
      </c>
      <c r="P992" s="38">
        <f>IF(M992=0,0,O992/M992)</f>
        <v/>
      </c>
      <c r="Q992" s="36">
        <f>YEAR(B992)</f>
        <v/>
      </c>
      <c r="R992" s="36">
        <f>"Q"&amp;ROUNDUP(MONTH(B992)/3,0)</f>
        <v/>
      </c>
      <c r="S992" s="36">
        <f>MONTH(B992)</f>
        <v/>
      </c>
      <c r="T992" s="36">
        <f>TEXT(B992,"mmm")</f>
        <v/>
      </c>
      <c r="U992" s="36">
        <f>IF(AND(OR(sel_Region="All",C992=sel_Region),OR(sel_Country="All",D992=sel_Country),OR(sel_Channel="All",E992=sel_Channel),OR(sel_Customer="All",F992=sel_Customer),OR(sel_Category="All",G992=sel_Category),OR(sel_Product="All",H992=sel_Product),AND(S992&gt;=m_From,S992&lt;=m_To)),1,0)</f>
        <v/>
      </c>
      <c r="V992" s="36">
        <f>IF(AND(OR(sel_Region="All",C992=sel_Region),OR(sel_Channel="All",E992=sel_Channel),OR(sel_Customer="All",F992=sel_Customer),OR(sel_Category="All",G992=sel_Category),OR(sel_Product="All",H992=sel_Product),AND(S992&gt;=m_From,S992&lt;=m_To)),1,0)</f>
        <v/>
      </c>
      <c r="W992" s="36">
        <f>IF(AND(OR(sel_Region="All",C992=sel_Region),OR(sel_Country="All",D992=sel_Country),OR(sel_Customer="All",F992=sel_Customer),OR(sel_Category="All",G992=sel_Category),OR(sel_Product="All",H992=sel_Product),AND(S992&gt;=m_From,S992&lt;=m_To)),1,0)</f>
        <v/>
      </c>
      <c r="X992" s="36">
        <f>IF(AND(OR(sel_Region="All",C992=sel_Region),OR(sel_Country="All",D992=sel_Country),OR(sel_Channel="All",E992=sel_Channel),OR(sel_Category="All",G992=sel_Category),OR(sel_Product="All",H992=sel_Product),AND(S992&gt;=m_From,S992&lt;=m_To)),1,0)</f>
        <v/>
      </c>
      <c r="Y992" s="36">
        <f>IF(AND(OR(sel_Region="All",C992=sel_Region),OR(sel_Country="All",D992=sel_Country),OR(sel_Channel="All",E992=sel_Channel),OR(sel_Customer="All",F992=sel_Customer),OR(sel_Product="All",H992=sel_Product),AND(S992&gt;=m_From,S992&lt;=m_To)),1,0)</f>
        <v/>
      </c>
      <c r="Z992" s="36">
        <f>IF(AND(OR(sel_Region="All",C992=sel_Region),OR(sel_Country="All",D992=sel_Country),OR(sel_Channel="All",E992=sel_Channel),OR(sel_Customer="All",F992=sel_Customer),OR(sel_Category="All",G992=sel_Category),AND(S992&gt;=m_From,S992&lt;=m_To)),1,0)</f>
        <v/>
      </c>
      <c r="AA992" s="36">
        <f>IF(AND(OR(sel_Region="All",C992=sel_Region),OR(sel_Country="All",D992=sel_Country),OR(sel_Channel="All",E992=sel_Channel),OR(sel_Customer="All",F992=sel_Customer),OR(sel_Category="All",G992=sel_Category),OR(sel_Product="All",H992=sel_Product)),1,0)</f>
        <v/>
      </c>
    </row>
    <row r="993">
      <c r="A993" s="36" t="inlineStr">
        <is>
          <t>02833</t>
        </is>
      </c>
      <c r="B993" s="44" t="n">
        <v>46176</v>
      </c>
      <c r="C993" s="36" t="inlineStr">
        <is>
          <t>Western Europe</t>
        </is>
      </c>
      <c r="D993" s="36" t="inlineStr">
        <is>
          <t>France</t>
        </is>
      </c>
      <c r="E993" s="36" t="inlineStr">
        <is>
          <t>Online Store</t>
        </is>
      </c>
      <c r="F993" s="36" t="inlineStr">
        <is>
          <t>Returning</t>
        </is>
      </c>
      <c r="G993" s="36" t="inlineStr">
        <is>
          <t>Hiking</t>
        </is>
      </c>
      <c r="H993" s="36" t="inlineStr">
        <is>
          <t>Trail Boots</t>
        </is>
      </c>
      <c r="I993" s="36" t="n">
        <v>3</v>
      </c>
      <c r="J993" s="39" t="n">
        <v>141.6</v>
      </c>
      <c r="K993" s="45" t="n">
        <v>0</v>
      </c>
      <c r="L993" s="39" t="n">
        <v>78.02</v>
      </c>
      <c r="M993" s="39">
        <f>I993*J993*(1-K993)</f>
        <v/>
      </c>
      <c r="N993" s="39">
        <f>I993*L993</f>
        <v/>
      </c>
      <c r="O993" s="39">
        <f>M993-N993</f>
        <v/>
      </c>
      <c r="P993" s="38">
        <f>IF(M993=0,0,O993/M993)</f>
        <v/>
      </c>
      <c r="Q993" s="36">
        <f>YEAR(B993)</f>
        <v/>
      </c>
      <c r="R993" s="36">
        <f>"Q"&amp;ROUNDUP(MONTH(B993)/3,0)</f>
        <v/>
      </c>
      <c r="S993" s="36">
        <f>MONTH(B993)</f>
        <v/>
      </c>
      <c r="T993" s="36">
        <f>TEXT(B993,"mmm")</f>
        <v/>
      </c>
      <c r="U993" s="36">
        <f>IF(AND(OR(sel_Region="All",C993=sel_Region),OR(sel_Country="All",D993=sel_Country),OR(sel_Channel="All",E993=sel_Channel),OR(sel_Customer="All",F993=sel_Customer),OR(sel_Category="All",G993=sel_Category),OR(sel_Product="All",H993=sel_Product),AND(S993&gt;=m_From,S993&lt;=m_To)),1,0)</f>
        <v/>
      </c>
      <c r="V993" s="36">
        <f>IF(AND(OR(sel_Region="All",C993=sel_Region),OR(sel_Channel="All",E993=sel_Channel),OR(sel_Customer="All",F993=sel_Customer),OR(sel_Category="All",G993=sel_Category),OR(sel_Product="All",H993=sel_Product),AND(S993&gt;=m_From,S993&lt;=m_To)),1,0)</f>
        <v/>
      </c>
      <c r="W993" s="36">
        <f>IF(AND(OR(sel_Region="All",C993=sel_Region),OR(sel_Country="All",D993=sel_Country),OR(sel_Customer="All",F993=sel_Customer),OR(sel_Category="All",G993=sel_Category),OR(sel_Product="All",H993=sel_Product),AND(S993&gt;=m_From,S993&lt;=m_To)),1,0)</f>
        <v/>
      </c>
      <c r="X993" s="36">
        <f>IF(AND(OR(sel_Region="All",C993=sel_Region),OR(sel_Country="All",D993=sel_Country),OR(sel_Channel="All",E993=sel_Channel),OR(sel_Category="All",G993=sel_Category),OR(sel_Product="All",H993=sel_Product),AND(S993&gt;=m_From,S993&lt;=m_To)),1,0)</f>
        <v/>
      </c>
      <c r="Y993" s="36">
        <f>IF(AND(OR(sel_Region="All",C993=sel_Region),OR(sel_Country="All",D993=sel_Country),OR(sel_Channel="All",E993=sel_Channel),OR(sel_Customer="All",F993=sel_Customer),OR(sel_Product="All",H993=sel_Product),AND(S993&gt;=m_From,S993&lt;=m_To)),1,0)</f>
        <v/>
      </c>
      <c r="Z993" s="36">
        <f>IF(AND(OR(sel_Region="All",C993=sel_Region),OR(sel_Country="All",D993=sel_Country),OR(sel_Channel="All",E993=sel_Channel),OR(sel_Customer="All",F993=sel_Customer),OR(sel_Category="All",G993=sel_Category),AND(S993&gt;=m_From,S993&lt;=m_To)),1,0)</f>
        <v/>
      </c>
      <c r="AA993" s="36">
        <f>IF(AND(OR(sel_Region="All",C993=sel_Region),OR(sel_Country="All",D993=sel_Country),OR(sel_Channel="All",E993=sel_Channel),OR(sel_Customer="All",F993=sel_Customer),OR(sel_Category="All",G993=sel_Category),OR(sel_Product="All",H993=sel_Product)),1,0)</f>
        <v/>
      </c>
    </row>
    <row r="994">
      <c r="A994" s="36" t="inlineStr">
        <is>
          <t>03522</t>
        </is>
      </c>
      <c r="B994" s="44" t="n">
        <v>46176</v>
      </c>
      <c r="C994" s="36" t="inlineStr">
        <is>
          <t>Western Europe</t>
        </is>
      </c>
      <c r="D994" s="36" t="inlineStr">
        <is>
          <t>France</t>
        </is>
      </c>
      <c r="E994" s="36" t="inlineStr">
        <is>
          <t>Online Store</t>
        </is>
      </c>
      <c r="F994" s="36" t="inlineStr">
        <is>
          <t>New</t>
        </is>
      </c>
      <c r="G994" s="36" t="inlineStr">
        <is>
          <t>Cycling</t>
        </is>
      </c>
      <c r="H994" s="36" t="inlineStr">
        <is>
          <t>Compact Repair Kit</t>
        </is>
      </c>
      <c r="I994" s="36" t="n">
        <v>1</v>
      </c>
      <c r="J994" s="39" t="n">
        <v>40.57</v>
      </c>
      <c r="K994" s="45" t="n">
        <v>0</v>
      </c>
      <c r="L994" s="39" t="n">
        <v>16.33</v>
      </c>
      <c r="M994" s="39">
        <f>I994*J994*(1-K994)</f>
        <v/>
      </c>
      <c r="N994" s="39">
        <f>I994*L994</f>
        <v/>
      </c>
      <c r="O994" s="39">
        <f>M994-N994</f>
        <v/>
      </c>
      <c r="P994" s="38">
        <f>IF(M994=0,0,O994/M994)</f>
        <v/>
      </c>
      <c r="Q994" s="36">
        <f>YEAR(B994)</f>
        <v/>
      </c>
      <c r="R994" s="36">
        <f>"Q"&amp;ROUNDUP(MONTH(B994)/3,0)</f>
        <v/>
      </c>
      <c r="S994" s="36">
        <f>MONTH(B994)</f>
        <v/>
      </c>
      <c r="T994" s="36">
        <f>TEXT(B994,"mmm")</f>
        <v/>
      </c>
      <c r="U994" s="36">
        <f>IF(AND(OR(sel_Region="All",C994=sel_Region),OR(sel_Country="All",D994=sel_Country),OR(sel_Channel="All",E994=sel_Channel),OR(sel_Customer="All",F994=sel_Customer),OR(sel_Category="All",G994=sel_Category),OR(sel_Product="All",H994=sel_Product),AND(S994&gt;=m_From,S994&lt;=m_To)),1,0)</f>
        <v/>
      </c>
      <c r="V994" s="36">
        <f>IF(AND(OR(sel_Region="All",C994=sel_Region),OR(sel_Channel="All",E994=sel_Channel),OR(sel_Customer="All",F994=sel_Customer),OR(sel_Category="All",G994=sel_Category),OR(sel_Product="All",H994=sel_Product),AND(S994&gt;=m_From,S994&lt;=m_To)),1,0)</f>
        <v/>
      </c>
      <c r="W994" s="36">
        <f>IF(AND(OR(sel_Region="All",C994=sel_Region),OR(sel_Country="All",D994=sel_Country),OR(sel_Customer="All",F994=sel_Customer),OR(sel_Category="All",G994=sel_Category),OR(sel_Product="All",H994=sel_Product),AND(S994&gt;=m_From,S994&lt;=m_To)),1,0)</f>
        <v/>
      </c>
      <c r="X994" s="36">
        <f>IF(AND(OR(sel_Region="All",C994=sel_Region),OR(sel_Country="All",D994=sel_Country),OR(sel_Channel="All",E994=sel_Channel),OR(sel_Category="All",G994=sel_Category),OR(sel_Product="All",H994=sel_Product),AND(S994&gt;=m_From,S994&lt;=m_To)),1,0)</f>
        <v/>
      </c>
      <c r="Y994" s="36">
        <f>IF(AND(OR(sel_Region="All",C994=sel_Region),OR(sel_Country="All",D994=sel_Country),OR(sel_Channel="All",E994=sel_Channel),OR(sel_Customer="All",F994=sel_Customer),OR(sel_Product="All",H994=sel_Product),AND(S994&gt;=m_From,S994&lt;=m_To)),1,0)</f>
        <v/>
      </c>
      <c r="Z994" s="36">
        <f>IF(AND(OR(sel_Region="All",C994=sel_Region),OR(sel_Country="All",D994=sel_Country),OR(sel_Channel="All",E994=sel_Channel),OR(sel_Customer="All",F994=sel_Customer),OR(sel_Category="All",G994=sel_Category),AND(S994&gt;=m_From,S994&lt;=m_To)),1,0)</f>
        <v/>
      </c>
      <c r="AA994" s="36">
        <f>IF(AND(OR(sel_Region="All",C994=sel_Region),OR(sel_Country="All",D994=sel_Country),OR(sel_Channel="All",E994=sel_Channel),OR(sel_Customer="All",F994=sel_Customer),OR(sel_Category="All",G994=sel_Category),OR(sel_Product="All",H994=sel_Product)),1,0)</f>
        <v/>
      </c>
    </row>
    <row r="995">
      <c r="A995" s="36" t="inlineStr">
        <is>
          <t>00146</t>
        </is>
      </c>
      <c r="B995" s="44" t="n">
        <v>46177</v>
      </c>
      <c r="C995" s="36" t="inlineStr">
        <is>
          <t>Central Europe</t>
        </is>
      </c>
      <c r="D995" s="36" t="inlineStr">
        <is>
          <t>Poland</t>
        </is>
      </c>
      <c r="E995" s="36" t="inlineStr">
        <is>
          <t>Marketplace</t>
        </is>
      </c>
      <c r="F995" s="36" t="inlineStr">
        <is>
          <t>Returning</t>
        </is>
      </c>
      <c r="G995" s="36" t="inlineStr">
        <is>
          <t>Cycling</t>
        </is>
      </c>
      <c r="H995" s="36" t="inlineStr">
        <is>
          <t>Commuter Helmet</t>
        </is>
      </c>
      <c r="I995" s="36" t="n">
        <v>2</v>
      </c>
      <c r="J995" s="39" t="n">
        <v>81.81</v>
      </c>
      <c r="K995" s="45" t="n">
        <v>0</v>
      </c>
      <c r="L995" s="39" t="n">
        <v>42.54</v>
      </c>
      <c r="M995" s="39">
        <f>I995*J995*(1-K995)</f>
        <v/>
      </c>
      <c r="N995" s="39">
        <f>I995*L995</f>
        <v/>
      </c>
      <c r="O995" s="39">
        <f>M995-N995</f>
        <v/>
      </c>
      <c r="P995" s="38">
        <f>IF(M995=0,0,O995/M995)</f>
        <v/>
      </c>
      <c r="Q995" s="36">
        <f>YEAR(B995)</f>
        <v/>
      </c>
      <c r="R995" s="36">
        <f>"Q"&amp;ROUNDUP(MONTH(B995)/3,0)</f>
        <v/>
      </c>
      <c r="S995" s="36">
        <f>MONTH(B995)</f>
        <v/>
      </c>
      <c r="T995" s="36">
        <f>TEXT(B995,"mmm")</f>
        <v/>
      </c>
      <c r="U995" s="36">
        <f>IF(AND(OR(sel_Region="All",C995=sel_Region),OR(sel_Country="All",D995=sel_Country),OR(sel_Channel="All",E995=sel_Channel),OR(sel_Customer="All",F995=sel_Customer),OR(sel_Category="All",G995=sel_Category),OR(sel_Product="All",H995=sel_Product),AND(S995&gt;=m_From,S995&lt;=m_To)),1,0)</f>
        <v/>
      </c>
      <c r="V995" s="36">
        <f>IF(AND(OR(sel_Region="All",C995=sel_Region),OR(sel_Channel="All",E995=sel_Channel),OR(sel_Customer="All",F995=sel_Customer),OR(sel_Category="All",G995=sel_Category),OR(sel_Product="All",H995=sel_Product),AND(S995&gt;=m_From,S995&lt;=m_To)),1,0)</f>
        <v/>
      </c>
      <c r="W995" s="36">
        <f>IF(AND(OR(sel_Region="All",C995=sel_Region),OR(sel_Country="All",D995=sel_Country),OR(sel_Customer="All",F995=sel_Customer),OR(sel_Category="All",G995=sel_Category),OR(sel_Product="All",H995=sel_Product),AND(S995&gt;=m_From,S995&lt;=m_To)),1,0)</f>
        <v/>
      </c>
      <c r="X995" s="36">
        <f>IF(AND(OR(sel_Region="All",C995=sel_Region),OR(sel_Country="All",D995=sel_Country),OR(sel_Channel="All",E995=sel_Channel),OR(sel_Category="All",G995=sel_Category),OR(sel_Product="All",H995=sel_Product),AND(S995&gt;=m_From,S995&lt;=m_To)),1,0)</f>
        <v/>
      </c>
      <c r="Y995" s="36">
        <f>IF(AND(OR(sel_Region="All",C995=sel_Region),OR(sel_Country="All",D995=sel_Country),OR(sel_Channel="All",E995=sel_Channel),OR(sel_Customer="All",F995=sel_Customer),OR(sel_Product="All",H995=sel_Product),AND(S995&gt;=m_From,S995&lt;=m_To)),1,0)</f>
        <v/>
      </c>
      <c r="Z995" s="36">
        <f>IF(AND(OR(sel_Region="All",C995=sel_Region),OR(sel_Country="All",D995=sel_Country),OR(sel_Channel="All",E995=sel_Channel),OR(sel_Customer="All",F995=sel_Customer),OR(sel_Category="All",G995=sel_Category),AND(S995&gt;=m_From,S995&lt;=m_To)),1,0)</f>
        <v/>
      </c>
      <c r="AA995" s="36">
        <f>IF(AND(OR(sel_Region="All",C995=sel_Region),OR(sel_Country="All",D995=sel_Country),OR(sel_Channel="All",E995=sel_Channel),OR(sel_Customer="All",F995=sel_Customer),OR(sel_Category="All",G995=sel_Category),OR(sel_Product="All",H995=sel_Product)),1,0)</f>
        <v/>
      </c>
    </row>
    <row r="996">
      <c r="A996" s="36" t="inlineStr">
        <is>
          <t>00161</t>
        </is>
      </c>
      <c r="B996" s="44" t="n">
        <v>46177</v>
      </c>
      <c r="C996" s="36" t="inlineStr">
        <is>
          <t>Southern Europe</t>
        </is>
      </c>
      <c r="D996" s="36" t="inlineStr">
        <is>
          <t>Spain</t>
        </is>
      </c>
      <c r="E996" s="36" t="inlineStr">
        <is>
          <t>Marketplace</t>
        </is>
      </c>
      <c r="F996" s="36" t="inlineStr">
        <is>
          <t>Returning</t>
        </is>
      </c>
      <c r="G996" s="36" t="inlineStr">
        <is>
          <t>Cycling</t>
        </is>
      </c>
      <c r="H996" s="36" t="inlineStr">
        <is>
          <t>Trail Bike Light</t>
        </is>
      </c>
      <c r="I996" s="36" t="n">
        <v>2</v>
      </c>
      <c r="J996" s="39" t="n">
        <v>50.09</v>
      </c>
      <c r="K996" s="45" t="n">
        <v>0</v>
      </c>
      <c r="L996" s="39" t="n">
        <v>22.91</v>
      </c>
      <c r="M996" s="39">
        <f>I996*J996*(1-K996)</f>
        <v/>
      </c>
      <c r="N996" s="39">
        <f>I996*L996</f>
        <v/>
      </c>
      <c r="O996" s="39">
        <f>M996-N996</f>
        <v/>
      </c>
      <c r="P996" s="38">
        <f>IF(M996=0,0,O996/M996)</f>
        <v/>
      </c>
      <c r="Q996" s="36">
        <f>YEAR(B996)</f>
        <v/>
      </c>
      <c r="R996" s="36">
        <f>"Q"&amp;ROUNDUP(MONTH(B996)/3,0)</f>
        <v/>
      </c>
      <c r="S996" s="36">
        <f>MONTH(B996)</f>
        <v/>
      </c>
      <c r="T996" s="36">
        <f>TEXT(B996,"mmm")</f>
        <v/>
      </c>
      <c r="U996" s="36">
        <f>IF(AND(OR(sel_Region="All",C996=sel_Region),OR(sel_Country="All",D996=sel_Country),OR(sel_Channel="All",E996=sel_Channel),OR(sel_Customer="All",F996=sel_Customer),OR(sel_Category="All",G996=sel_Category),OR(sel_Product="All",H996=sel_Product),AND(S996&gt;=m_From,S996&lt;=m_To)),1,0)</f>
        <v/>
      </c>
      <c r="V996" s="36">
        <f>IF(AND(OR(sel_Region="All",C996=sel_Region),OR(sel_Channel="All",E996=sel_Channel),OR(sel_Customer="All",F996=sel_Customer),OR(sel_Category="All",G996=sel_Category),OR(sel_Product="All",H996=sel_Product),AND(S996&gt;=m_From,S996&lt;=m_To)),1,0)</f>
        <v/>
      </c>
      <c r="W996" s="36">
        <f>IF(AND(OR(sel_Region="All",C996=sel_Region),OR(sel_Country="All",D996=sel_Country),OR(sel_Customer="All",F996=sel_Customer),OR(sel_Category="All",G996=sel_Category),OR(sel_Product="All",H996=sel_Product),AND(S996&gt;=m_From,S996&lt;=m_To)),1,0)</f>
        <v/>
      </c>
      <c r="X996" s="36">
        <f>IF(AND(OR(sel_Region="All",C996=sel_Region),OR(sel_Country="All",D996=sel_Country),OR(sel_Channel="All",E996=sel_Channel),OR(sel_Category="All",G996=sel_Category),OR(sel_Product="All",H996=sel_Product),AND(S996&gt;=m_From,S996&lt;=m_To)),1,0)</f>
        <v/>
      </c>
      <c r="Y996" s="36">
        <f>IF(AND(OR(sel_Region="All",C996=sel_Region),OR(sel_Country="All",D996=sel_Country),OR(sel_Channel="All",E996=sel_Channel),OR(sel_Customer="All",F996=sel_Customer),OR(sel_Product="All",H996=sel_Product),AND(S996&gt;=m_From,S996&lt;=m_To)),1,0)</f>
        <v/>
      </c>
      <c r="Z996" s="36">
        <f>IF(AND(OR(sel_Region="All",C996=sel_Region),OR(sel_Country="All",D996=sel_Country),OR(sel_Channel="All",E996=sel_Channel),OR(sel_Customer="All",F996=sel_Customer),OR(sel_Category="All",G996=sel_Category),AND(S996&gt;=m_From,S996&lt;=m_To)),1,0)</f>
        <v/>
      </c>
      <c r="AA996" s="36">
        <f>IF(AND(OR(sel_Region="All",C996=sel_Region),OR(sel_Country="All",D996=sel_Country),OR(sel_Channel="All",E996=sel_Channel),OR(sel_Customer="All",F996=sel_Customer),OR(sel_Category="All",G996=sel_Category),OR(sel_Product="All",H996=sel_Product)),1,0)</f>
        <v/>
      </c>
    </row>
    <row r="997">
      <c r="A997" s="36" t="inlineStr">
        <is>
          <t>00819</t>
        </is>
      </c>
      <c r="B997" s="44" t="n">
        <v>46177</v>
      </c>
      <c r="C997" s="36" t="inlineStr">
        <is>
          <t>Western Europe</t>
        </is>
      </c>
      <c r="D997" s="36" t="inlineStr">
        <is>
          <t>United Kingdom</t>
        </is>
      </c>
      <c r="E997" s="36" t="inlineStr">
        <is>
          <t>Online Store</t>
        </is>
      </c>
      <c r="F997" s="36" t="inlineStr">
        <is>
          <t>Returning</t>
        </is>
      </c>
      <c r="G997" s="36" t="inlineStr">
        <is>
          <t>Hiking</t>
        </is>
      </c>
      <c r="H997" s="36" t="inlineStr">
        <is>
          <t>Trekking Poles</t>
        </is>
      </c>
      <c r="I997" s="36" t="n">
        <v>1</v>
      </c>
      <c r="J997" s="39" t="n">
        <v>72.38</v>
      </c>
      <c r="K997" s="45" t="n">
        <v>0</v>
      </c>
      <c r="L997" s="39" t="n">
        <v>32.68</v>
      </c>
      <c r="M997" s="39">
        <f>I997*J997*(1-K997)</f>
        <v/>
      </c>
      <c r="N997" s="39">
        <f>I997*L997</f>
        <v/>
      </c>
      <c r="O997" s="39">
        <f>M997-N997</f>
        <v/>
      </c>
      <c r="P997" s="38">
        <f>IF(M997=0,0,O997/M997)</f>
        <v/>
      </c>
      <c r="Q997" s="36">
        <f>YEAR(B997)</f>
        <v/>
      </c>
      <c r="R997" s="36">
        <f>"Q"&amp;ROUNDUP(MONTH(B997)/3,0)</f>
        <v/>
      </c>
      <c r="S997" s="36">
        <f>MONTH(B997)</f>
        <v/>
      </c>
      <c r="T997" s="36">
        <f>TEXT(B997,"mmm")</f>
        <v/>
      </c>
      <c r="U997" s="36">
        <f>IF(AND(OR(sel_Region="All",C997=sel_Region),OR(sel_Country="All",D997=sel_Country),OR(sel_Channel="All",E997=sel_Channel),OR(sel_Customer="All",F997=sel_Customer),OR(sel_Category="All",G997=sel_Category),OR(sel_Product="All",H997=sel_Product),AND(S997&gt;=m_From,S997&lt;=m_To)),1,0)</f>
        <v/>
      </c>
      <c r="V997" s="36">
        <f>IF(AND(OR(sel_Region="All",C997=sel_Region),OR(sel_Channel="All",E997=sel_Channel),OR(sel_Customer="All",F997=sel_Customer),OR(sel_Category="All",G997=sel_Category),OR(sel_Product="All",H997=sel_Product),AND(S997&gt;=m_From,S997&lt;=m_To)),1,0)</f>
        <v/>
      </c>
      <c r="W997" s="36">
        <f>IF(AND(OR(sel_Region="All",C997=sel_Region),OR(sel_Country="All",D997=sel_Country),OR(sel_Customer="All",F997=sel_Customer),OR(sel_Category="All",G997=sel_Category),OR(sel_Product="All",H997=sel_Product),AND(S997&gt;=m_From,S997&lt;=m_To)),1,0)</f>
        <v/>
      </c>
      <c r="X997" s="36">
        <f>IF(AND(OR(sel_Region="All",C997=sel_Region),OR(sel_Country="All",D997=sel_Country),OR(sel_Channel="All",E997=sel_Channel),OR(sel_Category="All",G997=sel_Category),OR(sel_Product="All",H997=sel_Product),AND(S997&gt;=m_From,S997&lt;=m_To)),1,0)</f>
        <v/>
      </c>
      <c r="Y997" s="36">
        <f>IF(AND(OR(sel_Region="All",C997=sel_Region),OR(sel_Country="All",D997=sel_Country),OR(sel_Channel="All",E997=sel_Channel),OR(sel_Customer="All",F997=sel_Customer),OR(sel_Product="All",H997=sel_Product),AND(S997&gt;=m_From,S997&lt;=m_To)),1,0)</f>
        <v/>
      </c>
      <c r="Z997" s="36">
        <f>IF(AND(OR(sel_Region="All",C997=sel_Region),OR(sel_Country="All",D997=sel_Country),OR(sel_Channel="All",E997=sel_Channel),OR(sel_Customer="All",F997=sel_Customer),OR(sel_Category="All",G997=sel_Category),AND(S997&gt;=m_From,S997&lt;=m_To)),1,0)</f>
        <v/>
      </c>
      <c r="AA997" s="36">
        <f>IF(AND(OR(sel_Region="All",C997=sel_Region),OR(sel_Country="All",D997=sel_Country),OR(sel_Channel="All",E997=sel_Channel),OR(sel_Customer="All",F997=sel_Customer),OR(sel_Category="All",G997=sel_Category),OR(sel_Product="All",H997=sel_Product)),1,0)</f>
        <v/>
      </c>
    </row>
    <row r="998">
      <c r="A998" s="36" t="inlineStr">
        <is>
          <t>02104</t>
        </is>
      </c>
      <c r="B998" s="44" t="n">
        <v>46177</v>
      </c>
      <c r="C998" s="36" t="inlineStr">
        <is>
          <t>Central Europe</t>
        </is>
      </c>
      <c r="D998" s="36" t="inlineStr">
        <is>
          <t>Czechia</t>
        </is>
      </c>
      <c r="E998" s="36" t="inlineStr">
        <is>
          <t>Online Store</t>
        </is>
      </c>
      <c r="F998" s="36" t="inlineStr">
        <is>
          <t>New</t>
        </is>
      </c>
      <c r="G998" s="36" t="inlineStr">
        <is>
          <t>Hiking</t>
        </is>
      </c>
      <c r="H998" s="36" t="inlineStr">
        <is>
          <t>Hiking Daypack 20L</t>
        </is>
      </c>
      <c r="I998" s="36" t="n">
        <v>1</v>
      </c>
      <c r="J998" s="39" t="n">
        <v>92.31</v>
      </c>
      <c r="K998" s="45" t="n">
        <v>0</v>
      </c>
      <c r="L998" s="39" t="n">
        <v>45.58</v>
      </c>
      <c r="M998" s="39">
        <f>I998*J998*(1-K998)</f>
        <v/>
      </c>
      <c r="N998" s="39">
        <f>I998*L998</f>
        <v/>
      </c>
      <c r="O998" s="39">
        <f>M998-N998</f>
        <v/>
      </c>
      <c r="P998" s="38">
        <f>IF(M998=0,0,O998/M998)</f>
        <v/>
      </c>
      <c r="Q998" s="36">
        <f>YEAR(B998)</f>
        <v/>
      </c>
      <c r="R998" s="36">
        <f>"Q"&amp;ROUNDUP(MONTH(B998)/3,0)</f>
        <v/>
      </c>
      <c r="S998" s="36">
        <f>MONTH(B998)</f>
        <v/>
      </c>
      <c r="T998" s="36">
        <f>TEXT(B998,"mmm")</f>
        <v/>
      </c>
      <c r="U998" s="36">
        <f>IF(AND(OR(sel_Region="All",C998=sel_Region),OR(sel_Country="All",D998=sel_Country),OR(sel_Channel="All",E998=sel_Channel),OR(sel_Customer="All",F998=sel_Customer),OR(sel_Category="All",G998=sel_Category),OR(sel_Product="All",H998=sel_Product),AND(S998&gt;=m_From,S998&lt;=m_To)),1,0)</f>
        <v/>
      </c>
      <c r="V998" s="36">
        <f>IF(AND(OR(sel_Region="All",C998=sel_Region),OR(sel_Channel="All",E998=sel_Channel),OR(sel_Customer="All",F998=sel_Customer),OR(sel_Category="All",G998=sel_Category),OR(sel_Product="All",H998=sel_Product),AND(S998&gt;=m_From,S998&lt;=m_To)),1,0)</f>
        <v/>
      </c>
      <c r="W998" s="36">
        <f>IF(AND(OR(sel_Region="All",C998=sel_Region),OR(sel_Country="All",D998=sel_Country),OR(sel_Customer="All",F998=sel_Customer),OR(sel_Category="All",G998=sel_Category),OR(sel_Product="All",H998=sel_Product),AND(S998&gt;=m_From,S998&lt;=m_To)),1,0)</f>
        <v/>
      </c>
      <c r="X998" s="36">
        <f>IF(AND(OR(sel_Region="All",C998=sel_Region),OR(sel_Country="All",D998=sel_Country),OR(sel_Channel="All",E998=sel_Channel),OR(sel_Category="All",G998=sel_Category),OR(sel_Product="All",H998=sel_Product),AND(S998&gt;=m_From,S998&lt;=m_To)),1,0)</f>
        <v/>
      </c>
      <c r="Y998" s="36">
        <f>IF(AND(OR(sel_Region="All",C998=sel_Region),OR(sel_Country="All",D998=sel_Country),OR(sel_Channel="All",E998=sel_Channel),OR(sel_Customer="All",F998=sel_Customer),OR(sel_Product="All",H998=sel_Product),AND(S998&gt;=m_From,S998&lt;=m_To)),1,0)</f>
        <v/>
      </c>
      <c r="Z998" s="36">
        <f>IF(AND(OR(sel_Region="All",C998=sel_Region),OR(sel_Country="All",D998=sel_Country),OR(sel_Channel="All",E998=sel_Channel),OR(sel_Customer="All",F998=sel_Customer),OR(sel_Category="All",G998=sel_Category),AND(S998&gt;=m_From,S998&lt;=m_To)),1,0)</f>
        <v/>
      </c>
      <c r="AA998" s="36">
        <f>IF(AND(OR(sel_Region="All",C998=sel_Region),OR(sel_Country="All",D998=sel_Country),OR(sel_Channel="All",E998=sel_Channel),OR(sel_Customer="All",F998=sel_Customer),OR(sel_Category="All",G998=sel_Category),OR(sel_Product="All",H998=sel_Product)),1,0)</f>
        <v/>
      </c>
    </row>
    <row r="999">
      <c r="A999" s="36" t="inlineStr">
        <is>
          <t>02678</t>
        </is>
      </c>
      <c r="B999" s="44" t="n">
        <v>46177</v>
      </c>
      <c r="C999" s="36" t="inlineStr">
        <is>
          <t>Western Europe</t>
        </is>
      </c>
      <c r="D999" s="36" t="inlineStr">
        <is>
          <t>United Kingdom</t>
        </is>
      </c>
      <c r="E999" s="36" t="inlineStr">
        <is>
          <t>Corporate</t>
        </is>
      </c>
      <c r="F999" s="36" t="inlineStr">
        <is>
          <t>Returning</t>
        </is>
      </c>
      <c r="G999" s="36" t="inlineStr">
        <is>
          <t>Travel</t>
        </is>
      </c>
      <c r="H999" s="36" t="inlineStr">
        <is>
          <t>Packing Cube Set</t>
        </is>
      </c>
      <c r="I999" s="36" t="n">
        <v>12</v>
      </c>
      <c r="J999" s="39" t="n">
        <v>47.6</v>
      </c>
      <c r="K999" s="45" t="n">
        <v>0.15</v>
      </c>
      <c r="L999" s="39" t="n">
        <v>18.67</v>
      </c>
      <c r="M999" s="39">
        <f>I999*J999*(1-K999)</f>
        <v/>
      </c>
      <c r="N999" s="39">
        <f>I999*L999</f>
        <v/>
      </c>
      <c r="O999" s="39">
        <f>M999-N999</f>
        <v/>
      </c>
      <c r="P999" s="38">
        <f>IF(M999=0,0,O999/M999)</f>
        <v/>
      </c>
      <c r="Q999" s="36">
        <f>YEAR(B999)</f>
        <v/>
      </c>
      <c r="R999" s="36">
        <f>"Q"&amp;ROUNDUP(MONTH(B999)/3,0)</f>
        <v/>
      </c>
      <c r="S999" s="36">
        <f>MONTH(B999)</f>
        <v/>
      </c>
      <c r="T999" s="36">
        <f>TEXT(B999,"mmm")</f>
        <v/>
      </c>
      <c r="U999" s="36">
        <f>IF(AND(OR(sel_Region="All",C999=sel_Region),OR(sel_Country="All",D999=sel_Country),OR(sel_Channel="All",E999=sel_Channel),OR(sel_Customer="All",F999=sel_Customer),OR(sel_Category="All",G999=sel_Category),OR(sel_Product="All",H999=sel_Product),AND(S999&gt;=m_From,S999&lt;=m_To)),1,0)</f>
        <v/>
      </c>
      <c r="V999" s="36">
        <f>IF(AND(OR(sel_Region="All",C999=sel_Region),OR(sel_Channel="All",E999=sel_Channel),OR(sel_Customer="All",F999=sel_Customer),OR(sel_Category="All",G999=sel_Category),OR(sel_Product="All",H999=sel_Product),AND(S999&gt;=m_From,S999&lt;=m_To)),1,0)</f>
        <v/>
      </c>
      <c r="W999" s="36">
        <f>IF(AND(OR(sel_Region="All",C999=sel_Region),OR(sel_Country="All",D999=sel_Country),OR(sel_Customer="All",F999=sel_Customer),OR(sel_Category="All",G999=sel_Category),OR(sel_Product="All",H999=sel_Product),AND(S999&gt;=m_From,S999&lt;=m_To)),1,0)</f>
        <v/>
      </c>
      <c r="X999" s="36">
        <f>IF(AND(OR(sel_Region="All",C999=sel_Region),OR(sel_Country="All",D999=sel_Country),OR(sel_Channel="All",E999=sel_Channel),OR(sel_Category="All",G999=sel_Category),OR(sel_Product="All",H999=sel_Product),AND(S999&gt;=m_From,S999&lt;=m_To)),1,0)</f>
        <v/>
      </c>
      <c r="Y999" s="36">
        <f>IF(AND(OR(sel_Region="All",C999=sel_Region),OR(sel_Country="All",D999=sel_Country),OR(sel_Channel="All",E999=sel_Channel),OR(sel_Customer="All",F999=sel_Customer),OR(sel_Product="All",H999=sel_Product),AND(S999&gt;=m_From,S999&lt;=m_To)),1,0)</f>
        <v/>
      </c>
      <c r="Z999" s="36">
        <f>IF(AND(OR(sel_Region="All",C999=sel_Region),OR(sel_Country="All",D999=sel_Country),OR(sel_Channel="All",E999=sel_Channel),OR(sel_Customer="All",F999=sel_Customer),OR(sel_Category="All",G999=sel_Category),AND(S999&gt;=m_From,S999&lt;=m_To)),1,0)</f>
        <v/>
      </c>
      <c r="AA999" s="36">
        <f>IF(AND(OR(sel_Region="All",C999=sel_Region),OR(sel_Country="All",D999=sel_Country),OR(sel_Channel="All",E999=sel_Channel),OR(sel_Customer="All",F999=sel_Customer),OR(sel_Category="All",G999=sel_Category),OR(sel_Product="All",H999=sel_Product)),1,0)</f>
        <v/>
      </c>
    </row>
    <row r="1000">
      <c r="A1000" s="36" t="inlineStr">
        <is>
          <t>03015</t>
        </is>
      </c>
      <c r="B1000" s="44" t="n">
        <v>46177</v>
      </c>
      <c r="C1000" s="36" t="inlineStr">
        <is>
          <t>Central Europe</t>
        </is>
      </c>
      <c r="D1000" s="36" t="inlineStr">
        <is>
          <t>Poland</t>
        </is>
      </c>
      <c r="E1000" s="36" t="inlineStr">
        <is>
          <t>Online Store</t>
        </is>
      </c>
      <c r="F1000" s="36" t="inlineStr">
        <is>
          <t>Returning</t>
        </is>
      </c>
      <c r="G1000" s="36" t="inlineStr">
        <is>
          <t>Travel</t>
        </is>
      </c>
      <c r="H1000" s="36" t="inlineStr">
        <is>
          <t>Packing Cube Set</t>
        </is>
      </c>
      <c r="I1000" s="36" t="n">
        <v>1</v>
      </c>
      <c r="J1000" s="39" t="n">
        <v>45.5</v>
      </c>
      <c r="K1000" s="45" t="n">
        <v>0.05</v>
      </c>
      <c r="L1000" s="39" t="n">
        <v>18.89</v>
      </c>
      <c r="M1000" s="39">
        <f>I1000*J1000*(1-K1000)</f>
        <v/>
      </c>
      <c r="N1000" s="39">
        <f>I1000*L1000</f>
        <v/>
      </c>
      <c r="O1000" s="39">
        <f>M1000-N1000</f>
        <v/>
      </c>
      <c r="P1000" s="38">
        <f>IF(M1000=0,0,O1000/M1000)</f>
        <v/>
      </c>
      <c r="Q1000" s="36">
        <f>YEAR(B1000)</f>
        <v/>
      </c>
      <c r="R1000" s="36">
        <f>"Q"&amp;ROUNDUP(MONTH(B1000)/3,0)</f>
        <v/>
      </c>
      <c r="S1000" s="36">
        <f>MONTH(B1000)</f>
        <v/>
      </c>
      <c r="T1000" s="36">
        <f>TEXT(B1000,"mmm")</f>
        <v/>
      </c>
      <c r="U1000" s="36">
        <f>IF(AND(OR(sel_Region="All",C1000=sel_Region),OR(sel_Country="All",D1000=sel_Country),OR(sel_Channel="All",E1000=sel_Channel),OR(sel_Customer="All",F1000=sel_Customer),OR(sel_Category="All",G1000=sel_Category),OR(sel_Product="All",H1000=sel_Product),AND(S1000&gt;=m_From,S1000&lt;=m_To)),1,0)</f>
        <v/>
      </c>
      <c r="V1000" s="36">
        <f>IF(AND(OR(sel_Region="All",C1000=sel_Region),OR(sel_Channel="All",E1000=sel_Channel),OR(sel_Customer="All",F1000=sel_Customer),OR(sel_Category="All",G1000=sel_Category),OR(sel_Product="All",H1000=sel_Product),AND(S1000&gt;=m_From,S1000&lt;=m_To)),1,0)</f>
        <v/>
      </c>
      <c r="W1000" s="36">
        <f>IF(AND(OR(sel_Region="All",C1000=sel_Region),OR(sel_Country="All",D1000=sel_Country),OR(sel_Customer="All",F1000=sel_Customer),OR(sel_Category="All",G1000=sel_Category),OR(sel_Product="All",H1000=sel_Product),AND(S1000&gt;=m_From,S1000&lt;=m_To)),1,0)</f>
        <v/>
      </c>
      <c r="X1000" s="36">
        <f>IF(AND(OR(sel_Region="All",C1000=sel_Region),OR(sel_Country="All",D1000=sel_Country),OR(sel_Channel="All",E1000=sel_Channel),OR(sel_Category="All",G1000=sel_Category),OR(sel_Product="All",H1000=sel_Product),AND(S1000&gt;=m_From,S1000&lt;=m_To)),1,0)</f>
        <v/>
      </c>
      <c r="Y1000" s="36">
        <f>IF(AND(OR(sel_Region="All",C1000=sel_Region),OR(sel_Country="All",D1000=sel_Country),OR(sel_Channel="All",E1000=sel_Channel),OR(sel_Customer="All",F1000=sel_Customer),OR(sel_Product="All",H1000=sel_Product),AND(S1000&gt;=m_From,S1000&lt;=m_To)),1,0)</f>
        <v/>
      </c>
      <c r="Z1000" s="36">
        <f>IF(AND(OR(sel_Region="All",C1000=sel_Region),OR(sel_Country="All",D1000=sel_Country),OR(sel_Channel="All",E1000=sel_Channel),OR(sel_Customer="All",F1000=sel_Customer),OR(sel_Category="All",G1000=sel_Category),AND(S1000&gt;=m_From,S1000&lt;=m_To)),1,0)</f>
        <v/>
      </c>
      <c r="AA1000" s="36">
        <f>IF(AND(OR(sel_Region="All",C1000=sel_Region),OR(sel_Country="All",D1000=sel_Country),OR(sel_Channel="All",E1000=sel_Channel),OR(sel_Customer="All",F1000=sel_Customer),OR(sel_Category="All",G1000=sel_Category),OR(sel_Product="All",H1000=sel_Product)),1,0)</f>
        <v/>
      </c>
    </row>
    <row r="1001">
      <c r="A1001" s="36" t="inlineStr">
        <is>
          <t>03243</t>
        </is>
      </c>
      <c r="B1001" s="44" t="n">
        <v>46177</v>
      </c>
      <c r="C1001" s="36" t="inlineStr">
        <is>
          <t>Northern Europe</t>
        </is>
      </c>
      <c r="D1001" s="36" t="inlineStr">
        <is>
          <t>Denmark</t>
        </is>
      </c>
      <c r="E1001" s="36" t="inlineStr">
        <is>
          <t>Online Store</t>
        </is>
      </c>
      <c r="F1001" s="36" t="inlineStr">
        <is>
          <t>Returning</t>
        </is>
      </c>
      <c r="G1001" s="36" t="inlineStr">
        <is>
          <t>Fitness</t>
        </is>
      </c>
      <c r="H1001" s="36" t="inlineStr">
        <is>
          <t>Recovery Roller</t>
        </is>
      </c>
      <c r="I1001" s="36" t="n">
        <v>1</v>
      </c>
      <c r="J1001" s="39" t="n">
        <v>35.99</v>
      </c>
      <c r="K1001" s="45" t="n">
        <v>0</v>
      </c>
      <c r="L1001" s="39" t="n">
        <v>14.05</v>
      </c>
      <c r="M1001" s="39">
        <f>I1001*J1001*(1-K1001)</f>
        <v/>
      </c>
      <c r="N1001" s="39">
        <f>I1001*L1001</f>
        <v/>
      </c>
      <c r="O1001" s="39">
        <f>M1001-N1001</f>
        <v/>
      </c>
      <c r="P1001" s="38">
        <f>IF(M1001=0,0,O1001/M1001)</f>
        <v/>
      </c>
      <c r="Q1001" s="36">
        <f>YEAR(B1001)</f>
        <v/>
      </c>
      <c r="R1001" s="36">
        <f>"Q"&amp;ROUNDUP(MONTH(B1001)/3,0)</f>
        <v/>
      </c>
      <c r="S1001" s="36">
        <f>MONTH(B1001)</f>
        <v/>
      </c>
      <c r="T1001" s="36">
        <f>TEXT(B1001,"mmm")</f>
        <v/>
      </c>
      <c r="U1001" s="36">
        <f>IF(AND(OR(sel_Region="All",C1001=sel_Region),OR(sel_Country="All",D1001=sel_Country),OR(sel_Channel="All",E1001=sel_Channel),OR(sel_Customer="All",F1001=sel_Customer),OR(sel_Category="All",G1001=sel_Category),OR(sel_Product="All",H1001=sel_Product),AND(S1001&gt;=m_From,S1001&lt;=m_To)),1,0)</f>
        <v/>
      </c>
      <c r="V1001" s="36">
        <f>IF(AND(OR(sel_Region="All",C1001=sel_Region),OR(sel_Channel="All",E1001=sel_Channel),OR(sel_Customer="All",F1001=sel_Customer),OR(sel_Category="All",G1001=sel_Category),OR(sel_Product="All",H1001=sel_Product),AND(S1001&gt;=m_From,S1001&lt;=m_To)),1,0)</f>
        <v/>
      </c>
      <c r="W1001" s="36">
        <f>IF(AND(OR(sel_Region="All",C1001=sel_Region),OR(sel_Country="All",D1001=sel_Country),OR(sel_Customer="All",F1001=sel_Customer),OR(sel_Category="All",G1001=sel_Category),OR(sel_Product="All",H1001=sel_Product),AND(S1001&gt;=m_From,S1001&lt;=m_To)),1,0)</f>
        <v/>
      </c>
      <c r="X1001" s="36">
        <f>IF(AND(OR(sel_Region="All",C1001=sel_Region),OR(sel_Country="All",D1001=sel_Country),OR(sel_Channel="All",E1001=sel_Channel),OR(sel_Category="All",G1001=sel_Category),OR(sel_Product="All",H1001=sel_Product),AND(S1001&gt;=m_From,S1001&lt;=m_To)),1,0)</f>
        <v/>
      </c>
      <c r="Y1001" s="36">
        <f>IF(AND(OR(sel_Region="All",C1001=sel_Region),OR(sel_Country="All",D1001=sel_Country),OR(sel_Channel="All",E1001=sel_Channel),OR(sel_Customer="All",F1001=sel_Customer),OR(sel_Product="All",H1001=sel_Product),AND(S1001&gt;=m_From,S1001&lt;=m_To)),1,0)</f>
        <v/>
      </c>
      <c r="Z1001" s="36">
        <f>IF(AND(OR(sel_Region="All",C1001=sel_Region),OR(sel_Country="All",D1001=sel_Country),OR(sel_Channel="All",E1001=sel_Channel),OR(sel_Customer="All",F1001=sel_Customer),OR(sel_Category="All",G1001=sel_Category),AND(S1001&gt;=m_From,S1001&lt;=m_To)),1,0)</f>
        <v/>
      </c>
      <c r="AA1001" s="36">
        <f>IF(AND(OR(sel_Region="All",C1001=sel_Region),OR(sel_Country="All",D1001=sel_Country),OR(sel_Channel="All",E1001=sel_Channel),OR(sel_Customer="All",F1001=sel_Customer),OR(sel_Category="All",G1001=sel_Category),OR(sel_Product="All",H1001=sel_Product)),1,0)</f>
        <v/>
      </c>
    </row>
    <row r="1002">
      <c r="A1002" s="36" t="inlineStr">
        <is>
          <t>03283</t>
        </is>
      </c>
      <c r="B1002" s="44" t="n">
        <v>46177</v>
      </c>
      <c r="C1002" s="36" t="inlineStr">
        <is>
          <t>Central Europe</t>
        </is>
      </c>
      <c r="D1002" s="36" t="inlineStr">
        <is>
          <t>Germany</t>
        </is>
      </c>
      <c r="E1002" s="36" t="inlineStr">
        <is>
          <t>Marketplace</t>
        </is>
      </c>
      <c r="F1002" s="36" t="inlineStr">
        <is>
          <t>Returning</t>
        </is>
      </c>
      <c r="G1002" s="36" t="inlineStr">
        <is>
          <t>Fitness</t>
        </is>
      </c>
      <c r="H1002" s="36" t="inlineStr">
        <is>
          <t>Weighted Vest</t>
        </is>
      </c>
      <c r="I1002" s="36" t="n">
        <v>1</v>
      </c>
      <c r="J1002" s="39" t="n">
        <v>122.55</v>
      </c>
      <c r="K1002" s="45" t="n">
        <v>0</v>
      </c>
      <c r="L1002" s="39" t="n">
        <v>68.97</v>
      </c>
      <c r="M1002" s="39">
        <f>I1002*J1002*(1-K1002)</f>
        <v/>
      </c>
      <c r="N1002" s="39">
        <f>I1002*L1002</f>
        <v/>
      </c>
      <c r="O1002" s="39">
        <f>M1002-N1002</f>
        <v/>
      </c>
      <c r="P1002" s="38">
        <f>IF(M1002=0,0,O1002/M1002)</f>
        <v/>
      </c>
      <c r="Q1002" s="36">
        <f>YEAR(B1002)</f>
        <v/>
      </c>
      <c r="R1002" s="36">
        <f>"Q"&amp;ROUNDUP(MONTH(B1002)/3,0)</f>
        <v/>
      </c>
      <c r="S1002" s="36">
        <f>MONTH(B1002)</f>
        <v/>
      </c>
      <c r="T1002" s="36">
        <f>TEXT(B1002,"mmm")</f>
        <v/>
      </c>
      <c r="U1002" s="36">
        <f>IF(AND(OR(sel_Region="All",C1002=sel_Region),OR(sel_Country="All",D1002=sel_Country),OR(sel_Channel="All",E1002=sel_Channel),OR(sel_Customer="All",F1002=sel_Customer),OR(sel_Category="All",G1002=sel_Category),OR(sel_Product="All",H1002=sel_Product),AND(S1002&gt;=m_From,S1002&lt;=m_To)),1,0)</f>
        <v/>
      </c>
      <c r="V1002" s="36">
        <f>IF(AND(OR(sel_Region="All",C1002=sel_Region),OR(sel_Channel="All",E1002=sel_Channel),OR(sel_Customer="All",F1002=sel_Customer),OR(sel_Category="All",G1002=sel_Category),OR(sel_Product="All",H1002=sel_Product),AND(S1002&gt;=m_From,S1002&lt;=m_To)),1,0)</f>
        <v/>
      </c>
      <c r="W1002" s="36">
        <f>IF(AND(OR(sel_Region="All",C1002=sel_Region),OR(sel_Country="All",D1002=sel_Country),OR(sel_Customer="All",F1002=sel_Customer),OR(sel_Category="All",G1002=sel_Category),OR(sel_Product="All",H1002=sel_Product),AND(S1002&gt;=m_From,S1002&lt;=m_To)),1,0)</f>
        <v/>
      </c>
      <c r="X1002" s="36">
        <f>IF(AND(OR(sel_Region="All",C1002=sel_Region),OR(sel_Country="All",D1002=sel_Country),OR(sel_Channel="All",E1002=sel_Channel),OR(sel_Category="All",G1002=sel_Category),OR(sel_Product="All",H1002=sel_Product),AND(S1002&gt;=m_From,S1002&lt;=m_To)),1,0)</f>
        <v/>
      </c>
      <c r="Y1002" s="36">
        <f>IF(AND(OR(sel_Region="All",C1002=sel_Region),OR(sel_Country="All",D1002=sel_Country),OR(sel_Channel="All",E1002=sel_Channel),OR(sel_Customer="All",F1002=sel_Customer),OR(sel_Product="All",H1002=sel_Product),AND(S1002&gt;=m_From,S1002&lt;=m_To)),1,0)</f>
        <v/>
      </c>
      <c r="Z1002" s="36">
        <f>IF(AND(OR(sel_Region="All",C1002=sel_Region),OR(sel_Country="All",D1002=sel_Country),OR(sel_Channel="All",E1002=sel_Channel),OR(sel_Customer="All",F1002=sel_Customer),OR(sel_Category="All",G1002=sel_Category),AND(S1002&gt;=m_From,S1002&lt;=m_To)),1,0)</f>
        <v/>
      </c>
      <c r="AA1002" s="36">
        <f>IF(AND(OR(sel_Region="All",C1002=sel_Region),OR(sel_Country="All",D1002=sel_Country),OR(sel_Channel="All",E1002=sel_Channel),OR(sel_Customer="All",F1002=sel_Customer),OR(sel_Category="All",G1002=sel_Category),OR(sel_Product="All",H1002=sel_Product)),1,0)</f>
        <v/>
      </c>
    </row>
    <row r="1003">
      <c r="A1003" s="36" t="inlineStr">
        <is>
          <t>03966</t>
        </is>
      </c>
      <c r="B1003" s="44" t="n">
        <v>46177</v>
      </c>
      <c r="C1003" s="36" t="inlineStr">
        <is>
          <t>Western Europe</t>
        </is>
      </c>
      <c r="D1003" s="36" t="inlineStr">
        <is>
          <t>United Kingdom</t>
        </is>
      </c>
      <c r="E1003" s="36" t="inlineStr">
        <is>
          <t>Online Store</t>
        </is>
      </c>
      <c r="F1003" s="36" t="inlineStr">
        <is>
          <t>New</t>
        </is>
      </c>
      <c r="G1003" s="36" t="inlineStr">
        <is>
          <t>Fitness</t>
        </is>
      </c>
      <c r="H1003" s="36" t="inlineStr">
        <is>
          <t>Weighted Vest</t>
        </is>
      </c>
      <c r="I1003" s="36" t="n">
        <v>3</v>
      </c>
      <c r="J1003" s="39" t="n">
        <v>126.22</v>
      </c>
      <c r="K1003" s="45" t="n">
        <v>0</v>
      </c>
      <c r="L1003" s="39" t="n">
        <v>69.59999999999999</v>
      </c>
      <c r="M1003" s="39">
        <f>I1003*J1003*(1-K1003)</f>
        <v/>
      </c>
      <c r="N1003" s="39">
        <f>I1003*L1003</f>
        <v/>
      </c>
      <c r="O1003" s="39">
        <f>M1003-N1003</f>
        <v/>
      </c>
      <c r="P1003" s="38">
        <f>IF(M1003=0,0,O1003/M1003)</f>
        <v/>
      </c>
      <c r="Q1003" s="36">
        <f>YEAR(B1003)</f>
        <v/>
      </c>
      <c r="R1003" s="36">
        <f>"Q"&amp;ROUNDUP(MONTH(B1003)/3,0)</f>
        <v/>
      </c>
      <c r="S1003" s="36">
        <f>MONTH(B1003)</f>
        <v/>
      </c>
      <c r="T1003" s="36">
        <f>TEXT(B1003,"mmm")</f>
        <v/>
      </c>
      <c r="U1003" s="36">
        <f>IF(AND(OR(sel_Region="All",C1003=sel_Region),OR(sel_Country="All",D1003=sel_Country),OR(sel_Channel="All",E1003=sel_Channel),OR(sel_Customer="All",F1003=sel_Customer),OR(sel_Category="All",G1003=sel_Category),OR(sel_Product="All",H1003=sel_Product),AND(S1003&gt;=m_From,S1003&lt;=m_To)),1,0)</f>
        <v/>
      </c>
      <c r="V1003" s="36">
        <f>IF(AND(OR(sel_Region="All",C1003=sel_Region),OR(sel_Channel="All",E1003=sel_Channel),OR(sel_Customer="All",F1003=sel_Customer),OR(sel_Category="All",G1003=sel_Category),OR(sel_Product="All",H1003=sel_Product),AND(S1003&gt;=m_From,S1003&lt;=m_To)),1,0)</f>
        <v/>
      </c>
      <c r="W1003" s="36">
        <f>IF(AND(OR(sel_Region="All",C1003=sel_Region),OR(sel_Country="All",D1003=sel_Country),OR(sel_Customer="All",F1003=sel_Customer),OR(sel_Category="All",G1003=sel_Category),OR(sel_Product="All",H1003=sel_Product),AND(S1003&gt;=m_From,S1003&lt;=m_To)),1,0)</f>
        <v/>
      </c>
      <c r="X1003" s="36">
        <f>IF(AND(OR(sel_Region="All",C1003=sel_Region),OR(sel_Country="All",D1003=sel_Country),OR(sel_Channel="All",E1003=sel_Channel),OR(sel_Category="All",G1003=sel_Category),OR(sel_Product="All",H1003=sel_Product),AND(S1003&gt;=m_From,S1003&lt;=m_To)),1,0)</f>
        <v/>
      </c>
      <c r="Y1003" s="36">
        <f>IF(AND(OR(sel_Region="All",C1003=sel_Region),OR(sel_Country="All",D1003=sel_Country),OR(sel_Channel="All",E1003=sel_Channel),OR(sel_Customer="All",F1003=sel_Customer),OR(sel_Product="All",H1003=sel_Product),AND(S1003&gt;=m_From,S1003&lt;=m_To)),1,0)</f>
        <v/>
      </c>
      <c r="Z1003" s="36">
        <f>IF(AND(OR(sel_Region="All",C1003=sel_Region),OR(sel_Country="All",D1003=sel_Country),OR(sel_Channel="All",E1003=sel_Channel),OR(sel_Customer="All",F1003=sel_Customer),OR(sel_Category="All",G1003=sel_Category),AND(S1003&gt;=m_From,S1003&lt;=m_To)),1,0)</f>
        <v/>
      </c>
      <c r="AA1003" s="36">
        <f>IF(AND(OR(sel_Region="All",C1003=sel_Region),OR(sel_Country="All",D1003=sel_Country),OR(sel_Channel="All",E1003=sel_Channel),OR(sel_Customer="All",F1003=sel_Customer),OR(sel_Category="All",G1003=sel_Category),OR(sel_Product="All",H1003=sel_Product)),1,0)</f>
        <v/>
      </c>
    </row>
    <row r="1004">
      <c r="A1004" s="36" t="inlineStr">
        <is>
          <t>01349</t>
        </is>
      </c>
      <c r="B1004" s="44" t="n">
        <v>46178</v>
      </c>
      <c r="C1004" s="36" t="inlineStr">
        <is>
          <t>Southern Europe</t>
        </is>
      </c>
      <c r="D1004" s="36" t="inlineStr">
        <is>
          <t>Italy</t>
        </is>
      </c>
      <c r="E1004" s="36" t="inlineStr">
        <is>
          <t>Retail Partners</t>
        </is>
      </c>
      <c r="F1004" s="36" t="inlineStr">
        <is>
          <t>Returning</t>
        </is>
      </c>
      <c r="G1004" s="36" t="inlineStr">
        <is>
          <t>Hiking</t>
        </is>
      </c>
      <c r="H1004" s="36" t="inlineStr">
        <is>
          <t>Hiking Daypack 20L</t>
        </is>
      </c>
      <c r="I1004" s="36" t="n">
        <v>6</v>
      </c>
      <c r="J1004" s="39" t="n">
        <v>91.98</v>
      </c>
      <c r="K1004" s="45" t="n">
        <v>0.05</v>
      </c>
      <c r="L1004" s="39" t="n">
        <v>46.46</v>
      </c>
      <c r="M1004" s="39">
        <f>I1004*J1004*(1-K1004)</f>
        <v/>
      </c>
      <c r="N1004" s="39">
        <f>I1004*L1004</f>
        <v/>
      </c>
      <c r="O1004" s="39">
        <f>M1004-N1004</f>
        <v/>
      </c>
      <c r="P1004" s="38">
        <f>IF(M1004=0,0,O1004/M1004)</f>
        <v/>
      </c>
      <c r="Q1004" s="36">
        <f>YEAR(B1004)</f>
        <v/>
      </c>
      <c r="R1004" s="36">
        <f>"Q"&amp;ROUNDUP(MONTH(B1004)/3,0)</f>
        <v/>
      </c>
      <c r="S1004" s="36">
        <f>MONTH(B1004)</f>
        <v/>
      </c>
      <c r="T1004" s="36">
        <f>TEXT(B1004,"mmm")</f>
        <v/>
      </c>
      <c r="U1004" s="36">
        <f>IF(AND(OR(sel_Region="All",C1004=sel_Region),OR(sel_Country="All",D1004=sel_Country),OR(sel_Channel="All",E1004=sel_Channel),OR(sel_Customer="All",F1004=sel_Customer),OR(sel_Category="All",G1004=sel_Category),OR(sel_Product="All",H1004=sel_Product),AND(S1004&gt;=m_From,S1004&lt;=m_To)),1,0)</f>
        <v/>
      </c>
      <c r="V1004" s="36">
        <f>IF(AND(OR(sel_Region="All",C1004=sel_Region),OR(sel_Channel="All",E1004=sel_Channel),OR(sel_Customer="All",F1004=sel_Customer),OR(sel_Category="All",G1004=sel_Category),OR(sel_Product="All",H1004=sel_Product),AND(S1004&gt;=m_From,S1004&lt;=m_To)),1,0)</f>
        <v/>
      </c>
      <c r="W1004" s="36">
        <f>IF(AND(OR(sel_Region="All",C1004=sel_Region),OR(sel_Country="All",D1004=sel_Country),OR(sel_Customer="All",F1004=sel_Customer),OR(sel_Category="All",G1004=sel_Category),OR(sel_Product="All",H1004=sel_Product),AND(S1004&gt;=m_From,S1004&lt;=m_To)),1,0)</f>
        <v/>
      </c>
      <c r="X1004" s="36">
        <f>IF(AND(OR(sel_Region="All",C1004=sel_Region),OR(sel_Country="All",D1004=sel_Country),OR(sel_Channel="All",E1004=sel_Channel),OR(sel_Category="All",G1004=sel_Category),OR(sel_Product="All",H1004=sel_Product),AND(S1004&gt;=m_From,S1004&lt;=m_To)),1,0)</f>
        <v/>
      </c>
      <c r="Y1004" s="36">
        <f>IF(AND(OR(sel_Region="All",C1004=sel_Region),OR(sel_Country="All",D1004=sel_Country),OR(sel_Channel="All",E1004=sel_Channel),OR(sel_Customer="All",F1004=sel_Customer),OR(sel_Product="All",H1004=sel_Product),AND(S1004&gt;=m_From,S1004&lt;=m_To)),1,0)</f>
        <v/>
      </c>
      <c r="Z1004" s="36">
        <f>IF(AND(OR(sel_Region="All",C1004=sel_Region),OR(sel_Country="All",D1004=sel_Country),OR(sel_Channel="All",E1004=sel_Channel),OR(sel_Customer="All",F1004=sel_Customer),OR(sel_Category="All",G1004=sel_Category),AND(S1004&gt;=m_From,S1004&lt;=m_To)),1,0)</f>
        <v/>
      </c>
      <c r="AA1004" s="36">
        <f>IF(AND(OR(sel_Region="All",C1004=sel_Region),OR(sel_Country="All",D1004=sel_Country),OR(sel_Channel="All",E1004=sel_Channel),OR(sel_Customer="All",F1004=sel_Customer),OR(sel_Category="All",G1004=sel_Category),OR(sel_Product="All",H1004=sel_Product)),1,0)</f>
        <v/>
      </c>
    </row>
    <row r="1005">
      <c r="A1005" s="36" t="inlineStr">
        <is>
          <t>02333</t>
        </is>
      </c>
      <c r="B1005" s="44" t="n">
        <v>46178</v>
      </c>
      <c r="C1005" s="36" t="inlineStr">
        <is>
          <t>Northern Europe</t>
        </is>
      </c>
      <c r="D1005" s="36" t="inlineStr">
        <is>
          <t>Denmark</t>
        </is>
      </c>
      <c r="E1005" s="36" t="inlineStr">
        <is>
          <t>Online Store</t>
        </is>
      </c>
      <c r="F1005" s="36" t="inlineStr">
        <is>
          <t>Business</t>
        </is>
      </c>
      <c r="G1005" s="36" t="inlineStr">
        <is>
          <t>Camping</t>
        </is>
      </c>
      <c r="H1005" s="36" t="inlineStr">
        <is>
          <t>Compact Sleeping Bag</t>
        </is>
      </c>
      <c r="I1005" s="36" t="n">
        <v>1</v>
      </c>
      <c r="J1005" s="39" t="n">
        <v>125.32</v>
      </c>
      <c r="K1005" s="45" t="n">
        <v>0</v>
      </c>
      <c r="L1005" s="39" t="n">
        <v>59.03</v>
      </c>
      <c r="M1005" s="39">
        <f>I1005*J1005*(1-K1005)</f>
        <v/>
      </c>
      <c r="N1005" s="39">
        <f>I1005*L1005</f>
        <v/>
      </c>
      <c r="O1005" s="39">
        <f>M1005-N1005</f>
        <v/>
      </c>
      <c r="P1005" s="38">
        <f>IF(M1005=0,0,O1005/M1005)</f>
        <v/>
      </c>
      <c r="Q1005" s="36">
        <f>YEAR(B1005)</f>
        <v/>
      </c>
      <c r="R1005" s="36">
        <f>"Q"&amp;ROUNDUP(MONTH(B1005)/3,0)</f>
        <v/>
      </c>
      <c r="S1005" s="36">
        <f>MONTH(B1005)</f>
        <v/>
      </c>
      <c r="T1005" s="36">
        <f>TEXT(B1005,"mmm")</f>
        <v/>
      </c>
      <c r="U1005" s="36">
        <f>IF(AND(OR(sel_Region="All",C1005=sel_Region),OR(sel_Country="All",D1005=sel_Country),OR(sel_Channel="All",E1005=sel_Channel),OR(sel_Customer="All",F1005=sel_Customer),OR(sel_Category="All",G1005=sel_Category),OR(sel_Product="All",H1005=sel_Product),AND(S1005&gt;=m_From,S1005&lt;=m_To)),1,0)</f>
        <v/>
      </c>
      <c r="V1005" s="36">
        <f>IF(AND(OR(sel_Region="All",C1005=sel_Region),OR(sel_Channel="All",E1005=sel_Channel),OR(sel_Customer="All",F1005=sel_Customer),OR(sel_Category="All",G1005=sel_Category),OR(sel_Product="All",H1005=sel_Product),AND(S1005&gt;=m_From,S1005&lt;=m_To)),1,0)</f>
        <v/>
      </c>
      <c r="W1005" s="36">
        <f>IF(AND(OR(sel_Region="All",C1005=sel_Region),OR(sel_Country="All",D1005=sel_Country),OR(sel_Customer="All",F1005=sel_Customer),OR(sel_Category="All",G1005=sel_Category),OR(sel_Product="All",H1005=sel_Product),AND(S1005&gt;=m_From,S1005&lt;=m_To)),1,0)</f>
        <v/>
      </c>
      <c r="X1005" s="36">
        <f>IF(AND(OR(sel_Region="All",C1005=sel_Region),OR(sel_Country="All",D1005=sel_Country),OR(sel_Channel="All",E1005=sel_Channel),OR(sel_Category="All",G1005=sel_Category),OR(sel_Product="All",H1005=sel_Product),AND(S1005&gt;=m_From,S1005&lt;=m_To)),1,0)</f>
        <v/>
      </c>
      <c r="Y1005" s="36">
        <f>IF(AND(OR(sel_Region="All",C1005=sel_Region),OR(sel_Country="All",D1005=sel_Country),OR(sel_Channel="All",E1005=sel_Channel),OR(sel_Customer="All",F1005=sel_Customer),OR(sel_Product="All",H1005=sel_Product),AND(S1005&gt;=m_From,S1005&lt;=m_To)),1,0)</f>
        <v/>
      </c>
      <c r="Z1005" s="36">
        <f>IF(AND(OR(sel_Region="All",C1005=sel_Region),OR(sel_Country="All",D1005=sel_Country),OR(sel_Channel="All",E1005=sel_Channel),OR(sel_Customer="All",F1005=sel_Customer),OR(sel_Category="All",G1005=sel_Category),AND(S1005&gt;=m_From,S1005&lt;=m_To)),1,0)</f>
        <v/>
      </c>
      <c r="AA1005" s="36">
        <f>IF(AND(OR(sel_Region="All",C1005=sel_Region),OR(sel_Country="All",D1005=sel_Country),OR(sel_Channel="All",E1005=sel_Channel),OR(sel_Customer="All",F1005=sel_Customer),OR(sel_Category="All",G1005=sel_Category),OR(sel_Product="All",H1005=sel_Product)),1,0)</f>
        <v/>
      </c>
    </row>
    <row r="1006">
      <c r="A1006" s="36" t="inlineStr">
        <is>
          <t>02628</t>
        </is>
      </c>
      <c r="B1006" s="44" t="n">
        <v>46178</v>
      </c>
      <c r="C1006" s="36" t="inlineStr">
        <is>
          <t>Western Europe</t>
        </is>
      </c>
      <c r="D1006" s="36" t="inlineStr">
        <is>
          <t>United Kingdom</t>
        </is>
      </c>
      <c r="E1006" s="36" t="inlineStr">
        <is>
          <t>Marketplace</t>
        </is>
      </c>
      <c r="F1006" s="36" t="inlineStr">
        <is>
          <t>Returning</t>
        </is>
      </c>
      <c r="G1006" s="36" t="inlineStr">
        <is>
          <t>Travel</t>
        </is>
      </c>
      <c r="H1006" s="36" t="inlineStr">
        <is>
          <t>Travel Backpack 35L</t>
        </is>
      </c>
      <c r="I1006" s="36" t="n">
        <v>2</v>
      </c>
      <c r="J1006" s="39" t="n">
        <v>167.26</v>
      </c>
      <c r="K1006" s="45" t="n">
        <v>0</v>
      </c>
      <c r="L1006" s="39" t="n">
        <v>89.65000000000001</v>
      </c>
      <c r="M1006" s="39">
        <f>I1006*J1006*(1-K1006)</f>
        <v/>
      </c>
      <c r="N1006" s="39">
        <f>I1006*L1006</f>
        <v/>
      </c>
      <c r="O1006" s="39">
        <f>M1006-N1006</f>
        <v/>
      </c>
      <c r="P1006" s="38">
        <f>IF(M1006=0,0,O1006/M1006)</f>
        <v/>
      </c>
      <c r="Q1006" s="36">
        <f>YEAR(B1006)</f>
        <v/>
      </c>
      <c r="R1006" s="36">
        <f>"Q"&amp;ROUNDUP(MONTH(B1006)/3,0)</f>
        <v/>
      </c>
      <c r="S1006" s="36">
        <f>MONTH(B1006)</f>
        <v/>
      </c>
      <c r="T1006" s="36">
        <f>TEXT(B1006,"mmm")</f>
        <v/>
      </c>
      <c r="U1006" s="36">
        <f>IF(AND(OR(sel_Region="All",C1006=sel_Region),OR(sel_Country="All",D1006=sel_Country),OR(sel_Channel="All",E1006=sel_Channel),OR(sel_Customer="All",F1006=sel_Customer),OR(sel_Category="All",G1006=sel_Category),OR(sel_Product="All",H1006=sel_Product),AND(S1006&gt;=m_From,S1006&lt;=m_To)),1,0)</f>
        <v/>
      </c>
      <c r="V1006" s="36">
        <f>IF(AND(OR(sel_Region="All",C1006=sel_Region),OR(sel_Channel="All",E1006=sel_Channel),OR(sel_Customer="All",F1006=sel_Customer),OR(sel_Category="All",G1006=sel_Category),OR(sel_Product="All",H1006=sel_Product),AND(S1006&gt;=m_From,S1006&lt;=m_To)),1,0)</f>
        <v/>
      </c>
      <c r="W1006" s="36">
        <f>IF(AND(OR(sel_Region="All",C1006=sel_Region),OR(sel_Country="All",D1006=sel_Country),OR(sel_Customer="All",F1006=sel_Customer),OR(sel_Category="All",G1006=sel_Category),OR(sel_Product="All",H1006=sel_Product),AND(S1006&gt;=m_From,S1006&lt;=m_To)),1,0)</f>
        <v/>
      </c>
      <c r="X1006" s="36">
        <f>IF(AND(OR(sel_Region="All",C1006=sel_Region),OR(sel_Country="All",D1006=sel_Country),OR(sel_Channel="All",E1006=sel_Channel),OR(sel_Category="All",G1006=sel_Category),OR(sel_Product="All",H1006=sel_Product),AND(S1006&gt;=m_From,S1006&lt;=m_To)),1,0)</f>
        <v/>
      </c>
      <c r="Y1006" s="36">
        <f>IF(AND(OR(sel_Region="All",C1006=sel_Region),OR(sel_Country="All",D1006=sel_Country),OR(sel_Channel="All",E1006=sel_Channel),OR(sel_Customer="All",F1006=sel_Customer),OR(sel_Product="All",H1006=sel_Product),AND(S1006&gt;=m_From,S1006&lt;=m_To)),1,0)</f>
        <v/>
      </c>
      <c r="Z1006" s="36">
        <f>IF(AND(OR(sel_Region="All",C1006=sel_Region),OR(sel_Country="All",D1006=sel_Country),OR(sel_Channel="All",E1006=sel_Channel),OR(sel_Customer="All",F1006=sel_Customer),OR(sel_Category="All",G1006=sel_Category),AND(S1006&gt;=m_From,S1006&lt;=m_To)),1,0)</f>
        <v/>
      </c>
      <c r="AA1006" s="36">
        <f>IF(AND(OR(sel_Region="All",C1006=sel_Region),OR(sel_Country="All",D1006=sel_Country),OR(sel_Channel="All",E1006=sel_Channel),OR(sel_Customer="All",F1006=sel_Customer),OR(sel_Category="All",G1006=sel_Category),OR(sel_Product="All",H1006=sel_Product)),1,0)</f>
        <v/>
      </c>
    </row>
    <row r="1007">
      <c r="A1007" s="36" t="inlineStr">
        <is>
          <t>02718</t>
        </is>
      </c>
      <c r="B1007" s="44" t="n">
        <v>46178</v>
      </c>
      <c r="C1007" s="36" t="inlineStr">
        <is>
          <t>Southern Europe</t>
        </is>
      </c>
      <c r="D1007" s="36" t="inlineStr">
        <is>
          <t>Spain</t>
        </is>
      </c>
      <c r="E1007" s="36" t="inlineStr">
        <is>
          <t>Marketplace</t>
        </is>
      </c>
      <c r="F1007" s="36" t="inlineStr">
        <is>
          <t>Returning</t>
        </is>
      </c>
      <c r="G1007" s="36" t="inlineStr">
        <is>
          <t>Cycling</t>
        </is>
      </c>
      <c r="H1007" s="36" t="inlineStr">
        <is>
          <t>Commuter Helmet</t>
        </is>
      </c>
      <c r="I1007" s="36" t="n">
        <v>1</v>
      </c>
      <c r="J1007" s="39" t="n">
        <v>80.19</v>
      </c>
      <c r="K1007" s="45" t="n">
        <v>0</v>
      </c>
      <c r="L1007" s="39" t="n">
        <v>42.18</v>
      </c>
      <c r="M1007" s="39">
        <f>I1007*J1007*(1-K1007)</f>
        <v/>
      </c>
      <c r="N1007" s="39">
        <f>I1007*L1007</f>
        <v/>
      </c>
      <c r="O1007" s="39">
        <f>M1007-N1007</f>
        <v/>
      </c>
      <c r="P1007" s="38">
        <f>IF(M1007=0,0,O1007/M1007)</f>
        <v/>
      </c>
      <c r="Q1007" s="36">
        <f>YEAR(B1007)</f>
        <v/>
      </c>
      <c r="R1007" s="36">
        <f>"Q"&amp;ROUNDUP(MONTH(B1007)/3,0)</f>
        <v/>
      </c>
      <c r="S1007" s="36">
        <f>MONTH(B1007)</f>
        <v/>
      </c>
      <c r="T1007" s="36">
        <f>TEXT(B1007,"mmm")</f>
        <v/>
      </c>
      <c r="U1007" s="36">
        <f>IF(AND(OR(sel_Region="All",C1007=sel_Region),OR(sel_Country="All",D1007=sel_Country),OR(sel_Channel="All",E1007=sel_Channel),OR(sel_Customer="All",F1007=sel_Customer),OR(sel_Category="All",G1007=sel_Category),OR(sel_Product="All",H1007=sel_Product),AND(S1007&gt;=m_From,S1007&lt;=m_To)),1,0)</f>
        <v/>
      </c>
      <c r="V1007" s="36">
        <f>IF(AND(OR(sel_Region="All",C1007=sel_Region),OR(sel_Channel="All",E1007=sel_Channel),OR(sel_Customer="All",F1007=sel_Customer),OR(sel_Category="All",G1007=sel_Category),OR(sel_Product="All",H1007=sel_Product),AND(S1007&gt;=m_From,S1007&lt;=m_To)),1,0)</f>
        <v/>
      </c>
      <c r="W1007" s="36">
        <f>IF(AND(OR(sel_Region="All",C1007=sel_Region),OR(sel_Country="All",D1007=sel_Country),OR(sel_Customer="All",F1007=sel_Customer),OR(sel_Category="All",G1007=sel_Category),OR(sel_Product="All",H1007=sel_Product),AND(S1007&gt;=m_From,S1007&lt;=m_To)),1,0)</f>
        <v/>
      </c>
      <c r="X1007" s="36">
        <f>IF(AND(OR(sel_Region="All",C1007=sel_Region),OR(sel_Country="All",D1007=sel_Country),OR(sel_Channel="All",E1007=sel_Channel),OR(sel_Category="All",G1007=sel_Category),OR(sel_Product="All",H1007=sel_Product),AND(S1007&gt;=m_From,S1007&lt;=m_To)),1,0)</f>
        <v/>
      </c>
      <c r="Y1007" s="36">
        <f>IF(AND(OR(sel_Region="All",C1007=sel_Region),OR(sel_Country="All",D1007=sel_Country),OR(sel_Channel="All",E1007=sel_Channel),OR(sel_Customer="All",F1007=sel_Customer),OR(sel_Product="All",H1007=sel_Product),AND(S1007&gt;=m_From,S1007&lt;=m_To)),1,0)</f>
        <v/>
      </c>
      <c r="Z1007" s="36">
        <f>IF(AND(OR(sel_Region="All",C1007=sel_Region),OR(sel_Country="All",D1007=sel_Country),OR(sel_Channel="All",E1007=sel_Channel),OR(sel_Customer="All",F1007=sel_Customer),OR(sel_Category="All",G1007=sel_Category),AND(S1007&gt;=m_From,S1007&lt;=m_To)),1,0)</f>
        <v/>
      </c>
      <c r="AA1007" s="36">
        <f>IF(AND(OR(sel_Region="All",C1007=sel_Region),OR(sel_Country="All",D1007=sel_Country),OR(sel_Channel="All",E1007=sel_Channel),OR(sel_Customer="All",F1007=sel_Customer),OR(sel_Category="All",G1007=sel_Category),OR(sel_Product="All",H1007=sel_Product)),1,0)</f>
        <v/>
      </c>
    </row>
    <row r="1008">
      <c r="A1008" s="36" t="inlineStr">
        <is>
          <t>03185</t>
        </is>
      </c>
      <c r="B1008" s="44" t="n">
        <v>46178</v>
      </c>
      <c r="C1008" s="36" t="inlineStr">
        <is>
          <t>Southern Europe</t>
        </is>
      </c>
      <c r="D1008" s="36" t="inlineStr">
        <is>
          <t>Italy</t>
        </is>
      </c>
      <c r="E1008" s="36" t="inlineStr">
        <is>
          <t>Online Store</t>
        </is>
      </c>
      <c r="F1008" s="36" t="inlineStr">
        <is>
          <t>New</t>
        </is>
      </c>
      <c r="G1008" s="36" t="inlineStr">
        <is>
          <t>Cycling</t>
        </is>
      </c>
      <c r="H1008" s="36" t="inlineStr">
        <is>
          <t>Trail Bike Light</t>
        </is>
      </c>
      <c r="I1008" s="36" t="n">
        <v>1</v>
      </c>
      <c r="J1008" s="39" t="n">
        <v>49.86</v>
      </c>
      <c r="K1008" s="45" t="n">
        <v>0</v>
      </c>
      <c r="L1008" s="39" t="n">
        <v>22.72</v>
      </c>
      <c r="M1008" s="39">
        <f>I1008*J1008*(1-K1008)</f>
        <v/>
      </c>
      <c r="N1008" s="39">
        <f>I1008*L1008</f>
        <v/>
      </c>
      <c r="O1008" s="39">
        <f>M1008-N1008</f>
        <v/>
      </c>
      <c r="P1008" s="38">
        <f>IF(M1008=0,0,O1008/M1008)</f>
        <v/>
      </c>
      <c r="Q1008" s="36">
        <f>YEAR(B1008)</f>
        <v/>
      </c>
      <c r="R1008" s="36">
        <f>"Q"&amp;ROUNDUP(MONTH(B1008)/3,0)</f>
        <v/>
      </c>
      <c r="S1008" s="36">
        <f>MONTH(B1008)</f>
        <v/>
      </c>
      <c r="T1008" s="36">
        <f>TEXT(B1008,"mmm")</f>
        <v/>
      </c>
      <c r="U1008" s="36">
        <f>IF(AND(OR(sel_Region="All",C1008=sel_Region),OR(sel_Country="All",D1008=sel_Country),OR(sel_Channel="All",E1008=sel_Channel),OR(sel_Customer="All",F1008=sel_Customer),OR(sel_Category="All",G1008=sel_Category),OR(sel_Product="All",H1008=sel_Product),AND(S1008&gt;=m_From,S1008&lt;=m_To)),1,0)</f>
        <v/>
      </c>
      <c r="V1008" s="36">
        <f>IF(AND(OR(sel_Region="All",C1008=sel_Region),OR(sel_Channel="All",E1008=sel_Channel),OR(sel_Customer="All",F1008=sel_Customer),OR(sel_Category="All",G1008=sel_Category),OR(sel_Product="All",H1008=sel_Product),AND(S1008&gt;=m_From,S1008&lt;=m_To)),1,0)</f>
        <v/>
      </c>
      <c r="W1008" s="36">
        <f>IF(AND(OR(sel_Region="All",C1008=sel_Region),OR(sel_Country="All",D1008=sel_Country),OR(sel_Customer="All",F1008=sel_Customer),OR(sel_Category="All",G1008=sel_Category),OR(sel_Product="All",H1008=sel_Product),AND(S1008&gt;=m_From,S1008&lt;=m_To)),1,0)</f>
        <v/>
      </c>
      <c r="X1008" s="36">
        <f>IF(AND(OR(sel_Region="All",C1008=sel_Region),OR(sel_Country="All",D1008=sel_Country),OR(sel_Channel="All",E1008=sel_Channel),OR(sel_Category="All",G1008=sel_Category),OR(sel_Product="All",H1008=sel_Product),AND(S1008&gt;=m_From,S1008&lt;=m_To)),1,0)</f>
        <v/>
      </c>
      <c r="Y1008" s="36">
        <f>IF(AND(OR(sel_Region="All",C1008=sel_Region),OR(sel_Country="All",D1008=sel_Country),OR(sel_Channel="All",E1008=sel_Channel),OR(sel_Customer="All",F1008=sel_Customer),OR(sel_Product="All",H1008=sel_Product),AND(S1008&gt;=m_From,S1008&lt;=m_To)),1,0)</f>
        <v/>
      </c>
      <c r="Z1008" s="36">
        <f>IF(AND(OR(sel_Region="All",C1008=sel_Region),OR(sel_Country="All",D1008=sel_Country),OR(sel_Channel="All",E1008=sel_Channel),OR(sel_Customer="All",F1008=sel_Customer),OR(sel_Category="All",G1008=sel_Category),AND(S1008&gt;=m_From,S1008&lt;=m_To)),1,0)</f>
        <v/>
      </c>
      <c r="AA1008" s="36">
        <f>IF(AND(OR(sel_Region="All",C1008=sel_Region),OR(sel_Country="All",D1008=sel_Country),OR(sel_Channel="All",E1008=sel_Channel),OR(sel_Customer="All",F1008=sel_Customer),OR(sel_Category="All",G1008=sel_Category),OR(sel_Product="All",H1008=sel_Product)),1,0)</f>
        <v/>
      </c>
    </row>
    <row r="1009">
      <c r="A1009" s="36" t="inlineStr">
        <is>
          <t>04495</t>
        </is>
      </c>
      <c r="B1009" s="44" t="n">
        <v>46178</v>
      </c>
      <c r="C1009" s="36" t="inlineStr">
        <is>
          <t>Northern Europe</t>
        </is>
      </c>
      <c r="D1009" s="36" t="inlineStr">
        <is>
          <t>Finland</t>
        </is>
      </c>
      <c r="E1009" s="36" t="inlineStr">
        <is>
          <t>Retail Partners</t>
        </is>
      </c>
      <c r="F1009" s="36" t="inlineStr">
        <is>
          <t>New</t>
        </is>
      </c>
      <c r="G1009" s="36" t="inlineStr">
        <is>
          <t>Camping</t>
        </is>
      </c>
      <c r="H1009" s="36" t="inlineStr">
        <is>
          <t>Trail Tent 2P</t>
        </is>
      </c>
      <c r="I1009" s="36" t="n">
        <v>2</v>
      </c>
      <c r="J1009" s="39" t="n">
        <v>195.51</v>
      </c>
      <c r="K1009" s="45" t="n">
        <v>0</v>
      </c>
      <c r="L1009" s="39" t="n">
        <v>102.97</v>
      </c>
      <c r="M1009" s="39">
        <f>I1009*J1009*(1-K1009)</f>
        <v/>
      </c>
      <c r="N1009" s="39">
        <f>I1009*L1009</f>
        <v/>
      </c>
      <c r="O1009" s="39">
        <f>M1009-N1009</f>
        <v/>
      </c>
      <c r="P1009" s="38">
        <f>IF(M1009=0,0,O1009/M1009)</f>
        <v/>
      </c>
      <c r="Q1009" s="36">
        <f>YEAR(B1009)</f>
        <v/>
      </c>
      <c r="R1009" s="36">
        <f>"Q"&amp;ROUNDUP(MONTH(B1009)/3,0)</f>
        <v/>
      </c>
      <c r="S1009" s="36">
        <f>MONTH(B1009)</f>
        <v/>
      </c>
      <c r="T1009" s="36">
        <f>TEXT(B1009,"mmm")</f>
        <v/>
      </c>
      <c r="U1009" s="36">
        <f>IF(AND(OR(sel_Region="All",C1009=sel_Region),OR(sel_Country="All",D1009=sel_Country),OR(sel_Channel="All",E1009=sel_Channel),OR(sel_Customer="All",F1009=sel_Customer),OR(sel_Category="All",G1009=sel_Category),OR(sel_Product="All",H1009=sel_Product),AND(S1009&gt;=m_From,S1009&lt;=m_To)),1,0)</f>
        <v/>
      </c>
      <c r="V1009" s="36">
        <f>IF(AND(OR(sel_Region="All",C1009=sel_Region),OR(sel_Channel="All",E1009=sel_Channel),OR(sel_Customer="All",F1009=sel_Customer),OR(sel_Category="All",G1009=sel_Category),OR(sel_Product="All",H1009=sel_Product),AND(S1009&gt;=m_From,S1009&lt;=m_To)),1,0)</f>
        <v/>
      </c>
      <c r="W1009" s="36">
        <f>IF(AND(OR(sel_Region="All",C1009=sel_Region),OR(sel_Country="All",D1009=sel_Country),OR(sel_Customer="All",F1009=sel_Customer),OR(sel_Category="All",G1009=sel_Category),OR(sel_Product="All",H1009=sel_Product),AND(S1009&gt;=m_From,S1009&lt;=m_To)),1,0)</f>
        <v/>
      </c>
      <c r="X1009" s="36">
        <f>IF(AND(OR(sel_Region="All",C1009=sel_Region),OR(sel_Country="All",D1009=sel_Country),OR(sel_Channel="All",E1009=sel_Channel),OR(sel_Category="All",G1009=sel_Category),OR(sel_Product="All",H1009=sel_Product),AND(S1009&gt;=m_From,S1009&lt;=m_To)),1,0)</f>
        <v/>
      </c>
      <c r="Y1009" s="36">
        <f>IF(AND(OR(sel_Region="All",C1009=sel_Region),OR(sel_Country="All",D1009=sel_Country),OR(sel_Channel="All",E1009=sel_Channel),OR(sel_Customer="All",F1009=sel_Customer),OR(sel_Product="All",H1009=sel_Product),AND(S1009&gt;=m_From,S1009&lt;=m_To)),1,0)</f>
        <v/>
      </c>
      <c r="Z1009" s="36">
        <f>IF(AND(OR(sel_Region="All",C1009=sel_Region),OR(sel_Country="All",D1009=sel_Country),OR(sel_Channel="All",E1009=sel_Channel),OR(sel_Customer="All",F1009=sel_Customer),OR(sel_Category="All",G1009=sel_Category),AND(S1009&gt;=m_From,S1009&lt;=m_To)),1,0)</f>
        <v/>
      </c>
      <c r="AA1009" s="36">
        <f>IF(AND(OR(sel_Region="All",C1009=sel_Region),OR(sel_Country="All",D1009=sel_Country),OR(sel_Channel="All",E1009=sel_Channel),OR(sel_Customer="All",F1009=sel_Customer),OR(sel_Category="All",G1009=sel_Category),OR(sel_Product="All",H1009=sel_Product)),1,0)</f>
        <v/>
      </c>
    </row>
    <row r="1010">
      <c r="A1010" s="36" t="inlineStr">
        <is>
          <t>00815</t>
        </is>
      </c>
      <c r="B1010" s="44" t="n">
        <v>46179</v>
      </c>
      <c r="C1010" s="36" t="inlineStr">
        <is>
          <t>Southern Europe</t>
        </is>
      </c>
      <c r="D1010" s="36" t="inlineStr">
        <is>
          <t>Spain</t>
        </is>
      </c>
      <c r="E1010" s="36" t="inlineStr">
        <is>
          <t>Retail Partners</t>
        </is>
      </c>
      <c r="F1010" s="36" t="inlineStr">
        <is>
          <t>New</t>
        </is>
      </c>
      <c r="G1010" s="36" t="inlineStr">
        <is>
          <t>Fitness</t>
        </is>
      </c>
      <c r="H1010" s="36" t="inlineStr">
        <is>
          <t>Resistance Band Set</t>
        </is>
      </c>
      <c r="I1010" s="36" t="n">
        <v>1</v>
      </c>
      <c r="J1010" s="39" t="n">
        <v>39.61</v>
      </c>
      <c r="K1010" s="45" t="n">
        <v>0</v>
      </c>
      <c r="L1010" s="39" t="n">
        <v>14.75</v>
      </c>
      <c r="M1010" s="39">
        <f>I1010*J1010*(1-K1010)</f>
        <v/>
      </c>
      <c r="N1010" s="39">
        <f>I1010*L1010</f>
        <v/>
      </c>
      <c r="O1010" s="39">
        <f>M1010-N1010</f>
        <v/>
      </c>
      <c r="P1010" s="38">
        <f>IF(M1010=0,0,O1010/M1010)</f>
        <v/>
      </c>
      <c r="Q1010" s="36">
        <f>YEAR(B1010)</f>
        <v/>
      </c>
      <c r="R1010" s="36">
        <f>"Q"&amp;ROUNDUP(MONTH(B1010)/3,0)</f>
        <v/>
      </c>
      <c r="S1010" s="36">
        <f>MONTH(B1010)</f>
        <v/>
      </c>
      <c r="T1010" s="36">
        <f>TEXT(B1010,"mmm")</f>
        <v/>
      </c>
      <c r="U1010" s="36">
        <f>IF(AND(OR(sel_Region="All",C1010=sel_Region),OR(sel_Country="All",D1010=sel_Country),OR(sel_Channel="All",E1010=sel_Channel),OR(sel_Customer="All",F1010=sel_Customer),OR(sel_Category="All",G1010=sel_Category),OR(sel_Product="All",H1010=sel_Product),AND(S1010&gt;=m_From,S1010&lt;=m_To)),1,0)</f>
        <v/>
      </c>
      <c r="V1010" s="36">
        <f>IF(AND(OR(sel_Region="All",C1010=sel_Region),OR(sel_Channel="All",E1010=sel_Channel),OR(sel_Customer="All",F1010=sel_Customer),OR(sel_Category="All",G1010=sel_Category),OR(sel_Product="All",H1010=sel_Product),AND(S1010&gt;=m_From,S1010&lt;=m_To)),1,0)</f>
        <v/>
      </c>
      <c r="W1010" s="36">
        <f>IF(AND(OR(sel_Region="All",C1010=sel_Region),OR(sel_Country="All",D1010=sel_Country),OR(sel_Customer="All",F1010=sel_Customer),OR(sel_Category="All",G1010=sel_Category),OR(sel_Product="All",H1010=sel_Product),AND(S1010&gt;=m_From,S1010&lt;=m_To)),1,0)</f>
        <v/>
      </c>
      <c r="X1010" s="36">
        <f>IF(AND(OR(sel_Region="All",C1010=sel_Region),OR(sel_Country="All",D1010=sel_Country),OR(sel_Channel="All",E1010=sel_Channel),OR(sel_Category="All",G1010=sel_Category),OR(sel_Product="All",H1010=sel_Product),AND(S1010&gt;=m_From,S1010&lt;=m_To)),1,0)</f>
        <v/>
      </c>
      <c r="Y1010" s="36">
        <f>IF(AND(OR(sel_Region="All",C1010=sel_Region),OR(sel_Country="All",D1010=sel_Country),OR(sel_Channel="All",E1010=sel_Channel),OR(sel_Customer="All",F1010=sel_Customer),OR(sel_Product="All",H1010=sel_Product),AND(S1010&gt;=m_From,S1010&lt;=m_To)),1,0)</f>
        <v/>
      </c>
      <c r="Z1010" s="36">
        <f>IF(AND(OR(sel_Region="All",C1010=sel_Region),OR(sel_Country="All",D1010=sel_Country),OR(sel_Channel="All",E1010=sel_Channel),OR(sel_Customer="All",F1010=sel_Customer),OR(sel_Category="All",G1010=sel_Category),AND(S1010&gt;=m_From,S1010&lt;=m_To)),1,0)</f>
        <v/>
      </c>
      <c r="AA1010" s="36">
        <f>IF(AND(OR(sel_Region="All",C1010=sel_Region),OR(sel_Country="All",D1010=sel_Country),OR(sel_Channel="All",E1010=sel_Channel),OR(sel_Customer="All",F1010=sel_Customer),OR(sel_Category="All",G1010=sel_Category),OR(sel_Product="All",H1010=sel_Product)),1,0)</f>
        <v/>
      </c>
    </row>
    <row r="1011">
      <c r="A1011" s="36" t="inlineStr">
        <is>
          <t>01140</t>
        </is>
      </c>
      <c r="B1011" s="44" t="n">
        <v>46179</v>
      </c>
      <c r="C1011" s="36" t="inlineStr">
        <is>
          <t>Central Europe</t>
        </is>
      </c>
      <c r="D1011" s="36" t="inlineStr">
        <is>
          <t>Czechia</t>
        </is>
      </c>
      <c r="E1011" s="36" t="inlineStr">
        <is>
          <t>Retail Partners</t>
        </is>
      </c>
      <c r="F1011" s="36" t="inlineStr">
        <is>
          <t>Returning</t>
        </is>
      </c>
      <c r="G1011" s="36" t="inlineStr">
        <is>
          <t>Hiking</t>
        </is>
      </c>
      <c r="H1011" s="36" t="inlineStr">
        <is>
          <t>Trekking Poles</t>
        </is>
      </c>
      <c r="I1011" s="36" t="n">
        <v>1</v>
      </c>
      <c r="J1011" s="39" t="n">
        <v>70.86</v>
      </c>
      <c r="K1011" s="45" t="n">
        <v>0</v>
      </c>
      <c r="L1011" s="39" t="n">
        <v>31.47</v>
      </c>
      <c r="M1011" s="39">
        <f>I1011*J1011*(1-K1011)</f>
        <v/>
      </c>
      <c r="N1011" s="39">
        <f>I1011*L1011</f>
        <v/>
      </c>
      <c r="O1011" s="39">
        <f>M1011-N1011</f>
        <v/>
      </c>
      <c r="P1011" s="38">
        <f>IF(M1011=0,0,O1011/M1011)</f>
        <v/>
      </c>
      <c r="Q1011" s="36">
        <f>YEAR(B1011)</f>
        <v/>
      </c>
      <c r="R1011" s="36">
        <f>"Q"&amp;ROUNDUP(MONTH(B1011)/3,0)</f>
        <v/>
      </c>
      <c r="S1011" s="36">
        <f>MONTH(B1011)</f>
        <v/>
      </c>
      <c r="T1011" s="36">
        <f>TEXT(B1011,"mmm")</f>
        <v/>
      </c>
      <c r="U1011" s="36">
        <f>IF(AND(OR(sel_Region="All",C1011=sel_Region),OR(sel_Country="All",D1011=sel_Country),OR(sel_Channel="All",E1011=sel_Channel),OR(sel_Customer="All",F1011=sel_Customer),OR(sel_Category="All",G1011=sel_Category),OR(sel_Product="All",H1011=sel_Product),AND(S1011&gt;=m_From,S1011&lt;=m_To)),1,0)</f>
        <v/>
      </c>
      <c r="V1011" s="36">
        <f>IF(AND(OR(sel_Region="All",C1011=sel_Region),OR(sel_Channel="All",E1011=sel_Channel),OR(sel_Customer="All",F1011=sel_Customer),OR(sel_Category="All",G1011=sel_Category),OR(sel_Product="All",H1011=sel_Product),AND(S1011&gt;=m_From,S1011&lt;=m_To)),1,0)</f>
        <v/>
      </c>
      <c r="W1011" s="36">
        <f>IF(AND(OR(sel_Region="All",C1011=sel_Region),OR(sel_Country="All",D1011=sel_Country),OR(sel_Customer="All",F1011=sel_Customer),OR(sel_Category="All",G1011=sel_Category),OR(sel_Product="All",H1011=sel_Product),AND(S1011&gt;=m_From,S1011&lt;=m_To)),1,0)</f>
        <v/>
      </c>
      <c r="X1011" s="36">
        <f>IF(AND(OR(sel_Region="All",C1011=sel_Region),OR(sel_Country="All",D1011=sel_Country),OR(sel_Channel="All",E1011=sel_Channel),OR(sel_Category="All",G1011=sel_Category),OR(sel_Product="All",H1011=sel_Product),AND(S1011&gt;=m_From,S1011&lt;=m_To)),1,0)</f>
        <v/>
      </c>
      <c r="Y1011" s="36">
        <f>IF(AND(OR(sel_Region="All",C1011=sel_Region),OR(sel_Country="All",D1011=sel_Country),OR(sel_Channel="All",E1011=sel_Channel),OR(sel_Customer="All",F1011=sel_Customer),OR(sel_Product="All",H1011=sel_Product),AND(S1011&gt;=m_From,S1011&lt;=m_To)),1,0)</f>
        <v/>
      </c>
      <c r="Z1011" s="36">
        <f>IF(AND(OR(sel_Region="All",C1011=sel_Region),OR(sel_Country="All",D1011=sel_Country),OR(sel_Channel="All",E1011=sel_Channel),OR(sel_Customer="All",F1011=sel_Customer),OR(sel_Category="All",G1011=sel_Category),AND(S1011&gt;=m_From,S1011&lt;=m_To)),1,0)</f>
        <v/>
      </c>
      <c r="AA1011" s="36">
        <f>IF(AND(OR(sel_Region="All",C1011=sel_Region),OR(sel_Country="All",D1011=sel_Country),OR(sel_Channel="All",E1011=sel_Channel),OR(sel_Customer="All",F1011=sel_Customer),OR(sel_Category="All",G1011=sel_Category),OR(sel_Product="All",H1011=sel_Product)),1,0)</f>
        <v/>
      </c>
    </row>
    <row r="1012">
      <c r="A1012" s="36" t="inlineStr">
        <is>
          <t>01544</t>
        </is>
      </c>
      <c r="B1012" s="44" t="n">
        <v>46179</v>
      </c>
      <c r="C1012" s="36" t="inlineStr">
        <is>
          <t>Western Europe</t>
        </is>
      </c>
      <c r="D1012" s="36" t="inlineStr">
        <is>
          <t>Netherlands</t>
        </is>
      </c>
      <c r="E1012" s="36" t="inlineStr">
        <is>
          <t>Corporate</t>
        </is>
      </c>
      <c r="F1012" s="36" t="inlineStr">
        <is>
          <t>Returning</t>
        </is>
      </c>
      <c r="G1012" s="36" t="inlineStr">
        <is>
          <t>Fitness</t>
        </is>
      </c>
      <c r="H1012" s="36" t="inlineStr">
        <is>
          <t>Resistance Band Set</t>
        </is>
      </c>
      <c r="I1012" s="36" t="n">
        <v>8</v>
      </c>
      <c r="J1012" s="39" t="n">
        <v>40.46</v>
      </c>
      <c r="K1012" s="45" t="n">
        <v>0.2</v>
      </c>
      <c r="L1012" s="39" t="n">
        <v>14.7</v>
      </c>
      <c r="M1012" s="39">
        <f>I1012*J1012*(1-K1012)</f>
        <v/>
      </c>
      <c r="N1012" s="39">
        <f>I1012*L1012</f>
        <v/>
      </c>
      <c r="O1012" s="39">
        <f>M1012-N1012</f>
        <v/>
      </c>
      <c r="P1012" s="38">
        <f>IF(M1012=0,0,O1012/M1012)</f>
        <v/>
      </c>
      <c r="Q1012" s="36">
        <f>YEAR(B1012)</f>
        <v/>
      </c>
      <c r="R1012" s="36">
        <f>"Q"&amp;ROUNDUP(MONTH(B1012)/3,0)</f>
        <v/>
      </c>
      <c r="S1012" s="36">
        <f>MONTH(B1012)</f>
        <v/>
      </c>
      <c r="T1012" s="36">
        <f>TEXT(B1012,"mmm")</f>
        <v/>
      </c>
      <c r="U1012" s="36">
        <f>IF(AND(OR(sel_Region="All",C1012=sel_Region),OR(sel_Country="All",D1012=sel_Country),OR(sel_Channel="All",E1012=sel_Channel),OR(sel_Customer="All",F1012=sel_Customer),OR(sel_Category="All",G1012=sel_Category),OR(sel_Product="All",H1012=sel_Product),AND(S1012&gt;=m_From,S1012&lt;=m_To)),1,0)</f>
        <v/>
      </c>
      <c r="V1012" s="36">
        <f>IF(AND(OR(sel_Region="All",C1012=sel_Region),OR(sel_Channel="All",E1012=sel_Channel),OR(sel_Customer="All",F1012=sel_Customer),OR(sel_Category="All",G1012=sel_Category),OR(sel_Product="All",H1012=sel_Product),AND(S1012&gt;=m_From,S1012&lt;=m_To)),1,0)</f>
        <v/>
      </c>
      <c r="W1012" s="36">
        <f>IF(AND(OR(sel_Region="All",C1012=sel_Region),OR(sel_Country="All",D1012=sel_Country),OR(sel_Customer="All",F1012=sel_Customer),OR(sel_Category="All",G1012=sel_Category),OR(sel_Product="All",H1012=sel_Product),AND(S1012&gt;=m_From,S1012&lt;=m_To)),1,0)</f>
        <v/>
      </c>
      <c r="X1012" s="36">
        <f>IF(AND(OR(sel_Region="All",C1012=sel_Region),OR(sel_Country="All",D1012=sel_Country),OR(sel_Channel="All",E1012=sel_Channel),OR(sel_Category="All",G1012=sel_Category),OR(sel_Product="All",H1012=sel_Product),AND(S1012&gt;=m_From,S1012&lt;=m_To)),1,0)</f>
        <v/>
      </c>
      <c r="Y1012" s="36">
        <f>IF(AND(OR(sel_Region="All",C1012=sel_Region),OR(sel_Country="All",D1012=sel_Country),OR(sel_Channel="All",E1012=sel_Channel),OR(sel_Customer="All",F1012=sel_Customer),OR(sel_Product="All",H1012=sel_Product),AND(S1012&gt;=m_From,S1012&lt;=m_To)),1,0)</f>
        <v/>
      </c>
      <c r="Z1012" s="36">
        <f>IF(AND(OR(sel_Region="All",C1012=sel_Region),OR(sel_Country="All",D1012=sel_Country),OR(sel_Channel="All",E1012=sel_Channel),OR(sel_Customer="All",F1012=sel_Customer),OR(sel_Category="All",G1012=sel_Category),AND(S1012&gt;=m_From,S1012&lt;=m_To)),1,0)</f>
        <v/>
      </c>
      <c r="AA1012" s="36">
        <f>IF(AND(OR(sel_Region="All",C1012=sel_Region),OR(sel_Country="All",D1012=sel_Country),OR(sel_Channel="All",E1012=sel_Channel),OR(sel_Customer="All",F1012=sel_Customer),OR(sel_Category="All",G1012=sel_Category),OR(sel_Product="All",H1012=sel_Product)),1,0)</f>
        <v/>
      </c>
    </row>
    <row r="1013">
      <c r="A1013" s="36" t="inlineStr">
        <is>
          <t>02420</t>
        </is>
      </c>
      <c r="B1013" s="44" t="n">
        <v>46179</v>
      </c>
      <c r="C1013" s="36" t="inlineStr">
        <is>
          <t>Northern Europe</t>
        </is>
      </c>
      <c r="D1013" s="36" t="inlineStr">
        <is>
          <t>Denmark</t>
        </is>
      </c>
      <c r="E1013" s="36" t="inlineStr">
        <is>
          <t>Online Store</t>
        </is>
      </c>
      <c r="F1013" s="36" t="inlineStr">
        <is>
          <t>New</t>
        </is>
      </c>
      <c r="G1013" s="36" t="inlineStr">
        <is>
          <t>Travel</t>
        </is>
      </c>
      <c r="H1013" s="36" t="inlineStr">
        <is>
          <t>Carry-On Duffel</t>
        </is>
      </c>
      <c r="I1013" s="36" t="n">
        <v>1</v>
      </c>
      <c r="J1013" s="39" t="n">
        <v>131.79</v>
      </c>
      <c r="K1013" s="45" t="n">
        <v>0</v>
      </c>
      <c r="L1013" s="39" t="n">
        <v>68.22</v>
      </c>
      <c r="M1013" s="39">
        <f>I1013*J1013*(1-K1013)</f>
        <v/>
      </c>
      <c r="N1013" s="39">
        <f>I1013*L1013</f>
        <v/>
      </c>
      <c r="O1013" s="39">
        <f>M1013-N1013</f>
        <v/>
      </c>
      <c r="P1013" s="38">
        <f>IF(M1013=0,0,O1013/M1013)</f>
        <v/>
      </c>
      <c r="Q1013" s="36">
        <f>YEAR(B1013)</f>
        <v/>
      </c>
      <c r="R1013" s="36">
        <f>"Q"&amp;ROUNDUP(MONTH(B1013)/3,0)</f>
        <v/>
      </c>
      <c r="S1013" s="36">
        <f>MONTH(B1013)</f>
        <v/>
      </c>
      <c r="T1013" s="36">
        <f>TEXT(B1013,"mmm")</f>
        <v/>
      </c>
      <c r="U1013" s="36">
        <f>IF(AND(OR(sel_Region="All",C1013=sel_Region),OR(sel_Country="All",D1013=sel_Country),OR(sel_Channel="All",E1013=sel_Channel),OR(sel_Customer="All",F1013=sel_Customer),OR(sel_Category="All",G1013=sel_Category),OR(sel_Product="All",H1013=sel_Product),AND(S1013&gt;=m_From,S1013&lt;=m_To)),1,0)</f>
        <v/>
      </c>
      <c r="V1013" s="36">
        <f>IF(AND(OR(sel_Region="All",C1013=sel_Region),OR(sel_Channel="All",E1013=sel_Channel),OR(sel_Customer="All",F1013=sel_Customer),OR(sel_Category="All",G1013=sel_Category),OR(sel_Product="All",H1013=sel_Product),AND(S1013&gt;=m_From,S1013&lt;=m_To)),1,0)</f>
        <v/>
      </c>
      <c r="W1013" s="36">
        <f>IF(AND(OR(sel_Region="All",C1013=sel_Region),OR(sel_Country="All",D1013=sel_Country),OR(sel_Customer="All",F1013=sel_Customer),OR(sel_Category="All",G1013=sel_Category),OR(sel_Product="All",H1013=sel_Product),AND(S1013&gt;=m_From,S1013&lt;=m_To)),1,0)</f>
        <v/>
      </c>
      <c r="X1013" s="36">
        <f>IF(AND(OR(sel_Region="All",C1013=sel_Region),OR(sel_Country="All",D1013=sel_Country),OR(sel_Channel="All",E1013=sel_Channel),OR(sel_Category="All",G1013=sel_Category),OR(sel_Product="All",H1013=sel_Product),AND(S1013&gt;=m_From,S1013&lt;=m_To)),1,0)</f>
        <v/>
      </c>
      <c r="Y1013" s="36">
        <f>IF(AND(OR(sel_Region="All",C1013=sel_Region),OR(sel_Country="All",D1013=sel_Country),OR(sel_Channel="All",E1013=sel_Channel),OR(sel_Customer="All",F1013=sel_Customer),OR(sel_Product="All",H1013=sel_Product),AND(S1013&gt;=m_From,S1013&lt;=m_To)),1,0)</f>
        <v/>
      </c>
      <c r="Z1013" s="36">
        <f>IF(AND(OR(sel_Region="All",C1013=sel_Region),OR(sel_Country="All",D1013=sel_Country),OR(sel_Channel="All",E1013=sel_Channel),OR(sel_Customer="All",F1013=sel_Customer),OR(sel_Category="All",G1013=sel_Category),AND(S1013&gt;=m_From,S1013&lt;=m_To)),1,0)</f>
        <v/>
      </c>
      <c r="AA1013" s="36">
        <f>IF(AND(OR(sel_Region="All",C1013=sel_Region),OR(sel_Country="All",D1013=sel_Country),OR(sel_Channel="All",E1013=sel_Channel),OR(sel_Customer="All",F1013=sel_Customer),OR(sel_Category="All",G1013=sel_Category),OR(sel_Product="All",H1013=sel_Product)),1,0)</f>
        <v/>
      </c>
    </row>
    <row r="1014">
      <c r="A1014" s="36" t="inlineStr">
        <is>
          <t>02805</t>
        </is>
      </c>
      <c r="B1014" s="44" t="n">
        <v>46179</v>
      </c>
      <c r="C1014" s="36" t="inlineStr">
        <is>
          <t>Northern Europe</t>
        </is>
      </c>
      <c r="D1014" s="36" t="inlineStr">
        <is>
          <t>Finland</t>
        </is>
      </c>
      <c r="E1014" s="36" t="inlineStr">
        <is>
          <t>Corporate</t>
        </is>
      </c>
      <c r="F1014" s="36" t="inlineStr">
        <is>
          <t>Returning</t>
        </is>
      </c>
      <c r="G1014" s="36" t="inlineStr">
        <is>
          <t>Camping</t>
        </is>
      </c>
      <c r="H1014" s="36" t="inlineStr">
        <is>
          <t>Alpine Tent 4P</t>
        </is>
      </c>
      <c r="I1014" s="36" t="n">
        <v>12</v>
      </c>
      <c r="J1014" s="39" t="n">
        <v>338.45</v>
      </c>
      <c r="K1014" s="45" t="n">
        <v>0.1</v>
      </c>
      <c r="L1014" s="39" t="n">
        <v>196.78</v>
      </c>
      <c r="M1014" s="39">
        <f>I1014*J1014*(1-K1014)</f>
        <v/>
      </c>
      <c r="N1014" s="39">
        <f>I1014*L1014</f>
        <v/>
      </c>
      <c r="O1014" s="39">
        <f>M1014-N1014</f>
        <v/>
      </c>
      <c r="P1014" s="38">
        <f>IF(M1014=0,0,O1014/M1014)</f>
        <v/>
      </c>
      <c r="Q1014" s="36">
        <f>YEAR(B1014)</f>
        <v/>
      </c>
      <c r="R1014" s="36">
        <f>"Q"&amp;ROUNDUP(MONTH(B1014)/3,0)</f>
        <v/>
      </c>
      <c r="S1014" s="36">
        <f>MONTH(B1014)</f>
        <v/>
      </c>
      <c r="T1014" s="36">
        <f>TEXT(B1014,"mmm")</f>
        <v/>
      </c>
      <c r="U1014" s="36">
        <f>IF(AND(OR(sel_Region="All",C1014=sel_Region),OR(sel_Country="All",D1014=sel_Country),OR(sel_Channel="All",E1014=sel_Channel),OR(sel_Customer="All",F1014=sel_Customer),OR(sel_Category="All",G1014=sel_Category),OR(sel_Product="All",H1014=sel_Product),AND(S1014&gt;=m_From,S1014&lt;=m_To)),1,0)</f>
        <v/>
      </c>
      <c r="V1014" s="36">
        <f>IF(AND(OR(sel_Region="All",C1014=sel_Region),OR(sel_Channel="All",E1014=sel_Channel),OR(sel_Customer="All",F1014=sel_Customer),OR(sel_Category="All",G1014=sel_Category),OR(sel_Product="All",H1014=sel_Product),AND(S1014&gt;=m_From,S1014&lt;=m_To)),1,0)</f>
        <v/>
      </c>
      <c r="W1014" s="36">
        <f>IF(AND(OR(sel_Region="All",C1014=sel_Region),OR(sel_Country="All",D1014=sel_Country),OR(sel_Customer="All",F1014=sel_Customer),OR(sel_Category="All",G1014=sel_Category),OR(sel_Product="All",H1014=sel_Product),AND(S1014&gt;=m_From,S1014&lt;=m_To)),1,0)</f>
        <v/>
      </c>
      <c r="X1014" s="36">
        <f>IF(AND(OR(sel_Region="All",C1014=sel_Region),OR(sel_Country="All",D1014=sel_Country),OR(sel_Channel="All",E1014=sel_Channel),OR(sel_Category="All",G1014=sel_Category),OR(sel_Product="All",H1014=sel_Product),AND(S1014&gt;=m_From,S1014&lt;=m_To)),1,0)</f>
        <v/>
      </c>
      <c r="Y1014" s="36">
        <f>IF(AND(OR(sel_Region="All",C1014=sel_Region),OR(sel_Country="All",D1014=sel_Country),OR(sel_Channel="All",E1014=sel_Channel),OR(sel_Customer="All",F1014=sel_Customer),OR(sel_Product="All",H1014=sel_Product),AND(S1014&gt;=m_From,S1014&lt;=m_To)),1,0)</f>
        <v/>
      </c>
      <c r="Z1014" s="36">
        <f>IF(AND(OR(sel_Region="All",C1014=sel_Region),OR(sel_Country="All",D1014=sel_Country),OR(sel_Channel="All",E1014=sel_Channel),OR(sel_Customer="All",F1014=sel_Customer),OR(sel_Category="All",G1014=sel_Category),AND(S1014&gt;=m_From,S1014&lt;=m_To)),1,0)</f>
        <v/>
      </c>
      <c r="AA1014" s="36">
        <f>IF(AND(OR(sel_Region="All",C1014=sel_Region),OR(sel_Country="All",D1014=sel_Country),OR(sel_Channel="All",E1014=sel_Channel),OR(sel_Customer="All",F1014=sel_Customer),OR(sel_Category="All",G1014=sel_Category),OR(sel_Product="All",H1014=sel_Product)),1,0)</f>
        <v/>
      </c>
    </row>
    <row r="1015">
      <c r="A1015" s="36" t="inlineStr">
        <is>
          <t>03160</t>
        </is>
      </c>
      <c r="B1015" s="44" t="n">
        <v>46179</v>
      </c>
      <c r="C1015" s="36" t="inlineStr">
        <is>
          <t>Northern Europe</t>
        </is>
      </c>
      <c r="D1015" s="36" t="inlineStr">
        <is>
          <t>Ireland</t>
        </is>
      </c>
      <c r="E1015" s="36" t="inlineStr">
        <is>
          <t>Retail Partners</t>
        </is>
      </c>
      <c r="F1015" s="36" t="inlineStr">
        <is>
          <t>Returning</t>
        </is>
      </c>
      <c r="G1015" s="36" t="inlineStr">
        <is>
          <t>Fitness</t>
        </is>
      </c>
      <c r="H1015" s="36" t="inlineStr">
        <is>
          <t>Resistance Band Set</t>
        </is>
      </c>
      <c r="I1015" s="36" t="n">
        <v>2</v>
      </c>
      <c r="J1015" s="39" t="n">
        <v>40.99</v>
      </c>
      <c r="K1015" s="45" t="n">
        <v>0</v>
      </c>
      <c r="L1015" s="39" t="n">
        <v>14.53</v>
      </c>
      <c r="M1015" s="39">
        <f>I1015*J1015*(1-K1015)</f>
        <v/>
      </c>
      <c r="N1015" s="39">
        <f>I1015*L1015</f>
        <v/>
      </c>
      <c r="O1015" s="39">
        <f>M1015-N1015</f>
        <v/>
      </c>
      <c r="P1015" s="38">
        <f>IF(M1015=0,0,O1015/M1015)</f>
        <v/>
      </c>
      <c r="Q1015" s="36">
        <f>YEAR(B1015)</f>
        <v/>
      </c>
      <c r="R1015" s="36">
        <f>"Q"&amp;ROUNDUP(MONTH(B1015)/3,0)</f>
        <v/>
      </c>
      <c r="S1015" s="36">
        <f>MONTH(B1015)</f>
        <v/>
      </c>
      <c r="T1015" s="36">
        <f>TEXT(B1015,"mmm")</f>
        <v/>
      </c>
      <c r="U1015" s="36">
        <f>IF(AND(OR(sel_Region="All",C1015=sel_Region),OR(sel_Country="All",D1015=sel_Country),OR(sel_Channel="All",E1015=sel_Channel),OR(sel_Customer="All",F1015=sel_Customer),OR(sel_Category="All",G1015=sel_Category),OR(sel_Product="All",H1015=sel_Product),AND(S1015&gt;=m_From,S1015&lt;=m_To)),1,0)</f>
        <v/>
      </c>
      <c r="V1015" s="36">
        <f>IF(AND(OR(sel_Region="All",C1015=sel_Region),OR(sel_Channel="All",E1015=sel_Channel),OR(sel_Customer="All",F1015=sel_Customer),OR(sel_Category="All",G1015=sel_Category),OR(sel_Product="All",H1015=sel_Product),AND(S1015&gt;=m_From,S1015&lt;=m_To)),1,0)</f>
        <v/>
      </c>
      <c r="W1015" s="36">
        <f>IF(AND(OR(sel_Region="All",C1015=sel_Region),OR(sel_Country="All",D1015=sel_Country),OR(sel_Customer="All",F1015=sel_Customer),OR(sel_Category="All",G1015=sel_Category),OR(sel_Product="All",H1015=sel_Product),AND(S1015&gt;=m_From,S1015&lt;=m_To)),1,0)</f>
        <v/>
      </c>
      <c r="X1015" s="36">
        <f>IF(AND(OR(sel_Region="All",C1015=sel_Region),OR(sel_Country="All",D1015=sel_Country),OR(sel_Channel="All",E1015=sel_Channel),OR(sel_Category="All",G1015=sel_Category),OR(sel_Product="All",H1015=sel_Product),AND(S1015&gt;=m_From,S1015&lt;=m_To)),1,0)</f>
        <v/>
      </c>
      <c r="Y1015" s="36">
        <f>IF(AND(OR(sel_Region="All",C1015=sel_Region),OR(sel_Country="All",D1015=sel_Country),OR(sel_Channel="All",E1015=sel_Channel),OR(sel_Customer="All",F1015=sel_Customer),OR(sel_Product="All",H1015=sel_Product),AND(S1015&gt;=m_From,S1015&lt;=m_To)),1,0)</f>
        <v/>
      </c>
      <c r="Z1015" s="36">
        <f>IF(AND(OR(sel_Region="All",C1015=sel_Region),OR(sel_Country="All",D1015=sel_Country),OR(sel_Channel="All",E1015=sel_Channel),OR(sel_Customer="All",F1015=sel_Customer),OR(sel_Category="All",G1015=sel_Category),AND(S1015&gt;=m_From,S1015&lt;=m_To)),1,0)</f>
        <v/>
      </c>
      <c r="AA1015" s="36">
        <f>IF(AND(OR(sel_Region="All",C1015=sel_Region),OR(sel_Country="All",D1015=sel_Country),OR(sel_Channel="All",E1015=sel_Channel),OR(sel_Customer="All",F1015=sel_Customer),OR(sel_Category="All",G1015=sel_Category),OR(sel_Product="All",H1015=sel_Product)),1,0)</f>
        <v/>
      </c>
    </row>
    <row r="1016">
      <c r="A1016" s="36" t="inlineStr">
        <is>
          <t>03278</t>
        </is>
      </c>
      <c r="B1016" s="44" t="n">
        <v>46179</v>
      </c>
      <c r="C1016" s="36" t="inlineStr">
        <is>
          <t>Central Europe</t>
        </is>
      </c>
      <c r="D1016" s="36" t="inlineStr">
        <is>
          <t>Germany</t>
        </is>
      </c>
      <c r="E1016" s="36" t="inlineStr">
        <is>
          <t>Retail Partners</t>
        </is>
      </c>
      <c r="F1016" s="36" t="inlineStr">
        <is>
          <t>Returning</t>
        </is>
      </c>
      <c r="G1016" s="36" t="inlineStr">
        <is>
          <t>Cycling</t>
        </is>
      </c>
      <c r="H1016" s="36" t="inlineStr">
        <is>
          <t>Cycling Pack 12L</t>
        </is>
      </c>
      <c r="I1016" s="36" t="n">
        <v>1</v>
      </c>
      <c r="J1016" s="39" t="n">
        <v>101.85</v>
      </c>
      <c r="K1016" s="45" t="n">
        <v>0</v>
      </c>
      <c r="L1016" s="39" t="n">
        <v>51.59</v>
      </c>
      <c r="M1016" s="39">
        <f>I1016*J1016*(1-K1016)</f>
        <v/>
      </c>
      <c r="N1016" s="39">
        <f>I1016*L1016</f>
        <v/>
      </c>
      <c r="O1016" s="39">
        <f>M1016-N1016</f>
        <v/>
      </c>
      <c r="P1016" s="38">
        <f>IF(M1016=0,0,O1016/M1016)</f>
        <v/>
      </c>
      <c r="Q1016" s="36">
        <f>YEAR(B1016)</f>
        <v/>
      </c>
      <c r="R1016" s="36">
        <f>"Q"&amp;ROUNDUP(MONTH(B1016)/3,0)</f>
        <v/>
      </c>
      <c r="S1016" s="36">
        <f>MONTH(B1016)</f>
        <v/>
      </c>
      <c r="T1016" s="36">
        <f>TEXT(B1016,"mmm")</f>
        <v/>
      </c>
      <c r="U1016" s="36">
        <f>IF(AND(OR(sel_Region="All",C1016=sel_Region),OR(sel_Country="All",D1016=sel_Country),OR(sel_Channel="All",E1016=sel_Channel),OR(sel_Customer="All",F1016=sel_Customer),OR(sel_Category="All",G1016=sel_Category),OR(sel_Product="All",H1016=sel_Product),AND(S1016&gt;=m_From,S1016&lt;=m_To)),1,0)</f>
        <v/>
      </c>
      <c r="V1016" s="36">
        <f>IF(AND(OR(sel_Region="All",C1016=sel_Region),OR(sel_Channel="All",E1016=sel_Channel),OR(sel_Customer="All",F1016=sel_Customer),OR(sel_Category="All",G1016=sel_Category),OR(sel_Product="All",H1016=sel_Product),AND(S1016&gt;=m_From,S1016&lt;=m_To)),1,0)</f>
        <v/>
      </c>
      <c r="W1016" s="36">
        <f>IF(AND(OR(sel_Region="All",C1016=sel_Region),OR(sel_Country="All",D1016=sel_Country),OR(sel_Customer="All",F1016=sel_Customer),OR(sel_Category="All",G1016=sel_Category),OR(sel_Product="All",H1016=sel_Product),AND(S1016&gt;=m_From,S1016&lt;=m_To)),1,0)</f>
        <v/>
      </c>
      <c r="X1016" s="36">
        <f>IF(AND(OR(sel_Region="All",C1016=sel_Region),OR(sel_Country="All",D1016=sel_Country),OR(sel_Channel="All",E1016=sel_Channel),OR(sel_Category="All",G1016=sel_Category),OR(sel_Product="All",H1016=sel_Product),AND(S1016&gt;=m_From,S1016&lt;=m_To)),1,0)</f>
        <v/>
      </c>
      <c r="Y1016" s="36">
        <f>IF(AND(OR(sel_Region="All",C1016=sel_Region),OR(sel_Country="All",D1016=sel_Country),OR(sel_Channel="All",E1016=sel_Channel),OR(sel_Customer="All",F1016=sel_Customer),OR(sel_Product="All",H1016=sel_Product),AND(S1016&gt;=m_From,S1016&lt;=m_To)),1,0)</f>
        <v/>
      </c>
      <c r="Z1016" s="36">
        <f>IF(AND(OR(sel_Region="All",C1016=sel_Region),OR(sel_Country="All",D1016=sel_Country),OR(sel_Channel="All",E1016=sel_Channel),OR(sel_Customer="All",F1016=sel_Customer),OR(sel_Category="All",G1016=sel_Category),AND(S1016&gt;=m_From,S1016&lt;=m_To)),1,0)</f>
        <v/>
      </c>
      <c r="AA1016" s="36">
        <f>IF(AND(OR(sel_Region="All",C1016=sel_Region),OR(sel_Country="All",D1016=sel_Country),OR(sel_Channel="All",E1016=sel_Channel),OR(sel_Customer="All",F1016=sel_Customer),OR(sel_Category="All",G1016=sel_Category),OR(sel_Product="All",H1016=sel_Product)),1,0)</f>
        <v/>
      </c>
    </row>
    <row r="1017">
      <c r="A1017" s="36" t="inlineStr">
        <is>
          <t>03555</t>
        </is>
      </c>
      <c r="B1017" s="44" t="n">
        <v>46179</v>
      </c>
      <c r="C1017" s="36" t="inlineStr">
        <is>
          <t>Northern Europe</t>
        </is>
      </c>
      <c r="D1017" s="36" t="inlineStr">
        <is>
          <t>Sweden</t>
        </is>
      </c>
      <c r="E1017" s="36" t="inlineStr">
        <is>
          <t>Corporate</t>
        </is>
      </c>
      <c r="F1017" s="36" t="inlineStr">
        <is>
          <t>Business</t>
        </is>
      </c>
      <c r="G1017" s="36" t="inlineStr">
        <is>
          <t>Camping</t>
        </is>
      </c>
      <c r="H1017" s="36" t="inlineStr">
        <is>
          <t>Alpine Tent 4P</t>
        </is>
      </c>
      <c r="I1017" s="36" t="n">
        <v>4</v>
      </c>
      <c r="J1017" s="39" t="n">
        <v>346.14</v>
      </c>
      <c r="K1017" s="45" t="n">
        <v>0.05</v>
      </c>
      <c r="L1017" s="39" t="n">
        <v>198.97</v>
      </c>
      <c r="M1017" s="39">
        <f>I1017*J1017*(1-K1017)</f>
        <v/>
      </c>
      <c r="N1017" s="39">
        <f>I1017*L1017</f>
        <v/>
      </c>
      <c r="O1017" s="39">
        <f>M1017-N1017</f>
        <v/>
      </c>
      <c r="P1017" s="38">
        <f>IF(M1017=0,0,O1017/M1017)</f>
        <v/>
      </c>
      <c r="Q1017" s="36">
        <f>YEAR(B1017)</f>
        <v/>
      </c>
      <c r="R1017" s="36">
        <f>"Q"&amp;ROUNDUP(MONTH(B1017)/3,0)</f>
        <v/>
      </c>
      <c r="S1017" s="36">
        <f>MONTH(B1017)</f>
        <v/>
      </c>
      <c r="T1017" s="36">
        <f>TEXT(B1017,"mmm")</f>
        <v/>
      </c>
      <c r="U1017" s="36">
        <f>IF(AND(OR(sel_Region="All",C1017=sel_Region),OR(sel_Country="All",D1017=sel_Country),OR(sel_Channel="All",E1017=sel_Channel),OR(sel_Customer="All",F1017=sel_Customer),OR(sel_Category="All",G1017=sel_Category),OR(sel_Product="All",H1017=sel_Product),AND(S1017&gt;=m_From,S1017&lt;=m_To)),1,0)</f>
        <v/>
      </c>
      <c r="V1017" s="36">
        <f>IF(AND(OR(sel_Region="All",C1017=sel_Region),OR(sel_Channel="All",E1017=sel_Channel),OR(sel_Customer="All",F1017=sel_Customer),OR(sel_Category="All",G1017=sel_Category),OR(sel_Product="All",H1017=sel_Product),AND(S1017&gt;=m_From,S1017&lt;=m_To)),1,0)</f>
        <v/>
      </c>
      <c r="W1017" s="36">
        <f>IF(AND(OR(sel_Region="All",C1017=sel_Region),OR(sel_Country="All",D1017=sel_Country),OR(sel_Customer="All",F1017=sel_Customer),OR(sel_Category="All",G1017=sel_Category),OR(sel_Product="All",H1017=sel_Product),AND(S1017&gt;=m_From,S1017&lt;=m_To)),1,0)</f>
        <v/>
      </c>
      <c r="X1017" s="36">
        <f>IF(AND(OR(sel_Region="All",C1017=sel_Region),OR(sel_Country="All",D1017=sel_Country),OR(sel_Channel="All",E1017=sel_Channel),OR(sel_Category="All",G1017=sel_Category),OR(sel_Product="All",H1017=sel_Product),AND(S1017&gt;=m_From,S1017&lt;=m_To)),1,0)</f>
        <v/>
      </c>
      <c r="Y1017" s="36">
        <f>IF(AND(OR(sel_Region="All",C1017=sel_Region),OR(sel_Country="All",D1017=sel_Country),OR(sel_Channel="All",E1017=sel_Channel),OR(sel_Customer="All",F1017=sel_Customer),OR(sel_Product="All",H1017=sel_Product),AND(S1017&gt;=m_From,S1017&lt;=m_To)),1,0)</f>
        <v/>
      </c>
      <c r="Z1017" s="36">
        <f>IF(AND(OR(sel_Region="All",C1017=sel_Region),OR(sel_Country="All",D1017=sel_Country),OR(sel_Channel="All",E1017=sel_Channel),OR(sel_Customer="All",F1017=sel_Customer),OR(sel_Category="All",G1017=sel_Category),AND(S1017&gt;=m_From,S1017&lt;=m_To)),1,0)</f>
        <v/>
      </c>
      <c r="AA1017" s="36">
        <f>IF(AND(OR(sel_Region="All",C1017=sel_Region),OR(sel_Country="All",D1017=sel_Country),OR(sel_Channel="All",E1017=sel_Channel),OR(sel_Customer="All",F1017=sel_Customer),OR(sel_Category="All",G1017=sel_Category),OR(sel_Product="All",H1017=sel_Product)),1,0)</f>
        <v/>
      </c>
    </row>
    <row r="1018">
      <c r="A1018" s="36" t="inlineStr">
        <is>
          <t>03702</t>
        </is>
      </c>
      <c r="B1018" s="44" t="n">
        <v>46179</v>
      </c>
      <c r="C1018" s="36" t="inlineStr">
        <is>
          <t>Southern Europe</t>
        </is>
      </c>
      <c r="D1018" s="36" t="inlineStr">
        <is>
          <t>Portugal</t>
        </is>
      </c>
      <c r="E1018" s="36" t="inlineStr">
        <is>
          <t>Retail Partners</t>
        </is>
      </c>
      <c r="F1018" s="36" t="inlineStr">
        <is>
          <t>Business</t>
        </is>
      </c>
      <c r="G1018" s="36" t="inlineStr">
        <is>
          <t>Cycling</t>
        </is>
      </c>
      <c r="H1018" s="36" t="inlineStr">
        <is>
          <t>Commuter Helmet</t>
        </is>
      </c>
      <c r="I1018" s="36" t="n">
        <v>2</v>
      </c>
      <c r="J1018" s="39" t="n">
        <v>83.28</v>
      </c>
      <c r="K1018" s="45" t="n">
        <v>0</v>
      </c>
      <c r="L1018" s="39" t="n">
        <v>43.56</v>
      </c>
      <c r="M1018" s="39">
        <f>I1018*J1018*(1-K1018)</f>
        <v/>
      </c>
      <c r="N1018" s="39">
        <f>I1018*L1018</f>
        <v/>
      </c>
      <c r="O1018" s="39">
        <f>M1018-N1018</f>
        <v/>
      </c>
      <c r="P1018" s="38">
        <f>IF(M1018=0,0,O1018/M1018)</f>
        <v/>
      </c>
      <c r="Q1018" s="36">
        <f>YEAR(B1018)</f>
        <v/>
      </c>
      <c r="R1018" s="36">
        <f>"Q"&amp;ROUNDUP(MONTH(B1018)/3,0)</f>
        <v/>
      </c>
      <c r="S1018" s="36">
        <f>MONTH(B1018)</f>
        <v/>
      </c>
      <c r="T1018" s="36">
        <f>TEXT(B1018,"mmm")</f>
        <v/>
      </c>
      <c r="U1018" s="36">
        <f>IF(AND(OR(sel_Region="All",C1018=sel_Region),OR(sel_Country="All",D1018=sel_Country),OR(sel_Channel="All",E1018=sel_Channel),OR(sel_Customer="All",F1018=sel_Customer),OR(sel_Category="All",G1018=sel_Category),OR(sel_Product="All",H1018=sel_Product),AND(S1018&gt;=m_From,S1018&lt;=m_To)),1,0)</f>
        <v/>
      </c>
      <c r="V1018" s="36">
        <f>IF(AND(OR(sel_Region="All",C1018=sel_Region),OR(sel_Channel="All",E1018=sel_Channel),OR(sel_Customer="All",F1018=sel_Customer),OR(sel_Category="All",G1018=sel_Category),OR(sel_Product="All",H1018=sel_Product),AND(S1018&gt;=m_From,S1018&lt;=m_To)),1,0)</f>
        <v/>
      </c>
      <c r="W1018" s="36">
        <f>IF(AND(OR(sel_Region="All",C1018=sel_Region),OR(sel_Country="All",D1018=sel_Country),OR(sel_Customer="All",F1018=sel_Customer),OR(sel_Category="All",G1018=sel_Category),OR(sel_Product="All",H1018=sel_Product),AND(S1018&gt;=m_From,S1018&lt;=m_To)),1,0)</f>
        <v/>
      </c>
      <c r="X1018" s="36">
        <f>IF(AND(OR(sel_Region="All",C1018=sel_Region),OR(sel_Country="All",D1018=sel_Country),OR(sel_Channel="All",E1018=sel_Channel),OR(sel_Category="All",G1018=sel_Category),OR(sel_Product="All",H1018=sel_Product),AND(S1018&gt;=m_From,S1018&lt;=m_To)),1,0)</f>
        <v/>
      </c>
      <c r="Y1018" s="36">
        <f>IF(AND(OR(sel_Region="All",C1018=sel_Region),OR(sel_Country="All",D1018=sel_Country),OR(sel_Channel="All",E1018=sel_Channel),OR(sel_Customer="All",F1018=sel_Customer),OR(sel_Product="All",H1018=sel_Product),AND(S1018&gt;=m_From,S1018&lt;=m_To)),1,0)</f>
        <v/>
      </c>
      <c r="Z1018" s="36">
        <f>IF(AND(OR(sel_Region="All",C1018=sel_Region),OR(sel_Country="All",D1018=sel_Country),OR(sel_Channel="All",E1018=sel_Channel),OR(sel_Customer="All",F1018=sel_Customer),OR(sel_Category="All",G1018=sel_Category),AND(S1018&gt;=m_From,S1018&lt;=m_To)),1,0)</f>
        <v/>
      </c>
      <c r="AA1018" s="36">
        <f>IF(AND(OR(sel_Region="All",C1018=sel_Region),OR(sel_Country="All",D1018=sel_Country),OR(sel_Channel="All",E1018=sel_Channel),OR(sel_Customer="All",F1018=sel_Customer),OR(sel_Category="All",G1018=sel_Category),OR(sel_Product="All",H1018=sel_Product)),1,0)</f>
        <v/>
      </c>
    </row>
    <row r="1019">
      <c r="A1019" s="36" t="inlineStr">
        <is>
          <t>04349</t>
        </is>
      </c>
      <c r="B1019" s="44" t="n">
        <v>46179</v>
      </c>
      <c r="C1019" s="36" t="inlineStr">
        <is>
          <t>Western Europe</t>
        </is>
      </c>
      <c r="D1019" s="36" t="inlineStr">
        <is>
          <t>Netherlands</t>
        </is>
      </c>
      <c r="E1019" s="36" t="inlineStr">
        <is>
          <t>Retail Partners</t>
        </is>
      </c>
      <c r="F1019" s="36" t="inlineStr">
        <is>
          <t>Business</t>
        </is>
      </c>
      <c r="G1019" s="36" t="inlineStr">
        <is>
          <t>Cycling</t>
        </is>
      </c>
      <c r="H1019" s="36" t="inlineStr">
        <is>
          <t>Commuter Helmet</t>
        </is>
      </c>
      <c r="I1019" s="36" t="n">
        <v>1</v>
      </c>
      <c r="J1019" s="39" t="n">
        <v>80.34999999999999</v>
      </c>
      <c r="K1019" s="45" t="n">
        <v>0.15</v>
      </c>
      <c r="L1019" s="39" t="n">
        <v>43.51</v>
      </c>
      <c r="M1019" s="39">
        <f>I1019*J1019*(1-K1019)</f>
        <v/>
      </c>
      <c r="N1019" s="39">
        <f>I1019*L1019</f>
        <v/>
      </c>
      <c r="O1019" s="39">
        <f>M1019-N1019</f>
        <v/>
      </c>
      <c r="P1019" s="38">
        <f>IF(M1019=0,0,O1019/M1019)</f>
        <v/>
      </c>
      <c r="Q1019" s="36">
        <f>YEAR(B1019)</f>
        <v/>
      </c>
      <c r="R1019" s="36">
        <f>"Q"&amp;ROUNDUP(MONTH(B1019)/3,0)</f>
        <v/>
      </c>
      <c r="S1019" s="36">
        <f>MONTH(B1019)</f>
        <v/>
      </c>
      <c r="T1019" s="36">
        <f>TEXT(B1019,"mmm")</f>
        <v/>
      </c>
      <c r="U1019" s="36">
        <f>IF(AND(OR(sel_Region="All",C1019=sel_Region),OR(sel_Country="All",D1019=sel_Country),OR(sel_Channel="All",E1019=sel_Channel),OR(sel_Customer="All",F1019=sel_Customer),OR(sel_Category="All",G1019=sel_Category),OR(sel_Product="All",H1019=sel_Product),AND(S1019&gt;=m_From,S1019&lt;=m_To)),1,0)</f>
        <v/>
      </c>
      <c r="V1019" s="36">
        <f>IF(AND(OR(sel_Region="All",C1019=sel_Region),OR(sel_Channel="All",E1019=sel_Channel),OR(sel_Customer="All",F1019=sel_Customer),OR(sel_Category="All",G1019=sel_Category),OR(sel_Product="All",H1019=sel_Product),AND(S1019&gt;=m_From,S1019&lt;=m_To)),1,0)</f>
        <v/>
      </c>
      <c r="W1019" s="36">
        <f>IF(AND(OR(sel_Region="All",C1019=sel_Region),OR(sel_Country="All",D1019=sel_Country),OR(sel_Customer="All",F1019=sel_Customer),OR(sel_Category="All",G1019=sel_Category),OR(sel_Product="All",H1019=sel_Product),AND(S1019&gt;=m_From,S1019&lt;=m_To)),1,0)</f>
        <v/>
      </c>
      <c r="X1019" s="36">
        <f>IF(AND(OR(sel_Region="All",C1019=sel_Region),OR(sel_Country="All",D1019=sel_Country),OR(sel_Channel="All",E1019=sel_Channel),OR(sel_Category="All",G1019=sel_Category),OR(sel_Product="All",H1019=sel_Product),AND(S1019&gt;=m_From,S1019&lt;=m_To)),1,0)</f>
        <v/>
      </c>
      <c r="Y1019" s="36">
        <f>IF(AND(OR(sel_Region="All",C1019=sel_Region),OR(sel_Country="All",D1019=sel_Country),OR(sel_Channel="All",E1019=sel_Channel),OR(sel_Customer="All",F1019=sel_Customer),OR(sel_Product="All",H1019=sel_Product),AND(S1019&gt;=m_From,S1019&lt;=m_To)),1,0)</f>
        <v/>
      </c>
      <c r="Z1019" s="36">
        <f>IF(AND(OR(sel_Region="All",C1019=sel_Region),OR(sel_Country="All",D1019=sel_Country),OR(sel_Channel="All",E1019=sel_Channel),OR(sel_Customer="All",F1019=sel_Customer),OR(sel_Category="All",G1019=sel_Category),AND(S1019&gt;=m_From,S1019&lt;=m_To)),1,0)</f>
        <v/>
      </c>
      <c r="AA1019" s="36">
        <f>IF(AND(OR(sel_Region="All",C1019=sel_Region),OR(sel_Country="All",D1019=sel_Country),OR(sel_Channel="All",E1019=sel_Channel),OR(sel_Customer="All",F1019=sel_Customer),OR(sel_Category="All",G1019=sel_Category),OR(sel_Product="All",H1019=sel_Product)),1,0)</f>
        <v/>
      </c>
    </row>
    <row r="1020">
      <c r="A1020" s="36" t="inlineStr">
        <is>
          <t>04989</t>
        </is>
      </c>
      <c r="B1020" s="44" t="n">
        <v>46179</v>
      </c>
      <c r="C1020" s="36" t="inlineStr">
        <is>
          <t>Central Europe</t>
        </is>
      </c>
      <c r="D1020" s="36" t="inlineStr">
        <is>
          <t>Czechia</t>
        </is>
      </c>
      <c r="E1020" s="36" t="inlineStr">
        <is>
          <t>Online Store</t>
        </is>
      </c>
      <c r="F1020" s="36" t="inlineStr">
        <is>
          <t>Returning</t>
        </is>
      </c>
      <c r="G1020" s="36" t="inlineStr">
        <is>
          <t>Cycling</t>
        </is>
      </c>
      <c r="H1020" s="36" t="inlineStr">
        <is>
          <t>Compact Repair Kit</t>
        </is>
      </c>
      <c r="I1020" s="36" t="n">
        <v>1</v>
      </c>
      <c r="J1020" s="39" t="n">
        <v>40.86</v>
      </c>
      <c r="K1020" s="45" t="n">
        <v>0.05</v>
      </c>
      <c r="L1020" s="39" t="n">
        <v>16.9</v>
      </c>
      <c r="M1020" s="39">
        <f>I1020*J1020*(1-K1020)</f>
        <v/>
      </c>
      <c r="N1020" s="39">
        <f>I1020*L1020</f>
        <v/>
      </c>
      <c r="O1020" s="39">
        <f>M1020-N1020</f>
        <v/>
      </c>
      <c r="P1020" s="38">
        <f>IF(M1020=0,0,O1020/M1020)</f>
        <v/>
      </c>
      <c r="Q1020" s="36">
        <f>YEAR(B1020)</f>
        <v/>
      </c>
      <c r="R1020" s="36">
        <f>"Q"&amp;ROUNDUP(MONTH(B1020)/3,0)</f>
        <v/>
      </c>
      <c r="S1020" s="36">
        <f>MONTH(B1020)</f>
        <v/>
      </c>
      <c r="T1020" s="36">
        <f>TEXT(B1020,"mmm")</f>
        <v/>
      </c>
      <c r="U1020" s="36">
        <f>IF(AND(OR(sel_Region="All",C1020=sel_Region),OR(sel_Country="All",D1020=sel_Country),OR(sel_Channel="All",E1020=sel_Channel),OR(sel_Customer="All",F1020=sel_Customer),OR(sel_Category="All",G1020=sel_Category),OR(sel_Product="All",H1020=sel_Product),AND(S1020&gt;=m_From,S1020&lt;=m_To)),1,0)</f>
        <v/>
      </c>
      <c r="V1020" s="36">
        <f>IF(AND(OR(sel_Region="All",C1020=sel_Region),OR(sel_Channel="All",E1020=sel_Channel),OR(sel_Customer="All",F1020=sel_Customer),OR(sel_Category="All",G1020=sel_Category),OR(sel_Product="All",H1020=sel_Product),AND(S1020&gt;=m_From,S1020&lt;=m_To)),1,0)</f>
        <v/>
      </c>
      <c r="W1020" s="36">
        <f>IF(AND(OR(sel_Region="All",C1020=sel_Region),OR(sel_Country="All",D1020=sel_Country),OR(sel_Customer="All",F1020=sel_Customer),OR(sel_Category="All",G1020=sel_Category),OR(sel_Product="All",H1020=sel_Product),AND(S1020&gt;=m_From,S1020&lt;=m_To)),1,0)</f>
        <v/>
      </c>
      <c r="X1020" s="36">
        <f>IF(AND(OR(sel_Region="All",C1020=sel_Region),OR(sel_Country="All",D1020=sel_Country),OR(sel_Channel="All",E1020=sel_Channel),OR(sel_Category="All",G1020=sel_Category),OR(sel_Product="All",H1020=sel_Product),AND(S1020&gt;=m_From,S1020&lt;=m_To)),1,0)</f>
        <v/>
      </c>
      <c r="Y1020" s="36">
        <f>IF(AND(OR(sel_Region="All",C1020=sel_Region),OR(sel_Country="All",D1020=sel_Country),OR(sel_Channel="All",E1020=sel_Channel),OR(sel_Customer="All",F1020=sel_Customer),OR(sel_Product="All",H1020=sel_Product),AND(S1020&gt;=m_From,S1020&lt;=m_To)),1,0)</f>
        <v/>
      </c>
      <c r="Z1020" s="36">
        <f>IF(AND(OR(sel_Region="All",C1020=sel_Region),OR(sel_Country="All",D1020=sel_Country),OR(sel_Channel="All",E1020=sel_Channel),OR(sel_Customer="All",F1020=sel_Customer),OR(sel_Category="All",G1020=sel_Category),AND(S1020&gt;=m_From,S1020&lt;=m_To)),1,0)</f>
        <v/>
      </c>
      <c r="AA1020" s="36">
        <f>IF(AND(OR(sel_Region="All",C1020=sel_Region),OR(sel_Country="All",D1020=sel_Country),OR(sel_Channel="All",E1020=sel_Channel),OR(sel_Customer="All",F1020=sel_Customer),OR(sel_Category="All",G1020=sel_Category),OR(sel_Product="All",H1020=sel_Product)),1,0)</f>
        <v/>
      </c>
    </row>
    <row r="1021">
      <c r="A1021" s="36" t="inlineStr">
        <is>
          <t>00713</t>
        </is>
      </c>
      <c r="B1021" s="44" t="n">
        <v>46180</v>
      </c>
      <c r="C1021" s="36" t="inlineStr">
        <is>
          <t>Central Europe</t>
        </is>
      </c>
      <c r="D1021" s="36" t="inlineStr">
        <is>
          <t>Austria</t>
        </is>
      </c>
      <c r="E1021" s="36" t="inlineStr">
        <is>
          <t>Retail Partners</t>
        </is>
      </c>
      <c r="F1021" s="36" t="inlineStr">
        <is>
          <t>Returning</t>
        </is>
      </c>
      <c r="G1021" s="36" t="inlineStr">
        <is>
          <t>Travel</t>
        </is>
      </c>
      <c r="H1021" s="36" t="inlineStr">
        <is>
          <t>Insulated Bottle</t>
        </is>
      </c>
      <c r="I1021" s="36" t="n">
        <v>4</v>
      </c>
      <c r="J1021" s="39" t="n">
        <v>36.3</v>
      </c>
      <c r="K1021" s="45" t="n">
        <v>0.05</v>
      </c>
      <c r="L1021" s="39" t="n">
        <v>13.16</v>
      </c>
      <c r="M1021" s="39">
        <f>I1021*J1021*(1-K1021)</f>
        <v/>
      </c>
      <c r="N1021" s="39">
        <f>I1021*L1021</f>
        <v/>
      </c>
      <c r="O1021" s="39">
        <f>M1021-N1021</f>
        <v/>
      </c>
      <c r="P1021" s="38">
        <f>IF(M1021=0,0,O1021/M1021)</f>
        <v/>
      </c>
      <c r="Q1021" s="36">
        <f>YEAR(B1021)</f>
        <v/>
      </c>
      <c r="R1021" s="36">
        <f>"Q"&amp;ROUNDUP(MONTH(B1021)/3,0)</f>
        <v/>
      </c>
      <c r="S1021" s="36">
        <f>MONTH(B1021)</f>
        <v/>
      </c>
      <c r="T1021" s="36">
        <f>TEXT(B1021,"mmm")</f>
        <v/>
      </c>
      <c r="U1021" s="36">
        <f>IF(AND(OR(sel_Region="All",C1021=sel_Region),OR(sel_Country="All",D1021=sel_Country),OR(sel_Channel="All",E1021=sel_Channel),OR(sel_Customer="All",F1021=sel_Customer),OR(sel_Category="All",G1021=sel_Category),OR(sel_Product="All",H1021=sel_Product),AND(S1021&gt;=m_From,S1021&lt;=m_To)),1,0)</f>
        <v/>
      </c>
      <c r="V1021" s="36">
        <f>IF(AND(OR(sel_Region="All",C1021=sel_Region),OR(sel_Channel="All",E1021=sel_Channel),OR(sel_Customer="All",F1021=sel_Customer),OR(sel_Category="All",G1021=sel_Category),OR(sel_Product="All",H1021=sel_Product),AND(S1021&gt;=m_From,S1021&lt;=m_To)),1,0)</f>
        <v/>
      </c>
      <c r="W1021" s="36">
        <f>IF(AND(OR(sel_Region="All",C1021=sel_Region),OR(sel_Country="All",D1021=sel_Country),OR(sel_Customer="All",F1021=sel_Customer),OR(sel_Category="All",G1021=sel_Category),OR(sel_Product="All",H1021=sel_Product),AND(S1021&gt;=m_From,S1021&lt;=m_To)),1,0)</f>
        <v/>
      </c>
      <c r="X1021" s="36">
        <f>IF(AND(OR(sel_Region="All",C1021=sel_Region),OR(sel_Country="All",D1021=sel_Country),OR(sel_Channel="All",E1021=sel_Channel),OR(sel_Category="All",G1021=sel_Category),OR(sel_Product="All",H1021=sel_Product),AND(S1021&gt;=m_From,S1021&lt;=m_To)),1,0)</f>
        <v/>
      </c>
      <c r="Y1021" s="36">
        <f>IF(AND(OR(sel_Region="All",C1021=sel_Region),OR(sel_Country="All",D1021=sel_Country),OR(sel_Channel="All",E1021=sel_Channel),OR(sel_Customer="All",F1021=sel_Customer),OR(sel_Product="All",H1021=sel_Product),AND(S1021&gt;=m_From,S1021&lt;=m_To)),1,0)</f>
        <v/>
      </c>
      <c r="Z1021" s="36">
        <f>IF(AND(OR(sel_Region="All",C1021=sel_Region),OR(sel_Country="All",D1021=sel_Country),OR(sel_Channel="All",E1021=sel_Channel),OR(sel_Customer="All",F1021=sel_Customer),OR(sel_Category="All",G1021=sel_Category),AND(S1021&gt;=m_From,S1021&lt;=m_To)),1,0)</f>
        <v/>
      </c>
      <c r="AA1021" s="36">
        <f>IF(AND(OR(sel_Region="All",C1021=sel_Region),OR(sel_Country="All",D1021=sel_Country),OR(sel_Channel="All",E1021=sel_Channel),OR(sel_Customer="All",F1021=sel_Customer),OR(sel_Category="All",G1021=sel_Category),OR(sel_Product="All",H1021=sel_Product)),1,0)</f>
        <v/>
      </c>
    </row>
    <row r="1022">
      <c r="A1022" s="36" t="inlineStr">
        <is>
          <t>03355</t>
        </is>
      </c>
      <c r="B1022" s="44" t="n">
        <v>46180</v>
      </c>
      <c r="C1022" s="36" t="inlineStr">
        <is>
          <t>Southern Europe</t>
        </is>
      </c>
      <c r="D1022" s="36" t="inlineStr">
        <is>
          <t>Italy</t>
        </is>
      </c>
      <c r="E1022" s="36" t="inlineStr">
        <is>
          <t>Corporate</t>
        </is>
      </c>
      <c r="F1022" s="36" t="inlineStr">
        <is>
          <t>New</t>
        </is>
      </c>
      <c r="G1022" s="36" t="inlineStr">
        <is>
          <t>Camping</t>
        </is>
      </c>
      <c r="H1022" s="36" t="inlineStr">
        <is>
          <t>Alpine Tent 4P</t>
        </is>
      </c>
      <c r="I1022" s="36" t="n">
        <v>10</v>
      </c>
      <c r="J1022" s="39" t="n">
        <v>338.26</v>
      </c>
      <c r="K1022" s="45" t="n">
        <v>0.05</v>
      </c>
      <c r="L1022" s="39" t="n">
        <v>197.42</v>
      </c>
      <c r="M1022" s="39">
        <f>I1022*J1022*(1-K1022)</f>
        <v/>
      </c>
      <c r="N1022" s="39">
        <f>I1022*L1022</f>
        <v/>
      </c>
      <c r="O1022" s="39">
        <f>M1022-N1022</f>
        <v/>
      </c>
      <c r="P1022" s="38">
        <f>IF(M1022=0,0,O1022/M1022)</f>
        <v/>
      </c>
      <c r="Q1022" s="36">
        <f>YEAR(B1022)</f>
        <v/>
      </c>
      <c r="R1022" s="36">
        <f>"Q"&amp;ROUNDUP(MONTH(B1022)/3,0)</f>
        <v/>
      </c>
      <c r="S1022" s="36">
        <f>MONTH(B1022)</f>
        <v/>
      </c>
      <c r="T1022" s="36">
        <f>TEXT(B1022,"mmm")</f>
        <v/>
      </c>
      <c r="U1022" s="36">
        <f>IF(AND(OR(sel_Region="All",C1022=sel_Region),OR(sel_Country="All",D1022=sel_Country),OR(sel_Channel="All",E1022=sel_Channel),OR(sel_Customer="All",F1022=sel_Customer),OR(sel_Category="All",G1022=sel_Category),OR(sel_Product="All",H1022=sel_Product),AND(S1022&gt;=m_From,S1022&lt;=m_To)),1,0)</f>
        <v/>
      </c>
      <c r="V1022" s="36">
        <f>IF(AND(OR(sel_Region="All",C1022=sel_Region),OR(sel_Channel="All",E1022=sel_Channel),OR(sel_Customer="All",F1022=sel_Customer),OR(sel_Category="All",G1022=sel_Category),OR(sel_Product="All",H1022=sel_Product),AND(S1022&gt;=m_From,S1022&lt;=m_To)),1,0)</f>
        <v/>
      </c>
      <c r="W1022" s="36">
        <f>IF(AND(OR(sel_Region="All",C1022=sel_Region),OR(sel_Country="All",D1022=sel_Country),OR(sel_Customer="All",F1022=sel_Customer),OR(sel_Category="All",G1022=sel_Category),OR(sel_Product="All",H1022=sel_Product),AND(S1022&gt;=m_From,S1022&lt;=m_To)),1,0)</f>
        <v/>
      </c>
      <c r="X1022" s="36">
        <f>IF(AND(OR(sel_Region="All",C1022=sel_Region),OR(sel_Country="All",D1022=sel_Country),OR(sel_Channel="All",E1022=sel_Channel),OR(sel_Category="All",G1022=sel_Category),OR(sel_Product="All",H1022=sel_Product),AND(S1022&gt;=m_From,S1022&lt;=m_To)),1,0)</f>
        <v/>
      </c>
      <c r="Y1022" s="36">
        <f>IF(AND(OR(sel_Region="All",C1022=sel_Region),OR(sel_Country="All",D1022=sel_Country),OR(sel_Channel="All",E1022=sel_Channel),OR(sel_Customer="All",F1022=sel_Customer),OR(sel_Product="All",H1022=sel_Product),AND(S1022&gt;=m_From,S1022&lt;=m_To)),1,0)</f>
        <v/>
      </c>
      <c r="Z1022" s="36">
        <f>IF(AND(OR(sel_Region="All",C1022=sel_Region),OR(sel_Country="All",D1022=sel_Country),OR(sel_Channel="All",E1022=sel_Channel),OR(sel_Customer="All",F1022=sel_Customer),OR(sel_Category="All",G1022=sel_Category),AND(S1022&gt;=m_From,S1022&lt;=m_To)),1,0)</f>
        <v/>
      </c>
      <c r="AA1022" s="36">
        <f>IF(AND(OR(sel_Region="All",C1022=sel_Region),OR(sel_Country="All",D1022=sel_Country),OR(sel_Channel="All",E1022=sel_Channel),OR(sel_Customer="All",F1022=sel_Customer),OR(sel_Category="All",G1022=sel_Category),OR(sel_Product="All",H1022=sel_Product)),1,0)</f>
        <v/>
      </c>
    </row>
    <row r="1023">
      <c r="A1023" s="36" t="inlineStr">
        <is>
          <t>03879</t>
        </is>
      </c>
      <c r="B1023" s="44" t="n">
        <v>46180</v>
      </c>
      <c r="C1023" s="36" t="inlineStr">
        <is>
          <t>Southern Europe</t>
        </is>
      </c>
      <c r="D1023" s="36" t="inlineStr">
        <is>
          <t>Portugal</t>
        </is>
      </c>
      <c r="E1023" s="36" t="inlineStr">
        <is>
          <t>Marketplace</t>
        </is>
      </c>
      <c r="F1023" s="36" t="inlineStr">
        <is>
          <t>Returning</t>
        </is>
      </c>
      <c r="G1023" s="36" t="inlineStr">
        <is>
          <t>Cycling</t>
        </is>
      </c>
      <c r="H1023" s="36" t="inlineStr">
        <is>
          <t>Compact Repair Kit</t>
        </is>
      </c>
      <c r="I1023" s="36" t="n">
        <v>2</v>
      </c>
      <c r="J1023" s="39" t="n">
        <v>41.25</v>
      </c>
      <c r="K1023" s="45" t="n">
        <v>0</v>
      </c>
      <c r="L1023" s="39" t="n">
        <v>17.13</v>
      </c>
      <c r="M1023" s="39">
        <f>I1023*J1023*(1-K1023)</f>
        <v/>
      </c>
      <c r="N1023" s="39">
        <f>I1023*L1023</f>
        <v/>
      </c>
      <c r="O1023" s="39">
        <f>M1023-N1023</f>
        <v/>
      </c>
      <c r="P1023" s="38">
        <f>IF(M1023=0,0,O1023/M1023)</f>
        <v/>
      </c>
      <c r="Q1023" s="36">
        <f>YEAR(B1023)</f>
        <v/>
      </c>
      <c r="R1023" s="36">
        <f>"Q"&amp;ROUNDUP(MONTH(B1023)/3,0)</f>
        <v/>
      </c>
      <c r="S1023" s="36">
        <f>MONTH(B1023)</f>
        <v/>
      </c>
      <c r="T1023" s="36">
        <f>TEXT(B1023,"mmm")</f>
        <v/>
      </c>
      <c r="U1023" s="36">
        <f>IF(AND(OR(sel_Region="All",C1023=sel_Region),OR(sel_Country="All",D1023=sel_Country),OR(sel_Channel="All",E1023=sel_Channel),OR(sel_Customer="All",F1023=sel_Customer),OR(sel_Category="All",G1023=sel_Category),OR(sel_Product="All",H1023=sel_Product),AND(S1023&gt;=m_From,S1023&lt;=m_To)),1,0)</f>
        <v/>
      </c>
      <c r="V1023" s="36">
        <f>IF(AND(OR(sel_Region="All",C1023=sel_Region),OR(sel_Channel="All",E1023=sel_Channel),OR(sel_Customer="All",F1023=sel_Customer),OR(sel_Category="All",G1023=sel_Category),OR(sel_Product="All",H1023=sel_Product),AND(S1023&gt;=m_From,S1023&lt;=m_To)),1,0)</f>
        <v/>
      </c>
      <c r="W1023" s="36">
        <f>IF(AND(OR(sel_Region="All",C1023=sel_Region),OR(sel_Country="All",D1023=sel_Country),OR(sel_Customer="All",F1023=sel_Customer),OR(sel_Category="All",G1023=sel_Category),OR(sel_Product="All",H1023=sel_Product),AND(S1023&gt;=m_From,S1023&lt;=m_To)),1,0)</f>
        <v/>
      </c>
      <c r="X1023" s="36">
        <f>IF(AND(OR(sel_Region="All",C1023=sel_Region),OR(sel_Country="All",D1023=sel_Country),OR(sel_Channel="All",E1023=sel_Channel),OR(sel_Category="All",G1023=sel_Category),OR(sel_Product="All",H1023=sel_Product),AND(S1023&gt;=m_From,S1023&lt;=m_To)),1,0)</f>
        <v/>
      </c>
      <c r="Y1023" s="36">
        <f>IF(AND(OR(sel_Region="All",C1023=sel_Region),OR(sel_Country="All",D1023=sel_Country),OR(sel_Channel="All",E1023=sel_Channel),OR(sel_Customer="All",F1023=sel_Customer),OR(sel_Product="All",H1023=sel_Product),AND(S1023&gt;=m_From,S1023&lt;=m_To)),1,0)</f>
        <v/>
      </c>
      <c r="Z1023" s="36">
        <f>IF(AND(OR(sel_Region="All",C1023=sel_Region),OR(sel_Country="All",D1023=sel_Country),OR(sel_Channel="All",E1023=sel_Channel),OR(sel_Customer="All",F1023=sel_Customer),OR(sel_Category="All",G1023=sel_Category),AND(S1023&gt;=m_From,S1023&lt;=m_To)),1,0)</f>
        <v/>
      </c>
      <c r="AA1023" s="36">
        <f>IF(AND(OR(sel_Region="All",C1023=sel_Region),OR(sel_Country="All",D1023=sel_Country),OR(sel_Channel="All",E1023=sel_Channel),OR(sel_Customer="All",F1023=sel_Customer),OR(sel_Category="All",G1023=sel_Category),OR(sel_Product="All",H1023=sel_Product)),1,0)</f>
        <v/>
      </c>
    </row>
    <row r="1024">
      <c r="A1024" s="36" t="inlineStr">
        <is>
          <t>03989</t>
        </is>
      </c>
      <c r="B1024" s="44" t="n">
        <v>46180</v>
      </c>
      <c r="C1024" s="36" t="inlineStr">
        <is>
          <t>Central Europe</t>
        </is>
      </c>
      <c r="D1024" s="36" t="inlineStr">
        <is>
          <t>Germany</t>
        </is>
      </c>
      <c r="E1024" s="36" t="inlineStr">
        <is>
          <t>Online Store</t>
        </is>
      </c>
      <c r="F1024" s="36" t="inlineStr">
        <is>
          <t>Returning</t>
        </is>
      </c>
      <c r="G1024" s="36" t="inlineStr">
        <is>
          <t>Hiking</t>
        </is>
      </c>
      <c r="H1024" s="36" t="inlineStr">
        <is>
          <t>Hiking Daypack 20L</t>
        </is>
      </c>
      <c r="I1024" s="36" t="n">
        <v>2</v>
      </c>
      <c r="J1024" s="39" t="n">
        <v>92</v>
      </c>
      <c r="K1024" s="45" t="n">
        <v>0</v>
      </c>
      <c r="L1024" s="39" t="n">
        <v>44.27</v>
      </c>
      <c r="M1024" s="39">
        <f>I1024*J1024*(1-K1024)</f>
        <v/>
      </c>
      <c r="N1024" s="39">
        <f>I1024*L1024</f>
        <v/>
      </c>
      <c r="O1024" s="39">
        <f>M1024-N1024</f>
        <v/>
      </c>
      <c r="P1024" s="38">
        <f>IF(M1024=0,0,O1024/M1024)</f>
        <v/>
      </c>
      <c r="Q1024" s="36">
        <f>YEAR(B1024)</f>
        <v/>
      </c>
      <c r="R1024" s="36">
        <f>"Q"&amp;ROUNDUP(MONTH(B1024)/3,0)</f>
        <v/>
      </c>
      <c r="S1024" s="36">
        <f>MONTH(B1024)</f>
        <v/>
      </c>
      <c r="T1024" s="36">
        <f>TEXT(B1024,"mmm")</f>
        <v/>
      </c>
      <c r="U1024" s="36">
        <f>IF(AND(OR(sel_Region="All",C1024=sel_Region),OR(sel_Country="All",D1024=sel_Country),OR(sel_Channel="All",E1024=sel_Channel),OR(sel_Customer="All",F1024=sel_Customer),OR(sel_Category="All",G1024=sel_Category),OR(sel_Product="All",H1024=sel_Product),AND(S1024&gt;=m_From,S1024&lt;=m_To)),1,0)</f>
        <v/>
      </c>
      <c r="V1024" s="36">
        <f>IF(AND(OR(sel_Region="All",C1024=sel_Region),OR(sel_Channel="All",E1024=sel_Channel),OR(sel_Customer="All",F1024=sel_Customer),OR(sel_Category="All",G1024=sel_Category),OR(sel_Product="All",H1024=sel_Product),AND(S1024&gt;=m_From,S1024&lt;=m_To)),1,0)</f>
        <v/>
      </c>
      <c r="W1024" s="36">
        <f>IF(AND(OR(sel_Region="All",C1024=sel_Region),OR(sel_Country="All",D1024=sel_Country),OR(sel_Customer="All",F1024=sel_Customer),OR(sel_Category="All",G1024=sel_Category),OR(sel_Product="All",H1024=sel_Product),AND(S1024&gt;=m_From,S1024&lt;=m_To)),1,0)</f>
        <v/>
      </c>
      <c r="X1024" s="36">
        <f>IF(AND(OR(sel_Region="All",C1024=sel_Region),OR(sel_Country="All",D1024=sel_Country),OR(sel_Channel="All",E1024=sel_Channel),OR(sel_Category="All",G1024=sel_Category),OR(sel_Product="All",H1024=sel_Product),AND(S1024&gt;=m_From,S1024&lt;=m_To)),1,0)</f>
        <v/>
      </c>
      <c r="Y1024" s="36">
        <f>IF(AND(OR(sel_Region="All",C1024=sel_Region),OR(sel_Country="All",D1024=sel_Country),OR(sel_Channel="All",E1024=sel_Channel),OR(sel_Customer="All",F1024=sel_Customer),OR(sel_Product="All",H1024=sel_Product),AND(S1024&gt;=m_From,S1024&lt;=m_To)),1,0)</f>
        <v/>
      </c>
      <c r="Z1024" s="36">
        <f>IF(AND(OR(sel_Region="All",C1024=sel_Region),OR(sel_Country="All",D1024=sel_Country),OR(sel_Channel="All",E1024=sel_Channel),OR(sel_Customer="All",F1024=sel_Customer),OR(sel_Category="All",G1024=sel_Category),AND(S1024&gt;=m_From,S1024&lt;=m_To)),1,0)</f>
        <v/>
      </c>
      <c r="AA1024" s="36">
        <f>IF(AND(OR(sel_Region="All",C1024=sel_Region),OR(sel_Country="All",D1024=sel_Country),OR(sel_Channel="All",E1024=sel_Channel),OR(sel_Customer="All",F1024=sel_Customer),OR(sel_Category="All",G1024=sel_Category),OR(sel_Product="All",H1024=sel_Product)),1,0)</f>
        <v/>
      </c>
    </row>
    <row r="1025">
      <c r="A1025" s="36" t="inlineStr">
        <is>
          <t>04193</t>
        </is>
      </c>
      <c r="B1025" s="44" t="n">
        <v>46180</v>
      </c>
      <c r="C1025" s="36" t="inlineStr">
        <is>
          <t>Central Europe</t>
        </is>
      </c>
      <c r="D1025" s="36" t="inlineStr">
        <is>
          <t>Austria</t>
        </is>
      </c>
      <c r="E1025" s="36" t="inlineStr">
        <is>
          <t>Online Store</t>
        </is>
      </c>
      <c r="F1025" s="36" t="inlineStr">
        <is>
          <t>New</t>
        </is>
      </c>
      <c r="G1025" s="36" t="inlineStr">
        <is>
          <t>Camping</t>
        </is>
      </c>
      <c r="H1025" s="36" t="inlineStr">
        <is>
          <t>Portable Camp Stove</t>
        </is>
      </c>
      <c r="I1025" s="36" t="n">
        <v>1</v>
      </c>
      <c r="J1025" s="39" t="n">
        <v>80.89</v>
      </c>
      <c r="K1025" s="45" t="n">
        <v>0.1</v>
      </c>
      <c r="L1025" s="39" t="n">
        <v>40.32</v>
      </c>
      <c r="M1025" s="39">
        <f>I1025*J1025*(1-K1025)</f>
        <v/>
      </c>
      <c r="N1025" s="39">
        <f>I1025*L1025</f>
        <v/>
      </c>
      <c r="O1025" s="39">
        <f>M1025-N1025</f>
        <v/>
      </c>
      <c r="P1025" s="38">
        <f>IF(M1025=0,0,O1025/M1025)</f>
        <v/>
      </c>
      <c r="Q1025" s="36">
        <f>YEAR(B1025)</f>
        <v/>
      </c>
      <c r="R1025" s="36">
        <f>"Q"&amp;ROUNDUP(MONTH(B1025)/3,0)</f>
        <v/>
      </c>
      <c r="S1025" s="36">
        <f>MONTH(B1025)</f>
        <v/>
      </c>
      <c r="T1025" s="36">
        <f>TEXT(B1025,"mmm")</f>
        <v/>
      </c>
      <c r="U1025" s="36">
        <f>IF(AND(OR(sel_Region="All",C1025=sel_Region),OR(sel_Country="All",D1025=sel_Country),OR(sel_Channel="All",E1025=sel_Channel),OR(sel_Customer="All",F1025=sel_Customer),OR(sel_Category="All",G1025=sel_Category),OR(sel_Product="All",H1025=sel_Product),AND(S1025&gt;=m_From,S1025&lt;=m_To)),1,0)</f>
        <v/>
      </c>
      <c r="V1025" s="36">
        <f>IF(AND(OR(sel_Region="All",C1025=sel_Region),OR(sel_Channel="All",E1025=sel_Channel),OR(sel_Customer="All",F1025=sel_Customer),OR(sel_Category="All",G1025=sel_Category),OR(sel_Product="All",H1025=sel_Product),AND(S1025&gt;=m_From,S1025&lt;=m_To)),1,0)</f>
        <v/>
      </c>
      <c r="W1025" s="36">
        <f>IF(AND(OR(sel_Region="All",C1025=sel_Region),OR(sel_Country="All",D1025=sel_Country),OR(sel_Customer="All",F1025=sel_Customer),OR(sel_Category="All",G1025=sel_Category),OR(sel_Product="All",H1025=sel_Product),AND(S1025&gt;=m_From,S1025&lt;=m_To)),1,0)</f>
        <v/>
      </c>
      <c r="X1025" s="36">
        <f>IF(AND(OR(sel_Region="All",C1025=sel_Region),OR(sel_Country="All",D1025=sel_Country),OR(sel_Channel="All",E1025=sel_Channel),OR(sel_Category="All",G1025=sel_Category),OR(sel_Product="All",H1025=sel_Product),AND(S1025&gt;=m_From,S1025&lt;=m_To)),1,0)</f>
        <v/>
      </c>
      <c r="Y1025" s="36">
        <f>IF(AND(OR(sel_Region="All",C1025=sel_Region),OR(sel_Country="All",D1025=sel_Country),OR(sel_Channel="All",E1025=sel_Channel),OR(sel_Customer="All",F1025=sel_Customer),OR(sel_Product="All",H1025=sel_Product),AND(S1025&gt;=m_From,S1025&lt;=m_To)),1,0)</f>
        <v/>
      </c>
      <c r="Z1025" s="36">
        <f>IF(AND(OR(sel_Region="All",C1025=sel_Region),OR(sel_Country="All",D1025=sel_Country),OR(sel_Channel="All",E1025=sel_Channel),OR(sel_Customer="All",F1025=sel_Customer),OR(sel_Category="All",G1025=sel_Category),AND(S1025&gt;=m_From,S1025&lt;=m_To)),1,0)</f>
        <v/>
      </c>
      <c r="AA1025" s="36">
        <f>IF(AND(OR(sel_Region="All",C1025=sel_Region),OR(sel_Country="All",D1025=sel_Country),OR(sel_Channel="All",E1025=sel_Channel),OR(sel_Customer="All",F1025=sel_Customer),OR(sel_Category="All",G1025=sel_Category),OR(sel_Product="All",H1025=sel_Product)),1,0)</f>
        <v/>
      </c>
    </row>
    <row r="1026">
      <c r="A1026" s="36" t="inlineStr">
        <is>
          <t>04413</t>
        </is>
      </c>
      <c r="B1026" s="44" t="n">
        <v>46180</v>
      </c>
      <c r="C1026" s="36" t="inlineStr">
        <is>
          <t>Southern Europe</t>
        </is>
      </c>
      <c r="D1026" s="36" t="inlineStr">
        <is>
          <t>Spain</t>
        </is>
      </c>
      <c r="E1026" s="36" t="inlineStr">
        <is>
          <t>Retail Partners</t>
        </is>
      </c>
      <c r="F1026" s="36" t="inlineStr">
        <is>
          <t>New</t>
        </is>
      </c>
      <c r="G1026" s="36" t="inlineStr">
        <is>
          <t>Camping</t>
        </is>
      </c>
      <c r="H1026" s="36" t="inlineStr">
        <is>
          <t>Trail Tent 2P</t>
        </is>
      </c>
      <c r="I1026" s="36" t="n">
        <v>1</v>
      </c>
      <c r="J1026" s="39" t="n">
        <v>194.73</v>
      </c>
      <c r="K1026" s="45" t="n">
        <v>0</v>
      </c>
      <c r="L1026" s="39" t="n">
        <v>101.91</v>
      </c>
      <c r="M1026" s="39">
        <f>I1026*J1026*(1-K1026)</f>
        <v/>
      </c>
      <c r="N1026" s="39">
        <f>I1026*L1026</f>
        <v/>
      </c>
      <c r="O1026" s="39">
        <f>M1026-N1026</f>
        <v/>
      </c>
      <c r="P1026" s="38">
        <f>IF(M1026=0,0,O1026/M1026)</f>
        <v/>
      </c>
      <c r="Q1026" s="36">
        <f>YEAR(B1026)</f>
        <v/>
      </c>
      <c r="R1026" s="36">
        <f>"Q"&amp;ROUNDUP(MONTH(B1026)/3,0)</f>
        <v/>
      </c>
      <c r="S1026" s="36">
        <f>MONTH(B1026)</f>
        <v/>
      </c>
      <c r="T1026" s="36">
        <f>TEXT(B1026,"mmm")</f>
        <v/>
      </c>
      <c r="U1026" s="36">
        <f>IF(AND(OR(sel_Region="All",C1026=sel_Region),OR(sel_Country="All",D1026=sel_Country),OR(sel_Channel="All",E1026=sel_Channel),OR(sel_Customer="All",F1026=sel_Customer),OR(sel_Category="All",G1026=sel_Category),OR(sel_Product="All",H1026=sel_Product),AND(S1026&gt;=m_From,S1026&lt;=m_To)),1,0)</f>
        <v/>
      </c>
      <c r="V1026" s="36">
        <f>IF(AND(OR(sel_Region="All",C1026=sel_Region),OR(sel_Channel="All",E1026=sel_Channel),OR(sel_Customer="All",F1026=sel_Customer),OR(sel_Category="All",G1026=sel_Category),OR(sel_Product="All",H1026=sel_Product),AND(S1026&gt;=m_From,S1026&lt;=m_To)),1,0)</f>
        <v/>
      </c>
      <c r="W1026" s="36">
        <f>IF(AND(OR(sel_Region="All",C1026=sel_Region),OR(sel_Country="All",D1026=sel_Country),OR(sel_Customer="All",F1026=sel_Customer),OR(sel_Category="All",G1026=sel_Category),OR(sel_Product="All",H1026=sel_Product),AND(S1026&gt;=m_From,S1026&lt;=m_To)),1,0)</f>
        <v/>
      </c>
      <c r="X1026" s="36">
        <f>IF(AND(OR(sel_Region="All",C1026=sel_Region),OR(sel_Country="All",D1026=sel_Country),OR(sel_Channel="All",E1026=sel_Channel),OR(sel_Category="All",G1026=sel_Category),OR(sel_Product="All",H1026=sel_Product),AND(S1026&gt;=m_From,S1026&lt;=m_To)),1,0)</f>
        <v/>
      </c>
      <c r="Y1026" s="36">
        <f>IF(AND(OR(sel_Region="All",C1026=sel_Region),OR(sel_Country="All",D1026=sel_Country),OR(sel_Channel="All",E1026=sel_Channel),OR(sel_Customer="All",F1026=sel_Customer),OR(sel_Product="All",H1026=sel_Product),AND(S1026&gt;=m_From,S1026&lt;=m_To)),1,0)</f>
        <v/>
      </c>
      <c r="Z1026" s="36">
        <f>IF(AND(OR(sel_Region="All",C1026=sel_Region),OR(sel_Country="All",D1026=sel_Country),OR(sel_Channel="All",E1026=sel_Channel),OR(sel_Customer="All",F1026=sel_Customer),OR(sel_Category="All",G1026=sel_Category),AND(S1026&gt;=m_From,S1026&lt;=m_To)),1,0)</f>
        <v/>
      </c>
      <c r="AA1026" s="36">
        <f>IF(AND(OR(sel_Region="All",C1026=sel_Region),OR(sel_Country="All",D1026=sel_Country),OR(sel_Channel="All",E1026=sel_Channel),OR(sel_Customer="All",F1026=sel_Customer),OR(sel_Category="All",G1026=sel_Category),OR(sel_Product="All",H1026=sel_Product)),1,0)</f>
        <v/>
      </c>
    </row>
    <row r="1027">
      <c r="A1027" s="36" t="inlineStr">
        <is>
          <t>04598</t>
        </is>
      </c>
      <c r="B1027" s="44" t="n">
        <v>46180</v>
      </c>
      <c r="C1027" s="36" t="inlineStr">
        <is>
          <t>Western Europe</t>
        </is>
      </c>
      <c r="D1027" s="36" t="inlineStr">
        <is>
          <t>Belgium</t>
        </is>
      </c>
      <c r="E1027" s="36" t="inlineStr">
        <is>
          <t>Corporate</t>
        </is>
      </c>
      <c r="F1027" s="36" t="inlineStr">
        <is>
          <t>Business</t>
        </is>
      </c>
      <c r="G1027" s="36" t="inlineStr">
        <is>
          <t>Hiking</t>
        </is>
      </c>
      <c r="H1027" s="36" t="inlineStr">
        <is>
          <t>Hiking Daypack 20L</t>
        </is>
      </c>
      <c r="I1027" s="36" t="n">
        <v>5</v>
      </c>
      <c r="J1027" s="39" t="n">
        <v>93.81999999999999</v>
      </c>
      <c r="K1027" s="45" t="n">
        <v>0.15</v>
      </c>
      <c r="L1027" s="39" t="n">
        <v>46.06</v>
      </c>
      <c r="M1027" s="39">
        <f>I1027*J1027*(1-K1027)</f>
        <v/>
      </c>
      <c r="N1027" s="39">
        <f>I1027*L1027</f>
        <v/>
      </c>
      <c r="O1027" s="39">
        <f>M1027-N1027</f>
        <v/>
      </c>
      <c r="P1027" s="38">
        <f>IF(M1027=0,0,O1027/M1027)</f>
        <v/>
      </c>
      <c r="Q1027" s="36">
        <f>YEAR(B1027)</f>
        <v/>
      </c>
      <c r="R1027" s="36">
        <f>"Q"&amp;ROUNDUP(MONTH(B1027)/3,0)</f>
        <v/>
      </c>
      <c r="S1027" s="36">
        <f>MONTH(B1027)</f>
        <v/>
      </c>
      <c r="T1027" s="36">
        <f>TEXT(B1027,"mmm")</f>
        <v/>
      </c>
      <c r="U1027" s="36">
        <f>IF(AND(OR(sel_Region="All",C1027=sel_Region),OR(sel_Country="All",D1027=sel_Country),OR(sel_Channel="All",E1027=sel_Channel),OR(sel_Customer="All",F1027=sel_Customer),OR(sel_Category="All",G1027=sel_Category),OR(sel_Product="All",H1027=sel_Product),AND(S1027&gt;=m_From,S1027&lt;=m_To)),1,0)</f>
        <v/>
      </c>
      <c r="V1027" s="36">
        <f>IF(AND(OR(sel_Region="All",C1027=sel_Region),OR(sel_Channel="All",E1027=sel_Channel),OR(sel_Customer="All",F1027=sel_Customer),OR(sel_Category="All",G1027=sel_Category),OR(sel_Product="All",H1027=sel_Product),AND(S1027&gt;=m_From,S1027&lt;=m_To)),1,0)</f>
        <v/>
      </c>
      <c r="W1027" s="36">
        <f>IF(AND(OR(sel_Region="All",C1027=sel_Region),OR(sel_Country="All",D1027=sel_Country),OR(sel_Customer="All",F1027=sel_Customer),OR(sel_Category="All",G1027=sel_Category),OR(sel_Product="All",H1027=sel_Product),AND(S1027&gt;=m_From,S1027&lt;=m_To)),1,0)</f>
        <v/>
      </c>
      <c r="X1027" s="36">
        <f>IF(AND(OR(sel_Region="All",C1027=sel_Region),OR(sel_Country="All",D1027=sel_Country),OR(sel_Channel="All",E1027=sel_Channel),OR(sel_Category="All",G1027=sel_Category),OR(sel_Product="All",H1027=sel_Product),AND(S1027&gt;=m_From,S1027&lt;=m_To)),1,0)</f>
        <v/>
      </c>
      <c r="Y1027" s="36">
        <f>IF(AND(OR(sel_Region="All",C1027=sel_Region),OR(sel_Country="All",D1027=sel_Country),OR(sel_Channel="All",E1027=sel_Channel),OR(sel_Customer="All",F1027=sel_Customer),OR(sel_Product="All",H1027=sel_Product),AND(S1027&gt;=m_From,S1027&lt;=m_To)),1,0)</f>
        <v/>
      </c>
      <c r="Z1027" s="36">
        <f>IF(AND(OR(sel_Region="All",C1027=sel_Region),OR(sel_Country="All",D1027=sel_Country),OR(sel_Channel="All",E1027=sel_Channel),OR(sel_Customer="All",F1027=sel_Customer),OR(sel_Category="All",G1027=sel_Category),AND(S1027&gt;=m_From,S1027&lt;=m_To)),1,0)</f>
        <v/>
      </c>
      <c r="AA1027" s="36">
        <f>IF(AND(OR(sel_Region="All",C1027=sel_Region),OR(sel_Country="All",D1027=sel_Country),OR(sel_Channel="All",E1027=sel_Channel),OR(sel_Customer="All",F1027=sel_Customer),OR(sel_Category="All",G1027=sel_Category),OR(sel_Product="All",H1027=sel_Product)),1,0)</f>
        <v/>
      </c>
    </row>
    <row r="1028">
      <c r="A1028" s="36" t="inlineStr">
        <is>
          <t>00072</t>
        </is>
      </c>
      <c r="B1028" s="44" t="n">
        <v>46181</v>
      </c>
      <c r="C1028" s="36" t="inlineStr">
        <is>
          <t>Northern Europe</t>
        </is>
      </c>
      <c r="D1028" s="36" t="inlineStr">
        <is>
          <t>Finland</t>
        </is>
      </c>
      <c r="E1028" s="36" t="inlineStr">
        <is>
          <t>Retail Partners</t>
        </is>
      </c>
      <c r="F1028" s="36" t="inlineStr">
        <is>
          <t>New</t>
        </is>
      </c>
      <c r="G1028" s="36" t="inlineStr">
        <is>
          <t>Hiking</t>
        </is>
      </c>
      <c r="H1028" s="36" t="inlineStr">
        <is>
          <t>Trail Boots</t>
        </is>
      </c>
      <c r="I1028" s="36" t="n">
        <v>3</v>
      </c>
      <c r="J1028" s="39" t="n">
        <v>142.53</v>
      </c>
      <c r="K1028" s="45" t="n">
        <v>0</v>
      </c>
      <c r="L1028" s="39" t="n">
        <v>80.67</v>
      </c>
      <c r="M1028" s="39">
        <f>I1028*J1028*(1-K1028)</f>
        <v/>
      </c>
      <c r="N1028" s="39">
        <f>I1028*L1028</f>
        <v/>
      </c>
      <c r="O1028" s="39">
        <f>M1028-N1028</f>
        <v/>
      </c>
      <c r="P1028" s="38">
        <f>IF(M1028=0,0,O1028/M1028)</f>
        <v/>
      </c>
      <c r="Q1028" s="36">
        <f>YEAR(B1028)</f>
        <v/>
      </c>
      <c r="R1028" s="36">
        <f>"Q"&amp;ROUNDUP(MONTH(B1028)/3,0)</f>
        <v/>
      </c>
      <c r="S1028" s="36">
        <f>MONTH(B1028)</f>
        <v/>
      </c>
      <c r="T1028" s="36">
        <f>TEXT(B1028,"mmm")</f>
        <v/>
      </c>
      <c r="U1028" s="36">
        <f>IF(AND(OR(sel_Region="All",C1028=sel_Region),OR(sel_Country="All",D1028=sel_Country),OR(sel_Channel="All",E1028=sel_Channel),OR(sel_Customer="All",F1028=sel_Customer),OR(sel_Category="All",G1028=sel_Category),OR(sel_Product="All",H1028=sel_Product),AND(S1028&gt;=m_From,S1028&lt;=m_To)),1,0)</f>
        <v/>
      </c>
      <c r="V1028" s="36">
        <f>IF(AND(OR(sel_Region="All",C1028=sel_Region),OR(sel_Channel="All",E1028=sel_Channel),OR(sel_Customer="All",F1028=sel_Customer),OR(sel_Category="All",G1028=sel_Category),OR(sel_Product="All",H1028=sel_Product),AND(S1028&gt;=m_From,S1028&lt;=m_To)),1,0)</f>
        <v/>
      </c>
      <c r="W1028" s="36">
        <f>IF(AND(OR(sel_Region="All",C1028=sel_Region),OR(sel_Country="All",D1028=sel_Country),OR(sel_Customer="All",F1028=sel_Customer),OR(sel_Category="All",G1028=sel_Category),OR(sel_Product="All",H1028=sel_Product),AND(S1028&gt;=m_From,S1028&lt;=m_To)),1,0)</f>
        <v/>
      </c>
      <c r="X1028" s="36">
        <f>IF(AND(OR(sel_Region="All",C1028=sel_Region),OR(sel_Country="All",D1028=sel_Country),OR(sel_Channel="All",E1028=sel_Channel),OR(sel_Category="All",G1028=sel_Category),OR(sel_Product="All",H1028=sel_Product),AND(S1028&gt;=m_From,S1028&lt;=m_To)),1,0)</f>
        <v/>
      </c>
      <c r="Y1028" s="36">
        <f>IF(AND(OR(sel_Region="All",C1028=sel_Region),OR(sel_Country="All",D1028=sel_Country),OR(sel_Channel="All",E1028=sel_Channel),OR(sel_Customer="All",F1028=sel_Customer),OR(sel_Product="All",H1028=sel_Product),AND(S1028&gt;=m_From,S1028&lt;=m_To)),1,0)</f>
        <v/>
      </c>
      <c r="Z1028" s="36">
        <f>IF(AND(OR(sel_Region="All",C1028=sel_Region),OR(sel_Country="All",D1028=sel_Country),OR(sel_Channel="All",E1028=sel_Channel),OR(sel_Customer="All",F1028=sel_Customer),OR(sel_Category="All",G1028=sel_Category),AND(S1028&gt;=m_From,S1028&lt;=m_To)),1,0)</f>
        <v/>
      </c>
      <c r="AA1028" s="36">
        <f>IF(AND(OR(sel_Region="All",C1028=sel_Region),OR(sel_Country="All",D1028=sel_Country),OR(sel_Channel="All",E1028=sel_Channel),OR(sel_Customer="All",F1028=sel_Customer),OR(sel_Category="All",G1028=sel_Category),OR(sel_Product="All",H1028=sel_Product)),1,0)</f>
        <v/>
      </c>
    </row>
    <row r="1029">
      <c r="A1029" s="36" t="inlineStr">
        <is>
          <t>00176</t>
        </is>
      </c>
      <c r="B1029" s="44" t="n">
        <v>46181</v>
      </c>
      <c r="C1029" s="36" t="inlineStr">
        <is>
          <t>Central Europe</t>
        </is>
      </c>
      <c r="D1029" s="36" t="inlineStr">
        <is>
          <t>Poland</t>
        </is>
      </c>
      <c r="E1029" s="36" t="inlineStr">
        <is>
          <t>Online Store</t>
        </is>
      </c>
      <c r="F1029" s="36" t="inlineStr">
        <is>
          <t>Returning</t>
        </is>
      </c>
      <c r="G1029" s="36" t="inlineStr">
        <is>
          <t>Camping</t>
        </is>
      </c>
      <c r="H1029" s="36" t="inlineStr">
        <is>
          <t>Trail Tent 2P</t>
        </is>
      </c>
      <c r="I1029" s="36" t="n">
        <v>1</v>
      </c>
      <c r="J1029" s="39" t="n">
        <v>196.33</v>
      </c>
      <c r="K1029" s="45" t="n">
        <v>0</v>
      </c>
      <c r="L1029" s="39" t="n">
        <v>103.27</v>
      </c>
      <c r="M1029" s="39">
        <f>I1029*J1029*(1-K1029)</f>
        <v/>
      </c>
      <c r="N1029" s="39">
        <f>I1029*L1029</f>
        <v/>
      </c>
      <c r="O1029" s="39">
        <f>M1029-N1029</f>
        <v/>
      </c>
      <c r="P1029" s="38">
        <f>IF(M1029=0,0,O1029/M1029)</f>
        <v/>
      </c>
      <c r="Q1029" s="36">
        <f>YEAR(B1029)</f>
        <v/>
      </c>
      <c r="R1029" s="36">
        <f>"Q"&amp;ROUNDUP(MONTH(B1029)/3,0)</f>
        <v/>
      </c>
      <c r="S1029" s="36">
        <f>MONTH(B1029)</f>
        <v/>
      </c>
      <c r="T1029" s="36">
        <f>TEXT(B1029,"mmm")</f>
        <v/>
      </c>
      <c r="U1029" s="36">
        <f>IF(AND(OR(sel_Region="All",C1029=sel_Region),OR(sel_Country="All",D1029=sel_Country),OR(sel_Channel="All",E1029=sel_Channel),OR(sel_Customer="All",F1029=sel_Customer),OR(sel_Category="All",G1029=sel_Category),OR(sel_Product="All",H1029=sel_Product),AND(S1029&gt;=m_From,S1029&lt;=m_To)),1,0)</f>
        <v/>
      </c>
      <c r="V1029" s="36">
        <f>IF(AND(OR(sel_Region="All",C1029=sel_Region),OR(sel_Channel="All",E1029=sel_Channel),OR(sel_Customer="All",F1029=sel_Customer),OR(sel_Category="All",G1029=sel_Category),OR(sel_Product="All",H1029=sel_Product),AND(S1029&gt;=m_From,S1029&lt;=m_To)),1,0)</f>
        <v/>
      </c>
      <c r="W1029" s="36">
        <f>IF(AND(OR(sel_Region="All",C1029=sel_Region),OR(sel_Country="All",D1029=sel_Country),OR(sel_Customer="All",F1029=sel_Customer),OR(sel_Category="All",G1029=sel_Category),OR(sel_Product="All",H1029=sel_Product),AND(S1029&gt;=m_From,S1029&lt;=m_To)),1,0)</f>
        <v/>
      </c>
      <c r="X1029" s="36">
        <f>IF(AND(OR(sel_Region="All",C1029=sel_Region),OR(sel_Country="All",D1029=sel_Country),OR(sel_Channel="All",E1029=sel_Channel),OR(sel_Category="All",G1029=sel_Category),OR(sel_Product="All",H1029=sel_Product),AND(S1029&gt;=m_From,S1029&lt;=m_To)),1,0)</f>
        <v/>
      </c>
      <c r="Y1029" s="36">
        <f>IF(AND(OR(sel_Region="All",C1029=sel_Region),OR(sel_Country="All",D1029=sel_Country),OR(sel_Channel="All",E1029=sel_Channel),OR(sel_Customer="All",F1029=sel_Customer),OR(sel_Product="All",H1029=sel_Product),AND(S1029&gt;=m_From,S1029&lt;=m_To)),1,0)</f>
        <v/>
      </c>
      <c r="Z1029" s="36">
        <f>IF(AND(OR(sel_Region="All",C1029=sel_Region),OR(sel_Country="All",D1029=sel_Country),OR(sel_Channel="All",E1029=sel_Channel),OR(sel_Customer="All",F1029=sel_Customer),OR(sel_Category="All",G1029=sel_Category),AND(S1029&gt;=m_From,S1029&lt;=m_To)),1,0)</f>
        <v/>
      </c>
      <c r="AA1029" s="36">
        <f>IF(AND(OR(sel_Region="All",C1029=sel_Region),OR(sel_Country="All",D1029=sel_Country),OR(sel_Channel="All",E1029=sel_Channel),OR(sel_Customer="All",F1029=sel_Customer),OR(sel_Category="All",G1029=sel_Category),OR(sel_Product="All",H1029=sel_Product)),1,0)</f>
        <v/>
      </c>
    </row>
    <row r="1030">
      <c r="A1030" s="36" t="inlineStr">
        <is>
          <t>00205</t>
        </is>
      </c>
      <c r="B1030" s="44" t="n">
        <v>46181</v>
      </c>
      <c r="C1030" s="36" t="inlineStr">
        <is>
          <t>Western Europe</t>
        </is>
      </c>
      <c r="D1030" s="36" t="inlineStr">
        <is>
          <t>Netherlands</t>
        </is>
      </c>
      <c r="E1030" s="36" t="inlineStr">
        <is>
          <t>Online Store</t>
        </is>
      </c>
      <c r="F1030" s="36" t="inlineStr">
        <is>
          <t>New</t>
        </is>
      </c>
      <c r="G1030" s="36" t="inlineStr">
        <is>
          <t>Cycling</t>
        </is>
      </c>
      <c r="H1030" s="36" t="inlineStr">
        <is>
          <t>Compact Repair Kit</t>
        </is>
      </c>
      <c r="I1030" s="36" t="n">
        <v>2</v>
      </c>
      <c r="J1030" s="39" t="n">
        <v>41.05</v>
      </c>
      <c r="K1030" s="45" t="n">
        <v>0</v>
      </c>
      <c r="L1030" s="39" t="n">
        <v>16.69</v>
      </c>
      <c r="M1030" s="39">
        <f>I1030*J1030*(1-K1030)</f>
        <v/>
      </c>
      <c r="N1030" s="39">
        <f>I1030*L1030</f>
        <v/>
      </c>
      <c r="O1030" s="39">
        <f>M1030-N1030</f>
        <v/>
      </c>
      <c r="P1030" s="38">
        <f>IF(M1030=0,0,O1030/M1030)</f>
        <v/>
      </c>
      <c r="Q1030" s="36">
        <f>YEAR(B1030)</f>
        <v/>
      </c>
      <c r="R1030" s="36">
        <f>"Q"&amp;ROUNDUP(MONTH(B1030)/3,0)</f>
        <v/>
      </c>
      <c r="S1030" s="36">
        <f>MONTH(B1030)</f>
        <v/>
      </c>
      <c r="T1030" s="36">
        <f>TEXT(B1030,"mmm")</f>
        <v/>
      </c>
      <c r="U1030" s="36">
        <f>IF(AND(OR(sel_Region="All",C1030=sel_Region),OR(sel_Country="All",D1030=sel_Country),OR(sel_Channel="All",E1030=sel_Channel),OR(sel_Customer="All",F1030=sel_Customer),OR(sel_Category="All",G1030=sel_Category),OR(sel_Product="All",H1030=sel_Product),AND(S1030&gt;=m_From,S1030&lt;=m_To)),1,0)</f>
        <v/>
      </c>
      <c r="V1030" s="36">
        <f>IF(AND(OR(sel_Region="All",C1030=sel_Region),OR(sel_Channel="All",E1030=sel_Channel),OR(sel_Customer="All",F1030=sel_Customer),OR(sel_Category="All",G1030=sel_Category),OR(sel_Product="All",H1030=sel_Product),AND(S1030&gt;=m_From,S1030&lt;=m_To)),1,0)</f>
        <v/>
      </c>
      <c r="W1030" s="36">
        <f>IF(AND(OR(sel_Region="All",C1030=sel_Region),OR(sel_Country="All",D1030=sel_Country),OR(sel_Customer="All",F1030=sel_Customer),OR(sel_Category="All",G1030=sel_Category),OR(sel_Product="All",H1030=sel_Product),AND(S1030&gt;=m_From,S1030&lt;=m_To)),1,0)</f>
        <v/>
      </c>
      <c r="X1030" s="36">
        <f>IF(AND(OR(sel_Region="All",C1030=sel_Region),OR(sel_Country="All",D1030=sel_Country),OR(sel_Channel="All",E1030=sel_Channel),OR(sel_Category="All",G1030=sel_Category),OR(sel_Product="All",H1030=sel_Product),AND(S1030&gt;=m_From,S1030&lt;=m_To)),1,0)</f>
        <v/>
      </c>
      <c r="Y1030" s="36">
        <f>IF(AND(OR(sel_Region="All",C1030=sel_Region),OR(sel_Country="All",D1030=sel_Country),OR(sel_Channel="All",E1030=sel_Channel),OR(sel_Customer="All",F1030=sel_Customer),OR(sel_Product="All",H1030=sel_Product),AND(S1030&gt;=m_From,S1030&lt;=m_To)),1,0)</f>
        <v/>
      </c>
      <c r="Z1030" s="36">
        <f>IF(AND(OR(sel_Region="All",C1030=sel_Region),OR(sel_Country="All",D1030=sel_Country),OR(sel_Channel="All",E1030=sel_Channel),OR(sel_Customer="All",F1030=sel_Customer),OR(sel_Category="All",G1030=sel_Category),AND(S1030&gt;=m_From,S1030&lt;=m_To)),1,0)</f>
        <v/>
      </c>
      <c r="AA1030" s="36">
        <f>IF(AND(OR(sel_Region="All",C1030=sel_Region),OR(sel_Country="All",D1030=sel_Country),OR(sel_Channel="All",E1030=sel_Channel),OR(sel_Customer="All",F1030=sel_Customer),OR(sel_Category="All",G1030=sel_Category),OR(sel_Product="All",H1030=sel_Product)),1,0)</f>
        <v/>
      </c>
    </row>
    <row r="1031">
      <c r="A1031" s="36" t="inlineStr">
        <is>
          <t>00896</t>
        </is>
      </c>
      <c r="B1031" s="44" t="n">
        <v>46181</v>
      </c>
      <c r="C1031" s="36" t="inlineStr">
        <is>
          <t>Western Europe</t>
        </is>
      </c>
      <c r="D1031" s="36" t="inlineStr">
        <is>
          <t>United Kingdom</t>
        </is>
      </c>
      <c r="E1031" s="36" t="inlineStr">
        <is>
          <t>Online Store</t>
        </is>
      </c>
      <c r="F1031" s="36" t="inlineStr">
        <is>
          <t>New</t>
        </is>
      </c>
      <c r="G1031" s="36" t="inlineStr">
        <is>
          <t>Fitness</t>
        </is>
      </c>
      <c r="H1031" s="36" t="inlineStr">
        <is>
          <t>Weighted Vest</t>
        </is>
      </c>
      <c r="I1031" s="36" t="n">
        <v>1</v>
      </c>
      <c r="J1031" s="39" t="n">
        <v>123.09</v>
      </c>
      <c r="K1031" s="45" t="n">
        <v>0</v>
      </c>
      <c r="L1031" s="39" t="n">
        <v>68.03</v>
      </c>
      <c r="M1031" s="39">
        <f>I1031*J1031*(1-K1031)</f>
        <v/>
      </c>
      <c r="N1031" s="39">
        <f>I1031*L1031</f>
        <v/>
      </c>
      <c r="O1031" s="39">
        <f>M1031-N1031</f>
        <v/>
      </c>
      <c r="P1031" s="38">
        <f>IF(M1031=0,0,O1031/M1031)</f>
        <v/>
      </c>
      <c r="Q1031" s="36">
        <f>YEAR(B1031)</f>
        <v/>
      </c>
      <c r="R1031" s="36">
        <f>"Q"&amp;ROUNDUP(MONTH(B1031)/3,0)</f>
        <v/>
      </c>
      <c r="S1031" s="36">
        <f>MONTH(B1031)</f>
        <v/>
      </c>
      <c r="T1031" s="36">
        <f>TEXT(B1031,"mmm")</f>
        <v/>
      </c>
      <c r="U1031" s="36">
        <f>IF(AND(OR(sel_Region="All",C1031=sel_Region),OR(sel_Country="All",D1031=sel_Country),OR(sel_Channel="All",E1031=sel_Channel),OR(sel_Customer="All",F1031=sel_Customer),OR(sel_Category="All",G1031=sel_Category),OR(sel_Product="All",H1031=sel_Product),AND(S1031&gt;=m_From,S1031&lt;=m_To)),1,0)</f>
        <v/>
      </c>
      <c r="V1031" s="36">
        <f>IF(AND(OR(sel_Region="All",C1031=sel_Region),OR(sel_Channel="All",E1031=sel_Channel),OR(sel_Customer="All",F1031=sel_Customer),OR(sel_Category="All",G1031=sel_Category),OR(sel_Product="All",H1031=sel_Product),AND(S1031&gt;=m_From,S1031&lt;=m_To)),1,0)</f>
        <v/>
      </c>
      <c r="W1031" s="36">
        <f>IF(AND(OR(sel_Region="All",C1031=sel_Region),OR(sel_Country="All",D1031=sel_Country),OR(sel_Customer="All",F1031=sel_Customer),OR(sel_Category="All",G1031=sel_Category),OR(sel_Product="All",H1031=sel_Product),AND(S1031&gt;=m_From,S1031&lt;=m_To)),1,0)</f>
        <v/>
      </c>
      <c r="X1031" s="36">
        <f>IF(AND(OR(sel_Region="All",C1031=sel_Region),OR(sel_Country="All",D1031=sel_Country),OR(sel_Channel="All",E1031=sel_Channel),OR(sel_Category="All",G1031=sel_Category),OR(sel_Product="All",H1031=sel_Product),AND(S1031&gt;=m_From,S1031&lt;=m_To)),1,0)</f>
        <v/>
      </c>
      <c r="Y1031" s="36">
        <f>IF(AND(OR(sel_Region="All",C1031=sel_Region),OR(sel_Country="All",D1031=sel_Country),OR(sel_Channel="All",E1031=sel_Channel),OR(sel_Customer="All",F1031=sel_Customer),OR(sel_Product="All",H1031=sel_Product),AND(S1031&gt;=m_From,S1031&lt;=m_To)),1,0)</f>
        <v/>
      </c>
      <c r="Z1031" s="36">
        <f>IF(AND(OR(sel_Region="All",C1031=sel_Region),OR(sel_Country="All",D1031=sel_Country),OR(sel_Channel="All",E1031=sel_Channel),OR(sel_Customer="All",F1031=sel_Customer),OR(sel_Category="All",G1031=sel_Category),AND(S1031&gt;=m_From,S1031&lt;=m_To)),1,0)</f>
        <v/>
      </c>
      <c r="AA1031" s="36">
        <f>IF(AND(OR(sel_Region="All",C1031=sel_Region),OR(sel_Country="All",D1031=sel_Country),OR(sel_Channel="All",E1031=sel_Channel),OR(sel_Customer="All",F1031=sel_Customer),OR(sel_Category="All",G1031=sel_Category),OR(sel_Product="All",H1031=sel_Product)),1,0)</f>
        <v/>
      </c>
    </row>
    <row r="1032">
      <c r="A1032" s="36" t="inlineStr">
        <is>
          <t>01697</t>
        </is>
      </c>
      <c r="B1032" s="44" t="n">
        <v>46181</v>
      </c>
      <c r="C1032" s="36" t="inlineStr">
        <is>
          <t>Central Europe</t>
        </is>
      </c>
      <c r="D1032" s="36" t="inlineStr">
        <is>
          <t>Germany</t>
        </is>
      </c>
      <c r="E1032" s="36" t="inlineStr">
        <is>
          <t>Online Store</t>
        </is>
      </c>
      <c r="F1032" s="36" t="inlineStr">
        <is>
          <t>Business</t>
        </is>
      </c>
      <c r="G1032" s="36" t="inlineStr">
        <is>
          <t>Hiking</t>
        </is>
      </c>
      <c r="H1032" s="36" t="inlineStr">
        <is>
          <t>Trail Boots</t>
        </is>
      </c>
      <c r="I1032" s="36" t="n">
        <v>2</v>
      </c>
      <c r="J1032" s="39" t="n">
        <v>141.09</v>
      </c>
      <c r="K1032" s="45" t="n">
        <v>0</v>
      </c>
      <c r="L1032" s="39" t="n">
        <v>81.69</v>
      </c>
      <c r="M1032" s="39">
        <f>I1032*J1032*(1-K1032)</f>
        <v/>
      </c>
      <c r="N1032" s="39">
        <f>I1032*L1032</f>
        <v/>
      </c>
      <c r="O1032" s="39">
        <f>M1032-N1032</f>
        <v/>
      </c>
      <c r="P1032" s="38">
        <f>IF(M1032=0,0,O1032/M1032)</f>
        <v/>
      </c>
      <c r="Q1032" s="36">
        <f>YEAR(B1032)</f>
        <v/>
      </c>
      <c r="R1032" s="36">
        <f>"Q"&amp;ROUNDUP(MONTH(B1032)/3,0)</f>
        <v/>
      </c>
      <c r="S1032" s="36">
        <f>MONTH(B1032)</f>
        <v/>
      </c>
      <c r="T1032" s="36">
        <f>TEXT(B1032,"mmm")</f>
        <v/>
      </c>
      <c r="U1032" s="36">
        <f>IF(AND(OR(sel_Region="All",C1032=sel_Region),OR(sel_Country="All",D1032=sel_Country),OR(sel_Channel="All",E1032=sel_Channel),OR(sel_Customer="All",F1032=sel_Customer),OR(sel_Category="All",G1032=sel_Category),OR(sel_Product="All",H1032=sel_Product),AND(S1032&gt;=m_From,S1032&lt;=m_To)),1,0)</f>
        <v/>
      </c>
      <c r="V1032" s="36">
        <f>IF(AND(OR(sel_Region="All",C1032=sel_Region),OR(sel_Channel="All",E1032=sel_Channel),OR(sel_Customer="All",F1032=sel_Customer),OR(sel_Category="All",G1032=sel_Category),OR(sel_Product="All",H1032=sel_Product),AND(S1032&gt;=m_From,S1032&lt;=m_To)),1,0)</f>
        <v/>
      </c>
      <c r="W1032" s="36">
        <f>IF(AND(OR(sel_Region="All",C1032=sel_Region),OR(sel_Country="All",D1032=sel_Country),OR(sel_Customer="All",F1032=sel_Customer),OR(sel_Category="All",G1032=sel_Category),OR(sel_Product="All",H1032=sel_Product),AND(S1032&gt;=m_From,S1032&lt;=m_To)),1,0)</f>
        <v/>
      </c>
      <c r="X1032" s="36">
        <f>IF(AND(OR(sel_Region="All",C1032=sel_Region),OR(sel_Country="All",D1032=sel_Country),OR(sel_Channel="All",E1032=sel_Channel),OR(sel_Category="All",G1032=sel_Category),OR(sel_Product="All",H1032=sel_Product),AND(S1032&gt;=m_From,S1032&lt;=m_To)),1,0)</f>
        <v/>
      </c>
      <c r="Y1032" s="36">
        <f>IF(AND(OR(sel_Region="All",C1032=sel_Region),OR(sel_Country="All",D1032=sel_Country),OR(sel_Channel="All",E1032=sel_Channel),OR(sel_Customer="All",F1032=sel_Customer),OR(sel_Product="All",H1032=sel_Product),AND(S1032&gt;=m_From,S1032&lt;=m_To)),1,0)</f>
        <v/>
      </c>
      <c r="Z1032" s="36">
        <f>IF(AND(OR(sel_Region="All",C1032=sel_Region),OR(sel_Country="All",D1032=sel_Country),OR(sel_Channel="All",E1032=sel_Channel),OR(sel_Customer="All",F1032=sel_Customer),OR(sel_Category="All",G1032=sel_Category),AND(S1032&gt;=m_From,S1032&lt;=m_To)),1,0)</f>
        <v/>
      </c>
      <c r="AA1032" s="36">
        <f>IF(AND(OR(sel_Region="All",C1032=sel_Region),OR(sel_Country="All",D1032=sel_Country),OR(sel_Channel="All",E1032=sel_Channel),OR(sel_Customer="All",F1032=sel_Customer),OR(sel_Category="All",G1032=sel_Category),OR(sel_Product="All",H1032=sel_Product)),1,0)</f>
        <v/>
      </c>
    </row>
    <row r="1033">
      <c r="A1033" s="36" t="inlineStr">
        <is>
          <t>02159</t>
        </is>
      </c>
      <c r="B1033" s="44" t="n">
        <v>46181</v>
      </c>
      <c r="C1033" s="36" t="inlineStr">
        <is>
          <t>Northern Europe</t>
        </is>
      </c>
      <c r="D1033" s="36" t="inlineStr">
        <is>
          <t>Finland</t>
        </is>
      </c>
      <c r="E1033" s="36" t="inlineStr">
        <is>
          <t>Retail Partners</t>
        </is>
      </c>
      <c r="F1033" s="36" t="inlineStr">
        <is>
          <t>New</t>
        </is>
      </c>
      <c r="G1033" s="36" t="inlineStr">
        <is>
          <t>Hiking</t>
        </is>
      </c>
      <c r="H1033" s="36" t="inlineStr">
        <is>
          <t>Summit Backpack 45L</t>
        </is>
      </c>
      <c r="I1033" s="36" t="n">
        <v>1</v>
      </c>
      <c r="J1033" s="39" t="n">
        <v>157.04</v>
      </c>
      <c r="K1033" s="45" t="n">
        <v>0</v>
      </c>
      <c r="L1033" s="39" t="n">
        <v>77.54000000000001</v>
      </c>
      <c r="M1033" s="39">
        <f>I1033*J1033*(1-K1033)</f>
        <v/>
      </c>
      <c r="N1033" s="39">
        <f>I1033*L1033</f>
        <v/>
      </c>
      <c r="O1033" s="39">
        <f>M1033-N1033</f>
        <v/>
      </c>
      <c r="P1033" s="38">
        <f>IF(M1033=0,0,O1033/M1033)</f>
        <v/>
      </c>
      <c r="Q1033" s="36">
        <f>YEAR(B1033)</f>
        <v/>
      </c>
      <c r="R1033" s="36">
        <f>"Q"&amp;ROUNDUP(MONTH(B1033)/3,0)</f>
        <v/>
      </c>
      <c r="S1033" s="36">
        <f>MONTH(B1033)</f>
        <v/>
      </c>
      <c r="T1033" s="36">
        <f>TEXT(B1033,"mmm")</f>
        <v/>
      </c>
      <c r="U1033" s="36">
        <f>IF(AND(OR(sel_Region="All",C1033=sel_Region),OR(sel_Country="All",D1033=sel_Country),OR(sel_Channel="All",E1033=sel_Channel),OR(sel_Customer="All",F1033=sel_Customer),OR(sel_Category="All",G1033=sel_Category),OR(sel_Product="All",H1033=sel_Product),AND(S1033&gt;=m_From,S1033&lt;=m_To)),1,0)</f>
        <v/>
      </c>
      <c r="V1033" s="36">
        <f>IF(AND(OR(sel_Region="All",C1033=sel_Region),OR(sel_Channel="All",E1033=sel_Channel),OR(sel_Customer="All",F1033=sel_Customer),OR(sel_Category="All",G1033=sel_Category),OR(sel_Product="All",H1033=sel_Product),AND(S1033&gt;=m_From,S1033&lt;=m_To)),1,0)</f>
        <v/>
      </c>
      <c r="W1033" s="36">
        <f>IF(AND(OR(sel_Region="All",C1033=sel_Region),OR(sel_Country="All",D1033=sel_Country),OR(sel_Customer="All",F1033=sel_Customer),OR(sel_Category="All",G1033=sel_Category),OR(sel_Product="All",H1033=sel_Product),AND(S1033&gt;=m_From,S1033&lt;=m_To)),1,0)</f>
        <v/>
      </c>
      <c r="X1033" s="36">
        <f>IF(AND(OR(sel_Region="All",C1033=sel_Region),OR(sel_Country="All",D1033=sel_Country),OR(sel_Channel="All",E1033=sel_Channel),OR(sel_Category="All",G1033=sel_Category),OR(sel_Product="All",H1033=sel_Product),AND(S1033&gt;=m_From,S1033&lt;=m_To)),1,0)</f>
        <v/>
      </c>
      <c r="Y1033" s="36">
        <f>IF(AND(OR(sel_Region="All",C1033=sel_Region),OR(sel_Country="All",D1033=sel_Country),OR(sel_Channel="All",E1033=sel_Channel),OR(sel_Customer="All",F1033=sel_Customer),OR(sel_Product="All",H1033=sel_Product),AND(S1033&gt;=m_From,S1033&lt;=m_To)),1,0)</f>
        <v/>
      </c>
      <c r="Z1033" s="36">
        <f>IF(AND(OR(sel_Region="All",C1033=sel_Region),OR(sel_Country="All",D1033=sel_Country),OR(sel_Channel="All",E1033=sel_Channel),OR(sel_Customer="All",F1033=sel_Customer),OR(sel_Category="All",G1033=sel_Category),AND(S1033&gt;=m_From,S1033&lt;=m_To)),1,0)</f>
        <v/>
      </c>
      <c r="AA1033" s="36">
        <f>IF(AND(OR(sel_Region="All",C1033=sel_Region),OR(sel_Country="All",D1033=sel_Country),OR(sel_Channel="All",E1033=sel_Channel),OR(sel_Customer="All",F1033=sel_Customer),OR(sel_Category="All",G1033=sel_Category),OR(sel_Product="All",H1033=sel_Product)),1,0)</f>
        <v/>
      </c>
    </row>
    <row r="1034">
      <c r="A1034" s="36" t="inlineStr">
        <is>
          <t>02772</t>
        </is>
      </c>
      <c r="B1034" s="44" t="n">
        <v>46181</v>
      </c>
      <c r="C1034" s="36" t="inlineStr">
        <is>
          <t>Western Europe</t>
        </is>
      </c>
      <c r="D1034" s="36" t="inlineStr">
        <is>
          <t>Netherlands</t>
        </is>
      </c>
      <c r="E1034" s="36" t="inlineStr">
        <is>
          <t>Retail Partners</t>
        </is>
      </c>
      <c r="F1034" s="36" t="inlineStr">
        <is>
          <t>New</t>
        </is>
      </c>
      <c r="G1034" s="36" t="inlineStr">
        <is>
          <t>Travel</t>
        </is>
      </c>
      <c r="H1034" s="36" t="inlineStr">
        <is>
          <t>Carry-On Duffel</t>
        </is>
      </c>
      <c r="I1034" s="36" t="n">
        <v>6</v>
      </c>
      <c r="J1034" s="39" t="n">
        <v>136.46</v>
      </c>
      <c r="K1034" s="45" t="n">
        <v>0</v>
      </c>
      <c r="L1034" s="39" t="n">
        <v>68.61</v>
      </c>
      <c r="M1034" s="39">
        <f>I1034*J1034*(1-K1034)</f>
        <v/>
      </c>
      <c r="N1034" s="39">
        <f>I1034*L1034</f>
        <v/>
      </c>
      <c r="O1034" s="39">
        <f>M1034-N1034</f>
        <v/>
      </c>
      <c r="P1034" s="38">
        <f>IF(M1034=0,0,O1034/M1034)</f>
        <v/>
      </c>
      <c r="Q1034" s="36">
        <f>YEAR(B1034)</f>
        <v/>
      </c>
      <c r="R1034" s="36">
        <f>"Q"&amp;ROUNDUP(MONTH(B1034)/3,0)</f>
        <v/>
      </c>
      <c r="S1034" s="36">
        <f>MONTH(B1034)</f>
        <v/>
      </c>
      <c r="T1034" s="36">
        <f>TEXT(B1034,"mmm")</f>
        <v/>
      </c>
      <c r="U1034" s="36">
        <f>IF(AND(OR(sel_Region="All",C1034=sel_Region),OR(sel_Country="All",D1034=sel_Country),OR(sel_Channel="All",E1034=sel_Channel),OR(sel_Customer="All",F1034=sel_Customer),OR(sel_Category="All",G1034=sel_Category),OR(sel_Product="All",H1034=sel_Product),AND(S1034&gt;=m_From,S1034&lt;=m_To)),1,0)</f>
        <v/>
      </c>
      <c r="V1034" s="36">
        <f>IF(AND(OR(sel_Region="All",C1034=sel_Region),OR(sel_Channel="All",E1034=sel_Channel),OR(sel_Customer="All",F1034=sel_Customer),OR(sel_Category="All",G1034=sel_Category),OR(sel_Product="All",H1034=sel_Product),AND(S1034&gt;=m_From,S1034&lt;=m_To)),1,0)</f>
        <v/>
      </c>
      <c r="W1034" s="36">
        <f>IF(AND(OR(sel_Region="All",C1034=sel_Region),OR(sel_Country="All",D1034=sel_Country),OR(sel_Customer="All",F1034=sel_Customer),OR(sel_Category="All",G1034=sel_Category),OR(sel_Product="All",H1034=sel_Product),AND(S1034&gt;=m_From,S1034&lt;=m_To)),1,0)</f>
        <v/>
      </c>
      <c r="X1034" s="36">
        <f>IF(AND(OR(sel_Region="All",C1034=sel_Region),OR(sel_Country="All",D1034=sel_Country),OR(sel_Channel="All",E1034=sel_Channel),OR(sel_Category="All",G1034=sel_Category),OR(sel_Product="All",H1034=sel_Product),AND(S1034&gt;=m_From,S1034&lt;=m_To)),1,0)</f>
        <v/>
      </c>
      <c r="Y1034" s="36">
        <f>IF(AND(OR(sel_Region="All",C1034=sel_Region),OR(sel_Country="All",D1034=sel_Country),OR(sel_Channel="All",E1034=sel_Channel),OR(sel_Customer="All",F1034=sel_Customer),OR(sel_Product="All",H1034=sel_Product),AND(S1034&gt;=m_From,S1034&lt;=m_To)),1,0)</f>
        <v/>
      </c>
      <c r="Z1034" s="36">
        <f>IF(AND(OR(sel_Region="All",C1034=sel_Region),OR(sel_Country="All",D1034=sel_Country),OR(sel_Channel="All",E1034=sel_Channel),OR(sel_Customer="All",F1034=sel_Customer),OR(sel_Category="All",G1034=sel_Category),AND(S1034&gt;=m_From,S1034&lt;=m_To)),1,0)</f>
        <v/>
      </c>
      <c r="AA1034" s="36">
        <f>IF(AND(OR(sel_Region="All",C1034=sel_Region),OR(sel_Country="All",D1034=sel_Country),OR(sel_Channel="All",E1034=sel_Channel),OR(sel_Customer="All",F1034=sel_Customer),OR(sel_Category="All",G1034=sel_Category),OR(sel_Product="All",H1034=sel_Product)),1,0)</f>
        <v/>
      </c>
    </row>
    <row r="1035">
      <c r="A1035" s="36" t="inlineStr">
        <is>
          <t>03091</t>
        </is>
      </c>
      <c r="B1035" s="44" t="n">
        <v>46181</v>
      </c>
      <c r="C1035" s="36" t="inlineStr">
        <is>
          <t>Southern Europe</t>
        </is>
      </c>
      <c r="D1035" s="36" t="inlineStr">
        <is>
          <t>Spain</t>
        </is>
      </c>
      <c r="E1035" s="36" t="inlineStr">
        <is>
          <t>Online Store</t>
        </is>
      </c>
      <c r="F1035" s="36" t="inlineStr">
        <is>
          <t>New</t>
        </is>
      </c>
      <c r="G1035" s="36" t="inlineStr">
        <is>
          <t>Fitness</t>
        </is>
      </c>
      <c r="H1035" s="36" t="inlineStr">
        <is>
          <t>Recovery Roller</t>
        </is>
      </c>
      <c r="I1035" s="36" t="n">
        <v>1</v>
      </c>
      <c r="J1035" s="39" t="n">
        <v>36.1</v>
      </c>
      <c r="K1035" s="45" t="n">
        <v>0</v>
      </c>
      <c r="L1035" s="39" t="n">
        <v>13.65</v>
      </c>
      <c r="M1035" s="39">
        <f>I1035*J1035*(1-K1035)</f>
        <v/>
      </c>
      <c r="N1035" s="39">
        <f>I1035*L1035</f>
        <v/>
      </c>
      <c r="O1035" s="39">
        <f>M1035-N1035</f>
        <v/>
      </c>
      <c r="P1035" s="38">
        <f>IF(M1035=0,0,O1035/M1035)</f>
        <v/>
      </c>
      <c r="Q1035" s="36">
        <f>YEAR(B1035)</f>
        <v/>
      </c>
      <c r="R1035" s="36">
        <f>"Q"&amp;ROUNDUP(MONTH(B1035)/3,0)</f>
        <v/>
      </c>
      <c r="S1035" s="36">
        <f>MONTH(B1035)</f>
        <v/>
      </c>
      <c r="T1035" s="36">
        <f>TEXT(B1035,"mmm")</f>
        <v/>
      </c>
      <c r="U1035" s="36">
        <f>IF(AND(OR(sel_Region="All",C1035=sel_Region),OR(sel_Country="All",D1035=sel_Country),OR(sel_Channel="All",E1035=sel_Channel),OR(sel_Customer="All",F1035=sel_Customer),OR(sel_Category="All",G1035=sel_Category),OR(sel_Product="All",H1035=sel_Product),AND(S1035&gt;=m_From,S1035&lt;=m_To)),1,0)</f>
        <v/>
      </c>
      <c r="V1035" s="36">
        <f>IF(AND(OR(sel_Region="All",C1035=sel_Region),OR(sel_Channel="All",E1035=sel_Channel),OR(sel_Customer="All",F1035=sel_Customer),OR(sel_Category="All",G1035=sel_Category),OR(sel_Product="All",H1035=sel_Product),AND(S1035&gt;=m_From,S1035&lt;=m_To)),1,0)</f>
        <v/>
      </c>
      <c r="W1035" s="36">
        <f>IF(AND(OR(sel_Region="All",C1035=sel_Region),OR(sel_Country="All",D1035=sel_Country),OR(sel_Customer="All",F1035=sel_Customer),OR(sel_Category="All",G1035=sel_Category),OR(sel_Product="All",H1035=sel_Product),AND(S1035&gt;=m_From,S1035&lt;=m_To)),1,0)</f>
        <v/>
      </c>
      <c r="X1035" s="36">
        <f>IF(AND(OR(sel_Region="All",C1035=sel_Region),OR(sel_Country="All",D1035=sel_Country),OR(sel_Channel="All",E1035=sel_Channel),OR(sel_Category="All",G1035=sel_Category),OR(sel_Product="All",H1035=sel_Product),AND(S1035&gt;=m_From,S1035&lt;=m_To)),1,0)</f>
        <v/>
      </c>
      <c r="Y1035" s="36">
        <f>IF(AND(OR(sel_Region="All",C1035=sel_Region),OR(sel_Country="All",D1035=sel_Country),OR(sel_Channel="All",E1035=sel_Channel),OR(sel_Customer="All",F1035=sel_Customer),OR(sel_Product="All",H1035=sel_Product),AND(S1035&gt;=m_From,S1035&lt;=m_To)),1,0)</f>
        <v/>
      </c>
      <c r="Z1035" s="36">
        <f>IF(AND(OR(sel_Region="All",C1035=sel_Region),OR(sel_Country="All",D1035=sel_Country),OR(sel_Channel="All",E1035=sel_Channel),OR(sel_Customer="All",F1035=sel_Customer),OR(sel_Category="All",G1035=sel_Category),AND(S1035&gt;=m_From,S1035&lt;=m_To)),1,0)</f>
        <v/>
      </c>
      <c r="AA1035" s="36">
        <f>IF(AND(OR(sel_Region="All",C1035=sel_Region),OR(sel_Country="All",D1035=sel_Country),OR(sel_Channel="All",E1035=sel_Channel),OR(sel_Customer="All",F1035=sel_Customer),OR(sel_Category="All",G1035=sel_Category),OR(sel_Product="All",H1035=sel_Product)),1,0)</f>
        <v/>
      </c>
    </row>
    <row r="1036">
      <c r="A1036" s="36" t="inlineStr">
        <is>
          <t>04241</t>
        </is>
      </c>
      <c r="B1036" s="44" t="n">
        <v>46181</v>
      </c>
      <c r="C1036" s="36" t="inlineStr">
        <is>
          <t>Western Europe</t>
        </is>
      </c>
      <c r="D1036" s="36" t="inlineStr">
        <is>
          <t>France</t>
        </is>
      </c>
      <c r="E1036" s="36" t="inlineStr">
        <is>
          <t>Online Store</t>
        </is>
      </c>
      <c r="F1036" s="36" t="inlineStr">
        <is>
          <t>New</t>
        </is>
      </c>
      <c r="G1036" s="36" t="inlineStr">
        <is>
          <t>Hiking</t>
        </is>
      </c>
      <c r="H1036" s="36" t="inlineStr">
        <is>
          <t>Hiking Daypack 20L</t>
        </is>
      </c>
      <c r="I1036" s="36" t="n">
        <v>3</v>
      </c>
      <c r="J1036" s="39" t="n">
        <v>92.73</v>
      </c>
      <c r="K1036" s="45" t="n">
        <v>0</v>
      </c>
      <c r="L1036" s="39" t="n">
        <v>44.68</v>
      </c>
      <c r="M1036" s="39">
        <f>I1036*J1036*(1-K1036)</f>
        <v/>
      </c>
      <c r="N1036" s="39">
        <f>I1036*L1036</f>
        <v/>
      </c>
      <c r="O1036" s="39">
        <f>M1036-N1036</f>
        <v/>
      </c>
      <c r="P1036" s="38">
        <f>IF(M1036=0,0,O1036/M1036)</f>
        <v/>
      </c>
      <c r="Q1036" s="36">
        <f>YEAR(B1036)</f>
        <v/>
      </c>
      <c r="R1036" s="36">
        <f>"Q"&amp;ROUNDUP(MONTH(B1036)/3,0)</f>
        <v/>
      </c>
      <c r="S1036" s="36">
        <f>MONTH(B1036)</f>
        <v/>
      </c>
      <c r="T1036" s="36">
        <f>TEXT(B1036,"mmm")</f>
        <v/>
      </c>
      <c r="U1036" s="36">
        <f>IF(AND(OR(sel_Region="All",C1036=sel_Region),OR(sel_Country="All",D1036=sel_Country),OR(sel_Channel="All",E1036=sel_Channel),OR(sel_Customer="All",F1036=sel_Customer),OR(sel_Category="All",G1036=sel_Category),OR(sel_Product="All",H1036=sel_Product),AND(S1036&gt;=m_From,S1036&lt;=m_To)),1,0)</f>
        <v/>
      </c>
      <c r="V1036" s="36">
        <f>IF(AND(OR(sel_Region="All",C1036=sel_Region),OR(sel_Channel="All",E1036=sel_Channel),OR(sel_Customer="All",F1036=sel_Customer),OR(sel_Category="All",G1036=sel_Category),OR(sel_Product="All",H1036=sel_Product),AND(S1036&gt;=m_From,S1036&lt;=m_To)),1,0)</f>
        <v/>
      </c>
      <c r="W1036" s="36">
        <f>IF(AND(OR(sel_Region="All",C1036=sel_Region),OR(sel_Country="All",D1036=sel_Country),OR(sel_Customer="All",F1036=sel_Customer),OR(sel_Category="All",G1036=sel_Category),OR(sel_Product="All",H1036=sel_Product),AND(S1036&gt;=m_From,S1036&lt;=m_To)),1,0)</f>
        <v/>
      </c>
      <c r="X1036" s="36">
        <f>IF(AND(OR(sel_Region="All",C1036=sel_Region),OR(sel_Country="All",D1036=sel_Country),OR(sel_Channel="All",E1036=sel_Channel),OR(sel_Category="All",G1036=sel_Category),OR(sel_Product="All",H1036=sel_Product),AND(S1036&gt;=m_From,S1036&lt;=m_To)),1,0)</f>
        <v/>
      </c>
      <c r="Y1036" s="36">
        <f>IF(AND(OR(sel_Region="All",C1036=sel_Region),OR(sel_Country="All",D1036=sel_Country),OR(sel_Channel="All",E1036=sel_Channel),OR(sel_Customer="All",F1036=sel_Customer),OR(sel_Product="All",H1036=sel_Product),AND(S1036&gt;=m_From,S1036&lt;=m_To)),1,0)</f>
        <v/>
      </c>
      <c r="Z1036" s="36">
        <f>IF(AND(OR(sel_Region="All",C1036=sel_Region),OR(sel_Country="All",D1036=sel_Country),OR(sel_Channel="All",E1036=sel_Channel),OR(sel_Customer="All",F1036=sel_Customer),OR(sel_Category="All",G1036=sel_Category),AND(S1036&gt;=m_From,S1036&lt;=m_To)),1,0)</f>
        <v/>
      </c>
      <c r="AA1036" s="36">
        <f>IF(AND(OR(sel_Region="All",C1036=sel_Region),OR(sel_Country="All",D1036=sel_Country),OR(sel_Channel="All",E1036=sel_Channel),OR(sel_Customer="All",F1036=sel_Customer),OR(sel_Category="All",G1036=sel_Category),OR(sel_Product="All",H1036=sel_Product)),1,0)</f>
        <v/>
      </c>
    </row>
    <row r="1037">
      <c r="A1037" s="36" t="inlineStr">
        <is>
          <t>05185</t>
        </is>
      </c>
      <c r="B1037" s="44" t="n">
        <v>46181</v>
      </c>
      <c r="C1037" s="36" t="inlineStr">
        <is>
          <t>Central Europe</t>
        </is>
      </c>
      <c r="D1037" s="36" t="inlineStr">
        <is>
          <t>Germany</t>
        </is>
      </c>
      <c r="E1037" s="36" t="inlineStr">
        <is>
          <t>Online Store</t>
        </is>
      </c>
      <c r="F1037" s="36" t="inlineStr">
        <is>
          <t>New</t>
        </is>
      </c>
      <c r="G1037" s="36" t="inlineStr">
        <is>
          <t>Travel</t>
        </is>
      </c>
      <c r="H1037" s="36" t="inlineStr">
        <is>
          <t>Travel Backpack 35L</t>
        </is>
      </c>
      <c r="I1037" s="36" t="n">
        <v>3</v>
      </c>
      <c r="J1037" s="39" t="n">
        <v>164.31</v>
      </c>
      <c r="K1037" s="45" t="n">
        <v>0.05</v>
      </c>
      <c r="L1037" s="39" t="n">
        <v>86</v>
      </c>
      <c r="M1037" s="39">
        <f>I1037*J1037*(1-K1037)</f>
        <v/>
      </c>
      <c r="N1037" s="39">
        <f>I1037*L1037</f>
        <v/>
      </c>
      <c r="O1037" s="39">
        <f>M1037-N1037</f>
        <v/>
      </c>
      <c r="P1037" s="38">
        <f>IF(M1037=0,0,O1037/M1037)</f>
        <v/>
      </c>
      <c r="Q1037" s="36">
        <f>YEAR(B1037)</f>
        <v/>
      </c>
      <c r="R1037" s="36">
        <f>"Q"&amp;ROUNDUP(MONTH(B1037)/3,0)</f>
        <v/>
      </c>
      <c r="S1037" s="36">
        <f>MONTH(B1037)</f>
        <v/>
      </c>
      <c r="T1037" s="36">
        <f>TEXT(B1037,"mmm")</f>
        <v/>
      </c>
      <c r="U1037" s="36">
        <f>IF(AND(OR(sel_Region="All",C1037=sel_Region),OR(sel_Country="All",D1037=sel_Country),OR(sel_Channel="All",E1037=sel_Channel),OR(sel_Customer="All",F1037=sel_Customer),OR(sel_Category="All",G1037=sel_Category),OR(sel_Product="All",H1037=sel_Product),AND(S1037&gt;=m_From,S1037&lt;=m_To)),1,0)</f>
        <v/>
      </c>
      <c r="V1037" s="36">
        <f>IF(AND(OR(sel_Region="All",C1037=sel_Region),OR(sel_Channel="All",E1037=sel_Channel),OR(sel_Customer="All",F1037=sel_Customer),OR(sel_Category="All",G1037=sel_Category),OR(sel_Product="All",H1037=sel_Product),AND(S1037&gt;=m_From,S1037&lt;=m_To)),1,0)</f>
        <v/>
      </c>
      <c r="W1037" s="36">
        <f>IF(AND(OR(sel_Region="All",C1037=sel_Region),OR(sel_Country="All",D1037=sel_Country),OR(sel_Customer="All",F1037=sel_Customer),OR(sel_Category="All",G1037=sel_Category),OR(sel_Product="All",H1037=sel_Product),AND(S1037&gt;=m_From,S1037&lt;=m_To)),1,0)</f>
        <v/>
      </c>
      <c r="X1037" s="36">
        <f>IF(AND(OR(sel_Region="All",C1037=sel_Region),OR(sel_Country="All",D1037=sel_Country),OR(sel_Channel="All",E1037=sel_Channel),OR(sel_Category="All",G1037=sel_Category),OR(sel_Product="All",H1037=sel_Product),AND(S1037&gt;=m_From,S1037&lt;=m_To)),1,0)</f>
        <v/>
      </c>
      <c r="Y1037" s="36">
        <f>IF(AND(OR(sel_Region="All",C1037=sel_Region),OR(sel_Country="All",D1037=sel_Country),OR(sel_Channel="All",E1037=sel_Channel),OR(sel_Customer="All",F1037=sel_Customer),OR(sel_Product="All",H1037=sel_Product),AND(S1037&gt;=m_From,S1037&lt;=m_To)),1,0)</f>
        <v/>
      </c>
      <c r="Z1037" s="36">
        <f>IF(AND(OR(sel_Region="All",C1037=sel_Region),OR(sel_Country="All",D1037=sel_Country),OR(sel_Channel="All",E1037=sel_Channel),OR(sel_Customer="All",F1037=sel_Customer),OR(sel_Category="All",G1037=sel_Category),AND(S1037&gt;=m_From,S1037&lt;=m_To)),1,0)</f>
        <v/>
      </c>
      <c r="AA1037" s="36">
        <f>IF(AND(OR(sel_Region="All",C1037=sel_Region),OR(sel_Country="All",D1037=sel_Country),OR(sel_Channel="All",E1037=sel_Channel),OR(sel_Customer="All",F1037=sel_Customer),OR(sel_Category="All",G1037=sel_Category),OR(sel_Product="All",H1037=sel_Product)),1,0)</f>
        <v/>
      </c>
    </row>
    <row r="1038">
      <c r="A1038" s="36" t="inlineStr">
        <is>
          <t>01437</t>
        </is>
      </c>
      <c r="B1038" s="44" t="n">
        <v>46182</v>
      </c>
      <c r="C1038" s="36" t="inlineStr">
        <is>
          <t>Western Europe</t>
        </is>
      </c>
      <c r="D1038" s="36" t="inlineStr">
        <is>
          <t>United Kingdom</t>
        </is>
      </c>
      <c r="E1038" s="36" t="inlineStr">
        <is>
          <t>Marketplace</t>
        </is>
      </c>
      <c r="F1038" s="36" t="inlineStr">
        <is>
          <t>New</t>
        </is>
      </c>
      <c r="G1038" s="36" t="inlineStr">
        <is>
          <t>Travel</t>
        </is>
      </c>
      <c r="H1038" s="36" t="inlineStr">
        <is>
          <t>Insulated Bottle</t>
        </is>
      </c>
      <c r="I1038" s="36" t="n">
        <v>2</v>
      </c>
      <c r="J1038" s="39" t="n">
        <v>36.85</v>
      </c>
      <c r="K1038" s="45" t="n">
        <v>0.1</v>
      </c>
      <c r="L1038" s="39" t="n">
        <v>13.92</v>
      </c>
      <c r="M1038" s="39">
        <f>I1038*J1038*(1-K1038)</f>
        <v/>
      </c>
      <c r="N1038" s="39">
        <f>I1038*L1038</f>
        <v/>
      </c>
      <c r="O1038" s="39">
        <f>M1038-N1038</f>
        <v/>
      </c>
      <c r="P1038" s="38">
        <f>IF(M1038=0,0,O1038/M1038)</f>
        <v/>
      </c>
      <c r="Q1038" s="36">
        <f>YEAR(B1038)</f>
        <v/>
      </c>
      <c r="R1038" s="36">
        <f>"Q"&amp;ROUNDUP(MONTH(B1038)/3,0)</f>
        <v/>
      </c>
      <c r="S1038" s="36">
        <f>MONTH(B1038)</f>
        <v/>
      </c>
      <c r="T1038" s="36">
        <f>TEXT(B1038,"mmm")</f>
        <v/>
      </c>
      <c r="U1038" s="36">
        <f>IF(AND(OR(sel_Region="All",C1038=sel_Region),OR(sel_Country="All",D1038=sel_Country),OR(sel_Channel="All",E1038=sel_Channel),OR(sel_Customer="All",F1038=sel_Customer),OR(sel_Category="All",G1038=sel_Category),OR(sel_Product="All",H1038=sel_Product),AND(S1038&gt;=m_From,S1038&lt;=m_To)),1,0)</f>
        <v/>
      </c>
      <c r="V1038" s="36">
        <f>IF(AND(OR(sel_Region="All",C1038=sel_Region),OR(sel_Channel="All",E1038=sel_Channel),OR(sel_Customer="All",F1038=sel_Customer),OR(sel_Category="All",G1038=sel_Category),OR(sel_Product="All",H1038=sel_Product),AND(S1038&gt;=m_From,S1038&lt;=m_To)),1,0)</f>
        <v/>
      </c>
      <c r="W1038" s="36">
        <f>IF(AND(OR(sel_Region="All",C1038=sel_Region),OR(sel_Country="All",D1038=sel_Country),OR(sel_Customer="All",F1038=sel_Customer),OR(sel_Category="All",G1038=sel_Category),OR(sel_Product="All",H1038=sel_Product),AND(S1038&gt;=m_From,S1038&lt;=m_To)),1,0)</f>
        <v/>
      </c>
      <c r="X1038" s="36">
        <f>IF(AND(OR(sel_Region="All",C1038=sel_Region),OR(sel_Country="All",D1038=sel_Country),OR(sel_Channel="All",E1038=sel_Channel),OR(sel_Category="All",G1038=sel_Category),OR(sel_Product="All",H1038=sel_Product),AND(S1038&gt;=m_From,S1038&lt;=m_To)),1,0)</f>
        <v/>
      </c>
      <c r="Y1038" s="36">
        <f>IF(AND(OR(sel_Region="All",C1038=sel_Region),OR(sel_Country="All",D1038=sel_Country),OR(sel_Channel="All",E1038=sel_Channel),OR(sel_Customer="All",F1038=sel_Customer),OR(sel_Product="All",H1038=sel_Product),AND(S1038&gt;=m_From,S1038&lt;=m_To)),1,0)</f>
        <v/>
      </c>
      <c r="Z1038" s="36">
        <f>IF(AND(OR(sel_Region="All",C1038=sel_Region),OR(sel_Country="All",D1038=sel_Country),OR(sel_Channel="All",E1038=sel_Channel),OR(sel_Customer="All",F1038=sel_Customer),OR(sel_Category="All",G1038=sel_Category),AND(S1038&gt;=m_From,S1038&lt;=m_To)),1,0)</f>
        <v/>
      </c>
      <c r="AA1038" s="36">
        <f>IF(AND(OR(sel_Region="All",C1038=sel_Region),OR(sel_Country="All",D1038=sel_Country),OR(sel_Channel="All",E1038=sel_Channel),OR(sel_Customer="All",F1038=sel_Customer),OR(sel_Category="All",G1038=sel_Category),OR(sel_Product="All",H1038=sel_Product)),1,0)</f>
        <v/>
      </c>
    </row>
    <row r="1039">
      <c r="A1039" s="36" t="inlineStr">
        <is>
          <t>02316</t>
        </is>
      </c>
      <c r="B1039" s="44" t="n">
        <v>46182</v>
      </c>
      <c r="C1039" s="36" t="inlineStr">
        <is>
          <t>Central Europe</t>
        </is>
      </c>
      <c r="D1039" s="36" t="inlineStr">
        <is>
          <t>Switzerland</t>
        </is>
      </c>
      <c r="E1039" s="36" t="inlineStr">
        <is>
          <t>Marketplace</t>
        </is>
      </c>
      <c r="F1039" s="36" t="inlineStr">
        <is>
          <t>New</t>
        </is>
      </c>
      <c r="G1039" s="36" t="inlineStr">
        <is>
          <t>Fitness</t>
        </is>
      </c>
      <c r="H1039" s="36" t="inlineStr">
        <is>
          <t>Recovery Roller</t>
        </is>
      </c>
      <c r="I1039" s="36" t="n">
        <v>1</v>
      </c>
      <c r="J1039" s="39" t="n">
        <v>35.62</v>
      </c>
      <c r="K1039" s="45" t="n">
        <v>0</v>
      </c>
      <c r="L1039" s="39" t="n">
        <v>14.05</v>
      </c>
      <c r="M1039" s="39">
        <f>I1039*J1039*(1-K1039)</f>
        <v/>
      </c>
      <c r="N1039" s="39">
        <f>I1039*L1039</f>
        <v/>
      </c>
      <c r="O1039" s="39">
        <f>M1039-N1039</f>
        <v/>
      </c>
      <c r="P1039" s="38">
        <f>IF(M1039=0,0,O1039/M1039)</f>
        <v/>
      </c>
      <c r="Q1039" s="36">
        <f>YEAR(B1039)</f>
        <v/>
      </c>
      <c r="R1039" s="36">
        <f>"Q"&amp;ROUNDUP(MONTH(B1039)/3,0)</f>
        <v/>
      </c>
      <c r="S1039" s="36">
        <f>MONTH(B1039)</f>
        <v/>
      </c>
      <c r="T1039" s="36">
        <f>TEXT(B1039,"mmm")</f>
        <v/>
      </c>
      <c r="U1039" s="36">
        <f>IF(AND(OR(sel_Region="All",C1039=sel_Region),OR(sel_Country="All",D1039=sel_Country),OR(sel_Channel="All",E1039=sel_Channel),OR(sel_Customer="All",F1039=sel_Customer),OR(sel_Category="All",G1039=sel_Category),OR(sel_Product="All",H1039=sel_Product),AND(S1039&gt;=m_From,S1039&lt;=m_To)),1,0)</f>
        <v/>
      </c>
      <c r="V1039" s="36">
        <f>IF(AND(OR(sel_Region="All",C1039=sel_Region),OR(sel_Channel="All",E1039=sel_Channel),OR(sel_Customer="All",F1039=sel_Customer),OR(sel_Category="All",G1039=sel_Category),OR(sel_Product="All",H1039=sel_Product),AND(S1039&gt;=m_From,S1039&lt;=m_To)),1,0)</f>
        <v/>
      </c>
      <c r="W1039" s="36">
        <f>IF(AND(OR(sel_Region="All",C1039=sel_Region),OR(sel_Country="All",D1039=sel_Country),OR(sel_Customer="All",F1039=sel_Customer),OR(sel_Category="All",G1039=sel_Category),OR(sel_Product="All",H1039=sel_Product),AND(S1039&gt;=m_From,S1039&lt;=m_To)),1,0)</f>
        <v/>
      </c>
      <c r="X1039" s="36">
        <f>IF(AND(OR(sel_Region="All",C1039=sel_Region),OR(sel_Country="All",D1039=sel_Country),OR(sel_Channel="All",E1039=sel_Channel),OR(sel_Category="All",G1039=sel_Category),OR(sel_Product="All",H1039=sel_Product),AND(S1039&gt;=m_From,S1039&lt;=m_To)),1,0)</f>
        <v/>
      </c>
      <c r="Y1039" s="36">
        <f>IF(AND(OR(sel_Region="All",C1039=sel_Region),OR(sel_Country="All",D1039=sel_Country),OR(sel_Channel="All",E1039=sel_Channel),OR(sel_Customer="All",F1039=sel_Customer),OR(sel_Product="All",H1039=sel_Product),AND(S1039&gt;=m_From,S1039&lt;=m_To)),1,0)</f>
        <v/>
      </c>
      <c r="Z1039" s="36">
        <f>IF(AND(OR(sel_Region="All",C1039=sel_Region),OR(sel_Country="All",D1039=sel_Country),OR(sel_Channel="All",E1039=sel_Channel),OR(sel_Customer="All",F1039=sel_Customer),OR(sel_Category="All",G1039=sel_Category),AND(S1039&gt;=m_From,S1039&lt;=m_To)),1,0)</f>
        <v/>
      </c>
      <c r="AA1039" s="36">
        <f>IF(AND(OR(sel_Region="All",C1039=sel_Region),OR(sel_Country="All",D1039=sel_Country),OR(sel_Channel="All",E1039=sel_Channel),OR(sel_Customer="All",F1039=sel_Customer),OR(sel_Category="All",G1039=sel_Category),OR(sel_Product="All",H1039=sel_Product)),1,0)</f>
        <v/>
      </c>
    </row>
    <row r="1040">
      <c r="A1040" s="36" t="inlineStr">
        <is>
          <t>02329</t>
        </is>
      </c>
      <c r="B1040" s="44" t="n">
        <v>46182</v>
      </c>
      <c r="C1040" s="36" t="inlineStr">
        <is>
          <t>Western Europe</t>
        </is>
      </c>
      <c r="D1040" s="36" t="inlineStr">
        <is>
          <t>United Kingdom</t>
        </is>
      </c>
      <c r="E1040" s="36" t="inlineStr">
        <is>
          <t>Online Store</t>
        </is>
      </c>
      <c r="F1040" s="36" t="inlineStr">
        <is>
          <t>New</t>
        </is>
      </c>
      <c r="G1040" s="36" t="inlineStr">
        <is>
          <t>Hiking</t>
        </is>
      </c>
      <c r="H1040" s="36" t="inlineStr">
        <is>
          <t>Summit Backpack 45L</t>
        </is>
      </c>
      <c r="I1040" s="36" t="n">
        <v>3</v>
      </c>
      <c r="J1040" s="39" t="n">
        <v>157.43</v>
      </c>
      <c r="K1040" s="45" t="n">
        <v>0.15</v>
      </c>
      <c r="L1040" s="39" t="n">
        <v>77.56</v>
      </c>
      <c r="M1040" s="39">
        <f>I1040*J1040*(1-K1040)</f>
        <v/>
      </c>
      <c r="N1040" s="39">
        <f>I1040*L1040</f>
        <v/>
      </c>
      <c r="O1040" s="39">
        <f>M1040-N1040</f>
        <v/>
      </c>
      <c r="P1040" s="38">
        <f>IF(M1040=0,0,O1040/M1040)</f>
        <v/>
      </c>
      <c r="Q1040" s="36">
        <f>YEAR(B1040)</f>
        <v/>
      </c>
      <c r="R1040" s="36">
        <f>"Q"&amp;ROUNDUP(MONTH(B1040)/3,0)</f>
        <v/>
      </c>
      <c r="S1040" s="36">
        <f>MONTH(B1040)</f>
        <v/>
      </c>
      <c r="T1040" s="36">
        <f>TEXT(B1040,"mmm")</f>
        <v/>
      </c>
      <c r="U1040" s="36">
        <f>IF(AND(OR(sel_Region="All",C1040=sel_Region),OR(sel_Country="All",D1040=sel_Country),OR(sel_Channel="All",E1040=sel_Channel),OR(sel_Customer="All",F1040=sel_Customer),OR(sel_Category="All",G1040=sel_Category),OR(sel_Product="All",H1040=sel_Product),AND(S1040&gt;=m_From,S1040&lt;=m_To)),1,0)</f>
        <v/>
      </c>
      <c r="V1040" s="36">
        <f>IF(AND(OR(sel_Region="All",C1040=sel_Region),OR(sel_Channel="All",E1040=sel_Channel),OR(sel_Customer="All",F1040=sel_Customer),OR(sel_Category="All",G1040=sel_Category),OR(sel_Product="All",H1040=sel_Product),AND(S1040&gt;=m_From,S1040&lt;=m_To)),1,0)</f>
        <v/>
      </c>
      <c r="W1040" s="36">
        <f>IF(AND(OR(sel_Region="All",C1040=sel_Region),OR(sel_Country="All",D1040=sel_Country),OR(sel_Customer="All",F1040=sel_Customer),OR(sel_Category="All",G1040=sel_Category),OR(sel_Product="All",H1040=sel_Product),AND(S1040&gt;=m_From,S1040&lt;=m_To)),1,0)</f>
        <v/>
      </c>
      <c r="X1040" s="36">
        <f>IF(AND(OR(sel_Region="All",C1040=sel_Region),OR(sel_Country="All",D1040=sel_Country),OR(sel_Channel="All",E1040=sel_Channel),OR(sel_Category="All",G1040=sel_Category),OR(sel_Product="All",H1040=sel_Product),AND(S1040&gt;=m_From,S1040&lt;=m_To)),1,0)</f>
        <v/>
      </c>
      <c r="Y1040" s="36">
        <f>IF(AND(OR(sel_Region="All",C1040=sel_Region),OR(sel_Country="All",D1040=sel_Country),OR(sel_Channel="All",E1040=sel_Channel),OR(sel_Customer="All",F1040=sel_Customer),OR(sel_Product="All",H1040=sel_Product),AND(S1040&gt;=m_From,S1040&lt;=m_To)),1,0)</f>
        <v/>
      </c>
      <c r="Z1040" s="36">
        <f>IF(AND(OR(sel_Region="All",C1040=sel_Region),OR(sel_Country="All",D1040=sel_Country),OR(sel_Channel="All",E1040=sel_Channel),OR(sel_Customer="All",F1040=sel_Customer),OR(sel_Category="All",G1040=sel_Category),AND(S1040&gt;=m_From,S1040&lt;=m_To)),1,0)</f>
        <v/>
      </c>
      <c r="AA1040" s="36">
        <f>IF(AND(OR(sel_Region="All",C1040=sel_Region),OR(sel_Country="All",D1040=sel_Country),OR(sel_Channel="All",E1040=sel_Channel),OR(sel_Customer="All",F1040=sel_Customer),OR(sel_Category="All",G1040=sel_Category),OR(sel_Product="All",H1040=sel_Product)),1,0)</f>
        <v/>
      </c>
    </row>
    <row r="1041">
      <c r="A1041" s="36" t="inlineStr">
        <is>
          <t>03036</t>
        </is>
      </c>
      <c r="B1041" s="44" t="n">
        <v>46182</v>
      </c>
      <c r="C1041" s="36" t="inlineStr">
        <is>
          <t>Central Europe</t>
        </is>
      </c>
      <c r="D1041" s="36" t="inlineStr">
        <is>
          <t>Germany</t>
        </is>
      </c>
      <c r="E1041" s="36" t="inlineStr">
        <is>
          <t>Retail Partners</t>
        </is>
      </c>
      <c r="F1041" s="36" t="inlineStr">
        <is>
          <t>New</t>
        </is>
      </c>
      <c r="G1041" s="36" t="inlineStr">
        <is>
          <t>Cycling</t>
        </is>
      </c>
      <c r="H1041" s="36" t="inlineStr">
        <is>
          <t>Commuter Helmet</t>
        </is>
      </c>
      <c r="I1041" s="36" t="n">
        <v>1</v>
      </c>
      <c r="J1041" s="39" t="n">
        <v>81.2</v>
      </c>
      <c r="K1041" s="45" t="n">
        <v>0.1</v>
      </c>
      <c r="L1041" s="39" t="n">
        <v>41.64</v>
      </c>
      <c r="M1041" s="39">
        <f>I1041*J1041*(1-K1041)</f>
        <v/>
      </c>
      <c r="N1041" s="39">
        <f>I1041*L1041</f>
        <v/>
      </c>
      <c r="O1041" s="39">
        <f>M1041-N1041</f>
        <v/>
      </c>
      <c r="P1041" s="38">
        <f>IF(M1041=0,0,O1041/M1041)</f>
        <v/>
      </c>
      <c r="Q1041" s="36">
        <f>YEAR(B1041)</f>
        <v/>
      </c>
      <c r="R1041" s="36">
        <f>"Q"&amp;ROUNDUP(MONTH(B1041)/3,0)</f>
        <v/>
      </c>
      <c r="S1041" s="36">
        <f>MONTH(B1041)</f>
        <v/>
      </c>
      <c r="T1041" s="36">
        <f>TEXT(B1041,"mmm")</f>
        <v/>
      </c>
      <c r="U1041" s="36">
        <f>IF(AND(OR(sel_Region="All",C1041=sel_Region),OR(sel_Country="All",D1041=sel_Country),OR(sel_Channel="All",E1041=sel_Channel),OR(sel_Customer="All",F1041=sel_Customer),OR(sel_Category="All",G1041=sel_Category),OR(sel_Product="All",H1041=sel_Product),AND(S1041&gt;=m_From,S1041&lt;=m_To)),1,0)</f>
        <v/>
      </c>
      <c r="V1041" s="36">
        <f>IF(AND(OR(sel_Region="All",C1041=sel_Region),OR(sel_Channel="All",E1041=sel_Channel),OR(sel_Customer="All",F1041=sel_Customer),OR(sel_Category="All",G1041=sel_Category),OR(sel_Product="All",H1041=sel_Product),AND(S1041&gt;=m_From,S1041&lt;=m_To)),1,0)</f>
        <v/>
      </c>
      <c r="W1041" s="36">
        <f>IF(AND(OR(sel_Region="All",C1041=sel_Region),OR(sel_Country="All",D1041=sel_Country),OR(sel_Customer="All",F1041=sel_Customer),OR(sel_Category="All",G1041=sel_Category),OR(sel_Product="All",H1041=sel_Product),AND(S1041&gt;=m_From,S1041&lt;=m_To)),1,0)</f>
        <v/>
      </c>
      <c r="X1041" s="36">
        <f>IF(AND(OR(sel_Region="All",C1041=sel_Region),OR(sel_Country="All",D1041=sel_Country),OR(sel_Channel="All",E1041=sel_Channel),OR(sel_Category="All",G1041=sel_Category),OR(sel_Product="All",H1041=sel_Product),AND(S1041&gt;=m_From,S1041&lt;=m_To)),1,0)</f>
        <v/>
      </c>
      <c r="Y1041" s="36">
        <f>IF(AND(OR(sel_Region="All",C1041=sel_Region),OR(sel_Country="All",D1041=sel_Country),OR(sel_Channel="All",E1041=sel_Channel),OR(sel_Customer="All",F1041=sel_Customer),OR(sel_Product="All",H1041=sel_Product),AND(S1041&gt;=m_From,S1041&lt;=m_To)),1,0)</f>
        <v/>
      </c>
      <c r="Z1041" s="36">
        <f>IF(AND(OR(sel_Region="All",C1041=sel_Region),OR(sel_Country="All",D1041=sel_Country),OR(sel_Channel="All",E1041=sel_Channel),OR(sel_Customer="All",F1041=sel_Customer),OR(sel_Category="All",G1041=sel_Category),AND(S1041&gt;=m_From,S1041&lt;=m_To)),1,0)</f>
        <v/>
      </c>
      <c r="AA1041" s="36">
        <f>IF(AND(OR(sel_Region="All",C1041=sel_Region),OR(sel_Country="All",D1041=sel_Country),OR(sel_Channel="All",E1041=sel_Channel),OR(sel_Customer="All",F1041=sel_Customer),OR(sel_Category="All",G1041=sel_Category),OR(sel_Product="All",H1041=sel_Product)),1,0)</f>
        <v/>
      </c>
    </row>
    <row r="1042">
      <c r="A1042" s="36" t="inlineStr">
        <is>
          <t>03429</t>
        </is>
      </c>
      <c r="B1042" s="44" t="n">
        <v>46182</v>
      </c>
      <c r="C1042" s="36" t="inlineStr">
        <is>
          <t>Western Europe</t>
        </is>
      </c>
      <c r="D1042" s="36" t="inlineStr">
        <is>
          <t>France</t>
        </is>
      </c>
      <c r="E1042" s="36" t="inlineStr">
        <is>
          <t>Online Store</t>
        </is>
      </c>
      <c r="F1042" s="36" t="inlineStr">
        <is>
          <t>Returning</t>
        </is>
      </c>
      <c r="G1042" s="36" t="inlineStr">
        <is>
          <t>Hiking</t>
        </is>
      </c>
      <c r="H1042" s="36" t="inlineStr">
        <is>
          <t>Hiking Daypack 20L</t>
        </is>
      </c>
      <c r="I1042" s="36" t="n">
        <v>4</v>
      </c>
      <c r="J1042" s="39" t="n">
        <v>93.58</v>
      </c>
      <c r="K1042" s="45" t="n">
        <v>0.1</v>
      </c>
      <c r="L1042" s="39" t="n">
        <v>44.56</v>
      </c>
      <c r="M1042" s="39">
        <f>I1042*J1042*(1-K1042)</f>
        <v/>
      </c>
      <c r="N1042" s="39">
        <f>I1042*L1042</f>
        <v/>
      </c>
      <c r="O1042" s="39">
        <f>M1042-N1042</f>
        <v/>
      </c>
      <c r="P1042" s="38">
        <f>IF(M1042=0,0,O1042/M1042)</f>
        <v/>
      </c>
      <c r="Q1042" s="36">
        <f>YEAR(B1042)</f>
        <v/>
      </c>
      <c r="R1042" s="36">
        <f>"Q"&amp;ROUNDUP(MONTH(B1042)/3,0)</f>
        <v/>
      </c>
      <c r="S1042" s="36">
        <f>MONTH(B1042)</f>
        <v/>
      </c>
      <c r="T1042" s="36">
        <f>TEXT(B1042,"mmm")</f>
        <v/>
      </c>
      <c r="U1042" s="36">
        <f>IF(AND(OR(sel_Region="All",C1042=sel_Region),OR(sel_Country="All",D1042=sel_Country),OR(sel_Channel="All",E1042=sel_Channel),OR(sel_Customer="All",F1042=sel_Customer),OR(sel_Category="All",G1042=sel_Category),OR(sel_Product="All",H1042=sel_Product),AND(S1042&gt;=m_From,S1042&lt;=m_To)),1,0)</f>
        <v/>
      </c>
      <c r="V1042" s="36">
        <f>IF(AND(OR(sel_Region="All",C1042=sel_Region),OR(sel_Channel="All",E1042=sel_Channel),OR(sel_Customer="All",F1042=sel_Customer),OR(sel_Category="All",G1042=sel_Category),OR(sel_Product="All",H1042=sel_Product),AND(S1042&gt;=m_From,S1042&lt;=m_To)),1,0)</f>
        <v/>
      </c>
      <c r="W1042" s="36">
        <f>IF(AND(OR(sel_Region="All",C1042=sel_Region),OR(sel_Country="All",D1042=sel_Country),OR(sel_Customer="All",F1042=sel_Customer),OR(sel_Category="All",G1042=sel_Category),OR(sel_Product="All",H1042=sel_Product),AND(S1042&gt;=m_From,S1042&lt;=m_To)),1,0)</f>
        <v/>
      </c>
      <c r="X1042" s="36">
        <f>IF(AND(OR(sel_Region="All",C1042=sel_Region),OR(sel_Country="All",D1042=sel_Country),OR(sel_Channel="All",E1042=sel_Channel),OR(sel_Category="All",G1042=sel_Category),OR(sel_Product="All",H1042=sel_Product),AND(S1042&gt;=m_From,S1042&lt;=m_To)),1,0)</f>
        <v/>
      </c>
      <c r="Y1042" s="36">
        <f>IF(AND(OR(sel_Region="All",C1042=sel_Region),OR(sel_Country="All",D1042=sel_Country),OR(sel_Channel="All",E1042=sel_Channel),OR(sel_Customer="All",F1042=sel_Customer),OR(sel_Product="All",H1042=sel_Product),AND(S1042&gt;=m_From,S1042&lt;=m_To)),1,0)</f>
        <v/>
      </c>
      <c r="Z1042" s="36">
        <f>IF(AND(OR(sel_Region="All",C1042=sel_Region),OR(sel_Country="All",D1042=sel_Country),OR(sel_Channel="All",E1042=sel_Channel),OR(sel_Customer="All",F1042=sel_Customer),OR(sel_Category="All",G1042=sel_Category),AND(S1042&gt;=m_From,S1042&lt;=m_To)),1,0)</f>
        <v/>
      </c>
      <c r="AA1042" s="36">
        <f>IF(AND(OR(sel_Region="All",C1042=sel_Region),OR(sel_Country="All",D1042=sel_Country),OR(sel_Channel="All",E1042=sel_Channel),OR(sel_Customer="All",F1042=sel_Customer),OR(sel_Category="All",G1042=sel_Category),OR(sel_Product="All",H1042=sel_Product)),1,0)</f>
        <v/>
      </c>
    </row>
    <row r="1043">
      <c r="A1043" s="36" t="inlineStr">
        <is>
          <t>03615</t>
        </is>
      </c>
      <c r="B1043" s="44" t="n">
        <v>46182</v>
      </c>
      <c r="C1043" s="36" t="inlineStr">
        <is>
          <t>Central Europe</t>
        </is>
      </c>
      <c r="D1043" s="36" t="inlineStr">
        <is>
          <t>Poland</t>
        </is>
      </c>
      <c r="E1043" s="36" t="inlineStr">
        <is>
          <t>Online Store</t>
        </is>
      </c>
      <c r="F1043" s="36" t="inlineStr">
        <is>
          <t>New</t>
        </is>
      </c>
      <c r="G1043" s="36" t="inlineStr">
        <is>
          <t>Hiking</t>
        </is>
      </c>
      <c r="H1043" s="36" t="inlineStr">
        <is>
          <t>Summit Backpack 45L</t>
        </is>
      </c>
      <c r="I1043" s="36" t="n">
        <v>4</v>
      </c>
      <c r="J1043" s="39" t="n">
        <v>155.22</v>
      </c>
      <c r="K1043" s="45" t="n">
        <v>0</v>
      </c>
      <c r="L1043" s="39" t="n">
        <v>77.20999999999999</v>
      </c>
      <c r="M1043" s="39">
        <f>I1043*J1043*(1-K1043)</f>
        <v/>
      </c>
      <c r="N1043" s="39">
        <f>I1043*L1043</f>
        <v/>
      </c>
      <c r="O1043" s="39">
        <f>M1043-N1043</f>
        <v/>
      </c>
      <c r="P1043" s="38">
        <f>IF(M1043=0,0,O1043/M1043)</f>
        <v/>
      </c>
      <c r="Q1043" s="36">
        <f>YEAR(B1043)</f>
        <v/>
      </c>
      <c r="R1043" s="36">
        <f>"Q"&amp;ROUNDUP(MONTH(B1043)/3,0)</f>
        <v/>
      </c>
      <c r="S1043" s="36">
        <f>MONTH(B1043)</f>
        <v/>
      </c>
      <c r="T1043" s="36">
        <f>TEXT(B1043,"mmm")</f>
        <v/>
      </c>
      <c r="U1043" s="36">
        <f>IF(AND(OR(sel_Region="All",C1043=sel_Region),OR(sel_Country="All",D1043=sel_Country),OR(sel_Channel="All",E1043=sel_Channel),OR(sel_Customer="All",F1043=sel_Customer),OR(sel_Category="All",G1043=sel_Category),OR(sel_Product="All",H1043=sel_Product),AND(S1043&gt;=m_From,S1043&lt;=m_To)),1,0)</f>
        <v/>
      </c>
      <c r="V1043" s="36">
        <f>IF(AND(OR(sel_Region="All",C1043=sel_Region),OR(sel_Channel="All",E1043=sel_Channel),OR(sel_Customer="All",F1043=sel_Customer),OR(sel_Category="All",G1043=sel_Category),OR(sel_Product="All",H1043=sel_Product),AND(S1043&gt;=m_From,S1043&lt;=m_To)),1,0)</f>
        <v/>
      </c>
      <c r="W1043" s="36">
        <f>IF(AND(OR(sel_Region="All",C1043=sel_Region),OR(sel_Country="All",D1043=sel_Country),OR(sel_Customer="All",F1043=sel_Customer),OR(sel_Category="All",G1043=sel_Category),OR(sel_Product="All",H1043=sel_Product),AND(S1043&gt;=m_From,S1043&lt;=m_To)),1,0)</f>
        <v/>
      </c>
      <c r="X1043" s="36">
        <f>IF(AND(OR(sel_Region="All",C1043=sel_Region),OR(sel_Country="All",D1043=sel_Country),OR(sel_Channel="All",E1043=sel_Channel),OR(sel_Category="All",G1043=sel_Category),OR(sel_Product="All",H1043=sel_Product),AND(S1043&gt;=m_From,S1043&lt;=m_To)),1,0)</f>
        <v/>
      </c>
      <c r="Y1043" s="36">
        <f>IF(AND(OR(sel_Region="All",C1043=sel_Region),OR(sel_Country="All",D1043=sel_Country),OR(sel_Channel="All",E1043=sel_Channel),OR(sel_Customer="All",F1043=sel_Customer),OR(sel_Product="All",H1043=sel_Product),AND(S1043&gt;=m_From,S1043&lt;=m_To)),1,0)</f>
        <v/>
      </c>
      <c r="Z1043" s="36">
        <f>IF(AND(OR(sel_Region="All",C1043=sel_Region),OR(sel_Country="All",D1043=sel_Country),OR(sel_Channel="All",E1043=sel_Channel),OR(sel_Customer="All",F1043=sel_Customer),OR(sel_Category="All",G1043=sel_Category),AND(S1043&gt;=m_From,S1043&lt;=m_To)),1,0)</f>
        <v/>
      </c>
      <c r="AA1043" s="36">
        <f>IF(AND(OR(sel_Region="All",C1043=sel_Region),OR(sel_Country="All",D1043=sel_Country),OR(sel_Channel="All",E1043=sel_Channel),OR(sel_Customer="All",F1043=sel_Customer),OR(sel_Category="All",G1043=sel_Category),OR(sel_Product="All",H1043=sel_Product)),1,0)</f>
        <v/>
      </c>
    </row>
    <row r="1044">
      <c r="A1044" s="36" t="inlineStr">
        <is>
          <t>03661</t>
        </is>
      </c>
      <c r="B1044" s="44" t="n">
        <v>46182</v>
      </c>
      <c r="C1044" s="36" t="inlineStr">
        <is>
          <t>Western Europe</t>
        </is>
      </c>
      <c r="D1044" s="36" t="inlineStr">
        <is>
          <t>United Kingdom</t>
        </is>
      </c>
      <c r="E1044" s="36" t="inlineStr">
        <is>
          <t>Online Store</t>
        </is>
      </c>
      <c r="F1044" s="36" t="inlineStr">
        <is>
          <t>New</t>
        </is>
      </c>
      <c r="G1044" s="36" t="inlineStr">
        <is>
          <t>Cycling</t>
        </is>
      </c>
      <c r="H1044" s="36" t="inlineStr">
        <is>
          <t>Cycling Pack 12L</t>
        </is>
      </c>
      <c r="I1044" s="36" t="n">
        <v>4</v>
      </c>
      <c r="J1044" s="39" t="n">
        <v>100.33</v>
      </c>
      <c r="K1044" s="45" t="n">
        <v>0</v>
      </c>
      <c r="L1044" s="39" t="n">
        <v>49.99</v>
      </c>
      <c r="M1044" s="39">
        <f>I1044*J1044*(1-K1044)</f>
        <v/>
      </c>
      <c r="N1044" s="39">
        <f>I1044*L1044</f>
        <v/>
      </c>
      <c r="O1044" s="39">
        <f>M1044-N1044</f>
        <v/>
      </c>
      <c r="P1044" s="38">
        <f>IF(M1044=0,0,O1044/M1044)</f>
        <v/>
      </c>
      <c r="Q1044" s="36">
        <f>YEAR(B1044)</f>
        <v/>
      </c>
      <c r="R1044" s="36">
        <f>"Q"&amp;ROUNDUP(MONTH(B1044)/3,0)</f>
        <v/>
      </c>
      <c r="S1044" s="36">
        <f>MONTH(B1044)</f>
        <v/>
      </c>
      <c r="T1044" s="36">
        <f>TEXT(B1044,"mmm")</f>
        <v/>
      </c>
      <c r="U1044" s="36">
        <f>IF(AND(OR(sel_Region="All",C1044=sel_Region),OR(sel_Country="All",D1044=sel_Country),OR(sel_Channel="All",E1044=sel_Channel),OR(sel_Customer="All",F1044=sel_Customer),OR(sel_Category="All",G1044=sel_Category),OR(sel_Product="All",H1044=sel_Product),AND(S1044&gt;=m_From,S1044&lt;=m_To)),1,0)</f>
        <v/>
      </c>
      <c r="V1044" s="36">
        <f>IF(AND(OR(sel_Region="All",C1044=sel_Region),OR(sel_Channel="All",E1044=sel_Channel),OR(sel_Customer="All",F1044=sel_Customer),OR(sel_Category="All",G1044=sel_Category),OR(sel_Product="All",H1044=sel_Product),AND(S1044&gt;=m_From,S1044&lt;=m_To)),1,0)</f>
        <v/>
      </c>
      <c r="W1044" s="36">
        <f>IF(AND(OR(sel_Region="All",C1044=sel_Region),OR(sel_Country="All",D1044=sel_Country),OR(sel_Customer="All",F1044=sel_Customer),OR(sel_Category="All",G1044=sel_Category),OR(sel_Product="All",H1044=sel_Product),AND(S1044&gt;=m_From,S1044&lt;=m_To)),1,0)</f>
        <v/>
      </c>
      <c r="X1044" s="36">
        <f>IF(AND(OR(sel_Region="All",C1044=sel_Region),OR(sel_Country="All",D1044=sel_Country),OR(sel_Channel="All",E1044=sel_Channel),OR(sel_Category="All",G1044=sel_Category),OR(sel_Product="All",H1044=sel_Product),AND(S1044&gt;=m_From,S1044&lt;=m_To)),1,0)</f>
        <v/>
      </c>
      <c r="Y1044" s="36">
        <f>IF(AND(OR(sel_Region="All",C1044=sel_Region),OR(sel_Country="All",D1044=sel_Country),OR(sel_Channel="All",E1044=sel_Channel),OR(sel_Customer="All",F1044=sel_Customer),OR(sel_Product="All",H1044=sel_Product),AND(S1044&gt;=m_From,S1044&lt;=m_To)),1,0)</f>
        <v/>
      </c>
      <c r="Z1044" s="36">
        <f>IF(AND(OR(sel_Region="All",C1044=sel_Region),OR(sel_Country="All",D1044=sel_Country),OR(sel_Channel="All",E1044=sel_Channel),OR(sel_Customer="All",F1044=sel_Customer),OR(sel_Category="All",G1044=sel_Category),AND(S1044&gt;=m_From,S1044&lt;=m_To)),1,0)</f>
        <v/>
      </c>
      <c r="AA1044" s="36">
        <f>IF(AND(OR(sel_Region="All",C1044=sel_Region),OR(sel_Country="All",D1044=sel_Country),OR(sel_Channel="All",E1044=sel_Channel),OR(sel_Customer="All",F1044=sel_Customer),OR(sel_Category="All",G1044=sel_Category),OR(sel_Product="All",H1044=sel_Product)),1,0)</f>
        <v/>
      </c>
    </row>
    <row r="1045">
      <c r="A1045" s="36" t="inlineStr">
        <is>
          <t>03831</t>
        </is>
      </c>
      <c r="B1045" s="44" t="n">
        <v>46182</v>
      </c>
      <c r="C1045" s="36" t="inlineStr">
        <is>
          <t>Northern Europe</t>
        </is>
      </c>
      <c r="D1045" s="36" t="inlineStr">
        <is>
          <t>Ireland</t>
        </is>
      </c>
      <c r="E1045" s="36" t="inlineStr">
        <is>
          <t>Online Store</t>
        </is>
      </c>
      <c r="F1045" s="36" t="inlineStr">
        <is>
          <t>Business</t>
        </is>
      </c>
      <c r="G1045" s="36" t="inlineStr">
        <is>
          <t>Travel</t>
        </is>
      </c>
      <c r="H1045" s="36" t="inlineStr">
        <is>
          <t>Carry-On Duffel</t>
        </is>
      </c>
      <c r="I1045" s="36" t="n">
        <v>2</v>
      </c>
      <c r="J1045" s="39" t="n">
        <v>134.28</v>
      </c>
      <c r="K1045" s="45" t="n">
        <v>0</v>
      </c>
      <c r="L1045" s="39" t="n">
        <v>69.12</v>
      </c>
      <c r="M1045" s="39">
        <f>I1045*J1045*(1-K1045)</f>
        <v/>
      </c>
      <c r="N1045" s="39">
        <f>I1045*L1045</f>
        <v/>
      </c>
      <c r="O1045" s="39">
        <f>M1045-N1045</f>
        <v/>
      </c>
      <c r="P1045" s="38">
        <f>IF(M1045=0,0,O1045/M1045)</f>
        <v/>
      </c>
      <c r="Q1045" s="36">
        <f>YEAR(B1045)</f>
        <v/>
      </c>
      <c r="R1045" s="36">
        <f>"Q"&amp;ROUNDUP(MONTH(B1045)/3,0)</f>
        <v/>
      </c>
      <c r="S1045" s="36">
        <f>MONTH(B1045)</f>
        <v/>
      </c>
      <c r="T1045" s="36">
        <f>TEXT(B1045,"mmm")</f>
        <v/>
      </c>
      <c r="U1045" s="36">
        <f>IF(AND(OR(sel_Region="All",C1045=sel_Region),OR(sel_Country="All",D1045=sel_Country),OR(sel_Channel="All",E1045=sel_Channel),OR(sel_Customer="All",F1045=sel_Customer),OR(sel_Category="All",G1045=sel_Category),OR(sel_Product="All",H1045=sel_Product),AND(S1045&gt;=m_From,S1045&lt;=m_To)),1,0)</f>
        <v/>
      </c>
      <c r="V1045" s="36">
        <f>IF(AND(OR(sel_Region="All",C1045=sel_Region),OR(sel_Channel="All",E1045=sel_Channel),OR(sel_Customer="All",F1045=sel_Customer),OR(sel_Category="All",G1045=sel_Category),OR(sel_Product="All",H1045=sel_Product),AND(S1045&gt;=m_From,S1045&lt;=m_To)),1,0)</f>
        <v/>
      </c>
      <c r="W1045" s="36">
        <f>IF(AND(OR(sel_Region="All",C1045=sel_Region),OR(sel_Country="All",D1045=sel_Country),OR(sel_Customer="All",F1045=sel_Customer),OR(sel_Category="All",G1045=sel_Category),OR(sel_Product="All",H1045=sel_Product),AND(S1045&gt;=m_From,S1045&lt;=m_To)),1,0)</f>
        <v/>
      </c>
      <c r="X1045" s="36">
        <f>IF(AND(OR(sel_Region="All",C1045=sel_Region),OR(sel_Country="All",D1045=sel_Country),OR(sel_Channel="All",E1045=sel_Channel),OR(sel_Category="All",G1045=sel_Category),OR(sel_Product="All",H1045=sel_Product),AND(S1045&gt;=m_From,S1045&lt;=m_To)),1,0)</f>
        <v/>
      </c>
      <c r="Y1045" s="36">
        <f>IF(AND(OR(sel_Region="All",C1045=sel_Region),OR(sel_Country="All",D1045=sel_Country),OR(sel_Channel="All",E1045=sel_Channel),OR(sel_Customer="All",F1045=sel_Customer),OR(sel_Product="All",H1045=sel_Product),AND(S1045&gt;=m_From,S1045&lt;=m_To)),1,0)</f>
        <v/>
      </c>
      <c r="Z1045" s="36">
        <f>IF(AND(OR(sel_Region="All",C1045=sel_Region),OR(sel_Country="All",D1045=sel_Country),OR(sel_Channel="All",E1045=sel_Channel),OR(sel_Customer="All",F1045=sel_Customer),OR(sel_Category="All",G1045=sel_Category),AND(S1045&gt;=m_From,S1045&lt;=m_To)),1,0)</f>
        <v/>
      </c>
      <c r="AA1045" s="36">
        <f>IF(AND(OR(sel_Region="All",C1045=sel_Region),OR(sel_Country="All",D1045=sel_Country),OR(sel_Channel="All",E1045=sel_Channel),OR(sel_Customer="All",F1045=sel_Customer),OR(sel_Category="All",G1045=sel_Category),OR(sel_Product="All",H1045=sel_Product)),1,0)</f>
        <v/>
      </c>
    </row>
    <row r="1046">
      <c r="A1046" s="36" t="inlineStr">
        <is>
          <t>04394</t>
        </is>
      </c>
      <c r="B1046" s="44" t="n">
        <v>46182</v>
      </c>
      <c r="C1046" s="36" t="inlineStr">
        <is>
          <t>Northern Europe</t>
        </is>
      </c>
      <c r="D1046" s="36" t="inlineStr">
        <is>
          <t>Sweden</t>
        </is>
      </c>
      <c r="E1046" s="36" t="inlineStr">
        <is>
          <t>Online Store</t>
        </is>
      </c>
      <c r="F1046" s="36" t="inlineStr">
        <is>
          <t>New</t>
        </is>
      </c>
      <c r="G1046" s="36" t="inlineStr">
        <is>
          <t>Fitness</t>
        </is>
      </c>
      <c r="H1046" s="36" t="inlineStr">
        <is>
          <t>Training Mat</t>
        </is>
      </c>
      <c r="I1046" s="36" t="n">
        <v>2</v>
      </c>
      <c r="J1046" s="39" t="n">
        <v>51.16</v>
      </c>
      <c r="K1046" s="45" t="n">
        <v>0</v>
      </c>
      <c r="L1046" s="39" t="n">
        <v>21.57</v>
      </c>
      <c r="M1046" s="39">
        <f>I1046*J1046*(1-K1046)</f>
        <v/>
      </c>
      <c r="N1046" s="39">
        <f>I1046*L1046</f>
        <v/>
      </c>
      <c r="O1046" s="39">
        <f>M1046-N1046</f>
        <v/>
      </c>
      <c r="P1046" s="38">
        <f>IF(M1046=0,0,O1046/M1046)</f>
        <v/>
      </c>
      <c r="Q1046" s="36">
        <f>YEAR(B1046)</f>
        <v/>
      </c>
      <c r="R1046" s="36">
        <f>"Q"&amp;ROUNDUP(MONTH(B1046)/3,0)</f>
        <v/>
      </c>
      <c r="S1046" s="36">
        <f>MONTH(B1046)</f>
        <v/>
      </c>
      <c r="T1046" s="36">
        <f>TEXT(B1046,"mmm")</f>
        <v/>
      </c>
      <c r="U1046" s="36">
        <f>IF(AND(OR(sel_Region="All",C1046=sel_Region),OR(sel_Country="All",D1046=sel_Country),OR(sel_Channel="All",E1046=sel_Channel),OR(sel_Customer="All",F1046=sel_Customer),OR(sel_Category="All",G1046=sel_Category),OR(sel_Product="All",H1046=sel_Product),AND(S1046&gt;=m_From,S1046&lt;=m_To)),1,0)</f>
        <v/>
      </c>
      <c r="V1046" s="36">
        <f>IF(AND(OR(sel_Region="All",C1046=sel_Region),OR(sel_Channel="All",E1046=sel_Channel),OR(sel_Customer="All",F1046=sel_Customer),OR(sel_Category="All",G1046=sel_Category),OR(sel_Product="All",H1046=sel_Product),AND(S1046&gt;=m_From,S1046&lt;=m_To)),1,0)</f>
        <v/>
      </c>
      <c r="W1046" s="36">
        <f>IF(AND(OR(sel_Region="All",C1046=sel_Region),OR(sel_Country="All",D1046=sel_Country),OR(sel_Customer="All",F1046=sel_Customer),OR(sel_Category="All",G1046=sel_Category),OR(sel_Product="All",H1046=sel_Product),AND(S1046&gt;=m_From,S1046&lt;=m_To)),1,0)</f>
        <v/>
      </c>
      <c r="X1046" s="36">
        <f>IF(AND(OR(sel_Region="All",C1046=sel_Region),OR(sel_Country="All",D1046=sel_Country),OR(sel_Channel="All",E1046=sel_Channel),OR(sel_Category="All",G1046=sel_Category),OR(sel_Product="All",H1046=sel_Product),AND(S1046&gt;=m_From,S1046&lt;=m_To)),1,0)</f>
        <v/>
      </c>
      <c r="Y1046" s="36">
        <f>IF(AND(OR(sel_Region="All",C1046=sel_Region),OR(sel_Country="All",D1046=sel_Country),OR(sel_Channel="All",E1046=sel_Channel),OR(sel_Customer="All",F1046=sel_Customer),OR(sel_Product="All",H1046=sel_Product),AND(S1046&gt;=m_From,S1046&lt;=m_To)),1,0)</f>
        <v/>
      </c>
      <c r="Z1046" s="36">
        <f>IF(AND(OR(sel_Region="All",C1046=sel_Region),OR(sel_Country="All",D1046=sel_Country),OR(sel_Channel="All",E1046=sel_Channel),OR(sel_Customer="All",F1046=sel_Customer),OR(sel_Category="All",G1046=sel_Category),AND(S1046&gt;=m_From,S1046&lt;=m_To)),1,0)</f>
        <v/>
      </c>
      <c r="AA1046" s="36">
        <f>IF(AND(OR(sel_Region="All",C1046=sel_Region),OR(sel_Country="All",D1046=sel_Country),OR(sel_Channel="All",E1046=sel_Channel),OR(sel_Customer="All",F1046=sel_Customer),OR(sel_Category="All",G1046=sel_Category),OR(sel_Product="All",H1046=sel_Product)),1,0)</f>
        <v/>
      </c>
    </row>
    <row r="1047">
      <c r="A1047" s="36" t="inlineStr">
        <is>
          <t>00372</t>
        </is>
      </c>
      <c r="B1047" s="44" t="n">
        <v>46183</v>
      </c>
      <c r="C1047" s="36" t="inlineStr">
        <is>
          <t>Central Europe</t>
        </is>
      </c>
      <c r="D1047" s="36" t="inlineStr">
        <is>
          <t>Germany</t>
        </is>
      </c>
      <c r="E1047" s="36" t="inlineStr">
        <is>
          <t>Online Store</t>
        </is>
      </c>
      <c r="F1047" s="36" t="inlineStr">
        <is>
          <t>Returning</t>
        </is>
      </c>
      <c r="G1047" s="36" t="inlineStr">
        <is>
          <t>Fitness</t>
        </is>
      </c>
      <c r="H1047" s="36" t="inlineStr">
        <is>
          <t>Recovery Roller</t>
        </is>
      </c>
      <c r="I1047" s="36" t="n">
        <v>3</v>
      </c>
      <c r="J1047" s="39" t="n">
        <v>35.94</v>
      </c>
      <c r="K1047" s="45" t="n">
        <v>0.1</v>
      </c>
      <c r="L1047" s="39" t="n">
        <v>14.04</v>
      </c>
      <c r="M1047" s="39">
        <f>I1047*J1047*(1-K1047)</f>
        <v/>
      </c>
      <c r="N1047" s="39">
        <f>I1047*L1047</f>
        <v/>
      </c>
      <c r="O1047" s="39">
        <f>M1047-N1047</f>
        <v/>
      </c>
      <c r="P1047" s="38">
        <f>IF(M1047=0,0,O1047/M1047)</f>
        <v/>
      </c>
      <c r="Q1047" s="36">
        <f>YEAR(B1047)</f>
        <v/>
      </c>
      <c r="R1047" s="36">
        <f>"Q"&amp;ROUNDUP(MONTH(B1047)/3,0)</f>
        <v/>
      </c>
      <c r="S1047" s="36">
        <f>MONTH(B1047)</f>
        <v/>
      </c>
      <c r="T1047" s="36">
        <f>TEXT(B1047,"mmm")</f>
        <v/>
      </c>
      <c r="U1047" s="36">
        <f>IF(AND(OR(sel_Region="All",C1047=sel_Region),OR(sel_Country="All",D1047=sel_Country),OR(sel_Channel="All",E1047=sel_Channel),OR(sel_Customer="All",F1047=sel_Customer),OR(sel_Category="All",G1047=sel_Category),OR(sel_Product="All",H1047=sel_Product),AND(S1047&gt;=m_From,S1047&lt;=m_To)),1,0)</f>
        <v/>
      </c>
      <c r="V1047" s="36">
        <f>IF(AND(OR(sel_Region="All",C1047=sel_Region),OR(sel_Channel="All",E1047=sel_Channel),OR(sel_Customer="All",F1047=sel_Customer),OR(sel_Category="All",G1047=sel_Category),OR(sel_Product="All",H1047=sel_Product),AND(S1047&gt;=m_From,S1047&lt;=m_To)),1,0)</f>
        <v/>
      </c>
      <c r="W1047" s="36">
        <f>IF(AND(OR(sel_Region="All",C1047=sel_Region),OR(sel_Country="All",D1047=sel_Country),OR(sel_Customer="All",F1047=sel_Customer),OR(sel_Category="All",G1047=sel_Category),OR(sel_Product="All",H1047=sel_Product),AND(S1047&gt;=m_From,S1047&lt;=m_To)),1,0)</f>
        <v/>
      </c>
      <c r="X1047" s="36">
        <f>IF(AND(OR(sel_Region="All",C1047=sel_Region),OR(sel_Country="All",D1047=sel_Country),OR(sel_Channel="All",E1047=sel_Channel),OR(sel_Category="All",G1047=sel_Category),OR(sel_Product="All",H1047=sel_Product),AND(S1047&gt;=m_From,S1047&lt;=m_To)),1,0)</f>
        <v/>
      </c>
      <c r="Y1047" s="36">
        <f>IF(AND(OR(sel_Region="All",C1047=sel_Region),OR(sel_Country="All",D1047=sel_Country),OR(sel_Channel="All",E1047=sel_Channel),OR(sel_Customer="All",F1047=sel_Customer),OR(sel_Product="All",H1047=sel_Product),AND(S1047&gt;=m_From,S1047&lt;=m_To)),1,0)</f>
        <v/>
      </c>
      <c r="Z1047" s="36">
        <f>IF(AND(OR(sel_Region="All",C1047=sel_Region),OR(sel_Country="All",D1047=sel_Country),OR(sel_Channel="All",E1047=sel_Channel),OR(sel_Customer="All",F1047=sel_Customer),OR(sel_Category="All",G1047=sel_Category),AND(S1047&gt;=m_From,S1047&lt;=m_To)),1,0)</f>
        <v/>
      </c>
      <c r="AA1047" s="36">
        <f>IF(AND(OR(sel_Region="All",C1047=sel_Region),OR(sel_Country="All",D1047=sel_Country),OR(sel_Channel="All",E1047=sel_Channel),OR(sel_Customer="All",F1047=sel_Customer),OR(sel_Category="All",G1047=sel_Category),OR(sel_Product="All",H1047=sel_Product)),1,0)</f>
        <v/>
      </c>
    </row>
    <row r="1048">
      <c r="A1048" s="36" t="inlineStr">
        <is>
          <t>00532</t>
        </is>
      </c>
      <c r="B1048" s="44" t="n">
        <v>46183</v>
      </c>
      <c r="C1048" s="36" t="inlineStr">
        <is>
          <t>Northern Europe</t>
        </is>
      </c>
      <c r="D1048" s="36" t="inlineStr">
        <is>
          <t>Finland</t>
        </is>
      </c>
      <c r="E1048" s="36" t="inlineStr">
        <is>
          <t>Retail Partners</t>
        </is>
      </c>
      <c r="F1048" s="36" t="inlineStr">
        <is>
          <t>Returning</t>
        </is>
      </c>
      <c r="G1048" s="36" t="inlineStr">
        <is>
          <t>Hiking</t>
        </is>
      </c>
      <c r="H1048" s="36" t="inlineStr">
        <is>
          <t>Trail Boots</t>
        </is>
      </c>
      <c r="I1048" s="36" t="n">
        <v>1</v>
      </c>
      <c r="J1048" s="39" t="n">
        <v>145.34</v>
      </c>
      <c r="K1048" s="45" t="n">
        <v>0.05</v>
      </c>
      <c r="L1048" s="39" t="n">
        <v>77.89</v>
      </c>
      <c r="M1048" s="39">
        <f>I1048*J1048*(1-K1048)</f>
        <v/>
      </c>
      <c r="N1048" s="39">
        <f>I1048*L1048</f>
        <v/>
      </c>
      <c r="O1048" s="39">
        <f>M1048-N1048</f>
        <v/>
      </c>
      <c r="P1048" s="38">
        <f>IF(M1048=0,0,O1048/M1048)</f>
        <v/>
      </c>
      <c r="Q1048" s="36">
        <f>YEAR(B1048)</f>
        <v/>
      </c>
      <c r="R1048" s="36">
        <f>"Q"&amp;ROUNDUP(MONTH(B1048)/3,0)</f>
        <v/>
      </c>
      <c r="S1048" s="36">
        <f>MONTH(B1048)</f>
        <v/>
      </c>
      <c r="T1048" s="36">
        <f>TEXT(B1048,"mmm")</f>
        <v/>
      </c>
      <c r="U1048" s="36">
        <f>IF(AND(OR(sel_Region="All",C1048=sel_Region),OR(sel_Country="All",D1048=sel_Country),OR(sel_Channel="All",E1048=sel_Channel),OR(sel_Customer="All",F1048=sel_Customer),OR(sel_Category="All",G1048=sel_Category),OR(sel_Product="All",H1048=sel_Product),AND(S1048&gt;=m_From,S1048&lt;=m_To)),1,0)</f>
        <v/>
      </c>
      <c r="V1048" s="36">
        <f>IF(AND(OR(sel_Region="All",C1048=sel_Region),OR(sel_Channel="All",E1048=sel_Channel),OR(sel_Customer="All",F1048=sel_Customer),OR(sel_Category="All",G1048=sel_Category),OR(sel_Product="All",H1048=sel_Product),AND(S1048&gt;=m_From,S1048&lt;=m_To)),1,0)</f>
        <v/>
      </c>
      <c r="W1048" s="36">
        <f>IF(AND(OR(sel_Region="All",C1048=sel_Region),OR(sel_Country="All",D1048=sel_Country),OR(sel_Customer="All",F1048=sel_Customer),OR(sel_Category="All",G1048=sel_Category),OR(sel_Product="All",H1048=sel_Product),AND(S1048&gt;=m_From,S1048&lt;=m_To)),1,0)</f>
        <v/>
      </c>
      <c r="X1048" s="36">
        <f>IF(AND(OR(sel_Region="All",C1048=sel_Region),OR(sel_Country="All",D1048=sel_Country),OR(sel_Channel="All",E1048=sel_Channel),OR(sel_Category="All",G1048=sel_Category),OR(sel_Product="All",H1048=sel_Product),AND(S1048&gt;=m_From,S1048&lt;=m_To)),1,0)</f>
        <v/>
      </c>
      <c r="Y1048" s="36">
        <f>IF(AND(OR(sel_Region="All",C1048=sel_Region),OR(sel_Country="All",D1048=sel_Country),OR(sel_Channel="All",E1048=sel_Channel),OR(sel_Customer="All",F1048=sel_Customer),OR(sel_Product="All",H1048=sel_Product),AND(S1048&gt;=m_From,S1048&lt;=m_To)),1,0)</f>
        <v/>
      </c>
      <c r="Z1048" s="36">
        <f>IF(AND(OR(sel_Region="All",C1048=sel_Region),OR(sel_Country="All",D1048=sel_Country),OR(sel_Channel="All",E1048=sel_Channel),OR(sel_Customer="All",F1048=sel_Customer),OR(sel_Category="All",G1048=sel_Category),AND(S1048&gt;=m_From,S1048&lt;=m_To)),1,0)</f>
        <v/>
      </c>
      <c r="AA1048" s="36">
        <f>IF(AND(OR(sel_Region="All",C1048=sel_Region),OR(sel_Country="All",D1048=sel_Country),OR(sel_Channel="All",E1048=sel_Channel),OR(sel_Customer="All",F1048=sel_Customer),OR(sel_Category="All",G1048=sel_Category),OR(sel_Product="All",H1048=sel_Product)),1,0)</f>
        <v/>
      </c>
    </row>
    <row r="1049">
      <c r="A1049" s="36" t="inlineStr">
        <is>
          <t>00910</t>
        </is>
      </c>
      <c r="B1049" s="44" t="n">
        <v>46183</v>
      </c>
      <c r="C1049" s="36" t="inlineStr">
        <is>
          <t>Northern Europe</t>
        </is>
      </c>
      <c r="D1049" s="36" t="inlineStr">
        <is>
          <t>Norway</t>
        </is>
      </c>
      <c r="E1049" s="36" t="inlineStr">
        <is>
          <t>Online Store</t>
        </is>
      </c>
      <c r="F1049" s="36" t="inlineStr">
        <is>
          <t>Business</t>
        </is>
      </c>
      <c r="G1049" s="36" t="inlineStr">
        <is>
          <t>Travel</t>
        </is>
      </c>
      <c r="H1049" s="36" t="inlineStr">
        <is>
          <t>Insulated Bottle</t>
        </is>
      </c>
      <c r="I1049" s="36" t="n">
        <v>1</v>
      </c>
      <c r="J1049" s="39" t="n">
        <v>35.95</v>
      </c>
      <c r="K1049" s="45" t="n">
        <v>0.1</v>
      </c>
      <c r="L1049" s="39" t="n">
        <v>13.63</v>
      </c>
      <c r="M1049" s="39">
        <f>I1049*J1049*(1-K1049)</f>
        <v/>
      </c>
      <c r="N1049" s="39">
        <f>I1049*L1049</f>
        <v/>
      </c>
      <c r="O1049" s="39">
        <f>M1049-N1049</f>
        <v/>
      </c>
      <c r="P1049" s="38">
        <f>IF(M1049=0,0,O1049/M1049)</f>
        <v/>
      </c>
      <c r="Q1049" s="36">
        <f>YEAR(B1049)</f>
        <v/>
      </c>
      <c r="R1049" s="36">
        <f>"Q"&amp;ROUNDUP(MONTH(B1049)/3,0)</f>
        <v/>
      </c>
      <c r="S1049" s="36">
        <f>MONTH(B1049)</f>
        <v/>
      </c>
      <c r="T1049" s="36">
        <f>TEXT(B1049,"mmm")</f>
        <v/>
      </c>
      <c r="U1049" s="36">
        <f>IF(AND(OR(sel_Region="All",C1049=sel_Region),OR(sel_Country="All",D1049=sel_Country),OR(sel_Channel="All",E1049=sel_Channel),OR(sel_Customer="All",F1049=sel_Customer),OR(sel_Category="All",G1049=sel_Category),OR(sel_Product="All",H1049=sel_Product),AND(S1049&gt;=m_From,S1049&lt;=m_To)),1,0)</f>
        <v/>
      </c>
      <c r="V1049" s="36">
        <f>IF(AND(OR(sel_Region="All",C1049=sel_Region),OR(sel_Channel="All",E1049=sel_Channel),OR(sel_Customer="All",F1049=sel_Customer),OR(sel_Category="All",G1049=sel_Category),OR(sel_Product="All",H1049=sel_Product),AND(S1049&gt;=m_From,S1049&lt;=m_To)),1,0)</f>
        <v/>
      </c>
      <c r="W1049" s="36">
        <f>IF(AND(OR(sel_Region="All",C1049=sel_Region),OR(sel_Country="All",D1049=sel_Country),OR(sel_Customer="All",F1049=sel_Customer),OR(sel_Category="All",G1049=sel_Category),OR(sel_Product="All",H1049=sel_Product),AND(S1049&gt;=m_From,S1049&lt;=m_To)),1,0)</f>
        <v/>
      </c>
      <c r="X1049" s="36">
        <f>IF(AND(OR(sel_Region="All",C1049=sel_Region),OR(sel_Country="All",D1049=sel_Country),OR(sel_Channel="All",E1049=sel_Channel),OR(sel_Category="All",G1049=sel_Category),OR(sel_Product="All",H1049=sel_Product),AND(S1049&gt;=m_From,S1049&lt;=m_To)),1,0)</f>
        <v/>
      </c>
      <c r="Y1049" s="36">
        <f>IF(AND(OR(sel_Region="All",C1049=sel_Region),OR(sel_Country="All",D1049=sel_Country),OR(sel_Channel="All",E1049=sel_Channel),OR(sel_Customer="All",F1049=sel_Customer),OR(sel_Product="All",H1049=sel_Product),AND(S1049&gt;=m_From,S1049&lt;=m_To)),1,0)</f>
        <v/>
      </c>
      <c r="Z1049" s="36">
        <f>IF(AND(OR(sel_Region="All",C1049=sel_Region),OR(sel_Country="All",D1049=sel_Country),OR(sel_Channel="All",E1049=sel_Channel),OR(sel_Customer="All",F1049=sel_Customer),OR(sel_Category="All",G1049=sel_Category),AND(S1049&gt;=m_From,S1049&lt;=m_To)),1,0)</f>
        <v/>
      </c>
      <c r="AA1049" s="36">
        <f>IF(AND(OR(sel_Region="All",C1049=sel_Region),OR(sel_Country="All",D1049=sel_Country),OR(sel_Channel="All",E1049=sel_Channel),OR(sel_Customer="All",F1049=sel_Customer),OR(sel_Category="All",G1049=sel_Category),OR(sel_Product="All",H1049=sel_Product)),1,0)</f>
        <v/>
      </c>
    </row>
    <row r="1050">
      <c r="A1050" s="36" t="inlineStr">
        <is>
          <t>00938</t>
        </is>
      </c>
      <c r="B1050" s="44" t="n">
        <v>46183</v>
      </c>
      <c r="C1050" s="36" t="inlineStr">
        <is>
          <t>Western Europe</t>
        </is>
      </c>
      <c r="D1050" s="36" t="inlineStr">
        <is>
          <t>France</t>
        </is>
      </c>
      <c r="E1050" s="36" t="inlineStr">
        <is>
          <t>Retail Partners</t>
        </is>
      </c>
      <c r="F1050" s="36" t="inlineStr">
        <is>
          <t>Business</t>
        </is>
      </c>
      <c r="G1050" s="36" t="inlineStr">
        <is>
          <t>Fitness</t>
        </is>
      </c>
      <c r="H1050" s="36" t="inlineStr">
        <is>
          <t>Training Mat</t>
        </is>
      </c>
      <c r="I1050" s="36" t="n">
        <v>1</v>
      </c>
      <c r="J1050" s="39" t="n">
        <v>51.09</v>
      </c>
      <c r="K1050" s="45" t="n">
        <v>0</v>
      </c>
      <c r="L1050" s="39" t="n">
        <v>22.4</v>
      </c>
      <c r="M1050" s="39">
        <f>I1050*J1050*(1-K1050)</f>
        <v/>
      </c>
      <c r="N1050" s="39">
        <f>I1050*L1050</f>
        <v/>
      </c>
      <c r="O1050" s="39">
        <f>M1050-N1050</f>
        <v/>
      </c>
      <c r="P1050" s="38">
        <f>IF(M1050=0,0,O1050/M1050)</f>
        <v/>
      </c>
      <c r="Q1050" s="36">
        <f>YEAR(B1050)</f>
        <v/>
      </c>
      <c r="R1050" s="36">
        <f>"Q"&amp;ROUNDUP(MONTH(B1050)/3,0)</f>
        <v/>
      </c>
      <c r="S1050" s="36">
        <f>MONTH(B1050)</f>
        <v/>
      </c>
      <c r="T1050" s="36">
        <f>TEXT(B1050,"mmm")</f>
        <v/>
      </c>
      <c r="U1050" s="36">
        <f>IF(AND(OR(sel_Region="All",C1050=sel_Region),OR(sel_Country="All",D1050=sel_Country),OR(sel_Channel="All",E1050=sel_Channel),OR(sel_Customer="All",F1050=sel_Customer),OR(sel_Category="All",G1050=sel_Category),OR(sel_Product="All",H1050=sel_Product),AND(S1050&gt;=m_From,S1050&lt;=m_To)),1,0)</f>
        <v/>
      </c>
      <c r="V1050" s="36">
        <f>IF(AND(OR(sel_Region="All",C1050=sel_Region),OR(sel_Channel="All",E1050=sel_Channel),OR(sel_Customer="All",F1050=sel_Customer),OR(sel_Category="All",G1050=sel_Category),OR(sel_Product="All",H1050=sel_Product),AND(S1050&gt;=m_From,S1050&lt;=m_To)),1,0)</f>
        <v/>
      </c>
      <c r="W1050" s="36">
        <f>IF(AND(OR(sel_Region="All",C1050=sel_Region),OR(sel_Country="All",D1050=sel_Country),OR(sel_Customer="All",F1050=sel_Customer),OR(sel_Category="All",G1050=sel_Category),OR(sel_Product="All",H1050=sel_Product),AND(S1050&gt;=m_From,S1050&lt;=m_To)),1,0)</f>
        <v/>
      </c>
      <c r="X1050" s="36">
        <f>IF(AND(OR(sel_Region="All",C1050=sel_Region),OR(sel_Country="All",D1050=sel_Country),OR(sel_Channel="All",E1050=sel_Channel),OR(sel_Category="All",G1050=sel_Category),OR(sel_Product="All",H1050=sel_Product),AND(S1050&gt;=m_From,S1050&lt;=m_To)),1,0)</f>
        <v/>
      </c>
      <c r="Y1050" s="36">
        <f>IF(AND(OR(sel_Region="All",C1050=sel_Region),OR(sel_Country="All",D1050=sel_Country),OR(sel_Channel="All",E1050=sel_Channel),OR(sel_Customer="All",F1050=sel_Customer),OR(sel_Product="All",H1050=sel_Product),AND(S1050&gt;=m_From,S1050&lt;=m_To)),1,0)</f>
        <v/>
      </c>
      <c r="Z1050" s="36">
        <f>IF(AND(OR(sel_Region="All",C1050=sel_Region),OR(sel_Country="All",D1050=sel_Country),OR(sel_Channel="All",E1050=sel_Channel),OR(sel_Customer="All",F1050=sel_Customer),OR(sel_Category="All",G1050=sel_Category),AND(S1050&gt;=m_From,S1050&lt;=m_To)),1,0)</f>
        <v/>
      </c>
      <c r="AA1050" s="36">
        <f>IF(AND(OR(sel_Region="All",C1050=sel_Region),OR(sel_Country="All",D1050=sel_Country),OR(sel_Channel="All",E1050=sel_Channel),OR(sel_Customer="All",F1050=sel_Customer),OR(sel_Category="All",G1050=sel_Category),OR(sel_Product="All",H1050=sel_Product)),1,0)</f>
        <v/>
      </c>
    </row>
    <row r="1051">
      <c r="A1051" s="36" t="inlineStr">
        <is>
          <t>01079</t>
        </is>
      </c>
      <c r="B1051" s="44" t="n">
        <v>46183</v>
      </c>
      <c r="C1051" s="36" t="inlineStr">
        <is>
          <t>Central Europe</t>
        </is>
      </c>
      <c r="D1051" s="36" t="inlineStr">
        <is>
          <t>Poland</t>
        </is>
      </c>
      <c r="E1051" s="36" t="inlineStr">
        <is>
          <t>Retail Partners</t>
        </is>
      </c>
      <c r="F1051" s="36" t="inlineStr">
        <is>
          <t>Returning</t>
        </is>
      </c>
      <c r="G1051" s="36" t="inlineStr">
        <is>
          <t>Camping</t>
        </is>
      </c>
      <c r="H1051" s="36" t="inlineStr">
        <is>
          <t>Trail Tent 2P</t>
        </is>
      </c>
      <c r="I1051" s="36" t="n">
        <v>2</v>
      </c>
      <c r="J1051" s="39" t="n">
        <v>198.69</v>
      </c>
      <c r="K1051" s="45" t="n">
        <v>0.15</v>
      </c>
      <c r="L1051" s="39" t="n">
        <v>104.25</v>
      </c>
      <c r="M1051" s="39">
        <f>I1051*J1051*(1-K1051)</f>
        <v/>
      </c>
      <c r="N1051" s="39">
        <f>I1051*L1051</f>
        <v/>
      </c>
      <c r="O1051" s="39">
        <f>M1051-N1051</f>
        <v/>
      </c>
      <c r="P1051" s="38">
        <f>IF(M1051=0,0,O1051/M1051)</f>
        <v/>
      </c>
      <c r="Q1051" s="36">
        <f>YEAR(B1051)</f>
        <v/>
      </c>
      <c r="R1051" s="36">
        <f>"Q"&amp;ROUNDUP(MONTH(B1051)/3,0)</f>
        <v/>
      </c>
      <c r="S1051" s="36">
        <f>MONTH(B1051)</f>
        <v/>
      </c>
      <c r="T1051" s="36">
        <f>TEXT(B1051,"mmm")</f>
        <v/>
      </c>
      <c r="U1051" s="36">
        <f>IF(AND(OR(sel_Region="All",C1051=sel_Region),OR(sel_Country="All",D1051=sel_Country),OR(sel_Channel="All",E1051=sel_Channel),OR(sel_Customer="All",F1051=sel_Customer),OR(sel_Category="All",G1051=sel_Category),OR(sel_Product="All",H1051=sel_Product),AND(S1051&gt;=m_From,S1051&lt;=m_To)),1,0)</f>
        <v/>
      </c>
      <c r="V1051" s="36">
        <f>IF(AND(OR(sel_Region="All",C1051=sel_Region),OR(sel_Channel="All",E1051=sel_Channel),OR(sel_Customer="All",F1051=sel_Customer),OR(sel_Category="All",G1051=sel_Category),OR(sel_Product="All",H1051=sel_Product),AND(S1051&gt;=m_From,S1051&lt;=m_To)),1,0)</f>
        <v/>
      </c>
      <c r="W1051" s="36">
        <f>IF(AND(OR(sel_Region="All",C1051=sel_Region),OR(sel_Country="All",D1051=sel_Country),OR(sel_Customer="All",F1051=sel_Customer),OR(sel_Category="All",G1051=sel_Category),OR(sel_Product="All",H1051=sel_Product),AND(S1051&gt;=m_From,S1051&lt;=m_To)),1,0)</f>
        <v/>
      </c>
      <c r="X1051" s="36">
        <f>IF(AND(OR(sel_Region="All",C1051=sel_Region),OR(sel_Country="All",D1051=sel_Country),OR(sel_Channel="All",E1051=sel_Channel),OR(sel_Category="All",G1051=sel_Category),OR(sel_Product="All",H1051=sel_Product),AND(S1051&gt;=m_From,S1051&lt;=m_To)),1,0)</f>
        <v/>
      </c>
      <c r="Y1051" s="36">
        <f>IF(AND(OR(sel_Region="All",C1051=sel_Region),OR(sel_Country="All",D1051=sel_Country),OR(sel_Channel="All",E1051=sel_Channel),OR(sel_Customer="All",F1051=sel_Customer),OR(sel_Product="All",H1051=sel_Product),AND(S1051&gt;=m_From,S1051&lt;=m_To)),1,0)</f>
        <v/>
      </c>
      <c r="Z1051" s="36">
        <f>IF(AND(OR(sel_Region="All",C1051=sel_Region),OR(sel_Country="All",D1051=sel_Country),OR(sel_Channel="All",E1051=sel_Channel),OR(sel_Customer="All",F1051=sel_Customer),OR(sel_Category="All",G1051=sel_Category),AND(S1051&gt;=m_From,S1051&lt;=m_To)),1,0)</f>
        <v/>
      </c>
      <c r="AA1051" s="36">
        <f>IF(AND(OR(sel_Region="All",C1051=sel_Region),OR(sel_Country="All",D1051=sel_Country),OR(sel_Channel="All",E1051=sel_Channel),OR(sel_Customer="All",F1051=sel_Customer),OR(sel_Category="All",G1051=sel_Category),OR(sel_Product="All",H1051=sel_Product)),1,0)</f>
        <v/>
      </c>
    </row>
    <row r="1052">
      <c r="A1052" s="36" t="inlineStr">
        <is>
          <t>01662</t>
        </is>
      </c>
      <c r="B1052" s="44" t="n">
        <v>46183</v>
      </c>
      <c r="C1052" s="36" t="inlineStr">
        <is>
          <t>Central Europe</t>
        </is>
      </c>
      <c r="D1052" s="36" t="inlineStr">
        <is>
          <t>Austria</t>
        </is>
      </c>
      <c r="E1052" s="36" t="inlineStr">
        <is>
          <t>Retail Partners</t>
        </is>
      </c>
      <c r="F1052" s="36" t="inlineStr">
        <is>
          <t>New</t>
        </is>
      </c>
      <c r="G1052" s="36" t="inlineStr">
        <is>
          <t>Cycling</t>
        </is>
      </c>
      <c r="H1052" s="36" t="inlineStr">
        <is>
          <t>Commuter Helmet</t>
        </is>
      </c>
      <c r="I1052" s="36" t="n">
        <v>3</v>
      </c>
      <c r="J1052" s="39" t="n">
        <v>83.45</v>
      </c>
      <c r="K1052" s="45" t="n">
        <v>0</v>
      </c>
      <c r="L1052" s="39" t="n">
        <v>43.73</v>
      </c>
      <c r="M1052" s="39">
        <f>I1052*J1052*(1-K1052)</f>
        <v/>
      </c>
      <c r="N1052" s="39">
        <f>I1052*L1052</f>
        <v/>
      </c>
      <c r="O1052" s="39">
        <f>M1052-N1052</f>
        <v/>
      </c>
      <c r="P1052" s="38">
        <f>IF(M1052=0,0,O1052/M1052)</f>
        <v/>
      </c>
      <c r="Q1052" s="36">
        <f>YEAR(B1052)</f>
        <v/>
      </c>
      <c r="R1052" s="36">
        <f>"Q"&amp;ROUNDUP(MONTH(B1052)/3,0)</f>
        <v/>
      </c>
      <c r="S1052" s="36">
        <f>MONTH(B1052)</f>
        <v/>
      </c>
      <c r="T1052" s="36">
        <f>TEXT(B1052,"mmm")</f>
        <v/>
      </c>
      <c r="U1052" s="36">
        <f>IF(AND(OR(sel_Region="All",C1052=sel_Region),OR(sel_Country="All",D1052=sel_Country),OR(sel_Channel="All",E1052=sel_Channel),OR(sel_Customer="All",F1052=sel_Customer),OR(sel_Category="All",G1052=sel_Category),OR(sel_Product="All",H1052=sel_Product),AND(S1052&gt;=m_From,S1052&lt;=m_To)),1,0)</f>
        <v/>
      </c>
      <c r="V1052" s="36">
        <f>IF(AND(OR(sel_Region="All",C1052=sel_Region),OR(sel_Channel="All",E1052=sel_Channel),OR(sel_Customer="All",F1052=sel_Customer),OR(sel_Category="All",G1052=sel_Category),OR(sel_Product="All",H1052=sel_Product),AND(S1052&gt;=m_From,S1052&lt;=m_To)),1,0)</f>
        <v/>
      </c>
      <c r="W1052" s="36">
        <f>IF(AND(OR(sel_Region="All",C1052=sel_Region),OR(sel_Country="All",D1052=sel_Country),OR(sel_Customer="All",F1052=sel_Customer),OR(sel_Category="All",G1052=sel_Category),OR(sel_Product="All",H1052=sel_Product),AND(S1052&gt;=m_From,S1052&lt;=m_To)),1,0)</f>
        <v/>
      </c>
      <c r="X1052" s="36">
        <f>IF(AND(OR(sel_Region="All",C1052=sel_Region),OR(sel_Country="All",D1052=sel_Country),OR(sel_Channel="All",E1052=sel_Channel),OR(sel_Category="All",G1052=sel_Category),OR(sel_Product="All",H1052=sel_Product),AND(S1052&gt;=m_From,S1052&lt;=m_To)),1,0)</f>
        <v/>
      </c>
      <c r="Y1052" s="36">
        <f>IF(AND(OR(sel_Region="All",C1052=sel_Region),OR(sel_Country="All",D1052=sel_Country),OR(sel_Channel="All",E1052=sel_Channel),OR(sel_Customer="All",F1052=sel_Customer),OR(sel_Product="All",H1052=sel_Product),AND(S1052&gt;=m_From,S1052&lt;=m_To)),1,0)</f>
        <v/>
      </c>
      <c r="Z1052" s="36">
        <f>IF(AND(OR(sel_Region="All",C1052=sel_Region),OR(sel_Country="All",D1052=sel_Country),OR(sel_Channel="All",E1052=sel_Channel),OR(sel_Customer="All",F1052=sel_Customer),OR(sel_Category="All",G1052=sel_Category),AND(S1052&gt;=m_From,S1052&lt;=m_To)),1,0)</f>
        <v/>
      </c>
      <c r="AA1052" s="36">
        <f>IF(AND(OR(sel_Region="All",C1052=sel_Region),OR(sel_Country="All",D1052=sel_Country),OR(sel_Channel="All",E1052=sel_Channel),OR(sel_Customer="All",F1052=sel_Customer),OR(sel_Category="All",G1052=sel_Category),OR(sel_Product="All",H1052=sel_Product)),1,0)</f>
        <v/>
      </c>
    </row>
    <row r="1053">
      <c r="A1053" s="36" t="inlineStr">
        <is>
          <t>02748</t>
        </is>
      </c>
      <c r="B1053" s="44" t="n">
        <v>46183</v>
      </c>
      <c r="C1053" s="36" t="inlineStr">
        <is>
          <t>Northern Europe</t>
        </is>
      </c>
      <c r="D1053" s="36" t="inlineStr">
        <is>
          <t>Sweden</t>
        </is>
      </c>
      <c r="E1053" s="36" t="inlineStr">
        <is>
          <t>Online Store</t>
        </is>
      </c>
      <c r="F1053" s="36" t="inlineStr">
        <is>
          <t>New</t>
        </is>
      </c>
      <c r="G1053" s="36" t="inlineStr">
        <is>
          <t>Fitness</t>
        </is>
      </c>
      <c r="H1053" s="36" t="inlineStr">
        <is>
          <t>Resistance Band Set</t>
        </is>
      </c>
      <c r="I1053" s="36" t="n">
        <v>2</v>
      </c>
      <c r="J1053" s="39" t="n">
        <v>40.86</v>
      </c>
      <c r="K1053" s="45" t="n">
        <v>0</v>
      </c>
      <c r="L1053" s="39" t="n">
        <v>14.59</v>
      </c>
      <c r="M1053" s="39">
        <f>I1053*J1053*(1-K1053)</f>
        <v/>
      </c>
      <c r="N1053" s="39">
        <f>I1053*L1053</f>
        <v/>
      </c>
      <c r="O1053" s="39">
        <f>M1053-N1053</f>
        <v/>
      </c>
      <c r="P1053" s="38">
        <f>IF(M1053=0,0,O1053/M1053)</f>
        <v/>
      </c>
      <c r="Q1053" s="36">
        <f>YEAR(B1053)</f>
        <v/>
      </c>
      <c r="R1053" s="36">
        <f>"Q"&amp;ROUNDUP(MONTH(B1053)/3,0)</f>
        <v/>
      </c>
      <c r="S1053" s="36">
        <f>MONTH(B1053)</f>
        <v/>
      </c>
      <c r="T1053" s="36">
        <f>TEXT(B1053,"mmm")</f>
        <v/>
      </c>
      <c r="U1053" s="36">
        <f>IF(AND(OR(sel_Region="All",C1053=sel_Region),OR(sel_Country="All",D1053=sel_Country),OR(sel_Channel="All",E1053=sel_Channel),OR(sel_Customer="All",F1053=sel_Customer),OR(sel_Category="All",G1053=sel_Category),OR(sel_Product="All",H1053=sel_Product),AND(S1053&gt;=m_From,S1053&lt;=m_To)),1,0)</f>
        <v/>
      </c>
      <c r="V1053" s="36">
        <f>IF(AND(OR(sel_Region="All",C1053=sel_Region),OR(sel_Channel="All",E1053=sel_Channel),OR(sel_Customer="All",F1053=sel_Customer),OR(sel_Category="All",G1053=sel_Category),OR(sel_Product="All",H1053=sel_Product),AND(S1053&gt;=m_From,S1053&lt;=m_To)),1,0)</f>
        <v/>
      </c>
      <c r="W1053" s="36">
        <f>IF(AND(OR(sel_Region="All",C1053=sel_Region),OR(sel_Country="All",D1053=sel_Country),OR(sel_Customer="All",F1053=sel_Customer),OR(sel_Category="All",G1053=sel_Category),OR(sel_Product="All",H1053=sel_Product),AND(S1053&gt;=m_From,S1053&lt;=m_To)),1,0)</f>
        <v/>
      </c>
      <c r="X1053" s="36">
        <f>IF(AND(OR(sel_Region="All",C1053=sel_Region),OR(sel_Country="All",D1053=sel_Country),OR(sel_Channel="All",E1053=sel_Channel),OR(sel_Category="All",G1053=sel_Category),OR(sel_Product="All",H1053=sel_Product),AND(S1053&gt;=m_From,S1053&lt;=m_To)),1,0)</f>
        <v/>
      </c>
      <c r="Y1053" s="36">
        <f>IF(AND(OR(sel_Region="All",C1053=sel_Region),OR(sel_Country="All",D1053=sel_Country),OR(sel_Channel="All",E1053=sel_Channel),OR(sel_Customer="All",F1053=sel_Customer),OR(sel_Product="All",H1053=sel_Product),AND(S1053&gt;=m_From,S1053&lt;=m_To)),1,0)</f>
        <v/>
      </c>
      <c r="Z1053" s="36">
        <f>IF(AND(OR(sel_Region="All",C1053=sel_Region),OR(sel_Country="All",D1053=sel_Country),OR(sel_Channel="All",E1053=sel_Channel),OR(sel_Customer="All",F1053=sel_Customer),OR(sel_Category="All",G1053=sel_Category),AND(S1053&gt;=m_From,S1053&lt;=m_To)),1,0)</f>
        <v/>
      </c>
      <c r="AA1053" s="36">
        <f>IF(AND(OR(sel_Region="All",C1053=sel_Region),OR(sel_Country="All",D1053=sel_Country),OR(sel_Channel="All",E1053=sel_Channel),OR(sel_Customer="All",F1053=sel_Customer),OR(sel_Category="All",G1053=sel_Category),OR(sel_Product="All",H1053=sel_Product)),1,0)</f>
        <v/>
      </c>
    </row>
    <row r="1054">
      <c r="A1054" s="36" t="inlineStr">
        <is>
          <t>03354</t>
        </is>
      </c>
      <c r="B1054" s="44" t="n">
        <v>46183</v>
      </c>
      <c r="C1054" s="36" t="inlineStr">
        <is>
          <t>Central Europe</t>
        </is>
      </c>
      <c r="D1054" s="36" t="inlineStr">
        <is>
          <t>Austria</t>
        </is>
      </c>
      <c r="E1054" s="36" t="inlineStr">
        <is>
          <t>Retail Partners</t>
        </is>
      </c>
      <c r="F1054" s="36" t="inlineStr">
        <is>
          <t>New</t>
        </is>
      </c>
      <c r="G1054" s="36" t="inlineStr">
        <is>
          <t>Camping</t>
        </is>
      </c>
      <c r="H1054" s="36" t="inlineStr">
        <is>
          <t>Portable Camp Stove</t>
        </is>
      </c>
      <c r="I1054" s="36" t="n">
        <v>1</v>
      </c>
      <c r="J1054" s="39" t="n">
        <v>82.20999999999999</v>
      </c>
      <c r="K1054" s="45" t="n">
        <v>0.05</v>
      </c>
      <c r="L1054" s="39" t="n">
        <v>39.04</v>
      </c>
      <c r="M1054" s="39">
        <f>I1054*J1054*(1-K1054)</f>
        <v/>
      </c>
      <c r="N1054" s="39">
        <f>I1054*L1054</f>
        <v/>
      </c>
      <c r="O1054" s="39">
        <f>M1054-N1054</f>
        <v/>
      </c>
      <c r="P1054" s="38">
        <f>IF(M1054=0,0,O1054/M1054)</f>
        <v/>
      </c>
      <c r="Q1054" s="36">
        <f>YEAR(B1054)</f>
        <v/>
      </c>
      <c r="R1054" s="36">
        <f>"Q"&amp;ROUNDUP(MONTH(B1054)/3,0)</f>
        <v/>
      </c>
      <c r="S1054" s="36">
        <f>MONTH(B1054)</f>
        <v/>
      </c>
      <c r="T1054" s="36">
        <f>TEXT(B1054,"mmm")</f>
        <v/>
      </c>
      <c r="U1054" s="36">
        <f>IF(AND(OR(sel_Region="All",C1054=sel_Region),OR(sel_Country="All",D1054=sel_Country),OR(sel_Channel="All",E1054=sel_Channel),OR(sel_Customer="All",F1054=sel_Customer),OR(sel_Category="All",G1054=sel_Category),OR(sel_Product="All",H1054=sel_Product),AND(S1054&gt;=m_From,S1054&lt;=m_To)),1,0)</f>
        <v/>
      </c>
      <c r="V1054" s="36">
        <f>IF(AND(OR(sel_Region="All",C1054=sel_Region),OR(sel_Channel="All",E1054=sel_Channel),OR(sel_Customer="All",F1054=sel_Customer),OR(sel_Category="All",G1054=sel_Category),OR(sel_Product="All",H1054=sel_Product),AND(S1054&gt;=m_From,S1054&lt;=m_To)),1,0)</f>
        <v/>
      </c>
      <c r="W1054" s="36">
        <f>IF(AND(OR(sel_Region="All",C1054=sel_Region),OR(sel_Country="All",D1054=sel_Country),OR(sel_Customer="All",F1054=sel_Customer),OR(sel_Category="All",G1054=sel_Category),OR(sel_Product="All",H1054=sel_Product),AND(S1054&gt;=m_From,S1054&lt;=m_To)),1,0)</f>
        <v/>
      </c>
      <c r="X1054" s="36">
        <f>IF(AND(OR(sel_Region="All",C1054=sel_Region),OR(sel_Country="All",D1054=sel_Country),OR(sel_Channel="All",E1054=sel_Channel),OR(sel_Category="All",G1054=sel_Category),OR(sel_Product="All",H1054=sel_Product),AND(S1054&gt;=m_From,S1054&lt;=m_To)),1,0)</f>
        <v/>
      </c>
      <c r="Y1054" s="36">
        <f>IF(AND(OR(sel_Region="All",C1054=sel_Region),OR(sel_Country="All",D1054=sel_Country),OR(sel_Channel="All",E1054=sel_Channel),OR(sel_Customer="All",F1054=sel_Customer),OR(sel_Product="All",H1054=sel_Product),AND(S1054&gt;=m_From,S1054&lt;=m_To)),1,0)</f>
        <v/>
      </c>
      <c r="Z1054" s="36">
        <f>IF(AND(OR(sel_Region="All",C1054=sel_Region),OR(sel_Country="All",D1054=sel_Country),OR(sel_Channel="All",E1054=sel_Channel),OR(sel_Customer="All",F1054=sel_Customer),OR(sel_Category="All",G1054=sel_Category),AND(S1054&gt;=m_From,S1054&lt;=m_To)),1,0)</f>
        <v/>
      </c>
      <c r="AA1054" s="36">
        <f>IF(AND(OR(sel_Region="All",C1054=sel_Region),OR(sel_Country="All",D1054=sel_Country),OR(sel_Channel="All",E1054=sel_Channel),OR(sel_Customer="All",F1054=sel_Customer),OR(sel_Category="All",G1054=sel_Category),OR(sel_Product="All",H1054=sel_Product)),1,0)</f>
        <v/>
      </c>
    </row>
    <row r="1055">
      <c r="A1055" s="36" t="inlineStr">
        <is>
          <t>03532</t>
        </is>
      </c>
      <c r="B1055" s="44" t="n">
        <v>46183</v>
      </c>
      <c r="C1055" s="36" t="inlineStr">
        <is>
          <t>Northern Europe</t>
        </is>
      </c>
      <c r="D1055" s="36" t="inlineStr">
        <is>
          <t>Finland</t>
        </is>
      </c>
      <c r="E1055" s="36" t="inlineStr">
        <is>
          <t>Marketplace</t>
        </is>
      </c>
      <c r="F1055" s="36" t="inlineStr">
        <is>
          <t>Business</t>
        </is>
      </c>
      <c r="G1055" s="36" t="inlineStr">
        <is>
          <t>Fitness</t>
        </is>
      </c>
      <c r="H1055" s="36" t="inlineStr">
        <is>
          <t>Recovery Roller</t>
        </is>
      </c>
      <c r="I1055" s="36" t="n">
        <v>1</v>
      </c>
      <c r="J1055" s="39" t="n">
        <v>35.93</v>
      </c>
      <c r="K1055" s="45" t="n">
        <v>0.1</v>
      </c>
      <c r="L1055" s="39" t="n">
        <v>13.52</v>
      </c>
      <c r="M1055" s="39">
        <f>I1055*J1055*(1-K1055)</f>
        <v/>
      </c>
      <c r="N1055" s="39">
        <f>I1055*L1055</f>
        <v/>
      </c>
      <c r="O1055" s="39">
        <f>M1055-N1055</f>
        <v/>
      </c>
      <c r="P1055" s="38">
        <f>IF(M1055=0,0,O1055/M1055)</f>
        <v/>
      </c>
      <c r="Q1055" s="36">
        <f>YEAR(B1055)</f>
        <v/>
      </c>
      <c r="R1055" s="36">
        <f>"Q"&amp;ROUNDUP(MONTH(B1055)/3,0)</f>
        <v/>
      </c>
      <c r="S1055" s="36">
        <f>MONTH(B1055)</f>
        <v/>
      </c>
      <c r="T1055" s="36">
        <f>TEXT(B1055,"mmm")</f>
        <v/>
      </c>
      <c r="U1055" s="36">
        <f>IF(AND(OR(sel_Region="All",C1055=sel_Region),OR(sel_Country="All",D1055=sel_Country),OR(sel_Channel="All",E1055=sel_Channel),OR(sel_Customer="All",F1055=sel_Customer),OR(sel_Category="All",G1055=sel_Category),OR(sel_Product="All",H1055=sel_Product),AND(S1055&gt;=m_From,S1055&lt;=m_To)),1,0)</f>
        <v/>
      </c>
      <c r="V1055" s="36">
        <f>IF(AND(OR(sel_Region="All",C1055=sel_Region),OR(sel_Channel="All",E1055=sel_Channel),OR(sel_Customer="All",F1055=sel_Customer),OR(sel_Category="All",G1055=sel_Category),OR(sel_Product="All",H1055=sel_Product),AND(S1055&gt;=m_From,S1055&lt;=m_To)),1,0)</f>
        <v/>
      </c>
      <c r="W1055" s="36">
        <f>IF(AND(OR(sel_Region="All",C1055=sel_Region),OR(sel_Country="All",D1055=sel_Country),OR(sel_Customer="All",F1055=sel_Customer),OR(sel_Category="All",G1055=sel_Category),OR(sel_Product="All",H1055=sel_Product),AND(S1055&gt;=m_From,S1055&lt;=m_To)),1,0)</f>
        <v/>
      </c>
      <c r="X1055" s="36">
        <f>IF(AND(OR(sel_Region="All",C1055=sel_Region),OR(sel_Country="All",D1055=sel_Country),OR(sel_Channel="All",E1055=sel_Channel),OR(sel_Category="All",G1055=sel_Category),OR(sel_Product="All",H1055=sel_Product),AND(S1055&gt;=m_From,S1055&lt;=m_To)),1,0)</f>
        <v/>
      </c>
      <c r="Y1055" s="36">
        <f>IF(AND(OR(sel_Region="All",C1055=sel_Region),OR(sel_Country="All",D1055=sel_Country),OR(sel_Channel="All",E1055=sel_Channel),OR(sel_Customer="All",F1055=sel_Customer),OR(sel_Product="All",H1055=sel_Product),AND(S1055&gt;=m_From,S1055&lt;=m_To)),1,0)</f>
        <v/>
      </c>
      <c r="Z1055" s="36">
        <f>IF(AND(OR(sel_Region="All",C1055=sel_Region),OR(sel_Country="All",D1055=sel_Country),OR(sel_Channel="All",E1055=sel_Channel),OR(sel_Customer="All",F1055=sel_Customer),OR(sel_Category="All",G1055=sel_Category),AND(S1055&gt;=m_From,S1055&lt;=m_To)),1,0)</f>
        <v/>
      </c>
      <c r="AA1055" s="36">
        <f>IF(AND(OR(sel_Region="All",C1055=sel_Region),OR(sel_Country="All",D1055=sel_Country),OR(sel_Channel="All",E1055=sel_Channel),OR(sel_Customer="All",F1055=sel_Customer),OR(sel_Category="All",G1055=sel_Category),OR(sel_Product="All",H1055=sel_Product)),1,0)</f>
        <v/>
      </c>
    </row>
    <row r="1056">
      <c r="A1056" s="36" t="inlineStr">
        <is>
          <t>03636</t>
        </is>
      </c>
      <c r="B1056" s="44" t="n">
        <v>46183</v>
      </c>
      <c r="C1056" s="36" t="inlineStr">
        <is>
          <t>Southern Europe</t>
        </is>
      </c>
      <c r="D1056" s="36" t="inlineStr">
        <is>
          <t>Spain</t>
        </is>
      </c>
      <c r="E1056" s="36" t="inlineStr">
        <is>
          <t>Marketplace</t>
        </is>
      </c>
      <c r="F1056" s="36" t="inlineStr">
        <is>
          <t>New</t>
        </is>
      </c>
      <c r="G1056" s="36" t="inlineStr">
        <is>
          <t>Travel</t>
        </is>
      </c>
      <c r="H1056" s="36" t="inlineStr">
        <is>
          <t>Travel Backpack 35L</t>
        </is>
      </c>
      <c r="I1056" s="36" t="n">
        <v>2</v>
      </c>
      <c r="J1056" s="39" t="n">
        <v>164.77</v>
      </c>
      <c r="K1056" s="45" t="n">
        <v>0</v>
      </c>
      <c r="L1056" s="39" t="n">
        <v>89.06999999999999</v>
      </c>
      <c r="M1056" s="39">
        <f>I1056*J1056*(1-K1056)</f>
        <v/>
      </c>
      <c r="N1056" s="39">
        <f>I1056*L1056</f>
        <v/>
      </c>
      <c r="O1056" s="39">
        <f>M1056-N1056</f>
        <v/>
      </c>
      <c r="P1056" s="38">
        <f>IF(M1056=0,0,O1056/M1056)</f>
        <v/>
      </c>
      <c r="Q1056" s="36">
        <f>YEAR(B1056)</f>
        <v/>
      </c>
      <c r="R1056" s="36">
        <f>"Q"&amp;ROUNDUP(MONTH(B1056)/3,0)</f>
        <v/>
      </c>
      <c r="S1056" s="36">
        <f>MONTH(B1056)</f>
        <v/>
      </c>
      <c r="T1056" s="36">
        <f>TEXT(B1056,"mmm")</f>
        <v/>
      </c>
      <c r="U1056" s="36">
        <f>IF(AND(OR(sel_Region="All",C1056=sel_Region),OR(sel_Country="All",D1056=sel_Country),OR(sel_Channel="All",E1056=sel_Channel),OR(sel_Customer="All",F1056=sel_Customer),OR(sel_Category="All",G1056=sel_Category),OR(sel_Product="All",H1056=sel_Product),AND(S1056&gt;=m_From,S1056&lt;=m_To)),1,0)</f>
        <v/>
      </c>
      <c r="V1056" s="36">
        <f>IF(AND(OR(sel_Region="All",C1056=sel_Region),OR(sel_Channel="All",E1056=sel_Channel),OR(sel_Customer="All",F1056=sel_Customer),OR(sel_Category="All",G1056=sel_Category),OR(sel_Product="All",H1056=sel_Product),AND(S1056&gt;=m_From,S1056&lt;=m_To)),1,0)</f>
        <v/>
      </c>
      <c r="W1056" s="36">
        <f>IF(AND(OR(sel_Region="All",C1056=sel_Region),OR(sel_Country="All",D1056=sel_Country),OR(sel_Customer="All",F1056=sel_Customer),OR(sel_Category="All",G1056=sel_Category),OR(sel_Product="All",H1056=sel_Product),AND(S1056&gt;=m_From,S1056&lt;=m_To)),1,0)</f>
        <v/>
      </c>
      <c r="X1056" s="36">
        <f>IF(AND(OR(sel_Region="All",C1056=sel_Region),OR(sel_Country="All",D1056=sel_Country),OR(sel_Channel="All",E1056=sel_Channel),OR(sel_Category="All",G1056=sel_Category),OR(sel_Product="All",H1056=sel_Product),AND(S1056&gt;=m_From,S1056&lt;=m_To)),1,0)</f>
        <v/>
      </c>
      <c r="Y1056" s="36">
        <f>IF(AND(OR(sel_Region="All",C1056=sel_Region),OR(sel_Country="All",D1056=sel_Country),OR(sel_Channel="All",E1056=sel_Channel),OR(sel_Customer="All",F1056=sel_Customer),OR(sel_Product="All",H1056=sel_Product),AND(S1056&gt;=m_From,S1056&lt;=m_To)),1,0)</f>
        <v/>
      </c>
      <c r="Z1056" s="36">
        <f>IF(AND(OR(sel_Region="All",C1056=sel_Region),OR(sel_Country="All",D1056=sel_Country),OR(sel_Channel="All",E1056=sel_Channel),OR(sel_Customer="All",F1056=sel_Customer),OR(sel_Category="All",G1056=sel_Category),AND(S1056&gt;=m_From,S1056&lt;=m_To)),1,0)</f>
        <v/>
      </c>
      <c r="AA1056" s="36">
        <f>IF(AND(OR(sel_Region="All",C1056=sel_Region),OR(sel_Country="All",D1056=sel_Country),OR(sel_Channel="All",E1056=sel_Channel),OR(sel_Customer="All",F1056=sel_Customer),OR(sel_Category="All",G1056=sel_Category),OR(sel_Product="All",H1056=sel_Product)),1,0)</f>
        <v/>
      </c>
    </row>
    <row r="1057">
      <c r="A1057" s="36" t="inlineStr">
        <is>
          <t>03810</t>
        </is>
      </c>
      <c r="B1057" s="44" t="n">
        <v>46183</v>
      </c>
      <c r="C1057" s="36" t="inlineStr">
        <is>
          <t>Northern Europe</t>
        </is>
      </c>
      <c r="D1057" s="36" t="inlineStr">
        <is>
          <t>Sweden</t>
        </is>
      </c>
      <c r="E1057" s="36" t="inlineStr">
        <is>
          <t>Corporate</t>
        </is>
      </c>
      <c r="F1057" s="36" t="inlineStr">
        <is>
          <t>Business</t>
        </is>
      </c>
      <c r="G1057" s="36" t="inlineStr">
        <is>
          <t>Travel</t>
        </is>
      </c>
      <c r="H1057" s="36" t="inlineStr">
        <is>
          <t>Packing Cube Set</t>
        </is>
      </c>
      <c r="I1057" s="36" t="n">
        <v>4</v>
      </c>
      <c r="J1057" s="39" t="n">
        <v>47.36</v>
      </c>
      <c r="K1057" s="45" t="n">
        <v>0.1</v>
      </c>
      <c r="L1057" s="39" t="n">
        <v>18.87</v>
      </c>
      <c r="M1057" s="39">
        <f>I1057*J1057*(1-K1057)</f>
        <v/>
      </c>
      <c r="N1057" s="39">
        <f>I1057*L1057</f>
        <v/>
      </c>
      <c r="O1057" s="39">
        <f>M1057-N1057</f>
        <v/>
      </c>
      <c r="P1057" s="38">
        <f>IF(M1057=0,0,O1057/M1057)</f>
        <v/>
      </c>
      <c r="Q1057" s="36">
        <f>YEAR(B1057)</f>
        <v/>
      </c>
      <c r="R1057" s="36">
        <f>"Q"&amp;ROUNDUP(MONTH(B1057)/3,0)</f>
        <v/>
      </c>
      <c r="S1057" s="36">
        <f>MONTH(B1057)</f>
        <v/>
      </c>
      <c r="T1057" s="36">
        <f>TEXT(B1057,"mmm")</f>
        <v/>
      </c>
      <c r="U1057" s="36">
        <f>IF(AND(OR(sel_Region="All",C1057=sel_Region),OR(sel_Country="All",D1057=sel_Country),OR(sel_Channel="All",E1057=sel_Channel),OR(sel_Customer="All",F1057=sel_Customer),OR(sel_Category="All",G1057=sel_Category),OR(sel_Product="All",H1057=sel_Product),AND(S1057&gt;=m_From,S1057&lt;=m_To)),1,0)</f>
        <v/>
      </c>
      <c r="V1057" s="36">
        <f>IF(AND(OR(sel_Region="All",C1057=sel_Region),OR(sel_Channel="All",E1057=sel_Channel),OR(sel_Customer="All",F1057=sel_Customer),OR(sel_Category="All",G1057=sel_Category),OR(sel_Product="All",H1057=sel_Product),AND(S1057&gt;=m_From,S1057&lt;=m_To)),1,0)</f>
        <v/>
      </c>
      <c r="W1057" s="36">
        <f>IF(AND(OR(sel_Region="All",C1057=sel_Region),OR(sel_Country="All",D1057=sel_Country),OR(sel_Customer="All",F1057=sel_Customer),OR(sel_Category="All",G1057=sel_Category),OR(sel_Product="All",H1057=sel_Product),AND(S1057&gt;=m_From,S1057&lt;=m_To)),1,0)</f>
        <v/>
      </c>
      <c r="X1057" s="36">
        <f>IF(AND(OR(sel_Region="All",C1057=sel_Region),OR(sel_Country="All",D1057=sel_Country),OR(sel_Channel="All",E1057=sel_Channel),OR(sel_Category="All",G1057=sel_Category),OR(sel_Product="All",H1057=sel_Product),AND(S1057&gt;=m_From,S1057&lt;=m_To)),1,0)</f>
        <v/>
      </c>
      <c r="Y1057" s="36">
        <f>IF(AND(OR(sel_Region="All",C1057=sel_Region),OR(sel_Country="All",D1057=sel_Country),OR(sel_Channel="All",E1057=sel_Channel),OR(sel_Customer="All",F1057=sel_Customer),OR(sel_Product="All",H1057=sel_Product),AND(S1057&gt;=m_From,S1057&lt;=m_To)),1,0)</f>
        <v/>
      </c>
      <c r="Z1057" s="36">
        <f>IF(AND(OR(sel_Region="All",C1057=sel_Region),OR(sel_Country="All",D1057=sel_Country),OR(sel_Channel="All",E1057=sel_Channel),OR(sel_Customer="All",F1057=sel_Customer),OR(sel_Category="All",G1057=sel_Category),AND(S1057&gt;=m_From,S1057&lt;=m_To)),1,0)</f>
        <v/>
      </c>
      <c r="AA1057" s="36">
        <f>IF(AND(OR(sel_Region="All",C1057=sel_Region),OR(sel_Country="All",D1057=sel_Country),OR(sel_Channel="All",E1057=sel_Channel),OR(sel_Customer="All",F1057=sel_Customer),OR(sel_Category="All",G1057=sel_Category),OR(sel_Product="All",H1057=sel_Product)),1,0)</f>
        <v/>
      </c>
    </row>
    <row r="1058">
      <c r="A1058" s="36" t="inlineStr">
        <is>
          <t>04137</t>
        </is>
      </c>
      <c r="B1058" s="44" t="n">
        <v>46183</v>
      </c>
      <c r="C1058" s="36" t="inlineStr">
        <is>
          <t>Western Europe</t>
        </is>
      </c>
      <c r="D1058" s="36" t="inlineStr">
        <is>
          <t>United Kingdom</t>
        </is>
      </c>
      <c r="E1058" s="36" t="inlineStr">
        <is>
          <t>Online Store</t>
        </is>
      </c>
      <c r="F1058" s="36" t="inlineStr">
        <is>
          <t>Returning</t>
        </is>
      </c>
      <c r="G1058" s="36" t="inlineStr">
        <is>
          <t>Hiking</t>
        </is>
      </c>
      <c r="H1058" s="36" t="inlineStr">
        <is>
          <t>Hiking Daypack 20L</t>
        </is>
      </c>
      <c r="I1058" s="36" t="n">
        <v>1</v>
      </c>
      <c r="J1058" s="39" t="n">
        <v>90.7</v>
      </c>
      <c r="K1058" s="45" t="n">
        <v>0</v>
      </c>
      <c r="L1058" s="39" t="n">
        <v>44.18</v>
      </c>
      <c r="M1058" s="39">
        <f>I1058*J1058*(1-K1058)</f>
        <v/>
      </c>
      <c r="N1058" s="39">
        <f>I1058*L1058</f>
        <v/>
      </c>
      <c r="O1058" s="39">
        <f>M1058-N1058</f>
        <v/>
      </c>
      <c r="P1058" s="38">
        <f>IF(M1058=0,0,O1058/M1058)</f>
        <v/>
      </c>
      <c r="Q1058" s="36">
        <f>YEAR(B1058)</f>
        <v/>
      </c>
      <c r="R1058" s="36">
        <f>"Q"&amp;ROUNDUP(MONTH(B1058)/3,0)</f>
        <v/>
      </c>
      <c r="S1058" s="36">
        <f>MONTH(B1058)</f>
        <v/>
      </c>
      <c r="T1058" s="36">
        <f>TEXT(B1058,"mmm")</f>
        <v/>
      </c>
      <c r="U1058" s="36">
        <f>IF(AND(OR(sel_Region="All",C1058=sel_Region),OR(sel_Country="All",D1058=sel_Country),OR(sel_Channel="All",E1058=sel_Channel),OR(sel_Customer="All",F1058=sel_Customer),OR(sel_Category="All",G1058=sel_Category),OR(sel_Product="All",H1058=sel_Product),AND(S1058&gt;=m_From,S1058&lt;=m_To)),1,0)</f>
        <v/>
      </c>
      <c r="V1058" s="36">
        <f>IF(AND(OR(sel_Region="All",C1058=sel_Region),OR(sel_Channel="All",E1058=sel_Channel),OR(sel_Customer="All",F1058=sel_Customer),OR(sel_Category="All",G1058=sel_Category),OR(sel_Product="All",H1058=sel_Product),AND(S1058&gt;=m_From,S1058&lt;=m_To)),1,0)</f>
        <v/>
      </c>
      <c r="W1058" s="36">
        <f>IF(AND(OR(sel_Region="All",C1058=sel_Region),OR(sel_Country="All",D1058=sel_Country),OR(sel_Customer="All",F1058=sel_Customer),OR(sel_Category="All",G1058=sel_Category),OR(sel_Product="All",H1058=sel_Product),AND(S1058&gt;=m_From,S1058&lt;=m_To)),1,0)</f>
        <v/>
      </c>
      <c r="X1058" s="36">
        <f>IF(AND(OR(sel_Region="All",C1058=sel_Region),OR(sel_Country="All",D1058=sel_Country),OR(sel_Channel="All",E1058=sel_Channel),OR(sel_Category="All",G1058=sel_Category),OR(sel_Product="All",H1058=sel_Product),AND(S1058&gt;=m_From,S1058&lt;=m_To)),1,0)</f>
        <v/>
      </c>
      <c r="Y1058" s="36">
        <f>IF(AND(OR(sel_Region="All",C1058=sel_Region),OR(sel_Country="All",D1058=sel_Country),OR(sel_Channel="All",E1058=sel_Channel),OR(sel_Customer="All",F1058=sel_Customer),OR(sel_Product="All",H1058=sel_Product),AND(S1058&gt;=m_From,S1058&lt;=m_To)),1,0)</f>
        <v/>
      </c>
      <c r="Z1058" s="36">
        <f>IF(AND(OR(sel_Region="All",C1058=sel_Region),OR(sel_Country="All",D1058=sel_Country),OR(sel_Channel="All",E1058=sel_Channel),OR(sel_Customer="All",F1058=sel_Customer),OR(sel_Category="All",G1058=sel_Category),AND(S1058&gt;=m_From,S1058&lt;=m_To)),1,0)</f>
        <v/>
      </c>
      <c r="AA1058" s="36">
        <f>IF(AND(OR(sel_Region="All",C1058=sel_Region),OR(sel_Country="All",D1058=sel_Country),OR(sel_Channel="All",E1058=sel_Channel),OR(sel_Customer="All",F1058=sel_Customer),OR(sel_Category="All",G1058=sel_Category),OR(sel_Product="All",H1058=sel_Product)),1,0)</f>
        <v/>
      </c>
    </row>
    <row r="1059">
      <c r="A1059" s="36" t="inlineStr">
        <is>
          <t>04303</t>
        </is>
      </c>
      <c r="B1059" s="44" t="n">
        <v>46183</v>
      </c>
      <c r="C1059" s="36" t="inlineStr">
        <is>
          <t>Northern Europe</t>
        </is>
      </c>
      <c r="D1059" s="36" t="inlineStr">
        <is>
          <t>Finland</t>
        </is>
      </c>
      <c r="E1059" s="36" t="inlineStr">
        <is>
          <t>Marketplace</t>
        </is>
      </c>
      <c r="F1059" s="36" t="inlineStr">
        <is>
          <t>Returning</t>
        </is>
      </c>
      <c r="G1059" s="36" t="inlineStr">
        <is>
          <t>Travel</t>
        </is>
      </c>
      <c r="H1059" s="36" t="inlineStr">
        <is>
          <t>Packing Cube Set</t>
        </is>
      </c>
      <c r="I1059" s="36" t="n">
        <v>1</v>
      </c>
      <c r="J1059" s="39" t="n">
        <v>45.59</v>
      </c>
      <c r="K1059" s="45" t="n">
        <v>0</v>
      </c>
      <c r="L1059" s="39" t="n">
        <v>18.57</v>
      </c>
      <c r="M1059" s="39">
        <f>I1059*J1059*(1-K1059)</f>
        <v/>
      </c>
      <c r="N1059" s="39">
        <f>I1059*L1059</f>
        <v/>
      </c>
      <c r="O1059" s="39">
        <f>M1059-N1059</f>
        <v/>
      </c>
      <c r="P1059" s="38">
        <f>IF(M1059=0,0,O1059/M1059)</f>
        <v/>
      </c>
      <c r="Q1059" s="36">
        <f>YEAR(B1059)</f>
        <v/>
      </c>
      <c r="R1059" s="36">
        <f>"Q"&amp;ROUNDUP(MONTH(B1059)/3,0)</f>
        <v/>
      </c>
      <c r="S1059" s="36">
        <f>MONTH(B1059)</f>
        <v/>
      </c>
      <c r="T1059" s="36">
        <f>TEXT(B1059,"mmm")</f>
        <v/>
      </c>
      <c r="U1059" s="36">
        <f>IF(AND(OR(sel_Region="All",C1059=sel_Region),OR(sel_Country="All",D1059=sel_Country),OR(sel_Channel="All",E1059=sel_Channel),OR(sel_Customer="All",F1059=sel_Customer),OR(sel_Category="All",G1059=sel_Category),OR(sel_Product="All",H1059=sel_Product),AND(S1059&gt;=m_From,S1059&lt;=m_To)),1,0)</f>
        <v/>
      </c>
      <c r="V1059" s="36">
        <f>IF(AND(OR(sel_Region="All",C1059=sel_Region),OR(sel_Channel="All",E1059=sel_Channel),OR(sel_Customer="All",F1059=sel_Customer),OR(sel_Category="All",G1059=sel_Category),OR(sel_Product="All",H1059=sel_Product),AND(S1059&gt;=m_From,S1059&lt;=m_To)),1,0)</f>
        <v/>
      </c>
      <c r="W1059" s="36">
        <f>IF(AND(OR(sel_Region="All",C1059=sel_Region),OR(sel_Country="All",D1059=sel_Country),OR(sel_Customer="All",F1059=sel_Customer),OR(sel_Category="All",G1059=sel_Category),OR(sel_Product="All",H1059=sel_Product),AND(S1059&gt;=m_From,S1059&lt;=m_To)),1,0)</f>
        <v/>
      </c>
      <c r="X1059" s="36">
        <f>IF(AND(OR(sel_Region="All",C1059=sel_Region),OR(sel_Country="All",D1059=sel_Country),OR(sel_Channel="All",E1059=sel_Channel),OR(sel_Category="All",G1059=sel_Category),OR(sel_Product="All",H1059=sel_Product),AND(S1059&gt;=m_From,S1059&lt;=m_To)),1,0)</f>
        <v/>
      </c>
      <c r="Y1059" s="36">
        <f>IF(AND(OR(sel_Region="All",C1059=sel_Region),OR(sel_Country="All",D1059=sel_Country),OR(sel_Channel="All",E1059=sel_Channel),OR(sel_Customer="All",F1059=sel_Customer),OR(sel_Product="All",H1059=sel_Product),AND(S1059&gt;=m_From,S1059&lt;=m_To)),1,0)</f>
        <v/>
      </c>
      <c r="Z1059" s="36">
        <f>IF(AND(OR(sel_Region="All",C1059=sel_Region),OR(sel_Country="All",D1059=sel_Country),OR(sel_Channel="All",E1059=sel_Channel),OR(sel_Customer="All",F1059=sel_Customer),OR(sel_Category="All",G1059=sel_Category),AND(S1059&gt;=m_From,S1059&lt;=m_To)),1,0)</f>
        <v/>
      </c>
      <c r="AA1059" s="36">
        <f>IF(AND(OR(sel_Region="All",C1059=sel_Region),OR(sel_Country="All",D1059=sel_Country),OR(sel_Channel="All",E1059=sel_Channel),OR(sel_Customer="All",F1059=sel_Customer),OR(sel_Category="All",G1059=sel_Category),OR(sel_Product="All",H1059=sel_Product)),1,0)</f>
        <v/>
      </c>
    </row>
    <row r="1060">
      <c r="A1060" s="36" t="inlineStr">
        <is>
          <t>04991</t>
        </is>
      </c>
      <c r="B1060" s="44" t="n">
        <v>46183</v>
      </c>
      <c r="C1060" s="36" t="inlineStr">
        <is>
          <t>Western Europe</t>
        </is>
      </c>
      <c r="D1060" s="36" t="inlineStr">
        <is>
          <t>Belgium</t>
        </is>
      </c>
      <c r="E1060" s="36" t="inlineStr">
        <is>
          <t>Online Store</t>
        </is>
      </c>
      <c r="F1060" s="36" t="inlineStr">
        <is>
          <t>New</t>
        </is>
      </c>
      <c r="G1060" s="36" t="inlineStr">
        <is>
          <t>Hiking</t>
        </is>
      </c>
      <c r="H1060" s="36" t="inlineStr">
        <is>
          <t>Trail Boots</t>
        </is>
      </c>
      <c r="I1060" s="36" t="n">
        <v>3</v>
      </c>
      <c r="J1060" s="39" t="n">
        <v>146.55</v>
      </c>
      <c r="K1060" s="45" t="n">
        <v>0.1</v>
      </c>
      <c r="L1060" s="39" t="n">
        <v>79.59</v>
      </c>
      <c r="M1060" s="39">
        <f>I1060*J1060*(1-K1060)</f>
        <v/>
      </c>
      <c r="N1060" s="39">
        <f>I1060*L1060</f>
        <v/>
      </c>
      <c r="O1060" s="39">
        <f>M1060-N1060</f>
        <v/>
      </c>
      <c r="P1060" s="38">
        <f>IF(M1060=0,0,O1060/M1060)</f>
        <v/>
      </c>
      <c r="Q1060" s="36">
        <f>YEAR(B1060)</f>
        <v/>
      </c>
      <c r="R1060" s="36">
        <f>"Q"&amp;ROUNDUP(MONTH(B1060)/3,0)</f>
        <v/>
      </c>
      <c r="S1060" s="36">
        <f>MONTH(B1060)</f>
        <v/>
      </c>
      <c r="T1060" s="36">
        <f>TEXT(B1060,"mmm")</f>
        <v/>
      </c>
      <c r="U1060" s="36">
        <f>IF(AND(OR(sel_Region="All",C1060=sel_Region),OR(sel_Country="All",D1060=sel_Country),OR(sel_Channel="All",E1060=sel_Channel),OR(sel_Customer="All",F1060=sel_Customer),OR(sel_Category="All",G1060=sel_Category),OR(sel_Product="All",H1060=sel_Product),AND(S1060&gt;=m_From,S1060&lt;=m_To)),1,0)</f>
        <v/>
      </c>
      <c r="V1060" s="36">
        <f>IF(AND(OR(sel_Region="All",C1060=sel_Region),OR(sel_Channel="All",E1060=sel_Channel),OR(sel_Customer="All",F1060=sel_Customer),OR(sel_Category="All",G1060=sel_Category),OR(sel_Product="All",H1060=sel_Product),AND(S1060&gt;=m_From,S1060&lt;=m_To)),1,0)</f>
        <v/>
      </c>
      <c r="W1060" s="36">
        <f>IF(AND(OR(sel_Region="All",C1060=sel_Region),OR(sel_Country="All",D1060=sel_Country),OR(sel_Customer="All",F1060=sel_Customer),OR(sel_Category="All",G1060=sel_Category),OR(sel_Product="All",H1060=sel_Product),AND(S1060&gt;=m_From,S1060&lt;=m_To)),1,0)</f>
        <v/>
      </c>
      <c r="X1060" s="36">
        <f>IF(AND(OR(sel_Region="All",C1060=sel_Region),OR(sel_Country="All",D1060=sel_Country),OR(sel_Channel="All",E1060=sel_Channel),OR(sel_Category="All",G1060=sel_Category),OR(sel_Product="All",H1060=sel_Product),AND(S1060&gt;=m_From,S1060&lt;=m_To)),1,0)</f>
        <v/>
      </c>
      <c r="Y1060" s="36">
        <f>IF(AND(OR(sel_Region="All",C1060=sel_Region),OR(sel_Country="All",D1060=sel_Country),OR(sel_Channel="All",E1060=sel_Channel),OR(sel_Customer="All",F1060=sel_Customer),OR(sel_Product="All",H1060=sel_Product),AND(S1060&gt;=m_From,S1060&lt;=m_To)),1,0)</f>
        <v/>
      </c>
      <c r="Z1060" s="36">
        <f>IF(AND(OR(sel_Region="All",C1060=sel_Region),OR(sel_Country="All",D1060=sel_Country),OR(sel_Channel="All",E1060=sel_Channel),OR(sel_Customer="All",F1060=sel_Customer),OR(sel_Category="All",G1060=sel_Category),AND(S1060&gt;=m_From,S1060&lt;=m_To)),1,0)</f>
        <v/>
      </c>
      <c r="AA1060" s="36">
        <f>IF(AND(OR(sel_Region="All",C1060=sel_Region),OR(sel_Country="All",D1060=sel_Country),OR(sel_Channel="All",E1060=sel_Channel),OR(sel_Customer="All",F1060=sel_Customer),OR(sel_Category="All",G1060=sel_Category),OR(sel_Product="All",H1060=sel_Product)),1,0)</f>
        <v/>
      </c>
    </row>
    <row r="1061">
      <c r="A1061" s="36" t="inlineStr">
        <is>
          <t>00039</t>
        </is>
      </c>
      <c r="B1061" s="44" t="n">
        <v>46184</v>
      </c>
      <c r="C1061" s="36" t="inlineStr">
        <is>
          <t>Western Europe</t>
        </is>
      </c>
      <c r="D1061" s="36" t="inlineStr">
        <is>
          <t>United Kingdom</t>
        </is>
      </c>
      <c r="E1061" s="36" t="inlineStr">
        <is>
          <t>Marketplace</t>
        </is>
      </c>
      <c r="F1061" s="36" t="inlineStr">
        <is>
          <t>Business</t>
        </is>
      </c>
      <c r="G1061" s="36" t="inlineStr">
        <is>
          <t>Cycling</t>
        </is>
      </c>
      <c r="H1061" s="36" t="inlineStr">
        <is>
          <t>Compact Repair Kit</t>
        </is>
      </c>
      <c r="I1061" s="36" t="n">
        <v>4</v>
      </c>
      <c r="J1061" s="39" t="n">
        <v>40.33</v>
      </c>
      <c r="K1061" s="45" t="n">
        <v>0.1</v>
      </c>
      <c r="L1061" s="39" t="n">
        <v>17.17</v>
      </c>
      <c r="M1061" s="39">
        <f>I1061*J1061*(1-K1061)</f>
        <v/>
      </c>
      <c r="N1061" s="39">
        <f>I1061*L1061</f>
        <v/>
      </c>
      <c r="O1061" s="39">
        <f>M1061-N1061</f>
        <v/>
      </c>
      <c r="P1061" s="38">
        <f>IF(M1061=0,0,O1061/M1061)</f>
        <v/>
      </c>
      <c r="Q1061" s="36">
        <f>YEAR(B1061)</f>
        <v/>
      </c>
      <c r="R1061" s="36">
        <f>"Q"&amp;ROUNDUP(MONTH(B1061)/3,0)</f>
        <v/>
      </c>
      <c r="S1061" s="36">
        <f>MONTH(B1061)</f>
        <v/>
      </c>
      <c r="T1061" s="36">
        <f>TEXT(B1061,"mmm")</f>
        <v/>
      </c>
      <c r="U1061" s="36">
        <f>IF(AND(OR(sel_Region="All",C1061=sel_Region),OR(sel_Country="All",D1061=sel_Country),OR(sel_Channel="All",E1061=sel_Channel),OR(sel_Customer="All",F1061=sel_Customer),OR(sel_Category="All",G1061=sel_Category),OR(sel_Product="All",H1061=sel_Product),AND(S1061&gt;=m_From,S1061&lt;=m_To)),1,0)</f>
        <v/>
      </c>
      <c r="V1061" s="36">
        <f>IF(AND(OR(sel_Region="All",C1061=sel_Region),OR(sel_Channel="All",E1061=sel_Channel),OR(sel_Customer="All",F1061=sel_Customer),OR(sel_Category="All",G1061=sel_Category),OR(sel_Product="All",H1061=sel_Product),AND(S1061&gt;=m_From,S1061&lt;=m_To)),1,0)</f>
        <v/>
      </c>
      <c r="W1061" s="36">
        <f>IF(AND(OR(sel_Region="All",C1061=sel_Region),OR(sel_Country="All",D1061=sel_Country),OR(sel_Customer="All",F1061=sel_Customer),OR(sel_Category="All",G1061=sel_Category),OR(sel_Product="All",H1061=sel_Product),AND(S1061&gt;=m_From,S1061&lt;=m_To)),1,0)</f>
        <v/>
      </c>
      <c r="X1061" s="36">
        <f>IF(AND(OR(sel_Region="All",C1061=sel_Region),OR(sel_Country="All",D1061=sel_Country),OR(sel_Channel="All",E1061=sel_Channel),OR(sel_Category="All",G1061=sel_Category),OR(sel_Product="All",H1061=sel_Product),AND(S1061&gt;=m_From,S1061&lt;=m_To)),1,0)</f>
        <v/>
      </c>
      <c r="Y1061" s="36">
        <f>IF(AND(OR(sel_Region="All",C1061=sel_Region),OR(sel_Country="All",D1061=sel_Country),OR(sel_Channel="All",E1061=sel_Channel),OR(sel_Customer="All",F1061=sel_Customer),OR(sel_Product="All",H1061=sel_Product),AND(S1061&gt;=m_From,S1061&lt;=m_To)),1,0)</f>
        <v/>
      </c>
      <c r="Z1061" s="36">
        <f>IF(AND(OR(sel_Region="All",C1061=sel_Region),OR(sel_Country="All",D1061=sel_Country),OR(sel_Channel="All",E1061=sel_Channel),OR(sel_Customer="All",F1061=sel_Customer),OR(sel_Category="All",G1061=sel_Category),AND(S1061&gt;=m_From,S1061&lt;=m_To)),1,0)</f>
        <v/>
      </c>
      <c r="AA1061" s="36">
        <f>IF(AND(OR(sel_Region="All",C1061=sel_Region),OR(sel_Country="All",D1061=sel_Country),OR(sel_Channel="All",E1061=sel_Channel),OR(sel_Customer="All",F1061=sel_Customer),OR(sel_Category="All",G1061=sel_Category),OR(sel_Product="All",H1061=sel_Product)),1,0)</f>
        <v/>
      </c>
    </row>
    <row r="1062">
      <c r="A1062" s="36" t="inlineStr">
        <is>
          <t>00206</t>
        </is>
      </c>
      <c r="B1062" s="44" t="n">
        <v>46184</v>
      </c>
      <c r="C1062" s="36" t="inlineStr">
        <is>
          <t>Southern Europe</t>
        </is>
      </c>
      <c r="D1062" s="36" t="inlineStr">
        <is>
          <t>Spain</t>
        </is>
      </c>
      <c r="E1062" s="36" t="inlineStr">
        <is>
          <t>Retail Partners</t>
        </is>
      </c>
      <c r="F1062" s="36" t="inlineStr">
        <is>
          <t>New</t>
        </is>
      </c>
      <c r="G1062" s="36" t="inlineStr">
        <is>
          <t>Cycling</t>
        </is>
      </c>
      <c r="H1062" s="36" t="inlineStr">
        <is>
          <t>Trail Bike Light</t>
        </is>
      </c>
      <c r="I1062" s="36" t="n">
        <v>2</v>
      </c>
      <c r="J1062" s="39" t="n">
        <v>51.83</v>
      </c>
      <c r="K1062" s="45" t="n">
        <v>0.1</v>
      </c>
      <c r="L1062" s="39" t="n">
        <v>23.1</v>
      </c>
      <c r="M1062" s="39">
        <f>I1062*J1062*(1-K1062)</f>
        <v/>
      </c>
      <c r="N1062" s="39">
        <f>I1062*L1062</f>
        <v/>
      </c>
      <c r="O1062" s="39">
        <f>M1062-N1062</f>
        <v/>
      </c>
      <c r="P1062" s="38">
        <f>IF(M1062=0,0,O1062/M1062)</f>
        <v/>
      </c>
      <c r="Q1062" s="36">
        <f>YEAR(B1062)</f>
        <v/>
      </c>
      <c r="R1062" s="36">
        <f>"Q"&amp;ROUNDUP(MONTH(B1062)/3,0)</f>
        <v/>
      </c>
      <c r="S1062" s="36">
        <f>MONTH(B1062)</f>
        <v/>
      </c>
      <c r="T1062" s="36">
        <f>TEXT(B1062,"mmm")</f>
        <v/>
      </c>
      <c r="U1062" s="36">
        <f>IF(AND(OR(sel_Region="All",C1062=sel_Region),OR(sel_Country="All",D1062=sel_Country),OR(sel_Channel="All",E1062=sel_Channel),OR(sel_Customer="All",F1062=sel_Customer),OR(sel_Category="All",G1062=sel_Category),OR(sel_Product="All",H1062=sel_Product),AND(S1062&gt;=m_From,S1062&lt;=m_To)),1,0)</f>
        <v/>
      </c>
      <c r="V1062" s="36">
        <f>IF(AND(OR(sel_Region="All",C1062=sel_Region),OR(sel_Channel="All",E1062=sel_Channel),OR(sel_Customer="All",F1062=sel_Customer),OR(sel_Category="All",G1062=sel_Category),OR(sel_Product="All",H1062=sel_Product),AND(S1062&gt;=m_From,S1062&lt;=m_To)),1,0)</f>
        <v/>
      </c>
      <c r="W1062" s="36">
        <f>IF(AND(OR(sel_Region="All",C1062=sel_Region),OR(sel_Country="All",D1062=sel_Country),OR(sel_Customer="All",F1062=sel_Customer),OR(sel_Category="All",G1062=sel_Category),OR(sel_Product="All",H1062=sel_Product),AND(S1062&gt;=m_From,S1062&lt;=m_To)),1,0)</f>
        <v/>
      </c>
      <c r="X1062" s="36">
        <f>IF(AND(OR(sel_Region="All",C1062=sel_Region),OR(sel_Country="All",D1062=sel_Country),OR(sel_Channel="All",E1062=sel_Channel),OR(sel_Category="All",G1062=sel_Category),OR(sel_Product="All",H1062=sel_Product),AND(S1062&gt;=m_From,S1062&lt;=m_To)),1,0)</f>
        <v/>
      </c>
      <c r="Y1062" s="36">
        <f>IF(AND(OR(sel_Region="All",C1062=sel_Region),OR(sel_Country="All",D1062=sel_Country),OR(sel_Channel="All",E1062=sel_Channel),OR(sel_Customer="All",F1062=sel_Customer),OR(sel_Product="All",H1062=sel_Product),AND(S1062&gt;=m_From,S1062&lt;=m_To)),1,0)</f>
        <v/>
      </c>
      <c r="Z1062" s="36">
        <f>IF(AND(OR(sel_Region="All",C1062=sel_Region),OR(sel_Country="All",D1062=sel_Country),OR(sel_Channel="All",E1062=sel_Channel),OR(sel_Customer="All",F1062=sel_Customer),OR(sel_Category="All",G1062=sel_Category),AND(S1062&gt;=m_From,S1062&lt;=m_To)),1,0)</f>
        <v/>
      </c>
      <c r="AA1062" s="36">
        <f>IF(AND(OR(sel_Region="All",C1062=sel_Region),OR(sel_Country="All",D1062=sel_Country),OR(sel_Channel="All",E1062=sel_Channel),OR(sel_Customer="All",F1062=sel_Customer),OR(sel_Category="All",G1062=sel_Category),OR(sel_Product="All",H1062=sel_Product)),1,0)</f>
        <v/>
      </c>
    </row>
    <row r="1063">
      <c r="A1063" s="36" t="inlineStr">
        <is>
          <t>00397</t>
        </is>
      </c>
      <c r="B1063" s="44" t="n">
        <v>46184</v>
      </c>
      <c r="C1063" s="36" t="inlineStr">
        <is>
          <t>Western Europe</t>
        </is>
      </c>
      <c r="D1063" s="36" t="inlineStr">
        <is>
          <t>United Kingdom</t>
        </is>
      </c>
      <c r="E1063" s="36" t="inlineStr">
        <is>
          <t>Online Store</t>
        </is>
      </c>
      <c r="F1063" s="36" t="inlineStr">
        <is>
          <t>Business</t>
        </is>
      </c>
      <c r="G1063" s="36" t="inlineStr">
        <is>
          <t>Camping</t>
        </is>
      </c>
      <c r="H1063" s="36" t="inlineStr">
        <is>
          <t>Compact Sleeping Bag</t>
        </is>
      </c>
      <c r="I1063" s="36" t="n">
        <v>2</v>
      </c>
      <c r="J1063" s="39" t="n">
        <v>121.19</v>
      </c>
      <c r="K1063" s="45" t="n">
        <v>0.05</v>
      </c>
      <c r="L1063" s="39" t="n">
        <v>58.91</v>
      </c>
      <c r="M1063" s="39">
        <f>I1063*J1063*(1-K1063)</f>
        <v/>
      </c>
      <c r="N1063" s="39">
        <f>I1063*L1063</f>
        <v/>
      </c>
      <c r="O1063" s="39">
        <f>M1063-N1063</f>
        <v/>
      </c>
      <c r="P1063" s="38">
        <f>IF(M1063=0,0,O1063/M1063)</f>
        <v/>
      </c>
      <c r="Q1063" s="36">
        <f>YEAR(B1063)</f>
        <v/>
      </c>
      <c r="R1063" s="36">
        <f>"Q"&amp;ROUNDUP(MONTH(B1063)/3,0)</f>
        <v/>
      </c>
      <c r="S1063" s="36">
        <f>MONTH(B1063)</f>
        <v/>
      </c>
      <c r="T1063" s="36">
        <f>TEXT(B1063,"mmm")</f>
        <v/>
      </c>
      <c r="U1063" s="36">
        <f>IF(AND(OR(sel_Region="All",C1063=sel_Region),OR(sel_Country="All",D1063=sel_Country),OR(sel_Channel="All",E1063=sel_Channel),OR(sel_Customer="All",F1063=sel_Customer),OR(sel_Category="All",G1063=sel_Category),OR(sel_Product="All",H1063=sel_Product),AND(S1063&gt;=m_From,S1063&lt;=m_To)),1,0)</f>
        <v/>
      </c>
      <c r="V1063" s="36">
        <f>IF(AND(OR(sel_Region="All",C1063=sel_Region),OR(sel_Channel="All",E1063=sel_Channel),OR(sel_Customer="All",F1063=sel_Customer),OR(sel_Category="All",G1063=sel_Category),OR(sel_Product="All",H1063=sel_Product),AND(S1063&gt;=m_From,S1063&lt;=m_To)),1,0)</f>
        <v/>
      </c>
      <c r="W1063" s="36">
        <f>IF(AND(OR(sel_Region="All",C1063=sel_Region),OR(sel_Country="All",D1063=sel_Country),OR(sel_Customer="All",F1063=sel_Customer),OR(sel_Category="All",G1063=sel_Category),OR(sel_Product="All",H1063=sel_Product),AND(S1063&gt;=m_From,S1063&lt;=m_To)),1,0)</f>
        <v/>
      </c>
      <c r="X1063" s="36">
        <f>IF(AND(OR(sel_Region="All",C1063=sel_Region),OR(sel_Country="All",D1063=sel_Country),OR(sel_Channel="All",E1063=sel_Channel),OR(sel_Category="All",G1063=sel_Category),OR(sel_Product="All",H1063=sel_Product),AND(S1063&gt;=m_From,S1063&lt;=m_To)),1,0)</f>
        <v/>
      </c>
      <c r="Y1063" s="36">
        <f>IF(AND(OR(sel_Region="All",C1063=sel_Region),OR(sel_Country="All",D1063=sel_Country),OR(sel_Channel="All",E1063=sel_Channel),OR(sel_Customer="All",F1063=sel_Customer),OR(sel_Product="All",H1063=sel_Product),AND(S1063&gt;=m_From,S1063&lt;=m_To)),1,0)</f>
        <v/>
      </c>
      <c r="Z1063" s="36">
        <f>IF(AND(OR(sel_Region="All",C1063=sel_Region),OR(sel_Country="All",D1063=sel_Country),OR(sel_Channel="All",E1063=sel_Channel),OR(sel_Customer="All",F1063=sel_Customer),OR(sel_Category="All",G1063=sel_Category),AND(S1063&gt;=m_From,S1063&lt;=m_To)),1,0)</f>
        <v/>
      </c>
      <c r="AA1063" s="36">
        <f>IF(AND(OR(sel_Region="All",C1063=sel_Region),OR(sel_Country="All",D1063=sel_Country),OR(sel_Channel="All",E1063=sel_Channel),OR(sel_Customer="All",F1063=sel_Customer),OR(sel_Category="All",G1063=sel_Category),OR(sel_Product="All",H1063=sel_Product)),1,0)</f>
        <v/>
      </c>
    </row>
    <row r="1064">
      <c r="A1064" s="36" t="inlineStr">
        <is>
          <t>00763</t>
        </is>
      </c>
      <c r="B1064" s="44" t="n">
        <v>46184</v>
      </c>
      <c r="C1064" s="36" t="inlineStr">
        <is>
          <t>Western Europe</t>
        </is>
      </c>
      <c r="D1064" s="36" t="inlineStr">
        <is>
          <t>France</t>
        </is>
      </c>
      <c r="E1064" s="36" t="inlineStr">
        <is>
          <t>Retail Partners</t>
        </is>
      </c>
      <c r="F1064" s="36" t="inlineStr">
        <is>
          <t>New</t>
        </is>
      </c>
      <c r="G1064" s="36" t="inlineStr">
        <is>
          <t>Hiking</t>
        </is>
      </c>
      <c r="H1064" s="36" t="inlineStr">
        <is>
          <t>Summit Backpack 45L</t>
        </is>
      </c>
      <c r="I1064" s="36" t="n">
        <v>1</v>
      </c>
      <c r="J1064" s="39" t="n">
        <v>154.09</v>
      </c>
      <c r="K1064" s="45" t="n">
        <v>0</v>
      </c>
      <c r="L1064" s="39" t="n">
        <v>77.37</v>
      </c>
      <c r="M1064" s="39">
        <f>I1064*J1064*(1-K1064)</f>
        <v/>
      </c>
      <c r="N1064" s="39">
        <f>I1064*L1064</f>
        <v/>
      </c>
      <c r="O1064" s="39">
        <f>M1064-N1064</f>
        <v/>
      </c>
      <c r="P1064" s="38">
        <f>IF(M1064=0,0,O1064/M1064)</f>
        <v/>
      </c>
      <c r="Q1064" s="36">
        <f>YEAR(B1064)</f>
        <v/>
      </c>
      <c r="R1064" s="36">
        <f>"Q"&amp;ROUNDUP(MONTH(B1064)/3,0)</f>
        <v/>
      </c>
      <c r="S1064" s="36">
        <f>MONTH(B1064)</f>
        <v/>
      </c>
      <c r="T1064" s="36">
        <f>TEXT(B1064,"mmm")</f>
        <v/>
      </c>
      <c r="U1064" s="36">
        <f>IF(AND(OR(sel_Region="All",C1064=sel_Region),OR(sel_Country="All",D1064=sel_Country),OR(sel_Channel="All",E1064=sel_Channel),OR(sel_Customer="All",F1064=sel_Customer),OR(sel_Category="All",G1064=sel_Category),OR(sel_Product="All",H1064=sel_Product),AND(S1064&gt;=m_From,S1064&lt;=m_To)),1,0)</f>
        <v/>
      </c>
      <c r="V1064" s="36">
        <f>IF(AND(OR(sel_Region="All",C1064=sel_Region),OR(sel_Channel="All",E1064=sel_Channel),OR(sel_Customer="All",F1064=sel_Customer),OR(sel_Category="All",G1064=sel_Category),OR(sel_Product="All",H1064=sel_Product),AND(S1064&gt;=m_From,S1064&lt;=m_To)),1,0)</f>
        <v/>
      </c>
      <c r="W1064" s="36">
        <f>IF(AND(OR(sel_Region="All",C1064=sel_Region),OR(sel_Country="All",D1064=sel_Country),OR(sel_Customer="All",F1064=sel_Customer),OR(sel_Category="All",G1064=sel_Category),OR(sel_Product="All",H1064=sel_Product),AND(S1064&gt;=m_From,S1064&lt;=m_To)),1,0)</f>
        <v/>
      </c>
      <c r="X1064" s="36">
        <f>IF(AND(OR(sel_Region="All",C1064=sel_Region),OR(sel_Country="All",D1064=sel_Country),OR(sel_Channel="All",E1064=sel_Channel),OR(sel_Category="All",G1064=sel_Category),OR(sel_Product="All",H1064=sel_Product),AND(S1064&gt;=m_From,S1064&lt;=m_To)),1,0)</f>
        <v/>
      </c>
      <c r="Y1064" s="36">
        <f>IF(AND(OR(sel_Region="All",C1064=sel_Region),OR(sel_Country="All",D1064=sel_Country),OR(sel_Channel="All",E1064=sel_Channel),OR(sel_Customer="All",F1064=sel_Customer),OR(sel_Product="All",H1064=sel_Product),AND(S1064&gt;=m_From,S1064&lt;=m_To)),1,0)</f>
        <v/>
      </c>
      <c r="Z1064" s="36">
        <f>IF(AND(OR(sel_Region="All",C1064=sel_Region),OR(sel_Country="All",D1064=sel_Country),OR(sel_Channel="All",E1064=sel_Channel),OR(sel_Customer="All",F1064=sel_Customer),OR(sel_Category="All",G1064=sel_Category),AND(S1064&gt;=m_From,S1064&lt;=m_To)),1,0)</f>
        <v/>
      </c>
      <c r="AA1064" s="36">
        <f>IF(AND(OR(sel_Region="All",C1064=sel_Region),OR(sel_Country="All",D1064=sel_Country),OR(sel_Channel="All",E1064=sel_Channel),OR(sel_Customer="All",F1064=sel_Customer),OR(sel_Category="All",G1064=sel_Category),OR(sel_Product="All",H1064=sel_Product)),1,0)</f>
        <v/>
      </c>
    </row>
    <row r="1065">
      <c r="A1065" s="36" t="inlineStr">
        <is>
          <t>01059</t>
        </is>
      </c>
      <c r="B1065" s="44" t="n">
        <v>46184</v>
      </c>
      <c r="C1065" s="36" t="inlineStr">
        <is>
          <t>Southern Europe</t>
        </is>
      </c>
      <c r="D1065" s="36" t="inlineStr">
        <is>
          <t>Spain</t>
        </is>
      </c>
      <c r="E1065" s="36" t="inlineStr">
        <is>
          <t>Online Store</t>
        </is>
      </c>
      <c r="F1065" s="36" t="inlineStr">
        <is>
          <t>New</t>
        </is>
      </c>
      <c r="G1065" s="36" t="inlineStr">
        <is>
          <t>Cycling</t>
        </is>
      </c>
      <c r="H1065" s="36" t="inlineStr">
        <is>
          <t>Commuter Helmet</t>
        </is>
      </c>
      <c r="I1065" s="36" t="n">
        <v>1</v>
      </c>
      <c r="J1065" s="39" t="n">
        <v>80.64</v>
      </c>
      <c r="K1065" s="45" t="n">
        <v>0.05</v>
      </c>
      <c r="L1065" s="39" t="n">
        <v>43.85</v>
      </c>
      <c r="M1065" s="39">
        <f>I1065*J1065*(1-K1065)</f>
        <v/>
      </c>
      <c r="N1065" s="39">
        <f>I1065*L1065</f>
        <v/>
      </c>
      <c r="O1065" s="39">
        <f>M1065-N1065</f>
        <v/>
      </c>
      <c r="P1065" s="38">
        <f>IF(M1065=0,0,O1065/M1065)</f>
        <v/>
      </c>
      <c r="Q1065" s="36">
        <f>YEAR(B1065)</f>
        <v/>
      </c>
      <c r="R1065" s="36">
        <f>"Q"&amp;ROUNDUP(MONTH(B1065)/3,0)</f>
        <v/>
      </c>
      <c r="S1065" s="36">
        <f>MONTH(B1065)</f>
        <v/>
      </c>
      <c r="T1065" s="36">
        <f>TEXT(B1065,"mmm")</f>
        <v/>
      </c>
      <c r="U1065" s="36">
        <f>IF(AND(OR(sel_Region="All",C1065=sel_Region),OR(sel_Country="All",D1065=sel_Country),OR(sel_Channel="All",E1065=sel_Channel),OR(sel_Customer="All",F1065=sel_Customer),OR(sel_Category="All",G1065=sel_Category),OR(sel_Product="All",H1065=sel_Product),AND(S1065&gt;=m_From,S1065&lt;=m_To)),1,0)</f>
        <v/>
      </c>
      <c r="V1065" s="36">
        <f>IF(AND(OR(sel_Region="All",C1065=sel_Region),OR(sel_Channel="All",E1065=sel_Channel),OR(sel_Customer="All",F1065=sel_Customer),OR(sel_Category="All",G1065=sel_Category),OR(sel_Product="All",H1065=sel_Product),AND(S1065&gt;=m_From,S1065&lt;=m_To)),1,0)</f>
        <v/>
      </c>
      <c r="W1065" s="36">
        <f>IF(AND(OR(sel_Region="All",C1065=sel_Region),OR(sel_Country="All",D1065=sel_Country),OR(sel_Customer="All",F1065=sel_Customer),OR(sel_Category="All",G1065=sel_Category),OR(sel_Product="All",H1065=sel_Product),AND(S1065&gt;=m_From,S1065&lt;=m_To)),1,0)</f>
        <v/>
      </c>
      <c r="X1065" s="36">
        <f>IF(AND(OR(sel_Region="All",C1065=sel_Region),OR(sel_Country="All",D1065=sel_Country),OR(sel_Channel="All",E1065=sel_Channel),OR(sel_Category="All",G1065=sel_Category),OR(sel_Product="All",H1065=sel_Product),AND(S1065&gt;=m_From,S1065&lt;=m_To)),1,0)</f>
        <v/>
      </c>
      <c r="Y1065" s="36">
        <f>IF(AND(OR(sel_Region="All",C1065=sel_Region),OR(sel_Country="All",D1065=sel_Country),OR(sel_Channel="All",E1065=sel_Channel),OR(sel_Customer="All",F1065=sel_Customer),OR(sel_Product="All",H1065=sel_Product),AND(S1065&gt;=m_From,S1065&lt;=m_To)),1,0)</f>
        <v/>
      </c>
      <c r="Z1065" s="36">
        <f>IF(AND(OR(sel_Region="All",C1065=sel_Region),OR(sel_Country="All",D1065=sel_Country),OR(sel_Channel="All",E1065=sel_Channel),OR(sel_Customer="All",F1065=sel_Customer),OR(sel_Category="All",G1065=sel_Category),AND(S1065&gt;=m_From,S1065&lt;=m_To)),1,0)</f>
        <v/>
      </c>
      <c r="AA1065" s="36">
        <f>IF(AND(OR(sel_Region="All",C1065=sel_Region),OR(sel_Country="All",D1065=sel_Country),OR(sel_Channel="All",E1065=sel_Channel),OR(sel_Customer="All",F1065=sel_Customer),OR(sel_Category="All",G1065=sel_Category),OR(sel_Product="All",H1065=sel_Product)),1,0)</f>
        <v/>
      </c>
    </row>
    <row r="1066">
      <c r="A1066" s="36" t="inlineStr">
        <is>
          <t>01332</t>
        </is>
      </c>
      <c r="B1066" s="44" t="n">
        <v>46184</v>
      </c>
      <c r="C1066" s="36" t="inlineStr">
        <is>
          <t>Central Europe</t>
        </is>
      </c>
      <c r="D1066" s="36" t="inlineStr">
        <is>
          <t>Germany</t>
        </is>
      </c>
      <c r="E1066" s="36" t="inlineStr">
        <is>
          <t>Marketplace</t>
        </is>
      </c>
      <c r="F1066" s="36" t="inlineStr">
        <is>
          <t>Returning</t>
        </is>
      </c>
      <c r="G1066" s="36" t="inlineStr">
        <is>
          <t>Hiking</t>
        </is>
      </c>
      <c r="H1066" s="36" t="inlineStr">
        <is>
          <t>Hiking Daypack 20L</t>
        </is>
      </c>
      <c r="I1066" s="36" t="n">
        <v>1</v>
      </c>
      <c r="J1066" s="39" t="n">
        <v>94.01000000000001</v>
      </c>
      <c r="K1066" s="45" t="n">
        <v>0.15</v>
      </c>
      <c r="L1066" s="39" t="n">
        <v>46.12</v>
      </c>
      <c r="M1066" s="39">
        <f>I1066*J1066*(1-K1066)</f>
        <v/>
      </c>
      <c r="N1066" s="39">
        <f>I1066*L1066</f>
        <v/>
      </c>
      <c r="O1066" s="39">
        <f>M1066-N1066</f>
        <v/>
      </c>
      <c r="P1066" s="38">
        <f>IF(M1066=0,0,O1066/M1066)</f>
        <v/>
      </c>
      <c r="Q1066" s="36">
        <f>YEAR(B1066)</f>
        <v/>
      </c>
      <c r="R1066" s="36">
        <f>"Q"&amp;ROUNDUP(MONTH(B1066)/3,0)</f>
        <v/>
      </c>
      <c r="S1066" s="36">
        <f>MONTH(B1066)</f>
        <v/>
      </c>
      <c r="T1066" s="36">
        <f>TEXT(B1066,"mmm")</f>
        <v/>
      </c>
      <c r="U1066" s="36">
        <f>IF(AND(OR(sel_Region="All",C1066=sel_Region),OR(sel_Country="All",D1066=sel_Country),OR(sel_Channel="All",E1066=sel_Channel),OR(sel_Customer="All",F1066=sel_Customer),OR(sel_Category="All",G1066=sel_Category),OR(sel_Product="All",H1066=sel_Product),AND(S1066&gt;=m_From,S1066&lt;=m_To)),1,0)</f>
        <v/>
      </c>
      <c r="V1066" s="36">
        <f>IF(AND(OR(sel_Region="All",C1066=sel_Region),OR(sel_Channel="All",E1066=sel_Channel),OR(sel_Customer="All",F1066=sel_Customer),OR(sel_Category="All",G1066=sel_Category),OR(sel_Product="All",H1066=sel_Product),AND(S1066&gt;=m_From,S1066&lt;=m_To)),1,0)</f>
        <v/>
      </c>
      <c r="W1066" s="36">
        <f>IF(AND(OR(sel_Region="All",C1066=sel_Region),OR(sel_Country="All",D1066=sel_Country),OR(sel_Customer="All",F1066=sel_Customer),OR(sel_Category="All",G1066=sel_Category),OR(sel_Product="All",H1066=sel_Product),AND(S1066&gt;=m_From,S1066&lt;=m_To)),1,0)</f>
        <v/>
      </c>
      <c r="X1066" s="36">
        <f>IF(AND(OR(sel_Region="All",C1066=sel_Region),OR(sel_Country="All",D1066=sel_Country),OR(sel_Channel="All",E1066=sel_Channel),OR(sel_Category="All",G1066=sel_Category),OR(sel_Product="All",H1066=sel_Product),AND(S1066&gt;=m_From,S1066&lt;=m_To)),1,0)</f>
        <v/>
      </c>
      <c r="Y1066" s="36">
        <f>IF(AND(OR(sel_Region="All",C1066=sel_Region),OR(sel_Country="All",D1066=sel_Country),OR(sel_Channel="All",E1066=sel_Channel),OR(sel_Customer="All",F1066=sel_Customer),OR(sel_Product="All",H1066=sel_Product),AND(S1066&gt;=m_From,S1066&lt;=m_To)),1,0)</f>
        <v/>
      </c>
      <c r="Z1066" s="36">
        <f>IF(AND(OR(sel_Region="All",C1066=sel_Region),OR(sel_Country="All",D1066=sel_Country),OR(sel_Channel="All",E1066=sel_Channel),OR(sel_Customer="All",F1066=sel_Customer),OR(sel_Category="All",G1066=sel_Category),AND(S1066&gt;=m_From,S1066&lt;=m_To)),1,0)</f>
        <v/>
      </c>
      <c r="AA1066" s="36">
        <f>IF(AND(OR(sel_Region="All",C1066=sel_Region),OR(sel_Country="All",D1066=sel_Country),OR(sel_Channel="All",E1066=sel_Channel),OR(sel_Customer="All",F1066=sel_Customer),OR(sel_Category="All",G1066=sel_Category),OR(sel_Product="All",H1066=sel_Product)),1,0)</f>
        <v/>
      </c>
    </row>
    <row r="1067">
      <c r="A1067" s="36" t="inlineStr">
        <is>
          <t>01447</t>
        </is>
      </c>
      <c r="B1067" s="44" t="n">
        <v>46184</v>
      </c>
      <c r="C1067" s="36" t="inlineStr">
        <is>
          <t>Central Europe</t>
        </is>
      </c>
      <c r="D1067" s="36" t="inlineStr">
        <is>
          <t>Austria</t>
        </is>
      </c>
      <c r="E1067" s="36" t="inlineStr">
        <is>
          <t>Online Store</t>
        </is>
      </c>
      <c r="F1067" s="36" t="inlineStr">
        <is>
          <t>Returning</t>
        </is>
      </c>
      <c r="G1067" s="36" t="inlineStr">
        <is>
          <t>Cycling</t>
        </is>
      </c>
      <c r="H1067" s="36" t="inlineStr">
        <is>
          <t>Trail Bike Light</t>
        </is>
      </c>
      <c r="I1067" s="36" t="n">
        <v>1</v>
      </c>
      <c r="J1067" s="39" t="n">
        <v>51.09</v>
      </c>
      <c r="K1067" s="45" t="n">
        <v>0</v>
      </c>
      <c r="L1067" s="39" t="n">
        <v>22.78</v>
      </c>
      <c r="M1067" s="39">
        <f>I1067*J1067*(1-K1067)</f>
        <v/>
      </c>
      <c r="N1067" s="39">
        <f>I1067*L1067</f>
        <v/>
      </c>
      <c r="O1067" s="39">
        <f>M1067-N1067</f>
        <v/>
      </c>
      <c r="P1067" s="38">
        <f>IF(M1067=0,0,O1067/M1067)</f>
        <v/>
      </c>
      <c r="Q1067" s="36">
        <f>YEAR(B1067)</f>
        <v/>
      </c>
      <c r="R1067" s="36">
        <f>"Q"&amp;ROUNDUP(MONTH(B1067)/3,0)</f>
        <v/>
      </c>
      <c r="S1067" s="36">
        <f>MONTH(B1067)</f>
        <v/>
      </c>
      <c r="T1067" s="36">
        <f>TEXT(B1067,"mmm")</f>
        <v/>
      </c>
      <c r="U1067" s="36">
        <f>IF(AND(OR(sel_Region="All",C1067=sel_Region),OR(sel_Country="All",D1067=sel_Country),OR(sel_Channel="All",E1067=sel_Channel),OR(sel_Customer="All",F1067=sel_Customer),OR(sel_Category="All",G1067=sel_Category),OR(sel_Product="All",H1067=sel_Product),AND(S1067&gt;=m_From,S1067&lt;=m_To)),1,0)</f>
        <v/>
      </c>
      <c r="V1067" s="36">
        <f>IF(AND(OR(sel_Region="All",C1067=sel_Region),OR(sel_Channel="All",E1067=sel_Channel),OR(sel_Customer="All",F1067=sel_Customer),OR(sel_Category="All",G1067=sel_Category),OR(sel_Product="All",H1067=sel_Product),AND(S1067&gt;=m_From,S1067&lt;=m_To)),1,0)</f>
        <v/>
      </c>
      <c r="W1067" s="36">
        <f>IF(AND(OR(sel_Region="All",C1067=sel_Region),OR(sel_Country="All",D1067=sel_Country),OR(sel_Customer="All",F1067=sel_Customer),OR(sel_Category="All",G1067=sel_Category),OR(sel_Product="All",H1067=sel_Product),AND(S1067&gt;=m_From,S1067&lt;=m_To)),1,0)</f>
        <v/>
      </c>
      <c r="X1067" s="36">
        <f>IF(AND(OR(sel_Region="All",C1067=sel_Region),OR(sel_Country="All",D1067=sel_Country),OR(sel_Channel="All",E1067=sel_Channel),OR(sel_Category="All",G1067=sel_Category),OR(sel_Product="All",H1067=sel_Product),AND(S1067&gt;=m_From,S1067&lt;=m_To)),1,0)</f>
        <v/>
      </c>
      <c r="Y1067" s="36">
        <f>IF(AND(OR(sel_Region="All",C1067=sel_Region),OR(sel_Country="All",D1067=sel_Country),OR(sel_Channel="All",E1067=sel_Channel),OR(sel_Customer="All",F1067=sel_Customer),OR(sel_Product="All",H1067=sel_Product),AND(S1067&gt;=m_From,S1067&lt;=m_To)),1,0)</f>
        <v/>
      </c>
      <c r="Z1067" s="36">
        <f>IF(AND(OR(sel_Region="All",C1067=sel_Region),OR(sel_Country="All",D1067=sel_Country),OR(sel_Channel="All",E1067=sel_Channel),OR(sel_Customer="All",F1067=sel_Customer),OR(sel_Category="All",G1067=sel_Category),AND(S1067&gt;=m_From,S1067&lt;=m_To)),1,0)</f>
        <v/>
      </c>
      <c r="AA1067" s="36">
        <f>IF(AND(OR(sel_Region="All",C1067=sel_Region),OR(sel_Country="All",D1067=sel_Country),OR(sel_Channel="All",E1067=sel_Channel),OR(sel_Customer="All",F1067=sel_Customer),OR(sel_Category="All",G1067=sel_Category),OR(sel_Product="All",H1067=sel_Product)),1,0)</f>
        <v/>
      </c>
    </row>
    <row r="1068">
      <c r="A1068" s="36" t="inlineStr">
        <is>
          <t>02990</t>
        </is>
      </c>
      <c r="B1068" s="44" t="n">
        <v>46184</v>
      </c>
      <c r="C1068" s="36" t="inlineStr">
        <is>
          <t>Central Europe</t>
        </is>
      </c>
      <c r="D1068" s="36" t="inlineStr">
        <is>
          <t>Austria</t>
        </is>
      </c>
      <c r="E1068" s="36" t="inlineStr">
        <is>
          <t>Marketplace</t>
        </is>
      </c>
      <c r="F1068" s="36" t="inlineStr">
        <is>
          <t>Returning</t>
        </is>
      </c>
      <c r="G1068" s="36" t="inlineStr">
        <is>
          <t>Hiking</t>
        </is>
      </c>
      <c r="H1068" s="36" t="inlineStr">
        <is>
          <t>Trail Boots</t>
        </is>
      </c>
      <c r="I1068" s="36" t="n">
        <v>1</v>
      </c>
      <c r="J1068" s="39" t="n">
        <v>146.66</v>
      </c>
      <c r="K1068" s="45" t="n">
        <v>0</v>
      </c>
      <c r="L1068" s="39" t="n">
        <v>78.70999999999999</v>
      </c>
      <c r="M1068" s="39">
        <f>I1068*J1068*(1-K1068)</f>
        <v/>
      </c>
      <c r="N1068" s="39">
        <f>I1068*L1068</f>
        <v/>
      </c>
      <c r="O1068" s="39">
        <f>M1068-N1068</f>
        <v/>
      </c>
      <c r="P1068" s="38">
        <f>IF(M1068=0,0,O1068/M1068)</f>
        <v/>
      </c>
      <c r="Q1068" s="36">
        <f>YEAR(B1068)</f>
        <v/>
      </c>
      <c r="R1068" s="36">
        <f>"Q"&amp;ROUNDUP(MONTH(B1068)/3,0)</f>
        <v/>
      </c>
      <c r="S1068" s="36">
        <f>MONTH(B1068)</f>
        <v/>
      </c>
      <c r="T1068" s="36">
        <f>TEXT(B1068,"mmm")</f>
        <v/>
      </c>
      <c r="U1068" s="36">
        <f>IF(AND(OR(sel_Region="All",C1068=sel_Region),OR(sel_Country="All",D1068=sel_Country),OR(sel_Channel="All",E1068=sel_Channel),OR(sel_Customer="All",F1068=sel_Customer),OR(sel_Category="All",G1068=sel_Category),OR(sel_Product="All",H1068=sel_Product),AND(S1068&gt;=m_From,S1068&lt;=m_To)),1,0)</f>
        <v/>
      </c>
      <c r="V1068" s="36">
        <f>IF(AND(OR(sel_Region="All",C1068=sel_Region),OR(sel_Channel="All",E1068=sel_Channel),OR(sel_Customer="All",F1068=sel_Customer),OR(sel_Category="All",G1068=sel_Category),OR(sel_Product="All",H1068=sel_Product),AND(S1068&gt;=m_From,S1068&lt;=m_To)),1,0)</f>
        <v/>
      </c>
      <c r="W1068" s="36">
        <f>IF(AND(OR(sel_Region="All",C1068=sel_Region),OR(sel_Country="All",D1068=sel_Country),OR(sel_Customer="All",F1068=sel_Customer),OR(sel_Category="All",G1068=sel_Category),OR(sel_Product="All",H1068=sel_Product),AND(S1068&gt;=m_From,S1068&lt;=m_To)),1,0)</f>
        <v/>
      </c>
      <c r="X1068" s="36">
        <f>IF(AND(OR(sel_Region="All",C1068=sel_Region),OR(sel_Country="All",D1068=sel_Country),OR(sel_Channel="All",E1068=sel_Channel),OR(sel_Category="All",G1068=sel_Category),OR(sel_Product="All",H1068=sel_Product),AND(S1068&gt;=m_From,S1068&lt;=m_To)),1,0)</f>
        <v/>
      </c>
      <c r="Y1068" s="36">
        <f>IF(AND(OR(sel_Region="All",C1068=sel_Region),OR(sel_Country="All",D1068=sel_Country),OR(sel_Channel="All",E1068=sel_Channel),OR(sel_Customer="All",F1068=sel_Customer),OR(sel_Product="All",H1068=sel_Product),AND(S1068&gt;=m_From,S1068&lt;=m_To)),1,0)</f>
        <v/>
      </c>
      <c r="Z1068" s="36">
        <f>IF(AND(OR(sel_Region="All",C1068=sel_Region),OR(sel_Country="All",D1068=sel_Country),OR(sel_Channel="All",E1068=sel_Channel),OR(sel_Customer="All",F1068=sel_Customer),OR(sel_Category="All",G1068=sel_Category),AND(S1068&gt;=m_From,S1068&lt;=m_To)),1,0)</f>
        <v/>
      </c>
      <c r="AA1068" s="36">
        <f>IF(AND(OR(sel_Region="All",C1068=sel_Region),OR(sel_Country="All",D1068=sel_Country),OR(sel_Channel="All",E1068=sel_Channel),OR(sel_Customer="All",F1068=sel_Customer),OR(sel_Category="All",G1068=sel_Category),OR(sel_Product="All",H1068=sel_Product)),1,0)</f>
        <v/>
      </c>
    </row>
    <row r="1069">
      <c r="A1069" s="36" t="inlineStr">
        <is>
          <t>03769</t>
        </is>
      </c>
      <c r="B1069" s="44" t="n">
        <v>46184</v>
      </c>
      <c r="C1069" s="36" t="inlineStr">
        <is>
          <t>Central Europe</t>
        </is>
      </c>
      <c r="D1069" s="36" t="inlineStr">
        <is>
          <t>Germany</t>
        </is>
      </c>
      <c r="E1069" s="36" t="inlineStr">
        <is>
          <t>Retail Partners</t>
        </is>
      </c>
      <c r="F1069" s="36" t="inlineStr">
        <is>
          <t>New</t>
        </is>
      </c>
      <c r="G1069" s="36" t="inlineStr">
        <is>
          <t>Camping</t>
        </is>
      </c>
      <c r="H1069" s="36" t="inlineStr">
        <is>
          <t>Trail Tent 2P</t>
        </is>
      </c>
      <c r="I1069" s="36" t="n">
        <v>2</v>
      </c>
      <c r="J1069" s="39" t="n">
        <v>199.03</v>
      </c>
      <c r="K1069" s="45" t="n">
        <v>0</v>
      </c>
      <c r="L1069" s="39" t="n">
        <v>104.7</v>
      </c>
      <c r="M1069" s="39">
        <f>I1069*J1069*(1-K1069)</f>
        <v/>
      </c>
      <c r="N1069" s="39">
        <f>I1069*L1069</f>
        <v/>
      </c>
      <c r="O1069" s="39">
        <f>M1069-N1069</f>
        <v/>
      </c>
      <c r="P1069" s="38">
        <f>IF(M1069=0,0,O1069/M1069)</f>
        <v/>
      </c>
      <c r="Q1069" s="36">
        <f>YEAR(B1069)</f>
        <v/>
      </c>
      <c r="R1069" s="36">
        <f>"Q"&amp;ROUNDUP(MONTH(B1069)/3,0)</f>
        <v/>
      </c>
      <c r="S1069" s="36">
        <f>MONTH(B1069)</f>
        <v/>
      </c>
      <c r="T1069" s="36">
        <f>TEXT(B1069,"mmm")</f>
        <v/>
      </c>
      <c r="U1069" s="36">
        <f>IF(AND(OR(sel_Region="All",C1069=sel_Region),OR(sel_Country="All",D1069=sel_Country),OR(sel_Channel="All",E1069=sel_Channel),OR(sel_Customer="All",F1069=sel_Customer),OR(sel_Category="All",G1069=sel_Category),OR(sel_Product="All",H1069=sel_Product),AND(S1069&gt;=m_From,S1069&lt;=m_To)),1,0)</f>
        <v/>
      </c>
      <c r="V1069" s="36">
        <f>IF(AND(OR(sel_Region="All",C1069=sel_Region),OR(sel_Channel="All",E1069=sel_Channel),OR(sel_Customer="All",F1069=sel_Customer),OR(sel_Category="All",G1069=sel_Category),OR(sel_Product="All",H1069=sel_Product),AND(S1069&gt;=m_From,S1069&lt;=m_To)),1,0)</f>
        <v/>
      </c>
      <c r="W1069" s="36">
        <f>IF(AND(OR(sel_Region="All",C1069=sel_Region),OR(sel_Country="All",D1069=sel_Country),OR(sel_Customer="All",F1069=sel_Customer),OR(sel_Category="All",G1069=sel_Category),OR(sel_Product="All",H1069=sel_Product),AND(S1069&gt;=m_From,S1069&lt;=m_To)),1,0)</f>
        <v/>
      </c>
      <c r="X1069" s="36">
        <f>IF(AND(OR(sel_Region="All",C1069=sel_Region),OR(sel_Country="All",D1069=sel_Country),OR(sel_Channel="All",E1069=sel_Channel),OR(sel_Category="All",G1069=sel_Category),OR(sel_Product="All",H1069=sel_Product),AND(S1069&gt;=m_From,S1069&lt;=m_To)),1,0)</f>
        <v/>
      </c>
      <c r="Y1069" s="36">
        <f>IF(AND(OR(sel_Region="All",C1069=sel_Region),OR(sel_Country="All",D1069=sel_Country),OR(sel_Channel="All",E1069=sel_Channel),OR(sel_Customer="All",F1069=sel_Customer),OR(sel_Product="All",H1069=sel_Product),AND(S1069&gt;=m_From,S1069&lt;=m_To)),1,0)</f>
        <v/>
      </c>
      <c r="Z1069" s="36">
        <f>IF(AND(OR(sel_Region="All",C1069=sel_Region),OR(sel_Country="All",D1069=sel_Country),OR(sel_Channel="All",E1069=sel_Channel),OR(sel_Customer="All",F1069=sel_Customer),OR(sel_Category="All",G1069=sel_Category),AND(S1069&gt;=m_From,S1069&lt;=m_To)),1,0)</f>
        <v/>
      </c>
      <c r="AA1069" s="36">
        <f>IF(AND(OR(sel_Region="All",C1069=sel_Region),OR(sel_Country="All",D1069=sel_Country),OR(sel_Channel="All",E1069=sel_Channel),OR(sel_Customer="All",F1069=sel_Customer),OR(sel_Category="All",G1069=sel_Category),OR(sel_Product="All",H1069=sel_Product)),1,0)</f>
        <v/>
      </c>
    </row>
    <row r="1070">
      <c r="A1070" s="36" t="inlineStr">
        <is>
          <t>04152</t>
        </is>
      </c>
      <c r="B1070" s="44" t="n">
        <v>46184</v>
      </c>
      <c r="C1070" s="36" t="inlineStr">
        <is>
          <t>Northern Europe</t>
        </is>
      </c>
      <c r="D1070" s="36" t="inlineStr">
        <is>
          <t>Sweden</t>
        </is>
      </c>
      <c r="E1070" s="36" t="inlineStr">
        <is>
          <t>Online Store</t>
        </is>
      </c>
      <c r="F1070" s="36" t="inlineStr">
        <is>
          <t>Returning</t>
        </is>
      </c>
      <c r="G1070" s="36" t="inlineStr">
        <is>
          <t>Cycling</t>
        </is>
      </c>
      <c r="H1070" s="36" t="inlineStr">
        <is>
          <t>Compact Repair Kit</t>
        </is>
      </c>
      <c r="I1070" s="36" t="n">
        <v>5</v>
      </c>
      <c r="J1070" s="39" t="n">
        <v>41.18</v>
      </c>
      <c r="K1070" s="45" t="n">
        <v>0.05</v>
      </c>
      <c r="L1070" s="39" t="n">
        <v>16.87</v>
      </c>
      <c r="M1070" s="39">
        <f>I1070*J1070*(1-K1070)</f>
        <v/>
      </c>
      <c r="N1070" s="39">
        <f>I1070*L1070</f>
        <v/>
      </c>
      <c r="O1070" s="39">
        <f>M1070-N1070</f>
        <v/>
      </c>
      <c r="P1070" s="38">
        <f>IF(M1070=0,0,O1070/M1070)</f>
        <v/>
      </c>
      <c r="Q1070" s="36">
        <f>YEAR(B1070)</f>
        <v/>
      </c>
      <c r="R1070" s="36">
        <f>"Q"&amp;ROUNDUP(MONTH(B1070)/3,0)</f>
        <v/>
      </c>
      <c r="S1070" s="36">
        <f>MONTH(B1070)</f>
        <v/>
      </c>
      <c r="T1070" s="36">
        <f>TEXT(B1070,"mmm")</f>
        <v/>
      </c>
      <c r="U1070" s="36">
        <f>IF(AND(OR(sel_Region="All",C1070=sel_Region),OR(sel_Country="All",D1070=sel_Country),OR(sel_Channel="All",E1070=sel_Channel),OR(sel_Customer="All",F1070=sel_Customer),OR(sel_Category="All",G1070=sel_Category),OR(sel_Product="All",H1070=sel_Product),AND(S1070&gt;=m_From,S1070&lt;=m_To)),1,0)</f>
        <v/>
      </c>
      <c r="V1070" s="36">
        <f>IF(AND(OR(sel_Region="All",C1070=sel_Region),OR(sel_Channel="All",E1070=sel_Channel),OR(sel_Customer="All",F1070=sel_Customer),OR(sel_Category="All",G1070=sel_Category),OR(sel_Product="All",H1070=sel_Product),AND(S1070&gt;=m_From,S1070&lt;=m_To)),1,0)</f>
        <v/>
      </c>
      <c r="W1070" s="36">
        <f>IF(AND(OR(sel_Region="All",C1070=sel_Region),OR(sel_Country="All",D1070=sel_Country),OR(sel_Customer="All",F1070=sel_Customer),OR(sel_Category="All",G1070=sel_Category),OR(sel_Product="All",H1070=sel_Product),AND(S1070&gt;=m_From,S1070&lt;=m_To)),1,0)</f>
        <v/>
      </c>
      <c r="X1070" s="36">
        <f>IF(AND(OR(sel_Region="All",C1070=sel_Region),OR(sel_Country="All",D1070=sel_Country),OR(sel_Channel="All",E1070=sel_Channel),OR(sel_Category="All",G1070=sel_Category),OR(sel_Product="All",H1070=sel_Product),AND(S1070&gt;=m_From,S1070&lt;=m_To)),1,0)</f>
        <v/>
      </c>
      <c r="Y1070" s="36">
        <f>IF(AND(OR(sel_Region="All",C1070=sel_Region),OR(sel_Country="All",D1070=sel_Country),OR(sel_Channel="All",E1070=sel_Channel),OR(sel_Customer="All",F1070=sel_Customer),OR(sel_Product="All",H1070=sel_Product),AND(S1070&gt;=m_From,S1070&lt;=m_To)),1,0)</f>
        <v/>
      </c>
      <c r="Z1070" s="36">
        <f>IF(AND(OR(sel_Region="All",C1070=sel_Region),OR(sel_Country="All",D1070=sel_Country),OR(sel_Channel="All",E1070=sel_Channel),OR(sel_Customer="All",F1070=sel_Customer),OR(sel_Category="All",G1070=sel_Category),AND(S1070&gt;=m_From,S1070&lt;=m_To)),1,0)</f>
        <v/>
      </c>
      <c r="AA1070" s="36">
        <f>IF(AND(OR(sel_Region="All",C1070=sel_Region),OR(sel_Country="All",D1070=sel_Country),OR(sel_Channel="All",E1070=sel_Channel),OR(sel_Customer="All",F1070=sel_Customer),OR(sel_Category="All",G1070=sel_Category),OR(sel_Product="All",H1070=sel_Product)),1,0)</f>
        <v/>
      </c>
    </row>
    <row r="1071">
      <c r="A1071" s="36" t="inlineStr">
        <is>
          <t>04242</t>
        </is>
      </c>
      <c r="B1071" s="44" t="n">
        <v>46184</v>
      </c>
      <c r="C1071" s="36" t="inlineStr">
        <is>
          <t>Central Europe</t>
        </is>
      </c>
      <c r="D1071" s="36" t="inlineStr">
        <is>
          <t>Germany</t>
        </is>
      </c>
      <c r="E1071" s="36" t="inlineStr">
        <is>
          <t>Retail Partners</t>
        </is>
      </c>
      <c r="F1071" s="36" t="inlineStr">
        <is>
          <t>Business</t>
        </is>
      </c>
      <c r="G1071" s="36" t="inlineStr">
        <is>
          <t>Hiking</t>
        </is>
      </c>
      <c r="H1071" s="36" t="inlineStr">
        <is>
          <t>Trail Boots</t>
        </is>
      </c>
      <c r="I1071" s="36" t="n">
        <v>2</v>
      </c>
      <c r="J1071" s="39" t="n">
        <v>141.18</v>
      </c>
      <c r="K1071" s="45" t="n">
        <v>0</v>
      </c>
      <c r="L1071" s="39" t="n">
        <v>78.66</v>
      </c>
      <c r="M1071" s="39">
        <f>I1071*J1071*(1-K1071)</f>
        <v/>
      </c>
      <c r="N1071" s="39">
        <f>I1071*L1071</f>
        <v/>
      </c>
      <c r="O1071" s="39">
        <f>M1071-N1071</f>
        <v/>
      </c>
      <c r="P1071" s="38">
        <f>IF(M1071=0,0,O1071/M1071)</f>
        <v/>
      </c>
      <c r="Q1071" s="36">
        <f>YEAR(B1071)</f>
        <v/>
      </c>
      <c r="R1071" s="36">
        <f>"Q"&amp;ROUNDUP(MONTH(B1071)/3,0)</f>
        <v/>
      </c>
      <c r="S1071" s="36">
        <f>MONTH(B1071)</f>
        <v/>
      </c>
      <c r="T1071" s="36">
        <f>TEXT(B1071,"mmm")</f>
        <v/>
      </c>
      <c r="U1071" s="36">
        <f>IF(AND(OR(sel_Region="All",C1071=sel_Region),OR(sel_Country="All",D1071=sel_Country),OR(sel_Channel="All",E1071=sel_Channel),OR(sel_Customer="All",F1071=sel_Customer),OR(sel_Category="All",G1071=sel_Category),OR(sel_Product="All",H1071=sel_Product),AND(S1071&gt;=m_From,S1071&lt;=m_To)),1,0)</f>
        <v/>
      </c>
      <c r="V1071" s="36">
        <f>IF(AND(OR(sel_Region="All",C1071=sel_Region),OR(sel_Channel="All",E1071=sel_Channel),OR(sel_Customer="All",F1071=sel_Customer),OR(sel_Category="All",G1071=sel_Category),OR(sel_Product="All",H1071=sel_Product),AND(S1071&gt;=m_From,S1071&lt;=m_To)),1,0)</f>
        <v/>
      </c>
      <c r="W1071" s="36">
        <f>IF(AND(OR(sel_Region="All",C1071=sel_Region),OR(sel_Country="All",D1071=sel_Country),OR(sel_Customer="All",F1071=sel_Customer),OR(sel_Category="All",G1071=sel_Category),OR(sel_Product="All",H1071=sel_Product),AND(S1071&gt;=m_From,S1071&lt;=m_To)),1,0)</f>
        <v/>
      </c>
      <c r="X1071" s="36">
        <f>IF(AND(OR(sel_Region="All",C1071=sel_Region),OR(sel_Country="All",D1071=sel_Country),OR(sel_Channel="All",E1071=sel_Channel),OR(sel_Category="All",G1071=sel_Category),OR(sel_Product="All",H1071=sel_Product),AND(S1071&gt;=m_From,S1071&lt;=m_To)),1,0)</f>
        <v/>
      </c>
      <c r="Y1071" s="36">
        <f>IF(AND(OR(sel_Region="All",C1071=sel_Region),OR(sel_Country="All",D1071=sel_Country),OR(sel_Channel="All",E1071=sel_Channel),OR(sel_Customer="All",F1071=sel_Customer),OR(sel_Product="All",H1071=sel_Product),AND(S1071&gt;=m_From,S1071&lt;=m_To)),1,0)</f>
        <v/>
      </c>
      <c r="Z1071" s="36">
        <f>IF(AND(OR(sel_Region="All",C1071=sel_Region),OR(sel_Country="All",D1071=sel_Country),OR(sel_Channel="All",E1071=sel_Channel),OR(sel_Customer="All",F1071=sel_Customer),OR(sel_Category="All",G1071=sel_Category),AND(S1071&gt;=m_From,S1071&lt;=m_To)),1,0)</f>
        <v/>
      </c>
      <c r="AA1071" s="36">
        <f>IF(AND(OR(sel_Region="All",C1071=sel_Region),OR(sel_Country="All",D1071=sel_Country),OR(sel_Channel="All",E1071=sel_Channel),OR(sel_Customer="All",F1071=sel_Customer),OR(sel_Category="All",G1071=sel_Category),OR(sel_Product="All",H1071=sel_Product)),1,0)</f>
        <v/>
      </c>
    </row>
    <row r="1072">
      <c r="A1072" s="36" t="inlineStr">
        <is>
          <t>04780</t>
        </is>
      </c>
      <c r="B1072" s="44" t="n">
        <v>46184</v>
      </c>
      <c r="C1072" s="36" t="inlineStr">
        <is>
          <t>Central Europe</t>
        </is>
      </c>
      <c r="D1072" s="36" t="inlineStr">
        <is>
          <t>Germany</t>
        </is>
      </c>
      <c r="E1072" s="36" t="inlineStr">
        <is>
          <t>Retail Partners</t>
        </is>
      </c>
      <c r="F1072" s="36" t="inlineStr">
        <is>
          <t>Returning</t>
        </is>
      </c>
      <c r="G1072" s="36" t="inlineStr">
        <is>
          <t>Cycling</t>
        </is>
      </c>
      <c r="H1072" s="36" t="inlineStr">
        <is>
          <t>Commuter Helmet</t>
        </is>
      </c>
      <c r="I1072" s="36" t="n">
        <v>1</v>
      </c>
      <c r="J1072" s="39" t="n">
        <v>82.47</v>
      </c>
      <c r="K1072" s="45" t="n">
        <v>0.1</v>
      </c>
      <c r="L1072" s="39" t="n">
        <v>42.73</v>
      </c>
      <c r="M1072" s="39">
        <f>I1072*J1072*(1-K1072)</f>
        <v/>
      </c>
      <c r="N1072" s="39">
        <f>I1072*L1072</f>
        <v/>
      </c>
      <c r="O1072" s="39">
        <f>M1072-N1072</f>
        <v/>
      </c>
      <c r="P1072" s="38">
        <f>IF(M1072=0,0,O1072/M1072)</f>
        <v/>
      </c>
      <c r="Q1072" s="36">
        <f>YEAR(B1072)</f>
        <v/>
      </c>
      <c r="R1072" s="36">
        <f>"Q"&amp;ROUNDUP(MONTH(B1072)/3,0)</f>
        <v/>
      </c>
      <c r="S1072" s="36">
        <f>MONTH(B1072)</f>
        <v/>
      </c>
      <c r="T1072" s="36">
        <f>TEXT(B1072,"mmm")</f>
        <v/>
      </c>
      <c r="U1072" s="36">
        <f>IF(AND(OR(sel_Region="All",C1072=sel_Region),OR(sel_Country="All",D1072=sel_Country),OR(sel_Channel="All",E1072=sel_Channel),OR(sel_Customer="All",F1072=sel_Customer),OR(sel_Category="All",G1072=sel_Category),OR(sel_Product="All",H1072=sel_Product),AND(S1072&gt;=m_From,S1072&lt;=m_To)),1,0)</f>
        <v/>
      </c>
      <c r="V1072" s="36">
        <f>IF(AND(OR(sel_Region="All",C1072=sel_Region),OR(sel_Channel="All",E1072=sel_Channel),OR(sel_Customer="All",F1072=sel_Customer),OR(sel_Category="All",G1072=sel_Category),OR(sel_Product="All",H1072=sel_Product),AND(S1072&gt;=m_From,S1072&lt;=m_To)),1,0)</f>
        <v/>
      </c>
      <c r="W1072" s="36">
        <f>IF(AND(OR(sel_Region="All",C1072=sel_Region),OR(sel_Country="All",D1072=sel_Country),OR(sel_Customer="All",F1072=sel_Customer),OR(sel_Category="All",G1072=sel_Category),OR(sel_Product="All",H1072=sel_Product),AND(S1072&gt;=m_From,S1072&lt;=m_To)),1,0)</f>
        <v/>
      </c>
      <c r="X1072" s="36">
        <f>IF(AND(OR(sel_Region="All",C1072=sel_Region),OR(sel_Country="All",D1072=sel_Country),OR(sel_Channel="All",E1072=sel_Channel),OR(sel_Category="All",G1072=sel_Category),OR(sel_Product="All",H1072=sel_Product),AND(S1072&gt;=m_From,S1072&lt;=m_To)),1,0)</f>
        <v/>
      </c>
      <c r="Y1072" s="36">
        <f>IF(AND(OR(sel_Region="All",C1072=sel_Region),OR(sel_Country="All",D1072=sel_Country),OR(sel_Channel="All",E1072=sel_Channel),OR(sel_Customer="All",F1072=sel_Customer),OR(sel_Product="All",H1072=sel_Product),AND(S1072&gt;=m_From,S1072&lt;=m_To)),1,0)</f>
        <v/>
      </c>
      <c r="Z1072" s="36">
        <f>IF(AND(OR(sel_Region="All",C1072=sel_Region),OR(sel_Country="All",D1072=sel_Country),OR(sel_Channel="All",E1072=sel_Channel),OR(sel_Customer="All",F1072=sel_Customer),OR(sel_Category="All",G1072=sel_Category),AND(S1072&gt;=m_From,S1072&lt;=m_To)),1,0)</f>
        <v/>
      </c>
      <c r="AA1072" s="36">
        <f>IF(AND(OR(sel_Region="All",C1072=sel_Region),OR(sel_Country="All",D1072=sel_Country),OR(sel_Channel="All",E1072=sel_Channel),OR(sel_Customer="All",F1072=sel_Customer),OR(sel_Category="All",G1072=sel_Category),OR(sel_Product="All",H1072=sel_Product)),1,0)</f>
        <v/>
      </c>
    </row>
    <row r="1073">
      <c r="A1073" s="36" t="inlineStr">
        <is>
          <t>00063</t>
        </is>
      </c>
      <c r="B1073" s="44" t="n">
        <v>46185</v>
      </c>
      <c r="C1073" s="36" t="inlineStr">
        <is>
          <t>Central Europe</t>
        </is>
      </c>
      <c r="D1073" s="36" t="inlineStr">
        <is>
          <t>Czechia</t>
        </is>
      </c>
      <c r="E1073" s="36" t="inlineStr">
        <is>
          <t>Marketplace</t>
        </is>
      </c>
      <c r="F1073" s="36" t="inlineStr">
        <is>
          <t>Returning</t>
        </is>
      </c>
      <c r="G1073" s="36" t="inlineStr">
        <is>
          <t>Travel</t>
        </is>
      </c>
      <c r="H1073" s="36" t="inlineStr">
        <is>
          <t>Travel Backpack 35L</t>
        </is>
      </c>
      <c r="I1073" s="36" t="n">
        <v>1</v>
      </c>
      <c r="J1073" s="39" t="n">
        <v>166.91</v>
      </c>
      <c r="K1073" s="45" t="n">
        <v>0</v>
      </c>
      <c r="L1073" s="39" t="n">
        <v>85.58</v>
      </c>
      <c r="M1073" s="39">
        <f>I1073*J1073*(1-K1073)</f>
        <v/>
      </c>
      <c r="N1073" s="39">
        <f>I1073*L1073</f>
        <v/>
      </c>
      <c r="O1073" s="39">
        <f>M1073-N1073</f>
        <v/>
      </c>
      <c r="P1073" s="38">
        <f>IF(M1073=0,0,O1073/M1073)</f>
        <v/>
      </c>
      <c r="Q1073" s="36">
        <f>YEAR(B1073)</f>
        <v/>
      </c>
      <c r="R1073" s="36">
        <f>"Q"&amp;ROUNDUP(MONTH(B1073)/3,0)</f>
        <v/>
      </c>
      <c r="S1073" s="36">
        <f>MONTH(B1073)</f>
        <v/>
      </c>
      <c r="T1073" s="36">
        <f>TEXT(B1073,"mmm")</f>
        <v/>
      </c>
      <c r="U1073" s="36">
        <f>IF(AND(OR(sel_Region="All",C1073=sel_Region),OR(sel_Country="All",D1073=sel_Country),OR(sel_Channel="All",E1073=sel_Channel),OR(sel_Customer="All",F1073=sel_Customer),OR(sel_Category="All",G1073=sel_Category),OR(sel_Product="All",H1073=sel_Product),AND(S1073&gt;=m_From,S1073&lt;=m_To)),1,0)</f>
        <v/>
      </c>
      <c r="V1073" s="36">
        <f>IF(AND(OR(sel_Region="All",C1073=sel_Region),OR(sel_Channel="All",E1073=sel_Channel),OR(sel_Customer="All",F1073=sel_Customer),OR(sel_Category="All",G1073=sel_Category),OR(sel_Product="All",H1073=sel_Product),AND(S1073&gt;=m_From,S1073&lt;=m_To)),1,0)</f>
        <v/>
      </c>
      <c r="W1073" s="36">
        <f>IF(AND(OR(sel_Region="All",C1073=sel_Region),OR(sel_Country="All",D1073=sel_Country),OR(sel_Customer="All",F1073=sel_Customer),OR(sel_Category="All",G1073=sel_Category),OR(sel_Product="All",H1073=sel_Product),AND(S1073&gt;=m_From,S1073&lt;=m_To)),1,0)</f>
        <v/>
      </c>
      <c r="X1073" s="36">
        <f>IF(AND(OR(sel_Region="All",C1073=sel_Region),OR(sel_Country="All",D1073=sel_Country),OR(sel_Channel="All",E1073=sel_Channel),OR(sel_Category="All",G1073=sel_Category),OR(sel_Product="All",H1073=sel_Product),AND(S1073&gt;=m_From,S1073&lt;=m_To)),1,0)</f>
        <v/>
      </c>
      <c r="Y1073" s="36">
        <f>IF(AND(OR(sel_Region="All",C1073=sel_Region),OR(sel_Country="All",D1073=sel_Country),OR(sel_Channel="All",E1073=sel_Channel),OR(sel_Customer="All",F1073=sel_Customer),OR(sel_Product="All",H1073=sel_Product),AND(S1073&gt;=m_From,S1073&lt;=m_To)),1,0)</f>
        <v/>
      </c>
      <c r="Z1073" s="36">
        <f>IF(AND(OR(sel_Region="All",C1073=sel_Region),OR(sel_Country="All",D1073=sel_Country),OR(sel_Channel="All",E1073=sel_Channel),OR(sel_Customer="All",F1073=sel_Customer),OR(sel_Category="All",G1073=sel_Category),AND(S1073&gt;=m_From,S1073&lt;=m_To)),1,0)</f>
        <v/>
      </c>
      <c r="AA1073" s="36">
        <f>IF(AND(OR(sel_Region="All",C1073=sel_Region),OR(sel_Country="All",D1073=sel_Country),OR(sel_Channel="All",E1073=sel_Channel),OR(sel_Customer="All",F1073=sel_Customer),OR(sel_Category="All",G1073=sel_Category),OR(sel_Product="All",H1073=sel_Product)),1,0)</f>
        <v/>
      </c>
    </row>
    <row r="1074">
      <c r="A1074" s="36" t="inlineStr">
        <is>
          <t>00190</t>
        </is>
      </c>
      <c r="B1074" s="44" t="n">
        <v>46185</v>
      </c>
      <c r="C1074" s="36" t="inlineStr">
        <is>
          <t>Southern Europe</t>
        </is>
      </c>
      <c r="D1074" s="36" t="inlineStr">
        <is>
          <t>Spain</t>
        </is>
      </c>
      <c r="E1074" s="36" t="inlineStr">
        <is>
          <t>Retail Partners</t>
        </is>
      </c>
      <c r="F1074" s="36" t="inlineStr">
        <is>
          <t>Business</t>
        </is>
      </c>
      <c r="G1074" s="36" t="inlineStr">
        <is>
          <t>Travel</t>
        </is>
      </c>
      <c r="H1074" s="36" t="inlineStr">
        <is>
          <t>Packing Cube Set</t>
        </is>
      </c>
      <c r="I1074" s="36" t="n">
        <v>1</v>
      </c>
      <c r="J1074" s="39" t="n">
        <v>45.99</v>
      </c>
      <c r="K1074" s="45" t="n">
        <v>0</v>
      </c>
      <c r="L1074" s="39" t="n">
        <v>18.58</v>
      </c>
      <c r="M1074" s="39">
        <f>I1074*J1074*(1-K1074)</f>
        <v/>
      </c>
      <c r="N1074" s="39">
        <f>I1074*L1074</f>
        <v/>
      </c>
      <c r="O1074" s="39">
        <f>M1074-N1074</f>
        <v/>
      </c>
      <c r="P1074" s="38">
        <f>IF(M1074=0,0,O1074/M1074)</f>
        <v/>
      </c>
      <c r="Q1074" s="36">
        <f>YEAR(B1074)</f>
        <v/>
      </c>
      <c r="R1074" s="36">
        <f>"Q"&amp;ROUNDUP(MONTH(B1074)/3,0)</f>
        <v/>
      </c>
      <c r="S1074" s="36">
        <f>MONTH(B1074)</f>
        <v/>
      </c>
      <c r="T1074" s="36">
        <f>TEXT(B1074,"mmm")</f>
        <v/>
      </c>
      <c r="U1074" s="36">
        <f>IF(AND(OR(sel_Region="All",C1074=sel_Region),OR(sel_Country="All",D1074=sel_Country),OR(sel_Channel="All",E1074=sel_Channel),OR(sel_Customer="All",F1074=sel_Customer),OR(sel_Category="All",G1074=sel_Category),OR(sel_Product="All",H1074=sel_Product),AND(S1074&gt;=m_From,S1074&lt;=m_To)),1,0)</f>
        <v/>
      </c>
      <c r="V1074" s="36">
        <f>IF(AND(OR(sel_Region="All",C1074=sel_Region),OR(sel_Channel="All",E1074=sel_Channel),OR(sel_Customer="All",F1074=sel_Customer),OR(sel_Category="All",G1074=sel_Category),OR(sel_Product="All",H1074=sel_Product),AND(S1074&gt;=m_From,S1074&lt;=m_To)),1,0)</f>
        <v/>
      </c>
      <c r="W1074" s="36">
        <f>IF(AND(OR(sel_Region="All",C1074=sel_Region),OR(sel_Country="All",D1074=sel_Country),OR(sel_Customer="All",F1074=sel_Customer),OR(sel_Category="All",G1074=sel_Category),OR(sel_Product="All",H1074=sel_Product),AND(S1074&gt;=m_From,S1074&lt;=m_To)),1,0)</f>
        <v/>
      </c>
      <c r="X1074" s="36">
        <f>IF(AND(OR(sel_Region="All",C1074=sel_Region),OR(sel_Country="All",D1074=sel_Country),OR(sel_Channel="All",E1074=sel_Channel),OR(sel_Category="All",G1074=sel_Category),OR(sel_Product="All",H1074=sel_Product),AND(S1074&gt;=m_From,S1074&lt;=m_To)),1,0)</f>
        <v/>
      </c>
      <c r="Y1074" s="36">
        <f>IF(AND(OR(sel_Region="All",C1074=sel_Region),OR(sel_Country="All",D1074=sel_Country),OR(sel_Channel="All",E1074=sel_Channel),OR(sel_Customer="All",F1074=sel_Customer),OR(sel_Product="All",H1074=sel_Product),AND(S1074&gt;=m_From,S1074&lt;=m_To)),1,0)</f>
        <v/>
      </c>
      <c r="Z1074" s="36">
        <f>IF(AND(OR(sel_Region="All",C1074=sel_Region),OR(sel_Country="All",D1074=sel_Country),OR(sel_Channel="All",E1074=sel_Channel),OR(sel_Customer="All",F1074=sel_Customer),OR(sel_Category="All",G1074=sel_Category),AND(S1074&gt;=m_From,S1074&lt;=m_To)),1,0)</f>
        <v/>
      </c>
      <c r="AA1074" s="36">
        <f>IF(AND(OR(sel_Region="All",C1074=sel_Region),OR(sel_Country="All",D1074=sel_Country),OR(sel_Channel="All",E1074=sel_Channel),OR(sel_Customer="All",F1074=sel_Customer),OR(sel_Category="All",G1074=sel_Category),OR(sel_Product="All",H1074=sel_Product)),1,0)</f>
        <v/>
      </c>
    </row>
    <row r="1075">
      <c r="A1075" s="36" t="inlineStr">
        <is>
          <t>00268</t>
        </is>
      </c>
      <c r="B1075" s="44" t="n">
        <v>46185</v>
      </c>
      <c r="C1075" s="36" t="inlineStr">
        <is>
          <t>Western Europe</t>
        </is>
      </c>
      <c r="D1075" s="36" t="inlineStr">
        <is>
          <t>France</t>
        </is>
      </c>
      <c r="E1075" s="36" t="inlineStr">
        <is>
          <t>Retail Partners</t>
        </is>
      </c>
      <c r="F1075" s="36" t="inlineStr">
        <is>
          <t>Business</t>
        </is>
      </c>
      <c r="G1075" s="36" t="inlineStr">
        <is>
          <t>Fitness</t>
        </is>
      </c>
      <c r="H1075" s="36" t="inlineStr">
        <is>
          <t>Recovery Roller</t>
        </is>
      </c>
      <c r="I1075" s="36" t="n">
        <v>1</v>
      </c>
      <c r="J1075" s="39" t="n">
        <v>37.01</v>
      </c>
      <c r="K1075" s="45" t="n">
        <v>0.05</v>
      </c>
      <c r="L1075" s="39" t="n">
        <v>14.18</v>
      </c>
      <c r="M1075" s="39">
        <f>I1075*J1075*(1-K1075)</f>
        <v/>
      </c>
      <c r="N1075" s="39">
        <f>I1075*L1075</f>
        <v/>
      </c>
      <c r="O1075" s="39">
        <f>M1075-N1075</f>
        <v/>
      </c>
      <c r="P1075" s="38">
        <f>IF(M1075=0,0,O1075/M1075)</f>
        <v/>
      </c>
      <c r="Q1075" s="36">
        <f>YEAR(B1075)</f>
        <v/>
      </c>
      <c r="R1075" s="36">
        <f>"Q"&amp;ROUNDUP(MONTH(B1075)/3,0)</f>
        <v/>
      </c>
      <c r="S1075" s="36">
        <f>MONTH(B1075)</f>
        <v/>
      </c>
      <c r="T1075" s="36">
        <f>TEXT(B1075,"mmm")</f>
        <v/>
      </c>
      <c r="U1075" s="36">
        <f>IF(AND(OR(sel_Region="All",C1075=sel_Region),OR(sel_Country="All",D1075=sel_Country),OR(sel_Channel="All",E1075=sel_Channel),OR(sel_Customer="All",F1075=sel_Customer),OR(sel_Category="All",G1075=sel_Category),OR(sel_Product="All",H1075=sel_Product),AND(S1075&gt;=m_From,S1075&lt;=m_To)),1,0)</f>
        <v/>
      </c>
      <c r="V1075" s="36">
        <f>IF(AND(OR(sel_Region="All",C1075=sel_Region),OR(sel_Channel="All",E1075=sel_Channel),OR(sel_Customer="All",F1075=sel_Customer),OR(sel_Category="All",G1075=sel_Category),OR(sel_Product="All",H1075=sel_Product),AND(S1075&gt;=m_From,S1075&lt;=m_To)),1,0)</f>
        <v/>
      </c>
      <c r="W1075" s="36">
        <f>IF(AND(OR(sel_Region="All",C1075=sel_Region),OR(sel_Country="All",D1075=sel_Country),OR(sel_Customer="All",F1075=sel_Customer),OR(sel_Category="All",G1075=sel_Category),OR(sel_Product="All",H1075=sel_Product),AND(S1075&gt;=m_From,S1075&lt;=m_To)),1,0)</f>
        <v/>
      </c>
      <c r="X1075" s="36">
        <f>IF(AND(OR(sel_Region="All",C1075=sel_Region),OR(sel_Country="All",D1075=sel_Country),OR(sel_Channel="All",E1075=sel_Channel),OR(sel_Category="All",G1075=sel_Category),OR(sel_Product="All",H1075=sel_Product),AND(S1075&gt;=m_From,S1075&lt;=m_To)),1,0)</f>
        <v/>
      </c>
      <c r="Y1075" s="36">
        <f>IF(AND(OR(sel_Region="All",C1075=sel_Region),OR(sel_Country="All",D1075=sel_Country),OR(sel_Channel="All",E1075=sel_Channel),OR(sel_Customer="All",F1075=sel_Customer),OR(sel_Product="All",H1075=sel_Product),AND(S1075&gt;=m_From,S1075&lt;=m_To)),1,0)</f>
        <v/>
      </c>
      <c r="Z1075" s="36">
        <f>IF(AND(OR(sel_Region="All",C1075=sel_Region),OR(sel_Country="All",D1075=sel_Country),OR(sel_Channel="All",E1075=sel_Channel),OR(sel_Customer="All",F1075=sel_Customer),OR(sel_Category="All",G1075=sel_Category),AND(S1075&gt;=m_From,S1075&lt;=m_To)),1,0)</f>
        <v/>
      </c>
      <c r="AA1075" s="36">
        <f>IF(AND(OR(sel_Region="All",C1075=sel_Region),OR(sel_Country="All",D1075=sel_Country),OR(sel_Channel="All",E1075=sel_Channel),OR(sel_Customer="All",F1075=sel_Customer),OR(sel_Category="All",G1075=sel_Category),OR(sel_Product="All",H1075=sel_Product)),1,0)</f>
        <v/>
      </c>
    </row>
    <row r="1076">
      <c r="A1076" s="36" t="inlineStr">
        <is>
          <t>00691</t>
        </is>
      </c>
      <c r="B1076" s="44" t="n">
        <v>46185</v>
      </c>
      <c r="C1076" s="36" t="inlineStr">
        <is>
          <t>Western Europe</t>
        </is>
      </c>
      <c r="D1076" s="36" t="inlineStr">
        <is>
          <t>United Kingdom</t>
        </is>
      </c>
      <c r="E1076" s="36" t="inlineStr">
        <is>
          <t>Marketplace</t>
        </is>
      </c>
      <c r="F1076" s="36" t="inlineStr">
        <is>
          <t>Business</t>
        </is>
      </c>
      <c r="G1076" s="36" t="inlineStr">
        <is>
          <t>Hiking</t>
        </is>
      </c>
      <c r="H1076" s="36" t="inlineStr">
        <is>
          <t>Trail Boots</t>
        </is>
      </c>
      <c r="I1076" s="36" t="n">
        <v>5</v>
      </c>
      <c r="J1076" s="39" t="n">
        <v>140.9</v>
      </c>
      <c r="K1076" s="45" t="n">
        <v>0</v>
      </c>
      <c r="L1076" s="39" t="n">
        <v>80.16</v>
      </c>
      <c r="M1076" s="39">
        <f>I1076*J1076*(1-K1076)</f>
        <v/>
      </c>
      <c r="N1076" s="39">
        <f>I1076*L1076</f>
        <v/>
      </c>
      <c r="O1076" s="39">
        <f>M1076-N1076</f>
        <v/>
      </c>
      <c r="P1076" s="38">
        <f>IF(M1076=0,0,O1076/M1076)</f>
        <v/>
      </c>
      <c r="Q1076" s="36">
        <f>YEAR(B1076)</f>
        <v/>
      </c>
      <c r="R1076" s="36">
        <f>"Q"&amp;ROUNDUP(MONTH(B1076)/3,0)</f>
        <v/>
      </c>
      <c r="S1076" s="36">
        <f>MONTH(B1076)</f>
        <v/>
      </c>
      <c r="T1076" s="36">
        <f>TEXT(B1076,"mmm")</f>
        <v/>
      </c>
      <c r="U1076" s="36">
        <f>IF(AND(OR(sel_Region="All",C1076=sel_Region),OR(sel_Country="All",D1076=sel_Country),OR(sel_Channel="All",E1076=sel_Channel),OR(sel_Customer="All",F1076=sel_Customer),OR(sel_Category="All",G1076=sel_Category),OR(sel_Product="All",H1076=sel_Product),AND(S1076&gt;=m_From,S1076&lt;=m_To)),1,0)</f>
        <v/>
      </c>
      <c r="V1076" s="36">
        <f>IF(AND(OR(sel_Region="All",C1076=sel_Region),OR(sel_Channel="All",E1076=sel_Channel),OR(sel_Customer="All",F1076=sel_Customer),OR(sel_Category="All",G1076=sel_Category),OR(sel_Product="All",H1076=sel_Product),AND(S1076&gt;=m_From,S1076&lt;=m_To)),1,0)</f>
        <v/>
      </c>
      <c r="W1076" s="36">
        <f>IF(AND(OR(sel_Region="All",C1076=sel_Region),OR(sel_Country="All",D1076=sel_Country),OR(sel_Customer="All",F1076=sel_Customer),OR(sel_Category="All",G1076=sel_Category),OR(sel_Product="All",H1076=sel_Product),AND(S1076&gt;=m_From,S1076&lt;=m_To)),1,0)</f>
        <v/>
      </c>
      <c r="X1076" s="36">
        <f>IF(AND(OR(sel_Region="All",C1076=sel_Region),OR(sel_Country="All",D1076=sel_Country),OR(sel_Channel="All",E1076=sel_Channel),OR(sel_Category="All",G1076=sel_Category),OR(sel_Product="All",H1076=sel_Product),AND(S1076&gt;=m_From,S1076&lt;=m_To)),1,0)</f>
        <v/>
      </c>
      <c r="Y1076" s="36">
        <f>IF(AND(OR(sel_Region="All",C1076=sel_Region),OR(sel_Country="All",D1076=sel_Country),OR(sel_Channel="All",E1076=sel_Channel),OR(sel_Customer="All",F1076=sel_Customer),OR(sel_Product="All",H1076=sel_Product),AND(S1076&gt;=m_From,S1076&lt;=m_To)),1,0)</f>
        <v/>
      </c>
      <c r="Z1076" s="36">
        <f>IF(AND(OR(sel_Region="All",C1076=sel_Region),OR(sel_Country="All",D1076=sel_Country),OR(sel_Channel="All",E1076=sel_Channel),OR(sel_Customer="All",F1076=sel_Customer),OR(sel_Category="All",G1076=sel_Category),AND(S1076&gt;=m_From,S1076&lt;=m_To)),1,0)</f>
        <v/>
      </c>
      <c r="AA1076" s="36">
        <f>IF(AND(OR(sel_Region="All",C1076=sel_Region),OR(sel_Country="All",D1076=sel_Country),OR(sel_Channel="All",E1076=sel_Channel),OR(sel_Customer="All",F1076=sel_Customer),OR(sel_Category="All",G1076=sel_Category),OR(sel_Product="All",H1076=sel_Product)),1,0)</f>
        <v/>
      </c>
    </row>
    <row r="1077">
      <c r="A1077" s="36" t="inlineStr">
        <is>
          <t>00810</t>
        </is>
      </c>
      <c r="B1077" s="44" t="n">
        <v>46185</v>
      </c>
      <c r="C1077" s="36" t="inlineStr">
        <is>
          <t>Central Europe</t>
        </is>
      </c>
      <c r="D1077" s="36" t="inlineStr">
        <is>
          <t>Germany</t>
        </is>
      </c>
      <c r="E1077" s="36" t="inlineStr">
        <is>
          <t>Retail Partners</t>
        </is>
      </c>
      <c r="F1077" s="36" t="inlineStr">
        <is>
          <t>New</t>
        </is>
      </c>
      <c r="G1077" s="36" t="inlineStr">
        <is>
          <t>Fitness</t>
        </is>
      </c>
      <c r="H1077" s="36" t="inlineStr">
        <is>
          <t>Recovery Roller</t>
        </is>
      </c>
      <c r="I1077" s="36" t="n">
        <v>3</v>
      </c>
      <c r="J1077" s="39" t="n">
        <v>36.66</v>
      </c>
      <c r="K1077" s="45" t="n">
        <v>0</v>
      </c>
      <c r="L1077" s="39" t="n">
        <v>13.55</v>
      </c>
      <c r="M1077" s="39">
        <f>I1077*J1077*(1-K1077)</f>
        <v/>
      </c>
      <c r="N1077" s="39">
        <f>I1077*L1077</f>
        <v/>
      </c>
      <c r="O1077" s="39">
        <f>M1077-N1077</f>
        <v/>
      </c>
      <c r="P1077" s="38">
        <f>IF(M1077=0,0,O1077/M1077)</f>
        <v/>
      </c>
      <c r="Q1077" s="36">
        <f>YEAR(B1077)</f>
        <v/>
      </c>
      <c r="R1077" s="36">
        <f>"Q"&amp;ROUNDUP(MONTH(B1077)/3,0)</f>
        <v/>
      </c>
      <c r="S1077" s="36">
        <f>MONTH(B1077)</f>
        <v/>
      </c>
      <c r="T1077" s="36">
        <f>TEXT(B1077,"mmm")</f>
        <v/>
      </c>
      <c r="U1077" s="36">
        <f>IF(AND(OR(sel_Region="All",C1077=sel_Region),OR(sel_Country="All",D1077=sel_Country),OR(sel_Channel="All",E1077=sel_Channel),OR(sel_Customer="All",F1077=sel_Customer),OR(sel_Category="All",G1077=sel_Category),OR(sel_Product="All",H1077=sel_Product),AND(S1077&gt;=m_From,S1077&lt;=m_To)),1,0)</f>
        <v/>
      </c>
      <c r="V1077" s="36">
        <f>IF(AND(OR(sel_Region="All",C1077=sel_Region),OR(sel_Channel="All",E1077=sel_Channel),OR(sel_Customer="All",F1077=sel_Customer),OR(sel_Category="All",G1077=sel_Category),OR(sel_Product="All",H1077=sel_Product),AND(S1077&gt;=m_From,S1077&lt;=m_To)),1,0)</f>
        <v/>
      </c>
      <c r="W1077" s="36">
        <f>IF(AND(OR(sel_Region="All",C1077=sel_Region),OR(sel_Country="All",D1077=sel_Country),OR(sel_Customer="All",F1077=sel_Customer),OR(sel_Category="All",G1077=sel_Category),OR(sel_Product="All",H1077=sel_Product),AND(S1077&gt;=m_From,S1077&lt;=m_To)),1,0)</f>
        <v/>
      </c>
      <c r="X1077" s="36">
        <f>IF(AND(OR(sel_Region="All",C1077=sel_Region),OR(sel_Country="All",D1077=sel_Country),OR(sel_Channel="All",E1077=sel_Channel),OR(sel_Category="All",G1077=sel_Category),OR(sel_Product="All",H1077=sel_Product),AND(S1077&gt;=m_From,S1077&lt;=m_To)),1,0)</f>
        <v/>
      </c>
      <c r="Y1077" s="36">
        <f>IF(AND(OR(sel_Region="All",C1077=sel_Region),OR(sel_Country="All",D1077=sel_Country),OR(sel_Channel="All",E1077=sel_Channel),OR(sel_Customer="All",F1077=sel_Customer),OR(sel_Product="All",H1077=sel_Product),AND(S1077&gt;=m_From,S1077&lt;=m_To)),1,0)</f>
        <v/>
      </c>
      <c r="Z1077" s="36">
        <f>IF(AND(OR(sel_Region="All",C1077=sel_Region),OR(sel_Country="All",D1077=sel_Country),OR(sel_Channel="All",E1077=sel_Channel),OR(sel_Customer="All",F1077=sel_Customer),OR(sel_Category="All",G1077=sel_Category),AND(S1077&gt;=m_From,S1077&lt;=m_To)),1,0)</f>
        <v/>
      </c>
      <c r="AA1077" s="36">
        <f>IF(AND(OR(sel_Region="All",C1077=sel_Region),OR(sel_Country="All",D1077=sel_Country),OR(sel_Channel="All",E1077=sel_Channel),OR(sel_Customer="All",F1077=sel_Customer),OR(sel_Category="All",G1077=sel_Category),OR(sel_Product="All",H1077=sel_Product)),1,0)</f>
        <v/>
      </c>
    </row>
    <row r="1078">
      <c r="A1078" s="36" t="inlineStr">
        <is>
          <t>00855</t>
        </is>
      </c>
      <c r="B1078" s="44" t="n">
        <v>46185</v>
      </c>
      <c r="C1078" s="36" t="inlineStr">
        <is>
          <t>Central Europe</t>
        </is>
      </c>
      <c r="D1078" s="36" t="inlineStr">
        <is>
          <t>Austria</t>
        </is>
      </c>
      <c r="E1078" s="36" t="inlineStr">
        <is>
          <t>Online Store</t>
        </is>
      </c>
      <c r="F1078" s="36" t="inlineStr">
        <is>
          <t>Business</t>
        </is>
      </c>
      <c r="G1078" s="36" t="inlineStr">
        <is>
          <t>Travel</t>
        </is>
      </c>
      <c r="H1078" s="36" t="inlineStr">
        <is>
          <t>Insulated Bottle</t>
        </is>
      </c>
      <c r="I1078" s="36" t="n">
        <v>1</v>
      </c>
      <c r="J1078" s="39" t="n">
        <v>36.3</v>
      </c>
      <c r="K1078" s="45" t="n">
        <v>0.1</v>
      </c>
      <c r="L1078" s="39" t="n">
        <v>13.69</v>
      </c>
      <c r="M1078" s="39">
        <f>I1078*J1078*(1-K1078)</f>
        <v/>
      </c>
      <c r="N1078" s="39">
        <f>I1078*L1078</f>
        <v/>
      </c>
      <c r="O1078" s="39">
        <f>M1078-N1078</f>
        <v/>
      </c>
      <c r="P1078" s="38">
        <f>IF(M1078=0,0,O1078/M1078)</f>
        <v/>
      </c>
      <c r="Q1078" s="36">
        <f>YEAR(B1078)</f>
        <v/>
      </c>
      <c r="R1078" s="36">
        <f>"Q"&amp;ROUNDUP(MONTH(B1078)/3,0)</f>
        <v/>
      </c>
      <c r="S1078" s="36">
        <f>MONTH(B1078)</f>
        <v/>
      </c>
      <c r="T1078" s="36">
        <f>TEXT(B1078,"mmm")</f>
        <v/>
      </c>
      <c r="U1078" s="36">
        <f>IF(AND(OR(sel_Region="All",C1078=sel_Region),OR(sel_Country="All",D1078=sel_Country),OR(sel_Channel="All",E1078=sel_Channel),OR(sel_Customer="All",F1078=sel_Customer),OR(sel_Category="All",G1078=sel_Category),OR(sel_Product="All",H1078=sel_Product),AND(S1078&gt;=m_From,S1078&lt;=m_To)),1,0)</f>
        <v/>
      </c>
      <c r="V1078" s="36">
        <f>IF(AND(OR(sel_Region="All",C1078=sel_Region),OR(sel_Channel="All",E1078=sel_Channel),OR(sel_Customer="All",F1078=sel_Customer),OR(sel_Category="All",G1078=sel_Category),OR(sel_Product="All",H1078=sel_Product),AND(S1078&gt;=m_From,S1078&lt;=m_To)),1,0)</f>
        <v/>
      </c>
      <c r="W1078" s="36">
        <f>IF(AND(OR(sel_Region="All",C1078=sel_Region),OR(sel_Country="All",D1078=sel_Country),OR(sel_Customer="All",F1078=sel_Customer),OR(sel_Category="All",G1078=sel_Category),OR(sel_Product="All",H1078=sel_Product),AND(S1078&gt;=m_From,S1078&lt;=m_To)),1,0)</f>
        <v/>
      </c>
      <c r="X1078" s="36">
        <f>IF(AND(OR(sel_Region="All",C1078=sel_Region),OR(sel_Country="All",D1078=sel_Country),OR(sel_Channel="All",E1078=sel_Channel),OR(sel_Category="All",G1078=sel_Category),OR(sel_Product="All",H1078=sel_Product),AND(S1078&gt;=m_From,S1078&lt;=m_To)),1,0)</f>
        <v/>
      </c>
      <c r="Y1078" s="36">
        <f>IF(AND(OR(sel_Region="All",C1078=sel_Region),OR(sel_Country="All",D1078=sel_Country),OR(sel_Channel="All",E1078=sel_Channel),OR(sel_Customer="All",F1078=sel_Customer),OR(sel_Product="All",H1078=sel_Product),AND(S1078&gt;=m_From,S1078&lt;=m_To)),1,0)</f>
        <v/>
      </c>
      <c r="Z1078" s="36">
        <f>IF(AND(OR(sel_Region="All",C1078=sel_Region),OR(sel_Country="All",D1078=sel_Country),OR(sel_Channel="All",E1078=sel_Channel),OR(sel_Customer="All",F1078=sel_Customer),OR(sel_Category="All",G1078=sel_Category),AND(S1078&gt;=m_From,S1078&lt;=m_To)),1,0)</f>
        <v/>
      </c>
      <c r="AA1078" s="36">
        <f>IF(AND(OR(sel_Region="All",C1078=sel_Region),OR(sel_Country="All",D1078=sel_Country),OR(sel_Channel="All",E1078=sel_Channel),OR(sel_Customer="All",F1078=sel_Customer),OR(sel_Category="All",G1078=sel_Category),OR(sel_Product="All",H1078=sel_Product)),1,0)</f>
        <v/>
      </c>
    </row>
    <row r="1079">
      <c r="A1079" s="36" t="inlineStr">
        <is>
          <t>01612</t>
        </is>
      </c>
      <c r="B1079" s="44" t="n">
        <v>46185</v>
      </c>
      <c r="C1079" s="36" t="inlineStr">
        <is>
          <t>Northern Europe</t>
        </is>
      </c>
      <c r="D1079" s="36" t="inlineStr">
        <is>
          <t>Norway</t>
        </is>
      </c>
      <c r="E1079" s="36" t="inlineStr">
        <is>
          <t>Online Store</t>
        </is>
      </c>
      <c r="F1079" s="36" t="inlineStr">
        <is>
          <t>New</t>
        </is>
      </c>
      <c r="G1079" s="36" t="inlineStr">
        <is>
          <t>Camping</t>
        </is>
      </c>
      <c r="H1079" s="36" t="inlineStr">
        <is>
          <t>Compact Sleeping Bag</t>
        </is>
      </c>
      <c r="I1079" s="36" t="n">
        <v>2</v>
      </c>
      <c r="J1079" s="39" t="n">
        <v>120.64</v>
      </c>
      <c r="K1079" s="45" t="n">
        <v>0</v>
      </c>
      <c r="L1079" s="39" t="n">
        <v>61.66</v>
      </c>
      <c r="M1079" s="39">
        <f>I1079*J1079*(1-K1079)</f>
        <v/>
      </c>
      <c r="N1079" s="39">
        <f>I1079*L1079</f>
        <v/>
      </c>
      <c r="O1079" s="39">
        <f>M1079-N1079</f>
        <v/>
      </c>
      <c r="P1079" s="38">
        <f>IF(M1079=0,0,O1079/M1079)</f>
        <v/>
      </c>
      <c r="Q1079" s="36">
        <f>YEAR(B1079)</f>
        <v/>
      </c>
      <c r="R1079" s="36">
        <f>"Q"&amp;ROUNDUP(MONTH(B1079)/3,0)</f>
        <v/>
      </c>
      <c r="S1079" s="36">
        <f>MONTH(B1079)</f>
        <v/>
      </c>
      <c r="T1079" s="36">
        <f>TEXT(B1079,"mmm")</f>
        <v/>
      </c>
      <c r="U1079" s="36">
        <f>IF(AND(OR(sel_Region="All",C1079=sel_Region),OR(sel_Country="All",D1079=sel_Country),OR(sel_Channel="All",E1079=sel_Channel),OR(sel_Customer="All",F1079=sel_Customer),OR(sel_Category="All",G1079=sel_Category),OR(sel_Product="All",H1079=sel_Product),AND(S1079&gt;=m_From,S1079&lt;=m_To)),1,0)</f>
        <v/>
      </c>
      <c r="V1079" s="36">
        <f>IF(AND(OR(sel_Region="All",C1079=sel_Region),OR(sel_Channel="All",E1079=sel_Channel),OR(sel_Customer="All",F1079=sel_Customer),OR(sel_Category="All",G1079=sel_Category),OR(sel_Product="All",H1079=sel_Product),AND(S1079&gt;=m_From,S1079&lt;=m_To)),1,0)</f>
        <v/>
      </c>
      <c r="W1079" s="36">
        <f>IF(AND(OR(sel_Region="All",C1079=sel_Region),OR(sel_Country="All",D1079=sel_Country),OR(sel_Customer="All",F1079=sel_Customer),OR(sel_Category="All",G1079=sel_Category),OR(sel_Product="All",H1079=sel_Product),AND(S1079&gt;=m_From,S1079&lt;=m_To)),1,0)</f>
        <v/>
      </c>
      <c r="X1079" s="36">
        <f>IF(AND(OR(sel_Region="All",C1079=sel_Region),OR(sel_Country="All",D1079=sel_Country),OR(sel_Channel="All",E1079=sel_Channel),OR(sel_Category="All",G1079=sel_Category),OR(sel_Product="All",H1079=sel_Product),AND(S1079&gt;=m_From,S1079&lt;=m_To)),1,0)</f>
        <v/>
      </c>
      <c r="Y1079" s="36">
        <f>IF(AND(OR(sel_Region="All",C1079=sel_Region),OR(sel_Country="All",D1079=sel_Country),OR(sel_Channel="All",E1079=sel_Channel),OR(sel_Customer="All",F1079=sel_Customer),OR(sel_Product="All",H1079=sel_Product),AND(S1079&gt;=m_From,S1079&lt;=m_To)),1,0)</f>
        <v/>
      </c>
      <c r="Z1079" s="36">
        <f>IF(AND(OR(sel_Region="All",C1079=sel_Region),OR(sel_Country="All",D1079=sel_Country),OR(sel_Channel="All",E1079=sel_Channel),OR(sel_Customer="All",F1079=sel_Customer),OR(sel_Category="All",G1079=sel_Category),AND(S1079&gt;=m_From,S1079&lt;=m_To)),1,0)</f>
        <v/>
      </c>
      <c r="AA1079" s="36">
        <f>IF(AND(OR(sel_Region="All",C1079=sel_Region),OR(sel_Country="All",D1079=sel_Country),OR(sel_Channel="All",E1079=sel_Channel),OR(sel_Customer="All",F1079=sel_Customer),OR(sel_Category="All",G1079=sel_Category),OR(sel_Product="All",H1079=sel_Product)),1,0)</f>
        <v/>
      </c>
    </row>
    <row r="1080">
      <c r="A1080" s="36" t="inlineStr">
        <is>
          <t>01704</t>
        </is>
      </c>
      <c r="B1080" s="44" t="n">
        <v>46185</v>
      </c>
      <c r="C1080" s="36" t="inlineStr">
        <is>
          <t>Northern Europe</t>
        </is>
      </c>
      <c r="D1080" s="36" t="inlineStr">
        <is>
          <t>Norway</t>
        </is>
      </c>
      <c r="E1080" s="36" t="inlineStr">
        <is>
          <t>Online Store</t>
        </is>
      </c>
      <c r="F1080" s="36" t="inlineStr">
        <is>
          <t>Returning</t>
        </is>
      </c>
      <c r="G1080" s="36" t="inlineStr">
        <is>
          <t>Travel</t>
        </is>
      </c>
      <c r="H1080" s="36" t="inlineStr">
        <is>
          <t>Packing Cube Set</t>
        </is>
      </c>
      <c r="I1080" s="36" t="n">
        <v>1</v>
      </c>
      <c r="J1080" s="39" t="n">
        <v>47.07</v>
      </c>
      <c r="K1080" s="45" t="n">
        <v>0</v>
      </c>
      <c r="L1080" s="39" t="n">
        <v>18.7</v>
      </c>
      <c r="M1080" s="39">
        <f>I1080*J1080*(1-K1080)</f>
        <v/>
      </c>
      <c r="N1080" s="39">
        <f>I1080*L1080</f>
        <v/>
      </c>
      <c r="O1080" s="39">
        <f>M1080-N1080</f>
        <v/>
      </c>
      <c r="P1080" s="38">
        <f>IF(M1080=0,0,O1080/M1080)</f>
        <v/>
      </c>
      <c r="Q1080" s="36">
        <f>YEAR(B1080)</f>
        <v/>
      </c>
      <c r="R1080" s="36">
        <f>"Q"&amp;ROUNDUP(MONTH(B1080)/3,0)</f>
        <v/>
      </c>
      <c r="S1080" s="36">
        <f>MONTH(B1080)</f>
        <v/>
      </c>
      <c r="T1080" s="36">
        <f>TEXT(B1080,"mmm")</f>
        <v/>
      </c>
      <c r="U1080" s="36">
        <f>IF(AND(OR(sel_Region="All",C1080=sel_Region),OR(sel_Country="All",D1080=sel_Country),OR(sel_Channel="All",E1080=sel_Channel),OR(sel_Customer="All",F1080=sel_Customer),OR(sel_Category="All",G1080=sel_Category),OR(sel_Product="All",H1080=sel_Product),AND(S1080&gt;=m_From,S1080&lt;=m_To)),1,0)</f>
        <v/>
      </c>
      <c r="V1080" s="36">
        <f>IF(AND(OR(sel_Region="All",C1080=sel_Region),OR(sel_Channel="All",E1080=sel_Channel),OR(sel_Customer="All",F1080=sel_Customer),OR(sel_Category="All",G1080=sel_Category),OR(sel_Product="All",H1080=sel_Product),AND(S1080&gt;=m_From,S1080&lt;=m_To)),1,0)</f>
        <v/>
      </c>
      <c r="W1080" s="36">
        <f>IF(AND(OR(sel_Region="All",C1080=sel_Region),OR(sel_Country="All",D1080=sel_Country),OR(sel_Customer="All",F1080=sel_Customer),OR(sel_Category="All",G1080=sel_Category),OR(sel_Product="All",H1080=sel_Product),AND(S1080&gt;=m_From,S1080&lt;=m_To)),1,0)</f>
        <v/>
      </c>
      <c r="X1080" s="36">
        <f>IF(AND(OR(sel_Region="All",C1080=sel_Region),OR(sel_Country="All",D1080=sel_Country),OR(sel_Channel="All",E1080=sel_Channel),OR(sel_Category="All",G1080=sel_Category),OR(sel_Product="All",H1080=sel_Product),AND(S1080&gt;=m_From,S1080&lt;=m_To)),1,0)</f>
        <v/>
      </c>
      <c r="Y1080" s="36">
        <f>IF(AND(OR(sel_Region="All",C1080=sel_Region),OR(sel_Country="All",D1080=sel_Country),OR(sel_Channel="All",E1080=sel_Channel),OR(sel_Customer="All",F1080=sel_Customer),OR(sel_Product="All",H1080=sel_Product),AND(S1080&gt;=m_From,S1080&lt;=m_To)),1,0)</f>
        <v/>
      </c>
      <c r="Z1080" s="36">
        <f>IF(AND(OR(sel_Region="All",C1080=sel_Region),OR(sel_Country="All",D1080=sel_Country),OR(sel_Channel="All",E1080=sel_Channel),OR(sel_Customer="All",F1080=sel_Customer),OR(sel_Category="All",G1080=sel_Category),AND(S1080&gt;=m_From,S1080&lt;=m_To)),1,0)</f>
        <v/>
      </c>
      <c r="AA1080" s="36">
        <f>IF(AND(OR(sel_Region="All",C1080=sel_Region),OR(sel_Country="All",D1080=sel_Country),OR(sel_Channel="All",E1080=sel_Channel),OR(sel_Customer="All",F1080=sel_Customer),OR(sel_Category="All",G1080=sel_Category),OR(sel_Product="All",H1080=sel_Product)),1,0)</f>
        <v/>
      </c>
    </row>
    <row r="1081">
      <c r="A1081" s="36" t="inlineStr">
        <is>
          <t>01857</t>
        </is>
      </c>
      <c r="B1081" s="44" t="n">
        <v>46185</v>
      </c>
      <c r="C1081" s="36" t="inlineStr">
        <is>
          <t>Northern Europe</t>
        </is>
      </c>
      <c r="D1081" s="36" t="inlineStr">
        <is>
          <t>Ireland</t>
        </is>
      </c>
      <c r="E1081" s="36" t="inlineStr">
        <is>
          <t>Marketplace</t>
        </is>
      </c>
      <c r="F1081" s="36" t="inlineStr">
        <is>
          <t>Business</t>
        </is>
      </c>
      <c r="G1081" s="36" t="inlineStr">
        <is>
          <t>Hiking</t>
        </is>
      </c>
      <c r="H1081" s="36" t="inlineStr">
        <is>
          <t>Summit Backpack 45L</t>
        </is>
      </c>
      <c r="I1081" s="36" t="n">
        <v>2</v>
      </c>
      <c r="J1081" s="39" t="n">
        <v>154.94</v>
      </c>
      <c r="K1081" s="45" t="n">
        <v>0.05</v>
      </c>
      <c r="L1081" s="39" t="n">
        <v>77.26000000000001</v>
      </c>
      <c r="M1081" s="39">
        <f>I1081*J1081*(1-K1081)</f>
        <v/>
      </c>
      <c r="N1081" s="39">
        <f>I1081*L1081</f>
        <v/>
      </c>
      <c r="O1081" s="39">
        <f>M1081-N1081</f>
        <v/>
      </c>
      <c r="P1081" s="38">
        <f>IF(M1081=0,0,O1081/M1081)</f>
        <v/>
      </c>
      <c r="Q1081" s="36">
        <f>YEAR(B1081)</f>
        <v/>
      </c>
      <c r="R1081" s="36">
        <f>"Q"&amp;ROUNDUP(MONTH(B1081)/3,0)</f>
        <v/>
      </c>
      <c r="S1081" s="36">
        <f>MONTH(B1081)</f>
        <v/>
      </c>
      <c r="T1081" s="36">
        <f>TEXT(B1081,"mmm")</f>
        <v/>
      </c>
      <c r="U1081" s="36">
        <f>IF(AND(OR(sel_Region="All",C1081=sel_Region),OR(sel_Country="All",D1081=sel_Country),OR(sel_Channel="All",E1081=sel_Channel),OR(sel_Customer="All",F1081=sel_Customer),OR(sel_Category="All",G1081=sel_Category),OR(sel_Product="All",H1081=sel_Product),AND(S1081&gt;=m_From,S1081&lt;=m_To)),1,0)</f>
        <v/>
      </c>
      <c r="V1081" s="36">
        <f>IF(AND(OR(sel_Region="All",C1081=sel_Region),OR(sel_Channel="All",E1081=sel_Channel),OR(sel_Customer="All",F1081=sel_Customer),OR(sel_Category="All",G1081=sel_Category),OR(sel_Product="All",H1081=sel_Product),AND(S1081&gt;=m_From,S1081&lt;=m_To)),1,0)</f>
        <v/>
      </c>
      <c r="W1081" s="36">
        <f>IF(AND(OR(sel_Region="All",C1081=sel_Region),OR(sel_Country="All",D1081=sel_Country),OR(sel_Customer="All",F1081=sel_Customer),OR(sel_Category="All",G1081=sel_Category),OR(sel_Product="All",H1081=sel_Product),AND(S1081&gt;=m_From,S1081&lt;=m_To)),1,0)</f>
        <v/>
      </c>
      <c r="X1081" s="36">
        <f>IF(AND(OR(sel_Region="All",C1081=sel_Region),OR(sel_Country="All",D1081=sel_Country),OR(sel_Channel="All",E1081=sel_Channel),OR(sel_Category="All",G1081=sel_Category),OR(sel_Product="All",H1081=sel_Product),AND(S1081&gt;=m_From,S1081&lt;=m_To)),1,0)</f>
        <v/>
      </c>
      <c r="Y1081" s="36">
        <f>IF(AND(OR(sel_Region="All",C1081=sel_Region),OR(sel_Country="All",D1081=sel_Country),OR(sel_Channel="All",E1081=sel_Channel),OR(sel_Customer="All",F1081=sel_Customer),OR(sel_Product="All",H1081=sel_Product),AND(S1081&gt;=m_From,S1081&lt;=m_To)),1,0)</f>
        <v/>
      </c>
      <c r="Z1081" s="36">
        <f>IF(AND(OR(sel_Region="All",C1081=sel_Region),OR(sel_Country="All",D1081=sel_Country),OR(sel_Channel="All",E1081=sel_Channel),OR(sel_Customer="All",F1081=sel_Customer),OR(sel_Category="All",G1081=sel_Category),AND(S1081&gt;=m_From,S1081&lt;=m_To)),1,0)</f>
        <v/>
      </c>
      <c r="AA1081" s="36">
        <f>IF(AND(OR(sel_Region="All",C1081=sel_Region),OR(sel_Country="All",D1081=sel_Country),OR(sel_Channel="All",E1081=sel_Channel),OR(sel_Customer="All",F1081=sel_Customer),OR(sel_Category="All",G1081=sel_Category),OR(sel_Product="All",H1081=sel_Product)),1,0)</f>
        <v/>
      </c>
    </row>
    <row r="1082">
      <c r="A1082" s="36" t="inlineStr">
        <is>
          <t>01888</t>
        </is>
      </c>
      <c r="B1082" s="44" t="n">
        <v>46185</v>
      </c>
      <c r="C1082" s="36" t="inlineStr">
        <is>
          <t>Central Europe</t>
        </is>
      </c>
      <c r="D1082" s="36" t="inlineStr">
        <is>
          <t>Germany</t>
        </is>
      </c>
      <c r="E1082" s="36" t="inlineStr">
        <is>
          <t>Online Store</t>
        </is>
      </c>
      <c r="F1082" s="36" t="inlineStr">
        <is>
          <t>Returning</t>
        </is>
      </c>
      <c r="G1082" s="36" t="inlineStr">
        <is>
          <t>Travel</t>
        </is>
      </c>
      <c r="H1082" s="36" t="inlineStr">
        <is>
          <t>Packing Cube Set</t>
        </is>
      </c>
      <c r="I1082" s="36" t="n">
        <v>1</v>
      </c>
      <c r="J1082" s="39" t="n">
        <v>45.97</v>
      </c>
      <c r="K1082" s="45" t="n">
        <v>0.05</v>
      </c>
      <c r="L1082" s="39" t="n">
        <v>18.41</v>
      </c>
      <c r="M1082" s="39">
        <f>I1082*J1082*(1-K1082)</f>
        <v/>
      </c>
      <c r="N1082" s="39">
        <f>I1082*L1082</f>
        <v/>
      </c>
      <c r="O1082" s="39">
        <f>M1082-N1082</f>
        <v/>
      </c>
      <c r="P1082" s="38">
        <f>IF(M1082=0,0,O1082/M1082)</f>
        <v/>
      </c>
      <c r="Q1082" s="36">
        <f>YEAR(B1082)</f>
        <v/>
      </c>
      <c r="R1082" s="36">
        <f>"Q"&amp;ROUNDUP(MONTH(B1082)/3,0)</f>
        <v/>
      </c>
      <c r="S1082" s="36">
        <f>MONTH(B1082)</f>
        <v/>
      </c>
      <c r="T1082" s="36">
        <f>TEXT(B1082,"mmm")</f>
        <v/>
      </c>
      <c r="U1082" s="36">
        <f>IF(AND(OR(sel_Region="All",C1082=sel_Region),OR(sel_Country="All",D1082=sel_Country),OR(sel_Channel="All",E1082=sel_Channel),OR(sel_Customer="All",F1082=sel_Customer),OR(sel_Category="All",G1082=sel_Category),OR(sel_Product="All",H1082=sel_Product),AND(S1082&gt;=m_From,S1082&lt;=m_To)),1,0)</f>
        <v/>
      </c>
      <c r="V1082" s="36">
        <f>IF(AND(OR(sel_Region="All",C1082=sel_Region),OR(sel_Channel="All",E1082=sel_Channel),OR(sel_Customer="All",F1082=sel_Customer),OR(sel_Category="All",G1082=sel_Category),OR(sel_Product="All",H1082=sel_Product),AND(S1082&gt;=m_From,S1082&lt;=m_To)),1,0)</f>
        <v/>
      </c>
      <c r="W1082" s="36">
        <f>IF(AND(OR(sel_Region="All",C1082=sel_Region),OR(sel_Country="All",D1082=sel_Country),OR(sel_Customer="All",F1082=sel_Customer),OR(sel_Category="All",G1082=sel_Category),OR(sel_Product="All",H1082=sel_Product),AND(S1082&gt;=m_From,S1082&lt;=m_To)),1,0)</f>
        <v/>
      </c>
      <c r="X1082" s="36">
        <f>IF(AND(OR(sel_Region="All",C1082=sel_Region),OR(sel_Country="All",D1082=sel_Country),OR(sel_Channel="All",E1082=sel_Channel),OR(sel_Category="All",G1082=sel_Category),OR(sel_Product="All",H1082=sel_Product),AND(S1082&gt;=m_From,S1082&lt;=m_To)),1,0)</f>
        <v/>
      </c>
      <c r="Y1082" s="36">
        <f>IF(AND(OR(sel_Region="All",C1082=sel_Region),OR(sel_Country="All",D1082=sel_Country),OR(sel_Channel="All",E1082=sel_Channel),OR(sel_Customer="All",F1082=sel_Customer),OR(sel_Product="All",H1082=sel_Product),AND(S1082&gt;=m_From,S1082&lt;=m_To)),1,0)</f>
        <v/>
      </c>
      <c r="Z1082" s="36">
        <f>IF(AND(OR(sel_Region="All",C1082=sel_Region),OR(sel_Country="All",D1082=sel_Country),OR(sel_Channel="All",E1082=sel_Channel),OR(sel_Customer="All",F1082=sel_Customer),OR(sel_Category="All",G1082=sel_Category),AND(S1082&gt;=m_From,S1082&lt;=m_To)),1,0)</f>
        <v/>
      </c>
      <c r="AA1082" s="36">
        <f>IF(AND(OR(sel_Region="All",C1082=sel_Region),OR(sel_Country="All",D1082=sel_Country),OR(sel_Channel="All",E1082=sel_Channel),OR(sel_Customer="All",F1082=sel_Customer),OR(sel_Category="All",G1082=sel_Category),OR(sel_Product="All",H1082=sel_Product)),1,0)</f>
        <v/>
      </c>
    </row>
    <row r="1083">
      <c r="A1083" s="36" t="inlineStr">
        <is>
          <t>02683</t>
        </is>
      </c>
      <c r="B1083" s="44" t="n">
        <v>46185</v>
      </c>
      <c r="C1083" s="36" t="inlineStr">
        <is>
          <t>Western Europe</t>
        </is>
      </c>
      <c r="D1083" s="36" t="inlineStr">
        <is>
          <t>United Kingdom</t>
        </is>
      </c>
      <c r="E1083" s="36" t="inlineStr">
        <is>
          <t>Online Store</t>
        </is>
      </c>
      <c r="F1083" s="36" t="inlineStr">
        <is>
          <t>Returning</t>
        </is>
      </c>
      <c r="G1083" s="36" t="inlineStr">
        <is>
          <t>Camping</t>
        </is>
      </c>
      <c r="H1083" s="36" t="inlineStr">
        <is>
          <t>Trail Tent 2P</t>
        </is>
      </c>
      <c r="I1083" s="36" t="n">
        <v>1</v>
      </c>
      <c r="J1083" s="39" t="n">
        <v>198.64</v>
      </c>
      <c r="K1083" s="45" t="n">
        <v>0.05</v>
      </c>
      <c r="L1083" s="39" t="n">
        <v>101.89</v>
      </c>
      <c r="M1083" s="39">
        <f>I1083*J1083*(1-K1083)</f>
        <v/>
      </c>
      <c r="N1083" s="39">
        <f>I1083*L1083</f>
        <v/>
      </c>
      <c r="O1083" s="39">
        <f>M1083-N1083</f>
        <v/>
      </c>
      <c r="P1083" s="38">
        <f>IF(M1083=0,0,O1083/M1083)</f>
        <v/>
      </c>
      <c r="Q1083" s="36">
        <f>YEAR(B1083)</f>
        <v/>
      </c>
      <c r="R1083" s="36">
        <f>"Q"&amp;ROUNDUP(MONTH(B1083)/3,0)</f>
        <v/>
      </c>
      <c r="S1083" s="36">
        <f>MONTH(B1083)</f>
        <v/>
      </c>
      <c r="T1083" s="36">
        <f>TEXT(B1083,"mmm")</f>
        <v/>
      </c>
      <c r="U1083" s="36">
        <f>IF(AND(OR(sel_Region="All",C1083=sel_Region),OR(sel_Country="All",D1083=sel_Country),OR(sel_Channel="All",E1083=sel_Channel),OR(sel_Customer="All",F1083=sel_Customer),OR(sel_Category="All",G1083=sel_Category),OR(sel_Product="All",H1083=sel_Product),AND(S1083&gt;=m_From,S1083&lt;=m_To)),1,0)</f>
        <v/>
      </c>
      <c r="V1083" s="36">
        <f>IF(AND(OR(sel_Region="All",C1083=sel_Region),OR(sel_Channel="All",E1083=sel_Channel),OR(sel_Customer="All",F1083=sel_Customer),OR(sel_Category="All",G1083=sel_Category),OR(sel_Product="All",H1083=sel_Product),AND(S1083&gt;=m_From,S1083&lt;=m_To)),1,0)</f>
        <v/>
      </c>
      <c r="W1083" s="36">
        <f>IF(AND(OR(sel_Region="All",C1083=sel_Region),OR(sel_Country="All",D1083=sel_Country),OR(sel_Customer="All",F1083=sel_Customer),OR(sel_Category="All",G1083=sel_Category),OR(sel_Product="All",H1083=sel_Product),AND(S1083&gt;=m_From,S1083&lt;=m_To)),1,0)</f>
        <v/>
      </c>
      <c r="X1083" s="36">
        <f>IF(AND(OR(sel_Region="All",C1083=sel_Region),OR(sel_Country="All",D1083=sel_Country),OR(sel_Channel="All",E1083=sel_Channel),OR(sel_Category="All",G1083=sel_Category),OR(sel_Product="All",H1083=sel_Product),AND(S1083&gt;=m_From,S1083&lt;=m_To)),1,0)</f>
        <v/>
      </c>
      <c r="Y1083" s="36">
        <f>IF(AND(OR(sel_Region="All",C1083=sel_Region),OR(sel_Country="All",D1083=sel_Country),OR(sel_Channel="All",E1083=sel_Channel),OR(sel_Customer="All",F1083=sel_Customer),OR(sel_Product="All",H1083=sel_Product),AND(S1083&gt;=m_From,S1083&lt;=m_To)),1,0)</f>
        <v/>
      </c>
      <c r="Z1083" s="36">
        <f>IF(AND(OR(sel_Region="All",C1083=sel_Region),OR(sel_Country="All",D1083=sel_Country),OR(sel_Channel="All",E1083=sel_Channel),OR(sel_Customer="All",F1083=sel_Customer),OR(sel_Category="All",G1083=sel_Category),AND(S1083&gt;=m_From,S1083&lt;=m_To)),1,0)</f>
        <v/>
      </c>
      <c r="AA1083" s="36">
        <f>IF(AND(OR(sel_Region="All",C1083=sel_Region),OR(sel_Country="All",D1083=sel_Country),OR(sel_Channel="All",E1083=sel_Channel),OR(sel_Customer="All",F1083=sel_Customer),OR(sel_Category="All",G1083=sel_Category),OR(sel_Product="All",H1083=sel_Product)),1,0)</f>
        <v/>
      </c>
    </row>
    <row r="1084">
      <c r="A1084" s="36" t="inlineStr">
        <is>
          <t>04211</t>
        </is>
      </c>
      <c r="B1084" s="44" t="n">
        <v>46185</v>
      </c>
      <c r="C1084" s="36" t="inlineStr">
        <is>
          <t>Northern Europe</t>
        </is>
      </c>
      <c r="D1084" s="36" t="inlineStr">
        <is>
          <t>Ireland</t>
        </is>
      </c>
      <c r="E1084" s="36" t="inlineStr">
        <is>
          <t>Online Store</t>
        </is>
      </c>
      <c r="F1084" s="36" t="inlineStr">
        <is>
          <t>New</t>
        </is>
      </c>
      <c r="G1084" s="36" t="inlineStr">
        <is>
          <t>Travel</t>
        </is>
      </c>
      <c r="H1084" s="36" t="inlineStr">
        <is>
          <t>Travel Backpack 35L</t>
        </is>
      </c>
      <c r="I1084" s="36" t="n">
        <v>5</v>
      </c>
      <c r="J1084" s="39" t="n">
        <v>168.57</v>
      </c>
      <c r="K1084" s="45" t="n">
        <v>0</v>
      </c>
      <c r="L1084" s="39" t="n">
        <v>88.65000000000001</v>
      </c>
      <c r="M1084" s="39">
        <f>I1084*J1084*(1-K1084)</f>
        <v/>
      </c>
      <c r="N1084" s="39">
        <f>I1084*L1084</f>
        <v/>
      </c>
      <c r="O1084" s="39">
        <f>M1084-N1084</f>
        <v/>
      </c>
      <c r="P1084" s="38">
        <f>IF(M1084=0,0,O1084/M1084)</f>
        <v/>
      </c>
      <c r="Q1084" s="36">
        <f>YEAR(B1084)</f>
        <v/>
      </c>
      <c r="R1084" s="36">
        <f>"Q"&amp;ROUNDUP(MONTH(B1084)/3,0)</f>
        <v/>
      </c>
      <c r="S1084" s="36">
        <f>MONTH(B1084)</f>
        <v/>
      </c>
      <c r="T1084" s="36">
        <f>TEXT(B1084,"mmm")</f>
        <v/>
      </c>
      <c r="U1084" s="36">
        <f>IF(AND(OR(sel_Region="All",C1084=sel_Region),OR(sel_Country="All",D1084=sel_Country),OR(sel_Channel="All",E1084=sel_Channel),OR(sel_Customer="All",F1084=sel_Customer),OR(sel_Category="All",G1084=sel_Category),OR(sel_Product="All",H1084=sel_Product),AND(S1084&gt;=m_From,S1084&lt;=m_To)),1,0)</f>
        <v/>
      </c>
      <c r="V1084" s="36">
        <f>IF(AND(OR(sel_Region="All",C1084=sel_Region),OR(sel_Channel="All",E1084=sel_Channel),OR(sel_Customer="All",F1084=sel_Customer),OR(sel_Category="All",G1084=sel_Category),OR(sel_Product="All",H1084=sel_Product),AND(S1084&gt;=m_From,S1084&lt;=m_To)),1,0)</f>
        <v/>
      </c>
      <c r="W1084" s="36">
        <f>IF(AND(OR(sel_Region="All",C1084=sel_Region),OR(sel_Country="All",D1084=sel_Country),OR(sel_Customer="All",F1084=sel_Customer),OR(sel_Category="All",G1084=sel_Category),OR(sel_Product="All",H1084=sel_Product),AND(S1084&gt;=m_From,S1084&lt;=m_To)),1,0)</f>
        <v/>
      </c>
      <c r="X1084" s="36">
        <f>IF(AND(OR(sel_Region="All",C1084=sel_Region),OR(sel_Country="All",D1084=sel_Country),OR(sel_Channel="All",E1084=sel_Channel),OR(sel_Category="All",G1084=sel_Category),OR(sel_Product="All",H1084=sel_Product),AND(S1084&gt;=m_From,S1084&lt;=m_To)),1,0)</f>
        <v/>
      </c>
      <c r="Y1084" s="36">
        <f>IF(AND(OR(sel_Region="All",C1084=sel_Region),OR(sel_Country="All",D1084=sel_Country),OR(sel_Channel="All",E1084=sel_Channel),OR(sel_Customer="All",F1084=sel_Customer),OR(sel_Product="All",H1084=sel_Product),AND(S1084&gt;=m_From,S1084&lt;=m_To)),1,0)</f>
        <v/>
      </c>
      <c r="Z1084" s="36">
        <f>IF(AND(OR(sel_Region="All",C1084=sel_Region),OR(sel_Country="All",D1084=sel_Country),OR(sel_Channel="All",E1084=sel_Channel),OR(sel_Customer="All",F1084=sel_Customer),OR(sel_Category="All",G1084=sel_Category),AND(S1084&gt;=m_From,S1084&lt;=m_To)),1,0)</f>
        <v/>
      </c>
      <c r="AA1084" s="36">
        <f>IF(AND(OR(sel_Region="All",C1084=sel_Region),OR(sel_Country="All",D1084=sel_Country),OR(sel_Channel="All",E1084=sel_Channel),OR(sel_Customer="All",F1084=sel_Customer),OR(sel_Category="All",G1084=sel_Category),OR(sel_Product="All",H1084=sel_Product)),1,0)</f>
        <v/>
      </c>
    </row>
    <row r="1085">
      <c r="A1085" s="36" t="inlineStr">
        <is>
          <t>04353</t>
        </is>
      </c>
      <c r="B1085" s="44" t="n">
        <v>46185</v>
      </c>
      <c r="C1085" s="36" t="inlineStr">
        <is>
          <t>Central Europe</t>
        </is>
      </c>
      <c r="D1085" s="36" t="inlineStr">
        <is>
          <t>Austria</t>
        </is>
      </c>
      <c r="E1085" s="36" t="inlineStr">
        <is>
          <t>Retail Partners</t>
        </is>
      </c>
      <c r="F1085" s="36" t="inlineStr">
        <is>
          <t>New</t>
        </is>
      </c>
      <c r="G1085" s="36" t="inlineStr">
        <is>
          <t>Travel</t>
        </is>
      </c>
      <c r="H1085" s="36" t="inlineStr">
        <is>
          <t>Insulated Bottle</t>
        </is>
      </c>
      <c r="I1085" s="36" t="n">
        <v>1</v>
      </c>
      <c r="J1085" s="39" t="n">
        <v>36.65</v>
      </c>
      <c r="K1085" s="45" t="n">
        <v>0</v>
      </c>
      <c r="L1085" s="39" t="n">
        <v>13.97</v>
      </c>
      <c r="M1085" s="39">
        <f>I1085*J1085*(1-K1085)</f>
        <v/>
      </c>
      <c r="N1085" s="39">
        <f>I1085*L1085</f>
        <v/>
      </c>
      <c r="O1085" s="39">
        <f>M1085-N1085</f>
        <v/>
      </c>
      <c r="P1085" s="38">
        <f>IF(M1085=0,0,O1085/M1085)</f>
        <v/>
      </c>
      <c r="Q1085" s="36">
        <f>YEAR(B1085)</f>
        <v/>
      </c>
      <c r="R1085" s="36">
        <f>"Q"&amp;ROUNDUP(MONTH(B1085)/3,0)</f>
        <v/>
      </c>
      <c r="S1085" s="36">
        <f>MONTH(B1085)</f>
        <v/>
      </c>
      <c r="T1085" s="36">
        <f>TEXT(B1085,"mmm")</f>
        <v/>
      </c>
      <c r="U1085" s="36">
        <f>IF(AND(OR(sel_Region="All",C1085=sel_Region),OR(sel_Country="All",D1085=sel_Country),OR(sel_Channel="All",E1085=sel_Channel),OR(sel_Customer="All",F1085=sel_Customer),OR(sel_Category="All",G1085=sel_Category),OR(sel_Product="All",H1085=sel_Product),AND(S1085&gt;=m_From,S1085&lt;=m_To)),1,0)</f>
        <v/>
      </c>
      <c r="V1085" s="36">
        <f>IF(AND(OR(sel_Region="All",C1085=sel_Region),OR(sel_Channel="All",E1085=sel_Channel),OR(sel_Customer="All",F1085=sel_Customer),OR(sel_Category="All",G1085=sel_Category),OR(sel_Product="All",H1085=sel_Product),AND(S1085&gt;=m_From,S1085&lt;=m_To)),1,0)</f>
        <v/>
      </c>
      <c r="W1085" s="36">
        <f>IF(AND(OR(sel_Region="All",C1085=sel_Region),OR(sel_Country="All",D1085=sel_Country),OR(sel_Customer="All",F1085=sel_Customer),OR(sel_Category="All",G1085=sel_Category),OR(sel_Product="All",H1085=sel_Product),AND(S1085&gt;=m_From,S1085&lt;=m_To)),1,0)</f>
        <v/>
      </c>
      <c r="X1085" s="36">
        <f>IF(AND(OR(sel_Region="All",C1085=sel_Region),OR(sel_Country="All",D1085=sel_Country),OR(sel_Channel="All",E1085=sel_Channel),OR(sel_Category="All",G1085=sel_Category),OR(sel_Product="All",H1085=sel_Product),AND(S1085&gt;=m_From,S1085&lt;=m_To)),1,0)</f>
        <v/>
      </c>
      <c r="Y1085" s="36">
        <f>IF(AND(OR(sel_Region="All",C1085=sel_Region),OR(sel_Country="All",D1085=sel_Country),OR(sel_Channel="All",E1085=sel_Channel),OR(sel_Customer="All",F1085=sel_Customer),OR(sel_Product="All",H1085=sel_Product),AND(S1085&gt;=m_From,S1085&lt;=m_To)),1,0)</f>
        <v/>
      </c>
      <c r="Z1085" s="36">
        <f>IF(AND(OR(sel_Region="All",C1085=sel_Region),OR(sel_Country="All",D1085=sel_Country),OR(sel_Channel="All",E1085=sel_Channel),OR(sel_Customer="All",F1085=sel_Customer),OR(sel_Category="All",G1085=sel_Category),AND(S1085&gt;=m_From,S1085&lt;=m_To)),1,0)</f>
        <v/>
      </c>
      <c r="AA1085" s="36">
        <f>IF(AND(OR(sel_Region="All",C1085=sel_Region),OR(sel_Country="All",D1085=sel_Country),OR(sel_Channel="All",E1085=sel_Channel),OR(sel_Customer="All",F1085=sel_Customer),OR(sel_Category="All",G1085=sel_Category),OR(sel_Product="All",H1085=sel_Product)),1,0)</f>
        <v/>
      </c>
    </row>
    <row r="1086">
      <c r="A1086" s="36" t="inlineStr">
        <is>
          <t>05020</t>
        </is>
      </c>
      <c r="B1086" s="44" t="n">
        <v>46185</v>
      </c>
      <c r="C1086" s="36" t="inlineStr">
        <is>
          <t>Northern Europe</t>
        </is>
      </c>
      <c r="D1086" s="36" t="inlineStr">
        <is>
          <t>Denmark</t>
        </is>
      </c>
      <c r="E1086" s="36" t="inlineStr">
        <is>
          <t>Retail Partners</t>
        </is>
      </c>
      <c r="F1086" s="36" t="inlineStr">
        <is>
          <t>Returning</t>
        </is>
      </c>
      <c r="G1086" s="36" t="inlineStr">
        <is>
          <t>Travel</t>
        </is>
      </c>
      <c r="H1086" s="36" t="inlineStr">
        <is>
          <t>Insulated Bottle</t>
        </is>
      </c>
      <c r="I1086" s="36" t="n">
        <v>2</v>
      </c>
      <c r="J1086" s="39" t="n">
        <v>35.45</v>
      </c>
      <c r="K1086" s="45" t="n">
        <v>0.05</v>
      </c>
      <c r="L1086" s="39" t="n">
        <v>13.39</v>
      </c>
      <c r="M1086" s="39">
        <f>I1086*J1086*(1-K1086)</f>
        <v/>
      </c>
      <c r="N1086" s="39">
        <f>I1086*L1086</f>
        <v/>
      </c>
      <c r="O1086" s="39">
        <f>M1086-N1086</f>
        <v/>
      </c>
      <c r="P1086" s="38">
        <f>IF(M1086=0,0,O1086/M1086)</f>
        <v/>
      </c>
      <c r="Q1086" s="36">
        <f>YEAR(B1086)</f>
        <v/>
      </c>
      <c r="R1086" s="36">
        <f>"Q"&amp;ROUNDUP(MONTH(B1086)/3,0)</f>
        <v/>
      </c>
      <c r="S1086" s="36">
        <f>MONTH(B1086)</f>
        <v/>
      </c>
      <c r="T1086" s="36">
        <f>TEXT(B1086,"mmm")</f>
        <v/>
      </c>
      <c r="U1086" s="36">
        <f>IF(AND(OR(sel_Region="All",C1086=sel_Region),OR(sel_Country="All",D1086=sel_Country),OR(sel_Channel="All",E1086=sel_Channel),OR(sel_Customer="All",F1086=sel_Customer),OR(sel_Category="All",G1086=sel_Category),OR(sel_Product="All",H1086=sel_Product),AND(S1086&gt;=m_From,S1086&lt;=m_To)),1,0)</f>
        <v/>
      </c>
      <c r="V1086" s="36">
        <f>IF(AND(OR(sel_Region="All",C1086=sel_Region),OR(sel_Channel="All",E1086=sel_Channel),OR(sel_Customer="All",F1086=sel_Customer),OR(sel_Category="All",G1086=sel_Category),OR(sel_Product="All",H1086=sel_Product),AND(S1086&gt;=m_From,S1086&lt;=m_To)),1,0)</f>
        <v/>
      </c>
      <c r="W1086" s="36">
        <f>IF(AND(OR(sel_Region="All",C1086=sel_Region),OR(sel_Country="All",D1086=sel_Country),OR(sel_Customer="All",F1086=sel_Customer),OR(sel_Category="All",G1086=sel_Category),OR(sel_Product="All",H1086=sel_Product),AND(S1086&gt;=m_From,S1086&lt;=m_To)),1,0)</f>
        <v/>
      </c>
      <c r="X1086" s="36">
        <f>IF(AND(OR(sel_Region="All",C1086=sel_Region),OR(sel_Country="All",D1086=sel_Country),OR(sel_Channel="All",E1086=sel_Channel),OR(sel_Category="All",G1086=sel_Category),OR(sel_Product="All",H1086=sel_Product),AND(S1086&gt;=m_From,S1086&lt;=m_To)),1,0)</f>
        <v/>
      </c>
      <c r="Y1086" s="36">
        <f>IF(AND(OR(sel_Region="All",C1086=sel_Region),OR(sel_Country="All",D1086=sel_Country),OR(sel_Channel="All",E1086=sel_Channel),OR(sel_Customer="All",F1086=sel_Customer),OR(sel_Product="All",H1086=sel_Product),AND(S1086&gt;=m_From,S1086&lt;=m_To)),1,0)</f>
        <v/>
      </c>
      <c r="Z1086" s="36">
        <f>IF(AND(OR(sel_Region="All",C1086=sel_Region),OR(sel_Country="All",D1086=sel_Country),OR(sel_Channel="All",E1086=sel_Channel),OR(sel_Customer="All",F1086=sel_Customer),OR(sel_Category="All",G1086=sel_Category),AND(S1086&gt;=m_From,S1086&lt;=m_To)),1,0)</f>
        <v/>
      </c>
      <c r="AA1086" s="36">
        <f>IF(AND(OR(sel_Region="All",C1086=sel_Region),OR(sel_Country="All",D1086=sel_Country),OR(sel_Channel="All",E1086=sel_Channel),OR(sel_Customer="All",F1086=sel_Customer),OR(sel_Category="All",G1086=sel_Category),OR(sel_Product="All",H1086=sel_Product)),1,0)</f>
        <v/>
      </c>
    </row>
    <row r="1087">
      <c r="A1087" s="36" t="inlineStr">
        <is>
          <t>00564</t>
        </is>
      </c>
      <c r="B1087" s="44" t="n">
        <v>46186</v>
      </c>
      <c r="C1087" s="36" t="inlineStr">
        <is>
          <t>Northern Europe</t>
        </is>
      </c>
      <c r="D1087" s="36" t="inlineStr">
        <is>
          <t>Denmark</t>
        </is>
      </c>
      <c r="E1087" s="36" t="inlineStr">
        <is>
          <t>Retail Partners</t>
        </is>
      </c>
      <c r="F1087" s="36" t="inlineStr">
        <is>
          <t>New</t>
        </is>
      </c>
      <c r="G1087" s="36" t="inlineStr">
        <is>
          <t>Travel</t>
        </is>
      </c>
      <c r="H1087" s="36" t="inlineStr">
        <is>
          <t>Packing Cube Set</t>
        </is>
      </c>
      <c r="I1087" s="36" t="n">
        <v>3</v>
      </c>
      <c r="J1087" s="39" t="n">
        <v>45.82</v>
      </c>
      <c r="K1087" s="45" t="n">
        <v>0.1</v>
      </c>
      <c r="L1087" s="39" t="n">
        <v>18.61</v>
      </c>
      <c r="M1087" s="39">
        <f>I1087*J1087*(1-K1087)</f>
        <v/>
      </c>
      <c r="N1087" s="39">
        <f>I1087*L1087</f>
        <v/>
      </c>
      <c r="O1087" s="39">
        <f>M1087-N1087</f>
        <v/>
      </c>
      <c r="P1087" s="38">
        <f>IF(M1087=0,0,O1087/M1087)</f>
        <v/>
      </c>
      <c r="Q1087" s="36">
        <f>YEAR(B1087)</f>
        <v/>
      </c>
      <c r="R1087" s="36">
        <f>"Q"&amp;ROUNDUP(MONTH(B1087)/3,0)</f>
        <v/>
      </c>
      <c r="S1087" s="36">
        <f>MONTH(B1087)</f>
        <v/>
      </c>
      <c r="T1087" s="36">
        <f>TEXT(B1087,"mmm")</f>
        <v/>
      </c>
      <c r="U1087" s="36">
        <f>IF(AND(OR(sel_Region="All",C1087=sel_Region),OR(sel_Country="All",D1087=sel_Country),OR(sel_Channel="All",E1087=sel_Channel),OR(sel_Customer="All",F1087=sel_Customer),OR(sel_Category="All",G1087=sel_Category),OR(sel_Product="All",H1087=sel_Product),AND(S1087&gt;=m_From,S1087&lt;=m_To)),1,0)</f>
        <v/>
      </c>
      <c r="V1087" s="36">
        <f>IF(AND(OR(sel_Region="All",C1087=sel_Region),OR(sel_Channel="All",E1087=sel_Channel),OR(sel_Customer="All",F1087=sel_Customer),OR(sel_Category="All",G1087=sel_Category),OR(sel_Product="All",H1087=sel_Product),AND(S1087&gt;=m_From,S1087&lt;=m_To)),1,0)</f>
        <v/>
      </c>
      <c r="W1087" s="36">
        <f>IF(AND(OR(sel_Region="All",C1087=sel_Region),OR(sel_Country="All",D1087=sel_Country),OR(sel_Customer="All",F1087=sel_Customer),OR(sel_Category="All",G1087=sel_Category),OR(sel_Product="All",H1087=sel_Product),AND(S1087&gt;=m_From,S1087&lt;=m_To)),1,0)</f>
        <v/>
      </c>
      <c r="X1087" s="36">
        <f>IF(AND(OR(sel_Region="All",C1087=sel_Region),OR(sel_Country="All",D1087=sel_Country),OR(sel_Channel="All",E1087=sel_Channel),OR(sel_Category="All",G1087=sel_Category),OR(sel_Product="All",H1087=sel_Product),AND(S1087&gt;=m_From,S1087&lt;=m_To)),1,0)</f>
        <v/>
      </c>
      <c r="Y1087" s="36">
        <f>IF(AND(OR(sel_Region="All",C1087=sel_Region),OR(sel_Country="All",D1087=sel_Country),OR(sel_Channel="All",E1087=sel_Channel),OR(sel_Customer="All",F1087=sel_Customer),OR(sel_Product="All",H1087=sel_Product),AND(S1087&gt;=m_From,S1087&lt;=m_To)),1,0)</f>
        <v/>
      </c>
      <c r="Z1087" s="36">
        <f>IF(AND(OR(sel_Region="All",C1087=sel_Region),OR(sel_Country="All",D1087=sel_Country),OR(sel_Channel="All",E1087=sel_Channel),OR(sel_Customer="All",F1087=sel_Customer),OR(sel_Category="All",G1087=sel_Category),AND(S1087&gt;=m_From,S1087&lt;=m_To)),1,0)</f>
        <v/>
      </c>
      <c r="AA1087" s="36">
        <f>IF(AND(OR(sel_Region="All",C1087=sel_Region),OR(sel_Country="All",D1087=sel_Country),OR(sel_Channel="All",E1087=sel_Channel),OR(sel_Customer="All",F1087=sel_Customer),OR(sel_Category="All",G1087=sel_Category),OR(sel_Product="All",H1087=sel_Product)),1,0)</f>
        <v/>
      </c>
    </row>
    <row r="1088">
      <c r="A1088" s="36" t="inlineStr">
        <is>
          <t>00736</t>
        </is>
      </c>
      <c r="B1088" s="44" t="n">
        <v>46186</v>
      </c>
      <c r="C1088" s="36" t="inlineStr">
        <is>
          <t>Western Europe</t>
        </is>
      </c>
      <c r="D1088" s="36" t="inlineStr">
        <is>
          <t>France</t>
        </is>
      </c>
      <c r="E1088" s="36" t="inlineStr">
        <is>
          <t>Retail Partners</t>
        </is>
      </c>
      <c r="F1088" s="36" t="inlineStr">
        <is>
          <t>Business</t>
        </is>
      </c>
      <c r="G1088" s="36" t="inlineStr">
        <is>
          <t>Hiking</t>
        </is>
      </c>
      <c r="H1088" s="36" t="inlineStr">
        <is>
          <t>Summit Backpack 45L</t>
        </is>
      </c>
      <c r="I1088" s="36" t="n">
        <v>1</v>
      </c>
      <c r="J1088" s="39" t="n">
        <v>152.78</v>
      </c>
      <c r="K1088" s="45" t="n">
        <v>0</v>
      </c>
      <c r="L1088" s="39" t="n">
        <v>78.54000000000001</v>
      </c>
      <c r="M1088" s="39">
        <f>I1088*J1088*(1-K1088)</f>
        <v/>
      </c>
      <c r="N1088" s="39">
        <f>I1088*L1088</f>
        <v/>
      </c>
      <c r="O1088" s="39">
        <f>M1088-N1088</f>
        <v/>
      </c>
      <c r="P1088" s="38">
        <f>IF(M1088=0,0,O1088/M1088)</f>
        <v/>
      </c>
      <c r="Q1088" s="36">
        <f>YEAR(B1088)</f>
        <v/>
      </c>
      <c r="R1088" s="36">
        <f>"Q"&amp;ROUNDUP(MONTH(B1088)/3,0)</f>
        <v/>
      </c>
      <c r="S1088" s="36">
        <f>MONTH(B1088)</f>
        <v/>
      </c>
      <c r="T1088" s="36">
        <f>TEXT(B1088,"mmm")</f>
        <v/>
      </c>
      <c r="U1088" s="36">
        <f>IF(AND(OR(sel_Region="All",C1088=sel_Region),OR(sel_Country="All",D1088=sel_Country),OR(sel_Channel="All",E1088=sel_Channel),OR(sel_Customer="All",F1088=sel_Customer),OR(sel_Category="All",G1088=sel_Category),OR(sel_Product="All",H1088=sel_Product),AND(S1088&gt;=m_From,S1088&lt;=m_To)),1,0)</f>
        <v/>
      </c>
      <c r="V1088" s="36">
        <f>IF(AND(OR(sel_Region="All",C1088=sel_Region),OR(sel_Channel="All",E1088=sel_Channel),OR(sel_Customer="All",F1088=sel_Customer),OR(sel_Category="All",G1088=sel_Category),OR(sel_Product="All",H1088=sel_Product),AND(S1088&gt;=m_From,S1088&lt;=m_To)),1,0)</f>
        <v/>
      </c>
      <c r="W1088" s="36">
        <f>IF(AND(OR(sel_Region="All",C1088=sel_Region),OR(sel_Country="All",D1088=sel_Country),OR(sel_Customer="All",F1088=sel_Customer),OR(sel_Category="All",G1088=sel_Category),OR(sel_Product="All",H1088=sel_Product),AND(S1088&gt;=m_From,S1088&lt;=m_To)),1,0)</f>
        <v/>
      </c>
      <c r="X1088" s="36">
        <f>IF(AND(OR(sel_Region="All",C1088=sel_Region),OR(sel_Country="All",D1088=sel_Country),OR(sel_Channel="All",E1088=sel_Channel),OR(sel_Category="All",G1088=sel_Category),OR(sel_Product="All",H1088=sel_Product),AND(S1088&gt;=m_From,S1088&lt;=m_To)),1,0)</f>
        <v/>
      </c>
      <c r="Y1088" s="36">
        <f>IF(AND(OR(sel_Region="All",C1088=sel_Region),OR(sel_Country="All",D1088=sel_Country),OR(sel_Channel="All",E1088=sel_Channel),OR(sel_Customer="All",F1088=sel_Customer),OR(sel_Product="All",H1088=sel_Product),AND(S1088&gt;=m_From,S1088&lt;=m_To)),1,0)</f>
        <v/>
      </c>
      <c r="Z1088" s="36">
        <f>IF(AND(OR(sel_Region="All",C1088=sel_Region),OR(sel_Country="All",D1088=sel_Country),OR(sel_Channel="All",E1088=sel_Channel),OR(sel_Customer="All",F1088=sel_Customer),OR(sel_Category="All",G1088=sel_Category),AND(S1088&gt;=m_From,S1088&lt;=m_To)),1,0)</f>
        <v/>
      </c>
      <c r="AA1088" s="36">
        <f>IF(AND(OR(sel_Region="All",C1088=sel_Region),OR(sel_Country="All",D1088=sel_Country),OR(sel_Channel="All",E1088=sel_Channel),OR(sel_Customer="All",F1088=sel_Customer),OR(sel_Category="All",G1088=sel_Category),OR(sel_Product="All",H1088=sel_Product)),1,0)</f>
        <v/>
      </c>
    </row>
    <row r="1089">
      <c r="A1089" s="36" t="inlineStr">
        <is>
          <t>01300</t>
        </is>
      </c>
      <c r="B1089" s="44" t="n">
        <v>46186</v>
      </c>
      <c r="C1089" s="36" t="inlineStr">
        <is>
          <t>Central Europe</t>
        </is>
      </c>
      <c r="D1089" s="36" t="inlineStr">
        <is>
          <t>Austria</t>
        </is>
      </c>
      <c r="E1089" s="36" t="inlineStr">
        <is>
          <t>Online Store</t>
        </is>
      </c>
      <c r="F1089" s="36" t="inlineStr">
        <is>
          <t>New</t>
        </is>
      </c>
      <c r="G1089" s="36" t="inlineStr">
        <is>
          <t>Cycling</t>
        </is>
      </c>
      <c r="H1089" s="36" t="inlineStr">
        <is>
          <t>Trail Bike Light</t>
        </is>
      </c>
      <c r="I1089" s="36" t="n">
        <v>1</v>
      </c>
      <c r="J1089" s="39" t="n">
        <v>49.76</v>
      </c>
      <c r="K1089" s="45" t="n">
        <v>0.05</v>
      </c>
      <c r="L1089" s="39" t="n">
        <v>22.58</v>
      </c>
      <c r="M1089" s="39">
        <f>I1089*J1089*(1-K1089)</f>
        <v/>
      </c>
      <c r="N1089" s="39">
        <f>I1089*L1089</f>
        <v/>
      </c>
      <c r="O1089" s="39">
        <f>M1089-N1089</f>
        <v/>
      </c>
      <c r="P1089" s="38">
        <f>IF(M1089=0,0,O1089/M1089)</f>
        <v/>
      </c>
      <c r="Q1089" s="36">
        <f>YEAR(B1089)</f>
        <v/>
      </c>
      <c r="R1089" s="36">
        <f>"Q"&amp;ROUNDUP(MONTH(B1089)/3,0)</f>
        <v/>
      </c>
      <c r="S1089" s="36">
        <f>MONTH(B1089)</f>
        <v/>
      </c>
      <c r="T1089" s="36">
        <f>TEXT(B1089,"mmm")</f>
        <v/>
      </c>
      <c r="U1089" s="36">
        <f>IF(AND(OR(sel_Region="All",C1089=sel_Region),OR(sel_Country="All",D1089=sel_Country),OR(sel_Channel="All",E1089=sel_Channel),OR(sel_Customer="All",F1089=sel_Customer),OR(sel_Category="All",G1089=sel_Category),OR(sel_Product="All",H1089=sel_Product),AND(S1089&gt;=m_From,S1089&lt;=m_To)),1,0)</f>
        <v/>
      </c>
      <c r="V1089" s="36">
        <f>IF(AND(OR(sel_Region="All",C1089=sel_Region),OR(sel_Channel="All",E1089=sel_Channel),OR(sel_Customer="All",F1089=sel_Customer),OR(sel_Category="All",G1089=sel_Category),OR(sel_Product="All",H1089=sel_Product),AND(S1089&gt;=m_From,S1089&lt;=m_To)),1,0)</f>
        <v/>
      </c>
      <c r="W1089" s="36">
        <f>IF(AND(OR(sel_Region="All",C1089=sel_Region),OR(sel_Country="All",D1089=sel_Country),OR(sel_Customer="All",F1089=sel_Customer),OR(sel_Category="All",G1089=sel_Category),OR(sel_Product="All",H1089=sel_Product),AND(S1089&gt;=m_From,S1089&lt;=m_To)),1,0)</f>
        <v/>
      </c>
      <c r="X1089" s="36">
        <f>IF(AND(OR(sel_Region="All",C1089=sel_Region),OR(sel_Country="All",D1089=sel_Country),OR(sel_Channel="All",E1089=sel_Channel),OR(sel_Category="All",G1089=sel_Category),OR(sel_Product="All",H1089=sel_Product),AND(S1089&gt;=m_From,S1089&lt;=m_To)),1,0)</f>
        <v/>
      </c>
      <c r="Y1089" s="36">
        <f>IF(AND(OR(sel_Region="All",C1089=sel_Region),OR(sel_Country="All",D1089=sel_Country),OR(sel_Channel="All",E1089=sel_Channel),OR(sel_Customer="All",F1089=sel_Customer),OR(sel_Product="All",H1089=sel_Product),AND(S1089&gt;=m_From,S1089&lt;=m_To)),1,0)</f>
        <v/>
      </c>
      <c r="Z1089" s="36">
        <f>IF(AND(OR(sel_Region="All",C1089=sel_Region),OR(sel_Country="All",D1089=sel_Country),OR(sel_Channel="All",E1089=sel_Channel),OR(sel_Customer="All",F1089=sel_Customer),OR(sel_Category="All",G1089=sel_Category),AND(S1089&gt;=m_From,S1089&lt;=m_To)),1,0)</f>
        <v/>
      </c>
      <c r="AA1089" s="36">
        <f>IF(AND(OR(sel_Region="All",C1089=sel_Region),OR(sel_Country="All",D1089=sel_Country),OR(sel_Channel="All",E1089=sel_Channel),OR(sel_Customer="All",F1089=sel_Customer),OR(sel_Category="All",G1089=sel_Category),OR(sel_Product="All",H1089=sel_Product)),1,0)</f>
        <v/>
      </c>
    </row>
    <row r="1090">
      <c r="A1090" s="36" t="inlineStr">
        <is>
          <t>01948</t>
        </is>
      </c>
      <c r="B1090" s="44" t="n">
        <v>46186</v>
      </c>
      <c r="C1090" s="36" t="inlineStr">
        <is>
          <t>Western Europe</t>
        </is>
      </c>
      <c r="D1090" s="36" t="inlineStr">
        <is>
          <t>United Kingdom</t>
        </is>
      </c>
      <c r="E1090" s="36" t="inlineStr">
        <is>
          <t>Retail Partners</t>
        </is>
      </c>
      <c r="F1090" s="36" t="inlineStr">
        <is>
          <t>New</t>
        </is>
      </c>
      <c r="G1090" s="36" t="inlineStr">
        <is>
          <t>Hiking</t>
        </is>
      </c>
      <c r="H1090" s="36" t="inlineStr">
        <is>
          <t>Summit Backpack 45L</t>
        </is>
      </c>
      <c r="I1090" s="36" t="n">
        <v>1</v>
      </c>
      <c r="J1090" s="39" t="n">
        <v>157.6</v>
      </c>
      <c r="K1090" s="45" t="n">
        <v>0.05</v>
      </c>
      <c r="L1090" s="39" t="n">
        <v>79.34</v>
      </c>
      <c r="M1090" s="39">
        <f>I1090*J1090*(1-K1090)</f>
        <v/>
      </c>
      <c r="N1090" s="39">
        <f>I1090*L1090</f>
        <v/>
      </c>
      <c r="O1090" s="39">
        <f>M1090-N1090</f>
        <v/>
      </c>
      <c r="P1090" s="38">
        <f>IF(M1090=0,0,O1090/M1090)</f>
        <v/>
      </c>
      <c r="Q1090" s="36">
        <f>YEAR(B1090)</f>
        <v/>
      </c>
      <c r="R1090" s="36">
        <f>"Q"&amp;ROUNDUP(MONTH(B1090)/3,0)</f>
        <v/>
      </c>
      <c r="S1090" s="36">
        <f>MONTH(B1090)</f>
        <v/>
      </c>
      <c r="T1090" s="36">
        <f>TEXT(B1090,"mmm")</f>
        <v/>
      </c>
      <c r="U1090" s="36">
        <f>IF(AND(OR(sel_Region="All",C1090=sel_Region),OR(sel_Country="All",D1090=sel_Country),OR(sel_Channel="All",E1090=sel_Channel),OR(sel_Customer="All",F1090=sel_Customer),OR(sel_Category="All",G1090=sel_Category),OR(sel_Product="All",H1090=sel_Product),AND(S1090&gt;=m_From,S1090&lt;=m_To)),1,0)</f>
        <v/>
      </c>
      <c r="V1090" s="36">
        <f>IF(AND(OR(sel_Region="All",C1090=sel_Region),OR(sel_Channel="All",E1090=sel_Channel),OR(sel_Customer="All",F1090=sel_Customer),OR(sel_Category="All",G1090=sel_Category),OR(sel_Product="All",H1090=sel_Product),AND(S1090&gt;=m_From,S1090&lt;=m_To)),1,0)</f>
        <v/>
      </c>
      <c r="W1090" s="36">
        <f>IF(AND(OR(sel_Region="All",C1090=sel_Region),OR(sel_Country="All",D1090=sel_Country),OR(sel_Customer="All",F1090=sel_Customer),OR(sel_Category="All",G1090=sel_Category),OR(sel_Product="All",H1090=sel_Product),AND(S1090&gt;=m_From,S1090&lt;=m_To)),1,0)</f>
        <v/>
      </c>
      <c r="X1090" s="36">
        <f>IF(AND(OR(sel_Region="All",C1090=sel_Region),OR(sel_Country="All",D1090=sel_Country),OR(sel_Channel="All",E1090=sel_Channel),OR(sel_Category="All",G1090=sel_Category),OR(sel_Product="All",H1090=sel_Product),AND(S1090&gt;=m_From,S1090&lt;=m_To)),1,0)</f>
        <v/>
      </c>
      <c r="Y1090" s="36">
        <f>IF(AND(OR(sel_Region="All",C1090=sel_Region),OR(sel_Country="All",D1090=sel_Country),OR(sel_Channel="All",E1090=sel_Channel),OR(sel_Customer="All",F1090=sel_Customer),OR(sel_Product="All",H1090=sel_Product),AND(S1090&gt;=m_From,S1090&lt;=m_To)),1,0)</f>
        <v/>
      </c>
      <c r="Z1090" s="36">
        <f>IF(AND(OR(sel_Region="All",C1090=sel_Region),OR(sel_Country="All",D1090=sel_Country),OR(sel_Channel="All",E1090=sel_Channel),OR(sel_Customer="All",F1090=sel_Customer),OR(sel_Category="All",G1090=sel_Category),AND(S1090&gt;=m_From,S1090&lt;=m_To)),1,0)</f>
        <v/>
      </c>
      <c r="AA1090" s="36">
        <f>IF(AND(OR(sel_Region="All",C1090=sel_Region),OR(sel_Country="All",D1090=sel_Country),OR(sel_Channel="All",E1090=sel_Channel),OR(sel_Customer="All",F1090=sel_Customer),OR(sel_Category="All",G1090=sel_Category),OR(sel_Product="All",H1090=sel_Product)),1,0)</f>
        <v/>
      </c>
    </row>
    <row r="1091">
      <c r="A1091" s="36" t="inlineStr">
        <is>
          <t>02272</t>
        </is>
      </c>
      <c r="B1091" s="44" t="n">
        <v>46186</v>
      </c>
      <c r="C1091" s="36" t="inlineStr">
        <is>
          <t>Western Europe</t>
        </is>
      </c>
      <c r="D1091" s="36" t="inlineStr">
        <is>
          <t>United Kingdom</t>
        </is>
      </c>
      <c r="E1091" s="36" t="inlineStr">
        <is>
          <t>Online Store</t>
        </is>
      </c>
      <c r="F1091" s="36" t="inlineStr">
        <is>
          <t>Returning</t>
        </is>
      </c>
      <c r="G1091" s="36" t="inlineStr">
        <is>
          <t>Fitness</t>
        </is>
      </c>
      <c r="H1091" s="36" t="inlineStr">
        <is>
          <t>Weighted Vest</t>
        </is>
      </c>
      <c r="I1091" s="36" t="n">
        <v>1</v>
      </c>
      <c r="J1091" s="39" t="n">
        <v>125.01</v>
      </c>
      <c r="K1091" s="45" t="n">
        <v>0.15</v>
      </c>
      <c r="L1091" s="39" t="n">
        <v>70.39</v>
      </c>
      <c r="M1091" s="39">
        <f>I1091*J1091*(1-K1091)</f>
        <v/>
      </c>
      <c r="N1091" s="39">
        <f>I1091*L1091</f>
        <v/>
      </c>
      <c r="O1091" s="39">
        <f>M1091-N1091</f>
        <v/>
      </c>
      <c r="P1091" s="38">
        <f>IF(M1091=0,0,O1091/M1091)</f>
        <v/>
      </c>
      <c r="Q1091" s="36">
        <f>YEAR(B1091)</f>
        <v/>
      </c>
      <c r="R1091" s="36">
        <f>"Q"&amp;ROUNDUP(MONTH(B1091)/3,0)</f>
        <v/>
      </c>
      <c r="S1091" s="36">
        <f>MONTH(B1091)</f>
        <v/>
      </c>
      <c r="T1091" s="36">
        <f>TEXT(B1091,"mmm")</f>
        <v/>
      </c>
      <c r="U1091" s="36">
        <f>IF(AND(OR(sel_Region="All",C1091=sel_Region),OR(sel_Country="All",D1091=sel_Country),OR(sel_Channel="All",E1091=sel_Channel),OR(sel_Customer="All",F1091=sel_Customer),OR(sel_Category="All",G1091=sel_Category),OR(sel_Product="All",H1091=sel_Product),AND(S1091&gt;=m_From,S1091&lt;=m_To)),1,0)</f>
        <v/>
      </c>
      <c r="V1091" s="36">
        <f>IF(AND(OR(sel_Region="All",C1091=sel_Region),OR(sel_Channel="All",E1091=sel_Channel),OR(sel_Customer="All",F1091=sel_Customer),OR(sel_Category="All",G1091=sel_Category),OR(sel_Product="All",H1091=sel_Product),AND(S1091&gt;=m_From,S1091&lt;=m_To)),1,0)</f>
        <v/>
      </c>
      <c r="W1091" s="36">
        <f>IF(AND(OR(sel_Region="All",C1091=sel_Region),OR(sel_Country="All",D1091=sel_Country),OR(sel_Customer="All",F1091=sel_Customer),OR(sel_Category="All",G1091=sel_Category),OR(sel_Product="All",H1091=sel_Product),AND(S1091&gt;=m_From,S1091&lt;=m_To)),1,0)</f>
        <v/>
      </c>
      <c r="X1091" s="36">
        <f>IF(AND(OR(sel_Region="All",C1091=sel_Region),OR(sel_Country="All",D1091=sel_Country),OR(sel_Channel="All",E1091=sel_Channel),OR(sel_Category="All",G1091=sel_Category),OR(sel_Product="All",H1091=sel_Product),AND(S1091&gt;=m_From,S1091&lt;=m_To)),1,0)</f>
        <v/>
      </c>
      <c r="Y1091" s="36">
        <f>IF(AND(OR(sel_Region="All",C1091=sel_Region),OR(sel_Country="All",D1091=sel_Country),OR(sel_Channel="All",E1091=sel_Channel),OR(sel_Customer="All",F1091=sel_Customer),OR(sel_Product="All",H1091=sel_Product),AND(S1091&gt;=m_From,S1091&lt;=m_To)),1,0)</f>
        <v/>
      </c>
      <c r="Z1091" s="36">
        <f>IF(AND(OR(sel_Region="All",C1091=sel_Region),OR(sel_Country="All",D1091=sel_Country),OR(sel_Channel="All",E1091=sel_Channel),OR(sel_Customer="All",F1091=sel_Customer),OR(sel_Category="All",G1091=sel_Category),AND(S1091&gt;=m_From,S1091&lt;=m_To)),1,0)</f>
        <v/>
      </c>
      <c r="AA1091" s="36">
        <f>IF(AND(OR(sel_Region="All",C1091=sel_Region),OR(sel_Country="All",D1091=sel_Country),OR(sel_Channel="All",E1091=sel_Channel),OR(sel_Customer="All",F1091=sel_Customer),OR(sel_Category="All",G1091=sel_Category),OR(sel_Product="All",H1091=sel_Product)),1,0)</f>
        <v/>
      </c>
    </row>
    <row r="1092">
      <c r="A1092" s="36" t="inlineStr">
        <is>
          <t>02680</t>
        </is>
      </c>
      <c r="B1092" s="44" t="n">
        <v>46186</v>
      </c>
      <c r="C1092" s="36" t="inlineStr">
        <is>
          <t>Central Europe</t>
        </is>
      </c>
      <c r="D1092" s="36" t="inlineStr">
        <is>
          <t>Poland</t>
        </is>
      </c>
      <c r="E1092" s="36" t="inlineStr">
        <is>
          <t>Online Store</t>
        </is>
      </c>
      <c r="F1092" s="36" t="inlineStr">
        <is>
          <t>Returning</t>
        </is>
      </c>
      <c r="G1092" s="36" t="inlineStr">
        <is>
          <t>Hiking</t>
        </is>
      </c>
      <c r="H1092" s="36" t="inlineStr">
        <is>
          <t>Hiking Daypack 20L</t>
        </is>
      </c>
      <c r="I1092" s="36" t="n">
        <v>1</v>
      </c>
      <c r="J1092" s="39" t="n">
        <v>93.59</v>
      </c>
      <c r="K1092" s="45" t="n">
        <v>0.15</v>
      </c>
      <c r="L1092" s="39" t="n">
        <v>46.48</v>
      </c>
      <c r="M1092" s="39">
        <f>I1092*J1092*(1-K1092)</f>
        <v/>
      </c>
      <c r="N1092" s="39">
        <f>I1092*L1092</f>
        <v/>
      </c>
      <c r="O1092" s="39">
        <f>M1092-N1092</f>
        <v/>
      </c>
      <c r="P1092" s="38">
        <f>IF(M1092=0,0,O1092/M1092)</f>
        <v/>
      </c>
      <c r="Q1092" s="36">
        <f>YEAR(B1092)</f>
        <v/>
      </c>
      <c r="R1092" s="36">
        <f>"Q"&amp;ROUNDUP(MONTH(B1092)/3,0)</f>
        <v/>
      </c>
      <c r="S1092" s="36">
        <f>MONTH(B1092)</f>
        <v/>
      </c>
      <c r="T1092" s="36">
        <f>TEXT(B1092,"mmm")</f>
        <v/>
      </c>
      <c r="U1092" s="36">
        <f>IF(AND(OR(sel_Region="All",C1092=sel_Region),OR(sel_Country="All",D1092=sel_Country),OR(sel_Channel="All",E1092=sel_Channel),OR(sel_Customer="All",F1092=sel_Customer),OR(sel_Category="All",G1092=sel_Category),OR(sel_Product="All",H1092=sel_Product),AND(S1092&gt;=m_From,S1092&lt;=m_To)),1,0)</f>
        <v/>
      </c>
      <c r="V1092" s="36">
        <f>IF(AND(OR(sel_Region="All",C1092=sel_Region),OR(sel_Channel="All",E1092=sel_Channel),OR(sel_Customer="All",F1092=sel_Customer),OR(sel_Category="All",G1092=sel_Category),OR(sel_Product="All",H1092=sel_Product),AND(S1092&gt;=m_From,S1092&lt;=m_To)),1,0)</f>
        <v/>
      </c>
      <c r="W1092" s="36">
        <f>IF(AND(OR(sel_Region="All",C1092=sel_Region),OR(sel_Country="All",D1092=sel_Country),OR(sel_Customer="All",F1092=sel_Customer),OR(sel_Category="All",G1092=sel_Category),OR(sel_Product="All",H1092=sel_Product),AND(S1092&gt;=m_From,S1092&lt;=m_To)),1,0)</f>
        <v/>
      </c>
      <c r="X1092" s="36">
        <f>IF(AND(OR(sel_Region="All",C1092=sel_Region),OR(sel_Country="All",D1092=sel_Country),OR(sel_Channel="All",E1092=sel_Channel),OR(sel_Category="All",G1092=sel_Category),OR(sel_Product="All",H1092=sel_Product),AND(S1092&gt;=m_From,S1092&lt;=m_To)),1,0)</f>
        <v/>
      </c>
      <c r="Y1092" s="36">
        <f>IF(AND(OR(sel_Region="All",C1092=sel_Region),OR(sel_Country="All",D1092=sel_Country),OR(sel_Channel="All",E1092=sel_Channel),OR(sel_Customer="All",F1092=sel_Customer),OR(sel_Product="All",H1092=sel_Product),AND(S1092&gt;=m_From,S1092&lt;=m_To)),1,0)</f>
        <v/>
      </c>
      <c r="Z1092" s="36">
        <f>IF(AND(OR(sel_Region="All",C1092=sel_Region),OR(sel_Country="All",D1092=sel_Country),OR(sel_Channel="All",E1092=sel_Channel),OR(sel_Customer="All",F1092=sel_Customer),OR(sel_Category="All",G1092=sel_Category),AND(S1092&gt;=m_From,S1092&lt;=m_To)),1,0)</f>
        <v/>
      </c>
      <c r="AA1092" s="36">
        <f>IF(AND(OR(sel_Region="All",C1092=sel_Region),OR(sel_Country="All",D1092=sel_Country),OR(sel_Channel="All",E1092=sel_Channel),OR(sel_Customer="All",F1092=sel_Customer),OR(sel_Category="All",G1092=sel_Category),OR(sel_Product="All",H1092=sel_Product)),1,0)</f>
        <v/>
      </c>
    </row>
    <row r="1093">
      <c r="A1093" s="36" t="inlineStr">
        <is>
          <t>04178</t>
        </is>
      </c>
      <c r="B1093" s="44" t="n">
        <v>46186</v>
      </c>
      <c r="C1093" s="36" t="inlineStr">
        <is>
          <t>Northern Europe</t>
        </is>
      </c>
      <c r="D1093" s="36" t="inlineStr">
        <is>
          <t>Sweden</t>
        </is>
      </c>
      <c r="E1093" s="36" t="inlineStr">
        <is>
          <t>Retail Partners</t>
        </is>
      </c>
      <c r="F1093" s="36" t="inlineStr">
        <is>
          <t>Returning</t>
        </is>
      </c>
      <c r="G1093" s="36" t="inlineStr">
        <is>
          <t>Hiking</t>
        </is>
      </c>
      <c r="H1093" s="36" t="inlineStr">
        <is>
          <t>Trail Boots</t>
        </is>
      </c>
      <c r="I1093" s="36" t="n">
        <v>4</v>
      </c>
      <c r="J1093" s="39" t="n">
        <v>143.9</v>
      </c>
      <c r="K1093" s="45" t="n">
        <v>0.05</v>
      </c>
      <c r="L1093" s="39" t="n">
        <v>79.70999999999999</v>
      </c>
      <c r="M1093" s="39">
        <f>I1093*J1093*(1-K1093)</f>
        <v/>
      </c>
      <c r="N1093" s="39">
        <f>I1093*L1093</f>
        <v/>
      </c>
      <c r="O1093" s="39">
        <f>M1093-N1093</f>
        <v/>
      </c>
      <c r="P1093" s="38">
        <f>IF(M1093=0,0,O1093/M1093)</f>
        <v/>
      </c>
      <c r="Q1093" s="36">
        <f>YEAR(B1093)</f>
        <v/>
      </c>
      <c r="R1093" s="36">
        <f>"Q"&amp;ROUNDUP(MONTH(B1093)/3,0)</f>
        <v/>
      </c>
      <c r="S1093" s="36">
        <f>MONTH(B1093)</f>
        <v/>
      </c>
      <c r="T1093" s="36">
        <f>TEXT(B1093,"mmm")</f>
        <v/>
      </c>
      <c r="U1093" s="36">
        <f>IF(AND(OR(sel_Region="All",C1093=sel_Region),OR(sel_Country="All",D1093=sel_Country),OR(sel_Channel="All",E1093=sel_Channel),OR(sel_Customer="All",F1093=sel_Customer),OR(sel_Category="All",G1093=sel_Category),OR(sel_Product="All",H1093=sel_Product),AND(S1093&gt;=m_From,S1093&lt;=m_To)),1,0)</f>
        <v/>
      </c>
      <c r="V1093" s="36">
        <f>IF(AND(OR(sel_Region="All",C1093=sel_Region),OR(sel_Channel="All",E1093=sel_Channel),OR(sel_Customer="All",F1093=sel_Customer),OR(sel_Category="All",G1093=sel_Category),OR(sel_Product="All",H1093=sel_Product),AND(S1093&gt;=m_From,S1093&lt;=m_To)),1,0)</f>
        <v/>
      </c>
      <c r="W1093" s="36">
        <f>IF(AND(OR(sel_Region="All",C1093=sel_Region),OR(sel_Country="All",D1093=sel_Country),OR(sel_Customer="All",F1093=sel_Customer),OR(sel_Category="All",G1093=sel_Category),OR(sel_Product="All",H1093=sel_Product),AND(S1093&gt;=m_From,S1093&lt;=m_To)),1,0)</f>
        <v/>
      </c>
      <c r="X1093" s="36">
        <f>IF(AND(OR(sel_Region="All",C1093=sel_Region),OR(sel_Country="All",D1093=sel_Country),OR(sel_Channel="All",E1093=sel_Channel),OR(sel_Category="All",G1093=sel_Category),OR(sel_Product="All",H1093=sel_Product),AND(S1093&gt;=m_From,S1093&lt;=m_To)),1,0)</f>
        <v/>
      </c>
      <c r="Y1093" s="36">
        <f>IF(AND(OR(sel_Region="All",C1093=sel_Region),OR(sel_Country="All",D1093=sel_Country),OR(sel_Channel="All",E1093=sel_Channel),OR(sel_Customer="All",F1093=sel_Customer),OR(sel_Product="All",H1093=sel_Product),AND(S1093&gt;=m_From,S1093&lt;=m_To)),1,0)</f>
        <v/>
      </c>
      <c r="Z1093" s="36">
        <f>IF(AND(OR(sel_Region="All",C1093=sel_Region),OR(sel_Country="All",D1093=sel_Country),OR(sel_Channel="All",E1093=sel_Channel),OR(sel_Customer="All",F1093=sel_Customer),OR(sel_Category="All",G1093=sel_Category),AND(S1093&gt;=m_From,S1093&lt;=m_To)),1,0)</f>
        <v/>
      </c>
      <c r="AA1093" s="36">
        <f>IF(AND(OR(sel_Region="All",C1093=sel_Region),OR(sel_Country="All",D1093=sel_Country),OR(sel_Channel="All",E1093=sel_Channel),OR(sel_Customer="All",F1093=sel_Customer),OR(sel_Category="All",G1093=sel_Category),OR(sel_Product="All",H1093=sel_Product)),1,0)</f>
        <v/>
      </c>
    </row>
    <row r="1094">
      <c r="A1094" s="36" t="inlineStr">
        <is>
          <t>04272</t>
        </is>
      </c>
      <c r="B1094" s="44" t="n">
        <v>46186</v>
      </c>
      <c r="C1094" s="36" t="inlineStr">
        <is>
          <t>Western Europe</t>
        </is>
      </c>
      <c r="D1094" s="36" t="inlineStr">
        <is>
          <t>Netherlands</t>
        </is>
      </c>
      <c r="E1094" s="36" t="inlineStr">
        <is>
          <t>Marketplace</t>
        </is>
      </c>
      <c r="F1094" s="36" t="inlineStr">
        <is>
          <t>Returning</t>
        </is>
      </c>
      <c r="G1094" s="36" t="inlineStr">
        <is>
          <t>Camping</t>
        </is>
      </c>
      <c r="H1094" s="36" t="inlineStr">
        <is>
          <t>Trail Tent 2P</t>
        </is>
      </c>
      <c r="I1094" s="36" t="n">
        <v>4</v>
      </c>
      <c r="J1094" s="39" t="n">
        <v>190.97</v>
      </c>
      <c r="K1094" s="45" t="n">
        <v>0</v>
      </c>
      <c r="L1094" s="39" t="n">
        <v>103.36</v>
      </c>
      <c r="M1094" s="39">
        <f>I1094*J1094*(1-K1094)</f>
        <v/>
      </c>
      <c r="N1094" s="39">
        <f>I1094*L1094</f>
        <v/>
      </c>
      <c r="O1094" s="39">
        <f>M1094-N1094</f>
        <v/>
      </c>
      <c r="P1094" s="38">
        <f>IF(M1094=0,0,O1094/M1094)</f>
        <v/>
      </c>
      <c r="Q1094" s="36">
        <f>YEAR(B1094)</f>
        <v/>
      </c>
      <c r="R1094" s="36">
        <f>"Q"&amp;ROUNDUP(MONTH(B1094)/3,0)</f>
        <v/>
      </c>
      <c r="S1094" s="36">
        <f>MONTH(B1094)</f>
        <v/>
      </c>
      <c r="T1094" s="36">
        <f>TEXT(B1094,"mmm")</f>
        <v/>
      </c>
      <c r="U1094" s="36">
        <f>IF(AND(OR(sel_Region="All",C1094=sel_Region),OR(sel_Country="All",D1094=sel_Country),OR(sel_Channel="All",E1094=sel_Channel),OR(sel_Customer="All",F1094=sel_Customer),OR(sel_Category="All",G1094=sel_Category),OR(sel_Product="All",H1094=sel_Product),AND(S1094&gt;=m_From,S1094&lt;=m_To)),1,0)</f>
        <v/>
      </c>
      <c r="V1094" s="36">
        <f>IF(AND(OR(sel_Region="All",C1094=sel_Region),OR(sel_Channel="All",E1094=sel_Channel),OR(sel_Customer="All",F1094=sel_Customer),OR(sel_Category="All",G1094=sel_Category),OR(sel_Product="All",H1094=sel_Product),AND(S1094&gt;=m_From,S1094&lt;=m_To)),1,0)</f>
        <v/>
      </c>
      <c r="W1094" s="36">
        <f>IF(AND(OR(sel_Region="All",C1094=sel_Region),OR(sel_Country="All",D1094=sel_Country),OR(sel_Customer="All",F1094=sel_Customer),OR(sel_Category="All",G1094=sel_Category),OR(sel_Product="All",H1094=sel_Product),AND(S1094&gt;=m_From,S1094&lt;=m_To)),1,0)</f>
        <v/>
      </c>
      <c r="X1094" s="36">
        <f>IF(AND(OR(sel_Region="All",C1094=sel_Region),OR(sel_Country="All",D1094=sel_Country),OR(sel_Channel="All",E1094=sel_Channel),OR(sel_Category="All",G1094=sel_Category),OR(sel_Product="All",H1094=sel_Product),AND(S1094&gt;=m_From,S1094&lt;=m_To)),1,0)</f>
        <v/>
      </c>
      <c r="Y1094" s="36">
        <f>IF(AND(OR(sel_Region="All",C1094=sel_Region),OR(sel_Country="All",D1094=sel_Country),OR(sel_Channel="All",E1094=sel_Channel),OR(sel_Customer="All",F1094=sel_Customer),OR(sel_Product="All",H1094=sel_Product),AND(S1094&gt;=m_From,S1094&lt;=m_To)),1,0)</f>
        <v/>
      </c>
      <c r="Z1094" s="36">
        <f>IF(AND(OR(sel_Region="All",C1094=sel_Region),OR(sel_Country="All",D1094=sel_Country),OR(sel_Channel="All",E1094=sel_Channel),OR(sel_Customer="All",F1094=sel_Customer),OR(sel_Category="All",G1094=sel_Category),AND(S1094&gt;=m_From,S1094&lt;=m_To)),1,0)</f>
        <v/>
      </c>
      <c r="AA1094" s="36">
        <f>IF(AND(OR(sel_Region="All",C1094=sel_Region),OR(sel_Country="All",D1094=sel_Country),OR(sel_Channel="All",E1094=sel_Channel),OR(sel_Customer="All",F1094=sel_Customer),OR(sel_Category="All",G1094=sel_Category),OR(sel_Product="All",H1094=sel_Product)),1,0)</f>
        <v/>
      </c>
    </row>
    <row r="1095">
      <c r="A1095" s="36" t="inlineStr">
        <is>
          <t>04713</t>
        </is>
      </c>
      <c r="B1095" s="44" t="n">
        <v>46186</v>
      </c>
      <c r="C1095" s="36" t="inlineStr">
        <is>
          <t>Western Europe</t>
        </is>
      </c>
      <c r="D1095" s="36" t="inlineStr">
        <is>
          <t>France</t>
        </is>
      </c>
      <c r="E1095" s="36" t="inlineStr">
        <is>
          <t>Retail Partners</t>
        </is>
      </c>
      <c r="F1095" s="36" t="inlineStr">
        <is>
          <t>Business</t>
        </is>
      </c>
      <c r="G1095" s="36" t="inlineStr">
        <is>
          <t>Fitness</t>
        </is>
      </c>
      <c r="H1095" s="36" t="inlineStr">
        <is>
          <t>Recovery Roller</t>
        </is>
      </c>
      <c r="I1095" s="36" t="n">
        <v>1</v>
      </c>
      <c r="J1095" s="39" t="n">
        <v>35.78</v>
      </c>
      <c r="K1095" s="45" t="n">
        <v>0</v>
      </c>
      <c r="L1095" s="39" t="n">
        <v>14</v>
      </c>
      <c r="M1095" s="39">
        <f>I1095*J1095*(1-K1095)</f>
        <v/>
      </c>
      <c r="N1095" s="39">
        <f>I1095*L1095</f>
        <v/>
      </c>
      <c r="O1095" s="39">
        <f>M1095-N1095</f>
        <v/>
      </c>
      <c r="P1095" s="38">
        <f>IF(M1095=0,0,O1095/M1095)</f>
        <v/>
      </c>
      <c r="Q1095" s="36">
        <f>YEAR(B1095)</f>
        <v/>
      </c>
      <c r="R1095" s="36">
        <f>"Q"&amp;ROUNDUP(MONTH(B1095)/3,0)</f>
        <v/>
      </c>
      <c r="S1095" s="36">
        <f>MONTH(B1095)</f>
        <v/>
      </c>
      <c r="T1095" s="36">
        <f>TEXT(B1095,"mmm")</f>
        <v/>
      </c>
      <c r="U1095" s="36">
        <f>IF(AND(OR(sel_Region="All",C1095=sel_Region),OR(sel_Country="All",D1095=sel_Country),OR(sel_Channel="All",E1095=sel_Channel),OR(sel_Customer="All",F1095=sel_Customer),OR(sel_Category="All",G1095=sel_Category),OR(sel_Product="All",H1095=sel_Product),AND(S1095&gt;=m_From,S1095&lt;=m_To)),1,0)</f>
        <v/>
      </c>
      <c r="V1095" s="36">
        <f>IF(AND(OR(sel_Region="All",C1095=sel_Region),OR(sel_Channel="All",E1095=sel_Channel),OR(sel_Customer="All",F1095=sel_Customer),OR(sel_Category="All",G1095=sel_Category),OR(sel_Product="All",H1095=sel_Product),AND(S1095&gt;=m_From,S1095&lt;=m_To)),1,0)</f>
        <v/>
      </c>
      <c r="W1095" s="36">
        <f>IF(AND(OR(sel_Region="All",C1095=sel_Region),OR(sel_Country="All",D1095=sel_Country),OR(sel_Customer="All",F1095=sel_Customer),OR(sel_Category="All",G1095=sel_Category),OR(sel_Product="All",H1095=sel_Product),AND(S1095&gt;=m_From,S1095&lt;=m_To)),1,0)</f>
        <v/>
      </c>
      <c r="X1095" s="36">
        <f>IF(AND(OR(sel_Region="All",C1095=sel_Region),OR(sel_Country="All",D1095=sel_Country),OR(sel_Channel="All",E1095=sel_Channel),OR(sel_Category="All",G1095=sel_Category),OR(sel_Product="All",H1095=sel_Product),AND(S1095&gt;=m_From,S1095&lt;=m_To)),1,0)</f>
        <v/>
      </c>
      <c r="Y1095" s="36">
        <f>IF(AND(OR(sel_Region="All",C1095=sel_Region),OR(sel_Country="All",D1095=sel_Country),OR(sel_Channel="All",E1095=sel_Channel),OR(sel_Customer="All",F1095=sel_Customer),OR(sel_Product="All",H1095=sel_Product),AND(S1095&gt;=m_From,S1095&lt;=m_To)),1,0)</f>
        <v/>
      </c>
      <c r="Z1095" s="36">
        <f>IF(AND(OR(sel_Region="All",C1095=sel_Region),OR(sel_Country="All",D1095=sel_Country),OR(sel_Channel="All",E1095=sel_Channel),OR(sel_Customer="All",F1095=sel_Customer),OR(sel_Category="All",G1095=sel_Category),AND(S1095&gt;=m_From,S1095&lt;=m_To)),1,0)</f>
        <v/>
      </c>
      <c r="AA1095" s="36">
        <f>IF(AND(OR(sel_Region="All",C1095=sel_Region),OR(sel_Country="All",D1095=sel_Country),OR(sel_Channel="All",E1095=sel_Channel),OR(sel_Customer="All",F1095=sel_Customer),OR(sel_Category="All",G1095=sel_Category),OR(sel_Product="All",H1095=sel_Product)),1,0)</f>
        <v/>
      </c>
    </row>
    <row r="1096">
      <c r="A1096" s="36" t="inlineStr">
        <is>
          <t>05166</t>
        </is>
      </c>
      <c r="B1096" s="44" t="n">
        <v>46186</v>
      </c>
      <c r="C1096" s="36" t="inlineStr">
        <is>
          <t>Western Europe</t>
        </is>
      </c>
      <c r="D1096" s="36" t="inlineStr">
        <is>
          <t>Netherlands</t>
        </is>
      </c>
      <c r="E1096" s="36" t="inlineStr">
        <is>
          <t>Marketplace</t>
        </is>
      </c>
      <c r="F1096" s="36" t="inlineStr">
        <is>
          <t>New</t>
        </is>
      </c>
      <c r="G1096" s="36" t="inlineStr">
        <is>
          <t>Camping</t>
        </is>
      </c>
      <c r="H1096" s="36" t="inlineStr">
        <is>
          <t>Compact Sleeping Bag</t>
        </is>
      </c>
      <c r="I1096" s="36" t="n">
        <v>3</v>
      </c>
      <c r="J1096" s="39" t="n">
        <v>125.25</v>
      </c>
      <c r="K1096" s="45" t="n">
        <v>0.05</v>
      </c>
      <c r="L1096" s="39" t="n">
        <v>58.95</v>
      </c>
      <c r="M1096" s="39">
        <f>I1096*J1096*(1-K1096)</f>
        <v/>
      </c>
      <c r="N1096" s="39">
        <f>I1096*L1096</f>
        <v/>
      </c>
      <c r="O1096" s="39">
        <f>M1096-N1096</f>
        <v/>
      </c>
      <c r="P1096" s="38">
        <f>IF(M1096=0,0,O1096/M1096)</f>
        <v/>
      </c>
      <c r="Q1096" s="36">
        <f>YEAR(B1096)</f>
        <v/>
      </c>
      <c r="R1096" s="36">
        <f>"Q"&amp;ROUNDUP(MONTH(B1096)/3,0)</f>
        <v/>
      </c>
      <c r="S1096" s="36">
        <f>MONTH(B1096)</f>
        <v/>
      </c>
      <c r="T1096" s="36">
        <f>TEXT(B1096,"mmm")</f>
        <v/>
      </c>
      <c r="U1096" s="36">
        <f>IF(AND(OR(sel_Region="All",C1096=sel_Region),OR(sel_Country="All",D1096=sel_Country),OR(sel_Channel="All",E1096=sel_Channel),OR(sel_Customer="All",F1096=sel_Customer),OR(sel_Category="All",G1096=sel_Category),OR(sel_Product="All",H1096=sel_Product),AND(S1096&gt;=m_From,S1096&lt;=m_To)),1,0)</f>
        <v/>
      </c>
      <c r="V1096" s="36">
        <f>IF(AND(OR(sel_Region="All",C1096=sel_Region),OR(sel_Channel="All",E1096=sel_Channel),OR(sel_Customer="All",F1096=sel_Customer),OR(sel_Category="All",G1096=sel_Category),OR(sel_Product="All",H1096=sel_Product),AND(S1096&gt;=m_From,S1096&lt;=m_To)),1,0)</f>
        <v/>
      </c>
      <c r="W1096" s="36">
        <f>IF(AND(OR(sel_Region="All",C1096=sel_Region),OR(sel_Country="All",D1096=sel_Country),OR(sel_Customer="All",F1096=sel_Customer),OR(sel_Category="All",G1096=sel_Category),OR(sel_Product="All",H1096=sel_Product),AND(S1096&gt;=m_From,S1096&lt;=m_To)),1,0)</f>
        <v/>
      </c>
      <c r="X1096" s="36">
        <f>IF(AND(OR(sel_Region="All",C1096=sel_Region),OR(sel_Country="All",D1096=sel_Country),OR(sel_Channel="All",E1096=sel_Channel),OR(sel_Category="All",G1096=sel_Category),OR(sel_Product="All",H1096=sel_Product),AND(S1096&gt;=m_From,S1096&lt;=m_To)),1,0)</f>
        <v/>
      </c>
      <c r="Y1096" s="36">
        <f>IF(AND(OR(sel_Region="All",C1096=sel_Region),OR(sel_Country="All",D1096=sel_Country),OR(sel_Channel="All",E1096=sel_Channel),OR(sel_Customer="All",F1096=sel_Customer),OR(sel_Product="All",H1096=sel_Product),AND(S1096&gt;=m_From,S1096&lt;=m_To)),1,0)</f>
        <v/>
      </c>
      <c r="Z1096" s="36">
        <f>IF(AND(OR(sel_Region="All",C1096=sel_Region),OR(sel_Country="All",D1096=sel_Country),OR(sel_Channel="All",E1096=sel_Channel),OR(sel_Customer="All",F1096=sel_Customer),OR(sel_Category="All",G1096=sel_Category),AND(S1096&gt;=m_From,S1096&lt;=m_To)),1,0)</f>
        <v/>
      </c>
      <c r="AA1096" s="36">
        <f>IF(AND(OR(sel_Region="All",C1096=sel_Region),OR(sel_Country="All",D1096=sel_Country),OR(sel_Channel="All",E1096=sel_Channel),OR(sel_Customer="All",F1096=sel_Customer),OR(sel_Category="All",G1096=sel_Category),OR(sel_Product="All",H1096=sel_Product)),1,0)</f>
        <v/>
      </c>
    </row>
    <row r="1097">
      <c r="A1097" s="36" t="inlineStr">
        <is>
          <t>00486</t>
        </is>
      </c>
      <c r="B1097" s="44" t="n">
        <v>46187</v>
      </c>
      <c r="C1097" s="36" t="inlineStr">
        <is>
          <t>Southern Europe</t>
        </is>
      </c>
      <c r="D1097" s="36" t="inlineStr">
        <is>
          <t>Portugal</t>
        </is>
      </c>
      <c r="E1097" s="36" t="inlineStr">
        <is>
          <t>Corporate</t>
        </is>
      </c>
      <c r="F1097" s="36" t="inlineStr">
        <is>
          <t>Business</t>
        </is>
      </c>
      <c r="G1097" s="36" t="inlineStr">
        <is>
          <t>Hiking</t>
        </is>
      </c>
      <c r="H1097" s="36" t="inlineStr">
        <is>
          <t>Trekking Poles</t>
        </is>
      </c>
      <c r="I1097" s="36" t="n">
        <v>8</v>
      </c>
      <c r="J1097" s="39" t="n">
        <v>72.36</v>
      </c>
      <c r="K1097" s="45" t="n">
        <v>0.1</v>
      </c>
      <c r="L1097" s="39" t="n">
        <v>32.23</v>
      </c>
      <c r="M1097" s="39">
        <f>I1097*J1097*(1-K1097)</f>
        <v/>
      </c>
      <c r="N1097" s="39">
        <f>I1097*L1097</f>
        <v/>
      </c>
      <c r="O1097" s="39">
        <f>M1097-N1097</f>
        <v/>
      </c>
      <c r="P1097" s="38">
        <f>IF(M1097=0,0,O1097/M1097)</f>
        <v/>
      </c>
      <c r="Q1097" s="36">
        <f>YEAR(B1097)</f>
        <v/>
      </c>
      <c r="R1097" s="36">
        <f>"Q"&amp;ROUNDUP(MONTH(B1097)/3,0)</f>
        <v/>
      </c>
      <c r="S1097" s="36">
        <f>MONTH(B1097)</f>
        <v/>
      </c>
      <c r="T1097" s="36">
        <f>TEXT(B1097,"mmm")</f>
        <v/>
      </c>
      <c r="U1097" s="36">
        <f>IF(AND(OR(sel_Region="All",C1097=sel_Region),OR(sel_Country="All",D1097=sel_Country),OR(sel_Channel="All",E1097=sel_Channel),OR(sel_Customer="All",F1097=sel_Customer),OR(sel_Category="All",G1097=sel_Category),OR(sel_Product="All",H1097=sel_Product),AND(S1097&gt;=m_From,S1097&lt;=m_To)),1,0)</f>
        <v/>
      </c>
      <c r="V1097" s="36">
        <f>IF(AND(OR(sel_Region="All",C1097=sel_Region),OR(sel_Channel="All",E1097=sel_Channel),OR(sel_Customer="All",F1097=sel_Customer),OR(sel_Category="All",G1097=sel_Category),OR(sel_Product="All",H1097=sel_Product),AND(S1097&gt;=m_From,S1097&lt;=m_To)),1,0)</f>
        <v/>
      </c>
      <c r="W1097" s="36">
        <f>IF(AND(OR(sel_Region="All",C1097=sel_Region),OR(sel_Country="All",D1097=sel_Country),OR(sel_Customer="All",F1097=sel_Customer),OR(sel_Category="All",G1097=sel_Category),OR(sel_Product="All",H1097=sel_Product),AND(S1097&gt;=m_From,S1097&lt;=m_To)),1,0)</f>
        <v/>
      </c>
      <c r="X1097" s="36">
        <f>IF(AND(OR(sel_Region="All",C1097=sel_Region),OR(sel_Country="All",D1097=sel_Country),OR(sel_Channel="All",E1097=sel_Channel),OR(sel_Category="All",G1097=sel_Category),OR(sel_Product="All",H1097=sel_Product),AND(S1097&gt;=m_From,S1097&lt;=m_To)),1,0)</f>
        <v/>
      </c>
      <c r="Y1097" s="36">
        <f>IF(AND(OR(sel_Region="All",C1097=sel_Region),OR(sel_Country="All",D1097=sel_Country),OR(sel_Channel="All",E1097=sel_Channel),OR(sel_Customer="All",F1097=sel_Customer),OR(sel_Product="All",H1097=sel_Product),AND(S1097&gt;=m_From,S1097&lt;=m_To)),1,0)</f>
        <v/>
      </c>
      <c r="Z1097" s="36">
        <f>IF(AND(OR(sel_Region="All",C1097=sel_Region),OR(sel_Country="All",D1097=sel_Country),OR(sel_Channel="All",E1097=sel_Channel),OR(sel_Customer="All",F1097=sel_Customer),OR(sel_Category="All",G1097=sel_Category),AND(S1097&gt;=m_From,S1097&lt;=m_To)),1,0)</f>
        <v/>
      </c>
      <c r="AA1097" s="36">
        <f>IF(AND(OR(sel_Region="All",C1097=sel_Region),OR(sel_Country="All",D1097=sel_Country),OR(sel_Channel="All",E1097=sel_Channel),OR(sel_Customer="All",F1097=sel_Customer),OR(sel_Category="All",G1097=sel_Category),OR(sel_Product="All",H1097=sel_Product)),1,0)</f>
        <v/>
      </c>
    </row>
    <row r="1098">
      <c r="A1098" s="36" t="inlineStr">
        <is>
          <t>01507</t>
        </is>
      </c>
      <c r="B1098" s="44" t="n">
        <v>46187</v>
      </c>
      <c r="C1098" s="36" t="inlineStr">
        <is>
          <t>Southern Europe</t>
        </is>
      </c>
      <c r="D1098" s="36" t="inlineStr">
        <is>
          <t>Italy</t>
        </is>
      </c>
      <c r="E1098" s="36" t="inlineStr">
        <is>
          <t>Retail Partners</t>
        </is>
      </c>
      <c r="F1098" s="36" t="inlineStr">
        <is>
          <t>Returning</t>
        </is>
      </c>
      <c r="G1098" s="36" t="inlineStr">
        <is>
          <t>Travel</t>
        </is>
      </c>
      <c r="H1098" s="36" t="inlineStr">
        <is>
          <t>Travel Backpack 35L</t>
        </is>
      </c>
      <c r="I1098" s="36" t="n">
        <v>1</v>
      </c>
      <c r="J1098" s="39" t="n">
        <v>162.51</v>
      </c>
      <c r="K1098" s="45" t="n">
        <v>0</v>
      </c>
      <c r="L1098" s="39" t="n">
        <v>88.29000000000001</v>
      </c>
      <c r="M1098" s="39">
        <f>I1098*J1098*(1-K1098)</f>
        <v/>
      </c>
      <c r="N1098" s="39">
        <f>I1098*L1098</f>
        <v/>
      </c>
      <c r="O1098" s="39">
        <f>M1098-N1098</f>
        <v/>
      </c>
      <c r="P1098" s="38">
        <f>IF(M1098=0,0,O1098/M1098)</f>
        <v/>
      </c>
      <c r="Q1098" s="36">
        <f>YEAR(B1098)</f>
        <v/>
      </c>
      <c r="R1098" s="36">
        <f>"Q"&amp;ROUNDUP(MONTH(B1098)/3,0)</f>
        <v/>
      </c>
      <c r="S1098" s="36">
        <f>MONTH(B1098)</f>
        <v/>
      </c>
      <c r="T1098" s="36">
        <f>TEXT(B1098,"mmm")</f>
        <v/>
      </c>
      <c r="U1098" s="36">
        <f>IF(AND(OR(sel_Region="All",C1098=sel_Region),OR(sel_Country="All",D1098=sel_Country),OR(sel_Channel="All",E1098=sel_Channel),OR(sel_Customer="All",F1098=sel_Customer),OR(sel_Category="All",G1098=sel_Category),OR(sel_Product="All",H1098=sel_Product),AND(S1098&gt;=m_From,S1098&lt;=m_To)),1,0)</f>
        <v/>
      </c>
      <c r="V1098" s="36">
        <f>IF(AND(OR(sel_Region="All",C1098=sel_Region),OR(sel_Channel="All",E1098=sel_Channel),OR(sel_Customer="All",F1098=sel_Customer),OR(sel_Category="All",G1098=sel_Category),OR(sel_Product="All",H1098=sel_Product),AND(S1098&gt;=m_From,S1098&lt;=m_To)),1,0)</f>
        <v/>
      </c>
      <c r="W1098" s="36">
        <f>IF(AND(OR(sel_Region="All",C1098=sel_Region),OR(sel_Country="All",D1098=sel_Country),OR(sel_Customer="All",F1098=sel_Customer),OR(sel_Category="All",G1098=sel_Category),OR(sel_Product="All",H1098=sel_Product),AND(S1098&gt;=m_From,S1098&lt;=m_To)),1,0)</f>
        <v/>
      </c>
      <c r="X1098" s="36">
        <f>IF(AND(OR(sel_Region="All",C1098=sel_Region),OR(sel_Country="All",D1098=sel_Country),OR(sel_Channel="All",E1098=sel_Channel),OR(sel_Category="All",G1098=sel_Category),OR(sel_Product="All",H1098=sel_Product),AND(S1098&gt;=m_From,S1098&lt;=m_To)),1,0)</f>
        <v/>
      </c>
      <c r="Y1098" s="36">
        <f>IF(AND(OR(sel_Region="All",C1098=sel_Region),OR(sel_Country="All",D1098=sel_Country),OR(sel_Channel="All",E1098=sel_Channel),OR(sel_Customer="All",F1098=sel_Customer),OR(sel_Product="All",H1098=sel_Product),AND(S1098&gt;=m_From,S1098&lt;=m_To)),1,0)</f>
        <v/>
      </c>
      <c r="Z1098" s="36">
        <f>IF(AND(OR(sel_Region="All",C1098=sel_Region),OR(sel_Country="All",D1098=sel_Country),OR(sel_Channel="All",E1098=sel_Channel),OR(sel_Customer="All",F1098=sel_Customer),OR(sel_Category="All",G1098=sel_Category),AND(S1098&gt;=m_From,S1098&lt;=m_To)),1,0)</f>
        <v/>
      </c>
      <c r="AA1098" s="36">
        <f>IF(AND(OR(sel_Region="All",C1098=sel_Region),OR(sel_Country="All",D1098=sel_Country),OR(sel_Channel="All",E1098=sel_Channel),OR(sel_Customer="All",F1098=sel_Customer),OR(sel_Category="All",G1098=sel_Category),OR(sel_Product="All",H1098=sel_Product)),1,0)</f>
        <v/>
      </c>
    </row>
    <row r="1099">
      <c r="A1099" s="36" t="inlineStr">
        <is>
          <t>01821</t>
        </is>
      </c>
      <c r="B1099" s="44" t="n">
        <v>46187</v>
      </c>
      <c r="C1099" s="36" t="inlineStr">
        <is>
          <t>Southern Europe</t>
        </is>
      </c>
      <c r="D1099" s="36" t="inlineStr">
        <is>
          <t>Italy</t>
        </is>
      </c>
      <c r="E1099" s="36" t="inlineStr">
        <is>
          <t>Retail Partners</t>
        </is>
      </c>
      <c r="F1099" s="36" t="inlineStr">
        <is>
          <t>Business</t>
        </is>
      </c>
      <c r="G1099" s="36" t="inlineStr">
        <is>
          <t>Hiking</t>
        </is>
      </c>
      <c r="H1099" s="36" t="inlineStr">
        <is>
          <t>Trekking Poles</t>
        </is>
      </c>
      <c r="I1099" s="36" t="n">
        <v>3</v>
      </c>
      <c r="J1099" s="39" t="n">
        <v>70.52</v>
      </c>
      <c r="K1099" s="45" t="n">
        <v>0</v>
      </c>
      <c r="L1099" s="39" t="n">
        <v>33.12</v>
      </c>
      <c r="M1099" s="39">
        <f>I1099*J1099*(1-K1099)</f>
        <v/>
      </c>
      <c r="N1099" s="39">
        <f>I1099*L1099</f>
        <v/>
      </c>
      <c r="O1099" s="39">
        <f>M1099-N1099</f>
        <v/>
      </c>
      <c r="P1099" s="38">
        <f>IF(M1099=0,0,O1099/M1099)</f>
        <v/>
      </c>
      <c r="Q1099" s="36">
        <f>YEAR(B1099)</f>
        <v/>
      </c>
      <c r="R1099" s="36">
        <f>"Q"&amp;ROUNDUP(MONTH(B1099)/3,0)</f>
        <v/>
      </c>
      <c r="S1099" s="36">
        <f>MONTH(B1099)</f>
        <v/>
      </c>
      <c r="T1099" s="36">
        <f>TEXT(B1099,"mmm")</f>
        <v/>
      </c>
      <c r="U1099" s="36">
        <f>IF(AND(OR(sel_Region="All",C1099=sel_Region),OR(sel_Country="All",D1099=sel_Country),OR(sel_Channel="All",E1099=sel_Channel),OR(sel_Customer="All",F1099=sel_Customer),OR(sel_Category="All",G1099=sel_Category),OR(sel_Product="All",H1099=sel_Product),AND(S1099&gt;=m_From,S1099&lt;=m_To)),1,0)</f>
        <v/>
      </c>
      <c r="V1099" s="36">
        <f>IF(AND(OR(sel_Region="All",C1099=sel_Region),OR(sel_Channel="All",E1099=sel_Channel),OR(sel_Customer="All",F1099=sel_Customer),OR(sel_Category="All",G1099=sel_Category),OR(sel_Product="All",H1099=sel_Product),AND(S1099&gt;=m_From,S1099&lt;=m_To)),1,0)</f>
        <v/>
      </c>
      <c r="W1099" s="36">
        <f>IF(AND(OR(sel_Region="All",C1099=sel_Region),OR(sel_Country="All",D1099=sel_Country),OR(sel_Customer="All",F1099=sel_Customer),OR(sel_Category="All",G1099=sel_Category),OR(sel_Product="All",H1099=sel_Product),AND(S1099&gt;=m_From,S1099&lt;=m_To)),1,0)</f>
        <v/>
      </c>
      <c r="X1099" s="36">
        <f>IF(AND(OR(sel_Region="All",C1099=sel_Region),OR(sel_Country="All",D1099=sel_Country),OR(sel_Channel="All",E1099=sel_Channel),OR(sel_Category="All",G1099=sel_Category),OR(sel_Product="All",H1099=sel_Product),AND(S1099&gt;=m_From,S1099&lt;=m_To)),1,0)</f>
        <v/>
      </c>
      <c r="Y1099" s="36">
        <f>IF(AND(OR(sel_Region="All",C1099=sel_Region),OR(sel_Country="All",D1099=sel_Country),OR(sel_Channel="All",E1099=sel_Channel),OR(sel_Customer="All",F1099=sel_Customer),OR(sel_Product="All",H1099=sel_Product),AND(S1099&gt;=m_From,S1099&lt;=m_To)),1,0)</f>
        <v/>
      </c>
      <c r="Z1099" s="36">
        <f>IF(AND(OR(sel_Region="All",C1099=sel_Region),OR(sel_Country="All",D1099=sel_Country),OR(sel_Channel="All",E1099=sel_Channel),OR(sel_Customer="All",F1099=sel_Customer),OR(sel_Category="All",G1099=sel_Category),AND(S1099&gt;=m_From,S1099&lt;=m_To)),1,0)</f>
        <v/>
      </c>
      <c r="AA1099" s="36">
        <f>IF(AND(OR(sel_Region="All",C1099=sel_Region),OR(sel_Country="All",D1099=sel_Country),OR(sel_Channel="All",E1099=sel_Channel),OR(sel_Customer="All",F1099=sel_Customer),OR(sel_Category="All",G1099=sel_Category),OR(sel_Product="All",H1099=sel_Product)),1,0)</f>
        <v/>
      </c>
    </row>
    <row r="1100">
      <c r="A1100" s="36" t="inlineStr">
        <is>
          <t>02588</t>
        </is>
      </c>
      <c r="B1100" s="44" t="n">
        <v>46187</v>
      </c>
      <c r="C1100" s="36" t="inlineStr">
        <is>
          <t>Western Europe</t>
        </is>
      </c>
      <c r="D1100" s="36" t="inlineStr">
        <is>
          <t>United Kingdom</t>
        </is>
      </c>
      <c r="E1100" s="36" t="inlineStr">
        <is>
          <t>Marketplace</t>
        </is>
      </c>
      <c r="F1100" s="36" t="inlineStr">
        <is>
          <t>Returning</t>
        </is>
      </c>
      <c r="G1100" s="36" t="inlineStr">
        <is>
          <t>Hiking</t>
        </is>
      </c>
      <c r="H1100" s="36" t="inlineStr">
        <is>
          <t>Hiking Daypack 20L</t>
        </is>
      </c>
      <c r="I1100" s="36" t="n">
        <v>1</v>
      </c>
      <c r="J1100" s="39" t="n">
        <v>90.28</v>
      </c>
      <c r="K1100" s="45" t="n">
        <v>0</v>
      </c>
      <c r="L1100" s="39" t="n">
        <v>46.04</v>
      </c>
      <c r="M1100" s="39">
        <f>I1100*J1100*(1-K1100)</f>
        <v/>
      </c>
      <c r="N1100" s="39">
        <f>I1100*L1100</f>
        <v/>
      </c>
      <c r="O1100" s="39">
        <f>M1100-N1100</f>
        <v/>
      </c>
      <c r="P1100" s="38">
        <f>IF(M1100=0,0,O1100/M1100)</f>
        <v/>
      </c>
      <c r="Q1100" s="36">
        <f>YEAR(B1100)</f>
        <v/>
      </c>
      <c r="R1100" s="36">
        <f>"Q"&amp;ROUNDUP(MONTH(B1100)/3,0)</f>
        <v/>
      </c>
      <c r="S1100" s="36">
        <f>MONTH(B1100)</f>
        <v/>
      </c>
      <c r="T1100" s="36">
        <f>TEXT(B1100,"mmm")</f>
        <v/>
      </c>
      <c r="U1100" s="36">
        <f>IF(AND(OR(sel_Region="All",C1100=sel_Region),OR(sel_Country="All",D1100=sel_Country),OR(sel_Channel="All",E1100=sel_Channel),OR(sel_Customer="All",F1100=sel_Customer),OR(sel_Category="All",G1100=sel_Category),OR(sel_Product="All",H1100=sel_Product),AND(S1100&gt;=m_From,S1100&lt;=m_To)),1,0)</f>
        <v/>
      </c>
      <c r="V1100" s="36">
        <f>IF(AND(OR(sel_Region="All",C1100=sel_Region),OR(sel_Channel="All",E1100=sel_Channel),OR(sel_Customer="All",F1100=sel_Customer),OR(sel_Category="All",G1100=sel_Category),OR(sel_Product="All",H1100=sel_Product),AND(S1100&gt;=m_From,S1100&lt;=m_To)),1,0)</f>
        <v/>
      </c>
      <c r="W1100" s="36">
        <f>IF(AND(OR(sel_Region="All",C1100=sel_Region),OR(sel_Country="All",D1100=sel_Country),OR(sel_Customer="All",F1100=sel_Customer),OR(sel_Category="All",G1100=sel_Category),OR(sel_Product="All",H1100=sel_Product),AND(S1100&gt;=m_From,S1100&lt;=m_To)),1,0)</f>
        <v/>
      </c>
      <c r="X1100" s="36">
        <f>IF(AND(OR(sel_Region="All",C1100=sel_Region),OR(sel_Country="All",D1100=sel_Country),OR(sel_Channel="All",E1100=sel_Channel),OR(sel_Category="All",G1100=sel_Category),OR(sel_Product="All",H1100=sel_Product),AND(S1100&gt;=m_From,S1100&lt;=m_To)),1,0)</f>
        <v/>
      </c>
      <c r="Y1100" s="36">
        <f>IF(AND(OR(sel_Region="All",C1100=sel_Region),OR(sel_Country="All",D1100=sel_Country),OR(sel_Channel="All",E1100=sel_Channel),OR(sel_Customer="All",F1100=sel_Customer),OR(sel_Product="All",H1100=sel_Product),AND(S1100&gt;=m_From,S1100&lt;=m_To)),1,0)</f>
        <v/>
      </c>
      <c r="Z1100" s="36">
        <f>IF(AND(OR(sel_Region="All",C1100=sel_Region),OR(sel_Country="All",D1100=sel_Country),OR(sel_Channel="All",E1100=sel_Channel),OR(sel_Customer="All",F1100=sel_Customer),OR(sel_Category="All",G1100=sel_Category),AND(S1100&gt;=m_From,S1100&lt;=m_To)),1,0)</f>
        <v/>
      </c>
      <c r="AA1100" s="36">
        <f>IF(AND(OR(sel_Region="All",C1100=sel_Region),OR(sel_Country="All",D1100=sel_Country),OR(sel_Channel="All",E1100=sel_Channel),OR(sel_Customer="All",F1100=sel_Customer),OR(sel_Category="All",G1100=sel_Category),OR(sel_Product="All",H1100=sel_Product)),1,0)</f>
        <v/>
      </c>
    </row>
    <row r="1101">
      <c r="A1101" s="36" t="inlineStr">
        <is>
          <t>02815</t>
        </is>
      </c>
      <c r="B1101" s="44" t="n">
        <v>46187</v>
      </c>
      <c r="C1101" s="36" t="inlineStr">
        <is>
          <t>Western Europe</t>
        </is>
      </c>
      <c r="D1101" s="36" t="inlineStr">
        <is>
          <t>France</t>
        </is>
      </c>
      <c r="E1101" s="36" t="inlineStr">
        <is>
          <t>Marketplace</t>
        </is>
      </c>
      <c r="F1101" s="36" t="inlineStr">
        <is>
          <t>New</t>
        </is>
      </c>
      <c r="G1101" s="36" t="inlineStr">
        <is>
          <t>Camping</t>
        </is>
      </c>
      <c r="H1101" s="36" t="inlineStr">
        <is>
          <t>Alpine Tent 4P</t>
        </is>
      </c>
      <c r="I1101" s="36" t="n">
        <v>2</v>
      </c>
      <c r="J1101" s="39" t="n">
        <v>342.25</v>
      </c>
      <c r="K1101" s="45" t="n">
        <v>0</v>
      </c>
      <c r="L1101" s="39" t="n">
        <v>196.86</v>
      </c>
      <c r="M1101" s="39">
        <f>I1101*J1101*(1-K1101)</f>
        <v/>
      </c>
      <c r="N1101" s="39">
        <f>I1101*L1101</f>
        <v/>
      </c>
      <c r="O1101" s="39">
        <f>M1101-N1101</f>
        <v/>
      </c>
      <c r="P1101" s="38">
        <f>IF(M1101=0,0,O1101/M1101)</f>
        <v/>
      </c>
      <c r="Q1101" s="36">
        <f>YEAR(B1101)</f>
        <v/>
      </c>
      <c r="R1101" s="36">
        <f>"Q"&amp;ROUNDUP(MONTH(B1101)/3,0)</f>
        <v/>
      </c>
      <c r="S1101" s="36">
        <f>MONTH(B1101)</f>
        <v/>
      </c>
      <c r="T1101" s="36">
        <f>TEXT(B1101,"mmm")</f>
        <v/>
      </c>
      <c r="U1101" s="36">
        <f>IF(AND(OR(sel_Region="All",C1101=sel_Region),OR(sel_Country="All",D1101=sel_Country),OR(sel_Channel="All",E1101=sel_Channel),OR(sel_Customer="All",F1101=sel_Customer),OR(sel_Category="All",G1101=sel_Category),OR(sel_Product="All",H1101=sel_Product),AND(S1101&gt;=m_From,S1101&lt;=m_To)),1,0)</f>
        <v/>
      </c>
      <c r="V1101" s="36">
        <f>IF(AND(OR(sel_Region="All",C1101=sel_Region),OR(sel_Channel="All",E1101=sel_Channel),OR(sel_Customer="All",F1101=sel_Customer),OR(sel_Category="All",G1101=sel_Category),OR(sel_Product="All",H1101=sel_Product),AND(S1101&gt;=m_From,S1101&lt;=m_To)),1,0)</f>
        <v/>
      </c>
      <c r="W1101" s="36">
        <f>IF(AND(OR(sel_Region="All",C1101=sel_Region),OR(sel_Country="All",D1101=sel_Country),OR(sel_Customer="All",F1101=sel_Customer),OR(sel_Category="All",G1101=sel_Category),OR(sel_Product="All",H1101=sel_Product),AND(S1101&gt;=m_From,S1101&lt;=m_To)),1,0)</f>
        <v/>
      </c>
      <c r="X1101" s="36">
        <f>IF(AND(OR(sel_Region="All",C1101=sel_Region),OR(sel_Country="All",D1101=sel_Country),OR(sel_Channel="All",E1101=sel_Channel),OR(sel_Category="All",G1101=sel_Category),OR(sel_Product="All",H1101=sel_Product),AND(S1101&gt;=m_From,S1101&lt;=m_To)),1,0)</f>
        <v/>
      </c>
      <c r="Y1101" s="36">
        <f>IF(AND(OR(sel_Region="All",C1101=sel_Region),OR(sel_Country="All",D1101=sel_Country),OR(sel_Channel="All",E1101=sel_Channel),OR(sel_Customer="All",F1101=sel_Customer),OR(sel_Product="All",H1101=sel_Product),AND(S1101&gt;=m_From,S1101&lt;=m_To)),1,0)</f>
        <v/>
      </c>
      <c r="Z1101" s="36">
        <f>IF(AND(OR(sel_Region="All",C1101=sel_Region),OR(sel_Country="All",D1101=sel_Country),OR(sel_Channel="All",E1101=sel_Channel),OR(sel_Customer="All",F1101=sel_Customer),OR(sel_Category="All",G1101=sel_Category),AND(S1101&gt;=m_From,S1101&lt;=m_To)),1,0)</f>
        <v/>
      </c>
      <c r="AA1101" s="36">
        <f>IF(AND(OR(sel_Region="All",C1101=sel_Region),OR(sel_Country="All",D1101=sel_Country),OR(sel_Channel="All",E1101=sel_Channel),OR(sel_Customer="All",F1101=sel_Customer),OR(sel_Category="All",G1101=sel_Category),OR(sel_Product="All",H1101=sel_Product)),1,0)</f>
        <v/>
      </c>
    </row>
    <row r="1102">
      <c r="A1102" s="36" t="inlineStr">
        <is>
          <t>03258</t>
        </is>
      </c>
      <c r="B1102" s="44" t="n">
        <v>46187</v>
      </c>
      <c r="C1102" s="36" t="inlineStr">
        <is>
          <t>Central Europe</t>
        </is>
      </c>
      <c r="D1102" s="36" t="inlineStr">
        <is>
          <t>Czechia</t>
        </is>
      </c>
      <c r="E1102" s="36" t="inlineStr">
        <is>
          <t>Online Store</t>
        </is>
      </c>
      <c r="F1102" s="36" t="inlineStr">
        <is>
          <t>Business</t>
        </is>
      </c>
      <c r="G1102" s="36" t="inlineStr">
        <is>
          <t>Cycling</t>
        </is>
      </c>
      <c r="H1102" s="36" t="inlineStr">
        <is>
          <t>Trail Bike Light</t>
        </is>
      </c>
      <c r="I1102" s="36" t="n">
        <v>6</v>
      </c>
      <c r="J1102" s="39" t="n">
        <v>50.92</v>
      </c>
      <c r="K1102" s="45" t="n">
        <v>0.05</v>
      </c>
      <c r="L1102" s="39" t="n">
        <v>22.87</v>
      </c>
      <c r="M1102" s="39">
        <f>I1102*J1102*(1-K1102)</f>
        <v/>
      </c>
      <c r="N1102" s="39">
        <f>I1102*L1102</f>
        <v/>
      </c>
      <c r="O1102" s="39">
        <f>M1102-N1102</f>
        <v/>
      </c>
      <c r="P1102" s="38">
        <f>IF(M1102=0,0,O1102/M1102)</f>
        <v/>
      </c>
      <c r="Q1102" s="36">
        <f>YEAR(B1102)</f>
        <v/>
      </c>
      <c r="R1102" s="36">
        <f>"Q"&amp;ROUNDUP(MONTH(B1102)/3,0)</f>
        <v/>
      </c>
      <c r="S1102" s="36">
        <f>MONTH(B1102)</f>
        <v/>
      </c>
      <c r="T1102" s="36">
        <f>TEXT(B1102,"mmm")</f>
        <v/>
      </c>
      <c r="U1102" s="36">
        <f>IF(AND(OR(sel_Region="All",C1102=sel_Region),OR(sel_Country="All",D1102=sel_Country),OR(sel_Channel="All",E1102=sel_Channel),OR(sel_Customer="All",F1102=sel_Customer),OR(sel_Category="All",G1102=sel_Category),OR(sel_Product="All",H1102=sel_Product),AND(S1102&gt;=m_From,S1102&lt;=m_To)),1,0)</f>
        <v/>
      </c>
      <c r="V1102" s="36">
        <f>IF(AND(OR(sel_Region="All",C1102=sel_Region),OR(sel_Channel="All",E1102=sel_Channel),OR(sel_Customer="All",F1102=sel_Customer),OR(sel_Category="All",G1102=sel_Category),OR(sel_Product="All",H1102=sel_Product),AND(S1102&gt;=m_From,S1102&lt;=m_To)),1,0)</f>
        <v/>
      </c>
      <c r="W1102" s="36">
        <f>IF(AND(OR(sel_Region="All",C1102=sel_Region),OR(sel_Country="All",D1102=sel_Country),OR(sel_Customer="All",F1102=sel_Customer),OR(sel_Category="All",G1102=sel_Category),OR(sel_Product="All",H1102=sel_Product),AND(S1102&gt;=m_From,S1102&lt;=m_To)),1,0)</f>
        <v/>
      </c>
      <c r="X1102" s="36">
        <f>IF(AND(OR(sel_Region="All",C1102=sel_Region),OR(sel_Country="All",D1102=sel_Country),OR(sel_Channel="All",E1102=sel_Channel),OR(sel_Category="All",G1102=sel_Category),OR(sel_Product="All",H1102=sel_Product),AND(S1102&gt;=m_From,S1102&lt;=m_To)),1,0)</f>
        <v/>
      </c>
      <c r="Y1102" s="36">
        <f>IF(AND(OR(sel_Region="All",C1102=sel_Region),OR(sel_Country="All",D1102=sel_Country),OR(sel_Channel="All",E1102=sel_Channel),OR(sel_Customer="All",F1102=sel_Customer),OR(sel_Product="All",H1102=sel_Product),AND(S1102&gt;=m_From,S1102&lt;=m_To)),1,0)</f>
        <v/>
      </c>
      <c r="Z1102" s="36">
        <f>IF(AND(OR(sel_Region="All",C1102=sel_Region),OR(sel_Country="All",D1102=sel_Country),OR(sel_Channel="All",E1102=sel_Channel),OR(sel_Customer="All",F1102=sel_Customer),OR(sel_Category="All",G1102=sel_Category),AND(S1102&gt;=m_From,S1102&lt;=m_To)),1,0)</f>
        <v/>
      </c>
      <c r="AA1102" s="36">
        <f>IF(AND(OR(sel_Region="All",C1102=sel_Region),OR(sel_Country="All",D1102=sel_Country),OR(sel_Channel="All",E1102=sel_Channel),OR(sel_Customer="All",F1102=sel_Customer),OR(sel_Category="All",G1102=sel_Category),OR(sel_Product="All",H1102=sel_Product)),1,0)</f>
        <v/>
      </c>
    </row>
    <row r="1103">
      <c r="A1103" s="36" t="inlineStr">
        <is>
          <t>03361</t>
        </is>
      </c>
      <c r="B1103" s="44" t="n">
        <v>46187</v>
      </c>
      <c r="C1103" s="36" t="inlineStr">
        <is>
          <t>Southern Europe</t>
        </is>
      </c>
      <c r="D1103" s="36" t="inlineStr">
        <is>
          <t>Spain</t>
        </is>
      </c>
      <c r="E1103" s="36" t="inlineStr">
        <is>
          <t>Retail Partners</t>
        </is>
      </c>
      <c r="F1103" s="36" t="inlineStr">
        <is>
          <t>Returning</t>
        </is>
      </c>
      <c r="G1103" s="36" t="inlineStr">
        <is>
          <t>Travel</t>
        </is>
      </c>
      <c r="H1103" s="36" t="inlineStr">
        <is>
          <t>Insulated Bottle</t>
        </is>
      </c>
      <c r="I1103" s="36" t="n">
        <v>5</v>
      </c>
      <c r="J1103" s="39" t="n">
        <v>36.72</v>
      </c>
      <c r="K1103" s="45" t="n">
        <v>0.15</v>
      </c>
      <c r="L1103" s="39" t="n">
        <v>13.2</v>
      </c>
      <c r="M1103" s="39">
        <f>I1103*J1103*(1-K1103)</f>
        <v/>
      </c>
      <c r="N1103" s="39">
        <f>I1103*L1103</f>
        <v/>
      </c>
      <c r="O1103" s="39">
        <f>M1103-N1103</f>
        <v/>
      </c>
      <c r="P1103" s="38">
        <f>IF(M1103=0,0,O1103/M1103)</f>
        <v/>
      </c>
      <c r="Q1103" s="36">
        <f>YEAR(B1103)</f>
        <v/>
      </c>
      <c r="R1103" s="36">
        <f>"Q"&amp;ROUNDUP(MONTH(B1103)/3,0)</f>
        <v/>
      </c>
      <c r="S1103" s="36">
        <f>MONTH(B1103)</f>
        <v/>
      </c>
      <c r="T1103" s="36">
        <f>TEXT(B1103,"mmm")</f>
        <v/>
      </c>
      <c r="U1103" s="36">
        <f>IF(AND(OR(sel_Region="All",C1103=sel_Region),OR(sel_Country="All",D1103=sel_Country),OR(sel_Channel="All",E1103=sel_Channel),OR(sel_Customer="All",F1103=sel_Customer),OR(sel_Category="All",G1103=sel_Category),OR(sel_Product="All",H1103=sel_Product),AND(S1103&gt;=m_From,S1103&lt;=m_To)),1,0)</f>
        <v/>
      </c>
      <c r="V1103" s="36">
        <f>IF(AND(OR(sel_Region="All",C1103=sel_Region),OR(sel_Channel="All",E1103=sel_Channel),OR(sel_Customer="All",F1103=sel_Customer),OR(sel_Category="All",G1103=sel_Category),OR(sel_Product="All",H1103=sel_Product),AND(S1103&gt;=m_From,S1103&lt;=m_To)),1,0)</f>
        <v/>
      </c>
      <c r="W1103" s="36">
        <f>IF(AND(OR(sel_Region="All",C1103=sel_Region),OR(sel_Country="All",D1103=sel_Country),OR(sel_Customer="All",F1103=sel_Customer),OR(sel_Category="All",G1103=sel_Category),OR(sel_Product="All",H1103=sel_Product),AND(S1103&gt;=m_From,S1103&lt;=m_To)),1,0)</f>
        <v/>
      </c>
      <c r="X1103" s="36">
        <f>IF(AND(OR(sel_Region="All",C1103=sel_Region),OR(sel_Country="All",D1103=sel_Country),OR(sel_Channel="All",E1103=sel_Channel),OR(sel_Category="All",G1103=sel_Category),OR(sel_Product="All",H1103=sel_Product),AND(S1103&gt;=m_From,S1103&lt;=m_To)),1,0)</f>
        <v/>
      </c>
      <c r="Y1103" s="36">
        <f>IF(AND(OR(sel_Region="All",C1103=sel_Region),OR(sel_Country="All",D1103=sel_Country),OR(sel_Channel="All",E1103=sel_Channel),OR(sel_Customer="All",F1103=sel_Customer),OR(sel_Product="All",H1103=sel_Product),AND(S1103&gt;=m_From,S1103&lt;=m_To)),1,0)</f>
        <v/>
      </c>
      <c r="Z1103" s="36">
        <f>IF(AND(OR(sel_Region="All",C1103=sel_Region),OR(sel_Country="All",D1103=sel_Country),OR(sel_Channel="All",E1103=sel_Channel),OR(sel_Customer="All",F1103=sel_Customer),OR(sel_Category="All",G1103=sel_Category),AND(S1103&gt;=m_From,S1103&lt;=m_To)),1,0)</f>
        <v/>
      </c>
      <c r="AA1103" s="36">
        <f>IF(AND(OR(sel_Region="All",C1103=sel_Region),OR(sel_Country="All",D1103=sel_Country),OR(sel_Channel="All",E1103=sel_Channel),OR(sel_Customer="All",F1103=sel_Customer),OR(sel_Category="All",G1103=sel_Category),OR(sel_Product="All",H1103=sel_Product)),1,0)</f>
        <v/>
      </c>
    </row>
    <row r="1104">
      <c r="A1104" s="36" t="inlineStr">
        <is>
          <t>03629</t>
        </is>
      </c>
      <c r="B1104" s="44" t="n">
        <v>46187</v>
      </c>
      <c r="C1104" s="36" t="inlineStr">
        <is>
          <t>Southern Europe</t>
        </is>
      </c>
      <c r="D1104" s="36" t="inlineStr">
        <is>
          <t>Italy</t>
        </is>
      </c>
      <c r="E1104" s="36" t="inlineStr">
        <is>
          <t>Online Store</t>
        </is>
      </c>
      <c r="F1104" s="36" t="inlineStr">
        <is>
          <t>New</t>
        </is>
      </c>
      <c r="G1104" s="36" t="inlineStr">
        <is>
          <t>Camping</t>
        </is>
      </c>
      <c r="H1104" s="36" t="inlineStr">
        <is>
          <t>Alpine Tent 4P</t>
        </is>
      </c>
      <c r="I1104" s="36" t="n">
        <v>4</v>
      </c>
      <c r="J1104" s="39" t="n">
        <v>348.96</v>
      </c>
      <c r="K1104" s="45" t="n">
        <v>0.15</v>
      </c>
      <c r="L1104" s="39" t="n">
        <v>197.02</v>
      </c>
      <c r="M1104" s="39">
        <f>I1104*J1104*(1-K1104)</f>
        <v/>
      </c>
      <c r="N1104" s="39">
        <f>I1104*L1104</f>
        <v/>
      </c>
      <c r="O1104" s="39">
        <f>M1104-N1104</f>
        <v/>
      </c>
      <c r="P1104" s="38">
        <f>IF(M1104=0,0,O1104/M1104)</f>
        <v/>
      </c>
      <c r="Q1104" s="36">
        <f>YEAR(B1104)</f>
        <v/>
      </c>
      <c r="R1104" s="36">
        <f>"Q"&amp;ROUNDUP(MONTH(B1104)/3,0)</f>
        <v/>
      </c>
      <c r="S1104" s="36">
        <f>MONTH(B1104)</f>
        <v/>
      </c>
      <c r="T1104" s="36">
        <f>TEXT(B1104,"mmm")</f>
        <v/>
      </c>
      <c r="U1104" s="36">
        <f>IF(AND(OR(sel_Region="All",C1104=sel_Region),OR(sel_Country="All",D1104=sel_Country),OR(sel_Channel="All",E1104=sel_Channel),OR(sel_Customer="All",F1104=sel_Customer),OR(sel_Category="All",G1104=sel_Category),OR(sel_Product="All",H1104=sel_Product),AND(S1104&gt;=m_From,S1104&lt;=m_To)),1,0)</f>
        <v/>
      </c>
      <c r="V1104" s="36">
        <f>IF(AND(OR(sel_Region="All",C1104=sel_Region),OR(sel_Channel="All",E1104=sel_Channel),OR(sel_Customer="All",F1104=sel_Customer),OR(sel_Category="All",G1104=sel_Category),OR(sel_Product="All",H1104=sel_Product),AND(S1104&gt;=m_From,S1104&lt;=m_To)),1,0)</f>
        <v/>
      </c>
      <c r="W1104" s="36">
        <f>IF(AND(OR(sel_Region="All",C1104=sel_Region),OR(sel_Country="All",D1104=sel_Country),OR(sel_Customer="All",F1104=sel_Customer),OR(sel_Category="All",G1104=sel_Category),OR(sel_Product="All",H1104=sel_Product),AND(S1104&gt;=m_From,S1104&lt;=m_To)),1,0)</f>
        <v/>
      </c>
      <c r="X1104" s="36">
        <f>IF(AND(OR(sel_Region="All",C1104=sel_Region),OR(sel_Country="All",D1104=sel_Country),OR(sel_Channel="All",E1104=sel_Channel),OR(sel_Category="All",G1104=sel_Category),OR(sel_Product="All",H1104=sel_Product),AND(S1104&gt;=m_From,S1104&lt;=m_To)),1,0)</f>
        <v/>
      </c>
      <c r="Y1104" s="36">
        <f>IF(AND(OR(sel_Region="All",C1104=sel_Region),OR(sel_Country="All",D1104=sel_Country),OR(sel_Channel="All",E1104=sel_Channel),OR(sel_Customer="All",F1104=sel_Customer),OR(sel_Product="All",H1104=sel_Product),AND(S1104&gt;=m_From,S1104&lt;=m_To)),1,0)</f>
        <v/>
      </c>
      <c r="Z1104" s="36">
        <f>IF(AND(OR(sel_Region="All",C1104=sel_Region),OR(sel_Country="All",D1104=sel_Country),OR(sel_Channel="All",E1104=sel_Channel),OR(sel_Customer="All",F1104=sel_Customer),OR(sel_Category="All",G1104=sel_Category),AND(S1104&gt;=m_From,S1104&lt;=m_To)),1,0)</f>
        <v/>
      </c>
      <c r="AA1104" s="36">
        <f>IF(AND(OR(sel_Region="All",C1104=sel_Region),OR(sel_Country="All",D1104=sel_Country),OR(sel_Channel="All",E1104=sel_Channel),OR(sel_Customer="All",F1104=sel_Customer),OR(sel_Category="All",G1104=sel_Category),OR(sel_Product="All",H1104=sel_Product)),1,0)</f>
        <v/>
      </c>
    </row>
    <row r="1105">
      <c r="A1105" s="36" t="inlineStr">
        <is>
          <t>03750</t>
        </is>
      </c>
      <c r="B1105" s="44" t="n">
        <v>46187</v>
      </c>
      <c r="C1105" s="36" t="inlineStr">
        <is>
          <t>Southern Europe</t>
        </is>
      </c>
      <c r="D1105" s="36" t="inlineStr">
        <is>
          <t>Spain</t>
        </is>
      </c>
      <c r="E1105" s="36" t="inlineStr">
        <is>
          <t>Online Store</t>
        </is>
      </c>
      <c r="F1105" s="36" t="inlineStr">
        <is>
          <t>Returning</t>
        </is>
      </c>
      <c r="G1105" s="36" t="inlineStr">
        <is>
          <t>Hiking</t>
        </is>
      </c>
      <c r="H1105" s="36" t="inlineStr">
        <is>
          <t>Trekking Poles</t>
        </is>
      </c>
      <c r="I1105" s="36" t="n">
        <v>1</v>
      </c>
      <c r="J1105" s="39" t="n">
        <v>71.28</v>
      </c>
      <c r="K1105" s="45" t="n">
        <v>0</v>
      </c>
      <c r="L1105" s="39" t="n">
        <v>31.92</v>
      </c>
      <c r="M1105" s="39">
        <f>I1105*J1105*(1-K1105)</f>
        <v/>
      </c>
      <c r="N1105" s="39">
        <f>I1105*L1105</f>
        <v/>
      </c>
      <c r="O1105" s="39">
        <f>M1105-N1105</f>
        <v/>
      </c>
      <c r="P1105" s="38">
        <f>IF(M1105=0,0,O1105/M1105)</f>
        <v/>
      </c>
      <c r="Q1105" s="36">
        <f>YEAR(B1105)</f>
        <v/>
      </c>
      <c r="R1105" s="36">
        <f>"Q"&amp;ROUNDUP(MONTH(B1105)/3,0)</f>
        <v/>
      </c>
      <c r="S1105" s="36">
        <f>MONTH(B1105)</f>
        <v/>
      </c>
      <c r="T1105" s="36">
        <f>TEXT(B1105,"mmm")</f>
        <v/>
      </c>
      <c r="U1105" s="36">
        <f>IF(AND(OR(sel_Region="All",C1105=sel_Region),OR(sel_Country="All",D1105=sel_Country),OR(sel_Channel="All",E1105=sel_Channel),OR(sel_Customer="All",F1105=sel_Customer),OR(sel_Category="All",G1105=sel_Category),OR(sel_Product="All",H1105=sel_Product),AND(S1105&gt;=m_From,S1105&lt;=m_To)),1,0)</f>
        <v/>
      </c>
      <c r="V1105" s="36">
        <f>IF(AND(OR(sel_Region="All",C1105=sel_Region),OR(sel_Channel="All",E1105=sel_Channel),OR(sel_Customer="All",F1105=sel_Customer),OR(sel_Category="All",G1105=sel_Category),OR(sel_Product="All",H1105=sel_Product),AND(S1105&gt;=m_From,S1105&lt;=m_To)),1,0)</f>
        <v/>
      </c>
      <c r="W1105" s="36">
        <f>IF(AND(OR(sel_Region="All",C1105=sel_Region),OR(sel_Country="All",D1105=sel_Country),OR(sel_Customer="All",F1105=sel_Customer),OR(sel_Category="All",G1105=sel_Category),OR(sel_Product="All",H1105=sel_Product),AND(S1105&gt;=m_From,S1105&lt;=m_To)),1,0)</f>
        <v/>
      </c>
      <c r="X1105" s="36">
        <f>IF(AND(OR(sel_Region="All",C1105=sel_Region),OR(sel_Country="All",D1105=sel_Country),OR(sel_Channel="All",E1105=sel_Channel),OR(sel_Category="All",G1105=sel_Category),OR(sel_Product="All",H1105=sel_Product),AND(S1105&gt;=m_From,S1105&lt;=m_To)),1,0)</f>
        <v/>
      </c>
      <c r="Y1105" s="36">
        <f>IF(AND(OR(sel_Region="All",C1105=sel_Region),OR(sel_Country="All",D1105=sel_Country),OR(sel_Channel="All",E1105=sel_Channel),OR(sel_Customer="All",F1105=sel_Customer),OR(sel_Product="All",H1105=sel_Product),AND(S1105&gt;=m_From,S1105&lt;=m_To)),1,0)</f>
        <v/>
      </c>
      <c r="Z1105" s="36">
        <f>IF(AND(OR(sel_Region="All",C1105=sel_Region),OR(sel_Country="All",D1105=sel_Country),OR(sel_Channel="All",E1105=sel_Channel),OR(sel_Customer="All",F1105=sel_Customer),OR(sel_Category="All",G1105=sel_Category),AND(S1105&gt;=m_From,S1105&lt;=m_To)),1,0)</f>
        <v/>
      </c>
      <c r="AA1105" s="36">
        <f>IF(AND(OR(sel_Region="All",C1105=sel_Region),OR(sel_Country="All",D1105=sel_Country),OR(sel_Channel="All",E1105=sel_Channel),OR(sel_Customer="All",F1105=sel_Customer),OR(sel_Category="All",G1105=sel_Category),OR(sel_Product="All",H1105=sel_Product)),1,0)</f>
        <v/>
      </c>
    </row>
    <row r="1106">
      <c r="A1106" s="36" t="inlineStr">
        <is>
          <t>05088</t>
        </is>
      </c>
      <c r="B1106" s="44" t="n">
        <v>46187</v>
      </c>
      <c r="C1106" s="36" t="inlineStr">
        <is>
          <t>Central Europe</t>
        </is>
      </c>
      <c r="D1106" s="36" t="inlineStr">
        <is>
          <t>Germany</t>
        </is>
      </c>
      <c r="E1106" s="36" t="inlineStr">
        <is>
          <t>Online Store</t>
        </is>
      </c>
      <c r="F1106" s="36" t="inlineStr">
        <is>
          <t>New</t>
        </is>
      </c>
      <c r="G1106" s="36" t="inlineStr">
        <is>
          <t>Travel</t>
        </is>
      </c>
      <c r="H1106" s="36" t="inlineStr">
        <is>
          <t>Travel Backpack 35L</t>
        </is>
      </c>
      <c r="I1106" s="36" t="n">
        <v>1</v>
      </c>
      <c r="J1106" s="39" t="n">
        <v>160.99</v>
      </c>
      <c r="K1106" s="45" t="n">
        <v>0.05</v>
      </c>
      <c r="L1106" s="39" t="n">
        <v>89.15000000000001</v>
      </c>
      <c r="M1106" s="39">
        <f>I1106*J1106*(1-K1106)</f>
        <v/>
      </c>
      <c r="N1106" s="39">
        <f>I1106*L1106</f>
        <v/>
      </c>
      <c r="O1106" s="39">
        <f>M1106-N1106</f>
        <v/>
      </c>
      <c r="P1106" s="38">
        <f>IF(M1106=0,0,O1106/M1106)</f>
        <v/>
      </c>
      <c r="Q1106" s="36">
        <f>YEAR(B1106)</f>
        <v/>
      </c>
      <c r="R1106" s="36">
        <f>"Q"&amp;ROUNDUP(MONTH(B1106)/3,0)</f>
        <v/>
      </c>
      <c r="S1106" s="36">
        <f>MONTH(B1106)</f>
        <v/>
      </c>
      <c r="T1106" s="36">
        <f>TEXT(B1106,"mmm")</f>
        <v/>
      </c>
      <c r="U1106" s="36">
        <f>IF(AND(OR(sel_Region="All",C1106=sel_Region),OR(sel_Country="All",D1106=sel_Country),OR(sel_Channel="All",E1106=sel_Channel),OR(sel_Customer="All",F1106=sel_Customer),OR(sel_Category="All",G1106=sel_Category),OR(sel_Product="All",H1106=sel_Product),AND(S1106&gt;=m_From,S1106&lt;=m_To)),1,0)</f>
        <v/>
      </c>
      <c r="V1106" s="36">
        <f>IF(AND(OR(sel_Region="All",C1106=sel_Region),OR(sel_Channel="All",E1106=sel_Channel),OR(sel_Customer="All",F1106=sel_Customer),OR(sel_Category="All",G1106=sel_Category),OR(sel_Product="All",H1106=sel_Product),AND(S1106&gt;=m_From,S1106&lt;=m_To)),1,0)</f>
        <v/>
      </c>
      <c r="W1106" s="36">
        <f>IF(AND(OR(sel_Region="All",C1106=sel_Region),OR(sel_Country="All",D1106=sel_Country),OR(sel_Customer="All",F1106=sel_Customer),OR(sel_Category="All",G1106=sel_Category),OR(sel_Product="All",H1106=sel_Product),AND(S1106&gt;=m_From,S1106&lt;=m_To)),1,0)</f>
        <v/>
      </c>
      <c r="X1106" s="36">
        <f>IF(AND(OR(sel_Region="All",C1106=sel_Region),OR(sel_Country="All",D1106=sel_Country),OR(sel_Channel="All",E1106=sel_Channel),OR(sel_Category="All",G1106=sel_Category),OR(sel_Product="All",H1106=sel_Product),AND(S1106&gt;=m_From,S1106&lt;=m_To)),1,0)</f>
        <v/>
      </c>
      <c r="Y1106" s="36">
        <f>IF(AND(OR(sel_Region="All",C1106=sel_Region),OR(sel_Country="All",D1106=sel_Country),OR(sel_Channel="All",E1106=sel_Channel),OR(sel_Customer="All",F1106=sel_Customer),OR(sel_Product="All",H1106=sel_Product),AND(S1106&gt;=m_From,S1106&lt;=m_To)),1,0)</f>
        <v/>
      </c>
      <c r="Z1106" s="36">
        <f>IF(AND(OR(sel_Region="All",C1106=sel_Region),OR(sel_Country="All",D1106=sel_Country),OR(sel_Channel="All",E1106=sel_Channel),OR(sel_Customer="All",F1106=sel_Customer),OR(sel_Category="All",G1106=sel_Category),AND(S1106&gt;=m_From,S1106&lt;=m_To)),1,0)</f>
        <v/>
      </c>
      <c r="AA1106" s="36">
        <f>IF(AND(OR(sel_Region="All",C1106=sel_Region),OR(sel_Country="All",D1106=sel_Country),OR(sel_Channel="All",E1106=sel_Channel),OR(sel_Customer="All",F1106=sel_Customer),OR(sel_Category="All",G1106=sel_Category),OR(sel_Product="All",H1106=sel_Product)),1,0)</f>
        <v/>
      </c>
    </row>
    <row r="1107">
      <c r="A1107" s="36" t="inlineStr">
        <is>
          <t>01450</t>
        </is>
      </c>
      <c r="B1107" s="44" t="n">
        <v>46188</v>
      </c>
      <c r="C1107" s="36" t="inlineStr">
        <is>
          <t>Central Europe</t>
        </is>
      </c>
      <c r="D1107" s="36" t="inlineStr">
        <is>
          <t>Poland</t>
        </is>
      </c>
      <c r="E1107" s="36" t="inlineStr">
        <is>
          <t>Online Store</t>
        </is>
      </c>
      <c r="F1107" s="36" t="inlineStr">
        <is>
          <t>Returning</t>
        </is>
      </c>
      <c r="G1107" s="36" t="inlineStr">
        <is>
          <t>Fitness</t>
        </is>
      </c>
      <c r="H1107" s="36" t="inlineStr">
        <is>
          <t>Weighted Vest</t>
        </is>
      </c>
      <c r="I1107" s="36" t="n">
        <v>1</v>
      </c>
      <c r="J1107" s="39" t="n">
        <v>124.19</v>
      </c>
      <c r="K1107" s="45" t="n">
        <v>0.05</v>
      </c>
      <c r="L1107" s="39" t="n">
        <v>67.20999999999999</v>
      </c>
      <c r="M1107" s="39">
        <f>I1107*J1107*(1-K1107)</f>
        <v/>
      </c>
      <c r="N1107" s="39">
        <f>I1107*L1107</f>
        <v/>
      </c>
      <c r="O1107" s="39">
        <f>M1107-N1107</f>
        <v/>
      </c>
      <c r="P1107" s="38">
        <f>IF(M1107=0,0,O1107/M1107)</f>
        <v/>
      </c>
      <c r="Q1107" s="36">
        <f>YEAR(B1107)</f>
        <v/>
      </c>
      <c r="R1107" s="36">
        <f>"Q"&amp;ROUNDUP(MONTH(B1107)/3,0)</f>
        <v/>
      </c>
      <c r="S1107" s="36">
        <f>MONTH(B1107)</f>
        <v/>
      </c>
      <c r="T1107" s="36">
        <f>TEXT(B1107,"mmm")</f>
        <v/>
      </c>
      <c r="U1107" s="36">
        <f>IF(AND(OR(sel_Region="All",C1107=sel_Region),OR(sel_Country="All",D1107=sel_Country),OR(sel_Channel="All",E1107=sel_Channel),OR(sel_Customer="All",F1107=sel_Customer),OR(sel_Category="All",G1107=sel_Category),OR(sel_Product="All",H1107=sel_Product),AND(S1107&gt;=m_From,S1107&lt;=m_To)),1,0)</f>
        <v/>
      </c>
      <c r="V1107" s="36">
        <f>IF(AND(OR(sel_Region="All",C1107=sel_Region),OR(sel_Channel="All",E1107=sel_Channel),OR(sel_Customer="All",F1107=sel_Customer),OR(sel_Category="All",G1107=sel_Category),OR(sel_Product="All",H1107=sel_Product),AND(S1107&gt;=m_From,S1107&lt;=m_To)),1,0)</f>
        <v/>
      </c>
      <c r="W1107" s="36">
        <f>IF(AND(OR(sel_Region="All",C1107=sel_Region),OR(sel_Country="All",D1107=sel_Country),OR(sel_Customer="All",F1107=sel_Customer),OR(sel_Category="All",G1107=sel_Category),OR(sel_Product="All",H1107=sel_Product),AND(S1107&gt;=m_From,S1107&lt;=m_To)),1,0)</f>
        <v/>
      </c>
      <c r="X1107" s="36">
        <f>IF(AND(OR(sel_Region="All",C1107=sel_Region),OR(sel_Country="All",D1107=sel_Country),OR(sel_Channel="All",E1107=sel_Channel),OR(sel_Category="All",G1107=sel_Category),OR(sel_Product="All",H1107=sel_Product),AND(S1107&gt;=m_From,S1107&lt;=m_To)),1,0)</f>
        <v/>
      </c>
      <c r="Y1107" s="36">
        <f>IF(AND(OR(sel_Region="All",C1107=sel_Region),OR(sel_Country="All",D1107=sel_Country),OR(sel_Channel="All",E1107=sel_Channel),OR(sel_Customer="All",F1107=sel_Customer),OR(sel_Product="All",H1107=sel_Product),AND(S1107&gt;=m_From,S1107&lt;=m_To)),1,0)</f>
        <v/>
      </c>
      <c r="Z1107" s="36">
        <f>IF(AND(OR(sel_Region="All",C1107=sel_Region),OR(sel_Country="All",D1107=sel_Country),OR(sel_Channel="All",E1107=sel_Channel),OR(sel_Customer="All",F1107=sel_Customer),OR(sel_Category="All",G1107=sel_Category),AND(S1107&gt;=m_From,S1107&lt;=m_To)),1,0)</f>
        <v/>
      </c>
      <c r="AA1107" s="36">
        <f>IF(AND(OR(sel_Region="All",C1107=sel_Region),OR(sel_Country="All",D1107=sel_Country),OR(sel_Channel="All",E1107=sel_Channel),OR(sel_Customer="All",F1107=sel_Customer),OR(sel_Category="All",G1107=sel_Category),OR(sel_Product="All",H1107=sel_Product)),1,0)</f>
        <v/>
      </c>
    </row>
    <row r="1108">
      <c r="A1108" s="36" t="inlineStr">
        <is>
          <t>02330</t>
        </is>
      </c>
      <c r="B1108" s="44" t="n">
        <v>46188</v>
      </c>
      <c r="C1108" s="36" t="inlineStr">
        <is>
          <t>Central Europe</t>
        </is>
      </c>
      <c r="D1108" s="36" t="inlineStr">
        <is>
          <t>Czechia</t>
        </is>
      </c>
      <c r="E1108" s="36" t="inlineStr">
        <is>
          <t>Online Store</t>
        </is>
      </c>
      <c r="F1108" s="36" t="inlineStr">
        <is>
          <t>New</t>
        </is>
      </c>
      <c r="G1108" s="36" t="inlineStr">
        <is>
          <t>Travel</t>
        </is>
      </c>
      <c r="H1108" s="36" t="inlineStr">
        <is>
          <t>Insulated Bottle</t>
        </is>
      </c>
      <c r="I1108" s="36" t="n">
        <v>2</v>
      </c>
      <c r="J1108" s="39" t="n">
        <v>36.11</v>
      </c>
      <c r="K1108" s="45" t="n">
        <v>0.05</v>
      </c>
      <c r="L1108" s="39" t="n">
        <v>13.29</v>
      </c>
      <c r="M1108" s="39">
        <f>I1108*J1108*(1-K1108)</f>
        <v/>
      </c>
      <c r="N1108" s="39">
        <f>I1108*L1108</f>
        <v/>
      </c>
      <c r="O1108" s="39">
        <f>M1108-N1108</f>
        <v/>
      </c>
      <c r="P1108" s="38">
        <f>IF(M1108=0,0,O1108/M1108)</f>
        <v/>
      </c>
      <c r="Q1108" s="36">
        <f>YEAR(B1108)</f>
        <v/>
      </c>
      <c r="R1108" s="36">
        <f>"Q"&amp;ROUNDUP(MONTH(B1108)/3,0)</f>
        <v/>
      </c>
      <c r="S1108" s="36">
        <f>MONTH(B1108)</f>
        <v/>
      </c>
      <c r="T1108" s="36">
        <f>TEXT(B1108,"mmm")</f>
        <v/>
      </c>
      <c r="U1108" s="36">
        <f>IF(AND(OR(sel_Region="All",C1108=sel_Region),OR(sel_Country="All",D1108=sel_Country),OR(sel_Channel="All",E1108=sel_Channel),OR(sel_Customer="All",F1108=sel_Customer),OR(sel_Category="All",G1108=sel_Category),OR(sel_Product="All",H1108=sel_Product),AND(S1108&gt;=m_From,S1108&lt;=m_To)),1,0)</f>
        <v/>
      </c>
      <c r="V1108" s="36">
        <f>IF(AND(OR(sel_Region="All",C1108=sel_Region),OR(sel_Channel="All",E1108=sel_Channel),OR(sel_Customer="All",F1108=sel_Customer),OR(sel_Category="All",G1108=sel_Category),OR(sel_Product="All",H1108=sel_Product),AND(S1108&gt;=m_From,S1108&lt;=m_To)),1,0)</f>
        <v/>
      </c>
      <c r="W1108" s="36">
        <f>IF(AND(OR(sel_Region="All",C1108=sel_Region),OR(sel_Country="All",D1108=sel_Country),OR(sel_Customer="All",F1108=sel_Customer),OR(sel_Category="All",G1108=sel_Category),OR(sel_Product="All",H1108=sel_Product),AND(S1108&gt;=m_From,S1108&lt;=m_To)),1,0)</f>
        <v/>
      </c>
      <c r="X1108" s="36">
        <f>IF(AND(OR(sel_Region="All",C1108=sel_Region),OR(sel_Country="All",D1108=sel_Country),OR(sel_Channel="All",E1108=sel_Channel),OR(sel_Category="All",G1108=sel_Category),OR(sel_Product="All",H1108=sel_Product),AND(S1108&gt;=m_From,S1108&lt;=m_To)),1,0)</f>
        <v/>
      </c>
      <c r="Y1108" s="36">
        <f>IF(AND(OR(sel_Region="All",C1108=sel_Region),OR(sel_Country="All",D1108=sel_Country),OR(sel_Channel="All",E1108=sel_Channel),OR(sel_Customer="All",F1108=sel_Customer),OR(sel_Product="All",H1108=sel_Product),AND(S1108&gt;=m_From,S1108&lt;=m_To)),1,0)</f>
        <v/>
      </c>
      <c r="Z1108" s="36">
        <f>IF(AND(OR(sel_Region="All",C1108=sel_Region),OR(sel_Country="All",D1108=sel_Country),OR(sel_Channel="All",E1108=sel_Channel),OR(sel_Customer="All",F1108=sel_Customer),OR(sel_Category="All",G1108=sel_Category),AND(S1108&gt;=m_From,S1108&lt;=m_To)),1,0)</f>
        <v/>
      </c>
      <c r="AA1108" s="36">
        <f>IF(AND(OR(sel_Region="All",C1108=sel_Region),OR(sel_Country="All",D1108=sel_Country),OR(sel_Channel="All",E1108=sel_Channel),OR(sel_Customer="All",F1108=sel_Customer),OR(sel_Category="All",G1108=sel_Category),OR(sel_Product="All",H1108=sel_Product)),1,0)</f>
        <v/>
      </c>
    </row>
    <row r="1109">
      <c r="A1109" s="36" t="inlineStr">
        <is>
          <t>04655</t>
        </is>
      </c>
      <c r="B1109" s="44" t="n">
        <v>46188</v>
      </c>
      <c r="C1109" s="36" t="inlineStr">
        <is>
          <t>Southern Europe</t>
        </is>
      </c>
      <c r="D1109" s="36" t="inlineStr">
        <is>
          <t>Spain</t>
        </is>
      </c>
      <c r="E1109" s="36" t="inlineStr">
        <is>
          <t>Corporate</t>
        </is>
      </c>
      <c r="F1109" s="36" t="inlineStr">
        <is>
          <t>Business</t>
        </is>
      </c>
      <c r="G1109" s="36" t="inlineStr">
        <is>
          <t>Fitness</t>
        </is>
      </c>
      <c r="H1109" s="36" t="inlineStr">
        <is>
          <t>Resistance Band Set</t>
        </is>
      </c>
      <c r="I1109" s="36" t="n">
        <v>4</v>
      </c>
      <c r="J1109" s="39" t="n">
        <v>40.91</v>
      </c>
      <c r="K1109" s="45" t="n">
        <v>0.05</v>
      </c>
      <c r="L1109" s="39" t="n">
        <v>14.42</v>
      </c>
      <c r="M1109" s="39">
        <f>I1109*J1109*(1-K1109)</f>
        <v/>
      </c>
      <c r="N1109" s="39">
        <f>I1109*L1109</f>
        <v/>
      </c>
      <c r="O1109" s="39">
        <f>M1109-N1109</f>
        <v/>
      </c>
      <c r="P1109" s="38">
        <f>IF(M1109=0,0,O1109/M1109)</f>
        <v/>
      </c>
      <c r="Q1109" s="36">
        <f>YEAR(B1109)</f>
        <v/>
      </c>
      <c r="R1109" s="36">
        <f>"Q"&amp;ROUNDUP(MONTH(B1109)/3,0)</f>
        <v/>
      </c>
      <c r="S1109" s="36">
        <f>MONTH(B1109)</f>
        <v/>
      </c>
      <c r="T1109" s="36">
        <f>TEXT(B1109,"mmm")</f>
        <v/>
      </c>
      <c r="U1109" s="36">
        <f>IF(AND(OR(sel_Region="All",C1109=sel_Region),OR(sel_Country="All",D1109=sel_Country),OR(sel_Channel="All",E1109=sel_Channel),OR(sel_Customer="All",F1109=sel_Customer),OR(sel_Category="All",G1109=sel_Category),OR(sel_Product="All",H1109=sel_Product),AND(S1109&gt;=m_From,S1109&lt;=m_To)),1,0)</f>
        <v/>
      </c>
      <c r="V1109" s="36">
        <f>IF(AND(OR(sel_Region="All",C1109=sel_Region),OR(sel_Channel="All",E1109=sel_Channel),OR(sel_Customer="All",F1109=sel_Customer),OR(sel_Category="All",G1109=sel_Category),OR(sel_Product="All",H1109=sel_Product),AND(S1109&gt;=m_From,S1109&lt;=m_To)),1,0)</f>
        <v/>
      </c>
      <c r="W1109" s="36">
        <f>IF(AND(OR(sel_Region="All",C1109=sel_Region),OR(sel_Country="All",D1109=sel_Country),OR(sel_Customer="All",F1109=sel_Customer),OR(sel_Category="All",G1109=sel_Category),OR(sel_Product="All",H1109=sel_Product),AND(S1109&gt;=m_From,S1109&lt;=m_To)),1,0)</f>
        <v/>
      </c>
      <c r="X1109" s="36">
        <f>IF(AND(OR(sel_Region="All",C1109=sel_Region),OR(sel_Country="All",D1109=sel_Country),OR(sel_Channel="All",E1109=sel_Channel),OR(sel_Category="All",G1109=sel_Category),OR(sel_Product="All",H1109=sel_Product),AND(S1109&gt;=m_From,S1109&lt;=m_To)),1,0)</f>
        <v/>
      </c>
      <c r="Y1109" s="36">
        <f>IF(AND(OR(sel_Region="All",C1109=sel_Region),OR(sel_Country="All",D1109=sel_Country),OR(sel_Channel="All",E1109=sel_Channel),OR(sel_Customer="All",F1109=sel_Customer),OR(sel_Product="All",H1109=sel_Product),AND(S1109&gt;=m_From,S1109&lt;=m_To)),1,0)</f>
        <v/>
      </c>
      <c r="Z1109" s="36">
        <f>IF(AND(OR(sel_Region="All",C1109=sel_Region),OR(sel_Country="All",D1109=sel_Country),OR(sel_Channel="All",E1109=sel_Channel),OR(sel_Customer="All",F1109=sel_Customer),OR(sel_Category="All",G1109=sel_Category),AND(S1109&gt;=m_From,S1109&lt;=m_To)),1,0)</f>
        <v/>
      </c>
      <c r="AA1109" s="36">
        <f>IF(AND(OR(sel_Region="All",C1109=sel_Region),OR(sel_Country="All",D1109=sel_Country),OR(sel_Channel="All",E1109=sel_Channel),OR(sel_Customer="All",F1109=sel_Customer),OR(sel_Category="All",G1109=sel_Category),OR(sel_Product="All",H1109=sel_Product)),1,0)</f>
        <v/>
      </c>
    </row>
    <row r="1110">
      <c r="A1110" s="36" t="inlineStr">
        <is>
          <t>00137</t>
        </is>
      </c>
      <c r="B1110" s="44" t="n">
        <v>46189</v>
      </c>
      <c r="C1110" s="36" t="inlineStr">
        <is>
          <t>Central Europe</t>
        </is>
      </c>
      <c r="D1110" s="36" t="inlineStr">
        <is>
          <t>Austria</t>
        </is>
      </c>
      <c r="E1110" s="36" t="inlineStr">
        <is>
          <t>Online Store</t>
        </is>
      </c>
      <c r="F1110" s="36" t="inlineStr">
        <is>
          <t>Returning</t>
        </is>
      </c>
      <c r="G1110" s="36" t="inlineStr">
        <is>
          <t>Hiking</t>
        </is>
      </c>
      <c r="H1110" s="36" t="inlineStr">
        <is>
          <t>Trail Boots</t>
        </is>
      </c>
      <c r="I1110" s="36" t="n">
        <v>5</v>
      </c>
      <c r="J1110" s="39" t="n">
        <v>141.67</v>
      </c>
      <c r="K1110" s="45" t="n">
        <v>0.1</v>
      </c>
      <c r="L1110" s="39" t="n">
        <v>80.59</v>
      </c>
      <c r="M1110" s="39">
        <f>I1110*J1110*(1-K1110)</f>
        <v/>
      </c>
      <c r="N1110" s="39">
        <f>I1110*L1110</f>
        <v/>
      </c>
      <c r="O1110" s="39">
        <f>M1110-N1110</f>
        <v/>
      </c>
      <c r="P1110" s="38">
        <f>IF(M1110=0,0,O1110/M1110)</f>
        <v/>
      </c>
      <c r="Q1110" s="36">
        <f>YEAR(B1110)</f>
        <v/>
      </c>
      <c r="R1110" s="36">
        <f>"Q"&amp;ROUNDUP(MONTH(B1110)/3,0)</f>
        <v/>
      </c>
      <c r="S1110" s="36">
        <f>MONTH(B1110)</f>
        <v/>
      </c>
      <c r="T1110" s="36">
        <f>TEXT(B1110,"mmm")</f>
        <v/>
      </c>
      <c r="U1110" s="36">
        <f>IF(AND(OR(sel_Region="All",C1110=sel_Region),OR(sel_Country="All",D1110=sel_Country),OR(sel_Channel="All",E1110=sel_Channel),OR(sel_Customer="All",F1110=sel_Customer),OR(sel_Category="All",G1110=sel_Category),OR(sel_Product="All",H1110=sel_Product),AND(S1110&gt;=m_From,S1110&lt;=m_To)),1,0)</f>
        <v/>
      </c>
      <c r="V1110" s="36">
        <f>IF(AND(OR(sel_Region="All",C1110=sel_Region),OR(sel_Channel="All",E1110=sel_Channel),OR(sel_Customer="All",F1110=sel_Customer),OR(sel_Category="All",G1110=sel_Category),OR(sel_Product="All",H1110=sel_Product),AND(S1110&gt;=m_From,S1110&lt;=m_To)),1,0)</f>
        <v/>
      </c>
      <c r="W1110" s="36">
        <f>IF(AND(OR(sel_Region="All",C1110=sel_Region),OR(sel_Country="All",D1110=sel_Country),OR(sel_Customer="All",F1110=sel_Customer),OR(sel_Category="All",G1110=sel_Category),OR(sel_Product="All",H1110=sel_Product),AND(S1110&gt;=m_From,S1110&lt;=m_To)),1,0)</f>
        <v/>
      </c>
      <c r="X1110" s="36">
        <f>IF(AND(OR(sel_Region="All",C1110=sel_Region),OR(sel_Country="All",D1110=sel_Country),OR(sel_Channel="All",E1110=sel_Channel),OR(sel_Category="All",G1110=sel_Category),OR(sel_Product="All",H1110=sel_Product),AND(S1110&gt;=m_From,S1110&lt;=m_To)),1,0)</f>
        <v/>
      </c>
      <c r="Y1110" s="36">
        <f>IF(AND(OR(sel_Region="All",C1110=sel_Region),OR(sel_Country="All",D1110=sel_Country),OR(sel_Channel="All",E1110=sel_Channel),OR(sel_Customer="All",F1110=sel_Customer),OR(sel_Product="All",H1110=sel_Product),AND(S1110&gt;=m_From,S1110&lt;=m_To)),1,0)</f>
        <v/>
      </c>
      <c r="Z1110" s="36">
        <f>IF(AND(OR(sel_Region="All",C1110=sel_Region),OR(sel_Country="All",D1110=sel_Country),OR(sel_Channel="All",E1110=sel_Channel),OR(sel_Customer="All",F1110=sel_Customer),OR(sel_Category="All",G1110=sel_Category),AND(S1110&gt;=m_From,S1110&lt;=m_To)),1,0)</f>
        <v/>
      </c>
      <c r="AA1110" s="36">
        <f>IF(AND(OR(sel_Region="All",C1110=sel_Region),OR(sel_Country="All",D1110=sel_Country),OR(sel_Channel="All",E1110=sel_Channel),OR(sel_Customer="All",F1110=sel_Customer),OR(sel_Category="All",G1110=sel_Category),OR(sel_Product="All",H1110=sel_Product)),1,0)</f>
        <v/>
      </c>
    </row>
    <row r="1111">
      <c r="A1111" s="36" t="inlineStr">
        <is>
          <t>00141</t>
        </is>
      </c>
      <c r="B1111" s="44" t="n">
        <v>46189</v>
      </c>
      <c r="C1111" s="36" t="inlineStr">
        <is>
          <t>Western Europe</t>
        </is>
      </c>
      <c r="D1111" s="36" t="inlineStr">
        <is>
          <t>Netherlands</t>
        </is>
      </c>
      <c r="E1111" s="36" t="inlineStr">
        <is>
          <t>Online Store</t>
        </is>
      </c>
      <c r="F1111" s="36" t="inlineStr">
        <is>
          <t>Returning</t>
        </is>
      </c>
      <c r="G1111" s="36" t="inlineStr">
        <is>
          <t>Travel</t>
        </is>
      </c>
      <c r="H1111" s="36" t="inlineStr">
        <is>
          <t>Packing Cube Set</t>
        </is>
      </c>
      <c r="I1111" s="36" t="n">
        <v>1</v>
      </c>
      <c r="J1111" s="39" t="n">
        <v>47.53</v>
      </c>
      <c r="K1111" s="45" t="n">
        <v>0.05</v>
      </c>
      <c r="L1111" s="39" t="n">
        <v>18.5</v>
      </c>
      <c r="M1111" s="39">
        <f>I1111*J1111*(1-K1111)</f>
        <v/>
      </c>
      <c r="N1111" s="39">
        <f>I1111*L1111</f>
        <v/>
      </c>
      <c r="O1111" s="39">
        <f>M1111-N1111</f>
        <v/>
      </c>
      <c r="P1111" s="38">
        <f>IF(M1111=0,0,O1111/M1111)</f>
        <v/>
      </c>
      <c r="Q1111" s="36">
        <f>YEAR(B1111)</f>
        <v/>
      </c>
      <c r="R1111" s="36">
        <f>"Q"&amp;ROUNDUP(MONTH(B1111)/3,0)</f>
        <v/>
      </c>
      <c r="S1111" s="36">
        <f>MONTH(B1111)</f>
        <v/>
      </c>
      <c r="T1111" s="36">
        <f>TEXT(B1111,"mmm")</f>
        <v/>
      </c>
      <c r="U1111" s="36">
        <f>IF(AND(OR(sel_Region="All",C1111=sel_Region),OR(sel_Country="All",D1111=sel_Country),OR(sel_Channel="All",E1111=sel_Channel),OR(sel_Customer="All",F1111=sel_Customer),OR(sel_Category="All",G1111=sel_Category),OR(sel_Product="All",H1111=sel_Product),AND(S1111&gt;=m_From,S1111&lt;=m_To)),1,0)</f>
        <v/>
      </c>
      <c r="V1111" s="36">
        <f>IF(AND(OR(sel_Region="All",C1111=sel_Region),OR(sel_Channel="All",E1111=sel_Channel),OR(sel_Customer="All",F1111=sel_Customer),OR(sel_Category="All",G1111=sel_Category),OR(sel_Product="All",H1111=sel_Product),AND(S1111&gt;=m_From,S1111&lt;=m_To)),1,0)</f>
        <v/>
      </c>
      <c r="W1111" s="36">
        <f>IF(AND(OR(sel_Region="All",C1111=sel_Region),OR(sel_Country="All",D1111=sel_Country),OR(sel_Customer="All",F1111=sel_Customer),OR(sel_Category="All",G1111=sel_Category),OR(sel_Product="All",H1111=sel_Product),AND(S1111&gt;=m_From,S1111&lt;=m_To)),1,0)</f>
        <v/>
      </c>
      <c r="X1111" s="36">
        <f>IF(AND(OR(sel_Region="All",C1111=sel_Region),OR(sel_Country="All",D1111=sel_Country),OR(sel_Channel="All",E1111=sel_Channel),OR(sel_Category="All",G1111=sel_Category),OR(sel_Product="All",H1111=sel_Product),AND(S1111&gt;=m_From,S1111&lt;=m_To)),1,0)</f>
        <v/>
      </c>
      <c r="Y1111" s="36">
        <f>IF(AND(OR(sel_Region="All",C1111=sel_Region),OR(sel_Country="All",D1111=sel_Country),OR(sel_Channel="All",E1111=sel_Channel),OR(sel_Customer="All",F1111=sel_Customer),OR(sel_Product="All",H1111=sel_Product),AND(S1111&gt;=m_From,S1111&lt;=m_To)),1,0)</f>
        <v/>
      </c>
      <c r="Z1111" s="36">
        <f>IF(AND(OR(sel_Region="All",C1111=sel_Region),OR(sel_Country="All",D1111=sel_Country),OR(sel_Channel="All",E1111=sel_Channel),OR(sel_Customer="All",F1111=sel_Customer),OR(sel_Category="All",G1111=sel_Category),AND(S1111&gt;=m_From,S1111&lt;=m_To)),1,0)</f>
        <v/>
      </c>
      <c r="AA1111" s="36">
        <f>IF(AND(OR(sel_Region="All",C1111=sel_Region),OR(sel_Country="All",D1111=sel_Country),OR(sel_Channel="All",E1111=sel_Channel),OR(sel_Customer="All",F1111=sel_Customer),OR(sel_Category="All",G1111=sel_Category),OR(sel_Product="All",H1111=sel_Product)),1,0)</f>
        <v/>
      </c>
    </row>
    <row r="1112">
      <c r="A1112" s="36" t="inlineStr">
        <is>
          <t>00335</t>
        </is>
      </c>
      <c r="B1112" s="44" t="n">
        <v>46189</v>
      </c>
      <c r="C1112" s="36" t="inlineStr">
        <is>
          <t>Western Europe</t>
        </is>
      </c>
      <c r="D1112" s="36" t="inlineStr">
        <is>
          <t>United Kingdom</t>
        </is>
      </c>
      <c r="E1112" s="36" t="inlineStr">
        <is>
          <t>Online Store</t>
        </is>
      </c>
      <c r="F1112" s="36" t="inlineStr">
        <is>
          <t>Returning</t>
        </is>
      </c>
      <c r="G1112" s="36" t="inlineStr">
        <is>
          <t>Travel</t>
        </is>
      </c>
      <c r="H1112" s="36" t="inlineStr">
        <is>
          <t>Travel Backpack 35L</t>
        </is>
      </c>
      <c r="I1112" s="36" t="n">
        <v>3</v>
      </c>
      <c r="J1112" s="39" t="n">
        <v>163.65</v>
      </c>
      <c r="K1112" s="45" t="n">
        <v>0.15</v>
      </c>
      <c r="L1112" s="39" t="n">
        <v>85.8</v>
      </c>
      <c r="M1112" s="39">
        <f>I1112*J1112*(1-K1112)</f>
        <v/>
      </c>
      <c r="N1112" s="39">
        <f>I1112*L1112</f>
        <v/>
      </c>
      <c r="O1112" s="39">
        <f>M1112-N1112</f>
        <v/>
      </c>
      <c r="P1112" s="38">
        <f>IF(M1112=0,0,O1112/M1112)</f>
        <v/>
      </c>
      <c r="Q1112" s="36">
        <f>YEAR(B1112)</f>
        <v/>
      </c>
      <c r="R1112" s="36">
        <f>"Q"&amp;ROUNDUP(MONTH(B1112)/3,0)</f>
        <v/>
      </c>
      <c r="S1112" s="36">
        <f>MONTH(B1112)</f>
        <v/>
      </c>
      <c r="T1112" s="36">
        <f>TEXT(B1112,"mmm")</f>
        <v/>
      </c>
      <c r="U1112" s="36">
        <f>IF(AND(OR(sel_Region="All",C1112=sel_Region),OR(sel_Country="All",D1112=sel_Country),OR(sel_Channel="All",E1112=sel_Channel),OR(sel_Customer="All",F1112=sel_Customer),OR(sel_Category="All",G1112=sel_Category),OR(sel_Product="All",H1112=sel_Product),AND(S1112&gt;=m_From,S1112&lt;=m_To)),1,0)</f>
        <v/>
      </c>
      <c r="V1112" s="36">
        <f>IF(AND(OR(sel_Region="All",C1112=sel_Region),OR(sel_Channel="All",E1112=sel_Channel),OR(sel_Customer="All",F1112=sel_Customer),OR(sel_Category="All",G1112=sel_Category),OR(sel_Product="All",H1112=sel_Product),AND(S1112&gt;=m_From,S1112&lt;=m_To)),1,0)</f>
        <v/>
      </c>
      <c r="W1112" s="36">
        <f>IF(AND(OR(sel_Region="All",C1112=sel_Region),OR(sel_Country="All",D1112=sel_Country),OR(sel_Customer="All",F1112=sel_Customer),OR(sel_Category="All",G1112=sel_Category),OR(sel_Product="All",H1112=sel_Product),AND(S1112&gt;=m_From,S1112&lt;=m_To)),1,0)</f>
        <v/>
      </c>
      <c r="X1112" s="36">
        <f>IF(AND(OR(sel_Region="All",C1112=sel_Region),OR(sel_Country="All",D1112=sel_Country),OR(sel_Channel="All",E1112=sel_Channel),OR(sel_Category="All",G1112=sel_Category),OR(sel_Product="All",H1112=sel_Product),AND(S1112&gt;=m_From,S1112&lt;=m_To)),1,0)</f>
        <v/>
      </c>
      <c r="Y1112" s="36">
        <f>IF(AND(OR(sel_Region="All",C1112=sel_Region),OR(sel_Country="All",D1112=sel_Country),OR(sel_Channel="All",E1112=sel_Channel),OR(sel_Customer="All",F1112=sel_Customer),OR(sel_Product="All",H1112=sel_Product),AND(S1112&gt;=m_From,S1112&lt;=m_To)),1,0)</f>
        <v/>
      </c>
      <c r="Z1112" s="36">
        <f>IF(AND(OR(sel_Region="All",C1112=sel_Region),OR(sel_Country="All",D1112=sel_Country),OR(sel_Channel="All",E1112=sel_Channel),OR(sel_Customer="All",F1112=sel_Customer),OR(sel_Category="All",G1112=sel_Category),AND(S1112&gt;=m_From,S1112&lt;=m_To)),1,0)</f>
        <v/>
      </c>
      <c r="AA1112" s="36">
        <f>IF(AND(OR(sel_Region="All",C1112=sel_Region),OR(sel_Country="All",D1112=sel_Country),OR(sel_Channel="All",E1112=sel_Channel),OR(sel_Customer="All",F1112=sel_Customer),OR(sel_Category="All",G1112=sel_Category),OR(sel_Product="All",H1112=sel_Product)),1,0)</f>
        <v/>
      </c>
    </row>
    <row r="1113">
      <c r="A1113" s="36" t="inlineStr">
        <is>
          <t>00498</t>
        </is>
      </c>
      <c r="B1113" s="44" t="n">
        <v>46189</v>
      </c>
      <c r="C1113" s="36" t="inlineStr">
        <is>
          <t>Southern Europe</t>
        </is>
      </c>
      <c r="D1113" s="36" t="inlineStr">
        <is>
          <t>Italy</t>
        </is>
      </c>
      <c r="E1113" s="36" t="inlineStr">
        <is>
          <t>Corporate</t>
        </is>
      </c>
      <c r="F1113" s="36" t="inlineStr">
        <is>
          <t>Business</t>
        </is>
      </c>
      <c r="G1113" s="36" t="inlineStr">
        <is>
          <t>Travel</t>
        </is>
      </c>
      <c r="H1113" s="36" t="inlineStr">
        <is>
          <t>Carry-On Duffel</t>
        </is>
      </c>
      <c r="I1113" s="36" t="n">
        <v>5</v>
      </c>
      <c r="J1113" s="39" t="n">
        <v>130.95</v>
      </c>
      <c r="K1113" s="45" t="n">
        <v>0.15</v>
      </c>
      <c r="L1113" s="39" t="n">
        <v>68.47</v>
      </c>
      <c r="M1113" s="39">
        <f>I1113*J1113*(1-K1113)</f>
        <v/>
      </c>
      <c r="N1113" s="39">
        <f>I1113*L1113</f>
        <v/>
      </c>
      <c r="O1113" s="39">
        <f>M1113-N1113</f>
        <v/>
      </c>
      <c r="P1113" s="38">
        <f>IF(M1113=0,0,O1113/M1113)</f>
        <v/>
      </c>
      <c r="Q1113" s="36">
        <f>YEAR(B1113)</f>
        <v/>
      </c>
      <c r="R1113" s="36">
        <f>"Q"&amp;ROUNDUP(MONTH(B1113)/3,0)</f>
        <v/>
      </c>
      <c r="S1113" s="36">
        <f>MONTH(B1113)</f>
        <v/>
      </c>
      <c r="T1113" s="36">
        <f>TEXT(B1113,"mmm")</f>
        <v/>
      </c>
      <c r="U1113" s="36">
        <f>IF(AND(OR(sel_Region="All",C1113=sel_Region),OR(sel_Country="All",D1113=sel_Country),OR(sel_Channel="All",E1113=sel_Channel),OR(sel_Customer="All",F1113=sel_Customer),OR(sel_Category="All",G1113=sel_Category),OR(sel_Product="All",H1113=sel_Product),AND(S1113&gt;=m_From,S1113&lt;=m_To)),1,0)</f>
        <v/>
      </c>
      <c r="V1113" s="36">
        <f>IF(AND(OR(sel_Region="All",C1113=sel_Region),OR(sel_Channel="All",E1113=sel_Channel),OR(sel_Customer="All",F1113=sel_Customer),OR(sel_Category="All",G1113=sel_Category),OR(sel_Product="All",H1113=sel_Product),AND(S1113&gt;=m_From,S1113&lt;=m_To)),1,0)</f>
        <v/>
      </c>
      <c r="W1113" s="36">
        <f>IF(AND(OR(sel_Region="All",C1113=sel_Region),OR(sel_Country="All",D1113=sel_Country),OR(sel_Customer="All",F1113=sel_Customer),OR(sel_Category="All",G1113=sel_Category),OR(sel_Product="All",H1113=sel_Product),AND(S1113&gt;=m_From,S1113&lt;=m_To)),1,0)</f>
        <v/>
      </c>
      <c r="X1113" s="36">
        <f>IF(AND(OR(sel_Region="All",C1113=sel_Region),OR(sel_Country="All",D1113=sel_Country),OR(sel_Channel="All",E1113=sel_Channel),OR(sel_Category="All",G1113=sel_Category),OR(sel_Product="All",H1113=sel_Product),AND(S1113&gt;=m_From,S1113&lt;=m_To)),1,0)</f>
        <v/>
      </c>
      <c r="Y1113" s="36">
        <f>IF(AND(OR(sel_Region="All",C1113=sel_Region),OR(sel_Country="All",D1113=sel_Country),OR(sel_Channel="All",E1113=sel_Channel),OR(sel_Customer="All",F1113=sel_Customer),OR(sel_Product="All",H1113=sel_Product),AND(S1113&gt;=m_From,S1113&lt;=m_To)),1,0)</f>
        <v/>
      </c>
      <c r="Z1113" s="36">
        <f>IF(AND(OR(sel_Region="All",C1113=sel_Region),OR(sel_Country="All",D1113=sel_Country),OR(sel_Channel="All",E1113=sel_Channel),OR(sel_Customer="All",F1113=sel_Customer),OR(sel_Category="All",G1113=sel_Category),AND(S1113&gt;=m_From,S1113&lt;=m_To)),1,0)</f>
        <v/>
      </c>
      <c r="AA1113" s="36">
        <f>IF(AND(OR(sel_Region="All",C1113=sel_Region),OR(sel_Country="All",D1113=sel_Country),OR(sel_Channel="All",E1113=sel_Channel),OR(sel_Customer="All",F1113=sel_Customer),OR(sel_Category="All",G1113=sel_Category),OR(sel_Product="All",H1113=sel_Product)),1,0)</f>
        <v/>
      </c>
    </row>
    <row r="1114">
      <c r="A1114" s="36" t="inlineStr">
        <is>
          <t>02611</t>
        </is>
      </c>
      <c r="B1114" s="44" t="n">
        <v>46189</v>
      </c>
      <c r="C1114" s="36" t="inlineStr">
        <is>
          <t>Western Europe</t>
        </is>
      </c>
      <c r="D1114" s="36" t="inlineStr">
        <is>
          <t>France</t>
        </is>
      </c>
      <c r="E1114" s="36" t="inlineStr">
        <is>
          <t>Online Store</t>
        </is>
      </c>
      <c r="F1114" s="36" t="inlineStr">
        <is>
          <t>Returning</t>
        </is>
      </c>
      <c r="G1114" s="36" t="inlineStr">
        <is>
          <t>Travel</t>
        </is>
      </c>
      <c r="H1114" s="36" t="inlineStr">
        <is>
          <t>Travel Backpack 35L</t>
        </is>
      </c>
      <c r="I1114" s="36" t="n">
        <v>5</v>
      </c>
      <c r="J1114" s="39" t="n">
        <v>160.82</v>
      </c>
      <c r="K1114" s="45" t="n">
        <v>0</v>
      </c>
      <c r="L1114" s="39" t="n">
        <v>90.14</v>
      </c>
      <c r="M1114" s="39">
        <f>I1114*J1114*(1-K1114)</f>
        <v/>
      </c>
      <c r="N1114" s="39">
        <f>I1114*L1114</f>
        <v/>
      </c>
      <c r="O1114" s="39">
        <f>M1114-N1114</f>
        <v/>
      </c>
      <c r="P1114" s="38">
        <f>IF(M1114=0,0,O1114/M1114)</f>
        <v/>
      </c>
      <c r="Q1114" s="36">
        <f>YEAR(B1114)</f>
        <v/>
      </c>
      <c r="R1114" s="36">
        <f>"Q"&amp;ROUNDUP(MONTH(B1114)/3,0)</f>
        <v/>
      </c>
      <c r="S1114" s="36">
        <f>MONTH(B1114)</f>
        <v/>
      </c>
      <c r="T1114" s="36">
        <f>TEXT(B1114,"mmm")</f>
        <v/>
      </c>
      <c r="U1114" s="36">
        <f>IF(AND(OR(sel_Region="All",C1114=sel_Region),OR(sel_Country="All",D1114=sel_Country),OR(sel_Channel="All",E1114=sel_Channel),OR(sel_Customer="All",F1114=sel_Customer),OR(sel_Category="All",G1114=sel_Category),OR(sel_Product="All",H1114=sel_Product),AND(S1114&gt;=m_From,S1114&lt;=m_To)),1,0)</f>
        <v/>
      </c>
      <c r="V1114" s="36">
        <f>IF(AND(OR(sel_Region="All",C1114=sel_Region),OR(sel_Channel="All",E1114=sel_Channel),OR(sel_Customer="All",F1114=sel_Customer),OR(sel_Category="All",G1114=sel_Category),OR(sel_Product="All",H1114=sel_Product),AND(S1114&gt;=m_From,S1114&lt;=m_To)),1,0)</f>
        <v/>
      </c>
      <c r="W1114" s="36">
        <f>IF(AND(OR(sel_Region="All",C1114=sel_Region),OR(sel_Country="All",D1114=sel_Country),OR(sel_Customer="All",F1114=sel_Customer),OR(sel_Category="All",G1114=sel_Category),OR(sel_Product="All",H1114=sel_Product),AND(S1114&gt;=m_From,S1114&lt;=m_To)),1,0)</f>
        <v/>
      </c>
      <c r="X1114" s="36">
        <f>IF(AND(OR(sel_Region="All",C1114=sel_Region),OR(sel_Country="All",D1114=sel_Country),OR(sel_Channel="All",E1114=sel_Channel),OR(sel_Category="All",G1114=sel_Category),OR(sel_Product="All",H1114=sel_Product),AND(S1114&gt;=m_From,S1114&lt;=m_To)),1,0)</f>
        <v/>
      </c>
      <c r="Y1114" s="36">
        <f>IF(AND(OR(sel_Region="All",C1114=sel_Region),OR(sel_Country="All",D1114=sel_Country),OR(sel_Channel="All",E1114=sel_Channel),OR(sel_Customer="All",F1114=sel_Customer),OR(sel_Product="All",H1114=sel_Product),AND(S1114&gt;=m_From,S1114&lt;=m_To)),1,0)</f>
        <v/>
      </c>
      <c r="Z1114" s="36">
        <f>IF(AND(OR(sel_Region="All",C1114=sel_Region),OR(sel_Country="All",D1114=sel_Country),OR(sel_Channel="All",E1114=sel_Channel),OR(sel_Customer="All",F1114=sel_Customer),OR(sel_Category="All",G1114=sel_Category),AND(S1114&gt;=m_From,S1114&lt;=m_To)),1,0)</f>
        <v/>
      </c>
      <c r="AA1114" s="36">
        <f>IF(AND(OR(sel_Region="All",C1114=sel_Region),OR(sel_Country="All",D1114=sel_Country),OR(sel_Channel="All",E1114=sel_Channel),OR(sel_Customer="All",F1114=sel_Customer),OR(sel_Category="All",G1114=sel_Category),OR(sel_Product="All",H1114=sel_Product)),1,0)</f>
        <v/>
      </c>
    </row>
    <row r="1115">
      <c r="A1115" s="36" t="inlineStr">
        <is>
          <t>03197</t>
        </is>
      </c>
      <c r="B1115" s="44" t="n">
        <v>46189</v>
      </c>
      <c r="C1115" s="36" t="inlineStr">
        <is>
          <t>Central Europe</t>
        </is>
      </c>
      <c r="D1115" s="36" t="inlineStr">
        <is>
          <t>Germany</t>
        </is>
      </c>
      <c r="E1115" s="36" t="inlineStr">
        <is>
          <t>Retail Partners</t>
        </is>
      </c>
      <c r="F1115" s="36" t="inlineStr">
        <is>
          <t>New</t>
        </is>
      </c>
      <c r="G1115" s="36" t="inlineStr">
        <is>
          <t>Cycling</t>
        </is>
      </c>
      <c r="H1115" s="36" t="inlineStr">
        <is>
          <t>Compact Repair Kit</t>
        </is>
      </c>
      <c r="I1115" s="36" t="n">
        <v>3</v>
      </c>
      <c r="J1115" s="39" t="n">
        <v>40.51</v>
      </c>
      <c r="K1115" s="45" t="n">
        <v>0</v>
      </c>
      <c r="L1115" s="39" t="n">
        <v>16.94</v>
      </c>
      <c r="M1115" s="39">
        <f>I1115*J1115*(1-K1115)</f>
        <v/>
      </c>
      <c r="N1115" s="39">
        <f>I1115*L1115</f>
        <v/>
      </c>
      <c r="O1115" s="39">
        <f>M1115-N1115</f>
        <v/>
      </c>
      <c r="P1115" s="38">
        <f>IF(M1115=0,0,O1115/M1115)</f>
        <v/>
      </c>
      <c r="Q1115" s="36">
        <f>YEAR(B1115)</f>
        <v/>
      </c>
      <c r="R1115" s="36">
        <f>"Q"&amp;ROUNDUP(MONTH(B1115)/3,0)</f>
        <v/>
      </c>
      <c r="S1115" s="36">
        <f>MONTH(B1115)</f>
        <v/>
      </c>
      <c r="T1115" s="36">
        <f>TEXT(B1115,"mmm")</f>
        <v/>
      </c>
      <c r="U1115" s="36">
        <f>IF(AND(OR(sel_Region="All",C1115=sel_Region),OR(sel_Country="All",D1115=sel_Country),OR(sel_Channel="All",E1115=sel_Channel),OR(sel_Customer="All",F1115=sel_Customer),OR(sel_Category="All",G1115=sel_Category),OR(sel_Product="All",H1115=sel_Product),AND(S1115&gt;=m_From,S1115&lt;=m_To)),1,0)</f>
        <v/>
      </c>
      <c r="V1115" s="36">
        <f>IF(AND(OR(sel_Region="All",C1115=sel_Region),OR(sel_Channel="All",E1115=sel_Channel),OR(sel_Customer="All",F1115=sel_Customer),OR(sel_Category="All",G1115=sel_Category),OR(sel_Product="All",H1115=sel_Product),AND(S1115&gt;=m_From,S1115&lt;=m_To)),1,0)</f>
        <v/>
      </c>
      <c r="W1115" s="36">
        <f>IF(AND(OR(sel_Region="All",C1115=sel_Region),OR(sel_Country="All",D1115=sel_Country),OR(sel_Customer="All",F1115=sel_Customer),OR(sel_Category="All",G1115=sel_Category),OR(sel_Product="All",H1115=sel_Product),AND(S1115&gt;=m_From,S1115&lt;=m_To)),1,0)</f>
        <v/>
      </c>
      <c r="X1115" s="36">
        <f>IF(AND(OR(sel_Region="All",C1115=sel_Region),OR(sel_Country="All",D1115=sel_Country),OR(sel_Channel="All",E1115=sel_Channel),OR(sel_Category="All",G1115=sel_Category),OR(sel_Product="All",H1115=sel_Product),AND(S1115&gt;=m_From,S1115&lt;=m_To)),1,0)</f>
        <v/>
      </c>
      <c r="Y1115" s="36">
        <f>IF(AND(OR(sel_Region="All",C1115=sel_Region),OR(sel_Country="All",D1115=sel_Country),OR(sel_Channel="All",E1115=sel_Channel),OR(sel_Customer="All",F1115=sel_Customer),OR(sel_Product="All",H1115=sel_Product),AND(S1115&gt;=m_From,S1115&lt;=m_To)),1,0)</f>
        <v/>
      </c>
      <c r="Z1115" s="36">
        <f>IF(AND(OR(sel_Region="All",C1115=sel_Region),OR(sel_Country="All",D1115=sel_Country),OR(sel_Channel="All",E1115=sel_Channel),OR(sel_Customer="All",F1115=sel_Customer),OR(sel_Category="All",G1115=sel_Category),AND(S1115&gt;=m_From,S1115&lt;=m_To)),1,0)</f>
        <v/>
      </c>
      <c r="AA1115" s="36">
        <f>IF(AND(OR(sel_Region="All",C1115=sel_Region),OR(sel_Country="All",D1115=sel_Country),OR(sel_Channel="All",E1115=sel_Channel),OR(sel_Customer="All",F1115=sel_Customer),OR(sel_Category="All",G1115=sel_Category),OR(sel_Product="All",H1115=sel_Product)),1,0)</f>
        <v/>
      </c>
    </row>
    <row r="1116">
      <c r="A1116" s="36" t="inlineStr">
        <is>
          <t>04668</t>
        </is>
      </c>
      <c r="B1116" s="44" t="n">
        <v>46189</v>
      </c>
      <c r="C1116" s="36" t="inlineStr">
        <is>
          <t>Central Europe</t>
        </is>
      </c>
      <c r="D1116" s="36" t="inlineStr">
        <is>
          <t>Switzerland</t>
        </is>
      </c>
      <c r="E1116" s="36" t="inlineStr">
        <is>
          <t>Online Store</t>
        </is>
      </c>
      <c r="F1116" s="36" t="inlineStr">
        <is>
          <t>Business</t>
        </is>
      </c>
      <c r="G1116" s="36" t="inlineStr">
        <is>
          <t>Cycling</t>
        </is>
      </c>
      <c r="H1116" s="36" t="inlineStr">
        <is>
          <t>Commuter Helmet</t>
        </is>
      </c>
      <c r="I1116" s="36" t="n">
        <v>1</v>
      </c>
      <c r="J1116" s="39" t="n">
        <v>81.08</v>
      </c>
      <c r="K1116" s="45" t="n">
        <v>0</v>
      </c>
      <c r="L1116" s="39" t="n">
        <v>41.52</v>
      </c>
      <c r="M1116" s="39">
        <f>I1116*J1116*(1-K1116)</f>
        <v/>
      </c>
      <c r="N1116" s="39">
        <f>I1116*L1116</f>
        <v/>
      </c>
      <c r="O1116" s="39">
        <f>M1116-N1116</f>
        <v/>
      </c>
      <c r="P1116" s="38">
        <f>IF(M1116=0,0,O1116/M1116)</f>
        <v/>
      </c>
      <c r="Q1116" s="36">
        <f>YEAR(B1116)</f>
        <v/>
      </c>
      <c r="R1116" s="36">
        <f>"Q"&amp;ROUNDUP(MONTH(B1116)/3,0)</f>
        <v/>
      </c>
      <c r="S1116" s="36">
        <f>MONTH(B1116)</f>
        <v/>
      </c>
      <c r="T1116" s="36">
        <f>TEXT(B1116,"mmm")</f>
        <v/>
      </c>
      <c r="U1116" s="36">
        <f>IF(AND(OR(sel_Region="All",C1116=sel_Region),OR(sel_Country="All",D1116=sel_Country),OR(sel_Channel="All",E1116=sel_Channel),OR(sel_Customer="All",F1116=sel_Customer),OR(sel_Category="All",G1116=sel_Category),OR(sel_Product="All",H1116=sel_Product),AND(S1116&gt;=m_From,S1116&lt;=m_To)),1,0)</f>
        <v/>
      </c>
      <c r="V1116" s="36">
        <f>IF(AND(OR(sel_Region="All",C1116=sel_Region),OR(sel_Channel="All",E1116=sel_Channel),OR(sel_Customer="All",F1116=sel_Customer),OR(sel_Category="All",G1116=sel_Category),OR(sel_Product="All",H1116=sel_Product),AND(S1116&gt;=m_From,S1116&lt;=m_To)),1,0)</f>
        <v/>
      </c>
      <c r="W1116" s="36">
        <f>IF(AND(OR(sel_Region="All",C1116=sel_Region),OR(sel_Country="All",D1116=sel_Country),OR(sel_Customer="All",F1116=sel_Customer),OR(sel_Category="All",G1116=sel_Category),OR(sel_Product="All",H1116=sel_Product),AND(S1116&gt;=m_From,S1116&lt;=m_To)),1,0)</f>
        <v/>
      </c>
      <c r="X1116" s="36">
        <f>IF(AND(OR(sel_Region="All",C1116=sel_Region),OR(sel_Country="All",D1116=sel_Country),OR(sel_Channel="All",E1116=sel_Channel),OR(sel_Category="All",G1116=sel_Category),OR(sel_Product="All",H1116=sel_Product),AND(S1116&gt;=m_From,S1116&lt;=m_To)),1,0)</f>
        <v/>
      </c>
      <c r="Y1116" s="36">
        <f>IF(AND(OR(sel_Region="All",C1116=sel_Region),OR(sel_Country="All",D1116=sel_Country),OR(sel_Channel="All",E1116=sel_Channel),OR(sel_Customer="All",F1116=sel_Customer),OR(sel_Product="All",H1116=sel_Product),AND(S1116&gt;=m_From,S1116&lt;=m_To)),1,0)</f>
        <v/>
      </c>
      <c r="Z1116" s="36">
        <f>IF(AND(OR(sel_Region="All",C1116=sel_Region),OR(sel_Country="All",D1116=sel_Country),OR(sel_Channel="All",E1116=sel_Channel),OR(sel_Customer="All",F1116=sel_Customer),OR(sel_Category="All",G1116=sel_Category),AND(S1116&gt;=m_From,S1116&lt;=m_To)),1,0)</f>
        <v/>
      </c>
      <c r="AA1116" s="36">
        <f>IF(AND(OR(sel_Region="All",C1116=sel_Region),OR(sel_Country="All",D1116=sel_Country),OR(sel_Channel="All",E1116=sel_Channel),OR(sel_Customer="All",F1116=sel_Customer),OR(sel_Category="All",G1116=sel_Category),OR(sel_Product="All",H1116=sel_Product)),1,0)</f>
        <v/>
      </c>
    </row>
    <row r="1117">
      <c r="A1117" s="36" t="inlineStr">
        <is>
          <t>04994</t>
        </is>
      </c>
      <c r="B1117" s="44" t="n">
        <v>46189</v>
      </c>
      <c r="C1117" s="36" t="inlineStr">
        <is>
          <t>Northern Europe</t>
        </is>
      </c>
      <c r="D1117" s="36" t="inlineStr">
        <is>
          <t>Finland</t>
        </is>
      </c>
      <c r="E1117" s="36" t="inlineStr">
        <is>
          <t>Corporate</t>
        </is>
      </c>
      <c r="F1117" s="36" t="inlineStr">
        <is>
          <t>Business</t>
        </is>
      </c>
      <c r="G1117" s="36" t="inlineStr">
        <is>
          <t>Hiking</t>
        </is>
      </c>
      <c r="H1117" s="36" t="inlineStr">
        <is>
          <t>Summit Backpack 45L</t>
        </is>
      </c>
      <c r="I1117" s="36" t="n">
        <v>4</v>
      </c>
      <c r="J1117" s="39" t="n">
        <v>150.43</v>
      </c>
      <c r="K1117" s="45" t="n">
        <v>0.1</v>
      </c>
      <c r="L1117" s="39" t="n">
        <v>77.65000000000001</v>
      </c>
      <c r="M1117" s="39">
        <f>I1117*J1117*(1-K1117)</f>
        <v/>
      </c>
      <c r="N1117" s="39">
        <f>I1117*L1117</f>
        <v/>
      </c>
      <c r="O1117" s="39">
        <f>M1117-N1117</f>
        <v/>
      </c>
      <c r="P1117" s="38">
        <f>IF(M1117=0,0,O1117/M1117)</f>
        <v/>
      </c>
      <c r="Q1117" s="36">
        <f>YEAR(B1117)</f>
        <v/>
      </c>
      <c r="R1117" s="36">
        <f>"Q"&amp;ROUNDUP(MONTH(B1117)/3,0)</f>
        <v/>
      </c>
      <c r="S1117" s="36">
        <f>MONTH(B1117)</f>
        <v/>
      </c>
      <c r="T1117" s="36">
        <f>TEXT(B1117,"mmm")</f>
        <v/>
      </c>
      <c r="U1117" s="36">
        <f>IF(AND(OR(sel_Region="All",C1117=sel_Region),OR(sel_Country="All",D1117=sel_Country),OR(sel_Channel="All",E1117=sel_Channel),OR(sel_Customer="All",F1117=sel_Customer),OR(sel_Category="All",G1117=sel_Category),OR(sel_Product="All",H1117=sel_Product),AND(S1117&gt;=m_From,S1117&lt;=m_To)),1,0)</f>
        <v/>
      </c>
      <c r="V1117" s="36">
        <f>IF(AND(OR(sel_Region="All",C1117=sel_Region),OR(sel_Channel="All",E1117=sel_Channel),OR(sel_Customer="All",F1117=sel_Customer),OR(sel_Category="All",G1117=sel_Category),OR(sel_Product="All",H1117=sel_Product),AND(S1117&gt;=m_From,S1117&lt;=m_To)),1,0)</f>
        <v/>
      </c>
      <c r="W1117" s="36">
        <f>IF(AND(OR(sel_Region="All",C1117=sel_Region),OR(sel_Country="All",D1117=sel_Country),OR(sel_Customer="All",F1117=sel_Customer),OR(sel_Category="All",G1117=sel_Category),OR(sel_Product="All",H1117=sel_Product),AND(S1117&gt;=m_From,S1117&lt;=m_To)),1,0)</f>
        <v/>
      </c>
      <c r="X1117" s="36">
        <f>IF(AND(OR(sel_Region="All",C1117=sel_Region),OR(sel_Country="All",D1117=sel_Country),OR(sel_Channel="All",E1117=sel_Channel),OR(sel_Category="All",G1117=sel_Category),OR(sel_Product="All",H1117=sel_Product),AND(S1117&gt;=m_From,S1117&lt;=m_To)),1,0)</f>
        <v/>
      </c>
      <c r="Y1117" s="36">
        <f>IF(AND(OR(sel_Region="All",C1117=sel_Region),OR(sel_Country="All",D1117=sel_Country),OR(sel_Channel="All",E1117=sel_Channel),OR(sel_Customer="All",F1117=sel_Customer),OR(sel_Product="All",H1117=sel_Product),AND(S1117&gt;=m_From,S1117&lt;=m_To)),1,0)</f>
        <v/>
      </c>
      <c r="Z1117" s="36">
        <f>IF(AND(OR(sel_Region="All",C1117=sel_Region),OR(sel_Country="All",D1117=sel_Country),OR(sel_Channel="All",E1117=sel_Channel),OR(sel_Customer="All",F1117=sel_Customer),OR(sel_Category="All",G1117=sel_Category),AND(S1117&gt;=m_From,S1117&lt;=m_To)),1,0)</f>
        <v/>
      </c>
      <c r="AA1117" s="36">
        <f>IF(AND(OR(sel_Region="All",C1117=sel_Region),OR(sel_Country="All",D1117=sel_Country),OR(sel_Channel="All",E1117=sel_Channel),OR(sel_Customer="All",F1117=sel_Customer),OR(sel_Category="All",G1117=sel_Category),OR(sel_Product="All",H1117=sel_Product)),1,0)</f>
        <v/>
      </c>
    </row>
    <row r="1118">
      <c r="A1118" s="36" t="inlineStr">
        <is>
          <t>00512</t>
        </is>
      </c>
      <c r="B1118" s="44" t="n">
        <v>46190</v>
      </c>
      <c r="C1118" s="36" t="inlineStr">
        <is>
          <t>Central Europe</t>
        </is>
      </c>
      <c r="D1118" s="36" t="inlineStr">
        <is>
          <t>Germany</t>
        </is>
      </c>
      <c r="E1118" s="36" t="inlineStr">
        <is>
          <t>Marketplace</t>
        </is>
      </c>
      <c r="F1118" s="36" t="inlineStr">
        <is>
          <t>Returning</t>
        </is>
      </c>
      <c r="G1118" s="36" t="inlineStr">
        <is>
          <t>Camping</t>
        </is>
      </c>
      <c r="H1118" s="36" t="inlineStr">
        <is>
          <t>Trail Tent 2P</t>
        </is>
      </c>
      <c r="I1118" s="36" t="n">
        <v>1</v>
      </c>
      <c r="J1118" s="39" t="n">
        <v>192.42</v>
      </c>
      <c r="K1118" s="45" t="n">
        <v>0</v>
      </c>
      <c r="L1118" s="39" t="n">
        <v>103.31</v>
      </c>
      <c r="M1118" s="39">
        <f>I1118*J1118*(1-K1118)</f>
        <v/>
      </c>
      <c r="N1118" s="39">
        <f>I1118*L1118</f>
        <v/>
      </c>
      <c r="O1118" s="39">
        <f>M1118-N1118</f>
        <v/>
      </c>
      <c r="P1118" s="38">
        <f>IF(M1118=0,0,O1118/M1118)</f>
        <v/>
      </c>
      <c r="Q1118" s="36">
        <f>YEAR(B1118)</f>
        <v/>
      </c>
      <c r="R1118" s="36">
        <f>"Q"&amp;ROUNDUP(MONTH(B1118)/3,0)</f>
        <v/>
      </c>
      <c r="S1118" s="36">
        <f>MONTH(B1118)</f>
        <v/>
      </c>
      <c r="T1118" s="36">
        <f>TEXT(B1118,"mmm")</f>
        <v/>
      </c>
      <c r="U1118" s="36">
        <f>IF(AND(OR(sel_Region="All",C1118=sel_Region),OR(sel_Country="All",D1118=sel_Country),OR(sel_Channel="All",E1118=sel_Channel),OR(sel_Customer="All",F1118=sel_Customer),OR(sel_Category="All",G1118=sel_Category),OR(sel_Product="All",H1118=sel_Product),AND(S1118&gt;=m_From,S1118&lt;=m_To)),1,0)</f>
        <v/>
      </c>
      <c r="V1118" s="36">
        <f>IF(AND(OR(sel_Region="All",C1118=sel_Region),OR(sel_Channel="All",E1118=sel_Channel),OR(sel_Customer="All",F1118=sel_Customer),OR(sel_Category="All",G1118=sel_Category),OR(sel_Product="All",H1118=sel_Product),AND(S1118&gt;=m_From,S1118&lt;=m_To)),1,0)</f>
        <v/>
      </c>
      <c r="W1118" s="36">
        <f>IF(AND(OR(sel_Region="All",C1118=sel_Region),OR(sel_Country="All",D1118=sel_Country),OR(sel_Customer="All",F1118=sel_Customer),OR(sel_Category="All",G1118=sel_Category),OR(sel_Product="All",H1118=sel_Product),AND(S1118&gt;=m_From,S1118&lt;=m_To)),1,0)</f>
        <v/>
      </c>
      <c r="X1118" s="36">
        <f>IF(AND(OR(sel_Region="All",C1118=sel_Region),OR(sel_Country="All",D1118=sel_Country),OR(sel_Channel="All",E1118=sel_Channel),OR(sel_Category="All",G1118=sel_Category),OR(sel_Product="All",H1118=sel_Product),AND(S1118&gt;=m_From,S1118&lt;=m_To)),1,0)</f>
        <v/>
      </c>
      <c r="Y1118" s="36">
        <f>IF(AND(OR(sel_Region="All",C1118=sel_Region),OR(sel_Country="All",D1118=sel_Country),OR(sel_Channel="All",E1118=sel_Channel),OR(sel_Customer="All",F1118=sel_Customer),OR(sel_Product="All",H1118=sel_Product),AND(S1118&gt;=m_From,S1118&lt;=m_To)),1,0)</f>
        <v/>
      </c>
      <c r="Z1118" s="36">
        <f>IF(AND(OR(sel_Region="All",C1118=sel_Region),OR(sel_Country="All",D1118=sel_Country),OR(sel_Channel="All",E1118=sel_Channel),OR(sel_Customer="All",F1118=sel_Customer),OR(sel_Category="All",G1118=sel_Category),AND(S1118&gt;=m_From,S1118&lt;=m_To)),1,0)</f>
        <v/>
      </c>
      <c r="AA1118" s="36">
        <f>IF(AND(OR(sel_Region="All",C1118=sel_Region),OR(sel_Country="All",D1118=sel_Country),OR(sel_Channel="All",E1118=sel_Channel),OR(sel_Customer="All",F1118=sel_Customer),OR(sel_Category="All",G1118=sel_Category),OR(sel_Product="All",H1118=sel_Product)),1,0)</f>
        <v/>
      </c>
    </row>
    <row r="1119">
      <c r="A1119" s="36" t="inlineStr">
        <is>
          <t>00717</t>
        </is>
      </c>
      <c r="B1119" s="44" t="n">
        <v>46190</v>
      </c>
      <c r="C1119" s="36" t="inlineStr">
        <is>
          <t>Western Europe</t>
        </is>
      </c>
      <c r="D1119" s="36" t="inlineStr">
        <is>
          <t>Netherlands</t>
        </is>
      </c>
      <c r="E1119" s="36" t="inlineStr">
        <is>
          <t>Corporate</t>
        </is>
      </c>
      <c r="F1119" s="36" t="inlineStr">
        <is>
          <t>Business</t>
        </is>
      </c>
      <c r="G1119" s="36" t="inlineStr">
        <is>
          <t>Camping</t>
        </is>
      </c>
      <c r="H1119" s="36" t="inlineStr">
        <is>
          <t>Alpine Tent 4P</t>
        </is>
      </c>
      <c r="I1119" s="36" t="n">
        <v>10</v>
      </c>
      <c r="J1119" s="39" t="n">
        <v>333.14</v>
      </c>
      <c r="K1119" s="45" t="n">
        <v>0.15</v>
      </c>
      <c r="L1119" s="39" t="n">
        <v>194.52</v>
      </c>
      <c r="M1119" s="39">
        <f>I1119*J1119*(1-K1119)</f>
        <v/>
      </c>
      <c r="N1119" s="39">
        <f>I1119*L1119</f>
        <v/>
      </c>
      <c r="O1119" s="39">
        <f>M1119-N1119</f>
        <v/>
      </c>
      <c r="P1119" s="38">
        <f>IF(M1119=0,0,O1119/M1119)</f>
        <v/>
      </c>
      <c r="Q1119" s="36">
        <f>YEAR(B1119)</f>
        <v/>
      </c>
      <c r="R1119" s="36">
        <f>"Q"&amp;ROUNDUP(MONTH(B1119)/3,0)</f>
        <v/>
      </c>
      <c r="S1119" s="36">
        <f>MONTH(B1119)</f>
        <v/>
      </c>
      <c r="T1119" s="36">
        <f>TEXT(B1119,"mmm")</f>
        <v/>
      </c>
      <c r="U1119" s="36">
        <f>IF(AND(OR(sel_Region="All",C1119=sel_Region),OR(sel_Country="All",D1119=sel_Country),OR(sel_Channel="All",E1119=sel_Channel),OR(sel_Customer="All",F1119=sel_Customer),OR(sel_Category="All",G1119=sel_Category),OR(sel_Product="All",H1119=sel_Product),AND(S1119&gt;=m_From,S1119&lt;=m_To)),1,0)</f>
        <v/>
      </c>
      <c r="V1119" s="36">
        <f>IF(AND(OR(sel_Region="All",C1119=sel_Region),OR(sel_Channel="All",E1119=sel_Channel),OR(sel_Customer="All",F1119=sel_Customer),OR(sel_Category="All",G1119=sel_Category),OR(sel_Product="All",H1119=sel_Product),AND(S1119&gt;=m_From,S1119&lt;=m_To)),1,0)</f>
        <v/>
      </c>
      <c r="W1119" s="36">
        <f>IF(AND(OR(sel_Region="All",C1119=sel_Region),OR(sel_Country="All",D1119=sel_Country),OR(sel_Customer="All",F1119=sel_Customer),OR(sel_Category="All",G1119=sel_Category),OR(sel_Product="All",H1119=sel_Product),AND(S1119&gt;=m_From,S1119&lt;=m_To)),1,0)</f>
        <v/>
      </c>
      <c r="X1119" s="36">
        <f>IF(AND(OR(sel_Region="All",C1119=sel_Region),OR(sel_Country="All",D1119=sel_Country),OR(sel_Channel="All",E1119=sel_Channel),OR(sel_Category="All",G1119=sel_Category),OR(sel_Product="All",H1119=sel_Product),AND(S1119&gt;=m_From,S1119&lt;=m_To)),1,0)</f>
        <v/>
      </c>
      <c r="Y1119" s="36">
        <f>IF(AND(OR(sel_Region="All",C1119=sel_Region),OR(sel_Country="All",D1119=sel_Country),OR(sel_Channel="All",E1119=sel_Channel),OR(sel_Customer="All",F1119=sel_Customer),OR(sel_Product="All",H1119=sel_Product),AND(S1119&gt;=m_From,S1119&lt;=m_To)),1,0)</f>
        <v/>
      </c>
      <c r="Z1119" s="36">
        <f>IF(AND(OR(sel_Region="All",C1119=sel_Region),OR(sel_Country="All",D1119=sel_Country),OR(sel_Channel="All",E1119=sel_Channel),OR(sel_Customer="All",F1119=sel_Customer),OR(sel_Category="All",G1119=sel_Category),AND(S1119&gt;=m_From,S1119&lt;=m_To)),1,0)</f>
        <v/>
      </c>
      <c r="AA1119" s="36">
        <f>IF(AND(OR(sel_Region="All",C1119=sel_Region),OR(sel_Country="All",D1119=sel_Country),OR(sel_Channel="All",E1119=sel_Channel),OR(sel_Customer="All",F1119=sel_Customer),OR(sel_Category="All",G1119=sel_Category),OR(sel_Product="All",H1119=sel_Product)),1,0)</f>
        <v/>
      </c>
    </row>
    <row r="1120">
      <c r="A1120" s="36" t="inlineStr">
        <is>
          <t>00952</t>
        </is>
      </c>
      <c r="B1120" s="44" t="n">
        <v>46190</v>
      </c>
      <c r="C1120" s="36" t="inlineStr">
        <is>
          <t>Southern Europe</t>
        </is>
      </c>
      <c r="D1120" s="36" t="inlineStr">
        <is>
          <t>Spain</t>
        </is>
      </c>
      <c r="E1120" s="36" t="inlineStr">
        <is>
          <t>Online Store</t>
        </is>
      </c>
      <c r="F1120" s="36" t="inlineStr">
        <is>
          <t>Business</t>
        </is>
      </c>
      <c r="G1120" s="36" t="inlineStr">
        <is>
          <t>Camping</t>
        </is>
      </c>
      <c r="H1120" s="36" t="inlineStr">
        <is>
          <t>Portable Camp Stove</t>
        </is>
      </c>
      <c r="I1120" s="36" t="n">
        <v>1</v>
      </c>
      <c r="J1120" s="39" t="n">
        <v>79.90000000000001</v>
      </c>
      <c r="K1120" s="45" t="n">
        <v>0.05</v>
      </c>
      <c r="L1120" s="39" t="n">
        <v>40.19</v>
      </c>
      <c r="M1120" s="39">
        <f>I1120*J1120*(1-K1120)</f>
        <v/>
      </c>
      <c r="N1120" s="39">
        <f>I1120*L1120</f>
        <v/>
      </c>
      <c r="O1120" s="39">
        <f>M1120-N1120</f>
        <v/>
      </c>
      <c r="P1120" s="38">
        <f>IF(M1120=0,0,O1120/M1120)</f>
        <v/>
      </c>
      <c r="Q1120" s="36">
        <f>YEAR(B1120)</f>
        <v/>
      </c>
      <c r="R1120" s="36">
        <f>"Q"&amp;ROUNDUP(MONTH(B1120)/3,0)</f>
        <v/>
      </c>
      <c r="S1120" s="36">
        <f>MONTH(B1120)</f>
        <v/>
      </c>
      <c r="T1120" s="36">
        <f>TEXT(B1120,"mmm")</f>
        <v/>
      </c>
      <c r="U1120" s="36">
        <f>IF(AND(OR(sel_Region="All",C1120=sel_Region),OR(sel_Country="All",D1120=sel_Country),OR(sel_Channel="All",E1120=sel_Channel),OR(sel_Customer="All",F1120=sel_Customer),OR(sel_Category="All",G1120=sel_Category),OR(sel_Product="All",H1120=sel_Product),AND(S1120&gt;=m_From,S1120&lt;=m_To)),1,0)</f>
        <v/>
      </c>
      <c r="V1120" s="36">
        <f>IF(AND(OR(sel_Region="All",C1120=sel_Region),OR(sel_Channel="All",E1120=sel_Channel),OR(sel_Customer="All",F1120=sel_Customer),OR(sel_Category="All",G1120=sel_Category),OR(sel_Product="All",H1120=sel_Product),AND(S1120&gt;=m_From,S1120&lt;=m_To)),1,0)</f>
        <v/>
      </c>
      <c r="W1120" s="36">
        <f>IF(AND(OR(sel_Region="All",C1120=sel_Region),OR(sel_Country="All",D1120=sel_Country),OR(sel_Customer="All",F1120=sel_Customer),OR(sel_Category="All",G1120=sel_Category),OR(sel_Product="All",H1120=sel_Product),AND(S1120&gt;=m_From,S1120&lt;=m_To)),1,0)</f>
        <v/>
      </c>
      <c r="X1120" s="36">
        <f>IF(AND(OR(sel_Region="All",C1120=sel_Region),OR(sel_Country="All",D1120=sel_Country),OR(sel_Channel="All",E1120=sel_Channel),OR(sel_Category="All",G1120=sel_Category),OR(sel_Product="All",H1120=sel_Product),AND(S1120&gt;=m_From,S1120&lt;=m_To)),1,0)</f>
        <v/>
      </c>
      <c r="Y1120" s="36">
        <f>IF(AND(OR(sel_Region="All",C1120=sel_Region),OR(sel_Country="All",D1120=sel_Country),OR(sel_Channel="All",E1120=sel_Channel),OR(sel_Customer="All",F1120=sel_Customer),OR(sel_Product="All",H1120=sel_Product),AND(S1120&gt;=m_From,S1120&lt;=m_To)),1,0)</f>
        <v/>
      </c>
      <c r="Z1120" s="36">
        <f>IF(AND(OR(sel_Region="All",C1120=sel_Region),OR(sel_Country="All",D1120=sel_Country),OR(sel_Channel="All",E1120=sel_Channel),OR(sel_Customer="All",F1120=sel_Customer),OR(sel_Category="All",G1120=sel_Category),AND(S1120&gt;=m_From,S1120&lt;=m_To)),1,0)</f>
        <v/>
      </c>
      <c r="AA1120" s="36">
        <f>IF(AND(OR(sel_Region="All",C1120=sel_Region),OR(sel_Country="All",D1120=sel_Country),OR(sel_Channel="All",E1120=sel_Channel),OR(sel_Customer="All",F1120=sel_Customer),OR(sel_Category="All",G1120=sel_Category),OR(sel_Product="All",H1120=sel_Product)),1,0)</f>
        <v/>
      </c>
    </row>
    <row r="1121">
      <c r="A1121" s="36" t="inlineStr">
        <is>
          <t>01081</t>
        </is>
      </c>
      <c r="B1121" s="44" t="n">
        <v>46190</v>
      </c>
      <c r="C1121" s="36" t="inlineStr">
        <is>
          <t>Western Europe</t>
        </is>
      </c>
      <c r="D1121" s="36" t="inlineStr">
        <is>
          <t>France</t>
        </is>
      </c>
      <c r="E1121" s="36" t="inlineStr">
        <is>
          <t>Online Store</t>
        </is>
      </c>
      <c r="F1121" s="36" t="inlineStr">
        <is>
          <t>Returning</t>
        </is>
      </c>
      <c r="G1121" s="36" t="inlineStr">
        <is>
          <t>Cycling</t>
        </is>
      </c>
      <c r="H1121" s="36" t="inlineStr">
        <is>
          <t>Trail Bike Light</t>
        </is>
      </c>
      <c r="I1121" s="36" t="n">
        <v>1</v>
      </c>
      <c r="J1121" s="39" t="n">
        <v>51.12</v>
      </c>
      <c r="K1121" s="45" t="n">
        <v>0</v>
      </c>
      <c r="L1121" s="39" t="n">
        <v>22.43</v>
      </c>
      <c r="M1121" s="39">
        <f>I1121*J1121*(1-K1121)</f>
        <v/>
      </c>
      <c r="N1121" s="39">
        <f>I1121*L1121</f>
        <v/>
      </c>
      <c r="O1121" s="39">
        <f>M1121-N1121</f>
        <v/>
      </c>
      <c r="P1121" s="38">
        <f>IF(M1121=0,0,O1121/M1121)</f>
        <v/>
      </c>
      <c r="Q1121" s="36">
        <f>YEAR(B1121)</f>
        <v/>
      </c>
      <c r="R1121" s="36">
        <f>"Q"&amp;ROUNDUP(MONTH(B1121)/3,0)</f>
        <v/>
      </c>
      <c r="S1121" s="36">
        <f>MONTH(B1121)</f>
        <v/>
      </c>
      <c r="T1121" s="36">
        <f>TEXT(B1121,"mmm")</f>
        <v/>
      </c>
      <c r="U1121" s="36">
        <f>IF(AND(OR(sel_Region="All",C1121=sel_Region),OR(sel_Country="All",D1121=sel_Country),OR(sel_Channel="All",E1121=sel_Channel),OR(sel_Customer="All",F1121=sel_Customer),OR(sel_Category="All",G1121=sel_Category),OR(sel_Product="All",H1121=sel_Product),AND(S1121&gt;=m_From,S1121&lt;=m_To)),1,0)</f>
        <v/>
      </c>
      <c r="V1121" s="36">
        <f>IF(AND(OR(sel_Region="All",C1121=sel_Region),OR(sel_Channel="All",E1121=sel_Channel),OR(sel_Customer="All",F1121=sel_Customer),OR(sel_Category="All",G1121=sel_Category),OR(sel_Product="All",H1121=sel_Product),AND(S1121&gt;=m_From,S1121&lt;=m_To)),1,0)</f>
        <v/>
      </c>
      <c r="W1121" s="36">
        <f>IF(AND(OR(sel_Region="All",C1121=sel_Region),OR(sel_Country="All",D1121=sel_Country),OR(sel_Customer="All",F1121=sel_Customer),OR(sel_Category="All",G1121=sel_Category),OR(sel_Product="All",H1121=sel_Product),AND(S1121&gt;=m_From,S1121&lt;=m_To)),1,0)</f>
        <v/>
      </c>
      <c r="X1121" s="36">
        <f>IF(AND(OR(sel_Region="All",C1121=sel_Region),OR(sel_Country="All",D1121=sel_Country),OR(sel_Channel="All",E1121=sel_Channel),OR(sel_Category="All",G1121=sel_Category),OR(sel_Product="All",H1121=sel_Product),AND(S1121&gt;=m_From,S1121&lt;=m_To)),1,0)</f>
        <v/>
      </c>
      <c r="Y1121" s="36">
        <f>IF(AND(OR(sel_Region="All",C1121=sel_Region),OR(sel_Country="All",D1121=sel_Country),OR(sel_Channel="All",E1121=sel_Channel),OR(sel_Customer="All",F1121=sel_Customer),OR(sel_Product="All",H1121=sel_Product),AND(S1121&gt;=m_From,S1121&lt;=m_To)),1,0)</f>
        <v/>
      </c>
      <c r="Z1121" s="36">
        <f>IF(AND(OR(sel_Region="All",C1121=sel_Region),OR(sel_Country="All",D1121=sel_Country),OR(sel_Channel="All",E1121=sel_Channel),OR(sel_Customer="All",F1121=sel_Customer),OR(sel_Category="All",G1121=sel_Category),AND(S1121&gt;=m_From,S1121&lt;=m_To)),1,0)</f>
        <v/>
      </c>
      <c r="AA1121" s="36">
        <f>IF(AND(OR(sel_Region="All",C1121=sel_Region),OR(sel_Country="All",D1121=sel_Country),OR(sel_Channel="All",E1121=sel_Channel),OR(sel_Customer="All",F1121=sel_Customer),OR(sel_Category="All",G1121=sel_Category),OR(sel_Product="All",H1121=sel_Product)),1,0)</f>
        <v/>
      </c>
    </row>
    <row r="1122">
      <c r="A1122" s="36" t="inlineStr">
        <is>
          <t>02043</t>
        </is>
      </c>
      <c r="B1122" s="44" t="n">
        <v>46190</v>
      </c>
      <c r="C1122" s="36" t="inlineStr">
        <is>
          <t>Central Europe</t>
        </is>
      </c>
      <c r="D1122" s="36" t="inlineStr">
        <is>
          <t>Austria</t>
        </is>
      </c>
      <c r="E1122" s="36" t="inlineStr">
        <is>
          <t>Online Store</t>
        </is>
      </c>
      <c r="F1122" s="36" t="inlineStr">
        <is>
          <t>New</t>
        </is>
      </c>
      <c r="G1122" s="36" t="inlineStr">
        <is>
          <t>Hiking</t>
        </is>
      </c>
      <c r="H1122" s="36" t="inlineStr">
        <is>
          <t>Hiking Daypack 20L</t>
        </is>
      </c>
      <c r="I1122" s="36" t="n">
        <v>2</v>
      </c>
      <c r="J1122" s="39" t="n">
        <v>90.33</v>
      </c>
      <c r="K1122" s="45" t="n">
        <v>0</v>
      </c>
      <c r="L1122" s="39" t="n">
        <v>46.3</v>
      </c>
      <c r="M1122" s="39">
        <f>I1122*J1122*(1-K1122)</f>
        <v/>
      </c>
      <c r="N1122" s="39">
        <f>I1122*L1122</f>
        <v/>
      </c>
      <c r="O1122" s="39">
        <f>M1122-N1122</f>
        <v/>
      </c>
      <c r="P1122" s="38">
        <f>IF(M1122=0,0,O1122/M1122)</f>
        <v/>
      </c>
      <c r="Q1122" s="36">
        <f>YEAR(B1122)</f>
        <v/>
      </c>
      <c r="R1122" s="36">
        <f>"Q"&amp;ROUNDUP(MONTH(B1122)/3,0)</f>
        <v/>
      </c>
      <c r="S1122" s="36">
        <f>MONTH(B1122)</f>
        <v/>
      </c>
      <c r="T1122" s="36">
        <f>TEXT(B1122,"mmm")</f>
        <v/>
      </c>
      <c r="U1122" s="36">
        <f>IF(AND(OR(sel_Region="All",C1122=sel_Region),OR(sel_Country="All",D1122=sel_Country),OR(sel_Channel="All",E1122=sel_Channel),OR(sel_Customer="All",F1122=sel_Customer),OR(sel_Category="All",G1122=sel_Category),OR(sel_Product="All",H1122=sel_Product),AND(S1122&gt;=m_From,S1122&lt;=m_To)),1,0)</f>
        <v/>
      </c>
      <c r="V1122" s="36">
        <f>IF(AND(OR(sel_Region="All",C1122=sel_Region),OR(sel_Channel="All",E1122=sel_Channel),OR(sel_Customer="All",F1122=sel_Customer),OR(sel_Category="All",G1122=sel_Category),OR(sel_Product="All",H1122=sel_Product),AND(S1122&gt;=m_From,S1122&lt;=m_To)),1,0)</f>
        <v/>
      </c>
      <c r="W1122" s="36">
        <f>IF(AND(OR(sel_Region="All",C1122=sel_Region),OR(sel_Country="All",D1122=sel_Country),OR(sel_Customer="All",F1122=sel_Customer),OR(sel_Category="All",G1122=sel_Category),OR(sel_Product="All",H1122=sel_Product),AND(S1122&gt;=m_From,S1122&lt;=m_To)),1,0)</f>
        <v/>
      </c>
      <c r="X1122" s="36">
        <f>IF(AND(OR(sel_Region="All",C1122=sel_Region),OR(sel_Country="All",D1122=sel_Country),OR(sel_Channel="All",E1122=sel_Channel),OR(sel_Category="All",G1122=sel_Category),OR(sel_Product="All",H1122=sel_Product),AND(S1122&gt;=m_From,S1122&lt;=m_To)),1,0)</f>
        <v/>
      </c>
      <c r="Y1122" s="36">
        <f>IF(AND(OR(sel_Region="All",C1122=sel_Region),OR(sel_Country="All",D1122=sel_Country),OR(sel_Channel="All",E1122=sel_Channel),OR(sel_Customer="All",F1122=sel_Customer),OR(sel_Product="All",H1122=sel_Product),AND(S1122&gt;=m_From,S1122&lt;=m_To)),1,0)</f>
        <v/>
      </c>
      <c r="Z1122" s="36">
        <f>IF(AND(OR(sel_Region="All",C1122=sel_Region),OR(sel_Country="All",D1122=sel_Country),OR(sel_Channel="All",E1122=sel_Channel),OR(sel_Customer="All",F1122=sel_Customer),OR(sel_Category="All",G1122=sel_Category),AND(S1122&gt;=m_From,S1122&lt;=m_To)),1,0)</f>
        <v/>
      </c>
      <c r="AA1122" s="36">
        <f>IF(AND(OR(sel_Region="All",C1122=sel_Region),OR(sel_Country="All",D1122=sel_Country),OR(sel_Channel="All",E1122=sel_Channel),OR(sel_Customer="All",F1122=sel_Customer),OR(sel_Category="All",G1122=sel_Category),OR(sel_Product="All",H1122=sel_Product)),1,0)</f>
        <v/>
      </c>
    </row>
    <row r="1123">
      <c r="A1123" s="36" t="inlineStr">
        <is>
          <t>04040</t>
        </is>
      </c>
      <c r="B1123" s="44" t="n">
        <v>46190</v>
      </c>
      <c r="C1123" s="36" t="inlineStr">
        <is>
          <t>Western Europe</t>
        </is>
      </c>
      <c r="D1123" s="36" t="inlineStr">
        <is>
          <t>Netherlands</t>
        </is>
      </c>
      <c r="E1123" s="36" t="inlineStr">
        <is>
          <t>Online Store</t>
        </is>
      </c>
      <c r="F1123" s="36" t="inlineStr">
        <is>
          <t>Business</t>
        </is>
      </c>
      <c r="G1123" s="36" t="inlineStr">
        <is>
          <t>Travel</t>
        </is>
      </c>
      <c r="H1123" s="36" t="inlineStr">
        <is>
          <t>Insulated Bottle</t>
        </is>
      </c>
      <c r="I1123" s="36" t="n">
        <v>2</v>
      </c>
      <c r="J1123" s="39" t="n">
        <v>36.8</v>
      </c>
      <c r="K1123" s="45" t="n">
        <v>0.05</v>
      </c>
      <c r="L1123" s="39" t="n">
        <v>13.94</v>
      </c>
      <c r="M1123" s="39">
        <f>I1123*J1123*(1-K1123)</f>
        <v/>
      </c>
      <c r="N1123" s="39">
        <f>I1123*L1123</f>
        <v/>
      </c>
      <c r="O1123" s="39">
        <f>M1123-N1123</f>
        <v/>
      </c>
      <c r="P1123" s="38">
        <f>IF(M1123=0,0,O1123/M1123)</f>
        <v/>
      </c>
      <c r="Q1123" s="36">
        <f>YEAR(B1123)</f>
        <v/>
      </c>
      <c r="R1123" s="36">
        <f>"Q"&amp;ROUNDUP(MONTH(B1123)/3,0)</f>
        <v/>
      </c>
      <c r="S1123" s="36">
        <f>MONTH(B1123)</f>
        <v/>
      </c>
      <c r="T1123" s="36">
        <f>TEXT(B1123,"mmm")</f>
        <v/>
      </c>
      <c r="U1123" s="36">
        <f>IF(AND(OR(sel_Region="All",C1123=sel_Region),OR(sel_Country="All",D1123=sel_Country),OR(sel_Channel="All",E1123=sel_Channel),OR(sel_Customer="All",F1123=sel_Customer),OR(sel_Category="All",G1123=sel_Category),OR(sel_Product="All",H1123=sel_Product),AND(S1123&gt;=m_From,S1123&lt;=m_To)),1,0)</f>
        <v/>
      </c>
      <c r="V1123" s="36">
        <f>IF(AND(OR(sel_Region="All",C1123=sel_Region),OR(sel_Channel="All",E1123=sel_Channel),OR(sel_Customer="All",F1123=sel_Customer),OR(sel_Category="All",G1123=sel_Category),OR(sel_Product="All",H1123=sel_Product),AND(S1123&gt;=m_From,S1123&lt;=m_To)),1,0)</f>
        <v/>
      </c>
      <c r="W1123" s="36">
        <f>IF(AND(OR(sel_Region="All",C1123=sel_Region),OR(sel_Country="All",D1123=sel_Country),OR(sel_Customer="All",F1123=sel_Customer),OR(sel_Category="All",G1123=sel_Category),OR(sel_Product="All",H1123=sel_Product),AND(S1123&gt;=m_From,S1123&lt;=m_To)),1,0)</f>
        <v/>
      </c>
      <c r="X1123" s="36">
        <f>IF(AND(OR(sel_Region="All",C1123=sel_Region),OR(sel_Country="All",D1123=sel_Country),OR(sel_Channel="All",E1123=sel_Channel),OR(sel_Category="All",G1123=sel_Category),OR(sel_Product="All",H1123=sel_Product),AND(S1123&gt;=m_From,S1123&lt;=m_To)),1,0)</f>
        <v/>
      </c>
      <c r="Y1123" s="36">
        <f>IF(AND(OR(sel_Region="All",C1123=sel_Region),OR(sel_Country="All",D1123=sel_Country),OR(sel_Channel="All",E1123=sel_Channel),OR(sel_Customer="All",F1123=sel_Customer),OR(sel_Product="All",H1123=sel_Product),AND(S1123&gt;=m_From,S1123&lt;=m_To)),1,0)</f>
        <v/>
      </c>
      <c r="Z1123" s="36">
        <f>IF(AND(OR(sel_Region="All",C1123=sel_Region),OR(sel_Country="All",D1123=sel_Country),OR(sel_Channel="All",E1123=sel_Channel),OR(sel_Customer="All",F1123=sel_Customer),OR(sel_Category="All",G1123=sel_Category),AND(S1123&gt;=m_From,S1123&lt;=m_To)),1,0)</f>
        <v/>
      </c>
      <c r="AA1123" s="36">
        <f>IF(AND(OR(sel_Region="All",C1123=sel_Region),OR(sel_Country="All",D1123=sel_Country),OR(sel_Channel="All",E1123=sel_Channel),OR(sel_Customer="All",F1123=sel_Customer),OR(sel_Category="All",G1123=sel_Category),OR(sel_Product="All",H1123=sel_Product)),1,0)</f>
        <v/>
      </c>
    </row>
    <row r="1124">
      <c r="A1124" s="36" t="inlineStr">
        <is>
          <t>02295</t>
        </is>
      </c>
      <c r="B1124" s="44" t="n">
        <v>46191</v>
      </c>
      <c r="C1124" s="36" t="inlineStr">
        <is>
          <t>Central Europe</t>
        </is>
      </c>
      <c r="D1124" s="36" t="inlineStr">
        <is>
          <t>Switzerland</t>
        </is>
      </c>
      <c r="E1124" s="36" t="inlineStr">
        <is>
          <t>Marketplace</t>
        </is>
      </c>
      <c r="F1124" s="36" t="inlineStr">
        <is>
          <t>New</t>
        </is>
      </c>
      <c r="G1124" s="36" t="inlineStr">
        <is>
          <t>Travel</t>
        </is>
      </c>
      <c r="H1124" s="36" t="inlineStr">
        <is>
          <t>Packing Cube Set</t>
        </is>
      </c>
      <c r="I1124" s="36" t="n">
        <v>1</v>
      </c>
      <c r="J1124" s="39" t="n">
        <v>45.7</v>
      </c>
      <c r="K1124" s="45" t="n">
        <v>0.1</v>
      </c>
      <c r="L1124" s="39" t="n">
        <v>18.6</v>
      </c>
      <c r="M1124" s="39">
        <f>I1124*J1124*(1-K1124)</f>
        <v/>
      </c>
      <c r="N1124" s="39">
        <f>I1124*L1124</f>
        <v/>
      </c>
      <c r="O1124" s="39">
        <f>M1124-N1124</f>
        <v/>
      </c>
      <c r="P1124" s="38">
        <f>IF(M1124=0,0,O1124/M1124)</f>
        <v/>
      </c>
      <c r="Q1124" s="36">
        <f>YEAR(B1124)</f>
        <v/>
      </c>
      <c r="R1124" s="36">
        <f>"Q"&amp;ROUNDUP(MONTH(B1124)/3,0)</f>
        <v/>
      </c>
      <c r="S1124" s="36">
        <f>MONTH(B1124)</f>
        <v/>
      </c>
      <c r="T1124" s="36">
        <f>TEXT(B1124,"mmm")</f>
        <v/>
      </c>
      <c r="U1124" s="36">
        <f>IF(AND(OR(sel_Region="All",C1124=sel_Region),OR(sel_Country="All",D1124=sel_Country),OR(sel_Channel="All",E1124=sel_Channel),OR(sel_Customer="All",F1124=sel_Customer),OR(sel_Category="All",G1124=sel_Category),OR(sel_Product="All",H1124=sel_Product),AND(S1124&gt;=m_From,S1124&lt;=m_To)),1,0)</f>
        <v/>
      </c>
      <c r="V1124" s="36">
        <f>IF(AND(OR(sel_Region="All",C1124=sel_Region),OR(sel_Channel="All",E1124=sel_Channel),OR(sel_Customer="All",F1124=sel_Customer),OR(sel_Category="All",G1124=sel_Category),OR(sel_Product="All",H1124=sel_Product),AND(S1124&gt;=m_From,S1124&lt;=m_To)),1,0)</f>
        <v/>
      </c>
      <c r="W1124" s="36">
        <f>IF(AND(OR(sel_Region="All",C1124=sel_Region),OR(sel_Country="All",D1124=sel_Country),OR(sel_Customer="All",F1124=sel_Customer),OR(sel_Category="All",G1124=sel_Category),OR(sel_Product="All",H1124=sel_Product),AND(S1124&gt;=m_From,S1124&lt;=m_To)),1,0)</f>
        <v/>
      </c>
      <c r="X1124" s="36">
        <f>IF(AND(OR(sel_Region="All",C1124=sel_Region),OR(sel_Country="All",D1124=sel_Country),OR(sel_Channel="All",E1124=sel_Channel),OR(sel_Category="All",G1124=sel_Category),OR(sel_Product="All",H1124=sel_Product),AND(S1124&gt;=m_From,S1124&lt;=m_To)),1,0)</f>
        <v/>
      </c>
      <c r="Y1124" s="36">
        <f>IF(AND(OR(sel_Region="All",C1124=sel_Region),OR(sel_Country="All",D1124=sel_Country),OR(sel_Channel="All",E1124=sel_Channel),OR(sel_Customer="All",F1124=sel_Customer),OR(sel_Product="All",H1124=sel_Product),AND(S1124&gt;=m_From,S1124&lt;=m_To)),1,0)</f>
        <v/>
      </c>
      <c r="Z1124" s="36">
        <f>IF(AND(OR(sel_Region="All",C1124=sel_Region),OR(sel_Country="All",D1124=sel_Country),OR(sel_Channel="All",E1124=sel_Channel),OR(sel_Customer="All",F1124=sel_Customer),OR(sel_Category="All",G1124=sel_Category),AND(S1124&gt;=m_From,S1124&lt;=m_To)),1,0)</f>
        <v/>
      </c>
      <c r="AA1124" s="36">
        <f>IF(AND(OR(sel_Region="All",C1124=sel_Region),OR(sel_Country="All",D1124=sel_Country),OR(sel_Channel="All",E1124=sel_Channel),OR(sel_Customer="All",F1124=sel_Customer),OR(sel_Category="All",G1124=sel_Category),OR(sel_Product="All",H1124=sel_Product)),1,0)</f>
        <v/>
      </c>
    </row>
    <row r="1125">
      <c r="A1125" s="36" t="inlineStr">
        <is>
          <t>02670</t>
        </is>
      </c>
      <c r="B1125" s="44" t="n">
        <v>46191</v>
      </c>
      <c r="C1125" s="36" t="inlineStr">
        <is>
          <t>Northern Europe</t>
        </is>
      </c>
      <c r="D1125" s="36" t="inlineStr">
        <is>
          <t>Denmark</t>
        </is>
      </c>
      <c r="E1125" s="36" t="inlineStr">
        <is>
          <t>Marketplace</t>
        </is>
      </c>
      <c r="F1125" s="36" t="inlineStr">
        <is>
          <t>Returning</t>
        </is>
      </c>
      <c r="G1125" s="36" t="inlineStr">
        <is>
          <t>Travel</t>
        </is>
      </c>
      <c r="H1125" s="36" t="inlineStr">
        <is>
          <t>Travel Backpack 35L</t>
        </is>
      </c>
      <c r="I1125" s="36" t="n">
        <v>3</v>
      </c>
      <c r="J1125" s="39" t="n">
        <v>162.3</v>
      </c>
      <c r="K1125" s="45" t="n">
        <v>0.1</v>
      </c>
      <c r="L1125" s="39" t="n">
        <v>86.43000000000001</v>
      </c>
      <c r="M1125" s="39">
        <f>I1125*J1125*(1-K1125)</f>
        <v/>
      </c>
      <c r="N1125" s="39">
        <f>I1125*L1125</f>
        <v/>
      </c>
      <c r="O1125" s="39">
        <f>M1125-N1125</f>
        <v/>
      </c>
      <c r="P1125" s="38">
        <f>IF(M1125=0,0,O1125/M1125)</f>
        <v/>
      </c>
      <c r="Q1125" s="36">
        <f>YEAR(B1125)</f>
        <v/>
      </c>
      <c r="R1125" s="36">
        <f>"Q"&amp;ROUNDUP(MONTH(B1125)/3,0)</f>
        <v/>
      </c>
      <c r="S1125" s="36">
        <f>MONTH(B1125)</f>
        <v/>
      </c>
      <c r="T1125" s="36">
        <f>TEXT(B1125,"mmm")</f>
        <v/>
      </c>
      <c r="U1125" s="36">
        <f>IF(AND(OR(sel_Region="All",C1125=sel_Region),OR(sel_Country="All",D1125=sel_Country),OR(sel_Channel="All",E1125=sel_Channel),OR(sel_Customer="All",F1125=sel_Customer),OR(sel_Category="All",G1125=sel_Category),OR(sel_Product="All",H1125=sel_Product),AND(S1125&gt;=m_From,S1125&lt;=m_To)),1,0)</f>
        <v/>
      </c>
      <c r="V1125" s="36">
        <f>IF(AND(OR(sel_Region="All",C1125=sel_Region),OR(sel_Channel="All",E1125=sel_Channel),OR(sel_Customer="All",F1125=sel_Customer),OR(sel_Category="All",G1125=sel_Category),OR(sel_Product="All",H1125=sel_Product),AND(S1125&gt;=m_From,S1125&lt;=m_To)),1,0)</f>
        <v/>
      </c>
      <c r="W1125" s="36">
        <f>IF(AND(OR(sel_Region="All",C1125=sel_Region),OR(sel_Country="All",D1125=sel_Country),OR(sel_Customer="All",F1125=sel_Customer),OR(sel_Category="All",G1125=sel_Category),OR(sel_Product="All",H1125=sel_Product),AND(S1125&gt;=m_From,S1125&lt;=m_To)),1,0)</f>
        <v/>
      </c>
      <c r="X1125" s="36">
        <f>IF(AND(OR(sel_Region="All",C1125=sel_Region),OR(sel_Country="All",D1125=sel_Country),OR(sel_Channel="All",E1125=sel_Channel),OR(sel_Category="All",G1125=sel_Category),OR(sel_Product="All",H1125=sel_Product),AND(S1125&gt;=m_From,S1125&lt;=m_To)),1,0)</f>
        <v/>
      </c>
      <c r="Y1125" s="36">
        <f>IF(AND(OR(sel_Region="All",C1125=sel_Region),OR(sel_Country="All",D1125=sel_Country),OR(sel_Channel="All",E1125=sel_Channel),OR(sel_Customer="All",F1125=sel_Customer),OR(sel_Product="All",H1125=sel_Product),AND(S1125&gt;=m_From,S1125&lt;=m_To)),1,0)</f>
        <v/>
      </c>
      <c r="Z1125" s="36">
        <f>IF(AND(OR(sel_Region="All",C1125=sel_Region),OR(sel_Country="All",D1125=sel_Country),OR(sel_Channel="All",E1125=sel_Channel),OR(sel_Customer="All",F1125=sel_Customer),OR(sel_Category="All",G1125=sel_Category),AND(S1125&gt;=m_From,S1125&lt;=m_To)),1,0)</f>
        <v/>
      </c>
      <c r="AA1125" s="36">
        <f>IF(AND(OR(sel_Region="All",C1125=sel_Region),OR(sel_Country="All",D1125=sel_Country),OR(sel_Channel="All",E1125=sel_Channel),OR(sel_Customer="All",F1125=sel_Customer),OR(sel_Category="All",G1125=sel_Category),OR(sel_Product="All",H1125=sel_Product)),1,0)</f>
        <v/>
      </c>
    </row>
    <row r="1126">
      <c r="A1126" s="36" t="inlineStr">
        <is>
          <t>02777</t>
        </is>
      </c>
      <c r="B1126" s="44" t="n">
        <v>46191</v>
      </c>
      <c r="C1126" s="36" t="inlineStr">
        <is>
          <t>Central Europe</t>
        </is>
      </c>
      <c r="D1126" s="36" t="inlineStr">
        <is>
          <t>Poland</t>
        </is>
      </c>
      <c r="E1126" s="36" t="inlineStr">
        <is>
          <t>Corporate</t>
        </is>
      </c>
      <c r="F1126" s="36" t="inlineStr">
        <is>
          <t>Business</t>
        </is>
      </c>
      <c r="G1126" s="36" t="inlineStr">
        <is>
          <t>Hiking</t>
        </is>
      </c>
      <c r="H1126" s="36" t="inlineStr">
        <is>
          <t>Trekking Poles</t>
        </is>
      </c>
      <c r="I1126" s="36" t="n">
        <v>5</v>
      </c>
      <c r="J1126" s="39" t="n">
        <v>72.37</v>
      </c>
      <c r="K1126" s="45" t="n">
        <v>0.2</v>
      </c>
      <c r="L1126" s="39" t="n">
        <v>32.84</v>
      </c>
      <c r="M1126" s="39">
        <f>I1126*J1126*(1-K1126)</f>
        <v/>
      </c>
      <c r="N1126" s="39">
        <f>I1126*L1126</f>
        <v/>
      </c>
      <c r="O1126" s="39">
        <f>M1126-N1126</f>
        <v/>
      </c>
      <c r="P1126" s="38">
        <f>IF(M1126=0,0,O1126/M1126)</f>
        <v/>
      </c>
      <c r="Q1126" s="36">
        <f>YEAR(B1126)</f>
        <v/>
      </c>
      <c r="R1126" s="36">
        <f>"Q"&amp;ROUNDUP(MONTH(B1126)/3,0)</f>
        <v/>
      </c>
      <c r="S1126" s="36">
        <f>MONTH(B1126)</f>
        <v/>
      </c>
      <c r="T1126" s="36">
        <f>TEXT(B1126,"mmm")</f>
        <v/>
      </c>
      <c r="U1126" s="36">
        <f>IF(AND(OR(sel_Region="All",C1126=sel_Region),OR(sel_Country="All",D1126=sel_Country),OR(sel_Channel="All",E1126=sel_Channel),OR(sel_Customer="All",F1126=sel_Customer),OR(sel_Category="All",G1126=sel_Category),OR(sel_Product="All",H1126=sel_Product),AND(S1126&gt;=m_From,S1126&lt;=m_To)),1,0)</f>
        <v/>
      </c>
      <c r="V1126" s="36">
        <f>IF(AND(OR(sel_Region="All",C1126=sel_Region),OR(sel_Channel="All",E1126=sel_Channel),OR(sel_Customer="All",F1126=sel_Customer),OR(sel_Category="All",G1126=sel_Category),OR(sel_Product="All",H1126=sel_Product),AND(S1126&gt;=m_From,S1126&lt;=m_To)),1,0)</f>
        <v/>
      </c>
      <c r="W1126" s="36">
        <f>IF(AND(OR(sel_Region="All",C1126=sel_Region),OR(sel_Country="All",D1126=sel_Country),OR(sel_Customer="All",F1126=sel_Customer),OR(sel_Category="All",G1126=sel_Category),OR(sel_Product="All",H1126=sel_Product),AND(S1126&gt;=m_From,S1126&lt;=m_To)),1,0)</f>
        <v/>
      </c>
      <c r="X1126" s="36">
        <f>IF(AND(OR(sel_Region="All",C1126=sel_Region),OR(sel_Country="All",D1126=sel_Country),OR(sel_Channel="All",E1126=sel_Channel),OR(sel_Category="All",G1126=sel_Category),OR(sel_Product="All",H1126=sel_Product),AND(S1126&gt;=m_From,S1126&lt;=m_To)),1,0)</f>
        <v/>
      </c>
      <c r="Y1126" s="36">
        <f>IF(AND(OR(sel_Region="All",C1126=sel_Region),OR(sel_Country="All",D1126=sel_Country),OR(sel_Channel="All",E1126=sel_Channel),OR(sel_Customer="All",F1126=sel_Customer),OR(sel_Product="All",H1126=sel_Product),AND(S1126&gt;=m_From,S1126&lt;=m_To)),1,0)</f>
        <v/>
      </c>
      <c r="Z1126" s="36">
        <f>IF(AND(OR(sel_Region="All",C1126=sel_Region),OR(sel_Country="All",D1126=sel_Country),OR(sel_Channel="All",E1126=sel_Channel),OR(sel_Customer="All",F1126=sel_Customer),OR(sel_Category="All",G1126=sel_Category),AND(S1126&gt;=m_From,S1126&lt;=m_To)),1,0)</f>
        <v/>
      </c>
      <c r="AA1126" s="36">
        <f>IF(AND(OR(sel_Region="All",C1126=sel_Region),OR(sel_Country="All",D1126=sel_Country),OR(sel_Channel="All",E1126=sel_Channel),OR(sel_Customer="All",F1126=sel_Customer),OR(sel_Category="All",G1126=sel_Category),OR(sel_Product="All",H1126=sel_Product)),1,0)</f>
        <v/>
      </c>
    </row>
    <row r="1127">
      <c r="A1127" s="36" t="inlineStr">
        <is>
          <t>02780</t>
        </is>
      </c>
      <c r="B1127" s="44" t="n">
        <v>46191</v>
      </c>
      <c r="C1127" s="36" t="inlineStr">
        <is>
          <t>Northern Europe</t>
        </is>
      </c>
      <c r="D1127" s="36" t="inlineStr">
        <is>
          <t>Ireland</t>
        </is>
      </c>
      <c r="E1127" s="36" t="inlineStr">
        <is>
          <t>Online Store</t>
        </is>
      </c>
      <c r="F1127" s="36" t="inlineStr">
        <is>
          <t>New</t>
        </is>
      </c>
      <c r="G1127" s="36" t="inlineStr">
        <is>
          <t>Fitness</t>
        </is>
      </c>
      <c r="H1127" s="36" t="inlineStr">
        <is>
          <t>Recovery Roller</t>
        </is>
      </c>
      <c r="I1127" s="36" t="n">
        <v>2</v>
      </c>
      <c r="J1127" s="39" t="n">
        <v>35.61</v>
      </c>
      <c r="K1127" s="45" t="n">
        <v>0.15</v>
      </c>
      <c r="L1127" s="39" t="n">
        <v>13.96</v>
      </c>
      <c r="M1127" s="39">
        <f>I1127*J1127*(1-K1127)</f>
        <v/>
      </c>
      <c r="N1127" s="39">
        <f>I1127*L1127</f>
        <v/>
      </c>
      <c r="O1127" s="39">
        <f>M1127-N1127</f>
        <v/>
      </c>
      <c r="P1127" s="38">
        <f>IF(M1127=0,0,O1127/M1127)</f>
        <v/>
      </c>
      <c r="Q1127" s="36">
        <f>YEAR(B1127)</f>
        <v/>
      </c>
      <c r="R1127" s="36">
        <f>"Q"&amp;ROUNDUP(MONTH(B1127)/3,0)</f>
        <v/>
      </c>
      <c r="S1127" s="36">
        <f>MONTH(B1127)</f>
        <v/>
      </c>
      <c r="T1127" s="36">
        <f>TEXT(B1127,"mmm")</f>
        <v/>
      </c>
      <c r="U1127" s="36">
        <f>IF(AND(OR(sel_Region="All",C1127=sel_Region),OR(sel_Country="All",D1127=sel_Country),OR(sel_Channel="All",E1127=sel_Channel),OR(sel_Customer="All",F1127=sel_Customer),OR(sel_Category="All",G1127=sel_Category),OR(sel_Product="All",H1127=sel_Product),AND(S1127&gt;=m_From,S1127&lt;=m_To)),1,0)</f>
        <v/>
      </c>
      <c r="V1127" s="36">
        <f>IF(AND(OR(sel_Region="All",C1127=sel_Region),OR(sel_Channel="All",E1127=sel_Channel),OR(sel_Customer="All",F1127=sel_Customer),OR(sel_Category="All",G1127=sel_Category),OR(sel_Product="All",H1127=sel_Product),AND(S1127&gt;=m_From,S1127&lt;=m_To)),1,0)</f>
        <v/>
      </c>
      <c r="W1127" s="36">
        <f>IF(AND(OR(sel_Region="All",C1127=sel_Region),OR(sel_Country="All",D1127=sel_Country),OR(sel_Customer="All",F1127=sel_Customer),OR(sel_Category="All",G1127=sel_Category),OR(sel_Product="All",H1127=sel_Product),AND(S1127&gt;=m_From,S1127&lt;=m_To)),1,0)</f>
        <v/>
      </c>
      <c r="X1127" s="36">
        <f>IF(AND(OR(sel_Region="All",C1127=sel_Region),OR(sel_Country="All",D1127=sel_Country),OR(sel_Channel="All",E1127=sel_Channel),OR(sel_Category="All",G1127=sel_Category),OR(sel_Product="All",H1127=sel_Product),AND(S1127&gt;=m_From,S1127&lt;=m_To)),1,0)</f>
        <v/>
      </c>
      <c r="Y1127" s="36">
        <f>IF(AND(OR(sel_Region="All",C1127=sel_Region),OR(sel_Country="All",D1127=sel_Country),OR(sel_Channel="All",E1127=sel_Channel),OR(sel_Customer="All",F1127=sel_Customer),OR(sel_Product="All",H1127=sel_Product),AND(S1127&gt;=m_From,S1127&lt;=m_To)),1,0)</f>
        <v/>
      </c>
      <c r="Z1127" s="36">
        <f>IF(AND(OR(sel_Region="All",C1127=sel_Region),OR(sel_Country="All",D1127=sel_Country),OR(sel_Channel="All",E1127=sel_Channel),OR(sel_Customer="All",F1127=sel_Customer),OR(sel_Category="All",G1127=sel_Category),AND(S1127&gt;=m_From,S1127&lt;=m_To)),1,0)</f>
        <v/>
      </c>
      <c r="AA1127" s="36">
        <f>IF(AND(OR(sel_Region="All",C1127=sel_Region),OR(sel_Country="All",D1127=sel_Country),OR(sel_Channel="All",E1127=sel_Channel),OR(sel_Customer="All",F1127=sel_Customer),OR(sel_Category="All",G1127=sel_Category),OR(sel_Product="All",H1127=sel_Product)),1,0)</f>
        <v/>
      </c>
    </row>
    <row r="1128">
      <c r="A1128" s="36" t="inlineStr">
        <is>
          <t>03209</t>
        </is>
      </c>
      <c r="B1128" s="44" t="n">
        <v>46191</v>
      </c>
      <c r="C1128" s="36" t="inlineStr">
        <is>
          <t>Western Europe</t>
        </is>
      </c>
      <c r="D1128" s="36" t="inlineStr">
        <is>
          <t>France</t>
        </is>
      </c>
      <c r="E1128" s="36" t="inlineStr">
        <is>
          <t>Online Store</t>
        </is>
      </c>
      <c r="F1128" s="36" t="inlineStr">
        <is>
          <t>Returning</t>
        </is>
      </c>
      <c r="G1128" s="36" t="inlineStr">
        <is>
          <t>Travel</t>
        </is>
      </c>
      <c r="H1128" s="36" t="inlineStr">
        <is>
          <t>Carry-On Duffel</t>
        </is>
      </c>
      <c r="I1128" s="36" t="n">
        <v>2</v>
      </c>
      <c r="J1128" s="39" t="n">
        <v>133.12</v>
      </c>
      <c r="K1128" s="45" t="n">
        <v>0</v>
      </c>
      <c r="L1128" s="39" t="n">
        <v>67.02</v>
      </c>
      <c r="M1128" s="39">
        <f>I1128*J1128*(1-K1128)</f>
        <v/>
      </c>
      <c r="N1128" s="39">
        <f>I1128*L1128</f>
        <v/>
      </c>
      <c r="O1128" s="39">
        <f>M1128-N1128</f>
        <v/>
      </c>
      <c r="P1128" s="38">
        <f>IF(M1128=0,0,O1128/M1128)</f>
        <v/>
      </c>
      <c r="Q1128" s="36">
        <f>YEAR(B1128)</f>
        <v/>
      </c>
      <c r="R1128" s="36">
        <f>"Q"&amp;ROUNDUP(MONTH(B1128)/3,0)</f>
        <v/>
      </c>
      <c r="S1128" s="36">
        <f>MONTH(B1128)</f>
        <v/>
      </c>
      <c r="T1128" s="36">
        <f>TEXT(B1128,"mmm")</f>
        <v/>
      </c>
      <c r="U1128" s="36">
        <f>IF(AND(OR(sel_Region="All",C1128=sel_Region),OR(sel_Country="All",D1128=sel_Country),OR(sel_Channel="All",E1128=sel_Channel),OR(sel_Customer="All",F1128=sel_Customer),OR(sel_Category="All",G1128=sel_Category),OR(sel_Product="All",H1128=sel_Product),AND(S1128&gt;=m_From,S1128&lt;=m_To)),1,0)</f>
        <v/>
      </c>
      <c r="V1128" s="36">
        <f>IF(AND(OR(sel_Region="All",C1128=sel_Region),OR(sel_Channel="All",E1128=sel_Channel),OR(sel_Customer="All",F1128=sel_Customer),OR(sel_Category="All",G1128=sel_Category),OR(sel_Product="All",H1128=sel_Product),AND(S1128&gt;=m_From,S1128&lt;=m_To)),1,0)</f>
        <v/>
      </c>
      <c r="W1128" s="36">
        <f>IF(AND(OR(sel_Region="All",C1128=sel_Region),OR(sel_Country="All",D1128=sel_Country),OR(sel_Customer="All",F1128=sel_Customer),OR(sel_Category="All",G1128=sel_Category),OR(sel_Product="All",H1128=sel_Product),AND(S1128&gt;=m_From,S1128&lt;=m_To)),1,0)</f>
        <v/>
      </c>
      <c r="X1128" s="36">
        <f>IF(AND(OR(sel_Region="All",C1128=sel_Region),OR(sel_Country="All",D1128=sel_Country),OR(sel_Channel="All",E1128=sel_Channel),OR(sel_Category="All",G1128=sel_Category),OR(sel_Product="All",H1128=sel_Product),AND(S1128&gt;=m_From,S1128&lt;=m_To)),1,0)</f>
        <v/>
      </c>
      <c r="Y1128" s="36">
        <f>IF(AND(OR(sel_Region="All",C1128=sel_Region),OR(sel_Country="All",D1128=sel_Country),OR(sel_Channel="All",E1128=sel_Channel),OR(sel_Customer="All",F1128=sel_Customer),OR(sel_Product="All",H1128=sel_Product),AND(S1128&gt;=m_From,S1128&lt;=m_To)),1,0)</f>
        <v/>
      </c>
      <c r="Z1128" s="36">
        <f>IF(AND(OR(sel_Region="All",C1128=sel_Region),OR(sel_Country="All",D1128=sel_Country),OR(sel_Channel="All",E1128=sel_Channel),OR(sel_Customer="All",F1128=sel_Customer),OR(sel_Category="All",G1128=sel_Category),AND(S1128&gt;=m_From,S1128&lt;=m_To)),1,0)</f>
        <v/>
      </c>
      <c r="AA1128" s="36">
        <f>IF(AND(OR(sel_Region="All",C1128=sel_Region),OR(sel_Country="All",D1128=sel_Country),OR(sel_Channel="All",E1128=sel_Channel),OR(sel_Customer="All",F1128=sel_Customer),OR(sel_Category="All",G1128=sel_Category),OR(sel_Product="All",H1128=sel_Product)),1,0)</f>
        <v/>
      </c>
    </row>
    <row r="1129">
      <c r="A1129" s="36" t="inlineStr">
        <is>
          <t>03414</t>
        </is>
      </c>
      <c r="B1129" s="44" t="n">
        <v>46191</v>
      </c>
      <c r="C1129" s="36" t="inlineStr">
        <is>
          <t>Southern Europe</t>
        </is>
      </c>
      <c r="D1129" s="36" t="inlineStr">
        <is>
          <t>Italy</t>
        </is>
      </c>
      <c r="E1129" s="36" t="inlineStr">
        <is>
          <t>Marketplace</t>
        </is>
      </c>
      <c r="F1129" s="36" t="inlineStr">
        <is>
          <t>Returning</t>
        </is>
      </c>
      <c r="G1129" s="36" t="inlineStr">
        <is>
          <t>Cycling</t>
        </is>
      </c>
      <c r="H1129" s="36" t="inlineStr">
        <is>
          <t>Trail Bike Light</t>
        </is>
      </c>
      <c r="I1129" s="36" t="n">
        <v>1</v>
      </c>
      <c r="J1129" s="39" t="n">
        <v>51.23</v>
      </c>
      <c r="K1129" s="45" t="n">
        <v>0.05</v>
      </c>
      <c r="L1129" s="39" t="n">
        <v>23.12</v>
      </c>
      <c r="M1129" s="39">
        <f>I1129*J1129*(1-K1129)</f>
        <v/>
      </c>
      <c r="N1129" s="39">
        <f>I1129*L1129</f>
        <v/>
      </c>
      <c r="O1129" s="39">
        <f>M1129-N1129</f>
        <v/>
      </c>
      <c r="P1129" s="38">
        <f>IF(M1129=0,0,O1129/M1129)</f>
        <v/>
      </c>
      <c r="Q1129" s="36">
        <f>YEAR(B1129)</f>
        <v/>
      </c>
      <c r="R1129" s="36">
        <f>"Q"&amp;ROUNDUP(MONTH(B1129)/3,0)</f>
        <v/>
      </c>
      <c r="S1129" s="36">
        <f>MONTH(B1129)</f>
        <v/>
      </c>
      <c r="T1129" s="36">
        <f>TEXT(B1129,"mmm")</f>
        <v/>
      </c>
      <c r="U1129" s="36">
        <f>IF(AND(OR(sel_Region="All",C1129=sel_Region),OR(sel_Country="All",D1129=sel_Country),OR(sel_Channel="All",E1129=sel_Channel),OR(sel_Customer="All",F1129=sel_Customer),OR(sel_Category="All",G1129=sel_Category),OR(sel_Product="All",H1129=sel_Product),AND(S1129&gt;=m_From,S1129&lt;=m_To)),1,0)</f>
        <v/>
      </c>
      <c r="V1129" s="36">
        <f>IF(AND(OR(sel_Region="All",C1129=sel_Region),OR(sel_Channel="All",E1129=sel_Channel),OR(sel_Customer="All",F1129=sel_Customer),OR(sel_Category="All",G1129=sel_Category),OR(sel_Product="All",H1129=sel_Product),AND(S1129&gt;=m_From,S1129&lt;=m_To)),1,0)</f>
        <v/>
      </c>
      <c r="W1129" s="36">
        <f>IF(AND(OR(sel_Region="All",C1129=sel_Region),OR(sel_Country="All",D1129=sel_Country),OR(sel_Customer="All",F1129=sel_Customer),OR(sel_Category="All",G1129=sel_Category),OR(sel_Product="All",H1129=sel_Product),AND(S1129&gt;=m_From,S1129&lt;=m_To)),1,0)</f>
        <v/>
      </c>
      <c r="X1129" s="36">
        <f>IF(AND(OR(sel_Region="All",C1129=sel_Region),OR(sel_Country="All",D1129=sel_Country),OR(sel_Channel="All",E1129=sel_Channel),OR(sel_Category="All",G1129=sel_Category),OR(sel_Product="All",H1129=sel_Product),AND(S1129&gt;=m_From,S1129&lt;=m_To)),1,0)</f>
        <v/>
      </c>
      <c r="Y1129" s="36">
        <f>IF(AND(OR(sel_Region="All",C1129=sel_Region),OR(sel_Country="All",D1129=sel_Country),OR(sel_Channel="All",E1129=sel_Channel),OR(sel_Customer="All",F1129=sel_Customer),OR(sel_Product="All",H1129=sel_Product),AND(S1129&gt;=m_From,S1129&lt;=m_To)),1,0)</f>
        <v/>
      </c>
      <c r="Z1129" s="36">
        <f>IF(AND(OR(sel_Region="All",C1129=sel_Region),OR(sel_Country="All",D1129=sel_Country),OR(sel_Channel="All",E1129=sel_Channel),OR(sel_Customer="All",F1129=sel_Customer),OR(sel_Category="All",G1129=sel_Category),AND(S1129&gt;=m_From,S1129&lt;=m_To)),1,0)</f>
        <v/>
      </c>
      <c r="AA1129" s="36">
        <f>IF(AND(OR(sel_Region="All",C1129=sel_Region),OR(sel_Country="All",D1129=sel_Country),OR(sel_Channel="All",E1129=sel_Channel),OR(sel_Customer="All",F1129=sel_Customer),OR(sel_Category="All",G1129=sel_Category),OR(sel_Product="All",H1129=sel_Product)),1,0)</f>
        <v/>
      </c>
    </row>
    <row r="1130">
      <c r="A1130" s="36" t="inlineStr">
        <is>
          <t>03846</t>
        </is>
      </c>
      <c r="B1130" s="44" t="n">
        <v>46191</v>
      </c>
      <c r="C1130" s="36" t="inlineStr">
        <is>
          <t>Central Europe</t>
        </is>
      </c>
      <c r="D1130" s="36" t="inlineStr">
        <is>
          <t>Germany</t>
        </is>
      </c>
      <c r="E1130" s="36" t="inlineStr">
        <is>
          <t>Online Store</t>
        </is>
      </c>
      <c r="F1130" s="36" t="inlineStr">
        <is>
          <t>Business</t>
        </is>
      </c>
      <c r="G1130" s="36" t="inlineStr">
        <is>
          <t>Hiking</t>
        </is>
      </c>
      <c r="H1130" s="36" t="inlineStr">
        <is>
          <t>Hiking Daypack 20L</t>
        </is>
      </c>
      <c r="I1130" s="36" t="n">
        <v>1</v>
      </c>
      <c r="J1130" s="39" t="n">
        <v>93.5</v>
      </c>
      <c r="K1130" s="45" t="n">
        <v>0</v>
      </c>
      <c r="L1130" s="39" t="n">
        <v>46.63</v>
      </c>
      <c r="M1130" s="39">
        <f>I1130*J1130*(1-K1130)</f>
        <v/>
      </c>
      <c r="N1130" s="39">
        <f>I1130*L1130</f>
        <v/>
      </c>
      <c r="O1130" s="39">
        <f>M1130-N1130</f>
        <v/>
      </c>
      <c r="P1130" s="38">
        <f>IF(M1130=0,0,O1130/M1130)</f>
        <v/>
      </c>
      <c r="Q1130" s="36">
        <f>YEAR(B1130)</f>
        <v/>
      </c>
      <c r="R1130" s="36">
        <f>"Q"&amp;ROUNDUP(MONTH(B1130)/3,0)</f>
        <v/>
      </c>
      <c r="S1130" s="36">
        <f>MONTH(B1130)</f>
        <v/>
      </c>
      <c r="T1130" s="36">
        <f>TEXT(B1130,"mmm")</f>
        <v/>
      </c>
      <c r="U1130" s="36">
        <f>IF(AND(OR(sel_Region="All",C1130=sel_Region),OR(sel_Country="All",D1130=sel_Country),OR(sel_Channel="All",E1130=sel_Channel),OR(sel_Customer="All",F1130=sel_Customer),OR(sel_Category="All",G1130=sel_Category),OR(sel_Product="All",H1130=sel_Product),AND(S1130&gt;=m_From,S1130&lt;=m_To)),1,0)</f>
        <v/>
      </c>
      <c r="V1130" s="36">
        <f>IF(AND(OR(sel_Region="All",C1130=sel_Region),OR(sel_Channel="All",E1130=sel_Channel),OR(sel_Customer="All",F1130=sel_Customer),OR(sel_Category="All",G1130=sel_Category),OR(sel_Product="All",H1130=sel_Product),AND(S1130&gt;=m_From,S1130&lt;=m_To)),1,0)</f>
        <v/>
      </c>
      <c r="W1130" s="36">
        <f>IF(AND(OR(sel_Region="All",C1130=sel_Region),OR(sel_Country="All",D1130=sel_Country),OR(sel_Customer="All",F1130=sel_Customer),OR(sel_Category="All",G1130=sel_Category),OR(sel_Product="All",H1130=sel_Product),AND(S1130&gt;=m_From,S1130&lt;=m_To)),1,0)</f>
        <v/>
      </c>
      <c r="X1130" s="36">
        <f>IF(AND(OR(sel_Region="All",C1130=sel_Region),OR(sel_Country="All",D1130=sel_Country),OR(sel_Channel="All",E1130=sel_Channel),OR(sel_Category="All",G1130=sel_Category),OR(sel_Product="All",H1130=sel_Product),AND(S1130&gt;=m_From,S1130&lt;=m_To)),1,0)</f>
        <v/>
      </c>
      <c r="Y1130" s="36">
        <f>IF(AND(OR(sel_Region="All",C1130=sel_Region),OR(sel_Country="All",D1130=sel_Country),OR(sel_Channel="All",E1130=sel_Channel),OR(sel_Customer="All",F1130=sel_Customer),OR(sel_Product="All",H1130=sel_Product),AND(S1130&gt;=m_From,S1130&lt;=m_To)),1,0)</f>
        <v/>
      </c>
      <c r="Z1130" s="36">
        <f>IF(AND(OR(sel_Region="All",C1130=sel_Region),OR(sel_Country="All",D1130=sel_Country),OR(sel_Channel="All",E1130=sel_Channel),OR(sel_Customer="All",F1130=sel_Customer),OR(sel_Category="All",G1130=sel_Category),AND(S1130&gt;=m_From,S1130&lt;=m_To)),1,0)</f>
        <v/>
      </c>
      <c r="AA1130" s="36">
        <f>IF(AND(OR(sel_Region="All",C1130=sel_Region),OR(sel_Country="All",D1130=sel_Country),OR(sel_Channel="All",E1130=sel_Channel),OR(sel_Customer="All",F1130=sel_Customer),OR(sel_Category="All",G1130=sel_Category),OR(sel_Product="All",H1130=sel_Product)),1,0)</f>
        <v/>
      </c>
    </row>
    <row r="1131">
      <c r="A1131" s="36" t="inlineStr">
        <is>
          <t>04120</t>
        </is>
      </c>
      <c r="B1131" s="44" t="n">
        <v>46191</v>
      </c>
      <c r="C1131" s="36" t="inlineStr">
        <is>
          <t>Western Europe</t>
        </is>
      </c>
      <c r="D1131" s="36" t="inlineStr">
        <is>
          <t>Belgium</t>
        </is>
      </c>
      <c r="E1131" s="36" t="inlineStr">
        <is>
          <t>Retail Partners</t>
        </is>
      </c>
      <c r="F1131" s="36" t="inlineStr">
        <is>
          <t>Returning</t>
        </is>
      </c>
      <c r="G1131" s="36" t="inlineStr">
        <is>
          <t>Fitness</t>
        </is>
      </c>
      <c r="H1131" s="36" t="inlineStr">
        <is>
          <t>Resistance Band Set</t>
        </is>
      </c>
      <c r="I1131" s="36" t="n">
        <v>3</v>
      </c>
      <c r="J1131" s="39" t="n">
        <v>41.16</v>
      </c>
      <c r="K1131" s="45" t="n">
        <v>0</v>
      </c>
      <c r="L1131" s="39" t="n">
        <v>14.79</v>
      </c>
      <c r="M1131" s="39">
        <f>I1131*J1131*(1-K1131)</f>
        <v/>
      </c>
      <c r="N1131" s="39">
        <f>I1131*L1131</f>
        <v/>
      </c>
      <c r="O1131" s="39">
        <f>M1131-N1131</f>
        <v/>
      </c>
      <c r="P1131" s="38">
        <f>IF(M1131=0,0,O1131/M1131)</f>
        <v/>
      </c>
      <c r="Q1131" s="36">
        <f>YEAR(B1131)</f>
        <v/>
      </c>
      <c r="R1131" s="36">
        <f>"Q"&amp;ROUNDUP(MONTH(B1131)/3,0)</f>
        <v/>
      </c>
      <c r="S1131" s="36">
        <f>MONTH(B1131)</f>
        <v/>
      </c>
      <c r="T1131" s="36">
        <f>TEXT(B1131,"mmm")</f>
        <v/>
      </c>
      <c r="U1131" s="36">
        <f>IF(AND(OR(sel_Region="All",C1131=sel_Region),OR(sel_Country="All",D1131=sel_Country),OR(sel_Channel="All",E1131=sel_Channel),OR(sel_Customer="All",F1131=sel_Customer),OR(sel_Category="All",G1131=sel_Category),OR(sel_Product="All",H1131=sel_Product),AND(S1131&gt;=m_From,S1131&lt;=m_To)),1,0)</f>
        <v/>
      </c>
      <c r="V1131" s="36">
        <f>IF(AND(OR(sel_Region="All",C1131=sel_Region),OR(sel_Channel="All",E1131=sel_Channel),OR(sel_Customer="All",F1131=sel_Customer),OR(sel_Category="All",G1131=sel_Category),OR(sel_Product="All",H1131=sel_Product),AND(S1131&gt;=m_From,S1131&lt;=m_To)),1,0)</f>
        <v/>
      </c>
      <c r="W1131" s="36">
        <f>IF(AND(OR(sel_Region="All",C1131=sel_Region),OR(sel_Country="All",D1131=sel_Country),OR(sel_Customer="All",F1131=sel_Customer),OR(sel_Category="All",G1131=sel_Category),OR(sel_Product="All",H1131=sel_Product),AND(S1131&gt;=m_From,S1131&lt;=m_To)),1,0)</f>
        <v/>
      </c>
      <c r="X1131" s="36">
        <f>IF(AND(OR(sel_Region="All",C1131=sel_Region),OR(sel_Country="All",D1131=sel_Country),OR(sel_Channel="All",E1131=sel_Channel),OR(sel_Category="All",G1131=sel_Category),OR(sel_Product="All",H1131=sel_Product),AND(S1131&gt;=m_From,S1131&lt;=m_To)),1,0)</f>
        <v/>
      </c>
      <c r="Y1131" s="36">
        <f>IF(AND(OR(sel_Region="All",C1131=sel_Region),OR(sel_Country="All",D1131=sel_Country),OR(sel_Channel="All",E1131=sel_Channel),OR(sel_Customer="All",F1131=sel_Customer),OR(sel_Product="All",H1131=sel_Product),AND(S1131&gt;=m_From,S1131&lt;=m_To)),1,0)</f>
        <v/>
      </c>
      <c r="Z1131" s="36">
        <f>IF(AND(OR(sel_Region="All",C1131=sel_Region),OR(sel_Country="All",D1131=sel_Country),OR(sel_Channel="All",E1131=sel_Channel),OR(sel_Customer="All",F1131=sel_Customer),OR(sel_Category="All",G1131=sel_Category),AND(S1131&gt;=m_From,S1131&lt;=m_To)),1,0)</f>
        <v/>
      </c>
      <c r="AA1131" s="36">
        <f>IF(AND(OR(sel_Region="All",C1131=sel_Region),OR(sel_Country="All",D1131=sel_Country),OR(sel_Channel="All",E1131=sel_Channel),OR(sel_Customer="All",F1131=sel_Customer),OR(sel_Category="All",G1131=sel_Category),OR(sel_Product="All",H1131=sel_Product)),1,0)</f>
        <v/>
      </c>
    </row>
    <row r="1132">
      <c r="A1132" s="36" t="inlineStr">
        <is>
          <t>04217</t>
        </is>
      </c>
      <c r="B1132" s="44" t="n">
        <v>46191</v>
      </c>
      <c r="C1132" s="36" t="inlineStr">
        <is>
          <t>Central Europe</t>
        </is>
      </c>
      <c r="D1132" s="36" t="inlineStr">
        <is>
          <t>Germany</t>
        </is>
      </c>
      <c r="E1132" s="36" t="inlineStr">
        <is>
          <t>Marketplace</t>
        </is>
      </c>
      <c r="F1132" s="36" t="inlineStr">
        <is>
          <t>New</t>
        </is>
      </c>
      <c r="G1132" s="36" t="inlineStr">
        <is>
          <t>Fitness</t>
        </is>
      </c>
      <c r="H1132" s="36" t="inlineStr">
        <is>
          <t>Resistance Band Set</t>
        </is>
      </c>
      <c r="I1132" s="36" t="n">
        <v>1</v>
      </c>
      <c r="J1132" s="39" t="n">
        <v>39.74</v>
      </c>
      <c r="K1132" s="45" t="n">
        <v>0.05</v>
      </c>
      <c r="L1132" s="39" t="n">
        <v>14.39</v>
      </c>
      <c r="M1132" s="39">
        <f>I1132*J1132*(1-K1132)</f>
        <v/>
      </c>
      <c r="N1132" s="39">
        <f>I1132*L1132</f>
        <v/>
      </c>
      <c r="O1132" s="39">
        <f>M1132-N1132</f>
        <v/>
      </c>
      <c r="P1132" s="38">
        <f>IF(M1132=0,0,O1132/M1132)</f>
        <v/>
      </c>
      <c r="Q1132" s="36">
        <f>YEAR(B1132)</f>
        <v/>
      </c>
      <c r="R1132" s="36">
        <f>"Q"&amp;ROUNDUP(MONTH(B1132)/3,0)</f>
        <v/>
      </c>
      <c r="S1132" s="36">
        <f>MONTH(B1132)</f>
        <v/>
      </c>
      <c r="T1132" s="36">
        <f>TEXT(B1132,"mmm")</f>
        <v/>
      </c>
      <c r="U1132" s="36">
        <f>IF(AND(OR(sel_Region="All",C1132=sel_Region),OR(sel_Country="All",D1132=sel_Country),OR(sel_Channel="All",E1132=sel_Channel),OR(sel_Customer="All",F1132=sel_Customer),OR(sel_Category="All",G1132=sel_Category),OR(sel_Product="All",H1132=sel_Product),AND(S1132&gt;=m_From,S1132&lt;=m_To)),1,0)</f>
        <v/>
      </c>
      <c r="V1132" s="36">
        <f>IF(AND(OR(sel_Region="All",C1132=sel_Region),OR(sel_Channel="All",E1132=sel_Channel),OR(sel_Customer="All",F1132=sel_Customer),OR(sel_Category="All",G1132=sel_Category),OR(sel_Product="All",H1132=sel_Product),AND(S1132&gt;=m_From,S1132&lt;=m_To)),1,0)</f>
        <v/>
      </c>
      <c r="W1132" s="36">
        <f>IF(AND(OR(sel_Region="All",C1132=sel_Region),OR(sel_Country="All",D1132=sel_Country),OR(sel_Customer="All",F1132=sel_Customer),OR(sel_Category="All",G1132=sel_Category),OR(sel_Product="All",H1132=sel_Product),AND(S1132&gt;=m_From,S1132&lt;=m_To)),1,0)</f>
        <v/>
      </c>
      <c r="X1132" s="36">
        <f>IF(AND(OR(sel_Region="All",C1132=sel_Region),OR(sel_Country="All",D1132=sel_Country),OR(sel_Channel="All",E1132=sel_Channel),OR(sel_Category="All",G1132=sel_Category),OR(sel_Product="All",H1132=sel_Product),AND(S1132&gt;=m_From,S1132&lt;=m_To)),1,0)</f>
        <v/>
      </c>
      <c r="Y1132" s="36">
        <f>IF(AND(OR(sel_Region="All",C1132=sel_Region),OR(sel_Country="All",D1132=sel_Country),OR(sel_Channel="All",E1132=sel_Channel),OR(sel_Customer="All",F1132=sel_Customer),OR(sel_Product="All",H1132=sel_Product),AND(S1132&gt;=m_From,S1132&lt;=m_To)),1,0)</f>
        <v/>
      </c>
      <c r="Z1132" s="36">
        <f>IF(AND(OR(sel_Region="All",C1132=sel_Region),OR(sel_Country="All",D1132=sel_Country),OR(sel_Channel="All",E1132=sel_Channel),OR(sel_Customer="All",F1132=sel_Customer),OR(sel_Category="All",G1132=sel_Category),AND(S1132&gt;=m_From,S1132&lt;=m_To)),1,0)</f>
        <v/>
      </c>
      <c r="AA1132" s="36">
        <f>IF(AND(OR(sel_Region="All",C1132=sel_Region),OR(sel_Country="All",D1132=sel_Country),OR(sel_Channel="All",E1132=sel_Channel),OR(sel_Customer="All",F1132=sel_Customer),OR(sel_Category="All",G1132=sel_Category),OR(sel_Product="All",H1132=sel_Product)),1,0)</f>
        <v/>
      </c>
    </row>
    <row r="1133">
      <c r="A1133" s="36" t="inlineStr">
        <is>
          <t>04786</t>
        </is>
      </c>
      <c r="B1133" s="44" t="n">
        <v>46191</v>
      </c>
      <c r="C1133" s="36" t="inlineStr">
        <is>
          <t>Western Europe</t>
        </is>
      </c>
      <c r="D1133" s="36" t="inlineStr">
        <is>
          <t>Netherlands</t>
        </is>
      </c>
      <c r="E1133" s="36" t="inlineStr">
        <is>
          <t>Online Store</t>
        </is>
      </c>
      <c r="F1133" s="36" t="inlineStr">
        <is>
          <t>Returning</t>
        </is>
      </c>
      <c r="G1133" s="36" t="inlineStr">
        <is>
          <t>Travel</t>
        </is>
      </c>
      <c r="H1133" s="36" t="inlineStr">
        <is>
          <t>Packing Cube Set</t>
        </is>
      </c>
      <c r="I1133" s="36" t="n">
        <v>3</v>
      </c>
      <c r="J1133" s="39" t="n">
        <v>46.79</v>
      </c>
      <c r="K1133" s="45" t="n">
        <v>0.1</v>
      </c>
      <c r="L1133" s="39" t="n">
        <v>18.25</v>
      </c>
      <c r="M1133" s="39">
        <f>I1133*J1133*(1-K1133)</f>
        <v/>
      </c>
      <c r="N1133" s="39">
        <f>I1133*L1133</f>
        <v/>
      </c>
      <c r="O1133" s="39">
        <f>M1133-N1133</f>
        <v/>
      </c>
      <c r="P1133" s="38">
        <f>IF(M1133=0,0,O1133/M1133)</f>
        <v/>
      </c>
      <c r="Q1133" s="36">
        <f>YEAR(B1133)</f>
        <v/>
      </c>
      <c r="R1133" s="36">
        <f>"Q"&amp;ROUNDUP(MONTH(B1133)/3,0)</f>
        <v/>
      </c>
      <c r="S1133" s="36">
        <f>MONTH(B1133)</f>
        <v/>
      </c>
      <c r="T1133" s="36">
        <f>TEXT(B1133,"mmm")</f>
        <v/>
      </c>
      <c r="U1133" s="36">
        <f>IF(AND(OR(sel_Region="All",C1133=sel_Region),OR(sel_Country="All",D1133=sel_Country),OR(sel_Channel="All",E1133=sel_Channel),OR(sel_Customer="All",F1133=sel_Customer),OR(sel_Category="All",G1133=sel_Category),OR(sel_Product="All",H1133=sel_Product),AND(S1133&gt;=m_From,S1133&lt;=m_To)),1,0)</f>
        <v/>
      </c>
      <c r="V1133" s="36">
        <f>IF(AND(OR(sel_Region="All",C1133=sel_Region),OR(sel_Channel="All",E1133=sel_Channel),OR(sel_Customer="All",F1133=sel_Customer),OR(sel_Category="All",G1133=sel_Category),OR(sel_Product="All",H1133=sel_Product),AND(S1133&gt;=m_From,S1133&lt;=m_To)),1,0)</f>
        <v/>
      </c>
      <c r="W1133" s="36">
        <f>IF(AND(OR(sel_Region="All",C1133=sel_Region),OR(sel_Country="All",D1133=sel_Country),OR(sel_Customer="All",F1133=sel_Customer),OR(sel_Category="All",G1133=sel_Category),OR(sel_Product="All",H1133=sel_Product),AND(S1133&gt;=m_From,S1133&lt;=m_To)),1,0)</f>
        <v/>
      </c>
      <c r="X1133" s="36">
        <f>IF(AND(OR(sel_Region="All",C1133=sel_Region),OR(sel_Country="All",D1133=sel_Country),OR(sel_Channel="All",E1133=sel_Channel),OR(sel_Category="All",G1133=sel_Category),OR(sel_Product="All",H1133=sel_Product),AND(S1133&gt;=m_From,S1133&lt;=m_To)),1,0)</f>
        <v/>
      </c>
      <c r="Y1133" s="36">
        <f>IF(AND(OR(sel_Region="All",C1133=sel_Region),OR(sel_Country="All",D1133=sel_Country),OR(sel_Channel="All",E1133=sel_Channel),OR(sel_Customer="All",F1133=sel_Customer),OR(sel_Product="All",H1133=sel_Product),AND(S1133&gt;=m_From,S1133&lt;=m_To)),1,0)</f>
        <v/>
      </c>
      <c r="Z1133" s="36">
        <f>IF(AND(OR(sel_Region="All",C1133=sel_Region),OR(sel_Country="All",D1133=sel_Country),OR(sel_Channel="All",E1133=sel_Channel),OR(sel_Customer="All",F1133=sel_Customer),OR(sel_Category="All",G1133=sel_Category),AND(S1133&gt;=m_From,S1133&lt;=m_To)),1,0)</f>
        <v/>
      </c>
      <c r="AA1133" s="36">
        <f>IF(AND(OR(sel_Region="All",C1133=sel_Region),OR(sel_Country="All",D1133=sel_Country),OR(sel_Channel="All",E1133=sel_Channel),OR(sel_Customer="All",F1133=sel_Customer),OR(sel_Category="All",G1133=sel_Category),OR(sel_Product="All",H1133=sel_Product)),1,0)</f>
        <v/>
      </c>
    </row>
    <row r="1134">
      <c r="A1134" s="36" t="inlineStr">
        <is>
          <t>00023</t>
        </is>
      </c>
      <c r="B1134" s="44" t="n">
        <v>46192</v>
      </c>
      <c r="C1134" s="36" t="inlineStr">
        <is>
          <t>Western Europe</t>
        </is>
      </c>
      <c r="D1134" s="36" t="inlineStr">
        <is>
          <t>France</t>
        </is>
      </c>
      <c r="E1134" s="36" t="inlineStr">
        <is>
          <t>Corporate</t>
        </is>
      </c>
      <c r="F1134" s="36" t="inlineStr">
        <is>
          <t>Business</t>
        </is>
      </c>
      <c r="G1134" s="36" t="inlineStr">
        <is>
          <t>Hiking</t>
        </is>
      </c>
      <c r="H1134" s="36" t="inlineStr">
        <is>
          <t>Hiking Daypack 20L</t>
        </is>
      </c>
      <c r="I1134" s="36" t="n">
        <v>4</v>
      </c>
      <c r="J1134" s="39" t="n">
        <v>91.73999999999999</v>
      </c>
      <c r="K1134" s="45" t="n">
        <v>0.2</v>
      </c>
      <c r="L1134" s="39" t="n">
        <v>44.74</v>
      </c>
      <c r="M1134" s="39">
        <f>I1134*J1134*(1-K1134)</f>
        <v/>
      </c>
      <c r="N1134" s="39">
        <f>I1134*L1134</f>
        <v/>
      </c>
      <c r="O1134" s="39">
        <f>M1134-N1134</f>
        <v/>
      </c>
      <c r="P1134" s="38">
        <f>IF(M1134=0,0,O1134/M1134)</f>
        <v/>
      </c>
      <c r="Q1134" s="36">
        <f>YEAR(B1134)</f>
        <v/>
      </c>
      <c r="R1134" s="36">
        <f>"Q"&amp;ROUNDUP(MONTH(B1134)/3,0)</f>
        <v/>
      </c>
      <c r="S1134" s="36">
        <f>MONTH(B1134)</f>
        <v/>
      </c>
      <c r="T1134" s="36">
        <f>TEXT(B1134,"mmm")</f>
        <v/>
      </c>
      <c r="U1134" s="36">
        <f>IF(AND(OR(sel_Region="All",C1134=sel_Region),OR(sel_Country="All",D1134=sel_Country),OR(sel_Channel="All",E1134=sel_Channel),OR(sel_Customer="All",F1134=sel_Customer),OR(sel_Category="All",G1134=sel_Category),OR(sel_Product="All",H1134=sel_Product),AND(S1134&gt;=m_From,S1134&lt;=m_To)),1,0)</f>
        <v/>
      </c>
      <c r="V1134" s="36">
        <f>IF(AND(OR(sel_Region="All",C1134=sel_Region),OR(sel_Channel="All",E1134=sel_Channel),OR(sel_Customer="All",F1134=sel_Customer),OR(sel_Category="All",G1134=sel_Category),OR(sel_Product="All",H1134=sel_Product),AND(S1134&gt;=m_From,S1134&lt;=m_To)),1,0)</f>
        <v/>
      </c>
      <c r="W1134" s="36">
        <f>IF(AND(OR(sel_Region="All",C1134=sel_Region),OR(sel_Country="All",D1134=sel_Country),OR(sel_Customer="All",F1134=sel_Customer),OR(sel_Category="All",G1134=sel_Category),OR(sel_Product="All",H1134=sel_Product),AND(S1134&gt;=m_From,S1134&lt;=m_To)),1,0)</f>
        <v/>
      </c>
      <c r="X1134" s="36">
        <f>IF(AND(OR(sel_Region="All",C1134=sel_Region),OR(sel_Country="All",D1134=sel_Country),OR(sel_Channel="All",E1134=sel_Channel),OR(sel_Category="All",G1134=sel_Category),OR(sel_Product="All",H1134=sel_Product),AND(S1134&gt;=m_From,S1134&lt;=m_To)),1,0)</f>
        <v/>
      </c>
      <c r="Y1134" s="36">
        <f>IF(AND(OR(sel_Region="All",C1134=sel_Region),OR(sel_Country="All",D1134=sel_Country),OR(sel_Channel="All",E1134=sel_Channel),OR(sel_Customer="All",F1134=sel_Customer),OR(sel_Product="All",H1134=sel_Product),AND(S1134&gt;=m_From,S1134&lt;=m_To)),1,0)</f>
        <v/>
      </c>
      <c r="Z1134" s="36">
        <f>IF(AND(OR(sel_Region="All",C1134=sel_Region),OR(sel_Country="All",D1134=sel_Country),OR(sel_Channel="All",E1134=sel_Channel),OR(sel_Customer="All",F1134=sel_Customer),OR(sel_Category="All",G1134=sel_Category),AND(S1134&gt;=m_From,S1134&lt;=m_To)),1,0)</f>
        <v/>
      </c>
      <c r="AA1134" s="36">
        <f>IF(AND(OR(sel_Region="All",C1134=sel_Region),OR(sel_Country="All",D1134=sel_Country),OR(sel_Channel="All",E1134=sel_Channel),OR(sel_Customer="All",F1134=sel_Customer),OR(sel_Category="All",G1134=sel_Category),OR(sel_Product="All",H1134=sel_Product)),1,0)</f>
        <v/>
      </c>
    </row>
    <row r="1135">
      <c r="A1135" s="36" t="inlineStr">
        <is>
          <t>00099</t>
        </is>
      </c>
      <c r="B1135" s="44" t="n">
        <v>46192</v>
      </c>
      <c r="C1135" s="36" t="inlineStr">
        <is>
          <t>Western Europe</t>
        </is>
      </c>
      <c r="D1135" s="36" t="inlineStr">
        <is>
          <t>France</t>
        </is>
      </c>
      <c r="E1135" s="36" t="inlineStr">
        <is>
          <t>Online Store</t>
        </is>
      </c>
      <c r="F1135" s="36" t="inlineStr">
        <is>
          <t>New</t>
        </is>
      </c>
      <c r="G1135" s="36" t="inlineStr">
        <is>
          <t>Fitness</t>
        </is>
      </c>
      <c r="H1135" s="36" t="inlineStr">
        <is>
          <t>Recovery Roller</t>
        </is>
      </c>
      <c r="I1135" s="36" t="n">
        <v>1</v>
      </c>
      <c r="J1135" s="39" t="n">
        <v>36.28</v>
      </c>
      <c r="K1135" s="45" t="n">
        <v>0.1</v>
      </c>
      <c r="L1135" s="39" t="n">
        <v>13.8</v>
      </c>
      <c r="M1135" s="39">
        <f>I1135*J1135*(1-K1135)</f>
        <v/>
      </c>
      <c r="N1135" s="39">
        <f>I1135*L1135</f>
        <v/>
      </c>
      <c r="O1135" s="39">
        <f>M1135-N1135</f>
        <v/>
      </c>
      <c r="P1135" s="38">
        <f>IF(M1135=0,0,O1135/M1135)</f>
        <v/>
      </c>
      <c r="Q1135" s="36">
        <f>YEAR(B1135)</f>
        <v/>
      </c>
      <c r="R1135" s="36">
        <f>"Q"&amp;ROUNDUP(MONTH(B1135)/3,0)</f>
        <v/>
      </c>
      <c r="S1135" s="36">
        <f>MONTH(B1135)</f>
        <v/>
      </c>
      <c r="T1135" s="36">
        <f>TEXT(B1135,"mmm")</f>
        <v/>
      </c>
      <c r="U1135" s="36">
        <f>IF(AND(OR(sel_Region="All",C1135=sel_Region),OR(sel_Country="All",D1135=sel_Country),OR(sel_Channel="All",E1135=sel_Channel),OR(sel_Customer="All",F1135=sel_Customer),OR(sel_Category="All",G1135=sel_Category),OR(sel_Product="All",H1135=sel_Product),AND(S1135&gt;=m_From,S1135&lt;=m_To)),1,0)</f>
        <v/>
      </c>
      <c r="V1135" s="36">
        <f>IF(AND(OR(sel_Region="All",C1135=sel_Region),OR(sel_Channel="All",E1135=sel_Channel),OR(sel_Customer="All",F1135=sel_Customer),OR(sel_Category="All",G1135=sel_Category),OR(sel_Product="All",H1135=sel_Product),AND(S1135&gt;=m_From,S1135&lt;=m_To)),1,0)</f>
        <v/>
      </c>
      <c r="W1135" s="36">
        <f>IF(AND(OR(sel_Region="All",C1135=sel_Region),OR(sel_Country="All",D1135=sel_Country),OR(sel_Customer="All",F1135=sel_Customer),OR(sel_Category="All",G1135=sel_Category),OR(sel_Product="All",H1135=sel_Product),AND(S1135&gt;=m_From,S1135&lt;=m_To)),1,0)</f>
        <v/>
      </c>
      <c r="X1135" s="36">
        <f>IF(AND(OR(sel_Region="All",C1135=sel_Region),OR(sel_Country="All",D1135=sel_Country),OR(sel_Channel="All",E1135=sel_Channel),OR(sel_Category="All",G1135=sel_Category),OR(sel_Product="All",H1135=sel_Product),AND(S1135&gt;=m_From,S1135&lt;=m_To)),1,0)</f>
        <v/>
      </c>
      <c r="Y1135" s="36">
        <f>IF(AND(OR(sel_Region="All",C1135=sel_Region),OR(sel_Country="All",D1135=sel_Country),OR(sel_Channel="All",E1135=sel_Channel),OR(sel_Customer="All",F1135=sel_Customer),OR(sel_Product="All",H1135=sel_Product),AND(S1135&gt;=m_From,S1135&lt;=m_To)),1,0)</f>
        <v/>
      </c>
      <c r="Z1135" s="36">
        <f>IF(AND(OR(sel_Region="All",C1135=sel_Region),OR(sel_Country="All",D1135=sel_Country),OR(sel_Channel="All",E1135=sel_Channel),OR(sel_Customer="All",F1135=sel_Customer),OR(sel_Category="All",G1135=sel_Category),AND(S1135&gt;=m_From,S1135&lt;=m_To)),1,0)</f>
        <v/>
      </c>
      <c r="AA1135" s="36">
        <f>IF(AND(OR(sel_Region="All",C1135=sel_Region),OR(sel_Country="All",D1135=sel_Country),OR(sel_Channel="All",E1135=sel_Channel),OR(sel_Customer="All",F1135=sel_Customer),OR(sel_Category="All",G1135=sel_Category),OR(sel_Product="All",H1135=sel_Product)),1,0)</f>
        <v/>
      </c>
    </row>
    <row r="1136">
      <c r="A1136" s="36" t="inlineStr">
        <is>
          <t>00269</t>
        </is>
      </c>
      <c r="B1136" s="44" t="n">
        <v>46192</v>
      </c>
      <c r="C1136" s="36" t="inlineStr">
        <is>
          <t>Western Europe</t>
        </is>
      </c>
      <c r="D1136" s="36" t="inlineStr">
        <is>
          <t>France</t>
        </is>
      </c>
      <c r="E1136" s="36" t="inlineStr">
        <is>
          <t>Corporate</t>
        </is>
      </c>
      <c r="F1136" s="36" t="inlineStr">
        <is>
          <t>Returning</t>
        </is>
      </c>
      <c r="G1136" s="36" t="inlineStr">
        <is>
          <t>Hiking</t>
        </is>
      </c>
      <c r="H1136" s="36" t="inlineStr">
        <is>
          <t>Trekking Poles</t>
        </is>
      </c>
      <c r="I1136" s="36" t="n">
        <v>3</v>
      </c>
      <c r="J1136" s="39" t="n">
        <v>73.02</v>
      </c>
      <c r="K1136" s="45" t="n">
        <v>0.1</v>
      </c>
      <c r="L1136" s="39" t="n">
        <v>32.69</v>
      </c>
      <c r="M1136" s="39">
        <f>I1136*J1136*(1-K1136)</f>
        <v/>
      </c>
      <c r="N1136" s="39">
        <f>I1136*L1136</f>
        <v/>
      </c>
      <c r="O1136" s="39">
        <f>M1136-N1136</f>
        <v/>
      </c>
      <c r="P1136" s="38">
        <f>IF(M1136=0,0,O1136/M1136)</f>
        <v/>
      </c>
      <c r="Q1136" s="36">
        <f>YEAR(B1136)</f>
        <v/>
      </c>
      <c r="R1136" s="36">
        <f>"Q"&amp;ROUNDUP(MONTH(B1136)/3,0)</f>
        <v/>
      </c>
      <c r="S1136" s="36">
        <f>MONTH(B1136)</f>
        <v/>
      </c>
      <c r="T1136" s="36">
        <f>TEXT(B1136,"mmm")</f>
        <v/>
      </c>
      <c r="U1136" s="36">
        <f>IF(AND(OR(sel_Region="All",C1136=sel_Region),OR(sel_Country="All",D1136=sel_Country),OR(sel_Channel="All",E1136=sel_Channel),OR(sel_Customer="All",F1136=sel_Customer),OR(sel_Category="All",G1136=sel_Category),OR(sel_Product="All",H1136=sel_Product),AND(S1136&gt;=m_From,S1136&lt;=m_To)),1,0)</f>
        <v/>
      </c>
      <c r="V1136" s="36">
        <f>IF(AND(OR(sel_Region="All",C1136=sel_Region),OR(sel_Channel="All",E1136=sel_Channel),OR(sel_Customer="All",F1136=sel_Customer),OR(sel_Category="All",G1136=sel_Category),OR(sel_Product="All",H1136=sel_Product),AND(S1136&gt;=m_From,S1136&lt;=m_To)),1,0)</f>
        <v/>
      </c>
      <c r="W1136" s="36">
        <f>IF(AND(OR(sel_Region="All",C1136=sel_Region),OR(sel_Country="All",D1136=sel_Country),OR(sel_Customer="All",F1136=sel_Customer),OR(sel_Category="All",G1136=sel_Category),OR(sel_Product="All",H1136=sel_Product),AND(S1136&gt;=m_From,S1136&lt;=m_To)),1,0)</f>
        <v/>
      </c>
      <c r="X1136" s="36">
        <f>IF(AND(OR(sel_Region="All",C1136=sel_Region),OR(sel_Country="All",D1136=sel_Country),OR(sel_Channel="All",E1136=sel_Channel),OR(sel_Category="All",G1136=sel_Category),OR(sel_Product="All",H1136=sel_Product),AND(S1136&gt;=m_From,S1136&lt;=m_To)),1,0)</f>
        <v/>
      </c>
      <c r="Y1136" s="36">
        <f>IF(AND(OR(sel_Region="All",C1136=sel_Region),OR(sel_Country="All",D1136=sel_Country),OR(sel_Channel="All",E1136=sel_Channel),OR(sel_Customer="All",F1136=sel_Customer),OR(sel_Product="All",H1136=sel_Product),AND(S1136&gt;=m_From,S1136&lt;=m_To)),1,0)</f>
        <v/>
      </c>
      <c r="Z1136" s="36">
        <f>IF(AND(OR(sel_Region="All",C1136=sel_Region),OR(sel_Country="All",D1136=sel_Country),OR(sel_Channel="All",E1136=sel_Channel),OR(sel_Customer="All",F1136=sel_Customer),OR(sel_Category="All",G1136=sel_Category),AND(S1136&gt;=m_From,S1136&lt;=m_To)),1,0)</f>
        <v/>
      </c>
      <c r="AA1136" s="36">
        <f>IF(AND(OR(sel_Region="All",C1136=sel_Region),OR(sel_Country="All",D1136=sel_Country),OR(sel_Channel="All",E1136=sel_Channel),OR(sel_Customer="All",F1136=sel_Customer),OR(sel_Category="All",G1136=sel_Category),OR(sel_Product="All",H1136=sel_Product)),1,0)</f>
        <v/>
      </c>
    </row>
    <row r="1137">
      <c r="A1137" s="36" t="inlineStr">
        <is>
          <t>01772</t>
        </is>
      </c>
      <c r="B1137" s="44" t="n">
        <v>46192</v>
      </c>
      <c r="C1137" s="36" t="inlineStr">
        <is>
          <t>Western Europe</t>
        </is>
      </c>
      <c r="D1137" s="36" t="inlineStr">
        <is>
          <t>Belgium</t>
        </is>
      </c>
      <c r="E1137" s="36" t="inlineStr">
        <is>
          <t>Online Store</t>
        </is>
      </c>
      <c r="F1137" s="36" t="inlineStr">
        <is>
          <t>New</t>
        </is>
      </c>
      <c r="G1137" s="36" t="inlineStr">
        <is>
          <t>Hiking</t>
        </is>
      </c>
      <c r="H1137" s="36" t="inlineStr">
        <is>
          <t>Summit Backpack 45L</t>
        </is>
      </c>
      <c r="I1137" s="36" t="n">
        <v>4</v>
      </c>
      <c r="J1137" s="39" t="n">
        <v>153.38</v>
      </c>
      <c r="K1137" s="45" t="n">
        <v>0</v>
      </c>
      <c r="L1137" s="39" t="n">
        <v>76.92</v>
      </c>
      <c r="M1137" s="39">
        <f>I1137*J1137*(1-K1137)</f>
        <v/>
      </c>
      <c r="N1137" s="39">
        <f>I1137*L1137</f>
        <v/>
      </c>
      <c r="O1137" s="39">
        <f>M1137-N1137</f>
        <v/>
      </c>
      <c r="P1137" s="38">
        <f>IF(M1137=0,0,O1137/M1137)</f>
        <v/>
      </c>
      <c r="Q1137" s="36">
        <f>YEAR(B1137)</f>
        <v/>
      </c>
      <c r="R1137" s="36">
        <f>"Q"&amp;ROUNDUP(MONTH(B1137)/3,0)</f>
        <v/>
      </c>
      <c r="S1137" s="36">
        <f>MONTH(B1137)</f>
        <v/>
      </c>
      <c r="T1137" s="36">
        <f>TEXT(B1137,"mmm")</f>
        <v/>
      </c>
      <c r="U1137" s="36">
        <f>IF(AND(OR(sel_Region="All",C1137=sel_Region),OR(sel_Country="All",D1137=sel_Country),OR(sel_Channel="All",E1137=sel_Channel),OR(sel_Customer="All",F1137=sel_Customer),OR(sel_Category="All",G1137=sel_Category),OR(sel_Product="All",H1137=sel_Product),AND(S1137&gt;=m_From,S1137&lt;=m_To)),1,0)</f>
        <v/>
      </c>
      <c r="V1137" s="36">
        <f>IF(AND(OR(sel_Region="All",C1137=sel_Region),OR(sel_Channel="All",E1137=sel_Channel),OR(sel_Customer="All",F1137=sel_Customer),OR(sel_Category="All",G1137=sel_Category),OR(sel_Product="All",H1137=sel_Product),AND(S1137&gt;=m_From,S1137&lt;=m_To)),1,0)</f>
        <v/>
      </c>
      <c r="W1137" s="36">
        <f>IF(AND(OR(sel_Region="All",C1137=sel_Region),OR(sel_Country="All",D1137=sel_Country),OR(sel_Customer="All",F1137=sel_Customer),OR(sel_Category="All",G1137=sel_Category),OR(sel_Product="All",H1137=sel_Product),AND(S1137&gt;=m_From,S1137&lt;=m_To)),1,0)</f>
        <v/>
      </c>
      <c r="X1137" s="36">
        <f>IF(AND(OR(sel_Region="All",C1137=sel_Region),OR(sel_Country="All",D1137=sel_Country),OR(sel_Channel="All",E1137=sel_Channel),OR(sel_Category="All",G1137=sel_Category),OR(sel_Product="All",H1137=sel_Product),AND(S1137&gt;=m_From,S1137&lt;=m_To)),1,0)</f>
        <v/>
      </c>
      <c r="Y1137" s="36">
        <f>IF(AND(OR(sel_Region="All",C1137=sel_Region),OR(sel_Country="All",D1137=sel_Country),OR(sel_Channel="All",E1137=sel_Channel),OR(sel_Customer="All",F1137=sel_Customer),OR(sel_Product="All",H1137=sel_Product),AND(S1137&gt;=m_From,S1137&lt;=m_To)),1,0)</f>
        <v/>
      </c>
      <c r="Z1137" s="36">
        <f>IF(AND(OR(sel_Region="All",C1137=sel_Region),OR(sel_Country="All",D1137=sel_Country),OR(sel_Channel="All",E1137=sel_Channel),OR(sel_Customer="All",F1137=sel_Customer),OR(sel_Category="All",G1137=sel_Category),AND(S1137&gt;=m_From,S1137&lt;=m_To)),1,0)</f>
        <v/>
      </c>
      <c r="AA1137" s="36">
        <f>IF(AND(OR(sel_Region="All",C1137=sel_Region),OR(sel_Country="All",D1137=sel_Country),OR(sel_Channel="All",E1137=sel_Channel),OR(sel_Customer="All",F1137=sel_Customer),OR(sel_Category="All",G1137=sel_Category),OR(sel_Product="All",H1137=sel_Product)),1,0)</f>
        <v/>
      </c>
    </row>
    <row r="1138">
      <c r="A1138" s="36" t="inlineStr">
        <is>
          <t>01906</t>
        </is>
      </c>
      <c r="B1138" s="44" t="n">
        <v>46192</v>
      </c>
      <c r="C1138" s="36" t="inlineStr">
        <is>
          <t>Western Europe</t>
        </is>
      </c>
      <c r="D1138" s="36" t="inlineStr">
        <is>
          <t>United Kingdom</t>
        </is>
      </c>
      <c r="E1138" s="36" t="inlineStr">
        <is>
          <t>Marketplace</t>
        </is>
      </c>
      <c r="F1138" s="36" t="inlineStr">
        <is>
          <t>Returning</t>
        </is>
      </c>
      <c r="G1138" s="36" t="inlineStr">
        <is>
          <t>Camping</t>
        </is>
      </c>
      <c r="H1138" s="36" t="inlineStr">
        <is>
          <t>Compact Sleeping Bag</t>
        </is>
      </c>
      <c r="I1138" s="36" t="n">
        <v>2</v>
      </c>
      <c r="J1138" s="39" t="n">
        <v>125.5</v>
      </c>
      <c r="K1138" s="45" t="n">
        <v>0</v>
      </c>
      <c r="L1138" s="39" t="n">
        <v>61.67</v>
      </c>
      <c r="M1138" s="39">
        <f>I1138*J1138*(1-K1138)</f>
        <v/>
      </c>
      <c r="N1138" s="39">
        <f>I1138*L1138</f>
        <v/>
      </c>
      <c r="O1138" s="39">
        <f>M1138-N1138</f>
        <v/>
      </c>
      <c r="P1138" s="38">
        <f>IF(M1138=0,0,O1138/M1138)</f>
        <v/>
      </c>
      <c r="Q1138" s="36">
        <f>YEAR(B1138)</f>
        <v/>
      </c>
      <c r="R1138" s="36">
        <f>"Q"&amp;ROUNDUP(MONTH(B1138)/3,0)</f>
        <v/>
      </c>
      <c r="S1138" s="36">
        <f>MONTH(B1138)</f>
        <v/>
      </c>
      <c r="T1138" s="36">
        <f>TEXT(B1138,"mmm")</f>
        <v/>
      </c>
      <c r="U1138" s="36">
        <f>IF(AND(OR(sel_Region="All",C1138=sel_Region),OR(sel_Country="All",D1138=sel_Country),OR(sel_Channel="All",E1138=sel_Channel),OR(sel_Customer="All",F1138=sel_Customer),OR(sel_Category="All",G1138=sel_Category),OR(sel_Product="All",H1138=sel_Product),AND(S1138&gt;=m_From,S1138&lt;=m_To)),1,0)</f>
        <v/>
      </c>
      <c r="V1138" s="36">
        <f>IF(AND(OR(sel_Region="All",C1138=sel_Region),OR(sel_Channel="All",E1138=sel_Channel),OR(sel_Customer="All",F1138=sel_Customer),OR(sel_Category="All",G1138=sel_Category),OR(sel_Product="All",H1138=sel_Product),AND(S1138&gt;=m_From,S1138&lt;=m_To)),1,0)</f>
        <v/>
      </c>
      <c r="W1138" s="36">
        <f>IF(AND(OR(sel_Region="All",C1138=sel_Region),OR(sel_Country="All",D1138=sel_Country),OR(sel_Customer="All",F1138=sel_Customer),OR(sel_Category="All",G1138=sel_Category),OR(sel_Product="All",H1138=sel_Product),AND(S1138&gt;=m_From,S1138&lt;=m_To)),1,0)</f>
        <v/>
      </c>
      <c r="X1138" s="36">
        <f>IF(AND(OR(sel_Region="All",C1138=sel_Region),OR(sel_Country="All",D1138=sel_Country),OR(sel_Channel="All",E1138=sel_Channel),OR(sel_Category="All",G1138=sel_Category),OR(sel_Product="All",H1138=sel_Product),AND(S1138&gt;=m_From,S1138&lt;=m_To)),1,0)</f>
        <v/>
      </c>
      <c r="Y1138" s="36">
        <f>IF(AND(OR(sel_Region="All",C1138=sel_Region),OR(sel_Country="All",D1138=sel_Country),OR(sel_Channel="All",E1138=sel_Channel),OR(sel_Customer="All",F1138=sel_Customer),OR(sel_Product="All",H1138=sel_Product),AND(S1138&gt;=m_From,S1138&lt;=m_To)),1,0)</f>
        <v/>
      </c>
      <c r="Z1138" s="36">
        <f>IF(AND(OR(sel_Region="All",C1138=sel_Region),OR(sel_Country="All",D1138=sel_Country),OR(sel_Channel="All",E1138=sel_Channel),OR(sel_Customer="All",F1138=sel_Customer),OR(sel_Category="All",G1138=sel_Category),AND(S1138&gt;=m_From,S1138&lt;=m_To)),1,0)</f>
        <v/>
      </c>
      <c r="AA1138" s="36">
        <f>IF(AND(OR(sel_Region="All",C1138=sel_Region),OR(sel_Country="All",D1138=sel_Country),OR(sel_Channel="All",E1138=sel_Channel),OR(sel_Customer="All",F1138=sel_Customer),OR(sel_Category="All",G1138=sel_Category),OR(sel_Product="All",H1138=sel_Product)),1,0)</f>
        <v/>
      </c>
    </row>
    <row r="1139">
      <c r="A1139" s="36" t="inlineStr">
        <is>
          <t>02473</t>
        </is>
      </c>
      <c r="B1139" s="44" t="n">
        <v>46192</v>
      </c>
      <c r="C1139" s="36" t="inlineStr">
        <is>
          <t>Southern Europe</t>
        </is>
      </c>
      <c r="D1139" s="36" t="inlineStr">
        <is>
          <t>Spain</t>
        </is>
      </c>
      <c r="E1139" s="36" t="inlineStr">
        <is>
          <t>Corporate</t>
        </is>
      </c>
      <c r="F1139" s="36" t="inlineStr">
        <is>
          <t>Returning</t>
        </is>
      </c>
      <c r="G1139" s="36" t="inlineStr">
        <is>
          <t>Cycling</t>
        </is>
      </c>
      <c r="H1139" s="36" t="inlineStr">
        <is>
          <t>Commuter Helmet</t>
        </is>
      </c>
      <c r="I1139" s="36" t="n">
        <v>3</v>
      </c>
      <c r="J1139" s="39" t="n">
        <v>80.75</v>
      </c>
      <c r="K1139" s="45" t="n">
        <v>0.15</v>
      </c>
      <c r="L1139" s="39" t="n">
        <v>42.81</v>
      </c>
      <c r="M1139" s="39">
        <f>I1139*J1139*(1-K1139)</f>
        <v/>
      </c>
      <c r="N1139" s="39">
        <f>I1139*L1139</f>
        <v/>
      </c>
      <c r="O1139" s="39">
        <f>M1139-N1139</f>
        <v/>
      </c>
      <c r="P1139" s="38">
        <f>IF(M1139=0,0,O1139/M1139)</f>
        <v/>
      </c>
      <c r="Q1139" s="36">
        <f>YEAR(B1139)</f>
        <v/>
      </c>
      <c r="R1139" s="36">
        <f>"Q"&amp;ROUNDUP(MONTH(B1139)/3,0)</f>
        <v/>
      </c>
      <c r="S1139" s="36">
        <f>MONTH(B1139)</f>
        <v/>
      </c>
      <c r="T1139" s="36">
        <f>TEXT(B1139,"mmm")</f>
        <v/>
      </c>
      <c r="U1139" s="36">
        <f>IF(AND(OR(sel_Region="All",C1139=sel_Region),OR(sel_Country="All",D1139=sel_Country),OR(sel_Channel="All",E1139=sel_Channel),OR(sel_Customer="All",F1139=sel_Customer),OR(sel_Category="All",G1139=sel_Category),OR(sel_Product="All",H1139=sel_Product),AND(S1139&gt;=m_From,S1139&lt;=m_To)),1,0)</f>
        <v/>
      </c>
      <c r="V1139" s="36">
        <f>IF(AND(OR(sel_Region="All",C1139=sel_Region),OR(sel_Channel="All",E1139=sel_Channel),OR(sel_Customer="All",F1139=sel_Customer),OR(sel_Category="All",G1139=sel_Category),OR(sel_Product="All",H1139=sel_Product),AND(S1139&gt;=m_From,S1139&lt;=m_To)),1,0)</f>
        <v/>
      </c>
      <c r="W1139" s="36">
        <f>IF(AND(OR(sel_Region="All",C1139=sel_Region),OR(sel_Country="All",D1139=sel_Country),OR(sel_Customer="All",F1139=sel_Customer),OR(sel_Category="All",G1139=sel_Category),OR(sel_Product="All",H1139=sel_Product),AND(S1139&gt;=m_From,S1139&lt;=m_To)),1,0)</f>
        <v/>
      </c>
      <c r="X1139" s="36">
        <f>IF(AND(OR(sel_Region="All",C1139=sel_Region),OR(sel_Country="All",D1139=sel_Country),OR(sel_Channel="All",E1139=sel_Channel),OR(sel_Category="All",G1139=sel_Category),OR(sel_Product="All",H1139=sel_Product),AND(S1139&gt;=m_From,S1139&lt;=m_To)),1,0)</f>
        <v/>
      </c>
      <c r="Y1139" s="36">
        <f>IF(AND(OR(sel_Region="All",C1139=sel_Region),OR(sel_Country="All",D1139=sel_Country),OR(sel_Channel="All",E1139=sel_Channel),OR(sel_Customer="All",F1139=sel_Customer),OR(sel_Product="All",H1139=sel_Product),AND(S1139&gt;=m_From,S1139&lt;=m_To)),1,0)</f>
        <v/>
      </c>
      <c r="Z1139" s="36">
        <f>IF(AND(OR(sel_Region="All",C1139=sel_Region),OR(sel_Country="All",D1139=sel_Country),OR(sel_Channel="All",E1139=sel_Channel),OR(sel_Customer="All",F1139=sel_Customer),OR(sel_Category="All",G1139=sel_Category),AND(S1139&gt;=m_From,S1139&lt;=m_To)),1,0)</f>
        <v/>
      </c>
      <c r="AA1139" s="36">
        <f>IF(AND(OR(sel_Region="All",C1139=sel_Region),OR(sel_Country="All",D1139=sel_Country),OR(sel_Channel="All",E1139=sel_Channel),OR(sel_Customer="All",F1139=sel_Customer),OR(sel_Category="All",G1139=sel_Category),OR(sel_Product="All",H1139=sel_Product)),1,0)</f>
        <v/>
      </c>
    </row>
    <row r="1140">
      <c r="A1140" s="36" t="inlineStr">
        <is>
          <t>02549</t>
        </is>
      </c>
      <c r="B1140" s="44" t="n">
        <v>46192</v>
      </c>
      <c r="C1140" s="36" t="inlineStr">
        <is>
          <t>Western Europe</t>
        </is>
      </c>
      <c r="D1140" s="36" t="inlineStr">
        <is>
          <t>France</t>
        </is>
      </c>
      <c r="E1140" s="36" t="inlineStr">
        <is>
          <t>Corporate</t>
        </is>
      </c>
      <c r="F1140" s="36" t="inlineStr">
        <is>
          <t>Returning</t>
        </is>
      </c>
      <c r="G1140" s="36" t="inlineStr">
        <is>
          <t>Fitness</t>
        </is>
      </c>
      <c r="H1140" s="36" t="inlineStr">
        <is>
          <t>Recovery Roller</t>
        </is>
      </c>
      <c r="I1140" s="36" t="n">
        <v>8</v>
      </c>
      <c r="J1140" s="39" t="n">
        <v>36.15</v>
      </c>
      <c r="K1140" s="45" t="n">
        <v>0.05</v>
      </c>
      <c r="L1140" s="39" t="n">
        <v>13.55</v>
      </c>
      <c r="M1140" s="39">
        <f>I1140*J1140*(1-K1140)</f>
        <v/>
      </c>
      <c r="N1140" s="39">
        <f>I1140*L1140</f>
        <v/>
      </c>
      <c r="O1140" s="39">
        <f>M1140-N1140</f>
        <v/>
      </c>
      <c r="P1140" s="38">
        <f>IF(M1140=0,0,O1140/M1140)</f>
        <v/>
      </c>
      <c r="Q1140" s="36">
        <f>YEAR(B1140)</f>
        <v/>
      </c>
      <c r="R1140" s="36">
        <f>"Q"&amp;ROUNDUP(MONTH(B1140)/3,0)</f>
        <v/>
      </c>
      <c r="S1140" s="36">
        <f>MONTH(B1140)</f>
        <v/>
      </c>
      <c r="T1140" s="36">
        <f>TEXT(B1140,"mmm")</f>
        <v/>
      </c>
      <c r="U1140" s="36">
        <f>IF(AND(OR(sel_Region="All",C1140=sel_Region),OR(sel_Country="All",D1140=sel_Country),OR(sel_Channel="All",E1140=sel_Channel),OR(sel_Customer="All",F1140=sel_Customer),OR(sel_Category="All",G1140=sel_Category),OR(sel_Product="All",H1140=sel_Product),AND(S1140&gt;=m_From,S1140&lt;=m_To)),1,0)</f>
        <v/>
      </c>
      <c r="V1140" s="36">
        <f>IF(AND(OR(sel_Region="All",C1140=sel_Region),OR(sel_Channel="All",E1140=sel_Channel),OR(sel_Customer="All",F1140=sel_Customer),OR(sel_Category="All",G1140=sel_Category),OR(sel_Product="All",H1140=sel_Product),AND(S1140&gt;=m_From,S1140&lt;=m_To)),1,0)</f>
        <v/>
      </c>
      <c r="W1140" s="36">
        <f>IF(AND(OR(sel_Region="All",C1140=sel_Region),OR(sel_Country="All",D1140=sel_Country),OR(sel_Customer="All",F1140=sel_Customer),OR(sel_Category="All",G1140=sel_Category),OR(sel_Product="All",H1140=sel_Product),AND(S1140&gt;=m_From,S1140&lt;=m_To)),1,0)</f>
        <v/>
      </c>
      <c r="X1140" s="36">
        <f>IF(AND(OR(sel_Region="All",C1140=sel_Region),OR(sel_Country="All",D1140=sel_Country),OR(sel_Channel="All",E1140=sel_Channel),OR(sel_Category="All",G1140=sel_Category),OR(sel_Product="All",H1140=sel_Product),AND(S1140&gt;=m_From,S1140&lt;=m_To)),1,0)</f>
        <v/>
      </c>
      <c r="Y1140" s="36">
        <f>IF(AND(OR(sel_Region="All",C1140=sel_Region),OR(sel_Country="All",D1140=sel_Country),OR(sel_Channel="All",E1140=sel_Channel),OR(sel_Customer="All",F1140=sel_Customer),OR(sel_Product="All",H1140=sel_Product),AND(S1140&gt;=m_From,S1140&lt;=m_To)),1,0)</f>
        <v/>
      </c>
      <c r="Z1140" s="36">
        <f>IF(AND(OR(sel_Region="All",C1140=sel_Region),OR(sel_Country="All",D1140=sel_Country),OR(sel_Channel="All",E1140=sel_Channel),OR(sel_Customer="All",F1140=sel_Customer),OR(sel_Category="All",G1140=sel_Category),AND(S1140&gt;=m_From,S1140&lt;=m_To)),1,0)</f>
        <v/>
      </c>
      <c r="AA1140" s="36">
        <f>IF(AND(OR(sel_Region="All",C1140=sel_Region),OR(sel_Country="All",D1140=sel_Country),OR(sel_Channel="All",E1140=sel_Channel),OR(sel_Customer="All",F1140=sel_Customer),OR(sel_Category="All",G1140=sel_Category),OR(sel_Product="All",H1140=sel_Product)),1,0)</f>
        <v/>
      </c>
    </row>
    <row r="1141">
      <c r="A1141" s="36" t="inlineStr">
        <is>
          <t>03341</t>
        </is>
      </c>
      <c r="B1141" s="44" t="n">
        <v>46192</v>
      </c>
      <c r="C1141" s="36" t="inlineStr">
        <is>
          <t>Southern Europe</t>
        </is>
      </c>
      <c r="D1141" s="36" t="inlineStr">
        <is>
          <t>Italy</t>
        </is>
      </c>
      <c r="E1141" s="36" t="inlineStr">
        <is>
          <t>Online Store</t>
        </is>
      </c>
      <c r="F1141" s="36" t="inlineStr">
        <is>
          <t>New</t>
        </is>
      </c>
      <c r="G1141" s="36" t="inlineStr">
        <is>
          <t>Hiking</t>
        </is>
      </c>
      <c r="H1141" s="36" t="inlineStr">
        <is>
          <t>Trail Boots</t>
        </is>
      </c>
      <c r="I1141" s="36" t="n">
        <v>2</v>
      </c>
      <c r="J1141" s="39" t="n">
        <v>143.1</v>
      </c>
      <c r="K1141" s="45" t="n">
        <v>0</v>
      </c>
      <c r="L1141" s="39" t="n">
        <v>78.11</v>
      </c>
      <c r="M1141" s="39">
        <f>I1141*J1141*(1-K1141)</f>
        <v/>
      </c>
      <c r="N1141" s="39">
        <f>I1141*L1141</f>
        <v/>
      </c>
      <c r="O1141" s="39">
        <f>M1141-N1141</f>
        <v/>
      </c>
      <c r="P1141" s="38">
        <f>IF(M1141=0,0,O1141/M1141)</f>
        <v/>
      </c>
      <c r="Q1141" s="36">
        <f>YEAR(B1141)</f>
        <v/>
      </c>
      <c r="R1141" s="36">
        <f>"Q"&amp;ROUNDUP(MONTH(B1141)/3,0)</f>
        <v/>
      </c>
      <c r="S1141" s="36">
        <f>MONTH(B1141)</f>
        <v/>
      </c>
      <c r="T1141" s="36">
        <f>TEXT(B1141,"mmm")</f>
        <v/>
      </c>
      <c r="U1141" s="36">
        <f>IF(AND(OR(sel_Region="All",C1141=sel_Region),OR(sel_Country="All",D1141=sel_Country),OR(sel_Channel="All",E1141=sel_Channel),OR(sel_Customer="All",F1141=sel_Customer),OR(sel_Category="All",G1141=sel_Category),OR(sel_Product="All",H1141=sel_Product),AND(S1141&gt;=m_From,S1141&lt;=m_To)),1,0)</f>
        <v/>
      </c>
      <c r="V1141" s="36">
        <f>IF(AND(OR(sel_Region="All",C1141=sel_Region),OR(sel_Channel="All",E1141=sel_Channel),OR(sel_Customer="All",F1141=sel_Customer),OR(sel_Category="All",G1141=sel_Category),OR(sel_Product="All",H1141=sel_Product),AND(S1141&gt;=m_From,S1141&lt;=m_To)),1,0)</f>
        <v/>
      </c>
      <c r="W1141" s="36">
        <f>IF(AND(OR(sel_Region="All",C1141=sel_Region),OR(sel_Country="All",D1141=sel_Country),OR(sel_Customer="All",F1141=sel_Customer),OR(sel_Category="All",G1141=sel_Category),OR(sel_Product="All",H1141=sel_Product),AND(S1141&gt;=m_From,S1141&lt;=m_To)),1,0)</f>
        <v/>
      </c>
      <c r="X1141" s="36">
        <f>IF(AND(OR(sel_Region="All",C1141=sel_Region),OR(sel_Country="All",D1141=sel_Country),OR(sel_Channel="All",E1141=sel_Channel),OR(sel_Category="All",G1141=sel_Category),OR(sel_Product="All",H1141=sel_Product),AND(S1141&gt;=m_From,S1141&lt;=m_To)),1,0)</f>
        <v/>
      </c>
      <c r="Y1141" s="36">
        <f>IF(AND(OR(sel_Region="All",C1141=sel_Region),OR(sel_Country="All",D1141=sel_Country),OR(sel_Channel="All",E1141=sel_Channel),OR(sel_Customer="All",F1141=sel_Customer),OR(sel_Product="All",H1141=sel_Product),AND(S1141&gt;=m_From,S1141&lt;=m_To)),1,0)</f>
        <v/>
      </c>
      <c r="Z1141" s="36">
        <f>IF(AND(OR(sel_Region="All",C1141=sel_Region),OR(sel_Country="All",D1141=sel_Country),OR(sel_Channel="All",E1141=sel_Channel),OR(sel_Customer="All",F1141=sel_Customer),OR(sel_Category="All",G1141=sel_Category),AND(S1141&gt;=m_From,S1141&lt;=m_To)),1,0)</f>
        <v/>
      </c>
      <c r="AA1141" s="36">
        <f>IF(AND(OR(sel_Region="All",C1141=sel_Region),OR(sel_Country="All",D1141=sel_Country),OR(sel_Channel="All",E1141=sel_Channel),OR(sel_Customer="All",F1141=sel_Customer),OR(sel_Category="All",G1141=sel_Category),OR(sel_Product="All",H1141=sel_Product)),1,0)</f>
        <v/>
      </c>
    </row>
    <row r="1142">
      <c r="A1142" s="36" t="inlineStr">
        <is>
          <t>03351</t>
        </is>
      </c>
      <c r="B1142" s="44" t="n">
        <v>46192</v>
      </c>
      <c r="C1142" s="36" t="inlineStr">
        <is>
          <t>Central Europe</t>
        </is>
      </c>
      <c r="D1142" s="36" t="inlineStr">
        <is>
          <t>Czechia</t>
        </is>
      </c>
      <c r="E1142" s="36" t="inlineStr">
        <is>
          <t>Marketplace</t>
        </is>
      </c>
      <c r="F1142" s="36" t="inlineStr">
        <is>
          <t>New</t>
        </is>
      </c>
      <c r="G1142" s="36" t="inlineStr">
        <is>
          <t>Camping</t>
        </is>
      </c>
      <c r="H1142" s="36" t="inlineStr">
        <is>
          <t>Compact Sleeping Bag</t>
        </is>
      </c>
      <c r="I1142" s="36" t="n">
        <v>4</v>
      </c>
      <c r="J1142" s="39" t="n">
        <v>123.89</v>
      </c>
      <c r="K1142" s="45" t="n">
        <v>0</v>
      </c>
      <c r="L1142" s="39" t="n">
        <v>59.42</v>
      </c>
      <c r="M1142" s="39">
        <f>I1142*J1142*(1-K1142)</f>
        <v/>
      </c>
      <c r="N1142" s="39">
        <f>I1142*L1142</f>
        <v/>
      </c>
      <c r="O1142" s="39">
        <f>M1142-N1142</f>
        <v/>
      </c>
      <c r="P1142" s="38">
        <f>IF(M1142=0,0,O1142/M1142)</f>
        <v/>
      </c>
      <c r="Q1142" s="36">
        <f>YEAR(B1142)</f>
        <v/>
      </c>
      <c r="R1142" s="36">
        <f>"Q"&amp;ROUNDUP(MONTH(B1142)/3,0)</f>
        <v/>
      </c>
      <c r="S1142" s="36">
        <f>MONTH(B1142)</f>
        <v/>
      </c>
      <c r="T1142" s="36">
        <f>TEXT(B1142,"mmm")</f>
        <v/>
      </c>
      <c r="U1142" s="36">
        <f>IF(AND(OR(sel_Region="All",C1142=sel_Region),OR(sel_Country="All",D1142=sel_Country),OR(sel_Channel="All",E1142=sel_Channel),OR(sel_Customer="All",F1142=sel_Customer),OR(sel_Category="All",G1142=sel_Category),OR(sel_Product="All",H1142=sel_Product),AND(S1142&gt;=m_From,S1142&lt;=m_To)),1,0)</f>
        <v/>
      </c>
      <c r="V1142" s="36">
        <f>IF(AND(OR(sel_Region="All",C1142=sel_Region),OR(sel_Channel="All",E1142=sel_Channel),OR(sel_Customer="All",F1142=sel_Customer),OR(sel_Category="All",G1142=sel_Category),OR(sel_Product="All",H1142=sel_Product),AND(S1142&gt;=m_From,S1142&lt;=m_To)),1,0)</f>
        <v/>
      </c>
      <c r="W1142" s="36">
        <f>IF(AND(OR(sel_Region="All",C1142=sel_Region),OR(sel_Country="All",D1142=sel_Country),OR(sel_Customer="All",F1142=sel_Customer),OR(sel_Category="All",G1142=sel_Category),OR(sel_Product="All",H1142=sel_Product),AND(S1142&gt;=m_From,S1142&lt;=m_To)),1,0)</f>
        <v/>
      </c>
      <c r="X1142" s="36">
        <f>IF(AND(OR(sel_Region="All",C1142=sel_Region),OR(sel_Country="All",D1142=sel_Country),OR(sel_Channel="All",E1142=sel_Channel),OR(sel_Category="All",G1142=sel_Category),OR(sel_Product="All",H1142=sel_Product),AND(S1142&gt;=m_From,S1142&lt;=m_To)),1,0)</f>
        <v/>
      </c>
      <c r="Y1142" s="36">
        <f>IF(AND(OR(sel_Region="All",C1142=sel_Region),OR(sel_Country="All",D1142=sel_Country),OR(sel_Channel="All",E1142=sel_Channel),OR(sel_Customer="All",F1142=sel_Customer),OR(sel_Product="All",H1142=sel_Product),AND(S1142&gt;=m_From,S1142&lt;=m_To)),1,0)</f>
        <v/>
      </c>
      <c r="Z1142" s="36">
        <f>IF(AND(OR(sel_Region="All",C1142=sel_Region),OR(sel_Country="All",D1142=sel_Country),OR(sel_Channel="All",E1142=sel_Channel),OR(sel_Customer="All",F1142=sel_Customer),OR(sel_Category="All",G1142=sel_Category),AND(S1142&gt;=m_From,S1142&lt;=m_To)),1,0)</f>
        <v/>
      </c>
      <c r="AA1142" s="36">
        <f>IF(AND(OR(sel_Region="All",C1142=sel_Region),OR(sel_Country="All",D1142=sel_Country),OR(sel_Channel="All",E1142=sel_Channel),OR(sel_Customer="All",F1142=sel_Customer),OR(sel_Category="All",G1142=sel_Category),OR(sel_Product="All",H1142=sel_Product)),1,0)</f>
        <v/>
      </c>
    </row>
    <row r="1143">
      <c r="A1143" s="36" t="inlineStr">
        <is>
          <t>03366</t>
        </is>
      </c>
      <c r="B1143" s="44" t="n">
        <v>46192</v>
      </c>
      <c r="C1143" s="36" t="inlineStr">
        <is>
          <t>Central Europe</t>
        </is>
      </c>
      <c r="D1143" s="36" t="inlineStr">
        <is>
          <t>Switzerland</t>
        </is>
      </c>
      <c r="E1143" s="36" t="inlineStr">
        <is>
          <t>Online Store</t>
        </is>
      </c>
      <c r="F1143" s="36" t="inlineStr">
        <is>
          <t>Business</t>
        </is>
      </c>
      <c r="G1143" s="36" t="inlineStr">
        <is>
          <t>Travel</t>
        </is>
      </c>
      <c r="H1143" s="36" t="inlineStr">
        <is>
          <t>Carry-On Duffel</t>
        </is>
      </c>
      <c r="I1143" s="36" t="n">
        <v>1</v>
      </c>
      <c r="J1143" s="39" t="n">
        <v>135.42</v>
      </c>
      <c r="K1143" s="45" t="n">
        <v>0.05</v>
      </c>
      <c r="L1143" s="39" t="n">
        <v>68.18000000000001</v>
      </c>
      <c r="M1143" s="39">
        <f>I1143*J1143*(1-K1143)</f>
        <v/>
      </c>
      <c r="N1143" s="39">
        <f>I1143*L1143</f>
        <v/>
      </c>
      <c r="O1143" s="39">
        <f>M1143-N1143</f>
        <v/>
      </c>
      <c r="P1143" s="38">
        <f>IF(M1143=0,0,O1143/M1143)</f>
        <v/>
      </c>
      <c r="Q1143" s="36">
        <f>YEAR(B1143)</f>
        <v/>
      </c>
      <c r="R1143" s="36">
        <f>"Q"&amp;ROUNDUP(MONTH(B1143)/3,0)</f>
        <v/>
      </c>
      <c r="S1143" s="36">
        <f>MONTH(B1143)</f>
        <v/>
      </c>
      <c r="T1143" s="36">
        <f>TEXT(B1143,"mmm")</f>
        <v/>
      </c>
      <c r="U1143" s="36">
        <f>IF(AND(OR(sel_Region="All",C1143=sel_Region),OR(sel_Country="All",D1143=sel_Country),OR(sel_Channel="All",E1143=sel_Channel),OR(sel_Customer="All",F1143=sel_Customer),OR(sel_Category="All",G1143=sel_Category),OR(sel_Product="All",H1143=sel_Product),AND(S1143&gt;=m_From,S1143&lt;=m_To)),1,0)</f>
        <v/>
      </c>
      <c r="V1143" s="36">
        <f>IF(AND(OR(sel_Region="All",C1143=sel_Region),OR(sel_Channel="All",E1143=sel_Channel),OR(sel_Customer="All",F1143=sel_Customer),OR(sel_Category="All",G1143=sel_Category),OR(sel_Product="All",H1143=sel_Product),AND(S1143&gt;=m_From,S1143&lt;=m_To)),1,0)</f>
        <v/>
      </c>
      <c r="W1143" s="36">
        <f>IF(AND(OR(sel_Region="All",C1143=sel_Region),OR(sel_Country="All",D1143=sel_Country),OR(sel_Customer="All",F1143=sel_Customer),OR(sel_Category="All",G1143=sel_Category),OR(sel_Product="All",H1143=sel_Product),AND(S1143&gt;=m_From,S1143&lt;=m_To)),1,0)</f>
        <v/>
      </c>
      <c r="X1143" s="36">
        <f>IF(AND(OR(sel_Region="All",C1143=sel_Region),OR(sel_Country="All",D1143=sel_Country),OR(sel_Channel="All",E1143=sel_Channel),OR(sel_Category="All",G1143=sel_Category),OR(sel_Product="All",H1143=sel_Product),AND(S1143&gt;=m_From,S1143&lt;=m_To)),1,0)</f>
        <v/>
      </c>
      <c r="Y1143" s="36">
        <f>IF(AND(OR(sel_Region="All",C1143=sel_Region),OR(sel_Country="All",D1143=sel_Country),OR(sel_Channel="All",E1143=sel_Channel),OR(sel_Customer="All",F1143=sel_Customer),OR(sel_Product="All",H1143=sel_Product),AND(S1143&gt;=m_From,S1143&lt;=m_To)),1,0)</f>
        <v/>
      </c>
      <c r="Z1143" s="36">
        <f>IF(AND(OR(sel_Region="All",C1143=sel_Region),OR(sel_Country="All",D1143=sel_Country),OR(sel_Channel="All",E1143=sel_Channel),OR(sel_Customer="All",F1143=sel_Customer),OR(sel_Category="All",G1143=sel_Category),AND(S1143&gt;=m_From,S1143&lt;=m_To)),1,0)</f>
        <v/>
      </c>
      <c r="AA1143" s="36">
        <f>IF(AND(OR(sel_Region="All",C1143=sel_Region),OR(sel_Country="All",D1143=sel_Country),OR(sel_Channel="All",E1143=sel_Channel),OR(sel_Customer="All",F1143=sel_Customer),OR(sel_Category="All",G1143=sel_Category),OR(sel_Product="All",H1143=sel_Product)),1,0)</f>
        <v/>
      </c>
    </row>
    <row r="1144">
      <c r="A1144" s="36" t="inlineStr">
        <is>
          <t>03691</t>
        </is>
      </c>
      <c r="B1144" s="44" t="n">
        <v>46192</v>
      </c>
      <c r="C1144" s="36" t="inlineStr">
        <is>
          <t>Central Europe</t>
        </is>
      </c>
      <c r="D1144" s="36" t="inlineStr">
        <is>
          <t>Austria</t>
        </is>
      </c>
      <c r="E1144" s="36" t="inlineStr">
        <is>
          <t>Retail Partners</t>
        </is>
      </c>
      <c r="F1144" s="36" t="inlineStr">
        <is>
          <t>Returning</t>
        </is>
      </c>
      <c r="G1144" s="36" t="inlineStr">
        <is>
          <t>Hiking</t>
        </is>
      </c>
      <c r="H1144" s="36" t="inlineStr">
        <is>
          <t>Hiking Daypack 20L</t>
        </is>
      </c>
      <c r="I1144" s="36" t="n">
        <v>1</v>
      </c>
      <c r="J1144" s="39" t="n">
        <v>93.48</v>
      </c>
      <c r="K1144" s="45" t="n">
        <v>0.05</v>
      </c>
      <c r="L1144" s="39" t="n">
        <v>44.31</v>
      </c>
      <c r="M1144" s="39">
        <f>I1144*J1144*(1-K1144)</f>
        <v/>
      </c>
      <c r="N1144" s="39">
        <f>I1144*L1144</f>
        <v/>
      </c>
      <c r="O1144" s="39">
        <f>M1144-N1144</f>
        <v/>
      </c>
      <c r="P1144" s="38">
        <f>IF(M1144=0,0,O1144/M1144)</f>
        <v/>
      </c>
      <c r="Q1144" s="36">
        <f>YEAR(B1144)</f>
        <v/>
      </c>
      <c r="R1144" s="36">
        <f>"Q"&amp;ROUNDUP(MONTH(B1144)/3,0)</f>
        <v/>
      </c>
      <c r="S1144" s="36">
        <f>MONTH(B1144)</f>
        <v/>
      </c>
      <c r="T1144" s="36">
        <f>TEXT(B1144,"mmm")</f>
        <v/>
      </c>
      <c r="U1144" s="36">
        <f>IF(AND(OR(sel_Region="All",C1144=sel_Region),OR(sel_Country="All",D1144=sel_Country),OR(sel_Channel="All",E1144=sel_Channel),OR(sel_Customer="All",F1144=sel_Customer),OR(sel_Category="All",G1144=sel_Category),OR(sel_Product="All",H1144=sel_Product),AND(S1144&gt;=m_From,S1144&lt;=m_To)),1,0)</f>
        <v/>
      </c>
      <c r="V1144" s="36">
        <f>IF(AND(OR(sel_Region="All",C1144=sel_Region),OR(sel_Channel="All",E1144=sel_Channel),OR(sel_Customer="All",F1144=sel_Customer),OR(sel_Category="All",G1144=sel_Category),OR(sel_Product="All",H1144=sel_Product),AND(S1144&gt;=m_From,S1144&lt;=m_To)),1,0)</f>
        <v/>
      </c>
      <c r="W1144" s="36">
        <f>IF(AND(OR(sel_Region="All",C1144=sel_Region),OR(sel_Country="All",D1144=sel_Country),OR(sel_Customer="All",F1144=sel_Customer),OR(sel_Category="All",G1144=sel_Category),OR(sel_Product="All",H1144=sel_Product),AND(S1144&gt;=m_From,S1144&lt;=m_To)),1,0)</f>
        <v/>
      </c>
      <c r="X1144" s="36">
        <f>IF(AND(OR(sel_Region="All",C1144=sel_Region),OR(sel_Country="All",D1144=sel_Country),OR(sel_Channel="All",E1144=sel_Channel),OR(sel_Category="All",G1144=sel_Category),OR(sel_Product="All",H1144=sel_Product),AND(S1144&gt;=m_From,S1144&lt;=m_To)),1,0)</f>
        <v/>
      </c>
      <c r="Y1144" s="36">
        <f>IF(AND(OR(sel_Region="All",C1144=sel_Region),OR(sel_Country="All",D1144=sel_Country),OR(sel_Channel="All",E1144=sel_Channel),OR(sel_Customer="All",F1144=sel_Customer),OR(sel_Product="All",H1144=sel_Product),AND(S1144&gt;=m_From,S1144&lt;=m_To)),1,0)</f>
        <v/>
      </c>
      <c r="Z1144" s="36">
        <f>IF(AND(OR(sel_Region="All",C1144=sel_Region),OR(sel_Country="All",D1144=sel_Country),OR(sel_Channel="All",E1144=sel_Channel),OR(sel_Customer="All",F1144=sel_Customer),OR(sel_Category="All",G1144=sel_Category),AND(S1144&gt;=m_From,S1144&lt;=m_To)),1,0)</f>
        <v/>
      </c>
      <c r="AA1144" s="36">
        <f>IF(AND(OR(sel_Region="All",C1144=sel_Region),OR(sel_Country="All",D1144=sel_Country),OR(sel_Channel="All",E1144=sel_Channel),OR(sel_Customer="All",F1144=sel_Customer),OR(sel_Category="All",G1144=sel_Category),OR(sel_Product="All",H1144=sel_Product)),1,0)</f>
        <v/>
      </c>
    </row>
    <row r="1145">
      <c r="A1145" s="36" t="inlineStr">
        <is>
          <t>03909</t>
        </is>
      </c>
      <c r="B1145" s="44" t="n">
        <v>46192</v>
      </c>
      <c r="C1145" s="36" t="inlineStr">
        <is>
          <t>Central Europe</t>
        </is>
      </c>
      <c r="D1145" s="36" t="inlineStr">
        <is>
          <t>Czechia</t>
        </is>
      </c>
      <c r="E1145" s="36" t="inlineStr">
        <is>
          <t>Marketplace</t>
        </is>
      </c>
      <c r="F1145" s="36" t="inlineStr">
        <is>
          <t>Returning</t>
        </is>
      </c>
      <c r="G1145" s="36" t="inlineStr">
        <is>
          <t>Hiking</t>
        </is>
      </c>
      <c r="H1145" s="36" t="inlineStr">
        <is>
          <t>Summit Backpack 45L</t>
        </is>
      </c>
      <c r="I1145" s="36" t="n">
        <v>1</v>
      </c>
      <c r="J1145" s="39" t="n">
        <v>156.05</v>
      </c>
      <c r="K1145" s="45" t="n">
        <v>0.05</v>
      </c>
      <c r="L1145" s="39" t="n">
        <v>81.28</v>
      </c>
      <c r="M1145" s="39">
        <f>I1145*J1145*(1-K1145)</f>
        <v/>
      </c>
      <c r="N1145" s="39">
        <f>I1145*L1145</f>
        <v/>
      </c>
      <c r="O1145" s="39">
        <f>M1145-N1145</f>
        <v/>
      </c>
      <c r="P1145" s="38">
        <f>IF(M1145=0,0,O1145/M1145)</f>
        <v/>
      </c>
      <c r="Q1145" s="36">
        <f>YEAR(B1145)</f>
        <v/>
      </c>
      <c r="R1145" s="36">
        <f>"Q"&amp;ROUNDUP(MONTH(B1145)/3,0)</f>
        <v/>
      </c>
      <c r="S1145" s="36">
        <f>MONTH(B1145)</f>
        <v/>
      </c>
      <c r="T1145" s="36">
        <f>TEXT(B1145,"mmm")</f>
        <v/>
      </c>
      <c r="U1145" s="36">
        <f>IF(AND(OR(sel_Region="All",C1145=sel_Region),OR(sel_Country="All",D1145=sel_Country),OR(sel_Channel="All",E1145=sel_Channel),OR(sel_Customer="All",F1145=sel_Customer),OR(sel_Category="All",G1145=sel_Category),OR(sel_Product="All",H1145=sel_Product),AND(S1145&gt;=m_From,S1145&lt;=m_To)),1,0)</f>
        <v/>
      </c>
      <c r="V1145" s="36">
        <f>IF(AND(OR(sel_Region="All",C1145=sel_Region),OR(sel_Channel="All",E1145=sel_Channel),OR(sel_Customer="All",F1145=sel_Customer),OR(sel_Category="All",G1145=sel_Category),OR(sel_Product="All",H1145=sel_Product),AND(S1145&gt;=m_From,S1145&lt;=m_To)),1,0)</f>
        <v/>
      </c>
      <c r="W1145" s="36">
        <f>IF(AND(OR(sel_Region="All",C1145=sel_Region),OR(sel_Country="All",D1145=sel_Country),OR(sel_Customer="All",F1145=sel_Customer),OR(sel_Category="All",G1145=sel_Category),OR(sel_Product="All",H1145=sel_Product),AND(S1145&gt;=m_From,S1145&lt;=m_To)),1,0)</f>
        <v/>
      </c>
      <c r="X1145" s="36">
        <f>IF(AND(OR(sel_Region="All",C1145=sel_Region),OR(sel_Country="All",D1145=sel_Country),OR(sel_Channel="All",E1145=sel_Channel),OR(sel_Category="All",G1145=sel_Category),OR(sel_Product="All",H1145=sel_Product),AND(S1145&gt;=m_From,S1145&lt;=m_To)),1,0)</f>
        <v/>
      </c>
      <c r="Y1145" s="36">
        <f>IF(AND(OR(sel_Region="All",C1145=sel_Region),OR(sel_Country="All",D1145=sel_Country),OR(sel_Channel="All",E1145=sel_Channel),OR(sel_Customer="All",F1145=sel_Customer),OR(sel_Product="All",H1145=sel_Product),AND(S1145&gt;=m_From,S1145&lt;=m_To)),1,0)</f>
        <v/>
      </c>
      <c r="Z1145" s="36">
        <f>IF(AND(OR(sel_Region="All",C1145=sel_Region),OR(sel_Country="All",D1145=sel_Country),OR(sel_Channel="All",E1145=sel_Channel),OR(sel_Customer="All",F1145=sel_Customer),OR(sel_Category="All",G1145=sel_Category),AND(S1145&gt;=m_From,S1145&lt;=m_To)),1,0)</f>
        <v/>
      </c>
      <c r="AA1145" s="36">
        <f>IF(AND(OR(sel_Region="All",C1145=sel_Region),OR(sel_Country="All",D1145=sel_Country),OR(sel_Channel="All",E1145=sel_Channel),OR(sel_Customer="All",F1145=sel_Customer),OR(sel_Category="All",G1145=sel_Category),OR(sel_Product="All",H1145=sel_Product)),1,0)</f>
        <v/>
      </c>
    </row>
    <row r="1146">
      <c r="A1146" s="36" t="inlineStr">
        <is>
          <t>04862</t>
        </is>
      </c>
      <c r="B1146" s="44" t="n">
        <v>46192</v>
      </c>
      <c r="C1146" s="36" t="inlineStr">
        <is>
          <t>Central Europe</t>
        </is>
      </c>
      <c r="D1146" s="36" t="inlineStr">
        <is>
          <t>Austria</t>
        </is>
      </c>
      <c r="E1146" s="36" t="inlineStr">
        <is>
          <t>Online Store</t>
        </is>
      </c>
      <c r="F1146" s="36" t="inlineStr">
        <is>
          <t>Returning</t>
        </is>
      </c>
      <c r="G1146" s="36" t="inlineStr">
        <is>
          <t>Fitness</t>
        </is>
      </c>
      <c r="H1146" s="36" t="inlineStr">
        <is>
          <t>Recovery Roller</t>
        </is>
      </c>
      <c r="I1146" s="36" t="n">
        <v>1</v>
      </c>
      <c r="J1146" s="39" t="n">
        <v>36.74</v>
      </c>
      <c r="K1146" s="45" t="n">
        <v>0</v>
      </c>
      <c r="L1146" s="39" t="n">
        <v>14.15</v>
      </c>
      <c r="M1146" s="39">
        <f>I1146*J1146*(1-K1146)</f>
        <v/>
      </c>
      <c r="N1146" s="39">
        <f>I1146*L1146</f>
        <v/>
      </c>
      <c r="O1146" s="39">
        <f>M1146-N1146</f>
        <v/>
      </c>
      <c r="P1146" s="38">
        <f>IF(M1146=0,0,O1146/M1146)</f>
        <v/>
      </c>
      <c r="Q1146" s="36">
        <f>YEAR(B1146)</f>
        <v/>
      </c>
      <c r="R1146" s="36">
        <f>"Q"&amp;ROUNDUP(MONTH(B1146)/3,0)</f>
        <v/>
      </c>
      <c r="S1146" s="36">
        <f>MONTH(B1146)</f>
        <v/>
      </c>
      <c r="T1146" s="36">
        <f>TEXT(B1146,"mmm")</f>
        <v/>
      </c>
      <c r="U1146" s="36">
        <f>IF(AND(OR(sel_Region="All",C1146=sel_Region),OR(sel_Country="All",D1146=sel_Country),OR(sel_Channel="All",E1146=sel_Channel),OR(sel_Customer="All",F1146=sel_Customer),OR(sel_Category="All",G1146=sel_Category),OR(sel_Product="All",H1146=sel_Product),AND(S1146&gt;=m_From,S1146&lt;=m_To)),1,0)</f>
        <v/>
      </c>
      <c r="V1146" s="36">
        <f>IF(AND(OR(sel_Region="All",C1146=sel_Region),OR(sel_Channel="All",E1146=sel_Channel),OR(sel_Customer="All",F1146=sel_Customer),OR(sel_Category="All",G1146=sel_Category),OR(sel_Product="All",H1146=sel_Product),AND(S1146&gt;=m_From,S1146&lt;=m_To)),1,0)</f>
        <v/>
      </c>
      <c r="W1146" s="36">
        <f>IF(AND(OR(sel_Region="All",C1146=sel_Region),OR(sel_Country="All",D1146=sel_Country),OR(sel_Customer="All",F1146=sel_Customer),OR(sel_Category="All",G1146=sel_Category),OR(sel_Product="All",H1146=sel_Product),AND(S1146&gt;=m_From,S1146&lt;=m_To)),1,0)</f>
        <v/>
      </c>
      <c r="X1146" s="36">
        <f>IF(AND(OR(sel_Region="All",C1146=sel_Region),OR(sel_Country="All",D1146=sel_Country),OR(sel_Channel="All",E1146=sel_Channel),OR(sel_Category="All",G1146=sel_Category),OR(sel_Product="All",H1146=sel_Product),AND(S1146&gt;=m_From,S1146&lt;=m_To)),1,0)</f>
        <v/>
      </c>
      <c r="Y1146" s="36">
        <f>IF(AND(OR(sel_Region="All",C1146=sel_Region),OR(sel_Country="All",D1146=sel_Country),OR(sel_Channel="All",E1146=sel_Channel),OR(sel_Customer="All",F1146=sel_Customer),OR(sel_Product="All",H1146=sel_Product),AND(S1146&gt;=m_From,S1146&lt;=m_To)),1,0)</f>
        <v/>
      </c>
      <c r="Z1146" s="36">
        <f>IF(AND(OR(sel_Region="All",C1146=sel_Region),OR(sel_Country="All",D1146=sel_Country),OR(sel_Channel="All",E1146=sel_Channel),OR(sel_Customer="All",F1146=sel_Customer),OR(sel_Category="All",G1146=sel_Category),AND(S1146&gt;=m_From,S1146&lt;=m_To)),1,0)</f>
        <v/>
      </c>
      <c r="AA1146" s="36">
        <f>IF(AND(OR(sel_Region="All",C1146=sel_Region),OR(sel_Country="All",D1146=sel_Country),OR(sel_Channel="All",E1146=sel_Channel),OR(sel_Customer="All",F1146=sel_Customer),OR(sel_Category="All",G1146=sel_Category),OR(sel_Product="All",H1146=sel_Product)),1,0)</f>
        <v/>
      </c>
    </row>
    <row r="1147">
      <c r="A1147" s="36" t="inlineStr">
        <is>
          <t>05096</t>
        </is>
      </c>
      <c r="B1147" s="44" t="n">
        <v>46192</v>
      </c>
      <c r="C1147" s="36" t="inlineStr">
        <is>
          <t>Southern Europe</t>
        </is>
      </c>
      <c r="D1147" s="36" t="inlineStr">
        <is>
          <t>Italy</t>
        </is>
      </c>
      <c r="E1147" s="36" t="inlineStr">
        <is>
          <t>Online Store</t>
        </is>
      </c>
      <c r="F1147" s="36" t="inlineStr">
        <is>
          <t>Returning</t>
        </is>
      </c>
      <c r="G1147" s="36" t="inlineStr">
        <is>
          <t>Camping</t>
        </is>
      </c>
      <c r="H1147" s="36" t="inlineStr">
        <is>
          <t>Trail Tent 2P</t>
        </is>
      </c>
      <c r="I1147" s="36" t="n">
        <v>2</v>
      </c>
      <c r="J1147" s="39" t="n">
        <v>199.28</v>
      </c>
      <c r="K1147" s="45" t="n">
        <v>0</v>
      </c>
      <c r="L1147" s="39" t="n">
        <v>102.85</v>
      </c>
      <c r="M1147" s="39">
        <f>I1147*J1147*(1-K1147)</f>
        <v/>
      </c>
      <c r="N1147" s="39">
        <f>I1147*L1147</f>
        <v/>
      </c>
      <c r="O1147" s="39">
        <f>M1147-N1147</f>
        <v/>
      </c>
      <c r="P1147" s="38">
        <f>IF(M1147=0,0,O1147/M1147)</f>
        <v/>
      </c>
      <c r="Q1147" s="36">
        <f>YEAR(B1147)</f>
        <v/>
      </c>
      <c r="R1147" s="36">
        <f>"Q"&amp;ROUNDUP(MONTH(B1147)/3,0)</f>
        <v/>
      </c>
      <c r="S1147" s="36">
        <f>MONTH(B1147)</f>
        <v/>
      </c>
      <c r="T1147" s="36">
        <f>TEXT(B1147,"mmm")</f>
        <v/>
      </c>
      <c r="U1147" s="36">
        <f>IF(AND(OR(sel_Region="All",C1147=sel_Region),OR(sel_Country="All",D1147=sel_Country),OR(sel_Channel="All",E1147=sel_Channel),OR(sel_Customer="All",F1147=sel_Customer),OR(sel_Category="All",G1147=sel_Category),OR(sel_Product="All",H1147=sel_Product),AND(S1147&gt;=m_From,S1147&lt;=m_To)),1,0)</f>
        <v/>
      </c>
      <c r="V1147" s="36">
        <f>IF(AND(OR(sel_Region="All",C1147=sel_Region),OR(sel_Channel="All",E1147=sel_Channel),OR(sel_Customer="All",F1147=sel_Customer),OR(sel_Category="All",G1147=sel_Category),OR(sel_Product="All",H1147=sel_Product),AND(S1147&gt;=m_From,S1147&lt;=m_To)),1,0)</f>
        <v/>
      </c>
      <c r="W1147" s="36">
        <f>IF(AND(OR(sel_Region="All",C1147=sel_Region),OR(sel_Country="All",D1147=sel_Country),OR(sel_Customer="All",F1147=sel_Customer),OR(sel_Category="All",G1147=sel_Category),OR(sel_Product="All",H1147=sel_Product),AND(S1147&gt;=m_From,S1147&lt;=m_To)),1,0)</f>
        <v/>
      </c>
      <c r="X1147" s="36">
        <f>IF(AND(OR(sel_Region="All",C1147=sel_Region),OR(sel_Country="All",D1147=sel_Country),OR(sel_Channel="All",E1147=sel_Channel),OR(sel_Category="All",G1147=sel_Category),OR(sel_Product="All",H1147=sel_Product),AND(S1147&gt;=m_From,S1147&lt;=m_To)),1,0)</f>
        <v/>
      </c>
      <c r="Y1147" s="36">
        <f>IF(AND(OR(sel_Region="All",C1147=sel_Region),OR(sel_Country="All",D1147=sel_Country),OR(sel_Channel="All",E1147=sel_Channel),OR(sel_Customer="All",F1147=sel_Customer),OR(sel_Product="All",H1147=sel_Product),AND(S1147&gt;=m_From,S1147&lt;=m_To)),1,0)</f>
        <v/>
      </c>
      <c r="Z1147" s="36">
        <f>IF(AND(OR(sel_Region="All",C1147=sel_Region),OR(sel_Country="All",D1147=sel_Country),OR(sel_Channel="All",E1147=sel_Channel),OR(sel_Customer="All",F1147=sel_Customer),OR(sel_Category="All",G1147=sel_Category),AND(S1147&gt;=m_From,S1147&lt;=m_To)),1,0)</f>
        <v/>
      </c>
      <c r="AA1147" s="36">
        <f>IF(AND(OR(sel_Region="All",C1147=sel_Region),OR(sel_Country="All",D1147=sel_Country),OR(sel_Channel="All",E1147=sel_Channel),OR(sel_Customer="All",F1147=sel_Customer),OR(sel_Category="All",G1147=sel_Category),OR(sel_Product="All",H1147=sel_Product)),1,0)</f>
        <v/>
      </c>
    </row>
    <row r="1148">
      <c r="A1148" s="36" t="inlineStr">
        <is>
          <t>05112</t>
        </is>
      </c>
      <c r="B1148" s="44" t="n">
        <v>46192</v>
      </c>
      <c r="C1148" s="36" t="inlineStr">
        <is>
          <t>Southern Europe</t>
        </is>
      </c>
      <c r="D1148" s="36" t="inlineStr">
        <is>
          <t>Spain</t>
        </is>
      </c>
      <c r="E1148" s="36" t="inlineStr">
        <is>
          <t>Marketplace</t>
        </is>
      </c>
      <c r="F1148" s="36" t="inlineStr">
        <is>
          <t>Returning</t>
        </is>
      </c>
      <c r="G1148" s="36" t="inlineStr">
        <is>
          <t>Fitness</t>
        </is>
      </c>
      <c r="H1148" s="36" t="inlineStr">
        <is>
          <t>Recovery Roller</t>
        </is>
      </c>
      <c r="I1148" s="36" t="n">
        <v>2</v>
      </c>
      <c r="J1148" s="39" t="n">
        <v>37.04</v>
      </c>
      <c r="K1148" s="45" t="n">
        <v>0.05</v>
      </c>
      <c r="L1148" s="39" t="n">
        <v>13.76</v>
      </c>
      <c r="M1148" s="39">
        <f>I1148*J1148*(1-K1148)</f>
        <v/>
      </c>
      <c r="N1148" s="39">
        <f>I1148*L1148</f>
        <v/>
      </c>
      <c r="O1148" s="39">
        <f>M1148-N1148</f>
        <v/>
      </c>
      <c r="P1148" s="38">
        <f>IF(M1148=0,0,O1148/M1148)</f>
        <v/>
      </c>
      <c r="Q1148" s="36">
        <f>YEAR(B1148)</f>
        <v/>
      </c>
      <c r="R1148" s="36">
        <f>"Q"&amp;ROUNDUP(MONTH(B1148)/3,0)</f>
        <v/>
      </c>
      <c r="S1148" s="36">
        <f>MONTH(B1148)</f>
        <v/>
      </c>
      <c r="T1148" s="36">
        <f>TEXT(B1148,"mmm")</f>
        <v/>
      </c>
      <c r="U1148" s="36">
        <f>IF(AND(OR(sel_Region="All",C1148=sel_Region),OR(sel_Country="All",D1148=sel_Country),OR(sel_Channel="All",E1148=sel_Channel),OR(sel_Customer="All",F1148=sel_Customer),OR(sel_Category="All",G1148=sel_Category),OR(sel_Product="All",H1148=sel_Product),AND(S1148&gt;=m_From,S1148&lt;=m_To)),1,0)</f>
        <v/>
      </c>
      <c r="V1148" s="36">
        <f>IF(AND(OR(sel_Region="All",C1148=sel_Region),OR(sel_Channel="All",E1148=sel_Channel),OR(sel_Customer="All",F1148=sel_Customer),OR(sel_Category="All",G1148=sel_Category),OR(sel_Product="All",H1148=sel_Product),AND(S1148&gt;=m_From,S1148&lt;=m_To)),1,0)</f>
        <v/>
      </c>
      <c r="W1148" s="36">
        <f>IF(AND(OR(sel_Region="All",C1148=sel_Region),OR(sel_Country="All",D1148=sel_Country),OR(sel_Customer="All",F1148=sel_Customer),OR(sel_Category="All",G1148=sel_Category),OR(sel_Product="All",H1148=sel_Product),AND(S1148&gt;=m_From,S1148&lt;=m_To)),1,0)</f>
        <v/>
      </c>
      <c r="X1148" s="36">
        <f>IF(AND(OR(sel_Region="All",C1148=sel_Region),OR(sel_Country="All",D1148=sel_Country),OR(sel_Channel="All",E1148=sel_Channel),OR(sel_Category="All",G1148=sel_Category),OR(sel_Product="All",H1148=sel_Product),AND(S1148&gt;=m_From,S1148&lt;=m_To)),1,0)</f>
        <v/>
      </c>
      <c r="Y1148" s="36">
        <f>IF(AND(OR(sel_Region="All",C1148=sel_Region),OR(sel_Country="All",D1148=sel_Country),OR(sel_Channel="All",E1148=sel_Channel),OR(sel_Customer="All",F1148=sel_Customer),OR(sel_Product="All",H1148=sel_Product),AND(S1148&gt;=m_From,S1148&lt;=m_To)),1,0)</f>
        <v/>
      </c>
      <c r="Z1148" s="36">
        <f>IF(AND(OR(sel_Region="All",C1148=sel_Region),OR(sel_Country="All",D1148=sel_Country),OR(sel_Channel="All",E1148=sel_Channel),OR(sel_Customer="All",F1148=sel_Customer),OR(sel_Category="All",G1148=sel_Category),AND(S1148&gt;=m_From,S1148&lt;=m_To)),1,0)</f>
        <v/>
      </c>
      <c r="AA1148" s="36">
        <f>IF(AND(OR(sel_Region="All",C1148=sel_Region),OR(sel_Country="All",D1148=sel_Country),OR(sel_Channel="All",E1148=sel_Channel),OR(sel_Customer="All",F1148=sel_Customer),OR(sel_Category="All",G1148=sel_Category),OR(sel_Product="All",H1148=sel_Product)),1,0)</f>
        <v/>
      </c>
    </row>
    <row r="1149">
      <c r="A1149" s="36" t="inlineStr">
        <is>
          <t>00501</t>
        </is>
      </c>
      <c r="B1149" s="44" t="n">
        <v>46193</v>
      </c>
      <c r="C1149" s="36" t="inlineStr">
        <is>
          <t>Western Europe</t>
        </is>
      </c>
      <c r="D1149" s="36" t="inlineStr">
        <is>
          <t>Belgium</t>
        </is>
      </c>
      <c r="E1149" s="36" t="inlineStr">
        <is>
          <t>Online Store</t>
        </is>
      </c>
      <c r="F1149" s="36" t="inlineStr">
        <is>
          <t>New</t>
        </is>
      </c>
      <c r="G1149" s="36" t="inlineStr">
        <is>
          <t>Camping</t>
        </is>
      </c>
      <c r="H1149" s="36" t="inlineStr">
        <is>
          <t>Portable Camp Stove</t>
        </is>
      </c>
      <c r="I1149" s="36" t="n">
        <v>2</v>
      </c>
      <c r="J1149" s="39" t="n">
        <v>80.95</v>
      </c>
      <c r="K1149" s="45" t="n">
        <v>0.1</v>
      </c>
      <c r="L1149" s="39" t="n">
        <v>39.44</v>
      </c>
      <c r="M1149" s="39">
        <f>I1149*J1149*(1-K1149)</f>
        <v/>
      </c>
      <c r="N1149" s="39">
        <f>I1149*L1149</f>
        <v/>
      </c>
      <c r="O1149" s="39">
        <f>M1149-N1149</f>
        <v/>
      </c>
      <c r="P1149" s="38">
        <f>IF(M1149=0,0,O1149/M1149)</f>
        <v/>
      </c>
      <c r="Q1149" s="36">
        <f>YEAR(B1149)</f>
        <v/>
      </c>
      <c r="R1149" s="36">
        <f>"Q"&amp;ROUNDUP(MONTH(B1149)/3,0)</f>
        <v/>
      </c>
      <c r="S1149" s="36">
        <f>MONTH(B1149)</f>
        <v/>
      </c>
      <c r="T1149" s="36">
        <f>TEXT(B1149,"mmm")</f>
        <v/>
      </c>
      <c r="U1149" s="36">
        <f>IF(AND(OR(sel_Region="All",C1149=sel_Region),OR(sel_Country="All",D1149=sel_Country),OR(sel_Channel="All",E1149=sel_Channel),OR(sel_Customer="All",F1149=sel_Customer),OR(sel_Category="All",G1149=sel_Category),OR(sel_Product="All",H1149=sel_Product),AND(S1149&gt;=m_From,S1149&lt;=m_To)),1,0)</f>
        <v/>
      </c>
      <c r="V1149" s="36">
        <f>IF(AND(OR(sel_Region="All",C1149=sel_Region),OR(sel_Channel="All",E1149=sel_Channel),OR(sel_Customer="All",F1149=sel_Customer),OR(sel_Category="All",G1149=sel_Category),OR(sel_Product="All",H1149=sel_Product),AND(S1149&gt;=m_From,S1149&lt;=m_To)),1,0)</f>
        <v/>
      </c>
      <c r="W1149" s="36">
        <f>IF(AND(OR(sel_Region="All",C1149=sel_Region),OR(sel_Country="All",D1149=sel_Country),OR(sel_Customer="All",F1149=sel_Customer),OR(sel_Category="All",G1149=sel_Category),OR(sel_Product="All",H1149=sel_Product),AND(S1149&gt;=m_From,S1149&lt;=m_To)),1,0)</f>
        <v/>
      </c>
      <c r="X1149" s="36">
        <f>IF(AND(OR(sel_Region="All",C1149=sel_Region),OR(sel_Country="All",D1149=sel_Country),OR(sel_Channel="All",E1149=sel_Channel),OR(sel_Category="All",G1149=sel_Category),OR(sel_Product="All",H1149=sel_Product),AND(S1149&gt;=m_From,S1149&lt;=m_To)),1,0)</f>
        <v/>
      </c>
      <c r="Y1149" s="36">
        <f>IF(AND(OR(sel_Region="All",C1149=sel_Region),OR(sel_Country="All",D1149=sel_Country),OR(sel_Channel="All",E1149=sel_Channel),OR(sel_Customer="All",F1149=sel_Customer),OR(sel_Product="All",H1149=sel_Product),AND(S1149&gt;=m_From,S1149&lt;=m_To)),1,0)</f>
        <v/>
      </c>
      <c r="Z1149" s="36">
        <f>IF(AND(OR(sel_Region="All",C1149=sel_Region),OR(sel_Country="All",D1149=sel_Country),OR(sel_Channel="All",E1149=sel_Channel),OR(sel_Customer="All",F1149=sel_Customer),OR(sel_Category="All",G1149=sel_Category),AND(S1149&gt;=m_From,S1149&lt;=m_To)),1,0)</f>
        <v/>
      </c>
      <c r="AA1149" s="36">
        <f>IF(AND(OR(sel_Region="All",C1149=sel_Region),OR(sel_Country="All",D1149=sel_Country),OR(sel_Channel="All",E1149=sel_Channel),OR(sel_Customer="All",F1149=sel_Customer),OR(sel_Category="All",G1149=sel_Category),OR(sel_Product="All",H1149=sel_Product)),1,0)</f>
        <v/>
      </c>
    </row>
    <row r="1150">
      <c r="A1150" s="36" t="inlineStr">
        <is>
          <t>00540</t>
        </is>
      </c>
      <c r="B1150" s="44" t="n">
        <v>46193</v>
      </c>
      <c r="C1150" s="36" t="inlineStr">
        <is>
          <t>Southern Europe</t>
        </is>
      </c>
      <c r="D1150" s="36" t="inlineStr">
        <is>
          <t>Portugal</t>
        </is>
      </c>
      <c r="E1150" s="36" t="inlineStr">
        <is>
          <t>Marketplace</t>
        </is>
      </c>
      <c r="F1150" s="36" t="inlineStr">
        <is>
          <t>Returning</t>
        </is>
      </c>
      <c r="G1150" s="36" t="inlineStr">
        <is>
          <t>Hiking</t>
        </is>
      </c>
      <c r="H1150" s="36" t="inlineStr">
        <is>
          <t>Summit Backpack 45L</t>
        </is>
      </c>
      <c r="I1150" s="36" t="n">
        <v>1</v>
      </c>
      <c r="J1150" s="39" t="n">
        <v>151.46</v>
      </c>
      <c r="K1150" s="45" t="n">
        <v>0.05</v>
      </c>
      <c r="L1150" s="39" t="n">
        <v>77.98</v>
      </c>
      <c r="M1150" s="39">
        <f>I1150*J1150*(1-K1150)</f>
        <v/>
      </c>
      <c r="N1150" s="39">
        <f>I1150*L1150</f>
        <v/>
      </c>
      <c r="O1150" s="39">
        <f>M1150-N1150</f>
        <v/>
      </c>
      <c r="P1150" s="38">
        <f>IF(M1150=0,0,O1150/M1150)</f>
        <v/>
      </c>
      <c r="Q1150" s="36">
        <f>YEAR(B1150)</f>
        <v/>
      </c>
      <c r="R1150" s="36">
        <f>"Q"&amp;ROUNDUP(MONTH(B1150)/3,0)</f>
        <v/>
      </c>
      <c r="S1150" s="36">
        <f>MONTH(B1150)</f>
        <v/>
      </c>
      <c r="T1150" s="36">
        <f>TEXT(B1150,"mmm")</f>
        <v/>
      </c>
      <c r="U1150" s="36">
        <f>IF(AND(OR(sel_Region="All",C1150=sel_Region),OR(sel_Country="All",D1150=sel_Country),OR(sel_Channel="All",E1150=sel_Channel),OR(sel_Customer="All",F1150=sel_Customer),OR(sel_Category="All",G1150=sel_Category),OR(sel_Product="All",H1150=sel_Product),AND(S1150&gt;=m_From,S1150&lt;=m_To)),1,0)</f>
        <v/>
      </c>
      <c r="V1150" s="36">
        <f>IF(AND(OR(sel_Region="All",C1150=sel_Region),OR(sel_Channel="All",E1150=sel_Channel),OR(sel_Customer="All",F1150=sel_Customer),OR(sel_Category="All",G1150=sel_Category),OR(sel_Product="All",H1150=sel_Product),AND(S1150&gt;=m_From,S1150&lt;=m_To)),1,0)</f>
        <v/>
      </c>
      <c r="W1150" s="36">
        <f>IF(AND(OR(sel_Region="All",C1150=sel_Region),OR(sel_Country="All",D1150=sel_Country),OR(sel_Customer="All",F1150=sel_Customer),OR(sel_Category="All",G1150=sel_Category),OR(sel_Product="All",H1150=sel_Product),AND(S1150&gt;=m_From,S1150&lt;=m_To)),1,0)</f>
        <v/>
      </c>
      <c r="X1150" s="36">
        <f>IF(AND(OR(sel_Region="All",C1150=sel_Region),OR(sel_Country="All",D1150=sel_Country),OR(sel_Channel="All",E1150=sel_Channel),OR(sel_Category="All",G1150=sel_Category),OR(sel_Product="All",H1150=sel_Product),AND(S1150&gt;=m_From,S1150&lt;=m_To)),1,0)</f>
        <v/>
      </c>
      <c r="Y1150" s="36">
        <f>IF(AND(OR(sel_Region="All",C1150=sel_Region),OR(sel_Country="All",D1150=sel_Country),OR(sel_Channel="All",E1150=sel_Channel),OR(sel_Customer="All",F1150=sel_Customer),OR(sel_Product="All",H1150=sel_Product),AND(S1150&gt;=m_From,S1150&lt;=m_To)),1,0)</f>
        <v/>
      </c>
      <c r="Z1150" s="36">
        <f>IF(AND(OR(sel_Region="All",C1150=sel_Region),OR(sel_Country="All",D1150=sel_Country),OR(sel_Channel="All",E1150=sel_Channel),OR(sel_Customer="All",F1150=sel_Customer),OR(sel_Category="All",G1150=sel_Category),AND(S1150&gt;=m_From,S1150&lt;=m_To)),1,0)</f>
        <v/>
      </c>
      <c r="AA1150" s="36">
        <f>IF(AND(OR(sel_Region="All",C1150=sel_Region),OR(sel_Country="All",D1150=sel_Country),OR(sel_Channel="All",E1150=sel_Channel),OR(sel_Customer="All",F1150=sel_Customer),OR(sel_Category="All",G1150=sel_Category),OR(sel_Product="All",H1150=sel_Product)),1,0)</f>
        <v/>
      </c>
    </row>
    <row r="1151">
      <c r="A1151" s="36" t="inlineStr">
        <is>
          <t>02255</t>
        </is>
      </c>
      <c r="B1151" s="44" t="n">
        <v>46193</v>
      </c>
      <c r="C1151" s="36" t="inlineStr">
        <is>
          <t>Southern Europe</t>
        </is>
      </c>
      <c r="D1151" s="36" t="inlineStr">
        <is>
          <t>Portugal</t>
        </is>
      </c>
      <c r="E1151" s="36" t="inlineStr">
        <is>
          <t>Online Store</t>
        </is>
      </c>
      <c r="F1151" s="36" t="inlineStr">
        <is>
          <t>Business</t>
        </is>
      </c>
      <c r="G1151" s="36" t="inlineStr">
        <is>
          <t>Hiking</t>
        </is>
      </c>
      <c r="H1151" s="36" t="inlineStr">
        <is>
          <t>Hiking Daypack 20L</t>
        </is>
      </c>
      <c r="I1151" s="36" t="n">
        <v>5</v>
      </c>
      <c r="J1151" s="39" t="n">
        <v>90.09999999999999</v>
      </c>
      <c r="K1151" s="45" t="n">
        <v>0</v>
      </c>
      <c r="L1151" s="39" t="n">
        <v>44.32</v>
      </c>
      <c r="M1151" s="39">
        <f>I1151*J1151*(1-K1151)</f>
        <v/>
      </c>
      <c r="N1151" s="39">
        <f>I1151*L1151</f>
        <v/>
      </c>
      <c r="O1151" s="39">
        <f>M1151-N1151</f>
        <v/>
      </c>
      <c r="P1151" s="38">
        <f>IF(M1151=0,0,O1151/M1151)</f>
        <v/>
      </c>
      <c r="Q1151" s="36">
        <f>YEAR(B1151)</f>
        <v/>
      </c>
      <c r="R1151" s="36">
        <f>"Q"&amp;ROUNDUP(MONTH(B1151)/3,0)</f>
        <v/>
      </c>
      <c r="S1151" s="36">
        <f>MONTH(B1151)</f>
        <v/>
      </c>
      <c r="T1151" s="36">
        <f>TEXT(B1151,"mmm")</f>
        <v/>
      </c>
      <c r="U1151" s="36">
        <f>IF(AND(OR(sel_Region="All",C1151=sel_Region),OR(sel_Country="All",D1151=sel_Country),OR(sel_Channel="All",E1151=sel_Channel),OR(sel_Customer="All",F1151=sel_Customer),OR(sel_Category="All",G1151=sel_Category),OR(sel_Product="All",H1151=sel_Product),AND(S1151&gt;=m_From,S1151&lt;=m_To)),1,0)</f>
        <v/>
      </c>
      <c r="V1151" s="36">
        <f>IF(AND(OR(sel_Region="All",C1151=sel_Region),OR(sel_Channel="All",E1151=sel_Channel),OR(sel_Customer="All",F1151=sel_Customer),OR(sel_Category="All",G1151=sel_Category),OR(sel_Product="All",H1151=sel_Product),AND(S1151&gt;=m_From,S1151&lt;=m_To)),1,0)</f>
        <v/>
      </c>
      <c r="W1151" s="36">
        <f>IF(AND(OR(sel_Region="All",C1151=sel_Region),OR(sel_Country="All",D1151=sel_Country),OR(sel_Customer="All",F1151=sel_Customer),OR(sel_Category="All",G1151=sel_Category),OR(sel_Product="All",H1151=sel_Product),AND(S1151&gt;=m_From,S1151&lt;=m_To)),1,0)</f>
        <v/>
      </c>
      <c r="X1151" s="36">
        <f>IF(AND(OR(sel_Region="All",C1151=sel_Region),OR(sel_Country="All",D1151=sel_Country),OR(sel_Channel="All",E1151=sel_Channel),OR(sel_Category="All",G1151=sel_Category),OR(sel_Product="All",H1151=sel_Product),AND(S1151&gt;=m_From,S1151&lt;=m_To)),1,0)</f>
        <v/>
      </c>
      <c r="Y1151" s="36">
        <f>IF(AND(OR(sel_Region="All",C1151=sel_Region),OR(sel_Country="All",D1151=sel_Country),OR(sel_Channel="All",E1151=sel_Channel),OR(sel_Customer="All",F1151=sel_Customer),OR(sel_Product="All",H1151=sel_Product),AND(S1151&gt;=m_From,S1151&lt;=m_To)),1,0)</f>
        <v/>
      </c>
      <c r="Z1151" s="36">
        <f>IF(AND(OR(sel_Region="All",C1151=sel_Region),OR(sel_Country="All",D1151=sel_Country),OR(sel_Channel="All",E1151=sel_Channel),OR(sel_Customer="All",F1151=sel_Customer),OR(sel_Category="All",G1151=sel_Category),AND(S1151&gt;=m_From,S1151&lt;=m_To)),1,0)</f>
        <v/>
      </c>
      <c r="AA1151" s="36">
        <f>IF(AND(OR(sel_Region="All",C1151=sel_Region),OR(sel_Country="All",D1151=sel_Country),OR(sel_Channel="All",E1151=sel_Channel),OR(sel_Customer="All",F1151=sel_Customer),OR(sel_Category="All",G1151=sel_Category),OR(sel_Product="All",H1151=sel_Product)),1,0)</f>
        <v/>
      </c>
    </row>
    <row r="1152">
      <c r="A1152" s="36" t="inlineStr">
        <is>
          <t>03126</t>
        </is>
      </c>
      <c r="B1152" s="44" t="n">
        <v>46193</v>
      </c>
      <c r="C1152" s="36" t="inlineStr">
        <is>
          <t>Southern Europe</t>
        </is>
      </c>
      <c r="D1152" s="36" t="inlineStr">
        <is>
          <t>Spain</t>
        </is>
      </c>
      <c r="E1152" s="36" t="inlineStr">
        <is>
          <t>Marketplace</t>
        </is>
      </c>
      <c r="F1152" s="36" t="inlineStr">
        <is>
          <t>Business</t>
        </is>
      </c>
      <c r="G1152" s="36" t="inlineStr">
        <is>
          <t>Hiking</t>
        </is>
      </c>
      <c r="H1152" s="36" t="inlineStr">
        <is>
          <t>Summit Backpack 45L</t>
        </is>
      </c>
      <c r="I1152" s="36" t="n">
        <v>1</v>
      </c>
      <c r="J1152" s="39" t="n">
        <v>155.69</v>
      </c>
      <c r="K1152" s="45" t="n">
        <v>0.1</v>
      </c>
      <c r="L1152" s="39" t="n">
        <v>79.42</v>
      </c>
      <c r="M1152" s="39">
        <f>I1152*J1152*(1-K1152)</f>
        <v/>
      </c>
      <c r="N1152" s="39">
        <f>I1152*L1152</f>
        <v/>
      </c>
      <c r="O1152" s="39">
        <f>M1152-N1152</f>
        <v/>
      </c>
      <c r="P1152" s="38">
        <f>IF(M1152=0,0,O1152/M1152)</f>
        <v/>
      </c>
      <c r="Q1152" s="36">
        <f>YEAR(B1152)</f>
        <v/>
      </c>
      <c r="R1152" s="36">
        <f>"Q"&amp;ROUNDUP(MONTH(B1152)/3,0)</f>
        <v/>
      </c>
      <c r="S1152" s="36">
        <f>MONTH(B1152)</f>
        <v/>
      </c>
      <c r="T1152" s="36">
        <f>TEXT(B1152,"mmm")</f>
        <v/>
      </c>
      <c r="U1152" s="36">
        <f>IF(AND(OR(sel_Region="All",C1152=sel_Region),OR(sel_Country="All",D1152=sel_Country),OR(sel_Channel="All",E1152=sel_Channel),OR(sel_Customer="All",F1152=sel_Customer),OR(sel_Category="All",G1152=sel_Category),OR(sel_Product="All",H1152=sel_Product),AND(S1152&gt;=m_From,S1152&lt;=m_To)),1,0)</f>
        <v/>
      </c>
      <c r="V1152" s="36">
        <f>IF(AND(OR(sel_Region="All",C1152=sel_Region),OR(sel_Channel="All",E1152=sel_Channel),OR(sel_Customer="All",F1152=sel_Customer),OR(sel_Category="All",G1152=sel_Category),OR(sel_Product="All",H1152=sel_Product),AND(S1152&gt;=m_From,S1152&lt;=m_To)),1,0)</f>
        <v/>
      </c>
      <c r="W1152" s="36">
        <f>IF(AND(OR(sel_Region="All",C1152=sel_Region),OR(sel_Country="All",D1152=sel_Country),OR(sel_Customer="All",F1152=sel_Customer),OR(sel_Category="All",G1152=sel_Category),OR(sel_Product="All",H1152=sel_Product),AND(S1152&gt;=m_From,S1152&lt;=m_To)),1,0)</f>
        <v/>
      </c>
      <c r="X1152" s="36">
        <f>IF(AND(OR(sel_Region="All",C1152=sel_Region),OR(sel_Country="All",D1152=sel_Country),OR(sel_Channel="All",E1152=sel_Channel),OR(sel_Category="All",G1152=sel_Category),OR(sel_Product="All",H1152=sel_Product),AND(S1152&gt;=m_From,S1152&lt;=m_To)),1,0)</f>
        <v/>
      </c>
      <c r="Y1152" s="36">
        <f>IF(AND(OR(sel_Region="All",C1152=sel_Region),OR(sel_Country="All",D1152=sel_Country),OR(sel_Channel="All",E1152=sel_Channel),OR(sel_Customer="All",F1152=sel_Customer),OR(sel_Product="All",H1152=sel_Product),AND(S1152&gt;=m_From,S1152&lt;=m_To)),1,0)</f>
        <v/>
      </c>
      <c r="Z1152" s="36">
        <f>IF(AND(OR(sel_Region="All",C1152=sel_Region),OR(sel_Country="All",D1152=sel_Country),OR(sel_Channel="All",E1152=sel_Channel),OR(sel_Customer="All",F1152=sel_Customer),OR(sel_Category="All",G1152=sel_Category),AND(S1152&gt;=m_From,S1152&lt;=m_To)),1,0)</f>
        <v/>
      </c>
      <c r="AA1152" s="36">
        <f>IF(AND(OR(sel_Region="All",C1152=sel_Region),OR(sel_Country="All",D1152=sel_Country),OR(sel_Channel="All",E1152=sel_Channel),OR(sel_Customer="All",F1152=sel_Customer),OR(sel_Category="All",G1152=sel_Category),OR(sel_Product="All",H1152=sel_Product)),1,0)</f>
        <v/>
      </c>
    </row>
    <row r="1153">
      <c r="A1153" s="36" t="inlineStr">
        <is>
          <t>03223</t>
        </is>
      </c>
      <c r="B1153" s="44" t="n">
        <v>46193</v>
      </c>
      <c r="C1153" s="36" t="inlineStr">
        <is>
          <t>Central Europe</t>
        </is>
      </c>
      <c r="D1153" s="36" t="inlineStr">
        <is>
          <t>Poland</t>
        </is>
      </c>
      <c r="E1153" s="36" t="inlineStr">
        <is>
          <t>Retail Partners</t>
        </is>
      </c>
      <c r="F1153" s="36" t="inlineStr">
        <is>
          <t>Returning</t>
        </is>
      </c>
      <c r="G1153" s="36" t="inlineStr">
        <is>
          <t>Fitness</t>
        </is>
      </c>
      <c r="H1153" s="36" t="inlineStr">
        <is>
          <t>Training Mat</t>
        </is>
      </c>
      <c r="I1153" s="36" t="n">
        <v>1</v>
      </c>
      <c r="J1153" s="39" t="n">
        <v>50.11</v>
      </c>
      <c r="K1153" s="45" t="n">
        <v>0.05</v>
      </c>
      <c r="L1153" s="39" t="n">
        <v>21.38</v>
      </c>
      <c r="M1153" s="39">
        <f>I1153*J1153*(1-K1153)</f>
        <v/>
      </c>
      <c r="N1153" s="39">
        <f>I1153*L1153</f>
        <v/>
      </c>
      <c r="O1153" s="39">
        <f>M1153-N1153</f>
        <v/>
      </c>
      <c r="P1153" s="38">
        <f>IF(M1153=0,0,O1153/M1153)</f>
        <v/>
      </c>
      <c r="Q1153" s="36">
        <f>YEAR(B1153)</f>
        <v/>
      </c>
      <c r="R1153" s="36">
        <f>"Q"&amp;ROUNDUP(MONTH(B1153)/3,0)</f>
        <v/>
      </c>
      <c r="S1153" s="36">
        <f>MONTH(B1153)</f>
        <v/>
      </c>
      <c r="T1153" s="36">
        <f>TEXT(B1153,"mmm")</f>
        <v/>
      </c>
      <c r="U1153" s="36">
        <f>IF(AND(OR(sel_Region="All",C1153=sel_Region),OR(sel_Country="All",D1153=sel_Country),OR(sel_Channel="All",E1153=sel_Channel),OR(sel_Customer="All",F1153=sel_Customer),OR(sel_Category="All",G1153=sel_Category),OR(sel_Product="All",H1153=sel_Product),AND(S1153&gt;=m_From,S1153&lt;=m_To)),1,0)</f>
        <v/>
      </c>
      <c r="V1153" s="36">
        <f>IF(AND(OR(sel_Region="All",C1153=sel_Region),OR(sel_Channel="All",E1153=sel_Channel),OR(sel_Customer="All",F1153=sel_Customer),OR(sel_Category="All",G1153=sel_Category),OR(sel_Product="All",H1153=sel_Product),AND(S1153&gt;=m_From,S1153&lt;=m_To)),1,0)</f>
        <v/>
      </c>
      <c r="W1153" s="36">
        <f>IF(AND(OR(sel_Region="All",C1153=sel_Region),OR(sel_Country="All",D1153=sel_Country),OR(sel_Customer="All",F1153=sel_Customer),OR(sel_Category="All",G1153=sel_Category),OR(sel_Product="All",H1153=sel_Product),AND(S1153&gt;=m_From,S1153&lt;=m_To)),1,0)</f>
        <v/>
      </c>
      <c r="X1153" s="36">
        <f>IF(AND(OR(sel_Region="All",C1153=sel_Region),OR(sel_Country="All",D1153=sel_Country),OR(sel_Channel="All",E1153=sel_Channel),OR(sel_Category="All",G1153=sel_Category),OR(sel_Product="All",H1153=sel_Product),AND(S1153&gt;=m_From,S1153&lt;=m_To)),1,0)</f>
        <v/>
      </c>
      <c r="Y1153" s="36">
        <f>IF(AND(OR(sel_Region="All",C1153=sel_Region),OR(sel_Country="All",D1153=sel_Country),OR(sel_Channel="All",E1153=sel_Channel),OR(sel_Customer="All",F1153=sel_Customer),OR(sel_Product="All",H1153=sel_Product),AND(S1153&gt;=m_From,S1153&lt;=m_To)),1,0)</f>
        <v/>
      </c>
      <c r="Z1153" s="36">
        <f>IF(AND(OR(sel_Region="All",C1153=sel_Region),OR(sel_Country="All",D1153=sel_Country),OR(sel_Channel="All",E1153=sel_Channel),OR(sel_Customer="All",F1153=sel_Customer),OR(sel_Category="All",G1153=sel_Category),AND(S1153&gt;=m_From,S1153&lt;=m_To)),1,0)</f>
        <v/>
      </c>
      <c r="AA1153" s="36">
        <f>IF(AND(OR(sel_Region="All",C1153=sel_Region),OR(sel_Country="All",D1153=sel_Country),OR(sel_Channel="All",E1153=sel_Channel),OR(sel_Customer="All",F1153=sel_Customer),OR(sel_Category="All",G1153=sel_Category),OR(sel_Product="All",H1153=sel_Product)),1,0)</f>
        <v/>
      </c>
    </row>
    <row r="1154">
      <c r="A1154" s="36" t="inlineStr">
        <is>
          <t>03260</t>
        </is>
      </c>
      <c r="B1154" s="44" t="n">
        <v>46193</v>
      </c>
      <c r="C1154" s="36" t="inlineStr">
        <is>
          <t>Northern Europe</t>
        </is>
      </c>
      <c r="D1154" s="36" t="inlineStr">
        <is>
          <t>Sweden</t>
        </is>
      </c>
      <c r="E1154" s="36" t="inlineStr">
        <is>
          <t>Retail Partners</t>
        </is>
      </c>
      <c r="F1154" s="36" t="inlineStr">
        <is>
          <t>Returning</t>
        </is>
      </c>
      <c r="G1154" s="36" t="inlineStr">
        <is>
          <t>Hiking</t>
        </is>
      </c>
      <c r="H1154" s="36" t="inlineStr">
        <is>
          <t>Trail Boots</t>
        </is>
      </c>
      <c r="I1154" s="36" t="n">
        <v>1</v>
      </c>
      <c r="J1154" s="39" t="n">
        <v>142.55</v>
      </c>
      <c r="K1154" s="45" t="n">
        <v>0.1</v>
      </c>
      <c r="L1154" s="39" t="n">
        <v>79.70999999999999</v>
      </c>
      <c r="M1154" s="39">
        <f>I1154*J1154*(1-K1154)</f>
        <v/>
      </c>
      <c r="N1154" s="39">
        <f>I1154*L1154</f>
        <v/>
      </c>
      <c r="O1154" s="39">
        <f>M1154-N1154</f>
        <v/>
      </c>
      <c r="P1154" s="38">
        <f>IF(M1154=0,0,O1154/M1154)</f>
        <v/>
      </c>
      <c r="Q1154" s="36">
        <f>YEAR(B1154)</f>
        <v/>
      </c>
      <c r="R1154" s="36">
        <f>"Q"&amp;ROUNDUP(MONTH(B1154)/3,0)</f>
        <v/>
      </c>
      <c r="S1154" s="36">
        <f>MONTH(B1154)</f>
        <v/>
      </c>
      <c r="T1154" s="36">
        <f>TEXT(B1154,"mmm")</f>
        <v/>
      </c>
      <c r="U1154" s="36">
        <f>IF(AND(OR(sel_Region="All",C1154=sel_Region),OR(sel_Country="All",D1154=sel_Country),OR(sel_Channel="All",E1154=sel_Channel),OR(sel_Customer="All",F1154=sel_Customer),OR(sel_Category="All",G1154=sel_Category),OR(sel_Product="All",H1154=sel_Product),AND(S1154&gt;=m_From,S1154&lt;=m_To)),1,0)</f>
        <v/>
      </c>
      <c r="V1154" s="36">
        <f>IF(AND(OR(sel_Region="All",C1154=sel_Region),OR(sel_Channel="All",E1154=sel_Channel),OR(sel_Customer="All",F1154=sel_Customer),OR(sel_Category="All",G1154=sel_Category),OR(sel_Product="All",H1154=sel_Product),AND(S1154&gt;=m_From,S1154&lt;=m_To)),1,0)</f>
        <v/>
      </c>
      <c r="W1154" s="36">
        <f>IF(AND(OR(sel_Region="All",C1154=sel_Region),OR(sel_Country="All",D1154=sel_Country),OR(sel_Customer="All",F1154=sel_Customer),OR(sel_Category="All",G1154=sel_Category),OR(sel_Product="All",H1154=sel_Product),AND(S1154&gt;=m_From,S1154&lt;=m_To)),1,0)</f>
        <v/>
      </c>
      <c r="X1154" s="36">
        <f>IF(AND(OR(sel_Region="All",C1154=sel_Region),OR(sel_Country="All",D1154=sel_Country),OR(sel_Channel="All",E1154=sel_Channel),OR(sel_Category="All",G1154=sel_Category),OR(sel_Product="All",H1154=sel_Product),AND(S1154&gt;=m_From,S1154&lt;=m_To)),1,0)</f>
        <v/>
      </c>
      <c r="Y1154" s="36">
        <f>IF(AND(OR(sel_Region="All",C1154=sel_Region),OR(sel_Country="All",D1154=sel_Country),OR(sel_Channel="All",E1154=sel_Channel),OR(sel_Customer="All",F1154=sel_Customer),OR(sel_Product="All",H1154=sel_Product),AND(S1154&gt;=m_From,S1154&lt;=m_To)),1,0)</f>
        <v/>
      </c>
      <c r="Z1154" s="36">
        <f>IF(AND(OR(sel_Region="All",C1154=sel_Region),OR(sel_Country="All",D1154=sel_Country),OR(sel_Channel="All",E1154=sel_Channel),OR(sel_Customer="All",F1154=sel_Customer),OR(sel_Category="All",G1154=sel_Category),AND(S1154&gt;=m_From,S1154&lt;=m_To)),1,0)</f>
        <v/>
      </c>
      <c r="AA1154" s="36">
        <f>IF(AND(OR(sel_Region="All",C1154=sel_Region),OR(sel_Country="All",D1154=sel_Country),OR(sel_Channel="All",E1154=sel_Channel),OR(sel_Customer="All",F1154=sel_Customer),OR(sel_Category="All",G1154=sel_Category),OR(sel_Product="All",H1154=sel_Product)),1,0)</f>
        <v/>
      </c>
    </row>
    <row r="1155">
      <c r="A1155" s="36" t="inlineStr">
        <is>
          <t>03404</t>
        </is>
      </c>
      <c r="B1155" s="44" t="n">
        <v>46193</v>
      </c>
      <c r="C1155" s="36" t="inlineStr">
        <is>
          <t>Western Europe</t>
        </is>
      </c>
      <c r="D1155" s="36" t="inlineStr">
        <is>
          <t>United Kingdom</t>
        </is>
      </c>
      <c r="E1155" s="36" t="inlineStr">
        <is>
          <t>Online Store</t>
        </is>
      </c>
      <c r="F1155" s="36" t="inlineStr">
        <is>
          <t>New</t>
        </is>
      </c>
      <c r="G1155" s="36" t="inlineStr">
        <is>
          <t>Camping</t>
        </is>
      </c>
      <c r="H1155" s="36" t="inlineStr">
        <is>
          <t>Trail Tent 2P</t>
        </is>
      </c>
      <c r="I1155" s="36" t="n">
        <v>3</v>
      </c>
      <c r="J1155" s="39" t="n">
        <v>191.11</v>
      </c>
      <c r="K1155" s="45" t="n">
        <v>0.05</v>
      </c>
      <c r="L1155" s="39" t="n">
        <v>102.82</v>
      </c>
      <c r="M1155" s="39">
        <f>I1155*J1155*(1-K1155)</f>
        <v/>
      </c>
      <c r="N1155" s="39">
        <f>I1155*L1155</f>
        <v/>
      </c>
      <c r="O1155" s="39">
        <f>M1155-N1155</f>
        <v/>
      </c>
      <c r="P1155" s="38">
        <f>IF(M1155=0,0,O1155/M1155)</f>
        <v/>
      </c>
      <c r="Q1155" s="36">
        <f>YEAR(B1155)</f>
        <v/>
      </c>
      <c r="R1155" s="36">
        <f>"Q"&amp;ROUNDUP(MONTH(B1155)/3,0)</f>
        <v/>
      </c>
      <c r="S1155" s="36">
        <f>MONTH(B1155)</f>
        <v/>
      </c>
      <c r="T1155" s="36">
        <f>TEXT(B1155,"mmm")</f>
        <v/>
      </c>
      <c r="U1155" s="36">
        <f>IF(AND(OR(sel_Region="All",C1155=sel_Region),OR(sel_Country="All",D1155=sel_Country),OR(sel_Channel="All",E1155=sel_Channel),OR(sel_Customer="All",F1155=sel_Customer),OR(sel_Category="All",G1155=sel_Category),OR(sel_Product="All",H1155=sel_Product),AND(S1155&gt;=m_From,S1155&lt;=m_To)),1,0)</f>
        <v/>
      </c>
      <c r="V1155" s="36">
        <f>IF(AND(OR(sel_Region="All",C1155=sel_Region),OR(sel_Channel="All",E1155=sel_Channel),OR(sel_Customer="All",F1155=sel_Customer),OR(sel_Category="All",G1155=sel_Category),OR(sel_Product="All",H1155=sel_Product),AND(S1155&gt;=m_From,S1155&lt;=m_To)),1,0)</f>
        <v/>
      </c>
      <c r="W1155" s="36">
        <f>IF(AND(OR(sel_Region="All",C1155=sel_Region),OR(sel_Country="All",D1155=sel_Country),OR(sel_Customer="All",F1155=sel_Customer),OR(sel_Category="All",G1155=sel_Category),OR(sel_Product="All",H1155=sel_Product),AND(S1155&gt;=m_From,S1155&lt;=m_To)),1,0)</f>
        <v/>
      </c>
      <c r="X1155" s="36">
        <f>IF(AND(OR(sel_Region="All",C1155=sel_Region),OR(sel_Country="All",D1155=sel_Country),OR(sel_Channel="All",E1155=sel_Channel),OR(sel_Category="All",G1155=sel_Category),OR(sel_Product="All",H1155=sel_Product),AND(S1155&gt;=m_From,S1155&lt;=m_To)),1,0)</f>
        <v/>
      </c>
      <c r="Y1155" s="36">
        <f>IF(AND(OR(sel_Region="All",C1155=sel_Region),OR(sel_Country="All",D1155=sel_Country),OR(sel_Channel="All",E1155=sel_Channel),OR(sel_Customer="All",F1155=sel_Customer),OR(sel_Product="All",H1155=sel_Product),AND(S1155&gt;=m_From,S1155&lt;=m_To)),1,0)</f>
        <v/>
      </c>
      <c r="Z1155" s="36">
        <f>IF(AND(OR(sel_Region="All",C1155=sel_Region),OR(sel_Country="All",D1155=sel_Country),OR(sel_Channel="All",E1155=sel_Channel),OR(sel_Customer="All",F1155=sel_Customer),OR(sel_Category="All",G1155=sel_Category),AND(S1155&gt;=m_From,S1155&lt;=m_To)),1,0)</f>
        <v/>
      </c>
      <c r="AA1155" s="36">
        <f>IF(AND(OR(sel_Region="All",C1155=sel_Region),OR(sel_Country="All",D1155=sel_Country),OR(sel_Channel="All",E1155=sel_Channel),OR(sel_Customer="All",F1155=sel_Customer),OR(sel_Category="All",G1155=sel_Category),OR(sel_Product="All",H1155=sel_Product)),1,0)</f>
        <v/>
      </c>
    </row>
    <row r="1156">
      <c r="A1156" s="36" t="inlineStr">
        <is>
          <t>04267</t>
        </is>
      </c>
      <c r="B1156" s="44" t="n">
        <v>46193</v>
      </c>
      <c r="C1156" s="36" t="inlineStr">
        <is>
          <t>Western Europe</t>
        </is>
      </c>
      <c r="D1156" s="36" t="inlineStr">
        <is>
          <t>France</t>
        </is>
      </c>
      <c r="E1156" s="36" t="inlineStr">
        <is>
          <t>Corporate</t>
        </is>
      </c>
      <c r="F1156" s="36" t="inlineStr">
        <is>
          <t>Business</t>
        </is>
      </c>
      <c r="G1156" s="36" t="inlineStr">
        <is>
          <t>Cycling</t>
        </is>
      </c>
      <c r="H1156" s="36" t="inlineStr">
        <is>
          <t>Compact Repair Kit</t>
        </is>
      </c>
      <c r="I1156" s="36" t="n">
        <v>6</v>
      </c>
      <c r="J1156" s="39" t="n">
        <v>40.23</v>
      </c>
      <c r="K1156" s="45" t="n">
        <v>0.15</v>
      </c>
      <c r="L1156" s="39" t="n">
        <v>17.08</v>
      </c>
      <c r="M1156" s="39">
        <f>I1156*J1156*(1-K1156)</f>
        <v/>
      </c>
      <c r="N1156" s="39">
        <f>I1156*L1156</f>
        <v/>
      </c>
      <c r="O1156" s="39">
        <f>M1156-N1156</f>
        <v/>
      </c>
      <c r="P1156" s="38">
        <f>IF(M1156=0,0,O1156/M1156)</f>
        <v/>
      </c>
      <c r="Q1156" s="36">
        <f>YEAR(B1156)</f>
        <v/>
      </c>
      <c r="R1156" s="36">
        <f>"Q"&amp;ROUNDUP(MONTH(B1156)/3,0)</f>
        <v/>
      </c>
      <c r="S1156" s="36">
        <f>MONTH(B1156)</f>
        <v/>
      </c>
      <c r="T1156" s="36">
        <f>TEXT(B1156,"mmm")</f>
        <v/>
      </c>
      <c r="U1156" s="36">
        <f>IF(AND(OR(sel_Region="All",C1156=sel_Region),OR(sel_Country="All",D1156=sel_Country),OR(sel_Channel="All",E1156=sel_Channel),OR(sel_Customer="All",F1156=sel_Customer),OR(sel_Category="All",G1156=sel_Category),OR(sel_Product="All",H1156=sel_Product),AND(S1156&gt;=m_From,S1156&lt;=m_To)),1,0)</f>
        <v/>
      </c>
      <c r="V1156" s="36">
        <f>IF(AND(OR(sel_Region="All",C1156=sel_Region),OR(sel_Channel="All",E1156=sel_Channel),OR(sel_Customer="All",F1156=sel_Customer),OR(sel_Category="All",G1156=sel_Category),OR(sel_Product="All",H1156=sel_Product),AND(S1156&gt;=m_From,S1156&lt;=m_To)),1,0)</f>
        <v/>
      </c>
      <c r="W1156" s="36">
        <f>IF(AND(OR(sel_Region="All",C1156=sel_Region),OR(sel_Country="All",D1156=sel_Country),OR(sel_Customer="All",F1156=sel_Customer),OR(sel_Category="All",G1156=sel_Category),OR(sel_Product="All",H1156=sel_Product),AND(S1156&gt;=m_From,S1156&lt;=m_To)),1,0)</f>
        <v/>
      </c>
      <c r="X1156" s="36">
        <f>IF(AND(OR(sel_Region="All",C1156=sel_Region),OR(sel_Country="All",D1156=sel_Country),OR(sel_Channel="All",E1156=sel_Channel),OR(sel_Category="All",G1156=sel_Category),OR(sel_Product="All",H1156=sel_Product),AND(S1156&gt;=m_From,S1156&lt;=m_To)),1,0)</f>
        <v/>
      </c>
      <c r="Y1156" s="36">
        <f>IF(AND(OR(sel_Region="All",C1156=sel_Region),OR(sel_Country="All",D1156=sel_Country),OR(sel_Channel="All",E1156=sel_Channel),OR(sel_Customer="All",F1156=sel_Customer),OR(sel_Product="All",H1156=sel_Product),AND(S1156&gt;=m_From,S1156&lt;=m_To)),1,0)</f>
        <v/>
      </c>
      <c r="Z1156" s="36">
        <f>IF(AND(OR(sel_Region="All",C1156=sel_Region),OR(sel_Country="All",D1156=sel_Country),OR(sel_Channel="All",E1156=sel_Channel),OR(sel_Customer="All",F1156=sel_Customer),OR(sel_Category="All",G1156=sel_Category),AND(S1156&gt;=m_From,S1156&lt;=m_To)),1,0)</f>
        <v/>
      </c>
      <c r="AA1156" s="36">
        <f>IF(AND(OR(sel_Region="All",C1156=sel_Region),OR(sel_Country="All",D1156=sel_Country),OR(sel_Channel="All",E1156=sel_Channel),OR(sel_Customer="All",F1156=sel_Customer),OR(sel_Category="All",G1156=sel_Category),OR(sel_Product="All",H1156=sel_Product)),1,0)</f>
        <v/>
      </c>
    </row>
    <row r="1157">
      <c r="A1157" s="36" t="inlineStr">
        <is>
          <t>05082</t>
        </is>
      </c>
      <c r="B1157" s="44" t="n">
        <v>46193</v>
      </c>
      <c r="C1157" s="36" t="inlineStr">
        <is>
          <t>Central Europe</t>
        </is>
      </c>
      <c r="D1157" s="36" t="inlineStr">
        <is>
          <t>Switzerland</t>
        </is>
      </c>
      <c r="E1157" s="36" t="inlineStr">
        <is>
          <t>Online Store</t>
        </is>
      </c>
      <c r="F1157" s="36" t="inlineStr">
        <is>
          <t>Business</t>
        </is>
      </c>
      <c r="G1157" s="36" t="inlineStr">
        <is>
          <t>Cycling</t>
        </is>
      </c>
      <c r="H1157" s="36" t="inlineStr">
        <is>
          <t>Commuter Helmet</t>
        </is>
      </c>
      <c r="I1157" s="36" t="n">
        <v>2</v>
      </c>
      <c r="J1157" s="39" t="n">
        <v>81.48999999999999</v>
      </c>
      <c r="K1157" s="45" t="n">
        <v>0</v>
      </c>
      <c r="L1157" s="39" t="n">
        <v>42.15</v>
      </c>
      <c r="M1157" s="39">
        <f>I1157*J1157*(1-K1157)</f>
        <v/>
      </c>
      <c r="N1157" s="39">
        <f>I1157*L1157</f>
        <v/>
      </c>
      <c r="O1157" s="39">
        <f>M1157-N1157</f>
        <v/>
      </c>
      <c r="P1157" s="38">
        <f>IF(M1157=0,0,O1157/M1157)</f>
        <v/>
      </c>
      <c r="Q1157" s="36">
        <f>YEAR(B1157)</f>
        <v/>
      </c>
      <c r="R1157" s="36">
        <f>"Q"&amp;ROUNDUP(MONTH(B1157)/3,0)</f>
        <v/>
      </c>
      <c r="S1157" s="36">
        <f>MONTH(B1157)</f>
        <v/>
      </c>
      <c r="T1157" s="36">
        <f>TEXT(B1157,"mmm")</f>
        <v/>
      </c>
      <c r="U1157" s="36">
        <f>IF(AND(OR(sel_Region="All",C1157=sel_Region),OR(sel_Country="All",D1157=sel_Country),OR(sel_Channel="All",E1157=sel_Channel),OR(sel_Customer="All",F1157=sel_Customer),OR(sel_Category="All",G1157=sel_Category),OR(sel_Product="All",H1157=sel_Product),AND(S1157&gt;=m_From,S1157&lt;=m_To)),1,0)</f>
        <v/>
      </c>
      <c r="V1157" s="36">
        <f>IF(AND(OR(sel_Region="All",C1157=sel_Region),OR(sel_Channel="All",E1157=sel_Channel),OR(sel_Customer="All",F1157=sel_Customer),OR(sel_Category="All",G1157=sel_Category),OR(sel_Product="All",H1157=sel_Product),AND(S1157&gt;=m_From,S1157&lt;=m_To)),1,0)</f>
        <v/>
      </c>
      <c r="W1157" s="36">
        <f>IF(AND(OR(sel_Region="All",C1157=sel_Region),OR(sel_Country="All",D1157=sel_Country),OR(sel_Customer="All",F1157=sel_Customer),OR(sel_Category="All",G1157=sel_Category),OR(sel_Product="All",H1157=sel_Product),AND(S1157&gt;=m_From,S1157&lt;=m_To)),1,0)</f>
        <v/>
      </c>
      <c r="X1157" s="36">
        <f>IF(AND(OR(sel_Region="All",C1157=sel_Region),OR(sel_Country="All",D1157=sel_Country),OR(sel_Channel="All",E1157=sel_Channel),OR(sel_Category="All",G1157=sel_Category),OR(sel_Product="All",H1157=sel_Product),AND(S1157&gt;=m_From,S1157&lt;=m_To)),1,0)</f>
        <v/>
      </c>
      <c r="Y1157" s="36">
        <f>IF(AND(OR(sel_Region="All",C1157=sel_Region),OR(sel_Country="All",D1157=sel_Country),OR(sel_Channel="All",E1157=sel_Channel),OR(sel_Customer="All",F1157=sel_Customer),OR(sel_Product="All",H1157=sel_Product),AND(S1157&gt;=m_From,S1157&lt;=m_To)),1,0)</f>
        <v/>
      </c>
      <c r="Z1157" s="36">
        <f>IF(AND(OR(sel_Region="All",C1157=sel_Region),OR(sel_Country="All",D1157=sel_Country),OR(sel_Channel="All",E1157=sel_Channel),OR(sel_Customer="All",F1157=sel_Customer),OR(sel_Category="All",G1157=sel_Category),AND(S1157&gt;=m_From,S1157&lt;=m_To)),1,0)</f>
        <v/>
      </c>
      <c r="AA1157" s="36">
        <f>IF(AND(OR(sel_Region="All",C1157=sel_Region),OR(sel_Country="All",D1157=sel_Country),OR(sel_Channel="All",E1157=sel_Channel),OR(sel_Customer="All",F1157=sel_Customer),OR(sel_Category="All",G1157=sel_Category),OR(sel_Product="All",H1157=sel_Product)),1,0)</f>
        <v/>
      </c>
    </row>
    <row r="1158">
      <c r="A1158" s="36" t="inlineStr">
        <is>
          <t>05108</t>
        </is>
      </c>
      <c r="B1158" s="44" t="n">
        <v>46193</v>
      </c>
      <c r="C1158" s="36" t="inlineStr">
        <is>
          <t>Central Europe</t>
        </is>
      </c>
      <c r="D1158" s="36" t="inlineStr">
        <is>
          <t>Austria</t>
        </is>
      </c>
      <c r="E1158" s="36" t="inlineStr">
        <is>
          <t>Corporate</t>
        </is>
      </c>
      <c r="F1158" s="36" t="inlineStr">
        <is>
          <t>Business</t>
        </is>
      </c>
      <c r="G1158" s="36" t="inlineStr">
        <is>
          <t>Travel</t>
        </is>
      </c>
      <c r="H1158" s="36" t="inlineStr">
        <is>
          <t>Travel Backpack 35L</t>
        </is>
      </c>
      <c r="I1158" s="36" t="n">
        <v>8</v>
      </c>
      <c r="J1158" s="39" t="n">
        <v>162.71</v>
      </c>
      <c r="K1158" s="45" t="n">
        <v>0.2</v>
      </c>
      <c r="L1158" s="39" t="n">
        <v>85.27</v>
      </c>
      <c r="M1158" s="39">
        <f>I1158*J1158*(1-K1158)</f>
        <v/>
      </c>
      <c r="N1158" s="39">
        <f>I1158*L1158</f>
        <v/>
      </c>
      <c r="O1158" s="39">
        <f>M1158-N1158</f>
        <v/>
      </c>
      <c r="P1158" s="38">
        <f>IF(M1158=0,0,O1158/M1158)</f>
        <v/>
      </c>
      <c r="Q1158" s="36">
        <f>YEAR(B1158)</f>
        <v/>
      </c>
      <c r="R1158" s="36">
        <f>"Q"&amp;ROUNDUP(MONTH(B1158)/3,0)</f>
        <v/>
      </c>
      <c r="S1158" s="36">
        <f>MONTH(B1158)</f>
        <v/>
      </c>
      <c r="T1158" s="36">
        <f>TEXT(B1158,"mmm")</f>
        <v/>
      </c>
      <c r="U1158" s="36">
        <f>IF(AND(OR(sel_Region="All",C1158=sel_Region),OR(sel_Country="All",D1158=sel_Country),OR(sel_Channel="All",E1158=sel_Channel),OR(sel_Customer="All",F1158=sel_Customer),OR(sel_Category="All",G1158=sel_Category),OR(sel_Product="All",H1158=sel_Product),AND(S1158&gt;=m_From,S1158&lt;=m_To)),1,0)</f>
        <v/>
      </c>
      <c r="V1158" s="36">
        <f>IF(AND(OR(sel_Region="All",C1158=sel_Region),OR(sel_Channel="All",E1158=sel_Channel),OR(sel_Customer="All",F1158=sel_Customer),OR(sel_Category="All",G1158=sel_Category),OR(sel_Product="All",H1158=sel_Product),AND(S1158&gt;=m_From,S1158&lt;=m_To)),1,0)</f>
        <v/>
      </c>
      <c r="W1158" s="36">
        <f>IF(AND(OR(sel_Region="All",C1158=sel_Region),OR(sel_Country="All",D1158=sel_Country),OR(sel_Customer="All",F1158=sel_Customer),OR(sel_Category="All",G1158=sel_Category),OR(sel_Product="All",H1158=sel_Product),AND(S1158&gt;=m_From,S1158&lt;=m_To)),1,0)</f>
        <v/>
      </c>
      <c r="X1158" s="36">
        <f>IF(AND(OR(sel_Region="All",C1158=sel_Region),OR(sel_Country="All",D1158=sel_Country),OR(sel_Channel="All",E1158=sel_Channel),OR(sel_Category="All",G1158=sel_Category),OR(sel_Product="All",H1158=sel_Product),AND(S1158&gt;=m_From,S1158&lt;=m_To)),1,0)</f>
        <v/>
      </c>
      <c r="Y1158" s="36">
        <f>IF(AND(OR(sel_Region="All",C1158=sel_Region),OR(sel_Country="All",D1158=sel_Country),OR(sel_Channel="All",E1158=sel_Channel),OR(sel_Customer="All",F1158=sel_Customer),OR(sel_Product="All",H1158=sel_Product),AND(S1158&gt;=m_From,S1158&lt;=m_To)),1,0)</f>
        <v/>
      </c>
      <c r="Z1158" s="36">
        <f>IF(AND(OR(sel_Region="All",C1158=sel_Region),OR(sel_Country="All",D1158=sel_Country),OR(sel_Channel="All",E1158=sel_Channel),OR(sel_Customer="All",F1158=sel_Customer),OR(sel_Category="All",G1158=sel_Category),AND(S1158&gt;=m_From,S1158&lt;=m_To)),1,0)</f>
        <v/>
      </c>
      <c r="AA1158" s="36">
        <f>IF(AND(OR(sel_Region="All",C1158=sel_Region),OR(sel_Country="All",D1158=sel_Country),OR(sel_Channel="All",E1158=sel_Channel),OR(sel_Customer="All",F1158=sel_Customer),OR(sel_Category="All",G1158=sel_Category),OR(sel_Product="All",H1158=sel_Product)),1,0)</f>
        <v/>
      </c>
    </row>
    <row r="1159">
      <c r="A1159" s="36" t="inlineStr">
        <is>
          <t>01105</t>
        </is>
      </c>
      <c r="B1159" s="44" t="n">
        <v>46194</v>
      </c>
      <c r="C1159" s="36" t="inlineStr">
        <is>
          <t>Northern Europe</t>
        </is>
      </c>
      <c r="D1159" s="36" t="inlineStr">
        <is>
          <t>Denmark</t>
        </is>
      </c>
      <c r="E1159" s="36" t="inlineStr">
        <is>
          <t>Marketplace</t>
        </is>
      </c>
      <c r="F1159" s="36" t="inlineStr">
        <is>
          <t>Returning</t>
        </is>
      </c>
      <c r="G1159" s="36" t="inlineStr">
        <is>
          <t>Travel</t>
        </is>
      </c>
      <c r="H1159" s="36" t="inlineStr">
        <is>
          <t>Insulated Bottle</t>
        </is>
      </c>
      <c r="I1159" s="36" t="n">
        <v>1</v>
      </c>
      <c r="J1159" s="39" t="n">
        <v>36.48</v>
      </c>
      <c r="K1159" s="45" t="n">
        <v>0.1</v>
      </c>
      <c r="L1159" s="39" t="n">
        <v>13.9</v>
      </c>
      <c r="M1159" s="39">
        <f>I1159*J1159*(1-K1159)</f>
        <v/>
      </c>
      <c r="N1159" s="39">
        <f>I1159*L1159</f>
        <v/>
      </c>
      <c r="O1159" s="39">
        <f>M1159-N1159</f>
        <v/>
      </c>
      <c r="P1159" s="38">
        <f>IF(M1159=0,0,O1159/M1159)</f>
        <v/>
      </c>
      <c r="Q1159" s="36">
        <f>YEAR(B1159)</f>
        <v/>
      </c>
      <c r="R1159" s="36">
        <f>"Q"&amp;ROUNDUP(MONTH(B1159)/3,0)</f>
        <v/>
      </c>
      <c r="S1159" s="36">
        <f>MONTH(B1159)</f>
        <v/>
      </c>
      <c r="T1159" s="36">
        <f>TEXT(B1159,"mmm")</f>
        <v/>
      </c>
      <c r="U1159" s="36">
        <f>IF(AND(OR(sel_Region="All",C1159=sel_Region),OR(sel_Country="All",D1159=sel_Country),OR(sel_Channel="All",E1159=sel_Channel),OR(sel_Customer="All",F1159=sel_Customer),OR(sel_Category="All",G1159=sel_Category),OR(sel_Product="All",H1159=sel_Product),AND(S1159&gt;=m_From,S1159&lt;=m_To)),1,0)</f>
        <v/>
      </c>
      <c r="V1159" s="36">
        <f>IF(AND(OR(sel_Region="All",C1159=sel_Region),OR(sel_Channel="All",E1159=sel_Channel),OR(sel_Customer="All",F1159=sel_Customer),OR(sel_Category="All",G1159=sel_Category),OR(sel_Product="All",H1159=sel_Product),AND(S1159&gt;=m_From,S1159&lt;=m_To)),1,0)</f>
        <v/>
      </c>
      <c r="W1159" s="36">
        <f>IF(AND(OR(sel_Region="All",C1159=sel_Region),OR(sel_Country="All",D1159=sel_Country),OR(sel_Customer="All",F1159=sel_Customer),OR(sel_Category="All",G1159=sel_Category),OR(sel_Product="All",H1159=sel_Product),AND(S1159&gt;=m_From,S1159&lt;=m_To)),1,0)</f>
        <v/>
      </c>
      <c r="X1159" s="36">
        <f>IF(AND(OR(sel_Region="All",C1159=sel_Region),OR(sel_Country="All",D1159=sel_Country),OR(sel_Channel="All",E1159=sel_Channel),OR(sel_Category="All",G1159=sel_Category),OR(sel_Product="All",H1159=sel_Product),AND(S1159&gt;=m_From,S1159&lt;=m_To)),1,0)</f>
        <v/>
      </c>
      <c r="Y1159" s="36">
        <f>IF(AND(OR(sel_Region="All",C1159=sel_Region),OR(sel_Country="All",D1159=sel_Country),OR(sel_Channel="All",E1159=sel_Channel),OR(sel_Customer="All",F1159=sel_Customer),OR(sel_Product="All",H1159=sel_Product),AND(S1159&gt;=m_From,S1159&lt;=m_To)),1,0)</f>
        <v/>
      </c>
      <c r="Z1159" s="36">
        <f>IF(AND(OR(sel_Region="All",C1159=sel_Region),OR(sel_Country="All",D1159=sel_Country),OR(sel_Channel="All",E1159=sel_Channel),OR(sel_Customer="All",F1159=sel_Customer),OR(sel_Category="All",G1159=sel_Category),AND(S1159&gt;=m_From,S1159&lt;=m_To)),1,0)</f>
        <v/>
      </c>
      <c r="AA1159" s="36">
        <f>IF(AND(OR(sel_Region="All",C1159=sel_Region),OR(sel_Country="All",D1159=sel_Country),OR(sel_Channel="All",E1159=sel_Channel),OR(sel_Customer="All",F1159=sel_Customer),OR(sel_Category="All",G1159=sel_Category),OR(sel_Product="All",H1159=sel_Product)),1,0)</f>
        <v/>
      </c>
    </row>
    <row r="1160">
      <c r="A1160" s="36" t="inlineStr">
        <is>
          <t>02757</t>
        </is>
      </c>
      <c r="B1160" s="44" t="n">
        <v>46194</v>
      </c>
      <c r="C1160" s="36" t="inlineStr">
        <is>
          <t>Central Europe</t>
        </is>
      </c>
      <c r="D1160" s="36" t="inlineStr">
        <is>
          <t>Austria</t>
        </is>
      </c>
      <c r="E1160" s="36" t="inlineStr">
        <is>
          <t>Corporate</t>
        </is>
      </c>
      <c r="F1160" s="36" t="inlineStr">
        <is>
          <t>Business</t>
        </is>
      </c>
      <c r="G1160" s="36" t="inlineStr">
        <is>
          <t>Travel</t>
        </is>
      </c>
      <c r="H1160" s="36" t="inlineStr">
        <is>
          <t>Carry-On Duffel</t>
        </is>
      </c>
      <c r="I1160" s="36" t="n">
        <v>6</v>
      </c>
      <c r="J1160" s="39" t="n">
        <v>136.65</v>
      </c>
      <c r="K1160" s="45" t="n">
        <v>0.15</v>
      </c>
      <c r="L1160" s="39" t="n">
        <v>68.56</v>
      </c>
      <c r="M1160" s="39">
        <f>I1160*J1160*(1-K1160)</f>
        <v/>
      </c>
      <c r="N1160" s="39">
        <f>I1160*L1160</f>
        <v/>
      </c>
      <c r="O1160" s="39">
        <f>M1160-N1160</f>
        <v/>
      </c>
      <c r="P1160" s="38">
        <f>IF(M1160=0,0,O1160/M1160)</f>
        <v/>
      </c>
      <c r="Q1160" s="36">
        <f>YEAR(B1160)</f>
        <v/>
      </c>
      <c r="R1160" s="36">
        <f>"Q"&amp;ROUNDUP(MONTH(B1160)/3,0)</f>
        <v/>
      </c>
      <c r="S1160" s="36">
        <f>MONTH(B1160)</f>
        <v/>
      </c>
      <c r="T1160" s="36">
        <f>TEXT(B1160,"mmm")</f>
        <v/>
      </c>
      <c r="U1160" s="36">
        <f>IF(AND(OR(sel_Region="All",C1160=sel_Region),OR(sel_Country="All",D1160=sel_Country),OR(sel_Channel="All",E1160=sel_Channel),OR(sel_Customer="All",F1160=sel_Customer),OR(sel_Category="All",G1160=sel_Category),OR(sel_Product="All",H1160=sel_Product),AND(S1160&gt;=m_From,S1160&lt;=m_To)),1,0)</f>
        <v/>
      </c>
      <c r="V1160" s="36">
        <f>IF(AND(OR(sel_Region="All",C1160=sel_Region),OR(sel_Channel="All",E1160=sel_Channel),OR(sel_Customer="All",F1160=sel_Customer),OR(sel_Category="All",G1160=sel_Category),OR(sel_Product="All",H1160=sel_Product),AND(S1160&gt;=m_From,S1160&lt;=m_To)),1,0)</f>
        <v/>
      </c>
      <c r="W1160" s="36">
        <f>IF(AND(OR(sel_Region="All",C1160=sel_Region),OR(sel_Country="All",D1160=sel_Country),OR(sel_Customer="All",F1160=sel_Customer),OR(sel_Category="All",G1160=sel_Category),OR(sel_Product="All",H1160=sel_Product),AND(S1160&gt;=m_From,S1160&lt;=m_To)),1,0)</f>
        <v/>
      </c>
      <c r="X1160" s="36">
        <f>IF(AND(OR(sel_Region="All",C1160=sel_Region),OR(sel_Country="All",D1160=sel_Country),OR(sel_Channel="All",E1160=sel_Channel),OR(sel_Category="All",G1160=sel_Category),OR(sel_Product="All",H1160=sel_Product),AND(S1160&gt;=m_From,S1160&lt;=m_To)),1,0)</f>
        <v/>
      </c>
      <c r="Y1160" s="36">
        <f>IF(AND(OR(sel_Region="All",C1160=sel_Region),OR(sel_Country="All",D1160=sel_Country),OR(sel_Channel="All",E1160=sel_Channel),OR(sel_Customer="All",F1160=sel_Customer),OR(sel_Product="All",H1160=sel_Product),AND(S1160&gt;=m_From,S1160&lt;=m_To)),1,0)</f>
        <v/>
      </c>
      <c r="Z1160" s="36">
        <f>IF(AND(OR(sel_Region="All",C1160=sel_Region),OR(sel_Country="All",D1160=sel_Country),OR(sel_Channel="All",E1160=sel_Channel),OR(sel_Customer="All",F1160=sel_Customer),OR(sel_Category="All",G1160=sel_Category),AND(S1160&gt;=m_From,S1160&lt;=m_To)),1,0)</f>
        <v/>
      </c>
      <c r="AA1160" s="36">
        <f>IF(AND(OR(sel_Region="All",C1160=sel_Region),OR(sel_Country="All",D1160=sel_Country),OR(sel_Channel="All",E1160=sel_Channel),OR(sel_Customer="All",F1160=sel_Customer),OR(sel_Category="All",G1160=sel_Category),OR(sel_Product="All",H1160=sel_Product)),1,0)</f>
        <v/>
      </c>
    </row>
    <row r="1161">
      <c r="A1161" s="36" t="inlineStr">
        <is>
          <t>03325</t>
        </is>
      </c>
      <c r="B1161" s="44" t="n">
        <v>46194</v>
      </c>
      <c r="C1161" s="36" t="inlineStr">
        <is>
          <t>Northern Europe</t>
        </is>
      </c>
      <c r="D1161" s="36" t="inlineStr">
        <is>
          <t>Sweden</t>
        </is>
      </c>
      <c r="E1161" s="36" t="inlineStr">
        <is>
          <t>Online Store</t>
        </is>
      </c>
      <c r="F1161" s="36" t="inlineStr">
        <is>
          <t>New</t>
        </is>
      </c>
      <c r="G1161" s="36" t="inlineStr">
        <is>
          <t>Cycling</t>
        </is>
      </c>
      <c r="H1161" s="36" t="inlineStr">
        <is>
          <t>Trail Bike Light</t>
        </is>
      </c>
      <c r="I1161" s="36" t="n">
        <v>4</v>
      </c>
      <c r="J1161" s="39" t="n">
        <v>50.57</v>
      </c>
      <c r="K1161" s="45" t="n">
        <v>0</v>
      </c>
      <c r="L1161" s="39" t="n">
        <v>21.85</v>
      </c>
      <c r="M1161" s="39">
        <f>I1161*J1161*(1-K1161)</f>
        <v/>
      </c>
      <c r="N1161" s="39">
        <f>I1161*L1161</f>
        <v/>
      </c>
      <c r="O1161" s="39">
        <f>M1161-N1161</f>
        <v/>
      </c>
      <c r="P1161" s="38">
        <f>IF(M1161=0,0,O1161/M1161)</f>
        <v/>
      </c>
      <c r="Q1161" s="36">
        <f>YEAR(B1161)</f>
        <v/>
      </c>
      <c r="R1161" s="36">
        <f>"Q"&amp;ROUNDUP(MONTH(B1161)/3,0)</f>
        <v/>
      </c>
      <c r="S1161" s="36">
        <f>MONTH(B1161)</f>
        <v/>
      </c>
      <c r="T1161" s="36">
        <f>TEXT(B1161,"mmm")</f>
        <v/>
      </c>
      <c r="U1161" s="36">
        <f>IF(AND(OR(sel_Region="All",C1161=sel_Region),OR(sel_Country="All",D1161=sel_Country),OR(sel_Channel="All",E1161=sel_Channel),OR(sel_Customer="All",F1161=sel_Customer),OR(sel_Category="All",G1161=sel_Category),OR(sel_Product="All",H1161=sel_Product),AND(S1161&gt;=m_From,S1161&lt;=m_To)),1,0)</f>
        <v/>
      </c>
      <c r="V1161" s="36">
        <f>IF(AND(OR(sel_Region="All",C1161=sel_Region),OR(sel_Channel="All",E1161=sel_Channel),OR(sel_Customer="All",F1161=sel_Customer),OR(sel_Category="All",G1161=sel_Category),OR(sel_Product="All",H1161=sel_Product),AND(S1161&gt;=m_From,S1161&lt;=m_To)),1,0)</f>
        <v/>
      </c>
      <c r="W1161" s="36">
        <f>IF(AND(OR(sel_Region="All",C1161=sel_Region),OR(sel_Country="All",D1161=sel_Country),OR(sel_Customer="All",F1161=sel_Customer),OR(sel_Category="All",G1161=sel_Category),OR(sel_Product="All",H1161=sel_Product),AND(S1161&gt;=m_From,S1161&lt;=m_To)),1,0)</f>
        <v/>
      </c>
      <c r="X1161" s="36">
        <f>IF(AND(OR(sel_Region="All",C1161=sel_Region),OR(sel_Country="All",D1161=sel_Country),OR(sel_Channel="All",E1161=sel_Channel),OR(sel_Category="All",G1161=sel_Category),OR(sel_Product="All",H1161=sel_Product),AND(S1161&gt;=m_From,S1161&lt;=m_To)),1,0)</f>
        <v/>
      </c>
      <c r="Y1161" s="36">
        <f>IF(AND(OR(sel_Region="All",C1161=sel_Region),OR(sel_Country="All",D1161=sel_Country),OR(sel_Channel="All",E1161=sel_Channel),OR(sel_Customer="All",F1161=sel_Customer),OR(sel_Product="All",H1161=sel_Product),AND(S1161&gt;=m_From,S1161&lt;=m_To)),1,0)</f>
        <v/>
      </c>
      <c r="Z1161" s="36">
        <f>IF(AND(OR(sel_Region="All",C1161=sel_Region),OR(sel_Country="All",D1161=sel_Country),OR(sel_Channel="All",E1161=sel_Channel),OR(sel_Customer="All",F1161=sel_Customer),OR(sel_Category="All",G1161=sel_Category),AND(S1161&gt;=m_From,S1161&lt;=m_To)),1,0)</f>
        <v/>
      </c>
      <c r="AA1161" s="36">
        <f>IF(AND(OR(sel_Region="All",C1161=sel_Region),OR(sel_Country="All",D1161=sel_Country),OR(sel_Channel="All",E1161=sel_Channel),OR(sel_Customer="All",F1161=sel_Customer),OR(sel_Category="All",G1161=sel_Category),OR(sel_Product="All",H1161=sel_Product)),1,0)</f>
        <v/>
      </c>
    </row>
    <row r="1162">
      <c r="A1162" s="36" t="inlineStr">
        <is>
          <t>04070</t>
        </is>
      </c>
      <c r="B1162" s="44" t="n">
        <v>46194</v>
      </c>
      <c r="C1162" s="36" t="inlineStr">
        <is>
          <t>Western Europe</t>
        </is>
      </c>
      <c r="D1162" s="36" t="inlineStr">
        <is>
          <t>United Kingdom</t>
        </is>
      </c>
      <c r="E1162" s="36" t="inlineStr">
        <is>
          <t>Online Store</t>
        </is>
      </c>
      <c r="F1162" s="36" t="inlineStr">
        <is>
          <t>New</t>
        </is>
      </c>
      <c r="G1162" s="36" t="inlineStr">
        <is>
          <t>Cycling</t>
        </is>
      </c>
      <c r="H1162" s="36" t="inlineStr">
        <is>
          <t>Cycling Pack 12L</t>
        </is>
      </c>
      <c r="I1162" s="36" t="n">
        <v>3</v>
      </c>
      <c r="J1162" s="39" t="n">
        <v>103.72</v>
      </c>
      <c r="K1162" s="45" t="n">
        <v>0</v>
      </c>
      <c r="L1162" s="39" t="n">
        <v>50.34</v>
      </c>
      <c r="M1162" s="39">
        <f>I1162*J1162*(1-K1162)</f>
        <v/>
      </c>
      <c r="N1162" s="39">
        <f>I1162*L1162</f>
        <v/>
      </c>
      <c r="O1162" s="39">
        <f>M1162-N1162</f>
        <v/>
      </c>
      <c r="P1162" s="38">
        <f>IF(M1162=0,0,O1162/M1162)</f>
        <v/>
      </c>
      <c r="Q1162" s="36">
        <f>YEAR(B1162)</f>
        <v/>
      </c>
      <c r="R1162" s="36">
        <f>"Q"&amp;ROUNDUP(MONTH(B1162)/3,0)</f>
        <v/>
      </c>
      <c r="S1162" s="36">
        <f>MONTH(B1162)</f>
        <v/>
      </c>
      <c r="T1162" s="36">
        <f>TEXT(B1162,"mmm")</f>
        <v/>
      </c>
      <c r="U1162" s="36">
        <f>IF(AND(OR(sel_Region="All",C1162=sel_Region),OR(sel_Country="All",D1162=sel_Country),OR(sel_Channel="All",E1162=sel_Channel),OR(sel_Customer="All",F1162=sel_Customer),OR(sel_Category="All",G1162=sel_Category),OR(sel_Product="All",H1162=sel_Product),AND(S1162&gt;=m_From,S1162&lt;=m_To)),1,0)</f>
        <v/>
      </c>
      <c r="V1162" s="36">
        <f>IF(AND(OR(sel_Region="All",C1162=sel_Region),OR(sel_Channel="All",E1162=sel_Channel),OR(sel_Customer="All",F1162=sel_Customer),OR(sel_Category="All",G1162=sel_Category),OR(sel_Product="All",H1162=sel_Product),AND(S1162&gt;=m_From,S1162&lt;=m_To)),1,0)</f>
        <v/>
      </c>
      <c r="W1162" s="36">
        <f>IF(AND(OR(sel_Region="All",C1162=sel_Region),OR(sel_Country="All",D1162=sel_Country),OR(sel_Customer="All",F1162=sel_Customer),OR(sel_Category="All",G1162=sel_Category),OR(sel_Product="All",H1162=sel_Product),AND(S1162&gt;=m_From,S1162&lt;=m_To)),1,0)</f>
        <v/>
      </c>
      <c r="X1162" s="36">
        <f>IF(AND(OR(sel_Region="All",C1162=sel_Region),OR(sel_Country="All",D1162=sel_Country),OR(sel_Channel="All",E1162=sel_Channel),OR(sel_Category="All",G1162=sel_Category),OR(sel_Product="All",H1162=sel_Product),AND(S1162&gt;=m_From,S1162&lt;=m_To)),1,0)</f>
        <v/>
      </c>
      <c r="Y1162" s="36">
        <f>IF(AND(OR(sel_Region="All",C1162=sel_Region),OR(sel_Country="All",D1162=sel_Country),OR(sel_Channel="All",E1162=sel_Channel),OR(sel_Customer="All",F1162=sel_Customer),OR(sel_Product="All",H1162=sel_Product),AND(S1162&gt;=m_From,S1162&lt;=m_To)),1,0)</f>
        <v/>
      </c>
      <c r="Z1162" s="36">
        <f>IF(AND(OR(sel_Region="All",C1162=sel_Region),OR(sel_Country="All",D1162=sel_Country),OR(sel_Channel="All",E1162=sel_Channel),OR(sel_Customer="All",F1162=sel_Customer),OR(sel_Category="All",G1162=sel_Category),AND(S1162&gt;=m_From,S1162&lt;=m_To)),1,0)</f>
        <v/>
      </c>
      <c r="AA1162" s="36">
        <f>IF(AND(OR(sel_Region="All",C1162=sel_Region),OR(sel_Country="All",D1162=sel_Country),OR(sel_Channel="All",E1162=sel_Channel),OR(sel_Customer="All",F1162=sel_Customer),OR(sel_Category="All",G1162=sel_Category),OR(sel_Product="All",H1162=sel_Product)),1,0)</f>
        <v/>
      </c>
    </row>
    <row r="1163">
      <c r="A1163" s="36" t="inlineStr">
        <is>
          <t>04339</t>
        </is>
      </c>
      <c r="B1163" s="44" t="n">
        <v>46194</v>
      </c>
      <c r="C1163" s="36" t="inlineStr">
        <is>
          <t>Northern Europe</t>
        </is>
      </c>
      <c r="D1163" s="36" t="inlineStr">
        <is>
          <t>Norway</t>
        </is>
      </c>
      <c r="E1163" s="36" t="inlineStr">
        <is>
          <t>Marketplace</t>
        </is>
      </c>
      <c r="F1163" s="36" t="inlineStr">
        <is>
          <t>Returning</t>
        </is>
      </c>
      <c r="G1163" s="36" t="inlineStr">
        <is>
          <t>Travel</t>
        </is>
      </c>
      <c r="H1163" s="36" t="inlineStr">
        <is>
          <t>Carry-On Duffel</t>
        </is>
      </c>
      <c r="I1163" s="36" t="n">
        <v>1</v>
      </c>
      <c r="J1163" s="39" t="n">
        <v>132.49</v>
      </c>
      <c r="K1163" s="45" t="n">
        <v>0</v>
      </c>
      <c r="L1163" s="39" t="n">
        <v>67.09</v>
      </c>
      <c r="M1163" s="39">
        <f>I1163*J1163*(1-K1163)</f>
        <v/>
      </c>
      <c r="N1163" s="39">
        <f>I1163*L1163</f>
        <v/>
      </c>
      <c r="O1163" s="39">
        <f>M1163-N1163</f>
        <v/>
      </c>
      <c r="P1163" s="38">
        <f>IF(M1163=0,0,O1163/M1163)</f>
        <v/>
      </c>
      <c r="Q1163" s="36">
        <f>YEAR(B1163)</f>
        <v/>
      </c>
      <c r="R1163" s="36">
        <f>"Q"&amp;ROUNDUP(MONTH(B1163)/3,0)</f>
        <v/>
      </c>
      <c r="S1163" s="36">
        <f>MONTH(B1163)</f>
        <v/>
      </c>
      <c r="T1163" s="36">
        <f>TEXT(B1163,"mmm")</f>
        <v/>
      </c>
      <c r="U1163" s="36">
        <f>IF(AND(OR(sel_Region="All",C1163=sel_Region),OR(sel_Country="All",D1163=sel_Country),OR(sel_Channel="All",E1163=sel_Channel),OR(sel_Customer="All",F1163=sel_Customer),OR(sel_Category="All",G1163=sel_Category),OR(sel_Product="All",H1163=sel_Product),AND(S1163&gt;=m_From,S1163&lt;=m_To)),1,0)</f>
        <v/>
      </c>
      <c r="V1163" s="36">
        <f>IF(AND(OR(sel_Region="All",C1163=sel_Region),OR(sel_Channel="All",E1163=sel_Channel),OR(sel_Customer="All",F1163=sel_Customer),OR(sel_Category="All",G1163=sel_Category),OR(sel_Product="All",H1163=sel_Product),AND(S1163&gt;=m_From,S1163&lt;=m_To)),1,0)</f>
        <v/>
      </c>
      <c r="W1163" s="36">
        <f>IF(AND(OR(sel_Region="All",C1163=sel_Region),OR(sel_Country="All",D1163=sel_Country),OR(sel_Customer="All",F1163=sel_Customer),OR(sel_Category="All",G1163=sel_Category),OR(sel_Product="All",H1163=sel_Product),AND(S1163&gt;=m_From,S1163&lt;=m_To)),1,0)</f>
        <v/>
      </c>
      <c r="X1163" s="36">
        <f>IF(AND(OR(sel_Region="All",C1163=sel_Region),OR(sel_Country="All",D1163=sel_Country),OR(sel_Channel="All",E1163=sel_Channel),OR(sel_Category="All",G1163=sel_Category),OR(sel_Product="All",H1163=sel_Product),AND(S1163&gt;=m_From,S1163&lt;=m_To)),1,0)</f>
        <v/>
      </c>
      <c r="Y1163" s="36">
        <f>IF(AND(OR(sel_Region="All",C1163=sel_Region),OR(sel_Country="All",D1163=sel_Country),OR(sel_Channel="All",E1163=sel_Channel),OR(sel_Customer="All",F1163=sel_Customer),OR(sel_Product="All",H1163=sel_Product),AND(S1163&gt;=m_From,S1163&lt;=m_To)),1,0)</f>
        <v/>
      </c>
      <c r="Z1163" s="36">
        <f>IF(AND(OR(sel_Region="All",C1163=sel_Region),OR(sel_Country="All",D1163=sel_Country),OR(sel_Channel="All",E1163=sel_Channel),OR(sel_Customer="All",F1163=sel_Customer),OR(sel_Category="All",G1163=sel_Category),AND(S1163&gt;=m_From,S1163&lt;=m_To)),1,0)</f>
        <v/>
      </c>
      <c r="AA1163" s="36">
        <f>IF(AND(OR(sel_Region="All",C1163=sel_Region),OR(sel_Country="All",D1163=sel_Country),OR(sel_Channel="All",E1163=sel_Channel),OR(sel_Customer="All",F1163=sel_Customer),OR(sel_Category="All",G1163=sel_Category),OR(sel_Product="All",H1163=sel_Product)),1,0)</f>
        <v/>
      </c>
    </row>
    <row r="1164">
      <c r="A1164" s="36" t="inlineStr">
        <is>
          <t>00731</t>
        </is>
      </c>
      <c r="B1164" s="44" t="n">
        <v>46195</v>
      </c>
      <c r="C1164" s="36" t="inlineStr">
        <is>
          <t>Northern Europe</t>
        </is>
      </c>
      <c r="D1164" s="36" t="inlineStr">
        <is>
          <t>Ireland</t>
        </is>
      </c>
      <c r="E1164" s="36" t="inlineStr">
        <is>
          <t>Online Store</t>
        </is>
      </c>
      <c r="F1164" s="36" t="inlineStr">
        <is>
          <t>New</t>
        </is>
      </c>
      <c r="G1164" s="36" t="inlineStr">
        <is>
          <t>Camping</t>
        </is>
      </c>
      <c r="H1164" s="36" t="inlineStr">
        <is>
          <t>Portable Camp Stove</t>
        </is>
      </c>
      <c r="I1164" s="36" t="n">
        <v>2</v>
      </c>
      <c r="J1164" s="39" t="n">
        <v>80.65000000000001</v>
      </c>
      <c r="K1164" s="45" t="n">
        <v>0</v>
      </c>
      <c r="L1164" s="39" t="n">
        <v>39.18</v>
      </c>
      <c r="M1164" s="39">
        <f>I1164*J1164*(1-K1164)</f>
        <v/>
      </c>
      <c r="N1164" s="39">
        <f>I1164*L1164</f>
        <v/>
      </c>
      <c r="O1164" s="39">
        <f>M1164-N1164</f>
        <v/>
      </c>
      <c r="P1164" s="38">
        <f>IF(M1164=0,0,O1164/M1164)</f>
        <v/>
      </c>
      <c r="Q1164" s="36">
        <f>YEAR(B1164)</f>
        <v/>
      </c>
      <c r="R1164" s="36">
        <f>"Q"&amp;ROUNDUP(MONTH(B1164)/3,0)</f>
        <v/>
      </c>
      <c r="S1164" s="36">
        <f>MONTH(B1164)</f>
        <v/>
      </c>
      <c r="T1164" s="36">
        <f>TEXT(B1164,"mmm")</f>
        <v/>
      </c>
      <c r="U1164" s="36">
        <f>IF(AND(OR(sel_Region="All",C1164=sel_Region),OR(sel_Country="All",D1164=sel_Country),OR(sel_Channel="All",E1164=sel_Channel),OR(sel_Customer="All",F1164=sel_Customer),OR(sel_Category="All",G1164=sel_Category),OR(sel_Product="All",H1164=sel_Product),AND(S1164&gt;=m_From,S1164&lt;=m_To)),1,0)</f>
        <v/>
      </c>
      <c r="V1164" s="36">
        <f>IF(AND(OR(sel_Region="All",C1164=sel_Region),OR(sel_Channel="All",E1164=sel_Channel),OR(sel_Customer="All",F1164=sel_Customer),OR(sel_Category="All",G1164=sel_Category),OR(sel_Product="All",H1164=sel_Product),AND(S1164&gt;=m_From,S1164&lt;=m_To)),1,0)</f>
        <v/>
      </c>
      <c r="W1164" s="36">
        <f>IF(AND(OR(sel_Region="All",C1164=sel_Region),OR(sel_Country="All",D1164=sel_Country),OR(sel_Customer="All",F1164=sel_Customer),OR(sel_Category="All",G1164=sel_Category),OR(sel_Product="All",H1164=sel_Product),AND(S1164&gt;=m_From,S1164&lt;=m_To)),1,0)</f>
        <v/>
      </c>
      <c r="X1164" s="36">
        <f>IF(AND(OR(sel_Region="All",C1164=sel_Region),OR(sel_Country="All",D1164=sel_Country),OR(sel_Channel="All",E1164=sel_Channel),OR(sel_Category="All",G1164=sel_Category),OR(sel_Product="All",H1164=sel_Product),AND(S1164&gt;=m_From,S1164&lt;=m_To)),1,0)</f>
        <v/>
      </c>
      <c r="Y1164" s="36">
        <f>IF(AND(OR(sel_Region="All",C1164=sel_Region),OR(sel_Country="All",D1164=sel_Country),OR(sel_Channel="All",E1164=sel_Channel),OR(sel_Customer="All",F1164=sel_Customer),OR(sel_Product="All",H1164=sel_Product),AND(S1164&gt;=m_From,S1164&lt;=m_To)),1,0)</f>
        <v/>
      </c>
      <c r="Z1164" s="36">
        <f>IF(AND(OR(sel_Region="All",C1164=sel_Region),OR(sel_Country="All",D1164=sel_Country),OR(sel_Channel="All",E1164=sel_Channel),OR(sel_Customer="All",F1164=sel_Customer),OR(sel_Category="All",G1164=sel_Category),AND(S1164&gt;=m_From,S1164&lt;=m_To)),1,0)</f>
        <v/>
      </c>
      <c r="AA1164" s="36">
        <f>IF(AND(OR(sel_Region="All",C1164=sel_Region),OR(sel_Country="All",D1164=sel_Country),OR(sel_Channel="All",E1164=sel_Channel),OR(sel_Customer="All",F1164=sel_Customer),OR(sel_Category="All",G1164=sel_Category),OR(sel_Product="All",H1164=sel_Product)),1,0)</f>
        <v/>
      </c>
    </row>
    <row r="1165">
      <c r="A1165" s="36" t="inlineStr">
        <is>
          <t>01362</t>
        </is>
      </c>
      <c r="B1165" s="44" t="n">
        <v>46195</v>
      </c>
      <c r="C1165" s="36" t="inlineStr">
        <is>
          <t>Central Europe</t>
        </is>
      </c>
      <c r="D1165" s="36" t="inlineStr">
        <is>
          <t>Czechia</t>
        </is>
      </c>
      <c r="E1165" s="36" t="inlineStr">
        <is>
          <t>Retail Partners</t>
        </is>
      </c>
      <c r="F1165" s="36" t="inlineStr">
        <is>
          <t>New</t>
        </is>
      </c>
      <c r="G1165" s="36" t="inlineStr">
        <is>
          <t>Fitness</t>
        </is>
      </c>
      <c r="H1165" s="36" t="inlineStr">
        <is>
          <t>Recovery Roller</t>
        </is>
      </c>
      <c r="I1165" s="36" t="n">
        <v>1</v>
      </c>
      <c r="J1165" s="39" t="n">
        <v>35.41</v>
      </c>
      <c r="K1165" s="45" t="n">
        <v>0.05</v>
      </c>
      <c r="L1165" s="39" t="n">
        <v>13.9</v>
      </c>
      <c r="M1165" s="39">
        <f>I1165*J1165*(1-K1165)</f>
        <v/>
      </c>
      <c r="N1165" s="39">
        <f>I1165*L1165</f>
        <v/>
      </c>
      <c r="O1165" s="39">
        <f>M1165-N1165</f>
        <v/>
      </c>
      <c r="P1165" s="38">
        <f>IF(M1165=0,0,O1165/M1165)</f>
        <v/>
      </c>
      <c r="Q1165" s="36">
        <f>YEAR(B1165)</f>
        <v/>
      </c>
      <c r="R1165" s="36">
        <f>"Q"&amp;ROUNDUP(MONTH(B1165)/3,0)</f>
        <v/>
      </c>
      <c r="S1165" s="36">
        <f>MONTH(B1165)</f>
        <v/>
      </c>
      <c r="T1165" s="36">
        <f>TEXT(B1165,"mmm")</f>
        <v/>
      </c>
      <c r="U1165" s="36">
        <f>IF(AND(OR(sel_Region="All",C1165=sel_Region),OR(sel_Country="All",D1165=sel_Country),OR(sel_Channel="All",E1165=sel_Channel),OR(sel_Customer="All",F1165=sel_Customer),OR(sel_Category="All",G1165=sel_Category),OR(sel_Product="All",H1165=sel_Product),AND(S1165&gt;=m_From,S1165&lt;=m_To)),1,0)</f>
        <v/>
      </c>
      <c r="V1165" s="36">
        <f>IF(AND(OR(sel_Region="All",C1165=sel_Region),OR(sel_Channel="All",E1165=sel_Channel),OR(sel_Customer="All",F1165=sel_Customer),OR(sel_Category="All",G1165=sel_Category),OR(sel_Product="All",H1165=sel_Product),AND(S1165&gt;=m_From,S1165&lt;=m_To)),1,0)</f>
        <v/>
      </c>
      <c r="W1165" s="36">
        <f>IF(AND(OR(sel_Region="All",C1165=sel_Region),OR(sel_Country="All",D1165=sel_Country),OR(sel_Customer="All",F1165=sel_Customer),OR(sel_Category="All",G1165=sel_Category),OR(sel_Product="All",H1165=sel_Product),AND(S1165&gt;=m_From,S1165&lt;=m_To)),1,0)</f>
        <v/>
      </c>
      <c r="X1165" s="36">
        <f>IF(AND(OR(sel_Region="All",C1165=sel_Region),OR(sel_Country="All",D1165=sel_Country),OR(sel_Channel="All",E1165=sel_Channel),OR(sel_Category="All",G1165=sel_Category),OR(sel_Product="All",H1165=sel_Product),AND(S1165&gt;=m_From,S1165&lt;=m_To)),1,0)</f>
        <v/>
      </c>
      <c r="Y1165" s="36">
        <f>IF(AND(OR(sel_Region="All",C1165=sel_Region),OR(sel_Country="All",D1165=sel_Country),OR(sel_Channel="All",E1165=sel_Channel),OR(sel_Customer="All",F1165=sel_Customer),OR(sel_Product="All",H1165=sel_Product),AND(S1165&gt;=m_From,S1165&lt;=m_To)),1,0)</f>
        <v/>
      </c>
      <c r="Z1165" s="36">
        <f>IF(AND(OR(sel_Region="All",C1165=sel_Region),OR(sel_Country="All",D1165=sel_Country),OR(sel_Channel="All",E1165=sel_Channel),OR(sel_Customer="All",F1165=sel_Customer),OR(sel_Category="All",G1165=sel_Category),AND(S1165&gt;=m_From,S1165&lt;=m_To)),1,0)</f>
        <v/>
      </c>
      <c r="AA1165" s="36">
        <f>IF(AND(OR(sel_Region="All",C1165=sel_Region),OR(sel_Country="All",D1165=sel_Country),OR(sel_Channel="All",E1165=sel_Channel),OR(sel_Customer="All",F1165=sel_Customer),OR(sel_Category="All",G1165=sel_Category),OR(sel_Product="All",H1165=sel_Product)),1,0)</f>
        <v/>
      </c>
    </row>
    <row r="1166">
      <c r="A1166" s="36" t="inlineStr">
        <is>
          <t>01512</t>
        </is>
      </c>
      <c r="B1166" s="44" t="n">
        <v>46195</v>
      </c>
      <c r="C1166" s="36" t="inlineStr">
        <is>
          <t>Southern Europe</t>
        </is>
      </c>
      <c r="D1166" s="36" t="inlineStr">
        <is>
          <t>Spain</t>
        </is>
      </c>
      <c r="E1166" s="36" t="inlineStr">
        <is>
          <t>Marketplace</t>
        </is>
      </c>
      <c r="F1166" s="36" t="inlineStr">
        <is>
          <t>Returning</t>
        </is>
      </c>
      <c r="G1166" s="36" t="inlineStr">
        <is>
          <t>Fitness</t>
        </is>
      </c>
      <c r="H1166" s="36" t="inlineStr">
        <is>
          <t>Resistance Band Set</t>
        </is>
      </c>
      <c r="I1166" s="36" t="n">
        <v>3</v>
      </c>
      <c r="J1166" s="39" t="n">
        <v>41.01</v>
      </c>
      <c r="K1166" s="45" t="n">
        <v>0</v>
      </c>
      <c r="L1166" s="39" t="n">
        <v>14.33</v>
      </c>
      <c r="M1166" s="39">
        <f>I1166*J1166*(1-K1166)</f>
        <v/>
      </c>
      <c r="N1166" s="39">
        <f>I1166*L1166</f>
        <v/>
      </c>
      <c r="O1166" s="39">
        <f>M1166-N1166</f>
        <v/>
      </c>
      <c r="P1166" s="38">
        <f>IF(M1166=0,0,O1166/M1166)</f>
        <v/>
      </c>
      <c r="Q1166" s="36">
        <f>YEAR(B1166)</f>
        <v/>
      </c>
      <c r="R1166" s="36">
        <f>"Q"&amp;ROUNDUP(MONTH(B1166)/3,0)</f>
        <v/>
      </c>
      <c r="S1166" s="36">
        <f>MONTH(B1166)</f>
        <v/>
      </c>
      <c r="T1166" s="36">
        <f>TEXT(B1166,"mmm")</f>
        <v/>
      </c>
      <c r="U1166" s="36">
        <f>IF(AND(OR(sel_Region="All",C1166=sel_Region),OR(sel_Country="All",D1166=sel_Country),OR(sel_Channel="All",E1166=sel_Channel),OR(sel_Customer="All",F1166=sel_Customer),OR(sel_Category="All",G1166=sel_Category),OR(sel_Product="All",H1166=sel_Product),AND(S1166&gt;=m_From,S1166&lt;=m_To)),1,0)</f>
        <v/>
      </c>
      <c r="V1166" s="36">
        <f>IF(AND(OR(sel_Region="All",C1166=sel_Region),OR(sel_Channel="All",E1166=sel_Channel),OR(sel_Customer="All",F1166=sel_Customer),OR(sel_Category="All",G1166=sel_Category),OR(sel_Product="All",H1166=sel_Product),AND(S1166&gt;=m_From,S1166&lt;=m_To)),1,0)</f>
        <v/>
      </c>
      <c r="W1166" s="36">
        <f>IF(AND(OR(sel_Region="All",C1166=sel_Region),OR(sel_Country="All",D1166=sel_Country),OR(sel_Customer="All",F1166=sel_Customer),OR(sel_Category="All",G1166=sel_Category),OR(sel_Product="All",H1166=sel_Product),AND(S1166&gt;=m_From,S1166&lt;=m_To)),1,0)</f>
        <v/>
      </c>
      <c r="X1166" s="36">
        <f>IF(AND(OR(sel_Region="All",C1166=sel_Region),OR(sel_Country="All",D1166=sel_Country),OR(sel_Channel="All",E1166=sel_Channel),OR(sel_Category="All",G1166=sel_Category),OR(sel_Product="All",H1166=sel_Product),AND(S1166&gt;=m_From,S1166&lt;=m_To)),1,0)</f>
        <v/>
      </c>
      <c r="Y1166" s="36">
        <f>IF(AND(OR(sel_Region="All",C1166=sel_Region),OR(sel_Country="All",D1166=sel_Country),OR(sel_Channel="All",E1166=sel_Channel),OR(sel_Customer="All",F1166=sel_Customer),OR(sel_Product="All",H1166=sel_Product),AND(S1166&gt;=m_From,S1166&lt;=m_To)),1,0)</f>
        <v/>
      </c>
      <c r="Z1166" s="36">
        <f>IF(AND(OR(sel_Region="All",C1166=sel_Region),OR(sel_Country="All",D1166=sel_Country),OR(sel_Channel="All",E1166=sel_Channel),OR(sel_Customer="All",F1166=sel_Customer),OR(sel_Category="All",G1166=sel_Category),AND(S1166&gt;=m_From,S1166&lt;=m_To)),1,0)</f>
        <v/>
      </c>
      <c r="AA1166" s="36">
        <f>IF(AND(OR(sel_Region="All",C1166=sel_Region),OR(sel_Country="All",D1166=sel_Country),OR(sel_Channel="All",E1166=sel_Channel),OR(sel_Customer="All",F1166=sel_Customer),OR(sel_Category="All",G1166=sel_Category),OR(sel_Product="All",H1166=sel_Product)),1,0)</f>
        <v/>
      </c>
    </row>
    <row r="1167">
      <c r="A1167" s="36" t="inlineStr">
        <is>
          <t>01647</t>
        </is>
      </c>
      <c r="B1167" s="44" t="n">
        <v>46195</v>
      </c>
      <c r="C1167" s="36" t="inlineStr">
        <is>
          <t>Western Europe</t>
        </is>
      </c>
      <c r="D1167" s="36" t="inlineStr">
        <is>
          <t>United Kingdom</t>
        </is>
      </c>
      <c r="E1167" s="36" t="inlineStr">
        <is>
          <t>Online Store</t>
        </is>
      </c>
      <c r="F1167" s="36" t="inlineStr">
        <is>
          <t>Business</t>
        </is>
      </c>
      <c r="G1167" s="36" t="inlineStr">
        <is>
          <t>Travel</t>
        </is>
      </c>
      <c r="H1167" s="36" t="inlineStr">
        <is>
          <t>Insulated Bottle</t>
        </is>
      </c>
      <c r="I1167" s="36" t="n">
        <v>1</v>
      </c>
      <c r="J1167" s="39" t="n">
        <v>36.01</v>
      </c>
      <c r="K1167" s="45" t="n">
        <v>0</v>
      </c>
      <c r="L1167" s="39" t="n">
        <v>13.23</v>
      </c>
      <c r="M1167" s="39">
        <f>I1167*J1167*(1-K1167)</f>
        <v/>
      </c>
      <c r="N1167" s="39">
        <f>I1167*L1167</f>
        <v/>
      </c>
      <c r="O1167" s="39">
        <f>M1167-N1167</f>
        <v/>
      </c>
      <c r="P1167" s="38">
        <f>IF(M1167=0,0,O1167/M1167)</f>
        <v/>
      </c>
      <c r="Q1167" s="36">
        <f>YEAR(B1167)</f>
        <v/>
      </c>
      <c r="R1167" s="36">
        <f>"Q"&amp;ROUNDUP(MONTH(B1167)/3,0)</f>
        <v/>
      </c>
      <c r="S1167" s="36">
        <f>MONTH(B1167)</f>
        <v/>
      </c>
      <c r="T1167" s="36">
        <f>TEXT(B1167,"mmm")</f>
        <v/>
      </c>
      <c r="U1167" s="36">
        <f>IF(AND(OR(sel_Region="All",C1167=sel_Region),OR(sel_Country="All",D1167=sel_Country),OR(sel_Channel="All",E1167=sel_Channel),OR(sel_Customer="All",F1167=sel_Customer),OR(sel_Category="All",G1167=sel_Category),OR(sel_Product="All",H1167=sel_Product),AND(S1167&gt;=m_From,S1167&lt;=m_To)),1,0)</f>
        <v/>
      </c>
      <c r="V1167" s="36">
        <f>IF(AND(OR(sel_Region="All",C1167=sel_Region),OR(sel_Channel="All",E1167=sel_Channel),OR(sel_Customer="All",F1167=sel_Customer),OR(sel_Category="All",G1167=sel_Category),OR(sel_Product="All",H1167=sel_Product),AND(S1167&gt;=m_From,S1167&lt;=m_To)),1,0)</f>
        <v/>
      </c>
      <c r="W1167" s="36">
        <f>IF(AND(OR(sel_Region="All",C1167=sel_Region),OR(sel_Country="All",D1167=sel_Country),OR(sel_Customer="All",F1167=sel_Customer),OR(sel_Category="All",G1167=sel_Category),OR(sel_Product="All",H1167=sel_Product),AND(S1167&gt;=m_From,S1167&lt;=m_To)),1,0)</f>
        <v/>
      </c>
      <c r="X1167" s="36">
        <f>IF(AND(OR(sel_Region="All",C1167=sel_Region),OR(sel_Country="All",D1167=sel_Country),OR(sel_Channel="All",E1167=sel_Channel),OR(sel_Category="All",G1167=sel_Category),OR(sel_Product="All",H1167=sel_Product),AND(S1167&gt;=m_From,S1167&lt;=m_To)),1,0)</f>
        <v/>
      </c>
      <c r="Y1167" s="36">
        <f>IF(AND(OR(sel_Region="All",C1167=sel_Region),OR(sel_Country="All",D1167=sel_Country),OR(sel_Channel="All",E1167=sel_Channel),OR(sel_Customer="All",F1167=sel_Customer),OR(sel_Product="All",H1167=sel_Product),AND(S1167&gt;=m_From,S1167&lt;=m_To)),1,0)</f>
        <v/>
      </c>
      <c r="Z1167" s="36">
        <f>IF(AND(OR(sel_Region="All",C1167=sel_Region),OR(sel_Country="All",D1167=sel_Country),OR(sel_Channel="All",E1167=sel_Channel),OR(sel_Customer="All",F1167=sel_Customer),OR(sel_Category="All",G1167=sel_Category),AND(S1167&gt;=m_From,S1167&lt;=m_To)),1,0)</f>
        <v/>
      </c>
      <c r="AA1167" s="36">
        <f>IF(AND(OR(sel_Region="All",C1167=sel_Region),OR(sel_Country="All",D1167=sel_Country),OR(sel_Channel="All",E1167=sel_Channel),OR(sel_Customer="All",F1167=sel_Customer),OR(sel_Category="All",G1167=sel_Category),OR(sel_Product="All",H1167=sel_Product)),1,0)</f>
        <v/>
      </c>
    </row>
    <row r="1168">
      <c r="A1168" s="36" t="inlineStr">
        <is>
          <t>02358</t>
        </is>
      </c>
      <c r="B1168" s="44" t="n">
        <v>46195</v>
      </c>
      <c r="C1168" s="36" t="inlineStr">
        <is>
          <t>Southern Europe</t>
        </is>
      </c>
      <c r="D1168" s="36" t="inlineStr">
        <is>
          <t>Spain</t>
        </is>
      </c>
      <c r="E1168" s="36" t="inlineStr">
        <is>
          <t>Marketplace</t>
        </is>
      </c>
      <c r="F1168" s="36" t="inlineStr">
        <is>
          <t>Returning</t>
        </is>
      </c>
      <c r="G1168" s="36" t="inlineStr">
        <is>
          <t>Fitness</t>
        </is>
      </c>
      <c r="H1168" s="36" t="inlineStr">
        <is>
          <t>Training Mat</t>
        </is>
      </c>
      <c r="I1168" s="36" t="n">
        <v>2</v>
      </c>
      <c r="J1168" s="39" t="n">
        <v>50.21</v>
      </c>
      <c r="K1168" s="45" t="n">
        <v>0.05</v>
      </c>
      <c r="L1168" s="39" t="n">
        <v>21.74</v>
      </c>
      <c r="M1168" s="39">
        <f>I1168*J1168*(1-K1168)</f>
        <v/>
      </c>
      <c r="N1168" s="39">
        <f>I1168*L1168</f>
        <v/>
      </c>
      <c r="O1168" s="39">
        <f>M1168-N1168</f>
        <v/>
      </c>
      <c r="P1168" s="38">
        <f>IF(M1168=0,0,O1168/M1168)</f>
        <v/>
      </c>
      <c r="Q1168" s="36">
        <f>YEAR(B1168)</f>
        <v/>
      </c>
      <c r="R1168" s="36">
        <f>"Q"&amp;ROUNDUP(MONTH(B1168)/3,0)</f>
        <v/>
      </c>
      <c r="S1168" s="36">
        <f>MONTH(B1168)</f>
        <v/>
      </c>
      <c r="T1168" s="36">
        <f>TEXT(B1168,"mmm")</f>
        <v/>
      </c>
      <c r="U1168" s="36">
        <f>IF(AND(OR(sel_Region="All",C1168=sel_Region),OR(sel_Country="All",D1168=sel_Country),OR(sel_Channel="All",E1168=sel_Channel),OR(sel_Customer="All",F1168=sel_Customer),OR(sel_Category="All",G1168=sel_Category),OR(sel_Product="All",H1168=sel_Product),AND(S1168&gt;=m_From,S1168&lt;=m_To)),1,0)</f>
        <v/>
      </c>
      <c r="V1168" s="36">
        <f>IF(AND(OR(sel_Region="All",C1168=sel_Region),OR(sel_Channel="All",E1168=sel_Channel),OR(sel_Customer="All",F1168=sel_Customer),OR(sel_Category="All",G1168=sel_Category),OR(sel_Product="All",H1168=sel_Product),AND(S1168&gt;=m_From,S1168&lt;=m_To)),1,0)</f>
        <v/>
      </c>
      <c r="W1168" s="36">
        <f>IF(AND(OR(sel_Region="All",C1168=sel_Region),OR(sel_Country="All",D1168=sel_Country),OR(sel_Customer="All",F1168=sel_Customer),OR(sel_Category="All",G1168=sel_Category),OR(sel_Product="All",H1168=sel_Product),AND(S1168&gt;=m_From,S1168&lt;=m_To)),1,0)</f>
        <v/>
      </c>
      <c r="X1168" s="36">
        <f>IF(AND(OR(sel_Region="All",C1168=sel_Region),OR(sel_Country="All",D1168=sel_Country),OR(sel_Channel="All",E1168=sel_Channel),OR(sel_Category="All",G1168=sel_Category),OR(sel_Product="All",H1168=sel_Product),AND(S1168&gt;=m_From,S1168&lt;=m_To)),1,0)</f>
        <v/>
      </c>
      <c r="Y1168" s="36">
        <f>IF(AND(OR(sel_Region="All",C1168=sel_Region),OR(sel_Country="All",D1168=sel_Country),OR(sel_Channel="All",E1168=sel_Channel),OR(sel_Customer="All",F1168=sel_Customer),OR(sel_Product="All",H1168=sel_Product),AND(S1168&gt;=m_From,S1168&lt;=m_To)),1,0)</f>
        <v/>
      </c>
      <c r="Z1168" s="36">
        <f>IF(AND(OR(sel_Region="All",C1168=sel_Region),OR(sel_Country="All",D1168=sel_Country),OR(sel_Channel="All",E1168=sel_Channel),OR(sel_Customer="All",F1168=sel_Customer),OR(sel_Category="All",G1168=sel_Category),AND(S1168&gt;=m_From,S1168&lt;=m_To)),1,0)</f>
        <v/>
      </c>
      <c r="AA1168" s="36">
        <f>IF(AND(OR(sel_Region="All",C1168=sel_Region),OR(sel_Country="All",D1168=sel_Country),OR(sel_Channel="All",E1168=sel_Channel),OR(sel_Customer="All",F1168=sel_Customer),OR(sel_Category="All",G1168=sel_Category),OR(sel_Product="All",H1168=sel_Product)),1,0)</f>
        <v/>
      </c>
    </row>
    <row r="1169">
      <c r="A1169" s="36" t="inlineStr">
        <is>
          <t>02366</t>
        </is>
      </c>
      <c r="B1169" s="44" t="n">
        <v>46195</v>
      </c>
      <c r="C1169" s="36" t="inlineStr">
        <is>
          <t>Northern Europe</t>
        </is>
      </c>
      <c r="D1169" s="36" t="inlineStr">
        <is>
          <t>Finland</t>
        </is>
      </c>
      <c r="E1169" s="36" t="inlineStr">
        <is>
          <t>Marketplace</t>
        </is>
      </c>
      <c r="F1169" s="36" t="inlineStr">
        <is>
          <t>Returning</t>
        </is>
      </c>
      <c r="G1169" s="36" t="inlineStr">
        <is>
          <t>Cycling</t>
        </is>
      </c>
      <c r="H1169" s="36" t="inlineStr">
        <is>
          <t>Cycling Pack 12L</t>
        </is>
      </c>
      <c r="I1169" s="36" t="n">
        <v>3</v>
      </c>
      <c r="J1169" s="39" t="n">
        <v>100.3</v>
      </c>
      <c r="K1169" s="45" t="n">
        <v>0</v>
      </c>
      <c r="L1169" s="39" t="n">
        <v>49.26</v>
      </c>
      <c r="M1169" s="39">
        <f>I1169*J1169*(1-K1169)</f>
        <v/>
      </c>
      <c r="N1169" s="39">
        <f>I1169*L1169</f>
        <v/>
      </c>
      <c r="O1169" s="39">
        <f>M1169-N1169</f>
        <v/>
      </c>
      <c r="P1169" s="38">
        <f>IF(M1169=0,0,O1169/M1169)</f>
        <v/>
      </c>
      <c r="Q1169" s="36">
        <f>YEAR(B1169)</f>
        <v/>
      </c>
      <c r="R1169" s="36">
        <f>"Q"&amp;ROUNDUP(MONTH(B1169)/3,0)</f>
        <v/>
      </c>
      <c r="S1169" s="36">
        <f>MONTH(B1169)</f>
        <v/>
      </c>
      <c r="T1169" s="36">
        <f>TEXT(B1169,"mmm")</f>
        <v/>
      </c>
      <c r="U1169" s="36">
        <f>IF(AND(OR(sel_Region="All",C1169=sel_Region),OR(sel_Country="All",D1169=sel_Country),OR(sel_Channel="All",E1169=sel_Channel),OR(sel_Customer="All",F1169=sel_Customer),OR(sel_Category="All",G1169=sel_Category),OR(sel_Product="All",H1169=sel_Product),AND(S1169&gt;=m_From,S1169&lt;=m_To)),1,0)</f>
        <v/>
      </c>
      <c r="V1169" s="36">
        <f>IF(AND(OR(sel_Region="All",C1169=sel_Region),OR(sel_Channel="All",E1169=sel_Channel),OR(sel_Customer="All",F1169=sel_Customer),OR(sel_Category="All",G1169=sel_Category),OR(sel_Product="All",H1169=sel_Product),AND(S1169&gt;=m_From,S1169&lt;=m_To)),1,0)</f>
        <v/>
      </c>
      <c r="W1169" s="36">
        <f>IF(AND(OR(sel_Region="All",C1169=sel_Region),OR(sel_Country="All",D1169=sel_Country),OR(sel_Customer="All",F1169=sel_Customer),OR(sel_Category="All",G1169=sel_Category),OR(sel_Product="All",H1169=sel_Product),AND(S1169&gt;=m_From,S1169&lt;=m_To)),1,0)</f>
        <v/>
      </c>
      <c r="X1169" s="36">
        <f>IF(AND(OR(sel_Region="All",C1169=sel_Region),OR(sel_Country="All",D1169=sel_Country),OR(sel_Channel="All",E1169=sel_Channel),OR(sel_Category="All",G1169=sel_Category),OR(sel_Product="All",H1169=sel_Product),AND(S1169&gt;=m_From,S1169&lt;=m_To)),1,0)</f>
        <v/>
      </c>
      <c r="Y1169" s="36">
        <f>IF(AND(OR(sel_Region="All",C1169=sel_Region),OR(sel_Country="All",D1169=sel_Country),OR(sel_Channel="All",E1169=sel_Channel),OR(sel_Customer="All",F1169=sel_Customer),OR(sel_Product="All",H1169=sel_Product),AND(S1169&gt;=m_From,S1169&lt;=m_To)),1,0)</f>
        <v/>
      </c>
      <c r="Z1169" s="36">
        <f>IF(AND(OR(sel_Region="All",C1169=sel_Region),OR(sel_Country="All",D1169=sel_Country),OR(sel_Channel="All",E1169=sel_Channel),OR(sel_Customer="All",F1169=sel_Customer),OR(sel_Category="All",G1169=sel_Category),AND(S1169&gt;=m_From,S1169&lt;=m_To)),1,0)</f>
        <v/>
      </c>
      <c r="AA1169" s="36">
        <f>IF(AND(OR(sel_Region="All",C1169=sel_Region),OR(sel_Country="All",D1169=sel_Country),OR(sel_Channel="All",E1169=sel_Channel),OR(sel_Customer="All",F1169=sel_Customer),OR(sel_Category="All",G1169=sel_Category),OR(sel_Product="All",H1169=sel_Product)),1,0)</f>
        <v/>
      </c>
    </row>
    <row r="1170">
      <c r="A1170" s="36" t="inlineStr">
        <is>
          <t>03481</t>
        </is>
      </c>
      <c r="B1170" s="44" t="n">
        <v>46195</v>
      </c>
      <c r="C1170" s="36" t="inlineStr">
        <is>
          <t>Western Europe</t>
        </is>
      </c>
      <c r="D1170" s="36" t="inlineStr">
        <is>
          <t>United Kingdom</t>
        </is>
      </c>
      <c r="E1170" s="36" t="inlineStr">
        <is>
          <t>Retail Partners</t>
        </is>
      </c>
      <c r="F1170" s="36" t="inlineStr">
        <is>
          <t>New</t>
        </is>
      </c>
      <c r="G1170" s="36" t="inlineStr">
        <is>
          <t>Travel</t>
        </is>
      </c>
      <c r="H1170" s="36" t="inlineStr">
        <is>
          <t>Packing Cube Set</t>
        </is>
      </c>
      <c r="I1170" s="36" t="n">
        <v>1</v>
      </c>
      <c r="J1170" s="39" t="n">
        <v>47.7</v>
      </c>
      <c r="K1170" s="45" t="n">
        <v>0.1</v>
      </c>
      <c r="L1170" s="39" t="n">
        <v>18.76</v>
      </c>
      <c r="M1170" s="39">
        <f>I1170*J1170*(1-K1170)</f>
        <v/>
      </c>
      <c r="N1170" s="39">
        <f>I1170*L1170</f>
        <v/>
      </c>
      <c r="O1170" s="39">
        <f>M1170-N1170</f>
        <v/>
      </c>
      <c r="P1170" s="38">
        <f>IF(M1170=0,0,O1170/M1170)</f>
        <v/>
      </c>
      <c r="Q1170" s="36">
        <f>YEAR(B1170)</f>
        <v/>
      </c>
      <c r="R1170" s="36">
        <f>"Q"&amp;ROUNDUP(MONTH(B1170)/3,0)</f>
        <v/>
      </c>
      <c r="S1170" s="36">
        <f>MONTH(B1170)</f>
        <v/>
      </c>
      <c r="T1170" s="36">
        <f>TEXT(B1170,"mmm")</f>
        <v/>
      </c>
      <c r="U1170" s="36">
        <f>IF(AND(OR(sel_Region="All",C1170=sel_Region),OR(sel_Country="All",D1170=sel_Country),OR(sel_Channel="All",E1170=sel_Channel),OR(sel_Customer="All",F1170=sel_Customer),OR(sel_Category="All",G1170=sel_Category),OR(sel_Product="All",H1170=sel_Product),AND(S1170&gt;=m_From,S1170&lt;=m_To)),1,0)</f>
        <v/>
      </c>
      <c r="V1170" s="36">
        <f>IF(AND(OR(sel_Region="All",C1170=sel_Region),OR(sel_Channel="All",E1170=sel_Channel),OR(sel_Customer="All",F1170=sel_Customer),OR(sel_Category="All",G1170=sel_Category),OR(sel_Product="All",H1170=sel_Product),AND(S1170&gt;=m_From,S1170&lt;=m_To)),1,0)</f>
        <v/>
      </c>
      <c r="W1170" s="36">
        <f>IF(AND(OR(sel_Region="All",C1170=sel_Region),OR(sel_Country="All",D1170=sel_Country),OR(sel_Customer="All",F1170=sel_Customer),OR(sel_Category="All",G1170=sel_Category),OR(sel_Product="All",H1170=sel_Product),AND(S1170&gt;=m_From,S1170&lt;=m_To)),1,0)</f>
        <v/>
      </c>
      <c r="X1170" s="36">
        <f>IF(AND(OR(sel_Region="All",C1170=sel_Region),OR(sel_Country="All",D1170=sel_Country),OR(sel_Channel="All",E1170=sel_Channel),OR(sel_Category="All",G1170=sel_Category),OR(sel_Product="All",H1170=sel_Product),AND(S1170&gt;=m_From,S1170&lt;=m_To)),1,0)</f>
        <v/>
      </c>
      <c r="Y1170" s="36">
        <f>IF(AND(OR(sel_Region="All",C1170=sel_Region),OR(sel_Country="All",D1170=sel_Country),OR(sel_Channel="All",E1170=sel_Channel),OR(sel_Customer="All",F1170=sel_Customer),OR(sel_Product="All",H1170=sel_Product),AND(S1170&gt;=m_From,S1170&lt;=m_To)),1,0)</f>
        <v/>
      </c>
      <c r="Z1170" s="36">
        <f>IF(AND(OR(sel_Region="All",C1170=sel_Region),OR(sel_Country="All",D1170=sel_Country),OR(sel_Channel="All",E1170=sel_Channel),OR(sel_Customer="All",F1170=sel_Customer),OR(sel_Category="All",G1170=sel_Category),AND(S1170&gt;=m_From,S1170&lt;=m_To)),1,0)</f>
        <v/>
      </c>
      <c r="AA1170" s="36">
        <f>IF(AND(OR(sel_Region="All",C1170=sel_Region),OR(sel_Country="All",D1170=sel_Country),OR(sel_Channel="All",E1170=sel_Channel),OR(sel_Customer="All",F1170=sel_Customer),OR(sel_Category="All",G1170=sel_Category),OR(sel_Product="All",H1170=sel_Product)),1,0)</f>
        <v/>
      </c>
    </row>
    <row r="1171">
      <c r="A1171" s="36" t="inlineStr">
        <is>
          <t>03595</t>
        </is>
      </c>
      <c r="B1171" s="44" t="n">
        <v>46195</v>
      </c>
      <c r="C1171" s="36" t="inlineStr">
        <is>
          <t>Central Europe</t>
        </is>
      </c>
      <c r="D1171" s="36" t="inlineStr">
        <is>
          <t>Poland</t>
        </is>
      </c>
      <c r="E1171" s="36" t="inlineStr">
        <is>
          <t>Online Store</t>
        </is>
      </c>
      <c r="F1171" s="36" t="inlineStr">
        <is>
          <t>New</t>
        </is>
      </c>
      <c r="G1171" s="36" t="inlineStr">
        <is>
          <t>Cycling</t>
        </is>
      </c>
      <c r="H1171" s="36" t="inlineStr">
        <is>
          <t>Compact Repair Kit</t>
        </is>
      </c>
      <c r="I1171" s="36" t="n">
        <v>2</v>
      </c>
      <c r="J1171" s="39" t="n">
        <v>40.94</v>
      </c>
      <c r="K1171" s="45" t="n">
        <v>0.1</v>
      </c>
      <c r="L1171" s="39" t="n">
        <v>16.88</v>
      </c>
      <c r="M1171" s="39">
        <f>I1171*J1171*(1-K1171)</f>
        <v/>
      </c>
      <c r="N1171" s="39">
        <f>I1171*L1171</f>
        <v/>
      </c>
      <c r="O1171" s="39">
        <f>M1171-N1171</f>
        <v/>
      </c>
      <c r="P1171" s="38">
        <f>IF(M1171=0,0,O1171/M1171)</f>
        <v/>
      </c>
      <c r="Q1171" s="36">
        <f>YEAR(B1171)</f>
        <v/>
      </c>
      <c r="R1171" s="36">
        <f>"Q"&amp;ROUNDUP(MONTH(B1171)/3,0)</f>
        <v/>
      </c>
      <c r="S1171" s="36">
        <f>MONTH(B1171)</f>
        <v/>
      </c>
      <c r="T1171" s="36">
        <f>TEXT(B1171,"mmm")</f>
        <v/>
      </c>
      <c r="U1171" s="36">
        <f>IF(AND(OR(sel_Region="All",C1171=sel_Region),OR(sel_Country="All",D1171=sel_Country),OR(sel_Channel="All",E1171=sel_Channel),OR(sel_Customer="All",F1171=sel_Customer),OR(sel_Category="All",G1171=sel_Category),OR(sel_Product="All",H1171=sel_Product),AND(S1171&gt;=m_From,S1171&lt;=m_To)),1,0)</f>
        <v/>
      </c>
      <c r="V1171" s="36">
        <f>IF(AND(OR(sel_Region="All",C1171=sel_Region),OR(sel_Channel="All",E1171=sel_Channel),OR(sel_Customer="All",F1171=sel_Customer),OR(sel_Category="All",G1171=sel_Category),OR(sel_Product="All",H1171=sel_Product),AND(S1171&gt;=m_From,S1171&lt;=m_To)),1,0)</f>
        <v/>
      </c>
      <c r="W1171" s="36">
        <f>IF(AND(OR(sel_Region="All",C1171=sel_Region),OR(sel_Country="All",D1171=sel_Country),OR(sel_Customer="All",F1171=sel_Customer),OR(sel_Category="All",G1171=sel_Category),OR(sel_Product="All",H1171=sel_Product),AND(S1171&gt;=m_From,S1171&lt;=m_To)),1,0)</f>
        <v/>
      </c>
      <c r="X1171" s="36">
        <f>IF(AND(OR(sel_Region="All",C1171=sel_Region),OR(sel_Country="All",D1171=sel_Country),OR(sel_Channel="All",E1171=sel_Channel),OR(sel_Category="All",G1171=sel_Category),OR(sel_Product="All",H1171=sel_Product),AND(S1171&gt;=m_From,S1171&lt;=m_To)),1,0)</f>
        <v/>
      </c>
      <c r="Y1171" s="36">
        <f>IF(AND(OR(sel_Region="All",C1171=sel_Region),OR(sel_Country="All",D1171=sel_Country),OR(sel_Channel="All",E1171=sel_Channel),OR(sel_Customer="All",F1171=sel_Customer),OR(sel_Product="All",H1171=sel_Product),AND(S1171&gt;=m_From,S1171&lt;=m_To)),1,0)</f>
        <v/>
      </c>
      <c r="Z1171" s="36">
        <f>IF(AND(OR(sel_Region="All",C1171=sel_Region),OR(sel_Country="All",D1171=sel_Country),OR(sel_Channel="All",E1171=sel_Channel),OR(sel_Customer="All",F1171=sel_Customer),OR(sel_Category="All",G1171=sel_Category),AND(S1171&gt;=m_From,S1171&lt;=m_To)),1,0)</f>
        <v/>
      </c>
      <c r="AA1171" s="36">
        <f>IF(AND(OR(sel_Region="All",C1171=sel_Region),OR(sel_Country="All",D1171=sel_Country),OR(sel_Channel="All",E1171=sel_Channel),OR(sel_Customer="All",F1171=sel_Customer),OR(sel_Category="All",G1171=sel_Category),OR(sel_Product="All",H1171=sel_Product)),1,0)</f>
        <v/>
      </c>
    </row>
    <row r="1172">
      <c r="A1172" s="36" t="inlineStr">
        <is>
          <t>03766</t>
        </is>
      </c>
      <c r="B1172" s="44" t="n">
        <v>46195</v>
      </c>
      <c r="C1172" s="36" t="inlineStr">
        <is>
          <t>Western Europe</t>
        </is>
      </c>
      <c r="D1172" s="36" t="inlineStr">
        <is>
          <t>United Kingdom</t>
        </is>
      </c>
      <c r="E1172" s="36" t="inlineStr">
        <is>
          <t>Retail Partners</t>
        </is>
      </c>
      <c r="F1172" s="36" t="inlineStr">
        <is>
          <t>Returning</t>
        </is>
      </c>
      <c r="G1172" s="36" t="inlineStr">
        <is>
          <t>Hiking</t>
        </is>
      </c>
      <c r="H1172" s="36" t="inlineStr">
        <is>
          <t>Hiking Daypack 20L</t>
        </is>
      </c>
      <c r="I1172" s="36" t="n">
        <v>1</v>
      </c>
      <c r="J1172" s="39" t="n">
        <v>93.78</v>
      </c>
      <c r="K1172" s="45" t="n">
        <v>0</v>
      </c>
      <c r="L1172" s="39" t="n">
        <v>46.62</v>
      </c>
      <c r="M1172" s="39">
        <f>I1172*J1172*(1-K1172)</f>
        <v/>
      </c>
      <c r="N1172" s="39">
        <f>I1172*L1172</f>
        <v/>
      </c>
      <c r="O1172" s="39">
        <f>M1172-N1172</f>
        <v/>
      </c>
      <c r="P1172" s="38">
        <f>IF(M1172=0,0,O1172/M1172)</f>
        <v/>
      </c>
      <c r="Q1172" s="36">
        <f>YEAR(B1172)</f>
        <v/>
      </c>
      <c r="R1172" s="36">
        <f>"Q"&amp;ROUNDUP(MONTH(B1172)/3,0)</f>
        <v/>
      </c>
      <c r="S1172" s="36">
        <f>MONTH(B1172)</f>
        <v/>
      </c>
      <c r="T1172" s="36">
        <f>TEXT(B1172,"mmm")</f>
        <v/>
      </c>
      <c r="U1172" s="36">
        <f>IF(AND(OR(sel_Region="All",C1172=sel_Region),OR(sel_Country="All",D1172=sel_Country),OR(sel_Channel="All",E1172=sel_Channel),OR(sel_Customer="All",F1172=sel_Customer),OR(sel_Category="All",G1172=sel_Category),OR(sel_Product="All",H1172=sel_Product),AND(S1172&gt;=m_From,S1172&lt;=m_To)),1,0)</f>
        <v/>
      </c>
      <c r="V1172" s="36">
        <f>IF(AND(OR(sel_Region="All",C1172=sel_Region),OR(sel_Channel="All",E1172=sel_Channel),OR(sel_Customer="All",F1172=sel_Customer),OR(sel_Category="All",G1172=sel_Category),OR(sel_Product="All",H1172=sel_Product),AND(S1172&gt;=m_From,S1172&lt;=m_To)),1,0)</f>
        <v/>
      </c>
      <c r="W1172" s="36">
        <f>IF(AND(OR(sel_Region="All",C1172=sel_Region),OR(sel_Country="All",D1172=sel_Country),OR(sel_Customer="All",F1172=sel_Customer),OR(sel_Category="All",G1172=sel_Category),OR(sel_Product="All",H1172=sel_Product),AND(S1172&gt;=m_From,S1172&lt;=m_To)),1,0)</f>
        <v/>
      </c>
      <c r="X1172" s="36">
        <f>IF(AND(OR(sel_Region="All",C1172=sel_Region),OR(sel_Country="All",D1172=sel_Country),OR(sel_Channel="All",E1172=sel_Channel),OR(sel_Category="All",G1172=sel_Category),OR(sel_Product="All",H1172=sel_Product),AND(S1172&gt;=m_From,S1172&lt;=m_To)),1,0)</f>
        <v/>
      </c>
      <c r="Y1172" s="36">
        <f>IF(AND(OR(sel_Region="All",C1172=sel_Region),OR(sel_Country="All",D1172=sel_Country),OR(sel_Channel="All",E1172=sel_Channel),OR(sel_Customer="All",F1172=sel_Customer),OR(sel_Product="All",H1172=sel_Product),AND(S1172&gt;=m_From,S1172&lt;=m_To)),1,0)</f>
        <v/>
      </c>
      <c r="Z1172" s="36">
        <f>IF(AND(OR(sel_Region="All",C1172=sel_Region),OR(sel_Country="All",D1172=sel_Country),OR(sel_Channel="All",E1172=sel_Channel),OR(sel_Customer="All",F1172=sel_Customer),OR(sel_Category="All",G1172=sel_Category),AND(S1172&gt;=m_From,S1172&lt;=m_To)),1,0)</f>
        <v/>
      </c>
      <c r="AA1172" s="36">
        <f>IF(AND(OR(sel_Region="All",C1172=sel_Region),OR(sel_Country="All",D1172=sel_Country),OR(sel_Channel="All",E1172=sel_Channel),OR(sel_Customer="All",F1172=sel_Customer),OR(sel_Category="All",G1172=sel_Category),OR(sel_Product="All",H1172=sel_Product)),1,0)</f>
        <v/>
      </c>
    </row>
    <row r="1173">
      <c r="A1173" s="36" t="inlineStr">
        <is>
          <t>03933</t>
        </is>
      </c>
      <c r="B1173" s="44" t="n">
        <v>46195</v>
      </c>
      <c r="C1173" s="36" t="inlineStr">
        <is>
          <t>Western Europe</t>
        </is>
      </c>
      <c r="D1173" s="36" t="inlineStr">
        <is>
          <t>Belgium</t>
        </is>
      </c>
      <c r="E1173" s="36" t="inlineStr">
        <is>
          <t>Retail Partners</t>
        </is>
      </c>
      <c r="F1173" s="36" t="inlineStr">
        <is>
          <t>New</t>
        </is>
      </c>
      <c r="G1173" s="36" t="inlineStr">
        <is>
          <t>Fitness</t>
        </is>
      </c>
      <c r="H1173" s="36" t="inlineStr">
        <is>
          <t>Training Mat</t>
        </is>
      </c>
      <c r="I1173" s="36" t="n">
        <v>2</v>
      </c>
      <c r="J1173" s="39" t="n">
        <v>51.42</v>
      </c>
      <c r="K1173" s="45" t="n">
        <v>0</v>
      </c>
      <c r="L1173" s="39" t="n">
        <v>22.19</v>
      </c>
      <c r="M1173" s="39">
        <f>I1173*J1173*(1-K1173)</f>
        <v/>
      </c>
      <c r="N1173" s="39">
        <f>I1173*L1173</f>
        <v/>
      </c>
      <c r="O1173" s="39">
        <f>M1173-N1173</f>
        <v/>
      </c>
      <c r="P1173" s="38">
        <f>IF(M1173=0,0,O1173/M1173)</f>
        <v/>
      </c>
      <c r="Q1173" s="36">
        <f>YEAR(B1173)</f>
        <v/>
      </c>
      <c r="R1173" s="36">
        <f>"Q"&amp;ROUNDUP(MONTH(B1173)/3,0)</f>
        <v/>
      </c>
      <c r="S1173" s="36">
        <f>MONTH(B1173)</f>
        <v/>
      </c>
      <c r="T1173" s="36">
        <f>TEXT(B1173,"mmm")</f>
        <v/>
      </c>
      <c r="U1173" s="36">
        <f>IF(AND(OR(sel_Region="All",C1173=sel_Region),OR(sel_Country="All",D1173=sel_Country),OR(sel_Channel="All",E1173=sel_Channel),OR(sel_Customer="All",F1173=sel_Customer),OR(sel_Category="All",G1173=sel_Category),OR(sel_Product="All",H1173=sel_Product),AND(S1173&gt;=m_From,S1173&lt;=m_To)),1,0)</f>
        <v/>
      </c>
      <c r="V1173" s="36">
        <f>IF(AND(OR(sel_Region="All",C1173=sel_Region),OR(sel_Channel="All",E1173=sel_Channel),OR(sel_Customer="All",F1173=sel_Customer),OR(sel_Category="All",G1173=sel_Category),OR(sel_Product="All",H1173=sel_Product),AND(S1173&gt;=m_From,S1173&lt;=m_To)),1,0)</f>
        <v/>
      </c>
      <c r="W1173" s="36">
        <f>IF(AND(OR(sel_Region="All",C1173=sel_Region),OR(sel_Country="All",D1173=sel_Country),OR(sel_Customer="All",F1173=sel_Customer),OR(sel_Category="All",G1173=sel_Category),OR(sel_Product="All",H1173=sel_Product),AND(S1173&gt;=m_From,S1173&lt;=m_To)),1,0)</f>
        <v/>
      </c>
      <c r="X1173" s="36">
        <f>IF(AND(OR(sel_Region="All",C1173=sel_Region),OR(sel_Country="All",D1173=sel_Country),OR(sel_Channel="All",E1173=sel_Channel),OR(sel_Category="All",G1173=sel_Category),OR(sel_Product="All",H1173=sel_Product),AND(S1173&gt;=m_From,S1173&lt;=m_To)),1,0)</f>
        <v/>
      </c>
      <c r="Y1173" s="36">
        <f>IF(AND(OR(sel_Region="All",C1173=sel_Region),OR(sel_Country="All",D1173=sel_Country),OR(sel_Channel="All",E1173=sel_Channel),OR(sel_Customer="All",F1173=sel_Customer),OR(sel_Product="All",H1173=sel_Product),AND(S1173&gt;=m_From,S1173&lt;=m_To)),1,0)</f>
        <v/>
      </c>
      <c r="Z1173" s="36">
        <f>IF(AND(OR(sel_Region="All",C1173=sel_Region),OR(sel_Country="All",D1173=sel_Country),OR(sel_Channel="All",E1173=sel_Channel),OR(sel_Customer="All",F1173=sel_Customer),OR(sel_Category="All",G1173=sel_Category),AND(S1173&gt;=m_From,S1173&lt;=m_To)),1,0)</f>
        <v/>
      </c>
      <c r="AA1173" s="36">
        <f>IF(AND(OR(sel_Region="All",C1173=sel_Region),OR(sel_Country="All",D1173=sel_Country),OR(sel_Channel="All",E1173=sel_Channel),OR(sel_Customer="All",F1173=sel_Customer),OR(sel_Category="All",G1173=sel_Category),OR(sel_Product="All",H1173=sel_Product)),1,0)</f>
        <v/>
      </c>
    </row>
    <row r="1174">
      <c r="A1174" s="36" t="inlineStr">
        <is>
          <t>03951</t>
        </is>
      </c>
      <c r="B1174" s="44" t="n">
        <v>46195</v>
      </c>
      <c r="C1174" s="36" t="inlineStr">
        <is>
          <t>Northern Europe</t>
        </is>
      </c>
      <c r="D1174" s="36" t="inlineStr">
        <is>
          <t>Sweden</t>
        </is>
      </c>
      <c r="E1174" s="36" t="inlineStr">
        <is>
          <t>Retail Partners</t>
        </is>
      </c>
      <c r="F1174" s="36" t="inlineStr">
        <is>
          <t>New</t>
        </is>
      </c>
      <c r="G1174" s="36" t="inlineStr">
        <is>
          <t>Travel</t>
        </is>
      </c>
      <c r="H1174" s="36" t="inlineStr">
        <is>
          <t>Travel Backpack 35L</t>
        </is>
      </c>
      <c r="I1174" s="36" t="n">
        <v>1</v>
      </c>
      <c r="J1174" s="39" t="n">
        <v>164.99</v>
      </c>
      <c r="K1174" s="45" t="n">
        <v>0.1</v>
      </c>
      <c r="L1174" s="39" t="n">
        <v>86.59999999999999</v>
      </c>
      <c r="M1174" s="39">
        <f>I1174*J1174*(1-K1174)</f>
        <v/>
      </c>
      <c r="N1174" s="39">
        <f>I1174*L1174</f>
        <v/>
      </c>
      <c r="O1174" s="39">
        <f>M1174-N1174</f>
        <v/>
      </c>
      <c r="P1174" s="38">
        <f>IF(M1174=0,0,O1174/M1174)</f>
        <v/>
      </c>
      <c r="Q1174" s="36">
        <f>YEAR(B1174)</f>
        <v/>
      </c>
      <c r="R1174" s="36">
        <f>"Q"&amp;ROUNDUP(MONTH(B1174)/3,0)</f>
        <v/>
      </c>
      <c r="S1174" s="36">
        <f>MONTH(B1174)</f>
        <v/>
      </c>
      <c r="T1174" s="36">
        <f>TEXT(B1174,"mmm")</f>
        <v/>
      </c>
      <c r="U1174" s="36">
        <f>IF(AND(OR(sel_Region="All",C1174=sel_Region),OR(sel_Country="All",D1174=sel_Country),OR(sel_Channel="All",E1174=sel_Channel),OR(sel_Customer="All",F1174=sel_Customer),OR(sel_Category="All",G1174=sel_Category),OR(sel_Product="All",H1174=sel_Product),AND(S1174&gt;=m_From,S1174&lt;=m_To)),1,0)</f>
        <v/>
      </c>
      <c r="V1174" s="36">
        <f>IF(AND(OR(sel_Region="All",C1174=sel_Region),OR(sel_Channel="All",E1174=sel_Channel),OR(sel_Customer="All",F1174=sel_Customer),OR(sel_Category="All",G1174=sel_Category),OR(sel_Product="All",H1174=sel_Product),AND(S1174&gt;=m_From,S1174&lt;=m_To)),1,0)</f>
        <v/>
      </c>
      <c r="W1174" s="36">
        <f>IF(AND(OR(sel_Region="All",C1174=sel_Region),OR(sel_Country="All",D1174=sel_Country),OR(sel_Customer="All",F1174=sel_Customer),OR(sel_Category="All",G1174=sel_Category),OR(sel_Product="All",H1174=sel_Product),AND(S1174&gt;=m_From,S1174&lt;=m_To)),1,0)</f>
        <v/>
      </c>
      <c r="X1174" s="36">
        <f>IF(AND(OR(sel_Region="All",C1174=sel_Region),OR(sel_Country="All",D1174=sel_Country),OR(sel_Channel="All",E1174=sel_Channel),OR(sel_Category="All",G1174=sel_Category),OR(sel_Product="All",H1174=sel_Product),AND(S1174&gt;=m_From,S1174&lt;=m_To)),1,0)</f>
        <v/>
      </c>
      <c r="Y1174" s="36">
        <f>IF(AND(OR(sel_Region="All",C1174=sel_Region),OR(sel_Country="All",D1174=sel_Country),OR(sel_Channel="All",E1174=sel_Channel),OR(sel_Customer="All",F1174=sel_Customer),OR(sel_Product="All",H1174=sel_Product),AND(S1174&gt;=m_From,S1174&lt;=m_To)),1,0)</f>
        <v/>
      </c>
      <c r="Z1174" s="36">
        <f>IF(AND(OR(sel_Region="All",C1174=sel_Region),OR(sel_Country="All",D1174=sel_Country),OR(sel_Channel="All",E1174=sel_Channel),OR(sel_Customer="All",F1174=sel_Customer),OR(sel_Category="All",G1174=sel_Category),AND(S1174&gt;=m_From,S1174&lt;=m_To)),1,0)</f>
        <v/>
      </c>
      <c r="AA1174" s="36">
        <f>IF(AND(OR(sel_Region="All",C1174=sel_Region),OR(sel_Country="All",D1174=sel_Country),OR(sel_Channel="All",E1174=sel_Channel),OR(sel_Customer="All",F1174=sel_Customer),OR(sel_Category="All",G1174=sel_Category),OR(sel_Product="All",H1174=sel_Product)),1,0)</f>
        <v/>
      </c>
    </row>
    <row r="1175">
      <c r="A1175" s="36" t="inlineStr">
        <is>
          <t>04078</t>
        </is>
      </c>
      <c r="B1175" s="44" t="n">
        <v>46195</v>
      </c>
      <c r="C1175" s="36" t="inlineStr">
        <is>
          <t>Northern Europe</t>
        </is>
      </c>
      <c r="D1175" s="36" t="inlineStr">
        <is>
          <t>Denmark</t>
        </is>
      </c>
      <c r="E1175" s="36" t="inlineStr">
        <is>
          <t>Marketplace</t>
        </is>
      </c>
      <c r="F1175" s="36" t="inlineStr">
        <is>
          <t>Returning</t>
        </is>
      </c>
      <c r="G1175" s="36" t="inlineStr">
        <is>
          <t>Hiking</t>
        </is>
      </c>
      <c r="H1175" s="36" t="inlineStr">
        <is>
          <t>Trail Boots</t>
        </is>
      </c>
      <c r="I1175" s="36" t="n">
        <v>1</v>
      </c>
      <c r="J1175" s="39" t="n">
        <v>145.65</v>
      </c>
      <c r="K1175" s="45" t="n">
        <v>0</v>
      </c>
      <c r="L1175" s="39" t="n">
        <v>79.87</v>
      </c>
      <c r="M1175" s="39">
        <f>I1175*J1175*(1-K1175)</f>
        <v/>
      </c>
      <c r="N1175" s="39">
        <f>I1175*L1175</f>
        <v/>
      </c>
      <c r="O1175" s="39">
        <f>M1175-N1175</f>
        <v/>
      </c>
      <c r="P1175" s="38">
        <f>IF(M1175=0,0,O1175/M1175)</f>
        <v/>
      </c>
      <c r="Q1175" s="36">
        <f>YEAR(B1175)</f>
        <v/>
      </c>
      <c r="R1175" s="36">
        <f>"Q"&amp;ROUNDUP(MONTH(B1175)/3,0)</f>
        <v/>
      </c>
      <c r="S1175" s="36">
        <f>MONTH(B1175)</f>
        <v/>
      </c>
      <c r="T1175" s="36">
        <f>TEXT(B1175,"mmm")</f>
        <v/>
      </c>
      <c r="U1175" s="36">
        <f>IF(AND(OR(sel_Region="All",C1175=sel_Region),OR(sel_Country="All",D1175=sel_Country),OR(sel_Channel="All",E1175=sel_Channel),OR(sel_Customer="All",F1175=sel_Customer),OR(sel_Category="All",G1175=sel_Category),OR(sel_Product="All",H1175=sel_Product),AND(S1175&gt;=m_From,S1175&lt;=m_To)),1,0)</f>
        <v/>
      </c>
      <c r="V1175" s="36">
        <f>IF(AND(OR(sel_Region="All",C1175=sel_Region),OR(sel_Channel="All",E1175=sel_Channel),OR(sel_Customer="All",F1175=sel_Customer),OR(sel_Category="All",G1175=sel_Category),OR(sel_Product="All",H1175=sel_Product),AND(S1175&gt;=m_From,S1175&lt;=m_To)),1,0)</f>
        <v/>
      </c>
      <c r="W1175" s="36">
        <f>IF(AND(OR(sel_Region="All",C1175=sel_Region),OR(sel_Country="All",D1175=sel_Country),OR(sel_Customer="All",F1175=sel_Customer),OR(sel_Category="All",G1175=sel_Category),OR(sel_Product="All",H1175=sel_Product),AND(S1175&gt;=m_From,S1175&lt;=m_To)),1,0)</f>
        <v/>
      </c>
      <c r="X1175" s="36">
        <f>IF(AND(OR(sel_Region="All",C1175=sel_Region),OR(sel_Country="All",D1175=sel_Country),OR(sel_Channel="All",E1175=sel_Channel),OR(sel_Category="All",G1175=sel_Category),OR(sel_Product="All",H1175=sel_Product),AND(S1175&gt;=m_From,S1175&lt;=m_To)),1,0)</f>
        <v/>
      </c>
      <c r="Y1175" s="36">
        <f>IF(AND(OR(sel_Region="All",C1175=sel_Region),OR(sel_Country="All",D1175=sel_Country),OR(sel_Channel="All",E1175=sel_Channel),OR(sel_Customer="All",F1175=sel_Customer),OR(sel_Product="All",H1175=sel_Product),AND(S1175&gt;=m_From,S1175&lt;=m_To)),1,0)</f>
        <v/>
      </c>
      <c r="Z1175" s="36">
        <f>IF(AND(OR(sel_Region="All",C1175=sel_Region),OR(sel_Country="All",D1175=sel_Country),OR(sel_Channel="All",E1175=sel_Channel),OR(sel_Customer="All",F1175=sel_Customer),OR(sel_Category="All",G1175=sel_Category),AND(S1175&gt;=m_From,S1175&lt;=m_To)),1,0)</f>
        <v/>
      </c>
      <c r="AA1175" s="36">
        <f>IF(AND(OR(sel_Region="All",C1175=sel_Region),OR(sel_Country="All",D1175=sel_Country),OR(sel_Channel="All",E1175=sel_Channel),OR(sel_Customer="All",F1175=sel_Customer),OR(sel_Category="All",G1175=sel_Category),OR(sel_Product="All",H1175=sel_Product)),1,0)</f>
        <v/>
      </c>
    </row>
    <row r="1176">
      <c r="A1176" s="36" t="inlineStr">
        <is>
          <t>04182</t>
        </is>
      </c>
      <c r="B1176" s="44" t="n">
        <v>46195</v>
      </c>
      <c r="C1176" s="36" t="inlineStr">
        <is>
          <t>Central Europe</t>
        </is>
      </c>
      <c r="D1176" s="36" t="inlineStr">
        <is>
          <t>Switzerland</t>
        </is>
      </c>
      <c r="E1176" s="36" t="inlineStr">
        <is>
          <t>Online Store</t>
        </is>
      </c>
      <c r="F1176" s="36" t="inlineStr">
        <is>
          <t>New</t>
        </is>
      </c>
      <c r="G1176" s="36" t="inlineStr">
        <is>
          <t>Fitness</t>
        </is>
      </c>
      <c r="H1176" s="36" t="inlineStr">
        <is>
          <t>Weighted Vest</t>
        </is>
      </c>
      <c r="I1176" s="36" t="n">
        <v>4</v>
      </c>
      <c r="J1176" s="39" t="n">
        <v>120.94</v>
      </c>
      <c r="K1176" s="45" t="n">
        <v>0.05</v>
      </c>
      <c r="L1176" s="39" t="n">
        <v>70.84</v>
      </c>
      <c r="M1176" s="39">
        <f>I1176*J1176*(1-K1176)</f>
        <v/>
      </c>
      <c r="N1176" s="39">
        <f>I1176*L1176</f>
        <v/>
      </c>
      <c r="O1176" s="39">
        <f>M1176-N1176</f>
        <v/>
      </c>
      <c r="P1176" s="38">
        <f>IF(M1176=0,0,O1176/M1176)</f>
        <v/>
      </c>
      <c r="Q1176" s="36">
        <f>YEAR(B1176)</f>
        <v/>
      </c>
      <c r="R1176" s="36">
        <f>"Q"&amp;ROUNDUP(MONTH(B1176)/3,0)</f>
        <v/>
      </c>
      <c r="S1176" s="36">
        <f>MONTH(B1176)</f>
        <v/>
      </c>
      <c r="T1176" s="36">
        <f>TEXT(B1176,"mmm")</f>
        <v/>
      </c>
      <c r="U1176" s="36">
        <f>IF(AND(OR(sel_Region="All",C1176=sel_Region),OR(sel_Country="All",D1176=sel_Country),OR(sel_Channel="All",E1176=sel_Channel),OR(sel_Customer="All",F1176=sel_Customer),OR(sel_Category="All",G1176=sel_Category),OR(sel_Product="All",H1176=sel_Product),AND(S1176&gt;=m_From,S1176&lt;=m_To)),1,0)</f>
        <v/>
      </c>
      <c r="V1176" s="36">
        <f>IF(AND(OR(sel_Region="All",C1176=sel_Region),OR(sel_Channel="All",E1176=sel_Channel),OR(sel_Customer="All",F1176=sel_Customer),OR(sel_Category="All",G1176=sel_Category),OR(sel_Product="All",H1176=sel_Product),AND(S1176&gt;=m_From,S1176&lt;=m_To)),1,0)</f>
        <v/>
      </c>
      <c r="W1176" s="36">
        <f>IF(AND(OR(sel_Region="All",C1176=sel_Region),OR(sel_Country="All",D1176=sel_Country),OR(sel_Customer="All",F1176=sel_Customer),OR(sel_Category="All",G1176=sel_Category),OR(sel_Product="All",H1176=sel_Product),AND(S1176&gt;=m_From,S1176&lt;=m_To)),1,0)</f>
        <v/>
      </c>
      <c r="X1176" s="36">
        <f>IF(AND(OR(sel_Region="All",C1176=sel_Region),OR(sel_Country="All",D1176=sel_Country),OR(sel_Channel="All",E1176=sel_Channel),OR(sel_Category="All",G1176=sel_Category),OR(sel_Product="All",H1176=sel_Product),AND(S1176&gt;=m_From,S1176&lt;=m_To)),1,0)</f>
        <v/>
      </c>
      <c r="Y1176" s="36">
        <f>IF(AND(OR(sel_Region="All",C1176=sel_Region),OR(sel_Country="All",D1176=sel_Country),OR(sel_Channel="All",E1176=sel_Channel),OR(sel_Customer="All",F1176=sel_Customer),OR(sel_Product="All",H1176=sel_Product),AND(S1176&gt;=m_From,S1176&lt;=m_To)),1,0)</f>
        <v/>
      </c>
      <c r="Z1176" s="36">
        <f>IF(AND(OR(sel_Region="All",C1176=sel_Region),OR(sel_Country="All",D1176=sel_Country),OR(sel_Channel="All",E1176=sel_Channel),OR(sel_Customer="All",F1176=sel_Customer),OR(sel_Category="All",G1176=sel_Category),AND(S1176&gt;=m_From,S1176&lt;=m_To)),1,0)</f>
        <v/>
      </c>
      <c r="AA1176" s="36">
        <f>IF(AND(OR(sel_Region="All",C1176=sel_Region),OR(sel_Country="All",D1176=sel_Country),OR(sel_Channel="All",E1176=sel_Channel),OR(sel_Customer="All",F1176=sel_Customer),OR(sel_Category="All",G1176=sel_Category),OR(sel_Product="All",H1176=sel_Product)),1,0)</f>
        <v/>
      </c>
    </row>
    <row r="1177">
      <c r="A1177" s="36" t="inlineStr">
        <is>
          <t>00323</t>
        </is>
      </c>
      <c r="B1177" s="44" t="n">
        <v>46196</v>
      </c>
      <c r="C1177" s="36" t="inlineStr">
        <is>
          <t>Western Europe</t>
        </is>
      </c>
      <c r="D1177" s="36" t="inlineStr">
        <is>
          <t>France</t>
        </is>
      </c>
      <c r="E1177" s="36" t="inlineStr">
        <is>
          <t>Online Store</t>
        </is>
      </c>
      <c r="F1177" s="36" t="inlineStr">
        <is>
          <t>Returning</t>
        </is>
      </c>
      <c r="G1177" s="36" t="inlineStr">
        <is>
          <t>Travel</t>
        </is>
      </c>
      <c r="H1177" s="36" t="inlineStr">
        <is>
          <t>Insulated Bottle</t>
        </is>
      </c>
      <c r="I1177" s="36" t="n">
        <v>1</v>
      </c>
      <c r="J1177" s="39" t="n">
        <v>36.94</v>
      </c>
      <c r="K1177" s="45" t="n">
        <v>0</v>
      </c>
      <c r="L1177" s="39" t="n">
        <v>13.25</v>
      </c>
      <c r="M1177" s="39">
        <f>I1177*J1177*(1-K1177)</f>
        <v/>
      </c>
      <c r="N1177" s="39">
        <f>I1177*L1177</f>
        <v/>
      </c>
      <c r="O1177" s="39">
        <f>M1177-N1177</f>
        <v/>
      </c>
      <c r="P1177" s="38">
        <f>IF(M1177=0,0,O1177/M1177)</f>
        <v/>
      </c>
      <c r="Q1177" s="36">
        <f>YEAR(B1177)</f>
        <v/>
      </c>
      <c r="R1177" s="36">
        <f>"Q"&amp;ROUNDUP(MONTH(B1177)/3,0)</f>
        <v/>
      </c>
      <c r="S1177" s="36">
        <f>MONTH(B1177)</f>
        <v/>
      </c>
      <c r="T1177" s="36">
        <f>TEXT(B1177,"mmm")</f>
        <v/>
      </c>
      <c r="U1177" s="36">
        <f>IF(AND(OR(sel_Region="All",C1177=sel_Region),OR(sel_Country="All",D1177=sel_Country),OR(sel_Channel="All",E1177=sel_Channel),OR(sel_Customer="All",F1177=sel_Customer),OR(sel_Category="All",G1177=sel_Category),OR(sel_Product="All",H1177=sel_Product),AND(S1177&gt;=m_From,S1177&lt;=m_To)),1,0)</f>
        <v/>
      </c>
      <c r="V1177" s="36">
        <f>IF(AND(OR(sel_Region="All",C1177=sel_Region),OR(sel_Channel="All",E1177=sel_Channel),OR(sel_Customer="All",F1177=sel_Customer),OR(sel_Category="All",G1177=sel_Category),OR(sel_Product="All",H1177=sel_Product),AND(S1177&gt;=m_From,S1177&lt;=m_To)),1,0)</f>
        <v/>
      </c>
      <c r="W1177" s="36">
        <f>IF(AND(OR(sel_Region="All",C1177=sel_Region),OR(sel_Country="All",D1177=sel_Country),OR(sel_Customer="All",F1177=sel_Customer),OR(sel_Category="All",G1177=sel_Category),OR(sel_Product="All",H1177=sel_Product),AND(S1177&gt;=m_From,S1177&lt;=m_To)),1,0)</f>
        <v/>
      </c>
      <c r="X1177" s="36">
        <f>IF(AND(OR(sel_Region="All",C1177=sel_Region),OR(sel_Country="All",D1177=sel_Country),OR(sel_Channel="All",E1177=sel_Channel),OR(sel_Category="All",G1177=sel_Category),OR(sel_Product="All",H1177=sel_Product),AND(S1177&gt;=m_From,S1177&lt;=m_To)),1,0)</f>
        <v/>
      </c>
      <c r="Y1177" s="36">
        <f>IF(AND(OR(sel_Region="All",C1177=sel_Region),OR(sel_Country="All",D1177=sel_Country),OR(sel_Channel="All",E1177=sel_Channel),OR(sel_Customer="All",F1177=sel_Customer),OR(sel_Product="All",H1177=sel_Product),AND(S1177&gt;=m_From,S1177&lt;=m_To)),1,0)</f>
        <v/>
      </c>
      <c r="Z1177" s="36">
        <f>IF(AND(OR(sel_Region="All",C1177=sel_Region),OR(sel_Country="All",D1177=sel_Country),OR(sel_Channel="All",E1177=sel_Channel),OR(sel_Customer="All",F1177=sel_Customer),OR(sel_Category="All",G1177=sel_Category),AND(S1177&gt;=m_From,S1177&lt;=m_To)),1,0)</f>
        <v/>
      </c>
      <c r="AA1177" s="36">
        <f>IF(AND(OR(sel_Region="All",C1177=sel_Region),OR(sel_Country="All",D1177=sel_Country),OR(sel_Channel="All",E1177=sel_Channel),OR(sel_Customer="All",F1177=sel_Customer),OR(sel_Category="All",G1177=sel_Category),OR(sel_Product="All",H1177=sel_Product)),1,0)</f>
        <v/>
      </c>
    </row>
    <row r="1178">
      <c r="A1178" s="36" t="inlineStr">
        <is>
          <t>00544</t>
        </is>
      </c>
      <c r="B1178" s="44" t="n">
        <v>46196</v>
      </c>
      <c r="C1178" s="36" t="inlineStr">
        <is>
          <t>Southern Europe</t>
        </is>
      </c>
      <c r="D1178" s="36" t="inlineStr">
        <is>
          <t>Italy</t>
        </is>
      </c>
      <c r="E1178" s="36" t="inlineStr">
        <is>
          <t>Online Store</t>
        </is>
      </c>
      <c r="F1178" s="36" t="inlineStr">
        <is>
          <t>Business</t>
        </is>
      </c>
      <c r="G1178" s="36" t="inlineStr">
        <is>
          <t>Hiking</t>
        </is>
      </c>
      <c r="H1178" s="36" t="inlineStr">
        <is>
          <t>Hiking Daypack 20L</t>
        </is>
      </c>
      <c r="I1178" s="36" t="n">
        <v>1</v>
      </c>
      <c r="J1178" s="39" t="n">
        <v>90.3</v>
      </c>
      <c r="K1178" s="45" t="n">
        <v>0.05</v>
      </c>
      <c r="L1178" s="39" t="n">
        <v>45.07</v>
      </c>
      <c r="M1178" s="39">
        <f>I1178*J1178*(1-K1178)</f>
        <v/>
      </c>
      <c r="N1178" s="39">
        <f>I1178*L1178</f>
        <v/>
      </c>
      <c r="O1178" s="39">
        <f>M1178-N1178</f>
        <v/>
      </c>
      <c r="P1178" s="38">
        <f>IF(M1178=0,0,O1178/M1178)</f>
        <v/>
      </c>
      <c r="Q1178" s="36">
        <f>YEAR(B1178)</f>
        <v/>
      </c>
      <c r="R1178" s="36">
        <f>"Q"&amp;ROUNDUP(MONTH(B1178)/3,0)</f>
        <v/>
      </c>
      <c r="S1178" s="36">
        <f>MONTH(B1178)</f>
        <v/>
      </c>
      <c r="T1178" s="36">
        <f>TEXT(B1178,"mmm")</f>
        <v/>
      </c>
      <c r="U1178" s="36">
        <f>IF(AND(OR(sel_Region="All",C1178=sel_Region),OR(sel_Country="All",D1178=sel_Country),OR(sel_Channel="All",E1178=sel_Channel),OR(sel_Customer="All",F1178=sel_Customer),OR(sel_Category="All",G1178=sel_Category),OR(sel_Product="All",H1178=sel_Product),AND(S1178&gt;=m_From,S1178&lt;=m_To)),1,0)</f>
        <v/>
      </c>
      <c r="V1178" s="36">
        <f>IF(AND(OR(sel_Region="All",C1178=sel_Region),OR(sel_Channel="All",E1178=sel_Channel),OR(sel_Customer="All",F1178=sel_Customer),OR(sel_Category="All",G1178=sel_Category),OR(sel_Product="All",H1178=sel_Product),AND(S1178&gt;=m_From,S1178&lt;=m_To)),1,0)</f>
        <v/>
      </c>
      <c r="W1178" s="36">
        <f>IF(AND(OR(sel_Region="All",C1178=sel_Region),OR(sel_Country="All",D1178=sel_Country),OR(sel_Customer="All",F1178=sel_Customer),OR(sel_Category="All",G1178=sel_Category),OR(sel_Product="All",H1178=sel_Product),AND(S1178&gt;=m_From,S1178&lt;=m_To)),1,0)</f>
        <v/>
      </c>
      <c r="X1178" s="36">
        <f>IF(AND(OR(sel_Region="All",C1178=sel_Region),OR(sel_Country="All",D1178=sel_Country),OR(sel_Channel="All",E1178=sel_Channel),OR(sel_Category="All",G1178=sel_Category),OR(sel_Product="All",H1178=sel_Product),AND(S1178&gt;=m_From,S1178&lt;=m_To)),1,0)</f>
        <v/>
      </c>
      <c r="Y1178" s="36">
        <f>IF(AND(OR(sel_Region="All",C1178=sel_Region),OR(sel_Country="All",D1178=sel_Country),OR(sel_Channel="All",E1178=sel_Channel),OR(sel_Customer="All",F1178=sel_Customer),OR(sel_Product="All",H1178=sel_Product),AND(S1178&gt;=m_From,S1178&lt;=m_To)),1,0)</f>
        <v/>
      </c>
      <c r="Z1178" s="36">
        <f>IF(AND(OR(sel_Region="All",C1178=sel_Region),OR(sel_Country="All",D1178=sel_Country),OR(sel_Channel="All",E1178=sel_Channel),OR(sel_Customer="All",F1178=sel_Customer),OR(sel_Category="All",G1178=sel_Category),AND(S1178&gt;=m_From,S1178&lt;=m_To)),1,0)</f>
        <v/>
      </c>
      <c r="AA1178" s="36">
        <f>IF(AND(OR(sel_Region="All",C1178=sel_Region),OR(sel_Country="All",D1178=sel_Country),OR(sel_Channel="All",E1178=sel_Channel),OR(sel_Customer="All",F1178=sel_Customer),OR(sel_Category="All",G1178=sel_Category),OR(sel_Product="All",H1178=sel_Product)),1,0)</f>
        <v/>
      </c>
    </row>
    <row r="1179">
      <c r="A1179" s="36" t="inlineStr">
        <is>
          <t>01570</t>
        </is>
      </c>
      <c r="B1179" s="44" t="n">
        <v>46196</v>
      </c>
      <c r="C1179" s="36" t="inlineStr">
        <is>
          <t>Western Europe</t>
        </is>
      </c>
      <c r="D1179" s="36" t="inlineStr">
        <is>
          <t>France</t>
        </is>
      </c>
      <c r="E1179" s="36" t="inlineStr">
        <is>
          <t>Marketplace</t>
        </is>
      </c>
      <c r="F1179" s="36" t="inlineStr">
        <is>
          <t>Returning</t>
        </is>
      </c>
      <c r="G1179" s="36" t="inlineStr">
        <is>
          <t>Camping</t>
        </is>
      </c>
      <c r="H1179" s="36" t="inlineStr">
        <is>
          <t>Alpine Tent 4P</t>
        </is>
      </c>
      <c r="I1179" s="36" t="n">
        <v>1</v>
      </c>
      <c r="J1179" s="39" t="n">
        <v>335.05</v>
      </c>
      <c r="K1179" s="45" t="n">
        <v>0</v>
      </c>
      <c r="L1179" s="39" t="n">
        <v>191.67</v>
      </c>
      <c r="M1179" s="39">
        <f>I1179*J1179*(1-K1179)</f>
        <v/>
      </c>
      <c r="N1179" s="39">
        <f>I1179*L1179</f>
        <v/>
      </c>
      <c r="O1179" s="39">
        <f>M1179-N1179</f>
        <v/>
      </c>
      <c r="P1179" s="38">
        <f>IF(M1179=0,0,O1179/M1179)</f>
        <v/>
      </c>
      <c r="Q1179" s="36">
        <f>YEAR(B1179)</f>
        <v/>
      </c>
      <c r="R1179" s="36">
        <f>"Q"&amp;ROUNDUP(MONTH(B1179)/3,0)</f>
        <v/>
      </c>
      <c r="S1179" s="36">
        <f>MONTH(B1179)</f>
        <v/>
      </c>
      <c r="T1179" s="36">
        <f>TEXT(B1179,"mmm")</f>
        <v/>
      </c>
      <c r="U1179" s="36">
        <f>IF(AND(OR(sel_Region="All",C1179=sel_Region),OR(sel_Country="All",D1179=sel_Country),OR(sel_Channel="All",E1179=sel_Channel),OR(sel_Customer="All",F1179=sel_Customer),OR(sel_Category="All",G1179=sel_Category),OR(sel_Product="All",H1179=sel_Product),AND(S1179&gt;=m_From,S1179&lt;=m_To)),1,0)</f>
        <v/>
      </c>
      <c r="V1179" s="36">
        <f>IF(AND(OR(sel_Region="All",C1179=sel_Region),OR(sel_Channel="All",E1179=sel_Channel),OR(sel_Customer="All",F1179=sel_Customer),OR(sel_Category="All",G1179=sel_Category),OR(sel_Product="All",H1179=sel_Product),AND(S1179&gt;=m_From,S1179&lt;=m_To)),1,0)</f>
        <v/>
      </c>
      <c r="W1179" s="36">
        <f>IF(AND(OR(sel_Region="All",C1179=sel_Region),OR(sel_Country="All",D1179=sel_Country),OR(sel_Customer="All",F1179=sel_Customer),OR(sel_Category="All",G1179=sel_Category),OR(sel_Product="All",H1179=sel_Product),AND(S1179&gt;=m_From,S1179&lt;=m_To)),1,0)</f>
        <v/>
      </c>
      <c r="X1179" s="36">
        <f>IF(AND(OR(sel_Region="All",C1179=sel_Region),OR(sel_Country="All",D1179=sel_Country),OR(sel_Channel="All",E1179=sel_Channel),OR(sel_Category="All",G1179=sel_Category),OR(sel_Product="All",H1179=sel_Product),AND(S1179&gt;=m_From,S1179&lt;=m_To)),1,0)</f>
        <v/>
      </c>
      <c r="Y1179" s="36">
        <f>IF(AND(OR(sel_Region="All",C1179=sel_Region),OR(sel_Country="All",D1179=sel_Country),OR(sel_Channel="All",E1179=sel_Channel),OR(sel_Customer="All",F1179=sel_Customer),OR(sel_Product="All",H1179=sel_Product),AND(S1179&gt;=m_From,S1179&lt;=m_To)),1,0)</f>
        <v/>
      </c>
      <c r="Z1179" s="36">
        <f>IF(AND(OR(sel_Region="All",C1179=sel_Region),OR(sel_Country="All",D1179=sel_Country),OR(sel_Channel="All",E1179=sel_Channel),OR(sel_Customer="All",F1179=sel_Customer),OR(sel_Category="All",G1179=sel_Category),AND(S1179&gt;=m_From,S1179&lt;=m_To)),1,0)</f>
        <v/>
      </c>
      <c r="AA1179" s="36">
        <f>IF(AND(OR(sel_Region="All",C1179=sel_Region),OR(sel_Country="All",D1179=sel_Country),OR(sel_Channel="All",E1179=sel_Channel),OR(sel_Customer="All",F1179=sel_Customer),OR(sel_Category="All",G1179=sel_Category),OR(sel_Product="All",H1179=sel_Product)),1,0)</f>
        <v/>
      </c>
    </row>
    <row r="1180">
      <c r="A1180" s="36" t="inlineStr">
        <is>
          <t>01932</t>
        </is>
      </c>
      <c r="B1180" s="44" t="n">
        <v>46196</v>
      </c>
      <c r="C1180" s="36" t="inlineStr">
        <is>
          <t>Western Europe</t>
        </is>
      </c>
      <c r="D1180" s="36" t="inlineStr">
        <is>
          <t>United Kingdom</t>
        </is>
      </c>
      <c r="E1180" s="36" t="inlineStr">
        <is>
          <t>Online Store</t>
        </is>
      </c>
      <c r="F1180" s="36" t="inlineStr">
        <is>
          <t>New</t>
        </is>
      </c>
      <c r="G1180" s="36" t="inlineStr">
        <is>
          <t>Travel</t>
        </is>
      </c>
      <c r="H1180" s="36" t="inlineStr">
        <is>
          <t>Insulated Bottle</t>
        </is>
      </c>
      <c r="I1180" s="36" t="n">
        <v>1</v>
      </c>
      <c r="J1180" s="39" t="n">
        <v>35.9</v>
      </c>
      <c r="K1180" s="45" t="n">
        <v>0.05</v>
      </c>
      <c r="L1180" s="39" t="n">
        <v>13.81</v>
      </c>
      <c r="M1180" s="39">
        <f>I1180*J1180*(1-K1180)</f>
        <v/>
      </c>
      <c r="N1180" s="39">
        <f>I1180*L1180</f>
        <v/>
      </c>
      <c r="O1180" s="39">
        <f>M1180-N1180</f>
        <v/>
      </c>
      <c r="P1180" s="38">
        <f>IF(M1180=0,0,O1180/M1180)</f>
        <v/>
      </c>
      <c r="Q1180" s="36">
        <f>YEAR(B1180)</f>
        <v/>
      </c>
      <c r="R1180" s="36">
        <f>"Q"&amp;ROUNDUP(MONTH(B1180)/3,0)</f>
        <v/>
      </c>
      <c r="S1180" s="36">
        <f>MONTH(B1180)</f>
        <v/>
      </c>
      <c r="T1180" s="36">
        <f>TEXT(B1180,"mmm")</f>
        <v/>
      </c>
      <c r="U1180" s="36">
        <f>IF(AND(OR(sel_Region="All",C1180=sel_Region),OR(sel_Country="All",D1180=sel_Country),OR(sel_Channel="All",E1180=sel_Channel),OR(sel_Customer="All",F1180=sel_Customer),OR(sel_Category="All",G1180=sel_Category),OR(sel_Product="All",H1180=sel_Product),AND(S1180&gt;=m_From,S1180&lt;=m_To)),1,0)</f>
        <v/>
      </c>
      <c r="V1180" s="36">
        <f>IF(AND(OR(sel_Region="All",C1180=sel_Region),OR(sel_Channel="All",E1180=sel_Channel),OR(sel_Customer="All",F1180=sel_Customer),OR(sel_Category="All",G1180=sel_Category),OR(sel_Product="All",H1180=sel_Product),AND(S1180&gt;=m_From,S1180&lt;=m_To)),1,0)</f>
        <v/>
      </c>
      <c r="W1180" s="36">
        <f>IF(AND(OR(sel_Region="All",C1180=sel_Region),OR(sel_Country="All",D1180=sel_Country),OR(sel_Customer="All",F1180=sel_Customer),OR(sel_Category="All",G1180=sel_Category),OR(sel_Product="All",H1180=sel_Product),AND(S1180&gt;=m_From,S1180&lt;=m_To)),1,0)</f>
        <v/>
      </c>
      <c r="X1180" s="36">
        <f>IF(AND(OR(sel_Region="All",C1180=sel_Region),OR(sel_Country="All",D1180=sel_Country),OR(sel_Channel="All",E1180=sel_Channel),OR(sel_Category="All",G1180=sel_Category),OR(sel_Product="All",H1180=sel_Product),AND(S1180&gt;=m_From,S1180&lt;=m_To)),1,0)</f>
        <v/>
      </c>
      <c r="Y1180" s="36">
        <f>IF(AND(OR(sel_Region="All",C1180=sel_Region),OR(sel_Country="All",D1180=sel_Country),OR(sel_Channel="All",E1180=sel_Channel),OR(sel_Customer="All",F1180=sel_Customer),OR(sel_Product="All",H1180=sel_Product),AND(S1180&gt;=m_From,S1180&lt;=m_To)),1,0)</f>
        <v/>
      </c>
      <c r="Z1180" s="36">
        <f>IF(AND(OR(sel_Region="All",C1180=sel_Region),OR(sel_Country="All",D1180=sel_Country),OR(sel_Channel="All",E1180=sel_Channel),OR(sel_Customer="All",F1180=sel_Customer),OR(sel_Category="All",G1180=sel_Category),AND(S1180&gt;=m_From,S1180&lt;=m_To)),1,0)</f>
        <v/>
      </c>
      <c r="AA1180" s="36">
        <f>IF(AND(OR(sel_Region="All",C1180=sel_Region),OR(sel_Country="All",D1180=sel_Country),OR(sel_Channel="All",E1180=sel_Channel),OR(sel_Customer="All",F1180=sel_Customer),OR(sel_Category="All",G1180=sel_Category),OR(sel_Product="All",H1180=sel_Product)),1,0)</f>
        <v/>
      </c>
    </row>
    <row r="1181">
      <c r="A1181" s="36" t="inlineStr">
        <is>
          <t>04352</t>
        </is>
      </c>
      <c r="B1181" s="44" t="n">
        <v>46196</v>
      </c>
      <c r="C1181" s="36" t="inlineStr">
        <is>
          <t>Western Europe</t>
        </is>
      </c>
      <c r="D1181" s="36" t="inlineStr">
        <is>
          <t>France</t>
        </is>
      </c>
      <c r="E1181" s="36" t="inlineStr">
        <is>
          <t>Online Store</t>
        </is>
      </c>
      <c r="F1181" s="36" t="inlineStr">
        <is>
          <t>Returning</t>
        </is>
      </c>
      <c r="G1181" s="36" t="inlineStr">
        <is>
          <t>Cycling</t>
        </is>
      </c>
      <c r="H1181" s="36" t="inlineStr">
        <is>
          <t>Trail Bike Light</t>
        </is>
      </c>
      <c r="I1181" s="36" t="n">
        <v>6</v>
      </c>
      <c r="J1181" s="39" t="n">
        <v>51.34</v>
      </c>
      <c r="K1181" s="45" t="n">
        <v>0.1</v>
      </c>
      <c r="L1181" s="39" t="n">
        <v>22.47</v>
      </c>
      <c r="M1181" s="39">
        <f>I1181*J1181*(1-K1181)</f>
        <v/>
      </c>
      <c r="N1181" s="39">
        <f>I1181*L1181</f>
        <v/>
      </c>
      <c r="O1181" s="39">
        <f>M1181-N1181</f>
        <v/>
      </c>
      <c r="P1181" s="38">
        <f>IF(M1181=0,0,O1181/M1181)</f>
        <v/>
      </c>
      <c r="Q1181" s="36">
        <f>YEAR(B1181)</f>
        <v/>
      </c>
      <c r="R1181" s="36">
        <f>"Q"&amp;ROUNDUP(MONTH(B1181)/3,0)</f>
        <v/>
      </c>
      <c r="S1181" s="36">
        <f>MONTH(B1181)</f>
        <v/>
      </c>
      <c r="T1181" s="36">
        <f>TEXT(B1181,"mmm")</f>
        <v/>
      </c>
      <c r="U1181" s="36">
        <f>IF(AND(OR(sel_Region="All",C1181=sel_Region),OR(sel_Country="All",D1181=sel_Country),OR(sel_Channel="All",E1181=sel_Channel),OR(sel_Customer="All",F1181=sel_Customer),OR(sel_Category="All",G1181=sel_Category),OR(sel_Product="All",H1181=sel_Product),AND(S1181&gt;=m_From,S1181&lt;=m_To)),1,0)</f>
        <v/>
      </c>
      <c r="V1181" s="36">
        <f>IF(AND(OR(sel_Region="All",C1181=sel_Region),OR(sel_Channel="All",E1181=sel_Channel),OR(sel_Customer="All",F1181=sel_Customer),OR(sel_Category="All",G1181=sel_Category),OR(sel_Product="All",H1181=sel_Product),AND(S1181&gt;=m_From,S1181&lt;=m_To)),1,0)</f>
        <v/>
      </c>
      <c r="W1181" s="36">
        <f>IF(AND(OR(sel_Region="All",C1181=sel_Region),OR(sel_Country="All",D1181=sel_Country),OR(sel_Customer="All",F1181=sel_Customer),OR(sel_Category="All",G1181=sel_Category),OR(sel_Product="All",H1181=sel_Product),AND(S1181&gt;=m_From,S1181&lt;=m_To)),1,0)</f>
        <v/>
      </c>
      <c r="X1181" s="36">
        <f>IF(AND(OR(sel_Region="All",C1181=sel_Region),OR(sel_Country="All",D1181=sel_Country),OR(sel_Channel="All",E1181=sel_Channel),OR(sel_Category="All",G1181=sel_Category),OR(sel_Product="All",H1181=sel_Product),AND(S1181&gt;=m_From,S1181&lt;=m_To)),1,0)</f>
        <v/>
      </c>
      <c r="Y1181" s="36">
        <f>IF(AND(OR(sel_Region="All",C1181=sel_Region),OR(sel_Country="All",D1181=sel_Country),OR(sel_Channel="All",E1181=sel_Channel),OR(sel_Customer="All",F1181=sel_Customer),OR(sel_Product="All",H1181=sel_Product),AND(S1181&gt;=m_From,S1181&lt;=m_To)),1,0)</f>
        <v/>
      </c>
      <c r="Z1181" s="36">
        <f>IF(AND(OR(sel_Region="All",C1181=sel_Region),OR(sel_Country="All",D1181=sel_Country),OR(sel_Channel="All",E1181=sel_Channel),OR(sel_Customer="All",F1181=sel_Customer),OR(sel_Category="All",G1181=sel_Category),AND(S1181&gt;=m_From,S1181&lt;=m_To)),1,0)</f>
        <v/>
      </c>
      <c r="AA1181" s="36">
        <f>IF(AND(OR(sel_Region="All",C1181=sel_Region),OR(sel_Country="All",D1181=sel_Country),OR(sel_Channel="All",E1181=sel_Channel),OR(sel_Customer="All",F1181=sel_Customer),OR(sel_Category="All",G1181=sel_Category),OR(sel_Product="All",H1181=sel_Product)),1,0)</f>
        <v/>
      </c>
    </row>
    <row r="1182">
      <c r="A1182" s="36" t="inlineStr">
        <is>
          <t>04561</t>
        </is>
      </c>
      <c r="B1182" s="44" t="n">
        <v>46196</v>
      </c>
      <c r="C1182" s="36" t="inlineStr">
        <is>
          <t>Southern Europe</t>
        </is>
      </c>
      <c r="D1182" s="36" t="inlineStr">
        <is>
          <t>Spain</t>
        </is>
      </c>
      <c r="E1182" s="36" t="inlineStr">
        <is>
          <t>Retail Partners</t>
        </is>
      </c>
      <c r="F1182" s="36" t="inlineStr">
        <is>
          <t>Returning</t>
        </is>
      </c>
      <c r="G1182" s="36" t="inlineStr">
        <is>
          <t>Hiking</t>
        </is>
      </c>
      <c r="H1182" s="36" t="inlineStr">
        <is>
          <t>Summit Backpack 45L</t>
        </is>
      </c>
      <c r="I1182" s="36" t="n">
        <v>1</v>
      </c>
      <c r="J1182" s="39" t="n">
        <v>157.91</v>
      </c>
      <c r="K1182" s="45" t="n">
        <v>0</v>
      </c>
      <c r="L1182" s="39" t="n">
        <v>77.12</v>
      </c>
      <c r="M1182" s="39">
        <f>I1182*J1182*(1-K1182)</f>
        <v/>
      </c>
      <c r="N1182" s="39">
        <f>I1182*L1182</f>
        <v/>
      </c>
      <c r="O1182" s="39">
        <f>M1182-N1182</f>
        <v/>
      </c>
      <c r="P1182" s="38">
        <f>IF(M1182=0,0,O1182/M1182)</f>
        <v/>
      </c>
      <c r="Q1182" s="36">
        <f>YEAR(B1182)</f>
        <v/>
      </c>
      <c r="R1182" s="36">
        <f>"Q"&amp;ROUNDUP(MONTH(B1182)/3,0)</f>
        <v/>
      </c>
      <c r="S1182" s="36">
        <f>MONTH(B1182)</f>
        <v/>
      </c>
      <c r="T1182" s="36">
        <f>TEXT(B1182,"mmm")</f>
        <v/>
      </c>
      <c r="U1182" s="36">
        <f>IF(AND(OR(sel_Region="All",C1182=sel_Region),OR(sel_Country="All",D1182=sel_Country),OR(sel_Channel="All",E1182=sel_Channel),OR(sel_Customer="All",F1182=sel_Customer),OR(sel_Category="All",G1182=sel_Category),OR(sel_Product="All",H1182=sel_Product),AND(S1182&gt;=m_From,S1182&lt;=m_To)),1,0)</f>
        <v/>
      </c>
      <c r="V1182" s="36">
        <f>IF(AND(OR(sel_Region="All",C1182=sel_Region),OR(sel_Channel="All",E1182=sel_Channel),OR(sel_Customer="All",F1182=sel_Customer),OR(sel_Category="All",G1182=sel_Category),OR(sel_Product="All",H1182=sel_Product),AND(S1182&gt;=m_From,S1182&lt;=m_To)),1,0)</f>
        <v/>
      </c>
      <c r="W1182" s="36">
        <f>IF(AND(OR(sel_Region="All",C1182=sel_Region),OR(sel_Country="All",D1182=sel_Country),OR(sel_Customer="All",F1182=sel_Customer),OR(sel_Category="All",G1182=sel_Category),OR(sel_Product="All",H1182=sel_Product),AND(S1182&gt;=m_From,S1182&lt;=m_To)),1,0)</f>
        <v/>
      </c>
      <c r="X1182" s="36">
        <f>IF(AND(OR(sel_Region="All",C1182=sel_Region),OR(sel_Country="All",D1182=sel_Country),OR(sel_Channel="All",E1182=sel_Channel),OR(sel_Category="All",G1182=sel_Category),OR(sel_Product="All",H1182=sel_Product),AND(S1182&gt;=m_From,S1182&lt;=m_To)),1,0)</f>
        <v/>
      </c>
      <c r="Y1182" s="36">
        <f>IF(AND(OR(sel_Region="All",C1182=sel_Region),OR(sel_Country="All",D1182=sel_Country),OR(sel_Channel="All",E1182=sel_Channel),OR(sel_Customer="All",F1182=sel_Customer),OR(sel_Product="All",H1182=sel_Product),AND(S1182&gt;=m_From,S1182&lt;=m_To)),1,0)</f>
        <v/>
      </c>
      <c r="Z1182" s="36">
        <f>IF(AND(OR(sel_Region="All",C1182=sel_Region),OR(sel_Country="All",D1182=sel_Country),OR(sel_Channel="All",E1182=sel_Channel),OR(sel_Customer="All",F1182=sel_Customer),OR(sel_Category="All",G1182=sel_Category),AND(S1182&gt;=m_From,S1182&lt;=m_To)),1,0)</f>
        <v/>
      </c>
      <c r="AA1182" s="36">
        <f>IF(AND(OR(sel_Region="All",C1182=sel_Region),OR(sel_Country="All",D1182=sel_Country),OR(sel_Channel="All",E1182=sel_Channel),OR(sel_Customer="All",F1182=sel_Customer),OR(sel_Category="All",G1182=sel_Category),OR(sel_Product="All",H1182=sel_Product)),1,0)</f>
        <v/>
      </c>
    </row>
    <row r="1183">
      <c r="A1183" s="36" t="inlineStr">
        <is>
          <t>04741</t>
        </is>
      </c>
      <c r="B1183" s="44" t="n">
        <v>46196</v>
      </c>
      <c r="C1183" s="36" t="inlineStr">
        <is>
          <t>Western Europe</t>
        </is>
      </c>
      <c r="D1183" s="36" t="inlineStr">
        <is>
          <t>France</t>
        </is>
      </c>
      <c r="E1183" s="36" t="inlineStr">
        <is>
          <t>Online Store</t>
        </is>
      </c>
      <c r="F1183" s="36" t="inlineStr">
        <is>
          <t>New</t>
        </is>
      </c>
      <c r="G1183" s="36" t="inlineStr">
        <is>
          <t>Cycling</t>
        </is>
      </c>
      <c r="H1183" s="36" t="inlineStr">
        <is>
          <t>Compact Repair Kit</t>
        </is>
      </c>
      <c r="I1183" s="36" t="n">
        <v>3</v>
      </c>
      <c r="J1183" s="39" t="n">
        <v>41.09</v>
      </c>
      <c r="K1183" s="45" t="n">
        <v>0.05</v>
      </c>
      <c r="L1183" s="39" t="n">
        <v>16.81</v>
      </c>
      <c r="M1183" s="39">
        <f>I1183*J1183*(1-K1183)</f>
        <v/>
      </c>
      <c r="N1183" s="39">
        <f>I1183*L1183</f>
        <v/>
      </c>
      <c r="O1183" s="39">
        <f>M1183-N1183</f>
        <v/>
      </c>
      <c r="P1183" s="38">
        <f>IF(M1183=0,0,O1183/M1183)</f>
        <v/>
      </c>
      <c r="Q1183" s="36">
        <f>YEAR(B1183)</f>
        <v/>
      </c>
      <c r="R1183" s="36">
        <f>"Q"&amp;ROUNDUP(MONTH(B1183)/3,0)</f>
        <v/>
      </c>
      <c r="S1183" s="36">
        <f>MONTH(B1183)</f>
        <v/>
      </c>
      <c r="T1183" s="36">
        <f>TEXT(B1183,"mmm")</f>
        <v/>
      </c>
      <c r="U1183" s="36">
        <f>IF(AND(OR(sel_Region="All",C1183=sel_Region),OR(sel_Country="All",D1183=sel_Country),OR(sel_Channel="All",E1183=sel_Channel),OR(sel_Customer="All",F1183=sel_Customer),OR(sel_Category="All",G1183=sel_Category),OR(sel_Product="All",H1183=sel_Product),AND(S1183&gt;=m_From,S1183&lt;=m_To)),1,0)</f>
        <v/>
      </c>
      <c r="V1183" s="36">
        <f>IF(AND(OR(sel_Region="All",C1183=sel_Region),OR(sel_Channel="All",E1183=sel_Channel),OR(sel_Customer="All",F1183=sel_Customer),OR(sel_Category="All",G1183=sel_Category),OR(sel_Product="All",H1183=sel_Product),AND(S1183&gt;=m_From,S1183&lt;=m_To)),1,0)</f>
        <v/>
      </c>
      <c r="W1183" s="36">
        <f>IF(AND(OR(sel_Region="All",C1183=sel_Region),OR(sel_Country="All",D1183=sel_Country),OR(sel_Customer="All",F1183=sel_Customer),OR(sel_Category="All",G1183=sel_Category),OR(sel_Product="All",H1183=sel_Product),AND(S1183&gt;=m_From,S1183&lt;=m_To)),1,0)</f>
        <v/>
      </c>
      <c r="X1183" s="36">
        <f>IF(AND(OR(sel_Region="All",C1183=sel_Region),OR(sel_Country="All",D1183=sel_Country),OR(sel_Channel="All",E1183=sel_Channel),OR(sel_Category="All",G1183=sel_Category),OR(sel_Product="All",H1183=sel_Product),AND(S1183&gt;=m_From,S1183&lt;=m_To)),1,0)</f>
        <v/>
      </c>
      <c r="Y1183" s="36">
        <f>IF(AND(OR(sel_Region="All",C1183=sel_Region),OR(sel_Country="All",D1183=sel_Country),OR(sel_Channel="All",E1183=sel_Channel),OR(sel_Customer="All",F1183=sel_Customer),OR(sel_Product="All",H1183=sel_Product),AND(S1183&gt;=m_From,S1183&lt;=m_To)),1,0)</f>
        <v/>
      </c>
      <c r="Z1183" s="36">
        <f>IF(AND(OR(sel_Region="All",C1183=sel_Region),OR(sel_Country="All",D1183=sel_Country),OR(sel_Channel="All",E1183=sel_Channel),OR(sel_Customer="All",F1183=sel_Customer),OR(sel_Category="All",G1183=sel_Category),AND(S1183&gt;=m_From,S1183&lt;=m_To)),1,0)</f>
        <v/>
      </c>
      <c r="AA1183" s="36">
        <f>IF(AND(OR(sel_Region="All",C1183=sel_Region),OR(sel_Country="All",D1183=sel_Country),OR(sel_Channel="All",E1183=sel_Channel),OR(sel_Customer="All",F1183=sel_Customer),OR(sel_Category="All",G1183=sel_Category),OR(sel_Product="All",H1183=sel_Product)),1,0)</f>
        <v/>
      </c>
    </row>
    <row r="1184">
      <c r="A1184" s="36" t="inlineStr">
        <is>
          <t>04882</t>
        </is>
      </c>
      <c r="B1184" s="44" t="n">
        <v>46196</v>
      </c>
      <c r="C1184" s="36" t="inlineStr">
        <is>
          <t>Central Europe</t>
        </is>
      </c>
      <c r="D1184" s="36" t="inlineStr">
        <is>
          <t>Germany</t>
        </is>
      </c>
      <c r="E1184" s="36" t="inlineStr">
        <is>
          <t>Online Store</t>
        </is>
      </c>
      <c r="F1184" s="36" t="inlineStr">
        <is>
          <t>Returning</t>
        </is>
      </c>
      <c r="G1184" s="36" t="inlineStr">
        <is>
          <t>Camping</t>
        </is>
      </c>
      <c r="H1184" s="36" t="inlineStr">
        <is>
          <t>Compact Sleeping Bag</t>
        </is>
      </c>
      <c r="I1184" s="36" t="n">
        <v>2</v>
      </c>
      <c r="J1184" s="39" t="n">
        <v>120.18</v>
      </c>
      <c r="K1184" s="45" t="n">
        <v>0.05</v>
      </c>
      <c r="L1184" s="39" t="n">
        <v>59.4</v>
      </c>
      <c r="M1184" s="39">
        <f>I1184*J1184*(1-K1184)</f>
        <v/>
      </c>
      <c r="N1184" s="39">
        <f>I1184*L1184</f>
        <v/>
      </c>
      <c r="O1184" s="39">
        <f>M1184-N1184</f>
        <v/>
      </c>
      <c r="P1184" s="38">
        <f>IF(M1184=0,0,O1184/M1184)</f>
        <v/>
      </c>
      <c r="Q1184" s="36">
        <f>YEAR(B1184)</f>
        <v/>
      </c>
      <c r="R1184" s="36">
        <f>"Q"&amp;ROUNDUP(MONTH(B1184)/3,0)</f>
        <v/>
      </c>
      <c r="S1184" s="36">
        <f>MONTH(B1184)</f>
        <v/>
      </c>
      <c r="T1184" s="36">
        <f>TEXT(B1184,"mmm")</f>
        <v/>
      </c>
      <c r="U1184" s="36">
        <f>IF(AND(OR(sel_Region="All",C1184=sel_Region),OR(sel_Country="All",D1184=sel_Country),OR(sel_Channel="All",E1184=sel_Channel),OR(sel_Customer="All",F1184=sel_Customer),OR(sel_Category="All",G1184=sel_Category),OR(sel_Product="All",H1184=sel_Product),AND(S1184&gt;=m_From,S1184&lt;=m_To)),1,0)</f>
        <v/>
      </c>
      <c r="V1184" s="36">
        <f>IF(AND(OR(sel_Region="All",C1184=sel_Region),OR(sel_Channel="All",E1184=sel_Channel),OR(sel_Customer="All",F1184=sel_Customer),OR(sel_Category="All",G1184=sel_Category),OR(sel_Product="All",H1184=sel_Product),AND(S1184&gt;=m_From,S1184&lt;=m_To)),1,0)</f>
        <v/>
      </c>
      <c r="W1184" s="36">
        <f>IF(AND(OR(sel_Region="All",C1184=sel_Region),OR(sel_Country="All",D1184=sel_Country),OR(sel_Customer="All",F1184=sel_Customer),OR(sel_Category="All",G1184=sel_Category),OR(sel_Product="All",H1184=sel_Product),AND(S1184&gt;=m_From,S1184&lt;=m_To)),1,0)</f>
        <v/>
      </c>
      <c r="X1184" s="36">
        <f>IF(AND(OR(sel_Region="All",C1184=sel_Region),OR(sel_Country="All",D1184=sel_Country),OR(sel_Channel="All",E1184=sel_Channel),OR(sel_Category="All",G1184=sel_Category),OR(sel_Product="All",H1184=sel_Product),AND(S1184&gt;=m_From,S1184&lt;=m_To)),1,0)</f>
        <v/>
      </c>
      <c r="Y1184" s="36">
        <f>IF(AND(OR(sel_Region="All",C1184=sel_Region),OR(sel_Country="All",D1184=sel_Country),OR(sel_Channel="All",E1184=sel_Channel),OR(sel_Customer="All",F1184=sel_Customer),OR(sel_Product="All",H1184=sel_Product),AND(S1184&gt;=m_From,S1184&lt;=m_To)),1,0)</f>
        <v/>
      </c>
      <c r="Z1184" s="36">
        <f>IF(AND(OR(sel_Region="All",C1184=sel_Region),OR(sel_Country="All",D1184=sel_Country),OR(sel_Channel="All",E1184=sel_Channel),OR(sel_Customer="All",F1184=sel_Customer),OR(sel_Category="All",G1184=sel_Category),AND(S1184&gt;=m_From,S1184&lt;=m_To)),1,0)</f>
        <v/>
      </c>
      <c r="AA1184" s="36">
        <f>IF(AND(OR(sel_Region="All",C1184=sel_Region),OR(sel_Country="All",D1184=sel_Country),OR(sel_Channel="All",E1184=sel_Channel),OR(sel_Customer="All",F1184=sel_Customer),OR(sel_Category="All",G1184=sel_Category),OR(sel_Product="All",H1184=sel_Product)),1,0)</f>
        <v/>
      </c>
    </row>
    <row r="1185">
      <c r="A1185" s="36" t="inlineStr">
        <is>
          <t>04885</t>
        </is>
      </c>
      <c r="B1185" s="44" t="n">
        <v>46196</v>
      </c>
      <c r="C1185" s="36" t="inlineStr">
        <is>
          <t>Western Europe</t>
        </is>
      </c>
      <c r="D1185" s="36" t="inlineStr">
        <is>
          <t>France</t>
        </is>
      </c>
      <c r="E1185" s="36" t="inlineStr">
        <is>
          <t>Marketplace</t>
        </is>
      </c>
      <c r="F1185" s="36" t="inlineStr">
        <is>
          <t>New</t>
        </is>
      </c>
      <c r="G1185" s="36" t="inlineStr">
        <is>
          <t>Camping</t>
        </is>
      </c>
      <c r="H1185" s="36" t="inlineStr">
        <is>
          <t>Trail Tent 2P</t>
        </is>
      </c>
      <c r="I1185" s="36" t="n">
        <v>1</v>
      </c>
      <c r="J1185" s="39" t="n">
        <v>198.1</v>
      </c>
      <c r="K1185" s="45" t="n">
        <v>0.1</v>
      </c>
      <c r="L1185" s="39" t="n">
        <v>103.46</v>
      </c>
      <c r="M1185" s="39">
        <f>I1185*J1185*(1-K1185)</f>
        <v/>
      </c>
      <c r="N1185" s="39">
        <f>I1185*L1185</f>
        <v/>
      </c>
      <c r="O1185" s="39">
        <f>M1185-N1185</f>
        <v/>
      </c>
      <c r="P1185" s="38">
        <f>IF(M1185=0,0,O1185/M1185)</f>
        <v/>
      </c>
      <c r="Q1185" s="36">
        <f>YEAR(B1185)</f>
        <v/>
      </c>
      <c r="R1185" s="36">
        <f>"Q"&amp;ROUNDUP(MONTH(B1185)/3,0)</f>
        <v/>
      </c>
      <c r="S1185" s="36">
        <f>MONTH(B1185)</f>
        <v/>
      </c>
      <c r="T1185" s="36">
        <f>TEXT(B1185,"mmm")</f>
        <v/>
      </c>
      <c r="U1185" s="36">
        <f>IF(AND(OR(sel_Region="All",C1185=sel_Region),OR(sel_Country="All",D1185=sel_Country),OR(sel_Channel="All",E1185=sel_Channel),OR(sel_Customer="All",F1185=sel_Customer),OR(sel_Category="All",G1185=sel_Category),OR(sel_Product="All",H1185=sel_Product),AND(S1185&gt;=m_From,S1185&lt;=m_To)),1,0)</f>
        <v/>
      </c>
      <c r="V1185" s="36">
        <f>IF(AND(OR(sel_Region="All",C1185=sel_Region),OR(sel_Channel="All",E1185=sel_Channel),OR(sel_Customer="All",F1185=sel_Customer),OR(sel_Category="All",G1185=sel_Category),OR(sel_Product="All",H1185=sel_Product),AND(S1185&gt;=m_From,S1185&lt;=m_To)),1,0)</f>
        <v/>
      </c>
      <c r="W1185" s="36">
        <f>IF(AND(OR(sel_Region="All",C1185=sel_Region),OR(sel_Country="All",D1185=sel_Country),OR(sel_Customer="All",F1185=sel_Customer),OR(sel_Category="All",G1185=sel_Category),OR(sel_Product="All",H1185=sel_Product),AND(S1185&gt;=m_From,S1185&lt;=m_To)),1,0)</f>
        <v/>
      </c>
      <c r="X1185" s="36">
        <f>IF(AND(OR(sel_Region="All",C1185=sel_Region),OR(sel_Country="All",D1185=sel_Country),OR(sel_Channel="All",E1185=sel_Channel),OR(sel_Category="All",G1185=sel_Category),OR(sel_Product="All",H1185=sel_Product),AND(S1185&gt;=m_From,S1185&lt;=m_To)),1,0)</f>
        <v/>
      </c>
      <c r="Y1185" s="36">
        <f>IF(AND(OR(sel_Region="All",C1185=sel_Region),OR(sel_Country="All",D1185=sel_Country),OR(sel_Channel="All",E1185=sel_Channel),OR(sel_Customer="All",F1185=sel_Customer),OR(sel_Product="All",H1185=sel_Product),AND(S1185&gt;=m_From,S1185&lt;=m_To)),1,0)</f>
        <v/>
      </c>
      <c r="Z1185" s="36">
        <f>IF(AND(OR(sel_Region="All",C1185=sel_Region),OR(sel_Country="All",D1185=sel_Country),OR(sel_Channel="All",E1185=sel_Channel),OR(sel_Customer="All",F1185=sel_Customer),OR(sel_Category="All",G1185=sel_Category),AND(S1185&gt;=m_From,S1185&lt;=m_To)),1,0)</f>
        <v/>
      </c>
      <c r="AA1185" s="36">
        <f>IF(AND(OR(sel_Region="All",C1185=sel_Region),OR(sel_Country="All",D1185=sel_Country),OR(sel_Channel="All",E1185=sel_Channel),OR(sel_Customer="All",F1185=sel_Customer),OR(sel_Category="All",G1185=sel_Category),OR(sel_Product="All",H1185=sel_Product)),1,0)</f>
        <v/>
      </c>
    </row>
    <row r="1186">
      <c r="A1186" s="36" t="inlineStr">
        <is>
          <t>04982</t>
        </is>
      </c>
      <c r="B1186" s="44" t="n">
        <v>46196</v>
      </c>
      <c r="C1186" s="36" t="inlineStr">
        <is>
          <t>Northern Europe</t>
        </is>
      </c>
      <c r="D1186" s="36" t="inlineStr">
        <is>
          <t>Finland</t>
        </is>
      </c>
      <c r="E1186" s="36" t="inlineStr">
        <is>
          <t>Online Store</t>
        </is>
      </c>
      <c r="F1186" s="36" t="inlineStr">
        <is>
          <t>Returning</t>
        </is>
      </c>
      <c r="G1186" s="36" t="inlineStr">
        <is>
          <t>Travel</t>
        </is>
      </c>
      <c r="H1186" s="36" t="inlineStr">
        <is>
          <t>Insulated Bottle</t>
        </is>
      </c>
      <c r="I1186" s="36" t="n">
        <v>1</v>
      </c>
      <c r="J1186" s="39" t="n">
        <v>36.7</v>
      </c>
      <c r="K1186" s="45" t="n">
        <v>0.15</v>
      </c>
      <c r="L1186" s="39" t="n">
        <v>13.59</v>
      </c>
      <c r="M1186" s="39">
        <f>I1186*J1186*(1-K1186)</f>
        <v/>
      </c>
      <c r="N1186" s="39">
        <f>I1186*L1186</f>
        <v/>
      </c>
      <c r="O1186" s="39">
        <f>M1186-N1186</f>
        <v/>
      </c>
      <c r="P1186" s="38">
        <f>IF(M1186=0,0,O1186/M1186)</f>
        <v/>
      </c>
      <c r="Q1186" s="36">
        <f>YEAR(B1186)</f>
        <v/>
      </c>
      <c r="R1186" s="36">
        <f>"Q"&amp;ROUNDUP(MONTH(B1186)/3,0)</f>
        <v/>
      </c>
      <c r="S1186" s="36">
        <f>MONTH(B1186)</f>
        <v/>
      </c>
      <c r="T1186" s="36">
        <f>TEXT(B1186,"mmm")</f>
        <v/>
      </c>
      <c r="U1186" s="36">
        <f>IF(AND(OR(sel_Region="All",C1186=sel_Region),OR(sel_Country="All",D1186=sel_Country),OR(sel_Channel="All",E1186=sel_Channel),OR(sel_Customer="All",F1186=sel_Customer),OR(sel_Category="All",G1186=sel_Category),OR(sel_Product="All",H1186=sel_Product),AND(S1186&gt;=m_From,S1186&lt;=m_To)),1,0)</f>
        <v/>
      </c>
      <c r="V1186" s="36">
        <f>IF(AND(OR(sel_Region="All",C1186=sel_Region),OR(sel_Channel="All",E1186=sel_Channel),OR(sel_Customer="All",F1186=sel_Customer),OR(sel_Category="All",G1186=sel_Category),OR(sel_Product="All",H1186=sel_Product),AND(S1186&gt;=m_From,S1186&lt;=m_To)),1,0)</f>
        <v/>
      </c>
      <c r="W1186" s="36">
        <f>IF(AND(OR(sel_Region="All",C1186=sel_Region),OR(sel_Country="All",D1186=sel_Country),OR(sel_Customer="All",F1186=sel_Customer),OR(sel_Category="All",G1186=sel_Category),OR(sel_Product="All",H1186=sel_Product),AND(S1186&gt;=m_From,S1186&lt;=m_To)),1,0)</f>
        <v/>
      </c>
      <c r="X1186" s="36">
        <f>IF(AND(OR(sel_Region="All",C1186=sel_Region),OR(sel_Country="All",D1186=sel_Country),OR(sel_Channel="All",E1186=sel_Channel),OR(sel_Category="All",G1186=sel_Category),OR(sel_Product="All",H1186=sel_Product),AND(S1186&gt;=m_From,S1186&lt;=m_To)),1,0)</f>
        <v/>
      </c>
      <c r="Y1186" s="36">
        <f>IF(AND(OR(sel_Region="All",C1186=sel_Region),OR(sel_Country="All",D1186=sel_Country),OR(sel_Channel="All",E1186=sel_Channel),OR(sel_Customer="All",F1186=sel_Customer),OR(sel_Product="All",H1186=sel_Product),AND(S1186&gt;=m_From,S1186&lt;=m_To)),1,0)</f>
        <v/>
      </c>
      <c r="Z1186" s="36">
        <f>IF(AND(OR(sel_Region="All",C1186=sel_Region),OR(sel_Country="All",D1186=sel_Country),OR(sel_Channel="All",E1186=sel_Channel),OR(sel_Customer="All",F1186=sel_Customer),OR(sel_Category="All",G1186=sel_Category),AND(S1186&gt;=m_From,S1186&lt;=m_To)),1,0)</f>
        <v/>
      </c>
      <c r="AA1186" s="36">
        <f>IF(AND(OR(sel_Region="All",C1186=sel_Region),OR(sel_Country="All",D1186=sel_Country),OR(sel_Channel="All",E1186=sel_Channel),OR(sel_Customer="All",F1186=sel_Customer),OR(sel_Category="All",G1186=sel_Category),OR(sel_Product="All",H1186=sel_Product)),1,0)</f>
        <v/>
      </c>
    </row>
    <row r="1187">
      <c r="A1187" s="36" t="inlineStr">
        <is>
          <t>00040</t>
        </is>
      </c>
      <c r="B1187" s="44" t="n">
        <v>46197</v>
      </c>
      <c r="C1187" s="36" t="inlineStr">
        <is>
          <t>Western Europe</t>
        </is>
      </c>
      <c r="D1187" s="36" t="inlineStr">
        <is>
          <t>Netherlands</t>
        </is>
      </c>
      <c r="E1187" s="36" t="inlineStr">
        <is>
          <t>Retail Partners</t>
        </is>
      </c>
      <c r="F1187" s="36" t="inlineStr">
        <is>
          <t>New</t>
        </is>
      </c>
      <c r="G1187" s="36" t="inlineStr">
        <is>
          <t>Travel</t>
        </is>
      </c>
      <c r="H1187" s="36" t="inlineStr">
        <is>
          <t>Travel Backpack 35L</t>
        </is>
      </c>
      <c r="I1187" s="36" t="n">
        <v>1</v>
      </c>
      <c r="J1187" s="39" t="n">
        <v>167.23</v>
      </c>
      <c r="K1187" s="45" t="n">
        <v>0.05</v>
      </c>
      <c r="L1187" s="39" t="n">
        <v>85.14</v>
      </c>
      <c r="M1187" s="39">
        <f>I1187*J1187*(1-K1187)</f>
        <v/>
      </c>
      <c r="N1187" s="39">
        <f>I1187*L1187</f>
        <v/>
      </c>
      <c r="O1187" s="39">
        <f>M1187-N1187</f>
        <v/>
      </c>
      <c r="P1187" s="38">
        <f>IF(M1187=0,0,O1187/M1187)</f>
        <v/>
      </c>
      <c r="Q1187" s="36">
        <f>YEAR(B1187)</f>
        <v/>
      </c>
      <c r="R1187" s="36">
        <f>"Q"&amp;ROUNDUP(MONTH(B1187)/3,0)</f>
        <v/>
      </c>
      <c r="S1187" s="36">
        <f>MONTH(B1187)</f>
        <v/>
      </c>
      <c r="T1187" s="36">
        <f>TEXT(B1187,"mmm")</f>
        <v/>
      </c>
      <c r="U1187" s="36">
        <f>IF(AND(OR(sel_Region="All",C1187=sel_Region),OR(sel_Country="All",D1187=sel_Country),OR(sel_Channel="All",E1187=sel_Channel),OR(sel_Customer="All",F1187=sel_Customer),OR(sel_Category="All",G1187=sel_Category),OR(sel_Product="All",H1187=sel_Product),AND(S1187&gt;=m_From,S1187&lt;=m_To)),1,0)</f>
        <v/>
      </c>
      <c r="V1187" s="36">
        <f>IF(AND(OR(sel_Region="All",C1187=sel_Region),OR(sel_Channel="All",E1187=sel_Channel),OR(sel_Customer="All",F1187=sel_Customer),OR(sel_Category="All",G1187=sel_Category),OR(sel_Product="All",H1187=sel_Product),AND(S1187&gt;=m_From,S1187&lt;=m_To)),1,0)</f>
        <v/>
      </c>
      <c r="W1187" s="36">
        <f>IF(AND(OR(sel_Region="All",C1187=sel_Region),OR(sel_Country="All",D1187=sel_Country),OR(sel_Customer="All",F1187=sel_Customer),OR(sel_Category="All",G1187=sel_Category),OR(sel_Product="All",H1187=sel_Product),AND(S1187&gt;=m_From,S1187&lt;=m_To)),1,0)</f>
        <v/>
      </c>
      <c r="X1187" s="36">
        <f>IF(AND(OR(sel_Region="All",C1187=sel_Region),OR(sel_Country="All",D1187=sel_Country),OR(sel_Channel="All",E1187=sel_Channel),OR(sel_Category="All",G1187=sel_Category),OR(sel_Product="All",H1187=sel_Product),AND(S1187&gt;=m_From,S1187&lt;=m_To)),1,0)</f>
        <v/>
      </c>
      <c r="Y1187" s="36">
        <f>IF(AND(OR(sel_Region="All",C1187=sel_Region),OR(sel_Country="All",D1187=sel_Country),OR(sel_Channel="All",E1187=sel_Channel),OR(sel_Customer="All",F1187=sel_Customer),OR(sel_Product="All",H1187=sel_Product),AND(S1187&gt;=m_From,S1187&lt;=m_To)),1,0)</f>
        <v/>
      </c>
      <c r="Z1187" s="36">
        <f>IF(AND(OR(sel_Region="All",C1187=sel_Region),OR(sel_Country="All",D1187=sel_Country),OR(sel_Channel="All",E1187=sel_Channel),OR(sel_Customer="All",F1187=sel_Customer),OR(sel_Category="All",G1187=sel_Category),AND(S1187&gt;=m_From,S1187&lt;=m_To)),1,0)</f>
        <v/>
      </c>
      <c r="AA1187" s="36">
        <f>IF(AND(OR(sel_Region="All",C1187=sel_Region),OR(sel_Country="All",D1187=sel_Country),OR(sel_Channel="All",E1187=sel_Channel),OR(sel_Customer="All",F1187=sel_Customer),OR(sel_Category="All",G1187=sel_Category),OR(sel_Product="All",H1187=sel_Product)),1,0)</f>
        <v/>
      </c>
    </row>
    <row r="1188">
      <c r="A1188" s="36" t="inlineStr">
        <is>
          <t>00110</t>
        </is>
      </c>
      <c r="B1188" s="44" t="n">
        <v>46197</v>
      </c>
      <c r="C1188" s="36" t="inlineStr">
        <is>
          <t>Central Europe</t>
        </is>
      </c>
      <c r="D1188" s="36" t="inlineStr">
        <is>
          <t>Germany</t>
        </is>
      </c>
      <c r="E1188" s="36" t="inlineStr">
        <is>
          <t>Retail Partners</t>
        </is>
      </c>
      <c r="F1188" s="36" t="inlineStr">
        <is>
          <t>Business</t>
        </is>
      </c>
      <c r="G1188" s="36" t="inlineStr">
        <is>
          <t>Hiking</t>
        </is>
      </c>
      <c r="H1188" s="36" t="inlineStr">
        <is>
          <t>Trekking Poles</t>
        </is>
      </c>
      <c r="I1188" s="36" t="n">
        <v>2</v>
      </c>
      <c r="J1188" s="39" t="n">
        <v>72.97</v>
      </c>
      <c r="K1188" s="45" t="n">
        <v>0</v>
      </c>
      <c r="L1188" s="39" t="n">
        <v>31.57</v>
      </c>
      <c r="M1188" s="39">
        <f>I1188*J1188*(1-K1188)</f>
        <v/>
      </c>
      <c r="N1188" s="39">
        <f>I1188*L1188</f>
        <v/>
      </c>
      <c r="O1188" s="39">
        <f>M1188-N1188</f>
        <v/>
      </c>
      <c r="P1188" s="38">
        <f>IF(M1188=0,0,O1188/M1188)</f>
        <v/>
      </c>
      <c r="Q1188" s="36">
        <f>YEAR(B1188)</f>
        <v/>
      </c>
      <c r="R1188" s="36">
        <f>"Q"&amp;ROUNDUP(MONTH(B1188)/3,0)</f>
        <v/>
      </c>
      <c r="S1188" s="36">
        <f>MONTH(B1188)</f>
        <v/>
      </c>
      <c r="T1188" s="36">
        <f>TEXT(B1188,"mmm")</f>
        <v/>
      </c>
      <c r="U1188" s="36">
        <f>IF(AND(OR(sel_Region="All",C1188=sel_Region),OR(sel_Country="All",D1188=sel_Country),OR(sel_Channel="All",E1188=sel_Channel),OR(sel_Customer="All",F1188=sel_Customer),OR(sel_Category="All",G1188=sel_Category),OR(sel_Product="All",H1188=sel_Product),AND(S1188&gt;=m_From,S1188&lt;=m_To)),1,0)</f>
        <v/>
      </c>
      <c r="V1188" s="36">
        <f>IF(AND(OR(sel_Region="All",C1188=sel_Region),OR(sel_Channel="All",E1188=sel_Channel),OR(sel_Customer="All",F1188=sel_Customer),OR(sel_Category="All",G1188=sel_Category),OR(sel_Product="All",H1188=sel_Product),AND(S1188&gt;=m_From,S1188&lt;=m_To)),1,0)</f>
        <v/>
      </c>
      <c r="W1188" s="36">
        <f>IF(AND(OR(sel_Region="All",C1188=sel_Region),OR(sel_Country="All",D1188=sel_Country),OR(sel_Customer="All",F1188=sel_Customer),OR(sel_Category="All",G1188=sel_Category),OR(sel_Product="All",H1188=sel_Product),AND(S1188&gt;=m_From,S1188&lt;=m_To)),1,0)</f>
        <v/>
      </c>
      <c r="X1188" s="36">
        <f>IF(AND(OR(sel_Region="All",C1188=sel_Region),OR(sel_Country="All",D1188=sel_Country),OR(sel_Channel="All",E1188=sel_Channel),OR(sel_Category="All",G1188=sel_Category),OR(sel_Product="All",H1188=sel_Product),AND(S1188&gt;=m_From,S1188&lt;=m_To)),1,0)</f>
        <v/>
      </c>
      <c r="Y1188" s="36">
        <f>IF(AND(OR(sel_Region="All",C1188=sel_Region),OR(sel_Country="All",D1188=sel_Country),OR(sel_Channel="All",E1188=sel_Channel),OR(sel_Customer="All",F1188=sel_Customer),OR(sel_Product="All",H1188=sel_Product),AND(S1188&gt;=m_From,S1188&lt;=m_To)),1,0)</f>
        <v/>
      </c>
      <c r="Z1188" s="36">
        <f>IF(AND(OR(sel_Region="All",C1188=sel_Region),OR(sel_Country="All",D1188=sel_Country),OR(sel_Channel="All",E1188=sel_Channel),OR(sel_Customer="All",F1188=sel_Customer),OR(sel_Category="All",G1188=sel_Category),AND(S1188&gt;=m_From,S1188&lt;=m_To)),1,0)</f>
        <v/>
      </c>
      <c r="AA1188" s="36">
        <f>IF(AND(OR(sel_Region="All",C1188=sel_Region),OR(sel_Country="All",D1188=sel_Country),OR(sel_Channel="All",E1188=sel_Channel),OR(sel_Customer="All",F1188=sel_Customer),OR(sel_Category="All",G1188=sel_Category),OR(sel_Product="All",H1188=sel_Product)),1,0)</f>
        <v/>
      </c>
    </row>
    <row r="1189">
      <c r="A1189" s="36" t="inlineStr">
        <is>
          <t>01169</t>
        </is>
      </c>
      <c r="B1189" s="44" t="n">
        <v>46197</v>
      </c>
      <c r="C1189" s="36" t="inlineStr">
        <is>
          <t>Central Europe</t>
        </is>
      </c>
      <c r="D1189" s="36" t="inlineStr">
        <is>
          <t>Switzerland</t>
        </is>
      </c>
      <c r="E1189" s="36" t="inlineStr">
        <is>
          <t>Retail Partners</t>
        </is>
      </c>
      <c r="F1189" s="36" t="inlineStr">
        <is>
          <t>New</t>
        </is>
      </c>
      <c r="G1189" s="36" t="inlineStr">
        <is>
          <t>Cycling</t>
        </is>
      </c>
      <c r="H1189" s="36" t="inlineStr">
        <is>
          <t>Commuter Helmet</t>
        </is>
      </c>
      <c r="I1189" s="36" t="n">
        <v>3</v>
      </c>
      <c r="J1189" s="39" t="n">
        <v>82.91</v>
      </c>
      <c r="K1189" s="45" t="n">
        <v>0</v>
      </c>
      <c r="L1189" s="39" t="n">
        <v>42.29</v>
      </c>
      <c r="M1189" s="39">
        <f>I1189*J1189*(1-K1189)</f>
        <v/>
      </c>
      <c r="N1189" s="39">
        <f>I1189*L1189</f>
        <v/>
      </c>
      <c r="O1189" s="39">
        <f>M1189-N1189</f>
        <v/>
      </c>
      <c r="P1189" s="38">
        <f>IF(M1189=0,0,O1189/M1189)</f>
        <v/>
      </c>
      <c r="Q1189" s="36">
        <f>YEAR(B1189)</f>
        <v/>
      </c>
      <c r="R1189" s="36">
        <f>"Q"&amp;ROUNDUP(MONTH(B1189)/3,0)</f>
        <v/>
      </c>
      <c r="S1189" s="36">
        <f>MONTH(B1189)</f>
        <v/>
      </c>
      <c r="T1189" s="36">
        <f>TEXT(B1189,"mmm")</f>
        <v/>
      </c>
      <c r="U1189" s="36">
        <f>IF(AND(OR(sel_Region="All",C1189=sel_Region),OR(sel_Country="All",D1189=sel_Country),OR(sel_Channel="All",E1189=sel_Channel),OR(sel_Customer="All",F1189=sel_Customer),OR(sel_Category="All",G1189=sel_Category),OR(sel_Product="All",H1189=sel_Product),AND(S1189&gt;=m_From,S1189&lt;=m_To)),1,0)</f>
        <v/>
      </c>
      <c r="V1189" s="36">
        <f>IF(AND(OR(sel_Region="All",C1189=sel_Region),OR(sel_Channel="All",E1189=sel_Channel),OR(sel_Customer="All",F1189=sel_Customer),OR(sel_Category="All",G1189=sel_Category),OR(sel_Product="All",H1189=sel_Product),AND(S1189&gt;=m_From,S1189&lt;=m_To)),1,0)</f>
        <v/>
      </c>
      <c r="W1189" s="36">
        <f>IF(AND(OR(sel_Region="All",C1189=sel_Region),OR(sel_Country="All",D1189=sel_Country),OR(sel_Customer="All",F1189=sel_Customer),OR(sel_Category="All",G1189=sel_Category),OR(sel_Product="All",H1189=sel_Product),AND(S1189&gt;=m_From,S1189&lt;=m_To)),1,0)</f>
        <v/>
      </c>
      <c r="X1189" s="36">
        <f>IF(AND(OR(sel_Region="All",C1189=sel_Region),OR(sel_Country="All",D1189=sel_Country),OR(sel_Channel="All",E1189=sel_Channel),OR(sel_Category="All",G1189=sel_Category),OR(sel_Product="All",H1189=sel_Product),AND(S1189&gt;=m_From,S1189&lt;=m_To)),1,0)</f>
        <v/>
      </c>
      <c r="Y1189" s="36">
        <f>IF(AND(OR(sel_Region="All",C1189=sel_Region),OR(sel_Country="All",D1189=sel_Country),OR(sel_Channel="All",E1189=sel_Channel),OR(sel_Customer="All",F1189=sel_Customer),OR(sel_Product="All",H1189=sel_Product),AND(S1189&gt;=m_From,S1189&lt;=m_To)),1,0)</f>
        <v/>
      </c>
      <c r="Z1189" s="36">
        <f>IF(AND(OR(sel_Region="All",C1189=sel_Region),OR(sel_Country="All",D1189=sel_Country),OR(sel_Channel="All",E1189=sel_Channel),OR(sel_Customer="All",F1189=sel_Customer),OR(sel_Category="All",G1189=sel_Category),AND(S1189&gt;=m_From,S1189&lt;=m_To)),1,0)</f>
        <v/>
      </c>
      <c r="AA1189" s="36">
        <f>IF(AND(OR(sel_Region="All",C1189=sel_Region),OR(sel_Country="All",D1189=sel_Country),OR(sel_Channel="All",E1189=sel_Channel),OR(sel_Customer="All",F1189=sel_Customer),OR(sel_Category="All",G1189=sel_Category),OR(sel_Product="All",H1189=sel_Product)),1,0)</f>
        <v/>
      </c>
    </row>
    <row r="1190">
      <c r="A1190" s="36" t="inlineStr">
        <is>
          <t>02211</t>
        </is>
      </c>
      <c r="B1190" s="44" t="n">
        <v>46197</v>
      </c>
      <c r="C1190" s="36" t="inlineStr">
        <is>
          <t>Northern Europe</t>
        </is>
      </c>
      <c r="D1190" s="36" t="inlineStr">
        <is>
          <t>Finland</t>
        </is>
      </c>
      <c r="E1190" s="36" t="inlineStr">
        <is>
          <t>Marketplace</t>
        </is>
      </c>
      <c r="F1190" s="36" t="inlineStr">
        <is>
          <t>New</t>
        </is>
      </c>
      <c r="G1190" s="36" t="inlineStr">
        <is>
          <t>Fitness</t>
        </is>
      </c>
      <c r="H1190" s="36" t="inlineStr">
        <is>
          <t>Resistance Band Set</t>
        </is>
      </c>
      <c r="I1190" s="36" t="n">
        <v>2</v>
      </c>
      <c r="J1190" s="39" t="n">
        <v>41.25</v>
      </c>
      <c r="K1190" s="45" t="n">
        <v>0</v>
      </c>
      <c r="L1190" s="39" t="n">
        <v>14.72</v>
      </c>
      <c r="M1190" s="39">
        <f>I1190*J1190*(1-K1190)</f>
        <v/>
      </c>
      <c r="N1190" s="39">
        <f>I1190*L1190</f>
        <v/>
      </c>
      <c r="O1190" s="39">
        <f>M1190-N1190</f>
        <v/>
      </c>
      <c r="P1190" s="38">
        <f>IF(M1190=0,0,O1190/M1190)</f>
        <v/>
      </c>
      <c r="Q1190" s="36">
        <f>YEAR(B1190)</f>
        <v/>
      </c>
      <c r="R1190" s="36">
        <f>"Q"&amp;ROUNDUP(MONTH(B1190)/3,0)</f>
        <v/>
      </c>
      <c r="S1190" s="36">
        <f>MONTH(B1190)</f>
        <v/>
      </c>
      <c r="T1190" s="36">
        <f>TEXT(B1190,"mmm")</f>
        <v/>
      </c>
      <c r="U1190" s="36">
        <f>IF(AND(OR(sel_Region="All",C1190=sel_Region),OR(sel_Country="All",D1190=sel_Country),OR(sel_Channel="All",E1190=sel_Channel),OR(sel_Customer="All",F1190=sel_Customer),OR(sel_Category="All",G1190=sel_Category),OR(sel_Product="All",H1190=sel_Product),AND(S1190&gt;=m_From,S1190&lt;=m_To)),1,0)</f>
        <v/>
      </c>
      <c r="V1190" s="36">
        <f>IF(AND(OR(sel_Region="All",C1190=sel_Region),OR(sel_Channel="All",E1190=sel_Channel),OR(sel_Customer="All",F1190=sel_Customer),OR(sel_Category="All",G1190=sel_Category),OR(sel_Product="All",H1190=sel_Product),AND(S1190&gt;=m_From,S1190&lt;=m_To)),1,0)</f>
        <v/>
      </c>
      <c r="W1190" s="36">
        <f>IF(AND(OR(sel_Region="All",C1190=sel_Region),OR(sel_Country="All",D1190=sel_Country),OR(sel_Customer="All",F1190=sel_Customer),OR(sel_Category="All",G1190=sel_Category),OR(sel_Product="All",H1190=sel_Product),AND(S1190&gt;=m_From,S1190&lt;=m_To)),1,0)</f>
        <v/>
      </c>
      <c r="X1190" s="36">
        <f>IF(AND(OR(sel_Region="All",C1190=sel_Region),OR(sel_Country="All",D1190=sel_Country),OR(sel_Channel="All",E1190=sel_Channel),OR(sel_Category="All",G1190=sel_Category),OR(sel_Product="All",H1190=sel_Product),AND(S1190&gt;=m_From,S1190&lt;=m_To)),1,0)</f>
        <v/>
      </c>
      <c r="Y1190" s="36">
        <f>IF(AND(OR(sel_Region="All",C1190=sel_Region),OR(sel_Country="All",D1190=sel_Country),OR(sel_Channel="All",E1190=sel_Channel),OR(sel_Customer="All",F1190=sel_Customer),OR(sel_Product="All",H1190=sel_Product),AND(S1190&gt;=m_From,S1190&lt;=m_To)),1,0)</f>
        <v/>
      </c>
      <c r="Z1190" s="36">
        <f>IF(AND(OR(sel_Region="All",C1190=sel_Region),OR(sel_Country="All",D1190=sel_Country),OR(sel_Channel="All",E1190=sel_Channel),OR(sel_Customer="All",F1190=sel_Customer),OR(sel_Category="All",G1190=sel_Category),AND(S1190&gt;=m_From,S1190&lt;=m_To)),1,0)</f>
        <v/>
      </c>
      <c r="AA1190" s="36">
        <f>IF(AND(OR(sel_Region="All",C1190=sel_Region),OR(sel_Country="All",D1190=sel_Country),OR(sel_Channel="All",E1190=sel_Channel),OR(sel_Customer="All",F1190=sel_Customer),OR(sel_Category="All",G1190=sel_Category),OR(sel_Product="All",H1190=sel_Product)),1,0)</f>
        <v/>
      </c>
    </row>
    <row r="1191">
      <c r="A1191" s="36" t="inlineStr">
        <is>
          <t>03494</t>
        </is>
      </c>
      <c r="B1191" s="44" t="n">
        <v>46197</v>
      </c>
      <c r="C1191" s="36" t="inlineStr">
        <is>
          <t>Western Europe</t>
        </is>
      </c>
      <c r="D1191" s="36" t="inlineStr">
        <is>
          <t>United Kingdom</t>
        </is>
      </c>
      <c r="E1191" s="36" t="inlineStr">
        <is>
          <t>Corporate</t>
        </is>
      </c>
      <c r="F1191" s="36" t="inlineStr">
        <is>
          <t>Business</t>
        </is>
      </c>
      <c r="G1191" s="36" t="inlineStr">
        <is>
          <t>Camping</t>
        </is>
      </c>
      <c r="H1191" s="36" t="inlineStr">
        <is>
          <t>Trail Tent 2P</t>
        </is>
      </c>
      <c r="I1191" s="36" t="n">
        <v>6</v>
      </c>
      <c r="J1191" s="39" t="n">
        <v>194.79</v>
      </c>
      <c r="K1191" s="45" t="n">
        <v>0.15</v>
      </c>
      <c r="L1191" s="39" t="n">
        <v>106.78</v>
      </c>
      <c r="M1191" s="39">
        <f>I1191*J1191*(1-K1191)</f>
        <v/>
      </c>
      <c r="N1191" s="39">
        <f>I1191*L1191</f>
        <v/>
      </c>
      <c r="O1191" s="39">
        <f>M1191-N1191</f>
        <v/>
      </c>
      <c r="P1191" s="38">
        <f>IF(M1191=0,0,O1191/M1191)</f>
        <v/>
      </c>
      <c r="Q1191" s="36">
        <f>YEAR(B1191)</f>
        <v/>
      </c>
      <c r="R1191" s="36">
        <f>"Q"&amp;ROUNDUP(MONTH(B1191)/3,0)</f>
        <v/>
      </c>
      <c r="S1191" s="36">
        <f>MONTH(B1191)</f>
        <v/>
      </c>
      <c r="T1191" s="36">
        <f>TEXT(B1191,"mmm")</f>
        <v/>
      </c>
      <c r="U1191" s="36">
        <f>IF(AND(OR(sel_Region="All",C1191=sel_Region),OR(sel_Country="All",D1191=sel_Country),OR(sel_Channel="All",E1191=sel_Channel),OR(sel_Customer="All",F1191=sel_Customer),OR(sel_Category="All",G1191=sel_Category),OR(sel_Product="All",H1191=sel_Product),AND(S1191&gt;=m_From,S1191&lt;=m_To)),1,0)</f>
        <v/>
      </c>
      <c r="V1191" s="36">
        <f>IF(AND(OR(sel_Region="All",C1191=sel_Region),OR(sel_Channel="All",E1191=sel_Channel),OR(sel_Customer="All",F1191=sel_Customer),OR(sel_Category="All",G1191=sel_Category),OR(sel_Product="All",H1191=sel_Product),AND(S1191&gt;=m_From,S1191&lt;=m_To)),1,0)</f>
        <v/>
      </c>
      <c r="W1191" s="36">
        <f>IF(AND(OR(sel_Region="All",C1191=sel_Region),OR(sel_Country="All",D1191=sel_Country),OR(sel_Customer="All",F1191=sel_Customer),OR(sel_Category="All",G1191=sel_Category),OR(sel_Product="All",H1191=sel_Product),AND(S1191&gt;=m_From,S1191&lt;=m_To)),1,0)</f>
        <v/>
      </c>
      <c r="X1191" s="36">
        <f>IF(AND(OR(sel_Region="All",C1191=sel_Region),OR(sel_Country="All",D1191=sel_Country),OR(sel_Channel="All",E1191=sel_Channel),OR(sel_Category="All",G1191=sel_Category),OR(sel_Product="All",H1191=sel_Product),AND(S1191&gt;=m_From,S1191&lt;=m_To)),1,0)</f>
        <v/>
      </c>
      <c r="Y1191" s="36">
        <f>IF(AND(OR(sel_Region="All",C1191=sel_Region),OR(sel_Country="All",D1191=sel_Country),OR(sel_Channel="All",E1191=sel_Channel),OR(sel_Customer="All",F1191=sel_Customer),OR(sel_Product="All",H1191=sel_Product),AND(S1191&gt;=m_From,S1191&lt;=m_To)),1,0)</f>
        <v/>
      </c>
      <c r="Z1191" s="36">
        <f>IF(AND(OR(sel_Region="All",C1191=sel_Region),OR(sel_Country="All",D1191=sel_Country),OR(sel_Channel="All",E1191=sel_Channel),OR(sel_Customer="All",F1191=sel_Customer),OR(sel_Category="All",G1191=sel_Category),AND(S1191&gt;=m_From,S1191&lt;=m_To)),1,0)</f>
        <v/>
      </c>
      <c r="AA1191" s="36">
        <f>IF(AND(OR(sel_Region="All",C1191=sel_Region),OR(sel_Country="All",D1191=sel_Country),OR(sel_Channel="All",E1191=sel_Channel),OR(sel_Customer="All",F1191=sel_Customer),OR(sel_Category="All",G1191=sel_Category),OR(sel_Product="All",H1191=sel_Product)),1,0)</f>
        <v/>
      </c>
    </row>
    <row r="1192">
      <c r="A1192" s="36" t="inlineStr">
        <is>
          <t>03586</t>
        </is>
      </c>
      <c r="B1192" s="44" t="n">
        <v>46197</v>
      </c>
      <c r="C1192" s="36" t="inlineStr">
        <is>
          <t>Southern Europe</t>
        </is>
      </c>
      <c r="D1192" s="36" t="inlineStr">
        <is>
          <t>Italy</t>
        </is>
      </c>
      <c r="E1192" s="36" t="inlineStr">
        <is>
          <t>Corporate</t>
        </is>
      </c>
      <c r="F1192" s="36" t="inlineStr">
        <is>
          <t>Business</t>
        </is>
      </c>
      <c r="G1192" s="36" t="inlineStr">
        <is>
          <t>Camping</t>
        </is>
      </c>
      <c r="H1192" s="36" t="inlineStr">
        <is>
          <t>Trail Tent 2P</t>
        </is>
      </c>
      <c r="I1192" s="36" t="n">
        <v>6</v>
      </c>
      <c r="J1192" s="39" t="n">
        <v>193.13</v>
      </c>
      <c r="K1192" s="45" t="n">
        <v>0.15</v>
      </c>
      <c r="L1192" s="39" t="n">
        <v>106.49</v>
      </c>
      <c r="M1192" s="39">
        <f>I1192*J1192*(1-K1192)</f>
        <v/>
      </c>
      <c r="N1192" s="39">
        <f>I1192*L1192</f>
        <v/>
      </c>
      <c r="O1192" s="39">
        <f>M1192-N1192</f>
        <v/>
      </c>
      <c r="P1192" s="38">
        <f>IF(M1192=0,0,O1192/M1192)</f>
        <v/>
      </c>
      <c r="Q1192" s="36">
        <f>YEAR(B1192)</f>
        <v/>
      </c>
      <c r="R1192" s="36">
        <f>"Q"&amp;ROUNDUP(MONTH(B1192)/3,0)</f>
        <v/>
      </c>
      <c r="S1192" s="36">
        <f>MONTH(B1192)</f>
        <v/>
      </c>
      <c r="T1192" s="36">
        <f>TEXT(B1192,"mmm")</f>
        <v/>
      </c>
      <c r="U1192" s="36">
        <f>IF(AND(OR(sel_Region="All",C1192=sel_Region),OR(sel_Country="All",D1192=sel_Country),OR(sel_Channel="All",E1192=sel_Channel),OR(sel_Customer="All",F1192=sel_Customer),OR(sel_Category="All",G1192=sel_Category),OR(sel_Product="All",H1192=sel_Product),AND(S1192&gt;=m_From,S1192&lt;=m_To)),1,0)</f>
        <v/>
      </c>
      <c r="V1192" s="36">
        <f>IF(AND(OR(sel_Region="All",C1192=sel_Region),OR(sel_Channel="All",E1192=sel_Channel),OR(sel_Customer="All",F1192=sel_Customer),OR(sel_Category="All",G1192=sel_Category),OR(sel_Product="All",H1192=sel_Product),AND(S1192&gt;=m_From,S1192&lt;=m_To)),1,0)</f>
        <v/>
      </c>
      <c r="W1192" s="36">
        <f>IF(AND(OR(sel_Region="All",C1192=sel_Region),OR(sel_Country="All",D1192=sel_Country),OR(sel_Customer="All",F1192=sel_Customer),OR(sel_Category="All",G1192=sel_Category),OR(sel_Product="All",H1192=sel_Product),AND(S1192&gt;=m_From,S1192&lt;=m_To)),1,0)</f>
        <v/>
      </c>
      <c r="X1192" s="36">
        <f>IF(AND(OR(sel_Region="All",C1192=sel_Region),OR(sel_Country="All",D1192=sel_Country),OR(sel_Channel="All",E1192=sel_Channel),OR(sel_Category="All",G1192=sel_Category),OR(sel_Product="All",H1192=sel_Product),AND(S1192&gt;=m_From,S1192&lt;=m_To)),1,0)</f>
        <v/>
      </c>
      <c r="Y1192" s="36">
        <f>IF(AND(OR(sel_Region="All",C1192=sel_Region),OR(sel_Country="All",D1192=sel_Country),OR(sel_Channel="All",E1192=sel_Channel),OR(sel_Customer="All",F1192=sel_Customer),OR(sel_Product="All",H1192=sel_Product),AND(S1192&gt;=m_From,S1192&lt;=m_To)),1,0)</f>
        <v/>
      </c>
      <c r="Z1192" s="36">
        <f>IF(AND(OR(sel_Region="All",C1192=sel_Region),OR(sel_Country="All",D1192=sel_Country),OR(sel_Channel="All",E1192=sel_Channel),OR(sel_Customer="All",F1192=sel_Customer),OR(sel_Category="All",G1192=sel_Category),AND(S1192&gt;=m_From,S1192&lt;=m_To)),1,0)</f>
        <v/>
      </c>
      <c r="AA1192" s="36">
        <f>IF(AND(OR(sel_Region="All",C1192=sel_Region),OR(sel_Country="All",D1192=sel_Country),OR(sel_Channel="All",E1192=sel_Channel),OR(sel_Customer="All",F1192=sel_Customer),OR(sel_Category="All",G1192=sel_Category),OR(sel_Product="All",H1192=sel_Product)),1,0)</f>
        <v/>
      </c>
    </row>
    <row r="1193">
      <c r="A1193" s="36" t="inlineStr">
        <is>
          <t>03660</t>
        </is>
      </c>
      <c r="B1193" s="44" t="n">
        <v>46197</v>
      </c>
      <c r="C1193" s="36" t="inlineStr">
        <is>
          <t>Northern Europe</t>
        </is>
      </c>
      <c r="D1193" s="36" t="inlineStr">
        <is>
          <t>Ireland</t>
        </is>
      </c>
      <c r="E1193" s="36" t="inlineStr">
        <is>
          <t>Online Store</t>
        </is>
      </c>
      <c r="F1193" s="36" t="inlineStr">
        <is>
          <t>New</t>
        </is>
      </c>
      <c r="G1193" s="36" t="inlineStr">
        <is>
          <t>Cycling</t>
        </is>
      </c>
      <c r="H1193" s="36" t="inlineStr">
        <is>
          <t>Commuter Helmet</t>
        </is>
      </c>
      <c r="I1193" s="36" t="n">
        <v>1</v>
      </c>
      <c r="J1193" s="39" t="n">
        <v>82.7</v>
      </c>
      <c r="K1193" s="45" t="n">
        <v>0.05</v>
      </c>
      <c r="L1193" s="39" t="n">
        <v>42.16</v>
      </c>
      <c r="M1193" s="39">
        <f>I1193*J1193*(1-K1193)</f>
        <v/>
      </c>
      <c r="N1193" s="39">
        <f>I1193*L1193</f>
        <v/>
      </c>
      <c r="O1193" s="39">
        <f>M1193-N1193</f>
        <v/>
      </c>
      <c r="P1193" s="38">
        <f>IF(M1193=0,0,O1193/M1193)</f>
        <v/>
      </c>
      <c r="Q1193" s="36">
        <f>YEAR(B1193)</f>
        <v/>
      </c>
      <c r="R1193" s="36">
        <f>"Q"&amp;ROUNDUP(MONTH(B1193)/3,0)</f>
        <v/>
      </c>
      <c r="S1193" s="36">
        <f>MONTH(B1193)</f>
        <v/>
      </c>
      <c r="T1193" s="36">
        <f>TEXT(B1193,"mmm")</f>
        <v/>
      </c>
      <c r="U1193" s="36">
        <f>IF(AND(OR(sel_Region="All",C1193=sel_Region),OR(sel_Country="All",D1193=sel_Country),OR(sel_Channel="All",E1193=sel_Channel),OR(sel_Customer="All",F1193=sel_Customer),OR(sel_Category="All",G1193=sel_Category),OR(sel_Product="All",H1193=sel_Product),AND(S1193&gt;=m_From,S1193&lt;=m_To)),1,0)</f>
        <v/>
      </c>
      <c r="V1193" s="36">
        <f>IF(AND(OR(sel_Region="All",C1193=sel_Region),OR(sel_Channel="All",E1193=sel_Channel),OR(sel_Customer="All",F1193=sel_Customer),OR(sel_Category="All",G1193=sel_Category),OR(sel_Product="All",H1193=sel_Product),AND(S1193&gt;=m_From,S1193&lt;=m_To)),1,0)</f>
        <v/>
      </c>
      <c r="W1193" s="36">
        <f>IF(AND(OR(sel_Region="All",C1193=sel_Region),OR(sel_Country="All",D1193=sel_Country),OR(sel_Customer="All",F1193=sel_Customer),OR(sel_Category="All",G1193=sel_Category),OR(sel_Product="All",H1193=sel_Product),AND(S1193&gt;=m_From,S1193&lt;=m_To)),1,0)</f>
        <v/>
      </c>
      <c r="X1193" s="36">
        <f>IF(AND(OR(sel_Region="All",C1193=sel_Region),OR(sel_Country="All",D1193=sel_Country),OR(sel_Channel="All",E1193=sel_Channel),OR(sel_Category="All",G1193=sel_Category),OR(sel_Product="All",H1193=sel_Product),AND(S1193&gt;=m_From,S1193&lt;=m_To)),1,0)</f>
        <v/>
      </c>
      <c r="Y1193" s="36">
        <f>IF(AND(OR(sel_Region="All",C1193=sel_Region),OR(sel_Country="All",D1193=sel_Country),OR(sel_Channel="All",E1193=sel_Channel),OR(sel_Customer="All",F1193=sel_Customer),OR(sel_Product="All",H1193=sel_Product),AND(S1193&gt;=m_From,S1193&lt;=m_To)),1,0)</f>
        <v/>
      </c>
      <c r="Z1193" s="36">
        <f>IF(AND(OR(sel_Region="All",C1193=sel_Region),OR(sel_Country="All",D1193=sel_Country),OR(sel_Channel="All",E1193=sel_Channel),OR(sel_Customer="All",F1193=sel_Customer),OR(sel_Category="All",G1193=sel_Category),AND(S1193&gt;=m_From,S1193&lt;=m_To)),1,0)</f>
        <v/>
      </c>
      <c r="AA1193" s="36">
        <f>IF(AND(OR(sel_Region="All",C1193=sel_Region),OR(sel_Country="All",D1193=sel_Country),OR(sel_Channel="All",E1193=sel_Channel),OR(sel_Customer="All",F1193=sel_Customer),OR(sel_Category="All",G1193=sel_Category),OR(sel_Product="All",H1193=sel_Product)),1,0)</f>
        <v/>
      </c>
    </row>
    <row r="1194">
      <c r="A1194" s="36" t="inlineStr">
        <is>
          <t>04307</t>
        </is>
      </c>
      <c r="B1194" s="44" t="n">
        <v>46197</v>
      </c>
      <c r="C1194" s="36" t="inlineStr">
        <is>
          <t>Western Europe</t>
        </is>
      </c>
      <c r="D1194" s="36" t="inlineStr">
        <is>
          <t>United Kingdom</t>
        </is>
      </c>
      <c r="E1194" s="36" t="inlineStr">
        <is>
          <t>Online Store</t>
        </is>
      </c>
      <c r="F1194" s="36" t="inlineStr">
        <is>
          <t>Business</t>
        </is>
      </c>
      <c r="G1194" s="36" t="inlineStr">
        <is>
          <t>Cycling</t>
        </is>
      </c>
      <c r="H1194" s="36" t="inlineStr">
        <is>
          <t>Compact Repair Kit</t>
        </is>
      </c>
      <c r="I1194" s="36" t="n">
        <v>1</v>
      </c>
      <c r="J1194" s="39" t="n">
        <v>40.33</v>
      </c>
      <c r="K1194" s="45" t="n">
        <v>0</v>
      </c>
      <c r="L1194" s="39" t="n">
        <v>16.48</v>
      </c>
      <c r="M1194" s="39">
        <f>I1194*J1194*(1-K1194)</f>
        <v/>
      </c>
      <c r="N1194" s="39">
        <f>I1194*L1194</f>
        <v/>
      </c>
      <c r="O1194" s="39">
        <f>M1194-N1194</f>
        <v/>
      </c>
      <c r="P1194" s="38">
        <f>IF(M1194=0,0,O1194/M1194)</f>
        <v/>
      </c>
      <c r="Q1194" s="36">
        <f>YEAR(B1194)</f>
        <v/>
      </c>
      <c r="R1194" s="36">
        <f>"Q"&amp;ROUNDUP(MONTH(B1194)/3,0)</f>
        <v/>
      </c>
      <c r="S1194" s="36">
        <f>MONTH(B1194)</f>
        <v/>
      </c>
      <c r="T1194" s="36">
        <f>TEXT(B1194,"mmm")</f>
        <v/>
      </c>
      <c r="U1194" s="36">
        <f>IF(AND(OR(sel_Region="All",C1194=sel_Region),OR(sel_Country="All",D1194=sel_Country),OR(sel_Channel="All",E1194=sel_Channel),OR(sel_Customer="All",F1194=sel_Customer),OR(sel_Category="All",G1194=sel_Category),OR(sel_Product="All",H1194=sel_Product),AND(S1194&gt;=m_From,S1194&lt;=m_To)),1,0)</f>
        <v/>
      </c>
      <c r="V1194" s="36">
        <f>IF(AND(OR(sel_Region="All",C1194=sel_Region),OR(sel_Channel="All",E1194=sel_Channel),OR(sel_Customer="All",F1194=sel_Customer),OR(sel_Category="All",G1194=sel_Category),OR(sel_Product="All",H1194=sel_Product),AND(S1194&gt;=m_From,S1194&lt;=m_To)),1,0)</f>
        <v/>
      </c>
      <c r="W1194" s="36">
        <f>IF(AND(OR(sel_Region="All",C1194=sel_Region),OR(sel_Country="All",D1194=sel_Country),OR(sel_Customer="All",F1194=sel_Customer),OR(sel_Category="All",G1194=sel_Category),OR(sel_Product="All",H1194=sel_Product),AND(S1194&gt;=m_From,S1194&lt;=m_To)),1,0)</f>
        <v/>
      </c>
      <c r="X1194" s="36">
        <f>IF(AND(OR(sel_Region="All",C1194=sel_Region),OR(sel_Country="All",D1194=sel_Country),OR(sel_Channel="All",E1194=sel_Channel),OR(sel_Category="All",G1194=sel_Category),OR(sel_Product="All",H1194=sel_Product),AND(S1194&gt;=m_From,S1194&lt;=m_To)),1,0)</f>
        <v/>
      </c>
      <c r="Y1194" s="36">
        <f>IF(AND(OR(sel_Region="All",C1194=sel_Region),OR(sel_Country="All",D1194=sel_Country),OR(sel_Channel="All",E1194=sel_Channel),OR(sel_Customer="All",F1194=sel_Customer),OR(sel_Product="All",H1194=sel_Product),AND(S1194&gt;=m_From,S1194&lt;=m_To)),1,0)</f>
        <v/>
      </c>
      <c r="Z1194" s="36">
        <f>IF(AND(OR(sel_Region="All",C1194=sel_Region),OR(sel_Country="All",D1194=sel_Country),OR(sel_Channel="All",E1194=sel_Channel),OR(sel_Customer="All",F1194=sel_Customer),OR(sel_Category="All",G1194=sel_Category),AND(S1194&gt;=m_From,S1194&lt;=m_To)),1,0)</f>
        <v/>
      </c>
      <c r="AA1194" s="36">
        <f>IF(AND(OR(sel_Region="All",C1194=sel_Region),OR(sel_Country="All",D1194=sel_Country),OR(sel_Channel="All",E1194=sel_Channel),OR(sel_Customer="All",F1194=sel_Customer),OR(sel_Category="All",G1194=sel_Category),OR(sel_Product="All",H1194=sel_Product)),1,0)</f>
        <v/>
      </c>
    </row>
    <row r="1195">
      <c r="A1195" s="36" t="inlineStr">
        <is>
          <t>05133</t>
        </is>
      </c>
      <c r="B1195" s="44" t="n">
        <v>46197</v>
      </c>
      <c r="C1195" s="36" t="inlineStr">
        <is>
          <t>Southern Europe</t>
        </is>
      </c>
      <c r="D1195" s="36" t="inlineStr">
        <is>
          <t>Spain</t>
        </is>
      </c>
      <c r="E1195" s="36" t="inlineStr">
        <is>
          <t>Online Store</t>
        </is>
      </c>
      <c r="F1195" s="36" t="inlineStr">
        <is>
          <t>Business</t>
        </is>
      </c>
      <c r="G1195" s="36" t="inlineStr">
        <is>
          <t>Camping</t>
        </is>
      </c>
      <c r="H1195" s="36" t="inlineStr">
        <is>
          <t>Portable Camp Stove</t>
        </is>
      </c>
      <c r="I1195" s="36" t="n">
        <v>1</v>
      </c>
      <c r="J1195" s="39" t="n">
        <v>81.98999999999999</v>
      </c>
      <c r="K1195" s="45" t="n">
        <v>0.15</v>
      </c>
      <c r="L1195" s="39" t="n">
        <v>40.29</v>
      </c>
      <c r="M1195" s="39">
        <f>I1195*J1195*(1-K1195)</f>
        <v/>
      </c>
      <c r="N1195" s="39">
        <f>I1195*L1195</f>
        <v/>
      </c>
      <c r="O1195" s="39">
        <f>M1195-N1195</f>
        <v/>
      </c>
      <c r="P1195" s="38">
        <f>IF(M1195=0,0,O1195/M1195)</f>
        <v/>
      </c>
      <c r="Q1195" s="36">
        <f>YEAR(B1195)</f>
        <v/>
      </c>
      <c r="R1195" s="36">
        <f>"Q"&amp;ROUNDUP(MONTH(B1195)/3,0)</f>
        <v/>
      </c>
      <c r="S1195" s="36">
        <f>MONTH(B1195)</f>
        <v/>
      </c>
      <c r="T1195" s="36">
        <f>TEXT(B1195,"mmm")</f>
        <v/>
      </c>
      <c r="U1195" s="36">
        <f>IF(AND(OR(sel_Region="All",C1195=sel_Region),OR(sel_Country="All",D1195=sel_Country),OR(sel_Channel="All",E1195=sel_Channel),OR(sel_Customer="All",F1195=sel_Customer),OR(sel_Category="All",G1195=sel_Category),OR(sel_Product="All",H1195=sel_Product),AND(S1195&gt;=m_From,S1195&lt;=m_To)),1,0)</f>
        <v/>
      </c>
      <c r="V1195" s="36">
        <f>IF(AND(OR(sel_Region="All",C1195=sel_Region),OR(sel_Channel="All",E1195=sel_Channel),OR(sel_Customer="All",F1195=sel_Customer),OR(sel_Category="All",G1195=sel_Category),OR(sel_Product="All",H1195=sel_Product),AND(S1195&gt;=m_From,S1195&lt;=m_To)),1,0)</f>
        <v/>
      </c>
      <c r="W1195" s="36">
        <f>IF(AND(OR(sel_Region="All",C1195=sel_Region),OR(sel_Country="All",D1195=sel_Country),OR(sel_Customer="All",F1195=sel_Customer),OR(sel_Category="All",G1195=sel_Category),OR(sel_Product="All",H1195=sel_Product),AND(S1195&gt;=m_From,S1195&lt;=m_To)),1,0)</f>
        <v/>
      </c>
      <c r="X1195" s="36">
        <f>IF(AND(OR(sel_Region="All",C1195=sel_Region),OR(sel_Country="All",D1195=sel_Country),OR(sel_Channel="All",E1195=sel_Channel),OR(sel_Category="All",G1195=sel_Category),OR(sel_Product="All",H1195=sel_Product),AND(S1195&gt;=m_From,S1195&lt;=m_To)),1,0)</f>
        <v/>
      </c>
      <c r="Y1195" s="36">
        <f>IF(AND(OR(sel_Region="All",C1195=sel_Region),OR(sel_Country="All",D1195=sel_Country),OR(sel_Channel="All",E1195=sel_Channel),OR(sel_Customer="All",F1195=sel_Customer),OR(sel_Product="All",H1195=sel_Product),AND(S1195&gt;=m_From,S1195&lt;=m_To)),1,0)</f>
        <v/>
      </c>
      <c r="Z1195" s="36">
        <f>IF(AND(OR(sel_Region="All",C1195=sel_Region),OR(sel_Country="All",D1195=sel_Country),OR(sel_Channel="All",E1195=sel_Channel),OR(sel_Customer="All",F1195=sel_Customer),OR(sel_Category="All",G1195=sel_Category),AND(S1195&gt;=m_From,S1195&lt;=m_To)),1,0)</f>
        <v/>
      </c>
      <c r="AA1195" s="36">
        <f>IF(AND(OR(sel_Region="All",C1195=sel_Region),OR(sel_Country="All",D1195=sel_Country),OR(sel_Channel="All",E1195=sel_Channel),OR(sel_Customer="All",F1195=sel_Customer),OR(sel_Category="All",G1195=sel_Category),OR(sel_Product="All",H1195=sel_Product)),1,0)</f>
        <v/>
      </c>
    </row>
    <row r="1196">
      <c r="A1196" s="36" t="inlineStr">
        <is>
          <t>00472</t>
        </is>
      </c>
      <c r="B1196" s="44" t="n">
        <v>46198</v>
      </c>
      <c r="C1196" s="36" t="inlineStr">
        <is>
          <t>Central Europe</t>
        </is>
      </c>
      <c r="D1196" s="36" t="inlineStr">
        <is>
          <t>Austria</t>
        </is>
      </c>
      <c r="E1196" s="36" t="inlineStr">
        <is>
          <t>Retail Partners</t>
        </is>
      </c>
      <c r="F1196" s="36" t="inlineStr">
        <is>
          <t>Business</t>
        </is>
      </c>
      <c r="G1196" s="36" t="inlineStr">
        <is>
          <t>Travel</t>
        </is>
      </c>
      <c r="H1196" s="36" t="inlineStr">
        <is>
          <t>Packing Cube Set</t>
        </is>
      </c>
      <c r="I1196" s="36" t="n">
        <v>3</v>
      </c>
      <c r="J1196" s="39" t="n">
        <v>46.29</v>
      </c>
      <c r="K1196" s="45" t="n">
        <v>0</v>
      </c>
      <c r="L1196" s="39" t="n">
        <v>18.31</v>
      </c>
      <c r="M1196" s="39">
        <f>I1196*J1196*(1-K1196)</f>
        <v/>
      </c>
      <c r="N1196" s="39">
        <f>I1196*L1196</f>
        <v/>
      </c>
      <c r="O1196" s="39">
        <f>M1196-N1196</f>
        <v/>
      </c>
      <c r="P1196" s="38">
        <f>IF(M1196=0,0,O1196/M1196)</f>
        <v/>
      </c>
      <c r="Q1196" s="36">
        <f>YEAR(B1196)</f>
        <v/>
      </c>
      <c r="R1196" s="36">
        <f>"Q"&amp;ROUNDUP(MONTH(B1196)/3,0)</f>
        <v/>
      </c>
      <c r="S1196" s="36">
        <f>MONTH(B1196)</f>
        <v/>
      </c>
      <c r="T1196" s="36">
        <f>TEXT(B1196,"mmm")</f>
        <v/>
      </c>
      <c r="U1196" s="36">
        <f>IF(AND(OR(sel_Region="All",C1196=sel_Region),OR(sel_Country="All",D1196=sel_Country),OR(sel_Channel="All",E1196=sel_Channel),OR(sel_Customer="All",F1196=sel_Customer),OR(sel_Category="All",G1196=sel_Category),OR(sel_Product="All",H1196=sel_Product),AND(S1196&gt;=m_From,S1196&lt;=m_To)),1,0)</f>
        <v/>
      </c>
      <c r="V1196" s="36">
        <f>IF(AND(OR(sel_Region="All",C1196=sel_Region),OR(sel_Channel="All",E1196=sel_Channel),OR(sel_Customer="All",F1196=sel_Customer),OR(sel_Category="All",G1196=sel_Category),OR(sel_Product="All",H1196=sel_Product),AND(S1196&gt;=m_From,S1196&lt;=m_To)),1,0)</f>
        <v/>
      </c>
      <c r="W1196" s="36">
        <f>IF(AND(OR(sel_Region="All",C1196=sel_Region),OR(sel_Country="All",D1196=sel_Country),OR(sel_Customer="All",F1196=sel_Customer),OR(sel_Category="All",G1196=sel_Category),OR(sel_Product="All",H1196=sel_Product),AND(S1196&gt;=m_From,S1196&lt;=m_To)),1,0)</f>
        <v/>
      </c>
      <c r="X1196" s="36">
        <f>IF(AND(OR(sel_Region="All",C1196=sel_Region),OR(sel_Country="All",D1196=sel_Country),OR(sel_Channel="All",E1196=sel_Channel),OR(sel_Category="All",G1196=sel_Category),OR(sel_Product="All",H1196=sel_Product),AND(S1196&gt;=m_From,S1196&lt;=m_To)),1,0)</f>
        <v/>
      </c>
      <c r="Y1196" s="36">
        <f>IF(AND(OR(sel_Region="All",C1196=sel_Region),OR(sel_Country="All",D1196=sel_Country),OR(sel_Channel="All",E1196=sel_Channel),OR(sel_Customer="All",F1196=sel_Customer),OR(sel_Product="All",H1196=sel_Product),AND(S1196&gt;=m_From,S1196&lt;=m_To)),1,0)</f>
        <v/>
      </c>
      <c r="Z1196" s="36">
        <f>IF(AND(OR(sel_Region="All",C1196=sel_Region),OR(sel_Country="All",D1196=sel_Country),OR(sel_Channel="All",E1196=sel_Channel),OR(sel_Customer="All",F1196=sel_Customer),OR(sel_Category="All",G1196=sel_Category),AND(S1196&gt;=m_From,S1196&lt;=m_To)),1,0)</f>
        <v/>
      </c>
      <c r="AA1196" s="36">
        <f>IF(AND(OR(sel_Region="All",C1196=sel_Region),OR(sel_Country="All",D1196=sel_Country),OR(sel_Channel="All",E1196=sel_Channel),OR(sel_Customer="All",F1196=sel_Customer),OR(sel_Category="All",G1196=sel_Category),OR(sel_Product="All",H1196=sel_Product)),1,0)</f>
        <v/>
      </c>
    </row>
    <row r="1197">
      <c r="A1197" s="36" t="inlineStr">
        <is>
          <t>00689</t>
        </is>
      </c>
      <c r="B1197" s="44" t="n">
        <v>46198</v>
      </c>
      <c r="C1197" s="36" t="inlineStr">
        <is>
          <t>Western Europe</t>
        </is>
      </c>
      <c r="D1197" s="36" t="inlineStr">
        <is>
          <t>Netherlands</t>
        </is>
      </c>
      <c r="E1197" s="36" t="inlineStr">
        <is>
          <t>Online Store</t>
        </is>
      </c>
      <c r="F1197" s="36" t="inlineStr">
        <is>
          <t>New</t>
        </is>
      </c>
      <c r="G1197" s="36" t="inlineStr">
        <is>
          <t>Cycling</t>
        </is>
      </c>
      <c r="H1197" s="36" t="inlineStr">
        <is>
          <t>Compact Repair Kit</t>
        </is>
      </c>
      <c r="I1197" s="36" t="n">
        <v>1</v>
      </c>
      <c r="J1197" s="39" t="n">
        <v>39.73</v>
      </c>
      <c r="K1197" s="45" t="n">
        <v>0</v>
      </c>
      <c r="L1197" s="39" t="n">
        <v>16.55</v>
      </c>
      <c r="M1197" s="39">
        <f>I1197*J1197*(1-K1197)</f>
        <v/>
      </c>
      <c r="N1197" s="39">
        <f>I1197*L1197</f>
        <v/>
      </c>
      <c r="O1197" s="39">
        <f>M1197-N1197</f>
        <v/>
      </c>
      <c r="P1197" s="38">
        <f>IF(M1197=0,0,O1197/M1197)</f>
        <v/>
      </c>
      <c r="Q1197" s="36">
        <f>YEAR(B1197)</f>
        <v/>
      </c>
      <c r="R1197" s="36">
        <f>"Q"&amp;ROUNDUP(MONTH(B1197)/3,0)</f>
        <v/>
      </c>
      <c r="S1197" s="36">
        <f>MONTH(B1197)</f>
        <v/>
      </c>
      <c r="T1197" s="36">
        <f>TEXT(B1197,"mmm")</f>
        <v/>
      </c>
      <c r="U1197" s="36">
        <f>IF(AND(OR(sel_Region="All",C1197=sel_Region),OR(sel_Country="All",D1197=sel_Country),OR(sel_Channel="All",E1197=sel_Channel),OR(sel_Customer="All",F1197=sel_Customer),OR(sel_Category="All",G1197=sel_Category),OR(sel_Product="All",H1197=sel_Product),AND(S1197&gt;=m_From,S1197&lt;=m_To)),1,0)</f>
        <v/>
      </c>
      <c r="V1197" s="36">
        <f>IF(AND(OR(sel_Region="All",C1197=sel_Region),OR(sel_Channel="All",E1197=sel_Channel),OR(sel_Customer="All",F1197=sel_Customer),OR(sel_Category="All",G1197=sel_Category),OR(sel_Product="All",H1197=sel_Product),AND(S1197&gt;=m_From,S1197&lt;=m_To)),1,0)</f>
        <v/>
      </c>
      <c r="W1197" s="36">
        <f>IF(AND(OR(sel_Region="All",C1197=sel_Region),OR(sel_Country="All",D1197=sel_Country),OR(sel_Customer="All",F1197=sel_Customer),OR(sel_Category="All",G1197=sel_Category),OR(sel_Product="All",H1197=sel_Product),AND(S1197&gt;=m_From,S1197&lt;=m_To)),1,0)</f>
        <v/>
      </c>
      <c r="X1197" s="36">
        <f>IF(AND(OR(sel_Region="All",C1197=sel_Region),OR(sel_Country="All",D1197=sel_Country),OR(sel_Channel="All",E1197=sel_Channel),OR(sel_Category="All",G1197=sel_Category),OR(sel_Product="All",H1197=sel_Product),AND(S1197&gt;=m_From,S1197&lt;=m_To)),1,0)</f>
        <v/>
      </c>
      <c r="Y1197" s="36">
        <f>IF(AND(OR(sel_Region="All",C1197=sel_Region),OR(sel_Country="All",D1197=sel_Country),OR(sel_Channel="All",E1197=sel_Channel),OR(sel_Customer="All",F1197=sel_Customer),OR(sel_Product="All",H1197=sel_Product),AND(S1197&gt;=m_From,S1197&lt;=m_To)),1,0)</f>
        <v/>
      </c>
      <c r="Z1197" s="36">
        <f>IF(AND(OR(sel_Region="All",C1197=sel_Region),OR(sel_Country="All",D1197=sel_Country),OR(sel_Channel="All",E1197=sel_Channel),OR(sel_Customer="All",F1197=sel_Customer),OR(sel_Category="All",G1197=sel_Category),AND(S1197&gt;=m_From,S1197&lt;=m_To)),1,0)</f>
        <v/>
      </c>
      <c r="AA1197" s="36">
        <f>IF(AND(OR(sel_Region="All",C1197=sel_Region),OR(sel_Country="All",D1197=sel_Country),OR(sel_Channel="All",E1197=sel_Channel),OR(sel_Customer="All",F1197=sel_Customer),OR(sel_Category="All",G1197=sel_Category),OR(sel_Product="All",H1197=sel_Product)),1,0)</f>
        <v/>
      </c>
    </row>
    <row r="1198">
      <c r="A1198" s="36" t="inlineStr">
        <is>
          <t>00864</t>
        </is>
      </c>
      <c r="B1198" s="44" t="n">
        <v>46198</v>
      </c>
      <c r="C1198" s="36" t="inlineStr">
        <is>
          <t>Western Europe</t>
        </is>
      </c>
      <c r="D1198" s="36" t="inlineStr">
        <is>
          <t>United Kingdom</t>
        </is>
      </c>
      <c r="E1198" s="36" t="inlineStr">
        <is>
          <t>Online Store</t>
        </is>
      </c>
      <c r="F1198" s="36" t="inlineStr">
        <is>
          <t>New</t>
        </is>
      </c>
      <c r="G1198" s="36" t="inlineStr">
        <is>
          <t>Travel</t>
        </is>
      </c>
      <c r="H1198" s="36" t="inlineStr">
        <is>
          <t>Carry-On Duffel</t>
        </is>
      </c>
      <c r="I1198" s="36" t="n">
        <v>4</v>
      </c>
      <c r="J1198" s="39" t="n">
        <v>131.02</v>
      </c>
      <c r="K1198" s="45" t="n">
        <v>0.05</v>
      </c>
      <c r="L1198" s="39" t="n">
        <v>67.42</v>
      </c>
      <c r="M1198" s="39">
        <f>I1198*J1198*(1-K1198)</f>
        <v/>
      </c>
      <c r="N1198" s="39">
        <f>I1198*L1198</f>
        <v/>
      </c>
      <c r="O1198" s="39">
        <f>M1198-N1198</f>
        <v/>
      </c>
      <c r="P1198" s="38">
        <f>IF(M1198=0,0,O1198/M1198)</f>
        <v/>
      </c>
      <c r="Q1198" s="36">
        <f>YEAR(B1198)</f>
        <v/>
      </c>
      <c r="R1198" s="36">
        <f>"Q"&amp;ROUNDUP(MONTH(B1198)/3,0)</f>
        <v/>
      </c>
      <c r="S1198" s="36">
        <f>MONTH(B1198)</f>
        <v/>
      </c>
      <c r="T1198" s="36">
        <f>TEXT(B1198,"mmm")</f>
        <v/>
      </c>
      <c r="U1198" s="36">
        <f>IF(AND(OR(sel_Region="All",C1198=sel_Region),OR(sel_Country="All",D1198=sel_Country),OR(sel_Channel="All",E1198=sel_Channel),OR(sel_Customer="All",F1198=sel_Customer),OR(sel_Category="All",G1198=sel_Category),OR(sel_Product="All",H1198=sel_Product),AND(S1198&gt;=m_From,S1198&lt;=m_To)),1,0)</f>
        <v/>
      </c>
      <c r="V1198" s="36">
        <f>IF(AND(OR(sel_Region="All",C1198=sel_Region),OR(sel_Channel="All",E1198=sel_Channel),OR(sel_Customer="All",F1198=sel_Customer),OR(sel_Category="All",G1198=sel_Category),OR(sel_Product="All",H1198=sel_Product),AND(S1198&gt;=m_From,S1198&lt;=m_To)),1,0)</f>
        <v/>
      </c>
      <c r="W1198" s="36">
        <f>IF(AND(OR(sel_Region="All",C1198=sel_Region),OR(sel_Country="All",D1198=sel_Country),OR(sel_Customer="All",F1198=sel_Customer),OR(sel_Category="All",G1198=sel_Category),OR(sel_Product="All",H1198=sel_Product),AND(S1198&gt;=m_From,S1198&lt;=m_To)),1,0)</f>
        <v/>
      </c>
      <c r="X1198" s="36">
        <f>IF(AND(OR(sel_Region="All",C1198=sel_Region),OR(sel_Country="All",D1198=sel_Country),OR(sel_Channel="All",E1198=sel_Channel),OR(sel_Category="All",G1198=sel_Category),OR(sel_Product="All",H1198=sel_Product),AND(S1198&gt;=m_From,S1198&lt;=m_To)),1,0)</f>
        <v/>
      </c>
      <c r="Y1198" s="36">
        <f>IF(AND(OR(sel_Region="All",C1198=sel_Region),OR(sel_Country="All",D1198=sel_Country),OR(sel_Channel="All",E1198=sel_Channel),OR(sel_Customer="All",F1198=sel_Customer),OR(sel_Product="All",H1198=sel_Product),AND(S1198&gt;=m_From,S1198&lt;=m_To)),1,0)</f>
        <v/>
      </c>
      <c r="Z1198" s="36">
        <f>IF(AND(OR(sel_Region="All",C1198=sel_Region),OR(sel_Country="All",D1198=sel_Country),OR(sel_Channel="All",E1198=sel_Channel),OR(sel_Customer="All",F1198=sel_Customer),OR(sel_Category="All",G1198=sel_Category),AND(S1198&gt;=m_From,S1198&lt;=m_To)),1,0)</f>
        <v/>
      </c>
      <c r="AA1198" s="36">
        <f>IF(AND(OR(sel_Region="All",C1198=sel_Region),OR(sel_Country="All",D1198=sel_Country),OR(sel_Channel="All",E1198=sel_Channel),OR(sel_Customer="All",F1198=sel_Customer),OR(sel_Category="All",G1198=sel_Category),OR(sel_Product="All",H1198=sel_Product)),1,0)</f>
        <v/>
      </c>
    </row>
    <row r="1199">
      <c r="A1199" s="36" t="inlineStr">
        <is>
          <t>01163</t>
        </is>
      </c>
      <c r="B1199" s="44" t="n">
        <v>46198</v>
      </c>
      <c r="C1199" s="36" t="inlineStr">
        <is>
          <t>Central Europe</t>
        </is>
      </c>
      <c r="D1199" s="36" t="inlineStr">
        <is>
          <t>Germany</t>
        </is>
      </c>
      <c r="E1199" s="36" t="inlineStr">
        <is>
          <t>Online Store</t>
        </is>
      </c>
      <c r="F1199" s="36" t="inlineStr">
        <is>
          <t>New</t>
        </is>
      </c>
      <c r="G1199" s="36" t="inlineStr">
        <is>
          <t>Travel</t>
        </is>
      </c>
      <c r="H1199" s="36" t="inlineStr">
        <is>
          <t>Packing Cube Set</t>
        </is>
      </c>
      <c r="I1199" s="36" t="n">
        <v>2</v>
      </c>
      <c r="J1199" s="39" t="n">
        <v>46.69</v>
      </c>
      <c r="K1199" s="45" t="n">
        <v>0.05</v>
      </c>
      <c r="L1199" s="39" t="n">
        <v>18.23</v>
      </c>
      <c r="M1199" s="39">
        <f>I1199*J1199*(1-K1199)</f>
        <v/>
      </c>
      <c r="N1199" s="39">
        <f>I1199*L1199</f>
        <v/>
      </c>
      <c r="O1199" s="39">
        <f>M1199-N1199</f>
        <v/>
      </c>
      <c r="P1199" s="38">
        <f>IF(M1199=0,0,O1199/M1199)</f>
        <v/>
      </c>
      <c r="Q1199" s="36">
        <f>YEAR(B1199)</f>
        <v/>
      </c>
      <c r="R1199" s="36">
        <f>"Q"&amp;ROUNDUP(MONTH(B1199)/3,0)</f>
        <v/>
      </c>
      <c r="S1199" s="36">
        <f>MONTH(B1199)</f>
        <v/>
      </c>
      <c r="T1199" s="36">
        <f>TEXT(B1199,"mmm")</f>
        <v/>
      </c>
      <c r="U1199" s="36">
        <f>IF(AND(OR(sel_Region="All",C1199=sel_Region),OR(sel_Country="All",D1199=sel_Country),OR(sel_Channel="All",E1199=sel_Channel),OR(sel_Customer="All",F1199=sel_Customer),OR(sel_Category="All",G1199=sel_Category),OR(sel_Product="All",H1199=sel_Product),AND(S1199&gt;=m_From,S1199&lt;=m_To)),1,0)</f>
        <v/>
      </c>
      <c r="V1199" s="36">
        <f>IF(AND(OR(sel_Region="All",C1199=sel_Region),OR(sel_Channel="All",E1199=sel_Channel),OR(sel_Customer="All",F1199=sel_Customer),OR(sel_Category="All",G1199=sel_Category),OR(sel_Product="All",H1199=sel_Product),AND(S1199&gt;=m_From,S1199&lt;=m_To)),1,0)</f>
        <v/>
      </c>
      <c r="W1199" s="36">
        <f>IF(AND(OR(sel_Region="All",C1199=sel_Region),OR(sel_Country="All",D1199=sel_Country),OR(sel_Customer="All",F1199=sel_Customer),OR(sel_Category="All",G1199=sel_Category),OR(sel_Product="All",H1199=sel_Product),AND(S1199&gt;=m_From,S1199&lt;=m_To)),1,0)</f>
        <v/>
      </c>
      <c r="X1199" s="36">
        <f>IF(AND(OR(sel_Region="All",C1199=sel_Region),OR(sel_Country="All",D1199=sel_Country),OR(sel_Channel="All",E1199=sel_Channel),OR(sel_Category="All",G1199=sel_Category),OR(sel_Product="All",H1199=sel_Product),AND(S1199&gt;=m_From,S1199&lt;=m_To)),1,0)</f>
        <v/>
      </c>
      <c r="Y1199" s="36">
        <f>IF(AND(OR(sel_Region="All",C1199=sel_Region),OR(sel_Country="All",D1199=sel_Country),OR(sel_Channel="All",E1199=sel_Channel),OR(sel_Customer="All",F1199=sel_Customer),OR(sel_Product="All",H1199=sel_Product),AND(S1199&gt;=m_From,S1199&lt;=m_To)),1,0)</f>
        <v/>
      </c>
      <c r="Z1199" s="36">
        <f>IF(AND(OR(sel_Region="All",C1199=sel_Region),OR(sel_Country="All",D1199=sel_Country),OR(sel_Channel="All",E1199=sel_Channel),OR(sel_Customer="All",F1199=sel_Customer),OR(sel_Category="All",G1199=sel_Category),AND(S1199&gt;=m_From,S1199&lt;=m_To)),1,0)</f>
        <v/>
      </c>
      <c r="AA1199" s="36">
        <f>IF(AND(OR(sel_Region="All",C1199=sel_Region),OR(sel_Country="All",D1199=sel_Country),OR(sel_Channel="All",E1199=sel_Channel),OR(sel_Customer="All",F1199=sel_Customer),OR(sel_Category="All",G1199=sel_Category),OR(sel_Product="All",H1199=sel_Product)),1,0)</f>
        <v/>
      </c>
    </row>
    <row r="1200">
      <c r="A1200" s="36" t="inlineStr">
        <is>
          <t>01323</t>
        </is>
      </c>
      <c r="B1200" s="44" t="n">
        <v>46198</v>
      </c>
      <c r="C1200" s="36" t="inlineStr">
        <is>
          <t>Central Europe</t>
        </is>
      </c>
      <c r="D1200" s="36" t="inlineStr">
        <is>
          <t>Germany</t>
        </is>
      </c>
      <c r="E1200" s="36" t="inlineStr">
        <is>
          <t>Online Store</t>
        </is>
      </c>
      <c r="F1200" s="36" t="inlineStr">
        <is>
          <t>Returning</t>
        </is>
      </c>
      <c r="G1200" s="36" t="inlineStr">
        <is>
          <t>Fitness</t>
        </is>
      </c>
      <c r="H1200" s="36" t="inlineStr">
        <is>
          <t>Resistance Band Set</t>
        </is>
      </c>
      <c r="I1200" s="36" t="n">
        <v>2</v>
      </c>
      <c r="J1200" s="39" t="n">
        <v>39.57</v>
      </c>
      <c r="K1200" s="45" t="n">
        <v>0.1</v>
      </c>
      <c r="L1200" s="39" t="n">
        <v>14.64</v>
      </c>
      <c r="M1200" s="39">
        <f>I1200*J1200*(1-K1200)</f>
        <v/>
      </c>
      <c r="N1200" s="39">
        <f>I1200*L1200</f>
        <v/>
      </c>
      <c r="O1200" s="39">
        <f>M1200-N1200</f>
        <v/>
      </c>
      <c r="P1200" s="38">
        <f>IF(M1200=0,0,O1200/M1200)</f>
        <v/>
      </c>
      <c r="Q1200" s="36">
        <f>YEAR(B1200)</f>
        <v/>
      </c>
      <c r="R1200" s="36">
        <f>"Q"&amp;ROUNDUP(MONTH(B1200)/3,0)</f>
        <v/>
      </c>
      <c r="S1200" s="36">
        <f>MONTH(B1200)</f>
        <v/>
      </c>
      <c r="T1200" s="36">
        <f>TEXT(B1200,"mmm")</f>
        <v/>
      </c>
      <c r="U1200" s="36">
        <f>IF(AND(OR(sel_Region="All",C1200=sel_Region),OR(sel_Country="All",D1200=sel_Country),OR(sel_Channel="All",E1200=sel_Channel),OR(sel_Customer="All",F1200=sel_Customer),OR(sel_Category="All",G1200=sel_Category),OR(sel_Product="All",H1200=sel_Product),AND(S1200&gt;=m_From,S1200&lt;=m_To)),1,0)</f>
        <v/>
      </c>
      <c r="V1200" s="36">
        <f>IF(AND(OR(sel_Region="All",C1200=sel_Region),OR(sel_Channel="All",E1200=sel_Channel),OR(sel_Customer="All",F1200=sel_Customer),OR(sel_Category="All",G1200=sel_Category),OR(sel_Product="All",H1200=sel_Product),AND(S1200&gt;=m_From,S1200&lt;=m_To)),1,0)</f>
        <v/>
      </c>
      <c r="W1200" s="36">
        <f>IF(AND(OR(sel_Region="All",C1200=sel_Region),OR(sel_Country="All",D1200=sel_Country),OR(sel_Customer="All",F1200=sel_Customer),OR(sel_Category="All",G1200=sel_Category),OR(sel_Product="All",H1200=sel_Product),AND(S1200&gt;=m_From,S1200&lt;=m_To)),1,0)</f>
        <v/>
      </c>
      <c r="X1200" s="36">
        <f>IF(AND(OR(sel_Region="All",C1200=sel_Region),OR(sel_Country="All",D1200=sel_Country),OR(sel_Channel="All",E1200=sel_Channel),OR(sel_Category="All",G1200=sel_Category),OR(sel_Product="All",H1200=sel_Product),AND(S1200&gt;=m_From,S1200&lt;=m_To)),1,0)</f>
        <v/>
      </c>
      <c r="Y1200" s="36">
        <f>IF(AND(OR(sel_Region="All",C1200=sel_Region),OR(sel_Country="All",D1200=sel_Country),OR(sel_Channel="All",E1200=sel_Channel),OR(sel_Customer="All",F1200=sel_Customer),OR(sel_Product="All",H1200=sel_Product),AND(S1200&gt;=m_From,S1200&lt;=m_To)),1,0)</f>
        <v/>
      </c>
      <c r="Z1200" s="36">
        <f>IF(AND(OR(sel_Region="All",C1200=sel_Region),OR(sel_Country="All",D1200=sel_Country),OR(sel_Channel="All",E1200=sel_Channel),OR(sel_Customer="All",F1200=sel_Customer),OR(sel_Category="All",G1200=sel_Category),AND(S1200&gt;=m_From,S1200&lt;=m_To)),1,0)</f>
        <v/>
      </c>
      <c r="AA1200" s="36">
        <f>IF(AND(OR(sel_Region="All",C1200=sel_Region),OR(sel_Country="All",D1200=sel_Country),OR(sel_Channel="All",E1200=sel_Channel),OR(sel_Customer="All",F1200=sel_Customer),OR(sel_Category="All",G1200=sel_Category),OR(sel_Product="All",H1200=sel_Product)),1,0)</f>
        <v/>
      </c>
    </row>
    <row r="1201">
      <c r="A1201" s="36" t="inlineStr">
        <is>
          <t>02098</t>
        </is>
      </c>
      <c r="B1201" s="44" t="n">
        <v>46198</v>
      </c>
      <c r="C1201" s="36" t="inlineStr">
        <is>
          <t>Northern Europe</t>
        </is>
      </c>
      <c r="D1201" s="36" t="inlineStr">
        <is>
          <t>Sweden</t>
        </is>
      </c>
      <c r="E1201" s="36" t="inlineStr">
        <is>
          <t>Online Store</t>
        </is>
      </c>
      <c r="F1201" s="36" t="inlineStr">
        <is>
          <t>Returning</t>
        </is>
      </c>
      <c r="G1201" s="36" t="inlineStr">
        <is>
          <t>Hiking</t>
        </is>
      </c>
      <c r="H1201" s="36" t="inlineStr">
        <is>
          <t>Trail Boots</t>
        </is>
      </c>
      <c r="I1201" s="36" t="n">
        <v>1</v>
      </c>
      <c r="J1201" s="39" t="n">
        <v>146.46</v>
      </c>
      <c r="K1201" s="45" t="n">
        <v>0.15</v>
      </c>
      <c r="L1201" s="39" t="n">
        <v>80.76000000000001</v>
      </c>
      <c r="M1201" s="39">
        <f>I1201*J1201*(1-K1201)</f>
        <v/>
      </c>
      <c r="N1201" s="39">
        <f>I1201*L1201</f>
        <v/>
      </c>
      <c r="O1201" s="39">
        <f>M1201-N1201</f>
        <v/>
      </c>
      <c r="P1201" s="38">
        <f>IF(M1201=0,0,O1201/M1201)</f>
        <v/>
      </c>
      <c r="Q1201" s="36">
        <f>YEAR(B1201)</f>
        <v/>
      </c>
      <c r="R1201" s="36">
        <f>"Q"&amp;ROUNDUP(MONTH(B1201)/3,0)</f>
        <v/>
      </c>
      <c r="S1201" s="36">
        <f>MONTH(B1201)</f>
        <v/>
      </c>
      <c r="T1201" s="36">
        <f>TEXT(B1201,"mmm")</f>
        <v/>
      </c>
      <c r="U1201" s="36">
        <f>IF(AND(OR(sel_Region="All",C1201=sel_Region),OR(sel_Country="All",D1201=sel_Country),OR(sel_Channel="All",E1201=sel_Channel),OR(sel_Customer="All",F1201=sel_Customer),OR(sel_Category="All",G1201=sel_Category),OR(sel_Product="All",H1201=sel_Product),AND(S1201&gt;=m_From,S1201&lt;=m_To)),1,0)</f>
        <v/>
      </c>
      <c r="V1201" s="36">
        <f>IF(AND(OR(sel_Region="All",C1201=sel_Region),OR(sel_Channel="All",E1201=sel_Channel),OR(sel_Customer="All",F1201=sel_Customer),OR(sel_Category="All",G1201=sel_Category),OR(sel_Product="All",H1201=sel_Product),AND(S1201&gt;=m_From,S1201&lt;=m_To)),1,0)</f>
        <v/>
      </c>
      <c r="W1201" s="36">
        <f>IF(AND(OR(sel_Region="All",C1201=sel_Region),OR(sel_Country="All",D1201=sel_Country),OR(sel_Customer="All",F1201=sel_Customer),OR(sel_Category="All",G1201=sel_Category),OR(sel_Product="All",H1201=sel_Product),AND(S1201&gt;=m_From,S1201&lt;=m_To)),1,0)</f>
        <v/>
      </c>
      <c r="X1201" s="36">
        <f>IF(AND(OR(sel_Region="All",C1201=sel_Region),OR(sel_Country="All",D1201=sel_Country),OR(sel_Channel="All",E1201=sel_Channel),OR(sel_Category="All",G1201=sel_Category),OR(sel_Product="All",H1201=sel_Product),AND(S1201&gt;=m_From,S1201&lt;=m_To)),1,0)</f>
        <v/>
      </c>
      <c r="Y1201" s="36">
        <f>IF(AND(OR(sel_Region="All",C1201=sel_Region),OR(sel_Country="All",D1201=sel_Country),OR(sel_Channel="All",E1201=sel_Channel),OR(sel_Customer="All",F1201=sel_Customer),OR(sel_Product="All",H1201=sel_Product),AND(S1201&gt;=m_From,S1201&lt;=m_To)),1,0)</f>
        <v/>
      </c>
      <c r="Z1201" s="36">
        <f>IF(AND(OR(sel_Region="All",C1201=sel_Region),OR(sel_Country="All",D1201=sel_Country),OR(sel_Channel="All",E1201=sel_Channel),OR(sel_Customer="All",F1201=sel_Customer),OR(sel_Category="All",G1201=sel_Category),AND(S1201&gt;=m_From,S1201&lt;=m_To)),1,0)</f>
        <v/>
      </c>
      <c r="AA1201" s="36">
        <f>IF(AND(OR(sel_Region="All",C1201=sel_Region),OR(sel_Country="All",D1201=sel_Country),OR(sel_Channel="All",E1201=sel_Channel),OR(sel_Customer="All",F1201=sel_Customer),OR(sel_Category="All",G1201=sel_Category),OR(sel_Product="All",H1201=sel_Product)),1,0)</f>
        <v/>
      </c>
    </row>
    <row r="1202">
      <c r="A1202" s="36" t="inlineStr">
        <is>
          <t>02190</t>
        </is>
      </c>
      <c r="B1202" s="44" t="n">
        <v>46198</v>
      </c>
      <c r="C1202" s="36" t="inlineStr">
        <is>
          <t>Central Europe</t>
        </is>
      </c>
      <c r="D1202" s="36" t="inlineStr">
        <is>
          <t>Austria</t>
        </is>
      </c>
      <c r="E1202" s="36" t="inlineStr">
        <is>
          <t>Retail Partners</t>
        </is>
      </c>
      <c r="F1202" s="36" t="inlineStr">
        <is>
          <t>Business</t>
        </is>
      </c>
      <c r="G1202" s="36" t="inlineStr">
        <is>
          <t>Cycling</t>
        </is>
      </c>
      <c r="H1202" s="36" t="inlineStr">
        <is>
          <t>Trail Bike Light</t>
        </is>
      </c>
      <c r="I1202" s="36" t="n">
        <v>5</v>
      </c>
      <c r="J1202" s="39" t="n">
        <v>50.78</v>
      </c>
      <c r="K1202" s="45" t="n">
        <v>0</v>
      </c>
      <c r="L1202" s="39" t="n">
        <v>22.68</v>
      </c>
      <c r="M1202" s="39">
        <f>I1202*J1202*(1-K1202)</f>
        <v/>
      </c>
      <c r="N1202" s="39">
        <f>I1202*L1202</f>
        <v/>
      </c>
      <c r="O1202" s="39">
        <f>M1202-N1202</f>
        <v/>
      </c>
      <c r="P1202" s="38">
        <f>IF(M1202=0,0,O1202/M1202)</f>
        <v/>
      </c>
      <c r="Q1202" s="36">
        <f>YEAR(B1202)</f>
        <v/>
      </c>
      <c r="R1202" s="36">
        <f>"Q"&amp;ROUNDUP(MONTH(B1202)/3,0)</f>
        <v/>
      </c>
      <c r="S1202" s="36">
        <f>MONTH(B1202)</f>
        <v/>
      </c>
      <c r="T1202" s="36">
        <f>TEXT(B1202,"mmm")</f>
        <v/>
      </c>
      <c r="U1202" s="36">
        <f>IF(AND(OR(sel_Region="All",C1202=sel_Region),OR(sel_Country="All",D1202=sel_Country),OR(sel_Channel="All",E1202=sel_Channel),OR(sel_Customer="All",F1202=sel_Customer),OR(sel_Category="All",G1202=sel_Category),OR(sel_Product="All",H1202=sel_Product),AND(S1202&gt;=m_From,S1202&lt;=m_To)),1,0)</f>
        <v/>
      </c>
      <c r="V1202" s="36">
        <f>IF(AND(OR(sel_Region="All",C1202=sel_Region),OR(sel_Channel="All",E1202=sel_Channel),OR(sel_Customer="All",F1202=sel_Customer),OR(sel_Category="All",G1202=sel_Category),OR(sel_Product="All",H1202=sel_Product),AND(S1202&gt;=m_From,S1202&lt;=m_To)),1,0)</f>
        <v/>
      </c>
      <c r="W1202" s="36">
        <f>IF(AND(OR(sel_Region="All",C1202=sel_Region),OR(sel_Country="All",D1202=sel_Country),OR(sel_Customer="All",F1202=sel_Customer),OR(sel_Category="All",G1202=sel_Category),OR(sel_Product="All",H1202=sel_Product),AND(S1202&gt;=m_From,S1202&lt;=m_To)),1,0)</f>
        <v/>
      </c>
      <c r="X1202" s="36">
        <f>IF(AND(OR(sel_Region="All",C1202=sel_Region),OR(sel_Country="All",D1202=sel_Country),OR(sel_Channel="All",E1202=sel_Channel),OR(sel_Category="All",G1202=sel_Category),OR(sel_Product="All",H1202=sel_Product),AND(S1202&gt;=m_From,S1202&lt;=m_To)),1,0)</f>
        <v/>
      </c>
      <c r="Y1202" s="36">
        <f>IF(AND(OR(sel_Region="All",C1202=sel_Region),OR(sel_Country="All",D1202=sel_Country),OR(sel_Channel="All",E1202=sel_Channel),OR(sel_Customer="All",F1202=sel_Customer),OR(sel_Product="All",H1202=sel_Product),AND(S1202&gt;=m_From,S1202&lt;=m_To)),1,0)</f>
        <v/>
      </c>
      <c r="Z1202" s="36">
        <f>IF(AND(OR(sel_Region="All",C1202=sel_Region),OR(sel_Country="All",D1202=sel_Country),OR(sel_Channel="All",E1202=sel_Channel),OR(sel_Customer="All",F1202=sel_Customer),OR(sel_Category="All",G1202=sel_Category),AND(S1202&gt;=m_From,S1202&lt;=m_To)),1,0)</f>
        <v/>
      </c>
      <c r="AA1202" s="36">
        <f>IF(AND(OR(sel_Region="All",C1202=sel_Region),OR(sel_Country="All",D1202=sel_Country),OR(sel_Channel="All",E1202=sel_Channel),OR(sel_Customer="All",F1202=sel_Customer),OR(sel_Category="All",G1202=sel_Category),OR(sel_Product="All",H1202=sel_Product)),1,0)</f>
        <v/>
      </c>
    </row>
    <row r="1203">
      <c r="A1203" s="36" t="inlineStr">
        <is>
          <t>02664</t>
        </is>
      </c>
      <c r="B1203" s="44" t="n">
        <v>46198</v>
      </c>
      <c r="C1203" s="36" t="inlineStr">
        <is>
          <t>Northern Europe</t>
        </is>
      </c>
      <c r="D1203" s="36" t="inlineStr">
        <is>
          <t>Finland</t>
        </is>
      </c>
      <c r="E1203" s="36" t="inlineStr">
        <is>
          <t>Marketplace</t>
        </is>
      </c>
      <c r="F1203" s="36" t="inlineStr">
        <is>
          <t>Returning</t>
        </is>
      </c>
      <c r="G1203" s="36" t="inlineStr">
        <is>
          <t>Travel</t>
        </is>
      </c>
      <c r="H1203" s="36" t="inlineStr">
        <is>
          <t>Packing Cube Set</t>
        </is>
      </c>
      <c r="I1203" s="36" t="n">
        <v>3</v>
      </c>
      <c r="J1203" s="39" t="n">
        <v>47.61</v>
      </c>
      <c r="K1203" s="45" t="n">
        <v>0</v>
      </c>
      <c r="L1203" s="39" t="n">
        <v>18.21</v>
      </c>
      <c r="M1203" s="39">
        <f>I1203*J1203*(1-K1203)</f>
        <v/>
      </c>
      <c r="N1203" s="39">
        <f>I1203*L1203</f>
        <v/>
      </c>
      <c r="O1203" s="39">
        <f>M1203-N1203</f>
        <v/>
      </c>
      <c r="P1203" s="38">
        <f>IF(M1203=0,0,O1203/M1203)</f>
        <v/>
      </c>
      <c r="Q1203" s="36">
        <f>YEAR(B1203)</f>
        <v/>
      </c>
      <c r="R1203" s="36">
        <f>"Q"&amp;ROUNDUP(MONTH(B1203)/3,0)</f>
        <v/>
      </c>
      <c r="S1203" s="36">
        <f>MONTH(B1203)</f>
        <v/>
      </c>
      <c r="T1203" s="36">
        <f>TEXT(B1203,"mmm")</f>
        <v/>
      </c>
      <c r="U1203" s="36">
        <f>IF(AND(OR(sel_Region="All",C1203=sel_Region),OR(sel_Country="All",D1203=sel_Country),OR(sel_Channel="All",E1203=sel_Channel),OR(sel_Customer="All",F1203=sel_Customer),OR(sel_Category="All",G1203=sel_Category),OR(sel_Product="All",H1203=sel_Product),AND(S1203&gt;=m_From,S1203&lt;=m_To)),1,0)</f>
        <v/>
      </c>
      <c r="V1203" s="36">
        <f>IF(AND(OR(sel_Region="All",C1203=sel_Region),OR(sel_Channel="All",E1203=sel_Channel),OR(sel_Customer="All",F1203=sel_Customer),OR(sel_Category="All",G1203=sel_Category),OR(sel_Product="All",H1203=sel_Product),AND(S1203&gt;=m_From,S1203&lt;=m_To)),1,0)</f>
        <v/>
      </c>
      <c r="W1203" s="36">
        <f>IF(AND(OR(sel_Region="All",C1203=sel_Region),OR(sel_Country="All",D1203=sel_Country),OR(sel_Customer="All",F1203=sel_Customer),OR(sel_Category="All",G1203=sel_Category),OR(sel_Product="All",H1203=sel_Product),AND(S1203&gt;=m_From,S1203&lt;=m_To)),1,0)</f>
        <v/>
      </c>
      <c r="X1203" s="36">
        <f>IF(AND(OR(sel_Region="All",C1203=sel_Region),OR(sel_Country="All",D1203=sel_Country),OR(sel_Channel="All",E1203=sel_Channel),OR(sel_Category="All",G1203=sel_Category),OR(sel_Product="All",H1203=sel_Product),AND(S1203&gt;=m_From,S1203&lt;=m_To)),1,0)</f>
        <v/>
      </c>
      <c r="Y1203" s="36">
        <f>IF(AND(OR(sel_Region="All",C1203=sel_Region),OR(sel_Country="All",D1203=sel_Country),OR(sel_Channel="All",E1203=sel_Channel),OR(sel_Customer="All",F1203=sel_Customer),OR(sel_Product="All",H1203=sel_Product),AND(S1203&gt;=m_From,S1203&lt;=m_To)),1,0)</f>
        <v/>
      </c>
      <c r="Z1203" s="36">
        <f>IF(AND(OR(sel_Region="All",C1203=sel_Region),OR(sel_Country="All",D1203=sel_Country),OR(sel_Channel="All",E1203=sel_Channel),OR(sel_Customer="All",F1203=sel_Customer),OR(sel_Category="All",G1203=sel_Category),AND(S1203&gt;=m_From,S1203&lt;=m_To)),1,0)</f>
        <v/>
      </c>
      <c r="AA1203" s="36">
        <f>IF(AND(OR(sel_Region="All",C1203=sel_Region),OR(sel_Country="All",D1203=sel_Country),OR(sel_Channel="All",E1203=sel_Channel),OR(sel_Customer="All",F1203=sel_Customer),OR(sel_Category="All",G1203=sel_Category),OR(sel_Product="All",H1203=sel_Product)),1,0)</f>
        <v/>
      </c>
    </row>
    <row r="1204">
      <c r="A1204" s="36" t="inlineStr">
        <is>
          <t>02992</t>
        </is>
      </c>
      <c r="B1204" s="44" t="n">
        <v>46198</v>
      </c>
      <c r="C1204" s="36" t="inlineStr">
        <is>
          <t>Northern Europe</t>
        </is>
      </c>
      <c r="D1204" s="36" t="inlineStr">
        <is>
          <t>Norway</t>
        </is>
      </c>
      <c r="E1204" s="36" t="inlineStr">
        <is>
          <t>Online Store</t>
        </is>
      </c>
      <c r="F1204" s="36" t="inlineStr">
        <is>
          <t>New</t>
        </is>
      </c>
      <c r="G1204" s="36" t="inlineStr">
        <is>
          <t>Cycling</t>
        </is>
      </c>
      <c r="H1204" s="36" t="inlineStr">
        <is>
          <t>Trail Bike Light</t>
        </is>
      </c>
      <c r="I1204" s="36" t="n">
        <v>1</v>
      </c>
      <c r="J1204" s="39" t="n">
        <v>50.75</v>
      </c>
      <c r="K1204" s="45" t="n">
        <v>0.1</v>
      </c>
      <c r="L1204" s="39" t="n">
        <v>22.94</v>
      </c>
      <c r="M1204" s="39">
        <f>I1204*J1204*(1-K1204)</f>
        <v/>
      </c>
      <c r="N1204" s="39">
        <f>I1204*L1204</f>
        <v/>
      </c>
      <c r="O1204" s="39">
        <f>M1204-N1204</f>
        <v/>
      </c>
      <c r="P1204" s="38">
        <f>IF(M1204=0,0,O1204/M1204)</f>
        <v/>
      </c>
      <c r="Q1204" s="36">
        <f>YEAR(B1204)</f>
        <v/>
      </c>
      <c r="R1204" s="36">
        <f>"Q"&amp;ROUNDUP(MONTH(B1204)/3,0)</f>
        <v/>
      </c>
      <c r="S1204" s="36">
        <f>MONTH(B1204)</f>
        <v/>
      </c>
      <c r="T1204" s="36">
        <f>TEXT(B1204,"mmm")</f>
        <v/>
      </c>
      <c r="U1204" s="36">
        <f>IF(AND(OR(sel_Region="All",C1204=sel_Region),OR(sel_Country="All",D1204=sel_Country),OR(sel_Channel="All",E1204=sel_Channel),OR(sel_Customer="All",F1204=sel_Customer),OR(sel_Category="All",G1204=sel_Category),OR(sel_Product="All",H1204=sel_Product),AND(S1204&gt;=m_From,S1204&lt;=m_To)),1,0)</f>
        <v/>
      </c>
      <c r="V1204" s="36">
        <f>IF(AND(OR(sel_Region="All",C1204=sel_Region),OR(sel_Channel="All",E1204=sel_Channel),OR(sel_Customer="All",F1204=sel_Customer),OR(sel_Category="All",G1204=sel_Category),OR(sel_Product="All",H1204=sel_Product),AND(S1204&gt;=m_From,S1204&lt;=m_To)),1,0)</f>
        <v/>
      </c>
      <c r="W1204" s="36">
        <f>IF(AND(OR(sel_Region="All",C1204=sel_Region),OR(sel_Country="All",D1204=sel_Country),OR(sel_Customer="All",F1204=sel_Customer),OR(sel_Category="All",G1204=sel_Category),OR(sel_Product="All",H1204=sel_Product),AND(S1204&gt;=m_From,S1204&lt;=m_To)),1,0)</f>
        <v/>
      </c>
      <c r="X1204" s="36">
        <f>IF(AND(OR(sel_Region="All",C1204=sel_Region),OR(sel_Country="All",D1204=sel_Country),OR(sel_Channel="All",E1204=sel_Channel),OR(sel_Category="All",G1204=sel_Category),OR(sel_Product="All",H1204=sel_Product),AND(S1204&gt;=m_From,S1204&lt;=m_To)),1,0)</f>
        <v/>
      </c>
      <c r="Y1204" s="36">
        <f>IF(AND(OR(sel_Region="All",C1204=sel_Region),OR(sel_Country="All",D1204=sel_Country),OR(sel_Channel="All",E1204=sel_Channel),OR(sel_Customer="All",F1204=sel_Customer),OR(sel_Product="All",H1204=sel_Product),AND(S1204&gt;=m_From,S1204&lt;=m_To)),1,0)</f>
        <v/>
      </c>
      <c r="Z1204" s="36">
        <f>IF(AND(OR(sel_Region="All",C1204=sel_Region),OR(sel_Country="All",D1204=sel_Country),OR(sel_Channel="All",E1204=sel_Channel),OR(sel_Customer="All",F1204=sel_Customer),OR(sel_Category="All",G1204=sel_Category),AND(S1204&gt;=m_From,S1204&lt;=m_To)),1,0)</f>
        <v/>
      </c>
      <c r="AA1204" s="36">
        <f>IF(AND(OR(sel_Region="All",C1204=sel_Region),OR(sel_Country="All",D1204=sel_Country),OR(sel_Channel="All",E1204=sel_Channel),OR(sel_Customer="All",F1204=sel_Customer),OR(sel_Category="All",G1204=sel_Category),OR(sel_Product="All",H1204=sel_Product)),1,0)</f>
        <v/>
      </c>
    </row>
    <row r="1205">
      <c r="A1205" s="36" t="inlineStr">
        <is>
          <t>03120</t>
        </is>
      </c>
      <c r="B1205" s="44" t="n">
        <v>46198</v>
      </c>
      <c r="C1205" s="36" t="inlineStr">
        <is>
          <t>Northern Europe</t>
        </is>
      </c>
      <c r="D1205" s="36" t="inlineStr">
        <is>
          <t>Denmark</t>
        </is>
      </c>
      <c r="E1205" s="36" t="inlineStr">
        <is>
          <t>Marketplace</t>
        </is>
      </c>
      <c r="F1205" s="36" t="inlineStr">
        <is>
          <t>Returning</t>
        </is>
      </c>
      <c r="G1205" s="36" t="inlineStr">
        <is>
          <t>Fitness</t>
        </is>
      </c>
      <c r="H1205" s="36" t="inlineStr">
        <is>
          <t>Training Mat</t>
        </is>
      </c>
      <c r="I1205" s="36" t="n">
        <v>1</v>
      </c>
      <c r="J1205" s="39" t="n">
        <v>50.33</v>
      </c>
      <c r="K1205" s="45" t="n">
        <v>0</v>
      </c>
      <c r="L1205" s="39" t="n">
        <v>21.66</v>
      </c>
      <c r="M1205" s="39">
        <f>I1205*J1205*(1-K1205)</f>
        <v/>
      </c>
      <c r="N1205" s="39">
        <f>I1205*L1205</f>
        <v/>
      </c>
      <c r="O1205" s="39">
        <f>M1205-N1205</f>
        <v/>
      </c>
      <c r="P1205" s="38">
        <f>IF(M1205=0,0,O1205/M1205)</f>
        <v/>
      </c>
      <c r="Q1205" s="36">
        <f>YEAR(B1205)</f>
        <v/>
      </c>
      <c r="R1205" s="36">
        <f>"Q"&amp;ROUNDUP(MONTH(B1205)/3,0)</f>
        <v/>
      </c>
      <c r="S1205" s="36">
        <f>MONTH(B1205)</f>
        <v/>
      </c>
      <c r="T1205" s="36">
        <f>TEXT(B1205,"mmm")</f>
        <v/>
      </c>
      <c r="U1205" s="36">
        <f>IF(AND(OR(sel_Region="All",C1205=sel_Region),OR(sel_Country="All",D1205=sel_Country),OR(sel_Channel="All",E1205=sel_Channel),OR(sel_Customer="All",F1205=sel_Customer),OR(sel_Category="All",G1205=sel_Category),OR(sel_Product="All",H1205=sel_Product),AND(S1205&gt;=m_From,S1205&lt;=m_To)),1,0)</f>
        <v/>
      </c>
      <c r="V1205" s="36">
        <f>IF(AND(OR(sel_Region="All",C1205=sel_Region),OR(sel_Channel="All",E1205=sel_Channel),OR(sel_Customer="All",F1205=sel_Customer),OR(sel_Category="All",G1205=sel_Category),OR(sel_Product="All",H1205=sel_Product),AND(S1205&gt;=m_From,S1205&lt;=m_To)),1,0)</f>
        <v/>
      </c>
      <c r="W1205" s="36">
        <f>IF(AND(OR(sel_Region="All",C1205=sel_Region),OR(sel_Country="All",D1205=sel_Country),OR(sel_Customer="All",F1205=sel_Customer),OR(sel_Category="All",G1205=sel_Category),OR(sel_Product="All",H1205=sel_Product),AND(S1205&gt;=m_From,S1205&lt;=m_To)),1,0)</f>
        <v/>
      </c>
      <c r="X1205" s="36">
        <f>IF(AND(OR(sel_Region="All",C1205=sel_Region),OR(sel_Country="All",D1205=sel_Country),OR(sel_Channel="All",E1205=sel_Channel),OR(sel_Category="All",G1205=sel_Category),OR(sel_Product="All",H1205=sel_Product),AND(S1205&gt;=m_From,S1205&lt;=m_To)),1,0)</f>
        <v/>
      </c>
      <c r="Y1205" s="36">
        <f>IF(AND(OR(sel_Region="All",C1205=sel_Region),OR(sel_Country="All",D1205=sel_Country),OR(sel_Channel="All",E1205=sel_Channel),OR(sel_Customer="All",F1205=sel_Customer),OR(sel_Product="All",H1205=sel_Product),AND(S1205&gt;=m_From,S1205&lt;=m_To)),1,0)</f>
        <v/>
      </c>
      <c r="Z1205" s="36">
        <f>IF(AND(OR(sel_Region="All",C1205=sel_Region),OR(sel_Country="All",D1205=sel_Country),OR(sel_Channel="All",E1205=sel_Channel),OR(sel_Customer="All",F1205=sel_Customer),OR(sel_Category="All",G1205=sel_Category),AND(S1205&gt;=m_From,S1205&lt;=m_To)),1,0)</f>
        <v/>
      </c>
      <c r="AA1205" s="36">
        <f>IF(AND(OR(sel_Region="All",C1205=sel_Region),OR(sel_Country="All",D1205=sel_Country),OR(sel_Channel="All",E1205=sel_Channel),OR(sel_Customer="All",F1205=sel_Customer),OR(sel_Category="All",G1205=sel_Category),OR(sel_Product="All",H1205=sel_Product)),1,0)</f>
        <v/>
      </c>
    </row>
    <row r="1206">
      <c r="A1206" s="36" t="inlineStr">
        <is>
          <t>00189</t>
        </is>
      </c>
      <c r="B1206" s="44" t="n">
        <v>46199</v>
      </c>
      <c r="C1206" s="36" t="inlineStr">
        <is>
          <t>Northern Europe</t>
        </is>
      </c>
      <c r="D1206" s="36" t="inlineStr">
        <is>
          <t>Finland</t>
        </is>
      </c>
      <c r="E1206" s="36" t="inlineStr">
        <is>
          <t>Online Store</t>
        </is>
      </c>
      <c r="F1206" s="36" t="inlineStr">
        <is>
          <t>Business</t>
        </is>
      </c>
      <c r="G1206" s="36" t="inlineStr">
        <is>
          <t>Travel</t>
        </is>
      </c>
      <c r="H1206" s="36" t="inlineStr">
        <is>
          <t>Packing Cube Set</t>
        </is>
      </c>
      <c r="I1206" s="36" t="n">
        <v>1</v>
      </c>
      <c r="J1206" s="39" t="n">
        <v>47.5</v>
      </c>
      <c r="K1206" s="45" t="n">
        <v>0.1</v>
      </c>
      <c r="L1206" s="39" t="n">
        <v>18.8</v>
      </c>
      <c r="M1206" s="39">
        <f>I1206*J1206*(1-K1206)</f>
        <v/>
      </c>
      <c r="N1206" s="39">
        <f>I1206*L1206</f>
        <v/>
      </c>
      <c r="O1206" s="39">
        <f>M1206-N1206</f>
        <v/>
      </c>
      <c r="P1206" s="38">
        <f>IF(M1206=0,0,O1206/M1206)</f>
        <v/>
      </c>
      <c r="Q1206" s="36">
        <f>YEAR(B1206)</f>
        <v/>
      </c>
      <c r="R1206" s="36">
        <f>"Q"&amp;ROUNDUP(MONTH(B1206)/3,0)</f>
        <v/>
      </c>
      <c r="S1206" s="36">
        <f>MONTH(B1206)</f>
        <v/>
      </c>
      <c r="T1206" s="36">
        <f>TEXT(B1206,"mmm")</f>
        <v/>
      </c>
      <c r="U1206" s="36">
        <f>IF(AND(OR(sel_Region="All",C1206=sel_Region),OR(sel_Country="All",D1206=sel_Country),OR(sel_Channel="All",E1206=sel_Channel),OR(sel_Customer="All",F1206=sel_Customer),OR(sel_Category="All",G1206=sel_Category),OR(sel_Product="All",H1206=sel_Product),AND(S1206&gt;=m_From,S1206&lt;=m_To)),1,0)</f>
        <v/>
      </c>
      <c r="V1206" s="36">
        <f>IF(AND(OR(sel_Region="All",C1206=sel_Region),OR(sel_Channel="All",E1206=sel_Channel),OR(sel_Customer="All",F1206=sel_Customer),OR(sel_Category="All",G1206=sel_Category),OR(sel_Product="All",H1206=sel_Product),AND(S1206&gt;=m_From,S1206&lt;=m_To)),1,0)</f>
        <v/>
      </c>
      <c r="W1206" s="36">
        <f>IF(AND(OR(sel_Region="All",C1206=sel_Region),OR(sel_Country="All",D1206=sel_Country),OR(sel_Customer="All",F1206=sel_Customer),OR(sel_Category="All",G1206=sel_Category),OR(sel_Product="All",H1206=sel_Product),AND(S1206&gt;=m_From,S1206&lt;=m_To)),1,0)</f>
        <v/>
      </c>
      <c r="X1206" s="36">
        <f>IF(AND(OR(sel_Region="All",C1206=sel_Region),OR(sel_Country="All",D1206=sel_Country),OR(sel_Channel="All",E1206=sel_Channel),OR(sel_Category="All",G1206=sel_Category),OR(sel_Product="All",H1206=sel_Product),AND(S1206&gt;=m_From,S1206&lt;=m_To)),1,0)</f>
        <v/>
      </c>
      <c r="Y1206" s="36">
        <f>IF(AND(OR(sel_Region="All",C1206=sel_Region),OR(sel_Country="All",D1206=sel_Country),OR(sel_Channel="All",E1206=sel_Channel),OR(sel_Customer="All",F1206=sel_Customer),OR(sel_Product="All",H1206=sel_Product),AND(S1206&gt;=m_From,S1206&lt;=m_To)),1,0)</f>
        <v/>
      </c>
      <c r="Z1206" s="36">
        <f>IF(AND(OR(sel_Region="All",C1206=sel_Region),OR(sel_Country="All",D1206=sel_Country),OR(sel_Channel="All",E1206=sel_Channel),OR(sel_Customer="All",F1206=sel_Customer),OR(sel_Category="All",G1206=sel_Category),AND(S1206&gt;=m_From,S1206&lt;=m_To)),1,0)</f>
        <v/>
      </c>
      <c r="AA1206" s="36">
        <f>IF(AND(OR(sel_Region="All",C1206=sel_Region),OR(sel_Country="All",D1206=sel_Country),OR(sel_Channel="All",E1206=sel_Channel),OR(sel_Customer="All",F1206=sel_Customer),OR(sel_Category="All",G1206=sel_Category),OR(sel_Product="All",H1206=sel_Product)),1,0)</f>
        <v/>
      </c>
    </row>
    <row r="1207">
      <c r="A1207" s="36" t="inlineStr">
        <is>
          <t>00927</t>
        </is>
      </c>
      <c r="B1207" s="44" t="n">
        <v>46199</v>
      </c>
      <c r="C1207" s="36" t="inlineStr">
        <is>
          <t>Northern Europe</t>
        </is>
      </c>
      <c r="D1207" s="36" t="inlineStr">
        <is>
          <t>Finland</t>
        </is>
      </c>
      <c r="E1207" s="36" t="inlineStr">
        <is>
          <t>Marketplace</t>
        </is>
      </c>
      <c r="F1207" s="36" t="inlineStr">
        <is>
          <t>Returning</t>
        </is>
      </c>
      <c r="G1207" s="36" t="inlineStr">
        <is>
          <t>Travel</t>
        </is>
      </c>
      <c r="H1207" s="36" t="inlineStr">
        <is>
          <t>Carry-On Duffel</t>
        </is>
      </c>
      <c r="I1207" s="36" t="n">
        <v>2</v>
      </c>
      <c r="J1207" s="39" t="n">
        <v>130.33</v>
      </c>
      <c r="K1207" s="45" t="n">
        <v>0.1</v>
      </c>
      <c r="L1207" s="39" t="n">
        <v>67.31999999999999</v>
      </c>
      <c r="M1207" s="39">
        <f>I1207*J1207*(1-K1207)</f>
        <v/>
      </c>
      <c r="N1207" s="39">
        <f>I1207*L1207</f>
        <v/>
      </c>
      <c r="O1207" s="39">
        <f>M1207-N1207</f>
        <v/>
      </c>
      <c r="P1207" s="38">
        <f>IF(M1207=0,0,O1207/M1207)</f>
        <v/>
      </c>
      <c r="Q1207" s="36">
        <f>YEAR(B1207)</f>
        <v/>
      </c>
      <c r="R1207" s="36">
        <f>"Q"&amp;ROUNDUP(MONTH(B1207)/3,0)</f>
        <v/>
      </c>
      <c r="S1207" s="36">
        <f>MONTH(B1207)</f>
        <v/>
      </c>
      <c r="T1207" s="36">
        <f>TEXT(B1207,"mmm")</f>
        <v/>
      </c>
      <c r="U1207" s="36">
        <f>IF(AND(OR(sel_Region="All",C1207=sel_Region),OR(sel_Country="All",D1207=sel_Country),OR(sel_Channel="All",E1207=sel_Channel),OR(sel_Customer="All",F1207=sel_Customer),OR(sel_Category="All",G1207=sel_Category),OR(sel_Product="All",H1207=sel_Product),AND(S1207&gt;=m_From,S1207&lt;=m_To)),1,0)</f>
        <v/>
      </c>
      <c r="V1207" s="36">
        <f>IF(AND(OR(sel_Region="All",C1207=sel_Region),OR(sel_Channel="All",E1207=sel_Channel),OR(sel_Customer="All",F1207=sel_Customer),OR(sel_Category="All",G1207=sel_Category),OR(sel_Product="All",H1207=sel_Product),AND(S1207&gt;=m_From,S1207&lt;=m_To)),1,0)</f>
        <v/>
      </c>
      <c r="W1207" s="36">
        <f>IF(AND(OR(sel_Region="All",C1207=sel_Region),OR(sel_Country="All",D1207=sel_Country),OR(sel_Customer="All",F1207=sel_Customer),OR(sel_Category="All",G1207=sel_Category),OR(sel_Product="All",H1207=sel_Product),AND(S1207&gt;=m_From,S1207&lt;=m_To)),1,0)</f>
        <v/>
      </c>
      <c r="X1207" s="36">
        <f>IF(AND(OR(sel_Region="All",C1207=sel_Region),OR(sel_Country="All",D1207=sel_Country),OR(sel_Channel="All",E1207=sel_Channel),OR(sel_Category="All",G1207=sel_Category),OR(sel_Product="All",H1207=sel_Product),AND(S1207&gt;=m_From,S1207&lt;=m_To)),1,0)</f>
        <v/>
      </c>
      <c r="Y1207" s="36">
        <f>IF(AND(OR(sel_Region="All",C1207=sel_Region),OR(sel_Country="All",D1207=sel_Country),OR(sel_Channel="All",E1207=sel_Channel),OR(sel_Customer="All",F1207=sel_Customer),OR(sel_Product="All",H1207=sel_Product),AND(S1207&gt;=m_From,S1207&lt;=m_To)),1,0)</f>
        <v/>
      </c>
      <c r="Z1207" s="36">
        <f>IF(AND(OR(sel_Region="All",C1207=sel_Region),OR(sel_Country="All",D1207=sel_Country),OR(sel_Channel="All",E1207=sel_Channel),OR(sel_Customer="All",F1207=sel_Customer),OR(sel_Category="All",G1207=sel_Category),AND(S1207&gt;=m_From,S1207&lt;=m_To)),1,0)</f>
        <v/>
      </c>
      <c r="AA1207" s="36">
        <f>IF(AND(OR(sel_Region="All",C1207=sel_Region),OR(sel_Country="All",D1207=sel_Country),OR(sel_Channel="All",E1207=sel_Channel),OR(sel_Customer="All",F1207=sel_Customer),OR(sel_Category="All",G1207=sel_Category),OR(sel_Product="All",H1207=sel_Product)),1,0)</f>
        <v/>
      </c>
    </row>
    <row r="1208">
      <c r="A1208" s="36" t="inlineStr">
        <is>
          <t>01388</t>
        </is>
      </c>
      <c r="B1208" s="44" t="n">
        <v>46199</v>
      </c>
      <c r="C1208" s="36" t="inlineStr">
        <is>
          <t>Central Europe</t>
        </is>
      </c>
      <c r="D1208" s="36" t="inlineStr">
        <is>
          <t>Poland</t>
        </is>
      </c>
      <c r="E1208" s="36" t="inlineStr">
        <is>
          <t>Online Store</t>
        </is>
      </c>
      <c r="F1208" s="36" t="inlineStr">
        <is>
          <t>Returning</t>
        </is>
      </c>
      <c r="G1208" s="36" t="inlineStr">
        <is>
          <t>Hiking</t>
        </is>
      </c>
      <c r="H1208" s="36" t="inlineStr">
        <is>
          <t>Summit Backpack 45L</t>
        </is>
      </c>
      <c r="I1208" s="36" t="n">
        <v>3</v>
      </c>
      <c r="J1208" s="39" t="n">
        <v>156.76</v>
      </c>
      <c r="K1208" s="45" t="n">
        <v>0.05</v>
      </c>
      <c r="L1208" s="39" t="n">
        <v>78.63</v>
      </c>
      <c r="M1208" s="39">
        <f>I1208*J1208*(1-K1208)</f>
        <v/>
      </c>
      <c r="N1208" s="39">
        <f>I1208*L1208</f>
        <v/>
      </c>
      <c r="O1208" s="39">
        <f>M1208-N1208</f>
        <v/>
      </c>
      <c r="P1208" s="38">
        <f>IF(M1208=0,0,O1208/M1208)</f>
        <v/>
      </c>
      <c r="Q1208" s="36">
        <f>YEAR(B1208)</f>
        <v/>
      </c>
      <c r="R1208" s="36">
        <f>"Q"&amp;ROUNDUP(MONTH(B1208)/3,0)</f>
        <v/>
      </c>
      <c r="S1208" s="36">
        <f>MONTH(B1208)</f>
        <v/>
      </c>
      <c r="T1208" s="36">
        <f>TEXT(B1208,"mmm")</f>
        <v/>
      </c>
      <c r="U1208" s="36">
        <f>IF(AND(OR(sel_Region="All",C1208=sel_Region),OR(sel_Country="All",D1208=sel_Country),OR(sel_Channel="All",E1208=sel_Channel),OR(sel_Customer="All",F1208=sel_Customer),OR(sel_Category="All",G1208=sel_Category),OR(sel_Product="All",H1208=sel_Product),AND(S1208&gt;=m_From,S1208&lt;=m_To)),1,0)</f>
        <v/>
      </c>
      <c r="V1208" s="36">
        <f>IF(AND(OR(sel_Region="All",C1208=sel_Region),OR(sel_Channel="All",E1208=sel_Channel),OR(sel_Customer="All",F1208=sel_Customer),OR(sel_Category="All",G1208=sel_Category),OR(sel_Product="All",H1208=sel_Product),AND(S1208&gt;=m_From,S1208&lt;=m_To)),1,0)</f>
        <v/>
      </c>
      <c r="W1208" s="36">
        <f>IF(AND(OR(sel_Region="All",C1208=sel_Region),OR(sel_Country="All",D1208=sel_Country),OR(sel_Customer="All",F1208=sel_Customer),OR(sel_Category="All",G1208=sel_Category),OR(sel_Product="All",H1208=sel_Product),AND(S1208&gt;=m_From,S1208&lt;=m_To)),1,0)</f>
        <v/>
      </c>
      <c r="X1208" s="36">
        <f>IF(AND(OR(sel_Region="All",C1208=sel_Region),OR(sel_Country="All",D1208=sel_Country),OR(sel_Channel="All",E1208=sel_Channel),OR(sel_Category="All",G1208=sel_Category),OR(sel_Product="All",H1208=sel_Product),AND(S1208&gt;=m_From,S1208&lt;=m_To)),1,0)</f>
        <v/>
      </c>
      <c r="Y1208" s="36">
        <f>IF(AND(OR(sel_Region="All",C1208=sel_Region),OR(sel_Country="All",D1208=sel_Country),OR(sel_Channel="All",E1208=sel_Channel),OR(sel_Customer="All",F1208=sel_Customer),OR(sel_Product="All",H1208=sel_Product),AND(S1208&gt;=m_From,S1208&lt;=m_To)),1,0)</f>
        <v/>
      </c>
      <c r="Z1208" s="36">
        <f>IF(AND(OR(sel_Region="All",C1208=sel_Region),OR(sel_Country="All",D1208=sel_Country),OR(sel_Channel="All",E1208=sel_Channel),OR(sel_Customer="All",F1208=sel_Customer),OR(sel_Category="All",G1208=sel_Category),AND(S1208&gt;=m_From,S1208&lt;=m_To)),1,0)</f>
        <v/>
      </c>
      <c r="AA1208" s="36">
        <f>IF(AND(OR(sel_Region="All",C1208=sel_Region),OR(sel_Country="All",D1208=sel_Country),OR(sel_Channel="All",E1208=sel_Channel),OR(sel_Customer="All",F1208=sel_Customer),OR(sel_Category="All",G1208=sel_Category),OR(sel_Product="All",H1208=sel_Product)),1,0)</f>
        <v/>
      </c>
    </row>
    <row r="1209">
      <c r="A1209" s="36" t="inlineStr">
        <is>
          <t>03932</t>
        </is>
      </c>
      <c r="B1209" s="44" t="n">
        <v>46199</v>
      </c>
      <c r="C1209" s="36" t="inlineStr">
        <is>
          <t>Northern Europe</t>
        </is>
      </c>
      <c r="D1209" s="36" t="inlineStr">
        <is>
          <t>Finland</t>
        </is>
      </c>
      <c r="E1209" s="36" t="inlineStr">
        <is>
          <t>Online Store</t>
        </is>
      </c>
      <c r="F1209" s="36" t="inlineStr">
        <is>
          <t>New</t>
        </is>
      </c>
      <c r="G1209" s="36" t="inlineStr">
        <is>
          <t>Fitness</t>
        </is>
      </c>
      <c r="H1209" s="36" t="inlineStr">
        <is>
          <t>Recovery Roller</t>
        </is>
      </c>
      <c r="I1209" s="36" t="n">
        <v>4</v>
      </c>
      <c r="J1209" s="39" t="n">
        <v>35.77</v>
      </c>
      <c r="K1209" s="45" t="n">
        <v>0</v>
      </c>
      <c r="L1209" s="39" t="n">
        <v>13.75</v>
      </c>
      <c r="M1209" s="39">
        <f>I1209*J1209*(1-K1209)</f>
        <v/>
      </c>
      <c r="N1209" s="39">
        <f>I1209*L1209</f>
        <v/>
      </c>
      <c r="O1209" s="39">
        <f>M1209-N1209</f>
        <v/>
      </c>
      <c r="P1209" s="38">
        <f>IF(M1209=0,0,O1209/M1209)</f>
        <v/>
      </c>
      <c r="Q1209" s="36">
        <f>YEAR(B1209)</f>
        <v/>
      </c>
      <c r="R1209" s="36">
        <f>"Q"&amp;ROUNDUP(MONTH(B1209)/3,0)</f>
        <v/>
      </c>
      <c r="S1209" s="36">
        <f>MONTH(B1209)</f>
        <v/>
      </c>
      <c r="T1209" s="36">
        <f>TEXT(B1209,"mmm")</f>
        <v/>
      </c>
      <c r="U1209" s="36">
        <f>IF(AND(OR(sel_Region="All",C1209=sel_Region),OR(sel_Country="All",D1209=sel_Country),OR(sel_Channel="All",E1209=sel_Channel),OR(sel_Customer="All",F1209=sel_Customer),OR(sel_Category="All",G1209=sel_Category),OR(sel_Product="All",H1209=sel_Product),AND(S1209&gt;=m_From,S1209&lt;=m_To)),1,0)</f>
        <v/>
      </c>
      <c r="V1209" s="36">
        <f>IF(AND(OR(sel_Region="All",C1209=sel_Region),OR(sel_Channel="All",E1209=sel_Channel),OR(sel_Customer="All",F1209=sel_Customer),OR(sel_Category="All",G1209=sel_Category),OR(sel_Product="All",H1209=sel_Product),AND(S1209&gt;=m_From,S1209&lt;=m_To)),1,0)</f>
        <v/>
      </c>
      <c r="W1209" s="36">
        <f>IF(AND(OR(sel_Region="All",C1209=sel_Region),OR(sel_Country="All",D1209=sel_Country),OR(sel_Customer="All",F1209=sel_Customer),OR(sel_Category="All",G1209=sel_Category),OR(sel_Product="All",H1209=sel_Product),AND(S1209&gt;=m_From,S1209&lt;=m_To)),1,0)</f>
        <v/>
      </c>
      <c r="X1209" s="36">
        <f>IF(AND(OR(sel_Region="All",C1209=sel_Region),OR(sel_Country="All",D1209=sel_Country),OR(sel_Channel="All",E1209=sel_Channel),OR(sel_Category="All",G1209=sel_Category),OR(sel_Product="All",H1209=sel_Product),AND(S1209&gt;=m_From,S1209&lt;=m_To)),1,0)</f>
        <v/>
      </c>
      <c r="Y1209" s="36">
        <f>IF(AND(OR(sel_Region="All",C1209=sel_Region),OR(sel_Country="All",D1209=sel_Country),OR(sel_Channel="All",E1209=sel_Channel),OR(sel_Customer="All",F1209=sel_Customer),OR(sel_Product="All",H1209=sel_Product),AND(S1209&gt;=m_From,S1209&lt;=m_To)),1,0)</f>
        <v/>
      </c>
      <c r="Z1209" s="36">
        <f>IF(AND(OR(sel_Region="All",C1209=sel_Region),OR(sel_Country="All",D1209=sel_Country),OR(sel_Channel="All",E1209=sel_Channel),OR(sel_Customer="All",F1209=sel_Customer),OR(sel_Category="All",G1209=sel_Category),AND(S1209&gt;=m_From,S1209&lt;=m_To)),1,0)</f>
        <v/>
      </c>
      <c r="AA1209" s="36">
        <f>IF(AND(OR(sel_Region="All",C1209=sel_Region),OR(sel_Country="All",D1209=sel_Country),OR(sel_Channel="All",E1209=sel_Channel),OR(sel_Customer="All",F1209=sel_Customer),OR(sel_Category="All",G1209=sel_Category),OR(sel_Product="All",H1209=sel_Product)),1,0)</f>
        <v/>
      </c>
    </row>
    <row r="1210">
      <c r="A1210" s="36" t="inlineStr">
        <is>
          <t>04008</t>
        </is>
      </c>
      <c r="B1210" s="44" t="n">
        <v>46199</v>
      </c>
      <c r="C1210" s="36" t="inlineStr">
        <is>
          <t>Central Europe</t>
        </is>
      </c>
      <c r="D1210" s="36" t="inlineStr">
        <is>
          <t>Poland</t>
        </is>
      </c>
      <c r="E1210" s="36" t="inlineStr">
        <is>
          <t>Online Store</t>
        </is>
      </c>
      <c r="F1210" s="36" t="inlineStr">
        <is>
          <t>Returning</t>
        </is>
      </c>
      <c r="G1210" s="36" t="inlineStr">
        <is>
          <t>Cycling</t>
        </is>
      </c>
      <c r="H1210" s="36" t="inlineStr">
        <is>
          <t>Cycling Pack 12L</t>
        </is>
      </c>
      <c r="I1210" s="36" t="n">
        <v>2</v>
      </c>
      <c r="J1210" s="39" t="n">
        <v>102.49</v>
      </c>
      <c r="K1210" s="45" t="n">
        <v>0</v>
      </c>
      <c r="L1210" s="39" t="n">
        <v>50.07</v>
      </c>
      <c r="M1210" s="39">
        <f>I1210*J1210*(1-K1210)</f>
        <v/>
      </c>
      <c r="N1210" s="39">
        <f>I1210*L1210</f>
        <v/>
      </c>
      <c r="O1210" s="39">
        <f>M1210-N1210</f>
        <v/>
      </c>
      <c r="P1210" s="38">
        <f>IF(M1210=0,0,O1210/M1210)</f>
        <v/>
      </c>
      <c r="Q1210" s="36">
        <f>YEAR(B1210)</f>
        <v/>
      </c>
      <c r="R1210" s="36">
        <f>"Q"&amp;ROUNDUP(MONTH(B1210)/3,0)</f>
        <v/>
      </c>
      <c r="S1210" s="36">
        <f>MONTH(B1210)</f>
        <v/>
      </c>
      <c r="T1210" s="36">
        <f>TEXT(B1210,"mmm")</f>
        <v/>
      </c>
      <c r="U1210" s="36">
        <f>IF(AND(OR(sel_Region="All",C1210=sel_Region),OR(sel_Country="All",D1210=sel_Country),OR(sel_Channel="All",E1210=sel_Channel),OR(sel_Customer="All",F1210=sel_Customer),OR(sel_Category="All",G1210=sel_Category),OR(sel_Product="All",H1210=sel_Product),AND(S1210&gt;=m_From,S1210&lt;=m_To)),1,0)</f>
        <v/>
      </c>
      <c r="V1210" s="36">
        <f>IF(AND(OR(sel_Region="All",C1210=sel_Region),OR(sel_Channel="All",E1210=sel_Channel),OR(sel_Customer="All",F1210=sel_Customer),OR(sel_Category="All",G1210=sel_Category),OR(sel_Product="All",H1210=sel_Product),AND(S1210&gt;=m_From,S1210&lt;=m_To)),1,0)</f>
        <v/>
      </c>
      <c r="W1210" s="36">
        <f>IF(AND(OR(sel_Region="All",C1210=sel_Region),OR(sel_Country="All",D1210=sel_Country),OR(sel_Customer="All",F1210=sel_Customer),OR(sel_Category="All",G1210=sel_Category),OR(sel_Product="All",H1210=sel_Product),AND(S1210&gt;=m_From,S1210&lt;=m_To)),1,0)</f>
        <v/>
      </c>
      <c r="X1210" s="36">
        <f>IF(AND(OR(sel_Region="All",C1210=sel_Region),OR(sel_Country="All",D1210=sel_Country),OR(sel_Channel="All",E1210=sel_Channel),OR(sel_Category="All",G1210=sel_Category),OR(sel_Product="All",H1210=sel_Product),AND(S1210&gt;=m_From,S1210&lt;=m_To)),1,0)</f>
        <v/>
      </c>
      <c r="Y1210" s="36">
        <f>IF(AND(OR(sel_Region="All",C1210=sel_Region),OR(sel_Country="All",D1210=sel_Country),OR(sel_Channel="All",E1210=sel_Channel),OR(sel_Customer="All",F1210=sel_Customer),OR(sel_Product="All",H1210=sel_Product),AND(S1210&gt;=m_From,S1210&lt;=m_To)),1,0)</f>
        <v/>
      </c>
      <c r="Z1210" s="36">
        <f>IF(AND(OR(sel_Region="All",C1210=sel_Region),OR(sel_Country="All",D1210=sel_Country),OR(sel_Channel="All",E1210=sel_Channel),OR(sel_Customer="All",F1210=sel_Customer),OR(sel_Category="All",G1210=sel_Category),AND(S1210&gt;=m_From,S1210&lt;=m_To)),1,0)</f>
        <v/>
      </c>
      <c r="AA1210" s="36">
        <f>IF(AND(OR(sel_Region="All",C1210=sel_Region),OR(sel_Country="All",D1210=sel_Country),OR(sel_Channel="All",E1210=sel_Channel),OR(sel_Customer="All",F1210=sel_Customer),OR(sel_Category="All",G1210=sel_Category),OR(sel_Product="All",H1210=sel_Product)),1,0)</f>
        <v/>
      </c>
    </row>
    <row r="1211">
      <c r="A1211" s="36" t="inlineStr">
        <is>
          <t>04701</t>
        </is>
      </c>
      <c r="B1211" s="44" t="n">
        <v>46199</v>
      </c>
      <c r="C1211" s="36" t="inlineStr">
        <is>
          <t>Southern Europe</t>
        </is>
      </c>
      <c r="D1211" s="36" t="inlineStr">
        <is>
          <t>Spain</t>
        </is>
      </c>
      <c r="E1211" s="36" t="inlineStr">
        <is>
          <t>Corporate</t>
        </is>
      </c>
      <c r="F1211" s="36" t="inlineStr">
        <is>
          <t>Business</t>
        </is>
      </c>
      <c r="G1211" s="36" t="inlineStr">
        <is>
          <t>Cycling</t>
        </is>
      </c>
      <c r="H1211" s="36" t="inlineStr">
        <is>
          <t>Commuter Helmet</t>
        </is>
      </c>
      <c r="I1211" s="36" t="n">
        <v>8</v>
      </c>
      <c r="J1211" s="39" t="n">
        <v>82.47</v>
      </c>
      <c r="K1211" s="45" t="n">
        <v>0.15</v>
      </c>
      <c r="L1211" s="39" t="n">
        <v>42.58</v>
      </c>
      <c r="M1211" s="39">
        <f>I1211*J1211*(1-K1211)</f>
        <v/>
      </c>
      <c r="N1211" s="39">
        <f>I1211*L1211</f>
        <v/>
      </c>
      <c r="O1211" s="39">
        <f>M1211-N1211</f>
        <v/>
      </c>
      <c r="P1211" s="38">
        <f>IF(M1211=0,0,O1211/M1211)</f>
        <v/>
      </c>
      <c r="Q1211" s="36">
        <f>YEAR(B1211)</f>
        <v/>
      </c>
      <c r="R1211" s="36">
        <f>"Q"&amp;ROUNDUP(MONTH(B1211)/3,0)</f>
        <v/>
      </c>
      <c r="S1211" s="36">
        <f>MONTH(B1211)</f>
        <v/>
      </c>
      <c r="T1211" s="36">
        <f>TEXT(B1211,"mmm")</f>
        <v/>
      </c>
      <c r="U1211" s="36">
        <f>IF(AND(OR(sel_Region="All",C1211=sel_Region),OR(sel_Country="All",D1211=sel_Country),OR(sel_Channel="All",E1211=sel_Channel),OR(sel_Customer="All",F1211=sel_Customer),OR(sel_Category="All",G1211=sel_Category),OR(sel_Product="All",H1211=sel_Product),AND(S1211&gt;=m_From,S1211&lt;=m_To)),1,0)</f>
        <v/>
      </c>
      <c r="V1211" s="36">
        <f>IF(AND(OR(sel_Region="All",C1211=sel_Region),OR(sel_Channel="All",E1211=sel_Channel),OR(sel_Customer="All",F1211=sel_Customer),OR(sel_Category="All",G1211=sel_Category),OR(sel_Product="All",H1211=sel_Product),AND(S1211&gt;=m_From,S1211&lt;=m_To)),1,0)</f>
        <v/>
      </c>
      <c r="W1211" s="36">
        <f>IF(AND(OR(sel_Region="All",C1211=sel_Region),OR(sel_Country="All",D1211=sel_Country),OR(sel_Customer="All",F1211=sel_Customer),OR(sel_Category="All",G1211=sel_Category),OR(sel_Product="All",H1211=sel_Product),AND(S1211&gt;=m_From,S1211&lt;=m_To)),1,0)</f>
        <v/>
      </c>
      <c r="X1211" s="36">
        <f>IF(AND(OR(sel_Region="All",C1211=sel_Region),OR(sel_Country="All",D1211=sel_Country),OR(sel_Channel="All",E1211=sel_Channel),OR(sel_Category="All",G1211=sel_Category),OR(sel_Product="All",H1211=sel_Product),AND(S1211&gt;=m_From,S1211&lt;=m_To)),1,0)</f>
        <v/>
      </c>
      <c r="Y1211" s="36">
        <f>IF(AND(OR(sel_Region="All",C1211=sel_Region),OR(sel_Country="All",D1211=sel_Country),OR(sel_Channel="All",E1211=sel_Channel),OR(sel_Customer="All",F1211=sel_Customer),OR(sel_Product="All",H1211=sel_Product),AND(S1211&gt;=m_From,S1211&lt;=m_To)),1,0)</f>
        <v/>
      </c>
      <c r="Z1211" s="36">
        <f>IF(AND(OR(sel_Region="All",C1211=sel_Region),OR(sel_Country="All",D1211=sel_Country),OR(sel_Channel="All",E1211=sel_Channel),OR(sel_Customer="All",F1211=sel_Customer),OR(sel_Category="All",G1211=sel_Category),AND(S1211&gt;=m_From,S1211&lt;=m_To)),1,0)</f>
        <v/>
      </c>
      <c r="AA1211" s="36">
        <f>IF(AND(OR(sel_Region="All",C1211=sel_Region),OR(sel_Country="All",D1211=sel_Country),OR(sel_Channel="All",E1211=sel_Channel),OR(sel_Customer="All",F1211=sel_Customer),OR(sel_Category="All",G1211=sel_Category),OR(sel_Product="All",H1211=sel_Product)),1,0)</f>
        <v/>
      </c>
    </row>
    <row r="1212">
      <c r="A1212" s="36" t="inlineStr">
        <is>
          <t>04805</t>
        </is>
      </c>
      <c r="B1212" s="44" t="n">
        <v>46199</v>
      </c>
      <c r="C1212" s="36" t="inlineStr">
        <is>
          <t>Northern Europe</t>
        </is>
      </c>
      <c r="D1212" s="36" t="inlineStr">
        <is>
          <t>Finland</t>
        </is>
      </c>
      <c r="E1212" s="36" t="inlineStr">
        <is>
          <t>Online Store</t>
        </is>
      </c>
      <c r="F1212" s="36" t="inlineStr">
        <is>
          <t>Returning</t>
        </is>
      </c>
      <c r="G1212" s="36" t="inlineStr">
        <is>
          <t>Camping</t>
        </is>
      </c>
      <c r="H1212" s="36" t="inlineStr">
        <is>
          <t>Compact Sleeping Bag</t>
        </is>
      </c>
      <c r="I1212" s="36" t="n">
        <v>1</v>
      </c>
      <c r="J1212" s="39" t="n">
        <v>121.44</v>
      </c>
      <c r="K1212" s="45" t="n">
        <v>0</v>
      </c>
      <c r="L1212" s="39" t="n">
        <v>62.34</v>
      </c>
      <c r="M1212" s="39">
        <f>I1212*J1212*(1-K1212)</f>
        <v/>
      </c>
      <c r="N1212" s="39">
        <f>I1212*L1212</f>
        <v/>
      </c>
      <c r="O1212" s="39">
        <f>M1212-N1212</f>
        <v/>
      </c>
      <c r="P1212" s="38">
        <f>IF(M1212=0,0,O1212/M1212)</f>
        <v/>
      </c>
      <c r="Q1212" s="36">
        <f>YEAR(B1212)</f>
        <v/>
      </c>
      <c r="R1212" s="36">
        <f>"Q"&amp;ROUNDUP(MONTH(B1212)/3,0)</f>
        <v/>
      </c>
      <c r="S1212" s="36">
        <f>MONTH(B1212)</f>
        <v/>
      </c>
      <c r="T1212" s="36">
        <f>TEXT(B1212,"mmm")</f>
        <v/>
      </c>
      <c r="U1212" s="36">
        <f>IF(AND(OR(sel_Region="All",C1212=sel_Region),OR(sel_Country="All",D1212=sel_Country),OR(sel_Channel="All",E1212=sel_Channel),OR(sel_Customer="All",F1212=sel_Customer),OR(sel_Category="All",G1212=sel_Category),OR(sel_Product="All",H1212=sel_Product),AND(S1212&gt;=m_From,S1212&lt;=m_To)),1,0)</f>
        <v/>
      </c>
      <c r="V1212" s="36">
        <f>IF(AND(OR(sel_Region="All",C1212=sel_Region),OR(sel_Channel="All",E1212=sel_Channel),OR(sel_Customer="All",F1212=sel_Customer),OR(sel_Category="All",G1212=sel_Category),OR(sel_Product="All",H1212=sel_Product),AND(S1212&gt;=m_From,S1212&lt;=m_To)),1,0)</f>
        <v/>
      </c>
      <c r="W1212" s="36">
        <f>IF(AND(OR(sel_Region="All",C1212=sel_Region),OR(sel_Country="All",D1212=sel_Country),OR(sel_Customer="All",F1212=sel_Customer),OR(sel_Category="All",G1212=sel_Category),OR(sel_Product="All",H1212=sel_Product),AND(S1212&gt;=m_From,S1212&lt;=m_To)),1,0)</f>
        <v/>
      </c>
      <c r="X1212" s="36">
        <f>IF(AND(OR(sel_Region="All",C1212=sel_Region),OR(sel_Country="All",D1212=sel_Country),OR(sel_Channel="All",E1212=sel_Channel),OR(sel_Category="All",G1212=sel_Category),OR(sel_Product="All",H1212=sel_Product),AND(S1212&gt;=m_From,S1212&lt;=m_To)),1,0)</f>
        <v/>
      </c>
      <c r="Y1212" s="36">
        <f>IF(AND(OR(sel_Region="All",C1212=sel_Region),OR(sel_Country="All",D1212=sel_Country),OR(sel_Channel="All",E1212=sel_Channel),OR(sel_Customer="All",F1212=sel_Customer),OR(sel_Product="All",H1212=sel_Product),AND(S1212&gt;=m_From,S1212&lt;=m_To)),1,0)</f>
        <v/>
      </c>
      <c r="Z1212" s="36">
        <f>IF(AND(OR(sel_Region="All",C1212=sel_Region),OR(sel_Country="All",D1212=sel_Country),OR(sel_Channel="All",E1212=sel_Channel),OR(sel_Customer="All",F1212=sel_Customer),OR(sel_Category="All",G1212=sel_Category),AND(S1212&gt;=m_From,S1212&lt;=m_To)),1,0)</f>
        <v/>
      </c>
      <c r="AA1212" s="36">
        <f>IF(AND(OR(sel_Region="All",C1212=sel_Region),OR(sel_Country="All",D1212=sel_Country),OR(sel_Channel="All",E1212=sel_Channel),OR(sel_Customer="All",F1212=sel_Customer),OR(sel_Category="All",G1212=sel_Category),OR(sel_Product="All",H1212=sel_Product)),1,0)</f>
        <v/>
      </c>
    </row>
    <row r="1213">
      <c r="A1213" s="36" t="inlineStr">
        <is>
          <t>00912</t>
        </is>
      </c>
      <c r="B1213" s="44" t="n">
        <v>46200</v>
      </c>
      <c r="C1213" s="36" t="inlineStr">
        <is>
          <t>Southern Europe</t>
        </is>
      </c>
      <c r="D1213" s="36" t="inlineStr">
        <is>
          <t>Spain</t>
        </is>
      </c>
      <c r="E1213" s="36" t="inlineStr">
        <is>
          <t>Marketplace</t>
        </is>
      </c>
      <c r="F1213" s="36" t="inlineStr">
        <is>
          <t>New</t>
        </is>
      </c>
      <c r="G1213" s="36" t="inlineStr">
        <is>
          <t>Travel</t>
        </is>
      </c>
      <c r="H1213" s="36" t="inlineStr">
        <is>
          <t>Packing Cube Set</t>
        </is>
      </c>
      <c r="I1213" s="36" t="n">
        <v>4</v>
      </c>
      <c r="J1213" s="39" t="n">
        <v>46.44</v>
      </c>
      <c r="K1213" s="45" t="n">
        <v>0.05</v>
      </c>
      <c r="L1213" s="39" t="n">
        <v>18.2</v>
      </c>
      <c r="M1213" s="39">
        <f>I1213*J1213*(1-K1213)</f>
        <v/>
      </c>
      <c r="N1213" s="39">
        <f>I1213*L1213</f>
        <v/>
      </c>
      <c r="O1213" s="39">
        <f>M1213-N1213</f>
        <v/>
      </c>
      <c r="P1213" s="38">
        <f>IF(M1213=0,0,O1213/M1213)</f>
        <v/>
      </c>
      <c r="Q1213" s="36">
        <f>YEAR(B1213)</f>
        <v/>
      </c>
      <c r="R1213" s="36">
        <f>"Q"&amp;ROUNDUP(MONTH(B1213)/3,0)</f>
        <v/>
      </c>
      <c r="S1213" s="36">
        <f>MONTH(B1213)</f>
        <v/>
      </c>
      <c r="T1213" s="36">
        <f>TEXT(B1213,"mmm")</f>
        <v/>
      </c>
      <c r="U1213" s="36">
        <f>IF(AND(OR(sel_Region="All",C1213=sel_Region),OR(sel_Country="All",D1213=sel_Country),OR(sel_Channel="All",E1213=sel_Channel),OR(sel_Customer="All",F1213=sel_Customer),OR(sel_Category="All",G1213=sel_Category),OR(sel_Product="All",H1213=sel_Product),AND(S1213&gt;=m_From,S1213&lt;=m_To)),1,0)</f>
        <v/>
      </c>
      <c r="V1213" s="36">
        <f>IF(AND(OR(sel_Region="All",C1213=sel_Region),OR(sel_Channel="All",E1213=sel_Channel),OR(sel_Customer="All",F1213=sel_Customer),OR(sel_Category="All",G1213=sel_Category),OR(sel_Product="All",H1213=sel_Product),AND(S1213&gt;=m_From,S1213&lt;=m_To)),1,0)</f>
        <v/>
      </c>
      <c r="W1213" s="36">
        <f>IF(AND(OR(sel_Region="All",C1213=sel_Region),OR(sel_Country="All",D1213=sel_Country),OR(sel_Customer="All",F1213=sel_Customer),OR(sel_Category="All",G1213=sel_Category),OR(sel_Product="All",H1213=sel_Product),AND(S1213&gt;=m_From,S1213&lt;=m_To)),1,0)</f>
        <v/>
      </c>
      <c r="X1213" s="36">
        <f>IF(AND(OR(sel_Region="All",C1213=sel_Region),OR(sel_Country="All",D1213=sel_Country),OR(sel_Channel="All",E1213=sel_Channel),OR(sel_Category="All",G1213=sel_Category),OR(sel_Product="All",H1213=sel_Product),AND(S1213&gt;=m_From,S1213&lt;=m_To)),1,0)</f>
        <v/>
      </c>
      <c r="Y1213" s="36">
        <f>IF(AND(OR(sel_Region="All",C1213=sel_Region),OR(sel_Country="All",D1213=sel_Country),OR(sel_Channel="All",E1213=sel_Channel),OR(sel_Customer="All",F1213=sel_Customer),OR(sel_Product="All",H1213=sel_Product),AND(S1213&gt;=m_From,S1213&lt;=m_To)),1,0)</f>
        <v/>
      </c>
      <c r="Z1213" s="36">
        <f>IF(AND(OR(sel_Region="All",C1213=sel_Region),OR(sel_Country="All",D1213=sel_Country),OR(sel_Channel="All",E1213=sel_Channel),OR(sel_Customer="All",F1213=sel_Customer),OR(sel_Category="All",G1213=sel_Category),AND(S1213&gt;=m_From,S1213&lt;=m_To)),1,0)</f>
        <v/>
      </c>
      <c r="AA1213" s="36">
        <f>IF(AND(OR(sel_Region="All",C1213=sel_Region),OR(sel_Country="All",D1213=sel_Country),OR(sel_Channel="All",E1213=sel_Channel),OR(sel_Customer="All",F1213=sel_Customer),OR(sel_Category="All",G1213=sel_Category),OR(sel_Product="All",H1213=sel_Product)),1,0)</f>
        <v/>
      </c>
    </row>
    <row r="1214">
      <c r="A1214" s="36" t="inlineStr">
        <is>
          <t>01837</t>
        </is>
      </c>
      <c r="B1214" s="44" t="n">
        <v>46200</v>
      </c>
      <c r="C1214" s="36" t="inlineStr">
        <is>
          <t>Southern Europe</t>
        </is>
      </c>
      <c r="D1214" s="36" t="inlineStr">
        <is>
          <t>Spain</t>
        </is>
      </c>
      <c r="E1214" s="36" t="inlineStr">
        <is>
          <t>Marketplace</t>
        </is>
      </c>
      <c r="F1214" s="36" t="inlineStr">
        <is>
          <t>Business</t>
        </is>
      </c>
      <c r="G1214" s="36" t="inlineStr">
        <is>
          <t>Camping</t>
        </is>
      </c>
      <c r="H1214" s="36" t="inlineStr">
        <is>
          <t>Trail Tent 2P</t>
        </is>
      </c>
      <c r="I1214" s="36" t="n">
        <v>2</v>
      </c>
      <c r="J1214" s="39" t="n">
        <v>194.13</v>
      </c>
      <c r="K1214" s="45" t="n">
        <v>0.1</v>
      </c>
      <c r="L1214" s="39" t="n">
        <v>106.51</v>
      </c>
      <c r="M1214" s="39">
        <f>I1214*J1214*(1-K1214)</f>
        <v/>
      </c>
      <c r="N1214" s="39">
        <f>I1214*L1214</f>
        <v/>
      </c>
      <c r="O1214" s="39">
        <f>M1214-N1214</f>
        <v/>
      </c>
      <c r="P1214" s="38">
        <f>IF(M1214=0,0,O1214/M1214)</f>
        <v/>
      </c>
      <c r="Q1214" s="36">
        <f>YEAR(B1214)</f>
        <v/>
      </c>
      <c r="R1214" s="36">
        <f>"Q"&amp;ROUNDUP(MONTH(B1214)/3,0)</f>
        <v/>
      </c>
      <c r="S1214" s="36">
        <f>MONTH(B1214)</f>
        <v/>
      </c>
      <c r="T1214" s="36">
        <f>TEXT(B1214,"mmm")</f>
        <v/>
      </c>
      <c r="U1214" s="36">
        <f>IF(AND(OR(sel_Region="All",C1214=sel_Region),OR(sel_Country="All",D1214=sel_Country),OR(sel_Channel="All",E1214=sel_Channel),OR(sel_Customer="All",F1214=sel_Customer),OR(sel_Category="All",G1214=sel_Category),OR(sel_Product="All",H1214=sel_Product),AND(S1214&gt;=m_From,S1214&lt;=m_To)),1,0)</f>
        <v/>
      </c>
      <c r="V1214" s="36">
        <f>IF(AND(OR(sel_Region="All",C1214=sel_Region),OR(sel_Channel="All",E1214=sel_Channel),OR(sel_Customer="All",F1214=sel_Customer),OR(sel_Category="All",G1214=sel_Category),OR(sel_Product="All",H1214=sel_Product),AND(S1214&gt;=m_From,S1214&lt;=m_To)),1,0)</f>
        <v/>
      </c>
      <c r="W1214" s="36">
        <f>IF(AND(OR(sel_Region="All",C1214=sel_Region),OR(sel_Country="All",D1214=sel_Country),OR(sel_Customer="All",F1214=sel_Customer),OR(sel_Category="All",G1214=sel_Category),OR(sel_Product="All",H1214=sel_Product),AND(S1214&gt;=m_From,S1214&lt;=m_To)),1,0)</f>
        <v/>
      </c>
      <c r="X1214" s="36">
        <f>IF(AND(OR(sel_Region="All",C1214=sel_Region),OR(sel_Country="All",D1214=sel_Country),OR(sel_Channel="All",E1214=sel_Channel),OR(sel_Category="All",G1214=sel_Category),OR(sel_Product="All",H1214=sel_Product),AND(S1214&gt;=m_From,S1214&lt;=m_To)),1,0)</f>
        <v/>
      </c>
      <c r="Y1214" s="36">
        <f>IF(AND(OR(sel_Region="All",C1214=sel_Region),OR(sel_Country="All",D1214=sel_Country),OR(sel_Channel="All",E1214=sel_Channel),OR(sel_Customer="All",F1214=sel_Customer),OR(sel_Product="All",H1214=sel_Product),AND(S1214&gt;=m_From,S1214&lt;=m_To)),1,0)</f>
        <v/>
      </c>
      <c r="Z1214" s="36">
        <f>IF(AND(OR(sel_Region="All",C1214=sel_Region),OR(sel_Country="All",D1214=sel_Country),OR(sel_Channel="All",E1214=sel_Channel),OR(sel_Customer="All",F1214=sel_Customer),OR(sel_Category="All",G1214=sel_Category),AND(S1214&gt;=m_From,S1214&lt;=m_To)),1,0)</f>
        <v/>
      </c>
      <c r="AA1214" s="36">
        <f>IF(AND(OR(sel_Region="All",C1214=sel_Region),OR(sel_Country="All",D1214=sel_Country),OR(sel_Channel="All",E1214=sel_Channel),OR(sel_Customer="All",F1214=sel_Customer),OR(sel_Category="All",G1214=sel_Category),OR(sel_Product="All",H1214=sel_Product)),1,0)</f>
        <v/>
      </c>
    </row>
    <row r="1215">
      <c r="A1215" s="36" t="inlineStr">
        <is>
          <t>02216</t>
        </is>
      </c>
      <c r="B1215" s="44" t="n">
        <v>46200</v>
      </c>
      <c r="C1215" s="36" t="inlineStr">
        <is>
          <t>Southern Europe</t>
        </is>
      </c>
      <c r="D1215" s="36" t="inlineStr">
        <is>
          <t>Portugal</t>
        </is>
      </c>
      <c r="E1215" s="36" t="inlineStr">
        <is>
          <t>Online Store</t>
        </is>
      </c>
      <c r="F1215" s="36" t="inlineStr">
        <is>
          <t>Business</t>
        </is>
      </c>
      <c r="G1215" s="36" t="inlineStr">
        <is>
          <t>Cycling</t>
        </is>
      </c>
      <c r="H1215" s="36" t="inlineStr">
        <is>
          <t>Commuter Helmet</t>
        </is>
      </c>
      <c r="I1215" s="36" t="n">
        <v>4</v>
      </c>
      <c r="J1215" s="39" t="n">
        <v>81.86</v>
      </c>
      <c r="K1215" s="45" t="n">
        <v>0.05</v>
      </c>
      <c r="L1215" s="39" t="n">
        <v>42.22</v>
      </c>
      <c r="M1215" s="39">
        <f>I1215*J1215*(1-K1215)</f>
        <v/>
      </c>
      <c r="N1215" s="39">
        <f>I1215*L1215</f>
        <v/>
      </c>
      <c r="O1215" s="39">
        <f>M1215-N1215</f>
        <v/>
      </c>
      <c r="P1215" s="38">
        <f>IF(M1215=0,0,O1215/M1215)</f>
        <v/>
      </c>
      <c r="Q1215" s="36">
        <f>YEAR(B1215)</f>
        <v/>
      </c>
      <c r="R1215" s="36">
        <f>"Q"&amp;ROUNDUP(MONTH(B1215)/3,0)</f>
        <v/>
      </c>
      <c r="S1215" s="36">
        <f>MONTH(B1215)</f>
        <v/>
      </c>
      <c r="T1215" s="36">
        <f>TEXT(B1215,"mmm")</f>
        <v/>
      </c>
      <c r="U1215" s="36">
        <f>IF(AND(OR(sel_Region="All",C1215=sel_Region),OR(sel_Country="All",D1215=sel_Country),OR(sel_Channel="All",E1215=sel_Channel),OR(sel_Customer="All",F1215=sel_Customer),OR(sel_Category="All",G1215=sel_Category),OR(sel_Product="All",H1215=sel_Product),AND(S1215&gt;=m_From,S1215&lt;=m_To)),1,0)</f>
        <v/>
      </c>
      <c r="V1215" s="36">
        <f>IF(AND(OR(sel_Region="All",C1215=sel_Region),OR(sel_Channel="All",E1215=sel_Channel),OR(sel_Customer="All",F1215=sel_Customer),OR(sel_Category="All",G1215=sel_Category),OR(sel_Product="All",H1215=sel_Product),AND(S1215&gt;=m_From,S1215&lt;=m_To)),1,0)</f>
        <v/>
      </c>
      <c r="W1215" s="36">
        <f>IF(AND(OR(sel_Region="All",C1215=sel_Region),OR(sel_Country="All",D1215=sel_Country),OR(sel_Customer="All",F1215=sel_Customer),OR(sel_Category="All",G1215=sel_Category),OR(sel_Product="All",H1215=sel_Product),AND(S1215&gt;=m_From,S1215&lt;=m_To)),1,0)</f>
        <v/>
      </c>
      <c r="X1215" s="36">
        <f>IF(AND(OR(sel_Region="All",C1215=sel_Region),OR(sel_Country="All",D1215=sel_Country),OR(sel_Channel="All",E1215=sel_Channel),OR(sel_Category="All",G1215=sel_Category),OR(sel_Product="All",H1215=sel_Product),AND(S1215&gt;=m_From,S1215&lt;=m_To)),1,0)</f>
        <v/>
      </c>
      <c r="Y1215" s="36">
        <f>IF(AND(OR(sel_Region="All",C1215=sel_Region),OR(sel_Country="All",D1215=sel_Country),OR(sel_Channel="All",E1215=sel_Channel),OR(sel_Customer="All",F1215=sel_Customer),OR(sel_Product="All",H1215=sel_Product),AND(S1215&gt;=m_From,S1215&lt;=m_To)),1,0)</f>
        <v/>
      </c>
      <c r="Z1215" s="36">
        <f>IF(AND(OR(sel_Region="All",C1215=sel_Region),OR(sel_Country="All",D1215=sel_Country),OR(sel_Channel="All",E1215=sel_Channel),OR(sel_Customer="All",F1215=sel_Customer),OR(sel_Category="All",G1215=sel_Category),AND(S1215&gt;=m_From,S1215&lt;=m_To)),1,0)</f>
        <v/>
      </c>
      <c r="AA1215" s="36">
        <f>IF(AND(OR(sel_Region="All",C1215=sel_Region),OR(sel_Country="All",D1215=sel_Country),OR(sel_Channel="All",E1215=sel_Channel),OR(sel_Customer="All",F1215=sel_Customer),OR(sel_Category="All",G1215=sel_Category),OR(sel_Product="All",H1215=sel_Product)),1,0)</f>
        <v/>
      </c>
    </row>
    <row r="1216">
      <c r="A1216" s="36" t="inlineStr">
        <is>
          <t>02451</t>
        </is>
      </c>
      <c r="B1216" s="44" t="n">
        <v>46200</v>
      </c>
      <c r="C1216" s="36" t="inlineStr">
        <is>
          <t>Southern Europe</t>
        </is>
      </c>
      <c r="D1216" s="36" t="inlineStr">
        <is>
          <t>Portugal</t>
        </is>
      </c>
      <c r="E1216" s="36" t="inlineStr">
        <is>
          <t>Corporate</t>
        </is>
      </c>
      <c r="F1216" s="36" t="inlineStr">
        <is>
          <t>Business</t>
        </is>
      </c>
      <c r="G1216" s="36" t="inlineStr">
        <is>
          <t>Travel</t>
        </is>
      </c>
      <c r="H1216" s="36" t="inlineStr">
        <is>
          <t>Travel Backpack 35L</t>
        </is>
      </c>
      <c r="I1216" s="36" t="n">
        <v>4</v>
      </c>
      <c r="J1216" s="39" t="n">
        <v>162.61</v>
      </c>
      <c r="K1216" s="45" t="n">
        <v>0.05</v>
      </c>
      <c r="L1216" s="39" t="n">
        <v>88.64</v>
      </c>
      <c r="M1216" s="39">
        <f>I1216*J1216*(1-K1216)</f>
        <v/>
      </c>
      <c r="N1216" s="39">
        <f>I1216*L1216</f>
        <v/>
      </c>
      <c r="O1216" s="39">
        <f>M1216-N1216</f>
        <v/>
      </c>
      <c r="P1216" s="38">
        <f>IF(M1216=0,0,O1216/M1216)</f>
        <v/>
      </c>
      <c r="Q1216" s="36">
        <f>YEAR(B1216)</f>
        <v/>
      </c>
      <c r="R1216" s="36">
        <f>"Q"&amp;ROUNDUP(MONTH(B1216)/3,0)</f>
        <v/>
      </c>
      <c r="S1216" s="36">
        <f>MONTH(B1216)</f>
        <v/>
      </c>
      <c r="T1216" s="36">
        <f>TEXT(B1216,"mmm")</f>
        <v/>
      </c>
      <c r="U1216" s="36">
        <f>IF(AND(OR(sel_Region="All",C1216=sel_Region),OR(sel_Country="All",D1216=sel_Country),OR(sel_Channel="All",E1216=sel_Channel),OR(sel_Customer="All",F1216=sel_Customer),OR(sel_Category="All",G1216=sel_Category),OR(sel_Product="All",H1216=sel_Product),AND(S1216&gt;=m_From,S1216&lt;=m_To)),1,0)</f>
        <v/>
      </c>
      <c r="V1216" s="36">
        <f>IF(AND(OR(sel_Region="All",C1216=sel_Region),OR(sel_Channel="All",E1216=sel_Channel),OR(sel_Customer="All",F1216=sel_Customer),OR(sel_Category="All",G1216=sel_Category),OR(sel_Product="All",H1216=sel_Product),AND(S1216&gt;=m_From,S1216&lt;=m_To)),1,0)</f>
        <v/>
      </c>
      <c r="W1216" s="36">
        <f>IF(AND(OR(sel_Region="All",C1216=sel_Region),OR(sel_Country="All",D1216=sel_Country),OR(sel_Customer="All",F1216=sel_Customer),OR(sel_Category="All",G1216=sel_Category),OR(sel_Product="All",H1216=sel_Product),AND(S1216&gt;=m_From,S1216&lt;=m_To)),1,0)</f>
        <v/>
      </c>
      <c r="X1216" s="36">
        <f>IF(AND(OR(sel_Region="All",C1216=sel_Region),OR(sel_Country="All",D1216=sel_Country),OR(sel_Channel="All",E1216=sel_Channel),OR(sel_Category="All",G1216=sel_Category),OR(sel_Product="All",H1216=sel_Product),AND(S1216&gt;=m_From,S1216&lt;=m_To)),1,0)</f>
        <v/>
      </c>
      <c r="Y1216" s="36">
        <f>IF(AND(OR(sel_Region="All",C1216=sel_Region),OR(sel_Country="All",D1216=sel_Country),OR(sel_Channel="All",E1216=sel_Channel),OR(sel_Customer="All",F1216=sel_Customer),OR(sel_Product="All",H1216=sel_Product),AND(S1216&gt;=m_From,S1216&lt;=m_To)),1,0)</f>
        <v/>
      </c>
      <c r="Z1216" s="36">
        <f>IF(AND(OR(sel_Region="All",C1216=sel_Region),OR(sel_Country="All",D1216=sel_Country),OR(sel_Channel="All",E1216=sel_Channel),OR(sel_Customer="All",F1216=sel_Customer),OR(sel_Category="All",G1216=sel_Category),AND(S1216&gt;=m_From,S1216&lt;=m_To)),1,0)</f>
        <v/>
      </c>
      <c r="AA1216" s="36">
        <f>IF(AND(OR(sel_Region="All",C1216=sel_Region),OR(sel_Country="All",D1216=sel_Country),OR(sel_Channel="All",E1216=sel_Channel),OR(sel_Customer="All",F1216=sel_Customer),OR(sel_Category="All",G1216=sel_Category),OR(sel_Product="All",H1216=sel_Product)),1,0)</f>
        <v/>
      </c>
    </row>
    <row r="1217">
      <c r="A1217" s="36" t="inlineStr">
        <is>
          <t>02874</t>
        </is>
      </c>
      <c r="B1217" s="44" t="n">
        <v>46200</v>
      </c>
      <c r="C1217" s="36" t="inlineStr">
        <is>
          <t>Central Europe</t>
        </is>
      </c>
      <c r="D1217" s="36" t="inlineStr">
        <is>
          <t>Germany</t>
        </is>
      </c>
      <c r="E1217" s="36" t="inlineStr">
        <is>
          <t>Retail Partners</t>
        </is>
      </c>
      <c r="F1217" s="36" t="inlineStr">
        <is>
          <t>New</t>
        </is>
      </c>
      <c r="G1217" s="36" t="inlineStr">
        <is>
          <t>Cycling</t>
        </is>
      </c>
      <c r="H1217" s="36" t="inlineStr">
        <is>
          <t>Compact Repair Kit</t>
        </is>
      </c>
      <c r="I1217" s="36" t="n">
        <v>1</v>
      </c>
      <c r="J1217" s="39" t="n">
        <v>40.26</v>
      </c>
      <c r="K1217" s="45" t="n">
        <v>0</v>
      </c>
      <c r="L1217" s="39" t="n">
        <v>16.62</v>
      </c>
      <c r="M1217" s="39">
        <f>I1217*J1217*(1-K1217)</f>
        <v/>
      </c>
      <c r="N1217" s="39">
        <f>I1217*L1217</f>
        <v/>
      </c>
      <c r="O1217" s="39">
        <f>M1217-N1217</f>
        <v/>
      </c>
      <c r="P1217" s="38">
        <f>IF(M1217=0,0,O1217/M1217)</f>
        <v/>
      </c>
      <c r="Q1217" s="36">
        <f>YEAR(B1217)</f>
        <v/>
      </c>
      <c r="R1217" s="36">
        <f>"Q"&amp;ROUNDUP(MONTH(B1217)/3,0)</f>
        <v/>
      </c>
      <c r="S1217" s="36">
        <f>MONTH(B1217)</f>
        <v/>
      </c>
      <c r="T1217" s="36">
        <f>TEXT(B1217,"mmm")</f>
        <v/>
      </c>
      <c r="U1217" s="36">
        <f>IF(AND(OR(sel_Region="All",C1217=sel_Region),OR(sel_Country="All",D1217=sel_Country),OR(sel_Channel="All",E1217=sel_Channel),OR(sel_Customer="All",F1217=sel_Customer),OR(sel_Category="All",G1217=sel_Category),OR(sel_Product="All",H1217=sel_Product),AND(S1217&gt;=m_From,S1217&lt;=m_To)),1,0)</f>
        <v/>
      </c>
      <c r="V1217" s="36">
        <f>IF(AND(OR(sel_Region="All",C1217=sel_Region),OR(sel_Channel="All",E1217=sel_Channel),OR(sel_Customer="All",F1217=sel_Customer),OR(sel_Category="All",G1217=sel_Category),OR(sel_Product="All",H1217=sel_Product),AND(S1217&gt;=m_From,S1217&lt;=m_To)),1,0)</f>
        <v/>
      </c>
      <c r="W1217" s="36">
        <f>IF(AND(OR(sel_Region="All",C1217=sel_Region),OR(sel_Country="All",D1217=sel_Country),OR(sel_Customer="All",F1217=sel_Customer),OR(sel_Category="All",G1217=sel_Category),OR(sel_Product="All",H1217=sel_Product),AND(S1217&gt;=m_From,S1217&lt;=m_To)),1,0)</f>
        <v/>
      </c>
      <c r="X1217" s="36">
        <f>IF(AND(OR(sel_Region="All",C1217=sel_Region),OR(sel_Country="All",D1217=sel_Country),OR(sel_Channel="All",E1217=sel_Channel),OR(sel_Category="All",G1217=sel_Category),OR(sel_Product="All",H1217=sel_Product),AND(S1217&gt;=m_From,S1217&lt;=m_To)),1,0)</f>
        <v/>
      </c>
      <c r="Y1217" s="36">
        <f>IF(AND(OR(sel_Region="All",C1217=sel_Region),OR(sel_Country="All",D1217=sel_Country),OR(sel_Channel="All",E1217=sel_Channel),OR(sel_Customer="All",F1217=sel_Customer),OR(sel_Product="All",H1217=sel_Product),AND(S1217&gt;=m_From,S1217&lt;=m_To)),1,0)</f>
        <v/>
      </c>
      <c r="Z1217" s="36">
        <f>IF(AND(OR(sel_Region="All",C1217=sel_Region),OR(sel_Country="All",D1217=sel_Country),OR(sel_Channel="All",E1217=sel_Channel),OR(sel_Customer="All",F1217=sel_Customer),OR(sel_Category="All",G1217=sel_Category),AND(S1217&gt;=m_From,S1217&lt;=m_To)),1,0)</f>
        <v/>
      </c>
      <c r="AA1217" s="36">
        <f>IF(AND(OR(sel_Region="All",C1217=sel_Region),OR(sel_Country="All",D1217=sel_Country),OR(sel_Channel="All",E1217=sel_Channel),OR(sel_Customer="All",F1217=sel_Customer),OR(sel_Category="All",G1217=sel_Category),OR(sel_Product="All",H1217=sel_Product)),1,0)</f>
        <v/>
      </c>
    </row>
    <row r="1218">
      <c r="A1218" s="36" t="inlineStr">
        <is>
          <t>02885</t>
        </is>
      </c>
      <c r="B1218" s="44" t="n">
        <v>46200</v>
      </c>
      <c r="C1218" s="36" t="inlineStr">
        <is>
          <t>Southern Europe</t>
        </is>
      </c>
      <c r="D1218" s="36" t="inlineStr">
        <is>
          <t>Spain</t>
        </is>
      </c>
      <c r="E1218" s="36" t="inlineStr">
        <is>
          <t>Online Store</t>
        </is>
      </c>
      <c r="F1218" s="36" t="inlineStr">
        <is>
          <t>Business</t>
        </is>
      </c>
      <c r="G1218" s="36" t="inlineStr">
        <is>
          <t>Travel</t>
        </is>
      </c>
      <c r="H1218" s="36" t="inlineStr">
        <is>
          <t>Packing Cube Set</t>
        </is>
      </c>
      <c r="I1218" s="36" t="n">
        <v>1</v>
      </c>
      <c r="J1218" s="39" t="n">
        <v>47.23</v>
      </c>
      <c r="K1218" s="45" t="n">
        <v>0.1</v>
      </c>
      <c r="L1218" s="39" t="n">
        <v>17.83</v>
      </c>
      <c r="M1218" s="39">
        <f>I1218*J1218*(1-K1218)</f>
        <v/>
      </c>
      <c r="N1218" s="39">
        <f>I1218*L1218</f>
        <v/>
      </c>
      <c r="O1218" s="39">
        <f>M1218-N1218</f>
        <v/>
      </c>
      <c r="P1218" s="38">
        <f>IF(M1218=0,0,O1218/M1218)</f>
        <v/>
      </c>
      <c r="Q1218" s="36">
        <f>YEAR(B1218)</f>
        <v/>
      </c>
      <c r="R1218" s="36">
        <f>"Q"&amp;ROUNDUP(MONTH(B1218)/3,0)</f>
        <v/>
      </c>
      <c r="S1218" s="36">
        <f>MONTH(B1218)</f>
        <v/>
      </c>
      <c r="T1218" s="36">
        <f>TEXT(B1218,"mmm")</f>
        <v/>
      </c>
      <c r="U1218" s="36">
        <f>IF(AND(OR(sel_Region="All",C1218=sel_Region),OR(sel_Country="All",D1218=sel_Country),OR(sel_Channel="All",E1218=sel_Channel),OR(sel_Customer="All",F1218=sel_Customer),OR(sel_Category="All",G1218=sel_Category),OR(sel_Product="All",H1218=sel_Product),AND(S1218&gt;=m_From,S1218&lt;=m_To)),1,0)</f>
        <v/>
      </c>
      <c r="V1218" s="36">
        <f>IF(AND(OR(sel_Region="All",C1218=sel_Region),OR(sel_Channel="All",E1218=sel_Channel),OR(sel_Customer="All",F1218=sel_Customer),OR(sel_Category="All",G1218=sel_Category),OR(sel_Product="All",H1218=sel_Product),AND(S1218&gt;=m_From,S1218&lt;=m_To)),1,0)</f>
        <v/>
      </c>
      <c r="W1218" s="36">
        <f>IF(AND(OR(sel_Region="All",C1218=sel_Region),OR(sel_Country="All",D1218=sel_Country),OR(sel_Customer="All",F1218=sel_Customer),OR(sel_Category="All",G1218=sel_Category),OR(sel_Product="All",H1218=sel_Product),AND(S1218&gt;=m_From,S1218&lt;=m_To)),1,0)</f>
        <v/>
      </c>
      <c r="X1218" s="36">
        <f>IF(AND(OR(sel_Region="All",C1218=sel_Region),OR(sel_Country="All",D1218=sel_Country),OR(sel_Channel="All",E1218=sel_Channel),OR(sel_Category="All",G1218=sel_Category),OR(sel_Product="All",H1218=sel_Product),AND(S1218&gt;=m_From,S1218&lt;=m_To)),1,0)</f>
        <v/>
      </c>
      <c r="Y1218" s="36">
        <f>IF(AND(OR(sel_Region="All",C1218=sel_Region),OR(sel_Country="All",D1218=sel_Country),OR(sel_Channel="All",E1218=sel_Channel),OR(sel_Customer="All",F1218=sel_Customer),OR(sel_Product="All",H1218=sel_Product),AND(S1218&gt;=m_From,S1218&lt;=m_To)),1,0)</f>
        <v/>
      </c>
      <c r="Z1218" s="36">
        <f>IF(AND(OR(sel_Region="All",C1218=sel_Region),OR(sel_Country="All",D1218=sel_Country),OR(sel_Channel="All",E1218=sel_Channel),OR(sel_Customer="All",F1218=sel_Customer),OR(sel_Category="All",G1218=sel_Category),AND(S1218&gt;=m_From,S1218&lt;=m_To)),1,0)</f>
        <v/>
      </c>
      <c r="AA1218" s="36">
        <f>IF(AND(OR(sel_Region="All",C1218=sel_Region),OR(sel_Country="All",D1218=sel_Country),OR(sel_Channel="All",E1218=sel_Channel),OR(sel_Customer="All",F1218=sel_Customer),OR(sel_Category="All",G1218=sel_Category),OR(sel_Product="All",H1218=sel_Product)),1,0)</f>
        <v/>
      </c>
    </row>
    <row r="1219">
      <c r="A1219" s="36" t="inlineStr">
        <is>
          <t>03014</t>
        </is>
      </c>
      <c r="B1219" s="44" t="n">
        <v>46200</v>
      </c>
      <c r="C1219" s="36" t="inlineStr">
        <is>
          <t>Northern Europe</t>
        </is>
      </c>
      <c r="D1219" s="36" t="inlineStr">
        <is>
          <t>Finland</t>
        </is>
      </c>
      <c r="E1219" s="36" t="inlineStr">
        <is>
          <t>Online Store</t>
        </is>
      </c>
      <c r="F1219" s="36" t="inlineStr">
        <is>
          <t>New</t>
        </is>
      </c>
      <c r="G1219" s="36" t="inlineStr">
        <is>
          <t>Fitness</t>
        </is>
      </c>
      <c r="H1219" s="36" t="inlineStr">
        <is>
          <t>Training Mat</t>
        </is>
      </c>
      <c r="I1219" s="36" t="n">
        <v>1</v>
      </c>
      <c r="J1219" s="39" t="n">
        <v>50.13</v>
      </c>
      <c r="K1219" s="45" t="n">
        <v>0.15</v>
      </c>
      <c r="L1219" s="39" t="n">
        <v>22.22</v>
      </c>
      <c r="M1219" s="39">
        <f>I1219*J1219*(1-K1219)</f>
        <v/>
      </c>
      <c r="N1219" s="39">
        <f>I1219*L1219</f>
        <v/>
      </c>
      <c r="O1219" s="39">
        <f>M1219-N1219</f>
        <v/>
      </c>
      <c r="P1219" s="38">
        <f>IF(M1219=0,0,O1219/M1219)</f>
        <v/>
      </c>
      <c r="Q1219" s="36">
        <f>YEAR(B1219)</f>
        <v/>
      </c>
      <c r="R1219" s="36">
        <f>"Q"&amp;ROUNDUP(MONTH(B1219)/3,0)</f>
        <v/>
      </c>
      <c r="S1219" s="36">
        <f>MONTH(B1219)</f>
        <v/>
      </c>
      <c r="T1219" s="36">
        <f>TEXT(B1219,"mmm")</f>
        <v/>
      </c>
      <c r="U1219" s="36">
        <f>IF(AND(OR(sel_Region="All",C1219=sel_Region),OR(sel_Country="All",D1219=sel_Country),OR(sel_Channel="All",E1219=sel_Channel),OR(sel_Customer="All",F1219=sel_Customer),OR(sel_Category="All",G1219=sel_Category),OR(sel_Product="All",H1219=sel_Product),AND(S1219&gt;=m_From,S1219&lt;=m_To)),1,0)</f>
        <v/>
      </c>
      <c r="V1219" s="36">
        <f>IF(AND(OR(sel_Region="All",C1219=sel_Region),OR(sel_Channel="All",E1219=sel_Channel),OR(sel_Customer="All",F1219=sel_Customer),OR(sel_Category="All",G1219=sel_Category),OR(sel_Product="All",H1219=sel_Product),AND(S1219&gt;=m_From,S1219&lt;=m_To)),1,0)</f>
        <v/>
      </c>
      <c r="W1219" s="36">
        <f>IF(AND(OR(sel_Region="All",C1219=sel_Region),OR(sel_Country="All",D1219=sel_Country),OR(sel_Customer="All",F1219=sel_Customer),OR(sel_Category="All",G1219=sel_Category),OR(sel_Product="All",H1219=sel_Product),AND(S1219&gt;=m_From,S1219&lt;=m_To)),1,0)</f>
        <v/>
      </c>
      <c r="X1219" s="36">
        <f>IF(AND(OR(sel_Region="All",C1219=sel_Region),OR(sel_Country="All",D1219=sel_Country),OR(sel_Channel="All",E1219=sel_Channel),OR(sel_Category="All",G1219=sel_Category),OR(sel_Product="All",H1219=sel_Product),AND(S1219&gt;=m_From,S1219&lt;=m_To)),1,0)</f>
        <v/>
      </c>
      <c r="Y1219" s="36">
        <f>IF(AND(OR(sel_Region="All",C1219=sel_Region),OR(sel_Country="All",D1219=sel_Country),OR(sel_Channel="All",E1219=sel_Channel),OR(sel_Customer="All",F1219=sel_Customer),OR(sel_Product="All",H1219=sel_Product),AND(S1219&gt;=m_From,S1219&lt;=m_To)),1,0)</f>
        <v/>
      </c>
      <c r="Z1219" s="36">
        <f>IF(AND(OR(sel_Region="All",C1219=sel_Region),OR(sel_Country="All",D1219=sel_Country),OR(sel_Channel="All",E1219=sel_Channel),OR(sel_Customer="All",F1219=sel_Customer),OR(sel_Category="All",G1219=sel_Category),AND(S1219&gt;=m_From,S1219&lt;=m_To)),1,0)</f>
        <v/>
      </c>
      <c r="AA1219" s="36">
        <f>IF(AND(OR(sel_Region="All",C1219=sel_Region),OR(sel_Country="All",D1219=sel_Country),OR(sel_Channel="All",E1219=sel_Channel),OR(sel_Customer="All",F1219=sel_Customer),OR(sel_Category="All",G1219=sel_Category),OR(sel_Product="All",H1219=sel_Product)),1,0)</f>
        <v/>
      </c>
    </row>
    <row r="1220">
      <c r="A1220" s="36" t="inlineStr">
        <is>
          <t>03273</t>
        </is>
      </c>
      <c r="B1220" s="44" t="n">
        <v>46200</v>
      </c>
      <c r="C1220" s="36" t="inlineStr">
        <is>
          <t>Northern Europe</t>
        </is>
      </c>
      <c r="D1220" s="36" t="inlineStr">
        <is>
          <t>Ireland</t>
        </is>
      </c>
      <c r="E1220" s="36" t="inlineStr">
        <is>
          <t>Online Store</t>
        </is>
      </c>
      <c r="F1220" s="36" t="inlineStr">
        <is>
          <t>Business</t>
        </is>
      </c>
      <c r="G1220" s="36" t="inlineStr">
        <is>
          <t>Camping</t>
        </is>
      </c>
      <c r="H1220" s="36" t="inlineStr">
        <is>
          <t>Alpine Tent 4P</t>
        </is>
      </c>
      <c r="I1220" s="36" t="n">
        <v>2</v>
      </c>
      <c r="J1220" s="39" t="n">
        <v>345.82</v>
      </c>
      <c r="K1220" s="45" t="n">
        <v>0.05</v>
      </c>
      <c r="L1220" s="39" t="n">
        <v>196.24</v>
      </c>
      <c r="M1220" s="39">
        <f>I1220*J1220*(1-K1220)</f>
        <v/>
      </c>
      <c r="N1220" s="39">
        <f>I1220*L1220</f>
        <v/>
      </c>
      <c r="O1220" s="39">
        <f>M1220-N1220</f>
        <v/>
      </c>
      <c r="P1220" s="38">
        <f>IF(M1220=0,0,O1220/M1220)</f>
        <v/>
      </c>
      <c r="Q1220" s="36">
        <f>YEAR(B1220)</f>
        <v/>
      </c>
      <c r="R1220" s="36">
        <f>"Q"&amp;ROUNDUP(MONTH(B1220)/3,0)</f>
        <v/>
      </c>
      <c r="S1220" s="36">
        <f>MONTH(B1220)</f>
        <v/>
      </c>
      <c r="T1220" s="36">
        <f>TEXT(B1220,"mmm")</f>
        <v/>
      </c>
      <c r="U1220" s="36">
        <f>IF(AND(OR(sel_Region="All",C1220=sel_Region),OR(sel_Country="All",D1220=sel_Country),OR(sel_Channel="All",E1220=sel_Channel),OR(sel_Customer="All",F1220=sel_Customer),OR(sel_Category="All",G1220=sel_Category),OR(sel_Product="All",H1220=sel_Product),AND(S1220&gt;=m_From,S1220&lt;=m_To)),1,0)</f>
        <v/>
      </c>
      <c r="V1220" s="36">
        <f>IF(AND(OR(sel_Region="All",C1220=sel_Region),OR(sel_Channel="All",E1220=sel_Channel),OR(sel_Customer="All",F1220=sel_Customer),OR(sel_Category="All",G1220=sel_Category),OR(sel_Product="All",H1220=sel_Product),AND(S1220&gt;=m_From,S1220&lt;=m_To)),1,0)</f>
        <v/>
      </c>
      <c r="W1220" s="36">
        <f>IF(AND(OR(sel_Region="All",C1220=sel_Region),OR(sel_Country="All",D1220=sel_Country),OR(sel_Customer="All",F1220=sel_Customer),OR(sel_Category="All",G1220=sel_Category),OR(sel_Product="All",H1220=sel_Product),AND(S1220&gt;=m_From,S1220&lt;=m_To)),1,0)</f>
        <v/>
      </c>
      <c r="X1220" s="36">
        <f>IF(AND(OR(sel_Region="All",C1220=sel_Region),OR(sel_Country="All",D1220=sel_Country),OR(sel_Channel="All",E1220=sel_Channel),OR(sel_Category="All",G1220=sel_Category),OR(sel_Product="All",H1220=sel_Product),AND(S1220&gt;=m_From,S1220&lt;=m_To)),1,0)</f>
        <v/>
      </c>
      <c r="Y1220" s="36">
        <f>IF(AND(OR(sel_Region="All",C1220=sel_Region),OR(sel_Country="All",D1220=sel_Country),OR(sel_Channel="All",E1220=sel_Channel),OR(sel_Customer="All",F1220=sel_Customer),OR(sel_Product="All",H1220=sel_Product),AND(S1220&gt;=m_From,S1220&lt;=m_To)),1,0)</f>
        <v/>
      </c>
      <c r="Z1220" s="36">
        <f>IF(AND(OR(sel_Region="All",C1220=sel_Region),OR(sel_Country="All",D1220=sel_Country),OR(sel_Channel="All",E1220=sel_Channel),OR(sel_Customer="All",F1220=sel_Customer),OR(sel_Category="All",G1220=sel_Category),AND(S1220&gt;=m_From,S1220&lt;=m_To)),1,0)</f>
        <v/>
      </c>
      <c r="AA1220" s="36">
        <f>IF(AND(OR(sel_Region="All",C1220=sel_Region),OR(sel_Country="All",D1220=sel_Country),OR(sel_Channel="All",E1220=sel_Channel),OR(sel_Customer="All",F1220=sel_Customer),OR(sel_Category="All",G1220=sel_Category),OR(sel_Product="All",H1220=sel_Product)),1,0)</f>
        <v/>
      </c>
    </row>
    <row r="1221">
      <c r="A1221" s="36" t="inlineStr">
        <is>
          <t>05041</t>
        </is>
      </c>
      <c r="B1221" s="44" t="n">
        <v>46200</v>
      </c>
      <c r="C1221" s="36" t="inlineStr">
        <is>
          <t>Southern Europe</t>
        </is>
      </c>
      <c r="D1221" s="36" t="inlineStr">
        <is>
          <t>Italy</t>
        </is>
      </c>
      <c r="E1221" s="36" t="inlineStr">
        <is>
          <t>Retail Partners</t>
        </is>
      </c>
      <c r="F1221" s="36" t="inlineStr">
        <is>
          <t>New</t>
        </is>
      </c>
      <c r="G1221" s="36" t="inlineStr">
        <is>
          <t>Camping</t>
        </is>
      </c>
      <c r="H1221" s="36" t="inlineStr">
        <is>
          <t>Compact Sleeping Bag</t>
        </is>
      </c>
      <c r="I1221" s="36" t="n">
        <v>1</v>
      </c>
      <c r="J1221" s="39" t="n">
        <v>126.12</v>
      </c>
      <c r="K1221" s="45" t="n">
        <v>0</v>
      </c>
      <c r="L1221" s="39" t="n">
        <v>62.18</v>
      </c>
      <c r="M1221" s="39">
        <f>I1221*J1221*(1-K1221)</f>
        <v/>
      </c>
      <c r="N1221" s="39">
        <f>I1221*L1221</f>
        <v/>
      </c>
      <c r="O1221" s="39">
        <f>M1221-N1221</f>
        <v/>
      </c>
      <c r="P1221" s="38">
        <f>IF(M1221=0,0,O1221/M1221)</f>
        <v/>
      </c>
      <c r="Q1221" s="36">
        <f>YEAR(B1221)</f>
        <v/>
      </c>
      <c r="R1221" s="36">
        <f>"Q"&amp;ROUNDUP(MONTH(B1221)/3,0)</f>
        <v/>
      </c>
      <c r="S1221" s="36">
        <f>MONTH(B1221)</f>
        <v/>
      </c>
      <c r="T1221" s="36">
        <f>TEXT(B1221,"mmm")</f>
        <v/>
      </c>
      <c r="U1221" s="36">
        <f>IF(AND(OR(sel_Region="All",C1221=sel_Region),OR(sel_Country="All",D1221=sel_Country),OR(sel_Channel="All",E1221=sel_Channel),OR(sel_Customer="All",F1221=sel_Customer),OR(sel_Category="All",G1221=sel_Category),OR(sel_Product="All",H1221=sel_Product),AND(S1221&gt;=m_From,S1221&lt;=m_To)),1,0)</f>
        <v/>
      </c>
      <c r="V1221" s="36">
        <f>IF(AND(OR(sel_Region="All",C1221=sel_Region),OR(sel_Channel="All",E1221=sel_Channel),OR(sel_Customer="All",F1221=sel_Customer),OR(sel_Category="All",G1221=sel_Category),OR(sel_Product="All",H1221=sel_Product),AND(S1221&gt;=m_From,S1221&lt;=m_To)),1,0)</f>
        <v/>
      </c>
      <c r="W1221" s="36">
        <f>IF(AND(OR(sel_Region="All",C1221=sel_Region),OR(sel_Country="All",D1221=sel_Country),OR(sel_Customer="All",F1221=sel_Customer),OR(sel_Category="All",G1221=sel_Category),OR(sel_Product="All",H1221=sel_Product),AND(S1221&gt;=m_From,S1221&lt;=m_To)),1,0)</f>
        <v/>
      </c>
      <c r="X1221" s="36">
        <f>IF(AND(OR(sel_Region="All",C1221=sel_Region),OR(sel_Country="All",D1221=sel_Country),OR(sel_Channel="All",E1221=sel_Channel),OR(sel_Category="All",G1221=sel_Category),OR(sel_Product="All",H1221=sel_Product),AND(S1221&gt;=m_From,S1221&lt;=m_To)),1,0)</f>
        <v/>
      </c>
      <c r="Y1221" s="36">
        <f>IF(AND(OR(sel_Region="All",C1221=sel_Region),OR(sel_Country="All",D1221=sel_Country),OR(sel_Channel="All",E1221=sel_Channel),OR(sel_Customer="All",F1221=sel_Customer),OR(sel_Product="All",H1221=sel_Product),AND(S1221&gt;=m_From,S1221&lt;=m_To)),1,0)</f>
        <v/>
      </c>
      <c r="Z1221" s="36">
        <f>IF(AND(OR(sel_Region="All",C1221=sel_Region),OR(sel_Country="All",D1221=sel_Country),OR(sel_Channel="All",E1221=sel_Channel),OR(sel_Customer="All",F1221=sel_Customer),OR(sel_Category="All",G1221=sel_Category),AND(S1221&gt;=m_From,S1221&lt;=m_To)),1,0)</f>
        <v/>
      </c>
      <c r="AA1221" s="36">
        <f>IF(AND(OR(sel_Region="All",C1221=sel_Region),OR(sel_Country="All",D1221=sel_Country),OR(sel_Channel="All",E1221=sel_Channel),OR(sel_Customer="All",F1221=sel_Customer),OR(sel_Category="All",G1221=sel_Category),OR(sel_Product="All",H1221=sel_Product)),1,0)</f>
        <v/>
      </c>
    </row>
    <row r="1222">
      <c r="A1222" s="36" t="inlineStr">
        <is>
          <t>00312</t>
        </is>
      </c>
      <c r="B1222" s="44" t="n">
        <v>46201</v>
      </c>
      <c r="C1222" s="36" t="inlineStr">
        <is>
          <t>Western Europe</t>
        </is>
      </c>
      <c r="D1222" s="36" t="inlineStr">
        <is>
          <t>Netherlands</t>
        </is>
      </c>
      <c r="E1222" s="36" t="inlineStr">
        <is>
          <t>Marketplace</t>
        </is>
      </c>
      <c r="F1222" s="36" t="inlineStr">
        <is>
          <t>Returning</t>
        </is>
      </c>
      <c r="G1222" s="36" t="inlineStr">
        <is>
          <t>Fitness</t>
        </is>
      </c>
      <c r="H1222" s="36" t="inlineStr">
        <is>
          <t>Recovery Roller</t>
        </is>
      </c>
      <c r="I1222" s="36" t="n">
        <v>1</v>
      </c>
      <c r="J1222" s="39" t="n">
        <v>36</v>
      </c>
      <c r="K1222" s="45" t="n">
        <v>0</v>
      </c>
      <c r="L1222" s="39" t="n">
        <v>13.95</v>
      </c>
      <c r="M1222" s="39">
        <f>I1222*J1222*(1-K1222)</f>
        <v/>
      </c>
      <c r="N1222" s="39">
        <f>I1222*L1222</f>
        <v/>
      </c>
      <c r="O1222" s="39">
        <f>M1222-N1222</f>
        <v/>
      </c>
      <c r="P1222" s="38">
        <f>IF(M1222=0,0,O1222/M1222)</f>
        <v/>
      </c>
      <c r="Q1222" s="36">
        <f>YEAR(B1222)</f>
        <v/>
      </c>
      <c r="R1222" s="36">
        <f>"Q"&amp;ROUNDUP(MONTH(B1222)/3,0)</f>
        <v/>
      </c>
      <c r="S1222" s="36">
        <f>MONTH(B1222)</f>
        <v/>
      </c>
      <c r="T1222" s="36">
        <f>TEXT(B1222,"mmm")</f>
        <v/>
      </c>
      <c r="U1222" s="36">
        <f>IF(AND(OR(sel_Region="All",C1222=sel_Region),OR(sel_Country="All",D1222=sel_Country),OR(sel_Channel="All",E1222=sel_Channel),OR(sel_Customer="All",F1222=sel_Customer),OR(sel_Category="All",G1222=sel_Category),OR(sel_Product="All",H1222=sel_Product),AND(S1222&gt;=m_From,S1222&lt;=m_To)),1,0)</f>
        <v/>
      </c>
      <c r="V1222" s="36">
        <f>IF(AND(OR(sel_Region="All",C1222=sel_Region),OR(sel_Channel="All",E1222=sel_Channel),OR(sel_Customer="All",F1222=sel_Customer),OR(sel_Category="All",G1222=sel_Category),OR(sel_Product="All",H1222=sel_Product),AND(S1222&gt;=m_From,S1222&lt;=m_To)),1,0)</f>
        <v/>
      </c>
      <c r="W1222" s="36">
        <f>IF(AND(OR(sel_Region="All",C1222=sel_Region),OR(sel_Country="All",D1222=sel_Country),OR(sel_Customer="All",F1222=sel_Customer),OR(sel_Category="All",G1222=sel_Category),OR(sel_Product="All",H1222=sel_Product),AND(S1222&gt;=m_From,S1222&lt;=m_To)),1,0)</f>
        <v/>
      </c>
      <c r="X1222" s="36">
        <f>IF(AND(OR(sel_Region="All",C1222=sel_Region),OR(sel_Country="All",D1222=sel_Country),OR(sel_Channel="All",E1222=sel_Channel),OR(sel_Category="All",G1222=sel_Category),OR(sel_Product="All",H1222=sel_Product),AND(S1222&gt;=m_From,S1222&lt;=m_To)),1,0)</f>
        <v/>
      </c>
      <c r="Y1222" s="36">
        <f>IF(AND(OR(sel_Region="All",C1222=sel_Region),OR(sel_Country="All",D1222=sel_Country),OR(sel_Channel="All",E1222=sel_Channel),OR(sel_Customer="All",F1222=sel_Customer),OR(sel_Product="All",H1222=sel_Product),AND(S1222&gt;=m_From,S1222&lt;=m_To)),1,0)</f>
        <v/>
      </c>
      <c r="Z1222" s="36">
        <f>IF(AND(OR(sel_Region="All",C1222=sel_Region),OR(sel_Country="All",D1222=sel_Country),OR(sel_Channel="All",E1222=sel_Channel),OR(sel_Customer="All",F1222=sel_Customer),OR(sel_Category="All",G1222=sel_Category),AND(S1222&gt;=m_From,S1222&lt;=m_To)),1,0)</f>
        <v/>
      </c>
      <c r="AA1222" s="36">
        <f>IF(AND(OR(sel_Region="All",C1222=sel_Region),OR(sel_Country="All",D1222=sel_Country),OR(sel_Channel="All",E1222=sel_Channel),OR(sel_Customer="All",F1222=sel_Customer),OR(sel_Category="All",G1222=sel_Category),OR(sel_Product="All",H1222=sel_Product)),1,0)</f>
        <v/>
      </c>
    </row>
    <row r="1223">
      <c r="A1223" s="36" t="inlineStr">
        <is>
          <t>00647</t>
        </is>
      </c>
      <c r="B1223" s="44" t="n">
        <v>46201</v>
      </c>
      <c r="C1223" s="36" t="inlineStr">
        <is>
          <t>Southern Europe</t>
        </is>
      </c>
      <c r="D1223" s="36" t="inlineStr">
        <is>
          <t>Spain</t>
        </is>
      </c>
      <c r="E1223" s="36" t="inlineStr">
        <is>
          <t>Online Store</t>
        </is>
      </c>
      <c r="F1223" s="36" t="inlineStr">
        <is>
          <t>Returning</t>
        </is>
      </c>
      <c r="G1223" s="36" t="inlineStr">
        <is>
          <t>Travel</t>
        </is>
      </c>
      <c r="H1223" s="36" t="inlineStr">
        <is>
          <t>Travel Backpack 35L</t>
        </is>
      </c>
      <c r="I1223" s="36" t="n">
        <v>1</v>
      </c>
      <c r="J1223" s="39" t="n">
        <v>162.25</v>
      </c>
      <c r="K1223" s="45" t="n">
        <v>0.05</v>
      </c>
      <c r="L1223" s="39" t="n">
        <v>89.28</v>
      </c>
      <c r="M1223" s="39">
        <f>I1223*J1223*(1-K1223)</f>
        <v/>
      </c>
      <c r="N1223" s="39">
        <f>I1223*L1223</f>
        <v/>
      </c>
      <c r="O1223" s="39">
        <f>M1223-N1223</f>
        <v/>
      </c>
      <c r="P1223" s="38">
        <f>IF(M1223=0,0,O1223/M1223)</f>
        <v/>
      </c>
      <c r="Q1223" s="36">
        <f>YEAR(B1223)</f>
        <v/>
      </c>
      <c r="R1223" s="36">
        <f>"Q"&amp;ROUNDUP(MONTH(B1223)/3,0)</f>
        <v/>
      </c>
      <c r="S1223" s="36">
        <f>MONTH(B1223)</f>
        <v/>
      </c>
      <c r="T1223" s="36">
        <f>TEXT(B1223,"mmm")</f>
        <v/>
      </c>
      <c r="U1223" s="36">
        <f>IF(AND(OR(sel_Region="All",C1223=sel_Region),OR(sel_Country="All",D1223=sel_Country),OR(sel_Channel="All",E1223=sel_Channel),OR(sel_Customer="All",F1223=sel_Customer),OR(sel_Category="All",G1223=sel_Category),OR(sel_Product="All",H1223=sel_Product),AND(S1223&gt;=m_From,S1223&lt;=m_To)),1,0)</f>
        <v/>
      </c>
      <c r="V1223" s="36">
        <f>IF(AND(OR(sel_Region="All",C1223=sel_Region),OR(sel_Channel="All",E1223=sel_Channel),OR(sel_Customer="All",F1223=sel_Customer),OR(sel_Category="All",G1223=sel_Category),OR(sel_Product="All",H1223=sel_Product),AND(S1223&gt;=m_From,S1223&lt;=m_To)),1,0)</f>
        <v/>
      </c>
      <c r="W1223" s="36">
        <f>IF(AND(OR(sel_Region="All",C1223=sel_Region),OR(sel_Country="All",D1223=sel_Country),OR(sel_Customer="All",F1223=sel_Customer),OR(sel_Category="All",G1223=sel_Category),OR(sel_Product="All",H1223=sel_Product),AND(S1223&gt;=m_From,S1223&lt;=m_To)),1,0)</f>
        <v/>
      </c>
      <c r="X1223" s="36">
        <f>IF(AND(OR(sel_Region="All",C1223=sel_Region),OR(sel_Country="All",D1223=sel_Country),OR(sel_Channel="All",E1223=sel_Channel),OR(sel_Category="All",G1223=sel_Category),OR(sel_Product="All",H1223=sel_Product),AND(S1223&gt;=m_From,S1223&lt;=m_To)),1,0)</f>
        <v/>
      </c>
      <c r="Y1223" s="36">
        <f>IF(AND(OR(sel_Region="All",C1223=sel_Region),OR(sel_Country="All",D1223=sel_Country),OR(sel_Channel="All",E1223=sel_Channel),OR(sel_Customer="All",F1223=sel_Customer),OR(sel_Product="All",H1223=sel_Product),AND(S1223&gt;=m_From,S1223&lt;=m_To)),1,0)</f>
        <v/>
      </c>
      <c r="Z1223" s="36">
        <f>IF(AND(OR(sel_Region="All",C1223=sel_Region),OR(sel_Country="All",D1223=sel_Country),OR(sel_Channel="All",E1223=sel_Channel),OR(sel_Customer="All",F1223=sel_Customer),OR(sel_Category="All",G1223=sel_Category),AND(S1223&gt;=m_From,S1223&lt;=m_To)),1,0)</f>
        <v/>
      </c>
      <c r="AA1223" s="36">
        <f>IF(AND(OR(sel_Region="All",C1223=sel_Region),OR(sel_Country="All",D1223=sel_Country),OR(sel_Channel="All",E1223=sel_Channel),OR(sel_Customer="All",F1223=sel_Customer),OR(sel_Category="All",G1223=sel_Category),OR(sel_Product="All",H1223=sel_Product)),1,0)</f>
        <v/>
      </c>
    </row>
    <row r="1224">
      <c r="A1224" s="36" t="inlineStr">
        <is>
          <t>00708</t>
        </is>
      </c>
      <c r="B1224" s="44" t="n">
        <v>46201</v>
      </c>
      <c r="C1224" s="36" t="inlineStr">
        <is>
          <t>Central Europe</t>
        </is>
      </c>
      <c r="D1224" s="36" t="inlineStr">
        <is>
          <t>Switzerland</t>
        </is>
      </c>
      <c r="E1224" s="36" t="inlineStr">
        <is>
          <t>Online Store</t>
        </is>
      </c>
      <c r="F1224" s="36" t="inlineStr">
        <is>
          <t>Returning</t>
        </is>
      </c>
      <c r="G1224" s="36" t="inlineStr">
        <is>
          <t>Hiking</t>
        </is>
      </c>
      <c r="H1224" s="36" t="inlineStr">
        <is>
          <t>Summit Backpack 45L</t>
        </is>
      </c>
      <c r="I1224" s="36" t="n">
        <v>1</v>
      </c>
      <c r="J1224" s="39" t="n">
        <v>150.44</v>
      </c>
      <c r="K1224" s="45" t="n">
        <v>0</v>
      </c>
      <c r="L1224" s="39" t="n">
        <v>80.5</v>
      </c>
      <c r="M1224" s="39">
        <f>I1224*J1224*(1-K1224)</f>
        <v/>
      </c>
      <c r="N1224" s="39">
        <f>I1224*L1224</f>
        <v/>
      </c>
      <c r="O1224" s="39">
        <f>M1224-N1224</f>
        <v/>
      </c>
      <c r="P1224" s="38">
        <f>IF(M1224=0,0,O1224/M1224)</f>
        <v/>
      </c>
      <c r="Q1224" s="36">
        <f>YEAR(B1224)</f>
        <v/>
      </c>
      <c r="R1224" s="36">
        <f>"Q"&amp;ROUNDUP(MONTH(B1224)/3,0)</f>
        <v/>
      </c>
      <c r="S1224" s="36">
        <f>MONTH(B1224)</f>
        <v/>
      </c>
      <c r="T1224" s="36">
        <f>TEXT(B1224,"mmm")</f>
        <v/>
      </c>
      <c r="U1224" s="36">
        <f>IF(AND(OR(sel_Region="All",C1224=sel_Region),OR(sel_Country="All",D1224=sel_Country),OR(sel_Channel="All",E1224=sel_Channel),OR(sel_Customer="All",F1224=sel_Customer),OR(sel_Category="All",G1224=sel_Category),OR(sel_Product="All",H1224=sel_Product),AND(S1224&gt;=m_From,S1224&lt;=m_To)),1,0)</f>
        <v/>
      </c>
      <c r="V1224" s="36">
        <f>IF(AND(OR(sel_Region="All",C1224=sel_Region),OR(sel_Channel="All",E1224=sel_Channel),OR(sel_Customer="All",F1224=sel_Customer),OR(sel_Category="All",G1224=sel_Category),OR(sel_Product="All",H1224=sel_Product),AND(S1224&gt;=m_From,S1224&lt;=m_To)),1,0)</f>
        <v/>
      </c>
      <c r="W1224" s="36">
        <f>IF(AND(OR(sel_Region="All",C1224=sel_Region),OR(sel_Country="All",D1224=sel_Country),OR(sel_Customer="All",F1224=sel_Customer),OR(sel_Category="All",G1224=sel_Category),OR(sel_Product="All",H1224=sel_Product),AND(S1224&gt;=m_From,S1224&lt;=m_To)),1,0)</f>
        <v/>
      </c>
      <c r="X1224" s="36">
        <f>IF(AND(OR(sel_Region="All",C1224=sel_Region),OR(sel_Country="All",D1224=sel_Country),OR(sel_Channel="All",E1224=sel_Channel),OR(sel_Category="All",G1224=sel_Category),OR(sel_Product="All",H1224=sel_Product),AND(S1224&gt;=m_From,S1224&lt;=m_To)),1,0)</f>
        <v/>
      </c>
      <c r="Y1224" s="36">
        <f>IF(AND(OR(sel_Region="All",C1224=sel_Region),OR(sel_Country="All",D1224=sel_Country),OR(sel_Channel="All",E1224=sel_Channel),OR(sel_Customer="All",F1224=sel_Customer),OR(sel_Product="All",H1224=sel_Product),AND(S1224&gt;=m_From,S1224&lt;=m_To)),1,0)</f>
        <v/>
      </c>
      <c r="Z1224" s="36">
        <f>IF(AND(OR(sel_Region="All",C1224=sel_Region),OR(sel_Country="All",D1224=sel_Country),OR(sel_Channel="All",E1224=sel_Channel),OR(sel_Customer="All",F1224=sel_Customer),OR(sel_Category="All",G1224=sel_Category),AND(S1224&gt;=m_From,S1224&lt;=m_To)),1,0)</f>
        <v/>
      </c>
      <c r="AA1224" s="36">
        <f>IF(AND(OR(sel_Region="All",C1224=sel_Region),OR(sel_Country="All",D1224=sel_Country),OR(sel_Channel="All",E1224=sel_Channel),OR(sel_Customer="All",F1224=sel_Customer),OR(sel_Category="All",G1224=sel_Category),OR(sel_Product="All",H1224=sel_Product)),1,0)</f>
        <v/>
      </c>
    </row>
    <row r="1225">
      <c r="A1225" s="36" t="inlineStr">
        <is>
          <t>00886</t>
        </is>
      </c>
      <c r="B1225" s="44" t="n">
        <v>46201</v>
      </c>
      <c r="C1225" s="36" t="inlineStr">
        <is>
          <t>Southern Europe</t>
        </is>
      </c>
      <c r="D1225" s="36" t="inlineStr">
        <is>
          <t>Spain</t>
        </is>
      </c>
      <c r="E1225" s="36" t="inlineStr">
        <is>
          <t>Retail Partners</t>
        </is>
      </c>
      <c r="F1225" s="36" t="inlineStr">
        <is>
          <t>Business</t>
        </is>
      </c>
      <c r="G1225" s="36" t="inlineStr">
        <is>
          <t>Camping</t>
        </is>
      </c>
      <c r="H1225" s="36" t="inlineStr">
        <is>
          <t>Compact Sleeping Bag</t>
        </is>
      </c>
      <c r="I1225" s="36" t="n">
        <v>2</v>
      </c>
      <c r="J1225" s="39" t="n">
        <v>126.17</v>
      </c>
      <c r="K1225" s="45" t="n">
        <v>0.05</v>
      </c>
      <c r="L1225" s="39" t="n">
        <v>61.13</v>
      </c>
      <c r="M1225" s="39">
        <f>I1225*J1225*(1-K1225)</f>
        <v/>
      </c>
      <c r="N1225" s="39">
        <f>I1225*L1225</f>
        <v/>
      </c>
      <c r="O1225" s="39">
        <f>M1225-N1225</f>
        <v/>
      </c>
      <c r="P1225" s="38">
        <f>IF(M1225=0,0,O1225/M1225)</f>
        <v/>
      </c>
      <c r="Q1225" s="36">
        <f>YEAR(B1225)</f>
        <v/>
      </c>
      <c r="R1225" s="36">
        <f>"Q"&amp;ROUNDUP(MONTH(B1225)/3,0)</f>
        <v/>
      </c>
      <c r="S1225" s="36">
        <f>MONTH(B1225)</f>
        <v/>
      </c>
      <c r="T1225" s="36">
        <f>TEXT(B1225,"mmm")</f>
        <v/>
      </c>
      <c r="U1225" s="36">
        <f>IF(AND(OR(sel_Region="All",C1225=sel_Region),OR(sel_Country="All",D1225=sel_Country),OR(sel_Channel="All",E1225=sel_Channel),OR(sel_Customer="All",F1225=sel_Customer),OR(sel_Category="All",G1225=sel_Category),OR(sel_Product="All",H1225=sel_Product),AND(S1225&gt;=m_From,S1225&lt;=m_To)),1,0)</f>
        <v/>
      </c>
      <c r="V1225" s="36">
        <f>IF(AND(OR(sel_Region="All",C1225=sel_Region),OR(sel_Channel="All",E1225=sel_Channel),OR(sel_Customer="All",F1225=sel_Customer),OR(sel_Category="All",G1225=sel_Category),OR(sel_Product="All",H1225=sel_Product),AND(S1225&gt;=m_From,S1225&lt;=m_To)),1,0)</f>
        <v/>
      </c>
      <c r="W1225" s="36">
        <f>IF(AND(OR(sel_Region="All",C1225=sel_Region),OR(sel_Country="All",D1225=sel_Country),OR(sel_Customer="All",F1225=sel_Customer),OR(sel_Category="All",G1225=sel_Category),OR(sel_Product="All",H1225=sel_Product),AND(S1225&gt;=m_From,S1225&lt;=m_To)),1,0)</f>
        <v/>
      </c>
      <c r="X1225" s="36">
        <f>IF(AND(OR(sel_Region="All",C1225=sel_Region),OR(sel_Country="All",D1225=sel_Country),OR(sel_Channel="All",E1225=sel_Channel),OR(sel_Category="All",G1225=sel_Category),OR(sel_Product="All",H1225=sel_Product),AND(S1225&gt;=m_From,S1225&lt;=m_To)),1,0)</f>
        <v/>
      </c>
      <c r="Y1225" s="36">
        <f>IF(AND(OR(sel_Region="All",C1225=sel_Region),OR(sel_Country="All",D1225=sel_Country),OR(sel_Channel="All",E1225=sel_Channel),OR(sel_Customer="All",F1225=sel_Customer),OR(sel_Product="All",H1225=sel_Product),AND(S1225&gt;=m_From,S1225&lt;=m_To)),1,0)</f>
        <v/>
      </c>
      <c r="Z1225" s="36">
        <f>IF(AND(OR(sel_Region="All",C1225=sel_Region),OR(sel_Country="All",D1225=sel_Country),OR(sel_Channel="All",E1225=sel_Channel),OR(sel_Customer="All",F1225=sel_Customer),OR(sel_Category="All",G1225=sel_Category),AND(S1225&gt;=m_From,S1225&lt;=m_To)),1,0)</f>
        <v/>
      </c>
      <c r="AA1225" s="36">
        <f>IF(AND(OR(sel_Region="All",C1225=sel_Region),OR(sel_Country="All",D1225=sel_Country),OR(sel_Channel="All",E1225=sel_Channel),OR(sel_Customer="All",F1225=sel_Customer),OR(sel_Category="All",G1225=sel_Category),OR(sel_Product="All",H1225=sel_Product)),1,0)</f>
        <v/>
      </c>
    </row>
    <row r="1226">
      <c r="A1226" s="36" t="inlineStr">
        <is>
          <t>00944</t>
        </is>
      </c>
      <c r="B1226" s="44" t="n">
        <v>46201</v>
      </c>
      <c r="C1226" s="36" t="inlineStr">
        <is>
          <t>Western Europe</t>
        </is>
      </c>
      <c r="D1226" s="36" t="inlineStr">
        <is>
          <t>Netherlands</t>
        </is>
      </c>
      <c r="E1226" s="36" t="inlineStr">
        <is>
          <t>Marketplace</t>
        </is>
      </c>
      <c r="F1226" s="36" t="inlineStr">
        <is>
          <t>Returning</t>
        </is>
      </c>
      <c r="G1226" s="36" t="inlineStr">
        <is>
          <t>Camping</t>
        </is>
      </c>
      <c r="H1226" s="36" t="inlineStr">
        <is>
          <t>Portable Camp Stove</t>
        </is>
      </c>
      <c r="I1226" s="36" t="n">
        <v>2</v>
      </c>
      <c r="J1226" s="39" t="n">
        <v>83.72</v>
      </c>
      <c r="K1226" s="45" t="n">
        <v>0</v>
      </c>
      <c r="L1226" s="39" t="n">
        <v>38.96</v>
      </c>
      <c r="M1226" s="39">
        <f>I1226*J1226*(1-K1226)</f>
        <v/>
      </c>
      <c r="N1226" s="39">
        <f>I1226*L1226</f>
        <v/>
      </c>
      <c r="O1226" s="39">
        <f>M1226-N1226</f>
        <v/>
      </c>
      <c r="P1226" s="38">
        <f>IF(M1226=0,0,O1226/M1226)</f>
        <v/>
      </c>
      <c r="Q1226" s="36">
        <f>YEAR(B1226)</f>
        <v/>
      </c>
      <c r="R1226" s="36">
        <f>"Q"&amp;ROUNDUP(MONTH(B1226)/3,0)</f>
        <v/>
      </c>
      <c r="S1226" s="36">
        <f>MONTH(B1226)</f>
        <v/>
      </c>
      <c r="T1226" s="36">
        <f>TEXT(B1226,"mmm")</f>
        <v/>
      </c>
      <c r="U1226" s="36">
        <f>IF(AND(OR(sel_Region="All",C1226=sel_Region),OR(sel_Country="All",D1226=sel_Country),OR(sel_Channel="All",E1226=sel_Channel),OR(sel_Customer="All",F1226=sel_Customer),OR(sel_Category="All",G1226=sel_Category),OR(sel_Product="All",H1226=sel_Product),AND(S1226&gt;=m_From,S1226&lt;=m_To)),1,0)</f>
        <v/>
      </c>
      <c r="V1226" s="36">
        <f>IF(AND(OR(sel_Region="All",C1226=sel_Region),OR(sel_Channel="All",E1226=sel_Channel),OR(sel_Customer="All",F1226=sel_Customer),OR(sel_Category="All",G1226=sel_Category),OR(sel_Product="All",H1226=sel_Product),AND(S1226&gt;=m_From,S1226&lt;=m_To)),1,0)</f>
        <v/>
      </c>
      <c r="W1226" s="36">
        <f>IF(AND(OR(sel_Region="All",C1226=sel_Region),OR(sel_Country="All",D1226=sel_Country),OR(sel_Customer="All",F1226=sel_Customer),OR(sel_Category="All",G1226=sel_Category),OR(sel_Product="All",H1226=sel_Product),AND(S1226&gt;=m_From,S1226&lt;=m_To)),1,0)</f>
        <v/>
      </c>
      <c r="X1226" s="36">
        <f>IF(AND(OR(sel_Region="All",C1226=sel_Region),OR(sel_Country="All",D1226=sel_Country),OR(sel_Channel="All",E1226=sel_Channel),OR(sel_Category="All",G1226=sel_Category),OR(sel_Product="All",H1226=sel_Product),AND(S1226&gt;=m_From,S1226&lt;=m_To)),1,0)</f>
        <v/>
      </c>
      <c r="Y1226" s="36">
        <f>IF(AND(OR(sel_Region="All",C1226=sel_Region),OR(sel_Country="All",D1226=sel_Country),OR(sel_Channel="All",E1226=sel_Channel),OR(sel_Customer="All",F1226=sel_Customer),OR(sel_Product="All",H1226=sel_Product),AND(S1226&gt;=m_From,S1226&lt;=m_To)),1,0)</f>
        <v/>
      </c>
      <c r="Z1226" s="36">
        <f>IF(AND(OR(sel_Region="All",C1226=sel_Region),OR(sel_Country="All",D1226=sel_Country),OR(sel_Channel="All",E1226=sel_Channel),OR(sel_Customer="All",F1226=sel_Customer),OR(sel_Category="All",G1226=sel_Category),AND(S1226&gt;=m_From,S1226&lt;=m_To)),1,0)</f>
        <v/>
      </c>
      <c r="AA1226" s="36">
        <f>IF(AND(OR(sel_Region="All",C1226=sel_Region),OR(sel_Country="All",D1226=sel_Country),OR(sel_Channel="All",E1226=sel_Channel),OR(sel_Customer="All",F1226=sel_Customer),OR(sel_Category="All",G1226=sel_Category),OR(sel_Product="All",H1226=sel_Product)),1,0)</f>
        <v/>
      </c>
    </row>
    <row r="1227">
      <c r="A1227" s="36" t="inlineStr">
        <is>
          <t>01050</t>
        </is>
      </c>
      <c r="B1227" s="44" t="n">
        <v>46201</v>
      </c>
      <c r="C1227" s="36" t="inlineStr">
        <is>
          <t>Western Europe</t>
        </is>
      </c>
      <c r="D1227" s="36" t="inlineStr">
        <is>
          <t>United Kingdom</t>
        </is>
      </c>
      <c r="E1227" s="36" t="inlineStr">
        <is>
          <t>Marketplace</t>
        </is>
      </c>
      <c r="F1227" s="36" t="inlineStr">
        <is>
          <t>New</t>
        </is>
      </c>
      <c r="G1227" s="36" t="inlineStr">
        <is>
          <t>Hiking</t>
        </is>
      </c>
      <c r="H1227" s="36" t="inlineStr">
        <is>
          <t>Trekking Poles</t>
        </is>
      </c>
      <c r="I1227" s="36" t="n">
        <v>1</v>
      </c>
      <c r="J1227" s="39" t="n">
        <v>70.58</v>
      </c>
      <c r="K1227" s="45" t="n">
        <v>0</v>
      </c>
      <c r="L1227" s="39" t="n">
        <v>32.78</v>
      </c>
      <c r="M1227" s="39">
        <f>I1227*J1227*(1-K1227)</f>
        <v/>
      </c>
      <c r="N1227" s="39">
        <f>I1227*L1227</f>
        <v/>
      </c>
      <c r="O1227" s="39">
        <f>M1227-N1227</f>
        <v/>
      </c>
      <c r="P1227" s="38">
        <f>IF(M1227=0,0,O1227/M1227)</f>
        <v/>
      </c>
      <c r="Q1227" s="36">
        <f>YEAR(B1227)</f>
        <v/>
      </c>
      <c r="R1227" s="36">
        <f>"Q"&amp;ROUNDUP(MONTH(B1227)/3,0)</f>
        <v/>
      </c>
      <c r="S1227" s="36">
        <f>MONTH(B1227)</f>
        <v/>
      </c>
      <c r="T1227" s="36">
        <f>TEXT(B1227,"mmm")</f>
        <v/>
      </c>
      <c r="U1227" s="36">
        <f>IF(AND(OR(sel_Region="All",C1227=sel_Region),OR(sel_Country="All",D1227=sel_Country),OR(sel_Channel="All",E1227=sel_Channel),OR(sel_Customer="All",F1227=sel_Customer),OR(sel_Category="All",G1227=sel_Category),OR(sel_Product="All",H1227=sel_Product),AND(S1227&gt;=m_From,S1227&lt;=m_To)),1,0)</f>
        <v/>
      </c>
      <c r="V1227" s="36">
        <f>IF(AND(OR(sel_Region="All",C1227=sel_Region),OR(sel_Channel="All",E1227=sel_Channel),OR(sel_Customer="All",F1227=sel_Customer),OR(sel_Category="All",G1227=sel_Category),OR(sel_Product="All",H1227=sel_Product),AND(S1227&gt;=m_From,S1227&lt;=m_To)),1,0)</f>
        <v/>
      </c>
      <c r="W1227" s="36">
        <f>IF(AND(OR(sel_Region="All",C1227=sel_Region),OR(sel_Country="All",D1227=sel_Country),OR(sel_Customer="All",F1227=sel_Customer),OR(sel_Category="All",G1227=sel_Category),OR(sel_Product="All",H1227=sel_Product),AND(S1227&gt;=m_From,S1227&lt;=m_To)),1,0)</f>
        <v/>
      </c>
      <c r="X1227" s="36">
        <f>IF(AND(OR(sel_Region="All",C1227=sel_Region),OR(sel_Country="All",D1227=sel_Country),OR(sel_Channel="All",E1227=sel_Channel),OR(sel_Category="All",G1227=sel_Category),OR(sel_Product="All",H1227=sel_Product),AND(S1227&gt;=m_From,S1227&lt;=m_To)),1,0)</f>
        <v/>
      </c>
      <c r="Y1227" s="36">
        <f>IF(AND(OR(sel_Region="All",C1227=sel_Region),OR(sel_Country="All",D1227=sel_Country),OR(sel_Channel="All",E1227=sel_Channel),OR(sel_Customer="All",F1227=sel_Customer),OR(sel_Product="All",H1227=sel_Product),AND(S1227&gt;=m_From,S1227&lt;=m_To)),1,0)</f>
        <v/>
      </c>
      <c r="Z1227" s="36">
        <f>IF(AND(OR(sel_Region="All",C1227=sel_Region),OR(sel_Country="All",D1227=sel_Country),OR(sel_Channel="All",E1227=sel_Channel),OR(sel_Customer="All",F1227=sel_Customer),OR(sel_Category="All",G1227=sel_Category),AND(S1227&gt;=m_From,S1227&lt;=m_To)),1,0)</f>
        <v/>
      </c>
      <c r="AA1227" s="36">
        <f>IF(AND(OR(sel_Region="All",C1227=sel_Region),OR(sel_Country="All",D1227=sel_Country),OR(sel_Channel="All",E1227=sel_Channel),OR(sel_Customer="All",F1227=sel_Customer),OR(sel_Category="All",G1227=sel_Category),OR(sel_Product="All",H1227=sel_Product)),1,0)</f>
        <v/>
      </c>
    </row>
    <row r="1228">
      <c r="A1228" s="36" t="inlineStr">
        <is>
          <t>01677</t>
        </is>
      </c>
      <c r="B1228" s="44" t="n">
        <v>46201</v>
      </c>
      <c r="C1228" s="36" t="inlineStr">
        <is>
          <t>Western Europe</t>
        </is>
      </c>
      <c r="D1228" s="36" t="inlineStr">
        <is>
          <t>France</t>
        </is>
      </c>
      <c r="E1228" s="36" t="inlineStr">
        <is>
          <t>Corporate</t>
        </is>
      </c>
      <c r="F1228" s="36" t="inlineStr">
        <is>
          <t>Business</t>
        </is>
      </c>
      <c r="G1228" s="36" t="inlineStr">
        <is>
          <t>Camping</t>
        </is>
      </c>
      <c r="H1228" s="36" t="inlineStr">
        <is>
          <t>Portable Camp Stove</t>
        </is>
      </c>
      <c r="I1228" s="36" t="n">
        <v>5</v>
      </c>
      <c r="J1228" s="39" t="n">
        <v>81.95999999999999</v>
      </c>
      <c r="K1228" s="45" t="n">
        <v>0.05</v>
      </c>
      <c r="L1228" s="39" t="n">
        <v>39.13</v>
      </c>
      <c r="M1228" s="39">
        <f>I1228*J1228*(1-K1228)</f>
        <v/>
      </c>
      <c r="N1228" s="39">
        <f>I1228*L1228</f>
        <v/>
      </c>
      <c r="O1228" s="39">
        <f>M1228-N1228</f>
        <v/>
      </c>
      <c r="P1228" s="38">
        <f>IF(M1228=0,0,O1228/M1228)</f>
        <v/>
      </c>
      <c r="Q1228" s="36">
        <f>YEAR(B1228)</f>
        <v/>
      </c>
      <c r="R1228" s="36">
        <f>"Q"&amp;ROUNDUP(MONTH(B1228)/3,0)</f>
        <v/>
      </c>
      <c r="S1228" s="36">
        <f>MONTH(B1228)</f>
        <v/>
      </c>
      <c r="T1228" s="36">
        <f>TEXT(B1228,"mmm")</f>
        <v/>
      </c>
      <c r="U1228" s="36">
        <f>IF(AND(OR(sel_Region="All",C1228=sel_Region),OR(sel_Country="All",D1228=sel_Country),OR(sel_Channel="All",E1228=sel_Channel),OR(sel_Customer="All",F1228=sel_Customer),OR(sel_Category="All",G1228=sel_Category),OR(sel_Product="All",H1228=sel_Product),AND(S1228&gt;=m_From,S1228&lt;=m_To)),1,0)</f>
        <v/>
      </c>
      <c r="V1228" s="36">
        <f>IF(AND(OR(sel_Region="All",C1228=sel_Region),OR(sel_Channel="All",E1228=sel_Channel),OR(sel_Customer="All",F1228=sel_Customer),OR(sel_Category="All",G1228=sel_Category),OR(sel_Product="All",H1228=sel_Product),AND(S1228&gt;=m_From,S1228&lt;=m_To)),1,0)</f>
        <v/>
      </c>
      <c r="W1228" s="36">
        <f>IF(AND(OR(sel_Region="All",C1228=sel_Region),OR(sel_Country="All",D1228=sel_Country),OR(sel_Customer="All",F1228=sel_Customer),OR(sel_Category="All",G1228=sel_Category),OR(sel_Product="All",H1228=sel_Product),AND(S1228&gt;=m_From,S1228&lt;=m_To)),1,0)</f>
        <v/>
      </c>
      <c r="X1228" s="36">
        <f>IF(AND(OR(sel_Region="All",C1228=sel_Region),OR(sel_Country="All",D1228=sel_Country),OR(sel_Channel="All",E1228=sel_Channel),OR(sel_Category="All",G1228=sel_Category),OR(sel_Product="All",H1228=sel_Product),AND(S1228&gt;=m_From,S1228&lt;=m_To)),1,0)</f>
        <v/>
      </c>
      <c r="Y1228" s="36">
        <f>IF(AND(OR(sel_Region="All",C1228=sel_Region),OR(sel_Country="All",D1228=sel_Country),OR(sel_Channel="All",E1228=sel_Channel),OR(sel_Customer="All",F1228=sel_Customer),OR(sel_Product="All",H1228=sel_Product),AND(S1228&gt;=m_From,S1228&lt;=m_To)),1,0)</f>
        <v/>
      </c>
      <c r="Z1228" s="36">
        <f>IF(AND(OR(sel_Region="All",C1228=sel_Region),OR(sel_Country="All",D1228=sel_Country),OR(sel_Channel="All",E1228=sel_Channel),OR(sel_Customer="All",F1228=sel_Customer),OR(sel_Category="All",G1228=sel_Category),AND(S1228&gt;=m_From,S1228&lt;=m_To)),1,0)</f>
        <v/>
      </c>
      <c r="AA1228" s="36">
        <f>IF(AND(OR(sel_Region="All",C1228=sel_Region),OR(sel_Country="All",D1228=sel_Country),OR(sel_Channel="All",E1228=sel_Channel),OR(sel_Customer="All",F1228=sel_Customer),OR(sel_Category="All",G1228=sel_Category),OR(sel_Product="All",H1228=sel_Product)),1,0)</f>
        <v/>
      </c>
    </row>
    <row r="1229">
      <c r="A1229" s="36" t="inlineStr">
        <is>
          <t>02109</t>
        </is>
      </c>
      <c r="B1229" s="44" t="n">
        <v>46201</v>
      </c>
      <c r="C1229" s="36" t="inlineStr">
        <is>
          <t>Central Europe</t>
        </is>
      </c>
      <c r="D1229" s="36" t="inlineStr">
        <is>
          <t>Poland</t>
        </is>
      </c>
      <c r="E1229" s="36" t="inlineStr">
        <is>
          <t>Online Store</t>
        </is>
      </c>
      <c r="F1229" s="36" t="inlineStr">
        <is>
          <t>New</t>
        </is>
      </c>
      <c r="G1229" s="36" t="inlineStr">
        <is>
          <t>Cycling</t>
        </is>
      </c>
      <c r="H1229" s="36" t="inlineStr">
        <is>
          <t>Compact Repair Kit</t>
        </is>
      </c>
      <c r="I1229" s="36" t="n">
        <v>1</v>
      </c>
      <c r="J1229" s="39" t="n">
        <v>40.67</v>
      </c>
      <c r="K1229" s="45" t="n">
        <v>0</v>
      </c>
      <c r="L1229" s="39" t="n">
        <v>16.5</v>
      </c>
      <c r="M1229" s="39">
        <f>I1229*J1229*(1-K1229)</f>
        <v/>
      </c>
      <c r="N1229" s="39">
        <f>I1229*L1229</f>
        <v/>
      </c>
      <c r="O1229" s="39">
        <f>M1229-N1229</f>
        <v/>
      </c>
      <c r="P1229" s="38">
        <f>IF(M1229=0,0,O1229/M1229)</f>
        <v/>
      </c>
      <c r="Q1229" s="36">
        <f>YEAR(B1229)</f>
        <v/>
      </c>
      <c r="R1229" s="36">
        <f>"Q"&amp;ROUNDUP(MONTH(B1229)/3,0)</f>
        <v/>
      </c>
      <c r="S1229" s="36">
        <f>MONTH(B1229)</f>
        <v/>
      </c>
      <c r="T1229" s="36">
        <f>TEXT(B1229,"mmm")</f>
        <v/>
      </c>
      <c r="U1229" s="36">
        <f>IF(AND(OR(sel_Region="All",C1229=sel_Region),OR(sel_Country="All",D1229=sel_Country),OR(sel_Channel="All",E1229=sel_Channel),OR(sel_Customer="All",F1229=sel_Customer),OR(sel_Category="All",G1229=sel_Category),OR(sel_Product="All",H1229=sel_Product),AND(S1229&gt;=m_From,S1229&lt;=m_To)),1,0)</f>
        <v/>
      </c>
      <c r="V1229" s="36">
        <f>IF(AND(OR(sel_Region="All",C1229=sel_Region),OR(sel_Channel="All",E1229=sel_Channel),OR(sel_Customer="All",F1229=sel_Customer),OR(sel_Category="All",G1229=sel_Category),OR(sel_Product="All",H1229=sel_Product),AND(S1229&gt;=m_From,S1229&lt;=m_To)),1,0)</f>
        <v/>
      </c>
      <c r="W1229" s="36">
        <f>IF(AND(OR(sel_Region="All",C1229=sel_Region),OR(sel_Country="All",D1229=sel_Country),OR(sel_Customer="All",F1229=sel_Customer),OR(sel_Category="All",G1229=sel_Category),OR(sel_Product="All",H1229=sel_Product),AND(S1229&gt;=m_From,S1229&lt;=m_To)),1,0)</f>
        <v/>
      </c>
      <c r="X1229" s="36">
        <f>IF(AND(OR(sel_Region="All",C1229=sel_Region),OR(sel_Country="All",D1229=sel_Country),OR(sel_Channel="All",E1229=sel_Channel),OR(sel_Category="All",G1229=sel_Category),OR(sel_Product="All",H1229=sel_Product),AND(S1229&gt;=m_From,S1229&lt;=m_To)),1,0)</f>
        <v/>
      </c>
      <c r="Y1229" s="36">
        <f>IF(AND(OR(sel_Region="All",C1229=sel_Region),OR(sel_Country="All",D1229=sel_Country),OR(sel_Channel="All",E1229=sel_Channel),OR(sel_Customer="All",F1229=sel_Customer),OR(sel_Product="All",H1229=sel_Product),AND(S1229&gt;=m_From,S1229&lt;=m_To)),1,0)</f>
        <v/>
      </c>
      <c r="Z1229" s="36">
        <f>IF(AND(OR(sel_Region="All",C1229=sel_Region),OR(sel_Country="All",D1229=sel_Country),OR(sel_Channel="All",E1229=sel_Channel),OR(sel_Customer="All",F1229=sel_Customer),OR(sel_Category="All",G1229=sel_Category),AND(S1229&gt;=m_From,S1229&lt;=m_To)),1,0)</f>
        <v/>
      </c>
      <c r="AA1229" s="36">
        <f>IF(AND(OR(sel_Region="All",C1229=sel_Region),OR(sel_Country="All",D1229=sel_Country),OR(sel_Channel="All",E1229=sel_Channel),OR(sel_Customer="All",F1229=sel_Customer),OR(sel_Category="All",G1229=sel_Category),OR(sel_Product="All",H1229=sel_Product)),1,0)</f>
        <v/>
      </c>
    </row>
    <row r="1230">
      <c r="A1230" s="36" t="inlineStr">
        <is>
          <t>03688</t>
        </is>
      </c>
      <c r="B1230" s="44" t="n">
        <v>46201</v>
      </c>
      <c r="C1230" s="36" t="inlineStr">
        <is>
          <t>Northern Europe</t>
        </is>
      </c>
      <c r="D1230" s="36" t="inlineStr">
        <is>
          <t>Norway</t>
        </is>
      </c>
      <c r="E1230" s="36" t="inlineStr">
        <is>
          <t>Retail Partners</t>
        </is>
      </c>
      <c r="F1230" s="36" t="inlineStr">
        <is>
          <t>New</t>
        </is>
      </c>
      <c r="G1230" s="36" t="inlineStr">
        <is>
          <t>Fitness</t>
        </is>
      </c>
      <c r="H1230" s="36" t="inlineStr">
        <is>
          <t>Resistance Band Set</t>
        </is>
      </c>
      <c r="I1230" s="36" t="n">
        <v>1</v>
      </c>
      <c r="J1230" s="39" t="n">
        <v>40.94</v>
      </c>
      <c r="K1230" s="45" t="n">
        <v>0</v>
      </c>
      <c r="L1230" s="39" t="n">
        <v>14.47</v>
      </c>
      <c r="M1230" s="39">
        <f>I1230*J1230*(1-K1230)</f>
        <v/>
      </c>
      <c r="N1230" s="39">
        <f>I1230*L1230</f>
        <v/>
      </c>
      <c r="O1230" s="39">
        <f>M1230-N1230</f>
        <v/>
      </c>
      <c r="P1230" s="38">
        <f>IF(M1230=0,0,O1230/M1230)</f>
        <v/>
      </c>
      <c r="Q1230" s="36">
        <f>YEAR(B1230)</f>
        <v/>
      </c>
      <c r="R1230" s="36">
        <f>"Q"&amp;ROUNDUP(MONTH(B1230)/3,0)</f>
        <v/>
      </c>
      <c r="S1230" s="36">
        <f>MONTH(B1230)</f>
        <v/>
      </c>
      <c r="T1230" s="36">
        <f>TEXT(B1230,"mmm")</f>
        <v/>
      </c>
      <c r="U1230" s="36">
        <f>IF(AND(OR(sel_Region="All",C1230=sel_Region),OR(sel_Country="All",D1230=sel_Country),OR(sel_Channel="All",E1230=sel_Channel),OR(sel_Customer="All",F1230=sel_Customer),OR(sel_Category="All",G1230=sel_Category),OR(sel_Product="All",H1230=sel_Product),AND(S1230&gt;=m_From,S1230&lt;=m_To)),1,0)</f>
        <v/>
      </c>
      <c r="V1230" s="36">
        <f>IF(AND(OR(sel_Region="All",C1230=sel_Region),OR(sel_Channel="All",E1230=sel_Channel),OR(sel_Customer="All",F1230=sel_Customer),OR(sel_Category="All",G1230=sel_Category),OR(sel_Product="All",H1230=sel_Product),AND(S1230&gt;=m_From,S1230&lt;=m_To)),1,0)</f>
        <v/>
      </c>
      <c r="W1230" s="36">
        <f>IF(AND(OR(sel_Region="All",C1230=sel_Region),OR(sel_Country="All",D1230=sel_Country),OR(sel_Customer="All",F1230=sel_Customer),OR(sel_Category="All",G1230=sel_Category),OR(sel_Product="All",H1230=sel_Product),AND(S1230&gt;=m_From,S1230&lt;=m_To)),1,0)</f>
        <v/>
      </c>
      <c r="X1230" s="36">
        <f>IF(AND(OR(sel_Region="All",C1230=sel_Region),OR(sel_Country="All",D1230=sel_Country),OR(sel_Channel="All",E1230=sel_Channel),OR(sel_Category="All",G1230=sel_Category),OR(sel_Product="All",H1230=sel_Product),AND(S1230&gt;=m_From,S1230&lt;=m_To)),1,0)</f>
        <v/>
      </c>
      <c r="Y1230" s="36">
        <f>IF(AND(OR(sel_Region="All",C1230=sel_Region),OR(sel_Country="All",D1230=sel_Country),OR(sel_Channel="All",E1230=sel_Channel),OR(sel_Customer="All",F1230=sel_Customer),OR(sel_Product="All",H1230=sel_Product),AND(S1230&gt;=m_From,S1230&lt;=m_To)),1,0)</f>
        <v/>
      </c>
      <c r="Z1230" s="36">
        <f>IF(AND(OR(sel_Region="All",C1230=sel_Region),OR(sel_Country="All",D1230=sel_Country),OR(sel_Channel="All",E1230=sel_Channel),OR(sel_Customer="All",F1230=sel_Customer),OR(sel_Category="All",G1230=sel_Category),AND(S1230&gt;=m_From,S1230&lt;=m_To)),1,0)</f>
        <v/>
      </c>
      <c r="AA1230" s="36">
        <f>IF(AND(OR(sel_Region="All",C1230=sel_Region),OR(sel_Country="All",D1230=sel_Country),OR(sel_Channel="All",E1230=sel_Channel),OR(sel_Customer="All",F1230=sel_Customer),OR(sel_Category="All",G1230=sel_Category),OR(sel_Product="All",H1230=sel_Product)),1,0)</f>
        <v/>
      </c>
    </row>
    <row r="1231">
      <c r="A1231" s="36" t="inlineStr">
        <is>
          <t>00521</t>
        </is>
      </c>
      <c r="B1231" s="44" t="n">
        <v>46202</v>
      </c>
      <c r="C1231" s="36" t="inlineStr">
        <is>
          <t>Western Europe</t>
        </is>
      </c>
      <c r="D1231" s="36" t="inlineStr">
        <is>
          <t>United Kingdom</t>
        </is>
      </c>
      <c r="E1231" s="36" t="inlineStr">
        <is>
          <t>Corporate</t>
        </is>
      </c>
      <c r="F1231" s="36" t="inlineStr">
        <is>
          <t>Business</t>
        </is>
      </c>
      <c r="G1231" s="36" t="inlineStr">
        <is>
          <t>Cycling</t>
        </is>
      </c>
      <c r="H1231" s="36" t="inlineStr">
        <is>
          <t>Cycling Pack 12L</t>
        </is>
      </c>
      <c r="I1231" s="36" t="n">
        <v>3</v>
      </c>
      <c r="J1231" s="39" t="n">
        <v>100.89</v>
      </c>
      <c r="K1231" s="45" t="n">
        <v>0.05</v>
      </c>
      <c r="L1231" s="39" t="n">
        <v>49.08</v>
      </c>
      <c r="M1231" s="39">
        <f>I1231*J1231*(1-K1231)</f>
        <v/>
      </c>
      <c r="N1231" s="39">
        <f>I1231*L1231</f>
        <v/>
      </c>
      <c r="O1231" s="39">
        <f>M1231-N1231</f>
        <v/>
      </c>
      <c r="P1231" s="38">
        <f>IF(M1231=0,0,O1231/M1231)</f>
        <v/>
      </c>
      <c r="Q1231" s="36">
        <f>YEAR(B1231)</f>
        <v/>
      </c>
      <c r="R1231" s="36">
        <f>"Q"&amp;ROUNDUP(MONTH(B1231)/3,0)</f>
        <v/>
      </c>
      <c r="S1231" s="36">
        <f>MONTH(B1231)</f>
        <v/>
      </c>
      <c r="T1231" s="36">
        <f>TEXT(B1231,"mmm")</f>
        <v/>
      </c>
      <c r="U1231" s="36">
        <f>IF(AND(OR(sel_Region="All",C1231=sel_Region),OR(sel_Country="All",D1231=sel_Country),OR(sel_Channel="All",E1231=sel_Channel),OR(sel_Customer="All",F1231=sel_Customer),OR(sel_Category="All",G1231=sel_Category),OR(sel_Product="All",H1231=sel_Product),AND(S1231&gt;=m_From,S1231&lt;=m_To)),1,0)</f>
        <v/>
      </c>
      <c r="V1231" s="36">
        <f>IF(AND(OR(sel_Region="All",C1231=sel_Region),OR(sel_Channel="All",E1231=sel_Channel),OR(sel_Customer="All",F1231=sel_Customer),OR(sel_Category="All",G1231=sel_Category),OR(sel_Product="All",H1231=sel_Product),AND(S1231&gt;=m_From,S1231&lt;=m_To)),1,0)</f>
        <v/>
      </c>
      <c r="W1231" s="36">
        <f>IF(AND(OR(sel_Region="All",C1231=sel_Region),OR(sel_Country="All",D1231=sel_Country),OR(sel_Customer="All",F1231=sel_Customer),OR(sel_Category="All",G1231=sel_Category),OR(sel_Product="All",H1231=sel_Product),AND(S1231&gt;=m_From,S1231&lt;=m_To)),1,0)</f>
        <v/>
      </c>
      <c r="X1231" s="36">
        <f>IF(AND(OR(sel_Region="All",C1231=sel_Region),OR(sel_Country="All",D1231=sel_Country),OR(sel_Channel="All",E1231=sel_Channel),OR(sel_Category="All",G1231=sel_Category),OR(sel_Product="All",H1231=sel_Product),AND(S1231&gt;=m_From,S1231&lt;=m_To)),1,0)</f>
        <v/>
      </c>
      <c r="Y1231" s="36">
        <f>IF(AND(OR(sel_Region="All",C1231=sel_Region),OR(sel_Country="All",D1231=sel_Country),OR(sel_Channel="All",E1231=sel_Channel),OR(sel_Customer="All",F1231=sel_Customer),OR(sel_Product="All",H1231=sel_Product),AND(S1231&gt;=m_From,S1231&lt;=m_To)),1,0)</f>
        <v/>
      </c>
      <c r="Z1231" s="36">
        <f>IF(AND(OR(sel_Region="All",C1231=sel_Region),OR(sel_Country="All",D1231=sel_Country),OR(sel_Channel="All",E1231=sel_Channel),OR(sel_Customer="All",F1231=sel_Customer),OR(sel_Category="All",G1231=sel_Category),AND(S1231&gt;=m_From,S1231&lt;=m_To)),1,0)</f>
        <v/>
      </c>
      <c r="AA1231" s="36">
        <f>IF(AND(OR(sel_Region="All",C1231=sel_Region),OR(sel_Country="All",D1231=sel_Country),OR(sel_Channel="All",E1231=sel_Channel),OR(sel_Customer="All",F1231=sel_Customer),OR(sel_Category="All",G1231=sel_Category),OR(sel_Product="All",H1231=sel_Product)),1,0)</f>
        <v/>
      </c>
    </row>
    <row r="1232">
      <c r="A1232" s="36" t="inlineStr">
        <is>
          <t>00557</t>
        </is>
      </c>
      <c r="B1232" s="44" t="n">
        <v>46202</v>
      </c>
      <c r="C1232" s="36" t="inlineStr">
        <is>
          <t>Central Europe</t>
        </is>
      </c>
      <c r="D1232" s="36" t="inlineStr">
        <is>
          <t>Germany</t>
        </is>
      </c>
      <c r="E1232" s="36" t="inlineStr">
        <is>
          <t>Corporate</t>
        </is>
      </c>
      <c r="F1232" s="36" t="inlineStr">
        <is>
          <t>Business</t>
        </is>
      </c>
      <c r="G1232" s="36" t="inlineStr">
        <is>
          <t>Cycling</t>
        </is>
      </c>
      <c r="H1232" s="36" t="inlineStr">
        <is>
          <t>Compact Repair Kit</t>
        </is>
      </c>
      <c r="I1232" s="36" t="n">
        <v>3</v>
      </c>
      <c r="J1232" s="39" t="n">
        <v>39.78</v>
      </c>
      <c r="K1232" s="45" t="n">
        <v>0.15</v>
      </c>
      <c r="L1232" s="39" t="n">
        <v>16.85</v>
      </c>
      <c r="M1232" s="39">
        <f>I1232*J1232*(1-K1232)</f>
        <v/>
      </c>
      <c r="N1232" s="39">
        <f>I1232*L1232</f>
        <v/>
      </c>
      <c r="O1232" s="39">
        <f>M1232-N1232</f>
        <v/>
      </c>
      <c r="P1232" s="38">
        <f>IF(M1232=0,0,O1232/M1232)</f>
        <v/>
      </c>
      <c r="Q1232" s="36">
        <f>YEAR(B1232)</f>
        <v/>
      </c>
      <c r="R1232" s="36">
        <f>"Q"&amp;ROUNDUP(MONTH(B1232)/3,0)</f>
        <v/>
      </c>
      <c r="S1232" s="36">
        <f>MONTH(B1232)</f>
        <v/>
      </c>
      <c r="T1232" s="36">
        <f>TEXT(B1232,"mmm")</f>
        <v/>
      </c>
      <c r="U1232" s="36">
        <f>IF(AND(OR(sel_Region="All",C1232=sel_Region),OR(sel_Country="All",D1232=sel_Country),OR(sel_Channel="All",E1232=sel_Channel),OR(sel_Customer="All",F1232=sel_Customer),OR(sel_Category="All",G1232=sel_Category),OR(sel_Product="All",H1232=sel_Product),AND(S1232&gt;=m_From,S1232&lt;=m_To)),1,0)</f>
        <v/>
      </c>
      <c r="V1232" s="36">
        <f>IF(AND(OR(sel_Region="All",C1232=sel_Region),OR(sel_Channel="All",E1232=sel_Channel),OR(sel_Customer="All",F1232=sel_Customer),OR(sel_Category="All",G1232=sel_Category),OR(sel_Product="All",H1232=sel_Product),AND(S1232&gt;=m_From,S1232&lt;=m_To)),1,0)</f>
        <v/>
      </c>
      <c r="W1232" s="36">
        <f>IF(AND(OR(sel_Region="All",C1232=sel_Region),OR(sel_Country="All",D1232=sel_Country),OR(sel_Customer="All",F1232=sel_Customer),OR(sel_Category="All",G1232=sel_Category),OR(sel_Product="All",H1232=sel_Product),AND(S1232&gt;=m_From,S1232&lt;=m_To)),1,0)</f>
        <v/>
      </c>
      <c r="X1232" s="36">
        <f>IF(AND(OR(sel_Region="All",C1232=sel_Region),OR(sel_Country="All",D1232=sel_Country),OR(sel_Channel="All",E1232=sel_Channel),OR(sel_Category="All",G1232=sel_Category),OR(sel_Product="All",H1232=sel_Product),AND(S1232&gt;=m_From,S1232&lt;=m_To)),1,0)</f>
        <v/>
      </c>
      <c r="Y1232" s="36">
        <f>IF(AND(OR(sel_Region="All",C1232=sel_Region),OR(sel_Country="All",D1232=sel_Country),OR(sel_Channel="All",E1232=sel_Channel),OR(sel_Customer="All",F1232=sel_Customer),OR(sel_Product="All",H1232=sel_Product),AND(S1232&gt;=m_From,S1232&lt;=m_To)),1,0)</f>
        <v/>
      </c>
      <c r="Z1232" s="36">
        <f>IF(AND(OR(sel_Region="All",C1232=sel_Region),OR(sel_Country="All",D1232=sel_Country),OR(sel_Channel="All",E1232=sel_Channel),OR(sel_Customer="All",F1232=sel_Customer),OR(sel_Category="All",G1232=sel_Category),AND(S1232&gt;=m_From,S1232&lt;=m_To)),1,0)</f>
        <v/>
      </c>
      <c r="AA1232" s="36">
        <f>IF(AND(OR(sel_Region="All",C1232=sel_Region),OR(sel_Country="All",D1232=sel_Country),OR(sel_Channel="All",E1232=sel_Channel),OR(sel_Customer="All",F1232=sel_Customer),OR(sel_Category="All",G1232=sel_Category),OR(sel_Product="All",H1232=sel_Product)),1,0)</f>
        <v/>
      </c>
    </row>
    <row r="1233">
      <c r="A1233" s="36" t="inlineStr">
        <is>
          <t>00929</t>
        </is>
      </c>
      <c r="B1233" s="44" t="n">
        <v>46202</v>
      </c>
      <c r="C1233" s="36" t="inlineStr">
        <is>
          <t>Southern Europe</t>
        </is>
      </c>
      <c r="D1233" s="36" t="inlineStr">
        <is>
          <t>Spain</t>
        </is>
      </c>
      <c r="E1233" s="36" t="inlineStr">
        <is>
          <t>Online Store</t>
        </is>
      </c>
      <c r="F1233" s="36" t="inlineStr">
        <is>
          <t>Returning</t>
        </is>
      </c>
      <c r="G1233" s="36" t="inlineStr">
        <is>
          <t>Fitness</t>
        </is>
      </c>
      <c r="H1233" s="36" t="inlineStr">
        <is>
          <t>Resistance Band Set</t>
        </is>
      </c>
      <c r="I1233" s="36" t="n">
        <v>1</v>
      </c>
      <c r="J1233" s="39" t="n">
        <v>40.3</v>
      </c>
      <c r="K1233" s="45" t="n">
        <v>0.05</v>
      </c>
      <c r="L1233" s="39" t="n">
        <v>14.79</v>
      </c>
      <c r="M1233" s="39">
        <f>I1233*J1233*(1-K1233)</f>
        <v/>
      </c>
      <c r="N1233" s="39">
        <f>I1233*L1233</f>
        <v/>
      </c>
      <c r="O1233" s="39">
        <f>M1233-N1233</f>
        <v/>
      </c>
      <c r="P1233" s="38">
        <f>IF(M1233=0,0,O1233/M1233)</f>
        <v/>
      </c>
      <c r="Q1233" s="36">
        <f>YEAR(B1233)</f>
        <v/>
      </c>
      <c r="R1233" s="36">
        <f>"Q"&amp;ROUNDUP(MONTH(B1233)/3,0)</f>
        <v/>
      </c>
      <c r="S1233" s="36">
        <f>MONTH(B1233)</f>
        <v/>
      </c>
      <c r="T1233" s="36">
        <f>TEXT(B1233,"mmm")</f>
        <v/>
      </c>
      <c r="U1233" s="36">
        <f>IF(AND(OR(sel_Region="All",C1233=sel_Region),OR(sel_Country="All",D1233=sel_Country),OR(sel_Channel="All",E1233=sel_Channel),OR(sel_Customer="All",F1233=sel_Customer),OR(sel_Category="All",G1233=sel_Category),OR(sel_Product="All",H1233=sel_Product),AND(S1233&gt;=m_From,S1233&lt;=m_To)),1,0)</f>
        <v/>
      </c>
      <c r="V1233" s="36">
        <f>IF(AND(OR(sel_Region="All",C1233=sel_Region),OR(sel_Channel="All",E1233=sel_Channel),OR(sel_Customer="All",F1233=sel_Customer),OR(sel_Category="All",G1233=sel_Category),OR(sel_Product="All",H1233=sel_Product),AND(S1233&gt;=m_From,S1233&lt;=m_To)),1,0)</f>
        <v/>
      </c>
      <c r="W1233" s="36">
        <f>IF(AND(OR(sel_Region="All",C1233=sel_Region),OR(sel_Country="All",D1233=sel_Country),OR(sel_Customer="All",F1233=sel_Customer),OR(sel_Category="All",G1233=sel_Category),OR(sel_Product="All",H1233=sel_Product),AND(S1233&gt;=m_From,S1233&lt;=m_To)),1,0)</f>
        <v/>
      </c>
      <c r="X1233" s="36">
        <f>IF(AND(OR(sel_Region="All",C1233=sel_Region),OR(sel_Country="All",D1233=sel_Country),OR(sel_Channel="All",E1233=sel_Channel),OR(sel_Category="All",G1233=sel_Category),OR(sel_Product="All",H1233=sel_Product),AND(S1233&gt;=m_From,S1233&lt;=m_To)),1,0)</f>
        <v/>
      </c>
      <c r="Y1233" s="36">
        <f>IF(AND(OR(sel_Region="All",C1233=sel_Region),OR(sel_Country="All",D1233=sel_Country),OR(sel_Channel="All",E1233=sel_Channel),OR(sel_Customer="All",F1233=sel_Customer),OR(sel_Product="All",H1233=sel_Product),AND(S1233&gt;=m_From,S1233&lt;=m_To)),1,0)</f>
        <v/>
      </c>
      <c r="Z1233" s="36">
        <f>IF(AND(OR(sel_Region="All",C1233=sel_Region),OR(sel_Country="All",D1233=sel_Country),OR(sel_Channel="All",E1233=sel_Channel),OR(sel_Customer="All",F1233=sel_Customer),OR(sel_Category="All",G1233=sel_Category),AND(S1233&gt;=m_From,S1233&lt;=m_To)),1,0)</f>
        <v/>
      </c>
      <c r="AA1233" s="36">
        <f>IF(AND(OR(sel_Region="All",C1233=sel_Region),OR(sel_Country="All",D1233=sel_Country),OR(sel_Channel="All",E1233=sel_Channel),OR(sel_Customer="All",F1233=sel_Customer),OR(sel_Category="All",G1233=sel_Category),OR(sel_Product="All",H1233=sel_Product)),1,0)</f>
        <v/>
      </c>
    </row>
    <row r="1234">
      <c r="A1234" s="36" t="inlineStr">
        <is>
          <t>01089</t>
        </is>
      </c>
      <c r="B1234" s="44" t="n">
        <v>46202</v>
      </c>
      <c r="C1234" s="36" t="inlineStr">
        <is>
          <t>Central Europe</t>
        </is>
      </c>
      <c r="D1234" s="36" t="inlineStr">
        <is>
          <t>Switzerland</t>
        </is>
      </c>
      <c r="E1234" s="36" t="inlineStr">
        <is>
          <t>Retail Partners</t>
        </is>
      </c>
      <c r="F1234" s="36" t="inlineStr">
        <is>
          <t>Returning</t>
        </is>
      </c>
      <c r="G1234" s="36" t="inlineStr">
        <is>
          <t>Hiking</t>
        </is>
      </c>
      <c r="H1234" s="36" t="inlineStr">
        <is>
          <t>Hiking Daypack 20L</t>
        </is>
      </c>
      <c r="I1234" s="36" t="n">
        <v>1</v>
      </c>
      <c r="J1234" s="39" t="n">
        <v>90.91</v>
      </c>
      <c r="K1234" s="45" t="n">
        <v>0.05</v>
      </c>
      <c r="L1234" s="39" t="n">
        <v>45.9</v>
      </c>
      <c r="M1234" s="39">
        <f>I1234*J1234*(1-K1234)</f>
        <v/>
      </c>
      <c r="N1234" s="39">
        <f>I1234*L1234</f>
        <v/>
      </c>
      <c r="O1234" s="39">
        <f>M1234-N1234</f>
        <v/>
      </c>
      <c r="P1234" s="38">
        <f>IF(M1234=0,0,O1234/M1234)</f>
        <v/>
      </c>
      <c r="Q1234" s="36">
        <f>YEAR(B1234)</f>
        <v/>
      </c>
      <c r="R1234" s="36">
        <f>"Q"&amp;ROUNDUP(MONTH(B1234)/3,0)</f>
        <v/>
      </c>
      <c r="S1234" s="36">
        <f>MONTH(B1234)</f>
        <v/>
      </c>
      <c r="T1234" s="36">
        <f>TEXT(B1234,"mmm")</f>
        <v/>
      </c>
      <c r="U1234" s="36">
        <f>IF(AND(OR(sel_Region="All",C1234=sel_Region),OR(sel_Country="All",D1234=sel_Country),OR(sel_Channel="All",E1234=sel_Channel),OR(sel_Customer="All",F1234=sel_Customer),OR(sel_Category="All",G1234=sel_Category),OR(sel_Product="All",H1234=sel_Product),AND(S1234&gt;=m_From,S1234&lt;=m_To)),1,0)</f>
        <v/>
      </c>
      <c r="V1234" s="36">
        <f>IF(AND(OR(sel_Region="All",C1234=sel_Region),OR(sel_Channel="All",E1234=sel_Channel),OR(sel_Customer="All",F1234=sel_Customer),OR(sel_Category="All",G1234=sel_Category),OR(sel_Product="All",H1234=sel_Product),AND(S1234&gt;=m_From,S1234&lt;=m_To)),1,0)</f>
        <v/>
      </c>
      <c r="W1234" s="36">
        <f>IF(AND(OR(sel_Region="All",C1234=sel_Region),OR(sel_Country="All",D1234=sel_Country),OR(sel_Customer="All",F1234=sel_Customer),OR(sel_Category="All",G1234=sel_Category),OR(sel_Product="All",H1234=sel_Product),AND(S1234&gt;=m_From,S1234&lt;=m_To)),1,0)</f>
        <v/>
      </c>
      <c r="X1234" s="36">
        <f>IF(AND(OR(sel_Region="All",C1234=sel_Region),OR(sel_Country="All",D1234=sel_Country),OR(sel_Channel="All",E1234=sel_Channel),OR(sel_Category="All",G1234=sel_Category),OR(sel_Product="All",H1234=sel_Product),AND(S1234&gt;=m_From,S1234&lt;=m_To)),1,0)</f>
        <v/>
      </c>
      <c r="Y1234" s="36">
        <f>IF(AND(OR(sel_Region="All",C1234=sel_Region),OR(sel_Country="All",D1234=sel_Country),OR(sel_Channel="All",E1234=sel_Channel),OR(sel_Customer="All",F1234=sel_Customer),OR(sel_Product="All",H1234=sel_Product),AND(S1234&gt;=m_From,S1234&lt;=m_To)),1,0)</f>
        <v/>
      </c>
      <c r="Z1234" s="36">
        <f>IF(AND(OR(sel_Region="All",C1234=sel_Region),OR(sel_Country="All",D1234=sel_Country),OR(sel_Channel="All",E1234=sel_Channel),OR(sel_Customer="All",F1234=sel_Customer),OR(sel_Category="All",G1234=sel_Category),AND(S1234&gt;=m_From,S1234&lt;=m_To)),1,0)</f>
        <v/>
      </c>
      <c r="AA1234" s="36">
        <f>IF(AND(OR(sel_Region="All",C1234=sel_Region),OR(sel_Country="All",D1234=sel_Country),OR(sel_Channel="All",E1234=sel_Channel),OR(sel_Customer="All",F1234=sel_Customer),OR(sel_Category="All",G1234=sel_Category),OR(sel_Product="All",H1234=sel_Product)),1,0)</f>
        <v/>
      </c>
    </row>
    <row r="1235">
      <c r="A1235" s="36" t="inlineStr">
        <is>
          <t>01655</t>
        </is>
      </c>
      <c r="B1235" s="44" t="n">
        <v>46202</v>
      </c>
      <c r="C1235" s="36" t="inlineStr">
        <is>
          <t>Southern Europe</t>
        </is>
      </c>
      <c r="D1235" s="36" t="inlineStr">
        <is>
          <t>Spain</t>
        </is>
      </c>
      <c r="E1235" s="36" t="inlineStr">
        <is>
          <t>Corporate</t>
        </is>
      </c>
      <c r="F1235" s="36" t="inlineStr">
        <is>
          <t>Business</t>
        </is>
      </c>
      <c r="G1235" s="36" t="inlineStr">
        <is>
          <t>Travel</t>
        </is>
      </c>
      <c r="H1235" s="36" t="inlineStr">
        <is>
          <t>Travel Backpack 35L</t>
        </is>
      </c>
      <c r="I1235" s="36" t="n">
        <v>5</v>
      </c>
      <c r="J1235" s="39" t="n">
        <v>162.29</v>
      </c>
      <c r="K1235" s="45" t="n">
        <v>0.15</v>
      </c>
      <c r="L1235" s="39" t="n">
        <v>86.66</v>
      </c>
      <c r="M1235" s="39">
        <f>I1235*J1235*(1-K1235)</f>
        <v/>
      </c>
      <c r="N1235" s="39">
        <f>I1235*L1235</f>
        <v/>
      </c>
      <c r="O1235" s="39">
        <f>M1235-N1235</f>
        <v/>
      </c>
      <c r="P1235" s="38">
        <f>IF(M1235=0,0,O1235/M1235)</f>
        <v/>
      </c>
      <c r="Q1235" s="36">
        <f>YEAR(B1235)</f>
        <v/>
      </c>
      <c r="R1235" s="36">
        <f>"Q"&amp;ROUNDUP(MONTH(B1235)/3,0)</f>
        <v/>
      </c>
      <c r="S1235" s="36">
        <f>MONTH(B1235)</f>
        <v/>
      </c>
      <c r="T1235" s="36">
        <f>TEXT(B1235,"mmm")</f>
        <v/>
      </c>
      <c r="U1235" s="36">
        <f>IF(AND(OR(sel_Region="All",C1235=sel_Region),OR(sel_Country="All",D1235=sel_Country),OR(sel_Channel="All",E1235=sel_Channel),OR(sel_Customer="All",F1235=sel_Customer),OR(sel_Category="All",G1235=sel_Category),OR(sel_Product="All",H1235=sel_Product),AND(S1235&gt;=m_From,S1235&lt;=m_To)),1,0)</f>
        <v/>
      </c>
      <c r="V1235" s="36">
        <f>IF(AND(OR(sel_Region="All",C1235=sel_Region),OR(sel_Channel="All",E1235=sel_Channel),OR(sel_Customer="All",F1235=sel_Customer),OR(sel_Category="All",G1235=sel_Category),OR(sel_Product="All",H1235=sel_Product),AND(S1235&gt;=m_From,S1235&lt;=m_To)),1,0)</f>
        <v/>
      </c>
      <c r="W1235" s="36">
        <f>IF(AND(OR(sel_Region="All",C1235=sel_Region),OR(sel_Country="All",D1235=sel_Country),OR(sel_Customer="All",F1235=sel_Customer),OR(sel_Category="All",G1235=sel_Category),OR(sel_Product="All",H1235=sel_Product),AND(S1235&gt;=m_From,S1235&lt;=m_To)),1,0)</f>
        <v/>
      </c>
      <c r="X1235" s="36">
        <f>IF(AND(OR(sel_Region="All",C1235=sel_Region),OR(sel_Country="All",D1235=sel_Country),OR(sel_Channel="All",E1235=sel_Channel),OR(sel_Category="All",G1235=sel_Category),OR(sel_Product="All",H1235=sel_Product),AND(S1235&gt;=m_From,S1235&lt;=m_To)),1,0)</f>
        <v/>
      </c>
      <c r="Y1235" s="36">
        <f>IF(AND(OR(sel_Region="All",C1235=sel_Region),OR(sel_Country="All",D1235=sel_Country),OR(sel_Channel="All",E1235=sel_Channel),OR(sel_Customer="All",F1235=sel_Customer),OR(sel_Product="All",H1235=sel_Product),AND(S1235&gt;=m_From,S1235&lt;=m_To)),1,0)</f>
        <v/>
      </c>
      <c r="Z1235" s="36">
        <f>IF(AND(OR(sel_Region="All",C1235=sel_Region),OR(sel_Country="All",D1235=sel_Country),OR(sel_Channel="All",E1235=sel_Channel),OR(sel_Customer="All",F1235=sel_Customer),OR(sel_Category="All",G1235=sel_Category),AND(S1235&gt;=m_From,S1235&lt;=m_To)),1,0)</f>
        <v/>
      </c>
      <c r="AA1235" s="36">
        <f>IF(AND(OR(sel_Region="All",C1235=sel_Region),OR(sel_Country="All",D1235=sel_Country),OR(sel_Channel="All",E1235=sel_Channel),OR(sel_Customer="All",F1235=sel_Customer),OR(sel_Category="All",G1235=sel_Category),OR(sel_Product="All",H1235=sel_Product)),1,0)</f>
        <v/>
      </c>
    </row>
    <row r="1236">
      <c r="A1236" s="36" t="inlineStr">
        <is>
          <t>01897</t>
        </is>
      </c>
      <c r="B1236" s="44" t="n">
        <v>46202</v>
      </c>
      <c r="C1236" s="36" t="inlineStr">
        <is>
          <t>Central Europe</t>
        </is>
      </c>
      <c r="D1236" s="36" t="inlineStr">
        <is>
          <t>Switzerland</t>
        </is>
      </c>
      <c r="E1236" s="36" t="inlineStr">
        <is>
          <t>Online Store</t>
        </is>
      </c>
      <c r="F1236" s="36" t="inlineStr">
        <is>
          <t>Business</t>
        </is>
      </c>
      <c r="G1236" s="36" t="inlineStr">
        <is>
          <t>Cycling</t>
        </is>
      </c>
      <c r="H1236" s="36" t="inlineStr">
        <is>
          <t>Trail Bike Light</t>
        </is>
      </c>
      <c r="I1236" s="36" t="n">
        <v>2</v>
      </c>
      <c r="J1236" s="39" t="n">
        <v>51.03</v>
      </c>
      <c r="K1236" s="45" t="n">
        <v>0</v>
      </c>
      <c r="L1236" s="39" t="n">
        <v>22.59</v>
      </c>
      <c r="M1236" s="39">
        <f>I1236*J1236*(1-K1236)</f>
        <v/>
      </c>
      <c r="N1236" s="39">
        <f>I1236*L1236</f>
        <v/>
      </c>
      <c r="O1236" s="39">
        <f>M1236-N1236</f>
        <v/>
      </c>
      <c r="P1236" s="38">
        <f>IF(M1236=0,0,O1236/M1236)</f>
        <v/>
      </c>
      <c r="Q1236" s="36">
        <f>YEAR(B1236)</f>
        <v/>
      </c>
      <c r="R1236" s="36">
        <f>"Q"&amp;ROUNDUP(MONTH(B1236)/3,0)</f>
        <v/>
      </c>
      <c r="S1236" s="36">
        <f>MONTH(B1236)</f>
        <v/>
      </c>
      <c r="T1236" s="36">
        <f>TEXT(B1236,"mmm")</f>
        <v/>
      </c>
      <c r="U1236" s="36">
        <f>IF(AND(OR(sel_Region="All",C1236=sel_Region),OR(sel_Country="All",D1236=sel_Country),OR(sel_Channel="All",E1236=sel_Channel),OR(sel_Customer="All",F1236=sel_Customer),OR(sel_Category="All",G1236=sel_Category),OR(sel_Product="All",H1236=sel_Product),AND(S1236&gt;=m_From,S1236&lt;=m_To)),1,0)</f>
        <v/>
      </c>
      <c r="V1236" s="36">
        <f>IF(AND(OR(sel_Region="All",C1236=sel_Region),OR(sel_Channel="All",E1236=sel_Channel),OR(sel_Customer="All",F1236=sel_Customer),OR(sel_Category="All",G1236=sel_Category),OR(sel_Product="All",H1236=sel_Product),AND(S1236&gt;=m_From,S1236&lt;=m_To)),1,0)</f>
        <v/>
      </c>
      <c r="W1236" s="36">
        <f>IF(AND(OR(sel_Region="All",C1236=sel_Region),OR(sel_Country="All",D1236=sel_Country),OR(sel_Customer="All",F1236=sel_Customer),OR(sel_Category="All",G1236=sel_Category),OR(sel_Product="All",H1236=sel_Product),AND(S1236&gt;=m_From,S1236&lt;=m_To)),1,0)</f>
        <v/>
      </c>
      <c r="X1236" s="36">
        <f>IF(AND(OR(sel_Region="All",C1236=sel_Region),OR(sel_Country="All",D1236=sel_Country),OR(sel_Channel="All",E1236=sel_Channel),OR(sel_Category="All",G1236=sel_Category),OR(sel_Product="All",H1236=sel_Product),AND(S1236&gt;=m_From,S1236&lt;=m_To)),1,0)</f>
        <v/>
      </c>
      <c r="Y1236" s="36">
        <f>IF(AND(OR(sel_Region="All",C1236=sel_Region),OR(sel_Country="All",D1236=sel_Country),OR(sel_Channel="All",E1236=sel_Channel),OR(sel_Customer="All",F1236=sel_Customer),OR(sel_Product="All",H1236=sel_Product),AND(S1236&gt;=m_From,S1236&lt;=m_To)),1,0)</f>
        <v/>
      </c>
      <c r="Z1236" s="36">
        <f>IF(AND(OR(sel_Region="All",C1236=sel_Region),OR(sel_Country="All",D1236=sel_Country),OR(sel_Channel="All",E1236=sel_Channel),OR(sel_Customer="All",F1236=sel_Customer),OR(sel_Category="All",G1236=sel_Category),AND(S1236&gt;=m_From,S1236&lt;=m_To)),1,0)</f>
        <v/>
      </c>
      <c r="AA1236" s="36">
        <f>IF(AND(OR(sel_Region="All",C1236=sel_Region),OR(sel_Country="All",D1236=sel_Country),OR(sel_Channel="All",E1236=sel_Channel),OR(sel_Customer="All",F1236=sel_Customer),OR(sel_Category="All",G1236=sel_Category),OR(sel_Product="All",H1236=sel_Product)),1,0)</f>
        <v/>
      </c>
    </row>
    <row r="1237">
      <c r="A1237" s="36" t="inlineStr">
        <is>
          <t>02417</t>
        </is>
      </c>
      <c r="B1237" s="44" t="n">
        <v>46202</v>
      </c>
      <c r="C1237" s="36" t="inlineStr">
        <is>
          <t>Central Europe</t>
        </is>
      </c>
      <c r="D1237" s="36" t="inlineStr">
        <is>
          <t>Germany</t>
        </is>
      </c>
      <c r="E1237" s="36" t="inlineStr">
        <is>
          <t>Online Store</t>
        </is>
      </c>
      <c r="F1237" s="36" t="inlineStr">
        <is>
          <t>Business</t>
        </is>
      </c>
      <c r="G1237" s="36" t="inlineStr">
        <is>
          <t>Fitness</t>
        </is>
      </c>
      <c r="H1237" s="36" t="inlineStr">
        <is>
          <t>Training Mat</t>
        </is>
      </c>
      <c r="I1237" s="36" t="n">
        <v>1</v>
      </c>
      <c r="J1237" s="39" t="n">
        <v>50.67</v>
      </c>
      <c r="K1237" s="45" t="n">
        <v>0</v>
      </c>
      <c r="L1237" s="39" t="n">
        <v>22.18</v>
      </c>
      <c r="M1237" s="39">
        <f>I1237*J1237*(1-K1237)</f>
        <v/>
      </c>
      <c r="N1237" s="39">
        <f>I1237*L1237</f>
        <v/>
      </c>
      <c r="O1237" s="39">
        <f>M1237-N1237</f>
        <v/>
      </c>
      <c r="P1237" s="38">
        <f>IF(M1237=0,0,O1237/M1237)</f>
        <v/>
      </c>
      <c r="Q1237" s="36">
        <f>YEAR(B1237)</f>
        <v/>
      </c>
      <c r="R1237" s="36">
        <f>"Q"&amp;ROUNDUP(MONTH(B1237)/3,0)</f>
        <v/>
      </c>
      <c r="S1237" s="36">
        <f>MONTH(B1237)</f>
        <v/>
      </c>
      <c r="T1237" s="36">
        <f>TEXT(B1237,"mmm")</f>
        <v/>
      </c>
      <c r="U1237" s="36">
        <f>IF(AND(OR(sel_Region="All",C1237=sel_Region),OR(sel_Country="All",D1237=sel_Country),OR(sel_Channel="All",E1237=sel_Channel),OR(sel_Customer="All",F1237=sel_Customer),OR(sel_Category="All",G1237=sel_Category),OR(sel_Product="All",H1237=sel_Product),AND(S1237&gt;=m_From,S1237&lt;=m_To)),1,0)</f>
        <v/>
      </c>
      <c r="V1237" s="36">
        <f>IF(AND(OR(sel_Region="All",C1237=sel_Region),OR(sel_Channel="All",E1237=sel_Channel),OR(sel_Customer="All",F1237=sel_Customer),OR(sel_Category="All",G1237=sel_Category),OR(sel_Product="All",H1237=sel_Product),AND(S1237&gt;=m_From,S1237&lt;=m_To)),1,0)</f>
        <v/>
      </c>
      <c r="W1237" s="36">
        <f>IF(AND(OR(sel_Region="All",C1237=sel_Region),OR(sel_Country="All",D1237=sel_Country),OR(sel_Customer="All",F1237=sel_Customer),OR(sel_Category="All",G1237=sel_Category),OR(sel_Product="All",H1237=sel_Product),AND(S1237&gt;=m_From,S1237&lt;=m_To)),1,0)</f>
        <v/>
      </c>
      <c r="X1237" s="36">
        <f>IF(AND(OR(sel_Region="All",C1237=sel_Region),OR(sel_Country="All",D1237=sel_Country),OR(sel_Channel="All",E1237=sel_Channel),OR(sel_Category="All",G1237=sel_Category),OR(sel_Product="All",H1237=sel_Product),AND(S1237&gt;=m_From,S1237&lt;=m_To)),1,0)</f>
        <v/>
      </c>
      <c r="Y1237" s="36">
        <f>IF(AND(OR(sel_Region="All",C1237=sel_Region),OR(sel_Country="All",D1237=sel_Country),OR(sel_Channel="All",E1237=sel_Channel),OR(sel_Customer="All",F1237=sel_Customer),OR(sel_Product="All",H1237=sel_Product),AND(S1237&gt;=m_From,S1237&lt;=m_To)),1,0)</f>
        <v/>
      </c>
      <c r="Z1237" s="36">
        <f>IF(AND(OR(sel_Region="All",C1237=sel_Region),OR(sel_Country="All",D1237=sel_Country),OR(sel_Channel="All",E1237=sel_Channel),OR(sel_Customer="All",F1237=sel_Customer),OR(sel_Category="All",G1237=sel_Category),AND(S1237&gt;=m_From,S1237&lt;=m_To)),1,0)</f>
        <v/>
      </c>
      <c r="AA1237" s="36">
        <f>IF(AND(OR(sel_Region="All",C1237=sel_Region),OR(sel_Country="All",D1237=sel_Country),OR(sel_Channel="All",E1237=sel_Channel),OR(sel_Customer="All",F1237=sel_Customer),OR(sel_Category="All",G1237=sel_Category),OR(sel_Product="All",H1237=sel_Product)),1,0)</f>
        <v/>
      </c>
    </row>
    <row r="1238">
      <c r="A1238" s="36" t="inlineStr">
        <is>
          <t>03474</t>
        </is>
      </c>
      <c r="B1238" s="44" t="n">
        <v>46202</v>
      </c>
      <c r="C1238" s="36" t="inlineStr">
        <is>
          <t>Western Europe</t>
        </is>
      </c>
      <c r="D1238" s="36" t="inlineStr">
        <is>
          <t>United Kingdom</t>
        </is>
      </c>
      <c r="E1238" s="36" t="inlineStr">
        <is>
          <t>Corporate</t>
        </is>
      </c>
      <c r="F1238" s="36" t="inlineStr">
        <is>
          <t>Returning</t>
        </is>
      </c>
      <c r="G1238" s="36" t="inlineStr">
        <is>
          <t>Travel</t>
        </is>
      </c>
      <c r="H1238" s="36" t="inlineStr">
        <is>
          <t>Carry-On Duffel</t>
        </is>
      </c>
      <c r="I1238" s="36" t="n">
        <v>10</v>
      </c>
      <c r="J1238" s="39" t="n">
        <v>130.62</v>
      </c>
      <c r="K1238" s="45" t="n">
        <v>0.05</v>
      </c>
      <c r="L1238" s="39" t="n">
        <v>67.05</v>
      </c>
      <c r="M1238" s="39">
        <f>I1238*J1238*(1-K1238)</f>
        <v/>
      </c>
      <c r="N1238" s="39">
        <f>I1238*L1238</f>
        <v/>
      </c>
      <c r="O1238" s="39">
        <f>M1238-N1238</f>
        <v/>
      </c>
      <c r="P1238" s="38">
        <f>IF(M1238=0,0,O1238/M1238)</f>
        <v/>
      </c>
      <c r="Q1238" s="36">
        <f>YEAR(B1238)</f>
        <v/>
      </c>
      <c r="R1238" s="36">
        <f>"Q"&amp;ROUNDUP(MONTH(B1238)/3,0)</f>
        <v/>
      </c>
      <c r="S1238" s="36">
        <f>MONTH(B1238)</f>
        <v/>
      </c>
      <c r="T1238" s="36">
        <f>TEXT(B1238,"mmm")</f>
        <v/>
      </c>
      <c r="U1238" s="36">
        <f>IF(AND(OR(sel_Region="All",C1238=sel_Region),OR(sel_Country="All",D1238=sel_Country),OR(sel_Channel="All",E1238=sel_Channel),OR(sel_Customer="All",F1238=sel_Customer),OR(sel_Category="All",G1238=sel_Category),OR(sel_Product="All",H1238=sel_Product),AND(S1238&gt;=m_From,S1238&lt;=m_To)),1,0)</f>
        <v/>
      </c>
      <c r="V1238" s="36">
        <f>IF(AND(OR(sel_Region="All",C1238=sel_Region),OR(sel_Channel="All",E1238=sel_Channel),OR(sel_Customer="All",F1238=sel_Customer),OR(sel_Category="All",G1238=sel_Category),OR(sel_Product="All",H1238=sel_Product),AND(S1238&gt;=m_From,S1238&lt;=m_To)),1,0)</f>
        <v/>
      </c>
      <c r="W1238" s="36">
        <f>IF(AND(OR(sel_Region="All",C1238=sel_Region),OR(sel_Country="All",D1238=sel_Country),OR(sel_Customer="All",F1238=sel_Customer),OR(sel_Category="All",G1238=sel_Category),OR(sel_Product="All",H1238=sel_Product),AND(S1238&gt;=m_From,S1238&lt;=m_To)),1,0)</f>
        <v/>
      </c>
      <c r="X1238" s="36">
        <f>IF(AND(OR(sel_Region="All",C1238=sel_Region),OR(sel_Country="All",D1238=sel_Country),OR(sel_Channel="All",E1238=sel_Channel),OR(sel_Category="All",G1238=sel_Category),OR(sel_Product="All",H1238=sel_Product),AND(S1238&gt;=m_From,S1238&lt;=m_To)),1,0)</f>
        <v/>
      </c>
      <c r="Y1238" s="36">
        <f>IF(AND(OR(sel_Region="All",C1238=sel_Region),OR(sel_Country="All",D1238=sel_Country),OR(sel_Channel="All",E1238=sel_Channel),OR(sel_Customer="All",F1238=sel_Customer),OR(sel_Product="All",H1238=sel_Product),AND(S1238&gt;=m_From,S1238&lt;=m_To)),1,0)</f>
        <v/>
      </c>
      <c r="Z1238" s="36">
        <f>IF(AND(OR(sel_Region="All",C1238=sel_Region),OR(sel_Country="All",D1238=sel_Country),OR(sel_Channel="All",E1238=sel_Channel),OR(sel_Customer="All",F1238=sel_Customer),OR(sel_Category="All",G1238=sel_Category),AND(S1238&gt;=m_From,S1238&lt;=m_To)),1,0)</f>
        <v/>
      </c>
      <c r="AA1238" s="36">
        <f>IF(AND(OR(sel_Region="All",C1238=sel_Region),OR(sel_Country="All",D1238=sel_Country),OR(sel_Channel="All",E1238=sel_Channel),OR(sel_Customer="All",F1238=sel_Customer),OR(sel_Category="All",G1238=sel_Category),OR(sel_Product="All",H1238=sel_Product)),1,0)</f>
        <v/>
      </c>
    </row>
    <row r="1239">
      <c r="A1239" s="36" t="inlineStr">
        <is>
          <t>04079</t>
        </is>
      </c>
      <c r="B1239" s="44" t="n">
        <v>46202</v>
      </c>
      <c r="C1239" s="36" t="inlineStr">
        <is>
          <t>Northern Europe</t>
        </is>
      </c>
      <c r="D1239" s="36" t="inlineStr">
        <is>
          <t>Denmark</t>
        </is>
      </c>
      <c r="E1239" s="36" t="inlineStr">
        <is>
          <t>Online Store</t>
        </is>
      </c>
      <c r="F1239" s="36" t="inlineStr">
        <is>
          <t>New</t>
        </is>
      </c>
      <c r="G1239" s="36" t="inlineStr">
        <is>
          <t>Camping</t>
        </is>
      </c>
      <c r="H1239" s="36" t="inlineStr">
        <is>
          <t>Trail Tent 2P</t>
        </is>
      </c>
      <c r="I1239" s="36" t="n">
        <v>4</v>
      </c>
      <c r="J1239" s="39" t="n">
        <v>194.6</v>
      </c>
      <c r="K1239" s="45" t="n">
        <v>0</v>
      </c>
      <c r="L1239" s="39" t="n">
        <v>104.64</v>
      </c>
      <c r="M1239" s="39">
        <f>I1239*J1239*(1-K1239)</f>
        <v/>
      </c>
      <c r="N1239" s="39">
        <f>I1239*L1239</f>
        <v/>
      </c>
      <c r="O1239" s="39">
        <f>M1239-N1239</f>
        <v/>
      </c>
      <c r="P1239" s="38">
        <f>IF(M1239=0,0,O1239/M1239)</f>
        <v/>
      </c>
      <c r="Q1239" s="36">
        <f>YEAR(B1239)</f>
        <v/>
      </c>
      <c r="R1239" s="36">
        <f>"Q"&amp;ROUNDUP(MONTH(B1239)/3,0)</f>
        <v/>
      </c>
      <c r="S1239" s="36">
        <f>MONTH(B1239)</f>
        <v/>
      </c>
      <c r="T1239" s="36">
        <f>TEXT(B1239,"mmm")</f>
        <v/>
      </c>
      <c r="U1239" s="36">
        <f>IF(AND(OR(sel_Region="All",C1239=sel_Region),OR(sel_Country="All",D1239=sel_Country),OR(sel_Channel="All",E1239=sel_Channel),OR(sel_Customer="All",F1239=sel_Customer),OR(sel_Category="All",G1239=sel_Category),OR(sel_Product="All",H1239=sel_Product),AND(S1239&gt;=m_From,S1239&lt;=m_To)),1,0)</f>
        <v/>
      </c>
      <c r="V1239" s="36">
        <f>IF(AND(OR(sel_Region="All",C1239=sel_Region),OR(sel_Channel="All",E1239=sel_Channel),OR(sel_Customer="All",F1239=sel_Customer),OR(sel_Category="All",G1239=sel_Category),OR(sel_Product="All",H1239=sel_Product),AND(S1239&gt;=m_From,S1239&lt;=m_To)),1,0)</f>
        <v/>
      </c>
      <c r="W1239" s="36">
        <f>IF(AND(OR(sel_Region="All",C1239=sel_Region),OR(sel_Country="All",D1239=sel_Country),OR(sel_Customer="All",F1239=sel_Customer),OR(sel_Category="All",G1239=sel_Category),OR(sel_Product="All",H1239=sel_Product),AND(S1239&gt;=m_From,S1239&lt;=m_To)),1,0)</f>
        <v/>
      </c>
      <c r="X1239" s="36">
        <f>IF(AND(OR(sel_Region="All",C1239=sel_Region),OR(sel_Country="All",D1239=sel_Country),OR(sel_Channel="All",E1239=sel_Channel),OR(sel_Category="All",G1239=sel_Category),OR(sel_Product="All",H1239=sel_Product),AND(S1239&gt;=m_From,S1239&lt;=m_To)),1,0)</f>
        <v/>
      </c>
      <c r="Y1239" s="36">
        <f>IF(AND(OR(sel_Region="All",C1239=sel_Region),OR(sel_Country="All",D1239=sel_Country),OR(sel_Channel="All",E1239=sel_Channel),OR(sel_Customer="All",F1239=sel_Customer),OR(sel_Product="All",H1239=sel_Product),AND(S1239&gt;=m_From,S1239&lt;=m_To)),1,0)</f>
        <v/>
      </c>
      <c r="Z1239" s="36">
        <f>IF(AND(OR(sel_Region="All",C1239=sel_Region),OR(sel_Country="All",D1239=sel_Country),OR(sel_Channel="All",E1239=sel_Channel),OR(sel_Customer="All",F1239=sel_Customer),OR(sel_Category="All",G1239=sel_Category),AND(S1239&gt;=m_From,S1239&lt;=m_To)),1,0)</f>
        <v/>
      </c>
      <c r="AA1239" s="36">
        <f>IF(AND(OR(sel_Region="All",C1239=sel_Region),OR(sel_Country="All",D1239=sel_Country),OR(sel_Channel="All",E1239=sel_Channel),OR(sel_Customer="All",F1239=sel_Customer),OR(sel_Category="All",G1239=sel_Category),OR(sel_Product="All",H1239=sel_Product)),1,0)</f>
        <v/>
      </c>
    </row>
    <row r="1240">
      <c r="A1240" s="36" t="inlineStr">
        <is>
          <t>00045</t>
        </is>
      </c>
      <c r="B1240" s="44" t="n">
        <v>46203</v>
      </c>
      <c r="C1240" s="36" t="inlineStr">
        <is>
          <t>Northern Europe</t>
        </is>
      </c>
      <c r="D1240" s="36" t="inlineStr">
        <is>
          <t>Sweden</t>
        </is>
      </c>
      <c r="E1240" s="36" t="inlineStr">
        <is>
          <t>Retail Partners</t>
        </is>
      </c>
      <c r="F1240" s="36" t="inlineStr">
        <is>
          <t>New</t>
        </is>
      </c>
      <c r="G1240" s="36" t="inlineStr">
        <is>
          <t>Hiking</t>
        </is>
      </c>
      <c r="H1240" s="36" t="inlineStr">
        <is>
          <t>Hiking Daypack 20L</t>
        </is>
      </c>
      <c r="I1240" s="36" t="n">
        <v>1</v>
      </c>
      <c r="J1240" s="39" t="n">
        <v>94</v>
      </c>
      <c r="K1240" s="45" t="n">
        <v>0</v>
      </c>
      <c r="L1240" s="39" t="n">
        <v>45.62</v>
      </c>
      <c r="M1240" s="39">
        <f>I1240*J1240*(1-K1240)</f>
        <v/>
      </c>
      <c r="N1240" s="39">
        <f>I1240*L1240</f>
        <v/>
      </c>
      <c r="O1240" s="39">
        <f>M1240-N1240</f>
        <v/>
      </c>
      <c r="P1240" s="38">
        <f>IF(M1240=0,0,O1240/M1240)</f>
        <v/>
      </c>
      <c r="Q1240" s="36">
        <f>YEAR(B1240)</f>
        <v/>
      </c>
      <c r="R1240" s="36">
        <f>"Q"&amp;ROUNDUP(MONTH(B1240)/3,0)</f>
        <v/>
      </c>
      <c r="S1240" s="36">
        <f>MONTH(B1240)</f>
        <v/>
      </c>
      <c r="T1240" s="36">
        <f>TEXT(B1240,"mmm")</f>
        <v/>
      </c>
      <c r="U1240" s="36">
        <f>IF(AND(OR(sel_Region="All",C1240=sel_Region),OR(sel_Country="All",D1240=sel_Country),OR(sel_Channel="All",E1240=sel_Channel),OR(sel_Customer="All",F1240=sel_Customer),OR(sel_Category="All",G1240=sel_Category),OR(sel_Product="All",H1240=sel_Product),AND(S1240&gt;=m_From,S1240&lt;=m_To)),1,0)</f>
        <v/>
      </c>
      <c r="V1240" s="36">
        <f>IF(AND(OR(sel_Region="All",C1240=sel_Region),OR(sel_Channel="All",E1240=sel_Channel),OR(sel_Customer="All",F1240=sel_Customer),OR(sel_Category="All",G1240=sel_Category),OR(sel_Product="All",H1240=sel_Product),AND(S1240&gt;=m_From,S1240&lt;=m_To)),1,0)</f>
        <v/>
      </c>
      <c r="W1240" s="36">
        <f>IF(AND(OR(sel_Region="All",C1240=sel_Region),OR(sel_Country="All",D1240=sel_Country),OR(sel_Customer="All",F1240=sel_Customer),OR(sel_Category="All",G1240=sel_Category),OR(sel_Product="All",H1240=sel_Product),AND(S1240&gt;=m_From,S1240&lt;=m_To)),1,0)</f>
        <v/>
      </c>
      <c r="X1240" s="36">
        <f>IF(AND(OR(sel_Region="All",C1240=sel_Region),OR(sel_Country="All",D1240=sel_Country),OR(sel_Channel="All",E1240=sel_Channel),OR(sel_Category="All",G1240=sel_Category),OR(sel_Product="All",H1240=sel_Product),AND(S1240&gt;=m_From,S1240&lt;=m_To)),1,0)</f>
        <v/>
      </c>
      <c r="Y1240" s="36">
        <f>IF(AND(OR(sel_Region="All",C1240=sel_Region),OR(sel_Country="All",D1240=sel_Country),OR(sel_Channel="All",E1240=sel_Channel),OR(sel_Customer="All",F1240=sel_Customer),OR(sel_Product="All",H1240=sel_Product),AND(S1240&gt;=m_From,S1240&lt;=m_To)),1,0)</f>
        <v/>
      </c>
      <c r="Z1240" s="36">
        <f>IF(AND(OR(sel_Region="All",C1240=sel_Region),OR(sel_Country="All",D1240=sel_Country),OR(sel_Channel="All",E1240=sel_Channel),OR(sel_Customer="All",F1240=sel_Customer),OR(sel_Category="All",G1240=sel_Category),AND(S1240&gt;=m_From,S1240&lt;=m_To)),1,0)</f>
        <v/>
      </c>
      <c r="AA1240" s="36">
        <f>IF(AND(OR(sel_Region="All",C1240=sel_Region),OR(sel_Country="All",D1240=sel_Country),OR(sel_Channel="All",E1240=sel_Channel),OR(sel_Customer="All",F1240=sel_Customer),OR(sel_Category="All",G1240=sel_Category),OR(sel_Product="All",H1240=sel_Product)),1,0)</f>
        <v/>
      </c>
    </row>
    <row r="1241">
      <c r="A1241" s="36" t="inlineStr">
        <is>
          <t>02895</t>
        </is>
      </c>
      <c r="B1241" s="44" t="n">
        <v>46203</v>
      </c>
      <c r="C1241" s="36" t="inlineStr">
        <is>
          <t>Western Europe</t>
        </is>
      </c>
      <c r="D1241" s="36" t="inlineStr">
        <is>
          <t>United Kingdom</t>
        </is>
      </c>
      <c r="E1241" s="36" t="inlineStr">
        <is>
          <t>Online Store</t>
        </is>
      </c>
      <c r="F1241" s="36" t="inlineStr">
        <is>
          <t>Returning</t>
        </is>
      </c>
      <c r="G1241" s="36" t="inlineStr">
        <is>
          <t>Fitness</t>
        </is>
      </c>
      <c r="H1241" s="36" t="inlineStr">
        <is>
          <t>Resistance Band Set</t>
        </is>
      </c>
      <c r="I1241" s="36" t="n">
        <v>2</v>
      </c>
      <c r="J1241" s="39" t="n">
        <v>40.46</v>
      </c>
      <c r="K1241" s="45" t="n">
        <v>0</v>
      </c>
      <c r="L1241" s="39" t="n">
        <v>15.15</v>
      </c>
      <c r="M1241" s="39">
        <f>I1241*J1241*(1-K1241)</f>
        <v/>
      </c>
      <c r="N1241" s="39">
        <f>I1241*L1241</f>
        <v/>
      </c>
      <c r="O1241" s="39">
        <f>M1241-N1241</f>
        <v/>
      </c>
      <c r="P1241" s="38">
        <f>IF(M1241=0,0,O1241/M1241)</f>
        <v/>
      </c>
      <c r="Q1241" s="36">
        <f>YEAR(B1241)</f>
        <v/>
      </c>
      <c r="R1241" s="36">
        <f>"Q"&amp;ROUNDUP(MONTH(B1241)/3,0)</f>
        <v/>
      </c>
      <c r="S1241" s="36">
        <f>MONTH(B1241)</f>
        <v/>
      </c>
      <c r="T1241" s="36">
        <f>TEXT(B1241,"mmm")</f>
        <v/>
      </c>
      <c r="U1241" s="36">
        <f>IF(AND(OR(sel_Region="All",C1241=sel_Region),OR(sel_Country="All",D1241=sel_Country),OR(sel_Channel="All",E1241=sel_Channel),OR(sel_Customer="All",F1241=sel_Customer),OR(sel_Category="All",G1241=sel_Category),OR(sel_Product="All",H1241=sel_Product),AND(S1241&gt;=m_From,S1241&lt;=m_To)),1,0)</f>
        <v/>
      </c>
      <c r="V1241" s="36">
        <f>IF(AND(OR(sel_Region="All",C1241=sel_Region),OR(sel_Channel="All",E1241=sel_Channel),OR(sel_Customer="All",F1241=sel_Customer),OR(sel_Category="All",G1241=sel_Category),OR(sel_Product="All",H1241=sel_Product),AND(S1241&gt;=m_From,S1241&lt;=m_To)),1,0)</f>
        <v/>
      </c>
      <c r="W1241" s="36">
        <f>IF(AND(OR(sel_Region="All",C1241=sel_Region),OR(sel_Country="All",D1241=sel_Country),OR(sel_Customer="All",F1241=sel_Customer),OR(sel_Category="All",G1241=sel_Category),OR(sel_Product="All",H1241=sel_Product),AND(S1241&gt;=m_From,S1241&lt;=m_To)),1,0)</f>
        <v/>
      </c>
      <c r="X1241" s="36">
        <f>IF(AND(OR(sel_Region="All",C1241=sel_Region),OR(sel_Country="All",D1241=sel_Country),OR(sel_Channel="All",E1241=sel_Channel),OR(sel_Category="All",G1241=sel_Category),OR(sel_Product="All",H1241=sel_Product),AND(S1241&gt;=m_From,S1241&lt;=m_To)),1,0)</f>
        <v/>
      </c>
      <c r="Y1241" s="36">
        <f>IF(AND(OR(sel_Region="All",C1241=sel_Region),OR(sel_Country="All",D1241=sel_Country),OR(sel_Channel="All",E1241=sel_Channel),OR(sel_Customer="All",F1241=sel_Customer),OR(sel_Product="All",H1241=sel_Product),AND(S1241&gt;=m_From,S1241&lt;=m_To)),1,0)</f>
        <v/>
      </c>
      <c r="Z1241" s="36">
        <f>IF(AND(OR(sel_Region="All",C1241=sel_Region),OR(sel_Country="All",D1241=sel_Country),OR(sel_Channel="All",E1241=sel_Channel),OR(sel_Customer="All",F1241=sel_Customer),OR(sel_Category="All",G1241=sel_Category),AND(S1241&gt;=m_From,S1241&lt;=m_To)),1,0)</f>
        <v/>
      </c>
      <c r="AA1241" s="36">
        <f>IF(AND(OR(sel_Region="All",C1241=sel_Region),OR(sel_Country="All",D1241=sel_Country),OR(sel_Channel="All",E1241=sel_Channel),OR(sel_Customer="All",F1241=sel_Customer),OR(sel_Category="All",G1241=sel_Category),OR(sel_Product="All",H1241=sel_Product)),1,0)</f>
        <v/>
      </c>
    </row>
    <row r="1242">
      <c r="A1242" s="36" t="inlineStr">
        <is>
          <t>05158</t>
        </is>
      </c>
      <c r="B1242" s="44" t="n">
        <v>46203</v>
      </c>
      <c r="C1242" s="36" t="inlineStr">
        <is>
          <t>Central Europe</t>
        </is>
      </c>
      <c r="D1242" s="36" t="inlineStr">
        <is>
          <t>Austria</t>
        </is>
      </c>
      <c r="E1242" s="36" t="inlineStr">
        <is>
          <t>Retail Partners</t>
        </is>
      </c>
      <c r="F1242" s="36" t="inlineStr">
        <is>
          <t>New</t>
        </is>
      </c>
      <c r="G1242" s="36" t="inlineStr">
        <is>
          <t>Hiking</t>
        </is>
      </c>
      <c r="H1242" s="36" t="inlineStr">
        <is>
          <t>Summit Backpack 45L</t>
        </is>
      </c>
      <c r="I1242" s="36" t="n">
        <v>1</v>
      </c>
      <c r="J1242" s="39" t="n">
        <v>156.11</v>
      </c>
      <c r="K1242" s="45" t="n">
        <v>0</v>
      </c>
      <c r="L1242" s="39" t="n">
        <v>79.52</v>
      </c>
      <c r="M1242" s="39">
        <f>I1242*J1242*(1-K1242)</f>
        <v/>
      </c>
      <c r="N1242" s="39">
        <f>I1242*L1242</f>
        <v/>
      </c>
      <c r="O1242" s="39">
        <f>M1242-N1242</f>
        <v/>
      </c>
      <c r="P1242" s="38">
        <f>IF(M1242=0,0,O1242/M1242)</f>
        <v/>
      </c>
      <c r="Q1242" s="36">
        <f>YEAR(B1242)</f>
        <v/>
      </c>
      <c r="R1242" s="36">
        <f>"Q"&amp;ROUNDUP(MONTH(B1242)/3,0)</f>
        <v/>
      </c>
      <c r="S1242" s="36">
        <f>MONTH(B1242)</f>
        <v/>
      </c>
      <c r="T1242" s="36">
        <f>TEXT(B1242,"mmm")</f>
        <v/>
      </c>
      <c r="U1242" s="36">
        <f>IF(AND(OR(sel_Region="All",C1242=sel_Region),OR(sel_Country="All",D1242=sel_Country),OR(sel_Channel="All",E1242=sel_Channel),OR(sel_Customer="All",F1242=sel_Customer),OR(sel_Category="All",G1242=sel_Category),OR(sel_Product="All",H1242=sel_Product),AND(S1242&gt;=m_From,S1242&lt;=m_To)),1,0)</f>
        <v/>
      </c>
      <c r="V1242" s="36">
        <f>IF(AND(OR(sel_Region="All",C1242=sel_Region),OR(sel_Channel="All",E1242=sel_Channel),OR(sel_Customer="All",F1242=sel_Customer),OR(sel_Category="All",G1242=sel_Category),OR(sel_Product="All",H1242=sel_Product),AND(S1242&gt;=m_From,S1242&lt;=m_To)),1,0)</f>
        <v/>
      </c>
      <c r="W1242" s="36">
        <f>IF(AND(OR(sel_Region="All",C1242=sel_Region),OR(sel_Country="All",D1242=sel_Country),OR(sel_Customer="All",F1242=sel_Customer),OR(sel_Category="All",G1242=sel_Category),OR(sel_Product="All",H1242=sel_Product),AND(S1242&gt;=m_From,S1242&lt;=m_To)),1,0)</f>
        <v/>
      </c>
      <c r="X1242" s="36">
        <f>IF(AND(OR(sel_Region="All",C1242=sel_Region),OR(sel_Country="All",D1242=sel_Country),OR(sel_Channel="All",E1242=sel_Channel),OR(sel_Category="All",G1242=sel_Category),OR(sel_Product="All",H1242=sel_Product),AND(S1242&gt;=m_From,S1242&lt;=m_To)),1,0)</f>
        <v/>
      </c>
      <c r="Y1242" s="36">
        <f>IF(AND(OR(sel_Region="All",C1242=sel_Region),OR(sel_Country="All",D1242=sel_Country),OR(sel_Channel="All",E1242=sel_Channel),OR(sel_Customer="All",F1242=sel_Customer),OR(sel_Product="All",H1242=sel_Product),AND(S1242&gt;=m_From,S1242&lt;=m_To)),1,0)</f>
        <v/>
      </c>
      <c r="Z1242" s="36">
        <f>IF(AND(OR(sel_Region="All",C1242=sel_Region),OR(sel_Country="All",D1242=sel_Country),OR(sel_Channel="All",E1242=sel_Channel),OR(sel_Customer="All",F1242=sel_Customer),OR(sel_Category="All",G1242=sel_Category),AND(S1242&gt;=m_From,S1242&lt;=m_To)),1,0)</f>
        <v/>
      </c>
      <c r="AA1242" s="36">
        <f>IF(AND(OR(sel_Region="All",C1242=sel_Region),OR(sel_Country="All",D1242=sel_Country),OR(sel_Channel="All",E1242=sel_Channel),OR(sel_Customer="All",F1242=sel_Customer),OR(sel_Category="All",G1242=sel_Category),OR(sel_Product="All",H1242=sel_Product)),1,0)</f>
        <v/>
      </c>
    </row>
    <row r="1243">
      <c r="A1243" s="36" t="inlineStr">
        <is>
          <t>01217</t>
        </is>
      </c>
      <c r="B1243" s="44" t="n">
        <v>46204</v>
      </c>
      <c r="C1243" s="36" t="inlineStr">
        <is>
          <t>Northern Europe</t>
        </is>
      </c>
      <c r="D1243" s="36" t="inlineStr">
        <is>
          <t>Ireland</t>
        </is>
      </c>
      <c r="E1243" s="36" t="inlineStr">
        <is>
          <t>Online Store</t>
        </is>
      </c>
      <c r="F1243" s="36" t="inlineStr">
        <is>
          <t>Returning</t>
        </is>
      </c>
      <c r="G1243" s="36" t="inlineStr">
        <is>
          <t>Camping</t>
        </is>
      </c>
      <c r="H1243" s="36" t="inlineStr">
        <is>
          <t>Compact Sleeping Bag</t>
        </is>
      </c>
      <c r="I1243" s="36" t="n">
        <v>2</v>
      </c>
      <c r="J1243" s="39" t="n">
        <v>121.78</v>
      </c>
      <c r="K1243" s="45" t="n">
        <v>0.1</v>
      </c>
      <c r="L1243" s="39" t="n">
        <v>59.62</v>
      </c>
      <c r="M1243" s="39">
        <f>I1243*J1243*(1-K1243)</f>
        <v/>
      </c>
      <c r="N1243" s="39">
        <f>I1243*L1243</f>
        <v/>
      </c>
      <c r="O1243" s="39">
        <f>M1243-N1243</f>
        <v/>
      </c>
      <c r="P1243" s="38">
        <f>IF(M1243=0,0,O1243/M1243)</f>
        <v/>
      </c>
      <c r="Q1243" s="36">
        <f>YEAR(B1243)</f>
        <v/>
      </c>
      <c r="R1243" s="36">
        <f>"Q"&amp;ROUNDUP(MONTH(B1243)/3,0)</f>
        <v/>
      </c>
      <c r="S1243" s="36">
        <f>MONTH(B1243)</f>
        <v/>
      </c>
      <c r="T1243" s="36">
        <f>TEXT(B1243,"mmm")</f>
        <v/>
      </c>
      <c r="U1243" s="36">
        <f>IF(AND(OR(sel_Region="All",C1243=sel_Region),OR(sel_Country="All",D1243=sel_Country),OR(sel_Channel="All",E1243=sel_Channel),OR(sel_Customer="All",F1243=sel_Customer),OR(sel_Category="All",G1243=sel_Category),OR(sel_Product="All",H1243=sel_Product),AND(S1243&gt;=m_From,S1243&lt;=m_To)),1,0)</f>
        <v/>
      </c>
      <c r="V1243" s="36">
        <f>IF(AND(OR(sel_Region="All",C1243=sel_Region),OR(sel_Channel="All",E1243=sel_Channel),OR(sel_Customer="All",F1243=sel_Customer),OR(sel_Category="All",G1243=sel_Category),OR(sel_Product="All",H1243=sel_Product),AND(S1243&gt;=m_From,S1243&lt;=m_To)),1,0)</f>
        <v/>
      </c>
      <c r="W1243" s="36">
        <f>IF(AND(OR(sel_Region="All",C1243=sel_Region),OR(sel_Country="All",D1243=sel_Country),OR(sel_Customer="All",F1243=sel_Customer),OR(sel_Category="All",G1243=sel_Category),OR(sel_Product="All",H1243=sel_Product),AND(S1243&gt;=m_From,S1243&lt;=m_To)),1,0)</f>
        <v/>
      </c>
      <c r="X1243" s="36">
        <f>IF(AND(OR(sel_Region="All",C1243=sel_Region),OR(sel_Country="All",D1243=sel_Country),OR(sel_Channel="All",E1243=sel_Channel),OR(sel_Category="All",G1243=sel_Category),OR(sel_Product="All",H1243=sel_Product),AND(S1243&gt;=m_From,S1243&lt;=m_To)),1,0)</f>
        <v/>
      </c>
      <c r="Y1243" s="36">
        <f>IF(AND(OR(sel_Region="All",C1243=sel_Region),OR(sel_Country="All",D1243=sel_Country),OR(sel_Channel="All",E1243=sel_Channel),OR(sel_Customer="All",F1243=sel_Customer),OR(sel_Product="All",H1243=sel_Product),AND(S1243&gt;=m_From,S1243&lt;=m_To)),1,0)</f>
        <v/>
      </c>
      <c r="Z1243" s="36">
        <f>IF(AND(OR(sel_Region="All",C1243=sel_Region),OR(sel_Country="All",D1243=sel_Country),OR(sel_Channel="All",E1243=sel_Channel),OR(sel_Customer="All",F1243=sel_Customer),OR(sel_Category="All",G1243=sel_Category),AND(S1243&gt;=m_From,S1243&lt;=m_To)),1,0)</f>
        <v/>
      </c>
      <c r="AA1243" s="36">
        <f>IF(AND(OR(sel_Region="All",C1243=sel_Region),OR(sel_Country="All",D1243=sel_Country),OR(sel_Channel="All",E1243=sel_Channel),OR(sel_Customer="All",F1243=sel_Customer),OR(sel_Category="All",G1243=sel_Category),OR(sel_Product="All",H1243=sel_Product)),1,0)</f>
        <v/>
      </c>
    </row>
    <row r="1244">
      <c r="A1244" s="36" t="inlineStr">
        <is>
          <t>02249</t>
        </is>
      </c>
      <c r="B1244" s="44" t="n">
        <v>46204</v>
      </c>
      <c r="C1244" s="36" t="inlineStr">
        <is>
          <t>Southern Europe</t>
        </is>
      </c>
      <c r="D1244" s="36" t="inlineStr">
        <is>
          <t>Italy</t>
        </is>
      </c>
      <c r="E1244" s="36" t="inlineStr">
        <is>
          <t>Marketplace</t>
        </is>
      </c>
      <c r="F1244" s="36" t="inlineStr">
        <is>
          <t>New</t>
        </is>
      </c>
      <c r="G1244" s="36" t="inlineStr">
        <is>
          <t>Fitness</t>
        </is>
      </c>
      <c r="H1244" s="36" t="inlineStr">
        <is>
          <t>Recovery Roller</t>
        </is>
      </c>
      <c r="I1244" s="36" t="n">
        <v>3</v>
      </c>
      <c r="J1244" s="39" t="n">
        <v>36.22</v>
      </c>
      <c r="K1244" s="45" t="n">
        <v>0.1</v>
      </c>
      <c r="L1244" s="39" t="n">
        <v>13.83</v>
      </c>
      <c r="M1244" s="39">
        <f>I1244*J1244*(1-K1244)</f>
        <v/>
      </c>
      <c r="N1244" s="39">
        <f>I1244*L1244</f>
        <v/>
      </c>
      <c r="O1244" s="39">
        <f>M1244-N1244</f>
        <v/>
      </c>
      <c r="P1244" s="38">
        <f>IF(M1244=0,0,O1244/M1244)</f>
        <v/>
      </c>
      <c r="Q1244" s="36">
        <f>YEAR(B1244)</f>
        <v/>
      </c>
      <c r="R1244" s="36">
        <f>"Q"&amp;ROUNDUP(MONTH(B1244)/3,0)</f>
        <v/>
      </c>
      <c r="S1244" s="36">
        <f>MONTH(B1244)</f>
        <v/>
      </c>
      <c r="T1244" s="36">
        <f>TEXT(B1244,"mmm")</f>
        <v/>
      </c>
      <c r="U1244" s="36">
        <f>IF(AND(OR(sel_Region="All",C1244=sel_Region),OR(sel_Country="All",D1244=sel_Country),OR(sel_Channel="All",E1244=sel_Channel),OR(sel_Customer="All",F1244=sel_Customer),OR(sel_Category="All",G1244=sel_Category),OR(sel_Product="All",H1244=sel_Product),AND(S1244&gt;=m_From,S1244&lt;=m_To)),1,0)</f>
        <v/>
      </c>
      <c r="V1244" s="36">
        <f>IF(AND(OR(sel_Region="All",C1244=sel_Region),OR(sel_Channel="All",E1244=sel_Channel),OR(sel_Customer="All",F1244=sel_Customer),OR(sel_Category="All",G1244=sel_Category),OR(sel_Product="All",H1244=sel_Product),AND(S1244&gt;=m_From,S1244&lt;=m_To)),1,0)</f>
        <v/>
      </c>
      <c r="W1244" s="36">
        <f>IF(AND(OR(sel_Region="All",C1244=sel_Region),OR(sel_Country="All",D1244=sel_Country),OR(sel_Customer="All",F1244=sel_Customer),OR(sel_Category="All",G1244=sel_Category),OR(sel_Product="All",H1244=sel_Product),AND(S1244&gt;=m_From,S1244&lt;=m_To)),1,0)</f>
        <v/>
      </c>
      <c r="X1244" s="36">
        <f>IF(AND(OR(sel_Region="All",C1244=sel_Region),OR(sel_Country="All",D1244=sel_Country),OR(sel_Channel="All",E1244=sel_Channel),OR(sel_Category="All",G1244=sel_Category),OR(sel_Product="All",H1244=sel_Product),AND(S1244&gt;=m_From,S1244&lt;=m_To)),1,0)</f>
        <v/>
      </c>
      <c r="Y1244" s="36">
        <f>IF(AND(OR(sel_Region="All",C1244=sel_Region),OR(sel_Country="All",D1244=sel_Country),OR(sel_Channel="All",E1244=sel_Channel),OR(sel_Customer="All",F1244=sel_Customer),OR(sel_Product="All",H1244=sel_Product),AND(S1244&gt;=m_From,S1244&lt;=m_To)),1,0)</f>
        <v/>
      </c>
      <c r="Z1244" s="36">
        <f>IF(AND(OR(sel_Region="All",C1244=sel_Region),OR(sel_Country="All",D1244=sel_Country),OR(sel_Channel="All",E1244=sel_Channel),OR(sel_Customer="All",F1244=sel_Customer),OR(sel_Category="All",G1244=sel_Category),AND(S1244&gt;=m_From,S1244&lt;=m_To)),1,0)</f>
        <v/>
      </c>
      <c r="AA1244" s="36">
        <f>IF(AND(OR(sel_Region="All",C1244=sel_Region),OR(sel_Country="All",D1244=sel_Country),OR(sel_Channel="All",E1244=sel_Channel),OR(sel_Customer="All",F1244=sel_Customer),OR(sel_Category="All",G1244=sel_Category),OR(sel_Product="All",H1244=sel_Product)),1,0)</f>
        <v/>
      </c>
    </row>
    <row r="1245">
      <c r="A1245" s="36" t="inlineStr">
        <is>
          <t>02650</t>
        </is>
      </c>
      <c r="B1245" s="44" t="n">
        <v>46204</v>
      </c>
      <c r="C1245" s="36" t="inlineStr">
        <is>
          <t>Western Europe</t>
        </is>
      </c>
      <c r="D1245" s="36" t="inlineStr">
        <is>
          <t>Netherlands</t>
        </is>
      </c>
      <c r="E1245" s="36" t="inlineStr">
        <is>
          <t>Corporate</t>
        </is>
      </c>
      <c r="F1245" s="36" t="inlineStr">
        <is>
          <t>Business</t>
        </is>
      </c>
      <c r="G1245" s="36" t="inlineStr">
        <is>
          <t>Travel</t>
        </is>
      </c>
      <c r="H1245" s="36" t="inlineStr">
        <is>
          <t>Travel Backpack 35L</t>
        </is>
      </c>
      <c r="I1245" s="36" t="n">
        <v>10</v>
      </c>
      <c r="J1245" s="39" t="n">
        <v>161.78</v>
      </c>
      <c r="K1245" s="45" t="n">
        <v>0.1</v>
      </c>
      <c r="L1245" s="39" t="n">
        <v>85.11</v>
      </c>
      <c r="M1245" s="39">
        <f>I1245*J1245*(1-K1245)</f>
        <v/>
      </c>
      <c r="N1245" s="39">
        <f>I1245*L1245</f>
        <v/>
      </c>
      <c r="O1245" s="39">
        <f>M1245-N1245</f>
        <v/>
      </c>
      <c r="P1245" s="38">
        <f>IF(M1245=0,0,O1245/M1245)</f>
        <v/>
      </c>
      <c r="Q1245" s="36">
        <f>YEAR(B1245)</f>
        <v/>
      </c>
      <c r="R1245" s="36">
        <f>"Q"&amp;ROUNDUP(MONTH(B1245)/3,0)</f>
        <v/>
      </c>
      <c r="S1245" s="36">
        <f>MONTH(B1245)</f>
        <v/>
      </c>
      <c r="T1245" s="36">
        <f>TEXT(B1245,"mmm")</f>
        <v/>
      </c>
      <c r="U1245" s="36">
        <f>IF(AND(OR(sel_Region="All",C1245=sel_Region),OR(sel_Country="All",D1245=sel_Country),OR(sel_Channel="All",E1245=sel_Channel),OR(sel_Customer="All",F1245=sel_Customer),OR(sel_Category="All",G1245=sel_Category),OR(sel_Product="All",H1245=sel_Product),AND(S1245&gt;=m_From,S1245&lt;=m_To)),1,0)</f>
        <v/>
      </c>
      <c r="V1245" s="36">
        <f>IF(AND(OR(sel_Region="All",C1245=sel_Region),OR(sel_Channel="All",E1245=sel_Channel),OR(sel_Customer="All",F1245=sel_Customer),OR(sel_Category="All",G1245=sel_Category),OR(sel_Product="All",H1245=sel_Product),AND(S1245&gt;=m_From,S1245&lt;=m_To)),1,0)</f>
        <v/>
      </c>
      <c r="W1245" s="36">
        <f>IF(AND(OR(sel_Region="All",C1245=sel_Region),OR(sel_Country="All",D1245=sel_Country),OR(sel_Customer="All",F1245=sel_Customer),OR(sel_Category="All",G1245=sel_Category),OR(sel_Product="All",H1245=sel_Product),AND(S1245&gt;=m_From,S1245&lt;=m_To)),1,0)</f>
        <v/>
      </c>
      <c r="X1245" s="36">
        <f>IF(AND(OR(sel_Region="All",C1245=sel_Region),OR(sel_Country="All",D1245=sel_Country),OR(sel_Channel="All",E1245=sel_Channel),OR(sel_Category="All",G1245=sel_Category),OR(sel_Product="All",H1245=sel_Product),AND(S1245&gt;=m_From,S1245&lt;=m_To)),1,0)</f>
        <v/>
      </c>
      <c r="Y1245" s="36">
        <f>IF(AND(OR(sel_Region="All",C1245=sel_Region),OR(sel_Country="All",D1245=sel_Country),OR(sel_Channel="All",E1245=sel_Channel),OR(sel_Customer="All",F1245=sel_Customer),OR(sel_Product="All",H1245=sel_Product),AND(S1245&gt;=m_From,S1245&lt;=m_To)),1,0)</f>
        <v/>
      </c>
      <c r="Z1245" s="36">
        <f>IF(AND(OR(sel_Region="All",C1245=sel_Region),OR(sel_Country="All",D1245=sel_Country),OR(sel_Channel="All",E1245=sel_Channel),OR(sel_Customer="All",F1245=sel_Customer),OR(sel_Category="All",G1245=sel_Category),AND(S1245&gt;=m_From,S1245&lt;=m_To)),1,0)</f>
        <v/>
      </c>
      <c r="AA1245" s="36">
        <f>IF(AND(OR(sel_Region="All",C1245=sel_Region),OR(sel_Country="All",D1245=sel_Country),OR(sel_Channel="All",E1245=sel_Channel),OR(sel_Customer="All",F1245=sel_Customer),OR(sel_Category="All",G1245=sel_Category),OR(sel_Product="All",H1245=sel_Product)),1,0)</f>
        <v/>
      </c>
    </row>
    <row r="1246">
      <c r="A1246" s="36" t="inlineStr">
        <is>
          <t>03937</t>
        </is>
      </c>
      <c r="B1246" s="44" t="n">
        <v>46204</v>
      </c>
      <c r="C1246" s="36" t="inlineStr">
        <is>
          <t>Western Europe</t>
        </is>
      </c>
      <c r="D1246" s="36" t="inlineStr">
        <is>
          <t>Netherlands</t>
        </is>
      </c>
      <c r="E1246" s="36" t="inlineStr">
        <is>
          <t>Online Store</t>
        </is>
      </c>
      <c r="F1246" s="36" t="inlineStr">
        <is>
          <t>Business</t>
        </is>
      </c>
      <c r="G1246" s="36" t="inlineStr">
        <is>
          <t>Camping</t>
        </is>
      </c>
      <c r="H1246" s="36" t="inlineStr">
        <is>
          <t>Compact Sleeping Bag</t>
        </is>
      </c>
      <c r="I1246" s="36" t="n">
        <v>3</v>
      </c>
      <c r="J1246" s="39" t="n">
        <v>126.23</v>
      </c>
      <c r="K1246" s="45" t="n">
        <v>0.05</v>
      </c>
      <c r="L1246" s="39" t="n">
        <v>61.81</v>
      </c>
      <c r="M1246" s="39">
        <f>I1246*J1246*(1-K1246)</f>
        <v/>
      </c>
      <c r="N1246" s="39">
        <f>I1246*L1246</f>
        <v/>
      </c>
      <c r="O1246" s="39">
        <f>M1246-N1246</f>
        <v/>
      </c>
      <c r="P1246" s="38">
        <f>IF(M1246=0,0,O1246/M1246)</f>
        <v/>
      </c>
      <c r="Q1246" s="36">
        <f>YEAR(B1246)</f>
        <v/>
      </c>
      <c r="R1246" s="36">
        <f>"Q"&amp;ROUNDUP(MONTH(B1246)/3,0)</f>
        <v/>
      </c>
      <c r="S1246" s="36">
        <f>MONTH(B1246)</f>
        <v/>
      </c>
      <c r="T1246" s="36">
        <f>TEXT(B1246,"mmm")</f>
        <v/>
      </c>
      <c r="U1246" s="36">
        <f>IF(AND(OR(sel_Region="All",C1246=sel_Region),OR(sel_Country="All",D1246=sel_Country),OR(sel_Channel="All",E1246=sel_Channel),OR(sel_Customer="All",F1246=sel_Customer),OR(sel_Category="All",G1246=sel_Category),OR(sel_Product="All",H1246=sel_Product),AND(S1246&gt;=m_From,S1246&lt;=m_To)),1,0)</f>
        <v/>
      </c>
      <c r="V1246" s="36">
        <f>IF(AND(OR(sel_Region="All",C1246=sel_Region),OR(sel_Channel="All",E1246=sel_Channel),OR(sel_Customer="All",F1246=sel_Customer),OR(sel_Category="All",G1246=sel_Category),OR(sel_Product="All",H1246=sel_Product),AND(S1246&gt;=m_From,S1246&lt;=m_To)),1,0)</f>
        <v/>
      </c>
      <c r="W1246" s="36">
        <f>IF(AND(OR(sel_Region="All",C1246=sel_Region),OR(sel_Country="All",D1246=sel_Country),OR(sel_Customer="All",F1246=sel_Customer),OR(sel_Category="All",G1246=sel_Category),OR(sel_Product="All",H1246=sel_Product),AND(S1246&gt;=m_From,S1246&lt;=m_To)),1,0)</f>
        <v/>
      </c>
      <c r="X1246" s="36">
        <f>IF(AND(OR(sel_Region="All",C1246=sel_Region),OR(sel_Country="All",D1246=sel_Country),OR(sel_Channel="All",E1246=sel_Channel),OR(sel_Category="All",G1246=sel_Category),OR(sel_Product="All",H1246=sel_Product),AND(S1246&gt;=m_From,S1246&lt;=m_To)),1,0)</f>
        <v/>
      </c>
      <c r="Y1246" s="36">
        <f>IF(AND(OR(sel_Region="All",C1246=sel_Region),OR(sel_Country="All",D1246=sel_Country),OR(sel_Channel="All",E1246=sel_Channel),OR(sel_Customer="All",F1246=sel_Customer),OR(sel_Product="All",H1246=sel_Product),AND(S1246&gt;=m_From,S1246&lt;=m_To)),1,0)</f>
        <v/>
      </c>
      <c r="Z1246" s="36">
        <f>IF(AND(OR(sel_Region="All",C1246=sel_Region),OR(sel_Country="All",D1246=sel_Country),OR(sel_Channel="All",E1246=sel_Channel),OR(sel_Customer="All",F1246=sel_Customer),OR(sel_Category="All",G1246=sel_Category),AND(S1246&gt;=m_From,S1246&lt;=m_To)),1,0)</f>
        <v/>
      </c>
      <c r="AA1246" s="36">
        <f>IF(AND(OR(sel_Region="All",C1246=sel_Region),OR(sel_Country="All",D1246=sel_Country),OR(sel_Channel="All",E1246=sel_Channel),OR(sel_Customer="All",F1246=sel_Customer),OR(sel_Category="All",G1246=sel_Category),OR(sel_Product="All",H1246=sel_Product)),1,0)</f>
        <v/>
      </c>
    </row>
    <row r="1247">
      <c r="A1247" s="36" t="inlineStr">
        <is>
          <t>04122</t>
        </is>
      </c>
      <c r="B1247" s="44" t="n">
        <v>46204</v>
      </c>
      <c r="C1247" s="36" t="inlineStr">
        <is>
          <t>Western Europe</t>
        </is>
      </c>
      <c r="D1247" s="36" t="inlineStr">
        <is>
          <t>United Kingdom</t>
        </is>
      </c>
      <c r="E1247" s="36" t="inlineStr">
        <is>
          <t>Online Store</t>
        </is>
      </c>
      <c r="F1247" s="36" t="inlineStr">
        <is>
          <t>Returning</t>
        </is>
      </c>
      <c r="G1247" s="36" t="inlineStr">
        <is>
          <t>Cycling</t>
        </is>
      </c>
      <c r="H1247" s="36" t="inlineStr">
        <is>
          <t>Commuter Helmet</t>
        </is>
      </c>
      <c r="I1247" s="36" t="n">
        <v>4</v>
      </c>
      <c r="J1247" s="39" t="n">
        <v>79.97</v>
      </c>
      <c r="K1247" s="45" t="n">
        <v>0.1</v>
      </c>
      <c r="L1247" s="39" t="n">
        <v>43.36</v>
      </c>
      <c r="M1247" s="39">
        <f>I1247*J1247*(1-K1247)</f>
        <v/>
      </c>
      <c r="N1247" s="39">
        <f>I1247*L1247</f>
        <v/>
      </c>
      <c r="O1247" s="39">
        <f>M1247-N1247</f>
        <v/>
      </c>
      <c r="P1247" s="38">
        <f>IF(M1247=0,0,O1247/M1247)</f>
        <v/>
      </c>
      <c r="Q1247" s="36">
        <f>YEAR(B1247)</f>
        <v/>
      </c>
      <c r="R1247" s="36">
        <f>"Q"&amp;ROUNDUP(MONTH(B1247)/3,0)</f>
        <v/>
      </c>
      <c r="S1247" s="36">
        <f>MONTH(B1247)</f>
        <v/>
      </c>
      <c r="T1247" s="36">
        <f>TEXT(B1247,"mmm")</f>
        <v/>
      </c>
      <c r="U1247" s="36">
        <f>IF(AND(OR(sel_Region="All",C1247=sel_Region),OR(sel_Country="All",D1247=sel_Country),OR(sel_Channel="All",E1247=sel_Channel),OR(sel_Customer="All",F1247=sel_Customer),OR(sel_Category="All",G1247=sel_Category),OR(sel_Product="All",H1247=sel_Product),AND(S1247&gt;=m_From,S1247&lt;=m_To)),1,0)</f>
        <v/>
      </c>
      <c r="V1247" s="36">
        <f>IF(AND(OR(sel_Region="All",C1247=sel_Region),OR(sel_Channel="All",E1247=sel_Channel),OR(sel_Customer="All",F1247=sel_Customer),OR(sel_Category="All",G1247=sel_Category),OR(sel_Product="All",H1247=sel_Product),AND(S1247&gt;=m_From,S1247&lt;=m_To)),1,0)</f>
        <v/>
      </c>
      <c r="W1247" s="36">
        <f>IF(AND(OR(sel_Region="All",C1247=sel_Region),OR(sel_Country="All",D1247=sel_Country),OR(sel_Customer="All",F1247=sel_Customer),OR(sel_Category="All",G1247=sel_Category),OR(sel_Product="All",H1247=sel_Product),AND(S1247&gt;=m_From,S1247&lt;=m_To)),1,0)</f>
        <v/>
      </c>
      <c r="X1247" s="36">
        <f>IF(AND(OR(sel_Region="All",C1247=sel_Region),OR(sel_Country="All",D1247=sel_Country),OR(sel_Channel="All",E1247=sel_Channel),OR(sel_Category="All",G1247=sel_Category),OR(sel_Product="All",H1247=sel_Product),AND(S1247&gt;=m_From,S1247&lt;=m_To)),1,0)</f>
        <v/>
      </c>
      <c r="Y1247" s="36">
        <f>IF(AND(OR(sel_Region="All",C1247=sel_Region),OR(sel_Country="All",D1247=sel_Country),OR(sel_Channel="All",E1247=sel_Channel),OR(sel_Customer="All",F1247=sel_Customer),OR(sel_Product="All",H1247=sel_Product),AND(S1247&gt;=m_From,S1247&lt;=m_To)),1,0)</f>
        <v/>
      </c>
      <c r="Z1247" s="36">
        <f>IF(AND(OR(sel_Region="All",C1247=sel_Region),OR(sel_Country="All",D1247=sel_Country),OR(sel_Channel="All",E1247=sel_Channel),OR(sel_Customer="All",F1247=sel_Customer),OR(sel_Category="All",G1247=sel_Category),AND(S1247&gt;=m_From,S1247&lt;=m_To)),1,0)</f>
        <v/>
      </c>
      <c r="AA1247" s="36">
        <f>IF(AND(OR(sel_Region="All",C1247=sel_Region),OR(sel_Country="All",D1247=sel_Country),OR(sel_Channel="All",E1247=sel_Channel),OR(sel_Customer="All",F1247=sel_Customer),OR(sel_Category="All",G1247=sel_Category),OR(sel_Product="All",H1247=sel_Product)),1,0)</f>
        <v/>
      </c>
    </row>
    <row r="1248">
      <c r="A1248" s="36" t="inlineStr">
        <is>
          <t>04589</t>
        </is>
      </c>
      <c r="B1248" s="44" t="n">
        <v>46204</v>
      </c>
      <c r="C1248" s="36" t="inlineStr">
        <is>
          <t>Western Europe</t>
        </is>
      </c>
      <c r="D1248" s="36" t="inlineStr">
        <is>
          <t>United Kingdom</t>
        </is>
      </c>
      <c r="E1248" s="36" t="inlineStr">
        <is>
          <t>Retail Partners</t>
        </is>
      </c>
      <c r="F1248" s="36" t="inlineStr">
        <is>
          <t>New</t>
        </is>
      </c>
      <c r="G1248" s="36" t="inlineStr">
        <is>
          <t>Cycling</t>
        </is>
      </c>
      <c r="H1248" s="36" t="inlineStr">
        <is>
          <t>Cycling Pack 12L</t>
        </is>
      </c>
      <c r="I1248" s="36" t="n">
        <v>2</v>
      </c>
      <c r="J1248" s="39" t="n">
        <v>102.37</v>
      </c>
      <c r="K1248" s="45" t="n">
        <v>0</v>
      </c>
      <c r="L1248" s="39" t="n">
        <v>50.25</v>
      </c>
      <c r="M1248" s="39">
        <f>I1248*J1248*(1-K1248)</f>
        <v/>
      </c>
      <c r="N1248" s="39">
        <f>I1248*L1248</f>
        <v/>
      </c>
      <c r="O1248" s="39">
        <f>M1248-N1248</f>
        <v/>
      </c>
      <c r="P1248" s="38">
        <f>IF(M1248=0,0,O1248/M1248)</f>
        <v/>
      </c>
      <c r="Q1248" s="36">
        <f>YEAR(B1248)</f>
        <v/>
      </c>
      <c r="R1248" s="36">
        <f>"Q"&amp;ROUNDUP(MONTH(B1248)/3,0)</f>
        <v/>
      </c>
      <c r="S1248" s="36">
        <f>MONTH(B1248)</f>
        <v/>
      </c>
      <c r="T1248" s="36">
        <f>TEXT(B1248,"mmm")</f>
        <v/>
      </c>
      <c r="U1248" s="36">
        <f>IF(AND(OR(sel_Region="All",C1248=sel_Region),OR(sel_Country="All",D1248=sel_Country),OR(sel_Channel="All",E1248=sel_Channel),OR(sel_Customer="All",F1248=sel_Customer),OR(sel_Category="All",G1248=sel_Category),OR(sel_Product="All",H1248=sel_Product),AND(S1248&gt;=m_From,S1248&lt;=m_To)),1,0)</f>
        <v/>
      </c>
      <c r="V1248" s="36">
        <f>IF(AND(OR(sel_Region="All",C1248=sel_Region),OR(sel_Channel="All",E1248=sel_Channel),OR(sel_Customer="All",F1248=sel_Customer),OR(sel_Category="All",G1248=sel_Category),OR(sel_Product="All",H1248=sel_Product),AND(S1248&gt;=m_From,S1248&lt;=m_To)),1,0)</f>
        <v/>
      </c>
      <c r="W1248" s="36">
        <f>IF(AND(OR(sel_Region="All",C1248=sel_Region),OR(sel_Country="All",D1248=sel_Country),OR(sel_Customer="All",F1248=sel_Customer),OR(sel_Category="All",G1248=sel_Category),OR(sel_Product="All",H1248=sel_Product),AND(S1248&gt;=m_From,S1248&lt;=m_To)),1,0)</f>
        <v/>
      </c>
      <c r="X1248" s="36">
        <f>IF(AND(OR(sel_Region="All",C1248=sel_Region),OR(sel_Country="All",D1248=sel_Country),OR(sel_Channel="All",E1248=sel_Channel),OR(sel_Category="All",G1248=sel_Category),OR(sel_Product="All",H1248=sel_Product),AND(S1248&gt;=m_From,S1248&lt;=m_To)),1,0)</f>
        <v/>
      </c>
      <c r="Y1248" s="36">
        <f>IF(AND(OR(sel_Region="All",C1248=sel_Region),OR(sel_Country="All",D1248=sel_Country),OR(sel_Channel="All",E1248=sel_Channel),OR(sel_Customer="All",F1248=sel_Customer),OR(sel_Product="All",H1248=sel_Product),AND(S1248&gt;=m_From,S1248&lt;=m_To)),1,0)</f>
        <v/>
      </c>
      <c r="Z1248" s="36">
        <f>IF(AND(OR(sel_Region="All",C1248=sel_Region),OR(sel_Country="All",D1248=sel_Country),OR(sel_Channel="All",E1248=sel_Channel),OR(sel_Customer="All",F1248=sel_Customer),OR(sel_Category="All",G1248=sel_Category),AND(S1248&gt;=m_From,S1248&lt;=m_To)),1,0)</f>
        <v/>
      </c>
      <c r="AA1248" s="36">
        <f>IF(AND(OR(sel_Region="All",C1248=sel_Region),OR(sel_Country="All",D1248=sel_Country),OR(sel_Channel="All",E1248=sel_Channel),OR(sel_Customer="All",F1248=sel_Customer),OR(sel_Category="All",G1248=sel_Category),OR(sel_Product="All",H1248=sel_Product)),1,0)</f>
        <v/>
      </c>
    </row>
    <row r="1249">
      <c r="A1249" s="36" t="inlineStr">
        <is>
          <t>04873</t>
        </is>
      </c>
      <c r="B1249" s="44" t="n">
        <v>46204</v>
      </c>
      <c r="C1249" s="36" t="inlineStr">
        <is>
          <t>Western Europe</t>
        </is>
      </c>
      <c r="D1249" s="36" t="inlineStr">
        <is>
          <t>France</t>
        </is>
      </c>
      <c r="E1249" s="36" t="inlineStr">
        <is>
          <t>Online Store</t>
        </is>
      </c>
      <c r="F1249" s="36" t="inlineStr">
        <is>
          <t>New</t>
        </is>
      </c>
      <c r="G1249" s="36" t="inlineStr">
        <is>
          <t>Cycling</t>
        </is>
      </c>
      <c r="H1249" s="36" t="inlineStr">
        <is>
          <t>Cycling Pack 12L</t>
        </is>
      </c>
      <c r="I1249" s="36" t="n">
        <v>1</v>
      </c>
      <c r="J1249" s="39" t="n">
        <v>102.13</v>
      </c>
      <c r="K1249" s="45" t="n">
        <v>0</v>
      </c>
      <c r="L1249" s="39" t="n">
        <v>49.17</v>
      </c>
      <c r="M1249" s="39">
        <f>I1249*J1249*(1-K1249)</f>
        <v/>
      </c>
      <c r="N1249" s="39">
        <f>I1249*L1249</f>
        <v/>
      </c>
      <c r="O1249" s="39">
        <f>M1249-N1249</f>
        <v/>
      </c>
      <c r="P1249" s="38">
        <f>IF(M1249=0,0,O1249/M1249)</f>
        <v/>
      </c>
      <c r="Q1249" s="36">
        <f>YEAR(B1249)</f>
        <v/>
      </c>
      <c r="R1249" s="36">
        <f>"Q"&amp;ROUNDUP(MONTH(B1249)/3,0)</f>
        <v/>
      </c>
      <c r="S1249" s="36">
        <f>MONTH(B1249)</f>
        <v/>
      </c>
      <c r="T1249" s="36">
        <f>TEXT(B1249,"mmm")</f>
        <v/>
      </c>
      <c r="U1249" s="36">
        <f>IF(AND(OR(sel_Region="All",C1249=sel_Region),OR(sel_Country="All",D1249=sel_Country),OR(sel_Channel="All",E1249=sel_Channel),OR(sel_Customer="All",F1249=sel_Customer),OR(sel_Category="All",G1249=sel_Category),OR(sel_Product="All",H1249=sel_Product),AND(S1249&gt;=m_From,S1249&lt;=m_To)),1,0)</f>
        <v/>
      </c>
      <c r="V1249" s="36">
        <f>IF(AND(OR(sel_Region="All",C1249=sel_Region),OR(sel_Channel="All",E1249=sel_Channel),OR(sel_Customer="All",F1249=sel_Customer),OR(sel_Category="All",G1249=sel_Category),OR(sel_Product="All",H1249=sel_Product),AND(S1249&gt;=m_From,S1249&lt;=m_To)),1,0)</f>
        <v/>
      </c>
      <c r="W1249" s="36">
        <f>IF(AND(OR(sel_Region="All",C1249=sel_Region),OR(sel_Country="All",D1249=sel_Country),OR(sel_Customer="All",F1249=sel_Customer),OR(sel_Category="All",G1249=sel_Category),OR(sel_Product="All",H1249=sel_Product),AND(S1249&gt;=m_From,S1249&lt;=m_To)),1,0)</f>
        <v/>
      </c>
      <c r="X1249" s="36">
        <f>IF(AND(OR(sel_Region="All",C1249=sel_Region),OR(sel_Country="All",D1249=sel_Country),OR(sel_Channel="All",E1249=sel_Channel),OR(sel_Category="All",G1249=sel_Category),OR(sel_Product="All",H1249=sel_Product),AND(S1249&gt;=m_From,S1249&lt;=m_To)),1,0)</f>
        <v/>
      </c>
      <c r="Y1249" s="36">
        <f>IF(AND(OR(sel_Region="All",C1249=sel_Region),OR(sel_Country="All",D1249=sel_Country),OR(sel_Channel="All",E1249=sel_Channel),OR(sel_Customer="All",F1249=sel_Customer),OR(sel_Product="All",H1249=sel_Product),AND(S1249&gt;=m_From,S1249&lt;=m_To)),1,0)</f>
        <v/>
      </c>
      <c r="Z1249" s="36">
        <f>IF(AND(OR(sel_Region="All",C1249=sel_Region),OR(sel_Country="All",D1249=sel_Country),OR(sel_Channel="All",E1249=sel_Channel),OR(sel_Customer="All",F1249=sel_Customer),OR(sel_Category="All",G1249=sel_Category),AND(S1249&gt;=m_From,S1249&lt;=m_To)),1,0)</f>
        <v/>
      </c>
      <c r="AA1249" s="36">
        <f>IF(AND(OR(sel_Region="All",C1249=sel_Region),OR(sel_Country="All",D1249=sel_Country),OR(sel_Channel="All",E1249=sel_Channel),OR(sel_Customer="All",F1249=sel_Customer),OR(sel_Category="All",G1249=sel_Category),OR(sel_Product="All",H1249=sel_Product)),1,0)</f>
        <v/>
      </c>
    </row>
    <row r="1250">
      <c r="A1250" s="36" t="inlineStr">
        <is>
          <t>00729</t>
        </is>
      </c>
      <c r="B1250" s="44" t="n">
        <v>46205</v>
      </c>
      <c r="C1250" s="36" t="inlineStr">
        <is>
          <t>Northern Europe</t>
        </is>
      </c>
      <c r="D1250" s="36" t="inlineStr">
        <is>
          <t>Sweden</t>
        </is>
      </c>
      <c r="E1250" s="36" t="inlineStr">
        <is>
          <t>Online Store</t>
        </is>
      </c>
      <c r="F1250" s="36" t="inlineStr">
        <is>
          <t>Returning</t>
        </is>
      </c>
      <c r="G1250" s="36" t="inlineStr">
        <is>
          <t>Travel</t>
        </is>
      </c>
      <c r="H1250" s="36" t="inlineStr">
        <is>
          <t>Travel Backpack 35L</t>
        </is>
      </c>
      <c r="I1250" s="36" t="n">
        <v>1</v>
      </c>
      <c r="J1250" s="39" t="n">
        <v>161.82</v>
      </c>
      <c r="K1250" s="45" t="n">
        <v>0</v>
      </c>
      <c r="L1250" s="39" t="n">
        <v>87.15000000000001</v>
      </c>
      <c r="M1250" s="39">
        <f>I1250*J1250*(1-K1250)</f>
        <v/>
      </c>
      <c r="N1250" s="39">
        <f>I1250*L1250</f>
        <v/>
      </c>
      <c r="O1250" s="39">
        <f>M1250-N1250</f>
        <v/>
      </c>
      <c r="P1250" s="38">
        <f>IF(M1250=0,0,O1250/M1250)</f>
        <v/>
      </c>
      <c r="Q1250" s="36">
        <f>YEAR(B1250)</f>
        <v/>
      </c>
      <c r="R1250" s="36">
        <f>"Q"&amp;ROUNDUP(MONTH(B1250)/3,0)</f>
        <v/>
      </c>
      <c r="S1250" s="36">
        <f>MONTH(B1250)</f>
        <v/>
      </c>
      <c r="T1250" s="36">
        <f>TEXT(B1250,"mmm")</f>
        <v/>
      </c>
      <c r="U1250" s="36">
        <f>IF(AND(OR(sel_Region="All",C1250=sel_Region),OR(sel_Country="All",D1250=sel_Country),OR(sel_Channel="All",E1250=sel_Channel),OR(sel_Customer="All",F1250=sel_Customer),OR(sel_Category="All",G1250=sel_Category),OR(sel_Product="All",H1250=sel_Product),AND(S1250&gt;=m_From,S1250&lt;=m_To)),1,0)</f>
        <v/>
      </c>
      <c r="V1250" s="36">
        <f>IF(AND(OR(sel_Region="All",C1250=sel_Region),OR(sel_Channel="All",E1250=sel_Channel),OR(sel_Customer="All",F1250=sel_Customer),OR(sel_Category="All",G1250=sel_Category),OR(sel_Product="All",H1250=sel_Product),AND(S1250&gt;=m_From,S1250&lt;=m_To)),1,0)</f>
        <v/>
      </c>
      <c r="W1250" s="36">
        <f>IF(AND(OR(sel_Region="All",C1250=sel_Region),OR(sel_Country="All",D1250=sel_Country),OR(sel_Customer="All",F1250=sel_Customer),OR(sel_Category="All",G1250=sel_Category),OR(sel_Product="All",H1250=sel_Product),AND(S1250&gt;=m_From,S1250&lt;=m_To)),1,0)</f>
        <v/>
      </c>
      <c r="X1250" s="36">
        <f>IF(AND(OR(sel_Region="All",C1250=sel_Region),OR(sel_Country="All",D1250=sel_Country),OR(sel_Channel="All",E1250=sel_Channel),OR(sel_Category="All",G1250=sel_Category),OR(sel_Product="All",H1250=sel_Product),AND(S1250&gt;=m_From,S1250&lt;=m_To)),1,0)</f>
        <v/>
      </c>
      <c r="Y1250" s="36">
        <f>IF(AND(OR(sel_Region="All",C1250=sel_Region),OR(sel_Country="All",D1250=sel_Country),OR(sel_Channel="All",E1250=sel_Channel),OR(sel_Customer="All",F1250=sel_Customer),OR(sel_Product="All",H1250=sel_Product),AND(S1250&gt;=m_From,S1250&lt;=m_To)),1,0)</f>
        <v/>
      </c>
      <c r="Z1250" s="36">
        <f>IF(AND(OR(sel_Region="All",C1250=sel_Region),OR(sel_Country="All",D1250=sel_Country),OR(sel_Channel="All",E1250=sel_Channel),OR(sel_Customer="All",F1250=sel_Customer),OR(sel_Category="All",G1250=sel_Category),AND(S1250&gt;=m_From,S1250&lt;=m_To)),1,0)</f>
        <v/>
      </c>
      <c r="AA1250" s="36">
        <f>IF(AND(OR(sel_Region="All",C1250=sel_Region),OR(sel_Country="All",D1250=sel_Country),OR(sel_Channel="All",E1250=sel_Channel),OR(sel_Customer="All",F1250=sel_Customer),OR(sel_Category="All",G1250=sel_Category),OR(sel_Product="All",H1250=sel_Product)),1,0)</f>
        <v/>
      </c>
    </row>
    <row r="1251">
      <c r="A1251" s="36" t="inlineStr">
        <is>
          <t>00906</t>
        </is>
      </c>
      <c r="B1251" s="44" t="n">
        <v>46205</v>
      </c>
      <c r="C1251" s="36" t="inlineStr">
        <is>
          <t>Western Europe</t>
        </is>
      </c>
      <c r="D1251" s="36" t="inlineStr">
        <is>
          <t>United Kingdom</t>
        </is>
      </c>
      <c r="E1251" s="36" t="inlineStr">
        <is>
          <t>Online Store</t>
        </is>
      </c>
      <c r="F1251" s="36" t="inlineStr">
        <is>
          <t>New</t>
        </is>
      </c>
      <c r="G1251" s="36" t="inlineStr">
        <is>
          <t>Cycling</t>
        </is>
      </c>
      <c r="H1251" s="36" t="inlineStr">
        <is>
          <t>Commuter Helmet</t>
        </is>
      </c>
      <c r="I1251" s="36" t="n">
        <v>2</v>
      </c>
      <c r="J1251" s="39" t="n">
        <v>83.29000000000001</v>
      </c>
      <c r="K1251" s="45" t="n">
        <v>0</v>
      </c>
      <c r="L1251" s="39" t="n">
        <v>42.45</v>
      </c>
      <c r="M1251" s="39">
        <f>I1251*J1251*(1-K1251)</f>
        <v/>
      </c>
      <c r="N1251" s="39">
        <f>I1251*L1251</f>
        <v/>
      </c>
      <c r="O1251" s="39">
        <f>M1251-N1251</f>
        <v/>
      </c>
      <c r="P1251" s="38">
        <f>IF(M1251=0,0,O1251/M1251)</f>
        <v/>
      </c>
      <c r="Q1251" s="36">
        <f>YEAR(B1251)</f>
        <v/>
      </c>
      <c r="R1251" s="36">
        <f>"Q"&amp;ROUNDUP(MONTH(B1251)/3,0)</f>
        <v/>
      </c>
      <c r="S1251" s="36">
        <f>MONTH(B1251)</f>
        <v/>
      </c>
      <c r="T1251" s="36">
        <f>TEXT(B1251,"mmm")</f>
        <v/>
      </c>
      <c r="U1251" s="36">
        <f>IF(AND(OR(sel_Region="All",C1251=sel_Region),OR(sel_Country="All",D1251=sel_Country),OR(sel_Channel="All",E1251=sel_Channel),OR(sel_Customer="All",F1251=sel_Customer),OR(sel_Category="All",G1251=sel_Category),OR(sel_Product="All",H1251=sel_Product),AND(S1251&gt;=m_From,S1251&lt;=m_To)),1,0)</f>
        <v/>
      </c>
      <c r="V1251" s="36">
        <f>IF(AND(OR(sel_Region="All",C1251=sel_Region),OR(sel_Channel="All",E1251=sel_Channel),OR(sel_Customer="All",F1251=sel_Customer),OR(sel_Category="All",G1251=sel_Category),OR(sel_Product="All",H1251=sel_Product),AND(S1251&gt;=m_From,S1251&lt;=m_To)),1,0)</f>
        <v/>
      </c>
      <c r="W1251" s="36">
        <f>IF(AND(OR(sel_Region="All",C1251=sel_Region),OR(sel_Country="All",D1251=sel_Country),OR(sel_Customer="All",F1251=sel_Customer),OR(sel_Category="All",G1251=sel_Category),OR(sel_Product="All",H1251=sel_Product),AND(S1251&gt;=m_From,S1251&lt;=m_To)),1,0)</f>
        <v/>
      </c>
      <c r="X1251" s="36">
        <f>IF(AND(OR(sel_Region="All",C1251=sel_Region),OR(sel_Country="All",D1251=sel_Country),OR(sel_Channel="All",E1251=sel_Channel),OR(sel_Category="All",G1251=sel_Category),OR(sel_Product="All",H1251=sel_Product),AND(S1251&gt;=m_From,S1251&lt;=m_To)),1,0)</f>
        <v/>
      </c>
      <c r="Y1251" s="36">
        <f>IF(AND(OR(sel_Region="All",C1251=sel_Region),OR(sel_Country="All",D1251=sel_Country),OR(sel_Channel="All",E1251=sel_Channel),OR(sel_Customer="All",F1251=sel_Customer),OR(sel_Product="All",H1251=sel_Product),AND(S1251&gt;=m_From,S1251&lt;=m_To)),1,0)</f>
        <v/>
      </c>
      <c r="Z1251" s="36">
        <f>IF(AND(OR(sel_Region="All",C1251=sel_Region),OR(sel_Country="All",D1251=sel_Country),OR(sel_Channel="All",E1251=sel_Channel),OR(sel_Customer="All",F1251=sel_Customer),OR(sel_Category="All",G1251=sel_Category),AND(S1251&gt;=m_From,S1251&lt;=m_To)),1,0)</f>
        <v/>
      </c>
      <c r="AA1251" s="36">
        <f>IF(AND(OR(sel_Region="All",C1251=sel_Region),OR(sel_Country="All",D1251=sel_Country),OR(sel_Channel="All",E1251=sel_Channel),OR(sel_Customer="All",F1251=sel_Customer),OR(sel_Category="All",G1251=sel_Category),OR(sel_Product="All",H1251=sel_Product)),1,0)</f>
        <v/>
      </c>
    </row>
    <row r="1252">
      <c r="A1252" s="36" t="inlineStr">
        <is>
          <t>01531</t>
        </is>
      </c>
      <c r="B1252" s="44" t="n">
        <v>46205</v>
      </c>
      <c r="C1252" s="36" t="inlineStr">
        <is>
          <t>Northern Europe</t>
        </is>
      </c>
      <c r="D1252" s="36" t="inlineStr">
        <is>
          <t>Norway</t>
        </is>
      </c>
      <c r="E1252" s="36" t="inlineStr">
        <is>
          <t>Online Store</t>
        </is>
      </c>
      <c r="F1252" s="36" t="inlineStr">
        <is>
          <t>New</t>
        </is>
      </c>
      <c r="G1252" s="36" t="inlineStr">
        <is>
          <t>Travel</t>
        </is>
      </c>
      <c r="H1252" s="36" t="inlineStr">
        <is>
          <t>Carry-On Duffel</t>
        </is>
      </c>
      <c r="I1252" s="36" t="n">
        <v>2</v>
      </c>
      <c r="J1252" s="39" t="n">
        <v>136.73</v>
      </c>
      <c r="K1252" s="45" t="n">
        <v>0</v>
      </c>
      <c r="L1252" s="39" t="n">
        <v>66.03</v>
      </c>
      <c r="M1252" s="39">
        <f>I1252*J1252*(1-K1252)</f>
        <v/>
      </c>
      <c r="N1252" s="39">
        <f>I1252*L1252</f>
        <v/>
      </c>
      <c r="O1252" s="39">
        <f>M1252-N1252</f>
        <v/>
      </c>
      <c r="P1252" s="38">
        <f>IF(M1252=0,0,O1252/M1252)</f>
        <v/>
      </c>
      <c r="Q1252" s="36">
        <f>YEAR(B1252)</f>
        <v/>
      </c>
      <c r="R1252" s="36">
        <f>"Q"&amp;ROUNDUP(MONTH(B1252)/3,0)</f>
        <v/>
      </c>
      <c r="S1252" s="36">
        <f>MONTH(B1252)</f>
        <v/>
      </c>
      <c r="T1252" s="36">
        <f>TEXT(B1252,"mmm")</f>
        <v/>
      </c>
      <c r="U1252" s="36">
        <f>IF(AND(OR(sel_Region="All",C1252=sel_Region),OR(sel_Country="All",D1252=sel_Country),OR(sel_Channel="All",E1252=sel_Channel),OR(sel_Customer="All",F1252=sel_Customer),OR(sel_Category="All",G1252=sel_Category),OR(sel_Product="All",H1252=sel_Product),AND(S1252&gt;=m_From,S1252&lt;=m_To)),1,0)</f>
        <v/>
      </c>
      <c r="V1252" s="36">
        <f>IF(AND(OR(sel_Region="All",C1252=sel_Region),OR(sel_Channel="All",E1252=sel_Channel),OR(sel_Customer="All",F1252=sel_Customer),OR(sel_Category="All",G1252=sel_Category),OR(sel_Product="All",H1252=sel_Product),AND(S1252&gt;=m_From,S1252&lt;=m_To)),1,0)</f>
        <v/>
      </c>
      <c r="W1252" s="36">
        <f>IF(AND(OR(sel_Region="All",C1252=sel_Region),OR(sel_Country="All",D1252=sel_Country),OR(sel_Customer="All",F1252=sel_Customer),OR(sel_Category="All",G1252=sel_Category),OR(sel_Product="All",H1252=sel_Product),AND(S1252&gt;=m_From,S1252&lt;=m_To)),1,0)</f>
        <v/>
      </c>
      <c r="X1252" s="36">
        <f>IF(AND(OR(sel_Region="All",C1252=sel_Region),OR(sel_Country="All",D1252=sel_Country),OR(sel_Channel="All",E1252=sel_Channel),OR(sel_Category="All",G1252=sel_Category),OR(sel_Product="All",H1252=sel_Product),AND(S1252&gt;=m_From,S1252&lt;=m_To)),1,0)</f>
        <v/>
      </c>
      <c r="Y1252" s="36">
        <f>IF(AND(OR(sel_Region="All",C1252=sel_Region),OR(sel_Country="All",D1252=sel_Country),OR(sel_Channel="All",E1252=sel_Channel),OR(sel_Customer="All",F1252=sel_Customer),OR(sel_Product="All",H1252=sel_Product),AND(S1252&gt;=m_From,S1252&lt;=m_To)),1,0)</f>
        <v/>
      </c>
      <c r="Z1252" s="36">
        <f>IF(AND(OR(sel_Region="All",C1252=sel_Region),OR(sel_Country="All",D1252=sel_Country),OR(sel_Channel="All",E1252=sel_Channel),OR(sel_Customer="All",F1252=sel_Customer),OR(sel_Category="All",G1252=sel_Category),AND(S1252&gt;=m_From,S1252&lt;=m_To)),1,0)</f>
        <v/>
      </c>
      <c r="AA1252" s="36">
        <f>IF(AND(OR(sel_Region="All",C1252=sel_Region),OR(sel_Country="All",D1252=sel_Country),OR(sel_Channel="All",E1252=sel_Channel),OR(sel_Customer="All",F1252=sel_Customer),OR(sel_Category="All",G1252=sel_Category),OR(sel_Product="All",H1252=sel_Product)),1,0)</f>
        <v/>
      </c>
    </row>
    <row r="1253">
      <c r="A1253" s="36" t="inlineStr">
        <is>
          <t>01683</t>
        </is>
      </c>
      <c r="B1253" s="44" t="n">
        <v>46205</v>
      </c>
      <c r="C1253" s="36" t="inlineStr">
        <is>
          <t>Northern Europe</t>
        </is>
      </c>
      <c r="D1253" s="36" t="inlineStr">
        <is>
          <t>Sweden</t>
        </is>
      </c>
      <c r="E1253" s="36" t="inlineStr">
        <is>
          <t>Marketplace</t>
        </is>
      </c>
      <c r="F1253" s="36" t="inlineStr">
        <is>
          <t>Returning</t>
        </is>
      </c>
      <c r="G1253" s="36" t="inlineStr">
        <is>
          <t>Hiking</t>
        </is>
      </c>
      <c r="H1253" s="36" t="inlineStr">
        <is>
          <t>Summit Backpack 45L</t>
        </is>
      </c>
      <c r="I1253" s="36" t="n">
        <v>2</v>
      </c>
      <c r="J1253" s="39" t="n">
        <v>152.44</v>
      </c>
      <c r="K1253" s="45" t="n">
        <v>0</v>
      </c>
      <c r="L1253" s="39" t="n">
        <v>81.23</v>
      </c>
      <c r="M1253" s="39">
        <f>I1253*J1253*(1-K1253)</f>
        <v/>
      </c>
      <c r="N1253" s="39">
        <f>I1253*L1253</f>
        <v/>
      </c>
      <c r="O1253" s="39">
        <f>M1253-N1253</f>
        <v/>
      </c>
      <c r="P1253" s="38">
        <f>IF(M1253=0,0,O1253/M1253)</f>
        <v/>
      </c>
      <c r="Q1253" s="36">
        <f>YEAR(B1253)</f>
        <v/>
      </c>
      <c r="R1253" s="36">
        <f>"Q"&amp;ROUNDUP(MONTH(B1253)/3,0)</f>
        <v/>
      </c>
      <c r="S1253" s="36">
        <f>MONTH(B1253)</f>
        <v/>
      </c>
      <c r="T1253" s="36">
        <f>TEXT(B1253,"mmm")</f>
        <v/>
      </c>
      <c r="U1253" s="36">
        <f>IF(AND(OR(sel_Region="All",C1253=sel_Region),OR(sel_Country="All",D1253=sel_Country),OR(sel_Channel="All",E1253=sel_Channel),OR(sel_Customer="All",F1253=sel_Customer),OR(sel_Category="All",G1253=sel_Category),OR(sel_Product="All",H1253=sel_Product),AND(S1253&gt;=m_From,S1253&lt;=m_To)),1,0)</f>
        <v/>
      </c>
      <c r="V1253" s="36">
        <f>IF(AND(OR(sel_Region="All",C1253=sel_Region),OR(sel_Channel="All",E1253=sel_Channel),OR(sel_Customer="All",F1253=sel_Customer),OR(sel_Category="All",G1253=sel_Category),OR(sel_Product="All",H1253=sel_Product),AND(S1253&gt;=m_From,S1253&lt;=m_To)),1,0)</f>
        <v/>
      </c>
      <c r="W1253" s="36">
        <f>IF(AND(OR(sel_Region="All",C1253=sel_Region),OR(sel_Country="All",D1253=sel_Country),OR(sel_Customer="All",F1253=sel_Customer),OR(sel_Category="All",G1253=sel_Category),OR(sel_Product="All",H1253=sel_Product),AND(S1253&gt;=m_From,S1253&lt;=m_To)),1,0)</f>
        <v/>
      </c>
      <c r="X1253" s="36">
        <f>IF(AND(OR(sel_Region="All",C1253=sel_Region),OR(sel_Country="All",D1253=sel_Country),OR(sel_Channel="All",E1253=sel_Channel),OR(sel_Category="All",G1253=sel_Category),OR(sel_Product="All",H1253=sel_Product),AND(S1253&gt;=m_From,S1253&lt;=m_To)),1,0)</f>
        <v/>
      </c>
      <c r="Y1253" s="36">
        <f>IF(AND(OR(sel_Region="All",C1253=sel_Region),OR(sel_Country="All",D1253=sel_Country),OR(sel_Channel="All",E1253=sel_Channel),OR(sel_Customer="All",F1253=sel_Customer),OR(sel_Product="All",H1253=sel_Product),AND(S1253&gt;=m_From,S1253&lt;=m_To)),1,0)</f>
        <v/>
      </c>
      <c r="Z1253" s="36">
        <f>IF(AND(OR(sel_Region="All",C1253=sel_Region),OR(sel_Country="All",D1253=sel_Country),OR(sel_Channel="All",E1253=sel_Channel),OR(sel_Customer="All",F1253=sel_Customer),OR(sel_Category="All",G1253=sel_Category),AND(S1253&gt;=m_From,S1253&lt;=m_To)),1,0)</f>
        <v/>
      </c>
      <c r="AA1253" s="36">
        <f>IF(AND(OR(sel_Region="All",C1253=sel_Region),OR(sel_Country="All",D1253=sel_Country),OR(sel_Channel="All",E1253=sel_Channel),OR(sel_Customer="All",F1253=sel_Customer),OR(sel_Category="All",G1253=sel_Category),OR(sel_Product="All",H1253=sel_Product)),1,0)</f>
        <v/>
      </c>
    </row>
    <row r="1254">
      <c r="A1254" s="36" t="inlineStr">
        <is>
          <t>02363</t>
        </is>
      </c>
      <c r="B1254" s="44" t="n">
        <v>46205</v>
      </c>
      <c r="C1254" s="36" t="inlineStr">
        <is>
          <t>Western Europe</t>
        </is>
      </c>
      <c r="D1254" s="36" t="inlineStr">
        <is>
          <t>Netherlands</t>
        </is>
      </c>
      <c r="E1254" s="36" t="inlineStr">
        <is>
          <t>Online Store</t>
        </is>
      </c>
      <c r="F1254" s="36" t="inlineStr">
        <is>
          <t>New</t>
        </is>
      </c>
      <c r="G1254" s="36" t="inlineStr">
        <is>
          <t>Hiking</t>
        </is>
      </c>
      <c r="H1254" s="36" t="inlineStr">
        <is>
          <t>Trekking Poles</t>
        </is>
      </c>
      <c r="I1254" s="36" t="n">
        <v>2</v>
      </c>
      <c r="J1254" s="39" t="n">
        <v>71.28</v>
      </c>
      <c r="K1254" s="45" t="n">
        <v>0.1</v>
      </c>
      <c r="L1254" s="39" t="n">
        <v>32.67</v>
      </c>
      <c r="M1254" s="39">
        <f>I1254*J1254*(1-K1254)</f>
        <v/>
      </c>
      <c r="N1254" s="39">
        <f>I1254*L1254</f>
        <v/>
      </c>
      <c r="O1254" s="39">
        <f>M1254-N1254</f>
        <v/>
      </c>
      <c r="P1254" s="38">
        <f>IF(M1254=0,0,O1254/M1254)</f>
        <v/>
      </c>
      <c r="Q1254" s="36">
        <f>YEAR(B1254)</f>
        <v/>
      </c>
      <c r="R1254" s="36">
        <f>"Q"&amp;ROUNDUP(MONTH(B1254)/3,0)</f>
        <v/>
      </c>
      <c r="S1254" s="36">
        <f>MONTH(B1254)</f>
        <v/>
      </c>
      <c r="T1254" s="36">
        <f>TEXT(B1254,"mmm")</f>
        <v/>
      </c>
      <c r="U1254" s="36">
        <f>IF(AND(OR(sel_Region="All",C1254=sel_Region),OR(sel_Country="All",D1254=sel_Country),OR(sel_Channel="All",E1254=sel_Channel),OR(sel_Customer="All",F1254=sel_Customer),OR(sel_Category="All",G1254=sel_Category),OR(sel_Product="All",H1254=sel_Product),AND(S1254&gt;=m_From,S1254&lt;=m_To)),1,0)</f>
        <v/>
      </c>
      <c r="V1254" s="36">
        <f>IF(AND(OR(sel_Region="All",C1254=sel_Region),OR(sel_Channel="All",E1254=sel_Channel),OR(sel_Customer="All",F1254=sel_Customer),OR(sel_Category="All",G1254=sel_Category),OR(sel_Product="All",H1254=sel_Product),AND(S1254&gt;=m_From,S1254&lt;=m_To)),1,0)</f>
        <v/>
      </c>
      <c r="W1254" s="36">
        <f>IF(AND(OR(sel_Region="All",C1254=sel_Region),OR(sel_Country="All",D1254=sel_Country),OR(sel_Customer="All",F1254=sel_Customer),OR(sel_Category="All",G1254=sel_Category),OR(sel_Product="All",H1254=sel_Product),AND(S1254&gt;=m_From,S1254&lt;=m_To)),1,0)</f>
        <v/>
      </c>
      <c r="X1254" s="36">
        <f>IF(AND(OR(sel_Region="All",C1254=sel_Region),OR(sel_Country="All",D1254=sel_Country),OR(sel_Channel="All",E1254=sel_Channel),OR(sel_Category="All",G1254=sel_Category),OR(sel_Product="All",H1254=sel_Product),AND(S1254&gt;=m_From,S1254&lt;=m_To)),1,0)</f>
        <v/>
      </c>
      <c r="Y1254" s="36">
        <f>IF(AND(OR(sel_Region="All",C1254=sel_Region),OR(sel_Country="All",D1254=sel_Country),OR(sel_Channel="All",E1254=sel_Channel),OR(sel_Customer="All",F1254=sel_Customer),OR(sel_Product="All",H1254=sel_Product),AND(S1254&gt;=m_From,S1254&lt;=m_To)),1,0)</f>
        <v/>
      </c>
      <c r="Z1254" s="36">
        <f>IF(AND(OR(sel_Region="All",C1254=sel_Region),OR(sel_Country="All",D1254=sel_Country),OR(sel_Channel="All",E1254=sel_Channel),OR(sel_Customer="All",F1254=sel_Customer),OR(sel_Category="All",G1254=sel_Category),AND(S1254&gt;=m_From,S1254&lt;=m_To)),1,0)</f>
        <v/>
      </c>
      <c r="AA1254" s="36">
        <f>IF(AND(OR(sel_Region="All",C1254=sel_Region),OR(sel_Country="All",D1254=sel_Country),OR(sel_Channel="All",E1254=sel_Channel),OR(sel_Customer="All",F1254=sel_Customer),OR(sel_Category="All",G1254=sel_Category),OR(sel_Product="All",H1254=sel_Product)),1,0)</f>
        <v/>
      </c>
    </row>
    <row r="1255">
      <c r="A1255" s="36" t="inlineStr">
        <is>
          <t>03858</t>
        </is>
      </c>
      <c r="B1255" s="44" t="n">
        <v>46205</v>
      </c>
      <c r="C1255" s="36" t="inlineStr">
        <is>
          <t>Northern Europe</t>
        </is>
      </c>
      <c r="D1255" s="36" t="inlineStr">
        <is>
          <t>Ireland</t>
        </is>
      </c>
      <c r="E1255" s="36" t="inlineStr">
        <is>
          <t>Marketplace</t>
        </is>
      </c>
      <c r="F1255" s="36" t="inlineStr">
        <is>
          <t>Returning</t>
        </is>
      </c>
      <c r="G1255" s="36" t="inlineStr">
        <is>
          <t>Cycling</t>
        </is>
      </c>
      <c r="H1255" s="36" t="inlineStr">
        <is>
          <t>Commuter Helmet</t>
        </is>
      </c>
      <c r="I1255" s="36" t="n">
        <v>1</v>
      </c>
      <c r="J1255" s="39" t="n">
        <v>80.29000000000001</v>
      </c>
      <c r="K1255" s="45" t="n">
        <v>0.1</v>
      </c>
      <c r="L1255" s="39" t="n">
        <v>43.47</v>
      </c>
      <c r="M1255" s="39">
        <f>I1255*J1255*(1-K1255)</f>
        <v/>
      </c>
      <c r="N1255" s="39">
        <f>I1255*L1255</f>
        <v/>
      </c>
      <c r="O1255" s="39">
        <f>M1255-N1255</f>
        <v/>
      </c>
      <c r="P1255" s="38">
        <f>IF(M1255=0,0,O1255/M1255)</f>
        <v/>
      </c>
      <c r="Q1255" s="36">
        <f>YEAR(B1255)</f>
        <v/>
      </c>
      <c r="R1255" s="36">
        <f>"Q"&amp;ROUNDUP(MONTH(B1255)/3,0)</f>
        <v/>
      </c>
      <c r="S1255" s="36">
        <f>MONTH(B1255)</f>
        <v/>
      </c>
      <c r="T1255" s="36">
        <f>TEXT(B1255,"mmm")</f>
        <v/>
      </c>
      <c r="U1255" s="36">
        <f>IF(AND(OR(sel_Region="All",C1255=sel_Region),OR(sel_Country="All",D1255=sel_Country),OR(sel_Channel="All",E1255=sel_Channel),OR(sel_Customer="All",F1255=sel_Customer),OR(sel_Category="All",G1255=sel_Category),OR(sel_Product="All",H1255=sel_Product),AND(S1255&gt;=m_From,S1255&lt;=m_To)),1,0)</f>
        <v/>
      </c>
      <c r="V1255" s="36">
        <f>IF(AND(OR(sel_Region="All",C1255=sel_Region),OR(sel_Channel="All",E1255=sel_Channel),OR(sel_Customer="All",F1255=sel_Customer),OR(sel_Category="All",G1255=sel_Category),OR(sel_Product="All",H1255=sel_Product),AND(S1255&gt;=m_From,S1255&lt;=m_To)),1,0)</f>
        <v/>
      </c>
      <c r="W1255" s="36">
        <f>IF(AND(OR(sel_Region="All",C1255=sel_Region),OR(sel_Country="All",D1255=sel_Country),OR(sel_Customer="All",F1255=sel_Customer),OR(sel_Category="All",G1255=sel_Category),OR(sel_Product="All",H1255=sel_Product),AND(S1255&gt;=m_From,S1255&lt;=m_To)),1,0)</f>
        <v/>
      </c>
      <c r="X1255" s="36">
        <f>IF(AND(OR(sel_Region="All",C1255=sel_Region),OR(sel_Country="All",D1255=sel_Country),OR(sel_Channel="All",E1255=sel_Channel),OR(sel_Category="All",G1255=sel_Category),OR(sel_Product="All",H1255=sel_Product),AND(S1255&gt;=m_From,S1255&lt;=m_To)),1,0)</f>
        <v/>
      </c>
      <c r="Y1255" s="36">
        <f>IF(AND(OR(sel_Region="All",C1255=sel_Region),OR(sel_Country="All",D1255=sel_Country),OR(sel_Channel="All",E1255=sel_Channel),OR(sel_Customer="All",F1255=sel_Customer),OR(sel_Product="All",H1255=sel_Product),AND(S1255&gt;=m_From,S1255&lt;=m_To)),1,0)</f>
        <v/>
      </c>
      <c r="Z1255" s="36">
        <f>IF(AND(OR(sel_Region="All",C1255=sel_Region),OR(sel_Country="All",D1255=sel_Country),OR(sel_Channel="All",E1255=sel_Channel),OR(sel_Customer="All",F1255=sel_Customer),OR(sel_Category="All",G1255=sel_Category),AND(S1255&gt;=m_From,S1255&lt;=m_To)),1,0)</f>
        <v/>
      </c>
      <c r="AA1255" s="36">
        <f>IF(AND(OR(sel_Region="All",C1255=sel_Region),OR(sel_Country="All",D1255=sel_Country),OR(sel_Channel="All",E1255=sel_Channel),OR(sel_Customer="All",F1255=sel_Customer),OR(sel_Category="All",G1255=sel_Category),OR(sel_Product="All",H1255=sel_Product)),1,0)</f>
        <v/>
      </c>
    </row>
    <row r="1256">
      <c r="A1256" s="36" t="inlineStr">
        <is>
          <t>04233</t>
        </is>
      </c>
      <c r="B1256" s="44" t="n">
        <v>46205</v>
      </c>
      <c r="C1256" s="36" t="inlineStr">
        <is>
          <t>Central Europe</t>
        </is>
      </c>
      <c r="D1256" s="36" t="inlineStr">
        <is>
          <t>Austria</t>
        </is>
      </c>
      <c r="E1256" s="36" t="inlineStr">
        <is>
          <t>Marketplace</t>
        </is>
      </c>
      <c r="F1256" s="36" t="inlineStr">
        <is>
          <t>New</t>
        </is>
      </c>
      <c r="G1256" s="36" t="inlineStr">
        <is>
          <t>Hiking</t>
        </is>
      </c>
      <c r="H1256" s="36" t="inlineStr">
        <is>
          <t>Trail Boots</t>
        </is>
      </c>
      <c r="I1256" s="36" t="n">
        <v>1</v>
      </c>
      <c r="J1256" s="39" t="n">
        <v>142.38</v>
      </c>
      <c r="K1256" s="45" t="n">
        <v>0.05</v>
      </c>
      <c r="L1256" s="39" t="n">
        <v>77.17</v>
      </c>
      <c r="M1256" s="39">
        <f>I1256*J1256*(1-K1256)</f>
        <v/>
      </c>
      <c r="N1256" s="39">
        <f>I1256*L1256</f>
        <v/>
      </c>
      <c r="O1256" s="39">
        <f>M1256-N1256</f>
        <v/>
      </c>
      <c r="P1256" s="38">
        <f>IF(M1256=0,0,O1256/M1256)</f>
        <v/>
      </c>
      <c r="Q1256" s="36">
        <f>YEAR(B1256)</f>
        <v/>
      </c>
      <c r="R1256" s="36">
        <f>"Q"&amp;ROUNDUP(MONTH(B1256)/3,0)</f>
        <v/>
      </c>
      <c r="S1256" s="36">
        <f>MONTH(B1256)</f>
        <v/>
      </c>
      <c r="T1256" s="36">
        <f>TEXT(B1256,"mmm")</f>
        <v/>
      </c>
      <c r="U1256" s="36">
        <f>IF(AND(OR(sel_Region="All",C1256=sel_Region),OR(sel_Country="All",D1256=sel_Country),OR(sel_Channel="All",E1256=sel_Channel),OR(sel_Customer="All",F1256=sel_Customer),OR(sel_Category="All",G1256=sel_Category),OR(sel_Product="All",H1256=sel_Product),AND(S1256&gt;=m_From,S1256&lt;=m_To)),1,0)</f>
        <v/>
      </c>
      <c r="V1256" s="36">
        <f>IF(AND(OR(sel_Region="All",C1256=sel_Region),OR(sel_Channel="All",E1256=sel_Channel),OR(sel_Customer="All",F1256=sel_Customer),OR(sel_Category="All",G1256=sel_Category),OR(sel_Product="All",H1256=sel_Product),AND(S1256&gt;=m_From,S1256&lt;=m_To)),1,0)</f>
        <v/>
      </c>
      <c r="W1256" s="36">
        <f>IF(AND(OR(sel_Region="All",C1256=sel_Region),OR(sel_Country="All",D1256=sel_Country),OR(sel_Customer="All",F1256=sel_Customer),OR(sel_Category="All",G1256=sel_Category),OR(sel_Product="All",H1256=sel_Product),AND(S1256&gt;=m_From,S1256&lt;=m_To)),1,0)</f>
        <v/>
      </c>
      <c r="X1256" s="36">
        <f>IF(AND(OR(sel_Region="All",C1256=sel_Region),OR(sel_Country="All",D1256=sel_Country),OR(sel_Channel="All",E1256=sel_Channel),OR(sel_Category="All",G1256=sel_Category),OR(sel_Product="All",H1256=sel_Product),AND(S1256&gt;=m_From,S1256&lt;=m_To)),1,0)</f>
        <v/>
      </c>
      <c r="Y1256" s="36">
        <f>IF(AND(OR(sel_Region="All",C1256=sel_Region),OR(sel_Country="All",D1256=sel_Country),OR(sel_Channel="All",E1256=sel_Channel),OR(sel_Customer="All",F1256=sel_Customer),OR(sel_Product="All",H1256=sel_Product),AND(S1256&gt;=m_From,S1256&lt;=m_To)),1,0)</f>
        <v/>
      </c>
      <c r="Z1256" s="36">
        <f>IF(AND(OR(sel_Region="All",C1256=sel_Region),OR(sel_Country="All",D1256=sel_Country),OR(sel_Channel="All",E1256=sel_Channel),OR(sel_Customer="All",F1256=sel_Customer),OR(sel_Category="All",G1256=sel_Category),AND(S1256&gt;=m_From,S1256&lt;=m_To)),1,0)</f>
        <v/>
      </c>
      <c r="AA1256" s="36">
        <f>IF(AND(OR(sel_Region="All",C1256=sel_Region),OR(sel_Country="All",D1256=sel_Country),OR(sel_Channel="All",E1256=sel_Channel),OR(sel_Customer="All",F1256=sel_Customer),OR(sel_Category="All",G1256=sel_Category),OR(sel_Product="All",H1256=sel_Product)),1,0)</f>
        <v/>
      </c>
    </row>
    <row r="1257">
      <c r="A1257" s="36" t="inlineStr">
        <is>
          <t>05071</t>
        </is>
      </c>
      <c r="B1257" s="44" t="n">
        <v>46205</v>
      </c>
      <c r="C1257" s="36" t="inlineStr">
        <is>
          <t>Western Europe</t>
        </is>
      </c>
      <c r="D1257" s="36" t="inlineStr">
        <is>
          <t>Netherlands</t>
        </is>
      </c>
      <c r="E1257" s="36" t="inlineStr">
        <is>
          <t>Online Store</t>
        </is>
      </c>
      <c r="F1257" s="36" t="inlineStr">
        <is>
          <t>New</t>
        </is>
      </c>
      <c r="G1257" s="36" t="inlineStr">
        <is>
          <t>Hiking</t>
        </is>
      </c>
      <c r="H1257" s="36" t="inlineStr">
        <is>
          <t>Hiking Daypack 20L</t>
        </is>
      </c>
      <c r="I1257" s="36" t="n">
        <v>3</v>
      </c>
      <c r="J1257" s="39" t="n">
        <v>91.47</v>
      </c>
      <c r="K1257" s="45" t="n">
        <v>0.05</v>
      </c>
      <c r="L1257" s="39" t="n">
        <v>45.6</v>
      </c>
      <c r="M1257" s="39">
        <f>I1257*J1257*(1-K1257)</f>
        <v/>
      </c>
      <c r="N1257" s="39">
        <f>I1257*L1257</f>
        <v/>
      </c>
      <c r="O1257" s="39">
        <f>M1257-N1257</f>
        <v/>
      </c>
      <c r="P1257" s="38">
        <f>IF(M1257=0,0,O1257/M1257)</f>
        <v/>
      </c>
      <c r="Q1257" s="36">
        <f>YEAR(B1257)</f>
        <v/>
      </c>
      <c r="R1257" s="36">
        <f>"Q"&amp;ROUNDUP(MONTH(B1257)/3,0)</f>
        <v/>
      </c>
      <c r="S1257" s="36">
        <f>MONTH(B1257)</f>
        <v/>
      </c>
      <c r="T1257" s="36">
        <f>TEXT(B1257,"mmm")</f>
        <v/>
      </c>
      <c r="U1257" s="36">
        <f>IF(AND(OR(sel_Region="All",C1257=sel_Region),OR(sel_Country="All",D1257=sel_Country),OR(sel_Channel="All",E1257=sel_Channel),OR(sel_Customer="All",F1257=sel_Customer),OR(sel_Category="All",G1257=sel_Category),OR(sel_Product="All",H1257=sel_Product),AND(S1257&gt;=m_From,S1257&lt;=m_To)),1,0)</f>
        <v/>
      </c>
      <c r="V1257" s="36">
        <f>IF(AND(OR(sel_Region="All",C1257=sel_Region),OR(sel_Channel="All",E1257=sel_Channel),OR(sel_Customer="All",F1257=sel_Customer),OR(sel_Category="All",G1257=sel_Category),OR(sel_Product="All",H1257=sel_Product),AND(S1257&gt;=m_From,S1257&lt;=m_To)),1,0)</f>
        <v/>
      </c>
      <c r="W1257" s="36">
        <f>IF(AND(OR(sel_Region="All",C1257=sel_Region),OR(sel_Country="All",D1257=sel_Country),OR(sel_Customer="All",F1257=sel_Customer),OR(sel_Category="All",G1257=sel_Category),OR(sel_Product="All",H1257=sel_Product),AND(S1257&gt;=m_From,S1257&lt;=m_To)),1,0)</f>
        <v/>
      </c>
      <c r="X1257" s="36">
        <f>IF(AND(OR(sel_Region="All",C1257=sel_Region),OR(sel_Country="All",D1257=sel_Country),OR(sel_Channel="All",E1257=sel_Channel),OR(sel_Category="All",G1257=sel_Category),OR(sel_Product="All",H1257=sel_Product),AND(S1257&gt;=m_From,S1257&lt;=m_To)),1,0)</f>
        <v/>
      </c>
      <c r="Y1257" s="36">
        <f>IF(AND(OR(sel_Region="All",C1257=sel_Region),OR(sel_Country="All",D1257=sel_Country),OR(sel_Channel="All",E1257=sel_Channel),OR(sel_Customer="All",F1257=sel_Customer),OR(sel_Product="All",H1257=sel_Product),AND(S1257&gt;=m_From,S1257&lt;=m_To)),1,0)</f>
        <v/>
      </c>
      <c r="Z1257" s="36">
        <f>IF(AND(OR(sel_Region="All",C1257=sel_Region),OR(sel_Country="All",D1257=sel_Country),OR(sel_Channel="All",E1257=sel_Channel),OR(sel_Customer="All",F1257=sel_Customer),OR(sel_Category="All",G1257=sel_Category),AND(S1257&gt;=m_From,S1257&lt;=m_To)),1,0)</f>
        <v/>
      </c>
      <c r="AA1257" s="36">
        <f>IF(AND(OR(sel_Region="All",C1257=sel_Region),OR(sel_Country="All",D1257=sel_Country),OR(sel_Channel="All",E1257=sel_Channel),OR(sel_Customer="All",F1257=sel_Customer),OR(sel_Category="All",G1257=sel_Category),OR(sel_Product="All",H1257=sel_Product)),1,0)</f>
        <v/>
      </c>
    </row>
    <row r="1258">
      <c r="A1258" s="36" t="inlineStr">
        <is>
          <t>05174</t>
        </is>
      </c>
      <c r="B1258" s="44" t="n">
        <v>46205</v>
      </c>
      <c r="C1258" s="36" t="inlineStr">
        <is>
          <t>Central Europe</t>
        </is>
      </c>
      <c r="D1258" s="36" t="inlineStr">
        <is>
          <t>Switzerland</t>
        </is>
      </c>
      <c r="E1258" s="36" t="inlineStr">
        <is>
          <t>Retail Partners</t>
        </is>
      </c>
      <c r="F1258" s="36" t="inlineStr">
        <is>
          <t>New</t>
        </is>
      </c>
      <c r="G1258" s="36" t="inlineStr">
        <is>
          <t>Travel</t>
        </is>
      </c>
      <c r="H1258" s="36" t="inlineStr">
        <is>
          <t>Packing Cube Set</t>
        </is>
      </c>
      <c r="I1258" s="36" t="n">
        <v>1</v>
      </c>
      <c r="J1258" s="39" t="n">
        <v>45.92</v>
      </c>
      <c r="K1258" s="45" t="n">
        <v>0.05</v>
      </c>
      <c r="L1258" s="39" t="n">
        <v>17.91</v>
      </c>
      <c r="M1258" s="39">
        <f>I1258*J1258*(1-K1258)</f>
        <v/>
      </c>
      <c r="N1258" s="39">
        <f>I1258*L1258</f>
        <v/>
      </c>
      <c r="O1258" s="39">
        <f>M1258-N1258</f>
        <v/>
      </c>
      <c r="P1258" s="38">
        <f>IF(M1258=0,0,O1258/M1258)</f>
        <v/>
      </c>
      <c r="Q1258" s="36">
        <f>YEAR(B1258)</f>
        <v/>
      </c>
      <c r="R1258" s="36">
        <f>"Q"&amp;ROUNDUP(MONTH(B1258)/3,0)</f>
        <v/>
      </c>
      <c r="S1258" s="36">
        <f>MONTH(B1258)</f>
        <v/>
      </c>
      <c r="T1258" s="36">
        <f>TEXT(B1258,"mmm")</f>
        <v/>
      </c>
      <c r="U1258" s="36">
        <f>IF(AND(OR(sel_Region="All",C1258=sel_Region),OR(sel_Country="All",D1258=sel_Country),OR(sel_Channel="All",E1258=sel_Channel),OR(sel_Customer="All",F1258=sel_Customer),OR(sel_Category="All",G1258=sel_Category),OR(sel_Product="All",H1258=sel_Product),AND(S1258&gt;=m_From,S1258&lt;=m_To)),1,0)</f>
        <v/>
      </c>
      <c r="V1258" s="36">
        <f>IF(AND(OR(sel_Region="All",C1258=sel_Region),OR(sel_Channel="All",E1258=sel_Channel),OR(sel_Customer="All",F1258=sel_Customer),OR(sel_Category="All",G1258=sel_Category),OR(sel_Product="All",H1258=sel_Product),AND(S1258&gt;=m_From,S1258&lt;=m_To)),1,0)</f>
        <v/>
      </c>
      <c r="W1258" s="36">
        <f>IF(AND(OR(sel_Region="All",C1258=sel_Region),OR(sel_Country="All",D1258=sel_Country),OR(sel_Customer="All",F1258=sel_Customer),OR(sel_Category="All",G1258=sel_Category),OR(sel_Product="All",H1258=sel_Product),AND(S1258&gt;=m_From,S1258&lt;=m_To)),1,0)</f>
        <v/>
      </c>
      <c r="X1258" s="36">
        <f>IF(AND(OR(sel_Region="All",C1258=sel_Region),OR(sel_Country="All",D1258=sel_Country),OR(sel_Channel="All",E1258=sel_Channel),OR(sel_Category="All",G1258=sel_Category),OR(sel_Product="All",H1258=sel_Product),AND(S1258&gt;=m_From,S1258&lt;=m_To)),1,0)</f>
        <v/>
      </c>
      <c r="Y1258" s="36">
        <f>IF(AND(OR(sel_Region="All",C1258=sel_Region),OR(sel_Country="All",D1258=sel_Country),OR(sel_Channel="All",E1258=sel_Channel),OR(sel_Customer="All",F1258=sel_Customer),OR(sel_Product="All",H1258=sel_Product),AND(S1258&gt;=m_From,S1258&lt;=m_To)),1,0)</f>
        <v/>
      </c>
      <c r="Z1258" s="36">
        <f>IF(AND(OR(sel_Region="All",C1258=sel_Region),OR(sel_Country="All",D1258=sel_Country),OR(sel_Channel="All",E1258=sel_Channel),OR(sel_Customer="All",F1258=sel_Customer),OR(sel_Category="All",G1258=sel_Category),AND(S1258&gt;=m_From,S1258&lt;=m_To)),1,0)</f>
        <v/>
      </c>
      <c r="AA1258" s="36">
        <f>IF(AND(OR(sel_Region="All",C1258=sel_Region),OR(sel_Country="All",D1258=sel_Country),OR(sel_Channel="All",E1258=sel_Channel),OR(sel_Customer="All",F1258=sel_Customer),OR(sel_Category="All",G1258=sel_Category),OR(sel_Product="All",H1258=sel_Product)),1,0)</f>
        <v/>
      </c>
    </row>
    <row r="1259">
      <c r="A1259" s="36" t="inlineStr">
        <is>
          <t>00727</t>
        </is>
      </c>
      <c r="B1259" s="44" t="n">
        <v>46206</v>
      </c>
      <c r="C1259" s="36" t="inlineStr">
        <is>
          <t>Western Europe</t>
        </is>
      </c>
      <c r="D1259" s="36" t="inlineStr">
        <is>
          <t>Belgium</t>
        </is>
      </c>
      <c r="E1259" s="36" t="inlineStr">
        <is>
          <t>Retail Partners</t>
        </is>
      </c>
      <c r="F1259" s="36" t="inlineStr">
        <is>
          <t>New</t>
        </is>
      </c>
      <c r="G1259" s="36" t="inlineStr">
        <is>
          <t>Fitness</t>
        </is>
      </c>
      <c r="H1259" s="36" t="inlineStr">
        <is>
          <t>Recovery Roller</t>
        </is>
      </c>
      <c r="I1259" s="36" t="n">
        <v>1</v>
      </c>
      <c r="J1259" s="39" t="n">
        <v>36.01</v>
      </c>
      <c r="K1259" s="45" t="n">
        <v>0</v>
      </c>
      <c r="L1259" s="39" t="n">
        <v>14.11</v>
      </c>
      <c r="M1259" s="39">
        <f>I1259*J1259*(1-K1259)</f>
        <v/>
      </c>
      <c r="N1259" s="39">
        <f>I1259*L1259</f>
        <v/>
      </c>
      <c r="O1259" s="39">
        <f>M1259-N1259</f>
        <v/>
      </c>
      <c r="P1259" s="38">
        <f>IF(M1259=0,0,O1259/M1259)</f>
        <v/>
      </c>
      <c r="Q1259" s="36">
        <f>YEAR(B1259)</f>
        <v/>
      </c>
      <c r="R1259" s="36">
        <f>"Q"&amp;ROUNDUP(MONTH(B1259)/3,0)</f>
        <v/>
      </c>
      <c r="S1259" s="36">
        <f>MONTH(B1259)</f>
        <v/>
      </c>
      <c r="T1259" s="36">
        <f>TEXT(B1259,"mmm")</f>
        <v/>
      </c>
      <c r="U1259" s="36">
        <f>IF(AND(OR(sel_Region="All",C1259=sel_Region),OR(sel_Country="All",D1259=sel_Country),OR(sel_Channel="All",E1259=sel_Channel),OR(sel_Customer="All",F1259=sel_Customer),OR(sel_Category="All",G1259=sel_Category),OR(sel_Product="All",H1259=sel_Product),AND(S1259&gt;=m_From,S1259&lt;=m_To)),1,0)</f>
        <v/>
      </c>
      <c r="V1259" s="36">
        <f>IF(AND(OR(sel_Region="All",C1259=sel_Region),OR(sel_Channel="All",E1259=sel_Channel),OR(sel_Customer="All",F1259=sel_Customer),OR(sel_Category="All",G1259=sel_Category),OR(sel_Product="All",H1259=sel_Product),AND(S1259&gt;=m_From,S1259&lt;=m_To)),1,0)</f>
        <v/>
      </c>
      <c r="W1259" s="36">
        <f>IF(AND(OR(sel_Region="All",C1259=sel_Region),OR(sel_Country="All",D1259=sel_Country),OR(sel_Customer="All",F1259=sel_Customer),OR(sel_Category="All",G1259=sel_Category),OR(sel_Product="All",H1259=sel_Product),AND(S1259&gt;=m_From,S1259&lt;=m_To)),1,0)</f>
        <v/>
      </c>
      <c r="X1259" s="36">
        <f>IF(AND(OR(sel_Region="All",C1259=sel_Region),OR(sel_Country="All",D1259=sel_Country),OR(sel_Channel="All",E1259=sel_Channel),OR(sel_Category="All",G1259=sel_Category),OR(sel_Product="All",H1259=sel_Product),AND(S1259&gt;=m_From,S1259&lt;=m_To)),1,0)</f>
        <v/>
      </c>
      <c r="Y1259" s="36">
        <f>IF(AND(OR(sel_Region="All",C1259=sel_Region),OR(sel_Country="All",D1259=sel_Country),OR(sel_Channel="All",E1259=sel_Channel),OR(sel_Customer="All",F1259=sel_Customer),OR(sel_Product="All",H1259=sel_Product),AND(S1259&gt;=m_From,S1259&lt;=m_To)),1,0)</f>
        <v/>
      </c>
      <c r="Z1259" s="36">
        <f>IF(AND(OR(sel_Region="All",C1259=sel_Region),OR(sel_Country="All",D1259=sel_Country),OR(sel_Channel="All",E1259=sel_Channel),OR(sel_Customer="All",F1259=sel_Customer),OR(sel_Category="All",G1259=sel_Category),AND(S1259&gt;=m_From,S1259&lt;=m_To)),1,0)</f>
        <v/>
      </c>
      <c r="AA1259" s="36">
        <f>IF(AND(OR(sel_Region="All",C1259=sel_Region),OR(sel_Country="All",D1259=sel_Country),OR(sel_Channel="All",E1259=sel_Channel),OR(sel_Customer="All",F1259=sel_Customer),OR(sel_Category="All",G1259=sel_Category),OR(sel_Product="All",H1259=sel_Product)),1,0)</f>
        <v/>
      </c>
    </row>
    <row r="1260">
      <c r="A1260" s="36" t="inlineStr">
        <is>
          <t>01546</t>
        </is>
      </c>
      <c r="B1260" s="44" t="n">
        <v>46206</v>
      </c>
      <c r="C1260" s="36" t="inlineStr">
        <is>
          <t>Western Europe</t>
        </is>
      </c>
      <c r="D1260" s="36" t="inlineStr">
        <is>
          <t>France</t>
        </is>
      </c>
      <c r="E1260" s="36" t="inlineStr">
        <is>
          <t>Online Store</t>
        </is>
      </c>
      <c r="F1260" s="36" t="inlineStr">
        <is>
          <t>Business</t>
        </is>
      </c>
      <c r="G1260" s="36" t="inlineStr">
        <is>
          <t>Travel</t>
        </is>
      </c>
      <c r="H1260" s="36" t="inlineStr">
        <is>
          <t>Travel Backpack 35L</t>
        </is>
      </c>
      <c r="I1260" s="36" t="n">
        <v>1</v>
      </c>
      <c r="J1260" s="39" t="n">
        <v>165.8</v>
      </c>
      <c r="K1260" s="45" t="n">
        <v>0.1</v>
      </c>
      <c r="L1260" s="39" t="n">
        <v>88.31999999999999</v>
      </c>
      <c r="M1260" s="39">
        <f>I1260*J1260*(1-K1260)</f>
        <v/>
      </c>
      <c r="N1260" s="39">
        <f>I1260*L1260</f>
        <v/>
      </c>
      <c r="O1260" s="39">
        <f>M1260-N1260</f>
        <v/>
      </c>
      <c r="P1260" s="38">
        <f>IF(M1260=0,0,O1260/M1260)</f>
        <v/>
      </c>
      <c r="Q1260" s="36">
        <f>YEAR(B1260)</f>
        <v/>
      </c>
      <c r="R1260" s="36">
        <f>"Q"&amp;ROUNDUP(MONTH(B1260)/3,0)</f>
        <v/>
      </c>
      <c r="S1260" s="36">
        <f>MONTH(B1260)</f>
        <v/>
      </c>
      <c r="T1260" s="36">
        <f>TEXT(B1260,"mmm")</f>
        <v/>
      </c>
      <c r="U1260" s="36">
        <f>IF(AND(OR(sel_Region="All",C1260=sel_Region),OR(sel_Country="All",D1260=sel_Country),OR(sel_Channel="All",E1260=sel_Channel),OR(sel_Customer="All",F1260=sel_Customer),OR(sel_Category="All",G1260=sel_Category),OR(sel_Product="All",H1260=sel_Product),AND(S1260&gt;=m_From,S1260&lt;=m_To)),1,0)</f>
        <v/>
      </c>
      <c r="V1260" s="36">
        <f>IF(AND(OR(sel_Region="All",C1260=sel_Region),OR(sel_Channel="All",E1260=sel_Channel),OR(sel_Customer="All",F1260=sel_Customer),OR(sel_Category="All",G1260=sel_Category),OR(sel_Product="All",H1260=sel_Product),AND(S1260&gt;=m_From,S1260&lt;=m_To)),1,0)</f>
        <v/>
      </c>
      <c r="W1260" s="36">
        <f>IF(AND(OR(sel_Region="All",C1260=sel_Region),OR(sel_Country="All",D1260=sel_Country),OR(sel_Customer="All",F1260=sel_Customer),OR(sel_Category="All",G1260=sel_Category),OR(sel_Product="All",H1260=sel_Product),AND(S1260&gt;=m_From,S1260&lt;=m_To)),1,0)</f>
        <v/>
      </c>
      <c r="X1260" s="36">
        <f>IF(AND(OR(sel_Region="All",C1260=sel_Region),OR(sel_Country="All",D1260=sel_Country),OR(sel_Channel="All",E1260=sel_Channel),OR(sel_Category="All",G1260=sel_Category),OR(sel_Product="All",H1260=sel_Product),AND(S1260&gt;=m_From,S1260&lt;=m_To)),1,0)</f>
        <v/>
      </c>
      <c r="Y1260" s="36">
        <f>IF(AND(OR(sel_Region="All",C1260=sel_Region),OR(sel_Country="All",D1260=sel_Country),OR(sel_Channel="All",E1260=sel_Channel),OR(sel_Customer="All",F1260=sel_Customer),OR(sel_Product="All",H1260=sel_Product),AND(S1260&gt;=m_From,S1260&lt;=m_To)),1,0)</f>
        <v/>
      </c>
      <c r="Z1260" s="36">
        <f>IF(AND(OR(sel_Region="All",C1260=sel_Region),OR(sel_Country="All",D1260=sel_Country),OR(sel_Channel="All",E1260=sel_Channel),OR(sel_Customer="All",F1260=sel_Customer),OR(sel_Category="All",G1260=sel_Category),AND(S1260&gt;=m_From,S1260&lt;=m_To)),1,0)</f>
        <v/>
      </c>
      <c r="AA1260" s="36">
        <f>IF(AND(OR(sel_Region="All",C1260=sel_Region),OR(sel_Country="All",D1260=sel_Country),OR(sel_Channel="All",E1260=sel_Channel),OR(sel_Customer="All",F1260=sel_Customer),OR(sel_Category="All",G1260=sel_Category),OR(sel_Product="All",H1260=sel_Product)),1,0)</f>
        <v/>
      </c>
    </row>
    <row r="1261">
      <c r="A1261" s="36" t="inlineStr">
        <is>
          <t>03610</t>
        </is>
      </c>
      <c r="B1261" s="44" t="n">
        <v>46206</v>
      </c>
      <c r="C1261" s="36" t="inlineStr">
        <is>
          <t>Northern Europe</t>
        </is>
      </c>
      <c r="D1261" s="36" t="inlineStr">
        <is>
          <t>Sweden</t>
        </is>
      </c>
      <c r="E1261" s="36" t="inlineStr">
        <is>
          <t>Corporate</t>
        </is>
      </c>
      <c r="F1261" s="36" t="inlineStr">
        <is>
          <t>Business</t>
        </is>
      </c>
      <c r="G1261" s="36" t="inlineStr">
        <is>
          <t>Fitness</t>
        </is>
      </c>
      <c r="H1261" s="36" t="inlineStr">
        <is>
          <t>Resistance Band Set</t>
        </is>
      </c>
      <c r="I1261" s="36" t="n">
        <v>5</v>
      </c>
      <c r="J1261" s="39" t="n">
        <v>40.36</v>
      </c>
      <c r="K1261" s="45" t="n">
        <v>0.15</v>
      </c>
      <c r="L1261" s="39" t="n">
        <v>14.57</v>
      </c>
      <c r="M1261" s="39">
        <f>I1261*J1261*(1-K1261)</f>
        <v/>
      </c>
      <c r="N1261" s="39">
        <f>I1261*L1261</f>
        <v/>
      </c>
      <c r="O1261" s="39">
        <f>M1261-N1261</f>
        <v/>
      </c>
      <c r="P1261" s="38">
        <f>IF(M1261=0,0,O1261/M1261)</f>
        <v/>
      </c>
      <c r="Q1261" s="36">
        <f>YEAR(B1261)</f>
        <v/>
      </c>
      <c r="R1261" s="36">
        <f>"Q"&amp;ROUNDUP(MONTH(B1261)/3,0)</f>
        <v/>
      </c>
      <c r="S1261" s="36">
        <f>MONTH(B1261)</f>
        <v/>
      </c>
      <c r="T1261" s="36">
        <f>TEXT(B1261,"mmm")</f>
        <v/>
      </c>
      <c r="U1261" s="36">
        <f>IF(AND(OR(sel_Region="All",C1261=sel_Region),OR(sel_Country="All",D1261=sel_Country),OR(sel_Channel="All",E1261=sel_Channel),OR(sel_Customer="All",F1261=sel_Customer),OR(sel_Category="All",G1261=sel_Category),OR(sel_Product="All",H1261=sel_Product),AND(S1261&gt;=m_From,S1261&lt;=m_To)),1,0)</f>
        <v/>
      </c>
      <c r="V1261" s="36">
        <f>IF(AND(OR(sel_Region="All",C1261=sel_Region),OR(sel_Channel="All",E1261=sel_Channel),OR(sel_Customer="All",F1261=sel_Customer),OR(sel_Category="All",G1261=sel_Category),OR(sel_Product="All",H1261=sel_Product),AND(S1261&gt;=m_From,S1261&lt;=m_To)),1,0)</f>
        <v/>
      </c>
      <c r="W1261" s="36">
        <f>IF(AND(OR(sel_Region="All",C1261=sel_Region),OR(sel_Country="All",D1261=sel_Country),OR(sel_Customer="All",F1261=sel_Customer),OR(sel_Category="All",G1261=sel_Category),OR(sel_Product="All",H1261=sel_Product),AND(S1261&gt;=m_From,S1261&lt;=m_To)),1,0)</f>
        <v/>
      </c>
      <c r="X1261" s="36">
        <f>IF(AND(OR(sel_Region="All",C1261=sel_Region),OR(sel_Country="All",D1261=sel_Country),OR(sel_Channel="All",E1261=sel_Channel),OR(sel_Category="All",G1261=sel_Category),OR(sel_Product="All",H1261=sel_Product),AND(S1261&gt;=m_From,S1261&lt;=m_To)),1,0)</f>
        <v/>
      </c>
      <c r="Y1261" s="36">
        <f>IF(AND(OR(sel_Region="All",C1261=sel_Region),OR(sel_Country="All",D1261=sel_Country),OR(sel_Channel="All",E1261=sel_Channel),OR(sel_Customer="All",F1261=sel_Customer),OR(sel_Product="All",H1261=sel_Product),AND(S1261&gt;=m_From,S1261&lt;=m_To)),1,0)</f>
        <v/>
      </c>
      <c r="Z1261" s="36">
        <f>IF(AND(OR(sel_Region="All",C1261=sel_Region),OR(sel_Country="All",D1261=sel_Country),OR(sel_Channel="All",E1261=sel_Channel),OR(sel_Customer="All",F1261=sel_Customer),OR(sel_Category="All",G1261=sel_Category),AND(S1261&gt;=m_From,S1261&lt;=m_To)),1,0)</f>
        <v/>
      </c>
      <c r="AA1261" s="36">
        <f>IF(AND(OR(sel_Region="All",C1261=sel_Region),OR(sel_Country="All",D1261=sel_Country),OR(sel_Channel="All",E1261=sel_Channel),OR(sel_Customer="All",F1261=sel_Customer),OR(sel_Category="All",G1261=sel_Category),OR(sel_Product="All",H1261=sel_Product)),1,0)</f>
        <v/>
      </c>
    </row>
    <row r="1262">
      <c r="A1262" s="36" t="inlineStr">
        <is>
          <t>03931</t>
        </is>
      </c>
      <c r="B1262" s="44" t="n">
        <v>46206</v>
      </c>
      <c r="C1262" s="36" t="inlineStr">
        <is>
          <t>Northern Europe</t>
        </is>
      </c>
      <c r="D1262" s="36" t="inlineStr">
        <is>
          <t>Norway</t>
        </is>
      </c>
      <c r="E1262" s="36" t="inlineStr">
        <is>
          <t>Corporate</t>
        </is>
      </c>
      <c r="F1262" s="36" t="inlineStr">
        <is>
          <t>Business</t>
        </is>
      </c>
      <c r="G1262" s="36" t="inlineStr">
        <is>
          <t>Hiking</t>
        </is>
      </c>
      <c r="H1262" s="36" t="inlineStr">
        <is>
          <t>Trail Boots</t>
        </is>
      </c>
      <c r="I1262" s="36" t="n">
        <v>12</v>
      </c>
      <c r="J1262" s="39" t="n">
        <v>143.77</v>
      </c>
      <c r="K1262" s="45" t="n">
        <v>0.1</v>
      </c>
      <c r="L1262" s="39" t="n">
        <v>81.68000000000001</v>
      </c>
      <c r="M1262" s="39">
        <f>I1262*J1262*(1-K1262)</f>
        <v/>
      </c>
      <c r="N1262" s="39">
        <f>I1262*L1262</f>
        <v/>
      </c>
      <c r="O1262" s="39">
        <f>M1262-N1262</f>
        <v/>
      </c>
      <c r="P1262" s="38">
        <f>IF(M1262=0,0,O1262/M1262)</f>
        <v/>
      </c>
      <c r="Q1262" s="36">
        <f>YEAR(B1262)</f>
        <v/>
      </c>
      <c r="R1262" s="36">
        <f>"Q"&amp;ROUNDUP(MONTH(B1262)/3,0)</f>
        <v/>
      </c>
      <c r="S1262" s="36">
        <f>MONTH(B1262)</f>
        <v/>
      </c>
      <c r="T1262" s="36">
        <f>TEXT(B1262,"mmm")</f>
        <v/>
      </c>
      <c r="U1262" s="36">
        <f>IF(AND(OR(sel_Region="All",C1262=sel_Region),OR(sel_Country="All",D1262=sel_Country),OR(sel_Channel="All",E1262=sel_Channel),OR(sel_Customer="All",F1262=sel_Customer),OR(sel_Category="All",G1262=sel_Category),OR(sel_Product="All",H1262=sel_Product),AND(S1262&gt;=m_From,S1262&lt;=m_To)),1,0)</f>
        <v/>
      </c>
      <c r="V1262" s="36">
        <f>IF(AND(OR(sel_Region="All",C1262=sel_Region),OR(sel_Channel="All",E1262=sel_Channel),OR(sel_Customer="All",F1262=sel_Customer),OR(sel_Category="All",G1262=sel_Category),OR(sel_Product="All",H1262=sel_Product),AND(S1262&gt;=m_From,S1262&lt;=m_To)),1,0)</f>
        <v/>
      </c>
      <c r="W1262" s="36">
        <f>IF(AND(OR(sel_Region="All",C1262=sel_Region),OR(sel_Country="All",D1262=sel_Country),OR(sel_Customer="All",F1262=sel_Customer),OR(sel_Category="All",G1262=sel_Category),OR(sel_Product="All",H1262=sel_Product),AND(S1262&gt;=m_From,S1262&lt;=m_To)),1,0)</f>
        <v/>
      </c>
      <c r="X1262" s="36">
        <f>IF(AND(OR(sel_Region="All",C1262=sel_Region),OR(sel_Country="All",D1262=sel_Country),OR(sel_Channel="All",E1262=sel_Channel),OR(sel_Category="All",G1262=sel_Category),OR(sel_Product="All",H1262=sel_Product),AND(S1262&gt;=m_From,S1262&lt;=m_To)),1,0)</f>
        <v/>
      </c>
      <c r="Y1262" s="36">
        <f>IF(AND(OR(sel_Region="All",C1262=sel_Region),OR(sel_Country="All",D1262=sel_Country),OR(sel_Channel="All",E1262=sel_Channel),OR(sel_Customer="All",F1262=sel_Customer),OR(sel_Product="All",H1262=sel_Product),AND(S1262&gt;=m_From,S1262&lt;=m_To)),1,0)</f>
        <v/>
      </c>
      <c r="Z1262" s="36">
        <f>IF(AND(OR(sel_Region="All",C1262=sel_Region),OR(sel_Country="All",D1262=sel_Country),OR(sel_Channel="All",E1262=sel_Channel),OR(sel_Customer="All",F1262=sel_Customer),OR(sel_Category="All",G1262=sel_Category),AND(S1262&gt;=m_From,S1262&lt;=m_To)),1,0)</f>
        <v/>
      </c>
      <c r="AA1262" s="36">
        <f>IF(AND(OR(sel_Region="All",C1262=sel_Region),OR(sel_Country="All",D1262=sel_Country),OR(sel_Channel="All",E1262=sel_Channel),OR(sel_Customer="All",F1262=sel_Customer),OR(sel_Category="All",G1262=sel_Category),OR(sel_Product="All",H1262=sel_Product)),1,0)</f>
        <v/>
      </c>
    </row>
    <row r="1263">
      <c r="A1263" s="36" t="inlineStr">
        <is>
          <t>03942</t>
        </is>
      </c>
      <c r="B1263" s="44" t="n">
        <v>46206</v>
      </c>
      <c r="C1263" s="36" t="inlineStr">
        <is>
          <t>Central Europe</t>
        </is>
      </c>
      <c r="D1263" s="36" t="inlineStr">
        <is>
          <t>Germany</t>
        </is>
      </c>
      <c r="E1263" s="36" t="inlineStr">
        <is>
          <t>Online Store</t>
        </is>
      </c>
      <c r="F1263" s="36" t="inlineStr">
        <is>
          <t>New</t>
        </is>
      </c>
      <c r="G1263" s="36" t="inlineStr">
        <is>
          <t>Hiking</t>
        </is>
      </c>
      <c r="H1263" s="36" t="inlineStr">
        <is>
          <t>Trekking Poles</t>
        </is>
      </c>
      <c r="I1263" s="36" t="n">
        <v>2</v>
      </c>
      <c r="J1263" s="39" t="n">
        <v>70.5</v>
      </c>
      <c r="K1263" s="45" t="n">
        <v>0</v>
      </c>
      <c r="L1263" s="39" t="n">
        <v>32.51</v>
      </c>
      <c r="M1263" s="39">
        <f>I1263*J1263*(1-K1263)</f>
        <v/>
      </c>
      <c r="N1263" s="39">
        <f>I1263*L1263</f>
        <v/>
      </c>
      <c r="O1263" s="39">
        <f>M1263-N1263</f>
        <v/>
      </c>
      <c r="P1263" s="38">
        <f>IF(M1263=0,0,O1263/M1263)</f>
        <v/>
      </c>
      <c r="Q1263" s="36">
        <f>YEAR(B1263)</f>
        <v/>
      </c>
      <c r="R1263" s="36">
        <f>"Q"&amp;ROUNDUP(MONTH(B1263)/3,0)</f>
        <v/>
      </c>
      <c r="S1263" s="36">
        <f>MONTH(B1263)</f>
        <v/>
      </c>
      <c r="T1263" s="36">
        <f>TEXT(B1263,"mmm")</f>
        <v/>
      </c>
      <c r="U1263" s="36">
        <f>IF(AND(OR(sel_Region="All",C1263=sel_Region),OR(sel_Country="All",D1263=sel_Country),OR(sel_Channel="All",E1263=sel_Channel),OR(sel_Customer="All",F1263=sel_Customer),OR(sel_Category="All",G1263=sel_Category),OR(sel_Product="All",H1263=sel_Product),AND(S1263&gt;=m_From,S1263&lt;=m_To)),1,0)</f>
        <v/>
      </c>
      <c r="V1263" s="36">
        <f>IF(AND(OR(sel_Region="All",C1263=sel_Region),OR(sel_Channel="All",E1263=sel_Channel),OR(sel_Customer="All",F1263=sel_Customer),OR(sel_Category="All",G1263=sel_Category),OR(sel_Product="All",H1263=sel_Product),AND(S1263&gt;=m_From,S1263&lt;=m_To)),1,0)</f>
        <v/>
      </c>
      <c r="W1263" s="36">
        <f>IF(AND(OR(sel_Region="All",C1263=sel_Region),OR(sel_Country="All",D1263=sel_Country),OR(sel_Customer="All",F1263=sel_Customer),OR(sel_Category="All",G1263=sel_Category),OR(sel_Product="All",H1263=sel_Product),AND(S1263&gt;=m_From,S1263&lt;=m_To)),1,0)</f>
        <v/>
      </c>
      <c r="X1263" s="36">
        <f>IF(AND(OR(sel_Region="All",C1263=sel_Region),OR(sel_Country="All",D1263=sel_Country),OR(sel_Channel="All",E1263=sel_Channel),OR(sel_Category="All",G1263=sel_Category),OR(sel_Product="All",H1263=sel_Product),AND(S1263&gt;=m_From,S1263&lt;=m_To)),1,0)</f>
        <v/>
      </c>
      <c r="Y1263" s="36">
        <f>IF(AND(OR(sel_Region="All",C1263=sel_Region),OR(sel_Country="All",D1263=sel_Country),OR(sel_Channel="All",E1263=sel_Channel),OR(sel_Customer="All",F1263=sel_Customer),OR(sel_Product="All",H1263=sel_Product),AND(S1263&gt;=m_From,S1263&lt;=m_To)),1,0)</f>
        <v/>
      </c>
      <c r="Z1263" s="36">
        <f>IF(AND(OR(sel_Region="All",C1263=sel_Region),OR(sel_Country="All",D1263=sel_Country),OR(sel_Channel="All",E1263=sel_Channel),OR(sel_Customer="All",F1263=sel_Customer),OR(sel_Category="All",G1263=sel_Category),AND(S1263&gt;=m_From,S1263&lt;=m_To)),1,0)</f>
        <v/>
      </c>
      <c r="AA1263" s="36">
        <f>IF(AND(OR(sel_Region="All",C1263=sel_Region),OR(sel_Country="All",D1263=sel_Country),OR(sel_Channel="All",E1263=sel_Channel),OR(sel_Customer="All",F1263=sel_Customer),OR(sel_Category="All",G1263=sel_Category),OR(sel_Product="All",H1263=sel_Product)),1,0)</f>
        <v/>
      </c>
    </row>
    <row r="1264">
      <c r="A1264" s="36" t="inlineStr">
        <is>
          <t>04165</t>
        </is>
      </c>
      <c r="B1264" s="44" t="n">
        <v>46206</v>
      </c>
      <c r="C1264" s="36" t="inlineStr">
        <is>
          <t>Central Europe</t>
        </is>
      </c>
      <c r="D1264" s="36" t="inlineStr">
        <is>
          <t>Poland</t>
        </is>
      </c>
      <c r="E1264" s="36" t="inlineStr">
        <is>
          <t>Online Store</t>
        </is>
      </c>
      <c r="F1264" s="36" t="inlineStr">
        <is>
          <t>New</t>
        </is>
      </c>
      <c r="G1264" s="36" t="inlineStr">
        <is>
          <t>Hiking</t>
        </is>
      </c>
      <c r="H1264" s="36" t="inlineStr">
        <is>
          <t>Summit Backpack 45L</t>
        </is>
      </c>
      <c r="I1264" s="36" t="n">
        <v>2</v>
      </c>
      <c r="J1264" s="39" t="n">
        <v>152.89</v>
      </c>
      <c r="K1264" s="45" t="n">
        <v>0</v>
      </c>
      <c r="L1264" s="39" t="n">
        <v>81.34</v>
      </c>
      <c r="M1264" s="39">
        <f>I1264*J1264*(1-K1264)</f>
        <v/>
      </c>
      <c r="N1264" s="39">
        <f>I1264*L1264</f>
        <v/>
      </c>
      <c r="O1264" s="39">
        <f>M1264-N1264</f>
        <v/>
      </c>
      <c r="P1264" s="38">
        <f>IF(M1264=0,0,O1264/M1264)</f>
        <v/>
      </c>
      <c r="Q1264" s="36">
        <f>YEAR(B1264)</f>
        <v/>
      </c>
      <c r="R1264" s="36">
        <f>"Q"&amp;ROUNDUP(MONTH(B1264)/3,0)</f>
        <v/>
      </c>
      <c r="S1264" s="36">
        <f>MONTH(B1264)</f>
        <v/>
      </c>
      <c r="T1264" s="36">
        <f>TEXT(B1264,"mmm")</f>
        <v/>
      </c>
      <c r="U1264" s="36">
        <f>IF(AND(OR(sel_Region="All",C1264=sel_Region),OR(sel_Country="All",D1264=sel_Country),OR(sel_Channel="All",E1264=sel_Channel),OR(sel_Customer="All",F1264=sel_Customer),OR(sel_Category="All",G1264=sel_Category),OR(sel_Product="All",H1264=sel_Product),AND(S1264&gt;=m_From,S1264&lt;=m_To)),1,0)</f>
        <v/>
      </c>
      <c r="V1264" s="36">
        <f>IF(AND(OR(sel_Region="All",C1264=sel_Region),OR(sel_Channel="All",E1264=sel_Channel),OR(sel_Customer="All",F1264=sel_Customer),OR(sel_Category="All",G1264=sel_Category),OR(sel_Product="All",H1264=sel_Product),AND(S1264&gt;=m_From,S1264&lt;=m_To)),1,0)</f>
        <v/>
      </c>
      <c r="W1264" s="36">
        <f>IF(AND(OR(sel_Region="All",C1264=sel_Region),OR(sel_Country="All",D1264=sel_Country),OR(sel_Customer="All",F1264=sel_Customer),OR(sel_Category="All",G1264=sel_Category),OR(sel_Product="All",H1264=sel_Product),AND(S1264&gt;=m_From,S1264&lt;=m_To)),1,0)</f>
        <v/>
      </c>
      <c r="X1264" s="36">
        <f>IF(AND(OR(sel_Region="All",C1264=sel_Region),OR(sel_Country="All",D1264=sel_Country),OR(sel_Channel="All",E1264=sel_Channel),OR(sel_Category="All",G1264=sel_Category),OR(sel_Product="All",H1264=sel_Product),AND(S1264&gt;=m_From,S1264&lt;=m_To)),1,0)</f>
        <v/>
      </c>
      <c r="Y1264" s="36">
        <f>IF(AND(OR(sel_Region="All",C1264=sel_Region),OR(sel_Country="All",D1264=sel_Country),OR(sel_Channel="All",E1264=sel_Channel),OR(sel_Customer="All",F1264=sel_Customer),OR(sel_Product="All",H1264=sel_Product),AND(S1264&gt;=m_From,S1264&lt;=m_To)),1,0)</f>
        <v/>
      </c>
      <c r="Z1264" s="36">
        <f>IF(AND(OR(sel_Region="All",C1264=sel_Region),OR(sel_Country="All",D1264=sel_Country),OR(sel_Channel="All",E1264=sel_Channel),OR(sel_Customer="All",F1264=sel_Customer),OR(sel_Category="All",G1264=sel_Category),AND(S1264&gt;=m_From,S1264&lt;=m_To)),1,0)</f>
        <v/>
      </c>
      <c r="AA1264" s="36">
        <f>IF(AND(OR(sel_Region="All",C1264=sel_Region),OR(sel_Country="All",D1264=sel_Country),OR(sel_Channel="All",E1264=sel_Channel),OR(sel_Customer="All",F1264=sel_Customer),OR(sel_Category="All",G1264=sel_Category),OR(sel_Product="All",H1264=sel_Product)),1,0)</f>
        <v/>
      </c>
    </row>
    <row r="1265">
      <c r="A1265" s="36" t="inlineStr">
        <is>
          <t>01149</t>
        </is>
      </c>
      <c r="B1265" s="44" t="n">
        <v>46207</v>
      </c>
      <c r="C1265" s="36" t="inlineStr">
        <is>
          <t>Southern Europe</t>
        </is>
      </c>
      <c r="D1265" s="36" t="inlineStr">
        <is>
          <t>Italy</t>
        </is>
      </c>
      <c r="E1265" s="36" t="inlineStr">
        <is>
          <t>Online Store</t>
        </is>
      </c>
      <c r="F1265" s="36" t="inlineStr">
        <is>
          <t>New</t>
        </is>
      </c>
      <c r="G1265" s="36" t="inlineStr">
        <is>
          <t>Cycling</t>
        </is>
      </c>
      <c r="H1265" s="36" t="inlineStr">
        <is>
          <t>Commuter Helmet</t>
        </is>
      </c>
      <c r="I1265" s="36" t="n">
        <v>2</v>
      </c>
      <c r="J1265" s="39" t="n">
        <v>81.90000000000001</v>
      </c>
      <c r="K1265" s="45" t="n">
        <v>0</v>
      </c>
      <c r="L1265" s="39" t="n">
        <v>42.61</v>
      </c>
      <c r="M1265" s="39">
        <f>I1265*J1265*(1-K1265)</f>
        <v/>
      </c>
      <c r="N1265" s="39">
        <f>I1265*L1265</f>
        <v/>
      </c>
      <c r="O1265" s="39">
        <f>M1265-N1265</f>
        <v/>
      </c>
      <c r="P1265" s="38">
        <f>IF(M1265=0,0,O1265/M1265)</f>
        <v/>
      </c>
      <c r="Q1265" s="36">
        <f>YEAR(B1265)</f>
        <v/>
      </c>
      <c r="R1265" s="36">
        <f>"Q"&amp;ROUNDUP(MONTH(B1265)/3,0)</f>
        <v/>
      </c>
      <c r="S1265" s="36">
        <f>MONTH(B1265)</f>
        <v/>
      </c>
      <c r="T1265" s="36">
        <f>TEXT(B1265,"mmm")</f>
        <v/>
      </c>
      <c r="U1265" s="36">
        <f>IF(AND(OR(sel_Region="All",C1265=sel_Region),OR(sel_Country="All",D1265=sel_Country),OR(sel_Channel="All",E1265=sel_Channel),OR(sel_Customer="All",F1265=sel_Customer),OR(sel_Category="All",G1265=sel_Category),OR(sel_Product="All",H1265=sel_Product),AND(S1265&gt;=m_From,S1265&lt;=m_To)),1,0)</f>
        <v/>
      </c>
      <c r="V1265" s="36">
        <f>IF(AND(OR(sel_Region="All",C1265=sel_Region),OR(sel_Channel="All",E1265=sel_Channel),OR(sel_Customer="All",F1265=sel_Customer),OR(sel_Category="All",G1265=sel_Category),OR(sel_Product="All",H1265=sel_Product),AND(S1265&gt;=m_From,S1265&lt;=m_To)),1,0)</f>
        <v/>
      </c>
      <c r="W1265" s="36">
        <f>IF(AND(OR(sel_Region="All",C1265=sel_Region),OR(sel_Country="All",D1265=sel_Country),OR(sel_Customer="All",F1265=sel_Customer),OR(sel_Category="All",G1265=sel_Category),OR(sel_Product="All",H1265=sel_Product),AND(S1265&gt;=m_From,S1265&lt;=m_To)),1,0)</f>
        <v/>
      </c>
      <c r="X1265" s="36">
        <f>IF(AND(OR(sel_Region="All",C1265=sel_Region),OR(sel_Country="All",D1265=sel_Country),OR(sel_Channel="All",E1265=sel_Channel),OR(sel_Category="All",G1265=sel_Category),OR(sel_Product="All",H1265=sel_Product),AND(S1265&gt;=m_From,S1265&lt;=m_To)),1,0)</f>
        <v/>
      </c>
      <c r="Y1265" s="36">
        <f>IF(AND(OR(sel_Region="All",C1265=sel_Region),OR(sel_Country="All",D1265=sel_Country),OR(sel_Channel="All",E1265=sel_Channel),OR(sel_Customer="All",F1265=sel_Customer),OR(sel_Product="All",H1265=sel_Product),AND(S1265&gt;=m_From,S1265&lt;=m_To)),1,0)</f>
        <v/>
      </c>
      <c r="Z1265" s="36">
        <f>IF(AND(OR(sel_Region="All",C1265=sel_Region),OR(sel_Country="All",D1265=sel_Country),OR(sel_Channel="All",E1265=sel_Channel),OR(sel_Customer="All",F1265=sel_Customer),OR(sel_Category="All",G1265=sel_Category),AND(S1265&gt;=m_From,S1265&lt;=m_To)),1,0)</f>
        <v/>
      </c>
      <c r="AA1265" s="36">
        <f>IF(AND(OR(sel_Region="All",C1265=sel_Region),OR(sel_Country="All",D1265=sel_Country),OR(sel_Channel="All",E1265=sel_Channel),OR(sel_Customer="All",F1265=sel_Customer),OR(sel_Category="All",G1265=sel_Category),OR(sel_Product="All",H1265=sel_Product)),1,0)</f>
        <v/>
      </c>
    </row>
    <row r="1266">
      <c r="A1266" s="36" t="inlineStr">
        <is>
          <t>01310</t>
        </is>
      </c>
      <c r="B1266" s="44" t="n">
        <v>46207</v>
      </c>
      <c r="C1266" s="36" t="inlineStr">
        <is>
          <t>Northern Europe</t>
        </is>
      </c>
      <c r="D1266" s="36" t="inlineStr">
        <is>
          <t>Finland</t>
        </is>
      </c>
      <c r="E1266" s="36" t="inlineStr">
        <is>
          <t>Retail Partners</t>
        </is>
      </c>
      <c r="F1266" s="36" t="inlineStr">
        <is>
          <t>New</t>
        </is>
      </c>
      <c r="G1266" s="36" t="inlineStr">
        <is>
          <t>Cycling</t>
        </is>
      </c>
      <c r="H1266" s="36" t="inlineStr">
        <is>
          <t>Cycling Pack 12L</t>
        </is>
      </c>
      <c r="I1266" s="36" t="n">
        <v>1</v>
      </c>
      <c r="J1266" s="39" t="n">
        <v>103.58</v>
      </c>
      <c r="K1266" s="45" t="n">
        <v>0</v>
      </c>
      <c r="L1266" s="39" t="n">
        <v>51.94</v>
      </c>
      <c r="M1266" s="39">
        <f>I1266*J1266*(1-K1266)</f>
        <v/>
      </c>
      <c r="N1266" s="39">
        <f>I1266*L1266</f>
        <v/>
      </c>
      <c r="O1266" s="39">
        <f>M1266-N1266</f>
        <v/>
      </c>
      <c r="P1266" s="38">
        <f>IF(M1266=0,0,O1266/M1266)</f>
        <v/>
      </c>
      <c r="Q1266" s="36">
        <f>YEAR(B1266)</f>
        <v/>
      </c>
      <c r="R1266" s="36">
        <f>"Q"&amp;ROUNDUP(MONTH(B1266)/3,0)</f>
        <v/>
      </c>
      <c r="S1266" s="36">
        <f>MONTH(B1266)</f>
        <v/>
      </c>
      <c r="T1266" s="36">
        <f>TEXT(B1266,"mmm")</f>
        <v/>
      </c>
      <c r="U1266" s="36">
        <f>IF(AND(OR(sel_Region="All",C1266=sel_Region),OR(sel_Country="All",D1266=sel_Country),OR(sel_Channel="All",E1266=sel_Channel),OR(sel_Customer="All",F1266=sel_Customer),OR(sel_Category="All",G1266=sel_Category),OR(sel_Product="All",H1266=sel_Product),AND(S1266&gt;=m_From,S1266&lt;=m_To)),1,0)</f>
        <v/>
      </c>
      <c r="V1266" s="36">
        <f>IF(AND(OR(sel_Region="All",C1266=sel_Region),OR(sel_Channel="All",E1266=sel_Channel),OR(sel_Customer="All",F1266=sel_Customer),OR(sel_Category="All",G1266=sel_Category),OR(sel_Product="All",H1266=sel_Product),AND(S1266&gt;=m_From,S1266&lt;=m_To)),1,0)</f>
        <v/>
      </c>
      <c r="W1266" s="36">
        <f>IF(AND(OR(sel_Region="All",C1266=sel_Region),OR(sel_Country="All",D1266=sel_Country),OR(sel_Customer="All",F1266=sel_Customer),OR(sel_Category="All",G1266=sel_Category),OR(sel_Product="All",H1266=sel_Product),AND(S1266&gt;=m_From,S1266&lt;=m_To)),1,0)</f>
        <v/>
      </c>
      <c r="X1266" s="36">
        <f>IF(AND(OR(sel_Region="All",C1266=sel_Region),OR(sel_Country="All",D1266=sel_Country),OR(sel_Channel="All",E1266=sel_Channel),OR(sel_Category="All",G1266=sel_Category),OR(sel_Product="All",H1266=sel_Product),AND(S1266&gt;=m_From,S1266&lt;=m_To)),1,0)</f>
        <v/>
      </c>
      <c r="Y1266" s="36">
        <f>IF(AND(OR(sel_Region="All",C1266=sel_Region),OR(sel_Country="All",D1266=sel_Country),OR(sel_Channel="All",E1266=sel_Channel),OR(sel_Customer="All",F1266=sel_Customer),OR(sel_Product="All",H1266=sel_Product),AND(S1266&gt;=m_From,S1266&lt;=m_To)),1,0)</f>
        <v/>
      </c>
      <c r="Z1266" s="36">
        <f>IF(AND(OR(sel_Region="All",C1266=sel_Region),OR(sel_Country="All",D1266=sel_Country),OR(sel_Channel="All",E1266=sel_Channel),OR(sel_Customer="All",F1266=sel_Customer),OR(sel_Category="All",G1266=sel_Category),AND(S1266&gt;=m_From,S1266&lt;=m_To)),1,0)</f>
        <v/>
      </c>
      <c r="AA1266" s="36">
        <f>IF(AND(OR(sel_Region="All",C1266=sel_Region),OR(sel_Country="All",D1266=sel_Country),OR(sel_Channel="All",E1266=sel_Channel),OR(sel_Customer="All",F1266=sel_Customer),OR(sel_Category="All",G1266=sel_Category),OR(sel_Product="All",H1266=sel_Product)),1,0)</f>
        <v/>
      </c>
    </row>
    <row r="1267">
      <c r="A1267" s="36" t="inlineStr">
        <is>
          <t>02352</t>
        </is>
      </c>
      <c r="B1267" s="44" t="n">
        <v>46207</v>
      </c>
      <c r="C1267" s="36" t="inlineStr">
        <is>
          <t>Northern Europe</t>
        </is>
      </c>
      <c r="D1267" s="36" t="inlineStr">
        <is>
          <t>Ireland</t>
        </is>
      </c>
      <c r="E1267" s="36" t="inlineStr">
        <is>
          <t>Corporate</t>
        </is>
      </c>
      <c r="F1267" s="36" t="inlineStr">
        <is>
          <t>Returning</t>
        </is>
      </c>
      <c r="G1267" s="36" t="inlineStr">
        <is>
          <t>Hiking</t>
        </is>
      </c>
      <c r="H1267" s="36" t="inlineStr">
        <is>
          <t>Trekking Poles</t>
        </is>
      </c>
      <c r="I1267" s="36" t="n">
        <v>4</v>
      </c>
      <c r="J1267" s="39" t="n">
        <v>69.7</v>
      </c>
      <c r="K1267" s="45" t="n">
        <v>0.1</v>
      </c>
      <c r="L1267" s="39" t="n">
        <v>32.8</v>
      </c>
      <c r="M1267" s="39">
        <f>I1267*J1267*(1-K1267)</f>
        <v/>
      </c>
      <c r="N1267" s="39">
        <f>I1267*L1267</f>
        <v/>
      </c>
      <c r="O1267" s="39">
        <f>M1267-N1267</f>
        <v/>
      </c>
      <c r="P1267" s="38">
        <f>IF(M1267=0,0,O1267/M1267)</f>
        <v/>
      </c>
      <c r="Q1267" s="36">
        <f>YEAR(B1267)</f>
        <v/>
      </c>
      <c r="R1267" s="36">
        <f>"Q"&amp;ROUNDUP(MONTH(B1267)/3,0)</f>
        <v/>
      </c>
      <c r="S1267" s="36">
        <f>MONTH(B1267)</f>
        <v/>
      </c>
      <c r="T1267" s="36">
        <f>TEXT(B1267,"mmm")</f>
        <v/>
      </c>
      <c r="U1267" s="36">
        <f>IF(AND(OR(sel_Region="All",C1267=sel_Region),OR(sel_Country="All",D1267=sel_Country),OR(sel_Channel="All",E1267=sel_Channel),OR(sel_Customer="All",F1267=sel_Customer),OR(sel_Category="All",G1267=sel_Category),OR(sel_Product="All",H1267=sel_Product),AND(S1267&gt;=m_From,S1267&lt;=m_To)),1,0)</f>
        <v/>
      </c>
      <c r="V1267" s="36">
        <f>IF(AND(OR(sel_Region="All",C1267=sel_Region),OR(sel_Channel="All",E1267=sel_Channel),OR(sel_Customer="All",F1267=sel_Customer),OR(sel_Category="All",G1267=sel_Category),OR(sel_Product="All",H1267=sel_Product),AND(S1267&gt;=m_From,S1267&lt;=m_To)),1,0)</f>
        <v/>
      </c>
      <c r="W1267" s="36">
        <f>IF(AND(OR(sel_Region="All",C1267=sel_Region),OR(sel_Country="All",D1267=sel_Country),OR(sel_Customer="All",F1267=sel_Customer),OR(sel_Category="All",G1267=sel_Category),OR(sel_Product="All",H1267=sel_Product),AND(S1267&gt;=m_From,S1267&lt;=m_To)),1,0)</f>
        <v/>
      </c>
      <c r="X1267" s="36">
        <f>IF(AND(OR(sel_Region="All",C1267=sel_Region),OR(sel_Country="All",D1267=sel_Country),OR(sel_Channel="All",E1267=sel_Channel),OR(sel_Category="All",G1267=sel_Category),OR(sel_Product="All",H1267=sel_Product),AND(S1267&gt;=m_From,S1267&lt;=m_To)),1,0)</f>
        <v/>
      </c>
      <c r="Y1267" s="36">
        <f>IF(AND(OR(sel_Region="All",C1267=sel_Region),OR(sel_Country="All",D1267=sel_Country),OR(sel_Channel="All",E1267=sel_Channel),OR(sel_Customer="All",F1267=sel_Customer),OR(sel_Product="All",H1267=sel_Product),AND(S1267&gt;=m_From,S1267&lt;=m_To)),1,0)</f>
        <v/>
      </c>
      <c r="Z1267" s="36">
        <f>IF(AND(OR(sel_Region="All",C1267=sel_Region),OR(sel_Country="All",D1267=sel_Country),OR(sel_Channel="All",E1267=sel_Channel),OR(sel_Customer="All",F1267=sel_Customer),OR(sel_Category="All",G1267=sel_Category),AND(S1267&gt;=m_From,S1267&lt;=m_To)),1,0)</f>
        <v/>
      </c>
      <c r="AA1267" s="36">
        <f>IF(AND(OR(sel_Region="All",C1267=sel_Region),OR(sel_Country="All",D1267=sel_Country),OR(sel_Channel="All",E1267=sel_Channel),OR(sel_Customer="All",F1267=sel_Customer),OR(sel_Category="All",G1267=sel_Category),OR(sel_Product="All",H1267=sel_Product)),1,0)</f>
        <v/>
      </c>
    </row>
    <row r="1268">
      <c r="A1268" s="36" t="inlineStr">
        <is>
          <t>02547</t>
        </is>
      </c>
      <c r="B1268" s="44" t="n">
        <v>46207</v>
      </c>
      <c r="C1268" s="36" t="inlineStr">
        <is>
          <t>Central Europe</t>
        </is>
      </c>
      <c r="D1268" s="36" t="inlineStr">
        <is>
          <t>Germany</t>
        </is>
      </c>
      <c r="E1268" s="36" t="inlineStr">
        <is>
          <t>Online Store</t>
        </is>
      </c>
      <c r="F1268" s="36" t="inlineStr">
        <is>
          <t>Business</t>
        </is>
      </c>
      <c r="G1268" s="36" t="inlineStr">
        <is>
          <t>Fitness</t>
        </is>
      </c>
      <c r="H1268" s="36" t="inlineStr">
        <is>
          <t>Resistance Band Set</t>
        </is>
      </c>
      <c r="I1268" s="36" t="n">
        <v>1</v>
      </c>
      <c r="J1268" s="39" t="n">
        <v>40.55</v>
      </c>
      <c r="K1268" s="45" t="n">
        <v>0.05</v>
      </c>
      <c r="L1268" s="39" t="n">
        <v>14.44</v>
      </c>
      <c r="M1268" s="39">
        <f>I1268*J1268*(1-K1268)</f>
        <v/>
      </c>
      <c r="N1268" s="39">
        <f>I1268*L1268</f>
        <v/>
      </c>
      <c r="O1268" s="39">
        <f>M1268-N1268</f>
        <v/>
      </c>
      <c r="P1268" s="38">
        <f>IF(M1268=0,0,O1268/M1268)</f>
        <v/>
      </c>
      <c r="Q1268" s="36">
        <f>YEAR(B1268)</f>
        <v/>
      </c>
      <c r="R1268" s="36">
        <f>"Q"&amp;ROUNDUP(MONTH(B1268)/3,0)</f>
        <v/>
      </c>
      <c r="S1268" s="36">
        <f>MONTH(B1268)</f>
        <v/>
      </c>
      <c r="T1268" s="36">
        <f>TEXT(B1268,"mmm")</f>
        <v/>
      </c>
      <c r="U1268" s="36">
        <f>IF(AND(OR(sel_Region="All",C1268=sel_Region),OR(sel_Country="All",D1268=sel_Country),OR(sel_Channel="All",E1268=sel_Channel),OR(sel_Customer="All",F1268=sel_Customer),OR(sel_Category="All",G1268=sel_Category),OR(sel_Product="All",H1268=sel_Product),AND(S1268&gt;=m_From,S1268&lt;=m_To)),1,0)</f>
        <v/>
      </c>
      <c r="V1268" s="36">
        <f>IF(AND(OR(sel_Region="All",C1268=sel_Region),OR(sel_Channel="All",E1268=sel_Channel),OR(sel_Customer="All",F1268=sel_Customer),OR(sel_Category="All",G1268=sel_Category),OR(sel_Product="All",H1268=sel_Product),AND(S1268&gt;=m_From,S1268&lt;=m_To)),1,0)</f>
        <v/>
      </c>
      <c r="W1268" s="36">
        <f>IF(AND(OR(sel_Region="All",C1268=sel_Region),OR(sel_Country="All",D1268=sel_Country),OR(sel_Customer="All",F1268=sel_Customer),OR(sel_Category="All",G1268=sel_Category),OR(sel_Product="All",H1268=sel_Product),AND(S1268&gt;=m_From,S1268&lt;=m_To)),1,0)</f>
        <v/>
      </c>
      <c r="X1268" s="36">
        <f>IF(AND(OR(sel_Region="All",C1268=sel_Region),OR(sel_Country="All",D1268=sel_Country),OR(sel_Channel="All",E1268=sel_Channel),OR(sel_Category="All",G1268=sel_Category),OR(sel_Product="All",H1268=sel_Product),AND(S1268&gt;=m_From,S1268&lt;=m_To)),1,0)</f>
        <v/>
      </c>
      <c r="Y1268" s="36">
        <f>IF(AND(OR(sel_Region="All",C1268=sel_Region),OR(sel_Country="All",D1268=sel_Country),OR(sel_Channel="All",E1268=sel_Channel),OR(sel_Customer="All",F1268=sel_Customer),OR(sel_Product="All",H1268=sel_Product),AND(S1268&gt;=m_From,S1268&lt;=m_To)),1,0)</f>
        <v/>
      </c>
      <c r="Z1268" s="36">
        <f>IF(AND(OR(sel_Region="All",C1268=sel_Region),OR(sel_Country="All",D1268=sel_Country),OR(sel_Channel="All",E1268=sel_Channel),OR(sel_Customer="All",F1268=sel_Customer),OR(sel_Category="All",G1268=sel_Category),AND(S1268&gt;=m_From,S1268&lt;=m_To)),1,0)</f>
        <v/>
      </c>
      <c r="AA1268" s="36">
        <f>IF(AND(OR(sel_Region="All",C1268=sel_Region),OR(sel_Country="All",D1268=sel_Country),OR(sel_Channel="All",E1268=sel_Channel),OR(sel_Customer="All",F1268=sel_Customer),OR(sel_Category="All",G1268=sel_Category),OR(sel_Product="All",H1268=sel_Product)),1,0)</f>
        <v/>
      </c>
    </row>
    <row r="1269">
      <c r="A1269" s="36" t="inlineStr">
        <is>
          <t>02720</t>
        </is>
      </c>
      <c r="B1269" s="44" t="n">
        <v>46207</v>
      </c>
      <c r="C1269" s="36" t="inlineStr">
        <is>
          <t>Western Europe</t>
        </is>
      </c>
      <c r="D1269" s="36" t="inlineStr">
        <is>
          <t>United Kingdom</t>
        </is>
      </c>
      <c r="E1269" s="36" t="inlineStr">
        <is>
          <t>Online Store</t>
        </is>
      </c>
      <c r="F1269" s="36" t="inlineStr">
        <is>
          <t>New</t>
        </is>
      </c>
      <c r="G1269" s="36" t="inlineStr">
        <is>
          <t>Hiking</t>
        </is>
      </c>
      <c r="H1269" s="36" t="inlineStr">
        <is>
          <t>Trail Boots</t>
        </is>
      </c>
      <c r="I1269" s="36" t="n">
        <v>2</v>
      </c>
      <c r="J1269" s="39" t="n">
        <v>145.89</v>
      </c>
      <c r="K1269" s="45" t="n">
        <v>0</v>
      </c>
      <c r="L1269" s="39" t="n">
        <v>80.70999999999999</v>
      </c>
      <c r="M1269" s="39">
        <f>I1269*J1269*(1-K1269)</f>
        <v/>
      </c>
      <c r="N1269" s="39">
        <f>I1269*L1269</f>
        <v/>
      </c>
      <c r="O1269" s="39">
        <f>M1269-N1269</f>
        <v/>
      </c>
      <c r="P1269" s="38">
        <f>IF(M1269=0,0,O1269/M1269)</f>
        <v/>
      </c>
      <c r="Q1269" s="36">
        <f>YEAR(B1269)</f>
        <v/>
      </c>
      <c r="R1269" s="36">
        <f>"Q"&amp;ROUNDUP(MONTH(B1269)/3,0)</f>
        <v/>
      </c>
      <c r="S1269" s="36">
        <f>MONTH(B1269)</f>
        <v/>
      </c>
      <c r="T1269" s="36">
        <f>TEXT(B1269,"mmm")</f>
        <v/>
      </c>
      <c r="U1269" s="36">
        <f>IF(AND(OR(sel_Region="All",C1269=sel_Region),OR(sel_Country="All",D1269=sel_Country),OR(sel_Channel="All",E1269=sel_Channel),OR(sel_Customer="All",F1269=sel_Customer),OR(sel_Category="All",G1269=sel_Category),OR(sel_Product="All",H1269=sel_Product),AND(S1269&gt;=m_From,S1269&lt;=m_To)),1,0)</f>
        <v/>
      </c>
      <c r="V1269" s="36">
        <f>IF(AND(OR(sel_Region="All",C1269=sel_Region),OR(sel_Channel="All",E1269=sel_Channel),OR(sel_Customer="All",F1269=sel_Customer),OR(sel_Category="All",G1269=sel_Category),OR(sel_Product="All",H1269=sel_Product),AND(S1269&gt;=m_From,S1269&lt;=m_To)),1,0)</f>
        <v/>
      </c>
      <c r="W1269" s="36">
        <f>IF(AND(OR(sel_Region="All",C1269=sel_Region),OR(sel_Country="All",D1269=sel_Country),OR(sel_Customer="All",F1269=sel_Customer),OR(sel_Category="All",G1269=sel_Category),OR(sel_Product="All",H1269=sel_Product),AND(S1269&gt;=m_From,S1269&lt;=m_To)),1,0)</f>
        <v/>
      </c>
      <c r="X1269" s="36">
        <f>IF(AND(OR(sel_Region="All",C1269=sel_Region),OR(sel_Country="All",D1269=sel_Country),OR(sel_Channel="All",E1269=sel_Channel),OR(sel_Category="All",G1269=sel_Category),OR(sel_Product="All",H1269=sel_Product),AND(S1269&gt;=m_From,S1269&lt;=m_To)),1,0)</f>
        <v/>
      </c>
      <c r="Y1269" s="36">
        <f>IF(AND(OR(sel_Region="All",C1269=sel_Region),OR(sel_Country="All",D1269=sel_Country),OR(sel_Channel="All",E1269=sel_Channel),OR(sel_Customer="All",F1269=sel_Customer),OR(sel_Product="All",H1269=sel_Product),AND(S1269&gt;=m_From,S1269&lt;=m_To)),1,0)</f>
        <v/>
      </c>
      <c r="Z1269" s="36">
        <f>IF(AND(OR(sel_Region="All",C1269=sel_Region),OR(sel_Country="All",D1269=sel_Country),OR(sel_Channel="All",E1269=sel_Channel),OR(sel_Customer="All",F1269=sel_Customer),OR(sel_Category="All",G1269=sel_Category),AND(S1269&gt;=m_From,S1269&lt;=m_To)),1,0)</f>
        <v/>
      </c>
      <c r="AA1269" s="36">
        <f>IF(AND(OR(sel_Region="All",C1269=sel_Region),OR(sel_Country="All",D1269=sel_Country),OR(sel_Channel="All",E1269=sel_Channel),OR(sel_Customer="All",F1269=sel_Customer),OR(sel_Category="All",G1269=sel_Category),OR(sel_Product="All",H1269=sel_Product)),1,0)</f>
        <v/>
      </c>
    </row>
    <row r="1270">
      <c r="A1270" s="36" t="inlineStr">
        <is>
          <t>03591</t>
        </is>
      </c>
      <c r="B1270" s="44" t="n">
        <v>46207</v>
      </c>
      <c r="C1270" s="36" t="inlineStr">
        <is>
          <t>Western Europe</t>
        </is>
      </c>
      <c r="D1270" s="36" t="inlineStr">
        <is>
          <t>France</t>
        </is>
      </c>
      <c r="E1270" s="36" t="inlineStr">
        <is>
          <t>Online Store</t>
        </is>
      </c>
      <c r="F1270" s="36" t="inlineStr">
        <is>
          <t>Returning</t>
        </is>
      </c>
      <c r="G1270" s="36" t="inlineStr">
        <is>
          <t>Travel</t>
        </is>
      </c>
      <c r="H1270" s="36" t="inlineStr">
        <is>
          <t>Travel Backpack 35L</t>
        </is>
      </c>
      <c r="I1270" s="36" t="n">
        <v>1</v>
      </c>
      <c r="J1270" s="39" t="n">
        <v>163.25</v>
      </c>
      <c r="K1270" s="45" t="n">
        <v>0</v>
      </c>
      <c r="L1270" s="39" t="n">
        <v>89.70999999999999</v>
      </c>
      <c r="M1270" s="39">
        <f>I1270*J1270*(1-K1270)</f>
        <v/>
      </c>
      <c r="N1270" s="39">
        <f>I1270*L1270</f>
        <v/>
      </c>
      <c r="O1270" s="39">
        <f>M1270-N1270</f>
        <v/>
      </c>
      <c r="P1270" s="38">
        <f>IF(M1270=0,0,O1270/M1270)</f>
        <v/>
      </c>
      <c r="Q1270" s="36">
        <f>YEAR(B1270)</f>
        <v/>
      </c>
      <c r="R1270" s="36">
        <f>"Q"&amp;ROUNDUP(MONTH(B1270)/3,0)</f>
        <v/>
      </c>
      <c r="S1270" s="36">
        <f>MONTH(B1270)</f>
        <v/>
      </c>
      <c r="T1270" s="36">
        <f>TEXT(B1270,"mmm")</f>
        <v/>
      </c>
      <c r="U1270" s="36">
        <f>IF(AND(OR(sel_Region="All",C1270=sel_Region),OR(sel_Country="All",D1270=sel_Country),OR(sel_Channel="All",E1270=sel_Channel),OR(sel_Customer="All",F1270=sel_Customer),OR(sel_Category="All",G1270=sel_Category),OR(sel_Product="All",H1270=sel_Product),AND(S1270&gt;=m_From,S1270&lt;=m_To)),1,0)</f>
        <v/>
      </c>
      <c r="V1270" s="36">
        <f>IF(AND(OR(sel_Region="All",C1270=sel_Region),OR(sel_Channel="All",E1270=sel_Channel),OR(sel_Customer="All",F1270=sel_Customer),OR(sel_Category="All",G1270=sel_Category),OR(sel_Product="All",H1270=sel_Product),AND(S1270&gt;=m_From,S1270&lt;=m_To)),1,0)</f>
        <v/>
      </c>
      <c r="W1270" s="36">
        <f>IF(AND(OR(sel_Region="All",C1270=sel_Region),OR(sel_Country="All",D1270=sel_Country),OR(sel_Customer="All",F1270=sel_Customer),OR(sel_Category="All",G1270=sel_Category),OR(sel_Product="All",H1270=sel_Product),AND(S1270&gt;=m_From,S1270&lt;=m_To)),1,0)</f>
        <v/>
      </c>
      <c r="X1270" s="36">
        <f>IF(AND(OR(sel_Region="All",C1270=sel_Region),OR(sel_Country="All",D1270=sel_Country),OR(sel_Channel="All",E1270=sel_Channel),OR(sel_Category="All",G1270=sel_Category),OR(sel_Product="All",H1270=sel_Product),AND(S1270&gt;=m_From,S1270&lt;=m_To)),1,0)</f>
        <v/>
      </c>
      <c r="Y1270" s="36">
        <f>IF(AND(OR(sel_Region="All",C1270=sel_Region),OR(sel_Country="All",D1270=sel_Country),OR(sel_Channel="All",E1270=sel_Channel),OR(sel_Customer="All",F1270=sel_Customer),OR(sel_Product="All",H1270=sel_Product),AND(S1270&gt;=m_From,S1270&lt;=m_To)),1,0)</f>
        <v/>
      </c>
      <c r="Z1270" s="36">
        <f>IF(AND(OR(sel_Region="All",C1270=sel_Region),OR(sel_Country="All",D1270=sel_Country),OR(sel_Channel="All",E1270=sel_Channel),OR(sel_Customer="All",F1270=sel_Customer),OR(sel_Category="All",G1270=sel_Category),AND(S1270&gt;=m_From,S1270&lt;=m_To)),1,0)</f>
        <v/>
      </c>
      <c r="AA1270" s="36">
        <f>IF(AND(OR(sel_Region="All",C1270=sel_Region),OR(sel_Country="All",D1270=sel_Country),OR(sel_Channel="All",E1270=sel_Channel),OR(sel_Customer="All",F1270=sel_Customer),OR(sel_Category="All",G1270=sel_Category),OR(sel_Product="All",H1270=sel_Product)),1,0)</f>
        <v/>
      </c>
    </row>
    <row r="1271">
      <c r="A1271" s="36" t="inlineStr">
        <is>
          <t>03819</t>
        </is>
      </c>
      <c r="B1271" s="44" t="n">
        <v>46207</v>
      </c>
      <c r="C1271" s="36" t="inlineStr">
        <is>
          <t>Central Europe</t>
        </is>
      </c>
      <c r="D1271" s="36" t="inlineStr">
        <is>
          <t>Czechia</t>
        </is>
      </c>
      <c r="E1271" s="36" t="inlineStr">
        <is>
          <t>Online Store</t>
        </is>
      </c>
      <c r="F1271" s="36" t="inlineStr">
        <is>
          <t>Returning</t>
        </is>
      </c>
      <c r="G1271" s="36" t="inlineStr">
        <is>
          <t>Fitness</t>
        </is>
      </c>
      <c r="H1271" s="36" t="inlineStr">
        <is>
          <t>Resistance Band Set</t>
        </is>
      </c>
      <c r="I1271" s="36" t="n">
        <v>1</v>
      </c>
      <c r="J1271" s="39" t="n">
        <v>40.39</v>
      </c>
      <c r="K1271" s="45" t="n">
        <v>0.1</v>
      </c>
      <c r="L1271" s="39" t="n">
        <v>14.38</v>
      </c>
      <c r="M1271" s="39">
        <f>I1271*J1271*(1-K1271)</f>
        <v/>
      </c>
      <c r="N1271" s="39">
        <f>I1271*L1271</f>
        <v/>
      </c>
      <c r="O1271" s="39">
        <f>M1271-N1271</f>
        <v/>
      </c>
      <c r="P1271" s="38">
        <f>IF(M1271=0,0,O1271/M1271)</f>
        <v/>
      </c>
      <c r="Q1271" s="36">
        <f>YEAR(B1271)</f>
        <v/>
      </c>
      <c r="R1271" s="36">
        <f>"Q"&amp;ROUNDUP(MONTH(B1271)/3,0)</f>
        <v/>
      </c>
      <c r="S1271" s="36">
        <f>MONTH(B1271)</f>
        <v/>
      </c>
      <c r="T1271" s="36">
        <f>TEXT(B1271,"mmm")</f>
        <v/>
      </c>
      <c r="U1271" s="36">
        <f>IF(AND(OR(sel_Region="All",C1271=sel_Region),OR(sel_Country="All",D1271=sel_Country),OR(sel_Channel="All",E1271=sel_Channel),OR(sel_Customer="All",F1271=sel_Customer),OR(sel_Category="All",G1271=sel_Category),OR(sel_Product="All",H1271=sel_Product),AND(S1271&gt;=m_From,S1271&lt;=m_To)),1,0)</f>
        <v/>
      </c>
      <c r="V1271" s="36">
        <f>IF(AND(OR(sel_Region="All",C1271=sel_Region),OR(sel_Channel="All",E1271=sel_Channel),OR(sel_Customer="All",F1271=sel_Customer),OR(sel_Category="All",G1271=sel_Category),OR(sel_Product="All",H1271=sel_Product),AND(S1271&gt;=m_From,S1271&lt;=m_To)),1,0)</f>
        <v/>
      </c>
      <c r="W1271" s="36">
        <f>IF(AND(OR(sel_Region="All",C1271=sel_Region),OR(sel_Country="All",D1271=sel_Country),OR(sel_Customer="All",F1271=sel_Customer),OR(sel_Category="All",G1271=sel_Category),OR(sel_Product="All",H1271=sel_Product),AND(S1271&gt;=m_From,S1271&lt;=m_To)),1,0)</f>
        <v/>
      </c>
      <c r="X1271" s="36">
        <f>IF(AND(OR(sel_Region="All",C1271=sel_Region),OR(sel_Country="All",D1271=sel_Country),OR(sel_Channel="All",E1271=sel_Channel),OR(sel_Category="All",G1271=sel_Category),OR(sel_Product="All",H1271=sel_Product),AND(S1271&gt;=m_From,S1271&lt;=m_To)),1,0)</f>
        <v/>
      </c>
      <c r="Y1271" s="36">
        <f>IF(AND(OR(sel_Region="All",C1271=sel_Region),OR(sel_Country="All",D1271=sel_Country),OR(sel_Channel="All",E1271=sel_Channel),OR(sel_Customer="All",F1271=sel_Customer),OR(sel_Product="All",H1271=sel_Product),AND(S1271&gt;=m_From,S1271&lt;=m_To)),1,0)</f>
        <v/>
      </c>
      <c r="Z1271" s="36">
        <f>IF(AND(OR(sel_Region="All",C1271=sel_Region),OR(sel_Country="All",D1271=sel_Country),OR(sel_Channel="All",E1271=sel_Channel),OR(sel_Customer="All",F1271=sel_Customer),OR(sel_Category="All",G1271=sel_Category),AND(S1271&gt;=m_From,S1271&lt;=m_To)),1,0)</f>
        <v/>
      </c>
      <c r="AA1271" s="36">
        <f>IF(AND(OR(sel_Region="All",C1271=sel_Region),OR(sel_Country="All",D1271=sel_Country),OR(sel_Channel="All",E1271=sel_Channel),OR(sel_Customer="All",F1271=sel_Customer),OR(sel_Category="All",G1271=sel_Category),OR(sel_Product="All",H1271=sel_Product)),1,0)</f>
        <v/>
      </c>
    </row>
    <row r="1272">
      <c r="A1272" s="36" t="inlineStr">
        <is>
          <t>04869</t>
        </is>
      </c>
      <c r="B1272" s="44" t="n">
        <v>46207</v>
      </c>
      <c r="C1272" s="36" t="inlineStr">
        <is>
          <t>Southern Europe</t>
        </is>
      </c>
      <c r="D1272" s="36" t="inlineStr">
        <is>
          <t>Italy</t>
        </is>
      </c>
      <c r="E1272" s="36" t="inlineStr">
        <is>
          <t>Retail Partners</t>
        </is>
      </c>
      <c r="F1272" s="36" t="inlineStr">
        <is>
          <t>Returning</t>
        </is>
      </c>
      <c r="G1272" s="36" t="inlineStr">
        <is>
          <t>Camping</t>
        </is>
      </c>
      <c r="H1272" s="36" t="inlineStr">
        <is>
          <t>Trail Tent 2P</t>
        </is>
      </c>
      <c r="I1272" s="36" t="n">
        <v>1</v>
      </c>
      <c r="J1272" s="39" t="n">
        <v>200.22</v>
      </c>
      <c r="K1272" s="45" t="n">
        <v>0</v>
      </c>
      <c r="L1272" s="39" t="n">
        <v>104.38</v>
      </c>
      <c r="M1272" s="39">
        <f>I1272*J1272*(1-K1272)</f>
        <v/>
      </c>
      <c r="N1272" s="39">
        <f>I1272*L1272</f>
        <v/>
      </c>
      <c r="O1272" s="39">
        <f>M1272-N1272</f>
        <v/>
      </c>
      <c r="P1272" s="38">
        <f>IF(M1272=0,0,O1272/M1272)</f>
        <v/>
      </c>
      <c r="Q1272" s="36">
        <f>YEAR(B1272)</f>
        <v/>
      </c>
      <c r="R1272" s="36">
        <f>"Q"&amp;ROUNDUP(MONTH(B1272)/3,0)</f>
        <v/>
      </c>
      <c r="S1272" s="36">
        <f>MONTH(B1272)</f>
        <v/>
      </c>
      <c r="T1272" s="36">
        <f>TEXT(B1272,"mmm")</f>
        <v/>
      </c>
      <c r="U1272" s="36">
        <f>IF(AND(OR(sel_Region="All",C1272=sel_Region),OR(sel_Country="All",D1272=sel_Country),OR(sel_Channel="All",E1272=sel_Channel),OR(sel_Customer="All",F1272=sel_Customer),OR(sel_Category="All",G1272=sel_Category),OR(sel_Product="All",H1272=sel_Product),AND(S1272&gt;=m_From,S1272&lt;=m_To)),1,0)</f>
        <v/>
      </c>
      <c r="V1272" s="36">
        <f>IF(AND(OR(sel_Region="All",C1272=sel_Region),OR(sel_Channel="All",E1272=sel_Channel),OR(sel_Customer="All",F1272=sel_Customer),OR(sel_Category="All",G1272=sel_Category),OR(sel_Product="All",H1272=sel_Product),AND(S1272&gt;=m_From,S1272&lt;=m_To)),1,0)</f>
        <v/>
      </c>
      <c r="W1272" s="36">
        <f>IF(AND(OR(sel_Region="All",C1272=sel_Region),OR(sel_Country="All",D1272=sel_Country),OR(sel_Customer="All",F1272=sel_Customer),OR(sel_Category="All",G1272=sel_Category),OR(sel_Product="All",H1272=sel_Product),AND(S1272&gt;=m_From,S1272&lt;=m_To)),1,0)</f>
        <v/>
      </c>
      <c r="X1272" s="36">
        <f>IF(AND(OR(sel_Region="All",C1272=sel_Region),OR(sel_Country="All",D1272=sel_Country),OR(sel_Channel="All",E1272=sel_Channel),OR(sel_Category="All",G1272=sel_Category),OR(sel_Product="All",H1272=sel_Product),AND(S1272&gt;=m_From,S1272&lt;=m_To)),1,0)</f>
        <v/>
      </c>
      <c r="Y1272" s="36">
        <f>IF(AND(OR(sel_Region="All",C1272=sel_Region),OR(sel_Country="All",D1272=sel_Country),OR(sel_Channel="All",E1272=sel_Channel),OR(sel_Customer="All",F1272=sel_Customer),OR(sel_Product="All",H1272=sel_Product),AND(S1272&gt;=m_From,S1272&lt;=m_To)),1,0)</f>
        <v/>
      </c>
      <c r="Z1272" s="36">
        <f>IF(AND(OR(sel_Region="All",C1272=sel_Region),OR(sel_Country="All",D1272=sel_Country),OR(sel_Channel="All",E1272=sel_Channel),OR(sel_Customer="All",F1272=sel_Customer),OR(sel_Category="All",G1272=sel_Category),AND(S1272&gt;=m_From,S1272&lt;=m_To)),1,0)</f>
        <v/>
      </c>
      <c r="AA1272" s="36">
        <f>IF(AND(OR(sel_Region="All",C1272=sel_Region),OR(sel_Country="All",D1272=sel_Country),OR(sel_Channel="All",E1272=sel_Channel),OR(sel_Customer="All",F1272=sel_Customer),OR(sel_Category="All",G1272=sel_Category),OR(sel_Product="All",H1272=sel_Product)),1,0)</f>
        <v/>
      </c>
    </row>
    <row r="1273">
      <c r="A1273" s="36" t="inlineStr">
        <is>
          <t>04940</t>
        </is>
      </c>
      <c r="B1273" s="44" t="n">
        <v>46207</v>
      </c>
      <c r="C1273" s="36" t="inlineStr">
        <is>
          <t>Central Europe</t>
        </is>
      </c>
      <c r="D1273" s="36" t="inlineStr">
        <is>
          <t>Austria</t>
        </is>
      </c>
      <c r="E1273" s="36" t="inlineStr">
        <is>
          <t>Online Store</t>
        </is>
      </c>
      <c r="F1273" s="36" t="inlineStr">
        <is>
          <t>Returning</t>
        </is>
      </c>
      <c r="G1273" s="36" t="inlineStr">
        <is>
          <t>Travel</t>
        </is>
      </c>
      <c r="H1273" s="36" t="inlineStr">
        <is>
          <t>Travel Backpack 35L</t>
        </is>
      </c>
      <c r="I1273" s="36" t="n">
        <v>1</v>
      </c>
      <c r="J1273" s="39" t="n">
        <v>164.78</v>
      </c>
      <c r="K1273" s="45" t="n">
        <v>0.1</v>
      </c>
      <c r="L1273" s="39" t="n">
        <v>88.72</v>
      </c>
      <c r="M1273" s="39">
        <f>I1273*J1273*(1-K1273)</f>
        <v/>
      </c>
      <c r="N1273" s="39">
        <f>I1273*L1273</f>
        <v/>
      </c>
      <c r="O1273" s="39">
        <f>M1273-N1273</f>
        <v/>
      </c>
      <c r="P1273" s="38">
        <f>IF(M1273=0,0,O1273/M1273)</f>
        <v/>
      </c>
      <c r="Q1273" s="36">
        <f>YEAR(B1273)</f>
        <v/>
      </c>
      <c r="R1273" s="36">
        <f>"Q"&amp;ROUNDUP(MONTH(B1273)/3,0)</f>
        <v/>
      </c>
      <c r="S1273" s="36">
        <f>MONTH(B1273)</f>
        <v/>
      </c>
      <c r="T1273" s="36">
        <f>TEXT(B1273,"mmm")</f>
        <v/>
      </c>
      <c r="U1273" s="36">
        <f>IF(AND(OR(sel_Region="All",C1273=sel_Region),OR(sel_Country="All",D1273=sel_Country),OR(sel_Channel="All",E1273=sel_Channel),OR(sel_Customer="All",F1273=sel_Customer),OR(sel_Category="All",G1273=sel_Category),OR(sel_Product="All",H1273=sel_Product),AND(S1273&gt;=m_From,S1273&lt;=m_To)),1,0)</f>
        <v/>
      </c>
      <c r="V1273" s="36">
        <f>IF(AND(OR(sel_Region="All",C1273=sel_Region),OR(sel_Channel="All",E1273=sel_Channel),OR(sel_Customer="All",F1273=sel_Customer),OR(sel_Category="All",G1273=sel_Category),OR(sel_Product="All",H1273=sel_Product),AND(S1273&gt;=m_From,S1273&lt;=m_To)),1,0)</f>
        <v/>
      </c>
      <c r="W1273" s="36">
        <f>IF(AND(OR(sel_Region="All",C1273=sel_Region),OR(sel_Country="All",D1273=sel_Country),OR(sel_Customer="All",F1273=sel_Customer),OR(sel_Category="All",G1273=sel_Category),OR(sel_Product="All",H1273=sel_Product),AND(S1273&gt;=m_From,S1273&lt;=m_To)),1,0)</f>
        <v/>
      </c>
      <c r="X1273" s="36">
        <f>IF(AND(OR(sel_Region="All",C1273=sel_Region),OR(sel_Country="All",D1273=sel_Country),OR(sel_Channel="All",E1273=sel_Channel),OR(sel_Category="All",G1273=sel_Category),OR(sel_Product="All",H1273=sel_Product),AND(S1273&gt;=m_From,S1273&lt;=m_To)),1,0)</f>
        <v/>
      </c>
      <c r="Y1273" s="36">
        <f>IF(AND(OR(sel_Region="All",C1273=sel_Region),OR(sel_Country="All",D1273=sel_Country),OR(sel_Channel="All",E1273=sel_Channel),OR(sel_Customer="All",F1273=sel_Customer),OR(sel_Product="All",H1273=sel_Product),AND(S1273&gt;=m_From,S1273&lt;=m_To)),1,0)</f>
        <v/>
      </c>
      <c r="Z1273" s="36">
        <f>IF(AND(OR(sel_Region="All",C1273=sel_Region),OR(sel_Country="All",D1273=sel_Country),OR(sel_Channel="All",E1273=sel_Channel),OR(sel_Customer="All",F1273=sel_Customer),OR(sel_Category="All",G1273=sel_Category),AND(S1273&gt;=m_From,S1273&lt;=m_To)),1,0)</f>
        <v/>
      </c>
      <c r="AA1273" s="36">
        <f>IF(AND(OR(sel_Region="All",C1273=sel_Region),OR(sel_Country="All",D1273=sel_Country),OR(sel_Channel="All",E1273=sel_Channel),OR(sel_Customer="All",F1273=sel_Customer),OR(sel_Category="All",G1273=sel_Category),OR(sel_Product="All",H1273=sel_Product)),1,0)</f>
        <v/>
      </c>
    </row>
    <row r="1274">
      <c r="A1274" s="36" t="inlineStr">
        <is>
          <t>05164</t>
        </is>
      </c>
      <c r="B1274" s="44" t="n">
        <v>46207</v>
      </c>
      <c r="C1274" s="36" t="inlineStr">
        <is>
          <t>Central Europe</t>
        </is>
      </c>
      <c r="D1274" s="36" t="inlineStr">
        <is>
          <t>Poland</t>
        </is>
      </c>
      <c r="E1274" s="36" t="inlineStr">
        <is>
          <t>Online Store</t>
        </is>
      </c>
      <c r="F1274" s="36" t="inlineStr">
        <is>
          <t>Returning</t>
        </is>
      </c>
      <c r="G1274" s="36" t="inlineStr">
        <is>
          <t>Hiking</t>
        </is>
      </c>
      <c r="H1274" s="36" t="inlineStr">
        <is>
          <t>Trail Boots</t>
        </is>
      </c>
      <c r="I1274" s="36" t="n">
        <v>4</v>
      </c>
      <c r="J1274" s="39" t="n">
        <v>142.86</v>
      </c>
      <c r="K1274" s="45" t="n">
        <v>0</v>
      </c>
      <c r="L1274" s="39" t="n">
        <v>81.62</v>
      </c>
      <c r="M1274" s="39">
        <f>I1274*J1274*(1-K1274)</f>
        <v/>
      </c>
      <c r="N1274" s="39">
        <f>I1274*L1274</f>
        <v/>
      </c>
      <c r="O1274" s="39">
        <f>M1274-N1274</f>
        <v/>
      </c>
      <c r="P1274" s="38">
        <f>IF(M1274=0,0,O1274/M1274)</f>
        <v/>
      </c>
      <c r="Q1274" s="36">
        <f>YEAR(B1274)</f>
        <v/>
      </c>
      <c r="R1274" s="36">
        <f>"Q"&amp;ROUNDUP(MONTH(B1274)/3,0)</f>
        <v/>
      </c>
      <c r="S1274" s="36">
        <f>MONTH(B1274)</f>
        <v/>
      </c>
      <c r="T1274" s="36">
        <f>TEXT(B1274,"mmm")</f>
        <v/>
      </c>
      <c r="U1274" s="36">
        <f>IF(AND(OR(sel_Region="All",C1274=sel_Region),OR(sel_Country="All",D1274=sel_Country),OR(sel_Channel="All",E1274=sel_Channel),OR(sel_Customer="All",F1274=sel_Customer),OR(sel_Category="All",G1274=sel_Category),OR(sel_Product="All",H1274=sel_Product),AND(S1274&gt;=m_From,S1274&lt;=m_To)),1,0)</f>
        <v/>
      </c>
      <c r="V1274" s="36">
        <f>IF(AND(OR(sel_Region="All",C1274=sel_Region),OR(sel_Channel="All",E1274=sel_Channel),OR(sel_Customer="All",F1274=sel_Customer),OR(sel_Category="All",G1274=sel_Category),OR(sel_Product="All",H1274=sel_Product),AND(S1274&gt;=m_From,S1274&lt;=m_To)),1,0)</f>
        <v/>
      </c>
      <c r="W1274" s="36">
        <f>IF(AND(OR(sel_Region="All",C1274=sel_Region),OR(sel_Country="All",D1274=sel_Country),OR(sel_Customer="All",F1274=sel_Customer),OR(sel_Category="All",G1274=sel_Category),OR(sel_Product="All",H1274=sel_Product),AND(S1274&gt;=m_From,S1274&lt;=m_To)),1,0)</f>
        <v/>
      </c>
      <c r="X1274" s="36">
        <f>IF(AND(OR(sel_Region="All",C1274=sel_Region),OR(sel_Country="All",D1274=sel_Country),OR(sel_Channel="All",E1274=sel_Channel),OR(sel_Category="All",G1274=sel_Category),OR(sel_Product="All",H1274=sel_Product),AND(S1274&gt;=m_From,S1274&lt;=m_To)),1,0)</f>
        <v/>
      </c>
      <c r="Y1274" s="36">
        <f>IF(AND(OR(sel_Region="All",C1274=sel_Region),OR(sel_Country="All",D1274=sel_Country),OR(sel_Channel="All",E1274=sel_Channel),OR(sel_Customer="All",F1274=sel_Customer),OR(sel_Product="All",H1274=sel_Product),AND(S1274&gt;=m_From,S1274&lt;=m_To)),1,0)</f>
        <v/>
      </c>
      <c r="Z1274" s="36">
        <f>IF(AND(OR(sel_Region="All",C1274=sel_Region),OR(sel_Country="All",D1274=sel_Country),OR(sel_Channel="All",E1274=sel_Channel),OR(sel_Customer="All",F1274=sel_Customer),OR(sel_Category="All",G1274=sel_Category),AND(S1274&gt;=m_From,S1274&lt;=m_To)),1,0)</f>
        <v/>
      </c>
      <c r="AA1274" s="36">
        <f>IF(AND(OR(sel_Region="All",C1274=sel_Region),OR(sel_Country="All",D1274=sel_Country),OR(sel_Channel="All",E1274=sel_Channel),OR(sel_Customer="All",F1274=sel_Customer),OR(sel_Category="All",G1274=sel_Category),OR(sel_Product="All",H1274=sel_Product)),1,0)</f>
        <v/>
      </c>
    </row>
    <row r="1275">
      <c r="A1275" s="36" t="inlineStr">
        <is>
          <t>00659</t>
        </is>
      </c>
      <c r="B1275" s="44" t="n">
        <v>46208</v>
      </c>
      <c r="C1275" s="36" t="inlineStr">
        <is>
          <t>Western Europe</t>
        </is>
      </c>
      <c r="D1275" s="36" t="inlineStr">
        <is>
          <t>France</t>
        </is>
      </c>
      <c r="E1275" s="36" t="inlineStr">
        <is>
          <t>Marketplace</t>
        </is>
      </c>
      <c r="F1275" s="36" t="inlineStr">
        <is>
          <t>Business</t>
        </is>
      </c>
      <c r="G1275" s="36" t="inlineStr">
        <is>
          <t>Cycling</t>
        </is>
      </c>
      <c r="H1275" s="36" t="inlineStr">
        <is>
          <t>Compact Repair Kit</t>
        </is>
      </c>
      <c r="I1275" s="36" t="n">
        <v>1</v>
      </c>
      <c r="J1275" s="39" t="n">
        <v>41.18</v>
      </c>
      <c r="K1275" s="45" t="n">
        <v>0</v>
      </c>
      <c r="L1275" s="39" t="n">
        <v>16.25</v>
      </c>
      <c r="M1275" s="39">
        <f>I1275*J1275*(1-K1275)</f>
        <v/>
      </c>
      <c r="N1275" s="39">
        <f>I1275*L1275</f>
        <v/>
      </c>
      <c r="O1275" s="39">
        <f>M1275-N1275</f>
        <v/>
      </c>
      <c r="P1275" s="38">
        <f>IF(M1275=0,0,O1275/M1275)</f>
        <v/>
      </c>
      <c r="Q1275" s="36">
        <f>YEAR(B1275)</f>
        <v/>
      </c>
      <c r="R1275" s="36">
        <f>"Q"&amp;ROUNDUP(MONTH(B1275)/3,0)</f>
        <v/>
      </c>
      <c r="S1275" s="36">
        <f>MONTH(B1275)</f>
        <v/>
      </c>
      <c r="T1275" s="36">
        <f>TEXT(B1275,"mmm")</f>
        <v/>
      </c>
      <c r="U1275" s="36">
        <f>IF(AND(OR(sel_Region="All",C1275=sel_Region),OR(sel_Country="All",D1275=sel_Country),OR(sel_Channel="All",E1275=sel_Channel),OR(sel_Customer="All",F1275=sel_Customer),OR(sel_Category="All",G1275=sel_Category),OR(sel_Product="All",H1275=sel_Product),AND(S1275&gt;=m_From,S1275&lt;=m_To)),1,0)</f>
        <v/>
      </c>
      <c r="V1275" s="36">
        <f>IF(AND(OR(sel_Region="All",C1275=sel_Region),OR(sel_Channel="All",E1275=sel_Channel),OR(sel_Customer="All",F1275=sel_Customer),OR(sel_Category="All",G1275=sel_Category),OR(sel_Product="All",H1275=sel_Product),AND(S1275&gt;=m_From,S1275&lt;=m_To)),1,0)</f>
        <v/>
      </c>
      <c r="W1275" s="36">
        <f>IF(AND(OR(sel_Region="All",C1275=sel_Region),OR(sel_Country="All",D1275=sel_Country),OR(sel_Customer="All",F1275=sel_Customer),OR(sel_Category="All",G1275=sel_Category),OR(sel_Product="All",H1275=sel_Product),AND(S1275&gt;=m_From,S1275&lt;=m_To)),1,0)</f>
        <v/>
      </c>
      <c r="X1275" s="36">
        <f>IF(AND(OR(sel_Region="All",C1275=sel_Region),OR(sel_Country="All",D1275=sel_Country),OR(sel_Channel="All",E1275=sel_Channel),OR(sel_Category="All",G1275=sel_Category),OR(sel_Product="All",H1275=sel_Product),AND(S1275&gt;=m_From,S1275&lt;=m_To)),1,0)</f>
        <v/>
      </c>
      <c r="Y1275" s="36">
        <f>IF(AND(OR(sel_Region="All",C1275=sel_Region),OR(sel_Country="All",D1275=sel_Country),OR(sel_Channel="All",E1275=sel_Channel),OR(sel_Customer="All",F1275=sel_Customer),OR(sel_Product="All",H1275=sel_Product),AND(S1275&gt;=m_From,S1275&lt;=m_To)),1,0)</f>
        <v/>
      </c>
      <c r="Z1275" s="36">
        <f>IF(AND(OR(sel_Region="All",C1275=sel_Region),OR(sel_Country="All",D1275=sel_Country),OR(sel_Channel="All",E1275=sel_Channel),OR(sel_Customer="All",F1275=sel_Customer),OR(sel_Category="All",G1275=sel_Category),AND(S1275&gt;=m_From,S1275&lt;=m_To)),1,0)</f>
        <v/>
      </c>
      <c r="AA1275" s="36">
        <f>IF(AND(OR(sel_Region="All",C1275=sel_Region),OR(sel_Country="All",D1275=sel_Country),OR(sel_Channel="All",E1275=sel_Channel),OR(sel_Customer="All",F1275=sel_Customer),OR(sel_Category="All",G1275=sel_Category),OR(sel_Product="All",H1275=sel_Product)),1,0)</f>
        <v/>
      </c>
    </row>
    <row r="1276">
      <c r="A1276" s="36" t="inlineStr">
        <is>
          <t>00969</t>
        </is>
      </c>
      <c r="B1276" s="44" t="n">
        <v>46208</v>
      </c>
      <c r="C1276" s="36" t="inlineStr">
        <is>
          <t>Central Europe</t>
        </is>
      </c>
      <c r="D1276" s="36" t="inlineStr">
        <is>
          <t>Switzerland</t>
        </is>
      </c>
      <c r="E1276" s="36" t="inlineStr">
        <is>
          <t>Corporate</t>
        </is>
      </c>
      <c r="F1276" s="36" t="inlineStr">
        <is>
          <t>Business</t>
        </is>
      </c>
      <c r="G1276" s="36" t="inlineStr">
        <is>
          <t>Fitness</t>
        </is>
      </c>
      <c r="H1276" s="36" t="inlineStr">
        <is>
          <t>Recovery Roller</t>
        </is>
      </c>
      <c r="I1276" s="36" t="n">
        <v>12</v>
      </c>
      <c r="J1276" s="39" t="n">
        <v>35.81</v>
      </c>
      <c r="K1276" s="45" t="n">
        <v>0.15</v>
      </c>
      <c r="L1276" s="39" t="n">
        <v>14.29</v>
      </c>
      <c r="M1276" s="39">
        <f>I1276*J1276*(1-K1276)</f>
        <v/>
      </c>
      <c r="N1276" s="39">
        <f>I1276*L1276</f>
        <v/>
      </c>
      <c r="O1276" s="39">
        <f>M1276-N1276</f>
        <v/>
      </c>
      <c r="P1276" s="38">
        <f>IF(M1276=0,0,O1276/M1276)</f>
        <v/>
      </c>
      <c r="Q1276" s="36">
        <f>YEAR(B1276)</f>
        <v/>
      </c>
      <c r="R1276" s="36">
        <f>"Q"&amp;ROUNDUP(MONTH(B1276)/3,0)</f>
        <v/>
      </c>
      <c r="S1276" s="36">
        <f>MONTH(B1276)</f>
        <v/>
      </c>
      <c r="T1276" s="36">
        <f>TEXT(B1276,"mmm")</f>
        <v/>
      </c>
      <c r="U1276" s="36">
        <f>IF(AND(OR(sel_Region="All",C1276=sel_Region),OR(sel_Country="All",D1276=sel_Country),OR(sel_Channel="All",E1276=sel_Channel),OR(sel_Customer="All",F1276=sel_Customer),OR(sel_Category="All",G1276=sel_Category),OR(sel_Product="All",H1276=sel_Product),AND(S1276&gt;=m_From,S1276&lt;=m_To)),1,0)</f>
        <v/>
      </c>
      <c r="V1276" s="36">
        <f>IF(AND(OR(sel_Region="All",C1276=sel_Region),OR(sel_Channel="All",E1276=sel_Channel),OR(sel_Customer="All",F1276=sel_Customer),OR(sel_Category="All",G1276=sel_Category),OR(sel_Product="All",H1276=sel_Product),AND(S1276&gt;=m_From,S1276&lt;=m_To)),1,0)</f>
        <v/>
      </c>
      <c r="W1276" s="36">
        <f>IF(AND(OR(sel_Region="All",C1276=sel_Region),OR(sel_Country="All",D1276=sel_Country),OR(sel_Customer="All",F1276=sel_Customer),OR(sel_Category="All",G1276=sel_Category),OR(sel_Product="All",H1276=sel_Product),AND(S1276&gt;=m_From,S1276&lt;=m_To)),1,0)</f>
        <v/>
      </c>
      <c r="X1276" s="36">
        <f>IF(AND(OR(sel_Region="All",C1276=sel_Region),OR(sel_Country="All",D1276=sel_Country),OR(sel_Channel="All",E1276=sel_Channel),OR(sel_Category="All",G1276=sel_Category),OR(sel_Product="All",H1276=sel_Product),AND(S1276&gt;=m_From,S1276&lt;=m_To)),1,0)</f>
        <v/>
      </c>
      <c r="Y1276" s="36">
        <f>IF(AND(OR(sel_Region="All",C1276=sel_Region),OR(sel_Country="All",D1276=sel_Country),OR(sel_Channel="All",E1276=sel_Channel),OR(sel_Customer="All",F1276=sel_Customer),OR(sel_Product="All",H1276=sel_Product),AND(S1276&gt;=m_From,S1276&lt;=m_To)),1,0)</f>
        <v/>
      </c>
      <c r="Z1276" s="36">
        <f>IF(AND(OR(sel_Region="All",C1276=sel_Region),OR(sel_Country="All",D1276=sel_Country),OR(sel_Channel="All",E1276=sel_Channel),OR(sel_Customer="All",F1276=sel_Customer),OR(sel_Category="All",G1276=sel_Category),AND(S1276&gt;=m_From,S1276&lt;=m_To)),1,0)</f>
        <v/>
      </c>
      <c r="AA1276" s="36">
        <f>IF(AND(OR(sel_Region="All",C1276=sel_Region),OR(sel_Country="All",D1276=sel_Country),OR(sel_Channel="All",E1276=sel_Channel),OR(sel_Customer="All",F1276=sel_Customer),OR(sel_Category="All",G1276=sel_Category),OR(sel_Product="All",H1276=sel_Product)),1,0)</f>
        <v/>
      </c>
    </row>
    <row r="1277">
      <c r="A1277" s="36" t="inlineStr">
        <is>
          <t>01096</t>
        </is>
      </c>
      <c r="B1277" s="44" t="n">
        <v>46208</v>
      </c>
      <c r="C1277" s="36" t="inlineStr">
        <is>
          <t>Central Europe</t>
        </is>
      </c>
      <c r="D1277" s="36" t="inlineStr">
        <is>
          <t>Poland</t>
        </is>
      </c>
      <c r="E1277" s="36" t="inlineStr">
        <is>
          <t>Retail Partners</t>
        </is>
      </c>
      <c r="F1277" s="36" t="inlineStr">
        <is>
          <t>New</t>
        </is>
      </c>
      <c r="G1277" s="36" t="inlineStr">
        <is>
          <t>Camping</t>
        </is>
      </c>
      <c r="H1277" s="36" t="inlineStr">
        <is>
          <t>Alpine Tent 4P</t>
        </is>
      </c>
      <c r="I1277" s="36" t="n">
        <v>3</v>
      </c>
      <c r="J1277" s="39" t="n">
        <v>345.42</v>
      </c>
      <c r="K1277" s="45" t="n">
        <v>0</v>
      </c>
      <c r="L1277" s="39" t="n">
        <v>198.69</v>
      </c>
      <c r="M1277" s="39">
        <f>I1277*J1277*(1-K1277)</f>
        <v/>
      </c>
      <c r="N1277" s="39">
        <f>I1277*L1277</f>
        <v/>
      </c>
      <c r="O1277" s="39">
        <f>M1277-N1277</f>
        <v/>
      </c>
      <c r="P1277" s="38">
        <f>IF(M1277=0,0,O1277/M1277)</f>
        <v/>
      </c>
      <c r="Q1277" s="36">
        <f>YEAR(B1277)</f>
        <v/>
      </c>
      <c r="R1277" s="36">
        <f>"Q"&amp;ROUNDUP(MONTH(B1277)/3,0)</f>
        <v/>
      </c>
      <c r="S1277" s="36">
        <f>MONTH(B1277)</f>
        <v/>
      </c>
      <c r="T1277" s="36">
        <f>TEXT(B1277,"mmm")</f>
        <v/>
      </c>
      <c r="U1277" s="36">
        <f>IF(AND(OR(sel_Region="All",C1277=sel_Region),OR(sel_Country="All",D1277=sel_Country),OR(sel_Channel="All",E1277=sel_Channel),OR(sel_Customer="All",F1277=sel_Customer),OR(sel_Category="All",G1277=sel_Category),OR(sel_Product="All",H1277=sel_Product),AND(S1277&gt;=m_From,S1277&lt;=m_To)),1,0)</f>
        <v/>
      </c>
      <c r="V1277" s="36">
        <f>IF(AND(OR(sel_Region="All",C1277=sel_Region),OR(sel_Channel="All",E1277=sel_Channel),OR(sel_Customer="All",F1277=sel_Customer),OR(sel_Category="All",G1277=sel_Category),OR(sel_Product="All",H1277=sel_Product),AND(S1277&gt;=m_From,S1277&lt;=m_To)),1,0)</f>
        <v/>
      </c>
      <c r="W1277" s="36">
        <f>IF(AND(OR(sel_Region="All",C1277=sel_Region),OR(sel_Country="All",D1277=sel_Country),OR(sel_Customer="All",F1277=sel_Customer),OR(sel_Category="All",G1277=sel_Category),OR(sel_Product="All",H1277=sel_Product),AND(S1277&gt;=m_From,S1277&lt;=m_To)),1,0)</f>
        <v/>
      </c>
      <c r="X1277" s="36">
        <f>IF(AND(OR(sel_Region="All",C1277=sel_Region),OR(sel_Country="All",D1277=sel_Country),OR(sel_Channel="All",E1277=sel_Channel),OR(sel_Category="All",G1277=sel_Category),OR(sel_Product="All",H1277=sel_Product),AND(S1277&gt;=m_From,S1277&lt;=m_To)),1,0)</f>
        <v/>
      </c>
      <c r="Y1277" s="36">
        <f>IF(AND(OR(sel_Region="All",C1277=sel_Region),OR(sel_Country="All",D1277=sel_Country),OR(sel_Channel="All",E1277=sel_Channel),OR(sel_Customer="All",F1277=sel_Customer),OR(sel_Product="All",H1277=sel_Product),AND(S1277&gt;=m_From,S1277&lt;=m_To)),1,0)</f>
        <v/>
      </c>
      <c r="Z1277" s="36">
        <f>IF(AND(OR(sel_Region="All",C1277=sel_Region),OR(sel_Country="All",D1277=sel_Country),OR(sel_Channel="All",E1277=sel_Channel),OR(sel_Customer="All",F1277=sel_Customer),OR(sel_Category="All",G1277=sel_Category),AND(S1277&gt;=m_From,S1277&lt;=m_To)),1,0)</f>
        <v/>
      </c>
      <c r="AA1277" s="36">
        <f>IF(AND(OR(sel_Region="All",C1277=sel_Region),OR(sel_Country="All",D1277=sel_Country),OR(sel_Channel="All",E1277=sel_Channel),OR(sel_Customer="All",F1277=sel_Customer),OR(sel_Category="All",G1277=sel_Category),OR(sel_Product="All",H1277=sel_Product)),1,0)</f>
        <v/>
      </c>
    </row>
    <row r="1278">
      <c r="A1278" s="36" t="inlineStr">
        <is>
          <t>01440</t>
        </is>
      </c>
      <c r="B1278" s="44" t="n">
        <v>46208</v>
      </c>
      <c r="C1278" s="36" t="inlineStr">
        <is>
          <t>Western Europe</t>
        </is>
      </c>
      <c r="D1278" s="36" t="inlineStr">
        <is>
          <t>United Kingdom</t>
        </is>
      </c>
      <c r="E1278" s="36" t="inlineStr">
        <is>
          <t>Online Store</t>
        </is>
      </c>
      <c r="F1278" s="36" t="inlineStr">
        <is>
          <t>Returning</t>
        </is>
      </c>
      <c r="G1278" s="36" t="inlineStr">
        <is>
          <t>Cycling</t>
        </is>
      </c>
      <c r="H1278" s="36" t="inlineStr">
        <is>
          <t>Cycling Pack 12L</t>
        </is>
      </c>
      <c r="I1278" s="36" t="n">
        <v>4</v>
      </c>
      <c r="J1278" s="39" t="n">
        <v>101.66</v>
      </c>
      <c r="K1278" s="45" t="n">
        <v>0.1</v>
      </c>
      <c r="L1278" s="39" t="n">
        <v>51.55</v>
      </c>
      <c r="M1278" s="39">
        <f>I1278*J1278*(1-K1278)</f>
        <v/>
      </c>
      <c r="N1278" s="39">
        <f>I1278*L1278</f>
        <v/>
      </c>
      <c r="O1278" s="39">
        <f>M1278-N1278</f>
        <v/>
      </c>
      <c r="P1278" s="38">
        <f>IF(M1278=0,0,O1278/M1278)</f>
        <v/>
      </c>
      <c r="Q1278" s="36">
        <f>YEAR(B1278)</f>
        <v/>
      </c>
      <c r="R1278" s="36">
        <f>"Q"&amp;ROUNDUP(MONTH(B1278)/3,0)</f>
        <v/>
      </c>
      <c r="S1278" s="36">
        <f>MONTH(B1278)</f>
        <v/>
      </c>
      <c r="T1278" s="36">
        <f>TEXT(B1278,"mmm")</f>
        <v/>
      </c>
      <c r="U1278" s="36">
        <f>IF(AND(OR(sel_Region="All",C1278=sel_Region),OR(sel_Country="All",D1278=sel_Country),OR(sel_Channel="All",E1278=sel_Channel),OR(sel_Customer="All",F1278=sel_Customer),OR(sel_Category="All",G1278=sel_Category),OR(sel_Product="All",H1278=sel_Product),AND(S1278&gt;=m_From,S1278&lt;=m_To)),1,0)</f>
        <v/>
      </c>
      <c r="V1278" s="36">
        <f>IF(AND(OR(sel_Region="All",C1278=sel_Region),OR(sel_Channel="All",E1278=sel_Channel),OR(sel_Customer="All",F1278=sel_Customer),OR(sel_Category="All",G1278=sel_Category),OR(sel_Product="All",H1278=sel_Product),AND(S1278&gt;=m_From,S1278&lt;=m_To)),1,0)</f>
        <v/>
      </c>
      <c r="W1278" s="36">
        <f>IF(AND(OR(sel_Region="All",C1278=sel_Region),OR(sel_Country="All",D1278=sel_Country),OR(sel_Customer="All",F1278=sel_Customer),OR(sel_Category="All",G1278=sel_Category),OR(sel_Product="All",H1278=sel_Product),AND(S1278&gt;=m_From,S1278&lt;=m_To)),1,0)</f>
        <v/>
      </c>
      <c r="X1278" s="36">
        <f>IF(AND(OR(sel_Region="All",C1278=sel_Region),OR(sel_Country="All",D1278=sel_Country),OR(sel_Channel="All",E1278=sel_Channel),OR(sel_Category="All",G1278=sel_Category),OR(sel_Product="All",H1278=sel_Product),AND(S1278&gt;=m_From,S1278&lt;=m_To)),1,0)</f>
        <v/>
      </c>
      <c r="Y1278" s="36">
        <f>IF(AND(OR(sel_Region="All",C1278=sel_Region),OR(sel_Country="All",D1278=sel_Country),OR(sel_Channel="All",E1278=sel_Channel),OR(sel_Customer="All",F1278=sel_Customer),OR(sel_Product="All",H1278=sel_Product),AND(S1278&gt;=m_From,S1278&lt;=m_To)),1,0)</f>
        <v/>
      </c>
      <c r="Z1278" s="36">
        <f>IF(AND(OR(sel_Region="All",C1278=sel_Region),OR(sel_Country="All",D1278=sel_Country),OR(sel_Channel="All",E1278=sel_Channel),OR(sel_Customer="All",F1278=sel_Customer),OR(sel_Category="All",G1278=sel_Category),AND(S1278&gt;=m_From,S1278&lt;=m_To)),1,0)</f>
        <v/>
      </c>
      <c r="AA1278" s="36">
        <f>IF(AND(OR(sel_Region="All",C1278=sel_Region),OR(sel_Country="All",D1278=sel_Country),OR(sel_Channel="All",E1278=sel_Channel),OR(sel_Customer="All",F1278=sel_Customer),OR(sel_Category="All",G1278=sel_Category),OR(sel_Product="All",H1278=sel_Product)),1,0)</f>
        <v/>
      </c>
    </row>
    <row r="1279">
      <c r="A1279" s="36" t="inlineStr">
        <is>
          <t>02052</t>
        </is>
      </c>
      <c r="B1279" s="44" t="n">
        <v>46208</v>
      </c>
      <c r="C1279" s="36" t="inlineStr">
        <is>
          <t>Western Europe</t>
        </is>
      </c>
      <c r="D1279" s="36" t="inlineStr">
        <is>
          <t>France</t>
        </is>
      </c>
      <c r="E1279" s="36" t="inlineStr">
        <is>
          <t>Online Store</t>
        </is>
      </c>
      <c r="F1279" s="36" t="inlineStr">
        <is>
          <t>Business</t>
        </is>
      </c>
      <c r="G1279" s="36" t="inlineStr">
        <is>
          <t>Hiking</t>
        </is>
      </c>
      <c r="H1279" s="36" t="inlineStr">
        <is>
          <t>Trail Boots</t>
        </is>
      </c>
      <c r="I1279" s="36" t="n">
        <v>3</v>
      </c>
      <c r="J1279" s="39" t="n">
        <v>146.89</v>
      </c>
      <c r="K1279" s="45" t="n">
        <v>0</v>
      </c>
      <c r="L1279" s="39" t="n">
        <v>77.65000000000001</v>
      </c>
      <c r="M1279" s="39">
        <f>I1279*J1279*(1-K1279)</f>
        <v/>
      </c>
      <c r="N1279" s="39">
        <f>I1279*L1279</f>
        <v/>
      </c>
      <c r="O1279" s="39">
        <f>M1279-N1279</f>
        <v/>
      </c>
      <c r="P1279" s="38">
        <f>IF(M1279=0,0,O1279/M1279)</f>
        <v/>
      </c>
      <c r="Q1279" s="36">
        <f>YEAR(B1279)</f>
        <v/>
      </c>
      <c r="R1279" s="36">
        <f>"Q"&amp;ROUNDUP(MONTH(B1279)/3,0)</f>
        <v/>
      </c>
      <c r="S1279" s="36">
        <f>MONTH(B1279)</f>
        <v/>
      </c>
      <c r="T1279" s="36">
        <f>TEXT(B1279,"mmm")</f>
        <v/>
      </c>
      <c r="U1279" s="36">
        <f>IF(AND(OR(sel_Region="All",C1279=sel_Region),OR(sel_Country="All",D1279=sel_Country),OR(sel_Channel="All",E1279=sel_Channel),OR(sel_Customer="All",F1279=sel_Customer),OR(sel_Category="All",G1279=sel_Category),OR(sel_Product="All",H1279=sel_Product),AND(S1279&gt;=m_From,S1279&lt;=m_To)),1,0)</f>
        <v/>
      </c>
      <c r="V1279" s="36">
        <f>IF(AND(OR(sel_Region="All",C1279=sel_Region),OR(sel_Channel="All",E1279=sel_Channel),OR(sel_Customer="All",F1279=sel_Customer),OR(sel_Category="All",G1279=sel_Category),OR(sel_Product="All",H1279=sel_Product),AND(S1279&gt;=m_From,S1279&lt;=m_To)),1,0)</f>
        <v/>
      </c>
      <c r="W1279" s="36">
        <f>IF(AND(OR(sel_Region="All",C1279=sel_Region),OR(sel_Country="All",D1279=sel_Country),OR(sel_Customer="All",F1279=sel_Customer),OR(sel_Category="All",G1279=sel_Category),OR(sel_Product="All",H1279=sel_Product),AND(S1279&gt;=m_From,S1279&lt;=m_To)),1,0)</f>
        <v/>
      </c>
      <c r="X1279" s="36">
        <f>IF(AND(OR(sel_Region="All",C1279=sel_Region),OR(sel_Country="All",D1279=sel_Country),OR(sel_Channel="All",E1279=sel_Channel),OR(sel_Category="All",G1279=sel_Category),OR(sel_Product="All",H1279=sel_Product),AND(S1279&gt;=m_From,S1279&lt;=m_To)),1,0)</f>
        <v/>
      </c>
      <c r="Y1279" s="36">
        <f>IF(AND(OR(sel_Region="All",C1279=sel_Region),OR(sel_Country="All",D1279=sel_Country),OR(sel_Channel="All",E1279=sel_Channel),OR(sel_Customer="All",F1279=sel_Customer),OR(sel_Product="All",H1279=sel_Product),AND(S1279&gt;=m_From,S1279&lt;=m_To)),1,0)</f>
        <v/>
      </c>
      <c r="Z1279" s="36">
        <f>IF(AND(OR(sel_Region="All",C1279=sel_Region),OR(sel_Country="All",D1279=sel_Country),OR(sel_Channel="All",E1279=sel_Channel),OR(sel_Customer="All",F1279=sel_Customer),OR(sel_Category="All",G1279=sel_Category),AND(S1279&gt;=m_From,S1279&lt;=m_To)),1,0)</f>
        <v/>
      </c>
      <c r="AA1279" s="36">
        <f>IF(AND(OR(sel_Region="All",C1279=sel_Region),OR(sel_Country="All",D1279=sel_Country),OR(sel_Channel="All",E1279=sel_Channel),OR(sel_Customer="All",F1279=sel_Customer),OR(sel_Category="All",G1279=sel_Category),OR(sel_Product="All",H1279=sel_Product)),1,0)</f>
        <v/>
      </c>
    </row>
    <row r="1280">
      <c r="A1280" s="36" t="inlineStr">
        <is>
          <t>02096</t>
        </is>
      </c>
      <c r="B1280" s="44" t="n">
        <v>46208</v>
      </c>
      <c r="C1280" s="36" t="inlineStr">
        <is>
          <t>Western Europe</t>
        </is>
      </c>
      <c r="D1280" s="36" t="inlineStr">
        <is>
          <t>France</t>
        </is>
      </c>
      <c r="E1280" s="36" t="inlineStr">
        <is>
          <t>Marketplace</t>
        </is>
      </c>
      <c r="F1280" s="36" t="inlineStr">
        <is>
          <t>Returning</t>
        </is>
      </c>
      <c r="G1280" s="36" t="inlineStr">
        <is>
          <t>Travel</t>
        </is>
      </c>
      <c r="H1280" s="36" t="inlineStr">
        <is>
          <t>Travel Backpack 35L</t>
        </is>
      </c>
      <c r="I1280" s="36" t="n">
        <v>2</v>
      </c>
      <c r="J1280" s="39" t="n">
        <v>161.21</v>
      </c>
      <c r="K1280" s="45" t="n">
        <v>0</v>
      </c>
      <c r="L1280" s="39" t="n">
        <v>85.2</v>
      </c>
      <c r="M1280" s="39">
        <f>I1280*J1280*(1-K1280)</f>
        <v/>
      </c>
      <c r="N1280" s="39">
        <f>I1280*L1280</f>
        <v/>
      </c>
      <c r="O1280" s="39">
        <f>M1280-N1280</f>
        <v/>
      </c>
      <c r="P1280" s="38">
        <f>IF(M1280=0,0,O1280/M1280)</f>
        <v/>
      </c>
      <c r="Q1280" s="36">
        <f>YEAR(B1280)</f>
        <v/>
      </c>
      <c r="R1280" s="36">
        <f>"Q"&amp;ROUNDUP(MONTH(B1280)/3,0)</f>
        <v/>
      </c>
      <c r="S1280" s="36">
        <f>MONTH(B1280)</f>
        <v/>
      </c>
      <c r="T1280" s="36">
        <f>TEXT(B1280,"mmm")</f>
        <v/>
      </c>
      <c r="U1280" s="36">
        <f>IF(AND(OR(sel_Region="All",C1280=sel_Region),OR(sel_Country="All",D1280=sel_Country),OR(sel_Channel="All",E1280=sel_Channel),OR(sel_Customer="All",F1280=sel_Customer),OR(sel_Category="All",G1280=sel_Category),OR(sel_Product="All",H1280=sel_Product),AND(S1280&gt;=m_From,S1280&lt;=m_To)),1,0)</f>
        <v/>
      </c>
      <c r="V1280" s="36">
        <f>IF(AND(OR(sel_Region="All",C1280=sel_Region),OR(sel_Channel="All",E1280=sel_Channel),OR(sel_Customer="All",F1280=sel_Customer),OR(sel_Category="All",G1280=sel_Category),OR(sel_Product="All",H1280=sel_Product),AND(S1280&gt;=m_From,S1280&lt;=m_To)),1,0)</f>
        <v/>
      </c>
      <c r="W1280" s="36">
        <f>IF(AND(OR(sel_Region="All",C1280=sel_Region),OR(sel_Country="All",D1280=sel_Country),OR(sel_Customer="All",F1280=sel_Customer),OR(sel_Category="All",G1280=sel_Category),OR(sel_Product="All",H1280=sel_Product),AND(S1280&gt;=m_From,S1280&lt;=m_To)),1,0)</f>
        <v/>
      </c>
      <c r="X1280" s="36">
        <f>IF(AND(OR(sel_Region="All",C1280=sel_Region),OR(sel_Country="All",D1280=sel_Country),OR(sel_Channel="All",E1280=sel_Channel),OR(sel_Category="All",G1280=sel_Category),OR(sel_Product="All",H1280=sel_Product),AND(S1280&gt;=m_From,S1280&lt;=m_To)),1,0)</f>
        <v/>
      </c>
      <c r="Y1280" s="36">
        <f>IF(AND(OR(sel_Region="All",C1280=sel_Region),OR(sel_Country="All",D1280=sel_Country),OR(sel_Channel="All",E1280=sel_Channel),OR(sel_Customer="All",F1280=sel_Customer),OR(sel_Product="All",H1280=sel_Product),AND(S1280&gt;=m_From,S1280&lt;=m_To)),1,0)</f>
        <v/>
      </c>
      <c r="Z1280" s="36">
        <f>IF(AND(OR(sel_Region="All",C1280=sel_Region),OR(sel_Country="All",D1280=sel_Country),OR(sel_Channel="All",E1280=sel_Channel),OR(sel_Customer="All",F1280=sel_Customer),OR(sel_Category="All",G1280=sel_Category),AND(S1280&gt;=m_From,S1280&lt;=m_To)),1,0)</f>
        <v/>
      </c>
      <c r="AA1280" s="36">
        <f>IF(AND(OR(sel_Region="All",C1280=sel_Region),OR(sel_Country="All",D1280=sel_Country),OR(sel_Channel="All",E1280=sel_Channel),OR(sel_Customer="All",F1280=sel_Customer),OR(sel_Category="All",G1280=sel_Category),OR(sel_Product="All",H1280=sel_Product)),1,0)</f>
        <v/>
      </c>
    </row>
    <row r="1281">
      <c r="A1281" s="36" t="inlineStr">
        <is>
          <t>02488</t>
        </is>
      </c>
      <c r="B1281" s="44" t="n">
        <v>46208</v>
      </c>
      <c r="C1281" s="36" t="inlineStr">
        <is>
          <t>Western Europe</t>
        </is>
      </c>
      <c r="D1281" s="36" t="inlineStr">
        <is>
          <t>United Kingdom</t>
        </is>
      </c>
      <c r="E1281" s="36" t="inlineStr">
        <is>
          <t>Retail Partners</t>
        </is>
      </c>
      <c r="F1281" s="36" t="inlineStr">
        <is>
          <t>New</t>
        </is>
      </c>
      <c r="G1281" s="36" t="inlineStr">
        <is>
          <t>Hiking</t>
        </is>
      </c>
      <c r="H1281" s="36" t="inlineStr">
        <is>
          <t>Trekking Poles</t>
        </is>
      </c>
      <c r="I1281" s="36" t="n">
        <v>2</v>
      </c>
      <c r="J1281" s="39" t="n">
        <v>71.27</v>
      </c>
      <c r="K1281" s="45" t="n">
        <v>0.05</v>
      </c>
      <c r="L1281" s="39" t="n">
        <v>32.85</v>
      </c>
      <c r="M1281" s="39">
        <f>I1281*J1281*(1-K1281)</f>
        <v/>
      </c>
      <c r="N1281" s="39">
        <f>I1281*L1281</f>
        <v/>
      </c>
      <c r="O1281" s="39">
        <f>M1281-N1281</f>
        <v/>
      </c>
      <c r="P1281" s="38">
        <f>IF(M1281=0,0,O1281/M1281)</f>
        <v/>
      </c>
      <c r="Q1281" s="36">
        <f>YEAR(B1281)</f>
        <v/>
      </c>
      <c r="R1281" s="36">
        <f>"Q"&amp;ROUNDUP(MONTH(B1281)/3,0)</f>
        <v/>
      </c>
      <c r="S1281" s="36">
        <f>MONTH(B1281)</f>
        <v/>
      </c>
      <c r="T1281" s="36">
        <f>TEXT(B1281,"mmm")</f>
        <v/>
      </c>
      <c r="U1281" s="36">
        <f>IF(AND(OR(sel_Region="All",C1281=sel_Region),OR(sel_Country="All",D1281=sel_Country),OR(sel_Channel="All",E1281=sel_Channel),OR(sel_Customer="All",F1281=sel_Customer),OR(sel_Category="All",G1281=sel_Category),OR(sel_Product="All",H1281=sel_Product),AND(S1281&gt;=m_From,S1281&lt;=m_To)),1,0)</f>
        <v/>
      </c>
      <c r="V1281" s="36">
        <f>IF(AND(OR(sel_Region="All",C1281=sel_Region),OR(sel_Channel="All",E1281=sel_Channel),OR(sel_Customer="All",F1281=sel_Customer),OR(sel_Category="All",G1281=sel_Category),OR(sel_Product="All",H1281=sel_Product),AND(S1281&gt;=m_From,S1281&lt;=m_To)),1,0)</f>
        <v/>
      </c>
      <c r="W1281" s="36">
        <f>IF(AND(OR(sel_Region="All",C1281=sel_Region),OR(sel_Country="All",D1281=sel_Country),OR(sel_Customer="All",F1281=sel_Customer),OR(sel_Category="All",G1281=sel_Category),OR(sel_Product="All",H1281=sel_Product),AND(S1281&gt;=m_From,S1281&lt;=m_To)),1,0)</f>
        <v/>
      </c>
      <c r="X1281" s="36">
        <f>IF(AND(OR(sel_Region="All",C1281=sel_Region),OR(sel_Country="All",D1281=sel_Country),OR(sel_Channel="All",E1281=sel_Channel),OR(sel_Category="All",G1281=sel_Category),OR(sel_Product="All",H1281=sel_Product),AND(S1281&gt;=m_From,S1281&lt;=m_To)),1,0)</f>
        <v/>
      </c>
      <c r="Y1281" s="36">
        <f>IF(AND(OR(sel_Region="All",C1281=sel_Region),OR(sel_Country="All",D1281=sel_Country),OR(sel_Channel="All",E1281=sel_Channel),OR(sel_Customer="All",F1281=sel_Customer),OR(sel_Product="All",H1281=sel_Product),AND(S1281&gt;=m_From,S1281&lt;=m_To)),1,0)</f>
        <v/>
      </c>
      <c r="Z1281" s="36">
        <f>IF(AND(OR(sel_Region="All",C1281=sel_Region),OR(sel_Country="All",D1281=sel_Country),OR(sel_Channel="All",E1281=sel_Channel),OR(sel_Customer="All",F1281=sel_Customer),OR(sel_Category="All",G1281=sel_Category),AND(S1281&gt;=m_From,S1281&lt;=m_To)),1,0)</f>
        <v/>
      </c>
      <c r="AA1281" s="36">
        <f>IF(AND(OR(sel_Region="All",C1281=sel_Region),OR(sel_Country="All",D1281=sel_Country),OR(sel_Channel="All",E1281=sel_Channel),OR(sel_Customer="All",F1281=sel_Customer),OR(sel_Category="All",G1281=sel_Category),OR(sel_Product="All",H1281=sel_Product)),1,0)</f>
        <v/>
      </c>
    </row>
    <row r="1282">
      <c r="A1282" s="36" t="inlineStr">
        <is>
          <t>03220</t>
        </is>
      </c>
      <c r="B1282" s="44" t="n">
        <v>46208</v>
      </c>
      <c r="C1282" s="36" t="inlineStr">
        <is>
          <t>Southern Europe</t>
        </is>
      </c>
      <c r="D1282" s="36" t="inlineStr">
        <is>
          <t>Portugal</t>
        </is>
      </c>
      <c r="E1282" s="36" t="inlineStr">
        <is>
          <t>Retail Partners</t>
        </is>
      </c>
      <c r="F1282" s="36" t="inlineStr">
        <is>
          <t>Returning</t>
        </is>
      </c>
      <c r="G1282" s="36" t="inlineStr">
        <is>
          <t>Fitness</t>
        </is>
      </c>
      <c r="H1282" s="36" t="inlineStr">
        <is>
          <t>Training Mat</t>
        </is>
      </c>
      <c r="I1282" s="36" t="n">
        <v>3</v>
      </c>
      <c r="J1282" s="39" t="n">
        <v>50.16</v>
      </c>
      <c r="K1282" s="45" t="n">
        <v>0.05</v>
      </c>
      <c r="L1282" s="39" t="n">
        <v>22.24</v>
      </c>
      <c r="M1282" s="39">
        <f>I1282*J1282*(1-K1282)</f>
        <v/>
      </c>
      <c r="N1282" s="39">
        <f>I1282*L1282</f>
        <v/>
      </c>
      <c r="O1282" s="39">
        <f>M1282-N1282</f>
        <v/>
      </c>
      <c r="P1282" s="38">
        <f>IF(M1282=0,0,O1282/M1282)</f>
        <v/>
      </c>
      <c r="Q1282" s="36">
        <f>YEAR(B1282)</f>
        <v/>
      </c>
      <c r="R1282" s="36">
        <f>"Q"&amp;ROUNDUP(MONTH(B1282)/3,0)</f>
        <v/>
      </c>
      <c r="S1282" s="36">
        <f>MONTH(B1282)</f>
        <v/>
      </c>
      <c r="T1282" s="36">
        <f>TEXT(B1282,"mmm")</f>
        <v/>
      </c>
      <c r="U1282" s="36">
        <f>IF(AND(OR(sel_Region="All",C1282=sel_Region),OR(sel_Country="All",D1282=sel_Country),OR(sel_Channel="All",E1282=sel_Channel),OR(sel_Customer="All",F1282=sel_Customer),OR(sel_Category="All",G1282=sel_Category),OR(sel_Product="All",H1282=sel_Product),AND(S1282&gt;=m_From,S1282&lt;=m_To)),1,0)</f>
        <v/>
      </c>
      <c r="V1282" s="36">
        <f>IF(AND(OR(sel_Region="All",C1282=sel_Region),OR(sel_Channel="All",E1282=sel_Channel),OR(sel_Customer="All",F1282=sel_Customer),OR(sel_Category="All",G1282=sel_Category),OR(sel_Product="All",H1282=sel_Product),AND(S1282&gt;=m_From,S1282&lt;=m_To)),1,0)</f>
        <v/>
      </c>
      <c r="W1282" s="36">
        <f>IF(AND(OR(sel_Region="All",C1282=sel_Region),OR(sel_Country="All",D1282=sel_Country),OR(sel_Customer="All",F1282=sel_Customer),OR(sel_Category="All",G1282=sel_Category),OR(sel_Product="All",H1282=sel_Product),AND(S1282&gt;=m_From,S1282&lt;=m_To)),1,0)</f>
        <v/>
      </c>
      <c r="X1282" s="36">
        <f>IF(AND(OR(sel_Region="All",C1282=sel_Region),OR(sel_Country="All",D1282=sel_Country),OR(sel_Channel="All",E1282=sel_Channel),OR(sel_Category="All",G1282=sel_Category),OR(sel_Product="All",H1282=sel_Product),AND(S1282&gt;=m_From,S1282&lt;=m_To)),1,0)</f>
        <v/>
      </c>
      <c r="Y1282" s="36">
        <f>IF(AND(OR(sel_Region="All",C1282=sel_Region),OR(sel_Country="All",D1282=sel_Country),OR(sel_Channel="All",E1282=sel_Channel),OR(sel_Customer="All",F1282=sel_Customer),OR(sel_Product="All",H1282=sel_Product),AND(S1282&gt;=m_From,S1282&lt;=m_To)),1,0)</f>
        <v/>
      </c>
      <c r="Z1282" s="36">
        <f>IF(AND(OR(sel_Region="All",C1282=sel_Region),OR(sel_Country="All",D1282=sel_Country),OR(sel_Channel="All",E1282=sel_Channel),OR(sel_Customer="All",F1282=sel_Customer),OR(sel_Category="All",G1282=sel_Category),AND(S1282&gt;=m_From,S1282&lt;=m_To)),1,0)</f>
        <v/>
      </c>
      <c r="AA1282" s="36">
        <f>IF(AND(OR(sel_Region="All",C1282=sel_Region),OR(sel_Country="All",D1282=sel_Country),OR(sel_Channel="All",E1282=sel_Channel),OR(sel_Customer="All",F1282=sel_Customer),OR(sel_Category="All",G1282=sel_Category),OR(sel_Product="All",H1282=sel_Product)),1,0)</f>
        <v/>
      </c>
    </row>
    <row r="1283">
      <c r="A1283" s="36" t="inlineStr">
        <is>
          <t>03711</t>
        </is>
      </c>
      <c r="B1283" s="44" t="n">
        <v>46208</v>
      </c>
      <c r="C1283" s="36" t="inlineStr">
        <is>
          <t>Western Europe</t>
        </is>
      </c>
      <c r="D1283" s="36" t="inlineStr">
        <is>
          <t>Belgium</t>
        </is>
      </c>
      <c r="E1283" s="36" t="inlineStr">
        <is>
          <t>Marketplace</t>
        </is>
      </c>
      <c r="F1283" s="36" t="inlineStr">
        <is>
          <t>New</t>
        </is>
      </c>
      <c r="G1283" s="36" t="inlineStr">
        <is>
          <t>Hiking</t>
        </is>
      </c>
      <c r="H1283" s="36" t="inlineStr">
        <is>
          <t>Trail Boots</t>
        </is>
      </c>
      <c r="I1283" s="36" t="n">
        <v>1</v>
      </c>
      <c r="J1283" s="39" t="n">
        <v>145.37</v>
      </c>
      <c r="K1283" s="45" t="n">
        <v>0.05</v>
      </c>
      <c r="L1283" s="39" t="n">
        <v>81.02</v>
      </c>
      <c r="M1283" s="39">
        <f>I1283*J1283*(1-K1283)</f>
        <v/>
      </c>
      <c r="N1283" s="39">
        <f>I1283*L1283</f>
        <v/>
      </c>
      <c r="O1283" s="39">
        <f>M1283-N1283</f>
        <v/>
      </c>
      <c r="P1283" s="38">
        <f>IF(M1283=0,0,O1283/M1283)</f>
        <v/>
      </c>
      <c r="Q1283" s="36">
        <f>YEAR(B1283)</f>
        <v/>
      </c>
      <c r="R1283" s="36">
        <f>"Q"&amp;ROUNDUP(MONTH(B1283)/3,0)</f>
        <v/>
      </c>
      <c r="S1283" s="36">
        <f>MONTH(B1283)</f>
        <v/>
      </c>
      <c r="T1283" s="36">
        <f>TEXT(B1283,"mmm")</f>
        <v/>
      </c>
      <c r="U1283" s="36">
        <f>IF(AND(OR(sel_Region="All",C1283=sel_Region),OR(sel_Country="All",D1283=sel_Country),OR(sel_Channel="All",E1283=sel_Channel),OR(sel_Customer="All",F1283=sel_Customer),OR(sel_Category="All",G1283=sel_Category),OR(sel_Product="All",H1283=sel_Product),AND(S1283&gt;=m_From,S1283&lt;=m_To)),1,0)</f>
        <v/>
      </c>
      <c r="V1283" s="36">
        <f>IF(AND(OR(sel_Region="All",C1283=sel_Region),OR(sel_Channel="All",E1283=sel_Channel),OR(sel_Customer="All",F1283=sel_Customer),OR(sel_Category="All",G1283=sel_Category),OR(sel_Product="All",H1283=sel_Product),AND(S1283&gt;=m_From,S1283&lt;=m_To)),1,0)</f>
        <v/>
      </c>
      <c r="W1283" s="36">
        <f>IF(AND(OR(sel_Region="All",C1283=sel_Region),OR(sel_Country="All",D1283=sel_Country),OR(sel_Customer="All",F1283=sel_Customer),OR(sel_Category="All",G1283=sel_Category),OR(sel_Product="All",H1283=sel_Product),AND(S1283&gt;=m_From,S1283&lt;=m_To)),1,0)</f>
        <v/>
      </c>
      <c r="X1283" s="36">
        <f>IF(AND(OR(sel_Region="All",C1283=sel_Region),OR(sel_Country="All",D1283=sel_Country),OR(sel_Channel="All",E1283=sel_Channel),OR(sel_Category="All",G1283=sel_Category),OR(sel_Product="All",H1283=sel_Product),AND(S1283&gt;=m_From,S1283&lt;=m_To)),1,0)</f>
        <v/>
      </c>
      <c r="Y1283" s="36">
        <f>IF(AND(OR(sel_Region="All",C1283=sel_Region),OR(sel_Country="All",D1283=sel_Country),OR(sel_Channel="All",E1283=sel_Channel),OR(sel_Customer="All",F1283=sel_Customer),OR(sel_Product="All",H1283=sel_Product),AND(S1283&gt;=m_From,S1283&lt;=m_To)),1,0)</f>
        <v/>
      </c>
      <c r="Z1283" s="36">
        <f>IF(AND(OR(sel_Region="All",C1283=sel_Region),OR(sel_Country="All",D1283=sel_Country),OR(sel_Channel="All",E1283=sel_Channel),OR(sel_Customer="All",F1283=sel_Customer),OR(sel_Category="All",G1283=sel_Category),AND(S1283&gt;=m_From,S1283&lt;=m_To)),1,0)</f>
        <v/>
      </c>
      <c r="AA1283" s="36">
        <f>IF(AND(OR(sel_Region="All",C1283=sel_Region),OR(sel_Country="All",D1283=sel_Country),OR(sel_Channel="All",E1283=sel_Channel),OR(sel_Customer="All",F1283=sel_Customer),OR(sel_Category="All",G1283=sel_Category),OR(sel_Product="All",H1283=sel_Product)),1,0)</f>
        <v/>
      </c>
    </row>
    <row r="1284">
      <c r="A1284" s="36" t="inlineStr">
        <is>
          <t>03823</t>
        </is>
      </c>
      <c r="B1284" s="44" t="n">
        <v>46208</v>
      </c>
      <c r="C1284" s="36" t="inlineStr">
        <is>
          <t>Western Europe</t>
        </is>
      </c>
      <c r="D1284" s="36" t="inlineStr">
        <is>
          <t>Netherlands</t>
        </is>
      </c>
      <c r="E1284" s="36" t="inlineStr">
        <is>
          <t>Retail Partners</t>
        </is>
      </c>
      <c r="F1284" s="36" t="inlineStr">
        <is>
          <t>New</t>
        </is>
      </c>
      <c r="G1284" s="36" t="inlineStr">
        <is>
          <t>Travel</t>
        </is>
      </c>
      <c r="H1284" s="36" t="inlineStr">
        <is>
          <t>Packing Cube Set</t>
        </is>
      </c>
      <c r="I1284" s="36" t="n">
        <v>2</v>
      </c>
      <c r="J1284" s="39" t="n">
        <v>47.1</v>
      </c>
      <c r="K1284" s="45" t="n">
        <v>0</v>
      </c>
      <c r="L1284" s="39" t="n">
        <v>17.92</v>
      </c>
      <c r="M1284" s="39">
        <f>I1284*J1284*(1-K1284)</f>
        <v/>
      </c>
      <c r="N1284" s="39">
        <f>I1284*L1284</f>
        <v/>
      </c>
      <c r="O1284" s="39">
        <f>M1284-N1284</f>
        <v/>
      </c>
      <c r="P1284" s="38">
        <f>IF(M1284=0,0,O1284/M1284)</f>
        <v/>
      </c>
      <c r="Q1284" s="36">
        <f>YEAR(B1284)</f>
        <v/>
      </c>
      <c r="R1284" s="36">
        <f>"Q"&amp;ROUNDUP(MONTH(B1284)/3,0)</f>
        <v/>
      </c>
      <c r="S1284" s="36">
        <f>MONTH(B1284)</f>
        <v/>
      </c>
      <c r="T1284" s="36">
        <f>TEXT(B1284,"mmm")</f>
        <v/>
      </c>
      <c r="U1284" s="36">
        <f>IF(AND(OR(sel_Region="All",C1284=sel_Region),OR(sel_Country="All",D1284=sel_Country),OR(sel_Channel="All",E1284=sel_Channel),OR(sel_Customer="All",F1284=sel_Customer),OR(sel_Category="All",G1284=sel_Category),OR(sel_Product="All",H1284=sel_Product),AND(S1284&gt;=m_From,S1284&lt;=m_To)),1,0)</f>
        <v/>
      </c>
      <c r="V1284" s="36">
        <f>IF(AND(OR(sel_Region="All",C1284=sel_Region),OR(sel_Channel="All",E1284=sel_Channel),OR(sel_Customer="All",F1284=sel_Customer),OR(sel_Category="All",G1284=sel_Category),OR(sel_Product="All",H1284=sel_Product),AND(S1284&gt;=m_From,S1284&lt;=m_To)),1,0)</f>
        <v/>
      </c>
      <c r="W1284" s="36">
        <f>IF(AND(OR(sel_Region="All",C1284=sel_Region),OR(sel_Country="All",D1284=sel_Country),OR(sel_Customer="All",F1284=sel_Customer),OR(sel_Category="All",G1284=sel_Category),OR(sel_Product="All",H1284=sel_Product),AND(S1284&gt;=m_From,S1284&lt;=m_To)),1,0)</f>
        <v/>
      </c>
      <c r="X1284" s="36">
        <f>IF(AND(OR(sel_Region="All",C1284=sel_Region),OR(sel_Country="All",D1284=sel_Country),OR(sel_Channel="All",E1284=sel_Channel),OR(sel_Category="All",G1284=sel_Category),OR(sel_Product="All",H1284=sel_Product),AND(S1284&gt;=m_From,S1284&lt;=m_To)),1,0)</f>
        <v/>
      </c>
      <c r="Y1284" s="36">
        <f>IF(AND(OR(sel_Region="All",C1284=sel_Region),OR(sel_Country="All",D1284=sel_Country),OR(sel_Channel="All",E1284=sel_Channel),OR(sel_Customer="All",F1284=sel_Customer),OR(sel_Product="All",H1284=sel_Product),AND(S1284&gt;=m_From,S1284&lt;=m_To)),1,0)</f>
        <v/>
      </c>
      <c r="Z1284" s="36">
        <f>IF(AND(OR(sel_Region="All",C1284=sel_Region),OR(sel_Country="All",D1284=sel_Country),OR(sel_Channel="All",E1284=sel_Channel),OR(sel_Customer="All",F1284=sel_Customer),OR(sel_Category="All",G1284=sel_Category),AND(S1284&gt;=m_From,S1284&lt;=m_To)),1,0)</f>
        <v/>
      </c>
      <c r="AA1284" s="36">
        <f>IF(AND(OR(sel_Region="All",C1284=sel_Region),OR(sel_Country="All",D1284=sel_Country),OR(sel_Channel="All",E1284=sel_Channel),OR(sel_Customer="All",F1284=sel_Customer),OR(sel_Category="All",G1284=sel_Category),OR(sel_Product="All",H1284=sel_Product)),1,0)</f>
        <v/>
      </c>
    </row>
    <row r="1285">
      <c r="A1285" s="36" t="inlineStr">
        <is>
          <t>04058</t>
        </is>
      </c>
      <c r="B1285" s="44" t="n">
        <v>46208</v>
      </c>
      <c r="C1285" s="36" t="inlineStr">
        <is>
          <t>Western Europe</t>
        </is>
      </c>
      <c r="D1285" s="36" t="inlineStr">
        <is>
          <t>France</t>
        </is>
      </c>
      <c r="E1285" s="36" t="inlineStr">
        <is>
          <t>Corporate</t>
        </is>
      </c>
      <c r="F1285" s="36" t="inlineStr">
        <is>
          <t>Business</t>
        </is>
      </c>
      <c r="G1285" s="36" t="inlineStr">
        <is>
          <t>Hiking</t>
        </is>
      </c>
      <c r="H1285" s="36" t="inlineStr">
        <is>
          <t>Summit Backpack 45L</t>
        </is>
      </c>
      <c r="I1285" s="36" t="n">
        <v>5</v>
      </c>
      <c r="J1285" s="39" t="n">
        <v>155.09</v>
      </c>
      <c r="K1285" s="45" t="n">
        <v>0.1</v>
      </c>
      <c r="L1285" s="39" t="n">
        <v>78.52</v>
      </c>
      <c r="M1285" s="39">
        <f>I1285*J1285*(1-K1285)</f>
        <v/>
      </c>
      <c r="N1285" s="39">
        <f>I1285*L1285</f>
        <v/>
      </c>
      <c r="O1285" s="39">
        <f>M1285-N1285</f>
        <v/>
      </c>
      <c r="P1285" s="38">
        <f>IF(M1285=0,0,O1285/M1285)</f>
        <v/>
      </c>
      <c r="Q1285" s="36">
        <f>YEAR(B1285)</f>
        <v/>
      </c>
      <c r="R1285" s="36">
        <f>"Q"&amp;ROUNDUP(MONTH(B1285)/3,0)</f>
        <v/>
      </c>
      <c r="S1285" s="36">
        <f>MONTH(B1285)</f>
        <v/>
      </c>
      <c r="T1285" s="36">
        <f>TEXT(B1285,"mmm")</f>
        <v/>
      </c>
      <c r="U1285" s="36">
        <f>IF(AND(OR(sel_Region="All",C1285=sel_Region),OR(sel_Country="All",D1285=sel_Country),OR(sel_Channel="All",E1285=sel_Channel),OR(sel_Customer="All",F1285=sel_Customer),OR(sel_Category="All",G1285=sel_Category),OR(sel_Product="All",H1285=sel_Product),AND(S1285&gt;=m_From,S1285&lt;=m_To)),1,0)</f>
        <v/>
      </c>
      <c r="V1285" s="36">
        <f>IF(AND(OR(sel_Region="All",C1285=sel_Region),OR(sel_Channel="All",E1285=sel_Channel),OR(sel_Customer="All",F1285=sel_Customer),OR(sel_Category="All",G1285=sel_Category),OR(sel_Product="All",H1285=sel_Product),AND(S1285&gt;=m_From,S1285&lt;=m_To)),1,0)</f>
        <v/>
      </c>
      <c r="W1285" s="36">
        <f>IF(AND(OR(sel_Region="All",C1285=sel_Region),OR(sel_Country="All",D1285=sel_Country),OR(sel_Customer="All",F1285=sel_Customer),OR(sel_Category="All",G1285=sel_Category),OR(sel_Product="All",H1285=sel_Product),AND(S1285&gt;=m_From,S1285&lt;=m_To)),1,0)</f>
        <v/>
      </c>
      <c r="X1285" s="36">
        <f>IF(AND(OR(sel_Region="All",C1285=sel_Region),OR(sel_Country="All",D1285=sel_Country),OR(sel_Channel="All",E1285=sel_Channel),OR(sel_Category="All",G1285=sel_Category),OR(sel_Product="All",H1285=sel_Product),AND(S1285&gt;=m_From,S1285&lt;=m_To)),1,0)</f>
        <v/>
      </c>
      <c r="Y1285" s="36">
        <f>IF(AND(OR(sel_Region="All",C1285=sel_Region),OR(sel_Country="All",D1285=sel_Country),OR(sel_Channel="All",E1285=sel_Channel),OR(sel_Customer="All",F1285=sel_Customer),OR(sel_Product="All",H1285=sel_Product),AND(S1285&gt;=m_From,S1285&lt;=m_To)),1,0)</f>
        <v/>
      </c>
      <c r="Z1285" s="36">
        <f>IF(AND(OR(sel_Region="All",C1285=sel_Region),OR(sel_Country="All",D1285=sel_Country),OR(sel_Channel="All",E1285=sel_Channel),OR(sel_Customer="All",F1285=sel_Customer),OR(sel_Category="All",G1285=sel_Category),AND(S1285&gt;=m_From,S1285&lt;=m_To)),1,0)</f>
        <v/>
      </c>
      <c r="AA1285" s="36">
        <f>IF(AND(OR(sel_Region="All",C1285=sel_Region),OR(sel_Country="All",D1285=sel_Country),OR(sel_Channel="All",E1285=sel_Channel),OR(sel_Customer="All",F1285=sel_Customer),OR(sel_Category="All",G1285=sel_Category),OR(sel_Product="All",H1285=sel_Product)),1,0)</f>
        <v/>
      </c>
    </row>
    <row r="1286">
      <c r="A1286" s="36" t="inlineStr">
        <is>
          <t>04126</t>
        </is>
      </c>
      <c r="B1286" s="44" t="n">
        <v>46208</v>
      </c>
      <c r="C1286" s="36" t="inlineStr">
        <is>
          <t>Western Europe</t>
        </is>
      </c>
      <c r="D1286" s="36" t="inlineStr">
        <is>
          <t>France</t>
        </is>
      </c>
      <c r="E1286" s="36" t="inlineStr">
        <is>
          <t>Online Store</t>
        </is>
      </c>
      <c r="F1286" s="36" t="inlineStr">
        <is>
          <t>New</t>
        </is>
      </c>
      <c r="G1286" s="36" t="inlineStr">
        <is>
          <t>Cycling</t>
        </is>
      </c>
      <c r="H1286" s="36" t="inlineStr">
        <is>
          <t>Commuter Helmet</t>
        </is>
      </c>
      <c r="I1286" s="36" t="n">
        <v>3</v>
      </c>
      <c r="J1286" s="39" t="n">
        <v>82.89</v>
      </c>
      <c r="K1286" s="45" t="n">
        <v>0</v>
      </c>
      <c r="L1286" s="39" t="n">
        <v>42.31</v>
      </c>
      <c r="M1286" s="39">
        <f>I1286*J1286*(1-K1286)</f>
        <v/>
      </c>
      <c r="N1286" s="39">
        <f>I1286*L1286</f>
        <v/>
      </c>
      <c r="O1286" s="39">
        <f>M1286-N1286</f>
        <v/>
      </c>
      <c r="P1286" s="38">
        <f>IF(M1286=0,0,O1286/M1286)</f>
        <v/>
      </c>
      <c r="Q1286" s="36">
        <f>YEAR(B1286)</f>
        <v/>
      </c>
      <c r="R1286" s="36">
        <f>"Q"&amp;ROUNDUP(MONTH(B1286)/3,0)</f>
        <v/>
      </c>
      <c r="S1286" s="36">
        <f>MONTH(B1286)</f>
        <v/>
      </c>
      <c r="T1286" s="36">
        <f>TEXT(B1286,"mmm")</f>
        <v/>
      </c>
      <c r="U1286" s="36">
        <f>IF(AND(OR(sel_Region="All",C1286=sel_Region),OR(sel_Country="All",D1286=sel_Country),OR(sel_Channel="All",E1286=sel_Channel),OR(sel_Customer="All",F1286=sel_Customer),OR(sel_Category="All",G1286=sel_Category),OR(sel_Product="All",H1286=sel_Product),AND(S1286&gt;=m_From,S1286&lt;=m_To)),1,0)</f>
        <v/>
      </c>
      <c r="V1286" s="36">
        <f>IF(AND(OR(sel_Region="All",C1286=sel_Region),OR(sel_Channel="All",E1286=sel_Channel),OR(sel_Customer="All",F1286=sel_Customer),OR(sel_Category="All",G1286=sel_Category),OR(sel_Product="All",H1286=sel_Product),AND(S1286&gt;=m_From,S1286&lt;=m_To)),1,0)</f>
        <v/>
      </c>
      <c r="W1286" s="36">
        <f>IF(AND(OR(sel_Region="All",C1286=sel_Region),OR(sel_Country="All",D1286=sel_Country),OR(sel_Customer="All",F1286=sel_Customer),OR(sel_Category="All",G1286=sel_Category),OR(sel_Product="All",H1286=sel_Product),AND(S1286&gt;=m_From,S1286&lt;=m_To)),1,0)</f>
        <v/>
      </c>
      <c r="X1286" s="36">
        <f>IF(AND(OR(sel_Region="All",C1286=sel_Region),OR(sel_Country="All",D1286=sel_Country),OR(sel_Channel="All",E1286=sel_Channel),OR(sel_Category="All",G1286=sel_Category),OR(sel_Product="All",H1286=sel_Product),AND(S1286&gt;=m_From,S1286&lt;=m_To)),1,0)</f>
        <v/>
      </c>
      <c r="Y1286" s="36">
        <f>IF(AND(OR(sel_Region="All",C1286=sel_Region),OR(sel_Country="All",D1286=sel_Country),OR(sel_Channel="All",E1286=sel_Channel),OR(sel_Customer="All",F1286=sel_Customer),OR(sel_Product="All",H1286=sel_Product),AND(S1286&gt;=m_From,S1286&lt;=m_To)),1,0)</f>
        <v/>
      </c>
      <c r="Z1286" s="36">
        <f>IF(AND(OR(sel_Region="All",C1286=sel_Region),OR(sel_Country="All",D1286=sel_Country),OR(sel_Channel="All",E1286=sel_Channel),OR(sel_Customer="All",F1286=sel_Customer),OR(sel_Category="All",G1286=sel_Category),AND(S1286&gt;=m_From,S1286&lt;=m_To)),1,0)</f>
        <v/>
      </c>
      <c r="AA1286" s="36">
        <f>IF(AND(OR(sel_Region="All",C1286=sel_Region),OR(sel_Country="All",D1286=sel_Country),OR(sel_Channel="All",E1286=sel_Channel),OR(sel_Customer="All",F1286=sel_Customer),OR(sel_Category="All",G1286=sel_Category),OR(sel_Product="All",H1286=sel_Product)),1,0)</f>
        <v/>
      </c>
    </row>
    <row r="1287">
      <c r="A1287" s="36" t="inlineStr">
        <is>
          <t>05080</t>
        </is>
      </c>
      <c r="B1287" s="44" t="n">
        <v>46208</v>
      </c>
      <c r="C1287" s="36" t="inlineStr">
        <is>
          <t>Northern Europe</t>
        </is>
      </c>
      <c r="D1287" s="36" t="inlineStr">
        <is>
          <t>Ireland</t>
        </is>
      </c>
      <c r="E1287" s="36" t="inlineStr">
        <is>
          <t>Retail Partners</t>
        </is>
      </c>
      <c r="F1287" s="36" t="inlineStr">
        <is>
          <t>New</t>
        </is>
      </c>
      <c r="G1287" s="36" t="inlineStr">
        <is>
          <t>Cycling</t>
        </is>
      </c>
      <c r="H1287" s="36" t="inlineStr">
        <is>
          <t>Commuter Helmet</t>
        </is>
      </c>
      <c r="I1287" s="36" t="n">
        <v>2</v>
      </c>
      <c r="J1287" s="39" t="n">
        <v>80.8</v>
      </c>
      <c r="K1287" s="45" t="n">
        <v>0</v>
      </c>
      <c r="L1287" s="39" t="n">
        <v>42.21</v>
      </c>
      <c r="M1287" s="39">
        <f>I1287*J1287*(1-K1287)</f>
        <v/>
      </c>
      <c r="N1287" s="39">
        <f>I1287*L1287</f>
        <v/>
      </c>
      <c r="O1287" s="39">
        <f>M1287-N1287</f>
        <v/>
      </c>
      <c r="P1287" s="38">
        <f>IF(M1287=0,0,O1287/M1287)</f>
        <v/>
      </c>
      <c r="Q1287" s="36">
        <f>YEAR(B1287)</f>
        <v/>
      </c>
      <c r="R1287" s="36">
        <f>"Q"&amp;ROUNDUP(MONTH(B1287)/3,0)</f>
        <v/>
      </c>
      <c r="S1287" s="36">
        <f>MONTH(B1287)</f>
        <v/>
      </c>
      <c r="T1287" s="36">
        <f>TEXT(B1287,"mmm")</f>
        <v/>
      </c>
      <c r="U1287" s="36">
        <f>IF(AND(OR(sel_Region="All",C1287=sel_Region),OR(sel_Country="All",D1287=sel_Country),OR(sel_Channel="All",E1287=sel_Channel),OR(sel_Customer="All",F1287=sel_Customer),OR(sel_Category="All",G1287=sel_Category),OR(sel_Product="All",H1287=sel_Product),AND(S1287&gt;=m_From,S1287&lt;=m_To)),1,0)</f>
        <v/>
      </c>
      <c r="V1287" s="36">
        <f>IF(AND(OR(sel_Region="All",C1287=sel_Region),OR(sel_Channel="All",E1287=sel_Channel),OR(sel_Customer="All",F1287=sel_Customer),OR(sel_Category="All",G1287=sel_Category),OR(sel_Product="All",H1287=sel_Product),AND(S1287&gt;=m_From,S1287&lt;=m_To)),1,0)</f>
        <v/>
      </c>
      <c r="W1287" s="36">
        <f>IF(AND(OR(sel_Region="All",C1287=sel_Region),OR(sel_Country="All",D1287=sel_Country),OR(sel_Customer="All",F1287=sel_Customer),OR(sel_Category="All",G1287=sel_Category),OR(sel_Product="All",H1287=sel_Product),AND(S1287&gt;=m_From,S1287&lt;=m_To)),1,0)</f>
        <v/>
      </c>
      <c r="X1287" s="36">
        <f>IF(AND(OR(sel_Region="All",C1287=sel_Region),OR(sel_Country="All",D1287=sel_Country),OR(sel_Channel="All",E1287=sel_Channel),OR(sel_Category="All",G1287=sel_Category),OR(sel_Product="All",H1287=sel_Product),AND(S1287&gt;=m_From,S1287&lt;=m_To)),1,0)</f>
        <v/>
      </c>
      <c r="Y1287" s="36">
        <f>IF(AND(OR(sel_Region="All",C1287=sel_Region),OR(sel_Country="All",D1287=sel_Country),OR(sel_Channel="All",E1287=sel_Channel),OR(sel_Customer="All",F1287=sel_Customer),OR(sel_Product="All",H1287=sel_Product),AND(S1287&gt;=m_From,S1287&lt;=m_To)),1,0)</f>
        <v/>
      </c>
      <c r="Z1287" s="36">
        <f>IF(AND(OR(sel_Region="All",C1287=sel_Region),OR(sel_Country="All",D1287=sel_Country),OR(sel_Channel="All",E1287=sel_Channel),OR(sel_Customer="All",F1287=sel_Customer),OR(sel_Category="All",G1287=sel_Category),AND(S1287&gt;=m_From,S1287&lt;=m_To)),1,0)</f>
        <v/>
      </c>
      <c r="AA1287" s="36">
        <f>IF(AND(OR(sel_Region="All",C1287=sel_Region),OR(sel_Country="All",D1287=sel_Country),OR(sel_Channel="All",E1287=sel_Channel),OR(sel_Customer="All",F1287=sel_Customer),OR(sel_Category="All",G1287=sel_Category),OR(sel_Product="All",H1287=sel_Product)),1,0)</f>
        <v/>
      </c>
    </row>
    <row r="1288">
      <c r="A1288" s="36" t="inlineStr">
        <is>
          <t>00923</t>
        </is>
      </c>
      <c r="B1288" s="44" t="n">
        <v>46209</v>
      </c>
      <c r="C1288" s="36" t="inlineStr">
        <is>
          <t>Northern Europe</t>
        </is>
      </c>
      <c r="D1288" s="36" t="inlineStr">
        <is>
          <t>Denmark</t>
        </is>
      </c>
      <c r="E1288" s="36" t="inlineStr">
        <is>
          <t>Online Store</t>
        </is>
      </c>
      <c r="F1288" s="36" t="inlineStr">
        <is>
          <t>New</t>
        </is>
      </c>
      <c r="G1288" s="36" t="inlineStr">
        <is>
          <t>Fitness</t>
        </is>
      </c>
      <c r="H1288" s="36" t="inlineStr">
        <is>
          <t>Resistance Band Set</t>
        </is>
      </c>
      <c r="I1288" s="36" t="n">
        <v>2</v>
      </c>
      <c r="J1288" s="39" t="n">
        <v>39.54</v>
      </c>
      <c r="K1288" s="45" t="n">
        <v>0.05</v>
      </c>
      <c r="L1288" s="39" t="n">
        <v>14.68</v>
      </c>
      <c r="M1288" s="39">
        <f>I1288*J1288*(1-K1288)</f>
        <v/>
      </c>
      <c r="N1288" s="39">
        <f>I1288*L1288</f>
        <v/>
      </c>
      <c r="O1288" s="39">
        <f>M1288-N1288</f>
        <v/>
      </c>
      <c r="P1288" s="38">
        <f>IF(M1288=0,0,O1288/M1288)</f>
        <v/>
      </c>
      <c r="Q1288" s="36">
        <f>YEAR(B1288)</f>
        <v/>
      </c>
      <c r="R1288" s="36">
        <f>"Q"&amp;ROUNDUP(MONTH(B1288)/3,0)</f>
        <v/>
      </c>
      <c r="S1288" s="36">
        <f>MONTH(B1288)</f>
        <v/>
      </c>
      <c r="T1288" s="36">
        <f>TEXT(B1288,"mmm")</f>
        <v/>
      </c>
      <c r="U1288" s="36">
        <f>IF(AND(OR(sel_Region="All",C1288=sel_Region),OR(sel_Country="All",D1288=sel_Country),OR(sel_Channel="All",E1288=sel_Channel),OR(sel_Customer="All",F1288=sel_Customer),OR(sel_Category="All",G1288=sel_Category),OR(sel_Product="All",H1288=sel_Product),AND(S1288&gt;=m_From,S1288&lt;=m_To)),1,0)</f>
        <v/>
      </c>
      <c r="V1288" s="36">
        <f>IF(AND(OR(sel_Region="All",C1288=sel_Region),OR(sel_Channel="All",E1288=sel_Channel),OR(sel_Customer="All",F1288=sel_Customer),OR(sel_Category="All",G1288=sel_Category),OR(sel_Product="All",H1288=sel_Product),AND(S1288&gt;=m_From,S1288&lt;=m_To)),1,0)</f>
        <v/>
      </c>
      <c r="W1288" s="36">
        <f>IF(AND(OR(sel_Region="All",C1288=sel_Region),OR(sel_Country="All",D1288=sel_Country),OR(sel_Customer="All",F1288=sel_Customer),OR(sel_Category="All",G1288=sel_Category),OR(sel_Product="All",H1288=sel_Product),AND(S1288&gt;=m_From,S1288&lt;=m_To)),1,0)</f>
        <v/>
      </c>
      <c r="X1288" s="36">
        <f>IF(AND(OR(sel_Region="All",C1288=sel_Region),OR(sel_Country="All",D1288=sel_Country),OR(sel_Channel="All",E1288=sel_Channel),OR(sel_Category="All",G1288=sel_Category),OR(sel_Product="All",H1288=sel_Product),AND(S1288&gt;=m_From,S1288&lt;=m_To)),1,0)</f>
        <v/>
      </c>
      <c r="Y1288" s="36">
        <f>IF(AND(OR(sel_Region="All",C1288=sel_Region),OR(sel_Country="All",D1288=sel_Country),OR(sel_Channel="All",E1288=sel_Channel),OR(sel_Customer="All",F1288=sel_Customer),OR(sel_Product="All",H1288=sel_Product),AND(S1288&gt;=m_From,S1288&lt;=m_To)),1,0)</f>
        <v/>
      </c>
      <c r="Z1288" s="36">
        <f>IF(AND(OR(sel_Region="All",C1288=sel_Region),OR(sel_Country="All",D1288=sel_Country),OR(sel_Channel="All",E1288=sel_Channel),OR(sel_Customer="All",F1288=sel_Customer),OR(sel_Category="All",G1288=sel_Category),AND(S1288&gt;=m_From,S1288&lt;=m_To)),1,0)</f>
        <v/>
      </c>
      <c r="AA1288" s="36">
        <f>IF(AND(OR(sel_Region="All",C1288=sel_Region),OR(sel_Country="All",D1288=sel_Country),OR(sel_Channel="All",E1288=sel_Channel),OR(sel_Customer="All",F1288=sel_Customer),OR(sel_Category="All",G1288=sel_Category),OR(sel_Product="All",H1288=sel_Product)),1,0)</f>
        <v/>
      </c>
    </row>
    <row r="1289">
      <c r="A1289" s="36" t="inlineStr">
        <is>
          <t>01549</t>
        </is>
      </c>
      <c r="B1289" s="44" t="n">
        <v>46209</v>
      </c>
      <c r="C1289" s="36" t="inlineStr">
        <is>
          <t>Northern Europe</t>
        </is>
      </c>
      <c r="D1289" s="36" t="inlineStr">
        <is>
          <t>Sweden</t>
        </is>
      </c>
      <c r="E1289" s="36" t="inlineStr">
        <is>
          <t>Online Store</t>
        </is>
      </c>
      <c r="F1289" s="36" t="inlineStr">
        <is>
          <t>New</t>
        </is>
      </c>
      <c r="G1289" s="36" t="inlineStr">
        <is>
          <t>Fitness</t>
        </is>
      </c>
      <c r="H1289" s="36" t="inlineStr">
        <is>
          <t>Weighted Vest</t>
        </is>
      </c>
      <c r="I1289" s="36" t="n">
        <v>2</v>
      </c>
      <c r="J1289" s="39" t="n">
        <v>121.35</v>
      </c>
      <c r="K1289" s="45" t="n">
        <v>0</v>
      </c>
      <c r="L1289" s="39" t="n">
        <v>71.06</v>
      </c>
      <c r="M1289" s="39">
        <f>I1289*J1289*(1-K1289)</f>
        <v/>
      </c>
      <c r="N1289" s="39">
        <f>I1289*L1289</f>
        <v/>
      </c>
      <c r="O1289" s="39">
        <f>M1289-N1289</f>
        <v/>
      </c>
      <c r="P1289" s="38">
        <f>IF(M1289=0,0,O1289/M1289)</f>
        <v/>
      </c>
      <c r="Q1289" s="36">
        <f>YEAR(B1289)</f>
        <v/>
      </c>
      <c r="R1289" s="36">
        <f>"Q"&amp;ROUNDUP(MONTH(B1289)/3,0)</f>
        <v/>
      </c>
      <c r="S1289" s="36">
        <f>MONTH(B1289)</f>
        <v/>
      </c>
      <c r="T1289" s="36">
        <f>TEXT(B1289,"mmm")</f>
        <v/>
      </c>
      <c r="U1289" s="36">
        <f>IF(AND(OR(sel_Region="All",C1289=sel_Region),OR(sel_Country="All",D1289=sel_Country),OR(sel_Channel="All",E1289=sel_Channel),OR(sel_Customer="All",F1289=sel_Customer),OR(sel_Category="All",G1289=sel_Category),OR(sel_Product="All",H1289=sel_Product),AND(S1289&gt;=m_From,S1289&lt;=m_To)),1,0)</f>
        <v/>
      </c>
      <c r="V1289" s="36">
        <f>IF(AND(OR(sel_Region="All",C1289=sel_Region),OR(sel_Channel="All",E1289=sel_Channel),OR(sel_Customer="All",F1289=sel_Customer),OR(sel_Category="All",G1289=sel_Category),OR(sel_Product="All",H1289=sel_Product),AND(S1289&gt;=m_From,S1289&lt;=m_To)),1,0)</f>
        <v/>
      </c>
      <c r="W1289" s="36">
        <f>IF(AND(OR(sel_Region="All",C1289=sel_Region),OR(sel_Country="All",D1289=sel_Country),OR(sel_Customer="All",F1289=sel_Customer),OR(sel_Category="All",G1289=sel_Category),OR(sel_Product="All",H1289=sel_Product),AND(S1289&gt;=m_From,S1289&lt;=m_To)),1,0)</f>
        <v/>
      </c>
      <c r="X1289" s="36">
        <f>IF(AND(OR(sel_Region="All",C1289=sel_Region),OR(sel_Country="All",D1289=sel_Country),OR(sel_Channel="All",E1289=sel_Channel),OR(sel_Category="All",G1289=sel_Category),OR(sel_Product="All",H1289=sel_Product),AND(S1289&gt;=m_From,S1289&lt;=m_To)),1,0)</f>
        <v/>
      </c>
      <c r="Y1289" s="36">
        <f>IF(AND(OR(sel_Region="All",C1289=sel_Region),OR(sel_Country="All",D1289=sel_Country),OR(sel_Channel="All",E1289=sel_Channel),OR(sel_Customer="All",F1289=sel_Customer),OR(sel_Product="All",H1289=sel_Product),AND(S1289&gt;=m_From,S1289&lt;=m_To)),1,0)</f>
        <v/>
      </c>
      <c r="Z1289" s="36">
        <f>IF(AND(OR(sel_Region="All",C1289=sel_Region),OR(sel_Country="All",D1289=sel_Country),OR(sel_Channel="All",E1289=sel_Channel),OR(sel_Customer="All",F1289=sel_Customer),OR(sel_Category="All",G1289=sel_Category),AND(S1289&gt;=m_From,S1289&lt;=m_To)),1,0)</f>
        <v/>
      </c>
      <c r="AA1289" s="36">
        <f>IF(AND(OR(sel_Region="All",C1289=sel_Region),OR(sel_Country="All",D1289=sel_Country),OR(sel_Channel="All",E1289=sel_Channel),OR(sel_Customer="All",F1289=sel_Customer),OR(sel_Category="All",G1289=sel_Category),OR(sel_Product="All",H1289=sel_Product)),1,0)</f>
        <v/>
      </c>
    </row>
    <row r="1290">
      <c r="A1290" s="36" t="inlineStr">
        <is>
          <t>01839</t>
        </is>
      </c>
      <c r="B1290" s="44" t="n">
        <v>46209</v>
      </c>
      <c r="C1290" s="36" t="inlineStr">
        <is>
          <t>Western Europe</t>
        </is>
      </c>
      <c r="D1290" s="36" t="inlineStr">
        <is>
          <t>United Kingdom</t>
        </is>
      </c>
      <c r="E1290" s="36" t="inlineStr">
        <is>
          <t>Retail Partners</t>
        </is>
      </c>
      <c r="F1290" s="36" t="inlineStr">
        <is>
          <t>Returning</t>
        </is>
      </c>
      <c r="G1290" s="36" t="inlineStr">
        <is>
          <t>Fitness</t>
        </is>
      </c>
      <c r="H1290" s="36" t="inlineStr">
        <is>
          <t>Resistance Band Set</t>
        </is>
      </c>
      <c r="I1290" s="36" t="n">
        <v>1</v>
      </c>
      <c r="J1290" s="39" t="n">
        <v>41.37</v>
      </c>
      <c r="K1290" s="45" t="n">
        <v>0</v>
      </c>
      <c r="L1290" s="39" t="n">
        <v>15.12</v>
      </c>
      <c r="M1290" s="39">
        <f>I1290*J1290*(1-K1290)</f>
        <v/>
      </c>
      <c r="N1290" s="39">
        <f>I1290*L1290</f>
        <v/>
      </c>
      <c r="O1290" s="39">
        <f>M1290-N1290</f>
        <v/>
      </c>
      <c r="P1290" s="38">
        <f>IF(M1290=0,0,O1290/M1290)</f>
        <v/>
      </c>
      <c r="Q1290" s="36">
        <f>YEAR(B1290)</f>
        <v/>
      </c>
      <c r="R1290" s="36">
        <f>"Q"&amp;ROUNDUP(MONTH(B1290)/3,0)</f>
        <v/>
      </c>
      <c r="S1290" s="36">
        <f>MONTH(B1290)</f>
        <v/>
      </c>
      <c r="T1290" s="36">
        <f>TEXT(B1290,"mmm")</f>
        <v/>
      </c>
      <c r="U1290" s="36">
        <f>IF(AND(OR(sel_Region="All",C1290=sel_Region),OR(sel_Country="All",D1290=sel_Country),OR(sel_Channel="All",E1290=sel_Channel),OR(sel_Customer="All",F1290=sel_Customer),OR(sel_Category="All",G1290=sel_Category),OR(sel_Product="All",H1290=sel_Product),AND(S1290&gt;=m_From,S1290&lt;=m_To)),1,0)</f>
        <v/>
      </c>
      <c r="V1290" s="36">
        <f>IF(AND(OR(sel_Region="All",C1290=sel_Region),OR(sel_Channel="All",E1290=sel_Channel),OR(sel_Customer="All",F1290=sel_Customer),OR(sel_Category="All",G1290=sel_Category),OR(sel_Product="All",H1290=sel_Product),AND(S1290&gt;=m_From,S1290&lt;=m_To)),1,0)</f>
        <v/>
      </c>
      <c r="W1290" s="36">
        <f>IF(AND(OR(sel_Region="All",C1290=sel_Region),OR(sel_Country="All",D1290=sel_Country),OR(sel_Customer="All",F1290=sel_Customer),OR(sel_Category="All",G1290=sel_Category),OR(sel_Product="All",H1290=sel_Product),AND(S1290&gt;=m_From,S1290&lt;=m_To)),1,0)</f>
        <v/>
      </c>
      <c r="X1290" s="36">
        <f>IF(AND(OR(sel_Region="All",C1290=sel_Region),OR(sel_Country="All",D1290=sel_Country),OR(sel_Channel="All",E1290=sel_Channel),OR(sel_Category="All",G1290=sel_Category),OR(sel_Product="All",H1290=sel_Product),AND(S1290&gt;=m_From,S1290&lt;=m_To)),1,0)</f>
        <v/>
      </c>
      <c r="Y1290" s="36">
        <f>IF(AND(OR(sel_Region="All",C1290=sel_Region),OR(sel_Country="All",D1290=sel_Country),OR(sel_Channel="All",E1290=sel_Channel),OR(sel_Customer="All",F1290=sel_Customer),OR(sel_Product="All",H1290=sel_Product),AND(S1290&gt;=m_From,S1290&lt;=m_To)),1,0)</f>
        <v/>
      </c>
      <c r="Z1290" s="36">
        <f>IF(AND(OR(sel_Region="All",C1290=sel_Region),OR(sel_Country="All",D1290=sel_Country),OR(sel_Channel="All",E1290=sel_Channel),OR(sel_Customer="All",F1290=sel_Customer),OR(sel_Category="All",G1290=sel_Category),AND(S1290&gt;=m_From,S1290&lt;=m_To)),1,0)</f>
        <v/>
      </c>
      <c r="AA1290" s="36">
        <f>IF(AND(OR(sel_Region="All",C1290=sel_Region),OR(sel_Country="All",D1290=sel_Country),OR(sel_Channel="All",E1290=sel_Channel),OR(sel_Customer="All",F1290=sel_Customer),OR(sel_Category="All",G1290=sel_Category),OR(sel_Product="All",H1290=sel_Product)),1,0)</f>
        <v/>
      </c>
    </row>
    <row r="1291">
      <c r="A1291" s="36" t="inlineStr">
        <is>
          <t>02053</t>
        </is>
      </c>
      <c r="B1291" s="44" t="n">
        <v>46209</v>
      </c>
      <c r="C1291" s="36" t="inlineStr">
        <is>
          <t>Central Europe</t>
        </is>
      </c>
      <c r="D1291" s="36" t="inlineStr">
        <is>
          <t>Germany</t>
        </is>
      </c>
      <c r="E1291" s="36" t="inlineStr">
        <is>
          <t>Online Store</t>
        </is>
      </c>
      <c r="F1291" s="36" t="inlineStr">
        <is>
          <t>New</t>
        </is>
      </c>
      <c r="G1291" s="36" t="inlineStr">
        <is>
          <t>Cycling</t>
        </is>
      </c>
      <c r="H1291" s="36" t="inlineStr">
        <is>
          <t>Commuter Helmet</t>
        </is>
      </c>
      <c r="I1291" s="36" t="n">
        <v>5</v>
      </c>
      <c r="J1291" s="39" t="n">
        <v>81.63</v>
      </c>
      <c r="K1291" s="45" t="n">
        <v>0.05</v>
      </c>
      <c r="L1291" s="39" t="n">
        <v>42.36</v>
      </c>
      <c r="M1291" s="39">
        <f>I1291*J1291*(1-K1291)</f>
        <v/>
      </c>
      <c r="N1291" s="39">
        <f>I1291*L1291</f>
        <v/>
      </c>
      <c r="O1291" s="39">
        <f>M1291-N1291</f>
        <v/>
      </c>
      <c r="P1291" s="38">
        <f>IF(M1291=0,0,O1291/M1291)</f>
        <v/>
      </c>
      <c r="Q1291" s="36">
        <f>YEAR(B1291)</f>
        <v/>
      </c>
      <c r="R1291" s="36">
        <f>"Q"&amp;ROUNDUP(MONTH(B1291)/3,0)</f>
        <v/>
      </c>
      <c r="S1291" s="36">
        <f>MONTH(B1291)</f>
        <v/>
      </c>
      <c r="T1291" s="36">
        <f>TEXT(B1291,"mmm")</f>
        <v/>
      </c>
      <c r="U1291" s="36">
        <f>IF(AND(OR(sel_Region="All",C1291=sel_Region),OR(sel_Country="All",D1291=sel_Country),OR(sel_Channel="All",E1291=sel_Channel),OR(sel_Customer="All",F1291=sel_Customer),OR(sel_Category="All",G1291=sel_Category),OR(sel_Product="All",H1291=sel_Product),AND(S1291&gt;=m_From,S1291&lt;=m_To)),1,0)</f>
        <v/>
      </c>
      <c r="V1291" s="36">
        <f>IF(AND(OR(sel_Region="All",C1291=sel_Region),OR(sel_Channel="All",E1291=sel_Channel),OR(sel_Customer="All",F1291=sel_Customer),OR(sel_Category="All",G1291=sel_Category),OR(sel_Product="All",H1291=sel_Product),AND(S1291&gt;=m_From,S1291&lt;=m_To)),1,0)</f>
        <v/>
      </c>
      <c r="W1291" s="36">
        <f>IF(AND(OR(sel_Region="All",C1291=sel_Region),OR(sel_Country="All",D1291=sel_Country),OR(sel_Customer="All",F1291=sel_Customer),OR(sel_Category="All",G1291=sel_Category),OR(sel_Product="All",H1291=sel_Product),AND(S1291&gt;=m_From,S1291&lt;=m_To)),1,0)</f>
        <v/>
      </c>
      <c r="X1291" s="36">
        <f>IF(AND(OR(sel_Region="All",C1291=sel_Region),OR(sel_Country="All",D1291=sel_Country),OR(sel_Channel="All",E1291=sel_Channel),OR(sel_Category="All",G1291=sel_Category),OR(sel_Product="All",H1291=sel_Product),AND(S1291&gt;=m_From,S1291&lt;=m_To)),1,0)</f>
        <v/>
      </c>
      <c r="Y1291" s="36">
        <f>IF(AND(OR(sel_Region="All",C1291=sel_Region),OR(sel_Country="All",D1291=sel_Country),OR(sel_Channel="All",E1291=sel_Channel),OR(sel_Customer="All",F1291=sel_Customer),OR(sel_Product="All",H1291=sel_Product),AND(S1291&gt;=m_From,S1291&lt;=m_To)),1,0)</f>
        <v/>
      </c>
      <c r="Z1291" s="36">
        <f>IF(AND(OR(sel_Region="All",C1291=sel_Region),OR(sel_Country="All",D1291=sel_Country),OR(sel_Channel="All",E1291=sel_Channel),OR(sel_Customer="All",F1291=sel_Customer),OR(sel_Category="All",G1291=sel_Category),AND(S1291&gt;=m_From,S1291&lt;=m_To)),1,0)</f>
        <v/>
      </c>
      <c r="AA1291" s="36">
        <f>IF(AND(OR(sel_Region="All",C1291=sel_Region),OR(sel_Country="All",D1291=sel_Country),OR(sel_Channel="All",E1291=sel_Channel),OR(sel_Customer="All",F1291=sel_Customer),OR(sel_Category="All",G1291=sel_Category),OR(sel_Product="All",H1291=sel_Product)),1,0)</f>
        <v/>
      </c>
    </row>
    <row r="1292">
      <c r="A1292" s="36" t="inlineStr">
        <is>
          <t>02342</t>
        </is>
      </c>
      <c r="B1292" s="44" t="n">
        <v>46209</v>
      </c>
      <c r="C1292" s="36" t="inlineStr">
        <is>
          <t>Central Europe</t>
        </is>
      </c>
      <c r="D1292" s="36" t="inlineStr">
        <is>
          <t>Czechia</t>
        </is>
      </c>
      <c r="E1292" s="36" t="inlineStr">
        <is>
          <t>Online Store</t>
        </is>
      </c>
      <c r="F1292" s="36" t="inlineStr">
        <is>
          <t>Returning</t>
        </is>
      </c>
      <c r="G1292" s="36" t="inlineStr">
        <is>
          <t>Fitness</t>
        </is>
      </c>
      <c r="H1292" s="36" t="inlineStr">
        <is>
          <t>Recovery Roller</t>
        </is>
      </c>
      <c r="I1292" s="36" t="n">
        <v>1</v>
      </c>
      <c r="J1292" s="39" t="n">
        <v>36.19</v>
      </c>
      <c r="K1292" s="45" t="n">
        <v>0</v>
      </c>
      <c r="L1292" s="39" t="n">
        <v>13.91</v>
      </c>
      <c r="M1292" s="39">
        <f>I1292*J1292*(1-K1292)</f>
        <v/>
      </c>
      <c r="N1292" s="39">
        <f>I1292*L1292</f>
        <v/>
      </c>
      <c r="O1292" s="39">
        <f>M1292-N1292</f>
        <v/>
      </c>
      <c r="P1292" s="38">
        <f>IF(M1292=0,0,O1292/M1292)</f>
        <v/>
      </c>
      <c r="Q1292" s="36">
        <f>YEAR(B1292)</f>
        <v/>
      </c>
      <c r="R1292" s="36">
        <f>"Q"&amp;ROUNDUP(MONTH(B1292)/3,0)</f>
        <v/>
      </c>
      <c r="S1292" s="36">
        <f>MONTH(B1292)</f>
        <v/>
      </c>
      <c r="T1292" s="36">
        <f>TEXT(B1292,"mmm")</f>
        <v/>
      </c>
      <c r="U1292" s="36">
        <f>IF(AND(OR(sel_Region="All",C1292=sel_Region),OR(sel_Country="All",D1292=sel_Country),OR(sel_Channel="All",E1292=sel_Channel),OR(sel_Customer="All",F1292=sel_Customer),OR(sel_Category="All",G1292=sel_Category),OR(sel_Product="All",H1292=sel_Product),AND(S1292&gt;=m_From,S1292&lt;=m_To)),1,0)</f>
        <v/>
      </c>
      <c r="V1292" s="36">
        <f>IF(AND(OR(sel_Region="All",C1292=sel_Region),OR(sel_Channel="All",E1292=sel_Channel),OR(sel_Customer="All",F1292=sel_Customer),OR(sel_Category="All",G1292=sel_Category),OR(sel_Product="All",H1292=sel_Product),AND(S1292&gt;=m_From,S1292&lt;=m_To)),1,0)</f>
        <v/>
      </c>
      <c r="W1292" s="36">
        <f>IF(AND(OR(sel_Region="All",C1292=sel_Region),OR(sel_Country="All",D1292=sel_Country),OR(sel_Customer="All",F1292=sel_Customer),OR(sel_Category="All",G1292=sel_Category),OR(sel_Product="All",H1292=sel_Product),AND(S1292&gt;=m_From,S1292&lt;=m_To)),1,0)</f>
        <v/>
      </c>
      <c r="X1292" s="36">
        <f>IF(AND(OR(sel_Region="All",C1292=sel_Region),OR(sel_Country="All",D1292=sel_Country),OR(sel_Channel="All",E1292=sel_Channel),OR(sel_Category="All",G1292=sel_Category),OR(sel_Product="All",H1292=sel_Product),AND(S1292&gt;=m_From,S1292&lt;=m_To)),1,0)</f>
        <v/>
      </c>
      <c r="Y1292" s="36">
        <f>IF(AND(OR(sel_Region="All",C1292=sel_Region),OR(sel_Country="All",D1292=sel_Country),OR(sel_Channel="All",E1292=sel_Channel),OR(sel_Customer="All",F1292=sel_Customer),OR(sel_Product="All",H1292=sel_Product),AND(S1292&gt;=m_From,S1292&lt;=m_To)),1,0)</f>
        <v/>
      </c>
      <c r="Z1292" s="36">
        <f>IF(AND(OR(sel_Region="All",C1292=sel_Region),OR(sel_Country="All",D1292=sel_Country),OR(sel_Channel="All",E1292=sel_Channel),OR(sel_Customer="All",F1292=sel_Customer),OR(sel_Category="All",G1292=sel_Category),AND(S1292&gt;=m_From,S1292&lt;=m_To)),1,0)</f>
        <v/>
      </c>
      <c r="AA1292" s="36">
        <f>IF(AND(OR(sel_Region="All",C1292=sel_Region),OR(sel_Country="All",D1292=sel_Country),OR(sel_Channel="All",E1292=sel_Channel),OR(sel_Customer="All",F1292=sel_Customer),OR(sel_Category="All",G1292=sel_Category),OR(sel_Product="All",H1292=sel_Product)),1,0)</f>
        <v/>
      </c>
    </row>
    <row r="1293">
      <c r="A1293" s="36" t="inlineStr">
        <is>
          <t>02465</t>
        </is>
      </c>
      <c r="B1293" s="44" t="n">
        <v>46209</v>
      </c>
      <c r="C1293" s="36" t="inlineStr">
        <is>
          <t>Central Europe</t>
        </is>
      </c>
      <c r="D1293" s="36" t="inlineStr">
        <is>
          <t>Czechia</t>
        </is>
      </c>
      <c r="E1293" s="36" t="inlineStr">
        <is>
          <t>Marketplace</t>
        </is>
      </c>
      <c r="F1293" s="36" t="inlineStr">
        <is>
          <t>New</t>
        </is>
      </c>
      <c r="G1293" s="36" t="inlineStr">
        <is>
          <t>Hiking</t>
        </is>
      </c>
      <c r="H1293" s="36" t="inlineStr">
        <is>
          <t>Trail Boots</t>
        </is>
      </c>
      <c r="I1293" s="36" t="n">
        <v>1</v>
      </c>
      <c r="J1293" s="39" t="n">
        <v>142.04</v>
      </c>
      <c r="K1293" s="45" t="n">
        <v>0</v>
      </c>
      <c r="L1293" s="39" t="n">
        <v>81.67</v>
      </c>
      <c r="M1293" s="39">
        <f>I1293*J1293*(1-K1293)</f>
        <v/>
      </c>
      <c r="N1293" s="39">
        <f>I1293*L1293</f>
        <v/>
      </c>
      <c r="O1293" s="39">
        <f>M1293-N1293</f>
        <v/>
      </c>
      <c r="P1293" s="38">
        <f>IF(M1293=0,0,O1293/M1293)</f>
        <v/>
      </c>
      <c r="Q1293" s="36">
        <f>YEAR(B1293)</f>
        <v/>
      </c>
      <c r="R1293" s="36">
        <f>"Q"&amp;ROUNDUP(MONTH(B1293)/3,0)</f>
        <v/>
      </c>
      <c r="S1293" s="36">
        <f>MONTH(B1293)</f>
        <v/>
      </c>
      <c r="T1293" s="36">
        <f>TEXT(B1293,"mmm")</f>
        <v/>
      </c>
      <c r="U1293" s="36">
        <f>IF(AND(OR(sel_Region="All",C1293=sel_Region),OR(sel_Country="All",D1293=sel_Country),OR(sel_Channel="All",E1293=sel_Channel),OR(sel_Customer="All",F1293=sel_Customer),OR(sel_Category="All",G1293=sel_Category),OR(sel_Product="All",H1293=sel_Product),AND(S1293&gt;=m_From,S1293&lt;=m_To)),1,0)</f>
        <v/>
      </c>
      <c r="V1293" s="36">
        <f>IF(AND(OR(sel_Region="All",C1293=sel_Region),OR(sel_Channel="All",E1293=sel_Channel),OR(sel_Customer="All",F1293=sel_Customer),OR(sel_Category="All",G1293=sel_Category),OR(sel_Product="All",H1293=sel_Product),AND(S1293&gt;=m_From,S1293&lt;=m_To)),1,0)</f>
        <v/>
      </c>
      <c r="W1293" s="36">
        <f>IF(AND(OR(sel_Region="All",C1293=sel_Region),OR(sel_Country="All",D1293=sel_Country),OR(sel_Customer="All",F1293=sel_Customer),OR(sel_Category="All",G1293=sel_Category),OR(sel_Product="All",H1293=sel_Product),AND(S1293&gt;=m_From,S1293&lt;=m_To)),1,0)</f>
        <v/>
      </c>
      <c r="X1293" s="36">
        <f>IF(AND(OR(sel_Region="All",C1293=sel_Region),OR(sel_Country="All",D1293=sel_Country),OR(sel_Channel="All",E1293=sel_Channel),OR(sel_Category="All",G1293=sel_Category),OR(sel_Product="All",H1293=sel_Product),AND(S1293&gt;=m_From,S1293&lt;=m_To)),1,0)</f>
        <v/>
      </c>
      <c r="Y1293" s="36">
        <f>IF(AND(OR(sel_Region="All",C1293=sel_Region),OR(sel_Country="All",D1293=sel_Country),OR(sel_Channel="All",E1293=sel_Channel),OR(sel_Customer="All",F1293=sel_Customer),OR(sel_Product="All",H1293=sel_Product),AND(S1293&gt;=m_From,S1293&lt;=m_To)),1,0)</f>
        <v/>
      </c>
      <c r="Z1293" s="36">
        <f>IF(AND(OR(sel_Region="All",C1293=sel_Region),OR(sel_Country="All",D1293=sel_Country),OR(sel_Channel="All",E1293=sel_Channel),OR(sel_Customer="All",F1293=sel_Customer),OR(sel_Category="All",G1293=sel_Category),AND(S1293&gt;=m_From,S1293&lt;=m_To)),1,0)</f>
        <v/>
      </c>
      <c r="AA1293" s="36">
        <f>IF(AND(OR(sel_Region="All",C1293=sel_Region),OR(sel_Country="All",D1293=sel_Country),OR(sel_Channel="All",E1293=sel_Channel),OR(sel_Customer="All",F1293=sel_Customer),OR(sel_Category="All",G1293=sel_Category),OR(sel_Product="All",H1293=sel_Product)),1,0)</f>
        <v/>
      </c>
    </row>
    <row r="1294">
      <c r="A1294" s="36" t="inlineStr">
        <is>
          <t>03990</t>
        </is>
      </c>
      <c r="B1294" s="44" t="n">
        <v>46209</v>
      </c>
      <c r="C1294" s="36" t="inlineStr">
        <is>
          <t>Northern Europe</t>
        </is>
      </c>
      <c r="D1294" s="36" t="inlineStr">
        <is>
          <t>Denmark</t>
        </is>
      </c>
      <c r="E1294" s="36" t="inlineStr">
        <is>
          <t>Online Store</t>
        </is>
      </c>
      <c r="F1294" s="36" t="inlineStr">
        <is>
          <t>Business</t>
        </is>
      </c>
      <c r="G1294" s="36" t="inlineStr">
        <is>
          <t>Travel</t>
        </is>
      </c>
      <c r="H1294" s="36" t="inlineStr">
        <is>
          <t>Carry-On Duffel</t>
        </is>
      </c>
      <c r="I1294" s="36" t="n">
        <v>1</v>
      </c>
      <c r="J1294" s="39" t="n">
        <v>133.67</v>
      </c>
      <c r="K1294" s="45" t="n">
        <v>0</v>
      </c>
      <c r="L1294" s="39" t="n">
        <v>68.25</v>
      </c>
      <c r="M1294" s="39">
        <f>I1294*J1294*(1-K1294)</f>
        <v/>
      </c>
      <c r="N1294" s="39">
        <f>I1294*L1294</f>
        <v/>
      </c>
      <c r="O1294" s="39">
        <f>M1294-N1294</f>
        <v/>
      </c>
      <c r="P1294" s="38">
        <f>IF(M1294=0,0,O1294/M1294)</f>
        <v/>
      </c>
      <c r="Q1294" s="36">
        <f>YEAR(B1294)</f>
        <v/>
      </c>
      <c r="R1294" s="36">
        <f>"Q"&amp;ROUNDUP(MONTH(B1294)/3,0)</f>
        <v/>
      </c>
      <c r="S1294" s="36">
        <f>MONTH(B1294)</f>
        <v/>
      </c>
      <c r="T1294" s="36">
        <f>TEXT(B1294,"mmm")</f>
        <v/>
      </c>
      <c r="U1294" s="36">
        <f>IF(AND(OR(sel_Region="All",C1294=sel_Region),OR(sel_Country="All",D1294=sel_Country),OR(sel_Channel="All",E1294=sel_Channel),OR(sel_Customer="All",F1294=sel_Customer),OR(sel_Category="All",G1294=sel_Category),OR(sel_Product="All",H1294=sel_Product),AND(S1294&gt;=m_From,S1294&lt;=m_To)),1,0)</f>
        <v/>
      </c>
      <c r="V1294" s="36">
        <f>IF(AND(OR(sel_Region="All",C1294=sel_Region),OR(sel_Channel="All",E1294=sel_Channel),OR(sel_Customer="All",F1294=sel_Customer),OR(sel_Category="All",G1294=sel_Category),OR(sel_Product="All",H1294=sel_Product),AND(S1294&gt;=m_From,S1294&lt;=m_To)),1,0)</f>
        <v/>
      </c>
      <c r="W1294" s="36">
        <f>IF(AND(OR(sel_Region="All",C1294=sel_Region),OR(sel_Country="All",D1294=sel_Country),OR(sel_Customer="All",F1294=sel_Customer),OR(sel_Category="All",G1294=sel_Category),OR(sel_Product="All",H1294=sel_Product),AND(S1294&gt;=m_From,S1294&lt;=m_To)),1,0)</f>
        <v/>
      </c>
      <c r="X1294" s="36">
        <f>IF(AND(OR(sel_Region="All",C1294=sel_Region),OR(sel_Country="All",D1294=sel_Country),OR(sel_Channel="All",E1294=sel_Channel),OR(sel_Category="All",G1294=sel_Category),OR(sel_Product="All",H1294=sel_Product),AND(S1294&gt;=m_From,S1294&lt;=m_To)),1,0)</f>
        <v/>
      </c>
      <c r="Y1294" s="36">
        <f>IF(AND(OR(sel_Region="All",C1294=sel_Region),OR(sel_Country="All",D1294=sel_Country),OR(sel_Channel="All",E1294=sel_Channel),OR(sel_Customer="All",F1294=sel_Customer),OR(sel_Product="All",H1294=sel_Product),AND(S1294&gt;=m_From,S1294&lt;=m_To)),1,0)</f>
        <v/>
      </c>
      <c r="Z1294" s="36">
        <f>IF(AND(OR(sel_Region="All",C1294=sel_Region),OR(sel_Country="All",D1294=sel_Country),OR(sel_Channel="All",E1294=sel_Channel),OR(sel_Customer="All",F1294=sel_Customer),OR(sel_Category="All",G1294=sel_Category),AND(S1294&gt;=m_From,S1294&lt;=m_To)),1,0)</f>
        <v/>
      </c>
      <c r="AA1294" s="36">
        <f>IF(AND(OR(sel_Region="All",C1294=sel_Region),OR(sel_Country="All",D1294=sel_Country),OR(sel_Channel="All",E1294=sel_Channel),OR(sel_Customer="All",F1294=sel_Customer),OR(sel_Category="All",G1294=sel_Category),OR(sel_Product="All",H1294=sel_Product)),1,0)</f>
        <v/>
      </c>
    </row>
    <row r="1295">
      <c r="A1295" s="36" t="inlineStr">
        <is>
          <t>04370</t>
        </is>
      </c>
      <c r="B1295" s="44" t="n">
        <v>46209</v>
      </c>
      <c r="C1295" s="36" t="inlineStr">
        <is>
          <t>Northern Europe</t>
        </is>
      </c>
      <c r="D1295" s="36" t="inlineStr">
        <is>
          <t>Finland</t>
        </is>
      </c>
      <c r="E1295" s="36" t="inlineStr">
        <is>
          <t>Online Store</t>
        </is>
      </c>
      <c r="F1295" s="36" t="inlineStr">
        <is>
          <t>New</t>
        </is>
      </c>
      <c r="G1295" s="36" t="inlineStr">
        <is>
          <t>Travel</t>
        </is>
      </c>
      <c r="H1295" s="36" t="inlineStr">
        <is>
          <t>Travel Backpack 35L</t>
        </is>
      </c>
      <c r="I1295" s="36" t="n">
        <v>6</v>
      </c>
      <c r="J1295" s="39" t="n">
        <v>166.6</v>
      </c>
      <c r="K1295" s="45" t="n">
        <v>0</v>
      </c>
      <c r="L1295" s="39" t="n">
        <v>88.14</v>
      </c>
      <c r="M1295" s="39">
        <f>I1295*J1295*(1-K1295)</f>
        <v/>
      </c>
      <c r="N1295" s="39">
        <f>I1295*L1295</f>
        <v/>
      </c>
      <c r="O1295" s="39">
        <f>M1295-N1295</f>
        <v/>
      </c>
      <c r="P1295" s="38">
        <f>IF(M1295=0,0,O1295/M1295)</f>
        <v/>
      </c>
      <c r="Q1295" s="36">
        <f>YEAR(B1295)</f>
        <v/>
      </c>
      <c r="R1295" s="36">
        <f>"Q"&amp;ROUNDUP(MONTH(B1295)/3,0)</f>
        <v/>
      </c>
      <c r="S1295" s="36">
        <f>MONTH(B1295)</f>
        <v/>
      </c>
      <c r="T1295" s="36">
        <f>TEXT(B1295,"mmm")</f>
        <v/>
      </c>
      <c r="U1295" s="36">
        <f>IF(AND(OR(sel_Region="All",C1295=sel_Region),OR(sel_Country="All",D1295=sel_Country),OR(sel_Channel="All",E1295=sel_Channel),OR(sel_Customer="All",F1295=sel_Customer),OR(sel_Category="All",G1295=sel_Category),OR(sel_Product="All",H1295=sel_Product),AND(S1295&gt;=m_From,S1295&lt;=m_To)),1,0)</f>
        <v/>
      </c>
      <c r="V1295" s="36">
        <f>IF(AND(OR(sel_Region="All",C1295=sel_Region),OR(sel_Channel="All",E1295=sel_Channel),OR(sel_Customer="All",F1295=sel_Customer),OR(sel_Category="All",G1295=sel_Category),OR(sel_Product="All",H1295=sel_Product),AND(S1295&gt;=m_From,S1295&lt;=m_To)),1,0)</f>
        <v/>
      </c>
      <c r="W1295" s="36">
        <f>IF(AND(OR(sel_Region="All",C1295=sel_Region),OR(sel_Country="All",D1295=sel_Country),OR(sel_Customer="All",F1295=sel_Customer),OR(sel_Category="All",G1295=sel_Category),OR(sel_Product="All",H1295=sel_Product),AND(S1295&gt;=m_From,S1295&lt;=m_To)),1,0)</f>
        <v/>
      </c>
      <c r="X1295" s="36">
        <f>IF(AND(OR(sel_Region="All",C1295=sel_Region),OR(sel_Country="All",D1295=sel_Country),OR(sel_Channel="All",E1295=sel_Channel),OR(sel_Category="All",G1295=sel_Category),OR(sel_Product="All",H1295=sel_Product),AND(S1295&gt;=m_From,S1295&lt;=m_To)),1,0)</f>
        <v/>
      </c>
      <c r="Y1295" s="36">
        <f>IF(AND(OR(sel_Region="All",C1295=sel_Region),OR(sel_Country="All",D1295=sel_Country),OR(sel_Channel="All",E1295=sel_Channel),OR(sel_Customer="All",F1295=sel_Customer),OR(sel_Product="All",H1295=sel_Product),AND(S1295&gt;=m_From,S1295&lt;=m_To)),1,0)</f>
        <v/>
      </c>
      <c r="Z1295" s="36">
        <f>IF(AND(OR(sel_Region="All",C1295=sel_Region),OR(sel_Country="All",D1295=sel_Country),OR(sel_Channel="All",E1295=sel_Channel),OR(sel_Customer="All",F1295=sel_Customer),OR(sel_Category="All",G1295=sel_Category),AND(S1295&gt;=m_From,S1295&lt;=m_To)),1,0)</f>
        <v/>
      </c>
      <c r="AA1295" s="36">
        <f>IF(AND(OR(sel_Region="All",C1295=sel_Region),OR(sel_Country="All",D1295=sel_Country),OR(sel_Channel="All",E1295=sel_Channel),OR(sel_Customer="All",F1295=sel_Customer),OR(sel_Category="All",G1295=sel_Category),OR(sel_Product="All",H1295=sel_Product)),1,0)</f>
        <v/>
      </c>
    </row>
    <row r="1296">
      <c r="A1296" s="36" t="inlineStr">
        <is>
          <t>04856</t>
        </is>
      </c>
      <c r="B1296" s="44" t="n">
        <v>46209</v>
      </c>
      <c r="C1296" s="36" t="inlineStr">
        <is>
          <t>Central Europe</t>
        </is>
      </c>
      <c r="D1296" s="36" t="inlineStr">
        <is>
          <t>Germany</t>
        </is>
      </c>
      <c r="E1296" s="36" t="inlineStr">
        <is>
          <t>Online Store</t>
        </is>
      </c>
      <c r="F1296" s="36" t="inlineStr">
        <is>
          <t>Returning</t>
        </is>
      </c>
      <c r="G1296" s="36" t="inlineStr">
        <is>
          <t>Cycling</t>
        </is>
      </c>
      <c r="H1296" s="36" t="inlineStr">
        <is>
          <t>Cycling Pack 12L</t>
        </is>
      </c>
      <c r="I1296" s="36" t="n">
        <v>2</v>
      </c>
      <c r="J1296" s="39" t="n">
        <v>99.93000000000001</v>
      </c>
      <c r="K1296" s="45" t="n">
        <v>0.1</v>
      </c>
      <c r="L1296" s="39" t="n">
        <v>51.96</v>
      </c>
      <c r="M1296" s="39">
        <f>I1296*J1296*(1-K1296)</f>
        <v/>
      </c>
      <c r="N1296" s="39">
        <f>I1296*L1296</f>
        <v/>
      </c>
      <c r="O1296" s="39">
        <f>M1296-N1296</f>
        <v/>
      </c>
      <c r="P1296" s="38">
        <f>IF(M1296=0,0,O1296/M1296)</f>
        <v/>
      </c>
      <c r="Q1296" s="36">
        <f>YEAR(B1296)</f>
        <v/>
      </c>
      <c r="R1296" s="36">
        <f>"Q"&amp;ROUNDUP(MONTH(B1296)/3,0)</f>
        <v/>
      </c>
      <c r="S1296" s="36">
        <f>MONTH(B1296)</f>
        <v/>
      </c>
      <c r="T1296" s="36">
        <f>TEXT(B1296,"mmm")</f>
        <v/>
      </c>
      <c r="U1296" s="36">
        <f>IF(AND(OR(sel_Region="All",C1296=sel_Region),OR(sel_Country="All",D1296=sel_Country),OR(sel_Channel="All",E1296=sel_Channel),OR(sel_Customer="All",F1296=sel_Customer),OR(sel_Category="All",G1296=sel_Category),OR(sel_Product="All",H1296=sel_Product),AND(S1296&gt;=m_From,S1296&lt;=m_To)),1,0)</f>
        <v/>
      </c>
      <c r="V1296" s="36">
        <f>IF(AND(OR(sel_Region="All",C1296=sel_Region),OR(sel_Channel="All",E1296=sel_Channel),OR(sel_Customer="All",F1296=sel_Customer),OR(sel_Category="All",G1296=sel_Category),OR(sel_Product="All",H1296=sel_Product),AND(S1296&gt;=m_From,S1296&lt;=m_To)),1,0)</f>
        <v/>
      </c>
      <c r="W1296" s="36">
        <f>IF(AND(OR(sel_Region="All",C1296=sel_Region),OR(sel_Country="All",D1296=sel_Country),OR(sel_Customer="All",F1296=sel_Customer),OR(sel_Category="All",G1296=sel_Category),OR(sel_Product="All",H1296=sel_Product),AND(S1296&gt;=m_From,S1296&lt;=m_To)),1,0)</f>
        <v/>
      </c>
      <c r="X1296" s="36">
        <f>IF(AND(OR(sel_Region="All",C1296=sel_Region),OR(sel_Country="All",D1296=sel_Country),OR(sel_Channel="All",E1296=sel_Channel),OR(sel_Category="All",G1296=sel_Category),OR(sel_Product="All",H1296=sel_Product),AND(S1296&gt;=m_From,S1296&lt;=m_To)),1,0)</f>
        <v/>
      </c>
      <c r="Y1296" s="36">
        <f>IF(AND(OR(sel_Region="All",C1296=sel_Region),OR(sel_Country="All",D1296=sel_Country),OR(sel_Channel="All",E1296=sel_Channel),OR(sel_Customer="All",F1296=sel_Customer),OR(sel_Product="All",H1296=sel_Product),AND(S1296&gt;=m_From,S1296&lt;=m_To)),1,0)</f>
        <v/>
      </c>
      <c r="Z1296" s="36">
        <f>IF(AND(OR(sel_Region="All",C1296=sel_Region),OR(sel_Country="All",D1296=sel_Country),OR(sel_Channel="All",E1296=sel_Channel),OR(sel_Customer="All",F1296=sel_Customer),OR(sel_Category="All",G1296=sel_Category),AND(S1296&gt;=m_From,S1296&lt;=m_To)),1,0)</f>
        <v/>
      </c>
      <c r="AA1296" s="36">
        <f>IF(AND(OR(sel_Region="All",C1296=sel_Region),OR(sel_Country="All",D1296=sel_Country),OR(sel_Channel="All",E1296=sel_Channel),OR(sel_Customer="All",F1296=sel_Customer),OR(sel_Category="All",G1296=sel_Category),OR(sel_Product="All",H1296=sel_Product)),1,0)</f>
        <v/>
      </c>
    </row>
    <row r="1297">
      <c r="A1297" s="36" t="inlineStr">
        <is>
          <t>00337</t>
        </is>
      </c>
      <c r="B1297" s="44" t="n">
        <v>46210</v>
      </c>
      <c r="C1297" s="36" t="inlineStr">
        <is>
          <t>Southern Europe</t>
        </is>
      </c>
      <c r="D1297" s="36" t="inlineStr">
        <is>
          <t>Italy</t>
        </is>
      </c>
      <c r="E1297" s="36" t="inlineStr">
        <is>
          <t>Retail Partners</t>
        </is>
      </c>
      <c r="F1297" s="36" t="inlineStr">
        <is>
          <t>Returning</t>
        </is>
      </c>
      <c r="G1297" s="36" t="inlineStr">
        <is>
          <t>Cycling</t>
        </is>
      </c>
      <c r="H1297" s="36" t="inlineStr">
        <is>
          <t>Cycling Pack 12L</t>
        </is>
      </c>
      <c r="I1297" s="36" t="n">
        <v>6</v>
      </c>
      <c r="J1297" s="39" t="n">
        <v>100.56</v>
      </c>
      <c r="K1297" s="45" t="n">
        <v>0</v>
      </c>
      <c r="L1297" s="39" t="n">
        <v>49.47</v>
      </c>
      <c r="M1297" s="39">
        <f>I1297*J1297*(1-K1297)</f>
        <v/>
      </c>
      <c r="N1297" s="39">
        <f>I1297*L1297</f>
        <v/>
      </c>
      <c r="O1297" s="39">
        <f>M1297-N1297</f>
        <v/>
      </c>
      <c r="P1297" s="38">
        <f>IF(M1297=0,0,O1297/M1297)</f>
        <v/>
      </c>
      <c r="Q1297" s="36">
        <f>YEAR(B1297)</f>
        <v/>
      </c>
      <c r="R1297" s="36">
        <f>"Q"&amp;ROUNDUP(MONTH(B1297)/3,0)</f>
        <v/>
      </c>
      <c r="S1297" s="36">
        <f>MONTH(B1297)</f>
        <v/>
      </c>
      <c r="T1297" s="36">
        <f>TEXT(B1297,"mmm")</f>
        <v/>
      </c>
      <c r="U1297" s="36">
        <f>IF(AND(OR(sel_Region="All",C1297=sel_Region),OR(sel_Country="All",D1297=sel_Country),OR(sel_Channel="All",E1297=sel_Channel),OR(sel_Customer="All",F1297=sel_Customer),OR(sel_Category="All",G1297=sel_Category),OR(sel_Product="All",H1297=sel_Product),AND(S1297&gt;=m_From,S1297&lt;=m_To)),1,0)</f>
        <v/>
      </c>
      <c r="V1297" s="36">
        <f>IF(AND(OR(sel_Region="All",C1297=sel_Region),OR(sel_Channel="All",E1297=sel_Channel),OR(sel_Customer="All",F1297=sel_Customer),OR(sel_Category="All",G1297=sel_Category),OR(sel_Product="All",H1297=sel_Product),AND(S1297&gt;=m_From,S1297&lt;=m_To)),1,0)</f>
        <v/>
      </c>
      <c r="W1297" s="36">
        <f>IF(AND(OR(sel_Region="All",C1297=sel_Region),OR(sel_Country="All",D1297=sel_Country),OR(sel_Customer="All",F1297=sel_Customer),OR(sel_Category="All",G1297=sel_Category),OR(sel_Product="All",H1297=sel_Product),AND(S1297&gt;=m_From,S1297&lt;=m_To)),1,0)</f>
        <v/>
      </c>
      <c r="X1297" s="36">
        <f>IF(AND(OR(sel_Region="All",C1297=sel_Region),OR(sel_Country="All",D1297=sel_Country),OR(sel_Channel="All",E1297=sel_Channel),OR(sel_Category="All",G1297=sel_Category),OR(sel_Product="All",H1297=sel_Product),AND(S1297&gt;=m_From,S1297&lt;=m_To)),1,0)</f>
        <v/>
      </c>
      <c r="Y1297" s="36">
        <f>IF(AND(OR(sel_Region="All",C1297=sel_Region),OR(sel_Country="All",D1297=sel_Country),OR(sel_Channel="All",E1297=sel_Channel),OR(sel_Customer="All",F1297=sel_Customer),OR(sel_Product="All",H1297=sel_Product),AND(S1297&gt;=m_From,S1297&lt;=m_To)),1,0)</f>
        <v/>
      </c>
      <c r="Z1297" s="36">
        <f>IF(AND(OR(sel_Region="All",C1297=sel_Region),OR(sel_Country="All",D1297=sel_Country),OR(sel_Channel="All",E1297=sel_Channel),OR(sel_Customer="All",F1297=sel_Customer),OR(sel_Category="All",G1297=sel_Category),AND(S1297&gt;=m_From,S1297&lt;=m_To)),1,0)</f>
        <v/>
      </c>
      <c r="AA1297" s="36">
        <f>IF(AND(OR(sel_Region="All",C1297=sel_Region),OR(sel_Country="All",D1297=sel_Country),OR(sel_Channel="All",E1297=sel_Channel),OR(sel_Customer="All",F1297=sel_Customer),OR(sel_Category="All",G1297=sel_Category),OR(sel_Product="All",H1297=sel_Product)),1,0)</f>
        <v/>
      </c>
    </row>
    <row r="1298">
      <c r="A1298" s="36" t="inlineStr">
        <is>
          <t>01001</t>
        </is>
      </c>
      <c r="B1298" s="44" t="n">
        <v>46210</v>
      </c>
      <c r="C1298" s="36" t="inlineStr">
        <is>
          <t>Southern Europe</t>
        </is>
      </c>
      <c r="D1298" s="36" t="inlineStr">
        <is>
          <t>Portugal</t>
        </is>
      </c>
      <c r="E1298" s="36" t="inlineStr">
        <is>
          <t>Online Store</t>
        </is>
      </c>
      <c r="F1298" s="36" t="inlineStr">
        <is>
          <t>Returning</t>
        </is>
      </c>
      <c r="G1298" s="36" t="inlineStr">
        <is>
          <t>Camping</t>
        </is>
      </c>
      <c r="H1298" s="36" t="inlineStr">
        <is>
          <t>Trail Tent 2P</t>
        </is>
      </c>
      <c r="I1298" s="36" t="n">
        <v>1</v>
      </c>
      <c r="J1298" s="39" t="n">
        <v>200.48</v>
      </c>
      <c r="K1298" s="45" t="n">
        <v>0.05</v>
      </c>
      <c r="L1298" s="39" t="n">
        <v>104.11</v>
      </c>
      <c r="M1298" s="39">
        <f>I1298*J1298*(1-K1298)</f>
        <v/>
      </c>
      <c r="N1298" s="39">
        <f>I1298*L1298</f>
        <v/>
      </c>
      <c r="O1298" s="39">
        <f>M1298-N1298</f>
        <v/>
      </c>
      <c r="P1298" s="38">
        <f>IF(M1298=0,0,O1298/M1298)</f>
        <v/>
      </c>
      <c r="Q1298" s="36">
        <f>YEAR(B1298)</f>
        <v/>
      </c>
      <c r="R1298" s="36">
        <f>"Q"&amp;ROUNDUP(MONTH(B1298)/3,0)</f>
        <v/>
      </c>
      <c r="S1298" s="36">
        <f>MONTH(B1298)</f>
        <v/>
      </c>
      <c r="T1298" s="36">
        <f>TEXT(B1298,"mmm")</f>
        <v/>
      </c>
      <c r="U1298" s="36">
        <f>IF(AND(OR(sel_Region="All",C1298=sel_Region),OR(sel_Country="All",D1298=sel_Country),OR(sel_Channel="All",E1298=sel_Channel),OR(sel_Customer="All",F1298=sel_Customer),OR(sel_Category="All",G1298=sel_Category),OR(sel_Product="All",H1298=sel_Product),AND(S1298&gt;=m_From,S1298&lt;=m_To)),1,0)</f>
        <v/>
      </c>
      <c r="V1298" s="36">
        <f>IF(AND(OR(sel_Region="All",C1298=sel_Region),OR(sel_Channel="All",E1298=sel_Channel),OR(sel_Customer="All",F1298=sel_Customer),OR(sel_Category="All",G1298=sel_Category),OR(sel_Product="All",H1298=sel_Product),AND(S1298&gt;=m_From,S1298&lt;=m_To)),1,0)</f>
        <v/>
      </c>
      <c r="W1298" s="36">
        <f>IF(AND(OR(sel_Region="All",C1298=sel_Region),OR(sel_Country="All",D1298=sel_Country),OR(sel_Customer="All",F1298=sel_Customer),OR(sel_Category="All",G1298=sel_Category),OR(sel_Product="All",H1298=sel_Product),AND(S1298&gt;=m_From,S1298&lt;=m_To)),1,0)</f>
        <v/>
      </c>
      <c r="X1298" s="36">
        <f>IF(AND(OR(sel_Region="All",C1298=sel_Region),OR(sel_Country="All",D1298=sel_Country),OR(sel_Channel="All",E1298=sel_Channel),OR(sel_Category="All",G1298=sel_Category),OR(sel_Product="All",H1298=sel_Product),AND(S1298&gt;=m_From,S1298&lt;=m_To)),1,0)</f>
        <v/>
      </c>
      <c r="Y1298" s="36">
        <f>IF(AND(OR(sel_Region="All",C1298=sel_Region),OR(sel_Country="All",D1298=sel_Country),OR(sel_Channel="All",E1298=sel_Channel),OR(sel_Customer="All",F1298=sel_Customer),OR(sel_Product="All",H1298=sel_Product),AND(S1298&gt;=m_From,S1298&lt;=m_To)),1,0)</f>
        <v/>
      </c>
      <c r="Z1298" s="36">
        <f>IF(AND(OR(sel_Region="All",C1298=sel_Region),OR(sel_Country="All",D1298=sel_Country),OR(sel_Channel="All",E1298=sel_Channel),OR(sel_Customer="All",F1298=sel_Customer),OR(sel_Category="All",G1298=sel_Category),AND(S1298&gt;=m_From,S1298&lt;=m_To)),1,0)</f>
        <v/>
      </c>
      <c r="AA1298" s="36">
        <f>IF(AND(OR(sel_Region="All",C1298=sel_Region),OR(sel_Country="All",D1298=sel_Country),OR(sel_Channel="All",E1298=sel_Channel),OR(sel_Customer="All",F1298=sel_Customer),OR(sel_Category="All",G1298=sel_Category),OR(sel_Product="All",H1298=sel_Product)),1,0)</f>
        <v/>
      </c>
    </row>
    <row r="1299">
      <c r="A1299" s="36" t="inlineStr">
        <is>
          <t>02424</t>
        </is>
      </c>
      <c r="B1299" s="44" t="n">
        <v>46210</v>
      </c>
      <c r="C1299" s="36" t="inlineStr">
        <is>
          <t>Western Europe</t>
        </is>
      </c>
      <c r="D1299" s="36" t="inlineStr">
        <is>
          <t>United Kingdom</t>
        </is>
      </c>
      <c r="E1299" s="36" t="inlineStr">
        <is>
          <t>Online Store</t>
        </is>
      </c>
      <c r="F1299" s="36" t="inlineStr">
        <is>
          <t>New</t>
        </is>
      </c>
      <c r="G1299" s="36" t="inlineStr">
        <is>
          <t>Cycling</t>
        </is>
      </c>
      <c r="H1299" s="36" t="inlineStr">
        <is>
          <t>Trail Bike Light</t>
        </is>
      </c>
      <c r="I1299" s="36" t="n">
        <v>1</v>
      </c>
      <c r="J1299" s="39" t="n">
        <v>51.06</v>
      </c>
      <c r="K1299" s="45" t="n">
        <v>0.15</v>
      </c>
      <c r="L1299" s="39" t="n">
        <v>22.56</v>
      </c>
      <c r="M1299" s="39">
        <f>I1299*J1299*(1-K1299)</f>
        <v/>
      </c>
      <c r="N1299" s="39">
        <f>I1299*L1299</f>
        <v/>
      </c>
      <c r="O1299" s="39">
        <f>M1299-N1299</f>
        <v/>
      </c>
      <c r="P1299" s="38">
        <f>IF(M1299=0,0,O1299/M1299)</f>
        <v/>
      </c>
      <c r="Q1299" s="36">
        <f>YEAR(B1299)</f>
        <v/>
      </c>
      <c r="R1299" s="36">
        <f>"Q"&amp;ROUNDUP(MONTH(B1299)/3,0)</f>
        <v/>
      </c>
      <c r="S1299" s="36">
        <f>MONTH(B1299)</f>
        <v/>
      </c>
      <c r="T1299" s="36">
        <f>TEXT(B1299,"mmm")</f>
        <v/>
      </c>
      <c r="U1299" s="36">
        <f>IF(AND(OR(sel_Region="All",C1299=sel_Region),OR(sel_Country="All",D1299=sel_Country),OR(sel_Channel="All",E1299=sel_Channel),OR(sel_Customer="All",F1299=sel_Customer),OR(sel_Category="All",G1299=sel_Category),OR(sel_Product="All",H1299=sel_Product),AND(S1299&gt;=m_From,S1299&lt;=m_To)),1,0)</f>
        <v/>
      </c>
      <c r="V1299" s="36">
        <f>IF(AND(OR(sel_Region="All",C1299=sel_Region),OR(sel_Channel="All",E1299=sel_Channel),OR(sel_Customer="All",F1299=sel_Customer),OR(sel_Category="All",G1299=sel_Category),OR(sel_Product="All",H1299=sel_Product),AND(S1299&gt;=m_From,S1299&lt;=m_To)),1,0)</f>
        <v/>
      </c>
      <c r="W1299" s="36">
        <f>IF(AND(OR(sel_Region="All",C1299=sel_Region),OR(sel_Country="All",D1299=sel_Country),OR(sel_Customer="All",F1299=sel_Customer),OR(sel_Category="All",G1299=sel_Category),OR(sel_Product="All",H1299=sel_Product),AND(S1299&gt;=m_From,S1299&lt;=m_To)),1,0)</f>
        <v/>
      </c>
      <c r="X1299" s="36">
        <f>IF(AND(OR(sel_Region="All",C1299=sel_Region),OR(sel_Country="All",D1299=sel_Country),OR(sel_Channel="All",E1299=sel_Channel),OR(sel_Category="All",G1299=sel_Category),OR(sel_Product="All",H1299=sel_Product),AND(S1299&gt;=m_From,S1299&lt;=m_To)),1,0)</f>
        <v/>
      </c>
      <c r="Y1299" s="36">
        <f>IF(AND(OR(sel_Region="All",C1299=sel_Region),OR(sel_Country="All",D1299=sel_Country),OR(sel_Channel="All",E1299=sel_Channel),OR(sel_Customer="All",F1299=sel_Customer),OR(sel_Product="All",H1299=sel_Product),AND(S1299&gt;=m_From,S1299&lt;=m_To)),1,0)</f>
        <v/>
      </c>
      <c r="Z1299" s="36">
        <f>IF(AND(OR(sel_Region="All",C1299=sel_Region),OR(sel_Country="All",D1299=sel_Country),OR(sel_Channel="All",E1299=sel_Channel),OR(sel_Customer="All",F1299=sel_Customer),OR(sel_Category="All",G1299=sel_Category),AND(S1299&gt;=m_From,S1299&lt;=m_To)),1,0)</f>
        <v/>
      </c>
      <c r="AA1299" s="36">
        <f>IF(AND(OR(sel_Region="All",C1299=sel_Region),OR(sel_Country="All",D1299=sel_Country),OR(sel_Channel="All",E1299=sel_Channel),OR(sel_Customer="All",F1299=sel_Customer),OR(sel_Category="All",G1299=sel_Category),OR(sel_Product="All",H1299=sel_Product)),1,0)</f>
        <v/>
      </c>
    </row>
    <row r="1300">
      <c r="A1300" s="36" t="inlineStr">
        <is>
          <t>02751</t>
        </is>
      </c>
      <c r="B1300" s="44" t="n">
        <v>46210</v>
      </c>
      <c r="C1300" s="36" t="inlineStr">
        <is>
          <t>Southern Europe</t>
        </is>
      </c>
      <c r="D1300" s="36" t="inlineStr">
        <is>
          <t>Italy</t>
        </is>
      </c>
      <c r="E1300" s="36" t="inlineStr">
        <is>
          <t>Retail Partners</t>
        </is>
      </c>
      <c r="F1300" s="36" t="inlineStr">
        <is>
          <t>New</t>
        </is>
      </c>
      <c r="G1300" s="36" t="inlineStr">
        <is>
          <t>Fitness</t>
        </is>
      </c>
      <c r="H1300" s="36" t="inlineStr">
        <is>
          <t>Weighted Vest</t>
        </is>
      </c>
      <c r="I1300" s="36" t="n">
        <v>2</v>
      </c>
      <c r="J1300" s="39" t="n">
        <v>125.9</v>
      </c>
      <c r="K1300" s="45" t="n">
        <v>0.15</v>
      </c>
      <c r="L1300" s="39" t="n">
        <v>70.27</v>
      </c>
      <c r="M1300" s="39">
        <f>I1300*J1300*(1-K1300)</f>
        <v/>
      </c>
      <c r="N1300" s="39">
        <f>I1300*L1300</f>
        <v/>
      </c>
      <c r="O1300" s="39">
        <f>M1300-N1300</f>
        <v/>
      </c>
      <c r="P1300" s="38">
        <f>IF(M1300=0,0,O1300/M1300)</f>
        <v/>
      </c>
      <c r="Q1300" s="36">
        <f>YEAR(B1300)</f>
        <v/>
      </c>
      <c r="R1300" s="36">
        <f>"Q"&amp;ROUNDUP(MONTH(B1300)/3,0)</f>
        <v/>
      </c>
      <c r="S1300" s="36">
        <f>MONTH(B1300)</f>
        <v/>
      </c>
      <c r="T1300" s="36">
        <f>TEXT(B1300,"mmm")</f>
        <v/>
      </c>
      <c r="U1300" s="36">
        <f>IF(AND(OR(sel_Region="All",C1300=sel_Region),OR(sel_Country="All",D1300=sel_Country),OR(sel_Channel="All",E1300=sel_Channel),OR(sel_Customer="All",F1300=sel_Customer),OR(sel_Category="All",G1300=sel_Category),OR(sel_Product="All",H1300=sel_Product),AND(S1300&gt;=m_From,S1300&lt;=m_To)),1,0)</f>
        <v/>
      </c>
      <c r="V1300" s="36">
        <f>IF(AND(OR(sel_Region="All",C1300=sel_Region),OR(sel_Channel="All",E1300=sel_Channel),OR(sel_Customer="All",F1300=sel_Customer),OR(sel_Category="All",G1300=sel_Category),OR(sel_Product="All",H1300=sel_Product),AND(S1300&gt;=m_From,S1300&lt;=m_To)),1,0)</f>
        <v/>
      </c>
      <c r="W1300" s="36">
        <f>IF(AND(OR(sel_Region="All",C1300=sel_Region),OR(sel_Country="All",D1300=sel_Country),OR(sel_Customer="All",F1300=sel_Customer),OR(sel_Category="All",G1300=sel_Category),OR(sel_Product="All",H1300=sel_Product),AND(S1300&gt;=m_From,S1300&lt;=m_To)),1,0)</f>
        <v/>
      </c>
      <c r="X1300" s="36">
        <f>IF(AND(OR(sel_Region="All",C1300=sel_Region),OR(sel_Country="All",D1300=sel_Country),OR(sel_Channel="All",E1300=sel_Channel),OR(sel_Category="All",G1300=sel_Category),OR(sel_Product="All",H1300=sel_Product),AND(S1300&gt;=m_From,S1300&lt;=m_To)),1,0)</f>
        <v/>
      </c>
      <c r="Y1300" s="36">
        <f>IF(AND(OR(sel_Region="All",C1300=sel_Region),OR(sel_Country="All",D1300=sel_Country),OR(sel_Channel="All",E1300=sel_Channel),OR(sel_Customer="All",F1300=sel_Customer),OR(sel_Product="All",H1300=sel_Product),AND(S1300&gt;=m_From,S1300&lt;=m_To)),1,0)</f>
        <v/>
      </c>
      <c r="Z1300" s="36">
        <f>IF(AND(OR(sel_Region="All",C1300=sel_Region),OR(sel_Country="All",D1300=sel_Country),OR(sel_Channel="All",E1300=sel_Channel),OR(sel_Customer="All",F1300=sel_Customer),OR(sel_Category="All",G1300=sel_Category),AND(S1300&gt;=m_From,S1300&lt;=m_To)),1,0)</f>
        <v/>
      </c>
      <c r="AA1300" s="36">
        <f>IF(AND(OR(sel_Region="All",C1300=sel_Region),OR(sel_Country="All",D1300=sel_Country),OR(sel_Channel="All",E1300=sel_Channel),OR(sel_Customer="All",F1300=sel_Customer),OR(sel_Category="All",G1300=sel_Category),OR(sel_Product="All",H1300=sel_Product)),1,0)</f>
        <v/>
      </c>
    </row>
    <row r="1301">
      <c r="A1301" s="36" t="inlineStr">
        <is>
          <t>00375</t>
        </is>
      </c>
      <c r="B1301" s="44" t="n">
        <v>46211</v>
      </c>
      <c r="C1301" s="36" t="inlineStr">
        <is>
          <t>Central Europe</t>
        </is>
      </c>
      <c r="D1301" s="36" t="inlineStr">
        <is>
          <t>Germany</t>
        </is>
      </c>
      <c r="E1301" s="36" t="inlineStr">
        <is>
          <t>Retail Partners</t>
        </is>
      </c>
      <c r="F1301" s="36" t="inlineStr">
        <is>
          <t>Returning</t>
        </is>
      </c>
      <c r="G1301" s="36" t="inlineStr">
        <is>
          <t>Camping</t>
        </is>
      </c>
      <c r="H1301" s="36" t="inlineStr">
        <is>
          <t>Trail Tent 2P</t>
        </is>
      </c>
      <c r="I1301" s="36" t="n">
        <v>2</v>
      </c>
      <c r="J1301" s="39" t="n">
        <v>192.24</v>
      </c>
      <c r="K1301" s="45" t="n">
        <v>0.05</v>
      </c>
      <c r="L1301" s="39" t="n">
        <v>103.65</v>
      </c>
      <c r="M1301" s="39">
        <f>I1301*J1301*(1-K1301)</f>
        <v/>
      </c>
      <c r="N1301" s="39">
        <f>I1301*L1301</f>
        <v/>
      </c>
      <c r="O1301" s="39">
        <f>M1301-N1301</f>
        <v/>
      </c>
      <c r="P1301" s="38">
        <f>IF(M1301=0,0,O1301/M1301)</f>
        <v/>
      </c>
      <c r="Q1301" s="36">
        <f>YEAR(B1301)</f>
        <v/>
      </c>
      <c r="R1301" s="36">
        <f>"Q"&amp;ROUNDUP(MONTH(B1301)/3,0)</f>
        <v/>
      </c>
      <c r="S1301" s="36">
        <f>MONTH(B1301)</f>
        <v/>
      </c>
      <c r="T1301" s="36">
        <f>TEXT(B1301,"mmm")</f>
        <v/>
      </c>
      <c r="U1301" s="36">
        <f>IF(AND(OR(sel_Region="All",C1301=sel_Region),OR(sel_Country="All",D1301=sel_Country),OR(sel_Channel="All",E1301=sel_Channel),OR(sel_Customer="All",F1301=sel_Customer),OR(sel_Category="All",G1301=sel_Category),OR(sel_Product="All",H1301=sel_Product),AND(S1301&gt;=m_From,S1301&lt;=m_To)),1,0)</f>
        <v/>
      </c>
      <c r="V1301" s="36">
        <f>IF(AND(OR(sel_Region="All",C1301=sel_Region),OR(sel_Channel="All",E1301=sel_Channel),OR(sel_Customer="All",F1301=sel_Customer),OR(sel_Category="All",G1301=sel_Category),OR(sel_Product="All",H1301=sel_Product),AND(S1301&gt;=m_From,S1301&lt;=m_To)),1,0)</f>
        <v/>
      </c>
      <c r="W1301" s="36">
        <f>IF(AND(OR(sel_Region="All",C1301=sel_Region),OR(sel_Country="All",D1301=sel_Country),OR(sel_Customer="All",F1301=sel_Customer),OR(sel_Category="All",G1301=sel_Category),OR(sel_Product="All",H1301=sel_Product),AND(S1301&gt;=m_From,S1301&lt;=m_To)),1,0)</f>
        <v/>
      </c>
      <c r="X1301" s="36">
        <f>IF(AND(OR(sel_Region="All",C1301=sel_Region),OR(sel_Country="All",D1301=sel_Country),OR(sel_Channel="All",E1301=sel_Channel),OR(sel_Category="All",G1301=sel_Category),OR(sel_Product="All",H1301=sel_Product),AND(S1301&gt;=m_From,S1301&lt;=m_To)),1,0)</f>
        <v/>
      </c>
      <c r="Y1301" s="36">
        <f>IF(AND(OR(sel_Region="All",C1301=sel_Region),OR(sel_Country="All",D1301=sel_Country),OR(sel_Channel="All",E1301=sel_Channel),OR(sel_Customer="All",F1301=sel_Customer),OR(sel_Product="All",H1301=sel_Product),AND(S1301&gt;=m_From,S1301&lt;=m_To)),1,0)</f>
        <v/>
      </c>
      <c r="Z1301" s="36">
        <f>IF(AND(OR(sel_Region="All",C1301=sel_Region),OR(sel_Country="All",D1301=sel_Country),OR(sel_Channel="All",E1301=sel_Channel),OR(sel_Customer="All",F1301=sel_Customer),OR(sel_Category="All",G1301=sel_Category),AND(S1301&gt;=m_From,S1301&lt;=m_To)),1,0)</f>
        <v/>
      </c>
      <c r="AA1301" s="36">
        <f>IF(AND(OR(sel_Region="All",C1301=sel_Region),OR(sel_Country="All",D1301=sel_Country),OR(sel_Channel="All",E1301=sel_Channel),OR(sel_Customer="All",F1301=sel_Customer),OR(sel_Category="All",G1301=sel_Category),OR(sel_Product="All",H1301=sel_Product)),1,0)</f>
        <v/>
      </c>
    </row>
    <row r="1302">
      <c r="A1302" s="36" t="inlineStr">
        <is>
          <t>00650</t>
        </is>
      </c>
      <c r="B1302" s="44" t="n">
        <v>46211</v>
      </c>
      <c r="C1302" s="36" t="inlineStr">
        <is>
          <t>Southern Europe</t>
        </is>
      </c>
      <c r="D1302" s="36" t="inlineStr">
        <is>
          <t>Spain</t>
        </is>
      </c>
      <c r="E1302" s="36" t="inlineStr">
        <is>
          <t>Online Store</t>
        </is>
      </c>
      <c r="F1302" s="36" t="inlineStr">
        <is>
          <t>Business</t>
        </is>
      </c>
      <c r="G1302" s="36" t="inlineStr">
        <is>
          <t>Fitness</t>
        </is>
      </c>
      <c r="H1302" s="36" t="inlineStr">
        <is>
          <t>Resistance Band Set</t>
        </is>
      </c>
      <c r="I1302" s="36" t="n">
        <v>2</v>
      </c>
      <c r="J1302" s="39" t="n">
        <v>40.79</v>
      </c>
      <c r="K1302" s="45" t="n">
        <v>0</v>
      </c>
      <c r="L1302" s="39" t="n">
        <v>14.61</v>
      </c>
      <c r="M1302" s="39">
        <f>I1302*J1302*(1-K1302)</f>
        <v/>
      </c>
      <c r="N1302" s="39">
        <f>I1302*L1302</f>
        <v/>
      </c>
      <c r="O1302" s="39">
        <f>M1302-N1302</f>
        <v/>
      </c>
      <c r="P1302" s="38">
        <f>IF(M1302=0,0,O1302/M1302)</f>
        <v/>
      </c>
      <c r="Q1302" s="36">
        <f>YEAR(B1302)</f>
        <v/>
      </c>
      <c r="R1302" s="36">
        <f>"Q"&amp;ROUNDUP(MONTH(B1302)/3,0)</f>
        <v/>
      </c>
      <c r="S1302" s="36">
        <f>MONTH(B1302)</f>
        <v/>
      </c>
      <c r="T1302" s="36">
        <f>TEXT(B1302,"mmm")</f>
        <v/>
      </c>
      <c r="U1302" s="36">
        <f>IF(AND(OR(sel_Region="All",C1302=sel_Region),OR(sel_Country="All",D1302=sel_Country),OR(sel_Channel="All",E1302=sel_Channel),OR(sel_Customer="All",F1302=sel_Customer),OR(sel_Category="All",G1302=sel_Category),OR(sel_Product="All",H1302=sel_Product),AND(S1302&gt;=m_From,S1302&lt;=m_To)),1,0)</f>
        <v/>
      </c>
      <c r="V1302" s="36">
        <f>IF(AND(OR(sel_Region="All",C1302=sel_Region),OR(sel_Channel="All",E1302=sel_Channel),OR(sel_Customer="All",F1302=sel_Customer),OR(sel_Category="All",G1302=sel_Category),OR(sel_Product="All",H1302=sel_Product),AND(S1302&gt;=m_From,S1302&lt;=m_To)),1,0)</f>
        <v/>
      </c>
      <c r="W1302" s="36">
        <f>IF(AND(OR(sel_Region="All",C1302=sel_Region),OR(sel_Country="All",D1302=sel_Country),OR(sel_Customer="All",F1302=sel_Customer),OR(sel_Category="All",G1302=sel_Category),OR(sel_Product="All",H1302=sel_Product),AND(S1302&gt;=m_From,S1302&lt;=m_To)),1,0)</f>
        <v/>
      </c>
      <c r="X1302" s="36">
        <f>IF(AND(OR(sel_Region="All",C1302=sel_Region),OR(sel_Country="All",D1302=sel_Country),OR(sel_Channel="All",E1302=sel_Channel),OR(sel_Category="All",G1302=sel_Category),OR(sel_Product="All",H1302=sel_Product),AND(S1302&gt;=m_From,S1302&lt;=m_To)),1,0)</f>
        <v/>
      </c>
      <c r="Y1302" s="36">
        <f>IF(AND(OR(sel_Region="All",C1302=sel_Region),OR(sel_Country="All",D1302=sel_Country),OR(sel_Channel="All",E1302=sel_Channel),OR(sel_Customer="All",F1302=sel_Customer),OR(sel_Product="All",H1302=sel_Product),AND(S1302&gt;=m_From,S1302&lt;=m_To)),1,0)</f>
        <v/>
      </c>
      <c r="Z1302" s="36">
        <f>IF(AND(OR(sel_Region="All",C1302=sel_Region),OR(sel_Country="All",D1302=sel_Country),OR(sel_Channel="All",E1302=sel_Channel),OR(sel_Customer="All",F1302=sel_Customer),OR(sel_Category="All",G1302=sel_Category),AND(S1302&gt;=m_From,S1302&lt;=m_To)),1,0)</f>
        <v/>
      </c>
      <c r="AA1302" s="36">
        <f>IF(AND(OR(sel_Region="All",C1302=sel_Region),OR(sel_Country="All",D1302=sel_Country),OR(sel_Channel="All",E1302=sel_Channel),OR(sel_Customer="All",F1302=sel_Customer),OR(sel_Category="All",G1302=sel_Category),OR(sel_Product="All",H1302=sel_Product)),1,0)</f>
        <v/>
      </c>
    </row>
    <row r="1303">
      <c r="A1303" s="36" t="inlineStr">
        <is>
          <t>00941</t>
        </is>
      </c>
      <c r="B1303" s="44" t="n">
        <v>46211</v>
      </c>
      <c r="C1303" s="36" t="inlineStr">
        <is>
          <t>Southern Europe</t>
        </is>
      </c>
      <c r="D1303" s="36" t="inlineStr">
        <is>
          <t>Portugal</t>
        </is>
      </c>
      <c r="E1303" s="36" t="inlineStr">
        <is>
          <t>Retail Partners</t>
        </is>
      </c>
      <c r="F1303" s="36" t="inlineStr">
        <is>
          <t>New</t>
        </is>
      </c>
      <c r="G1303" s="36" t="inlineStr">
        <is>
          <t>Camping</t>
        </is>
      </c>
      <c r="H1303" s="36" t="inlineStr">
        <is>
          <t>Compact Sleeping Bag</t>
        </is>
      </c>
      <c r="I1303" s="36" t="n">
        <v>2</v>
      </c>
      <c r="J1303" s="39" t="n">
        <v>125.73</v>
      </c>
      <c r="K1303" s="45" t="n">
        <v>0.15</v>
      </c>
      <c r="L1303" s="39" t="n">
        <v>61.75</v>
      </c>
      <c r="M1303" s="39">
        <f>I1303*J1303*(1-K1303)</f>
        <v/>
      </c>
      <c r="N1303" s="39">
        <f>I1303*L1303</f>
        <v/>
      </c>
      <c r="O1303" s="39">
        <f>M1303-N1303</f>
        <v/>
      </c>
      <c r="P1303" s="38">
        <f>IF(M1303=0,0,O1303/M1303)</f>
        <v/>
      </c>
      <c r="Q1303" s="36">
        <f>YEAR(B1303)</f>
        <v/>
      </c>
      <c r="R1303" s="36">
        <f>"Q"&amp;ROUNDUP(MONTH(B1303)/3,0)</f>
        <v/>
      </c>
      <c r="S1303" s="36">
        <f>MONTH(B1303)</f>
        <v/>
      </c>
      <c r="T1303" s="36">
        <f>TEXT(B1303,"mmm")</f>
        <v/>
      </c>
      <c r="U1303" s="36">
        <f>IF(AND(OR(sel_Region="All",C1303=sel_Region),OR(sel_Country="All",D1303=sel_Country),OR(sel_Channel="All",E1303=sel_Channel),OR(sel_Customer="All",F1303=sel_Customer),OR(sel_Category="All",G1303=sel_Category),OR(sel_Product="All",H1303=sel_Product),AND(S1303&gt;=m_From,S1303&lt;=m_To)),1,0)</f>
        <v/>
      </c>
      <c r="V1303" s="36">
        <f>IF(AND(OR(sel_Region="All",C1303=sel_Region),OR(sel_Channel="All",E1303=sel_Channel),OR(sel_Customer="All",F1303=sel_Customer),OR(sel_Category="All",G1303=sel_Category),OR(sel_Product="All",H1303=sel_Product),AND(S1303&gt;=m_From,S1303&lt;=m_To)),1,0)</f>
        <v/>
      </c>
      <c r="W1303" s="36">
        <f>IF(AND(OR(sel_Region="All",C1303=sel_Region),OR(sel_Country="All",D1303=sel_Country),OR(sel_Customer="All",F1303=sel_Customer),OR(sel_Category="All",G1303=sel_Category),OR(sel_Product="All",H1303=sel_Product),AND(S1303&gt;=m_From,S1303&lt;=m_To)),1,0)</f>
        <v/>
      </c>
      <c r="X1303" s="36">
        <f>IF(AND(OR(sel_Region="All",C1303=sel_Region),OR(sel_Country="All",D1303=sel_Country),OR(sel_Channel="All",E1303=sel_Channel),OR(sel_Category="All",G1303=sel_Category),OR(sel_Product="All",H1303=sel_Product),AND(S1303&gt;=m_From,S1303&lt;=m_To)),1,0)</f>
        <v/>
      </c>
      <c r="Y1303" s="36">
        <f>IF(AND(OR(sel_Region="All",C1303=sel_Region),OR(sel_Country="All",D1303=sel_Country),OR(sel_Channel="All",E1303=sel_Channel),OR(sel_Customer="All",F1303=sel_Customer),OR(sel_Product="All",H1303=sel_Product),AND(S1303&gt;=m_From,S1303&lt;=m_To)),1,0)</f>
        <v/>
      </c>
      <c r="Z1303" s="36">
        <f>IF(AND(OR(sel_Region="All",C1303=sel_Region),OR(sel_Country="All",D1303=sel_Country),OR(sel_Channel="All",E1303=sel_Channel),OR(sel_Customer="All",F1303=sel_Customer),OR(sel_Category="All",G1303=sel_Category),AND(S1303&gt;=m_From,S1303&lt;=m_To)),1,0)</f>
        <v/>
      </c>
      <c r="AA1303" s="36">
        <f>IF(AND(OR(sel_Region="All",C1303=sel_Region),OR(sel_Country="All",D1303=sel_Country),OR(sel_Channel="All",E1303=sel_Channel),OR(sel_Customer="All",F1303=sel_Customer),OR(sel_Category="All",G1303=sel_Category),OR(sel_Product="All",H1303=sel_Product)),1,0)</f>
        <v/>
      </c>
    </row>
    <row r="1304">
      <c r="A1304" s="36" t="inlineStr">
        <is>
          <t>02719</t>
        </is>
      </c>
      <c r="B1304" s="44" t="n">
        <v>46211</v>
      </c>
      <c r="C1304" s="36" t="inlineStr">
        <is>
          <t>Southern Europe</t>
        </is>
      </c>
      <c r="D1304" s="36" t="inlineStr">
        <is>
          <t>Italy</t>
        </is>
      </c>
      <c r="E1304" s="36" t="inlineStr">
        <is>
          <t>Online Store</t>
        </is>
      </c>
      <c r="F1304" s="36" t="inlineStr">
        <is>
          <t>Business</t>
        </is>
      </c>
      <c r="G1304" s="36" t="inlineStr">
        <is>
          <t>Travel</t>
        </is>
      </c>
      <c r="H1304" s="36" t="inlineStr">
        <is>
          <t>Travel Backpack 35L</t>
        </is>
      </c>
      <c r="I1304" s="36" t="n">
        <v>1</v>
      </c>
      <c r="J1304" s="39" t="n">
        <v>164.92</v>
      </c>
      <c r="K1304" s="45" t="n">
        <v>0</v>
      </c>
      <c r="L1304" s="39" t="n">
        <v>89.47</v>
      </c>
      <c r="M1304" s="39">
        <f>I1304*J1304*(1-K1304)</f>
        <v/>
      </c>
      <c r="N1304" s="39">
        <f>I1304*L1304</f>
        <v/>
      </c>
      <c r="O1304" s="39">
        <f>M1304-N1304</f>
        <v/>
      </c>
      <c r="P1304" s="38">
        <f>IF(M1304=0,0,O1304/M1304)</f>
        <v/>
      </c>
      <c r="Q1304" s="36">
        <f>YEAR(B1304)</f>
        <v/>
      </c>
      <c r="R1304" s="36">
        <f>"Q"&amp;ROUNDUP(MONTH(B1304)/3,0)</f>
        <v/>
      </c>
      <c r="S1304" s="36">
        <f>MONTH(B1304)</f>
        <v/>
      </c>
      <c r="T1304" s="36">
        <f>TEXT(B1304,"mmm")</f>
        <v/>
      </c>
      <c r="U1304" s="36">
        <f>IF(AND(OR(sel_Region="All",C1304=sel_Region),OR(sel_Country="All",D1304=sel_Country),OR(sel_Channel="All",E1304=sel_Channel),OR(sel_Customer="All",F1304=sel_Customer),OR(sel_Category="All",G1304=sel_Category),OR(sel_Product="All",H1304=sel_Product),AND(S1304&gt;=m_From,S1304&lt;=m_To)),1,0)</f>
        <v/>
      </c>
      <c r="V1304" s="36">
        <f>IF(AND(OR(sel_Region="All",C1304=sel_Region),OR(sel_Channel="All",E1304=sel_Channel),OR(sel_Customer="All",F1304=sel_Customer),OR(sel_Category="All",G1304=sel_Category),OR(sel_Product="All",H1304=sel_Product),AND(S1304&gt;=m_From,S1304&lt;=m_To)),1,0)</f>
        <v/>
      </c>
      <c r="W1304" s="36">
        <f>IF(AND(OR(sel_Region="All",C1304=sel_Region),OR(sel_Country="All",D1304=sel_Country),OR(sel_Customer="All",F1304=sel_Customer),OR(sel_Category="All",G1304=sel_Category),OR(sel_Product="All",H1304=sel_Product),AND(S1304&gt;=m_From,S1304&lt;=m_To)),1,0)</f>
        <v/>
      </c>
      <c r="X1304" s="36">
        <f>IF(AND(OR(sel_Region="All",C1304=sel_Region),OR(sel_Country="All",D1304=sel_Country),OR(sel_Channel="All",E1304=sel_Channel),OR(sel_Category="All",G1304=sel_Category),OR(sel_Product="All",H1304=sel_Product),AND(S1304&gt;=m_From,S1304&lt;=m_To)),1,0)</f>
        <v/>
      </c>
      <c r="Y1304" s="36">
        <f>IF(AND(OR(sel_Region="All",C1304=sel_Region),OR(sel_Country="All",D1304=sel_Country),OR(sel_Channel="All",E1304=sel_Channel),OR(sel_Customer="All",F1304=sel_Customer),OR(sel_Product="All",H1304=sel_Product),AND(S1304&gt;=m_From,S1304&lt;=m_To)),1,0)</f>
        <v/>
      </c>
      <c r="Z1304" s="36">
        <f>IF(AND(OR(sel_Region="All",C1304=sel_Region),OR(sel_Country="All",D1304=sel_Country),OR(sel_Channel="All",E1304=sel_Channel),OR(sel_Customer="All",F1304=sel_Customer),OR(sel_Category="All",G1304=sel_Category),AND(S1304&gt;=m_From,S1304&lt;=m_To)),1,0)</f>
        <v/>
      </c>
      <c r="AA1304" s="36">
        <f>IF(AND(OR(sel_Region="All",C1304=sel_Region),OR(sel_Country="All",D1304=sel_Country),OR(sel_Channel="All",E1304=sel_Channel),OR(sel_Customer="All",F1304=sel_Customer),OR(sel_Category="All",G1304=sel_Category),OR(sel_Product="All",H1304=sel_Product)),1,0)</f>
        <v/>
      </c>
    </row>
    <row r="1305">
      <c r="A1305" s="36" t="inlineStr">
        <is>
          <t>03833</t>
        </is>
      </c>
      <c r="B1305" s="44" t="n">
        <v>46211</v>
      </c>
      <c r="C1305" s="36" t="inlineStr">
        <is>
          <t>Central Europe</t>
        </is>
      </c>
      <c r="D1305" s="36" t="inlineStr">
        <is>
          <t>Austria</t>
        </is>
      </c>
      <c r="E1305" s="36" t="inlineStr">
        <is>
          <t>Retail Partners</t>
        </is>
      </c>
      <c r="F1305" s="36" t="inlineStr">
        <is>
          <t>New</t>
        </is>
      </c>
      <c r="G1305" s="36" t="inlineStr">
        <is>
          <t>Cycling</t>
        </is>
      </c>
      <c r="H1305" s="36" t="inlineStr">
        <is>
          <t>Cycling Pack 12L</t>
        </is>
      </c>
      <c r="I1305" s="36" t="n">
        <v>5</v>
      </c>
      <c r="J1305" s="39" t="n">
        <v>103.91</v>
      </c>
      <c r="K1305" s="45" t="n">
        <v>0</v>
      </c>
      <c r="L1305" s="39" t="n">
        <v>51.19</v>
      </c>
      <c r="M1305" s="39">
        <f>I1305*J1305*(1-K1305)</f>
        <v/>
      </c>
      <c r="N1305" s="39">
        <f>I1305*L1305</f>
        <v/>
      </c>
      <c r="O1305" s="39">
        <f>M1305-N1305</f>
        <v/>
      </c>
      <c r="P1305" s="38">
        <f>IF(M1305=0,0,O1305/M1305)</f>
        <v/>
      </c>
      <c r="Q1305" s="36">
        <f>YEAR(B1305)</f>
        <v/>
      </c>
      <c r="R1305" s="36">
        <f>"Q"&amp;ROUNDUP(MONTH(B1305)/3,0)</f>
        <v/>
      </c>
      <c r="S1305" s="36">
        <f>MONTH(B1305)</f>
        <v/>
      </c>
      <c r="T1305" s="36">
        <f>TEXT(B1305,"mmm")</f>
        <v/>
      </c>
      <c r="U1305" s="36">
        <f>IF(AND(OR(sel_Region="All",C1305=sel_Region),OR(sel_Country="All",D1305=sel_Country),OR(sel_Channel="All",E1305=sel_Channel),OR(sel_Customer="All",F1305=sel_Customer),OR(sel_Category="All",G1305=sel_Category),OR(sel_Product="All",H1305=sel_Product),AND(S1305&gt;=m_From,S1305&lt;=m_To)),1,0)</f>
        <v/>
      </c>
      <c r="V1305" s="36">
        <f>IF(AND(OR(sel_Region="All",C1305=sel_Region),OR(sel_Channel="All",E1305=sel_Channel),OR(sel_Customer="All",F1305=sel_Customer),OR(sel_Category="All",G1305=sel_Category),OR(sel_Product="All",H1305=sel_Product),AND(S1305&gt;=m_From,S1305&lt;=m_To)),1,0)</f>
        <v/>
      </c>
      <c r="W1305" s="36">
        <f>IF(AND(OR(sel_Region="All",C1305=sel_Region),OR(sel_Country="All",D1305=sel_Country),OR(sel_Customer="All",F1305=sel_Customer),OR(sel_Category="All",G1305=sel_Category),OR(sel_Product="All",H1305=sel_Product),AND(S1305&gt;=m_From,S1305&lt;=m_To)),1,0)</f>
        <v/>
      </c>
      <c r="X1305" s="36">
        <f>IF(AND(OR(sel_Region="All",C1305=sel_Region),OR(sel_Country="All",D1305=sel_Country),OR(sel_Channel="All",E1305=sel_Channel),OR(sel_Category="All",G1305=sel_Category),OR(sel_Product="All",H1305=sel_Product),AND(S1305&gt;=m_From,S1305&lt;=m_To)),1,0)</f>
        <v/>
      </c>
      <c r="Y1305" s="36">
        <f>IF(AND(OR(sel_Region="All",C1305=sel_Region),OR(sel_Country="All",D1305=sel_Country),OR(sel_Channel="All",E1305=sel_Channel),OR(sel_Customer="All",F1305=sel_Customer),OR(sel_Product="All",H1305=sel_Product),AND(S1305&gt;=m_From,S1305&lt;=m_To)),1,0)</f>
        <v/>
      </c>
      <c r="Z1305" s="36">
        <f>IF(AND(OR(sel_Region="All",C1305=sel_Region),OR(sel_Country="All",D1305=sel_Country),OR(sel_Channel="All",E1305=sel_Channel),OR(sel_Customer="All",F1305=sel_Customer),OR(sel_Category="All",G1305=sel_Category),AND(S1305&gt;=m_From,S1305&lt;=m_To)),1,0)</f>
        <v/>
      </c>
      <c r="AA1305" s="36">
        <f>IF(AND(OR(sel_Region="All",C1305=sel_Region),OR(sel_Country="All",D1305=sel_Country),OR(sel_Channel="All",E1305=sel_Channel),OR(sel_Customer="All",F1305=sel_Customer),OR(sel_Category="All",G1305=sel_Category),OR(sel_Product="All",H1305=sel_Product)),1,0)</f>
        <v/>
      </c>
    </row>
    <row r="1306">
      <c r="A1306" s="36" t="inlineStr">
        <is>
          <t>00211</t>
        </is>
      </c>
      <c r="B1306" s="44" t="n">
        <v>46212</v>
      </c>
      <c r="C1306" s="36" t="inlineStr">
        <is>
          <t>Northern Europe</t>
        </is>
      </c>
      <c r="D1306" s="36" t="inlineStr">
        <is>
          <t>Norway</t>
        </is>
      </c>
      <c r="E1306" s="36" t="inlineStr">
        <is>
          <t>Corporate</t>
        </is>
      </c>
      <c r="F1306" s="36" t="inlineStr">
        <is>
          <t>Business</t>
        </is>
      </c>
      <c r="G1306" s="36" t="inlineStr">
        <is>
          <t>Cycling</t>
        </is>
      </c>
      <c r="H1306" s="36" t="inlineStr">
        <is>
          <t>Trail Bike Light</t>
        </is>
      </c>
      <c r="I1306" s="36" t="n">
        <v>10</v>
      </c>
      <c r="J1306" s="39" t="n">
        <v>49.69</v>
      </c>
      <c r="K1306" s="45" t="n">
        <v>0.1</v>
      </c>
      <c r="L1306" s="39" t="n">
        <v>21.82</v>
      </c>
      <c r="M1306" s="39">
        <f>I1306*J1306*(1-K1306)</f>
        <v/>
      </c>
      <c r="N1306" s="39">
        <f>I1306*L1306</f>
        <v/>
      </c>
      <c r="O1306" s="39">
        <f>M1306-N1306</f>
        <v/>
      </c>
      <c r="P1306" s="38">
        <f>IF(M1306=0,0,O1306/M1306)</f>
        <v/>
      </c>
      <c r="Q1306" s="36">
        <f>YEAR(B1306)</f>
        <v/>
      </c>
      <c r="R1306" s="36">
        <f>"Q"&amp;ROUNDUP(MONTH(B1306)/3,0)</f>
        <v/>
      </c>
      <c r="S1306" s="36">
        <f>MONTH(B1306)</f>
        <v/>
      </c>
      <c r="T1306" s="36">
        <f>TEXT(B1306,"mmm")</f>
        <v/>
      </c>
      <c r="U1306" s="36">
        <f>IF(AND(OR(sel_Region="All",C1306=sel_Region),OR(sel_Country="All",D1306=sel_Country),OR(sel_Channel="All",E1306=sel_Channel),OR(sel_Customer="All",F1306=sel_Customer),OR(sel_Category="All",G1306=sel_Category),OR(sel_Product="All",H1306=sel_Product),AND(S1306&gt;=m_From,S1306&lt;=m_To)),1,0)</f>
        <v/>
      </c>
      <c r="V1306" s="36">
        <f>IF(AND(OR(sel_Region="All",C1306=sel_Region),OR(sel_Channel="All",E1306=sel_Channel),OR(sel_Customer="All",F1306=sel_Customer),OR(sel_Category="All",G1306=sel_Category),OR(sel_Product="All",H1306=sel_Product),AND(S1306&gt;=m_From,S1306&lt;=m_To)),1,0)</f>
        <v/>
      </c>
      <c r="W1306" s="36">
        <f>IF(AND(OR(sel_Region="All",C1306=sel_Region),OR(sel_Country="All",D1306=sel_Country),OR(sel_Customer="All",F1306=sel_Customer),OR(sel_Category="All",G1306=sel_Category),OR(sel_Product="All",H1306=sel_Product),AND(S1306&gt;=m_From,S1306&lt;=m_To)),1,0)</f>
        <v/>
      </c>
      <c r="X1306" s="36">
        <f>IF(AND(OR(sel_Region="All",C1306=sel_Region),OR(sel_Country="All",D1306=sel_Country),OR(sel_Channel="All",E1306=sel_Channel),OR(sel_Category="All",G1306=sel_Category),OR(sel_Product="All",H1306=sel_Product),AND(S1306&gt;=m_From,S1306&lt;=m_To)),1,0)</f>
        <v/>
      </c>
      <c r="Y1306" s="36">
        <f>IF(AND(OR(sel_Region="All",C1306=sel_Region),OR(sel_Country="All",D1306=sel_Country),OR(sel_Channel="All",E1306=sel_Channel),OR(sel_Customer="All",F1306=sel_Customer),OR(sel_Product="All",H1306=sel_Product),AND(S1306&gt;=m_From,S1306&lt;=m_To)),1,0)</f>
        <v/>
      </c>
      <c r="Z1306" s="36">
        <f>IF(AND(OR(sel_Region="All",C1306=sel_Region),OR(sel_Country="All",D1306=sel_Country),OR(sel_Channel="All",E1306=sel_Channel),OR(sel_Customer="All",F1306=sel_Customer),OR(sel_Category="All",G1306=sel_Category),AND(S1306&gt;=m_From,S1306&lt;=m_To)),1,0)</f>
        <v/>
      </c>
      <c r="AA1306" s="36">
        <f>IF(AND(OR(sel_Region="All",C1306=sel_Region),OR(sel_Country="All",D1306=sel_Country),OR(sel_Channel="All",E1306=sel_Channel),OR(sel_Customer="All",F1306=sel_Customer),OR(sel_Category="All",G1306=sel_Category),OR(sel_Product="All",H1306=sel_Product)),1,0)</f>
        <v/>
      </c>
    </row>
    <row r="1307">
      <c r="A1307" s="36" t="inlineStr">
        <is>
          <t>00392</t>
        </is>
      </c>
      <c r="B1307" s="44" t="n">
        <v>46212</v>
      </c>
      <c r="C1307" s="36" t="inlineStr">
        <is>
          <t>Western Europe</t>
        </is>
      </c>
      <c r="D1307" s="36" t="inlineStr">
        <is>
          <t>Netherlands</t>
        </is>
      </c>
      <c r="E1307" s="36" t="inlineStr">
        <is>
          <t>Retail Partners</t>
        </is>
      </c>
      <c r="F1307" s="36" t="inlineStr">
        <is>
          <t>Returning</t>
        </is>
      </c>
      <c r="G1307" s="36" t="inlineStr">
        <is>
          <t>Hiking</t>
        </is>
      </c>
      <c r="H1307" s="36" t="inlineStr">
        <is>
          <t>Hiking Daypack 20L</t>
        </is>
      </c>
      <c r="I1307" s="36" t="n">
        <v>3</v>
      </c>
      <c r="J1307" s="39" t="n">
        <v>94.19</v>
      </c>
      <c r="K1307" s="45" t="n">
        <v>0</v>
      </c>
      <c r="L1307" s="39" t="n">
        <v>44.1</v>
      </c>
      <c r="M1307" s="39">
        <f>I1307*J1307*(1-K1307)</f>
        <v/>
      </c>
      <c r="N1307" s="39">
        <f>I1307*L1307</f>
        <v/>
      </c>
      <c r="O1307" s="39">
        <f>M1307-N1307</f>
        <v/>
      </c>
      <c r="P1307" s="38">
        <f>IF(M1307=0,0,O1307/M1307)</f>
        <v/>
      </c>
      <c r="Q1307" s="36">
        <f>YEAR(B1307)</f>
        <v/>
      </c>
      <c r="R1307" s="36">
        <f>"Q"&amp;ROUNDUP(MONTH(B1307)/3,0)</f>
        <v/>
      </c>
      <c r="S1307" s="36">
        <f>MONTH(B1307)</f>
        <v/>
      </c>
      <c r="T1307" s="36">
        <f>TEXT(B1307,"mmm")</f>
        <v/>
      </c>
      <c r="U1307" s="36">
        <f>IF(AND(OR(sel_Region="All",C1307=sel_Region),OR(sel_Country="All",D1307=sel_Country),OR(sel_Channel="All",E1307=sel_Channel),OR(sel_Customer="All",F1307=sel_Customer),OR(sel_Category="All",G1307=sel_Category),OR(sel_Product="All",H1307=sel_Product),AND(S1307&gt;=m_From,S1307&lt;=m_To)),1,0)</f>
        <v/>
      </c>
      <c r="V1307" s="36">
        <f>IF(AND(OR(sel_Region="All",C1307=sel_Region),OR(sel_Channel="All",E1307=sel_Channel),OR(sel_Customer="All",F1307=sel_Customer),OR(sel_Category="All",G1307=sel_Category),OR(sel_Product="All",H1307=sel_Product),AND(S1307&gt;=m_From,S1307&lt;=m_To)),1,0)</f>
        <v/>
      </c>
      <c r="W1307" s="36">
        <f>IF(AND(OR(sel_Region="All",C1307=sel_Region),OR(sel_Country="All",D1307=sel_Country),OR(sel_Customer="All",F1307=sel_Customer),OR(sel_Category="All",G1307=sel_Category),OR(sel_Product="All",H1307=sel_Product),AND(S1307&gt;=m_From,S1307&lt;=m_To)),1,0)</f>
        <v/>
      </c>
      <c r="X1307" s="36">
        <f>IF(AND(OR(sel_Region="All",C1307=sel_Region),OR(sel_Country="All",D1307=sel_Country),OR(sel_Channel="All",E1307=sel_Channel),OR(sel_Category="All",G1307=sel_Category),OR(sel_Product="All",H1307=sel_Product),AND(S1307&gt;=m_From,S1307&lt;=m_To)),1,0)</f>
        <v/>
      </c>
      <c r="Y1307" s="36">
        <f>IF(AND(OR(sel_Region="All",C1307=sel_Region),OR(sel_Country="All",D1307=sel_Country),OR(sel_Channel="All",E1307=sel_Channel),OR(sel_Customer="All",F1307=sel_Customer),OR(sel_Product="All",H1307=sel_Product),AND(S1307&gt;=m_From,S1307&lt;=m_To)),1,0)</f>
        <v/>
      </c>
      <c r="Z1307" s="36">
        <f>IF(AND(OR(sel_Region="All",C1307=sel_Region),OR(sel_Country="All",D1307=sel_Country),OR(sel_Channel="All",E1307=sel_Channel),OR(sel_Customer="All",F1307=sel_Customer),OR(sel_Category="All",G1307=sel_Category),AND(S1307&gt;=m_From,S1307&lt;=m_To)),1,0)</f>
        <v/>
      </c>
      <c r="AA1307" s="36">
        <f>IF(AND(OR(sel_Region="All",C1307=sel_Region),OR(sel_Country="All",D1307=sel_Country),OR(sel_Channel="All",E1307=sel_Channel),OR(sel_Customer="All",F1307=sel_Customer),OR(sel_Category="All",G1307=sel_Category),OR(sel_Product="All",H1307=sel_Product)),1,0)</f>
        <v/>
      </c>
    </row>
    <row r="1308">
      <c r="A1308" s="36" t="inlineStr">
        <is>
          <t>01302</t>
        </is>
      </c>
      <c r="B1308" s="44" t="n">
        <v>46212</v>
      </c>
      <c r="C1308" s="36" t="inlineStr">
        <is>
          <t>Central Europe</t>
        </is>
      </c>
      <c r="D1308" s="36" t="inlineStr">
        <is>
          <t>Poland</t>
        </is>
      </c>
      <c r="E1308" s="36" t="inlineStr">
        <is>
          <t>Retail Partners</t>
        </is>
      </c>
      <c r="F1308" s="36" t="inlineStr">
        <is>
          <t>Returning</t>
        </is>
      </c>
      <c r="G1308" s="36" t="inlineStr">
        <is>
          <t>Travel</t>
        </is>
      </c>
      <c r="H1308" s="36" t="inlineStr">
        <is>
          <t>Packing Cube Set</t>
        </is>
      </c>
      <c r="I1308" s="36" t="n">
        <v>1</v>
      </c>
      <c r="J1308" s="39" t="n">
        <v>46.87</v>
      </c>
      <c r="K1308" s="45" t="n">
        <v>0</v>
      </c>
      <c r="L1308" s="39" t="n">
        <v>18.65</v>
      </c>
      <c r="M1308" s="39">
        <f>I1308*J1308*(1-K1308)</f>
        <v/>
      </c>
      <c r="N1308" s="39">
        <f>I1308*L1308</f>
        <v/>
      </c>
      <c r="O1308" s="39">
        <f>M1308-N1308</f>
        <v/>
      </c>
      <c r="P1308" s="38">
        <f>IF(M1308=0,0,O1308/M1308)</f>
        <v/>
      </c>
      <c r="Q1308" s="36">
        <f>YEAR(B1308)</f>
        <v/>
      </c>
      <c r="R1308" s="36">
        <f>"Q"&amp;ROUNDUP(MONTH(B1308)/3,0)</f>
        <v/>
      </c>
      <c r="S1308" s="36">
        <f>MONTH(B1308)</f>
        <v/>
      </c>
      <c r="T1308" s="36">
        <f>TEXT(B1308,"mmm")</f>
        <v/>
      </c>
      <c r="U1308" s="36">
        <f>IF(AND(OR(sel_Region="All",C1308=sel_Region),OR(sel_Country="All",D1308=sel_Country),OR(sel_Channel="All",E1308=sel_Channel),OR(sel_Customer="All",F1308=sel_Customer),OR(sel_Category="All",G1308=sel_Category),OR(sel_Product="All",H1308=sel_Product),AND(S1308&gt;=m_From,S1308&lt;=m_To)),1,0)</f>
        <v/>
      </c>
      <c r="V1308" s="36">
        <f>IF(AND(OR(sel_Region="All",C1308=sel_Region),OR(sel_Channel="All",E1308=sel_Channel),OR(sel_Customer="All",F1308=sel_Customer),OR(sel_Category="All",G1308=sel_Category),OR(sel_Product="All",H1308=sel_Product),AND(S1308&gt;=m_From,S1308&lt;=m_To)),1,0)</f>
        <v/>
      </c>
      <c r="W1308" s="36">
        <f>IF(AND(OR(sel_Region="All",C1308=sel_Region),OR(sel_Country="All",D1308=sel_Country),OR(sel_Customer="All",F1308=sel_Customer),OR(sel_Category="All",G1308=sel_Category),OR(sel_Product="All",H1308=sel_Product),AND(S1308&gt;=m_From,S1308&lt;=m_To)),1,0)</f>
        <v/>
      </c>
      <c r="X1308" s="36">
        <f>IF(AND(OR(sel_Region="All",C1308=sel_Region),OR(sel_Country="All",D1308=sel_Country),OR(sel_Channel="All",E1308=sel_Channel),OR(sel_Category="All",G1308=sel_Category),OR(sel_Product="All",H1308=sel_Product),AND(S1308&gt;=m_From,S1308&lt;=m_To)),1,0)</f>
        <v/>
      </c>
      <c r="Y1308" s="36">
        <f>IF(AND(OR(sel_Region="All",C1308=sel_Region),OR(sel_Country="All",D1308=sel_Country),OR(sel_Channel="All",E1308=sel_Channel),OR(sel_Customer="All",F1308=sel_Customer),OR(sel_Product="All",H1308=sel_Product),AND(S1308&gt;=m_From,S1308&lt;=m_To)),1,0)</f>
        <v/>
      </c>
      <c r="Z1308" s="36">
        <f>IF(AND(OR(sel_Region="All",C1308=sel_Region),OR(sel_Country="All",D1308=sel_Country),OR(sel_Channel="All",E1308=sel_Channel),OR(sel_Customer="All",F1308=sel_Customer),OR(sel_Category="All",G1308=sel_Category),AND(S1308&gt;=m_From,S1308&lt;=m_To)),1,0)</f>
        <v/>
      </c>
      <c r="AA1308" s="36">
        <f>IF(AND(OR(sel_Region="All",C1308=sel_Region),OR(sel_Country="All",D1308=sel_Country),OR(sel_Channel="All",E1308=sel_Channel),OR(sel_Customer="All",F1308=sel_Customer),OR(sel_Category="All",G1308=sel_Category),OR(sel_Product="All",H1308=sel_Product)),1,0)</f>
        <v/>
      </c>
    </row>
    <row r="1309">
      <c r="A1309" s="36" t="inlineStr">
        <is>
          <t>01366</t>
        </is>
      </c>
      <c r="B1309" s="44" t="n">
        <v>46212</v>
      </c>
      <c r="C1309" s="36" t="inlineStr">
        <is>
          <t>Northern Europe</t>
        </is>
      </c>
      <c r="D1309" s="36" t="inlineStr">
        <is>
          <t>Norway</t>
        </is>
      </c>
      <c r="E1309" s="36" t="inlineStr">
        <is>
          <t>Online Store</t>
        </is>
      </c>
      <c r="F1309" s="36" t="inlineStr">
        <is>
          <t>Returning</t>
        </is>
      </c>
      <c r="G1309" s="36" t="inlineStr">
        <is>
          <t>Travel</t>
        </is>
      </c>
      <c r="H1309" s="36" t="inlineStr">
        <is>
          <t>Insulated Bottle</t>
        </is>
      </c>
      <c r="I1309" s="36" t="n">
        <v>1</v>
      </c>
      <c r="J1309" s="39" t="n">
        <v>36.99</v>
      </c>
      <c r="K1309" s="45" t="n">
        <v>0.1</v>
      </c>
      <c r="L1309" s="39" t="n">
        <v>13.2</v>
      </c>
      <c r="M1309" s="39">
        <f>I1309*J1309*(1-K1309)</f>
        <v/>
      </c>
      <c r="N1309" s="39">
        <f>I1309*L1309</f>
        <v/>
      </c>
      <c r="O1309" s="39">
        <f>M1309-N1309</f>
        <v/>
      </c>
      <c r="P1309" s="38">
        <f>IF(M1309=0,0,O1309/M1309)</f>
        <v/>
      </c>
      <c r="Q1309" s="36">
        <f>YEAR(B1309)</f>
        <v/>
      </c>
      <c r="R1309" s="36">
        <f>"Q"&amp;ROUNDUP(MONTH(B1309)/3,0)</f>
        <v/>
      </c>
      <c r="S1309" s="36">
        <f>MONTH(B1309)</f>
        <v/>
      </c>
      <c r="T1309" s="36">
        <f>TEXT(B1309,"mmm")</f>
        <v/>
      </c>
      <c r="U1309" s="36">
        <f>IF(AND(OR(sel_Region="All",C1309=sel_Region),OR(sel_Country="All",D1309=sel_Country),OR(sel_Channel="All",E1309=sel_Channel),OR(sel_Customer="All",F1309=sel_Customer),OR(sel_Category="All",G1309=sel_Category),OR(sel_Product="All",H1309=sel_Product),AND(S1309&gt;=m_From,S1309&lt;=m_To)),1,0)</f>
        <v/>
      </c>
      <c r="V1309" s="36">
        <f>IF(AND(OR(sel_Region="All",C1309=sel_Region),OR(sel_Channel="All",E1309=sel_Channel),OR(sel_Customer="All",F1309=sel_Customer),OR(sel_Category="All",G1309=sel_Category),OR(sel_Product="All",H1309=sel_Product),AND(S1309&gt;=m_From,S1309&lt;=m_To)),1,0)</f>
        <v/>
      </c>
      <c r="W1309" s="36">
        <f>IF(AND(OR(sel_Region="All",C1309=sel_Region),OR(sel_Country="All",D1309=sel_Country),OR(sel_Customer="All",F1309=sel_Customer),OR(sel_Category="All",G1309=sel_Category),OR(sel_Product="All",H1309=sel_Product),AND(S1309&gt;=m_From,S1309&lt;=m_To)),1,0)</f>
        <v/>
      </c>
      <c r="X1309" s="36">
        <f>IF(AND(OR(sel_Region="All",C1309=sel_Region),OR(sel_Country="All",D1309=sel_Country),OR(sel_Channel="All",E1309=sel_Channel),OR(sel_Category="All",G1309=sel_Category),OR(sel_Product="All",H1309=sel_Product),AND(S1309&gt;=m_From,S1309&lt;=m_To)),1,0)</f>
        <v/>
      </c>
      <c r="Y1309" s="36">
        <f>IF(AND(OR(sel_Region="All",C1309=sel_Region),OR(sel_Country="All",D1309=sel_Country),OR(sel_Channel="All",E1309=sel_Channel),OR(sel_Customer="All",F1309=sel_Customer),OR(sel_Product="All",H1309=sel_Product),AND(S1309&gt;=m_From,S1309&lt;=m_To)),1,0)</f>
        <v/>
      </c>
      <c r="Z1309" s="36">
        <f>IF(AND(OR(sel_Region="All",C1309=sel_Region),OR(sel_Country="All",D1309=sel_Country),OR(sel_Channel="All",E1309=sel_Channel),OR(sel_Customer="All",F1309=sel_Customer),OR(sel_Category="All",G1309=sel_Category),AND(S1309&gt;=m_From,S1309&lt;=m_To)),1,0)</f>
        <v/>
      </c>
      <c r="AA1309" s="36">
        <f>IF(AND(OR(sel_Region="All",C1309=sel_Region),OR(sel_Country="All",D1309=sel_Country),OR(sel_Channel="All",E1309=sel_Channel),OR(sel_Customer="All",F1309=sel_Customer),OR(sel_Category="All",G1309=sel_Category),OR(sel_Product="All",H1309=sel_Product)),1,0)</f>
        <v/>
      </c>
    </row>
    <row r="1310">
      <c r="A1310" s="36" t="inlineStr">
        <is>
          <t>01974</t>
        </is>
      </c>
      <c r="B1310" s="44" t="n">
        <v>46212</v>
      </c>
      <c r="C1310" s="36" t="inlineStr">
        <is>
          <t>Southern Europe</t>
        </is>
      </c>
      <c r="D1310" s="36" t="inlineStr">
        <is>
          <t>Italy</t>
        </is>
      </c>
      <c r="E1310" s="36" t="inlineStr">
        <is>
          <t>Online Store</t>
        </is>
      </c>
      <c r="F1310" s="36" t="inlineStr">
        <is>
          <t>Returning</t>
        </is>
      </c>
      <c r="G1310" s="36" t="inlineStr">
        <is>
          <t>Travel</t>
        </is>
      </c>
      <c r="H1310" s="36" t="inlineStr">
        <is>
          <t>Carry-On Duffel</t>
        </is>
      </c>
      <c r="I1310" s="36" t="n">
        <v>1</v>
      </c>
      <c r="J1310" s="39" t="n">
        <v>135.44</v>
      </c>
      <c r="K1310" s="45" t="n">
        <v>0</v>
      </c>
      <c r="L1310" s="39" t="n">
        <v>65.48</v>
      </c>
      <c r="M1310" s="39">
        <f>I1310*J1310*(1-K1310)</f>
        <v/>
      </c>
      <c r="N1310" s="39">
        <f>I1310*L1310</f>
        <v/>
      </c>
      <c r="O1310" s="39">
        <f>M1310-N1310</f>
        <v/>
      </c>
      <c r="P1310" s="38">
        <f>IF(M1310=0,0,O1310/M1310)</f>
        <v/>
      </c>
      <c r="Q1310" s="36">
        <f>YEAR(B1310)</f>
        <v/>
      </c>
      <c r="R1310" s="36">
        <f>"Q"&amp;ROUNDUP(MONTH(B1310)/3,0)</f>
        <v/>
      </c>
      <c r="S1310" s="36">
        <f>MONTH(B1310)</f>
        <v/>
      </c>
      <c r="T1310" s="36">
        <f>TEXT(B1310,"mmm")</f>
        <v/>
      </c>
      <c r="U1310" s="36">
        <f>IF(AND(OR(sel_Region="All",C1310=sel_Region),OR(sel_Country="All",D1310=sel_Country),OR(sel_Channel="All",E1310=sel_Channel),OR(sel_Customer="All",F1310=sel_Customer),OR(sel_Category="All",G1310=sel_Category),OR(sel_Product="All",H1310=sel_Product),AND(S1310&gt;=m_From,S1310&lt;=m_To)),1,0)</f>
        <v/>
      </c>
      <c r="V1310" s="36">
        <f>IF(AND(OR(sel_Region="All",C1310=sel_Region),OR(sel_Channel="All",E1310=sel_Channel),OR(sel_Customer="All",F1310=sel_Customer),OR(sel_Category="All",G1310=sel_Category),OR(sel_Product="All",H1310=sel_Product),AND(S1310&gt;=m_From,S1310&lt;=m_To)),1,0)</f>
        <v/>
      </c>
      <c r="W1310" s="36">
        <f>IF(AND(OR(sel_Region="All",C1310=sel_Region),OR(sel_Country="All",D1310=sel_Country),OR(sel_Customer="All",F1310=sel_Customer),OR(sel_Category="All",G1310=sel_Category),OR(sel_Product="All",H1310=sel_Product),AND(S1310&gt;=m_From,S1310&lt;=m_To)),1,0)</f>
        <v/>
      </c>
      <c r="X1310" s="36">
        <f>IF(AND(OR(sel_Region="All",C1310=sel_Region),OR(sel_Country="All",D1310=sel_Country),OR(sel_Channel="All",E1310=sel_Channel),OR(sel_Category="All",G1310=sel_Category),OR(sel_Product="All",H1310=sel_Product),AND(S1310&gt;=m_From,S1310&lt;=m_To)),1,0)</f>
        <v/>
      </c>
      <c r="Y1310" s="36">
        <f>IF(AND(OR(sel_Region="All",C1310=sel_Region),OR(sel_Country="All",D1310=sel_Country),OR(sel_Channel="All",E1310=sel_Channel),OR(sel_Customer="All",F1310=sel_Customer),OR(sel_Product="All",H1310=sel_Product),AND(S1310&gt;=m_From,S1310&lt;=m_To)),1,0)</f>
        <v/>
      </c>
      <c r="Z1310" s="36">
        <f>IF(AND(OR(sel_Region="All",C1310=sel_Region),OR(sel_Country="All",D1310=sel_Country),OR(sel_Channel="All",E1310=sel_Channel),OR(sel_Customer="All",F1310=sel_Customer),OR(sel_Category="All",G1310=sel_Category),AND(S1310&gt;=m_From,S1310&lt;=m_To)),1,0)</f>
        <v/>
      </c>
      <c r="AA1310" s="36">
        <f>IF(AND(OR(sel_Region="All",C1310=sel_Region),OR(sel_Country="All",D1310=sel_Country),OR(sel_Channel="All",E1310=sel_Channel),OR(sel_Customer="All",F1310=sel_Customer),OR(sel_Category="All",G1310=sel_Category),OR(sel_Product="All",H1310=sel_Product)),1,0)</f>
        <v/>
      </c>
    </row>
    <row r="1311">
      <c r="A1311" s="36" t="inlineStr">
        <is>
          <t>02716</t>
        </is>
      </c>
      <c r="B1311" s="44" t="n">
        <v>46212</v>
      </c>
      <c r="C1311" s="36" t="inlineStr">
        <is>
          <t>Central Europe</t>
        </is>
      </c>
      <c r="D1311" s="36" t="inlineStr">
        <is>
          <t>Czechia</t>
        </is>
      </c>
      <c r="E1311" s="36" t="inlineStr">
        <is>
          <t>Online Store</t>
        </is>
      </c>
      <c r="F1311" s="36" t="inlineStr">
        <is>
          <t>New</t>
        </is>
      </c>
      <c r="G1311" s="36" t="inlineStr">
        <is>
          <t>Hiking</t>
        </is>
      </c>
      <c r="H1311" s="36" t="inlineStr">
        <is>
          <t>Hiking Daypack 20L</t>
        </is>
      </c>
      <c r="I1311" s="36" t="n">
        <v>3</v>
      </c>
      <c r="J1311" s="39" t="n">
        <v>92.25</v>
      </c>
      <c r="K1311" s="45" t="n">
        <v>0</v>
      </c>
      <c r="L1311" s="39" t="n">
        <v>46.27</v>
      </c>
      <c r="M1311" s="39">
        <f>I1311*J1311*(1-K1311)</f>
        <v/>
      </c>
      <c r="N1311" s="39">
        <f>I1311*L1311</f>
        <v/>
      </c>
      <c r="O1311" s="39">
        <f>M1311-N1311</f>
        <v/>
      </c>
      <c r="P1311" s="38">
        <f>IF(M1311=0,0,O1311/M1311)</f>
        <v/>
      </c>
      <c r="Q1311" s="36">
        <f>YEAR(B1311)</f>
        <v/>
      </c>
      <c r="R1311" s="36">
        <f>"Q"&amp;ROUNDUP(MONTH(B1311)/3,0)</f>
        <v/>
      </c>
      <c r="S1311" s="36">
        <f>MONTH(B1311)</f>
        <v/>
      </c>
      <c r="T1311" s="36">
        <f>TEXT(B1311,"mmm")</f>
        <v/>
      </c>
      <c r="U1311" s="36">
        <f>IF(AND(OR(sel_Region="All",C1311=sel_Region),OR(sel_Country="All",D1311=sel_Country),OR(sel_Channel="All",E1311=sel_Channel),OR(sel_Customer="All",F1311=sel_Customer),OR(sel_Category="All",G1311=sel_Category),OR(sel_Product="All",H1311=sel_Product),AND(S1311&gt;=m_From,S1311&lt;=m_To)),1,0)</f>
        <v/>
      </c>
      <c r="V1311" s="36">
        <f>IF(AND(OR(sel_Region="All",C1311=sel_Region),OR(sel_Channel="All",E1311=sel_Channel),OR(sel_Customer="All",F1311=sel_Customer),OR(sel_Category="All",G1311=sel_Category),OR(sel_Product="All",H1311=sel_Product),AND(S1311&gt;=m_From,S1311&lt;=m_To)),1,0)</f>
        <v/>
      </c>
      <c r="W1311" s="36">
        <f>IF(AND(OR(sel_Region="All",C1311=sel_Region),OR(sel_Country="All",D1311=sel_Country),OR(sel_Customer="All",F1311=sel_Customer),OR(sel_Category="All",G1311=sel_Category),OR(sel_Product="All",H1311=sel_Product),AND(S1311&gt;=m_From,S1311&lt;=m_To)),1,0)</f>
        <v/>
      </c>
      <c r="X1311" s="36">
        <f>IF(AND(OR(sel_Region="All",C1311=sel_Region),OR(sel_Country="All",D1311=sel_Country),OR(sel_Channel="All",E1311=sel_Channel),OR(sel_Category="All",G1311=sel_Category),OR(sel_Product="All",H1311=sel_Product),AND(S1311&gt;=m_From,S1311&lt;=m_To)),1,0)</f>
        <v/>
      </c>
      <c r="Y1311" s="36">
        <f>IF(AND(OR(sel_Region="All",C1311=sel_Region),OR(sel_Country="All",D1311=sel_Country),OR(sel_Channel="All",E1311=sel_Channel),OR(sel_Customer="All",F1311=sel_Customer),OR(sel_Product="All",H1311=sel_Product),AND(S1311&gt;=m_From,S1311&lt;=m_To)),1,0)</f>
        <v/>
      </c>
      <c r="Z1311" s="36">
        <f>IF(AND(OR(sel_Region="All",C1311=sel_Region),OR(sel_Country="All",D1311=sel_Country),OR(sel_Channel="All",E1311=sel_Channel),OR(sel_Customer="All",F1311=sel_Customer),OR(sel_Category="All",G1311=sel_Category),AND(S1311&gt;=m_From,S1311&lt;=m_To)),1,0)</f>
        <v/>
      </c>
      <c r="AA1311" s="36">
        <f>IF(AND(OR(sel_Region="All",C1311=sel_Region),OR(sel_Country="All",D1311=sel_Country),OR(sel_Channel="All",E1311=sel_Channel),OR(sel_Customer="All",F1311=sel_Customer),OR(sel_Category="All",G1311=sel_Category),OR(sel_Product="All",H1311=sel_Product)),1,0)</f>
        <v/>
      </c>
    </row>
    <row r="1312">
      <c r="A1312" s="36" t="inlineStr">
        <is>
          <t>03161</t>
        </is>
      </c>
      <c r="B1312" s="44" t="n">
        <v>46212</v>
      </c>
      <c r="C1312" s="36" t="inlineStr">
        <is>
          <t>Northern Europe</t>
        </is>
      </c>
      <c r="D1312" s="36" t="inlineStr">
        <is>
          <t>Denmark</t>
        </is>
      </c>
      <c r="E1312" s="36" t="inlineStr">
        <is>
          <t>Online Store</t>
        </is>
      </c>
      <c r="F1312" s="36" t="inlineStr">
        <is>
          <t>New</t>
        </is>
      </c>
      <c r="G1312" s="36" t="inlineStr">
        <is>
          <t>Camping</t>
        </is>
      </c>
      <c r="H1312" s="36" t="inlineStr">
        <is>
          <t>Trail Tent 2P</t>
        </is>
      </c>
      <c r="I1312" s="36" t="n">
        <v>2</v>
      </c>
      <c r="J1312" s="39" t="n">
        <v>192.6</v>
      </c>
      <c r="K1312" s="45" t="n">
        <v>0</v>
      </c>
      <c r="L1312" s="39" t="n">
        <v>104.89</v>
      </c>
      <c r="M1312" s="39">
        <f>I1312*J1312*(1-K1312)</f>
        <v/>
      </c>
      <c r="N1312" s="39">
        <f>I1312*L1312</f>
        <v/>
      </c>
      <c r="O1312" s="39">
        <f>M1312-N1312</f>
        <v/>
      </c>
      <c r="P1312" s="38">
        <f>IF(M1312=0,0,O1312/M1312)</f>
        <v/>
      </c>
      <c r="Q1312" s="36">
        <f>YEAR(B1312)</f>
        <v/>
      </c>
      <c r="R1312" s="36">
        <f>"Q"&amp;ROUNDUP(MONTH(B1312)/3,0)</f>
        <v/>
      </c>
      <c r="S1312" s="36">
        <f>MONTH(B1312)</f>
        <v/>
      </c>
      <c r="T1312" s="36">
        <f>TEXT(B1312,"mmm")</f>
        <v/>
      </c>
      <c r="U1312" s="36">
        <f>IF(AND(OR(sel_Region="All",C1312=sel_Region),OR(sel_Country="All",D1312=sel_Country),OR(sel_Channel="All",E1312=sel_Channel),OR(sel_Customer="All",F1312=sel_Customer),OR(sel_Category="All",G1312=sel_Category),OR(sel_Product="All",H1312=sel_Product),AND(S1312&gt;=m_From,S1312&lt;=m_To)),1,0)</f>
        <v/>
      </c>
      <c r="V1312" s="36">
        <f>IF(AND(OR(sel_Region="All",C1312=sel_Region),OR(sel_Channel="All",E1312=sel_Channel),OR(sel_Customer="All",F1312=sel_Customer),OR(sel_Category="All",G1312=sel_Category),OR(sel_Product="All",H1312=sel_Product),AND(S1312&gt;=m_From,S1312&lt;=m_To)),1,0)</f>
        <v/>
      </c>
      <c r="W1312" s="36">
        <f>IF(AND(OR(sel_Region="All",C1312=sel_Region),OR(sel_Country="All",D1312=sel_Country),OR(sel_Customer="All",F1312=sel_Customer),OR(sel_Category="All",G1312=sel_Category),OR(sel_Product="All",H1312=sel_Product),AND(S1312&gt;=m_From,S1312&lt;=m_To)),1,0)</f>
        <v/>
      </c>
      <c r="X1312" s="36">
        <f>IF(AND(OR(sel_Region="All",C1312=sel_Region),OR(sel_Country="All",D1312=sel_Country),OR(sel_Channel="All",E1312=sel_Channel),OR(sel_Category="All",G1312=sel_Category),OR(sel_Product="All",H1312=sel_Product),AND(S1312&gt;=m_From,S1312&lt;=m_To)),1,0)</f>
        <v/>
      </c>
      <c r="Y1312" s="36">
        <f>IF(AND(OR(sel_Region="All",C1312=sel_Region),OR(sel_Country="All",D1312=sel_Country),OR(sel_Channel="All",E1312=sel_Channel),OR(sel_Customer="All",F1312=sel_Customer),OR(sel_Product="All",H1312=sel_Product),AND(S1312&gt;=m_From,S1312&lt;=m_To)),1,0)</f>
        <v/>
      </c>
      <c r="Z1312" s="36">
        <f>IF(AND(OR(sel_Region="All",C1312=sel_Region),OR(sel_Country="All",D1312=sel_Country),OR(sel_Channel="All",E1312=sel_Channel),OR(sel_Customer="All",F1312=sel_Customer),OR(sel_Category="All",G1312=sel_Category),AND(S1312&gt;=m_From,S1312&lt;=m_To)),1,0)</f>
        <v/>
      </c>
      <c r="AA1312" s="36">
        <f>IF(AND(OR(sel_Region="All",C1312=sel_Region),OR(sel_Country="All",D1312=sel_Country),OR(sel_Channel="All",E1312=sel_Channel),OR(sel_Customer="All",F1312=sel_Customer),OR(sel_Category="All",G1312=sel_Category),OR(sel_Product="All",H1312=sel_Product)),1,0)</f>
        <v/>
      </c>
    </row>
    <row r="1313">
      <c r="A1313" s="36" t="inlineStr">
        <is>
          <t>03240</t>
        </is>
      </c>
      <c r="B1313" s="44" t="n">
        <v>46212</v>
      </c>
      <c r="C1313" s="36" t="inlineStr">
        <is>
          <t>Western Europe</t>
        </is>
      </c>
      <c r="D1313" s="36" t="inlineStr">
        <is>
          <t>United Kingdom</t>
        </is>
      </c>
      <c r="E1313" s="36" t="inlineStr">
        <is>
          <t>Online Store</t>
        </is>
      </c>
      <c r="F1313" s="36" t="inlineStr">
        <is>
          <t>Returning</t>
        </is>
      </c>
      <c r="G1313" s="36" t="inlineStr">
        <is>
          <t>Cycling</t>
        </is>
      </c>
      <c r="H1313" s="36" t="inlineStr">
        <is>
          <t>Compact Repair Kit</t>
        </is>
      </c>
      <c r="I1313" s="36" t="n">
        <v>1</v>
      </c>
      <c r="J1313" s="39" t="n">
        <v>39.94</v>
      </c>
      <c r="K1313" s="45" t="n">
        <v>0</v>
      </c>
      <c r="L1313" s="39" t="n">
        <v>16.89</v>
      </c>
      <c r="M1313" s="39">
        <f>I1313*J1313*(1-K1313)</f>
        <v/>
      </c>
      <c r="N1313" s="39">
        <f>I1313*L1313</f>
        <v/>
      </c>
      <c r="O1313" s="39">
        <f>M1313-N1313</f>
        <v/>
      </c>
      <c r="P1313" s="38">
        <f>IF(M1313=0,0,O1313/M1313)</f>
        <v/>
      </c>
      <c r="Q1313" s="36">
        <f>YEAR(B1313)</f>
        <v/>
      </c>
      <c r="R1313" s="36">
        <f>"Q"&amp;ROUNDUP(MONTH(B1313)/3,0)</f>
        <v/>
      </c>
      <c r="S1313" s="36">
        <f>MONTH(B1313)</f>
        <v/>
      </c>
      <c r="T1313" s="36">
        <f>TEXT(B1313,"mmm")</f>
        <v/>
      </c>
      <c r="U1313" s="36">
        <f>IF(AND(OR(sel_Region="All",C1313=sel_Region),OR(sel_Country="All",D1313=sel_Country),OR(sel_Channel="All",E1313=sel_Channel),OR(sel_Customer="All",F1313=sel_Customer),OR(sel_Category="All",G1313=sel_Category),OR(sel_Product="All",H1313=sel_Product),AND(S1313&gt;=m_From,S1313&lt;=m_To)),1,0)</f>
        <v/>
      </c>
      <c r="V1313" s="36">
        <f>IF(AND(OR(sel_Region="All",C1313=sel_Region),OR(sel_Channel="All",E1313=sel_Channel),OR(sel_Customer="All",F1313=sel_Customer),OR(sel_Category="All",G1313=sel_Category),OR(sel_Product="All",H1313=sel_Product),AND(S1313&gt;=m_From,S1313&lt;=m_To)),1,0)</f>
        <v/>
      </c>
      <c r="W1313" s="36">
        <f>IF(AND(OR(sel_Region="All",C1313=sel_Region),OR(sel_Country="All",D1313=sel_Country),OR(sel_Customer="All",F1313=sel_Customer),OR(sel_Category="All",G1313=sel_Category),OR(sel_Product="All",H1313=sel_Product),AND(S1313&gt;=m_From,S1313&lt;=m_To)),1,0)</f>
        <v/>
      </c>
      <c r="X1313" s="36">
        <f>IF(AND(OR(sel_Region="All",C1313=sel_Region),OR(sel_Country="All",D1313=sel_Country),OR(sel_Channel="All",E1313=sel_Channel),OR(sel_Category="All",G1313=sel_Category),OR(sel_Product="All",H1313=sel_Product),AND(S1313&gt;=m_From,S1313&lt;=m_To)),1,0)</f>
        <v/>
      </c>
      <c r="Y1313" s="36">
        <f>IF(AND(OR(sel_Region="All",C1313=sel_Region),OR(sel_Country="All",D1313=sel_Country),OR(sel_Channel="All",E1313=sel_Channel),OR(sel_Customer="All",F1313=sel_Customer),OR(sel_Product="All",H1313=sel_Product),AND(S1313&gt;=m_From,S1313&lt;=m_To)),1,0)</f>
        <v/>
      </c>
      <c r="Z1313" s="36">
        <f>IF(AND(OR(sel_Region="All",C1313=sel_Region),OR(sel_Country="All",D1313=sel_Country),OR(sel_Channel="All",E1313=sel_Channel),OR(sel_Customer="All",F1313=sel_Customer),OR(sel_Category="All",G1313=sel_Category),AND(S1313&gt;=m_From,S1313&lt;=m_To)),1,0)</f>
        <v/>
      </c>
      <c r="AA1313" s="36">
        <f>IF(AND(OR(sel_Region="All",C1313=sel_Region),OR(sel_Country="All",D1313=sel_Country),OR(sel_Channel="All",E1313=sel_Channel),OR(sel_Customer="All",F1313=sel_Customer),OR(sel_Category="All",G1313=sel_Category),OR(sel_Product="All",H1313=sel_Product)),1,0)</f>
        <v/>
      </c>
    </row>
    <row r="1314">
      <c r="A1314" s="36" t="inlineStr">
        <is>
          <t>03682</t>
        </is>
      </c>
      <c r="B1314" s="44" t="n">
        <v>46212</v>
      </c>
      <c r="C1314" s="36" t="inlineStr">
        <is>
          <t>Northern Europe</t>
        </is>
      </c>
      <c r="D1314" s="36" t="inlineStr">
        <is>
          <t>Sweden</t>
        </is>
      </c>
      <c r="E1314" s="36" t="inlineStr">
        <is>
          <t>Online Store</t>
        </is>
      </c>
      <c r="F1314" s="36" t="inlineStr">
        <is>
          <t>Returning</t>
        </is>
      </c>
      <c r="G1314" s="36" t="inlineStr">
        <is>
          <t>Hiking</t>
        </is>
      </c>
      <c r="H1314" s="36" t="inlineStr">
        <is>
          <t>Summit Backpack 45L</t>
        </is>
      </c>
      <c r="I1314" s="36" t="n">
        <v>3</v>
      </c>
      <c r="J1314" s="39" t="n">
        <v>150.61</v>
      </c>
      <c r="K1314" s="45" t="n">
        <v>0</v>
      </c>
      <c r="L1314" s="39" t="n">
        <v>79.90000000000001</v>
      </c>
      <c r="M1314" s="39">
        <f>I1314*J1314*(1-K1314)</f>
        <v/>
      </c>
      <c r="N1314" s="39">
        <f>I1314*L1314</f>
        <v/>
      </c>
      <c r="O1314" s="39">
        <f>M1314-N1314</f>
        <v/>
      </c>
      <c r="P1314" s="38">
        <f>IF(M1314=0,0,O1314/M1314)</f>
        <v/>
      </c>
      <c r="Q1314" s="36">
        <f>YEAR(B1314)</f>
        <v/>
      </c>
      <c r="R1314" s="36">
        <f>"Q"&amp;ROUNDUP(MONTH(B1314)/3,0)</f>
        <v/>
      </c>
      <c r="S1314" s="36">
        <f>MONTH(B1314)</f>
        <v/>
      </c>
      <c r="T1314" s="36">
        <f>TEXT(B1314,"mmm")</f>
        <v/>
      </c>
      <c r="U1314" s="36">
        <f>IF(AND(OR(sel_Region="All",C1314=sel_Region),OR(sel_Country="All",D1314=sel_Country),OR(sel_Channel="All",E1314=sel_Channel),OR(sel_Customer="All",F1314=sel_Customer),OR(sel_Category="All",G1314=sel_Category),OR(sel_Product="All",H1314=sel_Product),AND(S1314&gt;=m_From,S1314&lt;=m_To)),1,0)</f>
        <v/>
      </c>
      <c r="V1314" s="36">
        <f>IF(AND(OR(sel_Region="All",C1314=sel_Region),OR(sel_Channel="All",E1314=sel_Channel),OR(sel_Customer="All",F1314=sel_Customer),OR(sel_Category="All",G1314=sel_Category),OR(sel_Product="All",H1314=sel_Product),AND(S1314&gt;=m_From,S1314&lt;=m_To)),1,0)</f>
        <v/>
      </c>
      <c r="W1314" s="36">
        <f>IF(AND(OR(sel_Region="All",C1314=sel_Region),OR(sel_Country="All",D1314=sel_Country),OR(sel_Customer="All",F1314=sel_Customer),OR(sel_Category="All",G1314=sel_Category),OR(sel_Product="All",H1314=sel_Product),AND(S1314&gt;=m_From,S1314&lt;=m_To)),1,0)</f>
        <v/>
      </c>
      <c r="X1314" s="36">
        <f>IF(AND(OR(sel_Region="All",C1314=sel_Region),OR(sel_Country="All",D1314=sel_Country),OR(sel_Channel="All",E1314=sel_Channel),OR(sel_Category="All",G1314=sel_Category),OR(sel_Product="All",H1314=sel_Product),AND(S1314&gt;=m_From,S1314&lt;=m_To)),1,0)</f>
        <v/>
      </c>
      <c r="Y1314" s="36">
        <f>IF(AND(OR(sel_Region="All",C1314=sel_Region),OR(sel_Country="All",D1314=sel_Country),OR(sel_Channel="All",E1314=sel_Channel),OR(sel_Customer="All",F1314=sel_Customer),OR(sel_Product="All",H1314=sel_Product),AND(S1314&gt;=m_From,S1314&lt;=m_To)),1,0)</f>
        <v/>
      </c>
      <c r="Z1314" s="36">
        <f>IF(AND(OR(sel_Region="All",C1314=sel_Region),OR(sel_Country="All",D1314=sel_Country),OR(sel_Channel="All",E1314=sel_Channel),OR(sel_Customer="All",F1314=sel_Customer),OR(sel_Category="All",G1314=sel_Category),AND(S1314&gt;=m_From,S1314&lt;=m_To)),1,0)</f>
        <v/>
      </c>
      <c r="AA1314" s="36">
        <f>IF(AND(OR(sel_Region="All",C1314=sel_Region),OR(sel_Country="All",D1314=sel_Country),OR(sel_Channel="All",E1314=sel_Channel),OR(sel_Customer="All",F1314=sel_Customer),OR(sel_Category="All",G1314=sel_Category),OR(sel_Product="All",H1314=sel_Product)),1,0)</f>
        <v/>
      </c>
    </row>
    <row r="1315">
      <c r="A1315" s="36" t="inlineStr">
        <is>
          <t>04725</t>
        </is>
      </c>
      <c r="B1315" s="44" t="n">
        <v>46212</v>
      </c>
      <c r="C1315" s="36" t="inlineStr">
        <is>
          <t>Western Europe</t>
        </is>
      </c>
      <c r="D1315" s="36" t="inlineStr">
        <is>
          <t>France</t>
        </is>
      </c>
      <c r="E1315" s="36" t="inlineStr">
        <is>
          <t>Online Store</t>
        </is>
      </c>
      <c r="F1315" s="36" t="inlineStr">
        <is>
          <t>Returning</t>
        </is>
      </c>
      <c r="G1315" s="36" t="inlineStr">
        <is>
          <t>Hiking</t>
        </is>
      </c>
      <c r="H1315" s="36" t="inlineStr">
        <is>
          <t>Trekking Poles</t>
        </is>
      </c>
      <c r="I1315" s="36" t="n">
        <v>2</v>
      </c>
      <c r="J1315" s="39" t="n">
        <v>71.06999999999999</v>
      </c>
      <c r="K1315" s="45" t="n">
        <v>0</v>
      </c>
      <c r="L1315" s="39" t="n">
        <v>31.57</v>
      </c>
      <c r="M1315" s="39">
        <f>I1315*J1315*(1-K1315)</f>
        <v/>
      </c>
      <c r="N1315" s="39">
        <f>I1315*L1315</f>
        <v/>
      </c>
      <c r="O1315" s="39">
        <f>M1315-N1315</f>
        <v/>
      </c>
      <c r="P1315" s="38">
        <f>IF(M1315=0,0,O1315/M1315)</f>
        <v/>
      </c>
      <c r="Q1315" s="36">
        <f>YEAR(B1315)</f>
        <v/>
      </c>
      <c r="R1315" s="36">
        <f>"Q"&amp;ROUNDUP(MONTH(B1315)/3,0)</f>
        <v/>
      </c>
      <c r="S1315" s="36">
        <f>MONTH(B1315)</f>
        <v/>
      </c>
      <c r="T1315" s="36">
        <f>TEXT(B1315,"mmm")</f>
        <v/>
      </c>
      <c r="U1315" s="36">
        <f>IF(AND(OR(sel_Region="All",C1315=sel_Region),OR(sel_Country="All",D1315=sel_Country),OR(sel_Channel="All",E1315=sel_Channel),OR(sel_Customer="All",F1315=sel_Customer),OR(sel_Category="All",G1315=sel_Category),OR(sel_Product="All",H1315=sel_Product),AND(S1315&gt;=m_From,S1315&lt;=m_To)),1,0)</f>
        <v/>
      </c>
      <c r="V1315" s="36">
        <f>IF(AND(OR(sel_Region="All",C1315=sel_Region),OR(sel_Channel="All",E1315=sel_Channel),OR(sel_Customer="All",F1315=sel_Customer),OR(sel_Category="All",G1315=sel_Category),OR(sel_Product="All",H1315=sel_Product),AND(S1315&gt;=m_From,S1315&lt;=m_To)),1,0)</f>
        <v/>
      </c>
      <c r="W1315" s="36">
        <f>IF(AND(OR(sel_Region="All",C1315=sel_Region),OR(sel_Country="All",D1315=sel_Country),OR(sel_Customer="All",F1315=sel_Customer),OR(sel_Category="All",G1315=sel_Category),OR(sel_Product="All",H1315=sel_Product),AND(S1315&gt;=m_From,S1315&lt;=m_To)),1,0)</f>
        <v/>
      </c>
      <c r="X1315" s="36">
        <f>IF(AND(OR(sel_Region="All",C1315=sel_Region),OR(sel_Country="All",D1315=sel_Country),OR(sel_Channel="All",E1315=sel_Channel),OR(sel_Category="All",G1315=sel_Category),OR(sel_Product="All",H1315=sel_Product),AND(S1315&gt;=m_From,S1315&lt;=m_To)),1,0)</f>
        <v/>
      </c>
      <c r="Y1315" s="36">
        <f>IF(AND(OR(sel_Region="All",C1315=sel_Region),OR(sel_Country="All",D1315=sel_Country),OR(sel_Channel="All",E1315=sel_Channel),OR(sel_Customer="All",F1315=sel_Customer),OR(sel_Product="All",H1315=sel_Product),AND(S1315&gt;=m_From,S1315&lt;=m_To)),1,0)</f>
        <v/>
      </c>
      <c r="Z1315" s="36">
        <f>IF(AND(OR(sel_Region="All",C1315=sel_Region),OR(sel_Country="All",D1315=sel_Country),OR(sel_Channel="All",E1315=sel_Channel),OR(sel_Customer="All",F1315=sel_Customer),OR(sel_Category="All",G1315=sel_Category),AND(S1315&gt;=m_From,S1315&lt;=m_To)),1,0)</f>
        <v/>
      </c>
      <c r="AA1315" s="36">
        <f>IF(AND(OR(sel_Region="All",C1315=sel_Region),OR(sel_Country="All",D1315=sel_Country),OR(sel_Channel="All",E1315=sel_Channel),OR(sel_Customer="All",F1315=sel_Customer),OR(sel_Category="All",G1315=sel_Category),OR(sel_Product="All",H1315=sel_Product)),1,0)</f>
        <v/>
      </c>
    </row>
    <row r="1316">
      <c r="A1316" s="36" t="inlineStr">
        <is>
          <t>00758</t>
        </is>
      </c>
      <c r="B1316" s="44" t="n">
        <v>46213</v>
      </c>
      <c r="C1316" s="36" t="inlineStr">
        <is>
          <t>Southern Europe</t>
        </is>
      </c>
      <c r="D1316" s="36" t="inlineStr">
        <is>
          <t>Spain</t>
        </is>
      </c>
      <c r="E1316" s="36" t="inlineStr">
        <is>
          <t>Retail Partners</t>
        </is>
      </c>
      <c r="F1316" s="36" t="inlineStr">
        <is>
          <t>New</t>
        </is>
      </c>
      <c r="G1316" s="36" t="inlineStr">
        <is>
          <t>Cycling</t>
        </is>
      </c>
      <c r="H1316" s="36" t="inlineStr">
        <is>
          <t>Trail Bike Light</t>
        </is>
      </c>
      <c r="I1316" s="36" t="n">
        <v>1</v>
      </c>
      <c r="J1316" s="39" t="n">
        <v>50.78</v>
      </c>
      <c r="K1316" s="45" t="n">
        <v>0</v>
      </c>
      <c r="L1316" s="39" t="n">
        <v>22.29</v>
      </c>
      <c r="M1316" s="39">
        <f>I1316*J1316*(1-K1316)</f>
        <v/>
      </c>
      <c r="N1316" s="39">
        <f>I1316*L1316</f>
        <v/>
      </c>
      <c r="O1316" s="39">
        <f>M1316-N1316</f>
        <v/>
      </c>
      <c r="P1316" s="38">
        <f>IF(M1316=0,0,O1316/M1316)</f>
        <v/>
      </c>
      <c r="Q1316" s="36">
        <f>YEAR(B1316)</f>
        <v/>
      </c>
      <c r="R1316" s="36">
        <f>"Q"&amp;ROUNDUP(MONTH(B1316)/3,0)</f>
        <v/>
      </c>
      <c r="S1316" s="36">
        <f>MONTH(B1316)</f>
        <v/>
      </c>
      <c r="T1316" s="36">
        <f>TEXT(B1316,"mmm")</f>
        <v/>
      </c>
      <c r="U1316" s="36">
        <f>IF(AND(OR(sel_Region="All",C1316=sel_Region),OR(sel_Country="All",D1316=sel_Country),OR(sel_Channel="All",E1316=sel_Channel),OR(sel_Customer="All",F1316=sel_Customer),OR(sel_Category="All",G1316=sel_Category),OR(sel_Product="All",H1316=sel_Product),AND(S1316&gt;=m_From,S1316&lt;=m_To)),1,0)</f>
        <v/>
      </c>
      <c r="V1316" s="36">
        <f>IF(AND(OR(sel_Region="All",C1316=sel_Region),OR(sel_Channel="All",E1316=sel_Channel),OR(sel_Customer="All",F1316=sel_Customer),OR(sel_Category="All",G1316=sel_Category),OR(sel_Product="All",H1316=sel_Product),AND(S1316&gt;=m_From,S1316&lt;=m_To)),1,0)</f>
        <v/>
      </c>
      <c r="W1316" s="36">
        <f>IF(AND(OR(sel_Region="All",C1316=sel_Region),OR(sel_Country="All",D1316=sel_Country),OR(sel_Customer="All",F1316=sel_Customer),OR(sel_Category="All",G1316=sel_Category),OR(sel_Product="All",H1316=sel_Product),AND(S1316&gt;=m_From,S1316&lt;=m_To)),1,0)</f>
        <v/>
      </c>
      <c r="X1316" s="36">
        <f>IF(AND(OR(sel_Region="All",C1316=sel_Region),OR(sel_Country="All",D1316=sel_Country),OR(sel_Channel="All",E1316=sel_Channel),OR(sel_Category="All",G1316=sel_Category),OR(sel_Product="All",H1316=sel_Product),AND(S1316&gt;=m_From,S1316&lt;=m_To)),1,0)</f>
        <v/>
      </c>
      <c r="Y1316" s="36">
        <f>IF(AND(OR(sel_Region="All",C1316=sel_Region),OR(sel_Country="All",D1316=sel_Country),OR(sel_Channel="All",E1316=sel_Channel),OR(sel_Customer="All",F1316=sel_Customer),OR(sel_Product="All",H1316=sel_Product),AND(S1316&gt;=m_From,S1316&lt;=m_To)),1,0)</f>
        <v/>
      </c>
      <c r="Z1316" s="36">
        <f>IF(AND(OR(sel_Region="All",C1316=sel_Region),OR(sel_Country="All",D1316=sel_Country),OR(sel_Channel="All",E1316=sel_Channel),OR(sel_Customer="All",F1316=sel_Customer),OR(sel_Category="All",G1316=sel_Category),AND(S1316&gt;=m_From,S1316&lt;=m_To)),1,0)</f>
        <v/>
      </c>
      <c r="AA1316" s="36">
        <f>IF(AND(OR(sel_Region="All",C1316=sel_Region),OR(sel_Country="All",D1316=sel_Country),OR(sel_Channel="All",E1316=sel_Channel),OR(sel_Customer="All",F1316=sel_Customer),OR(sel_Category="All",G1316=sel_Category),OR(sel_Product="All",H1316=sel_Product)),1,0)</f>
        <v/>
      </c>
    </row>
    <row r="1317">
      <c r="A1317" s="36" t="inlineStr">
        <is>
          <t>01910</t>
        </is>
      </c>
      <c r="B1317" s="44" t="n">
        <v>46213</v>
      </c>
      <c r="C1317" s="36" t="inlineStr">
        <is>
          <t>Southern Europe</t>
        </is>
      </c>
      <c r="D1317" s="36" t="inlineStr">
        <is>
          <t>Italy</t>
        </is>
      </c>
      <c r="E1317" s="36" t="inlineStr">
        <is>
          <t>Online Store</t>
        </is>
      </c>
      <c r="F1317" s="36" t="inlineStr">
        <is>
          <t>Returning</t>
        </is>
      </c>
      <c r="G1317" s="36" t="inlineStr">
        <is>
          <t>Hiking</t>
        </is>
      </c>
      <c r="H1317" s="36" t="inlineStr">
        <is>
          <t>Trail Boots</t>
        </is>
      </c>
      <c r="I1317" s="36" t="n">
        <v>2</v>
      </c>
      <c r="J1317" s="39" t="n">
        <v>141.51</v>
      </c>
      <c r="K1317" s="45" t="n">
        <v>0.05</v>
      </c>
      <c r="L1317" s="39" t="n">
        <v>77.04000000000001</v>
      </c>
      <c r="M1317" s="39">
        <f>I1317*J1317*(1-K1317)</f>
        <v/>
      </c>
      <c r="N1317" s="39">
        <f>I1317*L1317</f>
        <v/>
      </c>
      <c r="O1317" s="39">
        <f>M1317-N1317</f>
        <v/>
      </c>
      <c r="P1317" s="38">
        <f>IF(M1317=0,0,O1317/M1317)</f>
        <v/>
      </c>
      <c r="Q1317" s="36">
        <f>YEAR(B1317)</f>
        <v/>
      </c>
      <c r="R1317" s="36">
        <f>"Q"&amp;ROUNDUP(MONTH(B1317)/3,0)</f>
        <v/>
      </c>
      <c r="S1317" s="36">
        <f>MONTH(B1317)</f>
        <v/>
      </c>
      <c r="T1317" s="36">
        <f>TEXT(B1317,"mmm")</f>
        <v/>
      </c>
      <c r="U1317" s="36">
        <f>IF(AND(OR(sel_Region="All",C1317=sel_Region),OR(sel_Country="All",D1317=sel_Country),OR(sel_Channel="All",E1317=sel_Channel),OR(sel_Customer="All",F1317=sel_Customer),OR(sel_Category="All",G1317=sel_Category),OR(sel_Product="All",H1317=sel_Product),AND(S1317&gt;=m_From,S1317&lt;=m_To)),1,0)</f>
        <v/>
      </c>
      <c r="V1317" s="36">
        <f>IF(AND(OR(sel_Region="All",C1317=sel_Region),OR(sel_Channel="All",E1317=sel_Channel),OR(sel_Customer="All",F1317=sel_Customer),OR(sel_Category="All",G1317=sel_Category),OR(sel_Product="All",H1317=sel_Product),AND(S1317&gt;=m_From,S1317&lt;=m_To)),1,0)</f>
        <v/>
      </c>
      <c r="W1317" s="36">
        <f>IF(AND(OR(sel_Region="All",C1317=sel_Region),OR(sel_Country="All",D1317=sel_Country),OR(sel_Customer="All",F1317=sel_Customer),OR(sel_Category="All",G1317=sel_Category),OR(sel_Product="All",H1317=sel_Product),AND(S1317&gt;=m_From,S1317&lt;=m_To)),1,0)</f>
        <v/>
      </c>
      <c r="X1317" s="36">
        <f>IF(AND(OR(sel_Region="All",C1317=sel_Region),OR(sel_Country="All",D1317=sel_Country),OR(sel_Channel="All",E1317=sel_Channel),OR(sel_Category="All",G1317=sel_Category),OR(sel_Product="All",H1317=sel_Product),AND(S1317&gt;=m_From,S1317&lt;=m_To)),1,0)</f>
        <v/>
      </c>
      <c r="Y1317" s="36">
        <f>IF(AND(OR(sel_Region="All",C1317=sel_Region),OR(sel_Country="All",D1317=sel_Country),OR(sel_Channel="All",E1317=sel_Channel),OR(sel_Customer="All",F1317=sel_Customer),OR(sel_Product="All",H1317=sel_Product),AND(S1317&gt;=m_From,S1317&lt;=m_To)),1,0)</f>
        <v/>
      </c>
      <c r="Z1317" s="36">
        <f>IF(AND(OR(sel_Region="All",C1317=sel_Region),OR(sel_Country="All",D1317=sel_Country),OR(sel_Channel="All",E1317=sel_Channel),OR(sel_Customer="All",F1317=sel_Customer),OR(sel_Category="All",G1317=sel_Category),AND(S1317&gt;=m_From,S1317&lt;=m_To)),1,0)</f>
        <v/>
      </c>
      <c r="AA1317" s="36">
        <f>IF(AND(OR(sel_Region="All",C1317=sel_Region),OR(sel_Country="All",D1317=sel_Country),OR(sel_Channel="All",E1317=sel_Channel),OR(sel_Customer="All",F1317=sel_Customer),OR(sel_Category="All",G1317=sel_Category),OR(sel_Product="All",H1317=sel_Product)),1,0)</f>
        <v/>
      </c>
    </row>
    <row r="1318">
      <c r="A1318" s="36" t="inlineStr">
        <is>
          <t>01941</t>
        </is>
      </c>
      <c r="B1318" s="44" t="n">
        <v>46213</v>
      </c>
      <c r="C1318" s="36" t="inlineStr">
        <is>
          <t>Central Europe</t>
        </is>
      </c>
      <c r="D1318" s="36" t="inlineStr">
        <is>
          <t>Germany</t>
        </is>
      </c>
      <c r="E1318" s="36" t="inlineStr">
        <is>
          <t>Marketplace</t>
        </is>
      </c>
      <c r="F1318" s="36" t="inlineStr">
        <is>
          <t>Returning</t>
        </is>
      </c>
      <c r="G1318" s="36" t="inlineStr">
        <is>
          <t>Hiking</t>
        </is>
      </c>
      <c r="H1318" s="36" t="inlineStr">
        <is>
          <t>Summit Backpack 45L</t>
        </is>
      </c>
      <c r="I1318" s="36" t="n">
        <v>1</v>
      </c>
      <c r="J1318" s="39" t="n">
        <v>156.44</v>
      </c>
      <c r="K1318" s="45" t="n">
        <v>0.1</v>
      </c>
      <c r="L1318" s="39" t="n">
        <v>80.72</v>
      </c>
      <c r="M1318" s="39">
        <f>I1318*J1318*(1-K1318)</f>
        <v/>
      </c>
      <c r="N1318" s="39">
        <f>I1318*L1318</f>
        <v/>
      </c>
      <c r="O1318" s="39">
        <f>M1318-N1318</f>
        <v/>
      </c>
      <c r="P1318" s="38">
        <f>IF(M1318=0,0,O1318/M1318)</f>
        <v/>
      </c>
      <c r="Q1318" s="36">
        <f>YEAR(B1318)</f>
        <v/>
      </c>
      <c r="R1318" s="36">
        <f>"Q"&amp;ROUNDUP(MONTH(B1318)/3,0)</f>
        <v/>
      </c>
      <c r="S1318" s="36">
        <f>MONTH(B1318)</f>
        <v/>
      </c>
      <c r="T1318" s="36">
        <f>TEXT(B1318,"mmm")</f>
        <v/>
      </c>
      <c r="U1318" s="36">
        <f>IF(AND(OR(sel_Region="All",C1318=sel_Region),OR(sel_Country="All",D1318=sel_Country),OR(sel_Channel="All",E1318=sel_Channel),OR(sel_Customer="All",F1318=sel_Customer),OR(sel_Category="All",G1318=sel_Category),OR(sel_Product="All",H1318=sel_Product),AND(S1318&gt;=m_From,S1318&lt;=m_To)),1,0)</f>
        <v/>
      </c>
      <c r="V1318" s="36">
        <f>IF(AND(OR(sel_Region="All",C1318=sel_Region),OR(sel_Channel="All",E1318=sel_Channel),OR(sel_Customer="All",F1318=sel_Customer),OR(sel_Category="All",G1318=sel_Category),OR(sel_Product="All",H1318=sel_Product),AND(S1318&gt;=m_From,S1318&lt;=m_To)),1,0)</f>
        <v/>
      </c>
      <c r="W1318" s="36">
        <f>IF(AND(OR(sel_Region="All",C1318=sel_Region),OR(sel_Country="All",D1318=sel_Country),OR(sel_Customer="All",F1318=sel_Customer),OR(sel_Category="All",G1318=sel_Category),OR(sel_Product="All",H1318=sel_Product),AND(S1318&gt;=m_From,S1318&lt;=m_To)),1,0)</f>
        <v/>
      </c>
      <c r="X1318" s="36">
        <f>IF(AND(OR(sel_Region="All",C1318=sel_Region),OR(sel_Country="All",D1318=sel_Country),OR(sel_Channel="All",E1318=sel_Channel),OR(sel_Category="All",G1318=sel_Category),OR(sel_Product="All",H1318=sel_Product),AND(S1318&gt;=m_From,S1318&lt;=m_To)),1,0)</f>
        <v/>
      </c>
      <c r="Y1318" s="36">
        <f>IF(AND(OR(sel_Region="All",C1318=sel_Region),OR(sel_Country="All",D1318=sel_Country),OR(sel_Channel="All",E1318=sel_Channel),OR(sel_Customer="All",F1318=sel_Customer),OR(sel_Product="All",H1318=sel_Product),AND(S1318&gt;=m_From,S1318&lt;=m_To)),1,0)</f>
        <v/>
      </c>
      <c r="Z1318" s="36">
        <f>IF(AND(OR(sel_Region="All",C1318=sel_Region),OR(sel_Country="All",D1318=sel_Country),OR(sel_Channel="All",E1318=sel_Channel),OR(sel_Customer="All",F1318=sel_Customer),OR(sel_Category="All",G1318=sel_Category),AND(S1318&gt;=m_From,S1318&lt;=m_To)),1,0)</f>
        <v/>
      </c>
      <c r="AA1318" s="36">
        <f>IF(AND(OR(sel_Region="All",C1318=sel_Region),OR(sel_Country="All",D1318=sel_Country),OR(sel_Channel="All",E1318=sel_Channel),OR(sel_Customer="All",F1318=sel_Customer),OR(sel_Category="All",G1318=sel_Category),OR(sel_Product="All",H1318=sel_Product)),1,0)</f>
        <v/>
      </c>
    </row>
    <row r="1319">
      <c r="A1319" s="36" t="inlineStr">
        <is>
          <t>02324</t>
        </is>
      </c>
      <c r="B1319" s="44" t="n">
        <v>46213</v>
      </c>
      <c r="C1319" s="36" t="inlineStr">
        <is>
          <t>Central Europe</t>
        </is>
      </c>
      <c r="D1319" s="36" t="inlineStr">
        <is>
          <t>Germany</t>
        </is>
      </c>
      <c r="E1319" s="36" t="inlineStr">
        <is>
          <t>Online Store</t>
        </is>
      </c>
      <c r="F1319" s="36" t="inlineStr">
        <is>
          <t>New</t>
        </is>
      </c>
      <c r="G1319" s="36" t="inlineStr">
        <is>
          <t>Fitness</t>
        </is>
      </c>
      <c r="H1319" s="36" t="inlineStr">
        <is>
          <t>Training Mat</t>
        </is>
      </c>
      <c r="I1319" s="36" t="n">
        <v>2</v>
      </c>
      <c r="J1319" s="39" t="n">
        <v>51.75</v>
      </c>
      <c r="K1319" s="45" t="n">
        <v>0</v>
      </c>
      <c r="L1319" s="39" t="n">
        <v>21.4</v>
      </c>
      <c r="M1319" s="39">
        <f>I1319*J1319*(1-K1319)</f>
        <v/>
      </c>
      <c r="N1319" s="39">
        <f>I1319*L1319</f>
        <v/>
      </c>
      <c r="O1319" s="39">
        <f>M1319-N1319</f>
        <v/>
      </c>
      <c r="P1319" s="38">
        <f>IF(M1319=0,0,O1319/M1319)</f>
        <v/>
      </c>
      <c r="Q1319" s="36">
        <f>YEAR(B1319)</f>
        <v/>
      </c>
      <c r="R1319" s="36">
        <f>"Q"&amp;ROUNDUP(MONTH(B1319)/3,0)</f>
        <v/>
      </c>
      <c r="S1319" s="36">
        <f>MONTH(B1319)</f>
        <v/>
      </c>
      <c r="T1319" s="36">
        <f>TEXT(B1319,"mmm")</f>
        <v/>
      </c>
      <c r="U1319" s="36">
        <f>IF(AND(OR(sel_Region="All",C1319=sel_Region),OR(sel_Country="All",D1319=sel_Country),OR(sel_Channel="All",E1319=sel_Channel),OR(sel_Customer="All",F1319=sel_Customer),OR(sel_Category="All",G1319=sel_Category),OR(sel_Product="All",H1319=sel_Product),AND(S1319&gt;=m_From,S1319&lt;=m_To)),1,0)</f>
        <v/>
      </c>
      <c r="V1319" s="36">
        <f>IF(AND(OR(sel_Region="All",C1319=sel_Region),OR(sel_Channel="All",E1319=sel_Channel),OR(sel_Customer="All",F1319=sel_Customer),OR(sel_Category="All",G1319=sel_Category),OR(sel_Product="All",H1319=sel_Product),AND(S1319&gt;=m_From,S1319&lt;=m_To)),1,0)</f>
        <v/>
      </c>
      <c r="W1319" s="36">
        <f>IF(AND(OR(sel_Region="All",C1319=sel_Region),OR(sel_Country="All",D1319=sel_Country),OR(sel_Customer="All",F1319=sel_Customer),OR(sel_Category="All",G1319=sel_Category),OR(sel_Product="All",H1319=sel_Product),AND(S1319&gt;=m_From,S1319&lt;=m_To)),1,0)</f>
        <v/>
      </c>
      <c r="X1319" s="36">
        <f>IF(AND(OR(sel_Region="All",C1319=sel_Region),OR(sel_Country="All",D1319=sel_Country),OR(sel_Channel="All",E1319=sel_Channel),OR(sel_Category="All",G1319=sel_Category),OR(sel_Product="All",H1319=sel_Product),AND(S1319&gt;=m_From,S1319&lt;=m_To)),1,0)</f>
        <v/>
      </c>
      <c r="Y1319" s="36">
        <f>IF(AND(OR(sel_Region="All",C1319=sel_Region),OR(sel_Country="All",D1319=sel_Country),OR(sel_Channel="All",E1319=sel_Channel),OR(sel_Customer="All",F1319=sel_Customer),OR(sel_Product="All",H1319=sel_Product),AND(S1319&gt;=m_From,S1319&lt;=m_To)),1,0)</f>
        <v/>
      </c>
      <c r="Z1319" s="36">
        <f>IF(AND(OR(sel_Region="All",C1319=sel_Region),OR(sel_Country="All",D1319=sel_Country),OR(sel_Channel="All",E1319=sel_Channel),OR(sel_Customer="All",F1319=sel_Customer),OR(sel_Category="All",G1319=sel_Category),AND(S1319&gt;=m_From,S1319&lt;=m_To)),1,0)</f>
        <v/>
      </c>
      <c r="AA1319" s="36">
        <f>IF(AND(OR(sel_Region="All",C1319=sel_Region),OR(sel_Country="All",D1319=sel_Country),OR(sel_Channel="All",E1319=sel_Channel),OR(sel_Customer="All",F1319=sel_Customer),OR(sel_Category="All",G1319=sel_Category),OR(sel_Product="All",H1319=sel_Product)),1,0)</f>
        <v/>
      </c>
    </row>
    <row r="1320">
      <c r="A1320" s="36" t="inlineStr">
        <is>
          <t>02869</t>
        </is>
      </c>
      <c r="B1320" s="44" t="n">
        <v>46213</v>
      </c>
      <c r="C1320" s="36" t="inlineStr">
        <is>
          <t>Northern Europe</t>
        </is>
      </c>
      <c r="D1320" s="36" t="inlineStr">
        <is>
          <t>Denmark</t>
        </is>
      </c>
      <c r="E1320" s="36" t="inlineStr">
        <is>
          <t>Marketplace</t>
        </is>
      </c>
      <c r="F1320" s="36" t="inlineStr">
        <is>
          <t>New</t>
        </is>
      </c>
      <c r="G1320" s="36" t="inlineStr">
        <is>
          <t>Camping</t>
        </is>
      </c>
      <c r="H1320" s="36" t="inlineStr">
        <is>
          <t>Portable Camp Stove</t>
        </is>
      </c>
      <c r="I1320" s="36" t="n">
        <v>1</v>
      </c>
      <c r="J1320" s="39" t="n">
        <v>82.23</v>
      </c>
      <c r="K1320" s="45" t="n">
        <v>0.1</v>
      </c>
      <c r="L1320" s="39" t="n">
        <v>38.34</v>
      </c>
      <c r="M1320" s="39">
        <f>I1320*J1320*(1-K1320)</f>
        <v/>
      </c>
      <c r="N1320" s="39">
        <f>I1320*L1320</f>
        <v/>
      </c>
      <c r="O1320" s="39">
        <f>M1320-N1320</f>
        <v/>
      </c>
      <c r="P1320" s="38">
        <f>IF(M1320=0,0,O1320/M1320)</f>
        <v/>
      </c>
      <c r="Q1320" s="36">
        <f>YEAR(B1320)</f>
        <v/>
      </c>
      <c r="R1320" s="36">
        <f>"Q"&amp;ROUNDUP(MONTH(B1320)/3,0)</f>
        <v/>
      </c>
      <c r="S1320" s="36">
        <f>MONTH(B1320)</f>
        <v/>
      </c>
      <c r="T1320" s="36">
        <f>TEXT(B1320,"mmm")</f>
        <v/>
      </c>
      <c r="U1320" s="36">
        <f>IF(AND(OR(sel_Region="All",C1320=sel_Region),OR(sel_Country="All",D1320=sel_Country),OR(sel_Channel="All",E1320=sel_Channel),OR(sel_Customer="All",F1320=sel_Customer),OR(sel_Category="All",G1320=sel_Category),OR(sel_Product="All",H1320=sel_Product),AND(S1320&gt;=m_From,S1320&lt;=m_To)),1,0)</f>
        <v/>
      </c>
      <c r="V1320" s="36">
        <f>IF(AND(OR(sel_Region="All",C1320=sel_Region),OR(sel_Channel="All",E1320=sel_Channel),OR(sel_Customer="All",F1320=sel_Customer),OR(sel_Category="All",G1320=sel_Category),OR(sel_Product="All",H1320=sel_Product),AND(S1320&gt;=m_From,S1320&lt;=m_To)),1,0)</f>
        <v/>
      </c>
      <c r="W1320" s="36">
        <f>IF(AND(OR(sel_Region="All",C1320=sel_Region),OR(sel_Country="All",D1320=sel_Country),OR(sel_Customer="All",F1320=sel_Customer),OR(sel_Category="All",G1320=sel_Category),OR(sel_Product="All",H1320=sel_Product),AND(S1320&gt;=m_From,S1320&lt;=m_To)),1,0)</f>
        <v/>
      </c>
      <c r="X1320" s="36">
        <f>IF(AND(OR(sel_Region="All",C1320=sel_Region),OR(sel_Country="All",D1320=sel_Country),OR(sel_Channel="All",E1320=sel_Channel),OR(sel_Category="All",G1320=sel_Category),OR(sel_Product="All",H1320=sel_Product),AND(S1320&gt;=m_From,S1320&lt;=m_To)),1,0)</f>
        <v/>
      </c>
      <c r="Y1320" s="36">
        <f>IF(AND(OR(sel_Region="All",C1320=sel_Region),OR(sel_Country="All",D1320=sel_Country),OR(sel_Channel="All",E1320=sel_Channel),OR(sel_Customer="All",F1320=sel_Customer),OR(sel_Product="All",H1320=sel_Product),AND(S1320&gt;=m_From,S1320&lt;=m_To)),1,0)</f>
        <v/>
      </c>
      <c r="Z1320" s="36">
        <f>IF(AND(OR(sel_Region="All",C1320=sel_Region),OR(sel_Country="All",D1320=sel_Country),OR(sel_Channel="All",E1320=sel_Channel),OR(sel_Customer="All",F1320=sel_Customer),OR(sel_Category="All",G1320=sel_Category),AND(S1320&gt;=m_From,S1320&lt;=m_To)),1,0)</f>
        <v/>
      </c>
      <c r="AA1320" s="36">
        <f>IF(AND(OR(sel_Region="All",C1320=sel_Region),OR(sel_Country="All",D1320=sel_Country),OR(sel_Channel="All",E1320=sel_Channel),OR(sel_Customer="All",F1320=sel_Customer),OR(sel_Category="All",G1320=sel_Category),OR(sel_Product="All",H1320=sel_Product)),1,0)</f>
        <v/>
      </c>
    </row>
    <row r="1321">
      <c r="A1321" s="36" t="inlineStr">
        <is>
          <t>03236</t>
        </is>
      </c>
      <c r="B1321" s="44" t="n">
        <v>46213</v>
      </c>
      <c r="C1321" s="36" t="inlineStr">
        <is>
          <t>Central Europe</t>
        </is>
      </c>
      <c r="D1321" s="36" t="inlineStr">
        <is>
          <t>Austria</t>
        </is>
      </c>
      <c r="E1321" s="36" t="inlineStr">
        <is>
          <t>Online Store</t>
        </is>
      </c>
      <c r="F1321" s="36" t="inlineStr">
        <is>
          <t>New</t>
        </is>
      </c>
      <c r="G1321" s="36" t="inlineStr">
        <is>
          <t>Hiking</t>
        </is>
      </c>
      <c r="H1321" s="36" t="inlineStr">
        <is>
          <t>Trail Boots</t>
        </is>
      </c>
      <c r="I1321" s="36" t="n">
        <v>1</v>
      </c>
      <c r="J1321" s="39" t="n">
        <v>144.17</v>
      </c>
      <c r="K1321" s="45" t="n">
        <v>0.1</v>
      </c>
      <c r="L1321" s="39" t="n">
        <v>78.13</v>
      </c>
      <c r="M1321" s="39">
        <f>I1321*J1321*(1-K1321)</f>
        <v/>
      </c>
      <c r="N1321" s="39">
        <f>I1321*L1321</f>
        <v/>
      </c>
      <c r="O1321" s="39">
        <f>M1321-N1321</f>
        <v/>
      </c>
      <c r="P1321" s="38">
        <f>IF(M1321=0,0,O1321/M1321)</f>
        <v/>
      </c>
      <c r="Q1321" s="36">
        <f>YEAR(B1321)</f>
        <v/>
      </c>
      <c r="R1321" s="36">
        <f>"Q"&amp;ROUNDUP(MONTH(B1321)/3,0)</f>
        <v/>
      </c>
      <c r="S1321" s="36">
        <f>MONTH(B1321)</f>
        <v/>
      </c>
      <c r="T1321" s="36">
        <f>TEXT(B1321,"mmm")</f>
        <v/>
      </c>
      <c r="U1321" s="36">
        <f>IF(AND(OR(sel_Region="All",C1321=sel_Region),OR(sel_Country="All",D1321=sel_Country),OR(sel_Channel="All",E1321=sel_Channel),OR(sel_Customer="All",F1321=sel_Customer),OR(sel_Category="All",G1321=sel_Category),OR(sel_Product="All",H1321=sel_Product),AND(S1321&gt;=m_From,S1321&lt;=m_To)),1,0)</f>
        <v/>
      </c>
      <c r="V1321" s="36">
        <f>IF(AND(OR(sel_Region="All",C1321=sel_Region),OR(sel_Channel="All",E1321=sel_Channel),OR(sel_Customer="All",F1321=sel_Customer),OR(sel_Category="All",G1321=sel_Category),OR(sel_Product="All",H1321=sel_Product),AND(S1321&gt;=m_From,S1321&lt;=m_To)),1,0)</f>
        <v/>
      </c>
      <c r="W1321" s="36">
        <f>IF(AND(OR(sel_Region="All",C1321=sel_Region),OR(sel_Country="All",D1321=sel_Country),OR(sel_Customer="All",F1321=sel_Customer),OR(sel_Category="All",G1321=sel_Category),OR(sel_Product="All",H1321=sel_Product),AND(S1321&gt;=m_From,S1321&lt;=m_To)),1,0)</f>
        <v/>
      </c>
      <c r="X1321" s="36">
        <f>IF(AND(OR(sel_Region="All",C1321=sel_Region),OR(sel_Country="All",D1321=sel_Country),OR(sel_Channel="All",E1321=sel_Channel),OR(sel_Category="All",G1321=sel_Category),OR(sel_Product="All",H1321=sel_Product),AND(S1321&gt;=m_From,S1321&lt;=m_To)),1,0)</f>
        <v/>
      </c>
      <c r="Y1321" s="36">
        <f>IF(AND(OR(sel_Region="All",C1321=sel_Region),OR(sel_Country="All",D1321=sel_Country),OR(sel_Channel="All",E1321=sel_Channel),OR(sel_Customer="All",F1321=sel_Customer),OR(sel_Product="All",H1321=sel_Product),AND(S1321&gt;=m_From,S1321&lt;=m_To)),1,0)</f>
        <v/>
      </c>
      <c r="Z1321" s="36">
        <f>IF(AND(OR(sel_Region="All",C1321=sel_Region),OR(sel_Country="All",D1321=sel_Country),OR(sel_Channel="All",E1321=sel_Channel),OR(sel_Customer="All",F1321=sel_Customer),OR(sel_Category="All",G1321=sel_Category),AND(S1321&gt;=m_From,S1321&lt;=m_To)),1,0)</f>
        <v/>
      </c>
      <c r="AA1321" s="36">
        <f>IF(AND(OR(sel_Region="All",C1321=sel_Region),OR(sel_Country="All",D1321=sel_Country),OR(sel_Channel="All",E1321=sel_Channel),OR(sel_Customer="All",F1321=sel_Customer),OR(sel_Category="All",G1321=sel_Category),OR(sel_Product="All",H1321=sel_Product)),1,0)</f>
        <v/>
      </c>
    </row>
    <row r="1322">
      <c r="A1322" s="36" t="inlineStr">
        <is>
          <t>03582</t>
        </is>
      </c>
      <c r="B1322" s="44" t="n">
        <v>46213</v>
      </c>
      <c r="C1322" s="36" t="inlineStr">
        <is>
          <t>Central Europe</t>
        </is>
      </c>
      <c r="D1322" s="36" t="inlineStr">
        <is>
          <t>Germany</t>
        </is>
      </c>
      <c r="E1322" s="36" t="inlineStr">
        <is>
          <t>Online Store</t>
        </is>
      </c>
      <c r="F1322" s="36" t="inlineStr">
        <is>
          <t>Returning</t>
        </is>
      </c>
      <c r="G1322" s="36" t="inlineStr">
        <is>
          <t>Camping</t>
        </is>
      </c>
      <c r="H1322" s="36" t="inlineStr">
        <is>
          <t>Portable Camp Stove</t>
        </is>
      </c>
      <c r="I1322" s="36" t="n">
        <v>4</v>
      </c>
      <c r="J1322" s="39" t="n">
        <v>82.47</v>
      </c>
      <c r="K1322" s="45" t="n">
        <v>0</v>
      </c>
      <c r="L1322" s="39" t="n">
        <v>40.22</v>
      </c>
      <c r="M1322" s="39">
        <f>I1322*J1322*(1-K1322)</f>
        <v/>
      </c>
      <c r="N1322" s="39">
        <f>I1322*L1322</f>
        <v/>
      </c>
      <c r="O1322" s="39">
        <f>M1322-N1322</f>
        <v/>
      </c>
      <c r="P1322" s="38">
        <f>IF(M1322=0,0,O1322/M1322)</f>
        <v/>
      </c>
      <c r="Q1322" s="36">
        <f>YEAR(B1322)</f>
        <v/>
      </c>
      <c r="R1322" s="36">
        <f>"Q"&amp;ROUNDUP(MONTH(B1322)/3,0)</f>
        <v/>
      </c>
      <c r="S1322" s="36">
        <f>MONTH(B1322)</f>
        <v/>
      </c>
      <c r="T1322" s="36">
        <f>TEXT(B1322,"mmm")</f>
        <v/>
      </c>
      <c r="U1322" s="36">
        <f>IF(AND(OR(sel_Region="All",C1322=sel_Region),OR(sel_Country="All",D1322=sel_Country),OR(sel_Channel="All",E1322=sel_Channel),OR(sel_Customer="All",F1322=sel_Customer),OR(sel_Category="All",G1322=sel_Category),OR(sel_Product="All",H1322=sel_Product),AND(S1322&gt;=m_From,S1322&lt;=m_To)),1,0)</f>
        <v/>
      </c>
      <c r="V1322" s="36">
        <f>IF(AND(OR(sel_Region="All",C1322=sel_Region),OR(sel_Channel="All",E1322=sel_Channel),OR(sel_Customer="All",F1322=sel_Customer),OR(sel_Category="All",G1322=sel_Category),OR(sel_Product="All",H1322=sel_Product),AND(S1322&gt;=m_From,S1322&lt;=m_To)),1,0)</f>
        <v/>
      </c>
      <c r="W1322" s="36">
        <f>IF(AND(OR(sel_Region="All",C1322=sel_Region),OR(sel_Country="All",D1322=sel_Country),OR(sel_Customer="All",F1322=sel_Customer),OR(sel_Category="All",G1322=sel_Category),OR(sel_Product="All",H1322=sel_Product),AND(S1322&gt;=m_From,S1322&lt;=m_To)),1,0)</f>
        <v/>
      </c>
      <c r="X1322" s="36">
        <f>IF(AND(OR(sel_Region="All",C1322=sel_Region),OR(sel_Country="All",D1322=sel_Country),OR(sel_Channel="All",E1322=sel_Channel),OR(sel_Category="All",G1322=sel_Category),OR(sel_Product="All",H1322=sel_Product),AND(S1322&gt;=m_From,S1322&lt;=m_To)),1,0)</f>
        <v/>
      </c>
      <c r="Y1322" s="36">
        <f>IF(AND(OR(sel_Region="All",C1322=sel_Region),OR(sel_Country="All",D1322=sel_Country),OR(sel_Channel="All",E1322=sel_Channel),OR(sel_Customer="All",F1322=sel_Customer),OR(sel_Product="All",H1322=sel_Product),AND(S1322&gt;=m_From,S1322&lt;=m_To)),1,0)</f>
        <v/>
      </c>
      <c r="Z1322" s="36">
        <f>IF(AND(OR(sel_Region="All",C1322=sel_Region),OR(sel_Country="All",D1322=sel_Country),OR(sel_Channel="All",E1322=sel_Channel),OR(sel_Customer="All",F1322=sel_Customer),OR(sel_Category="All",G1322=sel_Category),AND(S1322&gt;=m_From,S1322&lt;=m_To)),1,0)</f>
        <v/>
      </c>
      <c r="AA1322" s="36">
        <f>IF(AND(OR(sel_Region="All",C1322=sel_Region),OR(sel_Country="All",D1322=sel_Country),OR(sel_Channel="All",E1322=sel_Channel),OR(sel_Customer="All",F1322=sel_Customer),OR(sel_Category="All",G1322=sel_Category),OR(sel_Product="All",H1322=sel_Product)),1,0)</f>
        <v/>
      </c>
    </row>
    <row r="1323">
      <c r="A1323" s="36" t="inlineStr">
        <is>
          <t>03715</t>
        </is>
      </c>
      <c r="B1323" s="44" t="n">
        <v>46213</v>
      </c>
      <c r="C1323" s="36" t="inlineStr">
        <is>
          <t>Western Europe</t>
        </is>
      </c>
      <c r="D1323" s="36" t="inlineStr">
        <is>
          <t>United Kingdom</t>
        </is>
      </c>
      <c r="E1323" s="36" t="inlineStr">
        <is>
          <t>Online Store</t>
        </is>
      </c>
      <c r="F1323" s="36" t="inlineStr">
        <is>
          <t>New</t>
        </is>
      </c>
      <c r="G1323" s="36" t="inlineStr">
        <is>
          <t>Camping</t>
        </is>
      </c>
      <c r="H1323" s="36" t="inlineStr">
        <is>
          <t>Compact Sleeping Bag</t>
        </is>
      </c>
      <c r="I1323" s="36" t="n">
        <v>1</v>
      </c>
      <c r="J1323" s="39" t="n">
        <v>122.14</v>
      </c>
      <c r="K1323" s="45" t="n">
        <v>0.15</v>
      </c>
      <c r="L1323" s="39" t="n">
        <v>59.87</v>
      </c>
      <c r="M1323" s="39">
        <f>I1323*J1323*(1-K1323)</f>
        <v/>
      </c>
      <c r="N1323" s="39">
        <f>I1323*L1323</f>
        <v/>
      </c>
      <c r="O1323" s="39">
        <f>M1323-N1323</f>
        <v/>
      </c>
      <c r="P1323" s="38">
        <f>IF(M1323=0,0,O1323/M1323)</f>
        <v/>
      </c>
      <c r="Q1323" s="36">
        <f>YEAR(B1323)</f>
        <v/>
      </c>
      <c r="R1323" s="36">
        <f>"Q"&amp;ROUNDUP(MONTH(B1323)/3,0)</f>
        <v/>
      </c>
      <c r="S1323" s="36">
        <f>MONTH(B1323)</f>
        <v/>
      </c>
      <c r="T1323" s="36">
        <f>TEXT(B1323,"mmm")</f>
        <v/>
      </c>
      <c r="U1323" s="36">
        <f>IF(AND(OR(sel_Region="All",C1323=sel_Region),OR(sel_Country="All",D1323=sel_Country),OR(sel_Channel="All",E1323=sel_Channel),OR(sel_Customer="All",F1323=sel_Customer),OR(sel_Category="All",G1323=sel_Category),OR(sel_Product="All",H1323=sel_Product),AND(S1323&gt;=m_From,S1323&lt;=m_To)),1,0)</f>
        <v/>
      </c>
      <c r="V1323" s="36">
        <f>IF(AND(OR(sel_Region="All",C1323=sel_Region),OR(sel_Channel="All",E1323=sel_Channel),OR(sel_Customer="All",F1323=sel_Customer),OR(sel_Category="All",G1323=sel_Category),OR(sel_Product="All",H1323=sel_Product),AND(S1323&gt;=m_From,S1323&lt;=m_To)),1,0)</f>
        <v/>
      </c>
      <c r="W1323" s="36">
        <f>IF(AND(OR(sel_Region="All",C1323=sel_Region),OR(sel_Country="All",D1323=sel_Country),OR(sel_Customer="All",F1323=sel_Customer),OR(sel_Category="All",G1323=sel_Category),OR(sel_Product="All",H1323=sel_Product),AND(S1323&gt;=m_From,S1323&lt;=m_To)),1,0)</f>
        <v/>
      </c>
      <c r="X1323" s="36">
        <f>IF(AND(OR(sel_Region="All",C1323=sel_Region),OR(sel_Country="All",D1323=sel_Country),OR(sel_Channel="All",E1323=sel_Channel),OR(sel_Category="All",G1323=sel_Category),OR(sel_Product="All",H1323=sel_Product),AND(S1323&gt;=m_From,S1323&lt;=m_To)),1,0)</f>
        <v/>
      </c>
      <c r="Y1323" s="36">
        <f>IF(AND(OR(sel_Region="All",C1323=sel_Region),OR(sel_Country="All",D1323=sel_Country),OR(sel_Channel="All",E1323=sel_Channel),OR(sel_Customer="All",F1323=sel_Customer),OR(sel_Product="All",H1323=sel_Product),AND(S1323&gt;=m_From,S1323&lt;=m_To)),1,0)</f>
        <v/>
      </c>
      <c r="Z1323" s="36">
        <f>IF(AND(OR(sel_Region="All",C1323=sel_Region),OR(sel_Country="All",D1323=sel_Country),OR(sel_Channel="All",E1323=sel_Channel),OR(sel_Customer="All",F1323=sel_Customer),OR(sel_Category="All",G1323=sel_Category),AND(S1323&gt;=m_From,S1323&lt;=m_To)),1,0)</f>
        <v/>
      </c>
      <c r="AA1323" s="36">
        <f>IF(AND(OR(sel_Region="All",C1323=sel_Region),OR(sel_Country="All",D1323=sel_Country),OR(sel_Channel="All",E1323=sel_Channel),OR(sel_Customer="All",F1323=sel_Customer),OR(sel_Category="All",G1323=sel_Category),OR(sel_Product="All",H1323=sel_Product)),1,0)</f>
        <v/>
      </c>
    </row>
    <row r="1324">
      <c r="A1324" s="36" t="inlineStr">
        <is>
          <t>03940</t>
        </is>
      </c>
      <c r="B1324" s="44" t="n">
        <v>46213</v>
      </c>
      <c r="C1324" s="36" t="inlineStr">
        <is>
          <t>Northern Europe</t>
        </is>
      </c>
      <c r="D1324" s="36" t="inlineStr">
        <is>
          <t>Norway</t>
        </is>
      </c>
      <c r="E1324" s="36" t="inlineStr">
        <is>
          <t>Retail Partners</t>
        </is>
      </c>
      <c r="F1324" s="36" t="inlineStr">
        <is>
          <t>Returning</t>
        </is>
      </c>
      <c r="G1324" s="36" t="inlineStr">
        <is>
          <t>Hiking</t>
        </is>
      </c>
      <c r="H1324" s="36" t="inlineStr">
        <is>
          <t>Trail Boots</t>
        </is>
      </c>
      <c r="I1324" s="36" t="n">
        <v>3</v>
      </c>
      <c r="J1324" s="39" t="n">
        <v>143.59</v>
      </c>
      <c r="K1324" s="45" t="n">
        <v>0</v>
      </c>
      <c r="L1324" s="39" t="n">
        <v>78.91</v>
      </c>
      <c r="M1324" s="39">
        <f>I1324*J1324*(1-K1324)</f>
        <v/>
      </c>
      <c r="N1324" s="39">
        <f>I1324*L1324</f>
        <v/>
      </c>
      <c r="O1324" s="39">
        <f>M1324-N1324</f>
        <v/>
      </c>
      <c r="P1324" s="38">
        <f>IF(M1324=0,0,O1324/M1324)</f>
        <v/>
      </c>
      <c r="Q1324" s="36">
        <f>YEAR(B1324)</f>
        <v/>
      </c>
      <c r="R1324" s="36">
        <f>"Q"&amp;ROUNDUP(MONTH(B1324)/3,0)</f>
        <v/>
      </c>
      <c r="S1324" s="36">
        <f>MONTH(B1324)</f>
        <v/>
      </c>
      <c r="T1324" s="36">
        <f>TEXT(B1324,"mmm")</f>
        <v/>
      </c>
      <c r="U1324" s="36">
        <f>IF(AND(OR(sel_Region="All",C1324=sel_Region),OR(sel_Country="All",D1324=sel_Country),OR(sel_Channel="All",E1324=sel_Channel),OR(sel_Customer="All",F1324=sel_Customer),OR(sel_Category="All",G1324=sel_Category),OR(sel_Product="All",H1324=sel_Product),AND(S1324&gt;=m_From,S1324&lt;=m_To)),1,0)</f>
        <v/>
      </c>
      <c r="V1324" s="36">
        <f>IF(AND(OR(sel_Region="All",C1324=sel_Region),OR(sel_Channel="All",E1324=sel_Channel),OR(sel_Customer="All",F1324=sel_Customer),OR(sel_Category="All",G1324=sel_Category),OR(sel_Product="All",H1324=sel_Product),AND(S1324&gt;=m_From,S1324&lt;=m_To)),1,0)</f>
        <v/>
      </c>
      <c r="W1324" s="36">
        <f>IF(AND(OR(sel_Region="All",C1324=sel_Region),OR(sel_Country="All",D1324=sel_Country),OR(sel_Customer="All",F1324=sel_Customer),OR(sel_Category="All",G1324=sel_Category),OR(sel_Product="All",H1324=sel_Product),AND(S1324&gt;=m_From,S1324&lt;=m_To)),1,0)</f>
        <v/>
      </c>
      <c r="X1324" s="36">
        <f>IF(AND(OR(sel_Region="All",C1324=sel_Region),OR(sel_Country="All",D1324=sel_Country),OR(sel_Channel="All",E1324=sel_Channel),OR(sel_Category="All",G1324=sel_Category),OR(sel_Product="All",H1324=sel_Product),AND(S1324&gt;=m_From,S1324&lt;=m_To)),1,0)</f>
        <v/>
      </c>
      <c r="Y1324" s="36">
        <f>IF(AND(OR(sel_Region="All",C1324=sel_Region),OR(sel_Country="All",D1324=sel_Country),OR(sel_Channel="All",E1324=sel_Channel),OR(sel_Customer="All",F1324=sel_Customer),OR(sel_Product="All",H1324=sel_Product),AND(S1324&gt;=m_From,S1324&lt;=m_To)),1,0)</f>
        <v/>
      </c>
      <c r="Z1324" s="36">
        <f>IF(AND(OR(sel_Region="All",C1324=sel_Region),OR(sel_Country="All",D1324=sel_Country),OR(sel_Channel="All",E1324=sel_Channel),OR(sel_Customer="All",F1324=sel_Customer),OR(sel_Category="All",G1324=sel_Category),AND(S1324&gt;=m_From,S1324&lt;=m_To)),1,0)</f>
        <v/>
      </c>
      <c r="AA1324" s="36">
        <f>IF(AND(OR(sel_Region="All",C1324=sel_Region),OR(sel_Country="All",D1324=sel_Country),OR(sel_Channel="All",E1324=sel_Channel),OR(sel_Customer="All",F1324=sel_Customer),OR(sel_Category="All",G1324=sel_Category),OR(sel_Product="All",H1324=sel_Product)),1,0)</f>
        <v/>
      </c>
    </row>
    <row r="1325">
      <c r="A1325" s="36" t="inlineStr">
        <is>
          <t>04760</t>
        </is>
      </c>
      <c r="B1325" s="44" t="n">
        <v>46213</v>
      </c>
      <c r="C1325" s="36" t="inlineStr">
        <is>
          <t>Western Europe</t>
        </is>
      </c>
      <c r="D1325" s="36" t="inlineStr">
        <is>
          <t>France</t>
        </is>
      </c>
      <c r="E1325" s="36" t="inlineStr">
        <is>
          <t>Online Store</t>
        </is>
      </c>
      <c r="F1325" s="36" t="inlineStr">
        <is>
          <t>Business</t>
        </is>
      </c>
      <c r="G1325" s="36" t="inlineStr">
        <is>
          <t>Hiking</t>
        </is>
      </c>
      <c r="H1325" s="36" t="inlineStr">
        <is>
          <t>Summit Backpack 45L</t>
        </is>
      </c>
      <c r="I1325" s="36" t="n">
        <v>2</v>
      </c>
      <c r="J1325" s="39" t="n">
        <v>157.66</v>
      </c>
      <c r="K1325" s="45" t="n">
        <v>0</v>
      </c>
      <c r="L1325" s="39" t="n">
        <v>78.76000000000001</v>
      </c>
      <c r="M1325" s="39">
        <f>I1325*J1325*(1-K1325)</f>
        <v/>
      </c>
      <c r="N1325" s="39">
        <f>I1325*L1325</f>
        <v/>
      </c>
      <c r="O1325" s="39">
        <f>M1325-N1325</f>
        <v/>
      </c>
      <c r="P1325" s="38">
        <f>IF(M1325=0,0,O1325/M1325)</f>
        <v/>
      </c>
      <c r="Q1325" s="36">
        <f>YEAR(B1325)</f>
        <v/>
      </c>
      <c r="R1325" s="36">
        <f>"Q"&amp;ROUNDUP(MONTH(B1325)/3,0)</f>
        <v/>
      </c>
      <c r="S1325" s="36">
        <f>MONTH(B1325)</f>
        <v/>
      </c>
      <c r="T1325" s="36">
        <f>TEXT(B1325,"mmm")</f>
        <v/>
      </c>
      <c r="U1325" s="36">
        <f>IF(AND(OR(sel_Region="All",C1325=sel_Region),OR(sel_Country="All",D1325=sel_Country),OR(sel_Channel="All",E1325=sel_Channel),OR(sel_Customer="All",F1325=sel_Customer),OR(sel_Category="All",G1325=sel_Category),OR(sel_Product="All",H1325=sel_Product),AND(S1325&gt;=m_From,S1325&lt;=m_To)),1,0)</f>
        <v/>
      </c>
      <c r="V1325" s="36">
        <f>IF(AND(OR(sel_Region="All",C1325=sel_Region),OR(sel_Channel="All",E1325=sel_Channel),OR(sel_Customer="All",F1325=sel_Customer),OR(sel_Category="All",G1325=sel_Category),OR(sel_Product="All",H1325=sel_Product),AND(S1325&gt;=m_From,S1325&lt;=m_To)),1,0)</f>
        <v/>
      </c>
      <c r="W1325" s="36">
        <f>IF(AND(OR(sel_Region="All",C1325=sel_Region),OR(sel_Country="All",D1325=sel_Country),OR(sel_Customer="All",F1325=sel_Customer),OR(sel_Category="All",G1325=sel_Category),OR(sel_Product="All",H1325=sel_Product),AND(S1325&gt;=m_From,S1325&lt;=m_To)),1,0)</f>
        <v/>
      </c>
      <c r="X1325" s="36">
        <f>IF(AND(OR(sel_Region="All",C1325=sel_Region),OR(sel_Country="All",D1325=sel_Country),OR(sel_Channel="All",E1325=sel_Channel),OR(sel_Category="All",G1325=sel_Category),OR(sel_Product="All",H1325=sel_Product),AND(S1325&gt;=m_From,S1325&lt;=m_To)),1,0)</f>
        <v/>
      </c>
      <c r="Y1325" s="36">
        <f>IF(AND(OR(sel_Region="All",C1325=sel_Region),OR(sel_Country="All",D1325=sel_Country),OR(sel_Channel="All",E1325=sel_Channel),OR(sel_Customer="All",F1325=sel_Customer),OR(sel_Product="All",H1325=sel_Product),AND(S1325&gt;=m_From,S1325&lt;=m_To)),1,0)</f>
        <v/>
      </c>
      <c r="Z1325" s="36">
        <f>IF(AND(OR(sel_Region="All",C1325=sel_Region),OR(sel_Country="All",D1325=sel_Country),OR(sel_Channel="All",E1325=sel_Channel),OR(sel_Customer="All",F1325=sel_Customer),OR(sel_Category="All",G1325=sel_Category),AND(S1325&gt;=m_From,S1325&lt;=m_To)),1,0)</f>
        <v/>
      </c>
      <c r="AA1325" s="36">
        <f>IF(AND(OR(sel_Region="All",C1325=sel_Region),OR(sel_Country="All",D1325=sel_Country),OR(sel_Channel="All",E1325=sel_Channel),OR(sel_Customer="All",F1325=sel_Customer),OR(sel_Category="All",G1325=sel_Category),OR(sel_Product="All",H1325=sel_Product)),1,0)</f>
        <v/>
      </c>
    </row>
    <row r="1326">
      <c r="A1326" s="36" t="inlineStr">
        <is>
          <t>04768</t>
        </is>
      </c>
      <c r="B1326" s="44" t="n">
        <v>46213</v>
      </c>
      <c r="C1326" s="36" t="inlineStr">
        <is>
          <t>Central Europe</t>
        </is>
      </c>
      <c r="D1326" s="36" t="inlineStr">
        <is>
          <t>Czechia</t>
        </is>
      </c>
      <c r="E1326" s="36" t="inlineStr">
        <is>
          <t>Online Store</t>
        </is>
      </c>
      <c r="F1326" s="36" t="inlineStr">
        <is>
          <t>Business</t>
        </is>
      </c>
      <c r="G1326" s="36" t="inlineStr">
        <is>
          <t>Cycling</t>
        </is>
      </c>
      <c r="H1326" s="36" t="inlineStr">
        <is>
          <t>Cycling Pack 12L</t>
        </is>
      </c>
      <c r="I1326" s="36" t="n">
        <v>1</v>
      </c>
      <c r="J1326" s="39" t="n">
        <v>101.58</v>
      </c>
      <c r="K1326" s="45" t="n">
        <v>0</v>
      </c>
      <c r="L1326" s="39" t="n">
        <v>49.83</v>
      </c>
      <c r="M1326" s="39">
        <f>I1326*J1326*(1-K1326)</f>
        <v/>
      </c>
      <c r="N1326" s="39">
        <f>I1326*L1326</f>
        <v/>
      </c>
      <c r="O1326" s="39">
        <f>M1326-N1326</f>
        <v/>
      </c>
      <c r="P1326" s="38">
        <f>IF(M1326=0,0,O1326/M1326)</f>
        <v/>
      </c>
      <c r="Q1326" s="36">
        <f>YEAR(B1326)</f>
        <v/>
      </c>
      <c r="R1326" s="36">
        <f>"Q"&amp;ROUNDUP(MONTH(B1326)/3,0)</f>
        <v/>
      </c>
      <c r="S1326" s="36">
        <f>MONTH(B1326)</f>
        <v/>
      </c>
      <c r="T1326" s="36">
        <f>TEXT(B1326,"mmm")</f>
        <v/>
      </c>
      <c r="U1326" s="36">
        <f>IF(AND(OR(sel_Region="All",C1326=sel_Region),OR(sel_Country="All",D1326=sel_Country),OR(sel_Channel="All",E1326=sel_Channel),OR(sel_Customer="All",F1326=sel_Customer),OR(sel_Category="All",G1326=sel_Category),OR(sel_Product="All",H1326=sel_Product),AND(S1326&gt;=m_From,S1326&lt;=m_To)),1,0)</f>
        <v/>
      </c>
      <c r="V1326" s="36">
        <f>IF(AND(OR(sel_Region="All",C1326=sel_Region),OR(sel_Channel="All",E1326=sel_Channel),OR(sel_Customer="All",F1326=sel_Customer),OR(sel_Category="All",G1326=sel_Category),OR(sel_Product="All",H1326=sel_Product),AND(S1326&gt;=m_From,S1326&lt;=m_To)),1,0)</f>
        <v/>
      </c>
      <c r="W1326" s="36">
        <f>IF(AND(OR(sel_Region="All",C1326=sel_Region),OR(sel_Country="All",D1326=sel_Country),OR(sel_Customer="All",F1326=sel_Customer),OR(sel_Category="All",G1326=sel_Category),OR(sel_Product="All",H1326=sel_Product),AND(S1326&gt;=m_From,S1326&lt;=m_To)),1,0)</f>
        <v/>
      </c>
      <c r="X1326" s="36">
        <f>IF(AND(OR(sel_Region="All",C1326=sel_Region),OR(sel_Country="All",D1326=sel_Country),OR(sel_Channel="All",E1326=sel_Channel),OR(sel_Category="All",G1326=sel_Category),OR(sel_Product="All",H1326=sel_Product),AND(S1326&gt;=m_From,S1326&lt;=m_To)),1,0)</f>
        <v/>
      </c>
      <c r="Y1326" s="36">
        <f>IF(AND(OR(sel_Region="All",C1326=sel_Region),OR(sel_Country="All",D1326=sel_Country),OR(sel_Channel="All",E1326=sel_Channel),OR(sel_Customer="All",F1326=sel_Customer),OR(sel_Product="All",H1326=sel_Product),AND(S1326&gt;=m_From,S1326&lt;=m_To)),1,0)</f>
        <v/>
      </c>
      <c r="Z1326" s="36">
        <f>IF(AND(OR(sel_Region="All",C1326=sel_Region),OR(sel_Country="All",D1326=sel_Country),OR(sel_Channel="All",E1326=sel_Channel),OR(sel_Customer="All",F1326=sel_Customer),OR(sel_Category="All",G1326=sel_Category),AND(S1326&gt;=m_From,S1326&lt;=m_To)),1,0)</f>
        <v/>
      </c>
      <c r="AA1326" s="36">
        <f>IF(AND(OR(sel_Region="All",C1326=sel_Region),OR(sel_Country="All",D1326=sel_Country),OR(sel_Channel="All",E1326=sel_Channel),OR(sel_Customer="All",F1326=sel_Customer),OR(sel_Category="All",G1326=sel_Category),OR(sel_Product="All",H1326=sel_Product)),1,0)</f>
        <v/>
      </c>
    </row>
    <row r="1327">
      <c r="A1327" s="36" t="inlineStr">
        <is>
          <t>05025</t>
        </is>
      </c>
      <c r="B1327" s="44" t="n">
        <v>46213</v>
      </c>
      <c r="C1327" s="36" t="inlineStr">
        <is>
          <t>Northern Europe</t>
        </is>
      </c>
      <c r="D1327" s="36" t="inlineStr">
        <is>
          <t>Ireland</t>
        </is>
      </c>
      <c r="E1327" s="36" t="inlineStr">
        <is>
          <t>Online Store</t>
        </is>
      </c>
      <c r="F1327" s="36" t="inlineStr">
        <is>
          <t>Returning</t>
        </is>
      </c>
      <c r="G1327" s="36" t="inlineStr">
        <is>
          <t>Travel</t>
        </is>
      </c>
      <c r="H1327" s="36" t="inlineStr">
        <is>
          <t>Travel Backpack 35L</t>
        </is>
      </c>
      <c r="I1327" s="36" t="n">
        <v>4</v>
      </c>
      <c r="J1327" s="39" t="n">
        <v>166.71</v>
      </c>
      <c r="K1327" s="45" t="n">
        <v>0</v>
      </c>
      <c r="L1327" s="39" t="n">
        <v>86.55</v>
      </c>
      <c r="M1327" s="39">
        <f>I1327*J1327*(1-K1327)</f>
        <v/>
      </c>
      <c r="N1327" s="39">
        <f>I1327*L1327</f>
        <v/>
      </c>
      <c r="O1327" s="39">
        <f>M1327-N1327</f>
        <v/>
      </c>
      <c r="P1327" s="38">
        <f>IF(M1327=0,0,O1327/M1327)</f>
        <v/>
      </c>
      <c r="Q1327" s="36">
        <f>YEAR(B1327)</f>
        <v/>
      </c>
      <c r="R1327" s="36">
        <f>"Q"&amp;ROUNDUP(MONTH(B1327)/3,0)</f>
        <v/>
      </c>
      <c r="S1327" s="36">
        <f>MONTH(B1327)</f>
        <v/>
      </c>
      <c r="T1327" s="36">
        <f>TEXT(B1327,"mmm")</f>
        <v/>
      </c>
      <c r="U1327" s="36">
        <f>IF(AND(OR(sel_Region="All",C1327=sel_Region),OR(sel_Country="All",D1327=sel_Country),OR(sel_Channel="All",E1327=sel_Channel),OR(sel_Customer="All",F1327=sel_Customer),OR(sel_Category="All",G1327=sel_Category),OR(sel_Product="All",H1327=sel_Product),AND(S1327&gt;=m_From,S1327&lt;=m_To)),1,0)</f>
        <v/>
      </c>
      <c r="V1327" s="36">
        <f>IF(AND(OR(sel_Region="All",C1327=sel_Region),OR(sel_Channel="All",E1327=sel_Channel),OR(sel_Customer="All",F1327=sel_Customer),OR(sel_Category="All",G1327=sel_Category),OR(sel_Product="All",H1327=sel_Product),AND(S1327&gt;=m_From,S1327&lt;=m_To)),1,0)</f>
        <v/>
      </c>
      <c r="W1327" s="36">
        <f>IF(AND(OR(sel_Region="All",C1327=sel_Region),OR(sel_Country="All",D1327=sel_Country),OR(sel_Customer="All",F1327=sel_Customer),OR(sel_Category="All",G1327=sel_Category),OR(sel_Product="All",H1327=sel_Product),AND(S1327&gt;=m_From,S1327&lt;=m_To)),1,0)</f>
        <v/>
      </c>
      <c r="X1327" s="36">
        <f>IF(AND(OR(sel_Region="All",C1327=sel_Region),OR(sel_Country="All",D1327=sel_Country),OR(sel_Channel="All",E1327=sel_Channel),OR(sel_Category="All",G1327=sel_Category),OR(sel_Product="All",H1327=sel_Product),AND(S1327&gt;=m_From,S1327&lt;=m_To)),1,0)</f>
        <v/>
      </c>
      <c r="Y1327" s="36">
        <f>IF(AND(OR(sel_Region="All",C1327=sel_Region),OR(sel_Country="All",D1327=sel_Country),OR(sel_Channel="All",E1327=sel_Channel),OR(sel_Customer="All",F1327=sel_Customer),OR(sel_Product="All",H1327=sel_Product),AND(S1327&gt;=m_From,S1327&lt;=m_To)),1,0)</f>
        <v/>
      </c>
      <c r="Z1327" s="36">
        <f>IF(AND(OR(sel_Region="All",C1327=sel_Region),OR(sel_Country="All",D1327=sel_Country),OR(sel_Channel="All",E1327=sel_Channel),OR(sel_Customer="All",F1327=sel_Customer),OR(sel_Category="All",G1327=sel_Category),AND(S1327&gt;=m_From,S1327&lt;=m_To)),1,0)</f>
        <v/>
      </c>
      <c r="AA1327" s="36">
        <f>IF(AND(OR(sel_Region="All",C1327=sel_Region),OR(sel_Country="All",D1327=sel_Country),OR(sel_Channel="All",E1327=sel_Channel),OR(sel_Customer="All",F1327=sel_Customer),OR(sel_Category="All",G1327=sel_Category),OR(sel_Product="All",H1327=sel_Product)),1,0)</f>
        <v/>
      </c>
    </row>
    <row r="1328">
      <c r="A1328" s="36" t="inlineStr">
        <is>
          <t>00165</t>
        </is>
      </c>
      <c r="B1328" s="44" t="n">
        <v>46214</v>
      </c>
      <c r="C1328" s="36" t="inlineStr">
        <is>
          <t>Central Europe</t>
        </is>
      </c>
      <c r="D1328" s="36" t="inlineStr">
        <is>
          <t>Germany</t>
        </is>
      </c>
      <c r="E1328" s="36" t="inlineStr">
        <is>
          <t>Retail Partners</t>
        </is>
      </c>
      <c r="F1328" s="36" t="inlineStr">
        <is>
          <t>New</t>
        </is>
      </c>
      <c r="G1328" s="36" t="inlineStr">
        <is>
          <t>Cycling</t>
        </is>
      </c>
      <c r="H1328" s="36" t="inlineStr">
        <is>
          <t>Commuter Helmet</t>
        </is>
      </c>
      <c r="I1328" s="36" t="n">
        <v>2</v>
      </c>
      <c r="J1328" s="39" t="n">
        <v>83.33</v>
      </c>
      <c r="K1328" s="45" t="n">
        <v>0</v>
      </c>
      <c r="L1328" s="39" t="n">
        <v>42.11</v>
      </c>
      <c r="M1328" s="39">
        <f>I1328*J1328*(1-K1328)</f>
        <v/>
      </c>
      <c r="N1328" s="39">
        <f>I1328*L1328</f>
        <v/>
      </c>
      <c r="O1328" s="39">
        <f>M1328-N1328</f>
        <v/>
      </c>
      <c r="P1328" s="38">
        <f>IF(M1328=0,0,O1328/M1328)</f>
        <v/>
      </c>
      <c r="Q1328" s="36">
        <f>YEAR(B1328)</f>
        <v/>
      </c>
      <c r="R1328" s="36">
        <f>"Q"&amp;ROUNDUP(MONTH(B1328)/3,0)</f>
        <v/>
      </c>
      <c r="S1328" s="36">
        <f>MONTH(B1328)</f>
        <v/>
      </c>
      <c r="T1328" s="36">
        <f>TEXT(B1328,"mmm")</f>
        <v/>
      </c>
      <c r="U1328" s="36">
        <f>IF(AND(OR(sel_Region="All",C1328=sel_Region),OR(sel_Country="All",D1328=sel_Country),OR(sel_Channel="All",E1328=sel_Channel),OR(sel_Customer="All",F1328=sel_Customer),OR(sel_Category="All",G1328=sel_Category),OR(sel_Product="All",H1328=sel_Product),AND(S1328&gt;=m_From,S1328&lt;=m_To)),1,0)</f>
        <v/>
      </c>
      <c r="V1328" s="36">
        <f>IF(AND(OR(sel_Region="All",C1328=sel_Region),OR(sel_Channel="All",E1328=sel_Channel),OR(sel_Customer="All",F1328=sel_Customer),OR(sel_Category="All",G1328=sel_Category),OR(sel_Product="All",H1328=sel_Product),AND(S1328&gt;=m_From,S1328&lt;=m_To)),1,0)</f>
        <v/>
      </c>
      <c r="W1328" s="36">
        <f>IF(AND(OR(sel_Region="All",C1328=sel_Region),OR(sel_Country="All",D1328=sel_Country),OR(sel_Customer="All",F1328=sel_Customer),OR(sel_Category="All",G1328=sel_Category),OR(sel_Product="All",H1328=sel_Product),AND(S1328&gt;=m_From,S1328&lt;=m_To)),1,0)</f>
        <v/>
      </c>
      <c r="X1328" s="36">
        <f>IF(AND(OR(sel_Region="All",C1328=sel_Region),OR(sel_Country="All",D1328=sel_Country),OR(sel_Channel="All",E1328=sel_Channel),OR(sel_Category="All",G1328=sel_Category),OR(sel_Product="All",H1328=sel_Product),AND(S1328&gt;=m_From,S1328&lt;=m_To)),1,0)</f>
        <v/>
      </c>
      <c r="Y1328" s="36">
        <f>IF(AND(OR(sel_Region="All",C1328=sel_Region),OR(sel_Country="All",D1328=sel_Country),OR(sel_Channel="All",E1328=sel_Channel),OR(sel_Customer="All",F1328=sel_Customer),OR(sel_Product="All",H1328=sel_Product),AND(S1328&gt;=m_From,S1328&lt;=m_To)),1,0)</f>
        <v/>
      </c>
      <c r="Z1328" s="36">
        <f>IF(AND(OR(sel_Region="All",C1328=sel_Region),OR(sel_Country="All",D1328=sel_Country),OR(sel_Channel="All",E1328=sel_Channel),OR(sel_Customer="All",F1328=sel_Customer),OR(sel_Category="All",G1328=sel_Category),AND(S1328&gt;=m_From,S1328&lt;=m_To)),1,0)</f>
        <v/>
      </c>
      <c r="AA1328" s="36">
        <f>IF(AND(OR(sel_Region="All",C1328=sel_Region),OR(sel_Country="All",D1328=sel_Country),OR(sel_Channel="All",E1328=sel_Channel),OR(sel_Customer="All",F1328=sel_Customer),OR(sel_Category="All",G1328=sel_Category),OR(sel_Product="All",H1328=sel_Product)),1,0)</f>
        <v/>
      </c>
    </row>
    <row r="1329">
      <c r="A1329" s="36" t="inlineStr">
        <is>
          <t>00198</t>
        </is>
      </c>
      <c r="B1329" s="44" t="n">
        <v>46214</v>
      </c>
      <c r="C1329" s="36" t="inlineStr">
        <is>
          <t>Southern Europe</t>
        </is>
      </c>
      <c r="D1329" s="36" t="inlineStr">
        <is>
          <t>Italy</t>
        </is>
      </c>
      <c r="E1329" s="36" t="inlineStr">
        <is>
          <t>Online Store</t>
        </is>
      </c>
      <c r="F1329" s="36" t="inlineStr">
        <is>
          <t>New</t>
        </is>
      </c>
      <c r="G1329" s="36" t="inlineStr">
        <is>
          <t>Hiking</t>
        </is>
      </c>
      <c r="H1329" s="36" t="inlineStr">
        <is>
          <t>Trekking Poles</t>
        </is>
      </c>
      <c r="I1329" s="36" t="n">
        <v>2</v>
      </c>
      <c r="J1329" s="39" t="n">
        <v>71.77</v>
      </c>
      <c r="K1329" s="45" t="n">
        <v>0.05</v>
      </c>
      <c r="L1329" s="39" t="n">
        <v>32.9</v>
      </c>
      <c r="M1329" s="39">
        <f>I1329*J1329*(1-K1329)</f>
        <v/>
      </c>
      <c r="N1329" s="39">
        <f>I1329*L1329</f>
        <v/>
      </c>
      <c r="O1329" s="39">
        <f>M1329-N1329</f>
        <v/>
      </c>
      <c r="P1329" s="38">
        <f>IF(M1329=0,0,O1329/M1329)</f>
        <v/>
      </c>
      <c r="Q1329" s="36">
        <f>YEAR(B1329)</f>
        <v/>
      </c>
      <c r="R1329" s="36">
        <f>"Q"&amp;ROUNDUP(MONTH(B1329)/3,0)</f>
        <v/>
      </c>
      <c r="S1329" s="36">
        <f>MONTH(B1329)</f>
        <v/>
      </c>
      <c r="T1329" s="36">
        <f>TEXT(B1329,"mmm")</f>
        <v/>
      </c>
      <c r="U1329" s="36">
        <f>IF(AND(OR(sel_Region="All",C1329=sel_Region),OR(sel_Country="All",D1329=sel_Country),OR(sel_Channel="All",E1329=sel_Channel),OR(sel_Customer="All",F1329=sel_Customer),OR(sel_Category="All",G1329=sel_Category),OR(sel_Product="All",H1329=sel_Product),AND(S1329&gt;=m_From,S1329&lt;=m_To)),1,0)</f>
        <v/>
      </c>
      <c r="V1329" s="36">
        <f>IF(AND(OR(sel_Region="All",C1329=sel_Region),OR(sel_Channel="All",E1329=sel_Channel),OR(sel_Customer="All",F1329=sel_Customer),OR(sel_Category="All",G1329=sel_Category),OR(sel_Product="All",H1329=sel_Product),AND(S1329&gt;=m_From,S1329&lt;=m_To)),1,0)</f>
        <v/>
      </c>
      <c r="W1329" s="36">
        <f>IF(AND(OR(sel_Region="All",C1329=sel_Region),OR(sel_Country="All",D1329=sel_Country),OR(sel_Customer="All",F1329=sel_Customer),OR(sel_Category="All",G1329=sel_Category),OR(sel_Product="All",H1329=sel_Product),AND(S1329&gt;=m_From,S1329&lt;=m_To)),1,0)</f>
        <v/>
      </c>
      <c r="X1329" s="36">
        <f>IF(AND(OR(sel_Region="All",C1329=sel_Region),OR(sel_Country="All",D1329=sel_Country),OR(sel_Channel="All",E1329=sel_Channel),OR(sel_Category="All",G1329=sel_Category),OR(sel_Product="All",H1329=sel_Product),AND(S1329&gt;=m_From,S1329&lt;=m_To)),1,0)</f>
        <v/>
      </c>
      <c r="Y1329" s="36">
        <f>IF(AND(OR(sel_Region="All",C1329=sel_Region),OR(sel_Country="All",D1329=sel_Country),OR(sel_Channel="All",E1329=sel_Channel),OR(sel_Customer="All",F1329=sel_Customer),OR(sel_Product="All",H1329=sel_Product),AND(S1329&gt;=m_From,S1329&lt;=m_To)),1,0)</f>
        <v/>
      </c>
      <c r="Z1329" s="36">
        <f>IF(AND(OR(sel_Region="All",C1329=sel_Region),OR(sel_Country="All",D1329=sel_Country),OR(sel_Channel="All",E1329=sel_Channel),OR(sel_Customer="All",F1329=sel_Customer),OR(sel_Category="All",G1329=sel_Category),AND(S1329&gt;=m_From,S1329&lt;=m_To)),1,0)</f>
        <v/>
      </c>
      <c r="AA1329" s="36">
        <f>IF(AND(OR(sel_Region="All",C1329=sel_Region),OR(sel_Country="All",D1329=sel_Country),OR(sel_Channel="All",E1329=sel_Channel),OR(sel_Customer="All",F1329=sel_Customer),OR(sel_Category="All",G1329=sel_Category),OR(sel_Product="All",H1329=sel_Product)),1,0)</f>
        <v/>
      </c>
    </row>
    <row r="1330">
      <c r="A1330" s="36" t="inlineStr">
        <is>
          <t>01480</t>
        </is>
      </c>
      <c r="B1330" s="44" t="n">
        <v>46214</v>
      </c>
      <c r="C1330" s="36" t="inlineStr">
        <is>
          <t>Southern Europe</t>
        </is>
      </c>
      <c r="D1330" s="36" t="inlineStr">
        <is>
          <t>Italy</t>
        </is>
      </c>
      <c r="E1330" s="36" t="inlineStr">
        <is>
          <t>Online Store</t>
        </is>
      </c>
      <c r="F1330" s="36" t="inlineStr">
        <is>
          <t>New</t>
        </is>
      </c>
      <c r="G1330" s="36" t="inlineStr">
        <is>
          <t>Travel</t>
        </is>
      </c>
      <c r="H1330" s="36" t="inlineStr">
        <is>
          <t>Travel Backpack 35L</t>
        </is>
      </c>
      <c r="I1330" s="36" t="n">
        <v>3</v>
      </c>
      <c r="J1330" s="39" t="n">
        <v>164.5</v>
      </c>
      <c r="K1330" s="45" t="n">
        <v>0</v>
      </c>
      <c r="L1330" s="39" t="n">
        <v>87.06</v>
      </c>
      <c r="M1330" s="39">
        <f>I1330*J1330*(1-K1330)</f>
        <v/>
      </c>
      <c r="N1330" s="39">
        <f>I1330*L1330</f>
        <v/>
      </c>
      <c r="O1330" s="39">
        <f>M1330-N1330</f>
        <v/>
      </c>
      <c r="P1330" s="38">
        <f>IF(M1330=0,0,O1330/M1330)</f>
        <v/>
      </c>
      <c r="Q1330" s="36">
        <f>YEAR(B1330)</f>
        <v/>
      </c>
      <c r="R1330" s="36">
        <f>"Q"&amp;ROUNDUP(MONTH(B1330)/3,0)</f>
        <v/>
      </c>
      <c r="S1330" s="36">
        <f>MONTH(B1330)</f>
        <v/>
      </c>
      <c r="T1330" s="36">
        <f>TEXT(B1330,"mmm")</f>
        <v/>
      </c>
      <c r="U1330" s="36">
        <f>IF(AND(OR(sel_Region="All",C1330=sel_Region),OR(sel_Country="All",D1330=sel_Country),OR(sel_Channel="All",E1330=sel_Channel),OR(sel_Customer="All",F1330=sel_Customer),OR(sel_Category="All",G1330=sel_Category),OR(sel_Product="All",H1330=sel_Product),AND(S1330&gt;=m_From,S1330&lt;=m_To)),1,0)</f>
        <v/>
      </c>
      <c r="V1330" s="36">
        <f>IF(AND(OR(sel_Region="All",C1330=sel_Region),OR(sel_Channel="All",E1330=sel_Channel),OR(sel_Customer="All",F1330=sel_Customer),OR(sel_Category="All",G1330=sel_Category),OR(sel_Product="All",H1330=sel_Product),AND(S1330&gt;=m_From,S1330&lt;=m_To)),1,0)</f>
        <v/>
      </c>
      <c r="W1330" s="36">
        <f>IF(AND(OR(sel_Region="All",C1330=sel_Region),OR(sel_Country="All",D1330=sel_Country),OR(sel_Customer="All",F1330=sel_Customer),OR(sel_Category="All",G1330=sel_Category),OR(sel_Product="All",H1330=sel_Product),AND(S1330&gt;=m_From,S1330&lt;=m_To)),1,0)</f>
        <v/>
      </c>
      <c r="X1330" s="36">
        <f>IF(AND(OR(sel_Region="All",C1330=sel_Region),OR(sel_Country="All",D1330=sel_Country),OR(sel_Channel="All",E1330=sel_Channel),OR(sel_Category="All",G1330=sel_Category),OR(sel_Product="All",H1330=sel_Product),AND(S1330&gt;=m_From,S1330&lt;=m_To)),1,0)</f>
        <v/>
      </c>
      <c r="Y1330" s="36">
        <f>IF(AND(OR(sel_Region="All",C1330=sel_Region),OR(sel_Country="All",D1330=sel_Country),OR(sel_Channel="All",E1330=sel_Channel),OR(sel_Customer="All",F1330=sel_Customer),OR(sel_Product="All",H1330=sel_Product),AND(S1330&gt;=m_From,S1330&lt;=m_To)),1,0)</f>
        <v/>
      </c>
      <c r="Z1330" s="36">
        <f>IF(AND(OR(sel_Region="All",C1330=sel_Region),OR(sel_Country="All",D1330=sel_Country),OR(sel_Channel="All",E1330=sel_Channel),OR(sel_Customer="All",F1330=sel_Customer),OR(sel_Category="All",G1330=sel_Category),AND(S1330&gt;=m_From,S1330&lt;=m_To)),1,0)</f>
        <v/>
      </c>
      <c r="AA1330" s="36">
        <f>IF(AND(OR(sel_Region="All",C1330=sel_Region),OR(sel_Country="All",D1330=sel_Country),OR(sel_Channel="All",E1330=sel_Channel),OR(sel_Customer="All",F1330=sel_Customer),OR(sel_Category="All",G1330=sel_Category),OR(sel_Product="All",H1330=sel_Product)),1,0)</f>
        <v/>
      </c>
    </row>
    <row r="1331">
      <c r="A1331" s="36" t="inlineStr">
        <is>
          <t>01990</t>
        </is>
      </c>
      <c r="B1331" s="44" t="n">
        <v>46214</v>
      </c>
      <c r="C1331" s="36" t="inlineStr">
        <is>
          <t>Southern Europe</t>
        </is>
      </c>
      <c r="D1331" s="36" t="inlineStr">
        <is>
          <t>Italy</t>
        </is>
      </c>
      <c r="E1331" s="36" t="inlineStr">
        <is>
          <t>Online Store</t>
        </is>
      </c>
      <c r="F1331" s="36" t="inlineStr">
        <is>
          <t>Returning</t>
        </is>
      </c>
      <c r="G1331" s="36" t="inlineStr">
        <is>
          <t>Camping</t>
        </is>
      </c>
      <c r="H1331" s="36" t="inlineStr">
        <is>
          <t>Portable Camp Stove</t>
        </is>
      </c>
      <c r="I1331" s="36" t="n">
        <v>3</v>
      </c>
      <c r="J1331" s="39" t="n">
        <v>82.28</v>
      </c>
      <c r="K1331" s="45" t="n">
        <v>0.1</v>
      </c>
      <c r="L1331" s="39" t="n">
        <v>39.51</v>
      </c>
      <c r="M1331" s="39">
        <f>I1331*J1331*(1-K1331)</f>
        <v/>
      </c>
      <c r="N1331" s="39">
        <f>I1331*L1331</f>
        <v/>
      </c>
      <c r="O1331" s="39">
        <f>M1331-N1331</f>
        <v/>
      </c>
      <c r="P1331" s="38">
        <f>IF(M1331=0,0,O1331/M1331)</f>
        <v/>
      </c>
      <c r="Q1331" s="36">
        <f>YEAR(B1331)</f>
        <v/>
      </c>
      <c r="R1331" s="36">
        <f>"Q"&amp;ROUNDUP(MONTH(B1331)/3,0)</f>
        <v/>
      </c>
      <c r="S1331" s="36">
        <f>MONTH(B1331)</f>
        <v/>
      </c>
      <c r="T1331" s="36">
        <f>TEXT(B1331,"mmm")</f>
        <v/>
      </c>
      <c r="U1331" s="36">
        <f>IF(AND(OR(sel_Region="All",C1331=sel_Region),OR(sel_Country="All",D1331=sel_Country),OR(sel_Channel="All",E1331=sel_Channel),OR(sel_Customer="All",F1331=sel_Customer),OR(sel_Category="All",G1331=sel_Category),OR(sel_Product="All",H1331=sel_Product),AND(S1331&gt;=m_From,S1331&lt;=m_To)),1,0)</f>
        <v/>
      </c>
      <c r="V1331" s="36">
        <f>IF(AND(OR(sel_Region="All",C1331=sel_Region),OR(sel_Channel="All",E1331=sel_Channel),OR(sel_Customer="All",F1331=sel_Customer),OR(sel_Category="All",G1331=sel_Category),OR(sel_Product="All",H1331=sel_Product),AND(S1331&gt;=m_From,S1331&lt;=m_To)),1,0)</f>
        <v/>
      </c>
      <c r="W1331" s="36">
        <f>IF(AND(OR(sel_Region="All",C1331=sel_Region),OR(sel_Country="All",D1331=sel_Country),OR(sel_Customer="All",F1331=sel_Customer),OR(sel_Category="All",G1331=sel_Category),OR(sel_Product="All",H1331=sel_Product),AND(S1331&gt;=m_From,S1331&lt;=m_To)),1,0)</f>
        <v/>
      </c>
      <c r="X1331" s="36">
        <f>IF(AND(OR(sel_Region="All",C1331=sel_Region),OR(sel_Country="All",D1331=sel_Country),OR(sel_Channel="All",E1331=sel_Channel),OR(sel_Category="All",G1331=sel_Category),OR(sel_Product="All",H1331=sel_Product),AND(S1331&gt;=m_From,S1331&lt;=m_To)),1,0)</f>
        <v/>
      </c>
      <c r="Y1331" s="36">
        <f>IF(AND(OR(sel_Region="All",C1331=sel_Region),OR(sel_Country="All",D1331=sel_Country),OR(sel_Channel="All",E1331=sel_Channel),OR(sel_Customer="All",F1331=sel_Customer),OR(sel_Product="All",H1331=sel_Product),AND(S1331&gt;=m_From,S1331&lt;=m_To)),1,0)</f>
        <v/>
      </c>
      <c r="Z1331" s="36">
        <f>IF(AND(OR(sel_Region="All",C1331=sel_Region),OR(sel_Country="All",D1331=sel_Country),OR(sel_Channel="All",E1331=sel_Channel),OR(sel_Customer="All",F1331=sel_Customer),OR(sel_Category="All",G1331=sel_Category),AND(S1331&gt;=m_From,S1331&lt;=m_To)),1,0)</f>
        <v/>
      </c>
      <c r="AA1331" s="36">
        <f>IF(AND(OR(sel_Region="All",C1331=sel_Region),OR(sel_Country="All",D1331=sel_Country),OR(sel_Channel="All",E1331=sel_Channel),OR(sel_Customer="All",F1331=sel_Customer),OR(sel_Category="All",G1331=sel_Category),OR(sel_Product="All",H1331=sel_Product)),1,0)</f>
        <v/>
      </c>
    </row>
    <row r="1332">
      <c r="A1332" s="36" t="inlineStr">
        <is>
          <t>02298</t>
        </is>
      </c>
      <c r="B1332" s="44" t="n">
        <v>46214</v>
      </c>
      <c r="C1332" s="36" t="inlineStr">
        <is>
          <t>Northern Europe</t>
        </is>
      </c>
      <c r="D1332" s="36" t="inlineStr">
        <is>
          <t>Sweden</t>
        </is>
      </c>
      <c r="E1332" s="36" t="inlineStr">
        <is>
          <t>Retail Partners</t>
        </is>
      </c>
      <c r="F1332" s="36" t="inlineStr">
        <is>
          <t>New</t>
        </is>
      </c>
      <c r="G1332" s="36" t="inlineStr">
        <is>
          <t>Cycling</t>
        </is>
      </c>
      <c r="H1332" s="36" t="inlineStr">
        <is>
          <t>Cycling Pack 12L</t>
        </is>
      </c>
      <c r="I1332" s="36" t="n">
        <v>2</v>
      </c>
      <c r="J1332" s="39" t="n">
        <v>103.17</v>
      </c>
      <c r="K1332" s="45" t="n">
        <v>0</v>
      </c>
      <c r="L1332" s="39" t="n">
        <v>50.49</v>
      </c>
      <c r="M1332" s="39">
        <f>I1332*J1332*(1-K1332)</f>
        <v/>
      </c>
      <c r="N1332" s="39">
        <f>I1332*L1332</f>
        <v/>
      </c>
      <c r="O1332" s="39">
        <f>M1332-N1332</f>
        <v/>
      </c>
      <c r="P1332" s="38">
        <f>IF(M1332=0,0,O1332/M1332)</f>
        <v/>
      </c>
      <c r="Q1332" s="36">
        <f>YEAR(B1332)</f>
        <v/>
      </c>
      <c r="R1332" s="36">
        <f>"Q"&amp;ROUNDUP(MONTH(B1332)/3,0)</f>
        <v/>
      </c>
      <c r="S1332" s="36">
        <f>MONTH(B1332)</f>
        <v/>
      </c>
      <c r="T1332" s="36">
        <f>TEXT(B1332,"mmm")</f>
        <v/>
      </c>
      <c r="U1332" s="36">
        <f>IF(AND(OR(sel_Region="All",C1332=sel_Region),OR(sel_Country="All",D1332=sel_Country),OR(sel_Channel="All",E1332=sel_Channel),OR(sel_Customer="All",F1332=sel_Customer),OR(sel_Category="All",G1332=sel_Category),OR(sel_Product="All",H1332=sel_Product),AND(S1332&gt;=m_From,S1332&lt;=m_To)),1,0)</f>
        <v/>
      </c>
      <c r="V1332" s="36">
        <f>IF(AND(OR(sel_Region="All",C1332=sel_Region),OR(sel_Channel="All",E1332=sel_Channel),OR(sel_Customer="All",F1332=sel_Customer),OR(sel_Category="All",G1332=sel_Category),OR(sel_Product="All",H1332=sel_Product),AND(S1332&gt;=m_From,S1332&lt;=m_To)),1,0)</f>
        <v/>
      </c>
      <c r="W1332" s="36">
        <f>IF(AND(OR(sel_Region="All",C1332=sel_Region),OR(sel_Country="All",D1332=sel_Country),OR(sel_Customer="All",F1332=sel_Customer),OR(sel_Category="All",G1332=sel_Category),OR(sel_Product="All",H1332=sel_Product),AND(S1332&gt;=m_From,S1332&lt;=m_To)),1,0)</f>
        <v/>
      </c>
      <c r="X1332" s="36">
        <f>IF(AND(OR(sel_Region="All",C1332=sel_Region),OR(sel_Country="All",D1332=sel_Country),OR(sel_Channel="All",E1332=sel_Channel),OR(sel_Category="All",G1332=sel_Category),OR(sel_Product="All",H1332=sel_Product),AND(S1332&gt;=m_From,S1332&lt;=m_To)),1,0)</f>
        <v/>
      </c>
      <c r="Y1332" s="36">
        <f>IF(AND(OR(sel_Region="All",C1332=sel_Region),OR(sel_Country="All",D1332=sel_Country),OR(sel_Channel="All",E1332=sel_Channel),OR(sel_Customer="All",F1332=sel_Customer),OR(sel_Product="All",H1332=sel_Product),AND(S1332&gt;=m_From,S1332&lt;=m_To)),1,0)</f>
        <v/>
      </c>
      <c r="Z1332" s="36">
        <f>IF(AND(OR(sel_Region="All",C1332=sel_Region),OR(sel_Country="All",D1332=sel_Country),OR(sel_Channel="All",E1332=sel_Channel),OR(sel_Customer="All",F1332=sel_Customer),OR(sel_Category="All",G1332=sel_Category),AND(S1332&gt;=m_From,S1332&lt;=m_To)),1,0)</f>
        <v/>
      </c>
      <c r="AA1332" s="36">
        <f>IF(AND(OR(sel_Region="All",C1332=sel_Region),OR(sel_Country="All",D1332=sel_Country),OR(sel_Channel="All",E1332=sel_Channel),OR(sel_Customer="All",F1332=sel_Customer),OR(sel_Category="All",G1332=sel_Category),OR(sel_Product="All",H1332=sel_Product)),1,0)</f>
        <v/>
      </c>
    </row>
    <row r="1333">
      <c r="A1333" s="36" t="inlineStr">
        <is>
          <t>02886</t>
        </is>
      </c>
      <c r="B1333" s="44" t="n">
        <v>46214</v>
      </c>
      <c r="C1333" s="36" t="inlineStr">
        <is>
          <t>Southern Europe</t>
        </is>
      </c>
      <c r="D1333" s="36" t="inlineStr">
        <is>
          <t>Italy</t>
        </is>
      </c>
      <c r="E1333" s="36" t="inlineStr">
        <is>
          <t>Online Store</t>
        </is>
      </c>
      <c r="F1333" s="36" t="inlineStr">
        <is>
          <t>New</t>
        </is>
      </c>
      <c r="G1333" s="36" t="inlineStr">
        <is>
          <t>Cycling</t>
        </is>
      </c>
      <c r="H1333" s="36" t="inlineStr">
        <is>
          <t>Trail Bike Light</t>
        </is>
      </c>
      <c r="I1333" s="36" t="n">
        <v>1</v>
      </c>
      <c r="J1333" s="39" t="n">
        <v>50.33</v>
      </c>
      <c r="K1333" s="45" t="n">
        <v>0.05</v>
      </c>
      <c r="L1333" s="39" t="n">
        <v>22.06</v>
      </c>
      <c r="M1333" s="39">
        <f>I1333*J1333*(1-K1333)</f>
        <v/>
      </c>
      <c r="N1333" s="39">
        <f>I1333*L1333</f>
        <v/>
      </c>
      <c r="O1333" s="39">
        <f>M1333-N1333</f>
        <v/>
      </c>
      <c r="P1333" s="38">
        <f>IF(M1333=0,0,O1333/M1333)</f>
        <v/>
      </c>
      <c r="Q1333" s="36">
        <f>YEAR(B1333)</f>
        <v/>
      </c>
      <c r="R1333" s="36">
        <f>"Q"&amp;ROUNDUP(MONTH(B1333)/3,0)</f>
        <v/>
      </c>
      <c r="S1333" s="36">
        <f>MONTH(B1333)</f>
        <v/>
      </c>
      <c r="T1333" s="36">
        <f>TEXT(B1333,"mmm")</f>
        <v/>
      </c>
      <c r="U1333" s="36">
        <f>IF(AND(OR(sel_Region="All",C1333=sel_Region),OR(sel_Country="All",D1333=sel_Country),OR(sel_Channel="All",E1333=sel_Channel),OR(sel_Customer="All",F1333=sel_Customer),OR(sel_Category="All",G1333=sel_Category),OR(sel_Product="All",H1333=sel_Product),AND(S1333&gt;=m_From,S1333&lt;=m_To)),1,0)</f>
        <v/>
      </c>
      <c r="V1333" s="36">
        <f>IF(AND(OR(sel_Region="All",C1333=sel_Region),OR(sel_Channel="All",E1333=sel_Channel),OR(sel_Customer="All",F1333=sel_Customer),OR(sel_Category="All",G1333=sel_Category),OR(sel_Product="All",H1333=sel_Product),AND(S1333&gt;=m_From,S1333&lt;=m_To)),1,0)</f>
        <v/>
      </c>
      <c r="W1333" s="36">
        <f>IF(AND(OR(sel_Region="All",C1333=sel_Region),OR(sel_Country="All",D1333=sel_Country),OR(sel_Customer="All",F1333=sel_Customer),OR(sel_Category="All",G1333=sel_Category),OR(sel_Product="All",H1333=sel_Product),AND(S1333&gt;=m_From,S1333&lt;=m_To)),1,0)</f>
        <v/>
      </c>
      <c r="X1333" s="36">
        <f>IF(AND(OR(sel_Region="All",C1333=sel_Region),OR(sel_Country="All",D1333=sel_Country),OR(sel_Channel="All",E1333=sel_Channel),OR(sel_Category="All",G1333=sel_Category),OR(sel_Product="All",H1333=sel_Product),AND(S1333&gt;=m_From,S1333&lt;=m_To)),1,0)</f>
        <v/>
      </c>
      <c r="Y1333" s="36">
        <f>IF(AND(OR(sel_Region="All",C1333=sel_Region),OR(sel_Country="All",D1333=sel_Country),OR(sel_Channel="All",E1333=sel_Channel),OR(sel_Customer="All",F1333=sel_Customer),OR(sel_Product="All",H1333=sel_Product),AND(S1333&gt;=m_From,S1333&lt;=m_To)),1,0)</f>
        <v/>
      </c>
      <c r="Z1333" s="36">
        <f>IF(AND(OR(sel_Region="All",C1333=sel_Region),OR(sel_Country="All",D1333=sel_Country),OR(sel_Channel="All",E1333=sel_Channel),OR(sel_Customer="All",F1333=sel_Customer),OR(sel_Category="All",G1333=sel_Category),AND(S1333&gt;=m_From,S1333&lt;=m_To)),1,0)</f>
        <v/>
      </c>
      <c r="AA1333" s="36">
        <f>IF(AND(OR(sel_Region="All",C1333=sel_Region),OR(sel_Country="All",D1333=sel_Country),OR(sel_Channel="All",E1333=sel_Channel),OR(sel_Customer="All",F1333=sel_Customer),OR(sel_Category="All",G1333=sel_Category),OR(sel_Product="All",H1333=sel_Product)),1,0)</f>
        <v/>
      </c>
    </row>
    <row r="1334">
      <c r="A1334" s="36" t="inlineStr">
        <is>
          <t>02893</t>
        </is>
      </c>
      <c r="B1334" s="44" t="n">
        <v>46214</v>
      </c>
      <c r="C1334" s="36" t="inlineStr">
        <is>
          <t>Central Europe</t>
        </is>
      </c>
      <c r="D1334" s="36" t="inlineStr">
        <is>
          <t>Switzerland</t>
        </is>
      </c>
      <c r="E1334" s="36" t="inlineStr">
        <is>
          <t>Corporate</t>
        </is>
      </c>
      <c r="F1334" s="36" t="inlineStr">
        <is>
          <t>Business</t>
        </is>
      </c>
      <c r="G1334" s="36" t="inlineStr">
        <is>
          <t>Hiking</t>
        </is>
      </c>
      <c r="H1334" s="36" t="inlineStr">
        <is>
          <t>Trail Boots</t>
        </is>
      </c>
      <c r="I1334" s="36" t="n">
        <v>6</v>
      </c>
      <c r="J1334" s="39" t="n">
        <v>142.78</v>
      </c>
      <c r="K1334" s="45" t="n">
        <v>0.15</v>
      </c>
      <c r="L1334" s="39" t="n">
        <v>80.38</v>
      </c>
      <c r="M1334" s="39">
        <f>I1334*J1334*(1-K1334)</f>
        <v/>
      </c>
      <c r="N1334" s="39">
        <f>I1334*L1334</f>
        <v/>
      </c>
      <c r="O1334" s="39">
        <f>M1334-N1334</f>
        <v/>
      </c>
      <c r="P1334" s="38">
        <f>IF(M1334=0,0,O1334/M1334)</f>
        <v/>
      </c>
      <c r="Q1334" s="36">
        <f>YEAR(B1334)</f>
        <v/>
      </c>
      <c r="R1334" s="36">
        <f>"Q"&amp;ROUNDUP(MONTH(B1334)/3,0)</f>
        <v/>
      </c>
      <c r="S1334" s="36">
        <f>MONTH(B1334)</f>
        <v/>
      </c>
      <c r="T1334" s="36">
        <f>TEXT(B1334,"mmm")</f>
        <v/>
      </c>
      <c r="U1334" s="36">
        <f>IF(AND(OR(sel_Region="All",C1334=sel_Region),OR(sel_Country="All",D1334=sel_Country),OR(sel_Channel="All",E1334=sel_Channel),OR(sel_Customer="All",F1334=sel_Customer),OR(sel_Category="All",G1334=sel_Category),OR(sel_Product="All",H1334=sel_Product),AND(S1334&gt;=m_From,S1334&lt;=m_To)),1,0)</f>
        <v/>
      </c>
      <c r="V1334" s="36">
        <f>IF(AND(OR(sel_Region="All",C1334=sel_Region),OR(sel_Channel="All",E1334=sel_Channel),OR(sel_Customer="All",F1334=sel_Customer),OR(sel_Category="All",G1334=sel_Category),OR(sel_Product="All",H1334=sel_Product),AND(S1334&gt;=m_From,S1334&lt;=m_To)),1,0)</f>
        <v/>
      </c>
      <c r="W1334" s="36">
        <f>IF(AND(OR(sel_Region="All",C1334=sel_Region),OR(sel_Country="All",D1334=sel_Country),OR(sel_Customer="All",F1334=sel_Customer),OR(sel_Category="All",G1334=sel_Category),OR(sel_Product="All",H1334=sel_Product),AND(S1334&gt;=m_From,S1334&lt;=m_To)),1,0)</f>
        <v/>
      </c>
      <c r="X1334" s="36">
        <f>IF(AND(OR(sel_Region="All",C1334=sel_Region),OR(sel_Country="All",D1334=sel_Country),OR(sel_Channel="All",E1334=sel_Channel),OR(sel_Category="All",G1334=sel_Category),OR(sel_Product="All",H1334=sel_Product),AND(S1334&gt;=m_From,S1334&lt;=m_To)),1,0)</f>
        <v/>
      </c>
      <c r="Y1334" s="36">
        <f>IF(AND(OR(sel_Region="All",C1334=sel_Region),OR(sel_Country="All",D1334=sel_Country),OR(sel_Channel="All",E1334=sel_Channel),OR(sel_Customer="All",F1334=sel_Customer),OR(sel_Product="All",H1334=sel_Product),AND(S1334&gt;=m_From,S1334&lt;=m_To)),1,0)</f>
        <v/>
      </c>
      <c r="Z1334" s="36">
        <f>IF(AND(OR(sel_Region="All",C1334=sel_Region),OR(sel_Country="All",D1334=sel_Country),OR(sel_Channel="All",E1334=sel_Channel),OR(sel_Customer="All",F1334=sel_Customer),OR(sel_Category="All",G1334=sel_Category),AND(S1334&gt;=m_From,S1334&lt;=m_To)),1,0)</f>
        <v/>
      </c>
      <c r="AA1334" s="36">
        <f>IF(AND(OR(sel_Region="All",C1334=sel_Region),OR(sel_Country="All",D1334=sel_Country),OR(sel_Channel="All",E1334=sel_Channel),OR(sel_Customer="All",F1334=sel_Customer),OR(sel_Category="All",G1334=sel_Category),OR(sel_Product="All",H1334=sel_Product)),1,0)</f>
        <v/>
      </c>
    </row>
    <row r="1335">
      <c r="A1335" s="36" t="inlineStr">
        <is>
          <t>02939</t>
        </is>
      </c>
      <c r="B1335" s="44" t="n">
        <v>46214</v>
      </c>
      <c r="C1335" s="36" t="inlineStr">
        <is>
          <t>Central Europe</t>
        </is>
      </c>
      <c r="D1335" s="36" t="inlineStr">
        <is>
          <t>Austria</t>
        </is>
      </c>
      <c r="E1335" s="36" t="inlineStr">
        <is>
          <t>Online Store</t>
        </is>
      </c>
      <c r="F1335" s="36" t="inlineStr">
        <is>
          <t>New</t>
        </is>
      </c>
      <c r="G1335" s="36" t="inlineStr">
        <is>
          <t>Camping</t>
        </is>
      </c>
      <c r="H1335" s="36" t="inlineStr">
        <is>
          <t>Trail Tent 2P</t>
        </is>
      </c>
      <c r="I1335" s="36" t="n">
        <v>1</v>
      </c>
      <c r="J1335" s="39" t="n">
        <v>195.38</v>
      </c>
      <c r="K1335" s="45" t="n">
        <v>0.05</v>
      </c>
      <c r="L1335" s="39" t="n">
        <v>101.67</v>
      </c>
      <c r="M1335" s="39">
        <f>I1335*J1335*(1-K1335)</f>
        <v/>
      </c>
      <c r="N1335" s="39">
        <f>I1335*L1335</f>
        <v/>
      </c>
      <c r="O1335" s="39">
        <f>M1335-N1335</f>
        <v/>
      </c>
      <c r="P1335" s="38">
        <f>IF(M1335=0,0,O1335/M1335)</f>
        <v/>
      </c>
      <c r="Q1335" s="36">
        <f>YEAR(B1335)</f>
        <v/>
      </c>
      <c r="R1335" s="36">
        <f>"Q"&amp;ROUNDUP(MONTH(B1335)/3,0)</f>
        <v/>
      </c>
      <c r="S1335" s="36">
        <f>MONTH(B1335)</f>
        <v/>
      </c>
      <c r="T1335" s="36">
        <f>TEXT(B1335,"mmm")</f>
        <v/>
      </c>
      <c r="U1335" s="36">
        <f>IF(AND(OR(sel_Region="All",C1335=sel_Region),OR(sel_Country="All",D1335=sel_Country),OR(sel_Channel="All",E1335=sel_Channel),OR(sel_Customer="All",F1335=sel_Customer),OR(sel_Category="All",G1335=sel_Category),OR(sel_Product="All",H1335=sel_Product),AND(S1335&gt;=m_From,S1335&lt;=m_To)),1,0)</f>
        <v/>
      </c>
      <c r="V1335" s="36">
        <f>IF(AND(OR(sel_Region="All",C1335=sel_Region),OR(sel_Channel="All",E1335=sel_Channel),OR(sel_Customer="All",F1335=sel_Customer),OR(sel_Category="All",G1335=sel_Category),OR(sel_Product="All",H1335=sel_Product),AND(S1335&gt;=m_From,S1335&lt;=m_To)),1,0)</f>
        <v/>
      </c>
      <c r="W1335" s="36">
        <f>IF(AND(OR(sel_Region="All",C1335=sel_Region),OR(sel_Country="All",D1335=sel_Country),OR(sel_Customer="All",F1335=sel_Customer),OR(sel_Category="All",G1335=sel_Category),OR(sel_Product="All",H1335=sel_Product),AND(S1335&gt;=m_From,S1335&lt;=m_To)),1,0)</f>
        <v/>
      </c>
      <c r="X1335" s="36">
        <f>IF(AND(OR(sel_Region="All",C1335=sel_Region),OR(sel_Country="All",D1335=sel_Country),OR(sel_Channel="All",E1335=sel_Channel),OR(sel_Category="All",G1335=sel_Category),OR(sel_Product="All",H1335=sel_Product),AND(S1335&gt;=m_From,S1335&lt;=m_To)),1,0)</f>
        <v/>
      </c>
      <c r="Y1335" s="36">
        <f>IF(AND(OR(sel_Region="All",C1335=sel_Region),OR(sel_Country="All",D1335=sel_Country),OR(sel_Channel="All",E1335=sel_Channel),OR(sel_Customer="All",F1335=sel_Customer),OR(sel_Product="All",H1335=sel_Product),AND(S1335&gt;=m_From,S1335&lt;=m_To)),1,0)</f>
        <v/>
      </c>
      <c r="Z1335" s="36">
        <f>IF(AND(OR(sel_Region="All",C1335=sel_Region),OR(sel_Country="All",D1335=sel_Country),OR(sel_Channel="All",E1335=sel_Channel),OR(sel_Customer="All",F1335=sel_Customer),OR(sel_Category="All",G1335=sel_Category),AND(S1335&gt;=m_From,S1335&lt;=m_To)),1,0)</f>
        <v/>
      </c>
      <c r="AA1335" s="36">
        <f>IF(AND(OR(sel_Region="All",C1335=sel_Region),OR(sel_Country="All",D1335=sel_Country),OR(sel_Channel="All",E1335=sel_Channel),OR(sel_Customer="All",F1335=sel_Customer),OR(sel_Category="All",G1335=sel_Category),OR(sel_Product="All",H1335=sel_Product)),1,0)</f>
        <v/>
      </c>
    </row>
    <row r="1336">
      <c r="A1336" s="36" t="inlineStr">
        <is>
          <t>03249</t>
        </is>
      </c>
      <c r="B1336" s="44" t="n">
        <v>46214</v>
      </c>
      <c r="C1336" s="36" t="inlineStr">
        <is>
          <t>Western Europe</t>
        </is>
      </c>
      <c r="D1336" s="36" t="inlineStr">
        <is>
          <t>Belgium</t>
        </is>
      </c>
      <c r="E1336" s="36" t="inlineStr">
        <is>
          <t>Retail Partners</t>
        </is>
      </c>
      <c r="F1336" s="36" t="inlineStr">
        <is>
          <t>Returning</t>
        </is>
      </c>
      <c r="G1336" s="36" t="inlineStr">
        <is>
          <t>Cycling</t>
        </is>
      </c>
      <c r="H1336" s="36" t="inlineStr">
        <is>
          <t>Cycling Pack 12L</t>
        </is>
      </c>
      <c r="I1336" s="36" t="n">
        <v>5</v>
      </c>
      <c r="J1336" s="39" t="n">
        <v>104.8</v>
      </c>
      <c r="K1336" s="45" t="n">
        <v>0</v>
      </c>
      <c r="L1336" s="39" t="n">
        <v>50.94</v>
      </c>
      <c r="M1336" s="39">
        <f>I1336*J1336*(1-K1336)</f>
        <v/>
      </c>
      <c r="N1336" s="39">
        <f>I1336*L1336</f>
        <v/>
      </c>
      <c r="O1336" s="39">
        <f>M1336-N1336</f>
        <v/>
      </c>
      <c r="P1336" s="38">
        <f>IF(M1336=0,0,O1336/M1336)</f>
        <v/>
      </c>
      <c r="Q1336" s="36">
        <f>YEAR(B1336)</f>
        <v/>
      </c>
      <c r="R1336" s="36">
        <f>"Q"&amp;ROUNDUP(MONTH(B1336)/3,0)</f>
        <v/>
      </c>
      <c r="S1336" s="36">
        <f>MONTH(B1336)</f>
        <v/>
      </c>
      <c r="T1336" s="36">
        <f>TEXT(B1336,"mmm")</f>
        <v/>
      </c>
      <c r="U1336" s="36">
        <f>IF(AND(OR(sel_Region="All",C1336=sel_Region),OR(sel_Country="All",D1336=sel_Country),OR(sel_Channel="All",E1336=sel_Channel),OR(sel_Customer="All",F1336=sel_Customer),OR(sel_Category="All",G1336=sel_Category),OR(sel_Product="All",H1336=sel_Product),AND(S1336&gt;=m_From,S1336&lt;=m_To)),1,0)</f>
        <v/>
      </c>
      <c r="V1336" s="36">
        <f>IF(AND(OR(sel_Region="All",C1336=sel_Region),OR(sel_Channel="All",E1336=sel_Channel),OR(sel_Customer="All",F1336=sel_Customer),OR(sel_Category="All",G1336=sel_Category),OR(sel_Product="All",H1336=sel_Product),AND(S1336&gt;=m_From,S1336&lt;=m_To)),1,0)</f>
        <v/>
      </c>
      <c r="W1336" s="36">
        <f>IF(AND(OR(sel_Region="All",C1336=sel_Region),OR(sel_Country="All",D1336=sel_Country),OR(sel_Customer="All",F1336=sel_Customer),OR(sel_Category="All",G1336=sel_Category),OR(sel_Product="All",H1336=sel_Product),AND(S1336&gt;=m_From,S1336&lt;=m_To)),1,0)</f>
        <v/>
      </c>
      <c r="X1336" s="36">
        <f>IF(AND(OR(sel_Region="All",C1336=sel_Region),OR(sel_Country="All",D1336=sel_Country),OR(sel_Channel="All",E1336=sel_Channel),OR(sel_Category="All",G1336=sel_Category),OR(sel_Product="All",H1336=sel_Product),AND(S1336&gt;=m_From,S1336&lt;=m_To)),1,0)</f>
        <v/>
      </c>
      <c r="Y1336" s="36">
        <f>IF(AND(OR(sel_Region="All",C1336=sel_Region),OR(sel_Country="All",D1336=sel_Country),OR(sel_Channel="All",E1336=sel_Channel),OR(sel_Customer="All",F1336=sel_Customer),OR(sel_Product="All",H1336=sel_Product),AND(S1336&gt;=m_From,S1336&lt;=m_To)),1,0)</f>
        <v/>
      </c>
      <c r="Z1336" s="36">
        <f>IF(AND(OR(sel_Region="All",C1336=sel_Region),OR(sel_Country="All",D1336=sel_Country),OR(sel_Channel="All",E1336=sel_Channel),OR(sel_Customer="All",F1336=sel_Customer),OR(sel_Category="All",G1336=sel_Category),AND(S1336&gt;=m_From,S1336&lt;=m_To)),1,0)</f>
        <v/>
      </c>
      <c r="AA1336" s="36">
        <f>IF(AND(OR(sel_Region="All",C1336=sel_Region),OR(sel_Country="All",D1336=sel_Country),OR(sel_Channel="All",E1336=sel_Channel),OR(sel_Customer="All",F1336=sel_Customer),OR(sel_Category="All",G1336=sel_Category),OR(sel_Product="All",H1336=sel_Product)),1,0)</f>
        <v/>
      </c>
    </row>
    <row r="1337">
      <c r="A1337" s="36" t="inlineStr">
        <is>
          <t>03832</t>
        </is>
      </c>
      <c r="B1337" s="44" t="n">
        <v>46214</v>
      </c>
      <c r="C1337" s="36" t="inlineStr">
        <is>
          <t>Western Europe</t>
        </is>
      </c>
      <c r="D1337" s="36" t="inlineStr">
        <is>
          <t>Netherlands</t>
        </is>
      </c>
      <c r="E1337" s="36" t="inlineStr">
        <is>
          <t>Online Store</t>
        </is>
      </c>
      <c r="F1337" s="36" t="inlineStr">
        <is>
          <t>Returning</t>
        </is>
      </c>
      <c r="G1337" s="36" t="inlineStr">
        <is>
          <t>Camping</t>
        </is>
      </c>
      <c r="H1337" s="36" t="inlineStr">
        <is>
          <t>Portable Camp Stove</t>
        </is>
      </c>
      <c r="I1337" s="36" t="n">
        <v>3</v>
      </c>
      <c r="J1337" s="39" t="n">
        <v>82.26000000000001</v>
      </c>
      <c r="K1337" s="45" t="n">
        <v>0</v>
      </c>
      <c r="L1337" s="39" t="n">
        <v>40.02</v>
      </c>
      <c r="M1337" s="39">
        <f>I1337*J1337*(1-K1337)</f>
        <v/>
      </c>
      <c r="N1337" s="39">
        <f>I1337*L1337</f>
        <v/>
      </c>
      <c r="O1337" s="39">
        <f>M1337-N1337</f>
        <v/>
      </c>
      <c r="P1337" s="38">
        <f>IF(M1337=0,0,O1337/M1337)</f>
        <v/>
      </c>
      <c r="Q1337" s="36">
        <f>YEAR(B1337)</f>
        <v/>
      </c>
      <c r="R1337" s="36">
        <f>"Q"&amp;ROUNDUP(MONTH(B1337)/3,0)</f>
        <v/>
      </c>
      <c r="S1337" s="36">
        <f>MONTH(B1337)</f>
        <v/>
      </c>
      <c r="T1337" s="36">
        <f>TEXT(B1337,"mmm")</f>
        <v/>
      </c>
      <c r="U1337" s="36">
        <f>IF(AND(OR(sel_Region="All",C1337=sel_Region),OR(sel_Country="All",D1337=sel_Country),OR(sel_Channel="All",E1337=sel_Channel),OR(sel_Customer="All",F1337=sel_Customer),OR(sel_Category="All",G1337=sel_Category),OR(sel_Product="All",H1337=sel_Product),AND(S1337&gt;=m_From,S1337&lt;=m_To)),1,0)</f>
        <v/>
      </c>
      <c r="V1337" s="36">
        <f>IF(AND(OR(sel_Region="All",C1337=sel_Region),OR(sel_Channel="All",E1337=sel_Channel),OR(sel_Customer="All",F1337=sel_Customer),OR(sel_Category="All",G1337=sel_Category),OR(sel_Product="All",H1337=sel_Product),AND(S1337&gt;=m_From,S1337&lt;=m_To)),1,0)</f>
        <v/>
      </c>
      <c r="W1337" s="36">
        <f>IF(AND(OR(sel_Region="All",C1337=sel_Region),OR(sel_Country="All",D1337=sel_Country),OR(sel_Customer="All",F1337=sel_Customer),OR(sel_Category="All",G1337=sel_Category),OR(sel_Product="All",H1337=sel_Product),AND(S1337&gt;=m_From,S1337&lt;=m_To)),1,0)</f>
        <v/>
      </c>
      <c r="X1337" s="36">
        <f>IF(AND(OR(sel_Region="All",C1337=sel_Region),OR(sel_Country="All",D1337=sel_Country),OR(sel_Channel="All",E1337=sel_Channel),OR(sel_Category="All",G1337=sel_Category),OR(sel_Product="All",H1337=sel_Product),AND(S1337&gt;=m_From,S1337&lt;=m_To)),1,0)</f>
        <v/>
      </c>
      <c r="Y1337" s="36">
        <f>IF(AND(OR(sel_Region="All",C1337=sel_Region),OR(sel_Country="All",D1337=sel_Country),OR(sel_Channel="All",E1337=sel_Channel),OR(sel_Customer="All",F1337=sel_Customer),OR(sel_Product="All",H1337=sel_Product),AND(S1337&gt;=m_From,S1337&lt;=m_To)),1,0)</f>
        <v/>
      </c>
      <c r="Z1337" s="36">
        <f>IF(AND(OR(sel_Region="All",C1337=sel_Region),OR(sel_Country="All",D1337=sel_Country),OR(sel_Channel="All",E1337=sel_Channel),OR(sel_Customer="All",F1337=sel_Customer),OR(sel_Category="All",G1337=sel_Category),AND(S1337&gt;=m_From,S1337&lt;=m_To)),1,0)</f>
        <v/>
      </c>
      <c r="AA1337" s="36">
        <f>IF(AND(OR(sel_Region="All",C1337=sel_Region),OR(sel_Country="All",D1337=sel_Country),OR(sel_Channel="All",E1337=sel_Channel),OR(sel_Customer="All",F1337=sel_Customer),OR(sel_Category="All",G1337=sel_Category),OR(sel_Product="All",H1337=sel_Product)),1,0)</f>
        <v/>
      </c>
    </row>
    <row r="1338">
      <c r="A1338" s="36" t="inlineStr">
        <is>
          <t>03868</t>
        </is>
      </c>
      <c r="B1338" s="44" t="n">
        <v>46214</v>
      </c>
      <c r="C1338" s="36" t="inlineStr">
        <is>
          <t>Northern Europe</t>
        </is>
      </c>
      <c r="D1338" s="36" t="inlineStr">
        <is>
          <t>Finland</t>
        </is>
      </c>
      <c r="E1338" s="36" t="inlineStr">
        <is>
          <t>Online Store</t>
        </is>
      </c>
      <c r="F1338" s="36" t="inlineStr">
        <is>
          <t>Business</t>
        </is>
      </c>
      <c r="G1338" s="36" t="inlineStr">
        <is>
          <t>Hiking</t>
        </is>
      </c>
      <c r="H1338" s="36" t="inlineStr">
        <is>
          <t>Hiking Daypack 20L</t>
        </is>
      </c>
      <c r="I1338" s="36" t="n">
        <v>1</v>
      </c>
      <c r="J1338" s="39" t="n">
        <v>90.79000000000001</v>
      </c>
      <c r="K1338" s="45" t="n">
        <v>0</v>
      </c>
      <c r="L1338" s="39" t="n">
        <v>46.39</v>
      </c>
      <c r="M1338" s="39">
        <f>I1338*J1338*(1-K1338)</f>
        <v/>
      </c>
      <c r="N1338" s="39">
        <f>I1338*L1338</f>
        <v/>
      </c>
      <c r="O1338" s="39">
        <f>M1338-N1338</f>
        <v/>
      </c>
      <c r="P1338" s="38">
        <f>IF(M1338=0,0,O1338/M1338)</f>
        <v/>
      </c>
      <c r="Q1338" s="36">
        <f>YEAR(B1338)</f>
        <v/>
      </c>
      <c r="R1338" s="36">
        <f>"Q"&amp;ROUNDUP(MONTH(B1338)/3,0)</f>
        <v/>
      </c>
      <c r="S1338" s="36">
        <f>MONTH(B1338)</f>
        <v/>
      </c>
      <c r="T1338" s="36">
        <f>TEXT(B1338,"mmm")</f>
        <v/>
      </c>
      <c r="U1338" s="36">
        <f>IF(AND(OR(sel_Region="All",C1338=sel_Region),OR(sel_Country="All",D1338=sel_Country),OR(sel_Channel="All",E1338=sel_Channel),OR(sel_Customer="All",F1338=sel_Customer),OR(sel_Category="All",G1338=sel_Category),OR(sel_Product="All",H1338=sel_Product),AND(S1338&gt;=m_From,S1338&lt;=m_To)),1,0)</f>
        <v/>
      </c>
      <c r="V1338" s="36">
        <f>IF(AND(OR(sel_Region="All",C1338=sel_Region),OR(sel_Channel="All",E1338=sel_Channel),OR(sel_Customer="All",F1338=sel_Customer),OR(sel_Category="All",G1338=sel_Category),OR(sel_Product="All",H1338=sel_Product),AND(S1338&gt;=m_From,S1338&lt;=m_To)),1,0)</f>
        <v/>
      </c>
      <c r="W1338" s="36">
        <f>IF(AND(OR(sel_Region="All",C1338=sel_Region),OR(sel_Country="All",D1338=sel_Country),OR(sel_Customer="All",F1338=sel_Customer),OR(sel_Category="All",G1338=sel_Category),OR(sel_Product="All",H1338=sel_Product),AND(S1338&gt;=m_From,S1338&lt;=m_To)),1,0)</f>
        <v/>
      </c>
      <c r="X1338" s="36">
        <f>IF(AND(OR(sel_Region="All",C1338=sel_Region),OR(sel_Country="All",D1338=sel_Country),OR(sel_Channel="All",E1338=sel_Channel),OR(sel_Category="All",G1338=sel_Category),OR(sel_Product="All",H1338=sel_Product),AND(S1338&gt;=m_From,S1338&lt;=m_To)),1,0)</f>
        <v/>
      </c>
      <c r="Y1338" s="36">
        <f>IF(AND(OR(sel_Region="All",C1338=sel_Region),OR(sel_Country="All",D1338=sel_Country),OR(sel_Channel="All",E1338=sel_Channel),OR(sel_Customer="All",F1338=sel_Customer),OR(sel_Product="All",H1338=sel_Product),AND(S1338&gt;=m_From,S1338&lt;=m_To)),1,0)</f>
        <v/>
      </c>
      <c r="Z1338" s="36">
        <f>IF(AND(OR(sel_Region="All",C1338=sel_Region),OR(sel_Country="All",D1338=sel_Country),OR(sel_Channel="All",E1338=sel_Channel),OR(sel_Customer="All",F1338=sel_Customer),OR(sel_Category="All",G1338=sel_Category),AND(S1338&gt;=m_From,S1338&lt;=m_To)),1,0)</f>
        <v/>
      </c>
      <c r="AA1338" s="36">
        <f>IF(AND(OR(sel_Region="All",C1338=sel_Region),OR(sel_Country="All",D1338=sel_Country),OR(sel_Channel="All",E1338=sel_Channel),OR(sel_Customer="All",F1338=sel_Customer),OR(sel_Category="All",G1338=sel_Category),OR(sel_Product="All",H1338=sel_Product)),1,0)</f>
        <v/>
      </c>
    </row>
    <row r="1339">
      <c r="A1339" s="36" t="inlineStr">
        <is>
          <t>04365</t>
        </is>
      </c>
      <c r="B1339" s="44" t="n">
        <v>46214</v>
      </c>
      <c r="C1339" s="36" t="inlineStr">
        <is>
          <t>Central Europe</t>
        </is>
      </c>
      <c r="D1339" s="36" t="inlineStr">
        <is>
          <t>Switzerland</t>
        </is>
      </c>
      <c r="E1339" s="36" t="inlineStr">
        <is>
          <t>Online Store</t>
        </is>
      </c>
      <c r="F1339" s="36" t="inlineStr">
        <is>
          <t>Returning</t>
        </is>
      </c>
      <c r="G1339" s="36" t="inlineStr">
        <is>
          <t>Cycling</t>
        </is>
      </c>
      <c r="H1339" s="36" t="inlineStr">
        <is>
          <t>Compact Repair Kit</t>
        </is>
      </c>
      <c r="I1339" s="36" t="n">
        <v>1</v>
      </c>
      <c r="J1339" s="39" t="n">
        <v>41.33</v>
      </c>
      <c r="K1339" s="45" t="n">
        <v>0</v>
      </c>
      <c r="L1339" s="39" t="n">
        <v>17.2</v>
      </c>
      <c r="M1339" s="39">
        <f>I1339*J1339*(1-K1339)</f>
        <v/>
      </c>
      <c r="N1339" s="39">
        <f>I1339*L1339</f>
        <v/>
      </c>
      <c r="O1339" s="39">
        <f>M1339-N1339</f>
        <v/>
      </c>
      <c r="P1339" s="38">
        <f>IF(M1339=0,0,O1339/M1339)</f>
        <v/>
      </c>
      <c r="Q1339" s="36">
        <f>YEAR(B1339)</f>
        <v/>
      </c>
      <c r="R1339" s="36">
        <f>"Q"&amp;ROUNDUP(MONTH(B1339)/3,0)</f>
        <v/>
      </c>
      <c r="S1339" s="36">
        <f>MONTH(B1339)</f>
        <v/>
      </c>
      <c r="T1339" s="36">
        <f>TEXT(B1339,"mmm")</f>
        <v/>
      </c>
      <c r="U1339" s="36">
        <f>IF(AND(OR(sel_Region="All",C1339=sel_Region),OR(sel_Country="All",D1339=sel_Country),OR(sel_Channel="All",E1339=sel_Channel),OR(sel_Customer="All",F1339=sel_Customer),OR(sel_Category="All",G1339=sel_Category),OR(sel_Product="All",H1339=sel_Product),AND(S1339&gt;=m_From,S1339&lt;=m_To)),1,0)</f>
        <v/>
      </c>
      <c r="V1339" s="36">
        <f>IF(AND(OR(sel_Region="All",C1339=sel_Region),OR(sel_Channel="All",E1339=sel_Channel),OR(sel_Customer="All",F1339=sel_Customer),OR(sel_Category="All",G1339=sel_Category),OR(sel_Product="All",H1339=sel_Product),AND(S1339&gt;=m_From,S1339&lt;=m_To)),1,0)</f>
        <v/>
      </c>
      <c r="W1339" s="36">
        <f>IF(AND(OR(sel_Region="All",C1339=sel_Region),OR(sel_Country="All",D1339=sel_Country),OR(sel_Customer="All",F1339=sel_Customer),OR(sel_Category="All",G1339=sel_Category),OR(sel_Product="All",H1339=sel_Product),AND(S1339&gt;=m_From,S1339&lt;=m_To)),1,0)</f>
        <v/>
      </c>
      <c r="X1339" s="36">
        <f>IF(AND(OR(sel_Region="All",C1339=sel_Region),OR(sel_Country="All",D1339=sel_Country),OR(sel_Channel="All",E1339=sel_Channel),OR(sel_Category="All",G1339=sel_Category),OR(sel_Product="All",H1339=sel_Product),AND(S1339&gt;=m_From,S1339&lt;=m_To)),1,0)</f>
        <v/>
      </c>
      <c r="Y1339" s="36">
        <f>IF(AND(OR(sel_Region="All",C1339=sel_Region),OR(sel_Country="All",D1339=sel_Country),OR(sel_Channel="All",E1339=sel_Channel),OR(sel_Customer="All",F1339=sel_Customer),OR(sel_Product="All",H1339=sel_Product),AND(S1339&gt;=m_From,S1339&lt;=m_To)),1,0)</f>
        <v/>
      </c>
      <c r="Z1339" s="36">
        <f>IF(AND(OR(sel_Region="All",C1339=sel_Region),OR(sel_Country="All",D1339=sel_Country),OR(sel_Channel="All",E1339=sel_Channel),OR(sel_Customer="All",F1339=sel_Customer),OR(sel_Category="All",G1339=sel_Category),AND(S1339&gt;=m_From,S1339&lt;=m_To)),1,0)</f>
        <v/>
      </c>
      <c r="AA1339" s="36">
        <f>IF(AND(OR(sel_Region="All",C1339=sel_Region),OR(sel_Country="All",D1339=sel_Country),OR(sel_Channel="All",E1339=sel_Channel),OR(sel_Customer="All",F1339=sel_Customer),OR(sel_Category="All",G1339=sel_Category),OR(sel_Product="All",H1339=sel_Product)),1,0)</f>
        <v/>
      </c>
    </row>
    <row r="1340">
      <c r="A1340" s="36" t="inlineStr">
        <is>
          <t>00314</t>
        </is>
      </c>
      <c r="B1340" s="44" t="n">
        <v>46215</v>
      </c>
      <c r="C1340" s="36" t="inlineStr">
        <is>
          <t>Northern Europe</t>
        </is>
      </c>
      <c r="D1340" s="36" t="inlineStr">
        <is>
          <t>Sweden</t>
        </is>
      </c>
      <c r="E1340" s="36" t="inlineStr">
        <is>
          <t>Online Store</t>
        </is>
      </c>
      <c r="F1340" s="36" t="inlineStr">
        <is>
          <t>Returning</t>
        </is>
      </c>
      <c r="G1340" s="36" t="inlineStr">
        <is>
          <t>Fitness</t>
        </is>
      </c>
      <c r="H1340" s="36" t="inlineStr">
        <is>
          <t>Resistance Band Set</t>
        </is>
      </c>
      <c r="I1340" s="36" t="n">
        <v>2</v>
      </c>
      <c r="J1340" s="39" t="n">
        <v>41.09</v>
      </c>
      <c r="K1340" s="45" t="n">
        <v>0.05</v>
      </c>
      <c r="L1340" s="39" t="n">
        <v>14.54</v>
      </c>
      <c r="M1340" s="39">
        <f>I1340*J1340*(1-K1340)</f>
        <v/>
      </c>
      <c r="N1340" s="39">
        <f>I1340*L1340</f>
        <v/>
      </c>
      <c r="O1340" s="39">
        <f>M1340-N1340</f>
        <v/>
      </c>
      <c r="P1340" s="38">
        <f>IF(M1340=0,0,O1340/M1340)</f>
        <v/>
      </c>
      <c r="Q1340" s="36">
        <f>YEAR(B1340)</f>
        <v/>
      </c>
      <c r="R1340" s="36">
        <f>"Q"&amp;ROUNDUP(MONTH(B1340)/3,0)</f>
        <v/>
      </c>
      <c r="S1340" s="36">
        <f>MONTH(B1340)</f>
        <v/>
      </c>
      <c r="T1340" s="36">
        <f>TEXT(B1340,"mmm")</f>
        <v/>
      </c>
      <c r="U1340" s="36">
        <f>IF(AND(OR(sel_Region="All",C1340=sel_Region),OR(sel_Country="All",D1340=sel_Country),OR(sel_Channel="All",E1340=sel_Channel),OR(sel_Customer="All",F1340=sel_Customer),OR(sel_Category="All",G1340=sel_Category),OR(sel_Product="All",H1340=sel_Product),AND(S1340&gt;=m_From,S1340&lt;=m_To)),1,0)</f>
        <v/>
      </c>
      <c r="V1340" s="36">
        <f>IF(AND(OR(sel_Region="All",C1340=sel_Region),OR(sel_Channel="All",E1340=sel_Channel),OR(sel_Customer="All",F1340=sel_Customer),OR(sel_Category="All",G1340=sel_Category),OR(sel_Product="All",H1340=sel_Product),AND(S1340&gt;=m_From,S1340&lt;=m_To)),1,0)</f>
        <v/>
      </c>
      <c r="W1340" s="36">
        <f>IF(AND(OR(sel_Region="All",C1340=sel_Region),OR(sel_Country="All",D1340=sel_Country),OR(sel_Customer="All",F1340=sel_Customer),OR(sel_Category="All",G1340=sel_Category),OR(sel_Product="All",H1340=sel_Product),AND(S1340&gt;=m_From,S1340&lt;=m_To)),1,0)</f>
        <v/>
      </c>
      <c r="X1340" s="36">
        <f>IF(AND(OR(sel_Region="All",C1340=sel_Region),OR(sel_Country="All",D1340=sel_Country),OR(sel_Channel="All",E1340=sel_Channel),OR(sel_Category="All",G1340=sel_Category),OR(sel_Product="All",H1340=sel_Product),AND(S1340&gt;=m_From,S1340&lt;=m_To)),1,0)</f>
        <v/>
      </c>
      <c r="Y1340" s="36">
        <f>IF(AND(OR(sel_Region="All",C1340=sel_Region),OR(sel_Country="All",D1340=sel_Country),OR(sel_Channel="All",E1340=sel_Channel),OR(sel_Customer="All",F1340=sel_Customer),OR(sel_Product="All",H1340=sel_Product),AND(S1340&gt;=m_From,S1340&lt;=m_To)),1,0)</f>
        <v/>
      </c>
      <c r="Z1340" s="36">
        <f>IF(AND(OR(sel_Region="All",C1340=sel_Region),OR(sel_Country="All",D1340=sel_Country),OR(sel_Channel="All",E1340=sel_Channel),OR(sel_Customer="All",F1340=sel_Customer),OR(sel_Category="All",G1340=sel_Category),AND(S1340&gt;=m_From,S1340&lt;=m_To)),1,0)</f>
        <v/>
      </c>
      <c r="AA1340" s="36">
        <f>IF(AND(OR(sel_Region="All",C1340=sel_Region),OR(sel_Country="All",D1340=sel_Country),OR(sel_Channel="All",E1340=sel_Channel),OR(sel_Customer="All",F1340=sel_Customer),OR(sel_Category="All",G1340=sel_Category),OR(sel_Product="All",H1340=sel_Product)),1,0)</f>
        <v/>
      </c>
    </row>
    <row r="1341">
      <c r="A1341" s="36" t="inlineStr">
        <is>
          <t>00552</t>
        </is>
      </c>
      <c r="B1341" s="44" t="n">
        <v>46215</v>
      </c>
      <c r="C1341" s="36" t="inlineStr">
        <is>
          <t>Central Europe</t>
        </is>
      </c>
      <c r="D1341" s="36" t="inlineStr">
        <is>
          <t>Germany</t>
        </is>
      </c>
      <c r="E1341" s="36" t="inlineStr">
        <is>
          <t>Corporate</t>
        </is>
      </c>
      <c r="F1341" s="36" t="inlineStr">
        <is>
          <t>Business</t>
        </is>
      </c>
      <c r="G1341" s="36" t="inlineStr">
        <is>
          <t>Camping</t>
        </is>
      </c>
      <c r="H1341" s="36" t="inlineStr">
        <is>
          <t>Portable Camp Stove</t>
        </is>
      </c>
      <c r="I1341" s="36" t="n">
        <v>5</v>
      </c>
      <c r="J1341" s="39" t="n">
        <v>82.39</v>
      </c>
      <c r="K1341" s="45" t="n">
        <v>0.05</v>
      </c>
      <c r="L1341" s="39" t="n">
        <v>39.48</v>
      </c>
      <c r="M1341" s="39">
        <f>I1341*J1341*(1-K1341)</f>
        <v/>
      </c>
      <c r="N1341" s="39">
        <f>I1341*L1341</f>
        <v/>
      </c>
      <c r="O1341" s="39">
        <f>M1341-N1341</f>
        <v/>
      </c>
      <c r="P1341" s="38">
        <f>IF(M1341=0,0,O1341/M1341)</f>
        <v/>
      </c>
      <c r="Q1341" s="36">
        <f>YEAR(B1341)</f>
        <v/>
      </c>
      <c r="R1341" s="36">
        <f>"Q"&amp;ROUNDUP(MONTH(B1341)/3,0)</f>
        <v/>
      </c>
      <c r="S1341" s="36">
        <f>MONTH(B1341)</f>
        <v/>
      </c>
      <c r="T1341" s="36">
        <f>TEXT(B1341,"mmm")</f>
        <v/>
      </c>
      <c r="U1341" s="36">
        <f>IF(AND(OR(sel_Region="All",C1341=sel_Region),OR(sel_Country="All",D1341=sel_Country),OR(sel_Channel="All",E1341=sel_Channel),OR(sel_Customer="All",F1341=sel_Customer),OR(sel_Category="All",G1341=sel_Category),OR(sel_Product="All",H1341=sel_Product),AND(S1341&gt;=m_From,S1341&lt;=m_To)),1,0)</f>
        <v/>
      </c>
      <c r="V1341" s="36">
        <f>IF(AND(OR(sel_Region="All",C1341=sel_Region),OR(sel_Channel="All",E1341=sel_Channel),OR(sel_Customer="All",F1341=sel_Customer),OR(sel_Category="All",G1341=sel_Category),OR(sel_Product="All",H1341=sel_Product),AND(S1341&gt;=m_From,S1341&lt;=m_To)),1,0)</f>
        <v/>
      </c>
      <c r="W1341" s="36">
        <f>IF(AND(OR(sel_Region="All",C1341=sel_Region),OR(sel_Country="All",D1341=sel_Country),OR(sel_Customer="All",F1341=sel_Customer),OR(sel_Category="All",G1341=sel_Category),OR(sel_Product="All",H1341=sel_Product),AND(S1341&gt;=m_From,S1341&lt;=m_To)),1,0)</f>
        <v/>
      </c>
      <c r="X1341" s="36">
        <f>IF(AND(OR(sel_Region="All",C1341=sel_Region),OR(sel_Country="All",D1341=sel_Country),OR(sel_Channel="All",E1341=sel_Channel),OR(sel_Category="All",G1341=sel_Category),OR(sel_Product="All",H1341=sel_Product),AND(S1341&gt;=m_From,S1341&lt;=m_To)),1,0)</f>
        <v/>
      </c>
      <c r="Y1341" s="36">
        <f>IF(AND(OR(sel_Region="All",C1341=sel_Region),OR(sel_Country="All",D1341=sel_Country),OR(sel_Channel="All",E1341=sel_Channel),OR(sel_Customer="All",F1341=sel_Customer),OR(sel_Product="All",H1341=sel_Product),AND(S1341&gt;=m_From,S1341&lt;=m_To)),1,0)</f>
        <v/>
      </c>
      <c r="Z1341" s="36">
        <f>IF(AND(OR(sel_Region="All",C1341=sel_Region),OR(sel_Country="All",D1341=sel_Country),OR(sel_Channel="All",E1341=sel_Channel),OR(sel_Customer="All",F1341=sel_Customer),OR(sel_Category="All",G1341=sel_Category),AND(S1341&gt;=m_From,S1341&lt;=m_To)),1,0)</f>
        <v/>
      </c>
      <c r="AA1341" s="36">
        <f>IF(AND(OR(sel_Region="All",C1341=sel_Region),OR(sel_Country="All",D1341=sel_Country),OR(sel_Channel="All",E1341=sel_Channel),OR(sel_Customer="All",F1341=sel_Customer),OR(sel_Category="All",G1341=sel_Category),OR(sel_Product="All",H1341=sel_Product)),1,0)</f>
        <v/>
      </c>
    </row>
    <row r="1342">
      <c r="A1342" s="36" t="inlineStr">
        <is>
          <t>01317</t>
        </is>
      </c>
      <c r="B1342" s="44" t="n">
        <v>46215</v>
      </c>
      <c r="C1342" s="36" t="inlineStr">
        <is>
          <t>Central Europe</t>
        </is>
      </c>
      <c r="D1342" s="36" t="inlineStr">
        <is>
          <t>Poland</t>
        </is>
      </c>
      <c r="E1342" s="36" t="inlineStr">
        <is>
          <t>Online Store</t>
        </is>
      </c>
      <c r="F1342" s="36" t="inlineStr">
        <is>
          <t>Business</t>
        </is>
      </c>
      <c r="G1342" s="36" t="inlineStr">
        <is>
          <t>Fitness</t>
        </is>
      </c>
      <c r="H1342" s="36" t="inlineStr">
        <is>
          <t>Recovery Roller</t>
        </is>
      </c>
      <c r="I1342" s="36" t="n">
        <v>3</v>
      </c>
      <c r="J1342" s="39" t="n">
        <v>37</v>
      </c>
      <c r="K1342" s="45" t="n">
        <v>0</v>
      </c>
      <c r="L1342" s="39" t="n">
        <v>13.69</v>
      </c>
      <c r="M1342" s="39">
        <f>I1342*J1342*(1-K1342)</f>
        <v/>
      </c>
      <c r="N1342" s="39">
        <f>I1342*L1342</f>
        <v/>
      </c>
      <c r="O1342" s="39">
        <f>M1342-N1342</f>
        <v/>
      </c>
      <c r="P1342" s="38">
        <f>IF(M1342=0,0,O1342/M1342)</f>
        <v/>
      </c>
      <c r="Q1342" s="36">
        <f>YEAR(B1342)</f>
        <v/>
      </c>
      <c r="R1342" s="36">
        <f>"Q"&amp;ROUNDUP(MONTH(B1342)/3,0)</f>
        <v/>
      </c>
      <c r="S1342" s="36">
        <f>MONTH(B1342)</f>
        <v/>
      </c>
      <c r="T1342" s="36">
        <f>TEXT(B1342,"mmm")</f>
        <v/>
      </c>
      <c r="U1342" s="36">
        <f>IF(AND(OR(sel_Region="All",C1342=sel_Region),OR(sel_Country="All",D1342=sel_Country),OR(sel_Channel="All",E1342=sel_Channel),OR(sel_Customer="All",F1342=sel_Customer),OR(sel_Category="All",G1342=sel_Category),OR(sel_Product="All",H1342=sel_Product),AND(S1342&gt;=m_From,S1342&lt;=m_To)),1,0)</f>
        <v/>
      </c>
      <c r="V1342" s="36">
        <f>IF(AND(OR(sel_Region="All",C1342=sel_Region),OR(sel_Channel="All",E1342=sel_Channel),OR(sel_Customer="All",F1342=sel_Customer),OR(sel_Category="All",G1342=sel_Category),OR(sel_Product="All",H1342=sel_Product),AND(S1342&gt;=m_From,S1342&lt;=m_To)),1,0)</f>
        <v/>
      </c>
      <c r="W1342" s="36">
        <f>IF(AND(OR(sel_Region="All",C1342=sel_Region),OR(sel_Country="All",D1342=sel_Country),OR(sel_Customer="All",F1342=sel_Customer),OR(sel_Category="All",G1342=sel_Category),OR(sel_Product="All",H1342=sel_Product),AND(S1342&gt;=m_From,S1342&lt;=m_To)),1,0)</f>
        <v/>
      </c>
      <c r="X1342" s="36">
        <f>IF(AND(OR(sel_Region="All",C1342=sel_Region),OR(sel_Country="All",D1342=sel_Country),OR(sel_Channel="All",E1342=sel_Channel),OR(sel_Category="All",G1342=sel_Category),OR(sel_Product="All",H1342=sel_Product),AND(S1342&gt;=m_From,S1342&lt;=m_To)),1,0)</f>
        <v/>
      </c>
      <c r="Y1342" s="36">
        <f>IF(AND(OR(sel_Region="All",C1342=sel_Region),OR(sel_Country="All",D1342=sel_Country),OR(sel_Channel="All",E1342=sel_Channel),OR(sel_Customer="All",F1342=sel_Customer),OR(sel_Product="All",H1342=sel_Product),AND(S1342&gt;=m_From,S1342&lt;=m_To)),1,0)</f>
        <v/>
      </c>
      <c r="Z1342" s="36">
        <f>IF(AND(OR(sel_Region="All",C1342=sel_Region),OR(sel_Country="All",D1342=sel_Country),OR(sel_Channel="All",E1342=sel_Channel),OR(sel_Customer="All",F1342=sel_Customer),OR(sel_Category="All",G1342=sel_Category),AND(S1342&gt;=m_From,S1342&lt;=m_To)),1,0)</f>
        <v/>
      </c>
      <c r="AA1342" s="36">
        <f>IF(AND(OR(sel_Region="All",C1342=sel_Region),OR(sel_Country="All",D1342=sel_Country),OR(sel_Channel="All",E1342=sel_Channel),OR(sel_Customer="All",F1342=sel_Customer),OR(sel_Category="All",G1342=sel_Category),OR(sel_Product="All",H1342=sel_Product)),1,0)</f>
        <v/>
      </c>
    </row>
    <row r="1343">
      <c r="A1343" s="36" t="inlineStr">
        <is>
          <t>01515</t>
        </is>
      </c>
      <c r="B1343" s="44" t="n">
        <v>46215</v>
      </c>
      <c r="C1343" s="36" t="inlineStr">
        <is>
          <t>Western Europe</t>
        </is>
      </c>
      <c r="D1343" s="36" t="inlineStr">
        <is>
          <t>United Kingdom</t>
        </is>
      </c>
      <c r="E1343" s="36" t="inlineStr">
        <is>
          <t>Retail Partners</t>
        </is>
      </c>
      <c r="F1343" s="36" t="inlineStr">
        <is>
          <t>New</t>
        </is>
      </c>
      <c r="G1343" s="36" t="inlineStr">
        <is>
          <t>Fitness</t>
        </is>
      </c>
      <c r="H1343" s="36" t="inlineStr">
        <is>
          <t>Resistance Band Set</t>
        </is>
      </c>
      <c r="I1343" s="36" t="n">
        <v>2</v>
      </c>
      <c r="J1343" s="39" t="n">
        <v>40.9</v>
      </c>
      <c r="K1343" s="45" t="n">
        <v>0</v>
      </c>
      <c r="L1343" s="39" t="n">
        <v>14.81</v>
      </c>
      <c r="M1343" s="39">
        <f>I1343*J1343*(1-K1343)</f>
        <v/>
      </c>
      <c r="N1343" s="39">
        <f>I1343*L1343</f>
        <v/>
      </c>
      <c r="O1343" s="39">
        <f>M1343-N1343</f>
        <v/>
      </c>
      <c r="P1343" s="38">
        <f>IF(M1343=0,0,O1343/M1343)</f>
        <v/>
      </c>
      <c r="Q1343" s="36">
        <f>YEAR(B1343)</f>
        <v/>
      </c>
      <c r="R1343" s="36">
        <f>"Q"&amp;ROUNDUP(MONTH(B1343)/3,0)</f>
        <v/>
      </c>
      <c r="S1343" s="36">
        <f>MONTH(B1343)</f>
        <v/>
      </c>
      <c r="T1343" s="36">
        <f>TEXT(B1343,"mmm")</f>
        <v/>
      </c>
      <c r="U1343" s="36">
        <f>IF(AND(OR(sel_Region="All",C1343=sel_Region),OR(sel_Country="All",D1343=sel_Country),OR(sel_Channel="All",E1343=sel_Channel),OR(sel_Customer="All",F1343=sel_Customer),OR(sel_Category="All",G1343=sel_Category),OR(sel_Product="All",H1343=sel_Product),AND(S1343&gt;=m_From,S1343&lt;=m_To)),1,0)</f>
        <v/>
      </c>
      <c r="V1343" s="36">
        <f>IF(AND(OR(sel_Region="All",C1343=sel_Region),OR(sel_Channel="All",E1343=sel_Channel),OR(sel_Customer="All",F1343=sel_Customer),OR(sel_Category="All",G1343=sel_Category),OR(sel_Product="All",H1343=sel_Product),AND(S1343&gt;=m_From,S1343&lt;=m_To)),1,0)</f>
        <v/>
      </c>
      <c r="W1343" s="36">
        <f>IF(AND(OR(sel_Region="All",C1343=sel_Region),OR(sel_Country="All",D1343=sel_Country),OR(sel_Customer="All",F1343=sel_Customer),OR(sel_Category="All",G1343=sel_Category),OR(sel_Product="All",H1343=sel_Product),AND(S1343&gt;=m_From,S1343&lt;=m_To)),1,0)</f>
        <v/>
      </c>
      <c r="X1343" s="36">
        <f>IF(AND(OR(sel_Region="All",C1343=sel_Region),OR(sel_Country="All",D1343=sel_Country),OR(sel_Channel="All",E1343=sel_Channel),OR(sel_Category="All",G1343=sel_Category),OR(sel_Product="All",H1343=sel_Product),AND(S1343&gt;=m_From,S1343&lt;=m_To)),1,0)</f>
        <v/>
      </c>
      <c r="Y1343" s="36">
        <f>IF(AND(OR(sel_Region="All",C1343=sel_Region),OR(sel_Country="All",D1343=sel_Country),OR(sel_Channel="All",E1343=sel_Channel),OR(sel_Customer="All",F1343=sel_Customer),OR(sel_Product="All",H1343=sel_Product),AND(S1343&gt;=m_From,S1343&lt;=m_To)),1,0)</f>
        <v/>
      </c>
      <c r="Z1343" s="36">
        <f>IF(AND(OR(sel_Region="All",C1343=sel_Region),OR(sel_Country="All",D1343=sel_Country),OR(sel_Channel="All",E1343=sel_Channel),OR(sel_Customer="All",F1343=sel_Customer),OR(sel_Category="All",G1343=sel_Category),AND(S1343&gt;=m_From,S1343&lt;=m_To)),1,0)</f>
        <v/>
      </c>
      <c r="AA1343" s="36">
        <f>IF(AND(OR(sel_Region="All",C1343=sel_Region),OR(sel_Country="All",D1343=sel_Country),OR(sel_Channel="All",E1343=sel_Channel),OR(sel_Customer="All",F1343=sel_Customer),OR(sel_Category="All",G1343=sel_Category),OR(sel_Product="All",H1343=sel_Product)),1,0)</f>
        <v/>
      </c>
    </row>
    <row r="1344">
      <c r="A1344" s="36" t="inlineStr">
        <is>
          <t>01674</t>
        </is>
      </c>
      <c r="B1344" s="44" t="n">
        <v>46215</v>
      </c>
      <c r="C1344" s="36" t="inlineStr">
        <is>
          <t>Southern Europe</t>
        </is>
      </c>
      <c r="D1344" s="36" t="inlineStr">
        <is>
          <t>Spain</t>
        </is>
      </c>
      <c r="E1344" s="36" t="inlineStr">
        <is>
          <t>Online Store</t>
        </is>
      </c>
      <c r="F1344" s="36" t="inlineStr">
        <is>
          <t>New</t>
        </is>
      </c>
      <c r="G1344" s="36" t="inlineStr">
        <is>
          <t>Fitness</t>
        </is>
      </c>
      <c r="H1344" s="36" t="inlineStr">
        <is>
          <t>Weighted Vest</t>
        </is>
      </c>
      <c r="I1344" s="36" t="n">
        <v>1</v>
      </c>
      <c r="J1344" s="39" t="n">
        <v>123.33</v>
      </c>
      <c r="K1344" s="45" t="n">
        <v>0.1</v>
      </c>
      <c r="L1344" s="39" t="n">
        <v>70.90000000000001</v>
      </c>
      <c r="M1344" s="39">
        <f>I1344*J1344*(1-K1344)</f>
        <v/>
      </c>
      <c r="N1344" s="39">
        <f>I1344*L1344</f>
        <v/>
      </c>
      <c r="O1344" s="39">
        <f>M1344-N1344</f>
        <v/>
      </c>
      <c r="P1344" s="38">
        <f>IF(M1344=0,0,O1344/M1344)</f>
        <v/>
      </c>
      <c r="Q1344" s="36">
        <f>YEAR(B1344)</f>
        <v/>
      </c>
      <c r="R1344" s="36">
        <f>"Q"&amp;ROUNDUP(MONTH(B1344)/3,0)</f>
        <v/>
      </c>
      <c r="S1344" s="36">
        <f>MONTH(B1344)</f>
        <v/>
      </c>
      <c r="T1344" s="36">
        <f>TEXT(B1344,"mmm")</f>
        <v/>
      </c>
      <c r="U1344" s="36">
        <f>IF(AND(OR(sel_Region="All",C1344=sel_Region),OR(sel_Country="All",D1344=sel_Country),OR(sel_Channel="All",E1344=sel_Channel),OR(sel_Customer="All",F1344=sel_Customer),OR(sel_Category="All",G1344=sel_Category),OR(sel_Product="All",H1344=sel_Product),AND(S1344&gt;=m_From,S1344&lt;=m_To)),1,0)</f>
        <v/>
      </c>
      <c r="V1344" s="36">
        <f>IF(AND(OR(sel_Region="All",C1344=sel_Region),OR(sel_Channel="All",E1344=sel_Channel),OR(sel_Customer="All",F1344=sel_Customer),OR(sel_Category="All",G1344=sel_Category),OR(sel_Product="All",H1344=sel_Product),AND(S1344&gt;=m_From,S1344&lt;=m_To)),1,0)</f>
        <v/>
      </c>
      <c r="W1344" s="36">
        <f>IF(AND(OR(sel_Region="All",C1344=sel_Region),OR(sel_Country="All",D1344=sel_Country),OR(sel_Customer="All",F1344=sel_Customer),OR(sel_Category="All",G1344=sel_Category),OR(sel_Product="All",H1344=sel_Product),AND(S1344&gt;=m_From,S1344&lt;=m_To)),1,0)</f>
        <v/>
      </c>
      <c r="X1344" s="36">
        <f>IF(AND(OR(sel_Region="All",C1344=sel_Region),OR(sel_Country="All",D1344=sel_Country),OR(sel_Channel="All",E1344=sel_Channel),OR(sel_Category="All",G1344=sel_Category),OR(sel_Product="All",H1344=sel_Product),AND(S1344&gt;=m_From,S1344&lt;=m_To)),1,0)</f>
        <v/>
      </c>
      <c r="Y1344" s="36">
        <f>IF(AND(OR(sel_Region="All",C1344=sel_Region),OR(sel_Country="All",D1344=sel_Country),OR(sel_Channel="All",E1344=sel_Channel),OR(sel_Customer="All",F1344=sel_Customer),OR(sel_Product="All",H1344=sel_Product),AND(S1344&gt;=m_From,S1344&lt;=m_To)),1,0)</f>
        <v/>
      </c>
      <c r="Z1344" s="36">
        <f>IF(AND(OR(sel_Region="All",C1344=sel_Region),OR(sel_Country="All",D1344=sel_Country),OR(sel_Channel="All",E1344=sel_Channel),OR(sel_Customer="All",F1344=sel_Customer),OR(sel_Category="All",G1344=sel_Category),AND(S1344&gt;=m_From,S1344&lt;=m_To)),1,0)</f>
        <v/>
      </c>
      <c r="AA1344" s="36">
        <f>IF(AND(OR(sel_Region="All",C1344=sel_Region),OR(sel_Country="All",D1344=sel_Country),OR(sel_Channel="All",E1344=sel_Channel),OR(sel_Customer="All",F1344=sel_Customer),OR(sel_Category="All",G1344=sel_Category),OR(sel_Product="All",H1344=sel_Product)),1,0)</f>
        <v/>
      </c>
    </row>
    <row r="1345">
      <c r="A1345" s="36" t="inlineStr">
        <is>
          <t>02407</t>
        </is>
      </c>
      <c r="B1345" s="44" t="n">
        <v>46215</v>
      </c>
      <c r="C1345" s="36" t="inlineStr">
        <is>
          <t>Central Europe</t>
        </is>
      </c>
      <c r="D1345" s="36" t="inlineStr">
        <is>
          <t>Germany</t>
        </is>
      </c>
      <c r="E1345" s="36" t="inlineStr">
        <is>
          <t>Marketplace</t>
        </is>
      </c>
      <c r="F1345" s="36" t="inlineStr">
        <is>
          <t>Business</t>
        </is>
      </c>
      <c r="G1345" s="36" t="inlineStr">
        <is>
          <t>Hiking</t>
        </is>
      </c>
      <c r="H1345" s="36" t="inlineStr">
        <is>
          <t>Summit Backpack 45L</t>
        </is>
      </c>
      <c r="I1345" s="36" t="n">
        <v>1</v>
      </c>
      <c r="J1345" s="39" t="n">
        <v>153.25</v>
      </c>
      <c r="K1345" s="45" t="n">
        <v>0.15</v>
      </c>
      <c r="L1345" s="39" t="n">
        <v>78.28</v>
      </c>
      <c r="M1345" s="39">
        <f>I1345*J1345*(1-K1345)</f>
        <v/>
      </c>
      <c r="N1345" s="39">
        <f>I1345*L1345</f>
        <v/>
      </c>
      <c r="O1345" s="39">
        <f>M1345-N1345</f>
        <v/>
      </c>
      <c r="P1345" s="38">
        <f>IF(M1345=0,0,O1345/M1345)</f>
        <v/>
      </c>
      <c r="Q1345" s="36">
        <f>YEAR(B1345)</f>
        <v/>
      </c>
      <c r="R1345" s="36">
        <f>"Q"&amp;ROUNDUP(MONTH(B1345)/3,0)</f>
        <v/>
      </c>
      <c r="S1345" s="36">
        <f>MONTH(B1345)</f>
        <v/>
      </c>
      <c r="T1345" s="36">
        <f>TEXT(B1345,"mmm")</f>
        <v/>
      </c>
      <c r="U1345" s="36">
        <f>IF(AND(OR(sel_Region="All",C1345=sel_Region),OR(sel_Country="All",D1345=sel_Country),OR(sel_Channel="All",E1345=sel_Channel),OR(sel_Customer="All",F1345=sel_Customer),OR(sel_Category="All",G1345=sel_Category),OR(sel_Product="All",H1345=sel_Product),AND(S1345&gt;=m_From,S1345&lt;=m_To)),1,0)</f>
        <v/>
      </c>
      <c r="V1345" s="36">
        <f>IF(AND(OR(sel_Region="All",C1345=sel_Region),OR(sel_Channel="All",E1345=sel_Channel),OR(sel_Customer="All",F1345=sel_Customer),OR(sel_Category="All",G1345=sel_Category),OR(sel_Product="All",H1345=sel_Product),AND(S1345&gt;=m_From,S1345&lt;=m_To)),1,0)</f>
        <v/>
      </c>
      <c r="W1345" s="36">
        <f>IF(AND(OR(sel_Region="All",C1345=sel_Region),OR(sel_Country="All",D1345=sel_Country),OR(sel_Customer="All",F1345=sel_Customer),OR(sel_Category="All",G1345=sel_Category),OR(sel_Product="All",H1345=sel_Product),AND(S1345&gt;=m_From,S1345&lt;=m_To)),1,0)</f>
        <v/>
      </c>
      <c r="X1345" s="36">
        <f>IF(AND(OR(sel_Region="All",C1345=sel_Region),OR(sel_Country="All",D1345=sel_Country),OR(sel_Channel="All",E1345=sel_Channel),OR(sel_Category="All",G1345=sel_Category),OR(sel_Product="All",H1345=sel_Product),AND(S1345&gt;=m_From,S1345&lt;=m_To)),1,0)</f>
        <v/>
      </c>
      <c r="Y1345" s="36">
        <f>IF(AND(OR(sel_Region="All",C1345=sel_Region),OR(sel_Country="All",D1345=sel_Country),OR(sel_Channel="All",E1345=sel_Channel),OR(sel_Customer="All",F1345=sel_Customer),OR(sel_Product="All",H1345=sel_Product),AND(S1345&gt;=m_From,S1345&lt;=m_To)),1,0)</f>
        <v/>
      </c>
      <c r="Z1345" s="36">
        <f>IF(AND(OR(sel_Region="All",C1345=sel_Region),OR(sel_Country="All",D1345=sel_Country),OR(sel_Channel="All",E1345=sel_Channel),OR(sel_Customer="All",F1345=sel_Customer),OR(sel_Category="All",G1345=sel_Category),AND(S1345&gt;=m_From,S1345&lt;=m_To)),1,0)</f>
        <v/>
      </c>
      <c r="AA1345" s="36">
        <f>IF(AND(OR(sel_Region="All",C1345=sel_Region),OR(sel_Country="All",D1345=sel_Country),OR(sel_Channel="All",E1345=sel_Channel),OR(sel_Customer="All",F1345=sel_Customer),OR(sel_Category="All",G1345=sel_Category),OR(sel_Product="All",H1345=sel_Product)),1,0)</f>
        <v/>
      </c>
    </row>
    <row r="1346">
      <c r="A1346" s="36" t="inlineStr">
        <is>
          <t>02817</t>
        </is>
      </c>
      <c r="B1346" s="44" t="n">
        <v>46215</v>
      </c>
      <c r="C1346" s="36" t="inlineStr">
        <is>
          <t>Western Europe</t>
        </is>
      </c>
      <c r="D1346" s="36" t="inlineStr">
        <is>
          <t>Netherlands</t>
        </is>
      </c>
      <c r="E1346" s="36" t="inlineStr">
        <is>
          <t>Marketplace</t>
        </is>
      </c>
      <c r="F1346" s="36" t="inlineStr">
        <is>
          <t>New</t>
        </is>
      </c>
      <c r="G1346" s="36" t="inlineStr">
        <is>
          <t>Travel</t>
        </is>
      </c>
      <c r="H1346" s="36" t="inlineStr">
        <is>
          <t>Carry-On Duffel</t>
        </is>
      </c>
      <c r="I1346" s="36" t="n">
        <v>3</v>
      </c>
      <c r="J1346" s="39" t="n">
        <v>134.43</v>
      </c>
      <c r="K1346" s="45" t="n">
        <v>0.1</v>
      </c>
      <c r="L1346" s="39" t="n">
        <v>65.78</v>
      </c>
      <c r="M1346" s="39">
        <f>I1346*J1346*(1-K1346)</f>
        <v/>
      </c>
      <c r="N1346" s="39">
        <f>I1346*L1346</f>
        <v/>
      </c>
      <c r="O1346" s="39">
        <f>M1346-N1346</f>
        <v/>
      </c>
      <c r="P1346" s="38">
        <f>IF(M1346=0,0,O1346/M1346)</f>
        <v/>
      </c>
      <c r="Q1346" s="36">
        <f>YEAR(B1346)</f>
        <v/>
      </c>
      <c r="R1346" s="36">
        <f>"Q"&amp;ROUNDUP(MONTH(B1346)/3,0)</f>
        <v/>
      </c>
      <c r="S1346" s="36">
        <f>MONTH(B1346)</f>
        <v/>
      </c>
      <c r="T1346" s="36">
        <f>TEXT(B1346,"mmm")</f>
        <v/>
      </c>
      <c r="U1346" s="36">
        <f>IF(AND(OR(sel_Region="All",C1346=sel_Region),OR(sel_Country="All",D1346=sel_Country),OR(sel_Channel="All",E1346=sel_Channel),OR(sel_Customer="All",F1346=sel_Customer),OR(sel_Category="All",G1346=sel_Category),OR(sel_Product="All",H1346=sel_Product),AND(S1346&gt;=m_From,S1346&lt;=m_To)),1,0)</f>
        <v/>
      </c>
      <c r="V1346" s="36">
        <f>IF(AND(OR(sel_Region="All",C1346=sel_Region),OR(sel_Channel="All",E1346=sel_Channel),OR(sel_Customer="All",F1346=sel_Customer),OR(sel_Category="All",G1346=sel_Category),OR(sel_Product="All",H1346=sel_Product),AND(S1346&gt;=m_From,S1346&lt;=m_To)),1,0)</f>
        <v/>
      </c>
      <c r="W1346" s="36">
        <f>IF(AND(OR(sel_Region="All",C1346=sel_Region),OR(sel_Country="All",D1346=sel_Country),OR(sel_Customer="All",F1346=sel_Customer),OR(sel_Category="All",G1346=sel_Category),OR(sel_Product="All",H1346=sel_Product),AND(S1346&gt;=m_From,S1346&lt;=m_To)),1,0)</f>
        <v/>
      </c>
      <c r="X1346" s="36">
        <f>IF(AND(OR(sel_Region="All",C1346=sel_Region),OR(sel_Country="All",D1346=sel_Country),OR(sel_Channel="All",E1346=sel_Channel),OR(sel_Category="All",G1346=sel_Category),OR(sel_Product="All",H1346=sel_Product),AND(S1346&gt;=m_From,S1346&lt;=m_To)),1,0)</f>
        <v/>
      </c>
      <c r="Y1346" s="36">
        <f>IF(AND(OR(sel_Region="All",C1346=sel_Region),OR(sel_Country="All",D1346=sel_Country),OR(sel_Channel="All",E1346=sel_Channel),OR(sel_Customer="All",F1346=sel_Customer),OR(sel_Product="All",H1346=sel_Product),AND(S1346&gt;=m_From,S1346&lt;=m_To)),1,0)</f>
        <v/>
      </c>
      <c r="Z1346" s="36">
        <f>IF(AND(OR(sel_Region="All",C1346=sel_Region),OR(sel_Country="All",D1346=sel_Country),OR(sel_Channel="All",E1346=sel_Channel),OR(sel_Customer="All",F1346=sel_Customer),OR(sel_Category="All",G1346=sel_Category),AND(S1346&gt;=m_From,S1346&lt;=m_To)),1,0)</f>
        <v/>
      </c>
      <c r="AA1346" s="36">
        <f>IF(AND(OR(sel_Region="All",C1346=sel_Region),OR(sel_Country="All",D1346=sel_Country),OR(sel_Channel="All",E1346=sel_Channel),OR(sel_Customer="All",F1346=sel_Customer),OR(sel_Category="All",G1346=sel_Category),OR(sel_Product="All",H1346=sel_Product)),1,0)</f>
        <v/>
      </c>
    </row>
    <row r="1347">
      <c r="A1347" s="36" t="inlineStr">
        <is>
          <t>03059</t>
        </is>
      </c>
      <c r="B1347" s="44" t="n">
        <v>46215</v>
      </c>
      <c r="C1347" s="36" t="inlineStr">
        <is>
          <t>Southern Europe</t>
        </is>
      </c>
      <c r="D1347" s="36" t="inlineStr">
        <is>
          <t>Spain</t>
        </is>
      </c>
      <c r="E1347" s="36" t="inlineStr">
        <is>
          <t>Online Store</t>
        </is>
      </c>
      <c r="F1347" s="36" t="inlineStr">
        <is>
          <t>Returning</t>
        </is>
      </c>
      <c r="G1347" s="36" t="inlineStr">
        <is>
          <t>Hiking</t>
        </is>
      </c>
      <c r="H1347" s="36" t="inlineStr">
        <is>
          <t>Hiking Daypack 20L</t>
        </is>
      </c>
      <c r="I1347" s="36" t="n">
        <v>1</v>
      </c>
      <c r="J1347" s="39" t="n">
        <v>93.73</v>
      </c>
      <c r="K1347" s="45" t="n">
        <v>0.05</v>
      </c>
      <c r="L1347" s="39" t="n">
        <v>44.51</v>
      </c>
      <c r="M1347" s="39">
        <f>I1347*J1347*(1-K1347)</f>
        <v/>
      </c>
      <c r="N1347" s="39">
        <f>I1347*L1347</f>
        <v/>
      </c>
      <c r="O1347" s="39">
        <f>M1347-N1347</f>
        <v/>
      </c>
      <c r="P1347" s="38">
        <f>IF(M1347=0,0,O1347/M1347)</f>
        <v/>
      </c>
      <c r="Q1347" s="36">
        <f>YEAR(B1347)</f>
        <v/>
      </c>
      <c r="R1347" s="36">
        <f>"Q"&amp;ROUNDUP(MONTH(B1347)/3,0)</f>
        <v/>
      </c>
      <c r="S1347" s="36">
        <f>MONTH(B1347)</f>
        <v/>
      </c>
      <c r="T1347" s="36">
        <f>TEXT(B1347,"mmm")</f>
        <v/>
      </c>
      <c r="U1347" s="36">
        <f>IF(AND(OR(sel_Region="All",C1347=sel_Region),OR(sel_Country="All",D1347=sel_Country),OR(sel_Channel="All",E1347=sel_Channel),OR(sel_Customer="All",F1347=sel_Customer),OR(sel_Category="All",G1347=sel_Category),OR(sel_Product="All",H1347=sel_Product),AND(S1347&gt;=m_From,S1347&lt;=m_To)),1,0)</f>
        <v/>
      </c>
      <c r="V1347" s="36">
        <f>IF(AND(OR(sel_Region="All",C1347=sel_Region),OR(sel_Channel="All",E1347=sel_Channel),OR(sel_Customer="All",F1347=sel_Customer),OR(sel_Category="All",G1347=sel_Category),OR(sel_Product="All",H1347=sel_Product),AND(S1347&gt;=m_From,S1347&lt;=m_To)),1,0)</f>
        <v/>
      </c>
      <c r="W1347" s="36">
        <f>IF(AND(OR(sel_Region="All",C1347=sel_Region),OR(sel_Country="All",D1347=sel_Country),OR(sel_Customer="All",F1347=sel_Customer),OR(sel_Category="All",G1347=sel_Category),OR(sel_Product="All",H1347=sel_Product),AND(S1347&gt;=m_From,S1347&lt;=m_To)),1,0)</f>
        <v/>
      </c>
      <c r="X1347" s="36">
        <f>IF(AND(OR(sel_Region="All",C1347=sel_Region),OR(sel_Country="All",D1347=sel_Country),OR(sel_Channel="All",E1347=sel_Channel),OR(sel_Category="All",G1347=sel_Category),OR(sel_Product="All",H1347=sel_Product),AND(S1347&gt;=m_From,S1347&lt;=m_To)),1,0)</f>
        <v/>
      </c>
      <c r="Y1347" s="36">
        <f>IF(AND(OR(sel_Region="All",C1347=sel_Region),OR(sel_Country="All",D1347=sel_Country),OR(sel_Channel="All",E1347=sel_Channel),OR(sel_Customer="All",F1347=sel_Customer),OR(sel_Product="All",H1347=sel_Product),AND(S1347&gt;=m_From,S1347&lt;=m_To)),1,0)</f>
        <v/>
      </c>
      <c r="Z1347" s="36">
        <f>IF(AND(OR(sel_Region="All",C1347=sel_Region),OR(sel_Country="All",D1347=sel_Country),OR(sel_Channel="All",E1347=sel_Channel),OR(sel_Customer="All",F1347=sel_Customer),OR(sel_Category="All",G1347=sel_Category),AND(S1347&gt;=m_From,S1347&lt;=m_To)),1,0)</f>
        <v/>
      </c>
      <c r="AA1347" s="36">
        <f>IF(AND(OR(sel_Region="All",C1347=sel_Region),OR(sel_Country="All",D1347=sel_Country),OR(sel_Channel="All",E1347=sel_Channel),OR(sel_Customer="All",F1347=sel_Customer),OR(sel_Category="All",G1347=sel_Category),OR(sel_Product="All",H1347=sel_Product)),1,0)</f>
        <v/>
      </c>
    </row>
    <row r="1348">
      <c r="A1348" s="36" t="inlineStr">
        <is>
          <t>03210</t>
        </is>
      </c>
      <c r="B1348" s="44" t="n">
        <v>46215</v>
      </c>
      <c r="C1348" s="36" t="inlineStr">
        <is>
          <t>Southern Europe</t>
        </is>
      </c>
      <c r="D1348" s="36" t="inlineStr">
        <is>
          <t>Spain</t>
        </is>
      </c>
      <c r="E1348" s="36" t="inlineStr">
        <is>
          <t>Online Store</t>
        </is>
      </c>
      <c r="F1348" s="36" t="inlineStr">
        <is>
          <t>Returning</t>
        </is>
      </c>
      <c r="G1348" s="36" t="inlineStr">
        <is>
          <t>Travel</t>
        </is>
      </c>
      <c r="H1348" s="36" t="inlineStr">
        <is>
          <t>Insulated Bottle</t>
        </is>
      </c>
      <c r="I1348" s="36" t="n">
        <v>1</v>
      </c>
      <c r="J1348" s="39" t="n">
        <v>37.09</v>
      </c>
      <c r="K1348" s="45" t="n">
        <v>0</v>
      </c>
      <c r="L1348" s="39" t="n">
        <v>13.43</v>
      </c>
      <c r="M1348" s="39">
        <f>I1348*J1348*(1-K1348)</f>
        <v/>
      </c>
      <c r="N1348" s="39">
        <f>I1348*L1348</f>
        <v/>
      </c>
      <c r="O1348" s="39">
        <f>M1348-N1348</f>
        <v/>
      </c>
      <c r="P1348" s="38">
        <f>IF(M1348=0,0,O1348/M1348)</f>
        <v/>
      </c>
      <c r="Q1348" s="36">
        <f>YEAR(B1348)</f>
        <v/>
      </c>
      <c r="R1348" s="36">
        <f>"Q"&amp;ROUNDUP(MONTH(B1348)/3,0)</f>
        <v/>
      </c>
      <c r="S1348" s="36">
        <f>MONTH(B1348)</f>
        <v/>
      </c>
      <c r="T1348" s="36">
        <f>TEXT(B1348,"mmm")</f>
        <v/>
      </c>
      <c r="U1348" s="36">
        <f>IF(AND(OR(sel_Region="All",C1348=sel_Region),OR(sel_Country="All",D1348=sel_Country),OR(sel_Channel="All",E1348=sel_Channel),OR(sel_Customer="All",F1348=sel_Customer),OR(sel_Category="All",G1348=sel_Category),OR(sel_Product="All",H1348=sel_Product),AND(S1348&gt;=m_From,S1348&lt;=m_To)),1,0)</f>
        <v/>
      </c>
      <c r="V1348" s="36">
        <f>IF(AND(OR(sel_Region="All",C1348=sel_Region),OR(sel_Channel="All",E1348=sel_Channel),OR(sel_Customer="All",F1348=sel_Customer),OR(sel_Category="All",G1348=sel_Category),OR(sel_Product="All",H1348=sel_Product),AND(S1348&gt;=m_From,S1348&lt;=m_To)),1,0)</f>
        <v/>
      </c>
      <c r="W1348" s="36">
        <f>IF(AND(OR(sel_Region="All",C1348=sel_Region),OR(sel_Country="All",D1348=sel_Country),OR(sel_Customer="All",F1348=sel_Customer),OR(sel_Category="All",G1348=sel_Category),OR(sel_Product="All",H1348=sel_Product),AND(S1348&gt;=m_From,S1348&lt;=m_To)),1,0)</f>
        <v/>
      </c>
      <c r="X1348" s="36">
        <f>IF(AND(OR(sel_Region="All",C1348=sel_Region),OR(sel_Country="All",D1348=sel_Country),OR(sel_Channel="All",E1348=sel_Channel),OR(sel_Category="All",G1348=sel_Category),OR(sel_Product="All",H1348=sel_Product),AND(S1348&gt;=m_From,S1348&lt;=m_To)),1,0)</f>
        <v/>
      </c>
      <c r="Y1348" s="36">
        <f>IF(AND(OR(sel_Region="All",C1348=sel_Region),OR(sel_Country="All",D1348=sel_Country),OR(sel_Channel="All",E1348=sel_Channel),OR(sel_Customer="All",F1348=sel_Customer),OR(sel_Product="All",H1348=sel_Product),AND(S1348&gt;=m_From,S1348&lt;=m_To)),1,0)</f>
        <v/>
      </c>
      <c r="Z1348" s="36">
        <f>IF(AND(OR(sel_Region="All",C1348=sel_Region),OR(sel_Country="All",D1348=sel_Country),OR(sel_Channel="All",E1348=sel_Channel),OR(sel_Customer="All",F1348=sel_Customer),OR(sel_Category="All",G1348=sel_Category),AND(S1348&gt;=m_From,S1348&lt;=m_To)),1,0)</f>
        <v/>
      </c>
      <c r="AA1348" s="36">
        <f>IF(AND(OR(sel_Region="All",C1348=sel_Region),OR(sel_Country="All",D1348=sel_Country),OR(sel_Channel="All",E1348=sel_Channel),OR(sel_Customer="All",F1348=sel_Customer),OR(sel_Category="All",G1348=sel_Category),OR(sel_Product="All",H1348=sel_Product)),1,0)</f>
        <v/>
      </c>
    </row>
    <row r="1349">
      <c r="A1349" s="36" t="inlineStr">
        <is>
          <t>03670</t>
        </is>
      </c>
      <c r="B1349" s="44" t="n">
        <v>46215</v>
      </c>
      <c r="C1349" s="36" t="inlineStr">
        <is>
          <t>Southern Europe</t>
        </is>
      </c>
      <c r="D1349" s="36" t="inlineStr">
        <is>
          <t>Spain</t>
        </is>
      </c>
      <c r="E1349" s="36" t="inlineStr">
        <is>
          <t>Retail Partners</t>
        </is>
      </c>
      <c r="F1349" s="36" t="inlineStr">
        <is>
          <t>New</t>
        </is>
      </c>
      <c r="G1349" s="36" t="inlineStr">
        <is>
          <t>Travel</t>
        </is>
      </c>
      <c r="H1349" s="36" t="inlineStr">
        <is>
          <t>Packing Cube Set</t>
        </is>
      </c>
      <c r="I1349" s="36" t="n">
        <v>1</v>
      </c>
      <c r="J1349" s="39" t="n">
        <v>45.43</v>
      </c>
      <c r="K1349" s="45" t="n">
        <v>0</v>
      </c>
      <c r="L1349" s="39" t="n">
        <v>18.66</v>
      </c>
      <c r="M1349" s="39">
        <f>I1349*J1349*(1-K1349)</f>
        <v/>
      </c>
      <c r="N1349" s="39">
        <f>I1349*L1349</f>
        <v/>
      </c>
      <c r="O1349" s="39">
        <f>M1349-N1349</f>
        <v/>
      </c>
      <c r="P1349" s="38">
        <f>IF(M1349=0,0,O1349/M1349)</f>
        <v/>
      </c>
      <c r="Q1349" s="36">
        <f>YEAR(B1349)</f>
        <v/>
      </c>
      <c r="R1349" s="36">
        <f>"Q"&amp;ROUNDUP(MONTH(B1349)/3,0)</f>
        <v/>
      </c>
      <c r="S1349" s="36">
        <f>MONTH(B1349)</f>
        <v/>
      </c>
      <c r="T1349" s="36">
        <f>TEXT(B1349,"mmm")</f>
        <v/>
      </c>
      <c r="U1349" s="36">
        <f>IF(AND(OR(sel_Region="All",C1349=sel_Region),OR(sel_Country="All",D1349=sel_Country),OR(sel_Channel="All",E1349=sel_Channel),OR(sel_Customer="All",F1349=sel_Customer),OR(sel_Category="All",G1349=sel_Category),OR(sel_Product="All",H1349=sel_Product),AND(S1349&gt;=m_From,S1349&lt;=m_To)),1,0)</f>
        <v/>
      </c>
      <c r="V1349" s="36">
        <f>IF(AND(OR(sel_Region="All",C1349=sel_Region),OR(sel_Channel="All",E1349=sel_Channel),OR(sel_Customer="All",F1349=sel_Customer),OR(sel_Category="All",G1349=sel_Category),OR(sel_Product="All",H1349=sel_Product),AND(S1349&gt;=m_From,S1349&lt;=m_To)),1,0)</f>
        <v/>
      </c>
      <c r="W1349" s="36">
        <f>IF(AND(OR(sel_Region="All",C1349=sel_Region),OR(sel_Country="All",D1349=sel_Country),OR(sel_Customer="All",F1349=sel_Customer),OR(sel_Category="All",G1349=sel_Category),OR(sel_Product="All",H1349=sel_Product),AND(S1349&gt;=m_From,S1349&lt;=m_To)),1,0)</f>
        <v/>
      </c>
      <c r="X1349" s="36">
        <f>IF(AND(OR(sel_Region="All",C1349=sel_Region),OR(sel_Country="All",D1349=sel_Country),OR(sel_Channel="All",E1349=sel_Channel),OR(sel_Category="All",G1349=sel_Category),OR(sel_Product="All",H1349=sel_Product),AND(S1349&gt;=m_From,S1349&lt;=m_To)),1,0)</f>
        <v/>
      </c>
      <c r="Y1349" s="36">
        <f>IF(AND(OR(sel_Region="All",C1349=sel_Region),OR(sel_Country="All",D1349=sel_Country),OR(sel_Channel="All",E1349=sel_Channel),OR(sel_Customer="All",F1349=sel_Customer),OR(sel_Product="All",H1349=sel_Product),AND(S1349&gt;=m_From,S1349&lt;=m_To)),1,0)</f>
        <v/>
      </c>
      <c r="Z1349" s="36">
        <f>IF(AND(OR(sel_Region="All",C1349=sel_Region),OR(sel_Country="All",D1349=sel_Country),OR(sel_Channel="All",E1349=sel_Channel),OR(sel_Customer="All",F1349=sel_Customer),OR(sel_Category="All",G1349=sel_Category),AND(S1349&gt;=m_From,S1349&lt;=m_To)),1,0)</f>
        <v/>
      </c>
      <c r="AA1349" s="36">
        <f>IF(AND(OR(sel_Region="All",C1349=sel_Region),OR(sel_Country="All",D1349=sel_Country),OR(sel_Channel="All",E1349=sel_Channel),OR(sel_Customer="All",F1349=sel_Customer),OR(sel_Category="All",G1349=sel_Category),OR(sel_Product="All",H1349=sel_Product)),1,0)</f>
        <v/>
      </c>
    </row>
    <row r="1350">
      <c r="A1350" s="36" t="inlineStr">
        <is>
          <t>04017</t>
        </is>
      </c>
      <c r="B1350" s="44" t="n">
        <v>46215</v>
      </c>
      <c r="C1350" s="36" t="inlineStr">
        <is>
          <t>Western Europe</t>
        </is>
      </c>
      <c r="D1350" s="36" t="inlineStr">
        <is>
          <t>United Kingdom</t>
        </is>
      </c>
      <c r="E1350" s="36" t="inlineStr">
        <is>
          <t>Marketplace</t>
        </is>
      </c>
      <c r="F1350" s="36" t="inlineStr">
        <is>
          <t>New</t>
        </is>
      </c>
      <c r="G1350" s="36" t="inlineStr">
        <is>
          <t>Fitness</t>
        </is>
      </c>
      <c r="H1350" s="36" t="inlineStr">
        <is>
          <t>Resistance Band Set</t>
        </is>
      </c>
      <c r="I1350" s="36" t="n">
        <v>1</v>
      </c>
      <c r="J1350" s="39" t="n">
        <v>39.5</v>
      </c>
      <c r="K1350" s="45" t="n">
        <v>0.1</v>
      </c>
      <c r="L1350" s="39" t="n">
        <v>14.86</v>
      </c>
      <c r="M1350" s="39">
        <f>I1350*J1350*(1-K1350)</f>
        <v/>
      </c>
      <c r="N1350" s="39">
        <f>I1350*L1350</f>
        <v/>
      </c>
      <c r="O1350" s="39">
        <f>M1350-N1350</f>
        <v/>
      </c>
      <c r="P1350" s="38">
        <f>IF(M1350=0,0,O1350/M1350)</f>
        <v/>
      </c>
      <c r="Q1350" s="36">
        <f>YEAR(B1350)</f>
        <v/>
      </c>
      <c r="R1350" s="36">
        <f>"Q"&amp;ROUNDUP(MONTH(B1350)/3,0)</f>
        <v/>
      </c>
      <c r="S1350" s="36">
        <f>MONTH(B1350)</f>
        <v/>
      </c>
      <c r="T1350" s="36">
        <f>TEXT(B1350,"mmm")</f>
        <v/>
      </c>
      <c r="U1350" s="36">
        <f>IF(AND(OR(sel_Region="All",C1350=sel_Region),OR(sel_Country="All",D1350=sel_Country),OR(sel_Channel="All",E1350=sel_Channel),OR(sel_Customer="All",F1350=sel_Customer),OR(sel_Category="All",G1350=sel_Category),OR(sel_Product="All",H1350=sel_Product),AND(S1350&gt;=m_From,S1350&lt;=m_To)),1,0)</f>
        <v/>
      </c>
      <c r="V1350" s="36">
        <f>IF(AND(OR(sel_Region="All",C1350=sel_Region),OR(sel_Channel="All",E1350=sel_Channel),OR(sel_Customer="All",F1350=sel_Customer),OR(sel_Category="All",G1350=sel_Category),OR(sel_Product="All",H1350=sel_Product),AND(S1350&gt;=m_From,S1350&lt;=m_To)),1,0)</f>
        <v/>
      </c>
      <c r="W1350" s="36">
        <f>IF(AND(OR(sel_Region="All",C1350=sel_Region),OR(sel_Country="All",D1350=sel_Country),OR(sel_Customer="All",F1350=sel_Customer),OR(sel_Category="All",G1350=sel_Category),OR(sel_Product="All",H1350=sel_Product),AND(S1350&gt;=m_From,S1350&lt;=m_To)),1,0)</f>
        <v/>
      </c>
      <c r="X1350" s="36">
        <f>IF(AND(OR(sel_Region="All",C1350=sel_Region),OR(sel_Country="All",D1350=sel_Country),OR(sel_Channel="All",E1350=sel_Channel),OR(sel_Category="All",G1350=sel_Category),OR(sel_Product="All",H1350=sel_Product),AND(S1350&gt;=m_From,S1350&lt;=m_To)),1,0)</f>
        <v/>
      </c>
      <c r="Y1350" s="36">
        <f>IF(AND(OR(sel_Region="All",C1350=sel_Region),OR(sel_Country="All",D1350=sel_Country),OR(sel_Channel="All",E1350=sel_Channel),OR(sel_Customer="All",F1350=sel_Customer),OR(sel_Product="All",H1350=sel_Product),AND(S1350&gt;=m_From,S1350&lt;=m_To)),1,0)</f>
        <v/>
      </c>
      <c r="Z1350" s="36">
        <f>IF(AND(OR(sel_Region="All",C1350=sel_Region),OR(sel_Country="All",D1350=sel_Country),OR(sel_Channel="All",E1350=sel_Channel),OR(sel_Customer="All",F1350=sel_Customer),OR(sel_Category="All",G1350=sel_Category),AND(S1350&gt;=m_From,S1350&lt;=m_To)),1,0)</f>
        <v/>
      </c>
      <c r="AA1350" s="36">
        <f>IF(AND(OR(sel_Region="All",C1350=sel_Region),OR(sel_Country="All",D1350=sel_Country),OR(sel_Channel="All",E1350=sel_Channel),OR(sel_Customer="All",F1350=sel_Customer),OR(sel_Category="All",G1350=sel_Category),OR(sel_Product="All",H1350=sel_Product)),1,0)</f>
        <v/>
      </c>
    </row>
    <row r="1351">
      <c r="A1351" s="36" t="inlineStr">
        <is>
          <t>05012</t>
        </is>
      </c>
      <c r="B1351" s="44" t="n">
        <v>46215</v>
      </c>
      <c r="C1351" s="36" t="inlineStr">
        <is>
          <t>Northern Europe</t>
        </is>
      </c>
      <c r="D1351" s="36" t="inlineStr">
        <is>
          <t>Norway</t>
        </is>
      </c>
      <c r="E1351" s="36" t="inlineStr">
        <is>
          <t>Retail Partners</t>
        </is>
      </c>
      <c r="F1351" s="36" t="inlineStr">
        <is>
          <t>Returning</t>
        </is>
      </c>
      <c r="G1351" s="36" t="inlineStr">
        <is>
          <t>Fitness</t>
        </is>
      </c>
      <c r="H1351" s="36" t="inlineStr">
        <is>
          <t>Weighted Vest</t>
        </is>
      </c>
      <c r="I1351" s="36" t="n">
        <v>2</v>
      </c>
      <c r="J1351" s="39" t="n">
        <v>123.58</v>
      </c>
      <c r="K1351" s="45" t="n">
        <v>0.1</v>
      </c>
      <c r="L1351" s="39" t="n">
        <v>68.73999999999999</v>
      </c>
      <c r="M1351" s="39">
        <f>I1351*J1351*(1-K1351)</f>
        <v/>
      </c>
      <c r="N1351" s="39">
        <f>I1351*L1351</f>
        <v/>
      </c>
      <c r="O1351" s="39">
        <f>M1351-N1351</f>
        <v/>
      </c>
      <c r="P1351" s="38">
        <f>IF(M1351=0,0,O1351/M1351)</f>
        <v/>
      </c>
      <c r="Q1351" s="36">
        <f>YEAR(B1351)</f>
        <v/>
      </c>
      <c r="R1351" s="36">
        <f>"Q"&amp;ROUNDUP(MONTH(B1351)/3,0)</f>
        <v/>
      </c>
      <c r="S1351" s="36">
        <f>MONTH(B1351)</f>
        <v/>
      </c>
      <c r="T1351" s="36">
        <f>TEXT(B1351,"mmm")</f>
        <v/>
      </c>
      <c r="U1351" s="36">
        <f>IF(AND(OR(sel_Region="All",C1351=sel_Region),OR(sel_Country="All",D1351=sel_Country),OR(sel_Channel="All",E1351=sel_Channel),OR(sel_Customer="All",F1351=sel_Customer),OR(sel_Category="All",G1351=sel_Category),OR(sel_Product="All",H1351=sel_Product),AND(S1351&gt;=m_From,S1351&lt;=m_To)),1,0)</f>
        <v/>
      </c>
      <c r="V1351" s="36">
        <f>IF(AND(OR(sel_Region="All",C1351=sel_Region),OR(sel_Channel="All",E1351=sel_Channel),OR(sel_Customer="All",F1351=sel_Customer),OR(sel_Category="All",G1351=sel_Category),OR(sel_Product="All",H1351=sel_Product),AND(S1351&gt;=m_From,S1351&lt;=m_To)),1,0)</f>
        <v/>
      </c>
      <c r="W1351" s="36">
        <f>IF(AND(OR(sel_Region="All",C1351=sel_Region),OR(sel_Country="All",D1351=sel_Country),OR(sel_Customer="All",F1351=sel_Customer),OR(sel_Category="All",G1351=sel_Category),OR(sel_Product="All",H1351=sel_Product),AND(S1351&gt;=m_From,S1351&lt;=m_To)),1,0)</f>
        <v/>
      </c>
      <c r="X1351" s="36">
        <f>IF(AND(OR(sel_Region="All",C1351=sel_Region),OR(sel_Country="All",D1351=sel_Country),OR(sel_Channel="All",E1351=sel_Channel),OR(sel_Category="All",G1351=sel_Category),OR(sel_Product="All",H1351=sel_Product),AND(S1351&gt;=m_From,S1351&lt;=m_To)),1,0)</f>
        <v/>
      </c>
      <c r="Y1351" s="36">
        <f>IF(AND(OR(sel_Region="All",C1351=sel_Region),OR(sel_Country="All",D1351=sel_Country),OR(sel_Channel="All",E1351=sel_Channel),OR(sel_Customer="All",F1351=sel_Customer),OR(sel_Product="All",H1351=sel_Product),AND(S1351&gt;=m_From,S1351&lt;=m_To)),1,0)</f>
        <v/>
      </c>
      <c r="Z1351" s="36">
        <f>IF(AND(OR(sel_Region="All",C1351=sel_Region),OR(sel_Country="All",D1351=sel_Country),OR(sel_Channel="All",E1351=sel_Channel),OR(sel_Customer="All",F1351=sel_Customer),OR(sel_Category="All",G1351=sel_Category),AND(S1351&gt;=m_From,S1351&lt;=m_To)),1,0)</f>
        <v/>
      </c>
      <c r="AA1351" s="36">
        <f>IF(AND(OR(sel_Region="All",C1351=sel_Region),OR(sel_Country="All",D1351=sel_Country),OR(sel_Channel="All",E1351=sel_Channel),OR(sel_Customer="All",F1351=sel_Customer),OR(sel_Category="All",G1351=sel_Category),OR(sel_Product="All",H1351=sel_Product)),1,0)</f>
        <v/>
      </c>
    </row>
    <row r="1352">
      <c r="A1352" s="36" t="inlineStr">
        <is>
          <t>00884</t>
        </is>
      </c>
      <c r="B1352" s="44" t="n">
        <v>46216</v>
      </c>
      <c r="C1352" s="36" t="inlineStr">
        <is>
          <t>Western Europe</t>
        </is>
      </c>
      <c r="D1352" s="36" t="inlineStr">
        <is>
          <t>France</t>
        </is>
      </c>
      <c r="E1352" s="36" t="inlineStr">
        <is>
          <t>Retail Partners</t>
        </is>
      </c>
      <c r="F1352" s="36" t="inlineStr">
        <is>
          <t>Returning</t>
        </is>
      </c>
      <c r="G1352" s="36" t="inlineStr">
        <is>
          <t>Cycling</t>
        </is>
      </c>
      <c r="H1352" s="36" t="inlineStr">
        <is>
          <t>Cycling Pack 12L</t>
        </is>
      </c>
      <c r="I1352" s="36" t="n">
        <v>1</v>
      </c>
      <c r="J1352" s="39" t="n">
        <v>103.61</v>
      </c>
      <c r="K1352" s="45" t="n">
        <v>0</v>
      </c>
      <c r="L1352" s="39" t="n">
        <v>51.84</v>
      </c>
      <c r="M1352" s="39">
        <f>I1352*J1352*(1-K1352)</f>
        <v/>
      </c>
      <c r="N1352" s="39">
        <f>I1352*L1352</f>
        <v/>
      </c>
      <c r="O1352" s="39">
        <f>M1352-N1352</f>
        <v/>
      </c>
      <c r="P1352" s="38">
        <f>IF(M1352=0,0,O1352/M1352)</f>
        <v/>
      </c>
      <c r="Q1352" s="36">
        <f>YEAR(B1352)</f>
        <v/>
      </c>
      <c r="R1352" s="36">
        <f>"Q"&amp;ROUNDUP(MONTH(B1352)/3,0)</f>
        <v/>
      </c>
      <c r="S1352" s="36">
        <f>MONTH(B1352)</f>
        <v/>
      </c>
      <c r="T1352" s="36">
        <f>TEXT(B1352,"mmm")</f>
        <v/>
      </c>
      <c r="U1352" s="36">
        <f>IF(AND(OR(sel_Region="All",C1352=sel_Region),OR(sel_Country="All",D1352=sel_Country),OR(sel_Channel="All",E1352=sel_Channel),OR(sel_Customer="All",F1352=sel_Customer),OR(sel_Category="All",G1352=sel_Category),OR(sel_Product="All",H1352=sel_Product),AND(S1352&gt;=m_From,S1352&lt;=m_To)),1,0)</f>
        <v/>
      </c>
      <c r="V1352" s="36">
        <f>IF(AND(OR(sel_Region="All",C1352=sel_Region),OR(sel_Channel="All",E1352=sel_Channel),OR(sel_Customer="All",F1352=sel_Customer),OR(sel_Category="All",G1352=sel_Category),OR(sel_Product="All",H1352=sel_Product),AND(S1352&gt;=m_From,S1352&lt;=m_To)),1,0)</f>
        <v/>
      </c>
      <c r="W1352" s="36">
        <f>IF(AND(OR(sel_Region="All",C1352=sel_Region),OR(sel_Country="All",D1352=sel_Country),OR(sel_Customer="All",F1352=sel_Customer),OR(sel_Category="All",G1352=sel_Category),OR(sel_Product="All",H1352=sel_Product),AND(S1352&gt;=m_From,S1352&lt;=m_To)),1,0)</f>
        <v/>
      </c>
      <c r="X1352" s="36">
        <f>IF(AND(OR(sel_Region="All",C1352=sel_Region),OR(sel_Country="All",D1352=sel_Country),OR(sel_Channel="All",E1352=sel_Channel),OR(sel_Category="All",G1352=sel_Category),OR(sel_Product="All",H1352=sel_Product),AND(S1352&gt;=m_From,S1352&lt;=m_To)),1,0)</f>
        <v/>
      </c>
      <c r="Y1352" s="36">
        <f>IF(AND(OR(sel_Region="All",C1352=sel_Region),OR(sel_Country="All",D1352=sel_Country),OR(sel_Channel="All",E1352=sel_Channel),OR(sel_Customer="All",F1352=sel_Customer),OR(sel_Product="All",H1352=sel_Product),AND(S1352&gt;=m_From,S1352&lt;=m_To)),1,0)</f>
        <v/>
      </c>
      <c r="Z1352" s="36">
        <f>IF(AND(OR(sel_Region="All",C1352=sel_Region),OR(sel_Country="All",D1352=sel_Country),OR(sel_Channel="All",E1352=sel_Channel),OR(sel_Customer="All",F1352=sel_Customer),OR(sel_Category="All",G1352=sel_Category),AND(S1352&gt;=m_From,S1352&lt;=m_To)),1,0)</f>
        <v/>
      </c>
      <c r="AA1352" s="36">
        <f>IF(AND(OR(sel_Region="All",C1352=sel_Region),OR(sel_Country="All",D1352=sel_Country),OR(sel_Channel="All",E1352=sel_Channel),OR(sel_Customer="All",F1352=sel_Customer),OR(sel_Category="All",G1352=sel_Category),OR(sel_Product="All",H1352=sel_Product)),1,0)</f>
        <v/>
      </c>
    </row>
    <row r="1353">
      <c r="A1353" s="36" t="inlineStr">
        <is>
          <t>01025</t>
        </is>
      </c>
      <c r="B1353" s="44" t="n">
        <v>46216</v>
      </c>
      <c r="C1353" s="36" t="inlineStr">
        <is>
          <t>Northern Europe</t>
        </is>
      </c>
      <c r="D1353" s="36" t="inlineStr">
        <is>
          <t>Sweden</t>
        </is>
      </c>
      <c r="E1353" s="36" t="inlineStr">
        <is>
          <t>Retail Partners</t>
        </is>
      </c>
      <c r="F1353" s="36" t="inlineStr">
        <is>
          <t>Returning</t>
        </is>
      </c>
      <c r="G1353" s="36" t="inlineStr">
        <is>
          <t>Hiking</t>
        </is>
      </c>
      <c r="H1353" s="36" t="inlineStr">
        <is>
          <t>Trail Boots</t>
        </is>
      </c>
      <c r="I1353" s="36" t="n">
        <v>2</v>
      </c>
      <c r="J1353" s="39" t="n">
        <v>145.75</v>
      </c>
      <c r="K1353" s="45" t="n">
        <v>0.05</v>
      </c>
      <c r="L1353" s="39" t="n">
        <v>79.31999999999999</v>
      </c>
      <c r="M1353" s="39">
        <f>I1353*J1353*(1-K1353)</f>
        <v/>
      </c>
      <c r="N1353" s="39">
        <f>I1353*L1353</f>
        <v/>
      </c>
      <c r="O1353" s="39">
        <f>M1353-N1353</f>
        <v/>
      </c>
      <c r="P1353" s="38">
        <f>IF(M1353=0,0,O1353/M1353)</f>
        <v/>
      </c>
      <c r="Q1353" s="36">
        <f>YEAR(B1353)</f>
        <v/>
      </c>
      <c r="R1353" s="36">
        <f>"Q"&amp;ROUNDUP(MONTH(B1353)/3,0)</f>
        <v/>
      </c>
      <c r="S1353" s="36">
        <f>MONTH(B1353)</f>
        <v/>
      </c>
      <c r="T1353" s="36">
        <f>TEXT(B1353,"mmm")</f>
        <v/>
      </c>
      <c r="U1353" s="36">
        <f>IF(AND(OR(sel_Region="All",C1353=sel_Region),OR(sel_Country="All",D1353=sel_Country),OR(sel_Channel="All",E1353=sel_Channel),OR(sel_Customer="All",F1353=sel_Customer),OR(sel_Category="All",G1353=sel_Category),OR(sel_Product="All",H1353=sel_Product),AND(S1353&gt;=m_From,S1353&lt;=m_To)),1,0)</f>
        <v/>
      </c>
      <c r="V1353" s="36">
        <f>IF(AND(OR(sel_Region="All",C1353=sel_Region),OR(sel_Channel="All",E1353=sel_Channel),OR(sel_Customer="All",F1353=sel_Customer),OR(sel_Category="All",G1353=sel_Category),OR(sel_Product="All",H1353=sel_Product),AND(S1353&gt;=m_From,S1353&lt;=m_To)),1,0)</f>
        <v/>
      </c>
      <c r="W1353" s="36">
        <f>IF(AND(OR(sel_Region="All",C1353=sel_Region),OR(sel_Country="All",D1353=sel_Country),OR(sel_Customer="All",F1353=sel_Customer),OR(sel_Category="All",G1353=sel_Category),OR(sel_Product="All",H1353=sel_Product),AND(S1353&gt;=m_From,S1353&lt;=m_To)),1,0)</f>
        <v/>
      </c>
      <c r="X1353" s="36">
        <f>IF(AND(OR(sel_Region="All",C1353=sel_Region),OR(sel_Country="All",D1353=sel_Country),OR(sel_Channel="All",E1353=sel_Channel),OR(sel_Category="All",G1353=sel_Category),OR(sel_Product="All",H1353=sel_Product),AND(S1353&gt;=m_From,S1353&lt;=m_To)),1,0)</f>
        <v/>
      </c>
      <c r="Y1353" s="36">
        <f>IF(AND(OR(sel_Region="All",C1353=sel_Region),OR(sel_Country="All",D1353=sel_Country),OR(sel_Channel="All",E1353=sel_Channel),OR(sel_Customer="All",F1353=sel_Customer),OR(sel_Product="All",H1353=sel_Product),AND(S1353&gt;=m_From,S1353&lt;=m_To)),1,0)</f>
        <v/>
      </c>
      <c r="Z1353" s="36">
        <f>IF(AND(OR(sel_Region="All",C1353=sel_Region),OR(sel_Country="All",D1353=sel_Country),OR(sel_Channel="All",E1353=sel_Channel),OR(sel_Customer="All",F1353=sel_Customer),OR(sel_Category="All",G1353=sel_Category),AND(S1353&gt;=m_From,S1353&lt;=m_To)),1,0)</f>
        <v/>
      </c>
      <c r="AA1353" s="36">
        <f>IF(AND(OR(sel_Region="All",C1353=sel_Region),OR(sel_Country="All",D1353=sel_Country),OR(sel_Channel="All",E1353=sel_Channel),OR(sel_Customer="All",F1353=sel_Customer),OR(sel_Category="All",G1353=sel_Category),OR(sel_Product="All",H1353=sel_Product)),1,0)</f>
        <v/>
      </c>
    </row>
    <row r="1354">
      <c r="A1354" s="36" t="inlineStr">
        <is>
          <t>01279</t>
        </is>
      </c>
      <c r="B1354" s="44" t="n">
        <v>46216</v>
      </c>
      <c r="C1354" s="36" t="inlineStr">
        <is>
          <t>Western Europe</t>
        </is>
      </c>
      <c r="D1354" s="36" t="inlineStr">
        <is>
          <t>United Kingdom</t>
        </is>
      </c>
      <c r="E1354" s="36" t="inlineStr">
        <is>
          <t>Marketplace</t>
        </is>
      </c>
      <c r="F1354" s="36" t="inlineStr">
        <is>
          <t>New</t>
        </is>
      </c>
      <c r="G1354" s="36" t="inlineStr">
        <is>
          <t>Camping</t>
        </is>
      </c>
      <c r="H1354" s="36" t="inlineStr">
        <is>
          <t>Trail Tent 2P</t>
        </is>
      </c>
      <c r="I1354" s="36" t="n">
        <v>2</v>
      </c>
      <c r="J1354" s="39" t="n">
        <v>193.76</v>
      </c>
      <c r="K1354" s="45" t="n">
        <v>0.1</v>
      </c>
      <c r="L1354" s="39" t="n">
        <v>104.66</v>
      </c>
      <c r="M1354" s="39">
        <f>I1354*J1354*(1-K1354)</f>
        <v/>
      </c>
      <c r="N1354" s="39">
        <f>I1354*L1354</f>
        <v/>
      </c>
      <c r="O1354" s="39">
        <f>M1354-N1354</f>
        <v/>
      </c>
      <c r="P1354" s="38">
        <f>IF(M1354=0,0,O1354/M1354)</f>
        <v/>
      </c>
      <c r="Q1354" s="36">
        <f>YEAR(B1354)</f>
        <v/>
      </c>
      <c r="R1354" s="36">
        <f>"Q"&amp;ROUNDUP(MONTH(B1354)/3,0)</f>
        <v/>
      </c>
      <c r="S1354" s="36">
        <f>MONTH(B1354)</f>
        <v/>
      </c>
      <c r="T1354" s="36">
        <f>TEXT(B1354,"mmm")</f>
        <v/>
      </c>
      <c r="U1354" s="36">
        <f>IF(AND(OR(sel_Region="All",C1354=sel_Region),OR(sel_Country="All",D1354=sel_Country),OR(sel_Channel="All",E1354=sel_Channel),OR(sel_Customer="All",F1354=sel_Customer),OR(sel_Category="All",G1354=sel_Category),OR(sel_Product="All",H1354=sel_Product),AND(S1354&gt;=m_From,S1354&lt;=m_To)),1,0)</f>
        <v/>
      </c>
      <c r="V1354" s="36">
        <f>IF(AND(OR(sel_Region="All",C1354=sel_Region),OR(sel_Channel="All",E1354=sel_Channel),OR(sel_Customer="All",F1354=sel_Customer),OR(sel_Category="All",G1354=sel_Category),OR(sel_Product="All",H1354=sel_Product),AND(S1354&gt;=m_From,S1354&lt;=m_To)),1,0)</f>
        <v/>
      </c>
      <c r="W1354" s="36">
        <f>IF(AND(OR(sel_Region="All",C1354=sel_Region),OR(sel_Country="All",D1354=sel_Country),OR(sel_Customer="All",F1354=sel_Customer),OR(sel_Category="All",G1354=sel_Category),OR(sel_Product="All",H1354=sel_Product),AND(S1354&gt;=m_From,S1354&lt;=m_To)),1,0)</f>
        <v/>
      </c>
      <c r="X1354" s="36">
        <f>IF(AND(OR(sel_Region="All",C1354=sel_Region),OR(sel_Country="All",D1354=sel_Country),OR(sel_Channel="All",E1354=sel_Channel),OR(sel_Category="All",G1354=sel_Category),OR(sel_Product="All",H1354=sel_Product),AND(S1354&gt;=m_From,S1354&lt;=m_To)),1,0)</f>
        <v/>
      </c>
      <c r="Y1354" s="36">
        <f>IF(AND(OR(sel_Region="All",C1354=sel_Region),OR(sel_Country="All",D1354=sel_Country),OR(sel_Channel="All",E1354=sel_Channel),OR(sel_Customer="All",F1354=sel_Customer),OR(sel_Product="All",H1354=sel_Product),AND(S1354&gt;=m_From,S1354&lt;=m_To)),1,0)</f>
        <v/>
      </c>
      <c r="Z1354" s="36">
        <f>IF(AND(OR(sel_Region="All",C1354=sel_Region),OR(sel_Country="All",D1354=sel_Country),OR(sel_Channel="All",E1354=sel_Channel),OR(sel_Customer="All",F1354=sel_Customer),OR(sel_Category="All",G1354=sel_Category),AND(S1354&gt;=m_From,S1354&lt;=m_To)),1,0)</f>
        <v/>
      </c>
      <c r="AA1354" s="36">
        <f>IF(AND(OR(sel_Region="All",C1354=sel_Region),OR(sel_Country="All",D1354=sel_Country),OR(sel_Channel="All",E1354=sel_Channel),OR(sel_Customer="All",F1354=sel_Customer),OR(sel_Category="All",G1354=sel_Category),OR(sel_Product="All",H1354=sel_Product)),1,0)</f>
        <v/>
      </c>
    </row>
    <row r="1355">
      <c r="A1355" s="36" t="inlineStr">
        <is>
          <t>01534</t>
        </is>
      </c>
      <c r="B1355" s="44" t="n">
        <v>46216</v>
      </c>
      <c r="C1355" s="36" t="inlineStr">
        <is>
          <t>Northern Europe</t>
        </is>
      </c>
      <c r="D1355" s="36" t="inlineStr">
        <is>
          <t>Norway</t>
        </is>
      </c>
      <c r="E1355" s="36" t="inlineStr">
        <is>
          <t>Online Store</t>
        </is>
      </c>
      <c r="F1355" s="36" t="inlineStr">
        <is>
          <t>Returning</t>
        </is>
      </c>
      <c r="G1355" s="36" t="inlineStr">
        <is>
          <t>Hiking</t>
        </is>
      </c>
      <c r="H1355" s="36" t="inlineStr">
        <is>
          <t>Trail Boots</t>
        </is>
      </c>
      <c r="I1355" s="36" t="n">
        <v>2</v>
      </c>
      <c r="J1355" s="39" t="n">
        <v>146.09</v>
      </c>
      <c r="K1355" s="45" t="n">
        <v>0.1</v>
      </c>
      <c r="L1355" s="39" t="n">
        <v>79.36</v>
      </c>
      <c r="M1355" s="39">
        <f>I1355*J1355*(1-K1355)</f>
        <v/>
      </c>
      <c r="N1355" s="39">
        <f>I1355*L1355</f>
        <v/>
      </c>
      <c r="O1355" s="39">
        <f>M1355-N1355</f>
        <v/>
      </c>
      <c r="P1355" s="38">
        <f>IF(M1355=0,0,O1355/M1355)</f>
        <v/>
      </c>
      <c r="Q1355" s="36">
        <f>YEAR(B1355)</f>
        <v/>
      </c>
      <c r="R1355" s="36">
        <f>"Q"&amp;ROUNDUP(MONTH(B1355)/3,0)</f>
        <v/>
      </c>
      <c r="S1355" s="36">
        <f>MONTH(B1355)</f>
        <v/>
      </c>
      <c r="T1355" s="36">
        <f>TEXT(B1355,"mmm")</f>
        <v/>
      </c>
      <c r="U1355" s="36">
        <f>IF(AND(OR(sel_Region="All",C1355=sel_Region),OR(sel_Country="All",D1355=sel_Country),OR(sel_Channel="All",E1355=sel_Channel),OR(sel_Customer="All",F1355=sel_Customer),OR(sel_Category="All",G1355=sel_Category),OR(sel_Product="All",H1355=sel_Product),AND(S1355&gt;=m_From,S1355&lt;=m_To)),1,0)</f>
        <v/>
      </c>
      <c r="V1355" s="36">
        <f>IF(AND(OR(sel_Region="All",C1355=sel_Region),OR(sel_Channel="All",E1355=sel_Channel),OR(sel_Customer="All",F1355=sel_Customer),OR(sel_Category="All",G1355=sel_Category),OR(sel_Product="All",H1355=sel_Product),AND(S1355&gt;=m_From,S1355&lt;=m_To)),1,0)</f>
        <v/>
      </c>
      <c r="W1355" s="36">
        <f>IF(AND(OR(sel_Region="All",C1355=sel_Region),OR(sel_Country="All",D1355=sel_Country),OR(sel_Customer="All",F1355=sel_Customer),OR(sel_Category="All",G1355=sel_Category),OR(sel_Product="All",H1355=sel_Product),AND(S1355&gt;=m_From,S1355&lt;=m_To)),1,0)</f>
        <v/>
      </c>
      <c r="X1355" s="36">
        <f>IF(AND(OR(sel_Region="All",C1355=sel_Region),OR(sel_Country="All",D1355=sel_Country),OR(sel_Channel="All",E1355=sel_Channel),OR(sel_Category="All",G1355=sel_Category),OR(sel_Product="All",H1355=sel_Product),AND(S1355&gt;=m_From,S1355&lt;=m_To)),1,0)</f>
        <v/>
      </c>
      <c r="Y1355" s="36">
        <f>IF(AND(OR(sel_Region="All",C1355=sel_Region),OR(sel_Country="All",D1355=sel_Country),OR(sel_Channel="All",E1355=sel_Channel),OR(sel_Customer="All",F1355=sel_Customer),OR(sel_Product="All",H1355=sel_Product),AND(S1355&gt;=m_From,S1355&lt;=m_To)),1,0)</f>
        <v/>
      </c>
      <c r="Z1355" s="36">
        <f>IF(AND(OR(sel_Region="All",C1355=sel_Region),OR(sel_Country="All",D1355=sel_Country),OR(sel_Channel="All",E1355=sel_Channel),OR(sel_Customer="All",F1355=sel_Customer),OR(sel_Category="All",G1355=sel_Category),AND(S1355&gt;=m_From,S1355&lt;=m_To)),1,0)</f>
        <v/>
      </c>
      <c r="AA1355" s="36">
        <f>IF(AND(OR(sel_Region="All",C1355=sel_Region),OR(sel_Country="All",D1355=sel_Country),OR(sel_Channel="All",E1355=sel_Channel),OR(sel_Customer="All",F1355=sel_Customer),OR(sel_Category="All",G1355=sel_Category),OR(sel_Product="All",H1355=sel_Product)),1,0)</f>
        <v/>
      </c>
    </row>
    <row r="1356">
      <c r="A1356" s="36" t="inlineStr">
        <is>
          <t>02147</t>
        </is>
      </c>
      <c r="B1356" s="44" t="n">
        <v>46216</v>
      </c>
      <c r="C1356" s="36" t="inlineStr">
        <is>
          <t>Central Europe</t>
        </is>
      </c>
      <c r="D1356" s="36" t="inlineStr">
        <is>
          <t>Poland</t>
        </is>
      </c>
      <c r="E1356" s="36" t="inlineStr">
        <is>
          <t>Retail Partners</t>
        </is>
      </c>
      <c r="F1356" s="36" t="inlineStr">
        <is>
          <t>New</t>
        </is>
      </c>
      <c r="G1356" s="36" t="inlineStr">
        <is>
          <t>Travel</t>
        </is>
      </c>
      <c r="H1356" s="36" t="inlineStr">
        <is>
          <t>Carry-On Duffel</t>
        </is>
      </c>
      <c r="I1356" s="36" t="n">
        <v>1</v>
      </c>
      <c r="J1356" s="39" t="n">
        <v>131.92</v>
      </c>
      <c r="K1356" s="45" t="n">
        <v>0</v>
      </c>
      <c r="L1356" s="39" t="n">
        <v>66.19</v>
      </c>
      <c r="M1356" s="39">
        <f>I1356*J1356*(1-K1356)</f>
        <v/>
      </c>
      <c r="N1356" s="39">
        <f>I1356*L1356</f>
        <v/>
      </c>
      <c r="O1356" s="39">
        <f>M1356-N1356</f>
        <v/>
      </c>
      <c r="P1356" s="38">
        <f>IF(M1356=0,0,O1356/M1356)</f>
        <v/>
      </c>
      <c r="Q1356" s="36">
        <f>YEAR(B1356)</f>
        <v/>
      </c>
      <c r="R1356" s="36">
        <f>"Q"&amp;ROUNDUP(MONTH(B1356)/3,0)</f>
        <v/>
      </c>
      <c r="S1356" s="36">
        <f>MONTH(B1356)</f>
        <v/>
      </c>
      <c r="T1356" s="36">
        <f>TEXT(B1356,"mmm")</f>
        <v/>
      </c>
      <c r="U1356" s="36">
        <f>IF(AND(OR(sel_Region="All",C1356=sel_Region),OR(sel_Country="All",D1356=sel_Country),OR(sel_Channel="All",E1356=sel_Channel),OR(sel_Customer="All",F1356=sel_Customer),OR(sel_Category="All",G1356=sel_Category),OR(sel_Product="All",H1356=sel_Product),AND(S1356&gt;=m_From,S1356&lt;=m_To)),1,0)</f>
        <v/>
      </c>
      <c r="V1356" s="36">
        <f>IF(AND(OR(sel_Region="All",C1356=sel_Region),OR(sel_Channel="All",E1356=sel_Channel),OR(sel_Customer="All",F1356=sel_Customer),OR(sel_Category="All",G1356=sel_Category),OR(sel_Product="All",H1356=sel_Product),AND(S1356&gt;=m_From,S1356&lt;=m_To)),1,0)</f>
        <v/>
      </c>
      <c r="W1356" s="36">
        <f>IF(AND(OR(sel_Region="All",C1356=sel_Region),OR(sel_Country="All",D1356=sel_Country),OR(sel_Customer="All",F1356=sel_Customer),OR(sel_Category="All",G1356=sel_Category),OR(sel_Product="All",H1356=sel_Product),AND(S1356&gt;=m_From,S1356&lt;=m_To)),1,0)</f>
        <v/>
      </c>
      <c r="X1356" s="36">
        <f>IF(AND(OR(sel_Region="All",C1356=sel_Region),OR(sel_Country="All",D1356=sel_Country),OR(sel_Channel="All",E1356=sel_Channel),OR(sel_Category="All",G1356=sel_Category),OR(sel_Product="All",H1356=sel_Product),AND(S1356&gt;=m_From,S1356&lt;=m_To)),1,0)</f>
        <v/>
      </c>
      <c r="Y1356" s="36">
        <f>IF(AND(OR(sel_Region="All",C1356=sel_Region),OR(sel_Country="All",D1356=sel_Country),OR(sel_Channel="All",E1356=sel_Channel),OR(sel_Customer="All",F1356=sel_Customer),OR(sel_Product="All",H1356=sel_Product),AND(S1356&gt;=m_From,S1356&lt;=m_To)),1,0)</f>
        <v/>
      </c>
      <c r="Z1356" s="36">
        <f>IF(AND(OR(sel_Region="All",C1356=sel_Region),OR(sel_Country="All",D1356=sel_Country),OR(sel_Channel="All",E1356=sel_Channel),OR(sel_Customer="All",F1356=sel_Customer),OR(sel_Category="All",G1356=sel_Category),AND(S1356&gt;=m_From,S1356&lt;=m_To)),1,0)</f>
        <v/>
      </c>
      <c r="AA1356" s="36">
        <f>IF(AND(OR(sel_Region="All",C1356=sel_Region),OR(sel_Country="All",D1356=sel_Country),OR(sel_Channel="All",E1356=sel_Channel),OR(sel_Customer="All",F1356=sel_Customer),OR(sel_Category="All",G1356=sel_Category),OR(sel_Product="All",H1356=sel_Product)),1,0)</f>
        <v/>
      </c>
    </row>
    <row r="1357">
      <c r="A1357" s="36" t="inlineStr">
        <is>
          <t>02385</t>
        </is>
      </c>
      <c r="B1357" s="44" t="n">
        <v>46216</v>
      </c>
      <c r="C1357" s="36" t="inlineStr">
        <is>
          <t>Central Europe</t>
        </is>
      </c>
      <c r="D1357" s="36" t="inlineStr">
        <is>
          <t>Switzerland</t>
        </is>
      </c>
      <c r="E1357" s="36" t="inlineStr">
        <is>
          <t>Corporate</t>
        </is>
      </c>
      <c r="F1357" s="36" t="inlineStr">
        <is>
          <t>Business</t>
        </is>
      </c>
      <c r="G1357" s="36" t="inlineStr">
        <is>
          <t>Camping</t>
        </is>
      </c>
      <c r="H1357" s="36" t="inlineStr">
        <is>
          <t>Portable Camp Stove</t>
        </is>
      </c>
      <c r="I1357" s="36" t="n">
        <v>6</v>
      </c>
      <c r="J1357" s="39" t="n">
        <v>83.28</v>
      </c>
      <c r="K1357" s="45" t="n">
        <v>0.15</v>
      </c>
      <c r="L1357" s="39" t="n">
        <v>38.76</v>
      </c>
      <c r="M1357" s="39">
        <f>I1357*J1357*(1-K1357)</f>
        <v/>
      </c>
      <c r="N1357" s="39">
        <f>I1357*L1357</f>
        <v/>
      </c>
      <c r="O1357" s="39">
        <f>M1357-N1357</f>
        <v/>
      </c>
      <c r="P1357" s="38">
        <f>IF(M1357=0,0,O1357/M1357)</f>
        <v/>
      </c>
      <c r="Q1357" s="36">
        <f>YEAR(B1357)</f>
        <v/>
      </c>
      <c r="R1357" s="36">
        <f>"Q"&amp;ROUNDUP(MONTH(B1357)/3,0)</f>
        <v/>
      </c>
      <c r="S1357" s="36">
        <f>MONTH(B1357)</f>
        <v/>
      </c>
      <c r="T1357" s="36">
        <f>TEXT(B1357,"mmm")</f>
        <v/>
      </c>
      <c r="U1357" s="36">
        <f>IF(AND(OR(sel_Region="All",C1357=sel_Region),OR(sel_Country="All",D1357=sel_Country),OR(sel_Channel="All",E1357=sel_Channel),OR(sel_Customer="All",F1357=sel_Customer),OR(sel_Category="All",G1357=sel_Category),OR(sel_Product="All",H1357=sel_Product),AND(S1357&gt;=m_From,S1357&lt;=m_To)),1,0)</f>
        <v/>
      </c>
      <c r="V1357" s="36">
        <f>IF(AND(OR(sel_Region="All",C1357=sel_Region),OR(sel_Channel="All",E1357=sel_Channel),OR(sel_Customer="All",F1357=sel_Customer),OR(sel_Category="All",G1357=sel_Category),OR(sel_Product="All",H1357=sel_Product),AND(S1357&gt;=m_From,S1357&lt;=m_To)),1,0)</f>
        <v/>
      </c>
      <c r="W1357" s="36">
        <f>IF(AND(OR(sel_Region="All",C1357=sel_Region),OR(sel_Country="All",D1357=sel_Country),OR(sel_Customer="All",F1357=sel_Customer),OR(sel_Category="All",G1357=sel_Category),OR(sel_Product="All",H1357=sel_Product),AND(S1357&gt;=m_From,S1357&lt;=m_To)),1,0)</f>
        <v/>
      </c>
      <c r="X1357" s="36">
        <f>IF(AND(OR(sel_Region="All",C1357=sel_Region),OR(sel_Country="All",D1357=sel_Country),OR(sel_Channel="All",E1357=sel_Channel),OR(sel_Category="All",G1357=sel_Category),OR(sel_Product="All",H1357=sel_Product),AND(S1357&gt;=m_From,S1357&lt;=m_To)),1,0)</f>
        <v/>
      </c>
      <c r="Y1357" s="36">
        <f>IF(AND(OR(sel_Region="All",C1357=sel_Region),OR(sel_Country="All",D1357=sel_Country),OR(sel_Channel="All",E1357=sel_Channel),OR(sel_Customer="All",F1357=sel_Customer),OR(sel_Product="All",H1357=sel_Product),AND(S1357&gt;=m_From,S1357&lt;=m_To)),1,0)</f>
        <v/>
      </c>
      <c r="Z1357" s="36">
        <f>IF(AND(OR(sel_Region="All",C1357=sel_Region),OR(sel_Country="All",D1357=sel_Country),OR(sel_Channel="All",E1357=sel_Channel),OR(sel_Customer="All",F1357=sel_Customer),OR(sel_Category="All",G1357=sel_Category),AND(S1357&gt;=m_From,S1357&lt;=m_To)),1,0)</f>
        <v/>
      </c>
      <c r="AA1357" s="36">
        <f>IF(AND(OR(sel_Region="All",C1357=sel_Region),OR(sel_Country="All",D1357=sel_Country),OR(sel_Channel="All",E1357=sel_Channel),OR(sel_Customer="All",F1357=sel_Customer),OR(sel_Category="All",G1357=sel_Category),OR(sel_Product="All",H1357=sel_Product)),1,0)</f>
        <v/>
      </c>
    </row>
    <row r="1358">
      <c r="A1358" s="36" t="inlineStr">
        <is>
          <t>02517</t>
        </is>
      </c>
      <c r="B1358" s="44" t="n">
        <v>46216</v>
      </c>
      <c r="C1358" s="36" t="inlineStr">
        <is>
          <t>Central Europe</t>
        </is>
      </c>
      <c r="D1358" s="36" t="inlineStr">
        <is>
          <t>Austria</t>
        </is>
      </c>
      <c r="E1358" s="36" t="inlineStr">
        <is>
          <t>Online Store</t>
        </is>
      </c>
      <c r="F1358" s="36" t="inlineStr">
        <is>
          <t>New</t>
        </is>
      </c>
      <c r="G1358" s="36" t="inlineStr">
        <is>
          <t>Travel</t>
        </is>
      </c>
      <c r="H1358" s="36" t="inlineStr">
        <is>
          <t>Insulated Bottle</t>
        </is>
      </c>
      <c r="I1358" s="36" t="n">
        <v>1</v>
      </c>
      <c r="J1358" s="39" t="n">
        <v>36.48</v>
      </c>
      <c r="K1358" s="45" t="n">
        <v>0.05</v>
      </c>
      <c r="L1358" s="39" t="n">
        <v>13.22</v>
      </c>
      <c r="M1358" s="39">
        <f>I1358*J1358*(1-K1358)</f>
        <v/>
      </c>
      <c r="N1358" s="39">
        <f>I1358*L1358</f>
        <v/>
      </c>
      <c r="O1358" s="39">
        <f>M1358-N1358</f>
        <v/>
      </c>
      <c r="P1358" s="38">
        <f>IF(M1358=0,0,O1358/M1358)</f>
        <v/>
      </c>
      <c r="Q1358" s="36">
        <f>YEAR(B1358)</f>
        <v/>
      </c>
      <c r="R1358" s="36">
        <f>"Q"&amp;ROUNDUP(MONTH(B1358)/3,0)</f>
        <v/>
      </c>
      <c r="S1358" s="36">
        <f>MONTH(B1358)</f>
        <v/>
      </c>
      <c r="T1358" s="36">
        <f>TEXT(B1358,"mmm")</f>
        <v/>
      </c>
      <c r="U1358" s="36">
        <f>IF(AND(OR(sel_Region="All",C1358=sel_Region),OR(sel_Country="All",D1358=sel_Country),OR(sel_Channel="All",E1358=sel_Channel),OR(sel_Customer="All",F1358=sel_Customer),OR(sel_Category="All",G1358=sel_Category),OR(sel_Product="All",H1358=sel_Product),AND(S1358&gt;=m_From,S1358&lt;=m_To)),1,0)</f>
        <v/>
      </c>
      <c r="V1358" s="36">
        <f>IF(AND(OR(sel_Region="All",C1358=sel_Region),OR(sel_Channel="All",E1358=sel_Channel),OR(sel_Customer="All",F1358=sel_Customer),OR(sel_Category="All",G1358=sel_Category),OR(sel_Product="All",H1358=sel_Product),AND(S1358&gt;=m_From,S1358&lt;=m_To)),1,0)</f>
        <v/>
      </c>
      <c r="W1358" s="36">
        <f>IF(AND(OR(sel_Region="All",C1358=sel_Region),OR(sel_Country="All",D1358=sel_Country),OR(sel_Customer="All",F1358=sel_Customer),OR(sel_Category="All",G1358=sel_Category),OR(sel_Product="All",H1358=sel_Product),AND(S1358&gt;=m_From,S1358&lt;=m_To)),1,0)</f>
        <v/>
      </c>
      <c r="X1358" s="36">
        <f>IF(AND(OR(sel_Region="All",C1358=sel_Region),OR(sel_Country="All",D1358=sel_Country),OR(sel_Channel="All",E1358=sel_Channel),OR(sel_Category="All",G1358=sel_Category),OR(sel_Product="All",H1358=sel_Product),AND(S1358&gt;=m_From,S1358&lt;=m_To)),1,0)</f>
        <v/>
      </c>
      <c r="Y1358" s="36">
        <f>IF(AND(OR(sel_Region="All",C1358=sel_Region),OR(sel_Country="All",D1358=sel_Country),OR(sel_Channel="All",E1358=sel_Channel),OR(sel_Customer="All",F1358=sel_Customer),OR(sel_Product="All",H1358=sel_Product),AND(S1358&gt;=m_From,S1358&lt;=m_To)),1,0)</f>
        <v/>
      </c>
      <c r="Z1358" s="36">
        <f>IF(AND(OR(sel_Region="All",C1358=sel_Region),OR(sel_Country="All",D1358=sel_Country),OR(sel_Channel="All",E1358=sel_Channel),OR(sel_Customer="All",F1358=sel_Customer),OR(sel_Category="All",G1358=sel_Category),AND(S1358&gt;=m_From,S1358&lt;=m_To)),1,0)</f>
        <v/>
      </c>
      <c r="AA1358" s="36">
        <f>IF(AND(OR(sel_Region="All",C1358=sel_Region),OR(sel_Country="All",D1358=sel_Country),OR(sel_Channel="All",E1358=sel_Channel),OR(sel_Customer="All",F1358=sel_Customer),OR(sel_Category="All",G1358=sel_Category),OR(sel_Product="All",H1358=sel_Product)),1,0)</f>
        <v/>
      </c>
    </row>
    <row r="1359">
      <c r="A1359" s="36" t="inlineStr">
        <is>
          <t>02746</t>
        </is>
      </c>
      <c r="B1359" s="44" t="n">
        <v>46216</v>
      </c>
      <c r="C1359" s="36" t="inlineStr">
        <is>
          <t>Southern Europe</t>
        </is>
      </c>
      <c r="D1359" s="36" t="inlineStr">
        <is>
          <t>Spain</t>
        </is>
      </c>
      <c r="E1359" s="36" t="inlineStr">
        <is>
          <t>Retail Partners</t>
        </is>
      </c>
      <c r="F1359" s="36" t="inlineStr">
        <is>
          <t>New</t>
        </is>
      </c>
      <c r="G1359" s="36" t="inlineStr">
        <is>
          <t>Hiking</t>
        </is>
      </c>
      <c r="H1359" s="36" t="inlineStr">
        <is>
          <t>Summit Backpack 45L</t>
        </is>
      </c>
      <c r="I1359" s="36" t="n">
        <v>3</v>
      </c>
      <c r="J1359" s="39" t="n">
        <v>155.44</v>
      </c>
      <c r="K1359" s="45" t="n">
        <v>0.05</v>
      </c>
      <c r="L1359" s="39" t="n">
        <v>79.95</v>
      </c>
      <c r="M1359" s="39">
        <f>I1359*J1359*(1-K1359)</f>
        <v/>
      </c>
      <c r="N1359" s="39">
        <f>I1359*L1359</f>
        <v/>
      </c>
      <c r="O1359" s="39">
        <f>M1359-N1359</f>
        <v/>
      </c>
      <c r="P1359" s="38">
        <f>IF(M1359=0,0,O1359/M1359)</f>
        <v/>
      </c>
      <c r="Q1359" s="36">
        <f>YEAR(B1359)</f>
        <v/>
      </c>
      <c r="R1359" s="36">
        <f>"Q"&amp;ROUNDUP(MONTH(B1359)/3,0)</f>
        <v/>
      </c>
      <c r="S1359" s="36">
        <f>MONTH(B1359)</f>
        <v/>
      </c>
      <c r="T1359" s="36">
        <f>TEXT(B1359,"mmm")</f>
        <v/>
      </c>
      <c r="U1359" s="36">
        <f>IF(AND(OR(sel_Region="All",C1359=sel_Region),OR(sel_Country="All",D1359=sel_Country),OR(sel_Channel="All",E1359=sel_Channel),OR(sel_Customer="All",F1359=sel_Customer),OR(sel_Category="All",G1359=sel_Category),OR(sel_Product="All",H1359=sel_Product),AND(S1359&gt;=m_From,S1359&lt;=m_To)),1,0)</f>
        <v/>
      </c>
      <c r="V1359" s="36">
        <f>IF(AND(OR(sel_Region="All",C1359=sel_Region),OR(sel_Channel="All",E1359=sel_Channel),OR(sel_Customer="All",F1359=sel_Customer),OR(sel_Category="All",G1359=sel_Category),OR(sel_Product="All",H1359=sel_Product),AND(S1359&gt;=m_From,S1359&lt;=m_To)),1,0)</f>
        <v/>
      </c>
      <c r="W1359" s="36">
        <f>IF(AND(OR(sel_Region="All",C1359=sel_Region),OR(sel_Country="All",D1359=sel_Country),OR(sel_Customer="All",F1359=sel_Customer),OR(sel_Category="All",G1359=sel_Category),OR(sel_Product="All",H1359=sel_Product),AND(S1359&gt;=m_From,S1359&lt;=m_To)),1,0)</f>
        <v/>
      </c>
      <c r="X1359" s="36">
        <f>IF(AND(OR(sel_Region="All",C1359=sel_Region),OR(sel_Country="All",D1359=sel_Country),OR(sel_Channel="All",E1359=sel_Channel),OR(sel_Category="All",G1359=sel_Category),OR(sel_Product="All",H1359=sel_Product),AND(S1359&gt;=m_From,S1359&lt;=m_To)),1,0)</f>
        <v/>
      </c>
      <c r="Y1359" s="36">
        <f>IF(AND(OR(sel_Region="All",C1359=sel_Region),OR(sel_Country="All",D1359=sel_Country),OR(sel_Channel="All",E1359=sel_Channel),OR(sel_Customer="All",F1359=sel_Customer),OR(sel_Product="All",H1359=sel_Product),AND(S1359&gt;=m_From,S1359&lt;=m_To)),1,0)</f>
        <v/>
      </c>
      <c r="Z1359" s="36">
        <f>IF(AND(OR(sel_Region="All",C1359=sel_Region),OR(sel_Country="All",D1359=sel_Country),OR(sel_Channel="All",E1359=sel_Channel),OR(sel_Customer="All",F1359=sel_Customer),OR(sel_Category="All",G1359=sel_Category),AND(S1359&gt;=m_From,S1359&lt;=m_To)),1,0)</f>
        <v/>
      </c>
      <c r="AA1359" s="36">
        <f>IF(AND(OR(sel_Region="All",C1359=sel_Region),OR(sel_Country="All",D1359=sel_Country),OR(sel_Channel="All",E1359=sel_Channel),OR(sel_Customer="All",F1359=sel_Customer),OR(sel_Category="All",G1359=sel_Category),OR(sel_Product="All",H1359=sel_Product)),1,0)</f>
        <v/>
      </c>
    </row>
    <row r="1360">
      <c r="A1360" s="36" t="inlineStr">
        <is>
          <t>03297</t>
        </is>
      </c>
      <c r="B1360" s="44" t="n">
        <v>46216</v>
      </c>
      <c r="C1360" s="36" t="inlineStr">
        <is>
          <t>Southern Europe</t>
        </is>
      </c>
      <c r="D1360" s="36" t="inlineStr">
        <is>
          <t>Italy</t>
        </is>
      </c>
      <c r="E1360" s="36" t="inlineStr">
        <is>
          <t>Corporate</t>
        </is>
      </c>
      <c r="F1360" s="36" t="inlineStr">
        <is>
          <t>Returning</t>
        </is>
      </c>
      <c r="G1360" s="36" t="inlineStr">
        <is>
          <t>Fitness</t>
        </is>
      </c>
      <c r="H1360" s="36" t="inlineStr">
        <is>
          <t>Resistance Band Set</t>
        </is>
      </c>
      <c r="I1360" s="36" t="n">
        <v>6</v>
      </c>
      <c r="J1360" s="39" t="n">
        <v>40.58</v>
      </c>
      <c r="K1360" s="45" t="n">
        <v>0.15</v>
      </c>
      <c r="L1360" s="39" t="n">
        <v>15.06</v>
      </c>
      <c r="M1360" s="39">
        <f>I1360*J1360*(1-K1360)</f>
        <v/>
      </c>
      <c r="N1360" s="39">
        <f>I1360*L1360</f>
        <v/>
      </c>
      <c r="O1360" s="39">
        <f>M1360-N1360</f>
        <v/>
      </c>
      <c r="P1360" s="38">
        <f>IF(M1360=0,0,O1360/M1360)</f>
        <v/>
      </c>
      <c r="Q1360" s="36">
        <f>YEAR(B1360)</f>
        <v/>
      </c>
      <c r="R1360" s="36">
        <f>"Q"&amp;ROUNDUP(MONTH(B1360)/3,0)</f>
        <v/>
      </c>
      <c r="S1360" s="36">
        <f>MONTH(B1360)</f>
        <v/>
      </c>
      <c r="T1360" s="36">
        <f>TEXT(B1360,"mmm")</f>
        <v/>
      </c>
      <c r="U1360" s="36">
        <f>IF(AND(OR(sel_Region="All",C1360=sel_Region),OR(sel_Country="All",D1360=sel_Country),OR(sel_Channel="All",E1360=sel_Channel),OR(sel_Customer="All",F1360=sel_Customer),OR(sel_Category="All",G1360=sel_Category),OR(sel_Product="All",H1360=sel_Product),AND(S1360&gt;=m_From,S1360&lt;=m_To)),1,0)</f>
        <v/>
      </c>
      <c r="V1360" s="36">
        <f>IF(AND(OR(sel_Region="All",C1360=sel_Region),OR(sel_Channel="All",E1360=sel_Channel),OR(sel_Customer="All",F1360=sel_Customer),OR(sel_Category="All",G1360=sel_Category),OR(sel_Product="All",H1360=sel_Product),AND(S1360&gt;=m_From,S1360&lt;=m_To)),1,0)</f>
        <v/>
      </c>
      <c r="W1360" s="36">
        <f>IF(AND(OR(sel_Region="All",C1360=sel_Region),OR(sel_Country="All",D1360=sel_Country),OR(sel_Customer="All",F1360=sel_Customer),OR(sel_Category="All",G1360=sel_Category),OR(sel_Product="All",H1360=sel_Product),AND(S1360&gt;=m_From,S1360&lt;=m_To)),1,0)</f>
        <v/>
      </c>
      <c r="X1360" s="36">
        <f>IF(AND(OR(sel_Region="All",C1360=sel_Region),OR(sel_Country="All",D1360=sel_Country),OR(sel_Channel="All",E1360=sel_Channel),OR(sel_Category="All",G1360=sel_Category),OR(sel_Product="All",H1360=sel_Product),AND(S1360&gt;=m_From,S1360&lt;=m_To)),1,0)</f>
        <v/>
      </c>
      <c r="Y1360" s="36">
        <f>IF(AND(OR(sel_Region="All",C1360=sel_Region),OR(sel_Country="All",D1360=sel_Country),OR(sel_Channel="All",E1360=sel_Channel),OR(sel_Customer="All",F1360=sel_Customer),OR(sel_Product="All",H1360=sel_Product),AND(S1360&gt;=m_From,S1360&lt;=m_To)),1,0)</f>
        <v/>
      </c>
      <c r="Z1360" s="36">
        <f>IF(AND(OR(sel_Region="All",C1360=sel_Region),OR(sel_Country="All",D1360=sel_Country),OR(sel_Channel="All",E1360=sel_Channel),OR(sel_Customer="All",F1360=sel_Customer),OR(sel_Category="All",G1360=sel_Category),AND(S1360&gt;=m_From,S1360&lt;=m_To)),1,0)</f>
        <v/>
      </c>
      <c r="AA1360" s="36">
        <f>IF(AND(OR(sel_Region="All",C1360=sel_Region),OR(sel_Country="All",D1360=sel_Country),OR(sel_Channel="All",E1360=sel_Channel),OR(sel_Customer="All",F1360=sel_Customer),OR(sel_Category="All",G1360=sel_Category),OR(sel_Product="All",H1360=sel_Product)),1,0)</f>
        <v/>
      </c>
    </row>
    <row r="1361">
      <c r="A1361" s="36" t="inlineStr">
        <is>
          <t>00772</t>
        </is>
      </c>
      <c r="B1361" s="44" t="n">
        <v>46217</v>
      </c>
      <c r="C1361" s="36" t="inlineStr">
        <is>
          <t>Western Europe</t>
        </is>
      </c>
      <c r="D1361" s="36" t="inlineStr">
        <is>
          <t>France</t>
        </is>
      </c>
      <c r="E1361" s="36" t="inlineStr">
        <is>
          <t>Online Store</t>
        </is>
      </c>
      <c r="F1361" s="36" t="inlineStr">
        <is>
          <t>Returning</t>
        </is>
      </c>
      <c r="G1361" s="36" t="inlineStr">
        <is>
          <t>Cycling</t>
        </is>
      </c>
      <c r="H1361" s="36" t="inlineStr">
        <is>
          <t>Cycling Pack 12L</t>
        </is>
      </c>
      <c r="I1361" s="36" t="n">
        <v>2</v>
      </c>
      <c r="J1361" s="39" t="n">
        <v>101.03</v>
      </c>
      <c r="K1361" s="45" t="n">
        <v>0.1</v>
      </c>
      <c r="L1361" s="39" t="n">
        <v>50.98</v>
      </c>
      <c r="M1361" s="39">
        <f>I1361*J1361*(1-K1361)</f>
        <v/>
      </c>
      <c r="N1361" s="39">
        <f>I1361*L1361</f>
        <v/>
      </c>
      <c r="O1361" s="39">
        <f>M1361-N1361</f>
        <v/>
      </c>
      <c r="P1361" s="38">
        <f>IF(M1361=0,0,O1361/M1361)</f>
        <v/>
      </c>
      <c r="Q1361" s="36">
        <f>YEAR(B1361)</f>
        <v/>
      </c>
      <c r="R1361" s="36">
        <f>"Q"&amp;ROUNDUP(MONTH(B1361)/3,0)</f>
        <v/>
      </c>
      <c r="S1361" s="36">
        <f>MONTH(B1361)</f>
        <v/>
      </c>
      <c r="T1361" s="36">
        <f>TEXT(B1361,"mmm")</f>
        <v/>
      </c>
      <c r="U1361" s="36">
        <f>IF(AND(OR(sel_Region="All",C1361=sel_Region),OR(sel_Country="All",D1361=sel_Country),OR(sel_Channel="All",E1361=sel_Channel),OR(sel_Customer="All",F1361=sel_Customer),OR(sel_Category="All",G1361=sel_Category),OR(sel_Product="All",H1361=sel_Product),AND(S1361&gt;=m_From,S1361&lt;=m_To)),1,0)</f>
        <v/>
      </c>
      <c r="V1361" s="36">
        <f>IF(AND(OR(sel_Region="All",C1361=sel_Region),OR(sel_Channel="All",E1361=sel_Channel),OR(sel_Customer="All",F1361=sel_Customer),OR(sel_Category="All",G1361=sel_Category),OR(sel_Product="All",H1361=sel_Product),AND(S1361&gt;=m_From,S1361&lt;=m_To)),1,0)</f>
        <v/>
      </c>
      <c r="W1361" s="36">
        <f>IF(AND(OR(sel_Region="All",C1361=sel_Region),OR(sel_Country="All",D1361=sel_Country),OR(sel_Customer="All",F1361=sel_Customer),OR(sel_Category="All",G1361=sel_Category),OR(sel_Product="All",H1361=sel_Product),AND(S1361&gt;=m_From,S1361&lt;=m_To)),1,0)</f>
        <v/>
      </c>
      <c r="X1361" s="36">
        <f>IF(AND(OR(sel_Region="All",C1361=sel_Region),OR(sel_Country="All",D1361=sel_Country),OR(sel_Channel="All",E1361=sel_Channel),OR(sel_Category="All",G1361=sel_Category),OR(sel_Product="All",H1361=sel_Product),AND(S1361&gt;=m_From,S1361&lt;=m_To)),1,0)</f>
        <v/>
      </c>
      <c r="Y1361" s="36">
        <f>IF(AND(OR(sel_Region="All",C1361=sel_Region),OR(sel_Country="All",D1361=sel_Country),OR(sel_Channel="All",E1361=sel_Channel),OR(sel_Customer="All",F1361=sel_Customer),OR(sel_Product="All",H1361=sel_Product),AND(S1361&gt;=m_From,S1361&lt;=m_To)),1,0)</f>
        <v/>
      </c>
      <c r="Z1361" s="36">
        <f>IF(AND(OR(sel_Region="All",C1361=sel_Region),OR(sel_Country="All",D1361=sel_Country),OR(sel_Channel="All",E1361=sel_Channel),OR(sel_Customer="All",F1361=sel_Customer),OR(sel_Category="All",G1361=sel_Category),AND(S1361&gt;=m_From,S1361&lt;=m_To)),1,0)</f>
        <v/>
      </c>
      <c r="AA1361" s="36">
        <f>IF(AND(OR(sel_Region="All",C1361=sel_Region),OR(sel_Country="All",D1361=sel_Country),OR(sel_Channel="All",E1361=sel_Channel),OR(sel_Customer="All",F1361=sel_Customer),OR(sel_Category="All",G1361=sel_Category),OR(sel_Product="All",H1361=sel_Product)),1,0)</f>
        <v/>
      </c>
    </row>
    <row r="1362">
      <c r="A1362" s="36" t="inlineStr">
        <is>
          <t>00838</t>
        </is>
      </c>
      <c r="B1362" s="44" t="n">
        <v>46217</v>
      </c>
      <c r="C1362" s="36" t="inlineStr">
        <is>
          <t>Southern Europe</t>
        </is>
      </c>
      <c r="D1362" s="36" t="inlineStr">
        <is>
          <t>Portugal</t>
        </is>
      </c>
      <c r="E1362" s="36" t="inlineStr">
        <is>
          <t>Retail Partners</t>
        </is>
      </c>
      <c r="F1362" s="36" t="inlineStr">
        <is>
          <t>Returning</t>
        </is>
      </c>
      <c r="G1362" s="36" t="inlineStr">
        <is>
          <t>Camping</t>
        </is>
      </c>
      <c r="H1362" s="36" t="inlineStr">
        <is>
          <t>Portable Camp Stove</t>
        </is>
      </c>
      <c r="I1362" s="36" t="n">
        <v>1</v>
      </c>
      <c r="J1362" s="39" t="n">
        <v>80.15000000000001</v>
      </c>
      <c r="K1362" s="45" t="n">
        <v>0.05</v>
      </c>
      <c r="L1362" s="39" t="n">
        <v>38.89</v>
      </c>
      <c r="M1362" s="39">
        <f>I1362*J1362*(1-K1362)</f>
        <v/>
      </c>
      <c r="N1362" s="39">
        <f>I1362*L1362</f>
        <v/>
      </c>
      <c r="O1362" s="39">
        <f>M1362-N1362</f>
        <v/>
      </c>
      <c r="P1362" s="38">
        <f>IF(M1362=0,0,O1362/M1362)</f>
        <v/>
      </c>
      <c r="Q1362" s="36">
        <f>YEAR(B1362)</f>
        <v/>
      </c>
      <c r="R1362" s="36">
        <f>"Q"&amp;ROUNDUP(MONTH(B1362)/3,0)</f>
        <v/>
      </c>
      <c r="S1362" s="36">
        <f>MONTH(B1362)</f>
        <v/>
      </c>
      <c r="T1362" s="36">
        <f>TEXT(B1362,"mmm")</f>
        <v/>
      </c>
      <c r="U1362" s="36">
        <f>IF(AND(OR(sel_Region="All",C1362=sel_Region),OR(sel_Country="All",D1362=sel_Country),OR(sel_Channel="All",E1362=sel_Channel),OR(sel_Customer="All",F1362=sel_Customer),OR(sel_Category="All",G1362=sel_Category),OR(sel_Product="All",H1362=sel_Product),AND(S1362&gt;=m_From,S1362&lt;=m_To)),1,0)</f>
        <v/>
      </c>
      <c r="V1362" s="36">
        <f>IF(AND(OR(sel_Region="All",C1362=sel_Region),OR(sel_Channel="All",E1362=sel_Channel),OR(sel_Customer="All",F1362=sel_Customer),OR(sel_Category="All",G1362=sel_Category),OR(sel_Product="All",H1362=sel_Product),AND(S1362&gt;=m_From,S1362&lt;=m_To)),1,0)</f>
        <v/>
      </c>
      <c r="W1362" s="36">
        <f>IF(AND(OR(sel_Region="All",C1362=sel_Region),OR(sel_Country="All",D1362=sel_Country),OR(sel_Customer="All",F1362=sel_Customer),OR(sel_Category="All",G1362=sel_Category),OR(sel_Product="All",H1362=sel_Product),AND(S1362&gt;=m_From,S1362&lt;=m_To)),1,0)</f>
        <v/>
      </c>
      <c r="X1362" s="36">
        <f>IF(AND(OR(sel_Region="All",C1362=sel_Region),OR(sel_Country="All",D1362=sel_Country),OR(sel_Channel="All",E1362=sel_Channel),OR(sel_Category="All",G1362=sel_Category),OR(sel_Product="All",H1362=sel_Product),AND(S1362&gt;=m_From,S1362&lt;=m_To)),1,0)</f>
        <v/>
      </c>
      <c r="Y1362" s="36">
        <f>IF(AND(OR(sel_Region="All",C1362=sel_Region),OR(sel_Country="All",D1362=sel_Country),OR(sel_Channel="All",E1362=sel_Channel),OR(sel_Customer="All",F1362=sel_Customer),OR(sel_Product="All",H1362=sel_Product),AND(S1362&gt;=m_From,S1362&lt;=m_To)),1,0)</f>
        <v/>
      </c>
      <c r="Z1362" s="36">
        <f>IF(AND(OR(sel_Region="All",C1362=sel_Region),OR(sel_Country="All",D1362=sel_Country),OR(sel_Channel="All",E1362=sel_Channel),OR(sel_Customer="All",F1362=sel_Customer),OR(sel_Category="All",G1362=sel_Category),AND(S1362&gt;=m_From,S1362&lt;=m_To)),1,0)</f>
        <v/>
      </c>
      <c r="AA1362" s="36">
        <f>IF(AND(OR(sel_Region="All",C1362=sel_Region),OR(sel_Country="All",D1362=sel_Country),OR(sel_Channel="All",E1362=sel_Channel),OR(sel_Customer="All",F1362=sel_Customer),OR(sel_Category="All",G1362=sel_Category),OR(sel_Product="All",H1362=sel_Product)),1,0)</f>
        <v/>
      </c>
    </row>
    <row r="1363">
      <c r="A1363" s="36" t="inlineStr">
        <is>
          <t>01144</t>
        </is>
      </c>
      <c r="B1363" s="44" t="n">
        <v>46217</v>
      </c>
      <c r="C1363" s="36" t="inlineStr">
        <is>
          <t>Northern Europe</t>
        </is>
      </c>
      <c r="D1363" s="36" t="inlineStr">
        <is>
          <t>Sweden</t>
        </is>
      </c>
      <c r="E1363" s="36" t="inlineStr">
        <is>
          <t>Retail Partners</t>
        </is>
      </c>
      <c r="F1363" s="36" t="inlineStr">
        <is>
          <t>New</t>
        </is>
      </c>
      <c r="G1363" s="36" t="inlineStr">
        <is>
          <t>Camping</t>
        </is>
      </c>
      <c r="H1363" s="36" t="inlineStr">
        <is>
          <t>Portable Camp Stove</t>
        </is>
      </c>
      <c r="I1363" s="36" t="n">
        <v>1</v>
      </c>
      <c r="J1363" s="39" t="n">
        <v>83.73999999999999</v>
      </c>
      <c r="K1363" s="45" t="n">
        <v>0</v>
      </c>
      <c r="L1363" s="39" t="n">
        <v>38.96</v>
      </c>
      <c r="M1363" s="39">
        <f>I1363*J1363*(1-K1363)</f>
        <v/>
      </c>
      <c r="N1363" s="39">
        <f>I1363*L1363</f>
        <v/>
      </c>
      <c r="O1363" s="39">
        <f>M1363-N1363</f>
        <v/>
      </c>
      <c r="P1363" s="38">
        <f>IF(M1363=0,0,O1363/M1363)</f>
        <v/>
      </c>
      <c r="Q1363" s="36">
        <f>YEAR(B1363)</f>
        <v/>
      </c>
      <c r="R1363" s="36">
        <f>"Q"&amp;ROUNDUP(MONTH(B1363)/3,0)</f>
        <v/>
      </c>
      <c r="S1363" s="36">
        <f>MONTH(B1363)</f>
        <v/>
      </c>
      <c r="T1363" s="36">
        <f>TEXT(B1363,"mmm")</f>
        <v/>
      </c>
      <c r="U1363" s="36">
        <f>IF(AND(OR(sel_Region="All",C1363=sel_Region),OR(sel_Country="All",D1363=sel_Country),OR(sel_Channel="All",E1363=sel_Channel),OR(sel_Customer="All",F1363=sel_Customer),OR(sel_Category="All",G1363=sel_Category),OR(sel_Product="All",H1363=sel_Product),AND(S1363&gt;=m_From,S1363&lt;=m_To)),1,0)</f>
        <v/>
      </c>
      <c r="V1363" s="36">
        <f>IF(AND(OR(sel_Region="All",C1363=sel_Region),OR(sel_Channel="All",E1363=sel_Channel),OR(sel_Customer="All",F1363=sel_Customer),OR(sel_Category="All",G1363=sel_Category),OR(sel_Product="All",H1363=sel_Product),AND(S1363&gt;=m_From,S1363&lt;=m_To)),1,0)</f>
        <v/>
      </c>
      <c r="W1363" s="36">
        <f>IF(AND(OR(sel_Region="All",C1363=sel_Region),OR(sel_Country="All",D1363=sel_Country),OR(sel_Customer="All",F1363=sel_Customer),OR(sel_Category="All",G1363=sel_Category),OR(sel_Product="All",H1363=sel_Product),AND(S1363&gt;=m_From,S1363&lt;=m_To)),1,0)</f>
        <v/>
      </c>
      <c r="X1363" s="36">
        <f>IF(AND(OR(sel_Region="All",C1363=sel_Region),OR(sel_Country="All",D1363=sel_Country),OR(sel_Channel="All",E1363=sel_Channel),OR(sel_Category="All",G1363=sel_Category),OR(sel_Product="All",H1363=sel_Product),AND(S1363&gt;=m_From,S1363&lt;=m_To)),1,0)</f>
        <v/>
      </c>
      <c r="Y1363" s="36">
        <f>IF(AND(OR(sel_Region="All",C1363=sel_Region),OR(sel_Country="All",D1363=sel_Country),OR(sel_Channel="All",E1363=sel_Channel),OR(sel_Customer="All",F1363=sel_Customer),OR(sel_Product="All",H1363=sel_Product),AND(S1363&gt;=m_From,S1363&lt;=m_To)),1,0)</f>
        <v/>
      </c>
      <c r="Z1363" s="36">
        <f>IF(AND(OR(sel_Region="All",C1363=sel_Region),OR(sel_Country="All",D1363=sel_Country),OR(sel_Channel="All",E1363=sel_Channel),OR(sel_Customer="All",F1363=sel_Customer),OR(sel_Category="All",G1363=sel_Category),AND(S1363&gt;=m_From,S1363&lt;=m_To)),1,0)</f>
        <v/>
      </c>
      <c r="AA1363" s="36">
        <f>IF(AND(OR(sel_Region="All",C1363=sel_Region),OR(sel_Country="All",D1363=sel_Country),OR(sel_Channel="All",E1363=sel_Channel),OR(sel_Customer="All",F1363=sel_Customer),OR(sel_Category="All",G1363=sel_Category),OR(sel_Product="All",H1363=sel_Product)),1,0)</f>
        <v/>
      </c>
    </row>
    <row r="1364">
      <c r="A1364" s="36" t="inlineStr">
        <is>
          <t>01686</t>
        </is>
      </c>
      <c r="B1364" s="44" t="n">
        <v>46217</v>
      </c>
      <c r="C1364" s="36" t="inlineStr">
        <is>
          <t>Northern Europe</t>
        </is>
      </c>
      <c r="D1364" s="36" t="inlineStr">
        <is>
          <t>Denmark</t>
        </is>
      </c>
      <c r="E1364" s="36" t="inlineStr">
        <is>
          <t>Corporate</t>
        </is>
      </c>
      <c r="F1364" s="36" t="inlineStr">
        <is>
          <t>Returning</t>
        </is>
      </c>
      <c r="G1364" s="36" t="inlineStr">
        <is>
          <t>Travel</t>
        </is>
      </c>
      <c r="H1364" s="36" t="inlineStr">
        <is>
          <t>Insulated Bottle</t>
        </is>
      </c>
      <c r="I1364" s="36" t="n">
        <v>8</v>
      </c>
      <c r="J1364" s="39" t="n">
        <v>35.75</v>
      </c>
      <c r="K1364" s="45" t="n">
        <v>0.15</v>
      </c>
      <c r="L1364" s="39" t="n">
        <v>13.56</v>
      </c>
      <c r="M1364" s="39">
        <f>I1364*J1364*(1-K1364)</f>
        <v/>
      </c>
      <c r="N1364" s="39">
        <f>I1364*L1364</f>
        <v/>
      </c>
      <c r="O1364" s="39">
        <f>M1364-N1364</f>
        <v/>
      </c>
      <c r="P1364" s="38">
        <f>IF(M1364=0,0,O1364/M1364)</f>
        <v/>
      </c>
      <c r="Q1364" s="36">
        <f>YEAR(B1364)</f>
        <v/>
      </c>
      <c r="R1364" s="36">
        <f>"Q"&amp;ROUNDUP(MONTH(B1364)/3,0)</f>
        <v/>
      </c>
      <c r="S1364" s="36">
        <f>MONTH(B1364)</f>
        <v/>
      </c>
      <c r="T1364" s="36">
        <f>TEXT(B1364,"mmm")</f>
        <v/>
      </c>
      <c r="U1364" s="36">
        <f>IF(AND(OR(sel_Region="All",C1364=sel_Region),OR(sel_Country="All",D1364=sel_Country),OR(sel_Channel="All",E1364=sel_Channel),OR(sel_Customer="All",F1364=sel_Customer),OR(sel_Category="All",G1364=sel_Category),OR(sel_Product="All",H1364=sel_Product),AND(S1364&gt;=m_From,S1364&lt;=m_To)),1,0)</f>
        <v/>
      </c>
      <c r="V1364" s="36">
        <f>IF(AND(OR(sel_Region="All",C1364=sel_Region),OR(sel_Channel="All",E1364=sel_Channel),OR(sel_Customer="All",F1364=sel_Customer),OR(sel_Category="All",G1364=sel_Category),OR(sel_Product="All",H1364=sel_Product),AND(S1364&gt;=m_From,S1364&lt;=m_To)),1,0)</f>
        <v/>
      </c>
      <c r="W1364" s="36">
        <f>IF(AND(OR(sel_Region="All",C1364=sel_Region),OR(sel_Country="All",D1364=sel_Country),OR(sel_Customer="All",F1364=sel_Customer),OR(sel_Category="All",G1364=sel_Category),OR(sel_Product="All",H1364=sel_Product),AND(S1364&gt;=m_From,S1364&lt;=m_To)),1,0)</f>
        <v/>
      </c>
      <c r="X1364" s="36">
        <f>IF(AND(OR(sel_Region="All",C1364=sel_Region),OR(sel_Country="All",D1364=sel_Country),OR(sel_Channel="All",E1364=sel_Channel),OR(sel_Category="All",G1364=sel_Category),OR(sel_Product="All",H1364=sel_Product),AND(S1364&gt;=m_From,S1364&lt;=m_To)),1,0)</f>
        <v/>
      </c>
      <c r="Y1364" s="36">
        <f>IF(AND(OR(sel_Region="All",C1364=sel_Region),OR(sel_Country="All",D1364=sel_Country),OR(sel_Channel="All",E1364=sel_Channel),OR(sel_Customer="All",F1364=sel_Customer),OR(sel_Product="All",H1364=sel_Product),AND(S1364&gt;=m_From,S1364&lt;=m_To)),1,0)</f>
        <v/>
      </c>
      <c r="Z1364" s="36">
        <f>IF(AND(OR(sel_Region="All",C1364=sel_Region),OR(sel_Country="All",D1364=sel_Country),OR(sel_Channel="All",E1364=sel_Channel),OR(sel_Customer="All",F1364=sel_Customer),OR(sel_Category="All",G1364=sel_Category),AND(S1364&gt;=m_From,S1364&lt;=m_To)),1,0)</f>
        <v/>
      </c>
      <c r="AA1364" s="36">
        <f>IF(AND(OR(sel_Region="All",C1364=sel_Region),OR(sel_Country="All",D1364=sel_Country),OR(sel_Channel="All",E1364=sel_Channel),OR(sel_Customer="All",F1364=sel_Customer),OR(sel_Category="All",G1364=sel_Category),OR(sel_Product="All",H1364=sel_Product)),1,0)</f>
        <v/>
      </c>
    </row>
    <row r="1365">
      <c r="A1365" s="36" t="inlineStr">
        <is>
          <t>02823</t>
        </is>
      </c>
      <c r="B1365" s="44" t="n">
        <v>46217</v>
      </c>
      <c r="C1365" s="36" t="inlineStr">
        <is>
          <t>Southern Europe</t>
        </is>
      </c>
      <c r="D1365" s="36" t="inlineStr">
        <is>
          <t>Italy</t>
        </is>
      </c>
      <c r="E1365" s="36" t="inlineStr">
        <is>
          <t>Online Store</t>
        </is>
      </c>
      <c r="F1365" s="36" t="inlineStr">
        <is>
          <t>New</t>
        </is>
      </c>
      <c r="G1365" s="36" t="inlineStr">
        <is>
          <t>Cycling</t>
        </is>
      </c>
      <c r="H1365" s="36" t="inlineStr">
        <is>
          <t>Commuter Helmet</t>
        </is>
      </c>
      <c r="I1365" s="36" t="n">
        <v>3</v>
      </c>
      <c r="J1365" s="39" t="n">
        <v>81.39</v>
      </c>
      <c r="K1365" s="45" t="n">
        <v>0</v>
      </c>
      <c r="L1365" s="39" t="n">
        <v>43.54</v>
      </c>
      <c r="M1365" s="39">
        <f>I1365*J1365*(1-K1365)</f>
        <v/>
      </c>
      <c r="N1365" s="39">
        <f>I1365*L1365</f>
        <v/>
      </c>
      <c r="O1365" s="39">
        <f>M1365-N1365</f>
        <v/>
      </c>
      <c r="P1365" s="38">
        <f>IF(M1365=0,0,O1365/M1365)</f>
        <v/>
      </c>
      <c r="Q1365" s="36">
        <f>YEAR(B1365)</f>
        <v/>
      </c>
      <c r="R1365" s="36">
        <f>"Q"&amp;ROUNDUP(MONTH(B1365)/3,0)</f>
        <v/>
      </c>
      <c r="S1365" s="36">
        <f>MONTH(B1365)</f>
        <v/>
      </c>
      <c r="T1365" s="36">
        <f>TEXT(B1365,"mmm")</f>
        <v/>
      </c>
      <c r="U1365" s="36">
        <f>IF(AND(OR(sel_Region="All",C1365=sel_Region),OR(sel_Country="All",D1365=sel_Country),OR(sel_Channel="All",E1365=sel_Channel),OR(sel_Customer="All",F1365=sel_Customer),OR(sel_Category="All",G1365=sel_Category),OR(sel_Product="All",H1365=sel_Product),AND(S1365&gt;=m_From,S1365&lt;=m_To)),1,0)</f>
        <v/>
      </c>
      <c r="V1365" s="36">
        <f>IF(AND(OR(sel_Region="All",C1365=sel_Region),OR(sel_Channel="All",E1365=sel_Channel),OR(sel_Customer="All",F1365=sel_Customer),OR(sel_Category="All",G1365=sel_Category),OR(sel_Product="All",H1365=sel_Product),AND(S1365&gt;=m_From,S1365&lt;=m_To)),1,0)</f>
        <v/>
      </c>
      <c r="W1365" s="36">
        <f>IF(AND(OR(sel_Region="All",C1365=sel_Region),OR(sel_Country="All",D1365=sel_Country),OR(sel_Customer="All",F1365=sel_Customer),OR(sel_Category="All",G1365=sel_Category),OR(sel_Product="All",H1365=sel_Product),AND(S1365&gt;=m_From,S1365&lt;=m_To)),1,0)</f>
        <v/>
      </c>
      <c r="X1365" s="36">
        <f>IF(AND(OR(sel_Region="All",C1365=sel_Region),OR(sel_Country="All",D1365=sel_Country),OR(sel_Channel="All",E1365=sel_Channel),OR(sel_Category="All",G1365=sel_Category),OR(sel_Product="All",H1365=sel_Product),AND(S1365&gt;=m_From,S1365&lt;=m_To)),1,0)</f>
        <v/>
      </c>
      <c r="Y1365" s="36">
        <f>IF(AND(OR(sel_Region="All",C1365=sel_Region),OR(sel_Country="All",D1365=sel_Country),OR(sel_Channel="All",E1365=sel_Channel),OR(sel_Customer="All",F1365=sel_Customer),OR(sel_Product="All",H1365=sel_Product),AND(S1365&gt;=m_From,S1365&lt;=m_To)),1,0)</f>
        <v/>
      </c>
      <c r="Z1365" s="36">
        <f>IF(AND(OR(sel_Region="All",C1365=sel_Region),OR(sel_Country="All",D1365=sel_Country),OR(sel_Channel="All",E1365=sel_Channel),OR(sel_Customer="All",F1365=sel_Customer),OR(sel_Category="All",G1365=sel_Category),AND(S1365&gt;=m_From,S1365&lt;=m_To)),1,0)</f>
        <v/>
      </c>
      <c r="AA1365" s="36">
        <f>IF(AND(OR(sel_Region="All",C1365=sel_Region),OR(sel_Country="All",D1365=sel_Country),OR(sel_Channel="All",E1365=sel_Channel),OR(sel_Customer="All",F1365=sel_Customer),OR(sel_Category="All",G1365=sel_Category),OR(sel_Product="All",H1365=sel_Product)),1,0)</f>
        <v/>
      </c>
    </row>
    <row r="1366">
      <c r="A1366" s="36" t="inlineStr">
        <is>
          <t>02883</t>
        </is>
      </c>
      <c r="B1366" s="44" t="n">
        <v>46217</v>
      </c>
      <c r="C1366" s="36" t="inlineStr">
        <is>
          <t>Northern Europe</t>
        </is>
      </c>
      <c r="D1366" s="36" t="inlineStr">
        <is>
          <t>Finland</t>
        </is>
      </c>
      <c r="E1366" s="36" t="inlineStr">
        <is>
          <t>Marketplace</t>
        </is>
      </c>
      <c r="F1366" s="36" t="inlineStr">
        <is>
          <t>New</t>
        </is>
      </c>
      <c r="G1366" s="36" t="inlineStr">
        <is>
          <t>Travel</t>
        </is>
      </c>
      <c r="H1366" s="36" t="inlineStr">
        <is>
          <t>Insulated Bottle</t>
        </is>
      </c>
      <c r="I1366" s="36" t="n">
        <v>1</v>
      </c>
      <c r="J1366" s="39" t="n">
        <v>36.8</v>
      </c>
      <c r="K1366" s="45" t="n">
        <v>0</v>
      </c>
      <c r="L1366" s="39" t="n">
        <v>13.91</v>
      </c>
      <c r="M1366" s="39">
        <f>I1366*J1366*(1-K1366)</f>
        <v/>
      </c>
      <c r="N1366" s="39">
        <f>I1366*L1366</f>
        <v/>
      </c>
      <c r="O1366" s="39">
        <f>M1366-N1366</f>
        <v/>
      </c>
      <c r="P1366" s="38">
        <f>IF(M1366=0,0,O1366/M1366)</f>
        <v/>
      </c>
      <c r="Q1366" s="36">
        <f>YEAR(B1366)</f>
        <v/>
      </c>
      <c r="R1366" s="36">
        <f>"Q"&amp;ROUNDUP(MONTH(B1366)/3,0)</f>
        <v/>
      </c>
      <c r="S1366" s="36">
        <f>MONTH(B1366)</f>
        <v/>
      </c>
      <c r="T1366" s="36">
        <f>TEXT(B1366,"mmm")</f>
        <v/>
      </c>
      <c r="U1366" s="36">
        <f>IF(AND(OR(sel_Region="All",C1366=sel_Region),OR(sel_Country="All",D1366=sel_Country),OR(sel_Channel="All",E1366=sel_Channel),OR(sel_Customer="All",F1366=sel_Customer),OR(sel_Category="All",G1366=sel_Category),OR(sel_Product="All",H1366=sel_Product),AND(S1366&gt;=m_From,S1366&lt;=m_To)),1,0)</f>
        <v/>
      </c>
      <c r="V1366" s="36">
        <f>IF(AND(OR(sel_Region="All",C1366=sel_Region),OR(sel_Channel="All",E1366=sel_Channel),OR(sel_Customer="All",F1366=sel_Customer),OR(sel_Category="All",G1366=sel_Category),OR(sel_Product="All",H1366=sel_Product),AND(S1366&gt;=m_From,S1366&lt;=m_To)),1,0)</f>
        <v/>
      </c>
      <c r="W1366" s="36">
        <f>IF(AND(OR(sel_Region="All",C1366=sel_Region),OR(sel_Country="All",D1366=sel_Country),OR(sel_Customer="All",F1366=sel_Customer),OR(sel_Category="All",G1366=sel_Category),OR(sel_Product="All",H1366=sel_Product),AND(S1366&gt;=m_From,S1366&lt;=m_To)),1,0)</f>
        <v/>
      </c>
      <c r="X1366" s="36">
        <f>IF(AND(OR(sel_Region="All",C1366=sel_Region),OR(sel_Country="All",D1366=sel_Country),OR(sel_Channel="All",E1366=sel_Channel),OR(sel_Category="All",G1366=sel_Category),OR(sel_Product="All",H1366=sel_Product),AND(S1366&gt;=m_From,S1366&lt;=m_To)),1,0)</f>
        <v/>
      </c>
      <c r="Y1366" s="36">
        <f>IF(AND(OR(sel_Region="All",C1366=sel_Region),OR(sel_Country="All",D1366=sel_Country),OR(sel_Channel="All",E1366=sel_Channel),OR(sel_Customer="All",F1366=sel_Customer),OR(sel_Product="All",H1366=sel_Product),AND(S1366&gt;=m_From,S1366&lt;=m_To)),1,0)</f>
        <v/>
      </c>
      <c r="Z1366" s="36">
        <f>IF(AND(OR(sel_Region="All",C1366=sel_Region),OR(sel_Country="All",D1366=sel_Country),OR(sel_Channel="All",E1366=sel_Channel),OR(sel_Customer="All",F1366=sel_Customer),OR(sel_Category="All",G1366=sel_Category),AND(S1366&gt;=m_From,S1366&lt;=m_To)),1,0)</f>
        <v/>
      </c>
      <c r="AA1366" s="36">
        <f>IF(AND(OR(sel_Region="All",C1366=sel_Region),OR(sel_Country="All",D1366=sel_Country),OR(sel_Channel="All",E1366=sel_Channel),OR(sel_Customer="All",F1366=sel_Customer),OR(sel_Category="All",G1366=sel_Category),OR(sel_Product="All",H1366=sel_Product)),1,0)</f>
        <v/>
      </c>
    </row>
    <row r="1367">
      <c r="A1367" s="36" t="inlineStr">
        <is>
          <t>03259</t>
        </is>
      </c>
      <c r="B1367" s="44" t="n">
        <v>46217</v>
      </c>
      <c r="C1367" s="36" t="inlineStr">
        <is>
          <t>Northern Europe</t>
        </is>
      </c>
      <c r="D1367" s="36" t="inlineStr">
        <is>
          <t>Norway</t>
        </is>
      </c>
      <c r="E1367" s="36" t="inlineStr">
        <is>
          <t>Corporate</t>
        </is>
      </c>
      <c r="F1367" s="36" t="inlineStr">
        <is>
          <t>Returning</t>
        </is>
      </c>
      <c r="G1367" s="36" t="inlineStr">
        <is>
          <t>Camping</t>
        </is>
      </c>
      <c r="H1367" s="36" t="inlineStr">
        <is>
          <t>Trail Tent 2P</t>
        </is>
      </c>
      <c r="I1367" s="36" t="n">
        <v>6</v>
      </c>
      <c r="J1367" s="39" t="n">
        <v>194.15</v>
      </c>
      <c r="K1367" s="45" t="n">
        <v>0.1</v>
      </c>
      <c r="L1367" s="39" t="n">
        <v>105.12</v>
      </c>
      <c r="M1367" s="39">
        <f>I1367*J1367*(1-K1367)</f>
        <v/>
      </c>
      <c r="N1367" s="39">
        <f>I1367*L1367</f>
        <v/>
      </c>
      <c r="O1367" s="39">
        <f>M1367-N1367</f>
        <v/>
      </c>
      <c r="P1367" s="38">
        <f>IF(M1367=0,0,O1367/M1367)</f>
        <v/>
      </c>
      <c r="Q1367" s="36">
        <f>YEAR(B1367)</f>
        <v/>
      </c>
      <c r="R1367" s="36">
        <f>"Q"&amp;ROUNDUP(MONTH(B1367)/3,0)</f>
        <v/>
      </c>
      <c r="S1367" s="36">
        <f>MONTH(B1367)</f>
        <v/>
      </c>
      <c r="T1367" s="36">
        <f>TEXT(B1367,"mmm")</f>
        <v/>
      </c>
      <c r="U1367" s="36">
        <f>IF(AND(OR(sel_Region="All",C1367=sel_Region),OR(sel_Country="All",D1367=sel_Country),OR(sel_Channel="All",E1367=sel_Channel),OR(sel_Customer="All",F1367=sel_Customer),OR(sel_Category="All",G1367=sel_Category),OR(sel_Product="All",H1367=sel_Product),AND(S1367&gt;=m_From,S1367&lt;=m_To)),1,0)</f>
        <v/>
      </c>
      <c r="V1367" s="36">
        <f>IF(AND(OR(sel_Region="All",C1367=sel_Region),OR(sel_Channel="All",E1367=sel_Channel),OR(sel_Customer="All",F1367=sel_Customer),OR(sel_Category="All",G1367=sel_Category),OR(sel_Product="All",H1367=sel_Product),AND(S1367&gt;=m_From,S1367&lt;=m_To)),1,0)</f>
        <v/>
      </c>
      <c r="W1367" s="36">
        <f>IF(AND(OR(sel_Region="All",C1367=sel_Region),OR(sel_Country="All",D1367=sel_Country),OR(sel_Customer="All",F1367=sel_Customer),OR(sel_Category="All",G1367=sel_Category),OR(sel_Product="All",H1367=sel_Product),AND(S1367&gt;=m_From,S1367&lt;=m_To)),1,0)</f>
        <v/>
      </c>
      <c r="X1367" s="36">
        <f>IF(AND(OR(sel_Region="All",C1367=sel_Region),OR(sel_Country="All",D1367=sel_Country),OR(sel_Channel="All",E1367=sel_Channel),OR(sel_Category="All",G1367=sel_Category),OR(sel_Product="All",H1367=sel_Product),AND(S1367&gt;=m_From,S1367&lt;=m_To)),1,0)</f>
        <v/>
      </c>
      <c r="Y1367" s="36">
        <f>IF(AND(OR(sel_Region="All",C1367=sel_Region),OR(sel_Country="All",D1367=sel_Country),OR(sel_Channel="All",E1367=sel_Channel),OR(sel_Customer="All",F1367=sel_Customer),OR(sel_Product="All",H1367=sel_Product),AND(S1367&gt;=m_From,S1367&lt;=m_To)),1,0)</f>
        <v/>
      </c>
      <c r="Z1367" s="36">
        <f>IF(AND(OR(sel_Region="All",C1367=sel_Region),OR(sel_Country="All",D1367=sel_Country),OR(sel_Channel="All",E1367=sel_Channel),OR(sel_Customer="All",F1367=sel_Customer),OR(sel_Category="All",G1367=sel_Category),AND(S1367&gt;=m_From,S1367&lt;=m_To)),1,0)</f>
        <v/>
      </c>
      <c r="AA1367" s="36">
        <f>IF(AND(OR(sel_Region="All",C1367=sel_Region),OR(sel_Country="All",D1367=sel_Country),OR(sel_Channel="All",E1367=sel_Channel),OR(sel_Customer="All",F1367=sel_Customer),OR(sel_Category="All",G1367=sel_Category),OR(sel_Product="All",H1367=sel_Product)),1,0)</f>
        <v/>
      </c>
    </row>
    <row r="1368">
      <c r="A1368" s="36" t="inlineStr">
        <is>
          <t>03709</t>
        </is>
      </c>
      <c r="B1368" s="44" t="n">
        <v>46217</v>
      </c>
      <c r="C1368" s="36" t="inlineStr">
        <is>
          <t>Southern Europe</t>
        </is>
      </c>
      <c r="D1368" s="36" t="inlineStr">
        <is>
          <t>Portugal</t>
        </is>
      </c>
      <c r="E1368" s="36" t="inlineStr">
        <is>
          <t>Online Store</t>
        </is>
      </c>
      <c r="F1368" s="36" t="inlineStr">
        <is>
          <t>New</t>
        </is>
      </c>
      <c r="G1368" s="36" t="inlineStr">
        <is>
          <t>Fitness</t>
        </is>
      </c>
      <c r="H1368" s="36" t="inlineStr">
        <is>
          <t>Training Mat</t>
        </is>
      </c>
      <c r="I1368" s="36" t="n">
        <v>1</v>
      </c>
      <c r="J1368" s="39" t="n">
        <v>50.94</v>
      </c>
      <c r="K1368" s="45" t="n">
        <v>0</v>
      </c>
      <c r="L1368" s="39" t="n">
        <v>22.28</v>
      </c>
      <c r="M1368" s="39">
        <f>I1368*J1368*(1-K1368)</f>
        <v/>
      </c>
      <c r="N1368" s="39">
        <f>I1368*L1368</f>
        <v/>
      </c>
      <c r="O1368" s="39">
        <f>M1368-N1368</f>
        <v/>
      </c>
      <c r="P1368" s="38">
        <f>IF(M1368=0,0,O1368/M1368)</f>
        <v/>
      </c>
      <c r="Q1368" s="36">
        <f>YEAR(B1368)</f>
        <v/>
      </c>
      <c r="R1368" s="36">
        <f>"Q"&amp;ROUNDUP(MONTH(B1368)/3,0)</f>
        <v/>
      </c>
      <c r="S1368" s="36">
        <f>MONTH(B1368)</f>
        <v/>
      </c>
      <c r="T1368" s="36">
        <f>TEXT(B1368,"mmm")</f>
        <v/>
      </c>
      <c r="U1368" s="36">
        <f>IF(AND(OR(sel_Region="All",C1368=sel_Region),OR(sel_Country="All",D1368=sel_Country),OR(sel_Channel="All",E1368=sel_Channel),OR(sel_Customer="All",F1368=sel_Customer),OR(sel_Category="All",G1368=sel_Category),OR(sel_Product="All",H1368=sel_Product),AND(S1368&gt;=m_From,S1368&lt;=m_To)),1,0)</f>
        <v/>
      </c>
      <c r="V1368" s="36">
        <f>IF(AND(OR(sel_Region="All",C1368=sel_Region),OR(sel_Channel="All",E1368=sel_Channel),OR(sel_Customer="All",F1368=sel_Customer),OR(sel_Category="All",G1368=sel_Category),OR(sel_Product="All",H1368=sel_Product),AND(S1368&gt;=m_From,S1368&lt;=m_To)),1,0)</f>
        <v/>
      </c>
      <c r="W1368" s="36">
        <f>IF(AND(OR(sel_Region="All",C1368=sel_Region),OR(sel_Country="All",D1368=sel_Country),OR(sel_Customer="All",F1368=sel_Customer),OR(sel_Category="All",G1368=sel_Category),OR(sel_Product="All",H1368=sel_Product),AND(S1368&gt;=m_From,S1368&lt;=m_To)),1,0)</f>
        <v/>
      </c>
      <c r="X1368" s="36">
        <f>IF(AND(OR(sel_Region="All",C1368=sel_Region),OR(sel_Country="All",D1368=sel_Country),OR(sel_Channel="All",E1368=sel_Channel),OR(sel_Category="All",G1368=sel_Category),OR(sel_Product="All",H1368=sel_Product),AND(S1368&gt;=m_From,S1368&lt;=m_To)),1,0)</f>
        <v/>
      </c>
      <c r="Y1368" s="36">
        <f>IF(AND(OR(sel_Region="All",C1368=sel_Region),OR(sel_Country="All",D1368=sel_Country),OR(sel_Channel="All",E1368=sel_Channel),OR(sel_Customer="All",F1368=sel_Customer),OR(sel_Product="All",H1368=sel_Product),AND(S1368&gt;=m_From,S1368&lt;=m_To)),1,0)</f>
        <v/>
      </c>
      <c r="Z1368" s="36">
        <f>IF(AND(OR(sel_Region="All",C1368=sel_Region),OR(sel_Country="All",D1368=sel_Country),OR(sel_Channel="All",E1368=sel_Channel),OR(sel_Customer="All",F1368=sel_Customer),OR(sel_Category="All",G1368=sel_Category),AND(S1368&gt;=m_From,S1368&lt;=m_To)),1,0)</f>
        <v/>
      </c>
      <c r="AA1368" s="36">
        <f>IF(AND(OR(sel_Region="All",C1368=sel_Region),OR(sel_Country="All",D1368=sel_Country),OR(sel_Channel="All",E1368=sel_Channel),OR(sel_Customer="All",F1368=sel_Customer),OR(sel_Category="All",G1368=sel_Category),OR(sel_Product="All",H1368=sel_Product)),1,0)</f>
        <v/>
      </c>
    </row>
    <row r="1369">
      <c r="A1369" s="36" t="inlineStr">
        <is>
          <t>00061</t>
        </is>
      </c>
      <c r="B1369" s="44" t="n">
        <v>46218</v>
      </c>
      <c r="C1369" s="36" t="inlineStr">
        <is>
          <t>Western Europe</t>
        </is>
      </c>
      <c r="D1369" s="36" t="inlineStr">
        <is>
          <t>United Kingdom</t>
        </is>
      </c>
      <c r="E1369" s="36" t="inlineStr">
        <is>
          <t>Online Store</t>
        </is>
      </c>
      <c r="F1369" s="36" t="inlineStr">
        <is>
          <t>Returning</t>
        </is>
      </c>
      <c r="G1369" s="36" t="inlineStr">
        <is>
          <t>Fitness</t>
        </is>
      </c>
      <c r="H1369" s="36" t="inlineStr">
        <is>
          <t>Weighted Vest</t>
        </is>
      </c>
      <c r="I1369" s="36" t="n">
        <v>2</v>
      </c>
      <c r="J1369" s="39" t="n">
        <v>125.89</v>
      </c>
      <c r="K1369" s="45" t="n">
        <v>0</v>
      </c>
      <c r="L1369" s="39" t="n">
        <v>70.8</v>
      </c>
      <c r="M1369" s="39">
        <f>I1369*J1369*(1-K1369)</f>
        <v/>
      </c>
      <c r="N1369" s="39">
        <f>I1369*L1369</f>
        <v/>
      </c>
      <c r="O1369" s="39">
        <f>M1369-N1369</f>
        <v/>
      </c>
      <c r="P1369" s="38">
        <f>IF(M1369=0,0,O1369/M1369)</f>
        <v/>
      </c>
      <c r="Q1369" s="36">
        <f>YEAR(B1369)</f>
        <v/>
      </c>
      <c r="R1369" s="36">
        <f>"Q"&amp;ROUNDUP(MONTH(B1369)/3,0)</f>
        <v/>
      </c>
      <c r="S1369" s="36">
        <f>MONTH(B1369)</f>
        <v/>
      </c>
      <c r="T1369" s="36">
        <f>TEXT(B1369,"mmm")</f>
        <v/>
      </c>
      <c r="U1369" s="36">
        <f>IF(AND(OR(sel_Region="All",C1369=sel_Region),OR(sel_Country="All",D1369=sel_Country),OR(sel_Channel="All",E1369=sel_Channel),OR(sel_Customer="All",F1369=sel_Customer),OR(sel_Category="All",G1369=sel_Category),OR(sel_Product="All",H1369=sel_Product),AND(S1369&gt;=m_From,S1369&lt;=m_To)),1,0)</f>
        <v/>
      </c>
      <c r="V1369" s="36">
        <f>IF(AND(OR(sel_Region="All",C1369=sel_Region),OR(sel_Channel="All",E1369=sel_Channel),OR(sel_Customer="All",F1369=sel_Customer),OR(sel_Category="All",G1369=sel_Category),OR(sel_Product="All",H1369=sel_Product),AND(S1369&gt;=m_From,S1369&lt;=m_To)),1,0)</f>
        <v/>
      </c>
      <c r="W1369" s="36">
        <f>IF(AND(OR(sel_Region="All",C1369=sel_Region),OR(sel_Country="All",D1369=sel_Country),OR(sel_Customer="All",F1369=sel_Customer),OR(sel_Category="All",G1369=sel_Category),OR(sel_Product="All",H1369=sel_Product),AND(S1369&gt;=m_From,S1369&lt;=m_To)),1,0)</f>
        <v/>
      </c>
      <c r="X1369" s="36">
        <f>IF(AND(OR(sel_Region="All",C1369=sel_Region),OR(sel_Country="All",D1369=sel_Country),OR(sel_Channel="All",E1369=sel_Channel),OR(sel_Category="All",G1369=sel_Category),OR(sel_Product="All",H1369=sel_Product),AND(S1369&gt;=m_From,S1369&lt;=m_To)),1,0)</f>
        <v/>
      </c>
      <c r="Y1369" s="36">
        <f>IF(AND(OR(sel_Region="All",C1369=sel_Region),OR(sel_Country="All",D1369=sel_Country),OR(sel_Channel="All",E1369=sel_Channel),OR(sel_Customer="All",F1369=sel_Customer),OR(sel_Product="All",H1369=sel_Product),AND(S1369&gt;=m_From,S1369&lt;=m_To)),1,0)</f>
        <v/>
      </c>
      <c r="Z1369" s="36">
        <f>IF(AND(OR(sel_Region="All",C1369=sel_Region),OR(sel_Country="All",D1369=sel_Country),OR(sel_Channel="All",E1369=sel_Channel),OR(sel_Customer="All",F1369=sel_Customer),OR(sel_Category="All",G1369=sel_Category),AND(S1369&gt;=m_From,S1369&lt;=m_To)),1,0)</f>
        <v/>
      </c>
      <c r="AA1369" s="36">
        <f>IF(AND(OR(sel_Region="All",C1369=sel_Region),OR(sel_Country="All",D1369=sel_Country),OR(sel_Channel="All",E1369=sel_Channel),OR(sel_Customer="All",F1369=sel_Customer),OR(sel_Category="All",G1369=sel_Category),OR(sel_Product="All",H1369=sel_Product)),1,0)</f>
        <v/>
      </c>
    </row>
    <row r="1370">
      <c r="A1370" s="36" t="inlineStr">
        <is>
          <t>00357</t>
        </is>
      </c>
      <c r="B1370" s="44" t="n">
        <v>46218</v>
      </c>
      <c r="C1370" s="36" t="inlineStr">
        <is>
          <t>Southern Europe</t>
        </is>
      </c>
      <c r="D1370" s="36" t="inlineStr">
        <is>
          <t>Portugal</t>
        </is>
      </c>
      <c r="E1370" s="36" t="inlineStr">
        <is>
          <t>Online Store</t>
        </is>
      </c>
      <c r="F1370" s="36" t="inlineStr">
        <is>
          <t>New</t>
        </is>
      </c>
      <c r="G1370" s="36" t="inlineStr">
        <is>
          <t>Fitness</t>
        </is>
      </c>
      <c r="H1370" s="36" t="inlineStr">
        <is>
          <t>Training Mat</t>
        </is>
      </c>
      <c r="I1370" s="36" t="n">
        <v>2</v>
      </c>
      <c r="J1370" s="39" t="n">
        <v>51.9</v>
      </c>
      <c r="K1370" s="45" t="n">
        <v>0</v>
      </c>
      <c r="L1370" s="39" t="n">
        <v>21.82</v>
      </c>
      <c r="M1370" s="39">
        <f>I1370*J1370*(1-K1370)</f>
        <v/>
      </c>
      <c r="N1370" s="39">
        <f>I1370*L1370</f>
        <v/>
      </c>
      <c r="O1370" s="39">
        <f>M1370-N1370</f>
        <v/>
      </c>
      <c r="P1370" s="38">
        <f>IF(M1370=0,0,O1370/M1370)</f>
        <v/>
      </c>
      <c r="Q1370" s="36">
        <f>YEAR(B1370)</f>
        <v/>
      </c>
      <c r="R1370" s="36">
        <f>"Q"&amp;ROUNDUP(MONTH(B1370)/3,0)</f>
        <v/>
      </c>
      <c r="S1370" s="36">
        <f>MONTH(B1370)</f>
        <v/>
      </c>
      <c r="T1370" s="36">
        <f>TEXT(B1370,"mmm")</f>
        <v/>
      </c>
      <c r="U1370" s="36">
        <f>IF(AND(OR(sel_Region="All",C1370=sel_Region),OR(sel_Country="All",D1370=sel_Country),OR(sel_Channel="All",E1370=sel_Channel),OR(sel_Customer="All",F1370=sel_Customer),OR(sel_Category="All",G1370=sel_Category),OR(sel_Product="All",H1370=sel_Product),AND(S1370&gt;=m_From,S1370&lt;=m_To)),1,0)</f>
        <v/>
      </c>
      <c r="V1370" s="36">
        <f>IF(AND(OR(sel_Region="All",C1370=sel_Region),OR(sel_Channel="All",E1370=sel_Channel),OR(sel_Customer="All",F1370=sel_Customer),OR(sel_Category="All",G1370=sel_Category),OR(sel_Product="All",H1370=sel_Product),AND(S1370&gt;=m_From,S1370&lt;=m_To)),1,0)</f>
        <v/>
      </c>
      <c r="W1370" s="36">
        <f>IF(AND(OR(sel_Region="All",C1370=sel_Region),OR(sel_Country="All",D1370=sel_Country),OR(sel_Customer="All",F1370=sel_Customer),OR(sel_Category="All",G1370=sel_Category),OR(sel_Product="All",H1370=sel_Product),AND(S1370&gt;=m_From,S1370&lt;=m_To)),1,0)</f>
        <v/>
      </c>
      <c r="X1370" s="36">
        <f>IF(AND(OR(sel_Region="All",C1370=sel_Region),OR(sel_Country="All",D1370=sel_Country),OR(sel_Channel="All",E1370=sel_Channel),OR(sel_Category="All",G1370=sel_Category),OR(sel_Product="All",H1370=sel_Product),AND(S1370&gt;=m_From,S1370&lt;=m_To)),1,0)</f>
        <v/>
      </c>
      <c r="Y1370" s="36">
        <f>IF(AND(OR(sel_Region="All",C1370=sel_Region),OR(sel_Country="All",D1370=sel_Country),OR(sel_Channel="All",E1370=sel_Channel),OR(sel_Customer="All",F1370=sel_Customer),OR(sel_Product="All",H1370=sel_Product),AND(S1370&gt;=m_From,S1370&lt;=m_To)),1,0)</f>
        <v/>
      </c>
      <c r="Z1370" s="36">
        <f>IF(AND(OR(sel_Region="All",C1370=sel_Region),OR(sel_Country="All",D1370=sel_Country),OR(sel_Channel="All",E1370=sel_Channel),OR(sel_Customer="All",F1370=sel_Customer),OR(sel_Category="All",G1370=sel_Category),AND(S1370&gt;=m_From,S1370&lt;=m_To)),1,0)</f>
        <v/>
      </c>
      <c r="AA1370" s="36">
        <f>IF(AND(OR(sel_Region="All",C1370=sel_Region),OR(sel_Country="All",D1370=sel_Country),OR(sel_Channel="All",E1370=sel_Channel),OR(sel_Customer="All",F1370=sel_Customer),OR(sel_Category="All",G1370=sel_Category),OR(sel_Product="All",H1370=sel_Product)),1,0)</f>
        <v/>
      </c>
    </row>
    <row r="1371">
      <c r="A1371" s="36" t="inlineStr">
        <is>
          <t>01607</t>
        </is>
      </c>
      <c r="B1371" s="44" t="n">
        <v>46218</v>
      </c>
      <c r="C1371" s="36" t="inlineStr">
        <is>
          <t>Southern Europe</t>
        </is>
      </c>
      <c r="D1371" s="36" t="inlineStr">
        <is>
          <t>Spain</t>
        </is>
      </c>
      <c r="E1371" s="36" t="inlineStr">
        <is>
          <t>Retail Partners</t>
        </is>
      </c>
      <c r="F1371" s="36" t="inlineStr">
        <is>
          <t>New</t>
        </is>
      </c>
      <c r="G1371" s="36" t="inlineStr">
        <is>
          <t>Fitness</t>
        </is>
      </c>
      <c r="H1371" s="36" t="inlineStr">
        <is>
          <t>Resistance Band Set</t>
        </is>
      </c>
      <c r="I1371" s="36" t="n">
        <v>2</v>
      </c>
      <c r="J1371" s="39" t="n">
        <v>39.75</v>
      </c>
      <c r="K1371" s="45" t="n">
        <v>0</v>
      </c>
      <c r="L1371" s="39" t="n">
        <v>14.78</v>
      </c>
      <c r="M1371" s="39">
        <f>I1371*J1371*(1-K1371)</f>
        <v/>
      </c>
      <c r="N1371" s="39">
        <f>I1371*L1371</f>
        <v/>
      </c>
      <c r="O1371" s="39">
        <f>M1371-N1371</f>
        <v/>
      </c>
      <c r="P1371" s="38">
        <f>IF(M1371=0,0,O1371/M1371)</f>
        <v/>
      </c>
      <c r="Q1371" s="36">
        <f>YEAR(B1371)</f>
        <v/>
      </c>
      <c r="R1371" s="36">
        <f>"Q"&amp;ROUNDUP(MONTH(B1371)/3,0)</f>
        <v/>
      </c>
      <c r="S1371" s="36">
        <f>MONTH(B1371)</f>
        <v/>
      </c>
      <c r="T1371" s="36">
        <f>TEXT(B1371,"mmm")</f>
        <v/>
      </c>
      <c r="U1371" s="36">
        <f>IF(AND(OR(sel_Region="All",C1371=sel_Region),OR(sel_Country="All",D1371=sel_Country),OR(sel_Channel="All",E1371=sel_Channel),OR(sel_Customer="All",F1371=sel_Customer),OR(sel_Category="All",G1371=sel_Category),OR(sel_Product="All",H1371=sel_Product),AND(S1371&gt;=m_From,S1371&lt;=m_To)),1,0)</f>
        <v/>
      </c>
      <c r="V1371" s="36">
        <f>IF(AND(OR(sel_Region="All",C1371=sel_Region),OR(sel_Channel="All",E1371=sel_Channel),OR(sel_Customer="All",F1371=sel_Customer),OR(sel_Category="All",G1371=sel_Category),OR(sel_Product="All",H1371=sel_Product),AND(S1371&gt;=m_From,S1371&lt;=m_To)),1,0)</f>
        <v/>
      </c>
      <c r="W1371" s="36">
        <f>IF(AND(OR(sel_Region="All",C1371=sel_Region),OR(sel_Country="All",D1371=sel_Country),OR(sel_Customer="All",F1371=sel_Customer),OR(sel_Category="All",G1371=sel_Category),OR(sel_Product="All",H1371=sel_Product),AND(S1371&gt;=m_From,S1371&lt;=m_To)),1,0)</f>
        <v/>
      </c>
      <c r="X1371" s="36">
        <f>IF(AND(OR(sel_Region="All",C1371=sel_Region),OR(sel_Country="All",D1371=sel_Country),OR(sel_Channel="All",E1371=sel_Channel),OR(sel_Category="All",G1371=sel_Category),OR(sel_Product="All",H1371=sel_Product),AND(S1371&gt;=m_From,S1371&lt;=m_To)),1,0)</f>
        <v/>
      </c>
      <c r="Y1371" s="36">
        <f>IF(AND(OR(sel_Region="All",C1371=sel_Region),OR(sel_Country="All",D1371=sel_Country),OR(sel_Channel="All",E1371=sel_Channel),OR(sel_Customer="All",F1371=sel_Customer),OR(sel_Product="All",H1371=sel_Product),AND(S1371&gt;=m_From,S1371&lt;=m_To)),1,0)</f>
        <v/>
      </c>
      <c r="Z1371" s="36">
        <f>IF(AND(OR(sel_Region="All",C1371=sel_Region),OR(sel_Country="All",D1371=sel_Country),OR(sel_Channel="All",E1371=sel_Channel),OR(sel_Customer="All",F1371=sel_Customer),OR(sel_Category="All",G1371=sel_Category),AND(S1371&gt;=m_From,S1371&lt;=m_To)),1,0)</f>
        <v/>
      </c>
      <c r="AA1371" s="36">
        <f>IF(AND(OR(sel_Region="All",C1371=sel_Region),OR(sel_Country="All",D1371=sel_Country),OR(sel_Channel="All",E1371=sel_Channel),OR(sel_Customer="All",F1371=sel_Customer),OR(sel_Category="All",G1371=sel_Category),OR(sel_Product="All",H1371=sel_Product)),1,0)</f>
        <v/>
      </c>
    </row>
    <row r="1372">
      <c r="A1372" s="36" t="inlineStr">
        <is>
          <t>03295</t>
        </is>
      </c>
      <c r="B1372" s="44" t="n">
        <v>46218</v>
      </c>
      <c r="C1372" s="36" t="inlineStr">
        <is>
          <t>Central Europe</t>
        </is>
      </c>
      <c r="D1372" s="36" t="inlineStr">
        <is>
          <t>Germany</t>
        </is>
      </c>
      <c r="E1372" s="36" t="inlineStr">
        <is>
          <t>Marketplace</t>
        </is>
      </c>
      <c r="F1372" s="36" t="inlineStr">
        <is>
          <t>Returning</t>
        </is>
      </c>
      <c r="G1372" s="36" t="inlineStr">
        <is>
          <t>Hiking</t>
        </is>
      </c>
      <c r="H1372" s="36" t="inlineStr">
        <is>
          <t>Hiking Daypack 20L</t>
        </is>
      </c>
      <c r="I1372" s="36" t="n">
        <v>1</v>
      </c>
      <c r="J1372" s="39" t="n">
        <v>93.45999999999999</v>
      </c>
      <c r="K1372" s="45" t="n">
        <v>0.15</v>
      </c>
      <c r="L1372" s="39" t="n">
        <v>46.65</v>
      </c>
      <c r="M1372" s="39">
        <f>I1372*J1372*(1-K1372)</f>
        <v/>
      </c>
      <c r="N1372" s="39">
        <f>I1372*L1372</f>
        <v/>
      </c>
      <c r="O1372" s="39">
        <f>M1372-N1372</f>
        <v/>
      </c>
      <c r="P1372" s="38">
        <f>IF(M1372=0,0,O1372/M1372)</f>
        <v/>
      </c>
      <c r="Q1372" s="36">
        <f>YEAR(B1372)</f>
        <v/>
      </c>
      <c r="R1372" s="36">
        <f>"Q"&amp;ROUNDUP(MONTH(B1372)/3,0)</f>
        <v/>
      </c>
      <c r="S1372" s="36">
        <f>MONTH(B1372)</f>
        <v/>
      </c>
      <c r="T1372" s="36">
        <f>TEXT(B1372,"mmm")</f>
        <v/>
      </c>
      <c r="U1372" s="36">
        <f>IF(AND(OR(sel_Region="All",C1372=sel_Region),OR(sel_Country="All",D1372=sel_Country),OR(sel_Channel="All",E1372=sel_Channel),OR(sel_Customer="All",F1372=sel_Customer),OR(sel_Category="All",G1372=sel_Category),OR(sel_Product="All",H1372=sel_Product),AND(S1372&gt;=m_From,S1372&lt;=m_To)),1,0)</f>
        <v/>
      </c>
      <c r="V1372" s="36">
        <f>IF(AND(OR(sel_Region="All",C1372=sel_Region),OR(sel_Channel="All",E1372=sel_Channel),OR(sel_Customer="All",F1372=sel_Customer),OR(sel_Category="All",G1372=sel_Category),OR(sel_Product="All",H1372=sel_Product),AND(S1372&gt;=m_From,S1372&lt;=m_To)),1,0)</f>
        <v/>
      </c>
      <c r="W1372" s="36">
        <f>IF(AND(OR(sel_Region="All",C1372=sel_Region),OR(sel_Country="All",D1372=sel_Country),OR(sel_Customer="All",F1372=sel_Customer),OR(sel_Category="All",G1372=sel_Category),OR(sel_Product="All",H1372=sel_Product),AND(S1372&gt;=m_From,S1372&lt;=m_To)),1,0)</f>
        <v/>
      </c>
      <c r="X1372" s="36">
        <f>IF(AND(OR(sel_Region="All",C1372=sel_Region),OR(sel_Country="All",D1372=sel_Country),OR(sel_Channel="All",E1372=sel_Channel),OR(sel_Category="All",G1372=sel_Category),OR(sel_Product="All",H1372=sel_Product),AND(S1372&gt;=m_From,S1372&lt;=m_To)),1,0)</f>
        <v/>
      </c>
      <c r="Y1372" s="36">
        <f>IF(AND(OR(sel_Region="All",C1372=sel_Region),OR(sel_Country="All",D1372=sel_Country),OR(sel_Channel="All",E1372=sel_Channel),OR(sel_Customer="All",F1372=sel_Customer),OR(sel_Product="All",H1372=sel_Product),AND(S1372&gt;=m_From,S1372&lt;=m_To)),1,0)</f>
        <v/>
      </c>
      <c r="Z1372" s="36">
        <f>IF(AND(OR(sel_Region="All",C1372=sel_Region),OR(sel_Country="All",D1372=sel_Country),OR(sel_Channel="All",E1372=sel_Channel),OR(sel_Customer="All",F1372=sel_Customer),OR(sel_Category="All",G1372=sel_Category),AND(S1372&gt;=m_From,S1372&lt;=m_To)),1,0)</f>
        <v/>
      </c>
      <c r="AA1372" s="36">
        <f>IF(AND(OR(sel_Region="All",C1372=sel_Region),OR(sel_Country="All",D1372=sel_Country),OR(sel_Channel="All",E1372=sel_Channel),OR(sel_Customer="All",F1372=sel_Customer),OR(sel_Category="All",G1372=sel_Category),OR(sel_Product="All",H1372=sel_Product)),1,0)</f>
        <v/>
      </c>
    </row>
    <row r="1373">
      <c r="A1373" s="36" t="inlineStr">
        <is>
          <t>04048</t>
        </is>
      </c>
      <c r="B1373" s="44" t="n">
        <v>46218</v>
      </c>
      <c r="C1373" s="36" t="inlineStr">
        <is>
          <t>Western Europe</t>
        </is>
      </c>
      <c r="D1373" s="36" t="inlineStr">
        <is>
          <t>France</t>
        </is>
      </c>
      <c r="E1373" s="36" t="inlineStr">
        <is>
          <t>Corporate</t>
        </is>
      </c>
      <c r="F1373" s="36" t="inlineStr">
        <is>
          <t>Business</t>
        </is>
      </c>
      <c r="G1373" s="36" t="inlineStr">
        <is>
          <t>Cycling</t>
        </is>
      </c>
      <c r="H1373" s="36" t="inlineStr">
        <is>
          <t>Commuter Helmet</t>
        </is>
      </c>
      <c r="I1373" s="36" t="n">
        <v>3</v>
      </c>
      <c r="J1373" s="39" t="n">
        <v>82.79000000000001</v>
      </c>
      <c r="K1373" s="45" t="n">
        <v>0.1</v>
      </c>
      <c r="L1373" s="39" t="n">
        <v>43.07</v>
      </c>
      <c r="M1373" s="39">
        <f>I1373*J1373*(1-K1373)</f>
        <v/>
      </c>
      <c r="N1373" s="39">
        <f>I1373*L1373</f>
        <v/>
      </c>
      <c r="O1373" s="39">
        <f>M1373-N1373</f>
        <v/>
      </c>
      <c r="P1373" s="38">
        <f>IF(M1373=0,0,O1373/M1373)</f>
        <v/>
      </c>
      <c r="Q1373" s="36">
        <f>YEAR(B1373)</f>
        <v/>
      </c>
      <c r="R1373" s="36">
        <f>"Q"&amp;ROUNDUP(MONTH(B1373)/3,0)</f>
        <v/>
      </c>
      <c r="S1373" s="36">
        <f>MONTH(B1373)</f>
        <v/>
      </c>
      <c r="T1373" s="36">
        <f>TEXT(B1373,"mmm")</f>
        <v/>
      </c>
      <c r="U1373" s="36">
        <f>IF(AND(OR(sel_Region="All",C1373=sel_Region),OR(sel_Country="All",D1373=sel_Country),OR(sel_Channel="All",E1373=sel_Channel),OR(sel_Customer="All",F1373=sel_Customer),OR(sel_Category="All",G1373=sel_Category),OR(sel_Product="All",H1373=sel_Product),AND(S1373&gt;=m_From,S1373&lt;=m_To)),1,0)</f>
        <v/>
      </c>
      <c r="V1373" s="36">
        <f>IF(AND(OR(sel_Region="All",C1373=sel_Region),OR(sel_Channel="All",E1373=sel_Channel),OR(sel_Customer="All",F1373=sel_Customer),OR(sel_Category="All",G1373=sel_Category),OR(sel_Product="All",H1373=sel_Product),AND(S1373&gt;=m_From,S1373&lt;=m_To)),1,0)</f>
        <v/>
      </c>
      <c r="W1373" s="36">
        <f>IF(AND(OR(sel_Region="All",C1373=sel_Region),OR(sel_Country="All",D1373=sel_Country),OR(sel_Customer="All",F1373=sel_Customer),OR(sel_Category="All",G1373=sel_Category),OR(sel_Product="All",H1373=sel_Product),AND(S1373&gt;=m_From,S1373&lt;=m_To)),1,0)</f>
        <v/>
      </c>
      <c r="X1373" s="36">
        <f>IF(AND(OR(sel_Region="All",C1373=sel_Region),OR(sel_Country="All",D1373=sel_Country),OR(sel_Channel="All",E1373=sel_Channel),OR(sel_Category="All",G1373=sel_Category),OR(sel_Product="All",H1373=sel_Product),AND(S1373&gt;=m_From,S1373&lt;=m_To)),1,0)</f>
        <v/>
      </c>
      <c r="Y1373" s="36">
        <f>IF(AND(OR(sel_Region="All",C1373=sel_Region),OR(sel_Country="All",D1373=sel_Country),OR(sel_Channel="All",E1373=sel_Channel),OR(sel_Customer="All",F1373=sel_Customer),OR(sel_Product="All",H1373=sel_Product),AND(S1373&gt;=m_From,S1373&lt;=m_To)),1,0)</f>
        <v/>
      </c>
      <c r="Z1373" s="36">
        <f>IF(AND(OR(sel_Region="All",C1373=sel_Region),OR(sel_Country="All",D1373=sel_Country),OR(sel_Channel="All",E1373=sel_Channel),OR(sel_Customer="All",F1373=sel_Customer),OR(sel_Category="All",G1373=sel_Category),AND(S1373&gt;=m_From,S1373&lt;=m_To)),1,0)</f>
        <v/>
      </c>
      <c r="AA1373" s="36">
        <f>IF(AND(OR(sel_Region="All",C1373=sel_Region),OR(sel_Country="All",D1373=sel_Country),OR(sel_Channel="All",E1373=sel_Channel),OR(sel_Customer="All",F1373=sel_Customer),OR(sel_Category="All",G1373=sel_Category),OR(sel_Product="All",H1373=sel_Product)),1,0)</f>
        <v/>
      </c>
    </row>
    <row r="1374">
      <c r="A1374" s="36" t="inlineStr">
        <is>
          <t>04424</t>
        </is>
      </c>
      <c r="B1374" s="44" t="n">
        <v>46218</v>
      </c>
      <c r="C1374" s="36" t="inlineStr">
        <is>
          <t>Northern Europe</t>
        </is>
      </c>
      <c r="D1374" s="36" t="inlineStr">
        <is>
          <t>Sweden</t>
        </is>
      </c>
      <c r="E1374" s="36" t="inlineStr">
        <is>
          <t>Retail Partners</t>
        </is>
      </c>
      <c r="F1374" s="36" t="inlineStr">
        <is>
          <t>Business</t>
        </is>
      </c>
      <c r="G1374" s="36" t="inlineStr">
        <is>
          <t>Hiking</t>
        </is>
      </c>
      <c r="H1374" s="36" t="inlineStr">
        <is>
          <t>Hiking Daypack 20L</t>
        </is>
      </c>
      <c r="I1374" s="36" t="n">
        <v>1</v>
      </c>
      <c r="J1374" s="39" t="n">
        <v>92.54000000000001</v>
      </c>
      <c r="K1374" s="45" t="n">
        <v>0</v>
      </c>
      <c r="L1374" s="39" t="n">
        <v>44.48</v>
      </c>
      <c r="M1374" s="39">
        <f>I1374*J1374*(1-K1374)</f>
        <v/>
      </c>
      <c r="N1374" s="39">
        <f>I1374*L1374</f>
        <v/>
      </c>
      <c r="O1374" s="39">
        <f>M1374-N1374</f>
        <v/>
      </c>
      <c r="P1374" s="38">
        <f>IF(M1374=0,0,O1374/M1374)</f>
        <v/>
      </c>
      <c r="Q1374" s="36">
        <f>YEAR(B1374)</f>
        <v/>
      </c>
      <c r="R1374" s="36">
        <f>"Q"&amp;ROUNDUP(MONTH(B1374)/3,0)</f>
        <v/>
      </c>
      <c r="S1374" s="36">
        <f>MONTH(B1374)</f>
        <v/>
      </c>
      <c r="T1374" s="36">
        <f>TEXT(B1374,"mmm")</f>
        <v/>
      </c>
      <c r="U1374" s="36">
        <f>IF(AND(OR(sel_Region="All",C1374=sel_Region),OR(sel_Country="All",D1374=sel_Country),OR(sel_Channel="All",E1374=sel_Channel),OR(sel_Customer="All",F1374=sel_Customer),OR(sel_Category="All",G1374=sel_Category),OR(sel_Product="All",H1374=sel_Product),AND(S1374&gt;=m_From,S1374&lt;=m_To)),1,0)</f>
        <v/>
      </c>
      <c r="V1374" s="36">
        <f>IF(AND(OR(sel_Region="All",C1374=sel_Region),OR(sel_Channel="All",E1374=sel_Channel),OR(sel_Customer="All",F1374=sel_Customer),OR(sel_Category="All",G1374=sel_Category),OR(sel_Product="All",H1374=sel_Product),AND(S1374&gt;=m_From,S1374&lt;=m_To)),1,0)</f>
        <v/>
      </c>
      <c r="W1374" s="36">
        <f>IF(AND(OR(sel_Region="All",C1374=sel_Region),OR(sel_Country="All",D1374=sel_Country),OR(sel_Customer="All",F1374=sel_Customer),OR(sel_Category="All",G1374=sel_Category),OR(sel_Product="All",H1374=sel_Product),AND(S1374&gt;=m_From,S1374&lt;=m_To)),1,0)</f>
        <v/>
      </c>
      <c r="X1374" s="36">
        <f>IF(AND(OR(sel_Region="All",C1374=sel_Region),OR(sel_Country="All",D1374=sel_Country),OR(sel_Channel="All",E1374=sel_Channel),OR(sel_Category="All",G1374=sel_Category),OR(sel_Product="All",H1374=sel_Product),AND(S1374&gt;=m_From,S1374&lt;=m_To)),1,0)</f>
        <v/>
      </c>
      <c r="Y1374" s="36">
        <f>IF(AND(OR(sel_Region="All",C1374=sel_Region),OR(sel_Country="All",D1374=sel_Country),OR(sel_Channel="All",E1374=sel_Channel),OR(sel_Customer="All",F1374=sel_Customer),OR(sel_Product="All",H1374=sel_Product),AND(S1374&gt;=m_From,S1374&lt;=m_To)),1,0)</f>
        <v/>
      </c>
      <c r="Z1374" s="36">
        <f>IF(AND(OR(sel_Region="All",C1374=sel_Region),OR(sel_Country="All",D1374=sel_Country),OR(sel_Channel="All",E1374=sel_Channel),OR(sel_Customer="All",F1374=sel_Customer),OR(sel_Category="All",G1374=sel_Category),AND(S1374&gt;=m_From,S1374&lt;=m_To)),1,0)</f>
        <v/>
      </c>
      <c r="AA1374" s="36">
        <f>IF(AND(OR(sel_Region="All",C1374=sel_Region),OR(sel_Country="All",D1374=sel_Country),OR(sel_Channel="All",E1374=sel_Channel),OR(sel_Customer="All",F1374=sel_Customer),OR(sel_Category="All",G1374=sel_Category),OR(sel_Product="All",H1374=sel_Product)),1,0)</f>
        <v/>
      </c>
    </row>
    <row r="1375">
      <c r="A1375" s="36" t="inlineStr">
        <is>
          <t>04732</t>
        </is>
      </c>
      <c r="B1375" s="44" t="n">
        <v>46218</v>
      </c>
      <c r="C1375" s="36" t="inlineStr">
        <is>
          <t>Central Europe</t>
        </is>
      </c>
      <c r="D1375" s="36" t="inlineStr">
        <is>
          <t>Poland</t>
        </is>
      </c>
      <c r="E1375" s="36" t="inlineStr">
        <is>
          <t>Retail Partners</t>
        </is>
      </c>
      <c r="F1375" s="36" t="inlineStr">
        <is>
          <t>New</t>
        </is>
      </c>
      <c r="G1375" s="36" t="inlineStr">
        <is>
          <t>Travel</t>
        </is>
      </c>
      <c r="H1375" s="36" t="inlineStr">
        <is>
          <t>Packing Cube Set</t>
        </is>
      </c>
      <c r="I1375" s="36" t="n">
        <v>1</v>
      </c>
      <c r="J1375" s="39" t="n">
        <v>46.53</v>
      </c>
      <c r="K1375" s="45" t="n">
        <v>0</v>
      </c>
      <c r="L1375" s="39" t="n">
        <v>18.83</v>
      </c>
      <c r="M1375" s="39">
        <f>I1375*J1375*(1-K1375)</f>
        <v/>
      </c>
      <c r="N1375" s="39">
        <f>I1375*L1375</f>
        <v/>
      </c>
      <c r="O1375" s="39">
        <f>M1375-N1375</f>
        <v/>
      </c>
      <c r="P1375" s="38">
        <f>IF(M1375=0,0,O1375/M1375)</f>
        <v/>
      </c>
      <c r="Q1375" s="36">
        <f>YEAR(B1375)</f>
        <v/>
      </c>
      <c r="R1375" s="36">
        <f>"Q"&amp;ROUNDUP(MONTH(B1375)/3,0)</f>
        <v/>
      </c>
      <c r="S1375" s="36">
        <f>MONTH(B1375)</f>
        <v/>
      </c>
      <c r="T1375" s="36">
        <f>TEXT(B1375,"mmm")</f>
        <v/>
      </c>
      <c r="U1375" s="36">
        <f>IF(AND(OR(sel_Region="All",C1375=sel_Region),OR(sel_Country="All",D1375=sel_Country),OR(sel_Channel="All",E1375=sel_Channel),OR(sel_Customer="All",F1375=sel_Customer),OR(sel_Category="All",G1375=sel_Category),OR(sel_Product="All",H1375=sel_Product),AND(S1375&gt;=m_From,S1375&lt;=m_To)),1,0)</f>
        <v/>
      </c>
      <c r="V1375" s="36">
        <f>IF(AND(OR(sel_Region="All",C1375=sel_Region),OR(sel_Channel="All",E1375=sel_Channel),OR(sel_Customer="All",F1375=sel_Customer),OR(sel_Category="All",G1375=sel_Category),OR(sel_Product="All",H1375=sel_Product),AND(S1375&gt;=m_From,S1375&lt;=m_To)),1,0)</f>
        <v/>
      </c>
      <c r="W1375" s="36">
        <f>IF(AND(OR(sel_Region="All",C1375=sel_Region),OR(sel_Country="All",D1375=sel_Country),OR(sel_Customer="All",F1375=sel_Customer),OR(sel_Category="All",G1375=sel_Category),OR(sel_Product="All",H1375=sel_Product),AND(S1375&gt;=m_From,S1375&lt;=m_To)),1,0)</f>
        <v/>
      </c>
      <c r="X1375" s="36">
        <f>IF(AND(OR(sel_Region="All",C1375=sel_Region),OR(sel_Country="All",D1375=sel_Country),OR(sel_Channel="All",E1375=sel_Channel),OR(sel_Category="All",G1375=sel_Category),OR(sel_Product="All",H1375=sel_Product),AND(S1375&gt;=m_From,S1375&lt;=m_To)),1,0)</f>
        <v/>
      </c>
      <c r="Y1375" s="36">
        <f>IF(AND(OR(sel_Region="All",C1375=sel_Region),OR(sel_Country="All",D1375=sel_Country),OR(sel_Channel="All",E1375=sel_Channel),OR(sel_Customer="All",F1375=sel_Customer),OR(sel_Product="All",H1375=sel_Product),AND(S1375&gt;=m_From,S1375&lt;=m_To)),1,0)</f>
        <v/>
      </c>
      <c r="Z1375" s="36">
        <f>IF(AND(OR(sel_Region="All",C1375=sel_Region),OR(sel_Country="All",D1375=sel_Country),OR(sel_Channel="All",E1375=sel_Channel),OR(sel_Customer="All",F1375=sel_Customer),OR(sel_Category="All",G1375=sel_Category),AND(S1375&gt;=m_From,S1375&lt;=m_To)),1,0)</f>
        <v/>
      </c>
      <c r="AA1375" s="36">
        <f>IF(AND(OR(sel_Region="All",C1375=sel_Region),OR(sel_Country="All",D1375=sel_Country),OR(sel_Channel="All",E1375=sel_Channel),OR(sel_Customer="All",F1375=sel_Customer),OR(sel_Category="All",G1375=sel_Category),OR(sel_Product="All",H1375=sel_Product)),1,0)</f>
        <v/>
      </c>
    </row>
    <row r="1376">
      <c r="A1376" s="36" t="inlineStr">
        <is>
          <t>00194</t>
        </is>
      </c>
      <c r="B1376" s="44" t="n">
        <v>46219</v>
      </c>
      <c r="C1376" s="36" t="inlineStr">
        <is>
          <t>Central Europe</t>
        </is>
      </c>
      <c r="D1376" s="36" t="inlineStr">
        <is>
          <t>Germany</t>
        </is>
      </c>
      <c r="E1376" s="36" t="inlineStr">
        <is>
          <t>Online Store</t>
        </is>
      </c>
      <c r="F1376" s="36" t="inlineStr">
        <is>
          <t>Returning</t>
        </is>
      </c>
      <c r="G1376" s="36" t="inlineStr">
        <is>
          <t>Cycling</t>
        </is>
      </c>
      <c r="H1376" s="36" t="inlineStr">
        <is>
          <t>Trail Bike Light</t>
        </is>
      </c>
      <c r="I1376" s="36" t="n">
        <v>2</v>
      </c>
      <c r="J1376" s="39" t="n">
        <v>49.69</v>
      </c>
      <c r="K1376" s="45" t="n">
        <v>0</v>
      </c>
      <c r="L1376" s="39" t="n">
        <v>21.97</v>
      </c>
      <c r="M1376" s="39">
        <f>I1376*J1376*(1-K1376)</f>
        <v/>
      </c>
      <c r="N1376" s="39">
        <f>I1376*L1376</f>
        <v/>
      </c>
      <c r="O1376" s="39">
        <f>M1376-N1376</f>
        <v/>
      </c>
      <c r="P1376" s="38">
        <f>IF(M1376=0,0,O1376/M1376)</f>
        <v/>
      </c>
      <c r="Q1376" s="36">
        <f>YEAR(B1376)</f>
        <v/>
      </c>
      <c r="R1376" s="36">
        <f>"Q"&amp;ROUNDUP(MONTH(B1376)/3,0)</f>
        <v/>
      </c>
      <c r="S1376" s="36">
        <f>MONTH(B1376)</f>
        <v/>
      </c>
      <c r="T1376" s="36">
        <f>TEXT(B1376,"mmm")</f>
        <v/>
      </c>
      <c r="U1376" s="36">
        <f>IF(AND(OR(sel_Region="All",C1376=sel_Region),OR(sel_Country="All",D1376=sel_Country),OR(sel_Channel="All",E1376=sel_Channel),OR(sel_Customer="All",F1376=sel_Customer),OR(sel_Category="All",G1376=sel_Category),OR(sel_Product="All",H1376=sel_Product),AND(S1376&gt;=m_From,S1376&lt;=m_To)),1,0)</f>
        <v/>
      </c>
      <c r="V1376" s="36">
        <f>IF(AND(OR(sel_Region="All",C1376=sel_Region),OR(sel_Channel="All",E1376=sel_Channel),OR(sel_Customer="All",F1376=sel_Customer),OR(sel_Category="All",G1376=sel_Category),OR(sel_Product="All",H1376=sel_Product),AND(S1376&gt;=m_From,S1376&lt;=m_To)),1,0)</f>
        <v/>
      </c>
      <c r="W1376" s="36">
        <f>IF(AND(OR(sel_Region="All",C1376=sel_Region),OR(sel_Country="All",D1376=sel_Country),OR(sel_Customer="All",F1376=sel_Customer),OR(sel_Category="All",G1376=sel_Category),OR(sel_Product="All",H1376=sel_Product),AND(S1376&gt;=m_From,S1376&lt;=m_To)),1,0)</f>
        <v/>
      </c>
      <c r="X1376" s="36">
        <f>IF(AND(OR(sel_Region="All",C1376=sel_Region),OR(sel_Country="All",D1376=sel_Country),OR(sel_Channel="All",E1376=sel_Channel),OR(sel_Category="All",G1376=sel_Category),OR(sel_Product="All",H1376=sel_Product),AND(S1376&gt;=m_From,S1376&lt;=m_To)),1,0)</f>
        <v/>
      </c>
      <c r="Y1376" s="36">
        <f>IF(AND(OR(sel_Region="All",C1376=sel_Region),OR(sel_Country="All",D1376=sel_Country),OR(sel_Channel="All",E1376=sel_Channel),OR(sel_Customer="All",F1376=sel_Customer),OR(sel_Product="All",H1376=sel_Product),AND(S1376&gt;=m_From,S1376&lt;=m_To)),1,0)</f>
        <v/>
      </c>
      <c r="Z1376" s="36">
        <f>IF(AND(OR(sel_Region="All",C1376=sel_Region),OR(sel_Country="All",D1376=sel_Country),OR(sel_Channel="All",E1376=sel_Channel),OR(sel_Customer="All",F1376=sel_Customer),OR(sel_Category="All",G1376=sel_Category),AND(S1376&gt;=m_From,S1376&lt;=m_To)),1,0)</f>
        <v/>
      </c>
      <c r="AA1376" s="36">
        <f>IF(AND(OR(sel_Region="All",C1376=sel_Region),OR(sel_Country="All",D1376=sel_Country),OR(sel_Channel="All",E1376=sel_Channel),OR(sel_Customer="All",F1376=sel_Customer),OR(sel_Category="All",G1376=sel_Category),OR(sel_Product="All",H1376=sel_Product)),1,0)</f>
        <v/>
      </c>
    </row>
    <row r="1377">
      <c r="A1377" s="36" t="inlineStr">
        <is>
          <t>00258</t>
        </is>
      </c>
      <c r="B1377" s="44" t="n">
        <v>46219</v>
      </c>
      <c r="C1377" s="36" t="inlineStr">
        <is>
          <t>Western Europe</t>
        </is>
      </c>
      <c r="D1377" s="36" t="inlineStr">
        <is>
          <t>United Kingdom</t>
        </is>
      </c>
      <c r="E1377" s="36" t="inlineStr">
        <is>
          <t>Marketplace</t>
        </is>
      </c>
      <c r="F1377" s="36" t="inlineStr">
        <is>
          <t>New</t>
        </is>
      </c>
      <c r="G1377" s="36" t="inlineStr">
        <is>
          <t>Hiking</t>
        </is>
      </c>
      <c r="H1377" s="36" t="inlineStr">
        <is>
          <t>Trekking Poles</t>
        </is>
      </c>
      <c r="I1377" s="36" t="n">
        <v>3</v>
      </c>
      <c r="J1377" s="39" t="n">
        <v>71.34</v>
      </c>
      <c r="K1377" s="45" t="n">
        <v>0.1</v>
      </c>
      <c r="L1377" s="39" t="n">
        <v>31.71</v>
      </c>
      <c r="M1377" s="39">
        <f>I1377*J1377*(1-K1377)</f>
        <v/>
      </c>
      <c r="N1377" s="39">
        <f>I1377*L1377</f>
        <v/>
      </c>
      <c r="O1377" s="39">
        <f>M1377-N1377</f>
        <v/>
      </c>
      <c r="P1377" s="38">
        <f>IF(M1377=0,0,O1377/M1377)</f>
        <v/>
      </c>
      <c r="Q1377" s="36">
        <f>YEAR(B1377)</f>
        <v/>
      </c>
      <c r="R1377" s="36">
        <f>"Q"&amp;ROUNDUP(MONTH(B1377)/3,0)</f>
        <v/>
      </c>
      <c r="S1377" s="36">
        <f>MONTH(B1377)</f>
        <v/>
      </c>
      <c r="T1377" s="36">
        <f>TEXT(B1377,"mmm")</f>
        <v/>
      </c>
      <c r="U1377" s="36">
        <f>IF(AND(OR(sel_Region="All",C1377=sel_Region),OR(sel_Country="All",D1377=sel_Country),OR(sel_Channel="All",E1377=sel_Channel),OR(sel_Customer="All",F1377=sel_Customer),OR(sel_Category="All",G1377=sel_Category),OR(sel_Product="All",H1377=sel_Product),AND(S1377&gt;=m_From,S1377&lt;=m_To)),1,0)</f>
        <v/>
      </c>
      <c r="V1377" s="36">
        <f>IF(AND(OR(sel_Region="All",C1377=sel_Region),OR(sel_Channel="All",E1377=sel_Channel),OR(sel_Customer="All",F1377=sel_Customer),OR(sel_Category="All",G1377=sel_Category),OR(sel_Product="All",H1377=sel_Product),AND(S1377&gt;=m_From,S1377&lt;=m_To)),1,0)</f>
        <v/>
      </c>
      <c r="W1377" s="36">
        <f>IF(AND(OR(sel_Region="All",C1377=sel_Region),OR(sel_Country="All",D1377=sel_Country),OR(sel_Customer="All",F1377=sel_Customer),OR(sel_Category="All",G1377=sel_Category),OR(sel_Product="All",H1377=sel_Product),AND(S1377&gt;=m_From,S1377&lt;=m_To)),1,0)</f>
        <v/>
      </c>
      <c r="X1377" s="36">
        <f>IF(AND(OR(sel_Region="All",C1377=sel_Region),OR(sel_Country="All",D1377=sel_Country),OR(sel_Channel="All",E1377=sel_Channel),OR(sel_Category="All",G1377=sel_Category),OR(sel_Product="All",H1377=sel_Product),AND(S1377&gt;=m_From,S1377&lt;=m_To)),1,0)</f>
        <v/>
      </c>
      <c r="Y1377" s="36">
        <f>IF(AND(OR(sel_Region="All",C1377=sel_Region),OR(sel_Country="All",D1377=sel_Country),OR(sel_Channel="All",E1377=sel_Channel),OR(sel_Customer="All",F1377=sel_Customer),OR(sel_Product="All",H1377=sel_Product),AND(S1377&gt;=m_From,S1377&lt;=m_To)),1,0)</f>
        <v/>
      </c>
      <c r="Z1377" s="36">
        <f>IF(AND(OR(sel_Region="All",C1377=sel_Region),OR(sel_Country="All",D1377=sel_Country),OR(sel_Channel="All",E1377=sel_Channel),OR(sel_Customer="All",F1377=sel_Customer),OR(sel_Category="All",G1377=sel_Category),AND(S1377&gt;=m_From,S1377&lt;=m_To)),1,0)</f>
        <v/>
      </c>
      <c r="AA1377" s="36">
        <f>IF(AND(OR(sel_Region="All",C1377=sel_Region),OR(sel_Country="All",D1377=sel_Country),OR(sel_Channel="All",E1377=sel_Channel),OR(sel_Customer="All",F1377=sel_Customer),OR(sel_Category="All",G1377=sel_Category),OR(sel_Product="All",H1377=sel_Product)),1,0)</f>
        <v/>
      </c>
    </row>
    <row r="1378">
      <c r="A1378" s="36" t="inlineStr">
        <is>
          <t>00543</t>
        </is>
      </c>
      <c r="B1378" s="44" t="n">
        <v>46219</v>
      </c>
      <c r="C1378" s="36" t="inlineStr">
        <is>
          <t>Central Europe</t>
        </is>
      </c>
      <c r="D1378" s="36" t="inlineStr">
        <is>
          <t>Poland</t>
        </is>
      </c>
      <c r="E1378" s="36" t="inlineStr">
        <is>
          <t>Marketplace</t>
        </is>
      </c>
      <c r="F1378" s="36" t="inlineStr">
        <is>
          <t>Returning</t>
        </is>
      </c>
      <c r="G1378" s="36" t="inlineStr">
        <is>
          <t>Cycling</t>
        </is>
      </c>
      <c r="H1378" s="36" t="inlineStr">
        <is>
          <t>Commuter Helmet</t>
        </is>
      </c>
      <c r="I1378" s="36" t="n">
        <v>1</v>
      </c>
      <c r="J1378" s="39" t="n">
        <v>83.03</v>
      </c>
      <c r="K1378" s="45" t="n">
        <v>0</v>
      </c>
      <c r="L1378" s="39" t="n">
        <v>42.41</v>
      </c>
      <c r="M1378" s="39">
        <f>I1378*J1378*(1-K1378)</f>
        <v/>
      </c>
      <c r="N1378" s="39">
        <f>I1378*L1378</f>
        <v/>
      </c>
      <c r="O1378" s="39">
        <f>M1378-N1378</f>
        <v/>
      </c>
      <c r="P1378" s="38">
        <f>IF(M1378=0,0,O1378/M1378)</f>
        <v/>
      </c>
      <c r="Q1378" s="36">
        <f>YEAR(B1378)</f>
        <v/>
      </c>
      <c r="R1378" s="36">
        <f>"Q"&amp;ROUNDUP(MONTH(B1378)/3,0)</f>
        <v/>
      </c>
      <c r="S1378" s="36">
        <f>MONTH(B1378)</f>
        <v/>
      </c>
      <c r="T1378" s="36">
        <f>TEXT(B1378,"mmm")</f>
        <v/>
      </c>
      <c r="U1378" s="36">
        <f>IF(AND(OR(sel_Region="All",C1378=sel_Region),OR(sel_Country="All",D1378=sel_Country),OR(sel_Channel="All",E1378=sel_Channel),OR(sel_Customer="All",F1378=sel_Customer),OR(sel_Category="All",G1378=sel_Category),OR(sel_Product="All",H1378=sel_Product),AND(S1378&gt;=m_From,S1378&lt;=m_To)),1,0)</f>
        <v/>
      </c>
      <c r="V1378" s="36">
        <f>IF(AND(OR(sel_Region="All",C1378=sel_Region),OR(sel_Channel="All",E1378=sel_Channel),OR(sel_Customer="All",F1378=sel_Customer),OR(sel_Category="All",G1378=sel_Category),OR(sel_Product="All",H1378=sel_Product),AND(S1378&gt;=m_From,S1378&lt;=m_To)),1,0)</f>
        <v/>
      </c>
      <c r="W1378" s="36">
        <f>IF(AND(OR(sel_Region="All",C1378=sel_Region),OR(sel_Country="All",D1378=sel_Country),OR(sel_Customer="All",F1378=sel_Customer),OR(sel_Category="All",G1378=sel_Category),OR(sel_Product="All",H1378=sel_Product),AND(S1378&gt;=m_From,S1378&lt;=m_To)),1,0)</f>
        <v/>
      </c>
      <c r="X1378" s="36">
        <f>IF(AND(OR(sel_Region="All",C1378=sel_Region),OR(sel_Country="All",D1378=sel_Country),OR(sel_Channel="All",E1378=sel_Channel),OR(sel_Category="All",G1378=sel_Category),OR(sel_Product="All",H1378=sel_Product),AND(S1378&gt;=m_From,S1378&lt;=m_To)),1,0)</f>
        <v/>
      </c>
      <c r="Y1378" s="36">
        <f>IF(AND(OR(sel_Region="All",C1378=sel_Region),OR(sel_Country="All",D1378=sel_Country),OR(sel_Channel="All",E1378=sel_Channel),OR(sel_Customer="All",F1378=sel_Customer),OR(sel_Product="All",H1378=sel_Product),AND(S1378&gt;=m_From,S1378&lt;=m_To)),1,0)</f>
        <v/>
      </c>
      <c r="Z1378" s="36">
        <f>IF(AND(OR(sel_Region="All",C1378=sel_Region),OR(sel_Country="All",D1378=sel_Country),OR(sel_Channel="All",E1378=sel_Channel),OR(sel_Customer="All",F1378=sel_Customer),OR(sel_Category="All",G1378=sel_Category),AND(S1378&gt;=m_From,S1378&lt;=m_To)),1,0)</f>
        <v/>
      </c>
      <c r="AA1378" s="36">
        <f>IF(AND(OR(sel_Region="All",C1378=sel_Region),OR(sel_Country="All",D1378=sel_Country),OR(sel_Channel="All",E1378=sel_Channel),OR(sel_Customer="All",F1378=sel_Customer),OR(sel_Category="All",G1378=sel_Category),OR(sel_Product="All",H1378=sel_Product)),1,0)</f>
        <v/>
      </c>
    </row>
    <row r="1379">
      <c r="A1379" s="36" t="inlineStr">
        <is>
          <t>00972</t>
        </is>
      </c>
      <c r="B1379" s="44" t="n">
        <v>46219</v>
      </c>
      <c r="C1379" s="36" t="inlineStr">
        <is>
          <t>Western Europe</t>
        </is>
      </c>
      <c r="D1379" s="36" t="inlineStr">
        <is>
          <t>Belgium</t>
        </is>
      </c>
      <c r="E1379" s="36" t="inlineStr">
        <is>
          <t>Online Store</t>
        </is>
      </c>
      <c r="F1379" s="36" t="inlineStr">
        <is>
          <t>Returning</t>
        </is>
      </c>
      <c r="G1379" s="36" t="inlineStr">
        <is>
          <t>Fitness</t>
        </is>
      </c>
      <c r="H1379" s="36" t="inlineStr">
        <is>
          <t>Resistance Band Set</t>
        </is>
      </c>
      <c r="I1379" s="36" t="n">
        <v>1</v>
      </c>
      <c r="J1379" s="39" t="n">
        <v>40.8</v>
      </c>
      <c r="K1379" s="45" t="n">
        <v>0</v>
      </c>
      <c r="L1379" s="39" t="n">
        <v>14.42</v>
      </c>
      <c r="M1379" s="39">
        <f>I1379*J1379*(1-K1379)</f>
        <v/>
      </c>
      <c r="N1379" s="39">
        <f>I1379*L1379</f>
        <v/>
      </c>
      <c r="O1379" s="39">
        <f>M1379-N1379</f>
        <v/>
      </c>
      <c r="P1379" s="38">
        <f>IF(M1379=0,0,O1379/M1379)</f>
        <v/>
      </c>
      <c r="Q1379" s="36">
        <f>YEAR(B1379)</f>
        <v/>
      </c>
      <c r="R1379" s="36">
        <f>"Q"&amp;ROUNDUP(MONTH(B1379)/3,0)</f>
        <v/>
      </c>
      <c r="S1379" s="36">
        <f>MONTH(B1379)</f>
        <v/>
      </c>
      <c r="T1379" s="36">
        <f>TEXT(B1379,"mmm")</f>
        <v/>
      </c>
      <c r="U1379" s="36">
        <f>IF(AND(OR(sel_Region="All",C1379=sel_Region),OR(sel_Country="All",D1379=sel_Country),OR(sel_Channel="All",E1379=sel_Channel),OR(sel_Customer="All",F1379=sel_Customer),OR(sel_Category="All",G1379=sel_Category),OR(sel_Product="All",H1379=sel_Product),AND(S1379&gt;=m_From,S1379&lt;=m_To)),1,0)</f>
        <v/>
      </c>
      <c r="V1379" s="36">
        <f>IF(AND(OR(sel_Region="All",C1379=sel_Region),OR(sel_Channel="All",E1379=sel_Channel),OR(sel_Customer="All",F1379=sel_Customer),OR(sel_Category="All",G1379=sel_Category),OR(sel_Product="All",H1379=sel_Product),AND(S1379&gt;=m_From,S1379&lt;=m_To)),1,0)</f>
        <v/>
      </c>
      <c r="W1379" s="36">
        <f>IF(AND(OR(sel_Region="All",C1379=sel_Region),OR(sel_Country="All",D1379=sel_Country),OR(sel_Customer="All",F1379=sel_Customer),OR(sel_Category="All",G1379=sel_Category),OR(sel_Product="All",H1379=sel_Product),AND(S1379&gt;=m_From,S1379&lt;=m_To)),1,0)</f>
        <v/>
      </c>
      <c r="X1379" s="36">
        <f>IF(AND(OR(sel_Region="All",C1379=sel_Region),OR(sel_Country="All",D1379=sel_Country),OR(sel_Channel="All",E1379=sel_Channel),OR(sel_Category="All",G1379=sel_Category),OR(sel_Product="All",H1379=sel_Product),AND(S1379&gt;=m_From,S1379&lt;=m_To)),1,0)</f>
        <v/>
      </c>
      <c r="Y1379" s="36">
        <f>IF(AND(OR(sel_Region="All",C1379=sel_Region),OR(sel_Country="All",D1379=sel_Country),OR(sel_Channel="All",E1379=sel_Channel),OR(sel_Customer="All",F1379=sel_Customer),OR(sel_Product="All",H1379=sel_Product),AND(S1379&gt;=m_From,S1379&lt;=m_To)),1,0)</f>
        <v/>
      </c>
      <c r="Z1379" s="36">
        <f>IF(AND(OR(sel_Region="All",C1379=sel_Region),OR(sel_Country="All",D1379=sel_Country),OR(sel_Channel="All",E1379=sel_Channel),OR(sel_Customer="All",F1379=sel_Customer),OR(sel_Category="All",G1379=sel_Category),AND(S1379&gt;=m_From,S1379&lt;=m_To)),1,0)</f>
        <v/>
      </c>
      <c r="AA1379" s="36">
        <f>IF(AND(OR(sel_Region="All",C1379=sel_Region),OR(sel_Country="All",D1379=sel_Country),OR(sel_Channel="All",E1379=sel_Channel),OR(sel_Customer="All",F1379=sel_Customer),OR(sel_Category="All",G1379=sel_Category),OR(sel_Product="All",H1379=sel_Product)),1,0)</f>
        <v/>
      </c>
    </row>
    <row r="1380">
      <c r="A1380" s="36" t="inlineStr">
        <is>
          <t>01146</t>
        </is>
      </c>
      <c r="B1380" s="44" t="n">
        <v>46219</v>
      </c>
      <c r="C1380" s="36" t="inlineStr">
        <is>
          <t>Central Europe</t>
        </is>
      </c>
      <c r="D1380" s="36" t="inlineStr">
        <is>
          <t>Austria</t>
        </is>
      </c>
      <c r="E1380" s="36" t="inlineStr">
        <is>
          <t>Marketplace</t>
        </is>
      </c>
      <c r="F1380" s="36" t="inlineStr">
        <is>
          <t>Returning</t>
        </is>
      </c>
      <c r="G1380" s="36" t="inlineStr">
        <is>
          <t>Camping</t>
        </is>
      </c>
      <c r="H1380" s="36" t="inlineStr">
        <is>
          <t>Compact Sleeping Bag</t>
        </is>
      </c>
      <c r="I1380" s="36" t="n">
        <v>2</v>
      </c>
      <c r="J1380" s="39" t="n">
        <v>125.34</v>
      </c>
      <c r="K1380" s="45" t="n">
        <v>0.15</v>
      </c>
      <c r="L1380" s="39" t="n">
        <v>59.04</v>
      </c>
      <c r="M1380" s="39">
        <f>I1380*J1380*(1-K1380)</f>
        <v/>
      </c>
      <c r="N1380" s="39">
        <f>I1380*L1380</f>
        <v/>
      </c>
      <c r="O1380" s="39">
        <f>M1380-N1380</f>
        <v/>
      </c>
      <c r="P1380" s="38">
        <f>IF(M1380=0,0,O1380/M1380)</f>
        <v/>
      </c>
      <c r="Q1380" s="36">
        <f>YEAR(B1380)</f>
        <v/>
      </c>
      <c r="R1380" s="36">
        <f>"Q"&amp;ROUNDUP(MONTH(B1380)/3,0)</f>
        <v/>
      </c>
      <c r="S1380" s="36">
        <f>MONTH(B1380)</f>
        <v/>
      </c>
      <c r="T1380" s="36">
        <f>TEXT(B1380,"mmm")</f>
        <v/>
      </c>
      <c r="U1380" s="36">
        <f>IF(AND(OR(sel_Region="All",C1380=sel_Region),OR(sel_Country="All",D1380=sel_Country),OR(sel_Channel="All",E1380=sel_Channel),OR(sel_Customer="All",F1380=sel_Customer),OR(sel_Category="All",G1380=sel_Category),OR(sel_Product="All",H1380=sel_Product),AND(S1380&gt;=m_From,S1380&lt;=m_To)),1,0)</f>
        <v/>
      </c>
      <c r="V1380" s="36">
        <f>IF(AND(OR(sel_Region="All",C1380=sel_Region),OR(sel_Channel="All",E1380=sel_Channel),OR(sel_Customer="All",F1380=sel_Customer),OR(sel_Category="All",G1380=sel_Category),OR(sel_Product="All",H1380=sel_Product),AND(S1380&gt;=m_From,S1380&lt;=m_To)),1,0)</f>
        <v/>
      </c>
      <c r="W1380" s="36">
        <f>IF(AND(OR(sel_Region="All",C1380=sel_Region),OR(sel_Country="All",D1380=sel_Country),OR(sel_Customer="All",F1380=sel_Customer),OR(sel_Category="All",G1380=sel_Category),OR(sel_Product="All",H1380=sel_Product),AND(S1380&gt;=m_From,S1380&lt;=m_To)),1,0)</f>
        <v/>
      </c>
      <c r="X1380" s="36">
        <f>IF(AND(OR(sel_Region="All",C1380=sel_Region),OR(sel_Country="All",D1380=sel_Country),OR(sel_Channel="All",E1380=sel_Channel),OR(sel_Category="All",G1380=sel_Category),OR(sel_Product="All",H1380=sel_Product),AND(S1380&gt;=m_From,S1380&lt;=m_To)),1,0)</f>
        <v/>
      </c>
      <c r="Y1380" s="36">
        <f>IF(AND(OR(sel_Region="All",C1380=sel_Region),OR(sel_Country="All",D1380=sel_Country),OR(sel_Channel="All",E1380=sel_Channel),OR(sel_Customer="All",F1380=sel_Customer),OR(sel_Product="All",H1380=sel_Product),AND(S1380&gt;=m_From,S1380&lt;=m_To)),1,0)</f>
        <v/>
      </c>
      <c r="Z1380" s="36">
        <f>IF(AND(OR(sel_Region="All",C1380=sel_Region),OR(sel_Country="All",D1380=sel_Country),OR(sel_Channel="All",E1380=sel_Channel),OR(sel_Customer="All",F1380=sel_Customer),OR(sel_Category="All",G1380=sel_Category),AND(S1380&gt;=m_From,S1380&lt;=m_To)),1,0)</f>
        <v/>
      </c>
      <c r="AA1380" s="36">
        <f>IF(AND(OR(sel_Region="All",C1380=sel_Region),OR(sel_Country="All",D1380=sel_Country),OR(sel_Channel="All",E1380=sel_Channel),OR(sel_Customer="All",F1380=sel_Customer),OR(sel_Category="All",G1380=sel_Category),OR(sel_Product="All",H1380=sel_Product)),1,0)</f>
        <v/>
      </c>
    </row>
    <row r="1381">
      <c r="A1381" s="36" t="inlineStr">
        <is>
          <t>01464</t>
        </is>
      </c>
      <c r="B1381" s="44" t="n">
        <v>46219</v>
      </c>
      <c r="C1381" s="36" t="inlineStr">
        <is>
          <t>Southern Europe</t>
        </is>
      </c>
      <c r="D1381" s="36" t="inlineStr">
        <is>
          <t>Portugal</t>
        </is>
      </c>
      <c r="E1381" s="36" t="inlineStr">
        <is>
          <t>Online Store</t>
        </is>
      </c>
      <c r="F1381" s="36" t="inlineStr">
        <is>
          <t>Returning</t>
        </is>
      </c>
      <c r="G1381" s="36" t="inlineStr">
        <is>
          <t>Fitness</t>
        </is>
      </c>
      <c r="H1381" s="36" t="inlineStr">
        <is>
          <t>Weighted Vest</t>
        </is>
      </c>
      <c r="I1381" s="36" t="n">
        <v>1</v>
      </c>
      <c r="J1381" s="39" t="n">
        <v>122.73</v>
      </c>
      <c r="K1381" s="45" t="n">
        <v>0.1</v>
      </c>
      <c r="L1381" s="39" t="n">
        <v>70.54000000000001</v>
      </c>
      <c r="M1381" s="39">
        <f>I1381*J1381*(1-K1381)</f>
        <v/>
      </c>
      <c r="N1381" s="39">
        <f>I1381*L1381</f>
        <v/>
      </c>
      <c r="O1381" s="39">
        <f>M1381-N1381</f>
        <v/>
      </c>
      <c r="P1381" s="38">
        <f>IF(M1381=0,0,O1381/M1381)</f>
        <v/>
      </c>
      <c r="Q1381" s="36">
        <f>YEAR(B1381)</f>
        <v/>
      </c>
      <c r="R1381" s="36">
        <f>"Q"&amp;ROUNDUP(MONTH(B1381)/3,0)</f>
        <v/>
      </c>
      <c r="S1381" s="36">
        <f>MONTH(B1381)</f>
        <v/>
      </c>
      <c r="T1381" s="36">
        <f>TEXT(B1381,"mmm")</f>
        <v/>
      </c>
      <c r="U1381" s="36">
        <f>IF(AND(OR(sel_Region="All",C1381=sel_Region),OR(sel_Country="All",D1381=sel_Country),OR(sel_Channel="All",E1381=sel_Channel),OR(sel_Customer="All",F1381=sel_Customer),OR(sel_Category="All",G1381=sel_Category),OR(sel_Product="All",H1381=sel_Product),AND(S1381&gt;=m_From,S1381&lt;=m_To)),1,0)</f>
        <v/>
      </c>
      <c r="V1381" s="36">
        <f>IF(AND(OR(sel_Region="All",C1381=sel_Region),OR(sel_Channel="All",E1381=sel_Channel),OR(sel_Customer="All",F1381=sel_Customer),OR(sel_Category="All",G1381=sel_Category),OR(sel_Product="All",H1381=sel_Product),AND(S1381&gt;=m_From,S1381&lt;=m_To)),1,0)</f>
        <v/>
      </c>
      <c r="W1381" s="36">
        <f>IF(AND(OR(sel_Region="All",C1381=sel_Region),OR(sel_Country="All",D1381=sel_Country),OR(sel_Customer="All",F1381=sel_Customer),OR(sel_Category="All",G1381=sel_Category),OR(sel_Product="All",H1381=sel_Product),AND(S1381&gt;=m_From,S1381&lt;=m_To)),1,0)</f>
        <v/>
      </c>
      <c r="X1381" s="36">
        <f>IF(AND(OR(sel_Region="All",C1381=sel_Region),OR(sel_Country="All",D1381=sel_Country),OR(sel_Channel="All",E1381=sel_Channel),OR(sel_Category="All",G1381=sel_Category),OR(sel_Product="All",H1381=sel_Product),AND(S1381&gt;=m_From,S1381&lt;=m_To)),1,0)</f>
        <v/>
      </c>
      <c r="Y1381" s="36">
        <f>IF(AND(OR(sel_Region="All",C1381=sel_Region),OR(sel_Country="All",D1381=sel_Country),OR(sel_Channel="All",E1381=sel_Channel),OR(sel_Customer="All",F1381=sel_Customer),OR(sel_Product="All",H1381=sel_Product),AND(S1381&gt;=m_From,S1381&lt;=m_To)),1,0)</f>
        <v/>
      </c>
      <c r="Z1381" s="36">
        <f>IF(AND(OR(sel_Region="All",C1381=sel_Region),OR(sel_Country="All",D1381=sel_Country),OR(sel_Channel="All",E1381=sel_Channel),OR(sel_Customer="All",F1381=sel_Customer),OR(sel_Category="All",G1381=sel_Category),AND(S1381&gt;=m_From,S1381&lt;=m_To)),1,0)</f>
        <v/>
      </c>
      <c r="AA1381" s="36">
        <f>IF(AND(OR(sel_Region="All",C1381=sel_Region),OR(sel_Country="All",D1381=sel_Country),OR(sel_Channel="All",E1381=sel_Channel),OR(sel_Customer="All",F1381=sel_Customer),OR(sel_Category="All",G1381=sel_Category),OR(sel_Product="All",H1381=sel_Product)),1,0)</f>
        <v/>
      </c>
    </row>
    <row r="1382">
      <c r="A1382" s="36" t="inlineStr">
        <is>
          <t>01581</t>
        </is>
      </c>
      <c r="B1382" s="44" t="n">
        <v>46219</v>
      </c>
      <c r="C1382" s="36" t="inlineStr">
        <is>
          <t>Northern Europe</t>
        </is>
      </c>
      <c r="D1382" s="36" t="inlineStr">
        <is>
          <t>Denmark</t>
        </is>
      </c>
      <c r="E1382" s="36" t="inlineStr">
        <is>
          <t>Retail Partners</t>
        </is>
      </c>
      <c r="F1382" s="36" t="inlineStr">
        <is>
          <t>New</t>
        </is>
      </c>
      <c r="G1382" s="36" t="inlineStr">
        <is>
          <t>Hiking</t>
        </is>
      </c>
      <c r="H1382" s="36" t="inlineStr">
        <is>
          <t>Hiking Daypack 20L</t>
        </is>
      </c>
      <c r="I1382" s="36" t="n">
        <v>5</v>
      </c>
      <c r="J1382" s="39" t="n">
        <v>92.72</v>
      </c>
      <c r="K1382" s="45" t="n">
        <v>0.1</v>
      </c>
      <c r="L1382" s="39" t="n">
        <v>46.2</v>
      </c>
      <c r="M1382" s="39">
        <f>I1382*J1382*(1-K1382)</f>
        <v/>
      </c>
      <c r="N1382" s="39">
        <f>I1382*L1382</f>
        <v/>
      </c>
      <c r="O1382" s="39">
        <f>M1382-N1382</f>
        <v/>
      </c>
      <c r="P1382" s="38">
        <f>IF(M1382=0,0,O1382/M1382)</f>
        <v/>
      </c>
      <c r="Q1382" s="36">
        <f>YEAR(B1382)</f>
        <v/>
      </c>
      <c r="R1382" s="36">
        <f>"Q"&amp;ROUNDUP(MONTH(B1382)/3,0)</f>
        <v/>
      </c>
      <c r="S1382" s="36">
        <f>MONTH(B1382)</f>
        <v/>
      </c>
      <c r="T1382" s="36">
        <f>TEXT(B1382,"mmm")</f>
        <v/>
      </c>
      <c r="U1382" s="36">
        <f>IF(AND(OR(sel_Region="All",C1382=sel_Region),OR(sel_Country="All",D1382=sel_Country),OR(sel_Channel="All",E1382=sel_Channel),OR(sel_Customer="All",F1382=sel_Customer),OR(sel_Category="All",G1382=sel_Category),OR(sel_Product="All",H1382=sel_Product),AND(S1382&gt;=m_From,S1382&lt;=m_To)),1,0)</f>
        <v/>
      </c>
      <c r="V1382" s="36">
        <f>IF(AND(OR(sel_Region="All",C1382=sel_Region),OR(sel_Channel="All",E1382=sel_Channel),OR(sel_Customer="All",F1382=sel_Customer),OR(sel_Category="All",G1382=sel_Category),OR(sel_Product="All",H1382=sel_Product),AND(S1382&gt;=m_From,S1382&lt;=m_To)),1,0)</f>
        <v/>
      </c>
      <c r="W1382" s="36">
        <f>IF(AND(OR(sel_Region="All",C1382=sel_Region),OR(sel_Country="All",D1382=sel_Country),OR(sel_Customer="All",F1382=sel_Customer),OR(sel_Category="All",G1382=sel_Category),OR(sel_Product="All",H1382=sel_Product),AND(S1382&gt;=m_From,S1382&lt;=m_To)),1,0)</f>
        <v/>
      </c>
      <c r="X1382" s="36">
        <f>IF(AND(OR(sel_Region="All",C1382=sel_Region),OR(sel_Country="All",D1382=sel_Country),OR(sel_Channel="All",E1382=sel_Channel),OR(sel_Category="All",G1382=sel_Category),OR(sel_Product="All",H1382=sel_Product),AND(S1382&gt;=m_From,S1382&lt;=m_To)),1,0)</f>
        <v/>
      </c>
      <c r="Y1382" s="36">
        <f>IF(AND(OR(sel_Region="All",C1382=sel_Region),OR(sel_Country="All",D1382=sel_Country),OR(sel_Channel="All",E1382=sel_Channel),OR(sel_Customer="All",F1382=sel_Customer),OR(sel_Product="All",H1382=sel_Product),AND(S1382&gt;=m_From,S1382&lt;=m_To)),1,0)</f>
        <v/>
      </c>
      <c r="Z1382" s="36">
        <f>IF(AND(OR(sel_Region="All",C1382=sel_Region),OR(sel_Country="All",D1382=sel_Country),OR(sel_Channel="All",E1382=sel_Channel),OR(sel_Customer="All",F1382=sel_Customer),OR(sel_Category="All",G1382=sel_Category),AND(S1382&gt;=m_From,S1382&lt;=m_To)),1,0)</f>
        <v/>
      </c>
      <c r="AA1382" s="36">
        <f>IF(AND(OR(sel_Region="All",C1382=sel_Region),OR(sel_Country="All",D1382=sel_Country),OR(sel_Channel="All",E1382=sel_Channel),OR(sel_Customer="All",F1382=sel_Customer),OR(sel_Category="All",G1382=sel_Category),OR(sel_Product="All",H1382=sel_Product)),1,0)</f>
        <v/>
      </c>
    </row>
    <row r="1383">
      <c r="A1383" s="36" t="inlineStr">
        <is>
          <t>01894</t>
        </is>
      </c>
      <c r="B1383" s="44" t="n">
        <v>46219</v>
      </c>
      <c r="C1383" s="36" t="inlineStr">
        <is>
          <t>Western Europe</t>
        </is>
      </c>
      <c r="D1383" s="36" t="inlineStr">
        <is>
          <t>Netherlands</t>
        </is>
      </c>
      <c r="E1383" s="36" t="inlineStr">
        <is>
          <t>Corporate</t>
        </is>
      </c>
      <c r="F1383" s="36" t="inlineStr">
        <is>
          <t>Business</t>
        </is>
      </c>
      <c r="G1383" s="36" t="inlineStr">
        <is>
          <t>Fitness</t>
        </is>
      </c>
      <c r="H1383" s="36" t="inlineStr">
        <is>
          <t>Recovery Roller</t>
        </is>
      </c>
      <c r="I1383" s="36" t="n">
        <v>5</v>
      </c>
      <c r="J1383" s="39" t="n">
        <v>36.29</v>
      </c>
      <c r="K1383" s="45" t="n">
        <v>0.05</v>
      </c>
      <c r="L1383" s="39" t="n">
        <v>13.52</v>
      </c>
      <c r="M1383" s="39">
        <f>I1383*J1383*(1-K1383)</f>
        <v/>
      </c>
      <c r="N1383" s="39">
        <f>I1383*L1383</f>
        <v/>
      </c>
      <c r="O1383" s="39">
        <f>M1383-N1383</f>
        <v/>
      </c>
      <c r="P1383" s="38">
        <f>IF(M1383=0,0,O1383/M1383)</f>
        <v/>
      </c>
      <c r="Q1383" s="36">
        <f>YEAR(B1383)</f>
        <v/>
      </c>
      <c r="R1383" s="36">
        <f>"Q"&amp;ROUNDUP(MONTH(B1383)/3,0)</f>
        <v/>
      </c>
      <c r="S1383" s="36">
        <f>MONTH(B1383)</f>
        <v/>
      </c>
      <c r="T1383" s="36">
        <f>TEXT(B1383,"mmm")</f>
        <v/>
      </c>
      <c r="U1383" s="36">
        <f>IF(AND(OR(sel_Region="All",C1383=sel_Region),OR(sel_Country="All",D1383=sel_Country),OR(sel_Channel="All",E1383=sel_Channel),OR(sel_Customer="All",F1383=sel_Customer),OR(sel_Category="All",G1383=sel_Category),OR(sel_Product="All",H1383=sel_Product),AND(S1383&gt;=m_From,S1383&lt;=m_To)),1,0)</f>
        <v/>
      </c>
      <c r="V1383" s="36">
        <f>IF(AND(OR(sel_Region="All",C1383=sel_Region),OR(sel_Channel="All",E1383=sel_Channel),OR(sel_Customer="All",F1383=sel_Customer),OR(sel_Category="All",G1383=sel_Category),OR(sel_Product="All",H1383=sel_Product),AND(S1383&gt;=m_From,S1383&lt;=m_To)),1,0)</f>
        <v/>
      </c>
      <c r="W1383" s="36">
        <f>IF(AND(OR(sel_Region="All",C1383=sel_Region),OR(sel_Country="All",D1383=sel_Country),OR(sel_Customer="All",F1383=sel_Customer),OR(sel_Category="All",G1383=sel_Category),OR(sel_Product="All",H1383=sel_Product),AND(S1383&gt;=m_From,S1383&lt;=m_To)),1,0)</f>
        <v/>
      </c>
      <c r="X1383" s="36">
        <f>IF(AND(OR(sel_Region="All",C1383=sel_Region),OR(sel_Country="All",D1383=sel_Country),OR(sel_Channel="All",E1383=sel_Channel),OR(sel_Category="All",G1383=sel_Category),OR(sel_Product="All",H1383=sel_Product),AND(S1383&gt;=m_From,S1383&lt;=m_To)),1,0)</f>
        <v/>
      </c>
      <c r="Y1383" s="36">
        <f>IF(AND(OR(sel_Region="All",C1383=sel_Region),OR(sel_Country="All",D1383=sel_Country),OR(sel_Channel="All",E1383=sel_Channel),OR(sel_Customer="All",F1383=sel_Customer),OR(sel_Product="All",H1383=sel_Product),AND(S1383&gt;=m_From,S1383&lt;=m_To)),1,0)</f>
        <v/>
      </c>
      <c r="Z1383" s="36">
        <f>IF(AND(OR(sel_Region="All",C1383=sel_Region),OR(sel_Country="All",D1383=sel_Country),OR(sel_Channel="All",E1383=sel_Channel),OR(sel_Customer="All",F1383=sel_Customer),OR(sel_Category="All",G1383=sel_Category),AND(S1383&gt;=m_From,S1383&lt;=m_To)),1,0)</f>
        <v/>
      </c>
      <c r="AA1383" s="36">
        <f>IF(AND(OR(sel_Region="All",C1383=sel_Region),OR(sel_Country="All",D1383=sel_Country),OR(sel_Channel="All",E1383=sel_Channel),OR(sel_Customer="All",F1383=sel_Customer),OR(sel_Category="All",G1383=sel_Category),OR(sel_Product="All",H1383=sel_Product)),1,0)</f>
        <v/>
      </c>
    </row>
    <row r="1384">
      <c r="A1384" s="36" t="inlineStr">
        <is>
          <t>02100</t>
        </is>
      </c>
      <c r="B1384" s="44" t="n">
        <v>46219</v>
      </c>
      <c r="C1384" s="36" t="inlineStr">
        <is>
          <t>Northern Europe</t>
        </is>
      </c>
      <c r="D1384" s="36" t="inlineStr">
        <is>
          <t>Sweden</t>
        </is>
      </c>
      <c r="E1384" s="36" t="inlineStr">
        <is>
          <t>Online Store</t>
        </is>
      </c>
      <c r="F1384" s="36" t="inlineStr">
        <is>
          <t>Business</t>
        </is>
      </c>
      <c r="G1384" s="36" t="inlineStr">
        <is>
          <t>Cycling</t>
        </is>
      </c>
      <c r="H1384" s="36" t="inlineStr">
        <is>
          <t>Trail Bike Light</t>
        </is>
      </c>
      <c r="I1384" s="36" t="n">
        <v>2</v>
      </c>
      <c r="J1384" s="39" t="n">
        <v>49.84</v>
      </c>
      <c r="K1384" s="45" t="n">
        <v>0.1</v>
      </c>
      <c r="L1384" s="39" t="n">
        <v>23.06</v>
      </c>
      <c r="M1384" s="39">
        <f>I1384*J1384*(1-K1384)</f>
        <v/>
      </c>
      <c r="N1384" s="39">
        <f>I1384*L1384</f>
        <v/>
      </c>
      <c r="O1384" s="39">
        <f>M1384-N1384</f>
        <v/>
      </c>
      <c r="P1384" s="38">
        <f>IF(M1384=0,0,O1384/M1384)</f>
        <v/>
      </c>
      <c r="Q1384" s="36">
        <f>YEAR(B1384)</f>
        <v/>
      </c>
      <c r="R1384" s="36">
        <f>"Q"&amp;ROUNDUP(MONTH(B1384)/3,0)</f>
        <v/>
      </c>
      <c r="S1384" s="36">
        <f>MONTH(B1384)</f>
        <v/>
      </c>
      <c r="T1384" s="36">
        <f>TEXT(B1384,"mmm")</f>
        <v/>
      </c>
      <c r="U1384" s="36">
        <f>IF(AND(OR(sel_Region="All",C1384=sel_Region),OR(sel_Country="All",D1384=sel_Country),OR(sel_Channel="All",E1384=sel_Channel),OR(sel_Customer="All",F1384=sel_Customer),OR(sel_Category="All",G1384=sel_Category),OR(sel_Product="All",H1384=sel_Product),AND(S1384&gt;=m_From,S1384&lt;=m_To)),1,0)</f>
        <v/>
      </c>
      <c r="V1384" s="36">
        <f>IF(AND(OR(sel_Region="All",C1384=sel_Region),OR(sel_Channel="All",E1384=sel_Channel),OR(sel_Customer="All",F1384=sel_Customer),OR(sel_Category="All",G1384=sel_Category),OR(sel_Product="All",H1384=sel_Product),AND(S1384&gt;=m_From,S1384&lt;=m_To)),1,0)</f>
        <v/>
      </c>
      <c r="W1384" s="36">
        <f>IF(AND(OR(sel_Region="All",C1384=sel_Region),OR(sel_Country="All",D1384=sel_Country),OR(sel_Customer="All",F1384=sel_Customer),OR(sel_Category="All",G1384=sel_Category),OR(sel_Product="All",H1384=sel_Product),AND(S1384&gt;=m_From,S1384&lt;=m_To)),1,0)</f>
        <v/>
      </c>
      <c r="X1384" s="36">
        <f>IF(AND(OR(sel_Region="All",C1384=sel_Region),OR(sel_Country="All",D1384=sel_Country),OR(sel_Channel="All",E1384=sel_Channel),OR(sel_Category="All",G1384=sel_Category),OR(sel_Product="All",H1384=sel_Product),AND(S1384&gt;=m_From,S1384&lt;=m_To)),1,0)</f>
        <v/>
      </c>
      <c r="Y1384" s="36">
        <f>IF(AND(OR(sel_Region="All",C1384=sel_Region),OR(sel_Country="All",D1384=sel_Country),OR(sel_Channel="All",E1384=sel_Channel),OR(sel_Customer="All",F1384=sel_Customer),OR(sel_Product="All",H1384=sel_Product),AND(S1384&gt;=m_From,S1384&lt;=m_To)),1,0)</f>
        <v/>
      </c>
      <c r="Z1384" s="36">
        <f>IF(AND(OR(sel_Region="All",C1384=sel_Region),OR(sel_Country="All",D1384=sel_Country),OR(sel_Channel="All",E1384=sel_Channel),OR(sel_Customer="All",F1384=sel_Customer),OR(sel_Category="All",G1384=sel_Category),AND(S1384&gt;=m_From,S1384&lt;=m_To)),1,0)</f>
        <v/>
      </c>
      <c r="AA1384" s="36">
        <f>IF(AND(OR(sel_Region="All",C1384=sel_Region),OR(sel_Country="All",D1384=sel_Country),OR(sel_Channel="All",E1384=sel_Channel),OR(sel_Customer="All",F1384=sel_Customer),OR(sel_Category="All",G1384=sel_Category),OR(sel_Product="All",H1384=sel_Product)),1,0)</f>
        <v/>
      </c>
    </row>
    <row r="1385">
      <c r="A1385" s="36" t="inlineStr">
        <is>
          <t>02902</t>
        </is>
      </c>
      <c r="B1385" s="44" t="n">
        <v>46219</v>
      </c>
      <c r="C1385" s="36" t="inlineStr">
        <is>
          <t>Central Europe</t>
        </is>
      </c>
      <c r="D1385" s="36" t="inlineStr">
        <is>
          <t>Germany</t>
        </is>
      </c>
      <c r="E1385" s="36" t="inlineStr">
        <is>
          <t>Marketplace</t>
        </is>
      </c>
      <c r="F1385" s="36" t="inlineStr">
        <is>
          <t>Business</t>
        </is>
      </c>
      <c r="G1385" s="36" t="inlineStr">
        <is>
          <t>Fitness</t>
        </is>
      </c>
      <c r="H1385" s="36" t="inlineStr">
        <is>
          <t>Recovery Roller</t>
        </is>
      </c>
      <c r="I1385" s="36" t="n">
        <v>1</v>
      </c>
      <c r="J1385" s="39" t="n">
        <v>35.8</v>
      </c>
      <c r="K1385" s="45" t="n">
        <v>0</v>
      </c>
      <c r="L1385" s="39" t="n">
        <v>14.05</v>
      </c>
      <c r="M1385" s="39">
        <f>I1385*J1385*(1-K1385)</f>
        <v/>
      </c>
      <c r="N1385" s="39">
        <f>I1385*L1385</f>
        <v/>
      </c>
      <c r="O1385" s="39">
        <f>M1385-N1385</f>
        <v/>
      </c>
      <c r="P1385" s="38">
        <f>IF(M1385=0,0,O1385/M1385)</f>
        <v/>
      </c>
      <c r="Q1385" s="36">
        <f>YEAR(B1385)</f>
        <v/>
      </c>
      <c r="R1385" s="36">
        <f>"Q"&amp;ROUNDUP(MONTH(B1385)/3,0)</f>
        <v/>
      </c>
      <c r="S1385" s="36">
        <f>MONTH(B1385)</f>
        <v/>
      </c>
      <c r="T1385" s="36">
        <f>TEXT(B1385,"mmm")</f>
        <v/>
      </c>
      <c r="U1385" s="36">
        <f>IF(AND(OR(sel_Region="All",C1385=sel_Region),OR(sel_Country="All",D1385=sel_Country),OR(sel_Channel="All",E1385=sel_Channel),OR(sel_Customer="All",F1385=sel_Customer),OR(sel_Category="All",G1385=sel_Category),OR(sel_Product="All",H1385=sel_Product),AND(S1385&gt;=m_From,S1385&lt;=m_To)),1,0)</f>
        <v/>
      </c>
      <c r="V1385" s="36">
        <f>IF(AND(OR(sel_Region="All",C1385=sel_Region),OR(sel_Channel="All",E1385=sel_Channel),OR(sel_Customer="All",F1385=sel_Customer),OR(sel_Category="All",G1385=sel_Category),OR(sel_Product="All",H1385=sel_Product),AND(S1385&gt;=m_From,S1385&lt;=m_To)),1,0)</f>
        <v/>
      </c>
      <c r="W1385" s="36">
        <f>IF(AND(OR(sel_Region="All",C1385=sel_Region),OR(sel_Country="All",D1385=sel_Country),OR(sel_Customer="All",F1385=sel_Customer),OR(sel_Category="All",G1385=sel_Category),OR(sel_Product="All",H1385=sel_Product),AND(S1385&gt;=m_From,S1385&lt;=m_To)),1,0)</f>
        <v/>
      </c>
      <c r="X1385" s="36">
        <f>IF(AND(OR(sel_Region="All",C1385=sel_Region),OR(sel_Country="All",D1385=sel_Country),OR(sel_Channel="All",E1385=sel_Channel),OR(sel_Category="All",G1385=sel_Category),OR(sel_Product="All",H1385=sel_Product),AND(S1385&gt;=m_From,S1385&lt;=m_To)),1,0)</f>
        <v/>
      </c>
      <c r="Y1385" s="36">
        <f>IF(AND(OR(sel_Region="All",C1385=sel_Region),OR(sel_Country="All",D1385=sel_Country),OR(sel_Channel="All",E1385=sel_Channel),OR(sel_Customer="All",F1385=sel_Customer),OR(sel_Product="All",H1385=sel_Product),AND(S1385&gt;=m_From,S1385&lt;=m_To)),1,0)</f>
        <v/>
      </c>
      <c r="Z1385" s="36">
        <f>IF(AND(OR(sel_Region="All",C1385=sel_Region),OR(sel_Country="All",D1385=sel_Country),OR(sel_Channel="All",E1385=sel_Channel),OR(sel_Customer="All",F1385=sel_Customer),OR(sel_Category="All",G1385=sel_Category),AND(S1385&gt;=m_From,S1385&lt;=m_To)),1,0)</f>
        <v/>
      </c>
      <c r="AA1385" s="36">
        <f>IF(AND(OR(sel_Region="All",C1385=sel_Region),OR(sel_Country="All",D1385=sel_Country),OR(sel_Channel="All",E1385=sel_Channel),OR(sel_Customer="All",F1385=sel_Customer),OR(sel_Category="All",G1385=sel_Category),OR(sel_Product="All",H1385=sel_Product)),1,0)</f>
        <v/>
      </c>
    </row>
    <row r="1386">
      <c r="A1386" s="36" t="inlineStr">
        <is>
          <t>03115</t>
        </is>
      </c>
      <c r="B1386" s="44" t="n">
        <v>46219</v>
      </c>
      <c r="C1386" s="36" t="inlineStr">
        <is>
          <t>Western Europe</t>
        </is>
      </c>
      <c r="D1386" s="36" t="inlineStr">
        <is>
          <t>France</t>
        </is>
      </c>
      <c r="E1386" s="36" t="inlineStr">
        <is>
          <t>Online Store</t>
        </is>
      </c>
      <c r="F1386" s="36" t="inlineStr">
        <is>
          <t>New</t>
        </is>
      </c>
      <c r="G1386" s="36" t="inlineStr">
        <is>
          <t>Camping</t>
        </is>
      </c>
      <c r="H1386" s="36" t="inlineStr">
        <is>
          <t>Trail Tent 2P</t>
        </is>
      </c>
      <c r="I1386" s="36" t="n">
        <v>1</v>
      </c>
      <c r="J1386" s="39" t="n">
        <v>195.12</v>
      </c>
      <c r="K1386" s="45" t="n">
        <v>0</v>
      </c>
      <c r="L1386" s="39" t="n">
        <v>101.14</v>
      </c>
      <c r="M1386" s="39">
        <f>I1386*J1386*(1-K1386)</f>
        <v/>
      </c>
      <c r="N1386" s="39">
        <f>I1386*L1386</f>
        <v/>
      </c>
      <c r="O1386" s="39">
        <f>M1386-N1386</f>
        <v/>
      </c>
      <c r="P1386" s="38">
        <f>IF(M1386=0,0,O1386/M1386)</f>
        <v/>
      </c>
      <c r="Q1386" s="36">
        <f>YEAR(B1386)</f>
        <v/>
      </c>
      <c r="R1386" s="36">
        <f>"Q"&amp;ROUNDUP(MONTH(B1386)/3,0)</f>
        <v/>
      </c>
      <c r="S1386" s="36">
        <f>MONTH(B1386)</f>
        <v/>
      </c>
      <c r="T1386" s="36">
        <f>TEXT(B1386,"mmm")</f>
        <v/>
      </c>
      <c r="U1386" s="36">
        <f>IF(AND(OR(sel_Region="All",C1386=sel_Region),OR(sel_Country="All",D1386=sel_Country),OR(sel_Channel="All",E1386=sel_Channel),OR(sel_Customer="All",F1386=sel_Customer),OR(sel_Category="All",G1386=sel_Category),OR(sel_Product="All",H1386=sel_Product),AND(S1386&gt;=m_From,S1386&lt;=m_To)),1,0)</f>
        <v/>
      </c>
      <c r="V1386" s="36">
        <f>IF(AND(OR(sel_Region="All",C1386=sel_Region),OR(sel_Channel="All",E1386=sel_Channel),OR(sel_Customer="All",F1386=sel_Customer),OR(sel_Category="All",G1386=sel_Category),OR(sel_Product="All",H1386=sel_Product),AND(S1386&gt;=m_From,S1386&lt;=m_To)),1,0)</f>
        <v/>
      </c>
      <c r="W1386" s="36">
        <f>IF(AND(OR(sel_Region="All",C1386=sel_Region),OR(sel_Country="All",D1386=sel_Country),OR(sel_Customer="All",F1386=sel_Customer),OR(sel_Category="All",G1386=sel_Category),OR(sel_Product="All",H1386=sel_Product),AND(S1386&gt;=m_From,S1386&lt;=m_To)),1,0)</f>
        <v/>
      </c>
      <c r="X1386" s="36">
        <f>IF(AND(OR(sel_Region="All",C1386=sel_Region),OR(sel_Country="All",D1386=sel_Country),OR(sel_Channel="All",E1386=sel_Channel),OR(sel_Category="All",G1386=sel_Category),OR(sel_Product="All",H1386=sel_Product),AND(S1386&gt;=m_From,S1386&lt;=m_To)),1,0)</f>
        <v/>
      </c>
      <c r="Y1386" s="36">
        <f>IF(AND(OR(sel_Region="All",C1386=sel_Region),OR(sel_Country="All",D1386=sel_Country),OR(sel_Channel="All",E1386=sel_Channel),OR(sel_Customer="All",F1386=sel_Customer),OR(sel_Product="All",H1386=sel_Product),AND(S1386&gt;=m_From,S1386&lt;=m_To)),1,0)</f>
        <v/>
      </c>
      <c r="Z1386" s="36">
        <f>IF(AND(OR(sel_Region="All",C1386=sel_Region),OR(sel_Country="All",D1386=sel_Country),OR(sel_Channel="All",E1386=sel_Channel),OR(sel_Customer="All",F1386=sel_Customer),OR(sel_Category="All",G1386=sel_Category),AND(S1386&gt;=m_From,S1386&lt;=m_To)),1,0)</f>
        <v/>
      </c>
      <c r="AA1386" s="36">
        <f>IF(AND(OR(sel_Region="All",C1386=sel_Region),OR(sel_Country="All",D1386=sel_Country),OR(sel_Channel="All",E1386=sel_Channel),OR(sel_Customer="All",F1386=sel_Customer),OR(sel_Category="All",G1386=sel_Category),OR(sel_Product="All",H1386=sel_Product)),1,0)</f>
        <v/>
      </c>
    </row>
    <row r="1387">
      <c r="A1387" s="36" t="inlineStr">
        <is>
          <t>03546</t>
        </is>
      </c>
      <c r="B1387" s="44" t="n">
        <v>46219</v>
      </c>
      <c r="C1387" s="36" t="inlineStr">
        <is>
          <t>Southern Europe</t>
        </is>
      </c>
      <c r="D1387" s="36" t="inlineStr">
        <is>
          <t>Italy</t>
        </is>
      </c>
      <c r="E1387" s="36" t="inlineStr">
        <is>
          <t>Online Store</t>
        </is>
      </c>
      <c r="F1387" s="36" t="inlineStr">
        <is>
          <t>New</t>
        </is>
      </c>
      <c r="G1387" s="36" t="inlineStr">
        <is>
          <t>Cycling</t>
        </is>
      </c>
      <c r="H1387" s="36" t="inlineStr">
        <is>
          <t>Compact Repair Kit</t>
        </is>
      </c>
      <c r="I1387" s="36" t="n">
        <v>2</v>
      </c>
      <c r="J1387" s="39" t="n">
        <v>39.69</v>
      </c>
      <c r="K1387" s="45" t="n">
        <v>0.05</v>
      </c>
      <c r="L1387" s="39" t="n">
        <v>16.88</v>
      </c>
      <c r="M1387" s="39">
        <f>I1387*J1387*(1-K1387)</f>
        <v/>
      </c>
      <c r="N1387" s="39">
        <f>I1387*L1387</f>
        <v/>
      </c>
      <c r="O1387" s="39">
        <f>M1387-N1387</f>
        <v/>
      </c>
      <c r="P1387" s="38">
        <f>IF(M1387=0,0,O1387/M1387)</f>
        <v/>
      </c>
      <c r="Q1387" s="36">
        <f>YEAR(B1387)</f>
        <v/>
      </c>
      <c r="R1387" s="36">
        <f>"Q"&amp;ROUNDUP(MONTH(B1387)/3,0)</f>
        <v/>
      </c>
      <c r="S1387" s="36">
        <f>MONTH(B1387)</f>
        <v/>
      </c>
      <c r="T1387" s="36">
        <f>TEXT(B1387,"mmm")</f>
        <v/>
      </c>
      <c r="U1387" s="36">
        <f>IF(AND(OR(sel_Region="All",C1387=sel_Region),OR(sel_Country="All",D1387=sel_Country),OR(sel_Channel="All",E1387=sel_Channel),OR(sel_Customer="All",F1387=sel_Customer),OR(sel_Category="All",G1387=sel_Category),OR(sel_Product="All",H1387=sel_Product),AND(S1387&gt;=m_From,S1387&lt;=m_To)),1,0)</f>
        <v/>
      </c>
      <c r="V1387" s="36">
        <f>IF(AND(OR(sel_Region="All",C1387=sel_Region),OR(sel_Channel="All",E1387=sel_Channel),OR(sel_Customer="All",F1387=sel_Customer),OR(sel_Category="All",G1387=sel_Category),OR(sel_Product="All",H1387=sel_Product),AND(S1387&gt;=m_From,S1387&lt;=m_To)),1,0)</f>
        <v/>
      </c>
      <c r="W1387" s="36">
        <f>IF(AND(OR(sel_Region="All",C1387=sel_Region),OR(sel_Country="All",D1387=sel_Country),OR(sel_Customer="All",F1387=sel_Customer),OR(sel_Category="All",G1387=sel_Category),OR(sel_Product="All",H1387=sel_Product),AND(S1387&gt;=m_From,S1387&lt;=m_To)),1,0)</f>
        <v/>
      </c>
      <c r="X1387" s="36">
        <f>IF(AND(OR(sel_Region="All",C1387=sel_Region),OR(sel_Country="All",D1387=sel_Country),OR(sel_Channel="All",E1387=sel_Channel),OR(sel_Category="All",G1387=sel_Category),OR(sel_Product="All",H1387=sel_Product),AND(S1387&gt;=m_From,S1387&lt;=m_To)),1,0)</f>
        <v/>
      </c>
      <c r="Y1387" s="36">
        <f>IF(AND(OR(sel_Region="All",C1387=sel_Region),OR(sel_Country="All",D1387=sel_Country),OR(sel_Channel="All",E1387=sel_Channel),OR(sel_Customer="All",F1387=sel_Customer),OR(sel_Product="All",H1387=sel_Product),AND(S1387&gt;=m_From,S1387&lt;=m_To)),1,0)</f>
        <v/>
      </c>
      <c r="Z1387" s="36">
        <f>IF(AND(OR(sel_Region="All",C1387=sel_Region),OR(sel_Country="All",D1387=sel_Country),OR(sel_Channel="All",E1387=sel_Channel),OR(sel_Customer="All",F1387=sel_Customer),OR(sel_Category="All",G1387=sel_Category),AND(S1387&gt;=m_From,S1387&lt;=m_To)),1,0)</f>
        <v/>
      </c>
      <c r="AA1387" s="36">
        <f>IF(AND(OR(sel_Region="All",C1387=sel_Region),OR(sel_Country="All",D1387=sel_Country),OR(sel_Channel="All",E1387=sel_Channel),OR(sel_Customer="All",F1387=sel_Customer),OR(sel_Category="All",G1387=sel_Category),OR(sel_Product="All",H1387=sel_Product)),1,0)</f>
        <v/>
      </c>
    </row>
    <row r="1388">
      <c r="A1388" s="36" t="inlineStr">
        <is>
          <t>04224</t>
        </is>
      </c>
      <c r="B1388" s="44" t="n">
        <v>46219</v>
      </c>
      <c r="C1388" s="36" t="inlineStr">
        <is>
          <t>Northern Europe</t>
        </is>
      </c>
      <c r="D1388" s="36" t="inlineStr">
        <is>
          <t>Ireland</t>
        </is>
      </c>
      <c r="E1388" s="36" t="inlineStr">
        <is>
          <t>Retail Partners</t>
        </is>
      </c>
      <c r="F1388" s="36" t="inlineStr">
        <is>
          <t>Returning</t>
        </is>
      </c>
      <c r="G1388" s="36" t="inlineStr">
        <is>
          <t>Camping</t>
        </is>
      </c>
      <c r="H1388" s="36" t="inlineStr">
        <is>
          <t>Alpine Tent 4P</t>
        </is>
      </c>
      <c r="I1388" s="36" t="n">
        <v>1</v>
      </c>
      <c r="J1388" s="39" t="n">
        <v>348.73</v>
      </c>
      <c r="K1388" s="45" t="n">
        <v>0.15</v>
      </c>
      <c r="L1388" s="39" t="n">
        <v>190.33</v>
      </c>
      <c r="M1388" s="39">
        <f>I1388*J1388*(1-K1388)</f>
        <v/>
      </c>
      <c r="N1388" s="39">
        <f>I1388*L1388</f>
        <v/>
      </c>
      <c r="O1388" s="39">
        <f>M1388-N1388</f>
        <v/>
      </c>
      <c r="P1388" s="38">
        <f>IF(M1388=0,0,O1388/M1388)</f>
        <v/>
      </c>
      <c r="Q1388" s="36">
        <f>YEAR(B1388)</f>
        <v/>
      </c>
      <c r="R1388" s="36">
        <f>"Q"&amp;ROUNDUP(MONTH(B1388)/3,0)</f>
        <v/>
      </c>
      <c r="S1388" s="36">
        <f>MONTH(B1388)</f>
        <v/>
      </c>
      <c r="T1388" s="36">
        <f>TEXT(B1388,"mmm")</f>
        <v/>
      </c>
      <c r="U1388" s="36">
        <f>IF(AND(OR(sel_Region="All",C1388=sel_Region),OR(sel_Country="All",D1388=sel_Country),OR(sel_Channel="All",E1388=sel_Channel),OR(sel_Customer="All",F1388=sel_Customer),OR(sel_Category="All",G1388=sel_Category),OR(sel_Product="All",H1388=sel_Product),AND(S1388&gt;=m_From,S1388&lt;=m_To)),1,0)</f>
        <v/>
      </c>
      <c r="V1388" s="36">
        <f>IF(AND(OR(sel_Region="All",C1388=sel_Region),OR(sel_Channel="All",E1388=sel_Channel),OR(sel_Customer="All",F1388=sel_Customer),OR(sel_Category="All",G1388=sel_Category),OR(sel_Product="All",H1388=sel_Product),AND(S1388&gt;=m_From,S1388&lt;=m_To)),1,0)</f>
        <v/>
      </c>
      <c r="W1388" s="36">
        <f>IF(AND(OR(sel_Region="All",C1388=sel_Region),OR(sel_Country="All",D1388=sel_Country),OR(sel_Customer="All",F1388=sel_Customer),OR(sel_Category="All",G1388=sel_Category),OR(sel_Product="All",H1388=sel_Product),AND(S1388&gt;=m_From,S1388&lt;=m_To)),1,0)</f>
        <v/>
      </c>
      <c r="X1388" s="36">
        <f>IF(AND(OR(sel_Region="All",C1388=sel_Region),OR(sel_Country="All",D1388=sel_Country),OR(sel_Channel="All",E1388=sel_Channel),OR(sel_Category="All",G1388=sel_Category),OR(sel_Product="All",H1388=sel_Product),AND(S1388&gt;=m_From,S1388&lt;=m_To)),1,0)</f>
        <v/>
      </c>
      <c r="Y1388" s="36">
        <f>IF(AND(OR(sel_Region="All",C1388=sel_Region),OR(sel_Country="All",D1388=sel_Country),OR(sel_Channel="All",E1388=sel_Channel),OR(sel_Customer="All",F1388=sel_Customer),OR(sel_Product="All",H1388=sel_Product),AND(S1388&gt;=m_From,S1388&lt;=m_To)),1,0)</f>
        <v/>
      </c>
      <c r="Z1388" s="36">
        <f>IF(AND(OR(sel_Region="All",C1388=sel_Region),OR(sel_Country="All",D1388=sel_Country),OR(sel_Channel="All",E1388=sel_Channel),OR(sel_Customer="All",F1388=sel_Customer),OR(sel_Category="All",G1388=sel_Category),AND(S1388&gt;=m_From,S1388&lt;=m_To)),1,0)</f>
        <v/>
      </c>
      <c r="AA1388" s="36">
        <f>IF(AND(OR(sel_Region="All",C1388=sel_Region),OR(sel_Country="All",D1388=sel_Country),OR(sel_Channel="All",E1388=sel_Channel),OR(sel_Customer="All",F1388=sel_Customer),OR(sel_Category="All",G1388=sel_Category),OR(sel_Product="All",H1388=sel_Product)),1,0)</f>
        <v/>
      </c>
    </row>
    <row r="1389">
      <c r="A1389" s="36" t="inlineStr">
        <is>
          <t>04858</t>
        </is>
      </c>
      <c r="B1389" s="44" t="n">
        <v>46219</v>
      </c>
      <c r="C1389" s="36" t="inlineStr">
        <is>
          <t>Central Europe</t>
        </is>
      </c>
      <c r="D1389" s="36" t="inlineStr">
        <is>
          <t>Germany</t>
        </is>
      </c>
      <c r="E1389" s="36" t="inlineStr">
        <is>
          <t>Retail Partners</t>
        </is>
      </c>
      <c r="F1389" s="36" t="inlineStr">
        <is>
          <t>Returning</t>
        </is>
      </c>
      <c r="G1389" s="36" t="inlineStr">
        <is>
          <t>Travel</t>
        </is>
      </c>
      <c r="H1389" s="36" t="inlineStr">
        <is>
          <t>Insulated Bottle</t>
        </is>
      </c>
      <c r="I1389" s="36" t="n">
        <v>1</v>
      </c>
      <c r="J1389" s="39" t="n">
        <v>35.5</v>
      </c>
      <c r="K1389" s="45" t="n">
        <v>0</v>
      </c>
      <c r="L1389" s="39" t="n">
        <v>13.26</v>
      </c>
      <c r="M1389" s="39">
        <f>I1389*J1389*(1-K1389)</f>
        <v/>
      </c>
      <c r="N1389" s="39">
        <f>I1389*L1389</f>
        <v/>
      </c>
      <c r="O1389" s="39">
        <f>M1389-N1389</f>
        <v/>
      </c>
      <c r="P1389" s="38">
        <f>IF(M1389=0,0,O1389/M1389)</f>
        <v/>
      </c>
      <c r="Q1389" s="36">
        <f>YEAR(B1389)</f>
        <v/>
      </c>
      <c r="R1389" s="36">
        <f>"Q"&amp;ROUNDUP(MONTH(B1389)/3,0)</f>
        <v/>
      </c>
      <c r="S1389" s="36">
        <f>MONTH(B1389)</f>
        <v/>
      </c>
      <c r="T1389" s="36">
        <f>TEXT(B1389,"mmm")</f>
        <v/>
      </c>
      <c r="U1389" s="36">
        <f>IF(AND(OR(sel_Region="All",C1389=sel_Region),OR(sel_Country="All",D1389=sel_Country),OR(sel_Channel="All",E1389=sel_Channel),OR(sel_Customer="All",F1389=sel_Customer),OR(sel_Category="All",G1389=sel_Category),OR(sel_Product="All",H1389=sel_Product),AND(S1389&gt;=m_From,S1389&lt;=m_To)),1,0)</f>
        <v/>
      </c>
      <c r="V1389" s="36">
        <f>IF(AND(OR(sel_Region="All",C1389=sel_Region),OR(sel_Channel="All",E1389=sel_Channel),OR(sel_Customer="All",F1389=sel_Customer),OR(sel_Category="All",G1389=sel_Category),OR(sel_Product="All",H1389=sel_Product),AND(S1389&gt;=m_From,S1389&lt;=m_To)),1,0)</f>
        <v/>
      </c>
      <c r="W1389" s="36">
        <f>IF(AND(OR(sel_Region="All",C1389=sel_Region),OR(sel_Country="All",D1389=sel_Country),OR(sel_Customer="All",F1389=sel_Customer),OR(sel_Category="All",G1389=sel_Category),OR(sel_Product="All",H1389=sel_Product),AND(S1389&gt;=m_From,S1389&lt;=m_To)),1,0)</f>
        <v/>
      </c>
      <c r="X1389" s="36">
        <f>IF(AND(OR(sel_Region="All",C1389=sel_Region),OR(sel_Country="All",D1389=sel_Country),OR(sel_Channel="All",E1389=sel_Channel),OR(sel_Category="All",G1389=sel_Category),OR(sel_Product="All",H1389=sel_Product),AND(S1389&gt;=m_From,S1389&lt;=m_To)),1,0)</f>
        <v/>
      </c>
      <c r="Y1389" s="36">
        <f>IF(AND(OR(sel_Region="All",C1389=sel_Region),OR(sel_Country="All",D1389=sel_Country),OR(sel_Channel="All",E1389=sel_Channel),OR(sel_Customer="All",F1389=sel_Customer),OR(sel_Product="All",H1389=sel_Product),AND(S1389&gt;=m_From,S1389&lt;=m_To)),1,0)</f>
        <v/>
      </c>
      <c r="Z1389" s="36">
        <f>IF(AND(OR(sel_Region="All",C1389=sel_Region),OR(sel_Country="All",D1389=sel_Country),OR(sel_Channel="All",E1389=sel_Channel),OR(sel_Customer="All",F1389=sel_Customer),OR(sel_Category="All",G1389=sel_Category),AND(S1389&gt;=m_From,S1389&lt;=m_To)),1,0)</f>
        <v/>
      </c>
      <c r="AA1389" s="36">
        <f>IF(AND(OR(sel_Region="All",C1389=sel_Region),OR(sel_Country="All",D1389=sel_Country),OR(sel_Channel="All",E1389=sel_Channel),OR(sel_Customer="All",F1389=sel_Customer),OR(sel_Category="All",G1389=sel_Category),OR(sel_Product="All",H1389=sel_Product)),1,0)</f>
        <v/>
      </c>
    </row>
    <row r="1390">
      <c r="A1390" s="36" t="inlineStr">
        <is>
          <t>00768</t>
        </is>
      </c>
      <c r="B1390" s="44" t="n">
        <v>46220</v>
      </c>
      <c r="C1390" s="36" t="inlineStr">
        <is>
          <t>Southern Europe</t>
        </is>
      </c>
      <c r="D1390" s="36" t="inlineStr">
        <is>
          <t>Portugal</t>
        </is>
      </c>
      <c r="E1390" s="36" t="inlineStr">
        <is>
          <t>Online Store</t>
        </is>
      </c>
      <c r="F1390" s="36" t="inlineStr">
        <is>
          <t>Business</t>
        </is>
      </c>
      <c r="G1390" s="36" t="inlineStr">
        <is>
          <t>Travel</t>
        </is>
      </c>
      <c r="H1390" s="36" t="inlineStr">
        <is>
          <t>Packing Cube Set</t>
        </is>
      </c>
      <c r="I1390" s="36" t="n">
        <v>1</v>
      </c>
      <c r="J1390" s="39" t="n">
        <v>46.44</v>
      </c>
      <c r="K1390" s="45" t="n">
        <v>0</v>
      </c>
      <c r="L1390" s="39" t="n">
        <v>18.47</v>
      </c>
      <c r="M1390" s="39">
        <f>I1390*J1390*(1-K1390)</f>
        <v/>
      </c>
      <c r="N1390" s="39">
        <f>I1390*L1390</f>
        <v/>
      </c>
      <c r="O1390" s="39">
        <f>M1390-N1390</f>
        <v/>
      </c>
      <c r="P1390" s="38">
        <f>IF(M1390=0,0,O1390/M1390)</f>
        <v/>
      </c>
      <c r="Q1390" s="36">
        <f>YEAR(B1390)</f>
        <v/>
      </c>
      <c r="R1390" s="36">
        <f>"Q"&amp;ROUNDUP(MONTH(B1390)/3,0)</f>
        <v/>
      </c>
      <c r="S1390" s="36">
        <f>MONTH(B1390)</f>
        <v/>
      </c>
      <c r="T1390" s="36">
        <f>TEXT(B1390,"mmm")</f>
        <v/>
      </c>
      <c r="U1390" s="36">
        <f>IF(AND(OR(sel_Region="All",C1390=sel_Region),OR(sel_Country="All",D1390=sel_Country),OR(sel_Channel="All",E1390=sel_Channel),OR(sel_Customer="All",F1390=sel_Customer),OR(sel_Category="All",G1390=sel_Category),OR(sel_Product="All",H1390=sel_Product),AND(S1390&gt;=m_From,S1390&lt;=m_To)),1,0)</f>
        <v/>
      </c>
      <c r="V1390" s="36">
        <f>IF(AND(OR(sel_Region="All",C1390=sel_Region),OR(sel_Channel="All",E1390=sel_Channel),OR(sel_Customer="All",F1390=sel_Customer),OR(sel_Category="All",G1390=sel_Category),OR(sel_Product="All",H1390=sel_Product),AND(S1390&gt;=m_From,S1390&lt;=m_To)),1,0)</f>
        <v/>
      </c>
      <c r="W1390" s="36">
        <f>IF(AND(OR(sel_Region="All",C1390=sel_Region),OR(sel_Country="All",D1390=sel_Country),OR(sel_Customer="All",F1390=sel_Customer),OR(sel_Category="All",G1390=sel_Category),OR(sel_Product="All",H1390=sel_Product),AND(S1390&gt;=m_From,S1390&lt;=m_To)),1,0)</f>
        <v/>
      </c>
      <c r="X1390" s="36">
        <f>IF(AND(OR(sel_Region="All",C1390=sel_Region),OR(sel_Country="All",D1390=sel_Country),OR(sel_Channel="All",E1390=sel_Channel),OR(sel_Category="All",G1390=sel_Category),OR(sel_Product="All",H1390=sel_Product),AND(S1390&gt;=m_From,S1390&lt;=m_To)),1,0)</f>
        <v/>
      </c>
      <c r="Y1390" s="36">
        <f>IF(AND(OR(sel_Region="All",C1390=sel_Region),OR(sel_Country="All",D1390=sel_Country),OR(sel_Channel="All",E1390=sel_Channel),OR(sel_Customer="All",F1390=sel_Customer),OR(sel_Product="All",H1390=sel_Product),AND(S1390&gt;=m_From,S1390&lt;=m_To)),1,0)</f>
        <v/>
      </c>
      <c r="Z1390" s="36">
        <f>IF(AND(OR(sel_Region="All",C1390=sel_Region),OR(sel_Country="All",D1390=sel_Country),OR(sel_Channel="All",E1390=sel_Channel),OR(sel_Customer="All",F1390=sel_Customer),OR(sel_Category="All",G1390=sel_Category),AND(S1390&gt;=m_From,S1390&lt;=m_To)),1,0)</f>
        <v/>
      </c>
      <c r="AA1390" s="36">
        <f>IF(AND(OR(sel_Region="All",C1390=sel_Region),OR(sel_Country="All",D1390=sel_Country),OR(sel_Channel="All",E1390=sel_Channel),OR(sel_Customer="All",F1390=sel_Customer),OR(sel_Category="All",G1390=sel_Category),OR(sel_Product="All",H1390=sel_Product)),1,0)</f>
        <v/>
      </c>
    </row>
    <row r="1391">
      <c r="A1391" s="36" t="inlineStr">
        <is>
          <t>01901</t>
        </is>
      </c>
      <c r="B1391" s="44" t="n">
        <v>46220</v>
      </c>
      <c r="C1391" s="36" t="inlineStr">
        <is>
          <t>Central Europe</t>
        </is>
      </c>
      <c r="D1391" s="36" t="inlineStr">
        <is>
          <t>Poland</t>
        </is>
      </c>
      <c r="E1391" s="36" t="inlineStr">
        <is>
          <t>Online Store</t>
        </is>
      </c>
      <c r="F1391" s="36" t="inlineStr">
        <is>
          <t>New</t>
        </is>
      </c>
      <c r="G1391" s="36" t="inlineStr">
        <is>
          <t>Hiking</t>
        </is>
      </c>
      <c r="H1391" s="36" t="inlineStr">
        <is>
          <t>Trekking Poles</t>
        </is>
      </c>
      <c r="I1391" s="36" t="n">
        <v>1</v>
      </c>
      <c r="J1391" s="39" t="n">
        <v>70.44</v>
      </c>
      <c r="K1391" s="45" t="n">
        <v>0.05</v>
      </c>
      <c r="L1391" s="39" t="n">
        <v>32.23</v>
      </c>
      <c r="M1391" s="39">
        <f>I1391*J1391*(1-K1391)</f>
        <v/>
      </c>
      <c r="N1391" s="39">
        <f>I1391*L1391</f>
        <v/>
      </c>
      <c r="O1391" s="39">
        <f>M1391-N1391</f>
        <v/>
      </c>
      <c r="P1391" s="38">
        <f>IF(M1391=0,0,O1391/M1391)</f>
        <v/>
      </c>
      <c r="Q1391" s="36">
        <f>YEAR(B1391)</f>
        <v/>
      </c>
      <c r="R1391" s="36">
        <f>"Q"&amp;ROUNDUP(MONTH(B1391)/3,0)</f>
        <v/>
      </c>
      <c r="S1391" s="36">
        <f>MONTH(B1391)</f>
        <v/>
      </c>
      <c r="T1391" s="36">
        <f>TEXT(B1391,"mmm")</f>
        <v/>
      </c>
      <c r="U1391" s="36">
        <f>IF(AND(OR(sel_Region="All",C1391=sel_Region),OR(sel_Country="All",D1391=sel_Country),OR(sel_Channel="All",E1391=sel_Channel),OR(sel_Customer="All",F1391=sel_Customer),OR(sel_Category="All",G1391=sel_Category),OR(sel_Product="All",H1391=sel_Product),AND(S1391&gt;=m_From,S1391&lt;=m_To)),1,0)</f>
        <v/>
      </c>
      <c r="V1391" s="36">
        <f>IF(AND(OR(sel_Region="All",C1391=sel_Region),OR(sel_Channel="All",E1391=sel_Channel),OR(sel_Customer="All",F1391=sel_Customer),OR(sel_Category="All",G1391=sel_Category),OR(sel_Product="All",H1391=sel_Product),AND(S1391&gt;=m_From,S1391&lt;=m_To)),1,0)</f>
        <v/>
      </c>
      <c r="W1391" s="36">
        <f>IF(AND(OR(sel_Region="All",C1391=sel_Region),OR(sel_Country="All",D1391=sel_Country),OR(sel_Customer="All",F1391=sel_Customer),OR(sel_Category="All",G1391=sel_Category),OR(sel_Product="All",H1391=sel_Product),AND(S1391&gt;=m_From,S1391&lt;=m_To)),1,0)</f>
        <v/>
      </c>
      <c r="X1391" s="36">
        <f>IF(AND(OR(sel_Region="All",C1391=sel_Region),OR(sel_Country="All",D1391=sel_Country),OR(sel_Channel="All",E1391=sel_Channel),OR(sel_Category="All",G1391=sel_Category),OR(sel_Product="All",H1391=sel_Product),AND(S1391&gt;=m_From,S1391&lt;=m_To)),1,0)</f>
        <v/>
      </c>
      <c r="Y1391" s="36">
        <f>IF(AND(OR(sel_Region="All",C1391=sel_Region),OR(sel_Country="All",D1391=sel_Country),OR(sel_Channel="All",E1391=sel_Channel),OR(sel_Customer="All",F1391=sel_Customer),OR(sel_Product="All",H1391=sel_Product),AND(S1391&gt;=m_From,S1391&lt;=m_To)),1,0)</f>
        <v/>
      </c>
      <c r="Z1391" s="36">
        <f>IF(AND(OR(sel_Region="All",C1391=sel_Region),OR(sel_Country="All",D1391=sel_Country),OR(sel_Channel="All",E1391=sel_Channel),OR(sel_Customer="All",F1391=sel_Customer),OR(sel_Category="All",G1391=sel_Category),AND(S1391&gt;=m_From,S1391&lt;=m_To)),1,0)</f>
        <v/>
      </c>
      <c r="AA1391" s="36">
        <f>IF(AND(OR(sel_Region="All",C1391=sel_Region),OR(sel_Country="All",D1391=sel_Country),OR(sel_Channel="All",E1391=sel_Channel),OR(sel_Customer="All",F1391=sel_Customer),OR(sel_Category="All",G1391=sel_Category),OR(sel_Product="All",H1391=sel_Product)),1,0)</f>
        <v/>
      </c>
    </row>
    <row r="1392">
      <c r="A1392" s="36" t="inlineStr">
        <is>
          <t>02226</t>
        </is>
      </c>
      <c r="B1392" s="44" t="n">
        <v>46220</v>
      </c>
      <c r="C1392" s="36" t="inlineStr">
        <is>
          <t>Southern Europe</t>
        </is>
      </c>
      <c r="D1392" s="36" t="inlineStr">
        <is>
          <t>Italy</t>
        </is>
      </c>
      <c r="E1392" s="36" t="inlineStr">
        <is>
          <t>Retail Partners</t>
        </is>
      </c>
      <c r="F1392" s="36" t="inlineStr">
        <is>
          <t>New</t>
        </is>
      </c>
      <c r="G1392" s="36" t="inlineStr">
        <is>
          <t>Hiking</t>
        </is>
      </c>
      <c r="H1392" s="36" t="inlineStr">
        <is>
          <t>Trekking Poles</t>
        </is>
      </c>
      <c r="I1392" s="36" t="n">
        <v>1</v>
      </c>
      <c r="J1392" s="39" t="n">
        <v>69.78</v>
      </c>
      <c r="K1392" s="45" t="n">
        <v>0.05</v>
      </c>
      <c r="L1392" s="39" t="n">
        <v>32.83</v>
      </c>
      <c r="M1392" s="39">
        <f>I1392*J1392*(1-K1392)</f>
        <v/>
      </c>
      <c r="N1392" s="39">
        <f>I1392*L1392</f>
        <v/>
      </c>
      <c r="O1392" s="39">
        <f>M1392-N1392</f>
        <v/>
      </c>
      <c r="P1392" s="38">
        <f>IF(M1392=0,0,O1392/M1392)</f>
        <v/>
      </c>
      <c r="Q1392" s="36">
        <f>YEAR(B1392)</f>
        <v/>
      </c>
      <c r="R1392" s="36">
        <f>"Q"&amp;ROUNDUP(MONTH(B1392)/3,0)</f>
        <v/>
      </c>
      <c r="S1392" s="36">
        <f>MONTH(B1392)</f>
        <v/>
      </c>
      <c r="T1392" s="36">
        <f>TEXT(B1392,"mmm")</f>
        <v/>
      </c>
      <c r="U1392" s="36">
        <f>IF(AND(OR(sel_Region="All",C1392=sel_Region),OR(sel_Country="All",D1392=sel_Country),OR(sel_Channel="All",E1392=sel_Channel),OR(sel_Customer="All",F1392=sel_Customer),OR(sel_Category="All",G1392=sel_Category),OR(sel_Product="All",H1392=sel_Product),AND(S1392&gt;=m_From,S1392&lt;=m_To)),1,0)</f>
        <v/>
      </c>
      <c r="V1392" s="36">
        <f>IF(AND(OR(sel_Region="All",C1392=sel_Region),OR(sel_Channel="All",E1392=sel_Channel),OR(sel_Customer="All",F1392=sel_Customer),OR(sel_Category="All",G1392=sel_Category),OR(sel_Product="All",H1392=sel_Product),AND(S1392&gt;=m_From,S1392&lt;=m_To)),1,0)</f>
        <v/>
      </c>
      <c r="W1392" s="36">
        <f>IF(AND(OR(sel_Region="All",C1392=sel_Region),OR(sel_Country="All",D1392=sel_Country),OR(sel_Customer="All",F1392=sel_Customer),OR(sel_Category="All",G1392=sel_Category),OR(sel_Product="All",H1392=sel_Product),AND(S1392&gt;=m_From,S1392&lt;=m_To)),1,0)</f>
        <v/>
      </c>
      <c r="X1392" s="36">
        <f>IF(AND(OR(sel_Region="All",C1392=sel_Region),OR(sel_Country="All",D1392=sel_Country),OR(sel_Channel="All",E1392=sel_Channel),OR(sel_Category="All",G1392=sel_Category),OR(sel_Product="All",H1392=sel_Product),AND(S1392&gt;=m_From,S1392&lt;=m_To)),1,0)</f>
        <v/>
      </c>
      <c r="Y1392" s="36">
        <f>IF(AND(OR(sel_Region="All",C1392=sel_Region),OR(sel_Country="All",D1392=sel_Country),OR(sel_Channel="All",E1392=sel_Channel),OR(sel_Customer="All",F1392=sel_Customer),OR(sel_Product="All",H1392=sel_Product),AND(S1392&gt;=m_From,S1392&lt;=m_To)),1,0)</f>
        <v/>
      </c>
      <c r="Z1392" s="36">
        <f>IF(AND(OR(sel_Region="All",C1392=sel_Region),OR(sel_Country="All",D1392=sel_Country),OR(sel_Channel="All",E1392=sel_Channel),OR(sel_Customer="All",F1392=sel_Customer),OR(sel_Category="All",G1392=sel_Category),AND(S1392&gt;=m_From,S1392&lt;=m_To)),1,0)</f>
        <v/>
      </c>
      <c r="AA1392" s="36">
        <f>IF(AND(OR(sel_Region="All",C1392=sel_Region),OR(sel_Country="All",D1392=sel_Country),OR(sel_Channel="All",E1392=sel_Channel),OR(sel_Customer="All",F1392=sel_Customer),OR(sel_Category="All",G1392=sel_Category),OR(sel_Product="All",H1392=sel_Product)),1,0)</f>
        <v/>
      </c>
    </row>
    <row r="1393">
      <c r="A1393" s="36" t="inlineStr">
        <is>
          <t>02660</t>
        </is>
      </c>
      <c r="B1393" s="44" t="n">
        <v>46220</v>
      </c>
      <c r="C1393" s="36" t="inlineStr">
        <is>
          <t>Northern Europe</t>
        </is>
      </c>
      <c r="D1393" s="36" t="inlineStr">
        <is>
          <t>Denmark</t>
        </is>
      </c>
      <c r="E1393" s="36" t="inlineStr">
        <is>
          <t>Retail Partners</t>
        </is>
      </c>
      <c r="F1393" s="36" t="inlineStr">
        <is>
          <t>New</t>
        </is>
      </c>
      <c r="G1393" s="36" t="inlineStr">
        <is>
          <t>Travel</t>
        </is>
      </c>
      <c r="H1393" s="36" t="inlineStr">
        <is>
          <t>Insulated Bottle</t>
        </is>
      </c>
      <c r="I1393" s="36" t="n">
        <v>4</v>
      </c>
      <c r="J1393" s="39" t="n">
        <v>35.45</v>
      </c>
      <c r="K1393" s="45" t="n">
        <v>0.1</v>
      </c>
      <c r="L1393" s="39" t="n">
        <v>13.83</v>
      </c>
      <c r="M1393" s="39">
        <f>I1393*J1393*(1-K1393)</f>
        <v/>
      </c>
      <c r="N1393" s="39">
        <f>I1393*L1393</f>
        <v/>
      </c>
      <c r="O1393" s="39">
        <f>M1393-N1393</f>
        <v/>
      </c>
      <c r="P1393" s="38">
        <f>IF(M1393=0,0,O1393/M1393)</f>
        <v/>
      </c>
      <c r="Q1393" s="36">
        <f>YEAR(B1393)</f>
        <v/>
      </c>
      <c r="R1393" s="36">
        <f>"Q"&amp;ROUNDUP(MONTH(B1393)/3,0)</f>
        <v/>
      </c>
      <c r="S1393" s="36">
        <f>MONTH(B1393)</f>
        <v/>
      </c>
      <c r="T1393" s="36">
        <f>TEXT(B1393,"mmm")</f>
        <v/>
      </c>
      <c r="U1393" s="36">
        <f>IF(AND(OR(sel_Region="All",C1393=sel_Region),OR(sel_Country="All",D1393=sel_Country),OR(sel_Channel="All",E1393=sel_Channel),OR(sel_Customer="All",F1393=sel_Customer),OR(sel_Category="All",G1393=sel_Category),OR(sel_Product="All",H1393=sel_Product),AND(S1393&gt;=m_From,S1393&lt;=m_To)),1,0)</f>
        <v/>
      </c>
      <c r="V1393" s="36">
        <f>IF(AND(OR(sel_Region="All",C1393=sel_Region),OR(sel_Channel="All",E1393=sel_Channel),OR(sel_Customer="All",F1393=sel_Customer),OR(sel_Category="All",G1393=sel_Category),OR(sel_Product="All",H1393=sel_Product),AND(S1393&gt;=m_From,S1393&lt;=m_To)),1,0)</f>
        <v/>
      </c>
      <c r="W1393" s="36">
        <f>IF(AND(OR(sel_Region="All",C1393=sel_Region),OR(sel_Country="All",D1393=sel_Country),OR(sel_Customer="All",F1393=sel_Customer),OR(sel_Category="All",G1393=sel_Category),OR(sel_Product="All",H1393=sel_Product),AND(S1393&gt;=m_From,S1393&lt;=m_To)),1,0)</f>
        <v/>
      </c>
      <c r="X1393" s="36">
        <f>IF(AND(OR(sel_Region="All",C1393=sel_Region),OR(sel_Country="All",D1393=sel_Country),OR(sel_Channel="All",E1393=sel_Channel),OR(sel_Category="All",G1393=sel_Category),OR(sel_Product="All",H1393=sel_Product),AND(S1393&gt;=m_From,S1393&lt;=m_To)),1,0)</f>
        <v/>
      </c>
      <c r="Y1393" s="36">
        <f>IF(AND(OR(sel_Region="All",C1393=sel_Region),OR(sel_Country="All",D1393=sel_Country),OR(sel_Channel="All",E1393=sel_Channel),OR(sel_Customer="All",F1393=sel_Customer),OR(sel_Product="All",H1393=sel_Product),AND(S1393&gt;=m_From,S1393&lt;=m_To)),1,0)</f>
        <v/>
      </c>
      <c r="Z1393" s="36">
        <f>IF(AND(OR(sel_Region="All",C1393=sel_Region),OR(sel_Country="All",D1393=sel_Country),OR(sel_Channel="All",E1393=sel_Channel),OR(sel_Customer="All",F1393=sel_Customer),OR(sel_Category="All",G1393=sel_Category),AND(S1393&gt;=m_From,S1393&lt;=m_To)),1,0)</f>
        <v/>
      </c>
      <c r="AA1393" s="36">
        <f>IF(AND(OR(sel_Region="All",C1393=sel_Region),OR(sel_Country="All",D1393=sel_Country),OR(sel_Channel="All",E1393=sel_Channel),OR(sel_Customer="All",F1393=sel_Customer),OR(sel_Category="All",G1393=sel_Category),OR(sel_Product="All",H1393=sel_Product)),1,0)</f>
        <v/>
      </c>
    </row>
    <row r="1394">
      <c r="A1394" s="36" t="inlineStr">
        <is>
          <t>03004</t>
        </is>
      </c>
      <c r="B1394" s="44" t="n">
        <v>46220</v>
      </c>
      <c r="C1394" s="36" t="inlineStr">
        <is>
          <t>Western Europe</t>
        </is>
      </c>
      <c r="D1394" s="36" t="inlineStr">
        <is>
          <t>United Kingdom</t>
        </is>
      </c>
      <c r="E1394" s="36" t="inlineStr">
        <is>
          <t>Online Store</t>
        </is>
      </c>
      <c r="F1394" s="36" t="inlineStr">
        <is>
          <t>Returning</t>
        </is>
      </c>
      <c r="G1394" s="36" t="inlineStr">
        <is>
          <t>Cycling</t>
        </is>
      </c>
      <c r="H1394" s="36" t="inlineStr">
        <is>
          <t>Trail Bike Light</t>
        </is>
      </c>
      <c r="I1394" s="36" t="n">
        <v>1</v>
      </c>
      <c r="J1394" s="39" t="n">
        <v>50.82</v>
      </c>
      <c r="K1394" s="45" t="n">
        <v>0.05</v>
      </c>
      <c r="L1394" s="39" t="n">
        <v>22.36</v>
      </c>
      <c r="M1394" s="39">
        <f>I1394*J1394*(1-K1394)</f>
        <v/>
      </c>
      <c r="N1394" s="39">
        <f>I1394*L1394</f>
        <v/>
      </c>
      <c r="O1394" s="39">
        <f>M1394-N1394</f>
        <v/>
      </c>
      <c r="P1394" s="38">
        <f>IF(M1394=0,0,O1394/M1394)</f>
        <v/>
      </c>
      <c r="Q1394" s="36">
        <f>YEAR(B1394)</f>
        <v/>
      </c>
      <c r="R1394" s="36">
        <f>"Q"&amp;ROUNDUP(MONTH(B1394)/3,0)</f>
        <v/>
      </c>
      <c r="S1394" s="36">
        <f>MONTH(B1394)</f>
        <v/>
      </c>
      <c r="T1394" s="36">
        <f>TEXT(B1394,"mmm")</f>
        <v/>
      </c>
      <c r="U1394" s="36">
        <f>IF(AND(OR(sel_Region="All",C1394=sel_Region),OR(sel_Country="All",D1394=sel_Country),OR(sel_Channel="All",E1394=sel_Channel),OR(sel_Customer="All",F1394=sel_Customer),OR(sel_Category="All",G1394=sel_Category),OR(sel_Product="All",H1394=sel_Product),AND(S1394&gt;=m_From,S1394&lt;=m_To)),1,0)</f>
        <v/>
      </c>
      <c r="V1394" s="36">
        <f>IF(AND(OR(sel_Region="All",C1394=sel_Region),OR(sel_Channel="All",E1394=sel_Channel),OR(sel_Customer="All",F1394=sel_Customer),OR(sel_Category="All",G1394=sel_Category),OR(sel_Product="All",H1394=sel_Product),AND(S1394&gt;=m_From,S1394&lt;=m_To)),1,0)</f>
        <v/>
      </c>
      <c r="W1394" s="36">
        <f>IF(AND(OR(sel_Region="All",C1394=sel_Region),OR(sel_Country="All",D1394=sel_Country),OR(sel_Customer="All",F1394=sel_Customer),OR(sel_Category="All",G1394=sel_Category),OR(sel_Product="All",H1394=sel_Product),AND(S1394&gt;=m_From,S1394&lt;=m_To)),1,0)</f>
        <v/>
      </c>
      <c r="X1394" s="36">
        <f>IF(AND(OR(sel_Region="All",C1394=sel_Region),OR(sel_Country="All",D1394=sel_Country),OR(sel_Channel="All",E1394=sel_Channel),OR(sel_Category="All",G1394=sel_Category),OR(sel_Product="All",H1394=sel_Product),AND(S1394&gt;=m_From,S1394&lt;=m_To)),1,0)</f>
        <v/>
      </c>
      <c r="Y1394" s="36">
        <f>IF(AND(OR(sel_Region="All",C1394=sel_Region),OR(sel_Country="All",D1394=sel_Country),OR(sel_Channel="All",E1394=sel_Channel),OR(sel_Customer="All",F1394=sel_Customer),OR(sel_Product="All",H1394=sel_Product),AND(S1394&gt;=m_From,S1394&lt;=m_To)),1,0)</f>
        <v/>
      </c>
      <c r="Z1394" s="36">
        <f>IF(AND(OR(sel_Region="All",C1394=sel_Region),OR(sel_Country="All",D1394=sel_Country),OR(sel_Channel="All",E1394=sel_Channel),OR(sel_Customer="All",F1394=sel_Customer),OR(sel_Category="All",G1394=sel_Category),AND(S1394&gt;=m_From,S1394&lt;=m_To)),1,0)</f>
        <v/>
      </c>
      <c r="AA1394" s="36">
        <f>IF(AND(OR(sel_Region="All",C1394=sel_Region),OR(sel_Country="All",D1394=sel_Country),OR(sel_Channel="All",E1394=sel_Channel),OR(sel_Customer="All",F1394=sel_Customer),OR(sel_Category="All",G1394=sel_Category),OR(sel_Product="All",H1394=sel_Product)),1,0)</f>
        <v/>
      </c>
    </row>
    <row r="1395">
      <c r="A1395" s="36" t="inlineStr">
        <is>
          <t>04020</t>
        </is>
      </c>
      <c r="B1395" s="44" t="n">
        <v>46220</v>
      </c>
      <c r="C1395" s="36" t="inlineStr">
        <is>
          <t>Northern Europe</t>
        </is>
      </c>
      <c r="D1395" s="36" t="inlineStr">
        <is>
          <t>Sweden</t>
        </is>
      </c>
      <c r="E1395" s="36" t="inlineStr">
        <is>
          <t>Online Store</t>
        </is>
      </c>
      <c r="F1395" s="36" t="inlineStr">
        <is>
          <t>Returning</t>
        </is>
      </c>
      <c r="G1395" s="36" t="inlineStr">
        <is>
          <t>Camping</t>
        </is>
      </c>
      <c r="H1395" s="36" t="inlineStr">
        <is>
          <t>Compact Sleeping Bag</t>
        </is>
      </c>
      <c r="I1395" s="36" t="n">
        <v>1</v>
      </c>
      <c r="J1395" s="39" t="n">
        <v>126.13</v>
      </c>
      <c r="K1395" s="45" t="n">
        <v>0.15</v>
      </c>
      <c r="L1395" s="39" t="n">
        <v>60.43</v>
      </c>
      <c r="M1395" s="39">
        <f>I1395*J1395*(1-K1395)</f>
        <v/>
      </c>
      <c r="N1395" s="39">
        <f>I1395*L1395</f>
        <v/>
      </c>
      <c r="O1395" s="39">
        <f>M1395-N1395</f>
        <v/>
      </c>
      <c r="P1395" s="38">
        <f>IF(M1395=0,0,O1395/M1395)</f>
        <v/>
      </c>
      <c r="Q1395" s="36">
        <f>YEAR(B1395)</f>
        <v/>
      </c>
      <c r="R1395" s="36">
        <f>"Q"&amp;ROUNDUP(MONTH(B1395)/3,0)</f>
        <v/>
      </c>
      <c r="S1395" s="36">
        <f>MONTH(B1395)</f>
        <v/>
      </c>
      <c r="T1395" s="36">
        <f>TEXT(B1395,"mmm")</f>
        <v/>
      </c>
      <c r="U1395" s="36">
        <f>IF(AND(OR(sel_Region="All",C1395=sel_Region),OR(sel_Country="All",D1395=sel_Country),OR(sel_Channel="All",E1395=sel_Channel),OR(sel_Customer="All",F1395=sel_Customer),OR(sel_Category="All",G1395=sel_Category),OR(sel_Product="All",H1395=sel_Product),AND(S1395&gt;=m_From,S1395&lt;=m_To)),1,0)</f>
        <v/>
      </c>
      <c r="V1395" s="36">
        <f>IF(AND(OR(sel_Region="All",C1395=sel_Region),OR(sel_Channel="All",E1395=sel_Channel),OR(sel_Customer="All",F1395=sel_Customer),OR(sel_Category="All",G1395=sel_Category),OR(sel_Product="All",H1395=sel_Product),AND(S1395&gt;=m_From,S1395&lt;=m_To)),1,0)</f>
        <v/>
      </c>
      <c r="W1395" s="36">
        <f>IF(AND(OR(sel_Region="All",C1395=sel_Region),OR(sel_Country="All",D1395=sel_Country),OR(sel_Customer="All",F1395=sel_Customer),OR(sel_Category="All",G1395=sel_Category),OR(sel_Product="All",H1395=sel_Product),AND(S1395&gt;=m_From,S1395&lt;=m_To)),1,0)</f>
        <v/>
      </c>
      <c r="X1395" s="36">
        <f>IF(AND(OR(sel_Region="All",C1395=sel_Region),OR(sel_Country="All",D1395=sel_Country),OR(sel_Channel="All",E1395=sel_Channel),OR(sel_Category="All",G1395=sel_Category),OR(sel_Product="All",H1395=sel_Product),AND(S1395&gt;=m_From,S1395&lt;=m_To)),1,0)</f>
        <v/>
      </c>
      <c r="Y1395" s="36">
        <f>IF(AND(OR(sel_Region="All",C1395=sel_Region),OR(sel_Country="All",D1395=sel_Country),OR(sel_Channel="All",E1395=sel_Channel),OR(sel_Customer="All",F1395=sel_Customer),OR(sel_Product="All",H1395=sel_Product),AND(S1395&gt;=m_From,S1395&lt;=m_To)),1,0)</f>
        <v/>
      </c>
      <c r="Z1395" s="36">
        <f>IF(AND(OR(sel_Region="All",C1395=sel_Region),OR(sel_Country="All",D1395=sel_Country),OR(sel_Channel="All",E1395=sel_Channel),OR(sel_Customer="All",F1395=sel_Customer),OR(sel_Category="All",G1395=sel_Category),AND(S1395&gt;=m_From,S1395&lt;=m_To)),1,0)</f>
        <v/>
      </c>
      <c r="AA1395" s="36">
        <f>IF(AND(OR(sel_Region="All",C1395=sel_Region),OR(sel_Country="All",D1395=sel_Country),OR(sel_Channel="All",E1395=sel_Channel),OR(sel_Customer="All",F1395=sel_Customer),OR(sel_Category="All",G1395=sel_Category),OR(sel_Product="All",H1395=sel_Product)),1,0)</f>
        <v/>
      </c>
    </row>
    <row r="1396">
      <c r="A1396" s="36" t="inlineStr">
        <is>
          <t>04154</t>
        </is>
      </c>
      <c r="B1396" s="44" t="n">
        <v>46220</v>
      </c>
      <c r="C1396" s="36" t="inlineStr">
        <is>
          <t>Northern Europe</t>
        </is>
      </c>
      <c r="D1396" s="36" t="inlineStr">
        <is>
          <t>Finland</t>
        </is>
      </c>
      <c r="E1396" s="36" t="inlineStr">
        <is>
          <t>Online Store</t>
        </is>
      </c>
      <c r="F1396" s="36" t="inlineStr">
        <is>
          <t>Returning</t>
        </is>
      </c>
      <c r="G1396" s="36" t="inlineStr">
        <is>
          <t>Hiking</t>
        </is>
      </c>
      <c r="H1396" s="36" t="inlineStr">
        <is>
          <t>Trekking Poles</t>
        </is>
      </c>
      <c r="I1396" s="36" t="n">
        <v>3</v>
      </c>
      <c r="J1396" s="39" t="n">
        <v>72.15000000000001</v>
      </c>
      <c r="K1396" s="45" t="n">
        <v>0</v>
      </c>
      <c r="L1396" s="39" t="n">
        <v>33.01</v>
      </c>
      <c r="M1396" s="39">
        <f>I1396*J1396*(1-K1396)</f>
        <v/>
      </c>
      <c r="N1396" s="39">
        <f>I1396*L1396</f>
        <v/>
      </c>
      <c r="O1396" s="39">
        <f>M1396-N1396</f>
        <v/>
      </c>
      <c r="P1396" s="38">
        <f>IF(M1396=0,0,O1396/M1396)</f>
        <v/>
      </c>
      <c r="Q1396" s="36">
        <f>YEAR(B1396)</f>
        <v/>
      </c>
      <c r="R1396" s="36">
        <f>"Q"&amp;ROUNDUP(MONTH(B1396)/3,0)</f>
        <v/>
      </c>
      <c r="S1396" s="36">
        <f>MONTH(B1396)</f>
        <v/>
      </c>
      <c r="T1396" s="36">
        <f>TEXT(B1396,"mmm")</f>
        <v/>
      </c>
      <c r="U1396" s="36">
        <f>IF(AND(OR(sel_Region="All",C1396=sel_Region),OR(sel_Country="All",D1396=sel_Country),OR(sel_Channel="All",E1396=sel_Channel),OR(sel_Customer="All",F1396=sel_Customer),OR(sel_Category="All",G1396=sel_Category),OR(sel_Product="All",H1396=sel_Product),AND(S1396&gt;=m_From,S1396&lt;=m_To)),1,0)</f>
        <v/>
      </c>
      <c r="V1396" s="36">
        <f>IF(AND(OR(sel_Region="All",C1396=sel_Region),OR(sel_Channel="All",E1396=sel_Channel),OR(sel_Customer="All",F1396=sel_Customer),OR(sel_Category="All",G1396=sel_Category),OR(sel_Product="All",H1396=sel_Product),AND(S1396&gt;=m_From,S1396&lt;=m_To)),1,0)</f>
        <v/>
      </c>
      <c r="W1396" s="36">
        <f>IF(AND(OR(sel_Region="All",C1396=sel_Region),OR(sel_Country="All",D1396=sel_Country),OR(sel_Customer="All",F1396=sel_Customer),OR(sel_Category="All",G1396=sel_Category),OR(sel_Product="All",H1396=sel_Product),AND(S1396&gt;=m_From,S1396&lt;=m_To)),1,0)</f>
        <v/>
      </c>
      <c r="X1396" s="36">
        <f>IF(AND(OR(sel_Region="All",C1396=sel_Region),OR(sel_Country="All",D1396=sel_Country),OR(sel_Channel="All",E1396=sel_Channel),OR(sel_Category="All",G1396=sel_Category),OR(sel_Product="All",H1396=sel_Product),AND(S1396&gt;=m_From,S1396&lt;=m_To)),1,0)</f>
        <v/>
      </c>
      <c r="Y1396" s="36">
        <f>IF(AND(OR(sel_Region="All",C1396=sel_Region),OR(sel_Country="All",D1396=sel_Country),OR(sel_Channel="All",E1396=sel_Channel),OR(sel_Customer="All",F1396=sel_Customer),OR(sel_Product="All",H1396=sel_Product),AND(S1396&gt;=m_From,S1396&lt;=m_To)),1,0)</f>
        <v/>
      </c>
      <c r="Z1396" s="36">
        <f>IF(AND(OR(sel_Region="All",C1396=sel_Region),OR(sel_Country="All",D1396=sel_Country),OR(sel_Channel="All",E1396=sel_Channel),OR(sel_Customer="All",F1396=sel_Customer),OR(sel_Category="All",G1396=sel_Category),AND(S1396&gt;=m_From,S1396&lt;=m_To)),1,0)</f>
        <v/>
      </c>
      <c r="AA1396" s="36">
        <f>IF(AND(OR(sel_Region="All",C1396=sel_Region),OR(sel_Country="All",D1396=sel_Country),OR(sel_Channel="All",E1396=sel_Channel),OR(sel_Customer="All",F1396=sel_Customer),OR(sel_Category="All",G1396=sel_Category),OR(sel_Product="All",H1396=sel_Product)),1,0)</f>
        <v/>
      </c>
    </row>
    <row r="1397">
      <c r="A1397" s="36" t="inlineStr">
        <is>
          <t>04957</t>
        </is>
      </c>
      <c r="B1397" s="44" t="n">
        <v>46220</v>
      </c>
      <c r="C1397" s="36" t="inlineStr">
        <is>
          <t>Central Europe</t>
        </is>
      </c>
      <c r="D1397" s="36" t="inlineStr">
        <is>
          <t>Czechia</t>
        </is>
      </c>
      <c r="E1397" s="36" t="inlineStr">
        <is>
          <t>Online Store</t>
        </is>
      </c>
      <c r="F1397" s="36" t="inlineStr">
        <is>
          <t>Returning</t>
        </is>
      </c>
      <c r="G1397" s="36" t="inlineStr">
        <is>
          <t>Fitness</t>
        </is>
      </c>
      <c r="H1397" s="36" t="inlineStr">
        <is>
          <t>Recovery Roller</t>
        </is>
      </c>
      <c r="I1397" s="36" t="n">
        <v>1</v>
      </c>
      <c r="J1397" s="39" t="n">
        <v>35.58</v>
      </c>
      <c r="K1397" s="45" t="n">
        <v>0</v>
      </c>
      <c r="L1397" s="39" t="n">
        <v>13.68</v>
      </c>
      <c r="M1397" s="39">
        <f>I1397*J1397*(1-K1397)</f>
        <v/>
      </c>
      <c r="N1397" s="39">
        <f>I1397*L1397</f>
        <v/>
      </c>
      <c r="O1397" s="39">
        <f>M1397-N1397</f>
        <v/>
      </c>
      <c r="P1397" s="38">
        <f>IF(M1397=0,0,O1397/M1397)</f>
        <v/>
      </c>
      <c r="Q1397" s="36">
        <f>YEAR(B1397)</f>
        <v/>
      </c>
      <c r="R1397" s="36">
        <f>"Q"&amp;ROUNDUP(MONTH(B1397)/3,0)</f>
        <v/>
      </c>
      <c r="S1397" s="36">
        <f>MONTH(B1397)</f>
        <v/>
      </c>
      <c r="T1397" s="36">
        <f>TEXT(B1397,"mmm")</f>
        <v/>
      </c>
      <c r="U1397" s="36">
        <f>IF(AND(OR(sel_Region="All",C1397=sel_Region),OR(sel_Country="All",D1397=sel_Country),OR(sel_Channel="All",E1397=sel_Channel),OR(sel_Customer="All",F1397=sel_Customer),OR(sel_Category="All",G1397=sel_Category),OR(sel_Product="All",H1397=sel_Product),AND(S1397&gt;=m_From,S1397&lt;=m_To)),1,0)</f>
        <v/>
      </c>
      <c r="V1397" s="36">
        <f>IF(AND(OR(sel_Region="All",C1397=sel_Region),OR(sel_Channel="All",E1397=sel_Channel),OR(sel_Customer="All",F1397=sel_Customer),OR(sel_Category="All",G1397=sel_Category),OR(sel_Product="All",H1397=sel_Product),AND(S1397&gt;=m_From,S1397&lt;=m_To)),1,0)</f>
        <v/>
      </c>
      <c r="W1397" s="36">
        <f>IF(AND(OR(sel_Region="All",C1397=sel_Region),OR(sel_Country="All",D1397=sel_Country),OR(sel_Customer="All",F1397=sel_Customer),OR(sel_Category="All",G1397=sel_Category),OR(sel_Product="All",H1397=sel_Product),AND(S1397&gt;=m_From,S1397&lt;=m_To)),1,0)</f>
        <v/>
      </c>
      <c r="X1397" s="36">
        <f>IF(AND(OR(sel_Region="All",C1397=sel_Region),OR(sel_Country="All",D1397=sel_Country),OR(sel_Channel="All",E1397=sel_Channel),OR(sel_Category="All",G1397=sel_Category),OR(sel_Product="All",H1397=sel_Product),AND(S1397&gt;=m_From,S1397&lt;=m_To)),1,0)</f>
        <v/>
      </c>
      <c r="Y1397" s="36">
        <f>IF(AND(OR(sel_Region="All",C1397=sel_Region),OR(sel_Country="All",D1397=sel_Country),OR(sel_Channel="All",E1397=sel_Channel),OR(sel_Customer="All",F1397=sel_Customer),OR(sel_Product="All",H1397=sel_Product),AND(S1397&gt;=m_From,S1397&lt;=m_To)),1,0)</f>
        <v/>
      </c>
      <c r="Z1397" s="36">
        <f>IF(AND(OR(sel_Region="All",C1397=sel_Region),OR(sel_Country="All",D1397=sel_Country),OR(sel_Channel="All",E1397=sel_Channel),OR(sel_Customer="All",F1397=sel_Customer),OR(sel_Category="All",G1397=sel_Category),AND(S1397&gt;=m_From,S1397&lt;=m_To)),1,0)</f>
        <v/>
      </c>
      <c r="AA1397" s="36">
        <f>IF(AND(OR(sel_Region="All",C1397=sel_Region),OR(sel_Country="All",D1397=sel_Country),OR(sel_Channel="All",E1397=sel_Channel),OR(sel_Customer="All",F1397=sel_Customer),OR(sel_Category="All",G1397=sel_Category),OR(sel_Product="All",H1397=sel_Product)),1,0)</f>
        <v/>
      </c>
    </row>
    <row r="1398">
      <c r="A1398" s="36" t="inlineStr">
        <is>
          <t>00945</t>
        </is>
      </c>
      <c r="B1398" s="44" t="n">
        <v>46221</v>
      </c>
      <c r="C1398" s="36" t="inlineStr">
        <is>
          <t>Northern Europe</t>
        </is>
      </c>
      <c r="D1398" s="36" t="inlineStr">
        <is>
          <t>Ireland</t>
        </is>
      </c>
      <c r="E1398" s="36" t="inlineStr">
        <is>
          <t>Online Store</t>
        </is>
      </c>
      <c r="F1398" s="36" t="inlineStr">
        <is>
          <t>New</t>
        </is>
      </c>
      <c r="G1398" s="36" t="inlineStr">
        <is>
          <t>Hiking</t>
        </is>
      </c>
      <c r="H1398" s="36" t="inlineStr">
        <is>
          <t>Summit Backpack 45L</t>
        </is>
      </c>
      <c r="I1398" s="36" t="n">
        <v>1</v>
      </c>
      <c r="J1398" s="39" t="n">
        <v>154.9</v>
      </c>
      <c r="K1398" s="45" t="n">
        <v>0.05</v>
      </c>
      <c r="L1398" s="39" t="n">
        <v>77.81999999999999</v>
      </c>
      <c r="M1398" s="39">
        <f>I1398*J1398*(1-K1398)</f>
        <v/>
      </c>
      <c r="N1398" s="39">
        <f>I1398*L1398</f>
        <v/>
      </c>
      <c r="O1398" s="39">
        <f>M1398-N1398</f>
        <v/>
      </c>
      <c r="P1398" s="38">
        <f>IF(M1398=0,0,O1398/M1398)</f>
        <v/>
      </c>
      <c r="Q1398" s="36">
        <f>YEAR(B1398)</f>
        <v/>
      </c>
      <c r="R1398" s="36">
        <f>"Q"&amp;ROUNDUP(MONTH(B1398)/3,0)</f>
        <v/>
      </c>
      <c r="S1398" s="36">
        <f>MONTH(B1398)</f>
        <v/>
      </c>
      <c r="T1398" s="36">
        <f>TEXT(B1398,"mmm")</f>
        <v/>
      </c>
      <c r="U1398" s="36">
        <f>IF(AND(OR(sel_Region="All",C1398=sel_Region),OR(sel_Country="All",D1398=sel_Country),OR(sel_Channel="All",E1398=sel_Channel),OR(sel_Customer="All",F1398=sel_Customer),OR(sel_Category="All",G1398=sel_Category),OR(sel_Product="All",H1398=sel_Product),AND(S1398&gt;=m_From,S1398&lt;=m_To)),1,0)</f>
        <v/>
      </c>
      <c r="V1398" s="36">
        <f>IF(AND(OR(sel_Region="All",C1398=sel_Region),OR(sel_Channel="All",E1398=sel_Channel),OR(sel_Customer="All",F1398=sel_Customer),OR(sel_Category="All",G1398=sel_Category),OR(sel_Product="All",H1398=sel_Product),AND(S1398&gt;=m_From,S1398&lt;=m_To)),1,0)</f>
        <v/>
      </c>
      <c r="W1398" s="36">
        <f>IF(AND(OR(sel_Region="All",C1398=sel_Region),OR(sel_Country="All",D1398=sel_Country),OR(sel_Customer="All",F1398=sel_Customer),OR(sel_Category="All",G1398=sel_Category),OR(sel_Product="All",H1398=sel_Product),AND(S1398&gt;=m_From,S1398&lt;=m_To)),1,0)</f>
        <v/>
      </c>
      <c r="X1398" s="36">
        <f>IF(AND(OR(sel_Region="All",C1398=sel_Region),OR(sel_Country="All",D1398=sel_Country),OR(sel_Channel="All",E1398=sel_Channel),OR(sel_Category="All",G1398=sel_Category),OR(sel_Product="All",H1398=sel_Product),AND(S1398&gt;=m_From,S1398&lt;=m_To)),1,0)</f>
        <v/>
      </c>
      <c r="Y1398" s="36">
        <f>IF(AND(OR(sel_Region="All",C1398=sel_Region),OR(sel_Country="All",D1398=sel_Country),OR(sel_Channel="All",E1398=sel_Channel),OR(sel_Customer="All",F1398=sel_Customer),OR(sel_Product="All",H1398=sel_Product),AND(S1398&gt;=m_From,S1398&lt;=m_To)),1,0)</f>
        <v/>
      </c>
      <c r="Z1398" s="36">
        <f>IF(AND(OR(sel_Region="All",C1398=sel_Region),OR(sel_Country="All",D1398=sel_Country),OR(sel_Channel="All",E1398=sel_Channel),OR(sel_Customer="All",F1398=sel_Customer),OR(sel_Category="All",G1398=sel_Category),AND(S1398&gt;=m_From,S1398&lt;=m_To)),1,0)</f>
        <v/>
      </c>
      <c r="AA1398" s="36">
        <f>IF(AND(OR(sel_Region="All",C1398=sel_Region),OR(sel_Country="All",D1398=sel_Country),OR(sel_Channel="All",E1398=sel_Channel),OR(sel_Customer="All",F1398=sel_Customer),OR(sel_Category="All",G1398=sel_Category),OR(sel_Product="All",H1398=sel_Product)),1,0)</f>
        <v/>
      </c>
    </row>
    <row r="1399">
      <c r="A1399" s="36" t="inlineStr">
        <is>
          <t>01726</t>
        </is>
      </c>
      <c r="B1399" s="44" t="n">
        <v>46221</v>
      </c>
      <c r="C1399" s="36" t="inlineStr">
        <is>
          <t>Central Europe</t>
        </is>
      </c>
      <c r="D1399" s="36" t="inlineStr">
        <is>
          <t>Poland</t>
        </is>
      </c>
      <c r="E1399" s="36" t="inlineStr">
        <is>
          <t>Retail Partners</t>
        </is>
      </c>
      <c r="F1399" s="36" t="inlineStr">
        <is>
          <t>Business</t>
        </is>
      </c>
      <c r="G1399" s="36" t="inlineStr">
        <is>
          <t>Camping</t>
        </is>
      </c>
      <c r="H1399" s="36" t="inlineStr">
        <is>
          <t>Portable Camp Stove</t>
        </is>
      </c>
      <c r="I1399" s="36" t="n">
        <v>2</v>
      </c>
      <c r="J1399" s="39" t="n">
        <v>80.98</v>
      </c>
      <c r="K1399" s="45" t="n">
        <v>0.05</v>
      </c>
      <c r="L1399" s="39" t="n">
        <v>39.85</v>
      </c>
      <c r="M1399" s="39">
        <f>I1399*J1399*(1-K1399)</f>
        <v/>
      </c>
      <c r="N1399" s="39">
        <f>I1399*L1399</f>
        <v/>
      </c>
      <c r="O1399" s="39">
        <f>M1399-N1399</f>
        <v/>
      </c>
      <c r="P1399" s="38">
        <f>IF(M1399=0,0,O1399/M1399)</f>
        <v/>
      </c>
      <c r="Q1399" s="36">
        <f>YEAR(B1399)</f>
        <v/>
      </c>
      <c r="R1399" s="36">
        <f>"Q"&amp;ROUNDUP(MONTH(B1399)/3,0)</f>
        <v/>
      </c>
      <c r="S1399" s="36">
        <f>MONTH(B1399)</f>
        <v/>
      </c>
      <c r="T1399" s="36">
        <f>TEXT(B1399,"mmm")</f>
        <v/>
      </c>
      <c r="U1399" s="36">
        <f>IF(AND(OR(sel_Region="All",C1399=sel_Region),OR(sel_Country="All",D1399=sel_Country),OR(sel_Channel="All",E1399=sel_Channel),OR(sel_Customer="All",F1399=sel_Customer),OR(sel_Category="All",G1399=sel_Category),OR(sel_Product="All",H1399=sel_Product),AND(S1399&gt;=m_From,S1399&lt;=m_To)),1,0)</f>
        <v/>
      </c>
      <c r="V1399" s="36">
        <f>IF(AND(OR(sel_Region="All",C1399=sel_Region),OR(sel_Channel="All",E1399=sel_Channel),OR(sel_Customer="All",F1399=sel_Customer),OR(sel_Category="All",G1399=sel_Category),OR(sel_Product="All",H1399=sel_Product),AND(S1399&gt;=m_From,S1399&lt;=m_To)),1,0)</f>
        <v/>
      </c>
      <c r="W1399" s="36">
        <f>IF(AND(OR(sel_Region="All",C1399=sel_Region),OR(sel_Country="All",D1399=sel_Country),OR(sel_Customer="All",F1399=sel_Customer),OR(sel_Category="All",G1399=sel_Category),OR(sel_Product="All",H1399=sel_Product),AND(S1399&gt;=m_From,S1399&lt;=m_To)),1,0)</f>
        <v/>
      </c>
      <c r="X1399" s="36">
        <f>IF(AND(OR(sel_Region="All",C1399=sel_Region),OR(sel_Country="All",D1399=sel_Country),OR(sel_Channel="All",E1399=sel_Channel),OR(sel_Category="All",G1399=sel_Category),OR(sel_Product="All",H1399=sel_Product),AND(S1399&gt;=m_From,S1399&lt;=m_To)),1,0)</f>
        <v/>
      </c>
      <c r="Y1399" s="36">
        <f>IF(AND(OR(sel_Region="All",C1399=sel_Region),OR(sel_Country="All",D1399=sel_Country),OR(sel_Channel="All",E1399=sel_Channel),OR(sel_Customer="All",F1399=sel_Customer),OR(sel_Product="All",H1399=sel_Product),AND(S1399&gt;=m_From,S1399&lt;=m_To)),1,0)</f>
        <v/>
      </c>
      <c r="Z1399" s="36">
        <f>IF(AND(OR(sel_Region="All",C1399=sel_Region),OR(sel_Country="All",D1399=sel_Country),OR(sel_Channel="All",E1399=sel_Channel),OR(sel_Customer="All",F1399=sel_Customer),OR(sel_Category="All",G1399=sel_Category),AND(S1399&gt;=m_From,S1399&lt;=m_To)),1,0)</f>
        <v/>
      </c>
      <c r="AA1399" s="36">
        <f>IF(AND(OR(sel_Region="All",C1399=sel_Region),OR(sel_Country="All",D1399=sel_Country),OR(sel_Channel="All",E1399=sel_Channel),OR(sel_Customer="All",F1399=sel_Customer),OR(sel_Category="All",G1399=sel_Category),OR(sel_Product="All",H1399=sel_Product)),1,0)</f>
        <v/>
      </c>
    </row>
    <row r="1400">
      <c r="A1400" s="36" t="inlineStr">
        <is>
          <t>01790</t>
        </is>
      </c>
      <c r="B1400" s="44" t="n">
        <v>46221</v>
      </c>
      <c r="C1400" s="36" t="inlineStr">
        <is>
          <t>Central Europe</t>
        </is>
      </c>
      <c r="D1400" s="36" t="inlineStr">
        <is>
          <t>Germany</t>
        </is>
      </c>
      <c r="E1400" s="36" t="inlineStr">
        <is>
          <t>Online Store</t>
        </is>
      </c>
      <c r="F1400" s="36" t="inlineStr">
        <is>
          <t>New</t>
        </is>
      </c>
      <c r="G1400" s="36" t="inlineStr">
        <is>
          <t>Hiking</t>
        </is>
      </c>
      <c r="H1400" s="36" t="inlineStr">
        <is>
          <t>Hiking Daypack 20L</t>
        </is>
      </c>
      <c r="I1400" s="36" t="n">
        <v>1</v>
      </c>
      <c r="J1400" s="39" t="n">
        <v>91.36</v>
      </c>
      <c r="K1400" s="45" t="n">
        <v>0</v>
      </c>
      <c r="L1400" s="39" t="n">
        <v>44.86</v>
      </c>
      <c r="M1400" s="39">
        <f>I1400*J1400*(1-K1400)</f>
        <v/>
      </c>
      <c r="N1400" s="39">
        <f>I1400*L1400</f>
        <v/>
      </c>
      <c r="O1400" s="39">
        <f>M1400-N1400</f>
        <v/>
      </c>
      <c r="P1400" s="38">
        <f>IF(M1400=0,0,O1400/M1400)</f>
        <v/>
      </c>
      <c r="Q1400" s="36">
        <f>YEAR(B1400)</f>
        <v/>
      </c>
      <c r="R1400" s="36">
        <f>"Q"&amp;ROUNDUP(MONTH(B1400)/3,0)</f>
        <v/>
      </c>
      <c r="S1400" s="36">
        <f>MONTH(B1400)</f>
        <v/>
      </c>
      <c r="T1400" s="36">
        <f>TEXT(B1400,"mmm")</f>
        <v/>
      </c>
      <c r="U1400" s="36">
        <f>IF(AND(OR(sel_Region="All",C1400=sel_Region),OR(sel_Country="All",D1400=sel_Country),OR(sel_Channel="All",E1400=sel_Channel),OR(sel_Customer="All",F1400=sel_Customer),OR(sel_Category="All",G1400=sel_Category),OR(sel_Product="All",H1400=sel_Product),AND(S1400&gt;=m_From,S1400&lt;=m_To)),1,0)</f>
        <v/>
      </c>
      <c r="V1400" s="36">
        <f>IF(AND(OR(sel_Region="All",C1400=sel_Region),OR(sel_Channel="All",E1400=sel_Channel),OR(sel_Customer="All",F1400=sel_Customer),OR(sel_Category="All",G1400=sel_Category),OR(sel_Product="All",H1400=sel_Product),AND(S1400&gt;=m_From,S1400&lt;=m_To)),1,0)</f>
        <v/>
      </c>
      <c r="W1400" s="36">
        <f>IF(AND(OR(sel_Region="All",C1400=sel_Region),OR(sel_Country="All",D1400=sel_Country),OR(sel_Customer="All",F1400=sel_Customer),OR(sel_Category="All",G1400=sel_Category),OR(sel_Product="All",H1400=sel_Product),AND(S1400&gt;=m_From,S1400&lt;=m_To)),1,0)</f>
        <v/>
      </c>
      <c r="X1400" s="36">
        <f>IF(AND(OR(sel_Region="All",C1400=sel_Region),OR(sel_Country="All",D1400=sel_Country),OR(sel_Channel="All",E1400=sel_Channel),OR(sel_Category="All",G1400=sel_Category),OR(sel_Product="All",H1400=sel_Product),AND(S1400&gt;=m_From,S1400&lt;=m_To)),1,0)</f>
        <v/>
      </c>
      <c r="Y1400" s="36">
        <f>IF(AND(OR(sel_Region="All",C1400=sel_Region),OR(sel_Country="All",D1400=sel_Country),OR(sel_Channel="All",E1400=sel_Channel),OR(sel_Customer="All",F1400=sel_Customer),OR(sel_Product="All",H1400=sel_Product),AND(S1400&gt;=m_From,S1400&lt;=m_To)),1,0)</f>
        <v/>
      </c>
      <c r="Z1400" s="36">
        <f>IF(AND(OR(sel_Region="All",C1400=sel_Region),OR(sel_Country="All",D1400=sel_Country),OR(sel_Channel="All",E1400=sel_Channel),OR(sel_Customer="All",F1400=sel_Customer),OR(sel_Category="All",G1400=sel_Category),AND(S1400&gt;=m_From,S1400&lt;=m_To)),1,0)</f>
        <v/>
      </c>
      <c r="AA1400" s="36">
        <f>IF(AND(OR(sel_Region="All",C1400=sel_Region),OR(sel_Country="All",D1400=sel_Country),OR(sel_Channel="All",E1400=sel_Channel),OR(sel_Customer="All",F1400=sel_Customer),OR(sel_Category="All",G1400=sel_Category),OR(sel_Product="All",H1400=sel_Product)),1,0)</f>
        <v/>
      </c>
    </row>
    <row r="1401">
      <c r="A1401" s="36" t="inlineStr">
        <is>
          <t>02193</t>
        </is>
      </c>
      <c r="B1401" s="44" t="n">
        <v>46221</v>
      </c>
      <c r="C1401" s="36" t="inlineStr">
        <is>
          <t>Northern Europe</t>
        </is>
      </c>
      <c r="D1401" s="36" t="inlineStr">
        <is>
          <t>Sweden</t>
        </is>
      </c>
      <c r="E1401" s="36" t="inlineStr">
        <is>
          <t>Online Store</t>
        </is>
      </c>
      <c r="F1401" s="36" t="inlineStr">
        <is>
          <t>Returning</t>
        </is>
      </c>
      <c r="G1401" s="36" t="inlineStr">
        <is>
          <t>Cycling</t>
        </is>
      </c>
      <c r="H1401" s="36" t="inlineStr">
        <is>
          <t>Compact Repair Kit</t>
        </is>
      </c>
      <c r="I1401" s="36" t="n">
        <v>2</v>
      </c>
      <c r="J1401" s="39" t="n">
        <v>39.41</v>
      </c>
      <c r="K1401" s="45" t="n">
        <v>0</v>
      </c>
      <c r="L1401" s="39" t="n">
        <v>16.8</v>
      </c>
      <c r="M1401" s="39">
        <f>I1401*J1401*(1-K1401)</f>
        <v/>
      </c>
      <c r="N1401" s="39">
        <f>I1401*L1401</f>
        <v/>
      </c>
      <c r="O1401" s="39">
        <f>M1401-N1401</f>
        <v/>
      </c>
      <c r="P1401" s="38">
        <f>IF(M1401=0,0,O1401/M1401)</f>
        <v/>
      </c>
      <c r="Q1401" s="36">
        <f>YEAR(B1401)</f>
        <v/>
      </c>
      <c r="R1401" s="36">
        <f>"Q"&amp;ROUNDUP(MONTH(B1401)/3,0)</f>
        <v/>
      </c>
      <c r="S1401" s="36">
        <f>MONTH(B1401)</f>
        <v/>
      </c>
      <c r="T1401" s="36">
        <f>TEXT(B1401,"mmm")</f>
        <v/>
      </c>
      <c r="U1401" s="36">
        <f>IF(AND(OR(sel_Region="All",C1401=sel_Region),OR(sel_Country="All",D1401=sel_Country),OR(sel_Channel="All",E1401=sel_Channel),OR(sel_Customer="All",F1401=sel_Customer),OR(sel_Category="All",G1401=sel_Category),OR(sel_Product="All",H1401=sel_Product),AND(S1401&gt;=m_From,S1401&lt;=m_To)),1,0)</f>
        <v/>
      </c>
      <c r="V1401" s="36">
        <f>IF(AND(OR(sel_Region="All",C1401=sel_Region),OR(sel_Channel="All",E1401=sel_Channel),OR(sel_Customer="All",F1401=sel_Customer),OR(sel_Category="All",G1401=sel_Category),OR(sel_Product="All",H1401=sel_Product),AND(S1401&gt;=m_From,S1401&lt;=m_To)),1,0)</f>
        <v/>
      </c>
      <c r="W1401" s="36">
        <f>IF(AND(OR(sel_Region="All",C1401=sel_Region),OR(sel_Country="All",D1401=sel_Country),OR(sel_Customer="All",F1401=sel_Customer),OR(sel_Category="All",G1401=sel_Category),OR(sel_Product="All",H1401=sel_Product),AND(S1401&gt;=m_From,S1401&lt;=m_To)),1,0)</f>
        <v/>
      </c>
      <c r="X1401" s="36">
        <f>IF(AND(OR(sel_Region="All",C1401=sel_Region),OR(sel_Country="All",D1401=sel_Country),OR(sel_Channel="All",E1401=sel_Channel),OR(sel_Category="All",G1401=sel_Category),OR(sel_Product="All",H1401=sel_Product),AND(S1401&gt;=m_From,S1401&lt;=m_To)),1,0)</f>
        <v/>
      </c>
      <c r="Y1401" s="36">
        <f>IF(AND(OR(sel_Region="All",C1401=sel_Region),OR(sel_Country="All",D1401=sel_Country),OR(sel_Channel="All",E1401=sel_Channel),OR(sel_Customer="All",F1401=sel_Customer),OR(sel_Product="All",H1401=sel_Product),AND(S1401&gt;=m_From,S1401&lt;=m_To)),1,0)</f>
        <v/>
      </c>
      <c r="Z1401" s="36">
        <f>IF(AND(OR(sel_Region="All",C1401=sel_Region),OR(sel_Country="All",D1401=sel_Country),OR(sel_Channel="All",E1401=sel_Channel),OR(sel_Customer="All",F1401=sel_Customer),OR(sel_Category="All",G1401=sel_Category),AND(S1401&gt;=m_From,S1401&lt;=m_To)),1,0)</f>
        <v/>
      </c>
      <c r="AA1401" s="36">
        <f>IF(AND(OR(sel_Region="All",C1401=sel_Region),OR(sel_Country="All",D1401=sel_Country),OR(sel_Channel="All",E1401=sel_Channel),OR(sel_Customer="All",F1401=sel_Customer),OR(sel_Category="All",G1401=sel_Category),OR(sel_Product="All",H1401=sel_Product)),1,0)</f>
        <v/>
      </c>
    </row>
    <row r="1402">
      <c r="A1402" s="36" t="inlineStr">
        <is>
          <t>02781</t>
        </is>
      </c>
      <c r="B1402" s="44" t="n">
        <v>46221</v>
      </c>
      <c r="C1402" s="36" t="inlineStr">
        <is>
          <t>Southern Europe</t>
        </is>
      </c>
      <c r="D1402" s="36" t="inlineStr">
        <is>
          <t>Spain</t>
        </is>
      </c>
      <c r="E1402" s="36" t="inlineStr">
        <is>
          <t>Online Store</t>
        </is>
      </c>
      <c r="F1402" s="36" t="inlineStr">
        <is>
          <t>Returning</t>
        </is>
      </c>
      <c r="G1402" s="36" t="inlineStr">
        <is>
          <t>Travel</t>
        </is>
      </c>
      <c r="H1402" s="36" t="inlineStr">
        <is>
          <t>Carry-On Duffel</t>
        </is>
      </c>
      <c r="I1402" s="36" t="n">
        <v>2</v>
      </c>
      <c r="J1402" s="39" t="n">
        <v>134.99</v>
      </c>
      <c r="K1402" s="45" t="n">
        <v>0</v>
      </c>
      <c r="L1402" s="39" t="n">
        <v>68.77</v>
      </c>
      <c r="M1402" s="39">
        <f>I1402*J1402*(1-K1402)</f>
        <v/>
      </c>
      <c r="N1402" s="39">
        <f>I1402*L1402</f>
        <v/>
      </c>
      <c r="O1402" s="39">
        <f>M1402-N1402</f>
        <v/>
      </c>
      <c r="P1402" s="38">
        <f>IF(M1402=0,0,O1402/M1402)</f>
        <v/>
      </c>
      <c r="Q1402" s="36">
        <f>YEAR(B1402)</f>
        <v/>
      </c>
      <c r="R1402" s="36">
        <f>"Q"&amp;ROUNDUP(MONTH(B1402)/3,0)</f>
        <v/>
      </c>
      <c r="S1402" s="36">
        <f>MONTH(B1402)</f>
        <v/>
      </c>
      <c r="T1402" s="36">
        <f>TEXT(B1402,"mmm")</f>
        <v/>
      </c>
      <c r="U1402" s="36">
        <f>IF(AND(OR(sel_Region="All",C1402=sel_Region),OR(sel_Country="All",D1402=sel_Country),OR(sel_Channel="All",E1402=sel_Channel),OR(sel_Customer="All",F1402=sel_Customer),OR(sel_Category="All",G1402=sel_Category),OR(sel_Product="All",H1402=sel_Product),AND(S1402&gt;=m_From,S1402&lt;=m_To)),1,0)</f>
        <v/>
      </c>
      <c r="V1402" s="36">
        <f>IF(AND(OR(sel_Region="All",C1402=sel_Region),OR(sel_Channel="All",E1402=sel_Channel),OR(sel_Customer="All",F1402=sel_Customer),OR(sel_Category="All",G1402=sel_Category),OR(sel_Product="All",H1402=sel_Product),AND(S1402&gt;=m_From,S1402&lt;=m_To)),1,0)</f>
        <v/>
      </c>
      <c r="W1402" s="36">
        <f>IF(AND(OR(sel_Region="All",C1402=sel_Region),OR(sel_Country="All",D1402=sel_Country),OR(sel_Customer="All",F1402=sel_Customer),OR(sel_Category="All",G1402=sel_Category),OR(sel_Product="All",H1402=sel_Product),AND(S1402&gt;=m_From,S1402&lt;=m_To)),1,0)</f>
        <v/>
      </c>
      <c r="X1402" s="36">
        <f>IF(AND(OR(sel_Region="All",C1402=sel_Region),OR(sel_Country="All",D1402=sel_Country),OR(sel_Channel="All",E1402=sel_Channel),OR(sel_Category="All",G1402=sel_Category),OR(sel_Product="All",H1402=sel_Product),AND(S1402&gt;=m_From,S1402&lt;=m_To)),1,0)</f>
        <v/>
      </c>
      <c r="Y1402" s="36">
        <f>IF(AND(OR(sel_Region="All",C1402=sel_Region),OR(sel_Country="All",D1402=sel_Country),OR(sel_Channel="All",E1402=sel_Channel),OR(sel_Customer="All",F1402=sel_Customer),OR(sel_Product="All",H1402=sel_Product),AND(S1402&gt;=m_From,S1402&lt;=m_To)),1,0)</f>
        <v/>
      </c>
      <c r="Z1402" s="36">
        <f>IF(AND(OR(sel_Region="All",C1402=sel_Region),OR(sel_Country="All",D1402=sel_Country),OR(sel_Channel="All",E1402=sel_Channel),OR(sel_Customer="All",F1402=sel_Customer),OR(sel_Category="All",G1402=sel_Category),AND(S1402&gt;=m_From,S1402&lt;=m_To)),1,0)</f>
        <v/>
      </c>
      <c r="AA1402" s="36">
        <f>IF(AND(OR(sel_Region="All",C1402=sel_Region),OR(sel_Country="All",D1402=sel_Country),OR(sel_Channel="All",E1402=sel_Channel),OR(sel_Customer="All",F1402=sel_Customer),OR(sel_Category="All",G1402=sel_Category),OR(sel_Product="All",H1402=sel_Product)),1,0)</f>
        <v/>
      </c>
    </row>
    <row r="1403">
      <c r="A1403" s="36" t="inlineStr">
        <is>
          <t>03043</t>
        </is>
      </c>
      <c r="B1403" s="44" t="n">
        <v>46221</v>
      </c>
      <c r="C1403" s="36" t="inlineStr">
        <is>
          <t>Central Europe</t>
        </is>
      </c>
      <c r="D1403" s="36" t="inlineStr">
        <is>
          <t>Germany</t>
        </is>
      </c>
      <c r="E1403" s="36" t="inlineStr">
        <is>
          <t>Marketplace</t>
        </is>
      </c>
      <c r="F1403" s="36" t="inlineStr">
        <is>
          <t>New</t>
        </is>
      </c>
      <c r="G1403" s="36" t="inlineStr">
        <is>
          <t>Cycling</t>
        </is>
      </c>
      <c r="H1403" s="36" t="inlineStr">
        <is>
          <t>Compact Repair Kit</t>
        </is>
      </c>
      <c r="I1403" s="36" t="n">
        <v>2</v>
      </c>
      <c r="J1403" s="39" t="n">
        <v>40.93</v>
      </c>
      <c r="K1403" s="45" t="n">
        <v>0.05</v>
      </c>
      <c r="L1403" s="39" t="n">
        <v>16.89</v>
      </c>
      <c r="M1403" s="39">
        <f>I1403*J1403*(1-K1403)</f>
        <v/>
      </c>
      <c r="N1403" s="39">
        <f>I1403*L1403</f>
        <v/>
      </c>
      <c r="O1403" s="39">
        <f>M1403-N1403</f>
        <v/>
      </c>
      <c r="P1403" s="38">
        <f>IF(M1403=0,0,O1403/M1403)</f>
        <v/>
      </c>
      <c r="Q1403" s="36">
        <f>YEAR(B1403)</f>
        <v/>
      </c>
      <c r="R1403" s="36">
        <f>"Q"&amp;ROUNDUP(MONTH(B1403)/3,0)</f>
        <v/>
      </c>
      <c r="S1403" s="36">
        <f>MONTH(B1403)</f>
        <v/>
      </c>
      <c r="T1403" s="36">
        <f>TEXT(B1403,"mmm")</f>
        <v/>
      </c>
      <c r="U1403" s="36">
        <f>IF(AND(OR(sel_Region="All",C1403=sel_Region),OR(sel_Country="All",D1403=sel_Country),OR(sel_Channel="All",E1403=sel_Channel),OR(sel_Customer="All",F1403=sel_Customer),OR(sel_Category="All",G1403=sel_Category),OR(sel_Product="All",H1403=sel_Product),AND(S1403&gt;=m_From,S1403&lt;=m_To)),1,0)</f>
        <v/>
      </c>
      <c r="V1403" s="36">
        <f>IF(AND(OR(sel_Region="All",C1403=sel_Region),OR(sel_Channel="All",E1403=sel_Channel),OR(sel_Customer="All",F1403=sel_Customer),OR(sel_Category="All",G1403=sel_Category),OR(sel_Product="All",H1403=sel_Product),AND(S1403&gt;=m_From,S1403&lt;=m_To)),1,0)</f>
        <v/>
      </c>
      <c r="W1403" s="36">
        <f>IF(AND(OR(sel_Region="All",C1403=sel_Region),OR(sel_Country="All",D1403=sel_Country),OR(sel_Customer="All",F1403=sel_Customer),OR(sel_Category="All",G1403=sel_Category),OR(sel_Product="All",H1403=sel_Product),AND(S1403&gt;=m_From,S1403&lt;=m_To)),1,0)</f>
        <v/>
      </c>
      <c r="X1403" s="36">
        <f>IF(AND(OR(sel_Region="All",C1403=sel_Region),OR(sel_Country="All",D1403=sel_Country),OR(sel_Channel="All",E1403=sel_Channel),OR(sel_Category="All",G1403=sel_Category),OR(sel_Product="All",H1403=sel_Product),AND(S1403&gt;=m_From,S1403&lt;=m_To)),1,0)</f>
        <v/>
      </c>
      <c r="Y1403" s="36">
        <f>IF(AND(OR(sel_Region="All",C1403=sel_Region),OR(sel_Country="All",D1403=sel_Country),OR(sel_Channel="All",E1403=sel_Channel),OR(sel_Customer="All",F1403=sel_Customer),OR(sel_Product="All",H1403=sel_Product),AND(S1403&gt;=m_From,S1403&lt;=m_To)),1,0)</f>
        <v/>
      </c>
      <c r="Z1403" s="36">
        <f>IF(AND(OR(sel_Region="All",C1403=sel_Region),OR(sel_Country="All",D1403=sel_Country),OR(sel_Channel="All",E1403=sel_Channel),OR(sel_Customer="All",F1403=sel_Customer),OR(sel_Category="All",G1403=sel_Category),AND(S1403&gt;=m_From,S1403&lt;=m_To)),1,0)</f>
        <v/>
      </c>
      <c r="AA1403" s="36">
        <f>IF(AND(OR(sel_Region="All",C1403=sel_Region),OR(sel_Country="All",D1403=sel_Country),OR(sel_Channel="All",E1403=sel_Channel),OR(sel_Customer="All",F1403=sel_Customer),OR(sel_Category="All",G1403=sel_Category),OR(sel_Product="All",H1403=sel_Product)),1,0)</f>
        <v/>
      </c>
    </row>
    <row r="1404">
      <c r="A1404" s="36" t="inlineStr">
        <is>
          <t>03102</t>
        </is>
      </c>
      <c r="B1404" s="44" t="n">
        <v>46221</v>
      </c>
      <c r="C1404" s="36" t="inlineStr">
        <is>
          <t>Western Europe</t>
        </is>
      </c>
      <c r="D1404" s="36" t="inlineStr">
        <is>
          <t>France</t>
        </is>
      </c>
      <c r="E1404" s="36" t="inlineStr">
        <is>
          <t>Marketplace</t>
        </is>
      </c>
      <c r="F1404" s="36" t="inlineStr">
        <is>
          <t>Returning</t>
        </is>
      </c>
      <c r="G1404" s="36" t="inlineStr">
        <is>
          <t>Hiking</t>
        </is>
      </c>
      <c r="H1404" s="36" t="inlineStr">
        <is>
          <t>Hiking Daypack 20L</t>
        </is>
      </c>
      <c r="I1404" s="36" t="n">
        <v>1</v>
      </c>
      <c r="J1404" s="39" t="n">
        <v>90.02</v>
      </c>
      <c r="K1404" s="45" t="n">
        <v>0.05</v>
      </c>
      <c r="L1404" s="39" t="n">
        <v>45.83</v>
      </c>
      <c r="M1404" s="39">
        <f>I1404*J1404*(1-K1404)</f>
        <v/>
      </c>
      <c r="N1404" s="39">
        <f>I1404*L1404</f>
        <v/>
      </c>
      <c r="O1404" s="39">
        <f>M1404-N1404</f>
        <v/>
      </c>
      <c r="P1404" s="38">
        <f>IF(M1404=0,0,O1404/M1404)</f>
        <v/>
      </c>
      <c r="Q1404" s="36">
        <f>YEAR(B1404)</f>
        <v/>
      </c>
      <c r="R1404" s="36">
        <f>"Q"&amp;ROUNDUP(MONTH(B1404)/3,0)</f>
        <v/>
      </c>
      <c r="S1404" s="36">
        <f>MONTH(B1404)</f>
        <v/>
      </c>
      <c r="T1404" s="36">
        <f>TEXT(B1404,"mmm")</f>
        <v/>
      </c>
      <c r="U1404" s="36">
        <f>IF(AND(OR(sel_Region="All",C1404=sel_Region),OR(sel_Country="All",D1404=sel_Country),OR(sel_Channel="All",E1404=sel_Channel),OR(sel_Customer="All",F1404=sel_Customer),OR(sel_Category="All",G1404=sel_Category),OR(sel_Product="All",H1404=sel_Product),AND(S1404&gt;=m_From,S1404&lt;=m_To)),1,0)</f>
        <v/>
      </c>
      <c r="V1404" s="36">
        <f>IF(AND(OR(sel_Region="All",C1404=sel_Region),OR(sel_Channel="All",E1404=sel_Channel),OR(sel_Customer="All",F1404=sel_Customer),OR(sel_Category="All",G1404=sel_Category),OR(sel_Product="All",H1404=sel_Product),AND(S1404&gt;=m_From,S1404&lt;=m_To)),1,0)</f>
        <v/>
      </c>
      <c r="W1404" s="36">
        <f>IF(AND(OR(sel_Region="All",C1404=sel_Region),OR(sel_Country="All",D1404=sel_Country),OR(sel_Customer="All",F1404=sel_Customer),OR(sel_Category="All",G1404=sel_Category),OR(sel_Product="All",H1404=sel_Product),AND(S1404&gt;=m_From,S1404&lt;=m_To)),1,0)</f>
        <v/>
      </c>
      <c r="X1404" s="36">
        <f>IF(AND(OR(sel_Region="All",C1404=sel_Region),OR(sel_Country="All",D1404=sel_Country),OR(sel_Channel="All",E1404=sel_Channel),OR(sel_Category="All",G1404=sel_Category),OR(sel_Product="All",H1404=sel_Product),AND(S1404&gt;=m_From,S1404&lt;=m_To)),1,0)</f>
        <v/>
      </c>
      <c r="Y1404" s="36">
        <f>IF(AND(OR(sel_Region="All",C1404=sel_Region),OR(sel_Country="All",D1404=sel_Country),OR(sel_Channel="All",E1404=sel_Channel),OR(sel_Customer="All",F1404=sel_Customer),OR(sel_Product="All",H1404=sel_Product),AND(S1404&gt;=m_From,S1404&lt;=m_To)),1,0)</f>
        <v/>
      </c>
      <c r="Z1404" s="36">
        <f>IF(AND(OR(sel_Region="All",C1404=sel_Region),OR(sel_Country="All",D1404=sel_Country),OR(sel_Channel="All",E1404=sel_Channel),OR(sel_Customer="All",F1404=sel_Customer),OR(sel_Category="All",G1404=sel_Category),AND(S1404&gt;=m_From,S1404&lt;=m_To)),1,0)</f>
        <v/>
      </c>
      <c r="AA1404" s="36">
        <f>IF(AND(OR(sel_Region="All",C1404=sel_Region),OR(sel_Country="All",D1404=sel_Country),OR(sel_Channel="All",E1404=sel_Channel),OR(sel_Customer="All",F1404=sel_Customer),OR(sel_Category="All",G1404=sel_Category),OR(sel_Product="All",H1404=sel_Product)),1,0)</f>
        <v/>
      </c>
    </row>
    <row r="1405">
      <c r="A1405" s="36" t="inlineStr">
        <is>
          <t>03156</t>
        </is>
      </c>
      <c r="B1405" s="44" t="n">
        <v>46221</v>
      </c>
      <c r="C1405" s="36" t="inlineStr">
        <is>
          <t>Southern Europe</t>
        </is>
      </c>
      <c r="D1405" s="36" t="inlineStr">
        <is>
          <t>Spain</t>
        </is>
      </c>
      <c r="E1405" s="36" t="inlineStr">
        <is>
          <t>Retail Partners</t>
        </is>
      </c>
      <c r="F1405" s="36" t="inlineStr">
        <is>
          <t>Returning</t>
        </is>
      </c>
      <c r="G1405" s="36" t="inlineStr">
        <is>
          <t>Fitness</t>
        </is>
      </c>
      <c r="H1405" s="36" t="inlineStr">
        <is>
          <t>Training Mat</t>
        </is>
      </c>
      <c r="I1405" s="36" t="n">
        <v>2</v>
      </c>
      <c r="J1405" s="39" t="n">
        <v>50.73</v>
      </c>
      <c r="K1405" s="45" t="n">
        <v>0</v>
      </c>
      <c r="L1405" s="39" t="n">
        <v>21.87</v>
      </c>
      <c r="M1405" s="39">
        <f>I1405*J1405*(1-K1405)</f>
        <v/>
      </c>
      <c r="N1405" s="39">
        <f>I1405*L1405</f>
        <v/>
      </c>
      <c r="O1405" s="39">
        <f>M1405-N1405</f>
        <v/>
      </c>
      <c r="P1405" s="38">
        <f>IF(M1405=0,0,O1405/M1405)</f>
        <v/>
      </c>
      <c r="Q1405" s="36">
        <f>YEAR(B1405)</f>
        <v/>
      </c>
      <c r="R1405" s="36">
        <f>"Q"&amp;ROUNDUP(MONTH(B1405)/3,0)</f>
        <v/>
      </c>
      <c r="S1405" s="36">
        <f>MONTH(B1405)</f>
        <v/>
      </c>
      <c r="T1405" s="36">
        <f>TEXT(B1405,"mmm")</f>
        <v/>
      </c>
      <c r="U1405" s="36">
        <f>IF(AND(OR(sel_Region="All",C1405=sel_Region),OR(sel_Country="All",D1405=sel_Country),OR(sel_Channel="All",E1405=sel_Channel),OR(sel_Customer="All",F1405=sel_Customer),OR(sel_Category="All",G1405=sel_Category),OR(sel_Product="All",H1405=sel_Product),AND(S1405&gt;=m_From,S1405&lt;=m_To)),1,0)</f>
        <v/>
      </c>
      <c r="V1405" s="36">
        <f>IF(AND(OR(sel_Region="All",C1405=sel_Region),OR(sel_Channel="All",E1405=sel_Channel),OR(sel_Customer="All",F1405=sel_Customer),OR(sel_Category="All",G1405=sel_Category),OR(sel_Product="All",H1405=sel_Product),AND(S1405&gt;=m_From,S1405&lt;=m_To)),1,0)</f>
        <v/>
      </c>
      <c r="W1405" s="36">
        <f>IF(AND(OR(sel_Region="All",C1405=sel_Region),OR(sel_Country="All",D1405=sel_Country),OR(sel_Customer="All",F1405=sel_Customer),OR(sel_Category="All",G1405=sel_Category),OR(sel_Product="All",H1405=sel_Product),AND(S1405&gt;=m_From,S1405&lt;=m_To)),1,0)</f>
        <v/>
      </c>
      <c r="X1405" s="36">
        <f>IF(AND(OR(sel_Region="All",C1405=sel_Region),OR(sel_Country="All",D1405=sel_Country),OR(sel_Channel="All",E1405=sel_Channel),OR(sel_Category="All",G1405=sel_Category),OR(sel_Product="All",H1405=sel_Product),AND(S1405&gt;=m_From,S1405&lt;=m_To)),1,0)</f>
        <v/>
      </c>
      <c r="Y1405" s="36">
        <f>IF(AND(OR(sel_Region="All",C1405=sel_Region),OR(sel_Country="All",D1405=sel_Country),OR(sel_Channel="All",E1405=sel_Channel),OR(sel_Customer="All",F1405=sel_Customer),OR(sel_Product="All",H1405=sel_Product),AND(S1405&gt;=m_From,S1405&lt;=m_To)),1,0)</f>
        <v/>
      </c>
      <c r="Z1405" s="36">
        <f>IF(AND(OR(sel_Region="All",C1405=sel_Region),OR(sel_Country="All",D1405=sel_Country),OR(sel_Channel="All",E1405=sel_Channel),OR(sel_Customer="All",F1405=sel_Customer),OR(sel_Category="All",G1405=sel_Category),AND(S1405&gt;=m_From,S1405&lt;=m_To)),1,0)</f>
        <v/>
      </c>
      <c r="AA1405" s="36">
        <f>IF(AND(OR(sel_Region="All",C1405=sel_Region),OR(sel_Country="All",D1405=sel_Country),OR(sel_Channel="All",E1405=sel_Channel),OR(sel_Customer="All",F1405=sel_Customer),OR(sel_Category="All",G1405=sel_Category),OR(sel_Product="All",H1405=sel_Product)),1,0)</f>
        <v/>
      </c>
    </row>
    <row r="1406">
      <c r="A1406" s="36" t="inlineStr">
        <is>
          <t>03308</t>
        </is>
      </c>
      <c r="B1406" s="44" t="n">
        <v>46221</v>
      </c>
      <c r="C1406" s="36" t="inlineStr">
        <is>
          <t>Western Europe</t>
        </is>
      </c>
      <c r="D1406" s="36" t="inlineStr">
        <is>
          <t>France</t>
        </is>
      </c>
      <c r="E1406" s="36" t="inlineStr">
        <is>
          <t>Retail Partners</t>
        </is>
      </c>
      <c r="F1406" s="36" t="inlineStr">
        <is>
          <t>New</t>
        </is>
      </c>
      <c r="G1406" s="36" t="inlineStr">
        <is>
          <t>Fitness</t>
        </is>
      </c>
      <c r="H1406" s="36" t="inlineStr">
        <is>
          <t>Weighted Vest</t>
        </is>
      </c>
      <c r="I1406" s="36" t="n">
        <v>3</v>
      </c>
      <c r="J1406" s="39" t="n">
        <v>121.05</v>
      </c>
      <c r="K1406" s="45" t="n">
        <v>0.05</v>
      </c>
      <c r="L1406" s="39" t="n">
        <v>68.56</v>
      </c>
      <c r="M1406" s="39">
        <f>I1406*J1406*(1-K1406)</f>
        <v/>
      </c>
      <c r="N1406" s="39">
        <f>I1406*L1406</f>
        <v/>
      </c>
      <c r="O1406" s="39">
        <f>M1406-N1406</f>
        <v/>
      </c>
      <c r="P1406" s="38">
        <f>IF(M1406=0,0,O1406/M1406)</f>
        <v/>
      </c>
      <c r="Q1406" s="36">
        <f>YEAR(B1406)</f>
        <v/>
      </c>
      <c r="R1406" s="36">
        <f>"Q"&amp;ROUNDUP(MONTH(B1406)/3,0)</f>
        <v/>
      </c>
      <c r="S1406" s="36">
        <f>MONTH(B1406)</f>
        <v/>
      </c>
      <c r="T1406" s="36">
        <f>TEXT(B1406,"mmm")</f>
        <v/>
      </c>
      <c r="U1406" s="36">
        <f>IF(AND(OR(sel_Region="All",C1406=sel_Region),OR(sel_Country="All",D1406=sel_Country),OR(sel_Channel="All",E1406=sel_Channel),OR(sel_Customer="All",F1406=sel_Customer),OR(sel_Category="All",G1406=sel_Category),OR(sel_Product="All",H1406=sel_Product),AND(S1406&gt;=m_From,S1406&lt;=m_To)),1,0)</f>
        <v/>
      </c>
      <c r="V1406" s="36">
        <f>IF(AND(OR(sel_Region="All",C1406=sel_Region),OR(sel_Channel="All",E1406=sel_Channel),OR(sel_Customer="All",F1406=sel_Customer),OR(sel_Category="All",G1406=sel_Category),OR(sel_Product="All",H1406=sel_Product),AND(S1406&gt;=m_From,S1406&lt;=m_To)),1,0)</f>
        <v/>
      </c>
      <c r="W1406" s="36">
        <f>IF(AND(OR(sel_Region="All",C1406=sel_Region),OR(sel_Country="All",D1406=sel_Country),OR(sel_Customer="All",F1406=sel_Customer),OR(sel_Category="All",G1406=sel_Category),OR(sel_Product="All",H1406=sel_Product),AND(S1406&gt;=m_From,S1406&lt;=m_To)),1,0)</f>
        <v/>
      </c>
      <c r="X1406" s="36">
        <f>IF(AND(OR(sel_Region="All",C1406=sel_Region),OR(sel_Country="All",D1406=sel_Country),OR(sel_Channel="All",E1406=sel_Channel),OR(sel_Category="All",G1406=sel_Category),OR(sel_Product="All",H1406=sel_Product),AND(S1406&gt;=m_From,S1406&lt;=m_To)),1,0)</f>
        <v/>
      </c>
      <c r="Y1406" s="36">
        <f>IF(AND(OR(sel_Region="All",C1406=sel_Region),OR(sel_Country="All",D1406=sel_Country),OR(sel_Channel="All",E1406=sel_Channel),OR(sel_Customer="All",F1406=sel_Customer),OR(sel_Product="All",H1406=sel_Product),AND(S1406&gt;=m_From,S1406&lt;=m_To)),1,0)</f>
        <v/>
      </c>
      <c r="Z1406" s="36">
        <f>IF(AND(OR(sel_Region="All",C1406=sel_Region),OR(sel_Country="All",D1406=sel_Country),OR(sel_Channel="All",E1406=sel_Channel),OR(sel_Customer="All",F1406=sel_Customer),OR(sel_Category="All",G1406=sel_Category),AND(S1406&gt;=m_From,S1406&lt;=m_To)),1,0)</f>
        <v/>
      </c>
      <c r="AA1406" s="36">
        <f>IF(AND(OR(sel_Region="All",C1406=sel_Region),OR(sel_Country="All",D1406=sel_Country),OR(sel_Channel="All",E1406=sel_Channel),OR(sel_Customer="All",F1406=sel_Customer),OR(sel_Category="All",G1406=sel_Category),OR(sel_Product="All",H1406=sel_Product)),1,0)</f>
        <v/>
      </c>
    </row>
    <row r="1407">
      <c r="A1407" s="36" t="inlineStr">
        <is>
          <t>03329</t>
        </is>
      </c>
      <c r="B1407" s="44" t="n">
        <v>46221</v>
      </c>
      <c r="C1407" s="36" t="inlineStr">
        <is>
          <t>Central Europe</t>
        </is>
      </c>
      <c r="D1407" s="36" t="inlineStr">
        <is>
          <t>Switzerland</t>
        </is>
      </c>
      <c r="E1407" s="36" t="inlineStr">
        <is>
          <t>Online Store</t>
        </is>
      </c>
      <c r="F1407" s="36" t="inlineStr">
        <is>
          <t>New</t>
        </is>
      </c>
      <c r="G1407" s="36" t="inlineStr">
        <is>
          <t>Cycling</t>
        </is>
      </c>
      <c r="H1407" s="36" t="inlineStr">
        <is>
          <t>Commuter Helmet</t>
        </is>
      </c>
      <c r="I1407" s="36" t="n">
        <v>2</v>
      </c>
      <c r="J1407" s="39" t="n">
        <v>81.73999999999999</v>
      </c>
      <c r="K1407" s="45" t="n">
        <v>0</v>
      </c>
      <c r="L1407" s="39" t="n">
        <v>42.75</v>
      </c>
      <c r="M1407" s="39">
        <f>I1407*J1407*(1-K1407)</f>
        <v/>
      </c>
      <c r="N1407" s="39">
        <f>I1407*L1407</f>
        <v/>
      </c>
      <c r="O1407" s="39">
        <f>M1407-N1407</f>
        <v/>
      </c>
      <c r="P1407" s="38">
        <f>IF(M1407=0,0,O1407/M1407)</f>
        <v/>
      </c>
      <c r="Q1407" s="36">
        <f>YEAR(B1407)</f>
        <v/>
      </c>
      <c r="R1407" s="36">
        <f>"Q"&amp;ROUNDUP(MONTH(B1407)/3,0)</f>
        <v/>
      </c>
      <c r="S1407" s="36">
        <f>MONTH(B1407)</f>
        <v/>
      </c>
      <c r="T1407" s="36">
        <f>TEXT(B1407,"mmm")</f>
        <v/>
      </c>
      <c r="U1407" s="36">
        <f>IF(AND(OR(sel_Region="All",C1407=sel_Region),OR(sel_Country="All",D1407=sel_Country),OR(sel_Channel="All",E1407=sel_Channel),OR(sel_Customer="All",F1407=sel_Customer),OR(sel_Category="All",G1407=sel_Category),OR(sel_Product="All",H1407=sel_Product),AND(S1407&gt;=m_From,S1407&lt;=m_To)),1,0)</f>
        <v/>
      </c>
      <c r="V1407" s="36">
        <f>IF(AND(OR(sel_Region="All",C1407=sel_Region),OR(sel_Channel="All",E1407=sel_Channel),OR(sel_Customer="All",F1407=sel_Customer),OR(sel_Category="All",G1407=sel_Category),OR(sel_Product="All",H1407=sel_Product),AND(S1407&gt;=m_From,S1407&lt;=m_To)),1,0)</f>
        <v/>
      </c>
      <c r="W1407" s="36">
        <f>IF(AND(OR(sel_Region="All",C1407=sel_Region),OR(sel_Country="All",D1407=sel_Country),OR(sel_Customer="All",F1407=sel_Customer),OR(sel_Category="All",G1407=sel_Category),OR(sel_Product="All",H1407=sel_Product),AND(S1407&gt;=m_From,S1407&lt;=m_To)),1,0)</f>
        <v/>
      </c>
      <c r="X1407" s="36">
        <f>IF(AND(OR(sel_Region="All",C1407=sel_Region),OR(sel_Country="All",D1407=sel_Country),OR(sel_Channel="All",E1407=sel_Channel),OR(sel_Category="All",G1407=sel_Category),OR(sel_Product="All",H1407=sel_Product),AND(S1407&gt;=m_From,S1407&lt;=m_To)),1,0)</f>
        <v/>
      </c>
      <c r="Y1407" s="36">
        <f>IF(AND(OR(sel_Region="All",C1407=sel_Region),OR(sel_Country="All",D1407=sel_Country),OR(sel_Channel="All",E1407=sel_Channel),OR(sel_Customer="All",F1407=sel_Customer),OR(sel_Product="All",H1407=sel_Product),AND(S1407&gt;=m_From,S1407&lt;=m_To)),1,0)</f>
        <v/>
      </c>
      <c r="Z1407" s="36">
        <f>IF(AND(OR(sel_Region="All",C1407=sel_Region),OR(sel_Country="All",D1407=sel_Country),OR(sel_Channel="All",E1407=sel_Channel),OR(sel_Customer="All",F1407=sel_Customer),OR(sel_Category="All",G1407=sel_Category),AND(S1407&gt;=m_From,S1407&lt;=m_To)),1,0)</f>
        <v/>
      </c>
      <c r="AA1407" s="36">
        <f>IF(AND(OR(sel_Region="All",C1407=sel_Region),OR(sel_Country="All",D1407=sel_Country),OR(sel_Channel="All",E1407=sel_Channel),OR(sel_Customer="All",F1407=sel_Customer),OR(sel_Category="All",G1407=sel_Category),OR(sel_Product="All",H1407=sel_Product)),1,0)</f>
        <v/>
      </c>
    </row>
    <row r="1408">
      <c r="A1408" s="36" t="inlineStr">
        <is>
          <t>04102</t>
        </is>
      </c>
      <c r="B1408" s="44" t="n">
        <v>46221</v>
      </c>
      <c r="C1408" s="36" t="inlineStr">
        <is>
          <t>Central Europe</t>
        </is>
      </c>
      <c r="D1408" s="36" t="inlineStr">
        <is>
          <t>Germany</t>
        </is>
      </c>
      <c r="E1408" s="36" t="inlineStr">
        <is>
          <t>Online Store</t>
        </is>
      </c>
      <c r="F1408" s="36" t="inlineStr">
        <is>
          <t>Returning</t>
        </is>
      </c>
      <c r="G1408" s="36" t="inlineStr">
        <is>
          <t>Hiking</t>
        </is>
      </c>
      <c r="H1408" s="36" t="inlineStr">
        <is>
          <t>Summit Backpack 45L</t>
        </is>
      </c>
      <c r="I1408" s="36" t="n">
        <v>3</v>
      </c>
      <c r="J1408" s="39" t="n">
        <v>154.01</v>
      </c>
      <c r="K1408" s="45" t="n">
        <v>0.1</v>
      </c>
      <c r="L1408" s="39" t="n">
        <v>78.78</v>
      </c>
      <c r="M1408" s="39">
        <f>I1408*J1408*(1-K1408)</f>
        <v/>
      </c>
      <c r="N1408" s="39">
        <f>I1408*L1408</f>
        <v/>
      </c>
      <c r="O1408" s="39">
        <f>M1408-N1408</f>
        <v/>
      </c>
      <c r="P1408" s="38">
        <f>IF(M1408=0,0,O1408/M1408)</f>
        <v/>
      </c>
      <c r="Q1408" s="36">
        <f>YEAR(B1408)</f>
        <v/>
      </c>
      <c r="R1408" s="36">
        <f>"Q"&amp;ROUNDUP(MONTH(B1408)/3,0)</f>
        <v/>
      </c>
      <c r="S1408" s="36">
        <f>MONTH(B1408)</f>
        <v/>
      </c>
      <c r="T1408" s="36">
        <f>TEXT(B1408,"mmm")</f>
        <v/>
      </c>
      <c r="U1408" s="36">
        <f>IF(AND(OR(sel_Region="All",C1408=sel_Region),OR(sel_Country="All",D1408=sel_Country),OR(sel_Channel="All",E1408=sel_Channel),OR(sel_Customer="All",F1408=sel_Customer),OR(sel_Category="All",G1408=sel_Category),OR(sel_Product="All",H1408=sel_Product),AND(S1408&gt;=m_From,S1408&lt;=m_To)),1,0)</f>
        <v/>
      </c>
      <c r="V1408" s="36">
        <f>IF(AND(OR(sel_Region="All",C1408=sel_Region),OR(sel_Channel="All",E1408=sel_Channel),OR(sel_Customer="All",F1408=sel_Customer),OR(sel_Category="All",G1408=sel_Category),OR(sel_Product="All",H1408=sel_Product),AND(S1408&gt;=m_From,S1408&lt;=m_To)),1,0)</f>
        <v/>
      </c>
      <c r="W1408" s="36">
        <f>IF(AND(OR(sel_Region="All",C1408=sel_Region),OR(sel_Country="All",D1408=sel_Country),OR(sel_Customer="All",F1408=sel_Customer),OR(sel_Category="All",G1408=sel_Category),OR(sel_Product="All",H1408=sel_Product),AND(S1408&gt;=m_From,S1408&lt;=m_To)),1,0)</f>
        <v/>
      </c>
      <c r="X1408" s="36">
        <f>IF(AND(OR(sel_Region="All",C1408=sel_Region),OR(sel_Country="All",D1408=sel_Country),OR(sel_Channel="All",E1408=sel_Channel),OR(sel_Category="All",G1408=sel_Category),OR(sel_Product="All",H1408=sel_Product),AND(S1408&gt;=m_From,S1408&lt;=m_To)),1,0)</f>
        <v/>
      </c>
      <c r="Y1408" s="36">
        <f>IF(AND(OR(sel_Region="All",C1408=sel_Region),OR(sel_Country="All",D1408=sel_Country),OR(sel_Channel="All",E1408=sel_Channel),OR(sel_Customer="All",F1408=sel_Customer),OR(sel_Product="All",H1408=sel_Product),AND(S1408&gt;=m_From,S1408&lt;=m_To)),1,0)</f>
        <v/>
      </c>
      <c r="Z1408" s="36">
        <f>IF(AND(OR(sel_Region="All",C1408=sel_Region),OR(sel_Country="All",D1408=sel_Country),OR(sel_Channel="All",E1408=sel_Channel),OR(sel_Customer="All",F1408=sel_Customer),OR(sel_Category="All",G1408=sel_Category),AND(S1408&gt;=m_From,S1408&lt;=m_To)),1,0)</f>
        <v/>
      </c>
      <c r="AA1408" s="36">
        <f>IF(AND(OR(sel_Region="All",C1408=sel_Region),OR(sel_Country="All",D1408=sel_Country),OR(sel_Channel="All",E1408=sel_Channel),OR(sel_Customer="All",F1408=sel_Customer),OR(sel_Category="All",G1408=sel_Category),OR(sel_Product="All",H1408=sel_Product)),1,0)</f>
        <v/>
      </c>
    </row>
    <row r="1409">
      <c r="A1409" s="36" t="inlineStr">
        <is>
          <t>04109</t>
        </is>
      </c>
      <c r="B1409" s="44" t="n">
        <v>46221</v>
      </c>
      <c r="C1409" s="36" t="inlineStr">
        <is>
          <t>Central Europe</t>
        </is>
      </c>
      <c r="D1409" s="36" t="inlineStr">
        <is>
          <t>Germany</t>
        </is>
      </c>
      <c r="E1409" s="36" t="inlineStr">
        <is>
          <t>Marketplace</t>
        </is>
      </c>
      <c r="F1409" s="36" t="inlineStr">
        <is>
          <t>New</t>
        </is>
      </c>
      <c r="G1409" s="36" t="inlineStr">
        <is>
          <t>Cycling</t>
        </is>
      </c>
      <c r="H1409" s="36" t="inlineStr">
        <is>
          <t>Cycling Pack 12L</t>
        </is>
      </c>
      <c r="I1409" s="36" t="n">
        <v>4</v>
      </c>
      <c r="J1409" s="39" t="n">
        <v>101.61</v>
      </c>
      <c r="K1409" s="45" t="n">
        <v>0</v>
      </c>
      <c r="L1409" s="39" t="n">
        <v>51.68</v>
      </c>
      <c r="M1409" s="39">
        <f>I1409*J1409*(1-K1409)</f>
        <v/>
      </c>
      <c r="N1409" s="39">
        <f>I1409*L1409</f>
        <v/>
      </c>
      <c r="O1409" s="39">
        <f>M1409-N1409</f>
        <v/>
      </c>
      <c r="P1409" s="38">
        <f>IF(M1409=0,0,O1409/M1409)</f>
        <v/>
      </c>
      <c r="Q1409" s="36">
        <f>YEAR(B1409)</f>
        <v/>
      </c>
      <c r="R1409" s="36">
        <f>"Q"&amp;ROUNDUP(MONTH(B1409)/3,0)</f>
        <v/>
      </c>
      <c r="S1409" s="36">
        <f>MONTH(B1409)</f>
        <v/>
      </c>
      <c r="T1409" s="36">
        <f>TEXT(B1409,"mmm")</f>
        <v/>
      </c>
      <c r="U1409" s="36">
        <f>IF(AND(OR(sel_Region="All",C1409=sel_Region),OR(sel_Country="All",D1409=sel_Country),OR(sel_Channel="All",E1409=sel_Channel),OR(sel_Customer="All",F1409=sel_Customer),OR(sel_Category="All",G1409=sel_Category),OR(sel_Product="All",H1409=sel_Product),AND(S1409&gt;=m_From,S1409&lt;=m_To)),1,0)</f>
        <v/>
      </c>
      <c r="V1409" s="36">
        <f>IF(AND(OR(sel_Region="All",C1409=sel_Region),OR(sel_Channel="All",E1409=sel_Channel),OR(sel_Customer="All",F1409=sel_Customer),OR(sel_Category="All",G1409=sel_Category),OR(sel_Product="All",H1409=sel_Product),AND(S1409&gt;=m_From,S1409&lt;=m_To)),1,0)</f>
        <v/>
      </c>
      <c r="W1409" s="36">
        <f>IF(AND(OR(sel_Region="All",C1409=sel_Region),OR(sel_Country="All",D1409=sel_Country),OR(sel_Customer="All",F1409=sel_Customer),OR(sel_Category="All",G1409=sel_Category),OR(sel_Product="All",H1409=sel_Product),AND(S1409&gt;=m_From,S1409&lt;=m_To)),1,0)</f>
        <v/>
      </c>
      <c r="X1409" s="36">
        <f>IF(AND(OR(sel_Region="All",C1409=sel_Region),OR(sel_Country="All",D1409=sel_Country),OR(sel_Channel="All",E1409=sel_Channel),OR(sel_Category="All",G1409=sel_Category),OR(sel_Product="All",H1409=sel_Product),AND(S1409&gt;=m_From,S1409&lt;=m_To)),1,0)</f>
        <v/>
      </c>
      <c r="Y1409" s="36">
        <f>IF(AND(OR(sel_Region="All",C1409=sel_Region),OR(sel_Country="All",D1409=sel_Country),OR(sel_Channel="All",E1409=sel_Channel),OR(sel_Customer="All",F1409=sel_Customer),OR(sel_Product="All",H1409=sel_Product),AND(S1409&gt;=m_From,S1409&lt;=m_To)),1,0)</f>
        <v/>
      </c>
      <c r="Z1409" s="36">
        <f>IF(AND(OR(sel_Region="All",C1409=sel_Region),OR(sel_Country="All",D1409=sel_Country),OR(sel_Channel="All",E1409=sel_Channel),OR(sel_Customer="All",F1409=sel_Customer),OR(sel_Category="All",G1409=sel_Category),AND(S1409&gt;=m_From,S1409&lt;=m_To)),1,0)</f>
        <v/>
      </c>
      <c r="AA1409" s="36">
        <f>IF(AND(OR(sel_Region="All",C1409=sel_Region),OR(sel_Country="All",D1409=sel_Country),OR(sel_Channel="All",E1409=sel_Channel),OR(sel_Customer="All",F1409=sel_Customer),OR(sel_Category="All",G1409=sel_Category),OR(sel_Product="All",H1409=sel_Product)),1,0)</f>
        <v/>
      </c>
    </row>
    <row r="1410">
      <c r="A1410" s="36" t="inlineStr">
        <is>
          <t>04813</t>
        </is>
      </c>
      <c r="B1410" s="44" t="n">
        <v>46221</v>
      </c>
      <c r="C1410" s="36" t="inlineStr">
        <is>
          <t>Northern Europe</t>
        </is>
      </c>
      <c r="D1410" s="36" t="inlineStr">
        <is>
          <t>Finland</t>
        </is>
      </c>
      <c r="E1410" s="36" t="inlineStr">
        <is>
          <t>Retail Partners</t>
        </is>
      </c>
      <c r="F1410" s="36" t="inlineStr">
        <is>
          <t>Returning</t>
        </is>
      </c>
      <c r="G1410" s="36" t="inlineStr">
        <is>
          <t>Fitness</t>
        </is>
      </c>
      <c r="H1410" s="36" t="inlineStr">
        <is>
          <t>Recovery Roller</t>
        </is>
      </c>
      <c r="I1410" s="36" t="n">
        <v>2</v>
      </c>
      <c r="J1410" s="39" t="n">
        <v>36.87</v>
      </c>
      <c r="K1410" s="45" t="n">
        <v>0.15</v>
      </c>
      <c r="L1410" s="39" t="n">
        <v>13.94</v>
      </c>
      <c r="M1410" s="39">
        <f>I1410*J1410*(1-K1410)</f>
        <v/>
      </c>
      <c r="N1410" s="39">
        <f>I1410*L1410</f>
        <v/>
      </c>
      <c r="O1410" s="39">
        <f>M1410-N1410</f>
        <v/>
      </c>
      <c r="P1410" s="38">
        <f>IF(M1410=0,0,O1410/M1410)</f>
        <v/>
      </c>
      <c r="Q1410" s="36">
        <f>YEAR(B1410)</f>
        <v/>
      </c>
      <c r="R1410" s="36">
        <f>"Q"&amp;ROUNDUP(MONTH(B1410)/3,0)</f>
        <v/>
      </c>
      <c r="S1410" s="36">
        <f>MONTH(B1410)</f>
        <v/>
      </c>
      <c r="T1410" s="36">
        <f>TEXT(B1410,"mmm")</f>
        <v/>
      </c>
      <c r="U1410" s="36">
        <f>IF(AND(OR(sel_Region="All",C1410=sel_Region),OR(sel_Country="All",D1410=sel_Country),OR(sel_Channel="All",E1410=sel_Channel),OR(sel_Customer="All",F1410=sel_Customer),OR(sel_Category="All",G1410=sel_Category),OR(sel_Product="All",H1410=sel_Product),AND(S1410&gt;=m_From,S1410&lt;=m_To)),1,0)</f>
        <v/>
      </c>
      <c r="V1410" s="36">
        <f>IF(AND(OR(sel_Region="All",C1410=sel_Region),OR(sel_Channel="All",E1410=sel_Channel),OR(sel_Customer="All",F1410=sel_Customer),OR(sel_Category="All",G1410=sel_Category),OR(sel_Product="All",H1410=sel_Product),AND(S1410&gt;=m_From,S1410&lt;=m_To)),1,0)</f>
        <v/>
      </c>
      <c r="W1410" s="36">
        <f>IF(AND(OR(sel_Region="All",C1410=sel_Region),OR(sel_Country="All",D1410=sel_Country),OR(sel_Customer="All",F1410=sel_Customer),OR(sel_Category="All",G1410=sel_Category),OR(sel_Product="All",H1410=sel_Product),AND(S1410&gt;=m_From,S1410&lt;=m_To)),1,0)</f>
        <v/>
      </c>
      <c r="X1410" s="36">
        <f>IF(AND(OR(sel_Region="All",C1410=sel_Region),OR(sel_Country="All",D1410=sel_Country),OR(sel_Channel="All",E1410=sel_Channel),OR(sel_Category="All",G1410=sel_Category),OR(sel_Product="All",H1410=sel_Product),AND(S1410&gt;=m_From,S1410&lt;=m_To)),1,0)</f>
        <v/>
      </c>
      <c r="Y1410" s="36">
        <f>IF(AND(OR(sel_Region="All",C1410=sel_Region),OR(sel_Country="All",D1410=sel_Country),OR(sel_Channel="All",E1410=sel_Channel),OR(sel_Customer="All",F1410=sel_Customer),OR(sel_Product="All",H1410=sel_Product),AND(S1410&gt;=m_From,S1410&lt;=m_To)),1,0)</f>
        <v/>
      </c>
      <c r="Z1410" s="36">
        <f>IF(AND(OR(sel_Region="All",C1410=sel_Region),OR(sel_Country="All",D1410=sel_Country),OR(sel_Channel="All",E1410=sel_Channel),OR(sel_Customer="All",F1410=sel_Customer),OR(sel_Category="All",G1410=sel_Category),AND(S1410&gt;=m_From,S1410&lt;=m_To)),1,0)</f>
        <v/>
      </c>
      <c r="AA1410" s="36">
        <f>IF(AND(OR(sel_Region="All",C1410=sel_Region),OR(sel_Country="All",D1410=sel_Country),OR(sel_Channel="All",E1410=sel_Channel),OR(sel_Customer="All",F1410=sel_Customer),OR(sel_Category="All",G1410=sel_Category),OR(sel_Product="All",H1410=sel_Product)),1,0)</f>
        <v/>
      </c>
    </row>
    <row r="1411">
      <c r="A1411" s="36" t="inlineStr">
        <is>
          <t>05054</t>
        </is>
      </c>
      <c r="B1411" s="44" t="n">
        <v>46221</v>
      </c>
      <c r="C1411" s="36" t="inlineStr">
        <is>
          <t>Western Europe</t>
        </is>
      </c>
      <c r="D1411" s="36" t="inlineStr">
        <is>
          <t>United Kingdom</t>
        </is>
      </c>
      <c r="E1411" s="36" t="inlineStr">
        <is>
          <t>Online Store</t>
        </is>
      </c>
      <c r="F1411" s="36" t="inlineStr">
        <is>
          <t>New</t>
        </is>
      </c>
      <c r="G1411" s="36" t="inlineStr">
        <is>
          <t>Camping</t>
        </is>
      </c>
      <c r="H1411" s="36" t="inlineStr">
        <is>
          <t>Compact Sleeping Bag</t>
        </is>
      </c>
      <c r="I1411" s="36" t="n">
        <v>2</v>
      </c>
      <c r="J1411" s="39" t="n">
        <v>121.06</v>
      </c>
      <c r="K1411" s="45" t="n">
        <v>0</v>
      </c>
      <c r="L1411" s="39" t="n">
        <v>59.62</v>
      </c>
      <c r="M1411" s="39">
        <f>I1411*J1411*(1-K1411)</f>
        <v/>
      </c>
      <c r="N1411" s="39">
        <f>I1411*L1411</f>
        <v/>
      </c>
      <c r="O1411" s="39">
        <f>M1411-N1411</f>
        <v/>
      </c>
      <c r="P1411" s="38">
        <f>IF(M1411=0,0,O1411/M1411)</f>
        <v/>
      </c>
      <c r="Q1411" s="36">
        <f>YEAR(B1411)</f>
        <v/>
      </c>
      <c r="R1411" s="36">
        <f>"Q"&amp;ROUNDUP(MONTH(B1411)/3,0)</f>
        <v/>
      </c>
      <c r="S1411" s="36">
        <f>MONTH(B1411)</f>
        <v/>
      </c>
      <c r="T1411" s="36">
        <f>TEXT(B1411,"mmm")</f>
        <v/>
      </c>
      <c r="U1411" s="36">
        <f>IF(AND(OR(sel_Region="All",C1411=sel_Region),OR(sel_Country="All",D1411=sel_Country),OR(sel_Channel="All",E1411=sel_Channel),OR(sel_Customer="All",F1411=sel_Customer),OR(sel_Category="All",G1411=sel_Category),OR(sel_Product="All",H1411=sel_Product),AND(S1411&gt;=m_From,S1411&lt;=m_To)),1,0)</f>
        <v/>
      </c>
      <c r="V1411" s="36">
        <f>IF(AND(OR(sel_Region="All",C1411=sel_Region),OR(sel_Channel="All",E1411=sel_Channel),OR(sel_Customer="All",F1411=sel_Customer),OR(sel_Category="All",G1411=sel_Category),OR(sel_Product="All",H1411=sel_Product),AND(S1411&gt;=m_From,S1411&lt;=m_To)),1,0)</f>
        <v/>
      </c>
      <c r="W1411" s="36">
        <f>IF(AND(OR(sel_Region="All",C1411=sel_Region),OR(sel_Country="All",D1411=sel_Country),OR(sel_Customer="All",F1411=sel_Customer),OR(sel_Category="All",G1411=sel_Category),OR(sel_Product="All",H1411=sel_Product),AND(S1411&gt;=m_From,S1411&lt;=m_To)),1,0)</f>
        <v/>
      </c>
      <c r="X1411" s="36">
        <f>IF(AND(OR(sel_Region="All",C1411=sel_Region),OR(sel_Country="All",D1411=sel_Country),OR(sel_Channel="All",E1411=sel_Channel),OR(sel_Category="All",G1411=sel_Category),OR(sel_Product="All",H1411=sel_Product),AND(S1411&gt;=m_From,S1411&lt;=m_To)),1,0)</f>
        <v/>
      </c>
      <c r="Y1411" s="36">
        <f>IF(AND(OR(sel_Region="All",C1411=sel_Region),OR(sel_Country="All",D1411=sel_Country),OR(sel_Channel="All",E1411=sel_Channel),OR(sel_Customer="All",F1411=sel_Customer),OR(sel_Product="All",H1411=sel_Product),AND(S1411&gt;=m_From,S1411&lt;=m_To)),1,0)</f>
        <v/>
      </c>
      <c r="Z1411" s="36">
        <f>IF(AND(OR(sel_Region="All",C1411=sel_Region),OR(sel_Country="All",D1411=sel_Country),OR(sel_Channel="All",E1411=sel_Channel),OR(sel_Customer="All",F1411=sel_Customer),OR(sel_Category="All",G1411=sel_Category),AND(S1411&gt;=m_From,S1411&lt;=m_To)),1,0)</f>
        <v/>
      </c>
      <c r="AA1411" s="36">
        <f>IF(AND(OR(sel_Region="All",C1411=sel_Region),OR(sel_Country="All",D1411=sel_Country),OR(sel_Channel="All",E1411=sel_Channel),OR(sel_Customer="All",F1411=sel_Customer),OR(sel_Category="All",G1411=sel_Category),OR(sel_Product="All",H1411=sel_Product)),1,0)</f>
        <v/>
      </c>
    </row>
    <row r="1412">
      <c r="A1412" s="36" t="inlineStr">
        <is>
          <t>00138</t>
        </is>
      </c>
      <c r="B1412" s="44" t="n">
        <v>46222</v>
      </c>
      <c r="C1412" s="36" t="inlineStr">
        <is>
          <t>Central Europe</t>
        </is>
      </c>
      <c r="D1412" s="36" t="inlineStr">
        <is>
          <t>Germany</t>
        </is>
      </c>
      <c r="E1412" s="36" t="inlineStr">
        <is>
          <t>Online Store</t>
        </is>
      </c>
      <c r="F1412" s="36" t="inlineStr">
        <is>
          <t>New</t>
        </is>
      </c>
      <c r="G1412" s="36" t="inlineStr">
        <is>
          <t>Hiking</t>
        </is>
      </c>
      <c r="H1412" s="36" t="inlineStr">
        <is>
          <t>Trekking Poles</t>
        </is>
      </c>
      <c r="I1412" s="36" t="n">
        <v>2</v>
      </c>
      <c r="J1412" s="39" t="n">
        <v>71.81</v>
      </c>
      <c r="K1412" s="45" t="n">
        <v>0</v>
      </c>
      <c r="L1412" s="39" t="n">
        <v>32.35</v>
      </c>
      <c r="M1412" s="39">
        <f>I1412*J1412*(1-K1412)</f>
        <v/>
      </c>
      <c r="N1412" s="39">
        <f>I1412*L1412</f>
        <v/>
      </c>
      <c r="O1412" s="39">
        <f>M1412-N1412</f>
        <v/>
      </c>
      <c r="P1412" s="38">
        <f>IF(M1412=0,0,O1412/M1412)</f>
        <v/>
      </c>
      <c r="Q1412" s="36">
        <f>YEAR(B1412)</f>
        <v/>
      </c>
      <c r="R1412" s="36">
        <f>"Q"&amp;ROUNDUP(MONTH(B1412)/3,0)</f>
        <v/>
      </c>
      <c r="S1412" s="36">
        <f>MONTH(B1412)</f>
        <v/>
      </c>
      <c r="T1412" s="36">
        <f>TEXT(B1412,"mmm")</f>
        <v/>
      </c>
      <c r="U1412" s="36">
        <f>IF(AND(OR(sel_Region="All",C1412=sel_Region),OR(sel_Country="All",D1412=sel_Country),OR(sel_Channel="All",E1412=sel_Channel),OR(sel_Customer="All",F1412=sel_Customer),OR(sel_Category="All",G1412=sel_Category),OR(sel_Product="All",H1412=sel_Product),AND(S1412&gt;=m_From,S1412&lt;=m_To)),1,0)</f>
        <v/>
      </c>
      <c r="V1412" s="36">
        <f>IF(AND(OR(sel_Region="All",C1412=sel_Region),OR(sel_Channel="All",E1412=sel_Channel),OR(sel_Customer="All",F1412=sel_Customer),OR(sel_Category="All",G1412=sel_Category),OR(sel_Product="All",H1412=sel_Product),AND(S1412&gt;=m_From,S1412&lt;=m_To)),1,0)</f>
        <v/>
      </c>
      <c r="W1412" s="36">
        <f>IF(AND(OR(sel_Region="All",C1412=sel_Region),OR(sel_Country="All",D1412=sel_Country),OR(sel_Customer="All",F1412=sel_Customer),OR(sel_Category="All",G1412=sel_Category),OR(sel_Product="All",H1412=sel_Product),AND(S1412&gt;=m_From,S1412&lt;=m_To)),1,0)</f>
        <v/>
      </c>
      <c r="X1412" s="36">
        <f>IF(AND(OR(sel_Region="All",C1412=sel_Region),OR(sel_Country="All",D1412=sel_Country),OR(sel_Channel="All",E1412=sel_Channel),OR(sel_Category="All",G1412=sel_Category),OR(sel_Product="All",H1412=sel_Product),AND(S1412&gt;=m_From,S1412&lt;=m_To)),1,0)</f>
        <v/>
      </c>
      <c r="Y1412" s="36">
        <f>IF(AND(OR(sel_Region="All",C1412=sel_Region),OR(sel_Country="All",D1412=sel_Country),OR(sel_Channel="All",E1412=sel_Channel),OR(sel_Customer="All",F1412=sel_Customer),OR(sel_Product="All",H1412=sel_Product),AND(S1412&gt;=m_From,S1412&lt;=m_To)),1,0)</f>
        <v/>
      </c>
      <c r="Z1412" s="36">
        <f>IF(AND(OR(sel_Region="All",C1412=sel_Region),OR(sel_Country="All",D1412=sel_Country),OR(sel_Channel="All",E1412=sel_Channel),OR(sel_Customer="All",F1412=sel_Customer),OR(sel_Category="All",G1412=sel_Category),AND(S1412&gt;=m_From,S1412&lt;=m_To)),1,0)</f>
        <v/>
      </c>
      <c r="AA1412" s="36">
        <f>IF(AND(OR(sel_Region="All",C1412=sel_Region),OR(sel_Country="All",D1412=sel_Country),OR(sel_Channel="All",E1412=sel_Channel),OR(sel_Customer="All",F1412=sel_Customer),OR(sel_Category="All",G1412=sel_Category),OR(sel_Product="All",H1412=sel_Product)),1,0)</f>
        <v/>
      </c>
    </row>
    <row r="1413">
      <c r="A1413" s="36" t="inlineStr">
        <is>
          <t>00433</t>
        </is>
      </c>
      <c r="B1413" s="44" t="n">
        <v>46222</v>
      </c>
      <c r="C1413" s="36" t="inlineStr">
        <is>
          <t>Central Europe</t>
        </is>
      </c>
      <c r="D1413" s="36" t="inlineStr">
        <is>
          <t>Germany</t>
        </is>
      </c>
      <c r="E1413" s="36" t="inlineStr">
        <is>
          <t>Online Store</t>
        </is>
      </c>
      <c r="F1413" s="36" t="inlineStr">
        <is>
          <t>New</t>
        </is>
      </c>
      <c r="G1413" s="36" t="inlineStr">
        <is>
          <t>Hiking</t>
        </is>
      </c>
      <c r="H1413" s="36" t="inlineStr">
        <is>
          <t>Trail Boots</t>
        </is>
      </c>
      <c r="I1413" s="36" t="n">
        <v>4</v>
      </c>
      <c r="J1413" s="39" t="n">
        <v>145.18</v>
      </c>
      <c r="K1413" s="45" t="n">
        <v>0</v>
      </c>
      <c r="L1413" s="39" t="n">
        <v>79.54000000000001</v>
      </c>
      <c r="M1413" s="39">
        <f>I1413*J1413*(1-K1413)</f>
        <v/>
      </c>
      <c r="N1413" s="39">
        <f>I1413*L1413</f>
        <v/>
      </c>
      <c r="O1413" s="39">
        <f>M1413-N1413</f>
        <v/>
      </c>
      <c r="P1413" s="38">
        <f>IF(M1413=0,0,O1413/M1413)</f>
        <v/>
      </c>
      <c r="Q1413" s="36">
        <f>YEAR(B1413)</f>
        <v/>
      </c>
      <c r="R1413" s="36">
        <f>"Q"&amp;ROUNDUP(MONTH(B1413)/3,0)</f>
        <v/>
      </c>
      <c r="S1413" s="36">
        <f>MONTH(B1413)</f>
        <v/>
      </c>
      <c r="T1413" s="36">
        <f>TEXT(B1413,"mmm")</f>
        <v/>
      </c>
      <c r="U1413" s="36">
        <f>IF(AND(OR(sel_Region="All",C1413=sel_Region),OR(sel_Country="All",D1413=sel_Country),OR(sel_Channel="All",E1413=sel_Channel),OR(sel_Customer="All",F1413=sel_Customer),OR(sel_Category="All",G1413=sel_Category),OR(sel_Product="All",H1413=sel_Product),AND(S1413&gt;=m_From,S1413&lt;=m_To)),1,0)</f>
        <v/>
      </c>
      <c r="V1413" s="36">
        <f>IF(AND(OR(sel_Region="All",C1413=sel_Region),OR(sel_Channel="All",E1413=sel_Channel),OR(sel_Customer="All",F1413=sel_Customer),OR(sel_Category="All",G1413=sel_Category),OR(sel_Product="All",H1413=sel_Product),AND(S1413&gt;=m_From,S1413&lt;=m_To)),1,0)</f>
        <v/>
      </c>
      <c r="W1413" s="36">
        <f>IF(AND(OR(sel_Region="All",C1413=sel_Region),OR(sel_Country="All",D1413=sel_Country),OR(sel_Customer="All",F1413=sel_Customer),OR(sel_Category="All",G1413=sel_Category),OR(sel_Product="All",H1413=sel_Product),AND(S1413&gt;=m_From,S1413&lt;=m_To)),1,0)</f>
        <v/>
      </c>
      <c r="X1413" s="36">
        <f>IF(AND(OR(sel_Region="All",C1413=sel_Region),OR(sel_Country="All",D1413=sel_Country),OR(sel_Channel="All",E1413=sel_Channel),OR(sel_Category="All",G1413=sel_Category),OR(sel_Product="All",H1413=sel_Product),AND(S1413&gt;=m_From,S1413&lt;=m_To)),1,0)</f>
        <v/>
      </c>
      <c r="Y1413" s="36">
        <f>IF(AND(OR(sel_Region="All",C1413=sel_Region),OR(sel_Country="All",D1413=sel_Country),OR(sel_Channel="All",E1413=sel_Channel),OR(sel_Customer="All",F1413=sel_Customer),OR(sel_Product="All",H1413=sel_Product),AND(S1413&gt;=m_From,S1413&lt;=m_To)),1,0)</f>
        <v/>
      </c>
      <c r="Z1413" s="36">
        <f>IF(AND(OR(sel_Region="All",C1413=sel_Region),OR(sel_Country="All",D1413=sel_Country),OR(sel_Channel="All",E1413=sel_Channel),OR(sel_Customer="All",F1413=sel_Customer),OR(sel_Category="All",G1413=sel_Category),AND(S1413&gt;=m_From,S1413&lt;=m_To)),1,0)</f>
        <v/>
      </c>
      <c r="AA1413" s="36">
        <f>IF(AND(OR(sel_Region="All",C1413=sel_Region),OR(sel_Country="All",D1413=sel_Country),OR(sel_Channel="All",E1413=sel_Channel),OR(sel_Customer="All",F1413=sel_Customer),OR(sel_Category="All",G1413=sel_Category),OR(sel_Product="All",H1413=sel_Product)),1,0)</f>
        <v/>
      </c>
    </row>
    <row r="1414">
      <c r="A1414" s="36" t="inlineStr">
        <is>
          <t>00484</t>
        </is>
      </c>
      <c r="B1414" s="44" t="n">
        <v>46222</v>
      </c>
      <c r="C1414" s="36" t="inlineStr">
        <is>
          <t>Central Europe</t>
        </is>
      </c>
      <c r="D1414" s="36" t="inlineStr">
        <is>
          <t>Germany</t>
        </is>
      </c>
      <c r="E1414" s="36" t="inlineStr">
        <is>
          <t>Online Store</t>
        </is>
      </c>
      <c r="F1414" s="36" t="inlineStr">
        <is>
          <t>New</t>
        </is>
      </c>
      <c r="G1414" s="36" t="inlineStr">
        <is>
          <t>Fitness</t>
        </is>
      </c>
      <c r="H1414" s="36" t="inlineStr">
        <is>
          <t>Recovery Roller</t>
        </is>
      </c>
      <c r="I1414" s="36" t="n">
        <v>2</v>
      </c>
      <c r="J1414" s="39" t="n">
        <v>36.07</v>
      </c>
      <c r="K1414" s="45" t="n">
        <v>0</v>
      </c>
      <c r="L1414" s="39" t="n">
        <v>13.6</v>
      </c>
      <c r="M1414" s="39">
        <f>I1414*J1414*(1-K1414)</f>
        <v/>
      </c>
      <c r="N1414" s="39">
        <f>I1414*L1414</f>
        <v/>
      </c>
      <c r="O1414" s="39">
        <f>M1414-N1414</f>
        <v/>
      </c>
      <c r="P1414" s="38">
        <f>IF(M1414=0,0,O1414/M1414)</f>
        <v/>
      </c>
      <c r="Q1414" s="36">
        <f>YEAR(B1414)</f>
        <v/>
      </c>
      <c r="R1414" s="36">
        <f>"Q"&amp;ROUNDUP(MONTH(B1414)/3,0)</f>
        <v/>
      </c>
      <c r="S1414" s="36">
        <f>MONTH(B1414)</f>
        <v/>
      </c>
      <c r="T1414" s="36">
        <f>TEXT(B1414,"mmm")</f>
        <v/>
      </c>
      <c r="U1414" s="36">
        <f>IF(AND(OR(sel_Region="All",C1414=sel_Region),OR(sel_Country="All",D1414=sel_Country),OR(sel_Channel="All",E1414=sel_Channel),OR(sel_Customer="All",F1414=sel_Customer),OR(sel_Category="All",G1414=sel_Category),OR(sel_Product="All",H1414=sel_Product),AND(S1414&gt;=m_From,S1414&lt;=m_To)),1,0)</f>
        <v/>
      </c>
      <c r="V1414" s="36">
        <f>IF(AND(OR(sel_Region="All",C1414=sel_Region),OR(sel_Channel="All",E1414=sel_Channel),OR(sel_Customer="All",F1414=sel_Customer),OR(sel_Category="All",G1414=sel_Category),OR(sel_Product="All",H1414=sel_Product),AND(S1414&gt;=m_From,S1414&lt;=m_To)),1,0)</f>
        <v/>
      </c>
      <c r="W1414" s="36">
        <f>IF(AND(OR(sel_Region="All",C1414=sel_Region),OR(sel_Country="All",D1414=sel_Country),OR(sel_Customer="All",F1414=sel_Customer),OR(sel_Category="All",G1414=sel_Category),OR(sel_Product="All",H1414=sel_Product),AND(S1414&gt;=m_From,S1414&lt;=m_To)),1,0)</f>
        <v/>
      </c>
      <c r="X1414" s="36">
        <f>IF(AND(OR(sel_Region="All",C1414=sel_Region),OR(sel_Country="All",D1414=sel_Country),OR(sel_Channel="All",E1414=sel_Channel),OR(sel_Category="All",G1414=sel_Category),OR(sel_Product="All",H1414=sel_Product),AND(S1414&gt;=m_From,S1414&lt;=m_To)),1,0)</f>
        <v/>
      </c>
      <c r="Y1414" s="36">
        <f>IF(AND(OR(sel_Region="All",C1414=sel_Region),OR(sel_Country="All",D1414=sel_Country),OR(sel_Channel="All",E1414=sel_Channel),OR(sel_Customer="All",F1414=sel_Customer),OR(sel_Product="All",H1414=sel_Product),AND(S1414&gt;=m_From,S1414&lt;=m_To)),1,0)</f>
        <v/>
      </c>
      <c r="Z1414" s="36">
        <f>IF(AND(OR(sel_Region="All",C1414=sel_Region),OR(sel_Country="All",D1414=sel_Country),OR(sel_Channel="All",E1414=sel_Channel),OR(sel_Customer="All",F1414=sel_Customer),OR(sel_Category="All",G1414=sel_Category),AND(S1414&gt;=m_From,S1414&lt;=m_To)),1,0)</f>
        <v/>
      </c>
      <c r="AA1414" s="36">
        <f>IF(AND(OR(sel_Region="All",C1414=sel_Region),OR(sel_Country="All",D1414=sel_Country),OR(sel_Channel="All",E1414=sel_Channel),OR(sel_Customer="All",F1414=sel_Customer),OR(sel_Category="All",G1414=sel_Category),OR(sel_Product="All",H1414=sel_Product)),1,0)</f>
        <v/>
      </c>
    </row>
    <row r="1415">
      <c r="A1415" s="36" t="inlineStr">
        <is>
          <t>00492</t>
        </is>
      </c>
      <c r="B1415" s="44" t="n">
        <v>46222</v>
      </c>
      <c r="C1415" s="36" t="inlineStr">
        <is>
          <t>Central Europe</t>
        </is>
      </c>
      <c r="D1415" s="36" t="inlineStr">
        <is>
          <t>Poland</t>
        </is>
      </c>
      <c r="E1415" s="36" t="inlineStr">
        <is>
          <t>Retail Partners</t>
        </is>
      </c>
      <c r="F1415" s="36" t="inlineStr">
        <is>
          <t>New</t>
        </is>
      </c>
      <c r="G1415" s="36" t="inlineStr">
        <is>
          <t>Hiking</t>
        </is>
      </c>
      <c r="H1415" s="36" t="inlineStr">
        <is>
          <t>Trekking Poles</t>
        </is>
      </c>
      <c r="I1415" s="36" t="n">
        <v>3</v>
      </c>
      <c r="J1415" s="39" t="n">
        <v>72.23</v>
      </c>
      <c r="K1415" s="45" t="n">
        <v>0.1</v>
      </c>
      <c r="L1415" s="39" t="n">
        <v>31.67</v>
      </c>
      <c r="M1415" s="39">
        <f>I1415*J1415*(1-K1415)</f>
        <v/>
      </c>
      <c r="N1415" s="39">
        <f>I1415*L1415</f>
        <v/>
      </c>
      <c r="O1415" s="39">
        <f>M1415-N1415</f>
        <v/>
      </c>
      <c r="P1415" s="38">
        <f>IF(M1415=0,0,O1415/M1415)</f>
        <v/>
      </c>
      <c r="Q1415" s="36">
        <f>YEAR(B1415)</f>
        <v/>
      </c>
      <c r="R1415" s="36">
        <f>"Q"&amp;ROUNDUP(MONTH(B1415)/3,0)</f>
        <v/>
      </c>
      <c r="S1415" s="36">
        <f>MONTH(B1415)</f>
        <v/>
      </c>
      <c r="T1415" s="36">
        <f>TEXT(B1415,"mmm")</f>
        <v/>
      </c>
      <c r="U1415" s="36">
        <f>IF(AND(OR(sel_Region="All",C1415=sel_Region),OR(sel_Country="All",D1415=sel_Country),OR(sel_Channel="All",E1415=sel_Channel),OR(sel_Customer="All",F1415=sel_Customer),OR(sel_Category="All",G1415=sel_Category),OR(sel_Product="All",H1415=sel_Product),AND(S1415&gt;=m_From,S1415&lt;=m_To)),1,0)</f>
        <v/>
      </c>
      <c r="V1415" s="36">
        <f>IF(AND(OR(sel_Region="All",C1415=sel_Region),OR(sel_Channel="All",E1415=sel_Channel),OR(sel_Customer="All",F1415=sel_Customer),OR(sel_Category="All",G1415=sel_Category),OR(sel_Product="All",H1415=sel_Product),AND(S1415&gt;=m_From,S1415&lt;=m_To)),1,0)</f>
        <v/>
      </c>
      <c r="W1415" s="36">
        <f>IF(AND(OR(sel_Region="All",C1415=sel_Region),OR(sel_Country="All",D1415=sel_Country),OR(sel_Customer="All",F1415=sel_Customer),OR(sel_Category="All",G1415=sel_Category),OR(sel_Product="All",H1415=sel_Product),AND(S1415&gt;=m_From,S1415&lt;=m_To)),1,0)</f>
        <v/>
      </c>
      <c r="X1415" s="36">
        <f>IF(AND(OR(sel_Region="All",C1415=sel_Region),OR(sel_Country="All",D1415=sel_Country),OR(sel_Channel="All",E1415=sel_Channel),OR(sel_Category="All",G1415=sel_Category),OR(sel_Product="All",H1415=sel_Product),AND(S1415&gt;=m_From,S1415&lt;=m_To)),1,0)</f>
        <v/>
      </c>
      <c r="Y1415" s="36">
        <f>IF(AND(OR(sel_Region="All",C1415=sel_Region),OR(sel_Country="All",D1415=sel_Country),OR(sel_Channel="All",E1415=sel_Channel),OR(sel_Customer="All",F1415=sel_Customer),OR(sel_Product="All",H1415=sel_Product),AND(S1415&gt;=m_From,S1415&lt;=m_To)),1,0)</f>
        <v/>
      </c>
      <c r="Z1415" s="36">
        <f>IF(AND(OR(sel_Region="All",C1415=sel_Region),OR(sel_Country="All",D1415=sel_Country),OR(sel_Channel="All",E1415=sel_Channel),OR(sel_Customer="All",F1415=sel_Customer),OR(sel_Category="All",G1415=sel_Category),AND(S1415&gt;=m_From,S1415&lt;=m_To)),1,0)</f>
        <v/>
      </c>
      <c r="AA1415" s="36">
        <f>IF(AND(OR(sel_Region="All",C1415=sel_Region),OR(sel_Country="All",D1415=sel_Country),OR(sel_Channel="All",E1415=sel_Channel),OR(sel_Customer="All",F1415=sel_Customer),OR(sel_Category="All",G1415=sel_Category),OR(sel_Product="All",H1415=sel_Product)),1,0)</f>
        <v/>
      </c>
    </row>
    <row r="1416">
      <c r="A1416" s="36" t="inlineStr">
        <is>
          <t>00626</t>
        </is>
      </c>
      <c r="B1416" s="44" t="n">
        <v>46222</v>
      </c>
      <c r="C1416" s="36" t="inlineStr">
        <is>
          <t>Central Europe</t>
        </is>
      </c>
      <c r="D1416" s="36" t="inlineStr">
        <is>
          <t>Poland</t>
        </is>
      </c>
      <c r="E1416" s="36" t="inlineStr">
        <is>
          <t>Retail Partners</t>
        </is>
      </c>
      <c r="F1416" s="36" t="inlineStr">
        <is>
          <t>Returning</t>
        </is>
      </c>
      <c r="G1416" s="36" t="inlineStr">
        <is>
          <t>Travel</t>
        </is>
      </c>
      <c r="H1416" s="36" t="inlineStr">
        <is>
          <t>Insulated Bottle</t>
        </is>
      </c>
      <c r="I1416" s="36" t="n">
        <v>1</v>
      </c>
      <c r="J1416" s="39" t="n">
        <v>36.55</v>
      </c>
      <c r="K1416" s="45" t="n">
        <v>0.1</v>
      </c>
      <c r="L1416" s="39" t="n">
        <v>13.2</v>
      </c>
      <c r="M1416" s="39">
        <f>I1416*J1416*(1-K1416)</f>
        <v/>
      </c>
      <c r="N1416" s="39">
        <f>I1416*L1416</f>
        <v/>
      </c>
      <c r="O1416" s="39">
        <f>M1416-N1416</f>
        <v/>
      </c>
      <c r="P1416" s="38">
        <f>IF(M1416=0,0,O1416/M1416)</f>
        <v/>
      </c>
      <c r="Q1416" s="36">
        <f>YEAR(B1416)</f>
        <v/>
      </c>
      <c r="R1416" s="36">
        <f>"Q"&amp;ROUNDUP(MONTH(B1416)/3,0)</f>
        <v/>
      </c>
      <c r="S1416" s="36">
        <f>MONTH(B1416)</f>
        <v/>
      </c>
      <c r="T1416" s="36">
        <f>TEXT(B1416,"mmm")</f>
        <v/>
      </c>
      <c r="U1416" s="36">
        <f>IF(AND(OR(sel_Region="All",C1416=sel_Region),OR(sel_Country="All",D1416=sel_Country),OR(sel_Channel="All",E1416=sel_Channel),OR(sel_Customer="All",F1416=sel_Customer),OR(sel_Category="All",G1416=sel_Category),OR(sel_Product="All",H1416=sel_Product),AND(S1416&gt;=m_From,S1416&lt;=m_To)),1,0)</f>
        <v/>
      </c>
      <c r="V1416" s="36">
        <f>IF(AND(OR(sel_Region="All",C1416=sel_Region),OR(sel_Channel="All",E1416=sel_Channel),OR(sel_Customer="All",F1416=sel_Customer),OR(sel_Category="All",G1416=sel_Category),OR(sel_Product="All",H1416=sel_Product),AND(S1416&gt;=m_From,S1416&lt;=m_To)),1,0)</f>
        <v/>
      </c>
      <c r="W1416" s="36">
        <f>IF(AND(OR(sel_Region="All",C1416=sel_Region),OR(sel_Country="All",D1416=sel_Country),OR(sel_Customer="All",F1416=sel_Customer),OR(sel_Category="All",G1416=sel_Category),OR(sel_Product="All",H1416=sel_Product),AND(S1416&gt;=m_From,S1416&lt;=m_To)),1,0)</f>
        <v/>
      </c>
      <c r="X1416" s="36">
        <f>IF(AND(OR(sel_Region="All",C1416=sel_Region),OR(sel_Country="All",D1416=sel_Country),OR(sel_Channel="All",E1416=sel_Channel),OR(sel_Category="All",G1416=sel_Category),OR(sel_Product="All",H1416=sel_Product),AND(S1416&gt;=m_From,S1416&lt;=m_To)),1,0)</f>
        <v/>
      </c>
      <c r="Y1416" s="36">
        <f>IF(AND(OR(sel_Region="All",C1416=sel_Region),OR(sel_Country="All",D1416=sel_Country),OR(sel_Channel="All",E1416=sel_Channel),OR(sel_Customer="All",F1416=sel_Customer),OR(sel_Product="All",H1416=sel_Product),AND(S1416&gt;=m_From,S1416&lt;=m_To)),1,0)</f>
        <v/>
      </c>
      <c r="Z1416" s="36">
        <f>IF(AND(OR(sel_Region="All",C1416=sel_Region),OR(sel_Country="All",D1416=sel_Country),OR(sel_Channel="All",E1416=sel_Channel),OR(sel_Customer="All",F1416=sel_Customer),OR(sel_Category="All",G1416=sel_Category),AND(S1416&gt;=m_From,S1416&lt;=m_To)),1,0)</f>
        <v/>
      </c>
      <c r="AA1416" s="36">
        <f>IF(AND(OR(sel_Region="All",C1416=sel_Region),OR(sel_Country="All",D1416=sel_Country),OR(sel_Channel="All",E1416=sel_Channel),OR(sel_Customer="All",F1416=sel_Customer),OR(sel_Category="All",G1416=sel_Category),OR(sel_Product="All",H1416=sel_Product)),1,0)</f>
        <v/>
      </c>
    </row>
    <row r="1417">
      <c r="A1417" s="36" t="inlineStr">
        <is>
          <t>01409</t>
        </is>
      </c>
      <c r="B1417" s="44" t="n">
        <v>46222</v>
      </c>
      <c r="C1417" s="36" t="inlineStr">
        <is>
          <t>Central Europe</t>
        </is>
      </c>
      <c r="D1417" s="36" t="inlineStr">
        <is>
          <t>Poland</t>
        </is>
      </c>
      <c r="E1417" s="36" t="inlineStr">
        <is>
          <t>Online Store</t>
        </is>
      </c>
      <c r="F1417" s="36" t="inlineStr">
        <is>
          <t>New</t>
        </is>
      </c>
      <c r="G1417" s="36" t="inlineStr">
        <is>
          <t>Camping</t>
        </is>
      </c>
      <c r="H1417" s="36" t="inlineStr">
        <is>
          <t>Compact Sleeping Bag</t>
        </is>
      </c>
      <c r="I1417" s="36" t="n">
        <v>5</v>
      </c>
      <c r="J1417" s="39" t="n">
        <v>124.68</v>
      </c>
      <c r="K1417" s="45" t="n">
        <v>0.05</v>
      </c>
      <c r="L1417" s="39" t="n">
        <v>60.61</v>
      </c>
      <c r="M1417" s="39">
        <f>I1417*J1417*(1-K1417)</f>
        <v/>
      </c>
      <c r="N1417" s="39">
        <f>I1417*L1417</f>
        <v/>
      </c>
      <c r="O1417" s="39">
        <f>M1417-N1417</f>
        <v/>
      </c>
      <c r="P1417" s="38">
        <f>IF(M1417=0,0,O1417/M1417)</f>
        <v/>
      </c>
      <c r="Q1417" s="36">
        <f>YEAR(B1417)</f>
        <v/>
      </c>
      <c r="R1417" s="36">
        <f>"Q"&amp;ROUNDUP(MONTH(B1417)/3,0)</f>
        <v/>
      </c>
      <c r="S1417" s="36">
        <f>MONTH(B1417)</f>
        <v/>
      </c>
      <c r="T1417" s="36">
        <f>TEXT(B1417,"mmm")</f>
        <v/>
      </c>
      <c r="U1417" s="36">
        <f>IF(AND(OR(sel_Region="All",C1417=sel_Region),OR(sel_Country="All",D1417=sel_Country),OR(sel_Channel="All",E1417=sel_Channel),OR(sel_Customer="All",F1417=sel_Customer),OR(sel_Category="All",G1417=sel_Category),OR(sel_Product="All",H1417=sel_Product),AND(S1417&gt;=m_From,S1417&lt;=m_To)),1,0)</f>
        <v/>
      </c>
      <c r="V1417" s="36">
        <f>IF(AND(OR(sel_Region="All",C1417=sel_Region),OR(sel_Channel="All",E1417=sel_Channel),OR(sel_Customer="All",F1417=sel_Customer),OR(sel_Category="All",G1417=sel_Category),OR(sel_Product="All",H1417=sel_Product),AND(S1417&gt;=m_From,S1417&lt;=m_To)),1,0)</f>
        <v/>
      </c>
      <c r="W1417" s="36">
        <f>IF(AND(OR(sel_Region="All",C1417=sel_Region),OR(sel_Country="All",D1417=sel_Country),OR(sel_Customer="All",F1417=sel_Customer),OR(sel_Category="All",G1417=sel_Category),OR(sel_Product="All",H1417=sel_Product),AND(S1417&gt;=m_From,S1417&lt;=m_To)),1,0)</f>
        <v/>
      </c>
      <c r="X1417" s="36">
        <f>IF(AND(OR(sel_Region="All",C1417=sel_Region),OR(sel_Country="All",D1417=sel_Country),OR(sel_Channel="All",E1417=sel_Channel),OR(sel_Category="All",G1417=sel_Category),OR(sel_Product="All",H1417=sel_Product),AND(S1417&gt;=m_From,S1417&lt;=m_To)),1,0)</f>
        <v/>
      </c>
      <c r="Y1417" s="36">
        <f>IF(AND(OR(sel_Region="All",C1417=sel_Region),OR(sel_Country="All",D1417=sel_Country),OR(sel_Channel="All",E1417=sel_Channel),OR(sel_Customer="All",F1417=sel_Customer),OR(sel_Product="All",H1417=sel_Product),AND(S1417&gt;=m_From,S1417&lt;=m_To)),1,0)</f>
        <v/>
      </c>
      <c r="Z1417" s="36">
        <f>IF(AND(OR(sel_Region="All",C1417=sel_Region),OR(sel_Country="All",D1417=sel_Country),OR(sel_Channel="All",E1417=sel_Channel),OR(sel_Customer="All",F1417=sel_Customer),OR(sel_Category="All",G1417=sel_Category),AND(S1417&gt;=m_From,S1417&lt;=m_To)),1,0)</f>
        <v/>
      </c>
      <c r="AA1417" s="36">
        <f>IF(AND(OR(sel_Region="All",C1417=sel_Region),OR(sel_Country="All",D1417=sel_Country),OR(sel_Channel="All",E1417=sel_Channel),OR(sel_Customer="All",F1417=sel_Customer),OR(sel_Category="All",G1417=sel_Category),OR(sel_Product="All",H1417=sel_Product)),1,0)</f>
        <v/>
      </c>
    </row>
    <row r="1418">
      <c r="A1418" s="36" t="inlineStr">
        <is>
          <t>01486</t>
        </is>
      </c>
      <c r="B1418" s="44" t="n">
        <v>46222</v>
      </c>
      <c r="C1418" s="36" t="inlineStr">
        <is>
          <t>Western Europe</t>
        </is>
      </c>
      <c r="D1418" s="36" t="inlineStr">
        <is>
          <t>United Kingdom</t>
        </is>
      </c>
      <c r="E1418" s="36" t="inlineStr">
        <is>
          <t>Online Store</t>
        </is>
      </c>
      <c r="F1418" s="36" t="inlineStr">
        <is>
          <t>Returning</t>
        </is>
      </c>
      <c r="G1418" s="36" t="inlineStr">
        <is>
          <t>Cycling</t>
        </is>
      </c>
      <c r="H1418" s="36" t="inlineStr">
        <is>
          <t>Cycling Pack 12L</t>
        </is>
      </c>
      <c r="I1418" s="36" t="n">
        <v>1</v>
      </c>
      <c r="J1418" s="39" t="n">
        <v>101.7</v>
      </c>
      <c r="K1418" s="45" t="n">
        <v>0.05</v>
      </c>
      <c r="L1418" s="39" t="n">
        <v>49.92</v>
      </c>
      <c r="M1418" s="39">
        <f>I1418*J1418*(1-K1418)</f>
        <v/>
      </c>
      <c r="N1418" s="39">
        <f>I1418*L1418</f>
        <v/>
      </c>
      <c r="O1418" s="39">
        <f>M1418-N1418</f>
        <v/>
      </c>
      <c r="P1418" s="38">
        <f>IF(M1418=0,0,O1418/M1418)</f>
        <v/>
      </c>
      <c r="Q1418" s="36">
        <f>YEAR(B1418)</f>
        <v/>
      </c>
      <c r="R1418" s="36">
        <f>"Q"&amp;ROUNDUP(MONTH(B1418)/3,0)</f>
        <v/>
      </c>
      <c r="S1418" s="36">
        <f>MONTH(B1418)</f>
        <v/>
      </c>
      <c r="T1418" s="36">
        <f>TEXT(B1418,"mmm")</f>
        <v/>
      </c>
      <c r="U1418" s="36">
        <f>IF(AND(OR(sel_Region="All",C1418=sel_Region),OR(sel_Country="All",D1418=sel_Country),OR(sel_Channel="All",E1418=sel_Channel),OR(sel_Customer="All",F1418=sel_Customer),OR(sel_Category="All",G1418=sel_Category),OR(sel_Product="All",H1418=sel_Product),AND(S1418&gt;=m_From,S1418&lt;=m_To)),1,0)</f>
        <v/>
      </c>
      <c r="V1418" s="36">
        <f>IF(AND(OR(sel_Region="All",C1418=sel_Region),OR(sel_Channel="All",E1418=sel_Channel),OR(sel_Customer="All",F1418=sel_Customer),OR(sel_Category="All",G1418=sel_Category),OR(sel_Product="All",H1418=sel_Product),AND(S1418&gt;=m_From,S1418&lt;=m_To)),1,0)</f>
        <v/>
      </c>
      <c r="W1418" s="36">
        <f>IF(AND(OR(sel_Region="All",C1418=sel_Region),OR(sel_Country="All",D1418=sel_Country),OR(sel_Customer="All",F1418=sel_Customer),OR(sel_Category="All",G1418=sel_Category),OR(sel_Product="All",H1418=sel_Product),AND(S1418&gt;=m_From,S1418&lt;=m_To)),1,0)</f>
        <v/>
      </c>
      <c r="X1418" s="36">
        <f>IF(AND(OR(sel_Region="All",C1418=sel_Region),OR(sel_Country="All",D1418=sel_Country),OR(sel_Channel="All",E1418=sel_Channel),OR(sel_Category="All",G1418=sel_Category),OR(sel_Product="All",H1418=sel_Product),AND(S1418&gt;=m_From,S1418&lt;=m_To)),1,0)</f>
        <v/>
      </c>
      <c r="Y1418" s="36">
        <f>IF(AND(OR(sel_Region="All",C1418=sel_Region),OR(sel_Country="All",D1418=sel_Country),OR(sel_Channel="All",E1418=sel_Channel),OR(sel_Customer="All",F1418=sel_Customer),OR(sel_Product="All",H1418=sel_Product),AND(S1418&gt;=m_From,S1418&lt;=m_To)),1,0)</f>
        <v/>
      </c>
      <c r="Z1418" s="36">
        <f>IF(AND(OR(sel_Region="All",C1418=sel_Region),OR(sel_Country="All",D1418=sel_Country),OR(sel_Channel="All",E1418=sel_Channel),OR(sel_Customer="All",F1418=sel_Customer),OR(sel_Category="All",G1418=sel_Category),AND(S1418&gt;=m_From,S1418&lt;=m_To)),1,0)</f>
        <v/>
      </c>
      <c r="AA1418" s="36">
        <f>IF(AND(OR(sel_Region="All",C1418=sel_Region),OR(sel_Country="All",D1418=sel_Country),OR(sel_Channel="All",E1418=sel_Channel),OR(sel_Customer="All",F1418=sel_Customer),OR(sel_Category="All",G1418=sel_Category),OR(sel_Product="All",H1418=sel_Product)),1,0)</f>
        <v/>
      </c>
    </row>
    <row r="1419">
      <c r="A1419" s="36" t="inlineStr">
        <is>
          <t>01940</t>
        </is>
      </c>
      <c r="B1419" s="44" t="n">
        <v>46222</v>
      </c>
      <c r="C1419" s="36" t="inlineStr">
        <is>
          <t>Northern Europe</t>
        </is>
      </c>
      <c r="D1419" s="36" t="inlineStr">
        <is>
          <t>Norway</t>
        </is>
      </c>
      <c r="E1419" s="36" t="inlineStr">
        <is>
          <t>Online Store</t>
        </is>
      </c>
      <c r="F1419" s="36" t="inlineStr">
        <is>
          <t>New</t>
        </is>
      </c>
      <c r="G1419" s="36" t="inlineStr">
        <is>
          <t>Fitness</t>
        </is>
      </c>
      <c r="H1419" s="36" t="inlineStr">
        <is>
          <t>Training Mat</t>
        </is>
      </c>
      <c r="I1419" s="36" t="n">
        <v>2</v>
      </c>
      <c r="J1419" s="39" t="n">
        <v>50.24</v>
      </c>
      <c r="K1419" s="45" t="n">
        <v>0.05</v>
      </c>
      <c r="L1419" s="39" t="n">
        <v>21.88</v>
      </c>
      <c r="M1419" s="39">
        <f>I1419*J1419*(1-K1419)</f>
        <v/>
      </c>
      <c r="N1419" s="39">
        <f>I1419*L1419</f>
        <v/>
      </c>
      <c r="O1419" s="39">
        <f>M1419-N1419</f>
        <v/>
      </c>
      <c r="P1419" s="38">
        <f>IF(M1419=0,0,O1419/M1419)</f>
        <v/>
      </c>
      <c r="Q1419" s="36">
        <f>YEAR(B1419)</f>
        <v/>
      </c>
      <c r="R1419" s="36">
        <f>"Q"&amp;ROUNDUP(MONTH(B1419)/3,0)</f>
        <v/>
      </c>
      <c r="S1419" s="36">
        <f>MONTH(B1419)</f>
        <v/>
      </c>
      <c r="T1419" s="36">
        <f>TEXT(B1419,"mmm")</f>
        <v/>
      </c>
      <c r="U1419" s="36">
        <f>IF(AND(OR(sel_Region="All",C1419=sel_Region),OR(sel_Country="All",D1419=sel_Country),OR(sel_Channel="All",E1419=sel_Channel),OR(sel_Customer="All",F1419=sel_Customer),OR(sel_Category="All",G1419=sel_Category),OR(sel_Product="All",H1419=sel_Product),AND(S1419&gt;=m_From,S1419&lt;=m_To)),1,0)</f>
        <v/>
      </c>
      <c r="V1419" s="36">
        <f>IF(AND(OR(sel_Region="All",C1419=sel_Region),OR(sel_Channel="All",E1419=sel_Channel),OR(sel_Customer="All",F1419=sel_Customer),OR(sel_Category="All",G1419=sel_Category),OR(sel_Product="All",H1419=sel_Product),AND(S1419&gt;=m_From,S1419&lt;=m_To)),1,0)</f>
        <v/>
      </c>
      <c r="W1419" s="36">
        <f>IF(AND(OR(sel_Region="All",C1419=sel_Region),OR(sel_Country="All",D1419=sel_Country),OR(sel_Customer="All",F1419=sel_Customer),OR(sel_Category="All",G1419=sel_Category),OR(sel_Product="All",H1419=sel_Product),AND(S1419&gt;=m_From,S1419&lt;=m_To)),1,0)</f>
        <v/>
      </c>
      <c r="X1419" s="36">
        <f>IF(AND(OR(sel_Region="All",C1419=sel_Region),OR(sel_Country="All",D1419=sel_Country),OR(sel_Channel="All",E1419=sel_Channel),OR(sel_Category="All",G1419=sel_Category),OR(sel_Product="All",H1419=sel_Product),AND(S1419&gt;=m_From,S1419&lt;=m_To)),1,0)</f>
        <v/>
      </c>
      <c r="Y1419" s="36">
        <f>IF(AND(OR(sel_Region="All",C1419=sel_Region),OR(sel_Country="All",D1419=sel_Country),OR(sel_Channel="All",E1419=sel_Channel),OR(sel_Customer="All",F1419=sel_Customer),OR(sel_Product="All",H1419=sel_Product),AND(S1419&gt;=m_From,S1419&lt;=m_To)),1,0)</f>
        <v/>
      </c>
      <c r="Z1419" s="36">
        <f>IF(AND(OR(sel_Region="All",C1419=sel_Region),OR(sel_Country="All",D1419=sel_Country),OR(sel_Channel="All",E1419=sel_Channel),OR(sel_Customer="All",F1419=sel_Customer),OR(sel_Category="All",G1419=sel_Category),AND(S1419&gt;=m_From,S1419&lt;=m_To)),1,0)</f>
        <v/>
      </c>
      <c r="AA1419" s="36">
        <f>IF(AND(OR(sel_Region="All",C1419=sel_Region),OR(sel_Country="All",D1419=sel_Country),OR(sel_Channel="All",E1419=sel_Channel),OR(sel_Customer="All",F1419=sel_Customer),OR(sel_Category="All",G1419=sel_Category),OR(sel_Product="All",H1419=sel_Product)),1,0)</f>
        <v/>
      </c>
    </row>
    <row r="1420">
      <c r="A1420" s="36" t="inlineStr">
        <is>
          <t>02215</t>
        </is>
      </c>
      <c r="B1420" s="44" t="n">
        <v>46222</v>
      </c>
      <c r="C1420" s="36" t="inlineStr">
        <is>
          <t>Western Europe</t>
        </is>
      </c>
      <c r="D1420" s="36" t="inlineStr">
        <is>
          <t>France</t>
        </is>
      </c>
      <c r="E1420" s="36" t="inlineStr">
        <is>
          <t>Retail Partners</t>
        </is>
      </c>
      <c r="F1420" s="36" t="inlineStr">
        <is>
          <t>Returning</t>
        </is>
      </c>
      <c r="G1420" s="36" t="inlineStr">
        <is>
          <t>Fitness</t>
        </is>
      </c>
      <c r="H1420" s="36" t="inlineStr">
        <is>
          <t>Recovery Roller</t>
        </is>
      </c>
      <c r="I1420" s="36" t="n">
        <v>3</v>
      </c>
      <c r="J1420" s="39" t="n">
        <v>35.53</v>
      </c>
      <c r="K1420" s="45" t="n">
        <v>0</v>
      </c>
      <c r="L1420" s="39" t="n">
        <v>14</v>
      </c>
      <c r="M1420" s="39">
        <f>I1420*J1420*(1-K1420)</f>
        <v/>
      </c>
      <c r="N1420" s="39">
        <f>I1420*L1420</f>
        <v/>
      </c>
      <c r="O1420" s="39">
        <f>M1420-N1420</f>
        <v/>
      </c>
      <c r="P1420" s="38">
        <f>IF(M1420=0,0,O1420/M1420)</f>
        <v/>
      </c>
      <c r="Q1420" s="36">
        <f>YEAR(B1420)</f>
        <v/>
      </c>
      <c r="R1420" s="36">
        <f>"Q"&amp;ROUNDUP(MONTH(B1420)/3,0)</f>
        <v/>
      </c>
      <c r="S1420" s="36">
        <f>MONTH(B1420)</f>
        <v/>
      </c>
      <c r="T1420" s="36">
        <f>TEXT(B1420,"mmm")</f>
        <v/>
      </c>
      <c r="U1420" s="36">
        <f>IF(AND(OR(sel_Region="All",C1420=sel_Region),OR(sel_Country="All",D1420=sel_Country),OR(sel_Channel="All",E1420=sel_Channel),OR(sel_Customer="All",F1420=sel_Customer),OR(sel_Category="All",G1420=sel_Category),OR(sel_Product="All",H1420=sel_Product),AND(S1420&gt;=m_From,S1420&lt;=m_To)),1,0)</f>
        <v/>
      </c>
      <c r="V1420" s="36">
        <f>IF(AND(OR(sel_Region="All",C1420=sel_Region),OR(sel_Channel="All",E1420=sel_Channel),OR(sel_Customer="All",F1420=sel_Customer),OR(sel_Category="All",G1420=sel_Category),OR(sel_Product="All",H1420=sel_Product),AND(S1420&gt;=m_From,S1420&lt;=m_To)),1,0)</f>
        <v/>
      </c>
      <c r="W1420" s="36">
        <f>IF(AND(OR(sel_Region="All",C1420=sel_Region),OR(sel_Country="All",D1420=sel_Country),OR(sel_Customer="All",F1420=sel_Customer),OR(sel_Category="All",G1420=sel_Category),OR(sel_Product="All",H1420=sel_Product),AND(S1420&gt;=m_From,S1420&lt;=m_To)),1,0)</f>
        <v/>
      </c>
      <c r="X1420" s="36">
        <f>IF(AND(OR(sel_Region="All",C1420=sel_Region),OR(sel_Country="All",D1420=sel_Country),OR(sel_Channel="All",E1420=sel_Channel),OR(sel_Category="All",G1420=sel_Category),OR(sel_Product="All",H1420=sel_Product),AND(S1420&gt;=m_From,S1420&lt;=m_To)),1,0)</f>
        <v/>
      </c>
      <c r="Y1420" s="36">
        <f>IF(AND(OR(sel_Region="All",C1420=sel_Region),OR(sel_Country="All",D1420=sel_Country),OR(sel_Channel="All",E1420=sel_Channel),OR(sel_Customer="All",F1420=sel_Customer),OR(sel_Product="All",H1420=sel_Product),AND(S1420&gt;=m_From,S1420&lt;=m_To)),1,0)</f>
        <v/>
      </c>
      <c r="Z1420" s="36">
        <f>IF(AND(OR(sel_Region="All",C1420=sel_Region),OR(sel_Country="All",D1420=sel_Country),OR(sel_Channel="All",E1420=sel_Channel),OR(sel_Customer="All",F1420=sel_Customer),OR(sel_Category="All",G1420=sel_Category),AND(S1420&gt;=m_From,S1420&lt;=m_To)),1,0)</f>
        <v/>
      </c>
      <c r="AA1420" s="36">
        <f>IF(AND(OR(sel_Region="All",C1420=sel_Region),OR(sel_Country="All",D1420=sel_Country),OR(sel_Channel="All",E1420=sel_Channel),OR(sel_Customer="All",F1420=sel_Customer),OR(sel_Category="All",G1420=sel_Category),OR(sel_Product="All",H1420=sel_Product)),1,0)</f>
        <v/>
      </c>
    </row>
    <row r="1421">
      <c r="A1421" s="36" t="inlineStr">
        <is>
          <t>02555</t>
        </is>
      </c>
      <c r="B1421" s="44" t="n">
        <v>46222</v>
      </c>
      <c r="C1421" s="36" t="inlineStr">
        <is>
          <t>Northern Europe</t>
        </is>
      </c>
      <c r="D1421" s="36" t="inlineStr">
        <is>
          <t>Sweden</t>
        </is>
      </c>
      <c r="E1421" s="36" t="inlineStr">
        <is>
          <t>Marketplace</t>
        </is>
      </c>
      <c r="F1421" s="36" t="inlineStr">
        <is>
          <t>New</t>
        </is>
      </c>
      <c r="G1421" s="36" t="inlineStr">
        <is>
          <t>Travel</t>
        </is>
      </c>
      <c r="H1421" s="36" t="inlineStr">
        <is>
          <t>Packing Cube Set</t>
        </is>
      </c>
      <c r="I1421" s="36" t="n">
        <v>2</v>
      </c>
      <c r="J1421" s="39" t="n">
        <v>46.89</v>
      </c>
      <c r="K1421" s="45" t="n">
        <v>0.1</v>
      </c>
      <c r="L1421" s="39" t="n">
        <v>18.53</v>
      </c>
      <c r="M1421" s="39">
        <f>I1421*J1421*(1-K1421)</f>
        <v/>
      </c>
      <c r="N1421" s="39">
        <f>I1421*L1421</f>
        <v/>
      </c>
      <c r="O1421" s="39">
        <f>M1421-N1421</f>
        <v/>
      </c>
      <c r="P1421" s="38">
        <f>IF(M1421=0,0,O1421/M1421)</f>
        <v/>
      </c>
      <c r="Q1421" s="36">
        <f>YEAR(B1421)</f>
        <v/>
      </c>
      <c r="R1421" s="36">
        <f>"Q"&amp;ROUNDUP(MONTH(B1421)/3,0)</f>
        <v/>
      </c>
      <c r="S1421" s="36">
        <f>MONTH(B1421)</f>
        <v/>
      </c>
      <c r="T1421" s="36">
        <f>TEXT(B1421,"mmm")</f>
        <v/>
      </c>
      <c r="U1421" s="36">
        <f>IF(AND(OR(sel_Region="All",C1421=sel_Region),OR(sel_Country="All",D1421=sel_Country),OR(sel_Channel="All",E1421=sel_Channel),OR(sel_Customer="All",F1421=sel_Customer),OR(sel_Category="All",G1421=sel_Category),OR(sel_Product="All",H1421=sel_Product),AND(S1421&gt;=m_From,S1421&lt;=m_To)),1,0)</f>
        <v/>
      </c>
      <c r="V1421" s="36">
        <f>IF(AND(OR(sel_Region="All",C1421=sel_Region),OR(sel_Channel="All",E1421=sel_Channel),OR(sel_Customer="All",F1421=sel_Customer),OR(sel_Category="All",G1421=sel_Category),OR(sel_Product="All",H1421=sel_Product),AND(S1421&gt;=m_From,S1421&lt;=m_To)),1,0)</f>
        <v/>
      </c>
      <c r="W1421" s="36">
        <f>IF(AND(OR(sel_Region="All",C1421=sel_Region),OR(sel_Country="All",D1421=sel_Country),OR(sel_Customer="All",F1421=sel_Customer),OR(sel_Category="All",G1421=sel_Category),OR(sel_Product="All",H1421=sel_Product),AND(S1421&gt;=m_From,S1421&lt;=m_To)),1,0)</f>
        <v/>
      </c>
      <c r="X1421" s="36">
        <f>IF(AND(OR(sel_Region="All",C1421=sel_Region),OR(sel_Country="All",D1421=sel_Country),OR(sel_Channel="All",E1421=sel_Channel),OR(sel_Category="All",G1421=sel_Category),OR(sel_Product="All",H1421=sel_Product),AND(S1421&gt;=m_From,S1421&lt;=m_To)),1,0)</f>
        <v/>
      </c>
      <c r="Y1421" s="36">
        <f>IF(AND(OR(sel_Region="All",C1421=sel_Region),OR(sel_Country="All",D1421=sel_Country),OR(sel_Channel="All",E1421=sel_Channel),OR(sel_Customer="All",F1421=sel_Customer),OR(sel_Product="All",H1421=sel_Product),AND(S1421&gt;=m_From,S1421&lt;=m_To)),1,0)</f>
        <v/>
      </c>
      <c r="Z1421" s="36">
        <f>IF(AND(OR(sel_Region="All",C1421=sel_Region),OR(sel_Country="All",D1421=sel_Country),OR(sel_Channel="All",E1421=sel_Channel),OR(sel_Customer="All",F1421=sel_Customer),OR(sel_Category="All",G1421=sel_Category),AND(S1421&gt;=m_From,S1421&lt;=m_To)),1,0)</f>
        <v/>
      </c>
      <c r="AA1421" s="36">
        <f>IF(AND(OR(sel_Region="All",C1421=sel_Region),OR(sel_Country="All",D1421=sel_Country),OR(sel_Channel="All",E1421=sel_Channel),OR(sel_Customer="All",F1421=sel_Customer),OR(sel_Category="All",G1421=sel_Category),OR(sel_Product="All",H1421=sel_Product)),1,0)</f>
        <v/>
      </c>
    </row>
    <row r="1422">
      <c r="A1422" s="36" t="inlineStr">
        <is>
          <t>04710</t>
        </is>
      </c>
      <c r="B1422" s="44" t="n">
        <v>46222</v>
      </c>
      <c r="C1422" s="36" t="inlineStr">
        <is>
          <t>Southern Europe</t>
        </is>
      </c>
      <c r="D1422" s="36" t="inlineStr">
        <is>
          <t>Spain</t>
        </is>
      </c>
      <c r="E1422" s="36" t="inlineStr">
        <is>
          <t>Retail Partners</t>
        </is>
      </c>
      <c r="F1422" s="36" t="inlineStr">
        <is>
          <t>Returning</t>
        </is>
      </c>
      <c r="G1422" s="36" t="inlineStr">
        <is>
          <t>Camping</t>
        </is>
      </c>
      <c r="H1422" s="36" t="inlineStr">
        <is>
          <t>Trail Tent 2P</t>
        </is>
      </c>
      <c r="I1422" s="36" t="n">
        <v>1</v>
      </c>
      <c r="J1422" s="39" t="n">
        <v>197.29</v>
      </c>
      <c r="K1422" s="45" t="n">
        <v>0.1</v>
      </c>
      <c r="L1422" s="39" t="n">
        <v>104.7</v>
      </c>
      <c r="M1422" s="39">
        <f>I1422*J1422*(1-K1422)</f>
        <v/>
      </c>
      <c r="N1422" s="39">
        <f>I1422*L1422</f>
        <v/>
      </c>
      <c r="O1422" s="39">
        <f>M1422-N1422</f>
        <v/>
      </c>
      <c r="P1422" s="38">
        <f>IF(M1422=0,0,O1422/M1422)</f>
        <v/>
      </c>
      <c r="Q1422" s="36">
        <f>YEAR(B1422)</f>
        <v/>
      </c>
      <c r="R1422" s="36">
        <f>"Q"&amp;ROUNDUP(MONTH(B1422)/3,0)</f>
        <v/>
      </c>
      <c r="S1422" s="36">
        <f>MONTH(B1422)</f>
        <v/>
      </c>
      <c r="T1422" s="36">
        <f>TEXT(B1422,"mmm")</f>
        <v/>
      </c>
      <c r="U1422" s="36">
        <f>IF(AND(OR(sel_Region="All",C1422=sel_Region),OR(sel_Country="All",D1422=sel_Country),OR(sel_Channel="All",E1422=sel_Channel),OR(sel_Customer="All",F1422=sel_Customer),OR(sel_Category="All",G1422=sel_Category),OR(sel_Product="All",H1422=sel_Product),AND(S1422&gt;=m_From,S1422&lt;=m_To)),1,0)</f>
        <v/>
      </c>
      <c r="V1422" s="36">
        <f>IF(AND(OR(sel_Region="All",C1422=sel_Region),OR(sel_Channel="All",E1422=sel_Channel),OR(sel_Customer="All",F1422=sel_Customer),OR(sel_Category="All",G1422=sel_Category),OR(sel_Product="All",H1422=sel_Product),AND(S1422&gt;=m_From,S1422&lt;=m_To)),1,0)</f>
        <v/>
      </c>
      <c r="W1422" s="36">
        <f>IF(AND(OR(sel_Region="All",C1422=sel_Region),OR(sel_Country="All",D1422=sel_Country),OR(sel_Customer="All",F1422=sel_Customer),OR(sel_Category="All",G1422=sel_Category),OR(sel_Product="All",H1422=sel_Product),AND(S1422&gt;=m_From,S1422&lt;=m_To)),1,0)</f>
        <v/>
      </c>
      <c r="X1422" s="36">
        <f>IF(AND(OR(sel_Region="All",C1422=sel_Region),OR(sel_Country="All",D1422=sel_Country),OR(sel_Channel="All",E1422=sel_Channel),OR(sel_Category="All",G1422=sel_Category),OR(sel_Product="All",H1422=sel_Product),AND(S1422&gt;=m_From,S1422&lt;=m_To)),1,0)</f>
        <v/>
      </c>
      <c r="Y1422" s="36">
        <f>IF(AND(OR(sel_Region="All",C1422=sel_Region),OR(sel_Country="All",D1422=sel_Country),OR(sel_Channel="All",E1422=sel_Channel),OR(sel_Customer="All",F1422=sel_Customer),OR(sel_Product="All",H1422=sel_Product),AND(S1422&gt;=m_From,S1422&lt;=m_To)),1,0)</f>
        <v/>
      </c>
      <c r="Z1422" s="36">
        <f>IF(AND(OR(sel_Region="All",C1422=sel_Region),OR(sel_Country="All",D1422=sel_Country),OR(sel_Channel="All",E1422=sel_Channel),OR(sel_Customer="All",F1422=sel_Customer),OR(sel_Category="All",G1422=sel_Category),AND(S1422&gt;=m_From,S1422&lt;=m_To)),1,0)</f>
        <v/>
      </c>
      <c r="AA1422" s="36">
        <f>IF(AND(OR(sel_Region="All",C1422=sel_Region),OR(sel_Country="All",D1422=sel_Country),OR(sel_Channel="All",E1422=sel_Channel),OR(sel_Customer="All",F1422=sel_Customer),OR(sel_Category="All",G1422=sel_Category),OR(sel_Product="All",H1422=sel_Product)),1,0)</f>
        <v/>
      </c>
    </row>
    <row r="1423">
      <c r="A1423" s="36" t="inlineStr">
        <is>
          <t>04974</t>
        </is>
      </c>
      <c r="B1423" s="44" t="n">
        <v>46222</v>
      </c>
      <c r="C1423" s="36" t="inlineStr">
        <is>
          <t>Southern Europe</t>
        </is>
      </c>
      <c r="D1423" s="36" t="inlineStr">
        <is>
          <t>Portugal</t>
        </is>
      </c>
      <c r="E1423" s="36" t="inlineStr">
        <is>
          <t>Retail Partners</t>
        </is>
      </c>
      <c r="F1423" s="36" t="inlineStr">
        <is>
          <t>Business</t>
        </is>
      </c>
      <c r="G1423" s="36" t="inlineStr">
        <is>
          <t>Hiking</t>
        </is>
      </c>
      <c r="H1423" s="36" t="inlineStr">
        <is>
          <t>Trekking Poles</t>
        </is>
      </c>
      <c r="I1423" s="36" t="n">
        <v>1</v>
      </c>
      <c r="J1423" s="39" t="n">
        <v>70.52</v>
      </c>
      <c r="K1423" s="45" t="n">
        <v>0.1</v>
      </c>
      <c r="L1423" s="39" t="n">
        <v>33.28</v>
      </c>
      <c r="M1423" s="39">
        <f>I1423*J1423*(1-K1423)</f>
        <v/>
      </c>
      <c r="N1423" s="39">
        <f>I1423*L1423</f>
        <v/>
      </c>
      <c r="O1423" s="39">
        <f>M1423-N1423</f>
        <v/>
      </c>
      <c r="P1423" s="38">
        <f>IF(M1423=0,0,O1423/M1423)</f>
        <v/>
      </c>
      <c r="Q1423" s="36">
        <f>YEAR(B1423)</f>
        <v/>
      </c>
      <c r="R1423" s="36">
        <f>"Q"&amp;ROUNDUP(MONTH(B1423)/3,0)</f>
        <v/>
      </c>
      <c r="S1423" s="36">
        <f>MONTH(B1423)</f>
        <v/>
      </c>
      <c r="T1423" s="36">
        <f>TEXT(B1423,"mmm")</f>
        <v/>
      </c>
      <c r="U1423" s="36">
        <f>IF(AND(OR(sel_Region="All",C1423=sel_Region),OR(sel_Country="All",D1423=sel_Country),OR(sel_Channel="All",E1423=sel_Channel),OR(sel_Customer="All",F1423=sel_Customer),OR(sel_Category="All",G1423=sel_Category),OR(sel_Product="All",H1423=sel_Product),AND(S1423&gt;=m_From,S1423&lt;=m_To)),1,0)</f>
        <v/>
      </c>
      <c r="V1423" s="36">
        <f>IF(AND(OR(sel_Region="All",C1423=sel_Region),OR(sel_Channel="All",E1423=sel_Channel),OR(sel_Customer="All",F1423=sel_Customer),OR(sel_Category="All",G1423=sel_Category),OR(sel_Product="All",H1423=sel_Product),AND(S1423&gt;=m_From,S1423&lt;=m_To)),1,0)</f>
        <v/>
      </c>
      <c r="W1423" s="36">
        <f>IF(AND(OR(sel_Region="All",C1423=sel_Region),OR(sel_Country="All",D1423=sel_Country),OR(sel_Customer="All",F1423=sel_Customer),OR(sel_Category="All",G1423=sel_Category),OR(sel_Product="All",H1423=sel_Product),AND(S1423&gt;=m_From,S1423&lt;=m_To)),1,0)</f>
        <v/>
      </c>
      <c r="X1423" s="36">
        <f>IF(AND(OR(sel_Region="All",C1423=sel_Region),OR(sel_Country="All",D1423=sel_Country),OR(sel_Channel="All",E1423=sel_Channel),OR(sel_Category="All",G1423=sel_Category),OR(sel_Product="All",H1423=sel_Product),AND(S1423&gt;=m_From,S1423&lt;=m_To)),1,0)</f>
        <v/>
      </c>
      <c r="Y1423" s="36">
        <f>IF(AND(OR(sel_Region="All",C1423=sel_Region),OR(sel_Country="All",D1423=sel_Country),OR(sel_Channel="All",E1423=sel_Channel),OR(sel_Customer="All",F1423=sel_Customer),OR(sel_Product="All",H1423=sel_Product),AND(S1423&gt;=m_From,S1423&lt;=m_To)),1,0)</f>
        <v/>
      </c>
      <c r="Z1423" s="36">
        <f>IF(AND(OR(sel_Region="All",C1423=sel_Region),OR(sel_Country="All",D1423=sel_Country),OR(sel_Channel="All",E1423=sel_Channel),OR(sel_Customer="All",F1423=sel_Customer),OR(sel_Category="All",G1423=sel_Category),AND(S1423&gt;=m_From,S1423&lt;=m_To)),1,0)</f>
        <v/>
      </c>
      <c r="AA1423" s="36">
        <f>IF(AND(OR(sel_Region="All",C1423=sel_Region),OR(sel_Country="All",D1423=sel_Country),OR(sel_Channel="All",E1423=sel_Channel),OR(sel_Customer="All",F1423=sel_Customer),OR(sel_Category="All",G1423=sel_Category),OR(sel_Product="All",H1423=sel_Product)),1,0)</f>
        <v/>
      </c>
    </row>
    <row r="1424">
      <c r="A1424" s="36" t="inlineStr">
        <is>
          <t>05048</t>
        </is>
      </c>
      <c r="B1424" s="44" t="n">
        <v>46222</v>
      </c>
      <c r="C1424" s="36" t="inlineStr">
        <is>
          <t>Central Europe</t>
        </is>
      </c>
      <c r="D1424" s="36" t="inlineStr">
        <is>
          <t>Germany</t>
        </is>
      </c>
      <c r="E1424" s="36" t="inlineStr">
        <is>
          <t>Marketplace</t>
        </is>
      </c>
      <c r="F1424" s="36" t="inlineStr">
        <is>
          <t>New</t>
        </is>
      </c>
      <c r="G1424" s="36" t="inlineStr">
        <is>
          <t>Fitness</t>
        </is>
      </c>
      <c r="H1424" s="36" t="inlineStr">
        <is>
          <t>Training Mat</t>
        </is>
      </c>
      <c r="I1424" s="36" t="n">
        <v>3</v>
      </c>
      <c r="J1424" s="39" t="n">
        <v>49.9</v>
      </c>
      <c r="K1424" s="45" t="n">
        <v>0.05</v>
      </c>
      <c r="L1424" s="39" t="n">
        <v>22.27</v>
      </c>
      <c r="M1424" s="39">
        <f>I1424*J1424*(1-K1424)</f>
        <v/>
      </c>
      <c r="N1424" s="39">
        <f>I1424*L1424</f>
        <v/>
      </c>
      <c r="O1424" s="39">
        <f>M1424-N1424</f>
        <v/>
      </c>
      <c r="P1424" s="38">
        <f>IF(M1424=0,0,O1424/M1424)</f>
        <v/>
      </c>
      <c r="Q1424" s="36">
        <f>YEAR(B1424)</f>
        <v/>
      </c>
      <c r="R1424" s="36">
        <f>"Q"&amp;ROUNDUP(MONTH(B1424)/3,0)</f>
        <v/>
      </c>
      <c r="S1424" s="36">
        <f>MONTH(B1424)</f>
        <v/>
      </c>
      <c r="T1424" s="36">
        <f>TEXT(B1424,"mmm")</f>
        <v/>
      </c>
      <c r="U1424" s="36">
        <f>IF(AND(OR(sel_Region="All",C1424=sel_Region),OR(sel_Country="All",D1424=sel_Country),OR(sel_Channel="All",E1424=sel_Channel),OR(sel_Customer="All",F1424=sel_Customer),OR(sel_Category="All",G1424=sel_Category),OR(sel_Product="All",H1424=sel_Product),AND(S1424&gt;=m_From,S1424&lt;=m_To)),1,0)</f>
        <v/>
      </c>
      <c r="V1424" s="36">
        <f>IF(AND(OR(sel_Region="All",C1424=sel_Region),OR(sel_Channel="All",E1424=sel_Channel),OR(sel_Customer="All",F1424=sel_Customer),OR(sel_Category="All",G1424=sel_Category),OR(sel_Product="All",H1424=sel_Product),AND(S1424&gt;=m_From,S1424&lt;=m_To)),1,0)</f>
        <v/>
      </c>
      <c r="W1424" s="36">
        <f>IF(AND(OR(sel_Region="All",C1424=sel_Region),OR(sel_Country="All",D1424=sel_Country),OR(sel_Customer="All",F1424=sel_Customer),OR(sel_Category="All",G1424=sel_Category),OR(sel_Product="All",H1424=sel_Product),AND(S1424&gt;=m_From,S1424&lt;=m_To)),1,0)</f>
        <v/>
      </c>
      <c r="X1424" s="36">
        <f>IF(AND(OR(sel_Region="All",C1424=sel_Region),OR(sel_Country="All",D1424=sel_Country),OR(sel_Channel="All",E1424=sel_Channel),OR(sel_Category="All",G1424=sel_Category),OR(sel_Product="All",H1424=sel_Product),AND(S1424&gt;=m_From,S1424&lt;=m_To)),1,0)</f>
        <v/>
      </c>
      <c r="Y1424" s="36">
        <f>IF(AND(OR(sel_Region="All",C1424=sel_Region),OR(sel_Country="All",D1424=sel_Country),OR(sel_Channel="All",E1424=sel_Channel),OR(sel_Customer="All",F1424=sel_Customer),OR(sel_Product="All",H1424=sel_Product),AND(S1424&gt;=m_From,S1424&lt;=m_To)),1,0)</f>
        <v/>
      </c>
      <c r="Z1424" s="36">
        <f>IF(AND(OR(sel_Region="All",C1424=sel_Region),OR(sel_Country="All",D1424=sel_Country),OR(sel_Channel="All",E1424=sel_Channel),OR(sel_Customer="All",F1424=sel_Customer),OR(sel_Category="All",G1424=sel_Category),AND(S1424&gt;=m_From,S1424&lt;=m_To)),1,0)</f>
        <v/>
      </c>
      <c r="AA1424" s="36">
        <f>IF(AND(OR(sel_Region="All",C1424=sel_Region),OR(sel_Country="All",D1424=sel_Country),OR(sel_Channel="All",E1424=sel_Channel),OR(sel_Customer="All",F1424=sel_Customer),OR(sel_Category="All",G1424=sel_Category),OR(sel_Product="All",H1424=sel_Product)),1,0)</f>
        <v/>
      </c>
    </row>
    <row r="1425">
      <c r="A1425" s="36" t="inlineStr">
        <is>
          <t>00001</t>
        </is>
      </c>
      <c r="B1425" s="44" t="n">
        <v>46223</v>
      </c>
      <c r="C1425" s="36" t="inlineStr">
        <is>
          <t>Western Europe</t>
        </is>
      </c>
      <c r="D1425" s="36" t="inlineStr">
        <is>
          <t>Netherlands</t>
        </is>
      </c>
      <c r="E1425" s="36" t="inlineStr">
        <is>
          <t>Retail Partners</t>
        </is>
      </c>
      <c r="F1425" s="36" t="inlineStr">
        <is>
          <t>New</t>
        </is>
      </c>
      <c r="G1425" s="36" t="inlineStr">
        <is>
          <t>Hiking</t>
        </is>
      </c>
      <c r="H1425" s="36" t="inlineStr">
        <is>
          <t>Summit Backpack 45L</t>
        </is>
      </c>
      <c r="I1425" s="36" t="n">
        <v>3</v>
      </c>
      <c r="J1425" s="39" t="n">
        <v>156.25</v>
      </c>
      <c r="K1425" s="45" t="n">
        <v>0</v>
      </c>
      <c r="L1425" s="39" t="n">
        <v>79.90000000000001</v>
      </c>
      <c r="M1425" s="39">
        <f>I1425*J1425*(1-K1425)</f>
        <v/>
      </c>
      <c r="N1425" s="39">
        <f>I1425*L1425</f>
        <v/>
      </c>
      <c r="O1425" s="39">
        <f>M1425-N1425</f>
        <v/>
      </c>
      <c r="P1425" s="38">
        <f>IF(M1425=0,0,O1425/M1425)</f>
        <v/>
      </c>
      <c r="Q1425" s="36">
        <f>YEAR(B1425)</f>
        <v/>
      </c>
      <c r="R1425" s="36">
        <f>"Q"&amp;ROUNDUP(MONTH(B1425)/3,0)</f>
        <v/>
      </c>
      <c r="S1425" s="36">
        <f>MONTH(B1425)</f>
        <v/>
      </c>
      <c r="T1425" s="36">
        <f>TEXT(B1425,"mmm")</f>
        <v/>
      </c>
      <c r="U1425" s="36">
        <f>IF(AND(OR(sel_Region="All",C1425=sel_Region),OR(sel_Country="All",D1425=sel_Country),OR(sel_Channel="All",E1425=sel_Channel),OR(sel_Customer="All",F1425=sel_Customer),OR(sel_Category="All",G1425=sel_Category),OR(sel_Product="All",H1425=sel_Product),AND(S1425&gt;=m_From,S1425&lt;=m_To)),1,0)</f>
        <v/>
      </c>
      <c r="V1425" s="36">
        <f>IF(AND(OR(sel_Region="All",C1425=sel_Region),OR(sel_Channel="All",E1425=sel_Channel),OR(sel_Customer="All",F1425=sel_Customer),OR(sel_Category="All",G1425=sel_Category),OR(sel_Product="All",H1425=sel_Product),AND(S1425&gt;=m_From,S1425&lt;=m_To)),1,0)</f>
        <v/>
      </c>
      <c r="W1425" s="36">
        <f>IF(AND(OR(sel_Region="All",C1425=sel_Region),OR(sel_Country="All",D1425=sel_Country),OR(sel_Customer="All",F1425=sel_Customer),OR(sel_Category="All",G1425=sel_Category),OR(sel_Product="All",H1425=sel_Product),AND(S1425&gt;=m_From,S1425&lt;=m_To)),1,0)</f>
        <v/>
      </c>
      <c r="X1425" s="36">
        <f>IF(AND(OR(sel_Region="All",C1425=sel_Region),OR(sel_Country="All",D1425=sel_Country),OR(sel_Channel="All",E1425=sel_Channel),OR(sel_Category="All",G1425=sel_Category),OR(sel_Product="All",H1425=sel_Product),AND(S1425&gt;=m_From,S1425&lt;=m_To)),1,0)</f>
        <v/>
      </c>
      <c r="Y1425" s="36">
        <f>IF(AND(OR(sel_Region="All",C1425=sel_Region),OR(sel_Country="All",D1425=sel_Country),OR(sel_Channel="All",E1425=sel_Channel),OR(sel_Customer="All",F1425=sel_Customer),OR(sel_Product="All",H1425=sel_Product),AND(S1425&gt;=m_From,S1425&lt;=m_To)),1,0)</f>
        <v/>
      </c>
      <c r="Z1425" s="36">
        <f>IF(AND(OR(sel_Region="All",C1425=sel_Region),OR(sel_Country="All",D1425=sel_Country),OR(sel_Channel="All",E1425=sel_Channel),OR(sel_Customer="All",F1425=sel_Customer),OR(sel_Category="All",G1425=sel_Category),AND(S1425&gt;=m_From,S1425&lt;=m_To)),1,0)</f>
        <v/>
      </c>
      <c r="AA1425" s="36">
        <f>IF(AND(OR(sel_Region="All",C1425=sel_Region),OR(sel_Country="All",D1425=sel_Country),OR(sel_Channel="All",E1425=sel_Channel),OR(sel_Customer="All",F1425=sel_Customer),OR(sel_Category="All",G1425=sel_Category),OR(sel_Product="All",H1425=sel_Product)),1,0)</f>
        <v/>
      </c>
    </row>
    <row r="1426">
      <c r="A1426" s="36" t="inlineStr">
        <is>
          <t>00270</t>
        </is>
      </c>
      <c r="B1426" s="44" t="n">
        <v>46223</v>
      </c>
      <c r="C1426" s="36" t="inlineStr">
        <is>
          <t>Northern Europe</t>
        </is>
      </c>
      <c r="D1426" s="36" t="inlineStr">
        <is>
          <t>Sweden</t>
        </is>
      </c>
      <c r="E1426" s="36" t="inlineStr">
        <is>
          <t>Marketplace</t>
        </is>
      </c>
      <c r="F1426" s="36" t="inlineStr">
        <is>
          <t>Returning</t>
        </is>
      </c>
      <c r="G1426" s="36" t="inlineStr">
        <is>
          <t>Camping</t>
        </is>
      </c>
      <c r="H1426" s="36" t="inlineStr">
        <is>
          <t>Compact Sleeping Bag</t>
        </is>
      </c>
      <c r="I1426" s="36" t="n">
        <v>3</v>
      </c>
      <c r="J1426" s="39" t="n">
        <v>120.14</v>
      </c>
      <c r="K1426" s="45" t="n">
        <v>0</v>
      </c>
      <c r="L1426" s="39" t="n">
        <v>58.9</v>
      </c>
      <c r="M1426" s="39">
        <f>I1426*J1426*(1-K1426)</f>
        <v/>
      </c>
      <c r="N1426" s="39">
        <f>I1426*L1426</f>
        <v/>
      </c>
      <c r="O1426" s="39">
        <f>M1426-N1426</f>
        <v/>
      </c>
      <c r="P1426" s="38">
        <f>IF(M1426=0,0,O1426/M1426)</f>
        <v/>
      </c>
      <c r="Q1426" s="36">
        <f>YEAR(B1426)</f>
        <v/>
      </c>
      <c r="R1426" s="36">
        <f>"Q"&amp;ROUNDUP(MONTH(B1426)/3,0)</f>
        <v/>
      </c>
      <c r="S1426" s="36">
        <f>MONTH(B1426)</f>
        <v/>
      </c>
      <c r="T1426" s="36">
        <f>TEXT(B1426,"mmm")</f>
        <v/>
      </c>
      <c r="U1426" s="36">
        <f>IF(AND(OR(sel_Region="All",C1426=sel_Region),OR(sel_Country="All",D1426=sel_Country),OR(sel_Channel="All",E1426=sel_Channel),OR(sel_Customer="All",F1426=sel_Customer),OR(sel_Category="All",G1426=sel_Category),OR(sel_Product="All",H1426=sel_Product),AND(S1426&gt;=m_From,S1426&lt;=m_To)),1,0)</f>
        <v/>
      </c>
      <c r="V1426" s="36">
        <f>IF(AND(OR(sel_Region="All",C1426=sel_Region),OR(sel_Channel="All",E1426=sel_Channel),OR(sel_Customer="All",F1426=sel_Customer),OR(sel_Category="All",G1426=sel_Category),OR(sel_Product="All",H1426=sel_Product),AND(S1426&gt;=m_From,S1426&lt;=m_To)),1,0)</f>
        <v/>
      </c>
      <c r="W1426" s="36">
        <f>IF(AND(OR(sel_Region="All",C1426=sel_Region),OR(sel_Country="All",D1426=sel_Country),OR(sel_Customer="All",F1426=sel_Customer),OR(sel_Category="All",G1426=sel_Category),OR(sel_Product="All",H1426=sel_Product),AND(S1426&gt;=m_From,S1426&lt;=m_To)),1,0)</f>
        <v/>
      </c>
      <c r="X1426" s="36">
        <f>IF(AND(OR(sel_Region="All",C1426=sel_Region),OR(sel_Country="All",D1426=sel_Country),OR(sel_Channel="All",E1426=sel_Channel),OR(sel_Category="All",G1426=sel_Category),OR(sel_Product="All",H1426=sel_Product),AND(S1426&gt;=m_From,S1426&lt;=m_To)),1,0)</f>
        <v/>
      </c>
      <c r="Y1426" s="36">
        <f>IF(AND(OR(sel_Region="All",C1426=sel_Region),OR(sel_Country="All",D1426=sel_Country),OR(sel_Channel="All",E1426=sel_Channel),OR(sel_Customer="All",F1426=sel_Customer),OR(sel_Product="All",H1426=sel_Product),AND(S1426&gt;=m_From,S1426&lt;=m_To)),1,0)</f>
        <v/>
      </c>
      <c r="Z1426" s="36">
        <f>IF(AND(OR(sel_Region="All",C1426=sel_Region),OR(sel_Country="All",D1426=sel_Country),OR(sel_Channel="All",E1426=sel_Channel),OR(sel_Customer="All",F1426=sel_Customer),OR(sel_Category="All",G1426=sel_Category),AND(S1426&gt;=m_From,S1426&lt;=m_To)),1,0)</f>
        <v/>
      </c>
      <c r="AA1426" s="36">
        <f>IF(AND(OR(sel_Region="All",C1426=sel_Region),OR(sel_Country="All",D1426=sel_Country),OR(sel_Channel="All",E1426=sel_Channel),OR(sel_Customer="All",F1426=sel_Customer),OR(sel_Category="All",G1426=sel_Category),OR(sel_Product="All",H1426=sel_Product)),1,0)</f>
        <v/>
      </c>
    </row>
    <row r="1427">
      <c r="A1427" s="36" t="inlineStr">
        <is>
          <t>02130</t>
        </is>
      </c>
      <c r="B1427" s="44" t="n">
        <v>46223</v>
      </c>
      <c r="C1427" s="36" t="inlineStr">
        <is>
          <t>Central Europe</t>
        </is>
      </c>
      <c r="D1427" s="36" t="inlineStr">
        <is>
          <t>Poland</t>
        </is>
      </c>
      <c r="E1427" s="36" t="inlineStr">
        <is>
          <t>Retail Partners</t>
        </is>
      </c>
      <c r="F1427" s="36" t="inlineStr">
        <is>
          <t>Returning</t>
        </is>
      </c>
      <c r="G1427" s="36" t="inlineStr">
        <is>
          <t>Hiking</t>
        </is>
      </c>
      <c r="H1427" s="36" t="inlineStr">
        <is>
          <t>Trail Boots</t>
        </is>
      </c>
      <c r="I1427" s="36" t="n">
        <v>1</v>
      </c>
      <c r="J1427" s="39" t="n">
        <v>145.21</v>
      </c>
      <c r="K1427" s="45" t="n">
        <v>0</v>
      </c>
      <c r="L1427" s="39" t="n">
        <v>80.52</v>
      </c>
      <c r="M1427" s="39">
        <f>I1427*J1427*(1-K1427)</f>
        <v/>
      </c>
      <c r="N1427" s="39">
        <f>I1427*L1427</f>
        <v/>
      </c>
      <c r="O1427" s="39">
        <f>M1427-N1427</f>
        <v/>
      </c>
      <c r="P1427" s="38">
        <f>IF(M1427=0,0,O1427/M1427)</f>
        <v/>
      </c>
      <c r="Q1427" s="36">
        <f>YEAR(B1427)</f>
        <v/>
      </c>
      <c r="R1427" s="36">
        <f>"Q"&amp;ROUNDUP(MONTH(B1427)/3,0)</f>
        <v/>
      </c>
      <c r="S1427" s="36">
        <f>MONTH(B1427)</f>
        <v/>
      </c>
      <c r="T1427" s="36">
        <f>TEXT(B1427,"mmm")</f>
        <v/>
      </c>
      <c r="U1427" s="36">
        <f>IF(AND(OR(sel_Region="All",C1427=sel_Region),OR(sel_Country="All",D1427=sel_Country),OR(sel_Channel="All",E1427=sel_Channel),OR(sel_Customer="All",F1427=sel_Customer),OR(sel_Category="All",G1427=sel_Category),OR(sel_Product="All",H1427=sel_Product),AND(S1427&gt;=m_From,S1427&lt;=m_To)),1,0)</f>
        <v/>
      </c>
      <c r="V1427" s="36">
        <f>IF(AND(OR(sel_Region="All",C1427=sel_Region),OR(sel_Channel="All",E1427=sel_Channel),OR(sel_Customer="All",F1427=sel_Customer),OR(sel_Category="All",G1427=sel_Category),OR(sel_Product="All",H1427=sel_Product),AND(S1427&gt;=m_From,S1427&lt;=m_To)),1,0)</f>
        <v/>
      </c>
      <c r="W1427" s="36">
        <f>IF(AND(OR(sel_Region="All",C1427=sel_Region),OR(sel_Country="All",D1427=sel_Country),OR(sel_Customer="All",F1427=sel_Customer),OR(sel_Category="All",G1427=sel_Category),OR(sel_Product="All",H1427=sel_Product),AND(S1427&gt;=m_From,S1427&lt;=m_To)),1,0)</f>
        <v/>
      </c>
      <c r="X1427" s="36">
        <f>IF(AND(OR(sel_Region="All",C1427=sel_Region),OR(sel_Country="All",D1427=sel_Country),OR(sel_Channel="All",E1427=sel_Channel),OR(sel_Category="All",G1427=sel_Category),OR(sel_Product="All",H1427=sel_Product),AND(S1427&gt;=m_From,S1427&lt;=m_To)),1,0)</f>
        <v/>
      </c>
      <c r="Y1427" s="36">
        <f>IF(AND(OR(sel_Region="All",C1427=sel_Region),OR(sel_Country="All",D1427=sel_Country),OR(sel_Channel="All",E1427=sel_Channel),OR(sel_Customer="All",F1427=sel_Customer),OR(sel_Product="All",H1427=sel_Product),AND(S1427&gt;=m_From,S1427&lt;=m_To)),1,0)</f>
        <v/>
      </c>
      <c r="Z1427" s="36">
        <f>IF(AND(OR(sel_Region="All",C1427=sel_Region),OR(sel_Country="All",D1427=sel_Country),OR(sel_Channel="All",E1427=sel_Channel),OR(sel_Customer="All",F1427=sel_Customer),OR(sel_Category="All",G1427=sel_Category),AND(S1427&gt;=m_From,S1427&lt;=m_To)),1,0)</f>
        <v/>
      </c>
      <c r="AA1427" s="36">
        <f>IF(AND(OR(sel_Region="All",C1427=sel_Region),OR(sel_Country="All",D1427=sel_Country),OR(sel_Channel="All",E1427=sel_Channel),OR(sel_Customer="All",F1427=sel_Customer),OR(sel_Category="All",G1427=sel_Category),OR(sel_Product="All",H1427=sel_Product)),1,0)</f>
        <v/>
      </c>
    </row>
    <row r="1428">
      <c r="A1428" s="36" t="inlineStr">
        <is>
          <t>02474</t>
        </is>
      </c>
      <c r="B1428" s="44" t="n">
        <v>46223</v>
      </c>
      <c r="C1428" s="36" t="inlineStr">
        <is>
          <t>Northern Europe</t>
        </is>
      </c>
      <c r="D1428" s="36" t="inlineStr">
        <is>
          <t>Sweden</t>
        </is>
      </c>
      <c r="E1428" s="36" t="inlineStr">
        <is>
          <t>Retail Partners</t>
        </is>
      </c>
      <c r="F1428" s="36" t="inlineStr">
        <is>
          <t>Returning</t>
        </is>
      </c>
      <c r="G1428" s="36" t="inlineStr">
        <is>
          <t>Cycling</t>
        </is>
      </c>
      <c r="H1428" s="36" t="inlineStr">
        <is>
          <t>Compact Repair Kit</t>
        </is>
      </c>
      <c r="I1428" s="36" t="n">
        <v>2</v>
      </c>
      <c r="J1428" s="39" t="n">
        <v>39.78</v>
      </c>
      <c r="K1428" s="45" t="n">
        <v>0.1</v>
      </c>
      <c r="L1428" s="39" t="n">
        <v>16.26</v>
      </c>
      <c r="M1428" s="39">
        <f>I1428*J1428*(1-K1428)</f>
        <v/>
      </c>
      <c r="N1428" s="39">
        <f>I1428*L1428</f>
        <v/>
      </c>
      <c r="O1428" s="39">
        <f>M1428-N1428</f>
        <v/>
      </c>
      <c r="P1428" s="38">
        <f>IF(M1428=0,0,O1428/M1428)</f>
        <v/>
      </c>
      <c r="Q1428" s="36">
        <f>YEAR(B1428)</f>
        <v/>
      </c>
      <c r="R1428" s="36">
        <f>"Q"&amp;ROUNDUP(MONTH(B1428)/3,0)</f>
        <v/>
      </c>
      <c r="S1428" s="36">
        <f>MONTH(B1428)</f>
        <v/>
      </c>
      <c r="T1428" s="36">
        <f>TEXT(B1428,"mmm")</f>
        <v/>
      </c>
      <c r="U1428" s="36">
        <f>IF(AND(OR(sel_Region="All",C1428=sel_Region),OR(sel_Country="All",D1428=sel_Country),OR(sel_Channel="All",E1428=sel_Channel),OR(sel_Customer="All",F1428=sel_Customer),OR(sel_Category="All",G1428=sel_Category),OR(sel_Product="All",H1428=sel_Product),AND(S1428&gt;=m_From,S1428&lt;=m_To)),1,0)</f>
        <v/>
      </c>
      <c r="V1428" s="36">
        <f>IF(AND(OR(sel_Region="All",C1428=sel_Region),OR(sel_Channel="All",E1428=sel_Channel),OR(sel_Customer="All",F1428=sel_Customer),OR(sel_Category="All",G1428=sel_Category),OR(sel_Product="All",H1428=sel_Product),AND(S1428&gt;=m_From,S1428&lt;=m_To)),1,0)</f>
        <v/>
      </c>
      <c r="W1428" s="36">
        <f>IF(AND(OR(sel_Region="All",C1428=sel_Region),OR(sel_Country="All",D1428=sel_Country),OR(sel_Customer="All",F1428=sel_Customer),OR(sel_Category="All",G1428=sel_Category),OR(sel_Product="All",H1428=sel_Product),AND(S1428&gt;=m_From,S1428&lt;=m_To)),1,0)</f>
        <v/>
      </c>
      <c r="X1428" s="36">
        <f>IF(AND(OR(sel_Region="All",C1428=sel_Region),OR(sel_Country="All",D1428=sel_Country),OR(sel_Channel="All",E1428=sel_Channel),OR(sel_Category="All",G1428=sel_Category),OR(sel_Product="All",H1428=sel_Product),AND(S1428&gt;=m_From,S1428&lt;=m_To)),1,0)</f>
        <v/>
      </c>
      <c r="Y1428" s="36">
        <f>IF(AND(OR(sel_Region="All",C1428=sel_Region),OR(sel_Country="All",D1428=sel_Country),OR(sel_Channel="All",E1428=sel_Channel),OR(sel_Customer="All",F1428=sel_Customer),OR(sel_Product="All",H1428=sel_Product),AND(S1428&gt;=m_From,S1428&lt;=m_To)),1,0)</f>
        <v/>
      </c>
      <c r="Z1428" s="36">
        <f>IF(AND(OR(sel_Region="All",C1428=sel_Region),OR(sel_Country="All",D1428=sel_Country),OR(sel_Channel="All",E1428=sel_Channel),OR(sel_Customer="All",F1428=sel_Customer),OR(sel_Category="All",G1428=sel_Category),AND(S1428&gt;=m_From,S1428&lt;=m_To)),1,0)</f>
        <v/>
      </c>
      <c r="AA1428" s="36">
        <f>IF(AND(OR(sel_Region="All",C1428=sel_Region),OR(sel_Country="All",D1428=sel_Country),OR(sel_Channel="All",E1428=sel_Channel),OR(sel_Customer="All",F1428=sel_Customer),OR(sel_Category="All",G1428=sel_Category),OR(sel_Product="All",H1428=sel_Product)),1,0)</f>
        <v/>
      </c>
    </row>
    <row r="1429">
      <c r="A1429" s="36" t="inlineStr">
        <is>
          <t>02514</t>
        </is>
      </c>
      <c r="B1429" s="44" t="n">
        <v>46223</v>
      </c>
      <c r="C1429" s="36" t="inlineStr">
        <is>
          <t>Central Europe</t>
        </is>
      </c>
      <c r="D1429" s="36" t="inlineStr">
        <is>
          <t>Austria</t>
        </is>
      </c>
      <c r="E1429" s="36" t="inlineStr">
        <is>
          <t>Online Store</t>
        </is>
      </c>
      <c r="F1429" s="36" t="inlineStr">
        <is>
          <t>New</t>
        </is>
      </c>
      <c r="G1429" s="36" t="inlineStr">
        <is>
          <t>Travel</t>
        </is>
      </c>
      <c r="H1429" s="36" t="inlineStr">
        <is>
          <t>Travel Backpack 35L</t>
        </is>
      </c>
      <c r="I1429" s="36" t="n">
        <v>2</v>
      </c>
      <c r="J1429" s="39" t="n">
        <v>161.97</v>
      </c>
      <c r="K1429" s="45" t="n">
        <v>0.1</v>
      </c>
      <c r="L1429" s="39" t="n">
        <v>88.56999999999999</v>
      </c>
      <c r="M1429" s="39">
        <f>I1429*J1429*(1-K1429)</f>
        <v/>
      </c>
      <c r="N1429" s="39">
        <f>I1429*L1429</f>
        <v/>
      </c>
      <c r="O1429" s="39">
        <f>M1429-N1429</f>
        <v/>
      </c>
      <c r="P1429" s="38">
        <f>IF(M1429=0,0,O1429/M1429)</f>
        <v/>
      </c>
      <c r="Q1429" s="36">
        <f>YEAR(B1429)</f>
        <v/>
      </c>
      <c r="R1429" s="36">
        <f>"Q"&amp;ROUNDUP(MONTH(B1429)/3,0)</f>
        <v/>
      </c>
      <c r="S1429" s="36">
        <f>MONTH(B1429)</f>
        <v/>
      </c>
      <c r="T1429" s="36">
        <f>TEXT(B1429,"mmm")</f>
        <v/>
      </c>
      <c r="U1429" s="36">
        <f>IF(AND(OR(sel_Region="All",C1429=sel_Region),OR(sel_Country="All",D1429=sel_Country),OR(sel_Channel="All",E1429=sel_Channel),OR(sel_Customer="All",F1429=sel_Customer),OR(sel_Category="All",G1429=sel_Category),OR(sel_Product="All",H1429=sel_Product),AND(S1429&gt;=m_From,S1429&lt;=m_To)),1,0)</f>
        <v/>
      </c>
      <c r="V1429" s="36">
        <f>IF(AND(OR(sel_Region="All",C1429=sel_Region),OR(sel_Channel="All",E1429=sel_Channel),OR(sel_Customer="All",F1429=sel_Customer),OR(sel_Category="All",G1429=sel_Category),OR(sel_Product="All",H1429=sel_Product),AND(S1429&gt;=m_From,S1429&lt;=m_To)),1,0)</f>
        <v/>
      </c>
      <c r="W1429" s="36">
        <f>IF(AND(OR(sel_Region="All",C1429=sel_Region),OR(sel_Country="All",D1429=sel_Country),OR(sel_Customer="All",F1429=sel_Customer),OR(sel_Category="All",G1429=sel_Category),OR(sel_Product="All",H1429=sel_Product),AND(S1429&gt;=m_From,S1429&lt;=m_To)),1,0)</f>
        <v/>
      </c>
      <c r="X1429" s="36">
        <f>IF(AND(OR(sel_Region="All",C1429=sel_Region),OR(sel_Country="All",D1429=sel_Country),OR(sel_Channel="All",E1429=sel_Channel),OR(sel_Category="All",G1429=sel_Category),OR(sel_Product="All",H1429=sel_Product),AND(S1429&gt;=m_From,S1429&lt;=m_To)),1,0)</f>
        <v/>
      </c>
      <c r="Y1429" s="36">
        <f>IF(AND(OR(sel_Region="All",C1429=sel_Region),OR(sel_Country="All",D1429=sel_Country),OR(sel_Channel="All",E1429=sel_Channel),OR(sel_Customer="All",F1429=sel_Customer),OR(sel_Product="All",H1429=sel_Product),AND(S1429&gt;=m_From,S1429&lt;=m_To)),1,0)</f>
        <v/>
      </c>
      <c r="Z1429" s="36">
        <f>IF(AND(OR(sel_Region="All",C1429=sel_Region),OR(sel_Country="All",D1429=sel_Country),OR(sel_Channel="All",E1429=sel_Channel),OR(sel_Customer="All",F1429=sel_Customer),OR(sel_Category="All",G1429=sel_Category),AND(S1429&gt;=m_From,S1429&lt;=m_To)),1,0)</f>
        <v/>
      </c>
      <c r="AA1429" s="36">
        <f>IF(AND(OR(sel_Region="All",C1429=sel_Region),OR(sel_Country="All",D1429=sel_Country),OR(sel_Channel="All",E1429=sel_Channel),OR(sel_Customer="All",F1429=sel_Customer),OR(sel_Category="All",G1429=sel_Category),OR(sel_Product="All",H1429=sel_Product)),1,0)</f>
        <v/>
      </c>
    </row>
    <row r="1430">
      <c r="A1430" s="36" t="inlineStr">
        <is>
          <t>02616</t>
        </is>
      </c>
      <c r="B1430" s="44" t="n">
        <v>46223</v>
      </c>
      <c r="C1430" s="36" t="inlineStr">
        <is>
          <t>Northern Europe</t>
        </is>
      </c>
      <c r="D1430" s="36" t="inlineStr">
        <is>
          <t>Ireland</t>
        </is>
      </c>
      <c r="E1430" s="36" t="inlineStr">
        <is>
          <t>Retail Partners</t>
        </is>
      </c>
      <c r="F1430" s="36" t="inlineStr">
        <is>
          <t>New</t>
        </is>
      </c>
      <c r="G1430" s="36" t="inlineStr">
        <is>
          <t>Fitness</t>
        </is>
      </c>
      <c r="H1430" s="36" t="inlineStr">
        <is>
          <t>Weighted Vest</t>
        </is>
      </c>
      <c r="I1430" s="36" t="n">
        <v>2</v>
      </c>
      <c r="J1430" s="39" t="n">
        <v>125.37</v>
      </c>
      <c r="K1430" s="45" t="n">
        <v>0</v>
      </c>
      <c r="L1430" s="39" t="n">
        <v>68.04000000000001</v>
      </c>
      <c r="M1430" s="39">
        <f>I1430*J1430*(1-K1430)</f>
        <v/>
      </c>
      <c r="N1430" s="39">
        <f>I1430*L1430</f>
        <v/>
      </c>
      <c r="O1430" s="39">
        <f>M1430-N1430</f>
        <v/>
      </c>
      <c r="P1430" s="38">
        <f>IF(M1430=0,0,O1430/M1430)</f>
        <v/>
      </c>
      <c r="Q1430" s="36">
        <f>YEAR(B1430)</f>
        <v/>
      </c>
      <c r="R1430" s="36">
        <f>"Q"&amp;ROUNDUP(MONTH(B1430)/3,0)</f>
        <v/>
      </c>
      <c r="S1430" s="36">
        <f>MONTH(B1430)</f>
        <v/>
      </c>
      <c r="T1430" s="36">
        <f>TEXT(B1430,"mmm")</f>
        <v/>
      </c>
      <c r="U1430" s="36">
        <f>IF(AND(OR(sel_Region="All",C1430=sel_Region),OR(sel_Country="All",D1430=sel_Country),OR(sel_Channel="All",E1430=sel_Channel),OR(sel_Customer="All",F1430=sel_Customer),OR(sel_Category="All",G1430=sel_Category),OR(sel_Product="All",H1430=sel_Product),AND(S1430&gt;=m_From,S1430&lt;=m_To)),1,0)</f>
        <v/>
      </c>
      <c r="V1430" s="36">
        <f>IF(AND(OR(sel_Region="All",C1430=sel_Region),OR(sel_Channel="All",E1430=sel_Channel),OR(sel_Customer="All",F1430=sel_Customer),OR(sel_Category="All",G1430=sel_Category),OR(sel_Product="All",H1430=sel_Product),AND(S1430&gt;=m_From,S1430&lt;=m_To)),1,0)</f>
        <v/>
      </c>
      <c r="W1430" s="36">
        <f>IF(AND(OR(sel_Region="All",C1430=sel_Region),OR(sel_Country="All",D1430=sel_Country),OR(sel_Customer="All",F1430=sel_Customer),OR(sel_Category="All",G1430=sel_Category),OR(sel_Product="All",H1430=sel_Product),AND(S1430&gt;=m_From,S1430&lt;=m_To)),1,0)</f>
        <v/>
      </c>
      <c r="X1430" s="36">
        <f>IF(AND(OR(sel_Region="All",C1430=sel_Region),OR(sel_Country="All",D1430=sel_Country),OR(sel_Channel="All",E1430=sel_Channel),OR(sel_Category="All",G1430=sel_Category),OR(sel_Product="All",H1430=sel_Product),AND(S1430&gt;=m_From,S1430&lt;=m_To)),1,0)</f>
        <v/>
      </c>
      <c r="Y1430" s="36">
        <f>IF(AND(OR(sel_Region="All",C1430=sel_Region),OR(sel_Country="All",D1430=sel_Country),OR(sel_Channel="All",E1430=sel_Channel),OR(sel_Customer="All",F1430=sel_Customer),OR(sel_Product="All",H1430=sel_Product),AND(S1430&gt;=m_From,S1430&lt;=m_To)),1,0)</f>
        <v/>
      </c>
      <c r="Z1430" s="36">
        <f>IF(AND(OR(sel_Region="All",C1430=sel_Region),OR(sel_Country="All",D1430=sel_Country),OR(sel_Channel="All",E1430=sel_Channel),OR(sel_Customer="All",F1430=sel_Customer),OR(sel_Category="All",G1430=sel_Category),AND(S1430&gt;=m_From,S1430&lt;=m_To)),1,0)</f>
        <v/>
      </c>
      <c r="AA1430" s="36">
        <f>IF(AND(OR(sel_Region="All",C1430=sel_Region),OR(sel_Country="All",D1430=sel_Country),OR(sel_Channel="All",E1430=sel_Channel),OR(sel_Customer="All",F1430=sel_Customer),OR(sel_Category="All",G1430=sel_Category),OR(sel_Product="All",H1430=sel_Product)),1,0)</f>
        <v/>
      </c>
    </row>
    <row r="1431">
      <c r="A1431" s="36" t="inlineStr">
        <is>
          <t>02632</t>
        </is>
      </c>
      <c r="B1431" s="44" t="n">
        <v>46223</v>
      </c>
      <c r="C1431" s="36" t="inlineStr">
        <is>
          <t>Southern Europe</t>
        </is>
      </c>
      <c r="D1431" s="36" t="inlineStr">
        <is>
          <t>Italy</t>
        </is>
      </c>
      <c r="E1431" s="36" t="inlineStr">
        <is>
          <t>Online Store</t>
        </is>
      </c>
      <c r="F1431" s="36" t="inlineStr">
        <is>
          <t>New</t>
        </is>
      </c>
      <c r="G1431" s="36" t="inlineStr">
        <is>
          <t>Camping</t>
        </is>
      </c>
      <c r="H1431" s="36" t="inlineStr">
        <is>
          <t>Trail Tent 2P</t>
        </is>
      </c>
      <c r="I1431" s="36" t="n">
        <v>1</v>
      </c>
      <c r="J1431" s="39" t="n">
        <v>196.57</v>
      </c>
      <c r="K1431" s="45" t="n">
        <v>0</v>
      </c>
      <c r="L1431" s="39" t="n">
        <v>104.78</v>
      </c>
      <c r="M1431" s="39">
        <f>I1431*J1431*(1-K1431)</f>
        <v/>
      </c>
      <c r="N1431" s="39">
        <f>I1431*L1431</f>
        <v/>
      </c>
      <c r="O1431" s="39">
        <f>M1431-N1431</f>
        <v/>
      </c>
      <c r="P1431" s="38">
        <f>IF(M1431=0,0,O1431/M1431)</f>
        <v/>
      </c>
      <c r="Q1431" s="36">
        <f>YEAR(B1431)</f>
        <v/>
      </c>
      <c r="R1431" s="36">
        <f>"Q"&amp;ROUNDUP(MONTH(B1431)/3,0)</f>
        <v/>
      </c>
      <c r="S1431" s="36">
        <f>MONTH(B1431)</f>
        <v/>
      </c>
      <c r="T1431" s="36">
        <f>TEXT(B1431,"mmm")</f>
        <v/>
      </c>
      <c r="U1431" s="36">
        <f>IF(AND(OR(sel_Region="All",C1431=sel_Region),OR(sel_Country="All",D1431=sel_Country),OR(sel_Channel="All",E1431=sel_Channel),OR(sel_Customer="All",F1431=sel_Customer),OR(sel_Category="All",G1431=sel_Category),OR(sel_Product="All",H1431=sel_Product),AND(S1431&gt;=m_From,S1431&lt;=m_To)),1,0)</f>
        <v/>
      </c>
      <c r="V1431" s="36">
        <f>IF(AND(OR(sel_Region="All",C1431=sel_Region),OR(sel_Channel="All",E1431=sel_Channel),OR(sel_Customer="All",F1431=sel_Customer),OR(sel_Category="All",G1431=sel_Category),OR(sel_Product="All",H1431=sel_Product),AND(S1431&gt;=m_From,S1431&lt;=m_To)),1,0)</f>
        <v/>
      </c>
      <c r="W1431" s="36">
        <f>IF(AND(OR(sel_Region="All",C1431=sel_Region),OR(sel_Country="All",D1431=sel_Country),OR(sel_Customer="All",F1431=sel_Customer),OR(sel_Category="All",G1431=sel_Category),OR(sel_Product="All",H1431=sel_Product),AND(S1431&gt;=m_From,S1431&lt;=m_To)),1,0)</f>
        <v/>
      </c>
      <c r="X1431" s="36">
        <f>IF(AND(OR(sel_Region="All",C1431=sel_Region),OR(sel_Country="All",D1431=sel_Country),OR(sel_Channel="All",E1431=sel_Channel),OR(sel_Category="All",G1431=sel_Category),OR(sel_Product="All",H1431=sel_Product),AND(S1431&gt;=m_From,S1431&lt;=m_To)),1,0)</f>
        <v/>
      </c>
      <c r="Y1431" s="36">
        <f>IF(AND(OR(sel_Region="All",C1431=sel_Region),OR(sel_Country="All",D1431=sel_Country),OR(sel_Channel="All",E1431=sel_Channel),OR(sel_Customer="All",F1431=sel_Customer),OR(sel_Product="All",H1431=sel_Product),AND(S1431&gt;=m_From,S1431&lt;=m_To)),1,0)</f>
        <v/>
      </c>
      <c r="Z1431" s="36">
        <f>IF(AND(OR(sel_Region="All",C1431=sel_Region),OR(sel_Country="All",D1431=sel_Country),OR(sel_Channel="All",E1431=sel_Channel),OR(sel_Customer="All",F1431=sel_Customer),OR(sel_Category="All",G1431=sel_Category),AND(S1431&gt;=m_From,S1431&lt;=m_To)),1,0)</f>
        <v/>
      </c>
      <c r="AA1431" s="36">
        <f>IF(AND(OR(sel_Region="All",C1431=sel_Region),OR(sel_Country="All",D1431=sel_Country),OR(sel_Channel="All",E1431=sel_Channel),OR(sel_Customer="All",F1431=sel_Customer),OR(sel_Category="All",G1431=sel_Category),OR(sel_Product="All",H1431=sel_Product)),1,0)</f>
        <v/>
      </c>
    </row>
    <row r="1432">
      <c r="A1432" s="36" t="inlineStr">
        <is>
          <t>03725</t>
        </is>
      </c>
      <c r="B1432" s="44" t="n">
        <v>46223</v>
      </c>
      <c r="C1432" s="36" t="inlineStr">
        <is>
          <t>Northern Europe</t>
        </is>
      </c>
      <c r="D1432" s="36" t="inlineStr">
        <is>
          <t>Norway</t>
        </is>
      </c>
      <c r="E1432" s="36" t="inlineStr">
        <is>
          <t>Online Store</t>
        </is>
      </c>
      <c r="F1432" s="36" t="inlineStr">
        <is>
          <t>Returning</t>
        </is>
      </c>
      <c r="G1432" s="36" t="inlineStr">
        <is>
          <t>Camping</t>
        </is>
      </c>
      <c r="H1432" s="36" t="inlineStr">
        <is>
          <t>Trail Tent 2P</t>
        </is>
      </c>
      <c r="I1432" s="36" t="n">
        <v>2</v>
      </c>
      <c r="J1432" s="39" t="n">
        <v>195.74</v>
      </c>
      <c r="K1432" s="45" t="n">
        <v>0.05</v>
      </c>
      <c r="L1432" s="39" t="n">
        <v>107.17</v>
      </c>
      <c r="M1432" s="39">
        <f>I1432*J1432*(1-K1432)</f>
        <v/>
      </c>
      <c r="N1432" s="39">
        <f>I1432*L1432</f>
        <v/>
      </c>
      <c r="O1432" s="39">
        <f>M1432-N1432</f>
        <v/>
      </c>
      <c r="P1432" s="38">
        <f>IF(M1432=0,0,O1432/M1432)</f>
        <v/>
      </c>
      <c r="Q1432" s="36">
        <f>YEAR(B1432)</f>
        <v/>
      </c>
      <c r="R1432" s="36">
        <f>"Q"&amp;ROUNDUP(MONTH(B1432)/3,0)</f>
        <v/>
      </c>
      <c r="S1432" s="36">
        <f>MONTH(B1432)</f>
        <v/>
      </c>
      <c r="T1432" s="36">
        <f>TEXT(B1432,"mmm")</f>
        <v/>
      </c>
      <c r="U1432" s="36">
        <f>IF(AND(OR(sel_Region="All",C1432=sel_Region),OR(sel_Country="All",D1432=sel_Country),OR(sel_Channel="All",E1432=sel_Channel),OR(sel_Customer="All",F1432=sel_Customer),OR(sel_Category="All",G1432=sel_Category),OR(sel_Product="All",H1432=sel_Product),AND(S1432&gt;=m_From,S1432&lt;=m_To)),1,0)</f>
        <v/>
      </c>
      <c r="V1432" s="36">
        <f>IF(AND(OR(sel_Region="All",C1432=sel_Region),OR(sel_Channel="All",E1432=sel_Channel),OR(sel_Customer="All",F1432=sel_Customer),OR(sel_Category="All",G1432=sel_Category),OR(sel_Product="All",H1432=sel_Product),AND(S1432&gt;=m_From,S1432&lt;=m_To)),1,0)</f>
        <v/>
      </c>
      <c r="W1432" s="36">
        <f>IF(AND(OR(sel_Region="All",C1432=sel_Region),OR(sel_Country="All",D1432=sel_Country),OR(sel_Customer="All",F1432=sel_Customer),OR(sel_Category="All",G1432=sel_Category),OR(sel_Product="All",H1432=sel_Product),AND(S1432&gt;=m_From,S1432&lt;=m_To)),1,0)</f>
        <v/>
      </c>
      <c r="X1432" s="36">
        <f>IF(AND(OR(sel_Region="All",C1432=sel_Region),OR(sel_Country="All",D1432=sel_Country),OR(sel_Channel="All",E1432=sel_Channel),OR(sel_Category="All",G1432=sel_Category),OR(sel_Product="All",H1432=sel_Product),AND(S1432&gt;=m_From,S1432&lt;=m_To)),1,0)</f>
        <v/>
      </c>
      <c r="Y1432" s="36">
        <f>IF(AND(OR(sel_Region="All",C1432=sel_Region),OR(sel_Country="All",D1432=sel_Country),OR(sel_Channel="All",E1432=sel_Channel),OR(sel_Customer="All",F1432=sel_Customer),OR(sel_Product="All",H1432=sel_Product),AND(S1432&gt;=m_From,S1432&lt;=m_To)),1,0)</f>
        <v/>
      </c>
      <c r="Z1432" s="36">
        <f>IF(AND(OR(sel_Region="All",C1432=sel_Region),OR(sel_Country="All",D1432=sel_Country),OR(sel_Channel="All",E1432=sel_Channel),OR(sel_Customer="All",F1432=sel_Customer),OR(sel_Category="All",G1432=sel_Category),AND(S1432&gt;=m_From,S1432&lt;=m_To)),1,0)</f>
        <v/>
      </c>
      <c r="AA1432" s="36">
        <f>IF(AND(OR(sel_Region="All",C1432=sel_Region),OR(sel_Country="All",D1432=sel_Country),OR(sel_Channel="All",E1432=sel_Channel),OR(sel_Customer="All",F1432=sel_Customer),OR(sel_Category="All",G1432=sel_Category),OR(sel_Product="All",H1432=sel_Product)),1,0)</f>
        <v/>
      </c>
    </row>
    <row r="1433">
      <c r="A1433" s="36" t="inlineStr">
        <is>
          <t>03834</t>
        </is>
      </c>
      <c r="B1433" s="44" t="n">
        <v>46223</v>
      </c>
      <c r="C1433" s="36" t="inlineStr">
        <is>
          <t>Central Europe</t>
        </is>
      </c>
      <c r="D1433" s="36" t="inlineStr">
        <is>
          <t>Poland</t>
        </is>
      </c>
      <c r="E1433" s="36" t="inlineStr">
        <is>
          <t>Retail Partners</t>
        </is>
      </c>
      <c r="F1433" s="36" t="inlineStr">
        <is>
          <t>New</t>
        </is>
      </c>
      <c r="G1433" s="36" t="inlineStr">
        <is>
          <t>Camping</t>
        </is>
      </c>
      <c r="H1433" s="36" t="inlineStr">
        <is>
          <t>Trail Tent 2P</t>
        </is>
      </c>
      <c r="I1433" s="36" t="n">
        <v>3</v>
      </c>
      <c r="J1433" s="39" t="n">
        <v>192.28</v>
      </c>
      <c r="K1433" s="45" t="n">
        <v>0</v>
      </c>
      <c r="L1433" s="39" t="n">
        <v>104.3</v>
      </c>
      <c r="M1433" s="39">
        <f>I1433*J1433*(1-K1433)</f>
        <v/>
      </c>
      <c r="N1433" s="39">
        <f>I1433*L1433</f>
        <v/>
      </c>
      <c r="O1433" s="39">
        <f>M1433-N1433</f>
        <v/>
      </c>
      <c r="P1433" s="38">
        <f>IF(M1433=0,0,O1433/M1433)</f>
        <v/>
      </c>
      <c r="Q1433" s="36">
        <f>YEAR(B1433)</f>
        <v/>
      </c>
      <c r="R1433" s="36">
        <f>"Q"&amp;ROUNDUP(MONTH(B1433)/3,0)</f>
        <v/>
      </c>
      <c r="S1433" s="36">
        <f>MONTH(B1433)</f>
        <v/>
      </c>
      <c r="T1433" s="36">
        <f>TEXT(B1433,"mmm")</f>
        <v/>
      </c>
      <c r="U1433" s="36">
        <f>IF(AND(OR(sel_Region="All",C1433=sel_Region),OR(sel_Country="All",D1433=sel_Country),OR(sel_Channel="All",E1433=sel_Channel),OR(sel_Customer="All",F1433=sel_Customer),OR(sel_Category="All",G1433=sel_Category),OR(sel_Product="All",H1433=sel_Product),AND(S1433&gt;=m_From,S1433&lt;=m_To)),1,0)</f>
        <v/>
      </c>
      <c r="V1433" s="36">
        <f>IF(AND(OR(sel_Region="All",C1433=sel_Region),OR(sel_Channel="All",E1433=sel_Channel),OR(sel_Customer="All",F1433=sel_Customer),OR(sel_Category="All",G1433=sel_Category),OR(sel_Product="All",H1433=sel_Product),AND(S1433&gt;=m_From,S1433&lt;=m_To)),1,0)</f>
        <v/>
      </c>
      <c r="W1433" s="36">
        <f>IF(AND(OR(sel_Region="All",C1433=sel_Region),OR(sel_Country="All",D1433=sel_Country),OR(sel_Customer="All",F1433=sel_Customer),OR(sel_Category="All",G1433=sel_Category),OR(sel_Product="All",H1433=sel_Product),AND(S1433&gt;=m_From,S1433&lt;=m_To)),1,0)</f>
        <v/>
      </c>
      <c r="X1433" s="36">
        <f>IF(AND(OR(sel_Region="All",C1433=sel_Region),OR(sel_Country="All",D1433=sel_Country),OR(sel_Channel="All",E1433=sel_Channel),OR(sel_Category="All",G1433=sel_Category),OR(sel_Product="All",H1433=sel_Product),AND(S1433&gt;=m_From,S1433&lt;=m_To)),1,0)</f>
        <v/>
      </c>
      <c r="Y1433" s="36">
        <f>IF(AND(OR(sel_Region="All",C1433=sel_Region),OR(sel_Country="All",D1433=sel_Country),OR(sel_Channel="All",E1433=sel_Channel),OR(sel_Customer="All",F1433=sel_Customer),OR(sel_Product="All",H1433=sel_Product),AND(S1433&gt;=m_From,S1433&lt;=m_To)),1,0)</f>
        <v/>
      </c>
      <c r="Z1433" s="36">
        <f>IF(AND(OR(sel_Region="All",C1433=sel_Region),OR(sel_Country="All",D1433=sel_Country),OR(sel_Channel="All",E1433=sel_Channel),OR(sel_Customer="All",F1433=sel_Customer),OR(sel_Category="All",G1433=sel_Category),AND(S1433&gt;=m_From,S1433&lt;=m_To)),1,0)</f>
        <v/>
      </c>
      <c r="AA1433" s="36">
        <f>IF(AND(OR(sel_Region="All",C1433=sel_Region),OR(sel_Country="All",D1433=sel_Country),OR(sel_Channel="All",E1433=sel_Channel),OR(sel_Customer="All",F1433=sel_Customer),OR(sel_Category="All",G1433=sel_Category),OR(sel_Product="All",H1433=sel_Product)),1,0)</f>
        <v/>
      </c>
    </row>
    <row r="1434">
      <c r="A1434" s="36" t="inlineStr">
        <is>
          <t>00159</t>
        </is>
      </c>
      <c r="B1434" s="44" t="n">
        <v>46224</v>
      </c>
      <c r="C1434" s="36" t="inlineStr">
        <is>
          <t>Central Europe</t>
        </is>
      </c>
      <c r="D1434" s="36" t="inlineStr">
        <is>
          <t>Czechia</t>
        </is>
      </c>
      <c r="E1434" s="36" t="inlineStr">
        <is>
          <t>Online Store</t>
        </is>
      </c>
      <c r="F1434" s="36" t="inlineStr">
        <is>
          <t>Returning</t>
        </is>
      </c>
      <c r="G1434" s="36" t="inlineStr">
        <is>
          <t>Hiking</t>
        </is>
      </c>
      <c r="H1434" s="36" t="inlineStr">
        <is>
          <t>Trekking Poles</t>
        </is>
      </c>
      <c r="I1434" s="36" t="n">
        <v>2</v>
      </c>
      <c r="J1434" s="39" t="n">
        <v>70.15000000000001</v>
      </c>
      <c r="K1434" s="45" t="n">
        <v>0.05</v>
      </c>
      <c r="L1434" s="39" t="n">
        <v>32.95</v>
      </c>
      <c r="M1434" s="39">
        <f>I1434*J1434*(1-K1434)</f>
        <v/>
      </c>
      <c r="N1434" s="39">
        <f>I1434*L1434</f>
        <v/>
      </c>
      <c r="O1434" s="39">
        <f>M1434-N1434</f>
        <v/>
      </c>
      <c r="P1434" s="38">
        <f>IF(M1434=0,0,O1434/M1434)</f>
        <v/>
      </c>
      <c r="Q1434" s="36">
        <f>YEAR(B1434)</f>
        <v/>
      </c>
      <c r="R1434" s="36">
        <f>"Q"&amp;ROUNDUP(MONTH(B1434)/3,0)</f>
        <v/>
      </c>
      <c r="S1434" s="36">
        <f>MONTH(B1434)</f>
        <v/>
      </c>
      <c r="T1434" s="36">
        <f>TEXT(B1434,"mmm")</f>
        <v/>
      </c>
      <c r="U1434" s="36">
        <f>IF(AND(OR(sel_Region="All",C1434=sel_Region),OR(sel_Country="All",D1434=sel_Country),OR(sel_Channel="All",E1434=sel_Channel),OR(sel_Customer="All",F1434=sel_Customer),OR(sel_Category="All",G1434=sel_Category),OR(sel_Product="All",H1434=sel_Product),AND(S1434&gt;=m_From,S1434&lt;=m_To)),1,0)</f>
        <v/>
      </c>
      <c r="V1434" s="36">
        <f>IF(AND(OR(sel_Region="All",C1434=sel_Region),OR(sel_Channel="All",E1434=sel_Channel),OR(sel_Customer="All",F1434=sel_Customer),OR(sel_Category="All",G1434=sel_Category),OR(sel_Product="All",H1434=sel_Product),AND(S1434&gt;=m_From,S1434&lt;=m_To)),1,0)</f>
        <v/>
      </c>
      <c r="W1434" s="36">
        <f>IF(AND(OR(sel_Region="All",C1434=sel_Region),OR(sel_Country="All",D1434=sel_Country),OR(sel_Customer="All",F1434=sel_Customer),OR(sel_Category="All",G1434=sel_Category),OR(sel_Product="All",H1434=sel_Product),AND(S1434&gt;=m_From,S1434&lt;=m_To)),1,0)</f>
        <v/>
      </c>
      <c r="X1434" s="36">
        <f>IF(AND(OR(sel_Region="All",C1434=sel_Region),OR(sel_Country="All",D1434=sel_Country),OR(sel_Channel="All",E1434=sel_Channel),OR(sel_Category="All",G1434=sel_Category),OR(sel_Product="All",H1434=sel_Product),AND(S1434&gt;=m_From,S1434&lt;=m_To)),1,0)</f>
        <v/>
      </c>
      <c r="Y1434" s="36">
        <f>IF(AND(OR(sel_Region="All",C1434=sel_Region),OR(sel_Country="All",D1434=sel_Country),OR(sel_Channel="All",E1434=sel_Channel),OR(sel_Customer="All",F1434=sel_Customer),OR(sel_Product="All",H1434=sel_Product),AND(S1434&gt;=m_From,S1434&lt;=m_To)),1,0)</f>
        <v/>
      </c>
      <c r="Z1434" s="36">
        <f>IF(AND(OR(sel_Region="All",C1434=sel_Region),OR(sel_Country="All",D1434=sel_Country),OR(sel_Channel="All",E1434=sel_Channel),OR(sel_Customer="All",F1434=sel_Customer),OR(sel_Category="All",G1434=sel_Category),AND(S1434&gt;=m_From,S1434&lt;=m_To)),1,0)</f>
        <v/>
      </c>
      <c r="AA1434" s="36">
        <f>IF(AND(OR(sel_Region="All",C1434=sel_Region),OR(sel_Country="All",D1434=sel_Country),OR(sel_Channel="All",E1434=sel_Channel),OR(sel_Customer="All",F1434=sel_Customer),OR(sel_Category="All",G1434=sel_Category),OR(sel_Product="All",H1434=sel_Product)),1,0)</f>
        <v/>
      </c>
    </row>
    <row r="1435">
      <c r="A1435" s="36" t="inlineStr">
        <is>
          <t>00435</t>
        </is>
      </c>
      <c r="B1435" s="44" t="n">
        <v>46224</v>
      </c>
      <c r="C1435" s="36" t="inlineStr">
        <is>
          <t>Northern Europe</t>
        </is>
      </c>
      <c r="D1435" s="36" t="inlineStr">
        <is>
          <t>Sweden</t>
        </is>
      </c>
      <c r="E1435" s="36" t="inlineStr">
        <is>
          <t>Online Store</t>
        </is>
      </c>
      <c r="F1435" s="36" t="inlineStr">
        <is>
          <t>Returning</t>
        </is>
      </c>
      <c r="G1435" s="36" t="inlineStr">
        <is>
          <t>Camping</t>
        </is>
      </c>
      <c r="H1435" s="36" t="inlineStr">
        <is>
          <t>Alpine Tent 4P</t>
        </is>
      </c>
      <c r="I1435" s="36" t="n">
        <v>2</v>
      </c>
      <c r="J1435" s="39" t="n">
        <v>342.38</v>
      </c>
      <c r="K1435" s="45" t="n">
        <v>0.05</v>
      </c>
      <c r="L1435" s="39" t="n">
        <v>192.01</v>
      </c>
      <c r="M1435" s="39">
        <f>I1435*J1435*(1-K1435)</f>
        <v/>
      </c>
      <c r="N1435" s="39">
        <f>I1435*L1435</f>
        <v/>
      </c>
      <c r="O1435" s="39">
        <f>M1435-N1435</f>
        <v/>
      </c>
      <c r="P1435" s="38">
        <f>IF(M1435=0,0,O1435/M1435)</f>
        <v/>
      </c>
      <c r="Q1435" s="36">
        <f>YEAR(B1435)</f>
        <v/>
      </c>
      <c r="R1435" s="36">
        <f>"Q"&amp;ROUNDUP(MONTH(B1435)/3,0)</f>
        <v/>
      </c>
      <c r="S1435" s="36">
        <f>MONTH(B1435)</f>
        <v/>
      </c>
      <c r="T1435" s="36">
        <f>TEXT(B1435,"mmm")</f>
        <v/>
      </c>
      <c r="U1435" s="36">
        <f>IF(AND(OR(sel_Region="All",C1435=sel_Region),OR(sel_Country="All",D1435=sel_Country),OR(sel_Channel="All",E1435=sel_Channel),OR(sel_Customer="All",F1435=sel_Customer),OR(sel_Category="All",G1435=sel_Category),OR(sel_Product="All",H1435=sel_Product),AND(S1435&gt;=m_From,S1435&lt;=m_To)),1,0)</f>
        <v/>
      </c>
      <c r="V1435" s="36">
        <f>IF(AND(OR(sel_Region="All",C1435=sel_Region),OR(sel_Channel="All",E1435=sel_Channel),OR(sel_Customer="All",F1435=sel_Customer),OR(sel_Category="All",G1435=sel_Category),OR(sel_Product="All",H1435=sel_Product),AND(S1435&gt;=m_From,S1435&lt;=m_To)),1,0)</f>
        <v/>
      </c>
      <c r="W1435" s="36">
        <f>IF(AND(OR(sel_Region="All",C1435=sel_Region),OR(sel_Country="All",D1435=sel_Country),OR(sel_Customer="All",F1435=sel_Customer),OR(sel_Category="All",G1435=sel_Category),OR(sel_Product="All",H1435=sel_Product),AND(S1435&gt;=m_From,S1435&lt;=m_To)),1,0)</f>
        <v/>
      </c>
      <c r="X1435" s="36">
        <f>IF(AND(OR(sel_Region="All",C1435=sel_Region),OR(sel_Country="All",D1435=sel_Country),OR(sel_Channel="All",E1435=sel_Channel),OR(sel_Category="All",G1435=sel_Category),OR(sel_Product="All",H1435=sel_Product),AND(S1435&gt;=m_From,S1435&lt;=m_To)),1,0)</f>
        <v/>
      </c>
      <c r="Y1435" s="36">
        <f>IF(AND(OR(sel_Region="All",C1435=sel_Region),OR(sel_Country="All",D1435=sel_Country),OR(sel_Channel="All",E1435=sel_Channel),OR(sel_Customer="All",F1435=sel_Customer),OR(sel_Product="All",H1435=sel_Product),AND(S1435&gt;=m_From,S1435&lt;=m_To)),1,0)</f>
        <v/>
      </c>
      <c r="Z1435" s="36">
        <f>IF(AND(OR(sel_Region="All",C1435=sel_Region),OR(sel_Country="All",D1435=sel_Country),OR(sel_Channel="All",E1435=sel_Channel),OR(sel_Customer="All",F1435=sel_Customer),OR(sel_Category="All",G1435=sel_Category),AND(S1435&gt;=m_From,S1435&lt;=m_To)),1,0)</f>
        <v/>
      </c>
      <c r="AA1435" s="36">
        <f>IF(AND(OR(sel_Region="All",C1435=sel_Region),OR(sel_Country="All",D1435=sel_Country),OR(sel_Channel="All",E1435=sel_Channel),OR(sel_Customer="All",F1435=sel_Customer),OR(sel_Category="All",G1435=sel_Category),OR(sel_Product="All",H1435=sel_Product)),1,0)</f>
        <v/>
      </c>
    </row>
    <row r="1436">
      <c r="A1436" s="36" t="inlineStr">
        <is>
          <t>01467</t>
        </is>
      </c>
      <c r="B1436" s="44" t="n">
        <v>46224</v>
      </c>
      <c r="C1436" s="36" t="inlineStr">
        <is>
          <t>Central Europe</t>
        </is>
      </c>
      <c r="D1436" s="36" t="inlineStr">
        <is>
          <t>Poland</t>
        </is>
      </c>
      <c r="E1436" s="36" t="inlineStr">
        <is>
          <t>Marketplace</t>
        </is>
      </c>
      <c r="F1436" s="36" t="inlineStr">
        <is>
          <t>New</t>
        </is>
      </c>
      <c r="G1436" s="36" t="inlineStr">
        <is>
          <t>Fitness</t>
        </is>
      </c>
      <c r="H1436" s="36" t="inlineStr">
        <is>
          <t>Training Mat</t>
        </is>
      </c>
      <c r="I1436" s="36" t="n">
        <v>1</v>
      </c>
      <c r="J1436" s="39" t="n">
        <v>50.59</v>
      </c>
      <c r="K1436" s="45" t="n">
        <v>0.05</v>
      </c>
      <c r="L1436" s="39" t="n">
        <v>22.04</v>
      </c>
      <c r="M1436" s="39">
        <f>I1436*J1436*(1-K1436)</f>
        <v/>
      </c>
      <c r="N1436" s="39">
        <f>I1436*L1436</f>
        <v/>
      </c>
      <c r="O1436" s="39">
        <f>M1436-N1436</f>
        <v/>
      </c>
      <c r="P1436" s="38">
        <f>IF(M1436=0,0,O1436/M1436)</f>
        <v/>
      </c>
      <c r="Q1436" s="36">
        <f>YEAR(B1436)</f>
        <v/>
      </c>
      <c r="R1436" s="36">
        <f>"Q"&amp;ROUNDUP(MONTH(B1436)/3,0)</f>
        <v/>
      </c>
      <c r="S1436" s="36">
        <f>MONTH(B1436)</f>
        <v/>
      </c>
      <c r="T1436" s="36">
        <f>TEXT(B1436,"mmm")</f>
        <v/>
      </c>
      <c r="U1436" s="36">
        <f>IF(AND(OR(sel_Region="All",C1436=sel_Region),OR(sel_Country="All",D1436=sel_Country),OR(sel_Channel="All",E1436=sel_Channel),OR(sel_Customer="All",F1436=sel_Customer),OR(sel_Category="All",G1436=sel_Category),OR(sel_Product="All",H1436=sel_Product),AND(S1436&gt;=m_From,S1436&lt;=m_To)),1,0)</f>
        <v/>
      </c>
      <c r="V1436" s="36">
        <f>IF(AND(OR(sel_Region="All",C1436=sel_Region),OR(sel_Channel="All",E1436=sel_Channel),OR(sel_Customer="All",F1436=sel_Customer),OR(sel_Category="All",G1436=sel_Category),OR(sel_Product="All",H1436=sel_Product),AND(S1436&gt;=m_From,S1436&lt;=m_To)),1,0)</f>
        <v/>
      </c>
      <c r="W1436" s="36">
        <f>IF(AND(OR(sel_Region="All",C1436=sel_Region),OR(sel_Country="All",D1436=sel_Country),OR(sel_Customer="All",F1436=sel_Customer),OR(sel_Category="All",G1436=sel_Category),OR(sel_Product="All",H1436=sel_Product),AND(S1436&gt;=m_From,S1436&lt;=m_To)),1,0)</f>
        <v/>
      </c>
      <c r="X1436" s="36">
        <f>IF(AND(OR(sel_Region="All",C1436=sel_Region),OR(sel_Country="All",D1436=sel_Country),OR(sel_Channel="All",E1436=sel_Channel),OR(sel_Category="All",G1436=sel_Category),OR(sel_Product="All",H1436=sel_Product),AND(S1436&gt;=m_From,S1436&lt;=m_To)),1,0)</f>
        <v/>
      </c>
      <c r="Y1436" s="36">
        <f>IF(AND(OR(sel_Region="All",C1436=sel_Region),OR(sel_Country="All",D1436=sel_Country),OR(sel_Channel="All",E1436=sel_Channel),OR(sel_Customer="All",F1436=sel_Customer),OR(sel_Product="All",H1436=sel_Product),AND(S1436&gt;=m_From,S1436&lt;=m_To)),1,0)</f>
        <v/>
      </c>
      <c r="Z1436" s="36">
        <f>IF(AND(OR(sel_Region="All",C1436=sel_Region),OR(sel_Country="All",D1436=sel_Country),OR(sel_Channel="All",E1436=sel_Channel),OR(sel_Customer="All",F1436=sel_Customer),OR(sel_Category="All",G1436=sel_Category),AND(S1436&gt;=m_From,S1436&lt;=m_To)),1,0)</f>
        <v/>
      </c>
      <c r="AA1436" s="36">
        <f>IF(AND(OR(sel_Region="All",C1436=sel_Region),OR(sel_Country="All",D1436=sel_Country),OR(sel_Channel="All",E1436=sel_Channel),OR(sel_Customer="All",F1436=sel_Customer),OR(sel_Category="All",G1436=sel_Category),OR(sel_Product="All",H1436=sel_Product)),1,0)</f>
        <v/>
      </c>
    </row>
    <row r="1437">
      <c r="A1437" s="36" t="inlineStr">
        <is>
          <t>01552</t>
        </is>
      </c>
      <c r="B1437" s="44" t="n">
        <v>46224</v>
      </c>
      <c r="C1437" s="36" t="inlineStr">
        <is>
          <t>Western Europe</t>
        </is>
      </c>
      <c r="D1437" s="36" t="inlineStr">
        <is>
          <t>Belgium</t>
        </is>
      </c>
      <c r="E1437" s="36" t="inlineStr">
        <is>
          <t>Retail Partners</t>
        </is>
      </c>
      <c r="F1437" s="36" t="inlineStr">
        <is>
          <t>New</t>
        </is>
      </c>
      <c r="G1437" s="36" t="inlineStr">
        <is>
          <t>Travel</t>
        </is>
      </c>
      <c r="H1437" s="36" t="inlineStr">
        <is>
          <t>Packing Cube Set</t>
        </is>
      </c>
      <c r="I1437" s="36" t="n">
        <v>2</v>
      </c>
      <c r="J1437" s="39" t="n">
        <v>46.34</v>
      </c>
      <c r="K1437" s="45" t="n">
        <v>0.1</v>
      </c>
      <c r="L1437" s="39" t="n">
        <v>18.41</v>
      </c>
      <c r="M1437" s="39">
        <f>I1437*J1437*(1-K1437)</f>
        <v/>
      </c>
      <c r="N1437" s="39">
        <f>I1437*L1437</f>
        <v/>
      </c>
      <c r="O1437" s="39">
        <f>M1437-N1437</f>
        <v/>
      </c>
      <c r="P1437" s="38">
        <f>IF(M1437=0,0,O1437/M1437)</f>
        <v/>
      </c>
      <c r="Q1437" s="36">
        <f>YEAR(B1437)</f>
        <v/>
      </c>
      <c r="R1437" s="36">
        <f>"Q"&amp;ROUNDUP(MONTH(B1437)/3,0)</f>
        <v/>
      </c>
      <c r="S1437" s="36">
        <f>MONTH(B1437)</f>
        <v/>
      </c>
      <c r="T1437" s="36">
        <f>TEXT(B1437,"mmm")</f>
        <v/>
      </c>
      <c r="U1437" s="36">
        <f>IF(AND(OR(sel_Region="All",C1437=sel_Region),OR(sel_Country="All",D1437=sel_Country),OR(sel_Channel="All",E1437=sel_Channel),OR(sel_Customer="All",F1437=sel_Customer),OR(sel_Category="All",G1437=sel_Category),OR(sel_Product="All",H1437=sel_Product),AND(S1437&gt;=m_From,S1437&lt;=m_To)),1,0)</f>
        <v/>
      </c>
      <c r="V1437" s="36">
        <f>IF(AND(OR(sel_Region="All",C1437=sel_Region),OR(sel_Channel="All",E1437=sel_Channel),OR(sel_Customer="All",F1437=sel_Customer),OR(sel_Category="All",G1437=sel_Category),OR(sel_Product="All",H1437=sel_Product),AND(S1437&gt;=m_From,S1437&lt;=m_To)),1,0)</f>
        <v/>
      </c>
      <c r="W1437" s="36">
        <f>IF(AND(OR(sel_Region="All",C1437=sel_Region),OR(sel_Country="All",D1437=sel_Country),OR(sel_Customer="All",F1437=sel_Customer),OR(sel_Category="All",G1437=sel_Category),OR(sel_Product="All",H1437=sel_Product),AND(S1437&gt;=m_From,S1437&lt;=m_To)),1,0)</f>
        <v/>
      </c>
      <c r="X1437" s="36">
        <f>IF(AND(OR(sel_Region="All",C1437=sel_Region),OR(sel_Country="All",D1437=sel_Country),OR(sel_Channel="All",E1437=sel_Channel),OR(sel_Category="All",G1437=sel_Category),OR(sel_Product="All",H1437=sel_Product),AND(S1437&gt;=m_From,S1437&lt;=m_To)),1,0)</f>
        <v/>
      </c>
      <c r="Y1437" s="36">
        <f>IF(AND(OR(sel_Region="All",C1437=sel_Region),OR(sel_Country="All",D1437=sel_Country),OR(sel_Channel="All",E1437=sel_Channel),OR(sel_Customer="All",F1437=sel_Customer),OR(sel_Product="All",H1437=sel_Product),AND(S1437&gt;=m_From,S1437&lt;=m_To)),1,0)</f>
        <v/>
      </c>
      <c r="Z1437" s="36">
        <f>IF(AND(OR(sel_Region="All",C1437=sel_Region),OR(sel_Country="All",D1437=sel_Country),OR(sel_Channel="All",E1437=sel_Channel),OR(sel_Customer="All",F1437=sel_Customer),OR(sel_Category="All",G1437=sel_Category),AND(S1437&gt;=m_From,S1437&lt;=m_To)),1,0)</f>
        <v/>
      </c>
      <c r="AA1437" s="36">
        <f>IF(AND(OR(sel_Region="All",C1437=sel_Region),OR(sel_Country="All",D1437=sel_Country),OR(sel_Channel="All",E1437=sel_Channel),OR(sel_Customer="All",F1437=sel_Customer),OR(sel_Category="All",G1437=sel_Category),OR(sel_Product="All",H1437=sel_Product)),1,0)</f>
        <v/>
      </c>
    </row>
    <row r="1438">
      <c r="A1438" s="36" t="inlineStr">
        <is>
          <t>01745</t>
        </is>
      </c>
      <c r="B1438" s="44" t="n">
        <v>46224</v>
      </c>
      <c r="C1438" s="36" t="inlineStr">
        <is>
          <t>Central Europe</t>
        </is>
      </c>
      <c r="D1438" s="36" t="inlineStr">
        <is>
          <t>Austria</t>
        </is>
      </c>
      <c r="E1438" s="36" t="inlineStr">
        <is>
          <t>Marketplace</t>
        </is>
      </c>
      <c r="F1438" s="36" t="inlineStr">
        <is>
          <t>New</t>
        </is>
      </c>
      <c r="G1438" s="36" t="inlineStr">
        <is>
          <t>Hiking</t>
        </is>
      </c>
      <c r="H1438" s="36" t="inlineStr">
        <is>
          <t>Hiking Daypack 20L</t>
        </is>
      </c>
      <c r="I1438" s="36" t="n">
        <v>1</v>
      </c>
      <c r="J1438" s="39" t="n">
        <v>91.45</v>
      </c>
      <c r="K1438" s="45" t="n">
        <v>0</v>
      </c>
      <c r="L1438" s="39" t="n">
        <v>44.16</v>
      </c>
      <c r="M1438" s="39">
        <f>I1438*J1438*(1-K1438)</f>
        <v/>
      </c>
      <c r="N1438" s="39">
        <f>I1438*L1438</f>
        <v/>
      </c>
      <c r="O1438" s="39">
        <f>M1438-N1438</f>
        <v/>
      </c>
      <c r="P1438" s="38">
        <f>IF(M1438=0,0,O1438/M1438)</f>
        <v/>
      </c>
      <c r="Q1438" s="36">
        <f>YEAR(B1438)</f>
        <v/>
      </c>
      <c r="R1438" s="36">
        <f>"Q"&amp;ROUNDUP(MONTH(B1438)/3,0)</f>
        <v/>
      </c>
      <c r="S1438" s="36">
        <f>MONTH(B1438)</f>
        <v/>
      </c>
      <c r="T1438" s="36">
        <f>TEXT(B1438,"mmm")</f>
        <v/>
      </c>
      <c r="U1438" s="36">
        <f>IF(AND(OR(sel_Region="All",C1438=sel_Region),OR(sel_Country="All",D1438=sel_Country),OR(sel_Channel="All",E1438=sel_Channel),OR(sel_Customer="All",F1438=sel_Customer),OR(sel_Category="All",G1438=sel_Category),OR(sel_Product="All",H1438=sel_Product),AND(S1438&gt;=m_From,S1438&lt;=m_To)),1,0)</f>
        <v/>
      </c>
      <c r="V1438" s="36">
        <f>IF(AND(OR(sel_Region="All",C1438=sel_Region),OR(sel_Channel="All",E1438=sel_Channel),OR(sel_Customer="All",F1438=sel_Customer),OR(sel_Category="All",G1438=sel_Category),OR(sel_Product="All",H1438=sel_Product),AND(S1438&gt;=m_From,S1438&lt;=m_To)),1,0)</f>
        <v/>
      </c>
      <c r="W1438" s="36">
        <f>IF(AND(OR(sel_Region="All",C1438=sel_Region),OR(sel_Country="All",D1438=sel_Country),OR(sel_Customer="All",F1438=sel_Customer),OR(sel_Category="All",G1438=sel_Category),OR(sel_Product="All",H1438=sel_Product),AND(S1438&gt;=m_From,S1438&lt;=m_To)),1,0)</f>
        <v/>
      </c>
      <c r="X1438" s="36">
        <f>IF(AND(OR(sel_Region="All",C1438=sel_Region),OR(sel_Country="All",D1438=sel_Country),OR(sel_Channel="All",E1438=sel_Channel),OR(sel_Category="All",G1438=sel_Category),OR(sel_Product="All",H1438=sel_Product),AND(S1438&gt;=m_From,S1438&lt;=m_To)),1,0)</f>
        <v/>
      </c>
      <c r="Y1438" s="36">
        <f>IF(AND(OR(sel_Region="All",C1438=sel_Region),OR(sel_Country="All",D1438=sel_Country),OR(sel_Channel="All",E1438=sel_Channel),OR(sel_Customer="All",F1438=sel_Customer),OR(sel_Product="All",H1438=sel_Product),AND(S1438&gt;=m_From,S1438&lt;=m_To)),1,0)</f>
        <v/>
      </c>
      <c r="Z1438" s="36">
        <f>IF(AND(OR(sel_Region="All",C1438=sel_Region),OR(sel_Country="All",D1438=sel_Country),OR(sel_Channel="All",E1438=sel_Channel),OR(sel_Customer="All",F1438=sel_Customer),OR(sel_Category="All",G1438=sel_Category),AND(S1438&gt;=m_From,S1438&lt;=m_To)),1,0)</f>
        <v/>
      </c>
      <c r="AA1438" s="36">
        <f>IF(AND(OR(sel_Region="All",C1438=sel_Region),OR(sel_Country="All",D1438=sel_Country),OR(sel_Channel="All",E1438=sel_Channel),OR(sel_Customer="All",F1438=sel_Customer),OR(sel_Category="All",G1438=sel_Category),OR(sel_Product="All",H1438=sel_Product)),1,0)</f>
        <v/>
      </c>
    </row>
    <row r="1439">
      <c r="A1439" s="36" t="inlineStr">
        <is>
          <t>02174</t>
        </is>
      </c>
      <c r="B1439" s="44" t="n">
        <v>46224</v>
      </c>
      <c r="C1439" s="36" t="inlineStr">
        <is>
          <t>Western Europe</t>
        </is>
      </c>
      <c r="D1439" s="36" t="inlineStr">
        <is>
          <t>United Kingdom</t>
        </is>
      </c>
      <c r="E1439" s="36" t="inlineStr">
        <is>
          <t>Marketplace</t>
        </is>
      </c>
      <c r="F1439" s="36" t="inlineStr">
        <is>
          <t>Returning</t>
        </is>
      </c>
      <c r="G1439" s="36" t="inlineStr">
        <is>
          <t>Cycling</t>
        </is>
      </c>
      <c r="H1439" s="36" t="inlineStr">
        <is>
          <t>Compact Repair Kit</t>
        </is>
      </c>
      <c r="I1439" s="36" t="n">
        <v>3</v>
      </c>
      <c r="J1439" s="39" t="n">
        <v>40.28</v>
      </c>
      <c r="K1439" s="45" t="n">
        <v>0</v>
      </c>
      <c r="L1439" s="39" t="n">
        <v>17.12</v>
      </c>
      <c r="M1439" s="39">
        <f>I1439*J1439*(1-K1439)</f>
        <v/>
      </c>
      <c r="N1439" s="39">
        <f>I1439*L1439</f>
        <v/>
      </c>
      <c r="O1439" s="39">
        <f>M1439-N1439</f>
        <v/>
      </c>
      <c r="P1439" s="38">
        <f>IF(M1439=0,0,O1439/M1439)</f>
        <v/>
      </c>
      <c r="Q1439" s="36">
        <f>YEAR(B1439)</f>
        <v/>
      </c>
      <c r="R1439" s="36">
        <f>"Q"&amp;ROUNDUP(MONTH(B1439)/3,0)</f>
        <v/>
      </c>
      <c r="S1439" s="36">
        <f>MONTH(B1439)</f>
        <v/>
      </c>
      <c r="T1439" s="36">
        <f>TEXT(B1439,"mmm")</f>
        <v/>
      </c>
      <c r="U1439" s="36">
        <f>IF(AND(OR(sel_Region="All",C1439=sel_Region),OR(sel_Country="All",D1439=sel_Country),OR(sel_Channel="All",E1439=sel_Channel),OR(sel_Customer="All",F1439=sel_Customer),OR(sel_Category="All",G1439=sel_Category),OR(sel_Product="All",H1439=sel_Product),AND(S1439&gt;=m_From,S1439&lt;=m_To)),1,0)</f>
        <v/>
      </c>
      <c r="V1439" s="36">
        <f>IF(AND(OR(sel_Region="All",C1439=sel_Region),OR(sel_Channel="All",E1439=sel_Channel),OR(sel_Customer="All",F1439=sel_Customer),OR(sel_Category="All",G1439=sel_Category),OR(sel_Product="All",H1439=sel_Product),AND(S1439&gt;=m_From,S1439&lt;=m_To)),1,0)</f>
        <v/>
      </c>
      <c r="W1439" s="36">
        <f>IF(AND(OR(sel_Region="All",C1439=sel_Region),OR(sel_Country="All",D1439=sel_Country),OR(sel_Customer="All",F1439=sel_Customer),OR(sel_Category="All",G1439=sel_Category),OR(sel_Product="All",H1439=sel_Product),AND(S1439&gt;=m_From,S1439&lt;=m_To)),1,0)</f>
        <v/>
      </c>
      <c r="X1439" s="36">
        <f>IF(AND(OR(sel_Region="All",C1439=sel_Region),OR(sel_Country="All",D1439=sel_Country),OR(sel_Channel="All",E1439=sel_Channel),OR(sel_Category="All",G1439=sel_Category),OR(sel_Product="All",H1439=sel_Product),AND(S1439&gt;=m_From,S1439&lt;=m_To)),1,0)</f>
        <v/>
      </c>
      <c r="Y1439" s="36">
        <f>IF(AND(OR(sel_Region="All",C1439=sel_Region),OR(sel_Country="All",D1439=sel_Country),OR(sel_Channel="All",E1439=sel_Channel),OR(sel_Customer="All",F1439=sel_Customer),OR(sel_Product="All",H1439=sel_Product),AND(S1439&gt;=m_From,S1439&lt;=m_To)),1,0)</f>
        <v/>
      </c>
      <c r="Z1439" s="36">
        <f>IF(AND(OR(sel_Region="All",C1439=sel_Region),OR(sel_Country="All",D1439=sel_Country),OR(sel_Channel="All",E1439=sel_Channel),OR(sel_Customer="All",F1439=sel_Customer),OR(sel_Category="All",G1439=sel_Category),AND(S1439&gt;=m_From,S1439&lt;=m_To)),1,0)</f>
        <v/>
      </c>
      <c r="AA1439" s="36">
        <f>IF(AND(OR(sel_Region="All",C1439=sel_Region),OR(sel_Country="All",D1439=sel_Country),OR(sel_Channel="All",E1439=sel_Channel),OR(sel_Customer="All",F1439=sel_Customer),OR(sel_Category="All",G1439=sel_Category),OR(sel_Product="All",H1439=sel_Product)),1,0)</f>
        <v/>
      </c>
    </row>
    <row r="1440">
      <c r="A1440" s="36" t="inlineStr">
        <is>
          <t>03444</t>
        </is>
      </c>
      <c r="B1440" s="44" t="n">
        <v>46224</v>
      </c>
      <c r="C1440" s="36" t="inlineStr">
        <is>
          <t>Central Europe</t>
        </is>
      </c>
      <c r="D1440" s="36" t="inlineStr">
        <is>
          <t>Poland</t>
        </is>
      </c>
      <c r="E1440" s="36" t="inlineStr">
        <is>
          <t>Online Store</t>
        </is>
      </c>
      <c r="F1440" s="36" t="inlineStr">
        <is>
          <t>Returning</t>
        </is>
      </c>
      <c r="G1440" s="36" t="inlineStr">
        <is>
          <t>Fitness</t>
        </is>
      </c>
      <c r="H1440" s="36" t="inlineStr">
        <is>
          <t>Recovery Roller</t>
        </is>
      </c>
      <c r="I1440" s="36" t="n">
        <v>2</v>
      </c>
      <c r="J1440" s="39" t="n">
        <v>36.93</v>
      </c>
      <c r="K1440" s="45" t="n">
        <v>0</v>
      </c>
      <c r="L1440" s="39" t="n">
        <v>13.63</v>
      </c>
      <c r="M1440" s="39">
        <f>I1440*J1440*(1-K1440)</f>
        <v/>
      </c>
      <c r="N1440" s="39">
        <f>I1440*L1440</f>
        <v/>
      </c>
      <c r="O1440" s="39">
        <f>M1440-N1440</f>
        <v/>
      </c>
      <c r="P1440" s="38">
        <f>IF(M1440=0,0,O1440/M1440)</f>
        <v/>
      </c>
      <c r="Q1440" s="36">
        <f>YEAR(B1440)</f>
        <v/>
      </c>
      <c r="R1440" s="36">
        <f>"Q"&amp;ROUNDUP(MONTH(B1440)/3,0)</f>
        <v/>
      </c>
      <c r="S1440" s="36">
        <f>MONTH(B1440)</f>
        <v/>
      </c>
      <c r="T1440" s="36">
        <f>TEXT(B1440,"mmm")</f>
        <v/>
      </c>
      <c r="U1440" s="36">
        <f>IF(AND(OR(sel_Region="All",C1440=sel_Region),OR(sel_Country="All",D1440=sel_Country),OR(sel_Channel="All",E1440=sel_Channel),OR(sel_Customer="All",F1440=sel_Customer),OR(sel_Category="All",G1440=sel_Category),OR(sel_Product="All",H1440=sel_Product),AND(S1440&gt;=m_From,S1440&lt;=m_To)),1,0)</f>
        <v/>
      </c>
      <c r="V1440" s="36">
        <f>IF(AND(OR(sel_Region="All",C1440=sel_Region),OR(sel_Channel="All",E1440=sel_Channel),OR(sel_Customer="All",F1440=sel_Customer),OR(sel_Category="All",G1440=sel_Category),OR(sel_Product="All",H1440=sel_Product),AND(S1440&gt;=m_From,S1440&lt;=m_To)),1,0)</f>
        <v/>
      </c>
      <c r="W1440" s="36">
        <f>IF(AND(OR(sel_Region="All",C1440=sel_Region),OR(sel_Country="All",D1440=sel_Country),OR(sel_Customer="All",F1440=sel_Customer),OR(sel_Category="All",G1440=sel_Category),OR(sel_Product="All",H1440=sel_Product),AND(S1440&gt;=m_From,S1440&lt;=m_To)),1,0)</f>
        <v/>
      </c>
      <c r="X1440" s="36">
        <f>IF(AND(OR(sel_Region="All",C1440=sel_Region),OR(sel_Country="All",D1440=sel_Country),OR(sel_Channel="All",E1440=sel_Channel),OR(sel_Category="All",G1440=sel_Category),OR(sel_Product="All",H1440=sel_Product),AND(S1440&gt;=m_From,S1440&lt;=m_To)),1,0)</f>
        <v/>
      </c>
      <c r="Y1440" s="36">
        <f>IF(AND(OR(sel_Region="All",C1440=sel_Region),OR(sel_Country="All",D1440=sel_Country),OR(sel_Channel="All",E1440=sel_Channel),OR(sel_Customer="All",F1440=sel_Customer),OR(sel_Product="All",H1440=sel_Product),AND(S1440&gt;=m_From,S1440&lt;=m_To)),1,0)</f>
        <v/>
      </c>
      <c r="Z1440" s="36">
        <f>IF(AND(OR(sel_Region="All",C1440=sel_Region),OR(sel_Country="All",D1440=sel_Country),OR(sel_Channel="All",E1440=sel_Channel),OR(sel_Customer="All",F1440=sel_Customer),OR(sel_Category="All",G1440=sel_Category),AND(S1440&gt;=m_From,S1440&lt;=m_To)),1,0)</f>
        <v/>
      </c>
      <c r="AA1440" s="36">
        <f>IF(AND(OR(sel_Region="All",C1440=sel_Region),OR(sel_Country="All",D1440=sel_Country),OR(sel_Channel="All",E1440=sel_Channel),OR(sel_Customer="All",F1440=sel_Customer),OR(sel_Category="All",G1440=sel_Category),OR(sel_Product="All",H1440=sel_Product)),1,0)</f>
        <v/>
      </c>
    </row>
    <row r="1441">
      <c r="A1441" s="36" t="inlineStr">
        <is>
          <t>03646</t>
        </is>
      </c>
      <c r="B1441" s="44" t="n">
        <v>46224</v>
      </c>
      <c r="C1441" s="36" t="inlineStr">
        <is>
          <t>Northern Europe</t>
        </is>
      </c>
      <c r="D1441" s="36" t="inlineStr">
        <is>
          <t>Sweden</t>
        </is>
      </c>
      <c r="E1441" s="36" t="inlineStr">
        <is>
          <t>Marketplace</t>
        </is>
      </c>
      <c r="F1441" s="36" t="inlineStr">
        <is>
          <t>Returning</t>
        </is>
      </c>
      <c r="G1441" s="36" t="inlineStr">
        <is>
          <t>Hiking</t>
        </is>
      </c>
      <c r="H1441" s="36" t="inlineStr">
        <is>
          <t>Trail Boots</t>
        </is>
      </c>
      <c r="I1441" s="36" t="n">
        <v>1</v>
      </c>
      <c r="J1441" s="39" t="n">
        <v>143.69</v>
      </c>
      <c r="K1441" s="45" t="n">
        <v>0</v>
      </c>
      <c r="L1441" s="39" t="n">
        <v>80.87</v>
      </c>
      <c r="M1441" s="39">
        <f>I1441*J1441*(1-K1441)</f>
        <v/>
      </c>
      <c r="N1441" s="39">
        <f>I1441*L1441</f>
        <v/>
      </c>
      <c r="O1441" s="39">
        <f>M1441-N1441</f>
        <v/>
      </c>
      <c r="P1441" s="38">
        <f>IF(M1441=0,0,O1441/M1441)</f>
        <v/>
      </c>
      <c r="Q1441" s="36">
        <f>YEAR(B1441)</f>
        <v/>
      </c>
      <c r="R1441" s="36">
        <f>"Q"&amp;ROUNDUP(MONTH(B1441)/3,0)</f>
        <v/>
      </c>
      <c r="S1441" s="36">
        <f>MONTH(B1441)</f>
        <v/>
      </c>
      <c r="T1441" s="36">
        <f>TEXT(B1441,"mmm")</f>
        <v/>
      </c>
      <c r="U1441" s="36">
        <f>IF(AND(OR(sel_Region="All",C1441=sel_Region),OR(sel_Country="All",D1441=sel_Country),OR(sel_Channel="All",E1441=sel_Channel),OR(sel_Customer="All",F1441=sel_Customer),OR(sel_Category="All",G1441=sel_Category),OR(sel_Product="All",H1441=sel_Product),AND(S1441&gt;=m_From,S1441&lt;=m_To)),1,0)</f>
        <v/>
      </c>
      <c r="V1441" s="36">
        <f>IF(AND(OR(sel_Region="All",C1441=sel_Region),OR(sel_Channel="All",E1441=sel_Channel),OR(sel_Customer="All",F1441=sel_Customer),OR(sel_Category="All",G1441=sel_Category),OR(sel_Product="All",H1441=sel_Product),AND(S1441&gt;=m_From,S1441&lt;=m_To)),1,0)</f>
        <v/>
      </c>
      <c r="W1441" s="36">
        <f>IF(AND(OR(sel_Region="All",C1441=sel_Region),OR(sel_Country="All",D1441=sel_Country),OR(sel_Customer="All",F1441=sel_Customer),OR(sel_Category="All",G1441=sel_Category),OR(sel_Product="All",H1441=sel_Product),AND(S1441&gt;=m_From,S1441&lt;=m_To)),1,0)</f>
        <v/>
      </c>
      <c r="X1441" s="36">
        <f>IF(AND(OR(sel_Region="All",C1441=sel_Region),OR(sel_Country="All",D1441=sel_Country),OR(sel_Channel="All",E1441=sel_Channel),OR(sel_Category="All",G1441=sel_Category),OR(sel_Product="All",H1441=sel_Product),AND(S1441&gt;=m_From,S1441&lt;=m_To)),1,0)</f>
        <v/>
      </c>
      <c r="Y1441" s="36">
        <f>IF(AND(OR(sel_Region="All",C1441=sel_Region),OR(sel_Country="All",D1441=sel_Country),OR(sel_Channel="All",E1441=sel_Channel),OR(sel_Customer="All",F1441=sel_Customer),OR(sel_Product="All",H1441=sel_Product),AND(S1441&gt;=m_From,S1441&lt;=m_To)),1,0)</f>
        <v/>
      </c>
      <c r="Z1441" s="36">
        <f>IF(AND(OR(sel_Region="All",C1441=sel_Region),OR(sel_Country="All",D1441=sel_Country),OR(sel_Channel="All",E1441=sel_Channel),OR(sel_Customer="All",F1441=sel_Customer),OR(sel_Category="All",G1441=sel_Category),AND(S1441&gt;=m_From,S1441&lt;=m_To)),1,0)</f>
        <v/>
      </c>
      <c r="AA1441" s="36">
        <f>IF(AND(OR(sel_Region="All",C1441=sel_Region),OR(sel_Country="All",D1441=sel_Country),OR(sel_Channel="All",E1441=sel_Channel),OR(sel_Customer="All",F1441=sel_Customer),OR(sel_Category="All",G1441=sel_Category),OR(sel_Product="All",H1441=sel_Product)),1,0)</f>
        <v/>
      </c>
    </row>
    <row r="1442">
      <c r="A1442" s="36" t="inlineStr">
        <is>
          <t>04558</t>
        </is>
      </c>
      <c r="B1442" s="44" t="n">
        <v>46224</v>
      </c>
      <c r="C1442" s="36" t="inlineStr">
        <is>
          <t>Central Europe</t>
        </is>
      </c>
      <c r="D1442" s="36" t="inlineStr">
        <is>
          <t>Poland</t>
        </is>
      </c>
      <c r="E1442" s="36" t="inlineStr">
        <is>
          <t>Marketplace</t>
        </is>
      </c>
      <c r="F1442" s="36" t="inlineStr">
        <is>
          <t>New</t>
        </is>
      </c>
      <c r="G1442" s="36" t="inlineStr">
        <is>
          <t>Hiking</t>
        </is>
      </c>
      <c r="H1442" s="36" t="inlineStr">
        <is>
          <t>Trail Boots</t>
        </is>
      </c>
      <c r="I1442" s="36" t="n">
        <v>2</v>
      </c>
      <c r="J1442" s="39" t="n">
        <v>147.09</v>
      </c>
      <c r="K1442" s="45" t="n">
        <v>0</v>
      </c>
      <c r="L1442" s="39" t="n">
        <v>81.58</v>
      </c>
      <c r="M1442" s="39">
        <f>I1442*J1442*(1-K1442)</f>
        <v/>
      </c>
      <c r="N1442" s="39">
        <f>I1442*L1442</f>
        <v/>
      </c>
      <c r="O1442" s="39">
        <f>M1442-N1442</f>
        <v/>
      </c>
      <c r="P1442" s="38">
        <f>IF(M1442=0,0,O1442/M1442)</f>
        <v/>
      </c>
      <c r="Q1442" s="36">
        <f>YEAR(B1442)</f>
        <v/>
      </c>
      <c r="R1442" s="36">
        <f>"Q"&amp;ROUNDUP(MONTH(B1442)/3,0)</f>
        <v/>
      </c>
      <c r="S1442" s="36">
        <f>MONTH(B1442)</f>
        <v/>
      </c>
      <c r="T1442" s="36">
        <f>TEXT(B1442,"mmm")</f>
        <v/>
      </c>
      <c r="U1442" s="36">
        <f>IF(AND(OR(sel_Region="All",C1442=sel_Region),OR(sel_Country="All",D1442=sel_Country),OR(sel_Channel="All",E1442=sel_Channel),OR(sel_Customer="All",F1442=sel_Customer),OR(sel_Category="All",G1442=sel_Category),OR(sel_Product="All",H1442=sel_Product),AND(S1442&gt;=m_From,S1442&lt;=m_To)),1,0)</f>
        <v/>
      </c>
      <c r="V1442" s="36">
        <f>IF(AND(OR(sel_Region="All",C1442=sel_Region),OR(sel_Channel="All",E1442=sel_Channel),OR(sel_Customer="All",F1442=sel_Customer),OR(sel_Category="All",G1442=sel_Category),OR(sel_Product="All",H1442=sel_Product),AND(S1442&gt;=m_From,S1442&lt;=m_To)),1,0)</f>
        <v/>
      </c>
      <c r="W1442" s="36">
        <f>IF(AND(OR(sel_Region="All",C1442=sel_Region),OR(sel_Country="All",D1442=sel_Country),OR(sel_Customer="All",F1442=sel_Customer),OR(sel_Category="All",G1442=sel_Category),OR(sel_Product="All",H1442=sel_Product),AND(S1442&gt;=m_From,S1442&lt;=m_To)),1,0)</f>
        <v/>
      </c>
      <c r="X1442" s="36">
        <f>IF(AND(OR(sel_Region="All",C1442=sel_Region),OR(sel_Country="All",D1442=sel_Country),OR(sel_Channel="All",E1442=sel_Channel),OR(sel_Category="All",G1442=sel_Category),OR(sel_Product="All",H1442=sel_Product),AND(S1442&gt;=m_From,S1442&lt;=m_To)),1,0)</f>
        <v/>
      </c>
      <c r="Y1442" s="36">
        <f>IF(AND(OR(sel_Region="All",C1442=sel_Region),OR(sel_Country="All",D1442=sel_Country),OR(sel_Channel="All",E1442=sel_Channel),OR(sel_Customer="All",F1442=sel_Customer),OR(sel_Product="All",H1442=sel_Product),AND(S1442&gt;=m_From,S1442&lt;=m_To)),1,0)</f>
        <v/>
      </c>
      <c r="Z1442" s="36">
        <f>IF(AND(OR(sel_Region="All",C1442=sel_Region),OR(sel_Country="All",D1442=sel_Country),OR(sel_Channel="All",E1442=sel_Channel),OR(sel_Customer="All",F1442=sel_Customer),OR(sel_Category="All",G1442=sel_Category),AND(S1442&gt;=m_From,S1442&lt;=m_To)),1,0)</f>
        <v/>
      </c>
      <c r="AA1442" s="36">
        <f>IF(AND(OR(sel_Region="All",C1442=sel_Region),OR(sel_Country="All",D1442=sel_Country),OR(sel_Channel="All",E1442=sel_Channel),OR(sel_Customer="All",F1442=sel_Customer),OR(sel_Category="All",G1442=sel_Category),OR(sel_Product="All",H1442=sel_Product)),1,0)</f>
        <v/>
      </c>
    </row>
    <row r="1443">
      <c r="A1443" s="36" t="inlineStr">
        <is>
          <t>04564</t>
        </is>
      </c>
      <c r="B1443" s="44" t="n">
        <v>46224</v>
      </c>
      <c r="C1443" s="36" t="inlineStr">
        <is>
          <t>Northern Europe</t>
        </is>
      </c>
      <c r="D1443" s="36" t="inlineStr">
        <is>
          <t>Denmark</t>
        </is>
      </c>
      <c r="E1443" s="36" t="inlineStr">
        <is>
          <t>Online Store</t>
        </is>
      </c>
      <c r="F1443" s="36" t="inlineStr">
        <is>
          <t>New</t>
        </is>
      </c>
      <c r="G1443" s="36" t="inlineStr">
        <is>
          <t>Hiking</t>
        </is>
      </c>
      <c r="H1443" s="36" t="inlineStr">
        <is>
          <t>Summit Backpack 45L</t>
        </is>
      </c>
      <c r="I1443" s="36" t="n">
        <v>1</v>
      </c>
      <c r="J1443" s="39" t="n">
        <v>153.88</v>
      </c>
      <c r="K1443" s="45" t="n">
        <v>0</v>
      </c>
      <c r="L1443" s="39" t="n">
        <v>80.98</v>
      </c>
      <c r="M1443" s="39">
        <f>I1443*J1443*(1-K1443)</f>
        <v/>
      </c>
      <c r="N1443" s="39">
        <f>I1443*L1443</f>
        <v/>
      </c>
      <c r="O1443" s="39">
        <f>M1443-N1443</f>
        <v/>
      </c>
      <c r="P1443" s="38">
        <f>IF(M1443=0,0,O1443/M1443)</f>
        <v/>
      </c>
      <c r="Q1443" s="36">
        <f>YEAR(B1443)</f>
        <v/>
      </c>
      <c r="R1443" s="36">
        <f>"Q"&amp;ROUNDUP(MONTH(B1443)/3,0)</f>
        <v/>
      </c>
      <c r="S1443" s="36">
        <f>MONTH(B1443)</f>
        <v/>
      </c>
      <c r="T1443" s="36">
        <f>TEXT(B1443,"mmm")</f>
        <v/>
      </c>
      <c r="U1443" s="36">
        <f>IF(AND(OR(sel_Region="All",C1443=sel_Region),OR(sel_Country="All",D1443=sel_Country),OR(sel_Channel="All",E1443=sel_Channel),OR(sel_Customer="All",F1443=sel_Customer),OR(sel_Category="All",G1443=sel_Category),OR(sel_Product="All",H1443=sel_Product),AND(S1443&gt;=m_From,S1443&lt;=m_To)),1,0)</f>
        <v/>
      </c>
      <c r="V1443" s="36">
        <f>IF(AND(OR(sel_Region="All",C1443=sel_Region),OR(sel_Channel="All",E1443=sel_Channel),OR(sel_Customer="All",F1443=sel_Customer),OR(sel_Category="All",G1443=sel_Category),OR(sel_Product="All",H1443=sel_Product),AND(S1443&gt;=m_From,S1443&lt;=m_To)),1,0)</f>
        <v/>
      </c>
      <c r="W1443" s="36">
        <f>IF(AND(OR(sel_Region="All",C1443=sel_Region),OR(sel_Country="All",D1443=sel_Country),OR(sel_Customer="All",F1443=sel_Customer),OR(sel_Category="All",G1443=sel_Category),OR(sel_Product="All",H1443=sel_Product),AND(S1443&gt;=m_From,S1443&lt;=m_To)),1,0)</f>
        <v/>
      </c>
      <c r="X1443" s="36">
        <f>IF(AND(OR(sel_Region="All",C1443=sel_Region),OR(sel_Country="All",D1443=sel_Country),OR(sel_Channel="All",E1443=sel_Channel),OR(sel_Category="All",G1443=sel_Category),OR(sel_Product="All",H1443=sel_Product),AND(S1443&gt;=m_From,S1443&lt;=m_To)),1,0)</f>
        <v/>
      </c>
      <c r="Y1443" s="36">
        <f>IF(AND(OR(sel_Region="All",C1443=sel_Region),OR(sel_Country="All",D1443=sel_Country),OR(sel_Channel="All",E1443=sel_Channel),OR(sel_Customer="All",F1443=sel_Customer),OR(sel_Product="All",H1443=sel_Product),AND(S1443&gt;=m_From,S1443&lt;=m_To)),1,0)</f>
        <v/>
      </c>
      <c r="Z1443" s="36">
        <f>IF(AND(OR(sel_Region="All",C1443=sel_Region),OR(sel_Country="All",D1443=sel_Country),OR(sel_Channel="All",E1443=sel_Channel),OR(sel_Customer="All",F1443=sel_Customer),OR(sel_Category="All",G1443=sel_Category),AND(S1443&gt;=m_From,S1443&lt;=m_To)),1,0)</f>
        <v/>
      </c>
      <c r="AA1443" s="36">
        <f>IF(AND(OR(sel_Region="All",C1443=sel_Region),OR(sel_Country="All",D1443=sel_Country),OR(sel_Channel="All",E1443=sel_Channel),OR(sel_Customer="All",F1443=sel_Customer),OR(sel_Category="All",G1443=sel_Category),OR(sel_Product="All",H1443=sel_Product)),1,0)</f>
        <v/>
      </c>
    </row>
    <row r="1444">
      <c r="A1444" s="36" t="inlineStr">
        <is>
          <t>04616</t>
        </is>
      </c>
      <c r="B1444" s="44" t="n">
        <v>46224</v>
      </c>
      <c r="C1444" s="36" t="inlineStr">
        <is>
          <t>Western Europe</t>
        </is>
      </c>
      <c r="D1444" s="36" t="inlineStr">
        <is>
          <t>France</t>
        </is>
      </c>
      <c r="E1444" s="36" t="inlineStr">
        <is>
          <t>Marketplace</t>
        </is>
      </c>
      <c r="F1444" s="36" t="inlineStr">
        <is>
          <t>New</t>
        </is>
      </c>
      <c r="G1444" s="36" t="inlineStr">
        <is>
          <t>Hiking</t>
        </is>
      </c>
      <c r="H1444" s="36" t="inlineStr">
        <is>
          <t>Trekking Poles</t>
        </is>
      </c>
      <c r="I1444" s="36" t="n">
        <v>3</v>
      </c>
      <c r="J1444" s="39" t="n">
        <v>72.2</v>
      </c>
      <c r="K1444" s="45" t="n">
        <v>0</v>
      </c>
      <c r="L1444" s="39" t="n">
        <v>31.45</v>
      </c>
      <c r="M1444" s="39">
        <f>I1444*J1444*(1-K1444)</f>
        <v/>
      </c>
      <c r="N1444" s="39">
        <f>I1444*L1444</f>
        <v/>
      </c>
      <c r="O1444" s="39">
        <f>M1444-N1444</f>
        <v/>
      </c>
      <c r="P1444" s="38">
        <f>IF(M1444=0,0,O1444/M1444)</f>
        <v/>
      </c>
      <c r="Q1444" s="36">
        <f>YEAR(B1444)</f>
        <v/>
      </c>
      <c r="R1444" s="36">
        <f>"Q"&amp;ROUNDUP(MONTH(B1444)/3,0)</f>
        <v/>
      </c>
      <c r="S1444" s="36">
        <f>MONTH(B1444)</f>
        <v/>
      </c>
      <c r="T1444" s="36">
        <f>TEXT(B1444,"mmm")</f>
        <v/>
      </c>
      <c r="U1444" s="36">
        <f>IF(AND(OR(sel_Region="All",C1444=sel_Region),OR(sel_Country="All",D1444=sel_Country),OR(sel_Channel="All",E1444=sel_Channel),OR(sel_Customer="All",F1444=sel_Customer),OR(sel_Category="All",G1444=sel_Category),OR(sel_Product="All",H1444=sel_Product),AND(S1444&gt;=m_From,S1444&lt;=m_To)),1,0)</f>
        <v/>
      </c>
      <c r="V1444" s="36">
        <f>IF(AND(OR(sel_Region="All",C1444=sel_Region),OR(sel_Channel="All",E1444=sel_Channel),OR(sel_Customer="All",F1444=sel_Customer),OR(sel_Category="All",G1444=sel_Category),OR(sel_Product="All",H1444=sel_Product),AND(S1444&gt;=m_From,S1444&lt;=m_To)),1,0)</f>
        <v/>
      </c>
      <c r="W1444" s="36">
        <f>IF(AND(OR(sel_Region="All",C1444=sel_Region),OR(sel_Country="All",D1444=sel_Country),OR(sel_Customer="All",F1444=sel_Customer),OR(sel_Category="All",G1444=sel_Category),OR(sel_Product="All",H1444=sel_Product),AND(S1444&gt;=m_From,S1444&lt;=m_To)),1,0)</f>
        <v/>
      </c>
      <c r="X1444" s="36">
        <f>IF(AND(OR(sel_Region="All",C1444=sel_Region),OR(sel_Country="All",D1444=sel_Country),OR(sel_Channel="All",E1444=sel_Channel),OR(sel_Category="All",G1444=sel_Category),OR(sel_Product="All",H1444=sel_Product),AND(S1444&gt;=m_From,S1444&lt;=m_To)),1,0)</f>
        <v/>
      </c>
      <c r="Y1444" s="36">
        <f>IF(AND(OR(sel_Region="All",C1444=sel_Region),OR(sel_Country="All",D1444=sel_Country),OR(sel_Channel="All",E1444=sel_Channel),OR(sel_Customer="All",F1444=sel_Customer),OR(sel_Product="All",H1444=sel_Product),AND(S1444&gt;=m_From,S1444&lt;=m_To)),1,0)</f>
        <v/>
      </c>
      <c r="Z1444" s="36">
        <f>IF(AND(OR(sel_Region="All",C1444=sel_Region),OR(sel_Country="All",D1444=sel_Country),OR(sel_Channel="All",E1444=sel_Channel),OR(sel_Customer="All",F1444=sel_Customer),OR(sel_Category="All",G1444=sel_Category),AND(S1444&gt;=m_From,S1444&lt;=m_To)),1,0)</f>
        <v/>
      </c>
      <c r="AA1444" s="36">
        <f>IF(AND(OR(sel_Region="All",C1444=sel_Region),OR(sel_Country="All",D1444=sel_Country),OR(sel_Channel="All",E1444=sel_Channel),OR(sel_Customer="All",F1444=sel_Customer),OR(sel_Category="All",G1444=sel_Category),OR(sel_Product="All",H1444=sel_Product)),1,0)</f>
        <v/>
      </c>
    </row>
    <row r="1445">
      <c r="A1445" s="36" t="inlineStr">
        <is>
          <t>00536</t>
        </is>
      </c>
      <c r="B1445" s="44" t="n">
        <v>46225</v>
      </c>
      <c r="C1445" s="36" t="inlineStr">
        <is>
          <t>Western Europe</t>
        </is>
      </c>
      <c r="D1445" s="36" t="inlineStr">
        <is>
          <t>France</t>
        </is>
      </c>
      <c r="E1445" s="36" t="inlineStr">
        <is>
          <t>Retail Partners</t>
        </is>
      </c>
      <c r="F1445" s="36" t="inlineStr">
        <is>
          <t>Business</t>
        </is>
      </c>
      <c r="G1445" s="36" t="inlineStr">
        <is>
          <t>Fitness</t>
        </is>
      </c>
      <c r="H1445" s="36" t="inlineStr">
        <is>
          <t>Resistance Band Set</t>
        </is>
      </c>
      <c r="I1445" s="36" t="n">
        <v>1</v>
      </c>
      <c r="J1445" s="39" t="n">
        <v>40.67</v>
      </c>
      <c r="K1445" s="45" t="n">
        <v>0</v>
      </c>
      <c r="L1445" s="39" t="n">
        <v>14.28</v>
      </c>
      <c r="M1445" s="39">
        <f>I1445*J1445*(1-K1445)</f>
        <v/>
      </c>
      <c r="N1445" s="39">
        <f>I1445*L1445</f>
        <v/>
      </c>
      <c r="O1445" s="39">
        <f>M1445-N1445</f>
        <v/>
      </c>
      <c r="P1445" s="38">
        <f>IF(M1445=0,0,O1445/M1445)</f>
        <v/>
      </c>
      <c r="Q1445" s="36">
        <f>YEAR(B1445)</f>
        <v/>
      </c>
      <c r="R1445" s="36">
        <f>"Q"&amp;ROUNDUP(MONTH(B1445)/3,0)</f>
        <v/>
      </c>
      <c r="S1445" s="36">
        <f>MONTH(B1445)</f>
        <v/>
      </c>
      <c r="T1445" s="36">
        <f>TEXT(B1445,"mmm")</f>
        <v/>
      </c>
      <c r="U1445" s="36">
        <f>IF(AND(OR(sel_Region="All",C1445=sel_Region),OR(sel_Country="All",D1445=sel_Country),OR(sel_Channel="All",E1445=sel_Channel),OR(sel_Customer="All",F1445=sel_Customer),OR(sel_Category="All",G1445=sel_Category),OR(sel_Product="All",H1445=sel_Product),AND(S1445&gt;=m_From,S1445&lt;=m_To)),1,0)</f>
        <v/>
      </c>
      <c r="V1445" s="36">
        <f>IF(AND(OR(sel_Region="All",C1445=sel_Region),OR(sel_Channel="All",E1445=sel_Channel),OR(sel_Customer="All",F1445=sel_Customer),OR(sel_Category="All",G1445=sel_Category),OR(sel_Product="All",H1445=sel_Product),AND(S1445&gt;=m_From,S1445&lt;=m_To)),1,0)</f>
        <v/>
      </c>
      <c r="W1445" s="36">
        <f>IF(AND(OR(sel_Region="All",C1445=sel_Region),OR(sel_Country="All",D1445=sel_Country),OR(sel_Customer="All",F1445=sel_Customer),OR(sel_Category="All",G1445=sel_Category),OR(sel_Product="All",H1445=sel_Product),AND(S1445&gt;=m_From,S1445&lt;=m_To)),1,0)</f>
        <v/>
      </c>
      <c r="X1445" s="36">
        <f>IF(AND(OR(sel_Region="All",C1445=sel_Region),OR(sel_Country="All",D1445=sel_Country),OR(sel_Channel="All",E1445=sel_Channel),OR(sel_Category="All",G1445=sel_Category),OR(sel_Product="All",H1445=sel_Product),AND(S1445&gt;=m_From,S1445&lt;=m_To)),1,0)</f>
        <v/>
      </c>
      <c r="Y1445" s="36">
        <f>IF(AND(OR(sel_Region="All",C1445=sel_Region),OR(sel_Country="All",D1445=sel_Country),OR(sel_Channel="All",E1445=sel_Channel),OR(sel_Customer="All",F1445=sel_Customer),OR(sel_Product="All",H1445=sel_Product),AND(S1445&gt;=m_From,S1445&lt;=m_To)),1,0)</f>
        <v/>
      </c>
      <c r="Z1445" s="36">
        <f>IF(AND(OR(sel_Region="All",C1445=sel_Region),OR(sel_Country="All",D1445=sel_Country),OR(sel_Channel="All",E1445=sel_Channel),OR(sel_Customer="All",F1445=sel_Customer),OR(sel_Category="All",G1445=sel_Category),AND(S1445&gt;=m_From,S1445&lt;=m_To)),1,0)</f>
        <v/>
      </c>
      <c r="AA1445" s="36">
        <f>IF(AND(OR(sel_Region="All",C1445=sel_Region),OR(sel_Country="All",D1445=sel_Country),OR(sel_Channel="All",E1445=sel_Channel),OR(sel_Customer="All",F1445=sel_Customer),OR(sel_Category="All",G1445=sel_Category),OR(sel_Product="All",H1445=sel_Product)),1,0)</f>
        <v/>
      </c>
    </row>
    <row r="1446">
      <c r="A1446" s="36" t="inlineStr">
        <is>
          <t>00571</t>
        </is>
      </c>
      <c r="B1446" s="44" t="n">
        <v>46225</v>
      </c>
      <c r="C1446" s="36" t="inlineStr">
        <is>
          <t>Southern Europe</t>
        </is>
      </c>
      <c r="D1446" s="36" t="inlineStr">
        <is>
          <t>Spain</t>
        </is>
      </c>
      <c r="E1446" s="36" t="inlineStr">
        <is>
          <t>Online Store</t>
        </is>
      </c>
      <c r="F1446" s="36" t="inlineStr">
        <is>
          <t>New</t>
        </is>
      </c>
      <c r="G1446" s="36" t="inlineStr">
        <is>
          <t>Hiking</t>
        </is>
      </c>
      <c r="H1446" s="36" t="inlineStr">
        <is>
          <t>Summit Backpack 45L</t>
        </is>
      </c>
      <c r="I1446" s="36" t="n">
        <v>3</v>
      </c>
      <c r="J1446" s="39" t="n">
        <v>152.53</v>
      </c>
      <c r="K1446" s="45" t="n">
        <v>0</v>
      </c>
      <c r="L1446" s="39" t="n">
        <v>80.88</v>
      </c>
      <c r="M1446" s="39">
        <f>I1446*J1446*(1-K1446)</f>
        <v/>
      </c>
      <c r="N1446" s="39">
        <f>I1446*L1446</f>
        <v/>
      </c>
      <c r="O1446" s="39">
        <f>M1446-N1446</f>
        <v/>
      </c>
      <c r="P1446" s="38">
        <f>IF(M1446=0,0,O1446/M1446)</f>
        <v/>
      </c>
      <c r="Q1446" s="36">
        <f>YEAR(B1446)</f>
        <v/>
      </c>
      <c r="R1446" s="36">
        <f>"Q"&amp;ROUNDUP(MONTH(B1446)/3,0)</f>
        <v/>
      </c>
      <c r="S1446" s="36">
        <f>MONTH(B1446)</f>
        <v/>
      </c>
      <c r="T1446" s="36">
        <f>TEXT(B1446,"mmm")</f>
        <v/>
      </c>
      <c r="U1446" s="36">
        <f>IF(AND(OR(sel_Region="All",C1446=sel_Region),OR(sel_Country="All",D1446=sel_Country),OR(sel_Channel="All",E1446=sel_Channel),OR(sel_Customer="All",F1446=sel_Customer),OR(sel_Category="All",G1446=sel_Category),OR(sel_Product="All",H1446=sel_Product),AND(S1446&gt;=m_From,S1446&lt;=m_To)),1,0)</f>
        <v/>
      </c>
      <c r="V1446" s="36">
        <f>IF(AND(OR(sel_Region="All",C1446=sel_Region),OR(sel_Channel="All",E1446=sel_Channel),OR(sel_Customer="All",F1446=sel_Customer),OR(sel_Category="All",G1446=sel_Category),OR(sel_Product="All",H1446=sel_Product),AND(S1446&gt;=m_From,S1446&lt;=m_To)),1,0)</f>
        <v/>
      </c>
      <c r="W1446" s="36">
        <f>IF(AND(OR(sel_Region="All",C1446=sel_Region),OR(sel_Country="All",D1446=sel_Country),OR(sel_Customer="All",F1446=sel_Customer),OR(sel_Category="All",G1446=sel_Category),OR(sel_Product="All",H1446=sel_Product),AND(S1446&gt;=m_From,S1446&lt;=m_To)),1,0)</f>
        <v/>
      </c>
      <c r="X1446" s="36">
        <f>IF(AND(OR(sel_Region="All",C1446=sel_Region),OR(sel_Country="All",D1446=sel_Country),OR(sel_Channel="All",E1446=sel_Channel),OR(sel_Category="All",G1446=sel_Category),OR(sel_Product="All",H1446=sel_Product),AND(S1446&gt;=m_From,S1446&lt;=m_To)),1,0)</f>
        <v/>
      </c>
      <c r="Y1446" s="36">
        <f>IF(AND(OR(sel_Region="All",C1446=sel_Region),OR(sel_Country="All",D1446=sel_Country),OR(sel_Channel="All",E1446=sel_Channel),OR(sel_Customer="All",F1446=sel_Customer),OR(sel_Product="All",H1446=sel_Product),AND(S1446&gt;=m_From,S1446&lt;=m_To)),1,0)</f>
        <v/>
      </c>
      <c r="Z1446" s="36">
        <f>IF(AND(OR(sel_Region="All",C1446=sel_Region),OR(sel_Country="All",D1446=sel_Country),OR(sel_Channel="All",E1446=sel_Channel),OR(sel_Customer="All",F1446=sel_Customer),OR(sel_Category="All",G1446=sel_Category),AND(S1446&gt;=m_From,S1446&lt;=m_To)),1,0)</f>
        <v/>
      </c>
      <c r="AA1446" s="36">
        <f>IF(AND(OR(sel_Region="All",C1446=sel_Region),OR(sel_Country="All",D1446=sel_Country),OR(sel_Channel="All",E1446=sel_Channel),OR(sel_Customer="All",F1446=sel_Customer),OR(sel_Category="All",G1446=sel_Category),OR(sel_Product="All",H1446=sel_Product)),1,0)</f>
        <v/>
      </c>
    </row>
    <row r="1447">
      <c r="A1447" s="36" t="inlineStr">
        <is>
          <t>00965</t>
        </is>
      </c>
      <c r="B1447" s="44" t="n">
        <v>46225</v>
      </c>
      <c r="C1447" s="36" t="inlineStr">
        <is>
          <t>Central Europe</t>
        </is>
      </c>
      <c r="D1447" s="36" t="inlineStr">
        <is>
          <t>Switzerland</t>
        </is>
      </c>
      <c r="E1447" s="36" t="inlineStr">
        <is>
          <t>Retail Partners</t>
        </is>
      </c>
      <c r="F1447" s="36" t="inlineStr">
        <is>
          <t>Returning</t>
        </is>
      </c>
      <c r="G1447" s="36" t="inlineStr">
        <is>
          <t>Travel</t>
        </is>
      </c>
      <c r="H1447" s="36" t="inlineStr">
        <is>
          <t>Insulated Bottle</t>
        </is>
      </c>
      <c r="I1447" s="36" t="n">
        <v>2</v>
      </c>
      <c r="J1447" s="39" t="n">
        <v>35.39</v>
      </c>
      <c r="K1447" s="45" t="n">
        <v>0.05</v>
      </c>
      <c r="L1447" s="39" t="n">
        <v>13.39</v>
      </c>
      <c r="M1447" s="39">
        <f>I1447*J1447*(1-K1447)</f>
        <v/>
      </c>
      <c r="N1447" s="39">
        <f>I1447*L1447</f>
        <v/>
      </c>
      <c r="O1447" s="39">
        <f>M1447-N1447</f>
        <v/>
      </c>
      <c r="P1447" s="38">
        <f>IF(M1447=0,0,O1447/M1447)</f>
        <v/>
      </c>
      <c r="Q1447" s="36">
        <f>YEAR(B1447)</f>
        <v/>
      </c>
      <c r="R1447" s="36">
        <f>"Q"&amp;ROUNDUP(MONTH(B1447)/3,0)</f>
        <v/>
      </c>
      <c r="S1447" s="36">
        <f>MONTH(B1447)</f>
        <v/>
      </c>
      <c r="T1447" s="36">
        <f>TEXT(B1447,"mmm")</f>
        <v/>
      </c>
      <c r="U1447" s="36">
        <f>IF(AND(OR(sel_Region="All",C1447=sel_Region),OR(sel_Country="All",D1447=sel_Country),OR(sel_Channel="All",E1447=sel_Channel),OR(sel_Customer="All",F1447=sel_Customer),OR(sel_Category="All",G1447=sel_Category),OR(sel_Product="All",H1447=sel_Product),AND(S1447&gt;=m_From,S1447&lt;=m_To)),1,0)</f>
        <v/>
      </c>
      <c r="V1447" s="36">
        <f>IF(AND(OR(sel_Region="All",C1447=sel_Region),OR(sel_Channel="All",E1447=sel_Channel),OR(sel_Customer="All",F1447=sel_Customer),OR(sel_Category="All",G1447=sel_Category),OR(sel_Product="All",H1447=sel_Product),AND(S1447&gt;=m_From,S1447&lt;=m_To)),1,0)</f>
        <v/>
      </c>
      <c r="W1447" s="36">
        <f>IF(AND(OR(sel_Region="All",C1447=sel_Region),OR(sel_Country="All",D1447=sel_Country),OR(sel_Customer="All",F1447=sel_Customer),OR(sel_Category="All",G1447=sel_Category),OR(sel_Product="All",H1447=sel_Product),AND(S1447&gt;=m_From,S1447&lt;=m_To)),1,0)</f>
        <v/>
      </c>
      <c r="X1447" s="36">
        <f>IF(AND(OR(sel_Region="All",C1447=sel_Region),OR(sel_Country="All",D1447=sel_Country),OR(sel_Channel="All",E1447=sel_Channel),OR(sel_Category="All",G1447=sel_Category),OR(sel_Product="All",H1447=sel_Product),AND(S1447&gt;=m_From,S1447&lt;=m_To)),1,0)</f>
        <v/>
      </c>
      <c r="Y1447" s="36">
        <f>IF(AND(OR(sel_Region="All",C1447=sel_Region),OR(sel_Country="All",D1447=sel_Country),OR(sel_Channel="All",E1447=sel_Channel),OR(sel_Customer="All",F1447=sel_Customer),OR(sel_Product="All",H1447=sel_Product),AND(S1447&gt;=m_From,S1447&lt;=m_To)),1,0)</f>
        <v/>
      </c>
      <c r="Z1447" s="36">
        <f>IF(AND(OR(sel_Region="All",C1447=sel_Region),OR(sel_Country="All",D1447=sel_Country),OR(sel_Channel="All",E1447=sel_Channel),OR(sel_Customer="All",F1447=sel_Customer),OR(sel_Category="All",G1447=sel_Category),AND(S1447&gt;=m_From,S1447&lt;=m_To)),1,0)</f>
        <v/>
      </c>
      <c r="AA1447" s="36">
        <f>IF(AND(OR(sel_Region="All",C1447=sel_Region),OR(sel_Country="All",D1447=sel_Country),OR(sel_Channel="All",E1447=sel_Channel),OR(sel_Customer="All",F1447=sel_Customer),OR(sel_Category="All",G1447=sel_Category),OR(sel_Product="All",H1447=sel_Product)),1,0)</f>
        <v/>
      </c>
    </row>
    <row r="1448">
      <c r="A1448" s="36" t="inlineStr">
        <is>
          <t>01504</t>
        </is>
      </c>
      <c r="B1448" s="44" t="n">
        <v>46225</v>
      </c>
      <c r="C1448" s="36" t="inlineStr">
        <is>
          <t>Western Europe</t>
        </is>
      </c>
      <c r="D1448" s="36" t="inlineStr">
        <is>
          <t>Belgium</t>
        </is>
      </c>
      <c r="E1448" s="36" t="inlineStr">
        <is>
          <t>Online Store</t>
        </is>
      </c>
      <c r="F1448" s="36" t="inlineStr">
        <is>
          <t>Returning</t>
        </is>
      </c>
      <c r="G1448" s="36" t="inlineStr">
        <is>
          <t>Hiking</t>
        </is>
      </c>
      <c r="H1448" s="36" t="inlineStr">
        <is>
          <t>Hiking Daypack 20L</t>
        </is>
      </c>
      <c r="I1448" s="36" t="n">
        <v>5</v>
      </c>
      <c r="J1448" s="39" t="n">
        <v>93.34999999999999</v>
      </c>
      <c r="K1448" s="45" t="n">
        <v>0</v>
      </c>
      <c r="L1448" s="39" t="n">
        <v>46.31</v>
      </c>
      <c r="M1448" s="39">
        <f>I1448*J1448*(1-K1448)</f>
        <v/>
      </c>
      <c r="N1448" s="39">
        <f>I1448*L1448</f>
        <v/>
      </c>
      <c r="O1448" s="39">
        <f>M1448-N1448</f>
        <v/>
      </c>
      <c r="P1448" s="38">
        <f>IF(M1448=0,0,O1448/M1448)</f>
        <v/>
      </c>
      <c r="Q1448" s="36">
        <f>YEAR(B1448)</f>
        <v/>
      </c>
      <c r="R1448" s="36">
        <f>"Q"&amp;ROUNDUP(MONTH(B1448)/3,0)</f>
        <v/>
      </c>
      <c r="S1448" s="36">
        <f>MONTH(B1448)</f>
        <v/>
      </c>
      <c r="T1448" s="36">
        <f>TEXT(B1448,"mmm")</f>
        <v/>
      </c>
      <c r="U1448" s="36">
        <f>IF(AND(OR(sel_Region="All",C1448=sel_Region),OR(sel_Country="All",D1448=sel_Country),OR(sel_Channel="All",E1448=sel_Channel),OR(sel_Customer="All",F1448=sel_Customer),OR(sel_Category="All",G1448=sel_Category),OR(sel_Product="All",H1448=sel_Product),AND(S1448&gt;=m_From,S1448&lt;=m_To)),1,0)</f>
        <v/>
      </c>
      <c r="V1448" s="36">
        <f>IF(AND(OR(sel_Region="All",C1448=sel_Region),OR(sel_Channel="All",E1448=sel_Channel),OR(sel_Customer="All",F1448=sel_Customer),OR(sel_Category="All",G1448=sel_Category),OR(sel_Product="All",H1448=sel_Product),AND(S1448&gt;=m_From,S1448&lt;=m_To)),1,0)</f>
        <v/>
      </c>
      <c r="W1448" s="36">
        <f>IF(AND(OR(sel_Region="All",C1448=sel_Region),OR(sel_Country="All",D1448=sel_Country),OR(sel_Customer="All",F1448=sel_Customer),OR(sel_Category="All",G1448=sel_Category),OR(sel_Product="All",H1448=sel_Product),AND(S1448&gt;=m_From,S1448&lt;=m_To)),1,0)</f>
        <v/>
      </c>
      <c r="X1448" s="36">
        <f>IF(AND(OR(sel_Region="All",C1448=sel_Region),OR(sel_Country="All",D1448=sel_Country),OR(sel_Channel="All",E1448=sel_Channel),OR(sel_Category="All",G1448=sel_Category),OR(sel_Product="All",H1448=sel_Product),AND(S1448&gt;=m_From,S1448&lt;=m_To)),1,0)</f>
        <v/>
      </c>
      <c r="Y1448" s="36">
        <f>IF(AND(OR(sel_Region="All",C1448=sel_Region),OR(sel_Country="All",D1448=sel_Country),OR(sel_Channel="All",E1448=sel_Channel),OR(sel_Customer="All",F1448=sel_Customer),OR(sel_Product="All",H1448=sel_Product),AND(S1448&gt;=m_From,S1448&lt;=m_To)),1,0)</f>
        <v/>
      </c>
      <c r="Z1448" s="36">
        <f>IF(AND(OR(sel_Region="All",C1448=sel_Region),OR(sel_Country="All",D1448=sel_Country),OR(sel_Channel="All",E1448=sel_Channel),OR(sel_Customer="All",F1448=sel_Customer),OR(sel_Category="All",G1448=sel_Category),AND(S1448&gt;=m_From,S1448&lt;=m_To)),1,0)</f>
        <v/>
      </c>
      <c r="AA1448" s="36">
        <f>IF(AND(OR(sel_Region="All",C1448=sel_Region),OR(sel_Country="All",D1448=sel_Country),OR(sel_Channel="All",E1448=sel_Channel),OR(sel_Customer="All",F1448=sel_Customer),OR(sel_Category="All",G1448=sel_Category),OR(sel_Product="All",H1448=sel_Product)),1,0)</f>
        <v/>
      </c>
    </row>
    <row r="1449">
      <c r="A1449" s="36" t="inlineStr">
        <is>
          <t>02560</t>
        </is>
      </c>
      <c r="B1449" s="44" t="n">
        <v>46225</v>
      </c>
      <c r="C1449" s="36" t="inlineStr">
        <is>
          <t>Central Europe</t>
        </is>
      </c>
      <c r="D1449" s="36" t="inlineStr">
        <is>
          <t>Germany</t>
        </is>
      </c>
      <c r="E1449" s="36" t="inlineStr">
        <is>
          <t>Online Store</t>
        </is>
      </c>
      <c r="F1449" s="36" t="inlineStr">
        <is>
          <t>Returning</t>
        </is>
      </c>
      <c r="G1449" s="36" t="inlineStr">
        <is>
          <t>Cycling</t>
        </is>
      </c>
      <c r="H1449" s="36" t="inlineStr">
        <is>
          <t>Trail Bike Light</t>
        </is>
      </c>
      <c r="I1449" s="36" t="n">
        <v>2</v>
      </c>
      <c r="J1449" s="39" t="n">
        <v>51.71</v>
      </c>
      <c r="K1449" s="45" t="n">
        <v>0</v>
      </c>
      <c r="L1449" s="39" t="n">
        <v>22.75</v>
      </c>
      <c r="M1449" s="39">
        <f>I1449*J1449*(1-K1449)</f>
        <v/>
      </c>
      <c r="N1449" s="39">
        <f>I1449*L1449</f>
        <v/>
      </c>
      <c r="O1449" s="39">
        <f>M1449-N1449</f>
        <v/>
      </c>
      <c r="P1449" s="38">
        <f>IF(M1449=0,0,O1449/M1449)</f>
        <v/>
      </c>
      <c r="Q1449" s="36">
        <f>YEAR(B1449)</f>
        <v/>
      </c>
      <c r="R1449" s="36">
        <f>"Q"&amp;ROUNDUP(MONTH(B1449)/3,0)</f>
        <v/>
      </c>
      <c r="S1449" s="36">
        <f>MONTH(B1449)</f>
        <v/>
      </c>
      <c r="T1449" s="36">
        <f>TEXT(B1449,"mmm")</f>
        <v/>
      </c>
      <c r="U1449" s="36">
        <f>IF(AND(OR(sel_Region="All",C1449=sel_Region),OR(sel_Country="All",D1449=sel_Country),OR(sel_Channel="All",E1449=sel_Channel),OR(sel_Customer="All",F1449=sel_Customer),OR(sel_Category="All",G1449=sel_Category),OR(sel_Product="All",H1449=sel_Product),AND(S1449&gt;=m_From,S1449&lt;=m_To)),1,0)</f>
        <v/>
      </c>
      <c r="V1449" s="36">
        <f>IF(AND(OR(sel_Region="All",C1449=sel_Region),OR(sel_Channel="All",E1449=sel_Channel),OR(sel_Customer="All",F1449=sel_Customer),OR(sel_Category="All",G1449=sel_Category),OR(sel_Product="All",H1449=sel_Product),AND(S1449&gt;=m_From,S1449&lt;=m_To)),1,0)</f>
        <v/>
      </c>
      <c r="W1449" s="36">
        <f>IF(AND(OR(sel_Region="All",C1449=sel_Region),OR(sel_Country="All",D1449=sel_Country),OR(sel_Customer="All",F1449=sel_Customer),OR(sel_Category="All",G1449=sel_Category),OR(sel_Product="All",H1449=sel_Product),AND(S1449&gt;=m_From,S1449&lt;=m_To)),1,0)</f>
        <v/>
      </c>
      <c r="X1449" s="36">
        <f>IF(AND(OR(sel_Region="All",C1449=sel_Region),OR(sel_Country="All",D1449=sel_Country),OR(sel_Channel="All",E1449=sel_Channel),OR(sel_Category="All",G1449=sel_Category),OR(sel_Product="All",H1449=sel_Product),AND(S1449&gt;=m_From,S1449&lt;=m_To)),1,0)</f>
        <v/>
      </c>
      <c r="Y1449" s="36">
        <f>IF(AND(OR(sel_Region="All",C1449=sel_Region),OR(sel_Country="All",D1449=sel_Country),OR(sel_Channel="All",E1449=sel_Channel),OR(sel_Customer="All",F1449=sel_Customer),OR(sel_Product="All",H1449=sel_Product),AND(S1449&gt;=m_From,S1449&lt;=m_To)),1,0)</f>
        <v/>
      </c>
      <c r="Z1449" s="36">
        <f>IF(AND(OR(sel_Region="All",C1449=sel_Region),OR(sel_Country="All",D1449=sel_Country),OR(sel_Channel="All",E1449=sel_Channel),OR(sel_Customer="All",F1449=sel_Customer),OR(sel_Category="All",G1449=sel_Category),AND(S1449&gt;=m_From,S1449&lt;=m_To)),1,0)</f>
        <v/>
      </c>
      <c r="AA1449" s="36">
        <f>IF(AND(OR(sel_Region="All",C1449=sel_Region),OR(sel_Country="All",D1449=sel_Country),OR(sel_Channel="All",E1449=sel_Channel),OR(sel_Customer="All",F1449=sel_Customer),OR(sel_Category="All",G1449=sel_Category),OR(sel_Product="All",H1449=sel_Product)),1,0)</f>
        <v/>
      </c>
    </row>
    <row r="1450">
      <c r="A1450" s="36" t="inlineStr">
        <is>
          <t>02758</t>
        </is>
      </c>
      <c r="B1450" s="44" t="n">
        <v>46225</v>
      </c>
      <c r="C1450" s="36" t="inlineStr">
        <is>
          <t>Southern Europe</t>
        </is>
      </c>
      <c r="D1450" s="36" t="inlineStr">
        <is>
          <t>Spain</t>
        </is>
      </c>
      <c r="E1450" s="36" t="inlineStr">
        <is>
          <t>Online Store</t>
        </is>
      </c>
      <c r="F1450" s="36" t="inlineStr">
        <is>
          <t>New</t>
        </is>
      </c>
      <c r="G1450" s="36" t="inlineStr">
        <is>
          <t>Cycling</t>
        </is>
      </c>
      <c r="H1450" s="36" t="inlineStr">
        <is>
          <t>Compact Repair Kit</t>
        </is>
      </c>
      <c r="I1450" s="36" t="n">
        <v>1</v>
      </c>
      <c r="J1450" s="39" t="n">
        <v>39.86</v>
      </c>
      <c r="K1450" s="45" t="n">
        <v>0</v>
      </c>
      <c r="L1450" s="39" t="n">
        <v>16.53</v>
      </c>
      <c r="M1450" s="39">
        <f>I1450*J1450*(1-K1450)</f>
        <v/>
      </c>
      <c r="N1450" s="39">
        <f>I1450*L1450</f>
        <v/>
      </c>
      <c r="O1450" s="39">
        <f>M1450-N1450</f>
        <v/>
      </c>
      <c r="P1450" s="38">
        <f>IF(M1450=0,0,O1450/M1450)</f>
        <v/>
      </c>
      <c r="Q1450" s="36">
        <f>YEAR(B1450)</f>
        <v/>
      </c>
      <c r="R1450" s="36">
        <f>"Q"&amp;ROUNDUP(MONTH(B1450)/3,0)</f>
        <v/>
      </c>
      <c r="S1450" s="36">
        <f>MONTH(B1450)</f>
        <v/>
      </c>
      <c r="T1450" s="36">
        <f>TEXT(B1450,"mmm")</f>
        <v/>
      </c>
      <c r="U1450" s="36">
        <f>IF(AND(OR(sel_Region="All",C1450=sel_Region),OR(sel_Country="All",D1450=sel_Country),OR(sel_Channel="All",E1450=sel_Channel),OR(sel_Customer="All",F1450=sel_Customer),OR(sel_Category="All",G1450=sel_Category),OR(sel_Product="All",H1450=sel_Product),AND(S1450&gt;=m_From,S1450&lt;=m_To)),1,0)</f>
        <v/>
      </c>
      <c r="V1450" s="36">
        <f>IF(AND(OR(sel_Region="All",C1450=sel_Region),OR(sel_Channel="All",E1450=sel_Channel),OR(sel_Customer="All",F1450=sel_Customer),OR(sel_Category="All",G1450=sel_Category),OR(sel_Product="All",H1450=sel_Product),AND(S1450&gt;=m_From,S1450&lt;=m_To)),1,0)</f>
        <v/>
      </c>
      <c r="W1450" s="36">
        <f>IF(AND(OR(sel_Region="All",C1450=sel_Region),OR(sel_Country="All",D1450=sel_Country),OR(sel_Customer="All",F1450=sel_Customer),OR(sel_Category="All",G1450=sel_Category),OR(sel_Product="All",H1450=sel_Product),AND(S1450&gt;=m_From,S1450&lt;=m_To)),1,0)</f>
        <v/>
      </c>
      <c r="X1450" s="36">
        <f>IF(AND(OR(sel_Region="All",C1450=sel_Region),OR(sel_Country="All",D1450=sel_Country),OR(sel_Channel="All",E1450=sel_Channel),OR(sel_Category="All",G1450=sel_Category),OR(sel_Product="All",H1450=sel_Product),AND(S1450&gt;=m_From,S1450&lt;=m_To)),1,0)</f>
        <v/>
      </c>
      <c r="Y1450" s="36">
        <f>IF(AND(OR(sel_Region="All",C1450=sel_Region),OR(sel_Country="All",D1450=sel_Country),OR(sel_Channel="All",E1450=sel_Channel),OR(sel_Customer="All",F1450=sel_Customer),OR(sel_Product="All",H1450=sel_Product),AND(S1450&gt;=m_From,S1450&lt;=m_To)),1,0)</f>
        <v/>
      </c>
      <c r="Z1450" s="36">
        <f>IF(AND(OR(sel_Region="All",C1450=sel_Region),OR(sel_Country="All",D1450=sel_Country),OR(sel_Channel="All",E1450=sel_Channel),OR(sel_Customer="All",F1450=sel_Customer),OR(sel_Category="All",G1450=sel_Category),AND(S1450&gt;=m_From,S1450&lt;=m_To)),1,0)</f>
        <v/>
      </c>
      <c r="AA1450" s="36">
        <f>IF(AND(OR(sel_Region="All",C1450=sel_Region),OR(sel_Country="All",D1450=sel_Country),OR(sel_Channel="All",E1450=sel_Channel),OR(sel_Customer="All",F1450=sel_Customer),OR(sel_Category="All",G1450=sel_Category),OR(sel_Product="All",H1450=sel_Product)),1,0)</f>
        <v/>
      </c>
    </row>
    <row r="1451">
      <c r="A1451" s="36" t="inlineStr">
        <is>
          <t>04030</t>
        </is>
      </c>
      <c r="B1451" s="44" t="n">
        <v>46225</v>
      </c>
      <c r="C1451" s="36" t="inlineStr">
        <is>
          <t>Western Europe</t>
        </is>
      </c>
      <c r="D1451" s="36" t="inlineStr">
        <is>
          <t>United Kingdom</t>
        </is>
      </c>
      <c r="E1451" s="36" t="inlineStr">
        <is>
          <t>Online Store</t>
        </is>
      </c>
      <c r="F1451" s="36" t="inlineStr">
        <is>
          <t>New</t>
        </is>
      </c>
      <c r="G1451" s="36" t="inlineStr">
        <is>
          <t>Camping</t>
        </is>
      </c>
      <c r="H1451" s="36" t="inlineStr">
        <is>
          <t>Portable Camp Stove</t>
        </is>
      </c>
      <c r="I1451" s="36" t="n">
        <v>2</v>
      </c>
      <c r="J1451" s="39" t="n">
        <v>83.70999999999999</v>
      </c>
      <c r="K1451" s="45" t="n">
        <v>0</v>
      </c>
      <c r="L1451" s="39" t="n">
        <v>39.29</v>
      </c>
      <c r="M1451" s="39">
        <f>I1451*J1451*(1-K1451)</f>
        <v/>
      </c>
      <c r="N1451" s="39">
        <f>I1451*L1451</f>
        <v/>
      </c>
      <c r="O1451" s="39">
        <f>M1451-N1451</f>
        <v/>
      </c>
      <c r="P1451" s="38">
        <f>IF(M1451=0,0,O1451/M1451)</f>
        <v/>
      </c>
      <c r="Q1451" s="36">
        <f>YEAR(B1451)</f>
        <v/>
      </c>
      <c r="R1451" s="36">
        <f>"Q"&amp;ROUNDUP(MONTH(B1451)/3,0)</f>
        <v/>
      </c>
      <c r="S1451" s="36">
        <f>MONTH(B1451)</f>
        <v/>
      </c>
      <c r="T1451" s="36">
        <f>TEXT(B1451,"mmm")</f>
        <v/>
      </c>
      <c r="U1451" s="36">
        <f>IF(AND(OR(sel_Region="All",C1451=sel_Region),OR(sel_Country="All",D1451=sel_Country),OR(sel_Channel="All",E1451=sel_Channel),OR(sel_Customer="All",F1451=sel_Customer),OR(sel_Category="All",G1451=sel_Category),OR(sel_Product="All",H1451=sel_Product),AND(S1451&gt;=m_From,S1451&lt;=m_To)),1,0)</f>
        <v/>
      </c>
      <c r="V1451" s="36">
        <f>IF(AND(OR(sel_Region="All",C1451=sel_Region),OR(sel_Channel="All",E1451=sel_Channel),OR(sel_Customer="All",F1451=sel_Customer),OR(sel_Category="All",G1451=sel_Category),OR(sel_Product="All",H1451=sel_Product),AND(S1451&gt;=m_From,S1451&lt;=m_To)),1,0)</f>
        <v/>
      </c>
      <c r="W1451" s="36">
        <f>IF(AND(OR(sel_Region="All",C1451=sel_Region),OR(sel_Country="All",D1451=sel_Country),OR(sel_Customer="All",F1451=sel_Customer),OR(sel_Category="All",G1451=sel_Category),OR(sel_Product="All",H1451=sel_Product),AND(S1451&gt;=m_From,S1451&lt;=m_To)),1,0)</f>
        <v/>
      </c>
      <c r="X1451" s="36">
        <f>IF(AND(OR(sel_Region="All",C1451=sel_Region),OR(sel_Country="All",D1451=sel_Country),OR(sel_Channel="All",E1451=sel_Channel),OR(sel_Category="All",G1451=sel_Category),OR(sel_Product="All",H1451=sel_Product),AND(S1451&gt;=m_From,S1451&lt;=m_To)),1,0)</f>
        <v/>
      </c>
      <c r="Y1451" s="36">
        <f>IF(AND(OR(sel_Region="All",C1451=sel_Region),OR(sel_Country="All",D1451=sel_Country),OR(sel_Channel="All",E1451=sel_Channel),OR(sel_Customer="All",F1451=sel_Customer),OR(sel_Product="All",H1451=sel_Product),AND(S1451&gt;=m_From,S1451&lt;=m_To)),1,0)</f>
        <v/>
      </c>
      <c r="Z1451" s="36">
        <f>IF(AND(OR(sel_Region="All",C1451=sel_Region),OR(sel_Country="All",D1451=sel_Country),OR(sel_Channel="All",E1451=sel_Channel),OR(sel_Customer="All",F1451=sel_Customer),OR(sel_Category="All",G1451=sel_Category),AND(S1451&gt;=m_From,S1451&lt;=m_To)),1,0)</f>
        <v/>
      </c>
      <c r="AA1451" s="36">
        <f>IF(AND(OR(sel_Region="All",C1451=sel_Region),OR(sel_Country="All",D1451=sel_Country),OR(sel_Channel="All",E1451=sel_Channel),OR(sel_Customer="All",F1451=sel_Customer),OR(sel_Category="All",G1451=sel_Category),OR(sel_Product="All",H1451=sel_Product)),1,0)</f>
        <v/>
      </c>
    </row>
    <row r="1452">
      <c r="A1452" s="36" t="inlineStr">
        <is>
          <t>04337</t>
        </is>
      </c>
      <c r="B1452" s="44" t="n">
        <v>46225</v>
      </c>
      <c r="C1452" s="36" t="inlineStr">
        <is>
          <t>Central Europe</t>
        </is>
      </c>
      <c r="D1452" s="36" t="inlineStr">
        <is>
          <t>Poland</t>
        </is>
      </c>
      <c r="E1452" s="36" t="inlineStr">
        <is>
          <t>Retail Partners</t>
        </is>
      </c>
      <c r="F1452" s="36" t="inlineStr">
        <is>
          <t>New</t>
        </is>
      </c>
      <c r="G1452" s="36" t="inlineStr">
        <is>
          <t>Travel</t>
        </is>
      </c>
      <c r="H1452" s="36" t="inlineStr">
        <is>
          <t>Packing Cube Set</t>
        </is>
      </c>
      <c r="I1452" s="36" t="n">
        <v>1</v>
      </c>
      <c r="J1452" s="39" t="n">
        <v>47.62</v>
      </c>
      <c r="K1452" s="45" t="n">
        <v>0</v>
      </c>
      <c r="L1452" s="39" t="n">
        <v>17.82</v>
      </c>
      <c r="M1452" s="39">
        <f>I1452*J1452*(1-K1452)</f>
        <v/>
      </c>
      <c r="N1452" s="39">
        <f>I1452*L1452</f>
        <v/>
      </c>
      <c r="O1452" s="39">
        <f>M1452-N1452</f>
        <v/>
      </c>
      <c r="P1452" s="38">
        <f>IF(M1452=0,0,O1452/M1452)</f>
        <v/>
      </c>
      <c r="Q1452" s="36">
        <f>YEAR(B1452)</f>
        <v/>
      </c>
      <c r="R1452" s="36">
        <f>"Q"&amp;ROUNDUP(MONTH(B1452)/3,0)</f>
        <v/>
      </c>
      <c r="S1452" s="36">
        <f>MONTH(B1452)</f>
        <v/>
      </c>
      <c r="T1452" s="36">
        <f>TEXT(B1452,"mmm")</f>
        <v/>
      </c>
      <c r="U1452" s="36">
        <f>IF(AND(OR(sel_Region="All",C1452=sel_Region),OR(sel_Country="All",D1452=sel_Country),OR(sel_Channel="All",E1452=sel_Channel),OR(sel_Customer="All",F1452=sel_Customer),OR(sel_Category="All",G1452=sel_Category),OR(sel_Product="All",H1452=sel_Product),AND(S1452&gt;=m_From,S1452&lt;=m_To)),1,0)</f>
        <v/>
      </c>
      <c r="V1452" s="36">
        <f>IF(AND(OR(sel_Region="All",C1452=sel_Region),OR(sel_Channel="All",E1452=sel_Channel),OR(sel_Customer="All",F1452=sel_Customer),OR(sel_Category="All",G1452=sel_Category),OR(sel_Product="All",H1452=sel_Product),AND(S1452&gt;=m_From,S1452&lt;=m_To)),1,0)</f>
        <v/>
      </c>
      <c r="W1452" s="36">
        <f>IF(AND(OR(sel_Region="All",C1452=sel_Region),OR(sel_Country="All",D1452=sel_Country),OR(sel_Customer="All",F1452=sel_Customer),OR(sel_Category="All",G1452=sel_Category),OR(sel_Product="All",H1452=sel_Product),AND(S1452&gt;=m_From,S1452&lt;=m_To)),1,0)</f>
        <v/>
      </c>
      <c r="X1452" s="36">
        <f>IF(AND(OR(sel_Region="All",C1452=sel_Region),OR(sel_Country="All",D1452=sel_Country),OR(sel_Channel="All",E1452=sel_Channel),OR(sel_Category="All",G1452=sel_Category),OR(sel_Product="All",H1452=sel_Product),AND(S1452&gt;=m_From,S1452&lt;=m_To)),1,0)</f>
        <v/>
      </c>
      <c r="Y1452" s="36">
        <f>IF(AND(OR(sel_Region="All",C1452=sel_Region),OR(sel_Country="All",D1452=sel_Country),OR(sel_Channel="All",E1452=sel_Channel),OR(sel_Customer="All",F1452=sel_Customer),OR(sel_Product="All",H1452=sel_Product),AND(S1452&gt;=m_From,S1452&lt;=m_To)),1,0)</f>
        <v/>
      </c>
      <c r="Z1452" s="36">
        <f>IF(AND(OR(sel_Region="All",C1452=sel_Region),OR(sel_Country="All",D1452=sel_Country),OR(sel_Channel="All",E1452=sel_Channel),OR(sel_Customer="All",F1452=sel_Customer),OR(sel_Category="All",G1452=sel_Category),AND(S1452&gt;=m_From,S1452&lt;=m_To)),1,0)</f>
        <v/>
      </c>
      <c r="AA1452" s="36">
        <f>IF(AND(OR(sel_Region="All",C1452=sel_Region),OR(sel_Country="All",D1452=sel_Country),OR(sel_Channel="All",E1452=sel_Channel),OR(sel_Customer="All",F1452=sel_Customer),OR(sel_Category="All",G1452=sel_Category),OR(sel_Product="All",H1452=sel_Product)),1,0)</f>
        <v/>
      </c>
    </row>
    <row r="1453">
      <c r="A1453" s="36" t="inlineStr">
        <is>
          <t>05129</t>
        </is>
      </c>
      <c r="B1453" s="44" t="n">
        <v>46225</v>
      </c>
      <c r="C1453" s="36" t="inlineStr">
        <is>
          <t>Central Europe</t>
        </is>
      </c>
      <c r="D1453" s="36" t="inlineStr">
        <is>
          <t>Germany</t>
        </is>
      </c>
      <c r="E1453" s="36" t="inlineStr">
        <is>
          <t>Online Store</t>
        </is>
      </c>
      <c r="F1453" s="36" t="inlineStr">
        <is>
          <t>Returning</t>
        </is>
      </c>
      <c r="G1453" s="36" t="inlineStr">
        <is>
          <t>Cycling</t>
        </is>
      </c>
      <c r="H1453" s="36" t="inlineStr">
        <is>
          <t>Commuter Helmet</t>
        </is>
      </c>
      <c r="I1453" s="36" t="n">
        <v>1</v>
      </c>
      <c r="J1453" s="39" t="n">
        <v>80.05</v>
      </c>
      <c r="K1453" s="45" t="n">
        <v>0.05</v>
      </c>
      <c r="L1453" s="39" t="n">
        <v>43.81</v>
      </c>
      <c r="M1453" s="39">
        <f>I1453*J1453*(1-K1453)</f>
        <v/>
      </c>
      <c r="N1453" s="39">
        <f>I1453*L1453</f>
        <v/>
      </c>
      <c r="O1453" s="39">
        <f>M1453-N1453</f>
        <v/>
      </c>
      <c r="P1453" s="38">
        <f>IF(M1453=0,0,O1453/M1453)</f>
        <v/>
      </c>
      <c r="Q1453" s="36">
        <f>YEAR(B1453)</f>
        <v/>
      </c>
      <c r="R1453" s="36">
        <f>"Q"&amp;ROUNDUP(MONTH(B1453)/3,0)</f>
        <v/>
      </c>
      <c r="S1453" s="36">
        <f>MONTH(B1453)</f>
        <v/>
      </c>
      <c r="T1453" s="36">
        <f>TEXT(B1453,"mmm")</f>
        <v/>
      </c>
      <c r="U1453" s="36">
        <f>IF(AND(OR(sel_Region="All",C1453=sel_Region),OR(sel_Country="All",D1453=sel_Country),OR(sel_Channel="All",E1453=sel_Channel),OR(sel_Customer="All",F1453=sel_Customer),OR(sel_Category="All",G1453=sel_Category),OR(sel_Product="All",H1453=sel_Product),AND(S1453&gt;=m_From,S1453&lt;=m_To)),1,0)</f>
        <v/>
      </c>
      <c r="V1453" s="36">
        <f>IF(AND(OR(sel_Region="All",C1453=sel_Region),OR(sel_Channel="All",E1453=sel_Channel),OR(sel_Customer="All",F1453=sel_Customer),OR(sel_Category="All",G1453=sel_Category),OR(sel_Product="All",H1453=sel_Product),AND(S1453&gt;=m_From,S1453&lt;=m_To)),1,0)</f>
        <v/>
      </c>
      <c r="W1453" s="36">
        <f>IF(AND(OR(sel_Region="All",C1453=sel_Region),OR(sel_Country="All",D1453=sel_Country),OR(sel_Customer="All",F1453=sel_Customer),OR(sel_Category="All",G1453=sel_Category),OR(sel_Product="All",H1453=sel_Product),AND(S1453&gt;=m_From,S1453&lt;=m_To)),1,0)</f>
        <v/>
      </c>
      <c r="X1453" s="36">
        <f>IF(AND(OR(sel_Region="All",C1453=sel_Region),OR(sel_Country="All",D1453=sel_Country),OR(sel_Channel="All",E1453=sel_Channel),OR(sel_Category="All",G1453=sel_Category),OR(sel_Product="All",H1453=sel_Product),AND(S1453&gt;=m_From,S1453&lt;=m_To)),1,0)</f>
        <v/>
      </c>
      <c r="Y1453" s="36">
        <f>IF(AND(OR(sel_Region="All",C1453=sel_Region),OR(sel_Country="All",D1453=sel_Country),OR(sel_Channel="All",E1453=sel_Channel),OR(sel_Customer="All",F1453=sel_Customer),OR(sel_Product="All",H1453=sel_Product),AND(S1453&gt;=m_From,S1453&lt;=m_To)),1,0)</f>
        <v/>
      </c>
      <c r="Z1453" s="36">
        <f>IF(AND(OR(sel_Region="All",C1453=sel_Region),OR(sel_Country="All",D1453=sel_Country),OR(sel_Channel="All",E1453=sel_Channel),OR(sel_Customer="All",F1453=sel_Customer),OR(sel_Category="All",G1453=sel_Category),AND(S1453&gt;=m_From,S1453&lt;=m_To)),1,0)</f>
        <v/>
      </c>
      <c r="AA1453" s="36">
        <f>IF(AND(OR(sel_Region="All",C1453=sel_Region),OR(sel_Country="All",D1453=sel_Country),OR(sel_Channel="All",E1453=sel_Channel),OR(sel_Customer="All",F1453=sel_Customer),OR(sel_Category="All",G1453=sel_Category),OR(sel_Product="All",H1453=sel_Product)),1,0)</f>
        <v/>
      </c>
    </row>
    <row r="1454">
      <c r="A1454" s="36" t="inlineStr">
        <is>
          <t>00081</t>
        </is>
      </c>
      <c r="B1454" s="44" t="n">
        <v>46226</v>
      </c>
      <c r="C1454" s="36" t="inlineStr">
        <is>
          <t>Western Europe</t>
        </is>
      </c>
      <c r="D1454" s="36" t="inlineStr">
        <is>
          <t>United Kingdom</t>
        </is>
      </c>
      <c r="E1454" s="36" t="inlineStr">
        <is>
          <t>Retail Partners</t>
        </is>
      </c>
      <c r="F1454" s="36" t="inlineStr">
        <is>
          <t>Returning</t>
        </is>
      </c>
      <c r="G1454" s="36" t="inlineStr">
        <is>
          <t>Fitness</t>
        </is>
      </c>
      <c r="H1454" s="36" t="inlineStr">
        <is>
          <t>Training Mat</t>
        </is>
      </c>
      <c r="I1454" s="36" t="n">
        <v>1</v>
      </c>
      <c r="J1454" s="39" t="n">
        <v>51.82</v>
      </c>
      <c r="K1454" s="45" t="n">
        <v>0</v>
      </c>
      <c r="L1454" s="39" t="n">
        <v>21.43</v>
      </c>
      <c r="M1454" s="39">
        <f>I1454*J1454*(1-K1454)</f>
        <v/>
      </c>
      <c r="N1454" s="39">
        <f>I1454*L1454</f>
        <v/>
      </c>
      <c r="O1454" s="39">
        <f>M1454-N1454</f>
        <v/>
      </c>
      <c r="P1454" s="38">
        <f>IF(M1454=0,0,O1454/M1454)</f>
        <v/>
      </c>
      <c r="Q1454" s="36">
        <f>YEAR(B1454)</f>
        <v/>
      </c>
      <c r="R1454" s="36">
        <f>"Q"&amp;ROUNDUP(MONTH(B1454)/3,0)</f>
        <v/>
      </c>
      <c r="S1454" s="36">
        <f>MONTH(B1454)</f>
        <v/>
      </c>
      <c r="T1454" s="36">
        <f>TEXT(B1454,"mmm")</f>
        <v/>
      </c>
      <c r="U1454" s="36">
        <f>IF(AND(OR(sel_Region="All",C1454=sel_Region),OR(sel_Country="All",D1454=sel_Country),OR(sel_Channel="All",E1454=sel_Channel),OR(sel_Customer="All",F1454=sel_Customer),OR(sel_Category="All",G1454=sel_Category),OR(sel_Product="All",H1454=sel_Product),AND(S1454&gt;=m_From,S1454&lt;=m_To)),1,0)</f>
        <v/>
      </c>
      <c r="V1454" s="36">
        <f>IF(AND(OR(sel_Region="All",C1454=sel_Region),OR(sel_Channel="All",E1454=sel_Channel),OR(sel_Customer="All",F1454=sel_Customer),OR(sel_Category="All",G1454=sel_Category),OR(sel_Product="All",H1454=sel_Product),AND(S1454&gt;=m_From,S1454&lt;=m_To)),1,0)</f>
        <v/>
      </c>
      <c r="W1454" s="36">
        <f>IF(AND(OR(sel_Region="All",C1454=sel_Region),OR(sel_Country="All",D1454=sel_Country),OR(sel_Customer="All",F1454=sel_Customer),OR(sel_Category="All",G1454=sel_Category),OR(sel_Product="All",H1454=sel_Product),AND(S1454&gt;=m_From,S1454&lt;=m_To)),1,0)</f>
        <v/>
      </c>
      <c r="X1454" s="36">
        <f>IF(AND(OR(sel_Region="All",C1454=sel_Region),OR(sel_Country="All",D1454=sel_Country),OR(sel_Channel="All",E1454=sel_Channel),OR(sel_Category="All",G1454=sel_Category),OR(sel_Product="All",H1454=sel_Product),AND(S1454&gt;=m_From,S1454&lt;=m_To)),1,0)</f>
        <v/>
      </c>
      <c r="Y1454" s="36">
        <f>IF(AND(OR(sel_Region="All",C1454=sel_Region),OR(sel_Country="All",D1454=sel_Country),OR(sel_Channel="All",E1454=sel_Channel),OR(sel_Customer="All",F1454=sel_Customer),OR(sel_Product="All",H1454=sel_Product),AND(S1454&gt;=m_From,S1454&lt;=m_To)),1,0)</f>
        <v/>
      </c>
      <c r="Z1454" s="36">
        <f>IF(AND(OR(sel_Region="All",C1454=sel_Region),OR(sel_Country="All",D1454=sel_Country),OR(sel_Channel="All",E1454=sel_Channel),OR(sel_Customer="All",F1454=sel_Customer),OR(sel_Category="All",G1454=sel_Category),AND(S1454&gt;=m_From,S1454&lt;=m_To)),1,0)</f>
        <v/>
      </c>
      <c r="AA1454" s="36">
        <f>IF(AND(OR(sel_Region="All",C1454=sel_Region),OR(sel_Country="All",D1454=sel_Country),OR(sel_Channel="All",E1454=sel_Channel),OR(sel_Customer="All",F1454=sel_Customer),OR(sel_Category="All",G1454=sel_Category),OR(sel_Product="All",H1454=sel_Product)),1,0)</f>
        <v/>
      </c>
    </row>
    <row r="1455">
      <c r="A1455" s="36" t="inlineStr">
        <is>
          <t>00493</t>
        </is>
      </c>
      <c r="B1455" s="44" t="n">
        <v>46226</v>
      </c>
      <c r="C1455" s="36" t="inlineStr">
        <is>
          <t>Central Europe</t>
        </is>
      </c>
      <c r="D1455" s="36" t="inlineStr">
        <is>
          <t>Switzerland</t>
        </is>
      </c>
      <c r="E1455" s="36" t="inlineStr">
        <is>
          <t>Online Store</t>
        </is>
      </c>
      <c r="F1455" s="36" t="inlineStr">
        <is>
          <t>Business</t>
        </is>
      </c>
      <c r="G1455" s="36" t="inlineStr">
        <is>
          <t>Travel</t>
        </is>
      </c>
      <c r="H1455" s="36" t="inlineStr">
        <is>
          <t>Travel Backpack 35L</t>
        </is>
      </c>
      <c r="I1455" s="36" t="n">
        <v>4</v>
      </c>
      <c r="J1455" s="39" t="n">
        <v>161.28</v>
      </c>
      <c r="K1455" s="45" t="n">
        <v>0.15</v>
      </c>
      <c r="L1455" s="39" t="n">
        <v>89.2</v>
      </c>
      <c r="M1455" s="39">
        <f>I1455*J1455*(1-K1455)</f>
        <v/>
      </c>
      <c r="N1455" s="39">
        <f>I1455*L1455</f>
        <v/>
      </c>
      <c r="O1455" s="39">
        <f>M1455-N1455</f>
        <v/>
      </c>
      <c r="P1455" s="38">
        <f>IF(M1455=0,0,O1455/M1455)</f>
        <v/>
      </c>
      <c r="Q1455" s="36">
        <f>YEAR(B1455)</f>
        <v/>
      </c>
      <c r="R1455" s="36">
        <f>"Q"&amp;ROUNDUP(MONTH(B1455)/3,0)</f>
        <v/>
      </c>
      <c r="S1455" s="36">
        <f>MONTH(B1455)</f>
        <v/>
      </c>
      <c r="T1455" s="36">
        <f>TEXT(B1455,"mmm")</f>
        <v/>
      </c>
      <c r="U1455" s="36">
        <f>IF(AND(OR(sel_Region="All",C1455=sel_Region),OR(sel_Country="All",D1455=sel_Country),OR(sel_Channel="All",E1455=sel_Channel),OR(sel_Customer="All",F1455=sel_Customer),OR(sel_Category="All",G1455=sel_Category),OR(sel_Product="All",H1455=sel_Product),AND(S1455&gt;=m_From,S1455&lt;=m_To)),1,0)</f>
        <v/>
      </c>
      <c r="V1455" s="36">
        <f>IF(AND(OR(sel_Region="All",C1455=sel_Region),OR(sel_Channel="All",E1455=sel_Channel),OR(sel_Customer="All",F1455=sel_Customer),OR(sel_Category="All",G1455=sel_Category),OR(sel_Product="All",H1455=sel_Product),AND(S1455&gt;=m_From,S1455&lt;=m_To)),1,0)</f>
        <v/>
      </c>
      <c r="W1455" s="36">
        <f>IF(AND(OR(sel_Region="All",C1455=sel_Region),OR(sel_Country="All",D1455=sel_Country),OR(sel_Customer="All",F1455=sel_Customer),OR(sel_Category="All",G1455=sel_Category),OR(sel_Product="All",H1455=sel_Product),AND(S1455&gt;=m_From,S1455&lt;=m_To)),1,0)</f>
        <v/>
      </c>
      <c r="X1455" s="36">
        <f>IF(AND(OR(sel_Region="All",C1455=sel_Region),OR(sel_Country="All",D1455=sel_Country),OR(sel_Channel="All",E1455=sel_Channel),OR(sel_Category="All",G1455=sel_Category),OR(sel_Product="All",H1455=sel_Product),AND(S1455&gt;=m_From,S1455&lt;=m_To)),1,0)</f>
        <v/>
      </c>
      <c r="Y1455" s="36">
        <f>IF(AND(OR(sel_Region="All",C1455=sel_Region),OR(sel_Country="All",D1455=sel_Country),OR(sel_Channel="All",E1455=sel_Channel),OR(sel_Customer="All",F1455=sel_Customer),OR(sel_Product="All",H1455=sel_Product),AND(S1455&gt;=m_From,S1455&lt;=m_To)),1,0)</f>
        <v/>
      </c>
      <c r="Z1455" s="36">
        <f>IF(AND(OR(sel_Region="All",C1455=sel_Region),OR(sel_Country="All",D1455=sel_Country),OR(sel_Channel="All",E1455=sel_Channel),OR(sel_Customer="All",F1455=sel_Customer),OR(sel_Category="All",G1455=sel_Category),AND(S1455&gt;=m_From,S1455&lt;=m_To)),1,0)</f>
        <v/>
      </c>
      <c r="AA1455" s="36">
        <f>IF(AND(OR(sel_Region="All",C1455=sel_Region),OR(sel_Country="All",D1455=sel_Country),OR(sel_Channel="All",E1455=sel_Channel),OR(sel_Customer="All",F1455=sel_Customer),OR(sel_Category="All",G1455=sel_Category),OR(sel_Product="All",H1455=sel_Product)),1,0)</f>
        <v/>
      </c>
    </row>
    <row r="1456">
      <c r="A1456" s="36" t="inlineStr">
        <is>
          <t>00613</t>
        </is>
      </c>
      <c r="B1456" s="44" t="n">
        <v>46226</v>
      </c>
      <c r="C1456" s="36" t="inlineStr">
        <is>
          <t>Southern Europe</t>
        </is>
      </c>
      <c r="D1456" s="36" t="inlineStr">
        <is>
          <t>Spain</t>
        </is>
      </c>
      <c r="E1456" s="36" t="inlineStr">
        <is>
          <t>Online Store</t>
        </is>
      </c>
      <c r="F1456" s="36" t="inlineStr">
        <is>
          <t>New</t>
        </is>
      </c>
      <c r="G1456" s="36" t="inlineStr">
        <is>
          <t>Cycling</t>
        </is>
      </c>
      <c r="H1456" s="36" t="inlineStr">
        <is>
          <t>Compact Repair Kit</t>
        </is>
      </c>
      <c r="I1456" s="36" t="n">
        <v>1</v>
      </c>
      <c r="J1456" s="39" t="n">
        <v>39.86</v>
      </c>
      <c r="K1456" s="45" t="n">
        <v>0.05</v>
      </c>
      <c r="L1456" s="39" t="n">
        <v>16.99</v>
      </c>
      <c r="M1456" s="39">
        <f>I1456*J1456*(1-K1456)</f>
        <v/>
      </c>
      <c r="N1456" s="39">
        <f>I1456*L1456</f>
        <v/>
      </c>
      <c r="O1456" s="39">
        <f>M1456-N1456</f>
        <v/>
      </c>
      <c r="P1456" s="38">
        <f>IF(M1456=0,0,O1456/M1456)</f>
        <v/>
      </c>
      <c r="Q1456" s="36">
        <f>YEAR(B1456)</f>
        <v/>
      </c>
      <c r="R1456" s="36">
        <f>"Q"&amp;ROUNDUP(MONTH(B1456)/3,0)</f>
        <v/>
      </c>
      <c r="S1456" s="36">
        <f>MONTH(B1456)</f>
        <v/>
      </c>
      <c r="T1456" s="36">
        <f>TEXT(B1456,"mmm")</f>
        <v/>
      </c>
      <c r="U1456" s="36">
        <f>IF(AND(OR(sel_Region="All",C1456=sel_Region),OR(sel_Country="All",D1456=sel_Country),OR(sel_Channel="All",E1456=sel_Channel),OR(sel_Customer="All",F1456=sel_Customer),OR(sel_Category="All",G1456=sel_Category),OR(sel_Product="All",H1456=sel_Product),AND(S1456&gt;=m_From,S1456&lt;=m_To)),1,0)</f>
        <v/>
      </c>
      <c r="V1456" s="36">
        <f>IF(AND(OR(sel_Region="All",C1456=sel_Region),OR(sel_Channel="All",E1456=sel_Channel),OR(sel_Customer="All",F1456=sel_Customer),OR(sel_Category="All",G1456=sel_Category),OR(sel_Product="All",H1456=sel_Product),AND(S1456&gt;=m_From,S1456&lt;=m_To)),1,0)</f>
        <v/>
      </c>
      <c r="W1456" s="36">
        <f>IF(AND(OR(sel_Region="All",C1456=sel_Region),OR(sel_Country="All",D1456=sel_Country),OR(sel_Customer="All",F1456=sel_Customer),OR(sel_Category="All",G1456=sel_Category),OR(sel_Product="All",H1456=sel_Product),AND(S1456&gt;=m_From,S1456&lt;=m_To)),1,0)</f>
        <v/>
      </c>
      <c r="X1456" s="36">
        <f>IF(AND(OR(sel_Region="All",C1456=sel_Region),OR(sel_Country="All",D1456=sel_Country),OR(sel_Channel="All",E1456=sel_Channel),OR(sel_Category="All",G1456=sel_Category),OR(sel_Product="All",H1456=sel_Product),AND(S1456&gt;=m_From,S1456&lt;=m_To)),1,0)</f>
        <v/>
      </c>
      <c r="Y1456" s="36">
        <f>IF(AND(OR(sel_Region="All",C1456=sel_Region),OR(sel_Country="All",D1456=sel_Country),OR(sel_Channel="All",E1456=sel_Channel),OR(sel_Customer="All",F1456=sel_Customer),OR(sel_Product="All",H1456=sel_Product),AND(S1456&gt;=m_From,S1456&lt;=m_To)),1,0)</f>
        <v/>
      </c>
      <c r="Z1456" s="36">
        <f>IF(AND(OR(sel_Region="All",C1456=sel_Region),OR(sel_Country="All",D1456=sel_Country),OR(sel_Channel="All",E1456=sel_Channel),OR(sel_Customer="All",F1456=sel_Customer),OR(sel_Category="All",G1456=sel_Category),AND(S1456&gt;=m_From,S1456&lt;=m_To)),1,0)</f>
        <v/>
      </c>
      <c r="AA1456" s="36">
        <f>IF(AND(OR(sel_Region="All",C1456=sel_Region),OR(sel_Country="All",D1456=sel_Country),OR(sel_Channel="All",E1456=sel_Channel),OR(sel_Customer="All",F1456=sel_Customer),OR(sel_Category="All",G1456=sel_Category),OR(sel_Product="All",H1456=sel_Product)),1,0)</f>
        <v/>
      </c>
    </row>
    <row r="1457">
      <c r="A1457" s="36" t="inlineStr">
        <is>
          <t>00958</t>
        </is>
      </c>
      <c r="B1457" s="44" t="n">
        <v>46226</v>
      </c>
      <c r="C1457" s="36" t="inlineStr">
        <is>
          <t>Western Europe</t>
        </is>
      </c>
      <c r="D1457" s="36" t="inlineStr">
        <is>
          <t>United Kingdom</t>
        </is>
      </c>
      <c r="E1457" s="36" t="inlineStr">
        <is>
          <t>Marketplace</t>
        </is>
      </c>
      <c r="F1457" s="36" t="inlineStr">
        <is>
          <t>New</t>
        </is>
      </c>
      <c r="G1457" s="36" t="inlineStr">
        <is>
          <t>Cycling</t>
        </is>
      </c>
      <c r="H1457" s="36" t="inlineStr">
        <is>
          <t>Cycling Pack 12L</t>
        </is>
      </c>
      <c r="I1457" s="36" t="n">
        <v>6</v>
      </c>
      <c r="J1457" s="39" t="n">
        <v>102.96</v>
      </c>
      <c r="K1457" s="45" t="n">
        <v>0.05</v>
      </c>
      <c r="L1457" s="39" t="n">
        <v>51.74</v>
      </c>
      <c r="M1457" s="39">
        <f>I1457*J1457*(1-K1457)</f>
        <v/>
      </c>
      <c r="N1457" s="39">
        <f>I1457*L1457</f>
        <v/>
      </c>
      <c r="O1457" s="39">
        <f>M1457-N1457</f>
        <v/>
      </c>
      <c r="P1457" s="38">
        <f>IF(M1457=0,0,O1457/M1457)</f>
        <v/>
      </c>
      <c r="Q1457" s="36">
        <f>YEAR(B1457)</f>
        <v/>
      </c>
      <c r="R1457" s="36">
        <f>"Q"&amp;ROUNDUP(MONTH(B1457)/3,0)</f>
        <v/>
      </c>
      <c r="S1457" s="36">
        <f>MONTH(B1457)</f>
        <v/>
      </c>
      <c r="T1457" s="36">
        <f>TEXT(B1457,"mmm")</f>
        <v/>
      </c>
      <c r="U1457" s="36">
        <f>IF(AND(OR(sel_Region="All",C1457=sel_Region),OR(sel_Country="All",D1457=sel_Country),OR(sel_Channel="All",E1457=sel_Channel),OR(sel_Customer="All",F1457=sel_Customer),OR(sel_Category="All",G1457=sel_Category),OR(sel_Product="All",H1457=sel_Product),AND(S1457&gt;=m_From,S1457&lt;=m_To)),1,0)</f>
        <v/>
      </c>
      <c r="V1457" s="36">
        <f>IF(AND(OR(sel_Region="All",C1457=sel_Region),OR(sel_Channel="All",E1457=sel_Channel),OR(sel_Customer="All",F1457=sel_Customer),OR(sel_Category="All",G1457=sel_Category),OR(sel_Product="All",H1457=sel_Product),AND(S1457&gt;=m_From,S1457&lt;=m_To)),1,0)</f>
        <v/>
      </c>
      <c r="W1457" s="36">
        <f>IF(AND(OR(sel_Region="All",C1457=sel_Region),OR(sel_Country="All",D1457=sel_Country),OR(sel_Customer="All",F1457=sel_Customer),OR(sel_Category="All",G1457=sel_Category),OR(sel_Product="All",H1457=sel_Product),AND(S1457&gt;=m_From,S1457&lt;=m_To)),1,0)</f>
        <v/>
      </c>
      <c r="X1457" s="36">
        <f>IF(AND(OR(sel_Region="All",C1457=sel_Region),OR(sel_Country="All",D1457=sel_Country),OR(sel_Channel="All",E1457=sel_Channel),OR(sel_Category="All",G1457=sel_Category),OR(sel_Product="All",H1457=sel_Product),AND(S1457&gt;=m_From,S1457&lt;=m_To)),1,0)</f>
        <v/>
      </c>
      <c r="Y1457" s="36">
        <f>IF(AND(OR(sel_Region="All",C1457=sel_Region),OR(sel_Country="All",D1457=sel_Country),OR(sel_Channel="All",E1457=sel_Channel),OR(sel_Customer="All",F1457=sel_Customer),OR(sel_Product="All",H1457=sel_Product),AND(S1457&gt;=m_From,S1457&lt;=m_To)),1,0)</f>
        <v/>
      </c>
      <c r="Z1457" s="36">
        <f>IF(AND(OR(sel_Region="All",C1457=sel_Region),OR(sel_Country="All",D1457=sel_Country),OR(sel_Channel="All",E1457=sel_Channel),OR(sel_Customer="All",F1457=sel_Customer),OR(sel_Category="All",G1457=sel_Category),AND(S1457&gt;=m_From,S1457&lt;=m_To)),1,0)</f>
        <v/>
      </c>
      <c r="AA1457" s="36">
        <f>IF(AND(OR(sel_Region="All",C1457=sel_Region),OR(sel_Country="All",D1457=sel_Country),OR(sel_Channel="All",E1457=sel_Channel),OR(sel_Customer="All",F1457=sel_Customer),OR(sel_Category="All",G1457=sel_Category),OR(sel_Product="All",H1457=sel_Product)),1,0)</f>
        <v/>
      </c>
    </row>
    <row r="1458">
      <c r="A1458" s="36" t="inlineStr">
        <is>
          <t>01270</t>
        </is>
      </c>
      <c r="B1458" s="44" t="n">
        <v>46226</v>
      </c>
      <c r="C1458" s="36" t="inlineStr">
        <is>
          <t>Central Europe</t>
        </is>
      </c>
      <c r="D1458" s="36" t="inlineStr">
        <is>
          <t>Germany</t>
        </is>
      </c>
      <c r="E1458" s="36" t="inlineStr">
        <is>
          <t>Marketplace</t>
        </is>
      </c>
      <c r="F1458" s="36" t="inlineStr">
        <is>
          <t>Returning</t>
        </is>
      </c>
      <c r="G1458" s="36" t="inlineStr">
        <is>
          <t>Hiking</t>
        </is>
      </c>
      <c r="H1458" s="36" t="inlineStr">
        <is>
          <t>Hiking Daypack 20L</t>
        </is>
      </c>
      <c r="I1458" s="36" t="n">
        <v>1</v>
      </c>
      <c r="J1458" s="39" t="n">
        <v>94.04000000000001</v>
      </c>
      <c r="K1458" s="45" t="n">
        <v>0</v>
      </c>
      <c r="L1458" s="39" t="n">
        <v>44.88</v>
      </c>
      <c r="M1458" s="39">
        <f>I1458*J1458*(1-K1458)</f>
        <v/>
      </c>
      <c r="N1458" s="39">
        <f>I1458*L1458</f>
        <v/>
      </c>
      <c r="O1458" s="39">
        <f>M1458-N1458</f>
        <v/>
      </c>
      <c r="P1458" s="38">
        <f>IF(M1458=0,0,O1458/M1458)</f>
        <v/>
      </c>
      <c r="Q1458" s="36">
        <f>YEAR(B1458)</f>
        <v/>
      </c>
      <c r="R1458" s="36">
        <f>"Q"&amp;ROUNDUP(MONTH(B1458)/3,0)</f>
        <v/>
      </c>
      <c r="S1458" s="36">
        <f>MONTH(B1458)</f>
        <v/>
      </c>
      <c r="T1458" s="36">
        <f>TEXT(B1458,"mmm")</f>
        <v/>
      </c>
      <c r="U1458" s="36">
        <f>IF(AND(OR(sel_Region="All",C1458=sel_Region),OR(sel_Country="All",D1458=sel_Country),OR(sel_Channel="All",E1458=sel_Channel),OR(sel_Customer="All",F1458=sel_Customer),OR(sel_Category="All",G1458=sel_Category),OR(sel_Product="All",H1458=sel_Product),AND(S1458&gt;=m_From,S1458&lt;=m_To)),1,0)</f>
        <v/>
      </c>
      <c r="V1458" s="36">
        <f>IF(AND(OR(sel_Region="All",C1458=sel_Region),OR(sel_Channel="All",E1458=sel_Channel),OR(sel_Customer="All",F1458=sel_Customer),OR(sel_Category="All",G1458=sel_Category),OR(sel_Product="All",H1458=sel_Product),AND(S1458&gt;=m_From,S1458&lt;=m_To)),1,0)</f>
        <v/>
      </c>
      <c r="W1458" s="36">
        <f>IF(AND(OR(sel_Region="All",C1458=sel_Region),OR(sel_Country="All",D1458=sel_Country),OR(sel_Customer="All",F1458=sel_Customer),OR(sel_Category="All",G1458=sel_Category),OR(sel_Product="All",H1458=sel_Product),AND(S1458&gt;=m_From,S1458&lt;=m_To)),1,0)</f>
        <v/>
      </c>
      <c r="X1458" s="36">
        <f>IF(AND(OR(sel_Region="All",C1458=sel_Region),OR(sel_Country="All",D1458=sel_Country),OR(sel_Channel="All",E1458=sel_Channel),OR(sel_Category="All",G1458=sel_Category),OR(sel_Product="All",H1458=sel_Product),AND(S1458&gt;=m_From,S1458&lt;=m_To)),1,0)</f>
        <v/>
      </c>
      <c r="Y1458" s="36">
        <f>IF(AND(OR(sel_Region="All",C1458=sel_Region),OR(sel_Country="All",D1458=sel_Country),OR(sel_Channel="All",E1458=sel_Channel),OR(sel_Customer="All",F1458=sel_Customer),OR(sel_Product="All",H1458=sel_Product),AND(S1458&gt;=m_From,S1458&lt;=m_To)),1,0)</f>
        <v/>
      </c>
      <c r="Z1458" s="36">
        <f>IF(AND(OR(sel_Region="All",C1458=sel_Region),OR(sel_Country="All",D1458=sel_Country),OR(sel_Channel="All",E1458=sel_Channel),OR(sel_Customer="All",F1458=sel_Customer),OR(sel_Category="All",G1458=sel_Category),AND(S1458&gt;=m_From,S1458&lt;=m_To)),1,0)</f>
        <v/>
      </c>
      <c r="AA1458" s="36">
        <f>IF(AND(OR(sel_Region="All",C1458=sel_Region),OR(sel_Country="All",D1458=sel_Country),OR(sel_Channel="All",E1458=sel_Channel),OR(sel_Customer="All",F1458=sel_Customer),OR(sel_Category="All",G1458=sel_Category),OR(sel_Product="All",H1458=sel_Product)),1,0)</f>
        <v/>
      </c>
    </row>
    <row r="1459">
      <c r="A1459" s="36" t="inlineStr">
        <is>
          <t>01513</t>
        </is>
      </c>
      <c r="B1459" s="44" t="n">
        <v>46226</v>
      </c>
      <c r="C1459" s="36" t="inlineStr">
        <is>
          <t>Western Europe</t>
        </is>
      </c>
      <c r="D1459" s="36" t="inlineStr">
        <is>
          <t>United Kingdom</t>
        </is>
      </c>
      <c r="E1459" s="36" t="inlineStr">
        <is>
          <t>Online Store</t>
        </is>
      </c>
      <c r="F1459" s="36" t="inlineStr">
        <is>
          <t>New</t>
        </is>
      </c>
      <c r="G1459" s="36" t="inlineStr">
        <is>
          <t>Hiking</t>
        </is>
      </c>
      <c r="H1459" s="36" t="inlineStr">
        <is>
          <t>Trekking Poles</t>
        </is>
      </c>
      <c r="I1459" s="36" t="n">
        <v>2</v>
      </c>
      <c r="J1459" s="39" t="n">
        <v>70.79000000000001</v>
      </c>
      <c r="K1459" s="45" t="n">
        <v>0</v>
      </c>
      <c r="L1459" s="39" t="n">
        <v>32.44</v>
      </c>
      <c r="M1459" s="39">
        <f>I1459*J1459*(1-K1459)</f>
        <v/>
      </c>
      <c r="N1459" s="39">
        <f>I1459*L1459</f>
        <v/>
      </c>
      <c r="O1459" s="39">
        <f>M1459-N1459</f>
        <v/>
      </c>
      <c r="P1459" s="38">
        <f>IF(M1459=0,0,O1459/M1459)</f>
        <v/>
      </c>
      <c r="Q1459" s="36">
        <f>YEAR(B1459)</f>
        <v/>
      </c>
      <c r="R1459" s="36">
        <f>"Q"&amp;ROUNDUP(MONTH(B1459)/3,0)</f>
        <v/>
      </c>
      <c r="S1459" s="36">
        <f>MONTH(B1459)</f>
        <v/>
      </c>
      <c r="T1459" s="36">
        <f>TEXT(B1459,"mmm")</f>
        <v/>
      </c>
      <c r="U1459" s="36">
        <f>IF(AND(OR(sel_Region="All",C1459=sel_Region),OR(sel_Country="All",D1459=sel_Country),OR(sel_Channel="All",E1459=sel_Channel),OR(sel_Customer="All",F1459=sel_Customer),OR(sel_Category="All",G1459=sel_Category),OR(sel_Product="All",H1459=sel_Product),AND(S1459&gt;=m_From,S1459&lt;=m_To)),1,0)</f>
        <v/>
      </c>
      <c r="V1459" s="36">
        <f>IF(AND(OR(sel_Region="All",C1459=sel_Region),OR(sel_Channel="All",E1459=sel_Channel),OR(sel_Customer="All",F1459=sel_Customer),OR(sel_Category="All",G1459=sel_Category),OR(sel_Product="All",H1459=sel_Product),AND(S1459&gt;=m_From,S1459&lt;=m_To)),1,0)</f>
        <v/>
      </c>
      <c r="W1459" s="36">
        <f>IF(AND(OR(sel_Region="All",C1459=sel_Region),OR(sel_Country="All",D1459=sel_Country),OR(sel_Customer="All",F1459=sel_Customer),OR(sel_Category="All",G1459=sel_Category),OR(sel_Product="All",H1459=sel_Product),AND(S1459&gt;=m_From,S1459&lt;=m_To)),1,0)</f>
        <v/>
      </c>
      <c r="X1459" s="36">
        <f>IF(AND(OR(sel_Region="All",C1459=sel_Region),OR(sel_Country="All",D1459=sel_Country),OR(sel_Channel="All",E1459=sel_Channel),OR(sel_Category="All",G1459=sel_Category),OR(sel_Product="All",H1459=sel_Product),AND(S1459&gt;=m_From,S1459&lt;=m_To)),1,0)</f>
        <v/>
      </c>
      <c r="Y1459" s="36">
        <f>IF(AND(OR(sel_Region="All",C1459=sel_Region),OR(sel_Country="All",D1459=sel_Country),OR(sel_Channel="All",E1459=sel_Channel),OR(sel_Customer="All",F1459=sel_Customer),OR(sel_Product="All",H1459=sel_Product),AND(S1459&gt;=m_From,S1459&lt;=m_To)),1,0)</f>
        <v/>
      </c>
      <c r="Z1459" s="36">
        <f>IF(AND(OR(sel_Region="All",C1459=sel_Region),OR(sel_Country="All",D1459=sel_Country),OR(sel_Channel="All",E1459=sel_Channel),OR(sel_Customer="All",F1459=sel_Customer),OR(sel_Category="All",G1459=sel_Category),AND(S1459&gt;=m_From,S1459&lt;=m_To)),1,0)</f>
        <v/>
      </c>
      <c r="AA1459" s="36">
        <f>IF(AND(OR(sel_Region="All",C1459=sel_Region),OR(sel_Country="All",D1459=sel_Country),OR(sel_Channel="All",E1459=sel_Channel),OR(sel_Customer="All",F1459=sel_Customer),OR(sel_Category="All",G1459=sel_Category),OR(sel_Product="All",H1459=sel_Product)),1,0)</f>
        <v/>
      </c>
    </row>
    <row r="1460">
      <c r="A1460" s="36" t="inlineStr">
        <is>
          <t>02009</t>
        </is>
      </c>
      <c r="B1460" s="44" t="n">
        <v>46226</v>
      </c>
      <c r="C1460" s="36" t="inlineStr">
        <is>
          <t>Northern Europe</t>
        </is>
      </c>
      <c r="D1460" s="36" t="inlineStr">
        <is>
          <t>Finland</t>
        </is>
      </c>
      <c r="E1460" s="36" t="inlineStr">
        <is>
          <t>Online Store</t>
        </is>
      </c>
      <c r="F1460" s="36" t="inlineStr">
        <is>
          <t>New</t>
        </is>
      </c>
      <c r="G1460" s="36" t="inlineStr">
        <is>
          <t>Travel</t>
        </is>
      </c>
      <c r="H1460" s="36" t="inlineStr">
        <is>
          <t>Packing Cube Set</t>
        </is>
      </c>
      <c r="I1460" s="36" t="n">
        <v>2</v>
      </c>
      <c r="J1460" s="39" t="n">
        <v>46.41</v>
      </c>
      <c r="K1460" s="45" t="n">
        <v>0</v>
      </c>
      <c r="L1460" s="39" t="n">
        <v>18.6</v>
      </c>
      <c r="M1460" s="39">
        <f>I1460*J1460*(1-K1460)</f>
        <v/>
      </c>
      <c r="N1460" s="39">
        <f>I1460*L1460</f>
        <v/>
      </c>
      <c r="O1460" s="39">
        <f>M1460-N1460</f>
        <v/>
      </c>
      <c r="P1460" s="38">
        <f>IF(M1460=0,0,O1460/M1460)</f>
        <v/>
      </c>
      <c r="Q1460" s="36">
        <f>YEAR(B1460)</f>
        <v/>
      </c>
      <c r="R1460" s="36">
        <f>"Q"&amp;ROUNDUP(MONTH(B1460)/3,0)</f>
        <v/>
      </c>
      <c r="S1460" s="36">
        <f>MONTH(B1460)</f>
        <v/>
      </c>
      <c r="T1460" s="36">
        <f>TEXT(B1460,"mmm")</f>
        <v/>
      </c>
      <c r="U1460" s="36">
        <f>IF(AND(OR(sel_Region="All",C1460=sel_Region),OR(sel_Country="All",D1460=sel_Country),OR(sel_Channel="All",E1460=sel_Channel),OR(sel_Customer="All",F1460=sel_Customer),OR(sel_Category="All",G1460=sel_Category),OR(sel_Product="All",H1460=sel_Product),AND(S1460&gt;=m_From,S1460&lt;=m_To)),1,0)</f>
        <v/>
      </c>
      <c r="V1460" s="36">
        <f>IF(AND(OR(sel_Region="All",C1460=sel_Region),OR(sel_Channel="All",E1460=sel_Channel),OR(sel_Customer="All",F1460=sel_Customer),OR(sel_Category="All",G1460=sel_Category),OR(sel_Product="All",H1460=sel_Product),AND(S1460&gt;=m_From,S1460&lt;=m_To)),1,0)</f>
        <v/>
      </c>
      <c r="W1460" s="36">
        <f>IF(AND(OR(sel_Region="All",C1460=sel_Region),OR(sel_Country="All",D1460=sel_Country),OR(sel_Customer="All",F1460=sel_Customer),OR(sel_Category="All",G1460=sel_Category),OR(sel_Product="All",H1460=sel_Product),AND(S1460&gt;=m_From,S1460&lt;=m_To)),1,0)</f>
        <v/>
      </c>
      <c r="X1460" s="36">
        <f>IF(AND(OR(sel_Region="All",C1460=sel_Region),OR(sel_Country="All",D1460=sel_Country),OR(sel_Channel="All",E1460=sel_Channel),OR(sel_Category="All",G1460=sel_Category),OR(sel_Product="All",H1460=sel_Product),AND(S1460&gt;=m_From,S1460&lt;=m_To)),1,0)</f>
        <v/>
      </c>
      <c r="Y1460" s="36">
        <f>IF(AND(OR(sel_Region="All",C1460=sel_Region),OR(sel_Country="All",D1460=sel_Country),OR(sel_Channel="All",E1460=sel_Channel),OR(sel_Customer="All",F1460=sel_Customer),OR(sel_Product="All",H1460=sel_Product),AND(S1460&gt;=m_From,S1460&lt;=m_To)),1,0)</f>
        <v/>
      </c>
      <c r="Z1460" s="36">
        <f>IF(AND(OR(sel_Region="All",C1460=sel_Region),OR(sel_Country="All",D1460=sel_Country),OR(sel_Channel="All",E1460=sel_Channel),OR(sel_Customer="All",F1460=sel_Customer),OR(sel_Category="All",G1460=sel_Category),AND(S1460&gt;=m_From,S1460&lt;=m_To)),1,0)</f>
        <v/>
      </c>
      <c r="AA1460" s="36">
        <f>IF(AND(OR(sel_Region="All",C1460=sel_Region),OR(sel_Country="All",D1460=sel_Country),OR(sel_Channel="All",E1460=sel_Channel),OR(sel_Customer="All",F1460=sel_Customer),OR(sel_Category="All",G1460=sel_Category),OR(sel_Product="All",H1460=sel_Product)),1,0)</f>
        <v/>
      </c>
    </row>
    <row r="1461">
      <c r="A1461" s="36" t="inlineStr">
        <is>
          <t>02838</t>
        </is>
      </c>
      <c r="B1461" s="44" t="n">
        <v>46226</v>
      </c>
      <c r="C1461" s="36" t="inlineStr">
        <is>
          <t>Western Europe</t>
        </is>
      </c>
      <c r="D1461" s="36" t="inlineStr">
        <is>
          <t>France</t>
        </is>
      </c>
      <c r="E1461" s="36" t="inlineStr">
        <is>
          <t>Marketplace</t>
        </is>
      </c>
      <c r="F1461" s="36" t="inlineStr">
        <is>
          <t>New</t>
        </is>
      </c>
      <c r="G1461" s="36" t="inlineStr">
        <is>
          <t>Hiking</t>
        </is>
      </c>
      <c r="H1461" s="36" t="inlineStr">
        <is>
          <t>Trekking Poles</t>
        </is>
      </c>
      <c r="I1461" s="36" t="n">
        <v>1</v>
      </c>
      <c r="J1461" s="39" t="n">
        <v>69.75</v>
      </c>
      <c r="K1461" s="45" t="n">
        <v>0</v>
      </c>
      <c r="L1461" s="39" t="n">
        <v>33.3</v>
      </c>
      <c r="M1461" s="39">
        <f>I1461*J1461*(1-K1461)</f>
        <v/>
      </c>
      <c r="N1461" s="39">
        <f>I1461*L1461</f>
        <v/>
      </c>
      <c r="O1461" s="39">
        <f>M1461-N1461</f>
        <v/>
      </c>
      <c r="P1461" s="38">
        <f>IF(M1461=0,0,O1461/M1461)</f>
        <v/>
      </c>
      <c r="Q1461" s="36">
        <f>YEAR(B1461)</f>
        <v/>
      </c>
      <c r="R1461" s="36">
        <f>"Q"&amp;ROUNDUP(MONTH(B1461)/3,0)</f>
        <v/>
      </c>
      <c r="S1461" s="36">
        <f>MONTH(B1461)</f>
        <v/>
      </c>
      <c r="T1461" s="36">
        <f>TEXT(B1461,"mmm")</f>
        <v/>
      </c>
      <c r="U1461" s="36">
        <f>IF(AND(OR(sel_Region="All",C1461=sel_Region),OR(sel_Country="All",D1461=sel_Country),OR(sel_Channel="All",E1461=sel_Channel),OR(sel_Customer="All",F1461=sel_Customer),OR(sel_Category="All",G1461=sel_Category),OR(sel_Product="All",H1461=sel_Product),AND(S1461&gt;=m_From,S1461&lt;=m_To)),1,0)</f>
        <v/>
      </c>
      <c r="V1461" s="36">
        <f>IF(AND(OR(sel_Region="All",C1461=sel_Region),OR(sel_Channel="All",E1461=sel_Channel),OR(sel_Customer="All",F1461=sel_Customer),OR(sel_Category="All",G1461=sel_Category),OR(sel_Product="All",H1461=sel_Product),AND(S1461&gt;=m_From,S1461&lt;=m_To)),1,0)</f>
        <v/>
      </c>
      <c r="W1461" s="36">
        <f>IF(AND(OR(sel_Region="All",C1461=sel_Region),OR(sel_Country="All",D1461=sel_Country),OR(sel_Customer="All",F1461=sel_Customer),OR(sel_Category="All",G1461=sel_Category),OR(sel_Product="All",H1461=sel_Product),AND(S1461&gt;=m_From,S1461&lt;=m_To)),1,0)</f>
        <v/>
      </c>
      <c r="X1461" s="36">
        <f>IF(AND(OR(sel_Region="All",C1461=sel_Region),OR(sel_Country="All",D1461=sel_Country),OR(sel_Channel="All",E1461=sel_Channel),OR(sel_Category="All",G1461=sel_Category),OR(sel_Product="All",H1461=sel_Product),AND(S1461&gt;=m_From,S1461&lt;=m_To)),1,0)</f>
        <v/>
      </c>
      <c r="Y1461" s="36">
        <f>IF(AND(OR(sel_Region="All",C1461=sel_Region),OR(sel_Country="All",D1461=sel_Country),OR(sel_Channel="All",E1461=sel_Channel),OR(sel_Customer="All",F1461=sel_Customer),OR(sel_Product="All",H1461=sel_Product),AND(S1461&gt;=m_From,S1461&lt;=m_To)),1,0)</f>
        <v/>
      </c>
      <c r="Z1461" s="36">
        <f>IF(AND(OR(sel_Region="All",C1461=sel_Region),OR(sel_Country="All",D1461=sel_Country),OR(sel_Channel="All",E1461=sel_Channel),OR(sel_Customer="All",F1461=sel_Customer),OR(sel_Category="All",G1461=sel_Category),AND(S1461&gt;=m_From,S1461&lt;=m_To)),1,0)</f>
        <v/>
      </c>
      <c r="AA1461" s="36">
        <f>IF(AND(OR(sel_Region="All",C1461=sel_Region),OR(sel_Country="All",D1461=sel_Country),OR(sel_Channel="All",E1461=sel_Channel),OR(sel_Customer="All",F1461=sel_Customer),OR(sel_Category="All",G1461=sel_Category),OR(sel_Product="All",H1461=sel_Product)),1,0)</f>
        <v/>
      </c>
    </row>
    <row r="1462">
      <c r="A1462" s="36" t="inlineStr">
        <is>
          <t>03730</t>
        </is>
      </c>
      <c r="B1462" s="44" t="n">
        <v>46226</v>
      </c>
      <c r="C1462" s="36" t="inlineStr">
        <is>
          <t>Southern Europe</t>
        </is>
      </c>
      <c r="D1462" s="36" t="inlineStr">
        <is>
          <t>Italy</t>
        </is>
      </c>
      <c r="E1462" s="36" t="inlineStr">
        <is>
          <t>Retail Partners</t>
        </is>
      </c>
      <c r="F1462" s="36" t="inlineStr">
        <is>
          <t>Business</t>
        </is>
      </c>
      <c r="G1462" s="36" t="inlineStr">
        <is>
          <t>Cycling</t>
        </is>
      </c>
      <c r="H1462" s="36" t="inlineStr">
        <is>
          <t>Compact Repair Kit</t>
        </is>
      </c>
      <c r="I1462" s="36" t="n">
        <v>3</v>
      </c>
      <c r="J1462" s="39" t="n">
        <v>40.81</v>
      </c>
      <c r="K1462" s="45" t="n">
        <v>0</v>
      </c>
      <c r="L1462" s="39" t="n">
        <v>16.86</v>
      </c>
      <c r="M1462" s="39">
        <f>I1462*J1462*(1-K1462)</f>
        <v/>
      </c>
      <c r="N1462" s="39">
        <f>I1462*L1462</f>
        <v/>
      </c>
      <c r="O1462" s="39">
        <f>M1462-N1462</f>
        <v/>
      </c>
      <c r="P1462" s="38">
        <f>IF(M1462=0,0,O1462/M1462)</f>
        <v/>
      </c>
      <c r="Q1462" s="36">
        <f>YEAR(B1462)</f>
        <v/>
      </c>
      <c r="R1462" s="36">
        <f>"Q"&amp;ROUNDUP(MONTH(B1462)/3,0)</f>
        <v/>
      </c>
      <c r="S1462" s="36">
        <f>MONTH(B1462)</f>
        <v/>
      </c>
      <c r="T1462" s="36">
        <f>TEXT(B1462,"mmm")</f>
        <v/>
      </c>
      <c r="U1462" s="36">
        <f>IF(AND(OR(sel_Region="All",C1462=sel_Region),OR(sel_Country="All",D1462=sel_Country),OR(sel_Channel="All",E1462=sel_Channel),OR(sel_Customer="All",F1462=sel_Customer),OR(sel_Category="All",G1462=sel_Category),OR(sel_Product="All",H1462=sel_Product),AND(S1462&gt;=m_From,S1462&lt;=m_To)),1,0)</f>
        <v/>
      </c>
      <c r="V1462" s="36">
        <f>IF(AND(OR(sel_Region="All",C1462=sel_Region),OR(sel_Channel="All",E1462=sel_Channel),OR(sel_Customer="All",F1462=sel_Customer),OR(sel_Category="All",G1462=sel_Category),OR(sel_Product="All",H1462=sel_Product),AND(S1462&gt;=m_From,S1462&lt;=m_To)),1,0)</f>
        <v/>
      </c>
      <c r="W1462" s="36">
        <f>IF(AND(OR(sel_Region="All",C1462=sel_Region),OR(sel_Country="All",D1462=sel_Country),OR(sel_Customer="All",F1462=sel_Customer),OR(sel_Category="All",G1462=sel_Category),OR(sel_Product="All",H1462=sel_Product),AND(S1462&gt;=m_From,S1462&lt;=m_To)),1,0)</f>
        <v/>
      </c>
      <c r="X1462" s="36">
        <f>IF(AND(OR(sel_Region="All",C1462=sel_Region),OR(sel_Country="All",D1462=sel_Country),OR(sel_Channel="All",E1462=sel_Channel),OR(sel_Category="All",G1462=sel_Category),OR(sel_Product="All",H1462=sel_Product),AND(S1462&gt;=m_From,S1462&lt;=m_To)),1,0)</f>
        <v/>
      </c>
      <c r="Y1462" s="36">
        <f>IF(AND(OR(sel_Region="All",C1462=sel_Region),OR(sel_Country="All",D1462=sel_Country),OR(sel_Channel="All",E1462=sel_Channel),OR(sel_Customer="All",F1462=sel_Customer),OR(sel_Product="All",H1462=sel_Product),AND(S1462&gt;=m_From,S1462&lt;=m_To)),1,0)</f>
        <v/>
      </c>
      <c r="Z1462" s="36">
        <f>IF(AND(OR(sel_Region="All",C1462=sel_Region),OR(sel_Country="All",D1462=sel_Country),OR(sel_Channel="All",E1462=sel_Channel),OR(sel_Customer="All",F1462=sel_Customer),OR(sel_Category="All",G1462=sel_Category),AND(S1462&gt;=m_From,S1462&lt;=m_To)),1,0)</f>
        <v/>
      </c>
      <c r="AA1462" s="36">
        <f>IF(AND(OR(sel_Region="All",C1462=sel_Region),OR(sel_Country="All",D1462=sel_Country),OR(sel_Channel="All",E1462=sel_Channel),OR(sel_Customer="All",F1462=sel_Customer),OR(sel_Category="All",G1462=sel_Category),OR(sel_Product="All",H1462=sel_Product)),1,0)</f>
        <v/>
      </c>
    </row>
    <row r="1463">
      <c r="A1463" s="36" t="inlineStr">
        <is>
          <t>04287</t>
        </is>
      </c>
      <c r="B1463" s="44" t="n">
        <v>46226</v>
      </c>
      <c r="C1463" s="36" t="inlineStr">
        <is>
          <t>Western Europe</t>
        </is>
      </c>
      <c r="D1463" s="36" t="inlineStr">
        <is>
          <t>United Kingdom</t>
        </is>
      </c>
      <c r="E1463" s="36" t="inlineStr">
        <is>
          <t>Marketplace</t>
        </is>
      </c>
      <c r="F1463" s="36" t="inlineStr">
        <is>
          <t>Returning</t>
        </is>
      </c>
      <c r="G1463" s="36" t="inlineStr">
        <is>
          <t>Hiking</t>
        </is>
      </c>
      <c r="H1463" s="36" t="inlineStr">
        <is>
          <t>Summit Backpack 45L</t>
        </is>
      </c>
      <c r="I1463" s="36" t="n">
        <v>5</v>
      </c>
      <c r="J1463" s="39" t="n">
        <v>156.69</v>
      </c>
      <c r="K1463" s="45" t="n">
        <v>0</v>
      </c>
      <c r="L1463" s="39" t="n">
        <v>80.48999999999999</v>
      </c>
      <c r="M1463" s="39">
        <f>I1463*J1463*(1-K1463)</f>
        <v/>
      </c>
      <c r="N1463" s="39">
        <f>I1463*L1463</f>
        <v/>
      </c>
      <c r="O1463" s="39">
        <f>M1463-N1463</f>
        <v/>
      </c>
      <c r="P1463" s="38">
        <f>IF(M1463=0,0,O1463/M1463)</f>
        <v/>
      </c>
      <c r="Q1463" s="36">
        <f>YEAR(B1463)</f>
        <v/>
      </c>
      <c r="R1463" s="36">
        <f>"Q"&amp;ROUNDUP(MONTH(B1463)/3,0)</f>
        <v/>
      </c>
      <c r="S1463" s="36">
        <f>MONTH(B1463)</f>
        <v/>
      </c>
      <c r="T1463" s="36">
        <f>TEXT(B1463,"mmm")</f>
        <v/>
      </c>
      <c r="U1463" s="36">
        <f>IF(AND(OR(sel_Region="All",C1463=sel_Region),OR(sel_Country="All",D1463=sel_Country),OR(sel_Channel="All",E1463=sel_Channel),OR(sel_Customer="All",F1463=sel_Customer),OR(sel_Category="All",G1463=sel_Category),OR(sel_Product="All",H1463=sel_Product),AND(S1463&gt;=m_From,S1463&lt;=m_To)),1,0)</f>
        <v/>
      </c>
      <c r="V1463" s="36">
        <f>IF(AND(OR(sel_Region="All",C1463=sel_Region),OR(sel_Channel="All",E1463=sel_Channel),OR(sel_Customer="All",F1463=sel_Customer),OR(sel_Category="All",G1463=sel_Category),OR(sel_Product="All",H1463=sel_Product),AND(S1463&gt;=m_From,S1463&lt;=m_To)),1,0)</f>
        <v/>
      </c>
      <c r="W1463" s="36">
        <f>IF(AND(OR(sel_Region="All",C1463=sel_Region),OR(sel_Country="All",D1463=sel_Country),OR(sel_Customer="All",F1463=sel_Customer),OR(sel_Category="All",G1463=sel_Category),OR(sel_Product="All",H1463=sel_Product),AND(S1463&gt;=m_From,S1463&lt;=m_To)),1,0)</f>
        <v/>
      </c>
      <c r="X1463" s="36">
        <f>IF(AND(OR(sel_Region="All",C1463=sel_Region),OR(sel_Country="All",D1463=sel_Country),OR(sel_Channel="All",E1463=sel_Channel),OR(sel_Category="All",G1463=sel_Category),OR(sel_Product="All",H1463=sel_Product),AND(S1463&gt;=m_From,S1463&lt;=m_To)),1,0)</f>
        <v/>
      </c>
      <c r="Y1463" s="36">
        <f>IF(AND(OR(sel_Region="All",C1463=sel_Region),OR(sel_Country="All",D1463=sel_Country),OR(sel_Channel="All",E1463=sel_Channel),OR(sel_Customer="All",F1463=sel_Customer),OR(sel_Product="All",H1463=sel_Product),AND(S1463&gt;=m_From,S1463&lt;=m_To)),1,0)</f>
        <v/>
      </c>
      <c r="Z1463" s="36">
        <f>IF(AND(OR(sel_Region="All",C1463=sel_Region),OR(sel_Country="All",D1463=sel_Country),OR(sel_Channel="All",E1463=sel_Channel),OR(sel_Customer="All",F1463=sel_Customer),OR(sel_Category="All",G1463=sel_Category),AND(S1463&gt;=m_From,S1463&lt;=m_To)),1,0)</f>
        <v/>
      </c>
      <c r="AA1463" s="36">
        <f>IF(AND(OR(sel_Region="All",C1463=sel_Region),OR(sel_Country="All",D1463=sel_Country),OR(sel_Channel="All",E1463=sel_Channel),OR(sel_Customer="All",F1463=sel_Customer),OR(sel_Category="All",G1463=sel_Category),OR(sel_Product="All",H1463=sel_Product)),1,0)</f>
        <v/>
      </c>
    </row>
    <row r="1464">
      <c r="A1464" s="36" t="inlineStr">
        <is>
          <t>04297</t>
        </is>
      </c>
      <c r="B1464" s="44" t="n">
        <v>46226</v>
      </c>
      <c r="C1464" s="36" t="inlineStr">
        <is>
          <t>Central Europe</t>
        </is>
      </c>
      <c r="D1464" s="36" t="inlineStr">
        <is>
          <t>Austria</t>
        </is>
      </c>
      <c r="E1464" s="36" t="inlineStr">
        <is>
          <t>Marketplace</t>
        </is>
      </c>
      <c r="F1464" s="36" t="inlineStr">
        <is>
          <t>Returning</t>
        </is>
      </c>
      <c r="G1464" s="36" t="inlineStr">
        <is>
          <t>Travel</t>
        </is>
      </c>
      <c r="H1464" s="36" t="inlineStr">
        <is>
          <t>Travel Backpack 35L</t>
        </is>
      </c>
      <c r="I1464" s="36" t="n">
        <v>1</v>
      </c>
      <c r="J1464" s="39" t="n">
        <v>168.59</v>
      </c>
      <c r="K1464" s="45" t="n">
        <v>0.1</v>
      </c>
      <c r="L1464" s="39" t="n">
        <v>88.8</v>
      </c>
      <c r="M1464" s="39">
        <f>I1464*J1464*(1-K1464)</f>
        <v/>
      </c>
      <c r="N1464" s="39">
        <f>I1464*L1464</f>
        <v/>
      </c>
      <c r="O1464" s="39">
        <f>M1464-N1464</f>
        <v/>
      </c>
      <c r="P1464" s="38">
        <f>IF(M1464=0,0,O1464/M1464)</f>
        <v/>
      </c>
      <c r="Q1464" s="36">
        <f>YEAR(B1464)</f>
        <v/>
      </c>
      <c r="R1464" s="36">
        <f>"Q"&amp;ROUNDUP(MONTH(B1464)/3,0)</f>
        <v/>
      </c>
      <c r="S1464" s="36">
        <f>MONTH(B1464)</f>
        <v/>
      </c>
      <c r="T1464" s="36">
        <f>TEXT(B1464,"mmm")</f>
        <v/>
      </c>
      <c r="U1464" s="36">
        <f>IF(AND(OR(sel_Region="All",C1464=sel_Region),OR(sel_Country="All",D1464=sel_Country),OR(sel_Channel="All",E1464=sel_Channel),OR(sel_Customer="All",F1464=sel_Customer),OR(sel_Category="All",G1464=sel_Category),OR(sel_Product="All",H1464=sel_Product),AND(S1464&gt;=m_From,S1464&lt;=m_To)),1,0)</f>
        <v/>
      </c>
      <c r="V1464" s="36">
        <f>IF(AND(OR(sel_Region="All",C1464=sel_Region),OR(sel_Channel="All",E1464=sel_Channel),OR(sel_Customer="All",F1464=sel_Customer),OR(sel_Category="All",G1464=sel_Category),OR(sel_Product="All",H1464=sel_Product),AND(S1464&gt;=m_From,S1464&lt;=m_To)),1,0)</f>
        <v/>
      </c>
      <c r="W1464" s="36">
        <f>IF(AND(OR(sel_Region="All",C1464=sel_Region),OR(sel_Country="All",D1464=sel_Country),OR(sel_Customer="All",F1464=sel_Customer),OR(sel_Category="All",G1464=sel_Category),OR(sel_Product="All",H1464=sel_Product),AND(S1464&gt;=m_From,S1464&lt;=m_To)),1,0)</f>
        <v/>
      </c>
      <c r="X1464" s="36">
        <f>IF(AND(OR(sel_Region="All",C1464=sel_Region),OR(sel_Country="All",D1464=sel_Country),OR(sel_Channel="All",E1464=sel_Channel),OR(sel_Category="All",G1464=sel_Category),OR(sel_Product="All",H1464=sel_Product),AND(S1464&gt;=m_From,S1464&lt;=m_To)),1,0)</f>
        <v/>
      </c>
      <c r="Y1464" s="36">
        <f>IF(AND(OR(sel_Region="All",C1464=sel_Region),OR(sel_Country="All",D1464=sel_Country),OR(sel_Channel="All",E1464=sel_Channel),OR(sel_Customer="All",F1464=sel_Customer),OR(sel_Product="All",H1464=sel_Product),AND(S1464&gt;=m_From,S1464&lt;=m_To)),1,0)</f>
        <v/>
      </c>
      <c r="Z1464" s="36">
        <f>IF(AND(OR(sel_Region="All",C1464=sel_Region),OR(sel_Country="All",D1464=sel_Country),OR(sel_Channel="All",E1464=sel_Channel),OR(sel_Customer="All",F1464=sel_Customer),OR(sel_Category="All",G1464=sel_Category),AND(S1464&gt;=m_From,S1464&lt;=m_To)),1,0)</f>
        <v/>
      </c>
      <c r="AA1464" s="36">
        <f>IF(AND(OR(sel_Region="All",C1464=sel_Region),OR(sel_Country="All",D1464=sel_Country),OR(sel_Channel="All",E1464=sel_Channel),OR(sel_Customer="All",F1464=sel_Customer),OR(sel_Category="All",G1464=sel_Category),OR(sel_Product="All",H1464=sel_Product)),1,0)</f>
        <v/>
      </c>
    </row>
    <row r="1465">
      <c r="A1465" s="36" t="inlineStr">
        <is>
          <t>05118</t>
        </is>
      </c>
      <c r="B1465" s="44" t="n">
        <v>46226</v>
      </c>
      <c r="C1465" s="36" t="inlineStr">
        <is>
          <t>Central Europe</t>
        </is>
      </c>
      <c r="D1465" s="36" t="inlineStr">
        <is>
          <t>Germany</t>
        </is>
      </c>
      <c r="E1465" s="36" t="inlineStr">
        <is>
          <t>Online Store</t>
        </is>
      </c>
      <c r="F1465" s="36" t="inlineStr">
        <is>
          <t>Business</t>
        </is>
      </c>
      <c r="G1465" s="36" t="inlineStr">
        <is>
          <t>Travel</t>
        </is>
      </c>
      <c r="H1465" s="36" t="inlineStr">
        <is>
          <t>Insulated Bottle</t>
        </is>
      </c>
      <c r="I1465" s="36" t="n">
        <v>5</v>
      </c>
      <c r="J1465" s="39" t="n">
        <v>36.88</v>
      </c>
      <c r="K1465" s="45" t="n">
        <v>0.1</v>
      </c>
      <c r="L1465" s="39" t="n">
        <v>13.76</v>
      </c>
      <c r="M1465" s="39">
        <f>I1465*J1465*(1-K1465)</f>
        <v/>
      </c>
      <c r="N1465" s="39">
        <f>I1465*L1465</f>
        <v/>
      </c>
      <c r="O1465" s="39">
        <f>M1465-N1465</f>
        <v/>
      </c>
      <c r="P1465" s="38">
        <f>IF(M1465=0,0,O1465/M1465)</f>
        <v/>
      </c>
      <c r="Q1465" s="36">
        <f>YEAR(B1465)</f>
        <v/>
      </c>
      <c r="R1465" s="36">
        <f>"Q"&amp;ROUNDUP(MONTH(B1465)/3,0)</f>
        <v/>
      </c>
      <c r="S1465" s="36">
        <f>MONTH(B1465)</f>
        <v/>
      </c>
      <c r="T1465" s="36">
        <f>TEXT(B1465,"mmm")</f>
        <v/>
      </c>
      <c r="U1465" s="36">
        <f>IF(AND(OR(sel_Region="All",C1465=sel_Region),OR(sel_Country="All",D1465=sel_Country),OR(sel_Channel="All",E1465=sel_Channel),OR(sel_Customer="All",F1465=sel_Customer),OR(sel_Category="All",G1465=sel_Category),OR(sel_Product="All",H1465=sel_Product),AND(S1465&gt;=m_From,S1465&lt;=m_To)),1,0)</f>
        <v/>
      </c>
      <c r="V1465" s="36">
        <f>IF(AND(OR(sel_Region="All",C1465=sel_Region),OR(sel_Channel="All",E1465=sel_Channel),OR(sel_Customer="All",F1465=sel_Customer),OR(sel_Category="All",G1465=sel_Category),OR(sel_Product="All",H1465=sel_Product),AND(S1465&gt;=m_From,S1465&lt;=m_To)),1,0)</f>
        <v/>
      </c>
      <c r="W1465" s="36">
        <f>IF(AND(OR(sel_Region="All",C1465=sel_Region),OR(sel_Country="All",D1465=sel_Country),OR(sel_Customer="All",F1465=sel_Customer),OR(sel_Category="All",G1465=sel_Category),OR(sel_Product="All",H1465=sel_Product),AND(S1465&gt;=m_From,S1465&lt;=m_To)),1,0)</f>
        <v/>
      </c>
      <c r="X1465" s="36">
        <f>IF(AND(OR(sel_Region="All",C1465=sel_Region),OR(sel_Country="All",D1465=sel_Country),OR(sel_Channel="All",E1465=sel_Channel),OR(sel_Category="All",G1465=sel_Category),OR(sel_Product="All",H1465=sel_Product),AND(S1465&gt;=m_From,S1465&lt;=m_To)),1,0)</f>
        <v/>
      </c>
      <c r="Y1465" s="36">
        <f>IF(AND(OR(sel_Region="All",C1465=sel_Region),OR(sel_Country="All",D1465=sel_Country),OR(sel_Channel="All",E1465=sel_Channel),OR(sel_Customer="All",F1465=sel_Customer),OR(sel_Product="All",H1465=sel_Product),AND(S1465&gt;=m_From,S1465&lt;=m_To)),1,0)</f>
        <v/>
      </c>
      <c r="Z1465" s="36">
        <f>IF(AND(OR(sel_Region="All",C1465=sel_Region),OR(sel_Country="All",D1465=sel_Country),OR(sel_Channel="All",E1465=sel_Channel),OR(sel_Customer="All",F1465=sel_Customer),OR(sel_Category="All",G1465=sel_Category),AND(S1465&gt;=m_From,S1465&lt;=m_To)),1,0)</f>
        <v/>
      </c>
      <c r="AA1465" s="36">
        <f>IF(AND(OR(sel_Region="All",C1465=sel_Region),OR(sel_Country="All",D1465=sel_Country),OR(sel_Channel="All",E1465=sel_Channel),OR(sel_Customer="All",F1465=sel_Customer),OR(sel_Category="All",G1465=sel_Category),OR(sel_Product="All",H1465=sel_Product)),1,0)</f>
        <v/>
      </c>
    </row>
    <row r="1466">
      <c r="A1466" s="36" t="inlineStr">
        <is>
          <t>00363</t>
        </is>
      </c>
      <c r="B1466" s="44" t="n">
        <v>46227</v>
      </c>
      <c r="C1466" s="36" t="inlineStr">
        <is>
          <t>Southern Europe</t>
        </is>
      </c>
      <c r="D1466" s="36" t="inlineStr">
        <is>
          <t>Spain</t>
        </is>
      </c>
      <c r="E1466" s="36" t="inlineStr">
        <is>
          <t>Corporate</t>
        </is>
      </c>
      <c r="F1466" s="36" t="inlineStr">
        <is>
          <t>Business</t>
        </is>
      </c>
      <c r="G1466" s="36" t="inlineStr">
        <is>
          <t>Travel</t>
        </is>
      </c>
      <c r="H1466" s="36" t="inlineStr">
        <is>
          <t>Carry-On Duffel</t>
        </is>
      </c>
      <c r="I1466" s="36" t="n">
        <v>8</v>
      </c>
      <c r="J1466" s="39" t="n">
        <v>136.13</v>
      </c>
      <c r="K1466" s="45" t="n">
        <v>0.1</v>
      </c>
      <c r="L1466" s="39" t="n">
        <v>66.55</v>
      </c>
      <c r="M1466" s="39">
        <f>I1466*J1466*(1-K1466)</f>
        <v/>
      </c>
      <c r="N1466" s="39">
        <f>I1466*L1466</f>
        <v/>
      </c>
      <c r="O1466" s="39">
        <f>M1466-N1466</f>
        <v/>
      </c>
      <c r="P1466" s="38">
        <f>IF(M1466=0,0,O1466/M1466)</f>
        <v/>
      </c>
      <c r="Q1466" s="36">
        <f>YEAR(B1466)</f>
        <v/>
      </c>
      <c r="R1466" s="36">
        <f>"Q"&amp;ROUNDUP(MONTH(B1466)/3,0)</f>
        <v/>
      </c>
      <c r="S1466" s="36">
        <f>MONTH(B1466)</f>
        <v/>
      </c>
      <c r="T1466" s="36">
        <f>TEXT(B1466,"mmm")</f>
        <v/>
      </c>
      <c r="U1466" s="36">
        <f>IF(AND(OR(sel_Region="All",C1466=sel_Region),OR(sel_Country="All",D1466=sel_Country),OR(sel_Channel="All",E1466=sel_Channel),OR(sel_Customer="All",F1466=sel_Customer),OR(sel_Category="All",G1466=sel_Category),OR(sel_Product="All",H1466=sel_Product),AND(S1466&gt;=m_From,S1466&lt;=m_To)),1,0)</f>
        <v/>
      </c>
      <c r="V1466" s="36">
        <f>IF(AND(OR(sel_Region="All",C1466=sel_Region),OR(sel_Channel="All",E1466=sel_Channel),OR(sel_Customer="All",F1466=sel_Customer),OR(sel_Category="All",G1466=sel_Category),OR(sel_Product="All",H1466=sel_Product),AND(S1466&gt;=m_From,S1466&lt;=m_To)),1,0)</f>
        <v/>
      </c>
      <c r="W1466" s="36">
        <f>IF(AND(OR(sel_Region="All",C1466=sel_Region),OR(sel_Country="All",D1466=sel_Country),OR(sel_Customer="All",F1466=sel_Customer),OR(sel_Category="All",G1466=sel_Category),OR(sel_Product="All",H1466=sel_Product),AND(S1466&gt;=m_From,S1466&lt;=m_To)),1,0)</f>
        <v/>
      </c>
      <c r="X1466" s="36">
        <f>IF(AND(OR(sel_Region="All",C1466=sel_Region),OR(sel_Country="All",D1466=sel_Country),OR(sel_Channel="All",E1466=sel_Channel),OR(sel_Category="All",G1466=sel_Category),OR(sel_Product="All",H1466=sel_Product),AND(S1466&gt;=m_From,S1466&lt;=m_To)),1,0)</f>
        <v/>
      </c>
      <c r="Y1466" s="36">
        <f>IF(AND(OR(sel_Region="All",C1466=sel_Region),OR(sel_Country="All",D1466=sel_Country),OR(sel_Channel="All",E1466=sel_Channel),OR(sel_Customer="All",F1466=sel_Customer),OR(sel_Product="All",H1466=sel_Product),AND(S1466&gt;=m_From,S1466&lt;=m_To)),1,0)</f>
        <v/>
      </c>
      <c r="Z1466" s="36">
        <f>IF(AND(OR(sel_Region="All",C1466=sel_Region),OR(sel_Country="All",D1466=sel_Country),OR(sel_Channel="All",E1466=sel_Channel),OR(sel_Customer="All",F1466=sel_Customer),OR(sel_Category="All",G1466=sel_Category),AND(S1466&gt;=m_From,S1466&lt;=m_To)),1,0)</f>
        <v/>
      </c>
      <c r="AA1466" s="36">
        <f>IF(AND(OR(sel_Region="All",C1466=sel_Region),OR(sel_Country="All",D1466=sel_Country),OR(sel_Channel="All",E1466=sel_Channel),OR(sel_Customer="All",F1466=sel_Customer),OR(sel_Category="All",G1466=sel_Category),OR(sel_Product="All",H1466=sel_Product)),1,0)</f>
        <v/>
      </c>
    </row>
    <row r="1467">
      <c r="A1467" s="36" t="inlineStr">
        <is>
          <t>04243</t>
        </is>
      </c>
      <c r="B1467" s="44" t="n">
        <v>46227</v>
      </c>
      <c r="C1467" s="36" t="inlineStr">
        <is>
          <t>Central Europe</t>
        </is>
      </c>
      <c r="D1467" s="36" t="inlineStr">
        <is>
          <t>Poland</t>
        </is>
      </c>
      <c r="E1467" s="36" t="inlineStr">
        <is>
          <t>Marketplace</t>
        </is>
      </c>
      <c r="F1467" s="36" t="inlineStr">
        <is>
          <t>Returning</t>
        </is>
      </c>
      <c r="G1467" s="36" t="inlineStr">
        <is>
          <t>Cycling</t>
        </is>
      </c>
      <c r="H1467" s="36" t="inlineStr">
        <is>
          <t>Compact Repair Kit</t>
        </is>
      </c>
      <c r="I1467" s="36" t="n">
        <v>2</v>
      </c>
      <c r="J1467" s="39" t="n">
        <v>40.48</v>
      </c>
      <c r="K1467" s="45" t="n">
        <v>0.05</v>
      </c>
      <c r="L1467" s="39" t="n">
        <v>16.93</v>
      </c>
      <c r="M1467" s="39">
        <f>I1467*J1467*(1-K1467)</f>
        <v/>
      </c>
      <c r="N1467" s="39">
        <f>I1467*L1467</f>
        <v/>
      </c>
      <c r="O1467" s="39">
        <f>M1467-N1467</f>
        <v/>
      </c>
      <c r="P1467" s="38">
        <f>IF(M1467=0,0,O1467/M1467)</f>
        <v/>
      </c>
      <c r="Q1467" s="36">
        <f>YEAR(B1467)</f>
        <v/>
      </c>
      <c r="R1467" s="36">
        <f>"Q"&amp;ROUNDUP(MONTH(B1467)/3,0)</f>
        <v/>
      </c>
      <c r="S1467" s="36">
        <f>MONTH(B1467)</f>
        <v/>
      </c>
      <c r="T1467" s="36">
        <f>TEXT(B1467,"mmm")</f>
        <v/>
      </c>
      <c r="U1467" s="36">
        <f>IF(AND(OR(sel_Region="All",C1467=sel_Region),OR(sel_Country="All",D1467=sel_Country),OR(sel_Channel="All",E1467=sel_Channel),OR(sel_Customer="All",F1467=sel_Customer),OR(sel_Category="All",G1467=sel_Category),OR(sel_Product="All",H1467=sel_Product),AND(S1467&gt;=m_From,S1467&lt;=m_To)),1,0)</f>
        <v/>
      </c>
      <c r="V1467" s="36">
        <f>IF(AND(OR(sel_Region="All",C1467=sel_Region),OR(sel_Channel="All",E1467=sel_Channel),OR(sel_Customer="All",F1467=sel_Customer),OR(sel_Category="All",G1467=sel_Category),OR(sel_Product="All",H1467=sel_Product),AND(S1467&gt;=m_From,S1467&lt;=m_To)),1,0)</f>
        <v/>
      </c>
      <c r="W1467" s="36">
        <f>IF(AND(OR(sel_Region="All",C1467=sel_Region),OR(sel_Country="All",D1467=sel_Country),OR(sel_Customer="All",F1467=sel_Customer),OR(sel_Category="All",G1467=sel_Category),OR(sel_Product="All",H1467=sel_Product),AND(S1467&gt;=m_From,S1467&lt;=m_To)),1,0)</f>
        <v/>
      </c>
      <c r="X1467" s="36">
        <f>IF(AND(OR(sel_Region="All",C1467=sel_Region),OR(sel_Country="All",D1467=sel_Country),OR(sel_Channel="All",E1467=sel_Channel),OR(sel_Category="All",G1467=sel_Category),OR(sel_Product="All",H1467=sel_Product),AND(S1467&gt;=m_From,S1467&lt;=m_To)),1,0)</f>
        <v/>
      </c>
      <c r="Y1467" s="36">
        <f>IF(AND(OR(sel_Region="All",C1467=sel_Region),OR(sel_Country="All",D1467=sel_Country),OR(sel_Channel="All",E1467=sel_Channel),OR(sel_Customer="All",F1467=sel_Customer),OR(sel_Product="All",H1467=sel_Product),AND(S1467&gt;=m_From,S1467&lt;=m_To)),1,0)</f>
        <v/>
      </c>
      <c r="Z1467" s="36">
        <f>IF(AND(OR(sel_Region="All",C1467=sel_Region),OR(sel_Country="All",D1467=sel_Country),OR(sel_Channel="All",E1467=sel_Channel),OR(sel_Customer="All",F1467=sel_Customer),OR(sel_Category="All",G1467=sel_Category),AND(S1467&gt;=m_From,S1467&lt;=m_To)),1,0)</f>
        <v/>
      </c>
      <c r="AA1467" s="36">
        <f>IF(AND(OR(sel_Region="All",C1467=sel_Region),OR(sel_Country="All",D1467=sel_Country),OR(sel_Channel="All",E1467=sel_Channel),OR(sel_Customer="All",F1467=sel_Customer),OR(sel_Category="All",G1467=sel_Category),OR(sel_Product="All",H1467=sel_Product)),1,0)</f>
        <v/>
      </c>
    </row>
    <row r="1468">
      <c r="A1468" s="36" t="inlineStr">
        <is>
          <t>04348</t>
        </is>
      </c>
      <c r="B1468" s="44" t="n">
        <v>46227</v>
      </c>
      <c r="C1468" s="36" t="inlineStr">
        <is>
          <t>Southern Europe</t>
        </is>
      </c>
      <c r="D1468" s="36" t="inlineStr">
        <is>
          <t>Spain</t>
        </is>
      </c>
      <c r="E1468" s="36" t="inlineStr">
        <is>
          <t>Online Store</t>
        </is>
      </c>
      <c r="F1468" s="36" t="inlineStr">
        <is>
          <t>New</t>
        </is>
      </c>
      <c r="G1468" s="36" t="inlineStr">
        <is>
          <t>Cycling</t>
        </is>
      </c>
      <c r="H1468" s="36" t="inlineStr">
        <is>
          <t>Trail Bike Light</t>
        </is>
      </c>
      <c r="I1468" s="36" t="n">
        <v>4</v>
      </c>
      <c r="J1468" s="39" t="n">
        <v>50.09</v>
      </c>
      <c r="K1468" s="45" t="n">
        <v>0</v>
      </c>
      <c r="L1468" s="39" t="n">
        <v>22.11</v>
      </c>
      <c r="M1468" s="39">
        <f>I1468*J1468*(1-K1468)</f>
        <v/>
      </c>
      <c r="N1468" s="39">
        <f>I1468*L1468</f>
        <v/>
      </c>
      <c r="O1468" s="39">
        <f>M1468-N1468</f>
        <v/>
      </c>
      <c r="P1468" s="38">
        <f>IF(M1468=0,0,O1468/M1468)</f>
        <v/>
      </c>
      <c r="Q1468" s="36">
        <f>YEAR(B1468)</f>
        <v/>
      </c>
      <c r="R1468" s="36">
        <f>"Q"&amp;ROUNDUP(MONTH(B1468)/3,0)</f>
        <v/>
      </c>
      <c r="S1468" s="36">
        <f>MONTH(B1468)</f>
        <v/>
      </c>
      <c r="T1468" s="36">
        <f>TEXT(B1468,"mmm")</f>
        <v/>
      </c>
      <c r="U1468" s="36">
        <f>IF(AND(OR(sel_Region="All",C1468=sel_Region),OR(sel_Country="All",D1468=sel_Country),OR(sel_Channel="All",E1468=sel_Channel),OR(sel_Customer="All",F1468=sel_Customer),OR(sel_Category="All",G1468=sel_Category),OR(sel_Product="All",H1468=sel_Product),AND(S1468&gt;=m_From,S1468&lt;=m_To)),1,0)</f>
        <v/>
      </c>
      <c r="V1468" s="36">
        <f>IF(AND(OR(sel_Region="All",C1468=sel_Region),OR(sel_Channel="All",E1468=sel_Channel),OR(sel_Customer="All",F1468=sel_Customer),OR(sel_Category="All",G1468=sel_Category),OR(sel_Product="All",H1468=sel_Product),AND(S1468&gt;=m_From,S1468&lt;=m_To)),1,0)</f>
        <v/>
      </c>
      <c r="W1468" s="36">
        <f>IF(AND(OR(sel_Region="All",C1468=sel_Region),OR(sel_Country="All",D1468=sel_Country),OR(sel_Customer="All",F1468=sel_Customer),OR(sel_Category="All",G1468=sel_Category),OR(sel_Product="All",H1468=sel_Product),AND(S1468&gt;=m_From,S1468&lt;=m_To)),1,0)</f>
        <v/>
      </c>
      <c r="X1468" s="36">
        <f>IF(AND(OR(sel_Region="All",C1468=sel_Region),OR(sel_Country="All",D1468=sel_Country),OR(sel_Channel="All",E1468=sel_Channel),OR(sel_Category="All",G1468=sel_Category),OR(sel_Product="All",H1468=sel_Product),AND(S1468&gt;=m_From,S1468&lt;=m_To)),1,0)</f>
        <v/>
      </c>
      <c r="Y1468" s="36">
        <f>IF(AND(OR(sel_Region="All",C1468=sel_Region),OR(sel_Country="All",D1468=sel_Country),OR(sel_Channel="All",E1468=sel_Channel),OR(sel_Customer="All",F1468=sel_Customer),OR(sel_Product="All",H1468=sel_Product),AND(S1468&gt;=m_From,S1468&lt;=m_To)),1,0)</f>
        <v/>
      </c>
      <c r="Z1468" s="36">
        <f>IF(AND(OR(sel_Region="All",C1468=sel_Region),OR(sel_Country="All",D1468=sel_Country),OR(sel_Channel="All",E1468=sel_Channel),OR(sel_Customer="All",F1468=sel_Customer),OR(sel_Category="All",G1468=sel_Category),AND(S1468&gt;=m_From,S1468&lt;=m_To)),1,0)</f>
        <v/>
      </c>
      <c r="AA1468" s="36">
        <f>IF(AND(OR(sel_Region="All",C1468=sel_Region),OR(sel_Country="All",D1468=sel_Country),OR(sel_Channel="All",E1468=sel_Channel),OR(sel_Customer="All",F1468=sel_Customer),OR(sel_Category="All",G1468=sel_Category),OR(sel_Product="All",H1468=sel_Product)),1,0)</f>
        <v/>
      </c>
    </row>
    <row r="1469">
      <c r="A1469" s="36" t="inlineStr">
        <is>
          <t>04405</t>
        </is>
      </c>
      <c r="B1469" s="44" t="n">
        <v>46227</v>
      </c>
      <c r="C1469" s="36" t="inlineStr">
        <is>
          <t>Western Europe</t>
        </is>
      </c>
      <c r="D1469" s="36" t="inlineStr">
        <is>
          <t>United Kingdom</t>
        </is>
      </c>
      <c r="E1469" s="36" t="inlineStr">
        <is>
          <t>Online Store</t>
        </is>
      </c>
      <c r="F1469" s="36" t="inlineStr">
        <is>
          <t>Returning</t>
        </is>
      </c>
      <c r="G1469" s="36" t="inlineStr">
        <is>
          <t>Hiking</t>
        </is>
      </c>
      <c r="H1469" s="36" t="inlineStr">
        <is>
          <t>Summit Backpack 45L</t>
        </is>
      </c>
      <c r="I1469" s="36" t="n">
        <v>1</v>
      </c>
      <c r="J1469" s="39" t="n">
        <v>156.54</v>
      </c>
      <c r="K1469" s="45" t="n">
        <v>0.1</v>
      </c>
      <c r="L1469" s="39" t="n">
        <v>77.38</v>
      </c>
      <c r="M1469" s="39">
        <f>I1469*J1469*(1-K1469)</f>
        <v/>
      </c>
      <c r="N1469" s="39">
        <f>I1469*L1469</f>
        <v/>
      </c>
      <c r="O1469" s="39">
        <f>M1469-N1469</f>
        <v/>
      </c>
      <c r="P1469" s="38">
        <f>IF(M1469=0,0,O1469/M1469)</f>
        <v/>
      </c>
      <c r="Q1469" s="36">
        <f>YEAR(B1469)</f>
        <v/>
      </c>
      <c r="R1469" s="36">
        <f>"Q"&amp;ROUNDUP(MONTH(B1469)/3,0)</f>
        <v/>
      </c>
      <c r="S1469" s="36">
        <f>MONTH(B1469)</f>
        <v/>
      </c>
      <c r="T1469" s="36">
        <f>TEXT(B1469,"mmm")</f>
        <v/>
      </c>
      <c r="U1469" s="36">
        <f>IF(AND(OR(sel_Region="All",C1469=sel_Region),OR(sel_Country="All",D1469=sel_Country),OR(sel_Channel="All",E1469=sel_Channel),OR(sel_Customer="All",F1469=sel_Customer),OR(sel_Category="All",G1469=sel_Category),OR(sel_Product="All",H1469=sel_Product),AND(S1469&gt;=m_From,S1469&lt;=m_To)),1,0)</f>
        <v/>
      </c>
      <c r="V1469" s="36">
        <f>IF(AND(OR(sel_Region="All",C1469=sel_Region),OR(sel_Channel="All",E1469=sel_Channel),OR(sel_Customer="All",F1469=sel_Customer),OR(sel_Category="All",G1469=sel_Category),OR(sel_Product="All",H1469=sel_Product),AND(S1469&gt;=m_From,S1469&lt;=m_To)),1,0)</f>
        <v/>
      </c>
      <c r="W1469" s="36">
        <f>IF(AND(OR(sel_Region="All",C1469=sel_Region),OR(sel_Country="All",D1469=sel_Country),OR(sel_Customer="All",F1469=sel_Customer),OR(sel_Category="All",G1469=sel_Category),OR(sel_Product="All",H1469=sel_Product),AND(S1469&gt;=m_From,S1469&lt;=m_To)),1,0)</f>
        <v/>
      </c>
      <c r="X1469" s="36">
        <f>IF(AND(OR(sel_Region="All",C1469=sel_Region),OR(sel_Country="All",D1469=sel_Country),OR(sel_Channel="All",E1469=sel_Channel),OR(sel_Category="All",G1469=sel_Category),OR(sel_Product="All",H1469=sel_Product),AND(S1469&gt;=m_From,S1469&lt;=m_To)),1,0)</f>
        <v/>
      </c>
      <c r="Y1469" s="36">
        <f>IF(AND(OR(sel_Region="All",C1469=sel_Region),OR(sel_Country="All",D1469=sel_Country),OR(sel_Channel="All",E1469=sel_Channel),OR(sel_Customer="All",F1469=sel_Customer),OR(sel_Product="All",H1469=sel_Product),AND(S1469&gt;=m_From,S1469&lt;=m_To)),1,0)</f>
        <v/>
      </c>
      <c r="Z1469" s="36">
        <f>IF(AND(OR(sel_Region="All",C1469=sel_Region),OR(sel_Country="All",D1469=sel_Country),OR(sel_Channel="All",E1469=sel_Channel),OR(sel_Customer="All",F1469=sel_Customer),OR(sel_Category="All",G1469=sel_Category),AND(S1469&gt;=m_From,S1469&lt;=m_To)),1,0)</f>
        <v/>
      </c>
      <c r="AA1469" s="36">
        <f>IF(AND(OR(sel_Region="All",C1469=sel_Region),OR(sel_Country="All",D1469=sel_Country),OR(sel_Channel="All",E1469=sel_Channel),OR(sel_Customer="All",F1469=sel_Customer),OR(sel_Category="All",G1469=sel_Category),OR(sel_Product="All",H1469=sel_Product)),1,0)</f>
        <v/>
      </c>
    </row>
    <row r="1470">
      <c r="A1470" s="36" t="inlineStr">
        <is>
          <t>04857</t>
        </is>
      </c>
      <c r="B1470" s="44" t="n">
        <v>46227</v>
      </c>
      <c r="C1470" s="36" t="inlineStr">
        <is>
          <t>Central Europe</t>
        </is>
      </c>
      <c r="D1470" s="36" t="inlineStr">
        <is>
          <t>Austria</t>
        </is>
      </c>
      <c r="E1470" s="36" t="inlineStr">
        <is>
          <t>Retail Partners</t>
        </is>
      </c>
      <c r="F1470" s="36" t="inlineStr">
        <is>
          <t>Returning</t>
        </is>
      </c>
      <c r="G1470" s="36" t="inlineStr">
        <is>
          <t>Hiking</t>
        </is>
      </c>
      <c r="H1470" s="36" t="inlineStr">
        <is>
          <t>Summit Backpack 45L</t>
        </is>
      </c>
      <c r="I1470" s="36" t="n">
        <v>1</v>
      </c>
      <c r="J1470" s="39" t="n">
        <v>152.1</v>
      </c>
      <c r="K1470" s="45" t="n">
        <v>0.1</v>
      </c>
      <c r="L1470" s="39" t="n">
        <v>80.45999999999999</v>
      </c>
      <c r="M1470" s="39">
        <f>I1470*J1470*(1-K1470)</f>
        <v/>
      </c>
      <c r="N1470" s="39">
        <f>I1470*L1470</f>
        <v/>
      </c>
      <c r="O1470" s="39">
        <f>M1470-N1470</f>
        <v/>
      </c>
      <c r="P1470" s="38">
        <f>IF(M1470=0,0,O1470/M1470)</f>
        <v/>
      </c>
      <c r="Q1470" s="36">
        <f>YEAR(B1470)</f>
        <v/>
      </c>
      <c r="R1470" s="36">
        <f>"Q"&amp;ROUNDUP(MONTH(B1470)/3,0)</f>
        <v/>
      </c>
      <c r="S1470" s="36">
        <f>MONTH(B1470)</f>
        <v/>
      </c>
      <c r="T1470" s="36">
        <f>TEXT(B1470,"mmm")</f>
        <v/>
      </c>
      <c r="U1470" s="36">
        <f>IF(AND(OR(sel_Region="All",C1470=sel_Region),OR(sel_Country="All",D1470=sel_Country),OR(sel_Channel="All",E1470=sel_Channel),OR(sel_Customer="All",F1470=sel_Customer),OR(sel_Category="All",G1470=sel_Category),OR(sel_Product="All",H1470=sel_Product),AND(S1470&gt;=m_From,S1470&lt;=m_To)),1,0)</f>
        <v/>
      </c>
      <c r="V1470" s="36">
        <f>IF(AND(OR(sel_Region="All",C1470=sel_Region),OR(sel_Channel="All",E1470=sel_Channel),OR(sel_Customer="All",F1470=sel_Customer),OR(sel_Category="All",G1470=sel_Category),OR(sel_Product="All",H1470=sel_Product),AND(S1470&gt;=m_From,S1470&lt;=m_To)),1,0)</f>
        <v/>
      </c>
      <c r="W1470" s="36">
        <f>IF(AND(OR(sel_Region="All",C1470=sel_Region),OR(sel_Country="All",D1470=sel_Country),OR(sel_Customer="All",F1470=sel_Customer),OR(sel_Category="All",G1470=sel_Category),OR(sel_Product="All",H1470=sel_Product),AND(S1470&gt;=m_From,S1470&lt;=m_To)),1,0)</f>
        <v/>
      </c>
      <c r="X1470" s="36">
        <f>IF(AND(OR(sel_Region="All",C1470=sel_Region),OR(sel_Country="All",D1470=sel_Country),OR(sel_Channel="All",E1470=sel_Channel),OR(sel_Category="All",G1470=sel_Category),OR(sel_Product="All",H1470=sel_Product),AND(S1470&gt;=m_From,S1470&lt;=m_To)),1,0)</f>
        <v/>
      </c>
      <c r="Y1470" s="36">
        <f>IF(AND(OR(sel_Region="All",C1470=sel_Region),OR(sel_Country="All",D1470=sel_Country),OR(sel_Channel="All",E1470=sel_Channel),OR(sel_Customer="All",F1470=sel_Customer),OR(sel_Product="All",H1470=sel_Product),AND(S1470&gt;=m_From,S1470&lt;=m_To)),1,0)</f>
        <v/>
      </c>
      <c r="Z1470" s="36">
        <f>IF(AND(OR(sel_Region="All",C1470=sel_Region),OR(sel_Country="All",D1470=sel_Country),OR(sel_Channel="All",E1470=sel_Channel),OR(sel_Customer="All",F1470=sel_Customer),OR(sel_Category="All",G1470=sel_Category),AND(S1470&gt;=m_From,S1470&lt;=m_To)),1,0)</f>
        <v/>
      </c>
      <c r="AA1470" s="36">
        <f>IF(AND(OR(sel_Region="All",C1470=sel_Region),OR(sel_Country="All",D1470=sel_Country),OR(sel_Channel="All",E1470=sel_Channel),OR(sel_Customer="All",F1470=sel_Customer),OR(sel_Category="All",G1470=sel_Category),OR(sel_Product="All",H1470=sel_Product)),1,0)</f>
        <v/>
      </c>
    </row>
    <row r="1471">
      <c r="A1471" s="36" t="inlineStr">
        <is>
          <t>00087</t>
        </is>
      </c>
      <c r="B1471" s="44" t="n">
        <v>46228</v>
      </c>
      <c r="C1471" s="36" t="inlineStr">
        <is>
          <t>Central Europe</t>
        </is>
      </c>
      <c r="D1471" s="36" t="inlineStr">
        <is>
          <t>Switzerland</t>
        </is>
      </c>
      <c r="E1471" s="36" t="inlineStr">
        <is>
          <t>Online Store</t>
        </is>
      </c>
      <c r="F1471" s="36" t="inlineStr">
        <is>
          <t>Returning</t>
        </is>
      </c>
      <c r="G1471" s="36" t="inlineStr">
        <is>
          <t>Hiking</t>
        </is>
      </c>
      <c r="H1471" s="36" t="inlineStr">
        <is>
          <t>Summit Backpack 45L</t>
        </is>
      </c>
      <c r="I1471" s="36" t="n">
        <v>1</v>
      </c>
      <c r="J1471" s="39" t="n">
        <v>155.35</v>
      </c>
      <c r="K1471" s="45" t="n">
        <v>0</v>
      </c>
      <c r="L1471" s="39" t="n">
        <v>80.47</v>
      </c>
      <c r="M1471" s="39">
        <f>I1471*J1471*(1-K1471)</f>
        <v/>
      </c>
      <c r="N1471" s="39">
        <f>I1471*L1471</f>
        <v/>
      </c>
      <c r="O1471" s="39">
        <f>M1471-N1471</f>
        <v/>
      </c>
      <c r="P1471" s="38">
        <f>IF(M1471=0,0,O1471/M1471)</f>
        <v/>
      </c>
      <c r="Q1471" s="36">
        <f>YEAR(B1471)</f>
        <v/>
      </c>
      <c r="R1471" s="36">
        <f>"Q"&amp;ROUNDUP(MONTH(B1471)/3,0)</f>
        <v/>
      </c>
      <c r="S1471" s="36">
        <f>MONTH(B1471)</f>
        <v/>
      </c>
      <c r="T1471" s="36">
        <f>TEXT(B1471,"mmm")</f>
        <v/>
      </c>
      <c r="U1471" s="36">
        <f>IF(AND(OR(sel_Region="All",C1471=sel_Region),OR(sel_Country="All",D1471=sel_Country),OR(sel_Channel="All",E1471=sel_Channel),OR(sel_Customer="All",F1471=sel_Customer),OR(sel_Category="All",G1471=sel_Category),OR(sel_Product="All",H1471=sel_Product),AND(S1471&gt;=m_From,S1471&lt;=m_To)),1,0)</f>
        <v/>
      </c>
      <c r="V1471" s="36">
        <f>IF(AND(OR(sel_Region="All",C1471=sel_Region),OR(sel_Channel="All",E1471=sel_Channel),OR(sel_Customer="All",F1471=sel_Customer),OR(sel_Category="All",G1471=sel_Category),OR(sel_Product="All",H1471=sel_Product),AND(S1471&gt;=m_From,S1471&lt;=m_To)),1,0)</f>
        <v/>
      </c>
      <c r="W1471" s="36">
        <f>IF(AND(OR(sel_Region="All",C1471=sel_Region),OR(sel_Country="All",D1471=sel_Country),OR(sel_Customer="All",F1471=sel_Customer),OR(sel_Category="All",G1471=sel_Category),OR(sel_Product="All",H1471=sel_Product),AND(S1471&gt;=m_From,S1471&lt;=m_To)),1,0)</f>
        <v/>
      </c>
      <c r="X1471" s="36">
        <f>IF(AND(OR(sel_Region="All",C1471=sel_Region),OR(sel_Country="All",D1471=sel_Country),OR(sel_Channel="All",E1471=sel_Channel),OR(sel_Category="All",G1471=sel_Category),OR(sel_Product="All",H1471=sel_Product),AND(S1471&gt;=m_From,S1471&lt;=m_To)),1,0)</f>
        <v/>
      </c>
      <c r="Y1471" s="36">
        <f>IF(AND(OR(sel_Region="All",C1471=sel_Region),OR(sel_Country="All",D1471=sel_Country),OR(sel_Channel="All",E1471=sel_Channel),OR(sel_Customer="All",F1471=sel_Customer),OR(sel_Product="All",H1471=sel_Product),AND(S1471&gt;=m_From,S1471&lt;=m_To)),1,0)</f>
        <v/>
      </c>
      <c r="Z1471" s="36">
        <f>IF(AND(OR(sel_Region="All",C1471=sel_Region),OR(sel_Country="All",D1471=sel_Country),OR(sel_Channel="All",E1471=sel_Channel),OR(sel_Customer="All",F1471=sel_Customer),OR(sel_Category="All",G1471=sel_Category),AND(S1471&gt;=m_From,S1471&lt;=m_To)),1,0)</f>
        <v/>
      </c>
      <c r="AA1471" s="36">
        <f>IF(AND(OR(sel_Region="All",C1471=sel_Region),OR(sel_Country="All",D1471=sel_Country),OR(sel_Channel="All",E1471=sel_Channel),OR(sel_Customer="All",F1471=sel_Customer),OR(sel_Category="All",G1471=sel_Category),OR(sel_Product="All",H1471=sel_Product)),1,0)</f>
        <v/>
      </c>
    </row>
    <row r="1472">
      <c r="A1472" s="36" t="inlineStr">
        <is>
          <t>00315</t>
        </is>
      </c>
      <c r="B1472" s="44" t="n">
        <v>46228</v>
      </c>
      <c r="C1472" s="36" t="inlineStr">
        <is>
          <t>Northern Europe</t>
        </is>
      </c>
      <c r="D1472" s="36" t="inlineStr">
        <is>
          <t>Ireland</t>
        </is>
      </c>
      <c r="E1472" s="36" t="inlineStr">
        <is>
          <t>Marketplace</t>
        </is>
      </c>
      <c r="F1472" s="36" t="inlineStr">
        <is>
          <t>New</t>
        </is>
      </c>
      <c r="G1472" s="36" t="inlineStr">
        <is>
          <t>Cycling</t>
        </is>
      </c>
      <c r="H1472" s="36" t="inlineStr">
        <is>
          <t>Commuter Helmet</t>
        </is>
      </c>
      <c r="I1472" s="36" t="n">
        <v>1</v>
      </c>
      <c r="J1472" s="39" t="n">
        <v>81.13</v>
      </c>
      <c r="K1472" s="45" t="n">
        <v>0.05</v>
      </c>
      <c r="L1472" s="39" t="n">
        <v>42.41</v>
      </c>
      <c r="M1472" s="39">
        <f>I1472*J1472*(1-K1472)</f>
        <v/>
      </c>
      <c r="N1472" s="39">
        <f>I1472*L1472</f>
        <v/>
      </c>
      <c r="O1472" s="39">
        <f>M1472-N1472</f>
        <v/>
      </c>
      <c r="P1472" s="38">
        <f>IF(M1472=0,0,O1472/M1472)</f>
        <v/>
      </c>
      <c r="Q1472" s="36">
        <f>YEAR(B1472)</f>
        <v/>
      </c>
      <c r="R1472" s="36">
        <f>"Q"&amp;ROUNDUP(MONTH(B1472)/3,0)</f>
        <v/>
      </c>
      <c r="S1472" s="36">
        <f>MONTH(B1472)</f>
        <v/>
      </c>
      <c r="T1472" s="36">
        <f>TEXT(B1472,"mmm")</f>
        <v/>
      </c>
      <c r="U1472" s="36">
        <f>IF(AND(OR(sel_Region="All",C1472=sel_Region),OR(sel_Country="All",D1472=sel_Country),OR(sel_Channel="All",E1472=sel_Channel),OR(sel_Customer="All",F1472=sel_Customer),OR(sel_Category="All",G1472=sel_Category),OR(sel_Product="All",H1472=sel_Product),AND(S1472&gt;=m_From,S1472&lt;=m_To)),1,0)</f>
        <v/>
      </c>
      <c r="V1472" s="36">
        <f>IF(AND(OR(sel_Region="All",C1472=sel_Region),OR(sel_Channel="All",E1472=sel_Channel),OR(sel_Customer="All",F1472=sel_Customer),OR(sel_Category="All",G1472=sel_Category),OR(sel_Product="All",H1472=sel_Product),AND(S1472&gt;=m_From,S1472&lt;=m_To)),1,0)</f>
        <v/>
      </c>
      <c r="W1472" s="36">
        <f>IF(AND(OR(sel_Region="All",C1472=sel_Region),OR(sel_Country="All",D1472=sel_Country),OR(sel_Customer="All",F1472=sel_Customer),OR(sel_Category="All",G1472=sel_Category),OR(sel_Product="All",H1472=sel_Product),AND(S1472&gt;=m_From,S1472&lt;=m_To)),1,0)</f>
        <v/>
      </c>
      <c r="X1472" s="36">
        <f>IF(AND(OR(sel_Region="All",C1472=sel_Region),OR(sel_Country="All",D1472=sel_Country),OR(sel_Channel="All",E1472=sel_Channel),OR(sel_Category="All",G1472=sel_Category),OR(sel_Product="All",H1472=sel_Product),AND(S1472&gt;=m_From,S1472&lt;=m_To)),1,0)</f>
        <v/>
      </c>
      <c r="Y1472" s="36">
        <f>IF(AND(OR(sel_Region="All",C1472=sel_Region),OR(sel_Country="All",D1472=sel_Country),OR(sel_Channel="All",E1472=sel_Channel),OR(sel_Customer="All",F1472=sel_Customer),OR(sel_Product="All",H1472=sel_Product),AND(S1472&gt;=m_From,S1472&lt;=m_To)),1,0)</f>
        <v/>
      </c>
      <c r="Z1472" s="36">
        <f>IF(AND(OR(sel_Region="All",C1472=sel_Region),OR(sel_Country="All",D1472=sel_Country),OR(sel_Channel="All",E1472=sel_Channel),OR(sel_Customer="All",F1472=sel_Customer),OR(sel_Category="All",G1472=sel_Category),AND(S1472&gt;=m_From,S1472&lt;=m_To)),1,0)</f>
        <v/>
      </c>
      <c r="AA1472" s="36">
        <f>IF(AND(OR(sel_Region="All",C1472=sel_Region),OR(sel_Country="All",D1472=sel_Country),OR(sel_Channel="All",E1472=sel_Channel),OR(sel_Customer="All",F1472=sel_Customer),OR(sel_Category="All",G1472=sel_Category),OR(sel_Product="All",H1472=sel_Product)),1,0)</f>
        <v/>
      </c>
    </row>
    <row r="1473">
      <c r="A1473" s="36" t="inlineStr">
        <is>
          <t>00970</t>
        </is>
      </c>
      <c r="B1473" s="44" t="n">
        <v>46228</v>
      </c>
      <c r="C1473" s="36" t="inlineStr">
        <is>
          <t>Central Europe</t>
        </is>
      </c>
      <c r="D1473" s="36" t="inlineStr">
        <is>
          <t>Switzerland</t>
        </is>
      </c>
      <c r="E1473" s="36" t="inlineStr">
        <is>
          <t>Online Store</t>
        </is>
      </c>
      <c r="F1473" s="36" t="inlineStr">
        <is>
          <t>New</t>
        </is>
      </c>
      <c r="G1473" s="36" t="inlineStr">
        <is>
          <t>Hiking</t>
        </is>
      </c>
      <c r="H1473" s="36" t="inlineStr">
        <is>
          <t>Trail Boots</t>
        </is>
      </c>
      <c r="I1473" s="36" t="n">
        <v>1</v>
      </c>
      <c r="J1473" s="39" t="n">
        <v>145.87</v>
      </c>
      <c r="K1473" s="45" t="n">
        <v>0</v>
      </c>
      <c r="L1473" s="39" t="n">
        <v>81.43000000000001</v>
      </c>
      <c r="M1473" s="39">
        <f>I1473*J1473*(1-K1473)</f>
        <v/>
      </c>
      <c r="N1473" s="39">
        <f>I1473*L1473</f>
        <v/>
      </c>
      <c r="O1473" s="39">
        <f>M1473-N1473</f>
        <v/>
      </c>
      <c r="P1473" s="38">
        <f>IF(M1473=0,0,O1473/M1473)</f>
        <v/>
      </c>
      <c r="Q1473" s="36">
        <f>YEAR(B1473)</f>
        <v/>
      </c>
      <c r="R1473" s="36">
        <f>"Q"&amp;ROUNDUP(MONTH(B1473)/3,0)</f>
        <v/>
      </c>
      <c r="S1473" s="36">
        <f>MONTH(B1473)</f>
        <v/>
      </c>
      <c r="T1473" s="36">
        <f>TEXT(B1473,"mmm")</f>
        <v/>
      </c>
      <c r="U1473" s="36">
        <f>IF(AND(OR(sel_Region="All",C1473=sel_Region),OR(sel_Country="All",D1473=sel_Country),OR(sel_Channel="All",E1473=sel_Channel),OR(sel_Customer="All",F1473=sel_Customer),OR(sel_Category="All",G1473=sel_Category),OR(sel_Product="All",H1473=sel_Product),AND(S1473&gt;=m_From,S1473&lt;=m_To)),1,0)</f>
        <v/>
      </c>
      <c r="V1473" s="36">
        <f>IF(AND(OR(sel_Region="All",C1473=sel_Region),OR(sel_Channel="All",E1473=sel_Channel),OR(sel_Customer="All",F1473=sel_Customer),OR(sel_Category="All",G1473=sel_Category),OR(sel_Product="All",H1473=sel_Product),AND(S1473&gt;=m_From,S1473&lt;=m_To)),1,0)</f>
        <v/>
      </c>
      <c r="W1473" s="36">
        <f>IF(AND(OR(sel_Region="All",C1473=sel_Region),OR(sel_Country="All",D1473=sel_Country),OR(sel_Customer="All",F1473=sel_Customer),OR(sel_Category="All",G1473=sel_Category),OR(sel_Product="All",H1473=sel_Product),AND(S1473&gt;=m_From,S1473&lt;=m_To)),1,0)</f>
        <v/>
      </c>
      <c r="X1473" s="36">
        <f>IF(AND(OR(sel_Region="All",C1473=sel_Region),OR(sel_Country="All",D1473=sel_Country),OR(sel_Channel="All",E1473=sel_Channel),OR(sel_Category="All",G1473=sel_Category),OR(sel_Product="All",H1473=sel_Product),AND(S1473&gt;=m_From,S1473&lt;=m_To)),1,0)</f>
        <v/>
      </c>
      <c r="Y1473" s="36">
        <f>IF(AND(OR(sel_Region="All",C1473=sel_Region),OR(sel_Country="All",D1473=sel_Country),OR(sel_Channel="All",E1473=sel_Channel),OR(sel_Customer="All",F1473=sel_Customer),OR(sel_Product="All",H1473=sel_Product),AND(S1473&gt;=m_From,S1473&lt;=m_To)),1,0)</f>
        <v/>
      </c>
      <c r="Z1473" s="36">
        <f>IF(AND(OR(sel_Region="All",C1473=sel_Region),OR(sel_Country="All",D1473=sel_Country),OR(sel_Channel="All",E1473=sel_Channel),OR(sel_Customer="All",F1473=sel_Customer),OR(sel_Category="All",G1473=sel_Category),AND(S1473&gt;=m_From,S1473&lt;=m_To)),1,0)</f>
        <v/>
      </c>
      <c r="AA1473" s="36">
        <f>IF(AND(OR(sel_Region="All",C1473=sel_Region),OR(sel_Country="All",D1473=sel_Country),OR(sel_Channel="All",E1473=sel_Channel),OR(sel_Customer="All",F1473=sel_Customer),OR(sel_Category="All",G1473=sel_Category),OR(sel_Product="All",H1473=sel_Product)),1,0)</f>
        <v/>
      </c>
    </row>
    <row r="1474">
      <c r="A1474" s="36" t="inlineStr">
        <is>
          <t>01891</t>
        </is>
      </c>
      <c r="B1474" s="44" t="n">
        <v>46228</v>
      </c>
      <c r="C1474" s="36" t="inlineStr">
        <is>
          <t>Central Europe</t>
        </is>
      </c>
      <c r="D1474" s="36" t="inlineStr">
        <is>
          <t>Germany</t>
        </is>
      </c>
      <c r="E1474" s="36" t="inlineStr">
        <is>
          <t>Online Store</t>
        </is>
      </c>
      <c r="F1474" s="36" t="inlineStr">
        <is>
          <t>New</t>
        </is>
      </c>
      <c r="G1474" s="36" t="inlineStr">
        <is>
          <t>Hiking</t>
        </is>
      </c>
      <c r="H1474" s="36" t="inlineStr">
        <is>
          <t>Summit Backpack 45L</t>
        </is>
      </c>
      <c r="I1474" s="36" t="n">
        <v>6</v>
      </c>
      <c r="J1474" s="39" t="n">
        <v>151.89</v>
      </c>
      <c r="K1474" s="45" t="n">
        <v>0.15</v>
      </c>
      <c r="L1474" s="39" t="n">
        <v>76.83</v>
      </c>
      <c r="M1474" s="39">
        <f>I1474*J1474*(1-K1474)</f>
        <v/>
      </c>
      <c r="N1474" s="39">
        <f>I1474*L1474</f>
        <v/>
      </c>
      <c r="O1474" s="39">
        <f>M1474-N1474</f>
        <v/>
      </c>
      <c r="P1474" s="38">
        <f>IF(M1474=0,0,O1474/M1474)</f>
        <v/>
      </c>
      <c r="Q1474" s="36">
        <f>YEAR(B1474)</f>
        <v/>
      </c>
      <c r="R1474" s="36">
        <f>"Q"&amp;ROUNDUP(MONTH(B1474)/3,0)</f>
        <v/>
      </c>
      <c r="S1474" s="36">
        <f>MONTH(B1474)</f>
        <v/>
      </c>
      <c r="T1474" s="36">
        <f>TEXT(B1474,"mmm")</f>
        <v/>
      </c>
      <c r="U1474" s="36">
        <f>IF(AND(OR(sel_Region="All",C1474=sel_Region),OR(sel_Country="All",D1474=sel_Country),OR(sel_Channel="All",E1474=sel_Channel),OR(sel_Customer="All",F1474=sel_Customer),OR(sel_Category="All",G1474=sel_Category),OR(sel_Product="All",H1474=sel_Product),AND(S1474&gt;=m_From,S1474&lt;=m_To)),1,0)</f>
        <v/>
      </c>
      <c r="V1474" s="36">
        <f>IF(AND(OR(sel_Region="All",C1474=sel_Region),OR(sel_Channel="All",E1474=sel_Channel),OR(sel_Customer="All",F1474=sel_Customer),OR(sel_Category="All",G1474=sel_Category),OR(sel_Product="All",H1474=sel_Product),AND(S1474&gt;=m_From,S1474&lt;=m_To)),1,0)</f>
        <v/>
      </c>
      <c r="W1474" s="36">
        <f>IF(AND(OR(sel_Region="All",C1474=sel_Region),OR(sel_Country="All",D1474=sel_Country),OR(sel_Customer="All",F1474=sel_Customer),OR(sel_Category="All",G1474=sel_Category),OR(sel_Product="All",H1474=sel_Product),AND(S1474&gt;=m_From,S1474&lt;=m_To)),1,0)</f>
        <v/>
      </c>
      <c r="X1474" s="36">
        <f>IF(AND(OR(sel_Region="All",C1474=sel_Region),OR(sel_Country="All",D1474=sel_Country),OR(sel_Channel="All",E1474=sel_Channel),OR(sel_Category="All",G1474=sel_Category),OR(sel_Product="All",H1474=sel_Product),AND(S1474&gt;=m_From,S1474&lt;=m_To)),1,0)</f>
        <v/>
      </c>
      <c r="Y1474" s="36">
        <f>IF(AND(OR(sel_Region="All",C1474=sel_Region),OR(sel_Country="All",D1474=sel_Country),OR(sel_Channel="All",E1474=sel_Channel),OR(sel_Customer="All",F1474=sel_Customer),OR(sel_Product="All",H1474=sel_Product),AND(S1474&gt;=m_From,S1474&lt;=m_To)),1,0)</f>
        <v/>
      </c>
      <c r="Z1474" s="36">
        <f>IF(AND(OR(sel_Region="All",C1474=sel_Region),OR(sel_Country="All",D1474=sel_Country),OR(sel_Channel="All",E1474=sel_Channel),OR(sel_Customer="All",F1474=sel_Customer),OR(sel_Category="All",G1474=sel_Category),AND(S1474&gt;=m_From,S1474&lt;=m_To)),1,0)</f>
        <v/>
      </c>
      <c r="AA1474" s="36">
        <f>IF(AND(OR(sel_Region="All",C1474=sel_Region),OR(sel_Country="All",D1474=sel_Country),OR(sel_Channel="All",E1474=sel_Channel),OR(sel_Customer="All",F1474=sel_Customer),OR(sel_Category="All",G1474=sel_Category),OR(sel_Product="All",H1474=sel_Product)),1,0)</f>
        <v/>
      </c>
    </row>
    <row r="1475">
      <c r="A1475" s="36" t="inlineStr">
        <is>
          <t>02148</t>
        </is>
      </c>
      <c r="B1475" s="44" t="n">
        <v>46228</v>
      </c>
      <c r="C1475" s="36" t="inlineStr">
        <is>
          <t>Northern Europe</t>
        </is>
      </c>
      <c r="D1475" s="36" t="inlineStr">
        <is>
          <t>Finland</t>
        </is>
      </c>
      <c r="E1475" s="36" t="inlineStr">
        <is>
          <t>Online Store</t>
        </is>
      </c>
      <c r="F1475" s="36" t="inlineStr">
        <is>
          <t>New</t>
        </is>
      </c>
      <c r="G1475" s="36" t="inlineStr">
        <is>
          <t>Fitness</t>
        </is>
      </c>
      <c r="H1475" s="36" t="inlineStr">
        <is>
          <t>Resistance Band Set</t>
        </is>
      </c>
      <c r="I1475" s="36" t="n">
        <v>2</v>
      </c>
      <c r="J1475" s="39" t="n">
        <v>41.14</v>
      </c>
      <c r="K1475" s="45" t="n">
        <v>0.1</v>
      </c>
      <c r="L1475" s="39" t="n">
        <v>14.84</v>
      </c>
      <c r="M1475" s="39">
        <f>I1475*J1475*(1-K1475)</f>
        <v/>
      </c>
      <c r="N1475" s="39">
        <f>I1475*L1475</f>
        <v/>
      </c>
      <c r="O1475" s="39">
        <f>M1475-N1475</f>
        <v/>
      </c>
      <c r="P1475" s="38">
        <f>IF(M1475=0,0,O1475/M1475)</f>
        <v/>
      </c>
      <c r="Q1475" s="36">
        <f>YEAR(B1475)</f>
        <v/>
      </c>
      <c r="R1475" s="36">
        <f>"Q"&amp;ROUNDUP(MONTH(B1475)/3,0)</f>
        <v/>
      </c>
      <c r="S1475" s="36">
        <f>MONTH(B1475)</f>
        <v/>
      </c>
      <c r="T1475" s="36">
        <f>TEXT(B1475,"mmm")</f>
        <v/>
      </c>
      <c r="U1475" s="36">
        <f>IF(AND(OR(sel_Region="All",C1475=sel_Region),OR(sel_Country="All",D1475=sel_Country),OR(sel_Channel="All",E1475=sel_Channel),OR(sel_Customer="All",F1475=sel_Customer),OR(sel_Category="All",G1475=sel_Category),OR(sel_Product="All",H1475=sel_Product),AND(S1475&gt;=m_From,S1475&lt;=m_To)),1,0)</f>
        <v/>
      </c>
      <c r="V1475" s="36">
        <f>IF(AND(OR(sel_Region="All",C1475=sel_Region),OR(sel_Channel="All",E1475=sel_Channel),OR(sel_Customer="All",F1475=sel_Customer),OR(sel_Category="All",G1475=sel_Category),OR(sel_Product="All",H1475=sel_Product),AND(S1475&gt;=m_From,S1475&lt;=m_To)),1,0)</f>
        <v/>
      </c>
      <c r="W1475" s="36">
        <f>IF(AND(OR(sel_Region="All",C1475=sel_Region),OR(sel_Country="All",D1475=sel_Country),OR(sel_Customer="All",F1475=sel_Customer),OR(sel_Category="All",G1475=sel_Category),OR(sel_Product="All",H1475=sel_Product),AND(S1475&gt;=m_From,S1475&lt;=m_To)),1,0)</f>
        <v/>
      </c>
      <c r="X1475" s="36">
        <f>IF(AND(OR(sel_Region="All",C1475=sel_Region),OR(sel_Country="All",D1475=sel_Country),OR(sel_Channel="All",E1475=sel_Channel),OR(sel_Category="All",G1475=sel_Category),OR(sel_Product="All",H1475=sel_Product),AND(S1475&gt;=m_From,S1475&lt;=m_To)),1,0)</f>
        <v/>
      </c>
      <c r="Y1475" s="36">
        <f>IF(AND(OR(sel_Region="All",C1475=sel_Region),OR(sel_Country="All",D1475=sel_Country),OR(sel_Channel="All",E1475=sel_Channel),OR(sel_Customer="All",F1475=sel_Customer),OR(sel_Product="All",H1475=sel_Product),AND(S1475&gt;=m_From,S1475&lt;=m_To)),1,0)</f>
        <v/>
      </c>
      <c r="Z1475" s="36">
        <f>IF(AND(OR(sel_Region="All",C1475=sel_Region),OR(sel_Country="All",D1475=sel_Country),OR(sel_Channel="All",E1475=sel_Channel),OR(sel_Customer="All",F1475=sel_Customer),OR(sel_Category="All",G1475=sel_Category),AND(S1475&gt;=m_From,S1475&lt;=m_To)),1,0)</f>
        <v/>
      </c>
      <c r="AA1475" s="36">
        <f>IF(AND(OR(sel_Region="All",C1475=sel_Region),OR(sel_Country="All",D1475=sel_Country),OR(sel_Channel="All",E1475=sel_Channel),OR(sel_Customer="All",F1475=sel_Customer),OR(sel_Category="All",G1475=sel_Category),OR(sel_Product="All",H1475=sel_Product)),1,0)</f>
        <v/>
      </c>
    </row>
    <row r="1476">
      <c r="A1476" s="36" t="inlineStr">
        <is>
          <t>02467</t>
        </is>
      </c>
      <c r="B1476" s="44" t="n">
        <v>46228</v>
      </c>
      <c r="C1476" s="36" t="inlineStr">
        <is>
          <t>Western Europe</t>
        </is>
      </c>
      <c r="D1476" s="36" t="inlineStr">
        <is>
          <t>Belgium</t>
        </is>
      </c>
      <c r="E1476" s="36" t="inlineStr">
        <is>
          <t>Retail Partners</t>
        </is>
      </c>
      <c r="F1476" s="36" t="inlineStr">
        <is>
          <t>Returning</t>
        </is>
      </c>
      <c r="G1476" s="36" t="inlineStr">
        <is>
          <t>Cycling</t>
        </is>
      </c>
      <c r="H1476" s="36" t="inlineStr">
        <is>
          <t>Trail Bike Light</t>
        </is>
      </c>
      <c r="I1476" s="36" t="n">
        <v>1</v>
      </c>
      <c r="J1476" s="39" t="n">
        <v>49.5</v>
      </c>
      <c r="K1476" s="45" t="n">
        <v>0</v>
      </c>
      <c r="L1476" s="39" t="n">
        <v>21.83</v>
      </c>
      <c r="M1476" s="39">
        <f>I1476*J1476*(1-K1476)</f>
        <v/>
      </c>
      <c r="N1476" s="39">
        <f>I1476*L1476</f>
        <v/>
      </c>
      <c r="O1476" s="39">
        <f>M1476-N1476</f>
        <v/>
      </c>
      <c r="P1476" s="38">
        <f>IF(M1476=0,0,O1476/M1476)</f>
        <v/>
      </c>
      <c r="Q1476" s="36">
        <f>YEAR(B1476)</f>
        <v/>
      </c>
      <c r="R1476" s="36">
        <f>"Q"&amp;ROUNDUP(MONTH(B1476)/3,0)</f>
        <v/>
      </c>
      <c r="S1476" s="36">
        <f>MONTH(B1476)</f>
        <v/>
      </c>
      <c r="T1476" s="36">
        <f>TEXT(B1476,"mmm")</f>
        <v/>
      </c>
      <c r="U1476" s="36">
        <f>IF(AND(OR(sel_Region="All",C1476=sel_Region),OR(sel_Country="All",D1476=sel_Country),OR(sel_Channel="All",E1476=sel_Channel),OR(sel_Customer="All",F1476=sel_Customer),OR(sel_Category="All",G1476=sel_Category),OR(sel_Product="All",H1476=sel_Product),AND(S1476&gt;=m_From,S1476&lt;=m_To)),1,0)</f>
        <v/>
      </c>
      <c r="V1476" s="36">
        <f>IF(AND(OR(sel_Region="All",C1476=sel_Region),OR(sel_Channel="All",E1476=sel_Channel),OR(sel_Customer="All",F1476=sel_Customer),OR(sel_Category="All",G1476=sel_Category),OR(sel_Product="All",H1476=sel_Product),AND(S1476&gt;=m_From,S1476&lt;=m_To)),1,0)</f>
        <v/>
      </c>
      <c r="W1476" s="36">
        <f>IF(AND(OR(sel_Region="All",C1476=sel_Region),OR(sel_Country="All",D1476=sel_Country),OR(sel_Customer="All",F1476=sel_Customer),OR(sel_Category="All",G1476=sel_Category),OR(sel_Product="All",H1476=sel_Product),AND(S1476&gt;=m_From,S1476&lt;=m_To)),1,0)</f>
        <v/>
      </c>
      <c r="X1476" s="36">
        <f>IF(AND(OR(sel_Region="All",C1476=sel_Region),OR(sel_Country="All",D1476=sel_Country),OR(sel_Channel="All",E1476=sel_Channel),OR(sel_Category="All",G1476=sel_Category),OR(sel_Product="All",H1476=sel_Product),AND(S1476&gt;=m_From,S1476&lt;=m_To)),1,0)</f>
        <v/>
      </c>
      <c r="Y1476" s="36">
        <f>IF(AND(OR(sel_Region="All",C1476=sel_Region),OR(sel_Country="All",D1476=sel_Country),OR(sel_Channel="All",E1476=sel_Channel),OR(sel_Customer="All",F1476=sel_Customer),OR(sel_Product="All",H1476=sel_Product),AND(S1476&gt;=m_From,S1476&lt;=m_To)),1,0)</f>
        <v/>
      </c>
      <c r="Z1476" s="36">
        <f>IF(AND(OR(sel_Region="All",C1476=sel_Region),OR(sel_Country="All",D1476=sel_Country),OR(sel_Channel="All",E1476=sel_Channel),OR(sel_Customer="All",F1476=sel_Customer),OR(sel_Category="All",G1476=sel_Category),AND(S1476&gt;=m_From,S1476&lt;=m_To)),1,0)</f>
        <v/>
      </c>
      <c r="AA1476" s="36">
        <f>IF(AND(OR(sel_Region="All",C1476=sel_Region),OR(sel_Country="All",D1476=sel_Country),OR(sel_Channel="All",E1476=sel_Channel),OR(sel_Customer="All",F1476=sel_Customer),OR(sel_Category="All",G1476=sel_Category),OR(sel_Product="All",H1476=sel_Product)),1,0)</f>
        <v/>
      </c>
    </row>
    <row r="1477">
      <c r="A1477" s="36" t="inlineStr">
        <is>
          <t>03710</t>
        </is>
      </c>
      <c r="B1477" s="44" t="n">
        <v>46228</v>
      </c>
      <c r="C1477" s="36" t="inlineStr">
        <is>
          <t>Western Europe</t>
        </is>
      </c>
      <c r="D1477" s="36" t="inlineStr">
        <is>
          <t>Netherlands</t>
        </is>
      </c>
      <c r="E1477" s="36" t="inlineStr">
        <is>
          <t>Online Store</t>
        </is>
      </c>
      <c r="F1477" s="36" t="inlineStr">
        <is>
          <t>New</t>
        </is>
      </c>
      <c r="G1477" s="36" t="inlineStr">
        <is>
          <t>Travel</t>
        </is>
      </c>
      <c r="H1477" s="36" t="inlineStr">
        <is>
          <t>Packing Cube Set</t>
        </is>
      </c>
      <c r="I1477" s="36" t="n">
        <v>2</v>
      </c>
      <c r="J1477" s="39" t="n">
        <v>46.48</v>
      </c>
      <c r="K1477" s="45" t="n">
        <v>0.05</v>
      </c>
      <c r="L1477" s="39" t="n">
        <v>18.76</v>
      </c>
      <c r="M1477" s="39">
        <f>I1477*J1477*(1-K1477)</f>
        <v/>
      </c>
      <c r="N1477" s="39">
        <f>I1477*L1477</f>
        <v/>
      </c>
      <c r="O1477" s="39">
        <f>M1477-N1477</f>
        <v/>
      </c>
      <c r="P1477" s="38">
        <f>IF(M1477=0,0,O1477/M1477)</f>
        <v/>
      </c>
      <c r="Q1477" s="36">
        <f>YEAR(B1477)</f>
        <v/>
      </c>
      <c r="R1477" s="36">
        <f>"Q"&amp;ROUNDUP(MONTH(B1477)/3,0)</f>
        <v/>
      </c>
      <c r="S1477" s="36">
        <f>MONTH(B1477)</f>
        <v/>
      </c>
      <c r="T1477" s="36">
        <f>TEXT(B1477,"mmm")</f>
        <v/>
      </c>
      <c r="U1477" s="36">
        <f>IF(AND(OR(sel_Region="All",C1477=sel_Region),OR(sel_Country="All",D1477=sel_Country),OR(sel_Channel="All",E1477=sel_Channel),OR(sel_Customer="All",F1477=sel_Customer),OR(sel_Category="All",G1477=sel_Category),OR(sel_Product="All",H1477=sel_Product),AND(S1477&gt;=m_From,S1477&lt;=m_To)),1,0)</f>
        <v/>
      </c>
      <c r="V1477" s="36">
        <f>IF(AND(OR(sel_Region="All",C1477=sel_Region),OR(sel_Channel="All",E1477=sel_Channel),OR(sel_Customer="All",F1477=sel_Customer),OR(sel_Category="All",G1477=sel_Category),OR(sel_Product="All",H1477=sel_Product),AND(S1477&gt;=m_From,S1477&lt;=m_To)),1,0)</f>
        <v/>
      </c>
      <c r="W1477" s="36">
        <f>IF(AND(OR(sel_Region="All",C1477=sel_Region),OR(sel_Country="All",D1477=sel_Country),OR(sel_Customer="All",F1477=sel_Customer),OR(sel_Category="All",G1477=sel_Category),OR(sel_Product="All",H1477=sel_Product),AND(S1477&gt;=m_From,S1477&lt;=m_To)),1,0)</f>
        <v/>
      </c>
      <c r="X1477" s="36">
        <f>IF(AND(OR(sel_Region="All",C1477=sel_Region),OR(sel_Country="All",D1477=sel_Country),OR(sel_Channel="All",E1477=sel_Channel),OR(sel_Category="All",G1477=sel_Category),OR(sel_Product="All",H1477=sel_Product),AND(S1477&gt;=m_From,S1477&lt;=m_To)),1,0)</f>
        <v/>
      </c>
      <c r="Y1477" s="36">
        <f>IF(AND(OR(sel_Region="All",C1477=sel_Region),OR(sel_Country="All",D1477=sel_Country),OR(sel_Channel="All",E1477=sel_Channel),OR(sel_Customer="All",F1477=sel_Customer),OR(sel_Product="All",H1477=sel_Product),AND(S1477&gt;=m_From,S1477&lt;=m_To)),1,0)</f>
        <v/>
      </c>
      <c r="Z1477" s="36">
        <f>IF(AND(OR(sel_Region="All",C1477=sel_Region),OR(sel_Country="All",D1477=sel_Country),OR(sel_Channel="All",E1477=sel_Channel),OR(sel_Customer="All",F1477=sel_Customer),OR(sel_Category="All",G1477=sel_Category),AND(S1477&gt;=m_From,S1477&lt;=m_To)),1,0)</f>
        <v/>
      </c>
      <c r="AA1477" s="36">
        <f>IF(AND(OR(sel_Region="All",C1477=sel_Region),OR(sel_Country="All",D1477=sel_Country),OR(sel_Channel="All",E1477=sel_Channel),OR(sel_Customer="All",F1477=sel_Customer),OR(sel_Category="All",G1477=sel_Category),OR(sel_Product="All",H1477=sel_Product)),1,0)</f>
        <v/>
      </c>
    </row>
    <row r="1478">
      <c r="A1478" s="36" t="inlineStr">
        <is>
          <t>03714</t>
        </is>
      </c>
      <c r="B1478" s="44" t="n">
        <v>46228</v>
      </c>
      <c r="C1478" s="36" t="inlineStr">
        <is>
          <t>Northern Europe</t>
        </is>
      </c>
      <c r="D1478" s="36" t="inlineStr">
        <is>
          <t>Sweden</t>
        </is>
      </c>
      <c r="E1478" s="36" t="inlineStr">
        <is>
          <t>Marketplace</t>
        </is>
      </c>
      <c r="F1478" s="36" t="inlineStr">
        <is>
          <t>Returning</t>
        </is>
      </c>
      <c r="G1478" s="36" t="inlineStr">
        <is>
          <t>Travel</t>
        </is>
      </c>
      <c r="H1478" s="36" t="inlineStr">
        <is>
          <t>Insulated Bottle</t>
        </is>
      </c>
      <c r="I1478" s="36" t="n">
        <v>1</v>
      </c>
      <c r="J1478" s="39" t="n">
        <v>36.91</v>
      </c>
      <c r="K1478" s="45" t="n">
        <v>0</v>
      </c>
      <c r="L1478" s="39" t="n">
        <v>13.56</v>
      </c>
      <c r="M1478" s="39">
        <f>I1478*J1478*(1-K1478)</f>
        <v/>
      </c>
      <c r="N1478" s="39">
        <f>I1478*L1478</f>
        <v/>
      </c>
      <c r="O1478" s="39">
        <f>M1478-N1478</f>
        <v/>
      </c>
      <c r="P1478" s="38">
        <f>IF(M1478=0,0,O1478/M1478)</f>
        <v/>
      </c>
      <c r="Q1478" s="36">
        <f>YEAR(B1478)</f>
        <v/>
      </c>
      <c r="R1478" s="36">
        <f>"Q"&amp;ROUNDUP(MONTH(B1478)/3,0)</f>
        <v/>
      </c>
      <c r="S1478" s="36">
        <f>MONTH(B1478)</f>
        <v/>
      </c>
      <c r="T1478" s="36">
        <f>TEXT(B1478,"mmm")</f>
        <v/>
      </c>
      <c r="U1478" s="36">
        <f>IF(AND(OR(sel_Region="All",C1478=sel_Region),OR(sel_Country="All",D1478=sel_Country),OR(sel_Channel="All",E1478=sel_Channel),OR(sel_Customer="All",F1478=sel_Customer),OR(sel_Category="All",G1478=sel_Category),OR(sel_Product="All",H1478=sel_Product),AND(S1478&gt;=m_From,S1478&lt;=m_To)),1,0)</f>
        <v/>
      </c>
      <c r="V1478" s="36">
        <f>IF(AND(OR(sel_Region="All",C1478=sel_Region),OR(sel_Channel="All",E1478=sel_Channel),OR(sel_Customer="All",F1478=sel_Customer),OR(sel_Category="All",G1478=sel_Category),OR(sel_Product="All",H1478=sel_Product),AND(S1478&gt;=m_From,S1478&lt;=m_To)),1,0)</f>
        <v/>
      </c>
      <c r="W1478" s="36">
        <f>IF(AND(OR(sel_Region="All",C1478=sel_Region),OR(sel_Country="All",D1478=sel_Country),OR(sel_Customer="All",F1478=sel_Customer),OR(sel_Category="All",G1478=sel_Category),OR(sel_Product="All",H1478=sel_Product),AND(S1478&gt;=m_From,S1478&lt;=m_To)),1,0)</f>
        <v/>
      </c>
      <c r="X1478" s="36">
        <f>IF(AND(OR(sel_Region="All",C1478=sel_Region),OR(sel_Country="All",D1478=sel_Country),OR(sel_Channel="All",E1478=sel_Channel),OR(sel_Category="All",G1478=sel_Category),OR(sel_Product="All",H1478=sel_Product),AND(S1478&gt;=m_From,S1478&lt;=m_To)),1,0)</f>
        <v/>
      </c>
      <c r="Y1478" s="36">
        <f>IF(AND(OR(sel_Region="All",C1478=sel_Region),OR(sel_Country="All",D1478=sel_Country),OR(sel_Channel="All",E1478=sel_Channel),OR(sel_Customer="All",F1478=sel_Customer),OR(sel_Product="All",H1478=sel_Product),AND(S1478&gt;=m_From,S1478&lt;=m_To)),1,0)</f>
        <v/>
      </c>
      <c r="Z1478" s="36">
        <f>IF(AND(OR(sel_Region="All",C1478=sel_Region),OR(sel_Country="All",D1478=sel_Country),OR(sel_Channel="All",E1478=sel_Channel),OR(sel_Customer="All",F1478=sel_Customer),OR(sel_Category="All",G1478=sel_Category),AND(S1478&gt;=m_From,S1478&lt;=m_To)),1,0)</f>
        <v/>
      </c>
      <c r="AA1478" s="36">
        <f>IF(AND(OR(sel_Region="All",C1478=sel_Region),OR(sel_Country="All",D1478=sel_Country),OR(sel_Channel="All",E1478=sel_Channel),OR(sel_Customer="All",F1478=sel_Customer),OR(sel_Category="All",G1478=sel_Category),OR(sel_Product="All",H1478=sel_Product)),1,0)</f>
        <v/>
      </c>
    </row>
    <row r="1479">
      <c r="A1479" s="36" t="inlineStr">
        <is>
          <t>03893</t>
        </is>
      </c>
      <c r="B1479" s="44" t="n">
        <v>46228</v>
      </c>
      <c r="C1479" s="36" t="inlineStr">
        <is>
          <t>Southern Europe</t>
        </is>
      </c>
      <c r="D1479" s="36" t="inlineStr">
        <is>
          <t>Spain</t>
        </is>
      </c>
      <c r="E1479" s="36" t="inlineStr">
        <is>
          <t>Online Store</t>
        </is>
      </c>
      <c r="F1479" s="36" t="inlineStr">
        <is>
          <t>Returning</t>
        </is>
      </c>
      <c r="G1479" s="36" t="inlineStr">
        <is>
          <t>Travel</t>
        </is>
      </c>
      <c r="H1479" s="36" t="inlineStr">
        <is>
          <t>Insulated Bottle</t>
        </is>
      </c>
      <c r="I1479" s="36" t="n">
        <v>1</v>
      </c>
      <c r="J1479" s="39" t="n">
        <v>35.6</v>
      </c>
      <c r="K1479" s="45" t="n">
        <v>0</v>
      </c>
      <c r="L1479" s="39" t="n">
        <v>13.91</v>
      </c>
      <c r="M1479" s="39">
        <f>I1479*J1479*(1-K1479)</f>
        <v/>
      </c>
      <c r="N1479" s="39">
        <f>I1479*L1479</f>
        <v/>
      </c>
      <c r="O1479" s="39">
        <f>M1479-N1479</f>
        <v/>
      </c>
      <c r="P1479" s="38">
        <f>IF(M1479=0,0,O1479/M1479)</f>
        <v/>
      </c>
      <c r="Q1479" s="36">
        <f>YEAR(B1479)</f>
        <v/>
      </c>
      <c r="R1479" s="36">
        <f>"Q"&amp;ROUNDUP(MONTH(B1479)/3,0)</f>
        <v/>
      </c>
      <c r="S1479" s="36">
        <f>MONTH(B1479)</f>
        <v/>
      </c>
      <c r="T1479" s="36">
        <f>TEXT(B1479,"mmm")</f>
        <v/>
      </c>
      <c r="U1479" s="36">
        <f>IF(AND(OR(sel_Region="All",C1479=sel_Region),OR(sel_Country="All",D1479=sel_Country),OR(sel_Channel="All",E1479=sel_Channel),OR(sel_Customer="All",F1479=sel_Customer),OR(sel_Category="All",G1479=sel_Category),OR(sel_Product="All",H1479=sel_Product),AND(S1479&gt;=m_From,S1479&lt;=m_To)),1,0)</f>
        <v/>
      </c>
      <c r="V1479" s="36">
        <f>IF(AND(OR(sel_Region="All",C1479=sel_Region),OR(sel_Channel="All",E1479=sel_Channel),OR(sel_Customer="All",F1479=sel_Customer),OR(sel_Category="All",G1479=sel_Category),OR(sel_Product="All",H1479=sel_Product),AND(S1479&gt;=m_From,S1479&lt;=m_To)),1,0)</f>
        <v/>
      </c>
      <c r="W1479" s="36">
        <f>IF(AND(OR(sel_Region="All",C1479=sel_Region),OR(sel_Country="All",D1479=sel_Country),OR(sel_Customer="All",F1479=sel_Customer),OR(sel_Category="All",G1479=sel_Category),OR(sel_Product="All",H1479=sel_Product),AND(S1479&gt;=m_From,S1479&lt;=m_To)),1,0)</f>
        <v/>
      </c>
      <c r="X1479" s="36">
        <f>IF(AND(OR(sel_Region="All",C1479=sel_Region),OR(sel_Country="All",D1479=sel_Country),OR(sel_Channel="All",E1479=sel_Channel),OR(sel_Category="All",G1479=sel_Category),OR(sel_Product="All",H1479=sel_Product),AND(S1479&gt;=m_From,S1479&lt;=m_To)),1,0)</f>
        <v/>
      </c>
      <c r="Y1479" s="36">
        <f>IF(AND(OR(sel_Region="All",C1479=sel_Region),OR(sel_Country="All",D1479=sel_Country),OR(sel_Channel="All",E1479=sel_Channel),OR(sel_Customer="All",F1479=sel_Customer),OR(sel_Product="All",H1479=sel_Product),AND(S1479&gt;=m_From,S1479&lt;=m_To)),1,0)</f>
        <v/>
      </c>
      <c r="Z1479" s="36">
        <f>IF(AND(OR(sel_Region="All",C1479=sel_Region),OR(sel_Country="All",D1479=sel_Country),OR(sel_Channel="All",E1479=sel_Channel),OR(sel_Customer="All",F1479=sel_Customer),OR(sel_Category="All",G1479=sel_Category),AND(S1479&gt;=m_From,S1479&lt;=m_To)),1,0)</f>
        <v/>
      </c>
      <c r="AA1479" s="36">
        <f>IF(AND(OR(sel_Region="All",C1479=sel_Region),OR(sel_Country="All",D1479=sel_Country),OR(sel_Channel="All",E1479=sel_Channel),OR(sel_Customer="All",F1479=sel_Customer),OR(sel_Category="All",G1479=sel_Category),OR(sel_Product="All",H1479=sel_Product)),1,0)</f>
        <v/>
      </c>
    </row>
    <row r="1480">
      <c r="A1480" s="36" t="inlineStr">
        <is>
          <t>04136</t>
        </is>
      </c>
      <c r="B1480" s="44" t="n">
        <v>46228</v>
      </c>
      <c r="C1480" s="36" t="inlineStr">
        <is>
          <t>Central Europe</t>
        </is>
      </c>
      <c r="D1480" s="36" t="inlineStr">
        <is>
          <t>Switzerland</t>
        </is>
      </c>
      <c r="E1480" s="36" t="inlineStr">
        <is>
          <t>Retail Partners</t>
        </is>
      </c>
      <c r="F1480" s="36" t="inlineStr">
        <is>
          <t>New</t>
        </is>
      </c>
      <c r="G1480" s="36" t="inlineStr">
        <is>
          <t>Cycling</t>
        </is>
      </c>
      <c r="H1480" s="36" t="inlineStr">
        <is>
          <t>Commuter Helmet</t>
        </is>
      </c>
      <c r="I1480" s="36" t="n">
        <v>2</v>
      </c>
      <c r="J1480" s="39" t="n">
        <v>80.25</v>
      </c>
      <c r="K1480" s="45" t="n">
        <v>0.05</v>
      </c>
      <c r="L1480" s="39" t="n">
        <v>42.39</v>
      </c>
      <c r="M1480" s="39">
        <f>I1480*J1480*(1-K1480)</f>
        <v/>
      </c>
      <c r="N1480" s="39">
        <f>I1480*L1480</f>
        <v/>
      </c>
      <c r="O1480" s="39">
        <f>M1480-N1480</f>
        <v/>
      </c>
      <c r="P1480" s="38">
        <f>IF(M1480=0,0,O1480/M1480)</f>
        <v/>
      </c>
      <c r="Q1480" s="36">
        <f>YEAR(B1480)</f>
        <v/>
      </c>
      <c r="R1480" s="36">
        <f>"Q"&amp;ROUNDUP(MONTH(B1480)/3,0)</f>
        <v/>
      </c>
      <c r="S1480" s="36">
        <f>MONTH(B1480)</f>
        <v/>
      </c>
      <c r="T1480" s="36">
        <f>TEXT(B1480,"mmm")</f>
        <v/>
      </c>
      <c r="U1480" s="36">
        <f>IF(AND(OR(sel_Region="All",C1480=sel_Region),OR(sel_Country="All",D1480=sel_Country),OR(sel_Channel="All",E1480=sel_Channel),OR(sel_Customer="All",F1480=sel_Customer),OR(sel_Category="All",G1480=sel_Category),OR(sel_Product="All",H1480=sel_Product),AND(S1480&gt;=m_From,S1480&lt;=m_To)),1,0)</f>
        <v/>
      </c>
      <c r="V1480" s="36">
        <f>IF(AND(OR(sel_Region="All",C1480=sel_Region),OR(sel_Channel="All",E1480=sel_Channel),OR(sel_Customer="All",F1480=sel_Customer),OR(sel_Category="All",G1480=sel_Category),OR(sel_Product="All",H1480=sel_Product),AND(S1480&gt;=m_From,S1480&lt;=m_To)),1,0)</f>
        <v/>
      </c>
      <c r="W1480" s="36">
        <f>IF(AND(OR(sel_Region="All",C1480=sel_Region),OR(sel_Country="All",D1480=sel_Country),OR(sel_Customer="All",F1480=sel_Customer),OR(sel_Category="All",G1480=sel_Category),OR(sel_Product="All",H1480=sel_Product),AND(S1480&gt;=m_From,S1480&lt;=m_To)),1,0)</f>
        <v/>
      </c>
      <c r="X1480" s="36">
        <f>IF(AND(OR(sel_Region="All",C1480=sel_Region),OR(sel_Country="All",D1480=sel_Country),OR(sel_Channel="All",E1480=sel_Channel),OR(sel_Category="All",G1480=sel_Category),OR(sel_Product="All",H1480=sel_Product),AND(S1480&gt;=m_From,S1480&lt;=m_To)),1,0)</f>
        <v/>
      </c>
      <c r="Y1480" s="36">
        <f>IF(AND(OR(sel_Region="All",C1480=sel_Region),OR(sel_Country="All",D1480=sel_Country),OR(sel_Channel="All",E1480=sel_Channel),OR(sel_Customer="All",F1480=sel_Customer),OR(sel_Product="All",H1480=sel_Product),AND(S1480&gt;=m_From,S1480&lt;=m_To)),1,0)</f>
        <v/>
      </c>
      <c r="Z1480" s="36">
        <f>IF(AND(OR(sel_Region="All",C1480=sel_Region),OR(sel_Country="All",D1480=sel_Country),OR(sel_Channel="All",E1480=sel_Channel),OR(sel_Customer="All",F1480=sel_Customer),OR(sel_Category="All",G1480=sel_Category),AND(S1480&gt;=m_From,S1480&lt;=m_To)),1,0)</f>
        <v/>
      </c>
      <c r="AA1480" s="36">
        <f>IF(AND(OR(sel_Region="All",C1480=sel_Region),OR(sel_Country="All",D1480=sel_Country),OR(sel_Channel="All",E1480=sel_Channel),OR(sel_Customer="All",F1480=sel_Customer),OR(sel_Category="All",G1480=sel_Category),OR(sel_Product="All",H1480=sel_Product)),1,0)</f>
        <v/>
      </c>
    </row>
    <row r="1481">
      <c r="A1481" s="36" t="inlineStr">
        <is>
          <t>04212</t>
        </is>
      </c>
      <c r="B1481" s="44" t="n">
        <v>46228</v>
      </c>
      <c r="C1481" s="36" t="inlineStr">
        <is>
          <t>Southern Europe</t>
        </is>
      </c>
      <c r="D1481" s="36" t="inlineStr">
        <is>
          <t>Spain</t>
        </is>
      </c>
      <c r="E1481" s="36" t="inlineStr">
        <is>
          <t>Marketplace</t>
        </is>
      </c>
      <c r="F1481" s="36" t="inlineStr">
        <is>
          <t>Returning</t>
        </is>
      </c>
      <c r="G1481" s="36" t="inlineStr">
        <is>
          <t>Travel</t>
        </is>
      </c>
      <c r="H1481" s="36" t="inlineStr">
        <is>
          <t>Packing Cube Set</t>
        </is>
      </c>
      <c r="I1481" s="36" t="n">
        <v>2</v>
      </c>
      <c r="J1481" s="39" t="n">
        <v>47.52</v>
      </c>
      <c r="K1481" s="45" t="n">
        <v>0.1</v>
      </c>
      <c r="L1481" s="39" t="n">
        <v>17.86</v>
      </c>
      <c r="M1481" s="39">
        <f>I1481*J1481*(1-K1481)</f>
        <v/>
      </c>
      <c r="N1481" s="39">
        <f>I1481*L1481</f>
        <v/>
      </c>
      <c r="O1481" s="39">
        <f>M1481-N1481</f>
        <v/>
      </c>
      <c r="P1481" s="38">
        <f>IF(M1481=0,0,O1481/M1481)</f>
        <v/>
      </c>
      <c r="Q1481" s="36">
        <f>YEAR(B1481)</f>
        <v/>
      </c>
      <c r="R1481" s="36">
        <f>"Q"&amp;ROUNDUP(MONTH(B1481)/3,0)</f>
        <v/>
      </c>
      <c r="S1481" s="36">
        <f>MONTH(B1481)</f>
        <v/>
      </c>
      <c r="T1481" s="36">
        <f>TEXT(B1481,"mmm")</f>
        <v/>
      </c>
      <c r="U1481" s="36">
        <f>IF(AND(OR(sel_Region="All",C1481=sel_Region),OR(sel_Country="All",D1481=sel_Country),OR(sel_Channel="All",E1481=sel_Channel),OR(sel_Customer="All",F1481=sel_Customer),OR(sel_Category="All",G1481=sel_Category),OR(sel_Product="All",H1481=sel_Product),AND(S1481&gt;=m_From,S1481&lt;=m_To)),1,0)</f>
        <v/>
      </c>
      <c r="V1481" s="36">
        <f>IF(AND(OR(sel_Region="All",C1481=sel_Region),OR(sel_Channel="All",E1481=sel_Channel),OR(sel_Customer="All",F1481=sel_Customer),OR(sel_Category="All",G1481=sel_Category),OR(sel_Product="All",H1481=sel_Product),AND(S1481&gt;=m_From,S1481&lt;=m_To)),1,0)</f>
        <v/>
      </c>
      <c r="W1481" s="36">
        <f>IF(AND(OR(sel_Region="All",C1481=sel_Region),OR(sel_Country="All",D1481=sel_Country),OR(sel_Customer="All",F1481=sel_Customer),OR(sel_Category="All",G1481=sel_Category),OR(sel_Product="All",H1481=sel_Product),AND(S1481&gt;=m_From,S1481&lt;=m_To)),1,0)</f>
        <v/>
      </c>
      <c r="X1481" s="36">
        <f>IF(AND(OR(sel_Region="All",C1481=sel_Region),OR(sel_Country="All",D1481=sel_Country),OR(sel_Channel="All",E1481=sel_Channel),OR(sel_Category="All",G1481=sel_Category),OR(sel_Product="All",H1481=sel_Product),AND(S1481&gt;=m_From,S1481&lt;=m_To)),1,0)</f>
        <v/>
      </c>
      <c r="Y1481" s="36">
        <f>IF(AND(OR(sel_Region="All",C1481=sel_Region),OR(sel_Country="All",D1481=sel_Country),OR(sel_Channel="All",E1481=sel_Channel),OR(sel_Customer="All",F1481=sel_Customer),OR(sel_Product="All",H1481=sel_Product),AND(S1481&gt;=m_From,S1481&lt;=m_To)),1,0)</f>
        <v/>
      </c>
      <c r="Z1481" s="36">
        <f>IF(AND(OR(sel_Region="All",C1481=sel_Region),OR(sel_Country="All",D1481=sel_Country),OR(sel_Channel="All",E1481=sel_Channel),OR(sel_Customer="All",F1481=sel_Customer),OR(sel_Category="All",G1481=sel_Category),AND(S1481&gt;=m_From,S1481&lt;=m_To)),1,0)</f>
        <v/>
      </c>
      <c r="AA1481" s="36">
        <f>IF(AND(OR(sel_Region="All",C1481=sel_Region),OR(sel_Country="All",D1481=sel_Country),OR(sel_Channel="All",E1481=sel_Channel),OR(sel_Customer="All",F1481=sel_Customer),OR(sel_Category="All",G1481=sel_Category),OR(sel_Product="All",H1481=sel_Product)),1,0)</f>
        <v/>
      </c>
    </row>
    <row r="1482">
      <c r="A1482" s="36" t="inlineStr">
        <is>
          <t>04332</t>
        </is>
      </c>
      <c r="B1482" s="44" t="n">
        <v>46228</v>
      </c>
      <c r="C1482" s="36" t="inlineStr">
        <is>
          <t>Western Europe</t>
        </is>
      </c>
      <c r="D1482" s="36" t="inlineStr">
        <is>
          <t>France</t>
        </is>
      </c>
      <c r="E1482" s="36" t="inlineStr">
        <is>
          <t>Online Store</t>
        </is>
      </c>
      <c r="F1482" s="36" t="inlineStr">
        <is>
          <t>New</t>
        </is>
      </c>
      <c r="G1482" s="36" t="inlineStr">
        <is>
          <t>Travel</t>
        </is>
      </c>
      <c r="H1482" s="36" t="inlineStr">
        <is>
          <t>Travel Backpack 35L</t>
        </is>
      </c>
      <c r="I1482" s="36" t="n">
        <v>2</v>
      </c>
      <c r="J1482" s="39" t="n">
        <v>164.58</v>
      </c>
      <c r="K1482" s="45" t="n">
        <v>0.1</v>
      </c>
      <c r="L1482" s="39" t="n">
        <v>86.55</v>
      </c>
      <c r="M1482" s="39">
        <f>I1482*J1482*(1-K1482)</f>
        <v/>
      </c>
      <c r="N1482" s="39">
        <f>I1482*L1482</f>
        <v/>
      </c>
      <c r="O1482" s="39">
        <f>M1482-N1482</f>
        <v/>
      </c>
      <c r="P1482" s="38">
        <f>IF(M1482=0,0,O1482/M1482)</f>
        <v/>
      </c>
      <c r="Q1482" s="36">
        <f>YEAR(B1482)</f>
        <v/>
      </c>
      <c r="R1482" s="36">
        <f>"Q"&amp;ROUNDUP(MONTH(B1482)/3,0)</f>
        <v/>
      </c>
      <c r="S1482" s="36">
        <f>MONTH(B1482)</f>
        <v/>
      </c>
      <c r="T1482" s="36">
        <f>TEXT(B1482,"mmm")</f>
        <v/>
      </c>
      <c r="U1482" s="36">
        <f>IF(AND(OR(sel_Region="All",C1482=sel_Region),OR(sel_Country="All",D1482=sel_Country),OR(sel_Channel="All",E1482=sel_Channel),OR(sel_Customer="All",F1482=sel_Customer),OR(sel_Category="All",G1482=sel_Category),OR(sel_Product="All",H1482=sel_Product),AND(S1482&gt;=m_From,S1482&lt;=m_To)),1,0)</f>
        <v/>
      </c>
      <c r="V1482" s="36">
        <f>IF(AND(OR(sel_Region="All",C1482=sel_Region),OR(sel_Channel="All",E1482=sel_Channel),OR(sel_Customer="All",F1482=sel_Customer),OR(sel_Category="All",G1482=sel_Category),OR(sel_Product="All",H1482=sel_Product),AND(S1482&gt;=m_From,S1482&lt;=m_To)),1,0)</f>
        <v/>
      </c>
      <c r="W1482" s="36">
        <f>IF(AND(OR(sel_Region="All",C1482=sel_Region),OR(sel_Country="All",D1482=sel_Country),OR(sel_Customer="All",F1482=sel_Customer),OR(sel_Category="All",G1482=sel_Category),OR(sel_Product="All",H1482=sel_Product),AND(S1482&gt;=m_From,S1482&lt;=m_To)),1,0)</f>
        <v/>
      </c>
      <c r="X1482" s="36">
        <f>IF(AND(OR(sel_Region="All",C1482=sel_Region),OR(sel_Country="All",D1482=sel_Country),OR(sel_Channel="All",E1482=sel_Channel),OR(sel_Category="All",G1482=sel_Category),OR(sel_Product="All",H1482=sel_Product),AND(S1482&gt;=m_From,S1482&lt;=m_To)),1,0)</f>
        <v/>
      </c>
      <c r="Y1482" s="36">
        <f>IF(AND(OR(sel_Region="All",C1482=sel_Region),OR(sel_Country="All",D1482=sel_Country),OR(sel_Channel="All",E1482=sel_Channel),OR(sel_Customer="All",F1482=sel_Customer),OR(sel_Product="All",H1482=sel_Product),AND(S1482&gt;=m_From,S1482&lt;=m_To)),1,0)</f>
        <v/>
      </c>
      <c r="Z1482" s="36">
        <f>IF(AND(OR(sel_Region="All",C1482=sel_Region),OR(sel_Country="All",D1482=sel_Country),OR(sel_Channel="All",E1482=sel_Channel),OR(sel_Customer="All",F1482=sel_Customer),OR(sel_Category="All",G1482=sel_Category),AND(S1482&gt;=m_From,S1482&lt;=m_To)),1,0)</f>
        <v/>
      </c>
      <c r="AA1482" s="36">
        <f>IF(AND(OR(sel_Region="All",C1482=sel_Region),OR(sel_Country="All",D1482=sel_Country),OR(sel_Channel="All",E1482=sel_Channel),OR(sel_Customer="All",F1482=sel_Customer),OR(sel_Category="All",G1482=sel_Category),OR(sel_Product="All",H1482=sel_Product)),1,0)</f>
        <v/>
      </c>
    </row>
    <row r="1483">
      <c r="A1483" s="36" t="inlineStr">
        <is>
          <t>00702</t>
        </is>
      </c>
      <c r="B1483" s="44" t="n">
        <v>46229</v>
      </c>
      <c r="C1483" s="36" t="inlineStr">
        <is>
          <t>Southern Europe</t>
        </is>
      </c>
      <c r="D1483" s="36" t="inlineStr">
        <is>
          <t>Portugal</t>
        </is>
      </c>
      <c r="E1483" s="36" t="inlineStr">
        <is>
          <t>Online Store</t>
        </is>
      </c>
      <c r="F1483" s="36" t="inlineStr">
        <is>
          <t>New</t>
        </is>
      </c>
      <c r="G1483" s="36" t="inlineStr">
        <is>
          <t>Cycling</t>
        </is>
      </c>
      <c r="H1483" s="36" t="inlineStr">
        <is>
          <t>Compact Repair Kit</t>
        </is>
      </c>
      <c r="I1483" s="36" t="n">
        <v>1</v>
      </c>
      <c r="J1483" s="39" t="n">
        <v>39.99</v>
      </c>
      <c r="K1483" s="45" t="n">
        <v>0.05</v>
      </c>
      <c r="L1483" s="39" t="n">
        <v>16.74</v>
      </c>
      <c r="M1483" s="39">
        <f>I1483*J1483*(1-K1483)</f>
        <v/>
      </c>
      <c r="N1483" s="39">
        <f>I1483*L1483</f>
        <v/>
      </c>
      <c r="O1483" s="39">
        <f>M1483-N1483</f>
        <v/>
      </c>
      <c r="P1483" s="38">
        <f>IF(M1483=0,0,O1483/M1483)</f>
        <v/>
      </c>
      <c r="Q1483" s="36">
        <f>YEAR(B1483)</f>
        <v/>
      </c>
      <c r="R1483" s="36">
        <f>"Q"&amp;ROUNDUP(MONTH(B1483)/3,0)</f>
        <v/>
      </c>
      <c r="S1483" s="36">
        <f>MONTH(B1483)</f>
        <v/>
      </c>
      <c r="T1483" s="36">
        <f>TEXT(B1483,"mmm")</f>
        <v/>
      </c>
      <c r="U1483" s="36">
        <f>IF(AND(OR(sel_Region="All",C1483=sel_Region),OR(sel_Country="All",D1483=sel_Country),OR(sel_Channel="All",E1483=sel_Channel),OR(sel_Customer="All",F1483=sel_Customer),OR(sel_Category="All",G1483=sel_Category),OR(sel_Product="All",H1483=sel_Product),AND(S1483&gt;=m_From,S1483&lt;=m_To)),1,0)</f>
        <v/>
      </c>
      <c r="V1483" s="36">
        <f>IF(AND(OR(sel_Region="All",C1483=sel_Region),OR(sel_Channel="All",E1483=sel_Channel),OR(sel_Customer="All",F1483=sel_Customer),OR(sel_Category="All",G1483=sel_Category),OR(sel_Product="All",H1483=sel_Product),AND(S1483&gt;=m_From,S1483&lt;=m_To)),1,0)</f>
        <v/>
      </c>
      <c r="W1483" s="36">
        <f>IF(AND(OR(sel_Region="All",C1483=sel_Region),OR(sel_Country="All",D1483=sel_Country),OR(sel_Customer="All",F1483=sel_Customer),OR(sel_Category="All",G1483=sel_Category),OR(sel_Product="All",H1483=sel_Product),AND(S1483&gt;=m_From,S1483&lt;=m_To)),1,0)</f>
        <v/>
      </c>
      <c r="X1483" s="36">
        <f>IF(AND(OR(sel_Region="All",C1483=sel_Region),OR(sel_Country="All",D1483=sel_Country),OR(sel_Channel="All",E1483=sel_Channel),OR(sel_Category="All",G1483=sel_Category),OR(sel_Product="All",H1483=sel_Product),AND(S1483&gt;=m_From,S1483&lt;=m_To)),1,0)</f>
        <v/>
      </c>
      <c r="Y1483" s="36">
        <f>IF(AND(OR(sel_Region="All",C1483=sel_Region),OR(sel_Country="All",D1483=sel_Country),OR(sel_Channel="All",E1483=sel_Channel),OR(sel_Customer="All",F1483=sel_Customer),OR(sel_Product="All",H1483=sel_Product),AND(S1483&gt;=m_From,S1483&lt;=m_To)),1,0)</f>
        <v/>
      </c>
      <c r="Z1483" s="36">
        <f>IF(AND(OR(sel_Region="All",C1483=sel_Region),OR(sel_Country="All",D1483=sel_Country),OR(sel_Channel="All",E1483=sel_Channel),OR(sel_Customer="All",F1483=sel_Customer),OR(sel_Category="All",G1483=sel_Category),AND(S1483&gt;=m_From,S1483&lt;=m_To)),1,0)</f>
        <v/>
      </c>
      <c r="AA1483" s="36">
        <f>IF(AND(OR(sel_Region="All",C1483=sel_Region),OR(sel_Country="All",D1483=sel_Country),OR(sel_Channel="All",E1483=sel_Channel),OR(sel_Customer="All",F1483=sel_Customer),OR(sel_Category="All",G1483=sel_Category),OR(sel_Product="All",H1483=sel_Product)),1,0)</f>
        <v/>
      </c>
    </row>
    <row r="1484">
      <c r="A1484" s="36" t="inlineStr">
        <is>
          <t>01223</t>
        </is>
      </c>
      <c r="B1484" s="44" t="n">
        <v>46229</v>
      </c>
      <c r="C1484" s="36" t="inlineStr">
        <is>
          <t>Central Europe</t>
        </is>
      </c>
      <c r="D1484" s="36" t="inlineStr">
        <is>
          <t>Germany</t>
        </is>
      </c>
      <c r="E1484" s="36" t="inlineStr">
        <is>
          <t>Retail Partners</t>
        </is>
      </c>
      <c r="F1484" s="36" t="inlineStr">
        <is>
          <t>New</t>
        </is>
      </c>
      <c r="G1484" s="36" t="inlineStr">
        <is>
          <t>Hiking</t>
        </is>
      </c>
      <c r="H1484" s="36" t="inlineStr">
        <is>
          <t>Trail Boots</t>
        </is>
      </c>
      <c r="I1484" s="36" t="n">
        <v>1</v>
      </c>
      <c r="J1484" s="39" t="n">
        <v>140.44</v>
      </c>
      <c r="K1484" s="45" t="n">
        <v>0</v>
      </c>
      <c r="L1484" s="39" t="n">
        <v>77.08</v>
      </c>
      <c r="M1484" s="39">
        <f>I1484*J1484*(1-K1484)</f>
        <v/>
      </c>
      <c r="N1484" s="39">
        <f>I1484*L1484</f>
        <v/>
      </c>
      <c r="O1484" s="39">
        <f>M1484-N1484</f>
        <v/>
      </c>
      <c r="P1484" s="38">
        <f>IF(M1484=0,0,O1484/M1484)</f>
        <v/>
      </c>
      <c r="Q1484" s="36">
        <f>YEAR(B1484)</f>
        <v/>
      </c>
      <c r="R1484" s="36">
        <f>"Q"&amp;ROUNDUP(MONTH(B1484)/3,0)</f>
        <v/>
      </c>
      <c r="S1484" s="36">
        <f>MONTH(B1484)</f>
        <v/>
      </c>
      <c r="T1484" s="36">
        <f>TEXT(B1484,"mmm")</f>
        <v/>
      </c>
      <c r="U1484" s="36">
        <f>IF(AND(OR(sel_Region="All",C1484=sel_Region),OR(sel_Country="All",D1484=sel_Country),OR(sel_Channel="All",E1484=sel_Channel),OR(sel_Customer="All",F1484=sel_Customer),OR(sel_Category="All",G1484=sel_Category),OR(sel_Product="All",H1484=sel_Product),AND(S1484&gt;=m_From,S1484&lt;=m_To)),1,0)</f>
        <v/>
      </c>
      <c r="V1484" s="36">
        <f>IF(AND(OR(sel_Region="All",C1484=sel_Region),OR(sel_Channel="All",E1484=sel_Channel),OR(sel_Customer="All",F1484=sel_Customer),OR(sel_Category="All",G1484=sel_Category),OR(sel_Product="All",H1484=sel_Product),AND(S1484&gt;=m_From,S1484&lt;=m_To)),1,0)</f>
        <v/>
      </c>
      <c r="W1484" s="36">
        <f>IF(AND(OR(sel_Region="All",C1484=sel_Region),OR(sel_Country="All",D1484=sel_Country),OR(sel_Customer="All",F1484=sel_Customer),OR(sel_Category="All",G1484=sel_Category),OR(sel_Product="All",H1484=sel_Product),AND(S1484&gt;=m_From,S1484&lt;=m_To)),1,0)</f>
        <v/>
      </c>
      <c r="X1484" s="36">
        <f>IF(AND(OR(sel_Region="All",C1484=sel_Region),OR(sel_Country="All",D1484=sel_Country),OR(sel_Channel="All",E1484=sel_Channel),OR(sel_Category="All",G1484=sel_Category),OR(sel_Product="All",H1484=sel_Product),AND(S1484&gt;=m_From,S1484&lt;=m_To)),1,0)</f>
        <v/>
      </c>
      <c r="Y1484" s="36">
        <f>IF(AND(OR(sel_Region="All",C1484=sel_Region),OR(sel_Country="All",D1484=sel_Country),OR(sel_Channel="All",E1484=sel_Channel),OR(sel_Customer="All",F1484=sel_Customer),OR(sel_Product="All",H1484=sel_Product),AND(S1484&gt;=m_From,S1484&lt;=m_To)),1,0)</f>
        <v/>
      </c>
      <c r="Z1484" s="36">
        <f>IF(AND(OR(sel_Region="All",C1484=sel_Region),OR(sel_Country="All",D1484=sel_Country),OR(sel_Channel="All",E1484=sel_Channel),OR(sel_Customer="All",F1484=sel_Customer),OR(sel_Category="All",G1484=sel_Category),AND(S1484&gt;=m_From,S1484&lt;=m_To)),1,0)</f>
        <v/>
      </c>
      <c r="AA1484" s="36">
        <f>IF(AND(OR(sel_Region="All",C1484=sel_Region),OR(sel_Country="All",D1484=sel_Country),OR(sel_Channel="All",E1484=sel_Channel),OR(sel_Customer="All",F1484=sel_Customer),OR(sel_Category="All",G1484=sel_Category),OR(sel_Product="All",H1484=sel_Product)),1,0)</f>
        <v/>
      </c>
    </row>
    <row r="1485">
      <c r="A1485" s="36" t="inlineStr">
        <is>
          <t>01370</t>
        </is>
      </c>
      <c r="B1485" s="44" t="n">
        <v>46229</v>
      </c>
      <c r="C1485" s="36" t="inlineStr">
        <is>
          <t>Northern Europe</t>
        </is>
      </c>
      <c r="D1485" s="36" t="inlineStr">
        <is>
          <t>Finland</t>
        </is>
      </c>
      <c r="E1485" s="36" t="inlineStr">
        <is>
          <t>Marketplace</t>
        </is>
      </c>
      <c r="F1485" s="36" t="inlineStr">
        <is>
          <t>New</t>
        </is>
      </c>
      <c r="G1485" s="36" t="inlineStr">
        <is>
          <t>Fitness</t>
        </is>
      </c>
      <c r="H1485" s="36" t="inlineStr">
        <is>
          <t>Weighted Vest</t>
        </is>
      </c>
      <c r="I1485" s="36" t="n">
        <v>2</v>
      </c>
      <c r="J1485" s="39" t="n">
        <v>123.73</v>
      </c>
      <c r="K1485" s="45" t="n">
        <v>0.05</v>
      </c>
      <c r="L1485" s="39" t="n">
        <v>68.22</v>
      </c>
      <c r="M1485" s="39">
        <f>I1485*J1485*(1-K1485)</f>
        <v/>
      </c>
      <c r="N1485" s="39">
        <f>I1485*L1485</f>
        <v/>
      </c>
      <c r="O1485" s="39">
        <f>M1485-N1485</f>
        <v/>
      </c>
      <c r="P1485" s="38">
        <f>IF(M1485=0,0,O1485/M1485)</f>
        <v/>
      </c>
      <c r="Q1485" s="36">
        <f>YEAR(B1485)</f>
        <v/>
      </c>
      <c r="R1485" s="36">
        <f>"Q"&amp;ROUNDUP(MONTH(B1485)/3,0)</f>
        <v/>
      </c>
      <c r="S1485" s="36">
        <f>MONTH(B1485)</f>
        <v/>
      </c>
      <c r="T1485" s="36">
        <f>TEXT(B1485,"mmm")</f>
        <v/>
      </c>
      <c r="U1485" s="36">
        <f>IF(AND(OR(sel_Region="All",C1485=sel_Region),OR(sel_Country="All",D1485=sel_Country),OR(sel_Channel="All",E1485=sel_Channel),OR(sel_Customer="All",F1485=sel_Customer),OR(sel_Category="All",G1485=sel_Category),OR(sel_Product="All",H1485=sel_Product),AND(S1485&gt;=m_From,S1485&lt;=m_To)),1,0)</f>
        <v/>
      </c>
      <c r="V1485" s="36">
        <f>IF(AND(OR(sel_Region="All",C1485=sel_Region),OR(sel_Channel="All",E1485=sel_Channel),OR(sel_Customer="All",F1485=sel_Customer),OR(sel_Category="All",G1485=sel_Category),OR(sel_Product="All",H1485=sel_Product),AND(S1485&gt;=m_From,S1485&lt;=m_To)),1,0)</f>
        <v/>
      </c>
      <c r="W1485" s="36">
        <f>IF(AND(OR(sel_Region="All",C1485=sel_Region),OR(sel_Country="All",D1485=sel_Country),OR(sel_Customer="All",F1485=sel_Customer),OR(sel_Category="All",G1485=sel_Category),OR(sel_Product="All",H1485=sel_Product),AND(S1485&gt;=m_From,S1485&lt;=m_To)),1,0)</f>
        <v/>
      </c>
      <c r="X1485" s="36">
        <f>IF(AND(OR(sel_Region="All",C1485=sel_Region),OR(sel_Country="All",D1485=sel_Country),OR(sel_Channel="All",E1485=sel_Channel),OR(sel_Category="All",G1485=sel_Category),OR(sel_Product="All",H1485=sel_Product),AND(S1485&gt;=m_From,S1485&lt;=m_To)),1,0)</f>
        <v/>
      </c>
      <c r="Y1485" s="36">
        <f>IF(AND(OR(sel_Region="All",C1485=sel_Region),OR(sel_Country="All",D1485=sel_Country),OR(sel_Channel="All",E1485=sel_Channel),OR(sel_Customer="All",F1485=sel_Customer),OR(sel_Product="All",H1485=sel_Product),AND(S1485&gt;=m_From,S1485&lt;=m_To)),1,0)</f>
        <v/>
      </c>
      <c r="Z1485" s="36">
        <f>IF(AND(OR(sel_Region="All",C1485=sel_Region),OR(sel_Country="All",D1485=sel_Country),OR(sel_Channel="All",E1485=sel_Channel),OR(sel_Customer="All",F1485=sel_Customer),OR(sel_Category="All",G1485=sel_Category),AND(S1485&gt;=m_From,S1485&lt;=m_To)),1,0)</f>
        <v/>
      </c>
      <c r="AA1485" s="36">
        <f>IF(AND(OR(sel_Region="All",C1485=sel_Region),OR(sel_Country="All",D1485=sel_Country),OR(sel_Channel="All",E1485=sel_Channel),OR(sel_Customer="All",F1485=sel_Customer),OR(sel_Category="All",G1485=sel_Category),OR(sel_Product="All",H1485=sel_Product)),1,0)</f>
        <v/>
      </c>
    </row>
    <row r="1486">
      <c r="A1486" s="36" t="inlineStr">
        <is>
          <t>03476</t>
        </is>
      </c>
      <c r="B1486" s="44" t="n">
        <v>46229</v>
      </c>
      <c r="C1486" s="36" t="inlineStr">
        <is>
          <t>Western Europe</t>
        </is>
      </c>
      <c r="D1486" s="36" t="inlineStr">
        <is>
          <t>France</t>
        </is>
      </c>
      <c r="E1486" s="36" t="inlineStr">
        <is>
          <t>Corporate</t>
        </is>
      </c>
      <c r="F1486" s="36" t="inlineStr">
        <is>
          <t>New</t>
        </is>
      </c>
      <c r="G1486" s="36" t="inlineStr">
        <is>
          <t>Travel</t>
        </is>
      </c>
      <c r="H1486" s="36" t="inlineStr">
        <is>
          <t>Carry-On Duffel</t>
        </is>
      </c>
      <c r="I1486" s="36" t="n">
        <v>3</v>
      </c>
      <c r="J1486" s="39" t="n">
        <v>132.68</v>
      </c>
      <c r="K1486" s="45" t="n">
        <v>0.15</v>
      </c>
      <c r="L1486" s="39" t="n">
        <v>67.38</v>
      </c>
      <c r="M1486" s="39">
        <f>I1486*J1486*(1-K1486)</f>
        <v/>
      </c>
      <c r="N1486" s="39">
        <f>I1486*L1486</f>
        <v/>
      </c>
      <c r="O1486" s="39">
        <f>M1486-N1486</f>
        <v/>
      </c>
      <c r="P1486" s="38">
        <f>IF(M1486=0,0,O1486/M1486)</f>
        <v/>
      </c>
      <c r="Q1486" s="36">
        <f>YEAR(B1486)</f>
        <v/>
      </c>
      <c r="R1486" s="36">
        <f>"Q"&amp;ROUNDUP(MONTH(B1486)/3,0)</f>
        <v/>
      </c>
      <c r="S1486" s="36">
        <f>MONTH(B1486)</f>
        <v/>
      </c>
      <c r="T1486" s="36">
        <f>TEXT(B1486,"mmm")</f>
        <v/>
      </c>
      <c r="U1486" s="36">
        <f>IF(AND(OR(sel_Region="All",C1486=sel_Region),OR(sel_Country="All",D1486=sel_Country),OR(sel_Channel="All",E1486=sel_Channel),OR(sel_Customer="All",F1486=sel_Customer),OR(sel_Category="All",G1486=sel_Category),OR(sel_Product="All",H1486=sel_Product),AND(S1486&gt;=m_From,S1486&lt;=m_To)),1,0)</f>
        <v/>
      </c>
      <c r="V1486" s="36">
        <f>IF(AND(OR(sel_Region="All",C1486=sel_Region),OR(sel_Channel="All",E1486=sel_Channel),OR(sel_Customer="All",F1486=sel_Customer),OR(sel_Category="All",G1486=sel_Category),OR(sel_Product="All",H1486=sel_Product),AND(S1486&gt;=m_From,S1486&lt;=m_To)),1,0)</f>
        <v/>
      </c>
      <c r="W1486" s="36">
        <f>IF(AND(OR(sel_Region="All",C1486=sel_Region),OR(sel_Country="All",D1486=sel_Country),OR(sel_Customer="All",F1486=sel_Customer),OR(sel_Category="All",G1486=sel_Category),OR(sel_Product="All",H1486=sel_Product),AND(S1486&gt;=m_From,S1486&lt;=m_To)),1,0)</f>
        <v/>
      </c>
      <c r="X1486" s="36">
        <f>IF(AND(OR(sel_Region="All",C1486=sel_Region),OR(sel_Country="All",D1486=sel_Country),OR(sel_Channel="All",E1486=sel_Channel),OR(sel_Category="All",G1486=sel_Category),OR(sel_Product="All",H1486=sel_Product),AND(S1486&gt;=m_From,S1486&lt;=m_To)),1,0)</f>
        <v/>
      </c>
      <c r="Y1486" s="36">
        <f>IF(AND(OR(sel_Region="All",C1486=sel_Region),OR(sel_Country="All",D1486=sel_Country),OR(sel_Channel="All",E1486=sel_Channel),OR(sel_Customer="All",F1486=sel_Customer),OR(sel_Product="All",H1486=sel_Product),AND(S1486&gt;=m_From,S1486&lt;=m_To)),1,0)</f>
        <v/>
      </c>
      <c r="Z1486" s="36">
        <f>IF(AND(OR(sel_Region="All",C1486=sel_Region),OR(sel_Country="All",D1486=sel_Country),OR(sel_Channel="All",E1486=sel_Channel),OR(sel_Customer="All",F1486=sel_Customer),OR(sel_Category="All",G1486=sel_Category),AND(S1486&gt;=m_From,S1486&lt;=m_To)),1,0)</f>
        <v/>
      </c>
      <c r="AA1486" s="36">
        <f>IF(AND(OR(sel_Region="All",C1486=sel_Region),OR(sel_Country="All",D1486=sel_Country),OR(sel_Channel="All",E1486=sel_Channel),OR(sel_Customer="All",F1486=sel_Customer),OR(sel_Category="All",G1486=sel_Category),OR(sel_Product="All",H1486=sel_Product)),1,0)</f>
        <v/>
      </c>
    </row>
    <row r="1487">
      <c r="A1487" s="36" t="inlineStr">
        <is>
          <t>04066</t>
        </is>
      </c>
      <c r="B1487" s="44" t="n">
        <v>46229</v>
      </c>
      <c r="C1487" s="36" t="inlineStr">
        <is>
          <t>Western Europe</t>
        </is>
      </c>
      <c r="D1487" s="36" t="inlineStr">
        <is>
          <t>Netherlands</t>
        </is>
      </c>
      <c r="E1487" s="36" t="inlineStr">
        <is>
          <t>Retail Partners</t>
        </is>
      </c>
      <c r="F1487" s="36" t="inlineStr">
        <is>
          <t>New</t>
        </is>
      </c>
      <c r="G1487" s="36" t="inlineStr">
        <is>
          <t>Fitness</t>
        </is>
      </c>
      <c r="H1487" s="36" t="inlineStr">
        <is>
          <t>Recovery Roller</t>
        </is>
      </c>
      <c r="I1487" s="36" t="n">
        <v>1</v>
      </c>
      <c r="J1487" s="39" t="n">
        <v>35.48</v>
      </c>
      <c r="K1487" s="45" t="n">
        <v>0.05</v>
      </c>
      <c r="L1487" s="39" t="n">
        <v>14.15</v>
      </c>
      <c r="M1487" s="39">
        <f>I1487*J1487*(1-K1487)</f>
        <v/>
      </c>
      <c r="N1487" s="39">
        <f>I1487*L1487</f>
        <v/>
      </c>
      <c r="O1487" s="39">
        <f>M1487-N1487</f>
        <v/>
      </c>
      <c r="P1487" s="38">
        <f>IF(M1487=0,0,O1487/M1487)</f>
        <v/>
      </c>
      <c r="Q1487" s="36">
        <f>YEAR(B1487)</f>
        <v/>
      </c>
      <c r="R1487" s="36">
        <f>"Q"&amp;ROUNDUP(MONTH(B1487)/3,0)</f>
        <v/>
      </c>
      <c r="S1487" s="36">
        <f>MONTH(B1487)</f>
        <v/>
      </c>
      <c r="T1487" s="36">
        <f>TEXT(B1487,"mmm")</f>
        <v/>
      </c>
      <c r="U1487" s="36">
        <f>IF(AND(OR(sel_Region="All",C1487=sel_Region),OR(sel_Country="All",D1487=sel_Country),OR(sel_Channel="All",E1487=sel_Channel),OR(sel_Customer="All",F1487=sel_Customer),OR(sel_Category="All",G1487=sel_Category),OR(sel_Product="All",H1487=sel_Product),AND(S1487&gt;=m_From,S1487&lt;=m_To)),1,0)</f>
        <v/>
      </c>
      <c r="V1487" s="36">
        <f>IF(AND(OR(sel_Region="All",C1487=sel_Region),OR(sel_Channel="All",E1487=sel_Channel),OR(sel_Customer="All",F1487=sel_Customer),OR(sel_Category="All",G1487=sel_Category),OR(sel_Product="All",H1487=sel_Product),AND(S1487&gt;=m_From,S1487&lt;=m_To)),1,0)</f>
        <v/>
      </c>
      <c r="W1487" s="36">
        <f>IF(AND(OR(sel_Region="All",C1487=sel_Region),OR(sel_Country="All",D1487=sel_Country),OR(sel_Customer="All",F1487=sel_Customer),OR(sel_Category="All",G1487=sel_Category),OR(sel_Product="All",H1487=sel_Product),AND(S1487&gt;=m_From,S1487&lt;=m_To)),1,0)</f>
        <v/>
      </c>
      <c r="X1487" s="36">
        <f>IF(AND(OR(sel_Region="All",C1487=sel_Region),OR(sel_Country="All",D1487=sel_Country),OR(sel_Channel="All",E1487=sel_Channel),OR(sel_Category="All",G1487=sel_Category),OR(sel_Product="All",H1487=sel_Product),AND(S1487&gt;=m_From,S1487&lt;=m_To)),1,0)</f>
        <v/>
      </c>
      <c r="Y1487" s="36">
        <f>IF(AND(OR(sel_Region="All",C1487=sel_Region),OR(sel_Country="All",D1487=sel_Country),OR(sel_Channel="All",E1487=sel_Channel),OR(sel_Customer="All",F1487=sel_Customer),OR(sel_Product="All",H1487=sel_Product),AND(S1487&gt;=m_From,S1487&lt;=m_To)),1,0)</f>
        <v/>
      </c>
      <c r="Z1487" s="36">
        <f>IF(AND(OR(sel_Region="All",C1487=sel_Region),OR(sel_Country="All",D1487=sel_Country),OR(sel_Channel="All",E1487=sel_Channel),OR(sel_Customer="All",F1487=sel_Customer),OR(sel_Category="All",G1487=sel_Category),AND(S1487&gt;=m_From,S1487&lt;=m_To)),1,0)</f>
        <v/>
      </c>
      <c r="AA1487" s="36">
        <f>IF(AND(OR(sel_Region="All",C1487=sel_Region),OR(sel_Country="All",D1487=sel_Country),OR(sel_Channel="All",E1487=sel_Channel),OR(sel_Customer="All",F1487=sel_Customer),OR(sel_Category="All",G1487=sel_Category),OR(sel_Product="All",H1487=sel_Product)),1,0)</f>
        <v/>
      </c>
    </row>
    <row r="1488">
      <c r="A1488" s="36" t="inlineStr">
        <is>
          <t>04153</t>
        </is>
      </c>
      <c r="B1488" s="44" t="n">
        <v>46229</v>
      </c>
      <c r="C1488" s="36" t="inlineStr">
        <is>
          <t>Western Europe</t>
        </is>
      </c>
      <c r="D1488" s="36" t="inlineStr">
        <is>
          <t>Netherlands</t>
        </is>
      </c>
      <c r="E1488" s="36" t="inlineStr">
        <is>
          <t>Online Store</t>
        </is>
      </c>
      <c r="F1488" s="36" t="inlineStr">
        <is>
          <t>Business</t>
        </is>
      </c>
      <c r="G1488" s="36" t="inlineStr">
        <is>
          <t>Travel</t>
        </is>
      </c>
      <c r="H1488" s="36" t="inlineStr">
        <is>
          <t>Carry-On Duffel</t>
        </is>
      </c>
      <c r="I1488" s="36" t="n">
        <v>3</v>
      </c>
      <c r="J1488" s="39" t="n">
        <v>134.63</v>
      </c>
      <c r="K1488" s="45" t="n">
        <v>0</v>
      </c>
      <c r="L1488" s="39" t="n">
        <v>67.2</v>
      </c>
      <c r="M1488" s="39">
        <f>I1488*J1488*(1-K1488)</f>
        <v/>
      </c>
      <c r="N1488" s="39">
        <f>I1488*L1488</f>
        <v/>
      </c>
      <c r="O1488" s="39">
        <f>M1488-N1488</f>
        <v/>
      </c>
      <c r="P1488" s="38">
        <f>IF(M1488=0,0,O1488/M1488)</f>
        <v/>
      </c>
      <c r="Q1488" s="36">
        <f>YEAR(B1488)</f>
        <v/>
      </c>
      <c r="R1488" s="36">
        <f>"Q"&amp;ROUNDUP(MONTH(B1488)/3,0)</f>
        <v/>
      </c>
      <c r="S1488" s="36">
        <f>MONTH(B1488)</f>
        <v/>
      </c>
      <c r="T1488" s="36">
        <f>TEXT(B1488,"mmm")</f>
        <v/>
      </c>
      <c r="U1488" s="36">
        <f>IF(AND(OR(sel_Region="All",C1488=sel_Region),OR(sel_Country="All",D1488=sel_Country),OR(sel_Channel="All",E1488=sel_Channel),OR(sel_Customer="All",F1488=sel_Customer),OR(sel_Category="All",G1488=sel_Category),OR(sel_Product="All",H1488=sel_Product),AND(S1488&gt;=m_From,S1488&lt;=m_To)),1,0)</f>
        <v/>
      </c>
      <c r="V1488" s="36">
        <f>IF(AND(OR(sel_Region="All",C1488=sel_Region),OR(sel_Channel="All",E1488=sel_Channel),OR(sel_Customer="All",F1488=sel_Customer),OR(sel_Category="All",G1488=sel_Category),OR(sel_Product="All",H1488=sel_Product),AND(S1488&gt;=m_From,S1488&lt;=m_To)),1,0)</f>
        <v/>
      </c>
      <c r="W1488" s="36">
        <f>IF(AND(OR(sel_Region="All",C1488=sel_Region),OR(sel_Country="All",D1488=sel_Country),OR(sel_Customer="All",F1488=sel_Customer),OR(sel_Category="All",G1488=sel_Category),OR(sel_Product="All",H1488=sel_Product),AND(S1488&gt;=m_From,S1488&lt;=m_To)),1,0)</f>
        <v/>
      </c>
      <c r="X1488" s="36">
        <f>IF(AND(OR(sel_Region="All",C1488=sel_Region),OR(sel_Country="All",D1488=sel_Country),OR(sel_Channel="All",E1488=sel_Channel),OR(sel_Category="All",G1488=sel_Category),OR(sel_Product="All",H1488=sel_Product),AND(S1488&gt;=m_From,S1488&lt;=m_To)),1,0)</f>
        <v/>
      </c>
      <c r="Y1488" s="36">
        <f>IF(AND(OR(sel_Region="All",C1488=sel_Region),OR(sel_Country="All",D1488=sel_Country),OR(sel_Channel="All",E1488=sel_Channel),OR(sel_Customer="All",F1488=sel_Customer),OR(sel_Product="All",H1488=sel_Product),AND(S1488&gt;=m_From,S1488&lt;=m_To)),1,0)</f>
        <v/>
      </c>
      <c r="Z1488" s="36">
        <f>IF(AND(OR(sel_Region="All",C1488=sel_Region),OR(sel_Country="All",D1488=sel_Country),OR(sel_Channel="All",E1488=sel_Channel),OR(sel_Customer="All",F1488=sel_Customer),OR(sel_Category="All",G1488=sel_Category),AND(S1488&gt;=m_From,S1488&lt;=m_To)),1,0)</f>
        <v/>
      </c>
      <c r="AA1488" s="36">
        <f>IF(AND(OR(sel_Region="All",C1488=sel_Region),OR(sel_Country="All",D1488=sel_Country),OR(sel_Channel="All",E1488=sel_Channel),OR(sel_Customer="All",F1488=sel_Customer),OR(sel_Category="All",G1488=sel_Category),OR(sel_Product="All",H1488=sel_Product)),1,0)</f>
        <v/>
      </c>
    </row>
    <row r="1489">
      <c r="A1489" s="36" t="inlineStr">
        <is>
          <t>00379</t>
        </is>
      </c>
      <c r="B1489" s="44" t="n">
        <v>46230</v>
      </c>
      <c r="C1489" s="36" t="inlineStr">
        <is>
          <t>Southern Europe</t>
        </is>
      </c>
      <c r="D1489" s="36" t="inlineStr">
        <is>
          <t>Portugal</t>
        </is>
      </c>
      <c r="E1489" s="36" t="inlineStr">
        <is>
          <t>Marketplace</t>
        </is>
      </c>
      <c r="F1489" s="36" t="inlineStr">
        <is>
          <t>New</t>
        </is>
      </c>
      <c r="G1489" s="36" t="inlineStr">
        <is>
          <t>Hiking</t>
        </is>
      </c>
      <c r="H1489" s="36" t="inlineStr">
        <is>
          <t>Trekking Poles</t>
        </is>
      </c>
      <c r="I1489" s="36" t="n">
        <v>3</v>
      </c>
      <c r="J1489" s="39" t="n">
        <v>72.03</v>
      </c>
      <c r="K1489" s="45" t="n">
        <v>0</v>
      </c>
      <c r="L1489" s="39" t="n">
        <v>32.46</v>
      </c>
      <c r="M1489" s="39">
        <f>I1489*J1489*(1-K1489)</f>
        <v/>
      </c>
      <c r="N1489" s="39">
        <f>I1489*L1489</f>
        <v/>
      </c>
      <c r="O1489" s="39">
        <f>M1489-N1489</f>
        <v/>
      </c>
      <c r="P1489" s="38">
        <f>IF(M1489=0,0,O1489/M1489)</f>
        <v/>
      </c>
      <c r="Q1489" s="36">
        <f>YEAR(B1489)</f>
        <v/>
      </c>
      <c r="R1489" s="36">
        <f>"Q"&amp;ROUNDUP(MONTH(B1489)/3,0)</f>
        <v/>
      </c>
      <c r="S1489" s="36">
        <f>MONTH(B1489)</f>
        <v/>
      </c>
      <c r="T1489" s="36">
        <f>TEXT(B1489,"mmm")</f>
        <v/>
      </c>
      <c r="U1489" s="36">
        <f>IF(AND(OR(sel_Region="All",C1489=sel_Region),OR(sel_Country="All",D1489=sel_Country),OR(sel_Channel="All",E1489=sel_Channel),OR(sel_Customer="All",F1489=sel_Customer),OR(sel_Category="All",G1489=sel_Category),OR(sel_Product="All",H1489=sel_Product),AND(S1489&gt;=m_From,S1489&lt;=m_To)),1,0)</f>
        <v/>
      </c>
      <c r="V1489" s="36">
        <f>IF(AND(OR(sel_Region="All",C1489=sel_Region),OR(sel_Channel="All",E1489=sel_Channel),OR(sel_Customer="All",F1489=sel_Customer),OR(sel_Category="All",G1489=sel_Category),OR(sel_Product="All",H1489=sel_Product),AND(S1489&gt;=m_From,S1489&lt;=m_To)),1,0)</f>
        <v/>
      </c>
      <c r="W1489" s="36">
        <f>IF(AND(OR(sel_Region="All",C1489=sel_Region),OR(sel_Country="All",D1489=sel_Country),OR(sel_Customer="All",F1489=sel_Customer),OR(sel_Category="All",G1489=sel_Category),OR(sel_Product="All",H1489=sel_Product),AND(S1489&gt;=m_From,S1489&lt;=m_To)),1,0)</f>
        <v/>
      </c>
      <c r="X1489" s="36">
        <f>IF(AND(OR(sel_Region="All",C1489=sel_Region),OR(sel_Country="All",D1489=sel_Country),OR(sel_Channel="All",E1489=sel_Channel),OR(sel_Category="All",G1489=sel_Category),OR(sel_Product="All",H1489=sel_Product),AND(S1489&gt;=m_From,S1489&lt;=m_To)),1,0)</f>
        <v/>
      </c>
      <c r="Y1489" s="36">
        <f>IF(AND(OR(sel_Region="All",C1489=sel_Region),OR(sel_Country="All",D1489=sel_Country),OR(sel_Channel="All",E1489=sel_Channel),OR(sel_Customer="All",F1489=sel_Customer),OR(sel_Product="All",H1489=sel_Product),AND(S1489&gt;=m_From,S1489&lt;=m_To)),1,0)</f>
        <v/>
      </c>
      <c r="Z1489" s="36">
        <f>IF(AND(OR(sel_Region="All",C1489=sel_Region),OR(sel_Country="All",D1489=sel_Country),OR(sel_Channel="All",E1489=sel_Channel),OR(sel_Customer="All",F1489=sel_Customer),OR(sel_Category="All",G1489=sel_Category),AND(S1489&gt;=m_From,S1489&lt;=m_To)),1,0)</f>
        <v/>
      </c>
      <c r="AA1489" s="36">
        <f>IF(AND(OR(sel_Region="All",C1489=sel_Region),OR(sel_Country="All",D1489=sel_Country),OR(sel_Channel="All",E1489=sel_Channel),OR(sel_Customer="All",F1489=sel_Customer),OR(sel_Category="All",G1489=sel_Category),OR(sel_Product="All",H1489=sel_Product)),1,0)</f>
        <v/>
      </c>
    </row>
    <row r="1490">
      <c r="A1490" s="36" t="inlineStr">
        <is>
          <t>00820</t>
        </is>
      </c>
      <c r="B1490" s="44" t="n">
        <v>46230</v>
      </c>
      <c r="C1490" s="36" t="inlineStr">
        <is>
          <t>Western Europe</t>
        </is>
      </c>
      <c r="D1490" s="36" t="inlineStr">
        <is>
          <t>Netherlands</t>
        </is>
      </c>
      <c r="E1490" s="36" t="inlineStr">
        <is>
          <t>Marketplace</t>
        </is>
      </c>
      <c r="F1490" s="36" t="inlineStr">
        <is>
          <t>Returning</t>
        </is>
      </c>
      <c r="G1490" s="36" t="inlineStr">
        <is>
          <t>Fitness</t>
        </is>
      </c>
      <c r="H1490" s="36" t="inlineStr">
        <is>
          <t>Resistance Band Set</t>
        </is>
      </c>
      <c r="I1490" s="36" t="n">
        <v>1</v>
      </c>
      <c r="J1490" s="39" t="n">
        <v>40.24</v>
      </c>
      <c r="K1490" s="45" t="n">
        <v>0</v>
      </c>
      <c r="L1490" s="39" t="n">
        <v>15.05</v>
      </c>
      <c r="M1490" s="39">
        <f>I1490*J1490*(1-K1490)</f>
        <v/>
      </c>
      <c r="N1490" s="39">
        <f>I1490*L1490</f>
        <v/>
      </c>
      <c r="O1490" s="39">
        <f>M1490-N1490</f>
        <v/>
      </c>
      <c r="P1490" s="38">
        <f>IF(M1490=0,0,O1490/M1490)</f>
        <v/>
      </c>
      <c r="Q1490" s="36">
        <f>YEAR(B1490)</f>
        <v/>
      </c>
      <c r="R1490" s="36">
        <f>"Q"&amp;ROUNDUP(MONTH(B1490)/3,0)</f>
        <v/>
      </c>
      <c r="S1490" s="36">
        <f>MONTH(B1490)</f>
        <v/>
      </c>
      <c r="T1490" s="36">
        <f>TEXT(B1490,"mmm")</f>
        <v/>
      </c>
      <c r="U1490" s="36">
        <f>IF(AND(OR(sel_Region="All",C1490=sel_Region),OR(sel_Country="All",D1490=sel_Country),OR(sel_Channel="All",E1490=sel_Channel),OR(sel_Customer="All",F1490=sel_Customer),OR(sel_Category="All",G1490=sel_Category),OR(sel_Product="All",H1490=sel_Product),AND(S1490&gt;=m_From,S1490&lt;=m_To)),1,0)</f>
        <v/>
      </c>
      <c r="V1490" s="36">
        <f>IF(AND(OR(sel_Region="All",C1490=sel_Region),OR(sel_Channel="All",E1490=sel_Channel),OR(sel_Customer="All",F1490=sel_Customer),OR(sel_Category="All",G1490=sel_Category),OR(sel_Product="All",H1490=sel_Product),AND(S1490&gt;=m_From,S1490&lt;=m_To)),1,0)</f>
        <v/>
      </c>
      <c r="W1490" s="36">
        <f>IF(AND(OR(sel_Region="All",C1490=sel_Region),OR(sel_Country="All",D1490=sel_Country),OR(sel_Customer="All",F1490=sel_Customer),OR(sel_Category="All",G1490=sel_Category),OR(sel_Product="All",H1490=sel_Product),AND(S1490&gt;=m_From,S1490&lt;=m_To)),1,0)</f>
        <v/>
      </c>
      <c r="X1490" s="36">
        <f>IF(AND(OR(sel_Region="All",C1490=sel_Region),OR(sel_Country="All",D1490=sel_Country),OR(sel_Channel="All",E1490=sel_Channel),OR(sel_Category="All",G1490=sel_Category),OR(sel_Product="All",H1490=sel_Product),AND(S1490&gt;=m_From,S1490&lt;=m_To)),1,0)</f>
        <v/>
      </c>
      <c r="Y1490" s="36">
        <f>IF(AND(OR(sel_Region="All",C1490=sel_Region),OR(sel_Country="All",D1490=sel_Country),OR(sel_Channel="All",E1490=sel_Channel),OR(sel_Customer="All",F1490=sel_Customer),OR(sel_Product="All",H1490=sel_Product),AND(S1490&gt;=m_From,S1490&lt;=m_To)),1,0)</f>
        <v/>
      </c>
      <c r="Z1490" s="36">
        <f>IF(AND(OR(sel_Region="All",C1490=sel_Region),OR(sel_Country="All",D1490=sel_Country),OR(sel_Channel="All",E1490=sel_Channel),OR(sel_Customer="All",F1490=sel_Customer),OR(sel_Category="All",G1490=sel_Category),AND(S1490&gt;=m_From,S1490&lt;=m_To)),1,0)</f>
        <v/>
      </c>
      <c r="AA1490" s="36">
        <f>IF(AND(OR(sel_Region="All",C1490=sel_Region),OR(sel_Country="All",D1490=sel_Country),OR(sel_Channel="All",E1490=sel_Channel),OR(sel_Customer="All",F1490=sel_Customer),OR(sel_Category="All",G1490=sel_Category),OR(sel_Product="All",H1490=sel_Product)),1,0)</f>
        <v/>
      </c>
    </row>
    <row r="1491">
      <c r="A1491" s="36" t="inlineStr">
        <is>
          <t>02003</t>
        </is>
      </c>
      <c r="B1491" s="44" t="n">
        <v>46230</v>
      </c>
      <c r="C1491" s="36" t="inlineStr">
        <is>
          <t>Northern Europe</t>
        </is>
      </c>
      <c r="D1491" s="36" t="inlineStr">
        <is>
          <t>Denmark</t>
        </is>
      </c>
      <c r="E1491" s="36" t="inlineStr">
        <is>
          <t>Retail Partners</t>
        </is>
      </c>
      <c r="F1491" s="36" t="inlineStr">
        <is>
          <t>Returning</t>
        </is>
      </c>
      <c r="G1491" s="36" t="inlineStr">
        <is>
          <t>Travel</t>
        </is>
      </c>
      <c r="H1491" s="36" t="inlineStr">
        <is>
          <t>Insulated Bottle</t>
        </is>
      </c>
      <c r="I1491" s="36" t="n">
        <v>1</v>
      </c>
      <c r="J1491" s="39" t="n">
        <v>36.14</v>
      </c>
      <c r="K1491" s="45" t="n">
        <v>0</v>
      </c>
      <c r="L1491" s="39" t="n">
        <v>13.52</v>
      </c>
      <c r="M1491" s="39">
        <f>I1491*J1491*(1-K1491)</f>
        <v/>
      </c>
      <c r="N1491" s="39">
        <f>I1491*L1491</f>
        <v/>
      </c>
      <c r="O1491" s="39">
        <f>M1491-N1491</f>
        <v/>
      </c>
      <c r="P1491" s="38">
        <f>IF(M1491=0,0,O1491/M1491)</f>
        <v/>
      </c>
      <c r="Q1491" s="36">
        <f>YEAR(B1491)</f>
        <v/>
      </c>
      <c r="R1491" s="36">
        <f>"Q"&amp;ROUNDUP(MONTH(B1491)/3,0)</f>
        <v/>
      </c>
      <c r="S1491" s="36">
        <f>MONTH(B1491)</f>
        <v/>
      </c>
      <c r="T1491" s="36">
        <f>TEXT(B1491,"mmm")</f>
        <v/>
      </c>
      <c r="U1491" s="36">
        <f>IF(AND(OR(sel_Region="All",C1491=sel_Region),OR(sel_Country="All",D1491=sel_Country),OR(sel_Channel="All",E1491=sel_Channel),OR(sel_Customer="All",F1491=sel_Customer),OR(sel_Category="All",G1491=sel_Category),OR(sel_Product="All",H1491=sel_Product),AND(S1491&gt;=m_From,S1491&lt;=m_To)),1,0)</f>
        <v/>
      </c>
      <c r="V1491" s="36">
        <f>IF(AND(OR(sel_Region="All",C1491=sel_Region),OR(sel_Channel="All",E1491=sel_Channel),OR(sel_Customer="All",F1491=sel_Customer),OR(sel_Category="All",G1491=sel_Category),OR(sel_Product="All",H1491=sel_Product),AND(S1491&gt;=m_From,S1491&lt;=m_To)),1,0)</f>
        <v/>
      </c>
      <c r="W1491" s="36">
        <f>IF(AND(OR(sel_Region="All",C1491=sel_Region),OR(sel_Country="All",D1491=sel_Country),OR(sel_Customer="All",F1491=sel_Customer),OR(sel_Category="All",G1491=sel_Category),OR(sel_Product="All",H1491=sel_Product),AND(S1491&gt;=m_From,S1491&lt;=m_To)),1,0)</f>
        <v/>
      </c>
      <c r="X1491" s="36">
        <f>IF(AND(OR(sel_Region="All",C1491=sel_Region),OR(sel_Country="All",D1491=sel_Country),OR(sel_Channel="All",E1491=sel_Channel),OR(sel_Category="All",G1491=sel_Category),OR(sel_Product="All",H1491=sel_Product),AND(S1491&gt;=m_From,S1491&lt;=m_To)),1,0)</f>
        <v/>
      </c>
      <c r="Y1491" s="36">
        <f>IF(AND(OR(sel_Region="All",C1491=sel_Region),OR(sel_Country="All",D1491=sel_Country),OR(sel_Channel="All",E1491=sel_Channel),OR(sel_Customer="All",F1491=sel_Customer),OR(sel_Product="All",H1491=sel_Product),AND(S1491&gt;=m_From,S1491&lt;=m_To)),1,0)</f>
        <v/>
      </c>
      <c r="Z1491" s="36">
        <f>IF(AND(OR(sel_Region="All",C1491=sel_Region),OR(sel_Country="All",D1491=sel_Country),OR(sel_Channel="All",E1491=sel_Channel),OR(sel_Customer="All",F1491=sel_Customer),OR(sel_Category="All",G1491=sel_Category),AND(S1491&gt;=m_From,S1491&lt;=m_To)),1,0)</f>
        <v/>
      </c>
      <c r="AA1491" s="36">
        <f>IF(AND(OR(sel_Region="All",C1491=sel_Region),OR(sel_Country="All",D1491=sel_Country),OR(sel_Channel="All",E1491=sel_Channel),OR(sel_Customer="All",F1491=sel_Customer),OR(sel_Category="All",G1491=sel_Category),OR(sel_Product="All",H1491=sel_Product)),1,0)</f>
        <v/>
      </c>
    </row>
    <row r="1492">
      <c r="A1492" s="36" t="inlineStr">
        <is>
          <t>02682</t>
        </is>
      </c>
      <c r="B1492" s="44" t="n">
        <v>46230</v>
      </c>
      <c r="C1492" s="36" t="inlineStr">
        <is>
          <t>Central Europe</t>
        </is>
      </c>
      <c r="D1492" s="36" t="inlineStr">
        <is>
          <t>Switzerland</t>
        </is>
      </c>
      <c r="E1492" s="36" t="inlineStr">
        <is>
          <t>Online Store</t>
        </is>
      </c>
      <c r="F1492" s="36" t="inlineStr">
        <is>
          <t>New</t>
        </is>
      </c>
      <c r="G1492" s="36" t="inlineStr">
        <is>
          <t>Fitness</t>
        </is>
      </c>
      <c r="H1492" s="36" t="inlineStr">
        <is>
          <t>Resistance Band Set</t>
        </is>
      </c>
      <c r="I1492" s="36" t="n">
        <v>2</v>
      </c>
      <c r="J1492" s="39" t="n">
        <v>40.22</v>
      </c>
      <c r="K1492" s="45" t="n">
        <v>0.05</v>
      </c>
      <c r="L1492" s="39" t="n">
        <v>14.72</v>
      </c>
      <c r="M1492" s="39">
        <f>I1492*J1492*(1-K1492)</f>
        <v/>
      </c>
      <c r="N1492" s="39">
        <f>I1492*L1492</f>
        <v/>
      </c>
      <c r="O1492" s="39">
        <f>M1492-N1492</f>
        <v/>
      </c>
      <c r="P1492" s="38">
        <f>IF(M1492=0,0,O1492/M1492)</f>
        <v/>
      </c>
      <c r="Q1492" s="36">
        <f>YEAR(B1492)</f>
        <v/>
      </c>
      <c r="R1492" s="36">
        <f>"Q"&amp;ROUNDUP(MONTH(B1492)/3,0)</f>
        <v/>
      </c>
      <c r="S1492" s="36">
        <f>MONTH(B1492)</f>
        <v/>
      </c>
      <c r="T1492" s="36">
        <f>TEXT(B1492,"mmm")</f>
        <v/>
      </c>
      <c r="U1492" s="36">
        <f>IF(AND(OR(sel_Region="All",C1492=sel_Region),OR(sel_Country="All",D1492=sel_Country),OR(sel_Channel="All",E1492=sel_Channel),OR(sel_Customer="All",F1492=sel_Customer),OR(sel_Category="All",G1492=sel_Category),OR(sel_Product="All",H1492=sel_Product),AND(S1492&gt;=m_From,S1492&lt;=m_To)),1,0)</f>
        <v/>
      </c>
      <c r="V1492" s="36">
        <f>IF(AND(OR(sel_Region="All",C1492=sel_Region),OR(sel_Channel="All",E1492=sel_Channel),OR(sel_Customer="All",F1492=sel_Customer),OR(sel_Category="All",G1492=sel_Category),OR(sel_Product="All",H1492=sel_Product),AND(S1492&gt;=m_From,S1492&lt;=m_To)),1,0)</f>
        <v/>
      </c>
      <c r="W1492" s="36">
        <f>IF(AND(OR(sel_Region="All",C1492=sel_Region),OR(sel_Country="All",D1492=sel_Country),OR(sel_Customer="All",F1492=sel_Customer),OR(sel_Category="All",G1492=sel_Category),OR(sel_Product="All",H1492=sel_Product),AND(S1492&gt;=m_From,S1492&lt;=m_To)),1,0)</f>
        <v/>
      </c>
      <c r="X1492" s="36">
        <f>IF(AND(OR(sel_Region="All",C1492=sel_Region),OR(sel_Country="All",D1492=sel_Country),OR(sel_Channel="All",E1492=sel_Channel),OR(sel_Category="All",G1492=sel_Category),OR(sel_Product="All",H1492=sel_Product),AND(S1492&gt;=m_From,S1492&lt;=m_To)),1,0)</f>
        <v/>
      </c>
      <c r="Y1492" s="36">
        <f>IF(AND(OR(sel_Region="All",C1492=sel_Region),OR(sel_Country="All",D1492=sel_Country),OR(sel_Channel="All",E1492=sel_Channel),OR(sel_Customer="All",F1492=sel_Customer),OR(sel_Product="All",H1492=sel_Product),AND(S1492&gt;=m_From,S1492&lt;=m_To)),1,0)</f>
        <v/>
      </c>
      <c r="Z1492" s="36">
        <f>IF(AND(OR(sel_Region="All",C1492=sel_Region),OR(sel_Country="All",D1492=sel_Country),OR(sel_Channel="All",E1492=sel_Channel),OR(sel_Customer="All",F1492=sel_Customer),OR(sel_Category="All",G1492=sel_Category),AND(S1492&gt;=m_From,S1492&lt;=m_To)),1,0)</f>
        <v/>
      </c>
      <c r="AA1492" s="36">
        <f>IF(AND(OR(sel_Region="All",C1492=sel_Region),OR(sel_Country="All",D1492=sel_Country),OR(sel_Channel="All",E1492=sel_Channel),OR(sel_Customer="All",F1492=sel_Customer),OR(sel_Category="All",G1492=sel_Category),OR(sel_Product="All",H1492=sel_Product)),1,0)</f>
        <v/>
      </c>
    </row>
    <row r="1493">
      <c r="A1493" s="36" t="inlineStr">
        <is>
          <t>03860</t>
        </is>
      </c>
      <c r="B1493" s="44" t="n">
        <v>46230</v>
      </c>
      <c r="C1493" s="36" t="inlineStr">
        <is>
          <t>Western Europe</t>
        </is>
      </c>
      <c r="D1493" s="36" t="inlineStr">
        <is>
          <t>Netherlands</t>
        </is>
      </c>
      <c r="E1493" s="36" t="inlineStr">
        <is>
          <t>Online Store</t>
        </is>
      </c>
      <c r="F1493" s="36" t="inlineStr">
        <is>
          <t>Returning</t>
        </is>
      </c>
      <c r="G1493" s="36" t="inlineStr">
        <is>
          <t>Fitness</t>
        </is>
      </c>
      <c r="H1493" s="36" t="inlineStr">
        <is>
          <t>Recovery Roller</t>
        </is>
      </c>
      <c r="I1493" s="36" t="n">
        <v>3</v>
      </c>
      <c r="J1493" s="39" t="n">
        <v>37.13</v>
      </c>
      <c r="K1493" s="45" t="n">
        <v>0.05</v>
      </c>
      <c r="L1493" s="39" t="n">
        <v>14.29</v>
      </c>
      <c r="M1493" s="39">
        <f>I1493*J1493*(1-K1493)</f>
        <v/>
      </c>
      <c r="N1493" s="39">
        <f>I1493*L1493</f>
        <v/>
      </c>
      <c r="O1493" s="39">
        <f>M1493-N1493</f>
        <v/>
      </c>
      <c r="P1493" s="38">
        <f>IF(M1493=0,0,O1493/M1493)</f>
        <v/>
      </c>
      <c r="Q1493" s="36">
        <f>YEAR(B1493)</f>
        <v/>
      </c>
      <c r="R1493" s="36">
        <f>"Q"&amp;ROUNDUP(MONTH(B1493)/3,0)</f>
        <v/>
      </c>
      <c r="S1493" s="36">
        <f>MONTH(B1493)</f>
        <v/>
      </c>
      <c r="T1493" s="36">
        <f>TEXT(B1493,"mmm")</f>
        <v/>
      </c>
      <c r="U1493" s="36">
        <f>IF(AND(OR(sel_Region="All",C1493=sel_Region),OR(sel_Country="All",D1493=sel_Country),OR(sel_Channel="All",E1493=sel_Channel),OR(sel_Customer="All",F1493=sel_Customer),OR(sel_Category="All",G1493=sel_Category),OR(sel_Product="All",H1493=sel_Product),AND(S1493&gt;=m_From,S1493&lt;=m_To)),1,0)</f>
        <v/>
      </c>
      <c r="V1493" s="36">
        <f>IF(AND(OR(sel_Region="All",C1493=sel_Region),OR(sel_Channel="All",E1493=sel_Channel),OR(sel_Customer="All",F1493=sel_Customer),OR(sel_Category="All",G1493=sel_Category),OR(sel_Product="All",H1493=sel_Product),AND(S1493&gt;=m_From,S1493&lt;=m_To)),1,0)</f>
        <v/>
      </c>
      <c r="W1493" s="36">
        <f>IF(AND(OR(sel_Region="All",C1493=sel_Region),OR(sel_Country="All",D1493=sel_Country),OR(sel_Customer="All",F1493=sel_Customer),OR(sel_Category="All",G1493=sel_Category),OR(sel_Product="All",H1493=sel_Product),AND(S1493&gt;=m_From,S1493&lt;=m_To)),1,0)</f>
        <v/>
      </c>
      <c r="X1493" s="36">
        <f>IF(AND(OR(sel_Region="All",C1493=sel_Region),OR(sel_Country="All",D1493=sel_Country),OR(sel_Channel="All",E1493=sel_Channel),OR(sel_Category="All",G1493=sel_Category),OR(sel_Product="All",H1493=sel_Product),AND(S1493&gt;=m_From,S1493&lt;=m_To)),1,0)</f>
        <v/>
      </c>
      <c r="Y1493" s="36">
        <f>IF(AND(OR(sel_Region="All",C1493=sel_Region),OR(sel_Country="All",D1493=sel_Country),OR(sel_Channel="All",E1493=sel_Channel),OR(sel_Customer="All",F1493=sel_Customer),OR(sel_Product="All",H1493=sel_Product),AND(S1493&gt;=m_From,S1493&lt;=m_To)),1,0)</f>
        <v/>
      </c>
      <c r="Z1493" s="36">
        <f>IF(AND(OR(sel_Region="All",C1493=sel_Region),OR(sel_Country="All",D1493=sel_Country),OR(sel_Channel="All",E1493=sel_Channel),OR(sel_Customer="All",F1493=sel_Customer),OR(sel_Category="All",G1493=sel_Category),AND(S1493&gt;=m_From,S1493&lt;=m_To)),1,0)</f>
        <v/>
      </c>
      <c r="AA1493" s="36">
        <f>IF(AND(OR(sel_Region="All",C1493=sel_Region),OR(sel_Country="All",D1493=sel_Country),OR(sel_Channel="All",E1493=sel_Channel),OR(sel_Customer="All",F1493=sel_Customer),OR(sel_Category="All",G1493=sel_Category),OR(sel_Product="All",H1493=sel_Product)),1,0)</f>
        <v/>
      </c>
    </row>
    <row r="1494">
      <c r="A1494" s="36" t="inlineStr">
        <is>
          <t>04063</t>
        </is>
      </c>
      <c r="B1494" s="44" t="n">
        <v>46230</v>
      </c>
      <c r="C1494" s="36" t="inlineStr">
        <is>
          <t>Southern Europe</t>
        </is>
      </c>
      <c r="D1494" s="36" t="inlineStr">
        <is>
          <t>Portugal</t>
        </is>
      </c>
      <c r="E1494" s="36" t="inlineStr">
        <is>
          <t>Online Store</t>
        </is>
      </c>
      <c r="F1494" s="36" t="inlineStr">
        <is>
          <t>New</t>
        </is>
      </c>
      <c r="G1494" s="36" t="inlineStr">
        <is>
          <t>Camping</t>
        </is>
      </c>
      <c r="H1494" s="36" t="inlineStr">
        <is>
          <t>Compact Sleeping Bag</t>
        </is>
      </c>
      <c r="I1494" s="36" t="n">
        <v>4</v>
      </c>
      <c r="J1494" s="39" t="n">
        <v>125.07</v>
      </c>
      <c r="K1494" s="45" t="n">
        <v>0.05</v>
      </c>
      <c r="L1494" s="39" t="n">
        <v>60</v>
      </c>
      <c r="M1494" s="39">
        <f>I1494*J1494*(1-K1494)</f>
        <v/>
      </c>
      <c r="N1494" s="39">
        <f>I1494*L1494</f>
        <v/>
      </c>
      <c r="O1494" s="39">
        <f>M1494-N1494</f>
        <v/>
      </c>
      <c r="P1494" s="38">
        <f>IF(M1494=0,0,O1494/M1494)</f>
        <v/>
      </c>
      <c r="Q1494" s="36">
        <f>YEAR(B1494)</f>
        <v/>
      </c>
      <c r="R1494" s="36">
        <f>"Q"&amp;ROUNDUP(MONTH(B1494)/3,0)</f>
        <v/>
      </c>
      <c r="S1494" s="36">
        <f>MONTH(B1494)</f>
        <v/>
      </c>
      <c r="T1494" s="36">
        <f>TEXT(B1494,"mmm")</f>
        <v/>
      </c>
      <c r="U1494" s="36">
        <f>IF(AND(OR(sel_Region="All",C1494=sel_Region),OR(sel_Country="All",D1494=sel_Country),OR(sel_Channel="All",E1494=sel_Channel),OR(sel_Customer="All",F1494=sel_Customer),OR(sel_Category="All",G1494=sel_Category),OR(sel_Product="All",H1494=sel_Product),AND(S1494&gt;=m_From,S1494&lt;=m_To)),1,0)</f>
        <v/>
      </c>
      <c r="V1494" s="36">
        <f>IF(AND(OR(sel_Region="All",C1494=sel_Region),OR(sel_Channel="All",E1494=sel_Channel),OR(sel_Customer="All",F1494=sel_Customer),OR(sel_Category="All",G1494=sel_Category),OR(sel_Product="All",H1494=sel_Product),AND(S1494&gt;=m_From,S1494&lt;=m_To)),1,0)</f>
        <v/>
      </c>
      <c r="W1494" s="36">
        <f>IF(AND(OR(sel_Region="All",C1494=sel_Region),OR(sel_Country="All",D1494=sel_Country),OR(sel_Customer="All",F1494=sel_Customer),OR(sel_Category="All",G1494=sel_Category),OR(sel_Product="All",H1494=sel_Product),AND(S1494&gt;=m_From,S1494&lt;=m_To)),1,0)</f>
        <v/>
      </c>
      <c r="X1494" s="36">
        <f>IF(AND(OR(sel_Region="All",C1494=sel_Region),OR(sel_Country="All",D1494=sel_Country),OR(sel_Channel="All",E1494=sel_Channel),OR(sel_Category="All",G1494=sel_Category),OR(sel_Product="All",H1494=sel_Product),AND(S1494&gt;=m_From,S1494&lt;=m_To)),1,0)</f>
        <v/>
      </c>
      <c r="Y1494" s="36">
        <f>IF(AND(OR(sel_Region="All",C1494=sel_Region),OR(sel_Country="All",D1494=sel_Country),OR(sel_Channel="All",E1494=sel_Channel),OR(sel_Customer="All",F1494=sel_Customer),OR(sel_Product="All",H1494=sel_Product),AND(S1494&gt;=m_From,S1494&lt;=m_To)),1,0)</f>
        <v/>
      </c>
      <c r="Z1494" s="36">
        <f>IF(AND(OR(sel_Region="All",C1494=sel_Region),OR(sel_Country="All",D1494=sel_Country),OR(sel_Channel="All",E1494=sel_Channel),OR(sel_Customer="All",F1494=sel_Customer),OR(sel_Category="All",G1494=sel_Category),AND(S1494&gt;=m_From,S1494&lt;=m_To)),1,0)</f>
        <v/>
      </c>
      <c r="AA1494" s="36">
        <f>IF(AND(OR(sel_Region="All",C1494=sel_Region),OR(sel_Country="All",D1494=sel_Country),OR(sel_Channel="All",E1494=sel_Channel),OR(sel_Customer="All",F1494=sel_Customer),OR(sel_Category="All",G1494=sel_Category),OR(sel_Product="All",H1494=sel_Product)),1,0)</f>
        <v/>
      </c>
    </row>
    <row r="1495">
      <c r="A1495" s="36" t="inlineStr">
        <is>
          <t>04474</t>
        </is>
      </c>
      <c r="B1495" s="44" t="n">
        <v>46230</v>
      </c>
      <c r="C1495" s="36" t="inlineStr">
        <is>
          <t>Western Europe</t>
        </is>
      </c>
      <c r="D1495" s="36" t="inlineStr">
        <is>
          <t>France</t>
        </is>
      </c>
      <c r="E1495" s="36" t="inlineStr">
        <is>
          <t>Corporate</t>
        </is>
      </c>
      <c r="F1495" s="36" t="inlineStr">
        <is>
          <t>Returning</t>
        </is>
      </c>
      <c r="G1495" s="36" t="inlineStr">
        <is>
          <t>Fitness</t>
        </is>
      </c>
      <c r="H1495" s="36" t="inlineStr">
        <is>
          <t>Weighted Vest</t>
        </is>
      </c>
      <c r="I1495" s="36" t="n">
        <v>5</v>
      </c>
      <c r="J1495" s="39" t="n">
        <v>122.14</v>
      </c>
      <c r="K1495" s="45" t="n">
        <v>0.05</v>
      </c>
      <c r="L1495" s="39" t="n">
        <v>70.64</v>
      </c>
      <c r="M1495" s="39">
        <f>I1495*J1495*(1-K1495)</f>
        <v/>
      </c>
      <c r="N1495" s="39">
        <f>I1495*L1495</f>
        <v/>
      </c>
      <c r="O1495" s="39">
        <f>M1495-N1495</f>
        <v/>
      </c>
      <c r="P1495" s="38">
        <f>IF(M1495=0,0,O1495/M1495)</f>
        <v/>
      </c>
      <c r="Q1495" s="36">
        <f>YEAR(B1495)</f>
        <v/>
      </c>
      <c r="R1495" s="36">
        <f>"Q"&amp;ROUNDUP(MONTH(B1495)/3,0)</f>
        <v/>
      </c>
      <c r="S1495" s="36">
        <f>MONTH(B1495)</f>
        <v/>
      </c>
      <c r="T1495" s="36">
        <f>TEXT(B1495,"mmm")</f>
        <v/>
      </c>
      <c r="U1495" s="36">
        <f>IF(AND(OR(sel_Region="All",C1495=sel_Region),OR(sel_Country="All",D1495=sel_Country),OR(sel_Channel="All",E1495=sel_Channel),OR(sel_Customer="All",F1495=sel_Customer),OR(sel_Category="All",G1495=sel_Category),OR(sel_Product="All",H1495=sel_Product),AND(S1495&gt;=m_From,S1495&lt;=m_To)),1,0)</f>
        <v/>
      </c>
      <c r="V1495" s="36">
        <f>IF(AND(OR(sel_Region="All",C1495=sel_Region),OR(sel_Channel="All",E1495=sel_Channel),OR(sel_Customer="All",F1495=sel_Customer),OR(sel_Category="All",G1495=sel_Category),OR(sel_Product="All",H1495=sel_Product),AND(S1495&gt;=m_From,S1495&lt;=m_To)),1,0)</f>
        <v/>
      </c>
      <c r="W1495" s="36">
        <f>IF(AND(OR(sel_Region="All",C1495=sel_Region),OR(sel_Country="All",D1495=sel_Country),OR(sel_Customer="All",F1495=sel_Customer),OR(sel_Category="All",G1495=sel_Category),OR(sel_Product="All",H1495=sel_Product),AND(S1495&gt;=m_From,S1495&lt;=m_To)),1,0)</f>
        <v/>
      </c>
      <c r="X1495" s="36">
        <f>IF(AND(OR(sel_Region="All",C1495=sel_Region),OR(sel_Country="All",D1495=sel_Country),OR(sel_Channel="All",E1495=sel_Channel),OR(sel_Category="All",G1495=sel_Category),OR(sel_Product="All",H1495=sel_Product),AND(S1495&gt;=m_From,S1495&lt;=m_To)),1,0)</f>
        <v/>
      </c>
      <c r="Y1495" s="36">
        <f>IF(AND(OR(sel_Region="All",C1495=sel_Region),OR(sel_Country="All",D1495=sel_Country),OR(sel_Channel="All",E1495=sel_Channel),OR(sel_Customer="All",F1495=sel_Customer),OR(sel_Product="All",H1495=sel_Product),AND(S1495&gt;=m_From,S1495&lt;=m_To)),1,0)</f>
        <v/>
      </c>
      <c r="Z1495" s="36">
        <f>IF(AND(OR(sel_Region="All",C1495=sel_Region),OR(sel_Country="All",D1495=sel_Country),OR(sel_Channel="All",E1495=sel_Channel),OR(sel_Customer="All",F1495=sel_Customer),OR(sel_Category="All",G1495=sel_Category),AND(S1495&gt;=m_From,S1495&lt;=m_To)),1,0)</f>
        <v/>
      </c>
      <c r="AA1495" s="36">
        <f>IF(AND(OR(sel_Region="All",C1495=sel_Region),OR(sel_Country="All",D1495=sel_Country),OR(sel_Channel="All",E1495=sel_Channel),OR(sel_Customer="All",F1495=sel_Customer),OR(sel_Category="All",G1495=sel_Category),OR(sel_Product="All",H1495=sel_Product)),1,0)</f>
        <v/>
      </c>
    </row>
    <row r="1496">
      <c r="A1496" s="36" t="inlineStr">
        <is>
          <t>00021</t>
        </is>
      </c>
      <c r="B1496" s="44" t="n">
        <v>46231</v>
      </c>
      <c r="C1496" s="36" t="inlineStr">
        <is>
          <t>Central Europe</t>
        </is>
      </c>
      <c r="D1496" s="36" t="inlineStr">
        <is>
          <t>Switzerland</t>
        </is>
      </c>
      <c r="E1496" s="36" t="inlineStr">
        <is>
          <t>Online Store</t>
        </is>
      </c>
      <c r="F1496" s="36" t="inlineStr">
        <is>
          <t>Business</t>
        </is>
      </c>
      <c r="G1496" s="36" t="inlineStr">
        <is>
          <t>Camping</t>
        </is>
      </c>
      <c r="H1496" s="36" t="inlineStr">
        <is>
          <t>Compact Sleeping Bag</t>
        </is>
      </c>
      <c r="I1496" s="36" t="n">
        <v>1</v>
      </c>
      <c r="J1496" s="39" t="n">
        <v>120.09</v>
      </c>
      <c r="K1496" s="45" t="n">
        <v>0</v>
      </c>
      <c r="L1496" s="39" t="n">
        <v>62.18</v>
      </c>
      <c r="M1496" s="39">
        <f>I1496*J1496*(1-K1496)</f>
        <v/>
      </c>
      <c r="N1496" s="39">
        <f>I1496*L1496</f>
        <v/>
      </c>
      <c r="O1496" s="39">
        <f>M1496-N1496</f>
        <v/>
      </c>
      <c r="P1496" s="38">
        <f>IF(M1496=0,0,O1496/M1496)</f>
        <v/>
      </c>
      <c r="Q1496" s="36">
        <f>YEAR(B1496)</f>
        <v/>
      </c>
      <c r="R1496" s="36">
        <f>"Q"&amp;ROUNDUP(MONTH(B1496)/3,0)</f>
        <v/>
      </c>
      <c r="S1496" s="36">
        <f>MONTH(B1496)</f>
        <v/>
      </c>
      <c r="T1496" s="36">
        <f>TEXT(B1496,"mmm")</f>
        <v/>
      </c>
      <c r="U1496" s="36">
        <f>IF(AND(OR(sel_Region="All",C1496=sel_Region),OR(sel_Country="All",D1496=sel_Country),OR(sel_Channel="All",E1496=sel_Channel),OR(sel_Customer="All",F1496=sel_Customer),OR(sel_Category="All",G1496=sel_Category),OR(sel_Product="All",H1496=sel_Product),AND(S1496&gt;=m_From,S1496&lt;=m_To)),1,0)</f>
        <v/>
      </c>
      <c r="V1496" s="36">
        <f>IF(AND(OR(sel_Region="All",C1496=sel_Region),OR(sel_Channel="All",E1496=sel_Channel),OR(sel_Customer="All",F1496=sel_Customer),OR(sel_Category="All",G1496=sel_Category),OR(sel_Product="All",H1496=sel_Product),AND(S1496&gt;=m_From,S1496&lt;=m_To)),1,0)</f>
        <v/>
      </c>
      <c r="W1496" s="36">
        <f>IF(AND(OR(sel_Region="All",C1496=sel_Region),OR(sel_Country="All",D1496=sel_Country),OR(sel_Customer="All",F1496=sel_Customer),OR(sel_Category="All",G1496=sel_Category),OR(sel_Product="All",H1496=sel_Product),AND(S1496&gt;=m_From,S1496&lt;=m_To)),1,0)</f>
        <v/>
      </c>
      <c r="X1496" s="36">
        <f>IF(AND(OR(sel_Region="All",C1496=sel_Region),OR(sel_Country="All",D1496=sel_Country),OR(sel_Channel="All",E1496=sel_Channel),OR(sel_Category="All",G1496=sel_Category),OR(sel_Product="All",H1496=sel_Product),AND(S1496&gt;=m_From,S1496&lt;=m_To)),1,0)</f>
        <v/>
      </c>
      <c r="Y1496" s="36">
        <f>IF(AND(OR(sel_Region="All",C1496=sel_Region),OR(sel_Country="All",D1496=sel_Country),OR(sel_Channel="All",E1496=sel_Channel),OR(sel_Customer="All",F1496=sel_Customer),OR(sel_Product="All",H1496=sel_Product),AND(S1496&gt;=m_From,S1496&lt;=m_To)),1,0)</f>
        <v/>
      </c>
      <c r="Z1496" s="36">
        <f>IF(AND(OR(sel_Region="All",C1496=sel_Region),OR(sel_Country="All",D1496=sel_Country),OR(sel_Channel="All",E1496=sel_Channel),OR(sel_Customer="All",F1496=sel_Customer),OR(sel_Category="All",G1496=sel_Category),AND(S1496&gt;=m_From,S1496&lt;=m_To)),1,0)</f>
        <v/>
      </c>
      <c r="AA1496" s="36">
        <f>IF(AND(OR(sel_Region="All",C1496=sel_Region),OR(sel_Country="All",D1496=sel_Country),OR(sel_Channel="All",E1496=sel_Channel),OR(sel_Customer="All",F1496=sel_Customer),OR(sel_Category="All",G1496=sel_Category),OR(sel_Product="All",H1496=sel_Product)),1,0)</f>
        <v/>
      </c>
    </row>
    <row r="1497">
      <c r="A1497" s="36" t="inlineStr">
        <is>
          <t>00368</t>
        </is>
      </c>
      <c r="B1497" s="44" t="n">
        <v>46231</v>
      </c>
      <c r="C1497" s="36" t="inlineStr">
        <is>
          <t>Western Europe</t>
        </is>
      </c>
      <c r="D1497" s="36" t="inlineStr">
        <is>
          <t>Belgium</t>
        </is>
      </c>
      <c r="E1497" s="36" t="inlineStr">
        <is>
          <t>Marketplace</t>
        </is>
      </c>
      <c r="F1497" s="36" t="inlineStr">
        <is>
          <t>Returning</t>
        </is>
      </c>
      <c r="G1497" s="36" t="inlineStr">
        <is>
          <t>Cycling</t>
        </is>
      </c>
      <c r="H1497" s="36" t="inlineStr">
        <is>
          <t>Cycling Pack 12L</t>
        </is>
      </c>
      <c r="I1497" s="36" t="n">
        <v>6</v>
      </c>
      <c r="J1497" s="39" t="n">
        <v>102.75</v>
      </c>
      <c r="K1497" s="45" t="n">
        <v>0</v>
      </c>
      <c r="L1497" s="39" t="n">
        <v>51.55</v>
      </c>
      <c r="M1497" s="39">
        <f>I1497*J1497*(1-K1497)</f>
        <v/>
      </c>
      <c r="N1497" s="39">
        <f>I1497*L1497</f>
        <v/>
      </c>
      <c r="O1497" s="39">
        <f>M1497-N1497</f>
        <v/>
      </c>
      <c r="P1497" s="38">
        <f>IF(M1497=0,0,O1497/M1497)</f>
        <v/>
      </c>
      <c r="Q1497" s="36">
        <f>YEAR(B1497)</f>
        <v/>
      </c>
      <c r="R1497" s="36">
        <f>"Q"&amp;ROUNDUP(MONTH(B1497)/3,0)</f>
        <v/>
      </c>
      <c r="S1497" s="36">
        <f>MONTH(B1497)</f>
        <v/>
      </c>
      <c r="T1497" s="36">
        <f>TEXT(B1497,"mmm")</f>
        <v/>
      </c>
      <c r="U1497" s="36">
        <f>IF(AND(OR(sel_Region="All",C1497=sel_Region),OR(sel_Country="All",D1497=sel_Country),OR(sel_Channel="All",E1497=sel_Channel),OR(sel_Customer="All",F1497=sel_Customer),OR(sel_Category="All",G1497=sel_Category),OR(sel_Product="All",H1497=sel_Product),AND(S1497&gt;=m_From,S1497&lt;=m_To)),1,0)</f>
        <v/>
      </c>
      <c r="V1497" s="36">
        <f>IF(AND(OR(sel_Region="All",C1497=sel_Region),OR(sel_Channel="All",E1497=sel_Channel),OR(sel_Customer="All",F1497=sel_Customer),OR(sel_Category="All",G1497=sel_Category),OR(sel_Product="All",H1497=sel_Product),AND(S1497&gt;=m_From,S1497&lt;=m_To)),1,0)</f>
        <v/>
      </c>
      <c r="W1497" s="36">
        <f>IF(AND(OR(sel_Region="All",C1497=sel_Region),OR(sel_Country="All",D1497=sel_Country),OR(sel_Customer="All",F1497=sel_Customer),OR(sel_Category="All",G1497=sel_Category),OR(sel_Product="All",H1497=sel_Product),AND(S1497&gt;=m_From,S1497&lt;=m_To)),1,0)</f>
        <v/>
      </c>
      <c r="X1497" s="36">
        <f>IF(AND(OR(sel_Region="All",C1497=sel_Region),OR(sel_Country="All",D1497=sel_Country),OR(sel_Channel="All",E1497=sel_Channel),OR(sel_Category="All",G1497=sel_Category),OR(sel_Product="All",H1497=sel_Product),AND(S1497&gt;=m_From,S1497&lt;=m_To)),1,0)</f>
        <v/>
      </c>
      <c r="Y1497" s="36">
        <f>IF(AND(OR(sel_Region="All",C1497=sel_Region),OR(sel_Country="All",D1497=sel_Country),OR(sel_Channel="All",E1497=sel_Channel),OR(sel_Customer="All",F1497=sel_Customer),OR(sel_Product="All",H1497=sel_Product),AND(S1497&gt;=m_From,S1497&lt;=m_To)),1,0)</f>
        <v/>
      </c>
      <c r="Z1497" s="36">
        <f>IF(AND(OR(sel_Region="All",C1497=sel_Region),OR(sel_Country="All",D1497=sel_Country),OR(sel_Channel="All",E1497=sel_Channel),OR(sel_Customer="All",F1497=sel_Customer),OR(sel_Category="All",G1497=sel_Category),AND(S1497&gt;=m_From,S1497&lt;=m_To)),1,0)</f>
        <v/>
      </c>
      <c r="AA1497" s="36">
        <f>IF(AND(OR(sel_Region="All",C1497=sel_Region),OR(sel_Country="All",D1497=sel_Country),OR(sel_Channel="All",E1497=sel_Channel),OR(sel_Customer="All",F1497=sel_Customer),OR(sel_Category="All",G1497=sel_Category),OR(sel_Product="All",H1497=sel_Product)),1,0)</f>
        <v/>
      </c>
    </row>
    <row r="1498">
      <c r="A1498" s="36" t="inlineStr">
        <is>
          <t>00457</t>
        </is>
      </c>
      <c r="B1498" s="44" t="n">
        <v>46231</v>
      </c>
      <c r="C1498" s="36" t="inlineStr">
        <is>
          <t>Northern Europe</t>
        </is>
      </c>
      <c r="D1498" s="36" t="inlineStr">
        <is>
          <t>Sweden</t>
        </is>
      </c>
      <c r="E1498" s="36" t="inlineStr">
        <is>
          <t>Online Store</t>
        </is>
      </c>
      <c r="F1498" s="36" t="inlineStr">
        <is>
          <t>Returning</t>
        </is>
      </c>
      <c r="G1498" s="36" t="inlineStr">
        <is>
          <t>Camping</t>
        </is>
      </c>
      <c r="H1498" s="36" t="inlineStr">
        <is>
          <t>Trail Tent 2P</t>
        </is>
      </c>
      <c r="I1498" s="36" t="n">
        <v>4</v>
      </c>
      <c r="J1498" s="39" t="n">
        <v>191.15</v>
      </c>
      <c r="K1498" s="45" t="n">
        <v>0</v>
      </c>
      <c r="L1498" s="39" t="n">
        <v>105.01</v>
      </c>
      <c r="M1498" s="39">
        <f>I1498*J1498*(1-K1498)</f>
        <v/>
      </c>
      <c r="N1498" s="39">
        <f>I1498*L1498</f>
        <v/>
      </c>
      <c r="O1498" s="39">
        <f>M1498-N1498</f>
        <v/>
      </c>
      <c r="P1498" s="38">
        <f>IF(M1498=0,0,O1498/M1498)</f>
        <v/>
      </c>
      <c r="Q1498" s="36">
        <f>YEAR(B1498)</f>
        <v/>
      </c>
      <c r="R1498" s="36">
        <f>"Q"&amp;ROUNDUP(MONTH(B1498)/3,0)</f>
        <v/>
      </c>
      <c r="S1498" s="36">
        <f>MONTH(B1498)</f>
        <v/>
      </c>
      <c r="T1498" s="36">
        <f>TEXT(B1498,"mmm")</f>
        <v/>
      </c>
      <c r="U1498" s="36">
        <f>IF(AND(OR(sel_Region="All",C1498=sel_Region),OR(sel_Country="All",D1498=sel_Country),OR(sel_Channel="All",E1498=sel_Channel),OR(sel_Customer="All",F1498=sel_Customer),OR(sel_Category="All",G1498=sel_Category),OR(sel_Product="All",H1498=sel_Product),AND(S1498&gt;=m_From,S1498&lt;=m_To)),1,0)</f>
        <v/>
      </c>
      <c r="V1498" s="36">
        <f>IF(AND(OR(sel_Region="All",C1498=sel_Region),OR(sel_Channel="All",E1498=sel_Channel),OR(sel_Customer="All",F1498=sel_Customer),OR(sel_Category="All",G1498=sel_Category),OR(sel_Product="All",H1498=sel_Product),AND(S1498&gt;=m_From,S1498&lt;=m_To)),1,0)</f>
        <v/>
      </c>
      <c r="W1498" s="36">
        <f>IF(AND(OR(sel_Region="All",C1498=sel_Region),OR(sel_Country="All",D1498=sel_Country),OR(sel_Customer="All",F1498=sel_Customer),OR(sel_Category="All",G1498=sel_Category),OR(sel_Product="All",H1498=sel_Product),AND(S1498&gt;=m_From,S1498&lt;=m_To)),1,0)</f>
        <v/>
      </c>
      <c r="X1498" s="36">
        <f>IF(AND(OR(sel_Region="All",C1498=sel_Region),OR(sel_Country="All",D1498=sel_Country),OR(sel_Channel="All",E1498=sel_Channel),OR(sel_Category="All",G1498=sel_Category),OR(sel_Product="All",H1498=sel_Product),AND(S1498&gt;=m_From,S1498&lt;=m_To)),1,0)</f>
        <v/>
      </c>
      <c r="Y1498" s="36">
        <f>IF(AND(OR(sel_Region="All",C1498=sel_Region),OR(sel_Country="All",D1498=sel_Country),OR(sel_Channel="All",E1498=sel_Channel),OR(sel_Customer="All",F1498=sel_Customer),OR(sel_Product="All",H1498=sel_Product),AND(S1498&gt;=m_From,S1498&lt;=m_To)),1,0)</f>
        <v/>
      </c>
      <c r="Z1498" s="36">
        <f>IF(AND(OR(sel_Region="All",C1498=sel_Region),OR(sel_Country="All",D1498=sel_Country),OR(sel_Channel="All",E1498=sel_Channel),OR(sel_Customer="All",F1498=sel_Customer),OR(sel_Category="All",G1498=sel_Category),AND(S1498&gt;=m_From,S1498&lt;=m_To)),1,0)</f>
        <v/>
      </c>
      <c r="AA1498" s="36">
        <f>IF(AND(OR(sel_Region="All",C1498=sel_Region),OR(sel_Country="All",D1498=sel_Country),OR(sel_Channel="All",E1498=sel_Channel),OR(sel_Customer="All",F1498=sel_Customer),OR(sel_Category="All",G1498=sel_Category),OR(sel_Product="All",H1498=sel_Product)),1,0)</f>
        <v/>
      </c>
    </row>
    <row r="1499">
      <c r="A1499" s="36" t="inlineStr">
        <is>
          <t>01516</t>
        </is>
      </c>
      <c r="B1499" s="44" t="n">
        <v>46231</v>
      </c>
      <c r="C1499" s="36" t="inlineStr">
        <is>
          <t>Southern Europe</t>
        </is>
      </c>
      <c r="D1499" s="36" t="inlineStr">
        <is>
          <t>Portugal</t>
        </is>
      </c>
      <c r="E1499" s="36" t="inlineStr">
        <is>
          <t>Online Store</t>
        </is>
      </c>
      <c r="F1499" s="36" t="inlineStr">
        <is>
          <t>Business</t>
        </is>
      </c>
      <c r="G1499" s="36" t="inlineStr">
        <is>
          <t>Fitness</t>
        </is>
      </c>
      <c r="H1499" s="36" t="inlineStr">
        <is>
          <t>Resistance Band Set</t>
        </is>
      </c>
      <c r="I1499" s="36" t="n">
        <v>2</v>
      </c>
      <c r="J1499" s="39" t="n">
        <v>40.15</v>
      </c>
      <c r="K1499" s="45" t="n">
        <v>0.1</v>
      </c>
      <c r="L1499" s="39" t="n">
        <v>14.86</v>
      </c>
      <c r="M1499" s="39">
        <f>I1499*J1499*(1-K1499)</f>
        <v/>
      </c>
      <c r="N1499" s="39">
        <f>I1499*L1499</f>
        <v/>
      </c>
      <c r="O1499" s="39">
        <f>M1499-N1499</f>
        <v/>
      </c>
      <c r="P1499" s="38">
        <f>IF(M1499=0,0,O1499/M1499)</f>
        <v/>
      </c>
      <c r="Q1499" s="36">
        <f>YEAR(B1499)</f>
        <v/>
      </c>
      <c r="R1499" s="36">
        <f>"Q"&amp;ROUNDUP(MONTH(B1499)/3,0)</f>
        <v/>
      </c>
      <c r="S1499" s="36">
        <f>MONTH(B1499)</f>
        <v/>
      </c>
      <c r="T1499" s="36">
        <f>TEXT(B1499,"mmm")</f>
        <v/>
      </c>
      <c r="U1499" s="36">
        <f>IF(AND(OR(sel_Region="All",C1499=sel_Region),OR(sel_Country="All",D1499=sel_Country),OR(sel_Channel="All",E1499=sel_Channel),OR(sel_Customer="All",F1499=sel_Customer),OR(sel_Category="All",G1499=sel_Category),OR(sel_Product="All",H1499=sel_Product),AND(S1499&gt;=m_From,S1499&lt;=m_To)),1,0)</f>
        <v/>
      </c>
      <c r="V1499" s="36">
        <f>IF(AND(OR(sel_Region="All",C1499=sel_Region),OR(sel_Channel="All",E1499=sel_Channel),OR(sel_Customer="All",F1499=sel_Customer),OR(sel_Category="All",G1499=sel_Category),OR(sel_Product="All",H1499=sel_Product),AND(S1499&gt;=m_From,S1499&lt;=m_To)),1,0)</f>
        <v/>
      </c>
      <c r="W1499" s="36">
        <f>IF(AND(OR(sel_Region="All",C1499=sel_Region),OR(sel_Country="All",D1499=sel_Country),OR(sel_Customer="All",F1499=sel_Customer),OR(sel_Category="All",G1499=sel_Category),OR(sel_Product="All",H1499=sel_Product),AND(S1499&gt;=m_From,S1499&lt;=m_To)),1,0)</f>
        <v/>
      </c>
      <c r="X1499" s="36">
        <f>IF(AND(OR(sel_Region="All",C1499=sel_Region),OR(sel_Country="All",D1499=sel_Country),OR(sel_Channel="All",E1499=sel_Channel),OR(sel_Category="All",G1499=sel_Category),OR(sel_Product="All",H1499=sel_Product),AND(S1499&gt;=m_From,S1499&lt;=m_To)),1,0)</f>
        <v/>
      </c>
      <c r="Y1499" s="36">
        <f>IF(AND(OR(sel_Region="All",C1499=sel_Region),OR(sel_Country="All",D1499=sel_Country),OR(sel_Channel="All",E1499=sel_Channel),OR(sel_Customer="All",F1499=sel_Customer),OR(sel_Product="All",H1499=sel_Product),AND(S1499&gt;=m_From,S1499&lt;=m_To)),1,0)</f>
        <v/>
      </c>
      <c r="Z1499" s="36">
        <f>IF(AND(OR(sel_Region="All",C1499=sel_Region),OR(sel_Country="All",D1499=sel_Country),OR(sel_Channel="All",E1499=sel_Channel),OR(sel_Customer="All",F1499=sel_Customer),OR(sel_Category="All",G1499=sel_Category),AND(S1499&gt;=m_From,S1499&lt;=m_To)),1,0)</f>
        <v/>
      </c>
      <c r="AA1499" s="36">
        <f>IF(AND(OR(sel_Region="All",C1499=sel_Region),OR(sel_Country="All",D1499=sel_Country),OR(sel_Channel="All",E1499=sel_Channel),OR(sel_Customer="All",F1499=sel_Customer),OR(sel_Category="All",G1499=sel_Category),OR(sel_Product="All",H1499=sel_Product)),1,0)</f>
        <v/>
      </c>
    </row>
    <row r="1500">
      <c r="A1500" s="36" t="inlineStr">
        <is>
          <t>02266</t>
        </is>
      </c>
      <c r="B1500" s="44" t="n">
        <v>46231</v>
      </c>
      <c r="C1500" s="36" t="inlineStr">
        <is>
          <t>Central Europe</t>
        </is>
      </c>
      <c r="D1500" s="36" t="inlineStr">
        <is>
          <t>Switzerland</t>
        </is>
      </c>
      <c r="E1500" s="36" t="inlineStr">
        <is>
          <t>Marketplace</t>
        </is>
      </c>
      <c r="F1500" s="36" t="inlineStr">
        <is>
          <t>Business</t>
        </is>
      </c>
      <c r="G1500" s="36" t="inlineStr">
        <is>
          <t>Camping</t>
        </is>
      </c>
      <c r="H1500" s="36" t="inlineStr">
        <is>
          <t>Portable Camp Stove</t>
        </is>
      </c>
      <c r="I1500" s="36" t="n">
        <v>1</v>
      </c>
      <c r="J1500" s="39" t="n">
        <v>83.05</v>
      </c>
      <c r="K1500" s="45" t="n">
        <v>0</v>
      </c>
      <c r="L1500" s="39" t="n">
        <v>38.86</v>
      </c>
      <c r="M1500" s="39">
        <f>I1500*J1500*(1-K1500)</f>
        <v/>
      </c>
      <c r="N1500" s="39">
        <f>I1500*L1500</f>
        <v/>
      </c>
      <c r="O1500" s="39">
        <f>M1500-N1500</f>
        <v/>
      </c>
      <c r="P1500" s="38">
        <f>IF(M1500=0,0,O1500/M1500)</f>
        <v/>
      </c>
      <c r="Q1500" s="36">
        <f>YEAR(B1500)</f>
        <v/>
      </c>
      <c r="R1500" s="36">
        <f>"Q"&amp;ROUNDUP(MONTH(B1500)/3,0)</f>
        <v/>
      </c>
      <c r="S1500" s="36">
        <f>MONTH(B1500)</f>
        <v/>
      </c>
      <c r="T1500" s="36">
        <f>TEXT(B1500,"mmm")</f>
        <v/>
      </c>
      <c r="U1500" s="36">
        <f>IF(AND(OR(sel_Region="All",C1500=sel_Region),OR(sel_Country="All",D1500=sel_Country),OR(sel_Channel="All",E1500=sel_Channel),OR(sel_Customer="All",F1500=sel_Customer),OR(sel_Category="All",G1500=sel_Category),OR(sel_Product="All",H1500=sel_Product),AND(S1500&gt;=m_From,S1500&lt;=m_To)),1,0)</f>
        <v/>
      </c>
      <c r="V1500" s="36">
        <f>IF(AND(OR(sel_Region="All",C1500=sel_Region),OR(sel_Channel="All",E1500=sel_Channel),OR(sel_Customer="All",F1500=sel_Customer),OR(sel_Category="All",G1500=sel_Category),OR(sel_Product="All",H1500=sel_Product),AND(S1500&gt;=m_From,S1500&lt;=m_To)),1,0)</f>
        <v/>
      </c>
      <c r="W1500" s="36">
        <f>IF(AND(OR(sel_Region="All",C1500=sel_Region),OR(sel_Country="All",D1500=sel_Country),OR(sel_Customer="All",F1500=sel_Customer),OR(sel_Category="All",G1500=sel_Category),OR(sel_Product="All",H1500=sel_Product),AND(S1500&gt;=m_From,S1500&lt;=m_To)),1,0)</f>
        <v/>
      </c>
      <c r="X1500" s="36">
        <f>IF(AND(OR(sel_Region="All",C1500=sel_Region),OR(sel_Country="All",D1500=sel_Country),OR(sel_Channel="All",E1500=sel_Channel),OR(sel_Category="All",G1500=sel_Category),OR(sel_Product="All",H1500=sel_Product),AND(S1500&gt;=m_From,S1500&lt;=m_To)),1,0)</f>
        <v/>
      </c>
      <c r="Y1500" s="36">
        <f>IF(AND(OR(sel_Region="All",C1500=sel_Region),OR(sel_Country="All",D1500=sel_Country),OR(sel_Channel="All",E1500=sel_Channel),OR(sel_Customer="All",F1500=sel_Customer),OR(sel_Product="All",H1500=sel_Product),AND(S1500&gt;=m_From,S1500&lt;=m_To)),1,0)</f>
        <v/>
      </c>
      <c r="Z1500" s="36">
        <f>IF(AND(OR(sel_Region="All",C1500=sel_Region),OR(sel_Country="All",D1500=sel_Country),OR(sel_Channel="All",E1500=sel_Channel),OR(sel_Customer="All",F1500=sel_Customer),OR(sel_Category="All",G1500=sel_Category),AND(S1500&gt;=m_From,S1500&lt;=m_To)),1,0)</f>
        <v/>
      </c>
      <c r="AA1500" s="36">
        <f>IF(AND(OR(sel_Region="All",C1500=sel_Region),OR(sel_Country="All",D1500=sel_Country),OR(sel_Channel="All",E1500=sel_Channel),OR(sel_Customer="All",F1500=sel_Customer),OR(sel_Category="All",G1500=sel_Category),OR(sel_Product="All",H1500=sel_Product)),1,0)</f>
        <v/>
      </c>
    </row>
    <row r="1501">
      <c r="A1501" s="36" t="inlineStr">
        <is>
          <t>02802</t>
        </is>
      </c>
      <c r="B1501" s="44" t="n">
        <v>46231</v>
      </c>
      <c r="C1501" s="36" t="inlineStr">
        <is>
          <t>Southern Europe</t>
        </is>
      </c>
      <c r="D1501" s="36" t="inlineStr">
        <is>
          <t>Portugal</t>
        </is>
      </c>
      <c r="E1501" s="36" t="inlineStr">
        <is>
          <t>Online Store</t>
        </is>
      </c>
      <c r="F1501" s="36" t="inlineStr">
        <is>
          <t>Returning</t>
        </is>
      </c>
      <c r="G1501" s="36" t="inlineStr">
        <is>
          <t>Hiking</t>
        </is>
      </c>
      <c r="H1501" s="36" t="inlineStr">
        <is>
          <t>Trail Boots</t>
        </is>
      </c>
      <c r="I1501" s="36" t="n">
        <v>2</v>
      </c>
      <c r="J1501" s="39" t="n">
        <v>146.23</v>
      </c>
      <c r="K1501" s="45" t="n">
        <v>0</v>
      </c>
      <c r="L1501" s="39" t="n">
        <v>79.04000000000001</v>
      </c>
      <c r="M1501" s="39">
        <f>I1501*J1501*(1-K1501)</f>
        <v/>
      </c>
      <c r="N1501" s="39">
        <f>I1501*L1501</f>
        <v/>
      </c>
      <c r="O1501" s="39">
        <f>M1501-N1501</f>
        <v/>
      </c>
      <c r="P1501" s="38">
        <f>IF(M1501=0,0,O1501/M1501)</f>
        <v/>
      </c>
      <c r="Q1501" s="36">
        <f>YEAR(B1501)</f>
        <v/>
      </c>
      <c r="R1501" s="36">
        <f>"Q"&amp;ROUNDUP(MONTH(B1501)/3,0)</f>
        <v/>
      </c>
      <c r="S1501" s="36">
        <f>MONTH(B1501)</f>
        <v/>
      </c>
      <c r="T1501" s="36">
        <f>TEXT(B1501,"mmm")</f>
        <v/>
      </c>
      <c r="U1501" s="36">
        <f>IF(AND(OR(sel_Region="All",C1501=sel_Region),OR(sel_Country="All",D1501=sel_Country),OR(sel_Channel="All",E1501=sel_Channel),OR(sel_Customer="All",F1501=sel_Customer),OR(sel_Category="All",G1501=sel_Category),OR(sel_Product="All",H1501=sel_Product),AND(S1501&gt;=m_From,S1501&lt;=m_To)),1,0)</f>
        <v/>
      </c>
      <c r="V1501" s="36">
        <f>IF(AND(OR(sel_Region="All",C1501=sel_Region),OR(sel_Channel="All",E1501=sel_Channel),OR(sel_Customer="All",F1501=sel_Customer),OR(sel_Category="All",G1501=sel_Category),OR(sel_Product="All",H1501=sel_Product),AND(S1501&gt;=m_From,S1501&lt;=m_To)),1,0)</f>
        <v/>
      </c>
      <c r="W1501" s="36">
        <f>IF(AND(OR(sel_Region="All",C1501=sel_Region),OR(sel_Country="All",D1501=sel_Country),OR(sel_Customer="All",F1501=sel_Customer),OR(sel_Category="All",G1501=sel_Category),OR(sel_Product="All",H1501=sel_Product),AND(S1501&gt;=m_From,S1501&lt;=m_To)),1,0)</f>
        <v/>
      </c>
      <c r="X1501" s="36">
        <f>IF(AND(OR(sel_Region="All",C1501=sel_Region),OR(sel_Country="All",D1501=sel_Country),OR(sel_Channel="All",E1501=sel_Channel),OR(sel_Category="All",G1501=sel_Category),OR(sel_Product="All",H1501=sel_Product),AND(S1501&gt;=m_From,S1501&lt;=m_To)),1,0)</f>
        <v/>
      </c>
      <c r="Y1501" s="36">
        <f>IF(AND(OR(sel_Region="All",C1501=sel_Region),OR(sel_Country="All",D1501=sel_Country),OR(sel_Channel="All",E1501=sel_Channel),OR(sel_Customer="All",F1501=sel_Customer),OR(sel_Product="All",H1501=sel_Product),AND(S1501&gt;=m_From,S1501&lt;=m_To)),1,0)</f>
        <v/>
      </c>
      <c r="Z1501" s="36">
        <f>IF(AND(OR(sel_Region="All",C1501=sel_Region),OR(sel_Country="All",D1501=sel_Country),OR(sel_Channel="All",E1501=sel_Channel),OR(sel_Customer="All",F1501=sel_Customer),OR(sel_Category="All",G1501=sel_Category),AND(S1501&gt;=m_From,S1501&lt;=m_To)),1,0)</f>
        <v/>
      </c>
      <c r="AA1501" s="36">
        <f>IF(AND(OR(sel_Region="All",C1501=sel_Region),OR(sel_Country="All",D1501=sel_Country),OR(sel_Channel="All",E1501=sel_Channel),OR(sel_Customer="All",F1501=sel_Customer),OR(sel_Category="All",G1501=sel_Category),OR(sel_Product="All",H1501=sel_Product)),1,0)</f>
        <v/>
      </c>
    </row>
    <row r="1502">
      <c r="A1502" s="36" t="inlineStr">
        <is>
          <t>03604</t>
        </is>
      </c>
      <c r="B1502" s="44" t="n">
        <v>46231</v>
      </c>
      <c r="C1502" s="36" t="inlineStr">
        <is>
          <t>Central Europe</t>
        </is>
      </c>
      <c r="D1502" s="36" t="inlineStr">
        <is>
          <t>Poland</t>
        </is>
      </c>
      <c r="E1502" s="36" t="inlineStr">
        <is>
          <t>Online Store</t>
        </is>
      </c>
      <c r="F1502" s="36" t="inlineStr">
        <is>
          <t>Returning</t>
        </is>
      </c>
      <c r="G1502" s="36" t="inlineStr">
        <is>
          <t>Hiking</t>
        </is>
      </c>
      <c r="H1502" s="36" t="inlineStr">
        <is>
          <t>Trail Boots</t>
        </is>
      </c>
      <c r="I1502" s="36" t="n">
        <v>2</v>
      </c>
      <c r="J1502" s="39" t="n">
        <v>144.09</v>
      </c>
      <c r="K1502" s="45" t="n">
        <v>0</v>
      </c>
      <c r="L1502" s="39" t="n">
        <v>77.67</v>
      </c>
      <c r="M1502" s="39">
        <f>I1502*J1502*(1-K1502)</f>
        <v/>
      </c>
      <c r="N1502" s="39">
        <f>I1502*L1502</f>
        <v/>
      </c>
      <c r="O1502" s="39">
        <f>M1502-N1502</f>
        <v/>
      </c>
      <c r="P1502" s="38">
        <f>IF(M1502=0,0,O1502/M1502)</f>
        <v/>
      </c>
      <c r="Q1502" s="36">
        <f>YEAR(B1502)</f>
        <v/>
      </c>
      <c r="R1502" s="36">
        <f>"Q"&amp;ROUNDUP(MONTH(B1502)/3,0)</f>
        <v/>
      </c>
      <c r="S1502" s="36">
        <f>MONTH(B1502)</f>
        <v/>
      </c>
      <c r="T1502" s="36">
        <f>TEXT(B1502,"mmm")</f>
        <v/>
      </c>
      <c r="U1502" s="36">
        <f>IF(AND(OR(sel_Region="All",C1502=sel_Region),OR(sel_Country="All",D1502=sel_Country),OR(sel_Channel="All",E1502=sel_Channel),OR(sel_Customer="All",F1502=sel_Customer),OR(sel_Category="All",G1502=sel_Category),OR(sel_Product="All",H1502=sel_Product),AND(S1502&gt;=m_From,S1502&lt;=m_To)),1,0)</f>
        <v/>
      </c>
      <c r="V1502" s="36">
        <f>IF(AND(OR(sel_Region="All",C1502=sel_Region),OR(sel_Channel="All",E1502=sel_Channel),OR(sel_Customer="All",F1502=sel_Customer),OR(sel_Category="All",G1502=sel_Category),OR(sel_Product="All",H1502=sel_Product),AND(S1502&gt;=m_From,S1502&lt;=m_To)),1,0)</f>
        <v/>
      </c>
      <c r="W1502" s="36">
        <f>IF(AND(OR(sel_Region="All",C1502=sel_Region),OR(sel_Country="All",D1502=sel_Country),OR(sel_Customer="All",F1502=sel_Customer),OR(sel_Category="All",G1502=sel_Category),OR(sel_Product="All",H1502=sel_Product),AND(S1502&gt;=m_From,S1502&lt;=m_To)),1,0)</f>
        <v/>
      </c>
      <c r="X1502" s="36">
        <f>IF(AND(OR(sel_Region="All",C1502=sel_Region),OR(sel_Country="All",D1502=sel_Country),OR(sel_Channel="All",E1502=sel_Channel),OR(sel_Category="All",G1502=sel_Category),OR(sel_Product="All",H1502=sel_Product),AND(S1502&gt;=m_From,S1502&lt;=m_To)),1,0)</f>
        <v/>
      </c>
      <c r="Y1502" s="36">
        <f>IF(AND(OR(sel_Region="All",C1502=sel_Region),OR(sel_Country="All",D1502=sel_Country),OR(sel_Channel="All",E1502=sel_Channel),OR(sel_Customer="All",F1502=sel_Customer),OR(sel_Product="All",H1502=sel_Product),AND(S1502&gt;=m_From,S1502&lt;=m_To)),1,0)</f>
        <v/>
      </c>
      <c r="Z1502" s="36">
        <f>IF(AND(OR(sel_Region="All",C1502=sel_Region),OR(sel_Country="All",D1502=sel_Country),OR(sel_Channel="All",E1502=sel_Channel),OR(sel_Customer="All",F1502=sel_Customer),OR(sel_Category="All",G1502=sel_Category),AND(S1502&gt;=m_From,S1502&lt;=m_To)),1,0)</f>
        <v/>
      </c>
      <c r="AA1502" s="36">
        <f>IF(AND(OR(sel_Region="All",C1502=sel_Region),OR(sel_Country="All",D1502=sel_Country),OR(sel_Channel="All",E1502=sel_Channel),OR(sel_Customer="All",F1502=sel_Customer),OR(sel_Category="All",G1502=sel_Category),OR(sel_Product="All",H1502=sel_Product)),1,0)</f>
        <v/>
      </c>
    </row>
    <row r="1503">
      <c r="A1503" s="36" t="inlineStr">
        <is>
          <t>03644</t>
        </is>
      </c>
      <c r="B1503" s="44" t="n">
        <v>46231</v>
      </c>
      <c r="C1503" s="36" t="inlineStr">
        <is>
          <t>Northern Europe</t>
        </is>
      </c>
      <c r="D1503" s="36" t="inlineStr">
        <is>
          <t>Finland</t>
        </is>
      </c>
      <c r="E1503" s="36" t="inlineStr">
        <is>
          <t>Retail Partners</t>
        </is>
      </c>
      <c r="F1503" s="36" t="inlineStr">
        <is>
          <t>Business</t>
        </is>
      </c>
      <c r="G1503" s="36" t="inlineStr">
        <is>
          <t>Hiking</t>
        </is>
      </c>
      <c r="H1503" s="36" t="inlineStr">
        <is>
          <t>Hiking Daypack 20L</t>
        </is>
      </c>
      <c r="I1503" s="36" t="n">
        <v>3</v>
      </c>
      <c r="J1503" s="39" t="n">
        <v>93.01000000000001</v>
      </c>
      <c r="K1503" s="45" t="n">
        <v>0.15</v>
      </c>
      <c r="L1503" s="39" t="n">
        <v>46.68</v>
      </c>
      <c r="M1503" s="39">
        <f>I1503*J1503*(1-K1503)</f>
        <v/>
      </c>
      <c r="N1503" s="39">
        <f>I1503*L1503</f>
        <v/>
      </c>
      <c r="O1503" s="39">
        <f>M1503-N1503</f>
        <v/>
      </c>
      <c r="P1503" s="38">
        <f>IF(M1503=0,0,O1503/M1503)</f>
        <v/>
      </c>
      <c r="Q1503" s="36">
        <f>YEAR(B1503)</f>
        <v/>
      </c>
      <c r="R1503" s="36">
        <f>"Q"&amp;ROUNDUP(MONTH(B1503)/3,0)</f>
        <v/>
      </c>
      <c r="S1503" s="36">
        <f>MONTH(B1503)</f>
        <v/>
      </c>
      <c r="T1503" s="36">
        <f>TEXT(B1503,"mmm")</f>
        <v/>
      </c>
      <c r="U1503" s="36">
        <f>IF(AND(OR(sel_Region="All",C1503=sel_Region),OR(sel_Country="All",D1503=sel_Country),OR(sel_Channel="All",E1503=sel_Channel),OR(sel_Customer="All",F1503=sel_Customer),OR(sel_Category="All",G1503=sel_Category),OR(sel_Product="All",H1503=sel_Product),AND(S1503&gt;=m_From,S1503&lt;=m_To)),1,0)</f>
        <v/>
      </c>
      <c r="V1503" s="36">
        <f>IF(AND(OR(sel_Region="All",C1503=sel_Region),OR(sel_Channel="All",E1503=sel_Channel),OR(sel_Customer="All",F1503=sel_Customer),OR(sel_Category="All",G1503=sel_Category),OR(sel_Product="All",H1503=sel_Product),AND(S1503&gt;=m_From,S1503&lt;=m_To)),1,0)</f>
        <v/>
      </c>
      <c r="W1503" s="36">
        <f>IF(AND(OR(sel_Region="All",C1503=sel_Region),OR(sel_Country="All",D1503=sel_Country),OR(sel_Customer="All",F1503=sel_Customer),OR(sel_Category="All",G1503=sel_Category),OR(sel_Product="All",H1503=sel_Product),AND(S1503&gt;=m_From,S1503&lt;=m_To)),1,0)</f>
        <v/>
      </c>
      <c r="X1503" s="36">
        <f>IF(AND(OR(sel_Region="All",C1503=sel_Region),OR(sel_Country="All",D1503=sel_Country),OR(sel_Channel="All",E1503=sel_Channel),OR(sel_Category="All",G1503=sel_Category),OR(sel_Product="All",H1503=sel_Product),AND(S1503&gt;=m_From,S1503&lt;=m_To)),1,0)</f>
        <v/>
      </c>
      <c r="Y1503" s="36">
        <f>IF(AND(OR(sel_Region="All",C1503=sel_Region),OR(sel_Country="All",D1503=sel_Country),OR(sel_Channel="All",E1503=sel_Channel),OR(sel_Customer="All",F1503=sel_Customer),OR(sel_Product="All",H1503=sel_Product),AND(S1503&gt;=m_From,S1503&lt;=m_To)),1,0)</f>
        <v/>
      </c>
      <c r="Z1503" s="36">
        <f>IF(AND(OR(sel_Region="All",C1503=sel_Region),OR(sel_Country="All",D1503=sel_Country),OR(sel_Channel="All",E1503=sel_Channel),OR(sel_Customer="All",F1503=sel_Customer),OR(sel_Category="All",G1503=sel_Category),AND(S1503&gt;=m_From,S1503&lt;=m_To)),1,0)</f>
        <v/>
      </c>
      <c r="AA1503" s="36">
        <f>IF(AND(OR(sel_Region="All",C1503=sel_Region),OR(sel_Country="All",D1503=sel_Country),OR(sel_Channel="All",E1503=sel_Channel),OR(sel_Customer="All",F1503=sel_Customer),OR(sel_Category="All",G1503=sel_Category),OR(sel_Product="All",H1503=sel_Product)),1,0)</f>
        <v/>
      </c>
    </row>
    <row r="1504">
      <c r="A1504" s="36" t="inlineStr">
        <is>
          <t>04271</t>
        </is>
      </c>
      <c r="B1504" s="44" t="n">
        <v>46231</v>
      </c>
      <c r="C1504" s="36" t="inlineStr">
        <is>
          <t>Southern Europe</t>
        </is>
      </c>
      <c r="D1504" s="36" t="inlineStr">
        <is>
          <t>Spain</t>
        </is>
      </c>
      <c r="E1504" s="36" t="inlineStr">
        <is>
          <t>Retail Partners</t>
        </is>
      </c>
      <c r="F1504" s="36" t="inlineStr">
        <is>
          <t>New</t>
        </is>
      </c>
      <c r="G1504" s="36" t="inlineStr">
        <is>
          <t>Camping</t>
        </is>
      </c>
      <c r="H1504" s="36" t="inlineStr">
        <is>
          <t>Compact Sleeping Bag</t>
        </is>
      </c>
      <c r="I1504" s="36" t="n">
        <v>1</v>
      </c>
      <c r="J1504" s="39" t="n">
        <v>121.61</v>
      </c>
      <c r="K1504" s="45" t="n">
        <v>0.1</v>
      </c>
      <c r="L1504" s="39" t="n">
        <v>60.58</v>
      </c>
      <c r="M1504" s="39">
        <f>I1504*J1504*(1-K1504)</f>
        <v/>
      </c>
      <c r="N1504" s="39">
        <f>I1504*L1504</f>
        <v/>
      </c>
      <c r="O1504" s="39">
        <f>M1504-N1504</f>
        <v/>
      </c>
      <c r="P1504" s="38">
        <f>IF(M1504=0,0,O1504/M1504)</f>
        <v/>
      </c>
      <c r="Q1504" s="36">
        <f>YEAR(B1504)</f>
        <v/>
      </c>
      <c r="R1504" s="36">
        <f>"Q"&amp;ROUNDUP(MONTH(B1504)/3,0)</f>
        <v/>
      </c>
      <c r="S1504" s="36">
        <f>MONTH(B1504)</f>
        <v/>
      </c>
      <c r="T1504" s="36">
        <f>TEXT(B1504,"mmm")</f>
        <v/>
      </c>
      <c r="U1504" s="36">
        <f>IF(AND(OR(sel_Region="All",C1504=sel_Region),OR(sel_Country="All",D1504=sel_Country),OR(sel_Channel="All",E1504=sel_Channel),OR(sel_Customer="All",F1504=sel_Customer),OR(sel_Category="All",G1504=sel_Category),OR(sel_Product="All",H1504=sel_Product),AND(S1504&gt;=m_From,S1504&lt;=m_To)),1,0)</f>
        <v/>
      </c>
      <c r="V1504" s="36">
        <f>IF(AND(OR(sel_Region="All",C1504=sel_Region),OR(sel_Channel="All",E1504=sel_Channel),OR(sel_Customer="All",F1504=sel_Customer),OR(sel_Category="All",G1504=sel_Category),OR(sel_Product="All",H1504=sel_Product),AND(S1504&gt;=m_From,S1504&lt;=m_To)),1,0)</f>
        <v/>
      </c>
      <c r="W1504" s="36">
        <f>IF(AND(OR(sel_Region="All",C1504=sel_Region),OR(sel_Country="All",D1504=sel_Country),OR(sel_Customer="All",F1504=sel_Customer),OR(sel_Category="All",G1504=sel_Category),OR(sel_Product="All",H1504=sel_Product),AND(S1504&gt;=m_From,S1504&lt;=m_To)),1,0)</f>
        <v/>
      </c>
      <c r="X1504" s="36">
        <f>IF(AND(OR(sel_Region="All",C1504=sel_Region),OR(sel_Country="All",D1504=sel_Country),OR(sel_Channel="All",E1504=sel_Channel),OR(sel_Category="All",G1504=sel_Category),OR(sel_Product="All",H1504=sel_Product),AND(S1504&gt;=m_From,S1504&lt;=m_To)),1,0)</f>
        <v/>
      </c>
      <c r="Y1504" s="36">
        <f>IF(AND(OR(sel_Region="All",C1504=sel_Region),OR(sel_Country="All",D1504=sel_Country),OR(sel_Channel="All",E1504=sel_Channel),OR(sel_Customer="All",F1504=sel_Customer),OR(sel_Product="All",H1504=sel_Product),AND(S1504&gt;=m_From,S1504&lt;=m_To)),1,0)</f>
        <v/>
      </c>
      <c r="Z1504" s="36">
        <f>IF(AND(OR(sel_Region="All",C1504=sel_Region),OR(sel_Country="All",D1504=sel_Country),OR(sel_Channel="All",E1504=sel_Channel),OR(sel_Customer="All",F1504=sel_Customer),OR(sel_Category="All",G1504=sel_Category),AND(S1504&gt;=m_From,S1504&lt;=m_To)),1,0)</f>
        <v/>
      </c>
      <c r="AA1504" s="36">
        <f>IF(AND(OR(sel_Region="All",C1504=sel_Region),OR(sel_Country="All",D1504=sel_Country),OR(sel_Channel="All",E1504=sel_Channel),OR(sel_Customer="All",F1504=sel_Customer),OR(sel_Category="All",G1504=sel_Category),OR(sel_Product="All",H1504=sel_Product)),1,0)</f>
        <v/>
      </c>
    </row>
    <row r="1505">
      <c r="A1505" s="36" t="inlineStr">
        <is>
          <t>00272</t>
        </is>
      </c>
      <c r="B1505" s="44" t="n">
        <v>46232</v>
      </c>
      <c r="C1505" s="36" t="inlineStr">
        <is>
          <t>Western Europe</t>
        </is>
      </c>
      <c r="D1505" s="36" t="inlineStr">
        <is>
          <t>Belgium</t>
        </is>
      </c>
      <c r="E1505" s="36" t="inlineStr">
        <is>
          <t>Online Store</t>
        </is>
      </c>
      <c r="F1505" s="36" t="inlineStr">
        <is>
          <t>Business</t>
        </is>
      </c>
      <c r="G1505" s="36" t="inlineStr">
        <is>
          <t>Camping</t>
        </is>
      </c>
      <c r="H1505" s="36" t="inlineStr">
        <is>
          <t>Trail Tent 2P</t>
        </is>
      </c>
      <c r="I1505" s="36" t="n">
        <v>2</v>
      </c>
      <c r="J1505" s="39" t="n">
        <v>195.09</v>
      </c>
      <c r="K1505" s="45" t="n">
        <v>0</v>
      </c>
      <c r="L1505" s="39" t="n">
        <v>106.82</v>
      </c>
      <c r="M1505" s="39">
        <f>I1505*J1505*(1-K1505)</f>
        <v/>
      </c>
      <c r="N1505" s="39">
        <f>I1505*L1505</f>
        <v/>
      </c>
      <c r="O1505" s="39">
        <f>M1505-N1505</f>
        <v/>
      </c>
      <c r="P1505" s="38">
        <f>IF(M1505=0,0,O1505/M1505)</f>
        <v/>
      </c>
      <c r="Q1505" s="36">
        <f>YEAR(B1505)</f>
        <v/>
      </c>
      <c r="R1505" s="36">
        <f>"Q"&amp;ROUNDUP(MONTH(B1505)/3,0)</f>
        <v/>
      </c>
      <c r="S1505" s="36">
        <f>MONTH(B1505)</f>
        <v/>
      </c>
      <c r="T1505" s="36">
        <f>TEXT(B1505,"mmm")</f>
        <v/>
      </c>
      <c r="U1505" s="36">
        <f>IF(AND(OR(sel_Region="All",C1505=sel_Region),OR(sel_Country="All",D1505=sel_Country),OR(sel_Channel="All",E1505=sel_Channel),OR(sel_Customer="All",F1505=sel_Customer),OR(sel_Category="All",G1505=sel_Category),OR(sel_Product="All",H1505=sel_Product),AND(S1505&gt;=m_From,S1505&lt;=m_To)),1,0)</f>
        <v/>
      </c>
      <c r="V1505" s="36">
        <f>IF(AND(OR(sel_Region="All",C1505=sel_Region),OR(sel_Channel="All",E1505=sel_Channel),OR(sel_Customer="All",F1505=sel_Customer),OR(sel_Category="All",G1505=sel_Category),OR(sel_Product="All",H1505=sel_Product),AND(S1505&gt;=m_From,S1505&lt;=m_To)),1,0)</f>
        <v/>
      </c>
      <c r="W1505" s="36">
        <f>IF(AND(OR(sel_Region="All",C1505=sel_Region),OR(sel_Country="All",D1505=sel_Country),OR(sel_Customer="All",F1505=sel_Customer),OR(sel_Category="All",G1505=sel_Category),OR(sel_Product="All",H1505=sel_Product),AND(S1505&gt;=m_From,S1505&lt;=m_To)),1,0)</f>
        <v/>
      </c>
      <c r="X1505" s="36">
        <f>IF(AND(OR(sel_Region="All",C1505=sel_Region),OR(sel_Country="All",D1505=sel_Country),OR(sel_Channel="All",E1505=sel_Channel),OR(sel_Category="All",G1505=sel_Category),OR(sel_Product="All",H1505=sel_Product),AND(S1505&gt;=m_From,S1505&lt;=m_To)),1,0)</f>
        <v/>
      </c>
      <c r="Y1505" s="36">
        <f>IF(AND(OR(sel_Region="All",C1505=sel_Region),OR(sel_Country="All",D1505=sel_Country),OR(sel_Channel="All",E1505=sel_Channel),OR(sel_Customer="All",F1505=sel_Customer),OR(sel_Product="All",H1505=sel_Product),AND(S1505&gt;=m_From,S1505&lt;=m_To)),1,0)</f>
        <v/>
      </c>
      <c r="Z1505" s="36">
        <f>IF(AND(OR(sel_Region="All",C1505=sel_Region),OR(sel_Country="All",D1505=sel_Country),OR(sel_Channel="All",E1505=sel_Channel),OR(sel_Customer="All",F1505=sel_Customer),OR(sel_Category="All",G1505=sel_Category),AND(S1505&gt;=m_From,S1505&lt;=m_To)),1,0)</f>
        <v/>
      </c>
      <c r="AA1505" s="36">
        <f>IF(AND(OR(sel_Region="All",C1505=sel_Region),OR(sel_Country="All",D1505=sel_Country),OR(sel_Channel="All",E1505=sel_Channel),OR(sel_Customer="All",F1505=sel_Customer),OR(sel_Category="All",G1505=sel_Category),OR(sel_Product="All",H1505=sel_Product)),1,0)</f>
        <v/>
      </c>
    </row>
    <row r="1506">
      <c r="A1506" s="36" t="inlineStr">
        <is>
          <t>01469</t>
        </is>
      </c>
      <c r="B1506" s="44" t="n">
        <v>46232</v>
      </c>
      <c r="C1506" s="36" t="inlineStr">
        <is>
          <t>Northern Europe</t>
        </is>
      </c>
      <c r="D1506" s="36" t="inlineStr">
        <is>
          <t>Finland</t>
        </is>
      </c>
      <c r="E1506" s="36" t="inlineStr">
        <is>
          <t>Retail Partners</t>
        </is>
      </c>
      <c r="F1506" s="36" t="inlineStr">
        <is>
          <t>Returning</t>
        </is>
      </c>
      <c r="G1506" s="36" t="inlineStr">
        <is>
          <t>Travel</t>
        </is>
      </c>
      <c r="H1506" s="36" t="inlineStr">
        <is>
          <t>Travel Backpack 35L</t>
        </is>
      </c>
      <c r="I1506" s="36" t="n">
        <v>3</v>
      </c>
      <c r="J1506" s="39" t="n">
        <v>167.52</v>
      </c>
      <c r="K1506" s="45" t="n">
        <v>0</v>
      </c>
      <c r="L1506" s="39" t="n">
        <v>87.26000000000001</v>
      </c>
      <c r="M1506" s="39">
        <f>I1506*J1506*(1-K1506)</f>
        <v/>
      </c>
      <c r="N1506" s="39">
        <f>I1506*L1506</f>
        <v/>
      </c>
      <c r="O1506" s="39">
        <f>M1506-N1506</f>
        <v/>
      </c>
      <c r="P1506" s="38">
        <f>IF(M1506=0,0,O1506/M1506)</f>
        <v/>
      </c>
      <c r="Q1506" s="36">
        <f>YEAR(B1506)</f>
        <v/>
      </c>
      <c r="R1506" s="36">
        <f>"Q"&amp;ROUNDUP(MONTH(B1506)/3,0)</f>
        <v/>
      </c>
      <c r="S1506" s="36">
        <f>MONTH(B1506)</f>
        <v/>
      </c>
      <c r="T1506" s="36">
        <f>TEXT(B1506,"mmm")</f>
        <v/>
      </c>
      <c r="U1506" s="36">
        <f>IF(AND(OR(sel_Region="All",C1506=sel_Region),OR(sel_Country="All",D1506=sel_Country),OR(sel_Channel="All",E1506=sel_Channel),OR(sel_Customer="All",F1506=sel_Customer),OR(sel_Category="All",G1506=sel_Category),OR(sel_Product="All",H1506=sel_Product),AND(S1506&gt;=m_From,S1506&lt;=m_To)),1,0)</f>
        <v/>
      </c>
      <c r="V1506" s="36">
        <f>IF(AND(OR(sel_Region="All",C1506=sel_Region),OR(sel_Channel="All",E1506=sel_Channel),OR(sel_Customer="All",F1506=sel_Customer),OR(sel_Category="All",G1506=sel_Category),OR(sel_Product="All",H1506=sel_Product),AND(S1506&gt;=m_From,S1506&lt;=m_To)),1,0)</f>
        <v/>
      </c>
      <c r="W1506" s="36">
        <f>IF(AND(OR(sel_Region="All",C1506=sel_Region),OR(sel_Country="All",D1506=sel_Country),OR(sel_Customer="All",F1506=sel_Customer),OR(sel_Category="All",G1506=sel_Category),OR(sel_Product="All",H1506=sel_Product),AND(S1506&gt;=m_From,S1506&lt;=m_To)),1,0)</f>
        <v/>
      </c>
      <c r="X1506" s="36">
        <f>IF(AND(OR(sel_Region="All",C1506=sel_Region),OR(sel_Country="All",D1506=sel_Country),OR(sel_Channel="All",E1506=sel_Channel),OR(sel_Category="All",G1506=sel_Category),OR(sel_Product="All",H1506=sel_Product),AND(S1506&gt;=m_From,S1506&lt;=m_To)),1,0)</f>
        <v/>
      </c>
      <c r="Y1506" s="36">
        <f>IF(AND(OR(sel_Region="All",C1506=sel_Region),OR(sel_Country="All",D1506=sel_Country),OR(sel_Channel="All",E1506=sel_Channel),OR(sel_Customer="All",F1506=sel_Customer),OR(sel_Product="All",H1506=sel_Product),AND(S1506&gt;=m_From,S1506&lt;=m_To)),1,0)</f>
        <v/>
      </c>
      <c r="Z1506" s="36">
        <f>IF(AND(OR(sel_Region="All",C1506=sel_Region),OR(sel_Country="All",D1506=sel_Country),OR(sel_Channel="All",E1506=sel_Channel),OR(sel_Customer="All",F1506=sel_Customer),OR(sel_Category="All",G1506=sel_Category),AND(S1506&gt;=m_From,S1506&lt;=m_To)),1,0)</f>
        <v/>
      </c>
      <c r="AA1506" s="36">
        <f>IF(AND(OR(sel_Region="All",C1506=sel_Region),OR(sel_Country="All",D1506=sel_Country),OR(sel_Channel="All",E1506=sel_Channel),OR(sel_Customer="All",F1506=sel_Customer),OR(sel_Category="All",G1506=sel_Category),OR(sel_Product="All",H1506=sel_Product)),1,0)</f>
        <v/>
      </c>
    </row>
    <row r="1507">
      <c r="A1507" s="36" t="inlineStr">
        <is>
          <t>02253</t>
        </is>
      </c>
      <c r="B1507" s="44" t="n">
        <v>46232</v>
      </c>
      <c r="C1507" s="36" t="inlineStr">
        <is>
          <t>Central Europe</t>
        </is>
      </c>
      <c r="D1507" s="36" t="inlineStr">
        <is>
          <t>Poland</t>
        </is>
      </c>
      <c r="E1507" s="36" t="inlineStr">
        <is>
          <t>Marketplace</t>
        </is>
      </c>
      <c r="F1507" s="36" t="inlineStr">
        <is>
          <t>New</t>
        </is>
      </c>
      <c r="G1507" s="36" t="inlineStr">
        <is>
          <t>Cycling</t>
        </is>
      </c>
      <c r="H1507" s="36" t="inlineStr">
        <is>
          <t>Trail Bike Light</t>
        </is>
      </c>
      <c r="I1507" s="36" t="n">
        <v>3</v>
      </c>
      <c r="J1507" s="39" t="n">
        <v>50.98</v>
      </c>
      <c r="K1507" s="45" t="n">
        <v>0</v>
      </c>
      <c r="L1507" s="39" t="n">
        <v>22.63</v>
      </c>
      <c r="M1507" s="39">
        <f>I1507*J1507*(1-K1507)</f>
        <v/>
      </c>
      <c r="N1507" s="39">
        <f>I1507*L1507</f>
        <v/>
      </c>
      <c r="O1507" s="39">
        <f>M1507-N1507</f>
        <v/>
      </c>
      <c r="P1507" s="38">
        <f>IF(M1507=0,0,O1507/M1507)</f>
        <v/>
      </c>
      <c r="Q1507" s="36">
        <f>YEAR(B1507)</f>
        <v/>
      </c>
      <c r="R1507" s="36">
        <f>"Q"&amp;ROUNDUP(MONTH(B1507)/3,0)</f>
        <v/>
      </c>
      <c r="S1507" s="36">
        <f>MONTH(B1507)</f>
        <v/>
      </c>
      <c r="T1507" s="36">
        <f>TEXT(B1507,"mmm")</f>
        <v/>
      </c>
      <c r="U1507" s="36">
        <f>IF(AND(OR(sel_Region="All",C1507=sel_Region),OR(sel_Country="All",D1507=sel_Country),OR(sel_Channel="All",E1507=sel_Channel),OR(sel_Customer="All",F1507=sel_Customer),OR(sel_Category="All",G1507=sel_Category),OR(sel_Product="All",H1507=sel_Product),AND(S1507&gt;=m_From,S1507&lt;=m_To)),1,0)</f>
        <v/>
      </c>
      <c r="V1507" s="36">
        <f>IF(AND(OR(sel_Region="All",C1507=sel_Region),OR(sel_Channel="All",E1507=sel_Channel),OR(sel_Customer="All",F1507=sel_Customer),OR(sel_Category="All",G1507=sel_Category),OR(sel_Product="All",H1507=sel_Product),AND(S1507&gt;=m_From,S1507&lt;=m_To)),1,0)</f>
        <v/>
      </c>
      <c r="W1507" s="36">
        <f>IF(AND(OR(sel_Region="All",C1507=sel_Region),OR(sel_Country="All",D1507=sel_Country),OR(sel_Customer="All",F1507=sel_Customer),OR(sel_Category="All",G1507=sel_Category),OR(sel_Product="All",H1507=sel_Product),AND(S1507&gt;=m_From,S1507&lt;=m_To)),1,0)</f>
        <v/>
      </c>
      <c r="X1507" s="36">
        <f>IF(AND(OR(sel_Region="All",C1507=sel_Region),OR(sel_Country="All",D1507=sel_Country),OR(sel_Channel="All",E1507=sel_Channel),OR(sel_Category="All",G1507=sel_Category),OR(sel_Product="All",H1507=sel_Product),AND(S1507&gt;=m_From,S1507&lt;=m_To)),1,0)</f>
        <v/>
      </c>
      <c r="Y1507" s="36">
        <f>IF(AND(OR(sel_Region="All",C1507=sel_Region),OR(sel_Country="All",D1507=sel_Country),OR(sel_Channel="All",E1507=sel_Channel),OR(sel_Customer="All",F1507=sel_Customer),OR(sel_Product="All",H1507=sel_Product),AND(S1507&gt;=m_From,S1507&lt;=m_To)),1,0)</f>
        <v/>
      </c>
      <c r="Z1507" s="36">
        <f>IF(AND(OR(sel_Region="All",C1507=sel_Region),OR(sel_Country="All",D1507=sel_Country),OR(sel_Channel="All",E1507=sel_Channel),OR(sel_Customer="All",F1507=sel_Customer),OR(sel_Category="All",G1507=sel_Category),AND(S1507&gt;=m_From,S1507&lt;=m_To)),1,0)</f>
        <v/>
      </c>
      <c r="AA1507" s="36">
        <f>IF(AND(OR(sel_Region="All",C1507=sel_Region),OR(sel_Country="All",D1507=sel_Country),OR(sel_Channel="All",E1507=sel_Channel),OR(sel_Customer="All",F1507=sel_Customer),OR(sel_Category="All",G1507=sel_Category),OR(sel_Product="All",H1507=sel_Product)),1,0)</f>
        <v/>
      </c>
    </row>
    <row r="1508">
      <c r="A1508" s="36" t="inlineStr">
        <is>
          <t>02554</t>
        </is>
      </c>
      <c r="B1508" s="44" t="n">
        <v>46232</v>
      </c>
      <c r="C1508" s="36" t="inlineStr">
        <is>
          <t>Central Europe</t>
        </is>
      </c>
      <c r="D1508" s="36" t="inlineStr">
        <is>
          <t>Switzerland</t>
        </is>
      </c>
      <c r="E1508" s="36" t="inlineStr">
        <is>
          <t>Marketplace</t>
        </is>
      </c>
      <c r="F1508" s="36" t="inlineStr">
        <is>
          <t>New</t>
        </is>
      </c>
      <c r="G1508" s="36" t="inlineStr">
        <is>
          <t>Fitness</t>
        </is>
      </c>
      <c r="H1508" s="36" t="inlineStr">
        <is>
          <t>Training Mat</t>
        </is>
      </c>
      <c r="I1508" s="36" t="n">
        <v>2</v>
      </c>
      <c r="J1508" s="39" t="n">
        <v>49.98</v>
      </c>
      <c r="K1508" s="45" t="n">
        <v>0.1</v>
      </c>
      <c r="L1508" s="39" t="n">
        <v>21.91</v>
      </c>
      <c r="M1508" s="39">
        <f>I1508*J1508*(1-K1508)</f>
        <v/>
      </c>
      <c r="N1508" s="39">
        <f>I1508*L1508</f>
        <v/>
      </c>
      <c r="O1508" s="39">
        <f>M1508-N1508</f>
        <v/>
      </c>
      <c r="P1508" s="38">
        <f>IF(M1508=0,0,O1508/M1508)</f>
        <v/>
      </c>
      <c r="Q1508" s="36">
        <f>YEAR(B1508)</f>
        <v/>
      </c>
      <c r="R1508" s="36">
        <f>"Q"&amp;ROUNDUP(MONTH(B1508)/3,0)</f>
        <v/>
      </c>
      <c r="S1508" s="36">
        <f>MONTH(B1508)</f>
        <v/>
      </c>
      <c r="T1508" s="36">
        <f>TEXT(B1508,"mmm")</f>
        <v/>
      </c>
      <c r="U1508" s="36">
        <f>IF(AND(OR(sel_Region="All",C1508=sel_Region),OR(sel_Country="All",D1508=sel_Country),OR(sel_Channel="All",E1508=sel_Channel),OR(sel_Customer="All",F1508=sel_Customer),OR(sel_Category="All",G1508=sel_Category),OR(sel_Product="All",H1508=sel_Product),AND(S1508&gt;=m_From,S1508&lt;=m_To)),1,0)</f>
        <v/>
      </c>
      <c r="V1508" s="36">
        <f>IF(AND(OR(sel_Region="All",C1508=sel_Region),OR(sel_Channel="All",E1508=sel_Channel),OR(sel_Customer="All",F1508=sel_Customer),OR(sel_Category="All",G1508=sel_Category),OR(sel_Product="All",H1508=sel_Product),AND(S1508&gt;=m_From,S1508&lt;=m_To)),1,0)</f>
        <v/>
      </c>
      <c r="W1508" s="36">
        <f>IF(AND(OR(sel_Region="All",C1508=sel_Region),OR(sel_Country="All",D1508=sel_Country),OR(sel_Customer="All",F1508=sel_Customer),OR(sel_Category="All",G1508=sel_Category),OR(sel_Product="All",H1508=sel_Product),AND(S1508&gt;=m_From,S1508&lt;=m_To)),1,0)</f>
        <v/>
      </c>
      <c r="X1508" s="36">
        <f>IF(AND(OR(sel_Region="All",C1508=sel_Region),OR(sel_Country="All",D1508=sel_Country),OR(sel_Channel="All",E1508=sel_Channel),OR(sel_Category="All",G1508=sel_Category),OR(sel_Product="All",H1508=sel_Product),AND(S1508&gt;=m_From,S1508&lt;=m_To)),1,0)</f>
        <v/>
      </c>
      <c r="Y1508" s="36">
        <f>IF(AND(OR(sel_Region="All",C1508=sel_Region),OR(sel_Country="All",D1508=sel_Country),OR(sel_Channel="All",E1508=sel_Channel),OR(sel_Customer="All",F1508=sel_Customer),OR(sel_Product="All",H1508=sel_Product),AND(S1508&gt;=m_From,S1508&lt;=m_To)),1,0)</f>
        <v/>
      </c>
      <c r="Z1508" s="36">
        <f>IF(AND(OR(sel_Region="All",C1508=sel_Region),OR(sel_Country="All",D1508=sel_Country),OR(sel_Channel="All",E1508=sel_Channel),OR(sel_Customer="All",F1508=sel_Customer),OR(sel_Category="All",G1508=sel_Category),AND(S1508&gt;=m_From,S1508&lt;=m_To)),1,0)</f>
        <v/>
      </c>
      <c r="AA1508" s="36">
        <f>IF(AND(OR(sel_Region="All",C1508=sel_Region),OR(sel_Country="All",D1508=sel_Country),OR(sel_Channel="All",E1508=sel_Channel),OR(sel_Customer="All",F1508=sel_Customer),OR(sel_Category="All",G1508=sel_Category),OR(sel_Product="All",H1508=sel_Product)),1,0)</f>
        <v/>
      </c>
    </row>
    <row r="1509">
      <c r="A1509" s="36" t="inlineStr">
        <is>
          <t>02624</t>
        </is>
      </c>
      <c r="B1509" s="44" t="n">
        <v>46232</v>
      </c>
      <c r="C1509" s="36" t="inlineStr">
        <is>
          <t>Western Europe</t>
        </is>
      </c>
      <c r="D1509" s="36" t="inlineStr">
        <is>
          <t>Belgium</t>
        </is>
      </c>
      <c r="E1509" s="36" t="inlineStr">
        <is>
          <t>Corporate</t>
        </is>
      </c>
      <c r="F1509" s="36" t="inlineStr">
        <is>
          <t>Business</t>
        </is>
      </c>
      <c r="G1509" s="36" t="inlineStr">
        <is>
          <t>Travel</t>
        </is>
      </c>
      <c r="H1509" s="36" t="inlineStr">
        <is>
          <t>Insulated Bottle</t>
        </is>
      </c>
      <c r="I1509" s="36" t="n">
        <v>4</v>
      </c>
      <c r="J1509" s="39" t="n">
        <v>36.44</v>
      </c>
      <c r="K1509" s="45" t="n">
        <v>0.15</v>
      </c>
      <c r="L1509" s="39" t="n">
        <v>13.32</v>
      </c>
      <c r="M1509" s="39">
        <f>I1509*J1509*(1-K1509)</f>
        <v/>
      </c>
      <c r="N1509" s="39">
        <f>I1509*L1509</f>
        <v/>
      </c>
      <c r="O1509" s="39">
        <f>M1509-N1509</f>
        <v/>
      </c>
      <c r="P1509" s="38">
        <f>IF(M1509=0,0,O1509/M1509)</f>
        <v/>
      </c>
      <c r="Q1509" s="36">
        <f>YEAR(B1509)</f>
        <v/>
      </c>
      <c r="R1509" s="36">
        <f>"Q"&amp;ROUNDUP(MONTH(B1509)/3,0)</f>
        <v/>
      </c>
      <c r="S1509" s="36">
        <f>MONTH(B1509)</f>
        <v/>
      </c>
      <c r="T1509" s="36">
        <f>TEXT(B1509,"mmm")</f>
        <v/>
      </c>
      <c r="U1509" s="36">
        <f>IF(AND(OR(sel_Region="All",C1509=sel_Region),OR(sel_Country="All",D1509=sel_Country),OR(sel_Channel="All",E1509=sel_Channel),OR(sel_Customer="All",F1509=sel_Customer),OR(sel_Category="All",G1509=sel_Category),OR(sel_Product="All",H1509=sel_Product),AND(S1509&gt;=m_From,S1509&lt;=m_To)),1,0)</f>
        <v/>
      </c>
      <c r="V1509" s="36">
        <f>IF(AND(OR(sel_Region="All",C1509=sel_Region),OR(sel_Channel="All",E1509=sel_Channel),OR(sel_Customer="All",F1509=sel_Customer),OR(sel_Category="All",G1509=sel_Category),OR(sel_Product="All",H1509=sel_Product),AND(S1509&gt;=m_From,S1509&lt;=m_To)),1,0)</f>
        <v/>
      </c>
      <c r="W1509" s="36">
        <f>IF(AND(OR(sel_Region="All",C1509=sel_Region),OR(sel_Country="All",D1509=sel_Country),OR(sel_Customer="All",F1509=sel_Customer),OR(sel_Category="All",G1509=sel_Category),OR(sel_Product="All",H1509=sel_Product),AND(S1509&gt;=m_From,S1509&lt;=m_To)),1,0)</f>
        <v/>
      </c>
      <c r="X1509" s="36">
        <f>IF(AND(OR(sel_Region="All",C1509=sel_Region),OR(sel_Country="All",D1509=sel_Country),OR(sel_Channel="All",E1509=sel_Channel),OR(sel_Category="All",G1509=sel_Category),OR(sel_Product="All",H1509=sel_Product),AND(S1509&gt;=m_From,S1509&lt;=m_To)),1,0)</f>
        <v/>
      </c>
      <c r="Y1509" s="36">
        <f>IF(AND(OR(sel_Region="All",C1509=sel_Region),OR(sel_Country="All",D1509=sel_Country),OR(sel_Channel="All",E1509=sel_Channel),OR(sel_Customer="All",F1509=sel_Customer),OR(sel_Product="All",H1509=sel_Product),AND(S1509&gt;=m_From,S1509&lt;=m_To)),1,0)</f>
        <v/>
      </c>
      <c r="Z1509" s="36">
        <f>IF(AND(OR(sel_Region="All",C1509=sel_Region),OR(sel_Country="All",D1509=sel_Country),OR(sel_Channel="All",E1509=sel_Channel),OR(sel_Customer="All",F1509=sel_Customer),OR(sel_Category="All",G1509=sel_Category),AND(S1509&gt;=m_From,S1509&lt;=m_To)),1,0)</f>
        <v/>
      </c>
      <c r="AA1509" s="36">
        <f>IF(AND(OR(sel_Region="All",C1509=sel_Region),OR(sel_Country="All",D1509=sel_Country),OR(sel_Channel="All",E1509=sel_Channel),OR(sel_Customer="All",F1509=sel_Customer),OR(sel_Category="All",G1509=sel_Category),OR(sel_Product="All",H1509=sel_Product)),1,0)</f>
        <v/>
      </c>
    </row>
    <row r="1510">
      <c r="A1510" s="36" t="inlineStr">
        <is>
          <t>03338</t>
        </is>
      </c>
      <c r="B1510" s="44" t="n">
        <v>46232</v>
      </c>
      <c r="C1510" s="36" t="inlineStr">
        <is>
          <t>Southern Europe</t>
        </is>
      </c>
      <c r="D1510" s="36" t="inlineStr">
        <is>
          <t>Spain</t>
        </is>
      </c>
      <c r="E1510" s="36" t="inlineStr">
        <is>
          <t>Online Store</t>
        </is>
      </c>
      <c r="F1510" s="36" t="inlineStr">
        <is>
          <t>Returning</t>
        </is>
      </c>
      <c r="G1510" s="36" t="inlineStr">
        <is>
          <t>Camping</t>
        </is>
      </c>
      <c r="H1510" s="36" t="inlineStr">
        <is>
          <t>Trail Tent 2P</t>
        </is>
      </c>
      <c r="I1510" s="36" t="n">
        <v>1</v>
      </c>
      <c r="J1510" s="39" t="n">
        <v>195.34</v>
      </c>
      <c r="K1510" s="45" t="n">
        <v>0.05</v>
      </c>
      <c r="L1510" s="39" t="n">
        <v>106.6</v>
      </c>
      <c r="M1510" s="39">
        <f>I1510*J1510*(1-K1510)</f>
        <v/>
      </c>
      <c r="N1510" s="39">
        <f>I1510*L1510</f>
        <v/>
      </c>
      <c r="O1510" s="39">
        <f>M1510-N1510</f>
        <v/>
      </c>
      <c r="P1510" s="38">
        <f>IF(M1510=0,0,O1510/M1510)</f>
        <v/>
      </c>
      <c r="Q1510" s="36">
        <f>YEAR(B1510)</f>
        <v/>
      </c>
      <c r="R1510" s="36">
        <f>"Q"&amp;ROUNDUP(MONTH(B1510)/3,0)</f>
        <v/>
      </c>
      <c r="S1510" s="36">
        <f>MONTH(B1510)</f>
        <v/>
      </c>
      <c r="T1510" s="36">
        <f>TEXT(B1510,"mmm")</f>
        <v/>
      </c>
      <c r="U1510" s="36">
        <f>IF(AND(OR(sel_Region="All",C1510=sel_Region),OR(sel_Country="All",D1510=sel_Country),OR(sel_Channel="All",E1510=sel_Channel),OR(sel_Customer="All",F1510=sel_Customer),OR(sel_Category="All",G1510=sel_Category),OR(sel_Product="All",H1510=sel_Product),AND(S1510&gt;=m_From,S1510&lt;=m_To)),1,0)</f>
        <v/>
      </c>
      <c r="V1510" s="36">
        <f>IF(AND(OR(sel_Region="All",C1510=sel_Region),OR(sel_Channel="All",E1510=sel_Channel),OR(sel_Customer="All",F1510=sel_Customer),OR(sel_Category="All",G1510=sel_Category),OR(sel_Product="All",H1510=sel_Product),AND(S1510&gt;=m_From,S1510&lt;=m_To)),1,0)</f>
        <v/>
      </c>
      <c r="W1510" s="36">
        <f>IF(AND(OR(sel_Region="All",C1510=sel_Region),OR(sel_Country="All",D1510=sel_Country),OR(sel_Customer="All",F1510=sel_Customer),OR(sel_Category="All",G1510=sel_Category),OR(sel_Product="All",H1510=sel_Product),AND(S1510&gt;=m_From,S1510&lt;=m_To)),1,0)</f>
        <v/>
      </c>
      <c r="X1510" s="36">
        <f>IF(AND(OR(sel_Region="All",C1510=sel_Region),OR(sel_Country="All",D1510=sel_Country),OR(sel_Channel="All",E1510=sel_Channel),OR(sel_Category="All",G1510=sel_Category),OR(sel_Product="All",H1510=sel_Product),AND(S1510&gt;=m_From,S1510&lt;=m_To)),1,0)</f>
        <v/>
      </c>
      <c r="Y1510" s="36">
        <f>IF(AND(OR(sel_Region="All",C1510=sel_Region),OR(sel_Country="All",D1510=sel_Country),OR(sel_Channel="All",E1510=sel_Channel),OR(sel_Customer="All",F1510=sel_Customer),OR(sel_Product="All",H1510=sel_Product),AND(S1510&gt;=m_From,S1510&lt;=m_To)),1,0)</f>
        <v/>
      </c>
      <c r="Z1510" s="36">
        <f>IF(AND(OR(sel_Region="All",C1510=sel_Region),OR(sel_Country="All",D1510=sel_Country),OR(sel_Channel="All",E1510=sel_Channel),OR(sel_Customer="All",F1510=sel_Customer),OR(sel_Category="All",G1510=sel_Category),AND(S1510&gt;=m_From,S1510&lt;=m_To)),1,0)</f>
        <v/>
      </c>
      <c r="AA1510" s="36">
        <f>IF(AND(OR(sel_Region="All",C1510=sel_Region),OR(sel_Country="All",D1510=sel_Country),OR(sel_Channel="All",E1510=sel_Channel),OR(sel_Customer="All",F1510=sel_Customer),OR(sel_Category="All",G1510=sel_Category),OR(sel_Product="All",H1510=sel_Product)),1,0)</f>
        <v/>
      </c>
    </row>
    <row r="1511">
      <c r="A1511" s="36" t="inlineStr">
        <is>
          <t>04575</t>
        </is>
      </c>
      <c r="B1511" s="44" t="n">
        <v>46232</v>
      </c>
      <c r="C1511" s="36" t="inlineStr">
        <is>
          <t>Northern Europe</t>
        </is>
      </c>
      <c r="D1511" s="36" t="inlineStr">
        <is>
          <t>Denmark</t>
        </is>
      </c>
      <c r="E1511" s="36" t="inlineStr">
        <is>
          <t>Online Store</t>
        </is>
      </c>
      <c r="F1511" s="36" t="inlineStr">
        <is>
          <t>Business</t>
        </is>
      </c>
      <c r="G1511" s="36" t="inlineStr">
        <is>
          <t>Cycling</t>
        </is>
      </c>
      <c r="H1511" s="36" t="inlineStr">
        <is>
          <t>Cycling Pack 12L</t>
        </is>
      </c>
      <c r="I1511" s="36" t="n">
        <v>1</v>
      </c>
      <c r="J1511" s="39" t="n">
        <v>103.31</v>
      </c>
      <c r="K1511" s="45" t="n">
        <v>0</v>
      </c>
      <c r="L1511" s="39" t="n">
        <v>50.93</v>
      </c>
      <c r="M1511" s="39">
        <f>I1511*J1511*(1-K1511)</f>
        <v/>
      </c>
      <c r="N1511" s="39">
        <f>I1511*L1511</f>
        <v/>
      </c>
      <c r="O1511" s="39">
        <f>M1511-N1511</f>
        <v/>
      </c>
      <c r="P1511" s="38">
        <f>IF(M1511=0,0,O1511/M1511)</f>
        <v/>
      </c>
      <c r="Q1511" s="36">
        <f>YEAR(B1511)</f>
        <v/>
      </c>
      <c r="R1511" s="36">
        <f>"Q"&amp;ROUNDUP(MONTH(B1511)/3,0)</f>
        <v/>
      </c>
      <c r="S1511" s="36">
        <f>MONTH(B1511)</f>
        <v/>
      </c>
      <c r="T1511" s="36">
        <f>TEXT(B1511,"mmm")</f>
        <v/>
      </c>
      <c r="U1511" s="36">
        <f>IF(AND(OR(sel_Region="All",C1511=sel_Region),OR(sel_Country="All",D1511=sel_Country),OR(sel_Channel="All",E1511=sel_Channel),OR(sel_Customer="All",F1511=sel_Customer),OR(sel_Category="All",G1511=sel_Category),OR(sel_Product="All",H1511=sel_Product),AND(S1511&gt;=m_From,S1511&lt;=m_To)),1,0)</f>
        <v/>
      </c>
      <c r="V1511" s="36">
        <f>IF(AND(OR(sel_Region="All",C1511=sel_Region),OR(sel_Channel="All",E1511=sel_Channel),OR(sel_Customer="All",F1511=sel_Customer),OR(sel_Category="All",G1511=sel_Category),OR(sel_Product="All",H1511=sel_Product),AND(S1511&gt;=m_From,S1511&lt;=m_To)),1,0)</f>
        <v/>
      </c>
      <c r="W1511" s="36">
        <f>IF(AND(OR(sel_Region="All",C1511=sel_Region),OR(sel_Country="All",D1511=sel_Country),OR(sel_Customer="All",F1511=sel_Customer),OR(sel_Category="All",G1511=sel_Category),OR(sel_Product="All",H1511=sel_Product),AND(S1511&gt;=m_From,S1511&lt;=m_To)),1,0)</f>
        <v/>
      </c>
      <c r="X1511" s="36">
        <f>IF(AND(OR(sel_Region="All",C1511=sel_Region),OR(sel_Country="All",D1511=sel_Country),OR(sel_Channel="All",E1511=sel_Channel),OR(sel_Category="All",G1511=sel_Category),OR(sel_Product="All",H1511=sel_Product),AND(S1511&gt;=m_From,S1511&lt;=m_To)),1,0)</f>
        <v/>
      </c>
      <c r="Y1511" s="36">
        <f>IF(AND(OR(sel_Region="All",C1511=sel_Region),OR(sel_Country="All",D1511=sel_Country),OR(sel_Channel="All",E1511=sel_Channel),OR(sel_Customer="All",F1511=sel_Customer),OR(sel_Product="All",H1511=sel_Product),AND(S1511&gt;=m_From,S1511&lt;=m_To)),1,0)</f>
        <v/>
      </c>
      <c r="Z1511" s="36">
        <f>IF(AND(OR(sel_Region="All",C1511=sel_Region),OR(sel_Country="All",D1511=sel_Country),OR(sel_Channel="All",E1511=sel_Channel),OR(sel_Customer="All",F1511=sel_Customer),OR(sel_Category="All",G1511=sel_Category),AND(S1511&gt;=m_From,S1511&lt;=m_To)),1,0)</f>
        <v/>
      </c>
      <c r="AA1511" s="36">
        <f>IF(AND(OR(sel_Region="All",C1511=sel_Region),OR(sel_Country="All",D1511=sel_Country),OR(sel_Channel="All",E1511=sel_Channel),OR(sel_Customer="All",F1511=sel_Customer),OR(sel_Category="All",G1511=sel_Category),OR(sel_Product="All",H1511=sel_Product)),1,0)</f>
        <v/>
      </c>
    </row>
    <row r="1512">
      <c r="A1512" s="36" t="inlineStr">
        <is>
          <t>04871</t>
        </is>
      </c>
      <c r="B1512" s="44" t="n">
        <v>46232</v>
      </c>
      <c r="C1512" s="36" t="inlineStr">
        <is>
          <t>Southern Europe</t>
        </is>
      </c>
      <c r="D1512" s="36" t="inlineStr">
        <is>
          <t>Spain</t>
        </is>
      </c>
      <c r="E1512" s="36" t="inlineStr">
        <is>
          <t>Online Store</t>
        </is>
      </c>
      <c r="F1512" s="36" t="inlineStr">
        <is>
          <t>New</t>
        </is>
      </c>
      <c r="G1512" s="36" t="inlineStr">
        <is>
          <t>Camping</t>
        </is>
      </c>
      <c r="H1512" s="36" t="inlineStr">
        <is>
          <t>Compact Sleeping Bag</t>
        </is>
      </c>
      <c r="I1512" s="36" t="n">
        <v>3</v>
      </c>
      <c r="J1512" s="39" t="n">
        <v>123.31</v>
      </c>
      <c r="K1512" s="45" t="n">
        <v>0</v>
      </c>
      <c r="L1512" s="39" t="n">
        <v>59.16</v>
      </c>
      <c r="M1512" s="39">
        <f>I1512*J1512*(1-K1512)</f>
        <v/>
      </c>
      <c r="N1512" s="39">
        <f>I1512*L1512</f>
        <v/>
      </c>
      <c r="O1512" s="39">
        <f>M1512-N1512</f>
        <v/>
      </c>
      <c r="P1512" s="38">
        <f>IF(M1512=0,0,O1512/M1512)</f>
        <v/>
      </c>
      <c r="Q1512" s="36">
        <f>YEAR(B1512)</f>
        <v/>
      </c>
      <c r="R1512" s="36">
        <f>"Q"&amp;ROUNDUP(MONTH(B1512)/3,0)</f>
        <v/>
      </c>
      <c r="S1512" s="36">
        <f>MONTH(B1512)</f>
        <v/>
      </c>
      <c r="T1512" s="36">
        <f>TEXT(B1512,"mmm")</f>
        <v/>
      </c>
      <c r="U1512" s="36">
        <f>IF(AND(OR(sel_Region="All",C1512=sel_Region),OR(sel_Country="All",D1512=sel_Country),OR(sel_Channel="All",E1512=sel_Channel),OR(sel_Customer="All",F1512=sel_Customer),OR(sel_Category="All",G1512=sel_Category),OR(sel_Product="All",H1512=sel_Product),AND(S1512&gt;=m_From,S1512&lt;=m_To)),1,0)</f>
        <v/>
      </c>
      <c r="V1512" s="36">
        <f>IF(AND(OR(sel_Region="All",C1512=sel_Region),OR(sel_Channel="All",E1512=sel_Channel),OR(sel_Customer="All",F1512=sel_Customer),OR(sel_Category="All",G1512=sel_Category),OR(sel_Product="All",H1512=sel_Product),AND(S1512&gt;=m_From,S1512&lt;=m_To)),1,0)</f>
        <v/>
      </c>
      <c r="W1512" s="36">
        <f>IF(AND(OR(sel_Region="All",C1512=sel_Region),OR(sel_Country="All",D1512=sel_Country),OR(sel_Customer="All",F1512=sel_Customer),OR(sel_Category="All",G1512=sel_Category),OR(sel_Product="All",H1512=sel_Product),AND(S1512&gt;=m_From,S1512&lt;=m_To)),1,0)</f>
        <v/>
      </c>
      <c r="X1512" s="36">
        <f>IF(AND(OR(sel_Region="All",C1512=sel_Region),OR(sel_Country="All",D1512=sel_Country),OR(sel_Channel="All",E1512=sel_Channel),OR(sel_Category="All",G1512=sel_Category),OR(sel_Product="All",H1512=sel_Product),AND(S1512&gt;=m_From,S1512&lt;=m_To)),1,0)</f>
        <v/>
      </c>
      <c r="Y1512" s="36">
        <f>IF(AND(OR(sel_Region="All",C1512=sel_Region),OR(sel_Country="All",D1512=sel_Country),OR(sel_Channel="All",E1512=sel_Channel),OR(sel_Customer="All",F1512=sel_Customer),OR(sel_Product="All",H1512=sel_Product),AND(S1512&gt;=m_From,S1512&lt;=m_To)),1,0)</f>
        <v/>
      </c>
      <c r="Z1512" s="36">
        <f>IF(AND(OR(sel_Region="All",C1512=sel_Region),OR(sel_Country="All",D1512=sel_Country),OR(sel_Channel="All",E1512=sel_Channel),OR(sel_Customer="All",F1512=sel_Customer),OR(sel_Category="All",G1512=sel_Category),AND(S1512&gt;=m_From,S1512&lt;=m_To)),1,0)</f>
        <v/>
      </c>
      <c r="AA1512" s="36">
        <f>IF(AND(OR(sel_Region="All",C1512=sel_Region),OR(sel_Country="All",D1512=sel_Country),OR(sel_Channel="All",E1512=sel_Channel),OR(sel_Customer="All",F1512=sel_Customer),OR(sel_Category="All",G1512=sel_Category),OR(sel_Product="All",H1512=sel_Product)),1,0)</f>
        <v/>
      </c>
    </row>
    <row r="1513">
      <c r="A1513" s="36" t="inlineStr">
        <is>
          <t>04931</t>
        </is>
      </c>
      <c r="B1513" s="44" t="n">
        <v>46232</v>
      </c>
      <c r="C1513" s="36" t="inlineStr">
        <is>
          <t>Southern Europe</t>
        </is>
      </c>
      <c r="D1513" s="36" t="inlineStr">
        <is>
          <t>Italy</t>
        </is>
      </c>
      <c r="E1513" s="36" t="inlineStr">
        <is>
          <t>Online Store</t>
        </is>
      </c>
      <c r="F1513" s="36" t="inlineStr">
        <is>
          <t>New</t>
        </is>
      </c>
      <c r="G1513" s="36" t="inlineStr">
        <is>
          <t>Fitness</t>
        </is>
      </c>
      <c r="H1513" s="36" t="inlineStr">
        <is>
          <t>Resistance Band Set</t>
        </is>
      </c>
      <c r="I1513" s="36" t="n">
        <v>1</v>
      </c>
      <c r="J1513" s="39" t="n">
        <v>40.36</v>
      </c>
      <c r="K1513" s="45" t="n">
        <v>0.1</v>
      </c>
      <c r="L1513" s="39" t="n">
        <v>14.82</v>
      </c>
      <c r="M1513" s="39">
        <f>I1513*J1513*(1-K1513)</f>
        <v/>
      </c>
      <c r="N1513" s="39">
        <f>I1513*L1513</f>
        <v/>
      </c>
      <c r="O1513" s="39">
        <f>M1513-N1513</f>
        <v/>
      </c>
      <c r="P1513" s="38">
        <f>IF(M1513=0,0,O1513/M1513)</f>
        <v/>
      </c>
      <c r="Q1513" s="36">
        <f>YEAR(B1513)</f>
        <v/>
      </c>
      <c r="R1513" s="36">
        <f>"Q"&amp;ROUNDUP(MONTH(B1513)/3,0)</f>
        <v/>
      </c>
      <c r="S1513" s="36">
        <f>MONTH(B1513)</f>
        <v/>
      </c>
      <c r="T1513" s="36">
        <f>TEXT(B1513,"mmm")</f>
        <v/>
      </c>
      <c r="U1513" s="36">
        <f>IF(AND(OR(sel_Region="All",C1513=sel_Region),OR(sel_Country="All",D1513=sel_Country),OR(sel_Channel="All",E1513=sel_Channel),OR(sel_Customer="All",F1513=sel_Customer),OR(sel_Category="All",G1513=sel_Category),OR(sel_Product="All",H1513=sel_Product),AND(S1513&gt;=m_From,S1513&lt;=m_To)),1,0)</f>
        <v/>
      </c>
      <c r="V1513" s="36">
        <f>IF(AND(OR(sel_Region="All",C1513=sel_Region),OR(sel_Channel="All",E1513=sel_Channel),OR(sel_Customer="All",F1513=sel_Customer),OR(sel_Category="All",G1513=sel_Category),OR(sel_Product="All",H1513=sel_Product),AND(S1513&gt;=m_From,S1513&lt;=m_To)),1,0)</f>
        <v/>
      </c>
      <c r="W1513" s="36">
        <f>IF(AND(OR(sel_Region="All",C1513=sel_Region),OR(sel_Country="All",D1513=sel_Country),OR(sel_Customer="All",F1513=sel_Customer),OR(sel_Category="All",G1513=sel_Category),OR(sel_Product="All",H1513=sel_Product),AND(S1513&gt;=m_From,S1513&lt;=m_To)),1,0)</f>
        <v/>
      </c>
      <c r="X1513" s="36">
        <f>IF(AND(OR(sel_Region="All",C1513=sel_Region),OR(sel_Country="All",D1513=sel_Country),OR(sel_Channel="All",E1513=sel_Channel),OR(sel_Category="All",G1513=sel_Category),OR(sel_Product="All",H1513=sel_Product),AND(S1513&gt;=m_From,S1513&lt;=m_To)),1,0)</f>
        <v/>
      </c>
      <c r="Y1513" s="36">
        <f>IF(AND(OR(sel_Region="All",C1513=sel_Region),OR(sel_Country="All",D1513=sel_Country),OR(sel_Channel="All",E1513=sel_Channel),OR(sel_Customer="All",F1513=sel_Customer),OR(sel_Product="All",H1513=sel_Product),AND(S1513&gt;=m_From,S1513&lt;=m_To)),1,0)</f>
        <v/>
      </c>
      <c r="Z1513" s="36">
        <f>IF(AND(OR(sel_Region="All",C1513=sel_Region),OR(sel_Country="All",D1513=sel_Country),OR(sel_Channel="All",E1513=sel_Channel),OR(sel_Customer="All",F1513=sel_Customer),OR(sel_Category="All",G1513=sel_Category),AND(S1513&gt;=m_From,S1513&lt;=m_To)),1,0)</f>
        <v/>
      </c>
      <c r="AA1513" s="36">
        <f>IF(AND(OR(sel_Region="All",C1513=sel_Region),OR(sel_Country="All",D1513=sel_Country),OR(sel_Channel="All",E1513=sel_Channel),OR(sel_Customer="All",F1513=sel_Customer),OR(sel_Category="All",G1513=sel_Category),OR(sel_Product="All",H1513=sel_Product)),1,0)</f>
        <v/>
      </c>
    </row>
    <row r="1514">
      <c r="A1514" s="36" t="inlineStr">
        <is>
          <t>04962</t>
        </is>
      </c>
      <c r="B1514" s="44" t="n">
        <v>46232</v>
      </c>
      <c r="C1514" s="36" t="inlineStr">
        <is>
          <t>Southern Europe</t>
        </is>
      </c>
      <c r="D1514" s="36" t="inlineStr">
        <is>
          <t>Italy</t>
        </is>
      </c>
      <c r="E1514" s="36" t="inlineStr">
        <is>
          <t>Retail Partners</t>
        </is>
      </c>
      <c r="F1514" s="36" t="inlineStr">
        <is>
          <t>New</t>
        </is>
      </c>
      <c r="G1514" s="36" t="inlineStr">
        <is>
          <t>Camping</t>
        </is>
      </c>
      <c r="H1514" s="36" t="inlineStr">
        <is>
          <t>Portable Camp Stove</t>
        </is>
      </c>
      <c r="I1514" s="36" t="n">
        <v>2</v>
      </c>
      <c r="J1514" s="39" t="n">
        <v>83.06</v>
      </c>
      <c r="K1514" s="45" t="n">
        <v>0</v>
      </c>
      <c r="L1514" s="39" t="n">
        <v>38.74</v>
      </c>
      <c r="M1514" s="39">
        <f>I1514*J1514*(1-K1514)</f>
        <v/>
      </c>
      <c r="N1514" s="39">
        <f>I1514*L1514</f>
        <v/>
      </c>
      <c r="O1514" s="39">
        <f>M1514-N1514</f>
        <v/>
      </c>
      <c r="P1514" s="38">
        <f>IF(M1514=0,0,O1514/M1514)</f>
        <v/>
      </c>
      <c r="Q1514" s="36">
        <f>YEAR(B1514)</f>
        <v/>
      </c>
      <c r="R1514" s="36">
        <f>"Q"&amp;ROUNDUP(MONTH(B1514)/3,0)</f>
        <v/>
      </c>
      <c r="S1514" s="36">
        <f>MONTH(B1514)</f>
        <v/>
      </c>
      <c r="T1514" s="36">
        <f>TEXT(B1514,"mmm")</f>
        <v/>
      </c>
      <c r="U1514" s="36">
        <f>IF(AND(OR(sel_Region="All",C1514=sel_Region),OR(sel_Country="All",D1514=sel_Country),OR(sel_Channel="All",E1514=sel_Channel),OR(sel_Customer="All",F1514=sel_Customer),OR(sel_Category="All",G1514=sel_Category),OR(sel_Product="All",H1514=sel_Product),AND(S1514&gt;=m_From,S1514&lt;=m_To)),1,0)</f>
        <v/>
      </c>
      <c r="V1514" s="36">
        <f>IF(AND(OR(sel_Region="All",C1514=sel_Region),OR(sel_Channel="All",E1514=sel_Channel),OR(sel_Customer="All",F1514=sel_Customer),OR(sel_Category="All",G1514=sel_Category),OR(sel_Product="All",H1514=sel_Product),AND(S1514&gt;=m_From,S1514&lt;=m_To)),1,0)</f>
        <v/>
      </c>
      <c r="W1514" s="36">
        <f>IF(AND(OR(sel_Region="All",C1514=sel_Region),OR(sel_Country="All",D1514=sel_Country),OR(sel_Customer="All",F1514=sel_Customer),OR(sel_Category="All",G1514=sel_Category),OR(sel_Product="All",H1514=sel_Product),AND(S1514&gt;=m_From,S1514&lt;=m_To)),1,0)</f>
        <v/>
      </c>
      <c r="X1514" s="36">
        <f>IF(AND(OR(sel_Region="All",C1514=sel_Region),OR(sel_Country="All",D1514=sel_Country),OR(sel_Channel="All",E1514=sel_Channel),OR(sel_Category="All",G1514=sel_Category),OR(sel_Product="All",H1514=sel_Product),AND(S1514&gt;=m_From,S1514&lt;=m_To)),1,0)</f>
        <v/>
      </c>
      <c r="Y1514" s="36">
        <f>IF(AND(OR(sel_Region="All",C1514=sel_Region),OR(sel_Country="All",D1514=sel_Country),OR(sel_Channel="All",E1514=sel_Channel),OR(sel_Customer="All",F1514=sel_Customer),OR(sel_Product="All",H1514=sel_Product),AND(S1514&gt;=m_From,S1514&lt;=m_To)),1,0)</f>
        <v/>
      </c>
      <c r="Z1514" s="36">
        <f>IF(AND(OR(sel_Region="All",C1514=sel_Region),OR(sel_Country="All",D1514=sel_Country),OR(sel_Channel="All",E1514=sel_Channel),OR(sel_Customer="All",F1514=sel_Customer),OR(sel_Category="All",G1514=sel_Category),AND(S1514&gt;=m_From,S1514&lt;=m_To)),1,0)</f>
        <v/>
      </c>
      <c r="AA1514" s="36">
        <f>IF(AND(OR(sel_Region="All",C1514=sel_Region),OR(sel_Country="All",D1514=sel_Country),OR(sel_Channel="All",E1514=sel_Channel),OR(sel_Customer="All",F1514=sel_Customer),OR(sel_Category="All",G1514=sel_Category),OR(sel_Product="All",H1514=sel_Product)),1,0)</f>
        <v/>
      </c>
    </row>
    <row r="1515">
      <c r="A1515" s="36" t="inlineStr">
        <is>
          <t>05006</t>
        </is>
      </c>
      <c r="B1515" s="44" t="n">
        <v>46232</v>
      </c>
      <c r="C1515" s="36" t="inlineStr">
        <is>
          <t>Northern Europe</t>
        </is>
      </c>
      <c r="D1515" s="36" t="inlineStr">
        <is>
          <t>Ireland</t>
        </is>
      </c>
      <c r="E1515" s="36" t="inlineStr">
        <is>
          <t>Online Store</t>
        </is>
      </c>
      <c r="F1515" s="36" t="inlineStr">
        <is>
          <t>Returning</t>
        </is>
      </c>
      <c r="G1515" s="36" t="inlineStr">
        <is>
          <t>Hiking</t>
        </is>
      </c>
      <c r="H1515" s="36" t="inlineStr">
        <is>
          <t>Summit Backpack 45L</t>
        </is>
      </c>
      <c r="I1515" s="36" t="n">
        <v>2</v>
      </c>
      <c r="J1515" s="39" t="n">
        <v>151.73</v>
      </c>
      <c r="K1515" s="45" t="n">
        <v>0</v>
      </c>
      <c r="L1515" s="39" t="n">
        <v>81.20999999999999</v>
      </c>
      <c r="M1515" s="39">
        <f>I1515*J1515*(1-K1515)</f>
        <v/>
      </c>
      <c r="N1515" s="39">
        <f>I1515*L1515</f>
        <v/>
      </c>
      <c r="O1515" s="39">
        <f>M1515-N1515</f>
        <v/>
      </c>
      <c r="P1515" s="38">
        <f>IF(M1515=0,0,O1515/M1515)</f>
        <v/>
      </c>
      <c r="Q1515" s="36">
        <f>YEAR(B1515)</f>
        <v/>
      </c>
      <c r="R1515" s="36">
        <f>"Q"&amp;ROUNDUP(MONTH(B1515)/3,0)</f>
        <v/>
      </c>
      <c r="S1515" s="36">
        <f>MONTH(B1515)</f>
        <v/>
      </c>
      <c r="T1515" s="36">
        <f>TEXT(B1515,"mmm")</f>
        <v/>
      </c>
      <c r="U1515" s="36">
        <f>IF(AND(OR(sel_Region="All",C1515=sel_Region),OR(sel_Country="All",D1515=sel_Country),OR(sel_Channel="All",E1515=sel_Channel),OR(sel_Customer="All",F1515=sel_Customer),OR(sel_Category="All",G1515=sel_Category),OR(sel_Product="All",H1515=sel_Product),AND(S1515&gt;=m_From,S1515&lt;=m_To)),1,0)</f>
        <v/>
      </c>
      <c r="V1515" s="36">
        <f>IF(AND(OR(sel_Region="All",C1515=sel_Region),OR(sel_Channel="All",E1515=sel_Channel),OR(sel_Customer="All",F1515=sel_Customer),OR(sel_Category="All",G1515=sel_Category),OR(sel_Product="All",H1515=sel_Product),AND(S1515&gt;=m_From,S1515&lt;=m_To)),1,0)</f>
        <v/>
      </c>
      <c r="W1515" s="36">
        <f>IF(AND(OR(sel_Region="All",C1515=sel_Region),OR(sel_Country="All",D1515=sel_Country),OR(sel_Customer="All",F1515=sel_Customer),OR(sel_Category="All",G1515=sel_Category),OR(sel_Product="All",H1515=sel_Product),AND(S1515&gt;=m_From,S1515&lt;=m_To)),1,0)</f>
        <v/>
      </c>
      <c r="X1515" s="36">
        <f>IF(AND(OR(sel_Region="All",C1515=sel_Region),OR(sel_Country="All",D1515=sel_Country),OR(sel_Channel="All",E1515=sel_Channel),OR(sel_Category="All",G1515=sel_Category),OR(sel_Product="All",H1515=sel_Product),AND(S1515&gt;=m_From,S1515&lt;=m_To)),1,0)</f>
        <v/>
      </c>
      <c r="Y1515" s="36">
        <f>IF(AND(OR(sel_Region="All",C1515=sel_Region),OR(sel_Country="All",D1515=sel_Country),OR(sel_Channel="All",E1515=sel_Channel),OR(sel_Customer="All",F1515=sel_Customer),OR(sel_Product="All",H1515=sel_Product),AND(S1515&gt;=m_From,S1515&lt;=m_To)),1,0)</f>
        <v/>
      </c>
      <c r="Z1515" s="36">
        <f>IF(AND(OR(sel_Region="All",C1515=sel_Region),OR(sel_Country="All",D1515=sel_Country),OR(sel_Channel="All",E1515=sel_Channel),OR(sel_Customer="All",F1515=sel_Customer),OR(sel_Category="All",G1515=sel_Category),AND(S1515&gt;=m_From,S1515&lt;=m_To)),1,0)</f>
        <v/>
      </c>
      <c r="AA1515" s="36">
        <f>IF(AND(OR(sel_Region="All",C1515=sel_Region),OR(sel_Country="All",D1515=sel_Country),OR(sel_Channel="All",E1515=sel_Channel),OR(sel_Customer="All",F1515=sel_Customer),OR(sel_Category="All",G1515=sel_Category),OR(sel_Product="All",H1515=sel_Product)),1,0)</f>
        <v/>
      </c>
    </row>
    <row r="1516">
      <c r="A1516" s="36" t="inlineStr">
        <is>
          <t>05033</t>
        </is>
      </c>
      <c r="B1516" s="44" t="n">
        <v>46232</v>
      </c>
      <c r="C1516" s="36" t="inlineStr">
        <is>
          <t>Western Europe</t>
        </is>
      </c>
      <c r="D1516" s="36" t="inlineStr">
        <is>
          <t>United Kingdom</t>
        </is>
      </c>
      <c r="E1516" s="36" t="inlineStr">
        <is>
          <t>Online Store</t>
        </is>
      </c>
      <c r="F1516" s="36" t="inlineStr">
        <is>
          <t>New</t>
        </is>
      </c>
      <c r="G1516" s="36" t="inlineStr">
        <is>
          <t>Hiking</t>
        </is>
      </c>
      <c r="H1516" s="36" t="inlineStr">
        <is>
          <t>Trekking Poles</t>
        </is>
      </c>
      <c r="I1516" s="36" t="n">
        <v>4</v>
      </c>
      <c r="J1516" s="39" t="n">
        <v>72.01000000000001</v>
      </c>
      <c r="K1516" s="45" t="n">
        <v>0.05</v>
      </c>
      <c r="L1516" s="39" t="n">
        <v>32.36</v>
      </c>
      <c r="M1516" s="39">
        <f>I1516*J1516*(1-K1516)</f>
        <v/>
      </c>
      <c r="N1516" s="39">
        <f>I1516*L1516</f>
        <v/>
      </c>
      <c r="O1516" s="39">
        <f>M1516-N1516</f>
        <v/>
      </c>
      <c r="P1516" s="38">
        <f>IF(M1516=0,0,O1516/M1516)</f>
        <v/>
      </c>
      <c r="Q1516" s="36">
        <f>YEAR(B1516)</f>
        <v/>
      </c>
      <c r="R1516" s="36">
        <f>"Q"&amp;ROUNDUP(MONTH(B1516)/3,0)</f>
        <v/>
      </c>
      <c r="S1516" s="36">
        <f>MONTH(B1516)</f>
        <v/>
      </c>
      <c r="T1516" s="36">
        <f>TEXT(B1516,"mmm")</f>
        <v/>
      </c>
      <c r="U1516" s="36">
        <f>IF(AND(OR(sel_Region="All",C1516=sel_Region),OR(sel_Country="All",D1516=sel_Country),OR(sel_Channel="All",E1516=sel_Channel),OR(sel_Customer="All",F1516=sel_Customer),OR(sel_Category="All",G1516=sel_Category),OR(sel_Product="All",H1516=sel_Product),AND(S1516&gt;=m_From,S1516&lt;=m_To)),1,0)</f>
        <v/>
      </c>
      <c r="V1516" s="36">
        <f>IF(AND(OR(sel_Region="All",C1516=sel_Region),OR(sel_Channel="All",E1516=sel_Channel),OR(sel_Customer="All",F1516=sel_Customer),OR(sel_Category="All",G1516=sel_Category),OR(sel_Product="All",H1516=sel_Product),AND(S1516&gt;=m_From,S1516&lt;=m_To)),1,0)</f>
        <v/>
      </c>
      <c r="W1516" s="36">
        <f>IF(AND(OR(sel_Region="All",C1516=sel_Region),OR(sel_Country="All",D1516=sel_Country),OR(sel_Customer="All",F1516=sel_Customer),OR(sel_Category="All",G1516=sel_Category),OR(sel_Product="All",H1516=sel_Product),AND(S1516&gt;=m_From,S1516&lt;=m_To)),1,0)</f>
        <v/>
      </c>
      <c r="X1516" s="36">
        <f>IF(AND(OR(sel_Region="All",C1516=sel_Region),OR(sel_Country="All",D1516=sel_Country),OR(sel_Channel="All",E1516=sel_Channel),OR(sel_Category="All",G1516=sel_Category),OR(sel_Product="All",H1516=sel_Product),AND(S1516&gt;=m_From,S1516&lt;=m_To)),1,0)</f>
        <v/>
      </c>
      <c r="Y1516" s="36">
        <f>IF(AND(OR(sel_Region="All",C1516=sel_Region),OR(sel_Country="All",D1516=sel_Country),OR(sel_Channel="All",E1516=sel_Channel),OR(sel_Customer="All",F1516=sel_Customer),OR(sel_Product="All",H1516=sel_Product),AND(S1516&gt;=m_From,S1516&lt;=m_To)),1,0)</f>
        <v/>
      </c>
      <c r="Z1516" s="36">
        <f>IF(AND(OR(sel_Region="All",C1516=sel_Region),OR(sel_Country="All",D1516=sel_Country),OR(sel_Channel="All",E1516=sel_Channel),OR(sel_Customer="All",F1516=sel_Customer),OR(sel_Category="All",G1516=sel_Category),AND(S1516&gt;=m_From,S1516&lt;=m_To)),1,0)</f>
        <v/>
      </c>
      <c r="AA1516" s="36">
        <f>IF(AND(OR(sel_Region="All",C1516=sel_Region),OR(sel_Country="All",D1516=sel_Country),OR(sel_Channel="All",E1516=sel_Channel),OR(sel_Customer="All",F1516=sel_Customer),OR(sel_Category="All",G1516=sel_Category),OR(sel_Product="All",H1516=sel_Product)),1,0)</f>
        <v/>
      </c>
    </row>
    <row r="1517">
      <c r="A1517" s="36" t="inlineStr">
        <is>
          <t>05117</t>
        </is>
      </c>
      <c r="B1517" s="44" t="n">
        <v>46232</v>
      </c>
      <c r="C1517" s="36" t="inlineStr">
        <is>
          <t>Central Europe</t>
        </is>
      </c>
      <c r="D1517" s="36" t="inlineStr">
        <is>
          <t>Switzerland</t>
        </is>
      </c>
      <c r="E1517" s="36" t="inlineStr">
        <is>
          <t>Online Store</t>
        </is>
      </c>
      <c r="F1517" s="36" t="inlineStr">
        <is>
          <t>Business</t>
        </is>
      </c>
      <c r="G1517" s="36" t="inlineStr">
        <is>
          <t>Hiking</t>
        </is>
      </c>
      <c r="H1517" s="36" t="inlineStr">
        <is>
          <t>Summit Backpack 45L</t>
        </is>
      </c>
      <c r="I1517" s="36" t="n">
        <v>1</v>
      </c>
      <c r="J1517" s="39" t="n">
        <v>154.87</v>
      </c>
      <c r="K1517" s="45" t="n">
        <v>0</v>
      </c>
      <c r="L1517" s="39" t="n">
        <v>80.45999999999999</v>
      </c>
      <c r="M1517" s="39">
        <f>I1517*J1517*(1-K1517)</f>
        <v/>
      </c>
      <c r="N1517" s="39">
        <f>I1517*L1517</f>
        <v/>
      </c>
      <c r="O1517" s="39">
        <f>M1517-N1517</f>
        <v/>
      </c>
      <c r="P1517" s="38">
        <f>IF(M1517=0,0,O1517/M1517)</f>
        <v/>
      </c>
      <c r="Q1517" s="36">
        <f>YEAR(B1517)</f>
        <v/>
      </c>
      <c r="R1517" s="36">
        <f>"Q"&amp;ROUNDUP(MONTH(B1517)/3,0)</f>
        <v/>
      </c>
      <c r="S1517" s="36">
        <f>MONTH(B1517)</f>
        <v/>
      </c>
      <c r="T1517" s="36">
        <f>TEXT(B1517,"mmm")</f>
        <v/>
      </c>
      <c r="U1517" s="36">
        <f>IF(AND(OR(sel_Region="All",C1517=sel_Region),OR(sel_Country="All",D1517=sel_Country),OR(sel_Channel="All",E1517=sel_Channel),OR(sel_Customer="All",F1517=sel_Customer),OR(sel_Category="All",G1517=sel_Category),OR(sel_Product="All",H1517=sel_Product),AND(S1517&gt;=m_From,S1517&lt;=m_To)),1,0)</f>
        <v/>
      </c>
      <c r="V1517" s="36">
        <f>IF(AND(OR(sel_Region="All",C1517=sel_Region),OR(sel_Channel="All",E1517=sel_Channel),OR(sel_Customer="All",F1517=sel_Customer),OR(sel_Category="All",G1517=sel_Category),OR(sel_Product="All",H1517=sel_Product),AND(S1517&gt;=m_From,S1517&lt;=m_To)),1,0)</f>
        <v/>
      </c>
      <c r="W1517" s="36">
        <f>IF(AND(OR(sel_Region="All",C1517=sel_Region),OR(sel_Country="All",D1517=sel_Country),OR(sel_Customer="All",F1517=sel_Customer),OR(sel_Category="All",G1517=sel_Category),OR(sel_Product="All",H1517=sel_Product),AND(S1517&gt;=m_From,S1517&lt;=m_To)),1,0)</f>
        <v/>
      </c>
      <c r="X1517" s="36">
        <f>IF(AND(OR(sel_Region="All",C1517=sel_Region),OR(sel_Country="All",D1517=sel_Country),OR(sel_Channel="All",E1517=sel_Channel),OR(sel_Category="All",G1517=sel_Category),OR(sel_Product="All",H1517=sel_Product),AND(S1517&gt;=m_From,S1517&lt;=m_To)),1,0)</f>
        <v/>
      </c>
      <c r="Y1517" s="36">
        <f>IF(AND(OR(sel_Region="All",C1517=sel_Region),OR(sel_Country="All",D1517=sel_Country),OR(sel_Channel="All",E1517=sel_Channel),OR(sel_Customer="All",F1517=sel_Customer),OR(sel_Product="All",H1517=sel_Product),AND(S1517&gt;=m_From,S1517&lt;=m_To)),1,0)</f>
        <v/>
      </c>
      <c r="Z1517" s="36">
        <f>IF(AND(OR(sel_Region="All",C1517=sel_Region),OR(sel_Country="All",D1517=sel_Country),OR(sel_Channel="All",E1517=sel_Channel),OR(sel_Customer="All",F1517=sel_Customer),OR(sel_Category="All",G1517=sel_Category),AND(S1517&gt;=m_From,S1517&lt;=m_To)),1,0)</f>
        <v/>
      </c>
      <c r="AA1517" s="36">
        <f>IF(AND(OR(sel_Region="All",C1517=sel_Region),OR(sel_Country="All",D1517=sel_Country),OR(sel_Channel="All",E1517=sel_Channel),OR(sel_Customer="All",F1517=sel_Customer),OR(sel_Category="All",G1517=sel_Category),OR(sel_Product="All",H1517=sel_Product)),1,0)</f>
        <v/>
      </c>
    </row>
    <row r="1518">
      <c r="A1518" s="36" t="inlineStr">
        <is>
          <t>00954</t>
        </is>
      </c>
      <c r="B1518" s="44" t="n">
        <v>46233</v>
      </c>
      <c r="C1518" s="36" t="inlineStr">
        <is>
          <t>Central Europe</t>
        </is>
      </c>
      <c r="D1518" s="36" t="inlineStr">
        <is>
          <t>Czechia</t>
        </is>
      </c>
      <c r="E1518" s="36" t="inlineStr">
        <is>
          <t>Online Store</t>
        </is>
      </c>
      <c r="F1518" s="36" t="inlineStr">
        <is>
          <t>New</t>
        </is>
      </c>
      <c r="G1518" s="36" t="inlineStr">
        <is>
          <t>Travel</t>
        </is>
      </c>
      <c r="H1518" s="36" t="inlineStr">
        <is>
          <t>Carry-On Duffel</t>
        </is>
      </c>
      <c r="I1518" s="36" t="n">
        <v>3</v>
      </c>
      <c r="J1518" s="39" t="n">
        <v>134.61</v>
      </c>
      <c r="K1518" s="45" t="n">
        <v>0.1</v>
      </c>
      <c r="L1518" s="39" t="n">
        <v>65.77</v>
      </c>
      <c r="M1518" s="39">
        <f>I1518*J1518*(1-K1518)</f>
        <v/>
      </c>
      <c r="N1518" s="39">
        <f>I1518*L1518</f>
        <v/>
      </c>
      <c r="O1518" s="39">
        <f>M1518-N1518</f>
        <v/>
      </c>
      <c r="P1518" s="38">
        <f>IF(M1518=0,0,O1518/M1518)</f>
        <v/>
      </c>
      <c r="Q1518" s="36">
        <f>YEAR(B1518)</f>
        <v/>
      </c>
      <c r="R1518" s="36">
        <f>"Q"&amp;ROUNDUP(MONTH(B1518)/3,0)</f>
        <v/>
      </c>
      <c r="S1518" s="36">
        <f>MONTH(B1518)</f>
        <v/>
      </c>
      <c r="T1518" s="36">
        <f>TEXT(B1518,"mmm")</f>
        <v/>
      </c>
      <c r="U1518" s="36">
        <f>IF(AND(OR(sel_Region="All",C1518=sel_Region),OR(sel_Country="All",D1518=sel_Country),OR(sel_Channel="All",E1518=sel_Channel),OR(sel_Customer="All",F1518=sel_Customer),OR(sel_Category="All",G1518=sel_Category),OR(sel_Product="All",H1518=sel_Product),AND(S1518&gt;=m_From,S1518&lt;=m_To)),1,0)</f>
        <v/>
      </c>
      <c r="V1518" s="36">
        <f>IF(AND(OR(sel_Region="All",C1518=sel_Region),OR(sel_Channel="All",E1518=sel_Channel),OR(sel_Customer="All",F1518=sel_Customer),OR(sel_Category="All",G1518=sel_Category),OR(sel_Product="All",H1518=sel_Product),AND(S1518&gt;=m_From,S1518&lt;=m_To)),1,0)</f>
        <v/>
      </c>
      <c r="W1518" s="36">
        <f>IF(AND(OR(sel_Region="All",C1518=sel_Region),OR(sel_Country="All",D1518=sel_Country),OR(sel_Customer="All",F1518=sel_Customer),OR(sel_Category="All",G1518=sel_Category),OR(sel_Product="All",H1518=sel_Product),AND(S1518&gt;=m_From,S1518&lt;=m_To)),1,0)</f>
        <v/>
      </c>
      <c r="X1518" s="36">
        <f>IF(AND(OR(sel_Region="All",C1518=sel_Region),OR(sel_Country="All",D1518=sel_Country),OR(sel_Channel="All",E1518=sel_Channel),OR(sel_Category="All",G1518=sel_Category),OR(sel_Product="All",H1518=sel_Product),AND(S1518&gt;=m_From,S1518&lt;=m_To)),1,0)</f>
        <v/>
      </c>
      <c r="Y1518" s="36">
        <f>IF(AND(OR(sel_Region="All",C1518=sel_Region),OR(sel_Country="All",D1518=sel_Country),OR(sel_Channel="All",E1518=sel_Channel),OR(sel_Customer="All",F1518=sel_Customer),OR(sel_Product="All",H1518=sel_Product),AND(S1518&gt;=m_From,S1518&lt;=m_To)),1,0)</f>
        <v/>
      </c>
      <c r="Z1518" s="36">
        <f>IF(AND(OR(sel_Region="All",C1518=sel_Region),OR(sel_Country="All",D1518=sel_Country),OR(sel_Channel="All",E1518=sel_Channel),OR(sel_Customer="All",F1518=sel_Customer),OR(sel_Category="All",G1518=sel_Category),AND(S1518&gt;=m_From,S1518&lt;=m_To)),1,0)</f>
        <v/>
      </c>
      <c r="AA1518" s="36">
        <f>IF(AND(OR(sel_Region="All",C1518=sel_Region),OR(sel_Country="All",D1518=sel_Country),OR(sel_Channel="All",E1518=sel_Channel),OR(sel_Customer="All",F1518=sel_Customer),OR(sel_Category="All",G1518=sel_Category),OR(sel_Product="All",H1518=sel_Product)),1,0)</f>
        <v/>
      </c>
    </row>
    <row r="1519">
      <c r="A1519" s="36" t="inlineStr">
        <is>
          <t>01644</t>
        </is>
      </c>
      <c r="B1519" s="44" t="n">
        <v>46233</v>
      </c>
      <c r="C1519" s="36" t="inlineStr">
        <is>
          <t>Western Europe</t>
        </is>
      </c>
      <c r="D1519" s="36" t="inlineStr">
        <is>
          <t>France</t>
        </is>
      </c>
      <c r="E1519" s="36" t="inlineStr">
        <is>
          <t>Online Store</t>
        </is>
      </c>
      <c r="F1519" s="36" t="inlineStr">
        <is>
          <t>Returning</t>
        </is>
      </c>
      <c r="G1519" s="36" t="inlineStr">
        <is>
          <t>Cycling</t>
        </is>
      </c>
      <c r="H1519" s="36" t="inlineStr">
        <is>
          <t>Commuter Helmet</t>
        </is>
      </c>
      <c r="I1519" s="36" t="n">
        <v>3</v>
      </c>
      <c r="J1519" s="39" t="n">
        <v>81.5</v>
      </c>
      <c r="K1519" s="45" t="n">
        <v>0.05</v>
      </c>
      <c r="L1519" s="39" t="n">
        <v>43.85</v>
      </c>
      <c r="M1519" s="39">
        <f>I1519*J1519*(1-K1519)</f>
        <v/>
      </c>
      <c r="N1519" s="39">
        <f>I1519*L1519</f>
        <v/>
      </c>
      <c r="O1519" s="39">
        <f>M1519-N1519</f>
        <v/>
      </c>
      <c r="P1519" s="38">
        <f>IF(M1519=0,0,O1519/M1519)</f>
        <v/>
      </c>
      <c r="Q1519" s="36">
        <f>YEAR(B1519)</f>
        <v/>
      </c>
      <c r="R1519" s="36">
        <f>"Q"&amp;ROUNDUP(MONTH(B1519)/3,0)</f>
        <v/>
      </c>
      <c r="S1519" s="36">
        <f>MONTH(B1519)</f>
        <v/>
      </c>
      <c r="T1519" s="36">
        <f>TEXT(B1519,"mmm")</f>
        <v/>
      </c>
      <c r="U1519" s="36">
        <f>IF(AND(OR(sel_Region="All",C1519=sel_Region),OR(sel_Country="All",D1519=sel_Country),OR(sel_Channel="All",E1519=sel_Channel),OR(sel_Customer="All",F1519=sel_Customer),OR(sel_Category="All",G1519=sel_Category),OR(sel_Product="All",H1519=sel_Product),AND(S1519&gt;=m_From,S1519&lt;=m_To)),1,0)</f>
        <v/>
      </c>
      <c r="V1519" s="36">
        <f>IF(AND(OR(sel_Region="All",C1519=sel_Region),OR(sel_Channel="All",E1519=sel_Channel),OR(sel_Customer="All",F1519=sel_Customer),OR(sel_Category="All",G1519=sel_Category),OR(sel_Product="All",H1519=sel_Product),AND(S1519&gt;=m_From,S1519&lt;=m_To)),1,0)</f>
        <v/>
      </c>
      <c r="W1519" s="36">
        <f>IF(AND(OR(sel_Region="All",C1519=sel_Region),OR(sel_Country="All",D1519=sel_Country),OR(sel_Customer="All",F1519=sel_Customer),OR(sel_Category="All",G1519=sel_Category),OR(sel_Product="All",H1519=sel_Product),AND(S1519&gt;=m_From,S1519&lt;=m_To)),1,0)</f>
        <v/>
      </c>
      <c r="X1519" s="36">
        <f>IF(AND(OR(sel_Region="All",C1519=sel_Region),OR(sel_Country="All",D1519=sel_Country),OR(sel_Channel="All",E1519=sel_Channel),OR(sel_Category="All",G1519=sel_Category),OR(sel_Product="All",H1519=sel_Product),AND(S1519&gt;=m_From,S1519&lt;=m_To)),1,0)</f>
        <v/>
      </c>
      <c r="Y1519" s="36">
        <f>IF(AND(OR(sel_Region="All",C1519=sel_Region),OR(sel_Country="All",D1519=sel_Country),OR(sel_Channel="All",E1519=sel_Channel),OR(sel_Customer="All",F1519=sel_Customer),OR(sel_Product="All",H1519=sel_Product),AND(S1519&gt;=m_From,S1519&lt;=m_To)),1,0)</f>
        <v/>
      </c>
      <c r="Z1519" s="36">
        <f>IF(AND(OR(sel_Region="All",C1519=sel_Region),OR(sel_Country="All",D1519=sel_Country),OR(sel_Channel="All",E1519=sel_Channel),OR(sel_Customer="All",F1519=sel_Customer),OR(sel_Category="All",G1519=sel_Category),AND(S1519&gt;=m_From,S1519&lt;=m_To)),1,0)</f>
        <v/>
      </c>
      <c r="AA1519" s="36">
        <f>IF(AND(OR(sel_Region="All",C1519=sel_Region),OR(sel_Country="All",D1519=sel_Country),OR(sel_Channel="All",E1519=sel_Channel),OR(sel_Customer="All",F1519=sel_Customer),OR(sel_Category="All",G1519=sel_Category),OR(sel_Product="All",H1519=sel_Product)),1,0)</f>
        <v/>
      </c>
    </row>
    <row r="1520">
      <c r="A1520" s="36" t="inlineStr">
        <is>
          <t>02030</t>
        </is>
      </c>
      <c r="B1520" s="44" t="n">
        <v>46233</v>
      </c>
      <c r="C1520" s="36" t="inlineStr">
        <is>
          <t>Southern Europe</t>
        </is>
      </c>
      <c r="D1520" s="36" t="inlineStr">
        <is>
          <t>Spain</t>
        </is>
      </c>
      <c r="E1520" s="36" t="inlineStr">
        <is>
          <t>Marketplace</t>
        </is>
      </c>
      <c r="F1520" s="36" t="inlineStr">
        <is>
          <t>Business</t>
        </is>
      </c>
      <c r="G1520" s="36" t="inlineStr">
        <is>
          <t>Travel</t>
        </is>
      </c>
      <c r="H1520" s="36" t="inlineStr">
        <is>
          <t>Carry-On Duffel</t>
        </is>
      </c>
      <c r="I1520" s="36" t="n">
        <v>2</v>
      </c>
      <c r="J1520" s="39" t="n">
        <v>135.63</v>
      </c>
      <c r="K1520" s="45" t="n">
        <v>0</v>
      </c>
      <c r="L1520" s="39" t="n">
        <v>66.63</v>
      </c>
      <c r="M1520" s="39">
        <f>I1520*J1520*(1-K1520)</f>
        <v/>
      </c>
      <c r="N1520" s="39">
        <f>I1520*L1520</f>
        <v/>
      </c>
      <c r="O1520" s="39">
        <f>M1520-N1520</f>
        <v/>
      </c>
      <c r="P1520" s="38">
        <f>IF(M1520=0,0,O1520/M1520)</f>
        <v/>
      </c>
      <c r="Q1520" s="36">
        <f>YEAR(B1520)</f>
        <v/>
      </c>
      <c r="R1520" s="36">
        <f>"Q"&amp;ROUNDUP(MONTH(B1520)/3,0)</f>
        <v/>
      </c>
      <c r="S1520" s="36">
        <f>MONTH(B1520)</f>
        <v/>
      </c>
      <c r="T1520" s="36">
        <f>TEXT(B1520,"mmm")</f>
        <v/>
      </c>
      <c r="U1520" s="36">
        <f>IF(AND(OR(sel_Region="All",C1520=sel_Region),OR(sel_Country="All",D1520=sel_Country),OR(sel_Channel="All",E1520=sel_Channel),OR(sel_Customer="All",F1520=sel_Customer),OR(sel_Category="All",G1520=sel_Category),OR(sel_Product="All",H1520=sel_Product),AND(S1520&gt;=m_From,S1520&lt;=m_To)),1,0)</f>
        <v/>
      </c>
      <c r="V1520" s="36">
        <f>IF(AND(OR(sel_Region="All",C1520=sel_Region),OR(sel_Channel="All",E1520=sel_Channel),OR(sel_Customer="All",F1520=sel_Customer),OR(sel_Category="All",G1520=sel_Category),OR(sel_Product="All",H1520=sel_Product),AND(S1520&gt;=m_From,S1520&lt;=m_To)),1,0)</f>
        <v/>
      </c>
      <c r="W1520" s="36">
        <f>IF(AND(OR(sel_Region="All",C1520=sel_Region),OR(sel_Country="All",D1520=sel_Country),OR(sel_Customer="All",F1520=sel_Customer),OR(sel_Category="All",G1520=sel_Category),OR(sel_Product="All",H1520=sel_Product),AND(S1520&gt;=m_From,S1520&lt;=m_To)),1,0)</f>
        <v/>
      </c>
      <c r="X1520" s="36">
        <f>IF(AND(OR(sel_Region="All",C1520=sel_Region),OR(sel_Country="All",D1520=sel_Country),OR(sel_Channel="All",E1520=sel_Channel),OR(sel_Category="All",G1520=sel_Category),OR(sel_Product="All",H1520=sel_Product),AND(S1520&gt;=m_From,S1520&lt;=m_To)),1,0)</f>
        <v/>
      </c>
      <c r="Y1520" s="36">
        <f>IF(AND(OR(sel_Region="All",C1520=sel_Region),OR(sel_Country="All",D1520=sel_Country),OR(sel_Channel="All",E1520=sel_Channel),OR(sel_Customer="All",F1520=sel_Customer),OR(sel_Product="All",H1520=sel_Product),AND(S1520&gt;=m_From,S1520&lt;=m_To)),1,0)</f>
        <v/>
      </c>
      <c r="Z1520" s="36">
        <f>IF(AND(OR(sel_Region="All",C1520=sel_Region),OR(sel_Country="All",D1520=sel_Country),OR(sel_Channel="All",E1520=sel_Channel),OR(sel_Customer="All",F1520=sel_Customer),OR(sel_Category="All",G1520=sel_Category),AND(S1520&gt;=m_From,S1520&lt;=m_To)),1,0)</f>
        <v/>
      </c>
      <c r="AA1520" s="36">
        <f>IF(AND(OR(sel_Region="All",C1520=sel_Region),OR(sel_Country="All",D1520=sel_Country),OR(sel_Channel="All",E1520=sel_Channel),OR(sel_Customer="All",F1520=sel_Customer),OR(sel_Category="All",G1520=sel_Category),OR(sel_Product="All",H1520=sel_Product)),1,0)</f>
        <v/>
      </c>
    </row>
    <row r="1521">
      <c r="A1521" s="36" t="inlineStr">
        <is>
          <t>02595</t>
        </is>
      </c>
      <c r="B1521" s="44" t="n">
        <v>46233</v>
      </c>
      <c r="C1521" s="36" t="inlineStr">
        <is>
          <t>Southern Europe</t>
        </is>
      </c>
      <c r="D1521" s="36" t="inlineStr">
        <is>
          <t>Portugal</t>
        </is>
      </c>
      <c r="E1521" s="36" t="inlineStr">
        <is>
          <t>Corporate</t>
        </is>
      </c>
      <c r="F1521" s="36" t="inlineStr">
        <is>
          <t>Business</t>
        </is>
      </c>
      <c r="G1521" s="36" t="inlineStr">
        <is>
          <t>Travel</t>
        </is>
      </c>
      <c r="H1521" s="36" t="inlineStr">
        <is>
          <t>Carry-On Duffel</t>
        </is>
      </c>
      <c r="I1521" s="36" t="n">
        <v>15</v>
      </c>
      <c r="J1521" s="39" t="n">
        <v>133.45</v>
      </c>
      <c r="K1521" s="45" t="n">
        <v>0.2</v>
      </c>
      <c r="L1521" s="39" t="n">
        <v>65.81999999999999</v>
      </c>
      <c r="M1521" s="39">
        <f>I1521*J1521*(1-K1521)</f>
        <v/>
      </c>
      <c r="N1521" s="39">
        <f>I1521*L1521</f>
        <v/>
      </c>
      <c r="O1521" s="39">
        <f>M1521-N1521</f>
        <v/>
      </c>
      <c r="P1521" s="38">
        <f>IF(M1521=0,0,O1521/M1521)</f>
        <v/>
      </c>
      <c r="Q1521" s="36">
        <f>YEAR(B1521)</f>
        <v/>
      </c>
      <c r="R1521" s="36">
        <f>"Q"&amp;ROUNDUP(MONTH(B1521)/3,0)</f>
        <v/>
      </c>
      <c r="S1521" s="36">
        <f>MONTH(B1521)</f>
        <v/>
      </c>
      <c r="T1521" s="36">
        <f>TEXT(B1521,"mmm")</f>
        <v/>
      </c>
      <c r="U1521" s="36">
        <f>IF(AND(OR(sel_Region="All",C1521=sel_Region),OR(sel_Country="All",D1521=sel_Country),OR(sel_Channel="All",E1521=sel_Channel),OR(sel_Customer="All",F1521=sel_Customer),OR(sel_Category="All",G1521=sel_Category),OR(sel_Product="All",H1521=sel_Product),AND(S1521&gt;=m_From,S1521&lt;=m_To)),1,0)</f>
        <v/>
      </c>
      <c r="V1521" s="36">
        <f>IF(AND(OR(sel_Region="All",C1521=sel_Region),OR(sel_Channel="All",E1521=sel_Channel),OR(sel_Customer="All",F1521=sel_Customer),OR(sel_Category="All",G1521=sel_Category),OR(sel_Product="All",H1521=sel_Product),AND(S1521&gt;=m_From,S1521&lt;=m_To)),1,0)</f>
        <v/>
      </c>
      <c r="W1521" s="36">
        <f>IF(AND(OR(sel_Region="All",C1521=sel_Region),OR(sel_Country="All",D1521=sel_Country),OR(sel_Customer="All",F1521=sel_Customer),OR(sel_Category="All",G1521=sel_Category),OR(sel_Product="All",H1521=sel_Product),AND(S1521&gt;=m_From,S1521&lt;=m_To)),1,0)</f>
        <v/>
      </c>
      <c r="X1521" s="36">
        <f>IF(AND(OR(sel_Region="All",C1521=sel_Region),OR(sel_Country="All",D1521=sel_Country),OR(sel_Channel="All",E1521=sel_Channel),OR(sel_Category="All",G1521=sel_Category),OR(sel_Product="All",H1521=sel_Product),AND(S1521&gt;=m_From,S1521&lt;=m_To)),1,0)</f>
        <v/>
      </c>
      <c r="Y1521" s="36">
        <f>IF(AND(OR(sel_Region="All",C1521=sel_Region),OR(sel_Country="All",D1521=sel_Country),OR(sel_Channel="All",E1521=sel_Channel),OR(sel_Customer="All",F1521=sel_Customer),OR(sel_Product="All",H1521=sel_Product),AND(S1521&gt;=m_From,S1521&lt;=m_To)),1,0)</f>
        <v/>
      </c>
      <c r="Z1521" s="36">
        <f>IF(AND(OR(sel_Region="All",C1521=sel_Region),OR(sel_Country="All",D1521=sel_Country),OR(sel_Channel="All",E1521=sel_Channel),OR(sel_Customer="All",F1521=sel_Customer),OR(sel_Category="All",G1521=sel_Category),AND(S1521&gt;=m_From,S1521&lt;=m_To)),1,0)</f>
        <v/>
      </c>
      <c r="AA1521" s="36">
        <f>IF(AND(OR(sel_Region="All",C1521=sel_Region),OR(sel_Country="All",D1521=sel_Country),OR(sel_Channel="All",E1521=sel_Channel),OR(sel_Customer="All",F1521=sel_Customer),OR(sel_Category="All",G1521=sel_Category),OR(sel_Product="All",H1521=sel_Product)),1,0)</f>
        <v/>
      </c>
    </row>
    <row r="1522">
      <c r="A1522" s="36" t="inlineStr">
        <is>
          <t>02763</t>
        </is>
      </c>
      <c r="B1522" s="44" t="n">
        <v>46233</v>
      </c>
      <c r="C1522" s="36" t="inlineStr">
        <is>
          <t>Southern Europe</t>
        </is>
      </c>
      <c r="D1522" s="36" t="inlineStr">
        <is>
          <t>Italy</t>
        </is>
      </c>
      <c r="E1522" s="36" t="inlineStr">
        <is>
          <t>Online Store</t>
        </is>
      </c>
      <c r="F1522" s="36" t="inlineStr">
        <is>
          <t>Business</t>
        </is>
      </c>
      <c r="G1522" s="36" t="inlineStr">
        <is>
          <t>Camping</t>
        </is>
      </c>
      <c r="H1522" s="36" t="inlineStr">
        <is>
          <t>Compact Sleeping Bag</t>
        </is>
      </c>
      <c r="I1522" s="36" t="n">
        <v>1</v>
      </c>
      <c r="J1522" s="39" t="n">
        <v>120.94</v>
      </c>
      <c r="K1522" s="45" t="n">
        <v>0</v>
      </c>
      <c r="L1522" s="39" t="n">
        <v>62.24</v>
      </c>
      <c r="M1522" s="39">
        <f>I1522*J1522*(1-K1522)</f>
        <v/>
      </c>
      <c r="N1522" s="39">
        <f>I1522*L1522</f>
        <v/>
      </c>
      <c r="O1522" s="39">
        <f>M1522-N1522</f>
        <v/>
      </c>
      <c r="P1522" s="38">
        <f>IF(M1522=0,0,O1522/M1522)</f>
        <v/>
      </c>
      <c r="Q1522" s="36">
        <f>YEAR(B1522)</f>
        <v/>
      </c>
      <c r="R1522" s="36">
        <f>"Q"&amp;ROUNDUP(MONTH(B1522)/3,0)</f>
        <v/>
      </c>
      <c r="S1522" s="36">
        <f>MONTH(B1522)</f>
        <v/>
      </c>
      <c r="T1522" s="36">
        <f>TEXT(B1522,"mmm")</f>
        <v/>
      </c>
      <c r="U1522" s="36">
        <f>IF(AND(OR(sel_Region="All",C1522=sel_Region),OR(sel_Country="All",D1522=sel_Country),OR(sel_Channel="All",E1522=sel_Channel),OR(sel_Customer="All",F1522=sel_Customer),OR(sel_Category="All",G1522=sel_Category),OR(sel_Product="All",H1522=sel_Product),AND(S1522&gt;=m_From,S1522&lt;=m_To)),1,0)</f>
        <v/>
      </c>
      <c r="V1522" s="36">
        <f>IF(AND(OR(sel_Region="All",C1522=sel_Region),OR(sel_Channel="All",E1522=sel_Channel),OR(sel_Customer="All",F1522=sel_Customer),OR(sel_Category="All",G1522=sel_Category),OR(sel_Product="All",H1522=sel_Product),AND(S1522&gt;=m_From,S1522&lt;=m_To)),1,0)</f>
        <v/>
      </c>
      <c r="W1522" s="36">
        <f>IF(AND(OR(sel_Region="All",C1522=sel_Region),OR(sel_Country="All",D1522=sel_Country),OR(sel_Customer="All",F1522=sel_Customer),OR(sel_Category="All",G1522=sel_Category),OR(sel_Product="All",H1522=sel_Product),AND(S1522&gt;=m_From,S1522&lt;=m_To)),1,0)</f>
        <v/>
      </c>
      <c r="X1522" s="36">
        <f>IF(AND(OR(sel_Region="All",C1522=sel_Region),OR(sel_Country="All",D1522=sel_Country),OR(sel_Channel="All",E1522=sel_Channel),OR(sel_Category="All",G1522=sel_Category),OR(sel_Product="All",H1522=sel_Product),AND(S1522&gt;=m_From,S1522&lt;=m_To)),1,0)</f>
        <v/>
      </c>
      <c r="Y1522" s="36">
        <f>IF(AND(OR(sel_Region="All",C1522=sel_Region),OR(sel_Country="All",D1522=sel_Country),OR(sel_Channel="All",E1522=sel_Channel),OR(sel_Customer="All",F1522=sel_Customer),OR(sel_Product="All",H1522=sel_Product),AND(S1522&gt;=m_From,S1522&lt;=m_To)),1,0)</f>
        <v/>
      </c>
      <c r="Z1522" s="36">
        <f>IF(AND(OR(sel_Region="All",C1522=sel_Region),OR(sel_Country="All",D1522=sel_Country),OR(sel_Channel="All",E1522=sel_Channel),OR(sel_Customer="All",F1522=sel_Customer),OR(sel_Category="All",G1522=sel_Category),AND(S1522&gt;=m_From,S1522&lt;=m_To)),1,0)</f>
        <v/>
      </c>
      <c r="AA1522" s="36">
        <f>IF(AND(OR(sel_Region="All",C1522=sel_Region),OR(sel_Country="All",D1522=sel_Country),OR(sel_Channel="All",E1522=sel_Channel),OR(sel_Customer="All",F1522=sel_Customer),OR(sel_Category="All",G1522=sel_Category),OR(sel_Product="All",H1522=sel_Product)),1,0)</f>
        <v/>
      </c>
    </row>
    <row r="1523">
      <c r="A1523" s="36" t="inlineStr">
        <is>
          <t>03537</t>
        </is>
      </c>
      <c r="B1523" s="44" t="n">
        <v>46233</v>
      </c>
      <c r="C1523" s="36" t="inlineStr">
        <is>
          <t>Central Europe</t>
        </is>
      </c>
      <c r="D1523" s="36" t="inlineStr">
        <is>
          <t>Switzerland</t>
        </is>
      </c>
      <c r="E1523" s="36" t="inlineStr">
        <is>
          <t>Online Store</t>
        </is>
      </c>
      <c r="F1523" s="36" t="inlineStr">
        <is>
          <t>Returning</t>
        </is>
      </c>
      <c r="G1523" s="36" t="inlineStr">
        <is>
          <t>Camping</t>
        </is>
      </c>
      <c r="H1523" s="36" t="inlineStr">
        <is>
          <t>Alpine Tent 4P</t>
        </is>
      </c>
      <c r="I1523" s="36" t="n">
        <v>2</v>
      </c>
      <c r="J1523" s="39" t="n">
        <v>332.99</v>
      </c>
      <c r="K1523" s="45" t="n">
        <v>0.15</v>
      </c>
      <c r="L1523" s="39" t="n">
        <v>199.09</v>
      </c>
      <c r="M1523" s="39">
        <f>I1523*J1523*(1-K1523)</f>
        <v/>
      </c>
      <c r="N1523" s="39">
        <f>I1523*L1523</f>
        <v/>
      </c>
      <c r="O1523" s="39">
        <f>M1523-N1523</f>
        <v/>
      </c>
      <c r="P1523" s="38">
        <f>IF(M1523=0,0,O1523/M1523)</f>
        <v/>
      </c>
      <c r="Q1523" s="36">
        <f>YEAR(B1523)</f>
        <v/>
      </c>
      <c r="R1523" s="36">
        <f>"Q"&amp;ROUNDUP(MONTH(B1523)/3,0)</f>
        <v/>
      </c>
      <c r="S1523" s="36">
        <f>MONTH(B1523)</f>
        <v/>
      </c>
      <c r="T1523" s="36">
        <f>TEXT(B1523,"mmm")</f>
        <v/>
      </c>
      <c r="U1523" s="36">
        <f>IF(AND(OR(sel_Region="All",C1523=sel_Region),OR(sel_Country="All",D1523=sel_Country),OR(sel_Channel="All",E1523=sel_Channel),OR(sel_Customer="All",F1523=sel_Customer),OR(sel_Category="All",G1523=sel_Category),OR(sel_Product="All",H1523=sel_Product),AND(S1523&gt;=m_From,S1523&lt;=m_To)),1,0)</f>
        <v/>
      </c>
      <c r="V1523" s="36">
        <f>IF(AND(OR(sel_Region="All",C1523=sel_Region),OR(sel_Channel="All",E1523=sel_Channel),OR(sel_Customer="All",F1523=sel_Customer),OR(sel_Category="All",G1523=sel_Category),OR(sel_Product="All",H1523=sel_Product),AND(S1523&gt;=m_From,S1523&lt;=m_To)),1,0)</f>
        <v/>
      </c>
      <c r="W1523" s="36">
        <f>IF(AND(OR(sel_Region="All",C1523=sel_Region),OR(sel_Country="All",D1523=sel_Country),OR(sel_Customer="All",F1523=sel_Customer),OR(sel_Category="All",G1523=sel_Category),OR(sel_Product="All",H1523=sel_Product),AND(S1523&gt;=m_From,S1523&lt;=m_To)),1,0)</f>
        <v/>
      </c>
      <c r="X1523" s="36">
        <f>IF(AND(OR(sel_Region="All",C1523=sel_Region),OR(sel_Country="All",D1523=sel_Country),OR(sel_Channel="All",E1523=sel_Channel),OR(sel_Category="All",G1523=sel_Category),OR(sel_Product="All",H1523=sel_Product),AND(S1523&gt;=m_From,S1523&lt;=m_To)),1,0)</f>
        <v/>
      </c>
      <c r="Y1523" s="36">
        <f>IF(AND(OR(sel_Region="All",C1523=sel_Region),OR(sel_Country="All",D1523=sel_Country),OR(sel_Channel="All",E1523=sel_Channel),OR(sel_Customer="All",F1523=sel_Customer),OR(sel_Product="All",H1523=sel_Product),AND(S1523&gt;=m_From,S1523&lt;=m_To)),1,0)</f>
        <v/>
      </c>
      <c r="Z1523" s="36">
        <f>IF(AND(OR(sel_Region="All",C1523=sel_Region),OR(sel_Country="All",D1523=sel_Country),OR(sel_Channel="All",E1523=sel_Channel),OR(sel_Customer="All",F1523=sel_Customer),OR(sel_Category="All",G1523=sel_Category),AND(S1523&gt;=m_From,S1523&lt;=m_To)),1,0)</f>
        <v/>
      </c>
      <c r="AA1523" s="36">
        <f>IF(AND(OR(sel_Region="All",C1523=sel_Region),OR(sel_Country="All",D1523=sel_Country),OR(sel_Channel="All",E1523=sel_Channel),OR(sel_Customer="All",F1523=sel_Customer),OR(sel_Category="All",G1523=sel_Category),OR(sel_Product="All",H1523=sel_Product)),1,0)</f>
        <v/>
      </c>
    </row>
    <row r="1524">
      <c r="A1524" s="36" t="inlineStr">
        <is>
          <t>03550</t>
        </is>
      </c>
      <c r="B1524" s="44" t="n">
        <v>46233</v>
      </c>
      <c r="C1524" s="36" t="inlineStr">
        <is>
          <t>Southern Europe</t>
        </is>
      </c>
      <c r="D1524" s="36" t="inlineStr">
        <is>
          <t>Italy</t>
        </is>
      </c>
      <c r="E1524" s="36" t="inlineStr">
        <is>
          <t>Online Store</t>
        </is>
      </c>
      <c r="F1524" s="36" t="inlineStr">
        <is>
          <t>Returning</t>
        </is>
      </c>
      <c r="G1524" s="36" t="inlineStr">
        <is>
          <t>Camping</t>
        </is>
      </c>
      <c r="H1524" s="36" t="inlineStr">
        <is>
          <t>Compact Sleeping Bag</t>
        </is>
      </c>
      <c r="I1524" s="36" t="n">
        <v>3</v>
      </c>
      <c r="J1524" s="39" t="n">
        <v>120.88</v>
      </c>
      <c r="K1524" s="45" t="n">
        <v>0</v>
      </c>
      <c r="L1524" s="39" t="n">
        <v>60.97</v>
      </c>
      <c r="M1524" s="39">
        <f>I1524*J1524*(1-K1524)</f>
        <v/>
      </c>
      <c r="N1524" s="39">
        <f>I1524*L1524</f>
        <v/>
      </c>
      <c r="O1524" s="39">
        <f>M1524-N1524</f>
        <v/>
      </c>
      <c r="P1524" s="38">
        <f>IF(M1524=0,0,O1524/M1524)</f>
        <v/>
      </c>
      <c r="Q1524" s="36">
        <f>YEAR(B1524)</f>
        <v/>
      </c>
      <c r="R1524" s="36">
        <f>"Q"&amp;ROUNDUP(MONTH(B1524)/3,0)</f>
        <v/>
      </c>
      <c r="S1524" s="36">
        <f>MONTH(B1524)</f>
        <v/>
      </c>
      <c r="T1524" s="36">
        <f>TEXT(B1524,"mmm")</f>
        <v/>
      </c>
      <c r="U1524" s="36">
        <f>IF(AND(OR(sel_Region="All",C1524=sel_Region),OR(sel_Country="All",D1524=sel_Country),OR(sel_Channel="All",E1524=sel_Channel),OR(sel_Customer="All",F1524=sel_Customer),OR(sel_Category="All",G1524=sel_Category),OR(sel_Product="All",H1524=sel_Product),AND(S1524&gt;=m_From,S1524&lt;=m_To)),1,0)</f>
        <v/>
      </c>
      <c r="V1524" s="36">
        <f>IF(AND(OR(sel_Region="All",C1524=sel_Region),OR(sel_Channel="All",E1524=sel_Channel),OR(sel_Customer="All",F1524=sel_Customer),OR(sel_Category="All",G1524=sel_Category),OR(sel_Product="All",H1524=sel_Product),AND(S1524&gt;=m_From,S1524&lt;=m_To)),1,0)</f>
        <v/>
      </c>
      <c r="W1524" s="36">
        <f>IF(AND(OR(sel_Region="All",C1524=sel_Region),OR(sel_Country="All",D1524=sel_Country),OR(sel_Customer="All",F1524=sel_Customer),OR(sel_Category="All",G1524=sel_Category),OR(sel_Product="All",H1524=sel_Product),AND(S1524&gt;=m_From,S1524&lt;=m_To)),1,0)</f>
        <v/>
      </c>
      <c r="X1524" s="36">
        <f>IF(AND(OR(sel_Region="All",C1524=sel_Region),OR(sel_Country="All",D1524=sel_Country),OR(sel_Channel="All",E1524=sel_Channel),OR(sel_Category="All",G1524=sel_Category),OR(sel_Product="All",H1524=sel_Product),AND(S1524&gt;=m_From,S1524&lt;=m_To)),1,0)</f>
        <v/>
      </c>
      <c r="Y1524" s="36">
        <f>IF(AND(OR(sel_Region="All",C1524=sel_Region),OR(sel_Country="All",D1524=sel_Country),OR(sel_Channel="All",E1524=sel_Channel),OR(sel_Customer="All",F1524=sel_Customer),OR(sel_Product="All",H1524=sel_Product),AND(S1524&gt;=m_From,S1524&lt;=m_To)),1,0)</f>
        <v/>
      </c>
      <c r="Z1524" s="36">
        <f>IF(AND(OR(sel_Region="All",C1524=sel_Region),OR(sel_Country="All",D1524=sel_Country),OR(sel_Channel="All",E1524=sel_Channel),OR(sel_Customer="All",F1524=sel_Customer),OR(sel_Category="All",G1524=sel_Category),AND(S1524&gt;=m_From,S1524&lt;=m_To)),1,0)</f>
        <v/>
      </c>
      <c r="AA1524" s="36">
        <f>IF(AND(OR(sel_Region="All",C1524=sel_Region),OR(sel_Country="All",D1524=sel_Country),OR(sel_Channel="All",E1524=sel_Channel),OR(sel_Customer="All",F1524=sel_Customer),OR(sel_Category="All",G1524=sel_Category),OR(sel_Product="All",H1524=sel_Product)),1,0)</f>
        <v/>
      </c>
    </row>
    <row r="1525">
      <c r="A1525" s="36" t="inlineStr">
        <is>
          <t>03875</t>
        </is>
      </c>
      <c r="B1525" s="44" t="n">
        <v>46233</v>
      </c>
      <c r="C1525" s="36" t="inlineStr">
        <is>
          <t>Western Europe</t>
        </is>
      </c>
      <c r="D1525" s="36" t="inlineStr">
        <is>
          <t>United Kingdom</t>
        </is>
      </c>
      <c r="E1525" s="36" t="inlineStr">
        <is>
          <t>Online Store</t>
        </is>
      </c>
      <c r="F1525" s="36" t="inlineStr">
        <is>
          <t>Returning</t>
        </is>
      </c>
      <c r="G1525" s="36" t="inlineStr">
        <is>
          <t>Cycling</t>
        </is>
      </c>
      <c r="H1525" s="36" t="inlineStr">
        <is>
          <t>Cycling Pack 12L</t>
        </is>
      </c>
      <c r="I1525" s="36" t="n">
        <v>1</v>
      </c>
      <c r="J1525" s="39" t="n">
        <v>101.73</v>
      </c>
      <c r="K1525" s="45" t="n">
        <v>0.05</v>
      </c>
      <c r="L1525" s="39" t="n">
        <v>51.63</v>
      </c>
      <c r="M1525" s="39">
        <f>I1525*J1525*(1-K1525)</f>
        <v/>
      </c>
      <c r="N1525" s="39">
        <f>I1525*L1525</f>
        <v/>
      </c>
      <c r="O1525" s="39">
        <f>M1525-N1525</f>
        <v/>
      </c>
      <c r="P1525" s="38">
        <f>IF(M1525=0,0,O1525/M1525)</f>
        <v/>
      </c>
      <c r="Q1525" s="36">
        <f>YEAR(B1525)</f>
        <v/>
      </c>
      <c r="R1525" s="36">
        <f>"Q"&amp;ROUNDUP(MONTH(B1525)/3,0)</f>
        <v/>
      </c>
      <c r="S1525" s="36">
        <f>MONTH(B1525)</f>
        <v/>
      </c>
      <c r="T1525" s="36">
        <f>TEXT(B1525,"mmm")</f>
        <v/>
      </c>
      <c r="U1525" s="36">
        <f>IF(AND(OR(sel_Region="All",C1525=sel_Region),OR(sel_Country="All",D1525=sel_Country),OR(sel_Channel="All",E1525=sel_Channel),OR(sel_Customer="All",F1525=sel_Customer),OR(sel_Category="All",G1525=sel_Category),OR(sel_Product="All",H1525=sel_Product),AND(S1525&gt;=m_From,S1525&lt;=m_To)),1,0)</f>
        <v/>
      </c>
      <c r="V1525" s="36">
        <f>IF(AND(OR(sel_Region="All",C1525=sel_Region),OR(sel_Channel="All",E1525=sel_Channel),OR(sel_Customer="All",F1525=sel_Customer),OR(sel_Category="All",G1525=sel_Category),OR(sel_Product="All",H1525=sel_Product),AND(S1525&gt;=m_From,S1525&lt;=m_To)),1,0)</f>
        <v/>
      </c>
      <c r="W1525" s="36">
        <f>IF(AND(OR(sel_Region="All",C1525=sel_Region),OR(sel_Country="All",D1525=sel_Country),OR(sel_Customer="All",F1525=sel_Customer),OR(sel_Category="All",G1525=sel_Category),OR(sel_Product="All",H1525=sel_Product),AND(S1525&gt;=m_From,S1525&lt;=m_To)),1,0)</f>
        <v/>
      </c>
      <c r="X1525" s="36">
        <f>IF(AND(OR(sel_Region="All",C1525=sel_Region),OR(sel_Country="All",D1525=sel_Country),OR(sel_Channel="All",E1525=sel_Channel),OR(sel_Category="All",G1525=sel_Category),OR(sel_Product="All",H1525=sel_Product),AND(S1525&gt;=m_From,S1525&lt;=m_To)),1,0)</f>
        <v/>
      </c>
      <c r="Y1525" s="36">
        <f>IF(AND(OR(sel_Region="All",C1525=sel_Region),OR(sel_Country="All",D1525=sel_Country),OR(sel_Channel="All",E1525=sel_Channel),OR(sel_Customer="All",F1525=sel_Customer),OR(sel_Product="All",H1525=sel_Product),AND(S1525&gt;=m_From,S1525&lt;=m_To)),1,0)</f>
        <v/>
      </c>
      <c r="Z1525" s="36">
        <f>IF(AND(OR(sel_Region="All",C1525=sel_Region),OR(sel_Country="All",D1525=sel_Country),OR(sel_Channel="All",E1525=sel_Channel),OR(sel_Customer="All",F1525=sel_Customer),OR(sel_Category="All",G1525=sel_Category),AND(S1525&gt;=m_From,S1525&lt;=m_To)),1,0)</f>
        <v/>
      </c>
      <c r="AA1525" s="36">
        <f>IF(AND(OR(sel_Region="All",C1525=sel_Region),OR(sel_Country="All",D1525=sel_Country),OR(sel_Channel="All",E1525=sel_Channel),OR(sel_Customer="All",F1525=sel_Customer),OR(sel_Category="All",G1525=sel_Category),OR(sel_Product="All",H1525=sel_Product)),1,0)</f>
        <v/>
      </c>
    </row>
    <row r="1526">
      <c r="A1526" s="36" t="inlineStr">
        <is>
          <t>04467</t>
        </is>
      </c>
      <c r="B1526" s="44" t="n">
        <v>46233</v>
      </c>
      <c r="C1526" s="36" t="inlineStr">
        <is>
          <t>Western Europe</t>
        </is>
      </c>
      <c r="D1526" s="36" t="inlineStr">
        <is>
          <t>Netherlands</t>
        </is>
      </c>
      <c r="E1526" s="36" t="inlineStr">
        <is>
          <t>Online Store</t>
        </is>
      </c>
      <c r="F1526" s="36" t="inlineStr">
        <is>
          <t>Returning</t>
        </is>
      </c>
      <c r="G1526" s="36" t="inlineStr">
        <is>
          <t>Travel</t>
        </is>
      </c>
      <c r="H1526" s="36" t="inlineStr">
        <is>
          <t>Insulated Bottle</t>
        </is>
      </c>
      <c r="I1526" s="36" t="n">
        <v>2</v>
      </c>
      <c r="J1526" s="39" t="n">
        <v>36.21</v>
      </c>
      <c r="K1526" s="45" t="n">
        <v>0</v>
      </c>
      <c r="L1526" s="39" t="n">
        <v>13.5</v>
      </c>
      <c r="M1526" s="39">
        <f>I1526*J1526*(1-K1526)</f>
        <v/>
      </c>
      <c r="N1526" s="39">
        <f>I1526*L1526</f>
        <v/>
      </c>
      <c r="O1526" s="39">
        <f>M1526-N1526</f>
        <v/>
      </c>
      <c r="P1526" s="38">
        <f>IF(M1526=0,0,O1526/M1526)</f>
        <v/>
      </c>
      <c r="Q1526" s="36">
        <f>YEAR(B1526)</f>
        <v/>
      </c>
      <c r="R1526" s="36">
        <f>"Q"&amp;ROUNDUP(MONTH(B1526)/3,0)</f>
        <v/>
      </c>
      <c r="S1526" s="36">
        <f>MONTH(B1526)</f>
        <v/>
      </c>
      <c r="T1526" s="36">
        <f>TEXT(B1526,"mmm")</f>
        <v/>
      </c>
      <c r="U1526" s="36">
        <f>IF(AND(OR(sel_Region="All",C1526=sel_Region),OR(sel_Country="All",D1526=sel_Country),OR(sel_Channel="All",E1526=sel_Channel),OR(sel_Customer="All",F1526=sel_Customer),OR(sel_Category="All",G1526=sel_Category),OR(sel_Product="All",H1526=sel_Product),AND(S1526&gt;=m_From,S1526&lt;=m_To)),1,0)</f>
        <v/>
      </c>
      <c r="V1526" s="36">
        <f>IF(AND(OR(sel_Region="All",C1526=sel_Region),OR(sel_Channel="All",E1526=sel_Channel),OR(sel_Customer="All",F1526=sel_Customer),OR(sel_Category="All",G1526=sel_Category),OR(sel_Product="All",H1526=sel_Product),AND(S1526&gt;=m_From,S1526&lt;=m_To)),1,0)</f>
        <v/>
      </c>
      <c r="W1526" s="36">
        <f>IF(AND(OR(sel_Region="All",C1526=sel_Region),OR(sel_Country="All",D1526=sel_Country),OR(sel_Customer="All",F1526=sel_Customer),OR(sel_Category="All",G1526=sel_Category),OR(sel_Product="All",H1526=sel_Product),AND(S1526&gt;=m_From,S1526&lt;=m_To)),1,0)</f>
        <v/>
      </c>
      <c r="X1526" s="36">
        <f>IF(AND(OR(sel_Region="All",C1526=sel_Region),OR(sel_Country="All",D1526=sel_Country),OR(sel_Channel="All",E1526=sel_Channel),OR(sel_Category="All",G1526=sel_Category),OR(sel_Product="All",H1526=sel_Product),AND(S1526&gt;=m_From,S1526&lt;=m_To)),1,0)</f>
        <v/>
      </c>
      <c r="Y1526" s="36">
        <f>IF(AND(OR(sel_Region="All",C1526=sel_Region),OR(sel_Country="All",D1526=sel_Country),OR(sel_Channel="All",E1526=sel_Channel),OR(sel_Customer="All",F1526=sel_Customer),OR(sel_Product="All",H1526=sel_Product),AND(S1526&gt;=m_From,S1526&lt;=m_To)),1,0)</f>
        <v/>
      </c>
      <c r="Z1526" s="36">
        <f>IF(AND(OR(sel_Region="All",C1526=sel_Region),OR(sel_Country="All",D1526=sel_Country),OR(sel_Channel="All",E1526=sel_Channel),OR(sel_Customer="All",F1526=sel_Customer),OR(sel_Category="All",G1526=sel_Category),AND(S1526&gt;=m_From,S1526&lt;=m_To)),1,0)</f>
        <v/>
      </c>
      <c r="AA1526" s="36">
        <f>IF(AND(OR(sel_Region="All",C1526=sel_Region),OR(sel_Country="All",D1526=sel_Country),OR(sel_Channel="All",E1526=sel_Channel),OR(sel_Customer="All",F1526=sel_Customer),OR(sel_Category="All",G1526=sel_Category),OR(sel_Product="All",H1526=sel_Product)),1,0)</f>
        <v/>
      </c>
    </row>
    <row r="1527">
      <c r="A1527" s="36" t="inlineStr">
        <is>
          <t>00739</t>
        </is>
      </c>
      <c r="B1527" s="44" t="n">
        <v>46234</v>
      </c>
      <c r="C1527" s="36" t="inlineStr">
        <is>
          <t>Western Europe</t>
        </is>
      </c>
      <c r="D1527" s="36" t="inlineStr">
        <is>
          <t>Netherlands</t>
        </is>
      </c>
      <c r="E1527" s="36" t="inlineStr">
        <is>
          <t>Online Store</t>
        </is>
      </c>
      <c r="F1527" s="36" t="inlineStr">
        <is>
          <t>Business</t>
        </is>
      </c>
      <c r="G1527" s="36" t="inlineStr">
        <is>
          <t>Cycling</t>
        </is>
      </c>
      <c r="H1527" s="36" t="inlineStr">
        <is>
          <t>Cycling Pack 12L</t>
        </is>
      </c>
      <c r="I1527" s="36" t="n">
        <v>5</v>
      </c>
      <c r="J1527" s="39" t="n">
        <v>104.65</v>
      </c>
      <c r="K1527" s="45" t="n">
        <v>0</v>
      </c>
      <c r="L1527" s="39" t="n">
        <v>49.2</v>
      </c>
      <c r="M1527" s="39">
        <f>I1527*J1527*(1-K1527)</f>
        <v/>
      </c>
      <c r="N1527" s="39">
        <f>I1527*L1527</f>
        <v/>
      </c>
      <c r="O1527" s="39">
        <f>M1527-N1527</f>
        <v/>
      </c>
      <c r="P1527" s="38">
        <f>IF(M1527=0,0,O1527/M1527)</f>
        <v/>
      </c>
      <c r="Q1527" s="36">
        <f>YEAR(B1527)</f>
        <v/>
      </c>
      <c r="R1527" s="36">
        <f>"Q"&amp;ROUNDUP(MONTH(B1527)/3,0)</f>
        <v/>
      </c>
      <c r="S1527" s="36">
        <f>MONTH(B1527)</f>
        <v/>
      </c>
      <c r="T1527" s="36">
        <f>TEXT(B1527,"mmm")</f>
        <v/>
      </c>
      <c r="U1527" s="36">
        <f>IF(AND(OR(sel_Region="All",C1527=sel_Region),OR(sel_Country="All",D1527=sel_Country),OR(sel_Channel="All",E1527=sel_Channel),OR(sel_Customer="All",F1527=sel_Customer),OR(sel_Category="All",G1527=sel_Category),OR(sel_Product="All",H1527=sel_Product),AND(S1527&gt;=m_From,S1527&lt;=m_To)),1,0)</f>
        <v/>
      </c>
      <c r="V1527" s="36">
        <f>IF(AND(OR(sel_Region="All",C1527=sel_Region),OR(sel_Channel="All",E1527=sel_Channel),OR(sel_Customer="All",F1527=sel_Customer),OR(sel_Category="All",G1527=sel_Category),OR(sel_Product="All",H1527=sel_Product),AND(S1527&gt;=m_From,S1527&lt;=m_To)),1,0)</f>
        <v/>
      </c>
      <c r="W1527" s="36">
        <f>IF(AND(OR(sel_Region="All",C1527=sel_Region),OR(sel_Country="All",D1527=sel_Country),OR(sel_Customer="All",F1527=sel_Customer),OR(sel_Category="All",G1527=sel_Category),OR(sel_Product="All",H1527=sel_Product),AND(S1527&gt;=m_From,S1527&lt;=m_To)),1,0)</f>
        <v/>
      </c>
      <c r="X1527" s="36">
        <f>IF(AND(OR(sel_Region="All",C1527=sel_Region),OR(sel_Country="All",D1527=sel_Country),OR(sel_Channel="All",E1527=sel_Channel),OR(sel_Category="All",G1527=sel_Category),OR(sel_Product="All",H1527=sel_Product),AND(S1527&gt;=m_From,S1527&lt;=m_To)),1,0)</f>
        <v/>
      </c>
      <c r="Y1527" s="36">
        <f>IF(AND(OR(sel_Region="All",C1527=sel_Region),OR(sel_Country="All",D1527=sel_Country),OR(sel_Channel="All",E1527=sel_Channel),OR(sel_Customer="All",F1527=sel_Customer),OR(sel_Product="All",H1527=sel_Product),AND(S1527&gt;=m_From,S1527&lt;=m_To)),1,0)</f>
        <v/>
      </c>
      <c r="Z1527" s="36">
        <f>IF(AND(OR(sel_Region="All",C1527=sel_Region),OR(sel_Country="All",D1527=sel_Country),OR(sel_Channel="All",E1527=sel_Channel),OR(sel_Customer="All",F1527=sel_Customer),OR(sel_Category="All",G1527=sel_Category),AND(S1527&gt;=m_From,S1527&lt;=m_To)),1,0)</f>
        <v/>
      </c>
      <c r="AA1527" s="36">
        <f>IF(AND(OR(sel_Region="All",C1527=sel_Region),OR(sel_Country="All",D1527=sel_Country),OR(sel_Channel="All",E1527=sel_Channel),OR(sel_Customer="All",F1527=sel_Customer),OR(sel_Category="All",G1527=sel_Category),OR(sel_Product="All",H1527=sel_Product)),1,0)</f>
        <v/>
      </c>
    </row>
    <row r="1528">
      <c r="A1528" s="36" t="inlineStr">
        <is>
          <t>02376</t>
        </is>
      </c>
      <c r="B1528" s="44" t="n">
        <v>46234</v>
      </c>
      <c r="C1528" s="36" t="inlineStr">
        <is>
          <t>Northern Europe</t>
        </is>
      </c>
      <c r="D1528" s="36" t="inlineStr">
        <is>
          <t>Denmark</t>
        </is>
      </c>
      <c r="E1528" s="36" t="inlineStr">
        <is>
          <t>Corporate</t>
        </is>
      </c>
      <c r="F1528" s="36" t="inlineStr">
        <is>
          <t>Returning</t>
        </is>
      </c>
      <c r="G1528" s="36" t="inlineStr">
        <is>
          <t>Camping</t>
        </is>
      </c>
      <c r="H1528" s="36" t="inlineStr">
        <is>
          <t>Trail Tent 2P</t>
        </is>
      </c>
      <c r="I1528" s="36" t="n">
        <v>5</v>
      </c>
      <c r="J1528" s="39" t="n">
        <v>198.35</v>
      </c>
      <c r="K1528" s="45" t="n">
        <v>0.05</v>
      </c>
      <c r="L1528" s="39" t="n">
        <v>104.96</v>
      </c>
      <c r="M1528" s="39">
        <f>I1528*J1528*(1-K1528)</f>
        <v/>
      </c>
      <c r="N1528" s="39">
        <f>I1528*L1528</f>
        <v/>
      </c>
      <c r="O1528" s="39">
        <f>M1528-N1528</f>
        <v/>
      </c>
      <c r="P1528" s="38">
        <f>IF(M1528=0,0,O1528/M1528)</f>
        <v/>
      </c>
      <c r="Q1528" s="36">
        <f>YEAR(B1528)</f>
        <v/>
      </c>
      <c r="R1528" s="36">
        <f>"Q"&amp;ROUNDUP(MONTH(B1528)/3,0)</f>
        <v/>
      </c>
      <c r="S1528" s="36">
        <f>MONTH(B1528)</f>
        <v/>
      </c>
      <c r="T1528" s="36">
        <f>TEXT(B1528,"mmm")</f>
        <v/>
      </c>
      <c r="U1528" s="36">
        <f>IF(AND(OR(sel_Region="All",C1528=sel_Region),OR(sel_Country="All",D1528=sel_Country),OR(sel_Channel="All",E1528=sel_Channel),OR(sel_Customer="All",F1528=sel_Customer),OR(sel_Category="All",G1528=sel_Category),OR(sel_Product="All",H1528=sel_Product),AND(S1528&gt;=m_From,S1528&lt;=m_To)),1,0)</f>
        <v/>
      </c>
      <c r="V1528" s="36">
        <f>IF(AND(OR(sel_Region="All",C1528=sel_Region),OR(sel_Channel="All",E1528=sel_Channel),OR(sel_Customer="All",F1528=sel_Customer),OR(sel_Category="All",G1528=sel_Category),OR(sel_Product="All",H1528=sel_Product),AND(S1528&gt;=m_From,S1528&lt;=m_To)),1,0)</f>
        <v/>
      </c>
      <c r="W1528" s="36">
        <f>IF(AND(OR(sel_Region="All",C1528=sel_Region),OR(sel_Country="All",D1528=sel_Country),OR(sel_Customer="All",F1528=sel_Customer),OR(sel_Category="All",G1528=sel_Category),OR(sel_Product="All",H1528=sel_Product),AND(S1528&gt;=m_From,S1528&lt;=m_To)),1,0)</f>
        <v/>
      </c>
      <c r="X1528" s="36">
        <f>IF(AND(OR(sel_Region="All",C1528=sel_Region),OR(sel_Country="All",D1528=sel_Country),OR(sel_Channel="All",E1528=sel_Channel),OR(sel_Category="All",G1528=sel_Category),OR(sel_Product="All",H1528=sel_Product),AND(S1528&gt;=m_From,S1528&lt;=m_To)),1,0)</f>
        <v/>
      </c>
      <c r="Y1528" s="36">
        <f>IF(AND(OR(sel_Region="All",C1528=sel_Region),OR(sel_Country="All",D1528=sel_Country),OR(sel_Channel="All",E1528=sel_Channel),OR(sel_Customer="All",F1528=sel_Customer),OR(sel_Product="All",H1528=sel_Product),AND(S1528&gt;=m_From,S1528&lt;=m_To)),1,0)</f>
        <v/>
      </c>
      <c r="Z1528" s="36">
        <f>IF(AND(OR(sel_Region="All",C1528=sel_Region),OR(sel_Country="All",D1528=sel_Country),OR(sel_Channel="All",E1528=sel_Channel),OR(sel_Customer="All",F1528=sel_Customer),OR(sel_Category="All",G1528=sel_Category),AND(S1528&gt;=m_From,S1528&lt;=m_To)),1,0)</f>
        <v/>
      </c>
      <c r="AA1528" s="36">
        <f>IF(AND(OR(sel_Region="All",C1528=sel_Region),OR(sel_Country="All",D1528=sel_Country),OR(sel_Channel="All",E1528=sel_Channel),OR(sel_Customer="All",F1528=sel_Customer),OR(sel_Category="All",G1528=sel_Category),OR(sel_Product="All",H1528=sel_Product)),1,0)</f>
        <v/>
      </c>
    </row>
    <row r="1529">
      <c r="A1529" s="36" t="inlineStr">
        <is>
          <t>03109</t>
        </is>
      </c>
      <c r="B1529" s="44" t="n">
        <v>46234</v>
      </c>
      <c r="C1529" s="36" t="inlineStr">
        <is>
          <t>Southern Europe</t>
        </is>
      </c>
      <c r="D1529" s="36" t="inlineStr">
        <is>
          <t>Spain</t>
        </is>
      </c>
      <c r="E1529" s="36" t="inlineStr">
        <is>
          <t>Marketplace</t>
        </is>
      </c>
      <c r="F1529" s="36" t="inlineStr">
        <is>
          <t>Returning</t>
        </is>
      </c>
      <c r="G1529" s="36" t="inlineStr">
        <is>
          <t>Fitness</t>
        </is>
      </c>
      <c r="H1529" s="36" t="inlineStr">
        <is>
          <t>Recovery Roller</t>
        </is>
      </c>
      <c r="I1529" s="36" t="n">
        <v>2</v>
      </c>
      <c r="J1529" s="39" t="n">
        <v>36.56</v>
      </c>
      <c r="K1529" s="45" t="n">
        <v>0.05</v>
      </c>
      <c r="L1529" s="39" t="n">
        <v>13.76</v>
      </c>
      <c r="M1529" s="39">
        <f>I1529*J1529*(1-K1529)</f>
        <v/>
      </c>
      <c r="N1529" s="39">
        <f>I1529*L1529</f>
        <v/>
      </c>
      <c r="O1529" s="39">
        <f>M1529-N1529</f>
        <v/>
      </c>
      <c r="P1529" s="38">
        <f>IF(M1529=0,0,O1529/M1529)</f>
        <v/>
      </c>
      <c r="Q1529" s="36">
        <f>YEAR(B1529)</f>
        <v/>
      </c>
      <c r="R1529" s="36">
        <f>"Q"&amp;ROUNDUP(MONTH(B1529)/3,0)</f>
        <v/>
      </c>
      <c r="S1529" s="36">
        <f>MONTH(B1529)</f>
        <v/>
      </c>
      <c r="T1529" s="36">
        <f>TEXT(B1529,"mmm")</f>
        <v/>
      </c>
      <c r="U1529" s="36">
        <f>IF(AND(OR(sel_Region="All",C1529=sel_Region),OR(sel_Country="All",D1529=sel_Country),OR(sel_Channel="All",E1529=sel_Channel),OR(sel_Customer="All",F1529=sel_Customer),OR(sel_Category="All",G1529=sel_Category),OR(sel_Product="All",H1529=sel_Product),AND(S1529&gt;=m_From,S1529&lt;=m_To)),1,0)</f>
        <v/>
      </c>
      <c r="V1529" s="36">
        <f>IF(AND(OR(sel_Region="All",C1529=sel_Region),OR(sel_Channel="All",E1529=sel_Channel),OR(sel_Customer="All",F1529=sel_Customer),OR(sel_Category="All",G1529=sel_Category),OR(sel_Product="All",H1529=sel_Product),AND(S1529&gt;=m_From,S1529&lt;=m_To)),1,0)</f>
        <v/>
      </c>
      <c r="W1529" s="36">
        <f>IF(AND(OR(sel_Region="All",C1529=sel_Region),OR(sel_Country="All",D1529=sel_Country),OR(sel_Customer="All",F1529=sel_Customer),OR(sel_Category="All",G1529=sel_Category),OR(sel_Product="All",H1529=sel_Product),AND(S1529&gt;=m_From,S1529&lt;=m_To)),1,0)</f>
        <v/>
      </c>
      <c r="X1529" s="36">
        <f>IF(AND(OR(sel_Region="All",C1529=sel_Region),OR(sel_Country="All",D1529=sel_Country),OR(sel_Channel="All",E1529=sel_Channel),OR(sel_Category="All",G1529=sel_Category),OR(sel_Product="All",H1529=sel_Product),AND(S1529&gt;=m_From,S1529&lt;=m_To)),1,0)</f>
        <v/>
      </c>
      <c r="Y1529" s="36">
        <f>IF(AND(OR(sel_Region="All",C1529=sel_Region),OR(sel_Country="All",D1529=sel_Country),OR(sel_Channel="All",E1529=sel_Channel),OR(sel_Customer="All",F1529=sel_Customer),OR(sel_Product="All",H1529=sel_Product),AND(S1529&gt;=m_From,S1529&lt;=m_To)),1,0)</f>
        <v/>
      </c>
      <c r="Z1529" s="36">
        <f>IF(AND(OR(sel_Region="All",C1529=sel_Region),OR(sel_Country="All",D1529=sel_Country),OR(sel_Channel="All",E1529=sel_Channel),OR(sel_Customer="All",F1529=sel_Customer),OR(sel_Category="All",G1529=sel_Category),AND(S1529&gt;=m_From,S1529&lt;=m_To)),1,0)</f>
        <v/>
      </c>
      <c r="AA1529" s="36">
        <f>IF(AND(OR(sel_Region="All",C1529=sel_Region),OR(sel_Country="All",D1529=sel_Country),OR(sel_Channel="All",E1529=sel_Channel),OR(sel_Customer="All",F1529=sel_Customer),OR(sel_Category="All",G1529=sel_Category),OR(sel_Product="All",H1529=sel_Product)),1,0)</f>
        <v/>
      </c>
    </row>
    <row r="1530">
      <c r="A1530" s="36" t="inlineStr">
        <is>
          <t>04362</t>
        </is>
      </c>
      <c r="B1530" s="44" t="n">
        <v>46234</v>
      </c>
      <c r="C1530" s="36" t="inlineStr">
        <is>
          <t>Central Europe</t>
        </is>
      </c>
      <c r="D1530" s="36" t="inlineStr">
        <is>
          <t>Poland</t>
        </is>
      </c>
      <c r="E1530" s="36" t="inlineStr">
        <is>
          <t>Online Store</t>
        </is>
      </c>
      <c r="F1530" s="36" t="inlineStr">
        <is>
          <t>Returning</t>
        </is>
      </c>
      <c r="G1530" s="36" t="inlineStr">
        <is>
          <t>Hiking</t>
        </is>
      </c>
      <c r="H1530" s="36" t="inlineStr">
        <is>
          <t>Hiking Daypack 20L</t>
        </is>
      </c>
      <c r="I1530" s="36" t="n">
        <v>5</v>
      </c>
      <c r="J1530" s="39" t="n">
        <v>92.41</v>
      </c>
      <c r="K1530" s="45" t="n">
        <v>0</v>
      </c>
      <c r="L1530" s="39" t="n">
        <v>44.29</v>
      </c>
      <c r="M1530" s="39">
        <f>I1530*J1530*(1-K1530)</f>
        <v/>
      </c>
      <c r="N1530" s="39">
        <f>I1530*L1530</f>
        <v/>
      </c>
      <c r="O1530" s="39">
        <f>M1530-N1530</f>
        <v/>
      </c>
      <c r="P1530" s="38">
        <f>IF(M1530=0,0,O1530/M1530)</f>
        <v/>
      </c>
      <c r="Q1530" s="36">
        <f>YEAR(B1530)</f>
        <v/>
      </c>
      <c r="R1530" s="36">
        <f>"Q"&amp;ROUNDUP(MONTH(B1530)/3,0)</f>
        <v/>
      </c>
      <c r="S1530" s="36">
        <f>MONTH(B1530)</f>
        <v/>
      </c>
      <c r="T1530" s="36">
        <f>TEXT(B1530,"mmm")</f>
        <v/>
      </c>
      <c r="U1530" s="36">
        <f>IF(AND(OR(sel_Region="All",C1530=sel_Region),OR(sel_Country="All",D1530=sel_Country),OR(sel_Channel="All",E1530=sel_Channel),OR(sel_Customer="All",F1530=sel_Customer),OR(sel_Category="All",G1530=sel_Category),OR(sel_Product="All",H1530=sel_Product),AND(S1530&gt;=m_From,S1530&lt;=m_To)),1,0)</f>
        <v/>
      </c>
      <c r="V1530" s="36">
        <f>IF(AND(OR(sel_Region="All",C1530=sel_Region),OR(sel_Channel="All",E1530=sel_Channel),OR(sel_Customer="All",F1530=sel_Customer),OR(sel_Category="All",G1530=sel_Category),OR(sel_Product="All",H1530=sel_Product),AND(S1530&gt;=m_From,S1530&lt;=m_To)),1,0)</f>
        <v/>
      </c>
      <c r="W1530" s="36">
        <f>IF(AND(OR(sel_Region="All",C1530=sel_Region),OR(sel_Country="All",D1530=sel_Country),OR(sel_Customer="All",F1530=sel_Customer),OR(sel_Category="All",G1530=sel_Category),OR(sel_Product="All",H1530=sel_Product),AND(S1530&gt;=m_From,S1530&lt;=m_To)),1,0)</f>
        <v/>
      </c>
      <c r="X1530" s="36">
        <f>IF(AND(OR(sel_Region="All",C1530=sel_Region),OR(sel_Country="All",D1530=sel_Country),OR(sel_Channel="All",E1530=sel_Channel),OR(sel_Category="All",G1530=sel_Category),OR(sel_Product="All",H1530=sel_Product),AND(S1530&gt;=m_From,S1530&lt;=m_To)),1,0)</f>
        <v/>
      </c>
      <c r="Y1530" s="36">
        <f>IF(AND(OR(sel_Region="All",C1530=sel_Region),OR(sel_Country="All",D1530=sel_Country),OR(sel_Channel="All",E1530=sel_Channel),OR(sel_Customer="All",F1530=sel_Customer),OR(sel_Product="All",H1530=sel_Product),AND(S1530&gt;=m_From,S1530&lt;=m_To)),1,0)</f>
        <v/>
      </c>
      <c r="Z1530" s="36">
        <f>IF(AND(OR(sel_Region="All",C1530=sel_Region),OR(sel_Country="All",D1530=sel_Country),OR(sel_Channel="All",E1530=sel_Channel),OR(sel_Customer="All",F1530=sel_Customer),OR(sel_Category="All",G1530=sel_Category),AND(S1530&gt;=m_From,S1530&lt;=m_To)),1,0)</f>
        <v/>
      </c>
      <c r="AA1530" s="36">
        <f>IF(AND(OR(sel_Region="All",C1530=sel_Region),OR(sel_Country="All",D1530=sel_Country),OR(sel_Channel="All",E1530=sel_Channel),OR(sel_Customer="All",F1530=sel_Customer),OR(sel_Category="All",G1530=sel_Category),OR(sel_Product="All",H1530=sel_Product)),1,0)</f>
        <v/>
      </c>
    </row>
    <row r="1531">
      <c r="A1531" s="36" t="inlineStr">
        <is>
          <t>00777</t>
        </is>
      </c>
      <c r="B1531" s="44" t="n">
        <v>46235</v>
      </c>
      <c r="C1531" s="36" t="inlineStr">
        <is>
          <t>Western Europe</t>
        </is>
      </c>
      <c r="D1531" s="36" t="inlineStr">
        <is>
          <t>France</t>
        </is>
      </c>
      <c r="E1531" s="36" t="inlineStr">
        <is>
          <t>Online Store</t>
        </is>
      </c>
      <c r="F1531" s="36" t="inlineStr">
        <is>
          <t>Returning</t>
        </is>
      </c>
      <c r="G1531" s="36" t="inlineStr">
        <is>
          <t>Camping</t>
        </is>
      </c>
      <c r="H1531" s="36" t="inlineStr">
        <is>
          <t>Compact Sleeping Bag</t>
        </is>
      </c>
      <c r="I1531" s="36" t="n">
        <v>4</v>
      </c>
      <c r="J1531" s="39" t="n">
        <v>121.87</v>
      </c>
      <c r="K1531" s="45" t="n">
        <v>0</v>
      </c>
      <c r="L1531" s="39" t="n">
        <v>59.89</v>
      </c>
      <c r="M1531" s="39">
        <f>I1531*J1531*(1-K1531)</f>
        <v/>
      </c>
      <c r="N1531" s="39">
        <f>I1531*L1531</f>
        <v/>
      </c>
      <c r="O1531" s="39">
        <f>M1531-N1531</f>
        <v/>
      </c>
      <c r="P1531" s="38">
        <f>IF(M1531=0,0,O1531/M1531)</f>
        <v/>
      </c>
      <c r="Q1531" s="36">
        <f>YEAR(B1531)</f>
        <v/>
      </c>
      <c r="R1531" s="36">
        <f>"Q"&amp;ROUNDUP(MONTH(B1531)/3,0)</f>
        <v/>
      </c>
      <c r="S1531" s="36">
        <f>MONTH(B1531)</f>
        <v/>
      </c>
      <c r="T1531" s="36">
        <f>TEXT(B1531,"mmm")</f>
        <v/>
      </c>
      <c r="U1531" s="36">
        <f>IF(AND(OR(sel_Region="All",C1531=sel_Region),OR(sel_Country="All",D1531=sel_Country),OR(sel_Channel="All",E1531=sel_Channel),OR(sel_Customer="All",F1531=sel_Customer),OR(sel_Category="All",G1531=sel_Category),OR(sel_Product="All",H1531=sel_Product),AND(S1531&gt;=m_From,S1531&lt;=m_To)),1,0)</f>
        <v/>
      </c>
      <c r="V1531" s="36">
        <f>IF(AND(OR(sel_Region="All",C1531=sel_Region),OR(sel_Channel="All",E1531=sel_Channel),OR(sel_Customer="All",F1531=sel_Customer),OR(sel_Category="All",G1531=sel_Category),OR(sel_Product="All",H1531=sel_Product),AND(S1531&gt;=m_From,S1531&lt;=m_To)),1,0)</f>
        <v/>
      </c>
      <c r="W1531" s="36">
        <f>IF(AND(OR(sel_Region="All",C1531=sel_Region),OR(sel_Country="All",D1531=sel_Country),OR(sel_Customer="All",F1531=sel_Customer),OR(sel_Category="All",G1531=sel_Category),OR(sel_Product="All",H1531=sel_Product),AND(S1531&gt;=m_From,S1531&lt;=m_To)),1,0)</f>
        <v/>
      </c>
      <c r="X1531" s="36">
        <f>IF(AND(OR(sel_Region="All",C1531=sel_Region),OR(sel_Country="All",D1531=sel_Country),OR(sel_Channel="All",E1531=sel_Channel),OR(sel_Category="All",G1531=sel_Category),OR(sel_Product="All",H1531=sel_Product),AND(S1531&gt;=m_From,S1531&lt;=m_To)),1,0)</f>
        <v/>
      </c>
      <c r="Y1531" s="36">
        <f>IF(AND(OR(sel_Region="All",C1531=sel_Region),OR(sel_Country="All",D1531=sel_Country),OR(sel_Channel="All",E1531=sel_Channel),OR(sel_Customer="All",F1531=sel_Customer),OR(sel_Product="All",H1531=sel_Product),AND(S1531&gt;=m_From,S1531&lt;=m_To)),1,0)</f>
        <v/>
      </c>
      <c r="Z1531" s="36">
        <f>IF(AND(OR(sel_Region="All",C1531=sel_Region),OR(sel_Country="All",D1531=sel_Country),OR(sel_Channel="All",E1531=sel_Channel),OR(sel_Customer="All",F1531=sel_Customer),OR(sel_Category="All",G1531=sel_Category),AND(S1531&gt;=m_From,S1531&lt;=m_To)),1,0)</f>
        <v/>
      </c>
      <c r="AA1531" s="36">
        <f>IF(AND(OR(sel_Region="All",C1531=sel_Region),OR(sel_Country="All",D1531=sel_Country),OR(sel_Channel="All",E1531=sel_Channel),OR(sel_Customer="All",F1531=sel_Customer),OR(sel_Category="All",G1531=sel_Category),OR(sel_Product="All",H1531=sel_Product)),1,0)</f>
        <v/>
      </c>
    </row>
    <row r="1532">
      <c r="A1532" s="36" t="inlineStr">
        <is>
          <t>00831</t>
        </is>
      </c>
      <c r="B1532" s="44" t="n">
        <v>46235</v>
      </c>
      <c r="C1532" s="36" t="inlineStr">
        <is>
          <t>Western Europe</t>
        </is>
      </c>
      <c r="D1532" s="36" t="inlineStr">
        <is>
          <t>United Kingdom</t>
        </is>
      </c>
      <c r="E1532" s="36" t="inlineStr">
        <is>
          <t>Online Store</t>
        </is>
      </c>
      <c r="F1532" s="36" t="inlineStr">
        <is>
          <t>Returning</t>
        </is>
      </c>
      <c r="G1532" s="36" t="inlineStr">
        <is>
          <t>Travel</t>
        </is>
      </c>
      <c r="H1532" s="36" t="inlineStr">
        <is>
          <t>Carry-On Duffel</t>
        </is>
      </c>
      <c r="I1532" s="36" t="n">
        <v>2</v>
      </c>
      <c r="J1532" s="39" t="n">
        <v>130.9</v>
      </c>
      <c r="K1532" s="45" t="n">
        <v>0.05</v>
      </c>
      <c r="L1532" s="39" t="n">
        <v>67.95999999999999</v>
      </c>
      <c r="M1532" s="39">
        <f>I1532*J1532*(1-K1532)</f>
        <v/>
      </c>
      <c r="N1532" s="39">
        <f>I1532*L1532</f>
        <v/>
      </c>
      <c r="O1532" s="39">
        <f>M1532-N1532</f>
        <v/>
      </c>
      <c r="P1532" s="38">
        <f>IF(M1532=0,0,O1532/M1532)</f>
        <v/>
      </c>
      <c r="Q1532" s="36">
        <f>YEAR(B1532)</f>
        <v/>
      </c>
      <c r="R1532" s="36">
        <f>"Q"&amp;ROUNDUP(MONTH(B1532)/3,0)</f>
        <v/>
      </c>
      <c r="S1532" s="36">
        <f>MONTH(B1532)</f>
        <v/>
      </c>
      <c r="T1532" s="36">
        <f>TEXT(B1532,"mmm")</f>
        <v/>
      </c>
      <c r="U1532" s="36">
        <f>IF(AND(OR(sel_Region="All",C1532=sel_Region),OR(sel_Country="All",D1532=sel_Country),OR(sel_Channel="All",E1532=sel_Channel),OR(sel_Customer="All",F1532=sel_Customer),OR(sel_Category="All",G1532=sel_Category),OR(sel_Product="All",H1532=sel_Product),AND(S1532&gt;=m_From,S1532&lt;=m_To)),1,0)</f>
        <v/>
      </c>
      <c r="V1532" s="36">
        <f>IF(AND(OR(sel_Region="All",C1532=sel_Region),OR(sel_Channel="All",E1532=sel_Channel),OR(sel_Customer="All",F1532=sel_Customer),OR(sel_Category="All",G1532=sel_Category),OR(sel_Product="All",H1532=sel_Product),AND(S1532&gt;=m_From,S1532&lt;=m_To)),1,0)</f>
        <v/>
      </c>
      <c r="W1532" s="36">
        <f>IF(AND(OR(sel_Region="All",C1532=sel_Region),OR(sel_Country="All",D1532=sel_Country),OR(sel_Customer="All",F1532=sel_Customer),OR(sel_Category="All",G1532=sel_Category),OR(sel_Product="All",H1532=sel_Product),AND(S1532&gt;=m_From,S1532&lt;=m_To)),1,0)</f>
        <v/>
      </c>
      <c r="X1532" s="36">
        <f>IF(AND(OR(sel_Region="All",C1532=sel_Region),OR(sel_Country="All",D1532=sel_Country),OR(sel_Channel="All",E1532=sel_Channel),OR(sel_Category="All",G1532=sel_Category),OR(sel_Product="All",H1532=sel_Product),AND(S1532&gt;=m_From,S1532&lt;=m_To)),1,0)</f>
        <v/>
      </c>
      <c r="Y1532" s="36">
        <f>IF(AND(OR(sel_Region="All",C1532=sel_Region),OR(sel_Country="All",D1532=sel_Country),OR(sel_Channel="All",E1532=sel_Channel),OR(sel_Customer="All",F1532=sel_Customer),OR(sel_Product="All",H1532=sel_Product),AND(S1532&gt;=m_From,S1532&lt;=m_To)),1,0)</f>
        <v/>
      </c>
      <c r="Z1532" s="36">
        <f>IF(AND(OR(sel_Region="All",C1532=sel_Region),OR(sel_Country="All",D1532=sel_Country),OR(sel_Channel="All",E1532=sel_Channel),OR(sel_Customer="All",F1532=sel_Customer),OR(sel_Category="All",G1532=sel_Category),AND(S1532&gt;=m_From,S1532&lt;=m_To)),1,0)</f>
        <v/>
      </c>
      <c r="AA1532" s="36">
        <f>IF(AND(OR(sel_Region="All",C1532=sel_Region),OR(sel_Country="All",D1532=sel_Country),OR(sel_Channel="All",E1532=sel_Channel),OR(sel_Customer="All",F1532=sel_Customer),OR(sel_Category="All",G1532=sel_Category),OR(sel_Product="All",H1532=sel_Product)),1,0)</f>
        <v/>
      </c>
    </row>
    <row r="1533">
      <c r="A1533" s="36" t="inlineStr">
        <is>
          <t>02059</t>
        </is>
      </c>
      <c r="B1533" s="44" t="n">
        <v>46235</v>
      </c>
      <c r="C1533" s="36" t="inlineStr">
        <is>
          <t>Northern Europe</t>
        </is>
      </c>
      <c r="D1533" s="36" t="inlineStr">
        <is>
          <t>Sweden</t>
        </is>
      </c>
      <c r="E1533" s="36" t="inlineStr">
        <is>
          <t>Retail Partners</t>
        </is>
      </c>
      <c r="F1533" s="36" t="inlineStr">
        <is>
          <t>New</t>
        </is>
      </c>
      <c r="G1533" s="36" t="inlineStr">
        <is>
          <t>Cycling</t>
        </is>
      </c>
      <c r="H1533" s="36" t="inlineStr">
        <is>
          <t>Trail Bike Light</t>
        </is>
      </c>
      <c r="I1533" s="36" t="n">
        <v>1</v>
      </c>
      <c r="J1533" s="39" t="n">
        <v>50.98</v>
      </c>
      <c r="K1533" s="45" t="n">
        <v>0</v>
      </c>
      <c r="L1533" s="39" t="n">
        <v>22.92</v>
      </c>
      <c r="M1533" s="39">
        <f>I1533*J1533*(1-K1533)</f>
        <v/>
      </c>
      <c r="N1533" s="39">
        <f>I1533*L1533</f>
        <v/>
      </c>
      <c r="O1533" s="39">
        <f>M1533-N1533</f>
        <v/>
      </c>
      <c r="P1533" s="38">
        <f>IF(M1533=0,0,O1533/M1533)</f>
        <v/>
      </c>
      <c r="Q1533" s="36">
        <f>YEAR(B1533)</f>
        <v/>
      </c>
      <c r="R1533" s="36">
        <f>"Q"&amp;ROUNDUP(MONTH(B1533)/3,0)</f>
        <v/>
      </c>
      <c r="S1533" s="36">
        <f>MONTH(B1533)</f>
        <v/>
      </c>
      <c r="T1533" s="36">
        <f>TEXT(B1533,"mmm")</f>
        <v/>
      </c>
      <c r="U1533" s="36">
        <f>IF(AND(OR(sel_Region="All",C1533=sel_Region),OR(sel_Country="All",D1533=sel_Country),OR(sel_Channel="All",E1533=sel_Channel),OR(sel_Customer="All",F1533=sel_Customer),OR(sel_Category="All",G1533=sel_Category),OR(sel_Product="All",H1533=sel_Product),AND(S1533&gt;=m_From,S1533&lt;=m_To)),1,0)</f>
        <v/>
      </c>
      <c r="V1533" s="36">
        <f>IF(AND(OR(sel_Region="All",C1533=sel_Region),OR(sel_Channel="All",E1533=sel_Channel),OR(sel_Customer="All",F1533=sel_Customer),OR(sel_Category="All",G1533=sel_Category),OR(sel_Product="All",H1533=sel_Product),AND(S1533&gt;=m_From,S1533&lt;=m_To)),1,0)</f>
        <v/>
      </c>
      <c r="W1533" s="36">
        <f>IF(AND(OR(sel_Region="All",C1533=sel_Region),OR(sel_Country="All",D1533=sel_Country),OR(sel_Customer="All",F1533=sel_Customer),OR(sel_Category="All",G1533=sel_Category),OR(sel_Product="All",H1533=sel_Product),AND(S1533&gt;=m_From,S1533&lt;=m_To)),1,0)</f>
        <v/>
      </c>
      <c r="X1533" s="36">
        <f>IF(AND(OR(sel_Region="All",C1533=sel_Region),OR(sel_Country="All",D1533=sel_Country),OR(sel_Channel="All",E1533=sel_Channel),OR(sel_Category="All",G1533=sel_Category),OR(sel_Product="All",H1533=sel_Product),AND(S1533&gt;=m_From,S1533&lt;=m_To)),1,0)</f>
        <v/>
      </c>
      <c r="Y1533" s="36">
        <f>IF(AND(OR(sel_Region="All",C1533=sel_Region),OR(sel_Country="All",D1533=sel_Country),OR(sel_Channel="All",E1533=sel_Channel),OR(sel_Customer="All",F1533=sel_Customer),OR(sel_Product="All",H1533=sel_Product),AND(S1533&gt;=m_From,S1533&lt;=m_To)),1,0)</f>
        <v/>
      </c>
      <c r="Z1533" s="36">
        <f>IF(AND(OR(sel_Region="All",C1533=sel_Region),OR(sel_Country="All",D1533=sel_Country),OR(sel_Channel="All",E1533=sel_Channel),OR(sel_Customer="All",F1533=sel_Customer),OR(sel_Category="All",G1533=sel_Category),AND(S1533&gt;=m_From,S1533&lt;=m_To)),1,0)</f>
        <v/>
      </c>
      <c r="AA1533" s="36">
        <f>IF(AND(OR(sel_Region="All",C1533=sel_Region),OR(sel_Country="All",D1533=sel_Country),OR(sel_Channel="All",E1533=sel_Channel),OR(sel_Customer="All",F1533=sel_Customer),OR(sel_Category="All",G1533=sel_Category),OR(sel_Product="All",H1533=sel_Product)),1,0)</f>
        <v/>
      </c>
    </row>
    <row r="1534">
      <c r="A1534" s="36" t="inlineStr">
        <is>
          <t>02519</t>
        </is>
      </c>
      <c r="B1534" s="44" t="n">
        <v>46235</v>
      </c>
      <c r="C1534" s="36" t="inlineStr">
        <is>
          <t>Northern Europe</t>
        </is>
      </c>
      <c r="D1534" s="36" t="inlineStr">
        <is>
          <t>Sweden</t>
        </is>
      </c>
      <c r="E1534" s="36" t="inlineStr">
        <is>
          <t>Online Store</t>
        </is>
      </c>
      <c r="F1534" s="36" t="inlineStr">
        <is>
          <t>Returning</t>
        </is>
      </c>
      <c r="G1534" s="36" t="inlineStr">
        <is>
          <t>Hiking</t>
        </is>
      </c>
      <c r="H1534" s="36" t="inlineStr">
        <is>
          <t>Hiking Daypack 20L</t>
        </is>
      </c>
      <c r="I1534" s="36" t="n">
        <v>2</v>
      </c>
      <c r="J1534" s="39" t="n">
        <v>91.11</v>
      </c>
      <c r="K1534" s="45" t="n">
        <v>0</v>
      </c>
      <c r="L1534" s="39" t="n">
        <v>44.19</v>
      </c>
      <c r="M1534" s="39">
        <f>I1534*J1534*(1-K1534)</f>
        <v/>
      </c>
      <c r="N1534" s="39">
        <f>I1534*L1534</f>
        <v/>
      </c>
      <c r="O1534" s="39">
        <f>M1534-N1534</f>
        <v/>
      </c>
      <c r="P1534" s="38">
        <f>IF(M1534=0,0,O1534/M1534)</f>
        <v/>
      </c>
      <c r="Q1534" s="36">
        <f>YEAR(B1534)</f>
        <v/>
      </c>
      <c r="R1534" s="36">
        <f>"Q"&amp;ROUNDUP(MONTH(B1534)/3,0)</f>
        <v/>
      </c>
      <c r="S1534" s="36">
        <f>MONTH(B1534)</f>
        <v/>
      </c>
      <c r="T1534" s="36">
        <f>TEXT(B1534,"mmm")</f>
        <v/>
      </c>
      <c r="U1534" s="36">
        <f>IF(AND(OR(sel_Region="All",C1534=sel_Region),OR(sel_Country="All",D1534=sel_Country),OR(sel_Channel="All",E1534=sel_Channel),OR(sel_Customer="All",F1534=sel_Customer),OR(sel_Category="All",G1534=sel_Category),OR(sel_Product="All",H1534=sel_Product),AND(S1534&gt;=m_From,S1534&lt;=m_To)),1,0)</f>
        <v/>
      </c>
      <c r="V1534" s="36">
        <f>IF(AND(OR(sel_Region="All",C1534=sel_Region),OR(sel_Channel="All",E1534=sel_Channel),OR(sel_Customer="All",F1534=sel_Customer),OR(sel_Category="All",G1534=sel_Category),OR(sel_Product="All",H1534=sel_Product),AND(S1534&gt;=m_From,S1534&lt;=m_To)),1,0)</f>
        <v/>
      </c>
      <c r="W1534" s="36">
        <f>IF(AND(OR(sel_Region="All",C1534=sel_Region),OR(sel_Country="All",D1534=sel_Country),OR(sel_Customer="All",F1534=sel_Customer),OR(sel_Category="All",G1534=sel_Category),OR(sel_Product="All",H1534=sel_Product),AND(S1534&gt;=m_From,S1534&lt;=m_To)),1,0)</f>
        <v/>
      </c>
      <c r="X1534" s="36">
        <f>IF(AND(OR(sel_Region="All",C1534=sel_Region),OR(sel_Country="All",D1534=sel_Country),OR(sel_Channel="All",E1534=sel_Channel),OR(sel_Category="All",G1534=sel_Category),OR(sel_Product="All",H1534=sel_Product),AND(S1534&gt;=m_From,S1534&lt;=m_To)),1,0)</f>
        <v/>
      </c>
      <c r="Y1534" s="36">
        <f>IF(AND(OR(sel_Region="All",C1534=sel_Region),OR(sel_Country="All",D1534=sel_Country),OR(sel_Channel="All",E1534=sel_Channel),OR(sel_Customer="All",F1534=sel_Customer),OR(sel_Product="All",H1534=sel_Product),AND(S1534&gt;=m_From,S1534&lt;=m_To)),1,0)</f>
        <v/>
      </c>
      <c r="Z1534" s="36">
        <f>IF(AND(OR(sel_Region="All",C1534=sel_Region),OR(sel_Country="All",D1534=sel_Country),OR(sel_Channel="All",E1534=sel_Channel),OR(sel_Customer="All",F1534=sel_Customer),OR(sel_Category="All",G1534=sel_Category),AND(S1534&gt;=m_From,S1534&lt;=m_To)),1,0)</f>
        <v/>
      </c>
      <c r="AA1534" s="36">
        <f>IF(AND(OR(sel_Region="All",C1534=sel_Region),OR(sel_Country="All",D1534=sel_Country),OR(sel_Channel="All",E1534=sel_Channel),OR(sel_Customer="All",F1534=sel_Customer),OR(sel_Category="All",G1534=sel_Category),OR(sel_Product="All",H1534=sel_Product)),1,0)</f>
        <v/>
      </c>
    </row>
    <row r="1535">
      <c r="A1535" s="36" t="inlineStr">
        <is>
          <t>02644</t>
        </is>
      </c>
      <c r="B1535" s="44" t="n">
        <v>46235</v>
      </c>
      <c r="C1535" s="36" t="inlineStr">
        <is>
          <t>Southern Europe</t>
        </is>
      </c>
      <c r="D1535" s="36" t="inlineStr">
        <is>
          <t>Spain</t>
        </is>
      </c>
      <c r="E1535" s="36" t="inlineStr">
        <is>
          <t>Marketplace</t>
        </is>
      </c>
      <c r="F1535" s="36" t="inlineStr">
        <is>
          <t>Returning</t>
        </is>
      </c>
      <c r="G1535" s="36" t="inlineStr">
        <is>
          <t>Travel</t>
        </is>
      </c>
      <c r="H1535" s="36" t="inlineStr">
        <is>
          <t>Insulated Bottle</t>
        </is>
      </c>
      <c r="I1535" s="36" t="n">
        <v>3</v>
      </c>
      <c r="J1535" s="39" t="n">
        <v>35.62</v>
      </c>
      <c r="K1535" s="45" t="n">
        <v>0.05</v>
      </c>
      <c r="L1535" s="39" t="n">
        <v>13.47</v>
      </c>
      <c r="M1535" s="39">
        <f>I1535*J1535*(1-K1535)</f>
        <v/>
      </c>
      <c r="N1535" s="39">
        <f>I1535*L1535</f>
        <v/>
      </c>
      <c r="O1535" s="39">
        <f>M1535-N1535</f>
        <v/>
      </c>
      <c r="P1535" s="38">
        <f>IF(M1535=0,0,O1535/M1535)</f>
        <v/>
      </c>
      <c r="Q1535" s="36">
        <f>YEAR(B1535)</f>
        <v/>
      </c>
      <c r="R1535" s="36">
        <f>"Q"&amp;ROUNDUP(MONTH(B1535)/3,0)</f>
        <v/>
      </c>
      <c r="S1535" s="36">
        <f>MONTH(B1535)</f>
        <v/>
      </c>
      <c r="T1535" s="36">
        <f>TEXT(B1535,"mmm")</f>
        <v/>
      </c>
      <c r="U1535" s="36">
        <f>IF(AND(OR(sel_Region="All",C1535=sel_Region),OR(sel_Country="All",D1535=sel_Country),OR(sel_Channel="All",E1535=sel_Channel),OR(sel_Customer="All",F1535=sel_Customer),OR(sel_Category="All",G1535=sel_Category),OR(sel_Product="All",H1535=sel_Product),AND(S1535&gt;=m_From,S1535&lt;=m_To)),1,0)</f>
        <v/>
      </c>
      <c r="V1535" s="36">
        <f>IF(AND(OR(sel_Region="All",C1535=sel_Region),OR(sel_Channel="All",E1535=sel_Channel),OR(sel_Customer="All",F1535=sel_Customer),OR(sel_Category="All",G1535=sel_Category),OR(sel_Product="All",H1535=sel_Product),AND(S1535&gt;=m_From,S1535&lt;=m_To)),1,0)</f>
        <v/>
      </c>
      <c r="W1535" s="36">
        <f>IF(AND(OR(sel_Region="All",C1535=sel_Region),OR(sel_Country="All",D1535=sel_Country),OR(sel_Customer="All",F1535=sel_Customer),OR(sel_Category="All",G1535=sel_Category),OR(sel_Product="All",H1535=sel_Product),AND(S1535&gt;=m_From,S1535&lt;=m_To)),1,0)</f>
        <v/>
      </c>
      <c r="X1535" s="36">
        <f>IF(AND(OR(sel_Region="All",C1535=sel_Region),OR(sel_Country="All",D1535=sel_Country),OR(sel_Channel="All",E1535=sel_Channel),OR(sel_Category="All",G1535=sel_Category),OR(sel_Product="All",H1535=sel_Product),AND(S1535&gt;=m_From,S1535&lt;=m_To)),1,0)</f>
        <v/>
      </c>
      <c r="Y1535" s="36">
        <f>IF(AND(OR(sel_Region="All",C1535=sel_Region),OR(sel_Country="All",D1535=sel_Country),OR(sel_Channel="All",E1535=sel_Channel),OR(sel_Customer="All",F1535=sel_Customer),OR(sel_Product="All",H1535=sel_Product),AND(S1535&gt;=m_From,S1535&lt;=m_To)),1,0)</f>
        <v/>
      </c>
      <c r="Z1535" s="36">
        <f>IF(AND(OR(sel_Region="All",C1535=sel_Region),OR(sel_Country="All",D1535=sel_Country),OR(sel_Channel="All",E1535=sel_Channel),OR(sel_Customer="All",F1535=sel_Customer),OR(sel_Category="All",G1535=sel_Category),AND(S1535&gt;=m_From,S1535&lt;=m_To)),1,0)</f>
        <v/>
      </c>
      <c r="AA1535" s="36">
        <f>IF(AND(OR(sel_Region="All",C1535=sel_Region),OR(sel_Country="All",D1535=sel_Country),OR(sel_Channel="All",E1535=sel_Channel),OR(sel_Customer="All",F1535=sel_Customer),OR(sel_Category="All",G1535=sel_Category),OR(sel_Product="All",H1535=sel_Product)),1,0)</f>
        <v/>
      </c>
    </row>
    <row r="1536">
      <c r="A1536" s="36" t="inlineStr">
        <is>
          <t>04141</t>
        </is>
      </c>
      <c r="B1536" s="44" t="n">
        <v>46235</v>
      </c>
      <c r="C1536" s="36" t="inlineStr">
        <is>
          <t>Western Europe</t>
        </is>
      </c>
      <c r="D1536" s="36" t="inlineStr">
        <is>
          <t>France</t>
        </is>
      </c>
      <c r="E1536" s="36" t="inlineStr">
        <is>
          <t>Online Store</t>
        </is>
      </c>
      <c r="F1536" s="36" t="inlineStr">
        <is>
          <t>New</t>
        </is>
      </c>
      <c r="G1536" s="36" t="inlineStr">
        <is>
          <t>Hiking</t>
        </is>
      </c>
      <c r="H1536" s="36" t="inlineStr">
        <is>
          <t>Hiking Daypack 20L</t>
        </is>
      </c>
      <c r="I1536" s="36" t="n">
        <v>1</v>
      </c>
      <c r="J1536" s="39" t="n">
        <v>91.95</v>
      </c>
      <c r="K1536" s="45" t="n">
        <v>0.05</v>
      </c>
      <c r="L1536" s="39" t="n">
        <v>46.47</v>
      </c>
      <c r="M1536" s="39">
        <f>I1536*J1536*(1-K1536)</f>
        <v/>
      </c>
      <c r="N1536" s="39">
        <f>I1536*L1536</f>
        <v/>
      </c>
      <c r="O1536" s="39">
        <f>M1536-N1536</f>
        <v/>
      </c>
      <c r="P1536" s="38">
        <f>IF(M1536=0,0,O1536/M1536)</f>
        <v/>
      </c>
      <c r="Q1536" s="36">
        <f>YEAR(B1536)</f>
        <v/>
      </c>
      <c r="R1536" s="36">
        <f>"Q"&amp;ROUNDUP(MONTH(B1536)/3,0)</f>
        <v/>
      </c>
      <c r="S1536" s="36">
        <f>MONTH(B1536)</f>
        <v/>
      </c>
      <c r="T1536" s="36">
        <f>TEXT(B1536,"mmm")</f>
        <v/>
      </c>
      <c r="U1536" s="36">
        <f>IF(AND(OR(sel_Region="All",C1536=sel_Region),OR(sel_Country="All",D1536=sel_Country),OR(sel_Channel="All",E1536=sel_Channel),OR(sel_Customer="All",F1536=sel_Customer),OR(sel_Category="All",G1536=sel_Category),OR(sel_Product="All",H1536=sel_Product),AND(S1536&gt;=m_From,S1536&lt;=m_To)),1,0)</f>
        <v/>
      </c>
      <c r="V1536" s="36">
        <f>IF(AND(OR(sel_Region="All",C1536=sel_Region),OR(sel_Channel="All",E1536=sel_Channel),OR(sel_Customer="All",F1536=sel_Customer),OR(sel_Category="All",G1536=sel_Category),OR(sel_Product="All",H1536=sel_Product),AND(S1536&gt;=m_From,S1536&lt;=m_To)),1,0)</f>
        <v/>
      </c>
      <c r="W1536" s="36">
        <f>IF(AND(OR(sel_Region="All",C1536=sel_Region),OR(sel_Country="All",D1536=sel_Country),OR(sel_Customer="All",F1536=sel_Customer),OR(sel_Category="All",G1536=sel_Category),OR(sel_Product="All",H1536=sel_Product),AND(S1536&gt;=m_From,S1536&lt;=m_To)),1,0)</f>
        <v/>
      </c>
      <c r="X1536" s="36">
        <f>IF(AND(OR(sel_Region="All",C1536=sel_Region),OR(sel_Country="All",D1536=sel_Country),OR(sel_Channel="All",E1536=sel_Channel),OR(sel_Category="All",G1536=sel_Category),OR(sel_Product="All",H1536=sel_Product),AND(S1536&gt;=m_From,S1536&lt;=m_To)),1,0)</f>
        <v/>
      </c>
      <c r="Y1536" s="36">
        <f>IF(AND(OR(sel_Region="All",C1536=sel_Region),OR(sel_Country="All",D1536=sel_Country),OR(sel_Channel="All",E1536=sel_Channel),OR(sel_Customer="All",F1536=sel_Customer),OR(sel_Product="All",H1536=sel_Product),AND(S1536&gt;=m_From,S1536&lt;=m_To)),1,0)</f>
        <v/>
      </c>
      <c r="Z1536" s="36">
        <f>IF(AND(OR(sel_Region="All",C1536=sel_Region),OR(sel_Country="All",D1536=sel_Country),OR(sel_Channel="All",E1536=sel_Channel),OR(sel_Customer="All",F1536=sel_Customer),OR(sel_Category="All",G1536=sel_Category),AND(S1536&gt;=m_From,S1536&lt;=m_To)),1,0)</f>
        <v/>
      </c>
      <c r="AA1536" s="36">
        <f>IF(AND(OR(sel_Region="All",C1536=sel_Region),OR(sel_Country="All",D1536=sel_Country),OR(sel_Channel="All",E1536=sel_Channel),OR(sel_Customer="All",F1536=sel_Customer),OR(sel_Category="All",G1536=sel_Category),OR(sel_Product="All",H1536=sel_Product)),1,0)</f>
        <v/>
      </c>
    </row>
    <row r="1537">
      <c r="A1537" s="36" t="inlineStr">
        <is>
          <t>04804</t>
        </is>
      </c>
      <c r="B1537" s="44" t="n">
        <v>46235</v>
      </c>
      <c r="C1537" s="36" t="inlineStr">
        <is>
          <t>Southern Europe</t>
        </is>
      </c>
      <c r="D1537" s="36" t="inlineStr">
        <is>
          <t>Portugal</t>
        </is>
      </c>
      <c r="E1537" s="36" t="inlineStr">
        <is>
          <t>Online Store</t>
        </is>
      </c>
      <c r="F1537" s="36" t="inlineStr">
        <is>
          <t>Returning</t>
        </is>
      </c>
      <c r="G1537" s="36" t="inlineStr">
        <is>
          <t>Fitness</t>
        </is>
      </c>
      <c r="H1537" s="36" t="inlineStr">
        <is>
          <t>Training Mat</t>
        </is>
      </c>
      <c r="I1537" s="36" t="n">
        <v>1</v>
      </c>
      <c r="J1537" s="39" t="n">
        <v>49.46</v>
      </c>
      <c r="K1537" s="45" t="n">
        <v>0</v>
      </c>
      <c r="L1537" s="39" t="n">
        <v>21.47</v>
      </c>
      <c r="M1537" s="39">
        <f>I1537*J1537*(1-K1537)</f>
        <v/>
      </c>
      <c r="N1537" s="39">
        <f>I1537*L1537</f>
        <v/>
      </c>
      <c r="O1537" s="39">
        <f>M1537-N1537</f>
        <v/>
      </c>
      <c r="P1537" s="38">
        <f>IF(M1537=0,0,O1537/M1537)</f>
        <v/>
      </c>
      <c r="Q1537" s="36">
        <f>YEAR(B1537)</f>
        <v/>
      </c>
      <c r="R1537" s="36">
        <f>"Q"&amp;ROUNDUP(MONTH(B1537)/3,0)</f>
        <v/>
      </c>
      <c r="S1537" s="36">
        <f>MONTH(B1537)</f>
        <v/>
      </c>
      <c r="T1537" s="36">
        <f>TEXT(B1537,"mmm")</f>
        <v/>
      </c>
      <c r="U1537" s="36">
        <f>IF(AND(OR(sel_Region="All",C1537=sel_Region),OR(sel_Country="All",D1537=sel_Country),OR(sel_Channel="All",E1537=sel_Channel),OR(sel_Customer="All",F1537=sel_Customer),OR(sel_Category="All",G1537=sel_Category),OR(sel_Product="All",H1537=sel_Product),AND(S1537&gt;=m_From,S1537&lt;=m_To)),1,0)</f>
        <v/>
      </c>
      <c r="V1537" s="36">
        <f>IF(AND(OR(sel_Region="All",C1537=sel_Region),OR(sel_Channel="All",E1537=sel_Channel),OR(sel_Customer="All",F1537=sel_Customer),OR(sel_Category="All",G1537=sel_Category),OR(sel_Product="All",H1537=sel_Product),AND(S1537&gt;=m_From,S1537&lt;=m_To)),1,0)</f>
        <v/>
      </c>
      <c r="W1537" s="36">
        <f>IF(AND(OR(sel_Region="All",C1537=sel_Region),OR(sel_Country="All",D1537=sel_Country),OR(sel_Customer="All",F1537=sel_Customer),OR(sel_Category="All",G1537=sel_Category),OR(sel_Product="All",H1537=sel_Product),AND(S1537&gt;=m_From,S1537&lt;=m_To)),1,0)</f>
        <v/>
      </c>
      <c r="X1537" s="36">
        <f>IF(AND(OR(sel_Region="All",C1537=sel_Region),OR(sel_Country="All",D1537=sel_Country),OR(sel_Channel="All",E1537=sel_Channel),OR(sel_Category="All",G1537=sel_Category),OR(sel_Product="All",H1537=sel_Product),AND(S1537&gt;=m_From,S1537&lt;=m_To)),1,0)</f>
        <v/>
      </c>
      <c r="Y1537" s="36">
        <f>IF(AND(OR(sel_Region="All",C1537=sel_Region),OR(sel_Country="All",D1537=sel_Country),OR(sel_Channel="All",E1537=sel_Channel),OR(sel_Customer="All",F1537=sel_Customer),OR(sel_Product="All",H1537=sel_Product),AND(S1537&gt;=m_From,S1537&lt;=m_To)),1,0)</f>
        <v/>
      </c>
      <c r="Z1537" s="36">
        <f>IF(AND(OR(sel_Region="All",C1537=sel_Region),OR(sel_Country="All",D1537=sel_Country),OR(sel_Channel="All",E1537=sel_Channel),OR(sel_Customer="All",F1537=sel_Customer),OR(sel_Category="All",G1537=sel_Category),AND(S1537&gt;=m_From,S1537&lt;=m_To)),1,0)</f>
        <v/>
      </c>
      <c r="AA1537" s="36">
        <f>IF(AND(OR(sel_Region="All",C1537=sel_Region),OR(sel_Country="All",D1537=sel_Country),OR(sel_Channel="All",E1537=sel_Channel),OR(sel_Customer="All",F1537=sel_Customer),OR(sel_Category="All",G1537=sel_Category),OR(sel_Product="All",H1537=sel_Product)),1,0)</f>
        <v/>
      </c>
    </row>
    <row r="1538">
      <c r="A1538" s="36" t="inlineStr">
        <is>
          <t>05161</t>
        </is>
      </c>
      <c r="B1538" s="44" t="n">
        <v>46235</v>
      </c>
      <c r="C1538" s="36" t="inlineStr">
        <is>
          <t>Southern Europe</t>
        </is>
      </c>
      <c r="D1538" s="36" t="inlineStr">
        <is>
          <t>Italy</t>
        </is>
      </c>
      <c r="E1538" s="36" t="inlineStr">
        <is>
          <t>Online Store</t>
        </is>
      </c>
      <c r="F1538" s="36" t="inlineStr">
        <is>
          <t>New</t>
        </is>
      </c>
      <c r="G1538" s="36" t="inlineStr">
        <is>
          <t>Cycling</t>
        </is>
      </c>
      <c r="H1538" s="36" t="inlineStr">
        <is>
          <t>Compact Repair Kit</t>
        </is>
      </c>
      <c r="I1538" s="36" t="n">
        <v>1</v>
      </c>
      <c r="J1538" s="39" t="n">
        <v>41.25</v>
      </c>
      <c r="K1538" s="45" t="n">
        <v>0.05</v>
      </c>
      <c r="L1538" s="39" t="n">
        <v>16.98</v>
      </c>
      <c r="M1538" s="39">
        <f>I1538*J1538*(1-K1538)</f>
        <v/>
      </c>
      <c r="N1538" s="39">
        <f>I1538*L1538</f>
        <v/>
      </c>
      <c r="O1538" s="39">
        <f>M1538-N1538</f>
        <v/>
      </c>
      <c r="P1538" s="38">
        <f>IF(M1538=0,0,O1538/M1538)</f>
        <v/>
      </c>
      <c r="Q1538" s="36">
        <f>YEAR(B1538)</f>
        <v/>
      </c>
      <c r="R1538" s="36">
        <f>"Q"&amp;ROUNDUP(MONTH(B1538)/3,0)</f>
        <v/>
      </c>
      <c r="S1538" s="36">
        <f>MONTH(B1538)</f>
        <v/>
      </c>
      <c r="T1538" s="36">
        <f>TEXT(B1538,"mmm")</f>
        <v/>
      </c>
      <c r="U1538" s="36">
        <f>IF(AND(OR(sel_Region="All",C1538=sel_Region),OR(sel_Country="All",D1538=sel_Country),OR(sel_Channel="All",E1538=sel_Channel),OR(sel_Customer="All",F1538=sel_Customer),OR(sel_Category="All",G1538=sel_Category),OR(sel_Product="All",H1538=sel_Product),AND(S1538&gt;=m_From,S1538&lt;=m_To)),1,0)</f>
        <v/>
      </c>
      <c r="V1538" s="36">
        <f>IF(AND(OR(sel_Region="All",C1538=sel_Region),OR(sel_Channel="All",E1538=sel_Channel),OR(sel_Customer="All",F1538=sel_Customer),OR(sel_Category="All",G1538=sel_Category),OR(sel_Product="All",H1538=sel_Product),AND(S1538&gt;=m_From,S1538&lt;=m_To)),1,0)</f>
        <v/>
      </c>
      <c r="W1538" s="36">
        <f>IF(AND(OR(sel_Region="All",C1538=sel_Region),OR(sel_Country="All",D1538=sel_Country),OR(sel_Customer="All",F1538=sel_Customer),OR(sel_Category="All",G1538=sel_Category),OR(sel_Product="All",H1538=sel_Product),AND(S1538&gt;=m_From,S1538&lt;=m_To)),1,0)</f>
        <v/>
      </c>
      <c r="X1538" s="36">
        <f>IF(AND(OR(sel_Region="All",C1538=sel_Region),OR(sel_Country="All",D1538=sel_Country),OR(sel_Channel="All",E1538=sel_Channel),OR(sel_Category="All",G1538=sel_Category),OR(sel_Product="All",H1538=sel_Product),AND(S1538&gt;=m_From,S1538&lt;=m_To)),1,0)</f>
        <v/>
      </c>
      <c r="Y1538" s="36">
        <f>IF(AND(OR(sel_Region="All",C1538=sel_Region),OR(sel_Country="All",D1538=sel_Country),OR(sel_Channel="All",E1538=sel_Channel),OR(sel_Customer="All",F1538=sel_Customer),OR(sel_Product="All",H1538=sel_Product),AND(S1538&gt;=m_From,S1538&lt;=m_To)),1,0)</f>
        <v/>
      </c>
      <c r="Z1538" s="36">
        <f>IF(AND(OR(sel_Region="All",C1538=sel_Region),OR(sel_Country="All",D1538=sel_Country),OR(sel_Channel="All",E1538=sel_Channel),OR(sel_Customer="All",F1538=sel_Customer),OR(sel_Category="All",G1538=sel_Category),AND(S1538&gt;=m_From,S1538&lt;=m_To)),1,0)</f>
        <v/>
      </c>
      <c r="AA1538" s="36">
        <f>IF(AND(OR(sel_Region="All",C1538=sel_Region),OR(sel_Country="All",D1538=sel_Country),OR(sel_Channel="All",E1538=sel_Channel),OR(sel_Customer="All",F1538=sel_Customer),OR(sel_Category="All",G1538=sel_Category),OR(sel_Product="All",H1538=sel_Product)),1,0)</f>
        <v/>
      </c>
    </row>
    <row r="1539">
      <c r="A1539" s="36" t="inlineStr">
        <is>
          <t>00590</t>
        </is>
      </c>
      <c r="B1539" s="44" t="n">
        <v>46236</v>
      </c>
      <c r="C1539" s="36" t="inlineStr">
        <is>
          <t>Northern Europe</t>
        </is>
      </c>
      <c r="D1539" s="36" t="inlineStr">
        <is>
          <t>Denmark</t>
        </is>
      </c>
      <c r="E1539" s="36" t="inlineStr">
        <is>
          <t>Online Store</t>
        </is>
      </c>
      <c r="F1539" s="36" t="inlineStr">
        <is>
          <t>Returning</t>
        </is>
      </c>
      <c r="G1539" s="36" t="inlineStr">
        <is>
          <t>Travel</t>
        </is>
      </c>
      <c r="H1539" s="36" t="inlineStr">
        <is>
          <t>Carry-On Duffel</t>
        </is>
      </c>
      <c r="I1539" s="36" t="n">
        <v>4</v>
      </c>
      <c r="J1539" s="39" t="n">
        <v>133.65</v>
      </c>
      <c r="K1539" s="45" t="n">
        <v>0</v>
      </c>
      <c r="L1539" s="39" t="n">
        <v>66</v>
      </c>
      <c r="M1539" s="39">
        <f>I1539*J1539*(1-K1539)</f>
        <v/>
      </c>
      <c r="N1539" s="39">
        <f>I1539*L1539</f>
        <v/>
      </c>
      <c r="O1539" s="39">
        <f>M1539-N1539</f>
        <v/>
      </c>
      <c r="P1539" s="38">
        <f>IF(M1539=0,0,O1539/M1539)</f>
        <v/>
      </c>
      <c r="Q1539" s="36">
        <f>YEAR(B1539)</f>
        <v/>
      </c>
      <c r="R1539" s="36">
        <f>"Q"&amp;ROUNDUP(MONTH(B1539)/3,0)</f>
        <v/>
      </c>
      <c r="S1539" s="36">
        <f>MONTH(B1539)</f>
        <v/>
      </c>
      <c r="T1539" s="36">
        <f>TEXT(B1539,"mmm")</f>
        <v/>
      </c>
      <c r="U1539" s="36">
        <f>IF(AND(OR(sel_Region="All",C1539=sel_Region),OR(sel_Country="All",D1539=sel_Country),OR(sel_Channel="All",E1539=sel_Channel),OR(sel_Customer="All",F1539=sel_Customer),OR(sel_Category="All",G1539=sel_Category),OR(sel_Product="All",H1539=sel_Product),AND(S1539&gt;=m_From,S1539&lt;=m_To)),1,0)</f>
        <v/>
      </c>
      <c r="V1539" s="36">
        <f>IF(AND(OR(sel_Region="All",C1539=sel_Region),OR(sel_Channel="All",E1539=sel_Channel),OR(sel_Customer="All",F1539=sel_Customer),OR(sel_Category="All",G1539=sel_Category),OR(sel_Product="All",H1539=sel_Product),AND(S1539&gt;=m_From,S1539&lt;=m_To)),1,0)</f>
        <v/>
      </c>
      <c r="W1539" s="36">
        <f>IF(AND(OR(sel_Region="All",C1539=sel_Region),OR(sel_Country="All",D1539=sel_Country),OR(sel_Customer="All",F1539=sel_Customer),OR(sel_Category="All",G1539=sel_Category),OR(sel_Product="All",H1539=sel_Product),AND(S1539&gt;=m_From,S1539&lt;=m_To)),1,0)</f>
        <v/>
      </c>
      <c r="X1539" s="36">
        <f>IF(AND(OR(sel_Region="All",C1539=sel_Region),OR(sel_Country="All",D1539=sel_Country),OR(sel_Channel="All",E1539=sel_Channel),OR(sel_Category="All",G1539=sel_Category),OR(sel_Product="All",H1539=sel_Product),AND(S1539&gt;=m_From,S1539&lt;=m_To)),1,0)</f>
        <v/>
      </c>
      <c r="Y1539" s="36">
        <f>IF(AND(OR(sel_Region="All",C1539=sel_Region),OR(sel_Country="All",D1539=sel_Country),OR(sel_Channel="All",E1539=sel_Channel),OR(sel_Customer="All",F1539=sel_Customer),OR(sel_Product="All",H1539=sel_Product),AND(S1539&gt;=m_From,S1539&lt;=m_To)),1,0)</f>
        <v/>
      </c>
      <c r="Z1539" s="36">
        <f>IF(AND(OR(sel_Region="All",C1539=sel_Region),OR(sel_Country="All",D1539=sel_Country),OR(sel_Channel="All",E1539=sel_Channel),OR(sel_Customer="All",F1539=sel_Customer),OR(sel_Category="All",G1539=sel_Category),AND(S1539&gt;=m_From,S1539&lt;=m_To)),1,0)</f>
        <v/>
      </c>
      <c r="AA1539" s="36">
        <f>IF(AND(OR(sel_Region="All",C1539=sel_Region),OR(sel_Country="All",D1539=sel_Country),OR(sel_Channel="All",E1539=sel_Channel),OR(sel_Customer="All",F1539=sel_Customer),OR(sel_Category="All",G1539=sel_Category),OR(sel_Product="All",H1539=sel_Product)),1,0)</f>
        <v/>
      </c>
    </row>
    <row r="1540">
      <c r="A1540" s="36" t="inlineStr">
        <is>
          <t>01599</t>
        </is>
      </c>
      <c r="B1540" s="44" t="n">
        <v>46236</v>
      </c>
      <c r="C1540" s="36" t="inlineStr">
        <is>
          <t>Western Europe</t>
        </is>
      </c>
      <c r="D1540" s="36" t="inlineStr">
        <is>
          <t>Belgium</t>
        </is>
      </c>
      <c r="E1540" s="36" t="inlineStr">
        <is>
          <t>Online Store</t>
        </is>
      </c>
      <c r="F1540" s="36" t="inlineStr">
        <is>
          <t>Returning</t>
        </is>
      </c>
      <c r="G1540" s="36" t="inlineStr">
        <is>
          <t>Camping</t>
        </is>
      </c>
      <c r="H1540" s="36" t="inlineStr">
        <is>
          <t>Trail Tent 2P</t>
        </is>
      </c>
      <c r="I1540" s="36" t="n">
        <v>2</v>
      </c>
      <c r="J1540" s="39" t="n">
        <v>200.45</v>
      </c>
      <c r="K1540" s="45" t="n">
        <v>0.05</v>
      </c>
      <c r="L1540" s="39" t="n">
        <v>105.42</v>
      </c>
      <c r="M1540" s="39">
        <f>I1540*J1540*(1-K1540)</f>
        <v/>
      </c>
      <c r="N1540" s="39">
        <f>I1540*L1540</f>
        <v/>
      </c>
      <c r="O1540" s="39">
        <f>M1540-N1540</f>
        <v/>
      </c>
      <c r="P1540" s="38">
        <f>IF(M1540=0,0,O1540/M1540)</f>
        <v/>
      </c>
      <c r="Q1540" s="36">
        <f>YEAR(B1540)</f>
        <v/>
      </c>
      <c r="R1540" s="36">
        <f>"Q"&amp;ROUNDUP(MONTH(B1540)/3,0)</f>
        <v/>
      </c>
      <c r="S1540" s="36">
        <f>MONTH(B1540)</f>
        <v/>
      </c>
      <c r="T1540" s="36">
        <f>TEXT(B1540,"mmm")</f>
        <v/>
      </c>
      <c r="U1540" s="36">
        <f>IF(AND(OR(sel_Region="All",C1540=sel_Region),OR(sel_Country="All",D1540=sel_Country),OR(sel_Channel="All",E1540=sel_Channel),OR(sel_Customer="All",F1540=sel_Customer),OR(sel_Category="All",G1540=sel_Category),OR(sel_Product="All",H1540=sel_Product),AND(S1540&gt;=m_From,S1540&lt;=m_To)),1,0)</f>
        <v/>
      </c>
      <c r="V1540" s="36">
        <f>IF(AND(OR(sel_Region="All",C1540=sel_Region),OR(sel_Channel="All",E1540=sel_Channel),OR(sel_Customer="All",F1540=sel_Customer),OR(sel_Category="All",G1540=sel_Category),OR(sel_Product="All",H1540=sel_Product),AND(S1540&gt;=m_From,S1540&lt;=m_To)),1,0)</f>
        <v/>
      </c>
      <c r="W1540" s="36">
        <f>IF(AND(OR(sel_Region="All",C1540=sel_Region),OR(sel_Country="All",D1540=sel_Country),OR(sel_Customer="All",F1540=sel_Customer),OR(sel_Category="All",G1540=sel_Category),OR(sel_Product="All",H1540=sel_Product),AND(S1540&gt;=m_From,S1540&lt;=m_To)),1,0)</f>
        <v/>
      </c>
      <c r="X1540" s="36">
        <f>IF(AND(OR(sel_Region="All",C1540=sel_Region),OR(sel_Country="All",D1540=sel_Country),OR(sel_Channel="All",E1540=sel_Channel),OR(sel_Category="All",G1540=sel_Category),OR(sel_Product="All",H1540=sel_Product),AND(S1540&gt;=m_From,S1540&lt;=m_To)),1,0)</f>
        <v/>
      </c>
      <c r="Y1540" s="36">
        <f>IF(AND(OR(sel_Region="All",C1540=sel_Region),OR(sel_Country="All",D1540=sel_Country),OR(sel_Channel="All",E1540=sel_Channel),OR(sel_Customer="All",F1540=sel_Customer),OR(sel_Product="All",H1540=sel_Product),AND(S1540&gt;=m_From,S1540&lt;=m_To)),1,0)</f>
        <v/>
      </c>
      <c r="Z1540" s="36">
        <f>IF(AND(OR(sel_Region="All",C1540=sel_Region),OR(sel_Country="All",D1540=sel_Country),OR(sel_Channel="All",E1540=sel_Channel),OR(sel_Customer="All",F1540=sel_Customer),OR(sel_Category="All",G1540=sel_Category),AND(S1540&gt;=m_From,S1540&lt;=m_To)),1,0)</f>
        <v/>
      </c>
      <c r="AA1540" s="36">
        <f>IF(AND(OR(sel_Region="All",C1540=sel_Region),OR(sel_Country="All",D1540=sel_Country),OR(sel_Channel="All",E1540=sel_Channel),OR(sel_Customer="All",F1540=sel_Customer),OR(sel_Category="All",G1540=sel_Category),OR(sel_Product="All",H1540=sel_Product)),1,0)</f>
        <v/>
      </c>
    </row>
    <row r="1541">
      <c r="A1541" s="36" t="inlineStr">
        <is>
          <t>01665</t>
        </is>
      </c>
      <c r="B1541" s="44" t="n">
        <v>46236</v>
      </c>
      <c r="C1541" s="36" t="inlineStr">
        <is>
          <t>Southern Europe</t>
        </is>
      </c>
      <c r="D1541" s="36" t="inlineStr">
        <is>
          <t>Spain</t>
        </is>
      </c>
      <c r="E1541" s="36" t="inlineStr">
        <is>
          <t>Marketplace</t>
        </is>
      </c>
      <c r="F1541" s="36" t="inlineStr">
        <is>
          <t>Returning</t>
        </is>
      </c>
      <c r="G1541" s="36" t="inlineStr">
        <is>
          <t>Cycling</t>
        </is>
      </c>
      <c r="H1541" s="36" t="inlineStr">
        <is>
          <t>Trail Bike Light</t>
        </is>
      </c>
      <c r="I1541" s="36" t="n">
        <v>2</v>
      </c>
      <c r="J1541" s="39" t="n">
        <v>51.87</v>
      </c>
      <c r="K1541" s="45" t="n">
        <v>0.05</v>
      </c>
      <c r="L1541" s="39" t="n">
        <v>21.98</v>
      </c>
      <c r="M1541" s="39">
        <f>I1541*J1541*(1-K1541)</f>
        <v/>
      </c>
      <c r="N1541" s="39">
        <f>I1541*L1541</f>
        <v/>
      </c>
      <c r="O1541" s="39">
        <f>M1541-N1541</f>
        <v/>
      </c>
      <c r="P1541" s="38">
        <f>IF(M1541=0,0,O1541/M1541)</f>
        <v/>
      </c>
      <c r="Q1541" s="36">
        <f>YEAR(B1541)</f>
        <v/>
      </c>
      <c r="R1541" s="36">
        <f>"Q"&amp;ROUNDUP(MONTH(B1541)/3,0)</f>
        <v/>
      </c>
      <c r="S1541" s="36">
        <f>MONTH(B1541)</f>
        <v/>
      </c>
      <c r="T1541" s="36">
        <f>TEXT(B1541,"mmm")</f>
        <v/>
      </c>
      <c r="U1541" s="36">
        <f>IF(AND(OR(sel_Region="All",C1541=sel_Region),OR(sel_Country="All",D1541=sel_Country),OR(sel_Channel="All",E1541=sel_Channel),OR(sel_Customer="All",F1541=sel_Customer),OR(sel_Category="All",G1541=sel_Category),OR(sel_Product="All",H1541=sel_Product),AND(S1541&gt;=m_From,S1541&lt;=m_To)),1,0)</f>
        <v/>
      </c>
      <c r="V1541" s="36">
        <f>IF(AND(OR(sel_Region="All",C1541=sel_Region),OR(sel_Channel="All",E1541=sel_Channel),OR(sel_Customer="All",F1541=sel_Customer),OR(sel_Category="All",G1541=sel_Category),OR(sel_Product="All",H1541=sel_Product),AND(S1541&gt;=m_From,S1541&lt;=m_To)),1,0)</f>
        <v/>
      </c>
      <c r="W1541" s="36">
        <f>IF(AND(OR(sel_Region="All",C1541=sel_Region),OR(sel_Country="All",D1541=sel_Country),OR(sel_Customer="All",F1541=sel_Customer),OR(sel_Category="All",G1541=sel_Category),OR(sel_Product="All",H1541=sel_Product),AND(S1541&gt;=m_From,S1541&lt;=m_To)),1,0)</f>
        <v/>
      </c>
      <c r="X1541" s="36">
        <f>IF(AND(OR(sel_Region="All",C1541=sel_Region),OR(sel_Country="All",D1541=sel_Country),OR(sel_Channel="All",E1541=sel_Channel),OR(sel_Category="All",G1541=sel_Category),OR(sel_Product="All",H1541=sel_Product),AND(S1541&gt;=m_From,S1541&lt;=m_To)),1,0)</f>
        <v/>
      </c>
      <c r="Y1541" s="36">
        <f>IF(AND(OR(sel_Region="All",C1541=sel_Region),OR(sel_Country="All",D1541=sel_Country),OR(sel_Channel="All",E1541=sel_Channel),OR(sel_Customer="All",F1541=sel_Customer),OR(sel_Product="All",H1541=sel_Product),AND(S1541&gt;=m_From,S1541&lt;=m_To)),1,0)</f>
        <v/>
      </c>
      <c r="Z1541" s="36">
        <f>IF(AND(OR(sel_Region="All",C1541=sel_Region),OR(sel_Country="All",D1541=sel_Country),OR(sel_Channel="All",E1541=sel_Channel),OR(sel_Customer="All",F1541=sel_Customer),OR(sel_Category="All",G1541=sel_Category),AND(S1541&gt;=m_From,S1541&lt;=m_To)),1,0)</f>
        <v/>
      </c>
      <c r="AA1541" s="36">
        <f>IF(AND(OR(sel_Region="All",C1541=sel_Region),OR(sel_Country="All",D1541=sel_Country),OR(sel_Channel="All",E1541=sel_Channel),OR(sel_Customer="All",F1541=sel_Customer),OR(sel_Category="All",G1541=sel_Category),OR(sel_Product="All",H1541=sel_Product)),1,0)</f>
        <v/>
      </c>
    </row>
    <row r="1542">
      <c r="A1542" s="36" t="inlineStr">
        <is>
          <t>02409</t>
        </is>
      </c>
      <c r="B1542" s="44" t="n">
        <v>46236</v>
      </c>
      <c r="C1542" s="36" t="inlineStr">
        <is>
          <t>Western Europe</t>
        </is>
      </c>
      <c r="D1542" s="36" t="inlineStr">
        <is>
          <t>France</t>
        </is>
      </c>
      <c r="E1542" s="36" t="inlineStr">
        <is>
          <t>Online Store</t>
        </is>
      </c>
      <c r="F1542" s="36" t="inlineStr">
        <is>
          <t>Returning</t>
        </is>
      </c>
      <c r="G1542" s="36" t="inlineStr">
        <is>
          <t>Camping</t>
        </is>
      </c>
      <c r="H1542" s="36" t="inlineStr">
        <is>
          <t>Portable Camp Stove</t>
        </is>
      </c>
      <c r="I1542" s="36" t="n">
        <v>1</v>
      </c>
      <c r="J1542" s="39" t="n">
        <v>83.59999999999999</v>
      </c>
      <c r="K1542" s="45" t="n">
        <v>0.05</v>
      </c>
      <c r="L1542" s="39" t="n">
        <v>38.51</v>
      </c>
      <c r="M1542" s="39">
        <f>I1542*J1542*(1-K1542)</f>
        <v/>
      </c>
      <c r="N1542" s="39">
        <f>I1542*L1542</f>
        <v/>
      </c>
      <c r="O1542" s="39">
        <f>M1542-N1542</f>
        <v/>
      </c>
      <c r="P1542" s="38">
        <f>IF(M1542=0,0,O1542/M1542)</f>
        <v/>
      </c>
      <c r="Q1542" s="36">
        <f>YEAR(B1542)</f>
        <v/>
      </c>
      <c r="R1542" s="36">
        <f>"Q"&amp;ROUNDUP(MONTH(B1542)/3,0)</f>
        <v/>
      </c>
      <c r="S1542" s="36">
        <f>MONTH(B1542)</f>
        <v/>
      </c>
      <c r="T1542" s="36">
        <f>TEXT(B1542,"mmm")</f>
        <v/>
      </c>
      <c r="U1542" s="36">
        <f>IF(AND(OR(sel_Region="All",C1542=sel_Region),OR(sel_Country="All",D1542=sel_Country),OR(sel_Channel="All",E1542=sel_Channel),OR(sel_Customer="All",F1542=sel_Customer),OR(sel_Category="All",G1542=sel_Category),OR(sel_Product="All",H1542=sel_Product),AND(S1542&gt;=m_From,S1542&lt;=m_To)),1,0)</f>
        <v/>
      </c>
      <c r="V1542" s="36">
        <f>IF(AND(OR(sel_Region="All",C1542=sel_Region),OR(sel_Channel="All",E1542=sel_Channel),OR(sel_Customer="All",F1542=sel_Customer),OR(sel_Category="All",G1542=sel_Category),OR(sel_Product="All",H1542=sel_Product),AND(S1542&gt;=m_From,S1542&lt;=m_To)),1,0)</f>
        <v/>
      </c>
      <c r="W1542" s="36">
        <f>IF(AND(OR(sel_Region="All",C1542=sel_Region),OR(sel_Country="All",D1542=sel_Country),OR(sel_Customer="All",F1542=sel_Customer),OR(sel_Category="All",G1542=sel_Category),OR(sel_Product="All",H1542=sel_Product),AND(S1542&gt;=m_From,S1542&lt;=m_To)),1,0)</f>
        <v/>
      </c>
      <c r="X1542" s="36">
        <f>IF(AND(OR(sel_Region="All",C1542=sel_Region),OR(sel_Country="All",D1542=sel_Country),OR(sel_Channel="All",E1542=sel_Channel),OR(sel_Category="All",G1542=sel_Category),OR(sel_Product="All",H1542=sel_Product),AND(S1542&gt;=m_From,S1542&lt;=m_To)),1,0)</f>
        <v/>
      </c>
      <c r="Y1542" s="36">
        <f>IF(AND(OR(sel_Region="All",C1542=sel_Region),OR(sel_Country="All",D1542=sel_Country),OR(sel_Channel="All",E1542=sel_Channel),OR(sel_Customer="All",F1542=sel_Customer),OR(sel_Product="All",H1542=sel_Product),AND(S1542&gt;=m_From,S1542&lt;=m_To)),1,0)</f>
        <v/>
      </c>
      <c r="Z1542" s="36">
        <f>IF(AND(OR(sel_Region="All",C1542=sel_Region),OR(sel_Country="All",D1542=sel_Country),OR(sel_Channel="All",E1542=sel_Channel),OR(sel_Customer="All",F1542=sel_Customer),OR(sel_Category="All",G1542=sel_Category),AND(S1542&gt;=m_From,S1542&lt;=m_To)),1,0)</f>
        <v/>
      </c>
      <c r="AA1542" s="36">
        <f>IF(AND(OR(sel_Region="All",C1542=sel_Region),OR(sel_Country="All",D1542=sel_Country),OR(sel_Channel="All",E1542=sel_Channel),OR(sel_Customer="All",F1542=sel_Customer),OR(sel_Category="All",G1542=sel_Category),OR(sel_Product="All",H1542=sel_Product)),1,0)</f>
        <v/>
      </c>
    </row>
    <row r="1543">
      <c r="A1543" s="36" t="inlineStr">
        <is>
          <t>02936</t>
        </is>
      </c>
      <c r="B1543" s="44" t="n">
        <v>46236</v>
      </c>
      <c r="C1543" s="36" t="inlineStr">
        <is>
          <t>Northern Europe</t>
        </is>
      </c>
      <c r="D1543" s="36" t="inlineStr">
        <is>
          <t>Norway</t>
        </is>
      </c>
      <c r="E1543" s="36" t="inlineStr">
        <is>
          <t>Online Store</t>
        </is>
      </c>
      <c r="F1543" s="36" t="inlineStr">
        <is>
          <t>New</t>
        </is>
      </c>
      <c r="G1543" s="36" t="inlineStr">
        <is>
          <t>Travel</t>
        </is>
      </c>
      <c r="H1543" s="36" t="inlineStr">
        <is>
          <t>Insulated Bottle</t>
        </is>
      </c>
      <c r="I1543" s="36" t="n">
        <v>1</v>
      </c>
      <c r="J1543" s="39" t="n">
        <v>35.74</v>
      </c>
      <c r="K1543" s="45" t="n">
        <v>0</v>
      </c>
      <c r="L1543" s="39" t="n">
        <v>13.49</v>
      </c>
      <c r="M1543" s="39">
        <f>I1543*J1543*(1-K1543)</f>
        <v/>
      </c>
      <c r="N1543" s="39">
        <f>I1543*L1543</f>
        <v/>
      </c>
      <c r="O1543" s="39">
        <f>M1543-N1543</f>
        <v/>
      </c>
      <c r="P1543" s="38">
        <f>IF(M1543=0,0,O1543/M1543)</f>
        <v/>
      </c>
      <c r="Q1543" s="36">
        <f>YEAR(B1543)</f>
        <v/>
      </c>
      <c r="R1543" s="36">
        <f>"Q"&amp;ROUNDUP(MONTH(B1543)/3,0)</f>
        <v/>
      </c>
      <c r="S1543" s="36">
        <f>MONTH(B1543)</f>
        <v/>
      </c>
      <c r="T1543" s="36">
        <f>TEXT(B1543,"mmm")</f>
        <v/>
      </c>
      <c r="U1543" s="36">
        <f>IF(AND(OR(sel_Region="All",C1543=sel_Region),OR(sel_Country="All",D1543=sel_Country),OR(sel_Channel="All",E1543=sel_Channel),OR(sel_Customer="All",F1543=sel_Customer),OR(sel_Category="All",G1543=sel_Category),OR(sel_Product="All",H1543=sel_Product),AND(S1543&gt;=m_From,S1543&lt;=m_To)),1,0)</f>
        <v/>
      </c>
      <c r="V1543" s="36">
        <f>IF(AND(OR(sel_Region="All",C1543=sel_Region),OR(sel_Channel="All",E1543=sel_Channel),OR(sel_Customer="All",F1543=sel_Customer),OR(sel_Category="All",G1543=sel_Category),OR(sel_Product="All",H1543=sel_Product),AND(S1543&gt;=m_From,S1543&lt;=m_To)),1,0)</f>
        <v/>
      </c>
      <c r="W1543" s="36">
        <f>IF(AND(OR(sel_Region="All",C1543=sel_Region),OR(sel_Country="All",D1543=sel_Country),OR(sel_Customer="All",F1543=sel_Customer),OR(sel_Category="All",G1543=sel_Category),OR(sel_Product="All",H1543=sel_Product),AND(S1543&gt;=m_From,S1543&lt;=m_To)),1,0)</f>
        <v/>
      </c>
      <c r="X1543" s="36">
        <f>IF(AND(OR(sel_Region="All",C1543=sel_Region),OR(sel_Country="All",D1543=sel_Country),OR(sel_Channel="All",E1543=sel_Channel),OR(sel_Category="All",G1543=sel_Category),OR(sel_Product="All",H1543=sel_Product),AND(S1543&gt;=m_From,S1543&lt;=m_To)),1,0)</f>
        <v/>
      </c>
      <c r="Y1543" s="36">
        <f>IF(AND(OR(sel_Region="All",C1543=sel_Region),OR(sel_Country="All",D1543=sel_Country),OR(sel_Channel="All",E1543=sel_Channel),OR(sel_Customer="All",F1543=sel_Customer),OR(sel_Product="All",H1543=sel_Product),AND(S1543&gt;=m_From,S1543&lt;=m_To)),1,0)</f>
        <v/>
      </c>
      <c r="Z1543" s="36">
        <f>IF(AND(OR(sel_Region="All",C1543=sel_Region),OR(sel_Country="All",D1543=sel_Country),OR(sel_Channel="All",E1543=sel_Channel),OR(sel_Customer="All",F1543=sel_Customer),OR(sel_Category="All",G1543=sel_Category),AND(S1543&gt;=m_From,S1543&lt;=m_To)),1,0)</f>
        <v/>
      </c>
      <c r="AA1543" s="36">
        <f>IF(AND(OR(sel_Region="All",C1543=sel_Region),OR(sel_Country="All",D1543=sel_Country),OR(sel_Channel="All",E1543=sel_Channel),OR(sel_Customer="All",F1543=sel_Customer),OR(sel_Category="All",G1543=sel_Category),OR(sel_Product="All",H1543=sel_Product)),1,0)</f>
        <v/>
      </c>
    </row>
    <row r="1544">
      <c r="A1544" s="36" t="inlineStr">
        <is>
          <t>03397</t>
        </is>
      </c>
      <c r="B1544" s="44" t="n">
        <v>46236</v>
      </c>
      <c r="C1544" s="36" t="inlineStr">
        <is>
          <t>Western Europe</t>
        </is>
      </c>
      <c r="D1544" s="36" t="inlineStr">
        <is>
          <t>Belgium</t>
        </is>
      </c>
      <c r="E1544" s="36" t="inlineStr">
        <is>
          <t>Online Store</t>
        </is>
      </c>
      <c r="F1544" s="36" t="inlineStr">
        <is>
          <t>Returning</t>
        </is>
      </c>
      <c r="G1544" s="36" t="inlineStr">
        <is>
          <t>Cycling</t>
        </is>
      </c>
      <c r="H1544" s="36" t="inlineStr">
        <is>
          <t>Commuter Helmet</t>
        </is>
      </c>
      <c r="I1544" s="36" t="n">
        <v>1</v>
      </c>
      <c r="J1544" s="39" t="n">
        <v>79.84999999999999</v>
      </c>
      <c r="K1544" s="45" t="n">
        <v>0.1</v>
      </c>
      <c r="L1544" s="39" t="n">
        <v>43.11</v>
      </c>
      <c r="M1544" s="39">
        <f>I1544*J1544*(1-K1544)</f>
        <v/>
      </c>
      <c r="N1544" s="39">
        <f>I1544*L1544</f>
        <v/>
      </c>
      <c r="O1544" s="39">
        <f>M1544-N1544</f>
        <v/>
      </c>
      <c r="P1544" s="38">
        <f>IF(M1544=0,0,O1544/M1544)</f>
        <v/>
      </c>
      <c r="Q1544" s="36">
        <f>YEAR(B1544)</f>
        <v/>
      </c>
      <c r="R1544" s="36">
        <f>"Q"&amp;ROUNDUP(MONTH(B1544)/3,0)</f>
        <v/>
      </c>
      <c r="S1544" s="36">
        <f>MONTH(B1544)</f>
        <v/>
      </c>
      <c r="T1544" s="36">
        <f>TEXT(B1544,"mmm")</f>
        <v/>
      </c>
      <c r="U1544" s="36">
        <f>IF(AND(OR(sel_Region="All",C1544=sel_Region),OR(sel_Country="All",D1544=sel_Country),OR(sel_Channel="All",E1544=sel_Channel),OR(sel_Customer="All",F1544=sel_Customer),OR(sel_Category="All",G1544=sel_Category),OR(sel_Product="All",H1544=sel_Product),AND(S1544&gt;=m_From,S1544&lt;=m_To)),1,0)</f>
        <v/>
      </c>
      <c r="V1544" s="36">
        <f>IF(AND(OR(sel_Region="All",C1544=sel_Region),OR(sel_Channel="All",E1544=sel_Channel),OR(sel_Customer="All",F1544=sel_Customer),OR(sel_Category="All",G1544=sel_Category),OR(sel_Product="All",H1544=sel_Product),AND(S1544&gt;=m_From,S1544&lt;=m_To)),1,0)</f>
        <v/>
      </c>
      <c r="W1544" s="36">
        <f>IF(AND(OR(sel_Region="All",C1544=sel_Region),OR(sel_Country="All",D1544=sel_Country),OR(sel_Customer="All",F1544=sel_Customer),OR(sel_Category="All",G1544=sel_Category),OR(sel_Product="All",H1544=sel_Product),AND(S1544&gt;=m_From,S1544&lt;=m_To)),1,0)</f>
        <v/>
      </c>
      <c r="X1544" s="36">
        <f>IF(AND(OR(sel_Region="All",C1544=sel_Region),OR(sel_Country="All",D1544=sel_Country),OR(sel_Channel="All",E1544=sel_Channel),OR(sel_Category="All",G1544=sel_Category),OR(sel_Product="All",H1544=sel_Product),AND(S1544&gt;=m_From,S1544&lt;=m_To)),1,0)</f>
        <v/>
      </c>
      <c r="Y1544" s="36">
        <f>IF(AND(OR(sel_Region="All",C1544=sel_Region),OR(sel_Country="All",D1544=sel_Country),OR(sel_Channel="All",E1544=sel_Channel),OR(sel_Customer="All",F1544=sel_Customer),OR(sel_Product="All",H1544=sel_Product),AND(S1544&gt;=m_From,S1544&lt;=m_To)),1,0)</f>
        <v/>
      </c>
      <c r="Z1544" s="36">
        <f>IF(AND(OR(sel_Region="All",C1544=sel_Region),OR(sel_Country="All",D1544=sel_Country),OR(sel_Channel="All",E1544=sel_Channel),OR(sel_Customer="All",F1544=sel_Customer),OR(sel_Category="All",G1544=sel_Category),AND(S1544&gt;=m_From,S1544&lt;=m_To)),1,0)</f>
        <v/>
      </c>
      <c r="AA1544" s="36">
        <f>IF(AND(OR(sel_Region="All",C1544=sel_Region),OR(sel_Country="All",D1544=sel_Country),OR(sel_Channel="All",E1544=sel_Channel),OR(sel_Customer="All",F1544=sel_Customer),OR(sel_Category="All",G1544=sel_Category),OR(sel_Product="All",H1544=sel_Product)),1,0)</f>
        <v/>
      </c>
    </row>
    <row r="1545">
      <c r="A1545" s="36" t="inlineStr">
        <is>
          <t>04556</t>
        </is>
      </c>
      <c r="B1545" s="44" t="n">
        <v>46236</v>
      </c>
      <c r="C1545" s="36" t="inlineStr">
        <is>
          <t>Southern Europe</t>
        </is>
      </c>
      <c r="D1545" s="36" t="inlineStr">
        <is>
          <t>Italy</t>
        </is>
      </c>
      <c r="E1545" s="36" t="inlineStr">
        <is>
          <t>Online Store</t>
        </is>
      </c>
      <c r="F1545" s="36" t="inlineStr">
        <is>
          <t>Returning</t>
        </is>
      </c>
      <c r="G1545" s="36" t="inlineStr">
        <is>
          <t>Travel</t>
        </is>
      </c>
      <c r="H1545" s="36" t="inlineStr">
        <is>
          <t>Packing Cube Set</t>
        </is>
      </c>
      <c r="I1545" s="36" t="n">
        <v>2</v>
      </c>
      <c r="J1545" s="39" t="n">
        <v>46.44</v>
      </c>
      <c r="K1545" s="45" t="n">
        <v>0</v>
      </c>
      <c r="L1545" s="39" t="n">
        <v>18.49</v>
      </c>
      <c r="M1545" s="39">
        <f>I1545*J1545*(1-K1545)</f>
        <v/>
      </c>
      <c r="N1545" s="39">
        <f>I1545*L1545</f>
        <v/>
      </c>
      <c r="O1545" s="39">
        <f>M1545-N1545</f>
        <v/>
      </c>
      <c r="P1545" s="38">
        <f>IF(M1545=0,0,O1545/M1545)</f>
        <v/>
      </c>
      <c r="Q1545" s="36">
        <f>YEAR(B1545)</f>
        <v/>
      </c>
      <c r="R1545" s="36">
        <f>"Q"&amp;ROUNDUP(MONTH(B1545)/3,0)</f>
        <v/>
      </c>
      <c r="S1545" s="36">
        <f>MONTH(B1545)</f>
        <v/>
      </c>
      <c r="T1545" s="36">
        <f>TEXT(B1545,"mmm")</f>
        <v/>
      </c>
      <c r="U1545" s="36">
        <f>IF(AND(OR(sel_Region="All",C1545=sel_Region),OR(sel_Country="All",D1545=sel_Country),OR(sel_Channel="All",E1545=sel_Channel),OR(sel_Customer="All",F1545=sel_Customer),OR(sel_Category="All",G1545=sel_Category),OR(sel_Product="All",H1545=sel_Product),AND(S1545&gt;=m_From,S1545&lt;=m_To)),1,0)</f>
        <v/>
      </c>
      <c r="V1545" s="36">
        <f>IF(AND(OR(sel_Region="All",C1545=sel_Region),OR(sel_Channel="All",E1545=sel_Channel),OR(sel_Customer="All",F1545=sel_Customer),OR(sel_Category="All",G1545=sel_Category),OR(sel_Product="All",H1545=sel_Product),AND(S1545&gt;=m_From,S1545&lt;=m_To)),1,0)</f>
        <v/>
      </c>
      <c r="W1545" s="36">
        <f>IF(AND(OR(sel_Region="All",C1545=sel_Region),OR(sel_Country="All",D1545=sel_Country),OR(sel_Customer="All",F1545=sel_Customer),OR(sel_Category="All",G1545=sel_Category),OR(sel_Product="All",H1545=sel_Product),AND(S1545&gt;=m_From,S1545&lt;=m_To)),1,0)</f>
        <v/>
      </c>
      <c r="X1545" s="36">
        <f>IF(AND(OR(sel_Region="All",C1545=sel_Region),OR(sel_Country="All",D1545=sel_Country),OR(sel_Channel="All",E1545=sel_Channel),OR(sel_Category="All",G1545=sel_Category),OR(sel_Product="All",H1545=sel_Product),AND(S1545&gt;=m_From,S1545&lt;=m_To)),1,0)</f>
        <v/>
      </c>
      <c r="Y1545" s="36">
        <f>IF(AND(OR(sel_Region="All",C1545=sel_Region),OR(sel_Country="All",D1545=sel_Country),OR(sel_Channel="All",E1545=sel_Channel),OR(sel_Customer="All",F1545=sel_Customer),OR(sel_Product="All",H1545=sel_Product),AND(S1545&gt;=m_From,S1545&lt;=m_To)),1,0)</f>
        <v/>
      </c>
      <c r="Z1545" s="36">
        <f>IF(AND(OR(sel_Region="All",C1545=sel_Region),OR(sel_Country="All",D1545=sel_Country),OR(sel_Channel="All",E1545=sel_Channel),OR(sel_Customer="All",F1545=sel_Customer),OR(sel_Category="All",G1545=sel_Category),AND(S1545&gt;=m_From,S1545&lt;=m_To)),1,0)</f>
        <v/>
      </c>
      <c r="AA1545" s="36">
        <f>IF(AND(OR(sel_Region="All",C1545=sel_Region),OR(sel_Country="All",D1545=sel_Country),OR(sel_Channel="All",E1545=sel_Channel),OR(sel_Customer="All",F1545=sel_Customer),OR(sel_Category="All",G1545=sel_Category),OR(sel_Product="All",H1545=sel_Product)),1,0)</f>
        <v/>
      </c>
    </row>
    <row r="1546">
      <c r="A1546" s="36" t="inlineStr">
        <is>
          <t>04614</t>
        </is>
      </c>
      <c r="B1546" s="44" t="n">
        <v>46236</v>
      </c>
      <c r="C1546" s="36" t="inlineStr">
        <is>
          <t>Western Europe</t>
        </is>
      </c>
      <c r="D1546" s="36" t="inlineStr">
        <is>
          <t>United Kingdom</t>
        </is>
      </c>
      <c r="E1546" s="36" t="inlineStr">
        <is>
          <t>Retail Partners</t>
        </is>
      </c>
      <c r="F1546" s="36" t="inlineStr">
        <is>
          <t>Returning</t>
        </is>
      </c>
      <c r="G1546" s="36" t="inlineStr">
        <is>
          <t>Cycling</t>
        </is>
      </c>
      <c r="H1546" s="36" t="inlineStr">
        <is>
          <t>Trail Bike Light</t>
        </is>
      </c>
      <c r="I1546" s="36" t="n">
        <v>2</v>
      </c>
      <c r="J1546" s="39" t="n">
        <v>50.44</v>
      </c>
      <c r="K1546" s="45" t="n">
        <v>0</v>
      </c>
      <c r="L1546" s="39" t="n">
        <v>22.99</v>
      </c>
      <c r="M1546" s="39">
        <f>I1546*J1546*(1-K1546)</f>
        <v/>
      </c>
      <c r="N1546" s="39">
        <f>I1546*L1546</f>
        <v/>
      </c>
      <c r="O1546" s="39">
        <f>M1546-N1546</f>
        <v/>
      </c>
      <c r="P1546" s="38">
        <f>IF(M1546=0,0,O1546/M1546)</f>
        <v/>
      </c>
      <c r="Q1546" s="36">
        <f>YEAR(B1546)</f>
        <v/>
      </c>
      <c r="R1546" s="36">
        <f>"Q"&amp;ROUNDUP(MONTH(B1546)/3,0)</f>
        <v/>
      </c>
      <c r="S1546" s="36">
        <f>MONTH(B1546)</f>
        <v/>
      </c>
      <c r="T1546" s="36">
        <f>TEXT(B1546,"mmm")</f>
        <v/>
      </c>
      <c r="U1546" s="36">
        <f>IF(AND(OR(sel_Region="All",C1546=sel_Region),OR(sel_Country="All",D1546=sel_Country),OR(sel_Channel="All",E1546=sel_Channel),OR(sel_Customer="All",F1546=sel_Customer),OR(sel_Category="All",G1546=sel_Category),OR(sel_Product="All",H1546=sel_Product),AND(S1546&gt;=m_From,S1546&lt;=m_To)),1,0)</f>
        <v/>
      </c>
      <c r="V1546" s="36">
        <f>IF(AND(OR(sel_Region="All",C1546=sel_Region),OR(sel_Channel="All",E1546=sel_Channel),OR(sel_Customer="All",F1546=sel_Customer),OR(sel_Category="All",G1546=sel_Category),OR(sel_Product="All",H1546=sel_Product),AND(S1546&gt;=m_From,S1546&lt;=m_To)),1,0)</f>
        <v/>
      </c>
      <c r="W1546" s="36">
        <f>IF(AND(OR(sel_Region="All",C1546=sel_Region),OR(sel_Country="All",D1546=sel_Country),OR(sel_Customer="All",F1546=sel_Customer),OR(sel_Category="All",G1546=sel_Category),OR(sel_Product="All",H1546=sel_Product),AND(S1546&gt;=m_From,S1546&lt;=m_To)),1,0)</f>
        <v/>
      </c>
      <c r="X1546" s="36">
        <f>IF(AND(OR(sel_Region="All",C1546=sel_Region),OR(sel_Country="All",D1546=sel_Country),OR(sel_Channel="All",E1546=sel_Channel),OR(sel_Category="All",G1546=sel_Category),OR(sel_Product="All",H1546=sel_Product),AND(S1546&gt;=m_From,S1546&lt;=m_To)),1,0)</f>
        <v/>
      </c>
      <c r="Y1546" s="36">
        <f>IF(AND(OR(sel_Region="All",C1546=sel_Region),OR(sel_Country="All",D1546=sel_Country),OR(sel_Channel="All",E1546=sel_Channel),OR(sel_Customer="All",F1546=sel_Customer),OR(sel_Product="All",H1546=sel_Product),AND(S1546&gt;=m_From,S1546&lt;=m_To)),1,0)</f>
        <v/>
      </c>
      <c r="Z1546" s="36">
        <f>IF(AND(OR(sel_Region="All",C1546=sel_Region),OR(sel_Country="All",D1546=sel_Country),OR(sel_Channel="All",E1546=sel_Channel),OR(sel_Customer="All",F1546=sel_Customer),OR(sel_Category="All",G1546=sel_Category),AND(S1546&gt;=m_From,S1546&lt;=m_To)),1,0)</f>
        <v/>
      </c>
      <c r="AA1546" s="36">
        <f>IF(AND(OR(sel_Region="All",C1546=sel_Region),OR(sel_Country="All",D1546=sel_Country),OR(sel_Channel="All",E1546=sel_Channel),OR(sel_Customer="All",F1546=sel_Customer),OR(sel_Category="All",G1546=sel_Category),OR(sel_Product="All",H1546=sel_Product)),1,0)</f>
        <v/>
      </c>
    </row>
    <row r="1547">
      <c r="A1547" s="36" t="inlineStr">
        <is>
          <t>04999</t>
        </is>
      </c>
      <c r="B1547" s="44" t="n">
        <v>46236</v>
      </c>
      <c r="C1547" s="36" t="inlineStr">
        <is>
          <t>Western Europe</t>
        </is>
      </c>
      <c r="D1547" s="36" t="inlineStr">
        <is>
          <t>United Kingdom</t>
        </is>
      </c>
      <c r="E1547" s="36" t="inlineStr">
        <is>
          <t>Online Store</t>
        </is>
      </c>
      <c r="F1547" s="36" t="inlineStr">
        <is>
          <t>Returning</t>
        </is>
      </c>
      <c r="G1547" s="36" t="inlineStr">
        <is>
          <t>Cycling</t>
        </is>
      </c>
      <c r="H1547" s="36" t="inlineStr">
        <is>
          <t>Commuter Helmet</t>
        </is>
      </c>
      <c r="I1547" s="36" t="n">
        <v>2</v>
      </c>
      <c r="J1547" s="39" t="n">
        <v>81.38</v>
      </c>
      <c r="K1547" s="45" t="n">
        <v>0</v>
      </c>
      <c r="L1547" s="39" t="n">
        <v>42.19</v>
      </c>
      <c r="M1547" s="39">
        <f>I1547*J1547*(1-K1547)</f>
        <v/>
      </c>
      <c r="N1547" s="39">
        <f>I1547*L1547</f>
        <v/>
      </c>
      <c r="O1547" s="39">
        <f>M1547-N1547</f>
        <v/>
      </c>
      <c r="P1547" s="38">
        <f>IF(M1547=0,0,O1547/M1547)</f>
        <v/>
      </c>
      <c r="Q1547" s="36">
        <f>YEAR(B1547)</f>
        <v/>
      </c>
      <c r="R1547" s="36">
        <f>"Q"&amp;ROUNDUP(MONTH(B1547)/3,0)</f>
        <v/>
      </c>
      <c r="S1547" s="36">
        <f>MONTH(B1547)</f>
        <v/>
      </c>
      <c r="T1547" s="36">
        <f>TEXT(B1547,"mmm")</f>
        <v/>
      </c>
      <c r="U1547" s="36">
        <f>IF(AND(OR(sel_Region="All",C1547=sel_Region),OR(sel_Country="All",D1547=sel_Country),OR(sel_Channel="All",E1547=sel_Channel),OR(sel_Customer="All",F1547=sel_Customer),OR(sel_Category="All",G1547=sel_Category),OR(sel_Product="All",H1547=sel_Product),AND(S1547&gt;=m_From,S1547&lt;=m_To)),1,0)</f>
        <v/>
      </c>
      <c r="V1547" s="36">
        <f>IF(AND(OR(sel_Region="All",C1547=sel_Region),OR(sel_Channel="All",E1547=sel_Channel),OR(sel_Customer="All",F1547=sel_Customer),OR(sel_Category="All",G1547=sel_Category),OR(sel_Product="All",H1547=sel_Product),AND(S1547&gt;=m_From,S1547&lt;=m_To)),1,0)</f>
        <v/>
      </c>
      <c r="W1547" s="36">
        <f>IF(AND(OR(sel_Region="All",C1547=sel_Region),OR(sel_Country="All",D1547=sel_Country),OR(sel_Customer="All",F1547=sel_Customer),OR(sel_Category="All",G1547=sel_Category),OR(sel_Product="All",H1547=sel_Product),AND(S1547&gt;=m_From,S1547&lt;=m_To)),1,0)</f>
        <v/>
      </c>
      <c r="X1547" s="36">
        <f>IF(AND(OR(sel_Region="All",C1547=sel_Region),OR(sel_Country="All",D1547=sel_Country),OR(sel_Channel="All",E1547=sel_Channel),OR(sel_Category="All",G1547=sel_Category),OR(sel_Product="All",H1547=sel_Product),AND(S1547&gt;=m_From,S1547&lt;=m_To)),1,0)</f>
        <v/>
      </c>
      <c r="Y1547" s="36">
        <f>IF(AND(OR(sel_Region="All",C1547=sel_Region),OR(sel_Country="All",D1547=sel_Country),OR(sel_Channel="All",E1547=sel_Channel),OR(sel_Customer="All",F1547=sel_Customer),OR(sel_Product="All",H1547=sel_Product),AND(S1547&gt;=m_From,S1547&lt;=m_To)),1,0)</f>
        <v/>
      </c>
      <c r="Z1547" s="36">
        <f>IF(AND(OR(sel_Region="All",C1547=sel_Region),OR(sel_Country="All",D1547=sel_Country),OR(sel_Channel="All",E1547=sel_Channel),OR(sel_Customer="All",F1547=sel_Customer),OR(sel_Category="All",G1547=sel_Category),AND(S1547&gt;=m_From,S1547&lt;=m_To)),1,0)</f>
        <v/>
      </c>
      <c r="AA1547" s="36">
        <f>IF(AND(OR(sel_Region="All",C1547=sel_Region),OR(sel_Country="All",D1547=sel_Country),OR(sel_Channel="All",E1547=sel_Channel),OR(sel_Customer="All",F1547=sel_Customer),OR(sel_Category="All",G1547=sel_Category),OR(sel_Product="All",H1547=sel_Product)),1,0)</f>
        <v/>
      </c>
    </row>
    <row r="1548">
      <c r="A1548" s="36" t="inlineStr">
        <is>
          <t>00207</t>
        </is>
      </c>
      <c r="B1548" s="44" t="n">
        <v>46237</v>
      </c>
      <c r="C1548" s="36" t="inlineStr">
        <is>
          <t>Northern Europe</t>
        </is>
      </c>
      <c r="D1548" s="36" t="inlineStr">
        <is>
          <t>Norway</t>
        </is>
      </c>
      <c r="E1548" s="36" t="inlineStr">
        <is>
          <t>Online Store</t>
        </is>
      </c>
      <c r="F1548" s="36" t="inlineStr">
        <is>
          <t>Returning</t>
        </is>
      </c>
      <c r="G1548" s="36" t="inlineStr">
        <is>
          <t>Fitness</t>
        </is>
      </c>
      <c r="H1548" s="36" t="inlineStr">
        <is>
          <t>Resistance Band Set</t>
        </is>
      </c>
      <c r="I1548" s="36" t="n">
        <v>1</v>
      </c>
      <c r="J1548" s="39" t="n">
        <v>41.3</v>
      </c>
      <c r="K1548" s="45" t="n">
        <v>0</v>
      </c>
      <c r="L1548" s="39" t="n">
        <v>14.52</v>
      </c>
      <c r="M1548" s="39">
        <f>I1548*J1548*(1-K1548)</f>
        <v/>
      </c>
      <c r="N1548" s="39">
        <f>I1548*L1548</f>
        <v/>
      </c>
      <c r="O1548" s="39">
        <f>M1548-N1548</f>
        <v/>
      </c>
      <c r="P1548" s="38">
        <f>IF(M1548=0,0,O1548/M1548)</f>
        <v/>
      </c>
      <c r="Q1548" s="36">
        <f>YEAR(B1548)</f>
        <v/>
      </c>
      <c r="R1548" s="36">
        <f>"Q"&amp;ROUNDUP(MONTH(B1548)/3,0)</f>
        <v/>
      </c>
      <c r="S1548" s="36">
        <f>MONTH(B1548)</f>
        <v/>
      </c>
      <c r="T1548" s="36">
        <f>TEXT(B1548,"mmm")</f>
        <v/>
      </c>
      <c r="U1548" s="36">
        <f>IF(AND(OR(sel_Region="All",C1548=sel_Region),OR(sel_Country="All",D1548=sel_Country),OR(sel_Channel="All",E1548=sel_Channel),OR(sel_Customer="All",F1548=sel_Customer),OR(sel_Category="All",G1548=sel_Category),OR(sel_Product="All",H1548=sel_Product),AND(S1548&gt;=m_From,S1548&lt;=m_To)),1,0)</f>
        <v/>
      </c>
      <c r="V1548" s="36">
        <f>IF(AND(OR(sel_Region="All",C1548=sel_Region),OR(sel_Channel="All",E1548=sel_Channel),OR(sel_Customer="All",F1548=sel_Customer),OR(sel_Category="All",G1548=sel_Category),OR(sel_Product="All",H1548=sel_Product),AND(S1548&gt;=m_From,S1548&lt;=m_To)),1,0)</f>
        <v/>
      </c>
      <c r="W1548" s="36">
        <f>IF(AND(OR(sel_Region="All",C1548=sel_Region),OR(sel_Country="All",D1548=sel_Country),OR(sel_Customer="All",F1548=sel_Customer),OR(sel_Category="All",G1548=sel_Category),OR(sel_Product="All",H1548=sel_Product),AND(S1548&gt;=m_From,S1548&lt;=m_To)),1,0)</f>
        <v/>
      </c>
      <c r="X1548" s="36">
        <f>IF(AND(OR(sel_Region="All",C1548=sel_Region),OR(sel_Country="All",D1548=sel_Country),OR(sel_Channel="All",E1548=sel_Channel),OR(sel_Category="All",G1548=sel_Category),OR(sel_Product="All",H1548=sel_Product),AND(S1548&gt;=m_From,S1548&lt;=m_To)),1,0)</f>
        <v/>
      </c>
      <c r="Y1548" s="36">
        <f>IF(AND(OR(sel_Region="All",C1548=sel_Region),OR(sel_Country="All",D1548=sel_Country),OR(sel_Channel="All",E1548=sel_Channel),OR(sel_Customer="All",F1548=sel_Customer),OR(sel_Product="All",H1548=sel_Product),AND(S1548&gt;=m_From,S1548&lt;=m_To)),1,0)</f>
        <v/>
      </c>
      <c r="Z1548" s="36">
        <f>IF(AND(OR(sel_Region="All",C1548=sel_Region),OR(sel_Country="All",D1548=sel_Country),OR(sel_Channel="All",E1548=sel_Channel),OR(sel_Customer="All",F1548=sel_Customer),OR(sel_Category="All",G1548=sel_Category),AND(S1548&gt;=m_From,S1548&lt;=m_To)),1,0)</f>
        <v/>
      </c>
      <c r="AA1548" s="36">
        <f>IF(AND(OR(sel_Region="All",C1548=sel_Region),OR(sel_Country="All",D1548=sel_Country),OR(sel_Channel="All",E1548=sel_Channel),OR(sel_Customer="All",F1548=sel_Customer),OR(sel_Category="All",G1548=sel_Category),OR(sel_Product="All",H1548=sel_Product)),1,0)</f>
        <v/>
      </c>
    </row>
    <row r="1549">
      <c r="A1549" s="36" t="inlineStr">
        <is>
          <t>00295</t>
        </is>
      </c>
      <c r="B1549" s="44" t="n">
        <v>46237</v>
      </c>
      <c r="C1549" s="36" t="inlineStr">
        <is>
          <t>Western Europe</t>
        </is>
      </c>
      <c r="D1549" s="36" t="inlineStr">
        <is>
          <t>United Kingdom</t>
        </is>
      </c>
      <c r="E1549" s="36" t="inlineStr">
        <is>
          <t>Marketplace</t>
        </is>
      </c>
      <c r="F1549" s="36" t="inlineStr">
        <is>
          <t>Returning</t>
        </is>
      </c>
      <c r="G1549" s="36" t="inlineStr">
        <is>
          <t>Travel</t>
        </is>
      </c>
      <c r="H1549" s="36" t="inlineStr">
        <is>
          <t>Insulated Bottle</t>
        </is>
      </c>
      <c r="I1549" s="36" t="n">
        <v>2</v>
      </c>
      <c r="J1549" s="39" t="n">
        <v>36.15</v>
      </c>
      <c r="K1549" s="45" t="n">
        <v>0.1</v>
      </c>
      <c r="L1549" s="39" t="n">
        <v>13.19</v>
      </c>
      <c r="M1549" s="39">
        <f>I1549*J1549*(1-K1549)</f>
        <v/>
      </c>
      <c r="N1549" s="39">
        <f>I1549*L1549</f>
        <v/>
      </c>
      <c r="O1549" s="39">
        <f>M1549-N1549</f>
        <v/>
      </c>
      <c r="P1549" s="38">
        <f>IF(M1549=0,0,O1549/M1549)</f>
        <v/>
      </c>
      <c r="Q1549" s="36">
        <f>YEAR(B1549)</f>
        <v/>
      </c>
      <c r="R1549" s="36">
        <f>"Q"&amp;ROUNDUP(MONTH(B1549)/3,0)</f>
        <v/>
      </c>
      <c r="S1549" s="36">
        <f>MONTH(B1549)</f>
        <v/>
      </c>
      <c r="T1549" s="36">
        <f>TEXT(B1549,"mmm")</f>
        <v/>
      </c>
      <c r="U1549" s="36">
        <f>IF(AND(OR(sel_Region="All",C1549=sel_Region),OR(sel_Country="All",D1549=sel_Country),OR(sel_Channel="All",E1549=sel_Channel),OR(sel_Customer="All",F1549=sel_Customer),OR(sel_Category="All",G1549=sel_Category),OR(sel_Product="All",H1549=sel_Product),AND(S1549&gt;=m_From,S1549&lt;=m_To)),1,0)</f>
        <v/>
      </c>
      <c r="V1549" s="36">
        <f>IF(AND(OR(sel_Region="All",C1549=sel_Region),OR(sel_Channel="All",E1549=sel_Channel),OR(sel_Customer="All",F1549=sel_Customer),OR(sel_Category="All",G1549=sel_Category),OR(sel_Product="All",H1549=sel_Product),AND(S1549&gt;=m_From,S1549&lt;=m_To)),1,0)</f>
        <v/>
      </c>
      <c r="W1549" s="36">
        <f>IF(AND(OR(sel_Region="All",C1549=sel_Region),OR(sel_Country="All",D1549=sel_Country),OR(sel_Customer="All",F1549=sel_Customer),OR(sel_Category="All",G1549=sel_Category),OR(sel_Product="All",H1549=sel_Product),AND(S1549&gt;=m_From,S1549&lt;=m_To)),1,0)</f>
        <v/>
      </c>
      <c r="X1549" s="36">
        <f>IF(AND(OR(sel_Region="All",C1549=sel_Region),OR(sel_Country="All",D1549=sel_Country),OR(sel_Channel="All",E1549=sel_Channel),OR(sel_Category="All",G1549=sel_Category),OR(sel_Product="All",H1549=sel_Product),AND(S1549&gt;=m_From,S1549&lt;=m_To)),1,0)</f>
        <v/>
      </c>
      <c r="Y1549" s="36">
        <f>IF(AND(OR(sel_Region="All",C1549=sel_Region),OR(sel_Country="All",D1549=sel_Country),OR(sel_Channel="All",E1549=sel_Channel),OR(sel_Customer="All",F1549=sel_Customer),OR(sel_Product="All",H1549=sel_Product),AND(S1549&gt;=m_From,S1549&lt;=m_To)),1,0)</f>
        <v/>
      </c>
      <c r="Z1549" s="36">
        <f>IF(AND(OR(sel_Region="All",C1549=sel_Region),OR(sel_Country="All",D1549=sel_Country),OR(sel_Channel="All",E1549=sel_Channel),OR(sel_Customer="All",F1549=sel_Customer),OR(sel_Category="All",G1549=sel_Category),AND(S1549&gt;=m_From,S1549&lt;=m_To)),1,0)</f>
        <v/>
      </c>
      <c r="AA1549" s="36">
        <f>IF(AND(OR(sel_Region="All",C1549=sel_Region),OR(sel_Country="All",D1549=sel_Country),OR(sel_Channel="All",E1549=sel_Channel),OR(sel_Customer="All",F1549=sel_Customer),OR(sel_Category="All",G1549=sel_Category),OR(sel_Product="All",H1549=sel_Product)),1,0)</f>
        <v/>
      </c>
    </row>
    <row r="1550">
      <c r="A1550" s="36" t="inlineStr">
        <is>
          <t>00657</t>
        </is>
      </c>
      <c r="B1550" s="44" t="n">
        <v>46237</v>
      </c>
      <c r="C1550" s="36" t="inlineStr">
        <is>
          <t>Central Europe</t>
        </is>
      </c>
      <c r="D1550" s="36" t="inlineStr">
        <is>
          <t>Germany</t>
        </is>
      </c>
      <c r="E1550" s="36" t="inlineStr">
        <is>
          <t>Online Store</t>
        </is>
      </c>
      <c r="F1550" s="36" t="inlineStr">
        <is>
          <t>Returning</t>
        </is>
      </c>
      <c r="G1550" s="36" t="inlineStr">
        <is>
          <t>Travel</t>
        </is>
      </c>
      <c r="H1550" s="36" t="inlineStr">
        <is>
          <t>Carry-On Duffel</t>
        </is>
      </c>
      <c r="I1550" s="36" t="n">
        <v>3</v>
      </c>
      <c r="J1550" s="39" t="n">
        <v>132.59</v>
      </c>
      <c r="K1550" s="45" t="n">
        <v>0.1</v>
      </c>
      <c r="L1550" s="39" t="n">
        <v>66.04000000000001</v>
      </c>
      <c r="M1550" s="39">
        <f>I1550*J1550*(1-K1550)</f>
        <v/>
      </c>
      <c r="N1550" s="39">
        <f>I1550*L1550</f>
        <v/>
      </c>
      <c r="O1550" s="39">
        <f>M1550-N1550</f>
        <v/>
      </c>
      <c r="P1550" s="38">
        <f>IF(M1550=0,0,O1550/M1550)</f>
        <v/>
      </c>
      <c r="Q1550" s="36">
        <f>YEAR(B1550)</f>
        <v/>
      </c>
      <c r="R1550" s="36">
        <f>"Q"&amp;ROUNDUP(MONTH(B1550)/3,0)</f>
        <v/>
      </c>
      <c r="S1550" s="36">
        <f>MONTH(B1550)</f>
        <v/>
      </c>
      <c r="T1550" s="36">
        <f>TEXT(B1550,"mmm")</f>
        <v/>
      </c>
      <c r="U1550" s="36">
        <f>IF(AND(OR(sel_Region="All",C1550=sel_Region),OR(sel_Country="All",D1550=sel_Country),OR(sel_Channel="All",E1550=sel_Channel),OR(sel_Customer="All",F1550=sel_Customer),OR(sel_Category="All",G1550=sel_Category),OR(sel_Product="All",H1550=sel_Product),AND(S1550&gt;=m_From,S1550&lt;=m_To)),1,0)</f>
        <v/>
      </c>
      <c r="V1550" s="36">
        <f>IF(AND(OR(sel_Region="All",C1550=sel_Region),OR(sel_Channel="All",E1550=sel_Channel),OR(sel_Customer="All",F1550=sel_Customer),OR(sel_Category="All",G1550=sel_Category),OR(sel_Product="All",H1550=sel_Product),AND(S1550&gt;=m_From,S1550&lt;=m_To)),1,0)</f>
        <v/>
      </c>
      <c r="W1550" s="36">
        <f>IF(AND(OR(sel_Region="All",C1550=sel_Region),OR(sel_Country="All",D1550=sel_Country),OR(sel_Customer="All",F1550=sel_Customer),OR(sel_Category="All",G1550=sel_Category),OR(sel_Product="All",H1550=sel_Product),AND(S1550&gt;=m_From,S1550&lt;=m_To)),1,0)</f>
        <v/>
      </c>
      <c r="X1550" s="36">
        <f>IF(AND(OR(sel_Region="All",C1550=sel_Region),OR(sel_Country="All",D1550=sel_Country),OR(sel_Channel="All",E1550=sel_Channel),OR(sel_Category="All",G1550=sel_Category),OR(sel_Product="All",H1550=sel_Product),AND(S1550&gt;=m_From,S1550&lt;=m_To)),1,0)</f>
        <v/>
      </c>
      <c r="Y1550" s="36">
        <f>IF(AND(OR(sel_Region="All",C1550=sel_Region),OR(sel_Country="All",D1550=sel_Country),OR(sel_Channel="All",E1550=sel_Channel),OR(sel_Customer="All",F1550=sel_Customer),OR(sel_Product="All",H1550=sel_Product),AND(S1550&gt;=m_From,S1550&lt;=m_To)),1,0)</f>
        <v/>
      </c>
      <c r="Z1550" s="36">
        <f>IF(AND(OR(sel_Region="All",C1550=sel_Region),OR(sel_Country="All",D1550=sel_Country),OR(sel_Channel="All",E1550=sel_Channel),OR(sel_Customer="All",F1550=sel_Customer),OR(sel_Category="All",G1550=sel_Category),AND(S1550&gt;=m_From,S1550&lt;=m_To)),1,0)</f>
        <v/>
      </c>
      <c r="AA1550" s="36">
        <f>IF(AND(OR(sel_Region="All",C1550=sel_Region),OR(sel_Country="All",D1550=sel_Country),OR(sel_Channel="All",E1550=sel_Channel),OR(sel_Customer="All",F1550=sel_Customer),OR(sel_Category="All",G1550=sel_Category),OR(sel_Product="All",H1550=sel_Product)),1,0)</f>
        <v/>
      </c>
    </row>
    <row r="1551">
      <c r="A1551" s="36" t="inlineStr">
        <is>
          <t>00694</t>
        </is>
      </c>
      <c r="B1551" s="44" t="n">
        <v>46237</v>
      </c>
      <c r="C1551" s="36" t="inlineStr">
        <is>
          <t>Northern Europe</t>
        </is>
      </c>
      <c r="D1551" s="36" t="inlineStr">
        <is>
          <t>Ireland</t>
        </is>
      </c>
      <c r="E1551" s="36" t="inlineStr">
        <is>
          <t>Online Store</t>
        </is>
      </c>
      <c r="F1551" s="36" t="inlineStr">
        <is>
          <t>New</t>
        </is>
      </c>
      <c r="G1551" s="36" t="inlineStr">
        <is>
          <t>Hiking</t>
        </is>
      </c>
      <c r="H1551" s="36" t="inlineStr">
        <is>
          <t>Trail Boots</t>
        </is>
      </c>
      <c r="I1551" s="36" t="n">
        <v>3</v>
      </c>
      <c r="J1551" s="39" t="n">
        <v>144</v>
      </c>
      <c r="K1551" s="45" t="n">
        <v>0</v>
      </c>
      <c r="L1551" s="39" t="n">
        <v>78.89</v>
      </c>
      <c r="M1551" s="39">
        <f>I1551*J1551*(1-K1551)</f>
        <v/>
      </c>
      <c r="N1551" s="39">
        <f>I1551*L1551</f>
        <v/>
      </c>
      <c r="O1551" s="39">
        <f>M1551-N1551</f>
        <v/>
      </c>
      <c r="P1551" s="38">
        <f>IF(M1551=0,0,O1551/M1551)</f>
        <v/>
      </c>
      <c r="Q1551" s="36">
        <f>YEAR(B1551)</f>
        <v/>
      </c>
      <c r="R1551" s="36">
        <f>"Q"&amp;ROUNDUP(MONTH(B1551)/3,0)</f>
        <v/>
      </c>
      <c r="S1551" s="36">
        <f>MONTH(B1551)</f>
        <v/>
      </c>
      <c r="T1551" s="36">
        <f>TEXT(B1551,"mmm")</f>
        <v/>
      </c>
      <c r="U1551" s="36">
        <f>IF(AND(OR(sel_Region="All",C1551=sel_Region),OR(sel_Country="All",D1551=sel_Country),OR(sel_Channel="All",E1551=sel_Channel),OR(sel_Customer="All",F1551=sel_Customer),OR(sel_Category="All",G1551=sel_Category),OR(sel_Product="All",H1551=sel_Product),AND(S1551&gt;=m_From,S1551&lt;=m_To)),1,0)</f>
        <v/>
      </c>
      <c r="V1551" s="36">
        <f>IF(AND(OR(sel_Region="All",C1551=sel_Region),OR(sel_Channel="All",E1551=sel_Channel),OR(sel_Customer="All",F1551=sel_Customer),OR(sel_Category="All",G1551=sel_Category),OR(sel_Product="All",H1551=sel_Product),AND(S1551&gt;=m_From,S1551&lt;=m_To)),1,0)</f>
        <v/>
      </c>
      <c r="W1551" s="36">
        <f>IF(AND(OR(sel_Region="All",C1551=sel_Region),OR(sel_Country="All",D1551=sel_Country),OR(sel_Customer="All",F1551=sel_Customer),OR(sel_Category="All",G1551=sel_Category),OR(sel_Product="All",H1551=sel_Product),AND(S1551&gt;=m_From,S1551&lt;=m_To)),1,0)</f>
        <v/>
      </c>
      <c r="X1551" s="36">
        <f>IF(AND(OR(sel_Region="All",C1551=sel_Region),OR(sel_Country="All",D1551=sel_Country),OR(sel_Channel="All",E1551=sel_Channel),OR(sel_Category="All",G1551=sel_Category),OR(sel_Product="All",H1551=sel_Product),AND(S1551&gt;=m_From,S1551&lt;=m_To)),1,0)</f>
        <v/>
      </c>
      <c r="Y1551" s="36">
        <f>IF(AND(OR(sel_Region="All",C1551=sel_Region),OR(sel_Country="All",D1551=sel_Country),OR(sel_Channel="All",E1551=sel_Channel),OR(sel_Customer="All",F1551=sel_Customer),OR(sel_Product="All",H1551=sel_Product),AND(S1551&gt;=m_From,S1551&lt;=m_To)),1,0)</f>
        <v/>
      </c>
      <c r="Z1551" s="36">
        <f>IF(AND(OR(sel_Region="All",C1551=sel_Region),OR(sel_Country="All",D1551=sel_Country),OR(sel_Channel="All",E1551=sel_Channel),OR(sel_Customer="All",F1551=sel_Customer),OR(sel_Category="All",G1551=sel_Category),AND(S1551&gt;=m_From,S1551&lt;=m_To)),1,0)</f>
        <v/>
      </c>
      <c r="AA1551" s="36">
        <f>IF(AND(OR(sel_Region="All",C1551=sel_Region),OR(sel_Country="All",D1551=sel_Country),OR(sel_Channel="All",E1551=sel_Channel),OR(sel_Customer="All",F1551=sel_Customer),OR(sel_Category="All",G1551=sel_Category),OR(sel_Product="All",H1551=sel_Product)),1,0)</f>
        <v/>
      </c>
    </row>
    <row r="1552">
      <c r="A1552" s="36" t="inlineStr">
        <is>
          <t>01187</t>
        </is>
      </c>
      <c r="B1552" s="44" t="n">
        <v>46237</v>
      </c>
      <c r="C1552" s="36" t="inlineStr">
        <is>
          <t>Southern Europe</t>
        </is>
      </c>
      <c r="D1552" s="36" t="inlineStr">
        <is>
          <t>Spain</t>
        </is>
      </c>
      <c r="E1552" s="36" t="inlineStr">
        <is>
          <t>Online Store</t>
        </is>
      </c>
      <c r="F1552" s="36" t="inlineStr">
        <is>
          <t>Returning</t>
        </is>
      </c>
      <c r="G1552" s="36" t="inlineStr">
        <is>
          <t>Travel</t>
        </is>
      </c>
      <c r="H1552" s="36" t="inlineStr">
        <is>
          <t>Packing Cube Set</t>
        </is>
      </c>
      <c r="I1552" s="36" t="n">
        <v>2</v>
      </c>
      <c r="J1552" s="39" t="n">
        <v>45.45</v>
      </c>
      <c r="K1552" s="45" t="n">
        <v>0.05</v>
      </c>
      <c r="L1552" s="39" t="n">
        <v>18.83</v>
      </c>
      <c r="M1552" s="39">
        <f>I1552*J1552*(1-K1552)</f>
        <v/>
      </c>
      <c r="N1552" s="39">
        <f>I1552*L1552</f>
        <v/>
      </c>
      <c r="O1552" s="39">
        <f>M1552-N1552</f>
        <v/>
      </c>
      <c r="P1552" s="38">
        <f>IF(M1552=0,0,O1552/M1552)</f>
        <v/>
      </c>
      <c r="Q1552" s="36">
        <f>YEAR(B1552)</f>
        <v/>
      </c>
      <c r="R1552" s="36">
        <f>"Q"&amp;ROUNDUP(MONTH(B1552)/3,0)</f>
        <v/>
      </c>
      <c r="S1552" s="36">
        <f>MONTH(B1552)</f>
        <v/>
      </c>
      <c r="T1552" s="36">
        <f>TEXT(B1552,"mmm")</f>
        <v/>
      </c>
      <c r="U1552" s="36">
        <f>IF(AND(OR(sel_Region="All",C1552=sel_Region),OR(sel_Country="All",D1552=sel_Country),OR(sel_Channel="All",E1552=sel_Channel),OR(sel_Customer="All",F1552=sel_Customer),OR(sel_Category="All",G1552=sel_Category),OR(sel_Product="All",H1552=sel_Product),AND(S1552&gt;=m_From,S1552&lt;=m_To)),1,0)</f>
        <v/>
      </c>
      <c r="V1552" s="36">
        <f>IF(AND(OR(sel_Region="All",C1552=sel_Region),OR(sel_Channel="All",E1552=sel_Channel),OR(sel_Customer="All",F1552=sel_Customer),OR(sel_Category="All",G1552=sel_Category),OR(sel_Product="All",H1552=sel_Product),AND(S1552&gt;=m_From,S1552&lt;=m_To)),1,0)</f>
        <v/>
      </c>
      <c r="W1552" s="36">
        <f>IF(AND(OR(sel_Region="All",C1552=sel_Region),OR(sel_Country="All",D1552=sel_Country),OR(sel_Customer="All",F1552=sel_Customer),OR(sel_Category="All",G1552=sel_Category),OR(sel_Product="All",H1552=sel_Product),AND(S1552&gt;=m_From,S1552&lt;=m_To)),1,0)</f>
        <v/>
      </c>
      <c r="X1552" s="36">
        <f>IF(AND(OR(sel_Region="All",C1552=sel_Region),OR(sel_Country="All",D1552=sel_Country),OR(sel_Channel="All",E1552=sel_Channel),OR(sel_Category="All",G1552=sel_Category),OR(sel_Product="All",H1552=sel_Product),AND(S1552&gt;=m_From,S1552&lt;=m_To)),1,0)</f>
        <v/>
      </c>
      <c r="Y1552" s="36">
        <f>IF(AND(OR(sel_Region="All",C1552=sel_Region),OR(sel_Country="All",D1552=sel_Country),OR(sel_Channel="All",E1552=sel_Channel),OR(sel_Customer="All",F1552=sel_Customer),OR(sel_Product="All",H1552=sel_Product),AND(S1552&gt;=m_From,S1552&lt;=m_To)),1,0)</f>
        <v/>
      </c>
      <c r="Z1552" s="36">
        <f>IF(AND(OR(sel_Region="All",C1552=sel_Region),OR(sel_Country="All",D1552=sel_Country),OR(sel_Channel="All",E1552=sel_Channel),OR(sel_Customer="All",F1552=sel_Customer),OR(sel_Category="All",G1552=sel_Category),AND(S1552&gt;=m_From,S1552&lt;=m_To)),1,0)</f>
        <v/>
      </c>
      <c r="AA1552" s="36">
        <f>IF(AND(OR(sel_Region="All",C1552=sel_Region),OR(sel_Country="All",D1552=sel_Country),OR(sel_Channel="All",E1552=sel_Channel),OR(sel_Customer="All",F1552=sel_Customer),OR(sel_Category="All",G1552=sel_Category),OR(sel_Product="All",H1552=sel_Product)),1,0)</f>
        <v/>
      </c>
    </row>
    <row r="1553">
      <c r="A1553" s="36" t="inlineStr">
        <is>
          <t>01915</t>
        </is>
      </c>
      <c r="B1553" s="44" t="n">
        <v>46237</v>
      </c>
      <c r="C1553" s="36" t="inlineStr">
        <is>
          <t>Central Europe</t>
        </is>
      </c>
      <c r="D1553" s="36" t="inlineStr">
        <is>
          <t>Austria</t>
        </is>
      </c>
      <c r="E1553" s="36" t="inlineStr">
        <is>
          <t>Online Store</t>
        </is>
      </c>
      <c r="F1553" s="36" t="inlineStr">
        <is>
          <t>Returning</t>
        </is>
      </c>
      <c r="G1553" s="36" t="inlineStr">
        <is>
          <t>Cycling</t>
        </is>
      </c>
      <c r="H1553" s="36" t="inlineStr">
        <is>
          <t>Compact Repair Kit</t>
        </is>
      </c>
      <c r="I1553" s="36" t="n">
        <v>1</v>
      </c>
      <c r="J1553" s="39" t="n">
        <v>41.16</v>
      </c>
      <c r="K1553" s="45" t="n">
        <v>0.05</v>
      </c>
      <c r="L1553" s="39" t="n">
        <v>16.66</v>
      </c>
      <c r="M1553" s="39">
        <f>I1553*J1553*(1-K1553)</f>
        <v/>
      </c>
      <c r="N1553" s="39">
        <f>I1553*L1553</f>
        <v/>
      </c>
      <c r="O1553" s="39">
        <f>M1553-N1553</f>
        <v/>
      </c>
      <c r="P1553" s="38">
        <f>IF(M1553=0,0,O1553/M1553)</f>
        <v/>
      </c>
      <c r="Q1553" s="36">
        <f>YEAR(B1553)</f>
        <v/>
      </c>
      <c r="R1553" s="36">
        <f>"Q"&amp;ROUNDUP(MONTH(B1553)/3,0)</f>
        <v/>
      </c>
      <c r="S1553" s="36">
        <f>MONTH(B1553)</f>
        <v/>
      </c>
      <c r="T1553" s="36">
        <f>TEXT(B1553,"mmm")</f>
        <v/>
      </c>
      <c r="U1553" s="36">
        <f>IF(AND(OR(sel_Region="All",C1553=sel_Region),OR(sel_Country="All",D1553=sel_Country),OR(sel_Channel="All",E1553=sel_Channel),OR(sel_Customer="All",F1553=sel_Customer),OR(sel_Category="All",G1553=sel_Category),OR(sel_Product="All",H1553=sel_Product),AND(S1553&gt;=m_From,S1553&lt;=m_To)),1,0)</f>
        <v/>
      </c>
      <c r="V1553" s="36">
        <f>IF(AND(OR(sel_Region="All",C1553=sel_Region),OR(sel_Channel="All",E1553=sel_Channel),OR(sel_Customer="All",F1553=sel_Customer),OR(sel_Category="All",G1553=sel_Category),OR(sel_Product="All",H1553=sel_Product),AND(S1553&gt;=m_From,S1553&lt;=m_To)),1,0)</f>
        <v/>
      </c>
      <c r="W1553" s="36">
        <f>IF(AND(OR(sel_Region="All",C1553=sel_Region),OR(sel_Country="All",D1553=sel_Country),OR(sel_Customer="All",F1553=sel_Customer),OR(sel_Category="All",G1553=sel_Category),OR(sel_Product="All",H1553=sel_Product),AND(S1553&gt;=m_From,S1553&lt;=m_To)),1,0)</f>
        <v/>
      </c>
      <c r="X1553" s="36">
        <f>IF(AND(OR(sel_Region="All",C1553=sel_Region),OR(sel_Country="All",D1553=sel_Country),OR(sel_Channel="All",E1553=sel_Channel),OR(sel_Category="All",G1553=sel_Category),OR(sel_Product="All",H1553=sel_Product),AND(S1553&gt;=m_From,S1553&lt;=m_To)),1,0)</f>
        <v/>
      </c>
      <c r="Y1553" s="36">
        <f>IF(AND(OR(sel_Region="All",C1553=sel_Region),OR(sel_Country="All",D1553=sel_Country),OR(sel_Channel="All",E1553=sel_Channel),OR(sel_Customer="All",F1553=sel_Customer),OR(sel_Product="All",H1553=sel_Product),AND(S1553&gt;=m_From,S1553&lt;=m_To)),1,0)</f>
        <v/>
      </c>
      <c r="Z1553" s="36">
        <f>IF(AND(OR(sel_Region="All",C1553=sel_Region),OR(sel_Country="All",D1553=sel_Country),OR(sel_Channel="All",E1553=sel_Channel),OR(sel_Customer="All",F1553=sel_Customer),OR(sel_Category="All",G1553=sel_Category),AND(S1553&gt;=m_From,S1553&lt;=m_To)),1,0)</f>
        <v/>
      </c>
      <c r="AA1553" s="36">
        <f>IF(AND(OR(sel_Region="All",C1553=sel_Region),OR(sel_Country="All",D1553=sel_Country),OR(sel_Channel="All",E1553=sel_Channel),OR(sel_Customer="All",F1553=sel_Customer),OR(sel_Category="All",G1553=sel_Category),OR(sel_Product="All",H1553=sel_Product)),1,0)</f>
        <v/>
      </c>
    </row>
    <row r="1554">
      <c r="A1554" s="36" t="inlineStr">
        <is>
          <t>02156</t>
        </is>
      </c>
      <c r="B1554" s="44" t="n">
        <v>46237</v>
      </c>
      <c r="C1554" s="36" t="inlineStr">
        <is>
          <t>Southern Europe</t>
        </is>
      </c>
      <c r="D1554" s="36" t="inlineStr">
        <is>
          <t>Spain</t>
        </is>
      </c>
      <c r="E1554" s="36" t="inlineStr">
        <is>
          <t>Retail Partners</t>
        </is>
      </c>
      <c r="F1554" s="36" t="inlineStr">
        <is>
          <t>Returning</t>
        </is>
      </c>
      <c r="G1554" s="36" t="inlineStr">
        <is>
          <t>Travel</t>
        </is>
      </c>
      <c r="H1554" s="36" t="inlineStr">
        <is>
          <t>Travel Backpack 35L</t>
        </is>
      </c>
      <c r="I1554" s="36" t="n">
        <v>1</v>
      </c>
      <c r="J1554" s="39" t="n">
        <v>162.78</v>
      </c>
      <c r="K1554" s="45" t="n">
        <v>0</v>
      </c>
      <c r="L1554" s="39" t="n">
        <v>85.08</v>
      </c>
      <c r="M1554" s="39">
        <f>I1554*J1554*(1-K1554)</f>
        <v/>
      </c>
      <c r="N1554" s="39">
        <f>I1554*L1554</f>
        <v/>
      </c>
      <c r="O1554" s="39">
        <f>M1554-N1554</f>
        <v/>
      </c>
      <c r="P1554" s="38">
        <f>IF(M1554=0,0,O1554/M1554)</f>
        <v/>
      </c>
      <c r="Q1554" s="36">
        <f>YEAR(B1554)</f>
        <v/>
      </c>
      <c r="R1554" s="36">
        <f>"Q"&amp;ROUNDUP(MONTH(B1554)/3,0)</f>
        <v/>
      </c>
      <c r="S1554" s="36">
        <f>MONTH(B1554)</f>
        <v/>
      </c>
      <c r="T1554" s="36">
        <f>TEXT(B1554,"mmm")</f>
        <v/>
      </c>
      <c r="U1554" s="36">
        <f>IF(AND(OR(sel_Region="All",C1554=sel_Region),OR(sel_Country="All",D1554=sel_Country),OR(sel_Channel="All",E1554=sel_Channel),OR(sel_Customer="All",F1554=sel_Customer),OR(sel_Category="All",G1554=sel_Category),OR(sel_Product="All",H1554=sel_Product),AND(S1554&gt;=m_From,S1554&lt;=m_To)),1,0)</f>
        <v/>
      </c>
      <c r="V1554" s="36">
        <f>IF(AND(OR(sel_Region="All",C1554=sel_Region),OR(sel_Channel="All",E1554=sel_Channel),OR(sel_Customer="All",F1554=sel_Customer),OR(sel_Category="All",G1554=sel_Category),OR(sel_Product="All",H1554=sel_Product),AND(S1554&gt;=m_From,S1554&lt;=m_To)),1,0)</f>
        <v/>
      </c>
      <c r="W1554" s="36">
        <f>IF(AND(OR(sel_Region="All",C1554=sel_Region),OR(sel_Country="All",D1554=sel_Country),OR(sel_Customer="All",F1554=sel_Customer),OR(sel_Category="All",G1554=sel_Category),OR(sel_Product="All",H1554=sel_Product),AND(S1554&gt;=m_From,S1554&lt;=m_To)),1,0)</f>
        <v/>
      </c>
      <c r="X1554" s="36">
        <f>IF(AND(OR(sel_Region="All",C1554=sel_Region),OR(sel_Country="All",D1554=sel_Country),OR(sel_Channel="All",E1554=sel_Channel),OR(sel_Category="All",G1554=sel_Category),OR(sel_Product="All",H1554=sel_Product),AND(S1554&gt;=m_From,S1554&lt;=m_To)),1,0)</f>
        <v/>
      </c>
      <c r="Y1554" s="36">
        <f>IF(AND(OR(sel_Region="All",C1554=sel_Region),OR(sel_Country="All",D1554=sel_Country),OR(sel_Channel="All",E1554=sel_Channel),OR(sel_Customer="All",F1554=sel_Customer),OR(sel_Product="All",H1554=sel_Product),AND(S1554&gt;=m_From,S1554&lt;=m_To)),1,0)</f>
        <v/>
      </c>
      <c r="Z1554" s="36">
        <f>IF(AND(OR(sel_Region="All",C1554=sel_Region),OR(sel_Country="All",D1554=sel_Country),OR(sel_Channel="All",E1554=sel_Channel),OR(sel_Customer="All",F1554=sel_Customer),OR(sel_Category="All",G1554=sel_Category),AND(S1554&gt;=m_From,S1554&lt;=m_To)),1,0)</f>
        <v/>
      </c>
      <c r="AA1554" s="36">
        <f>IF(AND(OR(sel_Region="All",C1554=sel_Region),OR(sel_Country="All",D1554=sel_Country),OR(sel_Channel="All",E1554=sel_Channel),OR(sel_Customer="All",F1554=sel_Customer),OR(sel_Category="All",G1554=sel_Category),OR(sel_Product="All",H1554=sel_Product)),1,0)</f>
        <v/>
      </c>
    </row>
    <row r="1555">
      <c r="A1555" s="36" t="inlineStr">
        <is>
          <t>02539</t>
        </is>
      </c>
      <c r="B1555" s="44" t="n">
        <v>46237</v>
      </c>
      <c r="C1555" s="36" t="inlineStr">
        <is>
          <t>Northern Europe</t>
        </is>
      </c>
      <c r="D1555" s="36" t="inlineStr">
        <is>
          <t>Norway</t>
        </is>
      </c>
      <c r="E1555" s="36" t="inlineStr">
        <is>
          <t>Retail Partners</t>
        </is>
      </c>
      <c r="F1555" s="36" t="inlineStr">
        <is>
          <t>New</t>
        </is>
      </c>
      <c r="G1555" s="36" t="inlineStr">
        <is>
          <t>Cycling</t>
        </is>
      </c>
      <c r="H1555" s="36" t="inlineStr">
        <is>
          <t>Commuter Helmet</t>
        </is>
      </c>
      <c r="I1555" s="36" t="n">
        <v>1</v>
      </c>
      <c r="J1555" s="39" t="n">
        <v>80.04000000000001</v>
      </c>
      <c r="K1555" s="45" t="n">
        <v>0.1</v>
      </c>
      <c r="L1555" s="39" t="n">
        <v>41.88</v>
      </c>
      <c r="M1555" s="39">
        <f>I1555*J1555*(1-K1555)</f>
        <v/>
      </c>
      <c r="N1555" s="39">
        <f>I1555*L1555</f>
        <v/>
      </c>
      <c r="O1555" s="39">
        <f>M1555-N1555</f>
        <v/>
      </c>
      <c r="P1555" s="38">
        <f>IF(M1555=0,0,O1555/M1555)</f>
        <v/>
      </c>
      <c r="Q1555" s="36">
        <f>YEAR(B1555)</f>
        <v/>
      </c>
      <c r="R1555" s="36">
        <f>"Q"&amp;ROUNDUP(MONTH(B1555)/3,0)</f>
        <v/>
      </c>
      <c r="S1555" s="36">
        <f>MONTH(B1555)</f>
        <v/>
      </c>
      <c r="T1555" s="36">
        <f>TEXT(B1555,"mmm")</f>
        <v/>
      </c>
      <c r="U1555" s="36">
        <f>IF(AND(OR(sel_Region="All",C1555=sel_Region),OR(sel_Country="All",D1555=sel_Country),OR(sel_Channel="All",E1555=sel_Channel),OR(sel_Customer="All",F1555=sel_Customer),OR(sel_Category="All",G1555=sel_Category),OR(sel_Product="All",H1555=sel_Product),AND(S1555&gt;=m_From,S1555&lt;=m_To)),1,0)</f>
        <v/>
      </c>
      <c r="V1555" s="36">
        <f>IF(AND(OR(sel_Region="All",C1555=sel_Region),OR(sel_Channel="All",E1555=sel_Channel),OR(sel_Customer="All",F1555=sel_Customer),OR(sel_Category="All",G1555=sel_Category),OR(sel_Product="All",H1555=sel_Product),AND(S1555&gt;=m_From,S1555&lt;=m_To)),1,0)</f>
        <v/>
      </c>
      <c r="W1555" s="36">
        <f>IF(AND(OR(sel_Region="All",C1555=sel_Region),OR(sel_Country="All",D1555=sel_Country),OR(sel_Customer="All",F1555=sel_Customer),OR(sel_Category="All",G1555=sel_Category),OR(sel_Product="All",H1555=sel_Product),AND(S1555&gt;=m_From,S1555&lt;=m_To)),1,0)</f>
        <v/>
      </c>
      <c r="X1555" s="36">
        <f>IF(AND(OR(sel_Region="All",C1555=sel_Region),OR(sel_Country="All",D1555=sel_Country),OR(sel_Channel="All",E1555=sel_Channel),OR(sel_Category="All",G1555=sel_Category),OR(sel_Product="All",H1555=sel_Product),AND(S1555&gt;=m_From,S1555&lt;=m_To)),1,0)</f>
        <v/>
      </c>
      <c r="Y1555" s="36">
        <f>IF(AND(OR(sel_Region="All",C1555=sel_Region),OR(sel_Country="All",D1555=sel_Country),OR(sel_Channel="All",E1555=sel_Channel),OR(sel_Customer="All",F1555=sel_Customer),OR(sel_Product="All",H1555=sel_Product),AND(S1555&gt;=m_From,S1555&lt;=m_To)),1,0)</f>
        <v/>
      </c>
      <c r="Z1555" s="36">
        <f>IF(AND(OR(sel_Region="All",C1555=sel_Region),OR(sel_Country="All",D1555=sel_Country),OR(sel_Channel="All",E1555=sel_Channel),OR(sel_Customer="All",F1555=sel_Customer),OR(sel_Category="All",G1555=sel_Category),AND(S1555&gt;=m_From,S1555&lt;=m_To)),1,0)</f>
        <v/>
      </c>
      <c r="AA1555" s="36">
        <f>IF(AND(OR(sel_Region="All",C1555=sel_Region),OR(sel_Country="All",D1555=sel_Country),OR(sel_Channel="All",E1555=sel_Channel),OR(sel_Customer="All",F1555=sel_Customer),OR(sel_Category="All",G1555=sel_Category),OR(sel_Product="All",H1555=sel_Product)),1,0)</f>
        <v/>
      </c>
    </row>
    <row r="1556">
      <c r="A1556" s="36" t="inlineStr">
        <is>
          <t>03803</t>
        </is>
      </c>
      <c r="B1556" s="44" t="n">
        <v>46237</v>
      </c>
      <c r="C1556" s="36" t="inlineStr">
        <is>
          <t>Northern Europe</t>
        </is>
      </c>
      <c r="D1556" s="36" t="inlineStr">
        <is>
          <t>Denmark</t>
        </is>
      </c>
      <c r="E1556" s="36" t="inlineStr">
        <is>
          <t>Online Store</t>
        </is>
      </c>
      <c r="F1556" s="36" t="inlineStr">
        <is>
          <t>New</t>
        </is>
      </c>
      <c r="G1556" s="36" t="inlineStr">
        <is>
          <t>Hiking</t>
        </is>
      </c>
      <c r="H1556" s="36" t="inlineStr">
        <is>
          <t>Hiking Daypack 20L</t>
        </is>
      </c>
      <c r="I1556" s="36" t="n">
        <v>1</v>
      </c>
      <c r="J1556" s="39" t="n">
        <v>90.20999999999999</v>
      </c>
      <c r="K1556" s="45" t="n">
        <v>0</v>
      </c>
      <c r="L1556" s="39" t="n">
        <v>46.31</v>
      </c>
      <c r="M1556" s="39">
        <f>I1556*J1556*(1-K1556)</f>
        <v/>
      </c>
      <c r="N1556" s="39">
        <f>I1556*L1556</f>
        <v/>
      </c>
      <c r="O1556" s="39">
        <f>M1556-N1556</f>
        <v/>
      </c>
      <c r="P1556" s="38">
        <f>IF(M1556=0,0,O1556/M1556)</f>
        <v/>
      </c>
      <c r="Q1556" s="36">
        <f>YEAR(B1556)</f>
        <v/>
      </c>
      <c r="R1556" s="36">
        <f>"Q"&amp;ROUNDUP(MONTH(B1556)/3,0)</f>
        <v/>
      </c>
      <c r="S1556" s="36">
        <f>MONTH(B1556)</f>
        <v/>
      </c>
      <c r="T1556" s="36">
        <f>TEXT(B1556,"mmm")</f>
        <v/>
      </c>
      <c r="U1556" s="36">
        <f>IF(AND(OR(sel_Region="All",C1556=sel_Region),OR(sel_Country="All",D1556=sel_Country),OR(sel_Channel="All",E1556=sel_Channel),OR(sel_Customer="All",F1556=sel_Customer),OR(sel_Category="All",G1556=sel_Category),OR(sel_Product="All",H1556=sel_Product),AND(S1556&gt;=m_From,S1556&lt;=m_To)),1,0)</f>
        <v/>
      </c>
      <c r="V1556" s="36">
        <f>IF(AND(OR(sel_Region="All",C1556=sel_Region),OR(sel_Channel="All",E1556=sel_Channel),OR(sel_Customer="All",F1556=sel_Customer),OR(sel_Category="All",G1556=sel_Category),OR(sel_Product="All",H1556=sel_Product),AND(S1556&gt;=m_From,S1556&lt;=m_To)),1,0)</f>
        <v/>
      </c>
      <c r="W1556" s="36">
        <f>IF(AND(OR(sel_Region="All",C1556=sel_Region),OR(sel_Country="All",D1556=sel_Country),OR(sel_Customer="All",F1556=sel_Customer),OR(sel_Category="All",G1556=sel_Category),OR(sel_Product="All",H1556=sel_Product),AND(S1556&gt;=m_From,S1556&lt;=m_To)),1,0)</f>
        <v/>
      </c>
      <c r="X1556" s="36">
        <f>IF(AND(OR(sel_Region="All",C1556=sel_Region),OR(sel_Country="All",D1556=sel_Country),OR(sel_Channel="All",E1556=sel_Channel),OR(sel_Category="All",G1556=sel_Category),OR(sel_Product="All",H1556=sel_Product),AND(S1556&gt;=m_From,S1556&lt;=m_To)),1,0)</f>
        <v/>
      </c>
      <c r="Y1556" s="36">
        <f>IF(AND(OR(sel_Region="All",C1556=sel_Region),OR(sel_Country="All",D1556=sel_Country),OR(sel_Channel="All",E1556=sel_Channel),OR(sel_Customer="All",F1556=sel_Customer),OR(sel_Product="All",H1556=sel_Product),AND(S1556&gt;=m_From,S1556&lt;=m_To)),1,0)</f>
        <v/>
      </c>
      <c r="Z1556" s="36">
        <f>IF(AND(OR(sel_Region="All",C1556=sel_Region),OR(sel_Country="All",D1556=sel_Country),OR(sel_Channel="All",E1556=sel_Channel),OR(sel_Customer="All",F1556=sel_Customer),OR(sel_Category="All",G1556=sel_Category),AND(S1556&gt;=m_From,S1556&lt;=m_To)),1,0)</f>
        <v/>
      </c>
      <c r="AA1556" s="36">
        <f>IF(AND(OR(sel_Region="All",C1556=sel_Region),OR(sel_Country="All",D1556=sel_Country),OR(sel_Channel="All",E1556=sel_Channel),OR(sel_Customer="All",F1556=sel_Customer),OR(sel_Category="All",G1556=sel_Category),OR(sel_Product="All",H1556=sel_Product)),1,0)</f>
        <v/>
      </c>
    </row>
    <row r="1557">
      <c r="A1557" s="36" t="inlineStr">
        <is>
          <t>00100</t>
        </is>
      </c>
      <c r="B1557" s="44" t="n">
        <v>46238</v>
      </c>
      <c r="C1557" s="36" t="inlineStr">
        <is>
          <t>Southern Europe</t>
        </is>
      </c>
      <c r="D1557" s="36" t="inlineStr">
        <is>
          <t>Portugal</t>
        </is>
      </c>
      <c r="E1557" s="36" t="inlineStr">
        <is>
          <t>Retail Partners</t>
        </is>
      </c>
      <c r="F1557" s="36" t="inlineStr">
        <is>
          <t>Business</t>
        </is>
      </c>
      <c r="G1557" s="36" t="inlineStr">
        <is>
          <t>Travel</t>
        </is>
      </c>
      <c r="H1557" s="36" t="inlineStr">
        <is>
          <t>Carry-On Duffel</t>
        </is>
      </c>
      <c r="I1557" s="36" t="n">
        <v>1</v>
      </c>
      <c r="J1557" s="39" t="n">
        <v>133.6</v>
      </c>
      <c r="K1557" s="45" t="n">
        <v>0.1</v>
      </c>
      <c r="L1557" s="39" t="n">
        <v>67.3</v>
      </c>
      <c r="M1557" s="39">
        <f>I1557*J1557*(1-K1557)</f>
        <v/>
      </c>
      <c r="N1557" s="39">
        <f>I1557*L1557</f>
        <v/>
      </c>
      <c r="O1557" s="39">
        <f>M1557-N1557</f>
        <v/>
      </c>
      <c r="P1557" s="38">
        <f>IF(M1557=0,0,O1557/M1557)</f>
        <v/>
      </c>
      <c r="Q1557" s="36">
        <f>YEAR(B1557)</f>
        <v/>
      </c>
      <c r="R1557" s="36">
        <f>"Q"&amp;ROUNDUP(MONTH(B1557)/3,0)</f>
        <v/>
      </c>
      <c r="S1557" s="36">
        <f>MONTH(B1557)</f>
        <v/>
      </c>
      <c r="T1557" s="36">
        <f>TEXT(B1557,"mmm")</f>
        <v/>
      </c>
      <c r="U1557" s="36">
        <f>IF(AND(OR(sel_Region="All",C1557=sel_Region),OR(sel_Country="All",D1557=sel_Country),OR(sel_Channel="All",E1557=sel_Channel),OR(sel_Customer="All",F1557=sel_Customer),OR(sel_Category="All",G1557=sel_Category),OR(sel_Product="All",H1557=sel_Product),AND(S1557&gt;=m_From,S1557&lt;=m_To)),1,0)</f>
        <v/>
      </c>
      <c r="V1557" s="36">
        <f>IF(AND(OR(sel_Region="All",C1557=sel_Region),OR(sel_Channel="All",E1557=sel_Channel),OR(sel_Customer="All",F1557=sel_Customer),OR(sel_Category="All",G1557=sel_Category),OR(sel_Product="All",H1557=sel_Product),AND(S1557&gt;=m_From,S1557&lt;=m_To)),1,0)</f>
        <v/>
      </c>
      <c r="W1557" s="36">
        <f>IF(AND(OR(sel_Region="All",C1557=sel_Region),OR(sel_Country="All",D1557=sel_Country),OR(sel_Customer="All",F1557=sel_Customer),OR(sel_Category="All",G1557=sel_Category),OR(sel_Product="All",H1557=sel_Product),AND(S1557&gt;=m_From,S1557&lt;=m_To)),1,0)</f>
        <v/>
      </c>
      <c r="X1557" s="36">
        <f>IF(AND(OR(sel_Region="All",C1557=sel_Region),OR(sel_Country="All",D1557=sel_Country),OR(sel_Channel="All",E1557=sel_Channel),OR(sel_Category="All",G1557=sel_Category),OR(sel_Product="All",H1557=sel_Product),AND(S1557&gt;=m_From,S1557&lt;=m_To)),1,0)</f>
        <v/>
      </c>
      <c r="Y1557" s="36">
        <f>IF(AND(OR(sel_Region="All",C1557=sel_Region),OR(sel_Country="All",D1557=sel_Country),OR(sel_Channel="All",E1557=sel_Channel),OR(sel_Customer="All",F1557=sel_Customer),OR(sel_Product="All",H1557=sel_Product),AND(S1557&gt;=m_From,S1557&lt;=m_To)),1,0)</f>
        <v/>
      </c>
      <c r="Z1557" s="36">
        <f>IF(AND(OR(sel_Region="All",C1557=sel_Region),OR(sel_Country="All",D1557=sel_Country),OR(sel_Channel="All",E1557=sel_Channel),OR(sel_Customer="All",F1557=sel_Customer),OR(sel_Category="All",G1557=sel_Category),AND(S1557&gt;=m_From,S1557&lt;=m_To)),1,0)</f>
        <v/>
      </c>
      <c r="AA1557" s="36">
        <f>IF(AND(OR(sel_Region="All",C1557=sel_Region),OR(sel_Country="All",D1557=sel_Country),OR(sel_Channel="All",E1557=sel_Channel),OR(sel_Customer="All",F1557=sel_Customer),OR(sel_Category="All",G1557=sel_Category),OR(sel_Product="All",H1557=sel_Product)),1,0)</f>
        <v/>
      </c>
    </row>
    <row r="1558">
      <c r="A1558" s="36" t="inlineStr">
        <is>
          <t>00118</t>
        </is>
      </c>
      <c r="B1558" s="44" t="n">
        <v>46238</v>
      </c>
      <c r="C1558" s="36" t="inlineStr">
        <is>
          <t>Western Europe</t>
        </is>
      </c>
      <c r="D1558" s="36" t="inlineStr">
        <is>
          <t>Belgium</t>
        </is>
      </c>
      <c r="E1558" s="36" t="inlineStr">
        <is>
          <t>Online Store</t>
        </is>
      </c>
      <c r="F1558" s="36" t="inlineStr">
        <is>
          <t>Returning</t>
        </is>
      </c>
      <c r="G1558" s="36" t="inlineStr">
        <is>
          <t>Travel</t>
        </is>
      </c>
      <c r="H1558" s="36" t="inlineStr">
        <is>
          <t>Packing Cube Set</t>
        </is>
      </c>
      <c r="I1558" s="36" t="n">
        <v>1</v>
      </c>
      <c r="J1558" s="39" t="n">
        <v>47.53</v>
      </c>
      <c r="K1558" s="45" t="n">
        <v>0</v>
      </c>
      <c r="L1558" s="39" t="n">
        <v>18.04</v>
      </c>
      <c r="M1558" s="39">
        <f>I1558*J1558*(1-K1558)</f>
        <v/>
      </c>
      <c r="N1558" s="39">
        <f>I1558*L1558</f>
        <v/>
      </c>
      <c r="O1558" s="39">
        <f>M1558-N1558</f>
        <v/>
      </c>
      <c r="P1558" s="38">
        <f>IF(M1558=0,0,O1558/M1558)</f>
        <v/>
      </c>
      <c r="Q1558" s="36">
        <f>YEAR(B1558)</f>
        <v/>
      </c>
      <c r="R1558" s="36">
        <f>"Q"&amp;ROUNDUP(MONTH(B1558)/3,0)</f>
        <v/>
      </c>
      <c r="S1558" s="36">
        <f>MONTH(B1558)</f>
        <v/>
      </c>
      <c r="T1558" s="36">
        <f>TEXT(B1558,"mmm")</f>
        <v/>
      </c>
      <c r="U1558" s="36">
        <f>IF(AND(OR(sel_Region="All",C1558=sel_Region),OR(sel_Country="All",D1558=sel_Country),OR(sel_Channel="All",E1558=sel_Channel),OR(sel_Customer="All",F1558=sel_Customer),OR(sel_Category="All",G1558=sel_Category),OR(sel_Product="All",H1558=sel_Product),AND(S1558&gt;=m_From,S1558&lt;=m_To)),1,0)</f>
        <v/>
      </c>
      <c r="V1558" s="36">
        <f>IF(AND(OR(sel_Region="All",C1558=sel_Region),OR(sel_Channel="All",E1558=sel_Channel),OR(sel_Customer="All",F1558=sel_Customer),OR(sel_Category="All",G1558=sel_Category),OR(sel_Product="All",H1558=sel_Product),AND(S1558&gt;=m_From,S1558&lt;=m_To)),1,0)</f>
        <v/>
      </c>
      <c r="W1558" s="36">
        <f>IF(AND(OR(sel_Region="All",C1558=sel_Region),OR(sel_Country="All",D1558=sel_Country),OR(sel_Customer="All",F1558=sel_Customer),OR(sel_Category="All",G1558=sel_Category),OR(sel_Product="All",H1558=sel_Product),AND(S1558&gt;=m_From,S1558&lt;=m_To)),1,0)</f>
        <v/>
      </c>
      <c r="X1558" s="36">
        <f>IF(AND(OR(sel_Region="All",C1558=sel_Region),OR(sel_Country="All",D1558=sel_Country),OR(sel_Channel="All",E1558=sel_Channel),OR(sel_Category="All",G1558=sel_Category),OR(sel_Product="All",H1558=sel_Product),AND(S1558&gt;=m_From,S1558&lt;=m_To)),1,0)</f>
        <v/>
      </c>
      <c r="Y1558" s="36">
        <f>IF(AND(OR(sel_Region="All",C1558=sel_Region),OR(sel_Country="All",D1558=sel_Country),OR(sel_Channel="All",E1558=sel_Channel),OR(sel_Customer="All",F1558=sel_Customer),OR(sel_Product="All",H1558=sel_Product),AND(S1558&gt;=m_From,S1558&lt;=m_To)),1,0)</f>
        <v/>
      </c>
      <c r="Z1558" s="36">
        <f>IF(AND(OR(sel_Region="All",C1558=sel_Region),OR(sel_Country="All",D1558=sel_Country),OR(sel_Channel="All",E1558=sel_Channel),OR(sel_Customer="All",F1558=sel_Customer),OR(sel_Category="All",G1558=sel_Category),AND(S1558&gt;=m_From,S1558&lt;=m_To)),1,0)</f>
        <v/>
      </c>
      <c r="AA1558" s="36">
        <f>IF(AND(OR(sel_Region="All",C1558=sel_Region),OR(sel_Country="All",D1558=sel_Country),OR(sel_Channel="All",E1558=sel_Channel),OR(sel_Customer="All",F1558=sel_Customer),OR(sel_Category="All",G1558=sel_Category),OR(sel_Product="All",H1558=sel_Product)),1,0)</f>
        <v/>
      </c>
    </row>
    <row r="1559">
      <c r="A1559" s="36" t="inlineStr">
        <is>
          <t>00220</t>
        </is>
      </c>
      <c r="B1559" s="44" t="n">
        <v>46238</v>
      </c>
      <c r="C1559" s="36" t="inlineStr">
        <is>
          <t>Southern Europe</t>
        </is>
      </c>
      <c r="D1559" s="36" t="inlineStr">
        <is>
          <t>Italy</t>
        </is>
      </c>
      <c r="E1559" s="36" t="inlineStr">
        <is>
          <t>Online Store</t>
        </is>
      </c>
      <c r="F1559" s="36" t="inlineStr">
        <is>
          <t>Returning</t>
        </is>
      </c>
      <c r="G1559" s="36" t="inlineStr">
        <is>
          <t>Travel</t>
        </is>
      </c>
      <c r="H1559" s="36" t="inlineStr">
        <is>
          <t>Packing Cube Set</t>
        </is>
      </c>
      <c r="I1559" s="36" t="n">
        <v>2</v>
      </c>
      <c r="J1559" s="39" t="n">
        <v>46.71</v>
      </c>
      <c r="K1559" s="45" t="n">
        <v>0</v>
      </c>
      <c r="L1559" s="39" t="n">
        <v>18.41</v>
      </c>
      <c r="M1559" s="39">
        <f>I1559*J1559*(1-K1559)</f>
        <v/>
      </c>
      <c r="N1559" s="39">
        <f>I1559*L1559</f>
        <v/>
      </c>
      <c r="O1559" s="39">
        <f>M1559-N1559</f>
        <v/>
      </c>
      <c r="P1559" s="38">
        <f>IF(M1559=0,0,O1559/M1559)</f>
        <v/>
      </c>
      <c r="Q1559" s="36">
        <f>YEAR(B1559)</f>
        <v/>
      </c>
      <c r="R1559" s="36">
        <f>"Q"&amp;ROUNDUP(MONTH(B1559)/3,0)</f>
        <v/>
      </c>
      <c r="S1559" s="36">
        <f>MONTH(B1559)</f>
        <v/>
      </c>
      <c r="T1559" s="36">
        <f>TEXT(B1559,"mmm")</f>
        <v/>
      </c>
      <c r="U1559" s="36">
        <f>IF(AND(OR(sel_Region="All",C1559=sel_Region),OR(sel_Country="All",D1559=sel_Country),OR(sel_Channel="All",E1559=sel_Channel),OR(sel_Customer="All",F1559=sel_Customer),OR(sel_Category="All",G1559=sel_Category),OR(sel_Product="All",H1559=sel_Product),AND(S1559&gt;=m_From,S1559&lt;=m_To)),1,0)</f>
        <v/>
      </c>
      <c r="V1559" s="36">
        <f>IF(AND(OR(sel_Region="All",C1559=sel_Region),OR(sel_Channel="All",E1559=sel_Channel),OR(sel_Customer="All",F1559=sel_Customer),OR(sel_Category="All",G1559=sel_Category),OR(sel_Product="All",H1559=sel_Product),AND(S1559&gt;=m_From,S1559&lt;=m_To)),1,0)</f>
        <v/>
      </c>
      <c r="W1559" s="36">
        <f>IF(AND(OR(sel_Region="All",C1559=sel_Region),OR(sel_Country="All",D1559=sel_Country),OR(sel_Customer="All",F1559=sel_Customer),OR(sel_Category="All",G1559=sel_Category),OR(sel_Product="All",H1559=sel_Product),AND(S1559&gt;=m_From,S1559&lt;=m_To)),1,0)</f>
        <v/>
      </c>
      <c r="X1559" s="36">
        <f>IF(AND(OR(sel_Region="All",C1559=sel_Region),OR(sel_Country="All",D1559=sel_Country),OR(sel_Channel="All",E1559=sel_Channel),OR(sel_Category="All",G1559=sel_Category),OR(sel_Product="All",H1559=sel_Product),AND(S1559&gt;=m_From,S1559&lt;=m_To)),1,0)</f>
        <v/>
      </c>
      <c r="Y1559" s="36">
        <f>IF(AND(OR(sel_Region="All",C1559=sel_Region),OR(sel_Country="All",D1559=sel_Country),OR(sel_Channel="All",E1559=sel_Channel),OR(sel_Customer="All",F1559=sel_Customer),OR(sel_Product="All",H1559=sel_Product),AND(S1559&gt;=m_From,S1559&lt;=m_To)),1,0)</f>
        <v/>
      </c>
      <c r="Z1559" s="36">
        <f>IF(AND(OR(sel_Region="All",C1559=sel_Region),OR(sel_Country="All",D1559=sel_Country),OR(sel_Channel="All",E1559=sel_Channel),OR(sel_Customer="All",F1559=sel_Customer),OR(sel_Category="All",G1559=sel_Category),AND(S1559&gt;=m_From,S1559&lt;=m_To)),1,0)</f>
        <v/>
      </c>
      <c r="AA1559" s="36">
        <f>IF(AND(OR(sel_Region="All",C1559=sel_Region),OR(sel_Country="All",D1559=sel_Country),OR(sel_Channel="All",E1559=sel_Channel),OR(sel_Customer="All",F1559=sel_Customer),OR(sel_Category="All",G1559=sel_Category),OR(sel_Product="All",H1559=sel_Product)),1,0)</f>
        <v/>
      </c>
    </row>
    <row r="1560">
      <c r="A1560" s="36" t="inlineStr">
        <is>
          <t>01145</t>
        </is>
      </c>
      <c r="B1560" s="44" t="n">
        <v>46238</v>
      </c>
      <c r="C1560" s="36" t="inlineStr">
        <is>
          <t>Northern Europe</t>
        </is>
      </c>
      <c r="D1560" s="36" t="inlineStr">
        <is>
          <t>Norway</t>
        </is>
      </c>
      <c r="E1560" s="36" t="inlineStr">
        <is>
          <t>Marketplace</t>
        </is>
      </c>
      <c r="F1560" s="36" t="inlineStr">
        <is>
          <t>New</t>
        </is>
      </c>
      <c r="G1560" s="36" t="inlineStr">
        <is>
          <t>Camping</t>
        </is>
      </c>
      <c r="H1560" s="36" t="inlineStr">
        <is>
          <t>Trail Tent 2P</t>
        </is>
      </c>
      <c r="I1560" s="36" t="n">
        <v>1</v>
      </c>
      <c r="J1560" s="39" t="n">
        <v>197.26</v>
      </c>
      <c r="K1560" s="45" t="n">
        <v>0</v>
      </c>
      <c r="L1560" s="39" t="n">
        <v>104.09</v>
      </c>
      <c r="M1560" s="39">
        <f>I1560*J1560*(1-K1560)</f>
        <v/>
      </c>
      <c r="N1560" s="39">
        <f>I1560*L1560</f>
        <v/>
      </c>
      <c r="O1560" s="39">
        <f>M1560-N1560</f>
        <v/>
      </c>
      <c r="P1560" s="38">
        <f>IF(M1560=0,0,O1560/M1560)</f>
        <v/>
      </c>
      <c r="Q1560" s="36">
        <f>YEAR(B1560)</f>
        <v/>
      </c>
      <c r="R1560" s="36">
        <f>"Q"&amp;ROUNDUP(MONTH(B1560)/3,0)</f>
        <v/>
      </c>
      <c r="S1560" s="36">
        <f>MONTH(B1560)</f>
        <v/>
      </c>
      <c r="T1560" s="36">
        <f>TEXT(B1560,"mmm")</f>
        <v/>
      </c>
      <c r="U1560" s="36">
        <f>IF(AND(OR(sel_Region="All",C1560=sel_Region),OR(sel_Country="All",D1560=sel_Country),OR(sel_Channel="All",E1560=sel_Channel),OR(sel_Customer="All",F1560=sel_Customer),OR(sel_Category="All",G1560=sel_Category),OR(sel_Product="All",H1560=sel_Product),AND(S1560&gt;=m_From,S1560&lt;=m_To)),1,0)</f>
        <v/>
      </c>
      <c r="V1560" s="36">
        <f>IF(AND(OR(sel_Region="All",C1560=sel_Region),OR(sel_Channel="All",E1560=sel_Channel),OR(sel_Customer="All",F1560=sel_Customer),OR(sel_Category="All",G1560=sel_Category),OR(sel_Product="All",H1560=sel_Product),AND(S1560&gt;=m_From,S1560&lt;=m_To)),1,0)</f>
        <v/>
      </c>
      <c r="W1560" s="36">
        <f>IF(AND(OR(sel_Region="All",C1560=sel_Region),OR(sel_Country="All",D1560=sel_Country),OR(sel_Customer="All",F1560=sel_Customer),OR(sel_Category="All",G1560=sel_Category),OR(sel_Product="All",H1560=sel_Product),AND(S1560&gt;=m_From,S1560&lt;=m_To)),1,0)</f>
        <v/>
      </c>
      <c r="X1560" s="36">
        <f>IF(AND(OR(sel_Region="All",C1560=sel_Region),OR(sel_Country="All",D1560=sel_Country),OR(sel_Channel="All",E1560=sel_Channel),OR(sel_Category="All",G1560=sel_Category),OR(sel_Product="All",H1560=sel_Product),AND(S1560&gt;=m_From,S1560&lt;=m_To)),1,0)</f>
        <v/>
      </c>
      <c r="Y1560" s="36">
        <f>IF(AND(OR(sel_Region="All",C1560=sel_Region),OR(sel_Country="All",D1560=sel_Country),OR(sel_Channel="All",E1560=sel_Channel),OR(sel_Customer="All",F1560=sel_Customer),OR(sel_Product="All",H1560=sel_Product),AND(S1560&gt;=m_From,S1560&lt;=m_To)),1,0)</f>
        <v/>
      </c>
      <c r="Z1560" s="36">
        <f>IF(AND(OR(sel_Region="All",C1560=sel_Region),OR(sel_Country="All",D1560=sel_Country),OR(sel_Channel="All",E1560=sel_Channel),OR(sel_Customer="All",F1560=sel_Customer),OR(sel_Category="All",G1560=sel_Category),AND(S1560&gt;=m_From,S1560&lt;=m_To)),1,0)</f>
        <v/>
      </c>
      <c r="AA1560" s="36">
        <f>IF(AND(OR(sel_Region="All",C1560=sel_Region),OR(sel_Country="All",D1560=sel_Country),OR(sel_Channel="All",E1560=sel_Channel),OR(sel_Customer="All",F1560=sel_Customer),OR(sel_Category="All",G1560=sel_Category),OR(sel_Product="All",H1560=sel_Product)),1,0)</f>
        <v/>
      </c>
    </row>
    <row r="1561">
      <c r="A1561" s="36" t="inlineStr">
        <is>
          <t>01289</t>
        </is>
      </c>
      <c r="B1561" s="44" t="n">
        <v>46238</v>
      </c>
      <c r="C1561" s="36" t="inlineStr">
        <is>
          <t>Northern Europe</t>
        </is>
      </c>
      <c r="D1561" s="36" t="inlineStr">
        <is>
          <t>Norway</t>
        </is>
      </c>
      <c r="E1561" s="36" t="inlineStr">
        <is>
          <t>Marketplace</t>
        </is>
      </c>
      <c r="F1561" s="36" t="inlineStr">
        <is>
          <t>New</t>
        </is>
      </c>
      <c r="G1561" s="36" t="inlineStr">
        <is>
          <t>Hiking</t>
        </is>
      </c>
      <c r="H1561" s="36" t="inlineStr">
        <is>
          <t>Trekking Poles</t>
        </is>
      </c>
      <c r="I1561" s="36" t="n">
        <v>1</v>
      </c>
      <c r="J1561" s="39" t="n">
        <v>70.56</v>
      </c>
      <c r="K1561" s="45" t="n">
        <v>0</v>
      </c>
      <c r="L1561" s="39" t="n">
        <v>32.11</v>
      </c>
      <c r="M1561" s="39">
        <f>I1561*J1561*(1-K1561)</f>
        <v/>
      </c>
      <c r="N1561" s="39">
        <f>I1561*L1561</f>
        <v/>
      </c>
      <c r="O1561" s="39">
        <f>M1561-N1561</f>
        <v/>
      </c>
      <c r="P1561" s="38">
        <f>IF(M1561=0,0,O1561/M1561)</f>
        <v/>
      </c>
      <c r="Q1561" s="36">
        <f>YEAR(B1561)</f>
        <v/>
      </c>
      <c r="R1561" s="36">
        <f>"Q"&amp;ROUNDUP(MONTH(B1561)/3,0)</f>
        <v/>
      </c>
      <c r="S1561" s="36">
        <f>MONTH(B1561)</f>
        <v/>
      </c>
      <c r="T1561" s="36">
        <f>TEXT(B1561,"mmm")</f>
        <v/>
      </c>
      <c r="U1561" s="36">
        <f>IF(AND(OR(sel_Region="All",C1561=sel_Region),OR(sel_Country="All",D1561=sel_Country),OR(sel_Channel="All",E1561=sel_Channel),OR(sel_Customer="All",F1561=sel_Customer),OR(sel_Category="All",G1561=sel_Category),OR(sel_Product="All",H1561=sel_Product),AND(S1561&gt;=m_From,S1561&lt;=m_To)),1,0)</f>
        <v/>
      </c>
      <c r="V1561" s="36">
        <f>IF(AND(OR(sel_Region="All",C1561=sel_Region),OR(sel_Channel="All",E1561=sel_Channel),OR(sel_Customer="All",F1561=sel_Customer),OR(sel_Category="All",G1561=sel_Category),OR(sel_Product="All",H1561=sel_Product),AND(S1561&gt;=m_From,S1561&lt;=m_To)),1,0)</f>
        <v/>
      </c>
      <c r="W1561" s="36">
        <f>IF(AND(OR(sel_Region="All",C1561=sel_Region),OR(sel_Country="All",D1561=sel_Country),OR(sel_Customer="All",F1561=sel_Customer),OR(sel_Category="All",G1561=sel_Category),OR(sel_Product="All",H1561=sel_Product),AND(S1561&gt;=m_From,S1561&lt;=m_To)),1,0)</f>
        <v/>
      </c>
      <c r="X1561" s="36">
        <f>IF(AND(OR(sel_Region="All",C1561=sel_Region),OR(sel_Country="All",D1561=sel_Country),OR(sel_Channel="All",E1561=sel_Channel),OR(sel_Category="All",G1561=sel_Category),OR(sel_Product="All",H1561=sel_Product),AND(S1561&gt;=m_From,S1561&lt;=m_To)),1,0)</f>
        <v/>
      </c>
      <c r="Y1561" s="36">
        <f>IF(AND(OR(sel_Region="All",C1561=sel_Region),OR(sel_Country="All",D1561=sel_Country),OR(sel_Channel="All",E1561=sel_Channel),OR(sel_Customer="All",F1561=sel_Customer),OR(sel_Product="All",H1561=sel_Product),AND(S1561&gt;=m_From,S1561&lt;=m_To)),1,0)</f>
        <v/>
      </c>
      <c r="Z1561" s="36">
        <f>IF(AND(OR(sel_Region="All",C1561=sel_Region),OR(sel_Country="All",D1561=sel_Country),OR(sel_Channel="All",E1561=sel_Channel),OR(sel_Customer="All",F1561=sel_Customer),OR(sel_Category="All",G1561=sel_Category),AND(S1561&gt;=m_From,S1561&lt;=m_To)),1,0)</f>
        <v/>
      </c>
      <c r="AA1561" s="36">
        <f>IF(AND(OR(sel_Region="All",C1561=sel_Region),OR(sel_Country="All",D1561=sel_Country),OR(sel_Channel="All",E1561=sel_Channel),OR(sel_Customer="All",F1561=sel_Customer),OR(sel_Category="All",G1561=sel_Category),OR(sel_Product="All",H1561=sel_Product)),1,0)</f>
        <v/>
      </c>
    </row>
    <row r="1562">
      <c r="A1562" s="36" t="inlineStr">
        <is>
          <t>01411</t>
        </is>
      </c>
      <c r="B1562" s="44" t="n">
        <v>46238</v>
      </c>
      <c r="C1562" s="36" t="inlineStr">
        <is>
          <t>Central Europe</t>
        </is>
      </c>
      <c r="D1562" s="36" t="inlineStr">
        <is>
          <t>Germany</t>
        </is>
      </c>
      <c r="E1562" s="36" t="inlineStr">
        <is>
          <t>Online Store</t>
        </is>
      </c>
      <c r="F1562" s="36" t="inlineStr">
        <is>
          <t>Business</t>
        </is>
      </c>
      <c r="G1562" s="36" t="inlineStr">
        <is>
          <t>Fitness</t>
        </is>
      </c>
      <c r="H1562" s="36" t="inlineStr">
        <is>
          <t>Recovery Roller</t>
        </is>
      </c>
      <c r="I1562" s="36" t="n">
        <v>1</v>
      </c>
      <c r="J1562" s="39" t="n">
        <v>36.58</v>
      </c>
      <c r="K1562" s="45" t="n">
        <v>0</v>
      </c>
      <c r="L1562" s="39" t="n">
        <v>13.98</v>
      </c>
      <c r="M1562" s="39">
        <f>I1562*J1562*(1-K1562)</f>
        <v/>
      </c>
      <c r="N1562" s="39">
        <f>I1562*L1562</f>
        <v/>
      </c>
      <c r="O1562" s="39">
        <f>M1562-N1562</f>
        <v/>
      </c>
      <c r="P1562" s="38">
        <f>IF(M1562=0,0,O1562/M1562)</f>
        <v/>
      </c>
      <c r="Q1562" s="36">
        <f>YEAR(B1562)</f>
        <v/>
      </c>
      <c r="R1562" s="36">
        <f>"Q"&amp;ROUNDUP(MONTH(B1562)/3,0)</f>
        <v/>
      </c>
      <c r="S1562" s="36">
        <f>MONTH(B1562)</f>
        <v/>
      </c>
      <c r="T1562" s="36">
        <f>TEXT(B1562,"mmm")</f>
        <v/>
      </c>
      <c r="U1562" s="36">
        <f>IF(AND(OR(sel_Region="All",C1562=sel_Region),OR(sel_Country="All",D1562=sel_Country),OR(sel_Channel="All",E1562=sel_Channel),OR(sel_Customer="All",F1562=sel_Customer),OR(sel_Category="All",G1562=sel_Category),OR(sel_Product="All",H1562=sel_Product),AND(S1562&gt;=m_From,S1562&lt;=m_To)),1,0)</f>
        <v/>
      </c>
      <c r="V1562" s="36">
        <f>IF(AND(OR(sel_Region="All",C1562=sel_Region),OR(sel_Channel="All",E1562=sel_Channel),OR(sel_Customer="All",F1562=sel_Customer),OR(sel_Category="All",G1562=sel_Category),OR(sel_Product="All",H1562=sel_Product),AND(S1562&gt;=m_From,S1562&lt;=m_To)),1,0)</f>
        <v/>
      </c>
      <c r="W1562" s="36">
        <f>IF(AND(OR(sel_Region="All",C1562=sel_Region),OR(sel_Country="All",D1562=sel_Country),OR(sel_Customer="All",F1562=sel_Customer),OR(sel_Category="All",G1562=sel_Category),OR(sel_Product="All",H1562=sel_Product),AND(S1562&gt;=m_From,S1562&lt;=m_To)),1,0)</f>
        <v/>
      </c>
      <c r="X1562" s="36">
        <f>IF(AND(OR(sel_Region="All",C1562=sel_Region),OR(sel_Country="All",D1562=sel_Country),OR(sel_Channel="All",E1562=sel_Channel),OR(sel_Category="All",G1562=sel_Category),OR(sel_Product="All",H1562=sel_Product),AND(S1562&gt;=m_From,S1562&lt;=m_To)),1,0)</f>
        <v/>
      </c>
      <c r="Y1562" s="36">
        <f>IF(AND(OR(sel_Region="All",C1562=sel_Region),OR(sel_Country="All",D1562=sel_Country),OR(sel_Channel="All",E1562=sel_Channel),OR(sel_Customer="All",F1562=sel_Customer),OR(sel_Product="All",H1562=sel_Product),AND(S1562&gt;=m_From,S1562&lt;=m_To)),1,0)</f>
        <v/>
      </c>
      <c r="Z1562" s="36">
        <f>IF(AND(OR(sel_Region="All",C1562=sel_Region),OR(sel_Country="All",D1562=sel_Country),OR(sel_Channel="All",E1562=sel_Channel),OR(sel_Customer="All",F1562=sel_Customer),OR(sel_Category="All",G1562=sel_Category),AND(S1562&gt;=m_From,S1562&lt;=m_To)),1,0)</f>
        <v/>
      </c>
      <c r="AA1562" s="36">
        <f>IF(AND(OR(sel_Region="All",C1562=sel_Region),OR(sel_Country="All",D1562=sel_Country),OR(sel_Channel="All",E1562=sel_Channel),OR(sel_Customer="All",F1562=sel_Customer),OR(sel_Category="All",G1562=sel_Category),OR(sel_Product="All",H1562=sel_Product)),1,0)</f>
        <v/>
      </c>
    </row>
    <row r="1563">
      <c r="A1563" s="36" t="inlineStr">
        <is>
          <t>01799</t>
        </is>
      </c>
      <c r="B1563" s="44" t="n">
        <v>46238</v>
      </c>
      <c r="C1563" s="36" t="inlineStr">
        <is>
          <t>Western Europe</t>
        </is>
      </c>
      <c r="D1563" s="36" t="inlineStr">
        <is>
          <t>France</t>
        </is>
      </c>
      <c r="E1563" s="36" t="inlineStr">
        <is>
          <t>Corporate</t>
        </is>
      </c>
      <c r="F1563" s="36" t="inlineStr">
        <is>
          <t>Business</t>
        </is>
      </c>
      <c r="G1563" s="36" t="inlineStr">
        <is>
          <t>Cycling</t>
        </is>
      </c>
      <c r="H1563" s="36" t="inlineStr">
        <is>
          <t>Commuter Helmet</t>
        </is>
      </c>
      <c r="I1563" s="36" t="n">
        <v>4</v>
      </c>
      <c r="J1563" s="39" t="n">
        <v>82.98</v>
      </c>
      <c r="K1563" s="45" t="n">
        <v>0.05</v>
      </c>
      <c r="L1563" s="39" t="n">
        <v>43.79</v>
      </c>
      <c r="M1563" s="39">
        <f>I1563*J1563*(1-K1563)</f>
        <v/>
      </c>
      <c r="N1563" s="39">
        <f>I1563*L1563</f>
        <v/>
      </c>
      <c r="O1563" s="39">
        <f>M1563-N1563</f>
        <v/>
      </c>
      <c r="P1563" s="38">
        <f>IF(M1563=0,0,O1563/M1563)</f>
        <v/>
      </c>
      <c r="Q1563" s="36">
        <f>YEAR(B1563)</f>
        <v/>
      </c>
      <c r="R1563" s="36">
        <f>"Q"&amp;ROUNDUP(MONTH(B1563)/3,0)</f>
        <v/>
      </c>
      <c r="S1563" s="36">
        <f>MONTH(B1563)</f>
        <v/>
      </c>
      <c r="T1563" s="36">
        <f>TEXT(B1563,"mmm")</f>
        <v/>
      </c>
      <c r="U1563" s="36">
        <f>IF(AND(OR(sel_Region="All",C1563=sel_Region),OR(sel_Country="All",D1563=sel_Country),OR(sel_Channel="All",E1563=sel_Channel),OR(sel_Customer="All",F1563=sel_Customer),OR(sel_Category="All",G1563=sel_Category),OR(sel_Product="All",H1563=sel_Product),AND(S1563&gt;=m_From,S1563&lt;=m_To)),1,0)</f>
        <v/>
      </c>
      <c r="V1563" s="36">
        <f>IF(AND(OR(sel_Region="All",C1563=sel_Region),OR(sel_Channel="All",E1563=sel_Channel),OR(sel_Customer="All",F1563=sel_Customer),OR(sel_Category="All",G1563=sel_Category),OR(sel_Product="All",H1563=sel_Product),AND(S1563&gt;=m_From,S1563&lt;=m_To)),1,0)</f>
        <v/>
      </c>
      <c r="W1563" s="36">
        <f>IF(AND(OR(sel_Region="All",C1563=sel_Region),OR(sel_Country="All",D1563=sel_Country),OR(sel_Customer="All",F1563=sel_Customer),OR(sel_Category="All",G1563=sel_Category),OR(sel_Product="All",H1563=sel_Product),AND(S1563&gt;=m_From,S1563&lt;=m_To)),1,0)</f>
        <v/>
      </c>
      <c r="X1563" s="36">
        <f>IF(AND(OR(sel_Region="All",C1563=sel_Region),OR(sel_Country="All",D1563=sel_Country),OR(sel_Channel="All",E1563=sel_Channel),OR(sel_Category="All",G1563=sel_Category),OR(sel_Product="All",H1563=sel_Product),AND(S1563&gt;=m_From,S1563&lt;=m_To)),1,0)</f>
        <v/>
      </c>
      <c r="Y1563" s="36">
        <f>IF(AND(OR(sel_Region="All",C1563=sel_Region),OR(sel_Country="All",D1563=sel_Country),OR(sel_Channel="All",E1563=sel_Channel),OR(sel_Customer="All",F1563=sel_Customer),OR(sel_Product="All",H1563=sel_Product),AND(S1563&gt;=m_From,S1563&lt;=m_To)),1,0)</f>
        <v/>
      </c>
      <c r="Z1563" s="36">
        <f>IF(AND(OR(sel_Region="All",C1563=sel_Region),OR(sel_Country="All",D1563=sel_Country),OR(sel_Channel="All",E1563=sel_Channel),OR(sel_Customer="All",F1563=sel_Customer),OR(sel_Category="All",G1563=sel_Category),AND(S1563&gt;=m_From,S1563&lt;=m_To)),1,0)</f>
        <v/>
      </c>
      <c r="AA1563" s="36">
        <f>IF(AND(OR(sel_Region="All",C1563=sel_Region),OR(sel_Country="All",D1563=sel_Country),OR(sel_Channel="All",E1563=sel_Channel),OR(sel_Customer="All",F1563=sel_Customer),OR(sel_Category="All",G1563=sel_Category),OR(sel_Product="All",H1563=sel_Product)),1,0)</f>
        <v/>
      </c>
    </row>
    <row r="1564">
      <c r="A1564" s="36" t="inlineStr">
        <is>
          <t>01871</t>
        </is>
      </c>
      <c r="B1564" s="44" t="n">
        <v>46238</v>
      </c>
      <c r="C1564" s="36" t="inlineStr">
        <is>
          <t>Southern Europe</t>
        </is>
      </c>
      <c r="D1564" s="36" t="inlineStr">
        <is>
          <t>Spain</t>
        </is>
      </c>
      <c r="E1564" s="36" t="inlineStr">
        <is>
          <t>Online Store</t>
        </is>
      </c>
      <c r="F1564" s="36" t="inlineStr">
        <is>
          <t>New</t>
        </is>
      </c>
      <c r="G1564" s="36" t="inlineStr">
        <is>
          <t>Cycling</t>
        </is>
      </c>
      <c r="H1564" s="36" t="inlineStr">
        <is>
          <t>Compact Repair Kit</t>
        </is>
      </c>
      <c r="I1564" s="36" t="n">
        <v>1</v>
      </c>
      <c r="J1564" s="39" t="n">
        <v>41.25</v>
      </c>
      <c r="K1564" s="45" t="n">
        <v>0</v>
      </c>
      <c r="L1564" s="39" t="n">
        <v>17.02</v>
      </c>
      <c r="M1564" s="39">
        <f>I1564*J1564*(1-K1564)</f>
        <v/>
      </c>
      <c r="N1564" s="39">
        <f>I1564*L1564</f>
        <v/>
      </c>
      <c r="O1564" s="39">
        <f>M1564-N1564</f>
        <v/>
      </c>
      <c r="P1564" s="38">
        <f>IF(M1564=0,0,O1564/M1564)</f>
        <v/>
      </c>
      <c r="Q1564" s="36">
        <f>YEAR(B1564)</f>
        <v/>
      </c>
      <c r="R1564" s="36">
        <f>"Q"&amp;ROUNDUP(MONTH(B1564)/3,0)</f>
        <v/>
      </c>
      <c r="S1564" s="36">
        <f>MONTH(B1564)</f>
        <v/>
      </c>
      <c r="T1564" s="36">
        <f>TEXT(B1564,"mmm")</f>
        <v/>
      </c>
      <c r="U1564" s="36">
        <f>IF(AND(OR(sel_Region="All",C1564=sel_Region),OR(sel_Country="All",D1564=sel_Country),OR(sel_Channel="All",E1564=sel_Channel),OR(sel_Customer="All",F1564=sel_Customer),OR(sel_Category="All",G1564=sel_Category),OR(sel_Product="All",H1564=sel_Product),AND(S1564&gt;=m_From,S1564&lt;=m_To)),1,0)</f>
        <v/>
      </c>
      <c r="V1564" s="36">
        <f>IF(AND(OR(sel_Region="All",C1564=sel_Region),OR(sel_Channel="All",E1564=sel_Channel),OR(sel_Customer="All",F1564=sel_Customer),OR(sel_Category="All",G1564=sel_Category),OR(sel_Product="All",H1564=sel_Product),AND(S1564&gt;=m_From,S1564&lt;=m_To)),1,0)</f>
        <v/>
      </c>
      <c r="W1564" s="36">
        <f>IF(AND(OR(sel_Region="All",C1564=sel_Region),OR(sel_Country="All",D1564=sel_Country),OR(sel_Customer="All",F1564=sel_Customer),OR(sel_Category="All",G1564=sel_Category),OR(sel_Product="All",H1564=sel_Product),AND(S1564&gt;=m_From,S1564&lt;=m_To)),1,0)</f>
        <v/>
      </c>
      <c r="X1564" s="36">
        <f>IF(AND(OR(sel_Region="All",C1564=sel_Region),OR(sel_Country="All",D1564=sel_Country),OR(sel_Channel="All",E1564=sel_Channel),OR(sel_Category="All",G1564=sel_Category),OR(sel_Product="All",H1564=sel_Product),AND(S1564&gt;=m_From,S1564&lt;=m_To)),1,0)</f>
        <v/>
      </c>
      <c r="Y1564" s="36">
        <f>IF(AND(OR(sel_Region="All",C1564=sel_Region),OR(sel_Country="All",D1564=sel_Country),OR(sel_Channel="All",E1564=sel_Channel),OR(sel_Customer="All",F1564=sel_Customer),OR(sel_Product="All",H1564=sel_Product),AND(S1564&gt;=m_From,S1564&lt;=m_To)),1,0)</f>
        <v/>
      </c>
      <c r="Z1564" s="36">
        <f>IF(AND(OR(sel_Region="All",C1564=sel_Region),OR(sel_Country="All",D1564=sel_Country),OR(sel_Channel="All",E1564=sel_Channel),OR(sel_Customer="All",F1564=sel_Customer),OR(sel_Category="All",G1564=sel_Category),AND(S1564&gt;=m_From,S1564&lt;=m_To)),1,0)</f>
        <v/>
      </c>
      <c r="AA1564" s="36">
        <f>IF(AND(OR(sel_Region="All",C1564=sel_Region),OR(sel_Country="All",D1564=sel_Country),OR(sel_Channel="All",E1564=sel_Channel),OR(sel_Customer="All",F1564=sel_Customer),OR(sel_Category="All",G1564=sel_Category),OR(sel_Product="All",H1564=sel_Product)),1,0)</f>
        <v/>
      </c>
    </row>
    <row r="1565">
      <c r="A1565" s="36" t="inlineStr">
        <is>
          <t>04180</t>
        </is>
      </c>
      <c r="B1565" s="44" t="n">
        <v>46238</v>
      </c>
      <c r="C1565" s="36" t="inlineStr">
        <is>
          <t>Northern Europe</t>
        </is>
      </c>
      <c r="D1565" s="36" t="inlineStr">
        <is>
          <t>Ireland</t>
        </is>
      </c>
      <c r="E1565" s="36" t="inlineStr">
        <is>
          <t>Online Store</t>
        </is>
      </c>
      <c r="F1565" s="36" t="inlineStr">
        <is>
          <t>Returning</t>
        </is>
      </c>
      <c r="G1565" s="36" t="inlineStr">
        <is>
          <t>Cycling</t>
        </is>
      </c>
      <c r="H1565" s="36" t="inlineStr">
        <is>
          <t>Cycling Pack 12L</t>
        </is>
      </c>
      <c r="I1565" s="36" t="n">
        <v>1</v>
      </c>
      <c r="J1565" s="39" t="n">
        <v>101.37</v>
      </c>
      <c r="K1565" s="45" t="n">
        <v>0</v>
      </c>
      <c r="L1565" s="39" t="n">
        <v>51.56</v>
      </c>
      <c r="M1565" s="39">
        <f>I1565*J1565*(1-K1565)</f>
        <v/>
      </c>
      <c r="N1565" s="39">
        <f>I1565*L1565</f>
        <v/>
      </c>
      <c r="O1565" s="39">
        <f>M1565-N1565</f>
        <v/>
      </c>
      <c r="P1565" s="38">
        <f>IF(M1565=0,0,O1565/M1565)</f>
        <v/>
      </c>
      <c r="Q1565" s="36">
        <f>YEAR(B1565)</f>
        <v/>
      </c>
      <c r="R1565" s="36">
        <f>"Q"&amp;ROUNDUP(MONTH(B1565)/3,0)</f>
        <v/>
      </c>
      <c r="S1565" s="36">
        <f>MONTH(B1565)</f>
        <v/>
      </c>
      <c r="T1565" s="36">
        <f>TEXT(B1565,"mmm")</f>
        <v/>
      </c>
      <c r="U1565" s="36">
        <f>IF(AND(OR(sel_Region="All",C1565=sel_Region),OR(sel_Country="All",D1565=sel_Country),OR(sel_Channel="All",E1565=sel_Channel),OR(sel_Customer="All",F1565=sel_Customer),OR(sel_Category="All",G1565=sel_Category),OR(sel_Product="All",H1565=sel_Product),AND(S1565&gt;=m_From,S1565&lt;=m_To)),1,0)</f>
        <v/>
      </c>
      <c r="V1565" s="36">
        <f>IF(AND(OR(sel_Region="All",C1565=sel_Region),OR(sel_Channel="All",E1565=sel_Channel),OR(sel_Customer="All",F1565=sel_Customer),OR(sel_Category="All",G1565=sel_Category),OR(sel_Product="All",H1565=sel_Product),AND(S1565&gt;=m_From,S1565&lt;=m_To)),1,0)</f>
        <v/>
      </c>
      <c r="W1565" s="36">
        <f>IF(AND(OR(sel_Region="All",C1565=sel_Region),OR(sel_Country="All",D1565=sel_Country),OR(sel_Customer="All",F1565=sel_Customer),OR(sel_Category="All",G1565=sel_Category),OR(sel_Product="All",H1565=sel_Product),AND(S1565&gt;=m_From,S1565&lt;=m_To)),1,0)</f>
        <v/>
      </c>
      <c r="X1565" s="36">
        <f>IF(AND(OR(sel_Region="All",C1565=sel_Region),OR(sel_Country="All",D1565=sel_Country),OR(sel_Channel="All",E1565=sel_Channel),OR(sel_Category="All",G1565=sel_Category),OR(sel_Product="All",H1565=sel_Product),AND(S1565&gt;=m_From,S1565&lt;=m_To)),1,0)</f>
        <v/>
      </c>
      <c r="Y1565" s="36">
        <f>IF(AND(OR(sel_Region="All",C1565=sel_Region),OR(sel_Country="All",D1565=sel_Country),OR(sel_Channel="All",E1565=sel_Channel),OR(sel_Customer="All",F1565=sel_Customer),OR(sel_Product="All",H1565=sel_Product),AND(S1565&gt;=m_From,S1565&lt;=m_To)),1,0)</f>
        <v/>
      </c>
      <c r="Z1565" s="36">
        <f>IF(AND(OR(sel_Region="All",C1565=sel_Region),OR(sel_Country="All",D1565=sel_Country),OR(sel_Channel="All",E1565=sel_Channel),OR(sel_Customer="All",F1565=sel_Customer),OR(sel_Category="All",G1565=sel_Category),AND(S1565&gt;=m_From,S1565&lt;=m_To)),1,0)</f>
        <v/>
      </c>
      <c r="AA1565" s="36">
        <f>IF(AND(OR(sel_Region="All",C1565=sel_Region),OR(sel_Country="All",D1565=sel_Country),OR(sel_Channel="All",E1565=sel_Channel),OR(sel_Customer="All",F1565=sel_Customer),OR(sel_Category="All",G1565=sel_Category),OR(sel_Product="All",H1565=sel_Product)),1,0)</f>
        <v/>
      </c>
    </row>
    <row r="1566">
      <c r="A1566" s="36" t="inlineStr">
        <is>
          <t>04338</t>
        </is>
      </c>
      <c r="B1566" s="44" t="n">
        <v>46238</v>
      </c>
      <c r="C1566" s="36" t="inlineStr">
        <is>
          <t>Northern Europe</t>
        </is>
      </c>
      <c r="D1566" s="36" t="inlineStr">
        <is>
          <t>Norway</t>
        </is>
      </c>
      <c r="E1566" s="36" t="inlineStr">
        <is>
          <t>Online Store</t>
        </is>
      </c>
      <c r="F1566" s="36" t="inlineStr">
        <is>
          <t>Returning</t>
        </is>
      </c>
      <c r="G1566" s="36" t="inlineStr">
        <is>
          <t>Camping</t>
        </is>
      </c>
      <c r="H1566" s="36" t="inlineStr">
        <is>
          <t>Alpine Tent 4P</t>
        </is>
      </c>
      <c r="I1566" s="36" t="n">
        <v>1</v>
      </c>
      <c r="J1566" s="39" t="n">
        <v>340.66</v>
      </c>
      <c r="K1566" s="45" t="n">
        <v>0.05</v>
      </c>
      <c r="L1566" s="39" t="n">
        <v>194.13</v>
      </c>
      <c r="M1566" s="39">
        <f>I1566*J1566*(1-K1566)</f>
        <v/>
      </c>
      <c r="N1566" s="39">
        <f>I1566*L1566</f>
        <v/>
      </c>
      <c r="O1566" s="39">
        <f>M1566-N1566</f>
        <v/>
      </c>
      <c r="P1566" s="38">
        <f>IF(M1566=0,0,O1566/M1566)</f>
        <v/>
      </c>
      <c r="Q1566" s="36">
        <f>YEAR(B1566)</f>
        <v/>
      </c>
      <c r="R1566" s="36">
        <f>"Q"&amp;ROUNDUP(MONTH(B1566)/3,0)</f>
        <v/>
      </c>
      <c r="S1566" s="36">
        <f>MONTH(B1566)</f>
        <v/>
      </c>
      <c r="T1566" s="36">
        <f>TEXT(B1566,"mmm")</f>
        <v/>
      </c>
      <c r="U1566" s="36">
        <f>IF(AND(OR(sel_Region="All",C1566=sel_Region),OR(sel_Country="All",D1566=sel_Country),OR(sel_Channel="All",E1566=sel_Channel),OR(sel_Customer="All",F1566=sel_Customer),OR(sel_Category="All",G1566=sel_Category),OR(sel_Product="All",H1566=sel_Product),AND(S1566&gt;=m_From,S1566&lt;=m_To)),1,0)</f>
        <v/>
      </c>
      <c r="V1566" s="36">
        <f>IF(AND(OR(sel_Region="All",C1566=sel_Region),OR(sel_Channel="All",E1566=sel_Channel),OR(sel_Customer="All",F1566=sel_Customer),OR(sel_Category="All",G1566=sel_Category),OR(sel_Product="All",H1566=sel_Product),AND(S1566&gt;=m_From,S1566&lt;=m_To)),1,0)</f>
        <v/>
      </c>
      <c r="W1566" s="36">
        <f>IF(AND(OR(sel_Region="All",C1566=sel_Region),OR(sel_Country="All",D1566=sel_Country),OR(sel_Customer="All",F1566=sel_Customer),OR(sel_Category="All",G1566=sel_Category),OR(sel_Product="All",H1566=sel_Product),AND(S1566&gt;=m_From,S1566&lt;=m_To)),1,0)</f>
        <v/>
      </c>
      <c r="X1566" s="36">
        <f>IF(AND(OR(sel_Region="All",C1566=sel_Region),OR(sel_Country="All",D1566=sel_Country),OR(sel_Channel="All",E1566=sel_Channel),OR(sel_Category="All",G1566=sel_Category),OR(sel_Product="All",H1566=sel_Product),AND(S1566&gt;=m_From,S1566&lt;=m_To)),1,0)</f>
        <v/>
      </c>
      <c r="Y1566" s="36">
        <f>IF(AND(OR(sel_Region="All",C1566=sel_Region),OR(sel_Country="All",D1566=sel_Country),OR(sel_Channel="All",E1566=sel_Channel),OR(sel_Customer="All",F1566=sel_Customer),OR(sel_Product="All",H1566=sel_Product),AND(S1566&gt;=m_From,S1566&lt;=m_To)),1,0)</f>
        <v/>
      </c>
      <c r="Z1566" s="36">
        <f>IF(AND(OR(sel_Region="All",C1566=sel_Region),OR(sel_Country="All",D1566=sel_Country),OR(sel_Channel="All",E1566=sel_Channel),OR(sel_Customer="All",F1566=sel_Customer),OR(sel_Category="All",G1566=sel_Category),AND(S1566&gt;=m_From,S1566&lt;=m_To)),1,0)</f>
        <v/>
      </c>
      <c r="AA1566" s="36">
        <f>IF(AND(OR(sel_Region="All",C1566=sel_Region),OR(sel_Country="All",D1566=sel_Country),OR(sel_Channel="All",E1566=sel_Channel),OR(sel_Customer="All",F1566=sel_Customer),OR(sel_Category="All",G1566=sel_Category),OR(sel_Product="All",H1566=sel_Product)),1,0)</f>
        <v/>
      </c>
    </row>
    <row r="1567">
      <c r="A1567" s="36" t="inlineStr">
        <is>
          <t>04463</t>
        </is>
      </c>
      <c r="B1567" s="44" t="n">
        <v>46238</v>
      </c>
      <c r="C1567" s="36" t="inlineStr">
        <is>
          <t>Northern Europe</t>
        </is>
      </c>
      <c r="D1567" s="36" t="inlineStr">
        <is>
          <t>Sweden</t>
        </is>
      </c>
      <c r="E1567" s="36" t="inlineStr">
        <is>
          <t>Marketplace</t>
        </is>
      </c>
      <c r="F1567" s="36" t="inlineStr">
        <is>
          <t>Business</t>
        </is>
      </c>
      <c r="G1567" s="36" t="inlineStr">
        <is>
          <t>Cycling</t>
        </is>
      </c>
      <c r="H1567" s="36" t="inlineStr">
        <is>
          <t>Trail Bike Light</t>
        </is>
      </c>
      <c r="I1567" s="36" t="n">
        <v>1</v>
      </c>
      <c r="J1567" s="39" t="n">
        <v>50.43</v>
      </c>
      <c r="K1567" s="45" t="n">
        <v>0.15</v>
      </c>
      <c r="L1567" s="39" t="n">
        <v>22.94</v>
      </c>
      <c r="M1567" s="39">
        <f>I1567*J1567*(1-K1567)</f>
        <v/>
      </c>
      <c r="N1567" s="39">
        <f>I1567*L1567</f>
        <v/>
      </c>
      <c r="O1567" s="39">
        <f>M1567-N1567</f>
        <v/>
      </c>
      <c r="P1567" s="38">
        <f>IF(M1567=0,0,O1567/M1567)</f>
        <v/>
      </c>
      <c r="Q1567" s="36">
        <f>YEAR(B1567)</f>
        <v/>
      </c>
      <c r="R1567" s="36">
        <f>"Q"&amp;ROUNDUP(MONTH(B1567)/3,0)</f>
        <v/>
      </c>
      <c r="S1567" s="36">
        <f>MONTH(B1567)</f>
        <v/>
      </c>
      <c r="T1567" s="36">
        <f>TEXT(B1567,"mmm")</f>
        <v/>
      </c>
      <c r="U1567" s="36">
        <f>IF(AND(OR(sel_Region="All",C1567=sel_Region),OR(sel_Country="All",D1567=sel_Country),OR(sel_Channel="All",E1567=sel_Channel),OR(sel_Customer="All",F1567=sel_Customer),OR(sel_Category="All",G1567=sel_Category),OR(sel_Product="All",H1567=sel_Product),AND(S1567&gt;=m_From,S1567&lt;=m_To)),1,0)</f>
        <v/>
      </c>
      <c r="V1567" s="36">
        <f>IF(AND(OR(sel_Region="All",C1567=sel_Region),OR(sel_Channel="All",E1567=sel_Channel),OR(sel_Customer="All",F1567=sel_Customer),OR(sel_Category="All",G1567=sel_Category),OR(sel_Product="All",H1567=sel_Product),AND(S1567&gt;=m_From,S1567&lt;=m_To)),1,0)</f>
        <v/>
      </c>
      <c r="W1567" s="36">
        <f>IF(AND(OR(sel_Region="All",C1567=sel_Region),OR(sel_Country="All",D1567=sel_Country),OR(sel_Customer="All",F1567=sel_Customer),OR(sel_Category="All",G1567=sel_Category),OR(sel_Product="All",H1567=sel_Product),AND(S1567&gt;=m_From,S1567&lt;=m_To)),1,0)</f>
        <v/>
      </c>
      <c r="X1567" s="36">
        <f>IF(AND(OR(sel_Region="All",C1567=sel_Region),OR(sel_Country="All",D1567=sel_Country),OR(sel_Channel="All",E1567=sel_Channel),OR(sel_Category="All",G1567=sel_Category),OR(sel_Product="All",H1567=sel_Product),AND(S1567&gt;=m_From,S1567&lt;=m_To)),1,0)</f>
        <v/>
      </c>
      <c r="Y1567" s="36">
        <f>IF(AND(OR(sel_Region="All",C1567=sel_Region),OR(sel_Country="All",D1567=sel_Country),OR(sel_Channel="All",E1567=sel_Channel),OR(sel_Customer="All",F1567=sel_Customer),OR(sel_Product="All",H1567=sel_Product),AND(S1567&gt;=m_From,S1567&lt;=m_To)),1,0)</f>
        <v/>
      </c>
      <c r="Z1567" s="36">
        <f>IF(AND(OR(sel_Region="All",C1567=sel_Region),OR(sel_Country="All",D1567=sel_Country),OR(sel_Channel="All",E1567=sel_Channel),OR(sel_Customer="All",F1567=sel_Customer),OR(sel_Category="All",G1567=sel_Category),AND(S1567&gt;=m_From,S1567&lt;=m_To)),1,0)</f>
        <v/>
      </c>
      <c r="AA1567" s="36">
        <f>IF(AND(OR(sel_Region="All",C1567=sel_Region),OR(sel_Country="All",D1567=sel_Country),OR(sel_Channel="All",E1567=sel_Channel),OR(sel_Customer="All",F1567=sel_Customer),OR(sel_Category="All",G1567=sel_Category),OR(sel_Product="All",H1567=sel_Product)),1,0)</f>
        <v/>
      </c>
    </row>
    <row r="1568">
      <c r="A1568" s="36" t="inlineStr">
        <is>
          <t>00382</t>
        </is>
      </c>
      <c r="B1568" s="44" t="n">
        <v>46239</v>
      </c>
      <c r="C1568" s="36" t="inlineStr">
        <is>
          <t>Western Europe</t>
        </is>
      </c>
      <c r="D1568" s="36" t="inlineStr">
        <is>
          <t>United Kingdom</t>
        </is>
      </c>
      <c r="E1568" s="36" t="inlineStr">
        <is>
          <t>Online Store</t>
        </is>
      </c>
      <c r="F1568" s="36" t="inlineStr">
        <is>
          <t>New</t>
        </is>
      </c>
      <c r="G1568" s="36" t="inlineStr">
        <is>
          <t>Fitness</t>
        </is>
      </c>
      <c r="H1568" s="36" t="inlineStr">
        <is>
          <t>Resistance Band Set</t>
        </is>
      </c>
      <c r="I1568" s="36" t="n">
        <v>1</v>
      </c>
      <c r="J1568" s="39" t="n">
        <v>40.42</v>
      </c>
      <c r="K1568" s="45" t="n">
        <v>0.05</v>
      </c>
      <c r="L1568" s="39" t="n">
        <v>14.33</v>
      </c>
      <c r="M1568" s="39">
        <f>I1568*J1568*(1-K1568)</f>
        <v/>
      </c>
      <c r="N1568" s="39">
        <f>I1568*L1568</f>
        <v/>
      </c>
      <c r="O1568" s="39">
        <f>M1568-N1568</f>
        <v/>
      </c>
      <c r="P1568" s="38">
        <f>IF(M1568=0,0,O1568/M1568)</f>
        <v/>
      </c>
      <c r="Q1568" s="36">
        <f>YEAR(B1568)</f>
        <v/>
      </c>
      <c r="R1568" s="36">
        <f>"Q"&amp;ROUNDUP(MONTH(B1568)/3,0)</f>
        <v/>
      </c>
      <c r="S1568" s="36">
        <f>MONTH(B1568)</f>
        <v/>
      </c>
      <c r="T1568" s="36">
        <f>TEXT(B1568,"mmm")</f>
        <v/>
      </c>
      <c r="U1568" s="36">
        <f>IF(AND(OR(sel_Region="All",C1568=sel_Region),OR(sel_Country="All",D1568=sel_Country),OR(sel_Channel="All",E1568=sel_Channel),OR(sel_Customer="All",F1568=sel_Customer),OR(sel_Category="All",G1568=sel_Category),OR(sel_Product="All",H1568=sel_Product),AND(S1568&gt;=m_From,S1568&lt;=m_To)),1,0)</f>
        <v/>
      </c>
      <c r="V1568" s="36">
        <f>IF(AND(OR(sel_Region="All",C1568=sel_Region),OR(sel_Channel="All",E1568=sel_Channel),OR(sel_Customer="All",F1568=sel_Customer),OR(sel_Category="All",G1568=sel_Category),OR(sel_Product="All",H1568=sel_Product),AND(S1568&gt;=m_From,S1568&lt;=m_To)),1,0)</f>
        <v/>
      </c>
      <c r="W1568" s="36">
        <f>IF(AND(OR(sel_Region="All",C1568=sel_Region),OR(sel_Country="All",D1568=sel_Country),OR(sel_Customer="All",F1568=sel_Customer),OR(sel_Category="All",G1568=sel_Category),OR(sel_Product="All",H1568=sel_Product),AND(S1568&gt;=m_From,S1568&lt;=m_To)),1,0)</f>
        <v/>
      </c>
      <c r="X1568" s="36">
        <f>IF(AND(OR(sel_Region="All",C1568=sel_Region),OR(sel_Country="All",D1568=sel_Country),OR(sel_Channel="All",E1568=sel_Channel),OR(sel_Category="All",G1568=sel_Category),OR(sel_Product="All",H1568=sel_Product),AND(S1568&gt;=m_From,S1568&lt;=m_To)),1,0)</f>
        <v/>
      </c>
      <c r="Y1568" s="36">
        <f>IF(AND(OR(sel_Region="All",C1568=sel_Region),OR(sel_Country="All",D1568=sel_Country),OR(sel_Channel="All",E1568=sel_Channel),OR(sel_Customer="All",F1568=sel_Customer),OR(sel_Product="All",H1568=sel_Product),AND(S1568&gt;=m_From,S1568&lt;=m_To)),1,0)</f>
        <v/>
      </c>
      <c r="Z1568" s="36">
        <f>IF(AND(OR(sel_Region="All",C1568=sel_Region),OR(sel_Country="All",D1568=sel_Country),OR(sel_Channel="All",E1568=sel_Channel),OR(sel_Customer="All",F1568=sel_Customer),OR(sel_Category="All",G1568=sel_Category),AND(S1568&gt;=m_From,S1568&lt;=m_To)),1,0)</f>
        <v/>
      </c>
      <c r="AA1568" s="36">
        <f>IF(AND(OR(sel_Region="All",C1568=sel_Region),OR(sel_Country="All",D1568=sel_Country),OR(sel_Channel="All",E1568=sel_Channel),OR(sel_Customer="All",F1568=sel_Customer),OR(sel_Category="All",G1568=sel_Category),OR(sel_Product="All",H1568=sel_Product)),1,0)</f>
        <v/>
      </c>
    </row>
    <row r="1569">
      <c r="A1569" s="36" t="inlineStr">
        <is>
          <t>01011</t>
        </is>
      </c>
      <c r="B1569" s="44" t="n">
        <v>46239</v>
      </c>
      <c r="C1569" s="36" t="inlineStr">
        <is>
          <t>Southern Europe</t>
        </is>
      </c>
      <c r="D1569" s="36" t="inlineStr">
        <is>
          <t>Spain</t>
        </is>
      </c>
      <c r="E1569" s="36" t="inlineStr">
        <is>
          <t>Online Store</t>
        </is>
      </c>
      <c r="F1569" s="36" t="inlineStr">
        <is>
          <t>New</t>
        </is>
      </c>
      <c r="G1569" s="36" t="inlineStr">
        <is>
          <t>Cycling</t>
        </is>
      </c>
      <c r="H1569" s="36" t="inlineStr">
        <is>
          <t>Trail Bike Light</t>
        </is>
      </c>
      <c r="I1569" s="36" t="n">
        <v>1</v>
      </c>
      <c r="J1569" s="39" t="n">
        <v>51.81</v>
      </c>
      <c r="K1569" s="45" t="n">
        <v>0.05</v>
      </c>
      <c r="L1569" s="39" t="n">
        <v>22.28</v>
      </c>
      <c r="M1569" s="39">
        <f>I1569*J1569*(1-K1569)</f>
        <v/>
      </c>
      <c r="N1569" s="39">
        <f>I1569*L1569</f>
        <v/>
      </c>
      <c r="O1569" s="39">
        <f>M1569-N1569</f>
        <v/>
      </c>
      <c r="P1569" s="38">
        <f>IF(M1569=0,0,O1569/M1569)</f>
        <v/>
      </c>
      <c r="Q1569" s="36">
        <f>YEAR(B1569)</f>
        <v/>
      </c>
      <c r="R1569" s="36">
        <f>"Q"&amp;ROUNDUP(MONTH(B1569)/3,0)</f>
        <v/>
      </c>
      <c r="S1569" s="36">
        <f>MONTH(B1569)</f>
        <v/>
      </c>
      <c r="T1569" s="36">
        <f>TEXT(B1569,"mmm")</f>
        <v/>
      </c>
      <c r="U1569" s="36">
        <f>IF(AND(OR(sel_Region="All",C1569=sel_Region),OR(sel_Country="All",D1569=sel_Country),OR(sel_Channel="All",E1569=sel_Channel),OR(sel_Customer="All",F1569=sel_Customer),OR(sel_Category="All",G1569=sel_Category),OR(sel_Product="All",H1569=sel_Product),AND(S1569&gt;=m_From,S1569&lt;=m_To)),1,0)</f>
        <v/>
      </c>
      <c r="V1569" s="36">
        <f>IF(AND(OR(sel_Region="All",C1569=sel_Region),OR(sel_Channel="All",E1569=sel_Channel),OR(sel_Customer="All",F1569=sel_Customer),OR(sel_Category="All",G1569=sel_Category),OR(sel_Product="All",H1569=sel_Product),AND(S1569&gt;=m_From,S1569&lt;=m_To)),1,0)</f>
        <v/>
      </c>
      <c r="W1569" s="36">
        <f>IF(AND(OR(sel_Region="All",C1569=sel_Region),OR(sel_Country="All",D1569=sel_Country),OR(sel_Customer="All",F1569=sel_Customer),OR(sel_Category="All",G1569=sel_Category),OR(sel_Product="All",H1569=sel_Product),AND(S1569&gt;=m_From,S1569&lt;=m_To)),1,0)</f>
        <v/>
      </c>
      <c r="X1569" s="36">
        <f>IF(AND(OR(sel_Region="All",C1569=sel_Region),OR(sel_Country="All",D1569=sel_Country),OR(sel_Channel="All",E1569=sel_Channel),OR(sel_Category="All",G1569=sel_Category),OR(sel_Product="All",H1569=sel_Product),AND(S1569&gt;=m_From,S1569&lt;=m_To)),1,0)</f>
        <v/>
      </c>
      <c r="Y1569" s="36">
        <f>IF(AND(OR(sel_Region="All",C1569=sel_Region),OR(sel_Country="All",D1569=sel_Country),OR(sel_Channel="All",E1569=sel_Channel),OR(sel_Customer="All",F1569=sel_Customer),OR(sel_Product="All",H1569=sel_Product),AND(S1569&gt;=m_From,S1569&lt;=m_To)),1,0)</f>
        <v/>
      </c>
      <c r="Z1569" s="36">
        <f>IF(AND(OR(sel_Region="All",C1569=sel_Region),OR(sel_Country="All",D1569=sel_Country),OR(sel_Channel="All",E1569=sel_Channel),OR(sel_Customer="All",F1569=sel_Customer),OR(sel_Category="All",G1569=sel_Category),AND(S1569&gt;=m_From,S1569&lt;=m_To)),1,0)</f>
        <v/>
      </c>
      <c r="AA1569" s="36">
        <f>IF(AND(OR(sel_Region="All",C1569=sel_Region),OR(sel_Country="All",D1569=sel_Country),OR(sel_Channel="All",E1569=sel_Channel),OR(sel_Customer="All",F1569=sel_Customer),OR(sel_Category="All",G1569=sel_Category),OR(sel_Product="All",H1569=sel_Product)),1,0)</f>
        <v/>
      </c>
    </row>
    <row r="1570">
      <c r="A1570" s="36" t="inlineStr">
        <is>
          <t>01148</t>
        </is>
      </c>
      <c r="B1570" s="44" t="n">
        <v>46239</v>
      </c>
      <c r="C1570" s="36" t="inlineStr">
        <is>
          <t>Northern Europe</t>
        </is>
      </c>
      <c r="D1570" s="36" t="inlineStr">
        <is>
          <t>Sweden</t>
        </is>
      </c>
      <c r="E1570" s="36" t="inlineStr">
        <is>
          <t>Retail Partners</t>
        </is>
      </c>
      <c r="F1570" s="36" t="inlineStr">
        <is>
          <t>New</t>
        </is>
      </c>
      <c r="G1570" s="36" t="inlineStr">
        <is>
          <t>Fitness</t>
        </is>
      </c>
      <c r="H1570" s="36" t="inlineStr">
        <is>
          <t>Recovery Roller</t>
        </is>
      </c>
      <c r="I1570" s="36" t="n">
        <v>3</v>
      </c>
      <c r="J1570" s="39" t="n">
        <v>35.9</v>
      </c>
      <c r="K1570" s="45" t="n">
        <v>0</v>
      </c>
      <c r="L1570" s="39" t="n">
        <v>14.11</v>
      </c>
      <c r="M1570" s="39">
        <f>I1570*J1570*(1-K1570)</f>
        <v/>
      </c>
      <c r="N1570" s="39">
        <f>I1570*L1570</f>
        <v/>
      </c>
      <c r="O1570" s="39">
        <f>M1570-N1570</f>
        <v/>
      </c>
      <c r="P1570" s="38">
        <f>IF(M1570=0,0,O1570/M1570)</f>
        <v/>
      </c>
      <c r="Q1570" s="36">
        <f>YEAR(B1570)</f>
        <v/>
      </c>
      <c r="R1570" s="36">
        <f>"Q"&amp;ROUNDUP(MONTH(B1570)/3,0)</f>
        <v/>
      </c>
      <c r="S1570" s="36">
        <f>MONTH(B1570)</f>
        <v/>
      </c>
      <c r="T1570" s="36">
        <f>TEXT(B1570,"mmm")</f>
        <v/>
      </c>
      <c r="U1570" s="36">
        <f>IF(AND(OR(sel_Region="All",C1570=sel_Region),OR(sel_Country="All",D1570=sel_Country),OR(sel_Channel="All",E1570=sel_Channel),OR(sel_Customer="All",F1570=sel_Customer),OR(sel_Category="All",G1570=sel_Category),OR(sel_Product="All",H1570=sel_Product),AND(S1570&gt;=m_From,S1570&lt;=m_To)),1,0)</f>
        <v/>
      </c>
      <c r="V1570" s="36">
        <f>IF(AND(OR(sel_Region="All",C1570=sel_Region),OR(sel_Channel="All",E1570=sel_Channel),OR(sel_Customer="All",F1570=sel_Customer),OR(sel_Category="All",G1570=sel_Category),OR(sel_Product="All",H1570=sel_Product),AND(S1570&gt;=m_From,S1570&lt;=m_To)),1,0)</f>
        <v/>
      </c>
      <c r="W1570" s="36">
        <f>IF(AND(OR(sel_Region="All",C1570=sel_Region),OR(sel_Country="All",D1570=sel_Country),OR(sel_Customer="All",F1570=sel_Customer),OR(sel_Category="All",G1570=sel_Category),OR(sel_Product="All",H1570=sel_Product),AND(S1570&gt;=m_From,S1570&lt;=m_To)),1,0)</f>
        <v/>
      </c>
      <c r="X1570" s="36">
        <f>IF(AND(OR(sel_Region="All",C1570=sel_Region),OR(sel_Country="All",D1570=sel_Country),OR(sel_Channel="All",E1570=sel_Channel),OR(sel_Category="All",G1570=sel_Category),OR(sel_Product="All",H1570=sel_Product),AND(S1570&gt;=m_From,S1570&lt;=m_To)),1,0)</f>
        <v/>
      </c>
      <c r="Y1570" s="36">
        <f>IF(AND(OR(sel_Region="All",C1570=sel_Region),OR(sel_Country="All",D1570=sel_Country),OR(sel_Channel="All",E1570=sel_Channel),OR(sel_Customer="All",F1570=sel_Customer),OR(sel_Product="All",H1570=sel_Product),AND(S1570&gt;=m_From,S1570&lt;=m_To)),1,0)</f>
        <v/>
      </c>
      <c r="Z1570" s="36">
        <f>IF(AND(OR(sel_Region="All",C1570=sel_Region),OR(sel_Country="All",D1570=sel_Country),OR(sel_Channel="All",E1570=sel_Channel),OR(sel_Customer="All",F1570=sel_Customer),OR(sel_Category="All",G1570=sel_Category),AND(S1570&gt;=m_From,S1570&lt;=m_To)),1,0)</f>
        <v/>
      </c>
      <c r="AA1570" s="36">
        <f>IF(AND(OR(sel_Region="All",C1570=sel_Region),OR(sel_Country="All",D1570=sel_Country),OR(sel_Channel="All",E1570=sel_Channel),OR(sel_Customer="All",F1570=sel_Customer),OR(sel_Category="All",G1570=sel_Category),OR(sel_Product="All",H1570=sel_Product)),1,0)</f>
        <v/>
      </c>
    </row>
    <row r="1571">
      <c r="A1571" s="36" t="inlineStr">
        <is>
          <t>01397</t>
        </is>
      </c>
      <c r="B1571" s="44" t="n">
        <v>46239</v>
      </c>
      <c r="C1571" s="36" t="inlineStr">
        <is>
          <t>Central Europe</t>
        </is>
      </c>
      <c r="D1571" s="36" t="inlineStr">
        <is>
          <t>Poland</t>
        </is>
      </c>
      <c r="E1571" s="36" t="inlineStr">
        <is>
          <t>Retail Partners</t>
        </is>
      </c>
      <c r="F1571" s="36" t="inlineStr">
        <is>
          <t>Business</t>
        </is>
      </c>
      <c r="G1571" s="36" t="inlineStr">
        <is>
          <t>Hiking</t>
        </is>
      </c>
      <c r="H1571" s="36" t="inlineStr">
        <is>
          <t>Hiking Daypack 20L</t>
        </is>
      </c>
      <c r="I1571" s="36" t="n">
        <v>2</v>
      </c>
      <c r="J1571" s="39" t="n">
        <v>90.27</v>
      </c>
      <c r="K1571" s="45" t="n">
        <v>0.05</v>
      </c>
      <c r="L1571" s="39" t="n">
        <v>46.38</v>
      </c>
      <c r="M1571" s="39">
        <f>I1571*J1571*(1-K1571)</f>
        <v/>
      </c>
      <c r="N1571" s="39">
        <f>I1571*L1571</f>
        <v/>
      </c>
      <c r="O1571" s="39">
        <f>M1571-N1571</f>
        <v/>
      </c>
      <c r="P1571" s="38">
        <f>IF(M1571=0,0,O1571/M1571)</f>
        <v/>
      </c>
      <c r="Q1571" s="36">
        <f>YEAR(B1571)</f>
        <v/>
      </c>
      <c r="R1571" s="36">
        <f>"Q"&amp;ROUNDUP(MONTH(B1571)/3,0)</f>
        <v/>
      </c>
      <c r="S1571" s="36">
        <f>MONTH(B1571)</f>
        <v/>
      </c>
      <c r="T1571" s="36">
        <f>TEXT(B1571,"mmm")</f>
        <v/>
      </c>
      <c r="U1571" s="36">
        <f>IF(AND(OR(sel_Region="All",C1571=sel_Region),OR(sel_Country="All",D1571=sel_Country),OR(sel_Channel="All",E1571=sel_Channel),OR(sel_Customer="All",F1571=sel_Customer),OR(sel_Category="All",G1571=sel_Category),OR(sel_Product="All",H1571=sel_Product),AND(S1571&gt;=m_From,S1571&lt;=m_To)),1,0)</f>
        <v/>
      </c>
      <c r="V1571" s="36">
        <f>IF(AND(OR(sel_Region="All",C1571=sel_Region),OR(sel_Channel="All",E1571=sel_Channel),OR(sel_Customer="All",F1571=sel_Customer),OR(sel_Category="All",G1571=sel_Category),OR(sel_Product="All",H1571=sel_Product),AND(S1571&gt;=m_From,S1571&lt;=m_To)),1,0)</f>
        <v/>
      </c>
      <c r="W1571" s="36">
        <f>IF(AND(OR(sel_Region="All",C1571=sel_Region),OR(sel_Country="All",D1571=sel_Country),OR(sel_Customer="All",F1571=sel_Customer),OR(sel_Category="All",G1571=sel_Category),OR(sel_Product="All",H1571=sel_Product),AND(S1571&gt;=m_From,S1571&lt;=m_To)),1,0)</f>
        <v/>
      </c>
      <c r="X1571" s="36">
        <f>IF(AND(OR(sel_Region="All",C1571=sel_Region),OR(sel_Country="All",D1571=sel_Country),OR(sel_Channel="All",E1571=sel_Channel),OR(sel_Category="All",G1571=sel_Category),OR(sel_Product="All",H1571=sel_Product),AND(S1571&gt;=m_From,S1571&lt;=m_To)),1,0)</f>
        <v/>
      </c>
      <c r="Y1571" s="36">
        <f>IF(AND(OR(sel_Region="All",C1571=sel_Region),OR(sel_Country="All",D1571=sel_Country),OR(sel_Channel="All",E1571=sel_Channel),OR(sel_Customer="All",F1571=sel_Customer),OR(sel_Product="All",H1571=sel_Product),AND(S1571&gt;=m_From,S1571&lt;=m_To)),1,0)</f>
        <v/>
      </c>
      <c r="Z1571" s="36">
        <f>IF(AND(OR(sel_Region="All",C1571=sel_Region),OR(sel_Country="All",D1571=sel_Country),OR(sel_Channel="All",E1571=sel_Channel),OR(sel_Customer="All",F1571=sel_Customer),OR(sel_Category="All",G1571=sel_Category),AND(S1571&gt;=m_From,S1571&lt;=m_To)),1,0)</f>
        <v/>
      </c>
      <c r="AA1571" s="36">
        <f>IF(AND(OR(sel_Region="All",C1571=sel_Region),OR(sel_Country="All",D1571=sel_Country),OR(sel_Channel="All",E1571=sel_Channel),OR(sel_Customer="All",F1571=sel_Customer),OR(sel_Category="All",G1571=sel_Category),OR(sel_Product="All",H1571=sel_Product)),1,0)</f>
        <v/>
      </c>
    </row>
    <row r="1572">
      <c r="A1572" s="36" t="inlineStr">
        <is>
          <t>02252</t>
        </is>
      </c>
      <c r="B1572" s="44" t="n">
        <v>46239</v>
      </c>
      <c r="C1572" s="36" t="inlineStr">
        <is>
          <t>Central Europe</t>
        </is>
      </c>
      <c r="D1572" s="36" t="inlineStr">
        <is>
          <t>Switzerland</t>
        </is>
      </c>
      <c r="E1572" s="36" t="inlineStr">
        <is>
          <t>Online Store</t>
        </is>
      </c>
      <c r="F1572" s="36" t="inlineStr">
        <is>
          <t>New</t>
        </is>
      </c>
      <c r="G1572" s="36" t="inlineStr">
        <is>
          <t>Cycling</t>
        </is>
      </c>
      <c r="H1572" s="36" t="inlineStr">
        <is>
          <t>Trail Bike Light</t>
        </is>
      </c>
      <c r="I1572" s="36" t="n">
        <v>1</v>
      </c>
      <c r="J1572" s="39" t="n">
        <v>49.68</v>
      </c>
      <c r="K1572" s="45" t="n">
        <v>0.05</v>
      </c>
      <c r="L1572" s="39" t="n">
        <v>22.02</v>
      </c>
      <c r="M1572" s="39">
        <f>I1572*J1572*(1-K1572)</f>
        <v/>
      </c>
      <c r="N1572" s="39">
        <f>I1572*L1572</f>
        <v/>
      </c>
      <c r="O1572" s="39">
        <f>M1572-N1572</f>
        <v/>
      </c>
      <c r="P1572" s="38">
        <f>IF(M1572=0,0,O1572/M1572)</f>
        <v/>
      </c>
      <c r="Q1572" s="36">
        <f>YEAR(B1572)</f>
        <v/>
      </c>
      <c r="R1572" s="36">
        <f>"Q"&amp;ROUNDUP(MONTH(B1572)/3,0)</f>
        <v/>
      </c>
      <c r="S1572" s="36">
        <f>MONTH(B1572)</f>
        <v/>
      </c>
      <c r="T1572" s="36">
        <f>TEXT(B1572,"mmm")</f>
        <v/>
      </c>
      <c r="U1572" s="36">
        <f>IF(AND(OR(sel_Region="All",C1572=sel_Region),OR(sel_Country="All",D1572=sel_Country),OR(sel_Channel="All",E1572=sel_Channel),OR(sel_Customer="All",F1572=sel_Customer),OR(sel_Category="All",G1572=sel_Category),OR(sel_Product="All",H1572=sel_Product),AND(S1572&gt;=m_From,S1572&lt;=m_To)),1,0)</f>
        <v/>
      </c>
      <c r="V1572" s="36">
        <f>IF(AND(OR(sel_Region="All",C1572=sel_Region),OR(sel_Channel="All",E1572=sel_Channel),OR(sel_Customer="All",F1572=sel_Customer),OR(sel_Category="All",G1572=sel_Category),OR(sel_Product="All",H1572=sel_Product),AND(S1572&gt;=m_From,S1572&lt;=m_To)),1,0)</f>
        <v/>
      </c>
      <c r="W1572" s="36">
        <f>IF(AND(OR(sel_Region="All",C1572=sel_Region),OR(sel_Country="All",D1572=sel_Country),OR(sel_Customer="All",F1572=sel_Customer),OR(sel_Category="All",G1572=sel_Category),OR(sel_Product="All",H1572=sel_Product),AND(S1572&gt;=m_From,S1572&lt;=m_To)),1,0)</f>
        <v/>
      </c>
      <c r="X1572" s="36">
        <f>IF(AND(OR(sel_Region="All",C1572=sel_Region),OR(sel_Country="All",D1572=sel_Country),OR(sel_Channel="All",E1572=sel_Channel),OR(sel_Category="All",G1572=sel_Category),OR(sel_Product="All",H1572=sel_Product),AND(S1572&gt;=m_From,S1572&lt;=m_To)),1,0)</f>
        <v/>
      </c>
      <c r="Y1572" s="36">
        <f>IF(AND(OR(sel_Region="All",C1572=sel_Region),OR(sel_Country="All",D1572=sel_Country),OR(sel_Channel="All",E1572=sel_Channel),OR(sel_Customer="All",F1572=sel_Customer),OR(sel_Product="All",H1572=sel_Product),AND(S1572&gt;=m_From,S1572&lt;=m_To)),1,0)</f>
        <v/>
      </c>
      <c r="Z1572" s="36">
        <f>IF(AND(OR(sel_Region="All",C1572=sel_Region),OR(sel_Country="All",D1572=sel_Country),OR(sel_Channel="All",E1572=sel_Channel),OR(sel_Customer="All",F1572=sel_Customer),OR(sel_Category="All",G1572=sel_Category),AND(S1572&gt;=m_From,S1572&lt;=m_To)),1,0)</f>
        <v/>
      </c>
      <c r="AA1572" s="36">
        <f>IF(AND(OR(sel_Region="All",C1572=sel_Region),OR(sel_Country="All",D1572=sel_Country),OR(sel_Channel="All",E1572=sel_Channel),OR(sel_Customer="All",F1572=sel_Customer),OR(sel_Category="All",G1572=sel_Category),OR(sel_Product="All",H1572=sel_Product)),1,0)</f>
        <v/>
      </c>
    </row>
    <row r="1573">
      <c r="A1573" s="36" t="inlineStr">
        <is>
          <t>02415</t>
        </is>
      </c>
      <c r="B1573" s="44" t="n">
        <v>46239</v>
      </c>
      <c r="C1573" s="36" t="inlineStr">
        <is>
          <t>Central Europe</t>
        </is>
      </c>
      <c r="D1573" s="36" t="inlineStr">
        <is>
          <t>Germany</t>
        </is>
      </c>
      <c r="E1573" s="36" t="inlineStr">
        <is>
          <t>Online Store</t>
        </is>
      </c>
      <c r="F1573" s="36" t="inlineStr">
        <is>
          <t>New</t>
        </is>
      </c>
      <c r="G1573" s="36" t="inlineStr">
        <is>
          <t>Travel</t>
        </is>
      </c>
      <c r="H1573" s="36" t="inlineStr">
        <is>
          <t>Carry-On Duffel</t>
        </is>
      </c>
      <c r="I1573" s="36" t="n">
        <v>2</v>
      </c>
      <c r="J1573" s="39" t="n">
        <v>131.25</v>
      </c>
      <c r="K1573" s="45" t="n">
        <v>0.05</v>
      </c>
      <c r="L1573" s="39" t="n">
        <v>65.42</v>
      </c>
      <c r="M1573" s="39">
        <f>I1573*J1573*(1-K1573)</f>
        <v/>
      </c>
      <c r="N1573" s="39">
        <f>I1573*L1573</f>
        <v/>
      </c>
      <c r="O1573" s="39">
        <f>M1573-N1573</f>
        <v/>
      </c>
      <c r="P1573" s="38">
        <f>IF(M1573=0,0,O1573/M1573)</f>
        <v/>
      </c>
      <c r="Q1573" s="36">
        <f>YEAR(B1573)</f>
        <v/>
      </c>
      <c r="R1573" s="36">
        <f>"Q"&amp;ROUNDUP(MONTH(B1573)/3,0)</f>
        <v/>
      </c>
      <c r="S1573" s="36">
        <f>MONTH(B1573)</f>
        <v/>
      </c>
      <c r="T1573" s="36">
        <f>TEXT(B1573,"mmm")</f>
        <v/>
      </c>
      <c r="U1573" s="36">
        <f>IF(AND(OR(sel_Region="All",C1573=sel_Region),OR(sel_Country="All",D1573=sel_Country),OR(sel_Channel="All",E1573=sel_Channel),OR(sel_Customer="All",F1573=sel_Customer),OR(sel_Category="All",G1573=sel_Category),OR(sel_Product="All",H1573=sel_Product),AND(S1573&gt;=m_From,S1573&lt;=m_To)),1,0)</f>
        <v/>
      </c>
      <c r="V1573" s="36">
        <f>IF(AND(OR(sel_Region="All",C1573=sel_Region),OR(sel_Channel="All",E1573=sel_Channel),OR(sel_Customer="All",F1573=sel_Customer),OR(sel_Category="All",G1573=sel_Category),OR(sel_Product="All",H1573=sel_Product),AND(S1573&gt;=m_From,S1573&lt;=m_To)),1,0)</f>
        <v/>
      </c>
      <c r="W1573" s="36">
        <f>IF(AND(OR(sel_Region="All",C1573=sel_Region),OR(sel_Country="All",D1573=sel_Country),OR(sel_Customer="All",F1573=sel_Customer),OR(sel_Category="All",G1573=sel_Category),OR(sel_Product="All",H1573=sel_Product),AND(S1573&gt;=m_From,S1573&lt;=m_To)),1,0)</f>
        <v/>
      </c>
      <c r="X1573" s="36">
        <f>IF(AND(OR(sel_Region="All",C1573=sel_Region),OR(sel_Country="All",D1573=sel_Country),OR(sel_Channel="All",E1573=sel_Channel),OR(sel_Category="All",G1573=sel_Category),OR(sel_Product="All",H1573=sel_Product),AND(S1573&gt;=m_From,S1573&lt;=m_To)),1,0)</f>
        <v/>
      </c>
      <c r="Y1573" s="36">
        <f>IF(AND(OR(sel_Region="All",C1573=sel_Region),OR(sel_Country="All",D1573=sel_Country),OR(sel_Channel="All",E1573=sel_Channel),OR(sel_Customer="All",F1573=sel_Customer),OR(sel_Product="All",H1573=sel_Product),AND(S1573&gt;=m_From,S1573&lt;=m_To)),1,0)</f>
        <v/>
      </c>
      <c r="Z1573" s="36">
        <f>IF(AND(OR(sel_Region="All",C1573=sel_Region),OR(sel_Country="All",D1573=sel_Country),OR(sel_Channel="All",E1573=sel_Channel),OR(sel_Customer="All",F1573=sel_Customer),OR(sel_Category="All",G1573=sel_Category),AND(S1573&gt;=m_From,S1573&lt;=m_To)),1,0)</f>
        <v/>
      </c>
      <c r="AA1573" s="36">
        <f>IF(AND(OR(sel_Region="All",C1573=sel_Region),OR(sel_Country="All",D1573=sel_Country),OR(sel_Channel="All",E1573=sel_Channel),OR(sel_Customer="All",F1573=sel_Customer),OR(sel_Category="All",G1573=sel_Category),OR(sel_Product="All",H1573=sel_Product)),1,0)</f>
        <v/>
      </c>
    </row>
    <row r="1574">
      <c r="A1574" s="36" t="inlineStr">
        <is>
          <t>02525</t>
        </is>
      </c>
      <c r="B1574" s="44" t="n">
        <v>46239</v>
      </c>
      <c r="C1574" s="36" t="inlineStr">
        <is>
          <t>Western Europe</t>
        </is>
      </c>
      <c r="D1574" s="36" t="inlineStr">
        <is>
          <t>Belgium</t>
        </is>
      </c>
      <c r="E1574" s="36" t="inlineStr">
        <is>
          <t>Retail Partners</t>
        </is>
      </c>
      <c r="F1574" s="36" t="inlineStr">
        <is>
          <t>New</t>
        </is>
      </c>
      <c r="G1574" s="36" t="inlineStr">
        <is>
          <t>Fitness</t>
        </is>
      </c>
      <c r="H1574" s="36" t="inlineStr">
        <is>
          <t>Recovery Roller</t>
        </is>
      </c>
      <c r="I1574" s="36" t="n">
        <v>2</v>
      </c>
      <c r="J1574" s="39" t="n">
        <v>36.78</v>
      </c>
      <c r="K1574" s="45" t="n">
        <v>0.05</v>
      </c>
      <c r="L1574" s="39" t="n">
        <v>13.85</v>
      </c>
      <c r="M1574" s="39">
        <f>I1574*J1574*(1-K1574)</f>
        <v/>
      </c>
      <c r="N1574" s="39">
        <f>I1574*L1574</f>
        <v/>
      </c>
      <c r="O1574" s="39">
        <f>M1574-N1574</f>
        <v/>
      </c>
      <c r="P1574" s="38">
        <f>IF(M1574=0,0,O1574/M1574)</f>
        <v/>
      </c>
      <c r="Q1574" s="36">
        <f>YEAR(B1574)</f>
        <v/>
      </c>
      <c r="R1574" s="36">
        <f>"Q"&amp;ROUNDUP(MONTH(B1574)/3,0)</f>
        <v/>
      </c>
      <c r="S1574" s="36">
        <f>MONTH(B1574)</f>
        <v/>
      </c>
      <c r="T1574" s="36">
        <f>TEXT(B1574,"mmm")</f>
        <v/>
      </c>
      <c r="U1574" s="36">
        <f>IF(AND(OR(sel_Region="All",C1574=sel_Region),OR(sel_Country="All",D1574=sel_Country),OR(sel_Channel="All",E1574=sel_Channel),OR(sel_Customer="All",F1574=sel_Customer),OR(sel_Category="All",G1574=sel_Category),OR(sel_Product="All",H1574=sel_Product),AND(S1574&gt;=m_From,S1574&lt;=m_To)),1,0)</f>
        <v/>
      </c>
      <c r="V1574" s="36">
        <f>IF(AND(OR(sel_Region="All",C1574=sel_Region),OR(sel_Channel="All",E1574=sel_Channel),OR(sel_Customer="All",F1574=sel_Customer),OR(sel_Category="All",G1574=sel_Category),OR(sel_Product="All",H1574=sel_Product),AND(S1574&gt;=m_From,S1574&lt;=m_To)),1,0)</f>
        <v/>
      </c>
      <c r="W1574" s="36">
        <f>IF(AND(OR(sel_Region="All",C1574=sel_Region),OR(sel_Country="All",D1574=sel_Country),OR(sel_Customer="All",F1574=sel_Customer),OR(sel_Category="All",G1574=sel_Category),OR(sel_Product="All",H1574=sel_Product),AND(S1574&gt;=m_From,S1574&lt;=m_To)),1,0)</f>
        <v/>
      </c>
      <c r="X1574" s="36">
        <f>IF(AND(OR(sel_Region="All",C1574=sel_Region),OR(sel_Country="All",D1574=sel_Country),OR(sel_Channel="All",E1574=sel_Channel),OR(sel_Category="All",G1574=sel_Category),OR(sel_Product="All",H1574=sel_Product),AND(S1574&gt;=m_From,S1574&lt;=m_To)),1,0)</f>
        <v/>
      </c>
      <c r="Y1574" s="36">
        <f>IF(AND(OR(sel_Region="All",C1574=sel_Region),OR(sel_Country="All",D1574=sel_Country),OR(sel_Channel="All",E1574=sel_Channel),OR(sel_Customer="All",F1574=sel_Customer),OR(sel_Product="All",H1574=sel_Product),AND(S1574&gt;=m_From,S1574&lt;=m_To)),1,0)</f>
        <v/>
      </c>
      <c r="Z1574" s="36">
        <f>IF(AND(OR(sel_Region="All",C1574=sel_Region),OR(sel_Country="All",D1574=sel_Country),OR(sel_Channel="All",E1574=sel_Channel),OR(sel_Customer="All",F1574=sel_Customer),OR(sel_Category="All",G1574=sel_Category),AND(S1574&gt;=m_From,S1574&lt;=m_To)),1,0)</f>
        <v/>
      </c>
      <c r="AA1574" s="36">
        <f>IF(AND(OR(sel_Region="All",C1574=sel_Region),OR(sel_Country="All",D1574=sel_Country),OR(sel_Channel="All",E1574=sel_Channel),OR(sel_Customer="All",F1574=sel_Customer),OR(sel_Category="All",G1574=sel_Category),OR(sel_Product="All",H1574=sel_Product)),1,0)</f>
        <v/>
      </c>
    </row>
    <row r="1575">
      <c r="A1575" s="36" t="inlineStr">
        <is>
          <t>02652</t>
        </is>
      </c>
      <c r="B1575" s="44" t="n">
        <v>46239</v>
      </c>
      <c r="C1575" s="36" t="inlineStr">
        <is>
          <t>Northern Europe</t>
        </is>
      </c>
      <c r="D1575" s="36" t="inlineStr">
        <is>
          <t>Sweden</t>
        </is>
      </c>
      <c r="E1575" s="36" t="inlineStr">
        <is>
          <t>Retail Partners</t>
        </is>
      </c>
      <c r="F1575" s="36" t="inlineStr">
        <is>
          <t>Returning</t>
        </is>
      </c>
      <c r="G1575" s="36" t="inlineStr">
        <is>
          <t>Cycling</t>
        </is>
      </c>
      <c r="H1575" s="36" t="inlineStr">
        <is>
          <t>Commuter Helmet</t>
        </is>
      </c>
      <c r="I1575" s="36" t="n">
        <v>1</v>
      </c>
      <c r="J1575" s="39" t="n">
        <v>80.79000000000001</v>
      </c>
      <c r="K1575" s="45" t="n">
        <v>0.1</v>
      </c>
      <c r="L1575" s="39" t="n">
        <v>43.65</v>
      </c>
      <c r="M1575" s="39">
        <f>I1575*J1575*(1-K1575)</f>
        <v/>
      </c>
      <c r="N1575" s="39">
        <f>I1575*L1575</f>
        <v/>
      </c>
      <c r="O1575" s="39">
        <f>M1575-N1575</f>
        <v/>
      </c>
      <c r="P1575" s="38">
        <f>IF(M1575=0,0,O1575/M1575)</f>
        <v/>
      </c>
      <c r="Q1575" s="36">
        <f>YEAR(B1575)</f>
        <v/>
      </c>
      <c r="R1575" s="36">
        <f>"Q"&amp;ROUNDUP(MONTH(B1575)/3,0)</f>
        <v/>
      </c>
      <c r="S1575" s="36">
        <f>MONTH(B1575)</f>
        <v/>
      </c>
      <c r="T1575" s="36">
        <f>TEXT(B1575,"mmm")</f>
        <v/>
      </c>
      <c r="U1575" s="36">
        <f>IF(AND(OR(sel_Region="All",C1575=sel_Region),OR(sel_Country="All",D1575=sel_Country),OR(sel_Channel="All",E1575=sel_Channel),OR(sel_Customer="All",F1575=sel_Customer),OR(sel_Category="All",G1575=sel_Category),OR(sel_Product="All",H1575=sel_Product),AND(S1575&gt;=m_From,S1575&lt;=m_To)),1,0)</f>
        <v/>
      </c>
      <c r="V1575" s="36">
        <f>IF(AND(OR(sel_Region="All",C1575=sel_Region),OR(sel_Channel="All",E1575=sel_Channel),OR(sel_Customer="All",F1575=sel_Customer),OR(sel_Category="All",G1575=sel_Category),OR(sel_Product="All",H1575=sel_Product),AND(S1575&gt;=m_From,S1575&lt;=m_To)),1,0)</f>
        <v/>
      </c>
      <c r="W1575" s="36">
        <f>IF(AND(OR(sel_Region="All",C1575=sel_Region),OR(sel_Country="All",D1575=sel_Country),OR(sel_Customer="All",F1575=sel_Customer),OR(sel_Category="All",G1575=sel_Category),OR(sel_Product="All",H1575=sel_Product),AND(S1575&gt;=m_From,S1575&lt;=m_To)),1,0)</f>
        <v/>
      </c>
      <c r="X1575" s="36">
        <f>IF(AND(OR(sel_Region="All",C1575=sel_Region),OR(sel_Country="All",D1575=sel_Country),OR(sel_Channel="All",E1575=sel_Channel),OR(sel_Category="All",G1575=sel_Category),OR(sel_Product="All",H1575=sel_Product),AND(S1575&gt;=m_From,S1575&lt;=m_To)),1,0)</f>
        <v/>
      </c>
      <c r="Y1575" s="36">
        <f>IF(AND(OR(sel_Region="All",C1575=sel_Region),OR(sel_Country="All",D1575=sel_Country),OR(sel_Channel="All",E1575=sel_Channel),OR(sel_Customer="All",F1575=sel_Customer),OR(sel_Product="All",H1575=sel_Product),AND(S1575&gt;=m_From,S1575&lt;=m_To)),1,0)</f>
        <v/>
      </c>
      <c r="Z1575" s="36">
        <f>IF(AND(OR(sel_Region="All",C1575=sel_Region),OR(sel_Country="All",D1575=sel_Country),OR(sel_Channel="All",E1575=sel_Channel),OR(sel_Customer="All",F1575=sel_Customer),OR(sel_Category="All",G1575=sel_Category),AND(S1575&gt;=m_From,S1575&lt;=m_To)),1,0)</f>
        <v/>
      </c>
      <c r="AA1575" s="36">
        <f>IF(AND(OR(sel_Region="All",C1575=sel_Region),OR(sel_Country="All",D1575=sel_Country),OR(sel_Channel="All",E1575=sel_Channel),OR(sel_Customer="All",F1575=sel_Customer),OR(sel_Category="All",G1575=sel_Category),OR(sel_Product="All",H1575=sel_Product)),1,0)</f>
        <v/>
      </c>
    </row>
    <row r="1576">
      <c r="A1576" s="36" t="inlineStr">
        <is>
          <t>04035</t>
        </is>
      </c>
      <c r="B1576" s="44" t="n">
        <v>46239</v>
      </c>
      <c r="C1576" s="36" t="inlineStr">
        <is>
          <t>Southern Europe</t>
        </is>
      </c>
      <c r="D1576" s="36" t="inlineStr">
        <is>
          <t>Portugal</t>
        </is>
      </c>
      <c r="E1576" s="36" t="inlineStr">
        <is>
          <t>Online Store</t>
        </is>
      </c>
      <c r="F1576" s="36" t="inlineStr">
        <is>
          <t>Returning</t>
        </is>
      </c>
      <c r="G1576" s="36" t="inlineStr">
        <is>
          <t>Cycling</t>
        </is>
      </c>
      <c r="H1576" s="36" t="inlineStr">
        <is>
          <t>Compact Repair Kit</t>
        </is>
      </c>
      <c r="I1576" s="36" t="n">
        <v>2</v>
      </c>
      <c r="J1576" s="39" t="n">
        <v>40.53</v>
      </c>
      <c r="K1576" s="45" t="n">
        <v>0.05</v>
      </c>
      <c r="L1576" s="39" t="n">
        <v>17.1</v>
      </c>
      <c r="M1576" s="39">
        <f>I1576*J1576*(1-K1576)</f>
        <v/>
      </c>
      <c r="N1576" s="39">
        <f>I1576*L1576</f>
        <v/>
      </c>
      <c r="O1576" s="39">
        <f>M1576-N1576</f>
        <v/>
      </c>
      <c r="P1576" s="38">
        <f>IF(M1576=0,0,O1576/M1576)</f>
        <v/>
      </c>
      <c r="Q1576" s="36">
        <f>YEAR(B1576)</f>
        <v/>
      </c>
      <c r="R1576" s="36">
        <f>"Q"&amp;ROUNDUP(MONTH(B1576)/3,0)</f>
        <v/>
      </c>
      <c r="S1576" s="36">
        <f>MONTH(B1576)</f>
        <v/>
      </c>
      <c r="T1576" s="36">
        <f>TEXT(B1576,"mmm")</f>
        <v/>
      </c>
      <c r="U1576" s="36">
        <f>IF(AND(OR(sel_Region="All",C1576=sel_Region),OR(sel_Country="All",D1576=sel_Country),OR(sel_Channel="All",E1576=sel_Channel),OR(sel_Customer="All",F1576=sel_Customer),OR(sel_Category="All",G1576=sel_Category),OR(sel_Product="All",H1576=sel_Product),AND(S1576&gt;=m_From,S1576&lt;=m_To)),1,0)</f>
        <v/>
      </c>
      <c r="V1576" s="36">
        <f>IF(AND(OR(sel_Region="All",C1576=sel_Region),OR(sel_Channel="All",E1576=sel_Channel),OR(sel_Customer="All",F1576=sel_Customer),OR(sel_Category="All",G1576=sel_Category),OR(sel_Product="All",H1576=sel_Product),AND(S1576&gt;=m_From,S1576&lt;=m_To)),1,0)</f>
        <v/>
      </c>
      <c r="W1576" s="36">
        <f>IF(AND(OR(sel_Region="All",C1576=sel_Region),OR(sel_Country="All",D1576=sel_Country),OR(sel_Customer="All",F1576=sel_Customer),OR(sel_Category="All",G1576=sel_Category),OR(sel_Product="All",H1576=sel_Product),AND(S1576&gt;=m_From,S1576&lt;=m_To)),1,0)</f>
        <v/>
      </c>
      <c r="X1576" s="36">
        <f>IF(AND(OR(sel_Region="All",C1576=sel_Region),OR(sel_Country="All",D1576=sel_Country),OR(sel_Channel="All",E1576=sel_Channel),OR(sel_Category="All",G1576=sel_Category),OR(sel_Product="All",H1576=sel_Product),AND(S1576&gt;=m_From,S1576&lt;=m_To)),1,0)</f>
        <v/>
      </c>
      <c r="Y1576" s="36">
        <f>IF(AND(OR(sel_Region="All",C1576=sel_Region),OR(sel_Country="All",D1576=sel_Country),OR(sel_Channel="All",E1576=sel_Channel),OR(sel_Customer="All",F1576=sel_Customer),OR(sel_Product="All",H1576=sel_Product),AND(S1576&gt;=m_From,S1576&lt;=m_To)),1,0)</f>
        <v/>
      </c>
      <c r="Z1576" s="36">
        <f>IF(AND(OR(sel_Region="All",C1576=sel_Region),OR(sel_Country="All",D1576=sel_Country),OR(sel_Channel="All",E1576=sel_Channel),OR(sel_Customer="All",F1576=sel_Customer),OR(sel_Category="All",G1576=sel_Category),AND(S1576&gt;=m_From,S1576&lt;=m_To)),1,0)</f>
        <v/>
      </c>
      <c r="AA1576" s="36">
        <f>IF(AND(OR(sel_Region="All",C1576=sel_Region),OR(sel_Country="All",D1576=sel_Country),OR(sel_Channel="All",E1576=sel_Channel),OR(sel_Customer="All",F1576=sel_Customer),OR(sel_Category="All",G1576=sel_Category),OR(sel_Product="All",H1576=sel_Product)),1,0)</f>
        <v/>
      </c>
    </row>
    <row r="1577">
      <c r="A1577" s="36" t="inlineStr">
        <is>
          <t>04377</t>
        </is>
      </c>
      <c r="B1577" s="44" t="n">
        <v>46239</v>
      </c>
      <c r="C1577" s="36" t="inlineStr">
        <is>
          <t>Northern Europe</t>
        </is>
      </c>
      <c r="D1577" s="36" t="inlineStr">
        <is>
          <t>Sweden</t>
        </is>
      </c>
      <c r="E1577" s="36" t="inlineStr">
        <is>
          <t>Marketplace</t>
        </is>
      </c>
      <c r="F1577" s="36" t="inlineStr">
        <is>
          <t>New</t>
        </is>
      </c>
      <c r="G1577" s="36" t="inlineStr">
        <is>
          <t>Cycling</t>
        </is>
      </c>
      <c r="H1577" s="36" t="inlineStr">
        <is>
          <t>Commuter Helmet</t>
        </is>
      </c>
      <c r="I1577" s="36" t="n">
        <v>2</v>
      </c>
      <c r="J1577" s="39" t="n">
        <v>81.66</v>
      </c>
      <c r="K1577" s="45" t="n">
        <v>0</v>
      </c>
      <c r="L1577" s="39" t="n">
        <v>42.11</v>
      </c>
      <c r="M1577" s="39">
        <f>I1577*J1577*(1-K1577)</f>
        <v/>
      </c>
      <c r="N1577" s="39">
        <f>I1577*L1577</f>
        <v/>
      </c>
      <c r="O1577" s="39">
        <f>M1577-N1577</f>
        <v/>
      </c>
      <c r="P1577" s="38">
        <f>IF(M1577=0,0,O1577/M1577)</f>
        <v/>
      </c>
      <c r="Q1577" s="36">
        <f>YEAR(B1577)</f>
        <v/>
      </c>
      <c r="R1577" s="36">
        <f>"Q"&amp;ROUNDUP(MONTH(B1577)/3,0)</f>
        <v/>
      </c>
      <c r="S1577" s="36">
        <f>MONTH(B1577)</f>
        <v/>
      </c>
      <c r="T1577" s="36">
        <f>TEXT(B1577,"mmm")</f>
        <v/>
      </c>
      <c r="U1577" s="36">
        <f>IF(AND(OR(sel_Region="All",C1577=sel_Region),OR(sel_Country="All",D1577=sel_Country),OR(sel_Channel="All",E1577=sel_Channel),OR(sel_Customer="All",F1577=sel_Customer),OR(sel_Category="All",G1577=sel_Category),OR(sel_Product="All",H1577=sel_Product),AND(S1577&gt;=m_From,S1577&lt;=m_To)),1,0)</f>
        <v/>
      </c>
      <c r="V1577" s="36">
        <f>IF(AND(OR(sel_Region="All",C1577=sel_Region),OR(sel_Channel="All",E1577=sel_Channel),OR(sel_Customer="All",F1577=sel_Customer),OR(sel_Category="All",G1577=sel_Category),OR(sel_Product="All",H1577=sel_Product),AND(S1577&gt;=m_From,S1577&lt;=m_To)),1,0)</f>
        <v/>
      </c>
      <c r="W1577" s="36">
        <f>IF(AND(OR(sel_Region="All",C1577=sel_Region),OR(sel_Country="All",D1577=sel_Country),OR(sel_Customer="All",F1577=sel_Customer),OR(sel_Category="All",G1577=sel_Category),OR(sel_Product="All",H1577=sel_Product),AND(S1577&gt;=m_From,S1577&lt;=m_To)),1,0)</f>
        <v/>
      </c>
      <c r="X1577" s="36">
        <f>IF(AND(OR(sel_Region="All",C1577=sel_Region),OR(sel_Country="All",D1577=sel_Country),OR(sel_Channel="All",E1577=sel_Channel),OR(sel_Category="All",G1577=sel_Category),OR(sel_Product="All",H1577=sel_Product),AND(S1577&gt;=m_From,S1577&lt;=m_To)),1,0)</f>
        <v/>
      </c>
      <c r="Y1577" s="36">
        <f>IF(AND(OR(sel_Region="All",C1577=sel_Region),OR(sel_Country="All",D1577=sel_Country),OR(sel_Channel="All",E1577=sel_Channel),OR(sel_Customer="All",F1577=sel_Customer),OR(sel_Product="All",H1577=sel_Product),AND(S1577&gt;=m_From,S1577&lt;=m_To)),1,0)</f>
        <v/>
      </c>
      <c r="Z1577" s="36">
        <f>IF(AND(OR(sel_Region="All",C1577=sel_Region),OR(sel_Country="All",D1577=sel_Country),OR(sel_Channel="All",E1577=sel_Channel),OR(sel_Customer="All",F1577=sel_Customer),OR(sel_Category="All",G1577=sel_Category),AND(S1577&gt;=m_From,S1577&lt;=m_To)),1,0)</f>
        <v/>
      </c>
      <c r="AA1577" s="36">
        <f>IF(AND(OR(sel_Region="All",C1577=sel_Region),OR(sel_Country="All",D1577=sel_Country),OR(sel_Channel="All",E1577=sel_Channel),OR(sel_Customer="All",F1577=sel_Customer),OR(sel_Category="All",G1577=sel_Category),OR(sel_Product="All",H1577=sel_Product)),1,0)</f>
        <v/>
      </c>
    </row>
    <row r="1578">
      <c r="A1578" s="36" t="inlineStr">
        <is>
          <t>04734</t>
        </is>
      </c>
      <c r="B1578" s="44" t="n">
        <v>46239</v>
      </c>
      <c r="C1578" s="36" t="inlineStr">
        <is>
          <t>Central Europe</t>
        </is>
      </c>
      <c r="D1578" s="36" t="inlineStr">
        <is>
          <t>Germany</t>
        </is>
      </c>
      <c r="E1578" s="36" t="inlineStr">
        <is>
          <t>Marketplace</t>
        </is>
      </c>
      <c r="F1578" s="36" t="inlineStr">
        <is>
          <t>Returning</t>
        </is>
      </c>
      <c r="G1578" s="36" t="inlineStr">
        <is>
          <t>Hiking</t>
        </is>
      </c>
      <c r="H1578" s="36" t="inlineStr">
        <is>
          <t>Trail Boots</t>
        </is>
      </c>
      <c r="I1578" s="36" t="n">
        <v>1</v>
      </c>
      <c r="J1578" s="39" t="n">
        <v>146.55</v>
      </c>
      <c r="K1578" s="45" t="n">
        <v>0</v>
      </c>
      <c r="L1578" s="39" t="n">
        <v>78.8</v>
      </c>
      <c r="M1578" s="39">
        <f>I1578*J1578*(1-K1578)</f>
        <v/>
      </c>
      <c r="N1578" s="39">
        <f>I1578*L1578</f>
        <v/>
      </c>
      <c r="O1578" s="39">
        <f>M1578-N1578</f>
        <v/>
      </c>
      <c r="P1578" s="38">
        <f>IF(M1578=0,0,O1578/M1578)</f>
        <v/>
      </c>
      <c r="Q1578" s="36">
        <f>YEAR(B1578)</f>
        <v/>
      </c>
      <c r="R1578" s="36">
        <f>"Q"&amp;ROUNDUP(MONTH(B1578)/3,0)</f>
        <v/>
      </c>
      <c r="S1578" s="36">
        <f>MONTH(B1578)</f>
        <v/>
      </c>
      <c r="T1578" s="36">
        <f>TEXT(B1578,"mmm")</f>
        <v/>
      </c>
      <c r="U1578" s="36">
        <f>IF(AND(OR(sel_Region="All",C1578=sel_Region),OR(sel_Country="All",D1578=sel_Country),OR(sel_Channel="All",E1578=sel_Channel),OR(sel_Customer="All",F1578=sel_Customer),OR(sel_Category="All",G1578=sel_Category),OR(sel_Product="All",H1578=sel_Product),AND(S1578&gt;=m_From,S1578&lt;=m_To)),1,0)</f>
        <v/>
      </c>
      <c r="V1578" s="36">
        <f>IF(AND(OR(sel_Region="All",C1578=sel_Region),OR(sel_Channel="All",E1578=sel_Channel),OR(sel_Customer="All",F1578=sel_Customer),OR(sel_Category="All",G1578=sel_Category),OR(sel_Product="All",H1578=sel_Product),AND(S1578&gt;=m_From,S1578&lt;=m_To)),1,0)</f>
        <v/>
      </c>
      <c r="W1578" s="36">
        <f>IF(AND(OR(sel_Region="All",C1578=sel_Region),OR(sel_Country="All",D1578=sel_Country),OR(sel_Customer="All",F1578=sel_Customer),OR(sel_Category="All",G1578=sel_Category),OR(sel_Product="All",H1578=sel_Product),AND(S1578&gt;=m_From,S1578&lt;=m_To)),1,0)</f>
        <v/>
      </c>
      <c r="X1578" s="36">
        <f>IF(AND(OR(sel_Region="All",C1578=sel_Region),OR(sel_Country="All",D1578=sel_Country),OR(sel_Channel="All",E1578=sel_Channel),OR(sel_Category="All",G1578=sel_Category),OR(sel_Product="All",H1578=sel_Product),AND(S1578&gt;=m_From,S1578&lt;=m_To)),1,0)</f>
        <v/>
      </c>
      <c r="Y1578" s="36">
        <f>IF(AND(OR(sel_Region="All",C1578=sel_Region),OR(sel_Country="All",D1578=sel_Country),OR(sel_Channel="All",E1578=sel_Channel),OR(sel_Customer="All",F1578=sel_Customer),OR(sel_Product="All",H1578=sel_Product),AND(S1578&gt;=m_From,S1578&lt;=m_To)),1,0)</f>
        <v/>
      </c>
      <c r="Z1578" s="36">
        <f>IF(AND(OR(sel_Region="All",C1578=sel_Region),OR(sel_Country="All",D1578=sel_Country),OR(sel_Channel="All",E1578=sel_Channel),OR(sel_Customer="All",F1578=sel_Customer),OR(sel_Category="All",G1578=sel_Category),AND(S1578&gt;=m_From,S1578&lt;=m_To)),1,0)</f>
        <v/>
      </c>
      <c r="AA1578" s="36">
        <f>IF(AND(OR(sel_Region="All",C1578=sel_Region),OR(sel_Country="All",D1578=sel_Country),OR(sel_Channel="All",E1578=sel_Channel),OR(sel_Customer="All",F1578=sel_Customer),OR(sel_Category="All",G1578=sel_Category),OR(sel_Product="All",H1578=sel_Product)),1,0)</f>
        <v/>
      </c>
    </row>
    <row r="1579">
      <c r="A1579" s="36" t="inlineStr">
        <is>
          <t>04892</t>
        </is>
      </c>
      <c r="B1579" s="44" t="n">
        <v>46239</v>
      </c>
      <c r="C1579" s="36" t="inlineStr">
        <is>
          <t>Central Europe</t>
        </is>
      </c>
      <c r="D1579" s="36" t="inlineStr">
        <is>
          <t>Czechia</t>
        </is>
      </c>
      <c r="E1579" s="36" t="inlineStr">
        <is>
          <t>Retail Partners</t>
        </is>
      </c>
      <c r="F1579" s="36" t="inlineStr">
        <is>
          <t>Returning</t>
        </is>
      </c>
      <c r="G1579" s="36" t="inlineStr">
        <is>
          <t>Travel</t>
        </is>
      </c>
      <c r="H1579" s="36" t="inlineStr">
        <is>
          <t>Travel Backpack 35L</t>
        </is>
      </c>
      <c r="I1579" s="36" t="n">
        <v>2</v>
      </c>
      <c r="J1579" s="39" t="n">
        <v>161.75</v>
      </c>
      <c r="K1579" s="45" t="n">
        <v>0.1</v>
      </c>
      <c r="L1579" s="39" t="n">
        <v>85.84999999999999</v>
      </c>
      <c r="M1579" s="39">
        <f>I1579*J1579*(1-K1579)</f>
        <v/>
      </c>
      <c r="N1579" s="39">
        <f>I1579*L1579</f>
        <v/>
      </c>
      <c r="O1579" s="39">
        <f>M1579-N1579</f>
        <v/>
      </c>
      <c r="P1579" s="38">
        <f>IF(M1579=0,0,O1579/M1579)</f>
        <v/>
      </c>
      <c r="Q1579" s="36">
        <f>YEAR(B1579)</f>
        <v/>
      </c>
      <c r="R1579" s="36">
        <f>"Q"&amp;ROUNDUP(MONTH(B1579)/3,0)</f>
        <v/>
      </c>
      <c r="S1579" s="36">
        <f>MONTH(B1579)</f>
        <v/>
      </c>
      <c r="T1579" s="36">
        <f>TEXT(B1579,"mmm")</f>
        <v/>
      </c>
      <c r="U1579" s="36">
        <f>IF(AND(OR(sel_Region="All",C1579=sel_Region),OR(sel_Country="All",D1579=sel_Country),OR(sel_Channel="All",E1579=sel_Channel),OR(sel_Customer="All",F1579=sel_Customer),OR(sel_Category="All",G1579=sel_Category),OR(sel_Product="All",H1579=sel_Product),AND(S1579&gt;=m_From,S1579&lt;=m_To)),1,0)</f>
        <v/>
      </c>
      <c r="V1579" s="36">
        <f>IF(AND(OR(sel_Region="All",C1579=sel_Region),OR(sel_Channel="All",E1579=sel_Channel),OR(sel_Customer="All",F1579=sel_Customer),OR(sel_Category="All",G1579=sel_Category),OR(sel_Product="All",H1579=sel_Product),AND(S1579&gt;=m_From,S1579&lt;=m_To)),1,0)</f>
        <v/>
      </c>
      <c r="W1579" s="36">
        <f>IF(AND(OR(sel_Region="All",C1579=sel_Region),OR(sel_Country="All",D1579=sel_Country),OR(sel_Customer="All",F1579=sel_Customer),OR(sel_Category="All",G1579=sel_Category),OR(sel_Product="All",H1579=sel_Product),AND(S1579&gt;=m_From,S1579&lt;=m_To)),1,0)</f>
        <v/>
      </c>
      <c r="X1579" s="36">
        <f>IF(AND(OR(sel_Region="All",C1579=sel_Region),OR(sel_Country="All",D1579=sel_Country),OR(sel_Channel="All",E1579=sel_Channel),OR(sel_Category="All",G1579=sel_Category),OR(sel_Product="All",H1579=sel_Product),AND(S1579&gt;=m_From,S1579&lt;=m_To)),1,0)</f>
        <v/>
      </c>
      <c r="Y1579" s="36">
        <f>IF(AND(OR(sel_Region="All",C1579=sel_Region),OR(sel_Country="All",D1579=sel_Country),OR(sel_Channel="All",E1579=sel_Channel),OR(sel_Customer="All",F1579=sel_Customer),OR(sel_Product="All",H1579=sel_Product),AND(S1579&gt;=m_From,S1579&lt;=m_To)),1,0)</f>
        <v/>
      </c>
      <c r="Z1579" s="36">
        <f>IF(AND(OR(sel_Region="All",C1579=sel_Region),OR(sel_Country="All",D1579=sel_Country),OR(sel_Channel="All",E1579=sel_Channel),OR(sel_Customer="All",F1579=sel_Customer),OR(sel_Category="All",G1579=sel_Category),AND(S1579&gt;=m_From,S1579&lt;=m_To)),1,0)</f>
        <v/>
      </c>
      <c r="AA1579" s="36">
        <f>IF(AND(OR(sel_Region="All",C1579=sel_Region),OR(sel_Country="All",D1579=sel_Country),OR(sel_Channel="All",E1579=sel_Channel),OR(sel_Customer="All",F1579=sel_Customer),OR(sel_Category="All",G1579=sel_Category),OR(sel_Product="All",H1579=sel_Product)),1,0)</f>
        <v/>
      </c>
    </row>
    <row r="1580">
      <c r="A1580" s="36" t="inlineStr">
        <is>
          <t>05059</t>
        </is>
      </c>
      <c r="B1580" s="44" t="n">
        <v>46239</v>
      </c>
      <c r="C1580" s="36" t="inlineStr">
        <is>
          <t>Central Europe</t>
        </is>
      </c>
      <c r="D1580" s="36" t="inlineStr">
        <is>
          <t>Czechia</t>
        </is>
      </c>
      <c r="E1580" s="36" t="inlineStr">
        <is>
          <t>Marketplace</t>
        </is>
      </c>
      <c r="F1580" s="36" t="inlineStr">
        <is>
          <t>Returning</t>
        </is>
      </c>
      <c r="G1580" s="36" t="inlineStr">
        <is>
          <t>Camping</t>
        </is>
      </c>
      <c r="H1580" s="36" t="inlineStr">
        <is>
          <t>Compact Sleeping Bag</t>
        </is>
      </c>
      <c r="I1580" s="36" t="n">
        <v>2</v>
      </c>
      <c r="J1580" s="39" t="n">
        <v>122.47</v>
      </c>
      <c r="K1580" s="45" t="n">
        <v>0</v>
      </c>
      <c r="L1580" s="39" t="n">
        <v>59.73</v>
      </c>
      <c r="M1580" s="39">
        <f>I1580*J1580*(1-K1580)</f>
        <v/>
      </c>
      <c r="N1580" s="39">
        <f>I1580*L1580</f>
        <v/>
      </c>
      <c r="O1580" s="39">
        <f>M1580-N1580</f>
        <v/>
      </c>
      <c r="P1580" s="38">
        <f>IF(M1580=0,0,O1580/M1580)</f>
        <v/>
      </c>
      <c r="Q1580" s="36">
        <f>YEAR(B1580)</f>
        <v/>
      </c>
      <c r="R1580" s="36">
        <f>"Q"&amp;ROUNDUP(MONTH(B1580)/3,0)</f>
        <v/>
      </c>
      <c r="S1580" s="36">
        <f>MONTH(B1580)</f>
        <v/>
      </c>
      <c r="T1580" s="36">
        <f>TEXT(B1580,"mmm")</f>
        <v/>
      </c>
      <c r="U1580" s="36">
        <f>IF(AND(OR(sel_Region="All",C1580=sel_Region),OR(sel_Country="All",D1580=sel_Country),OR(sel_Channel="All",E1580=sel_Channel),OR(sel_Customer="All",F1580=sel_Customer),OR(sel_Category="All",G1580=sel_Category),OR(sel_Product="All",H1580=sel_Product),AND(S1580&gt;=m_From,S1580&lt;=m_To)),1,0)</f>
        <v/>
      </c>
      <c r="V1580" s="36">
        <f>IF(AND(OR(sel_Region="All",C1580=sel_Region),OR(sel_Channel="All",E1580=sel_Channel),OR(sel_Customer="All",F1580=sel_Customer),OR(sel_Category="All",G1580=sel_Category),OR(sel_Product="All",H1580=sel_Product),AND(S1580&gt;=m_From,S1580&lt;=m_To)),1,0)</f>
        <v/>
      </c>
      <c r="W1580" s="36">
        <f>IF(AND(OR(sel_Region="All",C1580=sel_Region),OR(sel_Country="All",D1580=sel_Country),OR(sel_Customer="All",F1580=sel_Customer),OR(sel_Category="All",G1580=sel_Category),OR(sel_Product="All",H1580=sel_Product),AND(S1580&gt;=m_From,S1580&lt;=m_To)),1,0)</f>
        <v/>
      </c>
      <c r="X1580" s="36">
        <f>IF(AND(OR(sel_Region="All",C1580=sel_Region),OR(sel_Country="All",D1580=sel_Country),OR(sel_Channel="All",E1580=sel_Channel),OR(sel_Category="All",G1580=sel_Category),OR(sel_Product="All",H1580=sel_Product),AND(S1580&gt;=m_From,S1580&lt;=m_To)),1,0)</f>
        <v/>
      </c>
      <c r="Y1580" s="36">
        <f>IF(AND(OR(sel_Region="All",C1580=sel_Region),OR(sel_Country="All",D1580=sel_Country),OR(sel_Channel="All",E1580=sel_Channel),OR(sel_Customer="All",F1580=sel_Customer),OR(sel_Product="All",H1580=sel_Product),AND(S1580&gt;=m_From,S1580&lt;=m_To)),1,0)</f>
        <v/>
      </c>
      <c r="Z1580" s="36">
        <f>IF(AND(OR(sel_Region="All",C1580=sel_Region),OR(sel_Country="All",D1580=sel_Country),OR(sel_Channel="All",E1580=sel_Channel),OR(sel_Customer="All",F1580=sel_Customer),OR(sel_Category="All",G1580=sel_Category),AND(S1580&gt;=m_From,S1580&lt;=m_To)),1,0)</f>
        <v/>
      </c>
      <c r="AA1580" s="36">
        <f>IF(AND(OR(sel_Region="All",C1580=sel_Region),OR(sel_Country="All",D1580=sel_Country),OR(sel_Channel="All",E1580=sel_Channel),OR(sel_Customer="All",F1580=sel_Customer),OR(sel_Category="All",G1580=sel_Category),OR(sel_Product="All",H1580=sel_Product)),1,0)</f>
        <v/>
      </c>
    </row>
    <row r="1581">
      <c r="A1581" s="36" t="inlineStr">
        <is>
          <t>00835</t>
        </is>
      </c>
      <c r="B1581" s="44" t="n">
        <v>46240</v>
      </c>
      <c r="C1581" s="36" t="inlineStr">
        <is>
          <t>Western Europe</t>
        </is>
      </c>
      <c r="D1581" s="36" t="inlineStr">
        <is>
          <t>Netherlands</t>
        </is>
      </c>
      <c r="E1581" s="36" t="inlineStr">
        <is>
          <t>Marketplace</t>
        </is>
      </c>
      <c r="F1581" s="36" t="inlineStr">
        <is>
          <t>Returning</t>
        </is>
      </c>
      <c r="G1581" s="36" t="inlineStr">
        <is>
          <t>Hiking</t>
        </is>
      </c>
      <c r="H1581" s="36" t="inlineStr">
        <is>
          <t>Trekking Poles</t>
        </is>
      </c>
      <c r="I1581" s="36" t="n">
        <v>3</v>
      </c>
      <c r="J1581" s="39" t="n">
        <v>70.93000000000001</v>
      </c>
      <c r="K1581" s="45" t="n">
        <v>0</v>
      </c>
      <c r="L1581" s="39" t="n">
        <v>32.9</v>
      </c>
      <c r="M1581" s="39">
        <f>I1581*J1581*(1-K1581)</f>
        <v/>
      </c>
      <c r="N1581" s="39">
        <f>I1581*L1581</f>
        <v/>
      </c>
      <c r="O1581" s="39">
        <f>M1581-N1581</f>
        <v/>
      </c>
      <c r="P1581" s="38">
        <f>IF(M1581=0,0,O1581/M1581)</f>
        <v/>
      </c>
      <c r="Q1581" s="36">
        <f>YEAR(B1581)</f>
        <v/>
      </c>
      <c r="R1581" s="36">
        <f>"Q"&amp;ROUNDUP(MONTH(B1581)/3,0)</f>
        <v/>
      </c>
      <c r="S1581" s="36">
        <f>MONTH(B1581)</f>
        <v/>
      </c>
      <c r="T1581" s="36">
        <f>TEXT(B1581,"mmm")</f>
        <v/>
      </c>
      <c r="U1581" s="36">
        <f>IF(AND(OR(sel_Region="All",C1581=sel_Region),OR(sel_Country="All",D1581=sel_Country),OR(sel_Channel="All",E1581=sel_Channel),OR(sel_Customer="All",F1581=sel_Customer),OR(sel_Category="All",G1581=sel_Category),OR(sel_Product="All",H1581=sel_Product),AND(S1581&gt;=m_From,S1581&lt;=m_To)),1,0)</f>
        <v/>
      </c>
      <c r="V1581" s="36">
        <f>IF(AND(OR(sel_Region="All",C1581=sel_Region),OR(sel_Channel="All",E1581=sel_Channel),OR(sel_Customer="All",F1581=sel_Customer),OR(sel_Category="All",G1581=sel_Category),OR(sel_Product="All",H1581=sel_Product),AND(S1581&gt;=m_From,S1581&lt;=m_To)),1,0)</f>
        <v/>
      </c>
      <c r="W1581" s="36">
        <f>IF(AND(OR(sel_Region="All",C1581=sel_Region),OR(sel_Country="All",D1581=sel_Country),OR(sel_Customer="All",F1581=sel_Customer),OR(sel_Category="All",G1581=sel_Category),OR(sel_Product="All",H1581=sel_Product),AND(S1581&gt;=m_From,S1581&lt;=m_To)),1,0)</f>
        <v/>
      </c>
      <c r="X1581" s="36">
        <f>IF(AND(OR(sel_Region="All",C1581=sel_Region),OR(sel_Country="All",D1581=sel_Country),OR(sel_Channel="All",E1581=sel_Channel),OR(sel_Category="All",G1581=sel_Category),OR(sel_Product="All",H1581=sel_Product),AND(S1581&gt;=m_From,S1581&lt;=m_To)),1,0)</f>
        <v/>
      </c>
      <c r="Y1581" s="36">
        <f>IF(AND(OR(sel_Region="All",C1581=sel_Region),OR(sel_Country="All",D1581=sel_Country),OR(sel_Channel="All",E1581=sel_Channel),OR(sel_Customer="All",F1581=sel_Customer),OR(sel_Product="All",H1581=sel_Product),AND(S1581&gt;=m_From,S1581&lt;=m_To)),1,0)</f>
        <v/>
      </c>
      <c r="Z1581" s="36">
        <f>IF(AND(OR(sel_Region="All",C1581=sel_Region),OR(sel_Country="All",D1581=sel_Country),OR(sel_Channel="All",E1581=sel_Channel),OR(sel_Customer="All",F1581=sel_Customer),OR(sel_Category="All",G1581=sel_Category),AND(S1581&gt;=m_From,S1581&lt;=m_To)),1,0)</f>
        <v/>
      </c>
      <c r="AA1581" s="36">
        <f>IF(AND(OR(sel_Region="All",C1581=sel_Region),OR(sel_Country="All",D1581=sel_Country),OR(sel_Channel="All",E1581=sel_Channel),OR(sel_Customer="All",F1581=sel_Customer),OR(sel_Category="All",G1581=sel_Category),OR(sel_Product="All",H1581=sel_Product)),1,0)</f>
        <v/>
      </c>
    </row>
    <row r="1582">
      <c r="A1582" s="36" t="inlineStr">
        <is>
          <t>01104</t>
        </is>
      </c>
      <c r="B1582" s="44" t="n">
        <v>46240</v>
      </c>
      <c r="C1582" s="36" t="inlineStr">
        <is>
          <t>Southern Europe</t>
        </is>
      </c>
      <c r="D1582" s="36" t="inlineStr">
        <is>
          <t>Italy</t>
        </is>
      </c>
      <c r="E1582" s="36" t="inlineStr">
        <is>
          <t>Online Store</t>
        </is>
      </c>
      <c r="F1582" s="36" t="inlineStr">
        <is>
          <t>Returning</t>
        </is>
      </c>
      <c r="G1582" s="36" t="inlineStr">
        <is>
          <t>Camping</t>
        </is>
      </c>
      <c r="H1582" s="36" t="inlineStr">
        <is>
          <t>Trail Tent 2P</t>
        </is>
      </c>
      <c r="I1582" s="36" t="n">
        <v>1</v>
      </c>
      <c r="J1582" s="39" t="n">
        <v>191.44</v>
      </c>
      <c r="K1582" s="45" t="n">
        <v>0</v>
      </c>
      <c r="L1582" s="39" t="n">
        <v>102.13</v>
      </c>
      <c r="M1582" s="39">
        <f>I1582*J1582*(1-K1582)</f>
        <v/>
      </c>
      <c r="N1582" s="39">
        <f>I1582*L1582</f>
        <v/>
      </c>
      <c r="O1582" s="39">
        <f>M1582-N1582</f>
        <v/>
      </c>
      <c r="P1582" s="38">
        <f>IF(M1582=0,0,O1582/M1582)</f>
        <v/>
      </c>
      <c r="Q1582" s="36">
        <f>YEAR(B1582)</f>
        <v/>
      </c>
      <c r="R1582" s="36">
        <f>"Q"&amp;ROUNDUP(MONTH(B1582)/3,0)</f>
        <v/>
      </c>
      <c r="S1582" s="36">
        <f>MONTH(B1582)</f>
        <v/>
      </c>
      <c r="T1582" s="36">
        <f>TEXT(B1582,"mmm")</f>
        <v/>
      </c>
      <c r="U1582" s="36">
        <f>IF(AND(OR(sel_Region="All",C1582=sel_Region),OR(sel_Country="All",D1582=sel_Country),OR(sel_Channel="All",E1582=sel_Channel),OR(sel_Customer="All",F1582=sel_Customer),OR(sel_Category="All",G1582=sel_Category),OR(sel_Product="All",H1582=sel_Product),AND(S1582&gt;=m_From,S1582&lt;=m_To)),1,0)</f>
        <v/>
      </c>
      <c r="V1582" s="36">
        <f>IF(AND(OR(sel_Region="All",C1582=sel_Region),OR(sel_Channel="All",E1582=sel_Channel),OR(sel_Customer="All",F1582=sel_Customer),OR(sel_Category="All",G1582=sel_Category),OR(sel_Product="All",H1582=sel_Product),AND(S1582&gt;=m_From,S1582&lt;=m_To)),1,0)</f>
        <v/>
      </c>
      <c r="W1582" s="36">
        <f>IF(AND(OR(sel_Region="All",C1582=sel_Region),OR(sel_Country="All",D1582=sel_Country),OR(sel_Customer="All",F1582=sel_Customer),OR(sel_Category="All",G1582=sel_Category),OR(sel_Product="All",H1582=sel_Product),AND(S1582&gt;=m_From,S1582&lt;=m_To)),1,0)</f>
        <v/>
      </c>
      <c r="X1582" s="36">
        <f>IF(AND(OR(sel_Region="All",C1582=sel_Region),OR(sel_Country="All",D1582=sel_Country),OR(sel_Channel="All",E1582=sel_Channel),OR(sel_Category="All",G1582=sel_Category),OR(sel_Product="All",H1582=sel_Product),AND(S1582&gt;=m_From,S1582&lt;=m_To)),1,0)</f>
        <v/>
      </c>
      <c r="Y1582" s="36">
        <f>IF(AND(OR(sel_Region="All",C1582=sel_Region),OR(sel_Country="All",D1582=sel_Country),OR(sel_Channel="All",E1582=sel_Channel),OR(sel_Customer="All",F1582=sel_Customer),OR(sel_Product="All",H1582=sel_Product),AND(S1582&gt;=m_From,S1582&lt;=m_To)),1,0)</f>
        <v/>
      </c>
      <c r="Z1582" s="36">
        <f>IF(AND(OR(sel_Region="All",C1582=sel_Region),OR(sel_Country="All",D1582=sel_Country),OR(sel_Channel="All",E1582=sel_Channel),OR(sel_Customer="All",F1582=sel_Customer),OR(sel_Category="All",G1582=sel_Category),AND(S1582&gt;=m_From,S1582&lt;=m_To)),1,0)</f>
        <v/>
      </c>
      <c r="AA1582" s="36">
        <f>IF(AND(OR(sel_Region="All",C1582=sel_Region),OR(sel_Country="All",D1582=sel_Country),OR(sel_Channel="All",E1582=sel_Channel),OR(sel_Customer="All",F1582=sel_Customer),OR(sel_Category="All",G1582=sel_Category),OR(sel_Product="All",H1582=sel_Product)),1,0)</f>
        <v/>
      </c>
    </row>
    <row r="1583">
      <c r="A1583" s="36" t="inlineStr">
        <is>
          <t>01976</t>
        </is>
      </c>
      <c r="B1583" s="44" t="n">
        <v>46240</v>
      </c>
      <c r="C1583" s="36" t="inlineStr">
        <is>
          <t>Western Europe</t>
        </is>
      </c>
      <c r="D1583" s="36" t="inlineStr">
        <is>
          <t>United Kingdom</t>
        </is>
      </c>
      <c r="E1583" s="36" t="inlineStr">
        <is>
          <t>Online Store</t>
        </is>
      </c>
      <c r="F1583" s="36" t="inlineStr">
        <is>
          <t>Returning</t>
        </is>
      </c>
      <c r="G1583" s="36" t="inlineStr">
        <is>
          <t>Cycling</t>
        </is>
      </c>
      <c r="H1583" s="36" t="inlineStr">
        <is>
          <t>Commuter Helmet</t>
        </is>
      </c>
      <c r="I1583" s="36" t="n">
        <v>2</v>
      </c>
      <c r="J1583" s="39" t="n">
        <v>82.92</v>
      </c>
      <c r="K1583" s="45" t="n">
        <v>0</v>
      </c>
      <c r="L1583" s="39" t="n">
        <v>41.64</v>
      </c>
      <c r="M1583" s="39">
        <f>I1583*J1583*(1-K1583)</f>
        <v/>
      </c>
      <c r="N1583" s="39">
        <f>I1583*L1583</f>
        <v/>
      </c>
      <c r="O1583" s="39">
        <f>M1583-N1583</f>
        <v/>
      </c>
      <c r="P1583" s="38">
        <f>IF(M1583=0,0,O1583/M1583)</f>
        <v/>
      </c>
      <c r="Q1583" s="36">
        <f>YEAR(B1583)</f>
        <v/>
      </c>
      <c r="R1583" s="36">
        <f>"Q"&amp;ROUNDUP(MONTH(B1583)/3,0)</f>
        <v/>
      </c>
      <c r="S1583" s="36">
        <f>MONTH(B1583)</f>
        <v/>
      </c>
      <c r="T1583" s="36">
        <f>TEXT(B1583,"mmm")</f>
        <v/>
      </c>
      <c r="U1583" s="36">
        <f>IF(AND(OR(sel_Region="All",C1583=sel_Region),OR(sel_Country="All",D1583=sel_Country),OR(sel_Channel="All",E1583=sel_Channel),OR(sel_Customer="All",F1583=sel_Customer),OR(sel_Category="All",G1583=sel_Category),OR(sel_Product="All",H1583=sel_Product),AND(S1583&gt;=m_From,S1583&lt;=m_To)),1,0)</f>
        <v/>
      </c>
      <c r="V1583" s="36">
        <f>IF(AND(OR(sel_Region="All",C1583=sel_Region),OR(sel_Channel="All",E1583=sel_Channel),OR(sel_Customer="All",F1583=sel_Customer),OR(sel_Category="All",G1583=sel_Category),OR(sel_Product="All",H1583=sel_Product),AND(S1583&gt;=m_From,S1583&lt;=m_To)),1,0)</f>
        <v/>
      </c>
      <c r="W1583" s="36">
        <f>IF(AND(OR(sel_Region="All",C1583=sel_Region),OR(sel_Country="All",D1583=sel_Country),OR(sel_Customer="All",F1583=sel_Customer),OR(sel_Category="All",G1583=sel_Category),OR(sel_Product="All",H1583=sel_Product),AND(S1583&gt;=m_From,S1583&lt;=m_To)),1,0)</f>
        <v/>
      </c>
      <c r="X1583" s="36">
        <f>IF(AND(OR(sel_Region="All",C1583=sel_Region),OR(sel_Country="All",D1583=sel_Country),OR(sel_Channel="All",E1583=sel_Channel),OR(sel_Category="All",G1583=sel_Category),OR(sel_Product="All",H1583=sel_Product),AND(S1583&gt;=m_From,S1583&lt;=m_To)),1,0)</f>
        <v/>
      </c>
      <c r="Y1583" s="36">
        <f>IF(AND(OR(sel_Region="All",C1583=sel_Region),OR(sel_Country="All",D1583=sel_Country),OR(sel_Channel="All",E1583=sel_Channel),OR(sel_Customer="All",F1583=sel_Customer),OR(sel_Product="All",H1583=sel_Product),AND(S1583&gt;=m_From,S1583&lt;=m_To)),1,0)</f>
        <v/>
      </c>
      <c r="Z1583" s="36">
        <f>IF(AND(OR(sel_Region="All",C1583=sel_Region),OR(sel_Country="All",D1583=sel_Country),OR(sel_Channel="All",E1583=sel_Channel),OR(sel_Customer="All",F1583=sel_Customer),OR(sel_Category="All",G1583=sel_Category),AND(S1583&gt;=m_From,S1583&lt;=m_To)),1,0)</f>
        <v/>
      </c>
      <c r="AA1583" s="36">
        <f>IF(AND(OR(sel_Region="All",C1583=sel_Region),OR(sel_Country="All",D1583=sel_Country),OR(sel_Channel="All",E1583=sel_Channel),OR(sel_Customer="All",F1583=sel_Customer),OR(sel_Category="All",G1583=sel_Category),OR(sel_Product="All",H1583=sel_Product)),1,0)</f>
        <v/>
      </c>
    </row>
    <row r="1584">
      <c r="A1584" s="36" t="inlineStr">
        <is>
          <t>02596</t>
        </is>
      </c>
      <c r="B1584" s="44" t="n">
        <v>46240</v>
      </c>
      <c r="C1584" s="36" t="inlineStr">
        <is>
          <t>Northern Europe</t>
        </is>
      </c>
      <c r="D1584" s="36" t="inlineStr">
        <is>
          <t>Ireland</t>
        </is>
      </c>
      <c r="E1584" s="36" t="inlineStr">
        <is>
          <t>Retail Partners</t>
        </is>
      </c>
      <c r="F1584" s="36" t="inlineStr">
        <is>
          <t>Returning</t>
        </is>
      </c>
      <c r="G1584" s="36" t="inlineStr">
        <is>
          <t>Camping</t>
        </is>
      </c>
      <c r="H1584" s="36" t="inlineStr">
        <is>
          <t>Portable Camp Stove</t>
        </is>
      </c>
      <c r="I1584" s="36" t="n">
        <v>1</v>
      </c>
      <c r="J1584" s="39" t="n">
        <v>82.81999999999999</v>
      </c>
      <c r="K1584" s="45" t="n">
        <v>0</v>
      </c>
      <c r="L1584" s="39" t="n">
        <v>38.83</v>
      </c>
      <c r="M1584" s="39">
        <f>I1584*J1584*(1-K1584)</f>
        <v/>
      </c>
      <c r="N1584" s="39">
        <f>I1584*L1584</f>
        <v/>
      </c>
      <c r="O1584" s="39">
        <f>M1584-N1584</f>
        <v/>
      </c>
      <c r="P1584" s="38">
        <f>IF(M1584=0,0,O1584/M1584)</f>
        <v/>
      </c>
      <c r="Q1584" s="36">
        <f>YEAR(B1584)</f>
        <v/>
      </c>
      <c r="R1584" s="36">
        <f>"Q"&amp;ROUNDUP(MONTH(B1584)/3,0)</f>
        <v/>
      </c>
      <c r="S1584" s="36">
        <f>MONTH(B1584)</f>
        <v/>
      </c>
      <c r="T1584" s="36">
        <f>TEXT(B1584,"mmm")</f>
        <v/>
      </c>
      <c r="U1584" s="36">
        <f>IF(AND(OR(sel_Region="All",C1584=sel_Region),OR(sel_Country="All",D1584=sel_Country),OR(sel_Channel="All",E1584=sel_Channel),OR(sel_Customer="All",F1584=sel_Customer),OR(sel_Category="All",G1584=sel_Category),OR(sel_Product="All",H1584=sel_Product),AND(S1584&gt;=m_From,S1584&lt;=m_To)),1,0)</f>
        <v/>
      </c>
      <c r="V1584" s="36">
        <f>IF(AND(OR(sel_Region="All",C1584=sel_Region),OR(sel_Channel="All",E1584=sel_Channel),OR(sel_Customer="All",F1584=sel_Customer),OR(sel_Category="All",G1584=sel_Category),OR(sel_Product="All",H1584=sel_Product),AND(S1584&gt;=m_From,S1584&lt;=m_To)),1,0)</f>
        <v/>
      </c>
      <c r="W1584" s="36">
        <f>IF(AND(OR(sel_Region="All",C1584=sel_Region),OR(sel_Country="All",D1584=sel_Country),OR(sel_Customer="All",F1584=sel_Customer),OR(sel_Category="All",G1584=sel_Category),OR(sel_Product="All",H1584=sel_Product),AND(S1584&gt;=m_From,S1584&lt;=m_To)),1,0)</f>
        <v/>
      </c>
      <c r="X1584" s="36">
        <f>IF(AND(OR(sel_Region="All",C1584=sel_Region),OR(sel_Country="All",D1584=sel_Country),OR(sel_Channel="All",E1584=sel_Channel),OR(sel_Category="All",G1584=sel_Category),OR(sel_Product="All",H1584=sel_Product),AND(S1584&gt;=m_From,S1584&lt;=m_To)),1,0)</f>
        <v/>
      </c>
      <c r="Y1584" s="36">
        <f>IF(AND(OR(sel_Region="All",C1584=sel_Region),OR(sel_Country="All",D1584=sel_Country),OR(sel_Channel="All",E1584=sel_Channel),OR(sel_Customer="All",F1584=sel_Customer),OR(sel_Product="All",H1584=sel_Product),AND(S1584&gt;=m_From,S1584&lt;=m_To)),1,0)</f>
        <v/>
      </c>
      <c r="Z1584" s="36">
        <f>IF(AND(OR(sel_Region="All",C1584=sel_Region),OR(sel_Country="All",D1584=sel_Country),OR(sel_Channel="All",E1584=sel_Channel),OR(sel_Customer="All",F1584=sel_Customer),OR(sel_Category="All",G1584=sel_Category),AND(S1584&gt;=m_From,S1584&lt;=m_To)),1,0)</f>
        <v/>
      </c>
      <c r="AA1584" s="36">
        <f>IF(AND(OR(sel_Region="All",C1584=sel_Region),OR(sel_Country="All",D1584=sel_Country),OR(sel_Channel="All",E1584=sel_Channel),OR(sel_Customer="All",F1584=sel_Customer),OR(sel_Category="All",G1584=sel_Category),OR(sel_Product="All",H1584=sel_Product)),1,0)</f>
        <v/>
      </c>
    </row>
    <row r="1585">
      <c r="A1585" s="36" t="inlineStr">
        <is>
          <t>02693</t>
        </is>
      </c>
      <c r="B1585" s="44" t="n">
        <v>46240</v>
      </c>
      <c r="C1585" s="36" t="inlineStr">
        <is>
          <t>Western Europe</t>
        </is>
      </c>
      <c r="D1585" s="36" t="inlineStr">
        <is>
          <t>United Kingdom</t>
        </is>
      </c>
      <c r="E1585" s="36" t="inlineStr">
        <is>
          <t>Online Store</t>
        </is>
      </c>
      <c r="F1585" s="36" t="inlineStr">
        <is>
          <t>New</t>
        </is>
      </c>
      <c r="G1585" s="36" t="inlineStr">
        <is>
          <t>Camping</t>
        </is>
      </c>
      <c r="H1585" s="36" t="inlineStr">
        <is>
          <t>Alpine Tent 4P</t>
        </is>
      </c>
      <c r="I1585" s="36" t="n">
        <v>1</v>
      </c>
      <c r="J1585" s="39" t="n">
        <v>335.26</v>
      </c>
      <c r="K1585" s="45" t="n">
        <v>0.05</v>
      </c>
      <c r="L1585" s="39" t="n">
        <v>193.73</v>
      </c>
      <c r="M1585" s="39">
        <f>I1585*J1585*(1-K1585)</f>
        <v/>
      </c>
      <c r="N1585" s="39">
        <f>I1585*L1585</f>
        <v/>
      </c>
      <c r="O1585" s="39">
        <f>M1585-N1585</f>
        <v/>
      </c>
      <c r="P1585" s="38">
        <f>IF(M1585=0,0,O1585/M1585)</f>
        <v/>
      </c>
      <c r="Q1585" s="36">
        <f>YEAR(B1585)</f>
        <v/>
      </c>
      <c r="R1585" s="36">
        <f>"Q"&amp;ROUNDUP(MONTH(B1585)/3,0)</f>
        <v/>
      </c>
      <c r="S1585" s="36">
        <f>MONTH(B1585)</f>
        <v/>
      </c>
      <c r="T1585" s="36">
        <f>TEXT(B1585,"mmm")</f>
        <v/>
      </c>
      <c r="U1585" s="36">
        <f>IF(AND(OR(sel_Region="All",C1585=sel_Region),OR(sel_Country="All",D1585=sel_Country),OR(sel_Channel="All",E1585=sel_Channel),OR(sel_Customer="All",F1585=sel_Customer),OR(sel_Category="All",G1585=sel_Category),OR(sel_Product="All",H1585=sel_Product),AND(S1585&gt;=m_From,S1585&lt;=m_To)),1,0)</f>
        <v/>
      </c>
      <c r="V1585" s="36">
        <f>IF(AND(OR(sel_Region="All",C1585=sel_Region),OR(sel_Channel="All",E1585=sel_Channel),OR(sel_Customer="All",F1585=sel_Customer),OR(sel_Category="All",G1585=sel_Category),OR(sel_Product="All",H1585=sel_Product),AND(S1585&gt;=m_From,S1585&lt;=m_To)),1,0)</f>
        <v/>
      </c>
      <c r="W1585" s="36">
        <f>IF(AND(OR(sel_Region="All",C1585=sel_Region),OR(sel_Country="All",D1585=sel_Country),OR(sel_Customer="All",F1585=sel_Customer),OR(sel_Category="All",G1585=sel_Category),OR(sel_Product="All",H1585=sel_Product),AND(S1585&gt;=m_From,S1585&lt;=m_To)),1,0)</f>
        <v/>
      </c>
      <c r="X1585" s="36">
        <f>IF(AND(OR(sel_Region="All",C1585=sel_Region),OR(sel_Country="All",D1585=sel_Country),OR(sel_Channel="All",E1585=sel_Channel),OR(sel_Category="All",G1585=sel_Category),OR(sel_Product="All",H1585=sel_Product),AND(S1585&gt;=m_From,S1585&lt;=m_To)),1,0)</f>
        <v/>
      </c>
      <c r="Y1585" s="36">
        <f>IF(AND(OR(sel_Region="All",C1585=sel_Region),OR(sel_Country="All",D1585=sel_Country),OR(sel_Channel="All",E1585=sel_Channel),OR(sel_Customer="All",F1585=sel_Customer),OR(sel_Product="All",H1585=sel_Product),AND(S1585&gt;=m_From,S1585&lt;=m_To)),1,0)</f>
        <v/>
      </c>
      <c r="Z1585" s="36">
        <f>IF(AND(OR(sel_Region="All",C1585=sel_Region),OR(sel_Country="All",D1585=sel_Country),OR(sel_Channel="All",E1585=sel_Channel),OR(sel_Customer="All",F1585=sel_Customer),OR(sel_Category="All",G1585=sel_Category),AND(S1585&gt;=m_From,S1585&lt;=m_To)),1,0)</f>
        <v/>
      </c>
      <c r="AA1585" s="36">
        <f>IF(AND(OR(sel_Region="All",C1585=sel_Region),OR(sel_Country="All",D1585=sel_Country),OR(sel_Channel="All",E1585=sel_Channel),OR(sel_Customer="All",F1585=sel_Customer),OR(sel_Category="All",G1585=sel_Category),OR(sel_Product="All",H1585=sel_Product)),1,0)</f>
        <v/>
      </c>
    </row>
    <row r="1586">
      <c r="A1586" s="36" t="inlineStr">
        <is>
          <t>03045</t>
        </is>
      </c>
      <c r="B1586" s="44" t="n">
        <v>46240</v>
      </c>
      <c r="C1586" s="36" t="inlineStr">
        <is>
          <t>Northern Europe</t>
        </is>
      </c>
      <c r="D1586" s="36" t="inlineStr">
        <is>
          <t>Norway</t>
        </is>
      </c>
      <c r="E1586" s="36" t="inlineStr">
        <is>
          <t>Marketplace</t>
        </is>
      </c>
      <c r="F1586" s="36" t="inlineStr">
        <is>
          <t>Business</t>
        </is>
      </c>
      <c r="G1586" s="36" t="inlineStr">
        <is>
          <t>Travel</t>
        </is>
      </c>
      <c r="H1586" s="36" t="inlineStr">
        <is>
          <t>Packing Cube Set</t>
        </is>
      </c>
      <c r="I1586" s="36" t="n">
        <v>1</v>
      </c>
      <c r="J1586" s="39" t="n">
        <v>47.19</v>
      </c>
      <c r="K1586" s="45" t="n">
        <v>0.05</v>
      </c>
      <c r="L1586" s="39" t="n">
        <v>18.11</v>
      </c>
      <c r="M1586" s="39">
        <f>I1586*J1586*(1-K1586)</f>
        <v/>
      </c>
      <c r="N1586" s="39">
        <f>I1586*L1586</f>
        <v/>
      </c>
      <c r="O1586" s="39">
        <f>M1586-N1586</f>
        <v/>
      </c>
      <c r="P1586" s="38">
        <f>IF(M1586=0,0,O1586/M1586)</f>
        <v/>
      </c>
      <c r="Q1586" s="36">
        <f>YEAR(B1586)</f>
        <v/>
      </c>
      <c r="R1586" s="36">
        <f>"Q"&amp;ROUNDUP(MONTH(B1586)/3,0)</f>
        <v/>
      </c>
      <c r="S1586" s="36">
        <f>MONTH(B1586)</f>
        <v/>
      </c>
      <c r="T1586" s="36">
        <f>TEXT(B1586,"mmm")</f>
        <v/>
      </c>
      <c r="U1586" s="36">
        <f>IF(AND(OR(sel_Region="All",C1586=sel_Region),OR(sel_Country="All",D1586=sel_Country),OR(sel_Channel="All",E1586=sel_Channel),OR(sel_Customer="All",F1586=sel_Customer),OR(sel_Category="All",G1586=sel_Category),OR(sel_Product="All",H1586=sel_Product),AND(S1586&gt;=m_From,S1586&lt;=m_To)),1,0)</f>
        <v/>
      </c>
      <c r="V1586" s="36">
        <f>IF(AND(OR(sel_Region="All",C1586=sel_Region),OR(sel_Channel="All",E1586=sel_Channel),OR(sel_Customer="All",F1586=sel_Customer),OR(sel_Category="All",G1586=sel_Category),OR(sel_Product="All",H1586=sel_Product),AND(S1586&gt;=m_From,S1586&lt;=m_To)),1,0)</f>
        <v/>
      </c>
      <c r="W1586" s="36">
        <f>IF(AND(OR(sel_Region="All",C1586=sel_Region),OR(sel_Country="All",D1586=sel_Country),OR(sel_Customer="All",F1586=sel_Customer),OR(sel_Category="All",G1586=sel_Category),OR(sel_Product="All",H1586=sel_Product),AND(S1586&gt;=m_From,S1586&lt;=m_To)),1,0)</f>
        <v/>
      </c>
      <c r="X1586" s="36">
        <f>IF(AND(OR(sel_Region="All",C1586=sel_Region),OR(sel_Country="All",D1586=sel_Country),OR(sel_Channel="All",E1586=sel_Channel),OR(sel_Category="All",G1586=sel_Category),OR(sel_Product="All",H1586=sel_Product),AND(S1586&gt;=m_From,S1586&lt;=m_To)),1,0)</f>
        <v/>
      </c>
      <c r="Y1586" s="36">
        <f>IF(AND(OR(sel_Region="All",C1586=sel_Region),OR(sel_Country="All",D1586=sel_Country),OR(sel_Channel="All",E1586=sel_Channel),OR(sel_Customer="All",F1586=sel_Customer),OR(sel_Product="All",H1586=sel_Product),AND(S1586&gt;=m_From,S1586&lt;=m_To)),1,0)</f>
        <v/>
      </c>
      <c r="Z1586" s="36">
        <f>IF(AND(OR(sel_Region="All",C1586=sel_Region),OR(sel_Country="All",D1586=sel_Country),OR(sel_Channel="All",E1586=sel_Channel),OR(sel_Customer="All",F1586=sel_Customer),OR(sel_Category="All",G1586=sel_Category),AND(S1586&gt;=m_From,S1586&lt;=m_To)),1,0)</f>
        <v/>
      </c>
      <c r="AA1586" s="36">
        <f>IF(AND(OR(sel_Region="All",C1586=sel_Region),OR(sel_Country="All",D1586=sel_Country),OR(sel_Channel="All",E1586=sel_Channel),OR(sel_Customer="All",F1586=sel_Customer),OR(sel_Category="All",G1586=sel_Category),OR(sel_Product="All",H1586=sel_Product)),1,0)</f>
        <v/>
      </c>
    </row>
    <row r="1587">
      <c r="A1587" s="36" t="inlineStr">
        <is>
          <t>03340</t>
        </is>
      </c>
      <c r="B1587" s="44" t="n">
        <v>46240</v>
      </c>
      <c r="C1587" s="36" t="inlineStr">
        <is>
          <t>Northern Europe</t>
        </is>
      </c>
      <c r="D1587" s="36" t="inlineStr">
        <is>
          <t>Norway</t>
        </is>
      </c>
      <c r="E1587" s="36" t="inlineStr">
        <is>
          <t>Marketplace</t>
        </is>
      </c>
      <c r="F1587" s="36" t="inlineStr">
        <is>
          <t>Returning</t>
        </is>
      </c>
      <c r="G1587" s="36" t="inlineStr">
        <is>
          <t>Hiking</t>
        </is>
      </c>
      <c r="H1587" s="36" t="inlineStr">
        <is>
          <t>Hiking Daypack 20L</t>
        </is>
      </c>
      <c r="I1587" s="36" t="n">
        <v>3</v>
      </c>
      <c r="J1587" s="39" t="n">
        <v>91.56999999999999</v>
      </c>
      <c r="K1587" s="45" t="n">
        <v>0</v>
      </c>
      <c r="L1587" s="39" t="n">
        <v>44.52</v>
      </c>
      <c r="M1587" s="39">
        <f>I1587*J1587*(1-K1587)</f>
        <v/>
      </c>
      <c r="N1587" s="39">
        <f>I1587*L1587</f>
        <v/>
      </c>
      <c r="O1587" s="39">
        <f>M1587-N1587</f>
        <v/>
      </c>
      <c r="P1587" s="38">
        <f>IF(M1587=0,0,O1587/M1587)</f>
        <v/>
      </c>
      <c r="Q1587" s="36">
        <f>YEAR(B1587)</f>
        <v/>
      </c>
      <c r="R1587" s="36">
        <f>"Q"&amp;ROUNDUP(MONTH(B1587)/3,0)</f>
        <v/>
      </c>
      <c r="S1587" s="36">
        <f>MONTH(B1587)</f>
        <v/>
      </c>
      <c r="T1587" s="36">
        <f>TEXT(B1587,"mmm")</f>
        <v/>
      </c>
      <c r="U1587" s="36">
        <f>IF(AND(OR(sel_Region="All",C1587=sel_Region),OR(sel_Country="All",D1587=sel_Country),OR(sel_Channel="All",E1587=sel_Channel),OR(sel_Customer="All",F1587=sel_Customer),OR(sel_Category="All",G1587=sel_Category),OR(sel_Product="All",H1587=sel_Product),AND(S1587&gt;=m_From,S1587&lt;=m_To)),1,0)</f>
        <v/>
      </c>
      <c r="V1587" s="36">
        <f>IF(AND(OR(sel_Region="All",C1587=sel_Region),OR(sel_Channel="All",E1587=sel_Channel),OR(sel_Customer="All",F1587=sel_Customer),OR(sel_Category="All",G1587=sel_Category),OR(sel_Product="All",H1587=sel_Product),AND(S1587&gt;=m_From,S1587&lt;=m_To)),1,0)</f>
        <v/>
      </c>
      <c r="W1587" s="36">
        <f>IF(AND(OR(sel_Region="All",C1587=sel_Region),OR(sel_Country="All",D1587=sel_Country),OR(sel_Customer="All",F1587=sel_Customer),OR(sel_Category="All",G1587=sel_Category),OR(sel_Product="All",H1587=sel_Product),AND(S1587&gt;=m_From,S1587&lt;=m_To)),1,0)</f>
        <v/>
      </c>
      <c r="X1587" s="36">
        <f>IF(AND(OR(sel_Region="All",C1587=sel_Region),OR(sel_Country="All",D1587=sel_Country),OR(sel_Channel="All",E1587=sel_Channel),OR(sel_Category="All",G1587=sel_Category),OR(sel_Product="All",H1587=sel_Product),AND(S1587&gt;=m_From,S1587&lt;=m_To)),1,0)</f>
        <v/>
      </c>
      <c r="Y1587" s="36">
        <f>IF(AND(OR(sel_Region="All",C1587=sel_Region),OR(sel_Country="All",D1587=sel_Country),OR(sel_Channel="All",E1587=sel_Channel),OR(sel_Customer="All",F1587=sel_Customer),OR(sel_Product="All",H1587=sel_Product),AND(S1587&gt;=m_From,S1587&lt;=m_To)),1,0)</f>
        <v/>
      </c>
      <c r="Z1587" s="36">
        <f>IF(AND(OR(sel_Region="All",C1587=sel_Region),OR(sel_Country="All",D1587=sel_Country),OR(sel_Channel="All",E1587=sel_Channel),OR(sel_Customer="All",F1587=sel_Customer),OR(sel_Category="All",G1587=sel_Category),AND(S1587&gt;=m_From,S1587&lt;=m_To)),1,0)</f>
        <v/>
      </c>
      <c r="AA1587" s="36">
        <f>IF(AND(OR(sel_Region="All",C1587=sel_Region),OR(sel_Country="All",D1587=sel_Country),OR(sel_Channel="All",E1587=sel_Channel),OR(sel_Customer="All",F1587=sel_Customer),OR(sel_Category="All",G1587=sel_Category),OR(sel_Product="All",H1587=sel_Product)),1,0)</f>
        <v/>
      </c>
    </row>
    <row r="1588">
      <c r="A1588" s="36" t="inlineStr">
        <is>
          <t>03553</t>
        </is>
      </c>
      <c r="B1588" s="44" t="n">
        <v>46240</v>
      </c>
      <c r="C1588" s="36" t="inlineStr">
        <is>
          <t>Western Europe</t>
        </is>
      </c>
      <c r="D1588" s="36" t="inlineStr">
        <is>
          <t>France</t>
        </is>
      </c>
      <c r="E1588" s="36" t="inlineStr">
        <is>
          <t>Online Store</t>
        </is>
      </c>
      <c r="F1588" s="36" t="inlineStr">
        <is>
          <t>New</t>
        </is>
      </c>
      <c r="G1588" s="36" t="inlineStr">
        <is>
          <t>Hiking</t>
        </is>
      </c>
      <c r="H1588" s="36" t="inlineStr">
        <is>
          <t>Summit Backpack 45L</t>
        </is>
      </c>
      <c r="I1588" s="36" t="n">
        <v>4</v>
      </c>
      <c r="J1588" s="39" t="n">
        <v>154.42</v>
      </c>
      <c r="K1588" s="45" t="n">
        <v>0</v>
      </c>
      <c r="L1588" s="39" t="n">
        <v>77.86</v>
      </c>
      <c r="M1588" s="39">
        <f>I1588*J1588*(1-K1588)</f>
        <v/>
      </c>
      <c r="N1588" s="39">
        <f>I1588*L1588</f>
        <v/>
      </c>
      <c r="O1588" s="39">
        <f>M1588-N1588</f>
        <v/>
      </c>
      <c r="P1588" s="38">
        <f>IF(M1588=0,0,O1588/M1588)</f>
        <v/>
      </c>
      <c r="Q1588" s="36">
        <f>YEAR(B1588)</f>
        <v/>
      </c>
      <c r="R1588" s="36">
        <f>"Q"&amp;ROUNDUP(MONTH(B1588)/3,0)</f>
        <v/>
      </c>
      <c r="S1588" s="36">
        <f>MONTH(B1588)</f>
        <v/>
      </c>
      <c r="T1588" s="36">
        <f>TEXT(B1588,"mmm")</f>
        <v/>
      </c>
      <c r="U1588" s="36">
        <f>IF(AND(OR(sel_Region="All",C1588=sel_Region),OR(sel_Country="All",D1588=sel_Country),OR(sel_Channel="All",E1588=sel_Channel),OR(sel_Customer="All",F1588=sel_Customer),OR(sel_Category="All",G1588=sel_Category),OR(sel_Product="All",H1588=sel_Product),AND(S1588&gt;=m_From,S1588&lt;=m_To)),1,0)</f>
        <v/>
      </c>
      <c r="V1588" s="36">
        <f>IF(AND(OR(sel_Region="All",C1588=sel_Region),OR(sel_Channel="All",E1588=sel_Channel),OR(sel_Customer="All",F1588=sel_Customer),OR(sel_Category="All",G1588=sel_Category),OR(sel_Product="All",H1588=sel_Product),AND(S1588&gt;=m_From,S1588&lt;=m_To)),1,0)</f>
        <v/>
      </c>
      <c r="W1588" s="36">
        <f>IF(AND(OR(sel_Region="All",C1588=sel_Region),OR(sel_Country="All",D1588=sel_Country),OR(sel_Customer="All",F1588=sel_Customer),OR(sel_Category="All",G1588=sel_Category),OR(sel_Product="All",H1588=sel_Product),AND(S1588&gt;=m_From,S1588&lt;=m_To)),1,0)</f>
        <v/>
      </c>
      <c r="X1588" s="36">
        <f>IF(AND(OR(sel_Region="All",C1588=sel_Region),OR(sel_Country="All",D1588=sel_Country),OR(sel_Channel="All",E1588=sel_Channel),OR(sel_Category="All",G1588=sel_Category),OR(sel_Product="All",H1588=sel_Product),AND(S1588&gt;=m_From,S1588&lt;=m_To)),1,0)</f>
        <v/>
      </c>
      <c r="Y1588" s="36">
        <f>IF(AND(OR(sel_Region="All",C1588=sel_Region),OR(sel_Country="All",D1588=sel_Country),OR(sel_Channel="All",E1588=sel_Channel),OR(sel_Customer="All",F1588=sel_Customer),OR(sel_Product="All",H1588=sel_Product),AND(S1588&gt;=m_From,S1588&lt;=m_To)),1,0)</f>
        <v/>
      </c>
      <c r="Z1588" s="36">
        <f>IF(AND(OR(sel_Region="All",C1588=sel_Region),OR(sel_Country="All",D1588=sel_Country),OR(sel_Channel="All",E1588=sel_Channel),OR(sel_Customer="All",F1588=sel_Customer),OR(sel_Category="All",G1588=sel_Category),AND(S1588&gt;=m_From,S1588&lt;=m_To)),1,0)</f>
        <v/>
      </c>
      <c r="AA1588" s="36">
        <f>IF(AND(OR(sel_Region="All",C1588=sel_Region),OR(sel_Country="All",D1588=sel_Country),OR(sel_Channel="All",E1588=sel_Channel),OR(sel_Customer="All",F1588=sel_Customer),OR(sel_Category="All",G1588=sel_Category),OR(sel_Product="All",H1588=sel_Product)),1,0)</f>
        <v/>
      </c>
    </row>
    <row r="1589">
      <c r="A1589" s="36" t="inlineStr">
        <is>
          <t>03807</t>
        </is>
      </c>
      <c r="B1589" s="44" t="n">
        <v>46240</v>
      </c>
      <c r="C1589" s="36" t="inlineStr">
        <is>
          <t>Southern Europe</t>
        </is>
      </c>
      <c r="D1589" s="36" t="inlineStr">
        <is>
          <t>Spain</t>
        </is>
      </c>
      <c r="E1589" s="36" t="inlineStr">
        <is>
          <t>Marketplace</t>
        </is>
      </c>
      <c r="F1589" s="36" t="inlineStr">
        <is>
          <t>Returning</t>
        </is>
      </c>
      <c r="G1589" s="36" t="inlineStr">
        <is>
          <t>Cycling</t>
        </is>
      </c>
      <c r="H1589" s="36" t="inlineStr">
        <is>
          <t>Trail Bike Light</t>
        </is>
      </c>
      <c r="I1589" s="36" t="n">
        <v>2</v>
      </c>
      <c r="J1589" s="39" t="n">
        <v>49.91</v>
      </c>
      <c r="K1589" s="45" t="n">
        <v>0.05</v>
      </c>
      <c r="L1589" s="39" t="n">
        <v>21.86</v>
      </c>
      <c r="M1589" s="39">
        <f>I1589*J1589*(1-K1589)</f>
        <v/>
      </c>
      <c r="N1589" s="39">
        <f>I1589*L1589</f>
        <v/>
      </c>
      <c r="O1589" s="39">
        <f>M1589-N1589</f>
        <v/>
      </c>
      <c r="P1589" s="38">
        <f>IF(M1589=0,0,O1589/M1589)</f>
        <v/>
      </c>
      <c r="Q1589" s="36">
        <f>YEAR(B1589)</f>
        <v/>
      </c>
      <c r="R1589" s="36">
        <f>"Q"&amp;ROUNDUP(MONTH(B1589)/3,0)</f>
        <v/>
      </c>
      <c r="S1589" s="36">
        <f>MONTH(B1589)</f>
        <v/>
      </c>
      <c r="T1589" s="36">
        <f>TEXT(B1589,"mmm")</f>
        <v/>
      </c>
      <c r="U1589" s="36">
        <f>IF(AND(OR(sel_Region="All",C1589=sel_Region),OR(sel_Country="All",D1589=sel_Country),OR(sel_Channel="All",E1589=sel_Channel),OR(sel_Customer="All",F1589=sel_Customer),OR(sel_Category="All",G1589=sel_Category),OR(sel_Product="All",H1589=sel_Product),AND(S1589&gt;=m_From,S1589&lt;=m_To)),1,0)</f>
        <v/>
      </c>
      <c r="V1589" s="36">
        <f>IF(AND(OR(sel_Region="All",C1589=sel_Region),OR(sel_Channel="All",E1589=sel_Channel),OR(sel_Customer="All",F1589=sel_Customer),OR(sel_Category="All",G1589=sel_Category),OR(sel_Product="All",H1589=sel_Product),AND(S1589&gt;=m_From,S1589&lt;=m_To)),1,0)</f>
        <v/>
      </c>
      <c r="W1589" s="36">
        <f>IF(AND(OR(sel_Region="All",C1589=sel_Region),OR(sel_Country="All",D1589=sel_Country),OR(sel_Customer="All",F1589=sel_Customer),OR(sel_Category="All",G1589=sel_Category),OR(sel_Product="All",H1589=sel_Product),AND(S1589&gt;=m_From,S1589&lt;=m_To)),1,0)</f>
        <v/>
      </c>
      <c r="X1589" s="36">
        <f>IF(AND(OR(sel_Region="All",C1589=sel_Region),OR(sel_Country="All",D1589=sel_Country),OR(sel_Channel="All",E1589=sel_Channel),OR(sel_Category="All",G1589=sel_Category),OR(sel_Product="All",H1589=sel_Product),AND(S1589&gt;=m_From,S1589&lt;=m_To)),1,0)</f>
        <v/>
      </c>
      <c r="Y1589" s="36">
        <f>IF(AND(OR(sel_Region="All",C1589=sel_Region),OR(sel_Country="All",D1589=sel_Country),OR(sel_Channel="All",E1589=sel_Channel),OR(sel_Customer="All",F1589=sel_Customer),OR(sel_Product="All",H1589=sel_Product),AND(S1589&gt;=m_From,S1589&lt;=m_To)),1,0)</f>
        <v/>
      </c>
      <c r="Z1589" s="36">
        <f>IF(AND(OR(sel_Region="All",C1589=sel_Region),OR(sel_Country="All",D1589=sel_Country),OR(sel_Channel="All",E1589=sel_Channel),OR(sel_Customer="All",F1589=sel_Customer),OR(sel_Category="All",G1589=sel_Category),AND(S1589&gt;=m_From,S1589&lt;=m_To)),1,0)</f>
        <v/>
      </c>
      <c r="AA1589" s="36">
        <f>IF(AND(OR(sel_Region="All",C1589=sel_Region),OR(sel_Country="All",D1589=sel_Country),OR(sel_Channel="All",E1589=sel_Channel),OR(sel_Customer="All",F1589=sel_Customer),OR(sel_Category="All",G1589=sel_Category),OR(sel_Product="All",H1589=sel_Product)),1,0)</f>
        <v/>
      </c>
    </row>
    <row r="1590">
      <c r="A1590" s="36" t="inlineStr">
        <is>
          <t>04061</t>
        </is>
      </c>
      <c r="B1590" s="44" t="n">
        <v>46240</v>
      </c>
      <c r="C1590" s="36" t="inlineStr">
        <is>
          <t>Western Europe</t>
        </is>
      </c>
      <c r="D1590" s="36" t="inlineStr">
        <is>
          <t>United Kingdom</t>
        </is>
      </c>
      <c r="E1590" s="36" t="inlineStr">
        <is>
          <t>Marketplace</t>
        </is>
      </c>
      <c r="F1590" s="36" t="inlineStr">
        <is>
          <t>Returning</t>
        </is>
      </c>
      <c r="G1590" s="36" t="inlineStr">
        <is>
          <t>Hiking</t>
        </is>
      </c>
      <c r="H1590" s="36" t="inlineStr">
        <is>
          <t>Hiking Daypack 20L</t>
        </is>
      </c>
      <c r="I1590" s="36" t="n">
        <v>1</v>
      </c>
      <c r="J1590" s="39" t="n">
        <v>91.58</v>
      </c>
      <c r="K1590" s="45" t="n">
        <v>0.1</v>
      </c>
      <c r="L1590" s="39" t="n">
        <v>44.87</v>
      </c>
      <c r="M1590" s="39">
        <f>I1590*J1590*(1-K1590)</f>
        <v/>
      </c>
      <c r="N1590" s="39">
        <f>I1590*L1590</f>
        <v/>
      </c>
      <c r="O1590" s="39">
        <f>M1590-N1590</f>
        <v/>
      </c>
      <c r="P1590" s="38">
        <f>IF(M1590=0,0,O1590/M1590)</f>
        <v/>
      </c>
      <c r="Q1590" s="36">
        <f>YEAR(B1590)</f>
        <v/>
      </c>
      <c r="R1590" s="36">
        <f>"Q"&amp;ROUNDUP(MONTH(B1590)/3,0)</f>
        <v/>
      </c>
      <c r="S1590" s="36">
        <f>MONTH(B1590)</f>
        <v/>
      </c>
      <c r="T1590" s="36">
        <f>TEXT(B1590,"mmm")</f>
        <v/>
      </c>
      <c r="U1590" s="36">
        <f>IF(AND(OR(sel_Region="All",C1590=sel_Region),OR(sel_Country="All",D1590=sel_Country),OR(sel_Channel="All",E1590=sel_Channel),OR(sel_Customer="All",F1590=sel_Customer),OR(sel_Category="All",G1590=sel_Category),OR(sel_Product="All",H1590=sel_Product),AND(S1590&gt;=m_From,S1590&lt;=m_To)),1,0)</f>
        <v/>
      </c>
      <c r="V1590" s="36">
        <f>IF(AND(OR(sel_Region="All",C1590=sel_Region),OR(sel_Channel="All",E1590=sel_Channel),OR(sel_Customer="All",F1590=sel_Customer),OR(sel_Category="All",G1590=sel_Category),OR(sel_Product="All",H1590=sel_Product),AND(S1590&gt;=m_From,S1590&lt;=m_To)),1,0)</f>
        <v/>
      </c>
      <c r="W1590" s="36">
        <f>IF(AND(OR(sel_Region="All",C1590=sel_Region),OR(sel_Country="All",D1590=sel_Country),OR(sel_Customer="All",F1590=sel_Customer),OR(sel_Category="All",G1590=sel_Category),OR(sel_Product="All",H1590=sel_Product),AND(S1590&gt;=m_From,S1590&lt;=m_To)),1,0)</f>
        <v/>
      </c>
      <c r="X1590" s="36">
        <f>IF(AND(OR(sel_Region="All",C1590=sel_Region),OR(sel_Country="All",D1590=sel_Country),OR(sel_Channel="All",E1590=sel_Channel),OR(sel_Category="All",G1590=sel_Category),OR(sel_Product="All",H1590=sel_Product),AND(S1590&gt;=m_From,S1590&lt;=m_To)),1,0)</f>
        <v/>
      </c>
      <c r="Y1590" s="36">
        <f>IF(AND(OR(sel_Region="All",C1590=sel_Region),OR(sel_Country="All",D1590=sel_Country),OR(sel_Channel="All",E1590=sel_Channel),OR(sel_Customer="All",F1590=sel_Customer),OR(sel_Product="All",H1590=sel_Product),AND(S1590&gt;=m_From,S1590&lt;=m_To)),1,0)</f>
        <v/>
      </c>
      <c r="Z1590" s="36">
        <f>IF(AND(OR(sel_Region="All",C1590=sel_Region),OR(sel_Country="All",D1590=sel_Country),OR(sel_Channel="All",E1590=sel_Channel),OR(sel_Customer="All",F1590=sel_Customer),OR(sel_Category="All",G1590=sel_Category),AND(S1590&gt;=m_From,S1590&lt;=m_To)),1,0)</f>
        <v/>
      </c>
      <c r="AA1590" s="36">
        <f>IF(AND(OR(sel_Region="All",C1590=sel_Region),OR(sel_Country="All",D1590=sel_Country),OR(sel_Channel="All",E1590=sel_Channel),OR(sel_Customer="All",F1590=sel_Customer),OR(sel_Category="All",G1590=sel_Category),OR(sel_Product="All",H1590=sel_Product)),1,0)</f>
        <v/>
      </c>
    </row>
    <row r="1591">
      <c r="A1591" s="36" t="inlineStr">
        <is>
          <t>04645</t>
        </is>
      </c>
      <c r="B1591" s="44" t="n">
        <v>46240</v>
      </c>
      <c r="C1591" s="36" t="inlineStr">
        <is>
          <t>Northern Europe</t>
        </is>
      </c>
      <c r="D1591" s="36" t="inlineStr">
        <is>
          <t>Finland</t>
        </is>
      </c>
      <c r="E1591" s="36" t="inlineStr">
        <is>
          <t>Online Store</t>
        </is>
      </c>
      <c r="F1591" s="36" t="inlineStr">
        <is>
          <t>New</t>
        </is>
      </c>
      <c r="G1591" s="36" t="inlineStr">
        <is>
          <t>Fitness</t>
        </is>
      </c>
      <c r="H1591" s="36" t="inlineStr">
        <is>
          <t>Resistance Band Set</t>
        </is>
      </c>
      <c r="I1591" s="36" t="n">
        <v>3</v>
      </c>
      <c r="J1591" s="39" t="n">
        <v>41.11</v>
      </c>
      <c r="K1591" s="45" t="n">
        <v>0</v>
      </c>
      <c r="L1591" s="39" t="n">
        <v>14.49</v>
      </c>
      <c r="M1591" s="39">
        <f>I1591*J1591*(1-K1591)</f>
        <v/>
      </c>
      <c r="N1591" s="39">
        <f>I1591*L1591</f>
        <v/>
      </c>
      <c r="O1591" s="39">
        <f>M1591-N1591</f>
        <v/>
      </c>
      <c r="P1591" s="38">
        <f>IF(M1591=0,0,O1591/M1591)</f>
        <v/>
      </c>
      <c r="Q1591" s="36">
        <f>YEAR(B1591)</f>
        <v/>
      </c>
      <c r="R1591" s="36">
        <f>"Q"&amp;ROUNDUP(MONTH(B1591)/3,0)</f>
        <v/>
      </c>
      <c r="S1591" s="36">
        <f>MONTH(B1591)</f>
        <v/>
      </c>
      <c r="T1591" s="36">
        <f>TEXT(B1591,"mmm")</f>
        <v/>
      </c>
      <c r="U1591" s="36">
        <f>IF(AND(OR(sel_Region="All",C1591=sel_Region),OR(sel_Country="All",D1591=sel_Country),OR(sel_Channel="All",E1591=sel_Channel),OR(sel_Customer="All",F1591=sel_Customer),OR(sel_Category="All",G1591=sel_Category),OR(sel_Product="All",H1591=sel_Product),AND(S1591&gt;=m_From,S1591&lt;=m_To)),1,0)</f>
        <v/>
      </c>
      <c r="V1591" s="36">
        <f>IF(AND(OR(sel_Region="All",C1591=sel_Region),OR(sel_Channel="All",E1591=sel_Channel),OR(sel_Customer="All",F1591=sel_Customer),OR(sel_Category="All",G1591=sel_Category),OR(sel_Product="All",H1591=sel_Product),AND(S1591&gt;=m_From,S1591&lt;=m_To)),1,0)</f>
        <v/>
      </c>
      <c r="W1591" s="36">
        <f>IF(AND(OR(sel_Region="All",C1591=sel_Region),OR(sel_Country="All",D1591=sel_Country),OR(sel_Customer="All",F1591=sel_Customer),OR(sel_Category="All",G1591=sel_Category),OR(sel_Product="All",H1591=sel_Product),AND(S1591&gt;=m_From,S1591&lt;=m_To)),1,0)</f>
        <v/>
      </c>
      <c r="X1591" s="36">
        <f>IF(AND(OR(sel_Region="All",C1591=sel_Region),OR(sel_Country="All",D1591=sel_Country),OR(sel_Channel="All",E1591=sel_Channel),OR(sel_Category="All",G1591=sel_Category),OR(sel_Product="All",H1591=sel_Product),AND(S1591&gt;=m_From,S1591&lt;=m_To)),1,0)</f>
        <v/>
      </c>
      <c r="Y1591" s="36">
        <f>IF(AND(OR(sel_Region="All",C1591=sel_Region),OR(sel_Country="All",D1591=sel_Country),OR(sel_Channel="All",E1591=sel_Channel),OR(sel_Customer="All",F1591=sel_Customer),OR(sel_Product="All",H1591=sel_Product),AND(S1591&gt;=m_From,S1591&lt;=m_To)),1,0)</f>
        <v/>
      </c>
      <c r="Z1591" s="36">
        <f>IF(AND(OR(sel_Region="All",C1591=sel_Region),OR(sel_Country="All",D1591=sel_Country),OR(sel_Channel="All",E1591=sel_Channel),OR(sel_Customer="All",F1591=sel_Customer),OR(sel_Category="All",G1591=sel_Category),AND(S1591&gt;=m_From,S1591&lt;=m_To)),1,0)</f>
        <v/>
      </c>
      <c r="AA1591" s="36">
        <f>IF(AND(OR(sel_Region="All",C1591=sel_Region),OR(sel_Country="All",D1591=sel_Country),OR(sel_Channel="All",E1591=sel_Channel),OR(sel_Customer="All",F1591=sel_Customer),OR(sel_Category="All",G1591=sel_Category),OR(sel_Product="All",H1591=sel_Product)),1,0)</f>
        <v/>
      </c>
    </row>
    <row r="1592">
      <c r="A1592" s="36" t="inlineStr">
        <is>
          <t>05104</t>
        </is>
      </c>
      <c r="B1592" s="44" t="n">
        <v>46240</v>
      </c>
      <c r="C1592" s="36" t="inlineStr">
        <is>
          <t>Central Europe</t>
        </is>
      </c>
      <c r="D1592" s="36" t="inlineStr">
        <is>
          <t>Germany</t>
        </is>
      </c>
      <c r="E1592" s="36" t="inlineStr">
        <is>
          <t>Online Store</t>
        </is>
      </c>
      <c r="F1592" s="36" t="inlineStr">
        <is>
          <t>Returning</t>
        </is>
      </c>
      <c r="G1592" s="36" t="inlineStr">
        <is>
          <t>Travel</t>
        </is>
      </c>
      <c r="H1592" s="36" t="inlineStr">
        <is>
          <t>Insulated Bottle</t>
        </is>
      </c>
      <c r="I1592" s="36" t="n">
        <v>4</v>
      </c>
      <c r="J1592" s="39" t="n">
        <v>35.9</v>
      </c>
      <c r="K1592" s="45" t="n">
        <v>0</v>
      </c>
      <c r="L1592" s="39" t="n">
        <v>13.49</v>
      </c>
      <c r="M1592" s="39">
        <f>I1592*J1592*(1-K1592)</f>
        <v/>
      </c>
      <c r="N1592" s="39">
        <f>I1592*L1592</f>
        <v/>
      </c>
      <c r="O1592" s="39">
        <f>M1592-N1592</f>
        <v/>
      </c>
      <c r="P1592" s="38">
        <f>IF(M1592=0,0,O1592/M1592)</f>
        <v/>
      </c>
      <c r="Q1592" s="36">
        <f>YEAR(B1592)</f>
        <v/>
      </c>
      <c r="R1592" s="36">
        <f>"Q"&amp;ROUNDUP(MONTH(B1592)/3,0)</f>
        <v/>
      </c>
      <c r="S1592" s="36">
        <f>MONTH(B1592)</f>
        <v/>
      </c>
      <c r="T1592" s="36">
        <f>TEXT(B1592,"mmm")</f>
        <v/>
      </c>
      <c r="U1592" s="36">
        <f>IF(AND(OR(sel_Region="All",C1592=sel_Region),OR(sel_Country="All",D1592=sel_Country),OR(sel_Channel="All",E1592=sel_Channel),OR(sel_Customer="All",F1592=sel_Customer),OR(sel_Category="All",G1592=sel_Category),OR(sel_Product="All",H1592=sel_Product),AND(S1592&gt;=m_From,S1592&lt;=m_To)),1,0)</f>
        <v/>
      </c>
      <c r="V1592" s="36">
        <f>IF(AND(OR(sel_Region="All",C1592=sel_Region),OR(sel_Channel="All",E1592=sel_Channel),OR(sel_Customer="All",F1592=sel_Customer),OR(sel_Category="All",G1592=sel_Category),OR(sel_Product="All",H1592=sel_Product),AND(S1592&gt;=m_From,S1592&lt;=m_To)),1,0)</f>
        <v/>
      </c>
      <c r="W1592" s="36">
        <f>IF(AND(OR(sel_Region="All",C1592=sel_Region),OR(sel_Country="All",D1592=sel_Country),OR(sel_Customer="All",F1592=sel_Customer),OR(sel_Category="All",G1592=sel_Category),OR(sel_Product="All",H1592=sel_Product),AND(S1592&gt;=m_From,S1592&lt;=m_To)),1,0)</f>
        <v/>
      </c>
      <c r="X1592" s="36">
        <f>IF(AND(OR(sel_Region="All",C1592=sel_Region),OR(sel_Country="All",D1592=sel_Country),OR(sel_Channel="All",E1592=sel_Channel),OR(sel_Category="All",G1592=sel_Category),OR(sel_Product="All",H1592=sel_Product),AND(S1592&gt;=m_From,S1592&lt;=m_To)),1,0)</f>
        <v/>
      </c>
      <c r="Y1592" s="36">
        <f>IF(AND(OR(sel_Region="All",C1592=sel_Region),OR(sel_Country="All",D1592=sel_Country),OR(sel_Channel="All",E1592=sel_Channel),OR(sel_Customer="All",F1592=sel_Customer),OR(sel_Product="All",H1592=sel_Product),AND(S1592&gt;=m_From,S1592&lt;=m_To)),1,0)</f>
        <v/>
      </c>
      <c r="Z1592" s="36">
        <f>IF(AND(OR(sel_Region="All",C1592=sel_Region),OR(sel_Country="All",D1592=sel_Country),OR(sel_Channel="All",E1592=sel_Channel),OR(sel_Customer="All",F1592=sel_Customer),OR(sel_Category="All",G1592=sel_Category),AND(S1592&gt;=m_From,S1592&lt;=m_To)),1,0)</f>
        <v/>
      </c>
      <c r="AA1592" s="36">
        <f>IF(AND(OR(sel_Region="All",C1592=sel_Region),OR(sel_Country="All",D1592=sel_Country),OR(sel_Channel="All",E1592=sel_Channel),OR(sel_Customer="All",F1592=sel_Customer),OR(sel_Category="All",G1592=sel_Category),OR(sel_Product="All",H1592=sel_Product)),1,0)</f>
        <v/>
      </c>
    </row>
    <row r="1593">
      <c r="A1593" s="36" t="inlineStr">
        <is>
          <t>00813</t>
        </is>
      </c>
      <c r="B1593" s="44" t="n">
        <v>46241</v>
      </c>
      <c r="C1593" s="36" t="inlineStr">
        <is>
          <t>Northern Europe</t>
        </is>
      </c>
      <c r="D1593" s="36" t="inlineStr">
        <is>
          <t>Norway</t>
        </is>
      </c>
      <c r="E1593" s="36" t="inlineStr">
        <is>
          <t>Online Store</t>
        </is>
      </c>
      <c r="F1593" s="36" t="inlineStr">
        <is>
          <t>Returning</t>
        </is>
      </c>
      <c r="G1593" s="36" t="inlineStr">
        <is>
          <t>Fitness</t>
        </is>
      </c>
      <c r="H1593" s="36" t="inlineStr">
        <is>
          <t>Recovery Roller</t>
        </is>
      </c>
      <c r="I1593" s="36" t="n">
        <v>1</v>
      </c>
      <c r="J1593" s="39" t="n">
        <v>36.33</v>
      </c>
      <c r="K1593" s="45" t="n">
        <v>0.05</v>
      </c>
      <c r="L1593" s="39" t="n">
        <v>13.78</v>
      </c>
      <c r="M1593" s="39">
        <f>I1593*J1593*(1-K1593)</f>
        <v/>
      </c>
      <c r="N1593" s="39">
        <f>I1593*L1593</f>
        <v/>
      </c>
      <c r="O1593" s="39">
        <f>M1593-N1593</f>
        <v/>
      </c>
      <c r="P1593" s="38">
        <f>IF(M1593=0,0,O1593/M1593)</f>
        <v/>
      </c>
      <c r="Q1593" s="36">
        <f>YEAR(B1593)</f>
        <v/>
      </c>
      <c r="R1593" s="36">
        <f>"Q"&amp;ROUNDUP(MONTH(B1593)/3,0)</f>
        <v/>
      </c>
      <c r="S1593" s="36">
        <f>MONTH(B1593)</f>
        <v/>
      </c>
      <c r="T1593" s="36">
        <f>TEXT(B1593,"mmm")</f>
        <v/>
      </c>
      <c r="U1593" s="36">
        <f>IF(AND(OR(sel_Region="All",C1593=sel_Region),OR(sel_Country="All",D1593=sel_Country),OR(sel_Channel="All",E1593=sel_Channel),OR(sel_Customer="All",F1593=sel_Customer),OR(sel_Category="All",G1593=sel_Category),OR(sel_Product="All",H1593=sel_Product),AND(S1593&gt;=m_From,S1593&lt;=m_To)),1,0)</f>
        <v/>
      </c>
      <c r="V1593" s="36">
        <f>IF(AND(OR(sel_Region="All",C1593=sel_Region),OR(sel_Channel="All",E1593=sel_Channel),OR(sel_Customer="All",F1593=sel_Customer),OR(sel_Category="All",G1593=sel_Category),OR(sel_Product="All",H1593=sel_Product),AND(S1593&gt;=m_From,S1593&lt;=m_To)),1,0)</f>
        <v/>
      </c>
      <c r="W1593" s="36">
        <f>IF(AND(OR(sel_Region="All",C1593=sel_Region),OR(sel_Country="All",D1593=sel_Country),OR(sel_Customer="All",F1593=sel_Customer),OR(sel_Category="All",G1593=sel_Category),OR(sel_Product="All",H1593=sel_Product),AND(S1593&gt;=m_From,S1593&lt;=m_To)),1,0)</f>
        <v/>
      </c>
      <c r="X1593" s="36">
        <f>IF(AND(OR(sel_Region="All",C1593=sel_Region),OR(sel_Country="All",D1593=sel_Country),OR(sel_Channel="All",E1593=sel_Channel),OR(sel_Category="All",G1593=sel_Category),OR(sel_Product="All",H1593=sel_Product),AND(S1593&gt;=m_From,S1593&lt;=m_To)),1,0)</f>
        <v/>
      </c>
      <c r="Y1593" s="36">
        <f>IF(AND(OR(sel_Region="All",C1593=sel_Region),OR(sel_Country="All",D1593=sel_Country),OR(sel_Channel="All",E1593=sel_Channel),OR(sel_Customer="All",F1593=sel_Customer),OR(sel_Product="All",H1593=sel_Product),AND(S1593&gt;=m_From,S1593&lt;=m_To)),1,0)</f>
        <v/>
      </c>
      <c r="Z1593" s="36">
        <f>IF(AND(OR(sel_Region="All",C1593=sel_Region),OR(sel_Country="All",D1593=sel_Country),OR(sel_Channel="All",E1593=sel_Channel),OR(sel_Customer="All",F1593=sel_Customer),OR(sel_Category="All",G1593=sel_Category),AND(S1593&gt;=m_From,S1593&lt;=m_To)),1,0)</f>
        <v/>
      </c>
      <c r="AA1593" s="36">
        <f>IF(AND(OR(sel_Region="All",C1593=sel_Region),OR(sel_Country="All",D1593=sel_Country),OR(sel_Channel="All",E1593=sel_Channel),OR(sel_Customer="All",F1593=sel_Customer),OR(sel_Category="All",G1593=sel_Category),OR(sel_Product="All",H1593=sel_Product)),1,0)</f>
        <v/>
      </c>
    </row>
    <row r="1594">
      <c r="A1594" s="36" t="inlineStr">
        <is>
          <t>00836</t>
        </is>
      </c>
      <c r="B1594" s="44" t="n">
        <v>46241</v>
      </c>
      <c r="C1594" s="36" t="inlineStr">
        <is>
          <t>Central Europe</t>
        </is>
      </c>
      <c r="D1594" s="36" t="inlineStr">
        <is>
          <t>Poland</t>
        </is>
      </c>
      <c r="E1594" s="36" t="inlineStr">
        <is>
          <t>Marketplace</t>
        </is>
      </c>
      <c r="F1594" s="36" t="inlineStr">
        <is>
          <t>New</t>
        </is>
      </c>
      <c r="G1594" s="36" t="inlineStr">
        <is>
          <t>Travel</t>
        </is>
      </c>
      <c r="H1594" s="36" t="inlineStr">
        <is>
          <t>Packing Cube Set</t>
        </is>
      </c>
      <c r="I1594" s="36" t="n">
        <v>5</v>
      </c>
      <c r="J1594" s="39" t="n">
        <v>45.94</v>
      </c>
      <c r="K1594" s="45" t="n">
        <v>0.05</v>
      </c>
      <c r="L1594" s="39" t="n">
        <v>18.06</v>
      </c>
      <c r="M1594" s="39">
        <f>I1594*J1594*(1-K1594)</f>
        <v/>
      </c>
      <c r="N1594" s="39">
        <f>I1594*L1594</f>
        <v/>
      </c>
      <c r="O1594" s="39">
        <f>M1594-N1594</f>
        <v/>
      </c>
      <c r="P1594" s="38">
        <f>IF(M1594=0,0,O1594/M1594)</f>
        <v/>
      </c>
      <c r="Q1594" s="36">
        <f>YEAR(B1594)</f>
        <v/>
      </c>
      <c r="R1594" s="36">
        <f>"Q"&amp;ROUNDUP(MONTH(B1594)/3,0)</f>
        <v/>
      </c>
      <c r="S1594" s="36">
        <f>MONTH(B1594)</f>
        <v/>
      </c>
      <c r="T1594" s="36">
        <f>TEXT(B1594,"mmm")</f>
        <v/>
      </c>
      <c r="U1594" s="36">
        <f>IF(AND(OR(sel_Region="All",C1594=sel_Region),OR(sel_Country="All",D1594=sel_Country),OR(sel_Channel="All",E1594=sel_Channel),OR(sel_Customer="All",F1594=sel_Customer),OR(sel_Category="All",G1594=sel_Category),OR(sel_Product="All",H1594=sel_Product),AND(S1594&gt;=m_From,S1594&lt;=m_To)),1,0)</f>
        <v/>
      </c>
      <c r="V1594" s="36">
        <f>IF(AND(OR(sel_Region="All",C1594=sel_Region),OR(sel_Channel="All",E1594=sel_Channel),OR(sel_Customer="All",F1594=sel_Customer),OR(sel_Category="All",G1594=sel_Category),OR(sel_Product="All",H1594=sel_Product),AND(S1594&gt;=m_From,S1594&lt;=m_To)),1,0)</f>
        <v/>
      </c>
      <c r="W1594" s="36">
        <f>IF(AND(OR(sel_Region="All",C1594=sel_Region),OR(sel_Country="All",D1594=sel_Country),OR(sel_Customer="All",F1594=sel_Customer),OR(sel_Category="All",G1594=sel_Category),OR(sel_Product="All",H1594=sel_Product),AND(S1594&gt;=m_From,S1594&lt;=m_To)),1,0)</f>
        <v/>
      </c>
      <c r="X1594" s="36">
        <f>IF(AND(OR(sel_Region="All",C1594=sel_Region),OR(sel_Country="All",D1594=sel_Country),OR(sel_Channel="All",E1594=sel_Channel),OR(sel_Category="All",G1594=sel_Category),OR(sel_Product="All",H1594=sel_Product),AND(S1594&gt;=m_From,S1594&lt;=m_To)),1,0)</f>
        <v/>
      </c>
      <c r="Y1594" s="36">
        <f>IF(AND(OR(sel_Region="All",C1594=sel_Region),OR(sel_Country="All",D1594=sel_Country),OR(sel_Channel="All",E1594=sel_Channel),OR(sel_Customer="All",F1594=sel_Customer),OR(sel_Product="All",H1594=sel_Product),AND(S1594&gt;=m_From,S1594&lt;=m_To)),1,0)</f>
        <v/>
      </c>
      <c r="Z1594" s="36">
        <f>IF(AND(OR(sel_Region="All",C1594=sel_Region),OR(sel_Country="All",D1594=sel_Country),OR(sel_Channel="All",E1594=sel_Channel),OR(sel_Customer="All",F1594=sel_Customer),OR(sel_Category="All",G1594=sel_Category),AND(S1594&gt;=m_From,S1594&lt;=m_To)),1,0)</f>
        <v/>
      </c>
      <c r="AA1594" s="36">
        <f>IF(AND(OR(sel_Region="All",C1594=sel_Region),OR(sel_Country="All",D1594=sel_Country),OR(sel_Channel="All",E1594=sel_Channel),OR(sel_Customer="All",F1594=sel_Customer),OR(sel_Category="All",G1594=sel_Category),OR(sel_Product="All",H1594=sel_Product)),1,0)</f>
        <v/>
      </c>
    </row>
    <row r="1595">
      <c r="A1595" s="36" t="inlineStr">
        <is>
          <t>01266</t>
        </is>
      </c>
      <c r="B1595" s="44" t="n">
        <v>46241</v>
      </c>
      <c r="C1595" s="36" t="inlineStr">
        <is>
          <t>Southern Europe</t>
        </is>
      </c>
      <c r="D1595" s="36" t="inlineStr">
        <is>
          <t>Italy</t>
        </is>
      </c>
      <c r="E1595" s="36" t="inlineStr">
        <is>
          <t>Retail Partners</t>
        </is>
      </c>
      <c r="F1595" s="36" t="inlineStr">
        <is>
          <t>Returning</t>
        </is>
      </c>
      <c r="G1595" s="36" t="inlineStr">
        <is>
          <t>Fitness</t>
        </is>
      </c>
      <c r="H1595" s="36" t="inlineStr">
        <is>
          <t>Recovery Roller</t>
        </is>
      </c>
      <c r="I1595" s="36" t="n">
        <v>1</v>
      </c>
      <c r="J1595" s="39" t="n">
        <v>36.63</v>
      </c>
      <c r="K1595" s="45" t="n">
        <v>0</v>
      </c>
      <c r="L1595" s="39" t="n">
        <v>13.7</v>
      </c>
      <c r="M1595" s="39">
        <f>I1595*J1595*(1-K1595)</f>
        <v/>
      </c>
      <c r="N1595" s="39">
        <f>I1595*L1595</f>
        <v/>
      </c>
      <c r="O1595" s="39">
        <f>M1595-N1595</f>
        <v/>
      </c>
      <c r="P1595" s="38">
        <f>IF(M1595=0,0,O1595/M1595)</f>
        <v/>
      </c>
      <c r="Q1595" s="36">
        <f>YEAR(B1595)</f>
        <v/>
      </c>
      <c r="R1595" s="36">
        <f>"Q"&amp;ROUNDUP(MONTH(B1595)/3,0)</f>
        <v/>
      </c>
      <c r="S1595" s="36">
        <f>MONTH(B1595)</f>
        <v/>
      </c>
      <c r="T1595" s="36">
        <f>TEXT(B1595,"mmm")</f>
        <v/>
      </c>
      <c r="U1595" s="36">
        <f>IF(AND(OR(sel_Region="All",C1595=sel_Region),OR(sel_Country="All",D1595=sel_Country),OR(sel_Channel="All",E1595=sel_Channel),OR(sel_Customer="All",F1595=sel_Customer),OR(sel_Category="All",G1595=sel_Category),OR(sel_Product="All",H1595=sel_Product),AND(S1595&gt;=m_From,S1595&lt;=m_To)),1,0)</f>
        <v/>
      </c>
      <c r="V1595" s="36">
        <f>IF(AND(OR(sel_Region="All",C1595=sel_Region),OR(sel_Channel="All",E1595=sel_Channel),OR(sel_Customer="All",F1595=sel_Customer),OR(sel_Category="All",G1595=sel_Category),OR(sel_Product="All",H1595=sel_Product),AND(S1595&gt;=m_From,S1595&lt;=m_To)),1,0)</f>
        <v/>
      </c>
      <c r="W1595" s="36">
        <f>IF(AND(OR(sel_Region="All",C1595=sel_Region),OR(sel_Country="All",D1595=sel_Country),OR(sel_Customer="All",F1595=sel_Customer),OR(sel_Category="All",G1595=sel_Category),OR(sel_Product="All",H1595=sel_Product),AND(S1595&gt;=m_From,S1595&lt;=m_To)),1,0)</f>
        <v/>
      </c>
      <c r="X1595" s="36">
        <f>IF(AND(OR(sel_Region="All",C1595=sel_Region),OR(sel_Country="All",D1595=sel_Country),OR(sel_Channel="All",E1595=sel_Channel),OR(sel_Category="All",G1595=sel_Category),OR(sel_Product="All",H1595=sel_Product),AND(S1595&gt;=m_From,S1595&lt;=m_To)),1,0)</f>
        <v/>
      </c>
      <c r="Y1595" s="36">
        <f>IF(AND(OR(sel_Region="All",C1595=sel_Region),OR(sel_Country="All",D1595=sel_Country),OR(sel_Channel="All",E1595=sel_Channel),OR(sel_Customer="All",F1595=sel_Customer),OR(sel_Product="All",H1595=sel_Product),AND(S1595&gt;=m_From,S1595&lt;=m_To)),1,0)</f>
        <v/>
      </c>
      <c r="Z1595" s="36">
        <f>IF(AND(OR(sel_Region="All",C1595=sel_Region),OR(sel_Country="All",D1595=sel_Country),OR(sel_Channel="All",E1595=sel_Channel),OR(sel_Customer="All",F1595=sel_Customer),OR(sel_Category="All",G1595=sel_Category),AND(S1595&gt;=m_From,S1595&lt;=m_To)),1,0)</f>
        <v/>
      </c>
      <c r="AA1595" s="36">
        <f>IF(AND(OR(sel_Region="All",C1595=sel_Region),OR(sel_Country="All",D1595=sel_Country),OR(sel_Channel="All",E1595=sel_Channel),OR(sel_Customer="All",F1595=sel_Customer),OR(sel_Category="All",G1595=sel_Category),OR(sel_Product="All",H1595=sel_Product)),1,0)</f>
        <v/>
      </c>
    </row>
    <row r="1596">
      <c r="A1596" s="36" t="inlineStr">
        <is>
          <t>02201</t>
        </is>
      </c>
      <c r="B1596" s="44" t="n">
        <v>46241</v>
      </c>
      <c r="C1596" s="36" t="inlineStr">
        <is>
          <t>Central Europe</t>
        </is>
      </c>
      <c r="D1596" s="36" t="inlineStr">
        <is>
          <t>Czechia</t>
        </is>
      </c>
      <c r="E1596" s="36" t="inlineStr">
        <is>
          <t>Online Store</t>
        </is>
      </c>
      <c r="F1596" s="36" t="inlineStr">
        <is>
          <t>Returning</t>
        </is>
      </c>
      <c r="G1596" s="36" t="inlineStr">
        <is>
          <t>Hiking</t>
        </is>
      </c>
      <c r="H1596" s="36" t="inlineStr">
        <is>
          <t>Trail Boots</t>
        </is>
      </c>
      <c r="I1596" s="36" t="n">
        <v>1</v>
      </c>
      <c r="J1596" s="39" t="n">
        <v>141.38</v>
      </c>
      <c r="K1596" s="45" t="n">
        <v>0.05</v>
      </c>
      <c r="L1596" s="39" t="n">
        <v>77.14</v>
      </c>
      <c r="M1596" s="39">
        <f>I1596*J1596*(1-K1596)</f>
        <v/>
      </c>
      <c r="N1596" s="39">
        <f>I1596*L1596</f>
        <v/>
      </c>
      <c r="O1596" s="39">
        <f>M1596-N1596</f>
        <v/>
      </c>
      <c r="P1596" s="38">
        <f>IF(M1596=0,0,O1596/M1596)</f>
        <v/>
      </c>
      <c r="Q1596" s="36">
        <f>YEAR(B1596)</f>
        <v/>
      </c>
      <c r="R1596" s="36">
        <f>"Q"&amp;ROUNDUP(MONTH(B1596)/3,0)</f>
        <v/>
      </c>
      <c r="S1596" s="36">
        <f>MONTH(B1596)</f>
        <v/>
      </c>
      <c r="T1596" s="36">
        <f>TEXT(B1596,"mmm")</f>
        <v/>
      </c>
      <c r="U1596" s="36">
        <f>IF(AND(OR(sel_Region="All",C1596=sel_Region),OR(sel_Country="All",D1596=sel_Country),OR(sel_Channel="All",E1596=sel_Channel),OR(sel_Customer="All",F1596=sel_Customer),OR(sel_Category="All",G1596=sel_Category),OR(sel_Product="All",H1596=sel_Product),AND(S1596&gt;=m_From,S1596&lt;=m_To)),1,0)</f>
        <v/>
      </c>
      <c r="V1596" s="36">
        <f>IF(AND(OR(sel_Region="All",C1596=sel_Region),OR(sel_Channel="All",E1596=sel_Channel),OR(sel_Customer="All",F1596=sel_Customer),OR(sel_Category="All",G1596=sel_Category),OR(sel_Product="All",H1596=sel_Product),AND(S1596&gt;=m_From,S1596&lt;=m_To)),1,0)</f>
        <v/>
      </c>
      <c r="W1596" s="36">
        <f>IF(AND(OR(sel_Region="All",C1596=sel_Region),OR(sel_Country="All",D1596=sel_Country),OR(sel_Customer="All",F1596=sel_Customer),OR(sel_Category="All",G1596=sel_Category),OR(sel_Product="All",H1596=sel_Product),AND(S1596&gt;=m_From,S1596&lt;=m_To)),1,0)</f>
        <v/>
      </c>
      <c r="X1596" s="36">
        <f>IF(AND(OR(sel_Region="All",C1596=sel_Region),OR(sel_Country="All",D1596=sel_Country),OR(sel_Channel="All",E1596=sel_Channel),OR(sel_Category="All",G1596=sel_Category),OR(sel_Product="All",H1596=sel_Product),AND(S1596&gt;=m_From,S1596&lt;=m_To)),1,0)</f>
        <v/>
      </c>
      <c r="Y1596" s="36">
        <f>IF(AND(OR(sel_Region="All",C1596=sel_Region),OR(sel_Country="All",D1596=sel_Country),OR(sel_Channel="All",E1596=sel_Channel),OR(sel_Customer="All",F1596=sel_Customer),OR(sel_Product="All",H1596=sel_Product),AND(S1596&gt;=m_From,S1596&lt;=m_To)),1,0)</f>
        <v/>
      </c>
      <c r="Z1596" s="36">
        <f>IF(AND(OR(sel_Region="All",C1596=sel_Region),OR(sel_Country="All",D1596=sel_Country),OR(sel_Channel="All",E1596=sel_Channel),OR(sel_Customer="All",F1596=sel_Customer),OR(sel_Category="All",G1596=sel_Category),AND(S1596&gt;=m_From,S1596&lt;=m_To)),1,0)</f>
        <v/>
      </c>
      <c r="AA1596" s="36">
        <f>IF(AND(OR(sel_Region="All",C1596=sel_Region),OR(sel_Country="All",D1596=sel_Country),OR(sel_Channel="All",E1596=sel_Channel),OR(sel_Customer="All",F1596=sel_Customer),OR(sel_Category="All",G1596=sel_Category),OR(sel_Product="All",H1596=sel_Product)),1,0)</f>
        <v/>
      </c>
    </row>
    <row r="1597">
      <c r="A1597" s="36" t="inlineStr">
        <is>
          <t>02382</t>
        </is>
      </c>
      <c r="B1597" s="44" t="n">
        <v>46241</v>
      </c>
      <c r="C1597" s="36" t="inlineStr">
        <is>
          <t>Central Europe</t>
        </is>
      </c>
      <c r="D1597" s="36" t="inlineStr">
        <is>
          <t>Poland</t>
        </is>
      </c>
      <c r="E1597" s="36" t="inlineStr">
        <is>
          <t>Retail Partners</t>
        </is>
      </c>
      <c r="F1597" s="36" t="inlineStr">
        <is>
          <t>Returning</t>
        </is>
      </c>
      <c r="G1597" s="36" t="inlineStr">
        <is>
          <t>Camping</t>
        </is>
      </c>
      <c r="H1597" s="36" t="inlineStr">
        <is>
          <t>Alpine Tent 4P</t>
        </is>
      </c>
      <c r="I1597" s="36" t="n">
        <v>3</v>
      </c>
      <c r="J1597" s="39" t="n">
        <v>343.45</v>
      </c>
      <c r="K1597" s="45" t="n">
        <v>0.05</v>
      </c>
      <c r="L1597" s="39" t="n">
        <v>195.73</v>
      </c>
      <c r="M1597" s="39">
        <f>I1597*J1597*(1-K1597)</f>
        <v/>
      </c>
      <c r="N1597" s="39">
        <f>I1597*L1597</f>
        <v/>
      </c>
      <c r="O1597" s="39">
        <f>M1597-N1597</f>
        <v/>
      </c>
      <c r="P1597" s="38">
        <f>IF(M1597=0,0,O1597/M1597)</f>
        <v/>
      </c>
      <c r="Q1597" s="36">
        <f>YEAR(B1597)</f>
        <v/>
      </c>
      <c r="R1597" s="36">
        <f>"Q"&amp;ROUNDUP(MONTH(B1597)/3,0)</f>
        <v/>
      </c>
      <c r="S1597" s="36">
        <f>MONTH(B1597)</f>
        <v/>
      </c>
      <c r="T1597" s="36">
        <f>TEXT(B1597,"mmm")</f>
        <v/>
      </c>
      <c r="U1597" s="36">
        <f>IF(AND(OR(sel_Region="All",C1597=sel_Region),OR(sel_Country="All",D1597=sel_Country),OR(sel_Channel="All",E1597=sel_Channel),OR(sel_Customer="All",F1597=sel_Customer),OR(sel_Category="All",G1597=sel_Category),OR(sel_Product="All",H1597=sel_Product),AND(S1597&gt;=m_From,S1597&lt;=m_To)),1,0)</f>
        <v/>
      </c>
      <c r="V1597" s="36">
        <f>IF(AND(OR(sel_Region="All",C1597=sel_Region),OR(sel_Channel="All",E1597=sel_Channel),OR(sel_Customer="All",F1597=sel_Customer),OR(sel_Category="All",G1597=sel_Category),OR(sel_Product="All",H1597=sel_Product),AND(S1597&gt;=m_From,S1597&lt;=m_To)),1,0)</f>
        <v/>
      </c>
      <c r="W1597" s="36">
        <f>IF(AND(OR(sel_Region="All",C1597=sel_Region),OR(sel_Country="All",D1597=sel_Country),OR(sel_Customer="All",F1597=sel_Customer),OR(sel_Category="All",G1597=sel_Category),OR(sel_Product="All",H1597=sel_Product),AND(S1597&gt;=m_From,S1597&lt;=m_To)),1,0)</f>
        <v/>
      </c>
      <c r="X1597" s="36">
        <f>IF(AND(OR(sel_Region="All",C1597=sel_Region),OR(sel_Country="All",D1597=sel_Country),OR(sel_Channel="All",E1597=sel_Channel),OR(sel_Category="All",G1597=sel_Category),OR(sel_Product="All",H1597=sel_Product),AND(S1597&gt;=m_From,S1597&lt;=m_To)),1,0)</f>
        <v/>
      </c>
      <c r="Y1597" s="36">
        <f>IF(AND(OR(sel_Region="All",C1597=sel_Region),OR(sel_Country="All",D1597=sel_Country),OR(sel_Channel="All",E1597=sel_Channel),OR(sel_Customer="All",F1597=sel_Customer),OR(sel_Product="All",H1597=sel_Product),AND(S1597&gt;=m_From,S1597&lt;=m_To)),1,0)</f>
        <v/>
      </c>
      <c r="Z1597" s="36">
        <f>IF(AND(OR(sel_Region="All",C1597=sel_Region),OR(sel_Country="All",D1597=sel_Country),OR(sel_Channel="All",E1597=sel_Channel),OR(sel_Customer="All",F1597=sel_Customer),OR(sel_Category="All",G1597=sel_Category),AND(S1597&gt;=m_From,S1597&lt;=m_To)),1,0)</f>
        <v/>
      </c>
      <c r="AA1597" s="36">
        <f>IF(AND(OR(sel_Region="All",C1597=sel_Region),OR(sel_Country="All",D1597=sel_Country),OR(sel_Channel="All",E1597=sel_Channel),OR(sel_Customer="All",F1597=sel_Customer),OR(sel_Category="All",G1597=sel_Category),OR(sel_Product="All",H1597=sel_Product)),1,0)</f>
        <v/>
      </c>
    </row>
    <row r="1598">
      <c r="A1598" s="36" t="inlineStr">
        <is>
          <t>01227</t>
        </is>
      </c>
      <c r="B1598" s="44" t="n">
        <v>46242</v>
      </c>
      <c r="C1598" s="36" t="inlineStr">
        <is>
          <t>Western Europe</t>
        </is>
      </c>
      <c r="D1598" s="36" t="inlineStr">
        <is>
          <t>United Kingdom</t>
        </is>
      </c>
      <c r="E1598" s="36" t="inlineStr">
        <is>
          <t>Online Store</t>
        </is>
      </c>
      <c r="F1598" s="36" t="inlineStr">
        <is>
          <t>Returning</t>
        </is>
      </c>
      <c r="G1598" s="36" t="inlineStr">
        <is>
          <t>Cycling</t>
        </is>
      </c>
      <c r="H1598" s="36" t="inlineStr">
        <is>
          <t>Cycling Pack 12L</t>
        </is>
      </c>
      <c r="I1598" s="36" t="n">
        <v>1</v>
      </c>
      <c r="J1598" s="39" t="n">
        <v>104.69</v>
      </c>
      <c r="K1598" s="45" t="n">
        <v>0</v>
      </c>
      <c r="L1598" s="39" t="n">
        <v>49.06</v>
      </c>
      <c r="M1598" s="39">
        <f>I1598*J1598*(1-K1598)</f>
        <v/>
      </c>
      <c r="N1598" s="39">
        <f>I1598*L1598</f>
        <v/>
      </c>
      <c r="O1598" s="39">
        <f>M1598-N1598</f>
        <v/>
      </c>
      <c r="P1598" s="38">
        <f>IF(M1598=0,0,O1598/M1598)</f>
        <v/>
      </c>
      <c r="Q1598" s="36">
        <f>YEAR(B1598)</f>
        <v/>
      </c>
      <c r="R1598" s="36">
        <f>"Q"&amp;ROUNDUP(MONTH(B1598)/3,0)</f>
        <v/>
      </c>
      <c r="S1598" s="36">
        <f>MONTH(B1598)</f>
        <v/>
      </c>
      <c r="T1598" s="36">
        <f>TEXT(B1598,"mmm")</f>
        <v/>
      </c>
      <c r="U1598" s="36">
        <f>IF(AND(OR(sel_Region="All",C1598=sel_Region),OR(sel_Country="All",D1598=sel_Country),OR(sel_Channel="All",E1598=sel_Channel),OR(sel_Customer="All",F1598=sel_Customer),OR(sel_Category="All",G1598=sel_Category),OR(sel_Product="All",H1598=sel_Product),AND(S1598&gt;=m_From,S1598&lt;=m_To)),1,0)</f>
        <v/>
      </c>
      <c r="V1598" s="36">
        <f>IF(AND(OR(sel_Region="All",C1598=sel_Region),OR(sel_Channel="All",E1598=sel_Channel),OR(sel_Customer="All",F1598=sel_Customer),OR(sel_Category="All",G1598=sel_Category),OR(sel_Product="All",H1598=sel_Product),AND(S1598&gt;=m_From,S1598&lt;=m_To)),1,0)</f>
        <v/>
      </c>
      <c r="W1598" s="36">
        <f>IF(AND(OR(sel_Region="All",C1598=sel_Region),OR(sel_Country="All",D1598=sel_Country),OR(sel_Customer="All",F1598=sel_Customer),OR(sel_Category="All",G1598=sel_Category),OR(sel_Product="All",H1598=sel_Product),AND(S1598&gt;=m_From,S1598&lt;=m_To)),1,0)</f>
        <v/>
      </c>
      <c r="X1598" s="36">
        <f>IF(AND(OR(sel_Region="All",C1598=sel_Region),OR(sel_Country="All",D1598=sel_Country),OR(sel_Channel="All",E1598=sel_Channel),OR(sel_Category="All",G1598=sel_Category),OR(sel_Product="All",H1598=sel_Product),AND(S1598&gt;=m_From,S1598&lt;=m_To)),1,0)</f>
        <v/>
      </c>
      <c r="Y1598" s="36">
        <f>IF(AND(OR(sel_Region="All",C1598=sel_Region),OR(sel_Country="All",D1598=sel_Country),OR(sel_Channel="All",E1598=sel_Channel),OR(sel_Customer="All",F1598=sel_Customer),OR(sel_Product="All",H1598=sel_Product),AND(S1598&gt;=m_From,S1598&lt;=m_To)),1,0)</f>
        <v/>
      </c>
      <c r="Z1598" s="36">
        <f>IF(AND(OR(sel_Region="All",C1598=sel_Region),OR(sel_Country="All",D1598=sel_Country),OR(sel_Channel="All",E1598=sel_Channel),OR(sel_Customer="All",F1598=sel_Customer),OR(sel_Category="All",G1598=sel_Category),AND(S1598&gt;=m_From,S1598&lt;=m_To)),1,0)</f>
        <v/>
      </c>
      <c r="AA1598" s="36">
        <f>IF(AND(OR(sel_Region="All",C1598=sel_Region),OR(sel_Country="All",D1598=sel_Country),OR(sel_Channel="All",E1598=sel_Channel),OR(sel_Customer="All",F1598=sel_Customer),OR(sel_Category="All",G1598=sel_Category),OR(sel_Product="All",H1598=sel_Product)),1,0)</f>
        <v/>
      </c>
    </row>
    <row r="1599">
      <c r="A1599" s="36" t="inlineStr">
        <is>
          <t>01843</t>
        </is>
      </c>
      <c r="B1599" s="44" t="n">
        <v>46242</v>
      </c>
      <c r="C1599" s="36" t="inlineStr">
        <is>
          <t>Western Europe</t>
        </is>
      </c>
      <c r="D1599" s="36" t="inlineStr">
        <is>
          <t>United Kingdom</t>
        </is>
      </c>
      <c r="E1599" s="36" t="inlineStr">
        <is>
          <t>Online Store</t>
        </is>
      </c>
      <c r="F1599" s="36" t="inlineStr">
        <is>
          <t>New</t>
        </is>
      </c>
      <c r="G1599" s="36" t="inlineStr">
        <is>
          <t>Camping</t>
        </is>
      </c>
      <c r="H1599" s="36" t="inlineStr">
        <is>
          <t>Alpine Tent 4P</t>
        </is>
      </c>
      <c r="I1599" s="36" t="n">
        <v>2</v>
      </c>
      <c r="J1599" s="39" t="n">
        <v>341.23</v>
      </c>
      <c r="K1599" s="45" t="n">
        <v>0.05</v>
      </c>
      <c r="L1599" s="39" t="n">
        <v>192.5</v>
      </c>
      <c r="M1599" s="39">
        <f>I1599*J1599*(1-K1599)</f>
        <v/>
      </c>
      <c r="N1599" s="39">
        <f>I1599*L1599</f>
        <v/>
      </c>
      <c r="O1599" s="39">
        <f>M1599-N1599</f>
        <v/>
      </c>
      <c r="P1599" s="38">
        <f>IF(M1599=0,0,O1599/M1599)</f>
        <v/>
      </c>
      <c r="Q1599" s="36">
        <f>YEAR(B1599)</f>
        <v/>
      </c>
      <c r="R1599" s="36">
        <f>"Q"&amp;ROUNDUP(MONTH(B1599)/3,0)</f>
        <v/>
      </c>
      <c r="S1599" s="36">
        <f>MONTH(B1599)</f>
        <v/>
      </c>
      <c r="T1599" s="36">
        <f>TEXT(B1599,"mmm")</f>
        <v/>
      </c>
      <c r="U1599" s="36">
        <f>IF(AND(OR(sel_Region="All",C1599=sel_Region),OR(sel_Country="All",D1599=sel_Country),OR(sel_Channel="All",E1599=sel_Channel),OR(sel_Customer="All",F1599=sel_Customer),OR(sel_Category="All",G1599=sel_Category),OR(sel_Product="All",H1599=sel_Product),AND(S1599&gt;=m_From,S1599&lt;=m_To)),1,0)</f>
        <v/>
      </c>
      <c r="V1599" s="36">
        <f>IF(AND(OR(sel_Region="All",C1599=sel_Region),OR(sel_Channel="All",E1599=sel_Channel),OR(sel_Customer="All",F1599=sel_Customer),OR(sel_Category="All",G1599=sel_Category),OR(sel_Product="All",H1599=sel_Product),AND(S1599&gt;=m_From,S1599&lt;=m_To)),1,0)</f>
        <v/>
      </c>
      <c r="W1599" s="36">
        <f>IF(AND(OR(sel_Region="All",C1599=sel_Region),OR(sel_Country="All",D1599=sel_Country),OR(sel_Customer="All",F1599=sel_Customer),OR(sel_Category="All",G1599=sel_Category),OR(sel_Product="All",H1599=sel_Product),AND(S1599&gt;=m_From,S1599&lt;=m_To)),1,0)</f>
        <v/>
      </c>
      <c r="X1599" s="36">
        <f>IF(AND(OR(sel_Region="All",C1599=sel_Region),OR(sel_Country="All",D1599=sel_Country),OR(sel_Channel="All",E1599=sel_Channel),OR(sel_Category="All",G1599=sel_Category),OR(sel_Product="All",H1599=sel_Product),AND(S1599&gt;=m_From,S1599&lt;=m_To)),1,0)</f>
        <v/>
      </c>
      <c r="Y1599" s="36">
        <f>IF(AND(OR(sel_Region="All",C1599=sel_Region),OR(sel_Country="All",D1599=sel_Country),OR(sel_Channel="All",E1599=sel_Channel),OR(sel_Customer="All",F1599=sel_Customer),OR(sel_Product="All",H1599=sel_Product),AND(S1599&gt;=m_From,S1599&lt;=m_To)),1,0)</f>
        <v/>
      </c>
      <c r="Z1599" s="36">
        <f>IF(AND(OR(sel_Region="All",C1599=sel_Region),OR(sel_Country="All",D1599=sel_Country),OR(sel_Channel="All",E1599=sel_Channel),OR(sel_Customer="All",F1599=sel_Customer),OR(sel_Category="All",G1599=sel_Category),AND(S1599&gt;=m_From,S1599&lt;=m_To)),1,0)</f>
        <v/>
      </c>
      <c r="AA1599" s="36">
        <f>IF(AND(OR(sel_Region="All",C1599=sel_Region),OR(sel_Country="All",D1599=sel_Country),OR(sel_Channel="All",E1599=sel_Channel),OR(sel_Customer="All",F1599=sel_Customer),OR(sel_Category="All",G1599=sel_Category),OR(sel_Product="All",H1599=sel_Product)),1,0)</f>
        <v/>
      </c>
    </row>
    <row r="1600">
      <c r="A1600" s="36" t="inlineStr">
        <is>
          <t>02369</t>
        </is>
      </c>
      <c r="B1600" s="44" t="n">
        <v>46242</v>
      </c>
      <c r="C1600" s="36" t="inlineStr">
        <is>
          <t>Western Europe</t>
        </is>
      </c>
      <c r="D1600" s="36" t="inlineStr">
        <is>
          <t>United Kingdom</t>
        </is>
      </c>
      <c r="E1600" s="36" t="inlineStr">
        <is>
          <t>Retail Partners</t>
        </is>
      </c>
      <c r="F1600" s="36" t="inlineStr">
        <is>
          <t>New</t>
        </is>
      </c>
      <c r="G1600" s="36" t="inlineStr">
        <is>
          <t>Camping</t>
        </is>
      </c>
      <c r="H1600" s="36" t="inlineStr">
        <is>
          <t>Compact Sleeping Bag</t>
        </is>
      </c>
      <c r="I1600" s="36" t="n">
        <v>1</v>
      </c>
      <c r="J1600" s="39" t="n">
        <v>125.95</v>
      </c>
      <c r="K1600" s="45" t="n">
        <v>0.05</v>
      </c>
      <c r="L1600" s="39" t="n">
        <v>61.9</v>
      </c>
      <c r="M1600" s="39">
        <f>I1600*J1600*(1-K1600)</f>
        <v/>
      </c>
      <c r="N1600" s="39">
        <f>I1600*L1600</f>
        <v/>
      </c>
      <c r="O1600" s="39">
        <f>M1600-N1600</f>
        <v/>
      </c>
      <c r="P1600" s="38">
        <f>IF(M1600=0,0,O1600/M1600)</f>
        <v/>
      </c>
      <c r="Q1600" s="36">
        <f>YEAR(B1600)</f>
        <v/>
      </c>
      <c r="R1600" s="36">
        <f>"Q"&amp;ROUNDUP(MONTH(B1600)/3,0)</f>
        <v/>
      </c>
      <c r="S1600" s="36">
        <f>MONTH(B1600)</f>
        <v/>
      </c>
      <c r="T1600" s="36">
        <f>TEXT(B1600,"mmm")</f>
        <v/>
      </c>
      <c r="U1600" s="36">
        <f>IF(AND(OR(sel_Region="All",C1600=sel_Region),OR(sel_Country="All",D1600=sel_Country),OR(sel_Channel="All",E1600=sel_Channel),OR(sel_Customer="All",F1600=sel_Customer),OR(sel_Category="All",G1600=sel_Category),OR(sel_Product="All",H1600=sel_Product),AND(S1600&gt;=m_From,S1600&lt;=m_To)),1,0)</f>
        <v/>
      </c>
      <c r="V1600" s="36">
        <f>IF(AND(OR(sel_Region="All",C1600=sel_Region),OR(sel_Channel="All",E1600=sel_Channel),OR(sel_Customer="All",F1600=sel_Customer),OR(sel_Category="All",G1600=sel_Category),OR(sel_Product="All",H1600=sel_Product),AND(S1600&gt;=m_From,S1600&lt;=m_To)),1,0)</f>
        <v/>
      </c>
      <c r="W1600" s="36">
        <f>IF(AND(OR(sel_Region="All",C1600=sel_Region),OR(sel_Country="All",D1600=sel_Country),OR(sel_Customer="All",F1600=sel_Customer),OR(sel_Category="All",G1600=sel_Category),OR(sel_Product="All",H1600=sel_Product),AND(S1600&gt;=m_From,S1600&lt;=m_To)),1,0)</f>
        <v/>
      </c>
      <c r="X1600" s="36">
        <f>IF(AND(OR(sel_Region="All",C1600=sel_Region),OR(sel_Country="All",D1600=sel_Country),OR(sel_Channel="All",E1600=sel_Channel),OR(sel_Category="All",G1600=sel_Category),OR(sel_Product="All",H1600=sel_Product),AND(S1600&gt;=m_From,S1600&lt;=m_To)),1,0)</f>
        <v/>
      </c>
      <c r="Y1600" s="36">
        <f>IF(AND(OR(sel_Region="All",C1600=sel_Region),OR(sel_Country="All",D1600=sel_Country),OR(sel_Channel="All",E1600=sel_Channel),OR(sel_Customer="All",F1600=sel_Customer),OR(sel_Product="All",H1600=sel_Product),AND(S1600&gt;=m_From,S1600&lt;=m_To)),1,0)</f>
        <v/>
      </c>
      <c r="Z1600" s="36">
        <f>IF(AND(OR(sel_Region="All",C1600=sel_Region),OR(sel_Country="All",D1600=sel_Country),OR(sel_Channel="All",E1600=sel_Channel),OR(sel_Customer="All",F1600=sel_Customer),OR(sel_Category="All",G1600=sel_Category),AND(S1600&gt;=m_From,S1600&lt;=m_To)),1,0)</f>
        <v/>
      </c>
      <c r="AA1600" s="36">
        <f>IF(AND(OR(sel_Region="All",C1600=sel_Region),OR(sel_Country="All",D1600=sel_Country),OR(sel_Channel="All",E1600=sel_Channel),OR(sel_Customer="All",F1600=sel_Customer),OR(sel_Category="All",G1600=sel_Category),OR(sel_Product="All",H1600=sel_Product)),1,0)</f>
        <v/>
      </c>
    </row>
    <row r="1601">
      <c r="A1601" s="36" t="inlineStr">
        <is>
          <t>02386</t>
        </is>
      </c>
      <c r="B1601" s="44" t="n">
        <v>46242</v>
      </c>
      <c r="C1601" s="36" t="inlineStr">
        <is>
          <t>Central Europe</t>
        </is>
      </c>
      <c r="D1601" s="36" t="inlineStr">
        <is>
          <t>Czechia</t>
        </is>
      </c>
      <c r="E1601" s="36" t="inlineStr">
        <is>
          <t>Online Store</t>
        </is>
      </c>
      <c r="F1601" s="36" t="inlineStr">
        <is>
          <t>Returning</t>
        </is>
      </c>
      <c r="G1601" s="36" t="inlineStr">
        <is>
          <t>Hiking</t>
        </is>
      </c>
      <c r="H1601" s="36" t="inlineStr">
        <is>
          <t>Hiking Daypack 20L</t>
        </is>
      </c>
      <c r="I1601" s="36" t="n">
        <v>6</v>
      </c>
      <c r="J1601" s="39" t="n">
        <v>91.90000000000001</v>
      </c>
      <c r="K1601" s="45" t="n">
        <v>0.05</v>
      </c>
      <c r="L1601" s="39" t="n">
        <v>44.69</v>
      </c>
      <c r="M1601" s="39">
        <f>I1601*J1601*(1-K1601)</f>
        <v/>
      </c>
      <c r="N1601" s="39">
        <f>I1601*L1601</f>
        <v/>
      </c>
      <c r="O1601" s="39">
        <f>M1601-N1601</f>
        <v/>
      </c>
      <c r="P1601" s="38">
        <f>IF(M1601=0,0,O1601/M1601)</f>
        <v/>
      </c>
      <c r="Q1601" s="36">
        <f>YEAR(B1601)</f>
        <v/>
      </c>
      <c r="R1601" s="36">
        <f>"Q"&amp;ROUNDUP(MONTH(B1601)/3,0)</f>
        <v/>
      </c>
      <c r="S1601" s="36">
        <f>MONTH(B1601)</f>
        <v/>
      </c>
      <c r="T1601" s="36">
        <f>TEXT(B1601,"mmm")</f>
        <v/>
      </c>
      <c r="U1601" s="36">
        <f>IF(AND(OR(sel_Region="All",C1601=sel_Region),OR(sel_Country="All",D1601=sel_Country),OR(sel_Channel="All",E1601=sel_Channel),OR(sel_Customer="All",F1601=sel_Customer),OR(sel_Category="All",G1601=sel_Category),OR(sel_Product="All",H1601=sel_Product),AND(S1601&gt;=m_From,S1601&lt;=m_To)),1,0)</f>
        <v/>
      </c>
      <c r="V1601" s="36">
        <f>IF(AND(OR(sel_Region="All",C1601=sel_Region),OR(sel_Channel="All",E1601=sel_Channel),OR(sel_Customer="All",F1601=sel_Customer),OR(sel_Category="All",G1601=sel_Category),OR(sel_Product="All",H1601=sel_Product),AND(S1601&gt;=m_From,S1601&lt;=m_To)),1,0)</f>
        <v/>
      </c>
      <c r="W1601" s="36">
        <f>IF(AND(OR(sel_Region="All",C1601=sel_Region),OR(sel_Country="All",D1601=sel_Country),OR(sel_Customer="All",F1601=sel_Customer),OR(sel_Category="All",G1601=sel_Category),OR(sel_Product="All",H1601=sel_Product),AND(S1601&gt;=m_From,S1601&lt;=m_To)),1,0)</f>
        <v/>
      </c>
      <c r="X1601" s="36">
        <f>IF(AND(OR(sel_Region="All",C1601=sel_Region),OR(sel_Country="All",D1601=sel_Country),OR(sel_Channel="All",E1601=sel_Channel),OR(sel_Category="All",G1601=sel_Category),OR(sel_Product="All",H1601=sel_Product),AND(S1601&gt;=m_From,S1601&lt;=m_To)),1,0)</f>
        <v/>
      </c>
      <c r="Y1601" s="36">
        <f>IF(AND(OR(sel_Region="All",C1601=sel_Region),OR(sel_Country="All",D1601=sel_Country),OR(sel_Channel="All",E1601=sel_Channel),OR(sel_Customer="All",F1601=sel_Customer),OR(sel_Product="All",H1601=sel_Product),AND(S1601&gt;=m_From,S1601&lt;=m_To)),1,0)</f>
        <v/>
      </c>
      <c r="Z1601" s="36">
        <f>IF(AND(OR(sel_Region="All",C1601=sel_Region),OR(sel_Country="All",D1601=sel_Country),OR(sel_Channel="All",E1601=sel_Channel),OR(sel_Customer="All",F1601=sel_Customer),OR(sel_Category="All",G1601=sel_Category),AND(S1601&gt;=m_From,S1601&lt;=m_To)),1,0)</f>
        <v/>
      </c>
      <c r="AA1601" s="36">
        <f>IF(AND(OR(sel_Region="All",C1601=sel_Region),OR(sel_Country="All",D1601=sel_Country),OR(sel_Channel="All",E1601=sel_Channel),OR(sel_Customer="All",F1601=sel_Customer),OR(sel_Category="All",G1601=sel_Category),OR(sel_Product="All",H1601=sel_Product)),1,0)</f>
        <v/>
      </c>
    </row>
    <row r="1602">
      <c r="A1602" s="36" t="inlineStr">
        <is>
          <t>02579</t>
        </is>
      </c>
      <c r="B1602" s="44" t="n">
        <v>46242</v>
      </c>
      <c r="C1602" s="36" t="inlineStr">
        <is>
          <t>Western Europe</t>
        </is>
      </c>
      <c r="D1602" s="36" t="inlineStr">
        <is>
          <t>United Kingdom</t>
        </is>
      </c>
      <c r="E1602" s="36" t="inlineStr">
        <is>
          <t>Retail Partners</t>
        </is>
      </c>
      <c r="F1602" s="36" t="inlineStr">
        <is>
          <t>Returning</t>
        </is>
      </c>
      <c r="G1602" s="36" t="inlineStr">
        <is>
          <t>Camping</t>
        </is>
      </c>
      <c r="H1602" s="36" t="inlineStr">
        <is>
          <t>Portable Camp Stove</t>
        </is>
      </c>
      <c r="I1602" s="36" t="n">
        <v>1</v>
      </c>
      <c r="J1602" s="39" t="n">
        <v>81.22</v>
      </c>
      <c r="K1602" s="45" t="n">
        <v>0</v>
      </c>
      <c r="L1602" s="39" t="n">
        <v>39.18</v>
      </c>
      <c r="M1602" s="39">
        <f>I1602*J1602*(1-K1602)</f>
        <v/>
      </c>
      <c r="N1602" s="39">
        <f>I1602*L1602</f>
        <v/>
      </c>
      <c r="O1602" s="39">
        <f>M1602-N1602</f>
        <v/>
      </c>
      <c r="P1602" s="38">
        <f>IF(M1602=0,0,O1602/M1602)</f>
        <v/>
      </c>
      <c r="Q1602" s="36">
        <f>YEAR(B1602)</f>
        <v/>
      </c>
      <c r="R1602" s="36">
        <f>"Q"&amp;ROUNDUP(MONTH(B1602)/3,0)</f>
        <v/>
      </c>
      <c r="S1602" s="36">
        <f>MONTH(B1602)</f>
        <v/>
      </c>
      <c r="T1602" s="36">
        <f>TEXT(B1602,"mmm")</f>
        <v/>
      </c>
      <c r="U1602" s="36">
        <f>IF(AND(OR(sel_Region="All",C1602=sel_Region),OR(sel_Country="All",D1602=sel_Country),OR(sel_Channel="All",E1602=sel_Channel),OR(sel_Customer="All",F1602=sel_Customer),OR(sel_Category="All",G1602=sel_Category),OR(sel_Product="All",H1602=sel_Product),AND(S1602&gt;=m_From,S1602&lt;=m_To)),1,0)</f>
        <v/>
      </c>
      <c r="V1602" s="36">
        <f>IF(AND(OR(sel_Region="All",C1602=sel_Region),OR(sel_Channel="All",E1602=sel_Channel),OR(sel_Customer="All",F1602=sel_Customer),OR(sel_Category="All",G1602=sel_Category),OR(sel_Product="All",H1602=sel_Product),AND(S1602&gt;=m_From,S1602&lt;=m_To)),1,0)</f>
        <v/>
      </c>
      <c r="W1602" s="36">
        <f>IF(AND(OR(sel_Region="All",C1602=sel_Region),OR(sel_Country="All",D1602=sel_Country),OR(sel_Customer="All",F1602=sel_Customer),OR(sel_Category="All",G1602=sel_Category),OR(sel_Product="All",H1602=sel_Product),AND(S1602&gt;=m_From,S1602&lt;=m_To)),1,0)</f>
        <v/>
      </c>
      <c r="X1602" s="36">
        <f>IF(AND(OR(sel_Region="All",C1602=sel_Region),OR(sel_Country="All",D1602=sel_Country),OR(sel_Channel="All",E1602=sel_Channel),OR(sel_Category="All",G1602=sel_Category),OR(sel_Product="All",H1602=sel_Product),AND(S1602&gt;=m_From,S1602&lt;=m_To)),1,0)</f>
        <v/>
      </c>
      <c r="Y1602" s="36">
        <f>IF(AND(OR(sel_Region="All",C1602=sel_Region),OR(sel_Country="All",D1602=sel_Country),OR(sel_Channel="All",E1602=sel_Channel),OR(sel_Customer="All",F1602=sel_Customer),OR(sel_Product="All",H1602=sel_Product),AND(S1602&gt;=m_From,S1602&lt;=m_To)),1,0)</f>
        <v/>
      </c>
      <c r="Z1602" s="36">
        <f>IF(AND(OR(sel_Region="All",C1602=sel_Region),OR(sel_Country="All",D1602=sel_Country),OR(sel_Channel="All",E1602=sel_Channel),OR(sel_Customer="All",F1602=sel_Customer),OR(sel_Category="All",G1602=sel_Category),AND(S1602&gt;=m_From,S1602&lt;=m_To)),1,0)</f>
        <v/>
      </c>
      <c r="AA1602" s="36">
        <f>IF(AND(OR(sel_Region="All",C1602=sel_Region),OR(sel_Country="All",D1602=sel_Country),OR(sel_Channel="All",E1602=sel_Channel),OR(sel_Customer="All",F1602=sel_Customer),OR(sel_Category="All",G1602=sel_Category),OR(sel_Product="All",H1602=sel_Product)),1,0)</f>
        <v/>
      </c>
    </row>
    <row r="1603">
      <c r="A1603" s="36" t="inlineStr">
        <is>
          <t>03075</t>
        </is>
      </c>
      <c r="B1603" s="44" t="n">
        <v>46242</v>
      </c>
      <c r="C1603" s="36" t="inlineStr">
        <is>
          <t>Southern Europe</t>
        </is>
      </c>
      <c r="D1603" s="36" t="inlineStr">
        <is>
          <t>Spain</t>
        </is>
      </c>
      <c r="E1603" s="36" t="inlineStr">
        <is>
          <t>Online Store</t>
        </is>
      </c>
      <c r="F1603" s="36" t="inlineStr">
        <is>
          <t>Business</t>
        </is>
      </c>
      <c r="G1603" s="36" t="inlineStr">
        <is>
          <t>Hiking</t>
        </is>
      </c>
      <c r="H1603" s="36" t="inlineStr">
        <is>
          <t>Trekking Poles</t>
        </is>
      </c>
      <c r="I1603" s="36" t="n">
        <v>2</v>
      </c>
      <c r="J1603" s="39" t="n">
        <v>72.31</v>
      </c>
      <c r="K1603" s="45" t="n">
        <v>0</v>
      </c>
      <c r="L1603" s="39" t="n">
        <v>31.75</v>
      </c>
      <c r="M1603" s="39">
        <f>I1603*J1603*(1-K1603)</f>
        <v/>
      </c>
      <c r="N1603" s="39">
        <f>I1603*L1603</f>
        <v/>
      </c>
      <c r="O1603" s="39">
        <f>M1603-N1603</f>
        <v/>
      </c>
      <c r="P1603" s="38">
        <f>IF(M1603=0,0,O1603/M1603)</f>
        <v/>
      </c>
      <c r="Q1603" s="36">
        <f>YEAR(B1603)</f>
        <v/>
      </c>
      <c r="R1603" s="36">
        <f>"Q"&amp;ROUNDUP(MONTH(B1603)/3,0)</f>
        <v/>
      </c>
      <c r="S1603" s="36">
        <f>MONTH(B1603)</f>
        <v/>
      </c>
      <c r="T1603" s="36">
        <f>TEXT(B1603,"mmm")</f>
        <v/>
      </c>
      <c r="U1603" s="36">
        <f>IF(AND(OR(sel_Region="All",C1603=sel_Region),OR(sel_Country="All",D1603=sel_Country),OR(sel_Channel="All",E1603=sel_Channel),OR(sel_Customer="All",F1603=sel_Customer),OR(sel_Category="All",G1603=sel_Category),OR(sel_Product="All",H1603=sel_Product),AND(S1603&gt;=m_From,S1603&lt;=m_To)),1,0)</f>
        <v/>
      </c>
      <c r="V1603" s="36">
        <f>IF(AND(OR(sel_Region="All",C1603=sel_Region),OR(sel_Channel="All",E1603=sel_Channel),OR(sel_Customer="All",F1603=sel_Customer),OR(sel_Category="All",G1603=sel_Category),OR(sel_Product="All",H1603=sel_Product),AND(S1603&gt;=m_From,S1603&lt;=m_To)),1,0)</f>
        <v/>
      </c>
      <c r="W1603" s="36">
        <f>IF(AND(OR(sel_Region="All",C1603=sel_Region),OR(sel_Country="All",D1603=sel_Country),OR(sel_Customer="All",F1603=sel_Customer),OR(sel_Category="All",G1603=sel_Category),OR(sel_Product="All",H1603=sel_Product),AND(S1603&gt;=m_From,S1603&lt;=m_To)),1,0)</f>
        <v/>
      </c>
      <c r="X1603" s="36">
        <f>IF(AND(OR(sel_Region="All",C1603=sel_Region),OR(sel_Country="All",D1603=sel_Country),OR(sel_Channel="All",E1603=sel_Channel),OR(sel_Category="All",G1603=sel_Category),OR(sel_Product="All",H1603=sel_Product),AND(S1603&gt;=m_From,S1603&lt;=m_To)),1,0)</f>
        <v/>
      </c>
      <c r="Y1603" s="36">
        <f>IF(AND(OR(sel_Region="All",C1603=sel_Region),OR(sel_Country="All",D1603=sel_Country),OR(sel_Channel="All",E1603=sel_Channel),OR(sel_Customer="All",F1603=sel_Customer),OR(sel_Product="All",H1603=sel_Product),AND(S1603&gt;=m_From,S1603&lt;=m_To)),1,0)</f>
        <v/>
      </c>
      <c r="Z1603" s="36">
        <f>IF(AND(OR(sel_Region="All",C1603=sel_Region),OR(sel_Country="All",D1603=sel_Country),OR(sel_Channel="All",E1603=sel_Channel),OR(sel_Customer="All",F1603=sel_Customer),OR(sel_Category="All",G1603=sel_Category),AND(S1603&gt;=m_From,S1603&lt;=m_To)),1,0)</f>
        <v/>
      </c>
      <c r="AA1603" s="36">
        <f>IF(AND(OR(sel_Region="All",C1603=sel_Region),OR(sel_Country="All",D1603=sel_Country),OR(sel_Channel="All",E1603=sel_Channel),OR(sel_Customer="All",F1603=sel_Customer),OR(sel_Category="All",G1603=sel_Category),OR(sel_Product="All",H1603=sel_Product)),1,0)</f>
        <v/>
      </c>
    </row>
    <row r="1604">
      <c r="A1604" s="36" t="inlineStr">
        <is>
          <t>03982</t>
        </is>
      </c>
      <c r="B1604" s="44" t="n">
        <v>46242</v>
      </c>
      <c r="C1604" s="36" t="inlineStr">
        <is>
          <t>Northern Europe</t>
        </is>
      </c>
      <c r="D1604" s="36" t="inlineStr">
        <is>
          <t>Sweden</t>
        </is>
      </c>
      <c r="E1604" s="36" t="inlineStr">
        <is>
          <t>Retail Partners</t>
        </is>
      </c>
      <c r="F1604" s="36" t="inlineStr">
        <is>
          <t>Returning</t>
        </is>
      </c>
      <c r="G1604" s="36" t="inlineStr">
        <is>
          <t>Camping</t>
        </is>
      </c>
      <c r="H1604" s="36" t="inlineStr">
        <is>
          <t>Portable Camp Stove</t>
        </is>
      </c>
      <c r="I1604" s="36" t="n">
        <v>1</v>
      </c>
      <c r="J1604" s="39" t="n">
        <v>79.98999999999999</v>
      </c>
      <c r="K1604" s="45" t="n">
        <v>0.05</v>
      </c>
      <c r="L1604" s="39" t="n">
        <v>40.25</v>
      </c>
      <c r="M1604" s="39">
        <f>I1604*J1604*(1-K1604)</f>
        <v/>
      </c>
      <c r="N1604" s="39">
        <f>I1604*L1604</f>
        <v/>
      </c>
      <c r="O1604" s="39">
        <f>M1604-N1604</f>
        <v/>
      </c>
      <c r="P1604" s="38">
        <f>IF(M1604=0,0,O1604/M1604)</f>
        <v/>
      </c>
      <c r="Q1604" s="36">
        <f>YEAR(B1604)</f>
        <v/>
      </c>
      <c r="R1604" s="36">
        <f>"Q"&amp;ROUNDUP(MONTH(B1604)/3,0)</f>
        <v/>
      </c>
      <c r="S1604" s="36">
        <f>MONTH(B1604)</f>
        <v/>
      </c>
      <c r="T1604" s="36">
        <f>TEXT(B1604,"mmm")</f>
        <v/>
      </c>
      <c r="U1604" s="36">
        <f>IF(AND(OR(sel_Region="All",C1604=sel_Region),OR(sel_Country="All",D1604=sel_Country),OR(sel_Channel="All",E1604=sel_Channel),OR(sel_Customer="All",F1604=sel_Customer),OR(sel_Category="All",G1604=sel_Category),OR(sel_Product="All",H1604=sel_Product),AND(S1604&gt;=m_From,S1604&lt;=m_To)),1,0)</f>
        <v/>
      </c>
      <c r="V1604" s="36">
        <f>IF(AND(OR(sel_Region="All",C1604=sel_Region),OR(sel_Channel="All",E1604=sel_Channel),OR(sel_Customer="All",F1604=sel_Customer),OR(sel_Category="All",G1604=sel_Category),OR(sel_Product="All",H1604=sel_Product),AND(S1604&gt;=m_From,S1604&lt;=m_To)),1,0)</f>
        <v/>
      </c>
      <c r="W1604" s="36">
        <f>IF(AND(OR(sel_Region="All",C1604=sel_Region),OR(sel_Country="All",D1604=sel_Country),OR(sel_Customer="All",F1604=sel_Customer),OR(sel_Category="All",G1604=sel_Category),OR(sel_Product="All",H1604=sel_Product),AND(S1604&gt;=m_From,S1604&lt;=m_To)),1,0)</f>
        <v/>
      </c>
      <c r="X1604" s="36">
        <f>IF(AND(OR(sel_Region="All",C1604=sel_Region),OR(sel_Country="All",D1604=sel_Country),OR(sel_Channel="All",E1604=sel_Channel),OR(sel_Category="All",G1604=sel_Category),OR(sel_Product="All",H1604=sel_Product),AND(S1604&gt;=m_From,S1604&lt;=m_To)),1,0)</f>
        <v/>
      </c>
      <c r="Y1604" s="36">
        <f>IF(AND(OR(sel_Region="All",C1604=sel_Region),OR(sel_Country="All",D1604=sel_Country),OR(sel_Channel="All",E1604=sel_Channel),OR(sel_Customer="All",F1604=sel_Customer),OR(sel_Product="All",H1604=sel_Product),AND(S1604&gt;=m_From,S1604&lt;=m_To)),1,0)</f>
        <v/>
      </c>
      <c r="Z1604" s="36">
        <f>IF(AND(OR(sel_Region="All",C1604=sel_Region),OR(sel_Country="All",D1604=sel_Country),OR(sel_Channel="All",E1604=sel_Channel),OR(sel_Customer="All",F1604=sel_Customer),OR(sel_Category="All",G1604=sel_Category),AND(S1604&gt;=m_From,S1604&lt;=m_To)),1,0)</f>
        <v/>
      </c>
      <c r="AA1604" s="36">
        <f>IF(AND(OR(sel_Region="All",C1604=sel_Region),OR(sel_Country="All",D1604=sel_Country),OR(sel_Channel="All",E1604=sel_Channel),OR(sel_Customer="All",F1604=sel_Customer),OR(sel_Category="All",G1604=sel_Category),OR(sel_Product="All",H1604=sel_Product)),1,0)</f>
        <v/>
      </c>
    </row>
    <row r="1605">
      <c r="A1605" s="36" t="inlineStr">
        <is>
          <t>04530</t>
        </is>
      </c>
      <c r="B1605" s="44" t="n">
        <v>46242</v>
      </c>
      <c r="C1605" s="36" t="inlineStr">
        <is>
          <t>Western Europe</t>
        </is>
      </c>
      <c r="D1605" s="36" t="inlineStr">
        <is>
          <t>France</t>
        </is>
      </c>
      <c r="E1605" s="36" t="inlineStr">
        <is>
          <t>Online Store</t>
        </is>
      </c>
      <c r="F1605" s="36" t="inlineStr">
        <is>
          <t>New</t>
        </is>
      </c>
      <c r="G1605" s="36" t="inlineStr">
        <is>
          <t>Hiking</t>
        </is>
      </c>
      <c r="H1605" s="36" t="inlineStr">
        <is>
          <t>Summit Backpack 45L</t>
        </is>
      </c>
      <c r="I1605" s="36" t="n">
        <v>1</v>
      </c>
      <c r="J1605" s="39" t="n">
        <v>151.87</v>
      </c>
      <c r="K1605" s="45" t="n">
        <v>0.1</v>
      </c>
      <c r="L1605" s="39" t="n">
        <v>76.97</v>
      </c>
      <c r="M1605" s="39">
        <f>I1605*J1605*(1-K1605)</f>
        <v/>
      </c>
      <c r="N1605" s="39">
        <f>I1605*L1605</f>
        <v/>
      </c>
      <c r="O1605" s="39">
        <f>M1605-N1605</f>
        <v/>
      </c>
      <c r="P1605" s="38">
        <f>IF(M1605=0,0,O1605/M1605)</f>
        <v/>
      </c>
      <c r="Q1605" s="36">
        <f>YEAR(B1605)</f>
        <v/>
      </c>
      <c r="R1605" s="36">
        <f>"Q"&amp;ROUNDUP(MONTH(B1605)/3,0)</f>
        <v/>
      </c>
      <c r="S1605" s="36">
        <f>MONTH(B1605)</f>
        <v/>
      </c>
      <c r="T1605" s="36">
        <f>TEXT(B1605,"mmm")</f>
        <v/>
      </c>
      <c r="U1605" s="36">
        <f>IF(AND(OR(sel_Region="All",C1605=sel_Region),OR(sel_Country="All",D1605=sel_Country),OR(sel_Channel="All",E1605=sel_Channel),OR(sel_Customer="All",F1605=sel_Customer),OR(sel_Category="All",G1605=sel_Category),OR(sel_Product="All",H1605=sel_Product),AND(S1605&gt;=m_From,S1605&lt;=m_To)),1,0)</f>
        <v/>
      </c>
      <c r="V1605" s="36">
        <f>IF(AND(OR(sel_Region="All",C1605=sel_Region),OR(sel_Channel="All",E1605=sel_Channel),OR(sel_Customer="All",F1605=sel_Customer),OR(sel_Category="All",G1605=sel_Category),OR(sel_Product="All",H1605=sel_Product),AND(S1605&gt;=m_From,S1605&lt;=m_To)),1,0)</f>
        <v/>
      </c>
      <c r="W1605" s="36">
        <f>IF(AND(OR(sel_Region="All",C1605=sel_Region),OR(sel_Country="All",D1605=sel_Country),OR(sel_Customer="All",F1605=sel_Customer),OR(sel_Category="All",G1605=sel_Category),OR(sel_Product="All",H1605=sel_Product),AND(S1605&gt;=m_From,S1605&lt;=m_To)),1,0)</f>
        <v/>
      </c>
      <c r="X1605" s="36">
        <f>IF(AND(OR(sel_Region="All",C1605=sel_Region),OR(sel_Country="All",D1605=sel_Country),OR(sel_Channel="All",E1605=sel_Channel),OR(sel_Category="All",G1605=sel_Category),OR(sel_Product="All",H1605=sel_Product),AND(S1605&gt;=m_From,S1605&lt;=m_To)),1,0)</f>
        <v/>
      </c>
      <c r="Y1605" s="36">
        <f>IF(AND(OR(sel_Region="All",C1605=sel_Region),OR(sel_Country="All",D1605=sel_Country),OR(sel_Channel="All",E1605=sel_Channel),OR(sel_Customer="All",F1605=sel_Customer),OR(sel_Product="All",H1605=sel_Product),AND(S1605&gt;=m_From,S1605&lt;=m_To)),1,0)</f>
        <v/>
      </c>
      <c r="Z1605" s="36">
        <f>IF(AND(OR(sel_Region="All",C1605=sel_Region),OR(sel_Country="All",D1605=sel_Country),OR(sel_Channel="All",E1605=sel_Channel),OR(sel_Customer="All",F1605=sel_Customer),OR(sel_Category="All",G1605=sel_Category),AND(S1605&gt;=m_From,S1605&lt;=m_To)),1,0)</f>
        <v/>
      </c>
      <c r="AA1605" s="36">
        <f>IF(AND(OR(sel_Region="All",C1605=sel_Region),OR(sel_Country="All",D1605=sel_Country),OR(sel_Channel="All",E1605=sel_Channel),OR(sel_Customer="All",F1605=sel_Customer),OR(sel_Category="All",G1605=sel_Category),OR(sel_Product="All",H1605=sel_Product)),1,0)</f>
        <v/>
      </c>
    </row>
    <row r="1606">
      <c r="A1606" s="36" t="inlineStr">
        <is>
          <t>04641</t>
        </is>
      </c>
      <c r="B1606" s="44" t="n">
        <v>46242</v>
      </c>
      <c r="C1606" s="36" t="inlineStr">
        <is>
          <t>Western Europe</t>
        </is>
      </c>
      <c r="D1606" s="36" t="inlineStr">
        <is>
          <t>United Kingdom</t>
        </is>
      </c>
      <c r="E1606" s="36" t="inlineStr">
        <is>
          <t>Marketplace</t>
        </is>
      </c>
      <c r="F1606" s="36" t="inlineStr">
        <is>
          <t>New</t>
        </is>
      </c>
      <c r="G1606" s="36" t="inlineStr">
        <is>
          <t>Hiking</t>
        </is>
      </c>
      <c r="H1606" s="36" t="inlineStr">
        <is>
          <t>Summit Backpack 45L</t>
        </is>
      </c>
      <c r="I1606" s="36" t="n">
        <v>1</v>
      </c>
      <c r="J1606" s="39" t="n">
        <v>156.55</v>
      </c>
      <c r="K1606" s="45" t="n">
        <v>0</v>
      </c>
      <c r="L1606" s="39" t="n">
        <v>80.43000000000001</v>
      </c>
      <c r="M1606" s="39">
        <f>I1606*J1606*(1-K1606)</f>
        <v/>
      </c>
      <c r="N1606" s="39">
        <f>I1606*L1606</f>
        <v/>
      </c>
      <c r="O1606" s="39">
        <f>M1606-N1606</f>
        <v/>
      </c>
      <c r="P1606" s="38">
        <f>IF(M1606=0,0,O1606/M1606)</f>
        <v/>
      </c>
      <c r="Q1606" s="36">
        <f>YEAR(B1606)</f>
        <v/>
      </c>
      <c r="R1606" s="36">
        <f>"Q"&amp;ROUNDUP(MONTH(B1606)/3,0)</f>
        <v/>
      </c>
      <c r="S1606" s="36">
        <f>MONTH(B1606)</f>
        <v/>
      </c>
      <c r="T1606" s="36">
        <f>TEXT(B1606,"mmm")</f>
        <v/>
      </c>
      <c r="U1606" s="36">
        <f>IF(AND(OR(sel_Region="All",C1606=sel_Region),OR(sel_Country="All",D1606=sel_Country),OR(sel_Channel="All",E1606=sel_Channel),OR(sel_Customer="All",F1606=sel_Customer),OR(sel_Category="All",G1606=sel_Category),OR(sel_Product="All",H1606=sel_Product),AND(S1606&gt;=m_From,S1606&lt;=m_To)),1,0)</f>
        <v/>
      </c>
      <c r="V1606" s="36">
        <f>IF(AND(OR(sel_Region="All",C1606=sel_Region),OR(sel_Channel="All",E1606=sel_Channel),OR(sel_Customer="All",F1606=sel_Customer),OR(sel_Category="All",G1606=sel_Category),OR(sel_Product="All",H1606=sel_Product),AND(S1606&gt;=m_From,S1606&lt;=m_To)),1,0)</f>
        <v/>
      </c>
      <c r="W1606" s="36">
        <f>IF(AND(OR(sel_Region="All",C1606=sel_Region),OR(sel_Country="All",D1606=sel_Country),OR(sel_Customer="All",F1606=sel_Customer),OR(sel_Category="All",G1606=sel_Category),OR(sel_Product="All",H1606=sel_Product),AND(S1606&gt;=m_From,S1606&lt;=m_To)),1,0)</f>
        <v/>
      </c>
      <c r="X1606" s="36">
        <f>IF(AND(OR(sel_Region="All",C1606=sel_Region),OR(sel_Country="All",D1606=sel_Country),OR(sel_Channel="All",E1606=sel_Channel),OR(sel_Category="All",G1606=sel_Category),OR(sel_Product="All",H1606=sel_Product),AND(S1606&gt;=m_From,S1606&lt;=m_To)),1,0)</f>
        <v/>
      </c>
      <c r="Y1606" s="36">
        <f>IF(AND(OR(sel_Region="All",C1606=sel_Region),OR(sel_Country="All",D1606=sel_Country),OR(sel_Channel="All",E1606=sel_Channel),OR(sel_Customer="All",F1606=sel_Customer),OR(sel_Product="All",H1606=sel_Product),AND(S1606&gt;=m_From,S1606&lt;=m_To)),1,0)</f>
        <v/>
      </c>
      <c r="Z1606" s="36">
        <f>IF(AND(OR(sel_Region="All",C1606=sel_Region),OR(sel_Country="All",D1606=sel_Country),OR(sel_Channel="All",E1606=sel_Channel),OR(sel_Customer="All",F1606=sel_Customer),OR(sel_Category="All",G1606=sel_Category),AND(S1606&gt;=m_From,S1606&lt;=m_To)),1,0)</f>
        <v/>
      </c>
      <c r="AA1606" s="36">
        <f>IF(AND(OR(sel_Region="All",C1606=sel_Region),OR(sel_Country="All",D1606=sel_Country),OR(sel_Channel="All",E1606=sel_Channel),OR(sel_Customer="All",F1606=sel_Customer),OR(sel_Category="All",G1606=sel_Category),OR(sel_Product="All",H1606=sel_Product)),1,0)</f>
        <v/>
      </c>
    </row>
    <row r="1607">
      <c r="A1607" s="36" t="inlineStr">
        <is>
          <t>04778</t>
        </is>
      </c>
      <c r="B1607" s="44" t="n">
        <v>46242</v>
      </c>
      <c r="C1607" s="36" t="inlineStr">
        <is>
          <t>Central Europe</t>
        </is>
      </c>
      <c r="D1607" s="36" t="inlineStr">
        <is>
          <t>Germany</t>
        </is>
      </c>
      <c r="E1607" s="36" t="inlineStr">
        <is>
          <t>Retail Partners</t>
        </is>
      </c>
      <c r="F1607" s="36" t="inlineStr">
        <is>
          <t>New</t>
        </is>
      </c>
      <c r="G1607" s="36" t="inlineStr">
        <is>
          <t>Hiking</t>
        </is>
      </c>
      <c r="H1607" s="36" t="inlineStr">
        <is>
          <t>Summit Backpack 45L</t>
        </is>
      </c>
      <c r="I1607" s="36" t="n">
        <v>1</v>
      </c>
      <c r="J1607" s="39" t="n">
        <v>152.72</v>
      </c>
      <c r="K1607" s="45" t="n">
        <v>0</v>
      </c>
      <c r="L1607" s="39" t="n">
        <v>77.73</v>
      </c>
      <c r="M1607" s="39">
        <f>I1607*J1607*(1-K1607)</f>
        <v/>
      </c>
      <c r="N1607" s="39">
        <f>I1607*L1607</f>
        <v/>
      </c>
      <c r="O1607" s="39">
        <f>M1607-N1607</f>
        <v/>
      </c>
      <c r="P1607" s="38">
        <f>IF(M1607=0,0,O1607/M1607)</f>
        <v/>
      </c>
      <c r="Q1607" s="36">
        <f>YEAR(B1607)</f>
        <v/>
      </c>
      <c r="R1607" s="36">
        <f>"Q"&amp;ROUNDUP(MONTH(B1607)/3,0)</f>
        <v/>
      </c>
      <c r="S1607" s="36">
        <f>MONTH(B1607)</f>
        <v/>
      </c>
      <c r="T1607" s="36">
        <f>TEXT(B1607,"mmm")</f>
        <v/>
      </c>
      <c r="U1607" s="36">
        <f>IF(AND(OR(sel_Region="All",C1607=sel_Region),OR(sel_Country="All",D1607=sel_Country),OR(sel_Channel="All",E1607=sel_Channel),OR(sel_Customer="All",F1607=sel_Customer),OR(sel_Category="All",G1607=sel_Category),OR(sel_Product="All",H1607=sel_Product),AND(S1607&gt;=m_From,S1607&lt;=m_To)),1,0)</f>
        <v/>
      </c>
      <c r="V1607" s="36">
        <f>IF(AND(OR(sel_Region="All",C1607=sel_Region),OR(sel_Channel="All",E1607=sel_Channel),OR(sel_Customer="All",F1607=sel_Customer),OR(sel_Category="All",G1607=sel_Category),OR(sel_Product="All",H1607=sel_Product),AND(S1607&gt;=m_From,S1607&lt;=m_To)),1,0)</f>
        <v/>
      </c>
      <c r="W1607" s="36">
        <f>IF(AND(OR(sel_Region="All",C1607=sel_Region),OR(sel_Country="All",D1607=sel_Country),OR(sel_Customer="All",F1607=sel_Customer),OR(sel_Category="All",G1607=sel_Category),OR(sel_Product="All",H1607=sel_Product),AND(S1607&gt;=m_From,S1607&lt;=m_To)),1,0)</f>
        <v/>
      </c>
      <c r="X1607" s="36">
        <f>IF(AND(OR(sel_Region="All",C1607=sel_Region),OR(sel_Country="All",D1607=sel_Country),OR(sel_Channel="All",E1607=sel_Channel),OR(sel_Category="All",G1607=sel_Category),OR(sel_Product="All",H1607=sel_Product),AND(S1607&gt;=m_From,S1607&lt;=m_To)),1,0)</f>
        <v/>
      </c>
      <c r="Y1607" s="36">
        <f>IF(AND(OR(sel_Region="All",C1607=sel_Region),OR(sel_Country="All",D1607=sel_Country),OR(sel_Channel="All",E1607=sel_Channel),OR(sel_Customer="All",F1607=sel_Customer),OR(sel_Product="All",H1607=sel_Product),AND(S1607&gt;=m_From,S1607&lt;=m_To)),1,0)</f>
        <v/>
      </c>
      <c r="Z1607" s="36">
        <f>IF(AND(OR(sel_Region="All",C1607=sel_Region),OR(sel_Country="All",D1607=sel_Country),OR(sel_Channel="All",E1607=sel_Channel),OR(sel_Customer="All",F1607=sel_Customer),OR(sel_Category="All",G1607=sel_Category),AND(S1607&gt;=m_From,S1607&lt;=m_To)),1,0)</f>
        <v/>
      </c>
      <c r="AA1607" s="36">
        <f>IF(AND(OR(sel_Region="All",C1607=sel_Region),OR(sel_Country="All",D1607=sel_Country),OR(sel_Channel="All",E1607=sel_Channel),OR(sel_Customer="All",F1607=sel_Customer),OR(sel_Category="All",G1607=sel_Category),OR(sel_Product="All",H1607=sel_Product)),1,0)</f>
        <v/>
      </c>
    </row>
    <row r="1608">
      <c r="A1608" s="36" t="inlineStr">
        <is>
          <t>05132</t>
        </is>
      </c>
      <c r="B1608" s="44" t="n">
        <v>46242</v>
      </c>
      <c r="C1608" s="36" t="inlineStr">
        <is>
          <t>Central Europe</t>
        </is>
      </c>
      <c r="D1608" s="36" t="inlineStr">
        <is>
          <t>Germany</t>
        </is>
      </c>
      <c r="E1608" s="36" t="inlineStr">
        <is>
          <t>Online Store</t>
        </is>
      </c>
      <c r="F1608" s="36" t="inlineStr">
        <is>
          <t>Business</t>
        </is>
      </c>
      <c r="G1608" s="36" t="inlineStr">
        <is>
          <t>Cycling</t>
        </is>
      </c>
      <c r="H1608" s="36" t="inlineStr">
        <is>
          <t>Compact Repair Kit</t>
        </is>
      </c>
      <c r="I1608" s="36" t="n">
        <v>1</v>
      </c>
      <c r="J1608" s="39" t="n">
        <v>40.51</v>
      </c>
      <c r="K1608" s="45" t="n">
        <v>0.05</v>
      </c>
      <c r="L1608" s="39" t="n">
        <v>16.29</v>
      </c>
      <c r="M1608" s="39">
        <f>I1608*J1608*(1-K1608)</f>
        <v/>
      </c>
      <c r="N1608" s="39">
        <f>I1608*L1608</f>
        <v/>
      </c>
      <c r="O1608" s="39">
        <f>M1608-N1608</f>
        <v/>
      </c>
      <c r="P1608" s="38">
        <f>IF(M1608=0,0,O1608/M1608)</f>
        <v/>
      </c>
      <c r="Q1608" s="36">
        <f>YEAR(B1608)</f>
        <v/>
      </c>
      <c r="R1608" s="36">
        <f>"Q"&amp;ROUNDUP(MONTH(B1608)/3,0)</f>
        <v/>
      </c>
      <c r="S1608" s="36">
        <f>MONTH(B1608)</f>
        <v/>
      </c>
      <c r="T1608" s="36">
        <f>TEXT(B1608,"mmm")</f>
        <v/>
      </c>
      <c r="U1608" s="36">
        <f>IF(AND(OR(sel_Region="All",C1608=sel_Region),OR(sel_Country="All",D1608=sel_Country),OR(sel_Channel="All",E1608=sel_Channel),OR(sel_Customer="All",F1608=sel_Customer),OR(sel_Category="All",G1608=sel_Category),OR(sel_Product="All",H1608=sel_Product),AND(S1608&gt;=m_From,S1608&lt;=m_To)),1,0)</f>
        <v/>
      </c>
      <c r="V1608" s="36">
        <f>IF(AND(OR(sel_Region="All",C1608=sel_Region),OR(sel_Channel="All",E1608=sel_Channel),OR(sel_Customer="All",F1608=sel_Customer),OR(sel_Category="All",G1608=sel_Category),OR(sel_Product="All",H1608=sel_Product),AND(S1608&gt;=m_From,S1608&lt;=m_To)),1,0)</f>
        <v/>
      </c>
      <c r="W1608" s="36">
        <f>IF(AND(OR(sel_Region="All",C1608=sel_Region),OR(sel_Country="All",D1608=sel_Country),OR(sel_Customer="All",F1608=sel_Customer),OR(sel_Category="All",G1608=sel_Category),OR(sel_Product="All",H1608=sel_Product),AND(S1608&gt;=m_From,S1608&lt;=m_To)),1,0)</f>
        <v/>
      </c>
      <c r="X1608" s="36">
        <f>IF(AND(OR(sel_Region="All",C1608=sel_Region),OR(sel_Country="All",D1608=sel_Country),OR(sel_Channel="All",E1608=sel_Channel),OR(sel_Category="All",G1608=sel_Category),OR(sel_Product="All",H1608=sel_Product),AND(S1608&gt;=m_From,S1608&lt;=m_To)),1,0)</f>
        <v/>
      </c>
      <c r="Y1608" s="36">
        <f>IF(AND(OR(sel_Region="All",C1608=sel_Region),OR(sel_Country="All",D1608=sel_Country),OR(sel_Channel="All",E1608=sel_Channel),OR(sel_Customer="All",F1608=sel_Customer),OR(sel_Product="All",H1608=sel_Product),AND(S1608&gt;=m_From,S1608&lt;=m_To)),1,0)</f>
        <v/>
      </c>
      <c r="Z1608" s="36">
        <f>IF(AND(OR(sel_Region="All",C1608=sel_Region),OR(sel_Country="All",D1608=sel_Country),OR(sel_Channel="All",E1608=sel_Channel),OR(sel_Customer="All",F1608=sel_Customer),OR(sel_Category="All",G1608=sel_Category),AND(S1608&gt;=m_From,S1608&lt;=m_To)),1,0)</f>
        <v/>
      </c>
      <c r="AA1608" s="36">
        <f>IF(AND(OR(sel_Region="All",C1608=sel_Region),OR(sel_Country="All",D1608=sel_Country),OR(sel_Channel="All",E1608=sel_Channel),OR(sel_Customer="All",F1608=sel_Customer),OR(sel_Category="All",G1608=sel_Category),OR(sel_Product="All",H1608=sel_Product)),1,0)</f>
        <v/>
      </c>
    </row>
    <row r="1609">
      <c r="A1609" s="36" t="inlineStr">
        <is>
          <t>00227</t>
        </is>
      </c>
      <c r="B1609" s="44" t="n">
        <v>46243</v>
      </c>
      <c r="C1609" s="36" t="inlineStr">
        <is>
          <t>Western Europe</t>
        </is>
      </c>
      <c r="D1609" s="36" t="inlineStr">
        <is>
          <t>Netherlands</t>
        </is>
      </c>
      <c r="E1609" s="36" t="inlineStr">
        <is>
          <t>Marketplace</t>
        </is>
      </c>
      <c r="F1609" s="36" t="inlineStr">
        <is>
          <t>Returning</t>
        </is>
      </c>
      <c r="G1609" s="36" t="inlineStr">
        <is>
          <t>Fitness</t>
        </is>
      </c>
      <c r="H1609" s="36" t="inlineStr">
        <is>
          <t>Resistance Band Set</t>
        </is>
      </c>
      <c r="I1609" s="36" t="n">
        <v>3</v>
      </c>
      <c r="J1609" s="39" t="n">
        <v>40.61</v>
      </c>
      <c r="K1609" s="45" t="n">
        <v>0</v>
      </c>
      <c r="L1609" s="39" t="n">
        <v>14.72</v>
      </c>
      <c r="M1609" s="39">
        <f>I1609*J1609*(1-K1609)</f>
        <v/>
      </c>
      <c r="N1609" s="39">
        <f>I1609*L1609</f>
        <v/>
      </c>
      <c r="O1609" s="39">
        <f>M1609-N1609</f>
        <v/>
      </c>
      <c r="P1609" s="38">
        <f>IF(M1609=0,0,O1609/M1609)</f>
        <v/>
      </c>
      <c r="Q1609" s="36">
        <f>YEAR(B1609)</f>
        <v/>
      </c>
      <c r="R1609" s="36">
        <f>"Q"&amp;ROUNDUP(MONTH(B1609)/3,0)</f>
        <v/>
      </c>
      <c r="S1609" s="36">
        <f>MONTH(B1609)</f>
        <v/>
      </c>
      <c r="T1609" s="36">
        <f>TEXT(B1609,"mmm")</f>
        <v/>
      </c>
      <c r="U1609" s="36">
        <f>IF(AND(OR(sel_Region="All",C1609=sel_Region),OR(sel_Country="All",D1609=sel_Country),OR(sel_Channel="All",E1609=sel_Channel),OR(sel_Customer="All",F1609=sel_Customer),OR(sel_Category="All",G1609=sel_Category),OR(sel_Product="All",H1609=sel_Product),AND(S1609&gt;=m_From,S1609&lt;=m_To)),1,0)</f>
        <v/>
      </c>
      <c r="V1609" s="36">
        <f>IF(AND(OR(sel_Region="All",C1609=sel_Region),OR(sel_Channel="All",E1609=sel_Channel),OR(sel_Customer="All",F1609=sel_Customer),OR(sel_Category="All",G1609=sel_Category),OR(sel_Product="All",H1609=sel_Product),AND(S1609&gt;=m_From,S1609&lt;=m_To)),1,0)</f>
        <v/>
      </c>
      <c r="W1609" s="36">
        <f>IF(AND(OR(sel_Region="All",C1609=sel_Region),OR(sel_Country="All",D1609=sel_Country),OR(sel_Customer="All",F1609=sel_Customer),OR(sel_Category="All",G1609=sel_Category),OR(sel_Product="All",H1609=sel_Product),AND(S1609&gt;=m_From,S1609&lt;=m_To)),1,0)</f>
        <v/>
      </c>
      <c r="X1609" s="36">
        <f>IF(AND(OR(sel_Region="All",C1609=sel_Region),OR(sel_Country="All",D1609=sel_Country),OR(sel_Channel="All",E1609=sel_Channel),OR(sel_Category="All",G1609=sel_Category),OR(sel_Product="All",H1609=sel_Product),AND(S1609&gt;=m_From,S1609&lt;=m_To)),1,0)</f>
        <v/>
      </c>
      <c r="Y1609" s="36">
        <f>IF(AND(OR(sel_Region="All",C1609=sel_Region),OR(sel_Country="All",D1609=sel_Country),OR(sel_Channel="All",E1609=sel_Channel),OR(sel_Customer="All",F1609=sel_Customer),OR(sel_Product="All",H1609=sel_Product),AND(S1609&gt;=m_From,S1609&lt;=m_To)),1,0)</f>
        <v/>
      </c>
      <c r="Z1609" s="36">
        <f>IF(AND(OR(sel_Region="All",C1609=sel_Region),OR(sel_Country="All",D1609=sel_Country),OR(sel_Channel="All",E1609=sel_Channel),OR(sel_Customer="All",F1609=sel_Customer),OR(sel_Category="All",G1609=sel_Category),AND(S1609&gt;=m_From,S1609&lt;=m_To)),1,0)</f>
        <v/>
      </c>
      <c r="AA1609" s="36">
        <f>IF(AND(OR(sel_Region="All",C1609=sel_Region),OR(sel_Country="All",D1609=sel_Country),OR(sel_Channel="All",E1609=sel_Channel),OR(sel_Customer="All",F1609=sel_Customer),OR(sel_Category="All",G1609=sel_Category),OR(sel_Product="All",H1609=sel_Product)),1,0)</f>
        <v/>
      </c>
    </row>
    <row r="1610">
      <c r="A1610" s="36" t="inlineStr">
        <is>
          <t>00390</t>
        </is>
      </c>
      <c r="B1610" s="44" t="n">
        <v>46243</v>
      </c>
      <c r="C1610" s="36" t="inlineStr">
        <is>
          <t>Northern Europe</t>
        </is>
      </c>
      <c r="D1610" s="36" t="inlineStr">
        <is>
          <t>Denmark</t>
        </is>
      </c>
      <c r="E1610" s="36" t="inlineStr">
        <is>
          <t>Retail Partners</t>
        </is>
      </c>
      <c r="F1610" s="36" t="inlineStr">
        <is>
          <t>New</t>
        </is>
      </c>
      <c r="G1610" s="36" t="inlineStr">
        <is>
          <t>Hiking</t>
        </is>
      </c>
      <c r="H1610" s="36" t="inlineStr">
        <is>
          <t>Hiking Daypack 20L</t>
        </is>
      </c>
      <c r="I1610" s="36" t="n">
        <v>1</v>
      </c>
      <c r="J1610" s="39" t="n">
        <v>93.41</v>
      </c>
      <c r="K1610" s="45" t="n">
        <v>0.05</v>
      </c>
      <c r="L1610" s="39" t="n">
        <v>44.7</v>
      </c>
      <c r="M1610" s="39">
        <f>I1610*J1610*(1-K1610)</f>
        <v/>
      </c>
      <c r="N1610" s="39">
        <f>I1610*L1610</f>
        <v/>
      </c>
      <c r="O1610" s="39">
        <f>M1610-N1610</f>
        <v/>
      </c>
      <c r="P1610" s="38">
        <f>IF(M1610=0,0,O1610/M1610)</f>
        <v/>
      </c>
      <c r="Q1610" s="36">
        <f>YEAR(B1610)</f>
        <v/>
      </c>
      <c r="R1610" s="36">
        <f>"Q"&amp;ROUNDUP(MONTH(B1610)/3,0)</f>
        <v/>
      </c>
      <c r="S1610" s="36">
        <f>MONTH(B1610)</f>
        <v/>
      </c>
      <c r="T1610" s="36">
        <f>TEXT(B1610,"mmm")</f>
        <v/>
      </c>
      <c r="U1610" s="36">
        <f>IF(AND(OR(sel_Region="All",C1610=sel_Region),OR(sel_Country="All",D1610=sel_Country),OR(sel_Channel="All",E1610=sel_Channel),OR(sel_Customer="All",F1610=sel_Customer),OR(sel_Category="All",G1610=sel_Category),OR(sel_Product="All",H1610=sel_Product),AND(S1610&gt;=m_From,S1610&lt;=m_To)),1,0)</f>
        <v/>
      </c>
      <c r="V1610" s="36">
        <f>IF(AND(OR(sel_Region="All",C1610=sel_Region),OR(sel_Channel="All",E1610=sel_Channel),OR(sel_Customer="All",F1610=sel_Customer),OR(sel_Category="All",G1610=sel_Category),OR(sel_Product="All",H1610=sel_Product),AND(S1610&gt;=m_From,S1610&lt;=m_To)),1,0)</f>
        <v/>
      </c>
      <c r="W1610" s="36">
        <f>IF(AND(OR(sel_Region="All",C1610=sel_Region),OR(sel_Country="All",D1610=sel_Country),OR(sel_Customer="All",F1610=sel_Customer),OR(sel_Category="All",G1610=sel_Category),OR(sel_Product="All",H1610=sel_Product),AND(S1610&gt;=m_From,S1610&lt;=m_To)),1,0)</f>
        <v/>
      </c>
      <c r="X1610" s="36">
        <f>IF(AND(OR(sel_Region="All",C1610=sel_Region),OR(sel_Country="All",D1610=sel_Country),OR(sel_Channel="All",E1610=sel_Channel),OR(sel_Category="All",G1610=sel_Category),OR(sel_Product="All",H1610=sel_Product),AND(S1610&gt;=m_From,S1610&lt;=m_To)),1,0)</f>
        <v/>
      </c>
      <c r="Y1610" s="36">
        <f>IF(AND(OR(sel_Region="All",C1610=sel_Region),OR(sel_Country="All",D1610=sel_Country),OR(sel_Channel="All",E1610=sel_Channel),OR(sel_Customer="All",F1610=sel_Customer),OR(sel_Product="All",H1610=sel_Product),AND(S1610&gt;=m_From,S1610&lt;=m_To)),1,0)</f>
        <v/>
      </c>
      <c r="Z1610" s="36">
        <f>IF(AND(OR(sel_Region="All",C1610=sel_Region),OR(sel_Country="All",D1610=sel_Country),OR(sel_Channel="All",E1610=sel_Channel),OR(sel_Customer="All",F1610=sel_Customer),OR(sel_Category="All",G1610=sel_Category),AND(S1610&gt;=m_From,S1610&lt;=m_To)),1,0)</f>
        <v/>
      </c>
      <c r="AA1610" s="36">
        <f>IF(AND(OR(sel_Region="All",C1610=sel_Region),OR(sel_Country="All",D1610=sel_Country),OR(sel_Channel="All",E1610=sel_Channel),OR(sel_Customer="All",F1610=sel_Customer),OR(sel_Category="All",G1610=sel_Category),OR(sel_Product="All",H1610=sel_Product)),1,0)</f>
        <v/>
      </c>
    </row>
    <row r="1611">
      <c r="A1611" s="36" t="inlineStr">
        <is>
          <t>00859</t>
        </is>
      </c>
      <c r="B1611" s="44" t="n">
        <v>46243</v>
      </c>
      <c r="C1611" s="36" t="inlineStr">
        <is>
          <t>Southern Europe</t>
        </is>
      </c>
      <c r="D1611" s="36" t="inlineStr">
        <is>
          <t>Spain</t>
        </is>
      </c>
      <c r="E1611" s="36" t="inlineStr">
        <is>
          <t>Retail Partners</t>
        </is>
      </c>
      <c r="F1611" s="36" t="inlineStr">
        <is>
          <t>New</t>
        </is>
      </c>
      <c r="G1611" s="36" t="inlineStr">
        <is>
          <t>Hiking</t>
        </is>
      </c>
      <c r="H1611" s="36" t="inlineStr">
        <is>
          <t>Hiking Daypack 20L</t>
        </is>
      </c>
      <c r="I1611" s="36" t="n">
        <v>2</v>
      </c>
      <c r="J1611" s="39" t="n">
        <v>90.23</v>
      </c>
      <c r="K1611" s="45" t="n">
        <v>0</v>
      </c>
      <c r="L1611" s="39" t="n">
        <v>44.22</v>
      </c>
      <c r="M1611" s="39">
        <f>I1611*J1611*(1-K1611)</f>
        <v/>
      </c>
      <c r="N1611" s="39">
        <f>I1611*L1611</f>
        <v/>
      </c>
      <c r="O1611" s="39">
        <f>M1611-N1611</f>
        <v/>
      </c>
      <c r="P1611" s="38">
        <f>IF(M1611=0,0,O1611/M1611)</f>
        <v/>
      </c>
      <c r="Q1611" s="36">
        <f>YEAR(B1611)</f>
        <v/>
      </c>
      <c r="R1611" s="36">
        <f>"Q"&amp;ROUNDUP(MONTH(B1611)/3,0)</f>
        <v/>
      </c>
      <c r="S1611" s="36">
        <f>MONTH(B1611)</f>
        <v/>
      </c>
      <c r="T1611" s="36">
        <f>TEXT(B1611,"mmm")</f>
        <v/>
      </c>
      <c r="U1611" s="36">
        <f>IF(AND(OR(sel_Region="All",C1611=sel_Region),OR(sel_Country="All",D1611=sel_Country),OR(sel_Channel="All",E1611=sel_Channel),OR(sel_Customer="All",F1611=sel_Customer),OR(sel_Category="All",G1611=sel_Category),OR(sel_Product="All",H1611=sel_Product),AND(S1611&gt;=m_From,S1611&lt;=m_To)),1,0)</f>
        <v/>
      </c>
      <c r="V1611" s="36">
        <f>IF(AND(OR(sel_Region="All",C1611=sel_Region),OR(sel_Channel="All",E1611=sel_Channel),OR(sel_Customer="All",F1611=sel_Customer),OR(sel_Category="All",G1611=sel_Category),OR(sel_Product="All",H1611=sel_Product),AND(S1611&gt;=m_From,S1611&lt;=m_To)),1,0)</f>
        <v/>
      </c>
      <c r="W1611" s="36">
        <f>IF(AND(OR(sel_Region="All",C1611=sel_Region),OR(sel_Country="All",D1611=sel_Country),OR(sel_Customer="All",F1611=sel_Customer),OR(sel_Category="All",G1611=sel_Category),OR(sel_Product="All",H1611=sel_Product),AND(S1611&gt;=m_From,S1611&lt;=m_To)),1,0)</f>
        <v/>
      </c>
      <c r="X1611" s="36">
        <f>IF(AND(OR(sel_Region="All",C1611=sel_Region),OR(sel_Country="All",D1611=sel_Country),OR(sel_Channel="All",E1611=sel_Channel),OR(sel_Category="All",G1611=sel_Category),OR(sel_Product="All",H1611=sel_Product),AND(S1611&gt;=m_From,S1611&lt;=m_To)),1,0)</f>
        <v/>
      </c>
      <c r="Y1611" s="36">
        <f>IF(AND(OR(sel_Region="All",C1611=sel_Region),OR(sel_Country="All",D1611=sel_Country),OR(sel_Channel="All",E1611=sel_Channel),OR(sel_Customer="All",F1611=sel_Customer),OR(sel_Product="All",H1611=sel_Product),AND(S1611&gt;=m_From,S1611&lt;=m_To)),1,0)</f>
        <v/>
      </c>
      <c r="Z1611" s="36">
        <f>IF(AND(OR(sel_Region="All",C1611=sel_Region),OR(sel_Country="All",D1611=sel_Country),OR(sel_Channel="All",E1611=sel_Channel),OR(sel_Customer="All",F1611=sel_Customer),OR(sel_Category="All",G1611=sel_Category),AND(S1611&gt;=m_From,S1611&lt;=m_To)),1,0)</f>
        <v/>
      </c>
      <c r="AA1611" s="36">
        <f>IF(AND(OR(sel_Region="All",C1611=sel_Region),OR(sel_Country="All",D1611=sel_Country),OR(sel_Channel="All",E1611=sel_Channel),OR(sel_Customer="All",F1611=sel_Customer),OR(sel_Category="All",G1611=sel_Category),OR(sel_Product="All",H1611=sel_Product)),1,0)</f>
        <v/>
      </c>
    </row>
    <row r="1612">
      <c r="A1612" s="36" t="inlineStr">
        <is>
          <t>01468</t>
        </is>
      </c>
      <c r="B1612" s="44" t="n">
        <v>46243</v>
      </c>
      <c r="C1612" s="36" t="inlineStr">
        <is>
          <t>Central Europe</t>
        </is>
      </c>
      <c r="D1612" s="36" t="inlineStr">
        <is>
          <t>Switzerland</t>
        </is>
      </c>
      <c r="E1612" s="36" t="inlineStr">
        <is>
          <t>Retail Partners</t>
        </is>
      </c>
      <c r="F1612" s="36" t="inlineStr">
        <is>
          <t>Returning</t>
        </is>
      </c>
      <c r="G1612" s="36" t="inlineStr">
        <is>
          <t>Cycling</t>
        </is>
      </c>
      <c r="H1612" s="36" t="inlineStr">
        <is>
          <t>Trail Bike Light</t>
        </is>
      </c>
      <c r="I1612" s="36" t="n">
        <v>1</v>
      </c>
      <c r="J1612" s="39" t="n">
        <v>51.75</v>
      </c>
      <c r="K1612" s="45" t="n">
        <v>0</v>
      </c>
      <c r="L1612" s="39" t="n">
        <v>22.36</v>
      </c>
      <c r="M1612" s="39">
        <f>I1612*J1612*(1-K1612)</f>
        <v/>
      </c>
      <c r="N1612" s="39">
        <f>I1612*L1612</f>
        <v/>
      </c>
      <c r="O1612" s="39">
        <f>M1612-N1612</f>
        <v/>
      </c>
      <c r="P1612" s="38">
        <f>IF(M1612=0,0,O1612/M1612)</f>
        <v/>
      </c>
      <c r="Q1612" s="36">
        <f>YEAR(B1612)</f>
        <v/>
      </c>
      <c r="R1612" s="36">
        <f>"Q"&amp;ROUNDUP(MONTH(B1612)/3,0)</f>
        <v/>
      </c>
      <c r="S1612" s="36">
        <f>MONTH(B1612)</f>
        <v/>
      </c>
      <c r="T1612" s="36">
        <f>TEXT(B1612,"mmm")</f>
        <v/>
      </c>
      <c r="U1612" s="36">
        <f>IF(AND(OR(sel_Region="All",C1612=sel_Region),OR(sel_Country="All",D1612=sel_Country),OR(sel_Channel="All",E1612=sel_Channel),OR(sel_Customer="All",F1612=sel_Customer),OR(sel_Category="All",G1612=sel_Category),OR(sel_Product="All",H1612=sel_Product),AND(S1612&gt;=m_From,S1612&lt;=m_To)),1,0)</f>
        <v/>
      </c>
      <c r="V1612" s="36">
        <f>IF(AND(OR(sel_Region="All",C1612=sel_Region),OR(sel_Channel="All",E1612=sel_Channel),OR(sel_Customer="All",F1612=sel_Customer),OR(sel_Category="All",G1612=sel_Category),OR(sel_Product="All",H1612=sel_Product),AND(S1612&gt;=m_From,S1612&lt;=m_To)),1,0)</f>
        <v/>
      </c>
      <c r="W1612" s="36">
        <f>IF(AND(OR(sel_Region="All",C1612=sel_Region),OR(sel_Country="All",D1612=sel_Country),OR(sel_Customer="All",F1612=sel_Customer),OR(sel_Category="All",G1612=sel_Category),OR(sel_Product="All",H1612=sel_Product),AND(S1612&gt;=m_From,S1612&lt;=m_To)),1,0)</f>
        <v/>
      </c>
      <c r="X1612" s="36">
        <f>IF(AND(OR(sel_Region="All",C1612=sel_Region),OR(sel_Country="All",D1612=sel_Country),OR(sel_Channel="All",E1612=sel_Channel),OR(sel_Category="All",G1612=sel_Category),OR(sel_Product="All",H1612=sel_Product),AND(S1612&gt;=m_From,S1612&lt;=m_To)),1,0)</f>
        <v/>
      </c>
      <c r="Y1612" s="36">
        <f>IF(AND(OR(sel_Region="All",C1612=sel_Region),OR(sel_Country="All",D1612=sel_Country),OR(sel_Channel="All",E1612=sel_Channel),OR(sel_Customer="All",F1612=sel_Customer),OR(sel_Product="All",H1612=sel_Product),AND(S1612&gt;=m_From,S1612&lt;=m_To)),1,0)</f>
        <v/>
      </c>
      <c r="Z1612" s="36">
        <f>IF(AND(OR(sel_Region="All",C1612=sel_Region),OR(sel_Country="All",D1612=sel_Country),OR(sel_Channel="All",E1612=sel_Channel),OR(sel_Customer="All",F1612=sel_Customer),OR(sel_Category="All",G1612=sel_Category),AND(S1612&gt;=m_From,S1612&lt;=m_To)),1,0)</f>
        <v/>
      </c>
      <c r="AA1612" s="36">
        <f>IF(AND(OR(sel_Region="All",C1612=sel_Region),OR(sel_Country="All",D1612=sel_Country),OR(sel_Channel="All",E1612=sel_Channel),OR(sel_Customer="All",F1612=sel_Customer),OR(sel_Category="All",G1612=sel_Category),OR(sel_Product="All",H1612=sel_Product)),1,0)</f>
        <v/>
      </c>
    </row>
    <row r="1613">
      <c r="A1613" s="36" t="inlineStr">
        <is>
          <t>02356</t>
        </is>
      </c>
      <c r="B1613" s="44" t="n">
        <v>46243</v>
      </c>
      <c r="C1613" s="36" t="inlineStr">
        <is>
          <t>Western Europe</t>
        </is>
      </c>
      <c r="D1613" s="36" t="inlineStr">
        <is>
          <t>France</t>
        </is>
      </c>
      <c r="E1613" s="36" t="inlineStr">
        <is>
          <t>Retail Partners</t>
        </is>
      </c>
      <c r="F1613" s="36" t="inlineStr">
        <is>
          <t>New</t>
        </is>
      </c>
      <c r="G1613" s="36" t="inlineStr">
        <is>
          <t>Cycling</t>
        </is>
      </c>
      <c r="H1613" s="36" t="inlineStr">
        <is>
          <t>Cycling Pack 12L</t>
        </is>
      </c>
      <c r="I1613" s="36" t="n">
        <v>3</v>
      </c>
      <c r="J1613" s="39" t="n">
        <v>102.91</v>
      </c>
      <c r="K1613" s="45" t="n">
        <v>0.1</v>
      </c>
      <c r="L1613" s="39" t="n">
        <v>50.23</v>
      </c>
      <c r="M1613" s="39">
        <f>I1613*J1613*(1-K1613)</f>
        <v/>
      </c>
      <c r="N1613" s="39">
        <f>I1613*L1613</f>
        <v/>
      </c>
      <c r="O1613" s="39">
        <f>M1613-N1613</f>
        <v/>
      </c>
      <c r="P1613" s="38">
        <f>IF(M1613=0,0,O1613/M1613)</f>
        <v/>
      </c>
      <c r="Q1613" s="36">
        <f>YEAR(B1613)</f>
        <v/>
      </c>
      <c r="R1613" s="36">
        <f>"Q"&amp;ROUNDUP(MONTH(B1613)/3,0)</f>
        <v/>
      </c>
      <c r="S1613" s="36">
        <f>MONTH(B1613)</f>
        <v/>
      </c>
      <c r="T1613" s="36">
        <f>TEXT(B1613,"mmm")</f>
        <v/>
      </c>
      <c r="U1613" s="36">
        <f>IF(AND(OR(sel_Region="All",C1613=sel_Region),OR(sel_Country="All",D1613=sel_Country),OR(sel_Channel="All",E1613=sel_Channel),OR(sel_Customer="All",F1613=sel_Customer),OR(sel_Category="All",G1613=sel_Category),OR(sel_Product="All",H1613=sel_Product),AND(S1613&gt;=m_From,S1613&lt;=m_To)),1,0)</f>
        <v/>
      </c>
      <c r="V1613" s="36">
        <f>IF(AND(OR(sel_Region="All",C1613=sel_Region),OR(sel_Channel="All",E1613=sel_Channel),OR(sel_Customer="All",F1613=sel_Customer),OR(sel_Category="All",G1613=sel_Category),OR(sel_Product="All",H1613=sel_Product),AND(S1613&gt;=m_From,S1613&lt;=m_To)),1,0)</f>
        <v/>
      </c>
      <c r="W1613" s="36">
        <f>IF(AND(OR(sel_Region="All",C1613=sel_Region),OR(sel_Country="All",D1613=sel_Country),OR(sel_Customer="All",F1613=sel_Customer),OR(sel_Category="All",G1613=sel_Category),OR(sel_Product="All",H1613=sel_Product),AND(S1613&gt;=m_From,S1613&lt;=m_To)),1,0)</f>
        <v/>
      </c>
      <c r="X1613" s="36">
        <f>IF(AND(OR(sel_Region="All",C1613=sel_Region),OR(sel_Country="All",D1613=sel_Country),OR(sel_Channel="All",E1613=sel_Channel),OR(sel_Category="All",G1613=sel_Category),OR(sel_Product="All",H1613=sel_Product),AND(S1613&gt;=m_From,S1613&lt;=m_To)),1,0)</f>
        <v/>
      </c>
      <c r="Y1613" s="36">
        <f>IF(AND(OR(sel_Region="All",C1613=sel_Region),OR(sel_Country="All",D1613=sel_Country),OR(sel_Channel="All",E1613=sel_Channel),OR(sel_Customer="All",F1613=sel_Customer),OR(sel_Product="All",H1613=sel_Product),AND(S1613&gt;=m_From,S1613&lt;=m_To)),1,0)</f>
        <v/>
      </c>
      <c r="Z1613" s="36">
        <f>IF(AND(OR(sel_Region="All",C1613=sel_Region),OR(sel_Country="All",D1613=sel_Country),OR(sel_Channel="All",E1613=sel_Channel),OR(sel_Customer="All",F1613=sel_Customer),OR(sel_Category="All",G1613=sel_Category),AND(S1613&gt;=m_From,S1613&lt;=m_To)),1,0)</f>
        <v/>
      </c>
      <c r="AA1613" s="36">
        <f>IF(AND(OR(sel_Region="All",C1613=sel_Region),OR(sel_Country="All",D1613=sel_Country),OR(sel_Channel="All",E1613=sel_Channel),OR(sel_Customer="All",F1613=sel_Customer),OR(sel_Category="All",G1613=sel_Category),OR(sel_Product="All",H1613=sel_Product)),1,0)</f>
        <v/>
      </c>
    </row>
    <row r="1614">
      <c r="A1614" s="36" t="inlineStr">
        <is>
          <t>03556</t>
        </is>
      </c>
      <c r="B1614" s="44" t="n">
        <v>46243</v>
      </c>
      <c r="C1614" s="36" t="inlineStr">
        <is>
          <t>Northern Europe</t>
        </is>
      </c>
      <c r="D1614" s="36" t="inlineStr">
        <is>
          <t>Norway</t>
        </is>
      </c>
      <c r="E1614" s="36" t="inlineStr">
        <is>
          <t>Online Store</t>
        </is>
      </c>
      <c r="F1614" s="36" t="inlineStr">
        <is>
          <t>New</t>
        </is>
      </c>
      <c r="G1614" s="36" t="inlineStr">
        <is>
          <t>Cycling</t>
        </is>
      </c>
      <c r="H1614" s="36" t="inlineStr">
        <is>
          <t>Commuter Helmet</t>
        </is>
      </c>
      <c r="I1614" s="36" t="n">
        <v>4</v>
      </c>
      <c r="J1614" s="39" t="n">
        <v>82.63</v>
      </c>
      <c r="K1614" s="45" t="n">
        <v>0.1</v>
      </c>
      <c r="L1614" s="39" t="n">
        <v>43.78</v>
      </c>
      <c r="M1614" s="39">
        <f>I1614*J1614*(1-K1614)</f>
        <v/>
      </c>
      <c r="N1614" s="39">
        <f>I1614*L1614</f>
        <v/>
      </c>
      <c r="O1614" s="39">
        <f>M1614-N1614</f>
        <v/>
      </c>
      <c r="P1614" s="38">
        <f>IF(M1614=0,0,O1614/M1614)</f>
        <v/>
      </c>
      <c r="Q1614" s="36">
        <f>YEAR(B1614)</f>
        <v/>
      </c>
      <c r="R1614" s="36">
        <f>"Q"&amp;ROUNDUP(MONTH(B1614)/3,0)</f>
        <v/>
      </c>
      <c r="S1614" s="36">
        <f>MONTH(B1614)</f>
        <v/>
      </c>
      <c r="T1614" s="36">
        <f>TEXT(B1614,"mmm")</f>
        <v/>
      </c>
      <c r="U1614" s="36">
        <f>IF(AND(OR(sel_Region="All",C1614=sel_Region),OR(sel_Country="All",D1614=sel_Country),OR(sel_Channel="All",E1614=sel_Channel),OR(sel_Customer="All",F1614=sel_Customer),OR(sel_Category="All",G1614=sel_Category),OR(sel_Product="All",H1614=sel_Product),AND(S1614&gt;=m_From,S1614&lt;=m_To)),1,0)</f>
        <v/>
      </c>
      <c r="V1614" s="36">
        <f>IF(AND(OR(sel_Region="All",C1614=sel_Region),OR(sel_Channel="All",E1614=sel_Channel),OR(sel_Customer="All",F1614=sel_Customer),OR(sel_Category="All",G1614=sel_Category),OR(sel_Product="All",H1614=sel_Product),AND(S1614&gt;=m_From,S1614&lt;=m_To)),1,0)</f>
        <v/>
      </c>
      <c r="W1614" s="36">
        <f>IF(AND(OR(sel_Region="All",C1614=sel_Region),OR(sel_Country="All",D1614=sel_Country),OR(sel_Customer="All",F1614=sel_Customer),OR(sel_Category="All",G1614=sel_Category),OR(sel_Product="All",H1614=sel_Product),AND(S1614&gt;=m_From,S1614&lt;=m_To)),1,0)</f>
        <v/>
      </c>
      <c r="X1614" s="36">
        <f>IF(AND(OR(sel_Region="All",C1614=sel_Region),OR(sel_Country="All",D1614=sel_Country),OR(sel_Channel="All",E1614=sel_Channel),OR(sel_Category="All",G1614=sel_Category),OR(sel_Product="All",H1614=sel_Product),AND(S1614&gt;=m_From,S1614&lt;=m_To)),1,0)</f>
        <v/>
      </c>
      <c r="Y1614" s="36">
        <f>IF(AND(OR(sel_Region="All",C1614=sel_Region),OR(sel_Country="All",D1614=sel_Country),OR(sel_Channel="All",E1614=sel_Channel),OR(sel_Customer="All",F1614=sel_Customer),OR(sel_Product="All",H1614=sel_Product),AND(S1614&gt;=m_From,S1614&lt;=m_To)),1,0)</f>
        <v/>
      </c>
      <c r="Z1614" s="36">
        <f>IF(AND(OR(sel_Region="All",C1614=sel_Region),OR(sel_Country="All",D1614=sel_Country),OR(sel_Channel="All",E1614=sel_Channel),OR(sel_Customer="All",F1614=sel_Customer),OR(sel_Category="All",G1614=sel_Category),AND(S1614&gt;=m_From,S1614&lt;=m_To)),1,0)</f>
        <v/>
      </c>
      <c r="AA1614" s="36">
        <f>IF(AND(OR(sel_Region="All",C1614=sel_Region),OR(sel_Country="All",D1614=sel_Country),OR(sel_Channel="All",E1614=sel_Channel),OR(sel_Customer="All",F1614=sel_Customer),OR(sel_Category="All",G1614=sel_Category),OR(sel_Product="All",H1614=sel_Product)),1,0)</f>
        <v/>
      </c>
    </row>
    <row r="1615">
      <c r="A1615" s="36" t="inlineStr">
        <is>
          <t>00925</t>
        </is>
      </c>
      <c r="B1615" s="44" t="n">
        <v>46244</v>
      </c>
      <c r="C1615" s="36" t="inlineStr">
        <is>
          <t>Southern Europe</t>
        </is>
      </c>
      <c r="D1615" s="36" t="inlineStr">
        <is>
          <t>Spain</t>
        </is>
      </c>
      <c r="E1615" s="36" t="inlineStr">
        <is>
          <t>Retail Partners</t>
        </is>
      </c>
      <c r="F1615" s="36" t="inlineStr">
        <is>
          <t>Returning</t>
        </is>
      </c>
      <c r="G1615" s="36" t="inlineStr">
        <is>
          <t>Camping</t>
        </is>
      </c>
      <c r="H1615" s="36" t="inlineStr">
        <is>
          <t>Trail Tent 2P</t>
        </is>
      </c>
      <c r="I1615" s="36" t="n">
        <v>1</v>
      </c>
      <c r="J1615" s="39" t="n">
        <v>196.39</v>
      </c>
      <c r="K1615" s="45" t="n">
        <v>0</v>
      </c>
      <c r="L1615" s="39" t="n">
        <v>102.92</v>
      </c>
      <c r="M1615" s="39">
        <f>I1615*J1615*(1-K1615)</f>
        <v/>
      </c>
      <c r="N1615" s="39">
        <f>I1615*L1615</f>
        <v/>
      </c>
      <c r="O1615" s="39">
        <f>M1615-N1615</f>
        <v/>
      </c>
      <c r="P1615" s="38">
        <f>IF(M1615=0,0,O1615/M1615)</f>
        <v/>
      </c>
      <c r="Q1615" s="36">
        <f>YEAR(B1615)</f>
        <v/>
      </c>
      <c r="R1615" s="36">
        <f>"Q"&amp;ROUNDUP(MONTH(B1615)/3,0)</f>
        <v/>
      </c>
      <c r="S1615" s="36">
        <f>MONTH(B1615)</f>
        <v/>
      </c>
      <c r="T1615" s="36">
        <f>TEXT(B1615,"mmm")</f>
        <v/>
      </c>
      <c r="U1615" s="36">
        <f>IF(AND(OR(sel_Region="All",C1615=sel_Region),OR(sel_Country="All",D1615=sel_Country),OR(sel_Channel="All",E1615=sel_Channel),OR(sel_Customer="All",F1615=sel_Customer),OR(sel_Category="All",G1615=sel_Category),OR(sel_Product="All",H1615=sel_Product),AND(S1615&gt;=m_From,S1615&lt;=m_To)),1,0)</f>
        <v/>
      </c>
      <c r="V1615" s="36">
        <f>IF(AND(OR(sel_Region="All",C1615=sel_Region),OR(sel_Channel="All",E1615=sel_Channel),OR(sel_Customer="All",F1615=sel_Customer),OR(sel_Category="All",G1615=sel_Category),OR(sel_Product="All",H1615=sel_Product),AND(S1615&gt;=m_From,S1615&lt;=m_To)),1,0)</f>
        <v/>
      </c>
      <c r="W1615" s="36">
        <f>IF(AND(OR(sel_Region="All",C1615=sel_Region),OR(sel_Country="All",D1615=sel_Country),OR(sel_Customer="All",F1615=sel_Customer),OR(sel_Category="All",G1615=sel_Category),OR(sel_Product="All",H1615=sel_Product),AND(S1615&gt;=m_From,S1615&lt;=m_To)),1,0)</f>
        <v/>
      </c>
      <c r="X1615" s="36">
        <f>IF(AND(OR(sel_Region="All",C1615=sel_Region),OR(sel_Country="All",D1615=sel_Country),OR(sel_Channel="All",E1615=sel_Channel),OR(sel_Category="All",G1615=sel_Category),OR(sel_Product="All",H1615=sel_Product),AND(S1615&gt;=m_From,S1615&lt;=m_To)),1,0)</f>
        <v/>
      </c>
      <c r="Y1615" s="36">
        <f>IF(AND(OR(sel_Region="All",C1615=sel_Region),OR(sel_Country="All",D1615=sel_Country),OR(sel_Channel="All",E1615=sel_Channel),OR(sel_Customer="All",F1615=sel_Customer),OR(sel_Product="All",H1615=sel_Product),AND(S1615&gt;=m_From,S1615&lt;=m_To)),1,0)</f>
        <v/>
      </c>
      <c r="Z1615" s="36">
        <f>IF(AND(OR(sel_Region="All",C1615=sel_Region),OR(sel_Country="All",D1615=sel_Country),OR(sel_Channel="All",E1615=sel_Channel),OR(sel_Customer="All",F1615=sel_Customer),OR(sel_Category="All",G1615=sel_Category),AND(S1615&gt;=m_From,S1615&lt;=m_To)),1,0)</f>
        <v/>
      </c>
      <c r="AA1615" s="36">
        <f>IF(AND(OR(sel_Region="All",C1615=sel_Region),OR(sel_Country="All",D1615=sel_Country),OR(sel_Channel="All",E1615=sel_Channel),OR(sel_Customer="All",F1615=sel_Customer),OR(sel_Category="All",G1615=sel_Category),OR(sel_Product="All",H1615=sel_Product)),1,0)</f>
        <v/>
      </c>
    </row>
    <row r="1616">
      <c r="A1616" s="36" t="inlineStr">
        <is>
          <t>01563</t>
        </is>
      </c>
      <c r="B1616" s="44" t="n">
        <v>46244</v>
      </c>
      <c r="C1616" s="36" t="inlineStr">
        <is>
          <t>Northern Europe</t>
        </is>
      </c>
      <c r="D1616" s="36" t="inlineStr">
        <is>
          <t>Finland</t>
        </is>
      </c>
      <c r="E1616" s="36" t="inlineStr">
        <is>
          <t>Marketplace</t>
        </is>
      </c>
      <c r="F1616" s="36" t="inlineStr">
        <is>
          <t>Business</t>
        </is>
      </c>
      <c r="G1616" s="36" t="inlineStr">
        <is>
          <t>Travel</t>
        </is>
      </c>
      <c r="H1616" s="36" t="inlineStr">
        <is>
          <t>Insulated Bottle</t>
        </is>
      </c>
      <c r="I1616" s="36" t="n">
        <v>2</v>
      </c>
      <c r="J1616" s="39" t="n">
        <v>36.25</v>
      </c>
      <c r="K1616" s="45" t="n">
        <v>0</v>
      </c>
      <c r="L1616" s="39" t="n">
        <v>13.77</v>
      </c>
      <c r="M1616" s="39">
        <f>I1616*J1616*(1-K1616)</f>
        <v/>
      </c>
      <c r="N1616" s="39">
        <f>I1616*L1616</f>
        <v/>
      </c>
      <c r="O1616" s="39">
        <f>M1616-N1616</f>
        <v/>
      </c>
      <c r="P1616" s="38">
        <f>IF(M1616=0,0,O1616/M1616)</f>
        <v/>
      </c>
      <c r="Q1616" s="36">
        <f>YEAR(B1616)</f>
        <v/>
      </c>
      <c r="R1616" s="36">
        <f>"Q"&amp;ROUNDUP(MONTH(B1616)/3,0)</f>
        <v/>
      </c>
      <c r="S1616" s="36">
        <f>MONTH(B1616)</f>
        <v/>
      </c>
      <c r="T1616" s="36">
        <f>TEXT(B1616,"mmm")</f>
        <v/>
      </c>
      <c r="U1616" s="36">
        <f>IF(AND(OR(sel_Region="All",C1616=sel_Region),OR(sel_Country="All",D1616=sel_Country),OR(sel_Channel="All",E1616=sel_Channel),OR(sel_Customer="All",F1616=sel_Customer),OR(sel_Category="All",G1616=sel_Category),OR(sel_Product="All",H1616=sel_Product),AND(S1616&gt;=m_From,S1616&lt;=m_To)),1,0)</f>
        <v/>
      </c>
      <c r="V1616" s="36">
        <f>IF(AND(OR(sel_Region="All",C1616=sel_Region),OR(sel_Channel="All",E1616=sel_Channel),OR(sel_Customer="All",F1616=sel_Customer),OR(sel_Category="All",G1616=sel_Category),OR(sel_Product="All",H1616=sel_Product),AND(S1616&gt;=m_From,S1616&lt;=m_To)),1,0)</f>
        <v/>
      </c>
      <c r="W1616" s="36">
        <f>IF(AND(OR(sel_Region="All",C1616=sel_Region),OR(sel_Country="All",D1616=sel_Country),OR(sel_Customer="All",F1616=sel_Customer),OR(sel_Category="All",G1616=sel_Category),OR(sel_Product="All",H1616=sel_Product),AND(S1616&gt;=m_From,S1616&lt;=m_To)),1,0)</f>
        <v/>
      </c>
      <c r="X1616" s="36">
        <f>IF(AND(OR(sel_Region="All",C1616=sel_Region),OR(sel_Country="All",D1616=sel_Country),OR(sel_Channel="All",E1616=sel_Channel),OR(sel_Category="All",G1616=sel_Category),OR(sel_Product="All",H1616=sel_Product),AND(S1616&gt;=m_From,S1616&lt;=m_To)),1,0)</f>
        <v/>
      </c>
      <c r="Y1616" s="36">
        <f>IF(AND(OR(sel_Region="All",C1616=sel_Region),OR(sel_Country="All",D1616=sel_Country),OR(sel_Channel="All",E1616=sel_Channel),OR(sel_Customer="All",F1616=sel_Customer),OR(sel_Product="All",H1616=sel_Product),AND(S1616&gt;=m_From,S1616&lt;=m_To)),1,0)</f>
        <v/>
      </c>
      <c r="Z1616" s="36">
        <f>IF(AND(OR(sel_Region="All",C1616=sel_Region),OR(sel_Country="All",D1616=sel_Country),OR(sel_Channel="All",E1616=sel_Channel),OR(sel_Customer="All",F1616=sel_Customer),OR(sel_Category="All",G1616=sel_Category),AND(S1616&gt;=m_From,S1616&lt;=m_To)),1,0)</f>
        <v/>
      </c>
      <c r="AA1616" s="36">
        <f>IF(AND(OR(sel_Region="All",C1616=sel_Region),OR(sel_Country="All",D1616=sel_Country),OR(sel_Channel="All",E1616=sel_Channel),OR(sel_Customer="All",F1616=sel_Customer),OR(sel_Category="All",G1616=sel_Category),OR(sel_Product="All",H1616=sel_Product)),1,0)</f>
        <v/>
      </c>
    </row>
    <row r="1617">
      <c r="A1617" s="36" t="inlineStr">
        <is>
          <t>01634</t>
        </is>
      </c>
      <c r="B1617" s="44" t="n">
        <v>46244</v>
      </c>
      <c r="C1617" s="36" t="inlineStr">
        <is>
          <t>Central Europe</t>
        </is>
      </c>
      <c r="D1617" s="36" t="inlineStr">
        <is>
          <t>Czechia</t>
        </is>
      </c>
      <c r="E1617" s="36" t="inlineStr">
        <is>
          <t>Retail Partners</t>
        </is>
      </c>
      <c r="F1617" s="36" t="inlineStr">
        <is>
          <t>Returning</t>
        </is>
      </c>
      <c r="G1617" s="36" t="inlineStr">
        <is>
          <t>Camping</t>
        </is>
      </c>
      <c r="H1617" s="36" t="inlineStr">
        <is>
          <t>Trail Tent 2P</t>
        </is>
      </c>
      <c r="I1617" s="36" t="n">
        <v>2</v>
      </c>
      <c r="J1617" s="39" t="n">
        <v>199.85</v>
      </c>
      <c r="K1617" s="45" t="n">
        <v>0.05</v>
      </c>
      <c r="L1617" s="39" t="n">
        <v>104.34</v>
      </c>
      <c r="M1617" s="39">
        <f>I1617*J1617*(1-K1617)</f>
        <v/>
      </c>
      <c r="N1617" s="39">
        <f>I1617*L1617</f>
        <v/>
      </c>
      <c r="O1617" s="39">
        <f>M1617-N1617</f>
        <v/>
      </c>
      <c r="P1617" s="38">
        <f>IF(M1617=0,0,O1617/M1617)</f>
        <v/>
      </c>
      <c r="Q1617" s="36">
        <f>YEAR(B1617)</f>
        <v/>
      </c>
      <c r="R1617" s="36">
        <f>"Q"&amp;ROUNDUP(MONTH(B1617)/3,0)</f>
        <v/>
      </c>
      <c r="S1617" s="36">
        <f>MONTH(B1617)</f>
        <v/>
      </c>
      <c r="T1617" s="36">
        <f>TEXT(B1617,"mmm")</f>
        <v/>
      </c>
      <c r="U1617" s="36">
        <f>IF(AND(OR(sel_Region="All",C1617=sel_Region),OR(sel_Country="All",D1617=sel_Country),OR(sel_Channel="All",E1617=sel_Channel),OR(sel_Customer="All",F1617=sel_Customer),OR(sel_Category="All",G1617=sel_Category),OR(sel_Product="All",H1617=sel_Product),AND(S1617&gt;=m_From,S1617&lt;=m_To)),1,0)</f>
        <v/>
      </c>
      <c r="V1617" s="36">
        <f>IF(AND(OR(sel_Region="All",C1617=sel_Region),OR(sel_Channel="All",E1617=sel_Channel),OR(sel_Customer="All",F1617=sel_Customer),OR(sel_Category="All",G1617=sel_Category),OR(sel_Product="All",H1617=sel_Product),AND(S1617&gt;=m_From,S1617&lt;=m_To)),1,0)</f>
        <v/>
      </c>
      <c r="W1617" s="36">
        <f>IF(AND(OR(sel_Region="All",C1617=sel_Region),OR(sel_Country="All",D1617=sel_Country),OR(sel_Customer="All",F1617=sel_Customer),OR(sel_Category="All",G1617=sel_Category),OR(sel_Product="All",H1617=sel_Product),AND(S1617&gt;=m_From,S1617&lt;=m_To)),1,0)</f>
        <v/>
      </c>
      <c r="X1617" s="36">
        <f>IF(AND(OR(sel_Region="All",C1617=sel_Region),OR(sel_Country="All",D1617=sel_Country),OR(sel_Channel="All",E1617=sel_Channel),OR(sel_Category="All",G1617=sel_Category),OR(sel_Product="All",H1617=sel_Product),AND(S1617&gt;=m_From,S1617&lt;=m_To)),1,0)</f>
        <v/>
      </c>
      <c r="Y1617" s="36">
        <f>IF(AND(OR(sel_Region="All",C1617=sel_Region),OR(sel_Country="All",D1617=sel_Country),OR(sel_Channel="All",E1617=sel_Channel),OR(sel_Customer="All",F1617=sel_Customer),OR(sel_Product="All",H1617=sel_Product),AND(S1617&gt;=m_From,S1617&lt;=m_To)),1,0)</f>
        <v/>
      </c>
      <c r="Z1617" s="36">
        <f>IF(AND(OR(sel_Region="All",C1617=sel_Region),OR(sel_Country="All",D1617=sel_Country),OR(sel_Channel="All",E1617=sel_Channel),OR(sel_Customer="All",F1617=sel_Customer),OR(sel_Category="All",G1617=sel_Category),AND(S1617&gt;=m_From,S1617&lt;=m_To)),1,0)</f>
        <v/>
      </c>
      <c r="AA1617" s="36">
        <f>IF(AND(OR(sel_Region="All",C1617=sel_Region),OR(sel_Country="All",D1617=sel_Country),OR(sel_Channel="All",E1617=sel_Channel),OR(sel_Customer="All",F1617=sel_Customer),OR(sel_Category="All",G1617=sel_Category),OR(sel_Product="All",H1617=sel_Product)),1,0)</f>
        <v/>
      </c>
    </row>
    <row r="1618">
      <c r="A1618" s="36" t="inlineStr">
        <is>
          <t>02187</t>
        </is>
      </c>
      <c r="B1618" s="44" t="n">
        <v>46244</v>
      </c>
      <c r="C1618" s="36" t="inlineStr">
        <is>
          <t>Northern Europe</t>
        </is>
      </c>
      <c r="D1618" s="36" t="inlineStr">
        <is>
          <t>Sweden</t>
        </is>
      </c>
      <c r="E1618" s="36" t="inlineStr">
        <is>
          <t>Retail Partners</t>
        </is>
      </c>
      <c r="F1618" s="36" t="inlineStr">
        <is>
          <t>New</t>
        </is>
      </c>
      <c r="G1618" s="36" t="inlineStr">
        <is>
          <t>Travel</t>
        </is>
      </c>
      <c r="H1618" s="36" t="inlineStr">
        <is>
          <t>Packing Cube Set</t>
        </is>
      </c>
      <c r="I1618" s="36" t="n">
        <v>1</v>
      </c>
      <c r="J1618" s="39" t="n">
        <v>46.32</v>
      </c>
      <c r="K1618" s="45" t="n">
        <v>0.05</v>
      </c>
      <c r="L1618" s="39" t="n">
        <v>18.34</v>
      </c>
      <c r="M1618" s="39">
        <f>I1618*J1618*(1-K1618)</f>
        <v/>
      </c>
      <c r="N1618" s="39">
        <f>I1618*L1618</f>
        <v/>
      </c>
      <c r="O1618" s="39">
        <f>M1618-N1618</f>
        <v/>
      </c>
      <c r="P1618" s="38">
        <f>IF(M1618=0,0,O1618/M1618)</f>
        <v/>
      </c>
      <c r="Q1618" s="36">
        <f>YEAR(B1618)</f>
        <v/>
      </c>
      <c r="R1618" s="36">
        <f>"Q"&amp;ROUNDUP(MONTH(B1618)/3,0)</f>
        <v/>
      </c>
      <c r="S1618" s="36">
        <f>MONTH(B1618)</f>
        <v/>
      </c>
      <c r="T1618" s="36">
        <f>TEXT(B1618,"mmm")</f>
        <v/>
      </c>
      <c r="U1618" s="36">
        <f>IF(AND(OR(sel_Region="All",C1618=sel_Region),OR(sel_Country="All",D1618=sel_Country),OR(sel_Channel="All",E1618=sel_Channel),OR(sel_Customer="All",F1618=sel_Customer),OR(sel_Category="All",G1618=sel_Category),OR(sel_Product="All",H1618=sel_Product),AND(S1618&gt;=m_From,S1618&lt;=m_To)),1,0)</f>
        <v/>
      </c>
      <c r="V1618" s="36">
        <f>IF(AND(OR(sel_Region="All",C1618=sel_Region),OR(sel_Channel="All",E1618=sel_Channel),OR(sel_Customer="All",F1618=sel_Customer),OR(sel_Category="All",G1618=sel_Category),OR(sel_Product="All",H1618=sel_Product),AND(S1618&gt;=m_From,S1618&lt;=m_To)),1,0)</f>
        <v/>
      </c>
      <c r="W1618" s="36">
        <f>IF(AND(OR(sel_Region="All",C1618=sel_Region),OR(sel_Country="All",D1618=sel_Country),OR(sel_Customer="All",F1618=sel_Customer),OR(sel_Category="All",G1618=sel_Category),OR(sel_Product="All",H1618=sel_Product),AND(S1618&gt;=m_From,S1618&lt;=m_To)),1,0)</f>
        <v/>
      </c>
      <c r="X1618" s="36">
        <f>IF(AND(OR(sel_Region="All",C1618=sel_Region),OR(sel_Country="All",D1618=sel_Country),OR(sel_Channel="All",E1618=sel_Channel),OR(sel_Category="All",G1618=sel_Category),OR(sel_Product="All",H1618=sel_Product),AND(S1618&gt;=m_From,S1618&lt;=m_To)),1,0)</f>
        <v/>
      </c>
      <c r="Y1618" s="36">
        <f>IF(AND(OR(sel_Region="All",C1618=sel_Region),OR(sel_Country="All",D1618=sel_Country),OR(sel_Channel="All",E1618=sel_Channel),OR(sel_Customer="All",F1618=sel_Customer),OR(sel_Product="All",H1618=sel_Product),AND(S1618&gt;=m_From,S1618&lt;=m_To)),1,0)</f>
        <v/>
      </c>
      <c r="Z1618" s="36">
        <f>IF(AND(OR(sel_Region="All",C1618=sel_Region),OR(sel_Country="All",D1618=sel_Country),OR(sel_Channel="All",E1618=sel_Channel),OR(sel_Customer="All",F1618=sel_Customer),OR(sel_Category="All",G1618=sel_Category),AND(S1618&gt;=m_From,S1618&lt;=m_To)),1,0)</f>
        <v/>
      </c>
      <c r="AA1618" s="36">
        <f>IF(AND(OR(sel_Region="All",C1618=sel_Region),OR(sel_Country="All",D1618=sel_Country),OR(sel_Channel="All",E1618=sel_Channel),OR(sel_Customer="All",F1618=sel_Customer),OR(sel_Category="All",G1618=sel_Category),OR(sel_Product="All",H1618=sel_Product)),1,0)</f>
        <v/>
      </c>
    </row>
    <row r="1619">
      <c r="A1619" s="36" t="inlineStr">
        <is>
          <t>02773</t>
        </is>
      </c>
      <c r="B1619" s="44" t="n">
        <v>46244</v>
      </c>
      <c r="C1619" s="36" t="inlineStr">
        <is>
          <t>Central Europe</t>
        </is>
      </c>
      <c r="D1619" s="36" t="inlineStr">
        <is>
          <t>Poland</t>
        </is>
      </c>
      <c r="E1619" s="36" t="inlineStr">
        <is>
          <t>Online Store</t>
        </is>
      </c>
      <c r="F1619" s="36" t="inlineStr">
        <is>
          <t>New</t>
        </is>
      </c>
      <c r="G1619" s="36" t="inlineStr">
        <is>
          <t>Hiking</t>
        </is>
      </c>
      <c r="H1619" s="36" t="inlineStr">
        <is>
          <t>Summit Backpack 45L</t>
        </is>
      </c>
      <c r="I1619" s="36" t="n">
        <v>4</v>
      </c>
      <c r="J1619" s="39" t="n">
        <v>151.06</v>
      </c>
      <c r="K1619" s="45" t="n">
        <v>0</v>
      </c>
      <c r="L1619" s="39" t="n">
        <v>77.67</v>
      </c>
      <c r="M1619" s="39">
        <f>I1619*J1619*(1-K1619)</f>
        <v/>
      </c>
      <c r="N1619" s="39">
        <f>I1619*L1619</f>
        <v/>
      </c>
      <c r="O1619" s="39">
        <f>M1619-N1619</f>
        <v/>
      </c>
      <c r="P1619" s="38">
        <f>IF(M1619=0,0,O1619/M1619)</f>
        <v/>
      </c>
      <c r="Q1619" s="36">
        <f>YEAR(B1619)</f>
        <v/>
      </c>
      <c r="R1619" s="36">
        <f>"Q"&amp;ROUNDUP(MONTH(B1619)/3,0)</f>
        <v/>
      </c>
      <c r="S1619" s="36">
        <f>MONTH(B1619)</f>
        <v/>
      </c>
      <c r="T1619" s="36">
        <f>TEXT(B1619,"mmm")</f>
        <v/>
      </c>
      <c r="U1619" s="36">
        <f>IF(AND(OR(sel_Region="All",C1619=sel_Region),OR(sel_Country="All",D1619=sel_Country),OR(sel_Channel="All",E1619=sel_Channel),OR(sel_Customer="All",F1619=sel_Customer),OR(sel_Category="All",G1619=sel_Category),OR(sel_Product="All",H1619=sel_Product),AND(S1619&gt;=m_From,S1619&lt;=m_To)),1,0)</f>
        <v/>
      </c>
      <c r="V1619" s="36">
        <f>IF(AND(OR(sel_Region="All",C1619=sel_Region),OR(sel_Channel="All",E1619=sel_Channel),OR(sel_Customer="All",F1619=sel_Customer),OR(sel_Category="All",G1619=sel_Category),OR(sel_Product="All",H1619=sel_Product),AND(S1619&gt;=m_From,S1619&lt;=m_To)),1,0)</f>
        <v/>
      </c>
      <c r="W1619" s="36">
        <f>IF(AND(OR(sel_Region="All",C1619=sel_Region),OR(sel_Country="All",D1619=sel_Country),OR(sel_Customer="All",F1619=sel_Customer),OR(sel_Category="All",G1619=sel_Category),OR(sel_Product="All",H1619=sel_Product),AND(S1619&gt;=m_From,S1619&lt;=m_To)),1,0)</f>
        <v/>
      </c>
      <c r="X1619" s="36">
        <f>IF(AND(OR(sel_Region="All",C1619=sel_Region),OR(sel_Country="All",D1619=sel_Country),OR(sel_Channel="All",E1619=sel_Channel),OR(sel_Category="All",G1619=sel_Category),OR(sel_Product="All",H1619=sel_Product),AND(S1619&gt;=m_From,S1619&lt;=m_To)),1,0)</f>
        <v/>
      </c>
      <c r="Y1619" s="36">
        <f>IF(AND(OR(sel_Region="All",C1619=sel_Region),OR(sel_Country="All",D1619=sel_Country),OR(sel_Channel="All",E1619=sel_Channel),OR(sel_Customer="All",F1619=sel_Customer),OR(sel_Product="All",H1619=sel_Product),AND(S1619&gt;=m_From,S1619&lt;=m_To)),1,0)</f>
        <v/>
      </c>
      <c r="Z1619" s="36">
        <f>IF(AND(OR(sel_Region="All",C1619=sel_Region),OR(sel_Country="All",D1619=sel_Country),OR(sel_Channel="All",E1619=sel_Channel),OR(sel_Customer="All",F1619=sel_Customer),OR(sel_Category="All",G1619=sel_Category),AND(S1619&gt;=m_From,S1619&lt;=m_To)),1,0)</f>
        <v/>
      </c>
      <c r="AA1619" s="36">
        <f>IF(AND(OR(sel_Region="All",C1619=sel_Region),OR(sel_Country="All",D1619=sel_Country),OR(sel_Channel="All",E1619=sel_Channel),OR(sel_Customer="All",F1619=sel_Customer),OR(sel_Category="All",G1619=sel_Category),OR(sel_Product="All",H1619=sel_Product)),1,0)</f>
        <v/>
      </c>
    </row>
    <row r="1620">
      <c r="A1620" s="36" t="inlineStr">
        <is>
          <t>05040</t>
        </is>
      </c>
      <c r="B1620" s="44" t="n">
        <v>46244</v>
      </c>
      <c r="C1620" s="36" t="inlineStr">
        <is>
          <t>Western Europe</t>
        </is>
      </c>
      <c r="D1620" s="36" t="inlineStr">
        <is>
          <t>Netherlands</t>
        </is>
      </c>
      <c r="E1620" s="36" t="inlineStr">
        <is>
          <t>Online Store</t>
        </is>
      </c>
      <c r="F1620" s="36" t="inlineStr">
        <is>
          <t>Returning</t>
        </is>
      </c>
      <c r="G1620" s="36" t="inlineStr">
        <is>
          <t>Hiking</t>
        </is>
      </c>
      <c r="H1620" s="36" t="inlineStr">
        <is>
          <t>Trekking Poles</t>
        </is>
      </c>
      <c r="I1620" s="36" t="n">
        <v>1</v>
      </c>
      <c r="J1620" s="39" t="n">
        <v>72.39</v>
      </c>
      <c r="K1620" s="45" t="n">
        <v>0.1</v>
      </c>
      <c r="L1620" s="39" t="n">
        <v>31.64</v>
      </c>
      <c r="M1620" s="39">
        <f>I1620*J1620*(1-K1620)</f>
        <v/>
      </c>
      <c r="N1620" s="39">
        <f>I1620*L1620</f>
        <v/>
      </c>
      <c r="O1620" s="39">
        <f>M1620-N1620</f>
        <v/>
      </c>
      <c r="P1620" s="38">
        <f>IF(M1620=0,0,O1620/M1620)</f>
        <v/>
      </c>
      <c r="Q1620" s="36">
        <f>YEAR(B1620)</f>
        <v/>
      </c>
      <c r="R1620" s="36">
        <f>"Q"&amp;ROUNDUP(MONTH(B1620)/3,0)</f>
        <v/>
      </c>
      <c r="S1620" s="36">
        <f>MONTH(B1620)</f>
        <v/>
      </c>
      <c r="T1620" s="36">
        <f>TEXT(B1620,"mmm")</f>
        <v/>
      </c>
      <c r="U1620" s="36">
        <f>IF(AND(OR(sel_Region="All",C1620=sel_Region),OR(sel_Country="All",D1620=sel_Country),OR(sel_Channel="All",E1620=sel_Channel),OR(sel_Customer="All",F1620=sel_Customer),OR(sel_Category="All",G1620=sel_Category),OR(sel_Product="All",H1620=sel_Product),AND(S1620&gt;=m_From,S1620&lt;=m_To)),1,0)</f>
        <v/>
      </c>
      <c r="V1620" s="36">
        <f>IF(AND(OR(sel_Region="All",C1620=sel_Region),OR(sel_Channel="All",E1620=sel_Channel),OR(sel_Customer="All",F1620=sel_Customer),OR(sel_Category="All",G1620=sel_Category),OR(sel_Product="All",H1620=sel_Product),AND(S1620&gt;=m_From,S1620&lt;=m_To)),1,0)</f>
        <v/>
      </c>
      <c r="W1620" s="36">
        <f>IF(AND(OR(sel_Region="All",C1620=sel_Region),OR(sel_Country="All",D1620=sel_Country),OR(sel_Customer="All",F1620=sel_Customer),OR(sel_Category="All",G1620=sel_Category),OR(sel_Product="All",H1620=sel_Product),AND(S1620&gt;=m_From,S1620&lt;=m_To)),1,0)</f>
        <v/>
      </c>
      <c r="X1620" s="36">
        <f>IF(AND(OR(sel_Region="All",C1620=sel_Region),OR(sel_Country="All",D1620=sel_Country),OR(sel_Channel="All",E1620=sel_Channel),OR(sel_Category="All",G1620=sel_Category),OR(sel_Product="All",H1620=sel_Product),AND(S1620&gt;=m_From,S1620&lt;=m_To)),1,0)</f>
        <v/>
      </c>
      <c r="Y1620" s="36">
        <f>IF(AND(OR(sel_Region="All",C1620=sel_Region),OR(sel_Country="All",D1620=sel_Country),OR(sel_Channel="All",E1620=sel_Channel),OR(sel_Customer="All",F1620=sel_Customer),OR(sel_Product="All",H1620=sel_Product),AND(S1620&gt;=m_From,S1620&lt;=m_To)),1,0)</f>
        <v/>
      </c>
      <c r="Z1620" s="36">
        <f>IF(AND(OR(sel_Region="All",C1620=sel_Region),OR(sel_Country="All",D1620=sel_Country),OR(sel_Channel="All",E1620=sel_Channel),OR(sel_Customer="All",F1620=sel_Customer),OR(sel_Category="All",G1620=sel_Category),AND(S1620&gt;=m_From,S1620&lt;=m_To)),1,0)</f>
        <v/>
      </c>
      <c r="AA1620" s="36">
        <f>IF(AND(OR(sel_Region="All",C1620=sel_Region),OR(sel_Country="All",D1620=sel_Country),OR(sel_Channel="All",E1620=sel_Channel),OR(sel_Customer="All",F1620=sel_Customer),OR(sel_Category="All",G1620=sel_Category),OR(sel_Product="All",H1620=sel_Product)),1,0)</f>
        <v/>
      </c>
    </row>
    <row r="1621">
      <c r="A1621" s="36" t="inlineStr">
        <is>
          <t>00415</t>
        </is>
      </c>
      <c r="B1621" s="44" t="n">
        <v>46245</v>
      </c>
      <c r="C1621" s="36" t="inlineStr">
        <is>
          <t>Southern Europe</t>
        </is>
      </c>
      <c r="D1621" s="36" t="inlineStr">
        <is>
          <t>Portugal</t>
        </is>
      </c>
      <c r="E1621" s="36" t="inlineStr">
        <is>
          <t>Retail Partners</t>
        </is>
      </c>
      <c r="F1621" s="36" t="inlineStr">
        <is>
          <t>Returning</t>
        </is>
      </c>
      <c r="G1621" s="36" t="inlineStr">
        <is>
          <t>Hiking</t>
        </is>
      </c>
      <c r="H1621" s="36" t="inlineStr">
        <is>
          <t>Trekking Poles</t>
        </is>
      </c>
      <c r="I1621" s="36" t="n">
        <v>1</v>
      </c>
      <c r="J1621" s="39" t="n">
        <v>72.65000000000001</v>
      </c>
      <c r="K1621" s="45" t="n">
        <v>0</v>
      </c>
      <c r="L1621" s="39" t="n">
        <v>31.72</v>
      </c>
      <c r="M1621" s="39">
        <f>I1621*J1621*(1-K1621)</f>
        <v/>
      </c>
      <c r="N1621" s="39">
        <f>I1621*L1621</f>
        <v/>
      </c>
      <c r="O1621" s="39">
        <f>M1621-N1621</f>
        <v/>
      </c>
      <c r="P1621" s="38">
        <f>IF(M1621=0,0,O1621/M1621)</f>
        <v/>
      </c>
      <c r="Q1621" s="36">
        <f>YEAR(B1621)</f>
        <v/>
      </c>
      <c r="R1621" s="36">
        <f>"Q"&amp;ROUNDUP(MONTH(B1621)/3,0)</f>
        <v/>
      </c>
      <c r="S1621" s="36">
        <f>MONTH(B1621)</f>
        <v/>
      </c>
      <c r="T1621" s="36">
        <f>TEXT(B1621,"mmm")</f>
        <v/>
      </c>
      <c r="U1621" s="36">
        <f>IF(AND(OR(sel_Region="All",C1621=sel_Region),OR(sel_Country="All",D1621=sel_Country),OR(sel_Channel="All",E1621=sel_Channel),OR(sel_Customer="All",F1621=sel_Customer),OR(sel_Category="All",G1621=sel_Category),OR(sel_Product="All",H1621=sel_Product),AND(S1621&gt;=m_From,S1621&lt;=m_To)),1,0)</f>
        <v/>
      </c>
      <c r="V1621" s="36">
        <f>IF(AND(OR(sel_Region="All",C1621=sel_Region),OR(sel_Channel="All",E1621=sel_Channel),OR(sel_Customer="All",F1621=sel_Customer),OR(sel_Category="All",G1621=sel_Category),OR(sel_Product="All",H1621=sel_Product),AND(S1621&gt;=m_From,S1621&lt;=m_To)),1,0)</f>
        <v/>
      </c>
      <c r="W1621" s="36">
        <f>IF(AND(OR(sel_Region="All",C1621=sel_Region),OR(sel_Country="All",D1621=sel_Country),OR(sel_Customer="All",F1621=sel_Customer),OR(sel_Category="All",G1621=sel_Category),OR(sel_Product="All",H1621=sel_Product),AND(S1621&gt;=m_From,S1621&lt;=m_To)),1,0)</f>
        <v/>
      </c>
      <c r="X1621" s="36">
        <f>IF(AND(OR(sel_Region="All",C1621=sel_Region),OR(sel_Country="All",D1621=sel_Country),OR(sel_Channel="All",E1621=sel_Channel),OR(sel_Category="All",G1621=sel_Category),OR(sel_Product="All",H1621=sel_Product),AND(S1621&gt;=m_From,S1621&lt;=m_To)),1,0)</f>
        <v/>
      </c>
      <c r="Y1621" s="36">
        <f>IF(AND(OR(sel_Region="All",C1621=sel_Region),OR(sel_Country="All",D1621=sel_Country),OR(sel_Channel="All",E1621=sel_Channel),OR(sel_Customer="All",F1621=sel_Customer),OR(sel_Product="All",H1621=sel_Product),AND(S1621&gt;=m_From,S1621&lt;=m_To)),1,0)</f>
        <v/>
      </c>
      <c r="Z1621" s="36">
        <f>IF(AND(OR(sel_Region="All",C1621=sel_Region),OR(sel_Country="All",D1621=sel_Country),OR(sel_Channel="All",E1621=sel_Channel),OR(sel_Customer="All",F1621=sel_Customer),OR(sel_Category="All",G1621=sel_Category),AND(S1621&gt;=m_From,S1621&lt;=m_To)),1,0)</f>
        <v/>
      </c>
      <c r="AA1621" s="36">
        <f>IF(AND(OR(sel_Region="All",C1621=sel_Region),OR(sel_Country="All",D1621=sel_Country),OR(sel_Channel="All",E1621=sel_Channel),OR(sel_Customer="All",F1621=sel_Customer),OR(sel_Category="All",G1621=sel_Category),OR(sel_Product="All",H1621=sel_Product)),1,0)</f>
        <v/>
      </c>
    </row>
    <row r="1622">
      <c r="A1622" s="36" t="inlineStr">
        <is>
          <t>01111</t>
        </is>
      </c>
      <c r="B1622" s="44" t="n">
        <v>46245</v>
      </c>
      <c r="C1622" s="36" t="inlineStr">
        <is>
          <t>Western Europe</t>
        </is>
      </c>
      <c r="D1622" s="36" t="inlineStr">
        <is>
          <t>France</t>
        </is>
      </c>
      <c r="E1622" s="36" t="inlineStr">
        <is>
          <t>Online Store</t>
        </is>
      </c>
      <c r="F1622" s="36" t="inlineStr">
        <is>
          <t>New</t>
        </is>
      </c>
      <c r="G1622" s="36" t="inlineStr">
        <is>
          <t>Camping</t>
        </is>
      </c>
      <c r="H1622" s="36" t="inlineStr">
        <is>
          <t>Trail Tent 2P</t>
        </is>
      </c>
      <c r="I1622" s="36" t="n">
        <v>1</v>
      </c>
      <c r="J1622" s="39" t="n">
        <v>198.44</v>
      </c>
      <c r="K1622" s="45" t="n">
        <v>0</v>
      </c>
      <c r="L1622" s="39" t="n">
        <v>106.79</v>
      </c>
      <c r="M1622" s="39">
        <f>I1622*J1622*(1-K1622)</f>
        <v/>
      </c>
      <c r="N1622" s="39">
        <f>I1622*L1622</f>
        <v/>
      </c>
      <c r="O1622" s="39">
        <f>M1622-N1622</f>
        <v/>
      </c>
      <c r="P1622" s="38">
        <f>IF(M1622=0,0,O1622/M1622)</f>
        <v/>
      </c>
      <c r="Q1622" s="36">
        <f>YEAR(B1622)</f>
        <v/>
      </c>
      <c r="R1622" s="36">
        <f>"Q"&amp;ROUNDUP(MONTH(B1622)/3,0)</f>
        <v/>
      </c>
      <c r="S1622" s="36">
        <f>MONTH(B1622)</f>
        <v/>
      </c>
      <c r="T1622" s="36">
        <f>TEXT(B1622,"mmm")</f>
        <v/>
      </c>
      <c r="U1622" s="36">
        <f>IF(AND(OR(sel_Region="All",C1622=sel_Region),OR(sel_Country="All",D1622=sel_Country),OR(sel_Channel="All",E1622=sel_Channel),OR(sel_Customer="All",F1622=sel_Customer),OR(sel_Category="All",G1622=sel_Category),OR(sel_Product="All",H1622=sel_Product),AND(S1622&gt;=m_From,S1622&lt;=m_To)),1,0)</f>
        <v/>
      </c>
      <c r="V1622" s="36">
        <f>IF(AND(OR(sel_Region="All",C1622=sel_Region),OR(sel_Channel="All",E1622=sel_Channel),OR(sel_Customer="All",F1622=sel_Customer),OR(sel_Category="All",G1622=sel_Category),OR(sel_Product="All",H1622=sel_Product),AND(S1622&gt;=m_From,S1622&lt;=m_To)),1,0)</f>
        <v/>
      </c>
      <c r="W1622" s="36">
        <f>IF(AND(OR(sel_Region="All",C1622=sel_Region),OR(sel_Country="All",D1622=sel_Country),OR(sel_Customer="All",F1622=sel_Customer),OR(sel_Category="All",G1622=sel_Category),OR(sel_Product="All",H1622=sel_Product),AND(S1622&gt;=m_From,S1622&lt;=m_To)),1,0)</f>
        <v/>
      </c>
      <c r="X1622" s="36">
        <f>IF(AND(OR(sel_Region="All",C1622=sel_Region),OR(sel_Country="All",D1622=sel_Country),OR(sel_Channel="All",E1622=sel_Channel),OR(sel_Category="All",G1622=sel_Category),OR(sel_Product="All",H1622=sel_Product),AND(S1622&gt;=m_From,S1622&lt;=m_To)),1,0)</f>
        <v/>
      </c>
      <c r="Y1622" s="36">
        <f>IF(AND(OR(sel_Region="All",C1622=sel_Region),OR(sel_Country="All",D1622=sel_Country),OR(sel_Channel="All",E1622=sel_Channel),OR(sel_Customer="All",F1622=sel_Customer),OR(sel_Product="All",H1622=sel_Product),AND(S1622&gt;=m_From,S1622&lt;=m_To)),1,0)</f>
        <v/>
      </c>
      <c r="Z1622" s="36">
        <f>IF(AND(OR(sel_Region="All",C1622=sel_Region),OR(sel_Country="All",D1622=sel_Country),OR(sel_Channel="All",E1622=sel_Channel),OR(sel_Customer="All",F1622=sel_Customer),OR(sel_Category="All",G1622=sel_Category),AND(S1622&gt;=m_From,S1622&lt;=m_To)),1,0)</f>
        <v/>
      </c>
      <c r="AA1622" s="36">
        <f>IF(AND(OR(sel_Region="All",C1622=sel_Region),OR(sel_Country="All",D1622=sel_Country),OR(sel_Channel="All",E1622=sel_Channel),OR(sel_Customer="All",F1622=sel_Customer),OR(sel_Category="All",G1622=sel_Category),OR(sel_Product="All",H1622=sel_Product)),1,0)</f>
        <v/>
      </c>
    </row>
    <row r="1623">
      <c r="A1623" s="36" t="inlineStr">
        <is>
          <t>01243</t>
        </is>
      </c>
      <c r="B1623" s="44" t="n">
        <v>46245</v>
      </c>
      <c r="C1623" s="36" t="inlineStr">
        <is>
          <t>Northern Europe</t>
        </is>
      </c>
      <c r="D1623" s="36" t="inlineStr">
        <is>
          <t>Norway</t>
        </is>
      </c>
      <c r="E1623" s="36" t="inlineStr">
        <is>
          <t>Online Store</t>
        </is>
      </c>
      <c r="F1623" s="36" t="inlineStr">
        <is>
          <t>Returning</t>
        </is>
      </c>
      <c r="G1623" s="36" t="inlineStr">
        <is>
          <t>Camping</t>
        </is>
      </c>
      <c r="H1623" s="36" t="inlineStr">
        <is>
          <t>Trail Tent 2P</t>
        </is>
      </c>
      <c r="I1623" s="36" t="n">
        <v>1</v>
      </c>
      <c r="J1623" s="39" t="n">
        <v>193.67</v>
      </c>
      <c r="K1623" s="45" t="n">
        <v>0</v>
      </c>
      <c r="L1623" s="39" t="n">
        <v>103.79</v>
      </c>
      <c r="M1623" s="39">
        <f>I1623*J1623*(1-K1623)</f>
        <v/>
      </c>
      <c r="N1623" s="39">
        <f>I1623*L1623</f>
        <v/>
      </c>
      <c r="O1623" s="39">
        <f>M1623-N1623</f>
        <v/>
      </c>
      <c r="P1623" s="38">
        <f>IF(M1623=0,0,O1623/M1623)</f>
        <v/>
      </c>
      <c r="Q1623" s="36">
        <f>YEAR(B1623)</f>
        <v/>
      </c>
      <c r="R1623" s="36">
        <f>"Q"&amp;ROUNDUP(MONTH(B1623)/3,0)</f>
        <v/>
      </c>
      <c r="S1623" s="36">
        <f>MONTH(B1623)</f>
        <v/>
      </c>
      <c r="T1623" s="36">
        <f>TEXT(B1623,"mmm")</f>
        <v/>
      </c>
      <c r="U1623" s="36">
        <f>IF(AND(OR(sel_Region="All",C1623=sel_Region),OR(sel_Country="All",D1623=sel_Country),OR(sel_Channel="All",E1623=sel_Channel),OR(sel_Customer="All",F1623=sel_Customer),OR(sel_Category="All",G1623=sel_Category),OR(sel_Product="All",H1623=sel_Product),AND(S1623&gt;=m_From,S1623&lt;=m_To)),1,0)</f>
        <v/>
      </c>
      <c r="V1623" s="36">
        <f>IF(AND(OR(sel_Region="All",C1623=sel_Region),OR(sel_Channel="All",E1623=sel_Channel),OR(sel_Customer="All",F1623=sel_Customer),OR(sel_Category="All",G1623=sel_Category),OR(sel_Product="All",H1623=sel_Product),AND(S1623&gt;=m_From,S1623&lt;=m_To)),1,0)</f>
        <v/>
      </c>
      <c r="W1623" s="36">
        <f>IF(AND(OR(sel_Region="All",C1623=sel_Region),OR(sel_Country="All",D1623=sel_Country),OR(sel_Customer="All",F1623=sel_Customer),OR(sel_Category="All",G1623=sel_Category),OR(sel_Product="All",H1623=sel_Product),AND(S1623&gt;=m_From,S1623&lt;=m_To)),1,0)</f>
        <v/>
      </c>
      <c r="X1623" s="36">
        <f>IF(AND(OR(sel_Region="All",C1623=sel_Region),OR(sel_Country="All",D1623=sel_Country),OR(sel_Channel="All",E1623=sel_Channel),OR(sel_Category="All",G1623=sel_Category),OR(sel_Product="All",H1623=sel_Product),AND(S1623&gt;=m_From,S1623&lt;=m_To)),1,0)</f>
        <v/>
      </c>
      <c r="Y1623" s="36">
        <f>IF(AND(OR(sel_Region="All",C1623=sel_Region),OR(sel_Country="All",D1623=sel_Country),OR(sel_Channel="All",E1623=sel_Channel),OR(sel_Customer="All",F1623=sel_Customer),OR(sel_Product="All",H1623=sel_Product),AND(S1623&gt;=m_From,S1623&lt;=m_To)),1,0)</f>
        <v/>
      </c>
      <c r="Z1623" s="36">
        <f>IF(AND(OR(sel_Region="All",C1623=sel_Region),OR(sel_Country="All",D1623=sel_Country),OR(sel_Channel="All",E1623=sel_Channel),OR(sel_Customer="All",F1623=sel_Customer),OR(sel_Category="All",G1623=sel_Category),AND(S1623&gt;=m_From,S1623&lt;=m_To)),1,0)</f>
        <v/>
      </c>
      <c r="AA1623" s="36">
        <f>IF(AND(OR(sel_Region="All",C1623=sel_Region),OR(sel_Country="All",D1623=sel_Country),OR(sel_Channel="All",E1623=sel_Channel),OR(sel_Customer="All",F1623=sel_Customer),OR(sel_Category="All",G1623=sel_Category),OR(sel_Product="All",H1623=sel_Product)),1,0)</f>
        <v/>
      </c>
    </row>
    <row r="1624">
      <c r="A1624" s="36" t="inlineStr">
        <is>
          <t>01326</t>
        </is>
      </c>
      <c r="B1624" s="44" t="n">
        <v>46245</v>
      </c>
      <c r="C1624" s="36" t="inlineStr">
        <is>
          <t>Western Europe</t>
        </is>
      </c>
      <c r="D1624" s="36" t="inlineStr">
        <is>
          <t>United Kingdom</t>
        </is>
      </c>
      <c r="E1624" s="36" t="inlineStr">
        <is>
          <t>Online Store</t>
        </is>
      </c>
      <c r="F1624" s="36" t="inlineStr">
        <is>
          <t>Returning</t>
        </is>
      </c>
      <c r="G1624" s="36" t="inlineStr">
        <is>
          <t>Travel</t>
        </is>
      </c>
      <c r="H1624" s="36" t="inlineStr">
        <is>
          <t>Travel Backpack 35L</t>
        </is>
      </c>
      <c r="I1624" s="36" t="n">
        <v>5</v>
      </c>
      <c r="J1624" s="39" t="n">
        <v>166.03</v>
      </c>
      <c r="K1624" s="45" t="n">
        <v>0</v>
      </c>
      <c r="L1624" s="39" t="n">
        <v>87.45999999999999</v>
      </c>
      <c r="M1624" s="39">
        <f>I1624*J1624*(1-K1624)</f>
        <v/>
      </c>
      <c r="N1624" s="39">
        <f>I1624*L1624</f>
        <v/>
      </c>
      <c r="O1624" s="39">
        <f>M1624-N1624</f>
        <v/>
      </c>
      <c r="P1624" s="38">
        <f>IF(M1624=0,0,O1624/M1624)</f>
        <v/>
      </c>
      <c r="Q1624" s="36">
        <f>YEAR(B1624)</f>
        <v/>
      </c>
      <c r="R1624" s="36">
        <f>"Q"&amp;ROUNDUP(MONTH(B1624)/3,0)</f>
        <v/>
      </c>
      <c r="S1624" s="36">
        <f>MONTH(B1624)</f>
        <v/>
      </c>
      <c r="T1624" s="36">
        <f>TEXT(B1624,"mmm")</f>
        <v/>
      </c>
      <c r="U1624" s="36">
        <f>IF(AND(OR(sel_Region="All",C1624=sel_Region),OR(sel_Country="All",D1624=sel_Country),OR(sel_Channel="All",E1624=sel_Channel),OR(sel_Customer="All",F1624=sel_Customer),OR(sel_Category="All",G1624=sel_Category),OR(sel_Product="All",H1624=sel_Product),AND(S1624&gt;=m_From,S1624&lt;=m_To)),1,0)</f>
        <v/>
      </c>
      <c r="V1624" s="36">
        <f>IF(AND(OR(sel_Region="All",C1624=sel_Region),OR(sel_Channel="All",E1624=sel_Channel),OR(sel_Customer="All",F1624=sel_Customer),OR(sel_Category="All",G1624=sel_Category),OR(sel_Product="All",H1624=sel_Product),AND(S1624&gt;=m_From,S1624&lt;=m_To)),1,0)</f>
        <v/>
      </c>
      <c r="W1624" s="36">
        <f>IF(AND(OR(sel_Region="All",C1624=sel_Region),OR(sel_Country="All",D1624=sel_Country),OR(sel_Customer="All",F1624=sel_Customer),OR(sel_Category="All",G1624=sel_Category),OR(sel_Product="All",H1624=sel_Product),AND(S1624&gt;=m_From,S1624&lt;=m_To)),1,0)</f>
        <v/>
      </c>
      <c r="X1624" s="36">
        <f>IF(AND(OR(sel_Region="All",C1624=sel_Region),OR(sel_Country="All",D1624=sel_Country),OR(sel_Channel="All",E1624=sel_Channel),OR(sel_Category="All",G1624=sel_Category),OR(sel_Product="All",H1624=sel_Product),AND(S1624&gt;=m_From,S1624&lt;=m_To)),1,0)</f>
        <v/>
      </c>
      <c r="Y1624" s="36">
        <f>IF(AND(OR(sel_Region="All",C1624=sel_Region),OR(sel_Country="All",D1624=sel_Country),OR(sel_Channel="All",E1624=sel_Channel),OR(sel_Customer="All",F1624=sel_Customer),OR(sel_Product="All",H1624=sel_Product),AND(S1624&gt;=m_From,S1624&lt;=m_To)),1,0)</f>
        <v/>
      </c>
      <c r="Z1624" s="36">
        <f>IF(AND(OR(sel_Region="All",C1624=sel_Region),OR(sel_Country="All",D1624=sel_Country),OR(sel_Channel="All",E1624=sel_Channel),OR(sel_Customer="All",F1624=sel_Customer),OR(sel_Category="All",G1624=sel_Category),AND(S1624&gt;=m_From,S1624&lt;=m_To)),1,0)</f>
        <v/>
      </c>
      <c r="AA1624" s="36">
        <f>IF(AND(OR(sel_Region="All",C1624=sel_Region),OR(sel_Country="All",D1624=sel_Country),OR(sel_Channel="All",E1624=sel_Channel),OR(sel_Customer="All",F1624=sel_Customer),OR(sel_Category="All",G1624=sel_Category),OR(sel_Product="All",H1624=sel_Product)),1,0)</f>
        <v/>
      </c>
    </row>
    <row r="1625">
      <c r="A1625" s="36" t="inlineStr">
        <is>
          <t>01682</t>
        </is>
      </c>
      <c r="B1625" s="44" t="n">
        <v>46245</v>
      </c>
      <c r="C1625" s="36" t="inlineStr">
        <is>
          <t>Southern Europe</t>
        </is>
      </c>
      <c r="D1625" s="36" t="inlineStr">
        <is>
          <t>Spain</t>
        </is>
      </c>
      <c r="E1625" s="36" t="inlineStr">
        <is>
          <t>Online Store</t>
        </is>
      </c>
      <c r="F1625" s="36" t="inlineStr">
        <is>
          <t>Business</t>
        </is>
      </c>
      <c r="G1625" s="36" t="inlineStr">
        <is>
          <t>Camping</t>
        </is>
      </c>
      <c r="H1625" s="36" t="inlineStr">
        <is>
          <t>Portable Camp Stove</t>
        </is>
      </c>
      <c r="I1625" s="36" t="n">
        <v>2</v>
      </c>
      <c r="J1625" s="39" t="n">
        <v>81.56999999999999</v>
      </c>
      <c r="K1625" s="45" t="n">
        <v>0</v>
      </c>
      <c r="L1625" s="39" t="n">
        <v>40.36</v>
      </c>
      <c r="M1625" s="39">
        <f>I1625*J1625*(1-K1625)</f>
        <v/>
      </c>
      <c r="N1625" s="39">
        <f>I1625*L1625</f>
        <v/>
      </c>
      <c r="O1625" s="39">
        <f>M1625-N1625</f>
        <v/>
      </c>
      <c r="P1625" s="38">
        <f>IF(M1625=0,0,O1625/M1625)</f>
        <v/>
      </c>
      <c r="Q1625" s="36">
        <f>YEAR(B1625)</f>
        <v/>
      </c>
      <c r="R1625" s="36">
        <f>"Q"&amp;ROUNDUP(MONTH(B1625)/3,0)</f>
        <v/>
      </c>
      <c r="S1625" s="36">
        <f>MONTH(B1625)</f>
        <v/>
      </c>
      <c r="T1625" s="36">
        <f>TEXT(B1625,"mmm")</f>
        <v/>
      </c>
      <c r="U1625" s="36">
        <f>IF(AND(OR(sel_Region="All",C1625=sel_Region),OR(sel_Country="All",D1625=sel_Country),OR(sel_Channel="All",E1625=sel_Channel),OR(sel_Customer="All",F1625=sel_Customer),OR(sel_Category="All",G1625=sel_Category),OR(sel_Product="All",H1625=sel_Product),AND(S1625&gt;=m_From,S1625&lt;=m_To)),1,0)</f>
        <v/>
      </c>
      <c r="V1625" s="36">
        <f>IF(AND(OR(sel_Region="All",C1625=sel_Region),OR(sel_Channel="All",E1625=sel_Channel),OR(sel_Customer="All",F1625=sel_Customer),OR(sel_Category="All",G1625=sel_Category),OR(sel_Product="All",H1625=sel_Product),AND(S1625&gt;=m_From,S1625&lt;=m_To)),1,0)</f>
        <v/>
      </c>
      <c r="W1625" s="36">
        <f>IF(AND(OR(sel_Region="All",C1625=sel_Region),OR(sel_Country="All",D1625=sel_Country),OR(sel_Customer="All",F1625=sel_Customer),OR(sel_Category="All",G1625=sel_Category),OR(sel_Product="All",H1625=sel_Product),AND(S1625&gt;=m_From,S1625&lt;=m_To)),1,0)</f>
        <v/>
      </c>
      <c r="X1625" s="36">
        <f>IF(AND(OR(sel_Region="All",C1625=sel_Region),OR(sel_Country="All",D1625=sel_Country),OR(sel_Channel="All",E1625=sel_Channel),OR(sel_Category="All",G1625=sel_Category),OR(sel_Product="All",H1625=sel_Product),AND(S1625&gt;=m_From,S1625&lt;=m_To)),1,0)</f>
        <v/>
      </c>
      <c r="Y1625" s="36">
        <f>IF(AND(OR(sel_Region="All",C1625=sel_Region),OR(sel_Country="All",D1625=sel_Country),OR(sel_Channel="All",E1625=sel_Channel),OR(sel_Customer="All",F1625=sel_Customer),OR(sel_Product="All",H1625=sel_Product),AND(S1625&gt;=m_From,S1625&lt;=m_To)),1,0)</f>
        <v/>
      </c>
      <c r="Z1625" s="36">
        <f>IF(AND(OR(sel_Region="All",C1625=sel_Region),OR(sel_Country="All",D1625=sel_Country),OR(sel_Channel="All",E1625=sel_Channel),OR(sel_Customer="All",F1625=sel_Customer),OR(sel_Category="All",G1625=sel_Category),AND(S1625&gt;=m_From,S1625&lt;=m_To)),1,0)</f>
        <v/>
      </c>
      <c r="AA1625" s="36">
        <f>IF(AND(OR(sel_Region="All",C1625=sel_Region),OR(sel_Country="All",D1625=sel_Country),OR(sel_Channel="All",E1625=sel_Channel),OR(sel_Customer="All",F1625=sel_Customer),OR(sel_Category="All",G1625=sel_Category),OR(sel_Product="All",H1625=sel_Product)),1,0)</f>
        <v/>
      </c>
    </row>
    <row r="1626">
      <c r="A1626" s="36" t="inlineStr">
        <is>
          <t>02618</t>
        </is>
      </c>
      <c r="B1626" s="44" t="n">
        <v>46245</v>
      </c>
      <c r="C1626" s="36" t="inlineStr">
        <is>
          <t>Southern Europe</t>
        </is>
      </c>
      <c r="D1626" s="36" t="inlineStr">
        <is>
          <t>Italy</t>
        </is>
      </c>
      <c r="E1626" s="36" t="inlineStr">
        <is>
          <t>Retail Partners</t>
        </is>
      </c>
      <c r="F1626" s="36" t="inlineStr">
        <is>
          <t>Business</t>
        </is>
      </c>
      <c r="G1626" s="36" t="inlineStr">
        <is>
          <t>Hiking</t>
        </is>
      </c>
      <c r="H1626" s="36" t="inlineStr">
        <is>
          <t>Trail Boots</t>
        </is>
      </c>
      <c r="I1626" s="36" t="n">
        <v>2</v>
      </c>
      <c r="J1626" s="39" t="n">
        <v>143.86</v>
      </c>
      <c r="K1626" s="45" t="n">
        <v>0</v>
      </c>
      <c r="L1626" s="39" t="n">
        <v>81.23</v>
      </c>
      <c r="M1626" s="39">
        <f>I1626*J1626*(1-K1626)</f>
        <v/>
      </c>
      <c r="N1626" s="39">
        <f>I1626*L1626</f>
        <v/>
      </c>
      <c r="O1626" s="39">
        <f>M1626-N1626</f>
        <v/>
      </c>
      <c r="P1626" s="38">
        <f>IF(M1626=0,0,O1626/M1626)</f>
        <v/>
      </c>
      <c r="Q1626" s="36">
        <f>YEAR(B1626)</f>
        <v/>
      </c>
      <c r="R1626" s="36">
        <f>"Q"&amp;ROUNDUP(MONTH(B1626)/3,0)</f>
        <v/>
      </c>
      <c r="S1626" s="36">
        <f>MONTH(B1626)</f>
        <v/>
      </c>
      <c r="T1626" s="36">
        <f>TEXT(B1626,"mmm")</f>
        <v/>
      </c>
      <c r="U1626" s="36">
        <f>IF(AND(OR(sel_Region="All",C1626=sel_Region),OR(sel_Country="All",D1626=sel_Country),OR(sel_Channel="All",E1626=sel_Channel),OR(sel_Customer="All",F1626=sel_Customer),OR(sel_Category="All",G1626=sel_Category),OR(sel_Product="All",H1626=sel_Product),AND(S1626&gt;=m_From,S1626&lt;=m_To)),1,0)</f>
        <v/>
      </c>
      <c r="V1626" s="36">
        <f>IF(AND(OR(sel_Region="All",C1626=sel_Region),OR(sel_Channel="All",E1626=sel_Channel),OR(sel_Customer="All",F1626=sel_Customer),OR(sel_Category="All",G1626=sel_Category),OR(sel_Product="All",H1626=sel_Product),AND(S1626&gt;=m_From,S1626&lt;=m_To)),1,0)</f>
        <v/>
      </c>
      <c r="W1626" s="36">
        <f>IF(AND(OR(sel_Region="All",C1626=sel_Region),OR(sel_Country="All",D1626=sel_Country),OR(sel_Customer="All",F1626=sel_Customer),OR(sel_Category="All",G1626=sel_Category),OR(sel_Product="All",H1626=sel_Product),AND(S1626&gt;=m_From,S1626&lt;=m_To)),1,0)</f>
        <v/>
      </c>
      <c r="X1626" s="36">
        <f>IF(AND(OR(sel_Region="All",C1626=sel_Region),OR(sel_Country="All",D1626=sel_Country),OR(sel_Channel="All",E1626=sel_Channel),OR(sel_Category="All",G1626=sel_Category),OR(sel_Product="All",H1626=sel_Product),AND(S1626&gt;=m_From,S1626&lt;=m_To)),1,0)</f>
        <v/>
      </c>
      <c r="Y1626" s="36">
        <f>IF(AND(OR(sel_Region="All",C1626=sel_Region),OR(sel_Country="All",D1626=sel_Country),OR(sel_Channel="All",E1626=sel_Channel),OR(sel_Customer="All",F1626=sel_Customer),OR(sel_Product="All",H1626=sel_Product),AND(S1626&gt;=m_From,S1626&lt;=m_To)),1,0)</f>
        <v/>
      </c>
      <c r="Z1626" s="36">
        <f>IF(AND(OR(sel_Region="All",C1626=sel_Region),OR(sel_Country="All",D1626=sel_Country),OR(sel_Channel="All",E1626=sel_Channel),OR(sel_Customer="All",F1626=sel_Customer),OR(sel_Category="All",G1626=sel_Category),AND(S1626&gt;=m_From,S1626&lt;=m_To)),1,0)</f>
        <v/>
      </c>
      <c r="AA1626" s="36">
        <f>IF(AND(OR(sel_Region="All",C1626=sel_Region),OR(sel_Country="All",D1626=sel_Country),OR(sel_Channel="All",E1626=sel_Channel),OR(sel_Customer="All",F1626=sel_Customer),OR(sel_Category="All",G1626=sel_Category),OR(sel_Product="All",H1626=sel_Product)),1,0)</f>
        <v/>
      </c>
    </row>
    <row r="1627">
      <c r="A1627" s="36" t="inlineStr">
        <is>
          <t>03319</t>
        </is>
      </c>
      <c r="B1627" s="44" t="n">
        <v>46245</v>
      </c>
      <c r="C1627" s="36" t="inlineStr">
        <is>
          <t>Central Europe</t>
        </is>
      </c>
      <c r="D1627" s="36" t="inlineStr">
        <is>
          <t>Poland</t>
        </is>
      </c>
      <c r="E1627" s="36" t="inlineStr">
        <is>
          <t>Online Store</t>
        </is>
      </c>
      <c r="F1627" s="36" t="inlineStr">
        <is>
          <t>Returning</t>
        </is>
      </c>
      <c r="G1627" s="36" t="inlineStr">
        <is>
          <t>Hiking</t>
        </is>
      </c>
      <c r="H1627" s="36" t="inlineStr">
        <is>
          <t>Hiking Daypack 20L</t>
        </is>
      </c>
      <c r="I1627" s="36" t="n">
        <v>3</v>
      </c>
      <c r="J1627" s="39" t="n">
        <v>93.53</v>
      </c>
      <c r="K1627" s="45" t="n">
        <v>0</v>
      </c>
      <c r="L1627" s="39" t="n">
        <v>46.19</v>
      </c>
      <c r="M1627" s="39">
        <f>I1627*J1627*(1-K1627)</f>
        <v/>
      </c>
      <c r="N1627" s="39">
        <f>I1627*L1627</f>
        <v/>
      </c>
      <c r="O1627" s="39">
        <f>M1627-N1627</f>
        <v/>
      </c>
      <c r="P1627" s="38">
        <f>IF(M1627=0,0,O1627/M1627)</f>
        <v/>
      </c>
      <c r="Q1627" s="36">
        <f>YEAR(B1627)</f>
        <v/>
      </c>
      <c r="R1627" s="36">
        <f>"Q"&amp;ROUNDUP(MONTH(B1627)/3,0)</f>
        <v/>
      </c>
      <c r="S1627" s="36">
        <f>MONTH(B1627)</f>
        <v/>
      </c>
      <c r="T1627" s="36">
        <f>TEXT(B1627,"mmm")</f>
        <v/>
      </c>
      <c r="U1627" s="36">
        <f>IF(AND(OR(sel_Region="All",C1627=sel_Region),OR(sel_Country="All",D1627=sel_Country),OR(sel_Channel="All",E1627=sel_Channel),OR(sel_Customer="All",F1627=sel_Customer),OR(sel_Category="All",G1627=sel_Category),OR(sel_Product="All",H1627=sel_Product),AND(S1627&gt;=m_From,S1627&lt;=m_To)),1,0)</f>
        <v/>
      </c>
      <c r="V1627" s="36">
        <f>IF(AND(OR(sel_Region="All",C1627=sel_Region),OR(sel_Channel="All",E1627=sel_Channel),OR(sel_Customer="All",F1627=sel_Customer),OR(sel_Category="All",G1627=sel_Category),OR(sel_Product="All",H1627=sel_Product),AND(S1627&gt;=m_From,S1627&lt;=m_To)),1,0)</f>
        <v/>
      </c>
      <c r="W1627" s="36">
        <f>IF(AND(OR(sel_Region="All",C1627=sel_Region),OR(sel_Country="All",D1627=sel_Country),OR(sel_Customer="All",F1627=sel_Customer),OR(sel_Category="All",G1627=sel_Category),OR(sel_Product="All",H1627=sel_Product),AND(S1627&gt;=m_From,S1627&lt;=m_To)),1,0)</f>
        <v/>
      </c>
      <c r="X1627" s="36">
        <f>IF(AND(OR(sel_Region="All",C1627=sel_Region),OR(sel_Country="All",D1627=sel_Country),OR(sel_Channel="All",E1627=sel_Channel),OR(sel_Category="All",G1627=sel_Category),OR(sel_Product="All",H1627=sel_Product),AND(S1627&gt;=m_From,S1627&lt;=m_To)),1,0)</f>
        <v/>
      </c>
      <c r="Y1627" s="36">
        <f>IF(AND(OR(sel_Region="All",C1627=sel_Region),OR(sel_Country="All",D1627=sel_Country),OR(sel_Channel="All",E1627=sel_Channel),OR(sel_Customer="All",F1627=sel_Customer),OR(sel_Product="All",H1627=sel_Product),AND(S1627&gt;=m_From,S1627&lt;=m_To)),1,0)</f>
        <v/>
      </c>
      <c r="Z1627" s="36">
        <f>IF(AND(OR(sel_Region="All",C1627=sel_Region),OR(sel_Country="All",D1627=sel_Country),OR(sel_Channel="All",E1627=sel_Channel),OR(sel_Customer="All",F1627=sel_Customer),OR(sel_Category="All",G1627=sel_Category),AND(S1627&gt;=m_From,S1627&lt;=m_To)),1,0)</f>
        <v/>
      </c>
      <c r="AA1627" s="36">
        <f>IF(AND(OR(sel_Region="All",C1627=sel_Region),OR(sel_Country="All",D1627=sel_Country),OR(sel_Channel="All",E1627=sel_Channel),OR(sel_Customer="All",F1627=sel_Customer),OR(sel_Category="All",G1627=sel_Category),OR(sel_Product="All",H1627=sel_Product)),1,0)</f>
        <v/>
      </c>
    </row>
    <row r="1628">
      <c r="A1628" s="36" t="inlineStr">
        <is>
          <t>04600</t>
        </is>
      </c>
      <c r="B1628" s="44" t="n">
        <v>46245</v>
      </c>
      <c r="C1628" s="36" t="inlineStr">
        <is>
          <t>Western Europe</t>
        </is>
      </c>
      <c r="D1628" s="36" t="inlineStr">
        <is>
          <t>Belgium</t>
        </is>
      </c>
      <c r="E1628" s="36" t="inlineStr">
        <is>
          <t>Corporate</t>
        </is>
      </c>
      <c r="F1628" s="36" t="inlineStr">
        <is>
          <t>Business</t>
        </is>
      </c>
      <c r="G1628" s="36" t="inlineStr">
        <is>
          <t>Travel</t>
        </is>
      </c>
      <c r="H1628" s="36" t="inlineStr">
        <is>
          <t>Travel Backpack 35L</t>
        </is>
      </c>
      <c r="I1628" s="36" t="n">
        <v>10</v>
      </c>
      <c r="J1628" s="39" t="n">
        <v>162.38</v>
      </c>
      <c r="K1628" s="45" t="n">
        <v>0.05</v>
      </c>
      <c r="L1628" s="39" t="n">
        <v>85.81999999999999</v>
      </c>
      <c r="M1628" s="39">
        <f>I1628*J1628*(1-K1628)</f>
        <v/>
      </c>
      <c r="N1628" s="39">
        <f>I1628*L1628</f>
        <v/>
      </c>
      <c r="O1628" s="39">
        <f>M1628-N1628</f>
        <v/>
      </c>
      <c r="P1628" s="38">
        <f>IF(M1628=0,0,O1628/M1628)</f>
        <v/>
      </c>
      <c r="Q1628" s="36">
        <f>YEAR(B1628)</f>
        <v/>
      </c>
      <c r="R1628" s="36">
        <f>"Q"&amp;ROUNDUP(MONTH(B1628)/3,0)</f>
        <v/>
      </c>
      <c r="S1628" s="36">
        <f>MONTH(B1628)</f>
        <v/>
      </c>
      <c r="T1628" s="36">
        <f>TEXT(B1628,"mmm")</f>
        <v/>
      </c>
      <c r="U1628" s="36">
        <f>IF(AND(OR(sel_Region="All",C1628=sel_Region),OR(sel_Country="All",D1628=sel_Country),OR(sel_Channel="All",E1628=sel_Channel),OR(sel_Customer="All",F1628=sel_Customer),OR(sel_Category="All",G1628=sel_Category),OR(sel_Product="All",H1628=sel_Product),AND(S1628&gt;=m_From,S1628&lt;=m_To)),1,0)</f>
        <v/>
      </c>
      <c r="V1628" s="36">
        <f>IF(AND(OR(sel_Region="All",C1628=sel_Region),OR(sel_Channel="All",E1628=sel_Channel),OR(sel_Customer="All",F1628=sel_Customer),OR(sel_Category="All",G1628=sel_Category),OR(sel_Product="All",H1628=sel_Product),AND(S1628&gt;=m_From,S1628&lt;=m_To)),1,0)</f>
        <v/>
      </c>
      <c r="W1628" s="36">
        <f>IF(AND(OR(sel_Region="All",C1628=sel_Region),OR(sel_Country="All",D1628=sel_Country),OR(sel_Customer="All",F1628=sel_Customer),OR(sel_Category="All",G1628=sel_Category),OR(sel_Product="All",H1628=sel_Product),AND(S1628&gt;=m_From,S1628&lt;=m_To)),1,0)</f>
        <v/>
      </c>
      <c r="X1628" s="36">
        <f>IF(AND(OR(sel_Region="All",C1628=sel_Region),OR(sel_Country="All",D1628=sel_Country),OR(sel_Channel="All",E1628=sel_Channel),OR(sel_Category="All",G1628=sel_Category),OR(sel_Product="All",H1628=sel_Product),AND(S1628&gt;=m_From,S1628&lt;=m_To)),1,0)</f>
        <v/>
      </c>
      <c r="Y1628" s="36">
        <f>IF(AND(OR(sel_Region="All",C1628=sel_Region),OR(sel_Country="All",D1628=sel_Country),OR(sel_Channel="All",E1628=sel_Channel),OR(sel_Customer="All",F1628=sel_Customer),OR(sel_Product="All",H1628=sel_Product),AND(S1628&gt;=m_From,S1628&lt;=m_To)),1,0)</f>
        <v/>
      </c>
      <c r="Z1628" s="36">
        <f>IF(AND(OR(sel_Region="All",C1628=sel_Region),OR(sel_Country="All",D1628=sel_Country),OR(sel_Channel="All",E1628=sel_Channel),OR(sel_Customer="All",F1628=sel_Customer),OR(sel_Category="All",G1628=sel_Category),AND(S1628&gt;=m_From,S1628&lt;=m_To)),1,0)</f>
        <v/>
      </c>
      <c r="AA1628" s="36">
        <f>IF(AND(OR(sel_Region="All",C1628=sel_Region),OR(sel_Country="All",D1628=sel_Country),OR(sel_Channel="All",E1628=sel_Channel),OR(sel_Customer="All",F1628=sel_Customer),OR(sel_Category="All",G1628=sel_Category),OR(sel_Product="All",H1628=sel_Product)),1,0)</f>
        <v/>
      </c>
    </row>
    <row r="1629">
      <c r="A1629" s="36" t="inlineStr">
        <is>
          <t>05168</t>
        </is>
      </c>
      <c r="B1629" s="44" t="n">
        <v>46245</v>
      </c>
      <c r="C1629" s="36" t="inlineStr">
        <is>
          <t>Southern Europe</t>
        </is>
      </c>
      <c r="D1629" s="36" t="inlineStr">
        <is>
          <t>Italy</t>
        </is>
      </c>
      <c r="E1629" s="36" t="inlineStr">
        <is>
          <t>Marketplace</t>
        </is>
      </c>
      <c r="F1629" s="36" t="inlineStr">
        <is>
          <t>Business</t>
        </is>
      </c>
      <c r="G1629" s="36" t="inlineStr">
        <is>
          <t>Fitness</t>
        </is>
      </c>
      <c r="H1629" s="36" t="inlineStr">
        <is>
          <t>Weighted Vest</t>
        </is>
      </c>
      <c r="I1629" s="36" t="n">
        <v>1</v>
      </c>
      <c r="J1629" s="39" t="n">
        <v>122.52</v>
      </c>
      <c r="K1629" s="45" t="n">
        <v>0.05</v>
      </c>
      <c r="L1629" s="39" t="n">
        <v>69.66</v>
      </c>
      <c r="M1629" s="39">
        <f>I1629*J1629*(1-K1629)</f>
        <v/>
      </c>
      <c r="N1629" s="39">
        <f>I1629*L1629</f>
        <v/>
      </c>
      <c r="O1629" s="39">
        <f>M1629-N1629</f>
        <v/>
      </c>
      <c r="P1629" s="38">
        <f>IF(M1629=0,0,O1629/M1629)</f>
        <v/>
      </c>
      <c r="Q1629" s="36">
        <f>YEAR(B1629)</f>
        <v/>
      </c>
      <c r="R1629" s="36">
        <f>"Q"&amp;ROUNDUP(MONTH(B1629)/3,0)</f>
        <v/>
      </c>
      <c r="S1629" s="36">
        <f>MONTH(B1629)</f>
        <v/>
      </c>
      <c r="T1629" s="36">
        <f>TEXT(B1629,"mmm")</f>
        <v/>
      </c>
      <c r="U1629" s="36">
        <f>IF(AND(OR(sel_Region="All",C1629=sel_Region),OR(sel_Country="All",D1629=sel_Country),OR(sel_Channel="All",E1629=sel_Channel),OR(sel_Customer="All",F1629=sel_Customer),OR(sel_Category="All",G1629=sel_Category),OR(sel_Product="All",H1629=sel_Product),AND(S1629&gt;=m_From,S1629&lt;=m_To)),1,0)</f>
        <v/>
      </c>
      <c r="V1629" s="36">
        <f>IF(AND(OR(sel_Region="All",C1629=sel_Region),OR(sel_Channel="All",E1629=sel_Channel),OR(sel_Customer="All",F1629=sel_Customer),OR(sel_Category="All",G1629=sel_Category),OR(sel_Product="All",H1629=sel_Product),AND(S1629&gt;=m_From,S1629&lt;=m_To)),1,0)</f>
        <v/>
      </c>
      <c r="W1629" s="36">
        <f>IF(AND(OR(sel_Region="All",C1629=sel_Region),OR(sel_Country="All",D1629=sel_Country),OR(sel_Customer="All",F1629=sel_Customer),OR(sel_Category="All",G1629=sel_Category),OR(sel_Product="All",H1629=sel_Product),AND(S1629&gt;=m_From,S1629&lt;=m_To)),1,0)</f>
        <v/>
      </c>
      <c r="X1629" s="36">
        <f>IF(AND(OR(sel_Region="All",C1629=sel_Region),OR(sel_Country="All",D1629=sel_Country),OR(sel_Channel="All",E1629=sel_Channel),OR(sel_Category="All",G1629=sel_Category),OR(sel_Product="All",H1629=sel_Product),AND(S1629&gt;=m_From,S1629&lt;=m_To)),1,0)</f>
        <v/>
      </c>
      <c r="Y1629" s="36">
        <f>IF(AND(OR(sel_Region="All",C1629=sel_Region),OR(sel_Country="All",D1629=sel_Country),OR(sel_Channel="All",E1629=sel_Channel),OR(sel_Customer="All",F1629=sel_Customer),OR(sel_Product="All",H1629=sel_Product),AND(S1629&gt;=m_From,S1629&lt;=m_To)),1,0)</f>
        <v/>
      </c>
      <c r="Z1629" s="36">
        <f>IF(AND(OR(sel_Region="All",C1629=sel_Region),OR(sel_Country="All",D1629=sel_Country),OR(sel_Channel="All",E1629=sel_Channel),OR(sel_Customer="All",F1629=sel_Customer),OR(sel_Category="All",G1629=sel_Category),AND(S1629&gt;=m_From,S1629&lt;=m_To)),1,0)</f>
        <v/>
      </c>
      <c r="AA1629" s="36">
        <f>IF(AND(OR(sel_Region="All",C1629=sel_Region),OR(sel_Country="All",D1629=sel_Country),OR(sel_Channel="All",E1629=sel_Channel),OR(sel_Customer="All",F1629=sel_Customer),OR(sel_Category="All",G1629=sel_Category),OR(sel_Product="All",H1629=sel_Product)),1,0)</f>
        <v/>
      </c>
    </row>
    <row r="1630">
      <c r="A1630" s="36" t="inlineStr">
        <is>
          <t>00245</t>
        </is>
      </c>
      <c r="B1630" s="44" t="n">
        <v>46246</v>
      </c>
      <c r="C1630" s="36" t="inlineStr">
        <is>
          <t>Western Europe</t>
        </is>
      </c>
      <c r="D1630" s="36" t="inlineStr">
        <is>
          <t>France</t>
        </is>
      </c>
      <c r="E1630" s="36" t="inlineStr">
        <is>
          <t>Marketplace</t>
        </is>
      </c>
      <c r="F1630" s="36" t="inlineStr">
        <is>
          <t>Returning</t>
        </is>
      </c>
      <c r="G1630" s="36" t="inlineStr">
        <is>
          <t>Hiking</t>
        </is>
      </c>
      <c r="H1630" s="36" t="inlineStr">
        <is>
          <t>Trail Boots</t>
        </is>
      </c>
      <c r="I1630" s="36" t="n">
        <v>1</v>
      </c>
      <c r="J1630" s="39" t="n">
        <v>142.84</v>
      </c>
      <c r="K1630" s="45" t="n">
        <v>0</v>
      </c>
      <c r="L1630" s="39" t="n">
        <v>77.7</v>
      </c>
      <c r="M1630" s="39">
        <f>I1630*J1630*(1-K1630)</f>
        <v/>
      </c>
      <c r="N1630" s="39">
        <f>I1630*L1630</f>
        <v/>
      </c>
      <c r="O1630" s="39">
        <f>M1630-N1630</f>
        <v/>
      </c>
      <c r="P1630" s="38">
        <f>IF(M1630=0,0,O1630/M1630)</f>
        <v/>
      </c>
      <c r="Q1630" s="36">
        <f>YEAR(B1630)</f>
        <v/>
      </c>
      <c r="R1630" s="36">
        <f>"Q"&amp;ROUNDUP(MONTH(B1630)/3,0)</f>
        <v/>
      </c>
      <c r="S1630" s="36">
        <f>MONTH(B1630)</f>
        <v/>
      </c>
      <c r="T1630" s="36">
        <f>TEXT(B1630,"mmm")</f>
        <v/>
      </c>
      <c r="U1630" s="36">
        <f>IF(AND(OR(sel_Region="All",C1630=sel_Region),OR(sel_Country="All",D1630=sel_Country),OR(sel_Channel="All",E1630=sel_Channel),OR(sel_Customer="All",F1630=sel_Customer),OR(sel_Category="All",G1630=sel_Category),OR(sel_Product="All",H1630=sel_Product),AND(S1630&gt;=m_From,S1630&lt;=m_To)),1,0)</f>
        <v/>
      </c>
      <c r="V1630" s="36">
        <f>IF(AND(OR(sel_Region="All",C1630=sel_Region),OR(sel_Channel="All",E1630=sel_Channel),OR(sel_Customer="All",F1630=sel_Customer),OR(sel_Category="All",G1630=sel_Category),OR(sel_Product="All",H1630=sel_Product),AND(S1630&gt;=m_From,S1630&lt;=m_To)),1,0)</f>
        <v/>
      </c>
      <c r="W1630" s="36">
        <f>IF(AND(OR(sel_Region="All",C1630=sel_Region),OR(sel_Country="All",D1630=sel_Country),OR(sel_Customer="All",F1630=sel_Customer),OR(sel_Category="All",G1630=sel_Category),OR(sel_Product="All",H1630=sel_Product),AND(S1630&gt;=m_From,S1630&lt;=m_To)),1,0)</f>
        <v/>
      </c>
      <c r="X1630" s="36">
        <f>IF(AND(OR(sel_Region="All",C1630=sel_Region),OR(sel_Country="All",D1630=sel_Country),OR(sel_Channel="All",E1630=sel_Channel),OR(sel_Category="All",G1630=sel_Category),OR(sel_Product="All",H1630=sel_Product),AND(S1630&gt;=m_From,S1630&lt;=m_To)),1,0)</f>
        <v/>
      </c>
      <c r="Y1630" s="36">
        <f>IF(AND(OR(sel_Region="All",C1630=sel_Region),OR(sel_Country="All",D1630=sel_Country),OR(sel_Channel="All",E1630=sel_Channel),OR(sel_Customer="All",F1630=sel_Customer),OR(sel_Product="All",H1630=sel_Product),AND(S1630&gt;=m_From,S1630&lt;=m_To)),1,0)</f>
        <v/>
      </c>
      <c r="Z1630" s="36">
        <f>IF(AND(OR(sel_Region="All",C1630=sel_Region),OR(sel_Country="All",D1630=sel_Country),OR(sel_Channel="All",E1630=sel_Channel),OR(sel_Customer="All",F1630=sel_Customer),OR(sel_Category="All",G1630=sel_Category),AND(S1630&gt;=m_From,S1630&lt;=m_To)),1,0)</f>
        <v/>
      </c>
      <c r="AA1630" s="36">
        <f>IF(AND(OR(sel_Region="All",C1630=sel_Region),OR(sel_Country="All",D1630=sel_Country),OR(sel_Channel="All",E1630=sel_Channel),OR(sel_Customer="All",F1630=sel_Customer),OR(sel_Category="All",G1630=sel_Category),OR(sel_Product="All",H1630=sel_Product)),1,0)</f>
        <v/>
      </c>
    </row>
    <row r="1631">
      <c r="A1631" s="36" t="inlineStr">
        <is>
          <t>00322</t>
        </is>
      </c>
      <c r="B1631" s="44" t="n">
        <v>46246</v>
      </c>
      <c r="C1631" s="36" t="inlineStr">
        <is>
          <t>Central Europe</t>
        </is>
      </c>
      <c r="D1631" s="36" t="inlineStr">
        <is>
          <t>Poland</t>
        </is>
      </c>
      <c r="E1631" s="36" t="inlineStr">
        <is>
          <t>Retail Partners</t>
        </is>
      </c>
      <c r="F1631" s="36" t="inlineStr">
        <is>
          <t>Returning</t>
        </is>
      </c>
      <c r="G1631" s="36" t="inlineStr">
        <is>
          <t>Hiking</t>
        </is>
      </c>
      <c r="H1631" s="36" t="inlineStr">
        <is>
          <t>Trekking Poles</t>
        </is>
      </c>
      <c r="I1631" s="36" t="n">
        <v>3</v>
      </c>
      <c r="J1631" s="39" t="n">
        <v>72.34999999999999</v>
      </c>
      <c r="K1631" s="45" t="n">
        <v>0</v>
      </c>
      <c r="L1631" s="39" t="n">
        <v>32.12</v>
      </c>
      <c r="M1631" s="39">
        <f>I1631*J1631*(1-K1631)</f>
        <v/>
      </c>
      <c r="N1631" s="39">
        <f>I1631*L1631</f>
        <v/>
      </c>
      <c r="O1631" s="39">
        <f>M1631-N1631</f>
        <v/>
      </c>
      <c r="P1631" s="38">
        <f>IF(M1631=0,0,O1631/M1631)</f>
        <v/>
      </c>
      <c r="Q1631" s="36">
        <f>YEAR(B1631)</f>
        <v/>
      </c>
      <c r="R1631" s="36">
        <f>"Q"&amp;ROUNDUP(MONTH(B1631)/3,0)</f>
        <v/>
      </c>
      <c r="S1631" s="36">
        <f>MONTH(B1631)</f>
        <v/>
      </c>
      <c r="T1631" s="36">
        <f>TEXT(B1631,"mmm")</f>
        <v/>
      </c>
      <c r="U1631" s="36">
        <f>IF(AND(OR(sel_Region="All",C1631=sel_Region),OR(sel_Country="All",D1631=sel_Country),OR(sel_Channel="All",E1631=sel_Channel),OR(sel_Customer="All",F1631=sel_Customer),OR(sel_Category="All",G1631=sel_Category),OR(sel_Product="All",H1631=sel_Product),AND(S1631&gt;=m_From,S1631&lt;=m_To)),1,0)</f>
        <v/>
      </c>
      <c r="V1631" s="36">
        <f>IF(AND(OR(sel_Region="All",C1631=sel_Region),OR(sel_Channel="All",E1631=sel_Channel),OR(sel_Customer="All",F1631=sel_Customer),OR(sel_Category="All",G1631=sel_Category),OR(sel_Product="All",H1631=sel_Product),AND(S1631&gt;=m_From,S1631&lt;=m_To)),1,0)</f>
        <v/>
      </c>
      <c r="W1631" s="36">
        <f>IF(AND(OR(sel_Region="All",C1631=sel_Region),OR(sel_Country="All",D1631=sel_Country),OR(sel_Customer="All",F1631=sel_Customer),OR(sel_Category="All",G1631=sel_Category),OR(sel_Product="All",H1631=sel_Product),AND(S1631&gt;=m_From,S1631&lt;=m_To)),1,0)</f>
        <v/>
      </c>
      <c r="X1631" s="36">
        <f>IF(AND(OR(sel_Region="All",C1631=sel_Region),OR(sel_Country="All",D1631=sel_Country),OR(sel_Channel="All",E1631=sel_Channel),OR(sel_Category="All",G1631=sel_Category),OR(sel_Product="All",H1631=sel_Product),AND(S1631&gt;=m_From,S1631&lt;=m_To)),1,0)</f>
        <v/>
      </c>
      <c r="Y1631" s="36">
        <f>IF(AND(OR(sel_Region="All",C1631=sel_Region),OR(sel_Country="All",D1631=sel_Country),OR(sel_Channel="All",E1631=sel_Channel),OR(sel_Customer="All",F1631=sel_Customer),OR(sel_Product="All",H1631=sel_Product),AND(S1631&gt;=m_From,S1631&lt;=m_To)),1,0)</f>
        <v/>
      </c>
      <c r="Z1631" s="36">
        <f>IF(AND(OR(sel_Region="All",C1631=sel_Region),OR(sel_Country="All",D1631=sel_Country),OR(sel_Channel="All",E1631=sel_Channel),OR(sel_Customer="All",F1631=sel_Customer),OR(sel_Category="All",G1631=sel_Category),AND(S1631&gt;=m_From,S1631&lt;=m_To)),1,0)</f>
        <v/>
      </c>
      <c r="AA1631" s="36">
        <f>IF(AND(OR(sel_Region="All",C1631=sel_Region),OR(sel_Country="All",D1631=sel_Country),OR(sel_Channel="All",E1631=sel_Channel),OR(sel_Customer="All",F1631=sel_Customer),OR(sel_Category="All",G1631=sel_Category),OR(sel_Product="All",H1631=sel_Product)),1,0)</f>
        <v/>
      </c>
    </row>
    <row r="1632">
      <c r="A1632" s="36" t="inlineStr">
        <is>
          <t>01101</t>
        </is>
      </c>
      <c r="B1632" s="44" t="n">
        <v>46246</v>
      </c>
      <c r="C1632" s="36" t="inlineStr">
        <is>
          <t>Western Europe</t>
        </is>
      </c>
      <c r="D1632" s="36" t="inlineStr">
        <is>
          <t>Belgium</t>
        </is>
      </c>
      <c r="E1632" s="36" t="inlineStr">
        <is>
          <t>Online Store</t>
        </is>
      </c>
      <c r="F1632" s="36" t="inlineStr">
        <is>
          <t>New</t>
        </is>
      </c>
      <c r="G1632" s="36" t="inlineStr">
        <is>
          <t>Fitness</t>
        </is>
      </c>
      <c r="H1632" s="36" t="inlineStr">
        <is>
          <t>Resistance Band Set</t>
        </is>
      </c>
      <c r="I1632" s="36" t="n">
        <v>3</v>
      </c>
      <c r="J1632" s="39" t="n">
        <v>40.14</v>
      </c>
      <c r="K1632" s="45" t="n">
        <v>0.05</v>
      </c>
      <c r="L1632" s="39" t="n">
        <v>14.53</v>
      </c>
      <c r="M1632" s="39">
        <f>I1632*J1632*(1-K1632)</f>
        <v/>
      </c>
      <c r="N1632" s="39">
        <f>I1632*L1632</f>
        <v/>
      </c>
      <c r="O1632" s="39">
        <f>M1632-N1632</f>
        <v/>
      </c>
      <c r="P1632" s="38">
        <f>IF(M1632=0,0,O1632/M1632)</f>
        <v/>
      </c>
      <c r="Q1632" s="36">
        <f>YEAR(B1632)</f>
        <v/>
      </c>
      <c r="R1632" s="36">
        <f>"Q"&amp;ROUNDUP(MONTH(B1632)/3,0)</f>
        <v/>
      </c>
      <c r="S1632" s="36">
        <f>MONTH(B1632)</f>
        <v/>
      </c>
      <c r="T1632" s="36">
        <f>TEXT(B1632,"mmm")</f>
        <v/>
      </c>
      <c r="U1632" s="36">
        <f>IF(AND(OR(sel_Region="All",C1632=sel_Region),OR(sel_Country="All",D1632=sel_Country),OR(sel_Channel="All",E1632=sel_Channel),OR(sel_Customer="All",F1632=sel_Customer),OR(sel_Category="All",G1632=sel_Category),OR(sel_Product="All",H1632=sel_Product),AND(S1632&gt;=m_From,S1632&lt;=m_To)),1,0)</f>
        <v/>
      </c>
      <c r="V1632" s="36">
        <f>IF(AND(OR(sel_Region="All",C1632=sel_Region),OR(sel_Channel="All",E1632=sel_Channel),OR(sel_Customer="All",F1632=sel_Customer),OR(sel_Category="All",G1632=sel_Category),OR(sel_Product="All",H1632=sel_Product),AND(S1632&gt;=m_From,S1632&lt;=m_To)),1,0)</f>
        <v/>
      </c>
      <c r="W1632" s="36">
        <f>IF(AND(OR(sel_Region="All",C1632=sel_Region),OR(sel_Country="All",D1632=sel_Country),OR(sel_Customer="All",F1632=sel_Customer),OR(sel_Category="All",G1632=sel_Category),OR(sel_Product="All",H1632=sel_Product),AND(S1632&gt;=m_From,S1632&lt;=m_To)),1,0)</f>
        <v/>
      </c>
      <c r="X1632" s="36">
        <f>IF(AND(OR(sel_Region="All",C1632=sel_Region),OR(sel_Country="All",D1632=sel_Country),OR(sel_Channel="All",E1632=sel_Channel),OR(sel_Category="All",G1632=sel_Category),OR(sel_Product="All",H1632=sel_Product),AND(S1632&gt;=m_From,S1632&lt;=m_To)),1,0)</f>
        <v/>
      </c>
      <c r="Y1632" s="36">
        <f>IF(AND(OR(sel_Region="All",C1632=sel_Region),OR(sel_Country="All",D1632=sel_Country),OR(sel_Channel="All",E1632=sel_Channel),OR(sel_Customer="All",F1632=sel_Customer),OR(sel_Product="All",H1632=sel_Product),AND(S1632&gt;=m_From,S1632&lt;=m_To)),1,0)</f>
        <v/>
      </c>
      <c r="Z1632" s="36">
        <f>IF(AND(OR(sel_Region="All",C1632=sel_Region),OR(sel_Country="All",D1632=sel_Country),OR(sel_Channel="All",E1632=sel_Channel),OR(sel_Customer="All",F1632=sel_Customer),OR(sel_Category="All",G1632=sel_Category),AND(S1632&gt;=m_From,S1632&lt;=m_To)),1,0)</f>
        <v/>
      </c>
      <c r="AA1632" s="36">
        <f>IF(AND(OR(sel_Region="All",C1632=sel_Region),OR(sel_Country="All",D1632=sel_Country),OR(sel_Channel="All",E1632=sel_Channel),OR(sel_Customer="All",F1632=sel_Customer),OR(sel_Category="All",G1632=sel_Category),OR(sel_Product="All",H1632=sel_Product)),1,0)</f>
        <v/>
      </c>
    </row>
    <row r="1633">
      <c r="A1633" s="36" t="inlineStr">
        <is>
          <t>01564</t>
        </is>
      </c>
      <c r="B1633" s="44" t="n">
        <v>46246</v>
      </c>
      <c r="C1633" s="36" t="inlineStr">
        <is>
          <t>Western Europe</t>
        </is>
      </c>
      <c r="D1633" s="36" t="inlineStr">
        <is>
          <t>France</t>
        </is>
      </c>
      <c r="E1633" s="36" t="inlineStr">
        <is>
          <t>Online Store</t>
        </is>
      </c>
      <c r="F1633" s="36" t="inlineStr">
        <is>
          <t>New</t>
        </is>
      </c>
      <c r="G1633" s="36" t="inlineStr">
        <is>
          <t>Fitness</t>
        </is>
      </c>
      <c r="H1633" s="36" t="inlineStr">
        <is>
          <t>Training Mat</t>
        </is>
      </c>
      <c r="I1633" s="36" t="n">
        <v>2</v>
      </c>
      <c r="J1633" s="39" t="n">
        <v>51.84</v>
      </c>
      <c r="K1633" s="45" t="n">
        <v>0</v>
      </c>
      <c r="L1633" s="39" t="n">
        <v>21.62</v>
      </c>
      <c r="M1633" s="39">
        <f>I1633*J1633*(1-K1633)</f>
        <v/>
      </c>
      <c r="N1633" s="39">
        <f>I1633*L1633</f>
        <v/>
      </c>
      <c r="O1633" s="39">
        <f>M1633-N1633</f>
        <v/>
      </c>
      <c r="P1633" s="38">
        <f>IF(M1633=0,0,O1633/M1633)</f>
        <v/>
      </c>
      <c r="Q1633" s="36">
        <f>YEAR(B1633)</f>
        <v/>
      </c>
      <c r="R1633" s="36">
        <f>"Q"&amp;ROUNDUP(MONTH(B1633)/3,0)</f>
        <v/>
      </c>
      <c r="S1633" s="36">
        <f>MONTH(B1633)</f>
        <v/>
      </c>
      <c r="T1633" s="36">
        <f>TEXT(B1633,"mmm")</f>
        <v/>
      </c>
      <c r="U1633" s="36">
        <f>IF(AND(OR(sel_Region="All",C1633=sel_Region),OR(sel_Country="All",D1633=sel_Country),OR(sel_Channel="All",E1633=sel_Channel),OR(sel_Customer="All",F1633=sel_Customer),OR(sel_Category="All",G1633=sel_Category),OR(sel_Product="All",H1633=sel_Product),AND(S1633&gt;=m_From,S1633&lt;=m_To)),1,0)</f>
        <v/>
      </c>
      <c r="V1633" s="36">
        <f>IF(AND(OR(sel_Region="All",C1633=sel_Region),OR(sel_Channel="All",E1633=sel_Channel),OR(sel_Customer="All",F1633=sel_Customer),OR(sel_Category="All",G1633=sel_Category),OR(sel_Product="All",H1633=sel_Product),AND(S1633&gt;=m_From,S1633&lt;=m_To)),1,0)</f>
        <v/>
      </c>
      <c r="W1633" s="36">
        <f>IF(AND(OR(sel_Region="All",C1633=sel_Region),OR(sel_Country="All",D1633=sel_Country),OR(sel_Customer="All",F1633=sel_Customer),OR(sel_Category="All",G1633=sel_Category),OR(sel_Product="All",H1633=sel_Product),AND(S1633&gt;=m_From,S1633&lt;=m_To)),1,0)</f>
        <v/>
      </c>
      <c r="X1633" s="36">
        <f>IF(AND(OR(sel_Region="All",C1633=sel_Region),OR(sel_Country="All",D1633=sel_Country),OR(sel_Channel="All",E1633=sel_Channel),OR(sel_Category="All",G1633=sel_Category),OR(sel_Product="All",H1633=sel_Product),AND(S1633&gt;=m_From,S1633&lt;=m_To)),1,0)</f>
        <v/>
      </c>
      <c r="Y1633" s="36">
        <f>IF(AND(OR(sel_Region="All",C1633=sel_Region),OR(sel_Country="All",D1633=sel_Country),OR(sel_Channel="All",E1633=sel_Channel),OR(sel_Customer="All",F1633=sel_Customer),OR(sel_Product="All",H1633=sel_Product),AND(S1633&gt;=m_From,S1633&lt;=m_To)),1,0)</f>
        <v/>
      </c>
      <c r="Z1633" s="36">
        <f>IF(AND(OR(sel_Region="All",C1633=sel_Region),OR(sel_Country="All",D1633=sel_Country),OR(sel_Channel="All",E1633=sel_Channel),OR(sel_Customer="All",F1633=sel_Customer),OR(sel_Category="All",G1633=sel_Category),AND(S1633&gt;=m_From,S1633&lt;=m_To)),1,0)</f>
        <v/>
      </c>
      <c r="AA1633" s="36">
        <f>IF(AND(OR(sel_Region="All",C1633=sel_Region),OR(sel_Country="All",D1633=sel_Country),OR(sel_Channel="All",E1633=sel_Channel),OR(sel_Customer="All",F1633=sel_Customer),OR(sel_Category="All",G1633=sel_Category),OR(sel_Product="All",H1633=sel_Product)),1,0)</f>
        <v/>
      </c>
    </row>
    <row r="1634">
      <c r="A1634" s="36" t="inlineStr">
        <is>
          <t>03712</t>
        </is>
      </c>
      <c r="B1634" s="44" t="n">
        <v>46246</v>
      </c>
      <c r="C1634" s="36" t="inlineStr">
        <is>
          <t>Western Europe</t>
        </is>
      </c>
      <c r="D1634" s="36" t="inlineStr">
        <is>
          <t>United Kingdom</t>
        </is>
      </c>
      <c r="E1634" s="36" t="inlineStr">
        <is>
          <t>Online Store</t>
        </is>
      </c>
      <c r="F1634" s="36" t="inlineStr">
        <is>
          <t>New</t>
        </is>
      </c>
      <c r="G1634" s="36" t="inlineStr">
        <is>
          <t>Cycling</t>
        </is>
      </c>
      <c r="H1634" s="36" t="inlineStr">
        <is>
          <t>Commuter Helmet</t>
        </is>
      </c>
      <c r="I1634" s="36" t="n">
        <v>3</v>
      </c>
      <c r="J1634" s="39" t="n">
        <v>82.31999999999999</v>
      </c>
      <c r="K1634" s="45" t="n">
        <v>0.15</v>
      </c>
      <c r="L1634" s="39" t="n">
        <v>41.95</v>
      </c>
      <c r="M1634" s="39">
        <f>I1634*J1634*(1-K1634)</f>
        <v/>
      </c>
      <c r="N1634" s="39">
        <f>I1634*L1634</f>
        <v/>
      </c>
      <c r="O1634" s="39">
        <f>M1634-N1634</f>
        <v/>
      </c>
      <c r="P1634" s="38">
        <f>IF(M1634=0,0,O1634/M1634)</f>
        <v/>
      </c>
      <c r="Q1634" s="36">
        <f>YEAR(B1634)</f>
        <v/>
      </c>
      <c r="R1634" s="36">
        <f>"Q"&amp;ROUNDUP(MONTH(B1634)/3,0)</f>
        <v/>
      </c>
      <c r="S1634" s="36">
        <f>MONTH(B1634)</f>
        <v/>
      </c>
      <c r="T1634" s="36">
        <f>TEXT(B1634,"mmm")</f>
        <v/>
      </c>
      <c r="U1634" s="36">
        <f>IF(AND(OR(sel_Region="All",C1634=sel_Region),OR(sel_Country="All",D1634=sel_Country),OR(sel_Channel="All",E1634=sel_Channel),OR(sel_Customer="All",F1634=sel_Customer),OR(sel_Category="All",G1634=sel_Category),OR(sel_Product="All",H1634=sel_Product),AND(S1634&gt;=m_From,S1634&lt;=m_To)),1,0)</f>
        <v/>
      </c>
      <c r="V1634" s="36">
        <f>IF(AND(OR(sel_Region="All",C1634=sel_Region),OR(sel_Channel="All",E1634=sel_Channel),OR(sel_Customer="All",F1634=sel_Customer),OR(sel_Category="All",G1634=sel_Category),OR(sel_Product="All",H1634=sel_Product),AND(S1634&gt;=m_From,S1634&lt;=m_To)),1,0)</f>
        <v/>
      </c>
      <c r="W1634" s="36">
        <f>IF(AND(OR(sel_Region="All",C1634=sel_Region),OR(sel_Country="All",D1634=sel_Country),OR(sel_Customer="All",F1634=sel_Customer),OR(sel_Category="All",G1634=sel_Category),OR(sel_Product="All",H1634=sel_Product),AND(S1634&gt;=m_From,S1634&lt;=m_To)),1,0)</f>
        <v/>
      </c>
      <c r="X1634" s="36">
        <f>IF(AND(OR(sel_Region="All",C1634=sel_Region),OR(sel_Country="All",D1634=sel_Country),OR(sel_Channel="All",E1634=sel_Channel),OR(sel_Category="All",G1634=sel_Category),OR(sel_Product="All",H1634=sel_Product),AND(S1634&gt;=m_From,S1634&lt;=m_To)),1,0)</f>
        <v/>
      </c>
      <c r="Y1634" s="36">
        <f>IF(AND(OR(sel_Region="All",C1634=sel_Region),OR(sel_Country="All",D1634=sel_Country),OR(sel_Channel="All",E1634=sel_Channel),OR(sel_Customer="All",F1634=sel_Customer),OR(sel_Product="All",H1634=sel_Product),AND(S1634&gt;=m_From,S1634&lt;=m_To)),1,0)</f>
        <v/>
      </c>
      <c r="Z1634" s="36">
        <f>IF(AND(OR(sel_Region="All",C1634=sel_Region),OR(sel_Country="All",D1634=sel_Country),OR(sel_Channel="All",E1634=sel_Channel),OR(sel_Customer="All",F1634=sel_Customer),OR(sel_Category="All",G1634=sel_Category),AND(S1634&gt;=m_From,S1634&lt;=m_To)),1,0)</f>
        <v/>
      </c>
      <c r="AA1634" s="36">
        <f>IF(AND(OR(sel_Region="All",C1634=sel_Region),OR(sel_Country="All",D1634=sel_Country),OR(sel_Channel="All",E1634=sel_Channel),OR(sel_Customer="All",F1634=sel_Customer),OR(sel_Category="All",G1634=sel_Category),OR(sel_Product="All",H1634=sel_Product)),1,0)</f>
        <v/>
      </c>
    </row>
    <row r="1635">
      <c r="A1635" s="36" t="inlineStr">
        <is>
          <t>00771</t>
        </is>
      </c>
      <c r="B1635" s="44" t="n">
        <v>46247</v>
      </c>
      <c r="C1635" s="36" t="inlineStr">
        <is>
          <t>Northern Europe</t>
        </is>
      </c>
      <c r="D1635" s="36" t="inlineStr">
        <is>
          <t>Denmark</t>
        </is>
      </c>
      <c r="E1635" s="36" t="inlineStr">
        <is>
          <t>Online Store</t>
        </is>
      </c>
      <c r="F1635" s="36" t="inlineStr">
        <is>
          <t>Returning</t>
        </is>
      </c>
      <c r="G1635" s="36" t="inlineStr">
        <is>
          <t>Hiking</t>
        </is>
      </c>
      <c r="H1635" s="36" t="inlineStr">
        <is>
          <t>Hiking Daypack 20L</t>
        </is>
      </c>
      <c r="I1635" s="36" t="n">
        <v>1</v>
      </c>
      <c r="J1635" s="39" t="n">
        <v>91.78</v>
      </c>
      <c r="K1635" s="45" t="n">
        <v>0</v>
      </c>
      <c r="L1635" s="39" t="n">
        <v>46.15</v>
      </c>
      <c r="M1635" s="39">
        <f>I1635*J1635*(1-K1635)</f>
        <v/>
      </c>
      <c r="N1635" s="39">
        <f>I1635*L1635</f>
        <v/>
      </c>
      <c r="O1635" s="39">
        <f>M1635-N1635</f>
        <v/>
      </c>
      <c r="P1635" s="38">
        <f>IF(M1635=0,0,O1635/M1635)</f>
        <v/>
      </c>
      <c r="Q1635" s="36">
        <f>YEAR(B1635)</f>
        <v/>
      </c>
      <c r="R1635" s="36">
        <f>"Q"&amp;ROUNDUP(MONTH(B1635)/3,0)</f>
        <v/>
      </c>
      <c r="S1635" s="36">
        <f>MONTH(B1635)</f>
        <v/>
      </c>
      <c r="T1635" s="36">
        <f>TEXT(B1635,"mmm")</f>
        <v/>
      </c>
      <c r="U1635" s="36">
        <f>IF(AND(OR(sel_Region="All",C1635=sel_Region),OR(sel_Country="All",D1635=sel_Country),OR(sel_Channel="All",E1635=sel_Channel),OR(sel_Customer="All",F1635=sel_Customer),OR(sel_Category="All",G1635=sel_Category),OR(sel_Product="All",H1635=sel_Product),AND(S1635&gt;=m_From,S1635&lt;=m_To)),1,0)</f>
        <v/>
      </c>
      <c r="V1635" s="36">
        <f>IF(AND(OR(sel_Region="All",C1635=sel_Region),OR(sel_Channel="All",E1635=sel_Channel),OR(sel_Customer="All",F1635=sel_Customer),OR(sel_Category="All",G1635=sel_Category),OR(sel_Product="All",H1635=sel_Product),AND(S1635&gt;=m_From,S1635&lt;=m_To)),1,0)</f>
        <v/>
      </c>
      <c r="W1635" s="36">
        <f>IF(AND(OR(sel_Region="All",C1635=sel_Region),OR(sel_Country="All",D1635=sel_Country),OR(sel_Customer="All",F1635=sel_Customer),OR(sel_Category="All",G1635=sel_Category),OR(sel_Product="All",H1635=sel_Product),AND(S1635&gt;=m_From,S1635&lt;=m_To)),1,0)</f>
        <v/>
      </c>
      <c r="X1635" s="36">
        <f>IF(AND(OR(sel_Region="All",C1635=sel_Region),OR(sel_Country="All",D1635=sel_Country),OR(sel_Channel="All",E1635=sel_Channel),OR(sel_Category="All",G1635=sel_Category),OR(sel_Product="All",H1635=sel_Product),AND(S1635&gt;=m_From,S1635&lt;=m_To)),1,0)</f>
        <v/>
      </c>
      <c r="Y1635" s="36">
        <f>IF(AND(OR(sel_Region="All",C1635=sel_Region),OR(sel_Country="All",D1635=sel_Country),OR(sel_Channel="All",E1635=sel_Channel),OR(sel_Customer="All",F1635=sel_Customer),OR(sel_Product="All",H1635=sel_Product),AND(S1635&gt;=m_From,S1635&lt;=m_To)),1,0)</f>
        <v/>
      </c>
      <c r="Z1635" s="36">
        <f>IF(AND(OR(sel_Region="All",C1635=sel_Region),OR(sel_Country="All",D1635=sel_Country),OR(sel_Channel="All",E1635=sel_Channel),OR(sel_Customer="All",F1635=sel_Customer),OR(sel_Category="All",G1635=sel_Category),AND(S1635&gt;=m_From,S1635&lt;=m_To)),1,0)</f>
        <v/>
      </c>
      <c r="AA1635" s="36">
        <f>IF(AND(OR(sel_Region="All",C1635=sel_Region),OR(sel_Country="All",D1635=sel_Country),OR(sel_Channel="All",E1635=sel_Channel),OR(sel_Customer="All",F1635=sel_Customer),OR(sel_Category="All",G1635=sel_Category),OR(sel_Product="All",H1635=sel_Product)),1,0)</f>
        <v/>
      </c>
    </row>
    <row r="1636">
      <c r="A1636" s="36" t="inlineStr">
        <is>
          <t>02749</t>
        </is>
      </c>
      <c r="B1636" s="44" t="n">
        <v>46247</v>
      </c>
      <c r="C1636" s="36" t="inlineStr">
        <is>
          <t>Central Europe</t>
        </is>
      </c>
      <c r="D1636" s="36" t="inlineStr">
        <is>
          <t>Poland</t>
        </is>
      </c>
      <c r="E1636" s="36" t="inlineStr">
        <is>
          <t>Online Store</t>
        </is>
      </c>
      <c r="F1636" s="36" t="inlineStr">
        <is>
          <t>Business</t>
        </is>
      </c>
      <c r="G1636" s="36" t="inlineStr">
        <is>
          <t>Hiking</t>
        </is>
      </c>
      <c r="H1636" s="36" t="inlineStr">
        <is>
          <t>Hiking Daypack 20L</t>
        </is>
      </c>
      <c r="I1636" s="36" t="n">
        <v>2</v>
      </c>
      <c r="J1636" s="39" t="n">
        <v>93.13</v>
      </c>
      <c r="K1636" s="45" t="n">
        <v>0</v>
      </c>
      <c r="L1636" s="39" t="n">
        <v>45.68</v>
      </c>
      <c r="M1636" s="39">
        <f>I1636*J1636*(1-K1636)</f>
        <v/>
      </c>
      <c r="N1636" s="39">
        <f>I1636*L1636</f>
        <v/>
      </c>
      <c r="O1636" s="39">
        <f>M1636-N1636</f>
        <v/>
      </c>
      <c r="P1636" s="38">
        <f>IF(M1636=0,0,O1636/M1636)</f>
        <v/>
      </c>
      <c r="Q1636" s="36">
        <f>YEAR(B1636)</f>
        <v/>
      </c>
      <c r="R1636" s="36">
        <f>"Q"&amp;ROUNDUP(MONTH(B1636)/3,0)</f>
        <v/>
      </c>
      <c r="S1636" s="36">
        <f>MONTH(B1636)</f>
        <v/>
      </c>
      <c r="T1636" s="36">
        <f>TEXT(B1636,"mmm")</f>
        <v/>
      </c>
      <c r="U1636" s="36">
        <f>IF(AND(OR(sel_Region="All",C1636=sel_Region),OR(sel_Country="All",D1636=sel_Country),OR(sel_Channel="All",E1636=sel_Channel),OR(sel_Customer="All",F1636=sel_Customer),OR(sel_Category="All",G1636=sel_Category),OR(sel_Product="All",H1636=sel_Product),AND(S1636&gt;=m_From,S1636&lt;=m_To)),1,0)</f>
        <v/>
      </c>
      <c r="V1636" s="36">
        <f>IF(AND(OR(sel_Region="All",C1636=sel_Region),OR(sel_Channel="All",E1636=sel_Channel),OR(sel_Customer="All",F1636=sel_Customer),OR(sel_Category="All",G1636=sel_Category),OR(sel_Product="All",H1636=sel_Product),AND(S1636&gt;=m_From,S1636&lt;=m_To)),1,0)</f>
        <v/>
      </c>
      <c r="W1636" s="36">
        <f>IF(AND(OR(sel_Region="All",C1636=sel_Region),OR(sel_Country="All",D1636=sel_Country),OR(sel_Customer="All",F1636=sel_Customer),OR(sel_Category="All",G1636=sel_Category),OR(sel_Product="All",H1636=sel_Product),AND(S1636&gt;=m_From,S1636&lt;=m_To)),1,0)</f>
        <v/>
      </c>
      <c r="X1636" s="36">
        <f>IF(AND(OR(sel_Region="All",C1636=sel_Region),OR(sel_Country="All",D1636=sel_Country),OR(sel_Channel="All",E1636=sel_Channel),OR(sel_Category="All",G1636=sel_Category),OR(sel_Product="All",H1636=sel_Product),AND(S1636&gt;=m_From,S1636&lt;=m_To)),1,0)</f>
        <v/>
      </c>
      <c r="Y1636" s="36">
        <f>IF(AND(OR(sel_Region="All",C1636=sel_Region),OR(sel_Country="All",D1636=sel_Country),OR(sel_Channel="All",E1636=sel_Channel),OR(sel_Customer="All",F1636=sel_Customer),OR(sel_Product="All",H1636=sel_Product),AND(S1636&gt;=m_From,S1636&lt;=m_To)),1,0)</f>
        <v/>
      </c>
      <c r="Z1636" s="36">
        <f>IF(AND(OR(sel_Region="All",C1636=sel_Region),OR(sel_Country="All",D1636=sel_Country),OR(sel_Channel="All",E1636=sel_Channel),OR(sel_Customer="All",F1636=sel_Customer),OR(sel_Category="All",G1636=sel_Category),AND(S1636&gt;=m_From,S1636&lt;=m_To)),1,0)</f>
        <v/>
      </c>
      <c r="AA1636" s="36">
        <f>IF(AND(OR(sel_Region="All",C1636=sel_Region),OR(sel_Country="All",D1636=sel_Country),OR(sel_Channel="All",E1636=sel_Channel),OR(sel_Customer="All",F1636=sel_Customer),OR(sel_Category="All",G1636=sel_Category),OR(sel_Product="All",H1636=sel_Product)),1,0)</f>
        <v/>
      </c>
    </row>
    <row r="1637">
      <c r="A1637" s="36" t="inlineStr">
        <is>
          <t>04252</t>
        </is>
      </c>
      <c r="B1637" s="44" t="n">
        <v>46247</v>
      </c>
      <c r="C1637" s="36" t="inlineStr">
        <is>
          <t>Central Europe</t>
        </is>
      </c>
      <c r="D1637" s="36" t="inlineStr">
        <is>
          <t>Germany</t>
        </is>
      </c>
      <c r="E1637" s="36" t="inlineStr">
        <is>
          <t>Online Store</t>
        </is>
      </c>
      <c r="F1637" s="36" t="inlineStr">
        <is>
          <t>Returning</t>
        </is>
      </c>
      <c r="G1637" s="36" t="inlineStr">
        <is>
          <t>Travel</t>
        </is>
      </c>
      <c r="H1637" s="36" t="inlineStr">
        <is>
          <t>Insulated Bottle</t>
        </is>
      </c>
      <c r="I1637" s="36" t="n">
        <v>1</v>
      </c>
      <c r="J1637" s="39" t="n">
        <v>36.67</v>
      </c>
      <c r="K1637" s="45" t="n">
        <v>0.1</v>
      </c>
      <c r="L1637" s="39" t="n">
        <v>13.18</v>
      </c>
      <c r="M1637" s="39">
        <f>I1637*J1637*(1-K1637)</f>
        <v/>
      </c>
      <c r="N1637" s="39">
        <f>I1637*L1637</f>
        <v/>
      </c>
      <c r="O1637" s="39">
        <f>M1637-N1637</f>
        <v/>
      </c>
      <c r="P1637" s="38">
        <f>IF(M1637=0,0,O1637/M1637)</f>
        <v/>
      </c>
      <c r="Q1637" s="36">
        <f>YEAR(B1637)</f>
        <v/>
      </c>
      <c r="R1637" s="36">
        <f>"Q"&amp;ROUNDUP(MONTH(B1637)/3,0)</f>
        <v/>
      </c>
      <c r="S1637" s="36">
        <f>MONTH(B1637)</f>
        <v/>
      </c>
      <c r="T1637" s="36">
        <f>TEXT(B1637,"mmm")</f>
        <v/>
      </c>
      <c r="U1637" s="36">
        <f>IF(AND(OR(sel_Region="All",C1637=sel_Region),OR(sel_Country="All",D1637=sel_Country),OR(sel_Channel="All",E1637=sel_Channel),OR(sel_Customer="All",F1637=sel_Customer),OR(sel_Category="All",G1637=sel_Category),OR(sel_Product="All",H1637=sel_Product),AND(S1637&gt;=m_From,S1637&lt;=m_To)),1,0)</f>
        <v/>
      </c>
      <c r="V1637" s="36">
        <f>IF(AND(OR(sel_Region="All",C1637=sel_Region),OR(sel_Channel="All",E1637=sel_Channel),OR(sel_Customer="All",F1637=sel_Customer),OR(sel_Category="All",G1637=sel_Category),OR(sel_Product="All",H1637=sel_Product),AND(S1637&gt;=m_From,S1637&lt;=m_To)),1,0)</f>
        <v/>
      </c>
      <c r="W1637" s="36">
        <f>IF(AND(OR(sel_Region="All",C1637=sel_Region),OR(sel_Country="All",D1637=sel_Country),OR(sel_Customer="All",F1637=sel_Customer),OR(sel_Category="All",G1637=sel_Category),OR(sel_Product="All",H1637=sel_Product),AND(S1637&gt;=m_From,S1637&lt;=m_To)),1,0)</f>
        <v/>
      </c>
      <c r="X1637" s="36">
        <f>IF(AND(OR(sel_Region="All",C1637=sel_Region),OR(sel_Country="All",D1637=sel_Country),OR(sel_Channel="All",E1637=sel_Channel),OR(sel_Category="All",G1637=sel_Category),OR(sel_Product="All",H1637=sel_Product),AND(S1637&gt;=m_From,S1637&lt;=m_To)),1,0)</f>
        <v/>
      </c>
      <c r="Y1637" s="36">
        <f>IF(AND(OR(sel_Region="All",C1637=sel_Region),OR(sel_Country="All",D1637=sel_Country),OR(sel_Channel="All",E1637=sel_Channel),OR(sel_Customer="All",F1637=sel_Customer),OR(sel_Product="All",H1637=sel_Product),AND(S1637&gt;=m_From,S1637&lt;=m_To)),1,0)</f>
        <v/>
      </c>
      <c r="Z1637" s="36">
        <f>IF(AND(OR(sel_Region="All",C1637=sel_Region),OR(sel_Country="All",D1637=sel_Country),OR(sel_Channel="All",E1637=sel_Channel),OR(sel_Customer="All",F1637=sel_Customer),OR(sel_Category="All",G1637=sel_Category),AND(S1637&gt;=m_From,S1637&lt;=m_To)),1,0)</f>
        <v/>
      </c>
      <c r="AA1637" s="36">
        <f>IF(AND(OR(sel_Region="All",C1637=sel_Region),OR(sel_Country="All",D1637=sel_Country),OR(sel_Channel="All",E1637=sel_Channel),OR(sel_Customer="All",F1637=sel_Customer),OR(sel_Category="All",G1637=sel_Category),OR(sel_Product="All",H1637=sel_Product)),1,0)</f>
        <v/>
      </c>
    </row>
    <row r="1638">
      <c r="A1638" s="36" t="inlineStr">
        <is>
          <t>04665</t>
        </is>
      </c>
      <c r="B1638" s="44" t="n">
        <v>46247</v>
      </c>
      <c r="C1638" s="36" t="inlineStr">
        <is>
          <t>Western Europe</t>
        </is>
      </c>
      <c r="D1638" s="36" t="inlineStr">
        <is>
          <t>United Kingdom</t>
        </is>
      </c>
      <c r="E1638" s="36" t="inlineStr">
        <is>
          <t>Corporate</t>
        </is>
      </c>
      <c r="F1638" s="36" t="inlineStr">
        <is>
          <t>Returning</t>
        </is>
      </c>
      <c r="G1638" s="36" t="inlineStr">
        <is>
          <t>Fitness</t>
        </is>
      </c>
      <c r="H1638" s="36" t="inlineStr">
        <is>
          <t>Training Mat</t>
        </is>
      </c>
      <c r="I1638" s="36" t="n">
        <v>4</v>
      </c>
      <c r="J1638" s="39" t="n">
        <v>51.25</v>
      </c>
      <c r="K1638" s="45" t="n">
        <v>0.1</v>
      </c>
      <c r="L1638" s="39" t="n">
        <v>21.77</v>
      </c>
      <c r="M1638" s="39">
        <f>I1638*J1638*(1-K1638)</f>
        <v/>
      </c>
      <c r="N1638" s="39">
        <f>I1638*L1638</f>
        <v/>
      </c>
      <c r="O1638" s="39">
        <f>M1638-N1638</f>
        <v/>
      </c>
      <c r="P1638" s="38">
        <f>IF(M1638=0,0,O1638/M1638)</f>
        <v/>
      </c>
      <c r="Q1638" s="36">
        <f>YEAR(B1638)</f>
        <v/>
      </c>
      <c r="R1638" s="36">
        <f>"Q"&amp;ROUNDUP(MONTH(B1638)/3,0)</f>
        <v/>
      </c>
      <c r="S1638" s="36">
        <f>MONTH(B1638)</f>
        <v/>
      </c>
      <c r="T1638" s="36">
        <f>TEXT(B1638,"mmm")</f>
        <v/>
      </c>
      <c r="U1638" s="36">
        <f>IF(AND(OR(sel_Region="All",C1638=sel_Region),OR(sel_Country="All",D1638=sel_Country),OR(sel_Channel="All",E1638=sel_Channel),OR(sel_Customer="All",F1638=sel_Customer),OR(sel_Category="All",G1638=sel_Category),OR(sel_Product="All",H1638=sel_Product),AND(S1638&gt;=m_From,S1638&lt;=m_To)),1,0)</f>
        <v/>
      </c>
      <c r="V1638" s="36">
        <f>IF(AND(OR(sel_Region="All",C1638=sel_Region),OR(sel_Channel="All",E1638=sel_Channel),OR(sel_Customer="All",F1638=sel_Customer),OR(sel_Category="All",G1638=sel_Category),OR(sel_Product="All",H1638=sel_Product),AND(S1638&gt;=m_From,S1638&lt;=m_To)),1,0)</f>
        <v/>
      </c>
      <c r="W1638" s="36">
        <f>IF(AND(OR(sel_Region="All",C1638=sel_Region),OR(sel_Country="All",D1638=sel_Country),OR(sel_Customer="All",F1638=sel_Customer),OR(sel_Category="All",G1638=sel_Category),OR(sel_Product="All",H1638=sel_Product),AND(S1638&gt;=m_From,S1638&lt;=m_To)),1,0)</f>
        <v/>
      </c>
      <c r="X1638" s="36">
        <f>IF(AND(OR(sel_Region="All",C1638=sel_Region),OR(sel_Country="All",D1638=sel_Country),OR(sel_Channel="All",E1638=sel_Channel),OR(sel_Category="All",G1638=sel_Category),OR(sel_Product="All",H1638=sel_Product),AND(S1638&gt;=m_From,S1638&lt;=m_To)),1,0)</f>
        <v/>
      </c>
      <c r="Y1638" s="36">
        <f>IF(AND(OR(sel_Region="All",C1638=sel_Region),OR(sel_Country="All",D1638=sel_Country),OR(sel_Channel="All",E1638=sel_Channel),OR(sel_Customer="All",F1638=sel_Customer),OR(sel_Product="All",H1638=sel_Product),AND(S1638&gt;=m_From,S1638&lt;=m_To)),1,0)</f>
        <v/>
      </c>
      <c r="Z1638" s="36">
        <f>IF(AND(OR(sel_Region="All",C1638=sel_Region),OR(sel_Country="All",D1638=sel_Country),OR(sel_Channel="All",E1638=sel_Channel),OR(sel_Customer="All",F1638=sel_Customer),OR(sel_Category="All",G1638=sel_Category),AND(S1638&gt;=m_From,S1638&lt;=m_To)),1,0)</f>
        <v/>
      </c>
      <c r="AA1638" s="36">
        <f>IF(AND(OR(sel_Region="All",C1638=sel_Region),OR(sel_Country="All",D1638=sel_Country),OR(sel_Channel="All",E1638=sel_Channel),OR(sel_Customer="All",F1638=sel_Customer),OR(sel_Category="All",G1638=sel_Category),OR(sel_Product="All",H1638=sel_Product)),1,0)</f>
        <v/>
      </c>
    </row>
    <row r="1639">
      <c r="A1639" s="36" t="inlineStr">
        <is>
          <t>04767</t>
        </is>
      </c>
      <c r="B1639" s="44" t="n">
        <v>46247</v>
      </c>
      <c r="C1639" s="36" t="inlineStr">
        <is>
          <t>Western Europe</t>
        </is>
      </c>
      <c r="D1639" s="36" t="inlineStr">
        <is>
          <t>United Kingdom</t>
        </is>
      </c>
      <c r="E1639" s="36" t="inlineStr">
        <is>
          <t>Marketplace</t>
        </is>
      </c>
      <c r="F1639" s="36" t="inlineStr">
        <is>
          <t>Business</t>
        </is>
      </c>
      <c r="G1639" s="36" t="inlineStr">
        <is>
          <t>Fitness</t>
        </is>
      </c>
      <c r="H1639" s="36" t="inlineStr">
        <is>
          <t>Resistance Band Set</t>
        </is>
      </c>
      <c r="I1639" s="36" t="n">
        <v>1</v>
      </c>
      <c r="J1639" s="39" t="n">
        <v>39.61</v>
      </c>
      <c r="K1639" s="45" t="n">
        <v>0.1</v>
      </c>
      <c r="L1639" s="39" t="n">
        <v>14.85</v>
      </c>
      <c r="M1639" s="39">
        <f>I1639*J1639*(1-K1639)</f>
        <v/>
      </c>
      <c r="N1639" s="39">
        <f>I1639*L1639</f>
        <v/>
      </c>
      <c r="O1639" s="39">
        <f>M1639-N1639</f>
        <v/>
      </c>
      <c r="P1639" s="38">
        <f>IF(M1639=0,0,O1639/M1639)</f>
        <v/>
      </c>
      <c r="Q1639" s="36">
        <f>YEAR(B1639)</f>
        <v/>
      </c>
      <c r="R1639" s="36">
        <f>"Q"&amp;ROUNDUP(MONTH(B1639)/3,0)</f>
        <v/>
      </c>
      <c r="S1639" s="36">
        <f>MONTH(B1639)</f>
        <v/>
      </c>
      <c r="T1639" s="36">
        <f>TEXT(B1639,"mmm")</f>
        <v/>
      </c>
      <c r="U1639" s="36">
        <f>IF(AND(OR(sel_Region="All",C1639=sel_Region),OR(sel_Country="All",D1639=sel_Country),OR(sel_Channel="All",E1639=sel_Channel),OR(sel_Customer="All",F1639=sel_Customer),OR(sel_Category="All",G1639=sel_Category),OR(sel_Product="All",H1639=sel_Product),AND(S1639&gt;=m_From,S1639&lt;=m_To)),1,0)</f>
        <v/>
      </c>
      <c r="V1639" s="36">
        <f>IF(AND(OR(sel_Region="All",C1639=sel_Region),OR(sel_Channel="All",E1639=sel_Channel),OR(sel_Customer="All",F1639=sel_Customer),OR(sel_Category="All",G1639=sel_Category),OR(sel_Product="All",H1639=sel_Product),AND(S1639&gt;=m_From,S1639&lt;=m_To)),1,0)</f>
        <v/>
      </c>
      <c r="W1639" s="36">
        <f>IF(AND(OR(sel_Region="All",C1639=sel_Region),OR(sel_Country="All",D1639=sel_Country),OR(sel_Customer="All",F1639=sel_Customer),OR(sel_Category="All",G1639=sel_Category),OR(sel_Product="All",H1639=sel_Product),AND(S1639&gt;=m_From,S1639&lt;=m_To)),1,0)</f>
        <v/>
      </c>
      <c r="X1639" s="36">
        <f>IF(AND(OR(sel_Region="All",C1639=sel_Region),OR(sel_Country="All",D1639=sel_Country),OR(sel_Channel="All",E1639=sel_Channel),OR(sel_Category="All",G1639=sel_Category),OR(sel_Product="All",H1639=sel_Product),AND(S1639&gt;=m_From,S1639&lt;=m_To)),1,0)</f>
        <v/>
      </c>
      <c r="Y1639" s="36">
        <f>IF(AND(OR(sel_Region="All",C1639=sel_Region),OR(sel_Country="All",D1639=sel_Country),OR(sel_Channel="All",E1639=sel_Channel),OR(sel_Customer="All",F1639=sel_Customer),OR(sel_Product="All",H1639=sel_Product),AND(S1639&gt;=m_From,S1639&lt;=m_To)),1,0)</f>
        <v/>
      </c>
      <c r="Z1639" s="36">
        <f>IF(AND(OR(sel_Region="All",C1639=sel_Region),OR(sel_Country="All",D1639=sel_Country),OR(sel_Channel="All",E1639=sel_Channel),OR(sel_Customer="All",F1639=sel_Customer),OR(sel_Category="All",G1639=sel_Category),AND(S1639&gt;=m_From,S1639&lt;=m_To)),1,0)</f>
        <v/>
      </c>
      <c r="AA1639" s="36">
        <f>IF(AND(OR(sel_Region="All",C1639=sel_Region),OR(sel_Country="All",D1639=sel_Country),OR(sel_Channel="All",E1639=sel_Channel),OR(sel_Customer="All",F1639=sel_Customer),OR(sel_Category="All",G1639=sel_Category),OR(sel_Product="All",H1639=sel_Product)),1,0)</f>
        <v/>
      </c>
    </row>
    <row r="1640">
      <c r="A1640" s="36" t="inlineStr">
        <is>
          <t>04832</t>
        </is>
      </c>
      <c r="B1640" s="44" t="n">
        <v>46247</v>
      </c>
      <c r="C1640" s="36" t="inlineStr">
        <is>
          <t>Southern Europe</t>
        </is>
      </c>
      <c r="D1640" s="36" t="inlineStr">
        <is>
          <t>Italy</t>
        </is>
      </c>
      <c r="E1640" s="36" t="inlineStr">
        <is>
          <t>Marketplace</t>
        </is>
      </c>
      <c r="F1640" s="36" t="inlineStr">
        <is>
          <t>Returning</t>
        </is>
      </c>
      <c r="G1640" s="36" t="inlineStr">
        <is>
          <t>Cycling</t>
        </is>
      </c>
      <c r="H1640" s="36" t="inlineStr">
        <is>
          <t>Commuter Helmet</t>
        </is>
      </c>
      <c r="I1640" s="36" t="n">
        <v>2</v>
      </c>
      <c r="J1640" s="39" t="n">
        <v>81.59</v>
      </c>
      <c r="K1640" s="45" t="n">
        <v>0.15</v>
      </c>
      <c r="L1640" s="39" t="n">
        <v>43.9</v>
      </c>
      <c r="M1640" s="39">
        <f>I1640*J1640*(1-K1640)</f>
        <v/>
      </c>
      <c r="N1640" s="39">
        <f>I1640*L1640</f>
        <v/>
      </c>
      <c r="O1640" s="39">
        <f>M1640-N1640</f>
        <v/>
      </c>
      <c r="P1640" s="38">
        <f>IF(M1640=0,0,O1640/M1640)</f>
        <v/>
      </c>
      <c r="Q1640" s="36">
        <f>YEAR(B1640)</f>
        <v/>
      </c>
      <c r="R1640" s="36">
        <f>"Q"&amp;ROUNDUP(MONTH(B1640)/3,0)</f>
        <v/>
      </c>
      <c r="S1640" s="36">
        <f>MONTH(B1640)</f>
        <v/>
      </c>
      <c r="T1640" s="36">
        <f>TEXT(B1640,"mmm")</f>
        <v/>
      </c>
      <c r="U1640" s="36">
        <f>IF(AND(OR(sel_Region="All",C1640=sel_Region),OR(sel_Country="All",D1640=sel_Country),OR(sel_Channel="All",E1640=sel_Channel),OR(sel_Customer="All",F1640=sel_Customer),OR(sel_Category="All",G1640=sel_Category),OR(sel_Product="All",H1640=sel_Product),AND(S1640&gt;=m_From,S1640&lt;=m_To)),1,0)</f>
        <v/>
      </c>
      <c r="V1640" s="36">
        <f>IF(AND(OR(sel_Region="All",C1640=sel_Region),OR(sel_Channel="All",E1640=sel_Channel),OR(sel_Customer="All",F1640=sel_Customer),OR(sel_Category="All",G1640=sel_Category),OR(sel_Product="All",H1640=sel_Product),AND(S1640&gt;=m_From,S1640&lt;=m_To)),1,0)</f>
        <v/>
      </c>
      <c r="W1640" s="36">
        <f>IF(AND(OR(sel_Region="All",C1640=sel_Region),OR(sel_Country="All",D1640=sel_Country),OR(sel_Customer="All",F1640=sel_Customer),OR(sel_Category="All",G1640=sel_Category),OR(sel_Product="All",H1640=sel_Product),AND(S1640&gt;=m_From,S1640&lt;=m_To)),1,0)</f>
        <v/>
      </c>
      <c r="X1640" s="36">
        <f>IF(AND(OR(sel_Region="All",C1640=sel_Region),OR(sel_Country="All",D1640=sel_Country),OR(sel_Channel="All",E1640=sel_Channel),OR(sel_Category="All",G1640=sel_Category),OR(sel_Product="All",H1640=sel_Product),AND(S1640&gt;=m_From,S1640&lt;=m_To)),1,0)</f>
        <v/>
      </c>
      <c r="Y1640" s="36">
        <f>IF(AND(OR(sel_Region="All",C1640=sel_Region),OR(sel_Country="All",D1640=sel_Country),OR(sel_Channel="All",E1640=sel_Channel),OR(sel_Customer="All",F1640=sel_Customer),OR(sel_Product="All",H1640=sel_Product),AND(S1640&gt;=m_From,S1640&lt;=m_To)),1,0)</f>
        <v/>
      </c>
      <c r="Z1640" s="36">
        <f>IF(AND(OR(sel_Region="All",C1640=sel_Region),OR(sel_Country="All",D1640=sel_Country),OR(sel_Channel="All",E1640=sel_Channel),OR(sel_Customer="All",F1640=sel_Customer),OR(sel_Category="All",G1640=sel_Category),AND(S1640&gt;=m_From,S1640&lt;=m_To)),1,0)</f>
        <v/>
      </c>
      <c r="AA1640" s="36">
        <f>IF(AND(OR(sel_Region="All",C1640=sel_Region),OR(sel_Country="All",D1640=sel_Country),OR(sel_Channel="All",E1640=sel_Channel),OR(sel_Customer="All",F1640=sel_Customer),OR(sel_Category="All",G1640=sel_Category),OR(sel_Product="All",H1640=sel_Product)),1,0)</f>
        <v/>
      </c>
    </row>
    <row r="1641">
      <c r="A1641" s="36" t="inlineStr">
        <is>
          <t>00747</t>
        </is>
      </c>
      <c r="B1641" s="44" t="n">
        <v>46248</v>
      </c>
      <c r="C1641" s="36" t="inlineStr">
        <is>
          <t>Central Europe</t>
        </is>
      </c>
      <c r="D1641" s="36" t="inlineStr">
        <is>
          <t>Czechia</t>
        </is>
      </c>
      <c r="E1641" s="36" t="inlineStr">
        <is>
          <t>Retail Partners</t>
        </is>
      </c>
      <c r="F1641" s="36" t="inlineStr">
        <is>
          <t>New</t>
        </is>
      </c>
      <c r="G1641" s="36" t="inlineStr">
        <is>
          <t>Fitness</t>
        </is>
      </c>
      <c r="H1641" s="36" t="inlineStr">
        <is>
          <t>Weighted Vest</t>
        </is>
      </c>
      <c r="I1641" s="36" t="n">
        <v>3</v>
      </c>
      <c r="J1641" s="39" t="n">
        <v>122.96</v>
      </c>
      <c r="K1641" s="45" t="n">
        <v>0.1</v>
      </c>
      <c r="L1641" s="39" t="n">
        <v>67.62</v>
      </c>
      <c r="M1641" s="39">
        <f>I1641*J1641*(1-K1641)</f>
        <v/>
      </c>
      <c r="N1641" s="39">
        <f>I1641*L1641</f>
        <v/>
      </c>
      <c r="O1641" s="39">
        <f>M1641-N1641</f>
        <v/>
      </c>
      <c r="P1641" s="38">
        <f>IF(M1641=0,0,O1641/M1641)</f>
        <v/>
      </c>
      <c r="Q1641" s="36">
        <f>YEAR(B1641)</f>
        <v/>
      </c>
      <c r="R1641" s="36">
        <f>"Q"&amp;ROUNDUP(MONTH(B1641)/3,0)</f>
        <v/>
      </c>
      <c r="S1641" s="36">
        <f>MONTH(B1641)</f>
        <v/>
      </c>
      <c r="T1641" s="36">
        <f>TEXT(B1641,"mmm")</f>
        <v/>
      </c>
      <c r="U1641" s="36">
        <f>IF(AND(OR(sel_Region="All",C1641=sel_Region),OR(sel_Country="All",D1641=sel_Country),OR(sel_Channel="All",E1641=sel_Channel),OR(sel_Customer="All",F1641=sel_Customer),OR(sel_Category="All",G1641=sel_Category),OR(sel_Product="All",H1641=sel_Product),AND(S1641&gt;=m_From,S1641&lt;=m_To)),1,0)</f>
        <v/>
      </c>
      <c r="V1641" s="36">
        <f>IF(AND(OR(sel_Region="All",C1641=sel_Region),OR(sel_Channel="All",E1641=sel_Channel),OR(sel_Customer="All",F1641=sel_Customer),OR(sel_Category="All",G1641=sel_Category),OR(sel_Product="All",H1641=sel_Product),AND(S1641&gt;=m_From,S1641&lt;=m_To)),1,0)</f>
        <v/>
      </c>
      <c r="W1641" s="36">
        <f>IF(AND(OR(sel_Region="All",C1641=sel_Region),OR(sel_Country="All",D1641=sel_Country),OR(sel_Customer="All",F1641=sel_Customer),OR(sel_Category="All",G1641=sel_Category),OR(sel_Product="All",H1641=sel_Product),AND(S1641&gt;=m_From,S1641&lt;=m_To)),1,0)</f>
        <v/>
      </c>
      <c r="X1641" s="36">
        <f>IF(AND(OR(sel_Region="All",C1641=sel_Region),OR(sel_Country="All",D1641=sel_Country),OR(sel_Channel="All",E1641=sel_Channel),OR(sel_Category="All",G1641=sel_Category),OR(sel_Product="All",H1641=sel_Product),AND(S1641&gt;=m_From,S1641&lt;=m_To)),1,0)</f>
        <v/>
      </c>
      <c r="Y1641" s="36">
        <f>IF(AND(OR(sel_Region="All",C1641=sel_Region),OR(sel_Country="All",D1641=sel_Country),OR(sel_Channel="All",E1641=sel_Channel),OR(sel_Customer="All",F1641=sel_Customer),OR(sel_Product="All",H1641=sel_Product),AND(S1641&gt;=m_From,S1641&lt;=m_To)),1,0)</f>
        <v/>
      </c>
      <c r="Z1641" s="36">
        <f>IF(AND(OR(sel_Region="All",C1641=sel_Region),OR(sel_Country="All",D1641=sel_Country),OR(sel_Channel="All",E1641=sel_Channel),OR(sel_Customer="All",F1641=sel_Customer),OR(sel_Category="All",G1641=sel_Category),AND(S1641&gt;=m_From,S1641&lt;=m_To)),1,0)</f>
        <v/>
      </c>
      <c r="AA1641" s="36">
        <f>IF(AND(OR(sel_Region="All",C1641=sel_Region),OR(sel_Country="All",D1641=sel_Country),OR(sel_Channel="All",E1641=sel_Channel),OR(sel_Customer="All",F1641=sel_Customer),OR(sel_Category="All",G1641=sel_Category),OR(sel_Product="All",H1641=sel_Product)),1,0)</f>
        <v/>
      </c>
    </row>
    <row r="1642">
      <c r="A1642" s="36" t="inlineStr">
        <is>
          <t>02281</t>
        </is>
      </c>
      <c r="B1642" s="44" t="n">
        <v>46248</v>
      </c>
      <c r="C1642" s="36" t="inlineStr">
        <is>
          <t>Central Europe</t>
        </is>
      </c>
      <c r="D1642" s="36" t="inlineStr">
        <is>
          <t>Switzerland</t>
        </is>
      </c>
      <c r="E1642" s="36" t="inlineStr">
        <is>
          <t>Retail Partners</t>
        </is>
      </c>
      <c r="F1642" s="36" t="inlineStr">
        <is>
          <t>Returning</t>
        </is>
      </c>
      <c r="G1642" s="36" t="inlineStr">
        <is>
          <t>Hiking</t>
        </is>
      </c>
      <c r="H1642" s="36" t="inlineStr">
        <is>
          <t>Trekking Poles</t>
        </is>
      </c>
      <c r="I1642" s="36" t="n">
        <v>1</v>
      </c>
      <c r="J1642" s="39" t="n">
        <v>70.91</v>
      </c>
      <c r="K1642" s="45" t="n">
        <v>0</v>
      </c>
      <c r="L1642" s="39" t="n">
        <v>33.11</v>
      </c>
      <c r="M1642" s="39">
        <f>I1642*J1642*(1-K1642)</f>
        <v/>
      </c>
      <c r="N1642" s="39">
        <f>I1642*L1642</f>
        <v/>
      </c>
      <c r="O1642" s="39">
        <f>M1642-N1642</f>
        <v/>
      </c>
      <c r="P1642" s="38">
        <f>IF(M1642=0,0,O1642/M1642)</f>
        <v/>
      </c>
      <c r="Q1642" s="36">
        <f>YEAR(B1642)</f>
        <v/>
      </c>
      <c r="R1642" s="36">
        <f>"Q"&amp;ROUNDUP(MONTH(B1642)/3,0)</f>
        <v/>
      </c>
      <c r="S1642" s="36">
        <f>MONTH(B1642)</f>
        <v/>
      </c>
      <c r="T1642" s="36">
        <f>TEXT(B1642,"mmm")</f>
        <v/>
      </c>
      <c r="U1642" s="36">
        <f>IF(AND(OR(sel_Region="All",C1642=sel_Region),OR(sel_Country="All",D1642=sel_Country),OR(sel_Channel="All",E1642=sel_Channel),OR(sel_Customer="All",F1642=sel_Customer),OR(sel_Category="All",G1642=sel_Category),OR(sel_Product="All",H1642=sel_Product),AND(S1642&gt;=m_From,S1642&lt;=m_To)),1,0)</f>
        <v/>
      </c>
      <c r="V1642" s="36">
        <f>IF(AND(OR(sel_Region="All",C1642=sel_Region),OR(sel_Channel="All",E1642=sel_Channel),OR(sel_Customer="All",F1642=sel_Customer),OR(sel_Category="All",G1642=sel_Category),OR(sel_Product="All",H1642=sel_Product),AND(S1642&gt;=m_From,S1642&lt;=m_To)),1,0)</f>
        <v/>
      </c>
      <c r="W1642" s="36">
        <f>IF(AND(OR(sel_Region="All",C1642=sel_Region),OR(sel_Country="All",D1642=sel_Country),OR(sel_Customer="All",F1642=sel_Customer),OR(sel_Category="All",G1642=sel_Category),OR(sel_Product="All",H1642=sel_Product),AND(S1642&gt;=m_From,S1642&lt;=m_To)),1,0)</f>
        <v/>
      </c>
      <c r="X1642" s="36">
        <f>IF(AND(OR(sel_Region="All",C1642=sel_Region),OR(sel_Country="All",D1642=sel_Country),OR(sel_Channel="All",E1642=sel_Channel),OR(sel_Category="All",G1642=sel_Category),OR(sel_Product="All",H1642=sel_Product),AND(S1642&gt;=m_From,S1642&lt;=m_To)),1,0)</f>
        <v/>
      </c>
      <c r="Y1642" s="36">
        <f>IF(AND(OR(sel_Region="All",C1642=sel_Region),OR(sel_Country="All",D1642=sel_Country),OR(sel_Channel="All",E1642=sel_Channel),OR(sel_Customer="All",F1642=sel_Customer),OR(sel_Product="All",H1642=sel_Product),AND(S1642&gt;=m_From,S1642&lt;=m_To)),1,0)</f>
        <v/>
      </c>
      <c r="Z1642" s="36">
        <f>IF(AND(OR(sel_Region="All",C1642=sel_Region),OR(sel_Country="All",D1642=sel_Country),OR(sel_Channel="All",E1642=sel_Channel),OR(sel_Customer="All",F1642=sel_Customer),OR(sel_Category="All",G1642=sel_Category),AND(S1642&gt;=m_From,S1642&lt;=m_To)),1,0)</f>
        <v/>
      </c>
      <c r="AA1642" s="36">
        <f>IF(AND(OR(sel_Region="All",C1642=sel_Region),OR(sel_Country="All",D1642=sel_Country),OR(sel_Channel="All",E1642=sel_Channel),OR(sel_Customer="All",F1642=sel_Customer),OR(sel_Category="All",G1642=sel_Category),OR(sel_Product="All",H1642=sel_Product)),1,0)</f>
        <v/>
      </c>
    </row>
    <row r="1643">
      <c r="A1643" s="36" t="inlineStr">
        <is>
          <t>02414</t>
        </is>
      </c>
      <c r="B1643" s="44" t="n">
        <v>46248</v>
      </c>
      <c r="C1643" s="36" t="inlineStr">
        <is>
          <t>Central Europe</t>
        </is>
      </c>
      <c r="D1643" s="36" t="inlineStr">
        <is>
          <t>Austria</t>
        </is>
      </c>
      <c r="E1643" s="36" t="inlineStr">
        <is>
          <t>Corporate</t>
        </is>
      </c>
      <c r="F1643" s="36" t="inlineStr">
        <is>
          <t>Business</t>
        </is>
      </c>
      <c r="G1643" s="36" t="inlineStr">
        <is>
          <t>Cycling</t>
        </is>
      </c>
      <c r="H1643" s="36" t="inlineStr">
        <is>
          <t>Trail Bike Light</t>
        </is>
      </c>
      <c r="I1643" s="36" t="n">
        <v>6</v>
      </c>
      <c r="J1643" s="39" t="n">
        <v>50.94</v>
      </c>
      <c r="K1643" s="45" t="n">
        <v>0.1</v>
      </c>
      <c r="L1643" s="39" t="n">
        <v>22.76</v>
      </c>
      <c r="M1643" s="39">
        <f>I1643*J1643*(1-K1643)</f>
        <v/>
      </c>
      <c r="N1643" s="39">
        <f>I1643*L1643</f>
        <v/>
      </c>
      <c r="O1643" s="39">
        <f>M1643-N1643</f>
        <v/>
      </c>
      <c r="P1643" s="38">
        <f>IF(M1643=0,0,O1643/M1643)</f>
        <v/>
      </c>
      <c r="Q1643" s="36">
        <f>YEAR(B1643)</f>
        <v/>
      </c>
      <c r="R1643" s="36">
        <f>"Q"&amp;ROUNDUP(MONTH(B1643)/3,0)</f>
        <v/>
      </c>
      <c r="S1643" s="36">
        <f>MONTH(B1643)</f>
        <v/>
      </c>
      <c r="T1643" s="36">
        <f>TEXT(B1643,"mmm")</f>
        <v/>
      </c>
      <c r="U1643" s="36">
        <f>IF(AND(OR(sel_Region="All",C1643=sel_Region),OR(sel_Country="All",D1643=sel_Country),OR(sel_Channel="All",E1643=sel_Channel),OR(sel_Customer="All",F1643=sel_Customer),OR(sel_Category="All",G1643=sel_Category),OR(sel_Product="All",H1643=sel_Product),AND(S1643&gt;=m_From,S1643&lt;=m_To)),1,0)</f>
        <v/>
      </c>
      <c r="V1643" s="36">
        <f>IF(AND(OR(sel_Region="All",C1643=sel_Region),OR(sel_Channel="All",E1643=sel_Channel),OR(sel_Customer="All",F1643=sel_Customer),OR(sel_Category="All",G1643=sel_Category),OR(sel_Product="All",H1643=sel_Product),AND(S1643&gt;=m_From,S1643&lt;=m_To)),1,0)</f>
        <v/>
      </c>
      <c r="W1643" s="36">
        <f>IF(AND(OR(sel_Region="All",C1643=sel_Region),OR(sel_Country="All",D1643=sel_Country),OR(sel_Customer="All",F1643=sel_Customer),OR(sel_Category="All",G1643=sel_Category),OR(sel_Product="All",H1643=sel_Product),AND(S1643&gt;=m_From,S1643&lt;=m_To)),1,0)</f>
        <v/>
      </c>
      <c r="X1643" s="36">
        <f>IF(AND(OR(sel_Region="All",C1643=sel_Region),OR(sel_Country="All",D1643=sel_Country),OR(sel_Channel="All",E1643=sel_Channel),OR(sel_Category="All",G1643=sel_Category),OR(sel_Product="All",H1643=sel_Product),AND(S1643&gt;=m_From,S1643&lt;=m_To)),1,0)</f>
        <v/>
      </c>
      <c r="Y1643" s="36">
        <f>IF(AND(OR(sel_Region="All",C1643=sel_Region),OR(sel_Country="All",D1643=sel_Country),OR(sel_Channel="All",E1643=sel_Channel),OR(sel_Customer="All",F1643=sel_Customer),OR(sel_Product="All",H1643=sel_Product),AND(S1643&gt;=m_From,S1643&lt;=m_To)),1,0)</f>
        <v/>
      </c>
      <c r="Z1643" s="36">
        <f>IF(AND(OR(sel_Region="All",C1643=sel_Region),OR(sel_Country="All",D1643=sel_Country),OR(sel_Channel="All",E1643=sel_Channel),OR(sel_Customer="All",F1643=sel_Customer),OR(sel_Category="All",G1643=sel_Category),AND(S1643&gt;=m_From,S1643&lt;=m_To)),1,0)</f>
        <v/>
      </c>
      <c r="AA1643" s="36">
        <f>IF(AND(OR(sel_Region="All",C1643=sel_Region),OR(sel_Country="All",D1643=sel_Country),OR(sel_Channel="All",E1643=sel_Channel),OR(sel_Customer="All",F1643=sel_Customer),OR(sel_Category="All",G1643=sel_Category),OR(sel_Product="All",H1643=sel_Product)),1,0)</f>
        <v/>
      </c>
    </row>
    <row r="1644">
      <c r="A1644" s="36" t="inlineStr">
        <is>
          <t>03162</t>
        </is>
      </c>
      <c r="B1644" s="44" t="n">
        <v>46248</v>
      </c>
      <c r="C1644" s="36" t="inlineStr">
        <is>
          <t>Central Europe</t>
        </is>
      </c>
      <c r="D1644" s="36" t="inlineStr">
        <is>
          <t>Czechia</t>
        </is>
      </c>
      <c r="E1644" s="36" t="inlineStr">
        <is>
          <t>Online Store</t>
        </is>
      </c>
      <c r="F1644" s="36" t="inlineStr">
        <is>
          <t>New</t>
        </is>
      </c>
      <c r="G1644" s="36" t="inlineStr">
        <is>
          <t>Hiking</t>
        </is>
      </c>
      <c r="H1644" s="36" t="inlineStr">
        <is>
          <t>Trail Boots</t>
        </is>
      </c>
      <c r="I1644" s="36" t="n">
        <v>1</v>
      </c>
      <c r="J1644" s="39" t="n">
        <v>144.96</v>
      </c>
      <c r="K1644" s="45" t="n">
        <v>0.05</v>
      </c>
      <c r="L1644" s="39" t="n">
        <v>77.95999999999999</v>
      </c>
      <c r="M1644" s="39">
        <f>I1644*J1644*(1-K1644)</f>
        <v/>
      </c>
      <c r="N1644" s="39">
        <f>I1644*L1644</f>
        <v/>
      </c>
      <c r="O1644" s="39">
        <f>M1644-N1644</f>
        <v/>
      </c>
      <c r="P1644" s="38">
        <f>IF(M1644=0,0,O1644/M1644)</f>
        <v/>
      </c>
      <c r="Q1644" s="36">
        <f>YEAR(B1644)</f>
        <v/>
      </c>
      <c r="R1644" s="36">
        <f>"Q"&amp;ROUNDUP(MONTH(B1644)/3,0)</f>
        <v/>
      </c>
      <c r="S1644" s="36">
        <f>MONTH(B1644)</f>
        <v/>
      </c>
      <c r="T1644" s="36">
        <f>TEXT(B1644,"mmm")</f>
        <v/>
      </c>
      <c r="U1644" s="36">
        <f>IF(AND(OR(sel_Region="All",C1644=sel_Region),OR(sel_Country="All",D1644=sel_Country),OR(sel_Channel="All",E1644=sel_Channel),OR(sel_Customer="All",F1644=sel_Customer),OR(sel_Category="All",G1644=sel_Category),OR(sel_Product="All",H1644=sel_Product),AND(S1644&gt;=m_From,S1644&lt;=m_To)),1,0)</f>
        <v/>
      </c>
      <c r="V1644" s="36">
        <f>IF(AND(OR(sel_Region="All",C1644=sel_Region),OR(sel_Channel="All",E1644=sel_Channel),OR(sel_Customer="All",F1644=sel_Customer),OR(sel_Category="All",G1644=sel_Category),OR(sel_Product="All",H1644=sel_Product),AND(S1644&gt;=m_From,S1644&lt;=m_To)),1,0)</f>
        <v/>
      </c>
      <c r="W1644" s="36">
        <f>IF(AND(OR(sel_Region="All",C1644=sel_Region),OR(sel_Country="All",D1644=sel_Country),OR(sel_Customer="All",F1644=sel_Customer),OR(sel_Category="All",G1644=sel_Category),OR(sel_Product="All",H1644=sel_Product),AND(S1644&gt;=m_From,S1644&lt;=m_To)),1,0)</f>
        <v/>
      </c>
      <c r="X1644" s="36">
        <f>IF(AND(OR(sel_Region="All",C1644=sel_Region),OR(sel_Country="All",D1644=sel_Country),OR(sel_Channel="All",E1644=sel_Channel),OR(sel_Category="All",G1644=sel_Category),OR(sel_Product="All",H1644=sel_Product),AND(S1644&gt;=m_From,S1644&lt;=m_To)),1,0)</f>
        <v/>
      </c>
      <c r="Y1644" s="36">
        <f>IF(AND(OR(sel_Region="All",C1644=sel_Region),OR(sel_Country="All",D1644=sel_Country),OR(sel_Channel="All",E1644=sel_Channel),OR(sel_Customer="All",F1644=sel_Customer),OR(sel_Product="All",H1644=sel_Product),AND(S1644&gt;=m_From,S1644&lt;=m_To)),1,0)</f>
        <v/>
      </c>
      <c r="Z1644" s="36">
        <f>IF(AND(OR(sel_Region="All",C1644=sel_Region),OR(sel_Country="All",D1644=sel_Country),OR(sel_Channel="All",E1644=sel_Channel),OR(sel_Customer="All",F1644=sel_Customer),OR(sel_Category="All",G1644=sel_Category),AND(S1644&gt;=m_From,S1644&lt;=m_To)),1,0)</f>
        <v/>
      </c>
      <c r="AA1644" s="36">
        <f>IF(AND(OR(sel_Region="All",C1644=sel_Region),OR(sel_Country="All",D1644=sel_Country),OR(sel_Channel="All",E1644=sel_Channel),OR(sel_Customer="All",F1644=sel_Customer),OR(sel_Category="All",G1644=sel_Category),OR(sel_Product="All",H1644=sel_Product)),1,0)</f>
        <v/>
      </c>
    </row>
    <row r="1645">
      <c r="A1645" s="36" t="inlineStr">
        <is>
          <t>03200</t>
        </is>
      </c>
      <c r="B1645" s="44" t="n">
        <v>46248</v>
      </c>
      <c r="C1645" s="36" t="inlineStr">
        <is>
          <t>Western Europe</t>
        </is>
      </c>
      <c r="D1645" s="36" t="inlineStr">
        <is>
          <t>United Kingdom</t>
        </is>
      </c>
      <c r="E1645" s="36" t="inlineStr">
        <is>
          <t>Retail Partners</t>
        </is>
      </c>
      <c r="F1645" s="36" t="inlineStr">
        <is>
          <t>New</t>
        </is>
      </c>
      <c r="G1645" s="36" t="inlineStr">
        <is>
          <t>Hiking</t>
        </is>
      </c>
      <c r="H1645" s="36" t="inlineStr">
        <is>
          <t>Summit Backpack 45L</t>
        </is>
      </c>
      <c r="I1645" s="36" t="n">
        <v>1</v>
      </c>
      <c r="J1645" s="39" t="n">
        <v>152.97</v>
      </c>
      <c r="K1645" s="45" t="n">
        <v>0</v>
      </c>
      <c r="L1645" s="39" t="n">
        <v>79.66</v>
      </c>
      <c r="M1645" s="39">
        <f>I1645*J1645*(1-K1645)</f>
        <v/>
      </c>
      <c r="N1645" s="39">
        <f>I1645*L1645</f>
        <v/>
      </c>
      <c r="O1645" s="39">
        <f>M1645-N1645</f>
        <v/>
      </c>
      <c r="P1645" s="38">
        <f>IF(M1645=0,0,O1645/M1645)</f>
        <v/>
      </c>
      <c r="Q1645" s="36">
        <f>YEAR(B1645)</f>
        <v/>
      </c>
      <c r="R1645" s="36">
        <f>"Q"&amp;ROUNDUP(MONTH(B1645)/3,0)</f>
        <v/>
      </c>
      <c r="S1645" s="36">
        <f>MONTH(B1645)</f>
        <v/>
      </c>
      <c r="T1645" s="36">
        <f>TEXT(B1645,"mmm")</f>
        <v/>
      </c>
      <c r="U1645" s="36">
        <f>IF(AND(OR(sel_Region="All",C1645=sel_Region),OR(sel_Country="All",D1645=sel_Country),OR(sel_Channel="All",E1645=sel_Channel),OR(sel_Customer="All",F1645=sel_Customer),OR(sel_Category="All",G1645=sel_Category),OR(sel_Product="All",H1645=sel_Product),AND(S1645&gt;=m_From,S1645&lt;=m_To)),1,0)</f>
        <v/>
      </c>
      <c r="V1645" s="36">
        <f>IF(AND(OR(sel_Region="All",C1645=sel_Region),OR(sel_Channel="All",E1645=sel_Channel),OR(sel_Customer="All",F1645=sel_Customer),OR(sel_Category="All",G1645=sel_Category),OR(sel_Product="All",H1645=sel_Product),AND(S1645&gt;=m_From,S1645&lt;=m_To)),1,0)</f>
        <v/>
      </c>
      <c r="W1645" s="36">
        <f>IF(AND(OR(sel_Region="All",C1645=sel_Region),OR(sel_Country="All",D1645=sel_Country),OR(sel_Customer="All",F1645=sel_Customer),OR(sel_Category="All",G1645=sel_Category),OR(sel_Product="All",H1645=sel_Product),AND(S1645&gt;=m_From,S1645&lt;=m_To)),1,0)</f>
        <v/>
      </c>
      <c r="X1645" s="36">
        <f>IF(AND(OR(sel_Region="All",C1645=sel_Region),OR(sel_Country="All",D1645=sel_Country),OR(sel_Channel="All",E1645=sel_Channel),OR(sel_Category="All",G1645=sel_Category),OR(sel_Product="All",H1645=sel_Product),AND(S1645&gt;=m_From,S1645&lt;=m_To)),1,0)</f>
        <v/>
      </c>
      <c r="Y1645" s="36">
        <f>IF(AND(OR(sel_Region="All",C1645=sel_Region),OR(sel_Country="All",D1645=sel_Country),OR(sel_Channel="All",E1645=sel_Channel),OR(sel_Customer="All",F1645=sel_Customer),OR(sel_Product="All",H1645=sel_Product),AND(S1645&gt;=m_From,S1645&lt;=m_To)),1,0)</f>
        <v/>
      </c>
      <c r="Z1645" s="36">
        <f>IF(AND(OR(sel_Region="All",C1645=sel_Region),OR(sel_Country="All",D1645=sel_Country),OR(sel_Channel="All",E1645=sel_Channel),OR(sel_Customer="All",F1645=sel_Customer),OR(sel_Category="All",G1645=sel_Category),AND(S1645&gt;=m_From,S1645&lt;=m_To)),1,0)</f>
        <v/>
      </c>
      <c r="AA1645" s="36">
        <f>IF(AND(OR(sel_Region="All",C1645=sel_Region),OR(sel_Country="All",D1645=sel_Country),OR(sel_Channel="All",E1645=sel_Channel),OR(sel_Customer="All",F1645=sel_Customer),OR(sel_Category="All",G1645=sel_Category),OR(sel_Product="All",H1645=sel_Product)),1,0)</f>
        <v/>
      </c>
    </row>
    <row r="1646">
      <c r="A1646" s="36" t="inlineStr">
        <is>
          <t>03521</t>
        </is>
      </c>
      <c r="B1646" s="44" t="n">
        <v>46248</v>
      </c>
      <c r="C1646" s="36" t="inlineStr">
        <is>
          <t>Northern Europe</t>
        </is>
      </c>
      <c r="D1646" s="36" t="inlineStr">
        <is>
          <t>Norway</t>
        </is>
      </c>
      <c r="E1646" s="36" t="inlineStr">
        <is>
          <t>Online Store</t>
        </is>
      </c>
      <c r="F1646" s="36" t="inlineStr">
        <is>
          <t>Business</t>
        </is>
      </c>
      <c r="G1646" s="36" t="inlineStr">
        <is>
          <t>Travel</t>
        </is>
      </c>
      <c r="H1646" s="36" t="inlineStr">
        <is>
          <t>Packing Cube Set</t>
        </is>
      </c>
      <c r="I1646" s="36" t="n">
        <v>2</v>
      </c>
      <c r="J1646" s="39" t="n">
        <v>45.79</v>
      </c>
      <c r="K1646" s="45" t="n">
        <v>0</v>
      </c>
      <c r="L1646" s="39" t="n">
        <v>18.23</v>
      </c>
      <c r="M1646" s="39">
        <f>I1646*J1646*(1-K1646)</f>
        <v/>
      </c>
      <c r="N1646" s="39">
        <f>I1646*L1646</f>
        <v/>
      </c>
      <c r="O1646" s="39">
        <f>M1646-N1646</f>
        <v/>
      </c>
      <c r="P1646" s="38">
        <f>IF(M1646=0,0,O1646/M1646)</f>
        <v/>
      </c>
      <c r="Q1646" s="36">
        <f>YEAR(B1646)</f>
        <v/>
      </c>
      <c r="R1646" s="36">
        <f>"Q"&amp;ROUNDUP(MONTH(B1646)/3,0)</f>
        <v/>
      </c>
      <c r="S1646" s="36">
        <f>MONTH(B1646)</f>
        <v/>
      </c>
      <c r="T1646" s="36">
        <f>TEXT(B1646,"mmm")</f>
        <v/>
      </c>
      <c r="U1646" s="36">
        <f>IF(AND(OR(sel_Region="All",C1646=sel_Region),OR(sel_Country="All",D1646=sel_Country),OR(sel_Channel="All",E1646=sel_Channel),OR(sel_Customer="All",F1646=sel_Customer),OR(sel_Category="All",G1646=sel_Category),OR(sel_Product="All",H1646=sel_Product),AND(S1646&gt;=m_From,S1646&lt;=m_To)),1,0)</f>
        <v/>
      </c>
      <c r="V1646" s="36">
        <f>IF(AND(OR(sel_Region="All",C1646=sel_Region),OR(sel_Channel="All",E1646=sel_Channel),OR(sel_Customer="All",F1646=sel_Customer),OR(sel_Category="All",G1646=sel_Category),OR(sel_Product="All",H1646=sel_Product),AND(S1646&gt;=m_From,S1646&lt;=m_To)),1,0)</f>
        <v/>
      </c>
      <c r="W1646" s="36">
        <f>IF(AND(OR(sel_Region="All",C1646=sel_Region),OR(sel_Country="All",D1646=sel_Country),OR(sel_Customer="All",F1646=sel_Customer),OR(sel_Category="All",G1646=sel_Category),OR(sel_Product="All",H1646=sel_Product),AND(S1646&gt;=m_From,S1646&lt;=m_To)),1,0)</f>
        <v/>
      </c>
      <c r="X1646" s="36">
        <f>IF(AND(OR(sel_Region="All",C1646=sel_Region),OR(sel_Country="All",D1646=sel_Country),OR(sel_Channel="All",E1646=sel_Channel),OR(sel_Category="All",G1646=sel_Category),OR(sel_Product="All",H1646=sel_Product),AND(S1646&gt;=m_From,S1646&lt;=m_To)),1,0)</f>
        <v/>
      </c>
      <c r="Y1646" s="36">
        <f>IF(AND(OR(sel_Region="All",C1646=sel_Region),OR(sel_Country="All",D1646=sel_Country),OR(sel_Channel="All",E1646=sel_Channel),OR(sel_Customer="All",F1646=sel_Customer),OR(sel_Product="All",H1646=sel_Product),AND(S1646&gt;=m_From,S1646&lt;=m_To)),1,0)</f>
        <v/>
      </c>
      <c r="Z1646" s="36">
        <f>IF(AND(OR(sel_Region="All",C1646=sel_Region),OR(sel_Country="All",D1646=sel_Country),OR(sel_Channel="All",E1646=sel_Channel),OR(sel_Customer="All",F1646=sel_Customer),OR(sel_Category="All",G1646=sel_Category),AND(S1646&gt;=m_From,S1646&lt;=m_To)),1,0)</f>
        <v/>
      </c>
      <c r="AA1646" s="36">
        <f>IF(AND(OR(sel_Region="All",C1646=sel_Region),OR(sel_Country="All",D1646=sel_Country),OR(sel_Channel="All",E1646=sel_Channel),OR(sel_Customer="All",F1646=sel_Customer),OR(sel_Category="All",G1646=sel_Category),OR(sel_Product="All",H1646=sel_Product)),1,0)</f>
        <v/>
      </c>
    </row>
    <row r="1647">
      <c r="A1647" s="36" t="inlineStr">
        <is>
          <t>04447</t>
        </is>
      </c>
      <c r="B1647" s="44" t="n">
        <v>46248</v>
      </c>
      <c r="C1647" s="36" t="inlineStr">
        <is>
          <t>Central Europe</t>
        </is>
      </c>
      <c r="D1647" s="36" t="inlineStr">
        <is>
          <t>Austria</t>
        </is>
      </c>
      <c r="E1647" s="36" t="inlineStr">
        <is>
          <t>Online Store</t>
        </is>
      </c>
      <c r="F1647" s="36" t="inlineStr">
        <is>
          <t>New</t>
        </is>
      </c>
      <c r="G1647" s="36" t="inlineStr">
        <is>
          <t>Travel</t>
        </is>
      </c>
      <c r="H1647" s="36" t="inlineStr">
        <is>
          <t>Travel Backpack 35L</t>
        </is>
      </c>
      <c r="I1647" s="36" t="n">
        <v>1</v>
      </c>
      <c r="J1647" s="39" t="n">
        <v>161.31</v>
      </c>
      <c r="K1647" s="45" t="n">
        <v>0</v>
      </c>
      <c r="L1647" s="39" t="n">
        <v>87.81</v>
      </c>
      <c r="M1647" s="39">
        <f>I1647*J1647*(1-K1647)</f>
        <v/>
      </c>
      <c r="N1647" s="39">
        <f>I1647*L1647</f>
        <v/>
      </c>
      <c r="O1647" s="39">
        <f>M1647-N1647</f>
        <v/>
      </c>
      <c r="P1647" s="38">
        <f>IF(M1647=0,0,O1647/M1647)</f>
        <v/>
      </c>
      <c r="Q1647" s="36">
        <f>YEAR(B1647)</f>
        <v/>
      </c>
      <c r="R1647" s="36">
        <f>"Q"&amp;ROUNDUP(MONTH(B1647)/3,0)</f>
        <v/>
      </c>
      <c r="S1647" s="36">
        <f>MONTH(B1647)</f>
        <v/>
      </c>
      <c r="T1647" s="36">
        <f>TEXT(B1647,"mmm")</f>
        <v/>
      </c>
      <c r="U1647" s="36">
        <f>IF(AND(OR(sel_Region="All",C1647=sel_Region),OR(sel_Country="All",D1647=sel_Country),OR(sel_Channel="All",E1647=sel_Channel),OR(sel_Customer="All",F1647=sel_Customer),OR(sel_Category="All",G1647=sel_Category),OR(sel_Product="All",H1647=sel_Product),AND(S1647&gt;=m_From,S1647&lt;=m_To)),1,0)</f>
        <v/>
      </c>
      <c r="V1647" s="36">
        <f>IF(AND(OR(sel_Region="All",C1647=sel_Region),OR(sel_Channel="All",E1647=sel_Channel),OR(sel_Customer="All",F1647=sel_Customer),OR(sel_Category="All",G1647=sel_Category),OR(sel_Product="All",H1647=sel_Product),AND(S1647&gt;=m_From,S1647&lt;=m_To)),1,0)</f>
        <v/>
      </c>
      <c r="W1647" s="36">
        <f>IF(AND(OR(sel_Region="All",C1647=sel_Region),OR(sel_Country="All",D1647=sel_Country),OR(sel_Customer="All",F1647=sel_Customer),OR(sel_Category="All",G1647=sel_Category),OR(sel_Product="All",H1647=sel_Product),AND(S1647&gt;=m_From,S1647&lt;=m_To)),1,0)</f>
        <v/>
      </c>
      <c r="X1647" s="36">
        <f>IF(AND(OR(sel_Region="All",C1647=sel_Region),OR(sel_Country="All",D1647=sel_Country),OR(sel_Channel="All",E1647=sel_Channel),OR(sel_Category="All",G1647=sel_Category),OR(sel_Product="All",H1647=sel_Product),AND(S1647&gt;=m_From,S1647&lt;=m_To)),1,0)</f>
        <v/>
      </c>
      <c r="Y1647" s="36">
        <f>IF(AND(OR(sel_Region="All",C1647=sel_Region),OR(sel_Country="All",D1647=sel_Country),OR(sel_Channel="All",E1647=sel_Channel),OR(sel_Customer="All",F1647=sel_Customer),OR(sel_Product="All",H1647=sel_Product),AND(S1647&gt;=m_From,S1647&lt;=m_To)),1,0)</f>
        <v/>
      </c>
      <c r="Z1647" s="36">
        <f>IF(AND(OR(sel_Region="All",C1647=sel_Region),OR(sel_Country="All",D1647=sel_Country),OR(sel_Channel="All",E1647=sel_Channel),OR(sel_Customer="All",F1647=sel_Customer),OR(sel_Category="All",G1647=sel_Category),AND(S1647&gt;=m_From,S1647&lt;=m_To)),1,0)</f>
        <v/>
      </c>
      <c r="AA1647" s="36">
        <f>IF(AND(OR(sel_Region="All",C1647=sel_Region),OR(sel_Country="All",D1647=sel_Country),OR(sel_Channel="All",E1647=sel_Channel),OR(sel_Customer="All",F1647=sel_Customer),OR(sel_Category="All",G1647=sel_Category),OR(sel_Product="All",H1647=sel_Product)),1,0)</f>
        <v/>
      </c>
    </row>
    <row r="1648">
      <c r="A1648" s="36" t="inlineStr">
        <is>
          <t>00421</t>
        </is>
      </c>
      <c r="B1648" s="44" t="n">
        <v>46249</v>
      </c>
      <c r="C1648" s="36" t="inlineStr">
        <is>
          <t>Western Europe</t>
        </is>
      </c>
      <c r="D1648" s="36" t="inlineStr">
        <is>
          <t>Netherlands</t>
        </is>
      </c>
      <c r="E1648" s="36" t="inlineStr">
        <is>
          <t>Online Store</t>
        </is>
      </c>
      <c r="F1648" s="36" t="inlineStr">
        <is>
          <t>New</t>
        </is>
      </c>
      <c r="G1648" s="36" t="inlineStr">
        <is>
          <t>Fitness</t>
        </is>
      </c>
      <c r="H1648" s="36" t="inlineStr">
        <is>
          <t>Recovery Roller</t>
        </is>
      </c>
      <c r="I1648" s="36" t="n">
        <v>2</v>
      </c>
      <c r="J1648" s="39" t="n">
        <v>35.97</v>
      </c>
      <c r="K1648" s="45" t="n">
        <v>0.05</v>
      </c>
      <c r="L1648" s="39" t="n">
        <v>14.28</v>
      </c>
      <c r="M1648" s="39">
        <f>I1648*J1648*(1-K1648)</f>
        <v/>
      </c>
      <c r="N1648" s="39">
        <f>I1648*L1648</f>
        <v/>
      </c>
      <c r="O1648" s="39">
        <f>M1648-N1648</f>
        <v/>
      </c>
      <c r="P1648" s="38">
        <f>IF(M1648=0,0,O1648/M1648)</f>
        <v/>
      </c>
      <c r="Q1648" s="36">
        <f>YEAR(B1648)</f>
        <v/>
      </c>
      <c r="R1648" s="36">
        <f>"Q"&amp;ROUNDUP(MONTH(B1648)/3,0)</f>
        <v/>
      </c>
      <c r="S1648" s="36">
        <f>MONTH(B1648)</f>
        <v/>
      </c>
      <c r="T1648" s="36">
        <f>TEXT(B1648,"mmm")</f>
        <v/>
      </c>
      <c r="U1648" s="36">
        <f>IF(AND(OR(sel_Region="All",C1648=sel_Region),OR(sel_Country="All",D1648=sel_Country),OR(sel_Channel="All",E1648=sel_Channel),OR(sel_Customer="All",F1648=sel_Customer),OR(sel_Category="All",G1648=sel_Category),OR(sel_Product="All",H1648=sel_Product),AND(S1648&gt;=m_From,S1648&lt;=m_To)),1,0)</f>
        <v/>
      </c>
      <c r="V1648" s="36">
        <f>IF(AND(OR(sel_Region="All",C1648=sel_Region),OR(sel_Channel="All",E1648=sel_Channel),OR(sel_Customer="All",F1648=sel_Customer),OR(sel_Category="All",G1648=sel_Category),OR(sel_Product="All",H1648=sel_Product),AND(S1648&gt;=m_From,S1648&lt;=m_To)),1,0)</f>
        <v/>
      </c>
      <c r="W1648" s="36">
        <f>IF(AND(OR(sel_Region="All",C1648=sel_Region),OR(sel_Country="All",D1648=sel_Country),OR(sel_Customer="All",F1648=sel_Customer),OR(sel_Category="All",G1648=sel_Category),OR(sel_Product="All",H1648=sel_Product),AND(S1648&gt;=m_From,S1648&lt;=m_To)),1,0)</f>
        <v/>
      </c>
      <c r="X1648" s="36">
        <f>IF(AND(OR(sel_Region="All",C1648=sel_Region),OR(sel_Country="All",D1648=sel_Country),OR(sel_Channel="All",E1648=sel_Channel),OR(sel_Category="All",G1648=sel_Category),OR(sel_Product="All",H1648=sel_Product),AND(S1648&gt;=m_From,S1648&lt;=m_To)),1,0)</f>
        <v/>
      </c>
      <c r="Y1648" s="36">
        <f>IF(AND(OR(sel_Region="All",C1648=sel_Region),OR(sel_Country="All",D1648=sel_Country),OR(sel_Channel="All",E1648=sel_Channel),OR(sel_Customer="All",F1648=sel_Customer),OR(sel_Product="All",H1648=sel_Product),AND(S1648&gt;=m_From,S1648&lt;=m_To)),1,0)</f>
        <v/>
      </c>
      <c r="Z1648" s="36">
        <f>IF(AND(OR(sel_Region="All",C1648=sel_Region),OR(sel_Country="All",D1648=sel_Country),OR(sel_Channel="All",E1648=sel_Channel),OR(sel_Customer="All",F1648=sel_Customer),OR(sel_Category="All",G1648=sel_Category),AND(S1648&gt;=m_From,S1648&lt;=m_To)),1,0)</f>
        <v/>
      </c>
      <c r="AA1648" s="36">
        <f>IF(AND(OR(sel_Region="All",C1648=sel_Region),OR(sel_Country="All",D1648=sel_Country),OR(sel_Channel="All",E1648=sel_Channel),OR(sel_Customer="All",F1648=sel_Customer),OR(sel_Category="All",G1648=sel_Category),OR(sel_Product="All",H1648=sel_Product)),1,0)</f>
        <v/>
      </c>
    </row>
    <row r="1649">
      <c r="A1649" s="36" t="inlineStr">
        <is>
          <t>00962</t>
        </is>
      </c>
      <c r="B1649" s="44" t="n">
        <v>46249</v>
      </c>
      <c r="C1649" s="36" t="inlineStr">
        <is>
          <t>Southern Europe</t>
        </is>
      </c>
      <c r="D1649" s="36" t="inlineStr">
        <is>
          <t>Spain</t>
        </is>
      </c>
      <c r="E1649" s="36" t="inlineStr">
        <is>
          <t>Retail Partners</t>
        </is>
      </c>
      <c r="F1649" s="36" t="inlineStr">
        <is>
          <t>New</t>
        </is>
      </c>
      <c r="G1649" s="36" t="inlineStr">
        <is>
          <t>Fitness</t>
        </is>
      </c>
      <c r="H1649" s="36" t="inlineStr">
        <is>
          <t>Resistance Band Set</t>
        </is>
      </c>
      <c r="I1649" s="36" t="n">
        <v>2</v>
      </c>
      <c r="J1649" s="39" t="n">
        <v>39.73</v>
      </c>
      <c r="K1649" s="45" t="n">
        <v>0</v>
      </c>
      <c r="L1649" s="39" t="n">
        <v>14.95</v>
      </c>
      <c r="M1649" s="39">
        <f>I1649*J1649*(1-K1649)</f>
        <v/>
      </c>
      <c r="N1649" s="39">
        <f>I1649*L1649</f>
        <v/>
      </c>
      <c r="O1649" s="39">
        <f>M1649-N1649</f>
        <v/>
      </c>
      <c r="P1649" s="38">
        <f>IF(M1649=0,0,O1649/M1649)</f>
        <v/>
      </c>
      <c r="Q1649" s="36">
        <f>YEAR(B1649)</f>
        <v/>
      </c>
      <c r="R1649" s="36">
        <f>"Q"&amp;ROUNDUP(MONTH(B1649)/3,0)</f>
        <v/>
      </c>
      <c r="S1649" s="36">
        <f>MONTH(B1649)</f>
        <v/>
      </c>
      <c r="T1649" s="36">
        <f>TEXT(B1649,"mmm")</f>
        <v/>
      </c>
      <c r="U1649" s="36">
        <f>IF(AND(OR(sel_Region="All",C1649=sel_Region),OR(sel_Country="All",D1649=sel_Country),OR(sel_Channel="All",E1649=sel_Channel),OR(sel_Customer="All",F1649=sel_Customer),OR(sel_Category="All",G1649=sel_Category),OR(sel_Product="All",H1649=sel_Product),AND(S1649&gt;=m_From,S1649&lt;=m_To)),1,0)</f>
        <v/>
      </c>
      <c r="V1649" s="36">
        <f>IF(AND(OR(sel_Region="All",C1649=sel_Region),OR(sel_Channel="All",E1649=sel_Channel),OR(sel_Customer="All",F1649=sel_Customer),OR(sel_Category="All",G1649=sel_Category),OR(sel_Product="All",H1649=sel_Product),AND(S1649&gt;=m_From,S1649&lt;=m_To)),1,0)</f>
        <v/>
      </c>
      <c r="W1649" s="36">
        <f>IF(AND(OR(sel_Region="All",C1649=sel_Region),OR(sel_Country="All",D1649=sel_Country),OR(sel_Customer="All",F1649=sel_Customer),OR(sel_Category="All",G1649=sel_Category),OR(sel_Product="All",H1649=sel_Product),AND(S1649&gt;=m_From,S1649&lt;=m_To)),1,0)</f>
        <v/>
      </c>
      <c r="X1649" s="36">
        <f>IF(AND(OR(sel_Region="All",C1649=sel_Region),OR(sel_Country="All",D1649=sel_Country),OR(sel_Channel="All",E1649=sel_Channel),OR(sel_Category="All",G1649=sel_Category),OR(sel_Product="All",H1649=sel_Product),AND(S1649&gt;=m_From,S1649&lt;=m_To)),1,0)</f>
        <v/>
      </c>
      <c r="Y1649" s="36">
        <f>IF(AND(OR(sel_Region="All",C1649=sel_Region),OR(sel_Country="All",D1649=sel_Country),OR(sel_Channel="All",E1649=sel_Channel),OR(sel_Customer="All",F1649=sel_Customer),OR(sel_Product="All",H1649=sel_Product),AND(S1649&gt;=m_From,S1649&lt;=m_To)),1,0)</f>
        <v/>
      </c>
      <c r="Z1649" s="36">
        <f>IF(AND(OR(sel_Region="All",C1649=sel_Region),OR(sel_Country="All",D1649=sel_Country),OR(sel_Channel="All",E1649=sel_Channel),OR(sel_Customer="All",F1649=sel_Customer),OR(sel_Category="All",G1649=sel_Category),AND(S1649&gt;=m_From,S1649&lt;=m_To)),1,0)</f>
        <v/>
      </c>
      <c r="AA1649" s="36">
        <f>IF(AND(OR(sel_Region="All",C1649=sel_Region),OR(sel_Country="All",D1649=sel_Country),OR(sel_Channel="All",E1649=sel_Channel),OR(sel_Customer="All",F1649=sel_Customer),OR(sel_Category="All",G1649=sel_Category),OR(sel_Product="All",H1649=sel_Product)),1,0)</f>
        <v/>
      </c>
    </row>
    <row r="1650">
      <c r="A1650" s="36" t="inlineStr">
        <is>
          <t>01386</t>
        </is>
      </c>
      <c r="B1650" s="44" t="n">
        <v>46249</v>
      </c>
      <c r="C1650" s="36" t="inlineStr">
        <is>
          <t>Central Europe</t>
        </is>
      </c>
      <c r="D1650" s="36" t="inlineStr">
        <is>
          <t>Germany</t>
        </is>
      </c>
      <c r="E1650" s="36" t="inlineStr">
        <is>
          <t>Online Store</t>
        </is>
      </c>
      <c r="F1650" s="36" t="inlineStr">
        <is>
          <t>Business</t>
        </is>
      </c>
      <c r="G1650" s="36" t="inlineStr">
        <is>
          <t>Travel</t>
        </is>
      </c>
      <c r="H1650" s="36" t="inlineStr">
        <is>
          <t>Insulated Bottle</t>
        </is>
      </c>
      <c r="I1650" s="36" t="n">
        <v>2</v>
      </c>
      <c r="J1650" s="39" t="n">
        <v>36.05</v>
      </c>
      <c r="K1650" s="45" t="n">
        <v>0</v>
      </c>
      <c r="L1650" s="39" t="n">
        <v>13.8</v>
      </c>
      <c r="M1650" s="39">
        <f>I1650*J1650*(1-K1650)</f>
        <v/>
      </c>
      <c r="N1650" s="39">
        <f>I1650*L1650</f>
        <v/>
      </c>
      <c r="O1650" s="39">
        <f>M1650-N1650</f>
        <v/>
      </c>
      <c r="P1650" s="38">
        <f>IF(M1650=0,0,O1650/M1650)</f>
        <v/>
      </c>
      <c r="Q1650" s="36">
        <f>YEAR(B1650)</f>
        <v/>
      </c>
      <c r="R1650" s="36">
        <f>"Q"&amp;ROUNDUP(MONTH(B1650)/3,0)</f>
        <v/>
      </c>
      <c r="S1650" s="36">
        <f>MONTH(B1650)</f>
        <v/>
      </c>
      <c r="T1650" s="36">
        <f>TEXT(B1650,"mmm")</f>
        <v/>
      </c>
      <c r="U1650" s="36">
        <f>IF(AND(OR(sel_Region="All",C1650=sel_Region),OR(sel_Country="All",D1650=sel_Country),OR(sel_Channel="All",E1650=sel_Channel),OR(sel_Customer="All",F1650=sel_Customer),OR(sel_Category="All",G1650=sel_Category),OR(sel_Product="All",H1650=sel_Product),AND(S1650&gt;=m_From,S1650&lt;=m_To)),1,0)</f>
        <v/>
      </c>
      <c r="V1650" s="36">
        <f>IF(AND(OR(sel_Region="All",C1650=sel_Region),OR(sel_Channel="All",E1650=sel_Channel),OR(sel_Customer="All",F1650=sel_Customer),OR(sel_Category="All",G1650=sel_Category),OR(sel_Product="All",H1650=sel_Product),AND(S1650&gt;=m_From,S1650&lt;=m_To)),1,0)</f>
        <v/>
      </c>
      <c r="W1650" s="36">
        <f>IF(AND(OR(sel_Region="All",C1650=sel_Region),OR(sel_Country="All",D1650=sel_Country),OR(sel_Customer="All",F1650=sel_Customer),OR(sel_Category="All",G1650=sel_Category),OR(sel_Product="All",H1650=sel_Product),AND(S1650&gt;=m_From,S1650&lt;=m_To)),1,0)</f>
        <v/>
      </c>
      <c r="X1650" s="36">
        <f>IF(AND(OR(sel_Region="All",C1650=sel_Region),OR(sel_Country="All",D1650=sel_Country),OR(sel_Channel="All",E1650=sel_Channel),OR(sel_Category="All",G1650=sel_Category),OR(sel_Product="All",H1650=sel_Product),AND(S1650&gt;=m_From,S1650&lt;=m_To)),1,0)</f>
        <v/>
      </c>
      <c r="Y1650" s="36">
        <f>IF(AND(OR(sel_Region="All",C1650=sel_Region),OR(sel_Country="All",D1650=sel_Country),OR(sel_Channel="All",E1650=sel_Channel),OR(sel_Customer="All",F1650=sel_Customer),OR(sel_Product="All",H1650=sel_Product),AND(S1650&gt;=m_From,S1650&lt;=m_To)),1,0)</f>
        <v/>
      </c>
      <c r="Z1650" s="36">
        <f>IF(AND(OR(sel_Region="All",C1650=sel_Region),OR(sel_Country="All",D1650=sel_Country),OR(sel_Channel="All",E1650=sel_Channel),OR(sel_Customer="All",F1650=sel_Customer),OR(sel_Category="All",G1650=sel_Category),AND(S1650&gt;=m_From,S1650&lt;=m_To)),1,0)</f>
        <v/>
      </c>
      <c r="AA1650" s="36">
        <f>IF(AND(OR(sel_Region="All",C1650=sel_Region),OR(sel_Country="All",D1650=sel_Country),OR(sel_Channel="All",E1650=sel_Channel),OR(sel_Customer="All",F1650=sel_Customer),OR(sel_Category="All",G1650=sel_Category),OR(sel_Product="All",H1650=sel_Product)),1,0)</f>
        <v/>
      </c>
    </row>
    <row r="1651">
      <c r="A1651" s="36" t="inlineStr">
        <is>
          <t>03083</t>
        </is>
      </c>
      <c r="B1651" s="44" t="n">
        <v>46249</v>
      </c>
      <c r="C1651" s="36" t="inlineStr">
        <is>
          <t>Western Europe</t>
        </is>
      </c>
      <c r="D1651" s="36" t="inlineStr">
        <is>
          <t>Netherlands</t>
        </is>
      </c>
      <c r="E1651" s="36" t="inlineStr">
        <is>
          <t>Online Store</t>
        </is>
      </c>
      <c r="F1651" s="36" t="inlineStr">
        <is>
          <t>New</t>
        </is>
      </c>
      <c r="G1651" s="36" t="inlineStr">
        <is>
          <t>Camping</t>
        </is>
      </c>
      <c r="H1651" s="36" t="inlineStr">
        <is>
          <t>Trail Tent 2P</t>
        </is>
      </c>
      <c r="I1651" s="36" t="n">
        <v>1</v>
      </c>
      <c r="J1651" s="39" t="n">
        <v>194.36</v>
      </c>
      <c r="K1651" s="45" t="n">
        <v>0</v>
      </c>
      <c r="L1651" s="39" t="n">
        <v>106.01</v>
      </c>
      <c r="M1651" s="39">
        <f>I1651*J1651*(1-K1651)</f>
        <v/>
      </c>
      <c r="N1651" s="39">
        <f>I1651*L1651</f>
        <v/>
      </c>
      <c r="O1651" s="39">
        <f>M1651-N1651</f>
        <v/>
      </c>
      <c r="P1651" s="38">
        <f>IF(M1651=0,0,O1651/M1651)</f>
        <v/>
      </c>
      <c r="Q1651" s="36">
        <f>YEAR(B1651)</f>
        <v/>
      </c>
      <c r="R1651" s="36">
        <f>"Q"&amp;ROUNDUP(MONTH(B1651)/3,0)</f>
        <v/>
      </c>
      <c r="S1651" s="36">
        <f>MONTH(B1651)</f>
        <v/>
      </c>
      <c r="T1651" s="36">
        <f>TEXT(B1651,"mmm")</f>
        <v/>
      </c>
      <c r="U1651" s="36">
        <f>IF(AND(OR(sel_Region="All",C1651=sel_Region),OR(sel_Country="All",D1651=sel_Country),OR(sel_Channel="All",E1651=sel_Channel),OR(sel_Customer="All",F1651=sel_Customer),OR(sel_Category="All",G1651=sel_Category),OR(sel_Product="All",H1651=sel_Product),AND(S1651&gt;=m_From,S1651&lt;=m_To)),1,0)</f>
        <v/>
      </c>
      <c r="V1651" s="36">
        <f>IF(AND(OR(sel_Region="All",C1651=sel_Region),OR(sel_Channel="All",E1651=sel_Channel),OR(sel_Customer="All",F1651=sel_Customer),OR(sel_Category="All",G1651=sel_Category),OR(sel_Product="All",H1651=sel_Product),AND(S1651&gt;=m_From,S1651&lt;=m_To)),1,0)</f>
        <v/>
      </c>
      <c r="W1651" s="36">
        <f>IF(AND(OR(sel_Region="All",C1651=sel_Region),OR(sel_Country="All",D1651=sel_Country),OR(sel_Customer="All",F1651=sel_Customer),OR(sel_Category="All",G1651=sel_Category),OR(sel_Product="All",H1651=sel_Product),AND(S1651&gt;=m_From,S1651&lt;=m_To)),1,0)</f>
        <v/>
      </c>
      <c r="X1651" s="36">
        <f>IF(AND(OR(sel_Region="All",C1651=sel_Region),OR(sel_Country="All",D1651=sel_Country),OR(sel_Channel="All",E1651=sel_Channel),OR(sel_Category="All",G1651=sel_Category),OR(sel_Product="All",H1651=sel_Product),AND(S1651&gt;=m_From,S1651&lt;=m_To)),1,0)</f>
        <v/>
      </c>
      <c r="Y1651" s="36">
        <f>IF(AND(OR(sel_Region="All",C1651=sel_Region),OR(sel_Country="All",D1651=sel_Country),OR(sel_Channel="All",E1651=sel_Channel),OR(sel_Customer="All",F1651=sel_Customer),OR(sel_Product="All",H1651=sel_Product),AND(S1651&gt;=m_From,S1651&lt;=m_To)),1,0)</f>
        <v/>
      </c>
      <c r="Z1651" s="36">
        <f>IF(AND(OR(sel_Region="All",C1651=sel_Region),OR(sel_Country="All",D1651=sel_Country),OR(sel_Channel="All",E1651=sel_Channel),OR(sel_Customer="All",F1651=sel_Customer),OR(sel_Category="All",G1651=sel_Category),AND(S1651&gt;=m_From,S1651&lt;=m_To)),1,0)</f>
        <v/>
      </c>
      <c r="AA1651" s="36">
        <f>IF(AND(OR(sel_Region="All",C1651=sel_Region),OR(sel_Country="All",D1651=sel_Country),OR(sel_Channel="All",E1651=sel_Channel),OR(sel_Customer="All",F1651=sel_Customer),OR(sel_Category="All",G1651=sel_Category),OR(sel_Product="All",H1651=sel_Product)),1,0)</f>
        <v/>
      </c>
    </row>
    <row r="1652">
      <c r="A1652" s="36" t="inlineStr">
        <is>
          <t>03174</t>
        </is>
      </c>
      <c r="B1652" s="44" t="n">
        <v>46249</v>
      </c>
      <c r="C1652" s="36" t="inlineStr">
        <is>
          <t>Western Europe</t>
        </is>
      </c>
      <c r="D1652" s="36" t="inlineStr">
        <is>
          <t>Belgium</t>
        </is>
      </c>
      <c r="E1652" s="36" t="inlineStr">
        <is>
          <t>Retail Partners</t>
        </is>
      </c>
      <c r="F1652" s="36" t="inlineStr">
        <is>
          <t>Returning</t>
        </is>
      </c>
      <c r="G1652" s="36" t="inlineStr">
        <is>
          <t>Camping</t>
        </is>
      </c>
      <c r="H1652" s="36" t="inlineStr">
        <is>
          <t>Trail Tent 2P</t>
        </is>
      </c>
      <c r="I1652" s="36" t="n">
        <v>1</v>
      </c>
      <c r="J1652" s="39" t="n">
        <v>192.67</v>
      </c>
      <c r="K1652" s="45" t="n">
        <v>0.05</v>
      </c>
      <c r="L1652" s="39" t="n">
        <v>103.37</v>
      </c>
      <c r="M1652" s="39">
        <f>I1652*J1652*(1-K1652)</f>
        <v/>
      </c>
      <c r="N1652" s="39">
        <f>I1652*L1652</f>
        <v/>
      </c>
      <c r="O1652" s="39">
        <f>M1652-N1652</f>
        <v/>
      </c>
      <c r="P1652" s="38">
        <f>IF(M1652=0,0,O1652/M1652)</f>
        <v/>
      </c>
      <c r="Q1652" s="36">
        <f>YEAR(B1652)</f>
        <v/>
      </c>
      <c r="R1652" s="36">
        <f>"Q"&amp;ROUNDUP(MONTH(B1652)/3,0)</f>
        <v/>
      </c>
      <c r="S1652" s="36">
        <f>MONTH(B1652)</f>
        <v/>
      </c>
      <c r="T1652" s="36">
        <f>TEXT(B1652,"mmm")</f>
        <v/>
      </c>
      <c r="U1652" s="36">
        <f>IF(AND(OR(sel_Region="All",C1652=sel_Region),OR(sel_Country="All",D1652=sel_Country),OR(sel_Channel="All",E1652=sel_Channel),OR(sel_Customer="All",F1652=sel_Customer),OR(sel_Category="All",G1652=sel_Category),OR(sel_Product="All",H1652=sel_Product),AND(S1652&gt;=m_From,S1652&lt;=m_To)),1,0)</f>
        <v/>
      </c>
      <c r="V1652" s="36">
        <f>IF(AND(OR(sel_Region="All",C1652=sel_Region),OR(sel_Channel="All",E1652=sel_Channel),OR(sel_Customer="All",F1652=sel_Customer),OR(sel_Category="All",G1652=sel_Category),OR(sel_Product="All",H1652=sel_Product),AND(S1652&gt;=m_From,S1652&lt;=m_To)),1,0)</f>
        <v/>
      </c>
      <c r="W1652" s="36">
        <f>IF(AND(OR(sel_Region="All",C1652=sel_Region),OR(sel_Country="All",D1652=sel_Country),OR(sel_Customer="All",F1652=sel_Customer),OR(sel_Category="All",G1652=sel_Category),OR(sel_Product="All",H1652=sel_Product),AND(S1652&gt;=m_From,S1652&lt;=m_To)),1,0)</f>
        <v/>
      </c>
      <c r="X1652" s="36">
        <f>IF(AND(OR(sel_Region="All",C1652=sel_Region),OR(sel_Country="All",D1652=sel_Country),OR(sel_Channel="All",E1652=sel_Channel),OR(sel_Category="All",G1652=sel_Category),OR(sel_Product="All",H1652=sel_Product),AND(S1652&gt;=m_From,S1652&lt;=m_To)),1,0)</f>
        <v/>
      </c>
      <c r="Y1652" s="36">
        <f>IF(AND(OR(sel_Region="All",C1652=sel_Region),OR(sel_Country="All",D1652=sel_Country),OR(sel_Channel="All",E1652=sel_Channel),OR(sel_Customer="All",F1652=sel_Customer),OR(sel_Product="All",H1652=sel_Product),AND(S1652&gt;=m_From,S1652&lt;=m_To)),1,0)</f>
        <v/>
      </c>
      <c r="Z1652" s="36">
        <f>IF(AND(OR(sel_Region="All",C1652=sel_Region),OR(sel_Country="All",D1652=sel_Country),OR(sel_Channel="All",E1652=sel_Channel),OR(sel_Customer="All",F1652=sel_Customer),OR(sel_Category="All",G1652=sel_Category),AND(S1652&gt;=m_From,S1652&lt;=m_To)),1,0)</f>
        <v/>
      </c>
      <c r="AA1652" s="36">
        <f>IF(AND(OR(sel_Region="All",C1652=sel_Region),OR(sel_Country="All",D1652=sel_Country),OR(sel_Channel="All",E1652=sel_Channel),OR(sel_Customer="All",F1652=sel_Customer),OR(sel_Category="All",G1652=sel_Category),OR(sel_Product="All",H1652=sel_Product)),1,0)</f>
        <v/>
      </c>
    </row>
    <row r="1653">
      <c r="A1653" s="36" t="inlineStr">
        <is>
          <t>04045</t>
        </is>
      </c>
      <c r="B1653" s="44" t="n">
        <v>46249</v>
      </c>
      <c r="C1653" s="36" t="inlineStr">
        <is>
          <t>Northern Europe</t>
        </is>
      </c>
      <c r="D1653" s="36" t="inlineStr">
        <is>
          <t>Norway</t>
        </is>
      </c>
      <c r="E1653" s="36" t="inlineStr">
        <is>
          <t>Online Store</t>
        </is>
      </c>
      <c r="F1653" s="36" t="inlineStr">
        <is>
          <t>New</t>
        </is>
      </c>
      <c r="G1653" s="36" t="inlineStr">
        <is>
          <t>Hiking</t>
        </is>
      </c>
      <c r="H1653" s="36" t="inlineStr">
        <is>
          <t>Hiking Daypack 20L</t>
        </is>
      </c>
      <c r="I1653" s="36" t="n">
        <v>3</v>
      </c>
      <c r="J1653" s="39" t="n">
        <v>92.12</v>
      </c>
      <c r="K1653" s="45" t="n">
        <v>0.1</v>
      </c>
      <c r="L1653" s="39" t="n">
        <v>44.1</v>
      </c>
      <c r="M1653" s="39">
        <f>I1653*J1653*(1-K1653)</f>
        <v/>
      </c>
      <c r="N1653" s="39">
        <f>I1653*L1653</f>
        <v/>
      </c>
      <c r="O1653" s="39">
        <f>M1653-N1653</f>
        <v/>
      </c>
      <c r="P1653" s="38">
        <f>IF(M1653=0,0,O1653/M1653)</f>
        <v/>
      </c>
      <c r="Q1653" s="36">
        <f>YEAR(B1653)</f>
        <v/>
      </c>
      <c r="R1653" s="36">
        <f>"Q"&amp;ROUNDUP(MONTH(B1653)/3,0)</f>
        <v/>
      </c>
      <c r="S1653" s="36">
        <f>MONTH(B1653)</f>
        <v/>
      </c>
      <c r="T1653" s="36">
        <f>TEXT(B1653,"mmm")</f>
        <v/>
      </c>
      <c r="U1653" s="36">
        <f>IF(AND(OR(sel_Region="All",C1653=sel_Region),OR(sel_Country="All",D1653=sel_Country),OR(sel_Channel="All",E1653=sel_Channel),OR(sel_Customer="All",F1653=sel_Customer),OR(sel_Category="All",G1653=sel_Category),OR(sel_Product="All",H1653=sel_Product),AND(S1653&gt;=m_From,S1653&lt;=m_To)),1,0)</f>
        <v/>
      </c>
      <c r="V1653" s="36">
        <f>IF(AND(OR(sel_Region="All",C1653=sel_Region),OR(sel_Channel="All",E1653=sel_Channel),OR(sel_Customer="All",F1653=sel_Customer),OR(sel_Category="All",G1653=sel_Category),OR(sel_Product="All",H1653=sel_Product),AND(S1653&gt;=m_From,S1653&lt;=m_To)),1,0)</f>
        <v/>
      </c>
      <c r="W1653" s="36">
        <f>IF(AND(OR(sel_Region="All",C1653=sel_Region),OR(sel_Country="All",D1653=sel_Country),OR(sel_Customer="All",F1653=sel_Customer),OR(sel_Category="All",G1653=sel_Category),OR(sel_Product="All",H1653=sel_Product),AND(S1653&gt;=m_From,S1653&lt;=m_To)),1,0)</f>
        <v/>
      </c>
      <c r="X1653" s="36">
        <f>IF(AND(OR(sel_Region="All",C1653=sel_Region),OR(sel_Country="All",D1653=sel_Country),OR(sel_Channel="All",E1653=sel_Channel),OR(sel_Category="All",G1653=sel_Category),OR(sel_Product="All",H1653=sel_Product),AND(S1653&gt;=m_From,S1653&lt;=m_To)),1,0)</f>
        <v/>
      </c>
      <c r="Y1653" s="36">
        <f>IF(AND(OR(sel_Region="All",C1653=sel_Region),OR(sel_Country="All",D1653=sel_Country),OR(sel_Channel="All",E1653=sel_Channel),OR(sel_Customer="All",F1653=sel_Customer),OR(sel_Product="All",H1653=sel_Product),AND(S1653&gt;=m_From,S1653&lt;=m_To)),1,0)</f>
        <v/>
      </c>
      <c r="Z1653" s="36">
        <f>IF(AND(OR(sel_Region="All",C1653=sel_Region),OR(sel_Country="All",D1653=sel_Country),OR(sel_Channel="All",E1653=sel_Channel),OR(sel_Customer="All",F1653=sel_Customer),OR(sel_Category="All",G1653=sel_Category),AND(S1653&gt;=m_From,S1653&lt;=m_To)),1,0)</f>
        <v/>
      </c>
      <c r="AA1653" s="36">
        <f>IF(AND(OR(sel_Region="All",C1653=sel_Region),OR(sel_Country="All",D1653=sel_Country),OR(sel_Channel="All",E1653=sel_Channel),OR(sel_Customer="All",F1653=sel_Customer),OR(sel_Category="All",G1653=sel_Category),OR(sel_Product="All",H1653=sel_Product)),1,0)</f>
        <v/>
      </c>
    </row>
    <row r="1654">
      <c r="A1654" s="36" t="inlineStr">
        <is>
          <t>04850</t>
        </is>
      </c>
      <c r="B1654" s="44" t="n">
        <v>46249</v>
      </c>
      <c r="C1654" s="36" t="inlineStr">
        <is>
          <t>Central Europe</t>
        </is>
      </c>
      <c r="D1654" s="36" t="inlineStr">
        <is>
          <t>Czechia</t>
        </is>
      </c>
      <c r="E1654" s="36" t="inlineStr">
        <is>
          <t>Retail Partners</t>
        </is>
      </c>
      <c r="F1654" s="36" t="inlineStr">
        <is>
          <t>Business</t>
        </is>
      </c>
      <c r="G1654" s="36" t="inlineStr">
        <is>
          <t>Camping</t>
        </is>
      </c>
      <c r="H1654" s="36" t="inlineStr">
        <is>
          <t>Trail Tent 2P</t>
        </is>
      </c>
      <c r="I1654" s="36" t="n">
        <v>1</v>
      </c>
      <c r="J1654" s="39" t="n">
        <v>192.82</v>
      </c>
      <c r="K1654" s="45" t="n">
        <v>0</v>
      </c>
      <c r="L1654" s="39" t="n">
        <v>104.98</v>
      </c>
      <c r="M1654" s="39">
        <f>I1654*J1654*(1-K1654)</f>
        <v/>
      </c>
      <c r="N1654" s="39">
        <f>I1654*L1654</f>
        <v/>
      </c>
      <c r="O1654" s="39">
        <f>M1654-N1654</f>
        <v/>
      </c>
      <c r="P1654" s="38">
        <f>IF(M1654=0,0,O1654/M1654)</f>
        <v/>
      </c>
      <c r="Q1654" s="36">
        <f>YEAR(B1654)</f>
        <v/>
      </c>
      <c r="R1654" s="36">
        <f>"Q"&amp;ROUNDUP(MONTH(B1654)/3,0)</f>
        <v/>
      </c>
      <c r="S1654" s="36">
        <f>MONTH(B1654)</f>
        <v/>
      </c>
      <c r="T1654" s="36">
        <f>TEXT(B1654,"mmm")</f>
        <v/>
      </c>
      <c r="U1654" s="36">
        <f>IF(AND(OR(sel_Region="All",C1654=sel_Region),OR(sel_Country="All",D1654=sel_Country),OR(sel_Channel="All",E1654=sel_Channel),OR(sel_Customer="All",F1654=sel_Customer),OR(sel_Category="All",G1654=sel_Category),OR(sel_Product="All",H1654=sel_Product),AND(S1654&gt;=m_From,S1654&lt;=m_To)),1,0)</f>
        <v/>
      </c>
      <c r="V1654" s="36">
        <f>IF(AND(OR(sel_Region="All",C1654=sel_Region),OR(sel_Channel="All",E1654=sel_Channel),OR(sel_Customer="All",F1654=sel_Customer),OR(sel_Category="All",G1654=sel_Category),OR(sel_Product="All",H1654=sel_Product),AND(S1654&gt;=m_From,S1654&lt;=m_To)),1,0)</f>
        <v/>
      </c>
      <c r="W1654" s="36">
        <f>IF(AND(OR(sel_Region="All",C1654=sel_Region),OR(sel_Country="All",D1654=sel_Country),OR(sel_Customer="All",F1654=sel_Customer),OR(sel_Category="All",G1654=sel_Category),OR(sel_Product="All",H1654=sel_Product),AND(S1654&gt;=m_From,S1654&lt;=m_To)),1,0)</f>
        <v/>
      </c>
      <c r="X1654" s="36">
        <f>IF(AND(OR(sel_Region="All",C1654=sel_Region),OR(sel_Country="All",D1654=sel_Country),OR(sel_Channel="All",E1654=sel_Channel),OR(sel_Category="All",G1654=sel_Category),OR(sel_Product="All",H1654=sel_Product),AND(S1654&gt;=m_From,S1654&lt;=m_To)),1,0)</f>
        <v/>
      </c>
      <c r="Y1654" s="36">
        <f>IF(AND(OR(sel_Region="All",C1654=sel_Region),OR(sel_Country="All",D1654=sel_Country),OR(sel_Channel="All",E1654=sel_Channel),OR(sel_Customer="All",F1654=sel_Customer),OR(sel_Product="All",H1654=sel_Product),AND(S1654&gt;=m_From,S1654&lt;=m_To)),1,0)</f>
        <v/>
      </c>
      <c r="Z1654" s="36">
        <f>IF(AND(OR(sel_Region="All",C1654=sel_Region),OR(sel_Country="All",D1654=sel_Country),OR(sel_Channel="All",E1654=sel_Channel),OR(sel_Customer="All",F1654=sel_Customer),OR(sel_Category="All",G1654=sel_Category),AND(S1654&gt;=m_From,S1654&lt;=m_To)),1,0)</f>
        <v/>
      </c>
      <c r="AA1654" s="36">
        <f>IF(AND(OR(sel_Region="All",C1654=sel_Region),OR(sel_Country="All",D1654=sel_Country),OR(sel_Channel="All",E1654=sel_Channel),OR(sel_Customer="All",F1654=sel_Customer),OR(sel_Category="All",G1654=sel_Category),OR(sel_Product="All",H1654=sel_Product)),1,0)</f>
        <v/>
      </c>
    </row>
    <row r="1655">
      <c r="A1655" s="36" t="inlineStr">
        <is>
          <t>00071</t>
        </is>
      </c>
      <c r="B1655" s="44" t="n">
        <v>46250</v>
      </c>
      <c r="C1655" s="36" t="inlineStr">
        <is>
          <t>Northern Europe</t>
        </is>
      </c>
      <c r="D1655" s="36" t="inlineStr">
        <is>
          <t>Norway</t>
        </is>
      </c>
      <c r="E1655" s="36" t="inlineStr">
        <is>
          <t>Online Store</t>
        </is>
      </c>
      <c r="F1655" s="36" t="inlineStr">
        <is>
          <t>New</t>
        </is>
      </c>
      <c r="G1655" s="36" t="inlineStr">
        <is>
          <t>Cycling</t>
        </is>
      </c>
      <c r="H1655" s="36" t="inlineStr">
        <is>
          <t>Commuter Helmet</t>
        </is>
      </c>
      <c r="I1655" s="36" t="n">
        <v>3</v>
      </c>
      <c r="J1655" s="39" t="n">
        <v>80.09999999999999</v>
      </c>
      <c r="K1655" s="45" t="n">
        <v>0</v>
      </c>
      <c r="L1655" s="39" t="n">
        <v>42.41</v>
      </c>
      <c r="M1655" s="39">
        <f>I1655*J1655*(1-K1655)</f>
        <v/>
      </c>
      <c r="N1655" s="39">
        <f>I1655*L1655</f>
        <v/>
      </c>
      <c r="O1655" s="39">
        <f>M1655-N1655</f>
        <v/>
      </c>
      <c r="P1655" s="38">
        <f>IF(M1655=0,0,O1655/M1655)</f>
        <v/>
      </c>
      <c r="Q1655" s="36">
        <f>YEAR(B1655)</f>
        <v/>
      </c>
      <c r="R1655" s="36">
        <f>"Q"&amp;ROUNDUP(MONTH(B1655)/3,0)</f>
        <v/>
      </c>
      <c r="S1655" s="36">
        <f>MONTH(B1655)</f>
        <v/>
      </c>
      <c r="T1655" s="36">
        <f>TEXT(B1655,"mmm")</f>
        <v/>
      </c>
      <c r="U1655" s="36">
        <f>IF(AND(OR(sel_Region="All",C1655=sel_Region),OR(sel_Country="All",D1655=sel_Country),OR(sel_Channel="All",E1655=sel_Channel),OR(sel_Customer="All",F1655=sel_Customer),OR(sel_Category="All",G1655=sel_Category),OR(sel_Product="All",H1655=sel_Product),AND(S1655&gt;=m_From,S1655&lt;=m_To)),1,0)</f>
        <v/>
      </c>
      <c r="V1655" s="36">
        <f>IF(AND(OR(sel_Region="All",C1655=sel_Region),OR(sel_Channel="All",E1655=sel_Channel),OR(sel_Customer="All",F1655=sel_Customer),OR(sel_Category="All",G1655=sel_Category),OR(sel_Product="All",H1655=sel_Product),AND(S1655&gt;=m_From,S1655&lt;=m_To)),1,0)</f>
        <v/>
      </c>
      <c r="W1655" s="36">
        <f>IF(AND(OR(sel_Region="All",C1655=sel_Region),OR(sel_Country="All",D1655=sel_Country),OR(sel_Customer="All",F1655=sel_Customer),OR(sel_Category="All",G1655=sel_Category),OR(sel_Product="All",H1655=sel_Product),AND(S1655&gt;=m_From,S1655&lt;=m_To)),1,0)</f>
        <v/>
      </c>
      <c r="X1655" s="36">
        <f>IF(AND(OR(sel_Region="All",C1655=sel_Region),OR(sel_Country="All",D1655=sel_Country),OR(sel_Channel="All",E1655=sel_Channel),OR(sel_Category="All",G1655=sel_Category),OR(sel_Product="All",H1655=sel_Product),AND(S1655&gt;=m_From,S1655&lt;=m_To)),1,0)</f>
        <v/>
      </c>
      <c r="Y1655" s="36">
        <f>IF(AND(OR(sel_Region="All",C1655=sel_Region),OR(sel_Country="All",D1655=sel_Country),OR(sel_Channel="All",E1655=sel_Channel),OR(sel_Customer="All",F1655=sel_Customer),OR(sel_Product="All",H1655=sel_Product),AND(S1655&gt;=m_From,S1655&lt;=m_To)),1,0)</f>
        <v/>
      </c>
      <c r="Z1655" s="36">
        <f>IF(AND(OR(sel_Region="All",C1655=sel_Region),OR(sel_Country="All",D1655=sel_Country),OR(sel_Channel="All",E1655=sel_Channel),OR(sel_Customer="All",F1655=sel_Customer),OR(sel_Category="All",G1655=sel_Category),AND(S1655&gt;=m_From,S1655&lt;=m_To)),1,0)</f>
        <v/>
      </c>
      <c r="AA1655" s="36">
        <f>IF(AND(OR(sel_Region="All",C1655=sel_Region),OR(sel_Country="All",D1655=sel_Country),OR(sel_Channel="All",E1655=sel_Channel),OR(sel_Customer="All",F1655=sel_Customer),OR(sel_Category="All",G1655=sel_Category),OR(sel_Product="All",H1655=sel_Product)),1,0)</f>
        <v/>
      </c>
    </row>
    <row r="1656">
      <c r="A1656" s="36" t="inlineStr">
        <is>
          <t>00627</t>
        </is>
      </c>
      <c r="B1656" s="44" t="n">
        <v>46250</v>
      </c>
      <c r="C1656" s="36" t="inlineStr">
        <is>
          <t>Western Europe</t>
        </is>
      </c>
      <c r="D1656" s="36" t="inlineStr">
        <is>
          <t>Netherlands</t>
        </is>
      </c>
      <c r="E1656" s="36" t="inlineStr">
        <is>
          <t>Marketplace</t>
        </is>
      </c>
      <c r="F1656" s="36" t="inlineStr">
        <is>
          <t>New</t>
        </is>
      </c>
      <c r="G1656" s="36" t="inlineStr">
        <is>
          <t>Cycling</t>
        </is>
      </c>
      <c r="H1656" s="36" t="inlineStr">
        <is>
          <t>Commuter Helmet</t>
        </is>
      </c>
      <c r="I1656" s="36" t="n">
        <v>6</v>
      </c>
      <c r="J1656" s="39" t="n">
        <v>83.26000000000001</v>
      </c>
      <c r="K1656" s="45" t="n">
        <v>0</v>
      </c>
      <c r="L1656" s="39" t="n">
        <v>43.8</v>
      </c>
      <c r="M1656" s="39">
        <f>I1656*J1656*(1-K1656)</f>
        <v/>
      </c>
      <c r="N1656" s="39">
        <f>I1656*L1656</f>
        <v/>
      </c>
      <c r="O1656" s="39">
        <f>M1656-N1656</f>
        <v/>
      </c>
      <c r="P1656" s="38">
        <f>IF(M1656=0,0,O1656/M1656)</f>
        <v/>
      </c>
      <c r="Q1656" s="36">
        <f>YEAR(B1656)</f>
        <v/>
      </c>
      <c r="R1656" s="36">
        <f>"Q"&amp;ROUNDUP(MONTH(B1656)/3,0)</f>
        <v/>
      </c>
      <c r="S1656" s="36">
        <f>MONTH(B1656)</f>
        <v/>
      </c>
      <c r="T1656" s="36">
        <f>TEXT(B1656,"mmm")</f>
        <v/>
      </c>
      <c r="U1656" s="36">
        <f>IF(AND(OR(sel_Region="All",C1656=sel_Region),OR(sel_Country="All",D1656=sel_Country),OR(sel_Channel="All",E1656=sel_Channel),OR(sel_Customer="All",F1656=sel_Customer),OR(sel_Category="All",G1656=sel_Category),OR(sel_Product="All",H1656=sel_Product),AND(S1656&gt;=m_From,S1656&lt;=m_To)),1,0)</f>
        <v/>
      </c>
      <c r="V1656" s="36">
        <f>IF(AND(OR(sel_Region="All",C1656=sel_Region),OR(sel_Channel="All",E1656=sel_Channel),OR(sel_Customer="All",F1656=sel_Customer),OR(sel_Category="All",G1656=sel_Category),OR(sel_Product="All",H1656=sel_Product),AND(S1656&gt;=m_From,S1656&lt;=m_To)),1,0)</f>
        <v/>
      </c>
      <c r="W1656" s="36">
        <f>IF(AND(OR(sel_Region="All",C1656=sel_Region),OR(sel_Country="All",D1656=sel_Country),OR(sel_Customer="All",F1656=sel_Customer),OR(sel_Category="All",G1656=sel_Category),OR(sel_Product="All",H1656=sel_Product),AND(S1656&gt;=m_From,S1656&lt;=m_To)),1,0)</f>
        <v/>
      </c>
      <c r="X1656" s="36">
        <f>IF(AND(OR(sel_Region="All",C1656=sel_Region),OR(sel_Country="All",D1656=sel_Country),OR(sel_Channel="All",E1656=sel_Channel),OR(sel_Category="All",G1656=sel_Category),OR(sel_Product="All",H1656=sel_Product),AND(S1656&gt;=m_From,S1656&lt;=m_To)),1,0)</f>
        <v/>
      </c>
      <c r="Y1656" s="36">
        <f>IF(AND(OR(sel_Region="All",C1656=sel_Region),OR(sel_Country="All",D1656=sel_Country),OR(sel_Channel="All",E1656=sel_Channel),OR(sel_Customer="All",F1656=sel_Customer),OR(sel_Product="All",H1656=sel_Product),AND(S1656&gt;=m_From,S1656&lt;=m_To)),1,0)</f>
        <v/>
      </c>
      <c r="Z1656" s="36">
        <f>IF(AND(OR(sel_Region="All",C1656=sel_Region),OR(sel_Country="All",D1656=sel_Country),OR(sel_Channel="All",E1656=sel_Channel),OR(sel_Customer="All",F1656=sel_Customer),OR(sel_Category="All",G1656=sel_Category),AND(S1656&gt;=m_From,S1656&lt;=m_To)),1,0)</f>
        <v/>
      </c>
      <c r="AA1656" s="36">
        <f>IF(AND(OR(sel_Region="All",C1656=sel_Region),OR(sel_Country="All",D1656=sel_Country),OR(sel_Channel="All",E1656=sel_Channel),OR(sel_Customer="All",F1656=sel_Customer),OR(sel_Category="All",G1656=sel_Category),OR(sel_Product="All",H1656=sel_Product)),1,0)</f>
        <v/>
      </c>
    </row>
    <row r="1657">
      <c r="A1657" s="36" t="inlineStr">
        <is>
          <t>00959</t>
        </is>
      </c>
      <c r="B1657" s="44" t="n">
        <v>46250</v>
      </c>
      <c r="C1657" s="36" t="inlineStr">
        <is>
          <t>Central Europe</t>
        </is>
      </c>
      <c r="D1657" s="36" t="inlineStr">
        <is>
          <t>Czechia</t>
        </is>
      </c>
      <c r="E1657" s="36" t="inlineStr">
        <is>
          <t>Retail Partners</t>
        </is>
      </c>
      <c r="F1657" s="36" t="inlineStr">
        <is>
          <t>Returning</t>
        </is>
      </c>
      <c r="G1657" s="36" t="inlineStr">
        <is>
          <t>Fitness</t>
        </is>
      </c>
      <c r="H1657" s="36" t="inlineStr">
        <is>
          <t>Resistance Band Set</t>
        </is>
      </c>
      <c r="I1657" s="36" t="n">
        <v>4</v>
      </c>
      <c r="J1657" s="39" t="n">
        <v>40.46</v>
      </c>
      <c r="K1657" s="45" t="n">
        <v>0</v>
      </c>
      <c r="L1657" s="39" t="n">
        <v>15.12</v>
      </c>
      <c r="M1657" s="39">
        <f>I1657*J1657*(1-K1657)</f>
        <v/>
      </c>
      <c r="N1657" s="39">
        <f>I1657*L1657</f>
        <v/>
      </c>
      <c r="O1657" s="39">
        <f>M1657-N1657</f>
        <v/>
      </c>
      <c r="P1657" s="38">
        <f>IF(M1657=0,0,O1657/M1657)</f>
        <v/>
      </c>
      <c r="Q1657" s="36">
        <f>YEAR(B1657)</f>
        <v/>
      </c>
      <c r="R1657" s="36">
        <f>"Q"&amp;ROUNDUP(MONTH(B1657)/3,0)</f>
        <v/>
      </c>
      <c r="S1657" s="36">
        <f>MONTH(B1657)</f>
        <v/>
      </c>
      <c r="T1657" s="36">
        <f>TEXT(B1657,"mmm")</f>
        <v/>
      </c>
      <c r="U1657" s="36">
        <f>IF(AND(OR(sel_Region="All",C1657=sel_Region),OR(sel_Country="All",D1657=sel_Country),OR(sel_Channel="All",E1657=sel_Channel),OR(sel_Customer="All",F1657=sel_Customer),OR(sel_Category="All",G1657=sel_Category),OR(sel_Product="All",H1657=sel_Product),AND(S1657&gt;=m_From,S1657&lt;=m_To)),1,0)</f>
        <v/>
      </c>
      <c r="V1657" s="36">
        <f>IF(AND(OR(sel_Region="All",C1657=sel_Region),OR(sel_Channel="All",E1657=sel_Channel),OR(sel_Customer="All",F1657=sel_Customer),OR(sel_Category="All",G1657=sel_Category),OR(sel_Product="All",H1657=sel_Product),AND(S1657&gt;=m_From,S1657&lt;=m_To)),1,0)</f>
        <v/>
      </c>
      <c r="W1657" s="36">
        <f>IF(AND(OR(sel_Region="All",C1657=sel_Region),OR(sel_Country="All",D1657=sel_Country),OR(sel_Customer="All",F1657=sel_Customer),OR(sel_Category="All",G1657=sel_Category),OR(sel_Product="All",H1657=sel_Product),AND(S1657&gt;=m_From,S1657&lt;=m_To)),1,0)</f>
        <v/>
      </c>
      <c r="X1657" s="36">
        <f>IF(AND(OR(sel_Region="All",C1657=sel_Region),OR(sel_Country="All",D1657=sel_Country),OR(sel_Channel="All",E1657=sel_Channel),OR(sel_Category="All",G1657=sel_Category),OR(sel_Product="All",H1657=sel_Product),AND(S1657&gt;=m_From,S1657&lt;=m_To)),1,0)</f>
        <v/>
      </c>
      <c r="Y1657" s="36">
        <f>IF(AND(OR(sel_Region="All",C1657=sel_Region),OR(sel_Country="All",D1657=sel_Country),OR(sel_Channel="All",E1657=sel_Channel),OR(sel_Customer="All",F1657=sel_Customer),OR(sel_Product="All",H1657=sel_Product),AND(S1657&gt;=m_From,S1657&lt;=m_To)),1,0)</f>
        <v/>
      </c>
      <c r="Z1657" s="36">
        <f>IF(AND(OR(sel_Region="All",C1657=sel_Region),OR(sel_Country="All",D1657=sel_Country),OR(sel_Channel="All",E1657=sel_Channel),OR(sel_Customer="All",F1657=sel_Customer),OR(sel_Category="All",G1657=sel_Category),AND(S1657&gt;=m_From,S1657&lt;=m_To)),1,0)</f>
        <v/>
      </c>
      <c r="AA1657" s="36">
        <f>IF(AND(OR(sel_Region="All",C1657=sel_Region),OR(sel_Country="All",D1657=sel_Country),OR(sel_Channel="All",E1657=sel_Channel),OR(sel_Customer="All",F1657=sel_Customer),OR(sel_Category="All",G1657=sel_Category),OR(sel_Product="All",H1657=sel_Product)),1,0)</f>
        <v/>
      </c>
    </row>
    <row r="1658">
      <c r="A1658" s="36" t="inlineStr">
        <is>
          <t>00967</t>
        </is>
      </c>
      <c r="B1658" s="44" t="n">
        <v>46250</v>
      </c>
      <c r="C1658" s="36" t="inlineStr">
        <is>
          <t>Northern Europe</t>
        </is>
      </c>
      <c r="D1658" s="36" t="inlineStr">
        <is>
          <t>Norway</t>
        </is>
      </c>
      <c r="E1658" s="36" t="inlineStr">
        <is>
          <t>Corporate</t>
        </is>
      </c>
      <c r="F1658" s="36" t="inlineStr">
        <is>
          <t>Returning</t>
        </is>
      </c>
      <c r="G1658" s="36" t="inlineStr">
        <is>
          <t>Cycling</t>
        </is>
      </c>
      <c r="H1658" s="36" t="inlineStr">
        <is>
          <t>Commuter Helmet</t>
        </is>
      </c>
      <c r="I1658" s="36" t="n">
        <v>5</v>
      </c>
      <c r="J1658" s="39" t="n">
        <v>81.55</v>
      </c>
      <c r="K1658" s="45" t="n">
        <v>0.2</v>
      </c>
      <c r="L1658" s="39" t="n">
        <v>42.09</v>
      </c>
      <c r="M1658" s="39">
        <f>I1658*J1658*(1-K1658)</f>
        <v/>
      </c>
      <c r="N1658" s="39">
        <f>I1658*L1658</f>
        <v/>
      </c>
      <c r="O1658" s="39">
        <f>M1658-N1658</f>
        <v/>
      </c>
      <c r="P1658" s="38">
        <f>IF(M1658=0,0,O1658/M1658)</f>
        <v/>
      </c>
      <c r="Q1658" s="36">
        <f>YEAR(B1658)</f>
        <v/>
      </c>
      <c r="R1658" s="36">
        <f>"Q"&amp;ROUNDUP(MONTH(B1658)/3,0)</f>
        <v/>
      </c>
      <c r="S1658" s="36">
        <f>MONTH(B1658)</f>
        <v/>
      </c>
      <c r="T1658" s="36">
        <f>TEXT(B1658,"mmm")</f>
        <v/>
      </c>
      <c r="U1658" s="36">
        <f>IF(AND(OR(sel_Region="All",C1658=sel_Region),OR(sel_Country="All",D1658=sel_Country),OR(sel_Channel="All",E1658=sel_Channel),OR(sel_Customer="All",F1658=sel_Customer),OR(sel_Category="All",G1658=sel_Category),OR(sel_Product="All",H1658=sel_Product),AND(S1658&gt;=m_From,S1658&lt;=m_To)),1,0)</f>
        <v/>
      </c>
      <c r="V1658" s="36">
        <f>IF(AND(OR(sel_Region="All",C1658=sel_Region),OR(sel_Channel="All",E1658=sel_Channel),OR(sel_Customer="All",F1658=sel_Customer),OR(sel_Category="All",G1658=sel_Category),OR(sel_Product="All",H1658=sel_Product),AND(S1658&gt;=m_From,S1658&lt;=m_To)),1,0)</f>
        <v/>
      </c>
      <c r="W1658" s="36">
        <f>IF(AND(OR(sel_Region="All",C1658=sel_Region),OR(sel_Country="All",D1658=sel_Country),OR(sel_Customer="All",F1658=sel_Customer),OR(sel_Category="All",G1658=sel_Category),OR(sel_Product="All",H1658=sel_Product),AND(S1658&gt;=m_From,S1658&lt;=m_To)),1,0)</f>
        <v/>
      </c>
      <c r="X1658" s="36">
        <f>IF(AND(OR(sel_Region="All",C1658=sel_Region),OR(sel_Country="All",D1658=sel_Country),OR(sel_Channel="All",E1658=sel_Channel),OR(sel_Category="All",G1658=sel_Category),OR(sel_Product="All",H1658=sel_Product),AND(S1658&gt;=m_From,S1658&lt;=m_To)),1,0)</f>
        <v/>
      </c>
      <c r="Y1658" s="36">
        <f>IF(AND(OR(sel_Region="All",C1658=sel_Region),OR(sel_Country="All",D1658=sel_Country),OR(sel_Channel="All",E1658=sel_Channel),OR(sel_Customer="All",F1658=sel_Customer),OR(sel_Product="All",H1658=sel_Product),AND(S1658&gt;=m_From,S1658&lt;=m_To)),1,0)</f>
        <v/>
      </c>
      <c r="Z1658" s="36">
        <f>IF(AND(OR(sel_Region="All",C1658=sel_Region),OR(sel_Country="All",D1658=sel_Country),OR(sel_Channel="All",E1658=sel_Channel),OR(sel_Customer="All",F1658=sel_Customer),OR(sel_Category="All",G1658=sel_Category),AND(S1658&gt;=m_From,S1658&lt;=m_To)),1,0)</f>
        <v/>
      </c>
      <c r="AA1658" s="36">
        <f>IF(AND(OR(sel_Region="All",C1658=sel_Region),OR(sel_Country="All",D1658=sel_Country),OR(sel_Channel="All",E1658=sel_Channel),OR(sel_Customer="All",F1658=sel_Customer),OR(sel_Category="All",G1658=sel_Category),OR(sel_Product="All",H1658=sel_Product)),1,0)</f>
        <v/>
      </c>
    </row>
    <row r="1659">
      <c r="A1659" s="36" t="inlineStr">
        <is>
          <t>01267</t>
        </is>
      </c>
      <c r="B1659" s="44" t="n">
        <v>46250</v>
      </c>
      <c r="C1659" s="36" t="inlineStr">
        <is>
          <t>Central Europe</t>
        </is>
      </c>
      <c r="D1659" s="36" t="inlineStr">
        <is>
          <t>Germany</t>
        </is>
      </c>
      <c r="E1659" s="36" t="inlineStr">
        <is>
          <t>Retail Partners</t>
        </is>
      </c>
      <c r="F1659" s="36" t="inlineStr">
        <is>
          <t>New</t>
        </is>
      </c>
      <c r="G1659" s="36" t="inlineStr">
        <is>
          <t>Camping</t>
        </is>
      </c>
      <c r="H1659" s="36" t="inlineStr">
        <is>
          <t>Portable Camp Stove</t>
        </is>
      </c>
      <c r="I1659" s="36" t="n">
        <v>2</v>
      </c>
      <c r="J1659" s="39" t="n">
        <v>83.56</v>
      </c>
      <c r="K1659" s="45" t="n">
        <v>0</v>
      </c>
      <c r="L1659" s="39" t="n">
        <v>39.12</v>
      </c>
      <c r="M1659" s="39">
        <f>I1659*J1659*(1-K1659)</f>
        <v/>
      </c>
      <c r="N1659" s="39">
        <f>I1659*L1659</f>
        <v/>
      </c>
      <c r="O1659" s="39">
        <f>M1659-N1659</f>
        <v/>
      </c>
      <c r="P1659" s="38">
        <f>IF(M1659=0,0,O1659/M1659)</f>
        <v/>
      </c>
      <c r="Q1659" s="36">
        <f>YEAR(B1659)</f>
        <v/>
      </c>
      <c r="R1659" s="36">
        <f>"Q"&amp;ROUNDUP(MONTH(B1659)/3,0)</f>
        <v/>
      </c>
      <c r="S1659" s="36">
        <f>MONTH(B1659)</f>
        <v/>
      </c>
      <c r="T1659" s="36">
        <f>TEXT(B1659,"mmm")</f>
        <v/>
      </c>
      <c r="U1659" s="36">
        <f>IF(AND(OR(sel_Region="All",C1659=sel_Region),OR(sel_Country="All",D1659=sel_Country),OR(sel_Channel="All",E1659=sel_Channel),OR(sel_Customer="All",F1659=sel_Customer),OR(sel_Category="All",G1659=sel_Category),OR(sel_Product="All",H1659=sel_Product),AND(S1659&gt;=m_From,S1659&lt;=m_To)),1,0)</f>
        <v/>
      </c>
      <c r="V1659" s="36">
        <f>IF(AND(OR(sel_Region="All",C1659=sel_Region),OR(sel_Channel="All",E1659=sel_Channel),OR(sel_Customer="All",F1659=sel_Customer),OR(sel_Category="All",G1659=sel_Category),OR(sel_Product="All",H1659=sel_Product),AND(S1659&gt;=m_From,S1659&lt;=m_To)),1,0)</f>
        <v/>
      </c>
      <c r="W1659" s="36">
        <f>IF(AND(OR(sel_Region="All",C1659=sel_Region),OR(sel_Country="All",D1659=sel_Country),OR(sel_Customer="All",F1659=sel_Customer),OR(sel_Category="All",G1659=sel_Category),OR(sel_Product="All",H1659=sel_Product),AND(S1659&gt;=m_From,S1659&lt;=m_To)),1,0)</f>
        <v/>
      </c>
      <c r="X1659" s="36">
        <f>IF(AND(OR(sel_Region="All",C1659=sel_Region),OR(sel_Country="All",D1659=sel_Country),OR(sel_Channel="All",E1659=sel_Channel),OR(sel_Category="All",G1659=sel_Category),OR(sel_Product="All",H1659=sel_Product),AND(S1659&gt;=m_From,S1659&lt;=m_To)),1,0)</f>
        <v/>
      </c>
      <c r="Y1659" s="36">
        <f>IF(AND(OR(sel_Region="All",C1659=sel_Region),OR(sel_Country="All",D1659=sel_Country),OR(sel_Channel="All",E1659=sel_Channel),OR(sel_Customer="All",F1659=sel_Customer),OR(sel_Product="All",H1659=sel_Product),AND(S1659&gt;=m_From,S1659&lt;=m_To)),1,0)</f>
        <v/>
      </c>
      <c r="Z1659" s="36">
        <f>IF(AND(OR(sel_Region="All",C1659=sel_Region),OR(sel_Country="All",D1659=sel_Country),OR(sel_Channel="All",E1659=sel_Channel),OR(sel_Customer="All",F1659=sel_Customer),OR(sel_Category="All",G1659=sel_Category),AND(S1659&gt;=m_From,S1659&lt;=m_To)),1,0)</f>
        <v/>
      </c>
      <c r="AA1659" s="36">
        <f>IF(AND(OR(sel_Region="All",C1659=sel_Region),OR(sel_Country="All",D1659=sel_Country),OR(sel_Channel="All",E1659=sel_Channel),OR(sel_Customer="All",F1659=sel_Customer),OR(sel_Category="All",G1659=sel_Category),OR(sel_Product="All",H1659=sel_Product)),1,0)</f>
        <v/>
      </c>
    </row>
    <row r="1660">
      <c r="A1660" s="36" t="inlineStr">
        <is>
          <t>01394</t>
        </is>
      </c>
      <c r="B1660" s="44" t="n">
        <v>46250</v>
      </c>
      <c r="C1660" s="36" t="inlineStr">
        <is>
          <t>Northern Europe</t>
        </is>
      </c>
      <c r="D1660" s="36" t="inlineStr">
        <is>
          <t>Finland</t>
        </is>
      </c>
      <c r="E1660" s="36" t="inlineStr">
        <is>
          <t>Online Store</t>
        </is>
      </c>
      <c r="F1660" s="36" t="inlineStr">
        <is>
          <t>Returning</t>
        </is>
      </c>
      <c r="G1660" s="36" t="inlineStr">
        <is>
          <t>Camping</t>
        </is>
      </c>
      <c r="H1660" s="36" t="inlineStr">
        <is>
          <t>Compact Sleeping Bag</t>
        </is>
      </c>
      <c r="I1660" s="36" t="n">
        <v>3</v>
      </c>
      <c r="J1660" s="39" t="n">
        <v>125.75</v>
      </c>
      <c r="K1660" s="45" t="n">
        <v>0</v>
      </c>
      <c r="L1660" s="39" t="n">
        <v>62.05</v>
      </c>
      <c r="M1660" s="39">
        <f>I1660*J1660*(1-K1660)</f>
        <v/>
      </c>
      <c r="N1660" s="39">
        <f>I1660*L1660</f>
        <v/>
      </c>
      <c r="O1660" s="39">
        <f>M1660-N1660</f>
        <v/>
      </c>
      <c r="P1660" s="38">
        <f>IF(M1660=0,0,O1660/M1660)</f>
        <v/>
      </c>
      <c r="Q1660" s="36">
        <f>YEAR(B1660)</f>
        <v/>
      </c>
      <c r="R1660" s="36">
        <f>"Q"&amp;ROUNDUP(MONTH(B1660)/3,0)</f>
        <v/>
      </c>
      <c r="S1660" s="36">
        <f>MONTH(B1660)</f>
        <v/>
      </c>
      <c r="T1660" s="36">
        <f>TEXT(B1660,"mmm")</f>
        <v/>
      </c>
      <c r="U1660" s="36">
        <f>IF(AND(OR(sel_Region="All",C1660=sel_Region),OR(sel_Country="All",D1660=sel_Country),OR(sel_Channel="All",E1660=sel_Channel),OR(sel_Customer="All",F1660=sel_Customer),OR(sel_Category="All",G1660=sel_Category),OR(sel_Product="All",H1660=sel_Product),AND(S1660&gt;=m_From,S1660&lt;=m_To)),1,0)</f>
        <v/>
      </c>
      <c r="V1660" s="36">
        <f>IF(AND(OR(sel_Region="All",C1660=sel_Region),OR(sel_Channel="All",E1660=sel_Channel),OR(sel_Customer="All",F1660=sel_Customer),OR(sel_Category="All",G1660=sel_Category),OR(sel_Product="All",H1660=sel_Product),AND(S1660&gt;=m_From,S1660&lt;=m_To)),1,0)</f>
        <v/>
      </c>
      <c r="W1660" s="36">
        <f>IF(AND(OR(sel_Region="All",C1660=sel_Region),OR(sel_Country="All",D1660=sel_Country),OR(sel_Customer="All",F1660=sel_Customer),OR(sel_Category="All",G1660=sel_Category),OR(sel_Product="All",H1660=sel_Product),AND(S1660&gt;=m_From,S1660&lt;=m_To)),1,0)</f>
        <v/>
      </c>
      <c r="X1660" s="36">
        <f>IF(AND(OR(sel_Region="All",C1660=sel_Region),OR(sel_Country="All",D1660=sel_Country),OR(sel_Channel="All",E1660=sel_Channel),OR(sel_Category="All",G1660=sel_Category),OR(sel_Product="All",H1660=sel_Product),AND(S1660&gt;=m_From,S1660&lt;=m_To)),1,0)</f>
        <v/>
      </c>
      <c r="Y1660" s="36">
        <f>IF(AND(OR(sel_Region="All",C1660=sel_Region),OR(sel_Country="All",D1660=sel_Country),OR(sel_Channel="All",E1660=sel_Channel),OR(sel_Customer="All",F1660=sel_Customer),OR(sel_Product="All",H1660=sel_Product),AND(S1660&gt;=m_From,S1660&lt;=m_To)),1,0)</f>
        <v/>
      </c>
      <c r="Z1660" s="36">
        <f>IF(AND(OR(sel_Region="All",C1660=sel_Region),OR(sel_Country="All",D1660=sel_Country),OR(sel_Channel="All",E1660=sel_Channel),OR(sel_Customer="All",F1660=sel_Customer),OR(sel_Category="All",G1660=sel_Category),AND(S1660&gt;=m_From,S1660&lt;=m_To)),1,0)</f>
        <v/>
      </c>
      <c r="AA1660" s="36">
        <f>IF(AND(OR(sel_Region="All",C1660=sel_Region),OR(sel_Country="All",D1660=sel_Country),OR(sel_Channel="All",E1660=sel_Channel),OR(sel_Customer="All",F1660=sel_Customer),OR(sel_Category="All",G1660=sel_Category),OR(sel_Product="All",H1660=sel_Product)),1,0)</f>
        <v/>
      </c>
    </row>
    <row r="1661">
      <c r="A1661" s="36" t="inlineStr">
        <is>
          <t>01652</t>
        </is>
      </c>
      <c r="B1661" s="44" t="n">
        <v>46250</v>
      </c>
      <c r="C1661" s="36" t="inlineStr">
        <is>
          <t>Southern Europe</t>
        </is>
      </c>
      <c r="D1661" s="36" t="inlineStr">
        <is>
          <t>Spain</t>
        </is>
      </c>
      <c r="E1661" s="36" t="inlineStr">
        <is>
          <t>Online Store</t>
        </is>
      </c>
      <c r="F1661" s="36" t="inlineStr">
        <is>
          <t>Returning</t>
        </is>
      </c>
      <c r="G1661" s="36" t="inlineStr">
        <is>
          <t>Travel</t>
        </is>
      </c>
      <c r="H1661" s="36" t="inlineStr">
        <is>
          <t>Insulated Bottle</t>
        </is>
      </c>
      <c r="I1661" s="36" t="n">
        <v>1</v>
      </c>
      <c r="J1661" s="39" t="n">
        <v>35.62</v>
      </c>
      <c r="K1661" s="45" t="n">
        <v>0.1</v>
      </c>
      <c r="L1661" s="39" t="n">
        <v>13.55</v>
      </c>
      <c r="M1661" s="39">
        <f>I1661*J1661*(1-K1661)</f>
        <v/>
      </c>
      <c r="N1661" s="39">
        <f>I1661*L1661</f>
        <v/>
      </c>
      <c r="O1661" s="39">
        <f>M1661-N1661</f>
        <v/>
      </c>
      <c r="P1661" s="38">
        <f>IF(M1661=0,0,O1661/M1661)</f>
        <v/>
      </c>
      <c r="Q1661" s="36">
        <f>YEAR(B1661)</f>
        <v/>
      </c>
      <c r="R1661" s="36">
        <f>"Q"&amp;ROUNDUP(MONTH(B1661)/3,0)</f>
        <v/>
      </c>
      <c r="S1661" s="36">
        <f>MONTH(B1661)</f>
        <v/>
      </c>
      <c r="T1661" s="36">
        <f>TEXT(B1661,"mmm")</f>
        <v/>
      </c>
      <c r="U1661" s="36">
        <f>IF(AND(OR(sel_Region="All",C1661=sel_Region),OR(sel_Country="All",D1661=sel_Country),OR(sel_Channel="All",E1661=sel_Channel),OR(sel_Customer="All",F1661=sel_Customer),OR(sel_Category="All",G1661=sel_Category),OR(sel_Product="All",H1661=sel_Product),AND(S1661&gt;=m_From,S1661&lt;=m_To)),1,0)</f>
        <v/>
      </c>
      <c r="V1661" s="36">
        <f>IF(AND(OR(sel_Region="All",C1661=sel_Region),OR(sel_Channel="All",E1661=sel_Channel),OR(sel_Customer="All",F1661=sel_Customer),OR(sel_Category="All",G1661=sel_Category),OR(sel_Product="All",H1661=sel_Product),AND(S1661&gt;=m_From,S1661&lt;=m_To)),1,0)</f>
        <v/>
      </c>
      <c r="W1661" s="36">
        <f>IF(AND(OR(sel_Region="All",C1661=sel_Region),OR(sel_Country="All",D1661=sel_Country),OR(sel_Customer="All",F1661=sel_Customer),OR(sel_Category="All",G1661=sel_Category),OR(sel_Product="All",H1661=sel_Product),AND(S1661&gt;=m_From,S1661&lt;=m_To)),1,0)</f>
        <v/>
      </c>
      <c r="X1661" s="36">
        <f>IF(AND(OR(sel_Region="All",C1661=sel_Region),OR(sel_Country="All",D1661=sel_Country),OR(sel_Channel="All",E1661=sel_Channel),OR(sel_Category="All",G1661=sel_Category),OR(sel_Product="All",H1661=sel_Product),AND(S1661&gt;=m_From,S1661&lt;=m_To)),1,0)</f>
        <v/>
      </c>
      <c r="Y1661" s="36">
        <f>IF(AND(OR(sel_Region="All",C1661=sel_Region),OR(sel_Country="All",D1661=sel_Country),OR(sel_Channel="All",E1661=sel_Channel),OR(sel_Customer="All",F1661=sel_Customer),OR(sel_Product="All",H1661=sel_Product),AND(S1661&gt;=m_From,S1661&lt;=m_To)),1,0)</f>
        <v/>
      </c>
      <c r="Z1661" s="36">
        <f>IF(AND(OR(sel_Region="All",C1661=sel_Region),OR(sel_Country="All",D1661=sel_Country),OR(sel_Channel="All",E1661=sel_Channel),OR(sel_Customer="All",F1661=sel_Customer),OR(sel_Category="All",G1661=sel_Category),AND(S1661&gt;=m_From,S1661&lt;=m_To)),1,0)</f>
        <v/>
      </c>
      <c r="AA1661" s="36">
        <f>IF(AND(OR(sel_Region="All",C1661=sel_Region),OR(sel_Country="All",D1661=sel_Country),OR(sel_Channel="All",E1661=sel_Channel),OR(sel_Customer="All",F1661=sel_Customer),OR(sel_Category="All",G1661=sel_Category),OR(sel_Product="All",H1661=sel_Product)),1,0)</f>
        <v/>
      </c>
    </row>
    <row r="1662">
      <c r="A1662" s="36" t="inlineStr">
        <is>
          <t>02126</t>
        </is>
      </c>
      <c r="B1662" s="44" t="n">
        <v>46250</v>
      </c>
      <c r="C1662" s="36" t="inlineStr">
        <is>
          <t>Central Europe</t>
        </is>
      </c>
      <c r="D1662" s="36" t="inlineStr">
        <is>
          <t>Poland</t>
        </is>
      </c>
      <c r="E1662" s="36" t="inlineStr">
        <is>
          <t>Online Store</t>
        </is>
      </c>
      <c r="F1662" s="36" t="inlineStr">
        <is>
          <t>Business</t>
        </is>
      </c>
      <c r="G1662" s="36" t="inlineStr">
        <is>
          <t>Cycling</t>
        </is>
      </c>
      <c r="H1662" s="36" t="inlineStr">
        <is>
          <t>Cycling Pack 12L</t>
        </is>
      </c>
      <c r="I1662" s="36" t="n">
        <v>2</v>
      </c>
      <c r="J1662" s="39" t="n">
        <v>104.02</v>
      </c>
      <c r="K1662" s="45" t="n">
        <v>0</v>
      </c>
      <c r="L1662" s="39" t="n">
        <v>50.26</v>
      </c>
      <c r="M1662" s="39">
        <f>I1662*J1662*(1-K1662)</f>
        <v/>
      </c>
      <c r="N1662" s="39">
        <f>I1662*L1662</f>
        <v/>
      </c>
      <c r="O1662" s="39">
        <f>M1662-N1662</f>
        <v/>
      </c>
      <c r="P1662" s="38">
        <f>IF(M1662=0,0,O1662/M1662)</f>
        <v/>
      </c>
      <c r="Q1662" s="36">
        <f>YEAR(B1662)</f>
        <v/>
      </c>
      <c r="R1662" s="36">
        <f>"Q"&amp;ROUNDUP(MONTH(B1662)/3,0)</f>
        <v/>
      </c>
      <c r="S1662" s="36">
        <f>MONTH(B1662)</f>
        <v/>
      </c>
      <c r="T1662" s="36">
        <f>TEXT(B1662,"mmm")</f>
        <v/>
      </c>
      <c r="U1662" s="36">
        <f>IF(AND(OR(sel_Region="All",C1662=sel_Region),OR(sel_Country="All",D1662=sel_Country),OR(sel_Channel="All",E1662=sel_Channel),OR(sel_Customer="All",F1662=sel_Customer),OR(sel_Category="All",G1662=sel_Category),OR(sel_Product="All",H1662=sel_Product),AND(S1662&gt;=m_From,S1662&lt;=m_To)),1,0)</f>
        <v/>
      </c>
      <c r="V1662" s="36">
        <f>IF(AND(OR(sel_Region="All",C1662=sel_Region),OR(sel_Channel="All",E1662=sel_Channel),OR(sel_Customer="All",F1662=sel_Customer),OR(sel_Category="All",G1662=sel_Category),OR(sel_Product="All",H1662=sel_Product),AND(S1662&gt;=m_From,S1662&lt;=m_To)),1,0)</f>
        <v/>
      </c>
      <c r="W1662" s="36">
        <f>IF(AND(OR(sel_Region="All",C1662=sel_Region),OR(sel_Country="All",D1662=sel_Country),OR(sel_Customer="All",F1662=sel_Customer),OR(sel_Category="All",G1662=sel_Category),OR(sel_Product="All",H1662=sel_Product),AND(S1662&gt;=m_From,S1662&lt;=m_To)),1,0)</f>
        <v/>
      </c>
      <c r="X1662" s="36">
        <f>IF(AND(OR(sel_Region="All",C1662=sel_Region),OR(sel_Country="All",D1662=sel_Country),OR(sel_Channel="All",E1662=sel_Channel),OR(sel_Category="All",G1662=sel_Category),OR(sel_Product="All",H1662=sel_Product),AND(S1662&gt;=m_From,S1662&lt;=m_To)),1,0)</f>
        <v/>
      </c>
      <c r="Y1662" s="36">
        <f>IF(AND(OR(sel_Region="All",C1662=sel_Region),OR(sel_Country="All",D1662=sel_Country),OR(sel_Channel="All",E1662=sel_Channel),OR(sel_Customer="All",F1662=sel_Customer),OR(sel_Product="All",H1662=sel_Product),AND(S1662&gt;=m_From,S1662&lt;=m_To)),1,0)</f>
        <v/>
      </c>
      <c r="Z1662" s="36">
        <f>IF(AND(OR(sel_Region="All",C1662=sel_Region),OR(sel_Country="All",D1662=sel_Country),OR(sel_Channel="All",E1662=sel_Channel),OR(sel_Customer="All",F1662=sel_Customer),OR(sel_Category="All",G1662=sel_Category),AND(S1662&gt;=m_From,S1662&lt;=m_To)),1,0)</f>
        <v/>
      </c>
      <c r="AA1662" s="36">
        <f>IF(AND(OR(sel_Region="All",C1662=sel_Region),OR(sel_Country="All",D1662=sel_Country),OR(sel_Channel="All",E1662=sel_Channel),OR(sel_Customer="All",F1662=sel_Customer),OR(sel_Category="All",G1662=sel_Category),OR(sel_Product="All",H1662=sel_Product)),1,0)</f>
        <v/>
      </c>
    </row>
    <row r="1663">
      <c r="A1663" s="36" t="inlineStr">
        <is>
          <t>02282</t>
        </is>
      </c>
      <c r="B1663" s="44" t="n">
        <v>46250</v>
      </c>
      <c r="C1663" s="36" t="inlineStr">
        <is>
          <t>Central Europe</t>
        </is>
      </c>
      <c r="D1663" s="36" t="inlineStr">
        <is>
          <t>Austria</t>
        </is>
      </c>
      <c r="E1663" s="36" t="inlineStr">
        <is>
          <t>Corporate</t>
        </is>
      </c>
      <c r="F1663" s="36" t="inlineStr">
        <is>
          <t>Business</t>
        </is>
      </c>
      <c r="G1663" s="36" t="inlineStr">
        <is>
          <t>Hiking</t>
        </is>
      </c>
      <c r="H1663" s="36" t="inlineStr">
        <is>
          <t>Hiking Daypack 20L</t>
        </is>
      </c>
      <c r="I1663" s="36" t="n">
        <v>8</v>
      </c>
      <c r="J1663" s="39" t="n">
        <v>92.70999999999999</v>
      </c>
      <c r="K1663" s="45" t="n">
        <v>0.1</v>
      </c>
      <c r="L1663" s="39" t="n">
        <v>44.83</v>
      </c>
      <c r="M1663" s="39">
        <f>I1663*J1663*(1-K1663)</f>
        <v/>
      </c>
      <c r="N1663" s="39">
        <f>I1663*L1663</f>
        <v/>
      </c>
      <c r="O1663" s="39">
        <f>M1663-N1663</f>
        <v/>
      </c>
      <c r="P1663" s="38">
        <f>IF(M1663=0,0,O1663/M1663)</f>
        <v/>
      </c>
      <c r="Q1663" s="36">
        <f>YEAR(B1663)</f>
        <v/>
      </c>
      <c r="R1663" s="36">
        <f>"Q"&amp;ROUNDUP(MONTH(B1663)/3,0)</f>
        <v/>
      </c>
      <c r="S1663" s="36">
        <f>MONTH(B1663)</f>
        <v/>
      </c>
      <c r="T1663" s="36">
        <f>TEXT(B1663,"mmm")</f>
        <v/>
      </c>
      <c r="U1663" s="36">
        <f>IF(AND(OR(sel_Region="All",C1663=sel_Region),OR(sel_Country="All",D1663=sel_Country),OR(sel_Channel="All",E1663=sel_Channel),OR(sel_Customer="All",F1663=sel_Customer),OR(sel_Category="All",G1663=sel_Category),OR(sel_Product="All",H1663=sel_Product),AND(S1663&gt;=m_From,S1663&lt;=m_To)),1,0)</f>
        <v/>
      </c>
      <c r="V1663" s="36">
        <f>IF(AND(OR(sel_Region="All",C1663=sel_Region),OR(sel_Channel="All",E1663=sel_Channel),OR(sel_Customer="All",F1663=sel_Customer),OR(sel_Category="All",G1663=sel_Category),OR(sel_Product="All",H1663=sel_Product),AND(S1663&gt;=m_From,S1663&lt;=m_To)),1,0)</f>
        <v/>
      </c>
      <c r="W1663" s="36">
        <f>IF(AND(OR(sel_Region="All",C1663=sel_Region),OR(sel_Country="All",D1663=sel_Country),OR(sel_Customer="All",F1663=sel_Customer),OR(sel_Category="All",G1663=sel_Category),OR(sel_Product="All",H1663=sel_Product),AND(S1663&gt;=m_From,S1663&lt;=m_To)),1,0)</f>
        <v/>
      </c>
      <c r="X1663" s="36">
        <f>IF(AND(OR(sel_Region="All",C1663=sel_Region),OR(sel_Country="All",D1663=sel_Country),OR(sel_Channel="All",E1663=sel_Channel),OR(sel_Category="All",G1663=sel_Category),OR(sel_Product="All",H1663=sel_Product),AND(S1663&gt;=m_From,S1663&lt;=m_To)),1,0)</f>
        <v/>
      </c>
      <c r="Y1663" s="36">
        <f>IF(AND(OR(sel_Region="All",C1663=sel_Region),OR(sel_Country="All",D1663=sel_Country),OR(sel_Channel="All",E1663=sel_Channel),OR(sel_Customer="All",F1663=sel_Customer),OR(sel_Product="All",H1663=sel_Product),AND(S1663&gt;=m_From,S1663&lt;=m_To)),1,0)</f>
        <v/>
      </c>
      <c r="Z1663" s="36">
        <f>IF(AND(OR(sel_Region="All",C1663=sel_Region),OR(sel_Country="All",D1663=sel_Country),OR(sel_Channel="All",E1663=sel_Channel),OR(sel_Customer="All",F1663=sel_Customer),OR(sel_Category="All",G1663=sel_Category),AND(S1663&gt;=m_From,S1663&lt;=m_To)),1,0)</f>
        <v/>
      </c>
      <c r="AA1663" s="36">
        <f>IF(AND(OR(sel_Region="All",C1663=sel_Region),OR(sel_Country="All",D1663=sel_Country),OR(sel_Channel="All",E1663=sel_Channel),OR(sel_Customer="All",F1663=sel_Customer),OR(sel_Category="All",G1663=sel_Category),OR(sel_Product="All",H1663=sel_Product)),1,0)</f>
        <v/>
      </c>
    </row>
    <row r="1664">
      <c r="A1664" s="36" t="inlineStr">
        <is>
          <t>02426</t>
        </is>
      </c>
      <c r="B1664" s="44" t="n">
        <v>46250</v>
      </c>
      <c r="C1664" s="36" t="inlineStr">
        <is>
          <t>Central Europe</t>
        </is>
      </c>
      <c r="D1664" s="36" t="inlineStr">
        <is>
          <t>Germany</t>
        </is>
      </c>
      <c r="E1664" s="36" t="inlineStr">
        <is>
          <t>Online Store</t>
        </is>
      </c>
      <c r="F1664" s="36" t="inlineStr">
        <is>
          <t>New</t>
        </is>
      </c>
      <c r="G1664" s="36" t="inlineStr">
        <is>
          <t>Hiking</t>
        </is>
      </c>
      <c r="H1664" s="36" t="inlineStr">
        <is>
          <t>Hiking Daypack 20L</t>
        </is>
      </c>
      <c r="I1664" s="36" t="n">
        <v>1</v>
      </c>
      <c r="J1664" s="39" t="n">
        <v>90.58</v>
      </c>
      <c r="K1664" s="45" t="n">
        <v>0</v>
      </c>
      <c r="L1664" s="39" t="n">
        <v>44.53</v>
      </c>
      <c r="M1664" s="39">
        <f>I1664*J1664*(1-K1664)</f>
        <v/>
      </c>
      <c r="N1664" s="39">
        <f>I1664*L1664</f>
        <v/>
      </c>
      <c r="O1664" s="39">
        <f>M1664-N1664</f>
        <v/>
      </c>
      <c r="P1664" s="38">
        <f>IF(M1664=0,0,O1664/M1664)</f>
        <v/>
      </c>
      <c r="Q1664" s="36">
        <f>YEAR(B1664)</f>
        <v/>
      </c>
      <c r="R1664" s="36">
        <f>"Q"&amp;ROUNDUP(MONTH(B1664)/3,0)</f>
        <v/>
      </c>
      <c r="S1664" s="36">
        <f>MONTH(B1664)</f>
        <v/>
      </c>
      <c r="T1664" s="36">
        <f>TEXT(B1664,"mmm")</f>
        <v/>
      </c>
      <c r="U1664" s="36">
        <f>IF(AND(OR(sel_Region="All",C1664=sel_Region),OR(sel_Country="All",D1664=sel_Country),OR(sel_Channel="All",E1664=sel_Channel),OR(sel_Customer="All",F1664=sel_Customer),OR(sel_Category="All",G1664=sel_Category),OR(sel_Product="All",H1664=sel_Product),AND(S1664&gt;=m_From,S1664&lt;=m_To)),1,0)</f>
        <v/>
      </c>
      <c r="V1664" s="36">
        <f>IF(AND(OR(sel_Region="All",C1664=sel_Region),OR(sel_Channel="All",E1664=sel_Channel),OR(sel_Customer="All",F1664=sel_Customer),OR(sel_Category="All",G1664=sel_Category),OR(sel_Product="All",H1664=sel_Product),AND(S1664&gt;=m_From,S1664&lt;=m_To)),1,0)</f>
        <v/>
      </c>
      <c r="W1664" s="36">
        <f>IF(AND(OR(sel_Region="All",C1664=sel_Region),OR(sel_Country="All",D1664=sel_Country),OR(sel_Customer="All",F1664=sel_Customer),OR(sel_Category="All",G1664=sel_Category),OR(sel_Product="All",H1664=sel_Product),AND(S1664&gt;=m_From,S1664&lt;=m_To)),1,0)</f>
        <v/>
      </c>
      <c r="X1664" s="36">
        <f>IF(AND(OR(sel_Region="All",C1664=sel_Region),OR(sel_Country="All",D1664=sel_Country),OR(sel_Channel="All",E1664=sel_Channel),OR(sel_Category="All",G1664=sel_Category),OR(sel_Product="All",H1664=sel_Product),AND(S1664&gt;=m_From,S1664&lt;=m_To)),1,0)</f>
        <v/>
      </c>
      <c r="Y1664" s="36">
        <f>IF(AND(OR(sel_Region="All",C1664=sel_Region),OR(sel_Country="All",D1664=sel_Country),OR(sel_Channel="All",E1664=sel_Channel),OR(sel_Customer="All",F1664=sel_Customer),OR(sel_Product="All",H1664=sel_Product),AND(S1664&gt;=m_From,S1664&lt;=m_To)),1,0)</f>
        <v/>
      </c>
      <c r="Z1664" s="36">
        <f>IF(AND(OR(sel_Region="All",C1664=sel_Region),OR(sel_Country="All",D1664=sel_Country),OR(sel_Channel="All",E1664=sel_Channel),OR(sel_Customer="All",F1664=sel_Customer),OR(sel_Category="All",G1664=sel_Category),AND(S1664&gt;=m_From,S1664&lt;=m_To)),1,0)</f>
        <v/>
      </c>
      <c r="AA1664" s="36">
        <f>IF(AND(OR(sel_Region="All",C1664=sel_Region),OR(sel_Country="All",D1664=sel_Country),OR(sel_Channel="All",E1664=sel_Channel),OR(sel_Customer="All",F1664=sel_Customer),OR(sel_Category="All",G1664=sel_Category),OR(sel_Product="All",H1664=sel_Product)),1,0)</f>
        <v/>
      </c>
    </row>
    <row r="1665">
      <c r="A1665" s="36" t="inlineStr">
        <is>
          <t>02534</t>
        </is>
      </c>
      <c r="B1665" s="44" t="n">
        <v>46250</v>
      </c>
      <c r="C1665" s="36" t="inlineStr">
        <is>
          <t>Central Europe</t>
        </is>
      </c>
      <c r="D1665" s="36" t="inlineStr">
        <is>
          <t>Poland</t>
        </is>
      </c>
      <c r="E1665" s="36" t="inlineStr">
        <is>
          <t>Online Store</t>
        </is>
      </c>
      <c r="F1665" s="36" t="inlineStr">
        <is>
          <t>New</t>
        </is>
      </c>
      <c r="G1665" s="36" t="inlineStr">
        <is>
          <t>Camping</t>
        </is>
      </c>
      <c r="H1665" s="36" t="inlineStr">
        <is>
          <t>Compact Sleeping Bag</t>
        </is>
      </c>
      <c r="I1665" s="36" t="n">
        <v>1</v>
      </c>
      <c r="J1665" s="39" t="n">
        <v>120.22</v>
      </c>
      <c r="K1665" s="45" t="n">
        <v>0</v>
      </c>
      <c r="L1665" s="39" t="n">
        <v>62.31</v>
      </c>
      <c r="M1665" s="39">
        <f>I1665*J1665*(1-K1665)</f>
        <v/>
      </c>
      <c r="N1665" s="39">
        <f>I1665*L1665</f>
        <v/>
      </c>
      <c r="O1665" s="39">
        <f>M1665-N1665</f>
        <v/>
      </c>
      <c r="P1665" s="38">
        <f>IF(M1665=0,0,O1665/M1665)</f>
        <v/>
      </c>
      <c r="Q1665" s="36">
        <f>YEAR(B1665)</f>
        <v/>
      </c>
      <c r="R1665" s="36">
        <f>"Q"&amp;ROUNDUP(MONTH(B1665)/3,0)</f>
        <v/>
      </c>
      <c r="S1665" s="36">
        <f>MONTH(B1665)</f>
        <v/>
      </c>
      <c r="T1665" s="36">
        <f>TEXT(B1665,"mmm")</f>
        <v/>
      </c>
      <c r="U1665" s="36">
        <f>IF(AND(OR(sel_Region="All",C1665=sel_Region),OR(sel_Country="All",D1665=sel_Country),OR(sel_Channel="All",E1665=sel_Channel),OR(sel_Customer="All",F1665=sel_Customer),OR(sel_Category="All",G1665=sel_Category),OR(sel_Product="All",H1665=sel_Product),AND(S1665&gt;=m_From,S1665&lt;=m_To)),1,0)</f>
        <v/>
      </c>
      <c r="V1665" s="36">
        <f>IF(AND(OR(sel_Region="All",C1665=sel_Region),OR(sel_Channel="All",E1665=sel_Channel),OR(sel_Customer="All",F1665=sel_Customer),OR(sel_Category="All",G1665=sel_Category),OR(sel_Product="All",H1665=sel_Product),AND(S1665&gt;=m_From,S1665&lt;=m_To)),1,0)</f>
        <v/>
      </c>
      <c r="W1665" s="36">
        <f>IF(AND(OR(sel_Region="All",C1665=sel_Region),OR(sel_Country="All",D1665=sel_Country),OR(sel_Customer="All",F1665=sel_Customer),OR(sel_Category="All",G1665=sel_Category),OR(sel_Product="All",H1665=sel_Product),AND(S1665&gt;=m_From,S1665&lt;=m_To)),1,0)</f>
        <v/>
      </c>
      <c r="X1665" s="36">
        <f>IF(AND(OR(sel_Region="All",C1665=sel_Region),OR(sel_Country="All",D1665=sel_Country),OR(sel_Channel="All",E1665=sel_Channel),OR(sel_Category="All",G1665=sel_Category),OR(sel_Product="All",H1665=sel_Product),AND(S1665&gt;=m_From,S1665&lt;=m_To)),1,0)</f>
        <v/>
      </c>
      <c r="Y1665" s="36">
        <f>IF(AND(OR(sel_Region="All",C1665=sel_Region),OR(sel_Country="All",D1665=sel_Country),OR(sel_Channel="All",E1665=sel_Channel),OR(sel_Customer="All",F1665=sel_Customer),OR(sel_Product="All",H1665=sel_Product),AND(S1665&gt;=m_From,S1665&lt;=m_To)),1,0)</f>
        <v/>
      </c>
      <c r="Z1665" s="36">
        <f>IF(AND(OR(sel_Region="All",C1665=sel_Region),OR(sel_Country="All",D1665=sel_Country),OR(sel_Channel="All",E1665=sel_Channel),OR(sel_Customer="All",F1665=sel_Customer),OR(sel_Category="All",G1665=sel_Category),AND(S1665&gt;=m_From,S1665&lt;=m_To)),1,0)</f>
        <v/>
      </c>
      <c r="AA1665" s="36">
        <f>IF(AND(OR(sel_Region="All",C1665=sel_Region),OR(sel_Country="All",D1665=sel_Country),OR(sel_Channel="All",E1665=sel_Channel),OR(sel_Customer="All",F1665=sel_Customer),OR(sel_Category="All",G1665=sel_Category),OR(sel_Product="All",H1665=sel_Product)),1,0)</f>
        <v/>
      </c>
    </row>
    <row r="1666">
      <c r="A1666" s="36" t="inlineStr">
        <is>
          <t>02948</t>
        </is>
      </c>
      <c r="B1666" s="44" t="n">
        <v>46250</v>
      </c>
      <c r="C1666" s="36" t="inlineStr">
        <is>
          <t>Northern Europe</t>
        </is>
      </c>
      <c r="D1666" s="36" t="inlineStr">
        <is>
          <t>Sweden</t>
        </is>
      </c>
      <c r="E1666" s="36" t="inlineStr">
        <is>
          <t>Retail Partners</t>
        </is>
      </c>
      <c r="F1666" s="36" t="inlineStr">
        <is>
          <t>New</t>
        </is>
      </c>
      <c r="G1666" s="36" t="inlineStr">
        <is>
          <t>Travel</t>
        </is>
      </c>
      <c r="H1666" s="36" t="inlineStr">
        <is>
          <t>Insulated Bottle</t>
        </is>
      </c>
      <c r="I1666" s="36" t="n">
        <v>3</v>
      </c>
      <c r="J1666" s="39" t="n">
        <v>36.35</v>
      </c>
      <c r="K1666" s="45" t="n">
        <v>0</v>
      </c>
      <c r="L1666" s="39" t="n">
        <v>13.42</v>
      </c>
      <c r="M1666" s="39">
        <f>I1666*J1666*(1-K1666)</f>
        <v/>
      </c>
      <c r="N1666" s="39">
        <f>I1666*L1666</f>
        <v/>
      </c>
      <c r="O1666" s="39">
        <f>M1666-N1666</f>
        <v/>
      </c>
      <c r="P1666" s="38">
        <f>IF(M1666=0,0,O1666/M1666)</f>
        <v/>
      </c>
      <c r="Q1666" s="36">
        <f>YEAR(B1666)</f>
        <v/>
      </c>
      <c r="R1666" s="36">
        <f>"Q"&amp;ROUNDUP(MONTH(B1666)/3,0)</f>
        <v/>
      </c>
      <c r="S1666" s="36">
        <f>MONTH(B1666)</f>
        <v/>
      </c>
      <c r="T1666" s="36">
        <f>TEXT(B1666,"mmm")</f>
        <v/>
      </c>
      <c r="U1666" s="36">
        <f>IF(AND(OR(sel_Region="All",C1666=sel_Region),OR(sel_Country="All",D1666=sel_Country),OR(sel_Channel="All",E1666=sel_Channel),OR(sel_Customer="All",F1666=sel_Customer),OR(sel_Category="All",G1666=sel_Category),OR(sel_Product="All",H1666=sel_Product),AND(S1666&gt;=m_From,S1666&lt;=m_To)),1,0)</f>
        <v/>
      </c>
      <c r="V1666" s="36">
        <f>IF(AND(OR(sel_Region="All",C1666=sel_Region),OR(sel_Channel="All",E1666=sel_Channel),OR(sel_Customer="All",F1666=sel_Customer),OR(sel_Category="All",G1666=sel_Category),OR(sel_Product="All",H1666=sel_Product),AND(S1666&gt;=m_From,S1666&lt;=m_To)),1,0)</f>
        <v/>
      </c>
      <c r="W1666" s="36">
        <f>IF(AND(OR(sel_Region="All",C1666=sel_Region),OR(sel_Country="All",D1666=sel_Country),OR(sel_Customer="All",F1666=sel_Customer),OR(sel_Category="All",G1666=sel_Category),OR(sel_Product="All",H1666=sel_Product),AND(S1666&gt;=m_From,S1666&lt;=m_To)),1,0)</f>
        <v/>
      </c>
      <c r="X1666" s="36">
        <f>IF(AND(OR(sel_Region="All",C1666=sel_Region),OR(sel_Country="All",D1666=sel_Country),OR(sel_Channel="All",E1666=sel_Channel),OR(sel_Category="All",G1666=sel_Category),OR(sel_Product="All",H1666=sel_Product),AND(S1666&gt;=m_From,S1666&lt;=m_To)),1,0)</f>
        <v/>
      </c>
      <c r="Y1666" s="36">
        <f>IF(AND(OR(sel_Region="All",C1666=sel_Region),OR(sel_Country="All",D1666=sel_Country),OR(sel_Channel="All",E1666=sel_Channel),OR(sel_Customer="All",F1666=sel_Customer),OR(sel_Product="All",H1666=sel_Product),AND(S1666&gt;=m_From,S1666&lt;=m_To)),1,0)</f>
        <v/>
      </c>
      <c r="Z1666" s="36">
        <f>IF(AND(OR(sel_Region="All",C1666=sel_Region),OR(sel_Country="All",D1666=sel_Country),OR(sel_Channel="All",E1666=sel_Channel),OR(sel_Customer="All",F1666=sel_Customer),OR(sel_Category="All",G1666=sel_Category),AND(S1666&gt;=m_From,S1666&lt;=m_To)),1,0)</f>
        <v/>
      </c>
      <c r="AA1666" s="36">
        <f>IF(AND(OR(sel_Region="All",C1666=sel_Region),OR(sel_Country="All",D1666=sel_Country),OR(sel_Channel="All",E1666=sel_Channel),OR(sel_Customer="All",F1666=sel_Customer),OR(sel_Category="All",G1666=sel_Category),OR(sel_Product="All",H1666=sel_Product)),1,0)</f>
        <v/>
      </c>
    </row>
    <row r="1667">
      <c r="A1667" s="36" t="inlineStr">
        <is>
          <t>03141</t>
        </is>
      </c>
      <c r="B1667" s="44" t="n">
        <v>46250</v>
      </c>
      <c r="C1667" s="36" t="inlineStr">
        <is>
          <t>Central Europe</t>
        </is>
      </c>
      <c r="D1667" s="36" t="inlineStr">
        <is>
          <t>Germany</t>
        </is>
      </c>
      <c r="E1667" s="36" t="inlineStr">
        <is>
          <t>Marketplace</t>
        </is>
      </c>
      <c r="F1667" s="36" t="inlineStr">
        <is>
          <t>Returning</t>
        </is>
      </c>
      <c r="G1667" s="36" t="inlineStr">
        <is>
          <t>Camping</t>
        </is>
      </c>
      <c r="H1667" s="36" t="inlineStr">
        <is>
          <t>Trail Tent 2P</t>
        </is>
      </c>
      <c r="I1667" s="36" t="n">
        <v>2</v>
      </c>
      <c r="J1667" s="39" t="n">
        <v>195.28</v>
      </c>
      <c r="K1667" s="45" t="n">
        <v>0</v>
      </c>
      <c r="L1667" s="39" t="n">
        <v>102.24</v>
      </c>
      <c r="M1667" s="39">
        <f>I1667*J1667*(1-K1667)</f>
        <v/>
      </c>
      <c r="N1667" s="39">
        <f>I1667*L1667</f>
        <v/>
      </c>
      <c r="O1667" s="39">
        <f>M1667-N1667</f>
        <v/>
      </c>
      <c r="P1667" s="38">
        <f>IF(M1667=0,0,O1667/M1667)</f>
        <v/>
      </c>
      <c r="Q1667" s="36">
        <f>YEAR(B1667)</f>
        <v/>
      </c>
      <c r="R1667" s="36">
        <f>"Q"&amp;ROUNDUP(MONTH(B1667)/3,0)</f>
        <v/>
      </c>
      <c r="S1667" s="36">
        <f>MONTH(B1667)</f>
        <v/>
      </c>
      <c r="T1667" s="36">
        <f>TEXT(B1667,"mmm")</f>
        <v/>
      </c>
      <c r="U1667" s="36">
        <f>IF(AND(OR(sel_Region="All",C1667=sel_Region),OR(sel_Country="All",D1667=sel_Country),OR(sel_Channel="All",E1667=sel_Channel),OR(sel_Customer="All",F1667=sel_Customer),OR(sel_Category="All",G1667=sel_Category),OR(sel_Product="All",H1667=sel_Product),AND(S1667&gt;=m_From,S1667&lt;=m_To)),1,0)</f>
        <v/>
      </c>
      <c r="V1667" s="36">
        <f>IF(AND(OR(sel_Region="All",C1667=sel_Region),OR(sel_Channel="All",E1667=sel_Channel),OR(sel_Customer="All",F1667=sel_Customer),OR(sel_Category="All",G1667=sel_Category),OR(sel_Product="All",H1667=sel_Product),AND(S1667&gt;=m_From,S1667&lt;=m_To)),1,0)</f>
        <v/>
      </c>
      <c r="W1667" s="36">
        <f>IF(AND(OR(sel_Region="All",C1667=sel_Region),OR(sel_Country="All",D1667=sel_Country),OR(sel_Customer="All",F1667=sel_Customer),OR(sel_Category="All",G1667=sel_Category),OR(sel_Product="All",H1667=sel_Product),AND(S1667&gt;=m_From,S1667&lt;=m_To)),1,0)</f>
        <v/>
      </c>
      <c r="X1667" s="36">
        <f>IF(AND(OR(sel_Region="All",C1667=sel_Region),OR(sel_Country="All",D1667=sel_Country),OR(sel_Channel="All",E1667=sel_Channel),OR(sel_Category="All",G1667=sel_Category),OR(sel_Product="All",H1667=sel_Product),AND(S1667&gt;=m_From,S1667&lt;=m_To)),1,0)</f>
        <v/>
      </c>
      <c r="Y1667" s="36">
        <f>IF(AND(OR(sel_Region="All",C1667=sel_Region),OR(sel_Country="All",D1667=sel_Country),OR(sel_Channel="All",E1667=sel_Channel),OR(sel_Customer="All",F1667=sel_Customer),OR(sel_Product="All",H1667=sel_Product),AND(S1667&gt;=m_From,S1667&lt;=m_To)),1,0)</f>
        <v/>
      </c>
      <c r="Z1667" s="36">
        <f>IF(AND(OR(sel_Region="All",C1667=sel_Region),OR(sel_Country="All",D1667=sel_Country),OR(sel_Channel="All",E1667=sel_Channel),OR(sel_Customer="All",F1667=sel_Customer),OR(sel_Category="All",G1667=sel_Category),AND(S1667&gt;=m_From,S1667&lt;=m_To)),1,0)</f>
        <v/>
      </c>
      <c r="AA1667" s="36">
        <f>IF(AND(OR(sel_Region="All",C1667=sel_Region),OR(sel_Country="All",D1667=sel_Country),OR(sel_Channel="All",E1667=sel_Channel),OR(sel_Customer="All",F1667=sel_Customer),OR(sel_Category="All",G1667=sel_Category),OR(sel_Product="All",H1667=sel_Product)),1,0)</f>
        <v/>
      </c>
    </row>
    <row r="1668">
      <c r="A1668" s="36" t="inlineStr">
        <is>
          <t>03935</t>
        </is>
      </c>
      <c r="B1668" s="44" t="n">
        <v>46250</v>
      </c>
      <c r="C1668" s="36" t="inlineStr">
        <is>
          <t>Northern Europe</t>
        </is>
      </c>
      <c r="D1668" s="36" t="inlineStr">
        <is>
          <t>Norway</t>
        </is>
      </c>
      <c r="E1668" s="36" t="inlineStr">
        <is>
          <t>Marketplace</t>
        </is>
      </c>
      <c r="F1668" s="36" t="inlineStr">
        <is>
          <t>Returning</t>
        </is>
      </c>
      <c r="G1668" s="36" t="inlineStr">
        <is>
          <t>Travel</t>
        </is>
      </c>
      <c r="H1668" s="36" t="inlineStr">
        <is>
          <t>Packing Cube Set</t>
        </is>
      </c>
      <c r="I1668" s="36" t="n">
        <v>4</v>
      </c>
      <c r="J1668" s="39" t="n">
        <v>46.05</v>
      </c>
      <c r="K1668" s="45" t="n">
        <v>0</v>
      </c>
      <c r="L1668" s="39" t="n">
        <v>18.75</v>
      </c>
      <c r="M1668" s="39">
        <f>I1668*J1668*(1-K1668)</f>
        <v/>
      </c>
      <c r="N1668" s="39">
        <f>I1668*L1668</f>
        <v/>
      </c>
      <c r="O1668" s="39">
        <f>M1668-N1668</f>
        <v/>
      </c>
      <c r="P1668" s="38">
        <f>IF(M1668=0,0,O1668/M1668)</f>
        <v/>
      </c>
      <c r="Q1668" s="36">
        <f>YEAR(B1668)</f>
        <v/>
      </c>
      <c r="R1668" s="36">
        <f>"Q"&amp;ROUNDUP(MONTH(B1668)/3,0)</f>
        <v/>
      </c>
      <c r="S1668" s="36">
        <f>MONTH(B1668)</f>
        <v/>
      </c>
      <c r="T1668" s="36">
        <f>TEXT(B1668,"mmm")</f>
        <v/>
      </c>
      <c r="U1668" s="36">
        <f>IF(AND(OR(sel_Region="All",C1668=sel_Region),OR(sel_Country="All",D1668=sel_Country),OR(sel_Channel="All",E1668=sel_Channel),OR(sel_Customer="All",F1668=sel_Customer),OR(sel_Category="All",G1668=sel_Category),OR(sel_Product="All",H1668=sel_Product),AND(S1668&gt;=m_From,S1668&lt;=m_To)),1,0)</f>
        <v/>
      </c>
      <c r="V1668" s="36">
        <f>IF(AND(OR(sel_Region="All",C1668=sel_Region),OR(sel_Channel="All",E1668=sel_Channel),OR(sel_Customer="All",F1668=sel_Customer),OR(sel_Category="All",G1668=sel_Category),OR(sel_Product="All",H1668=sel_Product),AND(S1668&gt;=m_From,S1668&lt;=m_To)),1,0)</f>
        <v/>
      </c>
      <c r="W1668" s="36">
        <f>IF(AND(OR(sel_Region="All",C1668=sel_Region),OR(sel_Country="All",D1668=sel_Country),OR(sel_Customer="All",F1668=sel_Customer),OR(sel_Category="All",G1668=sel_Category),OR(sel_Product="All",H1668=sel_Product),AND(S1668&gt;=m_From,S1668&lt;=m_To)),1,0)</f>
        <v/>
      </c>
      <c r="X1668" s="36">
        <f>IF(AND(OR(sel_Region="All",C1668=sel_Region),OR(sel_Country="All",D1668=sel_Country),OR(sel_Channel="All",E1668=sel_Channel),OR(sel_Category="All",G1668=sel_Category),OR(sel_Product="All",H1668=sel_Product),AND(S1668&gt;=m_From,S1668&lt;=m_To)),1,0)</f>
        <v/>
      </c>
      <c r="Y1668" s="36">
        <f>IF(AND(OR(sel_Region="All",C1668=sel_Region),OR(sel_Country="All",D1668=sel_Country),OR(sel_Channel="All",E1668=sel_Channel),OR(sel_Customer="All",F1668=sel_Customer),OR(sel_Product="All",H1668=sel_Product),AND(S1668&gt;=m_From,S1668&lt;=m_To)),1,0)</f>
        <v/>
      </c>
      <c r="Z1668" s="36">
        <f>IF(AND(OR(sel_Region="All",C1668=sel_Region),OR(sel_Country="All",D1668=sel_Country),OR(sel_Channel="All",E1668=sel_Channel),OR(sel_Customer="All",F1668=sel_Customer),OR(sel_Category="All",G1668=sel_Category),AND(S1668&gt;=m_From,S1668&lt;=m_To)),1,0)</f>
        <v/>
      </c>
      <c r="AA1668" s="36">
        <f>IF(AND(OR(sel_Region="All",C1668=sel_Region),OR(sel_Country="All",D1668=sel_Country),OR(sel_Channel="All",E1668=sel_Channel),OR(sel_Customer="All",F1668=sel_Customer),OR(sel_Category="All",G1668=sel_Category),OR(sel_Product="All",H1668=sel_Product)),1,0)</f>
        <v/>
      </c>
    </row>
    <row r="1669">
      <c r="A1669" s="36" t="inlineStr">
        <is>
          <t>04636</t>
        </is>
      </c>
      <c r="B1669" s="44" t="n">
        <v>46250</v>
      </c>
      <c r="C1669" s="36" t="inlineStr">
        <is>
          <t>Southern Europe</t>
        </is>
      </c>
      <c r="D1669" s="36" t="inlineStr">
        <is>
          <t>Spain</t>
        </is>
      </c>
      <c r="E1669" s="36" t="inlineStr">
        <is>
          <t>Retail Partners</t>
        </is>
      </c>
      <c r="F1669" s="36" t="inlineStr">
        <is>
          <t>Returning</t>
        </is>
      </c>
      <c r="G1669" s="36" t="inlineStr">
        <is>
          <t>Camping</t>
        </is>
      </c>
      <c r="H1669" s="36" t="inlineStr">
        <is>
          <t>Portable Camp Stove</t>
        </is>
      </c>
      <c r="I1669" s="36" t="n">
        <v>1</v>
      </c>
      <c r="J1669" s="39" t="n">
        <v>81.04000000000001</v>
      </c>
      <c r="K1669" s="45" t="n">
        <v>0.1</v>
      </c>
      <c r="L1669" s="39" t="n">
        <v>39.29</v>
      </c>
      <c r="M1669" s="39">
        <f>I1669*J1669*(1-K1669)</f>
        <v/>
      </c>
      <c r="N1669" s="39">
        <f>I1669*L1669</f>
        <v/>
      </c>
      <c r="O1669" s="39">
        <f>M1669-N1669</f>
        <v/>
      </c>
      <c r="P1669" s="38">
        <f>IF(M1669=0,0,O1669/M1669)</f>
        <v/>
      </c>
      <c r="Q1669" s="36">
        <f>YEAR(B1669)</f>
        <v/>
      </c>
      <c r="R1669" s="36">
        <f>"Q"&amp;ROUNDUP(MONTH(B1669)/3,0)</f>
        <v/>
      </c>
      <c r="S1669" s="36">
        <f>MONTH(B1669)</f>
        <v/>
      </c>
      <c r="T1669" s="36">
        <f>TEXT(B1669,"mmm")</f>
        <v/>
      </c>
      <c r="U1669" s="36">
        <f>IF(AND(OR(sel_Region="All",C1669=sel_Region),OR(sel_Country="All",D1669=sel_Country),OR(sel_Channel="All",E1669=sel_Channel),OR(sel_Customer="All",F1669=sel_Customer),OR(sel_Category="All",G1669=sel_Category),OR(sel_Product="All",H1669=sel_Product),AND(S1669&gt;=m_From,S1669&lt;=m_To)),1,0)</f>
        <v/>
      </c>
      <c r="V1669" s="36">
        <f>IF(AND(OR(sel_Region="All",C1669=sel_Region),OR(sel_Channel="All",E1669=sel_Channel),OR(sel_Customer="All",F1669=sel_Customer),OR(sel_Category="All",G1669=sel_Category),OR(sel_Product="All",H1669=sel_Product),AND(S1669&gt;=m_From,S1669&lt;=m_To)),1,0)</f>
        <v/>
      </c>
      <c r="W1669" s="36">
        <f>IF(AND(OR(sel_Region="All",C1669=sel_Region),OR(sel_Country="All",D1669=sel_Country),OR(sel_Customer="All",F1669=sel_Customer),OR(sel_Category="All",G1669=sel_Category),OR(sel_Product="All",H1669=sel_Product),AND(S1669&gt;=m_From,S1669&lt;=m_To)),1,0)</f>
        <v/>
      </c>
      <c r="X1669" s="36">
        <f>IF(AND(OR(sel_Region="All",C1669=sel_Region),OR(sel_Country="All",D1669=sel_Country),OR(sel_Channel="All",E1669=sel_Channel),OR(sel_Category="All",G1669=sel_Category),OR(sel_Product="All",H1669=sel_Product),AND(S1669&gt;=m_From,S1669&lt;=m_To)),1,0)</f>
        <v/>
      </c>
      <c r="Y1669" s="36">
        <f>IF(AND(OR(sel_Region="All",C1669=sel_Region),OR(sel_Country="All",D1669=sel_Country),OR(sel_Channel="All",E1669=sel_Channel),OR(sel_Customer="All",F1669=sel_Customer),OR(sel_Product="All",H1669=sel_Product),AND(S1669&gt;=m_From,S1669&lt;=m_To)),1,0)</f>
        <v/>
      </c>
      <c r="Z1669" s="36">
        <f>IF(AND(OR(sel_Region="All",C1669=sel_Region),OR(sel_Country="All",D1669=sel_Country),OR(sel_Channel="All",E1669=sel_Channel),OR(sel_Customer="All",F1669=sel_Customer),OR(sel_Category="All",G1669=sel_Category),AND(S1669&gt;=m_From,S1669&lt;=m_To)),1,0)</f>
        <v/>
      </c>
      <c r="AA1669" s="36">
        <f>IF(AND(OR(sel_Region="All",C1669=sel_Region),OR(sel_Country="All",D1669=sel_Country),OR(sel_Channel="All",E1669=sel_Channel),OR(sel_Customer="All",F1669=sel_Customer),OR(sel_Category="All",G1669=sel_Category),OR(sel_Product="All",H1669=sel_Product)),1,0)</f>
        <v/>
      </c>
    </row>
    <row r="1670">
      <c r="A1670" s="36" t="inlineStr">
        <is>
          <t>04895</t>
        </is>
      </c>
      <c r="B1670" s="44" t="n">
        <v>46250</v>
      </c>
      <c r="C1670" s="36" t="inlineStr">
        <is>
          <t>Southern Europe</t>
        </is>
      </c>
      <c r="D1670" s="36" t="inlineStr">
        <is>
          <t>Italy</t>
        </is>
      </c>
      <c r="E1670" s="36" t="inlineStr">
        <is>
          <t>Retail Partners</t>
        </is>
      </c>
      <c r="F1670" s="36" t="inlineStr">
        <is>
          <t>Business</t>
        </is>
      </c>
      <c r="G1670" s="36" t="inlineStr">
        <is>
          <t>Camping</t>
        </is>
      </c>
      <c r="H1670" s="36" t="inlineStr">
        <is>
          <t>Trail Tent 2P</t>
        </is>
      </c>
      <c r="I1670" s="36" t="n">
        <v>1</v>
      </c>
      <c r="J1670" s="39" t="n">
        <v>191.12</v>
      </c>
      <c r="K1670" s="45" t="n">
        <v>0.05</v>
      </c>
      <c r="L1670" s="39" t="n">
        <v>106.14</v>
      </c>
      <c r="M1670" s="39">
        <f>I1670*J1670*(1-K1670)</f>
        <v/>
      </c>
      <c r="N1670" s="39">
        <f>I1670*L1670</f>
        <v/>
      </c>
      <c r="O1670" s="39">
        <f>M1670-N1670</f>
        <v/>
      </c>
      <c r="P1670" s="38">
        <f>IF(M1670=0,0,O1670/M1670)</f>
        <v/>
      </c>
      <c r="Q1670" s="36">
        <f>YEAR(B1670)</f>
        <v/>
      </c>
      <c r="R1670" s="36">
        <f>"Q"&amp;ROUNDUP(MONTH(B1670)/3,0)</f>
        <v/>
      </c>
      <c r="S1670" s="36">
        <f>MONTH(B1670)</f>
        <v/>
      </c>
      <c r="T1670" s="36">
        <f>TEXT(B1670,"mmm")</f>
        <v/>
      </c>
      <c r="U1670" s="36">
        <f>IF(AND(OR(sel_Region="All",C1670=sel_Region),OR(sel_Country="All",D1670=sel_Country),OR(sel_Channel="All",E1670=sel_Channel),OR(sel_Customer="All",F1670=sel_Customer),OR(sel_Category="All",G1670=sel_Category),OR(sel_Product="All",H1670=sel_Product),AND(S1670&gt;=m_From,S1670&lt;=m_To)),1,0)</f>
        <v/>
      </c>
      <c r="V1670" s="36">
        <f>IF(AND(OR(sel_Region="All",C1670=sel_Region),OR(sel_Channel="All",E1670=sel_Channel),OR(sel_Customer="All",F1670=sel_Customer),OR(sel_Category="All",G1670=sel_Category),OR(sel_Product="All",H1670=sel_Product),AND(S1670&gt;=m_From,S1670&lt;=m_To)),1,0)</f>
        <v/>
      </c>
      <c r="W1670" s="36">
        <f>IF(AND(OR(sel_Region="All",C1670=sel_Region),OR(sel_Country="All",D1670=sel_Country),OR(sel_Customer="All",F1670=sel_Customer),OR(sel_Category="All",G1670=sel_Category),OR(sel_Product="All",H1670=sel_Product),AND(S1670&gt;=m_From,S1670&lt;=m_To)),1,0)</f>
        <v/>
      </c>
      <c r="X1670" s="36">
        <f>IF(AND(OR(sel_Region="All",C1670=sel_Region),OR(sel_Country="All",D1670=sel_Country),OR(sel_Channel="All",E1670=sel_Channel),OR(sel_Category="All",G1670=sel_Category),OR(sel_Product="All",H1670=sel_Product),AND(S1670&gt;=m_From,S1670&lt;=m_To)),1,0)</f>
        <v/>
      </c>
      <c r="Y1670" s="36">
        <f>IF(AND(OR(sel_Region="All",C1670=sel_Region),OR(sel_Country="All",D1670=sel_Country),OR(sel_Channel="All",E1670=sel_Channel),OR(sel_Customer="All",F1670=sel_Customer),OR(sel_Product="All",H1670=sel_Product),AND(S1670&gt;=m_From,S1670&lt;=m_To)),1,0)</f>
        <v/>
      </c>
      <c r="Z1670" s="36">
        <f>IF(AND(OR(sel_Region="All",C1670=sel_Region),OR(sel_Country="All",D1670=sel_Country),OR(sel_Channel="All",E1670=sel_Channel),OR(sel_Customer="All",F1670=sel_Customer),OR(sel_Category="All",G1670=sel_Category),AND(S1670&gt;=m_From,S1670&lt;=m_To)),1,0)</f>
        <v/>
      </c>
      <c r="AA1670" s="36">
        <f>IF(AND(OR(sel_Region="All",C1670=sel_Region),OR(sel_Country="All",D1670=sel_Country),OR(sel_Channel="All",E1670=sel_Channel),OR(sel_Customer="All",F1670=sel_Customer),OR(sel_Category="All",G1670=sel_Category),OR(sel_Product="All",H1670=sel_Product)),1,0)</f>
        <v/>
      </c>
    </row>
    <row r="1671">
      <c r="A1671" s="36" t="inlineStr">
        <is>
          <t>05029</t>
        </is>
      </c>
      <c r="B1671" s="44" t="n">
        <v>46250</v>
      </c>
      <c r="C1671" s="36" t="inlineStr">
        <is>
          <t>Southern Europe</t>
        </is>
      </c>
      <c r="D1671" s="36" t="inlineStr">
        <is>
          <t>Italy</t>
        </is>
      </c>
      <c r="E1671" s="36" t="inlineStr">
        <is>
          <t>Online Store</t>
        </is>
      </c>
      <c r="F1671" s="36" t="inlineStr">
        <is>
          <t>New</t>
        </is>
      </c>
      <c r="G1671" s="36" t="inlineStr">
        <is>
          <t>Hiking</t>
        </is>
      </c>
      <c r="H1671" s="36" t="inlineStr">
        <is>
          <t>Summit Backpack 45L</t>
        </is>
      </c>
      <c r="I1671" s="36" t="n">
        <v>1</v>
      </c>
      <c r="J1671" s="39" t="n">
        <v>156.19</v>
      </c>
      <c r="K1671" s="45" t="n">
        <v>0</v>
      </c>
      <c r="L1671" s="39" t="n">
        <v>79.23999999999999</v>
      </c>
      <c r="M1671" s="39">
        <f>I1671*J1671*(1-K1671)</f>
        <v/>
      </c>
      <c r="N1671" s="39">
        <f>I1671*L1671</f>
        <v/>
      </c>
      <c r="O1671" s="39">
        <f>M1671-N1671</f>
        <v/>
      </c>
      <c r="P1671" s="38">
        <f>IF(M1671=0,0,O1671/M1671)</f>
        <v/>
      </c>
      <c r="Q1671" s="36">
        <f>YEAR(B1671)</f>
        <v/>
      </c>
      <c r="R1671" s="36">
        <f>"Q"&amp;ROUNDUP(MONTH(B1671)/3,0)</f>
        <v/>
      </c>
      <c r="S1671" s="36">
        <f>MONTH(B1671)</f>
        <v/>
      </c>
      <c r="T1671" s="36">
        <f>TEXT(B1671,"mmm")</f>
        <v/>
      </c>
      <c r="U1671" s="36">
        <f>IF(AND(OR(sel_Region="All",C1671=sel_Region),OR(sel_Country="All",D1671=sel_Country),OR(sel_Channel="All",E1671=sel_Channel),OR(sel_Customer="All",F1671=sel_Customer),OR(sel_Category="All",G1671=sel_Category),OR(sel_Product="All",H1671=sel_Product),AND(S1671&gt;=m_From,S1671&lt;=m_To)),1,0)</f>
        <v/>
      </c>
      <c r="V1671" s="36">
        <f>IF(AND(OR(sel_Region="All",C1671=sel_Region),OR(sel_Channel="All",E1671=sel_Channel),OR(sel_Customer="All",F1671=sel_Customer),OR(sel_Category="All",G1671=sel_Category),OR(sel_Product="All",H1671=sel_Product),AND(S1671&gt;=m_From,S1671&lt;=m_To)),1,0)</f>
        <v/>
      </c>
      <c r="W1671" s="36">
        <f>IF(AND(OR(sel_Region="All",C1671=sel_Region),OR(sel_Country="All",D1671=sel_Country),OR(sel_Customer="All",F1671=sel_Customer),OR(sel_Category="All",G1671=sel_Category),OR(sel_Product="All",H1671=sel_Product),AND(S1671&gt;=m_From,S1671&lt;=m_To)),1,0)</f>
        <v/>
      </c>
      <c r="X1671" s="36">
        <f>IF(AND(OR(sel_Region="All",C1671=sel_Region),OR(sel_Country="All",D1671=sel_Country),OR(sel_Channel="All",E1671=sel_Channel),OR(sel_Category="All",G1671=sel_Category),OR(sel_Product="All",H1671=sel_Product),AND(S1671&gt;=m_From,S1671&lt;=m_To)),1,0)</f>
        <v/>
      </c>
      <c r="Y1671" s="36">
        <f>IF(AND(OR(sel_Region="All",C1671=sel_Region),OR(sel_Country="All",D1671=sel_Country),OR(sel_Channel="All",E1671=sel_Channel),OR(sel_Customer="All",F1671=sel_Customer),OR(sel_Product="All",H1671=sel_Product),AND(S1671&gt;=m_From,S1671&lt;=m_To)),1,0)</f>
        <v/>
      </c>
      <c r="Z1671" s="36">
        <f>IF(AND(OR(sel_Region="All",C1671=sel_Region),OR(sel_Country="All",D1671=sel_Country),OR(sel_Channel="All",E1671=sel_Channel),OR(sel_Customer="All",F1671=sel_Customer),OR(sel_Category="All",G1671=sel_Category),AND(S1671&gt;=m_From,S1671&lt;=m_To)),1,0)</f>
        <v/>
      </c>
      <c r="AA1671" s="36">
        <f>IF(AND(OR(sel_Region="All",C1671=sel_Region),OR(sel_Country="All",D1671=sel_Country),OR(sel_Channel="All",E1671=sel_Channel),OR(sel_Customer="All",F1671=sel_Customer),OR(sel_Category="All",G1671=sel_Category),OR(sel_Product="All",H1671=sel_Product)),1,0)</f>
        <v/>
      </c>
    </row>
    <row r="1672">
      <c r="A1672" s="36" t="inlineStr">
        <is>
          <t>01965</t>
        </is>
      </c>
      <c r="B1672" s="44" t="n">
        <v>46251</v>
      </c>
      <c r="C1672" s="36" t="inlineStr">
        <is>
          <t>Central Europe</t>
        </is>
      </c>
      <c r="D1672" s="36" t="inlineStr">
        <is>
          <t>Switzerland</t>
        </is>
      </c>
      <c r="E1672" s="36" t="inlineStr">
        <is>
          <t>Online Store</t>
        </is>
      </c>
      <c r="F1672" s="36" t="inlineStr">
        <is>
          <t>Returning</t>
        </is>
      </c>
      <c r="G1672" s="36" t="inlineStr">
        <is>
          <t>Travel</t>
        </is>
      </c>
      <c r="H1672" s="36" t="inlineStr">
        <is>
          <t>Insulated Bottle</t>
        </is>
      </c>
      <c r="I1672" s="36" t="n">
        <v>4</v>
      </c>
      <c r="J1672" s="39" t="n">
        <v>36.93</v>
      </c>
      <c r="K1672" s="45" t="n">
        <v>0</v>
      </c>
      <c r="L1672" s="39" t="n">
        <v>13.36</v>
      </c>
      <c r="M1672" s="39">
        <f>I1672*J1672*(1-K1672)</f>
        <v/>
      </c>
      <c r="N1672" s="39">
        <f>I1672*L1672</f>
        <v/>
      </c>
      <c r="O1672" s="39">
        <f>M1672-N1672</f>
        <v/>
      </c>
      <c r="P1672" s="38">
        <f>IF(M1672=0,0,O1672/M1672)</f>
        <v/>
      </c>
      <c r="Q1672" s="36">
        <f>YEAR(B1672)</f>
        <v/>
      </c>
      <c r="R1672" s="36">
        <f>"Q"&amp;ROUNDUP(MONTH(B1672)/3,0)</f>
        <v/>
      </c>
      <c r="S1672" s="36">
        <f>MONTH(B1672)</f>
        <v/>
      </c>
      <c r="T1672" s="36">
        <f>TEXT(B1672,"mmm")</f>
        <v/>
      </c>
      <c r="U1672" s="36">
        <f>IF(AND(OR(sel_Region="All",C1672=sel_Region),OR(sel_Country="All",D1672=sel_Country),OR(sel_Channel="All",E1672=sel_Channel),OR(sel_Customer="All",F1672=sel_Customer),OR(sel_Category="All",G1672=sel_Category),OR(sel_Product="All",H1672=sel_Product),AND(S1672&gt;=m_From,S1672&lt;=m_To)),1,0)</f>
        <v/>
      </c>
      <c r="V1672" s="36">
        <f>IF(AND(OR(sel_Region="All",C1672=sel_Region),OR(sel_Channel="All",E1672=sel_Channel),OR(sel_Customer="All",F1672=sel_Customer),OR(sel_Category="All",G1672=sel_Category),OR(sel_Product="All",H1672=sel_Product),AND(S1672&gt;=m_From,S1672&lt;=m_To)),1,0)</f>
        <v/>
      </c>
      <c r="W1672" s="36">
        <f>IF(AND(OR(sel_Region="All",C1672=sel_Region),OR(sel_Country="All",D1672=sel_Country),OR(sel_Customer="All",F1672=sel_Customer),OR(sel_Category="All",G1672=sel_Category),OR(sel_Product="All",H1672=sel_Product),AND(S1672&gt;=m_From,S1672&lt;=m_To)),1,0)</f>
        <v/>
      </c>
      <c r="X1672" s="36">
        <f>IF(AND(OR(sel_Region="All",C1672=sel_Region),OR(sel_Country="All",D1672=sel_Country),OR(sel_Channel="All",E1672=sel_Channel),OR(sel_Category="All",G1672=sel_Category),OR(sel_Product="All",H1672=sel_Product),AND(S1672&gt;=m_From,S1672&lt;=m_To)),1,0)</f>
        <v/>
      </c>
      <c r="Y1672" s="36">
        <f>IF(AND(OR(sel_Region="All",C1672=sel_Region),OR(sel_Country="All",D1672=sel_Country),OR(sel_Channel="All",E1672=sel_Channel),OR(sel_Customer="All",F1672=sel_Customer),OR(sel_Product="All",H1672=sel_Product),AND(S1672&gt;=m_From,S1672&lt;=m_To)),1,0)</f>
        <v/>
      </c>
      <c r="Z1672" s="36">
        <f>IF(AND(OR(sel_Region="All",C1672=sel_Region),OR(sel_Country="All",D1672=sel_Country),OR(sel_Channel="All",E1672=sel_Channel),OR(sel_Customer="All",F1672=sel_Customer),OR(sel_Category="All",G1672=sel_Category),AND(S1672&gt;=m_From,S1672&lt;=m_To)),1,0)</f>
        <v/>
      </c>
      <c r="AA1672" s="36">
        <f>IF(AND(OR(sel_Region="All",C1672=sel_Region),OR(sel_Country="All",D1672=sel_Country),OR(sel_Channel="All",E1672=sel_Channel),OR(sel_Customer="All",F1672=sel_Customer),OR(sel_Category="All",G1672=sel_Category),OR(sel_Product="All",H1672=sel_Product)),1,0)</f>
        <v/>
      </c>
    </row>
    <row r="1673">
      <c r="A1673" s="36" t="inlineStr">
        <is>
          <t>03647</t>
        </is>
      </c>
      <c r="B1673" s="44" t="n">
        <v>46251</v>
      </c>
      <c r="C1673" s="36" t="inlineStr">
        <is>
          <t>Central Europe</t>
        </is>
      </c>
      <c r="D1673" s="36" t="inlineStr">
        <is>
          <t>Germany</t>
        </is>
      </c>
      <c r="E1673" s="36" t="inlineStr">
        <is>
          <t>Retail Partners</t>
        </is>
      </c>
      <c r="F1673" s="36" t="inlineStr">
        <is>
          <t>Returning</t>
        </is>
      </c>
      <c r="G1673" s="36" t="inlineStr">
        <is>
          <t>Cycling</t>
        </is>
      </c>
      <c r="H1673" s="36" t="inlineStr">
        <is>
          <t>Cycling Pack 12L</t>
        </is>
      </c>
      <c r="I1673" s="36" t="n">
        <v>3</v>
      </c>
      <c r="J1673" s="39" t="n">
        <v>104.96</v>
      </c>
      <c r="K1673" s="45" t="n">
        <v>0.05</v>
      </c>
      <c r="L1673" s="39" t="n">
        <v>51.66</v>
      </c>
      <c r="M1673" s="39">
        <f>I1673*J1673*(1-K1673)</f>
        <v/>
      </c>
      <c r="N1673" s="39">
        <f>I1673*L1673</f>
        <v/>
      </c>
      <c r="O1673" s="39">
        <f>M1673-N1673</f>
        <v/>
      </c>
      <c r="P1673" s="38">
        <f>IF(M1673=0,0,O1673/M1673)</f>
        <v/>
      </c>
      <c r="Q1673" s="36">
        <f>YEAR(B1673)</f>
        <v/>
      </c>
      <c r="R1673" s="36">
        <f>"Q"&amp;ROUNDUP(MONTH(B1673)/3,0)</f>
        <v/>
      </c>
      <c r="S1673" s="36">
        <f>MONTH(B1673)</f>
        <v/>
      </c>
      <c r="T1673" s="36">
        <f>TEXT(B1673,"mmm")</f>
        <v/>
      </c>
      <c r="U1673" s="36">
        <f>IF(AND(OR(sel_Region="All",C1673=sel_Region),OR(sel_Country="All",D1673=sel_Country),OR(sel_Channel="All",E1673=sel_Channel),OR(sel_Customer="All",F1673=sel_Customer),OR(sel_Category="All",G1673=sel_Category),OR(sel_Product="All",H1673=sel_Product),AND(S1673&gt;=m_From,S1673&lt;=m_To)),1,0)</f>
        <v/>
      </c>
      <c r="V1673" s="36">
        <f>IF(AND(OR(sel_Region="All",C1673=sel_Region),OR(sel_Channel="All",E1673=sel_Channel),OR(sel_Customer="All",F1673=sel_Customer),OR(sel_Category="All",G1673=sel_Category),OR(sel_Product="All",H1673=sel_Product),AND(S1673&gt;=m_From,S1673&lt;=m_To)),1,0)</f>
        <v/>
      </c>
      <c r="W1673" s="36">
        <f>IF(AND(OR(sel_Region="All",C1673=sel_Region),OR(sel_Country="All",D1673=sel_Country),OR(sel_Customer="All",F1673=sel_Customer),OR(sel_Category="All",G1673=sel_Category),OR(sel_Product="All",H1673=sel_Product),AND(S1673&gt;=m_From,S1673&lt;=m_To)),1,0)</f>
        <v/>
      </c>
      <c r="X1673" s="36">
        <f>IF(AND(OR(sel_Region="All",C1673=sel_Region),OR(sel_Country="All",D1673=sel_Country),OR(sel_Channel="All",E1673=sel_Channel),OR(sel_Category="All",G1673=sel_Category),OR(sel_Product="All",H1673=sel_Product),AND(S1673&gt;=m_From,S1673&lt;=m_To)),1,0)</f>
        <v/>
      </c>
      <c r="Y1673" s="36">
        <f>IF(AND(OR(sel_Region="All",C1673=sel_Region),OR(sel_Country="All",D1673=sel_Country),OR(sel_Channel="All",E1673=sel_Channel),OR(sel_Customer="All",F1673=sel_Customer),OR(sel_Product="All",H1673=sel_Product),AND(S1673&gt;=m_From,S1673&lt;=m_To)),1,0)</f>
        <v/>
      </c>
      <c r="Z1673" s="36">
        <f>IF(AND(OR(sel_Region="All",C1673=sel_Region),OR(sel_Country="All",D1673=sel_Country),OR(sel_Channel="All",E1673=sel_Channel),OR(sel_Customer="All",F1673=sel_Customer),OR(sel_Category="All",G1673=sel_Category),AND(S1673&gt;=m_From,S1673&lt;=m_To)),1,0)</f>
        <v/>
      </c>
      <c r="AA1673" s="36">
        <f>IF(AND(OR(sel_Region="All",C1673=sel_Region),OR(sel_Country="All",D1673=sel_Country),OR(sel_Channel="All",E1673=sel_Channel),OR(sel_Customer="All",F1673=sel_Customer),OR(sel_Category="All",G1673=sel_Category),OR(sel_Product="All",H1673=sel_Product)),1,0)</f>
        <v/>
      </c>
    </row>
    <row r="1674">
      <c r="A1674" s="36" t="inlineStr">
        <is>
          <t>03918</t>
        </is>
      </c>
      <c r="B1674" s="44" t="n">
        <v>46251</v>
      </c>
      <c r="C1674" s="36" t="inlineStr">
        <is>
          <t>Central Europe</t>
        </is>
      </c>
      <c r="D1674" s="36" t="inlineStr">
        <is>
          <t>Czechia</t>
        </is>
      </c>
      <c r="E1674" s="36" t="inlineStr">
        <is>
          <t>Marketplace</t>
        </is>
      </c>
      <c r="F1674" s="36" t="inlineStr">
        <is>
          <t>New</t>
        </is>
      </c>
      <c r="G1674" s="36" t="inlineStr">
        <is>
          <t>Travel</t>
        </is>
      </c>
      <c r="H1674" s="36" t="inlineStr">
        <is>
          <t>Travel Backpack 35L</t>
        </is>
      </c>
      <c r="I1674" s="36" t="n">
        <v>3</v>
      </c>
      <c r="J1674" s="39" t="n">
        <v>168.51</v>
      </c>
      <c r="K1674" s="45" t="n">
        <v>0</v>
      </c>
      <c r="L1674" s="39" t="n">
        <v>85.34</v>
      </c>
      <c r="M1674" s="39">
        <f>I1674*J1674*(1-K1674)</f>
        <v/>
      </c>
      <c r="N1674" s="39">
        <f>I1674*L1674</f>
        <v/>
      </c>
      <c r="O1674" s="39">
        <f>M1674-N1674</f>
        <v/>
      </c>
      <c r="P1674" s="38">
        <f>IF(M1674=0,0,O1674/M1674)</f>
        <v/>
      </c>
      <c r="Q1674" s="36">
        <f>YEAR(B1674)</f>
        <v/>
      </c>
      <c r="R1674" s="36">
        <f>"Q"&amp;ROUNDUP(MONTH(B1674)/3,0)</f>
        <v/>
      </c>
      <c r="S1674" s="36">
        <f>MONTH(B1674)</f>
        <v/>
      </c>
      <c r="T1674" s="36">
        <f>TEXT(B1674,"mmm")</f>
        <v/>
      </c>
      <c r="U1674" s="36">
        <f>IF(AND(OR(sel_Region="All",C1674=sel_Region),OR(sel_Country="All",D1674=sel_Country),OR(sel_Channel="All",E1674=sel_Channel),OR(sel_Customer="All",F1674=sel_Customer),OR(sel_Category="All",G1674=sel_Category),OR(sel_Product="All",H1674=sel_Product),AND(S1674&gt;=m_From,S1674&lt;=m_To)),1,0)</f>
        <v/>
      </c>
      <c r="V1674" s="36">
        <f>IF(AND(OR(sel_Region="All",C1674=sel_Region),OR(sel_Channel="All",E1674=sel_Channel),OR(sel_Customer="All",F1674=sel_Customer),OR(sel_Category="All",G1674=sel_Category),OR(sel_Product="All",H1674=sel_Product),AND(S1674&gt;=m_From,S1674&lt;=m_To)),1,0)</f>
        <v/>
      </c>
      <c r="W1674" s="36">
        <f>IF(AND(OR(sel_Region="All",C1674=sel_Region),OR(sel_Country="All",D1674=sel_Country),OR(sel_Customer="All",F1674=sel_Customer),OR(sel_Category="All",G1674=sel_Category),OR(sel_Product="All",H1674=sel_Product),AND(S1674&gt;=m_From,S1674&lt;=m_To)),1,0)</f>
        <v/>
      </c>
      <c r="X1674" s="36">
        <f>IF(AND(OR(sel_Region="All",C1674=sel_Region),OR(sel_Country="All",D1674=sel_Country),OR(sel_Channel="All",E1674=sel_Channel),OR(sel_Category="All",G1674=sel_Category),OR(sel_Product="All",H1674=sel_Product),AND(S1674&gt;=m_From,S1674&lt;=m_To)),1,0)</f>
        <v/>
      </c>
      <c r="Y1674" s="36">
        <f>IF(AND(OR(sel_Region="All",C1674=sel_Region),OR(sel_Country="All",D1674=sel_Country),OR(sel_Channel="All",E1674=sel_Channel),OR(sel_Customer="All",F1674=sel_Customer),OR(sel_Product="All",H1674=sel_Product),AND(S1674&gt;=m_From,S1674&lt;=m_To)),1,0)</f>
        <v/>
      </c>
      <c r="Z1674" s="36">
        <f>IF(AND(OR(sel_Region="All",C1674=sel_Region),OR(sel_Country="All",D1674=sel_Country),OR(sel_Channel="All",E1674=sel_Channel),OR(sel_Customer="All",F1674=sel_Customer),OR(sel_Category="All",G1674=sel_Category),AND(S1674&gt;=m_From,S1674&lt;=m_To)),1,0)</f>
        <v/>
      </c>
      <c r="AA1674" s="36">
        <f>IF(AND(OR(sel_Region="All",C1674=sel_Region),OR(sel_Country="All",D1674=sel_Country),OR(sel_Channel="All",E1674=sel_Channel),OR(sel_Customer="All",F1674=sel_Customer),OR(sel_Category="All",G1674=sel_Category),OR(sel_Product="All",H1674=sel_Product)),1,0)</f>
        <v/>
      </c>
    </row>
    <row r="1675">
      <c r="A1675" s="36" t="inlineStr">
        <is>
          <t>04256</t>
        </is>
      </c>
      <c r="B1675" s="44" t="n">
        <v>46251</v>
      </c>
      <c r="C1675" s="36" t="inlineStr">
        <is>
          <t>Central Europe</t>
        </is>
      </c>
      <c r="D1675" s="36" t="inlineStr">
        <is>
          <t>Germany</t>
        </is>
      </c>
      <c r="E1675" s="36" t="inlineStr">
        <is>
          <t>Retail Partners</t>
        </is>
      </c>
      <c r="F1675" s="36" t="inlineStr">
        <is>
          <t>New</t>
        </is>
      </c>
      <c r="G1675" s="36" t="inlineStr">
        <is>
          <t>Travel</t>
        </is>
      </c>
      <c r="H1675" s="36" t="inlineStr">
        <is>
          <t>Packing Cube Set</t>
        </is>
      </c>
      <c r="I1675" s="36" t="n">
        <v>1</v>
      </c>
      <c r="J1675" s="39" t="n">
        <v>46.44</v>
      </c>
      <c r="K1675" s="45" t="n">
        <v>0.05</v>
      </c>
      <c r="L1675" s="39" t="n">
        <v>18.59</v>
      </c>
      <c r="M1675" s="39">
        <f>I1675*J1675*(1-K1675)</f>
        <v/>
      </c>
      <c r="N1675" s="39">
        <f>I1675*L1675</f>
        <v/>
      </c>
      <c r="O1675" s="39">
        <f>M1675-N1675</f>
        <v/>
      </c>
      <c r="P1675" s="38">
        <f>IF(M1675=0,0,O1675/M1675)</f>
        <v/>
      </c>
      <c r="Q1675" s="36">
        <f>YEAR(B1675)</f>
        <v/>
      </c>
      <c r="R1675" s="36">
        <f>"Q"&amp;ROUNDUP(MONTH(B1675)/3,0)</f>
        <v/>
      </c>
      <c r="S1675" s="36">
        <f>MONTH(B1675)</f>
        <v/>
      </c>
      <c r="T1675" s="36">
        <f>TEXT(B1675,"mmm")</f>
        <v/>
      </c>
      <c r="U1675" s="36">
        <f>IF(AND(OR(sel_Region="All",C1675=sel_Region),OR(sel_Country="All",D1675=sel_Country),OR(sel_Channel="All",E1675=sel_Channel),OR(sel_Customer="All",F1675=sel_Customer),OR(sel_Category="All",G1675=sel_Category),OR(sel_Product="All",H1675=sel_Product),AND(S1675&gt;=m_From,S1675&lt;=m_To)),1,0)</f>
        <v/>
      </c>
      <c r="V1675" s="36">
        <f>IF(AND(OR(sel_Region="All",C1675=sel_Region),OR(sel_Channel="All",E1675=sel_Channel),OR(sel_Customer="All",F1675=sel_Customer),OR(sel_Category="All",G1675=sel_Category),OR(sel_Product="All",H1675=sel_Product),AND(S1675&gt;=m_From,S1675&lt;=m_To)),1,0)</f>
        <v/>
      </c>
      <c r="W1675" s="36">
        <f>IF(AND(OR(sel_Region="All",C1675=sel_Region),OR(sel_Country="All",D1675=sel_Country),OR(sel_Customer="All",F1675=sel_Customer),OR(sel_Category="All",G1675=sel_Category),OR(sel_Product="All",H1675=sel_Product),AND(S1675&gt;=m_From,S1675&lt;=m_To)),1,0)</f>
        <v/>
      </c>
      <c r="X1675" s="36">
        <f>IF(AND(OR(sel_Region="All",C1675=sel_Region),OR(sel_Country="All",D1675=sel_Country),OR(sel_Channel="All",E1675=sel_Channel),OR(sel_Category="All",G1675=sel_Category),OR(sel_Product="All",H1675=sel_Product),AND(S1675&gt;=m_From,S1675&lt;=m_To)),1,0)</f>
        <v/>
      </c>
      <c r="Y1675" s="36">
        <f>IF(AND(OR(sel_Region="All",C1675=sel_Region),OR(sel_Country="All",D1675=sel_Country),OR(sel_Channel="All",E1675=sel_Channel),OR(sel_Customer="All",F1675=sel_Customer),OR(sel_Product="All",H1675=sel_Product),AND(S1675&gt;=m_From,S1675&lt;=m_To)),1,0)</f>
        <v/>
      </c>
      <c r="Z1675" s="36">
        <f>IF(AND(OR(sel_Region="All",C1675=sel_Region),OR(sel_Country="All",D1675=sel_Country),OR(sel_Channel="All",E1675=sel_Channel),OR(sel_Customer="All",F1675=sel_Customer),OR(sel_Category="All",G1675=sel_Category),AND(S1675&gt;=m_From,S1675&lt;=m_To)),1,0)</f>
        <v/>
      </c>
      <c r="AA1675" s="36">
        <f>IF(AND(OR(sel_Region="All",C1675=sel_Region),OR(sel_Country="All",D1675=sel_Country),OR(sel_Channel="All",E1675=sel_Channel),OR(sel_Customer="All",F1675=sel_Customer),OR(sel_Category="All",G1675=sel_Category),OR(sel_Product="All",H1675=sel_Product)),1,0)</f>
        <v/>
      </c>
    </row>
    <row r="1676">
      <c r="A1676" s="36" t="inlineStr">
        <is>
          <t>05087</t>
        </is>
      </c>
      <c r="B1676" s="44" t="n">
        <v>46251</v>
      </c>
      <c r="C1676" s="36" t="inlineStr">
        <is>
          <t>Southern Europe</t>
        </is>
      </c>
      <c r="D1676" s="36" t="inlineStr">
        <is>
          <t>Spain</t>
        </is>
      </c>
      <c r="E1676" s="36" t="inlineStr">
        <is>
          <t>Online Store</t>
        </is>
      </c>
      <c r="F1676" s="36" t="inlineStr">
        <is>
          <t>New</t>
        </is>
      </c>
      <c r="G1676" s="36" t="inlineStr">
        <is>
          <t>Hiking</t>
        </is>
      </c>
      <c r="H1676" s="36" t="inlineStr">
        <is>
          <t>Trekking Poles</t>
        </is>
      </c>
      <c r="I1676" s="36" t="n">
        <v>1</v>
      </c>
      <c r="J1676" s="39" t="n">
        <v>69.90000000000001</v>
      </c>
      <c r="K1676" s="45" t="n">
        <v>0.1</v>
      </c>
      <c r="L1676" s="39" t="n">
        <v>31.43</v>
      </c>
      <c r="M1676" s="39">
        <f>I1676*J1676*(1-K1676)</f>
        <v/>
      </c>
      <c r="N1676" s="39">
        <f>I1676*L1676</f>
        <v/>
      </c>
      <c r="O1676" s="39">
        <f>M1676-N1676</f>
        <v/>
      </c>
      <c r="P1676" s="38">
        <f>IF(M1676=0,0,O1676/M1676)</f>
        <v/>
      </c>
      <c r="Q1676" s="36">
        <f>YEAR(B1676)</f>
        <v/>
      </c>
      <c r="R1676" s="36">
        <f>"Q"&amp;ROUNDUP(MONTH(B1676)/3,0)</f>
        <v/>
      </c>
      <c r="S1676" s="36">
        <f>MONTH(B1676)</f>
        <v/>
      </c>
      <c r="T1676" s="36">
        <f>TEXT(B1676,"mmm")</f>
        <v/>
      </c>
      <c r="U1676" s="36">
        <f>IF(AND(OR(sel_Region="All",C1676=sel_Region),OR(sel_Country="All",D1676=sel_Country),OR(sel_Channel="All",E1676=sel_Channel),OR(sel_Customer="All",F1676=sel_Customer),OR(sel_Category="All",G1676=sel_Category),OR(sel_Product="All",H1676=sel_Product),AND(S1676&gt;=m_From,S1676&lt;=m_To)),1,0)</f>
        <v/>
      </c>
      <c r="V1676" s="36">
        <f>IF(AND(OR(sel_Region="All",C1676=sel_Region),OR(sel_Channel="All",E1676=sel_Channel),OR(sel_Customer="All",F1676=sel_Customer),OR(sel_Category="All",G1676=sel_Category),OR(sel_Product="All",H1676=sel_Product),AND(S1676&gt;=m_From,S1676&lt;=m_To)),1,0)</f>
        <v/>
      </c>
      <c r="W1676" s="36">
        <f>IF(AND(OR(sel_Region="All",C1676=sel_Region),OR(sel_Country="All",D1676=sel_Country),OR(sel_Customer="All",F1676=sel_Customer),OR(sel_Category="All",G1676=sel_Category),OR(sel_Product="All",H1676=sel_Product),AND(S1676&gt;=m_From,S1676&lt;=m_To)),1,0)</f>
        <v/>
      </c>
      <c r="X1676" s="36">
        <f>IF(AND(OR(sel_Region="All",C1676=sel_Region),OR(sel_Country="All",D1676=sel_Country),OR(sel_Channel="All",E1676=sel_Channel),OR(sel_Category="All",G1676=sel_Category),OR(sel_Product="All",H1676=sel_Product),AND(S1676&gt;=m_From,S1676&lt;=m_To)),1,0)</f>
        <v/>
      </c>
      <c r="Y1676" s="36">
        <f>IF(AND(OR(sel_Region="All",C1676=sel_Region),OR(sel_Country="All",D1676=sel_Country),OR(sel_Channel="All",E1676=sel_Channel),OR(sel_Customer="All",F1676=sel_Customer),OR(sel_Product="All",H1676=sel_Product),AND(S1676&gt;=m_From,S1676&lt;=m_To)),1,0)</f>
        <v/>
      </c>
      <c r="Z1676" s="36">
        <f>IF(AND(OR(sel_Region="All",C1676=sel_Region),OR(sel_Country="All",D1676=sel_Country),OR(sel_Channel="All",E1676=sel_Channel),OR(sel_Customer="All",F1676=sel_Customer),OR(sel_Category="All",G1676=sel_Category),AND(S1676&gt;=m_From,S1676&lt;=m_To)),1,0)</f>
        <v/>
      </c>
      <c r="AA1676" s="36">
        <f>IF(AND(OR(sel_Region="All",C1676=sel_Region),OR(sel_Country="All",D1676=sel_Country),OR(sel_Channel="All",E1676=sel_Channel),OR(sel_Customer="All",F1676=sel_Customer),OR(sel_Category="All",G1676=sel_Category),OR(sel_Product="All",H1676=sel_Product)),1,0)</f>
        <v/>
      </c>
    </row>
    <row r="1677">
      <c r="A1677" s="36" t="inlineStr">
        <is>
          <t>01921</t>
        </is>
      </c>
      <c r="B1677" s="44" t="n">
        <v>46252</v>
      </c>
      <c r="C1677" s="36" t="inlineStr">
        <is>
          <t>Western Europe</t>
        </is>
      </c>
      <c r="D1677" s="36" t="inlineStr">
        <is>
          <t>France</t>
        </is>
      </c>
      <c r="E1677" s="36" t="inlineStr">
        <is>
          <t>Online Store</t>
        </is>
      </c>
      <c r="F1677" s="36" t="inlineStr">
        <is>
          <t>New</t>
        </is>
      </c>
      <c r="G1677" s="36" t="inlineStr">
        <is>
          <t>Cycling</t>
        </is>
      </c>
      <c r="H1677" s="36" t="inlineStr">
        <is>
          <t>Compact Repair Kit</t>
        </is>
      </c>
      <c r="I1677" s="36" t="n">
        <v>2</v>
      </c>
      <c r="J1677" s="39" t="n">
        <v>39.83</v>
      </c>
      <c r="K1677" s="45" t="n">
        <v>0</v>
      </c>
      <c r="L1677" s="39" t="n">
        <v>17.18</v>
      </c>
      <c r="M1677" s="39">
        <f>I1677*J1677*(1-K1677)</f>
        <v/>
      </c>
      <c r="N1677" s="39">
        <f>I1677*L1677</f>
        <v/>
      </c>
      <c r="O1677" s="39">
        <f>M1677-N1677</f>
        <v/>
      </c>
      <c r="P1677" s="38">
        <f>IF(M1677=0,0,O1677/M1677)</f>
        <v/>
      </c>
      <c r="Q1677" s="36">
        <f>YEAR(B1677)</f>
        <v/>
      </c>
      <c r="R1677" s="36">
        <f>"Q"&amp;ROUNDUP(MONTH(B1677)/3,0)</f>
        <v/>
      </c>
      <c r="S1677" s="36">
        <f>MONTH(B1677)</f>
        <v/>
      </c>
      <c r="T1677" s="36">
        <f>TEXT(B1677,"mmm")</f>
        <v/>
      </c>
      <c r="U1677" s="36">
        <f>IF(AND(OR(sel_Region="All",C1677=sel_Region),OR(sel_Country="All",D1677=sel_Country),OR(sel_Channel="All",E1677=sel_Channel),OR(sel_Customer="All",F1677=sel_Customer),OR(sel_Category="All",G1677=sel_Category),OR(sel_Product="All",H1677=sel_Product),AND(S1677&gt;=m_From,S1677&lt;=m_To)),1,0)</f>
        <v/>
      </c>
      <c r="V1677" s="36">
        <f>IF(AND(OR(sel_Region="All",C1677=sel_Region),OR(sel_Channel="All",E1677=sel_Channel),OR(sel_Customer="All",F1677=sel_Customer),OR(sel_Category="All",G1677=sel_Category),OR(sel_Product="All",H1677=sel_Product),AND(S1677&gt;=m_From,S1677&lt;=m_To)),1,0)</f>
        <v/>
      </c>
      <c r="W1677" s="36">
        <f>IF(AND(OR(sel_Region="All",C1677=sel_Region),OR(sel_Country="All",D1677=sel_Country),OR(sel_Customer="All",F1677=sel_Customer),OR(sel_Category="All",G1677=sel_Category),OR(sel_Product="All",H1677=sel_Product),AND(S1677&gt;=m_From,S1677&lt;=m_To)),1,0)</f>
        <v/>
      </c>
      <c r="X1677" s="36">
        <f>IF(AND(OR(sel_Region="All",C1677=sel_Region),OR(sel_Country="All",D1677=sel_Country),OR(sel_Channel="All",E1677=sel_Channel),OR(sel_Category="All",G1677=sel_Category),OR(sel_Product="All",H1677=sel_Product),AND(S1677&gt;=m_From,S1677&lt;=m_To)),1,0)</f>
        <v/>
      </c>
      <c r="Y1677" s="36">
        <f>IF(AND(OR(sel_Region="All",C1677=sel_Region),OR(sel_Country="All",D1677=sel_Country),OR(sel_Channel="All",E1677=sel_Channel),OR(sel_Customer="All",F1677=sel_Customer),OR(sel_Product="All",H1677=sel_Product),AND(S1677&gt;=m_From,S1677&lt;=m_To)),1,0)</f>
        <v/>
      </c>
      <c r="Z1677" s="36">
        <f>IF(AND(OR(sel_Region="All",C1677=sel_Region),OR(sel_Country="All",D1677=sel_Country),OR(sel_Channel="All",E1677=sel_Channel),OR(sel_Customer="All",F1677=sel_Customer),OR(sel_Category="All",G1677=sel_Category),AND(S1677&gt;=m_From,S1677&lt;=m_To)),1,0)</f>
        <v/>
      </c>
      <c r="AA1677" s="36">
        <f>IF(AND(OR(sel_Region="All",C1677=sel_Region),OR(sel_Country="All",D1677=sel_Country),OR(sel_Channel="All",E1677=sel_Channel),OR(sel_Customer="All",F1677=sel_Customer),OR(sel_Category="All",G1677=sel_Category),OR(sel_Product="All",H1677=sel_Product)),1,0)</f>
        <v/>
      </c>
    </row>
    <row r="1678">
      <c r="A1678" s="36" t="inlineStr">
        <is>
          <t>01966</t>
        </is>
      </c>
      <c r="B1678" s="44" t="n">
        <v>46252</v>
      </c>
      <c r="C1678" s="36" t="inlineStr">
        <is>
          <t>Southern Europe</t>
        </is>
      </c>
      <c r="D1678" s="36" t="inlineStr">
        <is>
          <t>Portugal</t>
        </is>
      </c>
      <c r="E1678" s="36" t="inlineStr">
        <is>
          <t>Online Store</t>
        </is>
      </c>
      <c r="F1678" s="36" t="inlineStr">
        <is>
          <t>New</t>
        </is>
      </c>
      <c r="G1678" s="36" t="inlineStr">
        <is>
          <t>Travel</t>
        </is>
      </c>
      <c r="H1678" s="36" t="inlineStr">
        <is>
          <t>Insulated Bottle</t>
        </is>
      </c>
      <c r="I1678" s="36" t="n">
        <v>2</v>
      </c>
      <c r="J1678" s="39" t="n">
        <v>36.02</v>
      </c>
      <c r="K1678" s="45" t="n">
        <v>0</v>
      </c>
      <c r="L1678" s="39" t="n">
        <v>13.87</v>
      </c>
      <c r="M1678" s="39">
        <f>I1678*J1678*(1-K1678)</f>
        <v/>
      </c>
      <c r="N1678" s="39">
        <f>I1678*L1678</f>
        <v/>
      </c>
      <c r="O1678" s="39">
        <f>M1678-N1678</f>
        <v/>
      </c>
      <c r="P1678" s="38">
        <f>IF(M1678=0,0,O1678/M1678)</f>
        <v/>
      </c>
      <c r="Q1678" s="36">
        <f>YEAR(B1678)</f>
        <v/>
      </c>
      <c r="R1678" s="36">
        <f>"Q"&amp;ROUNDUP(MONTH(B1678)/3,0)</f>
        <v/>
      </c>
      <c r="S1678" s="36">
        <f>MONTH(B1678)</f>
        <v/>
      </c>
      <c r="T1678" s="36">
        <f>TEXT(B1678,"mmm")</f>
        <v/>
      </c>
      <c r="U1678" s="36">
        <f>IF(AND(OR(sel_Region="All",C1678=sel_Region),OR(sel_Country="All",D1678=sel_Country),OR(sel_Channel="All",E1678=sel_Channel),OR(sel_Customer="All",F1678=sel_Customer),OR(sel_Category="All",G1678=sel_Category),OR(sel_Product="All",H1678=sel_Product),AND(S1678&gt;=m_From,S1678&lt;=m_To)),1,0)</f>
        <v/>
      </c>
      <c r="V1678" s="36">
        <f>IF(AND(OR(sel_Region="All",C1678=sel_Region),OR(sel_Channel="All",E1678=sel_Channel),OR(sel_Customer="All",F1678=sel_Customer),OR(sel_Category="All",G1678=sel_Category),OR(sel_Product="All",H1678=sel_Product),AND(S1678&gt;=m_From,S1678&lt;=m_To)),1,0)</f>
        <v/>
      </c>
      <c r="W1678" s="36">
        <f>IF(AND(OR(sel_Region="All",C1678=sel_Region),OR(sel_Country="All",D1678=sel_Country),OR(sel_Customer="All",F1678=sel_Customer),OR(sel_Category="All",G1678=sel_Category),OR(sel_Product="All",H1678=sel_Product),AND(S1678&gt;=m_From,S1678&lt;=m_To)),1,0)</f>
        <v/>
      </c>
      <c r="X1678" s="36">
        <f>IF(AND(OR(sel_Region="All",C1678=sel_Region),OR(sel_Country="All",D1678=sel_Country),OR(sel_Channel="All",E1678=sel_Channel),OR(sel_Category="All",G1678=sel_Category),OR(sel_Product="All",H1678=sel_Product),AND(S1678&gt;=m_From,S1678&lt;=m_To)),1,0)</f>
        <v/>
      </c>
      <c r="Y1678" s="36">
        <f>IF(AND(OR(sel_Region="All",C1678=sel_Region),OR(sel_Country="All",D1678=sel_Country),OR(sel_Channel="All",E1678=sel_Channel),OR(sel_Customer="All",F1678=sel_Customer),OR(sel_Product="All",H1678=sel_Product),AND(S1678&gt;=m_From,S1678&lt;=m_To)),1,0)</f>
        <v/>
      </c>
      <c r="Z1678" s="36">
        <f>IF(AND(OR(sel_Region="All",C1678=sel_Region),OR(sel_Country="All",D1678=sel_Country),OR(sel_Channel="All",E1678=sel_Channel),OR(sel_Customer="All",F1678=sel_Customer),OR(sel_Category="All",G1678=sel_Category),AND(S1678&gt;=m_From,S1678&lt;=m_To)),1,0)</f>
        <v/>
      </c>
      <c r="AA1678" s="36">
        <f>IF(AND(OR(sel_Region="All",C1678=sel_Region),OR(sel_Country="All",D1678=sel_Country),OR(sel_Channel="All",E1678=sel_Channel),OR(sel_Customer="All",F1678=sel_Customer),OR(sel_Category="All",G1678=sel_Category),OR(sel_Product="All",H1678=sel_Product)),1,0)</f>
        <v/>
      </c>
    </row>
    <row r="1679">
      <c r="A1679" s="36" t="inlineStr">
        <is>
          <t>02431</t>
        </is>
      </c>
      <c r="B1679" s="44" t="n">
        <v>46252</v>
      </c>
      <c r="C1679" s="36" t="inlineStr">
        <is>
          <t>Southern Europe</t>
        </is>
      </c>
      <c r="D1679" s="36" t="inlineStr">
        <is>
          <t>Italy</t>
        </is>
      </c>
      <c r="E1679" s="36" t="inlineStr">
        <is>
          <t>Marketplace</t>
        </is>
      </c>
      <c r="F1679" s="36" t="inlineStr">
        <is>
          <t>Business</t>
        </is>
      </c>
      <c r="G1679" s="36" t="inlineStr">
        <is>
          <t>Fitness</t>
        </is>
      </c>
      <c r="H1679" s="36" t="inlineStr">
        <is>
          <t>Weighted Vest</t>
        </is>
      </c>
      <c r="I1679" s="36" t="n">
        <v>3</v>
      </c>
      <c r="J1679" s="39" t="n">
        <v>125.31</v>
      </c>
      <c r="K1679" s="45" t="n">
        <v>0</v>
      </c>
      <c r="L1679" s="39" t="n">
        <v>67.64</v>
      </c>
      <c r="M1679" s="39">
        <f>I1679*J1679*(1-K1679)</f>
        <v/>
      </c>
      <c r="N1679" s="39">
        <f>I1679*L1679</f>
        <v/>
      </c>
      <c r="O1679" s="39">
        <f>M1679-N1679</f>
        <v/>
      </c>
      <c r="P1679" s="38">
        <f>IF(M1679=0,0,O1679/M1679)</f>
        <v/>
      </c>
      <c r="Q1679" s="36">
        <f>YEAR(B1679)</f>
        <v/>
      </c>
      <c r="R1679" s="36">
        <f>"Q"&amp;ROUNDUP(MONTH(B1679)/3,0)</f>
        <v/>
      </c>
      <c r="S1679" s="36">
        <f>MONTH(B1679)</f>
        <v/>
      </c>
      <c r="T1679" s="36">
        <f>TEXT(B1679,"mmm")</f>
        <v/>
      </c>
      <c r="U1679" s="36">
        <f>IF(AND(OR(sel_Region="All",C1679=sel_Region),OR(sel_Country="All",D1679=sel_Country),OR(sel_Channel="All",E1679=sel_Channel),OR(sel_Customer="All",F1679=sel_Customer),OR(sel_Category="All",G1679=sel_Category),OR(sel_Product="All",H1679=sel_Product),AND(S1679&gt;=m_From,S1679&lt;=m_To)),1,0)</f>
        <v/>
      </c>
      <c r="V1679" s="36">
        <f>IF(AND(OR(sel_Region="All",C1679=sel_Region),OR(sel_Channel="All",E1679=sel_Channel),OR(sel_Customer="All",F1679=sel_Customer),OR(sel_Category="All",G1679=sel_Category),OR(sel_Product="All",H1679=sel_Product),AND(S1679&gt;=m_From,S1679&lt;=m_To)),1,0)</f>
        <v/>
      </c>
      <c r="W1679" s="36">
        <f>IF(AND(OR(sel_Region="All",C1679=sel_Region),OR(sel_Country="All",D1679=sel_Country),OR(sel_Customer="All",F1679=sel_Customer),OR(sel_Category="All",G1679=sel_Category),OR(sel_Product="All",H1679=sel_Product),AND(S1679&gt;=m_From,S1679&lt;=m_To)),1,0)</f>
        <v/>
      </c>
      <c r="X1679" s="36">
        <f>IF(AND(OR(sel_Region="All",C1679=sel_Region),OR(sel_Country="All",D1679=sel_Country),OR(sel_Channel="All",E1679=sel_Channel),OR(sel_Category="All",G1679=sel_Category),OR(sel_Product="All",H1679=sel_Product),AND(S1679&gt;=m_From,S1679&lt;=m_To)),1,0)</f>
        <v/>
      </c>
      <c r="Y1679" s="36">
        <f>IF(AND(OR(sel_Region="All",C1679=sel_Region),OR(sel_Country="All",D1679=sel_Country),OR(sel_Channel="All",E1679=sel_Channel),OR(sel_Customer="All",F1679=sel_Customer),OR(sel_Product="All",H1679=sel_Product),AND(S1679&gt;=m_From,S1679&lt;=m_To)),1,0)</f>
        <v/>
      </c>
      <c r="Z1679" s="36">
        <f>IF(AND(OR(sel_Region="All",C1679=sel_Region),OR(sel_Country="All",D1679=sel_Country),OR(sel_Channel="All",E1679=sel_Channel),OR(sel_Customer="All",F1679=sel_Customer),OR(sel_Category="All",G1679=sel_Category),AND(S1679&gt;=m_From,S1679&lt;=m_To)),1,0)</f>
        <v/>
      </c>
      <c r="AA1679" s="36">
        <f>IF(AND(OR(sel_Region="All",C1679=sel_Region),OR(sel_Country="All",D1679=sel_Country),OR(sel_Channel="All",E1679=sel_Channel),OR(sel_Customer="All",F1679=sel_Customer),OR(sel_Category="All",G1679=sel_Category),OR(sel_Product="All",H1679=sel_Product)),1,0)</f>
        <v/>
      </c>
    </row>
    <row r="1680">
      <c r="A1680" s="36" t="inlineStr">
        <is>
          <t>03676</t>
        </is>
      </c>
      <c r="B1680" s="44" t="n">
        <v>46252</v>
      </c>
      <c r="C1680" s="36" t="inlineStr">
        <is>
          <t>Central Europe</t>
        </is>
      </c>
      <c r="D1680" s="36" t="inlineStr">
        <is>
          <t>Germany</t>
        </is>
      </c>
      <c r="E1680" s="36" t="inlineStr">
        <is>
          <t>Online Store</t>
        </is>
      </c>
      <c r="F1680" s="36" t="inlineStr">
        <is>
          <t>Returning</t>
        </is>
      </c>
      <c r="G1680" s="36" t="inlineStr">
        <is>
          <t>Hiking</t>
        </is>
      </c>
      <c r="H1680" s="36" t="inlineStr">
        <is>
          <t>Hiking Daypack 20L</t>
        </is>
      </c>
      <c r="I1680" s="36" t="n">
        <v>3</v>
      </c>
      <c r="J1680" s="39" t="n">
        <v>92.5</v>
      </c>
      <c r="K1680" s="45" t="n">
        <v>0.1</v>
      </c>
      <c r="L1680" s="39" t="n">
        <v>46.38</v>
      </c>
      <c r="M1680" s="39">
        <f>I1680*J1680*(1-K1680)</f>
        <v/>
      </c>
      <c r="N1680" s="39">
        <f>I1680*L1680</f>
        <v/>
      </c>
      <c r="O1680" s="39">
        <f>M1680-N1680</f>
        <v/>
      </c>
      <c r="P1680" s="38">
        <f>IF(M1680=0,0,O1680/M1680)</f>
        <v/>
      </c>
      <c r="Q1680" s="36">
        <f>YEAR(B1680)</f>
        <v/>
      </c>
      <c r="R1680" s="36">
        <f>"Q"&amp;ROUNDUP(MONTH(B1680)/3,0)</f>
        <v/>
      </c>
      <c r="S1680" s="36">
        <f>MONTH(B1680)</f>
        <v/>
      </c>
      <c r="T1680" s="36">
        <f>TEXT(B1680,"mmm")</f>
        <v/>
      </c>
      <c r="U1680" s="36">
        <f>IF(AND(OR(sel_Region="All",C1680=sel_Region),OR(sel_Country="All",D1680=sel_Country),OR(sel_Channel="All",E1680=sel_Channel),OR(sel_Customer="All",F1680=sel_Customer),OR(sel_Category="All",G1680=sel_Category),OR(sel_Product="All",H1680=sel_Product),AND(S1680&gt;=m_From,S1680&lt;=m_To)),1,0)</f>
        <v/>
      </c>
      <c r="V1680" s="36">
        <f>IF(AND(OR(sel_Region="All",C1680=sel_Region),OR(sel_Channel="All",E1680=sel_Channel),OR(sel_Customer="All",F1680=sel_Customer),OR(sel_Category="All",G1680=sel_Category),OR(sel_Product="All",H1680=sel_Product),AND(S1680&gt;=m_From,S1680&lt;=m_To)),1,0)</f>
        <v/>
      </c>
      <c r="W1680" s="36">
        <f>IF(AND(OR(sel_Region="All",C1680=sel_Region),OR(sel_Country="All",D1680=sel_Country),OR(sel_Customer="All",F1680=sel_Customer),OR(sel_Category="All",G1680=sel_Category),OR(sel_Product="All",H1680=sel_Product),AND(S1680&gt;=m_From,S1680&lt;=m_To)),1,0)</f>
        <v/>
      </c>
      <c r="X1680" s="36">
        <f>IF(AND(OR(sel_Region="All",C1680=sel_Region),OR(sel_Country="All",D1680=sel_Country),OR(sel_Channel="All",E1680=sel_Channel),OR(sel_Category="All",G1680=sel_Category),OR(sel_Product="All",H1680=sel_Product),AND(S1680&gt;=m_From,S1680&lt;=m_To)),1,0)</f>
        <v/>
      </c>
      <c r="Y1680" s="36">
        <f>IF(AND(OR(sel_Region="All",C1680=sel_Region),OR(sel_Country="All",D1680=sel_Country),OR(sel_Channel="All",E1680=sel_Channel),OR(sel_Customer="All",F1680=sel_Customer),OR(sel_Product="All",H1680=sel_Product),AND(S1680&gt;=m_From,S1680&lt;=m_To)),1,0)</f>
        <v/>
      </c>
      <c r="Z1680" s="36">
        <f>IF(AND(OR(sel_Region="All",C1680=sel_Region),OR(sel_Country="All",D1680=sel_Country),OR(sel_Channel="All",E1680=sel_Channel),OR(sel_Customer="All",F1680=sel_Customer),OR(sel_Category="All",G1680=sel_Category),AND(S1680&gt;=m_From,S1680&lt;=m_To)),1,0)</f>
        <v/>
      </c>
      <c r="AA1680" s="36">
        <f>IF(AND(OR(sel_Region="All",C1680=sel_Region),OR(sel_Country="All",D1680=sel_Country),OR(sel_Channel="All",E1680=sel_Channel),OR(sel_Customer="All",F1680=sel_Customer),OR(sel_Category="All",G1680=sel_Category),OR(sel_Product="All",H1680=sel_Product)),1,0)</f>
        <v/>
      </c>
    </row>
    <row r="1681">
      <c r="A1681" s="36" t="inlineStr">
        <is>
          <t>03972</t>
        </is>
      </c>
      <c r="B1681" s="44" t="n">
        <v>46252</v>
      </c>
      <c r="C1681" s="36" t="inlineStr">
        <is>
          <t>Central Europe</t>
        </is>
      </c>
      <c r="D1681" s="36" t="inlineStr">
        <is>
          <t>Czechia</t>
        </is>
      </c>
      <c r="E1681" s="36" t="inlineStr">
        <is>
          <t>Corporate</t>
        </is>
      </c>
      <c r="F1681" s="36" t="inlineStr">
        <is>
          <t>Business</t>
        </is>
      </c>
      <c r="G1681" s="36" t="inlineStr">
        <is>
          <t>Cycling</t>
        </is>
      </c>
      <c r="H1681" s="36" t="inlineStr">
        <is>
          <t>Cycling Pack 12L</t>
        </is>
      </c>
      <c r="I1681" s="36" t="n">
        <v>5</v>
      </c>
      <c r="J1681" s="39" t="n">
        <v>100.48</v>
      </c>
      <c r="K1681" s="45" t="n">
        <v>0.1</v>
      </c>
      <c r="L1681" s="39" t="n">
        <v>49.67</v>
      </c>
      <c r="M1681" s="39">
        <f>I1681*J1681*(1-K1681)</f>
        <v/>
      </c>
      <c r="N1681" s="39">
        <f>I1681*L1681</f>
        <v/>
      </c>
      <c r="O1681" s="39">
        <f>M1681-N1681</f>
        <v/>
      </c>
      <c r="P1681" s="38">
        <f>IF(M1681=0,0,O1681/M1681)</f>
        <v/>
      </c>
      <c r="Q1681" s="36">
        <f>YEAR(B1681)</f>
        <v/>
      </c>
      <c r="R1681" s="36">
        <f>"Q"&amp;ROUNDUP(MONTH(B1681)/3,0)</f>
        <v/>
      </c>
      <c r="S1681" s="36">
        <f>MONTH(B1681)</f>
        <v/>
      </c>
      <c r="T1681" s="36">
        <f>TEXT(B1681,"mmm")</f>
        <v/>
      </c>
      <c r="U1681" s="36">
        <f>IF(AND(OR(sel_Region="All",C1681=sel_Region),OR(sel_Country="All",D1681=sel_Country),OR(sel_Channel="All",E1681=sel_Channel),OR(sel_Customer="All",F1681=sel_Customer),OR(sel_Category="All",G1681=sel_Category),OR(sel_Product="All",H1681=sel_Product),AND(S1681&gt;=m_From,S1681&lt;=m_To)),1,0)</f>
        <v/>
      </c>
      <c r="V1681" s="36">
        <f>IF(AND(OR(sel_Region="All",C1681=sel_Region),OR(sel_Channel="All",E1681=sel_Channel),OR(sel_Customer="All",F1681=sel_Customer),OR(sel_Category="All",G1681=sel_Category),OR(sel_Product="All",H1681=sel_Product),AND(S1681&gt;=m_From,S1681&lt;=m_To)),1,0)</f>
        <v/>
      </c>
      <c r="W1681" s="36">
        <f>IF(AND(OR(sel_Region="All",C1681=sel_Region),OR(sel_Country="All",D1681=sel_Country),OR(sel_Customer="All",F1681=sel_Customer),OR(sel_Category="All",G1681=sel_Category),OR(sel_Product="All",H1681=sel_Product),AND(S1681&gt;=m_From,S1681&lt;=m_To)),1,0)</f>
        <v/>
      </c>
      <c r="X1681" s="36">
        <f>IF(AND(OR(sel_Region="All",C1681=sel_Region),OR(sel_Country="All",D1681=sel_Country),OR(sel_Channel="All",E1681=sel_Channel),OR(sel_Category="All",G1681=sel_Category),OR(sel_Product="All",H1681=sel_Product),AND(S1681&gt;=m_From,S1681&lt;=m_To)),1,0)</f>
        <v/>
      </c>
      <c r="Y1681" s="36">
        <f>IF(AND(OR(sel_Region="All",C1681=sel_Region),OR(sel_Country="All",D1681=sel_Country),OR(sel_Channel="All",E1681=sel_Channel),OR(sel_Customer="All",F1681=sel_Customer),OR(sel_Product="All",H1681=sel_Product),AND(S1681&gt;=m_From,S1681&lt;=m_To)),1,0)</f>
        <v/>
      </c>
      <c r="Z1681" s="36">
        <f>IF(AND(OR(sel_Region="All",C1681=sel_Region),OR(sel_Country="All",D1681=sel_Country),OR(sel_Channel="All",E1681=sel_Channel),OR(sel_Customer="All",F1681=sel_Customer),OR(sel_Category="All",G1681=sel_Category),AND(S1681&gt;=m_From,S1681&lt;=m_To)),1,0)</f>
        <v/>
      </c>
      <c r="AA1681" s="36">
        <f>IF(AND(OR(sel_Region="All",C1681=sel_Region),OR(sel_Country="All",D1681=sel_Country),OR(sel_Channel="All",E1681=sel_Channel),OR(sel_Customer="All",F1681=sel_Customer),OR(sel_Category="All",G1681=sel_Category),OR(sel_Product="All",H1681=sel_Product)),1,0)</f>
        <v/>
      </c>
    </row>
    <row r="1682">
      <c r="A1682" s="36" t="inlineStr">
        <is>
          <t>04056</t>
        </is>
      </c>
      <c r="B1682" s="44" t="n">
        <v>46252</v>
      </c>
      <c r="C1682" s="36" t="inlineStr">
        <is>
          <t>Southern Europe</t>
        </is>
      </c>
      <c r="D1682" s="36" t="inlineStr">
        <is>
          <t>Italy</t>
        </is>
      </c>
      <c r="E1682" s="36" t="inlineStr">
        <is>
          <t>Marketplace</t>
        </is>
      </c>
      <c r="F1682" s="36" t="inlineStr">
        <is>
          <t>New</t>
        </is>
      </c>
      <c r="G1682" s="36" t="inlineStr">
        <is>
          <t>Camping</t>
        </is>
      </c>
      <c r="H1682" s="36" t="inlineStr">
        <is>
          <t>Portable Camp Stove</t>
        </is>
      </c>
      <c r="I1682" s="36" t="n">
        <v>2</v>
      </c>
      <c r="J1682" s="39" t="n">
        <v>79.78</v>
      </c>
      <c r="K1682" s="45" t="n">
        <v>0</v>
      </c>
      <c r="L1682" s="39" t="n">
        <v>38.77</v>
      </c>
      <c r="M1682" s="39">
        <f>I1682*J1682*(1-K1682)</f>
        <v/>
      </c>
      <c r="N1682" s="39">
        <f>I1682*L1682</f>
        <v/>
      </c>
      <c r="O1682" s="39">
        <f>M1682-N1682</f>
        <v/>
      </c>
      <c r="P1682" s="38">
        <f>IF(M1682=0,0,O1682/M1682)</f>
        <v/>
      </c>
      <c r="Q1682" s="36">
        <f>YEAR(B1682)</f>
        <v/>
      </c>
      <c r="R1682" s="36">
        <f>"Q"&amp;ROUNDUP(MONTH(B1682)/3,0)</f>
        <v/>
      </c>
      <c r="S1682" s="36">
        <f>MONTH(B1682)</f>
        <v/>
      </c>
      <c r="T1682" s="36">
        <f>TEXT(B1682,"mmm")</f>
        <v/>
      </c>
      <c r="U1682" s="36">
        <f>IF(AND(OR(sel_Region="All",C1682=sel_Region),OR(sel_Country="All",D1682=sel_Country),OR(sel_Channel="All",E1682=sel_Channel),OR(sel_Customer="All",F1682=sel_Customer),OR(sel_Category="All",G1682=sel_Category),OR(sel_Product="All",H1682=sel_Product),AND(S1682&gt;=m_From,S1682&lt;=m_To)),1,0)</f>
        <v/>
      </c>
      <c r="V1682" s="36">
        <f>IF(AND(OR(sel_Region="All",C1682=sel_Region),OR(sel_Channel="All",E1682=sel_Channel),OR(sel_Customer="All",F1682=sel_Customer),OR(sel_Category="All",G1682=sel_Category),OR(sel_Product="All",H1682=sel_Product),AND(S1682&gt;=m_From,S1682&lt;=m_To)),1,0)</f>
        <v/>
      </c>
      <c r="W1682" s="36">
        <f>IF(AND(OR(sel_Region="All",C1682=sel_Region),OR(sel_Country="All",D1682=sel_Country),OR(sel_Customer="All",F1682=sel_Customer),OR(sel_Category="All",G1682=sel_Category),OR(sel_Product="All",H1682=sel_Product),AND(S1682&gt;=m_From,S1682&lt;=m_To)),1,0)</f>
        <v/>
      </c>
      <c r="X1682" s="36">
        <f>IF(AND(OR(sel_Region="All",C1682=sel_Region),OR(sel_Country="All",D1682=sel_Country),OR(sel_Channel="All",E1682=sel_Channel),OR(sel_Category="All",G1682=sel_Category),OR(sel_Product="All",H1682=sel_Product),AND(S1682&gt;=m_From,S1682&lt;=m_To)),1,0)</f>
        <v/>
      </c>
      <c r="Y1682" s="36">
        <f>IF(AND(OR(sel_Region="All",C1682=sel_Region),OR(sel_Country="All",D1682=sel_Country),OR(sel_Channel="All",E1682=sel_Channel),OR(sel_Customer="All",F1682=sel_Customer),OR(sel_Product="All",H1682=sel_Product),AND(S1682&gt;=m_From,S1682&lt;=m_To)),1,0)</f>
        <v/>
      </c>
      <c r="Z1682" s="36">
        <f>IF(AND(OR(sel_Region="All",C1682=sel_Region),OR(sel_Country="All",D1682=sel_Country),OR(sel_Channel="All",E1682=sel_Channel),OR(sel_Customer="All",F1682=sel_Customer),OR(sel_Category="All",G1682=sel_Category),AND(S1682&gt;=m_From,S1682&lt;=m_To)),1,0)</f>
        <v/>
      </c>
      <c r="AA1682" s="36">
        <f>IF(AND(OR(sel_Region="All",C1682=sel_Region),OR(sel_Country="All",D1682=sel_Country),OR(sel_Channel="All",E1682=sel_Channel),OR(sel_Customer="All",F1682=sel_Customer),OR(sel_Category="All",G1682=sel_Category),OR(sel_Product="All",H1682=sel_Product)),1,0)</f>
        <v/>
      </c>
    </row>
    <row r="1683">
      <c r="A1683" s="36" t="inlineStr">
        <is>
          <t>04471</t>
        </is>
      </c>
      <c r="B1683" s="44" t="n">
        <v>46252</v>
      </c>
      <c r="C1683" s="36" t="inlineStr">
        <is>
          <t>Northern Europe</t>
        </is>
      </c>
      <c r="D1683" s="36" t="inlineStr">
        <is>
          <t>Finland</t>
        </is>
      </c>
      <c r="E1683" s="36" t="inlineStr">
        <is>
          <t>Corporate</t>
        </is>
      </c>
      <c r="F1683" s="36" t="inlineStr">
        <is>
          <t>Business</t>
        </is>
      </c>
      <c r="G1683" s="36" t="inlineStr">
        <is>
          <t>Hiking</t>
        </is>
      </c>
      <c r="H1683" s="36" t="inlineStr">
        <is>
          <t>Trail Boots</t>
        </is>
      </c>
      <c r="I1683" s="36" t="n">
        <v>4</v>
      </c>
      <c r="J1683" s="39" t="n">
        <v>144.44</v>
      </c>
      <c r="K1683" s="45" t="n">
        <v>0.1</v>
      </c>
      <c r="L1683" s="39" t="n">
        <v>77.66</v>
      </c>
      <c r="M1683" s="39">
        <f>I1683*J1683*(1-K1683)</f>
        <v/>
      </c>
      <c r="N1683" s="39">
        <f>I1683*L1683</f>
        <v/>
      </c>
      <c r="O1683" s="39">
        <f>M1683-N1683</f>
        <v/>
      </c>
      <c r="P1683" s="38">
        <f>IF(M1683=0,0,O1683/M1683)</f>
        <v/>
      </c>
      <c r="Q1683" s="36">
        <f>YEAR(B1683)</f>
        <v/>
      </c>
      <c r="R1683" s="36">
        <f>"Q"&amp;ROUNDUP(MONTH(B1683)/3,0)</f>
        <v/>
      </c>
      <c r="S1683" s="36">
        <f>MONTH(B1683)</f>
        <v/>
      </c>
      <c r="T1683" s="36">
        <f>TEXT(B1683,"mmm")</f>
        <v/>
      </c>
      <c r="U1683" s="36">
        <f>IF(AND(OR(sel_Region="All",C1683=sel_Region),OR(sel_Country="All",D1683=sel_Country),OR(sel_Channel="All",E1683=sel_Channel),OR(sel_Customer="All",F1683=sel_Customer),OR(sel_Category="All",G1683=sel_Category),OR(sel_Product="All",H1683=sel_Product),AND(S1683&gt;=m_From,S1683&lt;=m_To)),1,0)</f>
        <v/>
      </c>
      <c r="V1683" s="36">
        <f>IF(AND(OR(sel_Region="All",C1683=sel_Region),OR(sel_Channel="All",E1683=sel_Channel),OR(sel_Customer="All",F1683=sel_Customer),OR(sel_Category="All",G1683=sel_Category),OR(sel_Product="All",H1683=sel_Product),AND(S1683&gt;=m_From,S1683&lt;=m_To)),1,0)</f>
        <v/>
      </c>
      <c r="W1683" s="36">
        <f>IF(AND(OR(sel_Region="All",C1683=sel_Region),OR(sel_Country="All",D1683=sel_Country),OR(sel_Customer="All",F1683=sel_Customer),OR(sel_Category="All",G1683=sel_Category),OR(sel_Product="All",H1683=sel_Product),AND(S1683&gt;=m_From,S1683&lt;=m_To)),1,0)</f>
        <v/>
      </c>
      <c r="X1683" s="36">
        <f>IF(AND(OR(sel_Region="All",C1683=sel_Region),OR(sel_Country="All",D1683=sel_Country),OR(sel_Channel="All",E1683=sel_Channel),OR(sel_Category="All",G1683=sel_Category),OR(sel_Product="All",H1683=sel_Product),AND(S1683&gt;=m_From,S1683&lt;=m_To)),1,0)</f>
        <v/>
      </c>
      <c r="Y1683" s="36">
        <f>IF(AND(OR(sel_Region="All",C1683=sel_Region),OR(sel_Country="All",D1683=sel_Country),OR(sel_Channel="All",E1683=sel_Channel),OR(sel_Customer="All",F1683=sel_Customer),OR(sel_Product="All",H1683=sel_Product),AND(S1683&gt;=m_From,S1683&lt;=m_To)),1,0)</f>
        <v/>
      </c>
      <c r="Z1683" s="36">
        <f>IF(AND(OR(sel_Region="All",C1683=sel_Region),OR(sel_Country="All",D1683=sel_Country),OR(sel_Channel="All",E1683=sel_Channel),OR(sel_Customer="All",F1683=sel_Customer),OR(sel_Category="All",G1683=sel_Category),AND(S1683&gt;=m_From,S1683&lt;=m_To)),1,0)</f>
        <v/>
      </c>
      <c r="AA1683" s="36">
        <f>IF(AND(OR(sel_Region="All",C1683=sel_Region),OR(sel_Country="All",D1683=sel_Country),OR(sel_Channel="All",E1683=sel_Channel),OR(sel_Customer="All",F1683=sel_Customer),OR(sel_Category="All",G1683=sel_Category),OR(sel_Product="All",H1683=sel_Product)),1,0)</f>
        <v/>
      </c>
    </row>
    <row r="1684">
      <c r="A1684" s="36" t="inlineStr">
        <is>
          <t>01054</t>
        </is>
      </c>
      <c r="B1684" s="44" t="n">
        <v>46253</v>
      </c>
      <c r="C1684" s="36" t="inlineStr">
        <is>
          <t>Central Europe</t>
        </is>
      </c>
      <c r="D1684" s="36" t="inlineStr">
        <is>
          <t>Czechia</t>
        </is>
      </c>
      <c r="E1684" s="36" t="inlineStr">
        <is>
          <t>Online Store</t>
        </is>
      </c>
      <c r="F1684" s="36" t="inlineStr">
        <is>
          <t>Returning</t>
        </is>
      </c>
      <c r="G1684" s="36" t="inlineStr">
        <is>
          <t>Hiking</t>
        </is>
      </c>
      <c r="H1684" s="36" t="inlineStr">
        <is>
          <t>Summit Backpack 45L</t>
        </is>
      </c>
      <c r="I1684" s="36" t="n">
        <v>3</v>
      </c>
      <c r="J1684" s="39" t="n">
        <v>157.42</v>
      </c>
      <c r="K1684" s="45" t="n">
        <v>0</v>
      </c>
      <c r="L1684" s="39" t="n">
        <v>77.98999999999999</v>
      </c>
      <c r="M1684" s="39">
        <f>I1684*J1684*(1-K1684)</f>
        <v/>
      </c>
      <c r="N1684" s="39">
        <f>I1684*L1684</f>
        <v/>
      </c>
      <c r="O1684" s="39">
        <f>M1684-N1684</f>
        <v/>
      </c>
      <c r="P1684" s="38">
        <f>IF(M1684=0,0,O1684/M1684)</f>
        <v/>
      </c>
      <c r="Q1684" s="36">
        <f>YEAR(B1684)</f>
        <v/>
      </c>
      <c r="R1684" s="36">
        <f>"Q"&amp;ROUNDUP(MONTH(B1684)/3,0)</f>
        <v/>
      </c>
      <c r="S1684" s="36">
        <f>MONTH(B1684)</f>
        <v/>
      </c>
      <c r="T1684" s="36">
        <f>TEXT(B1684,"mmm")</f>
        <v/>
      </c>
      <c r="U1684" s="36">
        <f>IF(AND(OR(sel_Region="All",C1684=sel_Region),OR(sel_Country="All",D1684=sel_Country),OR(sel_Channel="All",E1684=sel_Channel),OR(sel_Customer="All",F1684=sel_Customer),OR(sel_Category="All",G1684=sel_Category),OR(sel_Product="All",H1684=sel_Product),AND(S1684&gt;=m_From,S1684&lt;=m_To)),1,0)</f>
        <v/>
      </c>
      <c r="V1684" s="36">
        <f>IF(AND(OR(sel_Region="All",C1684=sel_Region),OR(sel_Channel="All",E1684=sel_Channel),OR(sel_Customer="All",F1684=sel_Customer),OR(sel_Category="All",G1684=sel_Category),OR(sel_Product="All",H1684=sel_Product),AND(S1684&gt;=m_From,S1684&lt;=m_To)),1,0)</f>
        <v/>
      </c>
      <c r="W1684" s="36">
        <f>IF(AND(OR(sel_Region="All",C1684=sel_Region),OR(sel_Country="All",D1684=sel_Country),OR(sel_Customer="All",F1684=sel_Customer),OR(sel_Category="All",G1684=sel_Category),OR(sel_Product="All",H1684=sel_Product),AND(S1684&gt;=m_From,S1684&lt;=m_To)),1,0)</f>
        <v/>
      </c>
      <c r="X1684" s="36">
        <f>IF(AND(OR(sel_Region="All",C1684=sel_Region),OR(sel_Country="All",D1684=sel_Country),OR(sel_Channel="All",E1684=sel_Channel),OR(sel_Category="All",G1684=sel_Category),OR(sel_Product="All",H1684=sel_Product),AND(S1684&gt;=m_From,S1684&lt;=m_To)),1,0)</f>
        <v/>
      </c>
      <c r="Y1684" s="36">
        <f>IF(AND(OR(sel_Region="All",C1684=sel_Region),OR(sel_Country="All",D1684=sel_Country),OR(sel_Channel="All",E1684=sel_Channel),OR(sel_Customer="All",F1684=sel_Customer),OR(sel_Product="All",H1684=sel_Product),AND(S1684&gt;=m_From,S1684&lt;=m_To)),1,0)</f>
        <v/>
      </c>
      <c r="Z1684" s="36">
        <f>IF(AND(OR(sel_Region="All",C1684=sel_Region),OR(sel_Country="All",D1684=sel_Country),OR(sel_Channel="All",E1684=sel_Channel),OR(sel_Customer="All",F1684=sel_Customer),OR(sel_Category="All",G1684=sel_Category),AND(S1684&gt;=m_From,S1684&lt;=m_To)),1,0)</f>
        <v/>
      </c>
      <c r="AA1684" s="36">
        <f>IF(AND(OR(sel_Region="All",C1684=sel_Region),OR(sel_Country="All",D1684=sel_Country),OR(sel_Channel="All",E1684=sel_Channel),OR(sel_Customer="All",F1684=sel_Customer),OR(sel_Category="All",G1684=sel_Category),OR(sel_Product="All",H1684=sel_Product)),1,0)</f>
        <v/>
      </c>
    </row>
    <row r="1685">
      <c r="A1685" s="36" t="inlineStr">
        <is>
          <t>01854</t>
        </is>
      </c>
      <c r="B1685" s="44" t="n">
        <v>46253</v>
      </c>
      <c r="C1685" s="36" t="inlineStr">
        <is>
          <t>Central Europe</t>
        </is>
      </c>
      <c r="D1685" s="36" t="inlineStr">
        <is>
          <t>Poland</t>
        </is>
      </c>
      <c r="E1685" s="36" t="inlineStr">
        <is>
          <t>Marketplace</t>
        </is>
      </c>
      <c r="F1685" s="36" t="inlineStr">
        <is>
          <t>Business</t>
        </is>
      </c>
      <c r="G1685" s="36" t="inlineStr">
        <is>
          <t>Hiking</t>
        </is>
      </c>
      <c r="H1685" s="36" t="inlineStr">
        <is>
          <t>Hiking Daypack 20L</t>
        </is>
      </c>
      <c r="I1685" s="36" t="n">
        <v>1</v>
      </c>
      <c r="J1685" s="39" t="n">
        <v>90.37</v>
      </c>
      <c r="K1685" s="45" t="n">
        <v>0.05</v>
      </c>
      <c r="L1685" s="39" t="n">
        <v>45.89</v>
      </c>
      <c r="M1685" s="39">
        <f>I1685*J1685*(1-K1685)</f>
        <v/>
      </c>
      <c r="N1685" s="39">
        <f>I1685*L1685</f>
        <v/>
      </c>
      <c r="O1685" s="39">
        <f>M1685-N1685</f>
        <v/>
      </c>
      <c r="P1685" s="38">
        <f>IF(M1685=0,0,O1685/M1685)</f>
        <v/>
      </c>
      <c r="Q1685" s="36">
        <f>YEAR(B1685)</f>
        <v/>
      </c>
      <c r="R1685" s="36">
        <f>"Q"&amp;ROUNDUP(MONTH(B1685)/3,0)</f>
        <v/>
      </c>
      <c r="S1685" s="36">
        <f>MONTH(B1685)</f>
        <v/>
      </c>
      <c r="T1685" s="36">
        <f>TEXT(B1685,"mmm")</f>
        <v/>
      </c>
      <c r="U1685" s="36">
        <f>IF(AND(OR(sel_Region="All",C1685=sel_Region),OR(sel_Country="All",D1685=sel_Country),OR(sel_Channel="All",E1685=sel_Channel),OR(sel_Customer="All",F1685=sel_Customer),OR(sel_Category="All",G1685=sel_Category),OR(sel_Product="All",H1685=sel_Product),AND(S1685&gt;=m_From,S1685&lt;=m_To)),1,0)</f>
        <v/>
      </c>
      <c r="V1685" s="36">
        <f>IF(AND(OR(sel_Region="All",C1685=sel_Region),OR(sel_Channel="All",E1685=sel_Channel),OR(sel_Customer="All",F1685=sel_Customer),OR(sel_Category="All",G1685=sel_Category),OR(sel_Product="All",H1685=sel_Product),AND(S1685&gt;=m_From,S1685&lt;=m_To)),1,0)</f>
        <v/>
      </c>
      <c r="W1685" s="36">
        <f>IF(AND(OR(sel_Region="All",C1685=sel_Region),OR(sel_Country="All",D1685=sel_Country),OR(sel_Customer="All",F1685=sel_Customer),OR(sel_Category="All",G1685=sel_Category),OR(sel_Product="All",H1685=sel_Product),AND(S1685&gt;=m_From,S1685&lt;=m_To)),1,0)</f>
        <v/>
      </c>
      <c r="X1685" s="36">
        <f>IF(AND(OR(sel_Region="All",C1685=sel_Region),OR(sel_Country="All",D1685=sel_Country),OR(sel_Channel="All",E1685=sel_Channel),OR(sel_Category="All",G1685=sel_Category),OR(sel_Product="All",H1685=sel_Product),AND(S1685&gt;=m_From,S1685&lt;=m_To)),1,0)</f>
        <v/>
      </c>
      <c r="Y1685" s="36">
        <f>IF(AND(OR(sel_Region="All",C1685=sel_Region),OR(sel_Country="All",D1685=sel_Country),OR(sel_Channel="All",E1685=sel_Channel),OR(sel_Customer="All",F1685=sel_Customer),OR(sel_Product="All",H1685=sel_Product),AND(S1685&gt;=m_From,S1685&lt;=m_To)),1,0)</f>
        <v/>
      </c>
      <c r="Z1685" s="36">
        <f>IF(AND(OR(sel_Region="All",C1685=sel_Region),OR(sel_Country="All",D1685=sel_Country),OR(sel_Channel="All",E1685=sel_Channel),OR(sel_Customer="All",F1685=sel_Customer),OR(sel_Category="All",G1685=sel_Category),AND(S1685&gt;=m_From,S1685&lt;=m_To)),1,0)</f>
        <v/>
      </c>
      <c r="AA1685" s="36">
        <f>IF(AND(OR(sel_Region="All",C1685=sel_Region),OR(sel_Country="All",D1685=sel_Country),OR(sel_Channel="All",E1685=sel_Channel),OR(sel_Customer="All",F1685=sel_Customer),OR(sel_Category="All",G1685=sel_Category),OR(sel_Product="All",H1685=sel_Product)),1,0)</f>
        <v/>
      </c>
    </row>
    <row r="1686">
      <c r="A1686" s="36" t="inlineStr">
        <is>
          <t>02140</t>
        </is>
      </c>
      <c r="B1686" s="44" t="n">
        <v>46253</v>
      </c>
      <c r="C1686" s="36" t="inlineStr">
        <is>
          <t>Central Europe</t>
        </is>
      </c>
      <c r="D1686" s="36" t="inlineStr">
        <is>
          <t>Austria</t>
        </is>
      </c>
      <c r="E1686" s="36" t="inlineStr">
        <is>
          <t>Corporate</t>
        </is>
      </c>
      <c r="F1686" s="36" t="inlineStr">
        <is>
          <t>Business</t>
        </is>
      </c>
      <c r="G1686" s="36" t="inlineStr">
        <is>
          <t>Cycling</t>
        </is>
      </c>
      <c r="H1686" s="36" t="inlineStr">
        <is>
          <t>Cycling Pack 12L</t>
        </is>
      </c>
      <c r="I1686" s="36" t="n">
        <v>15</v>
      </c>
      <c r="J1686" s="39" t="n">
        <v>104.79</v>
      </c>
      <c r="K1686" s="45" t="n">
        <v>0.15</v>
      </c>
      <c r="L1686" s="39" t="n">
        <v>49.67</v>
      </c>
      <c r="M1686" s="39">
        <f>I1686*J1686*(1-K1686)</f>
        <v/>
      </c>
      <c r="N1686" s="39">
        <f>I1686*L1686</f>
        <v/>
      </c>
      <c r="O1686" s="39">
        <f>M1686-N1686</f>
        <v/>
      </c>
      <c r="P1686" s="38">
        <f>IF(M1686=0,0,O1686/M1686)</f>
        <v/>
      </c>
      <c r="Q1686" s="36">
        <f>YEAR(B1686)</f>
        <v/>
      </c>
      <c r="R1686" s="36">
        <f>"Q"&amp;ROUNDUP(MONTH(B1686)/3,0)</f>
        <v/>
      </c>
      <c r="S1686" s="36">
        <f>MONTH(B1686)</f>
        <v/>
      </c>
      <c r="T1686" s="36">
        <f>TEXT(B1686,"mmm")</f>
        <v/>
      </c>
      <c r="U1686" s="36">
        <f>IF(AND(OR(sel_Region="All",C1686=sel_Region),OR(sel_Country="All",D1686=sel_Country),OR(sel_Channel="All",E1686=sel_Channel),OR(sel_Customer="All",F1686=sel_Customer),OR(sel_Category="All",G1686=sel_Category),OR(sel_Product="All",H1686=sel_Product),AND(S1686&gt;=m_From,S1686&lt;=m_To)),1,0)</f>
        <v/>
      </c>
      <c r="V1686" s="36">
        <f>IF(AND(OR(sel_Region="All",C1686=sel_Region),OR(sel_Channel="All",E1686=sel_Channel),OR(sel_Customer="All",F1686=sel_Customer),OR(sel_Category="All",G1686=sel_Category),OR(sel_Product="All",H1686=sel_Product),AND(S1686&gt;=m_From,S1686&lt;=m_To)),1,0)</f>
        <v/>
      </c>
      <c r="W1686" s="36">
        <f>IF(AND(OR(sel_Region="All",C1686=sel_Region),OR(sel_Country="All",D1686=sel_Country),OR(sel_Customer="All",F1686=sel_Customer),OR(sel_Category="All",G1686=sel_Category),OR(sel_Product="All",H1686=sel_Product),AND(S1686&gt;=m_From,S1686&lt;=m_To)),1,0)</f>
        <v/>
      </c>
      <c r="X1686" s="36">
        <f>IF(AND(OR(sel_Region="All",C1686=sel_Region),OR(sel_Country="All",D1686=sel_Country),OR(sel_Channel="All",E1686=sel_Channel),OR(sel_Category="All",G1686=sel_Category),OR(sel_Product="All",H1686=sel_Product),AND(S1686&gt;=m_From,S1686&lt;=m_To)),1,0)</f>
        <v/>
      </c>
      <c r="Y1686" s="36">
        <f>IF(AND(OR(sel_Region="All",C1686=sel_Region),OR(sel_Country="All",D1686=sel_Country),OR(sel_Channel="All",E1686=sel_Channel),OR(sel_Customer="All",F1686=sel_Customer),OR(sel_Product="All",H1686=sel_Product),AND(S1686&gt;=m_From,S1686&lt;=m_To)),1,0)</f>
        <v/>
      </c>
      <c r="Z1686" s="36">
        <f>IF(AND(OR(sel_Region="All",C1686=sel_Region),OR(sel_Country="All",D1686=sel_Country),OR(sel_Channel="All",E1686=sel_Channel),OR(sel_Customer="All",F1686=sel_Customer),OR(sel_Category="All",G1686=sel_Category),AND(S1686&gt;=m_From,S1686&lt;=m_To)),1,0)</f>
        <v/>
      </c>
      <c r="AA1686" s="36">
        <f>IF(AND(OR(sel_Region="All",C1686=sel_Region),OR(sel_Country="All",D1686=sel_Country),OR(sel_Channel="All",E1686=sel_Channel),OR(sel_Customer="All",F1686=sel_Customer),OR(sel_Category="All",G1686=sel_Category),OR(sel_Product="All",H1686=sel_Product)),1,0)</f>
        <v/>
      </c>
    </row>
    <row r="1687">
      <c r="A1687" s="36" t="inlineStr">
        <is>
          <t>02328</t>
        </is>
      </c>
      <c r="B1687" s="44" t="n">
        <v>46253</v>
      </c>
      <c r="C1687" s="36" t="inlineStr">
        <is>
          <t>Northern Europe</t>
        </is>
      </c>
      <c r="D1687" s="36" t="inlineStr">
        <is>
          <t>Sweden</t>
        </is>
      </c>
      <c r="E1687" s="36" t="inlineStr">
        <is>
          <t>Online Store</t>
        </is>
      </c>
      <c r="F1687" s="36" t="inlineStr">
        <is>
          <t>Returning</t>
        </is>
      </c>
      <c r="G1687" s="36" t="inlineStr">
        <is>
          <t>Travel</t>
        </is>
      </c>
      <c r="H1687" s="36" t="inlineStr">
        <is>
          <t>Carry-On Duffel</t>
        </is>
      </c>
      <c r="I1687" s="36" t="n">
        <v>1</v>
      </c>
      <c r="J1687" s="39" t="n">
        <v>130.94</v>
      </c>
      <c r="K1687" s="45" t="n">
        <v>0</v>
      </c>
      <c r="L1687" s="39" t="n">
        <v>66.06</v>
      </c>
      <c r="M1687" s="39">
        <f>I1687*J1687*(1-K1687)</f>
        <v/>
      </c>
      <c r="N1687" s="39">
        <f>I1687*L1687</f>
        <v/>
      </c>
      <c r="O1687" s="39">
        <f>M1687-N1687</f>
        <v/>
      </c>
      <c r="P1687" s="38">
        <f>IF(M1687=0,0,O1687/M1687)</f>
        <v/>
      </c>
      <c r="Q1687" s="36">
        <f>YEAR(B1687)</f>
        <v/>
      </c>
      <c r="R1687" s="36">
        <f>"Q"&amp;ROUNDUP(MONTH(B1687)/3,0)</f>
        <v/>
      </c>
      <c r="S1687" s="36">
        <f>MONTH(B1687)</f>
        <v/>
      </c>
      <c r="T1687" s="36">
        <f>TEXT(B1687,"mmm")</f>
        <v/>
      </c>
      <c r="U1687" s="36">
        <f>IF(AND(OR(sel_Region="All",C1687=sel_Region),OR(sel_Country="All",D1687=sel_Country),OR(sel_Channel="All",E1687=sel_Channel),OR(sel_Customer="All",F1687=sel_Customer),OR(sel_Category="All",G1687=sel_Category),OR(sel_Product="All",H1687=sel_Product),AND(S1687&gt;=m_From,S1687&lt;=m_To)),1,0)</f>
        <v/>
      </c>
      <c r="V1687" s="36">
        <f>IF(AND(OR(sel_Region="All",C1687=sel_Region),OR(sel_Channel="All",E1687=sel_Channel),OR(sel_Customer="All",F1687=sel_Customer),OR(sel_Category="All",G1687=sel_Category),OR(sel_Product="All",H1687=sel_Product),AND(S1687&gt;=m_From,S1687&lt;=m_To)),1,0)</f>
        <v/>
      </c>
      <c r="W1687" s="36">
        <f>IF(AND(OR(sel_Region="All",C1687=sel_Region),OR(sel_Country="All",D1687=sel_Country),OR(sel_Customer="All",F1687=sel_Customer),OR(sel_Category="All",G1687=sel_Category),OR(sel_Product="All",H1687=sel_Product),AND(S1687&gt;=m_From,S1687&lt;=m_To)),1,0)</f>
        <v/>
      </c>
      <c r="X1687" s="36">
        <f>IF(AND(OR(sel_Region="All",C1687=sel_Region),OR(sel_Country="All",D1687=sel_Country),OR(sel_Channel="All",E1687=sel_Channel),OR(sel_Category="All",G1687=sel_Category),OR(sel_Product="All",H1687=sel_Product),AND(S1687&gt;=m_From,S1687&lt;=m_To)),1,0)</f>
        <v/>
      </c>
      <c r="Y1687" s="36">
        <f>IF(AND(OR(sel_Region="All",C1687=sel_Region),OR(sel_Country="All",D1687=sel_Country),OR(sel_Channel="All",E1687=sel_Channel),OR(sel_Customer="All",F1687=sel_Customer),OR(sel_Product="All",H1687=sel_Product),AND(S1687&gt;=m_From,S1687&lt;=m_To)),1,0)</f>
        <v/>
      </c>
      <c r="Z1687" s="36">
        <f>IF(AND(OR(sel_Region="All",C1687=sel_Region),OR(sel_Country="All",D1687=sel_Country),OR(sel_Channel="All",E1687=sel_Channel),OR(sel_Customer="All",F1687=sel_Customer),OR(sel_Category="All",G1687=sel_Category),AND(S1687&gt;=m_From,S1687&lt;=m_To)),1,0)</f>
        <v/>
      </c>
      <c r="AA1687" s="36">
        <f>IF(AND(OR(sel_Region="All",C1687=sel_Region),OR(sel_Country="All",D1687=sel_Country),OR(sel_Channel="All",E1687=sel_Channel),OR(sel_Customer="All",F1687=sel_Customer),OR(sel_Category="All",G1687=sel_Category),OR(sel_Product="All",H1687=sel_Product)),1,0)</f>
        <v/>
      </c>
    </row>
    <row r="1688">
      <c r="A1688" s="36" t="inlineStr">
        <is>
          <t>04215</t>
        </is>
      </c>
      <c r="B1688" s="44" t="n">
        <v>46253</v>
      </c>
      <c r="C1688" s="36" t="inlineStr">
        <is>
          <t>Central Europe</t>
        </is>
      </c>
      <c r="D1688" s="36" t="inlineStr">
        <is>
          <t>Austria</t>
        </is>
      </c>
      <c r="E1688" s="36" t="inlineStr">
        <is>
          <t>Online Store</t>
        </is>
      </c>
      <c r="F1688" s="36" t="inlineStr">
        <is>
          <t>Returning</t>
        </is>
      </c>
      <c r="G1688" s="36" t="inlineStr">
        <is>
          <t>Cycling</t>
        </is>
      </c>
      <c r="H1688" s="36" t="inlineStr">
        <is>
          <t>Compact Repair Kit</t>
        </is>
      </c>
      <c r="I1688" s="36" t="n">
        <v>1</v>
      </c>
      <c r="J1688" s="39" t="n">
        <v>40.42</v>
      </c>
      <c r="K1688" s="45" t="n">
        <v>0.05</v>
      </c>
      <c r="L1688" s="39" t="n">
        <v>16.62</v>
      </c>
      <c r="M1688" s="39">
        <f>I1688*J1688*(1-K1688)</f>
        <v/>
      </c>
      <c r="N1688" s="39">
        <f>I1688*L1688</f>
        <v/>
      </c>
      <c r="O1688" s="39">
        <f>M1688-N1688</f>
        <v/>
      </c>
      <c r="P1688" s="38">
        <f>IF(M1688=0,0,O1688/M1688)</f>
        <v/>
      </c>
      <c r="Q1688" s="36">
        <f>YEAR(B1688)</f>
        <v/>
      </c>
      <c r="R1688" s="36">
        <f>"Q"&amp;ROUNDUP(MONTH(B1688)/3,0)</f>
        <v/>
      </c>
      <c r="S1688" s="36">
        <f>MONTH(B1688)</f>
        <v/>
      </c>
      <c r="T1688" s="36">
        <f>TEXT(B1688,"mmm")</f>
        <v/>
      </c>
      <c r="U1688" s="36">
        <f>IF(AND(OR(sel_Region="All",C1688=sel_Region),OR(sel_Country="All",D1688=sel_Country),OR(sel_Channel="All",E1688=sel_Channel),OR(sel_Customer="All",F1688=sel_Customer),OR(sel_Category="All",G1688=sel_Category),OR(sel_Product="All",H1688=sel_Product),AND(S1688&gt;=m_From,S1688&lt;=m_To)),1,0)</f>
        <v/>
      </c>
      <c r="V1688" s="36">
        <f>IF(AND(OR(sel_Region="All",C1688=sel_Region),OR(sel_Channel="All",E1688=sel_Channel),OR(sel_Customer="All",F1688=sel_Customer),OR(sel_Category="All",G1688=sel_Category),OR(sel_Product="All",H1688=sel_Product),AND(S1688&gt;=m_From,S1688&lt;=m_To)),1,0)</f>
        <v/>
      </c>
      <c r="W1688" s="36">
        <f>IF(AND(OR(sel_Region="All",C1688=sel_Region),OR(sel_Country="All",D1688=sel_Country),OR(sel_Customer="All",F1688=sel_Customer),OR(sel_Category="All",G1688=sel_Category),OR(sel_Product="All",H1688=sel_Product),AND(S1688&gt;=m_From,S1688&lt;=m_To)),1,0)</f>
        <v/>
      </c>
      <c r="X1688" s="36">
        <f>IF(AND(OR(sel_Region="All",C1688=sel_Region),OR(sel_Country="All",D1688=sel_Country),OR(sel_Channel="All",E1688=sel_Channel),OR(sel_Category="All",G1688=sel_Category),OR(sel_Product="All",H1688=sel_Product),AND(S1688&gt;=m_From,S1688&lt;=m_To)),1,0)</f>
        <v/>
      </c>
      <c r="Y1688" s="36">
        <f>IF(AND(OR(sel_Region="All",C1688=sel_Region),OR(sel_Country="All",D1688=sel_Country),OR(sel_Channel="All",E1688=sel_Channel),OR(sel_Customer="All",F1688=sel_Customer),OR(sel_Product="All",H1688=sel_Product),AND(S1688&gt;=m_From,S1688&lt;=m_To)),1,0)</f>
        <v/>
      </c>
      <c r="Z1688" s="36">
        <f>IF(AND(OR(sel_Region="All",C1688=sel_Region),OR(sel_Country="All",D1688=sel_Country),OR(sel_Channel="All",E1688=sel_Channel),OR(sel_Customer="All",F1688=sel_Customer),OR(sel_Category="All",G1688=sel_Category),AND(S1688&gt;=m_From,S1688&lt;=m_To)),1,0)</f>
        <v/>
      </c>
      <c r="AA1688" s="36">
        <f>IF(AND(OR(sel_Region="All",C1688=sel_Region),OR(sel_Country="All",D1688=sel_Country),OR(sel_Channel="All",E1688=sel_Channel),OR(sel_Customer="All",F1688=sel_Customer),OR(sel_Category="All",G1688=sel_Category),OR(sel_Product="All",H1688=sel_Product)),1,0)</f>
        <v/>
      </c>
    </row>
    <row r="1689">
      <c r="A1689" s="36" t="inlineStr">
        <is>
          <t>04563</t>
        </is>
      </c>
      <c r="B1689" s="44" t="n">
        <v>46253</v>
      </c>
      <c r="C1689" s="36" t="inlineStr">
        <is>
          <t>Central Europe</t>
        </is>
      </c>
      <c r="D1689" s="36" t="inlineStr">
        <is>
          <t>Switzerland</t>
        </is>
      </c>
      <c r="E1689" s="36" t="inlineStr">
        <is>
          <t>Marketplace</t>
        </is>
      </c>
      <c r="F1689" s="36" t="inlineStr">
        <is>
          <t>Returning</t>
        </is>
      </c>
      <c r="G1689" s="36" t="inlineStr">
        <is>
          <t>Camping</t>
        </is>
      </c>
      <c r="H1689" s="36" t="inlineStr">
        <is>
          <t>Alpine Tent 4P</t>
        </is>
      </c>
      <c r="I1689" s="36" t="n">
        <v>1</v>
      </c>
      <c r="J1689" s="39" t="n">
        <v>338.45</v>
      </c>
      <c r="K1689" s="45" t="n">
        <v>0.15</v>
      </c>
      <c r="L1689" s="39" t="n">
        <v>197.2</v>
      </c>
      <c r="M1689" s="39">
        <f>I1689*J1689*(1-K1689)</f>
        <v/>
      </c>
      <c r="N1689" s="39">
        <f>I1689*L1689</f>
        <v/>
      </c>
      <c r="O1689" s="39">
        <f>M1689-N1689</f>
        <v/>
      </c>
      <c r="P1689" s="38">
        <f>IF(M1689=0,0,O1689/M1689)</f>
        <v/>
      </c>
      <c r="Q1689" s="36">
        <f>YEAR(B1689)</f>
        <v/>
      </c>
      <c r="R1689" s="36">
        <f>"Q"&amp;ROUNDUP(MONTH(B1689)/3,0)</f>
        <v/>
      </c>
      <c r="S1689" s="36">
        <f>MONTH(B1689)</f>
        <v/>
      </c>
      <c r="T1689" s="36">
        <f>TEXT(B1689,"mmm")</f>
        <v/>
      </c>
      <c r="U1689" s="36">
        <f>IF(AND(OR(sel_Region="All",C1689=sel_Region),OR(sel_Country="All",D1689=sel_Country),OR(sel_Channel="All",E1689=sel_Channel),OR(sel_Customer="All",F1689=sel_Customer),OR(sel_Category="All",G1689=sel_Category),OR(sel_Product="All",H1689=sel_Product),AND(S1689&gt;=m_From,S1689&lt;=m_To)),1,0)</f>
        <v/>
      </c>
      <c r="V1689" s="36">
        <f>IF(AND(OR(sel_Region="All",C1689=sel_Region),OR(sel_Channel="All",E1689=sel_Channel),OR(sel_Customer="All",F1689=sel_Customer),OR(sel_Category="All",G1689=sel_Category),OR(sel_Product="All",H1689=sel_Product),AND(S1689&gt;=m_From,S1689&lt;=m_To)),1,0)</f>
        <v/>
      </c>
      <c r="W1689" s="36">
        <f>IF(AND(OR(sel_Region="All",C1689=sel_Region),OR(sel_Country="All",D1689=sel_Country),OR(sel_Customer="All",F1689=sel_Customer),OR(sel_Category="All",G1689=sel_Category),OR(sel_Product="All",H1689=sel_Product),AND(S1689&gt;=m_From,S1689&lt;=m_To)),1,0)</f>
        <v/>
      </c>
      <c r="X1689" s="36">
        <f>IF(AND(OR(sel_Region="All",C1689=sel_Region),OR(sel_Country="All",D1689=sel_Country),OR(sel_Channel="All",E1689=sel_Channel),OR(sel_Category="All",G1689=sel_Category),OR(sel_Product="All",H1689=sel_Product),AND(S1689&gt;=m_From,S1689&lt;=m_To)),1,0)</f>
        <v/>
      </c>
      <c r="Y1689" s="36">
        <f>IF(AND(OR(sel_Region="All",C1689=sel_Region),OR(sel_Country="All",D1689=sel_Country),OR(sel_Channel="All",E1689=sel_Channel),OR(sel_Customer="All",F1689=sel_Customer),OR(sel_Product="All",H1689=sel_Product),AND(S1689&gt;=m_From,S1689&lt;=m_To)),1,0)</f>
        <v/>
      </c>
      <c r="Z1689" s="36">
        <f>IF(AND(OR(sel_Region="All",C1689=sel_Region),OR(sel_Country="All",D1689=sel_Country),OR(sel_Channel="All",E1689=sel_Channel),OR(sel_Customer="All",F1689=sel_Customer),OR(sel_Category="All",G1689=sel_Category),AND(S1689&gt;=m_From,S1689&lt;=m_To)),1,0)</f>
        <v/>
      </c>
      <c r="AA1689" s="36">
        <f>IF(AND(OR(sel_Region="All",C1689=sel_Region),OR(sel_Country="All",D1689=sel_Country),OR(sel_Channel="All",E1689=sel_Channel),OR(sel_Customer="All",F1689=sel_Customer),OR(sel_Category="All",G1689=sel_Category),OR(sel_Product="All",H1689=sel_Product)),1,0)</f>
        <v/>
      </c>
    </row>
    <row r="1690">
      <c r="A1690" s="36" t="inlineStr">
        <is>
          <t>04775</t>
        </is>
      </c>
      <c r="B1690" s="44" t="n">
        <v>46253</v>
      </c>
      <c r="C1690" s="36" t="inlineStr">
        <is>
          <t>Northern Europe</t>
        </is>
      </c>
      <c r="D1690" s="36" t="inlineStr">
        <is>
          <t>Finland</t>
        </is>
      </c>
      <c r="E1690" s="36" t="inlineStr">
        <is>
          <t>Marketplace</t>
        </is>
      </c>
      <c r="F1690" s="36" t="inlineStr">
        <is>
          <t>Returning</t>
        </is>
      </c>
      <c r="G1690" s="36" t="inlineStr">
        <is>
          <t>Cycling</t>
        </is>
      </c>
      <c r="H1690" s="36" t="inlineStr">
        <is>
          <t>Cycling Pack 12L</t>
        </is>
      </c>
      <c r="I1690" s="36" t="n">
        <v>1</v>
      </c>
      <c r="J1690" s="39" t="n">
        <v>103.92</v>
      </c>
      <c r="K1690" s="45" t="n">
        <v>0.05</v>
      </c>
      <c r="L1690" s="39" t="n">
        <v>50.71</v>
      </c>
      <c r="M1690" s="39">
        <f>I1690*J1690*(1-K1690)</f>
        <v/>
      </c>
      <c r="N1690" s="39">
        <f>I1690*L1690</f>
        <v/>
      </c>
      <c r="O1690" s="39">
        <f>M1690-N1690</f>
        <v/>
      </c>
      <c r="P1690" s="38">
        <f>IF(M1690=0,0,O1690/M1690)</f>
        <v/>
      </c>
      <c r="Q1690" s="36">
        <f>YEAR(B1690)</f>
        <v/>
      </c>
      <c r="R1690" s="36">
        <f>"Q"&amp;ROUNDUP(MONTH(B1690)/3,0)</f>
        <v/>
      </c>
      <c r="S1690" s="36">
        <f>MONTH(B1690)</f>
        <v/>
      </c>
      <c r="T1690" s="36">
        <f>TEXT(B1690,"mmm")</f>
        <v/>
      </c>
      <c r="U1690" s="36">
        <f>IF(AND(OR(sel_Region="All",C1690=sel_Region),OR(sel_Country="All",D1690=sel_Country),OR(sel_Channel="All",E1690=sel_Channel),OR(sel_Customer="All",F1690=sel_Customer),OR(sel_Category="All",G1690=sel_Category),OR(sel_Product="All",H1690=sel_Product),AND(S1690&gt;=m_From,S1690&lt;=m_To)),1,0)</f>
        <v/>
      </c>
      <c r="V1690" s="36">
        <f>IF(AND(OR(sel_Region="All",C1690=sel_Region),OR(sel_Channel="All",E1690=sel_Channel),OR(sel_Customer="All",F1690=sel_Customer),OR(sel_Category="All",G1690=sel_Category),OR(sel_Product="All",H1690=sel_Product),AND(S1690&gt;=m_From,S1690&lt;=m_To)),1,0)</f>
        <v/>
      </c>
      <c r="W1690" s="36">
        <f>IF(AND(OR(sel_Region="All",C1690=sel_Region),OR(sel_Country="All",D1690=sel_Country),OR(sel_Customer="All",F1690=sel_Customer),OR(sel_Category="All",G1690=sel_Category),OR(sel_Product="All",H1690=sel_Product),AND(S1690&gt;=m_From,S1690&lt;=m_To)),1,0)</f>
        <v/>
      </c>
      <c r="X1690" s="36">
        <f>IF(AND(OR(sel_Region="All",C1690=sel_Region),OR(sel_Country="All",D1690=sel_Country),OR(sel_Channel="All",E1690=sel_Channel),OR(sel_Category="All",G1690=sel_Category),OR(sel_Product="All",H1690=sel_Product),AND(S1690&gt;=m_From,S1690&lt;=m_To)),1,0)</f>
        <v/>
      </c>
      <c r="Y1690" s="36">
        <f>IF(AND(OR(sel_Region="All",C1690=sel_Region),OR(sel_Country="All",D1690=sel_Country),OR(sel_Channel="All",E1690=sel_Channel),OR(sel_Customer="All",F1690=sel_Customer),OR(sel_Product="All",H1690=sel_Product),AND(S1690&gt;=m_From,S1690&lt;=m_To)),1,0)</f>
        <v/>
      </c>
      <c r="Z1690" s="36">
        <f>IF(AND(OR(sel_Region="All",C1690=sel_Region),OR(sel_Country="All",D1690=sel_Country),OR(sel_Channel="All",E1690=sel_Channel),OR(sel_Customer="All",F1690=sel_Customer),OR(sel_Category="All",G1690=sel_Category),AND(S1690&gt;=m_From,S1690&lt;=m_To)),1,0)</f>
        <v/>
      </c>
      <c r="AA1690" s="36">
        <f>IF(AND(OR(sel_Region="All",C1690=sel_Region),OR(sel_Country="All",D1690=sel_Country),OR(sel_Channel="All",E1690=sel_Channel),OR(sel_Customer="All",F1690=sel_Customer),OR(sel_Category="All",G1690=sel_Category),OR(sel_Product="All",H1690=sel_Product)),1,0)</f>
        <v/>
      </c>
    </row>
    <row r="1691">
      <c r="A1691" s="36" t="inlineStr">
        <is>
          <t>00247</t>
        </is>
      </c>
      <c r="B1691" s="44" t="n">
        <v>46254</v>
      </c>
      <c r="C1691" s="36" t="inlineStr">
        <is>
          <t>Southern Europe</t>
        </is>
      </c>
      <c r="D1691" s="36" t="inlineStr">
        <is>
          <t>Portugal</t>
        </is>
      </c>
      <c r="E1691" s="36" t="inlineStr">
        <is>
          <t>Online Store</t>
        </is>
      </c>
      <c r="F1691" s="36" t="inlineStr">
        <is>
          <t>New</t>
        </is>
      </c>
      <c r="G1691" s="36" t="inlineStr">
        <is>
          <t>Cycling</t>
        </is>
      </c>
      <c r="H1691" s="36" t="inlineStr">
        <is>
          <t>Trail Bike Light</t>
        </is>
      </c>
      <c r="I1691" s="36" t="n">
        <v>6</v>
      </c>
      <c r="J1691" s="39" t="n">
        <v>51.67</v>
      </c>
      <c r="K1691" s="45" t="n">
        <v>0.1</v>
      </c>
      <c r="L1691" s="39" t="n">
        <v>23.1</v>
      </c>
      <c r="M1691" s="39">
        <f>I1691*J1691*(1-K1691)</f>
        <v/>
      </c>
      <c r="N1691" s="39">
        <f>I1691*L1691</f>
        <v/>
      </c>
      <c r="O1691" s="39">
        <f>M1691-N1691</f>
        <v/>
      </c>
      <c r="P1691" s="38">
        <f>IF(M1691=0,0,O1691/M1691)</f>
        <v/>
      </c>
      <c r="Q1691" s="36">
        <f>YEAR(B1691)</f>
        <v/>
      </c>
      <c r="R1691" s="36">
        <f>"Q"&amp;ROUNDUP(MONTH(B1691)/3,0)</f>
        <v/>
      </c>
      <c r="S1691" s="36">
        <f>MONTH(B1691)</f>
        <v/>
      </c>
      <c r="T1691" s="36">
        <f>TEXT(B1691,"mmm")</f>
        <v/>
      </c>
      <c r="U1691" s="36">
        <f>IF(AND(OR(sel_Region="All",C1691=sel_Region),OR(sel_Country="All",D1691=sel_Country),OR(sel_Channel="All",E1691=sel_Channel),OR(sel_Customer="All",F1691=sel_Customer),OR(sel_Category="All",G1691=sel_Category),OR(sel_Product="All",H1691=sel_Product),AND(S1691&gt;=m_From,S1691&lt;=m_To)),1,0)</f>
        <v/>
      </c>
      <c r="V1691" s="36">
        <f>IF(AND(OR(sel_Region="All",C1691=sel_Region),OR(sel_Channel="All",E1691=sel_Channel),OR(sel_Customer="All",F1691=sel_Customer),OR(sel_Category="All",G1691=sel_Category),OR(sel_Product="All",H1691=sel_Product),AND(S1691&gt;=m_From,S1691&lt;=m_To)),1,0)</f>
        <v/>
      </c>
      <c r="W1691" s="36">
        <f>IF(AND(OR(sel_Region="All",C1691=sel_Region),OR(sel_Country="All",D1691=sel_Country),OR(sel_Customer="All",F1691=sel_Customer),OR(sel_Category="All",G1691=sel_Category),OR(sel_Product="All",H1691=sel_Product),AND(S1691&gt;=m_From,S1691&lt;=m_To)),1,0)</f>
        <v/>
      </c>
      <c r="X1691" s="36">
        <f>IF(AND(OR(sel_Region="All",C1691=sel_Region),OR(sel_Country="All",D1691=sel_Country),OR(sel_Channel="All",E1691=sel_Channel),OR(sel_Category="All",G1691=sel_Category),OR(sel_Product="All",H1691=sel_Product),AND(S1691&gt;=m_From,S1691&lt;=m_To)),1,0)</f>
        <v/>
      </c>
      <c r="Y1691" s="36">
        <f>IF(AND(OR(sel_Region="All",C1691=sel_Region),OR(sel_Country="All",D1691=sel_Country),OR(sel_Channel="All",E1691=sel_Channel),OR(sel_Customer="All",F1691=sel_Customer),OR(sel_Product="All",H1691=sel_Product),AND(S1691&gt;=m_From,S1691&lt;=m_To)),1,0)</f>
        <v/>
      </c>
      <c r="Z1691" s="36">
        <f>IF(AND(OR(sel_Region="All",C1691=sel_Region),OR(sel_Country="All",D1691=sel_Country),OR(sel_Channel="All",E1691=sel_Channel),OR(sel_Customer="All",F1691=sel_Customer),OR(sel_Category="All",G1691=sel_Category),AND(S1691&gt;=m_From,S1691&lt;=m_To)),1,0)</f>
        <v/>
      </c>
      <c r="AA1691" s="36">
        <f>IF(AND(OR(sel_Region="All",C1691=sel_Region),OR(sel_Country="All",D1691=sel_Country),OR(sel_Channel="All",E1691=sel_Channel),OR(sel_Customer="All",F1691=sel_Customer),OR(sel_Category="All",G1691=sel_Category),OR(sel_Product="All",H1691=sel_Product)),1,0)</f>
        <v/>
      </c>
    </row>
    <row r="1692">
      <c r="A1692" s="36" t="inlineStr">
        <is>
          <t>00827</t>
        </is>
      </c>
      <c r="B1692" s="44" t="n">
        <v>46254</v>
      </c>
      <c r="C1692" s="36" t="inlineStr">
        <is>
          <t>Central Europe</t>
        </is>
      </c>
      <c r="D1692" s="36" t="inlineStr">
        <is>
          <t>Germany</t>
        </is>
      </c>
      <c r="E1692" s="36" t="inlineStr">
        <is>
          <t>Corporate</t>
        </is>
      </c>
      <c r="F1692" s="36" t="inlineStr">
        <is>
          <t>Returning</t>
        </is>
      </c>
      <c r="G1692" s="36" t="inlineStr">
        <is>
          <t>Travel</t>
        </is>
      </c>
      <c r="H1692" s="36" t="inlineStr">
        <is>
          <t>Travel Backpack 35L</t>
        </is>
      </c>
      <c r="I1692" s="36" t="n">
        <v>4</v>
      </c>
      <c r="J1692" s="39" t="n">
        <v>166.02</v>
      </c>
      <c r="K1692" s="45" t="n">
        <v>0.1</v>
      </c>
      <c r="L1692" s="39" t="n">
        <v>87.98999999999999</v>
      </c>
      <c r="M1692" s="39">
        <f>I1692*J1692*(1-K1692)</f>
        <v/>
      </c>
      <c r="N1692" s="39">
        <f>I1692*L1692</f>
        <v/>
      </c>
      <c r="O1692" s="39">
        <f>M1692-N1692</f>
        <v/>
      </c>
      <c r="P1692" s="38">
        <f>IF(M1692=0,0,O1692/M1692)</f>
        <v/>
      </c>
      <c r="Q1692" s="36">
        <f>YEAR(B1692)</f>
        <v/>
      </c>
      <c r="R1692" s="36">
        <f>"Q"&amp;ROUNDUP(MONTH(B1692)/3,0)</f>
        <v/>
      </c>
      <c r="S1692" s="36">
        <f>MONTH(B1692)</f>
        <v/>
      </c>
      <c r="T1692" s="36">
        <f>TEXT(B1692,"mmm")</f>
        <v/>
      </c>
      <c r="U1692" s="36">
        <f>IF(AND(OR(sel_Region="All",C1692=sel_Region),OR(sel_Country="All",D1692=sel_Country),OR(sel_Channel="All",E1692=sel_Channel),OR(sel_Customer="All",F1692=sel_Customer),OR(sel_Category="All",G1692=sel_Category),OR(sel_Product="All",H1692=sel_Product),AND(S1692&gt;=m_From,S1692&lt;=m_To)),1,0)</f>
        <v/>
      </c>
      <c r="V1692" s="36">
        <f>IF(AND(OR(sel_Region="All",C1692=sel_Region),OR(sel_Channel="All",E1692=sel_Channel),OR(sel_Customer="All",F1692=sel_Customer),OR(sel_Category="All",G1692=sel_Category),OR(sel_Product="All",H1692=sel_Product),AND(S1692&gt;=m_From,S1692&lt;=m_To)),1,0)</f>
        <v/>
      </c>
      <c r="W1692" s="36">
        <f>IF(AND(OR(sel_Region="All",C1692=sel_Region),OR(sel_Country="All",D1692=sel_Country),OR(sel_Customer="All",F1692=sel_Customer),OR(sel_Category="All",G1692=sel_Category),OR(sel_Product="All",H1692=sel_Product),AND(S1692&gt;=m_From,S1692&lt;=m_To)),1,0)</f>
        <v/>
      </c>
      <c r="X1692" s="36">
        <f>IF(AND(OR(sel_Region="All",C1692=sel_Region),OR(sel_Country="All",D1692=sel_Country),OR(sel_Channel="All",E1692=sel_Channel),OR(sel_Category="All",G1692=sel_Category),OR(sel_Product="All",H1692=sel_Product),AND(S1692&gt;=m_From,S1692&lt;=m_To)),1,0)</f>
        <v/>
      </c>
      <c r="Y1692" s="36">
        <f>IF(AND(OR(sel_Region="All",C1692=sel_Region),OR(sel_Country="All",D1692=sel_Country),OR(sel_Channel="All",E1692=sel_Channel),OR(sel_Customer="All",F1692=sel_Customer),OR(sel_Product="All",H1692=sel_Product),AND(S1692&gt;=m_From,S1692&lt;=m_To)),1,0)</f>
        <v/>
      </c>
      <c r="Z1692" s="36">
        <f>IF(AND(OR(sel_Region="All",C1692=sel_Region),OR(sel_Country="All",D1692=sel_Country),OR(sel_Channel="All",E1692=sel_Channel),OR(sel_Customer="All",F1692=sel_Customer),OR(sel_Category="All",G1692=sel_Category),AND(S1692&gt;=m_From,S1692&lt;=m_To)),1,0)</f>
        <v/>
      </c>
      <c r="AA1692" s="36">
        <f>IF(AND(OR(sel_Region="All",C1692=sel_Region),OR(sel_Country="All",D1692=sel_Country),OR(sel_Channel="All",E1692=sel_Channel),OR(sel_Customer="All",F1692=sel_Customer),OR(sel_Category="All",G1692=sel_Category),OR(sel_Product="All",H1692=sel_Product)),1,0)</f>
        <v/>
      </c>
    </row>
    <row r="1693">
      <c r="A1693" s="36" t="inlineStr">
        <is>
          <t>01156</t>
        </is>
      </c>
      <c r="B1693" s="44" t="n">
        <v>46254</v>
      </c>
      <c r="C1693" s="36" t="inlineStr">
        <is>
          <t>Northern Europe</t>
        </is>
      </c>
      <c r="D1693" s="36" t="inlineStr">
        <is>
          <t>Denmark</t>
        </is>
      </c>
      <c r="E1693" s="36" t="inlineStr">
        <is>
          <t>Retail Partners</t>
        </is>
      </c>
      <c r="F1693" s="36" t="inlineStr">
        <is>
          <t>New</t>
        </is>
      </c>
      <c r="G1693" s="36" t="inlineStr">
        <is>
          <t>Cycling</t>
        </is>
      </c>
      <c r="H1693" s="36" t="inlineStr">
        <is>
          <t>Trail Bike Light</t>
        </is>
      </c>
      <c r="I1693" s="36" t="n">
        <v>2</v>
      </c>
      <c r="J1693" s="39" t="n">
        <v>50.59</v>
      </c>
      <c r="K1693" s="45" t="n">
        <v>0.1</v>
      </c>
      <c r="L1693" s="39" t="n">
        <v>22.68</v>
      </c>
      <c r="M1693" s="39">
        <f>I1693*J1693*(1-K1693)</f>
        <v/>
      </c>
      <c r="N1693" s="39">
        <f>I1693*L1693</f>
        <v/>
      </c>
      <c r="O1693" s="39">
        <f>M1693-N1693</f>
        <v/>
      </c>
      <c r="P1693" s="38">
        <f>IF(M1693=0,0,O1693/M1693)</f>
        <v/>
      </c>
      <c r="Q1693" s="36">
        <f>YEAR(B1693)</f>
        <v/>
      </c>
      <c r="R1693" s="36">
        <f>"Q"&amp;ROUNDUP(MONTH(B1693)/3,0)</f>
        <v/>
      </c>
      <c r="S1693" s="36">
        <f>MONTH(B1693)</f>
        <v/>
      </c>
      <c r="T1693" s="36">
        <f>TEXT(B1693,"mmm")</f>
        <v/>
      </c>
      <c r="U1693" s="36">
        <f>IF(AND(OR(sel_Region="All",C1693=sel_Region),OR(sel_Country="All",D1693=sel_Country),OR(sel_Channel="All",E1693=sel_Channel),OR(sel_Customer="All",F1693=sel_Customer),OR(sel_Category="All",G1693=sel_Category),OR(sel_Product="All",H1693=sel_Product),AND(S1693&gt;=m_From,S1693&lt;=m_To)),1,0)</f>
        <v/>
      </c>
      <c r="V1693" s="36">
        <f>IF(AND(OR(sel_Region="All",C1693=sel_Region),OR(sel_Channel="All",E1693=sel_Channel),OR(sel_Customer="All",F1693=sel_Customer),OR(sel_Category="All",G1693=sel_Category),OR(sel_Product="All",H1693=sel_Product),AND(S1693&gt;=m_From,S1693&lt;=m_To)),1,0)</f>
        <v/>
      </c>
      <c r="W1693" s="36">
        <f>IF(AND(OR(sel_Region="All",C1693=sel_Region),OR(sel_Country="All",D1693=sel_Country),OR(sel_Customer="All",F1693=sel_Customer),OR(sel_Category="All",G1693=sel_Category),OR(sel_Product="All",H1693=sel_Product),AND(S1693&gt;=m_From,S1693&lt;=m_To)),1,0)</f>
        <v/>
      </c>
      <c r="X1693" s="36">
        <f>IF(AND(OR(sel_Region="All",C1693=sel_Region),OR(sel_Country="All",D1693=sel_Country),OR(sel_Channel="All",E1693=sel_Channel),OR(sel_Category="All",G1693=sel_Category),OR(sel_Product="All",H1693=sel_Product),AND(S1693&gt;=m_From,S1693&lt;=m_To)),1,0)</f>
        <v/>
      </c>
      <c r="Y1693" s="36">
        <f>IF(AND(OR(sel_Region="All",C1693=sel_Region),OR(sel_Country="All",D1693=sel_Country),OR(sel_Channel="All",E1693=sel_Channel),OR(sel_Customer="All",F1693=sel_Customer),OR(sel_Product="All",H1693=sel_Product),AND(S1693&gt;=m_From,S1693&lt;=m_To)),1,0)</f>
        <v/>
      </c>
      <c r="Z1693" s="36">
        <f>IF(AND(OR(sel_Region="All",C1693=sel_Region),OR(sel_Country="All",D1693=sel_Country),OR(sel_Channel="All",E1693=sel_Channel),OR(sel_Customer="All",F1693=sel_Customer),OR(sel_Category="All",G1693=sel_Category),AND(S1693&gt;=m_From,S1693&lt;=m_To)),1,0)</f>
        <v/>
      </c>
      <c r="AA1693" s="36">
        <f>IF(AND(OR(sel_Region="All",C1693=sel_Region),OR(sel_Country="All",D1693=sel_Country),OR(sel_Channel="All",E1693=sel_Channel),OR(sel_Customer="All",F1693=sel_Customer),OR(sel_Category="All",G1693=sel_Category),OR(sel_Product="All",H1693=sel_Product)),1,0)</f>
        <v/>
      </c>
    </row>
    <row r="1694">
      <c r="A1694" s="36" t="inlineStr">
        <is>
          <t>01543</t>
        </is>
      </c>
      <c r="B1694" s="44" t="n">
        <v>46254</v>
      </c>
      <c r="C1694" s="36" t="inlineStr">
        <is>
          <t>Western Europe</t>
        </is>
      </c>
      <c r="D1694" s="36" t="inlineStr">
        <is>
          <t>Netherlands</t>
        </is>
      </c>
      <c r="E1694" s="36" t="inlineStr">
        <is>
          <t>Retail Partners</t>
        </is>
      </c>
      <c r="F1694" s="36" t="inlineStr">
        <is>
          <t>Returning</t>
        </is>
      </c>
      <c r="G1694" s="36" t="inlineStr">
        <is>
          <t>Hiking</t>
        </is>
      </c>
      <c r="H1694" s="36" t="inlineStr">
        <is>
          <t>Summit Backpack 45L</t>
        </is>
      </c>
      <c r="I1694" s="36" t="n">
        <v>1</v>
      </c>
      <c r="J1694" s="39" t="n">
        <v>155.83</v>
      </c>
      <c r="K1694" s="45" t="n">
        <v>0</v>
      </c>
      <c r="L1694" s="39" t="n">
        <v>77.26000000000001</v>
      </c>
      <c r="M1694" s="39">
        <f>I1694*J1694*(1-K1694)</f>
        <v/>
      </c>
      <c r="N1694" s="39">
        <f>I1694*L1694</f>
        <v/>
      </c>
      <c r="O1694" s="39">
        <f>M1694-N1694</f>
        <v/>
      </c>
      <c r="P1694" s="38">
        <f>IF(M1694=0,0,O1694/M1694)</f>
        <v/>
      </c>
      <c r="Q1694" s="36">
        <f>YEAR(B1694)</f>
        <v/>
      </c>
      <c r="R1694" s="36">
        <f>"Q"&amp;ROUNDUP(MONTH(B1694)/3,0)</f>
        <v/>
      </c>
      <c r="S1694" s="36">
        <f>MONTH(B1694)</f>
        <v/>
      </c>
      <c r="T1694" s="36">
        <f>TEXT(B1694,"mmm")</f>
        <v/>
      </c>
      <c r="U1694" s="36">
        <f>IF(AND(OR(sel_Region="All",C1694=sel_Region),OR(sel_Country="All",D1694=sel_Country),OR(sel_Channel="All",E1694=sel_Channel),OR(sel_Customer="All",F1694=sel_Customer),OR(sel_Category="All",G1694=sel_Category),OR(sel_Product="All",H1694=sel_Product),AND(S1694&gt;=m_From,S1694&lt;=m_To)),1,0)</f>
        <v/>
      </c>
      <c r="V1694" s="36">
        <f>IF(AND(OR(sel_Region="All",C1694=sel_Region),OR(sel_Channel="All",E1694=sel_Channel),OR(sel_Customer="All",F1694=sel_Customer),OR(sel_Category="All",G1694=sel_Category),OR(sel_Product="All",H1694=sel_Product),AND(S1694&gt;=m_From,S1694&lt;=m_To)),1,0)</f>
        <v/>
      </c>
      <c r="W1694" s="36">
        <f>IF(AND(OR(sel_Region="All",C1694=sel_Region),OR(sel_Country="All",D1694=sel_Country),OR(sel_Customer="All",F1694=sel_Customer),OR(sel_Category="All",G1694=sel_Category),OR(sel_Product="All",H1694=sel_Product),AND(S1694&gt;=m_From,S1694&lt;=m_To)),1,0)</f>
        <v/>
      </c>
      <c r="X1694" s="36">
        <f>IF(AND(OR(sel_Region="All",C1694=sel_Region),OR(sel_Country="All",D1694=sel_Country),OR(sel_Channel="All",E1694=sel_Channel),OR(sel_Category="All",G1694=sel_Category),OR(sel_Product="All",H1694=sel_Product),AND(S1694&gt;=m_From,S1694&lt;=m_To)),1,0)</f>
        <v/>
      </c>
      <c r="Y1694" s="36">
        <f>IF(AND(OR(sel_Region="All",C1694=sel_Region),OR(sel_Country="All",D1694=sel_Country),OR(sel_Channel="All",E1694=sel_Channel),OR(sel_Customer="All",F1694=sel_Customer),OR(sel_Product="All",H1694=sel_Product),AND(S1694&gt;=m_From,S1694&lt;=m_To)),1,0)</f>
        <v/>
      </c>
      <c r="Z1694" s="36">
        <f>IF(AND(OR(sel_Region="All",C1694=sel_Region),OR(sel_Country="All",D1694=sel_Country),OR(sel_Channel="All",E1694=sel_Channel),OR(sel_Customer="All",F1694=sel_Customer),OR(sel_Category="All",G1694=sel_Category),AND(S1694&gt;=m_From,S1694&lt;=m_To)),1,0)</f>
        <v/>
      </c>
      <c r="AA1694" s="36">
        <f>IF(AND(OR(sel_Region="All",C1694=sel_Region),OR(sel_Country="All",D1694=sel_Country),OR(sel_Channel="All",E1694=sel_Channel),OR(sel_Customer="All",F1694=sel_Customer),OR(sel_Category="All",G1694=sel_Category),OR(sel_Product="All",H1694=sel_Product)),1,0)</f>
        <v/>
      </c>
    </row>
    <row r="1695">
      <c r="A1695" s="36" t="inlineStr">
        <is>
          <t>02613</t>
        </is>
      </c>
      <c r="B1695" s="44" t="n">
        <v>46254</v>
      </c>
      <c r="C1695" s="36" t="inlineStr">
        <is>
          <t>Western Europe</t>
        </is>
      </c>
      <c r="D1695" s="36" t="inlineStr">
        <is>
          <t>Belgium</t>
        </is>
      </c>
      <c r="E1695" s="36" t="inlineStr">
        <is>
          <t>Online Store</t>
        </is>
      </c>
      <c r="F1695" s="36" t="inlineStr">
        <is>
          <t>New</t>
        </is>
      </c>
      <c r="G1695" s="36" t="inlineStr">
        <is>
          <t>Fitness</t>
        </is>
      </c>
      <c r="H1695" s="36" t="inlineStr">
        <is>
          <t>Recovery Roller</t>
        </is>
      </c>
      <c r="I1695" s="36" t="n">
        <v>1</v>
      </c>
      <c r="J1695" s="39" t="n">
        <v>36.38</v>
      </c>
      <c r="K1695" s="45" t="n">
        <v>0.05</v>
      </c>
      <c r="L1695" s="39" t="n">
        <v>14.2</v>
      </c>
      <c r="M1695" s="39">
        <f>I1695*J1695*(1-K1695)</f>
        <v/>
      </c>
      <c r="N1695" s="39">
        <f>I1695*L1695</f>
        <v/>
      </c>
      <c r="O1695" s="39">
        <f>M1695-N1695</f>
        <v/>
      </c>
      <c r="P1695" s="38">
        <f>IF(M1695=0,0,O1695/M1695)</f>
        <v/>
      </c>
      <c r="Q1695" s="36">
        <f>YEAR(B1695)</f>
        <v/>
      </c>
      <c r="R1695" s="36">
        <f>"Q"&amp;ROUNDUP(MONTH(B1695)/3,0)</f>
        <v/>
      </c>
      <c r="S1695" s="36">
        <f>MONTH(B1695)</f>
        <v/>
      </c>
      <c r="T1695" s="36">
        <f>TEXT(B1695,"mmm")</f>
        <v/>
      </c>
      <c r="U1695" s="36">
        <f>IF(AND(OR(sel_Region="All",C1695=sel_Region),OR(sel_Country="All",D1695=sel_Country),OR(sel_Channel="All",E1695=sel_Channel),OR(sel_Customer="All",F1695=sel_Customer),OR(sel_Category="All",G1695=sel_Category),OR(sel_Product="All",H1695=sel_Product),AND(S1695&gt;=m_From,S1695&lt;=m_To)),1,0)</f>
        <v/>
      </c>
      <c r="V1695" s="36">
        <f>IF(AND(OR(sel_Region="All",C1695=sel_Region),OR(sel_Channel="All",E1695=sel_Channel),OR(sel_Customer="All",F1695=sel_Customer),OR(sel_Category="All",G1695=sel_Category),OR(sel_Product="All",H1695=sel_Product),AND(S1695&gt;=m_From,S1695&lt;=m_To)),1,0)</f>
        <v/>
      </c>
      <c r="W1695" s="36">
        <f>IF(AND(OR(sel_Region="All",C1695=sel_Region),OR(sel_Country="All",D1695=sel_Country),OR(sel_Customer="All",F1695=sel_Customer),OR(sel_Category="All",G1695=sel_Category),OR(sel_Product="All",H1695=sel_Product),AND(S1695&gt;=m_From,S1695&lt;=m_To)),1,0)</f>
        <v/>
      </c>
      <c r="X1695" s="36">
        <f>IF(AND(OR(sel_Region="All",C1695=sel_Region),OR(sel_Country="All",D1695=sel_Country),OR(sel_Channel="All",E1695=sel_Channel),OR(sel_Category="All",G1695=sel_Category),OR(sel_Product="All",H1695=sel_Product),AND(S1695&gt;=m_From,S1695&lt;=m_To)),1,0)</f>
        <v/>
      </c>
      <c r="Y1695" s="36">
        <f>IF(AND(OR(sel_Region="All",C1695=sel_Region),OR(sel_Country="All",D1695=sel_Country),OR(sel_Channel="All",E1695=sel_Channel),OR(sel_Customer="All",F1695=sel_Customer),OR(sel_Product="All",H1695=sel_Product),AND(S1695&gt;=m_From,S1695&lt;=m_To)),1,0)</f>
        <v/>
      </c>
      <c r="Z1695" s="36">
        <f>IF(AND(OR(sel_Region="All",C1695=sel_Region),OR(sel_Country="All",D1695=sel_Country),OR(sel_Channel="All",E1695=sel_Channel),OR(sel_Customer="All",F1695=sel_Customer),OR(sel_Category="All",G1695=sel_Category),AND(S1695&gt;=m_From,S1695&lt;=m_To)),1,0)</f>
        <v/>
      </c>
      <c r="AA1695" s="36">
        <f>IF(AND(OR(sel_Region="All",C1695=sel_Region),OR(sel_Country="All",D1695=sel_Country),OR(sel_Channel="All",E1695=sel_Channel),OR(sel_Customer="All",F1695=sel_Customer),OR(sel_Category="All",G1695=sel_Category),OR(sel_Product="All",H1695=sel_Product)),1,0)</f>
        <v/>
      </c>
    </row>
    <row r="1696">
      <c r="A1696" s="36" t="inlineStr">
        <is>
          <t>03002</t>
        </is>
      </c>
      <c r="B1696" s="44" t="n">
        <v>46254</v>
      </c>
      <c r="C1696" s="36" t="inlineStr">
        <is>
          <t>Central Europe</t>
        </is>
      </c>
      <c r="D1696" s="36" t="inlineStr">
        <is>
          <t>Germany</t>
        </is>
      </c>
      <c r="E1696" s="36" t="inlineStr">
        <is>
          <t>Retail Partners</t>
        </is>
      </c>
      <c r="F1696" s="36" t="inlineStr">
        <is>
          <t>New</t>
        </is>
      </c>
      <c r="G1696" s="36" t="inlineStr">
        <is>
          <t>Camping</t>
        </is>
      </c>
      <c r="H1696" s="36" t="inlineStr">
        <is>
          <t>Compact Sleeping Bag</t>
        </is>
      </c>
      <c r="I1696" s="36" t="n">
        <v>2</v>
      </c>
      <c r="J1696" s="39" t="n">
        <v>124.09</v>
      </c>
      <c r="K1696" s="45" t="n">
        <v>0</v>
      </c>
      <c r="L1696" s="39" t="n">
        <v>60.39</v>
      </c>
      <c r="M1696" s="39">
        <f>I1696*J1696*(1-K1696)</f>
        <v/>
      </c>
      <c r="N1696" s="39">
        <f>I1696*L1696</f>
        <v/>
      </c>
      <c r="O1696" s="39">
        <f>M1696-N1696</f>
        <v/>
      </c>
      <c r="P1696" s="38">
        <f>IF(M1696=0,0,O1696/M1696)</f>
        <v/>
      </c>
      <c r="Q1696" s="36">
        <f>YEAR(B1696)</f>
        <v/>
      </c>
      <c r="R1696" s="36">
        <f>"Q"&amp;ROUNDUP(MONTH(B1696)/3,0)</f>
        <v/>
      </c>
      <c r="S1696" s="36">
        <f>MONTH(B1696)</f>
        <v/>
      </c>
      <c r="T1696" s="36">
        <f>TEXT(B1696,"mmm")</f>
        <v/>
      </c>
      <c r="U1696" s="36">
        <f>IF(AND(OR(sel_Region="All",C1696=sel_Region),OR(sel_Country="All",D1696=sel_Country),OR(sel_Channel="All",E1696=sel_Channel),OR(sel_Customer="All",F1696=sel_Customer),OR(sel_Category="All",G1696=sel_Category),OR(sel_Product="All",H1696=sel_Product),AND(S1696&gt;=m_From,S1696&lt;=m_To)),1,0)</f>
        <v/>
      </c>
      <c r="V1696" s="36">
        <f>IF(AND(OR(sel_Region="All",C1696=sel_Region),OR(sel_Channel="All",E1696=sel_Channel),OR(sel_Customer="All",F1696=sel_Customer),OR(sel_Category="All",G1696=sel_Category),OR(sel_Product="All",H1696=sel_Product),AND(S1696&gt;=m_From,S1696&lt;=m_To)),1,0)</f>
        <v/>
      </c>
      <c r="W1696" s="36">
        <f>IF(AND(OR(sel_Region="All",C1696=sel_Region),OR(sel_Country="All",D1696=sel_Country),OR(sel_Customer="All",F1696=sel_Customer),OR(sel_Category="All",G1696=sel_Category),OR(sel_Product="All",H1696=sel_Product),AND(S1696&gt;=m_From,S1696&lt;=m_To)),1,0)</f>
        <v/>
      </c>
      <c r="X1696" s="36">
        <f>IF(AND(OR(sel_Region="All",C1696=sel_Region),OR(sel_Country="All",D1696=sel_Country),OR(sel_Channel="All",E1696=sel_Channel),OR(sel_Category="All",G1696=sel_Category),OR(sel_Product="All",H1696=sel_Product),AND(S1696&gt;=m_From,S1696&lt;=m_To)),1,0)</f>
        <v/>
      </c>
      <c r="Y1696" s="36">
        <f>IF(AND(OR(sel_Region="All",C1696=sel_Region),OR(sel_Country="All",D1696=sel_Country),OR(sel_Channel="All",E1696=sel_Channel),OR(sel_Customer="All",F1696=sel_Customer),OR(sel_Product="All",H1696=sel_Product),AND(S1696&gt;=m_From,S1696&lt;=m_To)),1,0)</f>
        <v/>
      </c>
      <c r="Z1696" s="36">
        <f>IF(AND(OR(sel_Region="All",C1696=sel_Region),OR(sel_Country="All",D1696=sel_Country),OR(sel_Channel="All",E1696=sel_Channel),OR(sel_Customer="All",F1696=sel_Customer),OR(sel_Category="All",G1696=sel_Category),AND(S1696&gt;=m_From,S1696&lt;=m_To)),1,0)</f>
        <v/>
      </c>
      <c r="AA1696" s="36">
        <f>IF(AND(OR(sel_Region="All",C1696=sel_Region),OR(sel_Country="All",D1696=sel_Country),OR(sel_Channel="All",E1696=sel_Channel),OR(sel_Customer="All",F1696=sel_Customer),OR(sel_Category="All",G1696=sel_Category),OR(sel_Product="All",H1696=sel_Product)),1,0)</f>
        <v/>
      </c>
    </row>
    <row r="1697">
      <c r="A1697" s="36" t="inlineStr">
        <is>
          <t>03103</t>
        </is>
      </c>
      <c r="B1697" s="44" t="n">
        <v>46254</v>
      </c>
      <c r="C1697" s="36" t="inlineStr">
        <is>
          <t>Western Europe</t>
        </is>
      </c>
      <c r="D1697" s="36" t="inlineStr">
        <is>
          <t>United Kingdom</t>
        </is>
      </c>
      <c r="E1697" s="36" t="inlineStr">
        <is>
          <t>Online Store</t>
        </is>
      </c>
      <c r="F1697" s="36" t="inlineStr">
        <is>
          <t>New</t>
        </is>
      </c>
      <c r="G1697" s="36" t="inlineStr">
        <is>
          <t>Hiking</t>
        </is>
      </c>
      <c r="H1697" s="36" t="inlineStr">
        <is>
          <t>Trail Boots</t>
        </is>
      </c>
      <c r="I1697" s="36" t="n">
        <v>1</v>
      </c>
      <c r="J1697" s="39" t="n">
        <v>141.98</v>
      </c>
      <c r="K1697" s="45" t="n">
        <v>0.05</v>
      </c>
      <c r="L1697" s="39" t="n">
        <v>79.51000000000001</v>
      </c>
      <c r="M1697" s="39">
        <f>I1697*J1697*(1-K1697)</f>
        <v/>
      </c>
      <c r="N1697" s="39">
        <f>I1697*L1697</f>
        <v/>
      </c>
      <c r="O1697" s="39">
        <f>M1697-N1697</f>
        <v/>
      </c>
      <c r="P1697" s="38">
        <f>IF(M1697=0,0,O1697/M1697)</f>
        <v/>
      </c>
      <c r="Q1697" s="36">
        <f>YEAR(B1697)</f>
        <v/>
      </c>
      <c r="R1697" s="36">
        <f>"Q"&amp;ROUNDUP(MONTH(B1697)/3,0)</f>
        <v/>
      </c>
      <c r="S1697" s="36">
        <f>MONTH(B1697)</f>
        <v/>
      </c>
      <c r="T1697" s="36">
        <f>TEXT(B1697,"mmm")</f>
        <v/>
      </c>
      <c r="U1697" s="36">
        <f>IF(AND(OR(sel_Region="All",C1697=sel_Region),OR(sel_Country="All",D1697=sel_Country),OR(sel_Channel="All",E1697=sel_Channel),OR(sel_Customer="All",F1697=sel_Customer),OR(sel_Category="All",G1697=sel_Category),OR(sel_Product="All",H1697=sel_Product),AND(S1697&gt;=m_From,S1697&lt;=m_To)),1,0)</f>
        <v/>
      </c>
      <c r="V1697" s="36">
        <f>IF(AND(OR(sel_Region="All",C1697=sel_Region),OR(sel_Channel="All",E1697=sel_Channel),OR(sel_Customer="All",F1697=sel_Customer),OR(sel_Category="All",G1697=sel_Category),OR(sel_Product="All",H1697=sel_Product),AND(S1697&gt;=m_From,S1697&lt;=m_To)),1,0)</f>
        <v/>
      </c>
      <c r="W1697" s="36">
        <f>IF(AND(OR(sel_Region="All",C1697=sel_Region),OR(sel_Country="All",D1697=sel_Country),OR(sel_Customer="All",F1697=sel_Customer),OR(sel_Category="All",G1697=sel_Category),OR(sel_Product="All",H1697=sel_Product),AND(S1697&gt;=m_From,S1697&lt;=m_To)),1,0)</f>
        <v/>
      </c>
      <c r="X1697" s="36">
        <f>IF(AND(OR(sel_Region="All",C1697=sel_Region),OR(sel_Country="All",D1697=sel_Country),OR(sel_Channel="All",E1697=sel_Channel),OR(sel_Category="All",G1697=sel_Category),OR(sel_Product="All",H1697=sel_Product),AND(S1697&gt;=m_From,S1697&lt;=m_To)),1,0)</f>
        <v/>
      </c>
      <c r="Y1697" s="36">
        <f>IF(AND(OR(sel_Region="All",C1697=sel_Region),OR(sel_Country="All",D1697=sel_Country),OR(sel_Channel="All",E1697=sel_Channel),OR(sel_Customer="All",F1697=sel_Customer),OR(sel_Product="All",H1697=sel_Product),AND(S1697&gt;=m_From,S1697&lt;=m_To)),1,0)</f>
        <v/>
      </c>
      <c r="Z1697" s="36">
        <f>IF(AND(OR(sel_Region="All",C1697=sel_Region),OR(sel_Country="All",D1697=sel_Country),OR(sel_Channel="All",E1697=sel_Channel),OR(sel_Customer="All",F1697=sel_Customer),OR(sel_Category="All",G1697=sel_Category),AND(S1697&gt;=m_From,S1697&lt;=m_To)),1,0)</f>
        <v/>
      </c>
      <c r="AA1697" s="36">
        <f>IF(AND(OR(sel_Region="All",C1697=sel_Region),OR(sel_Country="All",D1697=sel_Country),OR(sel_Channel="All",E1697=sel_Channel),OR(sel_Customer="All",F1697=sel_Customer),OR(sel_Category="All",G1697=sel_Category),OR(sel_Product="All",H1697=sel_Product)),1,0)</f>
        <v/>
      </c>
    </row>
    <row r="1698">
      <c r="A1698" s="36" t="inlineStr">
        <is>
          <t>03234</t>
        </is>
      </c>
      <c r="B1698" s="44" t="n">
        <v>46254</v>
      </c>
      <c r="C1698" s="36" t="inlineStr">
        <is>
          <t>Western Europe</t>
        </is>
      </c>
      <c r="D1698" s="36" t="inlineStr">
        <is>
          <t>France</t>
        </is>
      </c>
      <c r="E1698" s="36" t="inlineStr">
        <is>
          <t>Retail Partners</t>
        </is>
      </c>
      <c r="F1698" s="36" t="inlineStr">
        <is>
          <t>New</t>
        </is>
      </c>
      <c r="G1698" s="36" t="inlineStr">
        <is>
          <t>Camping</t>
        </is>
      </c>
      <c r="H1698" s="36" t="inlineStr">
        <is>
          <t>Compact Sleeping Bag</t>
        </is>
      </c>
      <c r="I1698" s="36" t="n">
        <v>5</v>
      </c>
      <c r="J1698" s="39" t="n">
        <v>121.93</v>
      </c>
      <c r="K1698" s="45" t="n">
        <v>0.15</v>
      </c>
      <c r="L1698" s="39" t="n">
        <v>62.28</v>
      </c>
      <c r="M1698" s="39">
        <f>I1698*J1698*(1-K1698)</f>
        <v/>
      </c>
      <c r="N1698" s="39">
        <f>I1698*L1698</f>
        <v/>
      </c>
      <c r="O1698" s="39">
        <f>M1698-N1698</f>
        <v/>
      </c>
      <c r="P1698" s="38">
        <f>IF(M1698=0,0,O1698/M1698)</f>
        <v/>
      </c>
      <c r="Q1698" s="36">
        <f>YEAR(B1698)</f>
        <v/>
      </c>
      <c r="R1698" s="36">
        <f>"Q"&amp;ROUNDUP(MONTH(B1698)/3,0)</f>
        <v/>
      </c>
      <c r="S1698" s="36">
        <f>MONTH(B1698)</f>
        <v/>
      </c>
      <c r="T1698" s="36">
        <f>TEXT(B1698,"mmm")</f>
        <v/>
      </c>
      <c r="U1698" s="36">
        <f>IF(AND(OR(sel_Region="All",C1698=sel_Region),OR(sel_Country="All",D1698=sel_Country),OR(sel_Channel="All",E1698=sel_Channel),OR(sel_Customer="All",F1698=sel_Customer),OR(sel_Category="All",G1698=sel_Category),OR(sel_Product="All",H1698=sel_Product),AND(S1698&gt;=m_From,S1698&lt;=m_To)),1,0)</f>
        <v/>
      </c>
      <c r="V1698" s="36">
        <f>IF(AND(OR(sel_Region="All",C1698=sel_Region),OR(sel_Channel="All",E1698=sel_Channel),OR(sel_Customer="All",F1698=sel_Customer),OR(sel_Category="All",G1698=sel_Category),OR(sel_Product="All",H1698=sel_Product),AND(S1698&gt;=m_From,S1698&lt;=m_To)),1,0)</f>
        <v/>
      </c>
      <c r="W1698" s="36">
        <f>IF(AND(OR(sel_Region="All",C1698=sel_Region),OR(sel_Country="All",D1698=sel_Country),OR(sel_Customer="All",F1698=sel_Customer),OR(sel_Category="All",G1698=sel_Category),OR(sel_Product="All",H1698=sel_Product),AND(S1698&gt;=m_From,S1698&lt;=m_To)),1,0)</f>
        <v/>
      </c>
      <c r="X1698" s="36">
        <f>IF(AND(OR(sel_Region="All",C1698=sel_Region),OR(sel_Country="All",D1698=sel_Country),OR(sel_Channel="All",E1698=sel_Channel),OR(sel_Category="All",G1698=sel_Category),OR(sel_Product="All",H1698=sel_Product),AND(S1698&gt;=m_From,S1698&lt;=m_To)),1,0)</f>
        <v/>
      </c>
      <c r="Y1698" s="36">
        <f>IF(AND(OR(sel_Region="All",C1698=sel_Region),OR(sel_Country="All",D1698=sel_Country),OR(sel_Channel="All",E1698=sel_Channel),OR(sel_Customer="All",F1698=sel_Customer),OR(sel_Product="All",H1698=sel_Product),AND(S1698&gt;=m_From,S1698&lt;=m_To)),1,0)</f>
        <v/>
      </c>
      <c r="Z1698" s="36">
        <f>IF(AND(OR(sel_Region="All",C1698=sel_Region),OR(sel_Country="All",D1698=sel_Country),OR(sel_Channel="All",E1698=sel_Channel),OR(sel_Customer="All",F1698=sel_Customer),OR(sel_Category="All",G1698=sel_Category),AND(S1698&gt;=m_From,S1698&lt;=m_To)),1,0)</f>
        <v/>
      </c>
      <c r="AA1698" s="36">
        <f>IF(AND(OR(sel_Region="All",C1698=sel_Region),OR(sel_Country="All",D1698=sel_Country),OR(sel_Channel="All",E1698=sel_Channel),OR(sel_Customer="All",F1698=sel_Customer),OR(sel_Category="All",G1698=sel_Category),OR(sel_Product="All",H1698=sel_Product)),1,0)</f>
        <v/>
      </c>
    </row>
    <row r="1699">
      <c r="A1699" s="36" t="inlineStr">
        <is>
          <t>03281</t>
        </is>
      </c>
      <c r="B1699" s="44" t="n">
        <v>46254</v>
      </c>
      <c r="C1699" s="36" t="inlineStr">
        <is>
          <t>Western Europe</t>
        </is>
      </c>
      <c r="D1699" s="36" t="inlineStr">
        <is>
          <t>Belgium</t>
        </is>
      </c>
      <c r="E1699" s="36" t="inlineStr">
        <is>
          <t>Online Store</t>
        </is>
      </c>
      <c r="F1699" s="36" t="inlineStr">
        <is>
          <t>New</t>
        </is>
      </c>
      <c r="G1699" s="36" t="inlineStr">
        <is>
          <t>Travel</t>
        </is>
      </c>
      <c r="H1699" s="36" t="inlineStr">
        <is>
          <t>Insulated Bottle</t>
        </is>
      </c>
      <c r="I1699" s="36" t="n">
        <v>1</v>
      </c>
      <c r="J1699" s="39" t="n">
        <v>35.58</v>
      </c>
      <c r="K1699" s="45" t="n">
        <v>0.15</v>
      </c>
      <c r="L1699" s="39" t="n">
        <v>13.94</v>
      </c>
      <c r="M1699" s="39">
        <f>I1699*J1699*(1-K1699)</f>
        <v/>
      </c>
      <c r="N1699" s="39">
        <f>I1699*L1699</f>
        <v/>
      </c>
      <c r="O1699" s="39">
        <f>M1699-N1699</f>
        <v/>
      </c>
      <c r="P1699" s="38">
        <f>IF(M1699=0,0,O1699/M1699)</f>
        <v/>
      </c>
      <c r="Q1699" s="36">
        <f>YEAR(B1699)</f>
        <v/>
      </c>
      <c r="R1699" s="36">
        <f>"Q"&amp;ROUNDUP(MONTH(B1699)/3,0)</f>
        <v/>
      </c>
      <c r="S1699" s="36">
        <f>MONTH(B1699)</f>
        <v/>
      </c>
      <c r="T1699" s="36">
        <f>TEXT(B1699,"mmm")</f>
        <v/>
      </c>
      <c r="U1699" s="36">
        <f>IF(AND(OR(sel_Region="All",C1699=sel_Region),OR(sel_Country="All",D1699=sel_Country),OR(sel_Channel="All",E1699=sel_Channel),OR(sel_Customer="All",F1699=sel_Customer),OR(sel_Category="All",G1699=sel_Category),OR(sel_Product="All",H1699=sel_Product),AND(S1699&gt;=m_From,S1699&lt;=m_To)),1,0)</f>
        <v/>
      </c>
      <c r="V1699" s="36">
        <f>IF(AND(OR(sel_Region="All",C1699=sel_Region),OR(sel_Channel="All",E1699=sel_Channel),OR(sel_Customer="All",F1699=sel_Customer),OR(sel_Category="All",G1699=sel_Category),OR(sel_Product="All",H1699=sel_Product),AND(S1699&gt;=m_From,S1699&lt;=m_To)),1,0)</f>
        <v/>
      </c>
      <c r="W1699" s="36">
        <f>IF(AND(OR(sel_Region="All",C1699=sel_Region),OR(sel_Country="All",D1699=sel_Country),OR(sel_Customer="All",F1699=sel_Customer),OR(sel_Category="All",G1699=sel_Category),OR(sel_Product="All",H1699=sel_Product),AND(S1699&gt;=m_From,S1699&lt;=m_To)),1,0)</f>
        <v/>
      </c>
      <c r="X1699" s="36">
        <f>IF(AND(OR(sel_Region="All",C1699=sel_Region),OR(sel_Country="All",D1699=sel_Country),OR(sel_Channel="All",E1699=sel_Channel),OR(sel_Category="All",G1699=sel_Category),OR(sel_Product="All",H1699=sel_Product),AND(S1699&gt;=m_From,S1699&lt;=m_To)),1,0)</f>
        <v/>
      </c>
      <c r="Y1699" s="36">
        <f>IF(AND(OR(sel_Region="All",C1699=sel_Region),OR(sel_Country="All",D1699=sel_Country),OR(sel_Channel="All",E1699=sel_Channel),OR(sel_Customer="All",F1699=sel_Customer),OR(sel_Product="All",H1699=sel_Product),AND(S1699&gt;=m_From,S1699&lt;=m_To)),1,0)</f>
        <v/>
      </c>
      <c r="Z1699" s="36">
        <f>IF(AND(OR(sel_Region="All",C1699=sel_Region),OR(sel_Country="All",D1699=sel_Country),OR(sel_Channel="All",E1699=sel_Channel),OR(sel_Customer="All",F1699=sel_Customer),OR(sel_Category="All",G1699=sel_Category),AND(S1699&gt;=m_From,S1699&lt;=m_To)),1,0)</f>
        <v/>
      </c>
      <c r="AA1699" s="36">
        <f>IF(AND(OR(sel_Region="All",C1699=sel_Region),OR(sel_Country="All",D1699=sel_Country),OR(sel_Channel="All",E1699=sel_Channel),OR(sel_Customer="All",F1699=sel_Customer),OR(sel_Category="All",G1699=sel_Category),OR(sel_Product="All",H1699=sel_Product)),1,0)</f>
        <v/>
      </c>
    </row>
    <row r="1700">
      <c r="A1700" s="36" t="inlineStr">
        <is>
          <t>03870</t>
        </is>
      </c>
      <c r="B1700" s="44" t="n">
        <v>46254</v>
      </c>
      <c r="C1700" s="36" t="inlineStr">
        <is>
          <t>Northern Europe</t>
        </is>
      </c>
      <c r="D1700" s="36" t="inlineStr">
        <is>
          <t>Denmark</t>
        </is>
      </c>
      <c r="E1700" s="36" t="inlineStr">
        <is>
          <t>Marketplace</t>
        </is>
      </c>
      <c r="F1700" s="36" t="inlineStr">
        <is>
          <t>Returning</t>
        </is>
      </c>
      <c r="G1700" s="36" t="inlineStr">
        <is>
          <t>Hiking</t>
        </is>
      </c>
      <c r="H1700" s="36" t="inlineStr">
        <is>
          <t>Summit Backpack 45L</t>
        </is>
      </c>
      <c r="I1700" s="36" t="n">
        <v>1</v>
      </c>
      <c r="J1700" s="39" t="n">
        <v>157.84</v>
      </c>
      <c r="K1700" s="45" t="n">
        <v>0</v>
      </c>
      <c r="L1700" s="39" t="n">
        <v>77.87</v>
      </c>
      <c r="M1700" s="39">
        <f>I1700*J1700*(1-K1700)</f>
        <v/>
      </c>
      <c r="N1700" s="39">
        <f>I1700*L1700</f>
        <v/>
      </c>
      <c r="O1700" s="39">
        <f>M1700-N1700</f>
        <v/>
      </c>
      <c r="P1700" s="38">
        <f>IF(M1700=0,0,O1700/M1700)</f>
        <v/>
      </c>
      <c r="Q1700" s="36">
        <f>YEAR(B1700)</f>
        <v/>
      </c>
      <c r="R1700" s="36">
        <f>"Q"&amp;ROUNDUP(MONTH(B1700)/3,0)</f>
        <v/>
      </c>
      <c r="S1700" s="36">
        <f>MONTH(B1700)</f>
        <v/>
      </c>
      <c r="T1700" s="36">
        <f>TEXT(B1700,"mmm")</f>
        <v/>
      </c>
      <c r="U1700" s="36">
        <f>IF(AND(OR(sel_Region="All",C1700=sel_Region),OR(sel_Country="All",D1700=sel_Country),OR(sel_Channel="All",E1700=sel_Channel),OR(sel_Customer="All",F1700=sel_Customer),OR(sel_Category="All",G1700=sel_Category),OR(sel_Product="All",H1700=sel_Product),AND(S1700&gt;=m_From,S1700&lt;=m_To)),1,0)</f>
        <v/>
      </c>
      <c r="V1700" s="36">
        <f>IF(AND(OR(sel_Region="All",C1700=sel_Region),OR(sel_Channel="All",E1700=sel_Channel),OR(sel_Customer="All",F1700=sel_Customer),OR(sel_Category="All",G1700=sel_Category),OR(sel_Product="All",H1700=sel_Product),AND(S1700&gt;=m_From,S1700&lt;=m_To)),1,0)</f>
        <v/>
      </c>
      <c r="W1700" s="36">
        <f>IF(AND(OR(sel_Region="All",C1700=sel_Region),OR(sel_Country="All",D1700=sel_Country),OR(sel_Customer="All",F1700=sel_Customer),OR(sel_Category="All",G1700=sel_Category),OR(sel_Product="All",H1700=sel_Product),AND(S1700&gt;=m_From,S1700&lt;=m_To)),1,0)</f>
        <v/>
      </c>
      <c r="X1700" s="36">
        <f>IF(AND(OR(sel_Region="All",C1700=sel_Region),OR(sel_Country="All",D1700=sel_Country),OR(sel_Channel="All",E1700=sel_Channel),OR(sel_Category="All",G1700=sel_Category),OR(sel_Product="All",H1700=sel_Product),AND(S1700&gt;=m_From,S1700&lt;=m_To)),1,0)</f>
        <v/>
      </c>
      <c r="Y1700" s="36">
        <f>IF(AND(OR(sel_Region="All",C1700=sel_Region),OR(sel_Country="All",D1700=sel_Country),OR(sel_Channel="All",E1700=sel_Channel),OR(sel_Customer="All",F1700=sel_Customer),OR(sel_Product="All",H1700=sel_Product),AND(S1700&gt;=m_From,S1700&lt;=m_To)),1,0)</f>
        <v/>
      </c>
      <c r="Z1700" s="36">
        <f>IF(AND(OR(sel_Region="All",C1700=sel_Region),OR(sel_Country="All",D1700=sel_Country),OR(sel_Channel="All",E1700=sel_Channel),OR(sel_Customer="All",F1700=sel_Customer),OR(sel_Category="All",G1700=sel_Category),AND(S1700&gt;=m_From,S1700&lt;=m_To)),1,0)</f>
        <v/>
      </c>
      <c r="AA1700" s="36">
        <f>IF(AND(OR(sel_Region="All",C1700=sel_Region),OR(sel_Country="All",D1700=sel_Country),OR(sel_Channel="All",E1700=sel_Channel),OR(sel_Customer="All",F1700=sel_Customer),OR(sel_Category="All",G1700=sel_Category),OR(sel_Product="All",H1700=sel_Product)),1,0)</f>
        <v/>
      </c>
    </row>
    <row r="1701">
      <c r="A1701" s="36" t="inlineStr">
        <is>
          <t>03938</t>
        </is>
      </c>
      <c r="B1701" s="44" t="n">
        <v>46254</v>
      </c>
      <c r="C1701" s="36" t="inlineStr">
        <is>
          <t>Central Europe</t>
        </is>
      </c>
      <c r="D1701" s="36" t="inlineStr">
        <is>
          <t>Germany</t>
        </is>
      </c>
      <c r="E1701" s="36" t="inlineStr">
        <is>
          <t>Online Store</t>
        </is>
      </c>
      <c r="F1701" s="36" t="inlineStr">
        <is>
          <t>New</t>
        </is>
      </c>
      <c r="G1701" s="36" t="inlineStr">
        <is>
          <t>Camping</t>
        </is>
      </c>
      <c r="H1701" s="36" t="inlineStr">
        <is>
          <t>Alpine Tent 4P</t>
        </is>
      </c>
      <c r="I1701" s="36" t="n">
        <v>1</v>
      </c>
      <c r="J1701" s="39" t="n">
        <v>336.35</v>
      </c>
      <c r="K1701" s="45" t="n">
        <v>0</v>
      </c>
      <c r="L1701" s="39" t="n">
        <v>195.07</v>
      </c>
      <c r="M1701" s="39">
        <f>I1701*J1701*(1-K1701)</f>
        <v/>
      </c>
      <c r="N1701" s="39">
        <f>I1701*L1701</f>
        <v/>
      </c>
      <c r="O1701" s="39">
        <f>M1701-N1701</f>
        <v/>
      </c>
      <c r="P1701" s="38">
        <f>IF(M1701=0,0,O1701/M1701)</f>
        <v/>
      </c>
      <c r="Q1701" s="36">
        <f>YEAR(B1701)</f>
        <v/>
      </c>
      <c r="R1701" s="36">
        <f>"Q"&amp;ROUNDUP(MONTH(B1701)/3,0)</f>
        <v/>
      </c>
      <c r="S1701" s="36">
        <f>MONTH(B1701)</f>
        <v/>
      </c>
      <c r="T1701" s="36">
        <f>TEXT(B1701,"mmm")</f>
        <v/>
      </c>
      <c r="U1701" s="36">
        <f>IF(AND(OR(sel_Region="All",C1701=sel_Region),OR(sel_Country="All",D1701=sel_Country),OR(sel_Channel="All",E1701=sel_Channel),OR(sel_Customer="All",F1701=sel_Customer),OR(sel_Category="All",G1701=sel_Category),OR(sel_Product="All",H1701=sel_Product),AND(S1701&gt;=m_From,S1701&lt;=m_To)),1,0)</f>
        <v/>
      </c>
      <c r="V1701" s="36">
        <f>IF(AND(OR(sel_Region="All",C1701=sel_Region),OR(sel_Channel="All",E1701=sel_Channel),OR(sel_Customer="All",F1701=sel_Customer),OR(sel_Category="All",G1701=sel_Category),OR(sel_Product="All",H1701=sel_Product),AND(S1701&gt;=m_From,S1701&lt;=m_To)),1,0)</f>
        <v/>
      </c>
      <c r="W1701" s="36">
        <f>IF(AND(OR(sel_Region="All",C1701=sel_Region),OR(sel_Country="All",D1701=sel_Country),OR(sel_Customer="All",F1701=sel_Customer),OR(sel_Category="All",G1701=sel_Category),OR(sel_Product="All",H1701=sel_Product),AND(S1701&gt;=m_From,S1701&lt;=m_To)),1,0)</f>
        <v/>
      </c>
      <c r="X1701" s="36">
        <f>IF(AND(OR(sel_Region="All",C1701=sel_Region),OR(sel_Country="All",D1701=sel_Country),OR(sel_Channel="All",E1701=sel_Channel),OR(sel_Category="All",G1701=sel_Category),OR(sel_Product="All",H1701=sel_Product),AND(S1701&gt;=m_From,S1701&lt;=m_To)),1,0)</f>
        <v/>
      </c>
      <c r="Y1701" s="36">
        <f>IF(AND(OR(sel_Region="All",C1701=sel_Region),OR(sel_Country="All",D1701=sel_Country),OR(sel_Channel="All",E1701=sel_Channel),OR(sel_Customer="All",F1701=sel_Customer),OR(sel_Product="All",H1701=sel_Product),AND(S1701&gt;=m_From,S1701&lt;=m_To)),1,0)</f>
        <v/>
      </c>
      <c r="Z1701" s="36">
        <f>IF(AND(OR(sel_Region="All",C1701=sel_Region),OR(sel_Country="All",D1701=sel_Country),OR(sel_Channel="All",E1701=sel_Channel),OR(sel_Customer="All",F1701=sel_Customer),OR(sel_Category="All",G1701=sel_Category),AND(S1701&gt;=m_From,S1701&lt;=m_To)),1,0)</f>
        <v/>
      </c>
      <c r="AA1701" s="36">
        <f>IF(AND(OR(sel_Region="All",C1701=sel_Region),OR(sel_Country="All",D1701=sel_Country),OR(sel_Channel="All",E1701=sel_Channel),OR(sel_Customer="All",F1701=sel_Customer),OR(sel_Category="All",G1701=sel_Category),OR(sel_Product="All",H1701=sel_Product)),1,0)</f>
        <v/>
      </c>
    </row>
    <row r="1702">
      <c r="A1702" s="36" t="inlineStr">
        <is>
          <t>04237</t>
        </is>
      </c>
      <c r="B1702" s="44" t="n">
        <v>46254</v>
      </c>
      <c r="C1702" s="36" t="inlineStr">
        <is>
          <t>Western Europe</t>
        </is>
      </c>
      <c r="D1702" s="36" t="inlineStr">
        <is>
          <t>France</t>
        </is>
      </c>
      <c r="E1702" s="36" t="inlineStr">
        <is>
          <t>Corporate</t>
        </is>
      </c>
      <c r="F1702" s="36" t="inlineStr">
        <is>
          <t>Returning</t>
        </is>
      </c>
      <c r="G1702" s="36" t="inlineStr">
        <is>
          <t>Hiking</t>
        </is>
      </c>
      <c r="H1702" s="36" t="inlineStr">
        <is>
          <t>Summit Backpack 45L</t>
        </is>
      </c>
      <c r="I1702" s="36" t="n">
        <v>3</v>
      </c>
      <c r="J1702" s="39" t="n">
        <v>153.03</v>
      </c>
      <c r="K1702" s="45" t="n">
        <v>0.15</v>
      </c>
      <c r="L1702" s="39" t="n">
        <v>78.23999999999999</v>
      </c>
      <c r="M1702" s="39">
        <f>I1702*J1702*(1-K1702)</f>
        <v/>
      </c>
      <c r="N1702" s="39">
        <f>I1702*L1702</f>
        <v/>
      </c>
      <c r="O1702" s="39">
        <f>M1702-N1702</f>
        <v/>
      </c>
      <c r="P1702" s="38">
        <f>IF(M1702=0,0,O1702/M1702)</f>
        <v/>
      </c>
      <c r="Q1702" s="36">
        <f>YEAR(B1702)</f>
        <v/>
      </c>
      <c r="R1702" s="36">
        <f>"Q"&amp;ROUNDUP(MONTH(B1702)/3,0)</f>
        <v/>
      </c>
      <c r="S1702" s="36">
        <f>MONTH(B1702)</f>
        <v/>
      </c>
      <c r="T1702" s="36">
        <f>TEXT(B1702,"mmm")</f>
        <v/>
      </c>
      <c r="U1702" s="36">
        <f>IF(AND(OR(sel_Region="All",C1702=sel_Region),OR(sel_Country="All",D1702=sel_Country),OR(sel_Channel="All",E1702=sel_Channel),OR(sel_Customer="All",F1702=sel_Customer),OR(sel_Category="All",G1702=sel_Category),OR(sel_Product="All",H1702=sel_Product),AND(S1702&gt;=m_From,S1702&lt;=m_To)),1,0)</f>
        <v/>
      </c>
      <c r="V1702" s="36">
        <f>IF(AND(OR(sel_Region="All",C1702=sel_Region),OR(sel_Channel="All",E1702=sel_Channel),OR(sel_Customer="All",F1702=sel_Customer),OR(sel_Category="All",G1702=sel_Category),OR(sel_Product="All",H1702=sel_Product),AND(S1702&gt;=m_From,S1702&lt;=m_To)),1,0)</f>
        <v/>
      </c>
      <c r="W1702" s="36">
        <f>IF(AND(OR(sel_Region="All",C1702=sel_Region),OR(sel_Country="All",D1702=sel_Country),OR(sel_Customer="All",F1702=sel_Customer),OR(sel_Category="All",G1702=sel_Category),OR(sel_Product="All",H1702=sel_Product),AND(S1702&gt;=m_From,S1702&lt;=m_To)),1,0)</f>
        <v/>
      </c>
      <c r="X1702" s="36">
        <f>IF(AND(OR(sel_Region="All",C1702=sel_Region),OR(sel_Country="All",D1702=sel_Country),OR(sel_Channel="All",E1702=sel_Channel),OR(sel_Category="All",G1702=sel_Category),OR(sel_Product="All",H1702=sel_Product),AND(S1702&gt;=m_From,S1702&lt;=m_To)),1,0)</f>
        <v/>
      </c>
      <c r="Y1702" s="36">
        <f>IF(AND(OR(sel_Region="All",C1702=sel_Region),OR(sel_Country="All",D1702=sel_Country),OR(sel_Channel="All",E1702=sel_Channel),OR(sel_Customer="All",F1702=sel_Customer),OR(sel_Product="All",H1702=sel_Product),AND(S1702&gt;=m_From,S1702&lt;=m_To)),1,0)</f>
        <v/>
      </c>
      <c r="Z1702" s="36">
        <f>IF(AND(OR(sel_Region="All",C1702=sel_Region),OR(sel_Country="All",D1702=sel_Country),OR(sel_Channel="All",E1702=sel_Channel),OR(sel_Customer="All",F1702=sel_Customer),OR(sel_Category="All",G1702=sel_Category),AND(S1702&gt;=m_From,S1702&lt;=m_To)),1,0)</f>
        <v/>
      </c>
      <c r="AA1702" s="36">
        <f>IF(AND(OR(sel_Region="All",C1702=sel_Region),OR(sel_Country="All",D1702=sel_Country),OR(sel_Channel="All",E1702=sel_Channel),OR(sel_Customer="All",F1702=sel_Customer),OR(sel_Category="All",G1702=sel_Category),OR(sel_Product="All",H1702=sel_Product)),1,0)</f>
        <v/>
      </c>
    </row>
    <row r="1703">
      <c r="A1703" s="36" t="inlineStr">
        <is>
          <t>04970</t>
        </is>
      </c>
      <c r="B1703" s="44" t="n">
        <v>46254</v>
      </c>
      <c r="C1703" s="36" t="inlineStr">
        <is>
          <t>Central Europe</t>
        </is>
      </c>
      <c r="D1703" s="36" t="inlineStr">
        <is>
          <t>Poland</t>
        </is>
      </c>
      <c r="E1703" s="36" t="inlineStr">
        <is>
          <t>Online Store</t>
        </is>
      </c>
      <c r="F1703" s="36" t="inlineStr">
        <is>
          <t>Returning</t>
        </is>
      </c>
      <c r="G1703" s="36" t="inlineStr">
        <is>
          <t>Cycling</t>
        </is>
      </c>
      <c r="H1703" s="36" t="inlineStr">
        <is>
          <t>Cycling Pack 12L</t>
        </is>
      </c>
      <c r="I1703" s="36" t="n">
        <v>2</v>
      </c>
      <c r="J1703" s="39" t="n">
        <v>105.01</v>
      </c>
      <c r="K1703" s="45" t="n">
        <v>0.15</v>
      </c>
      <c r="L1703" s="39" t="n">
        <v>50.56</v>
      </c>
      <c r="M1703" s="39">
        <f>I1703*J1703*(1-K1703)</f>
        <v/>
      </c>
      <c r="N1703" s="39">
        <f>I1703*L1703</f>
        <v/>
      </c>
      <c r="O1703" s="39">
        <f>M1703-N1703</f>
        <v/>
      </c>
      <c r="P1703" s="38">
        <f>IF(M1703=0,0,O1703/M1703)</f>
        <v/>
      </c>
      <c r="Q1703" s="36">
        <f>YEAR(B1703)</f>
        <v/>
      </c>
      <c r="R1703" s="36">
        <f>"Q"&amp;ROUNDUP(MONTH(B1703)/3,0)</f>
        <v/>
      </c>
      <c r="S1703" s="36">
        <f>MONTH(B1703)</f>
        <v/>
      </c>
      <c r="T1703" s="36">
        <f>TEXT(B1703,"mmm")</f>
        <v/>
      </c>
      <c r="U1703" s="36">
        <f>IF(AND(OR(sel_Region="All",C1703=sel_Region),OR(sel_Country="All",D1703=sel_Country),OR(sel_Channel="All",E1703=sel_Channel),OR(sel_Customer="All",F1703=sel_Customer),OR(sel_Category="All",G1703=sel_Category),OR(sel_Product="All",H1703=sel_Product),AND(S1703&gt;=m_From,S1703&lt;=m_To)),1,0)</f>
        <v/>
      </c>
      <c r="V1703" s="36">
        <f>IF(AND(OR(sel_Region="All",C1703=sel_Region),OR(sel_Channel="All",E1703=sel_Channel),OR(sel_Customer="All",F1703=sel_Customer),OR(sel_Category="All",G1703=sel_Category),OR(sel_Product="All",H1703=sel_Product),AND(S1703&gt;=m_From,S1703&lt;=m_To)),1,0)</f>
        <v/>
      </c>
      <c r="W1703" s="36">
        <f>IF(AND(OR(sel_Region="All",C1703=sel_Region),OR(sel_Country="All",D1703=sel_Country),OR(sel_Customer="All",F1703=sel_Customer),OR(sel_Category="All",G1703=sel_Category),OR(sel_Product="All",H1703=sel_Product),AND(S1703&gt;=m_From,S1703&lt;=m_To)),1,0)</f>
        <v/>
      </c>
      <c r="X1703" s="36">
        <f>IF(AND(OR(sel_Region="All",C1703=sel_Region),OR(sel_Country="All",D1703=sel_Country),OR(sel_Channel="All",E1703=sel_Channel),OR(sel_Category="All",G1703=sel_Category),OR(sel_Product="All",H1703=sel_Product),AND(S1703&gt;=m_From,S1703&lt;=m_To)),1,0)</f>
        <v/>
      </c>
      <c r="Y1703" s="36">
        <f>IF(AND(OR(sel_Region="All",C1703=sel_Region),OR(sel_Country="All",D1703=sel_Country),OR(sel_Channel="All",E1703=sel_Channel),OR(sel_Customer="All",F1703=sel_Customer),OR(sel_Product="All",H1703=sel_Product),AND(S1703&gt;=m_From,S1703&lt;=m_To)),1,0)</f>
        <v/>
      </c>
      <c r="Z1703" s="36">
        <f>IF(AND(OR(sel_Region="All",C1703=sel_Region),OR(sel_Country="All",D1703=sel_Country),OR(sel_Channel="All",E1703=sel_Channel),OR(sel_Customer="All",F1703=sel_Customer),OR(sel_Category="All",G1703=sel_Category),AND(S1703&gt;=m_From,S1703&lt;=m_To)),1,0)</f>
        <v/>
      </c>
      <c r="AA1703" s="36">
        <f>IF(AND(OR(sel_Region="All",C1703=sel_Region),OR(sel_Country="All",D1703=sel_Country),OR(sel_Channel="All",E1703=sel_Channel),OR(sel_Customer="All",F1703=sel_Customer),OR(sel_Category="All",G1703=sel_Category),OR(sel_Product="All",H1703=sel_Product)),1,0)</f>
        <v/>
      </c>
    </row>
    <row r="1704">
      <c r="A1704" s="36" t="inlineStr">
        <is>
          <t>00515</t>
        </is>
      </c>
      <c r="B1704" s="44" t="n">
        <v>46255</v>
      </c>
      <c r="C1704" s="36" t="inlineStr">
        <is>
          <t>Southern Europe</t>
        </is>
      </c>
      <c r="D1704" s="36" t="inlineStr">
        <is>
          <t>Spain</t>
        </is>
      </c>
      <c r="E1704" s="36" t="inlineStr">
        <is>
          <t>Retail Partners</t>
        </is>
      </c>
      <c r="F1704" s="36" t="inlineStr">
        <is>
          <t>Returning</t>
        </is>
      </c>
      <c r="G1704" s="36" t="inlineStr">
        <is>
          <t>Travel</t>
        </is>
      </c>
      <c r="H1704" s="36" t="inlineStr">
        <is>
          <t>Packing Cube Set</t>
        </is>
      </c>
      <c r="I1704" s="36" t="n">
        <v>2</v>
      </c>
      <c r="J1704" s="39" t="n">
        <v>45.47</v>
      </c>
      <c r="K1704" s="45" t="n">
        <v>0</v>
      </c>
      <c r="L1704" s="39" t="n">
        <v>18.27</v>
      </c>
      <c r="M1704" s="39">
        <f>I1704*J1704*(1-K1704)</f>
        <v/>
      </c>
      <c r="N1704" s="39">
        <f>I1704*L1704</f>
        <v/>
      </c>
      <c r="O1704" s="39">
        <f>M1704-N1704</f>
        <v/>
      </c>
      <c r="P1704" s="38">
        <f>IF(M1704=0,0,O1704/M1704)</f>
        <v/>
      </c>
      <c r="Q1704" s="36">
        <f>YEAR(B1704)</f>
        <v/>
      </c>
      <c r="R1704" s="36">
        <f>"Q"&amp;ROUNDUP(MONTH(B1704)/3,0)</f>
        <v/>
      </c>
      <c r="S1704" s="36">
        <f>MONTH(B1704)</f>
        <v/>
      </c>
      <c r="T1704" s="36">
        <f>TEXT(B1704,"mmm")</f>
        <v/>
      </c>
      <c r="U1704" s="36">
        <f>IF(AND(OR(sel_Region="All",C1704=sel_Region),OR(sel_Country="All",D1704=sel_Country),OR(sel_Channel="All",E1704=sel_Channel),OR(sel_Customer="All",F1704=sel_Customer),OR(sel_Category="All",G1704=sel_Category),OR(sel_Product="All",H1704=sel_Product),AND(S1704&gt;=m_From,S1704&lt;=m_To)),1,0)</f>
        <v/>
      </c>
      <c r="V1704" s="36">
        <f>IF(AND(OR(sel_Region="All",C1704=sel_Region),OR(sel_Channel="All",E1704=sel_Channel),OR(sel_Customer="All",F1704=sel_Customer),OR(sel_Category="All",G1704=sel_Category),OR(sel_Product="All",H1704=sel_Product),AND(S1704&gt;=m_From,S1704&lt;=m_To)),1,0)</f>
        <v/>
      </c>
      <c r="W1704" s="36">
        <f>IF(AND(OR(sel_Region="All",C1704=sel_Region),OR(sel_Country="All",D1704=sel_Country),OR(sel_Customer="All",F1704=sel_Customer),OR(sel_Category="All",G1704=sel_Category),OR(sel_Product="All",H1704=sel_Product),AND(S1704&gt;=m_From,S1704&lt;=m_To)),1,0)</f>
        <v/>
      </c>
      <c r="X1704" s="36">
        <f>IF(AND(OR(sel_Region="All",C1704=sel_Region),OR(sel_Country="All",D1704=sel_Country),OR(sel_Channel="All",E1704=sel_Channel),OR(sel_Category="All",G1704=sel_Category),OR(sel_Product="All",H1704=sel_Product),AND(S1704&gt;=m_From,S1704&lt;=m_To)),1,0)</f>
        <v/>
      </c>
      <c r="Y1704" s="36">
        <f>IF(AND(OR(sel_Region="All",C1704=sel_Region),OR(sel_Country="All",D1704=sel_Country),OR(sel_Channel="All",E1704=sel_Channel),OR(sel_Customer="All",F1704=sel_Customer),OR(sel_Product="All",H1704=sel_Product),AND(S1704&gt;=m_From,S1704&lt;=m_To)),1,0)</f>
        <v/>
      </c>
      <c r="Z1704" s="36">
        <f>IF(AND(OR(sel_Region="All",C1704=sel_Region),OR(sel_Country="All",D1704=sel_Country),OR(sel_Channel="All",E1704=sel_Channel),OR(sel_Customer="All",F1704=sel_Customer),OR(sel_Category="All",G1704=sel_Category),AND(S1704&gt;=m_From,S1704&lt;=m_To)),1,0)</f>
        <v/>
      </c>
      <c r="AA1704" s="36">
        <f>IF(AND(OR(sel_Region="All",C1704=sel_Region),OR(sel_Country="All",D1704=sel_Country),OR(sel_Channel="All",E1704=sel_Channel),OR(sel_Customer="All",F1704=sel_Customer),OR(sel_Category="All",G1704=sel_Category),OR(sel_Product="All",H1704=sel_Product)),1,0)</f>
        <v/>
      </c>
    </row>
    <row r="1705">
      <c r="A1705" s="36" t="inlineStr">
        <is>
          <t>00661</t>
        </is>
      </c>
      <c r="B1705" s="44" t="n">
        <v>46255</v>
      </c>
      <c r="C1705" s="36" t="inlineStr">
        <is>
          <t>Southern Europe</t>
        </is>
      </c>
      <c r="D1705" s="36" t="inlineStr">
        <is>
          <t>Italy</t>
        </is>
      </c>
      <c r="E1705" s="36" t="inlineStr">
        <is>
          <t>Retail Partners</t>
        </is>
      </c>
      <c r="F1705" s="36" t="inlineStr">
        <is>
          <t>New</t>
        </is>
      </c>
      <c r="G1705" s="36" t="inlineStr">
        <is>
          <t>Travel</t>
        </is>
      </c>
      <c r="H1705" s="36" t="inlineStr">
        <is>
          <t>Packing Cube Set</t>
        </is>
      </c>
      <c r="I1705" s="36" t="n">
        <v>2</v>
      </c>
      <c r="J1705" s="39" t="n">
        <v>47.58</v>
      </c>
      <c r="K1705" s="45" t="n">
        <v>0.1</v>
      </c>
      <c r="L1705" s="39" t="n">
        <v>18.47</v>
      </c>
      <c r="M1705" s="39">
        <f>I1705*J1705*(1-K1705)</f>
        <v/>
      </c>
      <c r="N1705" s="39">
        <f>I1705*L1705</f>
        <v/>
      </c>
      <c r="O1705" s="39">
        <f>M1705-N1705</f>
        <v/>
      </c>
      <c r="P1705" s="38">
        <f>IF(M1705=0,0,O1705/M1705)</f>
        <v/>
      </c>
      <c r="Q1705" s="36">
        <f>YEAR(B1705)</f>
        <v/>
      </c>
      <c r="R1705" s="36">
        <f>"Q"&amp;ROUNDUP(MONTH(B1705)/3,0)</f>
        <v/>
      </c>
      <c r="S1705" s="36">
        <f>MONTH(B1705)</f>
        <v/>
      </c>
      <c r="T1705" s="36">
        <f>TEXT(B1705,"mmm")</f>
        <v/>
      </c>
      <c r="U1705" s="36">
        <f>IF(AND(OR(sel_Region="All",C1705=sel_Region),OR(sel_Country="All",D1705=sel_Country),OR(sel_Channel="All",E1705=sel_Channel),OR(sel_Customer="All",F1705=sel_Customer),OR(sel_Category="All",G1705=sel_Category),OR(sel_Product="All",H1705=sel_Product),AND(S1705&gt;=m_From,S1705&lt;=m_To)),1,0)</f>
        <v/>
      </c>
      <c r="V1705" s="36">
        <f>IF(AND(OR(sel_Region="All",C1705=sel_Region),OR(sel_Channel="All",E1705=sel_Channel),OR(sel_Customer="All",F1705=sel_Customer),OR(sel_Category="All",G1705=sel_Category),OR(sel_Product="All",H1705=sel_Product),AND(S1705&gt;=m_From,S1705&lt;=m_To)),1,0)</f>
        <v/>
      </c>
      <c r="W1705" s="36">
        <f>IF(AND(OR(sel_Region="All",C1705=sel_Region),OR(sel_Country="All",D1705=sel_Country),OR(sel_Customer="All",F1705=sel_Customer),OR(sel_Category="All",G1705=sel_Category),OR(sel_Product="All",H1705=sel_Product),AND(S1705&gt;=m_From,S1705&lt;=m_To)),1,0)</f>
        <v/>
      </c>
      <c r="X1705" s="36">
        <f>IF(AND(OR(sel_Region="All",C1705=sel_Region),OR(sel_Country="All",D1705=sel_Country),OR(sel_Channel="All",E1705=sel_Channel),OR(sel_Category="All",G1705=sel_Category),OR(sel_Product="All",H1705=sel_Product),AND(S1705&gt;=m_From,S1705&lt;=m_To)),1,0)</f>
        <v/>
      </c>
      <c r="Y1705" s="36">
        <f>IF(AND(OR(sel_Region="All",C1705=sel_Region),OR(sel_Country="All",D1705=sel_Country),OR(sel_Channel="All",E1705=sel_Channel),OR(sel_Customer="All",F1705=sel_Customer),OR(sel_Product="All",H1705=sel_Product),AND(S1705&gt;=m_From,S1705&lt;=m_To)),1,0)</f>
        <v/>
      </c>
      <c r="Z1705" s="36">
        <f>IF(AND(OR(sel_Region="All",C1705=sel_Region),OR(sel_Country="All",D1705=sel_Country),OR(sel_Channel="All",E1705=sel_Channel),OR(sel_Customer="All",F1705=sel_Customer),OR(sel_Category="All",G1705=sel_Category),AND(S1705&gt;=m_From,S1705&lt;=m_To)),1,0)</f>
        <v/>
      </c>
      <c r="AA1705" s="36">
        <f>IF(AND(OR(sel_Region="All",C1705=sel_Region),OR(sel_Country="All",D1705=sel_Country),OR(sel_Channel="All",E1705=sel_Channel),OR(sel_Customer="All",F1705=sel_Customer),OR(sel_Category="All",G1705=sel_Category),OR(sel_Product="All",H1705=sel_Product)),1,0)</f>
        <v/>
      </c>
    </row>
    <row r="1706">
      <c r="A1706" s="36" t="inlineStr">
        <is>
          <t>01443</t>
        </is>
      </c>
      <c r="B1706" s="44" t="n">
        <v>46255</v>
      </c>
      <c r="C1706" s="36" t="inlineStr">
        <is>
          <t>Western Europe</t>
        </is>
      </c>
      <c r="D1706" s="36" t="inlineStr">
        <is>
          <t>Belgium</t>
        </is>
      </c>
      <c r="E1706" s="36" t="inlineStr">
        <is>
          <t>Online Store</t>
        </is>
      </c>
      <c r="F1706" s="36" t="inlineStr">
        <is>
          <t>New</t>
        </is>
      </c>
      <c r="G1706" s="36" t="inlineStr">
        <is>
          <t>Hiking</t>
        </is>
      </c>
      <c r="H1706" s="36" t="inlineStr">
        <is>
          <t>Summit Backpack 45L</t>
        </is>
      </c>
      <c r="I1706" s="36" t="n">
        <v>5</v>
      </c>
      <c r="J1706" s="39" t="n">
        <v>155.65</v>
      </c>
      <c r="K1706" s="45" t="n">
        <v>0</v>
      </c>
      <c r="L1706" s="39" t="n">
        <v>79.13</v>
      </c>
      <c r="M1706" s="39">
        <f>I1706*J1706*(1-K1706)</f>
        <v/>
      </c>
      <c r="N1706" s="39">
        <f>I1706*L1706</f>
        <v/>
      </c>
      <c r="O1706" s="39">
        <f>M1706-N1706</f>
        <v/>
      </c>
      <c r="P1706" s="38">
        <f>IF(M1706=0,0,O1706/M1706)</f>
        <v/>
      </c>
      <c r="Q1706" s="36">
        <f>YEAR(B1706)</f>
        <v/>
      </c>
      <c r="R1706" s="36">
        <f>"Q"&amp;ROUNDUP(MONTH(B1706)/3,0)</f>
        <v/>
      </c>
      <c r="S1706" s="36">
        <f>MONTH(B1706)</f>
        <v/>
      </c>
      <c r="T1706" s="36">
        <f>TEXT(B1706,"mmm")</f>
        <v/>
      </c>
      <c r="U1706" s="36">
        <f>IF(AND(OR(sel_Region="All",C1706=sel_Region),OR(sel_Country="All",D1706=sel_Country),OR(sel_Channel="All",E1706=sel_Channel),OR(sel_Customer="All",F1706=sel_Customer),OR(sel_Category="All",G1706=sel_Category),OR(sel_Product="All",H1706=sel_Product),AND(S1706&gt;=m_From,S1706&lt;=m_To)),1,0)</f>
        <v/>
      </c>
      <c r="V1706" s="36">
        <f>IF(AND(OR(sel_Region="All",C1706=sel_Region),OR(sel_Channel="All",E1706=sel_Channel),OR(sel_Customer="All",F1706=sel_Customer),OR(sel_Category="All",G1706=sel_Category),OR(sel_Product="All",H1706=sel_Product),AND(S1706&gt;=m_From,S1706&lt;=m_To)),1,0)</f>
        <v/>
      </c>
      <c r="W1706" s="36">
        <f>IF(AND(OR(sel_Region="All",C1706=sel_Region),OR(sel_Country="All",D1706=sel_Country),OR(sel_Customer="All",F1706=sel_Customer),OR(sel_Category="All",G1706=sel_Category),OR(sel_Product="All",H1706=sel_Product),AND(S1706&gt;=m_From,S1706&lt;=m_To)),1,0)</f>
        <v/>
      </c>
      <c r="X1706" s="36">
        <f>IF(AND(OR(sel_Region="All",C1706=sel_Region),OR(sel_Country="All",D1706=sel_Country),OR(sel_Channel="All",E1706=sel_Channel),OR(sel_Category="All",G1706=sel_Category),OR(sel_Product="All",H1706=sel_Product),AND(S1706&gt;=m_From,S1706&lt;=m_To)),1,0)</f>
        <v/>
      </c>
      <c r="Y1706" s="36">
        <f>IF(AND(OR(sel_Region="All",C1706=sel_Region),OR(sel_Country="All",D1706=sel_Country),OR(sel_Channel="All",E1706=sel_Channel),OR(sel_Customer="All",F1706=sel_Customer),OR(sel_Product="All",H1706=sel_Product),AND(S1706&gt;=m_From,S1706&lt;=m_To)),1,0)</f>
        <v/>
      </c>
      <c r="Z1706" s="36">
        <f>IF(AND(OR(sel_Region="All",C1706=sel_Region),OR(sel_Country="All",D1706=sel_Country),OR(sel_Channel="All",E1706=sel_Channel),OR(sel_Customer="All",F1706=sel_Customer),OR(sel_Category="All",G1706=sel_Category),AND(S1706&gt;=m_From,S1706&lt;=m_To)),1,0)</f>
        <v/>
      </c>
      <c r="AA1706" s="36">
        <f>IF(AND(OR(sel_Region="All",C1706=sel_Region),OR(sel_Country="All",D1706=sel_Country),OR(sel_Channel="All",E1706=sel_Channel),OR(sel_Customer="All",F1706=sel_Customer),OR(sel_Category="All",G1706=sel_Category),OR(sel_Product="All",H1706=sel_Product)),1,0)</f>
        <v/>
      </c>
    </row>
    <row r="1707">
      <c r="A1707" s="36" t="inlineStr">
        <is>
          <t>01446</t>
        </is>
      </c>
      <c r="B1707" s="44" t="n">
        <v>46255</v>
      </c>
      <c r="C1707" s="36" t="inlineStr">
        <is>
          <t>Western Europe</t>
        </is>
      </c>
      <c r="D1707" s="36" t="inlineStr">
        <is>
          <t>France</t>
        </is>
      </c>
      <c r="E1707" s="36" t="inlineStr">
        <is>
          <t>Retail Partners</t>
        </is>
      </c>
      <c r="F1707" s="36" t="inlineStr">
        <is>
          <t>Returning</t>
        </is>
      </c>
      <c r="G1707" s="36" t="inlineStr">
        <is>
          <t>Camping</t>
        </is>
      </c>
      <c r="H1707" s="36" t="inlineStr">
        <is>
          <t>Trail Tent 2P</t>
        </is>
      </c>
      <c r="I1707" s="36" t="n">
        <v>1</v>
      </c>
      <c r="J1707" s="39" t="n">
        <v>195.15</v>
      </c>
      <c r="K1707" s="45" t="n">
        <v>0</v>
      </c>
      <c r="L1707" s="39" t="n">
        <v>101.99</v>
      </c>
      <c r="M1707" s="39">
        <f>I1707*J1707*(1-K1707)</f>
        <v/>
      </c>
      <c r="N1707" s="39">
        <f>I1707*L1707</f>
        <v/>
      </c>
      <c r="O1707" s="39">
        <f>M1707-N1707</f>
        <v/>
      </c>
      <c r="P1707" s="38">
        <f>IF(M1707=0,0,O1707/M1707)</f>
        <v/>
      </c>
      <c r="Q1707" s="36">
        <f>YEAR(B1707)</f>
        <v/>
      </c>
      <c r="R1707" s="36">
        <f>"Q"&amp;ROUNDUP(MONTH(B1707)/3,0)</f>
        <v/>
      </c>
      <c r="S1707" s="36">
        <f>MONTH(B1707)</f>
        <v/>
      </c>
      <c r="T1707" s="36">
        <f>TEXT(B1707,"mmm")</f>
        <v/>
      </c>
      <c r="U1707" s="36">
        <f>IF(AND(OR(sel_Region="All",C1707=sel_Region),OR(sel_Country="All",D1707=sel_Country),OR(sel_Channel="All",E1707=sel_Channel),OR(sel_Customer="All",F1707=sel_Customer),OR(sel_Category="All",G1707=sel_Category),OR(sel_Product="All",H1707=sel_Product),AND(S1707&gt;=m_From,S1707&lt;=m_To)),1,0)</f>
        <v/>
      </c>
      <c r="V1707" s="36">
        <f>IF(AND(OR(sel_Region="All",C1707=sel_Region),OR(sel_Channel="All",E1707=sel_Channel),OR(sel_Customer="All",F1707=sel_Customer),OR(sel_Category="All",G1707=sel_Category),OR(sel_Product="All",H1707=sel_Product),AND(S1707&gt;=m_From,S1707&lt;=m_To)),1,0)</f>
        <v/>
      </c>
      <c r="W1707" s="36">
        <f>IF(AND(OR(sel_Region="All",C1707=sel_Region),OR(sel_Country="All",D1707=sel_Country),OR(sel_Customer="All",F1707=sel_Customer),OR(sel_Category="All",G1707=sel_Category),OR(sel_Product="All",H1707=sel_Product),AND(S1707&gt;=m_From,S1707&lt;=m_To)),1,0)</f>
        <v/>
      </c>
      <c r="X1707" s="36">
        <f>IF(AND(OR(sel_Region="All",C1707=sel_Region),OR(sel_Country="All",D1707=sel_Country),OR(sel_Channel="All",E1707=sel_Channel),OR(sel_Category="All",G1707=sel_Category),OR(sel_Product="All",H1707=sel_Product),AND(S1707&gt;=m_From,S1707&lt;=m_To)),1,0)</f>
        <v/>
      </c>
      <c r="Y1707" s="36">
        <f>IF(AND(OR(sel_Region="All",C1707=sel_Region),OR(sel_Country="All",D1707=sel_Country),OR(sel_Channel="All",E1707=sel_Channel),OR(sel_Customer="All",F1707=sel_Customer),OR(sel_Product="All",H1707=sel_Product),AND(S1707&gt;=m_From,S1707&lt;=m_To)),1,0)</f>
        <v/>
      </c>
      <c r="Z1707" s="36">
        <f>IF(AND(OR(sel_Region="All",C1707=sel_Region),OR(sel_Country="All",D1707=sel_Country),OR(sel_Channel="All",E1707=sel_Channel),OR(sel_Customer="All",F1707=sel_Customer),OR(sel_Category="All",G1707=sel_Category),AND(S1707&gt;=m_From,S1707&lt;=m_To)),1,0)</f>
        <v/>
      </c>
      <c r="AA1707" s="36">
        <f>IF(AND(OR(sel_Region="All",C1707=sel_Region),OR(sel_Country="All",D1707=sel_Country),OR(sel_Channel="All",E1707=sel_Channel),OR(sel_Customer="All",F1707=sel_Customer),OR(sel_Category="All",G1707=sel_Category),OR(sel_Product="All",H1707=sel_Product)),1,0)</f>
        <v/>
      </c>
    </row>
    <row r="1708">
      <c r="A1708" s="36" t="inlineStr">
        <is>
          <t>01524</t>
        </is>
      </c>
      <c r="B1708" s="44" t="n">
        <v>46255</v>
      </c>
      <c r="C1708" s="36" t="inlineStr">
        <is>
          <t>Central Europe</t>
        </is>
      </c>
      <c r="D1708" s="36" t="inlineStr">
        <is>
          <t>Austria</t>
        </is>
      </c>
      <c r="E1708" s="36" t="inlineStr">
        <is>
          <t>Marketplace</t>
        </is>
      </c>
      <c r="F1708" s="36" t="inlineStr">
        <is>
          <t>New</t>
        </is>
      </c>
      <c r="G1708" s="36" t="inlineStr">
        <is>
          <t>Cycling</t>
        </is>
      </c>
      <c r="H1708" s="36" t="inlineStr">
        <is>
          <t>Commuter Helmet</t>
        </is>
      </c>
      <c r="I1708" s="36" t="n">
        <v>1</v>
      </c>
      <c r="J1708" s="39" t="n">
        <v>81.56999999999999</v>
      </c>
      <c r="K1708" s="45" t="n">
        <v>0</v>
      </c>
      <c r="L1708" s="39" t="n">
        <v>43.79</v>
      </c>
      <c r="M1708" s="39">
        <f>I1708*J1708*(1-K1708)</f>
        <v/>
      </c>
      <c r="N1708" s="39">
        <f>I1708*L1708</f>
        <v/>
      </c>
      <c r="O1708" s="39">
        <f>M1708-N1708</f>
        <v/>
      </c>
      <c r="P1708" s="38">
        <f>IF(M1708=0,0,O1708/M1708)</f>
        <v/>
      </c>
      <c r="Q1708" s="36">
        <f>YEAR(B1708)</f>
        <v/>
      </c>
      <c r="R1708" s="36">
        <f>"Q"&amp;ROUNDUP(MONTH(B1708)/3,0)</f>
        <v/>
      </c>
      <c r="S1708" s="36">
        <f>MONTH(B1708)</f>
        <v/>
      </c>
      <c r="T1708" s="36">
        <f>TEXT(B1708,"mmm")</f>
        <v/>
      </c>
      <c r="U1708" s="36">
        <f>IF(AND(OR(sel_Region="All",C1708=sel_Region),OR(sel_Country="All",D1708=sel_Country),OR(sel_Channel="All",E1708=sel_Channel),OR(sel_Customer="All",F1708=sel_Customer),OR(sel_Category="All",G1708=sel_Category),OR(sel_Product="All",H1708=sel_Product),AND(S1708&gt;=m_From,S1708&lt;=m_To)),1,0)</f>
        <v/>
      </c>
      <c r="V1708" s="36">
        <f>IF(AND(OR(sel_Region="All",C1708=sel_Region),OR(sel_Channel="All",E1708=sel_Channel),OR(sel_Customer="All",F1708=sel_Customer),OR(sel_Category="All",G1708=sel_Category),OR(sel_Product="All",H1708=sel_Product),AND(S1708&gt;=m_From,S1708&lt;=m_To)),1,0)</f>
        <v/>
      </c>
      <c r="W1708" s="36">
        <f>IF(AND(OR(sel_Region="All",C1708=sel_Region),OR(sel_Country="All",D1708=sel_Country),OR(sel_Customer="All",F1708=sel_Customer),OR(sel_Category="All",G1708=sel_Category),OR(sel_Product="All",H1708=sel_Product),AND(S1708&gt;=m_From,S1708&lt;=m_To)),1,0)</f>
        <v/>
      </c>
      <c r="X1708" s="36">
        <f>IF(AND(OR(sel_Region="All",C1708=sel_Region),OR(sel_Country="All",D1708=sel_Country),OR(sel_Channel="All",E1708=sel_Channel),OR(sel_Category="All",G1708=sel_Category),OR(sel_Product="All",H1708=sel_Product),AND(S1708&gt;=m_From,S1708&lt;=m_To)),1,0)</f>
        <v/>
      </c>
      <c r="Y1708" s="36">
        <f>IF(AND(OR(sel_Region="All",C1708=sel_Region),OR(sel_Country="All",D1708=sel_Country),OR(sel_Channel="All",E1708=sel_Channel),OR(sel_Customer="All",F1708=sel_Customer),OR(sel_Product="All",H1708=sel_Product),AND(S1708&gt;=m_From,S1708&lt;=m_To)),1,0)</f>
        <v/>
      </c>
      <c r="Z1708" s="36">
        <f>IF(AND(OR(sel_Region="All",C1708=sel_Region),OR(sel_Country="All",D1708=sel_Country),OR(sel_Channel="All",E1708=sel_Channel),OR(sel_Customer="All",F1708=sel_Customer),OR(sel_Category="All",G1708=sel_Category),AND(S1708&gt;=m_From,S1708&lt;=m_To)),1,0)</f>
        <v/>
      </c>
      <c r="AA1708" s="36">
        <f>IF(AND(OR(sel_Region="All",C1708=sel_Region),OR(sel_Country="All",D1708=sel_Country),OR(sel_Channel="All",E1708=sel_Channel),OR(sel_Customer="All",F1708=sel_Customer),OR(sel_Category="All",G1708=sel_Category),OR(sel_Product="All",H1708=sel_Product)),1,0)</f>
        <v/>
      </c>
    </row>
    <row r="1709">
      <c r="A1709" s="36" t="inlineStr">
        <is>
          <t>01946</t>
        </is>
      </c>
      <c r="B1709" s="44" t="n">
        <v>46255</v>
      </c>
      <c r="C1709" s="36" t="inlineStr">
        <is>
          <t>Southern Europe</t>
        </is>
      </c>
      <c r="D1709" s="36" t="inlineStr">
        <is>
          <t>Italy</t>
        </is>
      </c>
      <c r="E1709" s="36" t="inlineStr">
        <is>
          <t>Retail Partners</t>
        </is>
      </c>
      <c r="F1709" s="36" t="inlineStr">
        <is>
          <t>New</t>
        </is>
      </c>
      <c r="G1709" s="36" t="inlineStr">
        <is>
          <t>Camping</t>
        </is>
      </c>
      <c r="H1709" s="36" t="inlineStr">
        <is>
          <t>Compact Sleeping Bag</t>
        </is>
      </c>
      <c r="I1709" s="36" t="n">
        <v>5</v>
      </c>
      <c r="J1709" s="39" t="n">
        <v>125.44</v>
      </c>
      <c r="K1709" s="45" t="n">
        <v>0</v>
      </c>
      <c r="L1709" s="39" t="n">
        <v>59.58</v>
      </c>
      <c r="M1709" s="39">
        <f>I1709*J1709*(1-K1709)</f>
        <v/>
      </c>
      <c r="N1709" s="39">
        <f>I1709*L1709</f>
        <v/>
      </c>
      <c r="O1709" s="39">
        <f>M1709-N1709</f>
        <v/>
      </c>
      <c r="P1709" s="38">
        <f>IF(M1709=0,0,O1709/M1709)</f>
        <v/>
      </c>
      <c r="Q1709" s="36">
        <f>YEAR(B1709)</f>
        <v/>
      </c>
      <c r="R1709" s="36">
        <f>"Q"&amp;ROUNDUP(MONTH(B1709)/3,0)</f>
        <v/>
      </c>
      <c r="S1709" s="36">
        <f>MONTH(B1709)</f>
        <v/>
      </c>
      <c r="T1709" s="36">
        <f>TEXT(B1709,"mmm")</f>
        <v/>
      </c>
      <c r="U1709" s="36">
        <f>IF(AND(OR(sel_Region="All",C1709=sel_Region),OR(sel_Country="All",D1709=sel_Country),OR(sel_Channel="All",E1709=sel_Channel),OR(sel_Customer="All",F1709=sel_Customer),OR(sel_Category="All",G1709=sel_Category),OR(sel_Product="All",H1709=sel_Product),AND(S1709&gt;=m_From,S1709&lt;=m_To)),1,0)</f>
        <v/>
      </c>
      <c r="V1709" s="36">
        <f>IF(AND(OR(sel_Region="All",C1709=sel_Region),OR(sel_Channel="All",E1709=sel_Channel),OR(sel_Customer="All",F1709=sel_Customer),OR(sel_Category="All",G1709=sel_Category),OR(sel_Product="All",H1709=sel_Product),AND(S1709&gt;=m_From,S1709&lt;=m_To)),1,0)</f>
        <v/>
      </c>
      <c r="W1709" s="36">
        <f>IF(AND(OR(sel_Region="All",C1709=sel_Region),OR(sel_Country="All",D1709=sel_Country),OR(sel_Customer="All",F1709=sel_Customer),OR(sel_Category="All",G1709=sel_Category),OR(sel_Product="All",H1709=sel_Product),AND(S1709&gt;=m_From,S1709&lt;=m_To)),1,0)</f>
        <v/>
      </c>
      <c r="X1709" s="36">
        <f>IF(AND(OR(sel_Region="All",C1709=sel_Region),OR(sel_Country="All",D1709=sel_Country),OR(sel_Channel="All",E1709=sel_Channel),OR(sel_Category="All",G1709=sel_Category),OR(sel_Product="All",H1709=sel_Product),AND(S1709&gt;=m_From,S1709&lt;=m_To)),1,0)</f>
        <v/>
      </c>
      <c r="Y1709" s="36">
        <f>IF(AND(OR(sel_Region="All",C1709=sel_Region),OR(sel_Country="All",D1709=sel_Country),OR(sel_Channel="All",E1709=sel_Channel),OR(sel_Customer="All",F1709=sel_Customer),OR(sel_Product="All",H1709=sel_Product),AND(S1709&gt;=m_From,S1709&lt;=m_To)),1,0)</f>
        <v/>
      </c>
      <c r="Z1709" s="36">
        <f>IF(AND(OR(sel_Region="All",C1709=sel_Region),OR(sel_Country="All",D1709=sel_Country),OR(sel_Channel="All",E1709=sel_Channel),OR(sel_Customer="All",F1709=sel_Customer),OR(sel_Category="All",G1709=sel_Category),AND(S1709&gt;=m_From,S1709&lt;=m_To)),1,0)</f>
        <v/>
      </c>
      <c r="AA1709" s="36">
        <f>IF(AND(OR(sel_Region="All",C1709=sel_Region),OR(sel_Country="All",D1709=sel_Country),OR(sel_Channel="All",E1709=sel_Channel),OR(sel_Customer="All",F1709=sel_Customer),OR(sel_Category="All",G1709=sel_Category),OR(sel_Product="All",H1709=sel_Product)),1,0)</f>
        <v/>
      </c>
    </row>
    <row r="1710">
      <c r="A1710" s="36" t="inlineStr">
        <is>
          <t>02285</t>
        </is>
      </c>
      <c r="B1710" s="44" t="n">
        <v>46255</v>
      </c>
      <c r="C1710" s="36" t="inlineStr">
        <is>
          <t>Central Europe</t>
        </is>
      </c>
      <c r="D1710" s="36" t="inlineStr">
        <is>
          <t>Switzerland</t>
        </is>
      </c>
      <c r="E1710" s="36" t="inlineStr">
        <is>
          <t>Online Store</t>
        </is>
      </c>
      <c r="F1710" s="36" t="inlineStr">
        <is>
          <t>Business</t>
        </is>
      </c>
      <c r="G1710" s="36" t="inlineStr">
        <is>
          <t>Hiking</t>
        </is>
      </c>
      <c r="H1710" s="36" t="inlineStr">
        <is>
          <t>Summit Backpack 45L</t>
        </is>
      </c>
      <c r="I1710" s="36" t="n">
        <v>2</v>
      </c>
      <c r="J1710" s="39" t="n">
        <v>155.11</v>
      </c>
      <c r="K1710" s="45" t="n">
        <v>0.05</v>
      </c>
      <c r="L1710" s="39" t="n">
        <v>80.13</v>
      </c>
      <c r="M1710" s="39">
        <f>I1710*J1710*(1-K1710)</f>
        <v/>
      </c>
      <c r="N1710" s="39">
        <f>I1710*L1710</f>
        <v/>
      </c>
      <c r="O1710" s="39">
        <f>M1710-N1710</f>
        <v/>
      </c>
      <c r="P1710" s="38">
        <f>IF(M1710=0,0,O1710/M1710)</f>
        <v/>
      </c>
      <c r="Q1710" s="36">
        <f>YEAR(B1710)</f>
        <v/>
      </c>
      <c r="R1710" s="36">
        <f>"Q"&amp;ROUNDUP(MONTH(B1710)/3,0)</f>
        <v/>
      </c>
      <c r="S1710" s="36">
        <f>MONTH(B1710)</f>
        <v/>
      </c>
      <c r="T1710" s="36">
        <f>TEXT(B1710,"mmm")</f>
        <v/>
      </c>
      <c r="U1710" s="36">
        <f>IF(AND(OR(sel_Region="All",C1710=sel_Region),OR(sel_Country="All",D1710=sel_Country),OR(sel_Channel="All",E1710=sel_Channel),OR(sel_Customer="All",F1710=sel_Customer),OR(sel_Category="All",G1710=sel_Category),OR(sel_Product="All",H1710=sel_Product),AND(S1710&gt;=m_From,S1710&lt;=m_To)),1,0)</f>
        <v/>
      </c>
      <c r="V1710" s="36">
        <f>IF(AND(OR(sel_Region="All",C1710=sel_Region),OR(sel_Channel="All",E1710=sel_Channel),OR(sel_Customer="All",F1710=sel_Customer),OR(sel_Category="All",G1710=sel_Category),OR(sel_Product="All",H1710=sel_Product),AND(S1710&gt;=m_From,S1710&lt;=m_To)),1,0)</f>
        <v/>
      </c>
      <c r="W1710" s="36">
        <f>IF(AND(OR(sel_Region="All",C1710=sel_Region),OR(sel_Country="All",D1710=sel_Country),OR(sel_Customer="All",F1710=sel_Customer),OR(sel_Category="All",G1710=sel_Category),OR(sel_Product="All",H1710=sel_Product),AND(S1710&gt;=m_From,S1710&lt;=m_To)),1,0)</f>
        <v/>
      </c>
      <c r="X1710" s="36">
        <f>IF(AND(OR(sel_Region="All",C1710=sel_Region),OR(sel_Country="All",D1710=sel_Country),OR(sel_Channel="All",E1710=sel_Channel),OR(sel_Category="All",G1710=sel_Category),OR(sel_Product="All",H1710=sel_Product),AND(S1710&gt;=m_From,S1710&lt;=m_To)),1,0)</f>
        <v/>
      </c>
      <c r="Y1710" s="36">
        <f>IF(AND(OR(sel_Region="All",C1710=sel_Region),OR(sel_Country="All",D1710=sel_Country),OR(sel_Channel="All",E1710=sel_Channel),OR(sel_Customer="All",F1710=sel_Customer),OR(sel_Product="All",H1710=sel_Product),AND(S1710&gt;=m_From,S1710&lt;=m_To)),1,0)</f>
        <v/>
      </c>
      <c r="Z1710" s="36">
        <f>IF(AND(OR(sel_Region="All",C1710=sel_Region),OR(sel_Country="All",D1710=sel_Country),OR(sel_Channel="All",E1710=sel_Channel),OR(sel_Customer="All",F1710=sel_Customer),OR(sel_Category="All",G1710=sel_Category),AND(S1710&gt;=m_From,S1710&lt;=m_To)),1,0)</f>
        <v/>
      </c>
      <c r="AA1710" s="36">
        <f>IF(AND(OR(sel_Region="All",C1710=sel_Region),OR(sel_Country="All",D1710=sel_Country),OR(sel_Channel="All",E1710=sel_Channel),OR(sel_Customer="All",F1710=sel_Customer),OR(sel_Category="All",G1710=sel_Category),OR(sel_Product="All",H1710=sel_Product)),1,0)</f>
        <v/>
      </c>
    </row>
    <row r="1711">
      <c r="A1711" s="36" t="inlineStr">
        <is>
          <t>02978</t>
        </is>
      </c>
      <c r="B1711" s="44" t="n">
        <v>46255</v>
      </c>
      <c r="C1711" s="36" t="inlineStr">
        <is>
          <t>Northern Europe</t>
        </is>
      </c>
      <c r="D1711" s="36" t="inlineStr">
        <is>
          <t>Finland</t>
        </is>
      </c>
      <c r="E1711" s="36" t="inlineStr">
        <is>
          <t>Retail Partners</t>
        </is>
      </c>
      <c r="F1711" s="36" t="inlineStr">
        <is>
          <t>New</t>
        </is>
      </c>
      <c r="G1711" s="36" t="inlineStr">
        <is>
          <t>Cycling</t>
        </is>
      </c>
      <c r="H1711" s="36" t="inlineStr">
        <is>
          <t>Commuter Helmet</t>
        </is>
      </c>
      <c r="I1711" s="36" t="n">
        <v>1</v>
      </c>
      <c r="J1711" s="39" t="n">
        <v>80.7</v>
      </c>
      <c r="K1711" s="45" t="n">
        <v>0</v>
      </c>
      <c r="L1711" s="39" t="n">
        <v>41.98</v>
      </c>
      <c r="M1711" s="39">
        <f>I1711*J1711*(1-K1711)</f>
        <v/>
      </c>
      <c r="N1711" s="39">
        <f>I1711*L1711</f>
        <v/>
      </c>
      <c r="O1711" s="39">
        <f>M1711-N1711</f>
        <v/>
      </c>
      <c r="P1711" s="38">
        <f>IF(M1711=0,0,O1711/M1711)</f>
        <v/>
      </c>
      <c r="Q1711" s="36">
        <f>YEAR(B1711)</f>
        <v/>
      </c>
      <c r="R1711" s="36">
        <f>"Q"&amp;ROUNDUP(MONTH(B1711)/3,0)</f>
        <v/>
      </c>
      <c r="S1711" s="36">
        <f>MONTH(B1711)</f>
        <v/>
      </c>
      <c r="T1711" s="36">
        <f>TEXT(B1711,"mmm")</f>
        <v/>
      </c>
      <c r="U1711" s="36">
        <f>IF(AND(OR(sel_Region="All",C1711=sel_Region),OR(sel_Country="All",D1711=sel_Country),OR(sel_Channel="All",E1711=sel_Channel),OR(sel_Customer="All",F1711=sel_Customer),OR(sel_Category="All",G1711=sel_Category),OR(sel_Product="All",H1711=sel_Product),AND(S1711&gt;=m_From,S1711&lt;=m_To)),1,0)</f>
        <v/>
      </c>
      <c r="V1711" s="36">
        <f>IF(AND(OR(sel_Region="All",C1711=sel_Region),OR(sel_Channel="All",E1711=sel_Channel),OR(sel_Customer="All",F1711=sel_Customer),OR(sel_Category="All",G1711=sel_Category),OR(sel_Product="All",H1711=sel_Product),AND(S1711&gt;=m_From,S1711&lt;=m_To)),1,0)</f>
        <v/>
      </c>
      <c r="W1711" s="36">
        <f>IF(AND(OR(sel_Region="All",C1711=sel_Region),OR(sel_Country="All",D1711=sel_Country),OR(sel_Customer="All",F1711=sel_Customer),OR(sel_Category="All",G1711=sel_Category),OR(sel_Product="All",H1711=sel_Product),AND(S1711&gt;=m_From,S1711&lt;=m_To)),1,0)</f>
        <v/>
      </c>
      <c r="X1711" s="36">
        <f>IF(AND(OR(sel_Region="All",C1711=sel_Region),OR(sel_Country="All",D1711=sel_Country),OR(sel_Channel="All",E1711=sel_Channel),OR(sel_Category="All",G1711=sel_Category),OR(sel_Product="All",H1711=sel_Product),AND(S1711&gt;=m_From,S1711&lt;=m_To)),1,0)</f>
        <v/>
      </c>
      <c r="Y1711" s="36">
        <f>IF(AND(OR(sel_Region="All",C1711=sel_Region),OR(sel_Country="All",D1711=sel_Country),OR(sel_Channel="All",E1711=sel_Channel),OR(sel_Customer="All",F1711=sel_Customer),OR(sel_Product="All",H1711=sel_Product),AND(S1711&gt;=m_From,S1711&lt;=m_To)),1,0)</f>
        <v/>
      </c>
      <c r="Z1711" s="36">
        <f>IF(AND(OR(sel_Region="All",C1711=sel_Region),OR(sel_Country="All",D1711=sel_Country),OR(sel_Channel="All",E1711=sel_Channel),OR(sel_Customer="All",F1711=sel_Customer),OR(sel_Category="All",G1711=sel_Category),AND(S1711&gt;=m_From,S1711&lt;=m_To)),1,0)</f>
        <v/>
      </c>
      <c r="AA1711" s="36">
        <f>IF(AND(OR(sel_Region="All",C1711=sel_Region),OR(sel_Country="All",D1711=sel_Country),OR(sel_Channel="All",E1711=sel_Channel),OR(sel_Customer="All",F1711=sel_Customer),OR(sel_Category="All",G1711=sel_Category),OR(sel_Product="All",H1711=sel_Product)),1,0)</f>
        <v/>
      </c>
    </row>
    <row r="1712">
      <c r="A1712" s="36" t="inlineStr">
        <is>
          <t>03842</t>
        </is>
      </c>
      <c r="B1712" s="44" t="n">
        <v>46255</v>
      </c>
      <c r="C1712" s="36" t="inlineStr">
        <is>
          <t>Western Europe</t>
        </is>
      </c>
      <c r="D1712" s="36" t="inlineStr">
        <is>
          <t>United Kingdom</t>
        </is>
      </c>
      <c r="E1712" s="36" t="inlineStr">
        <is>
          <t>Corporate</t>
        </is>
      </c>
      <c r="F1712" s="36" t="inlineStr">
        <is>
          <t>Returning</t>
        </is>
      </c>
      <c r="G1712" s="36" t="inlineStr">
        <is>
          <t>Hiking</t>
        </is>
      </c>
      <c r="H1712" s="36" t="inlineStr">
        <is>
          <t>Summit Backpack 45L</t>
        </is>
      </c>
      <c r="I1712" s="36" t="n">
        <v>10</v>
      </c>
      <c r="J1712" s="39" t="n">
        <v>156.72</v>
      </c>
      <c r="K1712" s="45" t="n">
        <v>0.15</v>
      </c>
      <c r="L1712" s="39" t="n">
        <v>78.12</v>
      </c>
      <c r="M1712" s="39">
        <f>I1712*J1712*(1-K1712)</f>
        <v/>
      </c>
      <c r="N1712" s="39">
        <f>I1712*L1712</f>
        <v/>
      </c>
      <c r="O1712" s="39">
        <f>M1712-N1712</f>
        <v/>
      </c>
      <c r="P1712" s="38">
        <f>IF(M1712=0,0,O1712/M1712)</f>
        <v/>
      </c>
      <c r="Q1712" s="36">
        <f>YEAR(B1712)</f>
        <v/>
      </c>
      <c r="R1712" s="36">
        <f>"Q"&amp;ROUNDUP(MONTH(B1712)/3,0)</f>
        <v/>
      </c>
      <c r="S1712" s="36">
        <f>MONTH(B1712)</f>
        <v/>
      </c>
      <c r="T1712" s="36">
        <f>TEXT(B1712,"mmm")</f>
        <v/>
      </c>
      <c r="U1712" s="36">
        <f>IF(AND(OR(sel_Region="All",C1712=sel_Region),OR(sel_Country="All",D1712=sel_Country),OR(sel_Channel="All",E1712=sel_Channel),OR(sel_Customer="All",F1712=sel_Customer),OR(sel_Category="All",G1712=sel_Category),OR(sel_Product="All",H1712=sel_Product),AND(S1712&gt;=m_From,S1712&lt;=m_To)),1,0)</f>
        <v/>
      </c>
      <c r="V1712" s="36">
        <f>IF(AND(OR(sel_Region="All",C1712=sel_Region),OR(sel_Channel="All",E1712=sel_Channel),OR(sel_Customer="All",F1712=sel_Customer),OR(sel_Category="All",G1712=sel_Category),OR(sel_Product="All",H1712=sel_Product),AND(S1712&gt;=m_From,S1712&lt;=m_To)),1,0)</f>
        <v/>
      </c>
      <c r="W1712" s="36">
        <f>IF(AND(OR(sel_Region="All",C1712=sel_Region),OR(sel_Country="All",D1712=sel_Country),OR(sel_Customer="All",F1712=sel_Customer),OR(sel_Category="All",G1712=sel_Category),OR(sel_Product="All",H1712=sel_Product),AND(S1712&gt;=m_From,S1712&lt;=m_To)),1,0)</f>
        <v/>
      </c>
      <c r="X1712" s="36">
        <f>IF(AND(OR(sel_Region="All",C1712=sel_Region),OR(sel_Country="All",D1712=sel_Country),OR(sel_Channel="All",E1712=sel_Channel),OR(sel_Category="All",G1712=sel_Category),OR(sel_Product="All",H1712=sel_Product),AND(S1712&gt;=m_From,S1712&lt;=m_To)),1,0)</f>
        <v/>
      </c>
      <c r="Y1712" s="36">
        <f>IF(AND(OR(sel_Region="All",C1712=sel_Region),OR(sel_Country="All",D1712=sel_Country),OR(sel_Channel="All",E1712=sel_Channel),OR(sel_Customer="All",F1712=sel_Customer),OR(sel_Product="All",H1712=sel_Product),AND(S1712&gt;=m_From,S1712&lt;=m_To)),1,0)</f>
        <v/>
      </c>
      <c r="Z1712" s="36">
        <f>IF(AND(OR(sel_Region="All",C1712=sel_Region),OR(sel_Country="All",D1712=sel_Country),OR(sel_Channel="All",E1712=sel_Channel),OR(sel_Customer="All",F1712=sel_Customer),OR(sel_Category="All",G1712=sel_Category),AND(S1712&gt;=m_From,S1712&lt;=m_To)),1,0)</f>
        <v/>
      </c>
      <c r="AA1712" s="36">
        <f>IF(AND(OR(sel_Region="All",C1712=sel_Region),OR(sel_Country="All",D1712=sel_Country),OR(sel_Channel="All",E1712=sel_Channel),OR(sel_Customer="All",F1712=sel_Customer),OR(sel_Category="All",G1712=sel_Category),OR(sel_Product="All",H1712=sel_Product)),1,0)</f>
        <v/>
      </c>
    </row>
    <row r="1713">
      <c r="A1713" s="36" t="inlineStr">
        <is>
          <t>04220</t>
        </is>
      </c>
      <c r="B1713" s="44" t="n">
        <v>46255</v>
      </c>
      <c r="C1713" s="36" t="inlineStr">
        <is>
          <t>Central Europe</t>
        </is>
      </c>
      <c r="D1713" s="36" t="inlineStr">
        <is>
          <t>Poland</t>
        </is>
      </c>
      <c r="E1713" s="36" t="inlineStr">
        <is>
          <t>Corporate</t>
        </is>
      </c>
      <c r="F1713" s="36" t="inlineStr">
        <is>
          <t>Business</t>
        </is>
      </c>
      <c r="G1713" s="36" t="inlineStr">
        <is>
          <t>Travel</t>
        </is>
      </c>
      <c r="H1713" s="36" t="inlineStr">
        <is>
          <t>Travel Backpack 35L</t>
        </is>
      </c>
      <c r="I1713" s="36" t="n">
        <v>5</v>
      </c>
      <c r="J1713" s="39" t="n">
        <v>162.76</v>
      </c>
      <c r="K1713" s="45" t="n">
        <v>0.15</v>
      </c>
      <c r="L1713" s="39" t="n">
        <v>85.31999999999999</v>
      </c>
      <c r="M1713" s="39">
        <f>I1713*J1713*(1-K1713)</f>
        <v/>
      </c>
      <c r="N1713" s="39">
        <f>I1713*L1713</f>
        <v/>
      </c>
      <c r="O1713" s="39">
        <f>M1713-N1713</f>
        <v/>
      </c>
      <c r="P1713" s="38">
        <f>IF(M1713=0,0,O1713/M1713)</f>
        <v/>
      </c>
      <c r="Q1713" s="36">
        <f>YEAR(B1713)</f>
        <v/>
      </c>
      <c r="R1713" s="36">
        <f>"Q"&amp;ROUNDUP(MONTH(B1713)/3,0)</f>
        <v/>
      </c>
      <c r="S1713" s="36">
        <f>MONTH(B1713)</f>
        <v/>
      </c>
      <c r="T1713" s="36">
        <f>TEXT(B1713,"mmm")</f>
        <v/>
      </c>
      <c r="U1713" s="36">
        <f>IF(AND(OR(sel_Region="All",C1713=sel_Region),OR(sel_Country="All",D1713=sel_Country),OR(sel_Channel="All",E1713=sel_Channel),OR(sel_Customer="All",F1713=sel_Customer),OR(sel_Category="All",G1713=sel_Category),OR(sel_Product="All",H1713=sel_Product),AND(S1713&gt;=m_From,S1713&lt;=m_To)),1,0)</f>
        <v/>
      </c>
      <c r="V1713" s="36">
        <f>IF(AND(OR(sel_Region="All",C1713=sel_Region),OR(sel_Channel="All",E1713=sel_Channel),OR(sel_Customer="All",F1713=sel_Customer),OR(sel_Category="All",G1713=sel_Category),OR(sel_Product="All",H1713=sel_Product),AND(S1713&gt;=m_From,S1713&lt;=m_To)),1,0)</f>
        <v/>
      </c>
      <c r="W1713" s="36">
        <f>IF(AND(OR(sel_Region="All",C1713=sel_Region),OR(sel_Country="All",D1713=sel_Country),OR(sel_Customer="All",F1713=sel_Customer),OR(sel_Category="All",G1713=sel_Category),OR(sel_Product="All",H1713=sel_Product),AND(S1713&gt;=m_From,S1713&lt;=m_To)),1,0)</f>
        <v/>
      </c>
      <c r="X1713" s="36">
        <f>IF(AND(OR(sel_Region="All",C1713=sel_Region),OR(sel_Country="All",D1713=sel_Country),OR(sel_Channel="All",E1713=sel_Channel),OR(sel_Category="All",G1713=sel_Category),OR(sel_Product="All",H1713=sel_Product),AND(S1713&gt;=m_From,S1713&lt;=m_To)),1,0)</f>
        <v/>
      </c>
      <c r="Y1713" s="36">
        <f>IF(AND(OR(sel_Region="All",C1713=sel_Region),OR(sel_Country="All",D1713=sel_Country),OR(sel_Channel="All",E1713=sel_Channel),OR(sel_Customer="All",F1713=sel_Customer),OR(sel_Product="All",H1713=sel_Product),AND(S1713&gt;=m_From,S1713&lt;=m_To)),1,0)</f>
        <v/>
      </c>
      <c r="Z1713" s="36">
        <f>IF(AND(OR(sel_Region="All",C1713=sel_Region),OR(sel_Country="All",D1713=sel_Country),OR(sel_Channel="All",E1713=sel_Channel),OR(sel_Customer="All",F1713=sel_Customer),OR(sel_Category="All",G1713=sel_Category),AND(S1713&gt;=m_From,S1713&lt;=m_To)),1,0)</f>
        <v/>
      </c>
      <c r="AA1713" s="36">
        <f>IF(AND(OR(sel_Region="All",C1713=sel_Region),OR(sel_Country="All",D1713=sel_Country),OR(sel_Channel="All",E1713=sel_Channel),OR(sel_Customer="All",F1713=sel_Customer),OR(sel_Category="All",G1713=sel_Category),OR(sel_Product="All",H1713=sel_Product)),1,0)</f>
        <v/>
      </c>
    </row>
    <row r="1714">
      <c r="A1714" s="36" t="inlineStr">
        <is>
          <t>00478</t>
        </is>
      </c>
      <c r="B1714" s="44" t="n">
        <v>46256</v>
      </c>
      <c r="C1714" s="36" t="inlineStr">
        <is>
          <t>Western Europe</t>
        </is>
      </c>
      <c r="D1714" s="36" t="inlineStr">
        <is>
          <t>United Kingdom</t>
        </is>
      </c>
      <c r="E1714" s="36" t="inlineStr">
        <is>
          <t>Retail Partners</t>
        </is>
      </c>
      <c r="F1714" s="36" t="inlineStr">
        <is>
          <t>Business</t>
        </is>
      </c>
      <c r="G1714" s="36" t="inlineStr">
        <is>
          <t>Fitness</t>
        </is>
      </c>
      <c r="H1714" s="36" t="inlineStr">
        <is>
          <t>Resistance Band Set</t>
        </is>
      </c>
      <c r="I1714" s="36" t="n">
        <v>2</v>
      </c>
      <c r="J1714" s="39" t="n">
        <v>40.22</v>
      </c>
      <c r="K1714" s="45" t="n">
        <v>0</v>
      </c>
      <c r="L1714" s="39" t="n">
        <v>14.45</v>
      </c>
      <c r="M1714" s="39">
        <f>I1714*J1714*(1-K1714)</f>
        <v/>
      </c>
      <c r="N1714" s="39">
        <f>I1714*L1714</f>
        <v/>
      </c>
      <c r="O1714" s="39">
        <f>M1714-N1714</f>
        <v/>
      </c>
      <c r="P1714" s="38">
        <f>IF(M1714=0,0,O1714/M1714)</f>
        <v/>
      </c>
      <c r="Q1714" s="36">
        <f>YEAR(B1714)</f>
        <v/>
      </c>
      <c r="R1714" s="36">
        <f>"Q"&amp;ROUNDUP(MONTH(B1714)/3,0)</f>
        <v/>
      </c>
      <c r="S1714" s="36">
        <f>MONTH(B1714)</f>
        <v/>
      </c>
      <c r="T1714" s="36">
        <f>TEXT(B1714,"mmm")</f>
        <v/>
      </c>
      <c r="U1714" s="36">
        <f>IF(AND(OR(sel_Region="All",C1714=sel_Region),OR(sel_Country="All",D1714=sel_Country),OR(sel_Channel="All",E1714=sel_Channel),OR(sel_Customer="All",F1714=sel_Customer),OR(sel_Category="All",G1714=sel_Category),OR(sel_Product="All",H1714=sel_Product),AND(S1714&gt;=m_From,S1714&lt;=m_To)),1,0)</f>
        <v/>
      </c>
      <c r="V1714" s="36">
        <f>IF(AND(OR(sel_Region="All",C1714=sel_Region),OR(sel_Channel="All",E1714=sel_Channel),OR(sel_Customer="All",F1714=sel_Customer),OR(sel_Category="All",G1714=sel_Category),OR(sel_Product="All",H1714=sel_Product),AND(S1714&gt;=m_From,S1714&lt;=m_To)),1,0)</f>
        <v/>
      </c>
      <c r="W1714" s="36">
        <f>IF(AND(OR(sel_Region="All",C1714=sel_Region),OR(sel_Country="All",D1714=sel_Country),OR(sel_Customer="All",F1714=sel_Customer),OR(sel_Category="All",G1714=sel_Category),OR(sel_Product="All",H1714=sel_Product),AND(S1714&gt;=m_From,S1714&lt;=m_To)),1,0)</f>
        <v/>
      </c>
      <c r="X1714" s="36">
        <f>IF(AND(OR(sel_Region="All",C1714=sel_Region),OR(sel_Country="All",D1714=sel_Country),OR(sel_Channel="All",E1714=sel_Channel),OR(sel_Category="All",G1714=sel_Category),OR(sel_Product="All",H1714=sel_Product),AND(S1714&gt;=m_From,S1714&lt;=m_To)),1,0)</f>
        <v/>
      </c>
      <c r="Y1714" s="36">
        <f>IF(AND(OR(sel_Region="All",C1714=sel_Region),OR(sel_Country="All",D1714=sel_Country),OR(sel_Channel="All",E1714=sel_Channel),OR(sel_Customer="All",F1714=sel_Customer),OR(sel_Product="All",H1714=sel_Product),AND(S1714&gt;=m_From,S1714&lt;=m_To)),1,0)</f>
        <v/>
      </c>
      <c r="Z1714" s="36">
        <f>IF(AND(OR(sel_Region="All",C1714=sel_Region),OR(sel_Country="All",D1714=sel_Country),OR(sel_Channel="All",E1714=sel_Channel),OR(sel_Customer="All",F1714=sel_Customer),OR(sel_Category="All",G1714=sel_Category),AND(S1714&gt;=m_From,S1714&lt;=m_To)),1,0)</f>
        <v/>
      </c>
      <c r="AA1714" s="36">
        <f>IF(AND(OR(sel_Region="All",C1714=sel_Region),OR(sel_Country="All",D1714=sel_Country),OR(sel_Channel="All",E1714=sel_Channel),OR(sel_Customer="All",F1714=sel_Customer),OR(sel_Category="All",G1714=sel_Category),OR(sel_Product="All",H1714=sel_Product)),1,0)</f>
        <v/>
      </c>
    </row>
    <row r="1715">
      <c r="A1715" s="36" t="inlineStr">
        <is>
          <t>00491</t>
        </is>
      </c>
      <c r="B1715" s="44" t="n">
        <v>46256</v>
      </c>
      <c r="C1715" s="36" t="inlineStr">
        <is>
          <t>Southern Europe</t>
        </is>
      </c>
      <c r="D1715" s="36" t="inlineStr">
        <is>
          <t>Portugal</t>
        </is>
      </c>
      <c r="E1715" s="36" t="inlineStr">
        <is>
          <t>Marketplace</t>
        </is>
      </c>
      <c r="F1715" s="36" t="inlineStr">
        <is>
          <t>New</t>
        </is>
      </c>
      <c r="G1715" s="36" t="inlineStr">
        <is>
          <t>Travel</t>
        </is>
      </c>
      <c r="H1715" s="36" t="inlineStr">
        <is>
          <t>Packing Cube Set</t>
        </is>
      </c>
      <c r="I1715" s="36" t="n">
        <v>1</v>
      </c>
      <c r="J1715" s="39" t="n">
        <v>45.42</v>
      </c>
      <c r="K1715" s="45" t="n">
        <v>0.15</v>
      </c>
      <c r="L1715" s="39" t="n">
        <v>18.08</v>
      </c>
      <c r="M1715" s="39">
        <f>I1715*J1715*(1-K1715)</f>
        <v/>
      </c>
      <c r="N1715" s="39">
        <f>I1715*L1715</f>
        <v/>
      </c>
      <c r="O1715" s="39">
        <f>M1715-N1715</f>
        <v/>
      </c>
      <c r="P1715" s="38">
        <f>IF(M1715=0,0,O1715/M1715)</f>
        <v/>
      </c>
      <c r="Q1715" s="36">
        <f>YEAR(B1715)</f>
        <v/>
      </c>
      <c r="R1715" s="36">
        <f>"Q"&amp;ROUNDUP(MONTH(B1715)/3,0)</f>
        <v/>
      </c>
      <c r="S1715" s="36">
        <f>MONTH(B1715)</f>
        <v/>
      </c>
      <c r="T1715" s="36">
        <f>TEXT(B1715,"mmm")</f>
        <v/>
      </c>
      <c r="U1715" s="36">
        <f>IF(AND(OR(sel_Region="All",C1715=sel_Region),OR(sel_Country="All",D1715=sel_Country),OR(sel_Channel="All",E1715=sel_Channel),OR(sel_Customer="All",F1715=sel_Customer),OR(sel_Category="All",G1715=sel_Category),OR(sel_Product="All",H1715=sel_Product),AND(S1715&gt;=m_From,S1715&lt;=m_To)),1,0)</f>
        <v/>
      </c>
      <c r="V1715" s="36">
        <f>IF(AND(OR(sel_Region="All",C1715=sel_Region),OR(sel_Channel="All",E1715=sel_Channel),OR(sel_Customer="All",F1715=sel_Customer),OR(sel_Category="All",G1715=sel_Category),OR(sel_Product="All",H1715=sel_Product),AND(S1715&gt;=m_From,S1715&lt;=m_To)),1,0)</f>
        <v/>
      </c>
      <c r="W1715" s="36">
        <f>IF(AND(OR(sel_Region="All",C1715=sel_Region),OR(sel_Country="All",D1715=sel_Country),OR(sel_Customer="All",F1715=sel_Customer),OR(sel_Category="All",G1715=sel_Category),OR(sel_Product="All",H1715=sel_Product),AND(S1715&gt;=m_From,S1715&lt;=m_To)),1,0)</f>
        <v/>
      </c>
      <c r="X1715" s="36">
        <f>IF(AND(OR(sel_Region="All",C1715=sel_Region),OR(sel_Country="All",D1715=sel_Country),OR(sel_Channel="All",E1715=sel_Channel),OR(sel_Category="All",G1715=sel_Category),OR(sel_Product="All",H1715=sel_Product),AND(S1715&gt;=m_From,S1715&lt;=m_To)),1,0)</f>
        <v/>
      </c>
      <c r="Y1715" s="36">
        <f>IF(AND(OR(sel_Region="All",C1715=sel_Region),OR(sel_Country="All",D1715=sel_Country),OR(sel_Channel="All",E1715=sel_Channel),OR(sel_Customer="All",F1715=sel_Customer),OR(sel_Product="All",H1715=sel_Product),AND(S1715&gt;=m_From,S1715&lt;=m_To)),1,0)</f>
        <v/>
      </c>
      <c r="Z1715" s="36">
        <f>IF(AND(OR(sel_Region="All",C1715=sel_Region),OR(sel_Country="All",D1715=sel_Country),OR(sel_Channel="All",E1715=sel_Channel),OR(sel_Customer="All",F1715=sel_Customer),OR(sel_Category="All",G1715=sel_Category),AND(S1715&gt;=m_From,S1715&lt;=m_To)),1,0)</f>
        <v/>
      </c>
      <c r="AA1715" s="36">
        <f>IF(AND(OR(sel_Region="All",C1715=sel_Region),OR(sel_Country="All",D1715=sel_Country),OR(sel_Channel="All",E1715=sel_Channel),OR(sel_Customer="All",F1715=sel_Customer),OR(sel_Category="All",G1715=sel_Category),OR(sel_Product="All",H1715=sel_Product)),1,0)</f>
        <v/>
      </c>
    </row>
    <row r="1716">
      <c r="A1716" s="36" t="inlineStr">
        <is>
          <t>00862</t>
        </is>
      </c>
      <c r="B1716" s="44" t="n">
        <v>46256</v>
      </c>
      <c r="C1716" s="36" t="inlineStr">
        <is>
          <t>Southern Europe</t>
        </is>
      </c>
      <c r="D1716" s="36" t="inlineStr">
        <is>
          <t>Portugal</t>
        </is>
      </c>
      <c r="E1716" s="36" t="inlineStr">
        <is>
          <t>Online Store</t>
        </is>
      </c>
      <c r="F1716" s="36" t="inlineStr">
        <is>
          <t>Returning</t>
        </is>
      </c>
      <c r="G1716" s="36" t="inlineStr">
        <is>
          <t>Hiking</t>
        </is>
      </c>
      <c r="H1716" s="36" t="inlineStr">
        <is>
          <t>Hiking Daypack 20L</t>
        </is>
      </c>
      <c r="I1716" s="36" t="n">
        <v>1</v>
      </c>
      <c r="J1716" s="39" t="n">
        <v>93.55</v>
      </c>
      <c r="K1716" s="45" t="n">
        <v>0</v>
      </c>
      <c r="L1716" s="39" t="n">
        <v>44.89</v>
      </c>
      <c r="M1716" s="39">
        <f>I1716*J1716*(1-K1716)</f>
        <v/>
      </c>
      <c r="N1716" s="39">
        <f>I1716*L1716</f>
        <v/>
      </c>
      <c r="O1716" s="39">
        <f>M1716-N1716</f>
        <v/>
      </c>
      <c r="P1716" s="38">
        <f>IF(M1716=0,0,O1716/M1716)</f>
        <v/>
      </c>
      <c r="Q1716" s="36">
        <f>YEAR(B1716)</f>
        <v/>
      </c>
      <c r="R1716" s="36">
        <f>"Q"&amp;ROUNDUP(MONTH(B1716)/3,0)</f>
        <v/>
      </c>
      <c r="S1716" s="36">
        <f>MONTH(B1716)</f>
        <v/>
      </c>
      <c r="T1716" s="36">
        <f>TEXT(B1716,"mmm")</f>
        <v/>
      </c>
      <c r="U1716" s="36">
        <f>IF(AND(OR(sel_Region="All",C1716=sel_Region),OR(sel_Country="All",D1716=sel_Country),OR(sel_Channel="All",E1716=sel_Channel),OR(sel_Customer="All",F1716=sel_Customer),OR(sel_Category="All",G1716=sel_Category),OR(sel_Product="All",H1716=sel_Product),AND(S1716&gt;=m_From,S1716&lt;=m_To)),1,0)</f>
        <v/>
      </c>
      <c r="V1716" s="36">
        <f>IF(AND(OR(sel_Region="All",C1716=sel_Region),OR(sel_Channel="All",E1716=sel_Channel),OR(sel_Customer="All",F1716=sel_Customer),OR(sel_Category="All",G1716=sel_Category),OR(sel_Product="All",H1716=sel_Product),AND(S1716&gt;=m_From,S1716&lt;=m_To)),1,0)</f>
        <v/>
      </c>
      <c r="W1716" s="36">
        <f>IF(AND(OR(sel_Region="All",C1716=sel_Region),OR(sel_Country="All",D1716=sel_Country),OR(sel_Customer="All",F1716=sel_Customer),OR(sel_Category="All",G1716=sel_Category),OR(sel_Product="All",H1716=sel_Product),AND(S1716&gt;=m_From,S1716&lt;=m_To)),1,0)</f>
        <v/>
      </c>
      <c r="X1716" s="36">
        <f>IF(AND(OR(sel_Region="All",C1716=sel_Region),OR(sel_Country="All",D1716=sel_Country),OR(sel_Channel="All",E1716=sel_Channel),OR(sel_Category="All",G1716=sel_Category),OR(sel_Product="All",H1716=sel_Product),AND(S1716&gt;=m_From,S1716&lt;=m_To)),1,0)</f>
        <v/>
      </c>
      <c r="Y1716" s="36">
        <f>IF(AND(OR(sel_Region="All",C1716=sel_Region),OR(sel_Country="All",D1716=sel_Country),OR(sel_Channel="All",E1716=sel_Channel),OR(sel_Customer="All",F1716=sel_Customer),OR(sel_Product="All",H1716=sel_Product),AND(S1716&gt;=m_From,S1716&lt;=m_To)),1,0)</f>
        <v/>
      </c>
      <c r="Z1716" s="36">
        <f>IF(AND(OR(sel_Region="All",C1716=sel_Region),OR(sel_Country="All",D1716=sel_Country),OR(sel_Channel="All",E1716=sel_Channel),OR(sel_Customer="All",F1716=sel_Customer),OR(sel_Category="All",G1716=sel_Category),AND(S1716&gt;=m_From,S1716&lt;=m_To)),1,0)</f>
        <v/>
      </c>
      <c r="AA1716" s="36">
        <f>IF(AND(OR(sel_Region="All",C1716=sel_Region),OR(sel_Country="All",D1716=sel_Country),OR(sel_Channel="All",E1716=sel_Channel),OR(sel_Customer="All",F1716=sel_Customer),OR(sel_Category="All",G1716=sel_Category),OR(sel_Product="All",H1716=sel_Product)),1,0)</f>
        <v/>
      </c>
    </row>
    <row r="1717">
      <c r="A1717" s="36" t="inlineStr">
        <is>
          <t>00957</t>
        </is>
      </c>
      <c r="B1717" s="44" t="n">
        <v>46256</v>
      </c>
      <c r="C1717" s="36" t="inlineStr">
        <is>
          <t>Northern Europe</t>
        </is>
      </c>
      <c r="D1717" s="36" t="inlineStr">
        <is>
          <t>Sweden</t>
        </is>
      </c>
      <c r="E1717" s="36" t="inlineStr">
        <is>
          <t>Online Store</t>
        </is>
      </c>
      <c r="F1717" s="36" t="inlineStr">
        <is>
          <t>Returning</t>
        </is>
      </c>
      <c r="G1717" s="36" t="inlineStr">
        <is>
          <t>Hiking</t>
        </is>
      </c>
      <c r="H1717" s="36" t="inlineStr">
        <is>
          <t>Trail Boots</t>
        </is>
      </c>
      <c r="I1717" s="36" t="n">
        <v>2</v>
      </c>
      <c r="J1717" s="39" t="n">
        <v>146.85</v>
      </c>
      <c r="K1717" s="45" t="n">
        <v>0</v>
      </c>
      <c r="L1717" s="39" t="n">
        <v>81.01000000000001</v>
      </c>
      <c r="M1717" s="39">
        <f>I1717*J1717*(1-K1717)</f>
        <v/>
      </c>
      <c r="N1717" s="39">
        <f>I1717*L1717</f>
        <v/>
      </c>
      <c r="O1717" s="39">
        <f>M1717-N1717</f>
        <v/>
      </c>
      <c r="P1717" s="38">
        <f>IF(M1717=0,0,O1717/M1717)</f>
        <v/>
      </c>
      <c r="Q1717" s="36">
        <f>YEAR(B1717)</f>
        <v/>
      </c>
      <c r="R1717" s="36">
        <f>"Q"&amp;ROUNDUP(MONTH(B1717)/3,0)</f>
        <v/>
      </c>
      <c r="S1717" s="36">
        <f>MONTH(B1717)</f>
        <v/>
      </c>
      <c r="T1717" s="36">
        <f>TEXT(B1717,"mmm")</f>
        <v/>
      </c>
      <c r="U1717" s="36">
        <f>IF(AND(OR(sel_Region="All",C1717=sel_Region),OR(sel_Country="All",D1717=sel_Country),OR(sel_Channel="All",E1717=sel_Channel),OR(sel_Customer="All",F1717=sel_Customer),OR(sel_Category="All",G1717=sel_Category),OR(sel_Product="All",H1717=sel_Product),AND(S1717&gt;=m_From,S1717&lt;=m_To)),1,0)</f>
        <v/>
      </c>
      <c r="V1717" s="36">
        <f>IF(AND(OR(sel_Region="All",C1717=sel_Region),OR(sel_Channel="All",E1717=sel_Channel),OR(sel_Customer="All",F1717=sel_Customer),OR(sel_Category="All",G1717=sel_Category),OR(sel_Product="All",H1717=sel_Product),AND(S1717&gt;=m_From,S1717&lt;=m_To)),1,0)</f>
        <v/>
      </c>
      <c r="W1717" s="36">
        <f>IF(AND(OR(sel_Region="All",C1717=sel_Region),OR(sel_Country="All",D1717=sel_Country),OR(sel_Customer="All",F1717=sel_Customer),OR(sel_Category="All",G1717=sel_Category),OR(sel_Product="All",H1717=sel_Product),AND(S1717&gt;=m_From,S1717&lt;=m_To)),1,0)</f>
        <v/>
      </c>
      <c r="X1717" s="36">
        <f>IF(AND(OR(sel_Region="All",C1717=sel_Region),OR(sel_Country="All",D1717=sel_Country),OR(sel_Channel="All",E1717=sel_Channel),OR(sel_Category="All",G1717=sel_Category),OR(sel_Product="All",H1717=sel_Product),AND(S1717&gt;=m_From,S1717&lt;=m_To)),1,0)</f>
        <v/>
      </c>
      <c r="Y1717" s="36">
        <f>IF(AND(OR(sel_Region="All",C1717=sel_Region),OR(sel_Country="All",D1717=sel_Country),OR(sel_Channel="All",E1717=sel_Channel),OR(sel_Customer="All",F1717=sel_Customer),OR(sel_Product="All",H1717=sel_Product),AND(S1717&gt;=m_From,S1717&lt;=m_To)),1,0)</f>
        <v/>
      </c>
      <c r="Z1717" s="36">
        <f>IF(AND(OR(sel_Region="All",C1717=sel_Region),OR(sel_Country="All",D1717=sel_Country),OR(sel_Channel="All",E1717=sel_Channel),OR(sel_Customer="All",F1717=sel_Customer),OR(sel_Category="All",G1717=sel_Category),AND(S1717&gt;=m_From,S1717&lt;=m_To)),1,0)</f>
        <v/>
      </c>
      <c r="AA1717" s="36">
        <f>IF(AND(OR(sel_Region="All",C1717=sel_Region),OR(sel_Country="All",D1717=sel_Country),OR(sel_Channel="All",E1717=sel_Channel),OR(sel_Customer="All",F1717=sel_Customer),OR(sel_Category="All",G1717=sel_Category),OR(sel_Product="All",H1717=sel_Product)),1,0)</f>
        <v/>
      </c>
    </row>
    <row r="1718">
      <c r="A1718" s="36" t="inlineStr">
        <is>
          <t>01728</t>
        </is>
      </c>
      <c r="B1718" s="44" t="n">
        <v>46256</v>
      </c>
      <c r="C1718" s="36" t="inlineStr">
        <is>
          <t>Southern Europe</t>
        </is>
      </c>
      <c r="D1718" s="36" t="inlineStr">
        <is>
          <t>Portugal</t>
        </is>
      </c>
      <c r="E1718" s="36" t="inlineStr">
        <is>
          <t>Corporate</t>
        </is>
      </c>
      <c r="F1718" s="36" t="inlineStr">
        <is>
          <t>Business</t>
        </is>
      </c>
      <c r="G1718" s="36" t="inlineStr">
        <is>
          <t>Cycling</t>
        </is>
      </c>
      <c r="H1718" s="36" t="inlineStr">
        <is>
          <t>Cycling Pack 12L</t>
        </is>
      </c>
      <c r="I1718" s="36" t="n">
        <v>6</v>
      </c>
      <c r="J1718" s="39" t="n">
        <v>101.54</v>
      </c>
      <c r="K1718" s="45" t="n">
        <v>0.1</v>
      </c>
      <c r="L1718" s="39" t="n">
        <v>50</v>
      </c>
      <c r="M1718" s="39">
        <f>I1718*J1718*(1-K1718)</f>
        <v/>
      </c>
      <c r="N1718" s="39">
        <f>I1718*L1718</f>
        <v/>
      </c>
      <c r="O1718" s="39">
        <f>M1718-N1718</f>
        <v/>
      </c>
      <c r="P1718" s="38">
        <f>IF(M1718=0,0,O1718/M1718)</f>
        <v/>
      </c>
      <c r="Q1718" s="36">
        <f>YEAR(B1718)</f>
        <v/>
      </c>
      <c r="R1718" s="36">
        <f>"Q"&amp;ROUNDUP(MONTH(B1718)/3,0)</f>
        <v/>
      </c>
      <c r="S1718" s="36">
        <f>MONTH(B1718)</f>
        <v/>
      </c>
      <c r="T1718" s="36">
        <f>TEXT(B1718,"mmm")</f>
        <v/>
      </c>
      <c r="U1718" s="36">
        <f>IF(AND(OR(sel_Region="All",C1718=sel_Region),OR(sel_Country="All",D1718=sel_Country),OR(sel_Channel="All",E1718=sel_Channel),OR(sel_Customer="All",F1718=sel_Customer),OR(sel_Category="All",G1718=sel_Category),OR(sel_Product="All",H1718=sel_Product),AND(S1718&gt;=m_From,S1718&lt;=m_To)),1,0)</f>
        <v/>
      </c>
      <c r="V1718" s="36">
        <f>IF(AND(OR(sel_Region="All",C1718=sel_Region),OR(sel_Channel="All",E1718=sel_Channel),OR(sel_Customer="All",F1718=sel_Customer),OR(sel_Category="All",G1718=sel_Category),OR(sel_Product="All",H1718=sel_Product),AND(S1718&gt;=m_From,S1718&lt;=m_To)),1,0)</f>
        <v/>
      </c>
      <c r="W1718" s="36">
        <f>IF(AND(OR(sel_Region="All",C1718=sel_Region),OR(sel_Country="All",D1718=sel_Country),OR(sel_Customer="All",F1718=sel_Customer),OR(sel_Category="All",G1718=sel_Category),OR(sel_Product="All",H1718=sel_Product),AND(S1718&gt;=m_From,S1718&lt;=m_To)),1,0)</f>
        <v/>
      </c>
      <c r="X1718" s="36">
        <f>IF(AND(OR(sel_Region="All",C1718=sel_Region),OR(sel_Country="All",D1718=sel_Country),OR(sel_Channel="All",E1718=sel_Channel),OR(sel_Category="All",G1718=sel_Category),OR(sel_Product="All",H1718=sel_Product),AND(S1718&gt;=m_From,S1718&lt;=m_To)),1,0)</f>
        <v/>
      </c>
      <c r="Y1718" s="36">
        <f>IF(AND(OR(sel_Region="All",C1718=sel_Region),OR(sel_Country="All",D1718=sel_Country),OR(sel_Channel="All",E1718=sel_Channel),OR(sel_Customer="All",F1718=sel_Customer),OR(sel_Product="All",H1718=sel_Product),AND(S1718&gt;=m_From,S1718&lt;=m_To)),1,0)</f>
        <v/>
      </c>
      <c r="Z1718" s="36">
        <f>IF(AND(OR(sel_Region="All",C1718=sel_Region),OR(sel_Country="All",D1718=sel_Country),OR(sel_Channel="All",E1718=sel_Channel),OR(sel_Customer="All",F1718=sel_Customer),OR(sel_Category="All",G1718=sel_Category),AND(S1718&gt;=m_From,S1718&lt;=m_To)),1,0)</f>
        <v/>
      </c>
      <c r="AA1718" s="36">
        <f>IF(AND(OR(sel_Region="All",C1718=sel_Region),OR(sel_Country="All",D1718=sel_Country),OR(sel_Channel="All",E1718=sel_Channel),OR(sel_Customer="All",F1718=sel_Customer),OR(sel_Category="All",G1718=sel_Category),OR(sel_Product="All",H1718=sel_Product)),1,0)</f>
        <v/>
      </c>
    </row>
    <row r="1719">
      <c r="A1719" s="36" t="inlineStr">
        <is>
          <t>02743</t>
        </is>
      </c>
      <c r="B1719" s="44" t="n">
        <v>46256</v>
      </c>
      <c r="C1719" s="36" t="inlineStr">
        <is>
          <t>Western Europe</t>
        </is>
      </c>
      <c r="D1719" s="36" t="inlineStr">
        <is>
          <t>Netherlands</t>
        </is>
      </c>
      <c r="E1719" s="36" t="inlineStr">
        <is>
          <t>Online Store</t>
        </is>
      </c>
      <c r="F1719" s="36" t="inlineStr">
        <is>
          <t>Business</t>
        </is>
      </c>
      <c r="G1719" s="36" t="inlineStr">
        <is>
          <t>Fitness</t>
        </is>
      </c>
      <c r="H1719" s="36" t="inlineStr">
        <is>
          <t>Weighted Vest</t>
        </is>
      </c>
      <c r="I1719" s="36" t="n">
        <v>1</v>
      </c>
      <c r="J1719" s="39" t="n">
        <v>125.14</v>
      </c>
      <c r="K1719" s="45" t="n">
        <v>0</v>
      </c>
      <c r="L1719" s="39" t="n">
        <v>69.44</v>
      </c>
      <c r="M1719" s="39">
        <f>I1719*J1719*(1-K1719)</f>
        <v/>
      </c>
      <c r="N1719" s="39">
        <f>I1719*L1719</f>
        <v/>
      </c>
      <c r="O1719" s="39">
        <f>M1719-N1719</f>
        <v/>
      </c>
      <c r="P1719" s="38">
        <f>IF(M1719=0,0,O1719/M1719)</f>
        <v/>
      </c>
      <c r="Q1719" s="36">
        <f>YEAR(B1719)</f>
        <v/>
      </c>
      <c r="R1719" s="36">
        <f>"Q"&amp;ROUNDUP(MONTH(B1719)/3,0)</f>
        <v/>
      </c>
      <c r="S1719" s="36">
        <f>MONTH(B1719)</f>
        <v/>
      </c>
      <c r="T1719" s="36">
        <f>TEXT(B1719,"mmm")</f>
        <v/>
      </c>
      <c r="U1719" s="36">
        <f>IF(AND(OR(sel_Region="All",C1719=sel_Region),OR(sel_Country="All",D1719=sel_Country),OR(sel_Channel="All",E1719=sel_Channel),OR(sel_Customer="All",F1719=sel_Customer),OR(sel_Category="All",G1719=sel_Category),OR(sel_Product="All",H1719=sel_Product),AND(S1719&gt;=m_From,S1719&lt;=m_To)),1,0)</f>
        <v/>
      </c>
      <c r="V1719" s="36">
        <f>IF(AND(OR(sel_Region="All",C1719=sel_Region),OR(sel_Channel="All",E1719=sel_Channel),OR(sel_Customer="All",F1719=sel_Customer),OR(sel_Category="All",G1719=sel_Category),OR(sel_Product="All",H1719=sel_Product),AND(S1719&gt;=m_From,S1719&lt;=m_To)),1,0)</f>
        <v/>
      </c>
      <c r="W1719" s="36">
        <f>IF(AND(OR(sel_Region="All",C1719=sel_Region),OR(sel_Country="All",D1719=sel_Country),OR(sel_Customer="All",F1719=sel_Customer),OR(sel_Category="All",G1719=sel_Category),OR(sel_Product="All",H1719=sel_Product),AND(S1719&gt;=m_From,S1719&lt;=m_To)),1,0)</f>
        <v/>
      </c>
      <c r="X1719" s="36">
        <f>IF(AND(OR(sel_Region="All",C1719=sel_Region),OR(sel_Country="All",D1719=sel_Country),OR(sel_Channel="All",E1719=sel_Channel),OR(sel_Category="All",G1719=sel_Category),OR(sel_Product="All",H1719=sel_Product),AND(S1719&gt;=m_From,S1719&lt;=m_To)),1,0)</f>
        <v/>
      </c>
      <c r="Y1719" s="36">
        <f>IF(AND(OR(sel_Region="All",C1719=sel_Region),OR(sel_Country="All",D1719=sel_Country),OR(sel_Channel="All",E1719=sel_Channel),OR(sel_Customer="All",F1719=sel_Customer),OR(sel_Product="All",H1719=sel_Product),AND(S1719&gt;=m_From,S1719&lt;=m_To)),1,0)</f>
        <v/>
      </c>
      <c r="Z1719" s="36">
        <f>IF(AND(OR(sel_Region="All",C1719=sel_Region),OR(sel_Country="All",D1719=sel_Country),OR(sel_Channel="All",E1719=sel_Channel),OR(sel_Customer="All",F1719=sel_Customer),OR(sel_Category="All",G1719=sel_Category),AND(S1719&gt;=m_From,S1719&lt;=m_To)),1,0)</f>
        <v/>
      </c>
      <c r="AA1719" s="36">
        <f>IF(AND(OR(sel_Region="All",C1719=sel_Region),OR(sel_Country="All",D1719=sel_Country),OR(sel_Channel="All",E1719=sel_Channel),OR(sel_Customer="All",F1719=sel_Customer),OR(sel_Category="All",G1719=sel_Category),OR(sel_Product="All",H1719=sel_Product)),1,0)</f>
        <v/>
      </c>
    </row>
    <row r="1720">
      <c r="A1720" s="36" t="inlineStr">
        <is>
          <t>03098</t>
        </is>
      </c>
      <c r="B1720" s="44" t="n">
        <v>46256</v>
      </c>
      <c r="C1720" s="36" t="inlineStr">
        <is>
          <t>Central Europe</t>
        </is>
      </c>
      <c r="D1720" s="36" t="inlineStr">
        <is>
          <t>Austria</t>
        </is>
      </c>
      <c r="E1720" s="36" t="inlineStr">
        <is>
          <t>Online Store</t>
        </is>
      </c>
      <c r="F1720" s="36" t="inlineStr">
        <is>
          <t>New</t>
        </is>
      </c>
      <c r="G1720" s="36" t="inlineStr">
        <is>
          <t>Cycling</t>
        </is>
      </c>
      <c r="H1720" s="36" t="inlineStr">
        <is>
          <t>Commuter Helmet</t>
        </is>
      </c>
      <c r="I1720" s="36" t="n">
        <v>2</v>
      </c>
      <c r="J1720" s="39" t="n">
        <v>80.23999999999999</v>
      </c>
      <c r="K1720" s="45" t="n">
        <v>0.1</v>
      </c>
      <c r="L1720" s="39" t="n">
        <v>42.09</v>
      </c>
      <c r="M1720" s="39">
        <f>I1720*J1720*(1-K1720)</f>
        <v/>
      </c>
      <c r="N1720" s="39">
        <f>I1720*L1720</f>
        <v/>
      </c>
      <c r="O1720" s="39">
        <f>M1720-N1720</f>
        <v/>
      </c>
      <c r="P1720" s="38">
        <f>IF(M1720=0,0,O1720/M1720)</f>
        <v/>
      </c>
      <c r="Q1720" s="36">
        <f>YEAR(B1720)</f>
        <v/>
      </c>
      <c r="R1720" s="36">
        <f>"Q"&amp;ROUNDUP(MONTH(B1720)/3,0)</f>
        <v/>
      </c>
      <c r="S1720" s="36">
        <f>MONTH(B1720)</f>
        <v/>
      </c>
      <c r="T1720" s="36">
        <f>TEXT(B1720,"mmm")</f>
        <v/>
      </c>
      <c r="U1720" s="36">
        <f>IF(AND(OR(sel_Region="All",C1720=sel_Region),OR(sel_Country="All",D1720=sel_Country),OR(sel_Channel="All",E1720=sel_Channel),OR(sel_Customer="All",F1720=sel_Customer),OR(sel_Category="All",G1720=sel_Category),OR(sel_Product="All",H1720=sel_Product),AND(S1720&gt;=m_From,S1720&lt;=m_To)),1,0)</f>
        <v/>
      </c>
      <c r="V1720" s="36">
        <f>IF(AND(OR(sel_Region="All",C1720=sel_Region),OR(sel_Channel="All",E1720=sel_Channel),OR(sel_Customer="All",F1720=sel_Customer),OR(sel_Category="All",G1720=sel_Category),OR(sel_Product="All",H1720=sel_Product),AND(S1720&gt;=m_From,S1720&lt;=m_To)),1,0)</f>
        <v/>
      </c>
      <c r="W1720" s="36">
        <f>IF(AND(OR(sel_Region="All",C1720=sel_Region),OR(sel_Country="All",D1720=sel_Country),OR(sel_Customer="All",F1720=sel_Customer),OR(sel_Category="All",G1720=sel_Category),OR(sel_Product="All",H1720=sel_Product),AND(S1720&gt;=m_From,S1720&lt;=m_To)),1,0)</f>
        <v/>
      </c>
      <c r="X1720" s="36">
        <f>IF(AND(OR(sel_Region="All",C1720=sel_Region),OR(sel_Country="All",D1720=sel_Country),OR(sel_Channel="All",E1720=sel_Channel),OR(sel_Category="All",G1720=sel_Category),OR(sel_Product="All",H1720=sel_Product),AND(S1720&gt;=m_From,S1720&lt;=m_To)),1,0)</f>
        <v/>
      </c>
      <c r="Y1720" s="36">
        <f>IF(AND(OR(sel_Region="All",C1720=sel_Region),OR(sel_Country="All",D1720=sel_Country),OR(sel_Channel="All",E1720=sel_Channel),OR(sel_Customer="All",F1720=sel_Customer),OR(sel_Product="All",H1720=sel_Product),AND(S1720&gt;=m_From,S1720&lt;=m_To)),1,0)</f>
        <v/>
      </c>
      <c r="Z1720" s="36">
        <f>IF(AND(OR(sel_Region="All",C1720=sel_Region),OR(sel_Country="All",D1720=sel_Country),OR(sel_Channel="All",E1720=sel_Channel),OR(sel_Customer="All",F1720=sel_Customer),OR(sel_Category="All",G1720=sel_Category),AND(S1720&gt;=m_From,S1720&lt;=m_To)),1,0)</f>
        <v/>
      </c>
      <c r="AA1720" s="36">
        <f>IF(AND(OR(sel_Region="All",C1720=sel_Region),OR(sel_Country="All",D1720=sel_Country),OR(sel_Channel="All",E1720=sel_Channel),OR(sel_Customer="All",F1720=sel_Customer),OR(sel_Category="All",G1720=sel_Category),OR(sel_Product="All",H1720=sel_Product)),1,0)</f>
        <v/>
      </c>
    </row>
    <row r="1721">
      <c r="A1721" s="36" t="inlineStr">
        <is>
          <t>03606</t>
        </is>
      </c>
      <c r="B1721" s="44" t="n">
        <v>46256</v>
      </c>
      <c r="C1721" s="36" t="inlineStr">
        <is>
          <t>Western Europe</t>
        </is>
      </c>
      <c r="D1721" s="36" t="inlineStr">
        <is>
          <t>Belgium</t>
        </is>
      </c>
      <c r="E1721" s="36" t="inlineStr">
        <is>
          <t>Online Store</t>
        </is>
      </c>
      <c r="F1721" s="36" t="inlineStr">
        <is>
          <t>Business</t>
        </is>
      </c>
      <c r="G1721" s="36" t="inlineStr">
        <is>
          <t>Hiking</t>
        </is>
      </c>
      <c r="H1721" s="36" t="inlineStr">
        <is>
          <t>Trail Boots</t>
        </is>
      </c>
      <c r="I1721" s="36" t="n">
        <v>1</v>
      </c>
      <c r="J1721" s="39" t="n">
        <v>147.24</v>
      </c>
      <c r="K1721" s="45" t="n">
        <v>0</v>
      </c>
      <c r="L1721" s="39" t="n">
        <v>79.11</v>
      </c>
      <c r="M1721" s="39">
        <f>I1721*J1721*(1-K1721)</f>
        <v/>
      </c>
      <c r="N1721" s="39">
        <f>I1721*L1721</f>
        <v/>
      </c>
      <c r="O1721" s="39">
        <f>M1721-N1721</f>
        <v/>
      </c>
      <c r="P1721" s="38">
        <f>IF(M1721=0,0,O1721/M1721)</f>
        <v/>
      </c>
      <c r="Q1721" s="36">
        <f>YEAR(B1721)</f>
        <v/>
      </c>
      <c r="R1721" s="36">
        <f>"Q"&amp;ROUNDUP(MONTH(B1721)/3,0)</f>
        <v/>
      </c>
      <c r="S1721" s="36">
        <f>MONTH(B1721)</f>
        <v/>
      </c>
      <c r="T1721" s="36">
        <f>TEXT(B1721,"mmm")</f>
        <v/>
      </c>
      <c r="U1721" s="36">
        <f>IF(AND(OR(sel_Region="All",C1721=sel_Region),OR(sel_Country="All",D1721=sel_Country),OR(sel_Channel="All",E1721=sel_Channel),OR(sel_Customer="All",F1721=sel_Customer),OR(sel_Category="All",G1721=sel_Category),OR(sel_Product="All",H1721=sel_Product),AND(S1721&gt;=m_From,S1721&lt;=m_To)),1,0)</f>
        <v/>
      </c>
      <c r="V1721" s="36">
        <f>IF(AND(OR(sel_Region="All",C1721=sel_Region),OR(sel_Channel="All",E1721=sel_Channel),OR(sel_Customer="All",F1721=sel_Customer),OR(sel_Category="All",G1721=sel_Category),OR(sel_Product="All",H1721=sel_Product),AND(S1721&gt;=m_From,S1721&lt;=m_To)),1,0)</f>
        <v/>
      </c>
      <c r="W1721" s="36">
        <f>IF(AND(OR(sel_Region="All",C1721=sel_Region),OR(sel_Country="All",D1721=sel_Country),OR(sel_Customer="All",F1721=sel_Customer),OR(sel_Category="All",G1721=sel_Category),OR(sel_Product="All",H1721=sel_Product),AND(S1721&gt;=m_From,S1721&lt;=m_To)),1,0)</f>
        <v/>
      </c>
      <c r="X1721" s="36">
        <f>IF(AND(OR(sel_Region="All",C1721=sel_Region),OR(sel_Country="All",D1721=sel_Country),OR(sel_Channel="All",E1721=sel_Channel),OR(sel_Category="All",G1721=sel_Category),OR(sel_Product="All",H1721=sel_Product),AND(S1721&gt;=m_From,S1721&lt;=m_To)),1,0)</f>
        <v/>
      </c>
      <c r="Y1721" s="36">
        <f>IF(AND(OR(sel_Region="All",C1721=sel_Region),OR(sel_Country="All",D1721=sel_Country),OR(sel_Channel="All",E1721=sel_Channel),OR(sel_Customer="All",F1721=sel_Customer),OR(sel_Product="All",H1721=sel_Product),AND(S1721&gt;=m_From,S1721&lt;=m_To)),1,0)</f>
        <v/>
      </c>
      <c r="Z1721" s="36">
        <f>IF(AND(OR(sel_Region="All",C1721=sel_Region),OR(sel_Country="All",D1721=sel_Country),OR(sel_Channel="All",E1721=sel_Channel),OR(sel_Customer="All",F1721=sel_Customer),OR(sel_Category="All",G1721=sel_Category),AND(S1721&gt;=m_From,S1721&lt;=m_To)),1,0)</f>
        <v/>
      </c>
      <c r="AA1721" s="36">
        <f>IF(AND(OR(sel_Region="All",C1721=sel_Region),OR(sel_Country="All",D1721=sel_Country),OR(sel_Channel="All",E1721=sel_Channel),OR(sel_Customer="All",F1721=sel_Customer),OR(sel_Category="All",G1721=sel_Category),OR(sel_Product="All",H1721=sel_Product)),1,0)</f>
        <v/>
      </c>
    </row>
    <row r="1722">
      <c r="A1722" s="36" t="inlineStr">
        <is>
          <t>03815</t>
        </is>
      </c>
      <c r="B1722" s="44" t="n">
        <v>46256</v>
      </c>
      <c r="C1722" s="36" t="inlineStr">
        <is>
          <t>Northern Europe</t>
        </is>
      </c>
      <c r="D1722" s="36" t="inlineStr">
        <is>
          <t>Sweden</t>
        </is>
      </c>
      <c r="E1722" s="36" t="inlineStr">
        <is>
          <t>Online Store</t>
        </is>
      </c>
      <c r="F1722" s="36" t="inlineStr">
        <is>
          <t>Returning</t>
        </is>
      </c>
      <c r="G1722" s="36" t="inlineStr">
        <is>
          <t>Camping</t>
        </is>
      </c>
      <c r="H1722" s="36" t="inlineStr">
        <is>
          <t>Trail Tent 2P</t>
        </is>
      </c>
      <c r="I1722" s="36" t="n">
        <v>2</v>
      </c>
      <c r="J1722" s="39" t="n">
        <v>199.53</v>
      </c>
      <c r="K1722" s="45" t="n">
        <v>0.05</v>
      </c>
      <c r="L1722" s="39" t="n">
        <v>105.87</v>
      </c>
      <c r="M1722" s="39">
        <f>I1722*J1722*(1-K1722)</f>
        <v/>
      </c>
      <c r="N1722" s="39">
        <f>I1722*L1722</f>
        <v/>
      </c>
      <c r="O1722" s="39">
        <f>M1722-N1722</f>
        <v/>
      </c>
      <c r="P1722" s="38">
        <f>IF(M1722=0,0,O1722/M1722)</f>
        <v/>
      </c>
      <c r="Q1722" s="36">
        <f>YEAR(B1722)</f>
        <v/>
      </c>
      <c r="R1722" s="36">
        <f>"Q"&amp;ROUNDUP(MONTH(B1722)/3,0)</f>
        <v/>
      </c>
      <c r="S1722" s="36">
        <f>MONTH(B1722)</f>
        <v/>
      </c>
      <c r="T1722" s="36">
        <f>TEXT(B1722,"mmm")</f>
        <v/>
      </c>
      <c r="U1722" s="36">
        <f>IF(AND(OR(sel_Region="All",C1722=sel_Region),OR(sel_Country="All",D1722=sel_Country),OR(sel_Channel="All",E1722=sel_Channel),OR(sel_Customer="All",F1722=sel_Customer),OR(sel_Category="All",G1722=sel_Category),OR(sel_Product="All",H1722=sel_Product),AND(S1722&gt;=m_From,S1722&lt;=m_To)),1,0)</f>
        <v/>
      </c>
      <c r="V1722" s="36">
        <f>IF(AND(OR(sel_Region="All",C1722=sel_Region),OR(sel_Channel="All",E1722=sel_Channel),OR(sel_Customer="All",F1722=sel_Customer),OR(sel_Category="All",G1722=sel_Category),OR(sel_Product="All",H1722=sel_Product),AND(S1722&gt;=m_From,S1722&lt;=m_To)),1,0)</f>
        <v/>
      </c>
      <c r="W1722" s="36">
        <f>IF(AND(OR(sel_Region="All",C1722=sel_Region),OR(sel_Country="All",D1722=sel_Country),OR(sel_Customer="All",F1722=sel_Customer),OR(sel_Category="All",G1722=sel_Category),OR(sel_Product="All",H1722=sel_Product),AND(S1722&gt;=m_From,S1722&lt;=m_To)),1,0)</f>
        <v/>
      </c>
      <c r="X1722" s="36">
        <f>IF(AND(OR(sel_Region="All",C1722=sel_Region),OR(sel_Country="All",D1722=sel_Country),OR(sel_Channel="All",E1722=sel_Channel),OR(sel_Category="All",G1722=sel_Category),OR(sel_Product="All",H1722=sel_Product),AND(S1722&gt;=m_From,S1722&lt;=m_To)),1,0)</f>
        <v/>
      </c>
      <c r="Y1722" s="36">
        <f>IF(AND(OR(sel_Region="All",C1722=sel_Region),OR(sel_Country="All",D1722=sel_Country),OR(sel_Channel="All",E1722=sel_Channel),OR(sel_Customer="All",F1722=sel_Customer),OR(sel_Product="All",H1722=sel_Product),AND(S1722&gt;=m_From,S1722&lt;=m_To)),1,0)</f>
        <v/>
      </c>
      <c r="Z1722" s="36">
        <f>IF(AND(OR(sel_Region="All",C1722=sel_Region),OR(sel_Country="All",D1722=sel_Country),OR(sel_Channel="All",E1722=sel_Channel),OR(sel_Customer="All",F1722=sel_Customer),OR(sel_Category="All",G1722=sel_Category),AND(S1722&gt;=m_From,S1722&lt;=m_To)),1,0)</f>
        <v/>
      </c>
      <c r="AA1722" s="36">
        <f>IF(AND(OR(sel_Region="All",C1722=sel_Region),OR(sel_Country="All",D1722=sel_Country),OR(sel_Channel="All",E1722=sel_Channel),OR(sel_Customer="All",F1722=sel_Customer),OR(sel_Category="All",G1722=sel_Category),OR(sel_Product="All",H1722=sel_Product)),1,0)</f>
        <v/>
      </c>
    </row>
    <row r="1723">
      <c r="A1723" s="36" t="inlineStr">
        <is>
          <t>03979</t>
        </is>
      </c>
      <c r="B1723" s="44" t="n">
        <v>46256</v>
      </c>
      <c r="C1723" s="36" t="inlineStr">
        <is>
          <t>Northern Europe</t>
        </is>
      </c>
      <c r="D1723" s="36" t="inlineStr">
        <is>
          <t>Denmark</t>
        </is>
      </c>
      <c r="E1723" s="36" t="inlineStr">
        <is>
          <t>Online Store</t>
        </is>
      </c>
      <c r="F1723" s="36" t="inlineStr">
        <is>
          <t>Business</t>
        </is>
      </c>
      <c r="G1723" s="36" t="inlineStr">
        <is>
          <t>Fitness</t>
        </is>
      </c>
      <c r="H1723" s="36" t="inlineStr">
        <is>
          <t>Resistance Band Set</t>
        </is>
      </c>
      <c r="I1723" s="36" t="n">
        <v>1</v>
      </c>
      <c r="J1723" s="39" t="n">
        <v>40.19</v>
      </c>
      <c r="K1723" s="45" t="n">
        <v>0.05</v>
      </c>
      <c r="L1723" s="39" t="n">
        <v>14.73</v>
      </c>
      <c r="M1723" s="39">
        <f>I1723*J1723*(1-K1723)</f>
        <v/>
      </c>
      <c r="N1723" s="39">
        <f>I1723*L1723</f>
        <v/>
      </c>
      <c r="O1723" s="39">
        <f>M1723-N1723</f>
        <v/>
      </c>
      <c r="P1723" s="38">
        <f>IF(M1723=0,0,O1723/M1723)</f>
        <v/>
      </c>
      <c r="Q1723" s="36">
        <f>YEAR(B1723)</f>
        <v/>
      </c>
      <c r="R1723" s="36">
        <f>"Q"&amp;ROUNDUP(MONTH(B1723)/3,0)</f>
        <v/>
      </c>
      <c r="S1723" s="36">
        <f>MONTH(B1723)</f>
        <v/>
      </c>
      <c r="T1723" s="36">
        <f>TEXT(B1723,"mmm")</f>
        <v/>
      </c>
      <c r="U1723" s="36">
        <f>IF(AND(OR(sel_Region="All",C1723=sel_Region),OR(sel_Country="All",D1723=sel_Country),OR(sel_Channel="All",E1723=sel_Channel),OR(sel_Customer="All",F1723=sel_Customer),OR(sel_Category="All",G1723=sel_Category),OR(sel_Product="All",H1723=sel_Product),AND(S1723&gt;=m_From,S1723&lt;=m_To)),1,0)</f>
        <v/>
      </c>
      <c r="V1723" s="36">
        <f>IF(AND(OR(sel_Region="All",C1723=sel_Region),OR(sel_Channel="All",E1723=sel_Channel),OR(sel_Customer="All",F1723=sel_Customer),OR(sel_Category="All",G1723=sel_Category),OR(sel_Product="All",H1723=sel_Product),AND(S1723&gt;=m_From,S1723&lt;=m_To)),1,0)</f>
        <v/>
      </c>
      <c r="W1723" s="36">
        <f>IF(AND(OR(sel_Region="All",C1723=sel_Region),OR(sel_Country="All",D1723=sel_Country),OR(sel_Customer="All",F1723=sel_Customer),OR(sel_Category="All",G1723=sel_Category),OR(sel_Product="All",H1723=sel_Product),AND(S1723&gt;=m_From,S1723&lt;=m_To)),1,0)</f>
        <v/>
      </c>
      <c r="X1723" s="36">
        <f>IF(AND(OR(sel_Region="All",C1723=sel_Region),OR(sel_Country="All",D1723=sel_Country),OR(sel_Channel="All",E1723=sel_Channel),OR(sel_Category="All",G1723=sel_Category),OR(sel_Product="All",H1723=sel_Product),AND(S1723&gt;=m_From,S1723&lt;=m_To)),1,0)</f>
        <v/>
      </c>
      <c r="Y1723" s="36">
        <f>IF(AND(OR(sel_Region="All",C1723=sel_Region),OR(sel_Country="All",D1723=sel_Country),OR(sel_Channel="All",E1723=sel_Channel),OR(sel_Customer="All",F1723=sel_Customer),OR(sel_Product="All",H1723=sel_Product),AND(S1723&gt;=m_From,S1723&lt;=m_To)),1,0)</f>
        <v/>
      </c>
      <c r="Z1723" s="36">
        <f>IF(AND(OR(sel_Region="All",C1723=sel_Region),OR(sel_Country="All",D1723=sel_Country),OR(sel_Channel="All",E1723=sel_Channel),OR(sel_Customer="All",F1723=sel_Customer),OR(sel_Category="All",G1723=sel_Category),AND(S1723&gt;=m_From,S1723&lt;=m_To)),1,0)</f>
        <v/>
      </c>
      <c r="AA1723" s="36">
        <f>IF(AND(OR(sel_Region="All",C1723=sel_Region),OR(sel_Country="All",D1723=sel_Country),OR(sel_Channel="All",E1723=sel_Channel),OR(sel_Customer="All",F1723=sel_Customer),OR(sel_Category="All",G1723=sel_Category),OR(sel_Product="All",H1723=sel_Product)),1,0)</f>
        <v/>
      </c>
    </row>
    <row r="1724">
      <c r="A1724" s="36" t="inlineStr">
        <is>
          <t>04160</t>
        </is>
      </c>
      <c r="B1724" s="44" t="n">
        <v>46256</v>
      </c>
      <c r="C1724" s="36" t="inlineStr">
        <is>
          <t>Western Europe</t>
        </is>
      </c>
      <c r="D1724" s="36" t="inlineStr">
        <is>
          <t>Netherlands</t>
        </is>
      </c>
      <c r="E1724" s="36" t="inlineStr">
        <is>
          <t>Marketplace</t>
        </is>
      </c>
      <c r="F1724" s="36" t="inlineStr">
        <is>
          <t>Business</t>
        </is>
      </c>
      <c r="G1724" s="36" t="inlineStr">
        <is>
          <t>Fitness</t>
        </is>
      </c>
      <c r="H1724" s="36" t="inlineStr">
        <is>
          <t>Weighted Vest</t>
        </is>
      </c>
      <c r="I1724" s="36" t="n">
        <v>4</v>
      </c>
      <c r="J1724" s="39" t="n">
        <v>123.31</v>
      </c>
      <c r="K1724" s="45" t="n">
        <v>0</v>
      </c>
      <c r="L1724" s="39" t="n">
        <v>69.02</v>
      </c>
      <c r="M1724" s="39">
        <f>I1724*J1724*(1-K1724)</f>
        <v/>
      </c>
      <c r="N1724" s="39">
        <f>I1724*L1724</f>
        <v/>
      </c>
      <c r="O1724" s="39">
        <f>M1724-N1724</f>
        <v/>
      </c>
      <c r="P1724" s="38">
        <f>IF(M1724=0,0,O1724/M1724)</f>
        <v/>
      </c>
      <c r="Q1724" s="36">
        <f>YEAR(B1724)</f>
        <v/>
      </c>
      <c r="R1724" s="36">
        <f>"Q"&amp;ROUNDUP(MONTH(B1724)/3,0)</f>
        <v/>
      </c>
      <c r="S1724" s="36">
        <f>MONTH(B1724)</f>
        <v/>
      </c>
      <c r="T1724" s="36">
        <f>TEXT(B1724,"mmm")</f>
        <v/>
      </c>
      <c r="U1724" s="36">
        <f>IF(AND(OR(sel_Region="All",C1724=sel_Region),OR(sel_Country="All",D1724=sel_Country),OR(sel_Channel="All",E1724=sel_Channel),OR(sel_Customer="All",F1724=sel_Customer),OR(sel_Category="All",G1724=sel_Category),OR(sel_Product="All",H1724=sel_Product),AND(S1724&gt;=m_From,S1724&lt;=m_To)),1,0)</f>
        <v/>
      </c>
      <c r="V1724" s="36">
        <f>IF(AND(OR(sel_Region="All",C1724=sel_Region),OR(sel_Channel="All",E1724=sel_Channel),OR(sel_Customer="All",F1724=sel_Customer),OR(sel_Category="All",G1724=sel_Category),OR(sel_Product="All",H1724=sel_Product),AND(S1724&gt;=m_From,S1724&lt;=m_To)),1,0)</f>
        <v/>
      </c>
      <c r="W1724" s="36">
        <f>IF(AND(OR(sel_Region="All",C1724=sel_Region),OR(sel_Country="All",D1724=sel_Country),OR(sel_Customer="All",F1724=sel_Customer),OR(sel_Category="All",G1724=sel_Category),OR(sel_Product="All",H1724=sel_Product),AND(S1724&gt;=m_From,S1724&lt;=m_To)),1,0)</f>
        <v/>
      </c>
      <c r="X1724" s="36">
        <f>IF(AND(OR(sel_Region="All",C1724=sel_Region),OR(sel_Country="All",D1724=sel_Country),OR(sel_Channel="All",E1724=sel_Channel),OR(sel_Category="All",G1724=sel_Category),OR(sel_Product="All",H1724=sel_Product),AND(S1724&gt;=m_From,S1724&lt;=m_To)),1,0)</f>
        <v/>
      </c>
      <c r="Y1724" s="36">
        <f>IF(AND(OR(sel_Region="All",C1724=sel_Region),OR(sel_Country="All",D1724=sel_Country),OR(sel_Channel="All",E1724=sel_Channel),OR(sel_Customer="All",F1724=sel_Customer),OR(sel_Product="All",H1724=sel_Product),AND(S1724&gt;=m_From,S1724&lt;=m_To)),1,0)</f>
        <v/>
      </c>
      <c r="Z1724" s="36">
        <f>IF(AND(OR(sel_Region="All",C1724=sel_Region),OR(sel_Country="All",D1724=sel_Country),OR(sel_Channel="All",E1724=sel_Channel),OR(sel_Customer="All",F1724=sel_Customer),OR(sel_Category="All",G1724=sel_Category),AND(S1724&gt;=m_From,S1724&lt;=m_To)),1,0)</f>
        <v/>
      </c>
      <c r="AA1724" s="36">
        <f>IF(AND(OR(sel_Region="All",C1724=sel_Region),OR(sel_Country="All",D1724=sel_Country),OR(sel_Channel="All",E1724=sel_Channel),OR(sel_Customer="All",F1724=sel_Customer),OR(sel_Category="All",G1724=sel_Category),OR(sel_Product="All",H1724=sel_Product)),1,0)</f>
        <v/>
      </c>
    </row>
    <row r="1725">
      <c r="A1725" s="36" t="inlineStr">
        <is>
          <t>04172</t>
        </is>
      </c>
      <c r="B1725" s="44" t="n">
        <v>46256</v>
      </c>
      <c r="C1725" s="36" t="inlineStr">
        <is>
          <t>Western Europe</t>
        </is>
      </c>
      <c r="D1725" s="36" t="inlineStr">
        <is>
          <t>United Kingdom</t>
        </is>
      </c>
      <c r="E1725" s="36" t="inlineStr">
        <is>
          <t>Marketplace</t>
        </is>
      </c>
      <c r="F1725" s="36" t="inlineStr">
        <is>
          <t>New</t>
        </is>
      </c>
      <c r="G1725" s="36" t="inlineStr">
        <is>
          <t>Cycling</t>
        </is>
      </c>
      <c r="H1725" s="36" t="inlineStr">
        <is>
          <t>Compact Repair Kit</t>
        </is>
      </c>
      <c r="I1725" s="36" t="n">
        <v>1</v>
      </c>
      <c r="J1725" s="39" t="n">
        <v>40.19</v>
      </c>
      <c r="K1725" s="45" t="n">
        <v>0.05</v>
      </c>
      <c r="L1725" s="39" t="n">
        <v>16.78</v>
      </c>
      <c r="M1725" s="39">
        <f>I1725*J1725*(1-K1725)</f>
        <v/>
      </c>
      <c r="N1725" s="39">
        <f>I1725*L1725</f>
        <v/>
      </c>
      <c r="O1725" s="39">
        <f>M1725-N1725</f>
        <v/>
      </c>
      <c r="P1725" s="38">
        <f>IF(M1725=0,0,O1725/M1725)</f>
        <v/>
      </c>
      <c r="Q1725" s="36">
        <f>YEAR(B1725)</f>
        <v/>
      </c>
      <c r="R1725" s="36">
        <f>"Q"&amp;ROUNDUP(MONTH(B1725)/3,0)</f>
        <v/>
      </c>
      <c r="S1725" s="36">
        <f>MONTH(B1725)</f>
        <v/>
      </c>
      <c r="T1725" s="36">
        <f>TEXT(B1725,"mmm")</f>
        <v/>
      </c>
      <c r="U1725" s="36">
        <f>IF(AND(OR(sel_Region="All",C1725=sel_Region),OR(sel_Country="All",D1725=sel_Country),OR(sel_Channel="All",E1725=sel_Channel),OR(sel_Customer="All",F1725=sel_Customer),OR(sel_Category="All",G1725=sel_Category),OR(sel_Product="All",H1725=sel_Product),AND(S1725&gt;=m_From,S1725&lt;=m_To)),1,0)</f>
        <v/>
      </c>
      <c r="V1725" s="36">
        <f>IF(AND(OR(sel_Region="All",C1725=sel_Region),OR(sel_Channel="All",E1725=sel_Channel),OR(sel_Customer="All",F1725=sel_Customer),OR(sel_Category="All",G1725=sel_Category),OR(sel_Product="All",H1725=sel_Product),AND(S1725&gt;=m_From,S1725&lt;=m_To)),1,0)</f>
        <v/>
      </c>
      <c r="W1725" s="36">
        <f>IF(AND(OR(sel_Region="All",C1725=sel_Region),OR(sel_Country="All",D1725=sel_Country),OR(sel_Customer="All",F1725=sel_Customer),OR(sel_Category="All",G1725=sel_Category),OR(sel_Product="All",H1725=sel_Product),AND(S1725&gt;=m_From,S1725&lt;=m_To)),1,0)</f>
        <v/>
      </c>
      <c r="X1725" s="36">
        <f>IF(AND(OR(sel_Region="All",C1725=sel_Region),OR(sel_Country="All",D1725=sel_Country),OR(sel_Channel="All",E1725=sel_Channel),OR(sel_Category="All",G1725=sel_Category),OR(sel_Product="All",H1725=sel_Product),AND(S1725&gt;=m_From,S1725&lt;=m_To)),1,0)</f>
        <v/>
      </c>
      <c r="Y1725" s="36">
        <f>IF(AND(OR(sel_Region="All",C1725=sel_Region),OR(sel_Country="All",D1725=sel_Country),OR(sel_Channel="All",E1725=sel_Channel),OR(sel_Customer="All",F1725=sel_Customer),OR(sel_Product="All",H1725=sel_Product),AND(S1725&gt;=m_From,S1725&lt;=m_To)),1,0)</f>
        <v/>
      </c>
      <c r="Z1725" s="36">
        <f>IF(AND(OR(sel_Region="All",C1725=sel_Region),OR(sel_Country="All",D1725=sel_Country),OR(sel_Channel="All",E1725=sel_Channel),OR(sel_Customer="All",F1725=sel_Customer),OR(sel_Category="All",G1725=sel_Category),AND(S1725&gt;=m_From,S1725&lt;=m_To)),1,0)</f>
        <v/>
      </c>
      <c r="AA1725" s="36">
        <f>IF(AND(OR(sel_Region="All",C1725=sel_Region),OR(sel_Country="All",D1725=sel_Country),OR(sel_Channel="All",E1725=sel_Channel),OR(sel_Customer="All",F1725=sel_Customer),OR(sel_Category="All",G1725=sel_Category),OR(sel_Product="All",H1725=sel_Product)),1,0)</f>
        <v/>
      </c>
    </row>
    <row r="1726">
      <c r="A1726" s="36" t="inlineStr">
        <is>
          <t>04265</t>
        </is>
      </c>
      <c r="B1726" s="44" t="n">
        <v>46256</v>
      </c>
      <c r="C1726" s="36" t="inlineStr">
        <is>
          <t>Northern Europe</t>
        </is>
      </c>
      <c r="D1726" s="36" t="inlineStr">
        <is>
          <t>Norway</t>
        </is>
      </c>
      <c r="E1726" s="36" t="inlineStr">
        <is>
          <t>Online Store</t>
        </is>
      </c>
      <c r="F1726" s="36" t="inlineStr">
        <is>
          <t>Returning</t>
        </is>
      </c>
      <c r="G1726" s="36" t="inlineStr">
        <is>
          <t>Cycling</t>
        </is>
      </c>
      <c r="H1726" s="36" t="inlineStr">
        <is>
          <t>Compact Repair Kit</t>
        </is>
      </c>
      <c r="I1726" s="36" t="n">
        <v>1</v>
      </c>
      <c r="J1726" s="39" t="n">
        <v>40.98</v>
      </c>
      <c r="K1726" s="45" t="n">
        <v>0.05</v>
      </c>
      <c r="L1726" s="39" t="n">
        <v>16.6</v>
      </c>
      <c r="M1726" s="39">
        <f>I1726*J1726*(1-K1726)</f>
        <v/>
      </c>
      <c r="N1726" s="39">
        <f>I1726*L1726</f>
        <v/>
      </c>
      <c r="O1726" s="39">
        <f>M1726-N1726</f>
        <v/>
      </c>
      <c r="P1726" s="38">
        <f>IF(M1726=0,0,O1726/M1726)</f>
        <v/>
      </c>
      <c r="Q1726" s="36">
        <f>YEAR(B1726)</f>
        <v/>
      </c>
      <c r="R1726" s="36">
        <f>"Q"&amp;ROUNDUP(MONTH(B1726)/3,0)</f>
        <v/>
      </c>
      <c r="S1726" s="36">
        <f>MONTH(B1726)</f>
        <v/>
      </c>
      <c r="T1726" s="36">
        <f>TEXT(B1726,"mmm")</f>
        <v/>
      </c>
      <c r="U1726" s="36">
        <f>IF(AND(OR(sel_Region="All",C1726=sel_Region),OR(sel_Country="All",D1726=sel_Country),OR(sel_Channel="All",E1726=sel_Channel),OR(sel_Customer="All",F1726=sel_Customer),OR(sel_Category="All",G1726=sel_Category),OR(sel_Product="All",H1726=sel_Product),AND(S1726&gt;=m_From,S1726&lt;=m_To)),1,0)</f>
        <v/>
      </c>
      <c r="V1726" s="36">
        <f>IF(AND(OR(sel_Region="All",C1726=sel_Region),OR(sel_Channel="All",E1726=sel_Channel),OR(sel_Customer="All",F1726=sel_Customer),OR(sel_Category="All",G1726=sel_Category),OR(sel_Product="All",H1726=sel_Product),AND(S1726&gt;=m_From,S1726&lt;=m_To)),1,0)</f>
        <v/>
      </c>
      <c r="W1726" s="36">
        <f>IF(AND(OR(sel_Region="All",C1726=sel_Region),OR(sel_Country="All",D1726=sel_Country),OR(sel_Customer="All",F1726=sel_Customer),OR(sel_Category="All",G1726=sel_Category),OR(sel_Product="All",H1726=sel_Product),AND(S1726&gt;=m_From,S1726&lt;=m_To)),1,0)</f>
        <v/>
      </c>
      <c r="X1726" s="36">
        <f>IF(AND(OR(sel_Region="All",C1726=sel_Region),OR(sel_Country="All",D1726=sel_Country),OR(sel_Channel="All",E1726=sel_Channel),OR(sel_Category="All",G1726=sel_Category),OR(sel_Product="All",H1726=sel_Product),AND(S1726&gt;=m_From,S1726&lt;=m_To)),1,0)</f>
        <v/>
      </c>
      <c r="Y1726" s="36">
        <f>IF(AND(OR(sel_Region="All",C1726=sel_Region),OR(sel_Country="All",D1726=sel_Country),OR(sel_Channel="All",E1726=sel_Channel),OR(sel_Customer="All",F1726=sel_Customer),OR(sel_Product="All",H1726=sel_Product),AND(S1726&gt;=m_From,S1726&lt;=m_To)),1,0)</f>
        <v/>
      </c>
      <c r="Z1726" s="36">
        <f>IF(AND(OR(sel_Region="All",C1726=sel_Region),OR(sel_Country="All",D1726=sel_Country),OR(sel_Channel="All",E1726=sel_Channel),OR(sel_Customer="All",F1726=sel_Customer),OR(sel_Category="All",G1726=sel_Category),AND(S1726&gt;=m_From,S1726&lt;=m_To)),1,0)</f>
        <v/>
      </c>
      <c r="AA1726" s="36">
        <f>IF(AND(OR(sel_Region="All",C1726=sel_Region),OR(sel_Country="All",D1726=sel_Country),OR(sel_Channel="All",E1726=sel_Channel),OR(sel_Customer="All",F1726=sel_Customer),OR(sel_Category="All",G1726=sel_Category),OR(sel_Product="All",H1726=sel_Product)),1,0)</f>
        <v/>
      </c>
    </row>
    <row r="1727">
      <c r="A1727" s="36" t="inlineStr">
        <is>
          <t>04321</t>
        </is>
      </c>
      <c r="B1727" s="44" t="n">
        <v>46256</v>
      </c>
      <c r="C1727" s="36" t="inlineStr">
        <is>
          <t>Western Europe</t>
        </is>
      </c>
      <c r="D1727" s="36" t="inlineStr">
        <is>
          <t>France</t>
        </is>
      </c>
      <c r="E1727" s="36" t="inlineStr">
        <is>
          <t>Online Store</t>
        </is>
      </c>
      <c r="F1727" s="36" t="inlineStr">
        <is>
          <t>New</t>
        </is>
      </c>
      <c r="G1727" s="36" t="inlineStr">
        <is>
          <t>Travel</t>
        </is>
      </c>
      <c r="H1727" s="36" t="inlineStr">
        <is>
          <t>Insulated Bottle</t>
        </is>
      </c>
      <c r="I1727" s="36" t="n">
        <v>3</v>
      </c>
      <c r="J1727" s="39" t="n">
        <v>35.38</v>
      </c>
      <c r="K1727" s="45" t="n">
        <v>0</v>
      </c>
      <c r="L1727" s="39" t="n">
        <v>13.91</v>
      </c>
      <c r="M1727" s="39">
        <f>I1727*J1727*(1-K1727)</f>
        <v/>
      </c>
      <c r="N1727" s="39">
        <f>I1727*L1727</f>
        <v/>
      </c>
      <c r="O1727" s="39">
        <f>M1727-N1727</f>
        <v/>
      </c>
      <c r="P1727" s="38">
        <f>IF(M1727=0,0,O1727/M1727)</f>
        <v/>
      </c>
      <c r="Q1727" s="36">
        <f>YEAR(B1727)</f>
        <v/>
      </c>
      <c r="R1727" s="36">
        <f>"Q"&amp;ROUNDUP(MONTH(B1727)/3,0)</f>
        <v/>
      </c>
      <c r="S1727" s="36">
        <f>MONTH(B1727)</f>
        <v/>
      </c>
      <c r="T1727" s="36">
        <f>TEXT(B1727,"mmm")</f>
        <v/>
      </c>
      <c r="U1727" s="36">
        <f>IF(AND(OR(sel_Region="All",C1727=sel_Region),OR(sel_Country="All",D1727=sel_Country),OR(sel_Channel="All",E1727=sel_Channel),OR(sel_Customer="All",F1727=sel_Customer),OR(sel_Category="All",G1727=sel_Category),OR(sel_Product="All",H1727=sel_Product),AND(S1727&gt;=m_From,S1727&lt;=m_To)),1,0)</f>
        <v/>
      </c>
      <c r="V1727" s="36">
        <f>IF(AND(OR(sel_Region="All",C1727=sel_Region),OR(sel_Channel="All",E1727=sel_Channel),OR(sel_Customer="All",F1727=sel_Customer),OR(sel_Category="All",G1727=sel_Category),OR(sel_Product="All",H1727=sel_Product),AND(S1727&gt;=m_From,S1727&lt;=m_To)),1,0)</f>
        <v/>
      </c>
      <c r="W1727" s="36">
        <f>IF(AND(OR(sel_Region="All",C1727=sel_Region),OR(sel_Country="All",D1727=sel_Country),OR(sel_Customer="All",F1727=sel_Customer),OR(sel_Category="All",G1727=sel_Category),OR(sel_Product="All",H1727=sel_Product),AND(S1727&gt;=m_From,S1727&lt;=m_To)),1,0)</f>
        <v/>
      </c>
      <c r="X1727" s="36">
        <f>IF(AND(OR(sel_Region="All",C1727=sel_Region),OR(sel_Country="All",D1727=sel_Country),OR(sel_Channel="All",E1727=sel_Channel),OR(sel_Category="All",G1727=sel_Category),OR(sel_Product="All",H1727=sel_Product),AND(S1727&gt;=m_From,S1727&lt;=m_To)),1,0)</f>
        <v/>
      </c>
      <c r="Y1727" s="36">
        <f>IF(AND(OR(sel_Region="All",C1727=sel_Region),OR(sel_Country="All",D1727=sel_Country),OR(sel_Channel="All",E1727=sel_Channel),OR(sel_Customer="All",F1727=sel_Customer),OR(sel_Product="All",H1727=sel_Product),AND(S1727&gt;=m_From,S1727&lt;=m_To)),1,0)</f>
        <v/>
      </c>
      <c r="Z1727" s="36">
        <f>IF(AND(OR(sel_Region="All",C1727=sel_Region),OR(sel_Country="All",D1727=sel_Country),OR(sel_Channel="All",E1727=sel_Channel),OR(sel_Customer="All",F1727=sel_Customer),OR(sel_Category="All",G1727=sel_Category),AND(S1727&gt;=m_From,S1727&lt;=m_To)),1,0)</f>
        <v/>
      </c>
      <c r="AA1727" s="36">
        <f>IF(AND(OR(sel_Region="All",C1727=sel_Region),OR(sel_Country="All",D1727=sel_Country),OR(sel_Channel="All",E1727=sel_Channel),OR(sel_Customer="All",F1727=sel_Customer),OR(sel_Category="All",G1727=sel_Category),OR(sel_Product="All",H1727=sel_Product)),1,0)</f>
        <v/>
      </c>
    </row>
    <row r="1728">
      <c r="A1728" s="36" t="inlineStr">
        <is>
          <t>04975</t>
        </is>
      </c>
      <c r="B1728" s="44" t="n">
        <v>46256</v>
      </c>
      <c r="C1728" s="36" t="inlineStr">
        <is>
          <t>Northern Europe</t>
        </is>
      </c>
      <c r="D1728" s="36" t="inlineStr">
        <is>
          <t>Finland</t>
        </is>
      </c>
      <c r="E1728" s="36" t="inlineStr">
        <is>
          <t>Retail Partners</t>
        </is>
      </c>
      <c r="F1728" s="36" t="inlineStr">
        <is>
          <t>New</t>
        </is>
      </c>
      <c r="G1728" s="36" t="inlineStr">
        <is>
          <t>Travel</t>
        </is>
      </c>
      <c r="H1728" s="36" t="inlineStr">
        <is>
          <t>Carry-On Duffel</t>
        </is>
      </c>
      <c r="I1728" s="36" t="n">
        <v>4</v>
      </c>
      <c r="J1728" s="39" t="n">
        <v>134.49</v>
      </c>
      <c r="K1728" s="45" t="n">
        <v>0</v>
      </c>
      <c r="L1728" s="39" t="n">
        <v>68.17</v>
      </c>
      <c r="M1728" s="39">
        <f>I1728*J1728*(1-K1728)</f>
        <v/>
      </c>
      <c r="N1728" s="39">
        <f>I1728*L1728</f>
        <v/>
      </c>
      <c r="O1728" s="39">
        <f>M1728-N1728</f>
        <v/>
      </c>
      <c r="P1728" s="38">
        <f>IF(M1728=0,0,O1728/M1728)</f>
        <v/>
      </c>
      <c r="Q1728" s="36">
        <f>YEAR(B1728)</f>
        <v/>
      </c>
      <c r="R1728" s="36">
        <f>"Q"&amp;ROUNDUP(MONTH(B1728)/3,0)</f>
        <v/>
      </c>
      <c r="S1728" s="36">
        <f>MONTH(B1728)</f>
        <v/>
      </c>
      <c r="T1728" s="36">
        <f>TEXT(B1728,"mmm")</f>
        <v/>
      </c>
      <c r="U1728" s="36">
        <f>IF(AND(OR(sel_Region="All",C1728=sel_Region),OR(sel_Country="All",D1728=sel_Country),OR(sel_Channel="All",E1728=sel_Channel),OR(sel_Customer="All",F1728=sel_Customer),OR(sel_Category="All",G1728=sel_Category),OR(sel_Product="All",H1728=sel_Product),AND(S1728&gt;=m_From,S1728&lt;=m_To)),1,0)</f>
        <v/>
      </c>
      <c r="V1728" s="36">
        <f>IF(AND(OR(sel_Region="All",C1728=sel_Region),OR(sel_Channel="All",E1728=sel_Channel),OR(sel_Customer="All",F1728=sel_Customer),OR(sel_Category="All",G1728=sel_Category),OR(sel_Product="All",H1728=sel_Product),AND(S1728&gt;=m_From,S1728&lt;=m_To)),1,0)</f>
        <v/>
      </c>
      <c r="W1728" s="36">
        <f>IF(AND(OR(sel_Region="All",C1728=sel_Region),OR(sel_Country="All",D1728=sel_Country),OR(sel_Customer="All",F1728=sel_Customer),OR(sel_Category="All",G1728=sel_Category),OR(sel_Product="All",H1728=sel_Product),AND(S1728&gt;=m_From,S1728&lt;=m_To)),1,0)</f>
        <v/>
      </c>
      <c r="X1728" s="36">
        <f>IF(AND(OR(sel_Region="All",C1728=sel_Region),OR(sel_Country="All",D1728=sel_Country),OR(sel_Channel="All",E1728=sel_Channel),OR(sel_Category="All",G1728=sel_Category),OR(sel_Product="All",H1728=sel_Product),AND(S1728&gt;=m_From,S1728&lt;=m_To)),1,0)</f>
        <v/>
      </c>
      <c r="Y1728" s="36">
        <f>IF(AND(OR(sel_Region="All",C1728=sel_Region),OR(sel_Country="All",D1728=sel_Country),OR(sel_Channel="All",E1728=sel_Channel),OR(sel_Customer="All",F1728=sel_Customer),OR(sel_Product="All",H1728=sel_Product),AND(S1728&gt;=m_From,S1728&lt;=m_To)),1,0)</f>
        <v/>
      </c>
      <c r="Z1728" s="36">
        <f>IF(AND(OR(sel_Region="All",C1728=sel_Region),OR(sel_Country="All",D1728=sel_Country),OR(sel_Channel="All",E1728=sel_Channel),OR(sel_Customer="All",F1728=sel_Customer),OR(sel_Category="All",G1728=sel_Category),AND(S1728&gt;=m_From,S1728&lt;=m_To)),1,0)</f>
        <v/>
      </c>
      <c r="AA1728" s="36">
        <f>IF(AND(OR(sel_Region="All",C1728=sel_Region),OR(sel_Country="All",D1728=sel_Country),OR(sel_Channel="All",E1728=sel_Channel),OR(sel_Customer="All",F1728=sel_Customer),OR(sel_Category="All",G1728=sel_Category),OR(sel_Product="All",H1728=sel_Product)),1,0)</f>
        <v/>
      </c>
    </row>
    <row r="1729">
      <c r="A1729" s="36" t="inlineStr">
        <is>
          <t>00991</t>
        </is>
      </c>
      <c r="B1729" s="44" t="n">
        <v>46257</v>
      </c>
      <c r="C1729" s="36" t="inlineStr">
        <is>
          <t>Northern Europe</t>
        </is>
      </c>
      <c r="D1729" s="36" t="inlineStr">
        <is>
          <t>Ireland</t>
        </is>
      </c>
      <c r="E1729" s="36" t="inlineStr">
        <is>
          <t>Corporate</t>
        </is>
      </c>
      <c r="F1729" s="36" t="inlineStr">
        <is>
          <t>Business</t>
        </is>
      </c>
      <c r="G1729" s="36" t="inlineStr">
        <is>
          <t>Hiking</t>
        </is>
      </c>
      <c r="H1729" s="36" t="inlineStr">
        <is>
          <t>Trail Boots</t>
        </is>
      </c>
      <c r="I1729" s="36" t="n">
        <v>4</v>
      </c>
      <c r="J1729" s="39" t="n">
        <v>145.3</v>
      </c>
      <c r="K1729" s="45" t="n">
        <v>0.15</v>
      </c>
      <c r="L1729" s="39" t="n">
        <v>77.04000000000001</v>
      </c>
      <c r="M1729" s="39">
        <f>I1729*J1729*(1-K1729)</f>
        <v/>
      </c>
      <c r="N1729" s="39">
        <f>I1729*L1729</f>
        <v/>
      </c>
      <c r="O1729" s="39">
        <f>M1729-N1729</f>
        <v/>
      </c>
      <c r="P1729" s="38">
        <f>IF(M1729=0,0,O1729/M1729)</f>
        <v/>
      </c>
      <c r="Q1729" s="36">
        <f>YEAR(B1729)</f>
        <v/>
      </c>
      <c r="R1729" s="36">
        <f>"Q"&amp;ROUNDUP(MONTH(B1729)/3,0)</f>
        <v/>
      </c>
      <c r="S1729" s="36">
        <f>MONTH(B1729)</f>
        <v/>
      </c>
      <c r="T1729" s="36">
        <f>TEXT(B1729,"mmm")</f>
        <v/>
      </c>
      <c r="U1729" s="36">
        <f>IF(AND(OR(sel_Region="All",C1729=sel_Region),OR(sel_Country="All",D1729=sel_Country),OR(sel_Channel="All",E1729=sel_Channel),OR(sel_Customer="All",F1729=sel_Customer),OR(sel_Category="All",G1729=sel_Category),OR(sel_Product="All",H1729=sel_Product),AND(S1729&gt;=m_From,S1729&lt;=m_To)),1,0)</f>
        <v/>
      </c>
      <c r="V1729" s="36">
        <f>IF(AND(OR(sel_Region="All",C1729=sel_Region),OR(sel_Channel="All",E1729=sel_Channel),OR(sel_Customer="All",F1729=sel_Customer),OR(sel_Category="All",G1729=sel_Category),OR(sel_Product="All",H1729=sel_Product),AND(S1729&gt;=m_From,S1729&lt;=m_To)),1,0)</f>
        <v/>
      </c>
      <c r="W1729" s="36">
        <f>IF(AND(OR(sel_Region="All",C1729=sel_Region),OR(sel_Country="All",D1729=sel_Country),OR(sel_Customer="All",F1729=sel_Customer),OR(sel_Category="All",G1729=sel_Category),OR(sel_Product="All",H1729=sel_Product),AND(S1729&gt;=m_From,S1729&lt;=m_To)),1,0)</f>
        <v/>
      </c>
      <c r="X1729" s="36">
        <f>IF(AND(OR(sel_Region="All",C1729=sel_Region),OR(sel_Country="All",D1729=sel_Country),OR(sel_Channel="All",E1729=sel_Channel),OR(sel_Category="All",G1729=sel_Category),OR(sel_Product="All",H1729=sel_Product),AND(S1729&gt;=m_From,S1729&lt;=m_To)),1,0)</f>
        <v/>
      </c>
      <c r="Y1729" s="36">
        <f>IF(AND(OR(sel_Region="All",C1729=sel_Region),OR(sel_Country="All",D1729=sel_Country),OR(sel_Channel="All",E1729=sel_Channel),OR(sel_Customer="All",F1729=sel_Customer),OR(sel_Product="All",H1729=sel_Product),AND(S1729&gt;=m_From,S1729&lt;=m_To)),1,0)</f>
        <v/>
      </c>
      <c r="Z1729" s="36">
        <f>IF(AND(OR(sel_Region="All",C1729=sel_Region),OR(sel_Country="All",D1729=sel_Country),OR(sel_Channel="All",E1729=sel_Channel),OR(sel_Customer="All",F1729=sel_Customer),OR(sel_Category="All",G1729=sel_Category),AND(S1729&gt;=m_From,S1729&lt;=m_To)),1,0)</f>
        <v/>
      </c>
      <c r="AA1729" s="36">
        <f>IF(AND(OR(sel_Region="All",C1729=sel_Region),OR(sel_Country="All",D1729=sel_Country),OR(sel_Channel="All",E1729=sel_Channel),OR(sel_Customer="All",F1729=sel_Customer),OR(sel_Category="All",G1729=sel_Category),OR(sel_Product="All",H1729=sel_Product)),1,0)</f>
        <v/>
      </c>
    </row>
    <row r="1730">
      <c r="A1730" s="36" t="inlineStr">
        <is>
          <t>01008</t>
        </is>
      </c>
      <c r="B1730" s="44" t="n">
        <v>46257</v>
      </c>
      <c r="C1730" s="36" t="inlineStr">
        <is>
          <t>Western Europe</t>
        </is>
      </c>
      <c r="D1730" s="36" t="inlineStr">
        <is>
          <t>Belgium</t>
        </is>
      </c>
      <c r="E1730" s="36" t="inlineStr">
        <is>
          <t>Corporate</t>
        </is>
      </c>
      <c r="F1730" s="36" t="inlineStr">
        <is>
          <t>Business</t>
        </is>
      </c>
      <c r="G1730" s="36" t="inlineStr">
        <is>
          <t>Travel</t>
        </is>
      </c>
      <c r="H1730" s="36" t="inlineStr">
        <is>
          <t>Travel Backpack 35L</t>
        </is>
      </c>
      <c r="I1730" s="36" t="n">
        <v>10</v>
      </c>
      <c r="J1730" s="39" t="n">
        <v>164.55</v>
      </c>
      <c r="K1730" s="45" t="n">
        <v>0.1</v>
      </c>
      <c r="L1730" s="39" t="n">
        <v>88.23</v>
      </c>
      <c r="M1730" s="39">
        <f>I1730*J1730*(1-K1730)</f>
        <v/>
      </c>
      <c r="N1730" s="39">
        <f>I1730*L1730</f>
        <v/>
      </c>
      <c r="O1730" s="39">
        <f>M1730-N1730</f>
        <v/>
      </c>
      <c r="P1730" s="38">
        <f>IF(M1730=0,0,O1730/M1730)</f>
        <v/>
      </c>
      <c r="Q1730" s="36">
        <f>YEAR(B1730)</f>
        <v/>
      </c>
      <c r="R1730" s="36">
        <f>"Q"&amp;ROUNDUP(MONTH(B1730)/3,0)</f>
        <v/>
      </c>
      <c r="S1730" s="36">
        <f>MONTH(B1730)</f>
        <v/>
      </c>
      <c r="T1730" s="36">
        <f>TEXT(B1730,"mmm")</f>
        <v/>
      </c>
      <c r="U1730" s="36">
        <f>IF(AND(OR(sel_Region="All",C1730=sel_Region),OR(sel_Country="All",D1730=sel_Country),OR(sel_Channel="All",E1730=sel_Channel),OR(sel_Customer="All",F1730=sel_Customer),OR(sel_Category="All",G1730=sel_Category),OR(sel_Product="All",H1730=sel_Product),AND(S1730&gt;=m_From,S1730&lt;=m_To)),1,0)</f>
        <v/>
      </c>
      <c r="V1730" s="36">
        <f>IF(AND(OR(sel_Region="All",C1730=sel_Region),OR(sel_Channel="All",E1730=sel_Channel),OR(sel_Customer="All",F1730=sel_Customer),OR(sel_Category="All",G1730=sel_Category),OR(sel_Product="All",H1730=sel_Product),AND(S1730&gt;=m_From,S1730&lt;=m_To)),1,0)</f>
        <v/>
      </c>
      <c r="W1730" s="36">
        <f>IF(AND(OR(sel_Region="All",C1730=sel_Region),OR(sel_Country="All",D1730=sel_Country),OR(sel_Customer="All",F1730=sel_Customer),OR(sel_Category="All",G1730=sel_Category),OR(sel_Product="All",H1730=sel_Product),AND(S1730&gt;=m_From,S1730&lt;=m_To)),1,0)</f>
        <v/>
      </c>
      <c r="X1730" s="36">
        <f>IF(AND(OR(sel_Region="All",C1730=sel_Region),OR(sel_Country="All",D1730=sel_Country),OR(sel_Channel="All",E1730=sel_Channel),OR(sel_Category="All",G1730=sel_Category),OR(sel_Product="All",H1730=sel_Product),AND(S1730&gt;=m_From,S1730&lt;=m_To)),1,0)</f>
        <v/>
      </c>
      <c r="Y1730" s="36">
        <f>IF(AND(OR(sel_Region="All",C1730=sel_Region),OR(sel_Country="All",D1730=sel_Country),OR(sel_Channel="All",E1730=sel_Channel),OR(sel_Customer="All",F1730=sel_Customer),OR(sel_Product="All",H1730=sel_Product),AND(S1730&gt;=m_From,S1730&lt;=m_To)),1,0)</f>
        <v/>
      </c>
      <c r="Z1730" s="36">
        <f>IF(AND(OR(sel_Region="All",C1730=sel_Region),OR(sel_Country="All",D1730=sel_Country),OR(sel_Channel="All",E1730=sel_Channel),OR(sel_Customer="All",F1730=sel_Customer),OR(sel_Category="All",G1730=sel_Category),AND(S1730&gt;=m_From,S1730&lt;=m_To)),1,0)</f>
        <v/>
      </c>
      <c r="AA1730" s="36">
        <f>IF(AND(OR(sel_Region="All",C1730=sel_Region),OR(sel_Country="All",D1730=sel_Country),OR(sel_Channel="All",E1730=sel_Channel),OR(sel_Customer="All",F1730=sel_Customer),OR(sel_Category="All",G1730=sel_Category),OR(sel_Product="All",H1730=sel_Product)),1,0)</f>
        <v/>
      </c>
    </row>
    <row r="1731">
      <c r="A1731" s="36" t="inlineStr">
        <is>
          <t>01083</t>
        </is>
      </c>
      <c r="B1731" s="44" t="n">
        <v>46257</v>
      </c>
      <c r="C1731" s="36" t="inlineStr">
        <is>
          <t>Southern Europe</t>
        </is>
      </c>
      <c r="D1731" s="36" t="inlineStr">
        <is>
          <t>Italy</t>
        </is>
      </c>
      <c r="E1731" s="36" t="inlineStr">
        <is>
          <t>Retail Partners</t>
        </is>
      </c>
      <c r="F1731" s="36" t="inlineStr">
        <is>
          <t>New</t>
        </is>
      </c>
      <c r="G1731" s="36" t="inlineStr">
        <is>
          <t>Cycling</t>
        </is>
      </c>
      <c r="H1731" s="36" t="inlineStr">
        <is>
          <t>Compact Repair Kit</t>
        </is>
      </c>
      <c r="I1731" s="36" t="n">
        <v>1</v>
      </c>
      <c r="J1731" s="39" t="n">
        <v>39.59</v>
      </c>
      <c r="K1731" s="45" t="n">
        <v>0</v>
      </c>
      <c r="L1731" s="39" t="n">
        <v>16.9</v>
      </c>
      <c r="M1731" s="39">
        <f>I1731*J1731*(1-K1731)</f>
        <v/>
      </c>
      <c r="N1731" s="39">
        <f>I1731*L1731</f>
        <v/>
      </c>
      <c r="O1731" s="39">
        <f>M1731-N1731</f>
        <v/>
      </c>
      <c r="P1731" s="38">
        <f>IF(M1731=0,0,O1731/M1731)</f>
        <v/>
      </c>
      <c r="Q1731" s="36">
        <f>YEAR(B1731)</f>
        <v/>
      </c>
      <c r="R1731" s="36">
        <f>"Q"&amp;ROUNDUP(MONTH(B1731)/3,0)</f>
        <v/>
      </c>
      <c r="S1731" s="36">
        <f>MONTH(B1731)</f>
        <v/>
      </c>
      <c r="T1731" s="36">
        <f>TEXT(B1731,"mmm")</f>
        <v/>
      </c>
      <c r="U1731" s="36">
        <f>IF(AND(OR(sel_Region="All",C1731=sel_Region),OR(sel_Country="All",D1731=sel_Country),OR(sel_Channel="All",E1731=sel_Channel),OR(sel_Customer="All",F1731=sel_Customer),OR(sel_Category="All",G1731=sel_Category),OR(sel_Product="All",H1731=sel_Product),AND(S1731&gt;=m_From,S1731&lt;=m_To)),1,0)</f>
        <v/>
      </c>
      <c r="V1731" s="36">
        <f>IF(AND(OR(sel_Region="All",C1731=sel_Region),OR(sel_Channel="All",E1731=sel_Channel),OR(sel_Customer="All",F1731=sel_Customer),OR(sel_Category="All",G1731=sel_Category),OR(sel_Product="All",H1731=sel_Product),AND(S1731&gt;=m_From,S1731&lt;=m_To)),1,0)</f>
        <v/>
      </c>
      <c r="W1731" s="36">
        <f>IF(AND(OR(sel_Region="All",C1731=sel_Region),OR(sel_Country="All",D1731=sel_Country),OR(sel_Customer="All",F1731=sel_Customer),OR(sel_Category="All",G1731=sel_Category),OR(sel_Product="All",H1731=sel_Product),AND(S1731&gt;=m_From,S1731&lt;=m_To)),1,0)</f>
        <v/>
      </c>
      <c r="X1731" s="36">
        <f>IF(AND(OR(sel_Region="All",C1731=sel_Region),OR(sel_Country="All",D1731=sel_Country),OR(sel_Channel="All",E1731=sel_Channel),OR(sel_Category="All",G1731=sel_Category),OR(sel_Product="All",H1731=sel_Product),AND(S1731&gt;=m_From,S1731&lt;=m_To)),1,0)</f>
        <v/>
      </c>
      <c r="Y1731" s="36">
        <f>IF(AND(OR(sel_Region="All",C1731=sel_Region),OR(sel_Country="All",D1731=sel_Country),OR(sel_Channel="All",E1731=sel_Channel),OR(sel_Customer="All",F1731=sel_Customer),OR(sel_Product="All",H1731=sel_Product),AND(S1731&gt;=m_From,S1731&lt;=m_To)),1,0)</f>
        <v/>
      </c>
      <c r="Z1731" s="36">
        <f>IF(AND(OR(sel_Region="All",C1731=sel_Region),OR(sel_Country="All",D1731=sel_Country),OR(sel_Channel="All",E1731=sel_Channel),OR(sel_Customer="All",F1731=sel_Customer),OR(sel_Category="All",G1731=sel_Category),AND(S1731&gt;=m_From,S1731&lt;=m_To)),1,0)</f>
        <v/>
      </c>
      <c r="AA1731" s="36">
        <f>IF(AND(OR(sel_Region="All",C1731=sel_Region),OR(sel_Country="All",D1731=sel_Country),OR(sel_Channel="All",E1731=sel_Channel),OR(sel_Customer="All",F1731=sel_Customer),OR(sel_Category="All",G1731=sel_Category),OR(sel_Product="All",H1731=sel_Product)),1,0)</f>
        <v/>
      </c>
    </row>
    <row r="1732">
      <c r="A1732" s="36" t="inlineStr">
        <is>
          <t>01553</t>
        </is>
      </c>
      <c r="B1732" s="44" t="n">
        <v>46257</v>
      </c>
      <c r="C1732" s="36" t="inlineStr">
        <is>
          <t>Northern Europe</t>
        </is>
      </c>
      <c r="D1732" s="36" t="inlineStr">
        <is>
          <t>Sweden</t>
        </is>
      </c>
      <c r="E1732" s="36" t="inlineStr">
        <is>
          <t>Corporate</t>
        </is>
      </c>
      <c r="F1732" s="36" t="inlineStr">
        <is>
          <t>Business</t>
        </is>
      </c>
      <c r="G1732" s="36" t="inlineStr">
        <is>
          <t>Fitness</t>
        </is>
      </c>
      <c r="H1732" s="36" t="inlineStr">
        <is>
          <t>Training Mat</t>
        </is>
      </c>
      <c r="I1732" s="36" t="n">
        <v>5</v>
      </c>
      <c r="J1732" s="39" t="n">
        <v>51.62</v>
      </c>
      <c r="K1732" s="45" t="n">
        <v>0.15</v>
      </c>
      <c r="L1732" s="39" t="n">
        <v>22.6</v>
      </c>
      <c r="M1732" s="39">
        <f>I1732*J1732*(1-K1732)</f>
        <v/>
      </c>
      <c r="N1732" s="39">
        <f>I1732*L1732</f>
        <v/>
      </c>
      <c r="O1732" s="39">
        <f>M1732-N1732</f>
        <v/>
      </c>
      <c r="P1732" s="38">
        <f>IF(M1732=0,0,O1732/M1732)</f>
        <v/>
      </c>
      <c r="Q1732" s="36">
        <f>YEAR(B1732)</f>
        <v/>
      </c>
      <c r="R1732" s="36">
        <f>"Q"&amp;ROUNDUP(MONTH(B1732)/3,0)</f>
        <v/>
      </c>
      <c r="S1732" s="36">
        <f>MONTH(B1732)</f>
        <v/>
      </c>
      <c r="T1732" s="36">
        <f>TEXT(B1732,"mmm")</f>
        <v/>
      </c>
      <c r="U1732" s="36">
        <f>IF(AND(OR(sel_Region="All",C1732=sel_Region),OR(sel_Country="All",D1732=sel_Country),OR(sel_Channel="All",E1732=sel_Channel),OR(sel_Customer="All",F1732=sel_Customer),OR(sel_Category="All",G1732=sel_Category),OR(sel_Product="All",H1732=sel_Product),AND(S1732&gt;=m_From,S1732&lt;=m_To)),1,0)</f>
        <v/>
      </c>
      <c r="V1732" s="36">
        <f>IF(AND(OR(sel_Region="All",C1732=sel_Region),OR(sel_Channel="All",E1732=sel_Channel),OR(sel_Customer="All",F1732=sel_Customer),OR(sel_Category="All",G1732=sel_Category),OR(sel_Product="All",H1732=sel_Product),AND(S1732&gt;=m_From,S1732&lt;=m_To)),1,0)</f>
        <v/>
      </c>
      <c r="W1732" s="36">
        <f>IF(AND(OR(sel_Region="All",C1732=sel_Region),OR(sel_Country="All",D1732=sel_Country),OR(sel_Customer="All",F1732=sel_Customer),OR(sel_Category="All",G1732=sel_Category),OR(sel_Product="All",H1732=sel_Product),AND(S1732&gt;=m_From,S1732&lt;=m_To)),1,0)</f>
        <v/>
      </c>
      <c r="X1732" s="36">
        <f>IF(AND(OR(sel_Region="All",C1732=sel_Region),OR(sel_Country="All",D1732=sel_Country),OR(sel_Channel="All",E1732=sel_Channel),OR(sel_Category="All",G1732=sel_Category),OR(sel_Product="All",H1732=sel_Product),AND(S1732&gt;=m_From,S1732&lt;=m_To)),1,0)</f>
        <v/>
      </c>
      <c r="Y1732" s="36">
        <f>IF(AND(OR(sel_Region="All",C1732=sel_Region),OR(sel_Country="All",D1732=sel_Country),OR(sel_Channel="All",E1732=sel_Channel),OR(sel_Customer="All",F1732=sel_Customer),OR(sel_Product="All",H1732=sel_Product),AND(S1732&gt;=m_From,S1732&lt;=m_To)),1,0)</f>
        <v/>
      </c>
      <c r="Z1732" s="36">
        <f>IF(AND(OR(sel_Region="All",C1732=sel_Region),OR(sel_Country="All",D1732=sel_Country),OR(sel_Channel="All",E1732=sel_Channel),OR(sel_Customer="All",F1732=sel_Customer),OR(sel_Category="All",G1732=sel_Category),AND(S1732&gt;=m_From,S1732&lt;=m_To)),1,0)</f>
        <v/>
      </c>
      <c r="AA1732" s="36">
        <f>IF(AND(OR(sel_Region="All",C1732=sel_Region),OR(sel_Country="All",D1732=sel_Country),OR(sel_Channel="All",E1732=sel_Channel),OR(sel_Customer="All",F1732=sel_Customer),OR(sel_Category="All",G1732=sel_Category),OR(sel_Product="All",H1732=sel_Product)),1,0)</f>
        <v/>
      </c>
    </row>
    <row r="1733">
      <c r="A1733" s="36" t="inlineStr">
        <is>
          <t>01579</t>
        </is>
      </c>
      <c r="B1733" s="44" t="n">
        <v>46257</v>
      </c>
      <c r="C1733" s="36" t="inlineStr">
        <is>
          <t>Western Europe</t>
        </is>
      </c>
      <c r="D1733" s="36" t="inlineStr">
        <is>
          <t>Netherlands</t>
        </is>
      </c>
      <c r="E1733" s="36" t="inlineStr">
        <is>
          <t>Retail Partners</t>
        </is>
      </c>
      <c r="F1733" s="36" t="inlineStr">
        <is>
          <t>Returning</t>
        </is>
      </c>
      <c r="G1733" s="36" t="inlineStr">
        <is>
          <t>Hiking</t>
        </is>
      </c>
      <c r="H1733" s="36" t="inlineStr">
        <is>
          <t>Hiking Daypack 20L</t>
        </is>
      </c>
      <c r="I1733" s="36" t="n">
        <v>3</v>
      </c>
      <c r="J1733" s="39" t="n">
        <v>90.70999999999999</v>
      </c>
      <c r="K1733" s="45" t="n">
        <v>0</v>
      </c>
      <c r="L1733" s="39" t="n">
        <v>45.57</v>
      </c>
      <c r="M1733" s="39">
        <f>I1733*J1733*(1-K1733)</f>
        <v/>
      </c>
      <c r="N1733" s="39">
        <f>I1733*L1733</f>
        <v/>
      </c>
      <c r="O1733" s="39">
        <f>M1733-N1733</f>
        <v/>
      </c>
      <c r="P1733" s="38">
        <f>IF(M1733=0,0,O1733/M1733)</f>
        <v/>
      </c>
      <c r="Q1733" s="36">
        <f>YEAR(B1733)</f>
        <v/>
      </c>
      <c r="R1733" s="36">
        <f>"Q"&amp;ROUNDUP(MONTH(B1733)/3,0)</f>
        <v/>
      </c>
      <c r="S1733" s="36">
        <f>MONTH(B1733)</f>
        <v/>
      </c>
      <c r="T1733" s="36">
        <f>TEXT(B1733,"mmm")</f>
        <v/>
      </c>
      <c r="U1733" s="36">
        <f>IF(AND(OR(sel_Region="All",C1733=sel_Region),OR(sel_Country="All",D1733=sel_Country),OR(sel_Channel="All",E1733=sel_Channel),OR(sel_Customer="All",F1733=sel_Customer),OR(sel_Category="All",G1733=sel_Category),OR(sel_Product="All",H1733=sel_Product),AND(S1733&gt;=m_From,S1733&lt;=m_To)),1,0)</f>
        <v/>
      </c>
      <c r="V1733" s="36">
        <f>IF(AND(OR(sel_Region="All",C1733=sel_Region),OR(sel_Channel="All",E1733=sel_Channel),OR(sel_Customer="All",F1733=sel_Customer),OR(sel_Category="All",G1733=sel_Category),OR(sel_Product="All",H1733=sel_Product),AND(S1733&gt;=m_From,S1733&lt;=m_To)),1,0)</f>
        <v/>
      </c>
      <c r="W1733" s="36">
        <f>IF(AND(OR(sel_Region="All",C1733=sel_Region),OR(sel_Country="All",D1733=sel_Country),OR(sel_Customer="All",F1733=sel_Customer),OR(sel_Category="All",G1733=sel_Category),OR(sel_Product="All",H1733=sel_Product),AND(S1733&gt;=m_From,S1733&lt;=m_To)),1,0)</f>
        <v/>
      </c>
      <c r="X1733" s="36">
        <f>IF(AND(OR(sel_Region="All",C1733=sel_Region),OR(sel_Country="All",D1733=sel_Country),OR(sel_Channel="All",E1733=sel_Channel),OR(sel_Category="All",G1733=sel_Category),OR(sel_Product="All",H1733=sel_Product),AND(S1733&gt;=m_From,S1733&lt;=m_To)),1,0)</f>
        <v/>
      </c>
      <c r="Y1733" s="36">
        <f>IF(AND(OR(sel_Region="All",C1733=sel_Region),OR(sel_Country="All",D1733=sel_Country),OR(sel_Channel="All",E1733=sel_Channel),OR(sel_Customer="All",F1733=sel_Customer),OR(sel_Product="All",H1733=sel_Product),AND(S1733&gt;=m_From,S1733&lt;=m_To)),1,0)</f>
        <v/>
      </c>
      <c r="Z1733" s="36">
        <f>IF(AND(OR(sel_Region="All",C1733=sel_Region),OR(sel_Country="All",D1733=sel_Country),OR(sel_Channel="All",E1733=sel_Channel),OR(sel_Customer="All",F1733=sel_Customer),OR(sel_Category="All",G1733=sel_Category),AND(S1733&gt;=m_From,S1733&lt;=m_To)),1,0)</f>
        <v/>
      </c>
      <c r="AA1733" s="36">
        <f>IF(AND(OR(sel_Region="All",C1733=sel_Region),OR(sel_Country="All",D1733=sel_Country),OR(sel_Channel="All",E1733=sel_Channel),OR(sel_Customer="All",F1733=sel_Customer),OR(sel_Category="All",G1733=sel_Category),OR(sel_Product="All",H1733=sel_Product)),1,0)</f>
        <v/>
      </c>
    </row>
    <row r="1734">
      <c r="A1734" s="36" t="inlineStr">
        <is>
          <t>01732</t>
        </is>
      </c>
      <c r="B1734" s="44" t="n">
        <v>46257</v>
      </c>
      <c r="C1734" s="36" t="inlineStr">
        <is>
          <t>Central Europe</t>
        </is>
      </c>
      <c r="D1734" s="36" t="inlineStr">
        <is>
          <t>Czechia</t>
        </is>
      </c>
      <c r="E1734" s="36" t="inlineStr">
        <is>
          <t>Retail Partners</t>
        </is>
      </c>
      <c r="F1734" s="36" t="inlineStr">
        <is>
          <t>New</t>
        </is>
      </c>
      <c r="G1734" s="36" t="inlineStr">
        <is>
          <t>Cycling</t>
        </is>
      </c>
      <c r="H1734" s="36" t="inlineStr">
        <is>
          <t>Compact Repair Kit</t>
        </is>
      </c>
      <c r="I1734" s="36" t="n">
        <v>4</v>
      </c>
      <c r="J1734" s="39" t="n">
        <v>41.09</v>
      </c>
      <c r="K1734" s="45" t="n">
        <v>0</v>
      </c>
      <c r="L1734" s="39" t="n">
        <v>17</v>
      </c>
      <c r="M1734" s="39">
        <f>I1734*J1734*(1-K1734)</f>
        <v/>
      </c>
      <c r="N1734" s="39">
        <f>I1734*L1734</f>
        <v/>
      </c>
      <c r="O1734" s="39">
        <f>M1734-N1734</f>
        <v/>
      </c>
      <c r="P1734" s="38">
        <f>IF(M1734=0,0,O1734/M1734)</f>
        <v/>
      </c>
      <c r="Q1734" s="36">
        <f>YEAR(B1734)</f>
        <v/>
      </c>
      <c r="R1734" s="36">
        <f>"Q"&amp;ROUNDUP(MONTH(B1734)/3,0)</f>
        <v/>
      </c>
      <c r="S1734" s="36">
        <f>MONTH(B1734)</f>
        <v/>
      </c>
      <c r="T1734" s="36">
        <f>TEXT(B1734,"mmm")</f>
        <v/>
      </c>
      <c r="U1734" s="36">
        <f>IF(AND(OR(sel_Region="All",C1734=sel_Region),OR(sel_Country="All",D1734=sel_Country),OR(sel_Channel="All",E1734=sel_Channel),OR(sel_Customer="All",F1734=sel_Customer),OR(sel_Category="All",G1734=sel_Category),OR(sel_Product="All",H1734=sel_Product),AND(S1734&gt;=m_From,S1734&lt;=m_To)),1,0)</f>
        <v/>
      </c>
      <c r="V1734" s="36">
        <f>IF(AND(OR(sel_Region="All",C1734=sel_Region),OR(sel_Channel="All",E1734=sel_Channel),OR(sel_Customer="All",F1734=sel_Customer),OR(sel_Category="All",G1734=sel_Category),OR(sel_Product="All",H1734=sel_Product),AND(S1734&gt;=m_From,S1734&lt;=m_To)),1,0)</f>
        <v/>
      </c>
      <c r="W1734" s="36">
        <f>IF(AND(OR(sel_Region="All",C1734=sel_Region),OR(sel_Country="All",D1734=sel_Country),OR(sel_Customer="All",F1734=sel_Customer),OR(sel_Category="All",G1734=sel_Category),OR(sel_Product="All",H1734=sel_Product),AND(S1734&gt;=m_From,S1734&lt;=m_To)),1,0)</f>
        <v/>
      </c>
      <c r="X1734" s="36">
        <f>IF(AND(OR(sel_Region="All",C1734=sel_Region),OR(sel_Country="All",D1734=sel_Country),OR(sel_Channel="All",E1734=sel_Channel),OR(sel_Category="All",G1734=sel_Category),OR(sel_Product="All",H1734=sel_Product),AND(S1734&gt;=m_From,S1734&lt;=m_To)),1,0)</f>
        <v/>
      </c>
      <c r="Y1734" s="36">
        <f>IF(AND(OR(sel_Region="All",C1734=sel_Region),OR(sel_Country="All",D1734=sel_Country),OR(sel_Channel="All",E1734=sel_Channel),OR(sel_Customer="All",F1734=sel_Customer),OR(sel_Product="All",H1734=sel_Product),AND(S1734&gt;=m_From,S1734&lt;=m_To)),1,0)</f>
        <v/>
      </c>
      <c r="Z1734" s="36">
        <f>IF(AND(OR(sel_Region="All",C1734=sel_Region),OR(sel_Country="All",D1734=sel_Country),OR(sel_Channel="All",E1734=sel_Channel),OR(sel_Customer="All",F1734=sel_Customer),OR(sel_Category="All",G1734=sel_Category),AND(S1734&gt;=m_From,S1734&lt;=m_To)),1,0)</f>
        <v/>
      </c>
      <c r="AA1734" s="36">
        <f>IF(AND(OR(sel_Region="All",C1734=sel_Region),OR(sel_Country="All",D1734=sel_Country),OR(sel_Channel="All",E1734=sel_Channel),OR(sel_Customer="All",F1734=sel_Customer),OR(sel_Category="All",G1734=sel_Category),OR(sel_Product="All",H1734=sel_Product)),1,0)</f>
        <v/>
      </c>
    </row>
    <row r="1735">
      <c r="A1735" s="36" t="inlineStr">
        <is>
          <t>02083</t>
        </is>
      </c>
      <c r="B1735" s="44" t="n">
        <v>46257</v>
      </c>
      <c r="C1735" s="36" t="inlineStr">
        <is>
          <t>Central Europe</t>
        </is>
      </c>
      <c r="D1735" s="36" t="inlineStr">
        <is>
          <t>Poland</t>
        </is>
      </c>
      <c r="E1735" s="36" t="inlineStr">
        <is>
          <t>Online Store</t>
        </is>
      </c>
      <c r="F1735" s="36" t="inlineStr">
        <is>
          <t>New</t>
        </is>
      </c>
      <c r="G1735" s="36" t="inlineStr">
        <is>
          <t>Hiking</t>
        </is>
      </c>
      <c r="H1735" s="36" t="inlineStr">
        <is>
          <t>Hiking Daypack 20L</t>
        </is>
      </c>
      <c r="I1735" s="36" t="n">
        <v>1</v>
      </c>
      <c r="J1735" s="39" t="n">
        <v>91.37</v>
      </c>
      <c r="K1735" s="45" t="n">
        <v>0</v>
      </c>
      <c r="L1735" s="39" t="n">
        <v>46.73</v>
      </c>
      <c r="M1735" s="39">
        <f>I1735*J1735*(1-K1735)</f>
        <v/>
      </c>
      <c r="N1735" s="39">
        <f>I1735*L1735</f>
        <v/>
      </c>
      <c r="O1735" s="39">
        <f>M1735-N1735</f>
        <v/>
      </c>
      <c r="P1735" s="38">
        <f>IF(M1735=0,0,O1735/M1735)</f>
        <v/>
      </c>
      <c r="Q1735" s="36">
        <f>YEAR(B1735)</f>
        <v/>
      </c>
      <c r="R1735" s="36">
        <f>"Q"&amp;ROUNDUP(MONTH(B1735)/3,0)</f>
        <v/>
      </c>
      <c r="S1735" s="36">
        <f>MONTH(B1735)</f>
        <v/>
      </c>
      <c r="T1735" s="36">
        <f>TEXT(B1735,"mmm")</f>
        <v/>
      </c>
      <c r="U1735" s="36">
        <f>IF(AND(OR(sel_Region="All",C1735=sel_Region),OR(sel_Country="All",D1735=sel_Country),OR(sel_Channel="All",E1735=sel_Channel),OR(sel_Customer="All",F1735=sel_Customer),OR(sel_Category="All",G1735=sel_Category),OR(sel_Product="All",H1735=sel_Product),AND(S1735&gt;=m_From,S1735&lt;=m_To)),1,0)</f>
        <v/>
      </c>
      <c r="V1735" s="36">
        <f>IF(AND(OR(sel_Region="All",C1735=sel_Region),OR(sel_Channel="All",E1735=sel_Channel),OR(sel_Customer="All",F1735=sel_Customer),OR(sel_Category="All",G1735=sel_Category),OR(sel_Product="All",H1735=sel_Product),AND(S1735&gt;=m_From,S1735&lt;=m_To)),1,0)</f>
        <v/>
      </c>
      <c r="W1735" s="36">
        <f>IF(AND(OR(sel_Region="All",C1735=sel_Region),OR(sel_Country="All",D1735=sel_Country),OR(sel_Customer="All",F1735=sel_Customer),OR(sel_Category="All",G1735=sel_Category),OR(sel_Product="All",H1735=sel_Product),AND(S1735&gt;=m_From,S1735&lt;=m_To)),1,0)</f>
        <v/>
      </c>
      <c r="X1735" s="36">
        <f>IF(AND(OR(sel_Region="All",C1735=sel_Region),OR(sel_Country="All",D1735=sel_Country),OR(sel_Channel="All",E1735=sel_Channel),OR(sel_Category="All",G1735=sel_Category),OR(sel_Product="All",H1735=sel_Product),AND(S1735&gt;=m_From,S1735&lt;=m_To)),1,0)</f>
        <v/>
      </c>
      <c r="Y1735" s="36">
        <f>IF(AND(OR(sel_Region="All",C1735=sel_Region),OR(sel_Country="All",D1735=sel_Country),OR(sel_Channel="All",E1735=sel_Channel),OR(sel_Customer="All",F1735=sel_Customer),OR(sel_Product="All",H1735=sel_Product),AND(S1735&gt;=m_From,S1735&lt;=m_To)),1,0)</f>
        <v/>
      </c>
      <c r="Z1735" s="36">
        <f>IF(AND(OR(sel_Region="All",C1735=sel_Region),OR(sel_Country="All",D1735=sel_Country),OR(sel_Channel="All",E1735=sel_Channel),OR(sel_Customer="All",F1735=sel_Customer),OR(sel_Category="All",G1735=sel_Category),AND(S1735&gt;=m_From,S1735&lt;=m_To)),1,0)</f>
        <v/>
      </c>
      <c r="AA1735" s="36">
        <f>IF(AND(OR(sel_Region="All",C1735=sel_Region),OR(sel_Country="All",D1735=sel_Country),OR(sel_Channel="All",E1735=sel_Channel),OR(sel_Customer="All",F1735=sel_Customer),OR(sel_Category="All",G1735=sel_Category),OR(sel_Product="All",H1735=sel_Product)),1,0)</f>
        <v/>
      </c>
    </row>
    <row r="1736">
      <c r="A1736" s="36" t="inlineStr">
        <is>
          <t>02176</t>
        </is>
      </c>
      <c r="B1736" s="44" t="n">
        <v>46257</v>
      </c>
      <c r="C1736" s="36" t="inlineStr">
        <is>
          <t>Central Europe</t>
        </is>
      </c>
      <c r="D1736" s="36" t="inlineStr">
        <is>
          <t>Switzerland</t>
        </is>
      </c>
      <c r="E1736" s="36" t="inlineStr">
        <is>
          <t>Online Store</t>
        </is>
      </c>
      <c r="F1736" s="36" t="inlineStr">
        <is>
          <t>New</t>
        </is>
      </c>
      <c r="G1736" s="36" t="inlineStr">
        <is>
          <t>Travel</t>
        </is>
      </c>
      <c r="H1736" s="36" t="inlineStr">
        <is>
          <t>Packing Cube Set</t>
        </is>
      </c>
      <c r="I1736" s="36" t="n">
        <v>1</v>
      </c>
      <c r="J1736" s="39" t="n">
        <v>46.92</v>
      </c>
      <c r="K1736" s="45" t="n">
        <v>0</v>
      </c>
      <c r="L1736" s="39" t="n">
        <v>18.3</v>
      </c>
      <c r="M1736" s="39">
        <f>I1736*J1736*(1-K1736)</f>
        <v/>
      </c>
      <c r="N1736" s="39">
        <f>I1736*L1736</f>
        <v/>
      </c>
      <c r="O1736" s="39">
        <f>M1736-N1736</f>
        <v/>
      </c>
      <c r="P1736" s="38">
        <f>IF(M1736=0,0,O1736/M1736)</f>
        <v/>
      </c>
      <c r="Q1736" s="36">
        <f>YEAR(B1736)</f>
        <v/>
      </c>
      <c r="R1736" s="36">
        <f>"Q"&amp;ROUNDUP(MONTH(B1736)/3,0)</f>
        <v/>
      </c>
      <c r="S1736" s="36">
        <f>MONTH(B1736)</f>
        <v/>
      </c>
      <c r="T1736" s="36">
        <f>TEXT(B1736,"mmm")</f>
        <v/>
      </c>
      <c r="U1736" s="36">
        <f>IF(AND(OR(sel_Region="All",C1736=sel_Region),OR(sel_Country="All",D1736=sel_Country),OR(sel_Channel="All",E1736=sel_Channel),OR(sel_Customer="All",F1736=sel_Customer),OR(sel_Category="All",G1736=sel_Category),OR(sel_Product="All",H1736=sel_Product),AND(S1736&gt;=m_From,S1736&lt;=m_To)),1,0)</f>
        <v/>
      </c>
      <c r="V1736" s="36">
        <f>IF(AND(OR(sel_Region="All",C1736=sel_Region),OR(sel_Channel="All",E1736=sel_Channel),OR(sel_Customer="All",F1736=sel_Customer),OR(sel_Category="All",G1736=sel_Category),OR(sel_Product="All",H1736=sel_Product),AND(S1736&gt;=m_From,S1736&lt;=m_To)),1,0)</f>
        <v/>
      </c>
      <c r="W1736" s="36">
        <f>IF(AND(OR(sel_Region="All",C1736=sel_Region),OR(sel_Country="All",D1736=sel_Country),OR(sel_Customer="All",F1736=sel_Customer),OR(sel_Category="All",G1736=sel_Category),OR(sel_Product="All",H1736=sel_Product),AND(S1736&gt;=m_From,S1736&lt;=m_To)),1,0)</f>
        <v/>
      </c>
      <c r="X1736" s="36">
        <f>IF(AND(OR(sel_Region="All",C1736=sel_Region),OR(sel_Country="All",D1736=sel_Country),OR(sel_Channel="All",E1736=sel_Channel),OR(sel_Category="All",G1736=sel_Category),OR(sel_Product="All",H1736=sel_Product),AND(S1736&gt;=m_From,S1736&lt;=m_To)),1,0)</f>
        <v/>
      </c>
      <c r="Y1736" s="36">
        <f>IF(AND(OR(sel_Region="All",C1736=sel_Region),OR(sel_Country="All",D1736=sel_Country),OR(sel_Channel="All",E1736=sel_Channel),OR(sel_Customer="All",F1736=sel_Customer),OR(sel_Product="All",H1736=sel_Product),AND(S1736&gt;=m_From,S1736&lt;=m_To)),1,0)</f>
        <v/>
      </c>
      <c r="Z1736" s="36">
        <f>IF(AND(OR(sel_Region="All",C1736=sel_Region),OR(sel_Country="All",D1736=sel_Country),OR(sel_Channel="All",E1736=sel_Channel),OR(sel_Customer="All",F1736=sel_Customer),OR(sel_Category="All",G1736=sel_Category),AND(S1736&gt;=m_From,S1736&lt;=m_To)),1,0)</f>
        <v/>
      </c>
      <c r="AA1736" s="36">
        <f>IF(AND(OR(sel_Region="All",C1736=sel_Region),OR(sel_Country="All",D1736=sel_Country),OR(sel_Channel="All",E1736=sel_Channel),OR(sel_Customer="All",F1736=sel_Customer),OR(sel_Category="All",G1736=sel_Category),OR(sel_Product="All",H1736=sel_Product)),1,0)</f>
        <v/>
      </c>
    </row>
    <row r="1737">
      <c r="A1737" s="36" t="inlineStr">
        <is>
          <t>02723</t>
        </is>
      </c>
      <c r="B1737" s="44" t="n">
        <v>46257</v>
      </c>
      <c r="C1737" s="36" t="inlineStr">
        <is>
          <t>Southern Europe</t>
        </is>
      </c>
      <c r="D1737" s="36" t="inlineStr">
        <is>
          <t>Spain</t>
        </is>
      </c>
      <c r="E1737" s="36" t="inlineStr">
        <is>
          <t>Online Store</t>
        </is>
      </c>
      <c r="F1737" s="36" t="inlineStr">
        <is>
          <t>New</t>
        </is>
      </c>
      <c r="G1737" s="36" t="inlineStr">
        <is>
          <t>Cycling</t>
        </is>
      </c>
      <c r="H1737" s="36" t="inlineStr">
        <is>
          <t>Cycling Pack 12L</t>
        </is>
      </c>
      <c r="I1737" s="36" t="n">
        <v>1</v>
      </c>
      <c r="J1737" s="39" t="n">
        <v>100.29</v>
      </c>
      <c r="K1737" s="45" t="n">
        <v>0.05</v>
      </c>
      <c r="L1737" s="39" t="n">
        <v>49.82</v>
      </c>
      <c r="M1737" s="39">
        <f>I1737*J1737*(1-K1737)</f>
        <v/>
      </c>
      <c r="N1737" s="39">
        <f>I1737*L1737</f>
        <v/>
      </c>
      <c r="O1737" s="39">
        <f>M1737-N1737</f>
        <v/>
      </c>
      <c r="P1737" s="38">
        <f>IF(M1737=0,0,O1737/M1737)</f>
        <v/>
      </c>
      <c r="Q1737" s="36">
        <f>YEAR(B1737)</f>
        <v/>
      </c>
      <c r="R1737" s="36">
        <f>"Q"&amp;ROUNDUP(MONTH(B1737)/3,0)</f>
        <v/>
      </c>
      <c r="S1737" s="36">
        <f>MONTH(B1737)</f>
        <v/>
      </c>
      <c r="T1737" s="36">
        <f>TEXT(B1737,"mmm")</f>
        <v/>
      </c>
      <c r="U1737" s="36">
        <f>IF(AND(OR(sel_Region="All",C1737=sel_Region),OR(sel_Country="All",D1737=sel_Country),OR(sel_Channel="All",E1737=sel_Channel),OR(sel_Customer="All",F1737=sel_Customer),OR(sel_Category="All",G1737=sel_Category),OR(sel_Product="All",H1737=sel_Product),AND(S1737&gt;=m_From,S1737&lt;=m_To)),1,0)</f>
        <v/>
      </c>
      <c r="V1737" s="36">
        <f>IF(AND(OR(sel_Region="All",C1737=sel_Region),OR(sel_Channel="All",E1737=sel_Channel),OR(sel_Customer="All",F1737=sel_Customer),OR(sel_Category="All",G1737=sel_Category),OR(sel_Product="All",H1737=sel_Product),AND(S1737&gt;=m_From,S1737&lt;=m_To)),1,0)</f>
        <v/>
      </c>
      <c r="W1737" s="36">
        <f>IF(AND(OR(sel_Region="All",C1737=sel_Region),OR(sel_Country="All",D1737=sel_Country),OR(sel_Customer="All",F1737=sel_Customer),OR(sel_Category="All",G1737=sel_Category),OR(sel_Product="All",H1737=sel_Product),AND(S1737&gt;=m_From,S1737&lt;=m_To)),1,0)</f>
        <v/>
      </c>
      <c r="X1737" s="36">
        <f>IF(AND(OR(sel_Region="All",C1737=sel_Region),OR(sel_Country="All",D1737=sel_Country),OR(sel_Channel="All",E1737=sel_Channel),OR(sel_Category="All",G1737=sel_Category),OR(sel_Product="All",H1737=sel_Product),AND(S1737&gt;=m_From,S1737&lt;=m_To)),1,0)</f>
        <v/>
      </c>
      <c r="Y1737" s="36">
        <f>IF(AND(OR(sel_Region="All",C1737=sel_Region),OR(sel_Country="All",D1737=sel_Country),OR(sel_Channel="All",E1737=sel_Channel),OR(sel_Customer="All",F1737=sel_Customer),OR(sel_Product="All",H1737=sel_Product),AND(S1737&gt;=m_From,S1737&lt;=m_To)),1,0)</f>
        <v/>
      </c>
      <c r="Z1737" s="36">
        <f>IF(AND(OR(sel_Region="All",C1737=sel_Region),OR(sel_Country="All",D1737=sel_Country),OR(sel_Channel="All",E1737=sel_Channel),OR(sel_Customer="All",F1737=sel_Customer),OR(sel_Category="All",G1737=sel_Category),AND(S1737&gt;=m_From,S1737&lt;=m_To)),1,0)</f>
        <v/>
      </c>
      <c r="AA1737" s="36">
        <f>IF(AND(OR(sel_Region="All",C1737=sel_Region),OR(sel_Country="All",D1737=sel_Country),OR(sel_Channel="All",E1737=sel_Channel),OR(sel_Customer="All",F1737=sel_Customer),OR(sel_Category="All",G1737=sel_Category),OR(sel_Product="All",H1737=sel_Product)),1,0)</f>
        <v/>
      </c>
    </row>
    <row r="1738">
      <c r="A1738" s="36" t="inlineStr">
        <is>
          <t>03299</t>
        </is>
      </c>
      <c r="B1738" s="44" t="n">
        <v>46257</v>
      </c>
      <c r="C1738" s="36" t="inlineStr">
        <is>
          <t>Southern Europe</t>
        </is>
      </c>
      <c r="D1738" s="36" t="inlineStr">
        <is>
          <t>Portugal</t>
        </is>
      </c>
      <c r="E1738" s="36" t="inlineStr">
        <is>
          <t>Online Store</t>
        </is>
      </c>
      <c r="F1738" s="36" t="inlineStr">
        <is>
          <t>New</t>
        </is>
      </c>
      <c r="G1738" s="36" t="inlineStr">
        <is>
          <t>Hiking</t>
        </is>
      </c>
      <c r="H1738" s="36" t="inlineStr">
        <is>
          <t>Trail Boots</t>
        </is>
      </c>
      <c r="I1738" s="36" t="n">
        <v>1</v>
      </c>
      <c r="J1738" s="39" t="n">
        <v>147.11</v>
      </c>
      <c r="K1738" s="45" t="n">
        <v>0.15</v>
      </c>
      <c r="L1738" s="39" t="n">
        <v>79.59999999999999</v>
      </c>
      <c r="M1738" s="39">
        <f>I1738*J1738*(1-K1738)</f>
        <v/>
      </c>
      <c r="N1738" s="39">
        <f>I1738*L1738</f>
        <v/>
      </c>
      <c r="O1738" s="39">
        <f>M1738-N1738</f>
        <v/>
      </c>
      <c r="P1738" s="38">
        <f>IF(M1738=0,0,O1738/M1738)</f>
        <v/>
      </c>
      <c r="Q1738" s="36">
        <f>YEAR(B1738)</f>
        <v/>
      </c>
      <c r="R1738" s="36">
        <f>"Q"&amp;ROUNDUP(MONTH(B1738)/3,0)</f>
        <v/>
      </c>
      <c r="S1738" s="36">
        <f>MONTH(B1738)</f>
        <v/>
      </c>
      <c r="T1738" s="36">
        <f>TEXT(B1738,"mmm")</f>
        <v/>
      </c>
      <c r="U1738" s="36">
        <f>IF(AND(OR(sel_Region="All",C1738=sel_Region),OR(sel_Country="All",D1738=sel_Country),OR(sel_Channel="All",E1738=sel_Channel),OR(sel_Customer="All",F1738=sel_Customer),OR(sel_Category="All",G1738=sel_Category),OR(sel_Product="All",H1738=sel_Product),AND(S1738&gt;=m_From,S1738&lt;=m_To)),1,0)</f>
        <v/>
      </c>
      <c r="V1738" s="36">
        <f>IF(AND(OR(sel_Region="All",C1738=sel_Region),OR(sel_Channel="All",E1738=sel_Channel),OR(sel_Customer="All",F1738=sel_Customer),OR(sel_Category="All",G1738=sel_Category),OR(sel_Product="All",H1738=sel_Product),AND(S1738&gt;=m_From,S1738&lt;=m_To)),1,0)</f>
        <v/>
      </c>
      <c r="W1738" s="36">
        <f>IF(AND(OR(sel_Region="All",C1738=sel_Region),OR(sel_Country="All",D1738=sel_Country),OR(sel_Customer="All",F1738=sel_Customer),OR(sel_Category="All",G1738=sel_Category),OR(sel_Product="All",H1738=sel_Product),AND(S1738&gt;=m_From,S1738&lt;=m_To)),1,0)</f>
        <v/>
      </c>
      <c r="X1738" s="36">
        <f>IF(AND(OR(sel_Region="All",C1738=sel_Region),OR(sel_Country="All",D1738=sel_Country),OR(sel_Channel="All",E1738=sel_Channel),OR(sel_Category="All",G1738=sel_Category),OR(sel_Product="All",H1738=sel_Product),AND(S1738&gt;=m_From,S1738&lt;=m_To)),1,0)</f>
        <v/>
      </c>
      <c r="Y1738" s="36">
        <f>IF(AND(OR(sel_Region="All",C1738=sel_Region),OR(sel_Country="All",D1738=sel_Country),OR(sel_Channel="All",E1738=sel_Channel),OR(sel_Customer="All",F1738=sel_Customer),OR(sel_Product="All",H1738=sel_Product),AND(S1738&gt;=m_From,S1738&lt;=m_To)),1,0)</f>
        <v/>
      </c>
      <c r="Z1738" s="36">
        <f>IF(AND(OR(sel_Region="All",C1738=sel_Region),OR(sel_Country="All",D1738=sel_Country),OR(sel_Channel="All",E1738=sel_Channel),OR(sel_Customer="All",F1738=sel_Customer),OR(sel_Category="All",G1738=sel_Category),AND(S1738&gt;=m_From,S1738&lt;=m_To)),1,0)</f>
        <v/>
      </c>
      <c r="AA1738" s="36">
        <f>IF(AND(OR(sel_Region="All",C1738=sel_Region),OR(sel_Country="All",D1738=sel_Country),OR(sel_Channel="All",E1738=sel_Channel),OR(sel_Customer="All",F1738=sel_Customer),OR(sel_Category="All",G1738=sel_Category),OR(sel_Product="All",H1738=sel_Product)),1,0)</f>
        <v/>
      </c>
    </row>
    <row r="1739">
      <c r="A1739" s="36" t="inlineStr">
        <is>
          <t>03398</t>
        </is>
      </c>
      <c r="B1739" s="44" t="n">
        <v>46257</v>
      </c>
      <c r="C1739" s="36" t="inlineStr">
        <is>
          <t>Central Europe</t>
        </is>
      </c>
      <c r="D1739" s="36" t="inlineStr">
        <is>
          <t>Germany</t>
        </is>
      </c>
      <c r="E1739" s="36" t="inlineStr">
        <is>
          <t>Online Store</t>
        </is>
      </c>
      <c r="F1739" s="36" t="inlineStr">
        <is>
          <t>New</t>
        </is>
      </c>
      <c r="G1739" s="36" t="inlineStr">
        <is>
          <t>Hiking</t>
        </is>
      </c>
      <c r="H1739" s="36" t="inlineStr">
        <is>
          <t>Summit Backpack 45L</t>
        </is>
      </c>
      <c r="I1739" s="36" t="n">
        <v>2</v>
      </c>
      <c r="J1739" s="39" t="n">
        <v>156.45</v>
      </c>
      <c r="K1739" s="45" t="n">
        <v>0</v>
      </c>
      <c r="L1739" s="39" t="n">
        <v>80.13</v>
      </c>
      <c r="M1739" s="39">
        <f>I1739*J1739*(1-K1739)</f>
        <v/>
      </c>
      <c r="N1739" s="39">
        <f>I1739*L1739</f>
        <v/>
      </c>
      <c r="O1739" s="39">
        <f>M1739-N1739</f>
        <v/>
      </c>
      <c r="P1739" s="38">
        <f>IF(M1739=0,0,O1739/M1739)</f>
        <v/>
      </c>
      <c r="Q1739" s="36">
        <f>YEAR(B1739)</f>
        <v/>
      </c>
      <c r="R1739" s="36">
        <f>"Q"&amp;ROUNDUP(MONTH(B1739)/3,0)</f>
        <v/>
      </c>
      <c r="S1739" s="36">
        <f>MONTH(B1739)</f>
        <v/>
      </c>
      <c r="T1739" s="36">
        <f>TEXT(B1739,"mmm")</f>
        <v/>
      </c>
      <c r="U1739" s="36">
        <f>IF(AND(OR(sel_Region="All",C1739=sel_Region),OR(sel_Country="All",D1739=sel_Country),OR(sel_Channel="All",E1739=sel_Channel),OR(sel_Customer="All",F1739=sel_Customer),OR(sel_Category="All",G1739=sel_Category),OR(sel_Product="All",H1739=sel_Product),AND(S1739&gt;=m_From,S1739&lt;=m_To)),1,0)</f>
        <v/>
      </c>
      <c r="V1739" s="36">
        <f>IF(AND(OR(sel_Region="All",C1739=sel_Region),OR(sel_Channel="All",E1739=sel_Channel),OR(sel_Customer="All",F1739=sel_Customer),OR(sel_Category="All",G1739=sel_Category),OR(sel_Product="All",H1739=sel_Product),AND(S1739&gt;=m_From,S1739&lt;=m_To)),1,0)</f>
        <v/>
      </c>
      <c r="W1739" s="36">
        <f>IF(AND(OR(sel_Region="All",C1739=sel_Region),OR(sel_Country="All",D1739=sel_Country),OR(sel_Customer="All",F1739=sel_Customer),OR(sel_Category="All",G1739=sel_Category),OR(sel_Product="All",H1739=sel_Product),AND(S1739&gt;=m_From,S1739&lt;=m_To)),1,0)</f>
        <v/>
      </c>
      <c r="X1739" s="36">
        <f>IF(AND(OR(sel_Region="All",C1739=sel_Region),OR(sel_Country="All",D1739=sel_Country),OR(sel_Channel="All",E1739=sel_Channel),OR(sel_Category="All",G1739=sel_Category),OR(sel_Product="All",H1739=sel_Product),AND(S1739&gt;=m_From,S1739&lt;=m_To)),1,0)</f>
        <v/>
      </c>
      <c r="Y1739" s="36">
        <f>IF(AND(OR(sel_Region="All",C1739=sel_Region),OR(sel_Country="All",D1739=sel_Country),OR(sel_Channel="All",E1739=sel_Channel),OR(sel_Customer="All",F1739=sel_Customer),OR(sel_Product="All",H1739=sel_Product),AND(S1739&gt;=m_From,S1739&lt;=m_To)),1,0)</f>
        <v/>
      </c>
      <c r="Z1739" s="36">
        <f>IF(AND(OR(sel_Region="All",C1739=sel_Region),OR(sel_Country="All",D1739=sel_Country),OR(sel_Channel="All",E1739=sel_Channel),OR(sel_Customer="All",F1739=sel_Customer),OR(sel_Category="All",G1739=sel_Category),AND(S1739&gt;=m_From,S1739&lt;=m_To)),1,0)</f>
        <v/>
      </c>
      <c r="AA1739" s="36">
        <f>IF(AND(OR(sel_Region="All",C1739=sel_Region),OR(sel_Country="All",D1739=sel_Country),OR(sel_Channel="All",E1739=sel_Channel),OR(sel_Customer="All",F1739=sel_Customer),OR(sel_Category="All",G1739=sel_Category),OR(sel_Product="All",H1739=sel_Product)),1,0)</f>
        <v/>
      </c>
    </row>
    <row r="1740">
      <c r="A1740" s="36" t="inlineStr">
        <is>
          <t>04012</t>
        </is>
      </c>
      <c r="B1740" s="44" t="n">
        <v>46257</v>
      </c>
      <c r="C1740" s="36" t="inlineStr">
        <is>
          <t>Central Europe</t>
        </is>
      </c>
      <c r="D1740" s="36" t="inlineStr">
        <is>
          <t>Poland</t>
        </is>
      </c>
      <c r="E1740" s="36" t="inlineStr">
        <is>
          <t>Online Store</t>
        </is>
      </c>
      <c r="F1740" s="36" t="inlineStr">
        <is>
          <t>New</t>
        </is>
      </c>
      <c r="G1740" s="36" t="inlineStr">
        <is>
          <t>Hiking</t>
        </is>
      </c>
      <c r="H1740" s="36" t="inlineStr">
        <is>
          <t>Trekking Poles</t>
        </is>
      </c>
      <c r="I1740" s="36" t="n">
        <v>2</v>
      </c>
      <c r="J1740" s="39" t="n">
        <v>72.97</v>
      </c>
      <c r="K1740" s="45" t="n">
        <v>0</v>
      </c>
      <c r="L1740" s="39" t="n">
        <v>33.25</v>
      </c>
      <c r="M1740" s="39">
        <f>I1740*J1740*(1-K1740)</f>
        <v/>
      </c>
      <c r="N1740" s="39">
        <f>I1740*L1740</f>
        <v/>
      </c>
      <c r="O1740" s="39">
        <f>M1740-N1740</f>
        <v/>
      </c>
      <c r="P1740" s="38">
        <f>IF(M1740=0,0,O1740/M1740)</f>
        <v/>
      </c>
      <c r="Q1740" s="36">
        <f>YEAR(B1740)</f>
        <v/>
      </c>
      <c r="R1740" s="36">
        <f>"Q"&amp;ROUNDUP(MONTH(B1740)/3,0)</f>
        <v/>
      </c>
      <c r="S1740" s="36">
        <f>MONTH(B1740)</f>
        <v/>
      </c>
      <c r="T1740" s="36">
        <f>TEXT(B1740,"mmm")</f>
        <v/>
      </c>
      <c r="U1740" s="36">
        <f>IF(AND(OR(sel_Region="All",C1740=sel_Region),OR(sel_Country="All",D1740=sel_Country),OR(sel_Channel="All",E1740=sel_Channel),OR(sel_Customer="All",F1740=sel_Customer),OR(sel_Category="All",G1740=sel_Category),OR(sel_Product="All",H1740=sel_Product),AND(S1740&gt;=m_From,S1740&lt;=m_To)),1,0)</f>
        <v/>
      </c>
      <c r="V1740" s="36">
        <f>IF(AND(OR(sel_Region="All",C1740=sel_Region),OR(sel_Channel="All",E1740=sel_Channel),OR(sel_Customer="All",F1740=sel_Customer),OR(sel_Category="All",G1740=sel_Category),OR(sel_Product="All",H1740=sel_Product),AND(S1740&gt;=m_From,S1740&lt;=m_To)),1,0)</f>
        <v/>
      </c>
      <c r="W1740" s="36">
        <f>IF(AND(OR(sel_Region="All",C1740=sel_Region),OR(sel_Country="All",D1740=sel_Country),OR(sel_Customer="All",F1740=sel_Customer),OR(sel_Category="All",G1740=sel_Category),OR(sel_Product="All",H1740=sel_Product),AND(S1740&gt;=m_From,S1740&lt;=m_To)),1,0)</f>
        <v/>
      </c>
      <c r="X1740" s="36">
        <f>IF(AND(OR(sel_Region="All",C1740=sel_Region),OR(sel_Country="All",D1740=sel_Country),OR(sel_Channel="All",E1740=sel_Channel),OR(sel_Category="All",G1740=sel_Category),OR(sel_Product="All",H1740=sel_Product),AND(S1740&gt;=m_From,S1740&lt;=m_To)),1,0)</f>
        <v/>
      </c>
      <c r="Y1740" s="36">
        <f>IF(AND(OR(sel_Region="All",C1740=sel_Region),OR(sel_Country="All",D1740=sel_Country),OR(sel_Channel="All",E1740=sel_Channel),OR(sel_Customer="All",F1740=sel_Customer),OR(sel_Product="All",H1740=sel_Product),AND(S1740&gt;=m_From,S1740&lt;=m_To)),1,0)</f>
        <v/>
      </c>
      <c r="Z1740" s="36">
        <f>IF(AND(OR(sel_Region="All",C1740=sel_Region),OR(sel_Country="All",D1740=sel_Country),OR(sel_Channel="All",E1740=sel_Channel),OR(sel_Customer="All",F1740=sel_Customer),OR(sel_Category="All",G1740=sel_Category),AND(S1740&gt;=m_From,S1740&lt;=m_To)),1,0)</f>
        <v/>
      </c>
      <c r="AA1740" s="36">
        <f>IF(AND(OR(sel_Region="All",C1740=sel_Region),OR(sel_Country="All",D1740=sel_Country),OR(sel_Channel="All",E1740=sel_Channel),OR(sel_Customer="All",F1740=sel_Customer),OR(sel_Category="All",G1740=sel_Category),OR(sel_Product="All",H1740=sel_Product)),1,0)</f>
        <v/>
      </c>
    </row>
    <row r="1741">
      <c r="A1741" s="36" t="inlineStr">
        <is>
          <t>04064</t>
        </is>
      </c>
      <c r="B1741" s="44" t="n">
        <v>46257</v>
      </c>
      <c r="C1741" s="36" t="inlineStr">
        <is>
          <t>Western Europe</t>
        </is>
      </c>
      <c r="D1741" s="36" t="inlineStr">
        <is>
          <t>Netherlands</t>
        </is>
      </c>
      <c r="E1741" s="36" t="inlineStr">
        <is>
          <t>Marketplace</t>
        </is>
      </c>
      <c r="F1741" s="36" t="inlineStr">
        <is>
          <t>Returning</t>
        </is>
      </c>
      <c r="G1741" s="36" t="inlineStr">
        <is>
          <t>Fitness</t>
        </is>
      </c>
      <c r="H1741" s="36" t="inlineStr">
        <is>
          <t>Training Mat</t>
        </is>
      </c>
      <c r="I1741" s="36" t="n">
        <v>2</v>
      </c>
      <c r="J1741" s="39" t="n">
        <v>51.63</v>
      </c>
      <c r="K1741" s="45" t="n">
        <v>0</v>
      </c>
      <c r="L1741" s="39" t="n">
        <v>21.39</v>
      </c>
      <c r="M1741" s="39">
        <f>I1741*J1741*(1-K1741)</f>
        <v/>
      </c>
      <c r="N1741" s="39">
        <f>I1741*L1741</f>
        <v/>
      </c>
      <c r="O1741" s="39">
        <f>M1741-N1741</f>
        <v/>
      </c>
      <c r="P1741" s="38">
        <f>IF(M1741=0,0,O1741/M1741)</f>
        <v/>
      </c>
      <c r="Q1741" s="36">
        <f>YEAR(B1741)</f>
        <v/>
      </c>
      <c r="R1741" s="36">
        <f>"Q"&amp;ROUNDUP(MONTH(B1741)/3,0)</f>
        <v/>
      </c>
      <c r="S1741" s="36">
        <f>MONTH(B1741)</f>
        <v/>
      </c>
      <c r="T1741" s="36">
        <f>TEXT(B1741,"mmm")</f>
        <v/>
      </c>
      <c r="U1741" s="36">
        <f>IF(AND(OR(sel_Region="All",C1741=sel_Region),OR(sel_Country="All",D1741=sel_Country),OR(sel_Channel="All",E1741=sel_Channel),OR(sel_Customer="All",F1741=sel_Customer),OR(sel_Category="All",G1741=sel_Category),OR(sel_Product="All",H1741=sel_Product),AND(S1741&gt;=m_From,S1741&lt;=m_To)),1,0)</f>
        <v/>
      </c>
      <c r="V1741" s="36">
        <f>IF(AND(OR(sel_Region="All",C1741=sel_Region),OR(sel_Channel="All",E1741=sel_Channel),OR(sel_Customer="All",F1741=sel_Customer),OR(sel_Category="All",G1741=sel_Category),OR(sel_Product="All",H1741=sel_Product),AND(S1741&gt;=m_From,S1741&lt;=m_To)),1,0)</f>
        <v/>
      </c>
      <c r="W1741" s="36">
        <f>IF(AND(OR(sel_Region="All",C1741=sel_Region),OR(sel_Country="All",D1741=sel_Country),OR(sel_Customer="All",F1741=sel_Customer),OR(sel_Category="All",G1741=sel_Category),OR(sel_Product="All",H1741=sel_Product),AND(S1741&gt;=m_From,S1741&lt;=m_To)),1,0)</f>
        <v/>
      </c>
      <c r="X1741" s="36">
        <f>IF(AND(OR(sel_Region="All",C1741=sel_Region),OR(sel_Country="All",D1741=sel_Country),OR(sel_Channel="All",E1741=sel_Channel),OR(sel_Category="All",G1741=sel_Category),OR(sel_Product="All",H1741=sel_Product),AND(S1741&gt;=m_From,S1741&lt;=m_To)),1,0)</f>
        <v/>
      </c>
      <c r="Y1741" s="36">
        <f>IF(AND(OR(sel_Region="All",C1741=sel_Region),OR(sel_Country="All",D1741=sel_Country),OR(sel_Channel="All",E1741=sel_Channel),OR(sel_Customer="All",F1741=sel_Customer),OR(sel_Product="All",H1741=sel_Product),AND(S1741&gt;=m_From,S1741&lt;=m_To)),1,0)</f>
        <v/>
      </c>
      <c r="Z1741" s="36">
        <f>IF(AND(OR(sel_Region="All",C1741=sel_Region),OR(sel_Country="All",D1741=sel_Country),OR(sel_Channel="All",E1741=sel_Channel),OR(sel_Customer="All",F1741=sel_Customer),OR(sel_Category="All",G1741=sel_Category),AND(S1741&gt;=m_From,S1741&lt;=m_To)),1,0)</f>
        <v/>
      </c>
      <c r="AA1741" s="36">
        <f>IF(AND(OR(sel_Region="All",C1741=sel_Region),OR(sel_Country="All",D1741=sel_Country),OR(sel_Channel="All",E1741=sel_Channel),OR(sel_Customer="All",F1741=sel_Customer),OR(sel_Category="All",G1741=sel_Category),OR(sel_Product="All",H1741=sel_Product)),1,0)</f>
        <v/>
      </c>
    </row>
    <row r="1742">
      <c r="A1742" s="36" t="inlineStr">
        <is>
          <t>04671</t>
        </is>
      </c>
      <c r="B1742" s="44" t="n">
        <v>46257</v>
      </c>
      <c r="C1742" s="36" t="inlineStr">
        <is>
          <t>Central Europe</t>
        </is>
      </c>
      <c r="D1742" s="36" t="inlineStr">
        <is>
          <t>Germany</t>
        </is>
      </c>
      <c r="E1742" s="36" t="inlineStr">
        <is>
          <t>Corporate</t>
        </is>
      </c>
      <c r="F1742" s="36" t="inlineStr">
        <is>
          <t>Returning</t>
        </is>
      </c>
      <c r="G1742" s="36" t="inlineStr">
        <is>
          <t>Cycling</t>
        </is>
      </c>
      <c r="H1742" s="36" t="inlineStr">
        <is>
          <t>Cycling Pack 12L</t>
        </is>
      </c>
      <c r="I1742" s="36" t="n">
        <v>8</v>
      </c>
      <c r="J1742" s="39" t="n">
        <v>100.06</v>
      </c>
      <c r="K1742" s="45" t="n">
        <v>0.05</v>
      </c>
      <c r="L1742" s="39" t="n">
        <v>49.39</v>
      </c>
      <c r="M1742" s="39">
        <f>I1742*J1742*(1-K1742)</f>
        <v/>
      </c>
      <c r="N1742" s="39">
        <f>I1742*L1742</f>
        <v/>
      </c>
      <c r="O1742" s="39">
        <f>M1742-N1742</f>
        <v/>
      </c>
      <c r="P1742" s="38">
        <f>IF(M1742=0,0,O1742/M1742)</f>
        <v/>
      </c>
      <c r="Q1742" s="36">
        <f>YEAR(B1742)</f>
        <v/>
      </c>
      <c r="R1742" s="36">
        <f>"Q"&amp;ROUNDUP(MONTH(B1742)/3,0)</f>
        <v/>
      </c>
      <c r="S1742" s="36">
        <f>MONTH(B1742)</f>
        <v/>
      </c>
      <c r="T1742" s="36">
        <f>TEXT(B1742,"mmm")</f>
        <v/>
      </c>
      <c r="U1742" s="36">
        <f>IF(AND(OR(sel_Region="All",C1742=sel_Region),OR(sel_Country="All",D1742=sel_Country),OR(sel_Channel="All",E1742=sel_Channel),OR(sel_Customer="All",F1742=sel_Customer),OR(sel_Category="All",G1742=sel_Category),OR(sel_Product="All",H1742=sel_Product),AND(S1742&gt;=m_From,S1742&lt;=m_To)),1,0)</f>
        <v/>
      </c>
      <c r="V1742" s="36">
        <f>IF(AND(OR(sel_Region="All",C1742=sel_Region),OR(sel_Channel="All",E1742=sel_Channel),OR(sel_Customer="All",F1742=sel_Customer),OR(sel_Category="All",G1742=sel_Category),OR(sel_Product="All",H1742=sel_Product),AND(S1742&gt;=m_From,S1742&lt;=m_To)),1,0)</f>
        <v/>
      </c>
      <c r="W1742" s="36">
        <f>IF(AND(OR(sel_Region="All",C1742=sel_Region),OR(sel_Country="All",D1742=sel_Country),OR(sel_Customer="All",F1742=sel_Customer),OR(sel_Category="All",G1742=sel_Category),OR(sel_Product="All",H1742=sel_Product),AND(S1742&gt;=m_From,S1742&lt;=m_To)),1,0)</f>
        <v/>
      </c>
      <c r="X1742" s="36">
        <f>IF(AND(OR(sel_Region="All",C1742=sel_Region),OR(sel_Country="All",D1742=sel_Country),OR(sel_Channel="All",E1742=sel_Channel),OR(sel_Category="All",G1742=sel_Category),OR(sel_Product="All",H1742=sel_Product),AND(S1742&gt;=m_From,S1742&lt;=m_To)),1,0)</f>
        <v/>
      </c>
      <c r="Y1742" s="36">
        <f>IF(AND(OR(sel_Region="All",C1742=sel_Region),OR(sel_Country="All",D1742=sel_Country),OR(sel_Channel="All",E1742=sel_Channel),OR(sel_Customer="All",F1742=sel_Customer),OR(sel_Product="All",H1742=sel_Product),AND(S1742&gt;=m_From,S1742&lt;=m_To)),1,0)</f>
        <v/>
      </c>
      <c r="Z1742" s="36">
        <f>IF(AND(OR(sel_Region="All",C1742=sel_Region),OR(sel_Country="All",D1742=sel_Country),OR(sel_Channel="All",E1742=sel_Channel),OR(sel_Customer="All",F1742=sel_Customer),OR(sel_Category="All",G1742=sel_Category),AND(S1742&gt;=m_From,S1742&lt;=m_To)),1,0)</f>
        <v/>
      </c>
      <c r="AA1742" s="36">
        <f>IF(AND(OR(sel_Region="All",C1742=sel_Region),OR(sel_Country="All",D1742=sel_Country),OR(sel_Channel="All",E1742=sel_Channel),OR(sel_Customer="All",F1742=sel_Customer),OR(sel_Category="All",G1742=sel_Category),OR(sel_Product="All",H1742=sel_Product)),1,0)</f>
        <v/>
      </c>
    </row>
    <row r="1743">
      <c r="A1743" s="36" t="inlineStr">
        <is>
          <t>01914</t>
        </is>
      </c>
      <c r="B1743" s="44" t="n">
        <v>46258</v>
      </c>
      <c r="C1743" s="36" t="inlineStr">
        <is>
          <t>Western Europe</t>
        </is>
      </c>
      <c r="D1743" s="36" t="inlineStr">
        <is>
          <t>United Kingdom</t>
        </is>
      </c>
      <c r="E1743" s="36" t="inlineStr">
        <is>
          <t>Retail Partners</t>
        </is>
      </c>
      <c r="F1743" s="36" t="inlineStr">
        <is>
          <t>Returning</t>
        </is>
      </c>
      <c r="G1743" s="36" t="inlineStr">
        <is>
          <t>Camping</t>
        </is>
      </c>
      <c r="H1743" s="36" t="inlineStr">
        <is>
          <t>Portable Camp Stove</t>
        </is>
      </c>
      <c r="I1743" s="36" t="n">
        <v>4</v>
      </c>
      <c r="J1743" s="39" t="n">
        <v>83.2</v>
      </c>
      <c r="K1743" s="45" t="n">
        <v>0</v>
      </c>
      <c r="L1743" s="39" t="n">
        <v>39.99</v>
      </c>
      <c r="M1743" s="39">
        <f>I1743*J1743*(1-K1743)</f>
        <v/>
      </c>
      <c r="N1743" s="39">
        <f>I1743*L1743</f>
        <v/>
      </c>
      <c r="O1743" s="39">
        <f>M1743-N1743</f>
        <v/>
      </c>
      <c r="P1743" s="38">
        <f>IF(M1743=0,0,O1743/M1743)</f>
        <v/>
      </c>
      <c r="Q1743" s="36">
        <f>YEAR(B1743)</f>
        <v/>
      </c>
      <c r="R1743" s="36">
        <f>"Q"&amp;ROUNDUP(MONTH(B1743)/3,0)</f>
        <v/>
      </c>
      <c r="S1743" s="36">
        <f>MONTH(B1743)</f>
        <v/>
      </c>
      <c r="T1743" s="36">
        <f>TEXT(B1743,"mmm")</f>
        <v/>
      </c>
      <c r="U1743" s="36">
        <f>IF(AND(OR(sel_Region="All",C1743=sel_Region),OR(sel_Country="All",D1743=sel_Country),OR(sel_Channel="All",E1743=sel_Channel),OR(sel_Customer="All",F1743=sel_Customer),OR(sel_Category="All",G1743=sel_Category),OR(sel_Product="All",H1743=sel_Product),AND(S1743&gt;=m_From,S1743&lt;=m_To)),1,0)</f>
        <v/>
      </c>
      <c r="V1743" s="36">
        <f>IF(AND(OR(sel_Region="All",C1743=sel_Region),OR(sel_Channel="All",E1743=sel_Channel),OR(sel_Customer="All",F1743=sel_Customer),OR(sel_Category="All",G1743=sel_Category),OR(sel_Product="All",H1743=sel_Product),AND(S1743&gt;=m_From,S1743&lt;=m_To)),1,0)</f>
        <v/>
      </c>
      <c r="W1743" s="36">
        <f>IF(AND(OR(sel_Region="All",C1743=sel_Region),OR(sel_Country="All",D1743=sel_Country),OR(sel_Customer="All",F1743=sel_Customer),OR(sel_Category="All",G1743=sel_Category),OR(sel_Product="All",H1743=sel_Product),AND(S1743&gt;=m_From,S1743&lt;=m_To)),1,0)</f>
        <v/>
      </c>
      <c r="X1743" s="36">
        <f>IF(AND(OR(sel_Region="All",C1743=sel_Region),OR(sel_Country="All",D1743=sel_Country),OR(sel_Channel="All",E1743=sel_Channel),OR(sel_Category="All",G1743=sel_Category),OR(sel_Product="All",H1743=sel_Product),AND(S1743&gt;=m_From,S1743&lt;=m_To)),1,0)</f>
        <v/>
      </c>
      <c r="Y1743" s="36">
        <f>IF(AND(OR(sel_Region="All",C1743=sel_Region),OR(sel_Country="All",D1743=sel_Country),OR(sel_Channel="All",E1743=sel_Channel),OR(sel_Customer="All",F1743=sel_Customer),OR(sel_Product="All",H1743=sel_Product),AND(S1743&gt;=m_From,S1743&lt;=m_To)),1,0)</f>
        <v/>
      </c>
      <c r="Z1743" s="36">
        <f>IF(AND(OR(sel_Region="All",C1743=sel_Region),OR(sel_Country="All",D1743=sel_Country),OR(sel_Channel="All",E1743=sel_Channel),OR(sel_Customer="All",F1743=sel_Customer),OR(sel_Category="All",G1743=sel_Category),AND(S1743&gt;=m_From,S1743&lt;=m_To)),1,0)</f>
        <v/>
      </c>
      <c r="AA1743" s="36">
        <f>IF(AND(OR(sel_Region="All",C1743=sel_Region),OR(sel_Country="All",D1743=sel_Country),OR(sel_Channel="All",E1743=sel_Channel),OR(sel_Customer="All",F1743=sel_Customer),OR(sel_Category="All",G1743=sel_Category),OR(sel_Product="All",H1743=sel_Product)),1,0)</f>
        <v/>
      </c>
    </row>
    <row r="1744">
      <c r="A1744" s="36" t="inlineStr">
        <is>
          <t>01973</t>
        </is>
      </c>
      <c r="B1744" s="44" t="n">
        <v>46258</v>
      </c>
      <c r="C1744" s="36" t="inlineStr">
        <is>
          <t>Southern Europe</t>
        </is>
      </c>
      <c r="D1744" s="36" t="inlineStr">
        <is>
          <t>Spain</t>
        </is>
      </c>
      <c r="E1744" s="36" t="inlineStr">
        <is>
          <t>Online Store</t>
        </is>
      </c>
      <c r="F1744" s="36" t="inlineStr">
        <is>
          <t>New</t>
        </is>
      </c>
      <c r="G1744" s="36" t="inlineStr">
        <is>
          <t>Fitness</t>
        </is>
      </c>
      <c r="H1744" s="36" t="inlineStr">
        <is>
          <t>Training Mat</t>
        </is>
      </c>
      <c r="I1744" s="36" t="n">
        <v>3</v>
      </c>
      <c r="J1744" s="39" t="n">
        <v>51.29</v>
      </c>
      <c r="K1744" s="45" t="n">
        <v>0</v>
      </c>
      <c r="L1744" s="39" t="n">
        <v>22.08</v>
      </c>
      <c r="M1744" s="39">
        <f>I1744*J1744*(1-K1744)</f>
        <v/>
      </c>
      <c r="N1744" s="39">
        <f>I1744*L1744</f>
        <v/>
      </c>
      <c r="O1744" s="39">
        <f>M1744-N1744</f>
        <v/>
      </c>
      <c r="P1744" s="38">
        <f>IF(M1744=0,0,O1744/M1744)</f>
        <v/>
      </c>
      <c r="Q1744" s="36">
        <f>YEAR(B1744)</f>
        <v/>
      </c>
      <c r="R1744" s="36">
        <f>"Q"&amp;ROUNDUP(MONTH(B1744)/3,0)</f>
        <v/>
      </c>
      <c r="S1744" s="36">
        <f>MONTH(B1744)</f>
        <v/>
      </c>
      <c r="T1744" s="36">
        <f>TEXT(B1744,"mmm")</f>
        <v/>
      </c>
      <c r="U1744" s="36">
        <f>IF(AND(OR(sel_Region="All",C1744=sel_Region),OR(sel_Country="All",D1744=sel_Country),OR(sel_Channel="All",E1744=sel_Channel),OR(sel_Customer="All",F1744=sel_Customer),OR(sel_Category="All",G1744=sel_Category),OR(sel_Product="All",H1744=sel_Product),AND(S1744&gt;=m_From,S1744&lt;=m_To)),1,0)</f>
        <v/>
      </c>
      <c r="V1744" s="36">
        <f>IF(AND(OR(sel_Region="All",C1744=sel_Region),OR(sel_Channel="All",E1744=sel_Channel),OR(sel_Customer="All",F1744=sel_Customer),OR(sel_Category="All",G1744=sel_Category),OR(sel_Product="All",H1744=sel_Product),AND(S1744&gt;=m_From,S1744&lt;=m_To)),1,0)</f>
        <v/>
      </c>
      <c r="W1744" s="36">
        <f>IF(AND(OR(sel_Region="All",C1744=sel_Region),OR(sel_Country="All",D1744=sel_Country),OR(sel_Customer="All",F1744=sel_Customer),OR(sel_Category="All",G1744=sel_Category),OR(sel_Product="All",H1744=sel_Product),AND(S1744&gt;=m_From,S1744&lt;=m_To)),1,0)</f>
        <v/>
      </c>
      <c r="X1744" s="36">
        <f>IF(AND(OR(sel_Region="All",C1744=sel_Region),OR(sel_Country="All",D1744=sel_Country),OR(sel_Channel="All",E1744=sel_Channel),OR(sel_Category="All",G1744=sel_Category),OR(sel_Product="All",H1744=sel_Product),AND(S1744&gt;=m_From,S1744&lt;=m_To)),1,0)</f>
        <v/>
      </c>
      <c r="Y1744" s="36">
        <f>IF(AND(OR(sel_Region="All",C1744=sel_Region),OR(sel_Country="All",D1744=sel_Country),OR(sel_Channel="All",E1744=sel_Channel),OR(sel_Customer="All",F1744=sel_Customer),OR(sel_Product="All",H1744=sel_Product),AND(S1744&gt;=m_From,S1744&lt;=m_To)),1,0)</f>
        <v/>
      </c>
      <c r="Z1744" s="36">
        <f>IF(AND(OR(sel_Region="All",C1744=sel_Region),OR(sel_Country="All",D1744=sel_Country),OR(sel_Channel="All",E1744=sel_Channel),OR(sel_Customer="All",F1744=sel_Customer),OR(sel_Category="All",G1744=sel_Category),AND(S1744&gt;=m_From,S1744&lt;=m_To)),1,0)</f>
        <v/>
      </c>
      <c r="AA1744" s="36">
        <f>IF(AND(OR(sel_Region="All",C1744=sel_Region),OR(sel_Country="All",D1744=sel_Country),OR(sel_Channel="All",E1744=sel_Channel),OR(sel_Customer="All",F1744=sel_Customer),OR(sel_Category="All",G1744=sel_Category),OR(sel_Product="All",H1744=sel_Product)),1,0)</f>
        <v/>
      </c>
    </row>
    <row r="1745">
      <c r="A1745" s="36" t="inlineStr">
        <is>
          <t>02564</t>
        </is>
      </c>
      <c r="B1745" s="44" t="n">
        <v>46258</v>
      </c>
      <c r="C1745" s="36" t="inlineStr">
        <is>
          <t>Northern Europe</t>
        </is>
      </c>
      <c r="D1745" s="36" t="inlineStr">
        <is>
          <t>Ireland</t>
        </is>
      </c>
      <c r="E1745" s="36" t="inlineStr">
        <is>
          <t>Online Store</t>
        </is>
      </c>
      <c r="F1745" s="36" t="inlineStr">
        <is>
          <t>Returning</t>
        </is>
      </c>
      <c r="G1745" s="36" t="inlineStr">
        <is>
          <t>Camping</t>
        </is>
      </c>
      <c r="H1745" s="36" t="inlineStr">
        <is>
          <t>Trail Tent 2P</t>
        </is>
      </c>
      <c r="I1745" s="36" t="n">
        <v>1</v>
      </c>
      <c r="J1745" s="39" t="n">
        <v>200.2</v>
      </c>
      <c r="K1745" s="45" t="n">
        <v>0</v>
      </c>
      <c r="L1745" s="39" t="n">
        <v>103.38</v>
      </c>
      <c r="M1745" s="39">
        <f>I1745*J1745*(1-K1745)</f>
        <v/>
      </c>
      <c r="N1745" s="39">
        <f>I1745*L1745</f>
        <v/>
      </c>
      <c r="O1745" s="39">
        <f>M1745-N1745</f>
        <v/>
      </c>
      <c r="P1745" s="38">
        <f>IF(M1745=0,0,O1745/M1745)</f>
        <v/>
      </c>
      <c r="Q1745" s="36">
        <f>YEAR(B1745)</f>
        <v/>
      </c>
      <c r="R1745" s="36">
        <f>"Q"&amp;ROUNDUP(MONTH(B1745)/3,0)</f>
        <v/>
      </c>
      <c r="S1745" s="36">
        <f>MONTH(B1745)</f>
        <v/>
      </c>
      <c r="T1745" s="36">
        <f>TEXT(B1745,"mmm")</f>
        <v/>
      </c>
      <c r="U1745" s="36">
        <f>IF(AND(OR(sel_Region="All",C1745=sel_Region),OR(sel_Country="All",D1745=sel_Country),OR(sel_Channel="All",E1745=sel_Channel),OR(sel_Customer="All",F1745=sel_Customer),OR(sel_Category="All",G1745=sel_Category),OR(sel_Product="All",H1745=sel_Product),AND(S1745&gt;=m_From,S1745&lt;=m_To)),1,0)</f>
        <v/>
      </c>
      <c r="V1745" s="36">
        <f>IF(AND(OR(sel_Region="All",C1745=sel_Region),OR(sel_Channel="All",E1745=sel_Channel),OR(sel_Customer="All",F1745=sel_Customer),OR(sel_Category="All",G1745=sel_Category),OR(sel_Product="All",H1745=sel_Product),AND(S1745&gt;=m_From,S1745&lt;=m_To)),1,0)</f>
        <v/>
      </c>
      <c r="W1745" s="36">
        <f>IF(AND(OR(sel_Region="All",C1745=sel_Region),OR(sel_Country="All",D1745=sel_Country),OR(sel_Customer="All",F1745=sel_Customer),OR(sel_Category="All",G1745=sel_Category),OR(sel_Product="All",H1745=sel_Product),AND(S1745&gt;=m_From,S1745&lt;=m_To)),1,0)</f>
        <v/>
      </c>
      <c r="X1745" s="36">
        <f>IF(AND(OR(sel_Region="All",C1745=sel_Region),OR(sel_Country="All",D1745=sel_Country),OR(sel_Channel="All",E1745=sel_Channel),OR(sel_Category="All",G1745=sel_Category),OR(sel_Product="All",H1745=sel_Product),AND(S1745&gt;=m_From,S1745&lt;=m_To)),1,0)</f>
        <v/>
      </c>
      <c r="Y1745" s="36">
        <f>IF(AND(OR(sel_Region="All",C1745=sel_Region),OR(sel_Country="All",D1745=sel_Country),OR(sel_Channel="All",E1745=sel_Channel),OR(sel_Customer="All",F1745=sel_Customer),OR(sel_Product="All",H1745=sel_Product),AND(S1745&gt;=m_From,S1745&lt;=m_To)),1,0)</f>
        <v/>
      </c>
      <c r="Z1745" s="36">
        <f>IF(AND(OR(sel_Region="All",C1745=sel_Region),OR(sel_Country="All",D1745=sel_Country),OR(sel_Channel="All",E1745=sel_Channel),OR(sel_Customer="All",F1745=sel_Customer),OR(sel_Category="All",G1745=sel_Category),AND(S1745&gt;=m_From,S1745&lt;=m_To)),1,0)</f>
        <v/>
      </c>
      <c r="AA1745" s="36">
        <f>IF(AND(OR(sel_Region="All",C1745=sel_Region),OR(sel_Country="All",D1745=sel_Country),OR(sel_Channel="All",E1745=sel_Channel),OR(sel_Customer="All",F1745=sel_Customer),OR(sel_Category="All",G1745=sel_Category),OR(sel_Product="All",H1745=sel_Product)),1,0)</f>
        <v/>
      </c>
    </row>
    <row r="1746">
      <c r="A1746" s="36" t="inlineStr">
        <is>
          <t>02791</t>
        </is>
      </c>
      <c r="B1746" s="44" t="n">
        <v>46258</v>
      </c>
      <c r="C1746" s="36" t="inlineStr">
        <is>
          <t>Southern Europe</t>
        </is>
      </c>
      <c r="D1746" s="36" t="inlineStr">
        <is>
          <t>Italy</t>
        </is>
      </c>
      <c r="E1746" s="36" t="inlineStr">
        <is>
          <t>Retail Partners</t>
        </is>
      </c>
      <c r="F1746" s="36" t="inlineStr">
        <is>
          <t>Business</t>
        </is>
      </c>
      <c r="G1746" s="36" t="inlineStr">
        <is>
          <t>Fitness</t>
        </is>
      </c>
      <c r="H1746" s="36" t="inlineStr">
        <is>
          <t>Recovery Roller</t>
        </is>
      </c>
      <c r="I1746" s="36" t="n">
        <v>2</v>
      </c>
      <c r="J1746" s="39" t="n">
        <v>36.87</v>
      </c>
      <c r="K1746" s="45" t="n">
        <v>0</v>
      </c>
      <c r="L1746" s="39" t="n">
        <v>13.71</v>
      </c>
      <c r="M1746" s="39">
        <f>I1746*J1746*(1-K1746)</f>
        <v/>
      </c>
      <c r="N1746" s="39">
        <f>I1746*L1746</f>
        <v/>
      </c>
      <c r="O1746" s="39">
        <f>M1746-N1746</f>
        <v/>
      </c>
      <c r="P1746" s="38">
        <f>IF(M1746=0,0,O1746/M1746)</f>
        <v/>
      </c>
      <c r="Q1746" s="36">
        <f>YEAR(B1746)</f>
        <v/>
      </c>
      <c r="R1746" s="36">
        <f>"Q"&amp;ROUNDUP(MONTH(B1746)/3,0)</f>
        <v/>
      </c>
      <c r="S1746" s="36">
        <f>MONTH(B1746)</f>
        <v/>
      </c>
      <c r="T1746" s="36">
        <f>TEXT(B1746,"mmm")</f>
        <v/>
      </c>
      <c r="U1746" s="36">
        <f>IF(AND(OR(sel_Region="All",C1746=sel_Region),OR(sel_Country="All",D1746=sel_Country),OR(sel_Channel="All",E1746=sel_Channel),OR(sel_Customer="All",F1746=sel_Customer),OR(sel_Category="All",G1746=sel_Category),OR(sel_Product="All",H1746=sel_Product),AND(S1746&gt;=m_From,S1746&lt;=m_To)),1,0)</f>
        <v/>
      </c>
      <c r="V1746" s="36">
        <f>IF(AND(OR(sel_Region="All",C1746=sel_Region),OR(sel_Channel="All",E1746=sel_Channel),OR(sel_Customer="All",F1746=sel_Customer),OR(sel_Category="All",G1746=sel_Category),OR(sel_Product="All",H1746=sel_Product),AND(S1746&gt;=m_From,S1746&lt;=m_To)),1,0)</f>
        <v/>
      </c>
      <c r="W1746" s="36">
        <f>IF(AND(OR(sel_Region="All",C1746=sel_Region),OR(sel_Country="All",D1746=sel_Country),OR(sel_Customer="All",F1746=sel_Customer),OR(sel_Category="All",G1746=sel_Category),OR(sel_Product="All",H1746=sel_Product),AND(S1746&gt;=m_From,S1746&lt;=m_To)),1,0)</f>
        <v/>
      </c>
      <c r="X1746" s="36">
        <f>IF(AND(OR(sel_Region="All",C1746=sel_Region),OR(sel_Country="All",D1746=sel_Country),OR(sel_Channel="All",E1746=sel_Channel),OR(sel_Category="All",G1746=sel_Category),OR(sel_Product="All",H1746=sel_Product),AND(S1746&gt;=m_From,S1746&lt;=m_To)),1,0)</f>
        <v/>
      </c>
      <c r="Y1746" s="36">
        <f>IF(AND(OR(sel_Region="All",C1746=sel_Region),OR(sel_Country="All",D1746=sel_Country),OR(sel_Channel="All",E1746=sel_Channel),OR(sel_Customer="All",F1746=sel_Customer),OR(sel_Product="All",H1746=sel_Product),AND(S1746&gt;=m_From,S1746&lt;=m_To)),1,0)</f>
        <v/>
      </c>
      <c r="Z1746" s="36">
        <f>IF(AND(OR(sel_Region="All",C1746=sel_Region),OR(sel_Country="All",D1746=sel_Country),OR(sel_Channel="All",E1746=sel_Channel),OR(sel_Customer="All",F1746=sel_Customer),OR(sel_Category="All",G1746=sel_Category),AND(S1746&gt;=m_From,S1746&lt;=m_To)),1,0)</f>
        <v/>
      </c>
      <c r="AA1746" s="36">
        <f>IF(AND(OR(sel_Region="All",C1746=sel_Region),OR(sel_Country="All",D1746=sel_Country),OR(sel_Channel="All",E1746=sel_Channel),OR(sel_Customer="All",F1746=sel_Customer),OR(sel_Category="All",G1746=sel_Category),OR(sel_Product="All",H1746=sel_Product)),1,0)</f>
        <v/>
      </c>
    </row>
    <row r="1747">
      <c r="A1747" s="36" t="inlineStr">
        <is>
          <t>03559</t>
        </is>
      </c>
      <c r="B1747" s="44" t="n">
        <v>46258</v>
      </c>
      <c r="C1747" s="36" t="inlineStr">
        <is>
          <t>Western Europe</t>
        </is>
      </c>
      <c r="D1747" s="36" t="inlineStr">
        <is>
          <t>United Kingdom</t>
        </is>
      </c>
      <c r="E1747" s="36" t="inlineStr">
        <is>
          <t>Online Store</t>
        </is>
      </c>
      <c r="F1747" s="36" t="inlineStr">
        <is>
          <t>Returning</t>
        </is>
      </c>
      <c r="G1747" s="36" t="inlineStr">
        <is>
          <t>Fitness</t>
        </is>
      </c>
      <c r="H1747" s="36" t="inlineStr">
        <is>
          <t>Recovery Roller</t>
        </is>
      </c>
      <c r="I1747" s="36" t="n">
        <v>1</v>
      </c>
      <c r="J1747" s="39" t="n">
        <v>36.28</v>
      </c>
      <c r="K1747" s="45" t="n">
        <v>0.1</v>
      </c>
      <c r="L1747" s="39" t="n">
        <v>14.16</v>
      </c>
      <c r="M1747" s="39">
        <f>I1747*J1747*(1-K1747)</f>
        <v/>
      </c>
      <c r="N1747" s="39">
        <f>I1747*L1747</f>
        <v/>
      </c>
      <c r="O1747" s="39">
        <f>M1747-N1747</f>
        <v/>
      </c>
      <c r="P1747" s="38">
        <f>IF(M1747=0,0,O1747/M1747)</f>
        <v/>
      </c>
      <c r="Q1747" s="36">
        <f>YEAR(B1747)</f>
        <v/>
      </c>
      <c r="R1747" s="36">
        <f>"Q"&amp;ROUNDUP(MONTH(B1747)/3,0)</f>
        <v/>
      </c>
      <c r="S1747" s="36">
        <f>MONTH(B1747)</f>
        <v/>
      </c>
      <c r="T1747" s="36">
        <f>TEXT(B1747,"mmm")</f>
        <v/>
      </c>
      <c r="U1747" s="36">
        <f>IF(AND(OR(sel_Region="All",C1747=sel_Region),OR(sel_Country="All",D1747=sel_Country),OR(sel_Channel="All",E1747=sel_Channel),OR(sel_Customer="All",F1747=sel_Customer),OR(sel_Category="All",G1747=sel_Category),OR(sel_Product="All",H1747=sel_Product),AND(S1747&gt;=m_From,S1747&lt;=m_To)),1,0)</f>
        <v/>
      </c>
      <c r="V1747" s="36">
        <f>IF(AND(OR(sel_Region="All",C1747=sel_Region),OR(sel_Channel="All",E1747=sel_Channel),OR(sel_Customer="All",F1747=sel_Customer),OR(sel_Category="All",G1747=sel_Category),OR(sel_Product="All",H1747=sel_Product),AND(S1747&gt;=m_From,S1747&lt;=m_To)),1,0)</f>
        <v/>
      </c>
      <c r="W1747" s="36">
        <f>IF(AND(OR(sel_Region="All",C1747=sel_Region),OR(sel_Country="All",D1747=sel_Country),OR(sel_Customer="All",F1747=sel_Customer),OR(sel_Category="All",G1747=sel_Category),OR(sel_Product="All",H1747=sel_Product),AND(S1747&gt;=m_From,S1747&lt;=m_To)),1,0)</f>
        <v/>
      </c>
      <c r="X1747" s="36">
        <f>IF(AND(OR(sel_Region="All",C1747=sel_Region),OR(sel_Country="All",D1747=sel_Country),OR(sel_Channel="All",E1747=sel_Channel),OR(sel_Category="All",G1747=sel_Category),OR(sel_Product="All",H1747=sel_Product),AND(S1747&gt;=m_From,S1747&lt;=m_To)),1,0)</f>
        <v/>
      </c>
      <c r="Y1747" s="36">
        <f>IF(AND(OR(sel_Region="All",C1747=sel_Region),OR(sel_Country="All",D1747=sel_Country),OR(sel_Channel="All",E1747=sel_Channel),OR(sel_Customer="All",F1747=sel_Customer),OR(sel_Product="All",H1747=sel_Product),AND(S1747&gt;=m_From,S1747&lt;=m_To)),1,0)</f>
        <v/>
      </c>
      <c r="Z1747" s="36">
        <f>IF(AND(OR(sel_Region="All",C1747=sel_Region),OR(sel_Country="All",D1747=sel_Country),OR(sel_Channel="All",E1747=sel_Channel),OR(sel_Customer="All",F1747=sel_Customer),OR(sel_Category="All",G1747=sel_Category),AND(S1747&gt;=m_From,S1747&lt;=m_To)),1,0)</f>
        <v/>
      </c>
      <c r="AA1747" s="36">
        <f>IF(AND(OR(sel_Region="All",C1747=sel_Region),OR(sel_Country="All",D1747=sel_Country),OR(sel_Channel="All",E1747=sel_Channel),OR(sel_Customer="All",F1747=sel_Customer),OR(sel_Category="All",G1747=sel_Category),OR(sel_Product="All",H1747=sel_Product)),1,0)</f>
        <v/>
      </c>
    </row>
    <row r="1748">
      <c r="A1748" s="36" t="inlineStr">
        <is>
          <t>03839</t>
        </is>
      </c>
      <c r="B1748" s="44" t="n">
        <v>46258</v>
      </c>
      <c r="C1748" s="36" t="inlineStr">
        <is>
          <t>Southern Europe</t>
        </is>
      </c>
      <c r="D1748" s="36" t="inlineStr">
        <is>
          <t>Italy</t>
        </is>
      </c>
      <c r="E1748" s="36" t="inlineStr">
        <is>
          <t>Marketplace</t>
        </is>
      </c>
      <c r="F1748" s="36" t="inlineStr">
        <is>
          <t>Returning</t>
        </is>
      </c>
      <c r="G1748" s="36" t="inlineStr">
        <is>
          <t>Hiking</t>
        </is>
      </c>
      <c r="H1748" s="36" t="inlineStr">
        <is>
          <t>Hiking Daypack 20L</t>
        </is>
      </c>
      <c r="I1748" s="36" t="n">
        <v>2</v>
      </c>
      <c r="J1748" s="39" t="n">
        <v>93.88</v>
      </c>
      <c r="K1748" s="45" t="n">
        <v>0.05</v>
      </c>
      <c r="L1748" s="39" t="n">
        <v>46.57</v>
      </c>
      <c r="M1748" s="39">
        <f>I1748*J1748*(1-K1748)</f>
        <v/>
      </c>
      <c r="N1748" s="39">
        <f>I1748*L1748</f>
        <v/>
      </c>
      <c r="O1748" s="39">
        <f>M1748-N1748</f>
        <v/>
      </c>
      <c r="P1748" s="38">
        <f>IF(M1748=0,0,O1748/M1748)</f>
        <v/>
      </c>
      <c r="Q1748" s="36">
        <f>YEAR(B1748)</f>
        <v/>
      </c>
      <c r="R1748" s="36">
        <f>"Q"&amp;ROUNDUP(MONTH(B1748)/3,0)</f>
        <v/>
      </c>
      <c r="S1748" s="36">
        <f>MONTH(B1748)</f>
        <v/>
      </c>
      <c r="T1748" s="36">
        <f>TEXT(B1748,"mmm")</f>
        <v/>
      </c>
      <c r="U1748" s="36">
        <f>IF(AND(OR(sel_Region="All",C1748=sel_Region),OR(sel_Country="All",D1748=sel_Country),OR(sel_Channel="All",E1748=sel_Channel),OR(sel_Customer="All",F1748=sel_Customer),OR(sel_Category="All",G1748=sel_Category),OR(sel_Product="All",H1748=sel_Product),AND(S1748&gt;=m_From,S1748&lt;=m_To)),1,0)</f>
        <v/>
      </c>
      <c r="V1748" s="36">
        <f>IF(AND(OR(sel_Region="All",C1748=sel_Region),OR(sel_Channel="All",E1748=sel_Channel),OR(sel_Customer="All",F1748=sel_Customer),OR(sel_Category="All",G1748=sel_Category),OR(sel_Product="All",H1748=sel_Product),AND(S1748&gt;=m_From,S1748&lt;=m_To)),1,0)</f>
        <v/>
      </c>
      <c r="W1748" s="36">
        <f>IF(AND(OR(sel_Region="All",C1748=sel_Region),OR(sel_Country="All",D1748=sel_Country),OR(sel_Customer="All",F1748=sel_Customer),OR(sel_Category="All",G1748=sel_Category),OR(sel_Product="All",H1748=sel_Product),AND(S1748&gt;=m_From,S1748&lt;=m_To)),1,0)</f>
        <v/>
      </c>
      <c r="X1748" s="36">
        <f>IF(AND(OR(sel_Region="All",C1748=sel_Region),OR(sel_Country="All",D1748=sel_Country),OR(sel_Channel="All",E1748=sel_Channel),OR(sel_Category="All",G1748=sel_Category),OR(sel_Product="All",H1748=sel_Product),AND(S1748&gt;=m_From,S1748&lt;=m_To)),1,0)</f>
        <v/>
      </c>
      <c r="Y1748" s="36">
        <f>IF(AND(OR(sel_Region="All",C1748=sel_Region),OR(sel_Country="All",D1748=sel_Country),OR(sel_Channel="All",E1748=sel_Channel),OR(sel_Customer="All",F1748=sel_Customer),OR(sel_Product="All",H1748=sel_Product),AND(S1748&gt;=m_From,S1748&lt;=m_To)),1,0)</f>
        <v/>
      </c>
      <c r="Z1748" s="36">
        <f>IF(AND(OR(sel_Region="All",C1748=sel_Region),OR(sel_Country="All",D1748=sel_Country),OR(sel_Channel="All",E1748=sel_Channel),OR(sel_Customer="All",F1748=sel_Customer),OR(sel_Category="All",G1748=sel_Category),AND(S1748&gt;=m_From,S1748&lt;=m_To)),1,0)</f>
        <v/>
      </c>
      <c r="AA1748" s="36">
        <f>IF(AND(OR(sel_Region="All",C1748=sel_Region),OR(sel_Country="All",D1748=sel_Country),OR(sel_Channel="All",E1748=sel_Channel),OR(sel_Customer="All",F1748=sel_Customer),OR(sel_Category="All",G1748=sel_Category),OR(sel_Product="All",H1748=sel_Product)),1,0)</f>
        <v/>
      </c>
    </row>
    <row r="1749">
      <c r="A1749" s="36" t="inlineStr">
        <is>
          <t>04133</t>
        </is>
      </c>
      <c r="B1749" s="44" t="n">
        <v>46258</v>
      </c>
      <c r="C1749" s="36" t="inlineStr">
        <is>
          <t>Western Europe</t>
        </is>
      </c>
      <c r="D1749" s="36" t="inlineStr">
        <is>
          <t>Belgium</t>
        </is>
      </c>
      <c r="E1749" s="36" t="inlineStr">
        <is>
          <t>Online Store</t>
        </is>
      </c>
      <c r="F1749" s="36" t="inlineStr">
        <is>
          <t>New</t>
        </is>
      </c>
      <c r="G1749" s="36" t="inlineStr">
        <is>
          <t>Camping</t>
        </is>
      </c>
      <c r="H1749" s="36" t="inlineStr">
        <is>
          <t>Trail Tent 2P</t>
        </is>
      </c>
      <c r="I1749" s="36" t="n">
        <v>1</v>
      </c>
      <c r="J1749" s="39" t="n">
        <v>192.67</v>
      </c>
      <c r="K1749" s="45" t="n">
        <v>0.05</v>
      </c>
      <c r="L1749" s="39" t="n">
        <v>101.04</v>
      </c>
      <c r="M1749" s="39">
        <f>I1749*J1749*(1-K1749)</f>
        <v/>
      </c>
      <c r="N1749" s="39">
        <f>I1749*L1749</f>
        <v/>
      </c>
      <c r="O1749" s="39">
        <f>M1749-N1749</f>
        <v/>
      </c>
      <c r="P1749" s="38">
        <f>IF(M1749=0,0,O1749/M1749)</f>
        <v/>
      </c>
      <c r="Q1749" s="36">
        <f>YEAR(B1749)</f>
        <v/>
      </c>
      <c r="R1749" s="36">
        <f>"Q"&amp;ROUNDUP(MONTH(B1749)/3,0)</f>
        <v/>
      </c>
      <c r="S1749" s="36">
        <f>MONTH(B1749)</f>
        <v/>
      </c>
      <c r="T1749" s="36">
        <f>TEXT(B1749,"mmm")</f>
        <v/>
      </c>
      <c r="U1749" s="36">
        <f>IF(AND(OR(sel_Region="All",C1749=sel_Region),OR(sel_Country="All",D1749=sel_Country),OR(sel_Channel="All",E1749=sel_Channel),OR(sel_Customer="All",F1749=sel_Customer),OR(sel_Category="All",G1749=sel_Category),OR(sel_Product="All",H1749=sel_Product),AND(S1749&gt;=m_From,S1749&lt;=m_To)),1,0)</f>
        <v/>
      </c>
      <c r="V1749" s="36">
        <f>IF(AND(OR(sel_Region="All",C1749=sel_Region),OR(sel_Channel="All",E1749=sel_Channel),OR(sel_Customer="All",F1749=sel_Customer),OR(sel_Category="All",G1749=sel_Category),OR(sel_Product="All",H1749=sel_Product),AND(S1749&gt;=m_From,S1749&lt;=m_To)),1,0)</f>
        <v/>
      </c>
      <c r="W1749" s="36">
        <f>IF(AND(OR(sel_Region="All",C1749=sel_Region),OR(sel_Country="All",D1749=sel_Country),OR(sel_Customer="All",F1749=sel_Customer),OR(sel_Category="All",G1749=sel_Category),OR(sel_Product="All",H1749=sel_Product),AND(S1749&gt;=m_From,S1749&lt;=m_To)),1,0)</f>
        <v/>
      </c>
      <c r="X1749" s="36">
        <f>IF(AND(OR(sel_Region="All",C1749=sel_Region),OR(sel_Country="All",D1749=sel_Country),OR(sel_Channel="All",E1749=sel_Channel),OR(sel_Category="All",G1749=sel_Category),OR(sel_Product="All",H1749=sel_Product),AND(S1749&gt;=m_From,S1749&lt;=m_To)),1,0)</f>
        <v/>
      </c>
      <c r="Y1749" s="36">
        <f>IF(AND(OR(sel_Region="All",C1749=sel_Region),OR(sel_Country="All",D1749=sel_Country),OR(sel_Channel="All",E1749=sel_Channel),OR(sel_Customer="All",F1749=sel_Customer),OR(sel_Product="All",H1749=sel_Product),AND(S1749&gt;=m_From,S1749&lt;=m_To)),1,0)</f>
        <v/>
      </c>
      <c r="Z1749" s="36">
        <f>IF(AND(OR(sel_Region="All",C1749=sel_Region),OR(sel_Country="All",D1749=sel_Country),OR(sel_Channel="All",E1749=sel_Channel),OR(sel_Customer="All",F1749=sel_Customer),OR(sel_Category="All",G1749=sel_Category),AND(S1749&gt;=m_From,S1749&lt;=m_To)),1,0)</f>
        <v/>
      </c>
      <c r="AA1749" s="36">
        <f>IF(AND(OR(sel_Region="All",C1749=sel_Region),OR(sel_Country="All",D1749=sel_Country),OR(sel_Channel="All",E1749=sel_Channel),OR(sel_Customer="All",F1749=sel_Customer),OR(sel_Category="All",G1749=sel_Category),OR(sel_Product="All",H1749=sel_Product)),1,0)</f>
        <v/>
      </c>
    </row>
    <row r="1750">
      <c r="A1750" s="36" t="inlineStr">
        <is>
          <t>04765</t>
        </is>
      </c>
      <c r="B1750" s="44" t="n">
        <v>46258</v>
      </c>
      <c r="C1750" s="36" t="inlineStr">
        <is>
          <t>Southern Europe</t>
        </is>
      </c>
      <c r="D1750" s="36" t="inlineStr">
        <is>
          <t>Italy</t>
        </is>
      </c>
      <c r="E1750" s="36" t="inlineStr">
        <is>
          <t>Online Store</t>
        </is>
      </c>
      <c r="F1750" s="36" t="inlineStr">
        <is>
          <t>New</t>
        </is>
      </c>
      <c r="G1750" s="36" t="inlineStr">
        <is>
          <t>Cycling</t>
        </is>
      </c>
      <c r="H1750" s="36" t="inlineStr">
        <is>
          <t>Commuter Helmet</t>
        </is>
      </c>
      <c r="I1750" s="36" t="n">
        <v>1</v>
      </c>
      <c r="J1750" s="39" t="n">
        <v>80.09999999999999</v>
      </c>
      <c r="K1750" s="45" t="n">
        <v>0.05</v>
      </c>
      <c r="L1750" s="39" t="n">
        <v>43.49</v>
      </c>
      <c r="M1750" s="39">
        <f>I1750*J1750*(1-K1750)</f>
        <v/>
      </c>
      <c r="N1750" s="39">
        <f>I1750*L1750</f>
        <v/>
      </c>
      <c r="O1750" s="39">
        <f>M1750-N1750</f>
        <v/>
      </c>
      <c r="P1750" s="38">
        <f>IF(M1750=0,0,O1750/M1750)</f>
        <v/>
      </c>
      <c r="Q1750" s="36">
        <f>YEAR(B1750)</f>
        <v/>
      </c>
      <c r="R1750" s="36">
        <f>"Q"&amp;ROUNDUP(MONTH(B1750)/3,0)</f>
        <v/>
      </c>
      <c r="S1750" s="36">
        <f>MONTH(B1750)</f>
        <v/>
      </c>
      <c r="T1750" s="36">
        <f>TEXT(B1750,"mmm")</f>
        <v/>
      </c>
      <c r="U1750" s="36">
        <f>IF(AND(OR(sel_Region="All",C1750=sel_Region),OR(sel_Country="All",D1750=sel_Country),OR(sel_Channel="All",E1750=sel_Channel),OR(sel_Customer="All",F1750=sel_Customer),OR(sel_Category="All",G1750=sel_Category),OR(sel_Product="All",H1750=sel_Product),AND(S1750&gt;=m_From,S1750&lt;=m_To)),1,0)</f>
        <v/>
      </c>
      <c r="V1750" s="36">
        <f>IF(AND(OR(sel_Region="All",C1750=sel_Region),OR(sel_Channel="All",E1750=sel_Channel),OR(sel_Customer="All",F1750=sel_Customer),OR(sel_Category="All",G1750=sel_Category),OR(sel_Product="All",H1750=sel_Product),AND(S1750&gt;=m_From,S1750&lt;=m_To)),1,0)</f>
        <v/>
      </c>
      <c r="W1750" s="36">
        <f>IF(AND(OR(sel_Region="All",C1750=sel_Region),OR(sel_Country="All",D1750=sel_Country),OR(sel_Customer="All",F1750=sel_Customer),OR(sel_Category="All",G1750=sel_Category),OR(sel_Product="All",H1750=sel_Product),AND(S1750&gt;=m_From,S1750&lt;=m_To)),1,0)</f>
        <v/>
      </c>
      <c r="X1750" s="36">
        <f>IF(AND(OR(sel_Region="All",C1750=sel_Region),OR(sel_Country="All",D1750=sel_Country),OR(sel_Channel="All",E1750=sel_Channel),OR(sel_Category="All",G1750=sel_Category),OR(sel_Product="All",H1750=sel_Product),AND(S1750&gt;=m_From,S1750&lt;=m_To)),1,0)</f>
        <v/>
      </c>
      <c r="Y1750" s="36">
        <f>IF(AND(OR(sel_Region="All",C1750=sel_Region),OR(sel_Country="All",D1750=sel_Country),OR(sel_Channel="All",E1750=sel_Channel),OR(sel_Customer="All",F1750=sel_Customer),OR(sel_Product="All",H1750=sel_Product),AND(S1750&gt;=m_From,S1750&lt;=m_To)),1,0)</f>
        <v/>
      </c>
      <c r="Z1750" s="36">
        <f>IF(AND(OR(sel_Region="All",C1750=sel_Region),OR(sel_Country="All",D1750=sel_Country),OR(sel_Channel="All",E1750=sel_Channel),OR(sel_Customer="All",F1750=sel_Customer),OR(sel_Category="All",G1750=sel_Category),AND(S1750&gt;=m_From,S1750&lt;=m_To)),1,0)</f>
        <v/>
      </c>
      <c r="AA1750" s="36">
        <f>IF(AND(OR(sel_Region="All",C1750=sel_Region),OR(sel_Country="All",D1750=sel_Country),OR(sel_Channel="All",E1750=sel_Channel),OR(sel_Customer="All",F1750=sel_Customer),OR(sel_Category="All",G1750=sel_Category),OR(sel_Product="All",H1750=sel_Product)),1,0)</f>
        <v/>
      </c>
    </row>
    <row r="1751">
      <c r="A1751" s="36" t="inlineStr">
        <is>
          <t>01868</t>
        </is>
      </c>
      <c r="B1751" s="44" t="n">
        <v>46259</v>
      </c>
      <c r="C1751" s="36" t="inlineStr">
        <is>
          <t>Western Europe</t>
        </is>
      </c>
      <c r="D1751" s="36" t="inlineStr">
        <is>
          <t>United Kingdom</t>
        </is>
      </c>
      <c r="E1751" s="36" t="inlineStr">
        <is>
          <t>Marketplace</t>
        </is>
      </c>
      <c r="F1751" s="36" t="inlineStr">
        <is>
          <t>Returning</t>
        </is>
      </c>
      <c r="G1751" s="36" t="inlineStr">
        <is>
          <t>Hiking</t>
        </is>
      </c>
      <c r="H1751" s="36" t="inlineStr">
        <is>
          <t>Trail Boots</t>
        </is>
      </c>
      <c r="I1751" s="36" t="n">
        <v>1</v>
      </c>
      <c r="J1751" s="39" t="n">
        <v>145.02</v>
      </c>
      <c r="K1751" s="45" t="n">
        <v>0</v>
      </c>
      <c r="L1751" s="39" t="n">
        <v>78.95999999999999</v>
      </c>
      <c r="M1751" s="39">
        <f>I1751*J1751*(1-K1751)</f>
        <v/>
      </c>
      <c r="N1751" s="39">
        <f>I1751*L1751</f>
        <v/>
      </c>
      <c r="O1751" s="39">
        <f>M1751-N1751</f>
        <v/>
      </c>
      <c r="P1751" s="38">
        <f>IF(M1751=0,0,O1751/M1751)</f>
        <v/>
      </c>
      <c r="Q1751" s="36">
        <f>YEAR(B1751)</f>
        <v/>
      </c>
      <c r="R1751" s="36">
        <f>"Q"&amp;ROUNDUP(MONTH(B1751)/3,0)</f>
        <v/>
      </c>
      <c r="S1751" s="36">
        <f>MONTH(B1751)</f>
        <v/>
      </c>
      <c r="T1751" s="36">
        <f>TEXT(B1751,"mmm")</f>
        <v/>
      </c>
      <c r="U1751" s="36">
        <f>IF(AND(OR(sel_Region="All",C1751=sel_Region),OR(sel_Country="All",D1751=sel_Country),OR(sel_Channel="All",E1751=sel_Channel),OR(sel_Customer="All",F1751=sel_Customer),OR(sel_Category="All",G1751=sel_Category),OR(sel_Product="All",H1751=sel_Product),AND(S1751&gt;=m_From,S1751&lt;=m_To)),1,0)</f>
        <v/>
      </c>
      <c r="V1751" s="36">
        <f>IF(AND(OR(sel_Region="All",C1751=sel_Region),OR(sel_Channel="All",E1751=sel_Channel),OR(sel_Customer="All",F1751=sel_Customer),OR(sel_Category="All",G1751=sel_Category),OR(sel_Product="All",H1751=sel_Product),AND(S1751&gt;=m_From,S1751&lt;=m_To)),1,0)</f>
        <v/>
      </c>
      <c r="W1751" s="36">
        <f>IF(AND(OR(sel_Region="All",C1751=sel_Region),OR(sel_Country="All",D1751=sel_Country),OR(sel_Customer="All",F1751=sel_Customer),OR(sel_Category="All",G1751=sel_Category),OR(sel_Product="All",H1751=sel_Product),AND(S1751&gt;=m_From,S1751&lt;=m_To)),1,0)</f>
        <v/>
      </c>
      <c r="X1751" s="36">
        <f>IF(AND(OR(sel_Region="All",C1751=sel_Region),OR(sel_Country="All",D1751=sel_Country),OR(sel_Channel="All",E1751=sel_Channel),OR(sel_Category="All",G1751=sel_Category),OR(sel_Product="All",H1751=sel_Product),AND(S1751&gt;=m_From,S1751&lt;=m_To)),1,0)</f>
        <v/>
      </c>
      <c r="Y1751" s="36">
        <f>IF(AND(OR(sel_Region="All",C1751=sel_Region),OR(sel_Country="All",D1751=sel_Country),OR(sel_Channel="All",E1751=sel_Channel),OR(sel_Customer="All",F1751=sel_Customer),OR(sel_Product="All",H1751=sel_Product),AND(S1751&gt;=m_From,S1751&lt;=m_To)),1,0)</f>
        <v/>
      </c>
      <c r="Z1751" s="36">
        <f>IF(AND(OR(sel_Region="All",C1751=sel_Region),OR(sel_Country="All",D1751=sel_Country),OR(sel_Channel="All",E1751=sel_Channel),OR(sel_Customer="All",F1751=sel_Customer),OR(sel_Category="All",G1751=sel_Category),AND(S1751&gt;=m_From,S1751&lt;=m_To)),1,0)</f>
        <v/>
      </c>
      <c r="AA1751" s="36">
        <f>IF(AND(OR(sel_Region="All",C1751=sel_Region),OR(sel_Country="All",D1751=sel_Country),OR(sel_Channel="All",E1751=sel_Channel),OR(sel_Customer="All",F1751=sel_Customer),OR(sel_Category="All",G1751=sel_Category),OR(sel_Product="All",H1751=sel_Product)),1,0)</f>
        <v/>
      </c>
    </row>
    <row r="1752">
      <c r="A1752" s="36" t="inlineStr">
        <is>
          <t>00987</t>
        </is>
      </c>
      <c r="B1752" s="44" t="n">
        <v>46260</v>
      </c>
      <c r="C1752" s="36" t="inlineStr">
        <is>
          <t>Central Europe</t>
        </is>
      </c>
      <c r="D1752" s="36" t="inlineStr">
        <is>
          <t>Switzerland</t>
        </is>
      </c>
      <c r="E1752" s="36" t="inlineStr">
        <is>
          <t>Marketplace</t>
        </is>
      </c>
      <c r="F1752" s="36" t="inlineStr">
        <is>
          <t>Returning</t>
        </is>
      </c>
      <c r="G1752" s="36" t="inlineStr">
        <is>
          <t>Travel</t>
        </is>
      </c>
      <c r="H1752" s="36" t="inlineStr">
        <is>
          <t>Insulated Bottle</t>
        </is>
      </c>
      <c r="I1752" s="36" t="n">
        <v>1</v>
      </c>
      <c r="J1752" s="39" t="n">
        <v>37</v>
      </c>
      <c r="K1752" s="45" t="n">
        <v>0.15</v>
      </c>
      <c r="L1752" s="39" t="n">
        <v>13.68</v>
      </c>
      <c r="M1752" s="39">
        <f>I1752*J1752*(1-K1752)</f>
        <v/>
      </c>
      <c r="N1752" s="39">
        <f>I1752*L1752</f>
        <v/>
      </c>
      <c r="O1752" s="39">
        <f>M1752-N1752</f>
        <v/>
      </c>
      <c r="P1752" s="38">
        <f>IF(M1752=0,0,O1752/M1752)</f>
        <v/>
      </c>
      <c r="Q1752" s="36">
        <f>YEAR(B1752)</f>
        <v/>
      </c>
      <c r="R1752" s="36">
        <f>"Q"&amp;ROUNDUP(MONTH(B1752)/3,0)</f>
        <v/>
      </c>
      <c r="S1752" s="36">
        <f>MONTH(B1752)</f>
        <v/>
      </c>
      <c r="T1752" s="36">
        <f>TEXT(B1752,"mmm")</f>
        <v/>
      </c>
      <c r="U1752" s="36">
        <f>IF(AND(OR(sel_Region="All",C1752=sel_Region),OR(sel_Country="All",D1752=sel_Country),OR(sel_Channel="All",E1752=sel_Channel),OR(sel_Customer="All",F1752=sel_Customer),OR(sel_Category="All",G1752=sel_Category),OR(sel_Product="All",H1752=sel_Product),AND(S1752&gt;=m_From,S1752&lt;=m_To)),1,0)</f>
        <v/>
      </c>
      <c r="V1752" s="36">
        <f>IF(AND(OR(sel_Region="All",C1752=sel_Region),OR(sel_Channel="All",E1752=sel_Channel),OR(sel_Customer="All",F1752=sel_Customer),OR(sel_Category="All",G1752=sel_Category),OR(sel_Product="All",H1752=sel_Product),AND(S1752&gt;=m_From,S1752&lt;=m_To)),1,0)</f>
        <v/>
      </c>
      <c r="W1752" s="36">
        <f>IF(AND(OR(sel_Region="All",C1752=sel_Region),OR(sel_Country="All",D1752=sel_Country),OR(sel_Customer="All",F1752=sel_Customer),OR(sel_Category="All",G1752=sel_Category),OR(sel_Product="All",H1752=sel_Product),AND(S1752&gt;=m_From,S1752&lt;=m_To)),1,0)</f>
        <v/>
      </c>
      <c r="X1752" s="36">
        <f>IF(AND(OR(sel_Region="All",C1752=sel_Region),OR(sel_Country="All",D1752=sel_Country),OR(sel_Channel="All",E1752=sel_Channel),OR(sel_Category="All",G1752=sel_Category),OR(sel_Product="All",H1752=sel_Product),AND(S1752&gt;=m_From,S1752&lt;=m_To)),1,0)</f>
        <v/>
      </c>
      <c r="Y1752" s="36">
        <f>IF(AND(OR(sel_Region="All",C1752=sel_Region),OR(sel_Country="All",D1752=sel_Country),OR(sel_Channel="All",E1752=sel_Channel),OR(sel_Customer="All",F1752=sel_Customer),OR(sel_Product="All",H1752=sel_Product),AND(S1752&gt;=m_From,S1752&lt;=m_To)),1,0)</f>
        <v/>
      </c>
      <c r="Z1752" s="36">
        <f>IF(AND(OR(sel_Region="All",C1752=sel_Region),OR(sel_Country="All",D1752=sel_Country),OR(sel_Channel="All",E1752=sel_Channel),OR(sel_Customer="All",F1752=sel_Customer),OR(sel_Category="All",G1752=sel_Category),AND(S1752&gt;=m_From,S1752&lt;=m_To)),1,0)</f>
        <v/>
      </c>
      <c r="AA1752" s="36">
        <f>IF(AND(OR(sel_Region="All",C1752=sel_Region),OR(sel_Country="All",D1752=sel_Country),OR(sel_Channel="All",E1752=sel_Channel),OR(sel_Customer="All",F1752=sel_Customer),OR(sel_Category="All",G1752=sel_Category),OR(sel_Product="All",H1752=sel_Product)),1,0)</f>
        <v/>
      </c>
    </row>
    <row r="1753">
      <c r="A1753" s="36" t="inlineStr">
        <is>
          <t>02503</t>
        </is>
      </c>
      <c r="B1753" s="44" t="n">
        <v>46260</v>
      </c>
      <c r="C1753" s="36" t="inlineStr">
        <is>
          <t>Central Europe</t>
        </is>
      </c>
      <c r="D1753" s="36" t="inlineStr">
        <is>
          <t>Austria</t>
        </is>
      </c>
      <c r="E1753" s="36" t="inlineStr">
        <is>
          <t>Online Store</t>
        </is>
      </c>
      <c r="F1753" s="36" t="inlineStr">
        <is>
          <t>Returning</t>
        </is>
      </c>
      <c r="G1753" s="36" t="inlineStr">
        <is>
          <t>Cycling</t>
        </is>
      </c>
      <c r="H1753" s="36" t="inlineStr">
        <is>
          <t>Trail Bike Light</t>
        </is>
      </c>
      <c r="I1753" s="36" t="n">
        <v>2</v>
      </c>
      <c r="J1753" s="39" t="n">
        <v>50.02</v>
      </c>
      <c r="K1753" s="45" t="n">
        <v>0</v>
      </c>
      <c r="L1753" s="39" t="n">
        <v>21.99</v>
      </c>
      <c r="M1753" s="39">
        <f>I1753*J1753*(1-K1753)</f>
        <v/>
      </c>
      <c r="N1753" s="39">
        <f>I1753*L1753</f>
        <v/>
      </c>
      <c r="O1753" s="39">
        <f>M1753-N1753</f>
        <v/>
      </c>
      <c r="P1753" s="38">
        <f>IF(M1753=0,0,O1753/M1753)</f>
        <v/>
      </c>
      <c r="Q1753" s="36">
        <f>YEAR(B1753)</f>
        <v/>
      </c>
      <c r="R1753" s="36">
        <f>"Q"&amp;ROUNDUP(MONTH(B1753)/3,0)</f>
        <v/>
      </c>
      <c r="S1753" s="36">
        <f>MONTH(B1753)</f>
        <v/>
      </c>
      <c r="T1753" s="36">
        <f>TEXT(B1753,"mmm")</f>
        <v/>
      </c>
      <c r="U1753" s="36">
        <f>IF(AND(OR(sel_Region="All",C1753=sel_Region),OR(sel_Country="All",D1753=sel_Country),OR(sel_Channel="All",E1753=sel_Channel),OR(sel_Customer="All",F1753=sel_Customer),OR(sel_Category="All",G1753=sel_Category),OR(sel_Product="All",H1753=sel_Product),AND(S1753&gt;=m_From,S1753&lt;=m_To)),1,0)</f>
        <v/>
      </c>
      <c r="V1753" s="36">
        <f>IF(AND(OR(sel_Region="All",C1753=sel_Region),OR(sel_Channel="All",E1753=sel_Channel),OR(sel_Customer="All",F1753=sel_Customer),OR(sel_Category="All",G1753=sel_Category),OR(sel_Product="All",H1753=sel_Product),AND(S1753&gt;=m_From,S1753&lt;=m_To)),1,0)</f>
        <v/>
      </c>
      <c r="W1753" s="36">
        <f>IF(AND(OR(sel_Region="All",C1753=sel_Region),OR(sel_Country="All",D1753=sel_Country),OR(sel_Customer="All",F1753=sel_Customer),OR(sel_Category="All",G1753=sel_Category),OR(sel_Product="All",H1753=sel_Product),AND(S1753&gt;=m_From,S1753&lt;=m_To)),1,0)</f>
        <v/>
      </c>
      <c r="X1753" s="36">
        <f>IF(AND(OR(sel_Region="All",C1753=sel_Region),OR(sel_Country="All",D1753=sel_Country),OR(sel_Channel="All",E1753=sel_Channel),OR(sel_Category="All",G1753=sel_Category),OR(sel_Product="All",H1753=sel_Product),AND(S1753&gt;=m_From,S1753&lt;=m_To)),1,0)</f>
        <v/>
      </c>
      <c r="Y1753" s="36">
        <f>IF(AND(OR(sel_Region="All",C1753=sel_Region),OR(sel_Country="All",D1753=sel_Country),OR(sel_Channel="All",E1753=sel_Channel),OR(sel_Customer="All",F1753=sel_Customer),OR(sel_Product="All",H1753=sel_Product),AND(S1753&gt;=m_From,S1753&lt;=m_To)),1,0)</f>
        <v/>
      </c>
      <c r="Z1753" s="36">
        <f>IF(AND(OR(sel_Region="All",C1753=sel_Region),OR(sel_Country="All",D1753=sel_Country),OR(sel_Channel="All",E1753=sel_Channel),OR(sel_Customer="All",F1753=sel_Customer),OR(sel_Category="All",G1753=sel_Category),AND(S1753&gt;=m_From,S1753&lt;=m_To)),1,0)</f>
        <v/>
      </c>
      <c r="AA1753" s="36">
        <f>IF(AND(OR(sel_Region="All",C1753=sel_Region),OR(sel_Country="All",D1753=sel_Country),OR(sel_Channel="All",E1753=sel_Channel),OR(sel_Customer="All",F1753=sel_Customer),OR(sel_Category="All",G1753=sel_Category),OR(sel_Product="All",H1753=sel_Product)),1,0)</f>
        <v/>
      </c>
    </row>
    <row r="1754">
      <c r="A1754" s="36" t="inlineStr">
        <is>
          <t>04928</t>
        </is>
      </c>
      <c r="B1754" s="44" t="n">
        <v>46260</v>
      </c>
      <c r="C1754" s="36" t="inlineStr">
        <is>
          <t>Central Europe</t>
        </is>
      </c>
      <c r="D1754" s="36" t="inlineStr">
        <is>
          <t>Switzerland</t>
        </is>
      </c>
      <c r="E1754" s="36" t="inlineStr">
        <is>
          <t>Retail Partners</t>
        </is>
      </c>
      <c r="F1754" s="36" t="inlineStr">
        <is>
          <t>Returning</t>
        </is>
      </c>
      <c r="G1754" s="36" t="inlineStr">
        <is>
          <t>Fitness</t>
        </is>
      </c>
      <c r="H1754" s="36" t="inlineStr">
        <is>
          <t>Recovery Roller</t>
        </is>
      </c>
      <c r="I1754" s="36" t="n">
        <v>2</v>
      </c>
      <c r="J1754" s="39" t="n">
        <v>35.95</v>
      </c>
      <c r="K1754" s="45" t="n">
        <v>0.05</v>
      </c>
      <c r="L1754" s="39" t="n">
        <v>13.93</v>
      </c>
      <c r="M1754" s="39">
        <f>I1754*J1754*(1-K1754)</f>
        <v/>
      </c>
      <c r="N1754" s="39">
        <f>I1754*L1754</f>
        <v/>
      </c>
      <c r="O1754" s="39">
        <f>M1754-N1754</f>
        <v/>
      </c>
      <c r="P1754" s="38">
        <f>IF(M1754=0,0,O1754/M1754)</f>
        <v/>
      </c>
      <c r="Q1754" s="36">
        <f>YEAR(B1754)</f>
        <v/>
      </c>
      <c r="R1754" s="36">
        <f>"Q"&amp;ROUNDUP(MONTH(B1754)/3,0)</f>
        <v/>
      </c>
      <c r="S1754" s="36">
        <f>MONTH(B1754)</f>
        <v/>
      </c>
      <c r="T1754" s="36">
        <f>TEXT(B1754,"mmm")</f>
        <v/>
      </c>
      <c r="U1754" s="36">
        <f>IF(AND(OR(sel_Region="All",C1754=sel_Region),OR(sel_Country="All",D1754=sel_Country),OR(sel_Channel="All",E1754=sel_Channel),OR(sel_Customer="All",F1754=sel_Customer),OR(sel_Category="All",G1754=sel_Category),OR(sel_Product="All",H1754=sel_Product),AND(S1754&gt;=m_From,S1754&lt;=m_To)),1,0)</f>
        <v/>
      </c>
      <c r="V1754" s="36">
        <f>IF(AND(OR(sel_Region="All",C1754=sel_Region),OR(sel_Channel="All",E1754=sel_Channel),OR(sel_Customer="All",F1754=sel_Customer),OR(sel_Category="All",G1754=sel_Category),OR(sel_Product="All",H1754=sel_Product),AND(S1754&gt;=m_From,S1754&lt;=m_To)),1,0)</f>
        <v/>
      </c>
      <c r="W1754" s="36">
        <f>IF(AND(OR(sel_Region="All",C1754=sel_Region),OR(sel_Country="All",D1754=sel_Country),OR(sel_Customer="All",F1754=sel_Customer),OR(sel_Category="All",G1754=sel_Category),OR(sel_Product="All",H1754=sel_Product),AND(S1754&gt;=m_From,S1754&lt;=m_To)),1,0)</f>
        <v/>
      </c>
      <c r="X1754" s="36">
        <f>IF(AND(OR(sel_Region="All",C1754=sel_Region),OR(sel_Country="All",D1754=sel_Country),OR(sel_Channel="All",E1754=sel_Channel),OR(sel_Category="All",G1754=sel_Category),OR(sel_Product="All",H1754=sel_Product),AND(S1754&gt;=m_From,S1754&lt;=m_To)),1,0)</f>
        <v/>
      </c>
      <c r="Y1754" s="36">
        <f>IF(AND(OR(sel_Region="All",C1754=sel_Region),OR(sel_Country="All",D1754=sel_Country),OR(sel_Channel="All",E1754=sel_Channel),OR(sel_Customer="All",F1754=sel_Customer),OR(sel_Product="All",H1754=sel_Product),AND(S1754&gt;=m_From,S1754&lt;=m_To)),1,0)</f>
        <v/>
      </c>
      <c r="Z1754" s="36">
        <f>IF(AND(OR(sel_Region="All",C1754=sel_Region),OR(sel_Country="All",D1754=sel_Country),OR(sel_Channel="All",E1754=sel_Channel),OR(sel_Customer="All",F1754=sel_Customer),OR(sel_Category="All",G1754=sel_Category),AND(S1754&gt;=m_From,S1754&lt;=m_To)),1,0)</f>
        <v/>
      </c>
      <c r="AA1754" s="36">
        <f>IF(AND(OR(sel_Region="All",C1754=sel_Region),OR(sel_Country="All",D1754=sel_Country),OR(sel_Channel="All",E1754=sel_Channel),OR(sel_Customer="All",F1754=sel_Customer),OR(sel_Category="All",G1754=sel_Category),OR(sel_Product="All",H1754=sel_Product)),1,0)</f>
        <v/>
      </c>
    </row>
    <row r="1755">
      <c r="A1755" s="36" t="inlineStr">
        <is>
          <t>00852</t>
        </is>
      </c>
      <c r="B1755" s="44" t="n">
        <v>46261</v>
      </c>
      <c r="C1755" s="36" t="inlineStr">
        <is>
          <t>Southern Europe</t>
        </is>
      </c>
      <c r="D1755" s="36" t="inlineStr">
        <is>
          <t>Portugal</t>
        </is>
      </c>
      <c r="E1755" s="36" t="inlineStr">
        <is>
          <t>Online Store</t>
        </is>
      </c>
      <c r="F1755" s="36" t="inlineStr">
        <is>
          <t>New</t>
        </is>
      </c>
      <c r="G1755" s="36" t="inlineStr">
        <is>
          <t>Travel</t>
        </is>
      </c>
      <c r="H1755" s="36" t="inlineStr">
        <is>
          <t>Packing Cube Set</t>
        </is>
      </c>
      <c r="I1755" s="36" t="n">
        <v>3</v>
      </c>
      <c r="J1755" s="39" t="n">
        <v>45.84</v>
      </c>
      <c r="K1755" s="45" t="n">
        <v>0.15</v>
      </c>
      <c r="L1755" s="39" t="n">
        <v>17.9</v>
      </c>
      <c r="M1755" s="39">
        <f>I1755*J1755*(1-K1755)</f>
        <v/>
      </c>
      <c r="N1755" s="39">
        <f>I1755*L1755</f>
        <v/>
      </c>
      <c r="O1755" s="39">
        <f>M1755-N1755</f>
        <v/>
      </c>
      <c r="P1755" s="38">
        <f>IF(M1755=0,0,O1755/M1755)</f>
        <v/>
      </c>
      <c r="Q1755" s="36">
        <f>YEAR(B1755)</f>
        <v/>
      </c>
      <c r="R1755" s="36">
        <f>"Q"&amp;ROUNDUP(MONTH(B1755)/3,0)</f>
        <v/>
      </c>
      <c r="S1755" s="36">
        <f>MONTH(B1755)</f>
        <v/>
      </c>
      <c r="T1755" s="36">
        <f>TEXT(B1755,"mmm")</f>
        <v/>
      </c>
      <c r="U1755" s="36">
        <f>IF(AND(OR(sel_Region="All",C1755=sel_Region),OR(sel_Country="All",D1755=sel_Country),OR(sel_Channel="All",E1755=sel_Channel),OR(sel_Customer="All",F1755=sel_Customer),OR(sel_Category="All",G1755=sel_Category),OR(sel_Product="All",H1755=sel_Product),AND(S1755&gt;=m_From,S1755&lt;=m_To)),1,0)</f>
        <v/>
      </c>
      <c r="V1755" s="36">
        <f>IF(AND(OR(sel_Region="All",C1755=sel_Region),OR(sel_Channel="All",E1755=sel_Channel),OR(sel_Customer="All",F1755=sel_Customer),OR(sel_Category="All",G1755=sel_Category),OR(sel_Product="All",H1755=sel_Product),AND(S1755&gt;=m_From,S1755&lt;=m_To)),1,0)</f>
        <v/>
      </c>
      <c r="W1755" s="36">
        <f>IF(AND(OR(sel_Region="All",C1755=sel_Region),OR(sel_Country="All",D1755=sel_Country),OR(sel_Customer="All",F1755=sel_Customer),OR(sel_Category="All",G1755=sel_Category),OR(sel_Product="All",H1755=sel_Product),AND(S1755&gt;=m_From,S1755&lt;=m_To)),1,0)</f>
        <v/>
      </c>
      <c r="X1755" s="36">
        <f>IF(AND(OR(sel_Region="All",C1755=sel_Region),OR(sel_Country="All",D1755=sel_Country),OR(sel_Channel="All",E1755=sel_Channel),OR(sel_Category="All",G1755=sel_Category),OR(sel_Product="All",H1755=sel_Product),AND(S1755&gt;=m_From,S1755&lt;=m_To)),1,0)</f>
        <v/>
      </c>
      <c r="Y1755" s="36">
        <f>IF(AND(OR(sel_Region="All",C1755=sel_Region),OR(sel_Country="All",D1755=sel_Country),OR(sel_Channel="All",E1755=sel_Channel),OR(sel_Customer="All",F1755=sel_Customer),OR(sel_Product="All",H1755=sel_Product),AND(S1755&gt;=m_From,S1755&lt;=m_To)),1,0)</f>
        <v/>
      </c>
      <c r="Z1755" s="36">
        <f>IF(AND(OR(sel_Region="All",C1755=sel_Region),OR(sel_Country="All",D1755=sel_Country),OR(sel_Channel="All",E1755=sel_Channel),OR(sel_Customer="All",F1755=sel_Customer),OR(sel_Category="All",G1755=sel_Category),AND(S1755&gt;=m_From,S1755&lt;=m_To)),1,0)</f>
        <v/>
      </c>
      <c r="AA1755" s="36">
        <f>IF(AND(OR(sel_Region="All",C1755=sel_Region),OR(sel_Country="All",D1755=sel_Country),OR(sel_Channel="All",E1755=sel_Channel),OR(sel_Customer="All",F1755=sel_Customer),OR(sel_Category="All",G1755=sel_Category),OR(sel_Product="All",H1755=sel_Product)),1,0)</f>
        <v/>
      </c>
    </row>
    <row r="1756">
      <c r="A1756" s="36" t="inlineStr">
        <is>
          <t>02188</t>
        </is>
      </c>
      <c r="B1756" s="44" t="n">
        <v>46261</v>
      </c>
      <c r="C1756" s="36" t="inlineStr">
        <is>
          <t>Central Europe</t>
        </is>
      </c>
      <c r="D1756" s="36" t="inlineStr">
        <is>
          <t>Austria</t>
        </is>
      </c>
      <c r="E1756" s="36" t="inlineStr">
        <is>
          <t>Online Store</t>
        </is>
      </c>
      <c r="F1756" s="36" t="inlineStr">
        <is>
          <t>New</t>
        </is>
      </c>
      <c r="G1756" s="36" t="inlineStr">
        <is>
          <t>Camping</t>
        </is>
      </c>
      <c r="H1756" s="36" t="inlineStr">
        <is>
          <t>Portable Camp Stove</t>
        </is>
      </c>
      <c r="I1756" s="36" t="n">
        <v>1</v>
      </c>
      <c r="J1756" s="39" t="n">
        <v>83.23</v>
      </c>
      <c r="K1756" s="45" t="n">
        <v>0.1</v>
      </c>
      <c r="L1756" s="39" t="n">
        <v>40.23</v>
      </c>
      <c r="M1756" s="39">
        <f>I1756*J1756*(1-K1756)</f>
        <v/>
      </c>
      <c r="N1756" s="39">
        <f>I1756*L1756</f>
        <v/>
      </c>
      <c r="O1756" s="39">
        <f>M1756-N1756</f>
        <v/>
      </c>
      <c r="P1756" s="38">
        <f>IF(M1756=0,0,O1756/M1756)</f>
        <v/>
      </c>
      <c r="Q1756" s="36">
        <f>YEAR(B1756)</f>
        <v/>
      </c>
      <c r="R1756" s="36">
        <f>"Q"&amp;ROUNDUP(MONTH(B1756)/3,0)</f>
        <v/>
      </c>
      <c r="S1756" s="36">
        <f>MONTH(B1756)</f>
        <v/>
      </c>
      <c r="T1756" s="36">
        <f>TEXT(B1756,"mmm")</f>
        <v/>
      </c>
      <c r="U1756" s="36">
        <f>IF(AND(OR(sel_Region="All",C1756=sel_Region),OR(sel_Country="All",D1756=sel_Country),OR(sel_Channel="All",E1756=sel_Channel),OR(sel_Customer="All",F1756=sel_Customer),OR(sel_Category="All",G1756=sel_Category),OR(sel_Product="All",H1756=sel_Product),AND(S1756&gt;=m_From,S1756&lt;=m_To)),1,0)</f>
        <v/>
      </c>
      <c r="V1756" s="36">
        <f>IF(AND(OR(sel_Region="All",C1756=sel_Region),OR(sel_Channel="All",E1756=sel_Channel),OR(sel_Customer="All",F1756=sel_Customer),OR(sel_Category="All",G1756=sel_Category),OR(sel_Product="All",H1756=sel_Product),AND(S1756&gt;=m_From,S1756&lt;=m_To)),1,0)</f>
        <v/>
      </c>
      <c r="W1756" s="36">
        <f>IF(AND(OR(sel_Region="All",C1756=sel_Region),OR(sel_Country="All",D1756=sel_Country),OR(sel_Customer="All",F1756=sel_Customer),OR(sel_Category="All",G1756=sel_Category),OR(sel_Product="All",H1756=sel_Product),AND(S1756&gt;=m_From,S1756&lt;=m_To)),1,0)</f>
        <v/>
      </c>
      <c r="X1756" s="36">
        <f>IF(AND(OR(sel_Region="All",C1756=sel_Region),OR(sel_Country="All",D1756=sel_Country),OR(sel_Channel="All",E1756=sel_Channel),OR(sel_Category="All",G1756=sel_Category),OR(sel_Product="All",H1756=sel_Product),AND(S1756&gt;=m_From,S1756&lt;=m_To)),1,0)</f>
        <v/>
      </c>
      <c r="Y1756" s="36">
        <f>IF(AND(OR(sel_Region="All",C1756=sel_Region),OR(sel_Country="All",D1756=sel_Country),OR(sel_Channel="All",E1756=sel_Channel),OR(sel_Customer="All",F1756=sel_Customer),OR(sel_Product="All",H1756=sel_Product),AND(S1756&gt;=m_From,S1756&lt;=m_To)),1,0)</f>
        <v/>
      </c>
      <c r="Z1756" s="36">
        <f>IF(AND(OR(sel_Region="All",C1756=sel_Region),OR(sel_Country="All",D1756=sel_Country),OR(sel_Channel="All",E1756=sel_Channel),OR(sel_Customer="All",F1756=sel_Customer),OR(sel_Category="All",G1756=sel_Category),AND(S1756&gt;=m_From,S1756&lt;=m_To)),1,0)</f>
        <v/>
      </c>
      <c r="AA1756" s="36">
        <f>IF(AND(OR(sel_Region="All",C1756=sel_Region),OR(sel_Country="All",D1756=sel_Country),OR(sel_Channel="All",E1756=sel_Channel),OR(sel_Customer="All",F1756=sel_Customer),OR(sel_Category="All",G1756=sel_Category),OR(sel_Product="All",H1756=sel_Product)),1,0)</f>
        <v/>
      </c>
    </row>
    <row r="1757">
      <c r="A1757" s="36" t="inlineStr">
        <is>
          <t>02574</t>
        </is>
      </c>
      <c r="B1757" s="44" t="n">
        <v>46261</v>
      </c>
      <c r="C1757" s="36" t="inlineStr">
        <is>
          <t>Southern Europe</t>
        </is>
      </c>
      <c r="D1757" s="36" t="inlineStr">
        <is>
          <t>Portugal</t>
        </is>
      </c>
      <c r="E1757" s="36" t="inlineStr">
        <is>
          <t>Retail Partners</t>
        </is>
      </c>
      <c r="F1757" s="36" t="inlineStr">
        <is>
          <t>New</t>
        </is>
      </c>
      <c r="G1757" s="36" t="inlineStr">
        <is>
          <t>Cycling</t>
        </is>
      </c>
      <c r="H1757" s="36" t="inlineStr">
        <is>
          <t>Cycling Pack 12L</t>
        </is>
      </c>
      <c r="I1757" s="36" t="n">
        <v>1</v>
      </c>
      <c r="J1757" s="39" t="n">
        <v>104.33</v>
      </c>
      <c r="K1757" s="45" t="n">
        <v>0.1</v>
      </c>
      <c r="L1757" s="39" t="n">
        <v>49.86</v>
      </c>
      <c r="M1757" s="39">
        <f>I1757*J1757*(1-K1757)</f>
        <v/>
      </c>
      <c r="N1757" s="39">
        <f>I1757*L1757</f>
        <v/>
      </c>
      <c r="O1757" s="39">
        <f>M1757-N1757</f>
        <v/>
      </c>
      <c r="P1757" s="38">
        <f>IF(M1757=0,0,O1757/M1757)</f>
        <v/>
      </c>
      <c r="Q1757" s="36">
        <f>YEAR(B1757)</f>
        <v/>
      </c>
      <c r="R1757" s="36">
        <f>"Q"&amp;ROUNDUP(MONTH(B1757)/3,0)</f>
        <v/>
      </c>
      <c r="S1757" s="36">
        <f>MONTH(B1757)</f>
        <v/>
      </c>
      <c r="T1757" s="36">
        <f>TEXT(B1757,"mmm")</f>
        <v/>
      </c>
      <c r="U1757" s="36">
        <f>IF(AND(OR(sel_Region="All",C1757=sel_Region),OR(sel_Country="All",D1757=sel_Country),OR(sel_Channel="All",E1757=sel_Channel),OR(sel_Customer="All",F1757=sel_Customer),OR(sel_Category="All",G1757=sel_Category),OR(sel_Product="All",H1757=sel_Product),AND(S1757&gt;=m_From,S1757&lt;=m_To)),1,0)</f>
        <v/>
      </c>
      <c r="V1757" s="36">
        <f>IF(AND(OR(sel_Region="All",C1757=sel_Region),OR(sel_Channel="All",E1757=sel_Channel),OR(sel_Customer="All",F1757=sel_Customer),OR(sel_Category="All",G1757=sel_Category),OR(sel_Product="All",H1757=sel_Product),AND(S1757&gt;=m_From,S1757&lt;=m_To)),1,0)</f>
        <v/>
      </c>
      <c r="W1757" s="36">
        <f>IF(AND(OR(sel_Region="All",C1757=sel_Region),OR(sel_Country="All",D1757=sel_Country),OR(sel_Customer="All",F1757=sel_Customer),OR(sel_Category="All",G1757=sel_Category),OR(sel_Product="All",H1757=sel_Product),AND(S1757&gt;=m_From,S1757&lt;=m_To)),1,0)</f>
        <v/>
      </c>
      <c r="X1757" s="36">
        <f>IF(AND(OR(sel_Region="All",C1757=sel_Region),OR(sel_Country="All",D1757=sel_Country),OR(sel_Channel="All",E1757=sel_Channel),OR(sel_Category="All",G1757=sel_Category),OR(sel_Product="All",H1757=sel_Product),AND(S1757&gt;=m_From,S1757&lt;=m_To)),1,0)</f>
        <v/>
      </c>
      <c r="Y1757" s="36">
        <f>IF(AND(OR(sel_Region="All",C1757=sel_Region),OR(sel_Country="All",D1757=sel_Country),OR(sel_Channel="All",E1757=sel_Channel),OR(sel_Customer="All",F1757=sel_Customer),OR(sel_Product="All",H1757=sel_Product),AND(S1757&gt;=m_From,S1757&lt;=m_To)),1,0)</f>
        <v/>
      </c>
      <c r="Z1757" s="36">
        <f>IF(AND(OR(sel_Region="All",C1757=sel_Region),OR(sel_Country="All",D1757=sel_Country),OR(sel_Channel="All",E1757=sel_Channel),OR(sel_Customer="All",F1757=sel_Customer),OR(sel_Category="All",G1757=sel_Category),AND(S1757&gt;=m_From,S1757&lt;=m_To)),1,0)</f>
        <v/>
      </c>
      <c r="AA1757" s="36">
        <f>IF(AND(OR(sel_Region="All",C1757=sel_Region),OR(sel_Country="All",D1757=sel_Country),OR(sel_Channel="All",E1757=sel_Channel),OR(sel_Customer="All",F1757=sel_Customer),OR(sel_Category="All",G1757=sel_Category),OR(sel_Product="All",H1757=sel_Product)),1,0)</f>
        <v/>
      </c>
    </row>
    <row r="1758">
      <c r="A1758" s="36" t="inlineStr">
        <is>
          <t>02942</t>
        </is>
      </c>
      <c r="B1758" s="44" t="n">
        <v>46261</v>
      </c>
      <c r="C1758" s="36" t="inlineStr">
        <is>
          <t>Central Europe</t>
        </is>
      </c>
      <c r="D1758" s="36" t="inlineStr">
        <is>
          <t>Austria</t>
        </is>
      </c>
      <c r="E1758" s="36" t="inlineStr">
        <is>
          <t>Online Store</t>
        </is>
      </c>
      <c r="F1758" s="36" t="inlineStr">
        <is>
          <t>New</t>
        </is>
      </c>
      <c r="G1758" s="36" t="inlineStr">
        <is>
          <t>Hiking</t>
        </is>
      </c>
      <c r="H1758" s="36" t="inlineStr">
        <is>
          <t>Summit Backpack 45L</t>
        </is>
      </c>
      <c r="I1758" s="36" t="n">
        <v>1</v>
      </c>
      <c r="J1758" s="39" t="n">
        <v>156.95</v>
      </c>
      <c r="K1758" s="45" t="n">
        <v>0</v>
      </c>
      <c r="L1758" s="39" t="n">
        <v>80.41</v>
      </c>
      <c r="M1758" s="39">
        <f>I1758*J1758*(1-K1758)</f>
        <v/>
      </c>
      <c r="N1758" s="39">
        <f>I1758*L1758</f>
        <v/>
      </c>
      <c r="O1758" s="39">
        <f>M1758-N1758</f>
        <v/>
      </c>
      <c r="P1758" s="38">
        <f>IF(M1758=0,0,O1758/M1758)</f>
        <v/>
      </c>
      <c r="Q1758" s="36">
        <f>YEAR(B1758)</f>
        <v/>
      </c>
      <c r="R1758" s="36">
        <f>"Q"&amp;ROUNDUP(MONTH(B1758)/3,0)</f>
        <v/>
      </c>
      <c r="S1758" s="36">
        <f>MONTH(B1758)</f>
        <v/>
      </c>
      <c r="T1758" s="36">
        <f>TEXT(B1758,"mmm")</f>
        <v/>
      </c>
      <c r="U1758" s="36">
        <f>IF(AND(OR(sel_Region="All",C1758=sel_Region),OR(sel_Country="All",D1758=sel_Country),OR(sel_Channel="All",E1758=sel_Channel),OR(sel_Customer="All",F1758=sel_Customer),OR(sel_Category="All",G1758=sel_Category),OR(sel_Product="All",H1758=sel_Product),AND(S1758&gt;=m_From,S1758&lt;=m_To)),1,0)</f>
        <v/>
      </c>
      <c r="V1758" s="36">
        <f>IF(AND(OR(sel_Region="All",C1758=sel_Region),OR(sel_Channel="All",E1758=sel_Channel),OR(sel_Customer="All",F1758=sel_Customer),OR(sel_Category="All",G1758=sel_Category),OR(sel_Product="All",H1758=sel_Product),AND(S1758&gt;=m_From,S1758&lt;=m_To)),1,0)</f>
        <v/>
      </c>
      <c r="W1758" s="36">
        <f>IF(AND(OR(sel_Region="All",C1758=sel_Region),OR(sel_Country="All",D1758=sel_Country),OR(sel_Customer="All",F1758=sel_Customer),OR(sel_Category="All",G1758=sel_Category),OR(sel_Product="All",H1758=sel_Product),AND(S1758&gt;=m_From,S1758&lt;=m_To)),1,0)</f>
        <v/>
      </c>
      <c r="X1758" s="36">
        <f>IF(AND(OR(sel_Region="All",C1758=sel_Region),OR(sel_Country="All",D1758=sel_Country),OR(sel_Channel="All",E1758=sel_Channel),OR(sel_Category="All",G1758=sel_Category),OR(sel_Product="All",H1758=sel_Product),AND(S1758&gt;=m_From,S1758&lt;=m_To)),1,0)</f>
        <v/>
      </c>
      <c r="Y1758" s="36">
        <f>IF(AND(OR(sel_Region="All",C1758=sel_Region),OR(sel_Country="All",D1758=sel_Country),OR(sel_Channel="All",E1758=sel_Channel),OR(sel_Customer="All",F1758=sel_Customer),OR(sel_Product="All",H1758=sel_Product),AND(S1758&gt;=m_From,S1758&lt;=m_To)),1,0)</f>
        <v/>
      </c>
      <c r="Z1758" s="36">
        <f>IF(AND(OR(sel_Region="All",C1758=sel_Region),OR(sel_Country="All",D1758=sel_Country),OR(sel_Channel="All",E1758=sel_Channel),OR(sel_Customer="All",F1758=sel_Customer),OR(sel_Category="All",G1758=sel_Category),AND(S1758&gt;=m_From,S1758&lt;=m_To)),1,0)</f>
        <v/>
      </c>
      <c r="AA1758" s="36">
        <f>IF(AND(OR(sel_Region="All",C1758=sel_Region),OR(sel_Country="All",D1758=sel_Country),OR(sel_Channel="All",E1758=sel_Channel),OR(sel_Customer="All",F1758=sel_Customer),OR(sel_Category="All",G1758=sel_Category),OR(sel_Product="All",H1758=sel_Product)),1,0)</f>
        <v/>
      </c>
    </row>
    <row r="1759">
      <c r="A1759" s="36" t="inlineStr">
        <is>
          <t>03211</t>
        </is>
      </c>
      <c r="B1759" s="44" t="n">
        <v>46261</v>
      </c>
      <c r="C1759" s="36" t="inlineStr">
        <is>
          <t>Central Europe</t>
        </is>
      </c>
      <c r="D1759" s="36" t="inlineStr">
        <is>
          <t>Poland</t>
        </is>
      </c>
      <c r="E1759" s="36" t="inlineStr">
        <is>
          <t>Retail Partners</t>
        </is>
      </c>
      <c r="F1759" s="36" t="inlineStr">
        <is>
          <t>Business</t>
        </is>
      </c>
      <c r="G1759" s="36" t="inlineStr">
        <is>
          <t>Cycling</t>
        </is>
      </c>
      <c r="H1759" s="36" t="inlineStr">
        <is>
          <t>Compact Repair Kit</t>
        </is>
      </c>
      <c r="I1759" s="36" t="n">
        <v>3</v>
      </c>
      <c r="J1759" s="39" t="n">
        <v>41.33</v>
      </c>
      <c r="K1759" s="45" t="n">
        <v>0.05</v>
      </c>
      <c r="L1759" s="39" t="n">
        <v>17</v>
      </c>
      <c r="M1759" s="39">
        <f>I1759*J1759*(1-K1759)</f>
        <v/>
      </c>
      <c r="N1759" s="39">
        <f>I1759*L1759</f>
        <v/>
      </c>
      <c r="O1759" s="39">
        <f>M1759-N1759</f>
        <v/>
      </c>
      <c r="P1759" s="38">
        <f>IF(M1759=0,0,O1759/M1759)</f>
        <v/>
      </c>
      <c r="Q1759" s="36">
        <f>YEAR(B1759)</f>
        <v/>
      </c>
      <c r="R1759" s="36">
        <f>"Q"&amp;ROUNDUP(MONTH(B1759)/3,0)</f>
        <v/>
      </c>
      <c r="S1759" s="36">
        <f>MONTH(B1759)</f>
        <v/>
      </c>
      <c r="T1759" s="36">
        <f>TEXT(B1759,"mmm")</f>
        <v/>
      </c>
      <c r="U1759" s="36">
        <f>IF(AND(OR(sel_Region="All",C1759=sel_Region),OR(sel_Country="All",D1759=sel_Country),OR(sel_Channel="All",E1759=sel_Channel),OR(sel_Customer="All",F1759=sel_Customer),OR(sel_Category="All",G1759=sel_Category),OR(sel_Product="All",H1759=sel_Product),AND(S1759&gt;=m_From,S1759&lt;=m_To)),1,0)</f>
        <v/>
      </c>
      <c r="V1759" s="36">
        <f>IF(AND(OR(sel_Region="All",C1759=sel_Region),OR(sel_Channel="All",E1759=sel_Channel),OR(sel_Customer="All",F1759=sel_Customer),OR(sel_Category="All",G1759=sel_Category),OR(sel_Product="All",H1759=sel_Product),AND(S1759&gt;=m_From,S1759&lt;=m_To)),1,0)</f>
        <v/>
      </c>
      <c r="W1759" s="36">
        <f>IF(AND(OR(sel_Region="All",C1759=sel_Region),OR(sel_Country="All",D1759=sel_Country),OR(sel_Customer="All",F1759=sel_Customer),OR(sel_Category="All",G1759=sel_Category),OR(sel_Product="All",H1759=sel_Product),AND(S1759&gt;=m_From,S1759&lt;=m_To)),1,0)</f>
        <v/>
      </c>
      <c r="X1759" s="36">
        <f>IF(AND(OR(sel_Region="All",C1759=sel_Region),OR(sel_Country="All",D1759=sel_Country),OR(sel_Channel="All",E1759=sel_Channel),OR(sel_Category="All",G1759=sel_Category),OR(sel_Product="All",H1759=sel_Product),AND(S1759&gt;=m_From,S1759&lt;=m_To)),1,0)</f>
        <v/>
      </c>
      <c r="Y1759" s="36">
        <f>IF(AND(OR(sel_Region="All",C1759=sel_Region),OR(sel_Country="All",D1759=sel_Country),OR(sel_Channel="All",E1759=sel_Channel),OR(sel_Customer="All",F1759=sel_Customer),OR(sel_Product="All",H1759=sel_Product),AND(S1759&gt;=m_From,S1759&lt;=m_To)),1,0)</f>
        <v/>
      </c>
      <c r="Z1759" s="36">
        <f>IF(AND(OR(sel_Region="All",C1759=sel_Region),OR(sel_Country="All",D1759=sel_Country),OR(sel_Channel="All",E1759=sel_Channel),OR(sel_Customer="All",F1759=sel_Customer),OR(sel_Category="All",G1759=sel_Category),AND(S1759&gt;=m_From,S1759&lt;=m_To)),1,0)</f>
        <v/>
      </c>
      <c r="AA1759" s="36">
        <f>IF(AND(OR(sel_Region="All",C1759=sel_Region),OR(sel_Country="All",D1759=sel_Country),OR(sel_Channel="All",E1759=sel_Channel),OR(sel_Customer="All",F1759=sel_Customer),OR(sel_Category="All",G1759=sel_Category),OR(sel_Product="All",H1759=sel_Product)),1,0)</f>
        <v/>
      </c>
    </row>
    <row r="1760">
      <c r="A1760" s="36" t="inlineStr">
        <is>
          <t>03306</t>
        </is>
      </c>
      <c r="B1760" s="44" t="n">
        <v>46261</v>
      </c>
      <c r="C1760" s="36" t="inlineStr">
        <is>
          <t>Southern Europe</t>
        </is>
      </c>
      <c r="D1760" s="36" t="inlineStr">
        <is>
          <t>Italy</t>
        </is>
      </c>
      <c r="E1760" s="36" t="inlineStr">
        <is>
          <t>Online Store</t>
        </is>
      </c>
      <c r="F1760" s="36" t="inlineStr">
        <is>
          <t>Business</t>
        </is>
      </c>
      <c r="G1760" s="36" t="inlineStr">
        <is>
          <t>Travel</t>
        </is>
      </c>
      <c r="H1760" s="36" t="inlineStr">
        <is>
          <t>Insulated Bottle</t>
        </is>
      </c>
      <c r="I1760" s="36" t="n">
        <v>1</v>
      </c>
      <c r="J1760" s="39" t="n">
        <v>35.59</v>
      </c>
      <c r="K1760" s="45" t="n">
        <v>0</v>
      </c>
      <c r="L1760" s="39" t="n">
        <v>13.66</v>
      </c>
      <c r="M1760" s="39">
        <f>I1760*J1760*(1-K1760)</f>
        <v/>
      </c>
      <c r="N1760" s="39">
        <f>I1760*L1760</f>
        <v/>
      </c>
      <c r="O1760" s="39">
        <f>M1760-N1760</f>
        <v/>
      </c>
      <c r="P1760" s="38">
        <f>IF(M1760=0,0,O1760/M1760)</f>
        <v/>
      </c>
      <c r="Q1760" s="36">
        <f>YEAR(B1760)</f>
        <v/>
      </c>
      <c r="R1760" s="36">
        <f>"Q"&amp;ROUNDUP(MONTH(B1760)/3,0)</f>
        <v/>
      </c>
      <c r="S1760" s="36">
        <f>MONTH(B1760)</f>
        <v/>
      </c>
      <c r="T1760" s="36">
        <f>TEXT(B1760,"mmm")</f>
        <v/>
      </c>
      <c r="U1760" s="36">
        <f>IF(AND(OR(sel_Region="All",C1760=sel_Region),OR(sel_Country="All",D1760=sel_Country),OR(sel_Channel="All",E1760=sel_Channel),OR(sel_Customer="All",F1760=sel_Customer),OR(sel_Category="All",G1760=sel_Category),OR(sel_Product="All",H1760=sel_Product),AND(S1760&gt;=m_From,S1760&lt;=m_To)),1,0)</f>
        <v/>
      </c>
      <c r="V1760" s="36">
        <f>IF(AND(OR(sel_Region="All",C1760=sel_Region),OR(sel_Channel="All",E1760=sel_Channel),OR(sel_Customer="All",F1760=sel_Customer),OR(sel_Category="All",G1760=sel_Category),OR(sel_Product="All",H1760=sel_Product),AND(S1760&gt;=m_From,S1760&lt;=m_To)),1,0)</f>
        <v/>
      </c>
      <c r="W1760" s="36">
        <f>IF(AND(OR(sel_Region="All",C1760=sel_Region),OR(sel_Country="All",D1760=sel_Country),OR(sel_Customer="All",F1760=sel_Customer),OR(sel_Category="All",G1760=sel_Category),OR(sel_Product="All",H1760=sel_Product),AND(S1760&gt;=m_From,S1760&lt;=m_To)),1,0)</f>
        <v/>
      </c>
      <c r="X1760" s="36">
        <f>IF(AND(OR(sel_Region="All",C1760=sel_Region),OR(sel_Country="All",D1760=sel_Country),OR(sel_Channel="All",E1760=sel_Channel),OR(sel_Category="All",G1760=sel_Category),OR(sel_Product="All",H1760=sel_Product),AND(S1760&gt;=m_From,S1760&lt;=m_To)),1,0)</f>
        <v/>
      </c>
      <c r="Y1760" s="36">
        <f>IF(AND(OR(sel_Region="All",C1760=sel_Region),OR(sel_Country="All",D1760=sel_Country),OR(sel_Channel="All",E1760=sel_Channel),OR(sel_Customer="All",F1760=sel_Customer),OR(sel_Product="All",H1760=sel_Product),AND(S1760&gt;=m_From,S1760&lt;=m_To)),1,0)</f>
        <v/>
      </c>
      <c r="Z1760" s="36">
        <f>IF(AND(OR(sel_Region="All",C1760=sel_Region),OR(sel_Country="All",D1760=sel_Country),OR(sel_Channel="All",E1760=sel_Channel),OR(sel_Customer="All",F1760=sel_Customer),OR(sel_Category="All",G1760=sel_Category),AND(S1760&gt;=m_From,S1760&lt;=m_To)),1,0)</f>
        <v/>
      </c>
      <c r="AA1760" s="36">
        <f>IF(AND(OR(sel_Region="All",C1760=sel_Region),OR(sel_Country="All",D1760=sel_Country),OR(sel_Channel="All",E1760=sel_Channel),OR(sel_Customer="All",F1760=sel_Customer),OR(sel_Category="All",G1760=sel_Category),OR(sel_Product="All",H1760=sel_Product)),1,0)</f>
        <v/>
      </c>
    </row>
    <row r="1761">
      <c r="A1761" s="36" t="inlineStr">
        <is>
          <t>03837</t>
        </is>
      </c>
      <c r="B1761" s="44" t="n">
        <v>46261</v>
      </c>
      <c r="C1761" s="36" t="inlineStr">
        <is>
          <t>Western Europe</t>
        </is>
      </c>
      <c r="D1761" s="36" t="inlineStr">
        <is>
          <t>United Kingdom</t>
        </is>
      </c>
      <c r="E1761" s="36" t="inlineStr">
        <is>
          <t>Online Store</t>
        </is>
      </c>
      <c r="F1761" s="36" t="inlineStr">
        <is>
          <t>Returning</t>
        </is>
      </c>
      <c r="G1761" s="36" t="inlineStr">
        <is>
          <t>Camping</t>
        </is>
      </c>
      <c r="H1761" s="36" t="inlineStr">
        <is>
          <t>Alpine Tent 4P</t>
        </is>
      </c>
      <c r="I1761" s="36" t="n">
        <v>2</v>
      </c>
      <c r="J1761" s="39" t="n">
        <v>335.87</v>
      </c>
      <c r="K1761" s="45" t="n">
        <v>0.1</v>
      </c>
      <c r="L1761" s="39" t="n">
        <v>196.54</v>
      </c>
      <c r="M1761" s="39">
        <f>I1761*J1761*(1-K1761)</f>
        <v/>
      </c>
      <c r="N1761" s="39">
        <f>I1761*L1761</f>
        <v/>
      </c>
      <c r="O1761" s="39">
        <f>M1761-N1761</f>
        <v/>
      </c>
      <c r="P1761" s="38">
        <f>IF(M1761=0,0,O1761/M1761)</f>
        <v/>
      </c>
      <c r="Q1761" s="36">
        <f>YEAR(B1761)</f>
        <v/>
      </c>
      <c r="R1761" s="36">
        <f>"Q"&amp;ROUNDUP(MONTH(B1761)/3,0)</f>
        <v/>
      </c>
      <c r="S1761" s="36">
        <f>MONTH(B1761)</f>
        <v/>
      </c>
      <c r="T1761" s="36">
        <f>TEXT(B1761,"mmm")</f>
        <v/>
      </c>
      <c r="U1761" s="36">
        <f>IF(AND(OR(sel_Region="All",C1761=sel_Region),OR(sel_Country="All",D1761=sel_Country),OR(sel_Channel="All",E1761=sel_Channel),OR(sel_Customer="All",F1761=sel_Customer),OR(sel_Category="All",G1761=sel_Category),OR(sel_Product="All",H1761=sel_Product),AND(S1761&gt;=m_From,S1761&lt;=m_To)),1,0)</f>
        <v/>
      </c>
      <c r="V1761" s="36">
        <f>IF(AND(OR(sel_Region="All",C1761=sel_Region),OR(sel_Channel="All",E1761=sel_Channel),OR(sel_Customer="All",F1761=sel_Customer),OR(sel_Category="All",G1761=sel_Category),OR(sel_Product="All",H1761=sel_Product),AND(S1761&gt;=m_From,S1761&lt;=m_To)),1,0)</f>
        <v/>
      </c>
      <c r="W1761" s="36">
        <f>IF(AND(OR(sel_Region="All",C1761=sel_Region),OR(sel_Country="All",D1761=sel_Country),OR(sel_Customer="All",F1761=sel_Customer),OR(sel_Category="All",G1761=sel_Category),OR(sel_Product="All",H1761=sel_Product),AND(S1761&gt;=m_From,S1761&lt;=m_To)),1,0)</f>
        <v/>
      </c>
      <c r="X1761" s="36">
        <f>IF(AND(OR(sel_Region="All",C1761=sel_Region),OR(sel_Country="All",D1761=sel_Country),OR(sel_Channel="All",E1761=sel_Channel),OR(sel_Category="All",G1761=sel_Category),OR(sel_Product="All",H1761=sel_Product),AND(S1761&gt;=m_From,S1761&lt;=m_To)),1,0)</f>
        <v/>
      </c>
      <c r="Y1761" s="36">
        <f>IF(AND(OR(sel_Region="All",C1761=sel_Region),OR(sel_Country="All",D1761=sel_Country),OR(sel_Channel="All",E1761=sel_Channel),OR(sel_Customer="All",F1761=sel_Customer),OR(sel_Product="All",H1761=sel_Product),AND(S1761&gt;=m_From,S1761&lt;=m_To)),1,0)</f>
        <v/>
      </c>
      <c r="Z1761" s="36">
        <f>IF(AND(OR(sel_Region="All",C1761=sel_Region),OR(sel_Country="All",D1761=sel_Country),OR(sel_Channel="All",E1761=sel_Channel),OR(sel_Customer="All",F1761=sel_Customer),OR(sel_Category="All",G1761=sel_Category),AND(S1761&gt;=m_From,S1761&lt;=m_To)),1,0)</f>
        <v/>
      </c>
      <c r="AA1761" s="36">
        <f>IF(AND(OR(sel_Region="All",C1761=sel_Region),OR(sel_Country="All",D1761=sel_Country),OR(sel_Channel="All",E1761=sel_Channel),OR(sel_Customer="All",F1761=sel_Customer),OR(sel_Category="All",G1761=sel_Category),OR(sel_Product="All",H1761=sel_Product)),1,0)</f>
        <v/>
      </c>
    </row>
    <row r="1762">
      <c r="A1762" s="36" t="inlineStr">
        <is>
          <t>04169</t>
        </is>
      </c>
      <c r="B1762" s="44" t="n">
        <v>46261</v>
      </c>
      <c r="C1762" s="36" t="inlineStr">
        <is>
          <t>Western Europe</t>
        </is>
      </c>
      <c r="D1762" s="36" t="inlineStr">
        <is>
          <t>France</t>
        </is>
      </c>
      <c r="E1762" s="36" t="inlineStr">
        <is>
          <t>Online Store</t>
        </is>
      </c>
      <c r="F1762" s="36" t="inlineStr">
        <is>
          <t>New</t>
        </is>
      </c>
      <c r="G1762" s="36" t="inlineStr">
        <is>
          <t>Fitness</t>
        </is>
      </c>
      <c r="H1762" s="36" t="inlineStr">
        <is>
          <t>Training Mat</t>
        </is>
      </c>
      <c r="I1762" s="36" t="n">
        <v>1</v>
      </c>
      <c r="J1762" s="39" t="n">
        <v>50.7</v>
      </c>
      <c r="K1762" s="45" t="n">
        <v>0.05</v>
      </c>
      <c r="L1762" s="39" t="n">
        <v>21.65</v>
      </c>
      <c r="M1762" s="39">
        <f>I1762*J1762*(1-K1762)</f>
        <v/>
      </c>
      <c r="N1762" s="39">
        <f>I1762*L1762</f>
        <v/>
      </c>
      <c r="O1762" s="39">
        <f>M1762-N1762</f>
        <v/>
      </c>
      <c r="P1762" s="38">
        <f>IF(M1762=0,0,O1762/M1762)</f>
        <v/>
      </c>
      <c r="Q1762" s="36">
        <f>YEAR(B1762)</f>
        <v/>
      </c>
      <c r="R1762" s="36">
        <f>"Q"&amp;ROUNDUP(MONTH(B1762)/3,0)</f>
        <v/>
      </c>
      <c r="S1762" s="36">
        <f>MONTH(B1762)</f>
        <v/>
      </c>
      <c r="T1762" s="36">
        <f>TEXT(B1762,"mmm")</f>
        <v/>
      </c>
      <c r="U1762" s="36">
        <f>IF(AND(OR(sel_Region="All",C1762=sel_Region),OR(sel_Country="All",D1762=sel_Country),OR(sel_Channel="All",E1762=sel_Channel),OR(sel_Customer="All",F1762=sel_Customer),OR(sel_Category="All",G1762=sel_Category),OR(sel_Product="All",H1762=sel_Product),AND(S1762&gt;=m_From,S1762&lt;=m_To)),1,0)</f>
        <v/>
      </c>
      <c r="V1762" s="36">
        <f>IF(AND(OR(sel_Region="All",C1762=sel_Region),OR(sel_Channel="All",E1762=sel_Channel),OR(sel_Customer="All",F1762=sel_Customer),OR(sel_Category="All",G1762=sel_Category),OR(sel_Product="All",H1762=sel_Product),AND(S1762&gt;=m_From,S1762&lt;=m_To)),1,0)</f>
        <v/>
      </c>
      <c r="W1762" s="36">
        <f>IF(AND(OR(sel_Region="All",C1762=sel_Region),OR(sel_Country="All",D1762=sel_Country),OR(sel_Customer="All",F1762=sel_Customer),OR(sel_Category="All",G1762=sel_Category),OR(sel_Product="All",H1762=sel_Product),AND(S1762&gt;=m_From,S1762&lt;=m_To)),1,0)</f>
        <v/>
      </c>
      <c r="X1762" s="36">
        <f>IF(AND(OR(sel_Region="All",C1762=sel_Region),OR(sel_Country="All",D1762=sel_Country),OR(sel_Channel="All",E1762=sel_Channel),OR(sel_Category="All",G1762=sel_Category),OR(sel_Product="All",H1762=sel_Product),AND(S1762&gt;=m_From,S1762&lt;=m_To)),1,0)</f>
        <v/>
      </c>
      <c r="Y1762" s="36">
        <f>IF(AND(OR(sel_Region="All",C1762=sel_Region),OR(sel_Country="All",D1762=sel_Country),OR(sel_Channel="All",E1762=sel_Channel),OR(sel_Customer="All",F1762=sel_Customer),OR(sel_Product="All",H1762=sel_Product),AND(S1762&gt;=m_From,S1762&lt;=m_To)),1,0)</f>
        <v/>
      </c>
      <c r="Z1762" s="36">
        <f>IF(AND(OR(sel_Region="All",C1762=sel_Region),OR(sel_Country="All",D1762=sel_Country),OR(sel_Channel="All",E1762=sel_Channel),OR(sel_Customer="All",F1762=sel_Customer),OR(sel_Category="All",G1762=sel_Category),AND(S1762&gt;=m_From,S1762&lt;=m_To)),1,0)</f>
        <v/>
      </c>
      <c r="AA1762" s="36">
        <f>IF(AND(OR(sel_Region="All",C1762=sel_Region),OR(sel_Country="All",D1762=sel_Country),OR(sel_Channel="All",E1762=sel_Channel),OR(sel_Customer="All",F1762=sel_Customer),OR(sel_Category="All",G1762=sel_Category),OR(sel_Product="All",H1762=sel_Product)),1,0)</f>
        <v/>
      </c>
    </row>
    <row r="1763">
      <c r="A1763" s="36" t="inlineStr">
        <is>
          <t>04452</t>
        </is>
      </c>
      <c r="B1763" s="44" t="n">
        <v>46261</v>
      </c>
      <c r="C1763" s="36" t="inlineStr">
        <is>
          <t>Northern Europe</t>
        </is>
      </c>
      <c r="D1763" s="36" t="inlineStr">
        <is>
          <t>Sweden</t>
        </is>
      </c>
      <c r="E1763" s="36" t="inlineStr">
        <is>
          <t>Marketplace</t>
        </is>
      </c>
      <c r="F1763" s="36" t="inlineStr">
        <is>
          <t>New</t>
        </is>
      </c>
      <c r="G1763" s="36" t="inlineStr">
        <is>
          <t>Hiking</t>
        </is>
      </c>
      <c r="H1763" s="36" t="inlineStr">
        <is>
          <t>Summit Backpack 45L</t>
        </is>
      </c>
      <c r="I1763" s="36" t="n">
        <v>3</v>
      </c>
      <c r="J1763" s="39" t="n">
        <v>152.76</v>
      </c>
      <c r="K1763" s="45" t="n">
        <v>0.1</v>
      </c>
      <c r="L1763" s="39" t="n">
        <v>77.36</v>
      </c>
      <c r="M1763" s="39">
        <f>I1763*J1763*(1-K1763)</f>
        <v/>
      </c>
      <c r="N1763" s="39">
        <f>I1763*L1763</f>
        <v/>
      </c>
      <c r="O1763" s="39">
        <f>M1763-N1763</f>
        <v/>
      </c>
      <c r="P1763" s="38">
        <f>IF(M1763=0,0,O1763/M1763)</f>
        <v/>
      </c>
      <c r="Q1763" s="36">
        <f>YEAR(B1763)</f>
        <v/>
      </c>
      <c r="R1763" s="36">
        <f>"Q"&amp;ROUNDUP(MONTH(B1763)/3,0)</f>
        <v/>
      </c>
      <c r="S1763" s="36">
        <f>MONTH(B1763)</f>
        <v/>
      </c>
      <c r="T1763" s="36">
        <f>TEXT(B1763,"mmm")</f>
        <v/>
      </c>
      <c r="U1763" s="36">
        <f>IF(AND(OR(sel_Region="All",C1763=sel_Region),OR(sel_Country="All",D1763=sel_Country),OR(sel_Channel="All",E1763=sel_Channel),OR(sel_Customer="All",F1763=sel_Customer),OR(sel_Category="All",G1763=sel_Category),OR(sel_Product="All",H1763=sel_Product),AND(S1763&gt;=m_From,S1763&lt;=m_To)),1,0)</f>
        <v/>
      </c>
      <c r="V1763" s="36">
        <f>IF(AND(OR(sel_Region="All",C1763=sel_Region),OR(sel_Channel="All",E1763=sel_Channel),OR(sel_Customer="All",F1763=sel_Customer),OR(sel_Category="All",G1763=sel_Category),OR(sel_Product="All",H1763=sel_Product),AND(S1763&gt;=m_From,S1763&lt;=m_To)),1,0)</f>
        <v/>
      </c>
      <c r="W1763" s="36">
        <f>IF(AND(OR(sel_Region="All",C1763=sel_Region),OR(sel_Country="All",D1763=sel_Country),OR(sel_Customer="All",F1763=sel_Customer),OR(sel_Category="All",G1763=sel_Category),OR(sel_Product="All",H1763=sel_Product),AND(S1763&gt;=m_From,S1763&lt;=m_To)),1,0)</f>
        <v/>
      </c>
      <c r="X1763" s="36">
        <f>IF(AND(OR(sel_Region="All",C1763=sel_Region),OR(sel_Country="All",D1763=sel_Country),OR(sel_Channel="All",E1763=sel_Channel),OR(sel_Category="All",G1763=sel_Category),OR(sel_Product="All",H1763=sel_Product),AND(S1763&gt;=m_From,S1763&lt;=m_To)),1,0)</f>
        <v/>
      </c>
      <c r="Y1763" s="36">
        <f>IF(AND(OR(sel_Region="All",C1763=sel_Region),OR(sel_Country="All",D1763=sel_Country),OR(sel_Channel="All",E1763=sel_Channel),OR(sel_Customer="All",F1763=sel_Customer),OR(sel_Product="All",H1763=sel_Product),AND(S1763&gt;=m_From,S1763&lt;=m_To)),1,0)</f>
        <v/>
      </c>
      <c r="Z1763" s="36">
        <f>IF(AND(OR(sel_Region="All",C1763=sel_Region),OR(sel_Country="All",D1763=sel_Country),OR(sel_Channel="All",E1763=sel_Channel),OR(sel_Customer="All",F1763=sel_Customer),OR(sel_Category="All",G1763=sel_Category),AND(S1763&gt;=m_From,S1763&lt;=m_To)),1,0)</f>
        <v/>
      </c>
      <c r="AA1763" s="36">
        <f>IF(AND(OR(sel_Region="All",C1763=sel_Region),OR(sel_Country="All",D1763=sel_Country),OR(sel_Channel="All",E1763=sel_Channel),OR(sel_Customer="All",F1763=sel_Customer),OR(sel_Category="All",G1763=sel_Category),OR(sel_Product="All",H1763=sel_Product)),1,0)</f>
        <v/>
      </c>
    </row>
    <row r="1764">
      <c r="A1764" s="36" t="inlineStr">
        <is>
          <t>04740</t>
        </is>
      </c>
      <c r="B1764" s="44" t="n">
        <v>46261</v>
      </c>
      <c r="C1764" s="36" t="inlineStr">
        <is>
          <t>Southern Europe</t>
        </is>
      </c>
      <c r="D1764" s="36" t="inlineStr">
        <is>
          <t>Italy</t>
        </is>
      </c>
      <c r="E1764" s="36" t="inlineStr">
        <is>
          <t>Corporate</t>
        </is>
      </c>
      <c r="F1764" s="36" t="inlineStr">
        <is>
          <t>Returning</t>
        </is>
      </c>
      <c r="G1764" s="36" t="inlineStr">
        <is>
          <t>Hiking</t>
        </is>
      </c>
      <c r="H1764" s="36" t="inlineStr">
        <is>
          <t>Trekking Poles</t>
        </is>
      </c>
      <c r="I1764" s="36" t="n">
        <v>5</v>
      </c>
      <c r="J1764" s="39" t="n">
        <v>72.78</v>
      </c>
      <c r="K1764" s="45" t="n">
        <v>0.1</v>
      </c>
      <c r="L1764" s="39" t="n">
        <v>33.25</v>
      </c>
      <c r="M1764" s="39">
        <f>I1764*J1764*(1-K1764)</f>
        <v/>
      </c>
      <c r="N1764" s="39">
        <f>I1764*L1764</f>
        <v/>
      </c>
      <c r="O1764" s="39">
        <f>M1764-N1764</f>
        <v/>
      </c>
      <c r="P1764" s="38">
        <f>IF(M1764=0,0,O1764/M1764)</f>
        <v/>
      </c>
      <c r="Q1764" s="36">
        <f>YEAR(B1764)</f>
        <v/>
      </c>
      <c r="R1764" s="36">
        <f>"Q"&amp;ROUNDUP(MONTH(B1764)/3,0)</f>
        <v/>
      </c>
      <c r="S1764" s="36">
        <f>MONTH(B1764)</f>
        <v/>
      </c>
      <c r="T1764" s="36">
        <f>TEXT(B1764,"mmm")</f>
        <v/>
      </c>
      <c r="U1764" s="36">
        <f>IF(AND(OR(sel_Region="All",C1764=sel_Region),OR(sel_Country="All",D1764=sel_Country),OR(sel_Channel="All",E1764=sel_Channel),OR(sel_Customer="All",F1764=sel_Customer),OR(sel_Category="All",G1764=sel_Category),OR(sel_Product="All",H1764=sel_Product),AND(S1764&gt;=m_From,S1764&lt;=m_To)),1,0)</f>
        <v/>
      </c>
      <c r="V1764" s="36">
        <f>IF(AND(OR(sel_Region="All",C1764=sel_Region),OR(sel_Channel="All",E1764=sel_Channel),OR(sel_Customer="All",F1764=sel_Customer),OR(sel_Category="All",G1764=sel_Category),OR(sel_Product="All",H1764=sel_Product),AND(S1764&gt;=m_From,S1764&lt;=m_To)),1,0)</f>
        <v/>
      </c>
      <c r="W1764" s="36">
        <f>IF(AND(OR(sel_Region="All",C1764=sel_Region),OR(sel_Country="All",D1764=sel_Country),OR(sel_Customer="All",F1764=sel_Customer),OR(sel_Category="All",G1764=sel_Category),OR(sel_Product="All",H1764=sel_Product),AND(S1764&gt;=m_From,S1764&lt;=m_To)),1,0)</f>
        <v/>
      </c>
      <c r="X1764" s="36">
        <f>IF(AND(OR(sel_Region="All",C1764=sel_Region),OR(sel_Country="All",D1764=sel_Country),OR(sel_Channel="All",E1764=sel_Channel),OR(sel_Category="All",G1764=sel_Category),OR(sel_Product="All",H1764=sel_Product),AND(S1764&gt;=m_From,S1764&lt;=m_To)),1,0)</f>
        <v/>
      </c>
      <c r="Y1764" s="36">
        <f>IF(AND(OR(sel_Region="All",C1764=sel_Region),OR(sel_Country="All",D1764=sel_Country),OR(sel_Channel="All",E1764=sel_Channel),OR(sel_Customer="All",F1764=sel_Customer),OR(sel_Product="All",H1764=sel_Product),AND(S1764&gt;=m_From,S1764&lt;=m_To)),1,0)</f>
        <v/>
      </c>
      <c r="Z1764" s="36">
        <f>IF(AND(OR(sel_Region="All",C1764=sel_Region),OR(sel_Country="All",D1764=sel_Country),OR(sel_Channel="All",E1764=sel_Channel),OR(sel_Customer="All",F1764=sel_Customer),OR(sel_Category="All",G1764=sel_Category),AND(S1764&gt;=m_From,S1764&lt;=m_To)),1,0)</f>
        <v/>
      </c>
      <c r="AA1764" s="36">
        <f>IF(AND(OR(sel_Region="All",C1764=sel_Region),OR(sel_Country="All",D1764=sel_Country),OR(sel_Channel="All",E1764=sel_Channel),OR(sel_Customer="All",F1764=sel_Customer),OR(sel_Category="All",G1764=sel_Category),OR(sel_Product="All",H1764=sel_Product)),1,0)</f>
        <v/>
      </c>
    </row>
    <row r="1765">
      <c r="A1765" s="36" t="inlineStr">
        <is>
          <t>05000</t>
        </is>
      </c>
      <c r="B1765" s="44" t="n">
        <v>46261</v>
      </c>
      <c r="C1765" s="36" t="inlineStr">
        <is>
          <t>Central Europe</t>
        </is>
      </c>
      <c r="D1765" s="36" t="inlineStr">
        <is>
          <t>Germany</t>
        </is>
      </c>
      <c r="E1765" s="36" t="inlineStr">
        <is>
          <t>Marketplace</t>
        </is>
      </c>
      <c r="F1765" s="36" t="inlineStr">
        <is>
          <t>New</t>
        </is>
      </c>
      <c r="G1765" s="36" t="inlineStr">
        <is>
          <t>Travel</t>
        </is>
      </c>
      <c r="H1765" s="36" t="inlineStr">
        <is>
          <t>Insulated Bottle</t>
        </is>
      </c>
      <c r="I1765" s="36" t="n">
        <v>2</v>
      </c>
      <c r="J1765" s="39" t="n">
        <v>37</v>
      </c>
      <c r="K1765" s="45" t="n">
        <v>0</v>
      </c>
      <c r="L1765" s="39" t="n">
        <v>13.83</v>
      </c>
      <c r="M1765" s="39">
        <f>I1765*J1765*(1-K1765)</f>
        <v/>
      </c>
      <c r="N1765" s="39">
        <f>I1765*L1765</f>
        <v/>
      </c>
      <c r="O1765" s="39">
        <f>M1765-N1765</f>
        <v/>
      </c>
      <c r="P1765" s="38">
        <f>IF(M1765=0,0,O1765/M1765)</f>
        <v/>
      </c>
      <c r="Q1765" s="36">
        <f>YEAR(B1765)</f>
        <v/>
      </c>
      <c r="R1765" s="36">
        <f>"Q"&amp;ROUNDUP(MONTH(B1765)/3,0)</f>
        <v/>
      </c>
      <c r="S1765" s="36">
        <f>MONTH(B1765)</f>
        <v/>
      </c>
      <c r="T1765" s="36">
        <f>TEXT(B1765,"mmm")</f>
        <v/>
      </c>
      <c r="U1765" s="36">
        <f>IF(AND(OR(sel_Region="All",C1765=sel_Region),OR(sel_Country="All",D1765=sel_Country),OR(sel_Channel="All",E1765=sel_Channel),OR(sel_Customer="All",F1765=sel_Customer),OR(sel_Category="All",G1765=sel_Category),OR(sel_Product="All",H1765=sel_Product),AND(S1765&gt;=m_From,S1765&lt;=m_To)),1,0)</f>
        <v/>
      </c>
      <c r="V1765" s="36">
        <f>IF(AND(OR(sel_Region="All",C1765=sel_Region),OR(sel_Channel="All",E1765=sel_Channel),OR(sel_Customer="All",F1765=sel_Customer),OR(sel_Category="All",G1765=sel_Category),OR(sel_Product="All",H1765=sel_Product),AND(S1765&gt;=m_From,S1765&lt;=m_To)),1,0)</f>
        <v/>
      </c>
      <c r="W1765" s="36">
        <f>IF(AND(OR(sel_Region="All",C1765=sel_Region),OR(sel_Country="All",D1765=sel_Country),OR(sel_Customer="All",F1765=sel_Customer),OR(sel_Category="All",G1765=sel_Category),OR(sel_Product="All",H1765=sel_Product),AND(S1765&gt;=m_From,S1765&lt;=m_To)),1,0)</f>
        <v/>
      </c>
      <c r="X1765" s="36">
        <f>IF(AND(OR(sel_Region="All",C1765=sel_Region),OR(sel_Country="All",D1765=sel_Country),OR(sel_Channel="All",E1765=sel_Channel),OR(sel_Category="All",G1765=sel_Category),OR(sel_Product="All",H1765=sel_Product),AND(S1765&gt;=m_From,S1765&lt;=m_To)),1,0)</f>
        <v/>
      </c>
      <c r="Y1765" s="36">
        <f>IF(AND(OR(sel_Region="All",C1765=sel_Region),OR(sel_Country="All",D1765=sel_Country),OR(sel_Channel="All",E1765=sel_Channel),OR(sel_Customer="All",F1765=sel_Customer),OR(sel_Product="All",H1765=sel_Product),AND(S1765&gt;=m_From,S1765&lt;=m_To)),1,0)</f>
        <v/>
      </c>
      <c r="Z1765" s="36">
        <f>IF(AND(OR(sel_Region="All",C1765=sel_Region),OR(sel_Country="All",D1765=sel_Country),OR(sel_Channel="All",E1765=sel_Channel),OR(sel_Customer="All",F1765=sel_Customer),OR(sel_Category="All",G1765=sel_Category),AND(S1765&gt;=m_From,S1765&lt;=m_To)),1,0)</f>
        <v/>
      </c>
      <c r="AA1765" s="36">
        <f>IF(AND(OR(sel_Region="All",C1765=sel_Region),OR(sel_Country="All",D1765=sel_Country),OR(sel_Channel="All",E1765=sel_Channel),OR(sel_Customer="All",F1765=sel_Customer),OR(sel_Category="All",G1765=sel_Category),OR(sel_Product="All",H1765=sel_Product)),1,0)</f>
        <v/>
      </c>
    </row>
    <row r="1766">
      <c r="A1766" s="36" t="inlineStr">
        <is>
          <t>05058</t>
        </is>
      </c>
      <c r="B1766" s="44" t="n">
        <v>46261</v>
      </c>
      <c r="C1766" s="36" t="inlineStr">
        <is>
          <t>Central Europe</t>
        </is>
      </c>
      <c r="D1766" s="36" t="inlineStr">
        <is>
          <t>Switzerland</t>
        </is>
      </c>
      <c r="E1766" s="36" t="inlineStr">
        <is>
          <t>Corporate</t>
        </is>
      </c>
      <c r="F1766" s="36" t="inlineStr">
        <is>
          <t>Business</t>
        </is>
      </c>
      <c r="G1766" s="36" t="inlineStr">
        <is>
          <t>Cycling</t>
        </is>
      </c>
      <c r="H1766" s="36" t="inlineStr">
        <is>
          <t>Compact Repair Kit</t>
        </is>
      </c>
      <c r="I1766" s="36" t="n">
        <v>6</v>
      </c>
      <c r="J1766" s="39" t="n">
        <v>41.33</v>
      </c>
      <c r="K1766" s="45" t="n">
        <v>0.2</v>
      </c>
      <c r="L1766" s="39" t="n">
        <v>17.02</v>
      </c>
      <c r="M1766" s="39">
        <f>I1766*J1766*(1-K1766)</f>
        <v/>
      </c>
      <c r="N1766" s="39">
        <f>I1766*L1766</f>
        <v/>
      </c>
      <c r="O1766" s="39">
        <f>M1766-N1766</f>
        <v/>
      </c>
      <c r="P1766" s="38">
        <f>IF(M1766=0,0,O1766/M1766)</f>
        <v/>
      </c>
      <c r="Q1766" s="36">
        <f>YEAR(B1766)</f>
        <v/>
      </c>
      <c r="R1766" s="36">
        <f>"Q"&amp;ROUNDUP(MONTH(B1766)/3,0)</f>
        <v/>
      </c>
      <c r="S1766" s="36">
        <f>MONTH(B1766)</f>
        <v/>
      </c>
      <c r="T1766" s="36">
        <f>TEXT(B1766,"mmm")</f>
        <v/>
      </c>
      <c r="U1766" s="36">
        <f>IF(AND(OR(sel_Region="All",C1766=sel_Region),OR(sel_Country="All",D1766=sel_Country),OR(sel_Channel="All",E1766=sel_Channel),OR(sel_Customer="All",F1766=sel_Customer),OR(sel_Category="All",G1766=sel_Category),OR(sel_Product="All",H1766=sel_Product),AND(S1766&gt;=m_From,S1766&lt;=m_To)),1,0)</f>
        <v/>
      </c>
      <c r="V1766" s="36">
        <f>IF(AND(OR(sel_Region="All",C1766=sel_Region),OR(sel_Channel="All",E1766=sel_Channel),OR(sel_Customer="All",F1766=sel_Customer),OR(sel_Category="All",G1766=sel_Category),OR(sel_Product="All",H1766=sel_Product),AND(S1766&gt;=m_From,S1766&lt;=m_To)),1,0)</f>
        <v/>
      </c>
      <c r="W1766" s="36">
        <f>IF(AND(OR(sel_Region="All",C1766=sel_Region),OR(sel_Country="All",D1766=sel_Country),OR(sel_Customer="All",F1766=sel_Customer),OR(sel_Category="All",G1766=sel_Category),OR(sel_Product="All",H1766=sel_Product),AND(S1766&gt;=m_From,S1766&lt;=m_To)),1,0)</f>
        <v/>
      </c>
      <c r="X1766" s="36">
        <f>IF(AND(OR(sel_Region="All",C1766=sel_Region),OR(sel_Country="All",D1766=sel_Country),OR(sel_Channel="All",E1766=sel_Channel),OR(sel_Category="All",G1766=sel_Category),OR(sel_Product="All",H1766=sel_Product),AND(S1766&gt;=m_From,S1766&lt;=m_To)),1,0)</f>
        <v/>
      </c>
      <c r="Y1766" s="36">
        <f>IF(AND(OR(sel_Region="All",C1766=sel_Region),OR(sel_Country="All",D1766=sel_Country),OR(sel_Channel="All",E1766=sel_Channel),OR(sel_Customer="All",F1766=sel_Customer),OR(sel_Product="All",H1766=sel_Product),AND(S1766&gt;=m_From,S1766&lt;=m_To)),1,0)</f>
        <v/>
      </c>
      <c r="Z1766" s="36">
        <f>IF(AND(OR(sel_Region="All",C1766=sel_Region),OR(sel_Country="All",D1766=sel_Country),OR(sel_Channel="All",E1766=sel_Channel),OR(sel_Customer="All",F1766=sel_Customer),OR(sel_Category="All",G1766=sel_Category),AND(S1766&gt;=m_From,S1766&lt;=m_To)),1,0)</f>
        <v/>
      </c>
      <c r="AA1766" s="36">
        <f>IF(AND(OR(sel_Region="All",C1766=sel_Region),OR(sel_Country="All",D1766=sel_Country),OR(sel_Channel="All",E1766=sel_Channel),OR(sel_Customer="All",F1766=sel_Customer),OR(sel_Category="All",G1766=sel_Category),OR(sel_Product="All",H1766=sel_Product)),1,0)</f>
        <v/>
      </c>
    </row>
    <row r="1767">
      <c r="A1767" s="36" t="inlineStr">
        <is>
          <t>00496</t>
        </is>
      </c>
      <c r="B1767" s="44" t="n">
        <v>46262</v>
      </c>
      <c r="C1767" s="36" t="inlineStr">
        <is>
          <t>Southern Europe</t>
        </is>
      </c>
      <c r="D1767" s="36" t="inlineStr">
        <is>
          <t>Italy</t>
        </is>
      </c>
      <c r="E1767" s="36" t="inlineStr">
        <is>
          <t>Retail Partners</t>
        </is>
      </c>
      <c r="F1767" s="36" t="inlineStr">
        <is>
          <t>Returning</t>
        </is>
      </c>
      <c r="G1767" s="36" t="inlineStr">
        <is>
          <t>Fitness</t>
        </is>
      </c>
      <c r="H1767" s="36" t="inlineStr">
        <is>
          <t>Recovery Roller</t>
        </is>
      </c>
      <c r="I1767" s="36" t="n">
        <v>1</v>
      </c>
      <c r="J1767" s="39" t="n">
        <v>37.02</v>
      </c>
      <c r="K1767" s="45" t="n">
        <v>0</v>
      </c>
      <c r="L1767" s="39" t="n">
        <v>13.64</v>
      </c>
      <c r="M1767" s="39">
        <f>I1767*J1767*(1-K1767)</f>
        <v/>
      </c>
      <c r="N1767" s="39">
        <f>I1767*L1767</f>
        <v/>
      </c>
      <c r="O1767" s="39">
        <f>M1767-N1767</f>
        <v/>
      </c>
      <c r="P1767" s="38">
        <f>IF(M1767=0,0,O1767/M1767)</f>
        <v/>
      </c>
      <c r="Q1767" s="36">
        <f>YEAR(B1767)</f>
        <v/>
      </c>
      <c r="R1767" s="36">
        <f>"Q"&amp;ROUNDUP(MONTH(B1767)/3,0)</f>
        <v/>
      </c>
      <c r="S1767" s="36">
        <f>MONTH(B1767)</f>
        <v/>
      </c>
      <c r="T1767" s="36">
        <f>TEXT(B1767,"mmm")</f>
        <v/>
      </c>
      <c r="U1767" s="36">
        <f>IF(AND(OR(sel_Region="All",C1767=sel_Region),OR(sel_Country="All",D1767=sel_Country),OR(sel_Channel="All",E1767=sel_Channel),OR(sel_Customer="All",F1767=sel_Customer),OR(sel_Category="All",G1767=sel_Category),OR(sel_Product="All",H1767=sel_Product),AND(S1767&gt;=m_From,S1767&lt;=m_To)),1,0)</f>
        <v/>
      </c>
      <c r="V1767" s="36">
        <f>IF(AND(OR(sel_Region="All",C1767=sel_Region),OR(sel_Channel="All",E1767=sel_Channel),OR(sel_Customer="All",F1767=sel_Customer),OR(sel_Category="All",G1767=sel_Category),OR(sel_Product="All",H1767=sel_Product),AND(S1767&gt;=m_From,S1767&lt;=m_To)),1,0)</f>
        <v/>
      </c>
      <c r="W1767" s="36">
        <f>IF(AND(OR(sel_Region="All",C1767=sel_Region),OR(sel_Country="All",D1767=sel_Country),OR(sel_Customer="All",F1767=sel_Customer),OR(sel_Category="All",G1767=sel_Category),OR(sel_Product="All",H1767=sel_Product),AND(S1767&gt;=m_From,S1767&lt;=m_To)),1,0)</f>
        <v/>
      </c>
      <c r="X1767" s="36">
        <f>IF(AND(OR(sel_Region="All",C1767=sel_Region),OR(sel_Country="All",D1767=sel_Country),OR(sel_Channel="All",E1767=sel_Channel),OR(sel_Category="All",G1767=sel_Category),OR(sel_Product="All",H1767=sel_Product),AND(S1767&gt;=m_From,S1767&lt;=m_To)),1,0)</f>
        <v/>
      </c>
      <c r="Y1767" s="36">
        <f>IF(AND(OR(sel_Region="All",C1767=sel_Region),OR(sel_Country="All",D1767=sel_Country),OR(sel_Channel="All",E1767=sel_Channel),OR(sel_Customer="All",F1767=sel_Customer),OR(sel_Product="All",H1767=sel_Product),AND(S1767&gt;=m_From,S1767&lt;=m_To)),1,0)</f>
        <v/>
      </c>
      <c r="Z1767" s="36">
        <f>IF(AND(OR(sel_Region="All",C1767=sel_Region),OR(sel_Country="All",D1767=sel_Country),OR(sel_Channel="All",E1767=sel_Channel),OR(sel_Customer="All",F1767=sel_Customer),OR(sel_Category="All",G1767=sel_Category),AND(S1767&gt;=m_From,S1767&lt;=m_To)),1,0)</f>
        <v/>
      </c>
      <c r="AA1767" s="36">
        <f>IF(AND(OR(sel_Region="All",C1767=sel_Region),OR(sel_Country="All",D1767=sel_Country),OR(sel_Channel="All",E1767=sel_Channel),OR(sel_Customer="All",F1767=sel_Customer),OR(sel_Category="All",G1767=sel_Category),OR(sel_Product="All",H1767=sel_Product)),1,0)</f>
        <v/>
      </c>
    </row>
    <row r="1768">
      <c r="A1768" s="36" t="inlineStr">
        <is>
          <t>01343</t>
        </is>
      </c>
      <c r="B1768" s="44" t="n">
        <v>46262</v>
      </c>
      <c r="C1768" s="36" t="inlineStr">
        <is>
          <t>Western Europe</t>
        </is>
      </c>
      <c r="D1768" s="36" t="inlineStr">
        <is>
          <t>United Kingdom</t>
        </is>
      </c>
      <c r="E1768" s="36" t="inlineStr">
        <is>
          <t>Online Store</t>
        </is>
      </c>
      <c r="F1768" s="36" t="inlineStr">
        <is>
          <t>New</t>
        </is>
      </c>
      <c r="G1768" s="36" t="inlineStr">
        <is>
          <t>Camping</t>
        </is>
      </c>
      <c r="H1768" s="36" t="inlineStr">
        <is>
          <t>Portable Camp Stove</t>
        </is>
      </c>
      <c r="I1768" s="36" t="n">
        <v>1</v>
      </c>
      <c r="J1768" s="39" t="n">
        <v>81.06</v>
      </c>
      <c r="K1768" s="45" t="n">
        <v>0</v>
      </c>
      <c r="L1768" s="39" t="n">
        <v>38.43</v>
      </c>
      <c r="M1768" s="39">
        <f>I1768*J1768*(1-K1768)</f>
        <v/>
      </c>
      <c r="N1768" s="39">
        <f>I1768*L1768</f>
        <v/>
      </c>
      <c r="O1768" s="39">
        <f>M1768-N1768</f>
        <v/>
      </c>
      <c r="P1768" s="38">
        <f>IF(M1768=0,0,O1768/M1768)</f>
        <v/>
      </c>
      <c r="Q1768" s="36">
        <f>YEAR(B1768)</f>
        <v/>
      </c>
      <c r="R1768" s="36">
        <f>"Q"&amp;ROUNDUP(MONTH(B1768)/3,0)</f>
        <v/>
      </c>
      <c r="S1768" s="36">
        <f>MONTH(B1768)</f>
        <v/>
      </c>
      <c r="T1768" s="36">
        <f>TEXT(B1768,"mmm")</f>
        <v/>
      </c>
      <c r="U1768" s="36">
        <f>IF(AND(OR(sel_Region="All",C1768=sel_Region),OR(sel_Country="All",D1768=sel_Country),OR(sel_Channel="All",E1768=sel_Channel),OR(sel_Customer="All",F1768=sel_Customer),OR(sel_Category="All",G1768=sel_Category),OR(sel_Product="All",H1768=sel_Product),AND(S1768&gt;=m_From,S1768&lt;=m_To)),1,0)</f>
        <v/>
      </c>
      <c r="V1768" s="36">
        <f>IF(AND(OR(sel_Region="All",C1768=sel_Region),OR(sel_Channel="All",E1768=sel_Channel),OR(sel_Customer="All",F1768=sel_Customer),OR(sel_Category="All",G1768=sel_Category),OR(sel_Product="All",H1768=sel_Product),AND(S1768&gt;=m_From,S1768&lt;=m_To)),1,0)</f>
        <v/>
      </c>
      <c r="W1768" s="36">
        <f>IF(AND(OR(sel_Region="All",C1768=sel_Region),OR(sel_Country="All",D1768=sel_Country),OR(sel_Customer="All",F1768=sel_Customer),OR(sel_Category="All",G1768=sel_Category),OR(sel_Product="All",H1768=sel_Product),AND(S1768&gt;=m_From,S1768&lt;=m_To)),1,0)</f>
        <v/>
      </c>
      <c r="X1768" s="36">
        <f>IF(AND(OR(sel_Region="All",C1768=sel_Region),OR(sel_Country="All",D1768=sel_Country),OR(sel_Channel="All",E1768=sel_Channel),OR(sel_Category="All",G1768=sel_Category),OR(sel_Product="All",H1768=sel_Product),AND(S1768&gt;=m_From,S1768&lt;=m_To)),1,0)</f>
        <v/>
      </c>
      <c r="Y1768" s="36">
        <f>IF(AND(OR(sel_Region="All",C1768=sel_Region),OR(sel_Country="All",D1768=sel_Country),OR(sel_Channel="All",E1768=sel_Channel),OR(sel_Customer="All",F1768=sel_Customer),OR(sel_Product="All",H1768=sel_Product),AND(S1768&gt;=m_From,S1768&lt;=m_To)),1,0)</f>
        <v/>
      </c>
      <c r="Z1768" s="36">
        <f>IF(AND(OR(sel_Region="All",C1768=sel_Region),OR(sel_Country="All",D1768=sel_Country),OR(sel_Channel="All",E1768=sel_Channel),OR(sel_Customer="All",F1768=sel_Customer),OR(sel_Category="All",G1768=sel_Category),AND(S1768&gt;=m_From,S1768&lt;=m_To)),1,0)</f>
        <v/>
      </c>
      <c r="AA1768" s="36">
        <f>IF(AND(OR(sel_Region="All",C1768=sel_Region),OR(sel_Country="All",D1768=sel_Country),OR(sel_Channel="All",E1768=sel_Channel),OR(sel_Customer="All",F1768=sel_Customer),OR(sel_Category="All",G1768=sel_Category),OR(sel_Product="All",H1768=sel_Product)),1,0)</f>
        <v/>
      </c>
    </row>
    <row r="1769">
      <c r="A1769" s="36" t="inlineStr">
        <is>
          <t>01455</t>
        </is>
      </c>
      <c r="B1769" s="44" t="n">
        <v>46262</v>
      </c>
      <c r="C1769" s="36" t="inlineStr">
        <is>
          <t>Northern Europe</t>
        </is>
      </c>
      <c r="D1769" s="36" t="inlineStr">
        <is>
          <t>Sweden</t>
        </is>
      </c>
      <c r="E1769" s="36" t="inlineStr">
        <is>
          <t>Online Store</t>
        </is>
      </c>
      <c r="F1769" s="36" t="inlineStr">
        <is>
          <t>New</t>
        </is>
      </c>
      <c r="G1769" s="36" t="inlineStr">
        <is>
          <t>Cycling</t>
        </is>
      </c>
      <c r="H1769" s="36" t="inlineStr">
        <is>
          <t>Trail Bike Light</t>
        </is>
      </c>
      <c r="I1769" s="36" t="n">
        <v>2</v>
      </c>
      <c r="J1769" s="39" t="n">
        <v>51.91</v>
      </c>
      <c r="K1769" s="45" t="n">
        <v>0</v>
      </c>
      <c r="L1769" s="39" t="n">
        <v>21.94</v>
      </c>
      <c r="M1769" s="39">
        <f>I1769*J1769*(1-K1769)</f>
        <v/>
      </c>
      <c r="N1769" s="39">
        <f>I1769*L1769</f>
        <v/>
      </c>
      <c r="O1769" s="39">
        <f>M1769-N1769</f>
        <v/>
      </c>
      <c r="P1769" s="38">
        <f>IF(M1769=0,0,O1769/M1769)</f>
        <v/>
      </c>
      <c r="Q1769" s="36">
        <f>YEAR(B1769)</f>
        <v/>
      </c>
      <c r="R1769" s="36">
        <f>"Q"&amp;ROUNDUP(MONTH(B1769)/3,0)</f>
        <v/>
      </c>
      <c r="S1769" s="36">
        <f>MONTH(B1769)</f>
        <v/>
      </c>
      <c r="T1769" s="36">
        <f>TEXT(B1769,"mmm")</f>
        <v/>
      </c>
      <c r="U1769" s="36">
        <f>IF(AND(OR(sel_Region="All",C1769=sel_Region),OR(sel_Country="All",D1769=sel_Country),OR(sel_Channel="All",E1769=sel_Channel),OR(sel_Customer="All",F1769=sel_Customer),OR(sel_Category="All",G1769=sel_Category),OR(sel_Product="All",H1769=sel_Product),AND(S1769&gt;=m_From,S1769&lt;=m_To)),1,0)</f>
        <v/>
      </c>
      <c r="V1769" s="36">
        <f>IF(AND(OR(sel_Region="All",C1769=sel_Region),OR(sel_Channel="All",E1769=sel_Channel),OR(sel_Customer="All",F1769=sel_Customer),OR(sel_Category="All",G1769=sel_Category),OR(sel_Product="All",H1769=sel_Product),AND(S1769&gt;=m_From,S1769&lt;=m_To)),1,0)</f>
        <v/>
      </c>
      <c r="W1769" s="36">
        <f>IF(AND(OR(sel_Region="All",C1769=sel_Region),OR(sel_Country="All",D1769=sel_Country),OR(sel_Customer="All",F1769=sel_Customer),OR(sel_Category="All",G1769=sel_Category),OR(sel_Product="All",H1769=sel_Product),AND(S1769&gt;=m_From,S1769&lt;=m_To)),1,0)</f>
        <v/>
      </c>
      <c r="X1769" s="36">
        <f>IF(AND(OR(sel_Region="All",C1769=sel_Region),OR(sel_Country="All",D1769=sel_Country),OR(sel_Channel="All",E1769=sel_Channel),OR(sel_Category="All",G1769=sel_Category),OR(sel_Product="All",H1769=sel_Product),AND(S1769&gt;=m_From,S1769&lt;=m_To)),1,0)</f>
        <v/>
      </c>
      <c r="Y1769" s="36">
        <f>IF(AND(OR(sel_Region="All",C1769=sel_Region),OR(sel_Country="All",D1769=sel_Country),OR(sel_Channel="All",E1769=sel_Channel),OR(sel_Customer="All",F1769=sel_Customer),OR(sel_Product="All",H1769=sel_Product),AND(S1769&gt;=m_From,S1769&lt;=m_To)),1,0)</f>
        <v/>
      </c>
      <c r="Z1769" s="36">
        <f>IF(AND(OR(sel_Region="All",C1769=sel_Region),OR(sel_Country="All",D1769=sel_Country),OR(sel_Channel="All",E1769=sel_Channel),OR(sel_Customer="All",F1769=sel_Customer),OR(sel_Category="All",G1769=sel_Category),AND(S1769&gt;=m_From,S1769&lt;=m_To)),1,0)</f>
        <v/>
      </c>
      <c r="AA1769" s="36">
        <f>IF(AND(OR(sel_Region="All",C1769=sel_Region),OR(sel_Country="All",D1769=sel_Country),OR(sel_Channel="All",E1769=sel_Channel),OR(sel_Customer="All",F1769=sel_Customer),OR(sel_Category="All",G1769=sel_Category),OR(sel_Product="All",H1769=sel_Product)),1,0)</f>
        <v/>
      </c>
    </row>
    <row r="1770">
      <c r="A1770" s="36" t="inlineStr">
        <is>
          <t>01632</t>
        </is>
      </c>
      <c r="B1770" s="44" t="n">
        <v>46262</v>
      </c>
      <c r="C1770" s="36" t="inlineStr">
        <is>
          <t>Western Europe</t>
        </is>
      </c>
      <c r="D1770" s="36" t="inlineStr">
        <is>
          <t>Netherlands</t>
        </is>
      </c>
      <c r="E1770" s="36" t="inlineStr">
        <is>
          <t>Marketplace</t>
        </is>
      </c>
      <c r="F1770" s="36" t="inlineStr">
        <is>
          <t>New</t>
        </is>
      </c>
      <c r="G1770" s="36" t="inlineStr">
        <is>
          <t>Travel</t>
        </is>
      </c>
      <c r="H1770" s="36" t="inlineStr">
        <is>
          <t>Insulated Bottle</t>
        </is>
      </c>
      <c r="I1770" s="36" t="n">
        <v>1</v>
      </c>
      <c r="J1770" s="39" t="n">
        <v>35.7</v>
      </c>
      <c r="K1770" s="45" t="n">
        <v>0.05</v>
      </c>
      <c r="L1770" s="39" t="n">
        <v>13.45</v>
      </c>
      <c r="M1770" s="39">
        <f>I1770*J1770*(1-K1770)</f>
        <v/>
      </c>
      <c r="N1770" s="39">
        <f>I1770*L1770</f>
        <v/>
      </c>
      <c r="O1770" s="39">
        <f>M1770-N1770</f>
        <v/>
      </c>
      <c r="P1770" s="38">
        <f>IF(M1770=0,0,O1770/M1770)</f>
        <v/>
      </c>
      <c r="Q1770" s="36">
        <f>YEAR(B1770)</f>
        <v/>
      </c>
      <c r="R1770" s="36">
        <f>"Q"&amp;ROUNDUP(MONTH(B1770)/3,0)</f>
        <v/>
      </c>
      <c r="S1770" s="36">
        <f>MONTH(B1770)</f>
        <v/>
      </c>
      <c r="T1770" s="36">
        <f>TEXT(B1770,"mmm")</f>
        <v/>
      </c>
      <c r="U1770" s="36">
        <f>IF(AND(OR(sel_Region="All",C1770=sel_Region),OR(sel_Country="All",D1770=sel_Country),OR(sel_Channel="All",E1770=sel_Channel),OR(sel_Customer="All",F1770=sel_Customer),OR(sel_Category="All",G1770=sel_Category),OR(sel_Product="All",H1770=sel_Product),AND(S1770&gt;=m_From,S1770&lt;=m_To)),1,0)</f>
        <v/>
      </c>
      <c r="V1770" s="36">
        <f>IF(AND(OR(sel_Region="All",C1770=sel_Region),OR(sel_Channel="All",E1770=sel_Channel),OR(sel_Customer="All",F1770=sel_Customer),OR(sel_Category="All",G1770=sel_Category),OR(sel_Product="All",H1770=sel_Product),AND(S1770&gt;=m_From,S1770&lt;=m_To)),1,0)</f>
        <v/>
      </c>
      <c r="W1770" s="36">
        <f>IF(AND(OR(sel_Region="All",C1770=sel_Region),OR(sel_Country="All",D1770=sel_Country),OR(sel_Customer="All",F1770=sel_Customer),OR(sel_Category="All",G1770=sel_Category),OR(sel_Product="All",H1770=sel_Product),AND(S1770&gt;=m_From,S1770&lt;=m_To)),1,0)</f>
        <v/>
      </c>
      <c r="X1770" s="36">
        <f>IF(AND(OR(sel_Region="All",C1770=sel_Region),OR(sel_Country="All",D1770=sel_Country),OR(sel_Channel="All",E1770=sel_Channel),OR(sel_Category="All",G1770=sel_Category),OR(sel_Product="All",H1770=sel_Product),AND(S1770&gt;=m_From,S1770&lt;=m_To)),1,0)</f>
        <v/>
      </c>
      <c r="Y1770" s="36">
        <f>IF(AND(OR(sel_Region="All",C1770=sel_Region),OR(sel_Country="All",D1770=sel_Country),OR(sel_Channel="All",E1770=sel_Channel),OR(sel_Customer="All",F1770=sel_Customer),OR(sel_Product="All",H1770=sel_Product),AND(S1770&gt;=m_From,S1770&lt;=m_To)),1,0)</f>
        <v/>
      </c>
      <c r="Z1770" s="36">
        <f>IF(AND(OR(sel_Region="All",C1770=sel_Region),OR(sel_Country="All",D1770=sel_Country),OR(sel_Channel="All",E1770=sel_Channel),OR(sel_Customer="All",F1770=sel_Customer),OR(sel_Category="All",G1770=sel_Category),AND(S1770&gt;=m_From,S1770&lt;=m_To)),1,0)</f>
        <v/>
      </c>
      <c r="AA1770" s="36">
        <f>IF(AND(OR(sel_Region="All",C1770=sel_Region),OR(sel_Country="All",D1770=sel_Country),OR(sel_Channel="All",E1770=sel_Channel),OR(sel_Customer="All",F1770=sel_Customer),OR(sel_Category="All",G1770=sel_Category),OR(sel_Product="All",H1770=sel_Product)),1,0)</f>
        <v/>
      </c>
    </row>
    <row r="1771">
      <c r="A1771" s="36" t="inlineStr">
        <is>
          <t>01817</t>
        </is>
      </c>
      <c r="B1771" s="44" t="n">
        <v>46262</v>
      </c>
      <c r="C1771" s="36" t="inlineStr">
        <is>
          <t>Southern Europe</t>
        </is>
      </c>
      <c r="D1771" s="36" t="inlineStr">
        <is>
          <t>Portugal</t>
        </is>
      </c>
      <c r="E1771" s="36" t="inlineStr">
        <is>
          <t>Retail Partners</t>
        </is>
      </c>
      <c r="F1771" s="36" t="inlineStr">
        <is>
          <t>New</t>
        </is>
      </c>
      <c r="G1771" s="36" t="inlineStr">
        <is>
          <t>Fitness</t>
        </is>
      </c>
      <c r="H1771" s="36" t="inlineStr">
        <is>
          <t>Recovery Roller</t>
        </is>
      </c>
      <c r="I1771" s="36" t="n">
        <v>1</v>
      </c>
      <c r="J1771" s="39" t="n">
        <v>36.59</v>
      </c>
      <c r="K1771" s="45" t="n">
        <v>0.05</v>
      </c>
      <c r="L1771" s="39" t="n">
        <v>14.15</v>
      </c>
      <c r="M1771" s="39">
        <f>I1771*J1771*(1-K1771)</f>
        <v/>
      </c>
      <c r="N1771" s="39">
        <f>I1771*L1771</f>
        <v/>
      </c>
      <c r="O1771" s="39">
        <f>M1771-N1771</f>
        <v/>
      </c>
      <c r="P1771" s="38">
        <f>IF(M1771=0,0,O1771/M1771)</f>
        <v/>
      </c>
      <c r="Q1771" s="36">
        <f>YEAR(B1771)</f>
        <v/>
      </c>
      <c r="R1771" s="36">
        <f>"Q"&amp;ROUNDUP(MONTH(B1771)/3,0)</f>
        <v/>
      </c>
      <c r="S1771" s="36">
        <f>MONTH(B1771)</f>
        <v/>
      </c>
      <c r="T1771" s="36">
        <f>TEXT(B1771,"mmm")</f>
        <v/>
      </c>
      <c r="U1771" s="36">
        <f>IF(AND(OR(sel_Region="All",C1771=sel_Region),OR(sel_Country="All",D1771=sel_Country),OR(sel_Channel="All",E1771=sel_Channel),OR(sel_Customer="All",F1771=sel_Customer),OR(sel_Category="All",G1771=sel_Category),OR(sel_Product="All",H1771=sel_Product),AND(S1771&gt;=m_From,S1771&lt;=m_To)),1,0)</f>
        <v/>
      </c>
      <c r="V1771" s="36">
        <f>IF(AND(OR(sel_Region="All",C1771=sel_Region),OR(sel_Channel="All",E1771=sel_Channel),OR(sel_Customer="All",F1771=sel_Customer),OR(sel_Category="All",G1771=sel_Category),OR(sel_Product="All",H1771=sel_Product),AND(S1771&gt;=m_From,S1771&lt;=m_To)),1,0)</f>
        <v/>
      </c>
      <c r="W1771" s="36">
        <f>IF(AND(OR(sel_Region="All",C1771=sel_Region),OR(sel_Country="All",D1771=sel_Country),OR(sel_Customer="All",F1771=sel_Customer),OR(sel_Category="All",G1771=sel_Category),OR(sel_Product="All",H1771=sel_Product),AND(S1771&gt;=m_From,S1771&lt;=m_To)),1,0)</f>
        <v/>
      </c>
      <c r="X1771" s="36">
        <f>IF(AND(OR(sel_Region="All",C1771=sel_Region),OR(sel_Country="All",D1771=sel_Country),OR(sel_Channel="All",E1771=sel_Channel),OR(sel_Category="All",G1771=sel_Category),OR(sel_Product="All",H1771=sel_Product),AND(S1771&gt;=m_From,S1771&lt;=m_To)),1,0)</f>
        <v/>
      </c>
      <c r="Y1771" s="36">
        <f>IF(AND(OR(sel_Region="All",C1771=sel_Region),OR(sel_Country="All",D1771=sel_Country),OR(sel_Channel="All",E1771=sel_Channel),OR(sel_Customer="All",F1771=sel_Customer),OR(sel_Product="All",H1771=sel_Product),AND(S1771&gt;=m_From,S1771&lt;=m_To)),1,0)</f>
        <v/>
      </c>
      <c r="Z1771" s="36">
        <f>IF(AND(OR(sel_Region="All",C1771=sel_Region),OR(sel_Country="All",D1771=sel_Country),OR(sel_Channel="All",E1771=sel_Channel),OR(sel_Customer="All",F1771=sel_Customer),OR(sel_Category="All",G1771=sel_Category),AND(S1771&gt;=m_From,S1771&lt;=m_To)),1,0)</f>
        <v/>
      </c>
      <c r="AA1771" s="36">
        <f>IF(AND(OR(sel_Region="All",C1771=sel_Region),OR(sel_Country="All",D1771=sel_Country),OR(sel_Channel="All",E1771=sel_Channel),OR(sel_Customer="All",F1771=sel_Customer),OR(sel_Category="All",G1771=sel_Category),OR(sel_Product="All",H1771=sel_Product)),1,0)</f>
        <v/>
      </c>
    </row>
    <row r="1772">
      <c r="A1772" s="36" t="inlineStr">
        <is>
          <t>02993</t>
        </is>
      </c>
      <c r="B1772" s="44" t="n">
        <v>46262</v>
      </c>
      <c r="C1772" s="36" t="inlineStr">
        <is>
          <t>Central Europe</t>
        </is>
      </c>
      <c r="D1772" s="36" t="inlineStr">
        <is>
          <t>Germany</t>
        </is>
      </c>
      <c r="E1772" s="36" t="inlineStr">
        <is>
          <t>Corporate</t>
        </is>
      </c>
      <c r="F1772" s="36" t="inlineStr">
        <is>
          <t>Business</t>
        </is>
      </c>
      <c r="G1772" s="36" t="inlineStr">
        <is>
          <t>Travel</t>
        </is>
      </c>
      <c r="H1772" s="36" t="inlineStr">
        <is>
          <t>Insulated Bottle</t>
        </is>
      </c>
      <c r="I1772" s="36" t="n">
        <v>3</v>
      </c>
      <c r="J1772" s="39" t="n">
        <v>35.52</v>
      </c>
      <c r="K1772" s="45" t="n">
        <v>0.1</v>
      </c>
      <c r="L1772" s="39" t="n">
        <v>13.78</v>
      </c>
      <c r="M1772" s="39">
        <f>I1772*J1772*(1-K1772)</f>
        <v/>
      </c>
      <c r="N1772" s="39">
        <f>I1772*L1772</f>
        <v/>
      </c>
      <c r="O1772" s="39">
        <f>M1772-N1772</f>
        <v/>
      </c>
      <c r="P1772" s="38">
        <f>IF(M1772=0,0,O1772/M1772)</f>
        <v/>
      </c>
      <c r="Q1772" s="36">
        <f>YEAR(B1772)</f>
        <v/>
      </c>
      <c r="R1772" s="36">
        <f>"Q"&amp;ROUNDUP(MONTH(B1772)/3,0)</f>
        <v/>
      </c>
      <c r="S1772" s="36">
        <f>MONTH(B1772)</f>
        <v/>
      </c>
      <c r="T1772" s="36">
        <f>TEXT(B1772,"mmm")</f>
        <v/>
      </c>
      <c r="U1772" s="36">
        <f>IF(AND(OR(sel_Region="All",C1772=sel_Region),OR(sel_Country="All",D1772=sel_Country),OR(sel_Channel="All",E1772=sel_Channel),OR(sel_Customer="All",F1772=sel_Customer),OR(sel_Category="All",G1772=sel_Category),OR(sel_Product="All",H1772=sel_Product),AND(S1772&gt;=m_From,S1772&lt;=m_To)),1,0)</f>
        <v/>
      </c>
      <c r="V1772" s="36">
        <f>IF(AND(OR(sel_Region="All",C1772=sel_Region),OR(sel_Channel="All",E1772=sel_Channel),OR(sel_Customer="All",F1772=sel_Customer),OR(sel_Category="All",G1772=sel_Category),OR(sel_Product="All",H1772=sel_Product),AND(S1772&gt;=m_From,S1772&lt;=m_To)),1,0)</f>
        <v/>
      </c>
      <c r="W1772" s="36">
        <f>IF(AND(OR(sel_Region="All",C1772=sel_Region),OR(sel_Country="All",D1772=sel_Country),OR(sel_Customer="All",F1772=sel_Customer),OR(sel_Category="All",G1772=sel_Category),OR(sel_Product="All",H1772=sel_Product),AND(S1772&gt;=m_From,S1772&lt;=m_To)),1,0)</f>
        <v/>
      </c>
      <c r="X1772" s="36">
        <f>IF(AND(OR(sel_Region="All",C1772=sel_Region),OR(sel_Country="All",D1772=sel_Country),OR(sel_Channel="All",E1772=sel_Channel),OR(sel_Category="All",G1772=sel_Category),OR(sel_Product="All",H1772=sel_Product),AND(S1772&gt;=m_From,S1772&lt;=m_To)),1,0)</f>
        <v/>
      </c>
      <c r="Y1772" s="36">
        <f>IF(AND(OR(sel_Region="All",C1772=sel_Region),OR(sel_Country="All",D1772=sel_Country),OR(sel_Channel="All",E1772=sel_Channel),OR(sel_Customer="All",F1772=sel_Customer),OR(sel_Product="All",H1772=sel_Product),AND(S1772&gt;=m_From,S1772&lt;=m_To)),1,0)</f>
        <v/>
      </c>
      <c r="Z1772" s="36">
        <f>IF(AND(OR(sel_Region="All",C1772=sel_Region),OR(sel_Country="All",D1772=sel_Country),OR(sel_Channel="All",E1772=sel_Channel),OR(sel_Customer="All",F1772=sel_Customer),OR(sel_Category="All",G1772=sel_Category),AND(S1772&gt;=m_From,S1772&lt;=m_To)),1,0)</f>
        <v/>
      </c>
      <c r="AA1772" s="36">
        <f>IF(AND(OR(sel_Region="All",C1772=sel_Region),OR(sel_Country="All",D1772=sel_Country),OR(sel_Channel="All",E1772=sel_Channel),OR(sel_Customer="All",F1772=sel_Customer),OR(sel_Category="All",G1772=sel_Category),OR(sel_Product="All",H1772=sel_Product)),1,0)</f>
        <v/>
      </c>
    </row>
    <row r="1773">
      <c r="A1773" s="36" t="inlineStr">
        <is>
          <t>04676</t>
        </is>
      </c>
      <c r="B1773" s="44" t="n">
        <v>46262</v>
      </c>
      <c r="C1773" s="36" t="inlineStr">
        <is>
          <t>Western Europe</t>
        </is>
      </c>
      <c r="D1773" s="36" t="inlineStr">
        <is>
          <t>France</t>
        </is>
      </c>
      <c r="E1773" s="36" t="inlineStr">
        <is>
          <t>Retail Partners</t>
        </is>
      </c>
      <c r="F1773" s="36" t="inlineStr">
        <is>
          <t>New</t>
        </is>
      </c>
      <c r="G1773" s="36" t="inlineStr">
        <is>
          <t>Cycling</t>
        </is>
      </c>
      <c r="H1773" s="36" t="inlineStr">
        <is>
          <t>Commuter Helmet</t>
        </is>
      </c>
      <c r="I1773" s="36" t="n">
        <v>2</v>
      </c>
      <c r="J1773" s="39" t="n">
        <v>81.88</v>
      </c>
      <c r="K1773" s="45" t="n">
        <v>0.1</v>
      </c>
      <c r="L1773" s="39" t="n">
        <v>42.87</v>
      </c>
      <c r="M1773" s="39">
        <f>I1773*J1773*(1-K1773)</f>
        <v/>
      </c>
      <c r="N1773" s="39">
        <f>I1773*L1773</f>
        <v/>
      </c>
      <c r="O1773" s="39">
        <f>M1773-N1773</f>
        <v/>
      </c>
      <c r="P1773" s="38">
        <f>IF(M1773=0,0,O1773/M1773)</f>
        <v/>
      </c>
      <c r="Q1773" s="36">
        <f>YEAR(B1773)</f>
        <v/>
      </c>
      <c r="R1773" s="36">
        <f>"Q"&amp;ROUNDUP(MONTH(B1773)/3,0)</f>
        <v/>
      </c>
      <c r="S1773" s="36">
        <f>MONTH(B1773)</f>
        <v/>
      </c>
      <c r="T1773" s="36">
        <f>TEXT(B1773,"mmm")</f>
        <v/>
      </c>
      <c r="U1773" s="36">
        <f>IF(AND(OR(sel_Region="All",C1773=sel_Region),OR(sel_Country="All",D1773=sel_Country),OR(sel_Channel="All",E1773=sel_Channel),OR(sel_Customer="All",F1773=sel_Customer),OR(sel_Category="All",G1773=sel_Category),OR(sel_Product="All",H1773=sel_Product),AND(S1773&gt;=m_From,S1773&lt;=m_To)),1,0)</f>
        <v/>
      </c>
      <c r="V1773" s="36">
        <f>IF(AND(OR(sel_Region="All",C1773=sel_Region),OR(sel_Channel="All",E1773=sel_Channel),OR(sel_Customer="All",F1773=sel_Customer),OR(sel_Category="All",G1773=sel_Category),OR(sel_Product="All",H1773=sel_Product),AND(S1773&gt;=m_From,S1773&lt;=m_To)),1,0)</f>
        <v/>
      </c>
      <c r="W1773" s="36">
        <f>IF(AND(OR(sel_Region="All",C1773=sel_Region),OR(sel_Country="All",D1773=sel_Country),OR(sel_Customer="All",F1773=sel_Customer),OR(sel_Category="All",G1773=sel_Category),OR(sel_Product="All",H1773=sel_Product),AND(S1773&gt;=m_From,S1773&lt;=m_To)),1,0)</f>
        <v/>
      </c>
      <c r="X1773" s="36">
        <f>IF(AND(OR(sel_Region="All",C1773=sel_Region),OR(sel_Country="All",D1773=sel_Country),OR(sel_Channel="All",E1773=sel_Channel),OR(sel_Category="All",G1773=sel_Category),OR(sel_Product="All",H1773=sel_Product),AND(S1773&gt;=m_From,S1773&lt;=m_To)),1,0)</f>
        <v/>
      </c>
      <c r="Y1773" s="36">
        <f>IF(AND(OR(sel_Region="All",C1773=sel_Region),OR(sel_Country="All",D1773=sel_Country),OR(sel_Channel="All",E1773=sel_Channel),OR(sel_Customer="All",F1773=sel_Customer),OR(sel_Product="All",H1773=sel_Product),AND(S1773&gt;=m_From,S1773&lt;=m_To)),1,0)</f>
        <v/>
      </c>
      <c r="Z1773" s="36">
        <f>IF(AND(OR(sel_Region="All",C1773=sel_Region),OR(sel_Country="All",D1773=sel_Country),OR(sel_Channel="All",E1773=sel_Channel),OR(sel_Customer="All",F1773=sel_Customer),OR(sel_Category="All",G1773=sel_Category),AND(S1773&gt;=m_From,S1773&lt;=m_To)),1,0)</f>
        <v/>
      </c>
      <c r="AA1773" s="36">
        <f>IF(AND(OR(sel_Region="All",C1773=sel_Region),OR(sel_Country="All",D1773=sel_Country),OR(sel_Channel="All",E1773=sel_Channel),OR(sel_Customer="All",F1773=sel_Customer),OR(sel_Category="All",G1773=sel_Category),OR(sel_Product="All",H1773=sel_Product)),1,0)</f>
        <v/>
      </c>
    </row>
    <row r="1774">
      <c r="A1774" s="36" t="inlineStr">
        <is>
          <t>05105</t>
        </is>
      </c>
      <c r="B1774" s="44" t="n">
        <v>46262</v>
      </c>
      <c r="C1774" s="36" t="inlineStr">
        <is>
          <t>Western Europe</t>
        </is>
      </c>
      <c r="D1774" s="36" t="inlineStr">
        <is>
          <t>Netherlands</t>
        </is>
      </c>
      <c r="E1774" s="36" t="inlineStr">
        <is>
          <t>Online Store</t>
        </is>
      </c>
      <c r="F1774" s="36" t="inlineStr">
        <is>
          <t>Business</t>
        </is>
      </c>
      <c r="G1774" s="36" t="inlineStr">
        <is>
          <t>Travel</t>
        </is>
      </c>
      <c r="H1774" s="36" t="inlineStr">
        <is>
          <t>Packing Cube Set</t>
        </is>
      </c>
      <c r="I1774" s="36" t="n">
        <v>4</v>
      </c>
      <c r="J1774" s="39" t="n">
        <v>46.54</v>
      </c>
      <c r="K1774" s="45" t="n">
        <v>0</v>
      </c>
      <c r="L1774" s="39" t="n">
        <v>18.86</v>
      </c>
      <c r="M1774" s="39">
        <f>I1774*J1774*(1-K1774)</f>
        <v/>
      </c>
      <c r="N1774" s="39">
        <f>I1774*L1774</f>
        <v/>
      </c>
      <c r="O1774" s="39">
        <f>M1774-N1774</f>
        <v/>
      </c>
      <c r="P1774" s="38">
        <f>IF(M1774=0,0,O1774/M1774)</f>
        <v/>
      </c>
      <c r="Q1774" s="36">
        <f>YEAR(B1774)</f>
        <v/>
      </c>
      <c r="R1774" s="36">
        <f>"Q"&amp;ROUNDUP(MONTH(B1774)/3,0)</f>
        <v/>
      </c>
      <c r="S1774" s="36">
        <f>MONTH(B1774)</f>
        <v/>
      </c>
      <c r="T1774" s="36">
        <f>TEXT(B1774,"mmm")</f>
        <v/>
      </c>
      <c r="U1774" s="36">
        <f>IF(AND(OR(sel_Region="All",C1774=sel_Region),OR(sel_Country="All",D1774=sel_Country),OR(sel_Channel="All",E1774=sel_Channel),OR(sel_Customer="All",F1774=sel_Customer),OR(sel_Category="All",G1774=sel_Category),OR(sel_Product="All",H1774=sel_Product),AND(S1774&gt;=m_From,S1774&lt;=m_To)),1,0)</f>
        <v/>
      </c>
      <c r="V1774" s="36">
        <f>IF(AND(OR(sel_Region="All",C1774=sel_Region),OR(sel_Channel="All",E1774=sel_Channel),OR(sel_Customer="All",F1774=sel_Customer),OR(sel_Category="All",G1774=sel_Category),OR(sel_Product="All",H1774=sel_Product),AND(S1774&gt;=m_From,S1774&lt;=m_To)),1,0)</f>
        <v/>
      </c>
      <c r="W1774" s="36">
        <f>IF(AND(OR(sel_Region="All",C1774=sel_Region),OR(sel_Country="All",D1774=sel_Country),OR(sel_Customer="All",F1774=sel_Customer),OR(sel_Category="All",G1774=sel_Category),OR(sel_Product="All",H1774=sel_Product),AND(S1774&gt;=m_From,S1774&lt;=m_To)),1,0)</f>
        <v/>
      </c>
      <c r="X1774" s="36">
        <f>IF(AND(OR(sel_Region="All",C1774=sel_Region),OR(sel_Country="All",D1774=sel_Country),OR(sel_Channel="All",E1774=sel_Channel),OR(sel_Category="All",G1774=sel_Category),OR(sel_Product="All",H1774=sel_Product),AND(S1774&gt;=m_From,S1774&lt;=m_To)),1,0)</f>
        <v/>
      </c>
      <c r="Y1774" s="36">
        <f>IF(AND(OR(sel_Region="All",C1774=sel_Region),OR(sel_Country="All",D1774=sel_Country),OR(sel_Channel="All",E1774=sel_Channel),OR(sel_Customer="All",F1774=sel_Customer),OR(sel_Product="All",H1774=sel_Product),AND(S1774&gt;=m_From,S1774&lt;=m_To)),1,0)</f>
        <v/>
      </c>
      <c r="Z1774" s="36">
        <f>IF(AND(OR(sel_Region="All",C1774=sel_Region),OR(sel_Country="All",D1774=sel_Country),OR(sel_Channel="All",E1774=sel_Channel),OR(sel_Customer="All",F1774=sel_Customer),OR(sel_Category="All",G1774=sel_Category),AND(S1774&gt;=m_From,S1774&lt;=m_To)),1,0)</f>
        <v/>
      </c>
      <c r="AA1774" s="36">
        <f>IF(AND(OR(sel_Region="All",C1774=sel_Region),OR(sel_Country="All",D1774=sel_Country),OR(sel_Channel="All",E1774=sel_Channel),OR(sel_Customer="All",F1774=sel_Customer),OR(sel_Category="All",G1774=sel_Category),OR(sel_Product="All",H1774=sel_Product)),1,0)</f>
        <v/>
      </c>
    </row>
    <row r="1775">
      <c r="A1775" s="36" t="inlineStr">
        <is>
          <t>00223</t>
        </is>
      </c>
      <c r="B1775" s="44" t="n">
        <v>46263</v>
      </c>
      <c r="C1775" s="36" t="inlineStr">
        <is>
          <t>Northern Europe</t>
        </is>
      </c>
      <c r="D1775" s="36" t="inlineStr">
        <is>
          <t>Sweden</t>
        </is>
      </c>
      <c r="E1775" s="36" t="inlineStr">
        <is>
          <t>Retail Partners</t>
        </is>
      </c>
      <c r="F1775" s="36" t="inlineStr">
        <is>
          <t>Returning</t>
        </is>
      </c>
      <c r="G1775" s="36" t="inlineStr">
        <is>
          <t>Fitness</t>
        </is>
      </c>
      <c r="H1775" s="36" t="inlineStr">
        <is>
          <t>Training Mat</t>
        </is>
      </c>
      <c r="I1775" s="36" t="n">
        <v>1</v>
      </c>
      <c r="J1775" s="39" t="n">
        <v>49.79</v>
      </c>
      <c r="K1775" s="45" t="n">
        <v>0</v>
      </c>
      <c r="L1775" s="39" t="n">
        <v>21.43</v>
      </c>
      <c r="M1775" s="39">
        <f>I1775*J1775*(1-K1775)</f>
        <v/>
      </c>
      <c r="N1775" s="39">
        <f>I1775*L1775</f>
        <v/>
      </c>
      <c r="O1775" s="39">
        <f>M1775-N1775</f>
        <v/>
      </c>
      <c r="P1775" s="38">
        <f>IF(M1775=0,0,O1775/M1775)</f>
        <v/>
      </c>
      <c r="Q1775" s="36">
        <f>YEAR(B1775)</f>
        <v/>
      </c>
      <c r="R1775" s="36">
        <f>"Q"&amp;ROUNDUP(MONTH(B1775)/3,0)</f>
        <v/>
      </c>
      <c r="S1775" s="36">
        <f>MONTH(B1775)</f>
        <v/>
      </c>
      <c r="T1775" s="36">
        <f>TEXT(B1775,"mmm")</f>
        <v/>
      </c>
      <c r="U1775" s="36">
        <f>IF(AND(OR(sel_Region="All",C1775=sel_Region),OR(sel_Country="All",D1775=sel_Country),OR(sel_Channel="All",E1775=sel_Channel),OR(sel_Customer="All",F1775=sel_Customer),OR(sel_Category="All",G1775=sel_Category),OR(sel_Product="All",H1775=sel_Product),AND(S1775&gt;=m_From,S1775&lt;=m_To)),1,0)</f>
        <v/>
      </c>
      <c r="V1775" s="36">
        <f>IF(AND(OR(sel_Region="All",C1775=sel_Region),OR(sel_Channel="All",E1775=sel_Channel),OR(sel_Customer="All",F1775=sel_Customer),OR(sel_Category="All",G1775=sel_Category),OR(sel_Product="All",H1775=sel_Product),AND(S1775&gt;=m_From,S1775&lt;=m_To)),1,0)</f>
        <v/>
      </c>
      <c r="W1775" s="36">
        <f>IF(AND(OR(sel_Region="All",C1775=sel_Region),OR(sel_Country="All",D1775=sel_Country),OR(sel_Customer="All",F1775=sel_Customer),OR(sel_Category="All",G1775=sel_Category),OR(sel_Product="All",H1775=sel_Product),AND(S1775&gt;=m_From,S1775&lt;=m_To)),1,0)</f>
        <v/>
      </c>
      <c r="X1775" s="36">
        <f>IF(AND(OR(sel_Region="All",C1775=sel_Region),OR(sel_Country="All",D1775=sel_Country),OR(sel_Channel="All",E1775=sel_Channel),OR(sel_Category="All",G1775=sel_Category),OR(sel_Product="All",H1775=sel_Product),AND(S1775&gt;=m_From,S1775&lt;=m_To)),1,0)</f>
        <v/>
      </c>
      <c r="Y1775" s="36">
        <f>IF(AND(OR(sel_Region="All",C1775=sel_Region),OR(sel_Country="All",D1775=sel_Country),OR(sel_Channel="All",E1775=sel_Channel),OR(sel_Customer="All",F1775=sel_Customer),OR(sel_Product="All",H1775=sel_Product),AND(S1775&gt;=m_From,S1775&lt;=m_To)),1,0)</f>
        <v/>
      </c>
      <c r="Z1775" s="36">
        <f>IF(AND(OR(sel_Region="All",C1775=sel_Region),OR(sel_Country="All",D1775=sel_Country),OR(sel_Channel="All",E1775=sel_Channel),OR(sel_Customer="All",F1775=sel_Customer),OR(sel_Category="All",G1775=sel_Category),AND(S1775&gt;=m_From,S1775&lt;=m_To)),1,0)</f>
        <v/>
      </c>
      <c r="AA1775" s="36">
        <f>IF(AND(OR(sel_Region="All",C1775=sel_Region),OR(sel_Country="All",D1775=sel_Country),OR(sel_Channel="All",E1775=sel_Channel),OR(sel_Customer="All",F1775=sel_Customer),OR(sel_Category="All",G1775=sel_Category),OR(sel_Product="All",H1775=sel_Product)),1,0)</f>
        <v/>
      </c>
    </row>
    <row r="1776">
      <c r="A1776" s="36" t="inlineStr">
        <is>
          <t>01023</t>
        </is>
      </c>
      <c r="B1776" s="44" t="n">
        <v>46263</v>
      </c>
      <c r="C1776" s="36" t="inlineStr">
        <is>
          <t>Northern Europe</t>
        </is>
      </c>
      <c r="D1776" s="36" t="inlineStr">
        <is>
          <t>Ireland</t>
        </is>
      </c>
      <c r="E1776" s="36" t="inlineStr">
        <is>
          <t>Online Store</t>
        </is>
      </c>
      <c r="F1776" s="36" t="inlineStr">
        <is>
          <t>New</t>
        </is>
      </c>
      <c r="G1776" s="36" t="inlineStr">
        <is>
          <t>Hiking</t>
        </is>
      </c>
      <c r="H1776" s="36" t="inlineStr">
        <is>
          <t>Hiking Daypack 20L</t>
        </is>
      </c>
      <c r="I1776" s="36" t="n">
        <v>6</v>
      </c>
      <c r="J1776" s="39" t="n">
        <v>90.19</v>
      </c>
      <c r="K1776" s="45" t="n">
        <v>0</v>
      </c>
      <c r="L1776" s="39" t="n">
        <v>45.61</v>
      </c>
      <c r="M1776" s="39">
        <f>I1776*J1776*(1-K1776)</f>
        <v/>
      </c>
      <c r="N1776" s="39">
        <f>I1776*L1776</f>
        <v/>
      </c>
      <c r="O1776" s="39">
        <f>M1776-N1776</f>
        <v/>
      </c>
      <c r="P1776" s="38">
        <f>IF(M1776=0,0,O1776/M1776)</f>
        <v/>
      </c>
      <c r="Q1776" s="36">
        <f>YEAR(B1776)</f>
        <v/>
      </c>
      <c r="R1776" s="36">
        <f>"Q"&amp;ROUNDUP(MONTH(B1776)/3,0)</f>
        <v/>
      </c>
      <c r="S1776" s="36">
        <f>MONTH(B1776)</f>
        <v/>
      </c>
      <c r="T1776" s="36">
        <f>TEXT(B1776,"mmm")</f>
        <v/>
      </c>
      <c r="U1776" s="36">
        <f>IF(AND(OR(sel_Region="All",C1776=sel_Region),OR(sel_Country="All",D1776=sel_Country),OR(sel_Channel="All",E1776=sel_Channel),OR(sel_Customer="All",F1776=sel_Customer),OR(sel_Category="All",G1776=sel_Category),OR(sel_Product="All",H1776=sel_Product),AND(S1776&gt;=m_From,S1776&lt;=m_To)),1,0)</f>
        <v/>
      </c>
      <c r="V1776" s="36">
        <f>IF(AND(OR(sel_Region="All",C1776=sel_Region),OR(sel_Channel="All",E1776=sel_Channel),OR(sel_Customer="All",F1776=sel_Customer),OR(sel_Category="All",G1776=sel_Category),OR(sel_Product="All",H1776=sel_Product),AND(S1776&gt;=m_From,S1776&lt;=m_To)),1,0)</f>
        <v/>
      </c>
      <c r="W1776" s="36">
        <f>IF(AND(OR(sel_Region="All",C1776=sel_Region),OR(sel_Country="All",D1776=sel_Country),OR(sel_Customer="All",F1776=sel_Customer),OR(sel_Category="All",G1776=sel_Category),OR(sel_Product="All",H1776=sel_Product),AND(S1776&gt;=m_From,S1776&lt;=m_To)),1,0)</f>
        <v/>
      </c>
      <c r="X1776" s="36">
        <f>IF(AND(OR(sel_Region="All",C1776=sel_Region),OR(sel_Country="All",D1776=sel_Country),OR(sel_Channel="All",E1776=sel_Channel),OR(sel_Category="All",G1776=sel_Category),OR(sel_Product="All",H1776=sel_Product),AND(S1776&gt;=m_From,S1776&lt;=m_To)),1,0)</f>
        <v/>
      </c>
      <c r="Y1776" s="36">
        <f>IF(AND(OR(sel_Region="All",C1776=sel_Region),OR(sel_Country="All",D1776=sel_Country),OR(sel_Channel="All",E1776=sel_Channel),OR(sel_Customer="All",F1776=sel_Customer),OR(sel_Product="All",H1776=sel_Product),AND(S1776&gt;=m_From,S1776&lt;=m_To)),1,0)</f>
        <v/>
      </c>
      <c r="Z1776" s="36">
        <f>IF(AND(OR(sel_Region="All",C1776=sel_Region),OR(sel_Country="All",D1776=sel_Country),OR(sel_Channel="All",E1776=sel_Channel),OR(sel_Customer="All",F1776=sel_Customer),OR(sel_Category="All",G1776=sel_Category),AND(S1776&gt;=m_From,S1776&lt;=m_To)),1,0)</f>
        <v/>
      </c>
      <c r="AA1776" s="36">
        <f>IF(AND(OR(sel_Region="All",C1776=sel_Region),OR(sel_Country="All",D1776=sel_Country),OR(sel_Channel="All",E1776=sel_Channel),OR(sel_Customer="All",F1776=sel_Customer),OR(sel_Category="All",G1776=sel_Category),OR(sel_Product="All",H1776=sel_Product)),1,0)</f>
        <v/>
      </c>
    </row>
    <row r="1777">
      <c r="A1777" s="36" t="inlineStr">
        <is>
          <t>01694</t>
        </is>
      </c>
      <c r="B1777" s="44" t="n">
        <v>46263</v>
      </c>
      <c r="C1777" s="36" t="inlineStr">
        <is>
          <t>Central Europe</t>
        </is>
      </c>
      <c r="D1777" s="36" t="inlineStr">
        <is>
          <t>Germany</t>
        </is>
      </c>
      <c r="E1777" s="36" t="inlineStr">
        <is>
          <t>Online Store</t>
        </is>
      </c>
      <c r="F1777" s="36" t="inlineStr">
        <is>
          <t>New</t>
        </is>
      </c>
      <c r="G1777" s="36" t="inlineStr">
        <is>
          <t>Hiking</t>
        </is>
      </c>
      <c r="H1777" s="36" t="inlineStr">
        <is>
          <t>Trekking Poles</t>
        </is>
      </c>
      <c r="I1777" s="36" t="n">
        <v>1</v>
      </c>
      <c r="J1777" s="39" t="n">
        <v>70.38</v>
      </c>
      <c r="K1777" s="45" t="n">
        <v>0.15</v>
      </c>
      <c r="L1777" s="39" t="n">
        <v>32.64</v>
      </c>
      <c r="M1777" s="39">
        <f>I1777*J1777*(1-K1777)</f>
        <v/>
      </c>
      <c r="N1777" s="39">
        <f>I1777*L1777</f>
        <v/>
      </c>
      <c r="O1777" s="39">
        <f>M1777-N1777</f>
        <v/>
      </c>
      <c r="P1777" s="38">
        <f>IF(M1777=0,0,O1777/M1777)</f>
        <v/>
      </c>
      <c r="Q1777" s="36">
        <f>YEAR(B1777)</f>
        <v/>
      </c>
      <c r="R1777" s="36">
        <f>"Q"&amp;ROUNDUP(MONTH(B1777)/3,0)</f>
        <v/>
      </c>
      <c r="S1777" s="36">
        <f>MONTH(B1777)</f>
        <v/>
      </c>
      <c r="T1777" s="36">
        <f>TEXT(B1777,"mmm")</f>
        <v/>
      </c>
      <c r="U1777" s="36">
        <f>IF(AND(OR(sel_Region="All",C1777=sel_Region),OR(sel_Country="All",D1777=sel_Country),OR(sel_Channel="All",E1777=sel_Channel),OR(sel_Customer="All",F1777=sel_Customer),OR(sel_Category="All",G1777=sel_Category),OR(sel_Product="All",H1777=sel_Product),AND(S1777&gt;=m_From,S1777&lt;=m_To)),1,0)</f>
        <v/>
      </c>
      <c r="V1777" s="36">
        <f>IF(AND(OR(sel_Region="All",C1777=sel_Region),OR(sel_Channel="All",E1777=sel_Channel),OR(sel_Customer="All",F1777=sel_Customer),OR(sel_Category="All",G1777=sel_Category),OR(sel_Product="All",H1777=sel_Product),AND(S1777&gt;=m_From,S1777&lt;=m_To)),1,0)</f>
        <v/>
      </c>
      <c r="W1777" s="36">
        <f>IF(AND(OR(sel_Region="All",C1777=sel_Region),OR(sel_Country="All",D1777=sel_Country),OR(sel_Customer="All",F1777=sel_Customer),OR(sel_Category="All",G1777=sel_Category),OR(sel_Product="All",H1777=sel_Product),AND(S1777&gt;=m_From,S1777&lt;=m_To)),1,0)</f>
        <v/>
      </c>
      <c r="X1777" s="36">
        <f>IF(AND(OR(sel_Region="All",C1777=sel_Region),OR(sel_Country="All",D1777=sel_Country),OR(sel_Channel="All",E1777=sel_Channel),OR(sel_Category="All",G1777=sel_Category),OR(sel_Product="All",H1777=sel_Product),AND(S1777&gt;=m_From,S1777&lt;=m_To)),1,0)</f>
        <v/>
      </c>
      <c r="Y1777" s="36">
        <f>IF(AND(OR(sel_Region="All",C1777=sel_Region),OR(sel_Country="All",D1777=sel_Country),OR(sel_Channel="All",E1777=sel_Channel),OR(sel_Customer="All",F1777=sel_Customer),OR(sel_Product="All",H1777=sel_Product),AND(S1777&gt;=m_From,S1777&lt;=m_To)),1,0)</f>
        <v/>
      </c>
      <c r="Z1777" s="36">
        <f>IF(AND(OR(sel_Region="All",C1777=sel_Region),OR(sel_Country="All",D1777=sel_Country),OR(sel_Channel="All",E1777=sel_Channel),OR(sel_Customer="All",F1777=sel_Customer),OR(sel_Category="All",G1777=sel_Category),AND(S1777&gt;=m_From,S1777&lt;=m_To)),1,0)</f>
        <v/>
      </c>
      <c r="AA1777" s="36">
        <f>IF(AND(OR(sel_Region="All",C1777=sel_Region),OR(sel_Country="All",D1777=sel_Country),OR(sel_Channel="All",E1777=sel_Channel),OR(sel_Customer="All",F1777=sel_Customer),OR(sel_Category="All",G1777=sel_Category),OR(sel_Product="All",H1777=sel_Product)),1,0)</f>
        <v/>
      </c>
    </row>
    <row r="1778">
      <c r="A1778" s="36" t="inlineStr">
        <is>
          <t>02006</t>
        </is>
      </c>
      <c r="B1778" s="44" t="n">
        <v>46263</v>
      </c>
      <c r="C1778" s="36" t="inlineStr">
        <is>
          <t>Western Europe</t>
        </is>
      </c>
      <c r="D1778" s="36" t="inlineStr">
        <is>
          <t>France</t>
        </is>
      </c>
      <c r="E1778" s="36" t="inlineStr">
        <is>
          <t>Online Store</t>
        </is>
      </c>
      <c r="F1778" s="36" t="inlineStr">
        <is>
          <t>New</t>
        </is>
      </c>
      <c r="G1778" s="36" t="inlineStr">
        <is>
          <t>Travel</t>
        </is>
      </c>
      <c r="H1778" s="36" t="inlineStr">
        <is>
          <t>Packing Cube Set</t>
        </is>
      </c>
      <c r="I1778" s="36" t="n">
        <v>1</v>
      </c>
      <c r="J1778" s="39" t="n">
        <v>46.43</v>
      </c>
      <c r="K1778" s="45" t="n">
        <v>0</v>
      </c>
      <c r="L1778" s="39" t="n">
        <v>18.2</v>
      </c>
      <c r="M1778" s="39">
        <f>I1778*J1778*(1-K1778)</f>
        <v/>
      </c>
      <c r="N1778" s="39">
        <f>I1778*L1778</f>
        <v/>
      </c>
      <c r="O1778" s="39">
        <f>M1778-N1778</f>
        <v/>
      </c>
      <c r="P1778" s="38">
        <f>IF(M1778=0,0,O1778/M1778)</f>
        <v/>
      </c>
      <c r="Q1778" s="36">
        <f>YEAR(B1778)</f>
        <v/>
      </c>
      <c r="R1778" s="36">
        <f>"Q"&amp;ROUNDUP(MONTH(B1778)/3,0)</f>
        <v/>
      </c>
      <c r="S1778" s="36">
        <f>MONTH(B1778)</f>
        <v/>
      </c>
      <c r="T1778" s="36">
        <f>TEXT(B1778,"mmm")</f>
        <v/>
      </c>
      <c r="U1778" s="36">
        <f>IF(AND(OR(sel_Region="All",C1778=sel_Region),OR(sel_Country="All",D1778=sel_Country),OR(sel_Channel="All",E1778=sel_Channel),OR(sel_Customer="All",F1778=sel_Customer),OR(sel_Category="All",G1778=sel_Category),OR(sel_Product="All",H1778=sel_Product),AND(S1778&gt;=m_From,S1778&lt;=m_To)),1,0)</f>
        <v/>
      </c>
      <c r="V1778" s="36">
        <f>IF(AND(OR(sel_Region="All",C1778=sel_Region),OR(sel_Channel="All",E1778=sel_Channel),OR(sel_Customer="All",F1778=sel_Customer),OR(sel_Category="All",G1778=sel_Category),OR(sel_Product="All",H1778=sel_Product),AND(S1778&gt;=m_From,S1778&lt;=m_To)),1,0)</f>
        <v/>
      </c>
      <c r="W1778" s="36">
        <f>IF(AND(OR(sel_Region="All",C1778=sel_Region),OR(sel_Country="All",D1778=sel_Country),OR(sel_Customer="All",F1778=sel_Customer),OR(sel_Category="All",G1778=sel_Category),OR(sel_Product="All",H1778=sel_Product),AND(S1778&gt;=m_From,S1778&lt;=m_To)),1,0)</f>
        <v/>
      </c>
      <c r="X1778" s="36">
        <f>IF(AND(OR(sel_Region="All",C1778=sel_Region),OR(sel_Country="All",D1778=sel_Country),OR(sel_Channel="All",E1778=sel_Channel),OR(sel_Category="All",G1778=sel_Category),OR(sel_Product="All",H1778=sel_Product),AND(S1778&gt;=m_From,S1778&lt;=m_To)),1,0)</f>
        <v/>
      </c>
      <c r="Y1778" s="36">
        <f>IF(AND(OR(sel_Region="All",C1778=sel_Region),OR(sel_Country="All",D1778=sel_Country),OR(sel_Channel="All",E1778=sel_Channel),OR(sel_Customer="All",F1778=sel_Customer),OR(sel_Product="All",H1778=sel_Product),AND(S1778&gt;=m_From,S1778&lt;=m_To)),1,0)</f>
        <v/>
      </c>
      <c r="Z1778" s="36">
        <f>IF(AND(OR(sel_Region="All",C1778=sel_Region),OR(sel_Country="All",D1778=sel_Country),OR(sel_Channel="All",E1778=sel_Channel),OR(sel_Customer="All",F1778=sel_Customer),OR(sel_Category="All",G1778=sel_Category),AND(S1778&gt;=m_From,S1778&lt;=m_To)),1,0)</f>
        <v/>
      </c>
      <c r="AA1778" s="36">
        <f>IF(AND(OR(sel_Region="All",C1778=sel_Region),OR(sel_Country="All",D1778=sel_Country),OR(sel_Channel="All",E1778=sel_Channel),OR(sel_Customer="All",F1778=sel_Customer),OR(sel_Category="All",G1778=sel_Category),OR(sel_Product="All",H1778=sel_Product)),1,0)</f>
        <v/>
      </c>
    </row>
    <row r="1779">
      <c r="A1779" s="36" t="inlineStr">
        <is>
          <t>03026</t>
        </is>
      </c>
      <c r="B1779" s="44" t="n">
        <v>46263</v>
      </c>
      <c r="C1779" s="36" t="inlineStr">
        <is>
          <t>Southern Europe</t>
        </is>
      </c>
      <c r="D1779" s="36" t="inlineStr">
        <is>
          <t>Spain</t>
        </is>
      </c>
      <c r="E1779" s="36" t="inlineStr">
        <is>
          <t>Online Store</t>
        </is>
      </c>
      <c r="F1779" s="36" t="inlineStr">
        <is>
          <t>New</t>
        </is>
      </c>
      <c r="G1779" s="36" t="inlineStr">
        <is>
          <t>Camping</t>
        </is>
      </c>
      <c r="H1779" s="36" t="inlineStr">
        <is>
          <t>Trail Tent 2P</t>
        </is>
      </c>
      <c r="I1779" s="36" t="n">
        <v>1</v>
      </c>
      <c r="J1779" s="39" t="n">
        <v>194.75</v>
      </c>
      <c r="K1779" s="45" t="n">
        <v>0.05</v>
      </c>
      <c r="L1779" s="39" t="n">
        <v>105.94</v>
      </c>
      <c r="M1779" s="39">
        <f>I1779*J1779*(1-K1779)</f>
        <v/>
      </c>
      <c r="N1779" s="39">
        <f>I1779*L1779</f>
        <v/>
      </c>
      <c r="O1779" s="39">
        <f>M1779-N1779</f>
        <v/>
      </c>
      <c r="P1779" s="38">
        <f>IF(M1779=0,0,O1779/M1779)</f>
        <v/>
      </c>
      <c r="Q1779" s="36">
        <f>YEAR(B1779)</f>
        <v/>
      </c>
      <c r="R1779" s="36">
        <f>"Q"&amp;ROUNDUP(MONTH(B1779)/3,0)</f>
        <v/>
      </c>
      <c r="S1779" s="36">
        <f>MONTH(B1779)</f>
        <v/>
      </c>
      <c r="T1779" s="36">
        <f>TEXT(B1779,"mmm")</f>
        <v/>
      </c>
      <c r="U1779" s="36">
        <f>IF(AND(OR(sel_Region="All",C1779=sel_Region),OR(sel_Country="All",D1779=sel_Country),OR(sel_Channel="All",E1779=sel_Channel),OR(sel_Customer="All",F1779=sel_Customer),OR(sel_Category="All",G1779=sel_Category),OR(sel_Product="All",H1779=sel_Product),AND(S1779&gt;=m_From,S1779&lt;=m_To)),1,0)</f>
        <v/>
      </c>
      <c r="V1779" s="36">
        <f>IF(AND(OR(sel_Region="All",C1779=sel_Region),OR(sel_Channel="All",E1779=sel_Channel),OR(sel_Customer="All",F1779=sel_Customer),OR(sel_Category="All",G1779=sel_Category),OR(sel_Product="All",H1779=sel_Product),AND(S1779&gt;=m_From,S1779&lt;=m_To)),1,0)</f>
        <v/>
      </c>
      <c r="W1779" s="36">
        <f>IF(AND(OR(sel_Region="All",C1779=sel_Region),OR(sel_Country="All",D1779=sel_Country),OR(sel_Customer="All",F1779=sel_Customer),OR(sel_Category="All",G1779=sel_Category),OR(sel_Product="All",H1779=sel_Product),AND(S1779&gt;=m_From,S1779&lt;=m_To)),1,0)</f>
        <v/>
      </c>
      <c r="X1779" s="36">
        <f>IF(AND(OR(sel_Region="All",C1779=sel_Region),OR(sel_Country="All",D1779=sel_Country),OR(sel_Channel="All",E1779=sel_Channel),OR(sel_Category="All",G1779=sel_Category),OR(sel_Product="All",H1779=sel_Product),AND(S1779&gt;=m_From,S1779&lt;=m_To)),1,0)</f>
        <v/>
      </c>
      <c r="Y1779" s="36">
        <f>IF(AND(OR(sel_Region="All",C1779=sel_Region),OR(sel_Country="All",D1779=sel_Country),OR(sel_Channel="All",E1779=sel_Channel),OR(sel_Customer="All",F1779=sel_Customer),OR(sel_Product="All",H1779=sel_Product),AND(S1779&gt;=m_From,S1779&lt;=m_To)),1,0)</f>
        <v/>
      </c>
      <c r="Z1779" s="36">
        <f>IF(AND(OR(sel_Region="All",C1779=sel_Region),OR(sel_Country="All",D1779=sel_Country),OR(sel_Channel="All",E1779=sel_Channel),OR(sel_Customer="All",F1779=sel_Customer),OR(sel_Category="All",G1779=sel_Category),AND(S1779&gt;=m_From,S1779&lt;=m_To)),1,0)</f>
        <v/>
      </c>
      <c r="AA1779" s="36">
        <f>IF(AND(OR(sel_Region="All",C1779=sel_Region),OR(sel_Country="All",D1779=sel_Country),OR(sel_Channel="All",E1779=sel_Channel),OR(sel_Customer="All",F1779=sel_Customer),OR(sel_Category="All",G1779=sel_Category),OR(sel_Product="All",H1779=sel_Product)),1,0)</f>
        <v/>
      </c>
    </row>
    <row r="1780">
      <c r="A1780" s="36" t="inlineStr">
        <is>
          <t>03057</t>
        </is>
      </c>
      <c r="B1780" s="44" t="n">
        <v>46263</v>
      </c>
      <c r="C1780" s="36" t="inlineStr">
        <is>
          <t>Central Europe</t>
        </is>
      </c>
      <c r="D1780" s="36" t="inlineStr">
        <is>
          <t>Poland</t>
        </is>
      </c>
      <c r="E1780" s="36" t="inlineStr">
        <is>
          <t>Retail Partners</t>
        </is>
      </c>
      <c r="F1780" s="36" t="inlineStr">
        <is>
          <t>Returning</t>
        </is>
      </c>
      <c r="G1780" s="36" t="inlineStr">
        <is>
          <t>Hiking</t>
        </is>
      </c>
      <c r="H1780" s="36" t="inlineStr">
        <is>
          <t>Trail Boots</t>
        </is>
      </c>
      <c r="I1780" s="36" t="n">
        <v>2</v>
      </c>
      <c r="J1780" s="39" t="n">
        <v>142.16</v>
      </c>
      <c r="K1780" s="45" t="n">
        <v>0</v>
      </c>
      <c r="L1780" s="39" t="n">
        <v>79.36</v>
      </c>
      <c r="M1780" s="39">
        <f>I1780*J1780*(1-K1780)</f>
        <v/>
      </c>
      <c r="N1780" s="39">
        <f>I1780*L1780</f>
        <v/>
      </c>
      <c r="O1780" s="39">
        <f>M1780-N1780</f>
        <v/>
      </c>
      <c r="P1780" s="38">
        <f>IF(M1780=0,0,O1780/M1780)</f>
        <v/>
      </c>
      <c r="Q1780" s="36">
        <f>YEAR(B1780)</f>
        <v/>
      </c>
      <c r="R1780" s="36">
        <f>"Q"&amp;ROUNDUP(MONTH(B1780)/3,0)</f>
        <v/>
      </c>
      <c r="S1780" s="36">
        <f>MONTH(B1780)</f>
        <v/>
      </c>
      <c r="T1780" s="36">
        <f>TEXT(B1780,"mmm")</f>
        <v/>
      </c>
      <c r="U1780" s="36">
        <f>IF(AND(OR(sel_Region="All",C1780=sel_Region),OR(sel_Country="All",D1780=sel_Country),OR(sel_Channel="All",E1780=sel_Channel),OR(sel_Customer="All",F1780=sel_Customer),OR(sel_Category="All",G1780=sel_Category),OR(sel_Product="All",H1780=sel_Product),AND(S1780&gt;=m_From,S1780&lt;=m_To)),1,0)</f>
        <v/>
      </c>
      <c r="V1780" s="36">
        <f>IF(AND(OR(sel_Region="All",C1780=sel_Region),OR(sel_Channel="All",E1780=sel_Channel),OR(sel_Customer="All",F1780=sel_Customer),OR(sel_Category="All",G1780=sel_Category),OR(sel_Product="All",H1780=sel_Product),AND(S1780&gt;=m_From,S1780&lt;=m_To)),1,0)</f>
        <v/>
      </c>
      <c r="W1780" s="36">
        <f>IF(AND(OR(sel_Region="All",C1780=sel_Region),OR(sel_Country="All",D1780=sel_Country),OR(sel_Customer="All",F1780=sel_Customer),OR(sel_Category="All",G1780=sel_Category),OR(sel_Product="All",H1780=sel_Product),AND(S1780&gt;=m_From,S1780&lt;=m_To)),1,0)</f>
        <v/>
      </c>
      <c r="X1780" s="36">
        <f>IF(AND(OR(sel_Region="All",C1780=sel_Region),OR(sel_Country="All",D1780=sel_Country),OR(sel_Channel="All",E1780=sel_Channel),OR(sel_Category="All",G1780=sel_Category),OR(sel_Product="All",H1780=sel_Product),AND(S1780&gt;=m_From,S1780&lt;=m_To)),1,0)</f>
        <v/>
      </c>
      <c r="Y1780" s="36">
        <f>IF(AND(OR(sel_Region="All",C1780=sel_Region),OR(sel_Country="All",D1780=sel_Country),OR(sel_Channel="All",E1780=sel_Channel),OR(sel_Customer="All",F1780=sel_Customer),OR(sel_Product="All",H1780=sel_Product),AND(S1780&gt;=m_From,S1780&lt;=m_To)),1,0)</f>
        <v/>
      </c>
      <c r="Z1780" s="36">
        <f>IF(AND(OR(sel_Region="All",C1780=sel_Region),OR(sel_Country="All",D1780=sel_Country),OR(sel_Channel="All",E1780=sel_Channel),OR(sel_Customer="All",F1780=sel_Customer),OR(sel_Category="All",G1780=sel_Category),AND(S1780&gt;=m_From,S1780&lt;=m_To)),1,0)</f>
        <v/>
      </c>
      <c r="AA1780" s="36">
        <f>IF(AND(OR(sel_Region="All",C1780=sel_Region),OR(sel_Country="All",D1780=sel_Country),OR(sel_Channel="All",E1780=sel_Channel),OR(sel_Customer="All",F1780=sel_Customer),OR(sel_Category="All",G1780=sel_Category),OR(sel_Product="All",H1780=sel_Product)),1,0)</f>
        <v/>
      </c>
    </row>
    <row r="1781">
      <c r="A1781" s="36" t="inlineStr">
        <is>
          <t>03112</t>
        </is>
      </c>
      <c r="B1781" s="44" t="n">
        <v>46263</v>
      </c>
      <c r="C1781" s="36" t="inlineStr">
        <is>
          <t>Western Europe</t>
        </is>
      </c>
      <c r="D1781" s="36" t="inlineStr">
        <is>
          <t>United Kingdom</t>
        </is>
      </c>
      <c r="E1781" s="36" t="inlineStr">
        <is>
          <t>Online Store</t>
        </is>
      </c>
      <c r="F1781" s="36" t="inlineStr">
        <is>
          <t>Business</t>
        </is>
      </c>
      <c r="G1781" s="36" t="inlineStr">
        <is>
          <t>Travel</t>
        </is>
      </c>
      <c r="H1781" s="36" t="inlineStr">
        <is>
          <t>Packing Cube Set</t>
        </is>
      </c>
      <c r="I1781" s="36" t="n">
        <v>2</v>
      </c>
      <c r="J1781" s="39" t="n">
        <v>47.69</v>
      </c>
      <c r="K1781" s="45" t="n">
        <v>0.05</v>
      </c>
      <c r="L1781" s="39" t="n">
        <v>18.8</v>
      </c>
      <c r="M1781" s="39">
        <f>I1781*J1781*(1-K1781)</f>
        <v/>
      </c>
      <c r="N1781" s="39">
        <f>I1781*L1781</f>
        <v/>
      </c>
      <c r="O1781" s="39">
        <f>M1781-N1781</f>
        <v/>
      </c>
      <c r="P1781" s="38">
        <f>IF(M1781=0,0,O1781/M1781)</f>
        <v/>
      </c>
      <c r="Q1781" s="36">
        <f>YEAR(B1781)</f>
        <v/>
      </c>
      <c r="R1781" s="36">
        <f>"Q"&amp;ROUNDUP(MONTH(B1781)/3,0)</f>
        <v/>
      </c>
      <c r="S1781" s="36">
        <f>MONTH(B1781)</f>
        <v/>
      </c>
      <c r="T1781" s="36">
        <f>TEXT(B1781,"mmm")</f>
        <v/>
      </c>
      <c r="U1781" s="36">
        <f>IF(AND(OR(sel_Region="All",C1781=sel_Region),OR(sel_Country="All",D1781=sel_Country),OR(sel_Channel="All",E1781=sel_Channel),OR(sel_Customer="All",F1781=sel_Customer),OR(sel_Category="All",G1781=sel_Category),OR(sel_Product="All",H1781=sel_Product),AND(S1781&gt;=m_From,S1781&lt;=m_To)),1,0)</f>
        <v/>
      </c>
      <c r="V1781" s="36">
        <f>IF(AND(OR(sel_Region="All",C1781=sel_Region),OR(sel_Channel="All",E1781=sel_Channel),OR(sel_Customer="All",F1781=sel_Customer),OR(sel_Category="All",G1781=sel_Category),OR(sel_Product="All",H1781=sel_Product),AND(S1781&gt;=m_From,S1781&lt;=m_To)),1,0)</f>
        <v/>
      </c>
      <c r="W1781" s="36">
        <f>IF(AND(OR(sel_Region="All",C1781=sel_Region),OR(sel_Country="All",D1781=sel_Country),OR(sel_Customer="All",F1781=sel_Customer),OR(sel_Category="All",G1781=sel_Category),OR(sel_Product="All",H1781=sel_Product),AND(S1781&gt;=m_From,S1781&lt;=m_To)),1,0)</f>
        <v/>
      </c>
      <c r="X1781" s="36">
        <f>IF(AND(OR(sel_Region="All",C1781=sel_Region),OR(sel_Country="All",D1781=sel_Country),OR(sel_Channel="All",E1781=sel_Channel),OR(sel_Category="All",G1781=sel_Category),OR(sel_Product="All",H1781=sel_Product),AND(S1781&gt;=m_From,S1781&lt;=m_To)),1,0)</f>
        <v/>
      </c>
      <c r="Y1781" s="36">
        <f>IF(AND(OR(sel_Region="All",C1781=sel_Region),OR(sel_Country="All",D1781=sel_Country),OR(sel_Channel="All",E1781=sel_Channel),OR(sel_Customer="All",F1781=sel_Customer),OR(sel_Product="All",H1781=sel_Product),AND(S1781&gt;=m_From,S1781&lt;=m_To)),1,0)</f>
        <v/>
      </c>
      <c r="Z1781" s="36">
        <f>IF(AND(OR(sel_Region="All",C1781=sel_Region),OR(sel_Country="All",D1781=sel_Country),OR(sel_Channel="All",E1781=sel_Channel),OR(sel_Customer="All",F1781=sel_Customer),OR(sel_Category="All",G1781=sel_Category),AND(S1781&gt;=m_From,S1781&lt;=m_To)),1,0)</f>
        <v/>
      </c>
      <c r="AA1781" s="36">
        <f>IF(AND(OR(sel_Region="All",C1781=sel_Region),OR(sel_Country="All",D1781=sel_Country),OR(sel_Channel="All",E1781=sel_Channel),OR(sel_Customer="All",F1781=sel_Customer),OR(sel_Category="All",G1781=sel_Category),OR(sel_Product="All",H1781=sel_Product)),1,0)</f>
        <v/>
      </c>
    </row>
    <row r="1782">
      <c r="A1782" s="36" t="inlineStr">
        <is>
          <t>03137</t>
        </is>
      </c>
      <c r="B1782" s="44" t="n">
        <v>46263</v>
      </c>
      <c r="C1782" s="36" t="inlineStr">
        <is>
          <t>Northern Europe</t>
        </is>
      </c>
      <c r="D1782" s="36" t="inlineStr">
        <is>
          <t>Denmark</t>
        </is>
      </c>
      <c r="E1782" s="36" t="inlineStr">
        <is>
          <t>Retail Partners</t>
        </is>
      </c>
      <c r="F1782" s="36" t="inlineStr">
        <is>
          <t>New</t>
        </is>
      </c>
      <c r="G1782" s="36" t="inlineStr">
        <is>
          <t>Travel</t>
        </is>
      </c>
      <c r="H1782" s="36" t="inlineStr">
        <is>
          <t>Travel Backpack 35L</t>
        </is>
      </c>
      <c r="I1782" s="36" t="n">
        <v>3</v>
      </c>
      <c r="J1782" s="39" t="n">
        <v>164.51</v>
      </c>
      <c r="K1782" s="45" t="n">
        <v>0</v>
      </c>
      <c r="L1782" s="39" t="n">
        <v>86.76000000000001</v>
      </c>
      <c r="M1782" s="39">
        <f>I1782*J1782*(1-K1782)</f>
        <v/>
      </c>
      <c r="N1782" s="39">
        <f>I1782*L1782</f>
        <v/>
      </c>
      <c r="O1782" s="39">
        <f>M1782-N1782</f>
        <v/>
      </c>
      <c r="P1782" s="38">
        <f>IF(M1782=0,0,O1782/M1782)</f>
        <v/>
      </c>
      <c r="Q1782" s="36">
        <f>YEAR(B1782)</f>
        <v/>
      </c>
      <c r="R1782" s="36">
        <f>"Q"&amp;ROUNDUP(MONTH(B1782)/3,0)</f>
        <v/>
      </c>
      <c r="S1782" s="36">
        <f>MONTH(B1782)</f>
        <v/>
      </c>
      <c r="T1782" s="36">
        <f>TEXT(B1782,"mmm")</f>
        <v/>
      </c>
      <c r="U1782" s="36">
        <f>IF(AND(OR(sel_Region="All",C1782=sel_Region),OR(sel_Country="All",D1782=sel_Country),OR(sel_Channel="All",E1782=sel_Channel),OR(sel_Customer="All",F1782=sel_Customer),OR(sel_Category="All",G1782=sel_Category),OR(sel_Product="All",H1782=sel_Product),AND(S1782&gt;=m_From,S1782&lt;=m_To)),1,0)</f>
        <v/>
      </c>
      <c r="V1782" s="36">
        <f>IF(AND(OR(sel_Region="All",C1782=sel_Region),OR(sel_Channel="All",E1782=sel_Channel),OR(sel_Customer="All",F1782=sel_Customer),OR(sel_Category="All",G1782=sel_Category),OR(sel_Product="All",H1782=sel_Product),AND(S1782&gt;=m_From,S1782&lt;=m_To)),1,0)</f>
        <v/>
      </c>
      <c r="W1782" s="36">
        <f>IF(AND(OR(sel_Region="All",C1782=sel_Region),OR(sel_Country="All",D1782=sel_Country),OR(sel_Customer="All",F1782=sel_Customer),OR(sel_Category="All",G1782=sel_Category),OR(sel_Product="All",H1782=sel_Product),AND(S1782&gt;=m_From,S1782&lt;=m_To)),1,0)</f>
        <v/>
      </c>
      <c r="X1782" s="36">
        <f>IF(AND(OR(sel_Region="All",C1782=sel_Region),OR(sel_Country="All",D1782=sel_Country),OR(sel_Channel="All",E1782=sel_Channel),OR(sel_Category="All",G1782=sel_Category),OR(sel_Product="All",H1782=sel_Product),AND(S1782&gt;=m_From,S1782&lt;=m_To)),1,0)</f>
        <v/>
      </c>
      <c r="Y1782" s="36">
        <f>IF(AND(OR(sel_Region="All",C1782=sel_Region),OR(sel_Country="All",D1782=sel_Country),OR(sel_Channel="All",E1782=sel_Channel),OR(sel_Customer="All",F1782=sel_Customer),OR(sel_Product="All",H1782=sel_Product),AND(S1782&gt;=m_From,S1782&lt;=m_To)),1,0)</f>
        <v/>
      </c>
      <c r="Z1782" s="36">
        <f>IF(AND(OR(sel_Region="All",C1782=sel_Region),OR(sel_Country="All",D1782=sel_Country),OR(sel_Channel="All",E1782=sel_Channel),OR(sel_Customer="All",F1782=sel_Customer),OR(sel_Category="All",G1782=sel_Category),AND(S1782&gt;=m_From,S1782&lt;=m_To)),1,0)</f>
        <v/>
      </c>
      <c r="AA1782" s="36">
        <f>IF(AND(OR(sel_Region="All",C1782=sel_Region),OR(sel_Country="All",D1782=sel_Country),OR(sel_Channel="All",E1782=sel_Channel),OR(sel_Customer="All",F1782=sel_Customer),OR(sel_Category="All",G1782=sel_Category),OR(sel_Product="All",H1782=sel_Product)),1,0)</f>
        <v/>
      </c>
    </row>
    <row r="1783">
      <c r="A1783" s="36" t="inlineStr">
        <is>
          <t>03983</t>
        </is>
      </c>
      <c r="B1783" s="44" t="n">
        <v>46263</v>
      </c>
      <c r="C1783" s="36" t="inlineStr">
        <is>
          <t>Northern Europe</t>
        </is>
      </c>
      <c r="D1783" s="36" t="inlineStr">
        <is>
          <t>Sweden</t>
        </is>
      </c>
      <c r="E1783" s="36" t="inlineStr">
        <is>
          <t>Marketplace</t>
        </is>
      </c>
      <c r="F1783" s="36" t="inlineStr">
        <is>
          <t>Business</t>
        </is>
      </c>
      <c r="G1783" s="36" t="inlineStr">
        <is>
          <t>Camping</t>
        </is>
      </c>
      <c r="H1783" s="36" t="inlineStr">
        <is>
          <t>Trail Tent 2P</t>
        </is>
      </c>
      <c r="I1783" s="36" t="n">
        <v>2</v>
      </c>
      <c r="J1783" s="39" t="n">
        <v>194.71</v>
      </c>
      <c r="K1783" s="45" t="n">
        <v>0.1</v>
      </c>
      <c r="L1783" s="39" t="n">
        <v>105.57</v>
      </c>
      <c r="M1783" s="39">
        <f>I1783*J1783*(1-K1783)</f>
        <v/>
      </c>
      <c r="N1783" s="39">
        <f>I1783*L1783</f>
        <v/>
      </c>
      <c r="O1783" s="39">
        <f>M1783-N1783</f>
        <v/>
      </c>
      <c r="P1783" s="38">
        <f>IF(M1783=0,0,O1783/M1783)</f>
        <v/>
      </c>
      <c r="Q1783" s="36">
        <f>YEAR(B1783)</f>
        <v/>
      </c>
      <c r="R1783" s="36">
        <f>"Q"&amp;ROUNDUP(MONTH(B1783)/3,0)</f>
        <v/>
      </c>
      <c r="S1783" s="36">
        <f>MONTH(B1783)</f>
        <v/>
      </c>
      <c r="T1783" s="36">
        <f>TEXT(B1783,"mmm")</f>
        <v/>
      </c>
      <c r="U1783" s="36">
        <f>IF(AND(OR(sel_Region="All",C1783=sel_Region),OR(sel_Country="All",D1783=sel_Country),OR(sel_Channel="All",E1783=sel_Channel),OR(sel_Customer="All",F1783=sel_Customer),OR(sel_Category="All",G1783=sel_Category),OR(sel_Product="All",H1783=sel_Product),AND(S1783&gt;=m_From,S1783&lt;=m_To)),1,0)</f>
        <v/>
      </c>
      <c r="V1783" s="36">
        <f>IF(AND(OR(sel_Region="All",C1783=sel_Region),OR(sel_Channel="All",E1783=sel_Channel),OR(sel_Customer="All",F1783=sel_Customer),OR(sel_Category="All",G1783=sel_Category),OR(sel_Product="All",H1783=sel_Product),AND(S1783&gt;=m_From,S1783&lt;=m_To)),1,0)</f>
        <v/>
      </c>
      <c r="W1783" s="36">
        <f>IF(AND(OR(sel_Region="All",C1783=sel_Region),OR(sel_Country="All",D1783=sel_Country),OR(sel_Customer="All",F1783=sel_Customer),OR(sel_Category="All",G1783=sel_Category),OR(sel_Product="All",H1783=sel_Product),AND(S1783&gt;=m_From,S1783&lt;=m_To)),1,0)</f>
        <v/>
      </c>
      <c r="X1783" s="36">
        <f>IF(AND(OR(sel_Region="All",C1783=sel_Region),OR(sel_Country="All",D1783=sel_Country),OR(sel_Channel="All",E1783=sel_Channel),OR(sel_Category="All",G1783=sel_Category),OR(sel_Product="All",H1783=sel_Product),AND(S1783&gt;=m_From,S1783&lt;=m_To)),1,0)</f>
        <v/>
      </c>
      <c r="Y1783" s="36">
        <f>IF(AND(OR(sel_Region="All",C1783=sel_Region),OR(sel_Country="All",D1783=sel_Country),OR(sel_Channel="All",E1783=sel_Channel),OR(sel_Customer="All",F1783=sel_Customer),OR(sel_Product="All",H1783=sel_Product),AND(S1783&gt;=m_From,S1783&lt;=m_To)),1,0)</f>
        <v/>
      </c>
      <c r="Z1783" s="36">
        <f>IF(AND(OR(sel_Region="All",C1783=sel_Region),OR(sel_Country="All",D1783=sel_Country),OR(sel_Channel="All",E1783=sel_Channel),OR(sel_Customer="All",F1783=sel_Customer),OR(sel_Category="All",G1783=sel_Category),AND(S1783&gt;=m_From,S1783&lt;=m_To)),1,0)</f>
        <v/>
      </c>
      <c r="AA1783" s="36">
        <f>IF(AND(OR(sel_Region="All",C1783=sel_Region),OR(sel_Country="All",D1783=sel_Country),OR(sel_Channel="All",E1783=sel_Channel),OR(sel_Customer="All",F1783=sel_Customer),OR(sel_Category="All",G1783=sel_Category),OR(sel_Product="All",H1783=sel_Product)),1,0)</f>
        <v/>
      </c>
    </row>
    <row r="1784">
      <c r="A1784" s="36" t="inlineStr">
        <is>
          <t>04016</t>
        </is>
      </c>
      <c r="B1784" s="44" t="n">
        <v>46263</v>
      </c>
      <c r="C1784" s="36" t="inlineStr">
        <is>
          <t>Western Europe</t>
        </is>
      </c>
      <c r="D1784" s="36" t="inlineStr">
        <is>
          <t>France</t>
        </is>
      </c>
      <c r="E1784" s="36" t="inlineStr">
        <is>
          <t>Corporate</t>
        </is>
      </c>
      <c r="F1784" s="36" t="inlineStr">
        <is>
          <t>Business</t>
        </is>
      </c>
      <c r="G1784" s="36" t="inlineStr">
        <is>
          <t>Hiking</t>
        </is>
      </c>
      <c r="H1784" s="36" t="inlineStr">
        <is>
          <t>Trail Boots</t>
        </is>
      </c>
      <c r="I1784" s="36" t="n">
        <v>5</v>
      </c>
      <c r="J1784" s="39" t="n">
        <v>145.24</v>
      </c>
      <c r="K1784" s="45" t="n">
        <v>0.15</v>
      </c>
      <c r="L1784" s="39" t="n">
        <v>77.69</v>
      </c>
      <c r="M1784" s="39">
        <f>I1784*J1784*(1-K1784)</f>
        <v/>
      </c>
      <c r="N1784" s="39">
        <f>I1784*L1784</f>
        <v/>
      </c>
      <c r="O1784" s="39">
        <f>M1784-N1784</f>
        <v/>
      </c>
      <c r="P1784" s="38">
        <f>IF(M1784=0,0,O1784/M1784)</f>
        <v/>
      </c>
      <c r="Q1784" s="36">
        <f>YEAR(B1784)</f>
        <v/>
      </c>
      <c r="R1784" s="36">
        <f>"Q"&amp;ROUNDUP(MONTH(B1784)/3,0)</f>
        <v/>
      </c>
      <c r="S1784" s="36">
        <f>MONTH(B1784)</f>
        <v/>
      </c>
      <c r="T1784" s="36">
        <f>TEXT(B1784,"mmm")</f>
        <v/>
      </c>
      <c r="U1784" s="36">
        <f>IF(AND(OR(sel_Region="All",C1784=sel_Region),OR(sel_Country="All",D1784=sel_Country),OR(sel_Channel="All",E1784=sel_Channel),OR(sel_Customer="All",F1784=sel_Customer),OR(sel_Category="All",G1784=sel_Category),OR(sel_Product="All",H1784=sel_Product),AND(S1784&gt;=m_From,S1784&lt;=m_To)),1,0)</f>
        <v/>
      </c>
      <c r="V1784" s="36">
        <f>IF(AND(OR(sel_Region="All",C1784=sel_Region),OR(sel_Channel="All",E1784=sel_Channel),OR(sel_Customer="All",F1784=sel_Customer),OR(sel_Category="All",G1784=sel_Category),OR(sel_Product="All",H1784=sel_Product),AND(S1784&gt;=m_From,S1784&lt;=m_To)),1,0)</f>
        <v/>
      </c>
      <c r="W1784" s="36">
        <f>IF(AND(OR(sel_Region="All",C1784=sel_Region),OR(sel_Country="All",D1784=sel_Country),OR(sel_Customer="All",F1784=sel_Customer),OR(sel_Category="All",G1784=sel_Category),OR(sel_Product="All",H1784=sel_Product),AND(S1784&gt;=m_From,S1784&lt;=m_To)),1,0)</f>
        <v/>
      </c>
      <c r="X1784" s="36">
        <f>IF(AND(OR(sel_Region="All",C1784=sel_Region),OR(sel_Country="All",D1784=sel_Country),OR(sel_Channel="All",E1784=sel_Channel),OR(sel_Category="All",G1784=sel_Category),OR(sel_Product="All",H1784=sel_Product),AND(S1784&gt;=m_From,S1784&lt;=m_To)),1,0)</f>
        <v/>
      </c>
      <c r="Y1784" s="36">
        <f>IF(AND(OR(sel_Region="All",C1784=sel_Region),OR(sel_Country="All",D1784=sel_Country),OR(sel_Channel="All",E1784=sel_Channel),OR(sel_Customer="All",F1784=sel_Customer),OR(sel_Product="All",H1784=sel_Product),AND(S1784&gt;=m_From,S1784&lt;=m_To)),1,0)</f>
        <v/>
      </c>
      <c r="Z1784" s="36">
        <f>IF(AND(OR(sel_Region="All",C1784=sel_Region),OR(sel_Country="All",D1784=sel_Country),OR(sel_Channel="All",E1784=sel_Channel),OR(sel_Customer="All",F1784=sel_Customer),OR(sel_Category="All",G1784=sel_Category),AND(S1784&gt;=m_From,S1784&lt;=m_To)),1,0)</f>
        <v/>
      </c>
      <c r="AA1784" s="36">
        <f>IF(AND(OR(sel_Region="All",C1784=sel_Region),OR(sel_Country="All",D1784=sel_Country),OR(sel_Channel="All",E1784=sel_Channel),OR(sel_Customer="All",F1784=sel_Customer),OR(sel_Category="All",G1784=sel_Category),OR(sel_Product="All",H1784=sel_Product)),1,0)</f>
        <v/>
      </c>
    </row>
    <row r="1785">
      <c r="A1785" s="36" t="inlineStr">
        <is>
          <t>04340</t>
        </is>
      </c>
      <c r="B1785" s="44" t="n">
        <v>46263</v>
      </c>
      <c r="C1785" s="36" t="inlineStr">
        <is>
          <t>Western Europe</t>
        </is>
      </c>
      <c r="D1785" s="36" t="inlineStr">
        <is>
          <t>United Kingdom</t>
        </is>
      </c>
      <c r="E1785" s="36" t="inlineStr">
        <is>
          <t>Online Store</t>
        </is>
      </c>
      <c r="F1785" s="36" t="inlineStr">
        <is>
          <t>New</t>
        </is>
      </c>
      <c r="G1785" s="36" t="inlineStr">
        <is>
          <t>Travel</t>
        </is>
      </c>
      <c r="H1785" s="36" t="inlineStr">
        <is>
          <t>Insulated Bottle</t>
        </is>
      </c>
      <c r="I1785" s="36" t="n">
        <v>2</v>
      </c>
      <c r="J1785" s="39" t="n">
        <v>35.6</v>
      </c>
      <c r="K1785" s="45" t="n">
        <v>0.15</v>
      </c>
      <c r="L1785" s="39" t="n">
        <v>13.67</v>
      </c>
      <c r="M1785" s="39">
        <f>I1785*J1785*(1-K1785)</f>
        <v/>
      </c>
      <c r="N1785" s="39">
        <f>I1785*L1785</f>
        <v/>
      </c>
      <c r="O1785" s="39">
        <f>M1785-N1785</f>
        <v/>
      </c>
      <c r="P1785" s="38">
        <f>IF(M1785=0,0,O1785/M1785)</f>
        <v/>
      </c>
      <c r="Q1785" s="36">
        <f>YEAR(B1785)</f>
        <v/>
      </c>
      <c r="R1785" s="36">
        <f>"Q"&amp;ROUNDUP(MONTH(B1785)/3,0)</f>
        <v/>
      </c>
      <c r="S1785" s="36">
        <f>MONTH(B1785)</f>
        <v/>
      </c>
      <c r="T1785" s="36">
        <f>TEXT(B1785,"mmm")</f>
        <v/>
      </c>
      <c r="U1785" s="36">
        <f>IF(AND(OR(sel_Region="All",C1785=sel_Region),OR(sel_Country="All",D1785=sel_Country),OR(sel_Channel="All",E1785=sel_Channel),OR(sel_Customer="All",F1785=sel_Customer),OR(sel_Category="All",G1785=sel_Category),OR(sel_Product="All",H1785=sel_Product),AND(S1785&gt;=m_From,S1785&lt;=m_To)),1,0)</f>
        <v/>
      </c>
      <c r="V1785" s="36">
        <f>IF(AND(OR(sel_Region="All",C1785=sel_Region),OR(sel_Channel="All",E1785=sel_Channel),OR(sel_Customer="All",F1785=sel_Customer),OR(sel_Category="All",G1785=sel_Category),OR(sel_Product="All",H1785=sel_Product),AND(S1785&gt;=m_From,S1785&lt;=m_To)),1,0)</f>
        <v/>
      </c>
      <c r="W1785" s="36">
        <f>IF(AND(OR(sel_Region="All",C1785=sel_Region),OR(sel_Country="All",D1785=sel_Country),OR(sel_Customer="All",F1785=sel_Customer),OR(sel_Category="All",G1785=sel_Category),OR(sel_Product="All",H1785=sel_Product),AND(S1785&gt;=m_From,S1785&lt;=m_To)),1,0)</f>
        <v/>
      </c>
      <c r="X1785" s="36">
        <f>IF(AND(OR(sel_Region="All",C1785=sel_Region),OR(sel_Country="All",D1785=sel_Country),OR(sel_Channel="All",E1785=sel_Channel),OR(sel_Category="All",G1785=sel_Category),OR(sel_Product="All",H1785=sel_Product),AND(S1785&gt;=m_From,S1785&lt;=m_To)),1,0)</f>
        <v/>
      </c>
      <c r="Y1785" s="36">
        <f>IF(AND(OR(sel_Region="All",C1785=sel_Region),OR(sel_Country="All",D1785=sel_Country),OR(sel_Channel="All",E1785=sel_Channel),OR(sel_Customer="All",F1785=sel_Customer),OR(sel_Product="All",H1785=sel_Product),AND(S1785&gt;=m_From,S1785&lt;=m_To)),1,0)</f>
        <v/>
      </c>
      <c r="Z1785" s="36">
        <f>IF(AND(OR(sel_Region="All",C1785=sel_Region),OR(sel_Country="All",D1785=sel_Country),OR(sel_Channel="All",E1785=sel_Channel),OR(sel_Customer="All",F1785=sel_Customer),OR(sel_Category="All",G1785=sel_Category),AND(S1785&gt;=m_From,S1785&lt;=m_To)),1,0)</f>
        <v/>
      </c>
      <c r="AA1785" s="36">
        <f>IF(AND(OR(sel_Region="All",C1785=sel_Region),OR(sel_Country="All",D1785=sel_Country),OR(sel_Channel="All",E1785=sel_Channel),OR(sel_Customer="All",F1785=sel_Customer),OR(sel_Category="All",G1785=sel_Category),OR(sel_Product="All",H1785=sel_Product)),1,0)</f>
        <v/>
      </c>
    </row>
    <row r="1786">
      <c r="A1786" s="36" t="inlineStr">
        <is>
          <t>04640</t>
        </is>
      </c>
      <c r="B1786" s="44" t="n">
        <v>46263</v>
      </c>
      <c r="C1786" s="36" t="inlineStr">
        <is>
          <t>Southern Europe</t>
        </is>
      </c>
      <c r="D1786" s="36" t="inlineStr">
        <is>
          <t>Italy</t>
        </is>
      </c>
      <c r="E1786" s="36" t="inlineStr">
        <is>
          <t>Online Store</t>
        </is>
      </c>
      <c r="F1786" s="36" t="inlineStr">
        <is>
          <t>New</t>
        </is>
      </c>
      <c r="G1786" s="36" t="inlineStr">
        <is>
          <t>Fitness</t>
        </is>
      </c>
      <c r="H1786" s="36" t="inlineStr">
        <is>
          <t>Resistance Band Set</t>
        </is>
      </c>
      <c r="I1786" s="36" t="n">
        <v>2</v>
      </c>
      <c r="J1786" s="39" t="n">
        <v>41.05</v>
      </c>
      <c r="K1786" s="45" t="n">
        <v>0.05</v>
      </c>
      <c r="L1786" s="39" t="n">
        <v>14.47</v>
      </c>
      <c r="M1786" s="39">
        <f>I1786*J1786*(1-K1786)</f>
        <v/>
      </c>
      <c r="N1786" s="39">
        <f>I1786*L1786</f>
        <v/>
      </c>
      <c r="O1786" s="39">
        <f>M1786-N1786</f>
        <v/>
      </c>
      <c r="P1786" s="38">
        <f>IF(M1786=0,0,O1786/M1786)</f>
        <v/>
      </c>
      <c r="Q1786" s="36">
        <f>YEAR(B1786)</f>
        <v/>
      </c>
      <c r="R1786" s="36">
        <f>"Q"&amp;ROUNDUP(MONTH(B1786)/3,0)</f>
        <v/>
      </c>
      <c r="S1786" s="36">
        <f>MONTH(B1786)</f>
        <v/>
      </c>
      <c r="T1786" s="36">
        <f>TEXT(B1786,"mmm")</f>
        <v/>
      </c>
      <c r="U1786" s="36">
        <f>IF(AND(OR(sel_Region="All",C1786=sel_Region),OR(sel_Country="All",D1786=sel_Country),OR(sel_Channel="All",E1786=sel_Channel),OR(sel_Customer="All",F1786=sel_Customer),OR(sel_Category="All",G1786=sel_Category),OR(sel_Product="All",H1786=sel_Product),AND(S1786&gt;=m_From,S1786&lt;=m_To)),1,0)</f>
        <v/>
      </c>
      <c r="V1786" s="36">
        <f>IF(AND(OR(sel_Region="All",C1786=sel_Region),OR(sel_Channel="All",E1786=sel_Channel),OR(sel_Customer="All",F1786=sel_Customer),OR(sel_Category="All",G1786=sel_Category),OR(sel_Product="All",H1786=sel_Product),AND(S1786&gt;=m_From,S1786&lt;=m_To)),1,0)</f>
        <v/>
      </c>
      <c r="W1786" s="36">
        <f>IF(AND(OR(sel_Region="All",C1786=sel_Region),OR(sel_Country="All",D1786=sel_Country),OR(sel_Customer="All",F1786=sel_Customer),OR(sel_Category="All",G1786=sel_Category),OR(sel_Product="All",H1786=sel_Product),AND(S1786&gt;=m_From,S1786&lt;=m_To)),1,0)</f>
        <v/>
      </c>
      <c r="X1786" s="36">
        <f>IF(AND(OR(sel_Region="All",C1786=sel_Region),OR(sel_Country="All",D1786=sel_Country),OR(sel_Channel="All",E1786=sel_Channel),OR(sel_Category="All",G1786=sel_Category),OR(sel_Product="All",H1786=sel_Product),AND(S1786&gt;=m_From,S1786&lt;=m_To)),1,0)</f>
        <v/>
      </c>
      <c r="Y1786" s="36">
        <f>IF(AND(OR(sel_Region="All",C1786=sel_Region),OR(sel_Country="All",D1786=sel_Country),OR(sel_Channel="All",E1786=sel_Channel),OR(sel_Customer="All",F1786=sel_Customer),OR(sel_Product="All",H1786=sel_Product),AND(S1786&gt;=m_From,S1786&lt;=m_To)),1,0)</f>
        <v/>
      </c>
      <c r="Z1786" s="36">
        <f>IF(AND(OR(sel_Region="All",C1786=sel_Region),OR(sel_Country="All",D1786=sel_Country),OR(sel_Channel="All",E1786=sel_Channel),OR(sel_Customer="All",F1786=sel_Customer),OR(sel_Category="All",G1786=sel_Category),AND(S1786&gt;=m_From,S1786&lt;=m_To)),1,0)</f>
        <v/>
      </c>
      <c r="AA1786" s="36">
        <f>IF(AND(OR(sel_Region="All",C1786=sel_Region),OR(sel_Country="All",D1786=sel_Country),OR(sel_Channel="All",E1786=sel_Channel),OR(sel_Customer="All",F1786=sel_Customer),OR(sel_Category="All",G1786=sel_Category),OR(sel_Product="All",H1786=sel_Product)),1,0)</f>
        <v/>
      </c>
    </row>
    <row r="1787">
      <c r="A1787" s="36" t="inlineStr">
        <is>
          <t>04733</t>
        </is>
      </c>
      <c r="B1787" s="44" t="n">
        <v>46263</v>
      </c>
      <c r="C1787" s="36" t="inlineStr">
        <is>
          <t>Northern Europe</t>
        </is>
      </c>
      <c r="D1787" s="36" t="inlineStr">
        <is>
          <t>Sweden</t>
        </is>
      </c>
      <c r="E1787" s="36" t="inlineStr">
        <is>
          <t>Online Store</t>
        </is>
      </c>
      <c r="F1787" s="36" t="inlineStr">
        <is>
          <t>New</t>
        </is>
      </c>
      <c r="G1787" s="36" t="inlineStr">
        <is>
          <t>Hiking</t>
        </is>
      </c>
      <c r="H1787" s="36" t="inlineStr">
        <is>
          <t>Summit Backpack 45L</t>
        </is>
      </c>
      <c r="I1787" s="36" t="n">
        <v>2</v>
      </c>
      <c r="J1787" s="39" t="n">
        <v>153.64</v>
      </c>
      <c r="K1787" s="45" t="n">
        <v>0.05</v>
      </c>
      <c r="L1787" s="39" t="n">
        <v>77.70999999999999</v>
      </c>
      <c r="M1787" s="39">
        <f>I1787*J1787*(1-K1787)</f>
        <v/>
      </c>
      <c r="N1787" s="39">
        <f>I1787*L1787</f>
        <v/>
      </c>
      <c r="O1787" s="39">
        <f>M1787-N1787</f>
        <v/>
      </c>
      <c r="P1787" s="38">
        <f>IF(M1787=0,0,O1787/M1787)</f>
        <v/>
      </c>
      <c r="Q1787" s="36">
        <f>YEAR(B1787)</f>
        <v/>
      </c>
      <c r="R1787" s="36">
        <f>"Q"&amp;ROUNDUP(MONTH(B1787)/3,0)</f>
        <v/>
      </c>
      <c r="S1787" s="36">
        <f>MONTH(B1787)</f>
        <v/>
      </c>
      <c r="T1787" s="36">
        <f>TEXT(B1787,"mmm")</f>
        <v/>
      </c>
      <c r="U1787" s="36">
        <f>IF(AND(OR(sel_Region="All",C1787=sel_Region),OR(sel_Country="All",D1787=sel_Country),OR(sel_Channel="All",E1787=sel_Channel),OR(sel_Customer="All",F1787=sel_Customer),OR(sel_Category="All",G1787=sel_Category),OR(sel_Product="All",H1787=sel_Product),AND(S1787&gt;=m_From,S1787&lt;=m_To)),1,0)</f>
        <v/>
      </c>
      <c r="V1787" s="36">
        <f>IF(AND(OR(sel_Region="All",C1787=sel_Region),OR(sel_Channel="All",E1787=sel_Channel),OR(sel_Customer="All",F1787=sel_Customer),OR(sel_Category="All",G1787=sel_Category),OR(sel_Product="All",H1787=sel_Product),AND(S1787&gt;=m_From,S1787&lt;=m_To)),1,0)</f>
        <v/>
      </c>
      <c r="W1787" s="36">
        <f>IF(AND(OR(sel_Region="All",C1787=sel_Region),OR(sel_Country="All",D1787=sel_Country),OR(sel_Customer="All",F1787=sel_Customer),OR(sel_Category="All",G1787=sel_Category),OR(sel_Product="All",H1787=sel_Product),AND(S1787&gt;=m_From,S1787&lt;=m_To)),1,0)</f>
        <v/>
      </c>
      <c r="X1787" s="36">
        <f>IF(AND(OR(sel_Region="All",C1787=sel_Region),OR(sel_Country="All",D1787=sel_Country),OR(sel_Channel="All",E1787=sel_Channel),OR(sel_Category="All",G1787=sel_Category),OR(sel_Product="All",H1787=sel_Product),AND(S1787&gt;=m_From,S1787&lt;=m_To)),1,0)</f>
        <v/>
      </c>
      <c r="Y1787" s="36">
        <f>IF(AND(OR(sel_Region="All",C1787=sel_Region),OR(sel_Country="All",D1787=sel_Country),OR(sel_Channel="All",E1787=sel_Channel),OR(sel_Customer="All",F1787=sel_Customer),OR(sel_Product="All",H1787=sel_Product),AND(S1787&gt;=m_From,S1787&lt;=m_To)),1,0)</f>
        <v/>
      </c>
      <c r="Z1787" s="36">
        <f>IF(AND(OR(sel_Region="All",C1787=sel_Region),OR(sel_Country="All",D1787=sel_Country),OR(sel_Channel="All",E1787=sel_Channel),OR(sel_Customer="All",F1787=sel_Customer),OR(sel_Category="All",G1787=sel_Category),AND(S1787&gt;=m_From,S1787&lt;=m_To)),1,0)</f>
        <v/>
      </c>
      <c r="AA1787" s="36">
        <f>IF(AND(OR(sel_Region="All",C1787=sel_Region),OR(sel_Country="All",D1787=sel_Country),OR(sel_Channel="All",E1787=sel_Channel),OR(sel_Customer="All",F1787=sel_Customer),OR(sel_Category="All",G1787=sel_Category),OR(sel_Product="All",H1787=sel_Product)),1,0)</f>
        <v/>
      </c>
    </row>
    <row r="1788">
      <c r="A1788" s="36" t="inlineStr">
        <is>
          <t>04827</t>
        </is>
      </c>
      <c r="B1788" s="44" t="n">
        <v>46263</v>
      </c>
      <c r="C1788" s="36" t="inlineStr">
        <is>
          <t>Northern Europe</t>
        </is>
      </c>
      <c r="D1788" s="36" t="inlineStr">
        <is>
          <t>Sweden</t>
        </is>
      </c>
      <c r="E1788" s="36" t="inlineStr">
        <is>
          <t>Online Store</t>
        </is>
      </c>
      <c r="F1788" s="36" t="inlineStr">
        <is>
          <t>Returning</t>
        </is>
      </c>
      <c r="G1788" s="36" t="inlineStr">
        <is>
          <t>Travel</t>
        </is>
      </c>
      <c r="H1788" s="36" t="inlineStr">
        <is>
          <t>Insulated Bottle</t>
        </is>
      </c>
      <c r="I1788" s="36" t="n">
        <v>5</v>
      </c>
      <c r="J1788" s="39" t="n">
        <v>36.7</v>
      </c>
      <c r="K1788" s="45" t="n">
        <v>0</v>
      </c>
      <c r="L1788" s="39" t="n">
        <v>13.45</v>
      </c>
      <c r="M1788" s="39">
        <f>I1788*J1788*(1-K1788)</f>
        <v/>
      </c>
      <c r="N1788" s="39">
        <f>I1788*L1788</f>
        <v/>
      </c>
      <c r="O1788" s="39">
        <f>M1788-N1788</f>
        <v/>
      </c>
      <c r="P1788" s="38">
        <f>IF(M1788=0,0,O1788/M1788)</f>
        <v/>
      </c>
      <c r="Q1788" s="36">
        <f>YEAR(B1788)</f>
        <v/>
      </c>
      <c r="R1788" s="36">
        <f>"Q"&amp;ROUNDUP(MONTH(B1788)/3,0)</f>
        <v/>
      </c>
      <c r="S1788" s="36">
        <f>MONTH(B1788)</f>
        <v/>
      </c>
      <c r="T1788" s="36">
        <f>TEXT(B1788,"mmm")</f>
        <v/>
      </c>
      <c r="U1788" s="36">
        <f>IF(AND(OR(sel_Region="All",C1788=sel_Region),OR(sel_Country="All",D1788=sel_Country),OR(sel_Channel="All",E1788=sel_Channel),OR(sel_Customer="All",F1788=sel_Customer),OR(sel_Category="All",G1788=sel_Category),OR(sel_Product="All",H1788=sel_Product),AND(S1788&gt;=m_From,S1788&lt;=m_To)),1,0)</f>
        <v/>
      </c>
      <c r="V1788" s="36">
        <f>IF(AND(OR(sel_Region="All",C1788=sel_Region),OR(sel_Channel="All",E1788=sel_Channel),OR(sel_Customer="All",F1788=sel_Customer),OR(sel_Category="All",G1788=sel_Category),OR(sel_Product="All",H1788=sel_Product),AND(S1788&gt;=m_From,S1788&lt;=m_To)),1,0)</f>
        <v/>
      </c>
      <c r="W1788" s="36">
        <f>IF(AND(OR(sel_Region="All",C1788=sel_Region),OR(sel_Country="All",D1788=sel_Country),OR(sel_Customer="All",F1788=sel_Customer),OR(sel_Category="All",G1788=sel_Category),OR(sel_Product="All",H1788=sel_Product),AND(S1788&gt;=m_From,S1788&lt;=m_To)),1,0)</f>
        <v/>
      </c>
      <c r="X1788" s="36">
        <f>IF(AND(OR(sel_Region="All",C1788=sel_Region),OR(sel_Country="All",D1788=sel_Country),OR(sel_Channel="All",E1788=sel_Channel),OR(sel_Category="All",G1788=sel_Category),OR(sel_Product="All",H1788=sel_Product),AND(S1788&gt;=m_From,S1788&lt;=m_To)),1,0)</f>
        <v/>
      </c>
      <c r="Y1788" s="36">
        <f>IF(AND(OR(sel_Region="All",C1788=sel_Region),OR(sel_Country="All",D1788=sel_Country),OR(sel_Channel="All",E1788=sel_Channel),OR(sel_Customer="All",F1788=sel_Customer),OR(sel_Product="All",H1788=sel_Product),AND(S1788&gt;=m_From,S1788&lt;=m_To)),1,0)</f>
        <v/>
      </c>
      <c r="Z1788" s="36">
        <f>IF(AND(OR(sel_Region="All",C1788=sel_Region),OR(sel_Country="All",D1788=sel_Country),OR(sel_Channel="All",E1788=sel_Channel),OR(sel_Customer="All",F1788=sel_Customer),OR(sel_Category="All",G1788=sel_Category),AND(S1788&gt;=m_From,S1788&lt;=m_To)),1,0)</f>
        <v/>
      </c>
      <c r="AA1788" s="36">
        <f>IF(AND(OR(sel_Region="All",C1788=sel_Region),OR(sel_Country="All",D1788=sel_Country),OR(sel_Channel="All",E1788=sel_Channel),OR(sel_Customer="All",F1788=sel_Customer),OR(sel_Category="All",G1788=sel_Category),OR(sel_Product="All",H1788=sel_Product)),1,0)</f>
        <v/>
      </c>
    </row>
    <row r="1789">
      <c r="A1789" s="36" t="inlineStr">
        <is>
          <t>05180</t>
        </is>
      </c>
      <c r="B1789" s="44" t="n">
        <v>46263</v>
      </c>
      <c r="C1789" s="36" t="inlineStr">
        <is>
          <t>Southern Europe</t>
        </is>
      </c>
      <c r="D1789" s="36" t="inlineStr">
        <is>
          <t>Italy</t>
        </is>
      </c>
      <c r="E1789" s="36" t="inlineStr">
        <is>
          <t>Corporate</t>
        </is>
      </c>
      <c r="F1789" s="36" t="inlineStr">
        <is>
          <t>Business</t>
        </is>
      </c>
      <c r="G1789" s="36" t="inlineStr">
        <is>
          <t>Camping</t>
        </is>
      </c>
      <c r="H1789" s="36" t="inlineStr">
        <is>
          <t>Compact Sleeping Bag</t>
        </is>
      </c>
      <c r="I1789" s="36" t="n">
        <v>8</v>
      </c>
      <c r="J1789" s="39" t="n">
        <v>124</v>
      </c>
      <c r="K1789" s="45" t="n">
        <v>0.1</v>
      </c>
      <c r="L1789" s="39" t="n">
        <v>61.85</v>
      </c>
      <c r="M1789" s="39">
        <f>I1789*J1789*(1-K1789)</f>
        <v/>
      </c>
      <c r="N1789" s="39">
        <f>I1789*L1789</f>
        <v/>
      </c>
      <c r="O1789" s="39">
        <f>M1789-N1789</f>
        <v/>
      </c>
      <c r="P1789" s="38">
        <f>IF(M1789=0,0,O1789/M1789)</f>
        <v/>
      </c>
      <c r="Q1789" s="36">
        <f>YEAR(B1789)</f>
        <v/>
      </c>
      <c r="R1789" s="36">
        <f>"Q"&amp;ROUNDUP(MONTH(B1789)/3,0)</f>
        <v/>
      </c>
      <c r="S1789" s="36">
        <f>MONTH(B1789)</f>
        <v/>
      </c>
      <c r="T1789" s="36">
        <f>TEXT(B1789,"mmm")</f>
        <v/>
      </c>
      <c r="U1789" s="36">
        <f>IF(AND(OR(sel_Region="All",C1789=sel_Region),OR(sel_Country="All",D1789=sel_Country),OR(sel_Channel="All",E1789=sel_Channel),OR(sel_Customer="All",F1789=sel_Customer),OR(sel_Category="All",G1789=sel_Category),OR(sel_Product="All",H1789=sel_Product),AND(S1789&gt;=m_From,S1789&lt;=m_To)),1,0)</f>
        <v/>
      </c>
      <c r="V1789" s="36">
        <f>IF(AND(OR(sel_Region="All",C1789=sel_Region),OR(sel_Channel="All",E1789=sel_Channel),OR(sel_Customer="All",F1789=sel_Customer),OR(sel_Category="All",G1789=sel_Category),OR(sel_Product="All",H1789=sel_Product),AND(S1789&gt;=m_From,S1789&lt;=m_To)),1,0)</f>
        <v/>
      </c>
      <c r="W1789" s="36">
        <f>IF(AND(OR(sel_Region="All",C1789=sel_Region),OR(sel_Country="All",D1789=sel_Country),OR(sel_Customer="All",F1789=sel_Customer),OR(sel_Category="All",G1789=sel_Category),OR(sel_Product="All",H1789=sel_Product),AND(S1789&gt;=m_From,S1789&lt;=m_To)),1,0)</f>
        <v/>
      </c>
      <c r="X1789" s="36">
        <f>IF(AND(OR(sel_Region="All",C1789=sel_Region),OR(sel_Country="All",D1789=sel_Country),OR(sel_Channel="All",E1789=sel_Channel),OR(sel_Category="All",G1789=sel_Category),OR(sel_Product="All",H1789=sel_Product),AND(S1789&gt;=m_From,S1789&lt;=m_To)),1,0)</f>
        <v/>
      </c>
      <c r="Y1789" s="36">
        <f>IF(AND(OR(sel_Region="All",C1789=sel_Region),OR(sel_Country="All",D1789=sel_Country),OR(sel_Channel="All",E1789=sel_Channel),OR(sel_Customer="All",F1789=sel_Customer),OR(sel_Product="All",H1789=sel_Product),AND(S1789&gt;=m_From,S1789&lt;=m_To)),1,0)</f>
        <v/>
      </c>
      <c r="Z1789" s="36">
        <f>IF(AND(OR(sel_Region="All",C1789=sel_Region),OR(sel_Country="All",D1789=sel_Country),OR(sel_Channel="All",E1789=sel_Channel),OR(sel_Customer="All",F1789=sel_Customer),OR(sel_Category="All",G1789=sel_Category),AND(S1789&gt;=m_From,S1789&lt;=m_To)),1,0)</f>
        <v/>
      </c>
      <c r="AA1789" s="36">
        <f>IF(AND(OR(sel_Region="All",C1789=sel_Region),OR(sel_Country="All",D1789=sel_Country),OR(sel_Channel="All",E1789=sel_Channel),OR(sel_Customer="All",F1789=sel_Customer),OR(sel_Category="All",G1789=sel_Category),OR(sel_Product="All",H1789=sel_Product)),1,0)</f>
        <v/>
      </c>
    </row>
    <row r="1790">
      <c r="A1790" s="36" t="inlineStr">
        <is>
          <t>00121</t>
        </is>
      </c>
      <c r="B1790" s="44" t="n">
        <v>46264</v>
      </c>
      <c r="C1790" s="36" t="inlineStr">
        <is>
          <t>Central Europe</t>
        </is>
      </c>
      <c r="D1790" s="36" t="inlineStr">
        <is>
          <t>Czechia</t>
        </is>
      </c>
      <c r="E1790" s="36" t="inlineStr">
        <is>
          <t>Marketplace</t>
        </is>
      </c>
      <c r="F1790" s="36" t="inlineStr">
        <is>
          <t>New</t>
        </is>
      </c>
      <c r="G1790" s="36" t="inlineStr">
        <is>
          <t>Cycling</t>
        </is>
      </c>
      <c r="H1790" s="36" t="inlineStr">
        <is>
          <t>Commuter Helmet</t>
        </is>
      </c>
      <c r="I1790" s="36" t="n">
        <v>1</v>
      </c>
      <c r="J1790" s="39" t="n">
        <v>81.23</v>
      </c>
      <c r="K1790" s="45" t="n">
        <v>0.1</v>
      </c>
      <c r="L1790" s="39" t="n">
        <v>42.65</v>
      </c>
      <c r="M1790" s="39">
        <f>I1790*J1790*(1-K1790)</f>
        <v/>
      </c>
      <c r="N1790" s="39">
        <f>I1790*L1790</f>
        <v/>
      </c>
      <c r="O1790" s="39">
        <f>M1790-N1790</f>
        <v/>
      </c>
      <c r="P1790" s="38">
        <f>IF(M1790=0,0,O1790/M1790)</f>
        <v/>
      </c>
      <c r="Q1790" s="36">
        <f>YEAR(B1790)</f>
        <v/>
      </c>
      <c r="R1790" s="36">
        <f>"Q"&amp;ROUNDUP(MONTH(B1790)/3,0)</f>
        <v/>
      </c>
      <c r="S1790" s="36">
        <f>MONTH(B1790)</f>
        <v/>
      </c>
      <c r="T1790" s="36">
        <f>TEXT(B1790,"mmm")</f>
        <v/>
      </c>
      <c r="U1790" s="36">
        <f>IF(AND(OR(sel_Region="All",C1790=sel_Region),OR(sel_Country="All",D1790=sel_Country),OR(sel_Channel="All",E1790=sel_Channel),OR(sel_Customer="All",F1790=sel_Customer),OR(sel_Category="All",G1790=sel_Category),OR(sel_Product="All",H1790=sel_Product),AND(S1790&gt;=m_From,S1790&lt;=m_To)),1,0)</f>
        <v/>
      </c>
      <c r="V1790" s="36">
        <f>IF(AND(OR(sel_Region="All",C1790=sel_Region),OR(sel_Channel="All",E1790=sel_Channel),OR(sel_Customer="All",F1790=sel_Customer),OR(sel_Category="All",G1790=sel_Category),OR(sel_Product="All",H1790=sel_Product),AND(S1790&gt;=m_From,S1790&lt;=m_To)),1,0)</f>
        <v/>
      </c>
      <c r="W1790" s="36">
        <f>IF(AND(OR(sel_Region="All",C1790=sel_Region),OR(sel_Country="All",D1790=sel_Country),OR(sel_Customer="All",F1790=sel_Customer),OR(sel_Category="All",G1790=sel_Category),OR(sel_Product="All",H1790=sel_Product),AND(S1790&gt;=m_From,S1790&lt;=m_To)),1,0)</f>
        <v/>
      </c>
      <c r="X1790" s="36">
        <f>IF(AND(OR(sel_Region="All",C1790=sel_Region),OR(sel_Country="All",D1790=sel_Country),OR(sel_Channel="All",E1790=sel_Channel),OR(sel_Category="All",G1790=sel_Category),OR(sel_Product="All",H1790=sel_Product),AND(S1790&gt;=m_From,S1790&lt;=m_To)),1,0)</f>
        <v/>
      </c>
      <c r="Y1790" s="36">
        <f>IF(AND(OR(sel_Region="All",C1790=sel_Region),OR(sel_Country="All",D1790=sel_Country),OR(sel_Channel="All",E1790=sel_Channel),OR(sel_Customer="All",F1790=sel_Customer),OR(sel_Product="All",H1790=sel_Product),AND(S1790&gt;=m_From,S1790&lt;=m_To)),1,0)</f>
        <v/>
      </c>
      <c r="Z1790" s="36">
        <f>IF(AND(OR(sel_Region="All",C1790=sel_Region),OR(sel_Country="All",D1790=sel_Country),OR(sel_Channel="All",E1790=sel_Channel),OR(sel_Customer="All",F1790=sel_Customer),OR(sel_Category="All",G1790=sel_Category),AND(S1790&gt;=m_From,S1790&lt;=m_To)),1,0)</f>
        <v/>
      </c>
      <c r="AA1790" s="36">
        <f>IF(AND(OR(sel_Region="All",C1790=sel_Region),OR(sel_Country="All",D1790=sel_Country),OR(sel_Channel="All",E1790=sel_Channel),OR(sel_Customer="All",F1790=sel_Customer),OR(sel_Category="All",G1790=sel_Category),OR(sel_Product="All",H1790=sel_Product)),1,0)</f>
        <v/>
      </c>
    </row>
    <row r="1791">
      <c r="A1791" s="36" t="inlineStr">
        <is>
          <t>00618</t>
        </is>
      </c>
      <c r="B1791" s="44" t="n">
        <v>46264</v>
      </c>
      <c r="C1791" s="36" t="inlineStr">
        <is>
          <t>Central Europe</t>
        </is>
      </c>
      <c r="D1791" s="36" t="inlineStr">
        <is>
          <t>Germany</t>
        </is>
      </c>
      <c r="E1791" s="36" t="inlineStr">
        <is>
          <t>Online Store</t>
        </is>
      </c>
      <c r="F1791" s="36" t="inlineStr">
        <is>
          <t>Business</t>
        </is>
      </c>
      <c r="G1791" s="36" t="inlineStr">
        <is>
          <t>Cycling</t>
        </is>
      </c>
      <c r="H1791" s="36" t="inlineStr">
        <is>
          <t>Compact Repair Kit</t>
        </is>
      </c>
      <c r="I1791" s="36" t="n">
        <v>2</v>
      </c>
      <c r="J1791" s="39" t="n">
        <v>41.06</v>
      </c>
      <c r="K1791" s="45" t="n">
        <v>0.05</v>
      </c>
      <c r="L1791" s="39" t="n">
        <v>16.56</v>
      </c>
      <c r="M1791" s="39">
        <f>I1791*J1791*(1-K1791)</f>
        <v/>
      </c>
      <c r="N1791" s="39">
        <f>I1791*L1791</f>
        <v/>
      </c>
      <c r="O1791" s="39">
        <f>M1791-N1791</f>
        <v/>
      </c>
      <c r="P1791" s="38">
        <f>IF(M1791=0,0,O1791/M1791)</f>
        <v/>
      </c>
      <c r="Q1791" s="36">
        <f>YEAR(B1791)</f>
        <v/>
      </c>
      <c r="R1791" s="36">
        <f>"Q"&amp;ROUNDUP(MONTH(B1791)/3,0)</f>
        <v/>
      </c>
      <c r="S1791" s="36">
        <f>MONTH(B1791)</f>
        <v/>
      </c>
      <c r="T1791" s="36">
        <f>TEXT(B1791,"mmm")</f>
        <v/>
      </c>
      <c r="U1791" s="36">
        <f>IF(AND(OR(sel_Region="All",C1791=sel_Region),OR(sel_Country="All",D1791=sel_Country),OR(sel_Channel="All",E1791=sel_Channel),OR(sel_Customer="All",F1791=sel_Customer),OR(sel_Category="All",G1791=sel_Category),OR(sel_Product="All",H1791=sel_Product),AND(S1791&gt;=m_From,S1791&lt;=m_To)),1,0)</f>
        <v/>
      </c>
      <c r="V1791" s="36">
        <f>IF(AND(OR(sel_Region="All",C1791=sel_Region),OR(sel_Channel="All",E1791=sel_Channel),OR(sel_Customer="All",F1791=sel_Customer),OR(sel_Category="All",G1791=sel_Category),OR(sel_Product="All",H1791=sel_Product),AND(S1791&gt;=m_From,S1791&lt;=m_To)),1,0)</f>
        <v/>
      </c>
      <c r="W1791" s="36">
        <f>IF(AND(OR(sel_Region="All",C1791=sel_Region),OR(sel_Country="All",D1791=sel_Country),OR(sel_Customer="All",F1791=sel_Customer),OR(sel_Category="All",G1791=sel_Category),OR(sel_Product="All",H1791=sel_Product),AND(S1791&gt;=m_From,S1791&lt;=m_To)),1,0)</f>
        <v/>
      </c>
      <c r="X1791" s="36">
        <f>IF(AND(OR(sel_Region="All",C1791=sel_Region),OR(sel_Country="All",D1791=sel_Country),OR(sel_Channel="All",E1791=sel_Channel),OR(sel_Category="All",G1791=sel_Category),OR(sel_Product="All",H1791=sel_Product),AND(S1791&gt;=m_From,S1791&lt;=m_To)),1,0)</f>
        <v/>
      </c>
      <c r="Y1791" s="36">
        <f>IF(AND(OR(sel_Region="All",C1791=sel_Region),OR(sel_Country="All",D1791=sel_Country),OR(sel_Channel="All",E1791=sel_Channel),OR(sel_Customer="All",F1791=sel_Customer),OR(sel_Product="All",H1791=sel_Product),AND(S1791&gt;=m_From,S1791&lt;=m_To)),1,0)</f>
        <v/>
      </c>
      <c r="Z1791" s="36">
        <f>IF(AND(OR(sel_Region="All",C1791=sel_Region),OR(sel_Country="All",D1791=sel_Country),OR(sel_Channel="All",E1791=sel_Channel),OR(sel_Customer="All",F1791=sel_Customer),OR(sel_Category="All",G1791=sel_Category),AND(S1791&gt;=m_From,S1791&lt;=m_To)),1,0)</f>
        <v/>
      </c>
      <c r="AA1791" s="36">
        <f>IF(AND(OR(sel_Region="All",C1791=sel_Region),OR(sel_Country="All",D1791=sel_Country),OR(sel_Channel="All",E1791=sel_Channel),OR(sel_Customer="All",F1791=sel_Customer),OR(sel_Category="All",G1791=sel_Category),OR(sel_Product="All",H1791=sel_Product)),1,0)</f>
        <v/>
      </c>
    </row>
    <row r="1792">
      <c r="A1792" s="36" t="inlineStr">
        <is>
          <t>02860</t>
        </is>
      </c>
      <c r="B1792" s="44" t="n">
        <v>46264</v>
      </c>
      <c r="C1792" s="36" t="inlineStr">
        <is>
          <t>Western Europe</t>
        </is>
      </c>
      <c r="D1792" s="36" t="inlineStr">
        <is>
          <t>Netherlands</t>
        </is>
      </c>
      <c r="E1792" s="36" t="inlineStr">
        <is>
          <t>Marketplace</t>
        </is>
      </c>
      <c r="F1792" s="36" t="inlineStr">
        <is>
          <t>Returning</t>
        </is>
      </c>
      <c r="G1792" s="36" t="inlineStr">
        <is>
          <t>Hiking</t>
        </is>
      </c>
      <c r="H1792" s="36" t="inlineStr">
        <is>
          <t>Trail Boots</t>
        </is>
      </c>
      <c r="I1792" s="36" t="n">
        <v>1</v>
      </c>
      <c r="J1792" s="39" t="n">
        <v>143.49</v>
      </c>
      <c r="K1792" s="45" t="n">
        <v>0.1</v>
      </c>
      <c r="L1792" s="39" t="n">
        <v>80.72</v>
      </c>
      <c r="M1792" s="39">
        <f>I1792*J1792*(1-K1792)</f>
        <v/>
      </c>
      <c r="N1792" s="39">
        <f>I1792*L1792</f>
        <v/>
      </c>
      <c r="O1792" s="39">
        <f>M1792-N1792</f>
        <v/>
      </c>
      <c r="P1792" s="38">
        <f>IF(M1792=0,0,O1792/M1792)</f>
        <v/>
      </c>
      <c r="Q1792" s="36">
        <f>YEAR(B1792)</f>
        <v/>
      </c>
      <c r="R1792" s="36">
        <f>"Q"&amp;ROUNDUP(MONTH(B1792)/3,0)</f>
        <v/>
      </c>
      <c r="S1792" s="36">
        <f>MONTH(B1792)</f>
        <v/>
      </c>
      <c r="T1792" s="36">
        <f>TEXT(B1792,"mmm")</f>
        <v/>
      </c>
      <c r="U1792" s="36">
        <f>IF(AND(OR(sel_Region="All",C1792=sel_Region),OR(sel_Country="All",D1792=sel_Country),OR(sel_Channel="All",E1792=sel_Channel),OR(sel_Customer="All",F1792=sel_Customer),OR(sel_Category="All",G1792=sel_Category),OR(sel_Product="All",H1792=sel_Product),AND(S1792&gt;=m_From,S1792&lt;=m_To)),1,0)</f>
        <v/>
      </c>
      <c r="V1792" s="36">
        <f>IF(AND(OR(sel_Region="All",C1792=sel_Region),OR(sel_Channel="All",E1792=sel_Channel),OR(sel_Customer="All",F1792=sel_Customer),OR(sel_Category="All",G1792=sel_Category),OR(sel_Product="All",H1792=sel_Product),AND(S1792&gt;=m_From,S1792&lt;=m_To)),1,0)</f>
        <v/>
      </c>
      <c r="W1792" s="36">
        <f>IF(AND(OR(sel_Region="All",C1792=sel_Region),OR(sel_Country="All",D1792=sel_Country),OR(sel_Customer="All",F1792=sel_Customer),OR(sel_Category="All",G1792=sel_Category),OR(sel_Product="All",H1792=sel_Product),AND(S1792&gt;=m_From,S1792&lt;=m_To)),1,0)</f>
        <v/>
      </c>
      <c r="X1792" s="36">
        <f>IF(AND(OR(sel_Region="All",C1792=sel_Region),OR(sel_Country="All",D1792=sel_Country),OR(sel_Channel="All",E1792=sel_Channel),OR(sel_Category="All",G1792=sel_Category),OR(sel_Product="All",H1792=sel_Product),AND(S1792&gt;=m_From,S1792&lt;=m_To)),1,0)</f>
        <v/>
      </c>
      <c r="Y1792" s="36">
        <f>IF(AND(OR(sel_Region="All",C1792=sel_Region),OR(sel_Country="All",D1792=sel_Country),OR(sel_Channel="All",E1792=sel_Channel),OR(sel_Customer="All",F1792=sel_Customer),OR(sel_Product="All",H1792=sel_Product),AND(S1792&gt;=m_From,S1792&lt;=m_To)),1,0)</f>
        <v/>
      </c>
      <c r="Z1792" s="36">
        <f>IF(AND(OR(sel_Region="All",C1792=sel_Region),OR(sel_Country="All",D1792=sel_Country),OR(sel_Channel="All",E1792=sel_Channel),OR(sel_Customer="All",F1792=sel_Customer),OR(sel_Category="All",G1792=sel_Category),AND(S1792&gt;=m_From,S1792&lt;=m_To)),1,0)</f>
        <v/>
      </c>
      <c r="AA1792" s="36">
        <f>IF(AND(OR(sel_Region="All",C1792=sel_Region),OR(sel_Country="All",D1792=sel_Country),OR(sel_Channel="All",E1792=sel_Channel),OR(sel_Customer="All",F1792=sel_Customer),OR(sel_Category="All",G1792=sel_Category),OR(sel_Product="All",H1792=sel_Product)),1,0)</f>
        <v/>
      </c>
    </row>
    <row r="1793">
      <c r="A1793" s="36" t="inlineStr">
        <is>
          <t>03768</t>
        </is>
      </c>
      <c r="B1793" s="44" t="n">
        <v>46264</v>
      </c>
      <c r="C1793" s="36" t="inlineStr">
        <is>
          <t>Northern Europe</t>
        </is>
      </c>
      <c r="D1793" s="36" t="inlineStr">
        <is>
          <t>Ireland</t>
        </is>
      </c>
      <c r="E1793" s="36" t="inlineStr">
        <is>
          <t>Retail Partners</t>
        </is>
      </c>
      <c r="F1793" s="36" t="inlineStr">
        <is>
          <t>New</t>
        </is>
      </c>
      <c r="G1793" s="36" t="inlineStr">
        <is>
          <t>Hiking</t>
        </is>
      </c>
      <c r="H1793" s="36" t="inlineStr">
        <is>
          <t>Trail Boots</t>
        </is>
      </c>
      <c r="I1793" s="36" t="n">
        <v>1</v>
      </c>
      <c r="J1793" s="39" t="n">
        <v>143.38</v>
      </c>
      <c r="K1793" s="45" t="n">
        <v>0</v>
      </c>
      <c r="L1793" s="39" t="n">
        <v>78.37</v>
      </c>
      <c r="M1793" s="39">
        <f>I1793*J1793*(1-K1793)</f>
        <v/>
      </c>
      <c r="N1793" s="39">
        <f>I1793*L1793</f>
        <v/>
      </c>
      <c r="O1793" s="39">
        <f>M1793-N1793</f>
        <v/>
      </c>
      <c r="P1793" s="38">
        <f>IF(M1793=0,0,O1793/M1793)</f>
        <v/>
      </c>
      <c r="Q1793" s="36">
        <f>YEAR(B1793)</f>
        <v/>
      </c>
      <c r="R1793" s="36">
        <f>"Q"&amp;ROUNDUP(MONTH(B1793)/3,0)</f>
        <v/>
      </c>
      <c r="S1793" s="36">
        <f>MONTH(B1793)</f>
        <v/>
      </c>
      <c r="T1793" s="36">
        <f>TEXT(B1793,"mmm")</f>
        <v/>
      </c>
      <c r="U1793" s="36">
        <f>IF(AND(OR(sel_Region="All",C1793=sel_Region),OR(sel_Country="All",D1793=sel_Country),OR(sel_Channel="All",E1793=sel_Channel),OR(sel_Customer="All",F1793=sel_Customer),OR(sel_Category="All",G1793=sel_Category),OR(sel_Product="All",H1793=sel_Product),AND(S1793&gt;=m_From,S1793&lt;=m_To)),1,0)</f>
        <v/>
      </c>
      <c r="V1793" s="36">
        <f>IF(AND(OR(sel_Region="All",C1793=sel_Region),OR(sel_Channel="All",E1793=sel_Channel),OR(sel_Customer="All",F1793=sel_Customer),OR(sel_Category="All",G1793=sel_Category),OR(sel_Product="All",H1793=sel_Product),AND(S1793&gt;=m_From,S1793&lt;=m_To)),1,0)</f>
        <v/>
      </c>
      <c r="W1793" s="36">
        <f>IF(AND(OR(sel_Region="All",C1793=sel_Region),OR(sel_Country="All",D1793=sel_Country),OR(sel_Customer="All",F1793=sel_Customer),OR(sel_Category="All",G1793=sel_Category),OR(sel_Product="All",H1793=sel_Product),AND(S1793&gt;=m_From,S1793&lt;=m_To)),1,0)</f>
        <v/>
      </c>
      <c r="X1793" s="36">
        <f>IF(AND(OR(sel_Region="All",C1793=sel_Region),OR(sel_Country="All",D1793=sel_Country),OR(sel_Channel="All",E1793=sel_Channel),OR(sel_Category="All",G1793=sel_Category),OR(sel_Product="All",H1793=sel_Product),AND(S1793&gt;=m_From,S1793&lt;=m_To)),1,0)</f>
        <v/>
      </c>
      <c r="Y1793" s="36">
        <f>IF(AND(OR(sel_Region="All",C1793=sel_Region),OR(sel_Country="All",D1793=sel_Country),OR(sel_Channel="All",E1793=sel_Channel),OR(sel_Customer="All",F1793=sel_Customer),OR(sel_Product="All",H1793=sel_Product),AND(S1793&gt;=m_From,S1793&lt;=m_To)),1,0)</f>
        <v/>
      </c>
      <c r="Z1793" s="36">
        <f>IF(AND(OR(sel_Region="All",C1793=sel_Region),OR(sel_Country="All",D1793=sel_Country),OR(sel_Channel="All",E1793=sel_Channel),OR(sel_Customer="All",F1793=sel_Customer),OR(sel_Category="All",G1793=sel_Category),AND(S1793&gt;=m_From,S1793&lt;=m_To)),1,0)</f>
        <v/>
      </c>
      <c r="AA1793" s="36">
        <f>IF(AND(OR(sel_Region="All",C1793=sel_Region),OR(sel_Country="All",D1793=sel_Country),OR(sel_Channel="All",E1793=sel_Channel),OR(sel_Customer="All",F1793=sel_Customer),OR(sel_Category="All",G1793=sel_Category),OR(sel_Product="All",H1793=sel_Product)),1,0)</f>
        <v/>
      </c>
    </row>
    <row r="1794">
      <c r="A1794" s="36" t="inlineStr">
        <is>
          <t>03987</t>
        </is>
      </c>
      <c r="B1794" s="44" t="n">
        <v>46264</v>
      </c>
      <c r="C1794" s="36" t="inlineStr">
        <is>
          <t>Central Europe</t>
        </is>
      </c>
      <c r="D1794" s="36" t="inlineStr">
        <is>
          <t>Germany</t>
        </is>
      </c>
      <c r="E1794" s="36" t="inlineStr">
        <is>
          <t>Marketplace</t>
        </is>
      </c>
      <c r="F1794" s="36" t="inlineStr">
        <is>
          <t>Business</t>
        </is>
      </c>
      <c r="G1794" s="36" t="inlineStr">
        <is>
          <t>Hiking</t>
        </is>
      </c>
      <c r="H1794" s="36" t="inlineStr">
        <is>
          <t>Trail Boots</t>
        </is>
      </c>
      <c r="I1794" s="36" t="n">
        <v>1</v>
      </c>
      <c r="J1794" s="39" t="n">
        <v>144.54</v>
      </c>
      <c r="K1794" s="45" t="n">
        <v>0</v>
      </c>
      <c r="L1794" s="39" t="n">
        <v>78.77</v>
      </c>
      <c r="M1794" s="39">
        <f>I1794*J1794*(1-K1794)</f>
        <v/>
      </c>
      <c r="N1794" s="39">
        <f>I1794*L1794</f>
        <v/>
      </c>
      <c r="O1794" s="39">
        <f>M1794-N1794</f>
        <v/>
      </c>
      <c r="P1794" s="38">
        <f>IF(M1794=0,0,O1794/M1794)</f>
        <v/>
      </c>
      <c r="Q1794" s="36">
        <f>YEAR(B1794)</f>
        <v/>
      </c>
      <c r="R1794" s="36">
        <f>"Q"&amp;ROUNDUP(MONTH(B1794)/3,0)</f>
        <v/>
      </c>
      <c r="S1794" s="36">
        <f>MONTH(B1794)</f>
        <v/>
      </c>
      <c r="T1794" s="36">
        <f>TEXT(B1794,"mmm")</f>
        <v/>
      </c>
      <c r="U1794" s="36">
        <f>IF(AND(OR(sel_Region="All",C1794=sel_Region),OR(sel_Country="All",D1794=sel_Country),OR(sel_Channel="All",E1794=sel_Channel),OR(sel_Customer="All",F1794=sel_Customer),OR(sel_Category="All",G1794=sel_Category),OR(sel_Product="All",H1794=sel_Product),AND(S1794&gt;=m_From,S1794&lt;=m_To)),1,0)</f>
        <v/>
      </c>
      <c r="V1794" s="36">
        <f>IF(AND(OR(sel_Region="All",C1794=sel_Region),OR(sel_Channel="All",E1794=sel_Channel),OR(sel_Customer="All",F1794=sel_Customer),OR(sel_Category="All",G1794=sel_Category),OR(sel_Product="All",H1794=sel_Product),AND(S1794&gt;=m_From,S1794&lt;=m_To)),1,0)</f>
        <v/>
      </c>
      <c r="W1794" s="36">
        <f>IF(AND(OR(sel_Region="All",C1794=sel_Region),OR(sel_Country="All",D1794=sel_Country),OR(sel_Customer="All",F1794=sel_Customer),OR(sel_Category="All",G1794=sel_Category),OR(sel_Product="All",H1794=sel_Product),AND(S1794&gt;=m_From,S1794&lt;=m_To)),1,0)</f>
        <v/>
      </c>
      <c r="X1794" s="36">
        <f>IF(AND(OR(sel_Region="All",C1794=sel_Region),OR(sel_Country="All",D1794=sel_Country),OR(sel_Channel="All",E1794=sel_Channel),OR(sel_Category="All",G1794=sel_Category),OR(sel_Product="All",H1794=sel_Product),AND(S1794&gt;=m_From,S1794&lt;=m_To)),1,0)</f>
        <v/>
      </c>
      <c r="Y1794" s="36">
        <f>IF(AND(OR(sel_Region="All",C1794=sel_Region),OR(sel_Country="All",D1794=sel_Country),OR(sel_Channel="All",E1794=sel_Channel),OR(sel_Customer="All",F1794=sel_Customer),OR(sel_Product="All",H1794=sel_Product),AND(S1794&gt;=m_From,S1794&lt;=m_To)),1,0)</f>
        <v/>
      </c>
      <c r="Z1794" s="36">
        <f>IF(AND(OR(sel_Region="All",C1794=sel_Region),OR(sel_Country="All",D1794=sel_Country),OR(sel_Channel="All",E1794=sel_Channel),OR(sel_Customer="All",F1794=sel_Customer),OR(sel_Category="All",G1794=sel_Category),AND(S1794&gt;=m_From,S1794&lt;=m_To)),1,0)</f>
        <v/>
      </c>
      <c r="AA1794" s="36">
        <f>IF(AND(OR(sel_Region="All",C1794=sel_Region),OR(sel_Country="All",D1794=sel_Country),OR(sel_Channel="All",E1794=sel_Channel),OR(sel_Customer="All",F1794=sel_Customer),OR(sel_Category="All",G1794=sel_Category),OR(sel_Product="All",H1794=sel_Product)),1,0)</f>
        <v/>
      </c>
    </row>
    <row r="1795">
      <c r="A1795" s="36" t="inlineStr">
        <is>
          <t>04990</t>
        </is>
      </c>
      <c r="B1795" s="44" t="n">
        <v>46264</v>
      </c>
      <c r="C1795" s="36" t="inlineStr">
        <is>
          <t>Western Europe</t>
        </is>
      </c>
      <c r="D1795" s="36" t="inlineStr">
        <is>
          <t>United Kingdom</t>
        </is>
      </c>
      <c r="E1795" s="36" t="inlineStr">
        <is>
          <t>Marketplace</t>
        </is>
      </c>
      <c r="F1795" s="36" t="inlineStr">
        <is>
          <t>Returning</t>
        </is>
      </c>
      <c r="G1795" s="36" t="inlineStr">
        <is>
          <t>Fitness</t>
        </is>
      </c>
      <c r="H1795" s="36" t="inlineStr">
        <is>
          <t>Resistance Band Set</t>
        </is>
      </c>
      <c r="I1795" s="36" t="n">
        <v>1</v>
      </c>
      <c r="J1795" s="39" t="n">
        <v>40.92</v>
      </c>
      <c r="K1795" s="45" t="n">
        <v>0.1</v>
      </c>
      <c r="L1795" s="39" t="n">
        <v>14.94</v>
      </c>
      <c r="M1795" s="39">
        <f>I1795*J1795*(1-K1795)</f>
        <v/>
      </c>
      <c r="N1795" s="39">
        <f>I1795*L1795</f>
        <v/>
      </c>
      <c r="O1795" s="39">
        <f>M1795-N1795</f>
        <v/>
      </c>
      <c r="P1795" s="38">
        <f>IF(M1795=0,0,O1795/M1795)</f>
        <v/>
      </c>
      <c r="Q1795" s="36">
        <f>YEAR(B1795)</f>
        <v/>
      </c>
      <c r="R1795" s="36">
        <f>"Q"&amp;ROUNDUP(MONTH(B1795)/3,0)</f>
        <v/>
      </c>
      <c r="S1795" s="36">
        <f>MONTH(B1795)</f>
        <v/>
      </c>
      <c r="T1795" s="36">
        <f>TEXT(B1795,"mmm")</f>
        <v/>
      </c>
      <c r="U1795" s="36">
        <f>IF(AND(OR(sel_Region="All",C1795=sel_Region),OR(sel_Country="All",D1795=sel_Country),OR(sel_Channel="All",E1795=sel_Channel),OR(sel_Customer="All",F1795=sel_Customer),OR(sel_Category="All",G1795=sel_Category),OR(sel_Product="All",H1795=sel_Product),AND(S1795&gt;=m_From,S1795&lt;=m_To)),1,0)</f>
        <v/>
      </c>
      <c r="V1795" s="36">
        <f>IF(AND(OR(sel_Region="All",C1795=sel_Region),OR(sel_Channel="All",E1795=sel_Channel),OR(sel_Customer="All",F1795=sel_Customer),OR(sel_Category="All",G1795=sel_Category),OR(sel_Product="All",H1795=sel_Product),AND(S1795&gt;=m_From,S1795&lt;=m_To)),1,0)</f>
        <v/>
      </c>
      <c r="W1795" s="36">
        <f>IF(AND(OR(sel_Region="All",C1795=sel_Region),OR(sel_Country="All",D1795=sel_Country),OR(sel_Customer="All",F1795=sel_Customer),OR(sel_Category="All",G1795=sel_Category),OR(sel_Product="All",H1795=sel_Product),AND(S1795&gt;=m_From,S1795&lt;=m_To)),1,0)</f>
        <v/>
      </c>
      <c r="X1795" s="36">
        <f>IF(AND(OR(sel_Region="All",C1795=sel_Region),OR(sel_Country="All",D1795=sel_Country),OR(sel_Channel="All",E1795=sel_Channel),OR(sel_Category="All",G1795=sel_Category),OR(sel_Product="All",H1795=sel_Product),AND(S1795&gt;=m_From,S1795&lt;=m_To)),1,0)</f>
        <v/>
      </c>
      <c r="Y1795" s="36">
        <f>IF(AND(OR(sel_Region="All",C1795=sel_Region),OR(sel_Country="All",D1795=sel_Country),OR(sel_Channel="All",E1795=sel_Channel),OR(sel_Customer="All",F1795=sel_Customer),OR(sel_Product="All",H1795=sel_Product),AND(S1795&gt;=m_From,S1795&lt;=m_To)),1,0)</f>
        <v/>
      </c>
      <c r="Z1795" s="36">
        <f>IF(AND(OR(sel_Region="All",C1795=sel_Region),OR(sel_Country="All",D1795=sel_Country),OR(sel_Channel="All",E1795=sel_Channel),OR(sel_Customer="All",F1795=sel_Customer),OR(sel_Category="All",G1795=sel_Category),AND(S1795&gt;=m_From,S1795&lt;=m_To)),1,0)</f>
        <v/>
      </c>
      <c r="AA1795" s="36">
        <f>IF(AND(OR(sel_Region="All",C1795=sel_Region),OR(sel_Country="All",D1795=sel_Country),OR(sel_Channel="All",E1795=sel_Channel),OR(sel_Customer="All",F1795=sel_Customer),OR(sel_Category="All",G1795=sel_Category),OR(sel_Product="All",H1795=sel_Product)),1,0)</f>
        <v/>
      </c>
    </row>
    <row r="1796">
      <c r="A1796" s="36" t="inlineStr">
        <is>
          <t>00348</t>
        </is>
      </c>
      <c r="B1796" s="44" t="n">
        <v>46265</v>
      </c>
      <c r="C1796" s="36" t="inlineStr">
        <is>
          <t>Central Europe</t>
        </is>
      </c>
      <c r="D1796" s="36" t="inlineStr">
        <is>
          <t>Germany</t>
        </is>
      </c>
      <c r="E1796" s="36" t="inlineStr">
        <is>
          <t>Corporate</t>
        </is>
      </c>
      <c r="F1796" s="36" t="inlineStr">
        <is>
          <t>Business</t>
        </is>
      </c>
      <c r="G1796" s="36" t="inlineStr">
        <is>
          <t>Hiking</t>
        </is>
      </c>
      <c r="H1796" s="36" t="inlineStr">
        <is>
          <t>Summit Backpack 45L</t>
        </is>
      </c>
      <c r="I1796" s="36" t="n">
        <v>5</v>
      </c>
      <c r="J1796" s="39" t="n">
        <v>151.21</v>
      </c>
      <c r="K1796" s="45" t="n">
        <v>0.15</v>
      </c>
      <c r="L1796" s="39" t="n">
        <v>77.12</v>
      </c>
      <c r="M1796" s="39">
        <f>I1796*J1796*(1-K1796)</f>
        <v/>
      </c>
      <c r="N1796" s="39">
        <f>I1796*L1796</f>
        <v/>
      </c>
      <c r="O1796" s="39">
        <f>M1796-N1796</f>
        <v/>
      </c>
      <c r="P1796" s="38">
        <f>IF(M1796=0,0,O1796/M1796)</f>
        <v/>
      </c>
      <c r="Q1796" s="36">
        <f>YEAR(B1796)</f>
        <v/>
      </c>
      <c r="R1796" s="36">
        <f>"Q"&amp;ROUNDUP(MONTH(B1796)/3,0)</f>
        <v/>
      </c>
      <c r="S1796" s="36">
        <f>MONTH(B1796)</f>
        <v/>
      </c>
      <c r="T1796" s="36">
        <f>TEXT(B1796,"mmm")</f>
        <v/>
      </c>
      <c r="U1796" s="36">
        <f>IF(AND(OR(sel_Region="All",C1796=sel_Region),OR(sel_Country="All",D1796=sel_Country),OR(sel_Channel="All",E1796=sel_Channel),OR(sel_Customer="All",F1796=sel_Customer),OR(sel_Category="All",G1796=sel_Category),OR(sel_Product="All",H1796=sel_Product),AND(S1796&gt;=m_From,S1796&lt;=m_To)),1,0)</f>
        <v/>
      </c>
      <c r="V1796" s="36">
        <f>IF(AND(OR(sel_Region="All",C1796=sel_Region),OR(sel_Channel="All",E1796=sel_Channel),OR(sel_Customer="All",F1796=sel_Customer),OR(sel_Category="All",G1796=sel_Category),OR(sel_Product="All",H1796=sel_Product),AND(S1796&gt;=m_From,S1796&lt;=m_To)),1,0)</f>
        <v/>
      </c>
      <c r="W1796" s="36">
        <f>IF(AND(OR(sel_Region="All",C1796=sel_Region),OR(sel_Country="All",D1796=sel_Country),OR(sel_Customer="All",F1796=sel_Customer),OR(sel_Category="All",G1796=sel_Category),OR(sel_Product="All",H1796=sel_Product),AND(S1796&gt;=m_From,S1796&lt;=m_To)),1,0)</f>
        <v/>
      </c>
      <c r="X1796" s="36">
        <f>IF(AND(OR(sel_Region="All",C1796=sel_Region),OR(sel_Country="All",D1796=sel_Country),OR(sel_Channel="All",E1796=sel_Channel),OR(sel_Category="All",G1796=sel_Category),OR(sel_Product="All",H1796=sel_Product),AND(S1796&gt;=m_From,S1796&lt;=m_To)),1,0)</f>
        <v/>
      </c>
      <c r="Y1796" s="36">
        <f>IF(AND(OR(sel_Region="All",C1796=sel_Region),OR(sel_Country="All",D1796=sel_Country),OR(sel_Channel="All",E1796=sel_Channel),OR(sel_Customer="All",F1796=sel_Customer),OR(sel_Product="All",H1796=sel_Product),AND(S1796&gt;=m_From,S1796&lt;=m_To)),1,0)</f>
        <v/>
      </c>
      <c r="Z1796" s="36">
        <f>IF(AND(OR(sel_Region="All",C1796=sel_Region),OR(sel_Country="All",D1796=sel_Country),OR(sel_Channel="All",E1796=sel_Channel),OR(sel_Customer="All",F1796=sel_Customer),OR(sel_Category="All",G1796=sel_Category),AND(S1796&gt;=m_From,S1796&lt;=m_To)),1,0)</f>
        <v/>
      </c>
      <c r="AA1796" s="36">
        <f>IF(AND(OR(sel_Region="All",C1796=sel_Region),OR(sel_Country="All",D1796=sel_Country),OR(sel_Channel="All",E1796=sel_Channel),OR(sel_Customer="All",F1796=sel_Customer),OR(sel_Category="All",G1796=sel_Category),OR(sel_Product="All",H1796=sel_Product)),1,0)</f>
        <v/>
      </c>
    </row>
    <row r="1797">
      <c r="A1797" s="36" t="inlineStr">
        <is>
          <t>01642</t>
        </is>
      </c>
      <c r="B1797" s="44" t="n">
        <v>46265</v>
      </c>
      <c r="C1797" s="36" t="inlineStr">
        <is>
          <t>Western Europe</t>
        </is>
      </c>
      <c r="D1797" s="36" t="inlineStr">
        <is>
          <t>United Kingdom</t>
        </is>
      </c>
      <c r="E1797" s="36" t="inlineStr">
        <is>
          <t>Marketplace</t>
        </is>
      </c>
      <c r="F1797" s="36" t="inlineStr">
        <is>
          <t>New</t>
        </is>
      </c>
      <c r="G1797" s="36" t="inlineStr">
        <is>
          <t>Fitness</t>
        </is>
      </c>
      <c r="H1797" s="36" t="inlineStr">
        <is>
          <t>Resistance Band Set</t>
        </is>
      </c>
      <c r="I1797" s="36" t="n">
        <v>1</v>
      </c>
      <c r="J1797" s="39" t="n">
        <v>40.77</v>
      </c>
      <c r="K1797" s="45" t="n">
        <v>0</v>
      </c>
      <c r="L1797" s="39" t="n">
        <v>15.13</v>
      </c>
      <c r="M1797" s="39">
        <f>I1797*J1797*(1-K1797)</f>
        <v/>
      </c>
      <c r="N1797" s="39">
        <f>I1797*L1797</f>
        <v/>
      </c>
      <c r="O1797" s="39">
        <f>M1797-N1797</f>
        <v/>
      </c>
      <c r="P1797" s="38">
        <f>IF(M1797=0,0,O1797/M1797)</f>
        <v/>
      </c>
      <c r="Q1797" s="36">
        <f>YEAR(B1797)</f>
        <v/>
      </c>
      <c r="R1797" s="36">
        <f>"Q"&amp;ROUNDUP(MONTH(B1797)/3,0)</f>
        <v/>
      </c>
      <c r="S1797" s="36">
        <f>MONTH(B1797)</f>
        <v/>
      </c>
      <c r="T1797" s="36">
        <f>TEXT(B1797,"mmm")</f>
        <v/>
      </c>
      <c r="U1797" s="36">
        <f>IF(AND(OR(sel_Region="All",C1797=sel_Region),OR(sel_Country="All",D1797=sel_Country),OR(sel_Channel="All",E1797=sel_Channel),OR(sel_Customer="All",F1797=sel_Customer),OR(sel_Category="All",G1797=sel_Category),OR(sel_Product="All",H1797=sel_Product),AND(S1797&gt;=m_From,S1797&lt;=m_To)),1,0)</f>
        <v/>
      </c>
      <c r="V1797" s="36">
        <f>IF(AND(OR(sel_Region="All",C1797=sel_Region),OR(sel_Channel="All",E1797=sel_Channel),OR(sel_Customer="All",F1797=sel_Customer),OR(sel_Category="All",G1797=sel_Category),OR(sel_Product="All",H1797=sel_Product),AND(S1797&gt;=m_From,S1797&lt;=m_To)),1,0)</f>
        <v/>
      </c>
      <c r="W1797" s="36">
        <f>IF(AND(OR(sel_Region="All",C1797=sel_Region),OR(sel_Country="All",D1797=sel_Country),OR(sel_Customer="All",F1797=sel_Customer),OR(sel_Category="All",G1797=sel_Category),OR(sel_Product="All",H1797=sel_Product),AND(S1797&gt;=m_From,S1797&lt;=m_To)),1,0)</f>
        <v/>
      </c>
      <c r="X1797" s="36">
        <f>IF(AND(OR(sel_Region="All",C1797=sel_Region),OR(sel_Country="All",D1797=sel_Country),OR(sel_Channel="All",E1797=sel_Channel),OR(sel_Category="All",G1797=sel_Category),OR(sel_Product="All",H1797=sel_Product),AND(S1797&gt;=m_From,S1797&lt;=m_To)),1,0)</f>
        <v/>
      </c>
      <c r="Y1797" s="36">
        <f>IF(AND(OR(sel_Region="All",C1797=sel_Region),OR(sel_Country="All",D1797=sel_Country),OR(sel_Channel="All",E1797=sel_Channel),OR(sel_Customer="All",F1797=sel_Customer),OR(sel_Product="All",H1797=sel_Product),AND(S1797&gt;=m_From,S1797&lt;=m_To)),1,0)</f>
        <v/>
      </c>
      <c r="Z1797" s="36">
        <f>IF(AND(OR(sel_Region="All",C1797=sel_Region),OR(sel_Country="All",D1797=sel_Country),OR(sel_Channel="All",E1797=sel_Channel),OR(sel_Customer="All",F1797=sel_Customer),OR(sel_Category="All",G1797=sel_Category),AND(S1797&gt;=m_From,S1797&lt;=m_To)),1,0)</f>
        <v/>
      </c>
      <c r="AA1797" s="36">
        <f>IF(AND(OR(sel_Region="All",C1797=sel_Region),OR(sel_Country="All",D1797=sel_Country),OR(sel_Channel="All",E1797=sel_Channel),OR(sel_Customer="All",F1797=sel_Customer),OR(sel_Category="All",G1797=sel_Category),OR(sel_Product="All",H1797=sel_Product)),1,0)</f>
        <v/>
      </c>
    </row>
    <row r="1798">
      <c r="A1798" s="36" t="inlineStr">
        <is>
          <t>02146</t>
        </is>
      </c>
      <c r="B1798" s="44" t="n">
        <v>46265</v>
      </c>
      <c r="C1798" s="36" t="inlineStr">
        <is>
          <t>Southern Europe</t>
        </is>
      </c>
      <c r="D1798" s="36" t="inlineStr">
        <is>
          <t>Spain</t>
        </is>
      </c>
      <c r="E1798" s="36" t="inlineStr">
        <is>
          <t>Marketplace</t>
        </is>
      </c>
      <c r="F1798" s="36" t="inlineStr">
        <is>
          <t>New</t>
        </is>
      </c>
      <c r="G1798" s="36" t="inlineStr">
        <is>
          <t>Fitness</t>
        </is>
      </c>
      <c r="H1798" s="36" t="inlineStr">
        <is>
          <t>Recovery Roller</t>
        </is>
      </c>
      <c r="I1798" s="36" t="n">
        <v>1</v>
      </c>
      <c r="J1798" s="39" t="n">
        <v>35.47</v>
      </c>
      <c r="K1798" s="45" t="n">
        <v>0.05</v>
      </c>
      <c r="L1798" s="39" t="n">
        <v>14.1</v>
      </c>
      <c r="M1798" s="39">
        <f>I1798*J1798*(1-K1798)</f>
        <v/>
      </c>
      <c r="N1798" s="39">
        <f>I1798*L1798</f>
        <v/>
      </c>
      <c r="O1798" s="39">
        <f>M1798-N1798</f>
        <v/>
      </c>
      <c r="P1798" s="38">
        <f>IF(M1798=0,0,O1798/M1798)</f>
        <v/>
      </c>
      <c r="Q1798" s="36">
        <f>YEAR(B1798)</f>
        <v/>
      </c>
      <c r="R1798" s="36">
        <f>"Q"&amp;ROUNDUP(MONTH(B1798)/3,0)</f>
        <v/>
      </c>
      <c r="S1798" s="36">
        <f>MONTH(B1798)</f>
        <v/>
      </c>
      <c r="T1798" s="36">
        <f>TEXT(B1798,"mmm")</f>
        <v/>
      </c>
      <c r="U1798" s="36">
        <f>IF(AND(OR(sel_Region="All",C1798=sel_Region),OR(sel_Country="All",D1798=sel_Country),OR(sel_Channel="All",E1798=sel_Channel),OR(sel_Customer="All",F1798=sel_Customer),OR(sel_Category="All",G1798=sel_Category),OR(sel_Product="All",H1798=sel_Product),AND(S1798&gt;=m_From,S1798&lt;=m_To)),1,0)</f>
        <v/>
      </c>
      <c r="V1798" s="36">
        <f>IF(AND(OR(sel_Region="All",C1798=sel_Region),OR(sel_Channel="All",E1798=sel_Channel),OR(sel_Customer="All",F1798=sel_Customer),OR(sel_Category="All",G1798=sel_Category),OR(sel_Product="All",H1798=sel_Product),AND(S1798&gt;=m_From,S1798&lt;=m_To)),1,0)</f>
        <v/>
      </c>
      <c r="W1798" s="36">
        <f>IF(AND(OR(sel_Region="All",C1798=sel_Region),OR(sel_Country="All",D1798=sel_Country),OR(sel_Customer="All",F1798=sel_Customer),OR(sel_Category="All",G1798=sel_Category),OR(sel_Product="All",H1798=sel_Product),AND(S1798&gt;=m_From,S1798&lt;=m_To)),1,0)</f>
        <v/>
      </c>
      <c r="X1798" s="36">
        <f>IF(AND(OR(sel_Region="All",C1798=sel_Region),OR(sel_Country="All",D1798=sel_Country),OR(sel_Channel="All",E1798=sel_Channel),OR(sel_Category="All",G1798=sel_Category),OR(sel_Product="All",H1798=sel_Product),AND(S1798&gt;=m_From,S1798&lt;=m_To)),1,0)</f>
        <v/>
      </c>
      <c r="Y1798" s="36">
        <f>IF(AND(OR(sel_Region="All",C1798=sel_Region),OR(sel_Country="All",D1798=sel_Country),OR(sel_Channel="All",E1798=sel_Channel),OR(sel_Customer="All",F1798=sel_Customer),OR(sel_Product="All",H1798=sel_Product),AND(S1798&gt;=m_From,S1798&lt;=m_To)),1,0)</f>
        <v/>
      </c>
      <c r="Z1798" s="36">
        <f>IF(AND(OR(sel_Region="All",C1798=sel_Region),OR(sel_Country="All",D1798=sel_Country),OR(sel_Channel="All",E1798=sel_Channel),OR(sel_Customer="All",F1798=sel_Customer),OR(sel_Category="All",G1798=sel_Category),AND(S1798&gt;=m_From,S1798&lt;=m_To)),1,0)</f>
        <v/>
      </c>
      <c r="AA1798" s="36">
        <f>IF(AND(OR(sel_Region="All",C1798=sel_Region),OR(sel_Country="All",D1798=sel_Country),OR(sel_Channel="All",E1798=sel_Channel),OR(sel_Customer="All",F1798=sel_Customer),OR(sel_Category="All",G1798=sel_Category),OR(sel_Product="All",H1798=sel_Product)),1,0)</f>
        <v/>
      </c>
    </row>
    <row r="1799">
      <c r="A1799" s="36" t="inlineStr">
        <is>
          <t>02629</t>
        </is>
      </c>
      <c r="B1799" s="44" t="n">
        <v>46265</v>
      </c>
      <c r="C1799" s="36" t="inlineStr">
        <is>
          <t>Western Europe</t>
        </is>
      </c>
      <c r="D1799" s="36" t="inlineStr">
        <is>
          <t>United Kingdom</t>
        </is>
      </c>
      <c r="E1799" s="36" t="inlineStr">
        <is>
          <t>Online Store</t>
        </is>
      </c>
      <c r="F1799" s="36" t="inlineStr">
        <is>
          <t>Returning</t>
        </is>
      </c>
      <c r="G1799" s="36" t="inlineStr">
        <is>
          <t>Cycling</t>
        </is>
      </c>
      <c r="H1799" s="36" t="inlineStr">
        <is>
          <t>Commuter Helmet</t>
        </is>
      </c>
      <c r="I1799" s="36" t="n">
        <v>1</v>
      </c>
      <c r="J1799" s="39" t="n">
        <v>81.72</v>
      </c>
      <c r="K1799" s="45" t="n">
        <v>0</v>
      </c>
      <c r="L1799" s="39" t="n">
        <v>42.38</v>
      </c>
      <c r="M1799" s="39">
        <f>I1799*J1799*(1-K1799)</f>
        <v/>
      </c>
      <c r="N1799" s="39">
        <f>I1799*L1799</f>
        <v/>
      </c>
      <c r="O1799" s="39">
        <f>M1799-N1799</f>
        <v/>
      </c>
      <c r="P1799" s="38">
        <f>IF(M1799=0,0,O1799/M1799)</f>
        <v/>
      </c>
      <c r="Q1799" s="36">
        <f>YEAR(B1799)</f>
        <v/>
      </c>
      <c r="R1799" s="36">
        <f>"Q"&amp;ROUNDUP(MONTH(B1799)/3,0)</f>
        <v/>
      </c>
      <c r="S1799" s="36">
        <f>MONTH(B1799)</f>
        <v/>
      </c>
      <c r="T1799" s="36">
        <f>TEXT(B1799,"mmm")</f>
        <v/>
      </c>
      <c r="U1799" s="36">
        <f>IF(AND(OR(sel_Region="All",C1799=sel_Region),OR(sel_Country="All",D1799=sel_Country),OR(sel_Channel="All",E1799=sel_Channel),OR(sel_Customer="All",F1799=sel_Customer),OR(sel_Category="All",G1799=sel_Category),OR(sel_Product="All",H1799=sel_Product),AND(S1799&gt;=m_From,S1799&lt;=m_To)),1,0)</f>
        <v/>
      </c>
      <c r="V1799" s="36">
        <f>IF(AND(OR(sel_Region="All",C1799=sel_Region),OR(sel_Channel="All",E1799=sel_Channel),OR(sel_Customer="All",F1799=sel_Customer),OR(sel_Category="All",G1799=sel_Category),OR(sel_Product="All",H1799=sel_Product),AND(S1799&gt;=m_From,S1799&lt;=m_To)),1,0)</f>
        <v/>
      </c>
      <c r="W1799" s="36">
        <f>IF(AND(OR(sel_Region="All",C1799=sel_Region),OR(sel_Country="All",D1799=sel_Country),OR(sel_Customer="All",F1799=sel_Customer),OR(sel_Category="All",G1799=sel_Category),OR(sel_Product="All",H1799=sel_Product),AND(S1799&gt;=m_From,S1799&lt;=m_To)),1,0)</f>
        <v/>
      </c>
      <c r="X1799" s="36">
        <f>IF(AND(OR(sel_Region="All",C1799=sel_Region),OR(sel_Country="All",D1799=sel_Country),OR(sel_Channel="All",E1799=sel_Channel),OR(sel_Category="All",G1799=sel_Category),OR(sel_Product="All",H1799=sel_Product),AND(S1799&gt;=m_From,S1799&lt;=m_To)),1,0)</f>
        <v/>
      </c>
      <c r="Y1799" s="36">
        <f>IF(AND(OR(sel_Region="All",C1799=sel_Region),OR(sel_Country="All",D1799=sel_Country),OR(sel_Channel="All",E1799=sel_Channel),OR(sel_Customer="All",F1799=sel_Customer),OR(sel_Product="All",H1799=sel_Product),AND(S1799&gt;=m_From,S1799&lt;=m_To)),1,0)</f>
        <v/>
      </c>
      <c r="Z1799" s="36">
        <f>IF(AND(OR(sel_Region="All",C1799=sel_Region),OR(sel_Country="All",D1799=sel_Country),OR(sel_Channel="All",E1799=sel_Channel),OR(sel_Customer="All",F1799=sel_Customer),OR(sel_Category="All",G1799=sel_Category),AND(S1799&gt;=m_From,S1799&lt;=m_To)),1,0)</f>
        <v/>
      </c>
      <c r="AA1799" s="36">
        <f>IF(AND(OR(sel_Region="All",C1799=sel_Region),OR(sel_Country="All",D1799=sel_Country),OR(sel_Channel="All",E1799=sel_Channel),OR(sel_Customer="All",F1799=sel_Customer),OR(sel_Category="All",G1799=sel_Category),OR(sel_Product="All",H1799=sel_Product)),1,0)</f>
        <v/>
      </c>
    </row>
    <row r="1800">
      <c r="A1800" s="36" t="inlineStr">
        <is>
          <t>02870</t>
        </is>
      </c>
      <c r="B1800" s="44" t="n">
        <v>46265</v>
      </c>
      <c r="C1800" s="36" t="inlineStr">
        <is>
          <t>Western Europe</t>
        </is>
      </c>
      <c r="D1800" s="36" t="inlineStr">
        <is>
          <t>Netherlands</t>
        </is>
      </c>
      <c r="E1800" s="36" t="inlineStr">
        <is>
          <t>Online Store</t>
        </is>
      </c>
      <c r="F1800" s="36" t="inlineStr">
        <is>
          <t>New</t>
        </is>
      </c>
      <c r="G1800" s="36" t="inlineStr">
        <is>
          <t>Travel</t>
        </is>
      </c>
      <c r="H1800" s="36" t="inlineStr">
        <is>
          <t>Packing Cube Set</t>
        </is>
      </c>
      <c r="I1800" s="36" t="n">
        <v>1</v>
      </c>
      <c r="J1800" s="39" t="n">
        <v>45.84</v>
      </c>
      <c r="K1800" s="45" t="n">
        <v>0</v>
      </c>
      <c r="L1800" s="39" t="n">
        <v>17.84</v>
      </c>
      <c r="M1800" s="39">
        <f>I1800*J1800*(1-K1800)</f>
        <v/>
      </c>
      <c r="N1800" s="39">
        <f>I1800*L1800</f>
        <v/>
      </c>
      <c r="O1800" s="39">
        <f>M1800-N1800</f>
        <v/>
      </c>
      <c r="P1800" s="38">
        <f>IF(M1800=0,0,O1800/M1800)</f>
        <v/>
      </c>
      <c r="Q1800" s="36">
        <f>YEAR(B1800)</f>
        <v/>
      </c>
      <c r="R1800" s="36">
        <f>"Q"&amp;ROUNDUP(MONTH(B1800)/3,0)</f>
        <v/>
      </c>
      <c r="S1800" s="36">
        <f>MONTH(B1800)</f>
        <v/>
      </c>
      <c r="T1800" s="36">
        <f>TEXT(B1800,"mmm")</f>
        <v/>
      </c>
      <c r="U1800" s="36">
        <f>IF(AND(OR(sel_Region="All",C1800=sel_Region),OR(sel_Country="All",D1800=sel_Country),OR(sel_Channel="All",E1800=sel_Channel),OR(sel_Customer="All",F1800=sel_Customer),OR(sel_Category="All",G1800=sel_Category),OR(sel_Product="All",H1800=sel_Product),AND(S1800&gt;=m_From,S1800&lt;=m_To)),1,0)</f>
        <v/>
      </c>
      <c r="V1800" s="36">
        <f>IF(AND(OR(sel_Region="All",C1800=sel_Region),OR(sel_Channel="All",E1800=sel_Channel),OR(sel_Customer="All",F1800=sel_Customer),OR(sel_Category="All",G1800=sel_Category),OR(sel_Product="All",H1800=sel_Product),AND(S1800&gt;=m_From,S1800&lt;=m_To)),1,0)</f>
        <v/>
      </c>
      <c r="W1800" s="36">
        <f>IF(AND(OR(sel_Region="All",C1800=sel_Region),OR(sel_Country="All",D1800=sel_Country),OR(sel_Customer="All",F1800=sel_Customer),OR(sel_Category="All",G1800=sel_Category),OR(sel_Product="All",H1800=sel_Product),AND(S1800&gt;=m_From,S1800&lt;=m_To)),1,0)</f>
        <v/>
      </c>
      <c r="X1800" s="36">
        <f>IF(AND(OR(sel_Region="All",C1800=sel_Region),OR(sel_Country="All",D1800=sel_Country),OR(sel_Channel="All",E1800=sel_Channel),OR(sel_Category="All",G1800=sel_Category),OR(sel_Product="All",H1800=sel_Product),AND(S1800&gt;=m_From,S1800&lt;=m_To)),1,0)</f>
        <v/>
      </c>
      <c r="Y1800" s="36">
        <f>IF(AND(OR(sel_Region="All",C1800=sel_Region),OR(sel_Country="All",D1800=sel_Country),OR(sel_Channel="All",E1800=sel_Channel),OR(sel_Customer="All",F1800=sel_Customer),OR(sel_Product="All",H1800=sel_Product),AND(S1800&gt;=m_From,S1800&lt;=m_To)),1,0)</f>
        <v/>
      </c>
      <c r="Z1800" s="36">
        <f>IF(AND(OR(sel_Region="All",C1800=sel_Region),OR(sel_Country="All",D1800=sel_Country),OR(sel_Channel="All",E1800=sel_Channel),OR(sel_Customer="All",F1800=sel_Customer),OR(sel_Category="All",G1800=sel_Category),AND(S1800&gt;=m_From,S1800&lt;=m_To)),1,0)</f>
        <v/>
      </c>
      <c r="AA1800" s="36">
        <f>IF(AND(OR(sel_Region="All",C1800=sel_Region),OR(sel_Country="All",D1800=sel_Country),OR(sel_Channel="All",E1800=sel_Channel),OR(sel_Customer="All",F1800=sel_Customer),OR(sel_Category="All",G1800=sel_Category),OR(sel_Product="All",H1800=sel_Product)),1,0)</f>
        <v/>
      </c>
    </row>
    <row r="1801">
      <c r="A1801" s="36" t="inlineStr">
        <is>
          <t>02975</t>
        </is>
      </c>
      <c r="B1801" s="44" t="n">
        <v>46265</v>
      </c>
      <c r="C1801" s="36" t="inlineStr">
        <is>
          <t>Central Europe</t>
        </is>
      </c>
      <c r="D1801" s="36" t="inlineStr">
        <is>
          <t>Germany</t>
        </is>
      </c>
      <c r="E1801" s="36" t="inlineStr">
        <is>
          <t>Online Store</t>
        </is>
      </c>
      <c r="F1801" s="36" t="inlineStr">
        <is>
          <t>New</t>
        </is>
      </c>
      <c r="G1801" s="36" t="inlineStr">
        <is>
          <t>Travel</t>
        </is>
      </c>
      <c r="H1801" s="36" t="inlineStr">
        <is>
          <t>Packing Cube Set</t>
        </is>
      </c>
      <c r="I1801" s="36" t="n">
        <v>1</v>
      </c>
      <c r="J1801" s="39" t="n">
        <v>46.59</v>
      </c>
      <c r="K1801" s="45" t="n">
        <v>0</v>
      </c>
      <c r="L1801" s="39" t="n">
        <v>18.47</v>
      </c>
      <c r="M1801" s="39">
        <f>I1801*J1801*(1-K1801)</f>
        <v/>
      </c>
      <c r="N1801" s="39">
        <f>I1801*L1801</f>
        <v/>
      </c>
      <c r="O1801" s="39">
        <f>M1801-N1801</f>
        <v/>
      </c>
      <c r="P1801" s="38">
        <f>IF(M1801=0,0,O1801/M1801)</f>
        <v/>
      </c>
      <c r="Q1801" s="36">
        <f>YEAR(B1801)</f>
        <v/>
      </c>
      <c r="R1801" s="36">
        <f>"Q"&amp;ROUNDUP(MONTH(B1801)/3,0)</f>
        <v/>
      </c>
      <c r="S1801" s="36">
        <f>MONTH(B1801)</f>
        <v/>
      </c>
      <c r="T1801" s="36">
        <f>TEXT(B1801,"mmm")</f>
        <v/>
      </c>
      <c r="U1801" s="36">
        <f>IF(AND(OR(sel_Region="All",C1801=sel_Region),OR(sel_Country="All",D1801=sel_Country),OR(sel_Channel="All",E1801=sel_Channel),OR(sel_Customer="All",F1801=sel_Customer),OR(sel_Category="All",G1801=sel_Category),OR(sel_Product="All",H1801=sel_Product),AND(S1801&gt;=m_From,S1801&lt;=m_To)),1,0)</f>
        <v/>
      </c>
      <c r="V1801" s="36">
        <f>IF(AND(OR(sel_Region="All",C1801=sel_Region),OR(sel_Channel="All",E1801=sel_Channel),OR(sel_Customer="All",F1801=sel_Customer),OR(sel_Category="All",G1801=sel_Category),OR(sel_Product="All",H1801=sel_Product),AND(S1801&gt;=m_From,S1801&lt;=m_To)),1,0)</f>
        <v/>
      </c>
      <c r="W1801" s="36">
        <f>IF(AND(OR(sel_Region="All",C1801=sel_Region),OR(sel_Country="All",D1801=sel_Country),OR(sel_Customer="All",F1801=sel_Customer),OR(sel_Category="All",G1801=sel_Category),OR(sel_Product="All",H1801=sel_Product),AND(S1801&gt;=m_From,S1801&lt;=m_To)),1,0)</f>
        <v/>
      </c>
      <c r="X1801" s="36">
        <f>IF(AND(OR(sel_Region="All",C1801=sel_Region),OR(sel_Country="All",D1801=sel_Country),OR(sel_Channel="All",E1801=sel_Channel),OR(sel_Category="All",G1801=sel_Category),OR(sel_Product="All",H1801=sel_Product),AND(S1801&gt;=m_From,S1801&lt;=m_To)),1,0)</f>
        <v/>
      </c>
      <c r="Y1801" s="36">
        <f>IF(AND(OR(sel_Region="All",C1801=sel_Region),OR(sel_Country="All",D1801=sel_Country),OR(sel_Channel="All",E1801=sel_Channel),OR(sel_Customer="All",F1801=sel_Customer),OR(sel_Product="All",H1801=sel_Product),AND(S1801&gt;=m_From,S1801&lt;=m_To)),1,0)</f>
        <v/>
      </c>
      <c r="Z1801" s="36">
        <f>IF(AND(OR(sel_Region="All",C1801=sel_Region),OR(sel_Country="All",D1801=sel_Country),OR(sel_Channel="All",E1801=sel_Channel),OR(sel_Customer="All",F1801=sel_Customer),OR(sel_Category="All",G1801=sel_Category),AND(S1801&gt;=m_From,S1801&lt;=m_To)),1,0)</f>
        <v/>
      </c>
      <c r="AA1801" s="36">
        <f>IF(AND(OR(sel_Region="All",C1801=sel_Region),OR(sel_Country="All",D1801=sel_Country),OR(sel_Channel="All",E1801=sel_Channel),OR(sel_Customer="All",F1801=sel_Customer),OR(sel_Category="All",G1801=sel_Category),OR(sel_Product="All",H1801=sel_Product)),1,0)</f>
        <v/>
      </c>
    </row>
    <row r="1802">
      <c r="A1802" s="36" t="inlineStr">
        <is>
          <t>03163</t>
        </is>
      </c>
      <c r="B1802" s="44" t="n">
        <v>46265</v>
      </c>
      <c r="C1802" s="36" t="inlineStr">
        <is>
          <t>Southern Europe</t>
        </is>
      </c>
      <c r="D1802" s="36" t="inlineStr">
        <is>
          <t>Italy</t>
        </is>
      </c>
      <c r="E1802" s="36" t="inlineStr">
        <is>
          <t>Retail Partners</t>
        </is>
      </c>
      <c r="F1802" s="36" t="inlineStr">
        <is>
          <t>Business</t>
        </is>
      </c>
      <c r="G1802" s="36" t="inlineStr">
        <is>
          <t>Hiking</t>
        </is>
      </c>
      <c r="H1802" s="36" t="inlineStr">
        <is>
          <t>Trekking Poles</t>
        </is>
      </c>
      <c r="I1802" s="36" t="n">
        <v>1</v>
      </c>
      <c r="J1802" s="39" t="n">
        <v>69.95999999999999</v>
      </c>
      <c r="K1802" s="45" t="n">
        <v>0</v>
      </c>
      <c r="L1802" s="39" t="n">
        <v>32.34</v>
      </c>
      <c r="M1802" s="39">
        <f>I1802*J1802*(1-K1802)</f>
        <v/>
      </c>
      <c r="N1802" s="39">
        <f>I1802*L1802</f>
        <v/>
      </c>
      <c r="O1802" s="39">
        <f>M1802-N1802</f>
        <v/>
      </c>
      <c r="P1802" s="38">
        <f>IF(M1802=0,0,O1802/M1802)</f>
        <v/>
      </c>
      <c r="Q1802" s="36">
        <f>YEAR(B1802)</f>
        <v/>
      </c>
      <c r="R1802" s="36">
        <f>"Q"&amp;ROUNDUP(MONTH(B1802)/3,0)</f>
        <v/>
      </c>
      <c r="S1802" s="36">
        <f>MONTH(B1802)</f>
        <v/>
      </c>
      <c r="T1802" s="36">
        <f>TEXT(B1802,"mmm")</f>
        <v/>
      </c>
      <c r="U1802" s="36">
        <f>IF(AND(OR(sel_Region="All",C1802=sel_Region),OR(sel_Country="All",D1802=sel_Country),OR(sel_Channel="All",E1802=sel_Channel),OR(sel_Customer="All",F1802=sel_Customer),OR(sel_Category="All",G1802=sel_Category),OR(sel_Product="All",H1802=sel_Product),AND(S1802&gt;=m_From,S1802&lt;=m_To)),1,0)</f>
        <v/>
      </c>
      <c r="V1802" s="36">
        <f>IF(AND(OR(sel_Region="All",C1802=sel_Region),OR(sel_Channel="All",E1802=sel_Channel),OR(sel_Customer="All",F1802=sel_Customer),OR(sel_Category="All",G1802=sel_Category),OR(sel_Product="All",H1802=sel_Product),AND(S1802&gt;=m_From,S1802&lt;=m_To)),1,0)</f>
        <v/>
      </c>
      <c r="W1802" s="36">
        <f>IF(AND(OR(sel_Region="All",C1802=sel_Region),OR(sel_Country="All",D1802=sel_Country),OR(sel_Customer="All",F1802=sel_Customer),OR(sel_Category="All",G1802=sel_Category),OR(sel_Product="All",H1802=sel_Product),AND(S1802&gt;=m_From,S1802&lt;=m_To)),1,0)</f>
        <v/>
      </c>
      <c r="X1802" s="36">
        <f>IF(AND(OR(sel_Region="All",C1802=sel_Region),OR(sel_Country="All",D1802=sel_Country),OR(sel_Channel="All",E1802=sel_Channel),OR(sel_Category="All",G1802=sel_Category),OR(sel_Product="All",H1802=sel_Product),AND(S1802&gt;=m_From,S1802&lt;=m_To)),1,0)</f>
        <v/>
      </c>
      <c r="Y1802" s="36">
        <f>IF(AND(OR(sel_Region="All",C1802=sel_Region),OR(sel_Country="All",D1802=sel_Country),OR(sel_Channel="All",E1802=sel_Channel),OR(sel_Customer="All",F1802=sel_Customer),OR(sel_Product="All",H1802=sel_Product),AND(S1802&gt;=m_From,S1802&lt;=m_To)),1,0)</f>
        <v/>
      </c>
      <c r="Z1802" s="36">
        <f>IF(AND(OR(sel_Region="All",C1802=sel_Region),OR(sel_Country="All",D1802=sel_Country),OR(sel_Channel="All",E1802=sel_Channel),OR(sel_Customer="All",F1802=sel_Customer),OR(sel_Category="All",G1802=sel_Category),AND(S1802&gt;=m_From,S1802&lt;=m_To)),1,0)</f>
        <v/>
      </c>
      <c r="AA1802" s="36">
        <f>IF(AND(OR(sel_Region="All",C1802=sel_Region),OR(sel_Country="All",D1802=sel_Country),OR(sel_Channel="All",E1802=sel_Channel),OR(sel_Customer="All",F1802=sel_Customer),OR(sel_Category="All",G1802=sel_Category),OR(sel_Product="All",H1802=sel_Product)),1,0)</f>
        <v/>
      </c>
    </row>
    <row r="1803">
      <c r="A1803" s="36" t="inlineStr">
        <is>
          <t>00094</t>
        </is>
      </c>
      <c r="B1803" s="44" t="n">
        <v>46266</v>
      </c>
      <c r="C1803" s="36" t="inlineStr">
        <is>
          <t>Central Europe</t>
        </is>
      </c>
      <c r="D1803" s="36" t="inlineStr">
        <is>
          <t>Austria</t>
        </is>
      </c>
      <c r="E1803" s="36" t="inlineStr">
        <is>
          <t>Retail Partners</t>
        </is>
      </c>
      <c r="F1803" s="36" t="inlineStr">
        <is>
          <t>Returning</t>
        </is>
      </c>
      <c r="G1803" s="36" t="inlineStr">
        <is>
          <t>Cycling</t>
        </is>
      </c>
      <c r="H1803" s="36" t="inlineStr">
        <is>
          <t>Trail Bike Light</t>
        </is>
      </c>
      <c r="I1803" s="36" t="n">
        <v>5</v>
      </c>
      <c r="J1803" s="39" t="n">
        <v>50.76</v>
      </c>
      <c r="K1803" s="45" t="n">
        <v>0</v>
      </c>
      <c r="L1803" s="39" t="n">
        <v>22.89</v>
      </c>
      <c r="M1803" s="39">
        <f>I1803*J1803*(1-K1803)</f>
        <v/>
      </c>
      <c r="N1803" s="39">
        <f>I1803*L1803</f>
        <v/>
      </c>
      <c r="O1803" s="39">
        <f>M1803-N1803</f>
        <v/>
      </c>
      <c r="P1803" s="38">
        <f>IF(M1803=0,0,O1803/M1803)</f>
        <v/>
      </c>
      <c r="Q1803" s="36">
        <f>YEAR(B1803)</f>
        <v/>
      </c>
      <c r="R1803" s="36">
        <f>"Q"&amp;ROUNDUP(MONTH(B1803)/3,0)</f>
        <v/>
      </c>
      <c r="S1803" s="36">
        <f>MONTH(B1803)</f>
        <v/>
      </c>
      <c r="T1803" s="36">
        <f>TEXT(B1803,"mmm")</f>
        <v/>
      </c>
      <c r="U1803" s="36">
        <f>IF(AND(OR(sel_Region="All",C1803=sel_Region),OR(sel_Country="All",D1803=sel_Country),OR(sel_Channel="All",E1803=sel_Channel),OR(sel_Customer="All",F1803=sel_Customer),OR(sel_Category="All",G1803=sel_Category),OR(sel_Product="All",H1803=sel_Product),AND(S1803&gt;=m_From,S1803&lt;=m_To)),1,0)</f>
        <v/>
      </c>
      <c r="V1803" s="36">
        <f>IF(AND(OR(sel_Region="All",C1803=sel_Region),OR(sel_Channel="All",E1803=sel_Channel),OR(sel_Customer="All",F1803=sel_Customer),OR(sel_Category="All",G1803=sel_Category),OR(sel_Product="All",H1803=sel_Product),AND(S1803&gt;=m_From,S1803&lt;=m_To)),1,0)</f>
        <v/>
      </c>
      <c r="W1803" s="36">
        <f>IF(AND(OR(sel_Region="All",C1803=sel_Region),OR(sel_Country="All",D1803=sel_Country),OR(sel_Customer="All",F1803=sel_Customer),OR(sel_Category="All",G1803=sel_Category),OR(sel_Product="All",H1803=sel_Product),AND(S1803&gt;=m_From,S1803&lt;=m_To)),1,0)</f>
        <v/>
      </c>
      <c r="X1803" s="36">
        <f>IF(AND(OR(sel_Region="All",C1803=sel_Region),OR(sel_Country="All",D1803=sel_Country),OR(sel_Channel="All",E1803=sel_Channel),OR(sel_Category="All",G1803=sel_Category),OR(sel_Product="All",H1803=sel_Product),AND(S1803&gt;=m_From,S1803&lt;=m_To)),1,0)</f>
        <v/>
      </c>
      <c r="Y1803" s="36">
        <f>IF(AND(OR(sel_Region="All",C1803=sel_Region),OR(sel_Country="All",D1803=sel_Country),OR(sel_Channel="All",E1803=sel_Channel),OR(sel_Customer="All",F1803=sel_Customer),OR(sel_Product="All",H1803=sel_Product),AND(S1803&gt;=m_From,S1803&lt;=m_To)),1,0)</f>
        <v/>
      </c>
      <c r="Z1803" s="36">
        <f>IF(AND(OR(sel_Region="All",C1803=sel_Region),OR(sel_Country="All",D1803=sel_Country),OR(sel_Channel="All",E1803=sel_Channel),OR(sel_Customer="All",F1803=sel_Customer),OR(sel_Category="All",G1803=sel_Category),AND(S1803&gt;=m_From,S1803&lt;=m_To)),1,0)</f>
        <v/>
      </c>
      <c r="AA1803" s="36">
        <f>IF(AND(OR(sel_Region="All",C1803=sel_Region),OR(sel_Country="All",D1803=sel_Country),OR(sel_Channel="All",E1803=sel_Channel),OR(sel_Customer="All",F1803=sel_Customer),OR(sel_Category="All",G1803=sel_Category),OR(sel_Product="All",H1803=sel_Product)),1,0)</f>
        <v/>
      </c>
    </row>
    <row r="1804">
      <c r="A1804" s="36" t="inlineStr">
        <is>
          <t>00271</t>
        </is>
      </c>
      <c r="B1804" s="44" t="n">
        <v>46266</v>
      </c>
      <c r="C1804" s="36" t="inlineStr">
        <is>
          <t>Central Europe</t>
        </is>
      </c>
      <c r="D1804" s="36" t="inlineStr">
        <is>
          <t>Germany</t>
        </is>
      </c>
      <c r="E1804" s="36" t="inlineStr">
        <is>
          <t>Marketplace</t>
        </is>
      </c>
      <c r="F1804" s="36" t="inlineStr">
        <is>
          <t>Returning</t>
        </is>
      </c>
      <c r="G1804" s="36" t="inlineStr">
        <is>
          <t>Hiking</t>
        </is>
      </c>
      <c r="H1804" s="36" t="inlineStr">
        <is>
          <t>Hiking Daypack 20L</t>
        </is>
      </c>
      <c r="I1804" s="36" t="n">
        <v>1</v>
      </c>
      <c r="J1804" s="39" t="n">
        <v>94.29000000000001</v>
      </c>
      <c r="K1804" s="45" t="n">
        <v>0.1</v>
      </c>
      <c r="L1804" s="39" t="n">
        <v>45.12</v>
      </c>
      <c r="M1804" s="39">
        <f>I1804*J1804*(1-K1804)</f>
        <v/>
      </c>
      <c r="N1804" s="39">
        <f>I1804*L1804</f>
        <v/>
      </c>
      <c r="O1804" s="39">
        <f>M1804-N1804</f>
        <v/>
      </c>
      <c r="P1804" s="38">
        <f>IF(M1804=0,0,O1804/M1804)</f>
        <v/>
      </c>
      <c r="Q1804" s="36">
        <f>YEAR(B1804)</f>
        <v/>
      </c>
      <c r="R1804" s="36">
        <f>"Q"&amp;ROUNDUP(MONTH(B1804)/3,0)</f>
        <v/>
      </c>
      <c r="S1804" s="36">
        <f>MONTH(B1804)</f>
        <v/>
      </c>
      <c r="T1804" s="36">
        <f>TEXT(B1804,"mmm")</f>
        <v/>
      </c>
      <c r="U1804" s="36">
        <f>IF(AND(OR(sel_Region="All",C1804=sel_Region),OR(sel_Country="All",D1804=sel_Country),OR(sel_Channel="All",E1804=sel_Channel),OR(sel_Customer="All",F1804=sel_Customer),OR(sel_Category="All",G1804=sel_Category),OR(sel_Product="All",H1804=sel_Product),AND(S1804&gt;=m_From,S1804&lt;=m_To)),1,0)</f>
        <v/>
      </c>
      <c r="V1804" s="36">
        <f>IF(AND(OR(sel_Region="All",C1804=sel_Region),OR(sel_Channel="All",E1804=sel_Channel),OR(sel_Customer="All",F1804=sel_Customer),OR(sel_Category="All",G1804=sel_Category),OR(sel_Product="All",H1804=sel_Product),AND(S1804&gt;=m_From,S1804&lt;=m_To)),1,0)</f>
        <v/>
      </c>
      <c r="W1804" s="36">
        <f>IF(AND(OR(sel_Region="All",C1804=sel_Region),OR(sel_Country="All",D1804=sel_Country),OR(sel_Customer="All",F1804=sel_Customer),OR(sel_Category="All",G1804=sel_Category),OR(sel_Product="All",H1804=sel_Product),AND(S1804&gt;=m_From,S1804&lt;=m_To)),1,0)</f>
        <v/>
      </c>
      <c r="X1804" s="36">
        <f>IF(AND(OR(sel_Region="All",C1804=sel_Region),OR(sel_Country="All",D1804=sel_Country),OR(sel_Channel="All",E1804=sel_Channel),OR(sel_Category="All",G1804=sel_Category),OR(sel_Product="All",H1804=sel_Product),AND(S1804&gt;=m_From,S1804&lt;=m_To)),1,0)</f>
        <v/>
      </c>
      <c r="Y1804" s="36">
        <f>IF(AND(OR(sel_Region="All",C1804=sel_Region),OR(sel_Country="All",D1804=sel_Country),OR(sel_Channel="All",E1804=sel_Channel),OR(sel_Customer="All",F1804=sel_Customer),OR(sel_Product="All",H1804=sel_Product),AND(S1804&gt;=m_From,S1804&lt;=m_To)),1,0)</f>
        <v/>
      </c>
      <c r="Z1804" s="36">
        <f>IF(AND(OR(sel_Region="All",C1804=sel_Region),OR(sel_Country="All",D1804=sel_Country),OR(sel_Channel="All",E1804=sel_Channel),OR(sel_Customer="All",F1804=sel_Customer),OR(sel_Category="All",G1804=sel_Category),AND(S1804&gt;=m_From,S1804&lt;=m_To)),1,0)</f>
        <v/>
      </c>
      <c r="AA1804" s="36">
        <f>IF(AND(OR(sel_Region="All",C1804=sel_Region),OR(sel_Country="All",D1804=sel_Country),OR(sel_Channel="All",E1804=sel_Channel),OR(sel_Customer="All",F1804=sel_Customer),OR(sel_Category="All",G1804=sel_Category),OR(sel_Product="All",H1804=sel_Product)),1,0)</f>
        <v/>
      </c>
    </row>
    <row r="1805">
      <c r="A1805" s="36" t="inlineStr">
        <is>
          <t>01481</t>
        </is>
      </c>
      <c r="B1805" s="44" t="n">
        <v>46266</v>
      </c>
      <c r="C1805" s="36" t="inlineStr">
        <is>
          <t>Central Europe</t>
        </is>
      </c>
      <c r="D1805" s="36" t="inlineStr">
        <is>
          <t>Germany</t>
        </is>
      </c>
      <c r="E1805" s="36" t="inlineStr">
        <is>
          <t>Corporate</t>
        </is>
      </c>
      <c r="F1805" s="36" t="inlineStr">
        <is>
          <t>Business</t>
        </is>
      </c>
      <c r="G1805" s="36" t="inlineStr">
        <is>
          <t>Cycling</t>
        </is>
      </c>
      <c r="H1805" s="36" t="inlineStr">
        <is>
          <t>Commuter Helmet</t>
        </is>
      </c>
      <c r="I1805" s="36" t="n">
        <v>6</v>
      </c>
      <c r="J1805" s="39" t="n">
        <v>81.43000000000001</v>
      </c>
      <c r="K1805" s="45" t="n">
        <v>0.05</v>
      </c>
      <c r="L1805" s="39" t="n">
        <v>42.24</v>
      </c>
      <c r="M1805" s="39">
        <f>I1805*J1805*(1-K1805)</f>
        <v/>
      </c>
      <c r="N1805" s="39">
        <f>I1805*L1805</f>
        <v/>
      </c>
      <c r="O1805" s="39">
        <f>M1805-N1805</f>
        <v/>
      </c>
      <c r="P1805" s="38">
        <f>IF(M1805=0,0,O1805/M1805)</f>
        <v/>
      </c>
      <c r="Q1805" s="36">
        <f>YEAR(B1805)</f>
        <v/>
      </c>
      <c r="R1805" s="36">
        <f>"Q"&amp;ROUNDUP(MONTH(B1805)/3,0)</f>
        <v/>
      </c>
      <c r="S1805" s="36">
        <f>MONTH(B1805)</f>
        <v/>
      </c>
      <c r="T1805" s="36">
        <f>TEXT(B1805,"mmm")</f>
        <v/>
      </c>
      <c r="U1805" s="36">
        <f>IF(AND(OR(sel_Region="All",C1805=sel_Region),OR(sel_Country="All",D1805=sel_Country),OR(sel_Channel="All",E1805=sel_Channel),OR(sel_Customer="All",F1805=sel_Customer),OR(sel_Category="All",G1805=sel_Category),OR(sel_Product="All",H1805=sel_Product),AND(S1805&gt;=m_From,S1805&lt;=m_To)),1,0)</f>
        <v/>
      </c>
      <c r="V1805" s="36">
        <f>IF(AND(OR(sel_Region="All",C1805=sel_Region),OR(sel_Channel="All",E1805=sel_Channel),OR(sel_Customer="All",F1805=sel_Customer),OR(sel_Category="All",G1805=sel_Category),OR(sel_Product="All",H1805=sel_Product),AND(S1805&gt;=m_From,S1805&lt;=m_To)),1,0)</f>
        <v/>
      </c>
      <c r="W1805" s="36">
        <f>IF(AND(OR(sel_Region="All",C1805=sel_Region),OR(sel_Country="All",D1805=sel_Country),OR(sel_Customer="All",F1805=sel_Customer),OR(sel_Category="All",G1805=sel_Category),OR(sel_Product="All",H1805=sel_Product),AND(S1805&gt;=m_From,S1805&lt;=m_To)),1,0)</f>
        <v/>
      </c>
      <c r="X1805" s="36">
        <f>IF(AND(OR(sel_Region="All",C1805=sel_Region),OR(sel_Country="All",D1805=sel_Country),OR(sel_Channel="All",E1805=sel_Channel),OR(sel_Category="All",G1805=sel_Category),OR(sel_Product="All",H1805=sel_Product),AND(S1805&gt;=m_From,S1805&lt;=m_To)),1,0)</f>
        <v/>
      </c>
      <c r="Y1805" s="36">
        <f>IF(AND(OR(sel_Region="All",C1805=sel_Region),OR(sel_Country="All",D1805=sel_Country),OR(sel_Channel="All",E1805=sel_Channel),OR(sel_Customer="All",F1805=sel_Customer),OR(sel_Product="All",H1805=sel_Product),AND(S1805&gt;=m_From,S1805&lt;=m_To)),1,0)</f>
        <v/>
      </c>
      <c r="Z1805" s="36">
        <f>IF(AND(OR(sel_Region="All",C1805=sel_Region),OR(sel_Country="All",D1805=sel_Country),OR(sel_Channel="All",E1805=sel_Channel),OR(sel_Customer="All",F1805=sel_Customer),OR(sel_Category="All",G1805=sel_Category),AND(S1805&gt;=m_From,S1805&lt;=m_To)),1,0)</f>
        <v/>
      </c>
      <c r="AA1805" s="36">
        <f>IF(AND(OR(sel_Region="All",C1805=sel_Region),OR(sel_Country="All",D1805=sel_Country),OR(sel_Channel="All",E1805=sel_Channel),OR(sel_Customer="All",F1805=sel_Customer),OR(sel_Category="All",G1805=sel_Category),OR(sel_Product="All",H1805=sel_Product)),1,0)</f>
        <v/>
      </c>
    </row>
    <row r="1806">
      <c r="A1806" s="36" t="inlineStr">
        <is>
          <t>01663</t>
        </is>
      </c>
      <c r="B1806" s="44" t="n">
        <v>46266</v>
      </c>
      <c r="C1806" s="36" t="inlineStr">
        <is>
          <t>Northern Europe</t>
        </is>
      </c>
      <c r="D1806" s="36" t="inlineStr">
        <is>
          <t>Denmark</t>
        </is>
      </c>
      <c r="E1806" s="36" t="inlineStr">
        <is>
          <t>Online Store</t>
        </is>
      </c>
      <c r="F1806" s="36" t="inlineStr">
        <is>
          <t>Returning</t>
        </is>
      </c>
      <c r="G1806" s="36" t="inlineStr">
        <is>
          <t>Travel</t>
        </is>
      </c>
      <c r="H1806" s="36" t="inlineStr">
        <is>
          <t>Packing Cube Set</t>
        </is>
      </c>
      <c r="I1806" s="36" t="n">
        <v>1</v>
      </c>
      <c r="J1806" s="39" t="n">
        <v>45.54</v>
      </c>
      <c r="K1806" s="45" t="n">
        <v>0.1</v>
      </c>
      <c r="L1806" s="39" t="n">
        <v>18.44</v>
      </c>
      <c r="M1806" s="39">
        <f>I1806*J1806*(1-K1806)</f>
        <v/>
      </c>
      <c r="N1806" s="39">
        <f>I1806*L1806</f>
        <v/>
      </c>
      <c r="O1806" s="39">
        <f>M1806-N1806</f>
        <v/>
      </c>
      <c r="P1806" s="38">
        <f>IF(M1806=0,0,O1806/M1806)</f>
        <v/>
      </c>
      <c r="Q1806" s="36">
        <f>YEAR(B1806)</f>
        <v/>
      </c>
      <c r="R1806" s="36">
        <f>"Q"&amp;ROUNDUP(MONTH(B1806)/3,0)</f>
        <v/>
      </c>
      <c r="S1806" s="36">
        <f>MONTH(B1806)</f>
        <v/>
      </c>
      <c r="T1806" s="36">
        <f>TEXT(B1806,"mmm")</f>
        <v/>
      </c>
      <c r="U1806" s="36">
        <f>IF(AND(OR(sel_Region="All",C1806=sel_Region),OR(sel_Country="All",D1806=sel_Country),OR(sel_Channel="All",E1806=sel_Channel),OR(sel_Customer="All",F1806=sel_Customer),OR(sel_Category="All",G1806=sel_Category),OR(sel_Product="All",H1806=sel_Product),AND(S1806&gt;=m_From,S1806&lt;=m_To)),1,0)</f>
        <v/>
      </c>
      <c r="V1806" s="36">
        <f>IF(AND(OR(sel_Region="All",C1806=sel_Region),OR(sel_Channel="All",E1806=sel_Channel),OR(sel_Customer="All",F1806=sel_Customer),OR(sel_Category="All",G1806=sel_Category),OR(sel_Product="All",H1806=sel_Product),AND(S1806&gt;=m_From,S1806&lt;=m_To)),1,0)</f>
        <v/>
      </c>
      <c r="W1806" s="36">
        <f>IF(AND(OR(sel_Region="All",C1806=sel_Region),OR(sel_Country="All",D1806=sel_Country),OR(sel_Customer="All",F1806=sel_Customer),OR(sel_Category="All",G1806=sel_Category),OR(sel_Product="All",H1806=sel_Product),AND(S1806&gt;=m_From,S1806&lt;=m_To)),1,0)</f>
        <v/>
      </c>
      <c r="X1806" s="36">
        <f>IF(AND(OR(sel_Region="All",C1806=sel_Region),OR(sel_Country="All",D1806=sel_Country),OR(sel_Channel="All",E1806=sel_Channel),OR(sel_Category="All",G1806=sel_Category),OR(sel_Product="All",H1806=sel_Product),AND(S1806&gt;=m_From,S1806&lt;=m_To)),1,0)</f>
        <v/>
      </c>
      <c r="Y1806" s="36">
        <f>IF(AND(OR(sel_Region="All",C1806=sel_Region),OR(sel_Country="All",D1806=sel_Country),OR(sel_Channel="All",E1806=sel_Channel),OR(sel_Customer="All",F1806=sel_Customer),OR(sel_Product="All",H1806=sel_Product),AND(S1806&gt;=m_From,S1806&lt;=m_To)),1,0)</f>
        <v/>
      </c>
      <c r="Z1806" s="36">
        <f>IF(AND(OR(sel_Region="All",C1806=sel_Region),OR(sel_Country="All",D1806=sel_Country),OR(sel_Channel="All",E1806=sel_Channel),OR(sel_Customer="All",F1806=sel_Customer),OR(sel_Category="All",G1806=sel_Category),AND(S1806&gt;=m_From,S1806&lt;=m_To)),1,0)</f>
        <v/>
      </c>
      <c r="AA1806" s="36">
        <f>IF(AND(OR(sel_Region="All",C1806=sel_Region),OR(sel_Country="All",D1806=sel_Country),OR(sel_Channel="All",E1806=sel_Channel),OR(sel_Customer="All",F1806=sel_Customer),OR(sel_Category="All",G1806=sel_Category),OR(sel_Product="All",H1806=sel_Product)),1,0)</f>
        <v/>
      </c>
    </row>
    <row r="1807">
      <c r="A1807" s="36" t="inlineStr">
        <is>
          <t>02866</t>
        </is>
      </c>
      <c r="B1807" s="44" t="n">
        <v>46266</v>
      </c>
      <c r="C1807" s="36" t="inlineStr">
        <is>
          <t>Southern Europe</t>
        </is>
      </c>
      <c r="D1807" s="36" t="inlineStr">
        <is>
          <t>Italy</t>
        </is>
      </c>
      <c r="E1807" s="36" t="inlineStr">
        <is>
          <t>Marketplace</t>
        </is>
      </c>
      <c r="F1807" s="36" t="inlineStr">
        <is>
          <t>Returning</t>
        </is>
      </c>
      <c r="G1807" s="36" t="inlineStr">
        <is>
          <t>Hiking</t>
        </is>
      </c>
      <c r="H1807" s="36" t="inlineStr">
        <is>
          <t>Summit Backpack 45L</t>
        </is>
      </c>
      <c r="I1807" s="36" t="n">
        <v>2</v>
      </c>
      <c r="J1807" s="39" t="n">
        <v>156.64</v>
      </c>
      <c r="K1807" s="45" t="n">
        <v>0.1</v>
      </c>
      <c r="L1807" s="39" t="n">
        <v>80.09</v>
      </c>
      <c r="M1807" s="39">
        <f>I1807*J1807*(1-K1807)</f>
        <v/>
      </c>
      <c r="N1807" s="39">
        <f>I1807*L1807</f>
        <v/>
      </c>
      <c r="O1807" s="39">
        <f>M1807-N1807</f>
        <v/>
      </c>
      <c r="P1807" s="38">
        <f>IF(M1807=0,0,O1807/M1807)</f>
        <v/>
      </c>
      <c r="Q1807" s="36">
        <f>YEAR(B1807)</f>
        <v/>
      </c>
      <c r="R1807" s="36">
        <f>"Q"&amp;ROUNDUP(MONTH(B1807)/3,0)</f>
        <v/>
      </c>
      <c r="S1807" s="36">
        <f>MONTH(B1807)</f>
        <v/>
      </c>
      <c r="T1807" s="36">
        <f>TEXT(B1807,"mmm")</f>
        <v/>
      </c>
      <c r="U1807" s="36">
        <f>IF(AND(OR(sel_Region="All",C1807=sel_Region),OR(sel_Country="All",D1807=sel_Country),OR(sel_Channel="All",E1807=sel_Channel),OR(sel_Customer="All",F1807=sel_Customer),OR(sel_Category="All",G1807=sel_Category),OR(sel_Product="All",H1807=sel_Product),AND(S1807&gt;=m_From,S1807&lt;=m_To)),1,0)</f>
        <v/>
      </c>
      <c r="V1807" s="36">
        <f>IF(AND(OR(sel_Region="All",C1807=sel_Region),OR(sel_Channel="All",E1807=sel_Channel),OR(sel_Customer="All",F1807=sel_Customer),OR(sel_Category="All",G1807=sel_Category),OR(sel_Product="All",H1807=sel_Product),AND(S1807&gt;=m_From,S1807&lt;=m_To)),1,0)</f>
        <v/>
      </c>
      <c r="W1807" s="36">
        <f>IF(AND(OR(sel_Region="All",C1807=sel_Region),OR(sel_Country="All",D1807=sel_Country),OR(sel_Customer="All",F1807=sel_Customer),OR(sel_Category="All",G1807=sel_Category),OR(sel_Product="All",H1807=sel_Product),AND(S1807&gt;=m_From,S1807&lt;=m_To)),1,0)</f>
        <v/>
      </c>
      <c r="X1807" s="36">
        <f>IF(AND(OR(sel_Region="All",C1807=sel_Region),OR(sel_Country="All",D1807=sel_Country),OR(sel_Channel="All",E1807=sel_Channel),OR(sel_Category="All",G1807=sel_Category),OR(sel_Product="All",H1807=sel_Product),AND(S1807&gt;=m_From,S1807&lt;=m_To)),1,0)</f>
        <v/>
      </c>
      <c r="Y1807" s="36">
        <f>IF(AND(OR(sel_Region="All",C1807=sel_Region),OR(sel_Country="All",D1807=sel_Country),OR(sel_Channel="All",E1807=sel_Channel),OR(sel_Customer="All",F1807=sel_Customer),OR(sel_Product="All",H1807=sel_Product),AND(S1807&gt;=m_From,S1807&lt;=m_To)),1,0)</f>
        <v/>
      </c>
      <c r="Z1807" s="36">
        <f>IF(AND(OR(sel_Region="All",C1807=sel_Region),OR(sel_Country="All",D1807=sel_Country),OR(sel_Channel="All",E1807=sel_Channel),OR(sel_Customer="All",F1807=sel_Customer),OR(sel_Category="All",G1807=sel_Category),AND(S1807&gt;=m_From,S1807&lt;=m_To)),1,0)</f>
        <v/>
      </c>
      <c r="AA1807" s="36">
        <f>IF(AND(OR(sel_Region="All",C1807=sel_Region),OR(sel_Country="All",D1807=sel_Country),OR(sel_Channel="All",E1807=sel_Channel),OR(sel_Customer="All",F1807=sel_Customer),OR(sel_Category="All",G1807=sel_Category),OR(sel_Product="All",H1807=sel_Product)),1,0)</f>
        <v/>
      </c>
    </row>
    <row r="1808">
      <c r="A1808" s="36" t="inlineStr">
        <is>
          <t>03288</t>
        </is>
      </c>
      <c r="B1808" s="44" t="n">
        <v>46266</v>
      </c>
      <c r="C1808" s="36" t="inlineStr">
        <is>
          <t>Western Europe</t>
        </is>
      </c>
      <c r="D1808" s="36" t="inlineStr">
        <is>
          <t>Netherlands</t>
        </is>
      </c>
      <c r="E1808" s="36" t="inlineStr">
        <is>
          <t>Marketplace</t>
        </is>
      </c>
      <c r="F1808" s="36" t="inlineStr">
        <is>
          <t>Business</t>
        </is>
      </c>
      <c r="G1808" s="36" t="inlineStr">
        <is>
          <t>Hiking</t>
        </is>
      </c>
      <c r="H1808" s="36" t="inlineStr">
        <is>
          <t>Trekking Poles</t>
        </is>
      </c>
      <c r="I1808" s="36" t="n">
        <v>1</v>
      </c>
      <c r="J1808" s="39" t="n">
        <v>72.81</v>
      </c>
      <c r="K1808" s="45" t="n">
        <v>0</v>
      </c>
      <c r="L1808" s="39" t="n">
        <v>32.3</v>
      </c>
      <c r="M1808" s="39">
        <f>I1808*J1808*(1-K1808)</f>
        <v/>
      </c>
      <c r="N1808" s="39">
        <f>I1808*L1808</f>
        <v/>
      </c>
      <c r="O1808" s="39">
        <f>M1808-N1808</f>
        <v/>
      </c>
      <c r="P1808" s="38">
        <f>IF(M1808=0,0,O1808/M1808)</f>
        <v/>
      </c>
      <c r="Q1808" s="36">
        <f>YEAR(B1808)</f>
        <v/>
      </c>
      <c r="R1808" s="36">
        <f>"Q"&amp;ROUNDUP(MONTH(B1808)/3,0)</f>
        <v/>
      </c>
      <c r="S1808" s="36">
        <f>MONTH(B1808)</f>
        <v/>
      </c>
      <c r="T1808" s="36">
        <f>TEXT(B1808,"mmm")</f>
        <v/>
      </c>
      <c r="U1808" s="36">
        <f>IF(AND(OR(sel_Region="All",C1808=sel_Region),OR(sel_Country="All",D1808=sel_Country),OR(sel_Channel="All",E1808=sel_Channel),OR(sel_Customer="All",F1808=sel_Customer),OR(sel_Category="All",G1808=sel_Category),OR(sel_Product="All",H1808=sel_Product),AND(S1808&gt;=m_From,S1808&lt;=m_To)),1,0)</f>
        <v/>
      </c>
      <c r="V1808" s="36">
        <f>IF(AND(OR(sel_Region="All",C1808=sel_Region),OR(sel_Channel="All",E1808=sel_Channel),OR(sel_Customer="All",F1808=sel_Customer),OR(sel_Category="All",G1808=sel_Category),OR(sel_Product="All",H1808=sel_Product),AND(S1808&gt;=m_From,S1808&lt;=m_To)),1,0)</f>
        <v/>
      </c>
      <c r="W1808" s="36">
        <f>IF(AND(OR(sel_Region="All",C1808=sel_Region),OR(sel_Country="All",D1808=sel_Country),OR(sel_Customer="All",F1808=sel_Customer),OR(sel_Category="All",G1808=sel_Category),OR(sel_Product="All",H1808=sel_Product),AND(S1808&gt;=m_From,S1808&lt;=m_To)),1,0)</f>
        <v/>
      </c>
      <c r="X1808" s="36">
        <f>IF(AND(OR(sel_Region="All",C1808=sel_Region),OR(sel_Country="All",D1808=sel_Country),OR(sel_Channel="All",E1808=sel_Channel),OR(sel_Category="All",G1808=sel_Category),OR(sel_Product="All",H1808=sel_Product),AND(S1808&gt;=m_From,S1808&lt;=m_To)),1,0)</f>
        <v/>
      </c>
      <c r="Y1808" s="36">
        <f>IF(AND(OR(sel_Region="All",C1808=sel_Region),OR(sel_Country="All",D1808=sel_Country),OR(sel_Channel="All",E1808=sel_Channel),OR(sel_Customer="All",F1808=sel_Customer),OR(sel_Product="All",H1808=sel_Product),AND(S1808&gt;=m_From,S1808&lt;=m_To)),1,0)</f>
        <v/>
      </c>
      <c r="Z1808" s="36">
        <f>IF(AND(OR(sel_Region="All",C1808=sel_Region),OR(sel_Country="All",D1808=sel_Country),OR(sel_Channel="All",E1808=sel_Channel),OR(sel_Customer="All",F1808=sel_Customer),OR(sel_Category="All",G1808=sel_Category),AND(S1808&gt;=m_From,S1808&lt;=m_To)),1,0)</f>
        <v/>
      </c>
      <c r="AA1808" s="36">
        <f>IF(AND(OR(sel_Region="All",C1808=sel_Region),OR(sel_Country="All",D1808=sel_Country),OR(sel_Channel="All",E1808=sel_Channel),OR(sel_Customer="All",F1808=sel_Customer),OR(sel_Category="All",G1808=sel_Category),OR(sel_Product="All",H1808=sel_Product)),1,0)</f>
        <v/>
      </c>
    </row>
    <row r="1809">
      <c r="A1809" s="36" t="inlineStr">
        <is>
          <t>03426</t>
        </is>
      </c>
      <c r="B1809" s="44" t="n">
        <v>46266</v>
      </c>
      <c r="C1809" s="36" t="inlineStr">
        <is>
          <t>Central Europe</t>
        </is>
      </c>
      <c r="D1809" s="36" t="inlineStr">
        <is>
          <t>Switzerland</t>
        </is>
      </c>
      <c r="E1809" s="36" t="inlineStr">
        <is>
          <t>Retail Partners</t>
        </is>
      </c>
      <c r="F1809" s="36" t="inlineStr">
        <is>
          <t>New</t>
        </is>
      </c>
      <c r="G1809" s="36" t="inlineStr">
        <is>
          <t>Camping</t>
        </is>
      </c>
      <c r="H1809" s="36" t="inlineStr">
        <is>
          <t>Portable Camp Stove</t>
        </is>
      </c>
      <c r="I1809" s="36" t="n">
        <v>6</v>
      </c>
      <c r="J1809" s="39" t="n">
        <v>80.31999999999999</v>
      </c>
      <c r="K1809" s="45" t="n">
        <v>0</v>
      </c>
      <c r="L1809" s="39" t="n">
        <v>38.42</v>
      </c>
      <c r="M1809" s="39">
        <f>I1809*J1809*(1-K1809)</f>
        <v/>
      </c>
      <c r="N1809" s="39">
        <f>I1809*L1809</f>
        <v/>
      </c>
      <c r="O1809" s="39">
        <f>M1809-N1809</f>
        <v/>
      </c>
      <c r="P1809" s="38">
        <f>IF(M1809=0,0,O1809/M1809)</f>
        <v/>
      </c>
      <c r="Q1809" s="36">
        <f>YEAR(B1809)</f>
        <v/>
      </c>
      <c r="R1809" s="36">
        <f>"Q"&amp;ROUNDUP(MONTH(B1809)/3,0)</f>
        <v/>
      </c>
      <c r="S1809" s="36">
        <f>MONTH(B1809)</f>
        <v/>
      </c>
      <c r="T1809" s="36">
        <f>TEXT(B1809,"mmm")</f>
        <v/>
      </c>
      <c r="U1809" s="36">
        <f>IF(AND(OR(sel_Region="All",C1809=sel_Region),OR(sel_Country="All",D1809=sel_Country),OR(sel_Channel="All",E1809=sel_Channel),OR(sel_Customer="All",F1809=sel_Customer),OR(sel_Category="All",G1809=sel_Category),OR(sel_Product="All",H1809=sel_Product),AND(S1809&gt;=m_From,S1809&lt;=m_To)),1,0)</f>
        <v/>
      </c>
      <c r="V1809" s="36">
        <f>IF(AND(OR(sel_Region="All",C1809=sel_Region),OR(sel_Channel="All",E1809=sel_Channel),OR(sel_Customer="All",F1809=sel_Customer),OR(sel_Category="All",G1809=sel_Category),OR(sel_Product="All",H1809=sel_Product),AND(S1809&gt;=m_From,S1809&lt;=m_To)),1,0)</f>
        <v/>
      </c>
      <c r="W1809" s="36">
        <f>IF(AND(OR(sel_Region="All",C1809=sel_Region),OR(sel_Country="All",D1809=sel_Country),OR(sel_Customer="All",F1809=sel_Customer),OR(sel_Category="All",G1809=sel_Category),OR(sel_Product="All",H1809=sel_Product),AND(S1809&gt;=m_From,S1809&lt;=m_To)),1,0)</f>
        <v/>
      </c>
      <c r="X1809" s="36">
        <f>IF(AND(OR(sel_Region="All",C1809=sel_Region),OR(sel_Country="All",D1809=sel_Country),OR(sel_Channel="All",E1809=sel_Channel),OR(sel_Category="All",G1809=sel_Category),OR(sel_Product="All",H1809=sel_Product),AND(S1809&gt;=m_From,S1809&lt;=m_To)),1,0)</f>
        <v/>
      </c>
      <c r="Y1809" s="36">
        <f>IF(AND(OR(sel_Region="All",C1809=sel_Region),OR(sel_Country="All",D1809=sel_Country),OR(sel_Channel="All",E1809=sel_Channel),OR(sel_Customer="All",F1809=sel_Customer),OR(sel_Product="All",H1809=sel_Product),AND(S1809&gt;=m_From,S1809&lt;=m_To)),1,0)</f>
        <v/>
      </c>
      <c r="Z1809" s="36">
        <f>IF(AND(OR(sel_Region="All",C1809=sel_Region),OR(sel_Country="All",D1809=sel_Country),OR(sel_Channel="All",E1809=sel_Channel),OR(sel_Customer="All",F1809=sel_Customer),OR(sel_Category="All",G1809=sel_Category),AND(S1809&gt;=m_From,S1809&lt;=m_To)),1,0)</f>
        <v/>
      </c>
      <c r="AA1809" s="36">
        <f>IF(AND(OR(sel_Region="All",C1809=sel_Region),OR(sel_Country="All",D1809=sel_Country),OR(sel_Channel="All",E1809=sel_Channel),OR(sel_Customer="All",F1809=sel_Customer),OR(sel_Category="All",G1809=sel_Category),OR(sel_Product="All",H1809=sel_Product)),1,0)</f>
        <v/>
      </c>
    </row>
    <row r="1810">
      <c r="A1810" s="36" t="inlineStr">
        <is>
          <t>04826</t>
        </is>
      </c>
      <c r="B1810" s="44" t="n">
        <v>46266</v>
      </c>
      <c r="C1810" s="36" t="inlineStr">
        <is>
          <t>Western Europe</t>
        </is>
      </c>
      <c r="D1810" s="36" t="inlineStr">
        <is>
          <t>France</t>
        </is>
      </c>
      <c r="E1810" s="36" t="inlineStr">
        <is>
          <t>Retail Partners</t>
        </is>
      </c>
      <c r="F1810" s="36" t="inlineStr">
        <is>
          <t>Returning</t>
        </is>
      </c>
      <c r="G1810" s="36" t="inlineStr">
        <is>
          <t>Travel</t>
        </is>
      </c>
      <c r="H1810" s="36" t="inlineStr">
        <is>
          <t>Travel Backpack 35L</t>
        </is>
      </c>
      <c r="I1810" s="36" t="n">
        <v>5</v>
      </c>
      <c r="J1810" s="39" t="n">
        <v>166.81</v>
      </c>
      <c r="K1810" s="45" t="n">
        <v>0.05</v>
      </c>
      <c r="L1810" s="39" t="n">
        <v>89.23999999999999</v>
      </c>
      <c r="M1810" s="39">
        <f>I1810*J1810*(1-K1810)</f>
        <v/>
      </c>
      <c r="N1810" s="39">
        <f>I1810*L1810</f>
        <v/>
      </c>
      <c r="O1810" s="39">
        <f>M1810-N1810</f>
        <v/>
      </c>
      <c r="P1810" s="38">
        <f>IF(M1810=0,0,O1810/M1810)</f>
        <v/>
      </c>
      <c r="Q1810" s="36">
        <f>YEAR(B1810)</f>
        <v/>
      </c>
      <c r="R1810" s="36">
        <f>"Q"&amp;ROUNDUP(MONTH(B1810)/3,0)</f>
        <v/>
      </c>
      <c r="S1810" s="36">
        <f>MONTH(B1810)</f>
        <v/>
      </c>
      <c r="T1810" s="36">
        <f>TEXT(B1810,"mmm")</f>
        <v/>
      </c>
      <c r="U1810" s="36">
        <f>IF(AND(OR(sel_Region="All",C1810=sel_Region),OR(sel_Country="All",D1810=sel_Country),OR(sel_Channel="All",E1810=sel_Channel),OR(sel_Customer="All",F1810=sel_Customer),OR(sel_Category="All",G1810=sel_Category),OR(sel_Product="All",H1810=sel_Product),AND(S1810&gt;=m_From,S1810&lt;=m_To)),1,0)</f>
        <v/>
      </c>
      <c r="V1810" s="36">
        <f>IF(AND(OR(sel_Region="All",C1810=sel_Region),OR(sel_Channel="All",E1810=sel_Channel),OR(sel_Customer="All",F1810=sel_Customer),OR(sel_Category="All",G1810=sel_Category),OR(sel_Product="All",H1810=sel_Product),AND(S1810&gt;=m_From,S1810&lt;=m_To)),1,0)</f>
        <v/>
      </c>
      <c r="W1810" s="36">
        <f>IF(AND(OR(sel_Region="All",C1810=sel_Region),OR(sel_Country="All",D1810=sel_Country),OR(sel_Customer="All",F1810=sel_Customer),OR(sel_Category="All",G1810=sel_Category),OR(sel_Product="All",H1810=sel_Product),AND(S1810&gt;=m_From,S1810&lt;=m_To)),1,0)</f>
        <v/>
      </c>
      <c r="X1810" s="36">
        <f>IF(AND(OR(sel_Region="All",C1810=sel_Region),OR(sel_Country="All",D1810=sel_Country),OR(sel_Channel="All",E1810=sel_Channel),OR(sel_Category="All",G1810=sel_Category),OR(sel_Product="All",H1810=sel_Product),AND(S1810&gt;=m_From,S1810&lt;=m_To)),1,0)</f>
        <v/>
      </c>
      <c r="Y1810" s="36">
        <f>IF(AND(OR(sel_Region="All",C1810=sel_Region),OR(sel_Country="All",D1810=sel_Country),OR(sel_Channel="All",E1810=sel_Channel),OR(sel_Customer="All",F1810=sel_Customer),OR(sel_Product="All",H1810=sel_Product),AND(S1810&gt;=m_From,S1810&lt;=m_To)),1,0)</f>
        <v/>
      </c>
      <c r="Z1810" s="36">
        <f>IF(AND(OR(sel_Region="All",C1810=sel_Region),OR(sel_Country="All",D1810=sel_Country),OR(sel_Channel="All",E1810=sel_Channel),OR(sel_Customer="All",F1810=sel_Customer),OR(sel_Category="All",G1810=sel_Category),AND(S1810&gt;=m_From,S1810&lt;=m_To)),1,0)</f>
        <v/>
      </c>
      <c r="AA1810" s="36">
        <f>IF(AND(OR(sel_Region="All",C1810=sel_Region),OR(sel_Country="All",D1810=sel_Country),OR(sel_Channel="All",E1810=sel_Channel),OR(sel_Customer="All",F1810=sel_Customer),OR(sel_Category="All",G1810=sel_Category),OR(sel_Product="All",H1810=sel_Product)),1,0)</f>
        <v/>
      </c>
    </row>
    <row r="1811">
      <c r="A1811" s="36" t="inlineStr">
        <is>
          <t>00662</t>
        </is>
      </c>
      <c r="B1811" s="44" t="n">
        <v>46267</v>
      </c>
      <c r="C1811" s="36" t="inlineStr">
        <is>
          <t>Western Europe</t>
        </is>
      </c>
      <c r="D1811" s="36" t="inlineStr">
        <is>
          <t>France</t>
        </is>
      </c>
      <c r="E1811" s="36" t="inlineStr">
        <is>
          <t>Online Store</t>
        </is>
      </c>
      <c r="F1811" s="36" t="inlineStr">
        <is>
          <t>New</t>
        </is>
      </c>
      <c r="G1811" s="36" t="inlineStr">
        <is>
          <t>Fitness</t>
        </is>
      </c>
      <c r="H1811" s="36" t="inlineStr">
        <is>
          <t>Resistance Band Set</t>
        </is>
      </c>
      <c r="I1811" s="36" t="n">
        <v>1</v>
      </c>
      <c r="J1811" s="39" t="n">
        <v>40.56</v>
      </c>
      <c r="K1811" s="45" t="n">
        <v>0.15</v>
      </c>
      <c r="L1811" s="39" t="n">
        <v>14.28</v>
      </c>
      <c r="M1811" s="39">
        <f>I1811*J1811*(1-K1811)</f>
        <v/>
      </c>
      <c r="N1811" s="39">
        <f>I1811*L1811</f>
        <v/>
      </c>
      <c r="O1811" s="39">
        <f>M1811-N1811</f>
        <v/>
      </c>
      <c r="P1811" s="38">
        <f>IF(M1811=0,0,O1811/M1811)</f>
        <v/>
      </c>
      <c r="Q1811" s="36">
        <f>YEAR(B1811)</f>
        <v/>
      </c>
      <c r="R1811" s="36">
        <f>"Q"&amp;ROUNDUP(MONTH(B1811)/3,0)</f>
        <v/>
      </c>
      <c r="S1811" s="36">
        <f>MONTH(B1811)</f>
        <v/>
      </c>
      <c r="T1811" s="36">
        <f>TEXT(B1811,"mmm")</f>
        <v/>
      </c>
      <c r="U1811" s="36">
        <f>IF(AND(OR(sel_Region="All",C1811=sel_Region),OR(sel_Country="All",D1811=sel_Country),OR(sel_Channel="All",E1811=sel_Channel),OR(sel_Customer="All",F1811=sel_Customer),OR(sel_Category="All",G1811=sel_Category),OR(sel_Product="All",H1811=sel_Product),AND(S1811&gt;=m_From,S1811&lt;=m_To)),1,0)</f>
        <v/>
      </c>
      <c r="V1811" s="36">
        <f>IF(AND(OR(sel_Region="All",C1811=sel_Region),OR(sel_Channel="All",E1811=sel_Channel),OR(sel_Customer="All",F1811=sel_Customer),OR(sel_Category="All",G1811=sel_Category),OR(sel_Product="All",H1811=sel_Product),AND(S1811&gt;=m_From,S1811&lt;=m_To)),1,0)</f>
        <v/>
      </c>
      <c r="W1811" s="36">
        <f>IF(AND(OR(sel_Region="All",C1811=sel_Region),OR(sel_Country="All",D1811=sel_Country),OR(sel_Customer="All",F1811=sel_Customer),OR(sel_Category="All",G1811=sel_Category),OR(sel_Product="All",H1811=sel_Product),AND(S1811&gt;=m_From,S1811&lt;=m_To)),1,0)</f>
        <v/>
      </c>
      <c r="X1811" s="36">
        <f>IF(AND(OR(sel_Region="All",C1811=sel_Region),OR(sel_Country="All",D1811=sel_Country),OR(sel_Channel="All",E1811=sel_Channel),OR(sel_Category="All",G1811=sel_Category),OR(sel_Product="All",H1811=sel_Product),AND(S1811&gt;=m_From,S1811&lt;=m_To)),1,0)</f>
        <v/>
      </c>
      <c r="Y1811" s="36">
        <f>IF(AND(OR(sel_Region="All",C1811=sel_Region),OR(sel_Country="All",D1811=sel_Country),OR(sel_Channel="All",E1811=sel_Channel),OR(sel_Customer="All",F1811=sel_Customer),OR(sel_Product="All",H1811=sel_Product),AND(S1811&gt;=m_From,S1811&lt;=m_To)),1,0)</f>
        <v/>
      </c>
      <c r="Z1811" s="36">
        <f>IF(AND(OR(sel_Region="All",C1811=sel_Region),OR(sel_Country="All",D1811=sel_Country),OR(sel_Channel="All",E1811=sel_Channel),OR(sel_Customer="All",F1811=sel_Customer),OR(sel_Category="All",G1811=sel_Category),AND(S1811&gt;=m_From,S1811&lt;=m_To)),1,0)</f>
        <v/>
      </c>
      <c r="AA1811" s="36">
        <f>IF(AND(OR(sel_Region="All",C1811=sel_Region),OR(sel_Country="All",D1811=sel_Country),OR(sel_Channel="All",E1811=sel_Channel),OR(sel_Customer="All",F1811=sel_Customer),OR(sel_Category="All",G1811=sel_Category),OR(sel_Product="All",H1811=sel_Product)),1,0)</f>
        <v/>
      </c>
    </row>
    <row r="1812">
      <c r="A1812" s="36" t="inlineStr">
        <is>
          <t>01393</t>
        </is>
      </c>
      <c r="B1812" s="44" t="n">
        <v>46267</v>
      </c>
      <c r="C1812" s="36" t="inlineStr">
        <is>
          <t>Northern Europe</t>
        </is>
      </c>
      <c r="D1812" s="36" t="inlineStr">
        <is>
          <t>Norway</t>
        </is>
      </c>
      <c r="E1812" s="36" t="inlineStr">
        <is>
          <t>Online Store</t>
        </is>
      </c>
      <c r="F1812" s="36" t="inlineStr">
        <is>
          <t>Returning</t>
        </is>
      </c>
      <c r="G1812" s="36" t="inlineStr">
        <is>
          <t>Travel</t>
        </is>
      </c>
      <c r="H1812" s="36" t="inlineStr">
        <is>
          <t>Travel Backpack 35L</t>
        </is>
      </c>
      <c r="I1812" s="36" t="n">
        <v>2</v>
      </c>
      <c r="J1812" s="39" t="n">
        <v>162.4</v>
      </c>
      <c r="K1812" s="45" t="n">
        <v>0.1</v>
      </c>
      <c r="L1812" s="39" t="n">
        <v>88.04000000000001</v>
      </c>
      <c r="M1812" s="39">
        <f>I1812*J1812*(1-K1812)</f>
        <v/>
      </c>
      <c r="N1812" s="39">
        <f>I1812*L1812</f>
        <v/>
      </c>
      <c r="O1812" s="39">
        <f>M1812-N1812</f>
        <v/>
      </c>
      <c r="P1812" s="38">
        <f>IF(M1812=0,0,O1812/M1812)</f>
        <v/>
      </c>
      <c r="Q1812" s="36">
        <f>YEAR(B1812)</f>
        <v/>
      </c>
      <c r="R1812" s="36">
        <f>"Q"&amp;ROUNDUP(MONTH(B1812)/3,0)</f>
        <v/>
      </c>
      <c r="S1812" s="36">
        <f>MONTH(B1812)</f>
        <v/>
      </c>
      <c r="T1812" s="36">
        <f>TEXT(B1812,"mmm")</f>
        <v/>
      </c>
      <c r="U1812" s="36">
        <f>IF(AND(OR(sel_Region="All",C1812=sel_Region),OR(sel_Country="All",D1812=sel_Country),OR(sel_Channel="All",E1812=sel_Channel),OR(sel_Customer="All",F1812=sel_Customer),OR(sel_Category="All",G1812=sel_Category),OR(sel_Product="All",H1812=sel_Product),AND(S1812&gt;=m_From,S1812&lt;=m_To)),1,0)</f>
        <v/>
      </c>
      <c r="V1812" s="36">
        <f>IF(AND(OR(sel_Region="All",C1812=sel_Region),OR(sel_Channel="All",E1812=sel_Channel),OR(sel_Customer="All",F1812=sel_Customer),OR(sel_Category="All",G1812=sel_Category),OR(sel_Product="All",H1812=sel_Product),AND(S1812&gt;=m_From,S1812&lt;=m_To)),1,0)</f>
        <v/>
      </c>
      <c r="W1812" s="36">
        <f>IF(AND(OR(sel_Region="All",C1812=sel_Region),OR(sel_Country="All",D1812=sel_Country),OR(sel_Customer="All",F1812=sel_Customer),OR(sel_Category="All",G1812=sel_Category),OR(sel_Product="All",H1812=sel_Product),AND(S1812&gt;=m_From,S1812&lt;=m_To)),1,0)</f>
        <v/>
      </c>
      <c r="X1812" s="36">
        <f>IF(AND(OR(sel_Region="All",C1812=sel_Region),OR(sel_Country="All",D1812=sel_Country),OR(sel_Channel="All",E1812=sel_Channel),OR(sel_Category="All",G1812=sel_Category),OR(sel_Product="All",H1812=sel_Product),AND(S1812&gt;=m_From,S1812&lt;=m_To)),1,0)</f>
        <v/>
      </c>
      <c r="Y1812" s="36">
        <f>IF(AND(OR(sel_Region="All",C1812=sel_Region),OR(sel_Country="All",D1812=sel_Country),OR(sel_Channel="All",E1812=sel_Channel),OR(sel_Customer="All",F1812=sel_Customer),OR(sel_Product="All",H1812=sel_Product),AND(S1812&gt;=m_From,S1812&lt;=m_To)),1,0)</f>
        <v/>
      </c>
      <c r="Z1812" s="36">
        <f>IF(AND(OR(sel_Region="All",C1812=sel_Region),OR(sel_Country="All",D1812=sel_Country),OR(sel_Channel="All",E1812=sel_Channel),OR(sel_Customer="All",F1812=sel_Customer),OR(sel_Category="All",G1812=sel_Category),AND(S1812&gt;=m_From,S1812&lt;=m_To)),1,0)</f>
        <v/>
      </c>
      <c r="AA1812" s="36">
        <f>IF(AND(OR(sel_Region="All",C1812=sel_Region),OR(sel_Country="All",D1812=sel_Country),OR(sel_Channel="All",E1812=sel_Channel),OR(sel_Customer="All",F1812=sel_Customer),OR(sel_Category="All",G1812=sel_Category),OR(sel_Product="All",H1812=sel_Product)),1,0)</f>
        <v/>
      </c>
    </row>
    <row r="1813">
      <c r="A1813" s="36" t="inlineStr">
        <is>
          <t>01568</t>
        </is>
      </c>
      <c r="B1813" s="44" t="n">
        <v>46267</v>
      </c>
      <c r="C1813" s="36" t="inlineStr">
        <is>
          <t>Southern Europe</t>
        </is>
      </c>
      <c r="D1813" s="36" t="inlineStr">
        <is>
          <t>Italy</t>
        </is>
      </c>
      <c r="E1813" s="36" t="inlineStr">
        <is>
          <t>Retail Partners</t>
        </is>
      </c>
      <c r="F1813" s="36" t="inlineStr">
        <is>
          <t>Returning</t>
        </is>
      </c>
      <c r="G1813" s="36" t="inlineStr">
        <is>
          <t>Fitness</t>
        </is>
      </c>
      <c r="H1813" s="36" t="inlineStr">
        <is>
          <t>Weighted Vest</t>
        </is>
      </c>
      <c r="I1813" s="36" t="n">
        <v>5</v>
      </c>
      <c r="J1813" s="39" t="n">
        <v>123.09</v>
      </c>
      <c r="K1813" s="45" t="n">
        <v>0</v>
      </c>
      <c r="L1813" s="39" t="n">
        <v>70.3</v>
      </c>
      <c r="M1813" s="39">
        <f>I1813*J1813*(1-K1813)</f>
        <v/>
      </c>
      <c r="N1813" s="39">
        <f>I1813*L1813</f>
        <v/>
      </c>
      <c r="O1813" s="39">
        <f>M1813-N1813</f>
        <v/>
      </c>
      <c r="P1813" s="38">
        <f>IF(M1813=0,0,O1813/M1813)</f>
        <v/>
      </c>
      <c r="Q1813" s="36">
        <f>YEAR(B1813)</f>
        <v/>
      </c>
      <c r="R1813" s="36">
        <f>"Q"&amp;ROUNDUP(MONTH(B1813)/3,0)</f>
        <v/>
      </c>
      <c r="S1813" s="36">
        <f>MONTH(B1813)</f>
        <v/>
      </c>
      <c r="T1813" s="36">
        <f>TEXT(B1813,"mmm")</f>
        <v/>
      </c>
      <c r="U1813" s="36">
        <f>IF(AND(OR(sel_Region="All",C1813=sel_Region),OR(sel_Country="All",D1813=sel_Country),OR(sel_Channel="All",E1813=sel_Channel),OR(sel_Customer="All",F1813=sel_Customer),OR(sel_Category="All",G1813=sel_Category),OR(sel_Product="All",H1813=sel_Product),AND(S1813&gt;=m_From,S1813&lt;=m_To)),1,0)</f>
        <v/>
      </c>
      <c r="V1813" s="36">
        <f>IF(AND(OR(sel_Region="All",C1813=sel_Region),OR(sel_Channel="All",E1813=sel_Channel),OR(sel_Customer="All",F1813=sel_Customer),OR(sel_Category="All",G1813=sel_Category),OR(sel_Product="All",H1813=sel_Product),AND(S1813&gt;=m_From,S1813&lt;=m_To)),1,0)</f>
        <v/>
      </c>
      <c r="W1813" s="36">
        <f>IF(AND(OR(sel_Region="All",C1813=sel_Region),OR(sel_Country="All",D1813=sel_Country),OR(sel_Customer="All",F1813=sel_Customer),OR(sel_Category="All",G1813=sel_Category),OR(sel_Product="All",H1813=sel_Product),AND(S1813&gt;=m_From,S1813&lt;=m_To)),1,0)</f>
        <v/>
      </c>
      <c r="X1813" s="36">
        <f>IF(AND(OR(sel_Region="All",C1813=sel_Region),OR(sel_Country="All",D1813=sel_Country),OR(sel_Channel="All",E1813=sel_Channel),OR(sel_Category="All",G1813=sel_Category),OR(sel_Product="All",H1813=sel_Product),AND(S1813&gt;=m_From,S1813&lt;=m_To)),1,0)</f>
        <v/>
      </c>
      <c r="Y1813" s="36">
        <f>IF(AND(OR(sel_Region="All",C1813=sel_Region),OR(sel_Country="All",D1813=sel_Country),OR(sel_Channel="All",E1813=sel_Channel),OR(sel_Customer="All",F1813=sel_Customer),OR(sel_Product="All",H1813=sel_Product),AND(S1813&gt;=m_From,S1813&lt;=m_To)),1,0)</f>
        <v/>
      </c>
      <c r="Z1813" s="36">
        <f>IF(AND(OR(sel_Region="All",C1813=sel_Region),OR(sel_Country="All",D1813=sel_Country),OR(sel_Channel="All",E1813=sel_Channel),OR(sel_Customer="All",F1813=sel_Customer),OR(sel_Category="All",G1813=sel_Category),AND(S1813&gt;=m_From,S1813&lt;=m_To)),1,0)</f>
        <v/>
      </c>
      <c r="AA1813" s="36">
        <f>IF(AND(OR(sel_Region="All",C1813=sel_Region),OR(sel_Country="All",D1813=sel_Country),OR(sel_Channel="All",E1813=sel_Channel),OR(sel_Customer="All",F1813=sel_Customer),OR(sel_Category="All",G1813=sel_Category),OR(sel_Product="All",H1813=sel_Product)),1,0)</f>
        <v/>
      </c>
    </row>
    <row r="1814">
      <c r="A1814" s="36" t="inlineStr">
        <is>
          <t>02428</t>
        </is>
      </c>
      <c r="B1814" s="44" t="n">
        <v>46267</v>
      </c>
      <c r="C1814" s="36" t="inlineStr">
        <is>
          <t>Central Europe</t>
        </is>
      </c>
      <c r="D1814" s="36" t="inlineStr">
        <is>
          <t>Austria</t>
        </is>
      </c>
      <c r="E1814" s="36" t="inlineStr">
        <is>
          <t>Marketplace</t>
        </is>
      </c>
      <c r="F1814" s="36" t="inlineStr">
        <is>
          <t>New</t>
        </is>
      </c>
      <c r="G1814" s="36" t="inlineStr">
        <is>
          <t>Travel</t>
        </is>
      </c>
      <c r="H1814" s="36" t="inlineStr">
        <is>
          <t>Insulated Bottle</t>
        </is>
      </c>
      <c r="I1814" s="36" t="n">
        <v>1</v>
      </c>
      <c r="J1814" s="39" t="n">
        <v>36.69</v>
      </c>
      <c r="K1814" s="45" t="n">
        <v>0</v>
      </c>
      <c r="L1814" s="39" t="n">
        <v>13.92</v>
      </c>
      <c r="M1814" s="39">
        <f>I1814*J1814*(1-K1814)</f>
        <v/>
      </c>
      <c r="N1814" s="39">
        <f>I1814*L1814</f>
        <v/>
      </c>
      <c r="O1814" s="39">
        <f>M1814-N1814</f>
        <v/>
      </c>
      <c r="P1814" s="38">
        <f>IF(M1814=0,0,O1814/M1814)</f>
        <v/>
      </c>
      <c r="Q1814" s="36">
        <f>YEAR(B1814)</f>
        <v/>
      </c>
      <c r="R1814" s="36">
        <f>"Q"&amp;ROUNDUP(MONTH(B1814)/3,0)</f>
        <v/>
      </c>
      <c r="S1814" s="36">
        <f>MONTH(B1814)</f>
        <v/>
      </c>
      <c r="T1814" s="36">
        <f>TEXT(B1814,"mmm")</f>
        <v/>
      </c>
      <c r="U1814" s="36">
        <f>IF(AND(OR(sel_Region="All",C1814=sel_Region),OR(sel_Country="All",D1814=sel_Country),OR(sel_Channel="All",E1814=sel_Channel),OR(sel_Customer="All",F1814=sel_Customer),OR(sel_Category="All",G1814=sel_Category),OR(sel_Product="All",H1814=sel_Product),AND(S1814&gt;=m_From,S1814&lt;=m_To)),1,0)</f>
        <v/>
      </c>
      <c r="V1814" s="36">
        <f>IF(AND(OR(sel_Region="All",C1814=sel_Region),OR(sel_Channel="All",E1814=sel_Channel),OR(sel_Customer="All",F1814=sel_Customer),OR(sel_Category="All",G1814=sel_Category),OR(sel_Product="All",H1814=sel_Product),AND(S1814&gt;=m_From,S1814&lt;=m_To)),1,0)</f>
        <v/>
      </c>
      <c r="W1814" s="36">
        <f>IF(AND(OR(sel_Region="All",C1814=sel_Region),OR(sel_Country="All",D1814=sel_Country),OR(sel_Customer="All",F1814=sel_Customer),OR(sel_Category="All",G1814=sel_Category),OR(sel_Product="All",H1814=sel_Product),AND(S1814&gt;=m_From,S1814&lt;=m_To)),1,0)</f>
        <v/>
      </c>
      <c r="X1814" s="36">
        <f>IF(AND(OR(sel_Region="All",C1814=sel_Region),OR(sel_Country="All",D1814=sel_Country),OR(sel_Channel="All",E1814=sel_Channel),OR(sel_Category="All",G1814=sel_Category),OR(sel_Product="All",H1814=sel_Product),AND(S1814&gt;=m_From,S1814&lt;=m_To)),1,0)</f>
        <v/>
      </c>
      <c r="Y1814" s="36">
        <f>IF(AND(OR(sel_Region="All",C1814=sel_Region),OR(sel_Country="All",D1814=sel_Country),OR(sel_Channel="All",E1814=sel_Channel),OR(sel_Customer="All",F1814=sel_Customer),OR(sel_Product="All",H1814=sel_Product),AND(S1814&gt;=m_From,S1814&lt;=m_To)),1,0)</f>
        <v/>
      </c>
      <c r="Z1814" s="36">
        <f>IF(AND(OR(sel_Region="All",C1814=sel_Region),OR(sel_Country="All",D1814=sel_Country),OR(sel_Channel="All",E1814=sel_Channel),OR(sel_Customer="All",F1814=sel_Customer),OR(sel_Category="All",G1814=sel_Category),AND(S1814&gt;=m_From,S1814&lt;=m_To)),1,0)</f>
        <v/>
      </c>
      <c r="AA1814" s="36">
        <f>IF(AND(OR(sel_Region="All",C1814=sel_Region),OR(sel_Country="All",D1814=sel_Country),OR(sel_Channel="All",E1814=sel_Channel),OR(sel_Customer="All",F1814=sel_Customer),OR(sel_Category="All",G1814=sel_Category),OR(sel_Product="All",H1814=sel_Product)),1,0)</f>
        <v/>
      </c>
    </row>
    <row r="1815">
      <c r="A1815" s="36" t="inlineStr">
        <is>
          <t>02890</t>
        </is>
      </c>
      <c r="B1815" s="44" t="n">
        <v>46267</v>
      </c>
      <c r="C1815" s="36" t="inlineStr">
        <is>
          <t>Northern Europe</t>
        </is>
      </c>
      <c r="D1815" s="36" t="inlineStr">
        <is>
          <t>Ireland</t>
        </is>
      </c>
      <c r="E1815" s="36" t="inlineStr">
        <is>
          <t>Online Store</t>
        </is>
      </c>
      <c r="F1815" s="36" t="inlineStr">
        <is>
          <t>Business</t>
        </is>
      </c>
      <c r="G1815" s="36" t="inlineStr">
        <is>
          <t>Travel</t>
        </is>
      </c>
      <c r="H1815" s="36" t="inlineStr">
        <is>
          <t>Carry-On Duffel</t>
        </is>
      </c>
      <c r="I1815" s="36" t="n">
        <v>4</v>
      </c>
      <c r="J1815" s="39" t="n">
        <v>130.43</v>
      </c>
      <c r="K1815" s="45" t="n">
        <v>0</v>
      </c>
      <c r="L1815" s="39" t="n">
        <v>66.84999999999999</v>
      </c>
      <c r="M1815" s="39">
        <f>I1815*J1815*(1-K1815)</f>
        <v/>
      </c>
      <c r="N1815" s="39">
        <f>I1815*L1815</f>
        <v/>
      </c>
      <c r="O1815" s="39">
        <f>M1815-N1815</f>
        <v/>
      </c>
      <c r="P1815" s="38">
        <f>IF(M1815=0,0,O1815/M1815)</f>
        <v/>
      </c>
      <c r="Q1815" s="36">
        <f>YEAR(B1815)</f>
        <v/>
      </c>
      <c r="R1815" s="36">
        <f>"Q"&amp;ROUNDUP(MONTH(B1815)/3,0)</f>
        <v/>
      </c>
      <c r="S1815" s="36">
        <f>MONTH(B1815)</f>
        <v/>
      </c>
      <c r="T1815" s="36">
        <f>TEXT(B1815,"mmm")</f>
        <v/>
      </c>
      <c r="U1815" s="36">
        <f>IF(AND(OR(sel_Region="All",C1815=sel_Region),OR(sel_Country="All",D1815=sel_Country),OR(sel_Channel="All",E1815=sel_Channel),OR(sel_Customer="All",F1815=sel_Customer),OR(sel_Category="All",G1815=sel_Category),OR(sel_Product="All",H1815=sel_Product),AND(S1815&gt;=m_From,S1815&lt;=m_To)),1,0)</f>
        <v/>
      </c>
      <c r="V1815" s="36">
        <f>IF(AND(OR(sel_Region="All",C1815=sel_Region),OR(sel_Channel="All",E1815=sel_Channel),OR(sel_Customer="All",F1815=sel_Customer),OR(sel_Category="All",G1815=sel_Category),OR(sel_Product="All",H1815=sel_Product),AND(S1815&gt;=m_From,S1815&lt;=m_To)),1,0)</f>
        <v/>
      </c>
      <c r="W1815" s="36">
        <f>IF(AND(OR(sel_Region="All",C1815=sel_Region),OR(sel_Country="All",D1815=sel_Country),OR(sel_Customer="All",F1815=sel_Customer),OR(sel_Category="All",G1815=sel_Category),OR(sel_Product="All",H1815=sel_Product),AND(S1815&gt;=m_From,S1815&lt;=m_To)),1,0)</f>
        <v/>
      </c>
      <c r="X1815" s="36">
        <f>IF(AND(OR(sel_Region="All",C1815=sel_Region),OR(sel_Country="All",D1815=sel_Country),OR(sel_Channel="All",E1815=sel_Channel),OR(sel_Category="All",G1815=sel_Category),OR(sel_Product="All",H1815=sel_Product),AND(S1815&gt;=m_From,S1815&lt;=m_To)),1,0)</f>
        <v/>
      </c>
      <c r="Y1815" s="36">
        <f>IF(AND(OR(sel_Region="All",C1815=sel_Region),OR(sel_Country="All",D1815=sel_Country),OR(sel_Channel="All",E1815=sel_Channel),OR(sel_Customer="All",F1815=sel_Customer),OR(sel_Product="All",H1815=sel_Product),AND(S1815&gt;=m_From,S1815&lt;=m_To)),1,0)</f>
        <v/>
      </c>
      <c r="Z1815" s="36">
        <f>IF(AND(OR(sel_Region="All",C1815=sel_Region),OR(sel_Country="All",D1815=sel_Country),OR(sel_Channel="All",E1815=sel_Channel),OR(sel_Customer="All",F1815=sel_Customer),OR(sel_Category="All",G1815=sel_Category),AND(S1815&gt;=m_From,S1815&lt;=m_To)),1,0)</f>
        <v/>
      </c>
      <c r="AA1815" s="36">
        <f>IF(AND(OR(sel_Region="All",C1815=sel_Region),OR(sel_Country="All",D1815=sel_Country),OR(sel_Channel="All",E1815=sel_Channel),OR(sel_Customer="All",F1815=sel_Customer),OR(sel_Category="All",G1815=sel_Category),OR(sel_Product="All",H1815=sel_Product)),1,0)</f>
        <v/>
      </c>
    </row>
    <row r="1816">
      <c r="A1816" s="36" t="inlineStr">
        <is>
          <t>02108</t>
        </is>
      </c>
      <c r="B1816" s="44" t="n">
        <v>46268</v>
      </c>
      <c r="C1816" s="36" t="inlineStr">
        <is>
          <t>Central Europe</t>
        </is>
      </c>
      <c r="D1816" s="36" t="inlineStr">
        <is>
          <t>Switzerland</t>
        </is>
      </c>
      <c r="E1816" s="36" t="inlineStr">
        <is>
          <t>Online Store</t>
        </is>
      </c>
      <c r="F1816" s="36" t="inlineStr">
        <is>
          <t>Returning</t>
        </is>
      </c>
      <c r="G1816" s="36" t="inlineStr">
        <is>
          <t>Hiking</t>
        </is>
      </c>
      <c r="H1816" s="36" t="inlineStr">
        <is>
          <t>Trail Boots</t>
        </is>
      </c>
      <c r="I1816" s="36" t="n">
        <v>1</v>
      </c>
      <c r="J1816" s="39" t="n">
        <v>146.14</v>
      </c>
      <c r="K1816" s="45" t="n">
        <v>0</v>
      </c>
      <c r="L1816" s="39" t="n">
        <v>81.04000000000001</v>
      </c>
      <c r="M1816" s="39">
        <f>I1816*J1816*(1-K1816)</f>
        <v/>
      </c>
      <c r="N1816" s="39">
        <f>I1816*L1816</f>
        <v/>
      </c>
      <c r="O1816" s="39">
        <f>M1816-N1816</f>
        <v/>
      </c>
      <c r="P1816" s="38">
        <f>IF(M1816=0,0,O1816/M1816)</f>
        <v/>
      </c>
      <c r="Q1816" s="36">
        <f>YEAR(B1816)</f>
        <v/>
      </c>
      <c r="R1816" s="36">
        <f>"Q"&amp;ROUNDUP(MONTH(B1816)/3,0)</f>
        <v/>
      </c>
      <c r="S1816" s="36">
        <f>MONTH(B1816)</f>
        <v/>
      </c>
      <c r="T1816" s="36">
        <f>TEXT(B1816,"mmm")</f>
        <v/>
      </c>
      <c r="U1816" s="36">
        <f>IF(AND(OR(sel_Region="All",C1816=sel_Region),OR(sel_Country="All",D1816=sel_Country),OR(sel_Channel="All",E1816=sel_Channel),OR(sel_Customer="All",F1816=sel_Customer),OR(sel_Category="All",G1816=sel_Category),OR(sel_Product="All",H1816=sel_Product),AND(S1816&gt;=m_From,S1816&lt;=m_To)),1,0)</f>
        <v/>
      </c>
      <c r="V1816" s="36">
        <f>IF(AND(OR(sel_Region="All",C1816=sel_Region),OR(sel_Channel="All",E1816=sel_Channel),OR(sel_Customer="All",F1816=sel_Customer),OR(sel_Category="All",G1816=sel_Category),OR(sel_Product="All",H1816=sel_Product),AND(S1816&gt;=m_From,S1816&lt;=m_To)),1,0)</f>
        <v/>
      </c>
      <c r="W1816" s="36">
        <f>IF(AND(OR(sel_Region="All",C1816=sel_Region),OR(sel_Country="All",D1816=sel_Country),OR(sel_Customer="All",F1816=sel_Customer),OR(sel_Category="All",G1816=sel_Category),OR(sel_Product="All",H1816=sel_Product),AND(S1816&gt;=m_From,S1816&lt;=m_To)),1,0)</f>
        <v/>
      </c>
      <c r="X1816" s="36">
        <f>IF(AND(OR(sel_Region="All",C1816=sel_Region),OR(sel_Country="All",D1816=sel_Country),OR(sel_Channel="All",E1816=sel_Channel),OR(sel_Category="All",G1816=sel_Category),OR(sel_Product="All",H1816=sel_Product),AND(S1816&gt;=m_From,S1816&lt;=m_To)),1,0)</f>
        <v/>
      </c>
      <c r="Y1816" s="36">
        <f>IF(AND(OR(sel_Region="All",C1816=sel_Region),OR(sel_Country="All",D1816=sel_Country),OR(sel_Channel="All",E1816=sel_Channel),OR(sel_Customer="All",F1816=sel_Customer),OR(sel_Product="All",H1816=sel_Product),AND(S1816&gt;=m_From,S1816&lt;=m_To)),1,0)</f>
        <v/>
      </c>
      <c r="Z1816" s="36">
        <f>IF(AND(OR(sel_Region="All",C1816=sel_Region),OR(sel_Country="All",D1816=sel_Country),OR(sel_Channel="All",E1816=sel_Channel),OR(sel_Customer="All",F1816=sel_Customer),OR(sel_Category="All",G1816=sel_Category),AND(S1816&gt;=m_From,S1816&lt;=m_To)),1,0)</f>
        <v/>
      </c>
      <c r="AA1816" s="36">
        <f>IF(AND(OR(sel_Region="All",C1816=sel_Region),OR(sel_Country="All",D1816=sel_Country),OR(sel_Channel="All",E1816=sel_Channel),OR(sel_Customer="All",F1816=sel_Customer),OR(sel_Category="All",G1816=sel_Category),OR(sel_Product="All",H1816=sel_Product)),1,0)</f>
        <v/>
      </c>
    </row>
    <row r="1817">
      <c r="A1817" s="36" t="inlineStr">
        <is>
          <t>02340</t>
        </is>
      </c>
      <c r="B1817" s="44" t="n">
        <v>46268</v>
      </c>
      <c r="C1817" s="36" t="inlineStr">
        <is>
          <t>Central Europe</t>
        </is>
      </c>
      <c r="D1817" s="36" t="inlineStr">
        <is>
          <t>Poland</t>
        </is>
      </c>
      <c r="E1817" s="36" t="inlineStr">
        <is>
          <t>Retail Partners</t>
        </is>
      </c>
      <c r="F1817" s="36" t="inlineStr">
        <is>
          <t>New</t>
        </is>
      </c>
      <c r="G1817" s="36" t="inlineStr">
        <is>
          <t>Camping</t>
        </is>
      </c>
      <c r="H1817" s="36" t="inlineStr">
        <is>
          <t>Alpine Tent 4P</t>
        </is>
      </c>
      <c r="I1817" s="36" t="n">
        <v>4</v>
      </c>
      <c r="J1817" s="39" t="n">
        <v>332.93</v>
      </c>
      <c r="K1817" s="45" t="n">
        <v>0</v>
      </c>
      <c r="L1817" s="39" t="n">
        <v>193.56</v>
      </c>
      <c r="M1817" s="39">
        <f>I1817*J1817*(1-K1817)</f>
        <v/>
      </c>
      <c r="N1817" s="39">
        <f>I1817*L1817</f>
        <v/>
      </c>
      <c r="O1817" s="39">
        <f>M1817-N1817</f>
        <v/>
      </c>
      <c r="P1817" s="38">
        <f>IF(M1817=0,0,O1817/M1817)</f>
        <v/>
      </c>
      <c r="Q1817" s="36">
        <f>YEAR(B1817)</f>
        <v/>
      </c>
      <c r="R1817" s="36">
        <f>"Q"&amp;ROUNDUP(MONTH(B1817)/3,0)</f>
        <v/>
      </c>
      <c r="S1817" s="36">
        <f>MONTH(B1817)</f>
        <v/>
      </c>
      <c r="T1817" s="36">
        <f>TEXT(B1817,"mmm")</f>
        <v/>
      </c>
      <c r="U1817" s="36">
        <f>IF(AND(OR(sel_Region="All",C1817=sel_Region),OR(sel_Country="All",D1817=sel_Country),OR(sel_Channel="All",E1817=sel_Channel),OR(sel_Customer="All",F1817=sel_Customer),OR(sel_Category="All",G1817=sel_Category),OR(sel_Product="All",H1817=sel_Product),AND(S1817&gt;=m_From,S1817&lt;=m_To)),1,0)</f>
        <v/>
      </c>
      <c r="V1817" s="36">
        <f>IF(AND(OR(sel_Region="All",C1817=sel_Region),OR(sel_Channel="All",E1817=sel_Channel),OR(sel_Customer="All",F1817=sel_Customer),OR(sel_Category="All",G1817=sel_Category),OR(sel_Product="All",H1817=sel_Product),AND(S1817&gt;=m_From,S1817&lt;=m_To)),1,0)</f>
        <v/>
      </c>
      <c r="W1817" s="36">
        <f>IF(AND(OR(sel_Region="All",C1817=sel_Region),OR(sel_Country="All",D1817=sel_Country),OR(sel_Customer="All",F1817=sel_Customer),OR(sel_Category="All",G1817=sel_Category),OR(sel_Product="All",H1817=sel_Product),AND(S1817&gt;=m_From,S1817&lt;=m_To)),1,0)</f>
        <v/>
      </c>
      <c r="X1817" s="36">
        <f>IF(AND(OR(sel_Region="All",C1817=sel_Region),OR(sel_Country="All",D1817=sel_Country),OR(sel_Channel="All",E1817=sel_Channel),OR(sel_Category="All",G1817=sel_Category),OR(sel_Product="All",H1817=sel_Product),AND(S1817&gt;=m_From,S1817&lt;=m_To)),1,0)</f>
        <v/>
      </c>
      <c r="Y1817" s="36">
        <f>IF(AND(OR(sel_Region="All",C1817=sel_Region),OR(sel_Country="All",D1817=sel_Country),OR(sel_Channel="All",E1817=sel_Channel),OR(sel_Customer="All",F1817=sel_Customer),OR(sel_Product="All",H1817=sel_Product),AND(S1817&gt;=m_From,S1817&lt;=m_To)),1,0)</f>
        <v/>
      </c>
      <c r="Z1817" s="36">
        <f>IF(AND(OR(sel_Region="All",C1817=sel_Region),OR(sel_Country="All",D1817=sel_Country),OR(sel_Channel="All",E1817=sel_Channel),OR(sel_Customer="All",F1817=sel_Customer),OR(sel_Category="All",G1817=sel_Category),AND(S1817&gt;=m_From,S1817&lt;=m_To)),1,0)</f>
        <v/>
      </c>
      <c r="AA1817" s="36">
        <f>IF(AND(OR(sel_Region="All",C1817=sel_Region),OR(sel_Country="All",D1817=sel_Country),OR(sel_Channel="All",E1817=sel_Channel),OR(sel_Customer="All",F1817=sel_Customer),OR(sel_Category="All",G1817=sel_Category),OR(sel_Product="All",H1817=sel_Product)),1,0)</f>
        <v/>
      </c>
    </row>
    <row r="1818">
      <c r="A1818" s="36" t="inlineStr">
        <is>
          <t>03078</t>
        </is>
      </c>
      <c r="B1818" s="44" t="n">
        <v>46268</v>
      </c>
      <c r="C1818" s="36" t="inlineStr">
        <is>
          <t>Central Europe</t>
        </is>
      </c>
      <c r="D1818" s="36" t="inlineStr">
        <is>
          <t>Poland</t>
        </is>
      </c>
      <c r="E1818" s="36" t="inlineStr">
        <is>
          <t>Retail Partners</t>
        </is>
      </c>
      <c r="F1818" s="36" t="inlineStr">
        <is>
          <t>Business</t>
        </is>
      </c>
      <c r="G1818" s="36" t="inlineStr">
        <is>
          <t>Camping</t>
        </is>
      </c>
      <c r="H1818" s="36" t="inlineStr">
        <is>
          <t>Compact Sleeping Bag</t>
        </is>
      </c>
      <c r="I1818" s="36" t="n">
        <v>4</v>
      </c>
      <c r="J1818" s="39" t="n">
        <v>122.43</v>
      </c>
      <c r="K1818" s="45" t="n">
        <v>0</v>
      </c>
      <c r="L1818" s="39" t="n">
        <v>61.5</v>
      </c>
      <c r="M1818" s="39">
        <f>I1818*J1818*(1-K1818)</f>
        <v/>
      </c>
      <c r="N1818" s="39">
        <f>I1818*L1818</f>
        <v/>
      </c>
      <c r="O1818" s="39">
        <f>M1818-N1818</f>
        <v/>
      </c>
      <c r="P1818" s="38">
        <f>IF(M1818=0,0,O1818/M1818)</f>
        <v/>
      </c>
      <c r="Q1818" s="36">
        <f>YEAR(B1818)</f>
        <v/>
      </c>
      <c r="R1818" s="36">
        <f>"Q"&amp;ROUNDUP(MONTH(B1818)/3,0)</f>
        <v/>
      </c>
      <c r="S1818" s="36">
        <f>MONTH(B1818)</f>
        <v/>
      </c>
      <c r="T1818" s="36">
        <f>TEXT(B1818,"mmm")</f>
        <v/>
      </c>
      <c r="U1818" s="36">
        <f>IF(AND(OR(sel_Region="All",C1818=sel_Region),OR(sel_Country="All",D1818=sel_Country),OR(sel_Channel="All",E1818=sel_Channel),OR(sel_Customer="All",F1818=sel_Customer),OR(sel_Category="All",G1818=sel_Category),OR(sel_Product="All",H1818=sel_Product),AND(S1818&gt;=m_From,S1818&lt;=m_To)),1,0)</f>
        <v/>
      </c>
      <c r="V1818" s="36">
        <f>IF(AND(OR(sel_Region="All",C1818=sel_Region),OR(sel_Channel="All",E1818=sel_Channel),OR(sel_Customer="All",F1818=sel_Customer),OR(sel_Category="All",G1818=sel_Category),OR(sel_Product="All",H1818=sel_Product),AND(S1818&gt;=m_From,S1818&lt;=m_To)),1,0)</f>
        <v/>
      </c>
      <c r="W1818" s="36">
        <f>IF(AND(OR(sel_Region="All",C1818=sel_Region),OR(sel_Country="All",D1818=sel_Country),OR(sel_Customer="All",F1818=sel_Customer),OR(sel_Category="All",G1818=sel_Category),OR(sel_Product="All",H1818=sel_Product),AND(S1818&gt;=m_From,S1818&lt;=m_To)),1,0)</f>
        <v/>
      </c>
      <c r="X1818" s="36">
        <f>IF(AND(OR(sel_Region="All",C1818=sel_Region),OR(sel_Country="All",D1818=sel_Country),OR(sel_Channel="All",E1818=sel_Channel),OR(sel_Category="All",G1818=sel_Category),OR(sel_Product="All",H1818=sel_Product),AND(S1818&gt;=m_From,S1818&lt;=m_To)),1,0)</f>
        <v/>
      </c>
      <c r="Y1818" s="36">
        <f>IF(AND(OR(sel_Region="All",C1818=sel_Region),OR(sel_Country="All",D1818=sel_Country),OR(sel_Channel="All",E1818=sel_Channel),OR(sel_Customer="All",F1818=sel_Customer),OR(sel_Product="All",H1818=sel_Product),AND(S1818&gt;=m_From,S1818&lt;=m_To)),1,0)</f>
        <v/>
      </c>
      <c r="Z1818" s="36">
        <f>IF(AND(OR(sel_Region="All",C1818=sel_Region),OR(sel_Country="All",D1818=sel_Country),OR(sel_Channel="All",E1818=sel_Channel),OR(sel_Customer="All",F1818=sel_Customer),OR(sel_Category="All",G1818=sel_Category),AND(S1818&gt;=m_From,S1818&lt;=m_To)),1,0)</f>
        <v/>
      </c>
      <c r="AA1818" s="36">
        <f>IF(AND(OR(sel_Region="All",C1818=sel_Region),OR(sel_Country="All",D1818=sel_Country),OR(sel_Channel="All",E1818=sel_Channel),OR(sel_Customer="All",F1818=sel_Customer),OR(sel_Category="All",G1818=sel_Category),OR(sel_Product="All",H1818=sel_Product)),1,0)</f>
        <v/>
      </c>
    </row>
    <row r="1819">
      <c r="A1819" s="36" t="inlineStr">
        <is>
          <t>03575</t>
        </is>
      </c>
      <c r="B1819" s="44" t="n">
        <v>46268</v>
      </c>
      <c r="C1819" s="36" t="inlineStr">
        <is>
          <t>Northern Europe</t>
        </is>
      </c>
      <c r="D1819" s="36" t="inlineStr">
        <is>
          <t>Sweden</t>
        </is>
      </c>
      <c r="E1819" s="36" t="inlineStr">
        <is>
          <t>Marketplace</t>
        </is>
      </c>
      <c r="F1819" s="36" t="inlineStr">
        <is>
          <t>Returning</t>
        </is>
      </c>
      <c r="G1819" s="36" t="inlineStr">
        <is>
          <t>Cycling</t>
        </is>
      </c>
      <c r="H1819" s="36" t="inlineStr">
        <is>
          <t>Commuter Helmet</t>
        </is>
      </c>
      <c r="I1819" s="36" t="n">
        <v>3</v>
      </c>
      <c r="J1819" s="39" t="n">
        <v>81.12</v>
      </c>
      <c r="K1819" s="45" t="n">
        <v>0.1</v>
      </c>
      <c r="L1819" s="39" t="n">
        <v>41.78</v>
      </c>
      <c r="M1819" s="39">
        <f>I1819*J1819*(1-K1819)</f>
        <v/>
      </c>
      <c r="N1819" s="39">
        <f>I1819*L1819</f>
        <v/>
      </c>
      <c r="O1819" s="39">
        <f>M1819-N1819</f>
        <v/>
      </c>
      <c r="P1819" s="38">
        <f>IF(M1819=0,0,O1819/M1819)</f>
        <v/>
      </c>
      <c r="Q1819" s="36">
        <f>YEAR(B1819)</f>
        <v/>
      </c>
      <c r="R1819" s="36">
        <f>"Q"&amp;ROUNDUP(MONTH(B1819)/3,0)</f>
        <v/>
      </c>
      <c r="S1819" s="36">
        <f>MONTH(B1819)</f>
        <v/>
      </c>
      <c r="T1819" s="36">
        <f>TEXT(B1819,"mmm")</f>
        <v/>
      </c>
      <c r="U1819" s="36">
        <f>IF(AND(OR(sel_Region="All",C1819=sel_Region),OR(sel_Country="All",D1819=sel_Country),OR(sel_Channel="All",E1819=sel_Channel),OR(sel_Customer="All",F1819=sel_Customer),OR(sel_Category="All",G1819=sel_Category),OR(sel_Product="All",H1819=sel_Product),AND(S1819&gt;=m_From,S1819&lt;=m_To)),1,0)</f>
        <v/>
      </c>
      <c r="V1819" s="36">
        <f>IF(AND(OR(sel_Region="All",C1819=sel_Region),OR(sel_Channel="All",E1819=sel_Channel),OR(sel_Customer="All",F1819=sel_Customer),OR(sel_Category="All",G1819=sel_Category),OR(sel_Product="All",H1819=sel_Product),AND(S1819&gt;=m_From,S1819&lt;=m_To)),1,0)</f>
        <v/>
      </c>
      <c r="W1819" s="36">
        <f>IF(AND(OR(sel_Region="All",C1819=sel_Region),OR(sel_Country="All",D1819=sel_Country),OR(sel_Customer="All",F1819=sel_Customer),OR(sel_Category="All",G1819=sel_Category),OR(sel_Product="All",H1819=sel_Product),AND(S1819&gt;=m_From,S1819&lt;=m_To)),1,0)</f>
        <v/>
      </c>
      <c r="X1819" s="36">
        <f>IF(AND(OR(sel_Region="All",C1819=sel_Region),OR(sel_Country="All",D1819=sel_Country),OR(sel_Channel="All",E1819=sel_Channel),OR(sel_Category="All",G1819=sel_Category),OR(sel_Product="All",H1819=sel_Product),AND(S1819&gt;=m_From,S1819&lt;=m_To)),1,0)</f>
        <v/>
      </c>
      <c r="Y1819" s="36">
        <f>IF(AND(OR(sel_Region="All",C1819=sel_Region),OR(sel_Country="All",D1819=sel_Country),OR(sel_Channel="All",E1819=sel_Channel),OR(sel_Customer="All",F1819=sel_Customer),OR(sel_Product="All",H1819=sel_Product),AND(S1819&gt;=m_From,S1819&lt;=m_To)),1,0)</f>
        <v/>
      </c>
      <c r="Z1819" s="36">
        <f>IF(AND(OR(sel_Region="All",C1819=sel_Region),OR(sel_Country="All",D1819=sel_Country),OR(sel_Channel="All",E1819=sel_Channel),OR(sel_Customer="All",F1819=sel_Customer),OR(sel_Category="All",G1819=sel_Category),AND(S1819&gt;=m_From,S1819&lt;=m_To)),1,0)</f>
        <v/>
      </c>
      <c r="AA1819" s="36">
        <f>IF(AND(OR(sel_Region="All",C1819=sel_Region),OR(sel_Country="All",D1819=sel_Country),OR(sel_Channel="All",E1819=sel_Channel),OR(sel_Customer="All",F1819=sel_Customer),OR(sel_Category="All",G1819=sel_Category),OR(sel_Product="All",H1819=sel_Product)),1,0)</f>
        <v/>
      </c>
    </row>
    <row r="1820">
      <c r="A1820" s="36" t="inlineStr">
        <is>
          <t>03700</t>
        </is>
      </c>
      <c r="B1820" s="44" t="n">
        <v>46268</v>
      </c>
      <c r="C1820" s="36" t="inlineStr">
        <is>
          <t>Central Europe</t>
        </is>
      </c>
      <c r="D1820" s="36" t="inlineStr">
        <is>
          <t>Poland</t>
        </is>
      </c>
      <c r="E1820" s="36" t="inlineStr">
        <is>
          <t>Online Store</t>
        </is>
      </c>
      <c r="F1820" s="36" t="inlineStr">
        <is>
          <t>Returning</t>
        </is>
      </c>
      <c r="G1820" s="36" t="inlineStr">
        <is>
          <t>Travel</t>
        </is>
      </c>
      <c r="H1820" s="36" t="inlineStr">
        <is>
          <t>Travel Backpack 35L</t>
        </is>
      </c>
      <c r="I1820" s="36" t="n">
        <v>1</v>
      </c>
      <c r="J1820" s="39" t="n">
        <v>168.54</v>
      </c>
      <c r="K1820" s="45" t="n">
        <v>0.05</v>
      </c>
      <c r="L1820" s="39" t="n">
        <v>87.81999999999999</v>
      </c>
      <c r="M1820" s="39">
        <f>I1820*J1820*(1-K1820)</f>
        <v/>
      </c>
      <c r="N1820" s="39">
        <f>I1820*L1820</f>
        <v/>
      </c>
      <c r="O1820" s="39">
        <f>M1820-N1820</f>
        <v/>
      </c>
      <c r="P1820" s="38">
        <f>IF(M1820=0,0,O1820/M1820)</f>
        <v/>
      </c>
      <c r="Q1820" s="36">
        <f>YEAR(B1820)</f>
        <v/>
      </c>
      <c r="R1820" s="36">
        <f>"Q"&amp;ROUNDUP(MONTH(B1820)/3,0)</f>
        <v/>
      </c>
      <c r="S1820" s="36">
        <f>MONTH(B1820)</f>
        <v/>
      </c>
      <c r="T1820" s="36">
        <f>TEXT(B1820,"mmm")</f>
        <v/>
      </c>
      <c r="U1820" s="36">
        <f>IF(AND(OR(sel_Region="All",C1820=sel_Region),OR(sel_Country="All",D1820=sel_Country),OR(sel_Channel="All",E1820=sel_Channel),OR(sel_Customer="All",F1820=sel_Customer),OR(sel_Category="All",G1820=sel_Category),OR(sel_Product="All",H1820=sel_Product),AND(S1820&gt;=m_From,S1820&lt;=m_To)),1,0)</f>
        <v/>
      </c>
      <c r="V1820" s="36">
        <f>IF(AND(OR(sel_Region="All",C1820=sel_Region),OR(sel_Channel="All",E1820=sel_Channel),OR(sel_Customer="All",F1820=sel_Customer),OR(sel_Category="All",G1820=sel_Category),OR(sel_Product="All",H1820=sel_Product),AND(S1820&gt;=m_From,S1820&lt;=m_To)),1,0)</f>
        <v/>
      </c>
      <c r="W1820" s="36">
        <f>IF(AND(OR(sel_Region="All",C1820=sel_Region),OR(sel_Country="All",D1820=sel_Country),OR(sel_Customer="All",F1820=sel_Customer),OR(sel_Category="All",G1820=sel_Category),OR(sel_Product="All",H1820=sel_Product),AND(S1820&gt;=m_From,S1820&lt;=m_To)),1,0)</f>
        <v/>
      </c>
      <c r="X1820" s="36">
        <f>IF(AND(OR(sel_Region="All",C1820=sel_Region),OR(sel_Country="All",D1820=sel_Country),OR(sel_Channel="All",E1820=sel_Channel),OR(sel_Category="All",G1820=sel_Category),OR(sel_Product="All",H1820=sel_Product),AND(S1820&gt;=m_From,S1820&lt;=m_To)),1,0)</f>
        <v/>
      </c>
      <c r="Y1820" s="36">
        <f>IF(AND(OR(sel_Region="All",C1820=sel_Region),OR(sel_Country="All",D1820=sel_Country),OR(sel_Channel="All",E1820=sel_Channel),OR(sel_Customer="All",F1820=sel_Customer),OR(sel_Product="All",H1820=sel_Product),AND(S1820&gt;=m_From,S1820&lt;=m_To)),1,0)</f>
        <v/>
      </c>
      <c r="Z1820" s="36">
        <f>IF(AND(OR(sel_Region="All",C1820=sel_Region),OR(sel_Country="All",D1820=sel_Country),OR(sel_Channel="All",E1820=sel_Channel),OR(sel_Customer="All",F1820=sel_Customer),OR(sel_Category="All",G1820=sel_Category),AND(S1820&gt;=m_From,S1820&lt;=m_To)),1,0)</f>
        <v/>
      </c>
      <c r="AA1820" s="36">
        <f>IF(AND(OR(sel_Region="All",C1820=sel_Region),OR(sel_Country="All",D1820=sel_Country),OR(sel_Channel="All",E1820=sel_Channel),OR(sel_Customer="All",F1820=sel_Customer),OR(sel_Category="All",G1820=sel_Category),OR(sel_Product="All",H1820=sel_Product)),1,0)</f>
        <v/>
      </c>
    </row>
    <row r="1821">
      <c r="A1821" s="36" t="inlineStr">
        <is>
          <t>03762</t>
        </is>
      </c>
      <c r="B1821" s="44" t="n">
        <v>46268</v>
      </c>
      <c r="C1821" s="36" t="inlineStr">
        <is>
          <t>Southern Europe</t>
        </is>
      </c>
      <c r="D1821" s="36" t="inlineStr">
        <is>
          <t>Spain</t>
        </is>
      </c>
      <c r="E1821" s="36" t="inlineStr">
        <is>
          <t>Retail Partners</t>
        </is>
      </c>
      <c r="F1821" s="36" t="inlineStr">
        <is>
          <t>New</t>
        </is>
      </c>
      <c r="G1821" s="36" t="inlineStr">
        <is>
          <t>Cycling</t>
        </is>
      </c>
      <c r="H1821" s="36" t="inlineStr">
        <is>
          <t>Compact Repair Kit</t>
        </is>
      </c>
      <c r="I1821" s="36" t="n">
        <v>4</v>
      </c>
      <c r="J1821" s="39" t="n">
        <v>39.61</v>
      </c>
      <c r="K1821" s="45" t="n">
        <v>0.1</v>
      </c>
      <c r="L1821" s="39" t="n">
        <v>16.83</v>
      </c>
      <c r="M1821" s="39">
        <f>I1821*J1821*(1-K1821)</f>
        <v/>
      </c>
      <c r="N1821" s="39">
        <f>I1821*L1821</f>
        <v/>
      </c>
      <c r="O1821" s="39">
        <f>M1821-N1821</f>
        <v/>
      </c>
      <c r="P1821" s="38">
        <f>IF(M1821=0,0,O1821/M1821)</f>
        <v/>
      </c>
      <c r="Q1821" s="36">
        <f>YEAR(B1821)</f>
        <v/>
      </c>
      <c r="R1821" s="36">
        <f>"Q"&amp;ROUNDUP(MONTH(B1821)/3,0)</f>
        <v/>
      </c>
      <c r="S1821" s="36">
        <f>MONTH(B1821)</f>
        <v/>
      </c>
      <c r="T1821" s="36">
        <f>TEXT(B1821,"mmm")</f>
        <v/>
      </c>
      <c r="U1821" s="36">
        <f>IF(AND(OR(sel_Region="All",C1821=sel_Region),OR(sel_Country="All",D1821=sel_Country),OR(sel_Channel="All",E1821=sel_Channel),OR(sel_Customer="All",F1821=sel_Customer),OR(sel_Category="All",G1821=sel_Category),OR(sel_Product="All",H1821=sel_Product),AND(S1821&gt;=m_From,S1821&lt;=m_To)),1,0)</f>
        <v/>
      </c>
      <c r="V1821" s="36">
        <f>IF(AND(OR(sel_Region="All",C1821=sel_Region),OR(sel_Channel="All",E1821=sel_Channel),OR(sel_Customer="All",F1821=sel_Customer),OR(sel_Category="All",G1821=sel_Category),OR(sel_Product="All",H1821=sel_Product),AND(S1821&gt;=m_From,S1821&lt;=m_To)),1,0)</f>
        <v/>
      </c>
      <c r="W1821" s="36">
        <f>IF(AND(OR(sel_Region="All",C1821=sel_Region),OR(sel_Country="All",D1821=sel_Country),OR(sel_Customer="All",F1821=sel_Customer),OR(sel_Category="All",G1821=sel_Category),OR(sel_Product="All",H1821=sel_Product),AND(S1821&gt;=m_From,S1821&lt;=m_To)),1,0)</f>
        <v/>
      </c>
      <c r="X1821" s="36">
        <f>IF(AND(OR(sel_Region="All",C1821=sel_Region),OR(sel_Country="All",D1821=sel_Country),OR(sel_Channel="All",E1821=sel_Channel),OR(sel_Category="All",G1821=sel_Category),OR(sel_Product="All",H1821=sel_Product),AND(S1821&gt;=m_From,S1821&lt;=m_To)),1,0)</f>
        <v/>
      </c>
      <c r="Y1821" s="36">
        <f>IF(AND(OR(sel_Region="All",C1821=sel_Region),OR(sel_Country="All",D1821=sel_Country),OR(sel_Channel="All",E1821=sel_Channel),OR(sel_Customer="All",F1821=sel_Customer),OR(sel_Product="All",H1821=sel_Product),AND(S1821&gt;=m_From,S1821&lt;=m_To)),1,0)</f>
        <v/>
      </c>
      <c r="Z1821" s="36">
        <f>IF(AND(OR(sel_Region="All",C1821=sel_Region),OR(sel_Country="All",D1821=sel_Country),OR(sel_Channel="All",E1821=sel_Channel),OR(sel_Customer="All",F1821=sel_Customer),OR(sel_Category="All",G1821=sel_Category),AND(S1821&gt;=m_From,S1821&lt;=m_To)),1,0)</f>
        <v/>
      </c>
      <c r="AA1821" s="36">
        <f>IF(AND(OR(sel_Region="All",C1821=sel_Region),OR(sel_Country="All",D1821=sel_Country),OR(sel_Channel="All",E1821=sel_Channel),OR(sel_Customer="All",F1821=sel_Customer),OR(sel_Category="All",G1821=sel_Category),OR(sel_Product="All",H1821=sel_Product)),1,0)</f>
        <v/>
      </c>
    </row>
    <row r="1822">
      <c r="A1822" s="36" t="inlineStr">
        <is>
          <t>02790</t>
        </is>
      </c>
      <c r="B1822" s="44" t="n">
        <v>46269</v>
      </c>
      <c r="C1822" s="36" t="inlineStr">
        <is>
          <t>Western Europe</t>
        </is>
      </c>
      <c r="D1822" s="36" t="inlineStr">
        <is>
          <t>United Kingdom</t>
        </is>
      </c>
      <c r="E1822" s="36" t="inlineStr">
        <is>
          <t>Online Store</t>
        </is>
      </c>
      <c r="F1822" s="36" t="inlineStr">
        <is>
          <t>Returning</t>
        </is>
      </c>
      <c r="G1822" s="36" t="inlineStr">
        <is>
          <t>Fitness</t>
        </is>
      </c>
      <c r="H1822" s="36" t="inlineStr">
        <is>
          <t>Resistance Band Set</t>
        </is>
      </c>
      <c r="I1822" s="36" t="n">
        <v>1</v>
      </c>
      <c r="J1822" s="39" t="n">
        <v>39.85</v>
      </c>
      <c r="K1822" s="45" t="n">
        <v>0.1</v>
      </c>
      <c r="L1822" s="39" t="n">
        <v>14.96</v>
      </c>
      <c r="M1822" s="39">
        <f>I1822*J1822*(1-K1822)</f>
        <v/>
      </c>
      <c r="N1822" s="39">
        <f>I1822*L1822</f>
        <v/>
      </c>
      <c r="O1822" s="39">
        <f>M1822-N1822</f>
        <v/>
      </c>
      <c r="P1822" s="38">
        <f>IF(M1822=0,0,O1822/M1822)</f>
        <v/>
      </c>
      <c r="Q1822" s="36">
        <f>YEAR(B1822)</f>
        <v/>
      </c>
      <c r="R1822" s="36">
        <f>"Q"&amp;ROUNDUP(MONTH(B1822)/3,0)</f>
        <v/>
      </c>
      <c r="S1822" s="36">
        <f>MONTH(B1822)</f>
        <v/>
      </c>
      <c r="T1822" s="36">
        <f>TEXT(B1822,"mmm")</f>
        <v/>
      </c>
      <c r="U1822" s="36">
        <f>IF(AND(OR(sel_Region="All",C1822=sel_Region),OR(sel_Country="All",D1822=sel_Country),OR(sel_Channel="All",E1822=sel_Channel),OR(sel_Customer="All",F1822=sel_Customer),OR(sel_Category="All",G1822=sel_Category),OR(sel_Product="All",H1822=sel_Product),AND(S1822&gt;=m_From,S1822&lt;=m_To)),1,0)</f>
        <v/>
      </c>
      <c r="V1822" s="36">
        <f>IF(AND(OR(sel_Region="All",C1822=sel_Region),OR(sel_Channel="All",E1822=sel_Channel),OR(sel_Customer="All",F1822=sel_Customer),OR(sel_Category="All",G1822=sel_Category),OR(sel_Product="All",H1822=sel_Product),AND(S1822&gt;=m_From,S1822&lt;=m_To)),1,0)</f>
        <v/>
      </c>
      <c r="W1822" s="36">
        <f>IF(AND(OR(sel_Region="All",C1822=sel_Region),OR(sel_Country="All",D1822=sel_Country),OR(sel_Customer="All",F1822=sel_Customer),OR(sel_Category="All",G1822=sel_Category),OR(sel_Product="All",H1822=sel_Product),AND(S1822&gt;=m_From,S1822&lt;=m_To)),1,0)</f>
        <v/>
      </c>
      <c r="X1822" s="36">
        <f>IF(AND(OR(sel_Region="All",C1822=sel_Region),OR(sel_Country="All",D1822=sel_Country),OR(sel_Channel="All",E1822=sel_Channel),OR(sel_Category="All",G1822=sel_Category),OR(sel_Product="All",H1822=sel_Product),AND(S1822&gt;=m_From,S1822&lt;=m_To)),1,0)</f>
        <v/>
      </c>
      <c r="Y1822" s="36">
        <f>IF(AND(OR(sel_Region="All",C1822=sel_Region),OR(sel_Country="All",D1822=sel_Country),OR(sel_Channel="All",E1822=sel_Channel),OR(sel_Customer="All",F1822=sel_Customer),OR(sel_Product="All",H1822=sel_Product),AND(S1822&gt;=m_From,S1822&lt;=m_To)),1,0)</f>
        <v/>
      </c>
      <c r="Z1822" s="36">
        <f>IF(AND(OR(sel_Region="All",C1822=sel_Region),OR(sel_Country="All",D1822=sel_Country),OR(sel_Channel="All",E1822=sel_Channel),OR(sel_Customer="All",F1822=sel_Customer),OR(sel_Category="All",G1822=sel_Category),AND(S1822&gt;=m_From,S1822&lt;=m_To)),1,0)</f>
        <v/>
      </c>
      <c r="AA1822" s="36">
        <f>IF(AND(OR(sel_Region="All",C1822=sel_Region),OR(sel_Country="All",D1822=sel_Country),OR(sel_Channel="All",E1822=sel_Channel),OR(sel_Customer="All",F1822=sel_Customer),OR(sel_Category="All",G1822=sel_Category),OR(sel_Product="All",H1822=sel_Product)),1,0)</f>
        <v/>
      </c>
    </row>
    <row r="1823">
      <c r="A1823" s="36" t="inlineStr">
        <is>
          <t>04149</t>
        </is>
      </c>
      <c r="B1823" s="44" t="n">
        <v>46269</v>
      </c>
      <c r="C1823" s="36" t="inlineStr">
        <is>
          <t>Western Europe</t>
        </is>
      </c>
      <c r="D1823" s="36" t="inlineStr">
        <is>
          <t>United Kingdom</t>
        </is>
      </c>
      <c r="E1823" s="36" t="inlineStr">
        <is>
          <t>Online Store</t>
        </is>
      </c>
      <c r="F1823" s="36" t="inlineStr">
        <is>
          <t>New</t>
        </is>
      </c>
      <c r="G1823" s="36" t="inlineStr">
        <is>
          <t>Fitness</t>
        </is>
      </c>
      <c r="H1823" s="36" t="inlineStr">
        <is>
          <t>Resistance Band Set</t>
        </is>
      </c>
      <c r="I1823" s="36" t="n">
        <v>1</v>
      </c>
      <c r="J1823" s="39" t="n">
        <v>40.51</v>
      </c>
      <c r="K1823" s="45" t="n">
        <v>0.05</v>
      </c>
      <c r="L1823" s="39" t="n">
        <v>14.7</v>
      </c>
      <c r="M1823" s="39">
        <f>I1823*J1823*(1-K1823)</f>
        <v/>
      </c>
      <c r="N1823" s="39">
        <f>I1823*L1823</f>
        <v/>
      </c>
      <c r="O1823" s="39">
        <f>M1823-N1823</f>
        <v/>
      </c>
      <c r="P1823" s="38">
        <f>IF(M1823=0,0,O1823/M1823)</f>
        <v/>
      </c>
      <c r="Q1823" s="36">
        <f>YEAR(B1823)</f>
        <v/>
      </c>
      <c r="R1823" s="36">
        <f>"Q"&amp;ROUNDUP(MONTH(B1823)/3,0)</f>
        <v/>
      </c>
      <c r="S1823" s="36">
        <f>MONTH(B1823)</f>
        <v/>
      </c>
      <c r="T1823" s="36">
        <f>TEXT(B1823,"mmm")</f>
        <v/>
      </c>
      <c r="U1823" s="36">
        <f>IF(AND(OR(sel_Region="All",C1823=sel_Region),OR(sel_Country="All",D1823=sel_Country),OR(sel_Channel="All",E1823=sel_Channel),OR(sel_Customer="All",F1823=sel_Customer),OR(sel_Category="All",G1823=sel_Category),OR(sel_Product="All",H1823=sel_Product),AND(S1823&gt;=m_From,S1823&lt;=m_To)),1,0)</f>
        <v/>
      </c>
      <c r="V1823" s="36">
        <f>IF(AND(OR(sel_Region="All",C1823=sel_Region),OR(sel_Channel="All",E1823=sel_Channel),OR(sel_Customer="All",F1823=sel_Customer),OR(sel_Category="All",G1823=sel_Category),OR(sel_Product="All",H1823=sel_Product),AND(S1823&gt;=m_From,S1823&lt;=m_To)),1,0)</f>
        <v/>
      </c>
      <c r="W1823" s="36">
        <f>IF(AND(OR(sel_Region="All",C1823=sel_Region),OR(sel_Country="All",D1823=sel_Country),OR(sel_Customer="All",F1823=sel_Customer),OR(sel_Category="All",G1823=sel_Category),OR(sel_Product="All",H1823=sel_Product),AND(S1823&gt;=m_From,S1823&lt;=m_To)),1,0)</f>
        <v/>
      </c>
      <c r="X1823" s="36">
        <f>IF(AND(OR(sel_Region="All",C1823=sel_Region),OR(sel_Country="All",D1823=sel_Country),OR(sel_Channel="All",E1823=sel_Channel),OR(sel_Category="All",G1823=sel_Category),OR(sel_Product="All",H1823=sel_Product),AND(S1823&gt;=m_From,S1823&lt;=m_To)),1,0)</f>
        <v/>
      </c>
      <c r="Y1823" s="36">
        <f>IF(AND(OR(sel_Region="All",C1823=sel_Region),OR(sel_Country="All",D1823=sel_Country),OR(sel_Channel="All",E1823=sel_Channel),OR(sel_Customer="All",F1823=sel_Customer),OR(sel_Product="All",H1823=sel_Product),AND(S1823&gt;=m_From,S1823&lt;=m_To)),1,0)</f>
        <v/>
      </c>
      <c r="Z1823" s="36">
        <f>IF(AND(OR(sel_Region="All",C1823=sel_Region),OR(sel_Country="All",D1823=sel_Country),OR(sel_Channel="All",E1823=sel_Channel),OR(sel_Customer="All",F1823=sel_Customer),OR(sel_Category="All",G1823=sel_Category),AND(S1823&gt;=m_From,S1823&lt;=m_To)),1,0)</f>
        <v/>
      </c>
      <c r="AA1823" s="36">
        <f>IF(AND(OR(sel_Region="All",C1823=sel_Region),OR(sel_Country="All",D1823=sel_Country),OR(sel_Channel="All",E1823=sel_Channel),OR(sel_Customer="All",F1823=sel_Customer),OR(sel_Category="All",G1823=sel_Category),OR(sel_Product="All",H1823=sel_Product)),1,0)</f>
        <v/>
      </c>
    </row>
    <row r="1824">
      <c r="A1824" s="36" t="inlineStr">
        <is>
          <t>01955</t>
        </is>
      </c>
      <c r="B1824" s="44" t="n">
        <v>46270</v>
      </c>
      <c r="C1824" s="36" t="inlineStr">
        <is>
          <t>Central Europe</t>
        </is>
      </c>
      <c r="D1824" s="36" t="inlineStr">
        <is>
          <t>Germany</t>
        </is>
      </c>
      <c r="E1824" s="36" t="inlineStr">
        <is>
          <t>Online Store</t>
        </is>
      </c>
      <c r="F1824" s="36" t="inlineStr">
        <is>
          <t>Returning</t>
        </is>
      </c>
      <c r="G1824" s="36" t="inlineStr">
        <is>
          <t>Camping</t>
        </is>
      </c>
      <c r="H1824" s="36" t="inlineStr">
        <is>
          <t>Compact Sleeping Bag</t>
        </is>
      </c>
      <c r="I1824" s="36" t="n">
        <v>1</v>
      </c>
      <c r="J1824" s="39" t="n">
        <v>121.59</v>
      </c>
      <c r="K1824" s="45" t="n">
        <v>0</v>
      </c>
      <c r="L1824" s="39" t="n">
        <v>62.44</v>
      </c>
      <c r="M1824" s="39">
        <f>I1824*J1824*(1-K1824)</f>
        <v/>
      </c>
      <c r="N1824" s="39">
        <f>I1824*L1824</f>
        <v/>
      </c>
      <c r="O1824" s="39">
        <f>M1824-N1824</f>
        <v/>
      </c>
      <c r="P1824" s="38">
        <f>IF(M1824=0,0,O1824/M1824)</f>
        <v/>
      </c>
      <c r="Q1824" s="36">
        <f>YEAR(B1824)</f>
        <v/>
      </c>
      <c r="R1824" s="36">
        <f>"Q"&amp;ROUNDUP(MONTH(B1824)/3,0)</f>
        <v/>
      </c>
      <c r="S1824" s="36">
        <f>MONTH(B1824)</f>
        <v/>
      </c>
      <c r="T1824" s="36">
        <f>TEXT(B1824,"mmm")</f>
        <v/>
      </c>
      <c r="U1824" s="36">
        <f>IF(AND(OR(sel_Region="All",C1824=sel_Region),OR(sel_Country="All",D1824=sel_Country),OR(sel_Channel="All",E1824=sel_Channel),OR(sel_Customer="All",F1824=sel_Customer),OR(sel_Category="All",G1824=sel_Category),OR(sel_Product="All",H1824=sel_Product),AND(S1824&gt;=m_From,S1824&lt;=m_To)),1,0)</f>
        <v/>
      </c>
      <c r="V1824" s="36">
        <f>IF(AND(OR(sel_Region="All",C1824=sel_Region),OR(sel_Channel="All",E1824=sel_Channel),OR(sel_Customer="All",F1824=sel_Customer),OR(sel_Category="All",G1824=sel_Category),OR(sel_Product="All",H1824=sel_Product),AND(S1824&gt;=m_From,S1824&lt;=m_To)),1,0)</f>
        <v/>
      </c>
      <c r="W1824" s="36">
        <f>IF(AND(OR(sel_Region="All",C1824=sel_Region),OR(sel_Country="All",D1824=sel_Country),OR(sel_Customer="All",F1824=sel_Customer),OR(sel_Category="All",G1824=sel_Category),OR(sel_Product="All",H1824=sel_Product),AND(S1824&gt;=m_From,S1824&lt;=m_To)),1,0)</f>
        <v/>
      </c>
      <c r="X1824" s="36">
        <f>IF(AND(OR(sel_Region="All",C1824=sel_Region),OR(sel_Country="All",D1824=sel_Country),OR(sel_Channel="All",E1824=sel_Channel),OR(sel_Category="All",G1824=sel_Category),OR(sel_Product="All",H1824=sel_Product),AND(S1824&gt;=m_From,S1824&lt;=m_To)),1,0)</f>
        <v/>
      </c>
      <c r="Y1824" s="36">
        <f>IF(AND(OR(sel_Region="All",C1824=sel_Region),OR(sel_Country="All",D1824=sel_Country),OR(sel_Channel="All",E1824=sel_Channel),OR(sel_Customer="All",F1824=sel_Customer),OR(sel_Product="All",H1824=sel_Product),AND(S1824&gt;=m_From,S1824&lt;=m_To)),1,0)</f>
        <v/>
      </c>
      <c r="Z1824" s="36">
        <f>IF(AND(OR(sel_Region="All",C1824=sel_Region),OR(sel_Country="All",D1824=sel_Country),OR(sel_Channel="All",E1824=sel_Channel),OR(sel_Customer="All",F1824=sel_Customer),OR(sel_Category="All",G1824=sel_Category),AND(S1824&gt;=m_From,S1824&lt;=m_To)),1,0)</f>
        <v/>
      </c>
      <c r="AA1824" s="36">
        <f>IF(AND(OR(sel_Region="All",C1824=sel_Region),OR(sel_Country="All",D1824=sel_Country),OR(sel_Channel="All",E1824=sel_Channel),OR(sel_Customer="All",F1824=sel_Customer),OR(sel_Category="All",G1824=sel_Category),OR(sel_Product="All",H1824=sel_Product)),1,0)</f>
        <v/>
      </c>
    </row>
    <row r="1825">
      <c r="A1825" s="36" t="inlineStr">
        <is>
          <t>02077</t>
        </is>
      </c>
      <c r="B1825" s="44" t="n">
        <v>46270</v>
      </c>
      <c r="C1825" s="36" t="inlineStr">
        <is>
          <t>Western Europe</t>
        </is>
      </c>
      <c r="D1825" s="36" t="inlineStr">
        <is>
          <t>United Kingdom</t>
        </is>
      </c>
      <c r="E1825" s="36" t="inlineStr">
        <is>
          <t>Corporate</t>
        </is>
      </c>
      <c r="F1825" s="36" t="inlineStr">
        <is>
          <t>Business</t>
        </is>
      </c>
      <c r="G1825" s="36" t="inlineStr">
        <is>
          <t>Hiking</t>
        </is>
      </c>
      <c r="H1825" s="36" t="inlineStr">
        <is>
          <t>Summit Backpack 45L</t>
        </is>
      </c>
      <c r="I1825" s="36" t="n">
        <v>4</v>
      </c>
      <c r="J1825" s="39" t="n">
        <v>152.99</v>
      </c>
      <c r="K1825" s="45" t="n">
        <v>0.15</v>
      </c>
      <c r="L1825" s="39" t="n">
        <v>77.12</v>
      </c>
      <c r="M1825" s="39">
        <f>I1825*J1825*(1-K1825)</f>
        <v/>
      </c>
      <c r="N1825" s="39">
        <f>I1825*L1825</f>
        <v/>
      </c>
      <c r="O1825" s="39">
        <f>M1825-N1825</f>
        <v/>
      </c>
      <c r="P1825" s="38">
        <f>IF(M1825=0,0,O1825/M1825)</f>
        <v/>
      </c>
      <c r="Q1825" s="36">
        <f>YEAR(B1825)</f>
        <v/>
      </c>
      <c r="R1825" s="36">
        <f>"Q"&amp;ROUNDUP(MONTH(B1825)/3,0)</f>
        <v/>
      </c>
      <c r="S1825" s="36">
        <f>MONTH(B1825)</f>
        <v/>
      </c>
      <c r="T1825" s="36">
        <f>TEXT(B1825,"mmm")</f>
        <v/>
      </c>
      <c r="U1825" s="36">
        <f>IF(AND(OR(sel_Region="All",C1825=sel_Region),OR(sel_Country="All",D1825=sel_Country),OR(sel_Channel="All",E1825=sel_Channel),OR(sel_Customer="All",F1825=sel_Customer),OR(sel_Category="All",G1825=sel_Category),OR(sel_Product="All",H1825=sel_Product),AND(S1825&gt;=m_From,S1825&lt;=m_To)),1,0)</f>
        <v/>
      </c>
      <c r="V1825" s="36">
        <f>IF(AND(OR(sel_Region="All",C1825=sel_Region),OR(sel_Channel="All",E1825=sel_Channel),OR(sel_Customer="All",F1825=sel_Customer),OR(sel_Category="All",G1825=sel_Category),OR(sel_Product="All",H1825=sel_Product),AND(S1825&gt;=m_From,S1825&lt;=m_To)),1,0)</f>
        <v/>
      </c>
      <c r="W1825" s="36">
        <f>IF(AND(OR(sel_Region="All",C1825=sel_Region),OR(sel_Country="All",D1825=sel_Country),OR(sel_Customer="All",F1825=sel_Customer),OR(sel_Category="All",G1825=sel_Category),OR(sel_Product="All",H1825=sel_Product),AND(S1825&gt;=m_From,S1825&lt;=m_To)),1,0)</f>
        <v/>
      </c>
      <c r="X1825" s="36">
        <f>IF(AND(OR(sel_Region="All",C1825=sel_Region),OR(sel_Country="All",D1825=sel_Country),OR(sel_Channel="All",E1825=sel_Channel),OR(sel_Category="All",G1825=sel_Category),OR(sel_Product="All",H1825=sel_Product),AND(S1825&gt;=m_From,S1825&lt;=m_To)),1,0)</f>
        <v/>
      </c>
      <c r="Y1825" s="36">
        <f>IF(AND(OR(sel_Region="All",C1825=sel_Region),OR(sel_Country="All",D1825=sel_Country),OR(sel_Channel="All",E1825=sel_Channel),OR(sel_Customer="All",F1825=sel_Customer),OR(sel_Product="All",H1825=sel_Product),AND(S1825&gt;=m_From,S1825&lt;=m_To)),1,0)</f>
        <v/>
      </c>
      <c r="Z1825" s="36">
        <f>IF(AND(OR(sel_Region="All",C1825=sel_Region),OR(sel_Country="All",D1825=sel_Country),OR(sel_Channel="All",E1825=sel_Channel),OR(sel_Customer="All",F1825=sel_Customer),OR(sel_Category="All",G1825=sel_Category),AND(S1825&gt;=m_From,S1825&lt;=m_To)),1,0)</f>
        <v/>
      </c>
      <c r="AA1825" s="36">
        <f>IF(AND(OR(sel_Region="All",C1825=sel_Region),OR(sel_Country="All",D1825=sel_Country),OR(sel_Channel="All",E1825=sel_Channel),OR(sel_Customer="All",F1825=sel_Customer),OR(sel_Category="All",G1825=sel_Category),OR(sel_Product="All",H1825=sel_Product)),1,0)</f>
        <v/>
      </c>
    </row>
    <row r="1826">
      <c r="A1826" s="36" t="inlineStr">
        <is>
          <t>02879</t>
        </is>
      </c>
      <c r="B1826" s="44" t="n">
        <v>46270</v>
      </c>
      <c r="C1826" s="36" t="inlineStr">
        <is>
          <t>Northern Europe</t>
        </is>
      </c>
      <c r="D1826" s="36" t="inlineStr">
        <is>
          <t>Finland</t>
        </is>
      </c>
      <c r="E1826" s="36" t="inlineStr">
        <is>
          <t>Online Store</t>
        </is>
      </c>
      <c r="F1826" s="36" t="inlineStr">
        <is>
          <t>Business</t>
        </is>
      </c>
      <c r="G1826" s="36" t="inlineStr">
        <is>
          <t>Travel</t>
        </is>
      </c>
      <c r="H1826" s="36" t="inlineStr">
        <is>
          <t>Insulated Bottle</t>
        </is>
      </c>
      <c r="I1826" s="36" t="n">
        <v>3</v>
      </c>
      <c r="J1826" s="39" t="n">
        <v>36.19</v>
      </c>
      <c r="K1826" s="45" t="n">
        <v>0.1</v>
      </c>
      <c r="L1826" s="39" t="n">
        <v>13.97</v>
      </c>
      <c r="M1826" s="39">
        <f>I1826*J1826*(1-K1826)</f>
        <v/>
      </c>
      <c r="N1826" s="39">
        <f>I1826*L1826</f>
        <v/>
      </c>
      <c r="O1826" s="39">
        <f>M1826-N1826</f>
        <v/>
      </c>
      <c r="P1826" s="38">
        <f>IF(M1826=0,0,O1826/M1826)</f>
        <v/>
      </c>
      <c r="Q1826" s="36">
        <f>YEAR(B1826)</f>
        <v/>
      </c>
      <c r="R1826" s="36">
        <f>"Q"&amp;ROUNDUP(MONTH(B1826)/3,0)</f>
        <v/>
      </c>
      <c r="S1826" s="36">
        <f>MONTH(B1826)</f>
        <v/>
      </c>
      <c r="T1826" s="36">
        <f>TEXT(B1826,"mmm")</f>
        <v/>
      </c>
      <c r="U1826" s="36">
        <f>IF(AND(OR(sel_Region="All",C1826=sel_Region),OR(sel_Country="All",D1826=sel_Country),OR(sel_Channel="All",E1826=sel_Channel),OR(sel_Customer="All",F1826=sel_Customer),OR(sel_Category="All",G1826=sel_Category),OR(sel_Product="All",H1826=sel_Product),AND(S1826&gt;=m_From,S1826&lt;=m_To)),1,0)</f>
        <v/>
      </c>
      <c r="V1826" s="36">
        <f>IF(AND(OR(sel_Region="All",C1826=sel_Region),OR(sel_Channel="All",E1826=sel_Channel),OR(sel_Customer="All",F1826=sel_Customer),OR(sel_Category="All",G1826=sel_Category),OR(sel_Product="All",H1826=sel_Product),AND(S1826&gt;=m_From,S1826&lt;=m_To)),1,0)</f>
        <v/>
      </c>
      <c r="W1826" s="36">
        <f>IF(AND(OR(sel_Region="All",C1826=sel_Region),OR(sel_Country="All",D1826=sel_Country),OR(sel_Customer="All",F1826=sel_Customer),OR(sel_Category="All",G1826=sel_Category),OR(sel_Product="All",H1826=sel_Product),AND(S1826&gt;=m_From,S1826&lt;=m_To)),1,0)</f>
        <v/>
      </c>
      <c r="X1826" s="36">
        <f>IF(AND(OR(sel_Region="All",C1826=sel_Region),OR(sel_Country="All",D1826=sel_Country),OR(sel_Channel="All",E1826=sel_Channel),OR(sel_Category="All",G1826=sel_Category),OR(sel_Product="All",H1826=sel_Product),AND(S1826&gt;=m_From,S1826&lt;=m_To)),1,0)</f>
        <v/>
      </c>
      <c r="Y1826" s="36">
        <f>IF(AND(OR(sel_Region="All",C1826=sel_Region),OR(sel_Country="All",D1826=sel_Country),OR(sel_Channel="All",E1826=sel_Channel),OR(sel_Customer="All",F1826=sel_Customer),OR(sel_Product="All",H1826=sel_Product),AND(S1826&gt;=m_From,S1826&lt;=m_To)),1,0)</f>
        <v/>
      </c>
      <c r="Z1826" s="36">
        <f>IF(AND(OR(sel_Region="All",C1826=sel_Region),OR(sel_Country="All",D1826=sel_Country),OR(sel_Channel="All",E1826=sel_Channel),OR(sel_Customer="All",F1826=sel_Customer),OR(sel_Category="All",G1826=sel_Category),AND(S1826&gt;=m_From,S1826&lt;=m_To)),1,0)</f>
        <v/>
      </c>
      <c r="AA1826" s="36">
        <f>IF(AND(OR(sel_Region="All",C1826=sel_Region),OR(sel_Country="All",D1826=sel_Country),OR(sel_Channel="All",E1826=sel_Channel),OR(sel_Customer="All",F1826=sel_Customer),OR(sel_Category="All",G1826=sel_Category),OR(sel_Product="All",H1826=sel_Product)),1,0)</f>
        <v/>
      </c>
    </row>
    <row r="1827">
      <c r="A1827" s="36" t="inlineStr">
        <is>
          <t>03353</t>
        </is>
      </c>
      <c r="B1827" s="44" t="n">
        <v>46270</v>
      </c>
      <c r="C1827" s="36" t="inlineStr">
        <is>
          <t>Northern Europe</t>
        </is>
      </c>
      <c r="D1827" s="36" t="inlineStr">
        <is>
          <t>Norway</t>
        </is>
      </c>
      <c r="E1827" s="36" t="inlineStr">
        <is>
          <t>Retail Partners</t>
        </is>
      </c>
      <c r="F1827" s="36" t="inlineStr">
        <is>
          <t>New</t>
        </is>
      </c>
      <c r="G1827" s="36" t="inlineStr">
        <is>
          <t>Hiking</t>
        </is>
      </c>
      <c r="H1827" s="36" t="inlineStr">
        <is>
          <t>Trail Boots</t>
        </is>
      </c>
      <c r="I1827" s="36" t="n">
        <v>2</v>
      </c>
      <c r="J1827" s="39" t="n">
        <v>142.44</v>
      </c>
      <c r="K1827" s="45" t="n">
        <v>0</v>
      </c>
      <c r="L1827" s="39" t="n">
        <v>77.33</v>
      </c>
      <c r="M1827" s="39">
        <f>I1827*J1827*(1-K1827)</f>
        <v/>
      </c>
      <c r="N1827" s="39">
        <f>I1827*L1827</f>
        <v/>
      </c>
      <c r="O1827" s="39">
        <f>M1827-N1827</f>
        <v/>
      </c>
      <c r="P1827" s="38">
        <f>IF(M1827=0,0,O1827/M1827)</f>
        <v/>
      </c>
      <c r="Q1827" s="36">
        <f>YEAR(B1827)</f>
        <v/>
      </c>
      <c r="R1827" s="36">
        <f>"Q"&amp;ROUNDUP(MONTH(B1827)/3,0)</f>
        <v/>
      </c>
      <c r="S1827" s="36">
        <f>MONTH(B1827)</f>
        <v/>
      </c>
      <c r="T1827" s="36">
        <f>TEXT(B1827,"mmm")</f>
        <v/>
      </c>
      <c r="U1827" s="36">
        <f>IF(AND(OR(sel_Region="All",C1827=sel_Region),OR(sel_Country="All",D1827=sel_Country),OR(sel_Channel="All",E1827=sel_Channel),OR(sel_Customer="All",F1827=sel_Customer),OR(sel_Category="All",G1827=sel_Category),OR(sel_Product="All",H1827=sel_Product),AND(S1827&gt;=m_From,S1827&lt;=m_To)),1,0)</f>
        <v/>
      </c>
      <c r="V1827" s="36">
        <f>IF(AND(OR(sel_Region="All",C1827=sel_Region),OR(sel_Channel="All",E1827=sel_Channel),OR(sel_Customer="All",F1827=sel_Customer),OR(sel_Category="All",G1827=sel_Category),OR(sel_Product="All",H1827=sel_Product),AND(S1827&gt;=m_From,S1827&lt;=m_To)),1,0)</f>
        <v/>
      </c>
      <c r="W1827" s="36">
        <f>IF(AND(OR(sel_Region="All",C1827=sel_Region),OR(sel_Country="All",D1827=sel_Country),OR(sel_Customer="All",F1827=sel_Customer),OR(sel_Category="All",G1827=sel_Category),OR(sel_Product="All",H1827=sel_Product),AND(S1827&gt;=m_From,S1827&lt;=m_To)),1,0)</f>
        <v/>
      </c>
      <c r="X1827" s="36">
        <f>IF(AND(OR(sel_Region="All",C1827=sel_Region),OR(sel_Country="All",D1827=sel_Country),OR(sel_Channel="All",E1827=sel_Channel),OR(sel_Category="All",G1827=sel_Category),OR(sel_Product="All",H1827=sel_Product),AND(S1827&gt;=m_From,S1827&lt;=m_To)),1,0)</f>
        <v/>
      </c>
      <c r="Y1827" s="36">
        <f>IF(AND(OR(sel_Region="All",C1827=sel_Region),OR(sel_Country="All",D1827=sel_Country),OR(sel_Channel="All",E1827=sel_Channel),OR(sel_Customer="All",F1827=sel_Customer),OR(sel_Product="All",H1827=sel_Product),AND(S1827&gt;=m_From,S1827&lt;=m_To)),1,0)</f>
        <v/>
      </c>
      <c r="Z1827" s="36">
        <f>IF(AND(OR(sel_Region="All",C1827=sel_Region),OR(sel_Country="All",D1827=sel_Country),OR(sel_Channel="All",E1827=sel_Channel),OR(sel_Customer="All",F1827=sel_Customer),OR(sel_Category="All",G1827=sel_Category),AND(S1827&gt;=m_From,S1827&lt;=m_To)),1,0)</f>
        <v/>
      </c>
      <c r="AA1827" s="36">
        <f>IF(AND(OR(sel_Region="All",C1827=sel_Region),OR(sel_Country="All",D1827=sel_Country),OR(sel_Channel="All",E1827=sel_Channel),OR(sel_Customer="All",F1827=sel_Customer),OR(sel_Category="All",G1827=sel_Category),OR(sel_Product="All",H1827=sel_Product)),1,0)</f>
        <v/>
      </c>
    </row>
    <row r="1828">
      <c r="A1828" s="36" t="inlineStr">
        <is>
          <t>03514</t>
        </is>
      </c>
      <c r="B1828" s="44" t="n">
        <v>46270</v>
      </c>
      <c r="C1828" s="36" t="inlineStr">
        <is>
          <t>Central Europe</t>
        </is>
      </c>
      <c r="D1828" s="36" t="inlineStr">
        <is>
          <t>Austria</t>
        </is>
      </c>
      <c r="E1828" s="36" t="inlineStr">
        <is>
          <t>Online Store</t>
        </is>
      </c>
      <c r="F1828" s="36" t="inlineStr">
        <is>
          <t>New</t>
        </is>
      </c>
      <c r="G1828" s="36" t="inlineStr">
        <is>
          <t>Travel</t>
        </is>
      </c>
      <c r="H1828" s="36" t="inlineStr">
        <is>
          <t>Carry-On Duffel</t>
        </is>
      </c>
      <c r="I1828" s="36" t="n">
        <v>2</v>
      </c>
      <c r="J1828" s="39" t="n">
        <v>133.81</v>
      </c>
      <c r="K1828" s="45" t="n">
        <v>0</v>
      </c>
      <c r="L1828" s="39" t="n">
        <v>66.78</v>
      </c>
      <c r="M1828" s="39">
        <f>I1828*J1828*(1-K1828)</f>
        <v/>
      </c>
      <c r="N1828" s="39">
        <f>I1828*L1828</f>
        <v/>
      </c>
      <c r="O1828" s="39">
        <f>M1828-N1828</f>
        <v/>
      </c>
      <c r="P1828" s="38">
        <f>IF(M1828=0,0,O1828/M1828)</f>
        <v/>
      </c>
      <c r="Q1828" s="36">
        <f>YEAR(B1828)</f>
        <v/>
      </c>
      <c r="R1828" s="36">
        <f>"Q"&amp;ROUNDUP(MONTH(B1828)/3,0)</f>
        <v/>
      </c>
      <c r="S1828" s="36">
        <f>MONTH(B1828)</f>
        <v/>
      </c>
      <c r="T1828" s="36">
        <f>TEXT(B1828,"mmm")</f>
        <v/>
      </c>
      <c r="U1828" s="36">
        <f>IF(AND(OR(sel_Region="All",C1828=sel_Region),OR(sel_Country="All",D1828=sel_Country),OR(sel_Channel="All",E1828=sel_Channel),OR(sel_Customer="All",F1828=sel_Customer),OR(sel_Category="All",G1828=sel_Category),OR(sel_Product="All",H1828=sel_Product),AND(S1828&gt;=m_From,S1828&lt;=m_To)),1,0)</f>
        <v/>
      </c>
      <c r="V1828" s="36">
        <f>IF(AND(OR(sel_Region="All",C1828=sel_Region),OR(sel_Channel="All",E1828=sel_Channel),OR(sel_Customer="All",F1828=sel_Customer),OR(sel_Category="All",G1828=sel_Category),OR(sel_Product="All",H1828=sel_Product),AND(S1828&gt;=m_From,S1828&lt;=m_To)),1,0)</f>
        <v/>
      </c>
      <c r="W1828" s="36">
        <f>IF(AND(OR(sel_Region="All",C1828=sel_Region),OR(sel_Country="All",D1828=sel_Country),OR(sel_Customer="All",F1828=sel_Customer),OR(sel_Category="All",G1828=sel_Category),OR(sel_Product="All",H1828=sel_Product),AND(S1828&gt;=m_From,S1828&lt;=m_To)),1,0)</f>
        <v/>
      </c>
      <c r="X1828" s="36">
        <f>IF(AND(OR(sel_Region="All",C1828=sel_Region),OR(sel_Country="All",D1828=sel_Country),OR(sel_Channel="All",E1828=sel_Channel),OR(sel_Category="All",G1828=sel_Category),OR(sel_Product="All",H1828=sel_Product),AND(S1828&gt;=m_From,S1828&lt;=m_To)),1,0)</f>
        <v/>
      </c>
      <c r="Y1828" s="36">
        <f>IF(AND(OR(sel_Region="All",C1828=sel_Region),OR(sel_Country="All",D1828=sel_Country),OR(sel_Channel="All",E1828=sel_Channel),OR(sel_Customer="All",F1828=sel_Customer),OR(sel_Product="All",H1828=sel_Product),AND(S1828&gt;=m_From,S1828&lt;=m_To)),1,0)</f>
        <v/>
      </c>
      <c r="Z1828" s="36">
        <f>IF(AND(OR(sel_Region="All",C1828=sel_Region),OR(sel_Country="All",D1828=sel_Country),OR(sel_Channel="All",E1828=sel_Channel),OR(sel_Customer="All",F1828=sel_Customer),OR(sel_Category="All",G1828=sel_Category),AND(S1828&gt;=m_From,S1828&lt;=m_To)),1,0)</f>
        <v/>
      </c>
      <c r="AA1828" s="36">
        <f>IF(AND(OR(sel_Region="All",C1828=sel_Region),OR(sel_Country="All",D1828=sel_Country),OR(sel_Channel="All",E1828=sel_Channel),OR(sel_Customer="All",F1828=sel_Customer),OR(sel_Category="All",G1828=sel_Category),OR(sel_Product="All",H1828=sel_Product)),1,0)</f>
        <v/>
      </c>
    </row>
    <row r="1829">
      <c r="A1829" s="36" t="inlineStr">
        <is>
          <t>03964</t>
        </is>
      </c>
      <c r="B1829" s="44" t="n">
        <v>46270</v>
      </c>
      <c r="C1829" s="36" t="inlineStr">
        <is>
          <t>Central Europe</t>
        </is>
      </c>
      <c r="D1829" s="36" t="inlineStr">
        <is>
          <t>Germany</t>
        </is>
      </c>
      <c r="E1829" s="36" t="inlineStr">
        <is>
          <t>Retail Partners</t>
        </is>
      </c>
      <c r="F1829" s="36" t="inlineStr">
        <is>
          <t>New</t>
        </is>
      </c>
      <c r="G1829" s="36" t="inlineStr">
        <is>
          <t>Fitness</t>
        </is>
      </c>
      <c r="H1829" s="36" t="inlineStr">
        <is>
          <t>Resistance Band Set</t>
        </is>
      </c>
      <c r="I1829" s="36" t="n">
        <v>2</v>
      </c>
      <c r="J1829" s="39" t="n">
        <v>40.49</v>
      </c>
      <c r="K1829" s="45" t="n">
        <v>0.15</v>
      </c>
      <c r="L1829" s="39" t="n">
        <v>14.32</v>
      </c>
      <c r="M1829" s="39">
        <f>I1829*J1829*(1-K1829)</f>
        <v/>
      </c>
      <c r="N1829" s="39">
        <f>I1829*L1829</f>
        <v/>
      </c>
      <c r="O1829" s="39">
        <f>M1829-N1829</f>
        <v/>
      </c>
      <c r="P1829" s="38">
        <f>IF(M1829=0,0,O1829/M1829)</f>
        <v/>
      </c>
      <c r="Q1829" s="36">
        <f>YEAR(B1829)</f>
        <v/>
      </c>
      <c r="R1829" s="36">
        <f>"Q"&amp;ROUNDUP(MONTH(B1829)/3,0)</f>
        <v/>
      </c>
      <c r="S1829" s="36">
        <f>MONTH(B1829)</f>
        <v/>
      </c>
      <c r="T1829" s="36">
        <f>TEXT(B1829,"mmm")</f>
        <v/>
      </c>
      <c r="U1829" s="36">
        <f>IF(AND(OR(sel_Region="All",C1829=sel_Region),OR(sel_Country="All",D1829=sel_Country),OR(sel_Channel="All",E1829=sel_Channel),OR(sel_Customer="All",F1829=sel_Customer),OR(sel_Category="All",G1829=sel_Category),OR(sel_Product="All",H1829=sel_Product),AND(S1829&gt;=m_From,S1829&lt;=m_To)),1,0)</f>
        <v/>
      </c>
      <c r="V1829" s="36">
        <f>IF(AND(OR(sel_Region="All",C1829=sel_Region),OR(sel_Channel="All",E1829=sel_Channel),OR(sel_Customer="All",F1829=sel_Customer),OR(sel_Category="All",G1829=sel_Category),OR(sel_Product="All",H1829=sel_Product),AND(S1829&gt;=m_From,S1829&lt;=m_To)),1,0)</f>
        <v/>
      </c>
      <c r="W1829" s="36">
        <f>IF(AND(OR(sel_Region="All",C1829=sel_Region),OR(sel_Country="All",D1829=sel_Country),OR(sel_Customer="All",F1829=sel_Customer),OR(sel_Category="All",G1829=sel_Category),OR(sel_Product="All",H1829=sel_Product),AND(S1829&gt;=m_From,S1829&lt;=m_To)),1,0)</f>
        <v/>
      </c>
      <c r="X1829" s="36">
        <f>IF(AND(OR(sel_Region="All",C1829=sel_Region),OR(sel_Country="All",D1829=sel_Country),OR(sel_Channel="All",E1829=sel_Channel),OR(sel_Category="All",G1829=sel_Category),OR(sel_Product="All",H1829=sel_Product),AND(S1829&gt;=m_From,S1829&lt;=m_To)),1,0)</f>
        <v/>
      </c>
      <c r="Y1829" s="36">
        <f>IF(AND(OR(sel_Region="All",C1829=sel_Region),OR(sel_Country="All",D1829=sel_Country),OR(sel_Channel="All",E1829=sel_Channel),OR(sel_Customer="All",F1829=sel_Customer),OR(sel_Product="All",H1829=sel_Product),AND(S1829&gt;=m_From,S1829&lt;=m_To)),1,0)</f>
        <v/>
      </c>
      <c r="Z1829" s="36">
        <f>IF(AND(OR(sel_Region="All",C1829=sel_Region),OR(sel_Country="All",D1829=sel_Country),OR(sel_Channel="All",E1829=sel_Channel),OR(sel_Customer="All",F1829=sel_Customer),OR(sel_Category="All",G1829=sel_Category),AND(S1829&gt;=m_From,S1829&lt;=m_To)),1,0)</f>
        <v/>
      </c>
      <c r="AA1829" s="36">
        <f>IF(AND(OR(sel_Region="All",C1829=sel_Region),OR(sel_Country="All",D1829=sel_Country),OR(sel_Channel="All",E1829=sel_Channel),OR(sel_Customer="All",F1829=sel_Customer),OR(sel_Category="All",G1829=sel_Category),OR(sel_Product="All",H1829=sel_Product)),1,0)</f>
        <v/>
      </c>
    </row>
    <row r="1830">
      <c r="A1830" s="36" t="inlineStr">
        <is>
          <t>04599</t>
        </is>
      </c>
      <c r="B1830" s="44" t="n">
        <v>46270</v>
      </c>
      <c r="C1830" s="36" t="inlineStr">
        <is>
          <t>Northern Europe</t>
        </is>
      </c>
      <c r="D1830" s="36" t="inlineStr">
        <is>
          <t>Sweden</t>
        </is>
      </c>
      <c r="E1830" s="36" t="inlineStr">
        <is>
          <t>Online Store</t>
        </is>
      </c>
      <c r="F1830" s="36" t="inlineStr">
        <is>
          <t>Business</t>
        </is>
      </c>
      <c r="G1830" s="36" t="inlineStr">
        <is>
          <t>Camping</t>
        </is>
      </c>
      <c r="H1830" s="36" t="inlineStr">
        <is>
          <t>Trail Tent 2P</t>
        </is>
      </c>
      <c r="I1830" s="36" t="n">
        <v>4</v>
      </c>
      <c r="J1830" s="39" t="n">
        <v>198.1</v>
      </c>
      <c r="K1830" s="45" t="n">
        <v>0</v>
      </c>
      <c r="L1830" s="39" t="n">
        <v>101.61</v>
      </c>
      <c r="M1830" s="39">
        <f>I1830*J1830*(1-K1830)</f>
        <v/>
      </c>
      <c r="N1830" s="39">
        <f>I1830*L1830</f>
        <v/>
      </c>
      <c r="O1830" s="39">
        <f>M1830-N1830</f>
        <v/>
      </c>
      <c r="P1830" s="38">
        <f>IF(M1830=0,0,O1830/M1830)</f>
        <v/>
      </c>
      <c r="Q1830" s="36">
        <f>YEAR(B1830)</f>
        <v/>
      </c>
      <c r="R1830" s="36">
        <f>"Q"&amp;ROUNDUP(MONTH(B1830)/3,0)</f>
        <v/>
      </c>
      <c r="S1830" s="36">
        <f>MONTH(B1830)</f>
        <v/>
      </c>
      <c r="T1830" s="36">
        <f>TEXT(B1830,"mmm")</f>
        <v/>
      </c>
      <c r="U1830" s="36">
        <f>IF(AND(OR(sel_Region="All",C1830=sel_Region),OR(sel_Country="All",D1830=sel_Country),OR(sel_Channel="All",E1830=sel_Channel),OR(sel_Customer="All",F1830=sel_Customer),OR(sel_Category="All",G1830=sel_Category),OR(sel_Product="All",H1830=sel_Product),AND(S1830&gt;=m_From,S1830&lt;=m_To)),1,0)</f>
        <v/>
      </c>
      <c r="V1830" s="36">
        <f>IF(AND(OR(sel_Region="All",C1830=sel_Region),OR(sel_Channel="All",E1830=sel_Channel),OR(sel_Customer="All",F1830=sel_Customer),OR(sel_Category="All",G1830=sel_Category),OR(sel_Product="All",H1830=sel_Product),AND(S1830&gt;=m_From,S1830&lt;=m_To)),1,0)</f>
        <v/>
      </c>
      <c r="W1830" s="36">
        <f>IF(AND(OR(sel_Region="All",C1830=sel_Region),OR(sel_Country="All",D1830=sel_Country),OR(sel_Customer="All",F1830=sel_Customer),OR(sel_Category="All",G1830=sel_Category),OR(sel_Product="All",H1830=sel_Product),AND(S1830&gt;=m_From,S1830&lt;=m_To)),1,0)</f>
        <v/>
      </c>
      <c r="X1830" s="36">
        <f>IF(AND(OR(sel_Region="All",C1830=sel_Region),OR(sel_Country="All",D1830=sel_Country),OR(sel_Channel="All",E1830=sel_Channel),OR(sel_Category="All",G1830=sel_Category),OR(sel_Product="All",H1830=sel_Product),AND(S1830&gt;=m_From,S1830&lt;=m_To)),1,0)</f>
        <v/>
      </c>
      <c r="Y1830" s="36">
        <f>IF(AND(OR(sel_Region="All",C1830=sel_Region),OR(sel_Country="All",D1830=sel_Country),OR(sel_Channel="All",E1830=sel_Channel),OR(sel_Customer="All",F1830=sel_Customer),OR(sel_Product="All",H1830=sel_Product),AND(S1830&gt;=m_From,S1830&lt;=m_To)),1,0)</f>
        <v/>
      </c>
      <c r="Z1830" s="36">
        <f>IF(AND(OR(sel_Region="All",C1830=sel_Region),OR(sel_Country="All",D1830=sel_Country),OR(sel_Channel="All",E1830=sel_Channel),OR(sel_Customer="All",F1830=sel_Customer),OR(sel_Category="All",G1830=sel_Category),AND(S1830&gt;=m_From,S1830&lt;=m_To)),1,0)</f>
        <v/>
      </c>
      <c r="AA1830" s="36">
        <f>IF(AND(OR(sel_Region="All",C1830=sel_Region),OR(sel_Country="All",D1830=sel_Country),OR(sel_Channel="All",E1830=sel_Channel),OR(sel_Customer="All",F1830=sel_Customer),OR(sel_Category="All",G1830=sel_Category),OR(sel_Product="All",H1830=sel_Product)),1,0)</f>
        <v/>
      </c>
    </row>
    <row r="1831">
      <c r="A1831" s="36" t="inlineStr">
        <is>
          <t>05030</t>
        </is>
      </c>
      <c r="B1831" s="44" t="n">
        <v>46270</v>
      </c>
      <c r="C1831" s="36" t="inlineStr">
        <is>
          <t>Central Europe</t>
        </is>
      </c>
      <c r="D1831" s="36" t="inlineStr">
        <is>
          <t>Germany</t>
        </is>
      </c>
      <c r="E1831" s="36" t="inlineStr">
        <is>
          <t>Retail Partners</t>
        </is>
      </c>
      <c r="F1831" s="36" t="inlineStr">
        <is>
          <t>New</t>
        </is>
      </c>
      <c r="G1831" s="36" t="inlineStr">
        <is>
          <t>Cycling</t>
        </is>
      </c>
      <c r="H1831" s="36" t="inlineStr">
        <is>
          <t>Commuter Helmet</t>
        </is>
      </c>
      <c r="I1831" s="36" t="n">
        <v>1</v>
      </c>
      <c r="J1831" s="39" t="n">
        <v>83.73</v>
      </c>
      <c r="K1831" s="45" t="n">
        <v>0.15</v>
      </c>
      <c r="L1831" s="39" t="n">
        <v>43.34</v>
      </c>
      <c r="M1831" s="39">
        <f>I1831*J1831*(1-K1831)</f>
        <v/>
      </c>
      <c r="N1831" s="39">
        <f>I1831*L1831</f>
        <v/>
      </c>
      <c r="O1831" s="39">
        <f>M1831-N1831</f>
        <v/>
      </c>
      <c r="P1831" s="38">
        <f>IF(M1831=0,0,O1831/M1831)</f>
        <v/>
      </c>
      <c r="Q1831" s="36">
        <f>YEAR(B1831)</f>
        <v/>
      </c>
      <c r="R1831" s="36">
        <f>"Q"&amp;ROUNDUP(MONTH(B1831)/3,0)</f>
        <v/>
      </c>
      <c r="S1831" s="36">
        <f>MONTH(B1831)</f>
        <v/>
      </c>
      <c r="T1831" s="36">
        <f>TEXT(B1831,"mmm")</f>
        <v/>
      </c>
      <c r="U1831" s="36">
        <f>IF(AND(OR(sel_Region="All",C1831=sel_Region),OR(sel_Country="All",D1831=sel_Country),OR(sel_Channel="All",E1831=sel_Channel),OR(sel_Customer="All",F1831=sel_Customer),OR(sel_Category="All",G1831=sel_Category),OR(sel_Product="All",H1831=sel_Product),AND(S1831&gt;=m_From,S1831&lt;=m_To)),1,0)</f>
        <v/>
      </c>
      <c r="V1831" s="36">
        <f>IF(AND(OR(sel_Region="All",C1831=sel_Region),OR(sel_Channel="All",E1831=sel_Channel),OR(sel_Customer="All",F1831=sel_Customer),OR(sel_Category="All",G1831=sel_Category),OR(sel_Product="All",H1831=sel_Product),AND(S1831&gt;=m_From,S1831&lt;=m_To)),1,0)</f>
        <v/>
      </c>
      <c r="W1831" s="36">
        <f>IF(AND(OR(sel_Region="All",C1831=sel_Region),OR(sel_Country="All",D1831=sel_Country),OR(sel_Customer="All",F1831=sel_Customer),OR(sel_Category="All",G1831=sel_Category),OR(sel_Product="All",H1831=sel_Product),AND(S1831&gt;=m_From,S1831&lt;=m_To)),1,0)</f>
        <v/>
      </c>
      <c r="X1831" s="36">
        <f>IF(AND(OR(sel_Region="All",C1831=sel_Region),OR(sel_Country="All",D1831=sel_Country),OR(sel_Channel="All",E1831=sel_Channel),OR(sel_Category="All",G1831=sel_Category),OR(sel_Product="All",H1831=sel_Product),AND(S1831&gt;=m_From,S1831&lt;=m_To)),1,0)</f>
        <v/>
      </c>
      <c r="Y1831" s="36">
        <f>IF(AND(OR(sel_Region="All",C1831=sel_Region),OR(sel_Country="All",D1831=sel_Country),OR(sel_Channel="All",E1831=sel_Channel),OR(sel_Customer="All",F1831=sel_Customer),OR(sel_Product="All",H1831=sel_Product),AND(S1831&gt;=m_From,S1831&lt;=m_To)),1,0)</f>
        <v/>
      </c>
      <c r="Z1831" s="36">
        <f>IF(AND(OR(sel_Region="All",C1831=sel_Region),OR(sel_Country="All",D1831=sel_Country),OR(sel_Channel="All",E1831=sel_Channel),OR(sel_Customer="All",F1831=sel_Customer),OR(sel_Category="All",G1831=sel_Category),AND(S1831&gt;=m_From,S1831&lt;=m_To)),1,0)</f>
        <v/>
      </c>
      <c r="AA1831" s="36">
        <f>IF(AND(OR(sel_Region="All",C1831=sel_Region),OR(sel_Country="All",D1831=sel_Country),OR(sel_Channel="All",E1831=sel_Channel),OR(sel_Customer="All",F1831=sel_Customer),OR(sel_Category="All",G1831=sel_Category),OR(sel_Product="All",H1831=sel_Product)),1,0)</f>
        <v/>
      </c>
    </row>
    <row r="1832">
      <c r="A1832" s="36" t="inlineStr">
        <is>
          <t>01593</t>
        </is>
      </c>
      <c r="B1832" s="44" t="n">
        <v>46271</v>
      </c>
      <c r="C1832" s="36" t="inlineStr">
        <is>
          <t>Central Europe</t>
        </is>
      </c>
      <c r="D1832" s="36" t="inlineStr">
        <is>
          <t>Poland</t>
        </is>
      </c>
      <c r="E1832" s="36" t="inlineStr">
        <is>
          <t>Retail Partners</t>
        </is>
      </c>
      <c r="F1832" s="36" t="inlineStr">
        <is>
          <t>New</t>
        </is>
      </c>
      <c r="G1832" s="36" t="inlineStr">
        <is>
          <t>Camping</t>
        </is>
      </c>
      <c r="H1832" s="36" t="inlineStr">
        <is>
          <t>Trail Tent 2P</t>
        </is>
      </c>
      <c r="I1832" s="36" t="n">
        <v>2</v>
      </c>
      <c r="J1832" s="39" t="n">
        <v>194.92</v>
      </c>
      <c r="K1832" s="45" t="n">
        <v>0</v>
      </c>
      <c r="L1832" s="39" t="n">
        <v>102.66</v>
      </c>
      <c r="M1832" s="39">
        <f>I1832*J1832*(1-K1832)</f>
        <v/>
      </c>
      <c r="N1832" s="39">
        <f>I1832*L1832</f>
        <v/>
      </c>
      <c r="O1832" s="39">
        <f>M1832-N1832</f>
        <v/>
      </c>
      <c r="P1832" s="38">
        <f>IF(M1832=0,0,O1832/M1832)</f>
        <v/>
      </c>
      <c r="Q1832" s="36">
        <f>YEAR(B1832)</f>
        <v/>
      </c>
      <c r="R1832" s="36">
        <f>"Q"&amp;ROUNDUP(MONTH(B1832)/3,0)</f>
        <v/>
      </c>
      <c r="S1832" s="36">
        <f>MONTH(B1832)</f>
        <v/>
      </c>
      <c r="T1832" s="36">
        <f>TEXT(B1832,"mmm")</f>
        <v/>
      </c>
      <c r="U1832" s="36">
        <f>IF(AND(OR(sel_Region="All",C1832=sel_Region),OR(sel_Country="All",D1832=sel_Country),OR(sel_Channel="All",E1832=sel_Channel),OR(sel_Customer="All",F1832=sel_Customer),OR(sel_Category="All",G1832=sel_Category),OR(sel_Product="All",H1832=sel_Product),AND(S1832&gt;=m_From,S1832&lt;=m_To)),1,0)</f>
        <v/>
      </c>
      <c r="V1832" s="36">
        <f>IF(AND(OR(sel_Region="All",C1832=sel_Region),OR(sel_Channel="All",E1832=sel_Channel),OR(sel_Customer="All",F1832=sel_Customer),OR(sel_Category="All",G1832=sel_Category),OR(sel_Product="All",H1832=sel_Product),AND(S1832&gt;=m_From,S1832&lt;=m_To)),1,0)</f>
        <v/>
      </c>
      <c r="W1832" s="36">
        <f>IF(AND(OR(sel_Region="All",C1832=sel_Region),OR(sel_Country="All",D1832=sel_Country),OR(sel_Customer="All",F1832=sel_Customer),OR(sel_Category="All",G1832=sel_Category),OR(sel_Product="All",H1832=sel_Product),AND(S1832&gt;=m_From,S1832&lt;=m_To)),1,0)</f>
        <v/>
      </c>
      <c r="X1832" s="36">
        <f>IF(AND(OR(sel_Region="All",C1832=sel_Region),OR(sel_Country="All",D1832=sel_Country),OR(sel_Channel="All",E1832=sel_Channel),OR(sel_Category="All",G1832=sel_Category),OR(sel_Product="All",H1832=sel_Product),AND(S1832&gt;=m_From,S1832&lt;=m_To)),1,0)</f>
        <v/>
      </c>
      <c r="Y1832" s="36">
        <f>IF(AND(OR(sel_Region="All",C1832=sel_Region),OR(sel_Country="All",D1832=sel_Country),OR(sel_Channel="All",E1832=sel_Channel),OR(sel_Customer="All",F1832=sel_Customer),OR(sel_Product="All",H1832=sel_Product),AND(S1832&gt;=m_From,S1832&lt;=m_To)),1,0)</f>
        <v/>
      </c>
      <c r="Z1832" s="36">
        <f>IF(AND(OR(sel_Region="All",C1832=sel_Region),OR(sel_Country="All",D1832=sel_Country),OR(sel_Channel="All",E1832=sel_Channel),OR(sel_Customer="All",F1832=sel_Customer),OR(sel_Category="All",G1832=sel_Category),AND(S1832&gt;=m_From,S1832&lt;=m_To)),1,0)</f>
        <v/>
      </c>
      <c r="AA1832" s="36">
        <f>IF(AND(OR(sel_Region="All",C1832=sel_Region),OR(sel_Country="All",D1832=sel_Country),OR(sel_Channel="All",E1832=sel_Channel),OR(sel_Customer="All",F1832=sel_Customer),OR(sel_Category="All",G1832=sel_Category),OR(sel_Product="All",H1832=sel_Product)),1,0)</f>
        <v/>
      </c>
    </row>
    <row r="1833">
      <c r="A1833" s="36" t="inlineStr">
        <is>
          <t>01818</t>
        </is>
      </c>
      <c r="B1833" s="44" t="n">
        <v>46271</v>
      </c>
      <c r="C1833" s="36" t="inlineStr">
        <is>
          <t>Central Europe</t>
        </is>
      </c>
      <c r="D1833" s="36" t="inlineStr">
        <is>
          <t>Germany</t>
        </is>
      </c>
      <c r="E1833" s="36" t="inlineStr">
        <is>
          <t>Retail Partners</t>
        </is>
      </c>
      <c r="F1833" s="36" t="inlineStr">
        <is>
          <t>New</t>
        </is>
      </c>
      <c r="G1833" s="36" t="inlineStr">
        <is>
          <t>Travel</t>
        </is>
      </c>
      <c r="H1833" s="36" t="inlineStr">
        <is>
          <t>Travel Backpack 35L</t>
        </is>
      </c>
      <c r="I1833" s="36" t="n">
        <v>1</v>
      </c>
      <c r="J1833" s="39" t="n">
        <v>161.03</v>
      </c>
      <c r="K1833" s="45" t="n">
        <v>0</v>
      </c>
      <c r="L1833" s="39" t="n">
        <v>89.86</v>
      </c>
      <c r="M1833" s="39">
        <f>I1833*J1833*(1-K1833)</f>
        <v/>
      </c>
      <c r="N1833" s="39">
        <f>I1833*L1833</f>
        <v/>
      </c>
      <c r="O1833" s="39">
        <f>M1833-N1833</f>
        <v/>
      </c>
      <c r="P1833" s="38">
        <f>IF(M1833=0,0,O1833/M1833)</f>
        <v/>
      </c>
      <c r="Q1833" s="36">
        <f>YEAR(B1833)</f>
        <v/>
      </c>
      <c r="R1833" s="36">
        <f>"Q"&amp;ROUNDUP(MONTH(B1833)/3,0)</f>
        <v/>
      </c>
      <c r="S1833" s="36">
        <f>MONTH(B1833)</f>
        <v/>
      </c>
      <c r="T1833" s="36">
        <f>TEXT(B1833,"mmm")</f>
        <v/>
      </c>
      <c r="U1833" s="36">
        <f>IF(AND(OR(sel_Region="All",C1833=sel_Region),OR(sel_Country="All",D1833=sel_Country),OR(sel_Channel="All",E1833=sel_Channel),OR(sel_Customer="All",F1833=sel_Customer),OR(sel_Category="All",G1833=sel_Category),OR(sel_Product="All",H1833=sel_Product),AND(S1833&gt;=m_From,S1833&lt;=m_To)),1,0)</f>
        <v/>
      </c>
      <c r="V1833" s="36">
        <f>IF(AND(OR(sel_Region="All",C1833=sel_Region),OR(sel_Channel="All",E1833=sel_Channel),OR(sel_Customer="All",F1833=sel_Customer),OR(sel_Category="All",G1833=sel_Category),OR(sel_Product="All",H1833=sel_Product),AND(S1833&gt;=m_From,S1833&lt;=m_To)),1,0)</f>
        <v/>
      </c>
      <c r="W1833" s="36">
        <f>IF(AND(OR(sel_Region="All",C1833=sel_Region),OR(sel_Country="All",D1833=sel_Country),OR(sel_Customer="All",F1833=sel_Customer),OR(sel_Category="All",G1833=sel_Category),OR(sel_Product="All",H1833=sel_Product),AND(S1833&gt;=m_From,S1833&lt;=m_To)),1,0)</f>
        <v/>
      </c>
      <c r="X1833" s="36">
        <f>IF(AND(OR(sel_Region="All",C1833=sel_Region),OR(sel_Country="All",D1833=sel_Country),OR(sel_Channel="All",E1833=sel_Channel),OR(sel_Category="All",G1833=sel_Category),OR(sel_Product="All",H1833=sel_Product),AND(S1833&gt;=m_From,S1833&lt;=m_To)),1,0)</f>
        <v/>
      </c>
      <c r="Y1833" s="36">
        <f>IF(AND(OR(sel_Region="All",C1833=sel_Region),OR(sel_Country="All",D1833=sel_Country),OR(sel_Channel="All",E1833=sel_Channel),OR(sel_Customer="All",F1833=sel_Customer),OR(sel_Product="All",H1833=sel_Product),AND(S1833&gt;=m_From,S1833&lt;=m_To)),1,0)</f>
        <v/>
      </c>
      <c r="Z1833" s="36">
        <f>IF(AND(OR(sel_Region="All",C1833=sel_Region),OR(sel_Country="All",D1833=sel_Country),OR(sel_Channel="All",E1833=sel_Channel),OR(sel_Customer="All",F1833=sel_Customer),OR(sel_Category="All",G1833=sel_Category),AND(S1833&gt;=m_From,S1833&lt;=m_To)),1,0)</f>
        <v/>
      </c>
      <c r="AA1833" s="36">
        <f>IF(AND(OR(sel_Region="All",C1833=sel_Region),OR(sel_Country="All",D1833=sel_Country),OR(sel_Channel="All",E1833=sel_Channel),OR(sel_Customer="All",F1833=sel_Customer),OR(sel_Category="All",G1833=sel_Category),OR(sel_Product="All",H1833=sel_Product)),1,0)</f>
        <v/>
      </c>
    </row>
    <row r="1834">
      <c r="A1834" s="36" t="inlineStr">
        <is>
          <t>02370</t>
        </is>
      </c>
      <c r="B1834" s="44" t="n">
        <v>46271</v>
      </c>
      <c r="C1834" s="36" t="inlineStr">
        <is>
          <t>Western Europe</t>
        </is>
      </c>
      <c r="D1834" s="36" t="inlineStr">
        <is>
          <t>Belgium</t>
        </is>
      </c>
      <c r="E1834" s="36" t="inlineStr">
        <is>
          <t>Marketplace</t>
        </is>
      </c>
      <c r="F1834" s="36" t="inlineStr">
        <is>
          <t>New</t>
        </is>
      </c>
      <c r="G1834" s="36" t="inlineStr">
        <is>
          <t>Fitness</t>
        </is>
      </c>
      <c r="H1834" s="36" t="inlineStr">
        <is>
          <t>Recovery Roller</t>
        </is>
      </c>
      <c r="I1834" s="36" t="n">
        <v>1</v>
      </c>
      <c r="J1834" s="39" t="n">
        <v>35.68</v>
      </c>
      <c r="K1834" s="45" t="n">
        <v>0.05</v>
      </c>
      <c r="L1834" s="39" t="n">
        <v>13.76</v>
      </c>
      <c r="M1834" s="39">
        <f>I1834*J1834*(1-K1834)</f>
        <v/>
      </c>
      <c r="N1834" s="39">
        <f>I1834*L1834</f>
        <v/>
      </c>
      <c r="O1834" s="39">
        <f>M1834-N1834</f>
        <v/>
      </c>
      <c r="P1834" s="38">
        <f>IF(M1834=0,0,O1834/M1834)</f>
        <v/>
      </c>
      <c r="Q1834" s="36">
        <f>YEAR(B1834)</f>
        <v/>
      </c>
      <c r="R1834" s="36">
        <f>"Q"&amp;ROUNDUP(MONTH(B1834)/3,0)</f>
        <v/>
      </c>
      <c r="S1834" s="36">
        <f>MONTH(B1834)</f>
        <v/>
      </c>
      <c r="T1834" s="36">
        <f>TEXT(B1834,"mmm")</f>
        <v/>
      </c>
      <c r="U1834" s="36">
        <f>IF(AND(OR(sel_Region="All",C1834=sel_Region),OR(sel_Country="All",D1834=sel_Country),OR(sel_Channel="All",E1834=sel_Channel),OR(sel_Customer="All",F1834=sel_Customer),OR(sel_Category="All",G1834=sel_Category),OR(sel_Product="All",H1834=sel_Product),AND(S1834&gt;=m_From,S1834&lt;=m_To)),1,0)</f>
        <v/>
      </c>
      <c r="V1834" s="36">
        <f>IF(AND(OR(sel_Region="All",C1834=sel_Region),OR(sel_Channel="All",E1834=sel_Channel),OR(sel_Customer="All",F1834=sel_Customer),OR(sel_Category="All",G1834=sel_Category),OR(sel_Product="All",H1834=sel_Product),AND(S1834&gt;=m_From,S1834&lt;=m_To)),1,0)</f>
        <v/>
      </c>
      <c r="W1834" s="36">
        <f>IF(AND(OR(sel_Region="All",C1834=sel_Region),OR(sel_Country="All",D1834=sel_Country),OR(sel_Customer="All",F1834=sel_Customer),OR(sel_Category="All",G1834=sel_Category),OR(sel_Product="All",H1834=sel_Product),AND(S1834&gt;=m_From,S1834&lt;=m_To)),1,0)</f>
        <v/>
      </c>
      <c r="X1834" s="36">
        <f>IF(AND(OR(sel_Region="All",C1834=sel_Region),OR(sel_Country="All",D1834=sel_Country),OR(sel_Channel="All",E1834=sel_Channel),OR(sel_Category="All",G1834=sel_Category),OR(sel_Product="All",H1834=sel_Product),AND(S1834&gt;=m_From,S1834&lt;=m_To)),1,0)</f>
        <v/>
      </c>
      <c r="Y1834" s="36">
        <f>IF(AND(OR(sel_Region="All",C1834=sel_Region),OR(sel_Country="All",D1834=sel_Country),OR(sel_Channel="All",E1834=sel_Channel),OR(sel_Customer="All",F1834=sel_Customer),OR(sel_Product="All",H1834=sel_Product),AND(S1834&gt;=m_From,S1834&lt;=m_To)),1,0)</f>
        <v/>
      </c>
      <c r="Z1834" s="36">
        <f>IF(AND(OR(sel_Region="All",C1834=sel_Region),OR(sel_Country="All",D1834=sel_Country),OR(sel_Channel="All",E1834=sel_Channel),OR(sel_Customer="All",F1834=sel_Customer),OR(sel_Category="All",G1834=sel_Category),AND(S1834&gt;=m_From,S1834&lt;=m_To)),1,0)</f>
        <v/>
      </c>
      <c r="AA1834" s="36">
        <f>IF(AND(OR(sel_Region="All",C1834=sel_Region),OR(sel_Country="All",D1834=sel_Country),OR(sel_Channel="All",E1834=sel_Channel),OR(sel_Customer="All",F1834=sel_Customer),OR(sel_Category="All",G1834=sel_Category),OR(sel_Product="All",H1834=sel_Product)),1,0)</f>
        <v/>
      </c>
    </row>
    <row r="1835">
      <c r="A1835" s="36" t="inlineStr">
        <is>
          <t>02726</t>
        </is>
      </c>
      <c r="B1835" s="44" t="n">
        <v>46271</v>
      </c>
      <c r="C1835" s="36" t="inlineStr">
        <is>
          <t>Central Europe</t>
        </is>
      </c>
      <c r="D1835" s="36" t="inlineStr">
        <is>
          <t>Austria</t>
        </is>
      </c>
      <c r="E1835" s="36" t="inlineStr">
        <is>
          <t>Online Store</t>
        </is>
      </c>
      <c r="F1835" s="36" t="inlineStr">
        <is>
          <t>New</t>
        </is>
      </c>
      <c r="G1835" s="36" t="inlineStr">
        <is>
          <t>Cycling</t>
        </is>
      </c>
      <c r="H1835" s="36" t="inlineStr">
        <is>
          <t>Compact Repair Kit</t>
        </is>
      </c>
      <c r="I1835" s="36" t="n">
        <v>1</v>
      </c>
      <c r="J1835" s="39" t="n">
        <v>39.68</v>
      </c>
      <c r="K1835" s="45" t="n">
        <v>0.05</v>
      </c>
      <c r="L1835" s="39" t="n">
        <v>16.63</v>
      </c>
      <c r="M1835" s="39">
        <f>I1835*J1835*(1-K1835)</f>
        <v/>
      </c>
      <c r="N1835" s="39">
        <f>I1835*L1835</f>
        <v/>
      </c>
      <c r="O1835" s="39">
        <f>M1835-N1835</f>
        <v/>
      </c>
      <c r="P1835" s="38">
        <f>IF(M1835=0,0,O1835/M1835)</f>
        <v/>
      </c>
      <c r="Q1835" s="36">
        <f>YEAR(B1835)</f>
        <v/>
      </c>
      <c r="R1835" s="36">
        <f>"Q"&amp;ROUNDUP(MONTH(B1835)/3,0)</f>
        <v/>
      </c>
      <c r="S1835" s="36">
        <f>MONTH(B1835)</f>
        <v/>
      </c>
      <c r="T1835" s="36">
        <f>TEXT(B1835,"mmm")</f>
        <v/>
      </c>
      <c r="U1835" s="36">
        <f>IF(AND(OR(sel_Region="All",C1835=sel_Region),OR(sel_Country="All",D1835=sel_Country),OR(sel_Channel="All",E1835=sel_Channel),OR(sel_Customer="All",F1835=sel_Customer),OR(sel_Category="All",G1835=sel_Category),OR(sel_Product="All",H1835=sel_Product),AND(S1835&gt;=m_From,S1835&lt;=m_To)),1,0)</f>
        <v/>
      </c>
      <c r="V1835" s="36">
        <f>IF(AND(OR(sel_Region="All",C1835=sel_Region),OR(sel_Channel="All",E1835=sel_Channel),OR(sel_Customer="All",F1835=sel_Customer),OR(sel_Category="All",G1835=sel_Category),OR(sel_Product="All",H1835=sel_Product),AND(S1835&gt;=m_From,S1835&lt;=m_To)),1,0)</f>
        <v/>
      </c>
      <c r="W1835" s="36">
        <f>IF(AND(OR(sel_Region="All",C1835=sel_Region),OR(sel_Country="All",D1835=sel_Country),OR(sel_Customer="All",F1835=sel_Customer),OR(sel_Category="All",G1835=sel_Category),OR(sel_Product="All",H1835=sel_Product),AND(S1835&gt;=m_From,S1835&lt;=m_To)),1,0)</f>
        <v/>
      </c>
      <c r="X1835" s="36">
        <f>IF(AND(OR(sel_Region="All",C1835=sel_Region),OR(sel_Country="All",D1835=sel_Country),OR(sel_Channel="All",E1835=sel_Channel),OR(sel_Category="All",G1835=sel_Category),OR(sel_Product="All",H1835=sel_Product),AND(S1835&gt;=m_From,S1835&lt;=m_To)),1,0)</f>
        <v/>
      </c>
      <c r="Y1835" s="36">
        <f>IF(AND(OR(sel_Region="All",C1835=sel_Region),OR(sel_Country="All",D1835=sel_Country),OR(sel_Channel="All",E1835=sel_Channel),OR(sel_Customer="All",F1835=sel_Customer),OR(sel_Product="All",H1835=sel_Product),AND(S1835&gt;=m_From,S1835&lt;=m_To)),1,0)</f>
        <v/>
      </c>
      <c r="Z1835" s="36">
        <f>IF(AND(OR(sel_Region="All",C1835=sel_Region),OR(sel_Country="All",D1835=sel_Country),OR(sel_Channel="All",E1835=sel_Channel),OR(sel_Customer="All",F1835=sel_Customer),OR(sel_Category="All",G1835=sel_Category),AND(S1835&gt;=m_From,S1835&lt;=m_To)),1,0)</f>
        <v/>
      </c>
      <c r="AA1835" s="36">
        <f>IF(AND(OR(sel_Region="All",C1835=sel_Region),OR(sel_Country="All",D1835=sel_Country),OR(sel_Channel="All",E1835=sel_Channel),OR(sel_Customer="All",F1835=sel_Customer),OR(sel_Category="All",G1835=sel_Category),OR(sel_Product="All",H1835=sel_Product)),1,0)</f>
        <v/>
      </c>
    </row>
    <row r="1836">
      <c r="A1836" s="36" t="inlineStr">
        <is>
          <t>02755</t>
        </is>
      </c>
      <c r="B1836" s="44" t="n">
        <v>46271</v>
      </c>
      <c r="C1836" s="36" t="inlineStr">
        <is>
          <t>Northern Europe</t>
        </is>
      </c>
      <c r="D1836" s="36" t="inlineStr">
        <is>
          <t>Finland</t>
        </is>
      </c>
      <c r="E1836" s="36" t="inlineStr">
        <is>
          <t>Online Store</t>
        </is>
      </c>
      <c r="F1836" s="36" t="inlineStr">
        <is>
          <t>New</t>
        </is>
      </c>
      <c r="G1836" s="36" t="inlineStr">
        <is>
          <t>Hiking</t>
        </is>
      </c>
      <c r="H1836" s="36" t="inlineStr">
        <is>
          <t>Trail Boots</t>
        </is>
      </c>
      <c r="I1836" s="36" t="n">
        <v>3</v>
      </c>
      <c r="J1836" s="39" t="n">
        <v>146.22</v>
      </c>
      <c r="K1836" s="45" t="n">
        <v>0</v>
      </c>
      <c r="L1836" s="39" t="n">
        <v>80.13</v>
      </c>
      <c r="M1836" s="39">
        <f>I1836*J1836*(1-K1836)</f>
        <v/>
      </c>
      <c r="N1836" s="39">
        <f>I1836*L1836</f>
        <v/>
      </c>
      <c r="O1836" s="39">
        <f>M1836-N1836</f>
        <v/>
      </c>
      <c r="P1836" s="38">
        <f>IF(M1836=0,0,O1836/M1836)</f>
        <v/>
      </c>
      <c r="Q1836" s="36">
        <f>YEAR(B1836)</f>
        <v/>
      </c>
      <c r="R1836" s="36">
        <f>"Q"&amp;ROUNDUP(MONTH(B1836)/3,0)</f>
        <v/>
      </c>
      <c r="S1836" s="36">
        <f>MONTH(B1836)</f>
        <v/>
      </c>
      <c r="T1836" s="36">
        <f>TEXT(B1836,"mmm")</f>
        <v/>
      </c>
      <c r="U1836" s="36">
        <f>IF(AND(OR(sel_Region="All",C1836=sel_Region),OR(sel_Country="All",D1836=sel_Country),OR(sel_Channel="All",E1836=sel_Channel),OR(sel_Customer="All",F1836=sel_Customer),OR(sel_Category="All",G1836=sel_Category),OR(sel_Product="All",H1836=sel_Product),AND(S1836&gt;=m_From,S1836&lt;=m_To)),1,0)</f>
        <v/>
      </c>
      <c r="V1836" s="36">
        <f>IF(AND(OR(sel_Region="All",C1836=sel_Region),OR(sel_Channel="All",E1836=sel_Channel),OR(sel_Customer="All",F1836=sel_Customer),OR(sel_Category="All",G1836=sel_Category),OR(sel_Product="All",H1836=sel_Product),AND(S1836&gt;=m_From,S1836&lt;=m_To)),1,0)</f>
        <v/>
      </c>
      <c r="W1836" s="36">
        <f>IF(AND(OR(sel_Region="All",C1836=sel_Region),OR(sel_Country="All",D1836=sel_Country),OR(sel_Customer="All",F1836=sel_Customer),OR(sel_Category="All",G1836=sel_Category),OR(sel_Product="All",H1836=sel_Product),AND(S1836&gt;=m_From,S1836&lt;=m_To)),1,0)</f>
        <v/>
      </c>
      <c r="X1836" s="36">
        <f>IF(AND(OR(sel_Region="All",C1836=sel_Region),OR(sel_Country="All",D1836=sel_Country),OR(sel_Channel="All",E1836=sel_Channel),OR(sel_Category="All",G1836=sel_Category),OR(sel_Product="All",H1836=sel_Product),AND(S1836&gt;=m_From,S1836&lt;=m_To)),1,0)</f>
        <v/>
      </c>
      <c r="Y1836" s="36">
        <f>IF(AND(OR(sel_Region="All",C1836=sel_Region),OR(sel_Country="All",D1836=sel_Country),OR(sel_Channel="All",E1836=sel_Channel),OR(sel_Customer="All",F1836=sel_Customer),OR(sel_Product="All",H1836=sel_Product),AND(S1836&gt;=m_From,S1836&lt;=m_To)),1,0)</f>
        <v/>
      </c>
      <c r="Z1836" s="36">
        <f>IF(AND(OR(sel_Region="All",C1836=sel_Region),OR(sel_Country="All",D1836=sel_Country),OR(sel_Channel="All",E1836=sel_Channel),OR(sel_Customer="All",F1836=sel_Customer),OR(sel_Category="All",G1836=sel_Category),AND(S1836&gt;=m_From,S1836&lt;=m_To)),1,0)</f>
        <v/>
      </c>
      <c r="AA1836" s="36">
        <f>IF(AND(OR(sel_Region="All",C1836=sel_Region),OR(sel_Country="All",D1836=sel_Country),OR(sel_Channel="All",E1836=sel_Channel),OR(sel_Customer="All",F1836=sel_Customer),OR(sel_Category="All",G1836=sel_Category),OR(sel_Product="All",H1836=sel_Product)),1,0)</f>
        <v/>
      </c>
    </row>
    <row r="1837">
      <c r="A1837" s="36" t="inlineStr">
        <is>
          <t>03187</t>
        </is>
      </c>
      <c r="B1837" s="44" t="n">
        <v>46271</v>
      </c>
      <c r="C1837" s="36" t="inlineStr">
        <is>
          <t>Western Europe</t>
        </is>
      </c>
      <c r="D1837" s="36" t="inlineStr">
        <is>
          <t>Netherlands</t>
        </is>
      </c>
      <c r="E1837" s="36" t="inlineStr">
        <is>
          <t>Retail Partners</t>
        </is>
      </c>
      <c r="F1837" s="36" t="inlineStr">
        <is>
          <t>Returning</t>
        </is>
      </c>
      <c r="G1837" s="36" t="inlineStr">
        <is>
          <t>Hiking</t>
        </is>
      </c>
      <c r="H1837" s="36" t="inlineStr">
        <is>
          <t>Trekking Poles</t>
        </is>
      </c>
      <c r="I1837" s="36" t="n">
        <v>1</v>
      </c>
      <c r="J1837" s="39" t="n">
        <v>71.68000000000001</v>
      </c>
      <c r="K1837" s="45" t="n">
        <v>0</v>
      </c>
      <c r="L1837" s="39" t="n">
        <v>31.87</v>
      </c>
      <c r="M1837" s="39">
        <f>I1837*J1837*(1-K1837)</f>
        <v/>
      </c>
      <c r="N1837" s="39">
        <f>I1837*L1837</f>
        <v/>
      </c>
      <c r="O1837" s="39">
        <f>M1837-N1837</f>
        <v/>
      </c>
      <c r="P1837" s="38">
        <f>IF(M1837=0,0,O1837/M1837)</f>
        <v/>
      </c>
      <c r="Q1837" s="36">
        <f>YEAR(B1837)</f>
        <v/>
      </c>
      <c r="R1837" s="36">
        <f>"Q"&amp;ROUNDUP(MONTH(B1837)/3,0)</f>
        <v/>
      </c>
      <c r="S1837" s="36">
        <f>MONTH(B1837)</f>
        <v/>
      </c>
      <c r="T1837" s="36">
        <f>TEXT(B1837,"mmm")</f>
        <v/>
      </c>
      <c r="U1837" s="36">
        <f>IF(AND(OR(sel_Region="All",C1837=sel_Region),OR(sel_Country="All",D1837=sel_Country),OR(sel_Channel="All",E1837=sel_Channel),OR(sel_Customer="All",F1837=sel_Customer),OR(sel_Category="All",G1837=sel_Category),OR(sel_Product="All",H1837=sel_Product),AND(S1837&gt;=m_From,S1837&lt;=m_To)),1,0)</f>
        <v/>
      </c>
      <c r="V1837" s="36">
        <f>IF(AND(OR(sel_Region="All",C1837=sel_Region),OR(sel_Channel="All",E1837=sel_Channel),OR(sel_Customer="All",F1837=sel_Customer),OR(sel_Category="All",G1837=sel_Category),OR(sel_Product="All",H1837=sel_Product),AND(S1837&gt;=m_From,S1837&lt;=m_To)),1,0)</f>
        <v/>
      </c>
      <c r="W1837" s="36">
        <f>IF(AND(OR(sel_Region="All",C1837=sel_Region),OR(sel_Country="All",D1837=sel_Country),OR(sel_Customer="All",F1837=sel_Customer),OR(sel_Category="All",G1837=sel_Category),OR(sel_Product="All",H1837=sel_Product),AND(S1837&gt;=m_From,S1837&lt;=m_To)),1,0)</f>
        <v/>
      </c>
      <c r="X1837" s="36">
        <f>IF(AND(OR(sel_Region="All",C1837=sel_Region),OR(sel_Country="All",D1837=sel_Country),OR(sel_Channel="All",E1837=sel_Channel),OR(sel_Category="All",G1837=sel_Category),OR(sel_Product="All",H1837=sel_Product),AND(S1837&gt;=m_From,S1837&lt;=m_To)),1,0)</f>
        <v/>
      </c>
      <c r="Y1837" s="36">
        <f>IF(AND(OR(sel_Region="All",C1837=sel_Region),OR(sel_Country="All",D1837=sel_Country),OR(sel_Channel="All",E1837=sel_Channel),OR(sel_Customer="All",F1837=sel_Customer),OR(sel_Product="All",H1837=sel_Product),AND(S1837&gt;=m_From,S1837&lt;=m_To)),1,0)</f>
        <v/>
      </c>
      <c r="Z1837" s="36">
        <f>IF(AND(OR(sel_Region="All",C1837=sel_Region),OR(sel_Country="All",D1837=sel_Country),OR(sel_Channel="All",E1837=sel_Channel),OR(sel_Customer="All",F1837=sel_Customer),OR(sel_Category="All",G1837=sel_Category),AND(S1837&gt;=m_From,S1837&lt;=m_To)),1,0)</f>
        <v/>
      </c>
      <c r="AA1837" s="36">
        <f>IF(AND(OR(sel_Region="All",C1837=sel_Region),OR(sel_Country="All",D1837=sel_Country),OR(sel_Channel="All",E1837=sel_Channel),OR(sel_Customer="All",F1837=sel_Customer),OR(sel_Category="All",G1837=sel_Category),OR(sel_Product="All",H1837=sel_Product)),1,0)</f>
        <v/>
      </c>
    </row>
    <row r="1838">
      <c r="A1838" s="36" t="inlineStr">
        <is>
          <t>03471</t>
        </is>
      </c>
      <c r="B1838" s="44" t="n">
        <v>46271</v>
      </c>
      <c r="C1838" s="36" t="inlineStr">
        <is>
          <t>Northern Europe</t>
        </is>
      </c>
      <c r="D1838" s="36" t="inlineStr">
        <is>
          <t>Finland</t>
        </is>
      </c>
      <c r="E1838" s="36" t="inlineStr">
        <is>
          <t>Marketplace</t>
        </is>
      </c>
      <c r="F1838" s="36" t="inlineStr">
        <is>
          <t>New</t>
        </is>
      </c>
      <c r="G1838" s="36" t="inlineStr">
        <is>
          <t>Fitness</t>
        </is>
      </c>
      <c r="H1838" s="36" t="inlineStr">
        <is>
          <t>Training Mat</t>
        </is>
      </c>
      <c r="I1838" s="36" t="n">
        <v>2</v>
      </c>
      <c r="J1838" s="39" t="n">
        <v>51.77</v>
      </c>
      <c r="K1838" s="45" t="n">
        <v>0</v>
      </c>
      <c r="L1838" s="39" t="n">
        <v>21.46</v>
      </c>
      <c r="M1838" s="39">
        <f>I1838*J1838*(1-K1838)</f>
        <v/>
      </c>
      <c r="N1838" s="39">
        <f>I1838*L1838</f>
        <v/>
      </c>
      <c r="O1838" s="39">
        <f>M1838-N1838</f>
        <v/>
      </c>
      <c r="P1838" s="38">
        <f>IF(M1838=0,0,O1838/M1838)</f>
        <v/>
      </c>
      <c r="Q1838" s="36">
        <f>YEAR(B1838)</f>
        <v/>
      </c>
      <c r="R1838" s="36">
        <f>"Q"&amp;ROUNDUP(MONTH(B1838)/3,0)</f>
        <v/>
      </c>
      <c r="S1838" s="36">
        <f>MONTH(B1838)</f>
        <v/>
      </c>
      <c r="T1838" s="36">
        <f>TEXT(B1838,"mmm")</f>
        <v/>
      </c>
      <c r="U1838" s="36">
        <f>IF(AND(OR(sel_Region="All",C1838=sel_Region),OR(sel_Country="All",D1838=sel_Country),OR(sel_Channel="All",E1838=sel_Channel),OR(sel_Customer="All",F1838=sel_Customer),OR(sel_Category="All",G1838=sel_Category),OR(sel_Product="All",H1838=sel_Product),AND(S1838&gt;=m_From,S1838&lt;=m_To)),1,0)</f>
        <v/>
      </c>
      <c r="V1838" s="36">
        <f>IF(AND(OR(sel_Region="All",C1838=sel_Region),OR(sel_Channel="All",E1838=sel_Channel),OR(sel_Customer="All",F1838=sel_Customer),OR(sel_Category="All",G1838=sel_Category),OR(sel_Product="All",H1838=sel_Product),AND(S1838&gt;=m_From,S1838&lt;=m_To)),1,0)</f>
        <v/>
      </c>
      <c r="W1838" s="36">
        <f>IF(AND(OR(sel_Region="All",C1838=sel_Region),OR(sel_Country="All",D1838=sel_Country),OR(sel_Customer="All",F1838=sel_Customer),OR(sel_Category="All",G1838=sel_Category),OR(sel_Product="All",H1838=sel_Product),AND(S1838&gt;=m_From,S1838&lt;=m_To)),1,0)</f>
        <v/>
      </c>
      <c r="X1838" s="36">
        <f>IF(AND(OR(sel_Region="All",C1838=sel_Region),OR(sel_Country="All",D1838=sel_Country),OR(sel_Channel="All",E1838=sel_Channel),OR(sel_Category="All",G1838=sel_Category),OR(sel_Product="All",H1838=sel_Product),AND(S1838&gt;=m_From,S1838&lt;=m_To)),1,0)</f>
        <v/>
      </c>
      <c r="Y1838" s="36">
        <f>IF(AND(OR(sel_Region="All",C1838=sel_Region),OR(sel_Country="All",D1838=sel_Country),OR(sel_Channel="All",E1838=sel_Channel),OR(sel_Customer="All",F1838=sel_Customer),OR(sel_Product="All",H1838=sel_Product),AND(S1838&gt;=m_From,S1838&lt;=m_To)),1,0)</f>
        <v/>
      </c>
      <c r="Z1838" s="36">
        <f>IF(AND(OR(sel_Region="All",C1838=sel_Region),OR(sel_Country="All",D1838=sel_Country),OR(sel_Channel="All",E1838=sel_Channel),OR(sel_Customer="All",F1838=sel_Customer),OR(sel_Category="All",G1838=sel_Category),AND(S1838&gt;=m_From,S1838&lt;=m_To)),1,0)</f>
        <v/>
      </c>
      <c r="AA1838" s="36">
        <f>IF(AND(OR(sel_Region="All",C1838=sel_Region),OR(sel_Country="All",D1838=sel_Country),OR(sel_Channel="All",E1838=sel_Channel),OR(sel_Customer="All",F1838=sel_Customer),OR(sel_Category="All",G1838=sel_Category),OR(sel_Product="All",H1838=sel_Product)),1,0)</f>
        <v/>
      </c>
    </row>
    <row r="1839">
      <c r="A1839" s="36" t="inlineStr">
        <is>
          <t>03529</t>
        </is>
      </c>
      <c r="B1839" s="44" t="n">
        <v>46271</v>
      </c>
      <c r="C1839" s="36" t="inlineStr">
        <is>
          <t>Northern Europe</t>
        </is>
      </c>
      <c r="D1839" s="36" t="inlineStr">
        <is>
          <t>Denmark</t>
        </is>
      </c>
      <c r="E1839" s="36" t="inlineStr">
        <is>
          <t>Corporate</t>
        </is>
      </c>
      <c r="F1839" s="36" t="inlineStr">
        <is>
          <t>Returning</t>
        </is>
      </c>
      <c r="G1839" s="36" t="inlineStr">
        <is>
          <t>Fitness</t>
        </is>
      </c>
      <c r="H1839" s="36" t="inlineStr">
        <is>
          <t>Resistance Band Set</t>
        </is>
      </c>
      <c r="I1839" s="36" t="n">
        <v>4</v>
      </c>
      <c r="J1839" s="39" t="n">
        <v>39.4</v>
      </c>
      <c r="K1839" s="45" t="n">
        <v>0.15</v>
      </c>
      <c r="L1839" s="39" t="n">
        <v>14.95</v>
      </c>
      <c r="M1839" s="39">
        <f>I1839*J1839*(1-K1839)</f>
        <v/>
      </c>
      <c r="N1839" s="39">
        <f>I1839*L1839</f>
        <v/>
      </c>
      <c r="O1839" s="39">
        <f>M1839-N1839</f>
        <v/>
      </c>
      <c r="P1839" s="38">
        <f>IF(M1839=0,0,O1839/M1839)</f>
        <v/>
      </c>
      <c r="Q1839" s="36">
        <f>YEAR(B1839)</f>
        <v/>
      </c>
      <c r="R1839" s="36">
        <f>"Q"&amp;ROUNDUP(MONTH(B1839)/3,0)</f>
        <v/>
      </c>
      <c r="S1839" s="36">
        <f>MONTH(B1839)</f>
        <v/>
      </c>
      <c r="T1839" s="36">
        <f>TEXT(B1839,"mmm")</f>
        <v/>
      </c>
      <c r="U1839" s="36">
        <f>IF(AND(OR(sel_Region="All",C1839=sel_Region),OR(sel_Country="All",D1839=sel_Country),OR(sel_Channel="All",E1839=sel_Channel),OR(sel_Customer="All",F1839=sel_Customer),OR(sel_Category="All",G1839=sel_Category),OR(sel_Product="All",H1839=sel_Product),AND(S1839&gt;=m_From,S1839&lt;=m_To)),1,0)</f>
        <v/>
      </c>
      <c r="V1839" s="36">
        <f>IF(AND(OR(sel_Region="All",C1839=sel_Region),OR(sel_Channel="All",E1839=sel_Channel),OR(sel_Customer="All",F1839=sel_Customer),OR(sel_Category="All",G1839=sel_Category),OR(sel_Product="All",H1839=sel_Product),AND(S1839&gt;=m_From,S1839&lt;=m_To)),1,0)</f>
        <v/>
      </c>
      <c r="W1839" s="36">
        <f>IF(AND(OR(sel_Region="All",C1839=sel_Region),OR(sel_Country="All",D1839=sel_Country),OR(sel_Customer="All",F1839=sel_Customer),OR(sel_Category="All",G1839=sel_Category),OR(sel_Product="All",H1839=sel_Product),AND(S1839&gt;=m_From,S1839&lt;=m_To)),1,0)</f>
        <v/>
      </c>
      <c r="X1839" s="36">
        <f>IF(AND(OR(sel_Region="All",C1839=sel_Region),OR(sel_Country="All",D1839=sel_Country),OR(sel_Channel="All",E1839=sel_Channel),OR(sel_Category="All",G1839=sel_Category),OR(sel_Product="All",H1839=sel_Product),AND(S1839&gt;=m_From,S1839&lt;=m_To)),1,0)</f>
        <v/>
      </c>
      <c r="Y1839" s="36">
        <f>IF(AND(OR(sel_Region="All",C1839=sel_Region),OR(sel_Country="All",D1839=sel_Country),OR(sel_Channel="All",E1839=sel_Channel),OR(sel_Customer="All",F1839=sel_Customer),OR(sel_Product="All",H1839=sel_Product),AND(S1839&gt;=m_From,S1839&lt;=m_To)),1,0)</f>
        <v/>
      </c>
      <c r="Z1839" s="36">
        <f>IF(AND(OR(sel_Region="All",C1839=sel_Region),OR(sel_Country="All",D1839=sel_Country),OR(sel_Channel="All",E1839=sel_Channel),OR(sel_Customer="All",F1839=sel_Customer),OR(sel_Category="All",G1839=sel_Category),AND(S1839&gt;=m_From,S1839&lt;=m_To)),1,0)</f>
        <v/>
      </c>
      <c r="AA1839" s="36">
        <f>IF(AND(OR(sel_Region="All",C1839=sel_Region),OR(sel_Country="All",D1839=sel_Country),OR(sel_Channel="All",E1839=sel_Channel),OR(sel_Customer="All",F1839=sel_Customer),OR(sel_Category="All",G1839=sel_Category),OR(sel_Product="All",H1839=sel_Product)),1,0)</f>
        <v/>
      </c>
    </row>
    <row r="1840">
      <c r="A1840" s="36" t="inlineStr">
        <is>
          <t>03549</t>
        </is>
      </c>
      <c r="B1840" s="44" t="n">
        <v>46271</v>
      </c>
      <c r="C1840" s="36" t="inlineStr">
        <is>
          <t>Western Europe</t>
        </is>
      </c>
      <c r="D1840" s="36" t="inlineStr">
        <is>
          <t>United Kingdom</t>
        </is>
      </c>
      <c r="E1840" s="36" t="inlineStr">
        <is>
          <t>Online Store</t>
        </is>
      </c>
      <c r="F1840" s="36" t="inlineStr">
        <is>
          <t>New</t>
        </is>
      </c>
      <c r="G1840" s="36" t="inlineStr">
        <is>
          <t>Travel</t>
        </is>
      </c>
      <c r="H1840" s="36" t="inlineStr">
        <is>
          <t>Packing Cube Set</t>
        </is>
      </c>
      <c r="I1840" s="36" t="n">
        <v>1</v>
      </c>
      <c r="J1840" s="39" t="n">
        <v>47.17</v>
      </c>
      <c r="K1840" s="45" t="n">
        <v>0</v>
      </c>
      <c r="L1840" s="39" t="n">
        <v>18.64</v>
      </c>
      <c r="M1840" s="39">
        <f>I1840*J1840*(1-K1840)</f>
        <v/>
      </c>
      <c r="N1840" s="39">
        <f>I1840*L1840</f>
        <v/>
      </c>
      <c r="O1840" s="39">
        <f>M1840-N1840</f>
        <v/>
      </c>
      <c r="P1840" s="38">
        <f>IF(M1840=0,0,O1840/M1840)</f>
        <v/>
      </c>
      <c r="Q1840" s="36">
        <f>YEAR(B1840)</f>
        <v/>
      </c>
      <c r="R1840" s="36">
        <f>"Q"&amp;ROUNDUP(MONTH(B1840)/3,0)</f>
        <v/>
      </c>
      <c r="S1840" s="36">
        <f>MONTH(B1840)</f>
        <v/>
      </c>
      <c r="T1840" s="36">
        <f>TEXT(B1840,"mmm")</f>
        <v/>
      </c>
      <c r="U1840" s="36">
        <f>IF(AND(OR(sel_Region="All",C1840=sel_Region),OR(sel_Country="All",D1840=sel_Country),OR(sel_Channel="All",E1840=sel_Channel),OR(sel_Customer="All",F1840=sel_Customer),OR(sel_Category="All",G1840=sel_Category),OR(sel_Product="All",H1840=sel_Product),AND(S1840&gt;=m_From,S1840&lt;=m_To)),1,0)</f>
        <v/>
      </c>
      <c r="V1840" s="36">
        <f>IF(AND(OR(sel_Region="All",C1840=sel_Region),OR(sel_Channel="All",E1840=sel_Channel),OR(sel_Customer="All",F1840=sel_Customer),OR(sel_Category="All",G1840=sel_Category),OR(sel_Product="All",H1840=sel_Product),AND(S1840&gt;=m_From,S1840&lt;=m_To)),1,0)</f>
        <v/>
      </c>
      <c r="W1840" s="36">
        <f>IF(AND(OR(sel_Region="All",C1840=sel_Region),OR(sel_Country="All",D1840=sel_Country),OR(sel_Customer="All",F1840=sel_Customer),OR(sel_Category="All",G1840=sel_Category),OR(sel_Product="All",H1840=sel_Product),AND(S1840&gt;=m_From,S1840&lt;=m_To)),1,0)</f>
        <v/>
      </c>
      <c r="X1840" s="36">
        <f>IF(AND(OR(sel_Region="All",C1840=sel_Region),OR(sel_Country="All",D1840=sel_Country),OR(sel_Channel="All",E1840=sel_Channel),OR(sel_Category="All",G1840=sel_Category),OR(sel_Product="All",H1840=sel_Product),AND(S1840&gt;=m_From,S1840&lt;=m_To)),1,0)</f>
        <v/>
      </c>
      <c r="Y1840" s="36">
        <f>IF(AND(OR(sel_Region="All",C1840=sel_Region),OR(sel_Country="All",D1840=sel_Country),OR(sel_Channel="All",E1840=sel_Channel),OR(sel_Customer="All",F1840=sel_Customer),OR(sel_Product="All",H1840=sel_Product),AND(S1840&gt;=m_From,S1840&lt;=m_To)),1,0)</f>
        <v/>
      </c>
      <c r="Z1840" s="36">
        <f>IF(AND(OR(sel_Region="All",C1840=sel_Region),OR(sel_Country="All",D1840=sel_Country),OR(sel_Channel="All",E1840=sel_Channel),OR(sel_Customer="All",F1840=sel_Customer),OR(sel_Category="All",G1840=sel_Category),AND(S1840&gt;=m_From,S1840&lt;=m_To)),1,0)</f>
        <v/>
      </c>
      <c r="AA1840" s="36">
        <f>IF(AND(OR(sel_Region="All",C1840=sel_Region),OR(sel_Country="All",D1840=sel_Country),OR(sel_Channel="All",E1840=sel_Channel),OR(sel_Customer="All",F1840=sel_Customer),OR(sel_Category="All",G1840=sel_Category),OR(sel_Product="All",H1840=sel_Product)),1,0)</f>
        <v/>
      </c>
    </row>
    <row r="1841">
      <c r="A1841" s="36" t="inlineStr">
        <is>
          <t>04003</t>
        </is>
      </c>
      <c r="B1841" s="44" t="n">
        <v>46271</v>
      </c>
      <c r="C1841" s="36" t="inlineStr">
        <is>
          <t>Western Europe</t>
        </is>
      </c>
      <c r="D1841" s="36" t="inlineStr">
        <is>
          <t>Belgium</t>
        </is>
      </c>
      <c r="E1841" s="36" t="inlineStr">
        <is>
          <t>Marketplace</t>
        </is>
      </c>
      <c r="F1841" s="36" t="inlineStr">
        <is>
          <t>Returning</t>
        </is>
      </c>
      <c r="G1841" s="36" t="inlineStr">
        <is>
          <t>Fitness</t>
        </is>
      </c>
      <c r="H1841" s="36" t="inlineStr">
        <is>
          <t>Training Mat</t>
        </is>
      </c>
      <c r="I1841" s="36" t="n">
        <v>2</v>
      </c>
      <c r="J1841" s="39" t="n">
        <v>50.41</v>
      </c>
      <c r="K1841" s="45" t="n">
        <v>0.1</v>
      </c>
      <c r="L1841" s="39" t="n">
        <v>22.05</v>
      </c>
      <c r="M1841" s="39">
        <f>I1841*J1841*(1-K1841)</f>
        <v/>
      </c>
      <c r="N1841" s="39">
        <f>I1841*L1841</f>
        <v/>
      </c>
      <c r="O1841" s="39">
        <f>M1841-N1841</f>
        <v/>
      </c>
      <c r="P1841" s="38">
        <f>IF(M1841=0,0,O1841/M1841)</f>
        <v/>
      </c>
      <c r="Q1841" s="36">
        <f>YEAR(B1841)</f>
        <v/>
      </c>
      <c r="R1841" s="36">
        <f>"Q"&amp;ROUNDUP(MONTH(B1841)/3,0)</f>
        <v/>
      </c>
      <c r="S1841" s="36">
        <f>MONTH(B1841)</f>
        <v/>
      </c>
      <c r="T1841" s="36">
        <f>TEXT(B1841,"mmm")</f>
        <v/>
      </c>
      <c r="U1841" s="36">
        <f>IF(AND(OR(sel_Region="All",C1841=sel_Region),OR(sel_Country="All",D1841=sel_Country),OR(sel_Channel="All",E1841=sel_Channel),OR(sel_Customer="All",F1841=sel_Customer),OR(sel_Category="All",G1841=sel_Category),OR(sel_Product="All",H1841=sel_Product),AND(S1841&gt;=m_From,S1841&lt;=m_To)),1,0)</f>
        <v/>
      </c>
      <c r="V1841" s="36">
        <f>IF(AND(OR(sel_Region="All",C1841=sel_Region),OR(sel_Channel="All",E1841=sel_Channel),OR(sel_Customer="All",F1841=sel_Customer),OR(sel_Category="All",G1841=sel_Category),OR(sel_Product="All",H1841=sel_Product),AND(S1841&gt;=m_From,S1841&lt;=m_To)),1,0)</f>
        <v/>
      </c>
      <c r="W1841" s="36">
        <f>IF(AND(OR(sel_Region="All",C1841=sel_Region),OR(sel_Country="All",D1841=sel_Country),OR(sel_Customer="All",F1841=sel_Customer),OR(sel_Category="All",G1841=sel_Category),OR(sel_Product="All",H1841=sel_Product),AND(S1841&gt;=m_From,S1841&lt;=m_To)),1,0)</f>
        <v/>
      </c>
      <c r="X1841" s="36">
        <f>IF(AND(OR(sel_Region="All",C1841=sel_Region),OR(sel_Country="All",D1841=sel_Country),OR(sel_Channel="All",E1841=sel_Channel),OR(sel_Category="All",G1841=sel_Category),OR(sel_Product="All",H1841=sel_Product),AND(S1841&gt;=m_From,S1841&lt;=m_To)),1,0)</f>
        <v/>
      </c>
      <c r="Y1841" s="36">
        <f>IF(AND(OR(sel_Region="All",C1841=sel_Region),OR(sel_Country="All",D1841=sel_Country),OR(sel_Channel="All",E1841=sel_Channel),OR(sel_Customer="All",F1841=sel_Customer),OR(sel_Product="All",H1841=sel_Product),AND(S1841&gt;=m_From,S1841&lt;=m_To)),1,0)</f>
        <v/>
      </c>
      <c r="Z1841" s="36">
        <f>IF(AND(OR(sel_Region="All",C1841=sel_Region),OR(sel_Country="All",D1841=sel_Country),OR(sel_Channel="All",E1841=sel_Channel),OR(sel_Customer="All",F1841=sel_Customer),OR(sel_Category="All",G1841=sel_Category),AND(S1841&gt;=m_From,S1841&lt;=m_To)),1,0)</f>
        <v/>
      </c>
      <c r="AA1841" s="36">
        <f>IF(AND(OR(sel_Region="All",C1841=sel_Region),OR(sel_Country="All",D1841=sel_Country),OR(sel_Channel="All",E1841=sel_Channel),OR(sel_Customer="All",F1841=sel_Customer),OR(sel_Category="All",G1841=sel_Category),OR(sel_Product="All",H1841=sel_Product)),1,0)</f>
        <v/>
      </c>
    </row>
    <row r="1842">
      <c r="A1842" s="36" t="inlineStr">
        <is>
          <t>04613</t>
        </is>
      </c>
      <c r="B1842" s="44" t="n">
        <v>46271</v>
      </c>
      <c r="C1842" s="36" t="inlineStr">
        <is>
          <t>Western Europe</t>
        </is>
      </c>
      <c r="D1842" s="36" t="inlineStr">
        <is>
          <t>France</t>
        </is>
      </c>
      <c r="E1842" s="36" t="inlineStr">
        <is>
          <t>Online Store</t>
        </is>
      </c>
      <c r="F1842" s="36" t="inlineStr">
        <is>
          <t>Business</t>
        </is>
      </c>
      <c r="G1842" s="36" t="inlineStr">
        <is>
          <t>Cycling</t>
        </is>
      </c>
      <c r="H1842" s="36" t="inlineStr">
        <is>
          <t>Commuter Helmet</t>
        </is>
      </c>
      <c r="I1842" s="36" t="n">
        <v>4</v>
      </c>
      <c r="J1842" s="39" t="n">
        <v>80.38</v>
      </c>
      <c r="K1842" s="45" t="n">
        <v>0.1</v>
      </c>
      <c r="L1842" s="39" t="n">
        <v>42.55</v>
      </c>
      <c r="M1842" s="39">
        <f>I1842*J1842*(1-K1842)</f>
        <v/>
      </c>
      <c r="N1842" s="39">
        <f>I1842*L1842</f>
        <v/>
      </c>
      <c r="O1842" s="39">
        <f>M1842-N1842</f>
        <v/>
      </c>
      <c r="P1842" s="38">
        <f>IF(M1842=0,0,O1842/M1842)</f>
        <v/>
      </c>
      <c r="Q1842" s="36">
        <f>YEAR(B1842)</f>
        <v/>
      </c>
      <c r="R1842" s="36">
        <f>"Q"&amp;ROUNDUP(MONTH(B1842)/3,0)</f>
        <v/>
      </c>
      <c r="S1842" s="36">
        <f>MONTH(B1842)</f>
        <v/>
      </c>
      <c r="T1842" s="36">
        <f>TEXT(B1842,"mmm")</f>
        <v/>
      </c>
      <c r="U1842" s="36">
        <f>IF(AND(OR(sel_Region="All",C1842=sel_Region),OR(sel_Country="All",D1842=sel_Country),OR(sel_Channel="All",E1842=sel_Channel),OR(sel_Customer="All",F1842=sel_Customer),OR(sel_Category="All",G1842=sel_Category),OR(sel_Product="All",H1842=sel_Product),AND(S1842&gt;=m_From,S1842&lt;=m_To)),1,0)</f>
        <v/>
      </c>
      <c r="V1842" s="36">
        <f>IF(AND(OR(sel_Region="All",C1842=sel_Region),OR(sel_Channel="All",E1842=sel_Channel),OR(sel_Customer="All",F1842=sel_Customer),OR(sel_Category="All",G1842=sel_Category),OR(sel_Product="All",H1842=sel_Product),AND(S1842&gt;=m_From,S1842&lt;=m_To)),1,0)</f>
        <v/>
      </c>
      <c r="W1842" s="36">
        <f>IF(AND(OR(sel_Region="All",C1842=sel_Region),OR(sel_Country="All",D1842=sel_Country),OR(sel_Customer="All",F1842=sel_Customer),OR(sel_Category="All",G1842=sel_Category),OR(sel_Product="All",H1842=sel_Product),AND(S1842&gt;=m_From,S1842&lt;=m_To)),1,0)</f>
        <v/>
      </c>
      <c r="X1842" s="36">
        <f>IF(AND(OR(sel_Region="All",C1842=sel_Region),OR(sel_Country="All",D1842=sel_Country),OR(sel_Channel="All",E1842=sel_Channel),OR(sel_Category="All",G1842=sel_Category),OR(sel_Product="All",H1842=sel_Product),AND(S1842&gt;=m_From,S1842&lt;=m_To)),1,0)</f>
        <v/>
      </c>
      <c r="Y1842" s="36">
        <f>IF(AND(OR(sel_Region="All",C1842=sel_Region),OR(sel_Country="All",D1842=sel_Country),OR(sel_Channel="All",E1842=sel_Channel),OR(sel_Customer="All",F1842=sel_Customer),OR(sel_Product="All",H1842=sel_Product),AND(S1842&gt;=m_From,S1842&lt;=m_To)),1,0)</f>
        <v/>
      </c>
      <c r="Z1842" s="36">
        <f>IF(AND(OR(sel_Region="All",C1842=sel_Region),OR(sel_Country="All",D1842=sel_Country),OR(sel_Channel="All",E1842=sel_Channel),OR(sel_Customer="All",F1842=sel_Customer),OR(sel_Category="All",G1842=sel_Category),AND(S1842&gt;=m_From,S1842&lt;=m_To)),1,0)</f>
        <v/>
      </c>
      <c r="AA1842" s="36">
        <f>IF(AND(OR(sel_Region="All",C1842=sel_Region),OR(sel_Country="All",D1842=sel_Country),OR(sel_Channel="All",E1842=sel_Channel),OR(sel_Customer="All",F1842=sel_Customer),OR(sel_Category="All",G1842=sel_Category),OR(sel_Product="All",H1842=sel_Product)),1,0)</f>
        <v/>
      </c>
    </row>
    <row r="1843">
      <c r="A1843" s="36" t="inlineStr">
        <is>
          <t>00075</t>
        </is>
      </c>
      <c r="B1843" s="44" t="n">
        <v>46272</v>
      </c>
      <c r="C1843" s="36" t="inlineStr">
        <is>
          <t>Southern Europe</t>
        </is>
      </c>
      <c r="D1843" s="36" t="inlineStr">
        <is>
          <t>Spain</t>
        </is>
      </c>
      <c r="E1843" s="36" t="inlineStr">
        <is>
          <t>Online Store</t>
        </is>
      </c>
      <c r="F1843" s="36" t="inlineStr">
        <is>
          <t>Business</t>
        </is>
      </c>
      <c r="G1843" s="36" t="inlineStr">
        <is>
          <t>Fitness</t>
        </is>
      </c>
      <c r="H1843" s="36" t="inlineStr">
        <is>
          <t>Resistance Band Set</t>
        </is>
      </c>
      <c r="I1843" s="36" t="n">
        <v>2</v>
      </c>
      <c r="J1843" s="39" t="n">
        <v>40.78</v>
      </c>
      <c r="K1843" s="45" t="n">
        <v>0</v>
      </c>
      <c r="L1843" s="39" t="n">
        <v>15.04</v>
      </c>
      <c r="M1843" s="39">
        <f>I1843*J1843*(1-K1843)</f>
        <v/>
      </c>
      <c r="N1843" s="39">
        <f>I1843*L1843</f>
        <v/>
      </c>
      <c r="O1843" s="39">
        <f>M1843-N1843</f>
        <v/>
      </c>
      <c r="P1843" s="38">
        <f>IF(M1843=0,0,O1843/M1843)</f>
        <v/>
      </c>
      <c r="Q1843" s="36">
        <f>YEAR(B1843)</f>
        <v/>
      </c>
      <c r="R1843" s="36">
        <f>"Q"&amp;ROUNDUP(MONTH(B1843)/3,0)</f>
        <v/>
      </c>
      <c r="S1843" s="36">
        <f>MONTH(B1843)</f>
        <v/>
      </c>
      <c r="T1843" s="36">
        <f>TEXT(B1843,"mmm")</f>
        <v/>
      </c>
      <c r="U1843" s="36">
        <f>IF(AND(OR(sel_Region="All",C1843=sel_Region),OR(sel_Country="All",D1843=sel_Country),OR(sel_Channel="All",E1843=sel_Channel),OR(sel_Customer="All",F1843=sel_Customer),OR(sel_Category="All",G1843=sel_Category),OR(sel_Product="All",H1843=sel_Product),AND(S1843&gt;=m_From,S1843&lt;=m_To)),1,0)</f>
        <v/>
      </c>
      <c r="V1843" s="36">
        <f>IF(AND(OR(sel_Region="All",C1843=sel_Region),OR(sel_Channel="All",E1843=sel_Channel),OR(sel_Customer="All",F1843=sel_Customer),OR(sel_Category="All",G1843=sel_Category),OR(sel_Product="All",H1843=sel_Product),AND(S1843&gt;=m_From,S1843&lt;=m_To)),1,0)</f>
        <v/>
      </c>
      <c r="W1843" s="36">
        <f>IF(AND(OR(sel_Region="All",C1843=sel_Region),OR(sel_Country="All",D1843=sel_Country),OR(sel_Customer="All",F1843=sel_Customer),OR(sel_Category="All",G1843=sel_Category),OR(sel_Product="All",H1843=sel_Product),AND(S1843&gt;=m_From,S1843&lt;=m_To)),1,0)</f>
        <v/>
      </c>
      <c r="X1843" s="36">
        <f>IF(AND(OR(sel_Region="All",C1843=sel_Region),OR(sel_Country="All",D1843=sel_Country),OR(sel_Channel="All",E1843=sel_Channel),OR(sel_Category="All",G1843=sel_Category),OR(sel_Product="All",H1843=sel_Product),AND(S1843&gt;=m_From,S1843&lt;=m_To)),1,0)</f>
        <v/>
      </c>
      <c r="Y1843" s="36">
        <f>IF(AND(OR(sel_Region="All",C1843=sel_Region),OR(sel_Country="All",D1843=sel_Country),OR(sel_Channel="All",E1843=sel_Channel),OR(sel_Customer="All",F1843=sel_Customer),OR(sel_Product="All",H1843=sel_Product),AND(S1843&gt;=m_From,S1843&lt;=m_To)),1,0)</f>
        <v/>
      </c>
      <c r="Z1843" s="36">
        <f>IF(AND(OR(sel_Region="All",C1843=sel_Region),OR(sel_Country="All",D1843=sel_Country),OR(sel_Channel="All",E1843=sel_Channel),OR(sel_Customer="All",F1843=sel_Customer),OR(sel_Category="All",G1843=sel_Category),AND(S1843&gt;=m_From,S1843&lt;=m_To)),1,0)</f>
        <v/>
      </c>
      <c r="AA1843" s="36">
        <f>IF(AND(OR(sel_Region="All",C1843=sel_Region),OR(sel_Country="All",D1843=sel_Country),OR(sel_Channel="All",E1843=sel_Channel),OR(sel_Customer="All",F1843=sel_Customer),OR(sel_Category="All",G1843=sel_Category),OR(sel_Product="All",H1843=sel_Product)),1,0)</f>
        <v/>
      </c>
    </row>
    <row r="1844">
      <c r="A1844" s="36" t="inlineStr">
        <is>
          <t>00601</t>
        </is>
      </c>
      <c r="B1844" s="44" t="n">
        <v>46272</v>
      </c>
      <c r="C1844" s="36" t="inlineStr">
        <is>
          <t>Central Europe</t>
        </is>
      </c>
      <c r="D1844" s="36" t="inlineStr">
        <is>
          <t>Germany</t>
        </is>
      </c>
      <c r="E1844" s="36" t="inlineStr">
        <is>
          <t>Online Store</t>
        </is>
      </c>
      <c r="F1844" s="36" t="inlineStr">
        <is>
          <t>Returning</t>
        </is>
      </c>
      <c r="G1844" s="36" t="inlineStr">
        <is>
          <t>Hiking</t>
        </is>
      </c>
      <c r="H1844" s="36" t="inlineStr">
        <is>
          <t>Trail Boots</t>
        </is>
      </c>
      <c r="I1844" s="36" t="n">
        <v>1</v>
      </c>
      <c r="J1844" s="39" t="n">
        <v>141.69</v>
      </c>
      <c r="K1844" s="45" t="n">
        <v>0</v>
      </c>
      <c r="L1844" s="39" t="n">
        <v>80.34</v>
      </c>
      <c r="M1844" s="39">
        <f>I1844*J1844*(1-K1844)</f>
        <v/>
      </c>
      <c r="N1844" s="39">
        <f>I1844*L1844</f>
        <v/>
      </c>
      <c r="O1844" s="39">
        <f>M1844-N1844</f>
        <v/>
      </c>
      <c r="P1844" s="38">
        <f>IF(M1844=0,0,O1844/M1844)</f>
        <v/>
      </c>
      <c r="Q1844" s="36">
        <f>YEAR(B1844)</f>
        <v/>
      </c>
      <c r="R1844" s="36">
        <f>"Q"&amp;ROUNDUP(MONTH(B1844)/3,0)</f>
        <v/>
      </c>
      <c r="S1844" s="36">
        <f>MONTH(B1844)</f>
        <v/>
      </c>
      <c r="T1844" s="36">
        <f>TEXT(B1844,"mmm")</f>
        <v/>
      </c>
      <c r="U1844" s="36">
        <f>IF(AND(OR(sel_Region="All",C1844=sel_Region),OR(sel_Country="All",D1844=sel_Country),OR(sel_Channel="All",E1844=sel_Channel),OR(sel_Customer="All",F1844=sel_Customer),OR(sel_Category="All",G1844=sel_Category),OR(sel_Product="All",H1844=sel_Product),AND(S1844&gt;=m_From,S1844&lt;=m_To)),1,0)</f>
        <v/>
      </c>
      <c r="V1844" s="36">
        <f>IF(AND(OR(sel_Region="All",C1844=sel_Region),OR(sel_Channel="All",E1844=sel_Channel),OR(sel_Customer="All",F1844=sel_Customer),OR(sel_Category="All",G1844=sel_Category),OR(sel_Product="All",H1844=sel_Product),AND(S1844&gt;=m_From,S1844&lt;=m_To)),1,0)</f>
        <v/>
      </c>
      <c r="W1844" s="36">
        <f>IF(AND(OR(sel_Region="All",C1844=sel_Region),OR(sel_Country="All",D1844=sel_Country),OR(sel_Customer="All",F1844=sel_Customer),OR(sel_Category="All",G1844=sel_Category),OR(sel_Product="All",H1844=sel_Product),AND(S1844&gt;=m_From,S1844&lt;=m_To)),1,0)</f>
        <v/>
      </c>
      <c r="X1844" s="36">
        <f>IF(AND(OR(sel_Region="All",C1844=sel_Region),OR(sel_Country="All",D1844=sel_Country),OR(sel_Channel="All",E1844=sel_Channel),OR(sel_Category="All",G1844=sel_Category),OR(sel_Product="All",H1844=sel_Product),AND(S1844&gt;=m_From,S1844&lt;=m_To)),1,0)</f>
        <v/>
      </c>
      <c r="Y1844" s="36">
        <f>IF(AND(OR(sel_Region="All",C1844=sel_Region),OR(sel_Country="All",D1844=sel_Country),OR(sel_Channel="All",E1844=sel_Channel),OR(sel_Customer="All",F1844=sel_Customer),OR(sel_Product="All",H1844=sel_Product),AND(S1844&gt;=m_From,S1844&lt;=m_To)),1,0)</f>
        <v/>
      </c>
      <c r="Z1844" s="36">
        <f>IF(AND(OR(sel_Region="All",C1844=sel_Region),OR(sel_Country="All",D1844=sel_Country),OR(sel_Channel="All",E1844=sel_Channel),OR(sel_Customer="All",F1844=sel_Customer),OR(sel_Category="All",G1844=sel_Category),AND(S1844&gt;=m_From,S1844&lt;=m_To)),1,0)</f>
        <v/>
      </c>
      <c r="AA1844" s="36">
        <f>IF(AND(OR(sel_Region="All",C1844=sel_Region),OR(sel_Country="All",D1844=sel_Country),OR(sel_Channel="All",E1844=sel_Channel),OR(sel_Customer="All",F1844=sel_Customer),OR(sel_Category="All",G1844=sel_Category),OR(sel_Product="All",H1844=sel_Product)),1,0)</f>
        <v/>
      </c>
    </row>
    <row r="1845">
      <c r="A1845" s="36" t="inlineStr">
        <is>
          <t>01617</t>
        </is>
      </c>
      <c r="B1845" s="44" t="n">
        <v>46272</v>
      </c>
      <c r="C1845" s="36" t="inlineStr">
        <is>
          <t>Western Europe</t>
        </is>
      </c>
      <c r="D1845" s="36" t="inlineStr">
        <is>
          <t>United Kingdom</t>
        </is>
      </c>
      <c r="E1845" s="36" t="inlineStr">
        <is>
          <t>Online Store</t>
        </is>
      </c>
      <c r="F1845" s="36" t="inlineStr">
        <is>
          <t>New</t>
        </is>
      </c>
      <c r="G1845" s="36" t="inlineStr">
        <is>
          <t>Camping</t>
        </is>
      </c>
      <c r="H1845" s="36" t="inlineStr">
        <is>
          <t>Portable Camp Stove</t>
        </is>
      </c>
      <c r="I1845" s="36" t="n">
        <v>1</v>
      </c>
      <c r="J1845" s="39" t="n">
        <v>83.28</v>
      </c>
      <c r="K1845" s="45" t="n">
        <v>0.1</v>
      </c>
      <c r="L1845" s="39" t="n">
        <v>39.75</v>
      </c>
      <c r="M1845" s="39">
        <f>I1845*J1845*(1-K1845)</f>
        <v/>
      </c>
      <c r="N1845" s="39">
        <f>I1845*L1845</f>
        <v/>
      </c>
      <c r="O1845" s="39">
        <f>M1845-N1845</f>
        <v/>
      </c>
      <c r="P1845" s="38">
        <f>IF(M1845=0,0,O1845/M1845)</f>
        <v/>
      </c>
      <c r="Q1845" s="36">
        <f>YEAR(B1845)</f>
        <v/>
      </c>
      <c r="R1845" s="36">
        <f>"Q"&amp;ROUNDUP(MONTH(B1845)/3,0)</f>
        <v/>
      </c>
      <c r="S1845" s="36">
        <f>MONTH(B1845)</f>
        <v/>
      </c>
      <c r="T1845" s="36">
        <f>TEXT(B1845,"mmm")</f>
        <v/>
      </c>
      <c r="U1845" s="36">
        <f>IF(AND(OR(sel_Region="All",C1845=sel_Region),OR(sel_Country="All",D1845=sel_Country),OR(sel_Channel="All",E1845=sel_Channel),OR(sel_Customer="All",F1845=sel_Customer),OR(sel_Category="All",G1845=sel_Category),OR(sel_Product="All",H1845=sel_Product),AND(S1845&gt;=m_From,S1845&lt;=m_To)),1,0)</f>
        <v/>
      </c>
      <c r="V1845" s="36">
        <f>IF(AND(OR(sel_Region="All",C1845=sel_Region),OR(sel_Channel="All",E1845=sel_Channel),OR(sel_Customer="All",F1845=sel_Customer),OR(sel_Category="All",G1845=sel_Category),OR(sel_Product="All",H1845=sel_Product),AND(S1845&gt;=m_From,S1845&lt;=m_To)),1,0)</f>
        <v/>
      </c>
      <c r="W1845" s="36">
        <f>IF(AND(OR(sel_Region="All",C1845=sel_Region),OR(sel_Country="All",D1845=sel_Country),OR(sel_Customer="All",F1845=sel_Customer),OR(sel_Category="All",G1845=sel_Category),OR(sel_Product="All",H1845=sel_Product),AND(S1845&gt;=m_From,S1845&lt;=m_To)),1,0)</f>
        <v/>
      </c>
      <c r="X1845" s="36">
        <f>IF(AND(OR(sel_Region="All",C1845=sel_Region),OR(sel_Country="All",D1845=sel_Country),OR(sel_Channel="All",E1845=sel_Channel),OR(sel_Category="All",G1845=sel_Category),OR(sel_Product="All",H1845=sel_Product),AND(S1845&gt;=m_From,S1845&lt;=m_To)),1,0)</f>
        <v/>
      </c>
      <c r="Y1845" s="36">
        <f>IF(AND(OR(sel_Region="All",C1845=sel_Region),OR(sel_Country="All",D1845=sel_Country),OR(sel_Channel="All",E1845=sel_Channel),OR(sel_Customer="All",F1845=sel_Customer),OR(sel_Product="All",H1845=sel_Product),AND(S1845&gt;=m_From,S1845&lt;=m_To)),1,0)</f>
        <v/>
      </c>
      <c r="Z1845" s="36">
        <f>IF(AND(OR(sel_Region="All",C1845=sel_Region),OR(sel_Country="All",D1845=sel_Country),OR(sel_Channel="All",E1845=sel_Channel),OR(sel_Customer="All",F1845=sel_Customer),OR(sel_Category="All",G1845=sel_Category),AND(S1845&gt;=m_From,S1845&lt;=m_To)),1,0)</f>
        <v/>
      </c>
      <c r="AA1845" s="36">
        <f>IF(AND(OR(sel_Region="All",C1845=sel_Region),OR(sel_Country="All",D1845=sel_Country),OR(sel_Channel="All",E1845=sel_Channel),OR(sel_Customer="All",F1845=sel_Customer),OR(sel_Category="All",G1845=sel_Category),OR(sel_Product="All",H1845=sel_Product)),1,0)</f>
        <v/>
      </c>
    </row>
    <row r="1846">
      <c r="A1846" s="36" t="inlineStr">
        <is>
          <t>02305</t>
        </is>
      </c>
      <c r="B1846" s="44" t="n">
        <v>46272</v>
      </c>
      <c r="C1846" s="36" t="inlineStr">
        <is>
          <t>Western Europe</t>
        </is>
      </c>
      <c r="D1846" s="36" t="inlineStr">
        <is>
          <t>Netherlands</t>
        </is>
      </c>
      <c r="E1846" s="36" t="inlineStr">
        <is>
          <t>Marketplace</t>
        </is>
      </c>
      <c r="F1846" s="36" t="inlineStr">
        <is>
          <t>Returning</t>
        </is>
      </c>
      <c r="G1846" s="36" t="inlineStr">
        <is>
          <t>Camping</t>
        </is>
      </c>
      <c r="H1846" s="36" t="inlineStr">
        <is>
          <t>Portable Camp Stove</t>
        </is>
      </c>
      <c r="I1846" s="36" t="n">
        <v>2</v>
      </c>
      <c r="J1846" s="39" t="n">
        <v>82.43000000000001</v>
      </c>
      <c r="K1846" s="45" t="n">
        <v>0</v>
      </c>
      <c r="L1846" s="39" t="n">
        <v>40.51</v>
      </c>
      <c r="M1846" s="39">
        <f>I1846*J1846*(1-K1846)</f>
        <v/>
      </c>
      <c r="N1846" s="39">
        <f>I1846*L1846</f>
        <v/>
      </c>
      <c r="O1846" s="39">
        <f>M1846-N1846</f>
        <v/>
      </c>
      <c r="P1846" s="38">
        <f>IF(M1846=0,0,O1846/M1846)</f>
        <v/>
      </c>
      <c r="Q1846" s="36">
        <f>YEAR(B1846)</f>
        <v/>
      </c>
      <c r="R1846" s="36">
        <f>"Q"&amp;ROUNDUP(MONTH(B1846)/3,0)</f>
        <v/>
      </c>
      <c r="S1846" s="36">
        <f>MONTH(B1846)</f>
        <v/>
      </c>
      <c r="T1846" s="36">
        <f>TEXT(B1846,"mmm")</f>
        <v/>
      </c>
      <c r="U1846" s="36">
        <f>IF(AND(OR(sel_Region="All",C1846=sel_Region),OR(sel_Country="All",D1846=sel_Country),OR(sel_Channel="All",E1846=sel_Channel),OR(sel_Customer="All",F1846=sel_Customer),OR(sel_Category="All",G1846=sel_Category),OR(sel_Product="All",H1846=sel_Product),AND(S1846&gt;=m_From,S1846&lt;=m_To)),1,0)</f>
        <v/>
      </c>
      <c r="V1846" s="36">
        <f>IF(AND(OR(sel_Region="All",C1846=sel_Region),OR(sel_Channel="All",E1846=sel_Channel),OR(sel_Customer="All",F1846=sel_Customer),OR(sel_Category="All",G1846=sel_Category),OR(sel_Product="All",H1846=sel_Product),AND(S1846&gt;=m_From,S1846&lt;=m_To)),1,0)</f>
        <v/>
      </c>
      <c r="W1846" s="36">
        <f>IF(AND(OR(sel_Region="All",C1846=sel_Region),OR(sel_Country="All",D1846=sel_Country),OR(sel_Customer="All",F1846=sel_Customer),OR(sel_Category="All",G1846=sel_Category),OR(sel_Product="All",H1846=sel_Product),AND(S1846&gt;=m_From,S1846&lt;=m_To)),1,0)</f>
        <v/>
      </c>
      <c r="X1846" s="36">
        <f>IF(AND(OR(sel_Region="All",C1846=sel_Region),OR(sel_Country="All",D1846=sel_Country),OR(sel_Channel="All",E1846=sel_Channel),OR(sel_Category="All",G1846=sel_Category),OR(sel_Product="All",H1846=sel_Product),AND(S1846&gt;=m_From,S1846&lt;=m_To)),1,0)</f>
        <v/>
      </c>
      <c r="Y1846" s="36">
        <f>IF(AND(OR(sel_Region="All",C1846=sel_Region),OR(sel_Country="All",D1846=sel_Country),OR(sel_Channel="All",E1846=sel_Channel),OR(sel_Customer="All",F1846=sel_Customer),OR(sel_Product="All",H1846=sel_Product),AND(S1846&gt;=m_From,S1846&lt;=m_To)),1,0)</f>
        <v/>
      </c>
      <c r="Z1846" s="36">
        <f>IF(AND(OR(sel_Region="All",C1846=sel_Region),OR(sel_Country="All",D1846=sel_Country),OR(sel_Channel="All",E1846=sel_Channel),OR(sel_Customer="All",F1846=sel_Customer),OR(sel_Category="All",G1846=sel_Category),AND(S1846&gt;=m_From,S1846&lt;=m_To)),1,0)</f>
        <v/>
      </c>
      <c r="AA1846" s="36">
        <f>IF(AND(OR(sel_Region="All",C1846=sel_Region),OR(sel_Country="All",D1846=sel_Country),OR(sel_Channel="All",E1846=sel_Channel),OR(sel_Customer="All",F1846=sel_Customer),OR(sel_Category="All",G1846=sel_Category),OR(sel_Product="All",H1846=sel_Product)),1,0)</f>
        <v/>
      </c>
    </row>
    <row r="1847">
      <c r="A1847" s="36" t="inlineStr">
        <is>
          <t>02344</t>
        </is>
      </c>
      <c r="B1847" s="44" t="n">
        <v>46272</v>
      </c>
      <c r="C1847" s="36" t="inlineStr">
        <is>
          <t>Southern Europe</t>
        </is>
      </c>
      <c r="D1847" s="36" t="inlineStr">
        <is>
          <t>Italy</t>
        </is>
      </c>
      <c r="E1847" s="36" t="inlineStr">
        <is>
          <t>Marketplace</t>
        </is>
      </c>
      <c r="F1847" s="36" t="inlineStr">
        <is>
          <t>New</t>
        </is>
      </c>
      <c r="G1847" s="36" t="inlineStr">
        <is>
          <t>Fitness</t>
        </is>
      </c>
      <c r="H1847" s="36" t="inlineStr">
        <is>
          <t>Recovery Roller</t>
        </is>
      </c>
      <c r="I1847" s="36" t="n">
        <v>4</v>
      </c>
      <c r="J1847" s="39" t="n">
        <v>36.38</v>
      </c>
      <c r="K1847" s="45" t="n">
        <v>0</v>
      </c>
      <c r="L1847" s="39" t="n">
        <v>14.16</v>
      </c>
      <c r="M1847" s="39">
        <f>I1847*J1847*(1-K1847)</f>
        <v/>
      </c>
      <c r="N1847" s="39">
        <f>I1847*L1847</f>
        <v/>
      </c>
      <c r="O1847" s="39">
        <f>M1847-N1847</f>
        <v/>
      </c>
      <c r="P1847" s="38">
        <f>IF(M1847=0,0,O1847/M1847)</f>
        <v/>
      </c>
      <c r="Q1847" s="36">
        <f>YEAR(B1847)</f>
        <v/>
      </c>
      <c r="R1847" s="36">
        <f>"Q"&amp;ROUNDUP(MONTH(B1847)/3,0)</f>
        <v/>
      </c>
      <c r="S1847" s="36">
        <f>MONTH(B1847)</f>
        <v/>
      </c>
      <c r="T1847" s="36">
        <f>TEXT(B1847,"mmm")</f>
        <v/>
      </c>
      <c r="U1847" s="36">
        <f>IF(AND(OR(sel_Region="All",C1847=sel_Region),OR(sel_Country="All",D1847=sel_Country),OR(sel_Channel="All",E1847=sel_Channel),OR(sel_Customer="All",F1847=sel_Customer),OR(sel_Category="All",G1847=sel_Category),OR(sel_Product="All",H1847=sel_Product),AND(S1847&gt;=m_From,S1847&lt;=m_To)),1,0)</f>
        <v/>
      </c>
      <c r="V1847" s="36">
        <f>IF(AND(OR(sel_Region="All",C1847=sel_Region),OR(sel_Channel="All",E1847=sel_Channel),OR(sel_Customer="All",F1847=sel_Customer),OR(sel_Category="All",G1847=sel_Category),OR(sel_Product="All",H1847=sel_Product),AND(S1847&gt;=m_From,S1847&lt;=m_To)),1,0)</f>
        <v/>
      </c>
      <c r="W1847" s="36">
        <f>IF(AND(OR(sel_Region="All",C1847=sel_Region),OR(sel_Country="All",D1847=sel_Country),OR(sel_Customer="All",F1847=sel_Customer),OR(sel_Category="All",G1847=sel_Category),OR(sel_Product="All",H1847=sel_Product),AND(S1847&gt;=m_From,S1847&lt;=m_To)),1,0)</f>
        <v/>
      </c>
      <c r="X1847" s="36">
        <f>IF(AND(OR(sel_Region="All",C1847=sel_Region),OR(sel_Country="All",D1847=sel_Country),OR(sel_Channel="All",E1847=sel_Channel),OR(sel_Category="All",G1847=sel_Category),OR(sel_Product="All",H1847=sel_Product),AND(S1847&gt;=m_From,S1847&lt;=m_To)),1,0)</f>
        <v/>
      </c>
      <c r="Y1847" s="36">
        <f>IF(AND(OR(sel_Region="All",C1847=sel_Region),OR(sel_Country="All",D1847=sel_Country),OR(sel_Channel="All",E1847=sel_Channel),OR(sel_Customer="All",F1847=sel_Customer),OR(sel_Product="All",H1847=sel_Product),AND(S1847&gt;=m_From,S1847&lt;=m_To)),1,0)</f>
        <v/>
      </c>
      <c r="Z1847" s="36">
        <f>IF(AND(OR(sel_Region="All",C1847=sel_Region),OR(sel_Country="All",D1847=sel_Country),OR(sel_Channel="All",E1847=sel_Channel),OR(sel_Customer="All",F1847=sel_Customer),OR(sel_Category="All",G1847=sel_Category),AND(S1847&gt;=m_From,S1847&lt;=m_To)),1,0)</f>
        <v/>
      </c>
      <c r="AA1847" s="36">
        <f>IF(AND(OR(sel_Region="All",C1847=sel_Region),OR(sel_Country="All",D1847=sel_Country),OR(sel_Channel="All",E1847=sel_Channel),OR(sel_Customer="All",F1847=sel_Customer),OR(sel_Category="All",G1847=sel_Category),OR(sel_Product="All",H1847=sel_Product)),1,0)</f>
        <v/>
      </c>
    </row>
    <row r="1848">
      <c r="A1848" s="36" t="inlineStr">
        <is>
          <t>02601</t>
        </is>
      </c>
      <c r="B1848" s="44" t="n">
        <v>46272</v>
      </c>
      <c r="C1848" s="36" t="inlineStr">
        <is>
          <t>Central Europe</t>
        </is>
      </c>
      <c r="D1848" s="36" t="inlineStr">
        <is>
          <t>Switzerland</t>
        </is>
      </c>
      <c r="E1848" s="36" t="inlineStr">
        <is>
          <t>Online Store</t>
        </is>
      </c>
      <c r="F1848" s="36" t="inlineStr">
        <is>
          <t>New</t>
        </is>
      </c>
      <c r="G1848" s="36" t="inlineStr">
        <is>
          <t>Cycling</t>
        </is>
      </c>
      <c r="H1848" s="36" t="inlineStr">
        <is>
          <t>Commuter Helmet</t>
        </is>
      </c>
      <c r="I1848" s="36" t="n">
        <v>1</v>
      </c>
      <c r="J1848" s="39" t="n">
        <v>82.86</v>
      </c>
      <c r="K1848" s="45" t="n">
        <v>0</v>
      </c>
      <c r="L1848" s="39" t="n">
        <v>43.33</v>
      </c>
      <c r="M1848" s="39">
        <f>I1848*J1848*(1-K1848)</f>
        <v/>
      </c>
      <c r="N1848" s="39">
        <f>I1848*L1848</f>
        <v/>
      </c>
      <c r="O1848" s="39">
        <f>M1848-N1848</f>
        <v/>
      </c>
      <c r="P1848" s="38">
        <f>IF(M1848=0,0,O1848/M1848)</f>
        <v/>
      </c>
      <c r="Q1848" s="36">
        <f>YEAR(B1848)</f>
        <v/>
      </c>
      <c r="R1848" s="36">
        <f>"Q"&amp;ROUNDUP(MONTH(B1848)/3,0)</f>
        <v/>
      </c>
      <c r="S1848" s="36">
        <f>MONTH(B1848)</f>
        <v/>
      </c>
      <c r="T1848" s="36">
        <f>TEXT(B1848,"mmm")</f>
        <v/>
      </c>
      <c r="U1848" s="36">
        <f>IF(AND(OR(sel_Region="All",C1848=sel_Region),OR(sel_Country="All",D1848=sel_Country),OR(sel_Channel="All",E1848=sel_Channel),OR(sel_Customer="All",F1848=sel_Customer),OR(sel_Category="All",G1848=sel_Category),OR(sel_Product="All",H1848=sel_Product),AND(S1848&gt;=m_From,S1848&lt;=m_To)),1,0)</f>
        <v/>
      </c>
      <c r="V1848" s="36">
        <f>IF(AND(OR(sel_Region="All",C1848=sel_Region),OR(sel_Channel="All",E1848=sel_Channel),OR(sel_Customer="All",F1848=sel_Customer),OR(sel_Category="All",G1848=sel_Category),OR(sel_Product="All",H1848=sel_Product),AND(S1848&gt;=m_From,S1848&lt;=m_To)),1,0)</f>
        <v/>
      </c>
      <c r="W1848" s="36">
        <f>IF(AND(OR(sel_Region="All",C1848=sel_Region),OR(sel_Country="All",D1848=sel_Country),OR(sel_Customer="All",F1848=sel_Customer),OR(sel_Category="All",G1848=sel_Category),OR(sel_Product="All",H1848=sel_Product),AND(S1848&gt;=m_From,S1848&lt;=m_To)),1,0)</f>
        <v/>
      </c>
      <c r="X1848" s="36">
        <f>IF(AND(OR(sel_Region="All",C1848=sel_Region),OR(sel_Country="All",D1848=sel_Country),OR(sel_Channel="All",E1848=sel_Channel),OR(sel_Category="All",G1848=sel_Category),OR(sel_Product="All",H1848=sel_Product),AND(S1848&gt;=m_From,S1848&lt;=m_To)),1,0)</f>
        <v/>
      </c>
      <c r="Y1848" s="36">
        <f>IF(AND(OR(sel_Region="All",C1848=sel_Region),OR(sel_Country="All",D1848=sel_Country),OR(sel_Channel="All",E1848=sel_Channel),OR(sel_Customer="All",F1848=sel_Customer),OR(sel_Product="All",H1848=sel_Product),AND(S1848&gt;=m_From,S1848&lt;=m_To)),1,0)</f>
        <v/>
      </c>
      <c r="Z1848" s="36">
        <f>IF(AND(OR(sel_Region="All",C1848=sel_Region),OR(sel_Country="All",D1848=sel_Country),OR(sel_Channel="All",E1848=sel_Channel),OR(sel_Customer="All",F1848=sel_Customer),OR(sel_Category="All",G1848=sel_Category),AND(S1848&gt;=m_From,S1848&lt;=m_To)),1,0)</f>
        <v/>
      </c>
      <c r="AA1848" s="36">
        <f>IF(AND(OR(sel_Region="All",C1848=sel_Region),OR(sel_Country="All",D1848=sel_Country),OR(sel_Channel="All",E1848=sel_Channel),OR(sel_Customer="All",F1848=sel_Customer),OR(sel_Category="All",G1848=sel_Category),OR(sel_Product="All",H1848=sel_Product)),1,0)</f>
        <v/>
      </c>
    </row>
    <row r="1849">
      <c r="A1849" s="36" t="inlineStr">
        <is>
          <t>02831</t>
        </is>
      </c>
      <c r="B1849" s="44" t="n">
        <v>46272</v>
      </c>
      <c r="C1849" s="36" t="inlineStr">
        <is>
          <t>Southern Europe</t>
        </is>
      </c>
      <c r="D1849" s="36" t="inlineStr">
        <is>
          <t>Portugal</t>
        </is>
      </c>
      <c r="E1849" s="36" t="inlineStr">
        <is>
          <t>Online Store</t>
        </is>
      </c>
      <c r="F1849" s="36" t="inlineStr">
        <is>
          <t>New</t>
        </is>
      </c>
      <c r="G1849" s="36" t="inlineStr">
        <is>
          <t>Travel</t>
        </is>
      </c>
      <c r="H1849" s="36" t="inlineStr">
        <is>
          <t>Packing Cube Set</t>
        </is>
      </c>
      <c r="I1849" s="36" t="n">
        <v>1</v>
      </c>
      <c r="J1849" s="39" t="n">
        <v>46.44</v>
      </c>
      <c r="K1849" s="45" t="n">
        <v>0.05</v>
      </c>
      <c r="L1849" s="39" t="n">
        <v>17.88</v>
      </c>
      <c r="M1849" s="39">
        <f>I1849*J1849*(1-K1849)</f>
        <v/>
      </c>
      <c r="N1849" s="39">
        <f>I1849*L1849</f>
        <v/>
      </c>
      <c r="O1849" s="39">
        <f>M1849-N1849</f>
        <v/>
      </c>
      <c r="P1849" s="38">
        <f>IF(M1849=0,0,O1849/M1849)</f>
        <v/>
      </c>
      <c r="Q1849" s="36">
        <f>YEAR(B1849)</f>
        <v/>
      </c>
      <c r="R1849" s="36">
        <f>"Q"&amp;ROUNDUP(MONTH(B1849)/3,0)</f>
        <v/>
      </c>
      <c r="S1849" s="36">
        <f>MONTH(B1849)</f>
        <v/>
      </c>
      <c r="T1849" s="36">
        <f>TEXT(B1849,"mmm")</f>
        <v/>
      </c>
      <c r="U1849" s="36">
        <f>IF(AND(OR(sel_Region="All",C1849=sel_Region),OR(sel_Country="All",D1849=sel_Country),OR(sel_Channel="All",E1849=sel_Channel),OR(sel_Customer="All",F1849=sel_Customer),OR(sel_Category="All",G1849=sel_Category),OR(sel_Product="All",H1849=sel_Product),AND(S1849&gt;=m_From,S1849&lt;=m_To)),1,0)</f>
        <v/>
      </c>
      <c r="V1849" s="36">
        <f>IF(AND(OR(sel_Region="All",C1849=sel_Region),OR(sel_Channel="All",E1849=sel_Channel),OR(sel_Customer="All",F1849=sel_Customer),OR(sel_Category="All",G1849=sel_Category),OR(sel_Product="All",H1849=sel_Product),AND(S1849&gt;=m_From,S1849&lt;=m_To)),1,0)</f>
        <v/>
      </c>
      <c r="W1849" s="36">
        <f>IF(AND(OR(sel_Region="All",C1849=sel_Region),OR(sel_Country="All",D1849=sel_Country),OR(sel_Customer="All",F1849=sel_Customer),OR(sel_Category="All",G1849=sel_Category),OR(sel_Product="All",H1849=sel_Product),AND(S1849&gt;=m_From,S1849&lt;=m_To)),1,0)</f>
        <v/>
      </c>
      <c r="X1849" s="36">
        <f>IF(AND(OR(sel_Region="All",C1849=sel_Region),OR(sel_Country="All",D1849=sel_Country),OR(sel_Channel="All",E1849=sel_Channel),OR(sel_Category="All",G1849=sel_Category),OR(sel_Product="All",H1849=sel_Product),AND(S1849&gt;=m_From,S1849&lt;=m_To)),1,0)</f>
        <v/>
      </c>
      <c r="Y1849" s="36">
        <f>IF(AND(OR(sel_Region="All",C1849=sel_Region),OR(sel_Country="All",D1849=sel_Country),OR(sel_Channel="All",E1849=sel_Channel),OR(sel_Customer="All",F1849=sel_Customer),OR(sel_Product="All",H1849=sel_Product),AND(S1849&gt;=m_From,S1849&lt;=m_To)),1,0)</f>
        <v/>
      </c>
      <c r="Z1849" s="36">
        <f>IF(AND(OR(sel_Region="All",C1849=sel_Region),OR(sel_Country="All",D1849=sel_Country),OR(sel_Channel="All",E1849=sel_Channel),OR(sel_Customer="All",F1849=sel_Customer),OR(sel_Category="All",G1849=sel_Category),AND(S1849&gt;=m_From,S1849&lt;=m_To)),1,0)</f>
        <v/>
      </c>
      <c r="AA1849" s="36">
        <f>IF(AND(OR(sel_Region="All",C1849=sel_Region),OR(sel_Country="All",D1849=sel_Country),OR(sel_Channel="All",E1849=sel_Channel),OR(sel_Customer="All",F1849=sel_Customer),OR(sel_Category="All",G1849=sel_Category),OR(sel_Product="All",H1849=sel_Product)),1,0)</f>
        <v/>
      </c>
    </row>
    <row r="1850">
      <c r="A1850" s="36" t="inlineStr">
        <is>
          <t>02845</t>
        </is>
      </c>
      <c r="B1850" s="44" t="n">
        <v>46272</v>
      </c>
      <c r="C1850" s="36" t="inlineStr">
        <is>
          <t>Southern Europe</t>
        </is>
      </c>
      <c r="D1850" s="36" t="inlineStr">
        <is>
          <t>Spain</t>
        </is>
      </c>
      <c r="E1850" s="36" t="inlineStr">
        <is>
          <t>Corporate</t>
        </is>
      </c>
      <c r="F1850" s="36" t="inlineStr">
        <is>
          <t>Business</t>
        </is>
      </c>
      <c r="G1850" s="36" t="inlineStr">
        <is>
          <t>Travel</t>
        </is>
      </c>
      <c r="H1850" s="36" t="inlineStr">
        <is>
          <t>Carry-On Duffel</t>
        </is>
      </c>
      <c r="I1850" s="36" t="n">
        <v>4</v>
      </c>
      <c r="J1850" s="39" t="n">
        <v>133.26</v>
      </c>
      <c r="K1850" s="45" t="n">
        <v>0.1</v>
      </c>
      <c r="L1850" s="39" t="n">
        <v>68.77</v>
      </c>
      <c r="M1850" s="39">
        <f>I1850*J1850*(1-K1850)</f>
        <v/>
      </c>
      <c r="N1850" s="39">
        <f>I1850*L1850</f>
        <v/>
      </c>
      <c r="O1850" s="39">
        <f>M1850-N1850</f>
        <v/>
      </c>
      <c r="P1850" s="38">
        <f>IF(M1850=0,0,O1850/M1850)</f>
        <v/>
      </c>
      <c r="Q1850" s="36">
        <f>YEAR(B1850)</f>
        <v/>
      </c>
      <c r="R1850" s="36">
        <f>"Q"&amp;ROUNDUP(MONTH(B1850)/3,0)</f>
        <v/>
      </c>
      <c r="S1850" s="36">
        <f>MONTH(B1850)</f>
        <v/>
      </c>
      <c r="T1850" s="36">
        <f>TEXT(B1850,"mmm")</f>
        <v/>
      </c>
      <c r="U1850" s="36">
        <f>IF(AND(OR(sel_Region="All",C1850=sel_Region),OR(sel_Country="All",D1850=sel_Country),OR(sel_Channel="All",E1850=sel_Channel),OR(sel_Customer="All",F1850=sel_Customer),OR(sel_Category="All",G1850=sel_Category),OR(sel_Product="All",H1850=sel_Product),AND(S1850&gt;=m_From,S1850&lt;=m_To)),1,0)</f>
        <v/>
      </c>
      <c r="V1850" s="36">
        <f>IF(AND(OR(sel_Region="All",C1850=sel_Region),OR(sel_Channel="All",E1850=sel_Channel),OR(sel_Customer="All",F1850=sel_Customer),OR(sel_Category="All",G1850=sel_Category),OR(sel_Product="All",H1850=sel_Product),AND(S1850&gt;=m_From,S1850&lt;=m_To)),1,0)</f>
        <v/>
      </c>
      <c r="W1850" s="36">
        <f>IF(AND(OR(sel_Region="All",C1850=sel_Region),OR(sel_Country="All",D1850=sel_Country),OR(sel_Customer="All",F1850=sel_Customer),OR(sel_Category="All",G1850=sel_Category),OR(sel_Product="All",H1850=sel_Product),AND(S1850&gt;=m_From,S1850&lt;=m_To)),1,0)</f>
        <v/>
      </c>
      <c r="X1850" s="36">
        <f>IF(AND(OR(sel_Region="All",C1850=sel_Region),OR(sel_Country="All",D1850=sel_Country),OR(sel_Channel="All",E1850=sel_Channel),OR(sel_Category="All",G1850=sel_Category),OR(sel_Product="All",H1850=sel_Product),AND(S1850&gt;=m_From,S1850&lt;=m_To)),1,0)</f>
        <v/>
      </c>
      <c r="Y1850" s="36">
        <f>IF(AND(OR(sel_Region="All",C1850=sel_Region),OR(sel_Country="All",D1850=sel_Country),OR(sel_Channel="All",E1850=sel_Channel),OR(sel_Customer="All",F1850=sel_Customer),OR(sel_Product="All",H1850=sel_Product),AND(S1850&gt;=m_From,S1850&lt;=m_To)),1,0)</f>
        <v/>
      </c>
      <c r="Z1850" s="36">
        <f>IF(AND(OR(sel_Region="All",C1850=sel_Region),OR(sel_Country="All",D1850=sel_Country),OR(sel_Channel="All",E1850=sel_Channel),OR(sel_Customer="All",F1850=sel_Customer),OR(sel_Category="All",G1850=sel_Category),AND(S1850&gt;=m_From,S1850&lt;=m_To)),1,0)</f>
        <v/>
      </c>
      <c r="AA1850" s="36">
        <f>IF(AND(OR(sel_Region="All",C1850=sel_Region),OR(sel_Country="All",D1850=sel_Country),OR(sel_Channel="All",E1850=sel_Channel),OR(sel_Customer="All",F1850=sel_Customer),OR(sel_Category="All",G1850=sel_Category),OR(sel_Product="All",H1850=sel_Product)),1,0)</f>
        <v/>
      </c>
    </row>
    <row r="1851">
      <c r="A1851" s="36" t="inlineStr">
        <is>
          <t>03679</t>
        </is>
      </c>
      <c r="B1851" s="44" t="n">
        <v>46272</v>
      </c>
      <c r="C1851" s="36" t="inlineStr">
        <is>
          <t>Central Europe</t>
        </is>
      </c>
      <c r="D1851" s="36" t="inlineStr">
        <is>
          <t>Germany</t>
        </is>
      </c>
      <c r="E1851" s="36" t="inlineStr">
        <is>
          <t>Marketplace</t>
        </is>
      </c>
      <c r="F1851" s="36" t="inlineStr">
        <is>
          <t>New</t>
        </is>
      </c>
      <c r="G1851" s="36" t="inlineStr">
        <is>
          <t>Hiking</t>
        </is>
      </c>
      <c r="H1851" s="36" t="inlineStr">
        <is>
          <t>Trail Boots</t>
        </is>
      </c>
      <c r="I1851" s="36" t="n">
        <v>1</v>
      </c>
      <c r="J1851" s="39" t="n">
        <v>147.36</v>
      </c>
      <c r="K1851" s="45" t="n">
        <v>0</v>
      </c>
      <c r="L1851" s="39" t="n">
        <v>81.59999999999999</v>
      </c>
      <c r="M1851" s="39">
        <f>I1851*J1851*(1-K1851)</f>
        <v/>
      </c>
      <c r="N1851" s="39">
        <f>I1851*L1851</f>
        <v/>
      </c>
      <c r="O1851" s="39">
        <f>M1851-N1851</f>
        <v/>
      </c>
      <c r="P1851" s="38">
        <f>IF(M1851=0,0,O1851/M1851)</f>
        <v/>
      </c>
      <c r="Q1851" s="36">
        <f>YEAR(B1851)</f>
        <v/>
      </c>
      <c r="R1851" s="36">
        <f>"Q"&amp;ROUNDUP(MONTH(B1851)/3,0)</f>
        <v/>
      </c>
      <c r="S1851" s="36">
        <f>MONTH(B1851)</f>
        <v/>
      </c>
      <c r="T1851" s="36">
        <f>TEXT(B1851,"mmm")</f>
        <v/>
      </c>
      <c r="U1851" s="36">
        <f>IF(AND(OR(sel_Region="All",C1851=sel_Region),OR(sel_Country="All",D1851=sel_Country),OR(sel_Channel="All",E1851=sel_Channel),OR(sel_Customer="All",F1851=sel_Customer),OR(sel_Category="All",G1851=sel_Category),OR(sel_Product="All",H1851=sel_Product),AND(S1851&gt;=m_From,S1851&lt;=m_To)),1,0)</f>
        <v/>
      </c>
      <c r="V1851" s="36">
        <f>IF(AND(OR(sel_Region="All",C1851=sel_Region),OR(sel_Channel="All",E1851=sel_Channel),OR(sel_Customer="All",F1851=sel_Customer),OR(sel_Category="All",G1851=sel_Category),OR(sel_Product="All",H1851=sel_Product),AND(S1851&gt;=m_From,S1851&lt;=m_To)),1,0)</f>
        <v/>
      </c>
      <c r="W1851" s="36">
        <f>IF(AND(OR(sel_Region="All",C1851=sel_Region),OR(sel_Country="All",D1851=sel_Country),OR(sel_Customer="All",F1851=sel_Customer),OR(sel_Category="All",G1851=sel_Category),OR(sel_Product="All",H1851=sel_Product),AND(S1851&gt;=m_From,S1851&lt;=m_To)),1,0)</f>
        <v/>
      </c>
      <c r="X1851" s="36">
        <f>IF(AND(OR(sel_Region="All",C1851=sel_Region),OR(sel_Country="All",D1851=sel_Country),OR(sel_Channel="All",E1851=sel_Channel),OR(sel_Category="All",G1851=sel_Category),OR(sel_Product="All",H1851=sel_Product),AND(S1851&gt;=m_From,S1851&lt;=m_To)),1,0)</f>
        <v/>
      </c>
      <c r="Y1851" s="36">
        <f>IF(AND(OR(sel_Region="All",C1851=sel_Region),OR(sel_Country="All",D1851=sel_Country),OR(sel_Channel="All",E1851=sel_Channel),OR(sel_Customer="All",F1851=sel_Customer),OR(sel_Product="All",H1851=sel_Product),AND(S1851&gt;=m_From,S1851&lt;=m_To)),1,0)</f>
        <v/>
      </c>
      <c r="Z1851" s="36">
        <f>IF(AND(OR(sel_Region="All",C1851=sel_Region),OR(sel_Country="All",D1851=sel_Country),OR(sel_Channel="All",E1851=sel_Channel),OR(sel_Customer="All",F1851=sel_Customer),OR(sel_Category="All",G1851=sel_Category),AND(S1851&gt;=m_From,S1851&lt;=m_To)),1,0)</f>
        <v/>
      </c>
      <c r="AA1851" s="36">
        <f>IF(AND(OR(sel_Region="All",C1851=sel_Region),OR(sel_Country="All",D1851=sel_Country),OR(sel_Channel="All",E1851=sel_Channel),OR(sel_Customer="All",F1851=sel_Customer),OR(sel_Category="All",G1851=sel_Category),OR(sel_Product="All",H1851=sel_Product)),1,0)</f>
        <v/>
      </c>
    </row>
    <row r="1852">
      <c r="A1852" s="36" t="inlineStr">
        <is>
          <t>03828</t>
        </is>
      </c>
      <c r="B1852" s="44" t="n">
        <v>46272</v>
      </c>
      <c r="C1852" s="36" t="inlineStr">
        <is>
          <t>Southern Europe</t>
        </is>
      </c>
      <c r="D1852" s="36" t="inlineStr">
        <is>
          <t>Spain</t>
        </is>
      </c>
      <c r="E1852" s="36" t="inlineStr">
        <is>
          <t>Online Store</t>
        </is>
      </c>
      <c r="F1852" s="36" t="inlineStr">
        <is>
          <t>New</t>
        </is>
      </c>
      <c r="G1852" s="36" t="inlineStr">
        <is>
          <t>Travel</t>
        </is>
      </c>
      <c r="H1852" s="36" t="inlineStr">
        <is>
          <t>Travel Backpack 35L</t>
        </is>
      </c>
      <c r="I1852" s="36" t="n">
        <v>2</v>
      </c>
      <c r="J1852" s="39" t="n">
        <v>166.13</v>
      </c>
      <c r="K1852" s="45" t="n">
        <v>0.15</v>
      </c>
      <c r="L1852" s="39" t="n">
        <v>86.70999999999999</v>
      </c>
      <c r="M1852" s="39">
        <f>I1852*J1852*(1-K1852)</f>
        <v/>
      </c>
      <c r="N1852" s="39">
        <f>I1852*L1852</f>
        <v/>
      </c>
      <c r="O1852" s="39">
        <f>M1852-N1852</f>
        <v/>
      </c>
      <c r="P1852" s="38">
        <f>IF(M1852=0,0,O1852/M1852)</f>
        <v/>
      </c>
      <c r="Q1852" s="36">
        <f>YEAR(B1852)</f>
        <v/>
      </c>
      <c r="R1852" s="36">
        <f>"Q"&amp;ROUNDUP(MONTH(B1852)/3,0)</f>
        <v/>
      </c>
      <c r="S1852" s="36">
        <f>MONTH(B1852)</f>
        <v/>
      </c>
      <c r="T1852" s="36">
        <f>TEXT(B1852,"mmm")</f>
        <v/>
      </c>
      <c r="U1852" s="36">
        <f>IF(AND(OR(sel_Region="All",C1852=sel_Region),OR(sel_Country="All",D1852=sel_Country),OR(sel_Channel="All",E1852=sel_Channel),OR(sel_Customer="All",F1852=sel_Customer),OR(sel_Category="All",G1852=sel_Category),OR(sel_Product="All",H1852=sel_Product),AND(S1852&gt;=m_From,S1852&lt;=m_To)),1,0)</f>
        <v/>
      </c>
      <c r="V1852" s="36">
        <f>IF(AND(OR(sel_Region="All",C1852=sel_Region),OR(sel_Channel="All",E1852=sel_Channel),OR(sel_Customer="All",F1852=sel_Customer),OR(sel_Category="All",G1852=sel_Category),OR(sel_Product="All",H1852=sel_Product),AND(S1852&gt;=m_From,S1852&lt;=m_To)),1,0)</f>
        <v/>
      </c>
      <c r="W1852" s="36">
        <f>IF(AND(OR(sel_Region="All",C1852=sel_Region),OR(sel_Country="All",D1852=sel_Country),OR(sel_Customer="All",F1852=sel_Customer),OR(sel_Category="All",G1852=sel_Category),OR(sel_Product="All",H1852=sel_Product),AND(S1852&gt;=m_From,S1852&lt;=m_To)),1,0)</f>
        <v/>
      </c>
      <c r="X1852" s="36">
        <f>IF(AND(OR(sel_Region="All",C1852=sel_Region),OR(sel_Country="All",D1852=sel_Country),OR(sel_Channel="All",E1852=sel_Channel),OR(sel_Category="All",G1852=sel_Category),OR(sel_Product="All",H1852=sel_Product),AND(S1852&gt;=m_From,S1852&lt;=m_To)),1,0)</f>
        <v/>
      </c>
      <c r="Y1852" s="36">
        <f>IF(AND(OR(sel_Region="All",C1852=sel_Region),OR(sel_Country="All",D1852=sel_Country),OR(sel_Channel="All",E1852=sel_Channel),OR(sel_Customer="All",F1852=sel_Customer),OR(sel_Product="All",H1852=sel_Product),AND(S1852&gt;=m_From,S1852&lt;=m_To)),1,0)</f>
        <v/>
      </c>
      <c r="Z1852" s="36">
        <f>IF(AND(OR(sel_Region="All",C1852=sel_Region),OR(sel_Country="All",D1852=sel_Country),OR(sel_Channel="All",E1852=sel_Channel),OR(sel_Customer="All",F1852=sel_Customer),OR(sel_Category="All",G1852=sel_Category),AND(S1852&gt;=m_From,S1852&lt;=m_To)),1,0)</f>
        <v/>
      </c>
      <c r="AA1852" s="36">
        <f>IF(AND(OR(sel_Region="All",C1852=sel_Region),OR(sel_Country="All",D1852=sel_Country),OR(sel_Channel="All",E1852=sel_Channel),OR(sel_Customer="All",F1852=sel_Customer),OR(sel_Category="All",G1852=sel_Category),OR(sel_Product="All",H1852=sel_Product)),1,0)</f>
        <v/>
      </c>
    </row>
    <row r="1853">
      <c r="A1853" s="36" t="inlineStr">
        <is>
          <t>04226</t>
        </is>
      </c>
      <c r="B1853" s="44" t="n">
        <v>46272</v>
      </c>
      <c r="C1853" s="36" t="inlineStr">
        <is>
          <t>Northern Europe</t>
        </is>
      </c>
      <c r="D1853" s="36" t="inlineStr">
        <is>
          <t>Ireland</t>
        </is>
      </c>
      <c r="E1853" s="36" t="inlineStr">
        <is>
          <t>Online Store</t>
        </is>
      </c>
      <c r="F1853" s="36" t="inlineStr">
        <is>
          <t>New</t>
        </is>
      </c>
      <c r="G1853" s="36" t="inlineStr">
        <is>
          <t>Fitness</t>
        </is>
      </c>
      <c r="H1853" s="36" t="inlineStr">
        <is>
          <t>Training Mat</t>
        </is>
      </c>
      <c r="I1853" s="36" t="n">
        <v>1</v>
      </c>
      <c r="J1853" s="39" t="n">
        <v>51.74</v>
      </c>
      <c r="K1853" s="45" t="n">
        <v>0</v>
      </c>
      <c r="L1853" s="39" t="n">
        <v>22.45</v>
      </c>
      <c r="M1853" s="39">
        <f>I1853*J1853*(1-K1853)</f>
        <v/>
      </c>
      <c r="N1853" s="39">
        <f>I1853*L1853</f>
        <v/>
      </c>
      <c r="O1853" s="39">
        <f>M1853-N1853</f>
        <v/>
      </c>
      <c r="P1853" s="38">
        <f>IF(M1853=0,0,O1853/M1853)</f>
        <v/>
      </c>
      <c r="Q1853" s="36">
        <f>YEAR(B1853)</f>
        <v/>
      </c>
      <c r="R1853" s="36">
        <f>"Q"&amp;ROUNDUP(MONTH(B1853)/3,0)</f>
        <v/>
      </c>
      <c r="S1853" s="36">
        <f>MONTH(B1853)</f>
        <v/>
      </c>
      <c r="T1853" s="36">
        <f>TEXT(B1853,"mmm")</f>
        <v/>
      </c>
      <c r="U1853" s="36">
        <f>IF(AND(OR(sel_Region="All",C1853=sel_Region),OR(sel_Country="All",D1853=sel_Country),OR(sel_Channel="All",E1853=sel_Channel),OR(sel_Customer="All",F1853=sel_Customer),OR(sel_Category="All",G1853=sel_Category),OR(sel_Product="All",H1853=sel_Product),AND(S1853&gt;=m_From,S1853&lt;=m_To)),1,0)</f>
        <v/>
      </c>
      <c r="V1853" s="36">
        <f>IF(AND(OR(sel_Region="All",C1853=sel_Region),OR(sel_Channel="All",E1853=sel_Channel),OR(sel_Customer="All",F1853=sel_Customer),OR(sel_Category="All",G1853=sel_Category),OR(sel_Product="All",H1853=sel_Product),AND(S1853&gt;=m_From,S1853&lt;=m_To)),1,0)</f>
        <v/>
      </c>
      <c r="W1853" s="36">
        <f>IF(AND(OR(sel_Region="All",C1853=sel_Region),OR(sel_Country="All",D1853=sel_Country),OR(sel_Customer="All",F1853=sel_Customer),OR(sel_Category="All",G1853=sel_Category),OR(sel_Product="All",H1853=sel_Product),AND(S1853&gt;=m_From,S1853&lt;=m_To)),1,0)</f>
        <v/>
      </c>
      <c r="X1853" s="36">
        <f>IF(AND(OR(sel_Region="All",C1853=sel_Region),OR(sel_Country="All",D1853=sel_Country),OR(sel_Channel="All",E1853=sel_Channel),OR(sel_Category="All",G1853=sel_Category),OR(sel_Product="All",H1853=sel_Product),AND(S1853&gt;=m_From,S1853&lt;=m_To)),1,0)</f>
        <v/>
      </c>
      <c r="Y1853" s="36">
        <f>IF(AND(OR(sel_Region="All",C1853=sel_Region),OR(sel_Country="All",D1853=sel_Country),OR(sel_Channel="All",E1853=sel_Channel),OR(sel_Customer="All",F1853=sel_Customer),OR(sel_Product="All",H1853=sel_Product),AND(S1853&gt;=m_From,S1853&lt;=m_To)),1,0)</f>
        <v/>
      </c>
      <c r="Z1853" s="36">
        <f>IF(AND(OR(sel_Region="All",C1853=sel_Region),OR(sel_Country="All",D1853=sel_Country),OR(sel_Channel="All",E1853=sel_Channel),OR(sel_Customer="All",F1853=sel_Customer),OR(sel_Category="All",G1853=sel_Category),AND(S1853&gt;=m_From,S1853&lt;=m_To)),1,0)</f>
        <v/>
      </c>
      <c r="AA1853" s="36">
        <f>IF(AND(OR(sel_Region="All",C1853=sel_Region),OR(sel_Country="All",D1853=sel_Country),OR(sel_Channel="All",E1853=sel_Channel),OR(sel_Customer="All",F1853=sel_Customer),OR(sel_Category="All",G1853=sel_Category),OR(sel_Product="All",H1853=sel_Product)),1,0)</f>
        <v/>
      </c>
    </row>
    <row r="1854">
      <c r="A1854" s="36" t="inlineStr">
        <is>
          <t>00058</t>
        </is>
      </c>
      <c r="B1854" s="44" t="n">
        <v>46273</v>
      </c>
      <c r="C1854" s="36" t="inlineStr">
        <is>
          <t>Southern Europe</t>
        </is>
      </c>
      <c r="D1854" s="36" t="inlineStr">
        <is>
          <t>Spain</t>
        </is>
      </c>
      <c r="E1854" s="36" t="inlineStr">
        <is>
          <t>Retail Partners</t>
        </is>
      </c>
      <c r="F1854" s="36" t="inlineStr">
        <is>
          <t>Returning</t>
        </is>
      </c>
      <c r="G1854" s="36" t="inlineStr">
        <is>
          <t>Hiking</t>
        </is>
      </c>
      <c r="H1854" s="36" t="inlineStr">
        <is>
          <t>Trekking Poles</t>
        </is>
      </c>
      <c r="I1854" s="36" t="n">
        <v>1</v>
      </c>
      <c r="J1854" s="39" t="n">
        <v>71.7</v>
      </c>
      <c r="K1854" s="45" t="n">
        <v>0</v>
      </c>
      <c r="L1854" s="39" t="n">
        <v>32</v>
      </c>
      <c r="M1854" s="39">
        <f>I1854*J1854*(1-K1854)</f>
        <v/>
      </c>
      <c r="N1854" s="39">
        <f>I1854*L1854</f>
        <v/>
      </c>
      <c r="O1854" s="39">
        <f>M1854-N1854</f>
        <v/>
      </c>
      <c r="P1854" s="38">
        <f>IF(M1854=0,0,O1854/M1854)</f>
        <v/>
      </c>
      <c r="Q1854" s="36">
        <f>YEAR(B1854)</f>
        <v/>
      </c>
      <c r="R1854" s="36">
        <f>"Q"&amp;ROUNDUP(MONTH(B1854)/3,0)</f>
        <v/>
      </c>
      <c r="S1854" s="36">
        <f>MONTH(B1854)</f>
        <v/>
      </c>
      <c r="T1854" s="36">
        <f>TEXT(B1854,"mmm")</f>
        <v/>
      </c>
      <c r="U1854" s="36">
        <f>IF(AND(OR(sel_Region="All",C1854=sel_Region),OR(sel_Country="All",D1854=sel_Country),OR(sel_Channel="All",E1854=sel_Channel),OR(sel_Customer="All",F1854=sel_Customer),OR(sel_Category="All",G1854=sel_Category),OR(sel_Product="All",H1854=sel_Product),AND(S1854&gt;=m_From,S1854&lt;=m_To)),1,0)</f>
        <v/>
      </c>
      <c r="V1854" s="36">
        <f>IF(AND(OR(sel_Region="All",C1854=sel_Region),OR(sel_Channel="All",E1854=sel_Channel),OR(sel_Customer="All",F1854=sel_Customer),OR(sel_Category="All",G1854=sel_Category),OR(sel_Product="All",H1854=sel_Product),AND(S1854&gt;=m_From,S1854&lt;=m_To)),1,0)</f>
        <v/>
      </c>
      <c r="W1854" s="36">
        <f>IF(AND(OR(sel_Region="All",C1854=sel_Region),OR(sel_Country="All",D1854=sel_Country),OR(sel_Customer="All",F1854=sel_Customer),OR(sel_Category="All",G1854=sel_Category),OR(sel_Product="All",H1854=sel_Product),AND(S1854&gt;=m_From,S1854&lt;=m_To)),1,0)</f>
        <v/>
      </c>
      <c r="X1854" s="36">
        <f>IF(AND(OR(sel_Region="All",C1854=sel_Region),OR(sel_Country="All",D1854=sel_Country),OR(sel_Channel="All",E1854=sel_Channel),OR(sel_Category="All",G1854=sel_Category),OR(sel_Product="All",H1854=sel_Product),AND(S1854&gt;=m_From,S1854&lt;=m_To)),1,0)</f>
        <v/>
      </c>
      <c r="Y1854" s="36">
        <f>IF(AND(OR(sel_Region="All",C1854=sel_Region),OR(sel_Country="All",D1854=sel_Country),OR(sel_Channel="All",E1854=sel_Channel),OR(sel_Customer="All",F1854=sel_Customer),OR(sel_Product="All",H1854=sel_Product),AND(S1854&gt;=m_From,S1854&lt;=m_To)),1,0)</f>
        <v/>
      </c>
      <c r="Z1854" s="36">
        <f>IF(AND(OR(sel_Region="All",C1854=sel_Region),OR(sel_Country="All",D1854=sel_Country),OR(sel_Channel="All",E1854=sel_Channel),OR(sel_Customer="All",F1854=sel_Customer),OR(sel_Category="All",G1854=sel_Category),AND(S1854&gt;=m_From,S1854&lt;=m_To)),1,0)</f>
        <v/>
      </c>
      <c r="AA1854" s="36">
        <f>IF(AND(OR(sel_Region="All",C1854=sel_Region),OR(sel_Country="All",D1854=sel_Country),OR(sel_Channel="All",E1854=sel_Channel),OR(sel_Customer="All",F1854=sel_Customer),OR(sel_Category="All",G1854=sel_Category),OR(sel_Product="All",H1854=sel_Product)),1,0)</f>
        <v/>
      </c>
    </row>
    <row r="1855">
      <c r="A1855" s="36" t="inlineStr">
        <is>
          <t>01224</t>
        </is>
      </c>
      <c r="B1855" s="44" t="n">
        <v>46273</v>
      </c>
      <c r="C1855" s="36" t="inlineStr">
        <is>
          <t>Northern Europe</t>
        </is>
      </c>
      <c r="D1855" s="36" t="inlineStr">
        <is>
          <t>Sweden</t>
        </is>
      </c>
      <c r="E1855" s="36" t="inlineStr">
        <is>
          <t>Online Store</t>
        </is>
      </c>
      <c r="F1855" s="36" t="inlineStr">
        <is>
          <t>Returning</t>
        </is>
      </c>
      <c r="G1855" s="36" t="inlineStr">
        <is>
          <t>Cycling</t>
        </is>
      </c>
      <c r="H1855" s="36" t="inlineStr">
        <is>
          <t>Compact Repair Kit</t>
        </is>
      </c>
      <c r="I1855" s="36" t="n">
        <v>2</v>
      </c>
      <c r="J1855" s="39" t="n">
        <v>39.41</v>
      </c>
      <c r="K1855" s="45" t="n">
        <v>0.05</v>
      </c>
      <c r="L1855" s="39" t="n">
        <v>17.12</v>
      </c>
      <c r="M1855" s="39">
        <f>I1855*J1855*(1-K1855)</f>
        <v/>
      </c>
      <c r="N1855" s="39">
        <f>I1855*L1855</f>
        <v/>
      </c>
      <c r="O1855" s="39">
        <f>M1855-N1855</f>
        <v/>
      </c>
      <c r="P1855" s="38">
        <f>IF(M1855=0,0,O1855/M1855)</f>
        <v/>
      </c>
      <c r="Q1855" s="36">
        <f>YEAR(B1855)</f>
        <v/>
      </c>
      <c r="R1855" s="36">
        <f>"Q"&amp;ROUNDUP(MONTH(B1855)/3,0)</f>
        <v/>
      </c>
      <c r="S1855" s="36">
        <f>MONTH(B1855)</f>
        <v/>
      </c>
      <c r="T1855" s="36">
        <f>TEXT(B1855,"mmm")</f>
        <v/>
      </c>
      <c r="U1855" s="36">
        <f>IF(AND(OR(sel_Region="All",C1855=sel_Region),OR(sel_Country="All",D1855=sel_Country),OR(sel_Channel="All",E1855=sel_Channel),OR(sel_Customer="All",F1855=sel_Customer),OR(sel_Category="All",G1855=sel_Category),OR(sel_Product="All",H1855=sel_Product),AND(S1855&gt;=m_From,S1855&lt;=m_To)),1,0)</f>
        <v/>
      </c>
      <c r="V1855" s="36">
        <f>IF(AND(OR(sel_Region="All",C1855=sel_Region),OR(sel_Channel="All",E1855=sel_Channel),OR(sel_Customer="All",F1855=sel_Customer),OR(sel_Category="All",G1855=sel_Category),OR(sel_Product="All",H1855=sel_Product),AND(S1855&gt;=m_From,S1855&lt;=m_To)),1,0)</f>
        <v/>
      </c>
      <c r="W1855" s="36">
        <f>IF(AND(OR(sel_Region="All",C1855=sel_Region),OR(sel_Country="All",D1855=sel_Country),OR(sel_Customer="All",F1855=sel_Customer),OR(sel_Category="All",G1855=sel_Category),OR(sel_Product="All",H1855=sel_Product),AND(S1855&gt;=m_From,S1855&lt;=m_To)),1,0)</f>
        <v/>
      </c>
      <c r="X1855" s="36">
        <f>IF(AND(OR(sel_Region="All",C1855=sel_Region),OR(sel_Country="All",D1855=sel_Country),OR(sel_Channel="All",E1855=sel_Channel),OR(sel_Category="All",G1855=sel_Category),OR(sel_Product="All",H1855=sel_Product),AND(S1855&gt;=m_From,S1855&lt;=m_To)),1,0)</f>
        <v/>
      </c>
      <c r="Y1855" s="36">
        <f>IF(AND(OR(sel_Region="All",C1855=sel_Region),OR(sel_Country="All",D1855=sel_Country),OR(sel_Channel="All",E1855=sel_Channel),OR(sel_Customer="All",F1855=sel_Customer),OR(sel_Product="All",H1855=sel_Product),AND(S1855&gt;=m_From,S1855&lt;=m_To)),1,0)</f>
        <v/>
      </c>
      <c r="Z1855" s="36">
        <f>IF(AND(OR(sel_Region="All",C1855=sel_Region),OR(sel_Country="All",D1855=sel_Country),OR(sel_Channel="All",E1855=sel_Channel),OR(sel_Customer="All",F1855=sel_Customer),OR(sel_Category="All",G1855=sel_Category),AND(S1855&gt;=m_From,S1855&lt;=m_To)),1,0)</f>
        <v/>
      </c>
      <c r="AA1855" s="36">
        <f>IF(AND(OR(sel_Region="All",C1855=sel_Region),OR(sel_Country="All",D1855=sel_Country),OR(sel_Channel="All",E1855=sel_Channel),OR(sel_Customer="All",F1855=sel_Customer),OR(sel_Category="All",G1855=sel_Category),OR(sel_Product="All",H1855=sel_Product)),1,0)</f>
        <v/>
      </c>
    </row>
    <row r="1856">
      <c r="A1856" s="36" t="inlineStr">
        <is>
          <t>04345</t>
        </is>
      </c>
      <c r="B1856" s="44" t="n">
        <v>46273</v>
      </c>
      <c r="C1856" s="36" t="inlineStr">
        <is>
          <t>Southern Europe</t>
        </is>
      </c>
      <c r="D1856" s="36" t="inlineStr">
        <is>
          <t>Portugal</t>
        </is>
      </c>
      <c r="E1856" s="36" t="inlineStr">
        <is>
          <t>Online Store</t>
        </is>
      </c>
      <c r="F1856" s="36" t="inlineStr">
        <is>
          <t>New</t>
        </is>
      </c>
      <c r="G1856" s="36" t="inlineStr">
        <is>
          <t>Camping</t>
        </is>
      </c>
      <c r="H1856" s="36" t="inlineStr">
        <is>
          <t>Alpine Tent 4P</t>
        </is>
      </c>
      <c r="I1856" s="36" t="n">
        <v>2</v>
      </c>
      <c r="J1856" s="39" t="n">
        <v>345.33</v>
      </c>
      <c r="K1856" s="45" t="n">
        <v>0</v>
      </c>
      <c r="L1856" s="39" t="n">
        <v>198.22</v>
      </c>
      <c r="M1856" s="39">
        <f>I1856*J1856*(1-K1856)</f>
        <v/>
      </c>
      <c r="N1856" s="39">
        <f>I1856*L1856</f>
        <v/>
      </c>
      <c r="O1856" s="39">
        <f>M1856-N1856</f>
        <v/>
      </c>
      <c r="P1856" s="38">
        <f>IF(M1856=0,0,O1856/M1856)</f>
        <v/>
      </c>
      <c r="Q1856" s="36">
        <f>YEAR(B1856)</f>
        <v/>
      </c>
      <c r="R1856" s="36">
        <f>"Q"&amp;ROUNDUP(MONTH(B1856)/3,0)</f>
        <v/>
      </c>
      <c r="S1856" s="36">
        <f>MONTH(B1856)</f>
        <v/>
      </c>
      <c r="T1856" s="36">
        <f>TEXT(B1856,"mmm")</f>
        <v/>
      </c>
      <c r="U1856" s="36">
        <f>IF(AND(OR(sel_Region="All",C1856=sel_Region),OR(sel_Country="All",D1856=sel_Country),OR(sel_Channel="All",E1856=sel_Channel),OR(sel_Customer="All",F1856=sel_Customer),OR(sel_Category="All",G1856=sel_Category),OR(sel_Product="All",H1856=sel_Product),AND(S1856&gt;=m_From,S1856&lt;=m_To)),1,0)</f>
        <v/>
      </c>
      <c r="V1856" s="36">
        <f>IF(AND(OR(sel_Region="All",C1856=sel_Region),OR(sel_Channel="All",E1856=sel_Channel),OR(sel_Customer="All",F1856=sel_Customer),OR(sel_Category="All",G1856=sel_Category),OR(sel_Product="All",H1856=sel_Product),AND(S1856&gt;=m_From,S1856&lt;=m_To)),1,0)</f>
        <v/>
      </c>
      <c r="W1856" s="36">
        <f>IF(AND(OR(sel_Region="All",C1856=sel_Region),OR(sel_Country="All",D1856=sel_Country),OR(sel_Customer="All",F1856=sel_Customer),OR(sel_Category="All",G1856=sel_Category),OR(sel_Product="All",H1856=sel_Product),AND(S1856&gt;=m_From,S1856&lt;=m_To)),1,0)</f>
        <v/>
      </c>
      <c r="X1856" s="36">
        <f>IF(AND(OR(sel_Region="All",C1856=sel_Region),OR(sel_Country="All",D1856=sel_Country),OR(sel_Channel="All",E1856=sel_Channel),OR(sel_Category="All",G1856=sel_Category),OR(sel_Product="All",H1856=sel_Product),AND(S1856&gt;=m_From,S1856&lt;=m_To)),1,0)</f>
        <v/>
      </c>
      <c r="Y1856" s="36">
        <f>IF(AND(OR(sel_Region="All",C1856=sel_Region),OR(sel_Country="All",D1856=sel_Country),OR(sel_Channel="All",E1856=sel_Channel),OR(sel_Customer="All",F1856=sel_Customer),OR(sel_Product="All",H1856=sel_Product),AND(S1856&gt;=m_From,S1856&lt;=m_To)),1,0)</f>
        <v/>
      </c>
      <c r="Z1856" s="36">
        <f>IF(AND(OR(sel_Region="All",C1856=sel_Region),OR(sel_Country="All",D1856=sel_Country),OR(sel_Channel="All",E1856=sel_Channel),OR(sel_Customer="All",F1856=sel_Customer),OR(sel_Category="All",G1856=sel_Category),AND(S1856&gt;=m_From,S1856&lt;=m_To)),1,0)</f>
        <v/>
      </c>
      <c r="AA1856" s="36">
        <f>IF(AND(OR(sel_Region="All",C1856=sel_Region),OR(sel_Country="All",D1856=sel_Country),OR(sel_Channel="All",E1856=sel_Channel),OR(sel_Customer="All",F1856=sel_Customer),OR(sel_Category="All",G1856=sel_Category),OR(sel_Product="All",H1856=sel_Product)),1,0)</f>
        <v/>
      </c>
    </row>
    <row r="1857">
      <c r="A1857" s="36" t="inlineStr">
        <is>
          <t>01069</t>
        </is>
      </c>
      <c r="B1857" s="44" t="n">
        <v>46274</v>
      </c>
      <c r="C1857" s="36" t="inlineStr">
        <is>
          <t>Western Europe</t>
        </is>
      </c>
      <c r="D1857" s="36" t="inlineStr">
        <is>
          <t>France</t>
        </is>
      </c>
      <c r="E1857" s="36" t="inlineStr">
        <is>
          <t>Online Store</t>
        </is>
      </c>
      <c r="F1857" s="36" t="inlineStr">
        <is>
          <t>Returning</t>
        </is>
      </c>
      <c r="G1857" s="36" t="inlineStr">
        <is>
          <t>Hiking</t>
        </is>
      </c>
      <c r="H1857" s="36" t="inlineStr">
        <is>
          <t>Trail Boots</t>
        </is>
      </c>
      <c r="I1857" s="36" t="n">
        <v>1</v>
      </c>
      <c r="J1857" s="39" t="n">
        <v>145.33</v>
      </c>
      <c r="K1857" s="45" t="n">
        <v>0.1</v>
      </c>
      <c r="L1857" s="39" t="n">
        <v>80.97</v>
      </c>
      <c r="M1857" s="39">
        <f>I1857*J1857*(1-K1857)</f>
        <v/>
      </c>
      <c r="N1857" s="39">
        <f>I1857*L1857</f>
        <v/>
      </c>
      <c r="O1857" s="39">
        <f>M1857-N1857</f>
        <v/>
      </c>
      <c r="P1857" s="38">
        <f>IF(M1857=0,0,O1857/M1857)</f>
        <v/>
      </c>
      <c r="Q1857" s="36">
        <f>YEAR(B1857)</f>
        <v/>
      </c>
      <c r="R1857" s="36">
        <f>"Q"&amp;ROUNDUP(MONTH(B1857)/3,0)</f>
        <v/>
      </c>
      <c r="S1857" s="36">
        <f>MONTH(B1857)</f>
        <v/>
      </c>
      <c r="T1857" s="36">
        <f>TEXT(B1857,"mmm")</f>
        <v/>
      </c>
      <c r="U1857" s="36">
        <f>IF(AND(OR(sel_Region="All",C1857=sel_Region),OR(sel_Country="All",D1857=sel_Country),OR(sel_Channel="All",E1857=sel_Channel),OR(sel_Customer="All",F1857=sel_Customer),OR(sel_Category="All",G1857=sel_Category),OR(sel_Product="All",H1857=sel_Product),AND(S1857&gt;=m_From,S1857&lt;=m_To)),1,0)</f>
        <v/>
      </c>
      <c r="V1857" s="36">
        <f>IF(AND(OR(sel_Region="All",C1857=sel_Region),OR(sel_Channel="All",E1857=sel_Channel),OR(sel_Customer="All",F1857=sel_Customer),OR(sel_Category="All",G1857=sel_Category),OR(sel_Product="All",H1857=sel_Product),AND(S1857&gt;=m_From,S1857&lt;=m_To)),1,0)</f>
        <v/>
      </c>
      <c r="W1857" s="36">
        <f>IF(AND(OR(sel_Region="All",C1857=sel_Region),OR(sel_Country="All",D1857=sel_Country),OR(sel_Customer="All",F1857=sel_Customer),OR(sel_Category="All",G1857=sel_Category),OR(sel_Product="All",H1857=sel_Product),AND(S1857&gt;=m_From,S1857&lt;=m_To)),1,0)</f>
        <v/>
      </c>
      <c r="X1857" s="36">
        <f>IF(AND(OR(sel_Region="All",C1857=sel_Region),OR(sel_Country="All",D1857=sel_Country),OR(sel_Channel="All",E1857=sel_Channel),OR(sel_Category="All",G1857=sel_Category),OR(sel_Product="All",H1857=sel_Product),AND(S1857&gt;=m_From,S1857&lt;=m_To)),1,0)</f>
        <v/>
      </c>
      <c r="Y1857" s="36">
        <f>IF(AND(OR(sel_Region="All",C1857=sel_Region),OR(sel_Country="All",D1857=sel_Country),OR(sel_Channel="All",E1857=sel_Channel),OR(sel_Customer="All",F1857=sel_Customer),OR(sel_Product="All",H1857=sel_Product),AND(S1857&gt;=m_From,S1857&lt;=m_To)),1,0)</f>
        <v/>
      </c>
      <c r="Z1857" s="36">
        <f>IF(AND(OR(sel_Region="All",C1857=sel_Region),OR(sel_Country="All",D1857=sel_Country),OR(sel_Channel="All",E1857=sel_Channel),OR(sel_Customer="All",F1857=sel_Customer),OR(sel_Category="All",G1857=sel_Category),AND(S1857&gt;=m_From,S1857&lt;=m_To)),1,0)</f>
        <v/>
      </c>
      <c r="AA1857" s="36">
        <f>IF(AND(OR(sel_Region="All",C1857=sel_Region),OR(sel_Country="All",D1857=sel_Country),OR(sel_Channel="All",E1857=sel_Channel),OR(sel_Customer="All",F1857=sel_Customer),OR(sel_Category="All",G1857=sel_Category),OR(sel_Product="All",H1857=sel_Product)),1,0)</f>
        <v/>
      </c>
    </row>
    <row r="1858">
      <c r="A1858" s="36" t="inlineStr">
        <is>
          <t>01489</t>
        </is>
      </c>
      <c r="B1858" s="44" t="n">
        <v>46274</v>
      </c>
      <c r="C1858" s="36" t="inlineStr">
        <is>
          <t>Southern Europe</t>
        </is>
      </c>
      <c r="D1858" s="36" t="inlineStr">
        <is>
          <t>Spain</t>
        </is>
      </c>
      <c r="E1858" s="36" t="inlineStr">
        <is>
          <t>Online Store</t>
        </is>
      </c>
      <c r="F1858" s="36" t="inlineStr">
        <is>
          <t>Returning</t>
        </is>
      </c>
      <c r="G1858" s="36" t="inlineStr">
        <is>
          <t>Cycling</t>
        </is>
      </c>
      <c r="H1858" s="36" t="inlineStr">
        <is>
          <t>Trail Bike Light</t>
        </is>
      </c>
      <c r="I1858" s="36" t="n">
        <v>3</v>
      </c>
      <c r="J1858" s="39" t="n">
        <v>50.03</v>
      </c>
      <c r="K1858" s="45" t="n">
        <v>0.1</v>
      </c>
      <c r="L1858" s="39" t="n">
        <v>22.89</v>
      </c>
      <c r="M1858" s="39">
        <f>I1858*J1858*(1-K1858)</f>
        <v/>
      </c>
      <c r="N1858" s="39">
        <f>I1858*L1858</f>
        <v/>
      </c>
      <c r="O1858" s="39">
        <f>M1858-N1858</f>
        <v/>
      </c>
      <c r="P1858" s="38">
        <f>IF(M1858=0,0,O1858/M1858)</f>
        <v/>
      </c>
      <c r="Q1858" s="36">
        <f>YEAR(B1858)</f>
        <v/>
      </c>
      <c r="R1858" s="36">
        <f>"Q"&amp;ROUNDUP(MONTH(B1858)/3,0)</f>
        <v/>
      </c>
      <c r="S1858" s="36">
        <f>MONTH(B1858)</f>
        <v/>
      </c>
      <c r="T1858" s="36">
        <f>TEXT(B1858,"mmm")</f>
        <v/>
      </c>
      <c r="U1858" s="36">
        <f>IF(AND(OR(sel_Region="All",C1858=sel_Region),OR(sel_Country="All",D1858=sel_Country),OR(sel_Channel="All",E1858=sel_Channel),OR(sel_Customer="All",F1858=sel_Customer),OR(sel_Category="All",G1858=sel_Category),OR(sel_Product="All",H1858=sel_Product),AND(S1858&gt;=m_From,S1858&lt;=m_To)),1,0)</f>
        <v/>
      </c>
      <c r="V1858" s="36">
        <f>IF(AND(OR(sel_Region="All",C1858=sel_Region),OR(sel_Channel="All",E1858=sel_Channel),OR(sel_Customer="All",F1858=sel_Customer),OR(sel_Category="All",G1858=sel_Category),OR(sel_Product="All",H1858=sel_Product),AND(S1858&gt;=m_From,S1858&lt;=m_To)),1,0)</f>
        <v/>
      </c>
      <c r="W1858" s="36">
        <f>IF(AND(OR(sel_Region="All",C1858=sel_Region),OR(sel_Country="All",D1858=sel_Country),OR(sel_Customer="All",F1858=sel_Customer),OR(sel_Category="All",G1858=sel_Category),OR(sel_Product="All",H1858=sel_Product),AND(S1858&gt;=m_From,S1858&lt;=m_To)),1,0)</f>
        <v/>
      </c>
      <c r="X1858" s="36">
        <f>IF(AND(OR(sel_Region="All",C1858=sel_Region),OR(sel_Country="All",D1858=sel_Country),OR(sel_Channel="All",E1858=sel_Channel),OR(sel_Category="All",G1858=sel_Category),OR(sel_Product="All",H1858=sel_Product),AND(S1858&gt;=m_From,S1858&lt;=m_To)),1,0)</f>
        <v/>
      </c>
      <c r="Y1858" s="36">
        <f>IF(AND(OR(sel_Region="All",C1858=sel_Region),OR(sel_Country="All",D1858=sel_Country),OR(sel_Channel="All",E1858=sel_Channel),OR(sel_Customer="All",F1858=sel_Customer),OR(sel_Product="All",H1858=sel_Product),AND(S1858&gt;=m_From,S1858&lt;=m_To)),1,0)</f>
        <v/>
      </c>
      <c r="Z1858" s="36">
        <f>IF(AND(OR(sel_Region="All",C1858=sel_Region),OR(sel_Country="All",D1858=sel_Country),OR(sel_Channel="All",E1858=sel_Channel),OR(sel_Customer="All",F1858=sel_Customer),OR(sel_Category="All",G1858=sel_Category),AND(S1858&gt;=m_From,S1858&lt;=m_To)),1,0)</f>
        <v/>
      </c>
      <c r="AA1858" s="36">
        <f>IF(AND(OR(sel_Region="All",C1858=sel_Region),OR(sel_Country="All",D1858=sel_Country),OR(sel_Channel="All",E1858=sel_Channel),OR(sel_Customer="All",F1858=sel_Customer),OR(sel_Category="All",G1858=sel_Category),OR(sel_Product="All",H1858=sel_Product)),1,0)</f>
        <v/>
      </c>
    </row>
    <row r="1859">
      <c r="A1859" s="36" t="inlineStr">
        <is>
          <t>02045</t>
        </is>
      </c>
      <c r="B1859" s="44" t="n">
        <v>46274</v>
      </c>
      <c r="C1859" s="36" t="inlineStr">
        <is>
          <t>Central Europe</t>
        </is>
      </c>
      <c r="D1859" s="36" t="inlineStr">
        <is>
          <t>Czechia</t>
        </is>
      </c>
      <c r="E1859" s="36" t="inlineStr">
        <is>
          <t>Marketplace</t>
        </is>
      </c>
      <c r="F1859" s="36" t="inlineStr">
        <is>
          <t>Returning</t>
        </is>
      </c>
      <c r="G1859" s="36" t="inlineStr">
        <is>
          <t>Travel</t>
        </is>
      </c>
      <c r="H1859" s="36" t="inlineStr">
        <is>
          <t>Insulated Bottle</t>
        </is>
      </c>
      <c r="I1859" s="36" t="n">
        <v>1</v>
      </c>
      <c r="J1859" s="39" t="n">
        <v>35.68</v>
      </c>
      <c r="K1859" s="45" t="n">
        <v>0.05</v>
      </c>
      <c r="L1859" s="39" t="n">
        <v>13.37</v>
      </c>
      <c r="M1859" s="39">
        <f>I1859*J1859*(1-K1859)</f>
        <v/>
      </c>
      <c r="N1859" s="39">
        <f>I1859*L1859</f>
        <v/>
      </c>
      <c r="O1859" s="39">
        <f>M1859-N1859</f>
        <v/>
      </c>
      <c r="P1859" s="38">
        <f>IF(M1859=0,0,O1859/M1859)</f>
        <v/>
      </c>
      <c r="Q1859" s="36">
        <f>YEAR(B1859)</f>
        <v/>
      </c>
      <c r="R1859" s="36">
        <f>"Q"&amp;ROUNDUP(MONTH(B1859)/3,0)</f>
        <v/>
      </c>
      <c r="S1859" s="36">
        <f>MONTH(B1859)</f>
        <v/>
      </c>
      <c r="T1859" s="36">
        <f>TEXT(B1859,"mmm")</f>
        <v/>
      </c>
      <c r="U1859" s="36">
        <f>IF(AND(OR(sel_Region="All",C1859=sel_Region),OR(sel_Country="All",D1859=sel_Country),OR(sel_Channel="All",E1859=sel_Channel),OR(sel_Customer="All",F1859=sel_Customer),OR(sel_Category="All",G1859=sel_Category),OR(sel_Product="All",H1859=sel_Product),AND(S1859&gt;=m_From,S1859&lt;=m_To)),1,0)</f>
        <v/>
      </c>
      <c r="V1859" s="36">
        <f>IF(AND(OR(sel_Region="All",C1859=sel_Region),OR(sel_Channel="All",E1859=sel_Channel),OR(sel_Customer="All",F1859=sel_Customer),OR(sel_Category="All",G1859=sel_Category),OR(sel_Product="All",H1859=sel_Product),AND(S1859&gt;=m_From,S1859&lt;=m_To)),1,0)</f>
        <v/>
      </c>
      <c r="W1859" s="36">
        <f>IF(AND(OR(sel_Region="All",C1859=sel_Region),OR(sel_Country="All",D1859=sel_Country),OR(sel_Customer="All",F1859=sel_Customer),OR(sel_Category="All",G1859=sel_Category),OR(sel_Product="All",H1859=sel_Product),AND(S1859&gt;=m_From,S1859&lt;=m_To)),1,0)</f>
        <v/>
      </c>
      <c r="X1859" s="36">
        <f>IF(AND(OR(sel_Region="All",C1859=sel_Region),OR(sel_Country="All",D1859=sel_Country),OR(sel_Channel="All",E1859=sel_Channel),OR(sel_Category="All",G1859=sel_Category),OR(sel_Product="All",H1859=sel_Product),AND(S1859&gt;=m_From,S1859&lt;=m_To)),1,0)</f>
        <v/>
      </c>
      <c r="Y1859" s="36">
        <f>IF(AND(OR(sel_Region="All",C1859=sel_Region),OR(sel_Country="All",D1859=sel_Country),OR(sel_Channel="All",E1859=sel_Channel),OR(sel_Customer="All",F1859=sel_Customer),OR(sel_Product="All",H1859=sel_Product),AND(S1859&gt;=m_From,S1859&lt;=m_To)),1,0)</f>
        <v/>
      </c>
      <c r="Z1859" s="36">
        <f>IF(AND(OR(sel_Region="All",C1859=sel_Region),OR(sel_Country="All",D1859=sel_Country),OR(sel_Channel="All",E1859=sel_Channel),OR(sel_Customer="All",F1859=sel_Customer),OR(sel_Category="All",G1859=sel_Category),AND(S1859&gt;=m_From,S1859&lt;=m_To)),1,0)</f>
        <v/>
      </c>
      <c r="AA1859" s="36">
        <f>IF(AND(OR(sel_Region="All",C1859=sel_Region),OR(sel_Country="All",D1859=sel_Country),OR(sel_Channel="All",E1859=sel_Channel),OR(sel_Customer="All",F1859=sel_Customer),OR(sel_Category="All",G1859=sel_Category),OR(sel_Product="All",H1859=sel_Product)),1,0)</f>
        <v/>
      </c>
    </row>
    <row r="1860">
      <c r="A1860" s="36" t="inlineStr">
        <is>
          <t>02610</t>
        </is>
      </c>
      <c r="B1860" s="44" t="n">
        <v>46274</v>
      </c>
      <c r="C1860" s="36" t="inlineStr">
        <is>
          <t>Western Europe</t>
        </is>
      </c>
      <c r="D1860" s="36" t="inlineStr">
        <is>
          <t>United Kingdom</t>
        </is>
      </c>
      <c r="E1860" s="36" t="inlineStr">
        <is>
          <t>Online Store</t>
        </is>
      </c>
      <c r="F1860" s="36" t="inlineStr">
        <is>
          <t>Returning</t>
        </is>
      </c>
      <c r="G1860" s="36" t="inlineStr">
        <is>
          <t>Camping</t>
        </is>
      </c>
      <c r="H1860" s="36" t="inlineStr">
        <is>
          <t>Alpine Tent 4P</t>
        </is>
      </c>
      <c r="I1860" s="36" t="n">
        <v>1</v>
      </c>
      <c r="J1860" s="39" t="n">
        <v>341.87</v>
      </c>
      <c r="K1860" s="45" t="n">
        <v>0.1</v>
      </c>
      <c r="L1860" s="39" t="n">
        <v>190.66</v>
      </c>
      <c r="M1860" s="39">
        <f>I1860*J1860*(1-K1860)</f>
        <v/>
      </c>
      <c r="N1860" s="39">
        <f>I1860*L1860</f>
        <v/>
      </c>
      <c r="O1860" s="39">
        <f>M1860-N1860</f>
        <v/>
      </c>
      <c r="P1860" s="38">
        <f>IF(M1860=0,0,O1860/M1860)</f>
        <v/>
      </c>
      <c r="Q1860" s="36">
        <f>YEAR(B1860)</f>
        <v/>
      </c>
      <c r="R1860" s="36">
        <f>"Q"&amp;ROUNDUP(MONTH(B1860)/3,0)</f>
        <v/>
      </c>
      <c r="S1860" s="36">
        <f>MONTH(B1860)</f>
        <v/>
      </c>
      <c r="T1860" s="36">
        <f>TEXT(B1860,"mmm")</f>
        <v/>
      </c>
      <c r="U1860" s="36">
        <f>IF(AND(OR(sel_Region="All",C1860=sel_Region),OR(sel_Country="All",D1860=sel_Country),OR(sel_Channel="All",E1860=sel_Channel),OR(sel_Customer="All",F1860=sel_Customer),OR(sel_Category="All",G1860=sel_Category),OR(sel_Product="All",H1860=sel_Product),AND(S1860&gt;=m_From,S1860&lt;=m_To)),1,0)</f>
        <v/>
      </c>
      <c r="V1860" s="36">
        <f>IF(AND(OR(sel_Region="All",C1860=sel_Region),OR(sel_Channel="All",E1860=sel_Channel),OR(sel_Customer="All",F1860=sel_Customer),OR(sel_Category="All",G1860=sel_Category),OR(sel_Product="All",H1860=sel_Product),AND(S1860&gt;=m_From,S1860&lt;=m_To)),1,0)</f>
        <v/>
      </c>
      <c r="W1860" s="36">
        <f>IF(AND(OR(sel_Region="All",C1860=sel_Region),OR(sel_Country="All",D1860=sel_Country),OR(sel_Customer="All",F1860=sel_Customer),OR(sel_Category="All",G1860=sel_Category),OR(sel_Product="All",H1860=sel_Product),AND(S1860&gt;=m_From,S1860&lt;=m_To)),1,0)</f>
        <v/>
      </c>
      <c r="X1860" s="36">
        <f>IF(AND(OR(sel_Region="All",C1860=sel_Region),OR(sel_Country="All",D1860=sel_Country),OR(sel_Channel="All",E1860=sel_Channel),OR(sel_Category="All",G1860=sel_Category),OR(sel_Product="All",H1860=sel_Product),AND(S1860&gt;=m_From,S1860&lt;=m_To)),1,0)</f>
        <v/>
      </c>
      <c r="Y1860" s="36">
        <f>IF(AND(OR(sel_Region="All",C1860=sel_Region),OR(sel_Country="All",D1860=sel_Country),OR(sel_Channel="All",E1860=sel_Channel),OR(sel_Customer="All",F1860=sel_Customer),OR(sel_Product="All",H1860=sel_Product),AND(S1860&gt;=m_From,S1860&lt;=m_To)),1,0)</f>
        <v/>
      </c>
      <c r="Z1860" s="36">
        <f>IF(AND(OR(sel_Region="All",C1860=sel_Region),OR(sel_Country="All",D1860=sel_Country),OR(sel_Channel="All",E1860=sel_Channel),OR(sel_Customer="All",F1860=sel_Customer),OR(sel_Category="All",G1860=sel_Category),AND(S1860&gt;=m_From,S1860&lt;=m_To)),1,0)</f>
        <v/>
      </c>
      <c r="AA1860" s="36">
        <f>IF(AND(OR(sel_Region="All",C1860=sel_Region),OR(sel_Country="All",D1860=sel_Country),OR(sel_Channel="All",E1860=sel_Channel),OR(sel_Customer="All",F1860=sel_Customer),OR(sel_Category="All",G1860=sel_Category),OR(sel_Product="All",H1860=sel_Product)),1,0)</f>
        <v/>
      </c>
    </row>
    <row r="1861">
      <c r="A1861" s="36" t="inlineStr">
        <is>
          <t>04210</t>
        </is>
      </c>
      <c r="B1861" s="44" t="n">
        <v>46274</v>
      </c>
      <c r="C1861" s="36" t="inlineStr">
        <is>
          <t>Central Europe</t>
        </is>
      </c>
      <c r="D1861" s="36" t="inlineStr">
        <is>
          <t>Austria</t>
        </is>
      </c>
      <c r="E1861" s="36" t="inlineStr">
        <is>
          <t>Online Store</t>
        </is>
      </c>
      <c r="F1861" s="36" t="inlineStr">
        <is>
          <t>Returning</t>
        </is>
      </c>
      <c r="G1861" s="36" t="inlineStr">
        <is>
          <t>Travel</t>
        </is>
      </c>
      <c r="H1861" s="36" t="inlineStr">
        <is>
          <t>Travel Backpack 35L</t>
        </is>
      </c>
      <c r="I1861" s="36" t="n">
        <v>1</v>
      </c>
      <c r="J1861" s="39" t="n">
        <v>164.6</v>
      </c>
      <c r="K1861" s="45" t="n">
        <v>0</v>
      </c>
      <c r="L1861" s="39" t="n">
        <v>87.20999999999999</v>
      </c>
      <c r="M1861" s="39">
        <f>I1861*J1861*(1-K1861)</f>
        <v/>
      </c>
      <c r="N1861" s="39">
        <f>I1861*L1861</f>
        <v/>
      </c>
      <c r="O1861" s="39">
        <f>M1861-N1861</f>
        <v/>
      </c>
      <c r="P1861" s="38">
        <f>IF(M1861=0,0,O1861/M1861)</f>
        <v/>
      </c>
      <c r="Q1861" s="36">
        <f>YEAR(B1861)</f>
        <v/>
      </c>
      <c r="R1861" s="36">
        <f>"Q"&amp;ROUNDUP(MONTH(B1861)/3,0)</f>
        <v/>
      </c>
      <c r="S1861" s="36">
        <f>MONTH(B1861)</f>
        <v/>
      </c>
      <c r="T1861" s="36">
        <f>TEXT(B1861,"mmm")</f>
        <v/>
      </c>
      <c r="U1861" s="36">
        <f>IF(AND(OR(sel_Region="All",C1861=sel_Region),OR(sel_Country="All",D1861=sel_Country),OR(sel_Channel="All",E1861=sel_Channel),OR(sel_Customer="All",F1861=sel_Customer),OR(sel_Category="All",G1861=sel_Category),OR(sel_Product="All",H1861=sel_Product),AND(S1861&gt;=m_From,S1861&lt;=m_To)),1,0)</f>
        <v/>
      </c>
      <c r="V1861" s="36">
        <f>IF(AND(OR(sel_Region="All",C1861=sel_Region),OR(sel_Channel="All",E1861=sel_Channel),OR(sel_Customer="All",F1861=sel_Customer),OR(sel_Category="All",G1861=sel_Category),OR(sel_Product="All",H1861=sel_Product),AND(S1861&gt;=m_From,S1861&lt;=m_To)),1,0)</f>
        <v/>
      </c>
      <c r="W1861" s="36">
        <f>IF(AND(OR(sel_Region="All",C1861=sel_Region),OR(sel_Country="All",D1861=sel_Country),OR(sel_Customer="All",F1861=sel_Customer),OR(sel_Category="All",G1861=sel_Category),OR(sel_Product="All",H1861=sel_Product),AND(S1861&gt;=m_From,S1861&lt;=m_To)),1,0)</f>
        <v/>
      </c>
      <c r="X1861" s="36">
        <f>IF(AND(OR(sel_Region="All",C1861=sel_Region),OR(sel_Country="All",D1861=sel_Country),OR(sel_Channel="All",E1861=sel_Channel),OR(sel_Category="All",G1861=sel_Category),OR(sel_Product="All",H1861=sel_Product),AND(S1861&gt;=m_From,S1861&lt;=m_To)),1,0)</f>
        <v/>
      </c>
      <c r="Y1861" s="36">
        <f>IF(AND(OR(sel_Region="All",C1861=sel_Region),OR(sel_Country="All",D1861=sel_Country),OR(sel_Channel="All",E1861=sel_Channel),OR(sel_Customer="All",F1861=sel_Customer),OR(sel_Product="All",H1861=sel_Product),AND(S1861&gt;=m_From,S1861&lt;=m_To)),1,0)</f>
        <v/>
      </c>
      <c r="Z1861" s="36">
        <f>IF(AND(OR(sel_Region="All",C1861=sel_Region),OR(sel_Country="All",D1861=sel_Country),OR(sel_Channel="All",E1861=sel_Channel),OR(sel_Customer="All",F1861=sel_Customer),OR(sel_Category="All",G1861=sel_Category),AND(S1861&gt;=m_From,S1861&lt;=m_To)),1,0)</f>
        <v/>
      </c>
      <c r="AA1861" s="36">
        <f>IF(AND(OR(sel_Region="All",C1861=sel_Region),OR(sel_Country="All",D1861=sel_Country),OR(sel_Channel="All",E1861=sel_Channel),OR(sel_Customer="All",F1861=sel_Customer),OR(sel_Category="All",G1861=sel_Category),OR(sel_Product="All",H1861=sel_Product)),1,0)</f>
        <v/>
      </c>
    </row>
    <row r="1862">
      <c r="A1862" s="36" t="inlineStr">
        <is>
          <t>04584</t>
        </is>
      </c>
      <c r="B1862" s="44" t="n">
        <v>46274</v>
      </c>
      <c r="C1862" s="36" t="inlineStr">
        <is>
          <t>Western Europe</t>
        </is>
      </c>
      <c r="D1862" s="36" t="inlineStr">
        <is>
          <t>United Kingdom</t>
        </is>
      </c>
      <c r="E1862" s="36" t="inlineStr">
        <is>
          <t>Online Store</t>
        </is>
      </c>
      <c r="F1862" s="36" t="inlineStr">
        <is>
          <t>Returning</t>
        </is>
      </c>
      <c r="G1862" s="36" t="inlineStr">
        <is>
          <t>Fitness</t>
        </is>
      </c>
      <c r="H1862" s="36" t="inlineStr">
        <is>
          <t>Resistance Band Set</t>
        </is>
      </c>
      <c r="I1862" s="36" t="n">
        <v>2</v>
      </c>
      <c r="J1862" s="39" t="n">
        <v>41.24</v>
      </c>
      <c r="K1862" s="45" t="n">
        <v>0</v>
      </c>
      <c r="L1862" s="39" t="n">
        <v>14.46</v>
      </c>
      <c r="M1862" s="39">
        <f>I1862*J1862*(1-K1862)</f>
        <v/>
      </c>
      <c r="N1862" s="39">
        <f>I1862*L1862</f>
        <v/>
      </c>
      <c r="O1862" s="39">
        <f>M1862-N1862</f>
        <v/>
      </c>
      <c r="P1862" s="38">
        <f>IF(M1862=0,0,O1862/M1862)</f>
        <v/>
      </c>
      <c r="Q1862" s="36">
        <f>YEAR(B1862)</f>
        <v/>
      </c>
      <c r="R1862" s="36">
        <f>"Q"&amp;ROUNDUP(MONTH(B1862)/3,0)</f>
        <v/>
      </c>
      <c r="S1862" s="36">
        <f>MONTH(B1862)</f>
        <v/>
      </c>
      <c r="T1862" s="36">
        <f>TEXT(B1862,"mmm")</f>
        <v/>
      </c>
      <c r="U1862" s="36">
        <f>IF(AND(OR(sel_Region="All",C1862=sel_Region),OR(sel_Country="All",D1862=sel_Country),OR(sel_Channel="All",E1862=sel_Channel),OR(sel_Customer="All",F1862=sel_Customer),OR(sel_Category="All",G1862=sel_Category),OR(sel_Product="All",H1862=sel_Product),AND(S1862&gt;=m_From,S1862&lt;=m_To)),1,0)</f>
        <v/>
      </c>
      <c r="V1862" s="36">
        <f>IF(AND(OR(sel_Region="All",C1862=sel_Region),OR(sel_Channel="All",E1862=sel_Channel),OR(sel_Customer="All",F1862=sel_Customer),OR(sel_Category="All",G1862=sel_Category),OR(sel_Product="All",H1862=sel_Product),AND(S1862&gt;=m_From,S1862&lt;=m_To)),1,0)</f>
        <v/>
      </c>
      <c r="W1862" s="36">
        <f>IF(AND(OR(sel_Region="All",C1862=sel_Region),OR(sel_Country="All",D1862=sel_Country),OR(sel_Customer="All",F1862=sel_Customer),OR(sel_Category="All",G1862=sel_Category),OR(sel_Product="All",H1862=sel_Product),AND(S1862&gt;=m_From,S1862&lt;=m_To)),1,0)</f>
        <v/>
      </c>
      <c r="X1862" s="36">
        <f>IF(AND(OR(sel_Region="All",C1862=sel_Region),OR(sel_Country="All",D1862=sel_Country),OR(sel_Channel="All",E1862=sel_Channel),OR(sel_Category="All",G1862=sel_Category),OR(sel_Product="All",H1862=sel_Product),AND(S1862&gt;=m_From,S1862&lt;=m_To)),1,0)</f>
        <v/>
      </c>
      <c r="Y1862" s="36">
        <f>IF(AND(OR(sel_Region="All",C1862=sel_Region),OR(sel_Country="All",D1862=sel_Country),OR(sel_Channel="All",E1862=sel_Channel),OR(sel_Customer="All",F1862=sel_Customer),OR(sel_Product="All",H1862=sel_Product),AND(S1862&gt;=m_From,S1862&lt;=m_To)),1,0)</f>
        <v/>
      </c>
      <c r="Z1862" s="36">
        <f>IF(AND(OR(sel_Region="All",C1862=sel_Region),OR(sel_Country="All",D1862=sel_Country),OR(sel_Channel="All",E1862=sel_Channel),OR(sel_Customer="All",F1862=sel_Customer),OR(sel_Category="All",G1862=sel_Category),AND(S1862&gt;=m_From,S1862&lt;=m_To)),1,0)</f>
        <v/>
      </c>
      <c r="AA1862" s="36">
        <f>IF(AND(OR(sel_Region="All",C1862=sel_Region),OR(sel_Country="All",D1862=sel_Country),OR(sel_Channel="All",E1862=sel_Channel),OR(sel_Customer="All",F1862=sel_Customer),OR(sel_Category="All",G1862=sel_Category),OR(sel_Product="All",H1862=sel_Product)),1,0)</f>
        <v/>
      </c>
    </row>
    <row r="1863">
      <c r="A1863" s="36" t="inlineStr">
        <is>
          <t>00044</t>
        </is>
      </c>
      <c r="B1863" s="44" t="n">
        <v>46275</v>
      </c>
      <c r="C1863" s="36" t="inlineStr">
        <is>
          <t>Northern Europe</t>
        </is>
      </c>
      <c r="D1863" s="36" t="inlineStr">
        <is>
          <t>Finland</t>
        </is>
      </c>
      <c r="E1863" s="36" t="inlineStr">
        <is>
          <t>Retail Partners</t>
        </is>
      </c>
      <c r="F1863" s="36" t="inlineStr">
        <is>
          <t>New</t>
        </is>
      </c>
      <c r="G1863" s="36" t="inlineStr">
        <is>
          <t>Cycling</t>
        </is>
      </c>
      <c r="H1863" s="36" t="inlineStr">
        <is>
          <t>Compact Repair Kit</t>
        </is>
      </c>
      <c r="I1863" s="36" t="n">
        <v>1</v>
      </c>
      <c r="J1863" s="39" t="n">
        <v>40.1</v>
      </c>
      <c r="K1863" s="45" t="n">
        <v>0</v>
      </c>
      <c r="L1863" s="39" t="n">
        <v>16.92</v>
      </c>
      <c r="M1863" s="39">
        <f>I1863*J1863*(1-K1863)</f>
        <v/>
      </c>
      <c r="N1863" s="39">
        <f>I1863*L1863</f>
        <v/>
      </c>
      <c r="O1863" s="39">
        <f>M1863-N1863</f>
        <v/>
      </c>
      <c r="P1863" s="38">
        <f>IF(M1863=0,0,O1863/M1863)</f>
        <v/>
      </c>
      <c r="Q1863" s="36">
        <f>YEAR(B1863)</f>
        <v/>
      </c>
      <c r="R1863" s="36">
        <f>"Q"&amp;ROUNDUP(MONTH(B1863)/3,0)</f>
        <v/>
      </c>
      <c r="S1863" s="36">
        <f>MONTH(B1863)</f>
        <v/>
      </c>
      <c r="T1863" s="36">
        <f>TEXT(B1863,"mmm")</f>
        <v/>
      </c>
      <c r="U1863" s="36">
        <f>IF(AND(OR(sel_Region="All",C1863=sel_Region),OR(sel_Country="All",D1863=sel_Country),OR(sel_Channel="All",E1863=sel_Channel),OR(sel_Customer="All",F1863=sel_Customer),OR(sel_Category="All",G1863=sel_Category),OR(sel_Product="All",H1863=sel_Product),AND(S1863&gt;=m_From,S1863&lt;=m_To)),1,0)</f>
        <v/>
      </c>
      <c r="V1863" s="36">
        <f>IF(AND(OR(sel_Region="All",C1863=sel_Region),OR(sel_Channel="All",E1863=sel_Channel),OR(sel_Customer="All",F1863=sel_Customer),OR(sel_Category="All",G1863=sel_Category),OR(sel_Product="All",H1863=sel_Product),AND(S1863&gt;=m_From,S1863&lt;=m_To)),1,0)</f>
        <v/>
      </c>
      <c r="W1863" s="36">
        <f>IF(AND(OR(sel_Region="All",C1863=sel_Region),OR(sel_Country="All",D1863=sel_Country),OR(sel_Customer="All",F1863=sel_Customer),OR(sel_Category="All",G1863=sel_Category),OR(sel_Product="All",H1863=sel_Product),AND(S1863&gt;=m_From,S1863&lt;=m_To)),1,0)</f>
        <v/>
      </c>
      <c r="X1863" s="36">
        <f>IF(AND(OR(sel_Region="All",C1863=sel_Region),OR(sel_Country="All",D1863=sel_Country),OR(sel_Channel="All",E1863=sel_Channel),OR(sel_Category="All",G1863=sel_Category),OR(sel_Product="All",H1863=sel_Product),AND(S1863&gt;=m_From,S1863&lt;=m_To)),1,0)</f>
        <v/>
      </c>
      <c r="Y1863" s="36">
        <f>IF(AND(OR(sel_Region="All",C1863=sel_Region),OR(sel_Country="All",D1863=sel_Country),OR(sel_Channel="All",E1863=sel_Channel),OR(sel_Customer="All",F1863=sel_Customer),OR(sel_Product="All",H1863=sel_Product),AND(S1863&gt;=m_From,S1863&lt;=m_To)),1,0)</f>
        <v/>
      </c>
      <c r="Z1863" s="36">
        <f>IF(AND(OR(sel_Region="All",C1863=sel_Region),OR(sel_Country="All",D1863=sel_Country),OR(sel_Channel="All",E1863=sel_Channel),OR(sel_Customer="All",F1863=sel_Customer),OR(sel_Category="All",G1863=sel_Category),AND(S1863&gt;=m_From,S1863&lt;=m_To)),1,0)</f>
        <v/>
      </c>
      <c r="AA1863" s="36">
        <f>IF(AND(OR(sel_Region="All",C1863=sel_Region),OR(sel_Country="All",D1863=sel_Country),OR(sel_Channel="All",E1863=sel_Channel),OR(sel_Customer="All",F1863=sel_Customer),OR(sel_Category="All",G1863=sel_Category),OR(sel_Product="All",H1863=sel_Product)),1,0)</f>
        <v/>
      </c>
    </row>
    <row r="1864">
      <c r="A1864" s="36" t="inlineStr">
        <is>
          <t>00097</t>
        </is>
      </c>
      <c r="B1864" s="44" t="n">
        <v>46275</v>
      </c>
      <c r="C1864" s="36" t="inlineStr">
        <is>
          <t>Central Europe</t>
        </is>
      </c>
      <c r="D1864" s="36" t="inlineStr">
        <is>
          <t>Austria</t>
        </is>
      </c>
      <c r="E1864" s="36" t="inlineStr">
        <is>
          <t>Online Store</t>
        </is>
      </c>
      <c r="F1864" s="36" t="inlineStr">
        <is>
          <t>New</t>
        </is>
      </c>
      <c r="G1864" s="36" t="inlineStr">
        <is>
          <t>Camping</t>
        </is>
      </c>
      <c r="H1864" s="36" t="inlineStr">
        <is>
          <t>Portable Camp Stove</t>
        </is>
      </c>
      <c r="I1864" s="36" t="n">
        <v>2</v>
      </c>
      <c r="J1864" s="39" t="n">
        <v>80.23999999999999</v>
      </c>
      <c r="K1864" s="45" t="n">
        <v>0</v>
      </c>
      <c r="L1864" s="39" t="n">
        <v>40.5</v>
      </c>
      <c r="M1864" s="39">
        <f>I1864*J1864*(1-K1864)</f>
        <v/>
      </c>
      <c r="N1864" s="39">
        <f>I1864*L1864</f>
        <v/>
      </c>
      <c r="O1864" s="39">
        <f>M1864-N1864</f>
        <v/>
      </c>
      <c r="P1864" s="38">
        <f>IF(M1864=0,0,O1864/M1864)</f>
        <v/>
      </c>
      <c r="Q1864" s="36">
        <f>YEAR(B1864)</f>
        <v/>
      </c>
      <c r="R1864" s="36">
        <f>"Q"&amp;ROUNDUP(MONTH(B1864)/3,0)</f>
        <v/>
      </c>
      <c r="S1864" s="36">
        <f>MONTH(B1864)</f>
        <v/>
      </c>
      <c r="T1864" s="36">
        <f>TEXT(B1864,"mmm")</f>
        <v/>
      </c>
      <c r="U1864" s="36">
        <f>IF(AND(OR(sel_Region="All",C1864=sel_Region),OR(sel_Country="All",D1864=sel_Country),OR(sel_Channel="All",E1864=sel_Channel),OR(sel_Customer="All",F1864=sel_Customer),OR(sel_Category="All",G1864=sel_Category),OR(sel_Product="All",H1864=sel_Product),AND(S1864&gt;=m_From,S1864&lt;=m_To)),1,0)</f>
        <v/>
      </c>
      <c r="V1864" s="36">
        <f>IF(AND(OR(sel_Region="All",C1864=sel_Region),OR(sel_Channel="All",E1864=sel_Channel),OR(sel_Customer="All",F1864=sel_Customer),OR(sel_Category="All",G1864=sel_Category),OR(sel_Product="All",H1864=sel_Product),AND(S1864&gt;=m_From,S1864&lt;=m_To)),1,0)</f>
        <v/>
      </c>
      <c r="W1864" s="36">
        <f>IF(AND(OR(sel_Region="All",C1864=sel_Region),OR(sel_Country="All",D1864=sel_Country),OR(sel_Customer="All",F1864=sel_Customer),OR(sel_Category="All",G1864=sel_Category),OR(sel_Product="All",H1864=sel_Product),AND(S1864&gt;=m_From,S1864&lt;=m_To)),1,0)</f>
        <v/>
      </c>
      <c r="X1864" s="36">
        <f>IF(AND(OR(sel_Region="All",C1864=sel_Region),OR(sel_Country="All",D1864=sel_Country),OR(sel_Channel="All",E1864=sel_Channel),OR(sel_Category="All",G1864=sel_Category),OR(sel_Product="All",H1864=sel_Product),AND(S1864&gt;=m_From,S1864&lt;=m_To)),1,0)</f>
        <v/>
      </c>
      <c r="Y1864" s="36">
        <f>IF(AND(OR(sel_Region="All",C1864=sel_Region),OR(sel_Country="All",D1864=sel_Country),OR(sel_Channel="All",E1864=sel_Channel),OR(sel_Customer="All",F1864=sel_Customer),OR(sel_Product="All",H1864=sel_Product),AND(S1864&gt;=m_From,S1864&lt;=m_To)),1,0)</f>
        <v/>
      </c>
      <c r="Z1864" s="36">
        <f>IF(AND(OR(sel_Region="All",C1864=sel_Region),OR(sel_Country="All",D1864=sel_Country),OR(sel_Channel="All",E1864=sel_Channel),OR(sel_Customer="All",F1864=sel_Customer),OR(sel_Category="All",G1864=sel_Category),AND(S1864&gt;=m_From,S1864&lt;=m_To)),1,0)</f>
        <v/>
      </c>
      <c r="AA1864" s="36">
        <f>IF(AND(OR(sel_Region="All",C1864=sel_Region),OR(sel_Country="All",D1864=sel_Country),OR(sel_Channel="All",E1864=sel_Channel),OR(sel_Customer="All",F1864=sel_Customer),OR(sel_Category="All",G1864=sel_Category),OR(sel_Product="All",H1864=sel_Product)),1,0)</f>
        <v/>
      </c>
    </row>
    <row r="1865">
      <c r="A1865" s="36" t="inlineStr">
        <is>
          <t>01015</t>
        </is>
      </c>
      <c r="B1865" s="44" t="n">
        <v>46275</v>
      </c>
      <c r="C1865" s="36" t="inlineStr">
        <is>
          <t>Northern Europe</t>
        </is>
      </c>
      <c r="D1865" s="36" t="inlineStr">
        <is>
          <t>Ireland</t>
        </is>
      </c>
      <c r="E1865" s="36" t="inlineStr">
        <is>
          <t>Online Store</t>
        </is>
      </c>
      <c r="F1865" s="36" t="inlineStr">
        <is>
          <t>New</t>
        </is>
      </c>
      <c r="G1865" s="36" t="inlineStr">
        <is>
          <t>Hiking</t>
        </is>
      </c>
      <c r="H1865" s="36" t="inlineStr">
        <is>
          <t>Summit Backpack 45L</t>
        </is>
      </c>
      <c r="I1865" s="36" t="n">
        <v>4</v>
      </c>
      <c r="J1865" s="39" t="n">
        <v>151.01</v>
      </c>
      <c r="K1865" s="45" t="n">
        <v>0</v>
      </c>
      <c r="L1865" s="39" t="n">
        <v>80.56999999999999</v>
      </c>
      <c r="M1865" s="39">
        <f>I1865*J1865*(1-K1865)</f>
        <v/>
      </c>
      <c r="N1865" s="39">
        <f>I1865*L1865</f>
        <v/>
      </c>
      <c r="O1865" s="39">
        <f>M1865-N1865</f>
        <v/>
      </c>
      <c r="P1865" s="38">
        <f>IF(M1865=0,0,O1865/M1865)</f>
        <v/>
      </c>
      <c r="Q1865" s="36">
        <f>YEAR(B1865)</f>
        <v/>
      </c>
      <c r="R1865" s="36">
        <f>"Q"&amp;ROUNDUP(MONTH(B1865)/3,0)</f>
        <v/>
      </c>
      <c r="S1865" s="36">
        <f>MONTH(B1865)</f>
        <v/>
      </c>
      <c r="T1865" s="36">
        <f>TEXT(B1865,"mmm")</f>
        <v/>
      </c>
      <c r="U1865" s="36">
        <f>IF(AND(OR(sel_Region="All",C1865=sel_Region),OR(sel_Country="All",D1865=sel_Country),OR(sel_Channel="All",E1865=sel_Channel),OR(sel_Customer="All",F1865=sel_Customer),OR(sel_Category="All",G1865=sel_Category),OR(sel_Product="All",H1865=sel_Product),AND(S1865&gt;=m_From,S1865&lt;=m_To)),1,0)</f>
        <v/>
      </c>
      <c r="V1865" s="36">
        <f>IF(AND(OR(sel_Region="All",C1865=sel_Region),OR(sel_Channel="All",E1865=sel_Channel),OR(sel_Customer="All",F1865=sel_Customer),OR(sel_Category="All",G1865=sel_Category),OR(sel_Product="All",H1865=sel_Product),AND(S1865&gt;=m_From,S1865&lt;=m_To)),1,0)</f>
        <v/>
      </c>
      <c r="W1865" s="36">
        <f>IF(AND(OR(sel_Region="All",C1865=sel_Region),OR(sel_Country="All",D1865=sel_Country),OR(sel_Customer="All",F1865=sel_Customer),OR(sel_Category="All",G1865=sel_Category),OR(sel_Product="All",H1865=sel_Product),AND(S1865&gt;=m_From,S1865&lt;=m_To)),1,0)</f>
        <v/>
      </c>
      <c r="X1865" s="36">
        <f>IF(AND(OR(sel_Region="All",C1865=sel_Region),OR(sel_Country="All",D1865=sel_Country),OR(sel_Channel="All",E1865=sel_Channel),OR(sel_Category="All",G1865=sel_Category),OR(sel_Product="All",H1865=sel_Product),AND(S1865&gt;=m_From,S1865&lt;=m_To)),1,0)</f>
        <v/>
      </c>
      <c r="Y1865" s="36">
        <f>IF(AND(OR(sel_Region="All",C1865=sel_Region),OR(sel_Country="All",D1865=sel_Country),OR(sel_Channel="All",E1865=sel_Channel),OR(sel_Customer="All",F1865=sel_Customer),OR(sel_Product="All",H1865=sel_Product),AND(S1865&gt;=m_From,S1865&lt;=m_To)),1,0)</f>
        <v/>
      </c>
      <c r="Z1865" s="36">
        <f>IF(AND(OR(sel_Region="All",C1865=sel_Region),OR(sel_Country="All",D1865=sel_Country),OR(sel_Channel="All",E1865=sel_Channel),OR(sel_Customer="All",F1865=sel_Customer),OR(sel_Category="All",G1865=sel_Category),AND(S1865&gt;=m_From,S1865&lt;=m_To)),1,0)</f>
        <v/>
      </c>
      <c r="AA1865" s="36">
        <f>IF(AND(OR(sel_Region="All",C1865=sel_Region),OR(sel_Country="All",D1865=sel_Country),OR(sel_Channel="All",E1865=sel_Channel),OR(sel_Customer="All",F1865=sel_Customer),OR(sel_Category="All",G1865=sel_Category),OR(sel_Product="All",H1865=sel_Product)),1,0)</f>
        <v/>
      </c>
    </row>
    <row r="1866">
      <c r="A1866" s="36" t="inlineStr">
        <is>
          <t>01128</t>
        </is>
      </c>
      <c r="B1866" s="44" t="n">
        <v>46275</v>
      </c>
      <c r="C1866" s="36" t="inlineStr">
        <is>
          <t>Southern Europe</t>
        </is>
      </c>
      <c r="D1866" s="36" t="inlineStr">
        <is>
          <t>Italy</t>
        </is>
      </c>
      <c r="E1866" s="36" t="inlineStr">
        <is>
          <t>Marketplace</t>
        </is>
      </c>
      <c r="F1866" s="36" t="inlineStr">
        <is>
          <t>Returning</t>
        </is>
      </c>
      <c r="G1866" s="36" t="inlineStr">
        <is>
          <t>Cycling</t>
        </is>
      </c>
      <c r="H1866" s="36" t="inlineStr">
        <is>
          <t>Trail Bike Light</t>
        </is>
      </c>
      <c r="I1866" s="36" t="n">
        <v>1</v>
      </c>
      <c r="J1866" s="39" t="n">
        <v>51.32</v>
      </c>
      <c r="K1866" s="45" t="n">
        <v>0.1</v>
      </c>
      <c r="L1866" s="39" t="n">
        <v>22.67</v>
      </c>
      <c r="M1866" s="39">
        <f>I1866*J1866*(1-K1866)</f>
        <v/>
      </c>
      <c r="N1866" s="39">
        <f>I1866*L1866</f>
        <v/>
      </c>
      <c r="O1866" s="39">
        <f>M1866-N1866</f>
        <v/>
      </c>
      <c r="P1866" s="38">
        <f>IF(M1866=0,0,O1866/M1866)</f>
        <v/>
      </c>
      <c r="Q1866" s="36">
        <f>YEAR(B1866)</f>
        <v/>
      </c>
      <c r="R1866" s="36">
        <f>"Q"&amp;ROUNDUP(MONTH(B1866)/3,0)</f>
        <v/>
      </c>
      <c r="S1866" s="36">
        <f>MONTH(B1866)</f>
        <v/>
      </c>
      <c r="T1866" s="36">
        <f>TEXT(B1866,"mmm")</f>
        <v/>
      </c>
      <c r="U1866" s="36">
        <f>IF(AND(OR(sel_Region="All",C1866=sel_Region),OR(sel_Country="All",D1866=sel_Country),OR(sel_Channel="All",E1866=sel_Channel),OR(sel_Customer="All",F1866=sel_Customer),OR(sel_Category="All",G1866=sel_Category),OR(sel_Product="All",H1866=sel_Product),AND(S1866&gt;=m_From,S1866&lt;=m_To)),1,0)</f>
        <v/>
      </c>
      <c r="V1866" s="36">
        <f>IF(AND(OR(sel_Region="All",C1866=sel_Region),OR(sel_Channel="All",E1866=sel_Channel),OR(sel_Customer="All",F1866=sel_Customer),OR(sel_Category="All",G1866=sel_Category),OR(sel_Product="All",H1866=sel_Product),AND(S1866&gt;=m_From,S1866&lt;=m_To)),1,0)</f>
        <v/>
      </c>
      <c r="W1866" s="36">
        <f>IF(AND(OR(sel_Region="All",C1866=sel_Region),OR(sel_Country="All",D1866=sel_Country),OR(sel_Customer="All",F1866=sel_Customer),OR(sel_Category="All",G1866=sel_Category),OR(sel_Product="All",H1866=sel_Product),AND(S1866&gt;=m_From,S1866&lt;=m_To)),1,0)</f>
        <v/>
      </c>
      <c r="X1866" s="36">
        <f>IF(AND(OR(sel_Region="All",C1866=sel_Region),OR(sel_Country="All",D1866=sel_Country),OR(sel_Channel="All",E1866=sel_Channel),OR(sel_Category="All",G1866=sel_Category),OR(sel_Product="All",H1866=sel_Product),AND(S1866&gt;=m_From,S1866&lt;=m_To)),1,0)</f>
        <v/>
      </c>
      <c r="Y1866" s="36">
        <f>IF(AND(OR(sel_Region="All",C1866=sel_Region),OR(sel_Country="All",D1866=sel_Country),OR(sel_Channel="All",E1866=sel_Channel),OR(sel_Customer="All",F1866=sel_Customer),OR(sel_Product="All",H1866=sel_Product),AND(S1866&gt;=m_From,S1866&lt;=m_To)),1,0)</f>
        <v/>
      </c>
      <c r="Z1866" s="36">
        <f>IF(AND(OR(sel_Region="All",C1866=sel_Region),OR(sel_Country="All",D1866=sel_Country),OR(sel_Channel="All",E1866=sel_Channel),OR(sel_Customer="All",F1866=sel_Customer),OR(sel_Category="All",G1866=sel_Category),AND(S1866&gt;=m_From,S1866&lt;=m_To)),1,0)</f>
        <v/>
      </c>
      <c r="AA1866" s="36">
        <f>IF(AND(OR(sel_Region="All",C1866=sel_Region),OR(sel_Country="All",D1866=sel_Country),OR(sel_Channel="All",E1866=sel_Channel),OR(sel_Customer="All",F1866=sel_Customer),OR(sel_Category="All",G1866=sel_Category),OR(sel_Product="All",H1866=sel_Product)),1,0)</f>
        <v/>
      </c>
    </row>
    <row r="1867">
      <c r="A1867" s="36" t="inlineStr">
        <is>
          <t>03548</t>
        </is>
      </c>
      <c r="B1867" s="44" t="n">
        <v>46275</v>
      </c>
      <c r="C1867" s="36" t="inlineStr">
        <is>
          <t>Western Europe</t>
        </is>
      </c>
      <c r="D1867" s="36" t="inlineStr">
        <is>
          <t>Netherlands</t>
        </is>
      </c>
      <c r="E1867" s="36" t="inlineStr">
        <is>
          <t>Retail Partners</t>
        </is>
      </c>
      <c r="F1867" s="36" t="inlineStr">
        <is>
          <t>Returning</t>
        </is>
      </c>
      <c r="G1867" s="36" t="inlineStr">
        <is>
          <t>Hiking</t>
        </is>
      </c>
      <c r="H1867" s="36" t="inlineStr">
        <is>
          <t>Trekking Poles</t>
        </is>
      </c>
      <c r="I1867" s="36" t="n">
        <v>2</v>
      </c>
      <c r="J1867" s="39" t="n">
        <v>72.61</v>
      </c>
      <c r="K1867" s="45" t="n">
        <v>0</v>
      </c>
      <c r="L1867" s="39" t="n">
        <v>32.68</v>
      </c>
      <c r="M1867" s="39">
        <f>I1867*J1867*(1-K1867)</f>
        <v/>
      </c>
      <c r="N1867" s="39">
        <f>I1867*L1867</f>
        <v/>
      </c>
      <c r="O1867" s="39">
        <f>M1867-N1867</f>
        <v/>
      </c>
      <c r="P1867" s="38">
        <f>IF(M1867=0,0,O1867/M1867)</f>
        <v/>
      </c>
      <c r="Q1867" s="36">
        <f>YEAR(B1867)</f>
        <v/>
      </c>
      <c r="R1867" s="36">
        <f>"Q"&amp;ROUNDUP(MONTH(B1867)/3,0)</f>
        <v/>
      </c>
      <c r="S1867" s="36">
        <f>MONTH(B1867)</f>
        <v/>
      </c>
      <c r="T1867" s="36">
        <f>TEXT(B1867,"mmm")</f>
        <v/>
      </c>
      <c r="U1867" s="36">
        <f>IF(AND(OR(sel_Region="All",C1867=sel_Region),OR(sel_Country="All",D1867=sel_Country),OR(sel_Channel="All",E1867=sel_Channel),OR(sel_Customer="All",F1867=sel_Customer),OR(sel_Category="All",G1867=sel_Category),OR(sel_Product="All",H1867=sel_Product),AND(S1867&gt;=m_From,S1867&lt;=m_To)),1,0)</f>
        <v/>
      </c>
      <c r="V1867" s="36">
        <f>IF(AND(OR(sel_Region="All",C1867=sel_Region),OR(sel_Channel="All",E1867=sel_Channel),OR(sel_Customer="All",F1867=sel_Customer),OR(sel_Category="All",G1867=sel_Category),OR(sel_Product="All",H1867=sel_Product),AND(S1867&gt;=m_From,S1867&lt;=m_To)),1,0)</f>
        <v/>
      </c>
      <c r="W1867" s="36">
        <f>IF(AND(OR(sel_Region="All",C1867=sel_Region),OR(sel_Country="All",D1867=sel_Country),OR(sel_Customer="All",F1867=sel_Customer),OR(sel_Category="All",G1867=sel_Category),OR(sel_Product="All",H1867=sel_Product),AND(S1867&gt;=m_From,S1867&lt;=m_To)),1,0)</f>
        <v/>
      </c>
      <c r="X1867" s="36">
        <f>IF(AND(OR(sel_Region="All",C1867=sel_Region),OR(sel_Country="All",D1867=sel_Country),OR(sel_Channel="All",E1867=sel_Channel),OR(sel_Category="All",G1867=sel_Category),OR(sel_Product="All",H1867=sel_Product),AND(S1867&gt;=m_From,S1867&lt;=m_To)),1,0)</f>
        <v/>
      </c>
      <c r="Y1867" s="36">
        <f>IF(AND(OR(sel_Region="All",C1867=sel_Region),OR(sel_Country="All",D1867=sel_Country),OR(sel_Channel="All",E1867=sel_Channel),OR(sel_Customer="All",F1867=sel_Customer),OR(sel_Product="All",H1867=sel_Product),AND(S1867&gt;=m_From,S1867&lt;=m_To)),1,0)</f>
        <v/>
      </c>
      <c r="Z1867" s="36">
        <f>IF(AND(OR(sel_Region="All",C1867=sel_Region),OR(sel_Country="All",D1867=sel_Country),OR(sel_Channel="All",E1867=sel_Channel),OR(sel_Customer="All",F1867=sel_Customer),OR(sel_Category="All",G1867=sel_Category),AND(S1867&gt;=m_From,S1867&lt;=m_To)),1,0)</f>
        <v/>
      </c>
      <c r="AA1867" s="36">
        <f>IF(AND(OR(sel_Region="All",C1867=sel_Region),OR(sel_Country="All",D1867=sel_Country),OR(sel_Channel="All",E1867=sel_Channel),OR(sel_Customer="All",F1867=sel_Customer),OR(sel_Category="All",G1867=sel_Category),OR(sel_Product="All",H1867=sel_Product)),1,0)</f>
        <v/>
      </c>
    </row>
    <row r="1868">
      <c r="A1868" s="36" t="inlineStr">
        <is>
          <t>00242</t>
        </is>
      </c>
      <c r="B1868" s="44" t="n">
        <v>46276</v>
      </c>
      <c r="C1868" s="36" t="inlineStr">
        <is>
          <t>Western Europe</t>
        </is>
      </c>
      <c r="D1868" s="36" t="inlineStr">
        <is>
          <t>France</t>
        </is>
      </c>
      <c r="E1868" s="36" t="inlineStr">
        <is>
          <t>Marketplace</t>
        </is>
      </c>
      <c r="F1868" s="36" t="inlineStr">
        <is>
          <t>Business</t>
        </is>
      </c>
      <c r="G1868" s="36" t="inlineStr">
        <is>
          <t>Fitness</t>
        </is>
      </c>
      <c r="H1868" s="36" t="inlineStr">
        <is>
          <t>Resistance Band Set</t>
        </is>
      </c>
      <c r="I1868" s="36" t="n">
        <v>5</v>
      </c>
      <c r="J1868" s="39" t="n">
        <v>40.94</v>
      </c>
      <c r="K1868" s="45" t="n">
        <v>0</v>
      </c>
      <c r="L1868" s="39" t="n">
        <v>14.78</v>
      </c>
      <c r="M1868" s="39">
        <f>I1868*J1868*(1-K1868)</f>
        <v/>
      </c>
      <c r="N1868" s="39">
        <f>I1868*L1868</f>
        <v/>
      </c>
      <c r="O1868" s="39">
        <f>M1868-N1868</f>
        <v/>
      </c>
      <c r="P1868" s="38">
        <f>IF(M1868=0,0,O1868/M1868)</f>
        <v/>
      </c>
      <c r="Q1868" s="36">
        <f>YEAR(B1868)</f>
        <v/>
      </c>
      <c r="R1868" s="36">
        <f>"Q"&amp;ROUNDUP(MONTH(B1868)/3,0)</f>
        <v/>
      </c>
      <c r="S1868" s="36">
        <f>MONTH(B1868)</f>
        <v/>
      </c>
      <c r="T1868" s="36">
        <f>TEXT(B1868,"mmm")</f>
        <v/>
      </c>
      <c r="U1868" s="36">
        <f>IF(AND(OR(sel_Region="All",C1868=sel_Region),OR(sel_Country="All",D1868=sel_Country),OR(sel_Channel="All",E1868=sel_Channel),OR(sel_Customer="All",F1868=sel_Customer),OR(sel_Category="All",G1868=sel_Category),OR(sel_Product="All",H1868=sel_Product),AND(S1868&gt;=m_From,S1868&lt;=m_To)),1,0)</f>
        <v/>
      </c>
      <c r="V1868" s="36">
        <f>IF(AND(OR(sel_Region="All",C1868=sel_Region),OR(sel_Channel="All",E1868=sel_Channel),OR(sel_Customer="All",F1868=sel_Customer),OR(sel_Category="All",G1868=sel_Category),OR(sel_Product="All",H1868=sel_Product),AND(S1868&gt;=m_From,S1868&lt;=m_To)),1,0)</f>
        <v/>
      </c>
      <c r="W1868" s="36">
        <f>IF(AND(OR(sel_Region="All",C1868=sel_Region),OR(sel_Country="All",D1868=sel_Country),OR(sel_Customer="All",F1868=sel_Customer),OR(sel_Category="All",G1868=sel_Category),OR(sel_Product="All",H1868=sel_Product),AND(S1868&gt;=m_From,S1868&lt;=m_To)),1,0)</f>
        <v/>
      </c>
      <c r="X1868" s="36">
        <f>IF(AND(OR(sel_Region="All",C1868=sel_Region),OR(sel_Country="All",D1868=sel_Country),OR(sel_Channel="All",E1868=sel_Channel),OR(sel_Category="All",G1868=sel_Category),OR(sel_Product="All",H1868=sel_Product),AND(S1868&gt;=m_From,S1868&lt;=m_To)),1,0)</f>
        <v/>
      </c>
      <c r="Y1868" s="36">
        <f>IF(AND(OR(sel_Region="All",C1868=sel_Region),OR(sel_Country="All",D1868=sel_Country),OR(sel_Channel="All",E1868=sel_Channel),OR(sel_Customer="All",F1868=sel_Customer),OR(sel_Product="All",H1868=sel_Product),AND(S1868&gt;=m_From,S1868&lt;=m_To)),1,0)</f>
        <v/>
      </c>
      <c r="Z1868" s="36">
        <f>IF(AND(OR(sel_Region="All",C1868=sel_Region),OR(sel_Country="All",D1868=sel_Country),OR(sel_Channel="All",E1868=sel_Channel),OR(sel_Customer="All",F1868=sel_Customer),OR(sel_Category="All",G1868=sel_Category),AND(S1868&gt;=m_From,S1868&lt;=m_To)),1,0)</f>
        <v/>
      </c>
      <c r="AA1868" s="36">
        <f>IF(AND(OR(sel_Region="All",C1868=sel_Region),OR(sel_Country="All",D1868=sel_Country),OR(sel_Channel="All",E1868=sel_Channel),OR(sel_Customer="All",F1868=sel_Customer),OR(sel_Category="All",G1868=sel_Category),OR(sel_Product="All",H1868=sel_Product)),1,0)</f>
        <v/>
      </c>
    </row>
    <row r="1869">
      <c r="A1869" s="36" t="inlineStr">
        <is>
          <t>00784</t>
        </is>
      </c>
      <c r="B1869" s="44" t="n">
        <v>46276</v>
      </c>
      <c r="C1869" s="36" t="inlineStr">
        <is>
          <t>Northern Europe</t>
        </is>
      </c>
      <c r="D1869" s="36" t="inlineStr">
        <is>
          <t>Norway</t>
        </is>
      </c>
      <c r="E1869" s="36" t="inlineStr">
        <is>
          <t>Marketplace</t>
        </is>
      </c>
      <c r="F1869" s="36" t="inlineStr">
        <is>
          <t>New</t>
        </is>
      </c>
      <c r="G1869" s="36" t="inlineStr">
        <is>
          <t>Cycling</t>
        </is>
      </c>
      <c r="H1869" s="36" t="inlineStr">
        <is>
          <t>Commuter Helmet</t>
        </is>
      </c>
      <c r="I1869" s="36" t="n">
        <v>4</v>
      </c>
      <c r="J1869" s="39" t="n">
        <v>81.69</v>
      </c>
      <c r="K1869" s="45" t="n">
        <v>0</v>
      </c>
      <c r="L1869" s="39" t="n">
        <v>42.23</v>
      </c>
      <c r="M1869" s="39">
        <f>I1869*J1869*(1-K1869)</f>
        <v/>
      </c>
      <c r="N1869" s="39">
        <f>I1869*L1869</f>
        <v/>
      </c>
      <c r="O1869" s="39">
        <f>M1869-N1869</f>
        <v/>
      </c>
      <c r="P1869" s="38">
        <f>IF(M1869=0,0,O1869/M1869)</f>
        <v/>
      </c>
      <c r="Q1869" s="36">
        <f>YEAR(B1869)</f>
        <v/>
      </c>
      <c r="R1869" s="36">
        <f>"Q"&amp;ROUNDUP(MONTH(B1869)/3,0)</f>
        <v/>
      </c>
      <c r="S1869" s="36">
        <f>MONTH(B1869)</f>
        <v/>
      </c>
      <c r="T1869" s="36">
        <f>TEXT(B1869,"mmm")</f>
        <v/>
      </c>
      <c r="U1869" s="36">
        <f>IF(AND(OR(sel_Region="All",C1869=sel_Region),OR(sel_Country="All",D1869=sel_Country),OR(sel_Channel="All",E1869=sel_Channel),OR(sel_Customer="All",F1869=sel_Customer),OR(sel_Category="All",G1869=sel_Category),OR(sel_Product="All",H1869=sel_Product),AND(S1869&gt;=m_From,S1869&lt;=m_To)),1,0)</f>
        <v/>
      </c>
      <c r="V1869" s="36">
        <f>IF(AND(OR(sel_Region="All",C1869=sel_Region),OR(sel_Channel="All",E1869=sel_Channel),OR(sel_Customer="All",F1869=sel_Customer),OR(sel_Category="All",G1869=sel_Category),OR(sel_Product="All",H1869=sel_Product),AND(S1869&gt;=m_From,S1869&lt;=m_To)),1,0)</f>
        <v/>
      </c>
      <c r="W1869" s="36">
        <f>IF(AND(OR(sel_Region="All",C1869=sel_Region),OR(sel_Country="All",D1869=sel_Country),OR(sel_Customer="All",F1869=sel_Customer),OR(sel_Category="All",G1869=sel_Category),OR(sel_Product="All",H1869=sel_Product),AND(S1869&gt;=m_From,S1869&lt;=m_To)),1,0)</f>
        <v/>
      </c>
      <c r="X1869" s="36">
        <f>IF(AND(OR(sel_Region="All",C1869=sel_Region),OR(sel_Country="All",D1869=sel_Country),OR(sel_Channel="All",E1869=sel_Channel),OR(sel_Category="All",G1869=sel_Category),OR(sel_Product="All",H1869=sel_Product),AND(S1869&gt;=m_From,S1869&lt;=m_To)),1,0)</f>
        <v/>
      </c>
      <c r="Y1869" s="36">
        <f>IF(AND(OR(sel_Region="All",C1869=sel_Region),OR(sel_Country="All",D1869=sel_Country),OR(sel_Channel="All",E1869=sel_Channel),OR(sel_Customer="All",F1869=sel_Customer),OR(sel_Product="All",H1869=sel_Product),AND(S1869&gt;=m_From,S1869&lt;=m_To)),1,0)</f>
        <v/>
      </c>
      <c r="Z1869" s="36">
        <f>IF(AND(OR(sel_Region="All",C1869=sel_Region),OR(sel_Country="All",D1869=sel_Country),OR(sel_Channel="All",E1869=sel_Channel),OR(sel_Customer="All",F1869=sel_Customer),OR(sel_Category="All",G1869=sel_Category),AND(S1869&gt;=m_From,S1869&lt;=m_To)),1,0)</f>
        <v/>
      </c>
      <c r="AA1869" s="36">
        <f>IF(AND(OR(sel_Region="All",C1869=sel_Region),OR(sel_Country="All",D1869=sel_Country),OR(sel_Channel="All",E1869=sel_Channel),OR(sel_Customer="All",F1869=sel_Customer),OR(sel_Category="All",G1869=sel_Category),OR(sel_Product="All",H1869=sel_Product)),1,0)</f>
        <v/>
      </c>
    </row>
    <row r="1870">
      <c r="A1870" s="36" t="inlineStr">
        <is>
          <t>01535</t>
        </is>
      </c>
      <c r="B1870" s="44" t="n">
        <v>46276</v>
      </c>
      <c r="C1870" s="36" t="inlineStr">
        <is>
          <t>Southern Europe</t>
        </is>
      </c>
      <c r="D1870" s="36" t="inlineStr">
        <is>
          <t>Italy</t>
        </is>
      </c>
      <c r="E1870" s="36" t="inlineStr">
        <is>
          <t>Retail Partners</t>
        </is>
      </c>
      <c r="F1870" s="36" t="inlineStr">
        <is>
          <t>New</t>
        </is>
      </c>
      <c r="G1870" s="36" t="inlineStr">
        <is>
          <t>Cycling</t>
        </is>
      </c>
      <c r="H1870" s="36" t="inlineStr">
        <is>
          <t>Trail Bike Light</t>
        </is>
      </c>
      <c r="I1870" s="36" t="n">
        <v>1</v>
      </c>
      <c r="J1870" s="39" t="n">
        <v>51.25</v>
      </c>
      <c r="K1870" s="45" t="n">
        <v>0.05</v>
      </c>
      <c r="L1870" s="39" t="n">
        <v>21.99</v>
      </c>
      <c r="M1870" s="39">
        <f>I1870*J1870*(1-K1870)</f>
        <v/>
      </c>
      <c r="N1870" s="39">
        <f>I1870*L1870</f>
        <v/>
      </c>
      <c r="O1870" s="39">
        <f>M1870-N1870</f>
        <v/>
      </c>
      <c r="P1870" s="38">
        <f>IF(M1870=0,0,O1870/M1870)</f>
        <v/>
      </c>
      <c r="Q1870" s="36">
        <f>YEAR(B1870)</f>
        <v/>
      </c>
      <c r="R1870" s="36">
        <f>"Q"&amp;ROUNDUP(MONTH(B1870)/3,0)</f>
        <v/>
      </c>
      <c r="S1870" s="36">
        <f>MONTH(B1870)</f>
        <v/>
      </c>
      <c r="T1870" s="36">
        <f>TEXT(B1870,"mmm")</f>
        <v/>
      </c>
      <c r="U1870" s="36">
        <f>IF(AND(OR(sel_Region="All",C1870=sel_Region),OR(sel_Country="All",D1870=sel_Country),OR(sel_Channel="All",E1870=sel_Channel),OR(sel_Customer="All",F1870=sel_Customer),OR(sel_Category="All",G1870=sel_Category),OR(sel_Product="All",H1870=sel_Product),AND(S1870&gt;=m_From,S1870&lt;=m_To)),1,0)</f>
        <v/>
      </c>
      <c r="V1870" s="36">
        <f>IF(AND(OR(sel_Region="All",C1870=sel_Region),OR(sel_Channel="All",E1870=sel_Channel),OR(sel_Customer="All",F1870=sel_Customer),OR(sel_Category="All",G1870=sel_Category),OR(sel_Product="All",H1870=sel_Product),AND(S1870&gt;=m_From,S1870&lt;=m_To)),1,0)</f>
        <v/>
      </c>
      <c r="W1870" s="36">
        <f>IF(AND(OR(sel_Region="All",C1870=sel_Region),OR(sel_Country="All",D1870=sel_Country),OR(sel_Customer="All",F1870=sel_Customer),OR(sel_Category="All",G1870=sel_Category),OR(sel_Product="All",H1870=sel_Product),AND(S1870&gt;=m_From,S1870&lt;=m_To)),1,0)</f>
        <v/>
      </c>
      <c r="X1870" s="36">
        <f>IF(AND(OR(sel_Region="All",C1870=sel_Region),OR(sel_Country="All",D1870=sel_Country),OR(sel_Channel="All",E1870=sel_Channel),OR(sel_Category="All",G1870=sel_Category),OR(sel_Product="All",H1870=sel_Product),AND(S1870&gt;=m_From,S1870&lt;=m_To)),1,0)</f>
        <v/>
      </c>
      <c r="Y1870" s="36">
        <f>IF(AND(OR(sel_Region="All",C1870=sel_Region),OR(sel_Country="All",D1870=sel_Country),OR(sel_Channel="All",E1870=sel_Channel),OR(sel_Customer="All",F1870=sel_Customer),OR(sel_Product="All",H1870=sel_Product),AND(S1870&gt;=m_From,S1870&lt;=m_To)),1,0)</f>
        <v/>
      </c>
      <c r="Z1870" s="36">
        <f>IF(AND(OR(sel_Region="All",C1870=sel_Region),OR(sel_Country="All",D1870=sel_Country),OR(sel_Channel="All",E1870=sel_Channel),OR(sel_Customer="All",F1870=sel_Customer),OR(sel_Category="All",G1870=sel_Category),AND(S1870&gt;=m_From,S1870&lt;=m_To)),1,0)</f>
        <v/>
      </c>
      <c r="AA1870" s="36">
        <f>IF(AND(OR(sel_Region="All",C1870=sel_Region),OR(sel_Country="All",D1870=sel_Country),OR(sel_Channel="All",E1870=sel_Channel),OR(sel_Customer="All",F1870=sel_Customer),OR(sel_Category="All",G1870=sel_Category),OR(sel_Product="All",H1870=sel_Product)),1,0)</f>
        <v/>
      </c>
    </row>
    <row r="1871">
      <c r="A1871" s="36" t="inlineStr">
        <is>
          <t>01687</t>
        </is>
      </c>
      <c r="B1871" s="44" t="n">
        <v>46276</v>
      </c>
      <c r="C1871" s="36" t="inlineStr">
        <is>
          <t>Northern Europe</t>
        </is>
      </c>
      <c r="D1871" s="36" t="inlineStr">
        <is>
          <t>Norway</t>
        </is>
      </c>
      <c r="E1871" s="36" t="inlineStr">
        <is>
          <t>Online Store</t>
        </is>
      </c>
      <c r="F1871" s="36" t="inlineStr">
        <is>
          <t>Returning</t>
        </is>
      </c>
      <c r="G1871" s="36" t="inlineStr">
        <is>
          <t>Fitness</t>
        </is>
      </c>
      <c r="H1871" s="36" t="inlineStr">
        <is>
          <t>Training Mat</t>
        </is>
      </c>
      <c r="I1871" s="36" t="n">
        <v>1</v>
      </c>
      <c r="J1871" s="39" t="n">
        <v>50.78</v>
      </c>
      <c r="K1871" s="45" t="n">
        <v>0.05</v>
      </c>
      <c r="L1871" s="39" t="n">
        <v>22.52</v>
      </c>
      <c r="M1871" s="39">
        <f>I1871*J1871*(1-K1871)</f>
        <v/>
      </c>
      <c r="N1871" s="39">
        <f>I1871*L1871</f>
        <v/>
      </c>
      <c r="O1871" s="39">
        <f>M1871-N1871</f>
        <v/>
      </c>
      <c r="P1871" s="38">
        <f>IF(M1871=0,0,O1871/M1871)</f>
        <v/>
      </c>
      <c r="Q1871" s="36">
        <f>YEAR(B1871)</f>
        <v/>
      </c>
      <c r="R1871" s="36">
        <f>"Q"&amp;ROUNDUP(MONTH(B1871)/3,0)</f>
        <v/>
      </c>
      <c r="S1871" s="36">
        <f>MONTH(B1871)</f>
        <v/>
      </c>
      <c r="T1871" s="36">
        <f>TEXT(B1871,"mmm")</f>
        <v/>
      </c>
      <c r="U1871" s="36">
        <f>IF(AND(OR(sel_Region="All",C1871=sel_Region),OR(sel_Country="All",D1871=sel_Country),OR(sel_Channel="All",E1871=sel_Channel),OR(sel_Customer="All",F1871=sel_Customer),OR(sel_Category="All",G1871=sel_Category),OR(sel_Product="All",H1871=sel_Product),AND(S1871&gt;=m_From,S1871&lt;=m_To)),1,0)</f>
        <v/>
      </c>
      <c r="V1871" s="36">
        <f>IF(AND(OR(sel_Region="All",C1871=sel_Region),OR(sel_Channel="All",E1871=sel_Channel),OR(sel_Customer="All",F1871=sel_Customer),OR(sel_Category="All",G1871=sel_Category),OR(sel_Product="All",H1871=sel_Product),AND(S1871&gt;=m_From,S1871&lt;=m_To)),1,0)</f>
        <v/>
      </c>
      <c r="W1871" s="36">
        <f>IF(AND(OR(sel_Region="All",C1871=sel_Region),OR(sel_Country="All",D1871=sel_Country),OR(sel_Customer="All",F1871=sel_Customer),OR(sel_Category="All",G1871=sel_Category),OR(sel_Product="All",H1871=sel_Product),AND(S1871&gt;=m_From,S1871&lt;=m_To)),1,0)</f>
        <v/>
      </c>
      <c r="X1871" s="36">
        <f>IF(AND(OR(sel_Region="All",C1871=sel_Region),OR(sel_Country="All",D1871=sel_Country),OR(sel_Channel="All",E1871=sel_Channel),OR(sel_Category="All",G1871=sel_Category),OR(sel_Product="All",H1871=sel_Product),AND(S1871&gt;=m_From,S1871&lt;=m_To)),1,0)</f>
        <v/>
      </c>
      <c r="Y1871" s="36">
        <f>IF(AND(OR(sel_Region="All",C1871=sel_Region),OR(sel_Country="All",D1871=sel_Country),OR(sel_Channel="All",E1871=sel_Channel),OR(sel_Customer="All",F1871=sel_Customer),OR(sel_Product="All",H1871=sel_Product),AND(S1871&gt;=m_From,S1871&lt;=m_To)),1,0)</f>
        <v/>
      </c>
      <c r="Z1871" s="36">
        <f>IF(AND(OR(sel_Region="All",C1871=sel_Region),OR(sel_Country="All",D1871=sel_Country),OR(sel_Channel="All",E1871=sel_Channel),OR(sel_Customer="All",F1871=sel_Customer),OR(sel_Category="All",G1871=sel_Category),AND(S1871&gt;=m_From,S1871&lt;=m_To)),1,0)</f>
        <v/>
      </c>
      <c r="AA1871" s="36">
        <f>IF(AND(OR(sel_Region="All",C1871=sel_Region),OR(sel_Country="All",D1871=sel_Country),OR(sel_Channel="All",E1871=sel_Channel),OR(sel_Customer="All",F1871=sel_Customer),OR(sel_Category="All",G1871=sel_Category),OR(sel_Product="All",H1871=sel_Product)),1,0)</f>
        <v/>
      </c>
    </row>
    <row r="1872">
      <c r="A1872" s="36" t="inlineStr">
        <is>
          <t>02162</t>
        </is>
      </c>
      <c r="B1872" s="44" t="n">
        <v>46276</v>
      </c>
      <c r="C1872" s="36" t="inlineStr">
        <is>
          <t>Central Europe</t>
        </is>
      </c>
      <c r="D1872" s="36" t="inlineStr">
        <is>
          <t>Czechia</t>
        </is>
      </c>
      <c r="E1872" s="36" t="inlineStr">
        <is>
          <t>Online Store</t>
        </is>
      </c>
      <c r="F1872" s="36" t="inlineStr">
        <is>
          <t>New</t>
        </is>
      </c>
      <c r="G1872" s="36" t="inlineStr">
        <is>
          <t>Travel</t>
        </is>
      </c>
      <c r="H1872" s="36" t="inlineStr">
        <is>
          <t>Carry-On Duffel</t>
        </is>
      </c>
      <c r="I1872" s="36" t="n">
        <v>1</v>
      </c>
      <c r="J1872" s="39" t="n">
        <v>133.31</v>
      </c>
      <c r="K1872" s="45" t="n">
        <v>0.05</v>
      </c>
      <c r="L1872" s="39" t="n">
        <v>67.79000000000001</v>
      </c>
      <c r="M1872" s="39">
        <f>I1872*J1872*(1-K1872)</f>
        <v/>
      </c>
      <c r="N1872" s="39">
        <f>I1872*L1872</f>
        <v/>
      </c>
      <c r="O1872" s="39">
        <f>M1872-N1872</f>
        <v/>
      </c>
      <c r="P1872" s="38">
        <f>IF(M1872=0,0,O1872/M1872)</f>
        <v/>
      </c>
      <c r="Q1872" s="36">
        <f>YEAR(B1872)</f>
        <v/>
      </c>
      <c r="R1872" s="36">
        <f>"Q"&amp;ROUNDUP(MONTH(B1872)/3,0)</f>
        <v/>
      </c>
      <c r="S1872" s="36">
        <f>MONTH(B1872)</f>
        <v/>
      </c>
      <c r="T1872" s="36">
        <f>TEXT(B1872,"mmm")</f>
        <v/>
      </c>
      <c r="U1872" s="36">
        <f>IF(AND(OR(sel_Region="All",C1872=sel_Region),OR(sel_Country="All",D1872=sel_Country),OR(sel_Channel="All",E1872=sel_Channel),OR(sel_Customer="All",F1872=sel_Customer),OR(sel_Category="All",G1872=sel_Category),OR(sel_Product="All",H1872=sel_Product),AND(S1872&gt;=m_From,S1872&lt;=m_To)),1,0)</f>
        <v/>
      </c>
      <c r="V1872" s="36">
        <f>IF(AND(OR(sel_Region="All",C1872=sel_Region),OR(sel_Channel="All",E1872=sel_Channel),OR(sel_Customer="All",F1872=sel_Customer),OR(sel_Category="All",G1872=sel_Category),OR(sel_Product="All",H1872=sel_Product),AND(S1872&gt;=m_From,S1872&lt;=m_To)),1,0)</f>
        <v/>
      </c>
      <c r="W1872" s="36">
        <f>IF(AND(OR(sel_Region="All",C1872=sel_Region),OR(sel_Country="All",D1872=sel_Country),OR(sel_Customer="All",F1872=sel_Customer),OR(sel_Category="All",G1872=sel_Category),OR(sel_Product="All",H1872=sel_Product),AND(S1872&gt;=m_From,S1872&lt;=m_To)),1,0)</f>
        <v/>
      </c>
      <c r="X1872" s="36">
        <f>IF(AND(OR(sel_Region="All",C1872=sel_Region),OR(sel_Country="All",D1872=sel_Country),OR(sel_Channel="All",E1872=sel_Channel),OR(sel_Category="All",G1872=sel_Category),OR(sel_Product="All",H1872=sel_Product),AND(S1872&gt;=m_From,S1872&lt;=m_To)),1,0)</f>
        <v/>
      </c>
      <c r="Y1872" s="36">
        <f>IF(AND(OR(sel_Region="All",C1872=sel_Region),OR(sel_Country="All",D1872=sel_Country),OR(sel_Channel="All",E1872=sel_Channel),OR(sel_Customer="All",F1872=sel_Customer),OR(sel_Product="All",H1872=sel_Product),AND(S1872&gt;=m_From,S1872&lt;=m_To)),1,0)</f>
        <v/>
      </c>
      <c r="Z1872" s="36">
        <f>IF(AND(OR(sel_Region="All",C1872=sel_Region),OR(sel_Country="All",D1872=sel_Country),OR(sel_Channel="All",E1872=sel_Channel),OR(sel_Customer="All",F1872=sel_Customer),OR(sel_Category="All",G1872=sel_Category),AND(S1872&gt;=m_From,S1872&lt;=m_To)),1,0)</f>
        <v/>
      </c>
      <c r="AA1872" s="36">
        <f>IF(AND(OR(sel_Region="All",C1872=sel_Region),OR(sel_Country="All",D1872=sel_Country),OR(sel_Channel="All",E1872=sel_Channel),OR(sel_Customer="All",F1872=sel_Customer),OR(sel_Category="All",G1872=sel_Category),OR(sel_Product="All",H1872=sel_Product)),1,0)</f>
        <v/>
      </c>
    </row>
    <row r="1873">
      <c r="A1873" s="36" t="inlineStr">
        <is>
          <t>02307</t>
        </is>
      </c>
      <c r="B1873" s="44" t="n">
        <v>46276</v>
      </c>
      <c r="C1873" s="36" t="inlineStr">
        <is>
          <t>Northern Europe</t>
        </is>
      </c>
      <c r="D1873" s="36" t="inlineStr">
        <is>
          <t>Sweden</t>
        </is>
      </c>
      <c r="E1873" s="36" t="inlineStr">
        <is>
          <t>Online Store</t>
        </is>
      </c>
      <c r="F1873" s="36" t="inlineStr">
        <is>
          <t>Returning</t>
        </is>
      </c>
      <c r="G1873" s="36" t="inlineStr">
        <is>
          <t>Travel</t>
        </is>
      </c>
      <c r="H1873" s="36" t="inlineStr">
        <is>
          <t>Travel Backpack 35L</t>
        </is>
      </c>
      <c r="I1873" s="36" t="n">
        <v>1</v>
      </c>
      <c r="J1873" s="39" t="n">
        <v>162.06</v>
      </c>
      <c r="K1873" s="45" t="n">
        <v>0</v>
      </c>
      <c r="L1873" s="39" t="n">
        <v>86.95</v>
      </c>
      <c r="M1873" s="39">
        <f>I1873*J1873*(1-K1873)</f>
        <v/>
      </c>
      <c r="N1873" s="39">
        <f>I1873*L1873</f>
        <v/>
      </c>
      <c r="O1873" s="39">
        <f>M1873-N1873</f>
        <v/>
      </c>
      <c r="P1873" s="38">
        <f>IF(M1873=0,0,O1873/M1873)</f>
        <v/>
      </c>
      <c r="Q1873" s="36">
        <f>YEAR(B1873)</f>
        <v/>
      </c>
      <c r="R1873" s="36">
        <f>"Q"&amp;ROUNDUP(MONTH(B1873)/3,0)</f>
        <v/>
      </c>
      <c r="S1873" s="36">
        <f>MONTH(B1873)</f>
        <v/>
      </c>
      <c r="T1873" s="36">
        <f>TEXT(B1873,"mmm")</f>
        <v/>
      </c>
      <c r="U1873" s="36">
        <f>IF(AND(OR(sel_Region="All",C1873=sel_Region),OR(sel_Country="All",D1873=sel_Country),OR(sel_Channel="All",E1873=sel_Channel),OR(sel_Customer="All",F1873=sel_Customer),OR(sel_Category="All",G1873=sel_Category),OR(sel_Product="All",H1873=sel_Product),AND(S1873&gt;=m_From,S1873&lt;=m_To)),1,0)</f>
        <v/>
      </c>
      <c r="V1873" s="36">
        <f>IF(AND(OR(sel_Region="All",C1873=sel_Region),OR(sel_Channel="All",E1873=sel_Channel),OR(sel_Customer="All",F1873=sel_Customer),OR(sel_Category="All",G1873=sel_Category),OR(sel_Product="All",H1873=sel_Product),AND(S1873&gt;=m_From,S1873&lt;=m_To)),1,0)</f>
        <v/>
      </c>
      <c r="W1873" s="36">
        <f>IF(AND(OR(sel_Region="All",C1873=sel_Region),OR(sel_Country="All",D1873=sel_Country),OR(sel_Customer="All",F1873=sel_Customer),OR(sel_Category="All",G1873=sel_Category),OR(sel_Product="All",H1873=sel_Product),AND(S1873&gt;=m_From,S1873&lt;=m_To)),1,0)</f>
        <v/>
      </c>
      <c r="X1873" s="36">
        <f>IF(AND(OR(sel_Region="All",C1873=sel_Region),OR(sel_Country="All",D1873=sel_Country),OR(sel_Channel="All",E1873=sel_Channel),OR(sel_Category="All",G1873=sel_Category),OR(sel_Product="All",H1873=sel_Product),AND(S1873&gt;=m_From,S1873&lt;=m_To)),1,0)</f>
        <v/>
      </c>
      <c r="Y1873" s="36">
        <f>IF(AND(OR(sel_Region="All",C1873=sel_Region),OR(sel_Country="All",D1873=sel_Country),OR(sel_Channel="All",E1873=sel_Channel),OR(sel_Customer="All",F1873=sel_Customer),OR(sel_Product="All",H1873=sel_Product),AND(S1873&gt;=m_From,S1873&lt;=m_To)),1,0)</f>
        <v/>
      </c>
      <c r="Z1873" s="36">
        <f>IF(AND(OR(sel_Region="All",C1873=sel_Region),OR(sel_Country="All",D1873=sel_Country),OR(sel_Channel="All",E1873=sel_Channel),OR(sel_Customer="All",F1873=sel_Customer),OR(sel_Category="All",G1873=sel_Category),AND(S1873&gt;=m_From,S1873&lt;=m_To)),1,0)</f>
        <v/>
      </c>
      <c r="AA1873" s="36">
        <f>IF(AND(OR(sel_Region="All",C1873=sel_Region),OR(sel_Country="All",D1873=sel_Country),OR(sel_Channel="All",E1873=sel_Channel),OR(sel_Customer="All",F1873=sel_Customer),OR(sel_Category="All",G1873=sel_Category),OR(sel_Product="All",H1873=sel_Product)),1,0)</f>
        <v/>
      </c>
    </row>
    <row r="1874">
      <c r="A1874" s="36" t="inlineStr">
        <is>
          <t>03976</t>
        </is>
      </c>
      <c r="B1874" s="44" t="n">
        <v>46276</v>
      </c>
      <c r="C1874" s="36" t="inlineStr">
        <is>
          <t>Northern Europe</t>
        </is>
      </c>
      <c r="D1874" s="36" t="inlineStr">
        <is>
          <t>Denmark</t>
        </is>
      </c>
      <c r="E1874" s="36" t="inlineStr">
        <is>
          <t>Retail Partners</t>
        </is>
      </c>
      <c r="F1874" s="36" t="inlineStr">
        <is>
          <t>Returning</t>
        </is>
      </c>
      <c r="G1874" s="36" t="inlineStr">
        <is>
          <t>Travel</t>
        </is>
      </c>
      <c r="H1874" s="36" t="inlineStr">
        <is>
          <t>Insulated Bottle</t>
        </is>
      </c>
      <c r="I1874" s="36" t="n">
        <v>2</v>
      </c>
      <c r="J1874" s="39" t="n">
        <v>37.03</v>
      </c>
      <c r="K1874" s="45" t="n">
        <v>0.1</v>
      </c>
      <c r="L1874" s="39" t="n">
        <v>13.46</v>
      </c>
      <c r="M1874" s="39">
        <f>I1874*J1874*(1-K1874)</f>
        <v/>
      </c>
      <c r="N1874" s="39">
        <f>I1874*L1874</f>
        <v/>
      </c>
      <c r="O1874" s="39">
        <f>M1874-N1874</f>
        <v/>
      </c>
      <c r="P1874" s="38">
        <f>IF(M1874=0,0,O1874/M1874)</f>
        <v/>
      </c>
      <c r="Q1874" s="36">
        <f>YEAR(B1874)</f>
        <v/>
      </c>
      <c r="R1874" s="36">
        <f>"Q"&amp;ROUNDUP(MONTH(B1874)/3,0)</f>
        <v/>
      </c>
      <c r="S1874" s="36">
        <f>MONTH(B1874)</f>
        <v/>
      </c>
      <c r="T1874" s="36">
        <f>TEXT(B1874,"mmm")</f>
        <v/>
      </c>
      <c r="U1874" s="36">
        <f>IF(AND(OR(sel_Region="All",C1874=sel_Region),OR(sel_Country="All",D1874=sel_Country),OR(sel_Channel="All",E1874=sel_Channel),OR(sel_Customer="All",F1874=sel_Customer),OR(sel_Category="All",G1874=sel_Category),OR(sel_Product="All",H1874=sel_Product),AND(S1874&gt;=m_From,S1874&lt;=m_To)),1,0)</f>
        <v/>
      </c>
      <c r="V1874" s="36">
        <f>IF(AND(OR(sel_Region="All",C1874=sel_Region),OR(sel_Channel="All",E1874=sel_Channel),OR(sel_Customer="All",F1874=sel_Customer),OR(sel_Category="All",G1874=sel_Category),OR(sel_Product="All",H1874=sel_Product),AND(S1874&gt;=m_From,S1874&lt;=m_To)),1,0)</f>
        <v/>
      </c>
      <c r="W1874" s="36">
        <f>IF(AND(OR(sel_Region="All",C1874=sel_Region),OR(sel_Country="All",D1874=sel_Country),OR(sel_Customer="All",F1874=sel_Customer),OR(sel_Category="All",G1874=sel_Category),OR(sel_Product="All",H1874=sel_Product),AND(S1874&gt;=m_From,S1874&lt;=m_To)),1,0)</f>
        <v/>
      </c>
      <c r="X1874" s="36">
        <f>IF(AND(OR(sel_Region="All",C1874=sel_Region),OR(sel_Country="All",D1874=sel_Country),OR(sel_Channel="All",E1874=sel_Channel),OR(sel_Category="All",G1874=sel_Category),OR(sel_Product="All",H1874=sel_Product),AND(S1874&gt;=m_From,S1874&lt;=m_To)),1,0)</f>
        <v/>
      </c>
      <c r="Y1874" s="36">
        <f>IF(AND(OR(sel_Region="All",C1874=sel_Region),OR(sel_Country="All",D1874=sel_Country),OR(sel_Channel="All",E1874=sel_Channel),OR(sel_Customer="All",F1874=sel_Customer),OR(sel_Product="All",H1874=sel_Product),AND(S1874&gt;=m_From,S1874&lt;=m_To)),1,0)</f>
        <v/>
      </c>
      <c r="Z1874" s="36">
        <f>IF(AND(OR(sel_Region="All",C1874=sel_Region),OR(sel_Country="All",D1874=sel_Country),OR(sel_Channel="All",E1874=sel_Channel),OR(sel_Customer="All",F1874=sel_Customer),OR(sel_Category="All",G1874=sel_Category),AND(S1874&gt;=m_From,S1874&lt;=m_To)),1,0)</f>
        <v/>
      </c>
      <c r="AA1874" s="36">
        <f>IF(AND(OR(sel_Region="All",C1874=sel_Region),OR(sel_Country="All",D1874=sel_Country),OR(sel_Channel="All",E1874=sel_Channel),OR(sel_Customer="All",F1874=sel_Customer),OR(sel_Category="All",G1874=sel_Category),OR(sel_Product="All",H1874=sel_Product)),1,0)</f>
        <v/>
      </c>
    </row>
    <row r="1875">
      <c r="A1875" s="36" t="inlineStr">
        <is>
          <t>05066</t>
        </is>
      </c>
      <c r="B1875" s="44" t="n">
        <v>46276</v>
      </c>
      <c r="C1875" s="36" t="inlineStr">
        <is>
          <t>Central Europe</t>
        </is>
      </c>
      <c r="D1875" s="36" t="inlineStr">
        <is>
          <t>Switzerland</t>
        </is>
      </c>
      <c r="E1875" s="36" t="inlineStr">
        <is>
          <t>Online Store</t>
        </is>
      </c>
      <c r="F1875" s="36" t="inlineStr">
        <is>
          <t>New</t>
        </is>
      </c>
      <c r="G1875" s="36" t="inlineStr">
        <is>
          <t>Camping</t>
        </is>
      </c>
      <c r="H1875" s="36" t="inlineStr">
        <is>
          <t>Alpine Tent 4P</t>
        </is>
      </c>
      <c r="I1875" s="36" t="n">
        <v>1</v>
      </c>
      <c r="J1875" s="39" t="n">
        <v>338.01</v>
      </c>
      <c r="K1875" s="45" t="n">
        <v>0</v>
      </c>
      <c r="L1875" s="39" t="n">
        <v>190.89</v>
      </c>
      <c r="M1875" s="39">
        <f>I1875*J1875*(1-K1875)</f>
        <v/>
      </c>
      <c r="N1875" s="39">
        <f>I1875*L1875</f>
        <v/>
      </c>
      <c r="O1875" s="39">
        <f>M1875-N1875</f>
        <v/>
      </c>
      <c r="P1875" s="38">
        <f>IF(M1875=0,0,O1875/M1875)</f>
        <v/>
      </c>
      <c r="Q1875" s="36">
        <f>YEAR(B1875)</f>
        <v/>
      </c>
      <c r="R1875" s="36">
        <f>"Q"&amp;ROUNDUP(MONTH(B1875)/3,0)</f>
        <v/>
      </c>
      <c r="S1875" s="36">
        <f>MONTH(B1875)</f>
        <v/>
      </c>
      <c r="T1875" s="36">
        <f>TEXT(B1875,"mmm")</f>
        <v/>
      </c>
      <c r="U1875" s="36">
        <f>IF(AND(OR(sel_Region="All",C1875=sel_Region),OR(sel_Country="All",D1875=sel_Country),OR(sel_Channel="All",E1875=sel_Channel),OR(sel_Customer="All",F1875=sel_Customer),OR(sel_Category="All",G1875=sel_Category),OR(sel_Product="All",H1875=sel_Product),AND(S1875&gt;=m_From,S1875&lt;=m_To)),1,0)</f>
        <v/>
      </c>
      <c r="V1875" s="36">
        <f>IF(AND(OR(sel_Region="All",C1875=sel_Region),OR(sel_Channel="All",E1875=sel_Channel),OR(sel_Customer="All",F1875=sel_Customer),OR(sel_Category="All",G1875=sel_Category),OR(sel_Product="All",H1875=sel_Product),AND(S1875&gt;=m_From,S1875&lt;=m_To)),1,0)</f>
        <v/>
      </c>
      <c r="W1875" s="36">
        <f>IF(AND(OR(sel_Region="All",C1875=sel_Region),OR(sel_Country="All",D1875=sel_Country),OR(sel_Customer="All",F1875=sel_Customer),OR(sel_Category="All",G1875=sel_Category),OR(sel_Product="All",H1875=sel_Product),AND(S1875&gt;=m_From,S1875&lt;=m_To)),1,0)</f>
        <v/>
      </c>
      <c r="X1875" s="36">
        <f>IF(AND(OR(sel_Region="All",C1875=sel_Region),OR(sel_Country="All",D1875=sel_Country),OR(sel_Channel="All",E1875=sel_Channel),OR(sel_Category="All",G1875=sel_Category),OR(sel_Product="All",H1875=sel_Product),AND(S1875&gt;=m_From,S1875&lt;=m_To)),1,0)</f>
        <v/>
      </c>
      <c r="Y1875" s="36">
        <f>IF(AND(OR(sel_Region="All",C1875=sel_Region),OR(sel_Country="All",D1875=sel_Country),OR(sel_Channel="All",E1875=sel_Channel),OR(sel_Customer="All",F1875=sel_Customer),OR(sel_Product="All",H1875=sel_Product),AND(S1875&gt;=m_From,S1875&lt;=m_To)),1,0)</f>
        <v/>
      </c>
      <c r="Z1875" s="36">
        <f>IF(AND(OR(sel_Region="All",C1875=sel_Region),OR(sel_Country="All",D1875=sel_Country),OR(sel_Channel="All",E1875=sel_Channel),OR(sel_Customer="All",F1875=sel_Customer),OR(sel_Category="All",G1875=sel_Category),AND(S1875&gt;=m_From,S1875&lt;=m_To)),1,0)</f>
        <v/>
      </c>
      <c r="AA1875" s="36">
        <f>IF(AND(OR(sel_Region="All",C1875=sel_Region),OR(sel_Country="All",D1875=sel_Country),OR(sel_Channel="All",E1875=sel_Channel),OR(sel_Customer="All",F1875=sel_Customer),OR(sel_Category="All",G1875=sel_Category),OR(sel_Product="All",H1875=sel_Product)),1,0)</f>
        <v/>
      </c>
    </row>
    <row r="1876">
      <c r="A1876" s="36" t="inlineStr">
        <is>
          <t>00078</t>
        </is>
      </c>
      <c r="B1876" s="44" t="n">
        <v>46277</v>
      </c>
      <c r="C1876" s="36" t="inlineStr">
        <is>
          <t>Western Europe</t>
        </is>
      </c>
      <c r="D1876" s="36" t="inlineStr">
        <is>
          <t>France</t>
        </is>
      </c>
      <c r="E1876" s="36" t="inlineStr">
        <is>
          <t>Online Store</t>
        </is>
      </c>
      <c r="F1876" s="36" t="inlineStr">
        <is>
          <t>New</t>
        </is>
      </c>
      <c r="G1876" s="36" t="inlineStr">
        <is>
          <t>Fitness</t>
        </is>
      </c>
      <c r="H1876" s="36" t="inlineStr">
        <is>
          <t>Resistance Band Set</t>
        </is>
      </c>
      <c r="I1876" s="36" t="n">
        <v>5</v>
      </c>
      <c r="J1876" s="39" t="n">
        <v>40.78</v>
      </c>
      <c r="K1876" s="45" t="n">
        <v>0.05</v>
      </c>
      <c r="L1876" s="39" t="n">
        <v>14.94</v>
      </c>
      <c r="M1876" s="39">
        <f>I1876*J1876*(1-K1876)</f>
        <v/>
      </c>
      <c r="N1876" s="39">
        <f>I1876*L1876</f>
        <v/>
      </c>
      <c r="O1876" s="39">
        <f>M1876-N1876</f>
        <v/>
      </c>
      <c r="P1876" s="38">
        <f>IF(M1876=0,0,O1876/M1876)</f>
        <v/>
      </c>
      <c r="Q1876" s="36">
        <f>YEAR(B1876)</f>
        <v/>
      </c>
      <c r="R1876" s="36">
        <f>"Q"&amp;ROUNDUP(MONTH(B1876)/3,0)</f>
        <v/>
      </c>
      <c r="S1876" s="36">
        <f>MONTH(B1876)</f>
        <v/>
      </c>
      <c r="T1876" s="36">
        <f>TEXT(B1876,"mmm")</f>
        <v/>
      </c>
      <c r="U1876" s="36">
        <f>IF(AND(OR(sel_Region="All",C1876=sel_Region),OR(sel_Country="All",D1876=sel_Country),OR(sel_Channel="All",E1876=sel_Channel),OR(sel_Customer="All",F1876=sel_Customer),OR(sel_Category="All",G1876=sel_Category),OR(sel_Product="All",H1876=sel_Product),AND(S1876&gt;=m_From,S1876&lt;=m_To)),1,0)</f>
        <v/>
      </c>
      <c r="V1876" s="36">
        <f>IF(AND(OR(sel_Region="All",C1876=sel_Region),OR(sel_Channel="All",E1876=sel_Channel),OR(sel_Customer="All",F1876=sel_Customer),OR(sel_Category="All",G1876=sel_Category),OR(sel_Product="All",H1876=sel_Product),AND(S1876&gt;=m_From,S1876&lt;=m_To)),1,0)</f>
        <v/>
      </c>
      <c r="W1876" s="36">
        <f>IF(AND(OR(sel_Region="All",C1876=sel_Region),OR(sel_Country="All",D1876=sel_Country),OR(sel_Customer="All",F1876=sel_Customer),OR(sel_Category="All",G1876=sel_Category),OR(sel_Product="All",H1876=sel_Product),AND(S1876&gt;=m_From,S1876&lt;=m_To)),1,0)</f>
        <v/>
      </c>
      <c r="X1876" s="36">
        <f>IF(AND(OR(sel_Region="All",C1876=sel_Region),OR(sel_Country="All",D1876=sel_Country),OR(sel_Channel="All",E1876=sel_Channel),OR(sel_Category="All",G1876=sel_Category),OR(sel_Product="All",H1876=sel_Product),AND(S1876&gt;=m_From,S1876&lt;=m_To)),1,0)</f>
        <v/>
      </c>
      <c r="Y1876" s="36">
        <f>IF(AND(OR(sel_Region="All",C1876=sel_Region),OR(sel_Country="All",D1876=sel_Country),OR(sel_Channel="All",E1876=sel_Channel),OR(sel_Customer="All",F1876=sel_Customer),OR(sel_Product="All",H1876=sel_Product),AND(S1876&gt;=m_From,S1876&lt;=m_To)),1,0)</f>
        <v/>
      </c>
      <c r="Z1876" s="36">
        <f>IF(AND(OR(sel_Region="All",C1876=sel_Region),OR(sel_Country="All",D1876=sel_Country),OR(sel_Channel="All",E1876=sel_Channel),OR(sel_Customer="All",F1876=sel_Customer),OR(sel_Category="All",G1876=sel_Category),AND(S1876&gt;=m_From,S1876&lt;=m_To)),1,0)</f>
        <v/>
      </c>
      <c r="AA1876" s="36">
        <f>IF(AND(OR(sel_Region="All",C1876=sel_Region),OR(sel_Country="All",D1876=sel_Country),OR(sel_Channel="All",E1876=sel_Channel),OR(sel_Customer="All",F1876=sel_Customer),OR(sel_Category="All",G1876=sel_Category),OR(sel_Product="All",H1876=sel_Product)),1,0)</f>
        <v/>
      </c>
    </row>
    <row r="1877">
      <c r="A1877" s="36" t="inlineStr">
        <is>
          <t>00354</t>
        </is>
      </c>
      <c r="B1877" s="44" t="n">
        <v>46277</v>
      </c>
      <c r="C1877" s="36" t="inlineStr">
        <is>
          <t>Northern Europe</t>
        </is>
      </c>
      <c r="D1877" s="36" t="inlineStr">
        <is>
          <t>Norway</t>
        </is>
      </c>
      <c r="E1877" s="36" t="inlineStr">
        <is>
          <t>Online Store</t>
        </is>
      </c>
      <c r="F1877" s="36" t="inlineStr">
        <is>
          <t>Returning</t>
        </is>
      </c>
      <c r="G1877" s="36" t="inlineStr">
        <is>
          <t>Cycling</t>
        </is>
      </c>
      <c r="H1877" s="36" t="inlineStr">
        <is>
          <t>Trail Bike Light</t>
        </is>
      </c>
      <c r="I1877" s="36" t="n">
        <v>4</v>
      </c>
      <c r="J1877" s="39" t="n">
        <v>51.47</v>
      </c>
      <c r="K1877" s="45" t="n">
        <v>0</v>
      </c>
      <c r="L1877" s="39" t="n">
        <v>21.9</v>
      </c>
      <c r="M1877" s="39">
        <f>I1877*J1877*(1-K1877)</f>
        <v/>
      </c>
      <c r="N1877" s="39">
        <f>I1877*L1877</f>
        <v/>
      </c>
      <c r="O1877" s="39">
        <f>M1877-N1877</f>
        <v/>
      </c>
      <c r="P1877" s="38">
        <f>IF(M1877=0,0,O1877/M1877)</f>
        <v/>
      </c>
      <c r="Q1877" s="36">
        <f>YEAR(B1877)</f>
        <v/>
      </c>
      <c r="R1877" s="36">
        <f>"Q"&amp;ROUNDUP(MONTH(B1877)/3,0)</f>
        <v/>
      </c>
      <c r="S1877" s="36">
        <f>MONTH(B1877)</f>
        <v/>
      </c>
      <c r="T1877" s="36">
        <f>TEXT(B1877,"mmm")</f>
        <v/>
      </c>
      <c r="U1877" s="36">
        <f>IF(AND(OR(sel_Region="All",C1877=sel_Region),OR(sel_Country="All",D1877=sel_Country),OR(sel_Channel="All",E1877=sel_Channel),OR(sel_Customer="All",F1877=sel_Customer),OR(sel_Category="All",G1877=sel_Category),OR(sel_Product="All",H1877=sel_Product),AND(S1877&gt;=m_From,S1877&lt;=m_To)),1,0)</f>
        <v/>
      </c>
      <c r="V1877" s="36">
        <f>IF(AND(OR(sel_Region="All",C1877=sel_Region),OR(sel_Channel="All",E1877=sel_Channel),OR(sel_Customer="All",F1877=sel_Customer),OR(sel_Category="All",G1877=sel_Category),OR(sel_Product="All",H1877=sel_Product),AND(S1877&gt;=m_From,S1877&lt;=m_To)),1,0)</f>
        <v/>
      </c>
      <c r="W1877" s="36">
        <f>IF(AND(OR(sel_Region="All",C1877=sel_Region),OR(sel_Country="All",D1877=sel_Country),OR(sel_Customer="All",F1877=sel_Customer),OR(sel_Category="All",G1877=sel_Category),OR(sel_Product="All",H1877=sel_Product),AND(S1877&gt;=m_From,S1877&lt;=m_To)),1,0)</f>
        <v/>
      </c>
      <c r="X1877" s="36">
        <f>IF(AND(OR(sel_Region="All",C1877=sel_Region),OR(sel_Country="All",D1877=sel_Country),OR(sel_Channel="All",E1877=sel_Channel),OR(sel_Category="All",G1877=sel_Category),OR(sel_Product="All",H1877=sel_Product),AND(S1877&gt;=m_From,S1877&lt;=m_To)),1,0)</f>
        <v/>
      </c>
      <c r="Y1877" s="36">
        <f>IF(AND(OR(sel_Region="All",C1877=sel_Region),OR(sel_Country="All",D1877=sel_Country),OR(sel_Channel="All",E1877=sel_Channel),OR(sel_Customer="All",F1877=sel_Customer),OR(sel_Product="All",H1877=sel_Product),AND(S1877&gt;=m_From,S1877&lt;=m_To)),1,0)</f>
        <v/>
      </c>
      <c r="Z1877" s="36">
        <f>IF(AND(OR(sel_Region="All",C1877=sel_Region),OR(sel_Country="All",D1877=sel_Country),OR(sel_Channel="All",E1877=sel_Channel),OR(sel_Customer="All",F1877=sel_Customer),OR(sel_Category="All",G1877=sel_Category),AND(S1877&gt;=m_From,S1877&lt;=m_To)),1,0)</f>
        <v/>
      </c>
      <c r="AA1877" s="36">
        <f>IF(AND(OR(sel_Region="All",C1877=sel_Region),OR(sel_Country="All",D1877=sel_Country),OR(sel_Channel="All",E1877=sel_Channel),OR(sel_Customer="All",F1877=sel_Customer),OR(sel_Category="All",G1877=sel_Category),OR(sel_Product="All",H1877=sel_Product)),1,0)</f>
        <v/>
      </c>
    </row>
    <row r="1878">
      <c r="A1878" s="36" t="inlineStr">
        <is>
          <t>01738</t>
        </is>
      </c>
      <c r="B1878" s="44" t="n">
        <v>46277</v>
      </c>
      <c r="C1878" s="36" t="inlineStr">
        <is>
          <t>Southern Europe</t>
        </is>
      </c>
      <c r="D1878" s="36" t="inlineStr">
        <is>
          <t>Italy</t>
        </is>
      </c>
      <c r="E1878" s="36" t="inlineStr">
        <is>
          <t>Corporate</t>
        </is>
      </c>
      <c r="F1878" s="36" t="inlineStr">
        <is>
          <t>Business</t>
        </is>
      </c>
      <c r="G1878" s="36" t="inlineStr">
        <is>
          <t>Hiking</t>
        </is>
      </c>
      <c r="H1878" s="36" t="inlineStr">
        <is>
          <t>Trail Boots</t>
        </is>
      </c>
      <c r="I1878" s="36" t="n">
        <v>10</v>
      </c>
      <c r="J1878" s="39" t="n">
        <v>144.4</v>
      </c>
      <c r="K1878" s="45" t="n">
        <v>0.1</v>
      </c>
      <c r="L1878" s="39" t="n">
        <v>81.06999999999999</v>
      </c>
      <c r="M1878" s="39">
        <f>I1878*J1878*(1-K1878)</f>
        <v/>
      </c>
      <c r="N1878" s="39">
        <f>I1878*L1878</f>
        <v/>
      </c>
      <c r="O1878" s="39">
        <f>M1878-N1878</f>
        <v/>
      </c>
      <c r="P1878" s="38">
        <f>IF(M1878=0,0,O1878/M1878)</f>
        <v/>
      </c>
      <c r="Q1878" s="36">
        <f>YEAR(B1878)</f>
        <v/>
      </c>
      <c r="R1878" s="36">
        <f>"Q"&amp;ROUNDUP(MONTH(B1878)/3,0)</f>
        <v/>
      </c>
      <c r="S1878" s="36">
        <f>MONTH(B1878)</f>
        <v/>
      </c>
      <c r="T1878" s="36">
        <f>TEXT(B1878,"mmm")</f>
        <v/>
      </c>
      <c r="U1878" s="36">
        <f>IF(AND(OR(sel_Region="All",C1878=sel_Region),OR(sel_Country="All",D1878=sel_Country),OR(sel_Channel="All",E1878=sel_Channel),OR(sel_Customer="All",F1878=sel_Customer),OR(sel_Category="All",G1878=sel_Category),OR(sel_Product="All",H1878=sel_Product),AND(S1878&gt;=m_From,S1878&lt;=m_To)),1,0)</f>
        <v/>
      </c>
      <c r="V1878" s="36">
        <f>IF(AND(OR(sel_Region="All",C1878=sel_Region),OR(sel_Channel="All",E1878=sel_Channel),OR(sel_Customer="All",F1878=sel_Customer),OR(sel_Category="All",G1878=sel_Category),OR(sel_Product="All",H1878=sel_Product),AND(S1878&gt;=m_From,S1878&lt;=m_To)),1,0)</f>
        <v/>
      </c>
      <c r="W1878" s="36">
        <f>IF(AND(OR(sel_Region="All",C1878=sel_Region),OR(sel_Country="All",D1878=sel_Country),OR(sel_Customer="All",F1878=sel_Customer),OR(sel_Category="All",G1878=sel_Category),OR(sel_Product="All",H1878=sel_Product),AND(S1878&gt;=m_From,S1878&lt;=m_To)),1,0)</f>
        <v/>
      </c>
      <c r="X1878" s="36">
        <f>IF(AND(OR(sel_Region="All",C1878=sel_Region),OR(sel_Country="All",D1878=sel_Country),OR(sel_Channel="All",E1878=sel_Channel),OR(sel_Category="All",G1878=sel_Category),OR(sel_Product="All",H1878=sel_Product),AND(S1878&gt;=m_From,S1878&lt;=m_To)),1,0)</f>
        <v/>
      </c>
      <c r="Y1878" s="36">
        <f>IF(AND(OR(sel_Region="All",C1878=sel_Region),OR(sel_Country="All",D1878=sel_Country),OR(sel_Channel="All",E1878=sel_Channel),OR(sel_Customer="All",F1878=sel_Customer),OR(sel_Product="All",H1878=sel_Product),AND(S1878&gt;=m_From,S1878&lt;=m_To)),1,0)</f>
        <v/>
      </c>
      <c r="Z1878" s="36">
        <f>IF(AND(OR(sel_Region="All",C1878=sel_Region),OR(sel_Country="All",D1878=sel_Country),OR(sel_Channel="All",E1878=sel_Channel),OR(sel_Customer="All",F1878=sel_Customer),OR(sel_Category="All",G1878=sel_Category),AND(S1878&gt;=m_From,S1878&lt;=m_To)),1,0)</f>
        <v/>
      </c>
      <c r="AA1878" s="36">
        <f>IF(AND(OR(sel_Region="All",C1878=sel_Region),OR(sel_Country="All",D1878=sel_Country),OR(sel_Channel="All",E1878=sel_Channel),OR(sel_Customer="All",F1878=sel_Customer),OR(sel_Category="All",G1878=sel_Category),OR(sel_Product="All",H1878=sel_Product)),1,0)</f>
        <v/>
      </c>
    </row>
    <row r="1879">
      <c r="A1879" s="36" t="inlineStr">
        <is>
          <t>01900</t>
        </is>
      </c>
      <c r="B1879" s="44" t="n">
        <v>46277</v>
      </c>
      <c r="C1879" s="36" t="inlineStr">
        <is>
          <t>Central Europe</t>
        </is>
      </c>
      <c r="D1879" s="36" t="inlineStr">
        <is>
          <t>Austria</t>
        </is>
      </c>
      <c r="E1879" s="36" t="inlineStr">
        <is>
          <t>Retail Partners</t>
        </is>
      </c>
      <c r="F1879" s="36" t="inlineStr">
        <is>
          <t>New</t>
        </is>
      </c>
      <c r="G1879" s="36" t="inlineStr">
        <is>
          <t>Fitness</t>
        </is>
      </c>
      <c r="H1879" s="36" t="inlineStr">
        <is>
          <t>Training Mat</t>
        </is>
      </c>
      <c r="I1879" s="36" t="n">
        <v>1</v>
      </c>
      <c r="J1879" s="39" t="n">
        <v>51.34</v>
      </c>
      <c r="K1879" s="45" t="n">
        <v>0.1</v>
      </c>
      <c r="L1879" s="39" t="n">
        <v>22.63</v>
      </c>
      <c r="M1879" s="39">
        <f>I1879*J1879*(1-K1879)</f>
        <v/>
      </c>
      <c r="N1879" s="39">
        <f>I1879*L1879</f>
        <v/>
      </c>
      <c r="O1879" s="39">
        <f>M1879-N1879</f>
        <v/>
      </c>
      <c r="P1879" s="38">
        <f>IF(M1879=0,0,O1879/M1879)</f>
        <v/>
      </c>
      <c r="Q1879" s="36">
        <f>YEAR(B1879)</f>
        <v/>
      </c>
      <c r="R1879" s="36">
        <f>"Q"&amp;ROUNDUP(MONTH(B1879)/3,0)</f>
        <v/>
      </c>
      <c r="S1879" s="36">
        <f>MONTH(B1879)</f>
        <v/>
      </c>
      <c r="T1879" s="36">
        <f>TEXT(B1879,"mmm")</f>
        <v/>
      </c>
      <c r="U1879" s="36">
        <f>IF(AND(OR(sel_Region="All",C1879=sel_Region),OR(sel_Country="All",D1879=sel_Country),OR(sel_Channel="All",E1879=sel_Channel),OR(sel_Customer="All",F1879=sel_Customer),OR(sel_Category="All",G1879=sel_Category),OR(sel_Product="All",H1879=sel_Product),AND(S1879&gt;=m_From,S1879&lt;=m_To)),1,0)</f>
        <v/>
      </c>
      <c r="V1879" s="36">
        <f>IF(AND(OR(sel_Region="All",C1879=sel_Region),OR(sel_Channel="All",E1879=sel_Channel),OR(sel_Customer="All",F1879=sel_Customer),OR(sel_Category="All",G1879=sel_Category),OR(sel_Product="All",H1879=sel_Product),AND(S1879&gt;=m_From,S1879&lt;=m_To)),1,0)</f>
        <v/>
      </c>
      <c r="W1879" s="36">
        <f>IF(AND(OR(sel_Region="All",C1879=sel_Region),OR(sel_Country="All",D1879=sel_Country),OR(sel_Customer="All",F1879=sel_Customer),OR(sel_Category="All",G1879=sel_Category),OR(sel_Product="All",H1879=sel_Product),AND(S1879&gt;=m_From,S1879&lt;=m_To)),1,0)</f>
        <v/>
      </c>
      <c r="X1879" s="36">
        <f>IF(AND(OR(sel_Region="All",C1879=sel_Region),OR(sel_Country="All",D1879=sel_Country),OR(sel_Channel="All",E1879=sel_Channel),OR(sel_Category="All",G1879=sel_Category),OR(sel_Product="All",H1879=sel_Product),AND(S1879&gt;=m_From,S1879&lt;=m_To)),1,0)</f>
        <v/>
      </c>
      <c r="Y1879" s="36">
        <f>IF(AND(OR(sel_Region="All",C1879=sel_Region),OR(sel_Country="All",D1879=sel_Country),OR(sel_Channel="All",E1879=sel_Channel),OR(sel_Customer="All",F1879=sel_Customer),OR(sel_Product="All",H1879=sel_Product),AND(S1879&gt;=m_From,S1879&lt;=m_To)),1,0)</f>
        <v/>
      </c>
      <c r="Z1879" s="36">
        <f>IF(AND(OR(sel_Region="All",C1879=sel_Region),OR(sel_Country="All",D1879=sel_Country),OR(sel_Channel="All",E1879=sel_Channel),OR(sel_Customer="All",F1879=sel_Customer),OR(sel_Category="All",G1879=sel_Category),AND(S1879&gt;=m_From,S1879&lt;=m_To)),1,0)</f>
        <v/>
      </c>
      <c r="AA1879" s="36">
        <f>IF(AND(OR(sel_Region="All",C1879=sel_Region),OR(sel_Country="All",D1879=sel_Country),OR(sel_Channel="All",E1879=sel_Channel),OR(sel_Customer="All",F1879=sel_Customer),OR(sel_Category="All",G1879=sel_Category),OR(sel_Product="All",H1879=sel_Product)),1,0)</f>
        <v/>
      </c>
    </row>
    <row r="1880">
      <c r="A1880" s="36" t="inlineStr">
        <is>
          <t>03375</t>
        </is>
      </c>
      <c r="B1880" s="44" t="n">
        <v>46277</v>
      </c>
      <c r="C1880" s="36" t="inlineStr">
        <is>
          <t>Central Europe</t>
        </is>
      </c>
      <c r="D1880" s="36" t="inlineStr">
        <is>
          <t>Czechia</t>
        </is>
      </c>
      <c r="E1880" s="36" t="inlineStr">
        <is>
          <t>Corporate</t>
        </is>
      </c>
      <c r="F1880" s="36" t="inlineStr">
        <is>
          <t>Returning</t>
        </is>
      </c>
      <c r="G1880" s="36" t="inlineStr">
        <is>
          <t>Travel</t>
        </is>
      </c>
      <c r="H1880" s="36" t="inlineStr">
        <is>
          <t>Packing Cube Set</t>
        </is>
      </c>
      <c r="I1880" s="36" t="n">
        <v>6</v>
      </c>
      <c r="J1880" s="39" t="n">
        <v>47.72</v>
      </c>
      <c r="K1880" s="45" t="n">
        <v>0.1</v>
      </c>
      <c r="L1880" s="39" t="n">
        <v>18.41</v>
      </c>
      <c r="M1880" s="39">
        <f>I1880*J1880*(1-K1880)</f>
        <v/>
      </c>
      <c r="N1880" s="39">
        <f>I1880*L1880</f>
        <v/>
      </c>
      <c r="O1880" s="39">
        <f>M1880-N1880</f>
        <v/>
      </c>
      <c r="P1880" s="38">
        <f>IF(M1880=0,0,O1880/M1880)</f>
        <v/>
      </c>
      <c r="Q1880" s="36">
        <f>YEAR(B1880)</f>
        <v/>
      </c>
      <c r="R1880" s="36">
        <f>"Q"&amp;ROUNDUP(MONTH(B1880)/3,0)</f>
        <v/>
      </c>
      <c r="S1880" s="36">
        <f>MONTH(B1880)</f>
        <v/>
      </c>
      <c r="T1880" s="36">
        <f>TEXT(B1880,"mmm")</f>
        <v/>
      </c>
      <c r="U1880" s="36">
        <f>IF(AND(OR(sel_Region="All",C1880=sel_Region),OR(sel_Country="All",D1880=sel_Country),OR(sel_Channel="All",E1880=sel_Channel),OR(sel_Customer="All",F1880=sel_Customer),OR(sel_Category="All",G1880=sel_Category),OR(sel_Product="All",H1880=sel_Product),AND(S1880&gt;=m_From,S1880&lt;=m_To)),1,0)</f>
        <v/>
      </c>
      <c r="V1880" s="36">
        <f>IF(AND(OR(sel_Region="All",C1880=sel_Region),OR(sel_Channel="All",E1880=sel_Channel),OR(sel_Customer="All",F1880=sel_Customer),OR(sel_Category="All",G1880=sel_Category),OR(sel_Product="All",H1880=sel_Product),AND(S1880&gt;=m_From,S1880&lt;=m_To)),1,0)</f>
        <v/>
      </c>
      <c r="W1880" s="36">
        <f>IF(AND(OR(sel_Region="All",C1880=sel_Region),OR(sel_Country="All",D1880=sel_Country),OR(sel_Customer="All",F1880=sel_Customer),OR(sel_Category="All",G1880=sel_Category),OR(sel_Product="All",H1880=sel_Product),AND(S1880&gt;=m_From,S1880&lt;=m_To)),1,0)</f>
        <v/>
      </c>
      <c r="X1880" s="36">
        <f>IF(AND(OR(sel_Region="All",C1880=sel_Region),OR(sel_Country="All",D1880=sel_Country),OR(sel_Channel="All",E1880=sel_Channel),OR(sel_Category="All",G1880=sel_Category),OR(sel_Product="All",H1880=sel_Product),AND(S1880&gt;=m_From,S1880&lt;=m_To)),1,0)</f>
        <v/>
      </c>
      <c r="Y1880" s="36">
        <f>IF(AND(OR(sel_Region="All",C1880=sel_Region),OR(sel_Country="All",D1880=sel_Country),OR(sel_Channel="All",E1880=sel_Channel),OR(sel_Customer="All",F1880=sel_Customer),OR(sel_Product="All",H1880=sel_Product),AND(S1880&gt;=m_From,S1880&lt;=m_To)),1,0)</f>
        <v/>
      </c>
      <c r="Z1880" s="36">
        <f>IF(AND(OR(sel_Region="All",C1880=sel_Region),OR(sel_Country="All",D1880=sel_Country),OR(sel_Channel="All",E1880=sel_Channel),OR(sel_Customer="All",F1880=sel_Customer),OR(sel_Category="All",G1880=sel_Category),AND(S1880&gt;=m_From,S1880&lt;=m_To)),1,0)</f>
        <v/>
      </c>
      <c r="AA1880" s="36">
        <f>IF(AND(OR(sel_Region="All",C1880=sel_Region),OR(sel_Country="All",D1880=sel_Country),OR(sel_Channel="All",E1880=sel_Channel),OR(sel_Customer="All",F1880=sel_Customer),OR(sel_Category="All",G1880=sel_Category),OR(sel_Product="All",H1880=sel_Product)),1,0)</f>
        <v/>
      </c>
    </row>
    <row r="1881">
      <c r="A1881" s="36" t="inlineStr">
        <is>
          <t>03567</t>
        </is>
      </c>
      <c r="B1881" s="44" t="n">
        <v>46277</v>
      </c>
      <c r="C1881" s="36" t="inlineStr">
        <is>
          <t>Central Europe</t>
        </is>
      </c>
      <c r="D1881" s="36" t="inlineStr">
        <is>
          <t>Switzerland</t>
        </is>
      </c>
      <c r="E1881" s="36" t="inlineStr">
        <is>
          <t>Online Store</t>
        </is>
      </c>
      <c r="F1881" s="36" t="inlineStr">
        <is>
          <t>Business</t>
        </is>
      </c>
      <c r="G1881" s="36" t="inlineStr">
        <is>
          <t>Camping</t>
        </is>
      </c>
      <c r="H1881" s="36" t="inlineStr">
        <is>
          <t>Portable Camp Stove</t>
        </is>
      </c>
      <c r="I1881" s="36" t="n">
        <v>1</v>
      </c>
      <c r="J1881" s="39" t="n">
        <v>81.48999999999999</v>
      </c>
      <c r="K1881" s="45" t="n">
        <v>0.1</v>
      </c>
      <c r="L1881" s="39" t="n">
        <v>38.83</v>
      </c>
      <c r="M1881" s="39">
        <f>I1881*J1881*(1-K1881)</f>
        <v/>
      </c>
      <c r="N1881" s="39">
        <f>I1881*L1881</f>
        <v/>
      </c>
      <c r="O1881" s="39">
        <f>M1881-N1881</f>
        <v/>
      </c>
      <c r="P1881" s="38">
        <f>IF(M1881=0,0,O1881/M1881)</f>
        <v/>
      </c>
      <c r="Q1881" s="36">
        <f>YEAR(B1881)</f>
        <v/>
      </c>
      <c r="R1881" s="36">
        <f>"Q"&amp;ROUNDUP(MONTH(B1881)/3,0)</f>
        <v/>
      </c>
      <c r="S1881" s="36">
        <f>MONTH(B1881)</f>
        <v/>
      </c>
      <c r="T1881" s="36">
        <f>TEXT(B1881,"mmm")</f>
        <v/>
      </c>
      <c r="U1881" s="36">
        <f>IF(AND(OR(sel_Region="All",C1881=sel_Region),OR(sel_Country="All",D1881=sel_Country),OR(sel_Channel="All",E1881=sel_Channel),OR(sel_Customer="All",F1881=sel_Customer),OR(sel_Category="All",G1881=sel_Category),OR(sel_Product="All",H1881=sel_Product),AND(S1881&gt;=m_From,S1881&lt;=m_To)),1,0)</f>
        <v/>
      </c>
      <c r="V1881" s="36">
        <f>IF(AND(OR(sel_Region="All",C1881=sel_Region),OR(sel_Channel="All",E1881=sel_Channel),OR(sel_Customer="All",F1881=sel_Customer),OR(sel_Category="All",G1881=sel_Category),OR(sel_Product="All",H1881=sel_Product),AND(S1881&gt;=m_From,S1881&lt;=m_To)),1,0)</f>
        <v/>
      </c>
      <c r="W1881" s="36">
        <f>IF(AND(OR(sel_Region="All",C1881=sel_Region),OR(sel_Country="All",D1881=sel_Country),OR(sel_Customer="All",F1881=sel_Customer),OR(sel_Category="All",G1881=sel_Category),OR(sel_Product="All",H1881=sel_Product),AND(S1881&gt;=m_From,S1881&lt;=m_To)),1,0)</f>
        <v/>
      </c>
      <c r="X1881" s="36">
        <f>IF(AND(OR(sel_Region="All",C1881=sel_Region),OR(sel_Country="All",D1881=sel_Country),OR(sel_Channel="All",E1881=sel_Channel),OR(sel_Category="All",G1881=sel_Category),OR(sel_Product="All",H1881=sel_Product),AND(S1881&gt;=m_From,S1881&lt;=m_To)),1,0)</f>
        <v/>
      </c>
      <c r="Y1881" s="36">
        <f>IF(AND(OR(sel_Region="All",C1881=sel_Region),OR(sel_Country="All",D1881=sel_Country),OR(sel_Channel="All",E1881=sel_Channel),OR(sel_Customer="All",F1881=sel_Customer),OR(sel_Product="All",H1881=sel_Product),AND(S1881&gt;=m_From,S1881&lt;=m_To)),1,0)</f>
        <v/>
      </c>
      <c r="Z1881" s="36">
        <f>IF(AND(OR(sel_Region="All",C1881=sel_Region),OR(sel_Country="All",D1881=sel_Country),OR(sel_Channel="All",E1881=sel_Channel),OR(sel_Customer="All",F1881=sel_Customer),OR(sel_Category="All",G1881=sel_Category),AND(S1881&gt;=m_From,S1881&lt;=m_To)),1,0)</f>
        <v/>
      </c>
      <c r="AA1881" s="36">
        <f>IF(AND(OR(sel_Region="All",C1881=sel_Region),OR(sel_Country="All",D1881=sel_Country),OR(sel_Channel="All",E1881=sel_Channel),OR(sel_Customer="All",F1881=sel_Customer),OR(sel_Category="All",G1881=sel_Category),OR(sel_Product="All",H1881=sel_Product)),1,0)</f>
        <v/>
      </c>
    </row>
    <row r="1882">
      <c r="A1882" s="36" t="inlineStr">
        <is>
          <t>04106</t>
        </is>
      </c>
      <c r="B1882" s="44" t="n">
        <v>46277</v>
      </c>
      <c r="C1882" s="36" t="inlineStr">
        <is>
          <t>Central Europe</t>
        </is>
      </c>
      <c r="D1882" s="36" t="inlineStr">
        <is>
          <t>Austria</t>
        </is>
      </c>
      <c r="E1882" s="36" t="inlineStr">
        <is>
          <t>Retail Partners</t>
        </is>
      </c>
      <c r="F1882" s="36" t="inlineStr">
        <is>
          <t>Returning</t>
        </is>
      </c>
      <c r="G1882" s="36" t="inlineStr">
        <is>
          <t>Cycling</t>
        </is>
      </c>
      <c r="H1882" s="36" t="inlineStr">
        <is>
          <t>Compact Repair Kit</t>
        </is>
      </c>
      <c r="I1882" s="36" t="n">
        <v>2</v>
      </c>
      <c r="J1882" s="39" t="n">
        <v>39.7</v>
      </c>
      <c r="K1882" s="45" t="n">
        <v>0</v>
      </c>
      <c r="L1882" s="39" t="n">
        <v>16.32</v>
      </c>
      <c r="M1882" s="39">
        <f>I1882*J1882*(1-K1882)</f>
        <v/>
      </c>
      <c r="N1882" s="39">
        <f>I1882*L1882</f>
        <v/>
      </c>
      <c r="O1882" s="39">
        <f>M1882-N1882</f>
        <v/>
      </c>
      <c r="P1882" s="38">
        <f>IF(M1882=0,0,O1882/M1882)</f>
        <v/>
      </c>
      <c r="Q1882" s="36">
        <f>YEAR(B1882)</f>
        <v/>
      </c>
      <c r="R1882" s="36">
        <f>"Q"&amp;ROUNDUP(MONTH(B1882)/3,0)</f>
        <v/>
      </c>
      <c r="S1882" s="36">
        <f>MONTH(B1882)</f>
        <v/>
      </c>
      <c r="T1882" s="36">
        <f>TEXT(B1882,"mmm")</f>
        <v/>
      </c>
      <c r="U1882" s="36">
        <f>IF(AND(OR(sel_Region="All",C1882=sel_Region),OR(sel_Country="All",D1882=sel_Country),OR(sel_Channel="All",E1882=sel_Channel),OR(sel_Customer="All",F1882=sel_Customer),OR(sel_Category="All",G1882=sel_Category),OR(sel_Product="All",H1882=sel_Product),AND(S1882&gt;=m_From,S1882&lt;=m_To)),1,0)</f>
        <v/>
      </c>
      <c r="V1882" s="36">
        <f>IF(AND(OR(sel_Region="All",C1882=sel_Region),OR(sel_Channel="All",E1882=sel_Channel),OR(sel_Customer="All",F1882=sel_Customer),OR(sel_Category="All",G1882=sel_Category),OR(sel_Product="All",H1882=sel_Product),AND(S1882&gt;=m_From,S1882&lt;=m_To)),1,0)</f>
        <v/>
      </c>
      <c r="W1882" s="36">
        <f>IF(AND(OR(sel_Region="All",C1882=sel_Region),OR(sel_Country="All",D1882=sel_Country),OR(sel_Customer="All",F1882=sel_Customer),OR(sel_Category="All",G1882=sel_Category),OR(sel_Product="All",H1882=sel_Product),AND(S1882&gt;=m_From,S1882&lt;=m_To)),1,0)</f>
        <v/>
      </c>
      <c r="X1882" s="36">
        <f>IF(AND(OR(sel_Region="All",C1882=sel_Region),OR(sel_Country="All",D1882=sel_Country),OR(sel_Channel="All",E1882=sel_Channel),OR(sel_Category="All",G1882=sel_Category),OR(sel_Product="All",H1882=sel_Product),AND(S1882&gt;=m_From,S1882&lt;=m_To)),1,0)</f>
        <v/>
      </c>
      <c r="Y1882" s="36">
        <f>IF(AND(OR(sel_Region="All",C1882=sel_Region),OR(sel_Country="All",D1882=sel_Country),OR(sel_Channel="All",E1882=sel_Channel),OR(sel_Customer="All",F1882=sel_Customer),OR(sel_Product="All",H1882=sel_Product),AND(S1882&gt;=m_From,S1882&lt;=m_To)),1,0)</f>
        <v/>
      </c>
      <c r="Z1882" s="36">
        <f>IF(AND(OR(sel_Region="All",C1882=sel_Region),OR(sel_Country="All",D1882=sel_Country),OR(sel_Channel="All",E1882=sel_Channel),OR(sel_Customer="All",F1882=sel_Customer),OR(sel_Category="All",G1882=sel_Category),AND(S1882&gt;=m_From,S1882&lt;=m_To)),1,0)</f>
        <v/>
      </c>
      <c r="AA1882" s="36">
        <f>IF(AND(OR(sel_Region="All",C1882=sel_Region),OR(sel_Country="All",D1882=sel_Country),OR(sel_Channel="All",E1882=sel_Channel),OR(sel_Customer="All",F1882=sel_Customer),OR(sel_Category="All",G1882=sel_Category),OR(sel_Product="All",H1882=sel_Product)),1,0)</f>
        <v/>
      </c>
    </row>
    <row r="1883">
      <c r="A1883" s="36" t="inlineStr">
        <is>
          <t>04293</t>
        </is>
      </c>
      <c r="B1883" s="44" t="n">
        <v>46277</v>
      </c>
      <c r="C1883" s="36" t="inlineStr">
        <is>
          <t>Central Europe</t>
        </is>
      </c>
      <c r="D1883" s="36" t="inlineStr">
        <is>
          <t>Germany</t>
        </is>
      </c>
      <c r="E1883" s="36" t="inlineStr">
        <is>
          <t>Corporate</t>
        </is>
      </c>
      <c r="F1883" s="36" t="inlineStr">
        <is>
          <t>New</t>
        </is>
      </c>
      <c r="G1883" s="36" t="inlineStr">
        <is>
          <t>Camping</t>
        </is>
      </c>
      <c r="H1883" s="36" t="inlineStr">
        <is>
          <t>Alpine Tent 4P</t>
        </is>
      </c>
      <c r="I1883" s="36" t="n">
        <v>4</v>
      </c>
      <c r="J1883" s="39" t="n">
        <v>344.67</v>
      </c>
      <c r="K1883" s="45" t="n">
        <v>0.1</v>
      </c>
      <c r="L1883" s="39" t="n">
        <v>195.35</v>
      </c>
      <c r="M1883" s="39">
        <f>I1883*J1883*(1-K1883)</f>
        <v/>
      </c>
      <c r="N1883" s="39">
        <f>I1883*L1883</f>
        <v/>
      </c>
      <c r="O1883" s="39">
        <f>M1883-N1883</f>
        <v/>
      </c>
      <c r="P1883" s="38">
        <f>IF(M1883=0,0,O1883/M1883)</f>
        <v/>
      </c>
      <c r="Q1883" s="36">
        <f>YEAR(B1883)</f>
        <v/>
      </c>
      <c r="R1883" s="36">
        <f>"Q"&amp;ROUNDUP(MONTH(B1883)/3,0)</f>
        <v/>
      </c>
      <c r="S1883" s="36">
        <f>MONTH(B1883)</f>
        <v/>
      </c>
      <c r="T1883" s="36">
        <f>TEXT(B1883,"mmm")</f>
        <v/>
      </c>
      <c r="U1883" s="36">
        <f>IF(AND(OR(sel_Region="All",C1883=sel_Region),OR(sel_Country="All",D1883=sel_Country),OR(sel_Channel="All",E1883=sel_Channel),OR(sel_Customer="All",F1883=sel_Customer),OR(sel_Category="All",G1883=sel_Category),OR(sel_Product="All",H1883=sel_Product),AND(S1883&gt;=m_From,S1883&lt;=m_To)),1,0)</f>
        <v/>
      </c>
      <c r="V1883" s="36">
        <f>IF(AND(OR(sel_Region="All",C1883=sel_Region),OR(sel_Channel="All",E1883=sel_Channel),OR(sel_Customer="All",F1883=sel_Customer),OR(sel_Category="All",G1883=sel_Category),OR(sel_Product="All",H1883=sel_Product),AND(S1883&gt;=m_From,S1883&lt;=m_To)),1,0)</f>
        <v/>
      </c>
      <c r="W1883" s="36">
        <f>IF(AND(OR(sel_Region="All",C1883=sel_Region),OR(sel_Country="All",D1883=sel_Country),OR(sel_Customer="All",F1883=sel_Customer),OR(sel_Category="All",G1883=sel_Category),OR(sel_Product="All",H1883=sel_Product),AND(S1883&gt;=m_From,S1883&lt;=m_To)),1,0)</f>
        <v/>
      </c>
      <c r="X1883" s="36">
        <f>IF(AND(OR(sel_Region="All",C1883=sel_Region),OR(sel_Country="All",D1883=sel_Country),OR(sel_Channel="All",E1883=sel_Channel),OR(sel_Category="All",G1883=sel_Category),OR(sel_Product="All",H1883=sel_Product),AND(S1883&gt;=m_From,S1883&lt;=m_To)),1,0)</f>
        <v/>
      </c>
      <c r="Y1883" s="36">
        <f>IF(AND(OR(sel_Region="All",C1883=sel_Region),OR(sel_Country="All",D1883=sel_Country),OR(sel_Channel="All",E1883=sel_Channel),OR(sel_Customer="All",F1883=sel_Customer),OR(sel_Product="All",H1883=sel_Product),AND(S1883&gt;=m_From,S1883&lt;=m_To)),1,0)</f>
        <v/>
      </c>
      <c r="Z1883" s="36">
        <f>IF(AND(OR(sel_Region="All",C1883=sel_Region),OR(sel_Country="All",D1883=sel_Country),OR(sel_Channel="All",E1883=sel_Channel),OR(sel_Customer="All",F1883=sel_Customer),OR(sel_Category="All",G1883=sel_Category),AND(S1883&gt;=m_From,S1883&lt;=m_To)),1,0)</f>
        <v/>
      </c>
      <c r="AA1883" s="36">
        <f>IF(AND(OR(sel_Region="All",C1883=sel_Region),OR(sel_Country="All",D1883=sel_Country),OR(sel_Channel="All",E1883=sel_Channel),OR(sel_Customer="All",F1883=sel_Customer),OR(sel_Category="All",G1883=sel_Category),OR(sel_Product="All",H1883=sel_Product)),1,0)</f>
        <v/>
      </c>
    </row>
    <row r="1884">
      <c r="A1884" s="36" t="inlineStr">
        <is>
          <t>04859</t>
        </is>
      </c>
      <c r="B1884" s="44" t="n">
        <v>46277</v>
      </c>
      <c r="C1884" s="36" t="inlineStr">
        <is>
          <t>Southern Europe</t>
        </is>
      </c>
      <c r="D1884" s="36" t="inlineStr">
        <is>
          <t>Spain</t>
        </is>
      </c>
      <c r="E1884" s="36" t="inlineStr">
        <is>
          <t>Online Store</t>
        </is>
      </c>
      <c r="F1884" s="36" t="inlineStr">
        <is>
          <t>Returning</t>
        </is>
      </c>
      <c r="G1884" s="36" t="inlineStr">
        <is>
          <t>Cycling</t>
        </is>
      </c>
      <c r="H1884" s="36" t="inlineStr">
        <is>
          <t>Commuter Helmet</t>
        </is>
      </c>
      <c r="I1884" s="36" t="n">
        <v>1</v>
      </c>
      <c r="J1884" s="39" t="n">
        <v>80.39</v>
      </c>
      <c r="K1884" s="45" t="n">
        <v>0</v>
      </c>
      <c r="L1884" s="39" t="n">
        <v>42.85</v>
      </c>
      <c r="M1884" s="39">
        <f>I1884*J1884*(1-K1884)</f>
        <v/>
      </c>
      <c r="N1884" s="39">
        <f>I1884*L1884</f>
        <v/>
      </c>
      <c r="O1884" s="39">
        <f>M1884-N1884</f>
        <v/>
      </c>
      <c r="P1884" s="38">
        <f>IF(M1884=0,0,O1884/M1884)</f>
        <v/>
      </c>
      <c r="Q1884" s="36">
        <f>YEAR(B1884)</f>
        <v/>
      </c>
      <c r="R1884" s="36">
        <f>"Q"&amp;ROUNDUP(MONTH(B1884)/3,0)</f>
        <v/>
      </c>
      <c r="S1884" s="36">
        <f>MONTH(B1884)</f>
        <v/>
      </c>
      <c r="T1884" s="36">
        <f>TEXT(B1884,"mmm")</f>
        <v/>
      </c>
      <c r="U1884" s="36">
        <f>IF(AND(OR(sel_Region="All",C1884=sel_Region),OR(sel_Country="All",D1884=sel_Country),OR(sel_Channel="All",E1884=sel_Channel),OR(sel_Customer="All",F1884=sel_Customer),OR(sel_Category="All",G1884=sel_Category),OR(sel_Product="All",H1884=sel_Product),AND(S1884&gt;=m_From,S1884&lt;=m_To)),1,0)</f>
        <v/>
      </c>
      <c r="V1884" s="36">
        <f>IF(AND(OR(sel_Region="All",C1884=sel_Region),OR(sel_Channel="All",E1884=sel_Channel),OR(sel_Customer="All",F1884=sel_Customer),OR(sel_Category="All",G1884=sel_Category),OR(sel_Product="All",H1884=sel_Product),AND(S1884&gt;=m_From,S1884&lt;=m_To)),1,0)</f>
        <v/>
      </c>
      <c r="W1884" s="36">
        <f>IF(AND(OR(sel_Region="All",C1884=sel_Region),OR(sel_Country="All",D1884=sel_Country),OR(sel_Customer="All",F1884=sel_Customer),OR(sel_Category="All",G1884=sel_Category),OR(sel_Product="All",H1884=sel_Product),AND(S1884&gt;=m_From,S1884&lt;=m_To)),1,0)</f>
        <v/>
      </c>
      <c r="X1884" s="36">
        <f>IF(AND(OR(sel_Region="All",C1884=sel_Region),OR(sel_Country="All",D1884=sel_Country),OR(sel_Channel="All",E1884=sel_Channel),OR(sel_Category="All",G1884=sel_Category),OR(sel_Product="All",H1884=sel_Product),AND(S1884&gt;=m_From,S1884&lt;=m_To)),1,0)</f>
        <v/>
      </c>
      <c r="Y1884" s="36">
        <f>IF(AND(OR(sel_Region="All",C1884=sel_Region),OR(sel_Country="All",D1884=sel_Country),OR(sel_Channel="All",E1884=sel_Channel),OR(sel_Customer="All",F1884=sel_Customer),OR(sel_Product="All",H1884=sel_Product),AND(S1884&gt;=m_From,S1884&lt;=m_To)),1,0)</f>
        <v/>
      </c>
      <c r="Z1884" s="36">
        <f>IF(AND(OR(sel_Region="All",C1884=sel_Region),OR(sel_Country="All",D1884=sel_Country),OR(sel_Channel="All",E1884=sel_Channel),OR(sel_Customer="All",F1884=sel_Customer),OR(sel_Category="All",G1884=sel_Category),AND(S1884&gt;=m_From,S1884&lt;=m_To)),1,0)</f>
        <v/>
      </c>
      <c r="AA1884" s="36">
        <f>IF(AND(OR(sel_Region="All",C1884=sel_Region),OR(sel_Country="All",D1884=sel_Country),OR(sel_Channel="All",E1884=sel_Channel),OR(sel_Customer="All",F1884=sel_Customer),OR(sel_Category="All",G1884=sel_Category),OR(sel_Product="All",H1884=sel_Product)),1,0)</f>
        <v/>
      </c>
    </row>
    <row r="1885">
      <c r="A1885" s="36" t="inlineStr">
        <is>
          <t>00770</t>
        </is>
      </c>
      <c r="B1885" s="44" t="n">
        <v>46278</v>
      </c>
      <c r="C1885" s="36" t="inlineStr">
        <is>
          <t>Northern Europe</t>
        </is>
      </c>
      <c r="D1885" s="36" t="inlineStr">
        <is>
          <t>Ireland</t>
        </is>
      </c>
      <c r="E1885" s="36" t="inlineStr">
        <is>
          <t>Retail Partners</t>
        </is>
      </c>
      <c r="F1885" s="36" t="inlineStr">
        <is>
          <t>Returning</t>
        </is>
      </c>
      <c r="G1885" s="36" t="inlineStr">
        <is>
          <t>Hiking</t>
        </is>
      </c>
      <c r="H1885" s="36" t="inlineStr">
        <is>
          <t>Trail Boots</t>
        </is>
      </c>
      <c r="I1885" s="36" t="n">
        <v>1</v>
      </c>
      <c r="J1885" s="39" t="n">
        <v>143.67</v>
      </c>
      <c r="K1885" s="45" t="n">
        <v>0.1</v>
      </c>
      <c r="L1885" s="39" t="n">
        <v>79.89</v>
      </c>
      <c r="M1885" s="39">
        <f>I1885*J1885*(1-K1885)</f>
        <v/>
      </c>
      <c r="N1885" s="39">
        <f>I1885*L1885</f>
        <v/>
      </c>
      <c r="O1885" s="39">
        <f>M1885-N1885</f>
        <v/>
      </c>
      <c r="P1885" s="38">
        <f>IF(M1885=0,0,O1885/M1885)</f>
        <v/>
      </c>
      <c r="Q1885" s="36">
        <f>YEAR(B1885)</f>
        <v/>
      </c>
      <c r="R1885" s="36">
        <f>"Q"&amp;ROUNDUP(MONTH(B1885)/3,0)</f>
        <v/>
      </c>
      <c r="S1885" s="36">
        <f>MONTH(B1885)</f>
        <v/>
      </c>
      <c r="T1885" s="36">
        <f>TEXT(B1885,"mmm")</f>
        <v/>
      </c>
      <c r="U1885" s="36">
        <f>IF(AND(OR(sel_Region="All",C1885=sel_Region),OR(sel_Country="All",D1885=sel_Country),OR(sel_Channel="All",E1885=sel_Channel),OR(sel_Customer="All",F1885=sel_Customer),OR(sel_Category="All",G1885=sel_Category),OR(sel_Product="All",H1885=sel_Product),AND(S1885&gt;=m_From,S1885&lt;=m_To)),1,0)</f>
        <v/>
      </c>
      <c r="V1885" s="36">
        <f>IF(AND(OR(sel_Region="All",C1885=sel_Region),OR(sel_Channel="All",E1885=sel_Channel),OR(sel_Customer="All",F1885=sel_Customer),OR(sel_Category="All",G1885=sel_Category),OR(sel_Product="All",H1885=sel_Product),AND(S1885&gt;=m_From,S1885&lt;=m_To)),1,0)</f>
        <v/>
      </c>
      <c r="W1885" s="36">
        <f>IF(AND(OR(sel_Region="All",C1885=sel_Region),OR(sel_Country="All",D1885=sel_Country),OR(sel_Customer="All",F1885=sel_Customer),OR(sel_Category="All",G1885=sel_Category),OR(sel_Product="All",H1885=sel_Product),AND(S1885&gt;=m_From,S1885&lt;=m_To)),1,0)</f>
        <v/>
      </c>
      <c r="X1885" s="36">
        <f>IF(AND(OR(sel_Region="All",C1885=sel_Region),OR(sel_Country="All",D1885=sel_Country),OR(sel_Channel="All",E1885=sel_Channel),OR(sel_Category="All",G1885=sel_Category),OR(sel_Product="All",H1885=sel_Product),AND(S1885&gt;=m_From,S1885&lt;=m_To)),1,0)</f>
        <v/>
      </c>
      <c r="Y1885" s="36">
        <f>IF(AND(OR(sel_Region="All",C1885=sel_Region),OR(sel_Country="All",D1885=sel_Country),OR(sel_Channel="All",E1885=sel_Channel),OR(sel_Customer="All",F1885=sel_Customer),OR(sel_Product="All",H1885=sel_Product),AND(S1885&gt;=m_From,S1885&lt;=m_To)),1,0)</f>
        <v/>
      </c>
      <c r="Z1885" s="36">
        <f>IF(AND(OR(sel_Region="All",C1885=sel_Region),OR(sel_Country="All",D1885=sel_Country),OR(sel_Channel="All",E1885=sel_Channel),OR(sel_Customer="All",F1885=sel_Customer),OR(sel_Category="All",G1885=sel_Category),AND(S1885&gt;=m_From,S1885&lt;=m_To)),1,0)</f>
        <v/>
      </c>
      <c r="AA1885" s="36">
        <f>IF(AND(OR(sel_Region="All",C1885=sel_Region),OR(sel_Country="All",D1885=sel_Country),OR(sel_Channel="All",E1885=sel_Channel),OR(sel_Customer="All",F1885=sel_Customer),OR(sel_Category="All",G1885=sel_Category),OR(sel_Product="All",H1885=sel_Product)),1,0)</f>
        <v/>
      </c>
    </row>
    <row r="1886">
      <c r="A1886" s="36" t="inlineStr">
        <is>
          <t>01375</t>
        </is>
      </c>
      <c r="B1886" s="44" t="n">
        <v>46278</v>
      </c>
      <c r="C1886" s="36" t="inlineStr">
        <is>
          <t>Central Europe</t>
        </is>
      </c>
      <c r="D1886" s="36" t="inlineStr">
        <is>
          <t>Germany</t>
        </is>
      </c>
      <c r="E1886" s="36" t="inlineStr">
        <is>
          <t>Retail Partners</t>
        </is>
      </c>
      <c r="F1886" s="36" t="inlineStr">
        <is>
          <t>Returning</t>
        </is>
      </c>
      <c r="G1886" s="36" t="inlineStr">
        <is>
          <t>Travel</t>
        </is>
      </c>
      <c r="H1886" s="36" t="inlineStr">
        <is>
          <t>Insulated Bottle</t>
        </is>
      </c>
      <c r="I1886" s="36" t="n">
        <v>1</v>
      </c>
      <c r="J1886" s="39" t="n">
        <v>35.86</v>
      </c>
      <c r="K1886" s="45" t="n">
        <v>0</v>
      </c>
      <c r="L1886" s="39" t="n">
        <v>13.33</v>
      </c>
      <c r="M1886" s="39">
        <f>I1886*J1886*(1-K1886)</f>
        <v/>
      </c>
      <c r="N1886" s="39">
        <f>I1886*L1886</f>
        <v/>
      </c>
      <c r="O1886" s="39">
        <f>M1886-N1886</f>
        <v/>
      </c>
      <c r="P1886" s="38">
        <f>IF(M1886=0,0,O1886/M1886)</f>
        <v/>
      </c>
      <c r="Q1886" s="36">
        <f>YEAR(B1886)</f>
        <v/>
      </c>
      <c r="R1886" s="36">
        <f>"Q"&amp;ROUNDUP(MONTH(B1886)/3,0)</f>
        <v/>
      </c>
      <c r="S1886" s="36">
        <f>MONTH(B1886)</f>
        <v/>
      </c>
      <c r="T1886" s="36">
        <f>TEXT(B1886,"mmm")</f>
        <v/>
      </c>
      <c r="U1886" s="36">
        <f>IF(AND(OR(sel_Region="All",C1886=sel_Region),OR(sel_Country="All",D1886=sel_Country),OR(sel_Channel="All",E1886=sel_Channel),OR(sel_Customer="All",F1886=sel_Customer),OR(sel_Category="All",G1886=sel_Category),OR(sel_Product="All",H1886=sel_Product),AND(S1886&gt;=m_From,S1886&lt;=m_To)),1,0)</f>
        <v/>
      </c>
      <c r="V1886" s="36">
        <f>IF(AND(OR(sel_Region="All",C1886=sel_Region),OR(sel_Channel="All",E1886=sel_Channel),OR(sel_Customer="All",F1886=sel_Customer),OR(sel_Category="All",G1886=sel_Category),OR(sel_Product="All",H1886=sel_Product),AND(S1886&gt;=m_From,S1886&lt;=m_To)),1,0)</f>
        <v/>
      </c>
      <c r="W1886" s="36">
        <f>IF(AND(OR(sel_Region="All",C1886=sel_Region),OR(sel_Country="All",D1886=sel_Country),OR(sel_Customer="All",F1886=sel_Customer),OR(sel_Category="All",G1886=sel_Category),OR(sel_Product="All",H1886=sel_Product),AND(S1886&gt;=m_From,S1886&lt;=m_To)),1,0)</f>
        <v/>
      </c>
      <c r="X1886" s="36">
        <f>IF(AND(OR(sel_Region="All",C1886=sel_Region),OR(sel_Country="All",D1886=sel_Country),OR(sel_Channel="All",E1886=sel_Channel),OR(sel_Category="All",G1886=sel_Category),OR(sel_Product="All",H1886=sel_Product),AND(S1886&gt;=m_From,S1886&lt;=m_To)),1,0)</f>
        <v/>
      </c>
      <c r="Y1886" s="36">
        <f>IF(AND(OR(sel_Region="All",C1886=sel_Region),OR(sel_Country="All",D1886=sel_Country),OR(sel_Channel="All",E1886=sel_Channel),OR(sel_Customer="All",F1886=sel_Customer),OR(sel_Product="All",H1886=sel_Product),AND(S1886&gt;=m_From,S1886&lt;=m_To)),1,0)</f>
        <v/>
      </c>
      <c r="Z1886" s="36">
        <f>IF(AND(OR(sel_Region="All",C1886=sel_Region),OR(sel_Country="All",D1886=sel_Country),OR(sel_Channel="All",E1886=sel_Channel),OR(sel_Customer="All",F1886=sel_Customer),OR(sel_Category="All",G1886=sel_Category),AND(S1886&gt;=m_From,S1886&lt;=m_To)),1,0)</f>
        <v/>
      </c>
      <c r="AA1886" s="36">
        <f>IF(AND(OR(sel_Region="All",C1886=sel_Region),OR(sel_Country="All",D1886=sel_Country),OR(sel_Channel="All",E1886=sel_Channel),OR(sel_Customer="All",F1886=sel_Customer),OR(sel_Category="All",G1886=sel_Category),OR(sel_Product="All",H1886=sel_Product)),1,0)</f>
        <v/>
      </c>
    </row>
    <row r="1887">
      <c r="A1887" s="36" t="inlineStr">
        <is>
          <t>02063</t>
        </is>
      </c>
      <c r="B1887" s="44" t="n">
        <v>46278</v>
      </c>
      <c r="C1887" s="36" t="inlineStr">
        <is>
          <t>Central Europe</t>
        </is>
      </c>
      <c r="D1887" s="36" t="inlineStr">
        <is>
          <t>Poland</t>
        </is>
      </c>
      <c r="E1887" s="36" t="inlineStr">
        <is>
          <t>Retail Partners</t>
        </is>
      </c>
      <c r="F1887" s="36" t="inlineStr">
        <is>
          <t>Returning</t>
        </is>
      </c>
      <c r="G1887" s="36" t="inlineStr">
        <is>
          <t>Travel</t>
        </is>
      </c>
      <c r="H1887" s="36" t="inlineStr">
        <is>
          <t>Carry-On Duffel</t>
        </is>
      </c>
      <c r="I1887" s="36" t="n">
        <v>3</v>
      </c>
      <c r="J1887" s="39" t="n">
        <v>130.28</v>
      </c>
      <c r="K1887" s="45" t="n">
        <v>0.1</v>
      </c>
      <c r="L1887" s="39" t="n">
        <v>65.33</v>
      </c>
      <c r="M1887" s="39">
        <f>I1887*J1887*(1-K1887)</f>
        <v/>
      </c>
      <c r="N1887" s="39">
        <f>I1887*L1887</f>
        <v/>
      </c>
      <c r="O1887" s="39">
        <f>M1887-N1887</f>
        <v/>
      </c>
      <c r="P1887" s="38">
        <f>IF(M1887=0,0,O1887/M1887)</f>
        <v/>
      </c>
      <c r="Q1887" s="36">
        <f>YEAR(B1887)</f>
        <v/>
      </c>
      <c r="R1887" s="36">
        <f>"Q"&amp;ROUNDUP(MONTH(B1887)/3,0)</f>
        <v/>
      </c>
      <c r="S1887" s="36">
        <f>MONTH(B1887)</f>
        <v/>
      </c>
      <c r="T1887" s="36">
        <f>TEXT(B1887,"mmm")</f>
        <v/>
      </c>
      <c r="U1887" s="36">
        <f>IF(AND(OR(sel_Region="All",C1887=sel_Region),OR(sel_Country="All",D1887=sel_Country),OR(sel_Channel="All",E1887=sel_Channel),OR(sel_Customer="All",F1887=sel_Customer),OR(sel_Category="All",G1887=sel_Category),OR(sel_Product="All",H1887=sel_Product),AND(S1887&gt;=m_From,S1887&lt;=m_To)),1,0)</f>
        <v/>
      </c>
      <c r="V1887" s="36">
        <f>IF(AND(OR(sel_Region="All",C1887=sel_Region),OR(sel_Channel="All",E1887=sel_Channel),OR(sel_Customer="All",F1887=sel_Customer),OR(sel_Category="All",G1887=sel_Category),OR(sel_Product="All",H1887=sel_Product),AND(S1887&gt;=m_From,S1887&lt;=m_To)),1,0)</f>
        <v/>
      </c>
      <c r="W1887" s="36">
        <f>IF(AND(OR(sel_Region="All",C1887=sel_Region),OR(sel_Country="All",D1887=sel_Country),OR(sel_Customer="All",F1887=sel_Customer),OR(sel_Category="All",G1887=sel_Category),OR(sel_Product="All",H1887=sel_Product),AND(S1887&gt;=m_From,S1887&lt;=m_To)),1,0)</f>
        <v/>
      </c>
      <c r="X1887" s="36">
        <f>IF(AND(OR(sel_Region="All",C1887=sel_Region),OR(sel_Country="All",D1887=sel_Country),OR(sel_Channel="All",E1887=sel_Channel),OR(sel_Category="All",G1887=sel_Category),OR(sel_Product="All",H1887=sel_Product),AND(S1887&gt;=m_From,S1887&lt;=m_To)),1,0)</f>
        <v/>
      </c>
      <c r="Y1887" s="36">
        <f>IF(AND(OR(sel_Region="All",C1887=sel_Region),OR(sel_Country="All",D1887=sel_Country),OR(sel_Channel="All",E1887=sel_Channel),OR(sel_Customer="All",F1887=sel_Customer),OR(sel_Product="All",H1887=sel_Product),AND(S1887&gt;=m_From,S1887&lt;=m_To)),1,0)</f>
        <v/>
      </c>
      <c r="Z1887" s="36">
        <f>IF(AND(OR(sel_Region="All",C1887=sel_Region),OR(sel_Country="All",D1887=sel_Country),OR(sel_Channel="All",E1887=sel_Channel),OR(sel_Customer="All",F1887=sel_Customer),OR(sel_Category="All",G1887=sel_Category),AND(S1887&gt;=m_From,S1887&lt;=m_To)),1,0)</f>
        <v/>
      </c>
      <c r="AA1887" s="36">
        <f>IF(AND(OR(sel_Region="All",C1887=sel_Region),OR(sel_Country="All",D1887=sel_Country),OR(sel_Channel="All",E1887=sel_Channel),OR(sel_Customer="All",F1887=sel_Customer),OR(sel_Category="All",G1887=sel_Category),OR(sel_Product="All",H1887=sel_Product)),1,0)</f>
        <v/>
      </c>
    </row>
    <row r="1888">
      <c r="A1888" s="36" t="inlineStr">
        <is>
          <t>02563</t>
        </is>
      </c>
      <c r="B1888" s="44" t="n">
        <v>46278</v>
      </c>
      <c r="C1888" s="36" t="inlineStr">
        <is>
          <t>Central Europe</t>
        </is>
      </c>
      <c r="D1888" s="36" t="inlineStr">
        <is>
          <t>Austria</t>
        </is>
      </c>
      <c r="E1888" s="36" t="inlineStr">
        <is>
          <t>Marketplace</t>
        </is>
      </c>
      <c r="F1888" s="36" t="inlineStr">
        <is>
          <t>Returning</t>
        </is>
      </c>
      <c r="G1888" s="36" t="inlineStr">
        <is>
          <t>Hiking</t>
        </is>
      </c>
      <c r="H1888" s="36" t="inlineStr">
        <is>
          <t>Summit Backpack 45L</t>
        </is>
      </c>
      <c r="I1888" s="36" t="n">
        <v>1</v>
      </c>
      <c r="J1888" s="39" t="n">
        <v>157.89</v>
      </c>
      <c r="K1888" s="45" t="n">
        <v>0.1</v>
      </c>
      <c r="L1888" s="39" t="n">
        <v>78.20999999999999</v>
      </c>
      <c r="M1888" s="39">
        <f>I1888*J1888*(1-K1888)</f>
        <v/>
      </c>
      <c r="N1888" s="39">
        <f>I1888*L1888</f>
        <v/>
      </c>
      <c r="O1888" s="39">
        <f>M1888-N1888</f>
        <v/>
      </c>
      <c r="P1888" s="38">
        <f>IF(M1888=0,0,O1888/M1888)</f>
        <v/>
      </c>
      <c r="Q1888" s="36">
        <f>YEAR(B1888)</f>
        <v/>
      </c>
      <c r="R1888" s="36">
        <f>"Q"&amp;ROUNDUP(MONTH(B1888)/3,0)</f>
        <v/>
      </c>
      <c r="S1888" s="36">
        <f>MONTH(B1888)</f>
        <v/>
      </c>
      <c r="T1888" s="36">
        <f>TEXT(B1888,"mmm")</f>
        <v/>
      </c>
      <c r="U1888" s="36">
        <f>IF(AND(OR(sel_Region="All",C1888=sel_Region),OR(sel_Country="All",D1888=sel_Country),OR(sel_Channel="All",E1888=sel_Channel),OR(sel_Customer="All",F1888=sel_Customer),OR(sel_Category="All",G1888=sel_Category),OR(sel_Product="All",H1888=sel_Product),AND(S1888&gt;=m_From,S1888&lt;=m_To)),1,0)</f>
        <v/>
      </c>
      <c r="V1888" s="36">
        <f>IF(AND(OR(sel_Region="All",C1888=sel_Region),OR(sel_Channel="All",E1888=sel_Channel),OR(sel_Customer="All",F1888=sel_Customer),OR(sel_Category="All",G1888=sel_Category),OR(sel_Product="All",H1888=sel_Product),AND(S1888&gt;=m_From,S1888&lt;=m_To)),1,0)</f>
        <v/>
      </c>
      <c r="W1888" s="36">
        <f>IF(AND(OR(sel_Region="All",C1888=sel_Region),OR(sel_Country="All",D1888=sel_Country),OR(sel_Customer="All",F1888=sel_Customer),OR(sel_Category="All",G1888=sel_Category),OR(sel_Product="All",H1888=sel_Product),AND(S1888&gt;=m_From,S1888&lt;=m_To)),1,0)</f>
        <v/>
      </c>
      <c r="X1888" s="36">
        <f>IF(AND(OR(sel_Region="All",C1888=sel_Region),OR(sel_Country="All",D1888=sel_Country),OR(sel_Channel="All",E1888=sel_Channel),OR(sel_Category="All",G1888=sel_Category),OR(sel_Product="All",H1888=sel_Product),AND(S1888&gt;=m_From,S1888&lt;=m_To)),1,0)</f>
        <v/>
      </c>
      <c r="Y1888" s="36">
        <f>IF(AND(OR(sel_Region="All",C1888=sel_Region),OR(sel_Country="All",D1888=sel_Country),OR(sel_Channel="All",E1888=sel_Channel),OR(sel_Customer="All",F1888=sel_Customer),OR(sel_Product="All",H1888=sel_Product),AND(S1888&gt;=m_From,S1888&lt;=m_To)),1,0)</f>
        <v/>
      </c>
      <c r="Z1888" s="36">
        <f>IF(AND(OR(sel_Region="All",C1888=sel_Region),OR(sel_Country="All",D1888=sel_Country),OR(sel_Channel="All",E1888=sel_Channel),OR(sel_Customer="All",F1888=sel_Customer),OR(sel_Category="All",G1888=sel_Category),AND(S1888&gt;=m_From,S1888&lt;=m_To)),1,0)</f>
        <v/>
      </c>
      <c r="AA1888" s="36">
        <f>IF(AND(OR(sel_Region="All",C1888=sel_Region),OR(sel_Country="All",D1888=sel_Country),OR(sel_Channel="All",E1888=sel_Channel),OR(sel_Customer="All",F1888=sel_Customer),OR(sel_Category="All",G1888=sel_Category),OR(sel_Product="All",H1888=sel_Product)),1,0)</f>
        <v/>
      </c>
    </row>
    <row r="1889">
      <c r="A1889" s="36" t="inlineStr">
        <is>
          <t>02786</t>
        </is>
      </c>
      <c r="B1889" s="44" t="n">
        <v>46278</v>
      </c>
      <c r="C1889" s="36" t="inlineStr">
        <is>
          <t>Western Europe</t>
        </is>
      </c>
      <c r="D1889" s="36" t="inlineStr">
        <is>
          <t>United Kingdom</t>
        </is>
      </c>
      <c r="E1889" s="36" t="inlineStr">
        <is>
          <t>Online Store</t>
        </is>
      </c>
      <c r="F1889" s="36" t="inlineStr">
        <is>
          <t>New</t>
        </is>
      </c>
      <c r="G1889" s="36" t="inlineStr">
        <is>
          <t>Fitness</t>
        </is>
      </c>
      <c r="H1889" s="36" t="inlineStr">
        <is>
          <t>Resistance Band Set</t>
        </is>
      </c>
      <c r="I1889" s="36" t="n">
        <v>2</v>
      </c>
      <c r="J1889" s="39" t="n">
        <v>40.83</v>
      </c>
      <c r="K1889" s="45" t="n">
        <v>0</v>
      </c>
      <c r="L1889" s="39" t="n">
        <v>14.56</v>
      </c>
      <c r="M1889" s="39">
        <f>I1889*J1889*(1-K1889)</f>
        <v/>
      </c>
      <c r="N1889" s="39">
        <f>I1889*L1889</f>
        <v/>
      </c>
      <c r="O1889" s="39">
        <f>M1889-N1889</f>
        <v/>
      </c>
      <c r="P1889" s="38">
        <f>IF(M1889=0,0,O1889/M1889)</f>
        <v/>
      </c>
      <c r="Q1889" s="36">
        <f>YEAR(B1889)</f>
        <v/>
      </c>
      <c r="R1889" s="36">
        <f>"Q"&amp;ROUNDUP(MONTH(B1889)/3,0)</f>
        <v/>
      </c>
      <c r="S1889" s="36">
        <f>MONTH(B1889)</f>
        <v/>
      </c>
      <c r="T1889" s="36">
        <f>TEXT(B1889,"mmm")</f>
        <v/>
      </c>
      <c r="U1889" s="36">
        <f>IF(AND(OR(sel_Region="All",C1889=sel_Region),OR(sel_Country="All",D1889=sel_Country),OR(sel_Channel="All",E1889=sel_Channel),OR(sel_Customer="All",F1889=sel_Customer),OR(sel_Category="All",G1889=sel_Category),OR(sel_Product="All",H1889=sel_Product),AND(S1889&gt;=m_From,S1889&lt;=m_To)),1,0)</f>
        <v/>
      </c>
      <c r="V1889" s="36">
        <f>IF(AND(OR(sel_Region="All",C1889=sel_Region),OR(sel_Channel="All",E1889=sel_Channel),OR(sel_Customer="All",F1889=sel_Customer),OR(sel_Category="All",G1889=sel_Category),OR(sel_Product="All",H1889=sel_Product),AND(S1889&gt;=m_From,S1889&lt;=m_To)),1,0)</f>
        <v/>
      </c>
      <c r="W1889" s="36">
        <f>IF(AND(OR(sel_Region="All",C1889=sel_Region),OR(sel_Country="All",D1889=sel_Country),OR(sel_Customer="All",F1889=sel_Customer),OR(sel_Category="All",G1889=sel_Category),OR(sel_Product="All",H1889=sel_Product),AND(S1889&gt;=m_From,S1889&lt;=m_To)),1,0)</f>
        <v/>
      </c>
      <c r="X1889" s="36">
        <f>IF(AND(OR(sel_Region="All",C1889=sel_Region),OR(sel_Country="All",D1889=sel_Country),OR(sel_Channel="All",E1889=sel_Channel),OR(sel_Category="All",G1889=sel_Category),OR(sel_Product="All",H1889=sel_Product),AND(S1889&gt;=m_From,S1889&lt;=m_To)),1,0)</f>
        <v/>
      </c>
      <c r="Y1889" s="36">
        <f>IF(AND(OR(sel_Region="All",C1889=sel_Region),OR(sel_Country="All",D1889=sel_Country),OR(sel_Channel="All",E1889=sel_Channel),OR(sel_Customer="All",F1889=sel_Customer),OR(sel_Product="All",H1889=sel_Product),AND(S1889&gt;=m_From,S1889&lt;=m_To)),1,0)</f>
        <v/>
      </c>
      <c r="Z1889" s="36">
        <f>IF(AND(OR(sel_Region="All",C1889=sel_Region),OR(sel_Country="All",D1889=sel_Country),OR(sel_Channel="All",E1889=sel_Channel),OR(sel_Customer="All",F1889=sel_Customer),OR(sel_Category="All",G1889=sel_Category),AND(S1889&gt;=m_From,S1889&lt;=m_To)),1,0)</f>
        <v/>
      </c>
      <c r="AA1889" s="36">
        <f>IF(AND(OR(sel_Region="All",C1889=sel_Region),OR(sel_Country="All",D1889=sel_Country),OR(sel_Channel="All",E1889=sel_Channel),OR(sel_Customer="All",F1889=sel_Customer),OR(sel_Category="All",G1889=sel_Category),OR(sel_Product="All",H1889=sel_Product)),1,0)</f>
        <v/>
      </c>
    </row>
    <row r="1890">
      <c r="A1890" s="36" t="inlineStr">
        <is>
          <t>03269</t>
        </is>
      </c>
      <c r="B1890" s="44" t="n">
        <v>46278</v>
      </c>
      <c r="C1890" s="36" t="inlineStr">
        <is>
          <t>Northern Europe</t>
        </is>
      </c>
      <c r="D1890" s="36" t="inlineStr">
        <is>
          <t>Norway</t>
        </is>
      </c>
      <c r="E1890" s="36" t="inlineStr">
        <is>
          <t>Retail Partners</t>
        </is>
      </c>
      <c r="F1890" s="36" t="inlineStr">
        <is>
          <t>New</t>
        </is>
      </c>
      <c r="G1890" s="36" t="inlineStr">
        <is>
          <t>Fitness</t>
        </is>
      </c>
      <c r="H1890" s="36" t="inlineStr">
        <is>
          <t>Recovery Roller</t>
        </is>
      </c>
      <c r="I1890" s="36" t="n">
        <v>2</v>
      </c>
      <c r="J1890" s="39" t="n">
        <v>37.12</v>
      </c>
      <c r="K1890" s="45" t="n">
        <v>0</v>
      </c>
      <c r="L1890" s="39" t="n">
        <v>14.26</v>
      </c>
      <c r="M1890" s="39">
        <f>I1890*J1890*(1-K1890)</f>
        <v/>
      </c>
      <c r="N1890" s="39">
        <f>I1890*L1890</f>
        <v/>
      </c>
      <c r="O1890" s="39">
        <f>M1890-N1890</f>
        <v/>
      </c>
      <c r="P1890" s="38">
        <f>IF(M1890=0,0,O1890/M1890)</f>
        <v/>
      </c>
      <c r="Q1890" s="36">
        <f>YEAR(B1890)</f>
        <v/>
      </c>
      <c r="R1890" s="36">
        <f>"Q"&amp;ROUNDUP(MONTH(B1890)/3,0)</f>
        <v/>
      </c>
      <c r="S1890" s="36">
        <f>MONTH(B1890)</f>
        <v/>
      </c>
      <c r="T1890" s="36">
        <f>TEXT(B1890,"mmm")</f>
        <v/>
      </c>
      <c r="U1890" s="36">
        <f>IF(AND(OR(sel_Region="All",C1890=sel_Region),OR(sel_Country="All",D1890=sel_Country),OR(sel_Channel="All",E1890=sel_Channel),OR(sel_Customer="All",F1890=sel_Customer),OR(sel_Category="All",G1890=sel_Category),OR(sel_Product="All",H1890=sel_Product),AND(S1890&gt;=m_From,S1890&lt;=m_To)),1,0)</f>
        <v/>
      </c>
      <c r="V1890" s="36">
        <f>IF(AND(OR(sel_Region="All",C1890=sel_Region),OR(sel_Channel="All",E1890=sel_Channel),OR(sel_Customer="All",F1890=sel_Customer),OR(sel_Category="All",G1890=sel_Category),OR(sel_Product="All",H1890=sel_Product),AND(S1890&gt;=m_From,S1890&lt;=m_To)),1,0)</f>
        <v/>
      </c>
      <c r="W1890" s="36">
        <f>IF(AND(OR(sel_Region="All",C1890=sel_Region),OR(sel_Country="All",D1890=sel_Country),OR(sel_Customer="All",F1890=sel_Customer),OR(sel_Category="All",G1890=sel_Category),OR(sel_Product="All",H1890=sel_Product),AND(S1890&gt;=m_From,S1890&lt;=m_To)),1,0)</f>
        <v/>
      </c>
      <c r="X1890" s="36">
        <f>IF(AND(OR(sel_Region="All",C1890=sel_Region),OR(sel_Country="All",D1890=sel_Country),OR(sel_Channel="All",E1890=sel_Channel),OR(sel_Category="All",G1890=sel_Category),OR(sel_Product="All",H1890=sel_Product),AND(S1890&gt;=m_From,S1890&lt;=m_To)),1,0)</f>
        <v/>
      </c>
      <c r="Y1890" s="36">
        <f>IF(AND(OR(sel_Region="All",C1890=sel_Region),OR(sel_Country="All",D1890=sel_Country),OR(sel_Channel="All",E1890=sel_Channel),OR(sel_Customer="All",F1890=sel_Customer),OR(sel_Product="All",H1890=sel_Product),AND(S1890&gt;=m_From,S1890&lt;=m_To)),1,0)</f>
        <v/>
      </c>
      <c r="Z1890" s="36">
        <f>IF(AND(OR(sel_Region="All",C1890=sel_Region),OR(sel_Country="All",D1890=sel_Country),OR(sel_Channel="All",E1890=sel_Channel),OR(sel_Customer="All",F1890=sel_Customer),OR(sel_Category="All",G1890=sel_Category),AND(S1890&gt;=m_From,S1890&lt;=m_To)),1,0)</f>
        <v/>
      </c>
      <c r="AA1890" s="36">
        <f>IF(AND(OR(sel_Region="All",C1890=sel_Region),OR(sel_Country="All",D1890=sel_Country),OR(sel_Channel="All",E1890=sel_Channel),OR(sel_Customer="All",F1890=sel_Customer),OR(sel_Category="All",G1890=sel_Category),OR(sel_Product="All",H1890=sel_Product)),1,0)</f>
        <v/>
      </c>
    </row>
    <row r="1891">
      <c r="A1891" s="36" t="inlineStr">
        <is>
          <t>03346</t>
        </is>
      </c>
      <c r="B1891" s="44" t="n">
        <v>46278</v>
      </c>
      <c r="C1891" s="36" t="inlineStr">
        <is>
          <t>Western Europe</t>
        </is>
      </c>
      <c r="D1891" s="36" t="inlineStr">
        <is>
          <t>United Kingdom</t>
        </is>
      </c>
      <c r="E1891" s="36" t="inlineStr">
        <is>
          <t>Online Store</t>
        </is>
      </c>
      <c r="F1891" s="36" t="inlineStr">
        <is>
          <t>Returning</t>
        </is>
      </c>
      <c r="G1891" s="36" t="inlineStr">
        <is>
          <t>Camping</t>
        </is>
      </c>
      <c r="H1891" s="36" t="inlineStr">
        <is>
          <t>Compact Sleeping Bag</t>
        </is>
      </c>
      <c r="I1891" s="36" t="n">
        <v>2</v>
      </c>
      <c r="J1891" s="39" t="n">
        <v>124.04</v>
      </c>
      <c r="K1891" s="45" t="n">
        <v>0.05</v>
      </c>
      <c r="L1891" s="39" t="n">
        <v>59.29</v>
      </c>
      <c r="M1891" s="39">
        <f>I1891*J1891*(1-K1891)</f>
        <v/>
      </c>
      <c r="N1891" s="39">
        <f>I1891*L1891</f>
        <v/>
      </c>
      <c r="O1891" s="39">
        <f>M1891-N1891</f>
        <v/>
      </c>
      <c r="P1891" s="38">
        <f>IF(M1891=0,0,O1891/M1891)</f>
        <v/>
      </c>
      <c r="Q1891" s="36">
        <f>YEAR(B1891)</f>
        <v/>
      </c>
      <c r="R1891" s="36">
        <f>"Q"&amp;ROUNDUP(MONTH(B1891)/3,0)</f>
        <v/>
      </c>
      <c r="S1891" s="36">
        <f>MONTH(B1891)</f>
        <v/>
      </c>
      <c r="T1891" s="36">
        <f>TEXT(B1891,"mmm")</f>
        <v/>
      </c>
      <c r="U1891" s="36">
        <f>IF(AND(OR(sel_Region="All",C1891=sel_Region),OR(sel_Country="All",D1891=sel_Country),OR(sel_Channel="All",E1891=sel_Channel),OR(sel_Customer="All",F1891=sel_Customer),OR(sel_Category="All",G1891=sel_Category),OR(sel_Product="All",H1891=sel_Product),AND(S1891&gt;=m_From,S1891&lt;=m_To)),1,0)</f>
        <v/>
      </c>
      <c r="V1891" s="36">
        <f>IF(AND(OR(sel_Region="All",C1891=sel_Region),OR(sel_Channel="All",E1891=sel_Channel),OR(sel_Customer="All",F1891=sel_Customer),OR(sel_Category="All",G1891=sel_Category),OR(sel_Product="All",H1891=sel_Product),AND(S1891&gt;=m_From,S1891&lt;=m_To)),1,0)</f>
        <v/>
      </c>
      <c r="W1891" s="36">
        <f>IF(AND(OR(sel_Region="All",C1891=sel_Region),OR(sel_Country="All",D1891=sel_Country),OR(sel_Customer="All",F1891=sel_Customer),OR(sel_Category="All",G1891=sel_Category),OR(sel_Product="All",H1891=sel_Product),AND(S1891&gt;=m_From,S1891&lt;=m_To)),1,0)</f>
        <v/>
      </c>
      <c r="X1891" s="36">
        <f>IF(AND(OR(sel_Region="All",C1891=sel_Region),OR(sel_Country="All",D1891=sel_Country),OR(sel_Channel="All",E1891=sel_Channel),OR(sel_Category="All",G1891=sel_Category),OR(sel_Product="All",H1891=sel_Product),AND(S1891&gt;=m_From,S1891&lt;=m_To)),1,0)</f>
        <v/>
      </c>
      <c r="Y1891" s="36">
        <f>IF(AND(OR(sel_Region="All",C1891=sel_Region),OR(sel_Country="All",D1891=sel_Country),OR(sel_Channel="All",E1891=sel_Channel),OR(sel_Customer="All",F1891=sel_Customer),OR(sel_Product="All",H1891=sel_Product),AND(S1891&gt;=m_From,S1891&lt;=m_To)),1,0)</f>
        <v/>
      </c>
      <c r="Z1891" s="36">
        <f>IF(AND(OR(sel_Region="All",C1891=sel_Region),OR(sel_Country="All",D1891=sel_Country),OR(sel_Channel="All",E1891=sel_Channel),OR(sel_Customer="All",F1891=sel_Customer),OR(sel_Category="All",G1891=sel_Category),AND(S1891&gt;=m_From,S1891&lt;=m_To)),1,0)</f>
        <v/>
      </c>
      <c r="AA1891" s="36">
        <f>IF(AND(OR(sel_Region="All",C1891=sel_Region),OR(sel_Country="All",D1891=sel_Country),OR(sel_Channel="All",E1891=sel_Channel),OR(sel_Customer="All",F1891=sel_Customer),OR(sel_Category="All",G1891=sel_Category),OR(sel_Product="All",H1891=sel_Product)),1,0)</f>
        <v/>
      </c>
    </row>
    <row r="1892">
      <c r="A1892" s="36" t="inlineStr">
        <is>
          <t>04097</t>
        </is>
      </c>
      <c r="B1892" s="44" t="n">
        <v>46278</v>
      </c>
      <c r="C1892" s="36" t="inlineStr">
        <is>
          <t>Central Europe</t>
        </is>
      </c>
      <c r="D1892" s="36" t="inlineStr">
        <is>
          <t>Germany</t>
        </is>
      </c>
      <c r="E1892" s="36" t="inlineStr">
        <is>
          <t>Online Store</t>
        </is>
      </c>
      <c r="F1892" s="36" t="inlineStr">
        <is>
          <t>Returning</t>
        </is>
      </c>
      <c r="G1892" s="36" t="inlineStr">
        <is>
          <t>Hiking</t>
        </is>
      </c>
      <c r="H1892" s="36" t="inlineStr">
        <is>
          <t>Trail Boots</t>
        </is>
      </c>
      <c r="I1892" s="36" t="n">
        <v>1</v>
      </c>
      <c r="J1892" s="39" t="n">
        <v>142.36</v>
      </c>
      <c r="K1892" s="45" t="n">
        <v>0</v>
      </c>
      <c r="L1892" s="39" t="n">
        <v>78.3</v>
      </c>
      <c r="M1892" s="39">
        <f>I1892*J1892*(1-K1892)</f>
        <v/>
      </c>
      <c r="N1892" s="39">
        <f>I1892*L1892</f>
        <v/>
      </c>
      <c r="O1892" s="39">
        <f>M1892-N1892</f>
        <v/>
      </c>
      <c r="P1892" s="38">
        <f>IF(M1892=0,0,O1892/M1892)</f>
        <v/>
      </c>
      <c r="Q1892" s="36">
        <f>YEAR(B1892)</f>
        <v/>
      </c>
      <c r="R1892" s="36">
        <f>"Q"&amp;ROUNDUP(MONTH(B1892)/3,0)</f>
        <v/>
      </c>
      <c r="S1892" s="36">
        <f>MONTH(B1892)</f>
        <v/>
      </c>
      <c r="T1892" s="36">
        <f>TEXT(B1892,"mmm")</f>
        <v/>
      </c>
      <c r="U1892" s="36">
        <f>IF(AND(OR(sel_Region="All",C1892=sel_Region),OR(sel_Country="All",D1892=sel_Country),OR(sel_Channel="All",E1892=sel_Channel),OR(sel_Customer="All",F1892=sel_Customer),OR(sel_Category="All",G1892=sel_Category),OR(sel_Product="All",H1892=sel_Product),AND(S1892&gt;=m_From,S1892&lt;=m_To)),1,0)</f>
        <v/>
      </c>
      <c r="V1892" s="36">
        <f>IF(AND(OR(sel_Region="All",C1892=sel_Region),OR(sel_Channel="All",E1892=sel_Channel),OR(sel_Customer="All",F1892=sel_Customer),OR(sel_Category="All",G1892=sel_Category),OR(sel_Product="All",H1892=sel_Product),AND(S1892&gt;=m_From,S1892&lt;=m_To)),1,0)</f>
        <v/>
      </c>
      <c r="W1892" s="36">
        <f>IF(AND(OR(sel_Region="All",C1892=sel_Region),OR(sel_Country="All",D1892=sel_Country),OR(sel_Customer="All",F1892=sel_Customer),OR(sel_Category="All",G1892=sel_Category),OR(sel_Product="All",H1892=sel_Product),AND(S1892&gt;=m_From,S1892&lt;=m_To)),1,0)</f>
        <v/>
      </c>
      <c r="X1892" s="36">
        <f>IF(AND(OR(sel_Region="All",C1892=sel_Region),OR(sel_Country="All",D1892=sel_Country),OR(sel_Channel="All",E1892=sel_Channel),OR(sel_Category="All",G1892=sel_Category),OR(sel_Product="All",H1892=sel_Product),AND(S1892&gt;=m_From,S1892&lt;=m_To)),1,0)</f>
        <v/>
      </c>
      <c r="Y1892" s="36">
        <f>IF(AND(OR(sel_Region="All",C1892=sel_Region),OR(sel_Country="All",D1892=sel_Country),OR(sel_Channel="All",E1892=sel_Channel),OR(sel_Customer="All",F1892=sel_Customer),OR(sel_Product="All",H1892=sel_Product),AND(S1892&gt;=m_From,S1892&lt;=m_To)),1,0)</f>
        <v/>
      </c>
      <c r="Z1892" s="36">
        <f>IF(AND(OR(sel_Region="All",C1892=sel_Region),OR(sel_Country="All",D1892=sel_Country),OR(sel_Channel="All",E1892=sel_Channel),OR(sel_Customer="All",F1892=sel_Customer),OR(sel_Category="All",G1892=sel_Category),AND(S1892&gt;=m_From,S1892&lt;=m_To)),1,0)</f>
        <v/>
      </c>
      <c r="AA1892" s="36">
        <f>IF(AND(OR(sel_Region="All",C1892=sel_Region),OR(sel_Country="All",D1892=sel_Country),OR(sel_Channel="All",E1892=sel_Channel),OR(sel_Customer="All",F1892=sel_Customer),OR(sel_Category="All",G1892=sel_Category),OR(sel_Product="All",H1892=sel_Product)),1,0)</f>
        <v/>
      </c>
    </row>
    <row r="1893">
      <c r="A1893" s="36" t="inlineStr">
        <is>
          <t>04208</t>
        </is>
      </c>
      <c r="B1893" s="44" t="n">
        <v>46278</v>
      </c>
      <c r="C1893" s="36" t="inlineStr">
        <is>
          <t>Central Europe</t>
        </is>
      </c>
      <c r="D1893" s="36" t="inlineStr">
        <is>
          <t>Germany</t>
        </is>
      </c>
      <c r="E1893" s="36" t="inlineStr">
        <is>
          <t>Corporate</t>
        </is>
      </c>
      <c r="F1893" s="36" t="inlineStr">
        <is>
          <t>Business</t>
        </is>
      </c>
      <c r="G1893" s="36" t="inlineStr">
        <is>
          <t>Cycling</t>
        </is>
      </c>
      <c r="H1893" s="36" t="inlineStr">
        <is>
          <t>Cycling Pack 12L</t>
        </is>
      </c>
      <c r="I1893" s="36" t="n">
        <v>6</v>
      </c>
      <c r="J1893" s="39" t="n">
        <v>104.11</v>
      </c>
      <c r="K1893" s="45" t="n">
        <v>0.1</v>
      </c>
      <c r="L1893" s="39" t="n">
        <v>49</v>
      </c>
      <c r="M1893" s="39">
        <f>I1893*J1893*(1-K1893)</f>
        <v/>
      </c>
      <c r="N1893" s="39">
        <f>I1893*L1893</f>
        <v/>
      </c>
      <c r="O1893" s="39">
        <f>M1893-N1893</f>
        <v/>
      </c>
      <c r="P1893" s="38">
        <f>IF(M1893=0,0,O1893/M1893)</f>
        <v/>
      </c>
      <c r="Q1893" s="36">
        <f>YEAR(B1893)</f>
        <v/>
      </c>
      <c r="R1893" s="36">
        <f>"Q"&amp;ROUNDUP(MONTH(B1893)/3,0)</f>
        <v/>
      </c>
      <c r="S1893" s="36">
        <f>MONTH(B1893)</f>
        <v/>
      </c>
      <c r="T1893" s="36">
        <f>TEXT(B1893,"mmm")</f>
        <v/>
      </c>
      <c r="U1893" s="36">
        <f>IF(AND(OR(sel_Region="All",C1893=sel_Region),OR(sel_Country="All",D1893=sel_Country),OR(sel_Channel="All",E1893=sel_Channel),OR(sel_Customer="All",F1893=sel_Customer),OR(sel_Category="All",G1893=sel_Category),OR(sel_Product="All",H1893=sel_Product),AND(S1893&gt;=m_From,S1893&lt;=m_To)),1,0)</f>
        <v/>
      </c>
      <c r="V1893" s="36">
        <f>IF(AND(OR(sel_Region="All",C1893=sel_Region),OR(sel_Channel="All",E1893=sel_Channel),OR(sel_Customer="All",F1893=sel_Customer),OR(sel_Category="All",G1893=sel_Category),OR(sel_Product="All",H1893=sel_Product),AND(S1893&gt;=m_From,S1893&lt;=m_To)),1,0)</f>
        <v/>
      </c>
      <c r="W1893" s="36">
        <f>IF(AND(OR(sel_Region="All",C1893=sel_Region),OR(sel_Country="All",D1893=sel_Country),OR(sel_Customer="All",F1893=sel_Customer),OR(sel_Category="All",G1893=sel_Category),OR(sel_Product="All",H1893=sel_Product),AND(S1893&gt;=m_From,S1893&lt;=m_To)),1,0)</f>
        <v/>
      </c>
      <c r="X1893" s="36">
        <f>IF(AND(OR(sel_Region="All",C1893=sel_Region),OR(sel_Country="All",D1893=sel_Country),OR(sel_Channel="All",E1893=sel_Channel),OR(sel_Category="All",G1893=sel_Category),OR(sel_Product="All",H1893=sel_Product),AND(S1893&gt;=m_From,S1893&lt;=m_To)),1,0)</f>
        <v/>
      </c>
      <c r="Y1893" s="36">
        <f>IF(AND(OR(sel_Region="All",C1893=sel_Region),OR(sel_Country="All",D1893=sel_Country),OR(sel_Channel="All",E1893=sel_Channel),OR(sel_Customer="All",F1893=sel_Customer),OR(sel_Product="All",H1893=sel_Product),AND(S1893&gt;=m_From,S1893&lt;=m_To)),1,0)</f>
        <v/>
      </c>
      <c r="Z1893" s="36">
        <f>IF(AND(OR(sel_Region="All",C1893=sel_Region),OR(sel_Country="All",D1893=sel_Country),OR(sel_Channel="All",E1893=sel_Channel),OR(sel_Customer="All",F1893=sel_Customer),OR(sel_Category="All",G1893=sel_Category),AND(S1893&gt;=m_From,S1893&lt;=m_To)),1,0)</f>
        <v/>
      </c>
      <c r="AA1893" s="36">
        <f>IF(AND(OR(sel_Region="All",C1893=sel_Region),OR(sel_Country="All",D1893=sel_Country),OR(sel_Channel="All",E1893=sel_Channel),OR(sel_Customer="All",F1893=sel_Customer),OR(sel_Category="All",G1893=sel_Category),OR(sel_Product="All",H1893=sel_Product)),1,0)</f>
        <v/>
      </c>
    </row>
    <row r="1894">
      <c r="A1894" s="36" t="inlineStr">
        <is>
          <t>04606</t>
        </is>
      </c>
      <c r="B1894" s="44" t="n">
        <v>46278</v>
      </c>
      <c r="C1894" s="36" t="inlineStr">
        <is>
          <t>Western Europe</t>
        </is>
      </c>
      <c r="D1894" s="36" t="inlineStr">
        <is>
          <t>United Kingdom</t>
        </is>
      </c>
      <c r="E1894" s="36" t="inlineStr">
        <is>
          <t>Online Store</t>
        </is>
      </c>
      <c r="F1894" s="36" t="inlineStr">
        <is>
          <t>Business</t>
        </is>
      </c>
      <c r="G1894" s="36" t="inlineStr">
        <is>
          <t>Camping</t>
        </is>
      </c>
      <c r="H1894" s="36" t="inlineStr">
        <is>
          <t>Alpine Tent 4P</t>
        </is>
      </c>
      <c r="I1894" s="36" t="n">
        <v>1</v>
      </c>
      <c r="J1894" s="39" t="n">
        <v>335.02</v>
      </c>
      <c r="K1894" s="45" t="n">
        <v>0.05</v>
      </c>
      <c r="L1894" s="39" t="n">
        <v>198.44</v>
      </c>
      <c r="M1894" s="39">
        <f>I1894*J1894*(1-K1894)</f>
        <v/>
      </c>
      <c r="N1894" s="39">
        <f>I1894*L1894</f>
        <v/>
      </c>
      <c r="O1894" s="39">
        <f>M1894-N1894</f>
        <v/>
      </c>
      <c r="P1894" s="38">
        <f>IF(M1894=0,0,O1894/M1894)</f>
        <v/>
      </c>
      <c r="Q1894" s="36">
        <f>YEAR(B1894)</f>
        <v/>
      </c>
      <c r="R1894" s="36">
        <f>"Q"&amp;ROUNDUP(MONTH(B1894)/3,0)</f>
        <v/>
      </c>
      <c r="S1894" s="36">
        <f>MONTH(B1894)</f>
        <v/>
      </c>
      <c r="T1894" s="36">
        <f>TEXT(B1894,"mmm")</f>
        <v/>
      </c>
      <c r="U1894" s="36">
        <f>IF(AND(OR(sel_Region="All",C1894=sel_Region),OR(sel_Country="All",D1894=sel_Country),OR(sel_Channel="All",E1894=sel_Channel),OR(sel_Customer="All",F1894=sel_Customer),OR(sel_Category="All",G1894=sel_Category),OR(sel_Product="All",H1894=sel_Product),AND(S1894&gt;=m_From,S1894&lt;=m_To)),1,0)</f>
        <v/>
      </c>
      <c r="V1894" s="36">
        <f>IF(AND(OR(sel_Region="All",C1894=sel_Region),OR(sel_Channel="All",E1894=sel_Channel),OR(sel_Customer="All",F1894=sel_Customer),OR(sel_Category="All",G1894=sel_Category),OR(sel_Product="All",H1894=sel_Product),AND(S1894&gt;=m_From,S1894&lt;=m_To)),1,0)</f>
        <v/>
      </c>
      <c r="W1894" s="36">
        <f>IF(AND(OR(sel_Region="All",C1894=sel_Region),OR(sel_Country="All",D1894=sel_Country),OR(sel_Customer="All",F1894=sel_Customer),OR(sel_Category="All",G1894=sel_Category),OR(sel_Product="All",H1894=sel_Product),AND(S1894&gt;=m_From,S1894&lt;=m_To)),1,0)</f>
        <v/>
      </c>
      <c r="X1894" s="36">
        <f>IF(AND(OR(sel_Region="All",C1894=sel_Region),OR(sel_Country="All",D1894=sel_Country),OR(sel_Channel="All",E1894=sel_Channel),OR(sel_Category="All",G1894=sel_Category),OR(sel_Product="All",H1894=sel_Product),AND(S1894&gt;=m_From,S1894&lt;=m_To)),1,0)</f>
        <v/>
      </c>
      <c r="Y1894" s="36">
        <f>IF(AND(OR(sel_Region="All",C1894=sel_Region),OR(sel_Country="All",D1894=sel_Country),OR(sel_Channel="All",E1894=sel_Channel),OR(sel_Customer="All",F1894=sel_Customer),OR(sel_Product="All",H1894=sel_Product),AND(S1894&gt;=m_From,S1894&lt;=m_To)),1,0)</f>
        <v/>
      </c>
      <c r="Z1894" s="36">
        <f>IF(AND(OR(sel_Region="All",C1894=sel_Region),OR(sel_Country="All",D1894=sel_Country),OR(sel_Channel="All",E1894=sel_Channel),OR(sel_Customer="All",F1894=sel_Customer),OR(sel_Category="All",G1894=sel_Category),AND(S1894&gt;=m_From,S1894&lt;=m_To)),1,0)</f>
        <v/>
      </c>
      <c r="AA1894" s="36">
        <f>IF(AND(OR(sel_Region="All",C1894=sel_Region),OR(sel_Country="All",D1894=sel_Country),OR(sel_Channel="All",E1894=sel_Channel),OR(sel_Customer="All",F1894=sel_Customer),OR(sel_Category="All",G1894=sel_Category),OR(sel_Product="All",H1894=sel_Product)),1,0)</f>
        <v/>
      </c>
    </row>
    <row r="1895">
      <c r="A1895" s="36" t="inlineStr">
        <is>
          <t>00222</t>
        </is>
      </c>
      <c r="B1895" s="44" t="n">
        <v>46279</v>
      </c>
      <c r="C1895" s="36" t="inlineStr">
        <is>
          <t>Central Europe</t>
        </is>
      </c>
      <c r="D1895" s="36" t="inlineStr">
        <is>
          <t>Germany</t>
        </is>
      </c>
      <c r="E1895" s="36" t="inlineStr">
        <is>
          <t>Online Store</t>
        </is>
      </c>
      <c r="F1895" s="36" t="inlineStr">
        <is>
          <t>Returning</t>
        </is>
      </c>
      <c r="G1895" s="36" t="inlineStr">
        <is>
          <t>Cycling</t>
        </is>
      </c>
      <c r="H1895" s="36" t="inlineStr">
        <is>
          <t>Trail Bike Light</t>
        </is>
      </c>
      <c r="I1895" s="36" t="n">
        <v>2</v>
      </c>
      <c r="J1895" s="39" t="n">
        <v>49.69</v>
      </c>
      <c r="K1895" s="45" t="n">
        <v>0.05</v>
      </c>
      <c r="L1895" s="39" t="n">
        <v>22.55</v>
      </c>
      <c r="M1895" s="39">
        <f>I1895*J1895*(1-K1895)</f>
        <v/>
      </c>
      <c r="N1895" s="39">
        <f>I1895*L1895</f>
        <v/>
      </c>
      <c r="O1895" s="39">
        <f>M1895-N1895</f>
        <v/>
      </c>
      <c r="P1895" s="38">
        <f>IF(M1895=0,0,O1895/M1895)</f>
        <v/>
      </c>
      <c r="Q1895" s="36">
        <f>YEAR(B1895)</f>
        <v/>
      </c>
      <c r="R1895" s="36">
        <f>"Q"&amp;ROUNDUP(MONTH(B1895)/3,0)</f>
        <v/>
      </c>
      <c r="S1895" s="36">
        <f>MONTH(B1895)</f>
        <v/>
      </c>
      <c r="T1895" s="36">
        <f>TEXT(B1895,"mmm")</f>
        <v/>
      </c>
      <c r="U1895" s="36">
        <f>IF(AND(OR(sel_Region="All",C1895=sel_Region),OR(sel_Country="All",D1895=sel_Country),OR(sel_Channel="All",E1895=sel_Channel),OR(sel_Customer="All",F1895=sel_Customer),OR(sel_Category="All",G1895=sel_Category),OR(sel_Product="All",H1895=sel_Product),AND(S1895&gt;=m_From,S1895&lt;=m_To)),1,0)</f>
        <v/>
      </c>
      <c r="V1895" s="36">
        <f>IF(AND(OR(sel_Region="All",C1895=sel_Region),OR(sel_Channel="All",E1895=sel_Channel),OR(sel_Customer="All",F1895=sel_Customer),OR(sel_Category="All",G1895=sel_Category),OR(sel_Product="All",H1895=sel_Product),AND(S1895&gt;=m_From,S1895&lt;=m_To)),1,0)</f>
        <v/>
      </c>
      <c r="W1895" s="36">
        <f>IF(AND(OR(sel_Region="All",C1895=sel_Region),OR(sel_Country="All",D1895=sel_Country),OR(sel_Customer="All",F1895=sel_Customer),OR(sel_Category="All",G1895=sel_Category),OR(sel_Product="All",H1895=sel_Product),AND(S1895&gt;=m_From,S1895&lt;=m_To)),1,0)</f>
        <v/>
      </c>
      <c r="X1895" s="36">
        <f>IF(AND(OR(sel_Region="All",C1895=sel_Region),OR(sel_Country="All",D1895=sel_Country),OR(sel_Channel="All",E1895=sel_Channel),OR(sel_Category="All",G1895=sel_Category),OR(sel_Product="All",H1895=sel_Product),AND(S1895&gt;=m_From,S1895&lt;=m_To)),1,0)</f>
        <v/>
      </c>
      <c r="Y1895" s="36">
        <f>IF(AND(OR(sel_Region="All",C1895=sel_Region),OR(sel_Country="All",D1895=sel_Country),OR(sel_Channel="All",E1895=sel_Channel),OR(sel_Customer="All",F1895=sel_Customer),OR(sel_Product="All",H1895=sel_Product),AND(S1895&gt;=m_From,S1895&lt;=m_To)),1,0)</f>
        <v/>
      </c>
      <c r="Z1895" s="36">
        <f>IF(AND(OR(sel_Region="All",C1895=sel_Region),OR(sel_Country="All",D1895=sel_Country),OR(sel_Channel="All",E1895=sel_Channel),OR(sel_Customer="All",F1895=sel_Customer),OR(sel_Category="All",G1895=sel_Category),AND(S1895&gt;=m_From,S1895&lt;=m_To)),1,0)</f>
        <v/>
      </c>
      <c r="AA1895" s="36">
        <f>IF(AND(OR(sel_Region="All",C1895=sel_Region),OR(sel_Country="All",D1895=sel_Country),OR(sel_Channel="All",E1895=sel_Channel),OR(sel_Customer="All",F1895=sel_Customer),OR(sel_Category="All",G1895=sel_Category),OR(sel_Product="All",H1895=sel_Product)),1,0)</f>
        <v/>
      </c>
    </row>
    <row r="1896">
      <c r="A1896" s="36" t="inlineStr">
        <is>
          <t>00241</t>
        </is>
      </c>
      <c r="B1896" s="44" t="n">
        <v>46279</v>
      </c>
      <c r="C1896" s="36" t="inlineStr">
        <is>
          <t>Northern Europe</t>
        </is>
      </c>
      <c r="D1896" s="36" t="inlineStr">
        <is>
          <t>Denmark</t>
        </is>
      </c>
      <c r="E1896" s="36" t="inlineStr">
        <is>
          <t>Online Store</t>
        </is>
      </c>
      <c r="F1896" s="36" t="inlineStr">
        <is>
          <t>Returning</t>
        </is>
      </c>
      <c r="G1896" s="36" t="inlineStr">
        <is>
          <t>Cycling</t>
        </is>
      </c>
      <c r="H1896" s="36" t="inlineStr">
        <is>
          <t>Trail Bike Light</t>
        </is>
      </c>
      <c r="I1896" s="36" t="n">
        <v>4</v>
      </c>
      <c r="J1896" s="39" t="n">
        <v>50.5</v>
      </c>
      <c r="K1896" s="45" t="n">
        <v>0</v>
      </c>
      <c r="L1896" s="39" t="n">
        <v>23.02</v>
      </c>
      <c r="M1896" s="39">
        <f>I1896*J1896*(1-K1896)</f>
        <v/>
      </c>
      <c r="N1896" s="39">
        <f>I1896*L1896</f>
        <v/>
      </c>
      <c r="O1896" s="39">
        <f>M1896-N1896</f>
        <v/>
      </c>
      <c r="P1896" s="38">
        <f>IF(M1896=0,0,O1896/M1896)</f>
        <v/>
      </c>
      <c r="Q1896" s="36">
        <f>YEAR(B1896)</f>
        <v/>
      </c>
      <c r="R1896" s="36">
        <f>"Q"&amp;ROUNDUP(MONTH(B1896)/3,0)</f>
        <v/>
      </c>
      <c r="S1896" s="36">
        <f>MONTH(B1896)</f>
        <v/>
      </c>
      <c r="T1896" s="36">
        <f>TEXT(B1896,"mmm")</f>
        <v/>
      </c>
      <c r="U1896" s="36">
        <f>IF(AND(OR(sel_Region="All",C1896=sel_Region),OR(sel_Country="All",D1896=sel_Country),OR(sel_Channel="All",E1896=sel_Channel),OR(sel_Customer="All",F1896=sel_Customer),OR(sel_Category="All",G1896=sel_Category),OR(sel_Product="All",H1896=sel_Product),AND(S1896&gt;=m_From,S1896&lt;=m_To)),1,0)</f>
        <v/>
      </c>
      <c r="V1896" s="36">
        <f>IF(AND(OR(sel_Region="All",C1896=sel_Region),OR(sel_Channel="All",E1896=sel_Channel),OR(sel_Customer="All",F1896=sel_Customer),OR(sel_Category="All",G1896=sel_Category),OR(sel_Product="All",H1896=sel_Product),AND(S1896&gt;=m_From,S1896&lt;=m_To)),1,0)</f>
        <v/>
      </c>
      <c r="W1896" s="36">
        <f>IF(AND(OR(sel_Region="All",C1896=sel_Region),OR(sel_Country="All",D1896=sel_Country),OR(sel_Customer="All",F1896=sel_Customer),OR(sel_Category="All",G1896=sel_Category),OR(sel_Product="All",H1896=sel_Product),AND(S1896&gt;=m_From,S1896&lt;=m_To)),1,0)</f>
        <v/>
      </c>
      <c r="X1896" s="36">
        <f>IF(AND(OR(sel_Region="All",C1896=sel_Region),OR(sel_Country="All",D1896=sel_Country),OR(sel_Channel="All",E1896=sel_Channel),OR(sel_Category="All",G1896=sel_Category),OR(sel_Product="All",H1896=sel_Product),AND(S1896&gt;=m_From,S1896&lt;=m_To)),1,0)</f>
        <v/>
      </c>
      <c r="Y1896" s="36">
        <f>IF(AND(OR(sel_Region="All",C1896=sel_Region),OR(sel_Country="All",D1896=sel_Country),OR(sel_Channel="All",E1896=sel_Channel),OR(sel_Customer="All",F1896=sel_Customer),OR(sel_Product="All",H1896=sel_Product),AND(S1896&gt;=m_From,S1896&lt;=m_To)),1,0)</f>
        <v/>
      </c>
      <c r="Z1896" s="36">
        <f>IF(AND(OR(sel_Region="All",C1896=sel_Region),OR(sel_Country="All",D1896=sel_Country),OR(sel_Channel="All",E1896=sel_Channel),OR(sel_Customer="All",F1896=sel_Customer),OR(sel_Category="All",G1896=sel_Category),AND(S1896&gt;=m_From,S1896&lt;=m_To)),1,0)</f>
        <v/>
      </c>
      <c r="AA1896" s="36">
        <f>IF(AND(OR(sel_Region="All",C1896=sel_Region),OR(sel_Country="All",D1896=sel_Country),OR(sel_Channel="All",E1896=sel_Channel),OR(sel_Customer="All",F1896=sel_Customer),OR(sel_Category="All",G1896=sel_Category),OR(sel_Product="All",H1896=sel_Product)),1,0)</f>
        <v/>
      </c>
    </row>
    <row r="1897">
      <c r="A1897" s="36" t="inlineStr">
        <is>
          <t>00753</t>
        </is>
      </c>
      <c r="B1897" s="44" t="n">
        <v>46279</v>
      </c>
      <c r="C1897" s="36" t="inlineStr">
        <is>
          <t>Western Europe</t>
        </is>
      </c>
      <c r="D1897" s="36" t="inlineStr">
        <is>
          <t>Belgium</t>
        </is>
      </c>
      <c r="E1897" s="36" t="inlineStr">
        <is>
          <t>Retail Partners</t>
        </is>
      </c>
      <c r="F1897" s="36" t="inlineStr">
        <is>
          <t>Returning</t>
        </is>
      </c>
      <c r="G1897" s="36" t="inlineStr">
        <is>
          <t>Travel</t>
        </is>
      </c>
      <c r="H1897" s="36" t="inlineStr">
        <is>
          <t>Packing Cube Set</t>
        </is>
      </c>
      <c r="I1897" s="36" t="n">
        <v>1</v>
      </c>
      <c r="J1897" s="39" t="n">
        <v>47.55</v>
      </c>
      <c r="K1897" s="45" t="n">
        <v>0.05</v>
      </c>
      <c r="L1897" s="39" t="n">
        <v>18.35</v>
      </c>
      <c r="M1897" s="39">
        <f>I1897*J1897*(1-K1897)</f>
        <v/>
      </c>
      <c r="N1897" s="39">
        <f>I1897*L1897</f>
        <v/>
      </c>
      <c r="O1897" s="39">
        <f>M1897-N1897</f>
        <v/>
      </c>
      <c r="P1897" s="38">
        <f>IF(M1897=0,0,O1897/M1897)</f>
        <v/>
      </c>
      <c r="Q1897" s="36">
        <f>YEAR(B1897)</f>
        <v/>
      </c>
      <c r="R1897" s="36">
        <f>"Q"&amp;ROUNDUP(MONTH(B1897)/3,0)</f>
        <v/>
      </c>
      <c r="S1897" s="36">
        <f>MONTH(B1897)</f>
        <v/>
      </c>
      <c r="T1897" s="36">
        <f>TEXT(B1897,"mmm")</f>
        <v/>
      </c>
      <c r="U1897" s="36">
        <f>IF(AND(OR(sel_Region="All",C1897=sel_Region),OR(sel_Country="All",D1897=sel_Country),OR(sel_Channel="All",E1897=sel_Channel),OR(sel_Customer="All",F1897=sel_Customer),OR(sel_Category="All",G1897=sel_Category),OR(sel_Product="All",H1897=sel_Product),AND(S1897&gt;=m_From,S1897&lt;=m_To)),1,0)</f>
        <v/>
      </c>
      <c r="V1897" s="36">
        <f>IF(AND(OR(sel_Region="All",C1897=sel_Region),OR(sel_Channel="All",E1897=sel_Channel),OR(sel_Customer="All",F1897=sel_Customer),OR(sel_Category="All",G1897=sel_Category),OR(sel_Product="All",H1897=sel_Product),AND(S1897&gt;=m_From,S1897&lt;=m_To)),1,0)</f>
        <v/>
      </c>
      <c r="W1897" s="36">
        <f>IF(AND(OR(sel_Region="All",C1897=sel_Region),OR(sel_Country="All",D1897=sel_Country),OR(sel_Customer="All",F1897=sel_Customer),OR(sel_Category="All",G1897=sel_Category),OR(sel_Product="All",H1897=sel_Product),AND(S1897&gt;=m_From,S1897&lt;=m_To)),1,0)</f>
        <v/>
      </c>
      <c r="X1897" s="36">
        <f>IF(AND(OR(sel_Region="All",C1897=sel_Region),OR(sel_Country="All",D1897=sel_Country),OR(sel_Channel="All",E1897=sel_Channel),OR(sel_Category="All",G1897=sel_Category),OR(sel_Product="All",H1897=sel_Product),AND(S1897&gt;=m_From,S1897&lt;=m_To)),1,0)</f>
        <v/>
      </c>
      <c r="Y1897" s="36">
        <f>IF(AND(OR(sel_Region="All",C1897=sel_Region),OR(sel_Country="All",D1897=sel_Country),OR(sel_Channel="All",E1897=sel_Channel),OR(sel_Customer="All",F1897=sel_Customer),OR(sel_Product="All",H1897=sel_Product),AND(S1897&gt;=m_From,S1897&lt;=m_To)),1,0)</f>
        <v/>
      </c>
      <c r="Z1897" s="36">
        <f>IF(AND(OR(sel_Region="All",C1897=sel_Region),OR(sel_Country="All",D1897=sel_Country),OR(sel_Channel="All",E1897=sel_Channel),OR(sel_Customer="All",F1897=sel_Customer),OR(sel_Category="All",G1897=sel_Category),AND(S1897&gt;=m_From,S1897&lt;=m_To)),1,0)</f>
        <v/>
      </c>
      <c r="AA1897" s="36">
        <f>IF(AND(OR(sel_Region="All",C1897=sel_Region),OR(sel_Country="All",D1897=sel_Country),OR(sel_Channel="All",E1897=sel_Channel),OR(sel_Customer="All",F1897=sel_Customer),OR(sel_Category="All",G1897=sel_Category),OR(sel_Product="All",H1897=sel_Product)),1,0)</f>
        <v/>
      </c>
    </row>
    <row r="1898">
      <c r="A1898" s="36" t="inlineStr">
        <is>
          <t>02530</t>
        </is>
      </c>
      <c r="B1898" s="44" t="n">
        <v>46279</v>
      </c>
      <c r="C1898" s="36" t="inlineStr">
        <is>
          <t>Western Europe</t>
        </is>
      </c>
      <c r="D1898" s="36" t="inlineStr">
        <is>
          <t>Netherlands</t>
        </is>
      </c>
      <c r="E1898" s="36" t="inlineStr">
        <is>
          <t>Online Store</t>
        </is>
      </c>
      <c r="F1898" s="36" t="inlineStr">
        <is>
          <t>New</t>
        </is>
      </c>
      <c r="G1898" s="36" t="inlineStr">
        <is>
          <t>Travel</t>
        </is>
      </c>
      <c r="H1898" s="36" t="inlineStr">
        <is>
          <t>Packing Cube Set</t>
        </is>
      </c>
      <c r="I1898" s="36" t="n">
        <v>6</v>
      </c>
      <c r="J1898" s="39" t="n">
        <v>46.16</v>
      </c>
      <c r="K1898" s="45" t="n">
        <v>0.1</v>
      </c>
      <c r="L1898" s="39" t="n">
        <v>18.39</v>
      </c>
      <c r="M1898" s="39">
        <f>I1898*J1898*(1-K1898)</f>
        <v/>
      </c>
      <c r="N1898" s="39">
        <f>I1898*L1898</f>
        <v/>
      </c>
      <c r="O1898" s="39">
        <f>M1898-N1898</f>
        <v/>
      </c>
      <c r="P1898" s="38">
        <f>IF(M1898=0,0,O1898/M1898)</f>
        <v/>
      </c>
      <c r="Q1898" s="36">
        <f>YEAR(B1898)</f>
        <v/>
      </c>
      <c r="R1898" s="36">
        <f>"Q"&amp;ROUNDUP(MONTH(B1898)/3,0)</f>
        <v/>
      </c>
      <c r="S1898" s="36">
        <f>MONTH(B1898)</f>
        <v/>
      </c>
      <c r="T1898" s="36">
        <f>TEXT(B1898,"mmm")</f>
        <v/>
      </c>
      <c r="U1898" s="36">
        <f>IF(AND(OR(sel_Region="All",C1898=sel_Region),OR(sel_Country="All",D1898=sel_Country),OR(sel_Channel="All",E1898=sel_Channel),OR(sel_Customer="All",F1898=sel_Customer),OR(sel_Category="All",G1898=sel_Category),OR(sel_Product="All",H1898=sel_Product),AND(S1898&gt;=m_From,S1898&lt;=m_To)),1,0)</f>
        <v/>
      </c>
      <c r="V1898" s="36">
        <f>IF(AND(OR(sel_Region="All",C1898=sel_Region),OR(sel_Channel="All",E1898=sel_Channel),OR(sel_Customer="All",F1898=sel_Customer),OR(sel_Category="All",G1898=sel_Category),OR(sel_Product="All",H1898=sel_Product),AND(S1898&gt;=m_From,S1898&lt;=m_To)),1,0)</f>
        <v/>
      </c>
      <c r="W1898" s="36">
        <f>IF(AND(OR(sel_Region="All",C1898=sel_Region),OR(sel_Country="All",D1898=sel_Country),OR(sel_Customer="All",F1898=sel_Customer),OR(sel_Category="All",G1898=sel_Category),OR(sel_Product="All",H1898=sel_Product),AND(S1898&gt;=m_From,S1898&lt;=m_To)),1,0)</f>
        <v/>
      </c>
      <c r="X1898" s="36">
        <f>IF(AND(OR(sel_Region="All",C1898=sel_Region),OR(sel_Country="All",D1898=sel_Country),OR(sel_Channel="All",E1898=sel_Channel),OR(sel_Category="All",G1898=sel_Category),OR(sel_Product="All",H1898=sel_Product),AND(S1898&gt;=m_From,S1898&lt;=m_To)),1,0)</f>
        <v/>
      </c>
      <c r="Y1898" s="36">
        <f>IF(AND(OR(sel_Region="All",C1898=sel_Region),OR(sel_Country="All",D1898=sel_Country),OR(sel_Channel="All",E1898=sel_Channel),OR(sel_Customer="All",F1898=sel_Customer),OR(sel_Product="All",H1898=sel_Product),AND(S1898&gt;=m_From,S1898&lt;=m_To)),1,0)</f>
        <v/>
      </c>
      <c r="Z1898" s="36">
        <f>IF(AND(OR(sel_Region="All",C1898=sel_Region),OR(sel_Country="All",D1898=sel_Country),OR(sel_Channel="All",E1898=sel_Channel),OR(sel_Customer="All",F1898=sel_Customer),OR(sel_Category="All",G1898=sel_Category),AND(S1898&gt;=m_From,S1898&lt;=m_To)),1,0)</f>
        <v/>
      </c>
      <c r="AA1898" s="36">
        <f>IF(AND(OR(sel_Region="All",C1898=sel_Region),OR(sel_Country="All",D1898=sel_Country),OR(sel_Channel="All",E1898=sel_Channel),OR(sel_Customer="All",F1898=sel_Customer),OR(sel_Category="All",G1898=sel_Category),OR(sel_Product="All",H1898=sel_Product)),1,0)</f>
        <v/>
      </c>
    </row>
    <row r="1899">
      <c r="A1899" s="36" t="inlineStr">
        <is>
          <t>00572</t>
        </is>
      </c>
      <c r="B1899" s="44" t="n">
        <v>46280</v>
      </c>
      <c r="C1899" s="36" t="inlineStr">
        <is>
          <t>Southern Europe</t>
        </is>
      </c>
      <c r="D1899" s="36" t="inlineStr">
        <is>
          <t>Italy</t>
        </is>
      </c>
      <c r="E1899" s="36" t="inlineStr">
        <is>
          <t>Retail Partners</t>
        </is>
      </c>
      <c r="F1899" s="36" t="inlineStr">
        <is>
          <t>Returning</t>
        </is>
      </c>
      <c r="G1899" s="36" t="inlineStr">
        <is>
          <t>Travel</t>
        </is>
      </c>
      <c r="H1899" s="36" t="inlineStr">
        <is>
          <t>Carry-On Duffel</t>
        </is>
      </c>
      <c r="I1899" s="36" t="n">
        <v>2</v>
      </c>
      <c r="J1899" s="39" t="n">
        <v>135.79</v>
      </c>
      <c r="K1899" s="45" t="n">
        <v>0.05</v>
      </c>
      <c r="L1899" s="39" t="n">
        <v>66.53</v>
      </c>
      <c r="M1899" s="39">
        <f>I1899*J1899*(1-K1899)</f>
        <v/>
      </c>
      <c r="N1899" s="39">
        <f>I1899*L1899</f>
        <v/>
      </c>
      <c r="O1899" s="39">
        <f>M1899-N1899</f>
        <v/>
      </c>
      <c r="P1899" s="38">
        <f>IF(M1899=0,0,O1899/M1899)</f>
        <v/>
      </c>
      <c r="Q1899" s="36">
        <f>YEAR(B1899)</f>
        <v/>
      </c>
      <c r="R1899" s="36">
        <f>"Q"&amp;ROUNDUP(MONTH(B1899)/3,0)</f>
        <v/>
      </c>
      <c r="S1899" s="36">
        <f>MONTH(B1899)</f>
        <v/>
      </c>
      <c r="T1899" s="36">
        <f>TEXT(B1899,"mmm")</f>
        <v/>
      </c>
      <c r="U1899" s="36">
        <f>IF(AND(OR(sel_Region="All",C1899=sel_Region),OR(sel_Country="All",D1899=sel_Country),OR(sel_Channel="All",E1899=sel_Channel),OR(sel_Customer="All",F1899=sel_Customer),OR(sel_Category="All",G1899=sel_Category),OR(sel_Product="All",H1899=sel_Product),AND(S1899&gt;=m_From,S1899&lt;=m_To)),1,0)</f>
        <v/>
      </c>
      <c r="V1899" s="36">
        <f>IF(AND(OR(sel_Region="All",C1899=sel_Region),OR(sel_Channel="All",E1899=sel_Channel),OR(sel_Customer="All",F1899=sel_Customer),OR(sel_Category="All",G1899=sel_Category),OR(sel_Product="All",H1899=sel_Product),AND(S1899&gt;=m_From,S1899&lt;=m_To)),1,0)</f>
        <v/>
      </c>
      <c r="W1899" s="36">
        <f>IF(AND(OR(sel_Region="All",C1899=sel_Region),OR(sel_Country="All",D1899=sel_Country),OR(sel_Customer="All",F1899=sel_Customer),OR(sel_Category="All",G1899=sel_Category),OR(sel_Product="All",H1899=sel_Product),AND(S1899&gt;=m_From,S1899&lt;=m_To)),1,0)</f>
        <v/>
      </c>
      <c r="X1899" s="36">
        <f>IF(AND(OR(sel_Region="All",C1899=sel_Region),OR(sel_Country="All",D1899=sel_Country),OR(sel_Channel="All",E1899=sel_Channel),OR(sel_Category="All",G1899=sel_Category),OR(sel_Product="All",H1899=sel_Product),AND(S1899&gt;=m_From,S1899&lt;=m_To)),1,0)</f>
        <v/>
      </c>
      <c r="Y1899" s="36">
        <f>IF(AND(OR(sel_Region="All",C1899=sel_Region),OR(sel_Country="All",D1899=sel_Country),OR(sel_Channel="All",E1899=sel_Channel),OR(sel_Customer="All",F1899=sel_Customer),OR(sel_Product="All",H1899=sel_Product),AND(S1899&gt;=m_From,S1899&lt;=m_To)),1,0)</f>
        <v/>
      </c>
      <c r="Z1899" s="36">
        <f>IF(AND(OR(sel_Region="All",C1899=sel_Region),OR(sel_Country="All",D1899=sel_Country),OR(sel_Channel="All",E1899=sel_Channel),OR(sel_Customer="All",F1899=sel_Customer),OR(sel_Category="All",G1899=sel_Category),AND(S1899&gt;=m_From,S1899&lt;=m_To)),1,0)</f>
        <v/>
      </c>
      <c r="AA1899" s="36">
        <f>IF(AND(OR(sel_Region="All",C1899=sel_Region),OR(sel_Country="All",D1899=sel_Country),OR(sel_Channel="All",E1899=sel_Channel),OR(sel_Customer="All",F1899=sel_Customer),OR(sel_Category="All",G1899=sel_Category),OR(sel_Product="All",H1899=sel_Product)),1,0)</f>
        <v/>
      </c>
    </row>
    <row r="1900">
      <c r="A1900" s="36" t="inlineStr">
        <is>
          <t>00874</t>
        </is>
      </c>
      <c r="B1900" s="44" t="n">
        <v>46280</v>
      </c>
      <c r="C1900" s="36" t="inlineStr">
        <is>
          <t>Southern Europe</t>
        </is>
      </c>
      <c r="D1900" s="36" t="inlineStr">
        <is>
          <t>Italy</t>
        </is>
      </c>
      <c r="E1900" s="36" t="inlineStr">
        <is>
          <t>Online Store</t>
        </is>
      </c>
      <c r="F1900" s="36" t="inlineStr">
        <is>
          <t>Returning</t>
        </is>
      </c>
      <c r="G1900" s="36" t="inlineStr">
        <is>
          <t>Hiking</t>
        </is>
      </c>
      <c r="H1900" s="36" t="inlineStr">
        <is>
          <t>Trail Boots</t>
        </is>
      </c>
      <c r="I1900" s="36" t="n">
        <v>2</v>
      </c>
      <c r="J1900" s="39" t="n">
        <v>141.92</v>
      </c>
      <c r="K1900" s="45" t="n">
        <v>0</v>
      </c>
      <c r="L1900" s="39" t="n">
        <v>79.90000000000001</v>
      </c>
      <c r="M1900" s="39">
        <f>I1900*J1900*(1-K1900)</f>
        <v/>
      </c>
      <c r="N1900" s="39">
        <f>I1900*L1900</f>
        <v/>
      </c>
      <c r="O1900" s="39">
        <f>M1900-N1900</f>
        <v/>
      </c>
      <c r="P1900" s="38">
        <f>IF(M1900=0,0,O1900/M1900)</f>
        <v/>
      </c>
      <c r="Q1900" s="36">
        <f>YEAR(B1900)</f>
        <v/>
      </c>
      <c r="R1900" s="36">
        <f>"Q"&amp;ROUNDUP(MONTH(B1900)/3,0)</f>
        <v/>
      </c>
      <c r="S1900" s="36">
        <f>MONTH(B1900)</f>
        <v/>
      </c>
      <c r="T1900" s="36">
        <f>TEXT(B1900,"mmm")</f>
        <v/>
      </c>
      <c r="U1900" s="36">
        <f>IF(AND(OR(sel_Region="All",C1900=sel_Region),OR(sel_Country="All",D1900=sel_Country),OR(sel_Channel="All",E1900=sel_Channel),OR(sel_Customer="All",F1900=sel_Customer),OR(sel_Category="All",G1900=sel_Category),OR(sel_Product="All",H1900=sel_Product),AND(S1900&gt;=m_From,S1900&lt;=m_To)),1,0)</f>
        <v/>
      </c>
      <c r="V1900" s="36">
        <f>IF(AND(OR(sel_Region="All",C1900=sel_Region),OR(sel_Channel="All",E1900=sel_Channel),OR(sel_Customer="All",F1900=sel_Customer),OR(sel_Category="All",G1900=sel_Category),OR(sel_Product="All",H1900=sel_Product),AND(S1900&gt;=m_From,S1900&lt;=m_To)),1,0)</f>
        <v/>
      </c>
      <c r="W1900" s="36">
        <f>IF(AND(OR(sel_Region="All",C1900=sel_Region),OR(sel_Country="All",D1900=sel_Country),OR(sel_Customer="All",F1900=sel_Customer),OR(sel_Category="All",G1900=sel_Category),OR(sel_Product="All",H1900=sel_Product),AND(S1900&gt;=m_From,S1900&lt;=m_To)),1,0)</f>
        <v/>
      </c>
      <c r="X1900" s="36">
        <f>IF(AND(OR(sel_Region="All",C1900=sel_Region),OR(sel_Country="All",D1900=sel_Country),OR(sel_Channel="All",E1900=sel_Channel),OR(sel_Category="All",G1900=sel_Category),OR(sel_Product="All",H1900=sel_Product),AND(S1900&gt;=m_From,S1900&lt;=m_To)),1,0)</f>
        <v/>
      </c>
      <c r="Y1900" s="36">
        <f>IF(AND(OR(sel_Region="All",C1900=sel_Region),OR(sel_Country="All",D1900=sel_Country),OR(sel_Channel="All",E1900=sel_Channel),OR(sel_Customer="All",F1900=sel_Customer),OR(sel_Product="All",H1900=sel_Product),AND(S1900&gt;=m_From,S1900&lt;=m_To)),1,0)</f>
        <v/>
      </c>
      <c r="Z1900" s="36">
        <f>IF(AND(OR(sel_Region="All",C1900=sel_Region),OR(sel_Country="All",D1900=sel_Country),OR(sel_Channel="All",E1900=sel_Channel),OR(sel_Customer="All",F1900=sel_Customer),OR(sel_Category="All",G1900=sel_Category),AND(S1900&gt;=m_From,S1900&lt;=m_To)),1,0)</f>
        <v/>
      </c>
      <c r="AA1900" s="36">
        <f>IF(AND(OR(sel_Region="All",C1900=sel_Region),OR(sel_Country="All",D1900=sel_Country),OR(sel_Channel="All",E1900=sel_Channel),OR(sel_Customer="All",F1900=sel_Customer),OR(sel_Category="All",G1900=sel_Category),OR(sel_Product="All",H1900=sel_Product)),1,0)</f>
        <v/>
      </c>
    </row>
    <row r="1901">
      <c r="A1901" s="36" t="inlineStr">
        <is>
          <t>00937</t>
        </is>
      </c>
      <c r="B1901" s="44" t="n">
        <v>46280</v>
      </c>
      <c r="C1901" s="36" t="inlineStr">
        <is>
          <t>Western Europe</t>
        </is>
      </c>
      <c r="D1901" s="36" t="inlineStr">
        <is>
          <t>Belgium</t>
        </is>
      </c>
      <c r="E1901" s="36" t="inlineStr">
        <is>
          <t>Marketplace</t>
        </is>
      </c>
      <c r="F1901" s="36" t="inlineStr">
        <is>
          <t>Business</t>
        </is>
      </c>
      <c r="G1901" s="36" t="inlineStr">
        <is>
          <t>Hiking</t>
        </is>
      </c>
      <c r="H1901" s="36" t="inlineStr">
        <is>
          <t>Trail Boots</t>
        </is>
      </c>
      <c r="I1901" s="36" t="n">
        <v>1</v>
      </c>
      <c r="J1901" s="39" t="n">
        <v>146.41</v>
      </c>
      <c r="K1901" s="45" t="n">
        <v>0.15</v>
      </c>
      <c r="L1901" s="39" t="n">
        <v>80.87</v>
      </c>
      <c r="M1901" s="39">
        <f>I1901*J1901*(1-K1901)</f>
        <v/>
      </c>
      <c r="N1901" s="39">
        <f>I1901*L1901</f>
        <v/>
      </c>
      <c r="O1901" s="39">
        <f>M1901-N1901</f>
        <v/>
      </c>
      <c r="P1901" s="38">
        <f>IF(M1901=0,0,O1901/M1901)</f>
        <v/>
      </c>
      <c r="Q1901" s="36">
        <f>YEAR(B1901)</f>
        <v/>
      </c>
      <c r="R1901" s="36">
        <f>"Q"&amp;ROUNDUP(MONTH(B1901)/3,0)</f>
        <v/>
      </c>
      <c r="S1901" s="36">
        <f>MONTH(B1901)</f>
        <v/>
      </c>
      <c r="T1901" s="36">
        <f>TEXT(B1901,"mmm")</f>
        <v/>
      </c>
      <c r="U1901" s="36">
        <f>IF(AND(OR(sel_Region="All",C1901=sel_Region),OR(sel_Country="All",D1901=sel_Country),OR(sel_Channel="All",E1901=sel_Channel),OR(sel_Customer="All",F1901=sel_Customer),OR(sel_Category="All",G1901=sel_Category),OR(sel_Product="All",H1901=sel_Product),AND(S1901&gt;=m_From,S1901&lt;=m_To)),1,0)</f>
        <v/>
      </c>
      <c r="V1901" s="36">
        <f>IF(AND(OR(sel_Region="All",C1901=sel_Region),OR(sel_Channel="All",E1901=sel_Channel),OR(sel_Customer="All",F1901=sel_Customer),OR(sel_Category="All",G1901=sel_Category),OR(sel_Product="All",H1901=sel_Product),AND(S1901&gt;=m_From,S1901&lt;=m_To)),1,0)</f>
        <v/>
      </c>
      <c r="W1901" s="36">
        <f>IF(AND(OR(sel_Region="All",C1901=sel_Region),OR(sel_Country="All",D1901=sel_Country),OR(sel_Customer="All",F1901=sel_Customer),OR(sel_Category="All",G1901=sel_Category),OR(sel_Product="All",H1901=sel_Product),AND(S1901&gt;=m_From,S1901&lt;=m_To)),1,0)</f>
        <v/>
      </c>
      <c r="X1901" s="36">
        <f>IF(AND(OR(sel_Region="All",C1901=sel_Region),OR(sel_Country="All",D1901=sel_Country),OR(sel_Channel="All",E1901=sel_Channel),OR(sel_Category="All",G1901=sel_Category),OR(sel_Product="All",H1901=sel_Product),AND(S1901&gt;=m_From,S1901&lt;=m_To)),1,0)</f>
        <v/>
      </c>
      <c r="Y1901" s="36">
        <f>IF(AND(OR(sel_Region="All",C1901=sel_Region),OR(sel_Country="All",D1901=sel_Country),OR(sel_Channel="All",E1901=sel_Channel),OR(sel_Customer="All",F1901=sel_Customer),OR(sel_Product="All",H1901=sel_Product),AND(S1901&gt;=m_From,S1901&lt;=m_To)),1,0)</f>
        <v/>
      </c>
      <c r="Z1901" s="36">
        <f>IF(AND(OR(sel_Region="All",C1901=sel_Region),OR(sel_Country="All",D1901=sel_Country),OR(sel_Channel="All",E1901=sel_Channel),OR(sel_Customer="All",F1901=sel_Customer),OR(sel_Category="All",G1901=sel_Category),AND(S1901&gt;=m_From,S1901&lt;=m_To)),1,0)</f>
        <v/>
      </c>
      <c r="AA1901" s="36">
        <f>IF(AND(OR(sel_Region="All",C1901=sel_Region),OR(sel_Country="All",D1901=sel_Country),OR(sel_Channel="All",E1901=sel_Channel),OR(sel_Customer="All",F1901=sel_Customer),OR(sel_Category="All",G1901=sel_Category),OR(sel_Product="All",H1901=sel_Product)),1,0)</f>
        <v/>
      </c>
    </row>
    <row r="1902">
      <c r="A1902" s="36" t="inlineStr">
        <is>
          <t>01229</t>
        </is>
      </c>
      <c r="B1902" s="44" t="n">
        <v>46280</v>
      </c>
      <c r="C1902" s="36" t="inlineStr">
        <is>
          <t>Central Europe</t>
        </is>
      </c>
      <c r="D1902" s="36" t="inlineStr">
        <is>
          <t>Czechia</t>
        </is>
      </c>
      <c r="E1902" s="36" t="inlineStr">
        <is>
          <t>Marketplace</t>
        </is>
      </c>
      <c r="F1902" s="36" t="inlineStr">
        <is>
          <t>New</t>
        </is>
      </c>
      <c r="G1902" s="36" t="inlineStr">
        <is>
          <t>Cycling</t>
        </is>
      </c>
      <c r="H1902" s="36" t="inlineStr">
        <is>
          <t>Compact Repair Kit</t>
        </is>
      </c>
      <c r="I1902" s="36" t="n">
        <v>5</v>
      </c>
      <c r="J1902" s="39" t="n">
        <v>40.17</v>
      </c>
      <c r="K1902" s="45" t="n">
        <v>0</v>
      </c>
      <c r="L1902" s="39" t="n">
        <v>16.27</v>
      </c>
      <c r="M1902" s="39">
        <f>I1902*J1902*(1-K1902)</f>
        <v/>
      </c>
      <c r="N1902" s="39">
        <f>I1902*L1902</f>
        <v/>
      </c>
      <c r="O1902" s="39">
        <f>M1902-N1902</f>
        <v/>
      </c>
      <c r="P1902" s="38">
        <f>IF(M1902=0,0,O1902/M1902)</f>
        <v/>
      </c>
      <c r="Q1902" s="36">
        <f>YEAR(B1902)</f>
        <v/>
      </c>
      <c r="R1902" s="36">
        <f>"Q"&amp;ROUNDUP(MONTH(B1902)/3,0)</f>
        <v/>
      </c>
      <c r="S1902" s="36">
        <f>MONTH(B1902)</f>
        <v/>
      </c>
      <c r="T1902" s="36">
        <f>TEXT(B1902,"mmm")</f>
        <v/>
      </c>
      <c r="U1902" s="36">
        <f>IF(AND(OR(sel_Region="All",C1902=sel_Region),OR(sel_Country="All",D1902=sel_Country),OR(sel_Channel="All",E1902=sel_Channel),OR(sel_Customer="All",F1902=sel_Customer),OR(sel_Category="All",G1902=sel_Category),OR(sel_Product="All",H1902=sel_Product),AND(S1902&gt;=m_From,S1902&lt;=m_To)),1,0)</f>
        <v/>
      </c>
      <c r="V1902" s="36">
        <f>IF(AND(OR(sel_Region="All",C1902=sel_Region),OR(sel_Channel="All",E1902=sel_Channel),OR(sel_Customer="All",F1902=sel_Customer),OR(sel_Category="All",G1902=sel_Category),OR(sel_Product="All",H1902=sel_Product),AND(S1902&gt;=m_From,S1902&lt;=m_To)),1,0)</f>
        <v/>
      </c>
      <c r="W1902" s="36">
        <f>IF(AND(OR(sel_Region="All",C1902=sel_Region),OR(sel_Country="All",D1902=sel_Country),OR(sel_Customer="All",F1902=sel_Customer),OR(sel_Category="All",G1902=sel_Category),OR(sel_Product="All",H1902=sel_Product),AND(S1902&gt;=m_From,S1902&lt;=m_To)),1,0)</f>
        <v/>
      </c>
      <c r="X1902" s="36">
        <f>IF(AND(OR(sel_Region="All",C1902=sel_Region),OR(sel_Country="All",D1902=sel_Country),OR(sel_Channel="All",E1902=sel_Channel),OR(sel_Category="All",G1902=sel_Category),OR(sel_Product="All",H1902=sel_Product),AND(S1902&gt;=m_From,S1902&lt;=m_To)),1,0)</f>
        <v/>
      </c>
      <c r="Y1902" s="36">
        <f>IF(AND(OR(sel_Region="All",C1902=sel_Region),OR(sel_Country="All",D1902=sel_Country),OR(sel_Channel="All",E1902=sel_Channel),OR(sel_Customer="All",F1902=sel_Customer),OR(sel_Product="All",H1902=sel_Product),AND(S1902&gt;=m_From,S1902&lt;=m_To)),1,0)</f>
        <v/>
      </c>
      <c r="Z1902" s="36">
        <f>IF(AND(OR(sel_Region="All",C1902=sel_Region),OR(sel_Country="All",D1902=sel_Country),OR(sel_Channel="All",E1902=sel_Channel),OR(sel_Customer="All",F1902=sel_Customer),OR(sel_Category="All",G1902=sel_Category),AND(S1902&gt;=m_From,S1902&lt;=m_To)),1,0)</f>
        <v/>
      </c>
      <c r="AA1902" s="36">
        <f>IF(AND(OR(sel_Region="All",C1902=sel_Region),OR(sel_Country="All",D1902=sel_Country),OR(sel_Channel="All",E1902=sel_Channel),OR(sel_Customer="All",F1902=sel_Customer),OR(sel_Category="All",G1902=sel_Category),OR(sel_Product="All",H1902=sel_Product)),1,0)</f>
        <v/>
      </c>
    </row>
    <row r="1903">
      <c r="A1903" s="36" t="inlineStr">
        <is>
          <t>02186</t>
        </is>
      </c>
      <c r="B1903" s="44" t="n">
        <v>46280</v>
      </c>
      <c r="C1903" s="36" t="inlineStr">
        <is>
          <t>Northern Europe</t>
        </is>
      </c>
      <c r="D1903" s="36" t="inlineStr">
        <is>
          <t>Sweden</t>
        </is>
      </c>
      <c r="E1903" s="36" t="inlineStr">
        <is>
          <t>Online Store</t>
        </is>
      </c>
      <c r="F1903" s="36" t="inlineStr">
        <is>
          <t>Returning</t>
        </is>
      </c>
      <c r="G1903" s="36" t="inlineStr">
        <is>
          <t>Hiking</t>
        </is>
      </c>
      <c r="H1903" s="36" t="inlineStr">
        <is>
          <t>Hiking Daypack 20L</t>
        </is>
      </c>
      <c r="I1903" s="36" t="n">
        <v>2</v>
      </c>
      <c r="J1903" s="39" t="n">
        <v>91.59999999999999</v>
      </c>
      <c r="K1903" s="45" t="n">
        <v>0</v>
      </c>
      <c r="L1903" s="39" t="n">
        <v>46.54</v>
      </c>
      <c r="M1903" s="39">
        <f>I1903*J1903*(1-K1903)</f>
        <v/>
      </c>
      <c r="N1903" s="39">
        <f>I1903*L1903</f>
        <v/>
      </c>
      <c r="O1903" s="39">
        <f>M1903-N1903</f>
        <v/>
      </c>
      <c r="P1903" s="38">
        <f>IF(M1903=0,0,O1903/M1903)</f>
        <v/>
      </c>
      <c r="Q1903" s="36">
        <f>YEAR(B1903)</f>
        <v/>
      </c>
      <c r="R1903" s="36">
        <f>"Q"&amp;ROUNDUP(MONTH(B1903)/3,0)</f>
        <v/>
      </c>
      <c r="S1903" s="36">
        <f>MONTH(B1903)</f>
        <v/>
      </c>
      <c r="T1903" s="36">
        <f>TEXT(B1903,"mmm")</f>
        <v/>
      </c>
      <c r="U1903" s="36">
        <f>IF(AND(OR(sel_Region="All",C1903=sel_Region),OR(sel_Country="All",D1903=sel_Country),OR(sel_Channel="All",E1903=sel_Channel),OR(sel_Customer="All",F1903=sel_Customer),OR(sel_Category="All",G1903=sel_Category),OR(sel_Product="All",H1903=sel_Product),AND(S1903&gt;=m_From,S1903&lt;=m_To)),1,0)</f>
        <v/>
      </c>
      <c r="V1903" s="36">
        <f>IF(AND(OR(sel_Region="All",C1903=sel_Region),OR(sel_Channel="All",E1903=sel_Channel),OR(sel_Customer="All",F1903=sel_Customer),OR(sel_Category="All",G1903=sel_Category),OR(sel_Product="All",H1903=sel_Product),AND(S1903&gt;=m_From,S1903&lt;=m_To)),1,0)</f>
        <v/>
      </c>
      <c r="W1903" s="36">
        <f>IF(AND(OR(sel_Region="All",C1903=sel_Region),OR(sel_Country="All",D1903=sel_Country),OR(sel_Customer="All",F1903=sel_Customer),OR(sel_Category="All",G1903=sel_Category),OR(sel_Product="All",H1903=sel_Product),AND(S1903&gt;=m_From,S1903&lt;=m_To)),1,0)</f>
        <v/>
      </c>
      <c r="X1903" s="36">
        <f>IF(AND(OR(sel_Region="All",C1903=sel_Region),OR(sel_Country="All",D1903=sel_Country),OR(sel_Channel="All",E1903=sel_Channel),OR(sel_Category="All",G1903=sel_Category),OR(sel_Product="All",H1903=sel_Product),AND(S1903&gt;=m_From,S1903&lt;=m_To)),1,0)</f>
        <v/>
      </c>
      <c r="Y1903" s="36">
        <f>IF(AND(OR(sel_Region="All",C1903=sel_Region),OR(sel_Country="All",D1903=sel_Country),OR(sel_Channel="All",E1903=sel_Channel),OR(sel_Customer="All",F1903=sel_Customer),OR(sel_Product="All",H1903=sel_Product),AND(S1903&gt;=m_From,S1903&lt;=m_To)),1,0)</f>
        <v/>
      </c>
      <c r="Z1903" s="36">
        <f>IF(AND(OR(sel_Region="All",C1903=sel_Region),OR(sel_Country="All",D1903=sel_Country),OR(sel_Channel="All",E1903=sel_Channel),OR(sel_Customer="All",F1903=sel_Customer),OR(sel_Category="All",G1903=sel_Category),AND(S1903&gt;=m_From,S1903&lt;=m_To)),1,0)</f>
        <v/>
      </c>
      <c r="AA1903" s="36">
        <f>IF(AND(OR(sel_Region="All",C1903=sel_Region),OR(sel_Country="All",D1903=sel_Country),OR(sel_Channel="All",E1903=sel_Channel),OR(sel_Customer="All",F1903=sel_Customer),OR(sel_Category="All",G1903=sel_Category),OR(sel_Product="All",H1903=sel_Product)),1,0)</f>
        <v/>
      </c>
    </row>
    <row r="1904">
      <c r="A1904" s="36" t="inlineStr">
        <is>
          <t>02922</t>
        </is>
      </c>
      <c r="B1904" s="44" t="n">
        <v>46280</v>
      </c>
      <c r="C1904" s="36" t="inlineStr">
        <is>
          <t>Northern Europe</t>
        </is>
      </c>
      <c r="D1904" s="36" t="inlineStr">
        <is>
          <t>Sweden</t>
        </is>
      </c>
      <c r="E1904" s="36" t="inlineStr">
        <is>
          <t>Online Store</t>
        </is>
      </c>
      <c r="F1904" s="36" t="inlineStr">
        <is>
          <t>New</t>
        </is>
      </c>
      <c r="G1904" s="36" t="inlineStr">
        <is>
          <t>Fitness</t>
        </is>
      </c>
      <c r="H1904" s="36" t="inlineStr">
        <is>
          <t>Weighted Vest</t>
        </is>
      </c>
      <c r="I1904" s="36" t="n">
        <v>4</v>
      </c>
      <c r="J1904" s="39" t="n">
        <v>121.47</v>
      </c>
      <c r="K1904" s="45" t="n">
        <v>0.05</v>
      </c>
      <c r="L1904" s="39" t="n">
        <v>67.65000000000001</v>
      </c>
      <c r="M1904" s="39">
        <f>I1904*J1904*(1-K1904)</f>
        <v/>
      </c>
      <c r="N1904" s="39">
        <f>I1904*L1904</f>
        <v/>
      </c>
      <c r="O1904" s="39">
        <f>M1904-N1904</f>
        <v/>
      </c>
      <c r="P1904" s="38">
        <f>IF(M1904=0,0,O1904/M1904)</f>
        <v/>
      </c>
      <c r="Q1904" s="36">
        <f>YEAR(B1904)</f>
        <v/>
      </c>
      <c r="R1904" s="36">
        <f>"Q"&amp;ROUNDUP(MONTH(B1904)/3,0)</f>
        <v/>
      </c>
      <c r="S1904" s="36">
        <f>MONTH(B1904)</f>
        <v/>
      </c>
      <c r="T1904" s="36">
        <f>TEXT(B1904,"mmm")</f>
        <v/>
      </c>
      <c r="U1904" s="36">
        <f>IF(AND(OR(sel_Region="All",C1904=sel_Region),OR(sel_Country="All",D1904=sel_Country),OR(sel_Channel="All",E1904=sel_Channel),OR(sel_Customer="All",F1904=sel_Customer),OR(sel_Category="All",G1904=sel_Category),OR(sel_Product="All",H1904=sel_Product),AND(S1904&gt;=m_From,S1904&lt;=m_To)),1,0)</f>
        <v/>
      </c>
      <c r="V1904" s="36">
        <f>IF(AND(OR(sel_Region="All",C1904=sel_Region),OR(sel_Channel="All",E1904=sel_Channel),OR(sel_Customer="All",F1904=sel_Customer),OR(sel_Category="All",G1904=sel_Category),OR(sel_Product="All",H1904=sel_Product),AND(S1904&gt;=m_From,S1904&lt;=m_To)),1,0)</f>
        <v/>
      </c>
      <c r="W1904" s="36">
        <f>IF(AND(OR(sel_Region="All",C1904=sel_Region),OR(sel_Country="All",D1904=sel_Country),OR(sel_Customer="All",F1904=sel_Customer),OR(sel_Category="All",G1904=sel_Category),OR(sel_Product="All",H1904=sel_Product),AND(S1904&gt;=m_From,S1904&lt;=m_To)),1,0)</f>
        <v/>
      </c>
      <c r="X1904" s="36">
        <f>IF(AND(OR(sel_Region="All",C1904=sel_Region),OR(sel_Country="All",D1904=sel_Country),OR(sel_Channel="All",E1904=sel_Channel),OR(sel_Category="All",G1904=sel_Category),OR(sel_Product="All",H1904=sel_Product),AND(S1904&gt;=m_From,S1904&lt;=m_To)),1,0)</f>
        <v/>
      </c>
      <c r="Y1904" s="36">
        <f>IF(AND(OR(sel_Region="All",C1904=sel_Region),OR(sel_Country="All",D1904=sel_Country),OR(sel_Channel="All",E1904=sel_Channel),OR(sel_Customer="All",F1904=sel_Customer),OR(sel_Product="All",H1904=sel_Product),AND(S1904&gt;=m_From,S1904&lt;=m_To)),1,0)</f>
        <v/>
      </c>
      <c r="Z1904" s="36">
        <f>IF(AND(OR(sel_Region="All",C1904=sel_Region),OR(sel_Country="All",D1904=sel_Country),OR(sel_Channel="All",E1904=sel_Channel),OR(sel_Customer="All",F1904=sel_Customer),OR(sel_Category="All",G1904=sel_Category),AND(S1904&gt;=m_From,S1904&lt;=m_To)),1,0)</f>
        <v/>
      </c>
      <c r="AA1904" s="36">
        <f>IF(AND(OR(sel_Region="All",C1904=sel_Region),OR(sel_Country="All",D1904=sel_Country),OR(sel_Channel="All",E1904=sel_Channel),OR(sel_Customer="All",F1904=sel_Customer),OR(sel_Category="All",G1904=sel_Category),OR(sel_Product="All",H1904=sel_Product)),1,0)</f>
        <v/>
      </c>
    </row>
    <row r="1905">
      <c r="A1905" s="36" t="inlineStr">
        <is>
          <t>03140</t>
        </is>
      </c>
      <c r="B1905" s="44" t="n">
        <v>46280</v>
      </c>
      <c r="C1905" s="36" t="inlineStr">
        <is>
          <t>Central Europe</t>
        </is>
      </c>
      <c r="D1905" s="36" t="inlineStr">
        <is>
          <t>Germany</t>
        </is>
      </c>
      <c r="E1905" s="36" t="inlineStr">
        <is>
          <t>Marketplace</t>
        </is>
      </c>
      <c r="F1905" s="36" t="inlineStr">
        <is>
          <t>New</t>
        </is>
      </c>
      <c r="G1905" s="36" t="inlineStr">
        <is>
          <t>Camping</t>
        </is>
      </c>
      <c r="H1905" s="36" t="inlineStr">
        <is>
          <t>Compact Sleeping Bag</t>
        </is>
      </c>
      <c r="I1905" s="36" t="n">
        <v>2</v>
      </c>
      <c r="J1905" s="39" t="n">
        <v>122.69</v>
      </c>
      <c r="K1905" s="45" t="n">
        <v>0</v>
      </c>
      <c r="L1905" s="39" t="n">
        <v>61.4</v>
      </c>
      <c r="M1905" s="39">
        <f>I1905*J1905*(1-K1905)</f>
        <v/>
      </c>
      <c r="N1905" s="39">
        <f>I1905*L1905</f>
        <v/>
      </c>
      <c r="O1905" s="39">
        <f>M1905-N1905</f>
        <v/>
      </c>
      <c r="P1905" s="38">
        <f>IF(M1905=0,0,O1905/M1905)</f>
        <v/>
      </c>
      <c r="Q1905" s="36">
        <f>YEAR(B1905)</f>
        <v/>
      </c>
      <c r="R1905" s="36">
        <f>"Q"&amp;ROUNDUP(MONTH(B1905)/3,0)</f>
        <v/>
      </c>
      <c r="S1905" s="36">
        <f>MONTH(B1905)</f>
        <v/>
      </c>
      <c r="T1905" s="36">
        <f>TEXT(B1905,"mmm")</f>
        <v/>
      </c>
      <c r="U1905" s="36">
        <f>IF(AND(OR(sel_Region="All",C1905=sel_Region),OR(sel_Country="All",D1905=sel_Country),OR(sel_Channel="All",E1905=sel_Channel),OR(sel_Customer="All",F1905=sel_Customer),OR(sel_Category="All",G1905=sel_Category),OR(sel_Product="All",H1905=sel_Product),AND(S1905&gt;=m_From,S1905&lt;=m_To)),1,0)</f>
        <v/>
      </c>
      <c r="V1905" s="36">
        <f>IF(AND(OR(sel_Region="All",C1905=sel_Region),OR(sel_Channel="All",E1905=sel_Channel),OR(sel_Customer="All",F1905=sel_Customer),OR(sel_Category="All",G1905=sel_Category),OR(sel_Product="All",H1905=sel_Product),AND(S1905&gt;=m_From,S1905&lt;=m_To)),1,0)</f>
        <v/>
      </c>
      <c r="W1905" s="36">
        <f>IF(AND(OR(sel_Region="All",C1905=sel_Region),OR(sel_Country="All",D1905=sel_Country),OR(sel_Customer="All",F1905=sel_Customer),OR(sel_Category="All",G1905=sel_Category),OR(sel_Product="All",H1905=sel_Product),AND(S1905&gt;=m_From,S1905&lt;=m_To)),1,0)</f>
        <v/>
      </c>
      <c r="X1905" s="36">
        <f>IF(AND(OR(sel_Region="All",C1905=sel_Region),OR(sel_Country="All",D1905=sel_Country),OR(sel_Channel="All",E1905=sel_Channel),OR(sel_Category="All",G1905=sel_Category),OR(sel_Product="All",H1905=sel_Product),AND(S1905&gt;=m_From,S1905&lt;=m_To)),1,0)</f>
        <v/>
      </c>
      <c r="Y1905" s="36">
        <f>IF(AND(OR(sel_Region="All",C1905=sel_Region),OR(sel_Country="All",D1905=sel_Country),OR(sel_Channel="All",E1905=sel_Channel),OR(sel_Customer="All",F1905=sel_Customer),OR(sel_Product="All",H1905=sel_Product),AND(S1905&gt;=m_From,S1905&lt;=m_To)),1,0)</f>
        <v/>
      </c>
      <c r="Z1905" s="36">
        <f>IF(AND(OR(sel_Region="All",C1905=sel_Region),OR(sel_Country="All",D1905=sel_Country),OR(sel_Channel="All",E1905=sel_Channel),OR(sel_Customer="All",F1905=sel_Customer),OR(sel_Category="All",G1905=sel_Category),AND(S1905&gt;=m_From,S1905&lt;=m_To)),1,0)</f>
        <v/>
      </c>
      <c r="AA1905" s="36">
        <f>IF(AND(OR(sel_Region="All",C1905=sel_Region),OR(sel_Country="All",D1905=sel_Country),OR(sel_Channel="All",E1905=sel_Channel),OR(sel_Customer="All",F1905=sel_Customer),OR(sel_Category="All",G1905=sel_Category),OR(sel_Product="All",H1905=sel_Product)),1,0)</f>
        <v/>
      </c>
    </row>
    <row r="1906">
      <c r="A1906" s="36" t="inlineStr">
        <is>
          <t>03369</t>
        </is>
      </c>
      <c r="B1906" s="44" t="n">
        <v>46280</v>
      </c>
      <c r="C1906" s="36" t="inlineStr">
        <is>
          <t>Central Europe</t>
        </is>
      </c>
      <c r="D1906" s="36" t="inlineStr">
        <is>
          <t>Germany</t>
        </is>
      </c>
      <c r="E1906" s="36" t="inlineStr">
        <is>
          <t>Marketplace</t>
        </is>
      </c>
      <c r="F1906" s="36" t="inlineStr">
        <is>
          <t>New</t>
        </is>
      </c>
      <c r="G1906" s="36" t="inlineStr">
        <is>
          <t>Travel</t>
        </is>
      </c>
      <c r="H1906" s="36" t="inlineStr">
        <is>
          <t>Packing Cube Set</t>
        </is>
      </c>
      <c r="I1906" s="36" t="n">
        <v>1</v>
      </c>
      <c r="J1906" s="39" t="n">
        <v>45.59</v>
      </c>
      <c r="K1906" s="45" t="n">
        <v>0</v>
      </c>
      <c r="L1906" s="39" t="n">
        <v>18.28</v>
      </c>
      <c r="M1906" s="39">
        <f>I1906*J1906*(1-K1906)</f>
        <v/>
      </c>
      <c r="N1906" s="39">
        <f>I1906*L1906</f>
        <v/>
      </c>
      <c r="O1906" s="39">
        <f>M1906-N1906</f>
        <v/>
      </c>
      <c r="P1906" s="38">
        <f>IF(M1906=0,0,O1906/M1906)</f>
        <v/>
      </c>
      <c r="Q1906" s="36">
        <f>YEAR(B1906)</f>
        <v/>
      </c>
      <c r="R1906" s="36">
        <f>"Q"&amp;ROUNDUP(MONTH(B1906)/3,0)</f>
        <v/>
      </c>
      <c r="S1906" s="36">
        <f>MONTH(B1906)</f>
        <v/>
      </c>
      <c r="T1906" s="36">
        <f>TEXT(B1906,"mmm")</f>
        <v/>
      </c>
      <c r="U1906" s="36">
        <f>IF(AND(OR(sel_Region="All",C1906=sel_Region),OR(sel_Country="All",D1906=sel_Country),OR(sel_Channel="All",E1906=sel_Channel),OR(sel_Customer="All",F1906=sel_Customer),OR(sel_Category="All",G1906=sel_Category),OR(sel_Product="All",H1906=sel_Product),AND(S1906&gt;=m_From,S1906&lt;=m_To)),1,0)</f>
        <v/>
      </c>
      <c r="V1906" s="36">
        <f>IF(AND(OR(sel_Region="All",C1906=sel_Region),OR(sel_Channel="All",E1906=sel_Channel),OR(sel_Customer="All",F1906=sel_Customer),OR(sel_Category="All",G1906=sel_Category),OR(sel_Product="All",H1906=sel_Product),AND(S1906&gt;=m_From,S1906&lt;=m_To)),1,0)</f>
        <v/>
      </c>
      <c r="W1906" s="36">
        <f>IF(AND(OR(sel_Region="All",C1906=sel_Region),OR(sel_Country="All",D1906=sel_Country),OR(sel_Customer="All",F1906=sel_Customer),OR(sel_Category="All",G1906=sel_Category),OR(sel_Product="All",H1906=sel_Product),AND(S1906&gt;=m_From,S1906&lt;=m_To)),1,0)</f>
        <v/>
      </c>
      <c r="X1906" s="36">
        <f>IF(AND(OR(sel_Region="All",C1906=sel_Region),OR(sel_Country="All",D1906=sel_Country),OR(sel_Channel="All",E1906=sel_Channel),OR(sel_Category="All",G1906=sel_Category),OR(sel_Product="All",H1906=sel_Product),AND(S1906&gt;=m_From,S1906&lt;=m_To)),1,0)</f>
        <v/>
      </c>
      <c r="Y1906" s="36">
        <f>IF(AND(OR(sel_Region="All",C1906=sel_Region),OR(sel_Country="All",D1906=sel_Country),OR(sel_Channel="All",E1906=sel_Channel),OR(sel_Customer="All",F1906=sel_Customer),OR(sel_Product="All",H1906=sel_Product),AND(S1906&gt;=m_From,S1906&lt;=m_To)),1,0)</f>
        <v/>
      </c>
      <c r="Z1906" s="36">
        <f>IF(AND(OR(sel_Region="All",C1906=sel_Region),OR(sel_Country="All",D1906=sel_Country),OR(sel_Channel="All",E1906=sel_Channel),OR(sel_Customer="All",F1906=sel_Customer),OR(sel_Category="All",G1906=sel_Category),AND(S1906&gt;=m_From,S1906&lt;=m_To)),1,0)</f>
        <v/>
      </c>
      <c r="AA1906" s="36">
        <f>IF(AND(OR(sel_Region="All",C1906=sel_Region),OR(sel_Country="All",D1906=sel_Country),OR(sel_Channel="All",E1906=sel_Channel),OR(sel_Customer="All",F1906=sel_Customer),OR(sel_Category="All",G1906=sel_Category),OR(sel_Product="All",H1906=sel_Product)),1,0)</f>
        <v/>
      </c>
    </row>
    <row r="1907">
      <c r="A1907" s="36" t="inlineStr">
        <is>
          <t>04865</t>
        </is>
      </c>
      <c r="B1907" s="44" t="n">
        <v>46280</v>
      </c>
      <c r="C1907" s="36" t="inlineStr">
        <is>
          <t>Western Europe</t>
        </is>
      </c>
      <c r="D1907" s="36" t="inlineStr">
        <is>
          <t>Belgium</t>
        </is>
      </c>
      <c r="E1907" s="36" t="inlineStr">
        <is>
          <t>Online Store</t>
        </is>
      </c>
      <c r="F1907" s="36" t="inlineStr">
        <is>
          <t>Returning</t>
        </is>
      </c>
      <c r="G1907" s="36" t="inlineStr">
        <is>
          <t>Cycling</t>
        </is>
      </c>
      <c r="H1907" s="36" t="inlineStr">
        <is>
          <t>Commuter Helmet</t>
        </is>
      </c>
      <c r="I1907" s="36" t="n">
        <v>1</v>
      </c>
      <c r="J1907" s="39" t="n">
        <v>83.8</v>
      </c>
      <c r="K1907" s="45" t="n">
        <v>0</v>
      </c>
      <c r="L1907" s="39" t="n">
        <v>42.23</v>
      </c>
      <c r="M1907" s="39">
        <f>I1907*J1907*(1-K1907)</f>
        <v/>
      </c>
      <c r="N1907" s="39">
        <f>I1907*L1907</f>
        <v/>
      </c>
      <c r="O1907" s="39">
        <f>M1907-N1907</f>
        <v/>
      </c>
      <c r="P1907" s="38">
        <f>IF(M1907=0,0,O1907/M1907)</f>
        <v/>
      </c>
      <c r="Q1907" s="36">
        <f>YEAR(B1907)</f>
        <v/>
      </c>
      <c r="R1907" s="36">
        <f>"Q"&amp;ROUNDUP(MONTH(B1907)/3,0)</f>
        <v/>
      </c>
      <c r="S1907" s="36">
        <f>MONTH(B1907)</f>
        <v/>
      </c>
      <c r="T1907" s="36">
        <f>TEXT(B1907,"mmm")</f>
        <v/>
      </c>
      <c r="U1907" s="36">
        <f>IF(AND(OR(sel_Region="All",C1907=sel_Region),OR(sel_Country="All",D1907=sel_Country),OR(sel_Channel="All",E1907=sel_Channel),OR(sel_Customer="All",F1907=sel_Customer),OR(sel_Category="All",G1907=sel_Category),OR(sel_Product="All",H1907=sel_Product),AND(S1907&gt;=m_From,S1907&lt;=m_To)),1,0)</f>
        <v/>
      </c>
      <c r="V1907" s="36">
        <f>IF(AND(OR(sel_Region="All",C1907=sel_Region),OR(sel_Channel="All",E1907=sel_Channel),OR(sel_Customer="All",F1907=sel_Customer),OR(sel_Category="All",G1907=sel_Category),OR(sel_Product="All",H1907=sel_Product),AND(S1907&gt;=m_From,S1907&lt;=m_To)),1,0)</f>
        <v/>
      </c>
      <c r="W1907" s="36">
        <f>IF(AND(OR(sel_Region="All",C1907=sel_Region),OR(sel_Country="All",D1907=sel_Country),OR(sel_Customer="All",F1907=sel_Customer),OR(sel_Category="All",G1907=sel_Category),OR(sel_Product="All",H1907=sel_Product),AND(S1907&gt;=m_From,S1907&lt;=m_To)),1,0)</f>
        <v/>
      </c>
      <c r="X1907" s="36">
        <f>IF(AND(OR(sel_Region="All",C1907=sel_Region),OR(sel_Country="All",D1907=sel_Country),OR(sel_Channel="All",E1907=sel_Channel),OR(sel_Category="All",G1907=sel_Category),OR(sel_Product="All",H1907=sel_Product),AND(S1907&gt;=m_From,S1907&lt;=m_To)),1,0)</f>
        <v/>
      </c>
      <c r="Y1907" s="36">
        <f>IF(AND(OR(sel_Region="All",C1907=sel_Region),OR(sel_Country="All",D1907=sel_Country),OR(sel_Channel="All",E1907=sel_Channel),OR(sel_Customer="All",F1907=sel_Customer),OR(sel_Product="All",H1907=sel_Product),AND(S1907&gt;=m_From,S1907&lt;=m_To)),1,0)</f>
        <v/>
      </c>
      <c r="Z1907" s="36">
        <f>IF(AND(OR(sel_Region="All",C1907=sel_Region),OR(sel_Country="All",D1907=sel_Country),OR(sel_Channel="All",E1907=sel_Channel),OR(sel_Customer="All",F1907=sel_Customer),OR(sel_Category="All",G1907=sel_Category),AND(S1907&gt;=m_From,S1907&lt;=m_To)),1,0)</f>
        <v/>
      </c>
      <c r="AA1907" s="36">
        <f>IF(AND(OR(sel_Region="All",C1907=sel_Region),OR(sel_Country="All",D1907=sel_Country),OR(sel_Channel="All",E1907=sel_Channel),OR(sel_Customer="All",F1907=sel_Customer),OR(sel_Category="All",G1907=sel_Category),OR(sel_Product="All",H1907=sel_Product)),1,0)</f>
        <v/>
      </c>
    </row>
    <row r="1908">
      <c r="A1908" s="36" t="inlineStr">
        <is>
          <t>00103</t>
        </is>
      </c>
      <c r="B1908" s="44" t="n">
        <v>46281</v>
      </c>
      <c r="C1908" s="36" t="inlineStr">
        <is>
          <t>Northern Europe</t>
        </is>
      </c>
      <c r="D1908" s="36" t="inlineStr">
        <is>
          <t>Ireland</t>
        </is>
      </c>
      <c r="E1908" s="36" t="inlineStr">
        <is>
          <t>Online Store</t>
        </is>
      </c>
      <c r="F1908" s="36" t="inlineStr">
        <is>
          <t>New</t>
        </is>
      </c>
      <c r="G1908" s="36" t="inlineStr">
        <is>
          <t>Travel</t>
        </is>
      </c>
      <c r="H1908" s="36" t="inlineStr">
        <is>
          <t>Carry-On Duffel</t>
        </is>
      </c>
      <c r="I1908" s="36" t="n">
        <v>1</v>
      </c>
      <c r="J1908" s="39" t="n">
        <v>132.58</v>
      </c>
      <c r="K1908" s="45" t="n">
        <v>0.15</v>
      </c>
      <c r="L1908" s="39" t="n">
        <v>67.62</v>
      </c>
      <c r="M1908" s="39">
        <f>I1908*J1908*(1-K1908)</f>
        <v/>
      </c>
      <c r="N1908" s="39">
        <f>I1908*L1908</f>
        <v/>
      </c>
      <c r="O1908" s="39">
        <f>M1908-N1908</f>
        <v/>
      </c>
      <c r="P1908" s="38">
        <f>IF(M1908=0,0,O1908/M1908)</f>
        <v/>
      </c>
      <c r="Q1908" s="36">
        <f>YEAR(B1908)</f>
        <v/>
      </c>
      <c r="R1908" s="36">
        <f>"Q"&amp;ROUNDUP(MONTH(B1908)/3,0)</f>
        <v/>
      </c>
      <c r="S1908" s="36">
        <f>MONTH(B1908)</f>
        <v/>
      </c>
      <c r="T1908" s="36">
        <f>TEXT(B1908,"mmm")</f>
        <v/>
      </c>
      <c r="U1908" s="36">
        <f>IF(AND(OR(sel_Region="All",C1908=sel_Region),OR(sel_Country="All",D1908=sel_Country),OR(sel_Channel="All",E1908=sel_Channel),OR(sel_Customer="All",F1908=sel_Customer),OR(sel_Category="All",G1908=sel_Category),OR(sel_Product="All",H1908=sel_Product),AND(S1908&gt;=m_From,S1908&lt;=m_To)),1,0)</f>
        <v/>
      </c>
      <c r="V1908" s="36">
        <f>IF(AND(OR(sel_Region="All",C1908=sel_Region),OR(sel_Channel="All",E1908=sel_Channel),OR(sel_Customer="All",F1908=sel_Customer),OR(sel_Category="All",G1908=sel_Category),OR(sel_Product="All",H1908=sel_Product),AND(S1908&gt;=m_From,S1908&lt;=m_To)),1,0)</f>
        <v/>
      </c>
      <c r="W1908" s="36">
        <f>IF(AND(OR(sel_Region="All",C1908=sel_Region),OR(sel_Country="All",D1908=sel_Country),OR(sel_Customer="All",F1908=sel_Customer),OR(sel_Category="All",G1908=sel_Category),OR(sel_Product="All",H1908=sel_Product),AND(S1908&gt;=m_From,S1908&lt;=m_To)),1,0)</f>
        <v/>
      </c>
      <c r="X1908" s="36">
        <f>IF(AND(OR(sel_Region="All",C1908=sel_Region),OR(sel_Country="All",D1908=sel_Country),OR(sel_Channel="All",E1908=sel_Channel),OR(sel_Category="All",G1908=sel_Category),OR(sel_Product="All",H1908=sel_Product),AND(S1908&gt;=m_From,S1908&lt;=m_To)),1,0)</f>
        <v/>
      </c>
      <c r="Y1908" s="36">
        <f>IF(AND(OR(sel_Region="All",C1908=sel_Region),OR(sel_Country="All",D1908=sel_Country),OR(sel_Channel="All",E1908=sel_Channel),OR(sel_Customer="All",F1908=sel_Customer),OR(sel_Product="All",H1908=sel_Product),AND(S1908&gt;=m_From,S1908&lt;=m_To)),1,0)</f>
        <v/>
      </c>
      <c r="Z1908" s="36">
        <f>IF(AND(OR(sel_Region="All",C1908=sel_Region),OR(sel_Country="All",D1908=sel_Country),OR(sel_Channel="All",E1908=sel_Channel),OR(sel_Customer="All",F1908=sel_Customer),OR(sel_Category="All",G1908=sel_Category),AND(S1908&gt;=m_From,S1908&lt;=m_To)),1,0)</f>
        <v/>
      </c>
      <c r="AA1908" s="36">
        <f>IF(AND(OR(sel_Region="All",C1908=sel_Region),OR(sel_Country="All",D1908=sel_Country),OR(sel_Channel="All",E1908=sel_Channel),OR(sel_Customer="All",F1908=sel_Customer),OR(sel_Category="All",G1908=sel_Category),OR(sel_Product="All",H1908=sel_Product)),1,0)</f>
        <v/>
      </c>
    </row>
    <row r="1909">
      <c r="A1909" s="36" t="inlineStr">
        <is>
          <t>04500</t>
        </is>
      </c>
      <c r="B1909" s="44" t="n">
        <v>46281</v>
      </c>
      <c r="C1909" s="36" t="inlineStr">
        <is>
          <t>Western Europe</t>
        </is>
      </c>
      <c r="D1909" s="36" t="inlineStr">
        <is>
          <t>United Kingdom</t>
        </is>
      </c>
      <c r="E1909" s="36" t="inlineStr">
        <is>
          <t>Online Store</t>
        </is>
      </c>
      <c r="F1909" s="36" t="inlineStr">
        <is>
          <t>New</t>
        </is>
      </c>
      <c r="G1909" s="36" t="inlineStr">
        <is>
          <t>Camping</t>
        </is>
      </c>
      <c r="H1909" s="36" t="inlineStr">
        <is>
          <t>Compact Sleeping Bag</t>
        </is>
      </c>
      <c r="I1909" s="36" t="n">
        <v>2</v>
      </c>
      <c r="J1909" s="39" t="n">
        <v>122.12</v>
      </c>
      <c r="K1909" s="45" t="n">
        <v>0.05</v>
      </c>
      <c r="L1909" s="39" t="n">
        <v>61.76</v>
      </c>
      <c r="M1909" s="39">
        <f>I1909*J1909*(1-K1909)</f>
        <v/>
      </c>
      <c r="N1909" s="39">
        <f>I1909*L1909</f>
        <v/>
      </c>
      <c r="O1909" s="39">
        <f>M1909-N1909</f>
        <v/>
      </c>
      <c r="P1909" s="38">
        <f>IF(M1909=0,0,O1909/M1909)</f>
        <v/>
      </c>
      <c r="Q1909" s="36">
        <f>YEAR(B1909)</f>
        <v/>
      </c>
      <c r="R1909" s="36">
        <f>"Q"&amp;ROUNDUP(MONTH(B1909)/3,0)</f>
        <v/>
      </c>
      <c r="S1909" s="36">
        <f>MONTH(B1909)</f>
        <v/>
      </c>
      <c r="T1909" s="36">
        <f>TEXT(B1909,"mmm")</f>
        <v/>
      </c>
      <c r="U1909" s="36">
        <f>IF(AND(OR(sel_Region="All",C1909=sel_Region),OR(sel_Country="All",D1909=sel_Country),OR(sel_Channel="All",E1909=sel_Channel),OR(sel_Customer="All",F1909=sel_Customer),OR(sel_Category="All",G1909=sel_Category),OR(sel_Product="All",H1909=sel_Product),AND(S1909&gt;=m_From,S1909&lt;=m_To)),1,0)</f>
        <v/>
      </c>
      <c r="V1909" s="36">
        <f>IF(AND(OR(sel_Region="All",C1909=sel_Region),OR(sel_Channel="All",E1909=sel_Channel),OR(sel_Customer="All",F1909=sel_Customer),OR(sel_Category="All",G1909=sel_Category),OR(sel_Product="All",H1909=sel_Product),AND(S1909&gt;=m_From,S1909&lt;=m_To)),1,0)</f>
        <v/>
      </c>
      <c r="W1909" s="36">
        <f>IF(AND(OR(sel_Region="All",C1909=sel_Region),OR(sel_Country="All",D1909=sel_Country),OR(sel_Customer="All",F1909=sel_Customer),OR(sel_Category="All",G1909=sel_Category),OR(sel_Product="All",H1909=sel_Product),AND(S1909&gt;=m_From,S1909&lt;=m_To)),1,0)</f>
        <v/>
      </c>
      <c r="X1909" s="36">
        <f>IF(AND(OR(sel_Region="All",C1909=sel_Region),OR(sel_Country="All",D1909=sel_Country),OR(sel_Channel="All",E1909=sel_Channel),OR(sel_Category="All",G1909=sel_Category),OR(sel_Product="All",H1909=sel_Product),AND(S1909&gt;=m_From,S1909&lt;=m_To)),1,0)</f>
        <v/>
      </c>
      <c r="Y1909" s="36">
        <f>IF(AND(OR(sel_Region="All",C1909=sel_Region),OR(sel_Country="All",D1909=sel_Country),OR(sel_Channel="All",E1909=sel_Channel),OR(sel_Customer="All",F1909=sel_Customer),OR(sel_Product="All",H1909=sel_Product),AND(S1909&gt;=m_From,S1909&lt;=m_To)),1,0)</f>
        <v/>
      </c>
      <c r="Z1909" s="36">
        <f>IF(AND(OR(sel_Region="All",C1909=sel_Region),OR(sel_Country="All",D1909=sel_Country),OR(sel_Channel="All",E1909=sel_Channel),OR(sel_Customer="All",F1909=sel_Customer),OR(sel_Category="All",G1909=sel_Category),AND(S1909&gt;=m_From,S1909&lt;=m_To)),1,0)</f>
        <v/>
      </c>
      <c r="AA1909" s="36">
        <f>IF(AND(OR(sel_Region="All",C1909=sel_Region),OR(sel_Country="All",D1909=sel_Country),OR(sel_Channel="All",E1909=sel_Channel),OR(sel_Customer="All",F1909=sel_Customer),OR(sel_Category="All",G1909=sel_Category),OR(sel_Product="All",H1909=sel_Product)),1,0)</f>
        <v/>
      </c>
    </row>
    <row r="1910">
      <c r="A1910" s="36" t="inlineStr">
        <is>
          <t>05093</t>
        </is>
      </c>
      <c r="B1910" s="44" t="n">
        <v>46281</v>
      </c>
      <c r="C1910" s="36" t="inlineStr">
        <is>
          <t>Southern Europe</t>
        </is>
      </c>
      <c r="D1910" s="36" t="inlineStr">
        <is>
          <t>Spain</t>
        </is>
      </c>
      <c r="E1910" s="36" t="inlineStr">
        <is>
          <t>Corporate</t>
        </is>
      </c>
      <c r="F1910" s="36" t="inlineStr">
        <is>
          <t>Business</t>
        </is>
      </c>
      <c r="G1910" s="36" t="inlineStr">
        <is>
          <t>Hiking</t>
        </is>
      </c>
      <c r="H1910" s="36" t="inlineStr">
        <is>
          <t>Trail Boots</t>
        </is>
      </c>
      <c r="I1910" s="36" t="n">
        <v>3</v>
      </c>
      <c r="J1910" s="39" t="n">
        <v>140.47</v>
      </c>
      <c r="K1910" s="45" t="n">
        <v>0.15</v>
      </c>
      <c r="L1910" s="39" t="n">
        <v>81.73999999999999</v>
      </c>
      <c r="M1910" s="39">
        <f>I1910*J1910*(1-K1910)</f>
        <v/>
      </c>
      <c r="N1910" s="39">
        <f>I1910*L1910</f>
        <v/>
      </c>
      <c r="O1910" s="39">
        <f>M1910-N1910</f>
        <v/>
      </c>
      <c r="P1910" s="38">
        <f>IF(M1910=0,0,O1910/M1910)</f>
        <v/>
      </c>
      <c r="Q1910" s="36">
        <f>YEAR(B1910)</f>
        <v/>
      </c>
      <c r="R1910" s="36">
        <f>"Q"&amp;ROUNDUP(MONTH(B1910)/3,0)</f>
        <v/>
      </c>
      <c r="S1910" s="36">
        <f>MONTH(B1910)</f>
        <v/>
      </c>
      <c r="T1910" s="36">
        <f>TEXT(B1910,"mmm")</f>
        <v/>
      </c>
      <c r="U1910" s="36">
        <f>IF(AND(OR(sel_Region="All",C1910=sel_Region),OR(sel_Country="All",D1910=sel_Country),OR(sel_Channel="All",E1910=sel_Channel),OR(sel_Customer="All",F1910=sel_Customer),OR(sel_Category="All",G1910=sel_Category),OR(sel_Product="All",H1910=sel_Product),AND(S1910&gt;=m_From,S1910&lt;=m_To)),1,0)</f>
        <v/>
      </c>
      <c r="V1910" s="36">
        <f>IF(AND(OR(sel_Region="All",C1910=sel_Region),OR(sel_Channel="All",E1910=sel_Channel),OR(sel_Customer="All",F1910=sel_Customer),OR(sel_Category="All",G1910=sel_Category),OR(sel_Product="All",H1910=sel_Product),AND(S1910&gt;=m_From,S1910&lt;=m_To)),1,0)</f>
        <v/>
      </c>
      <c r="W1910" s="36">
        <f>IF(AND(OR(sel_Region="All",C1910=sel_Region),OR(sel_Country="All",D1910=sel_Country),OR(sel_Customer="All",F1910=sel_Customer),OR(sel_Category="All",G1910=sel_Category),OR(sel_Product="All",H1910=sel_Product),AND(S1910&gt;=m_From,S1910&lt;=m_To)),1,0)</f>
        <v/>
      </c>
      <c r="X1910" s="36">
        <f>IF(AND(OR(sel_Region="All",C1910=sel_Region),OR(sel_Country="All",D1910=sel_Country),OR(sel_Channel="All",E1910=sel_Channel),OR(sel_Category="All",G1910=sel_Category),OR(sel_Product="All",H1910=sel_Product),AND(S1910&gt;=m_From,S1910&lt;=m_To)),1,0)</f>
        <v/>
      </c>
      <c r="Y1910" s="36">
        <f>IF(AND(OR(sel_Region="All",C1910=sel_Region),OR(sel_Country="All",D1910=sel_Country),OR(sel_Channel="All",E1910=sel_Channel),OR(sel_Customer="All",F1910=sel_Customer),OR(sel_Product="All",H1910=sel_Product),AND(S1910&gt;=m_From,S1910&lt;=m_To)),1,0)</f>
        <v/>
      </c>
      <c r="Z1910" s="36">
        <f>IF(AND(OR(sel_Region="All",C1910=sel_Region),OR(sel_Country="All",D1910=sel_Country),OR(sel_Channel="All",E1910=sel_Channel),OR(sel_Customer="All",F1910=sel_Customer),OR(sel_Category="All",G1910=sel_Category),AND(S1910&gt;=m_From,S1910&lt;=m_To)),1,0)</f>
        <v/>
      </c>
      <c r="AA1910" s="36">
        <f>IF(AND(OR(sel_Region="All",C1910=sel_Region),OR(sel_Country="All",D1910=sel_Country),OR(sel_Channel="All",E1910=sel_Channel),OR(sel_Customer="All",F1910=sel_Customer),OR(sel_Category="All",G1910=sel_Category),OR(sel_Product="All",H1910=sel_Product)),1,0)</f>
        <v/>
      </c>
    </row>
    <row r="1911">
      <c r="A1911" s="36" t="inlineStr">
        <is>
          <t>05147</t>
        </is>
      </c>
      <c r="B1911" s="44" t="n">
        <v>46281</v>
      </c>
      <c r="C1911" s="36" t="inlineStr">
        <is>
          <t>Western Europe</t>
        </is>
      </c>
      <c r="D1911" s="36" t="inlineStr">
        <is>
          <t>France</t>
        </is>
      </c>
      <c r="E1911" s="36" t="inlineStr">
        <is>
          <t>Online Store</t>
        </is>
      </c>
      <c r="F1911" s="36" t="inlineStr">
        <is>
          <t>New</t>
        </is>
      </c>
      <c r="G1911" s="36" t="inlineStr">
        <is>
          <t>Hiking</t>
        </is>
      </c>
      <c r="H1911" s="36" t="inlineStr">
        <is>
          <t>Trail Boots</t>
        </is>
      </c>
      <c r="I1911" s="36" t="n">
        <v>2</v>
      </c>
      <c r="J1911" s="39" t="n">
        <v>145.35</v>
      </c>
      <c r="K1911" s="45" t="n">
        <v>0.05</v>
      </c>
      <c r="L1911" s="39" t="n">
        <v>78.39</v>
      </c>
      <c r="M1911" s="39">
        <f>I1911*J1911*(1-K1911)</f>
        <v/>
      </c>
      <c r="N1911" s="39">
        <f>I1911*L1911</f>
        <v/>
      </c>
      <c r="O1911" s="39">
        <f>M1911-N1911</f>
        <v/>
      </c>
      <c r="P1911" s="38">
        <f>IF(M1911=0,0,O1911/M1911)</f>
        <v/>
      </c>
      <c r="Q1911" s="36">
        <f>YEAR(B1911)</f>
        <v/>
      </c>
      <c r="R1911" s="36">
        <f>"Q"&amp;ROUNDUP(MONTH(B1911)/3,0)</f>
        <v/>
      </c>
      <c r="S1911" s="36">
        <f>MONTH(B1911)</f>
        <v/>
      </c>
      <c r="T1911" s="36">
        <f>TEXT(B1911,"mmm")</f>
        <v/>
      </c>
      <c r="U1911" s="36">
        <f>IF(AND(OR(sel_Region="All",C1911=sel_Region),OR(sel_Country="All",D1911=sel_Country),OR(sel_Channel="All",E1911=sel_Channel),OR(sel_Customer="All",F1911=sel_Customer),OR(sel_Category="All",G1911=sel_Category),OR(sel_Product="All",H1911=sel_Product),AND(S1911&gt;=m_From,S1911&lt;=m_To)),1,0)</f>
        <v/>
      </c>
      <c r="V1911" s="36">
        <f>IF(AND(OR(sel_Region="All",C1911=sel_Region),OR(sel_Channel="All",E1911=sel_Channel),OR(sel_Customer="All",F1911=sel_Customer),OR(sel_Category="All",G1911=sel_Category),OR(sel_Product="All",H1911=sel_Product),AND(S1911&gt;=m_From,S1911&lt;=m_To)),1,0)</f>
        <v/>
      </c>
      <c r="W1911" s="36">
        <f>IF(AND(OR(sel_Region="All",C1911=sel_Region),OR(sel_Country="All",D1911=sel_Country),OR(sel_Customer="All",F1911=sel_Customer),OR(sel_Category="All",G1911=sel_Category),OR(sel_Product="All",H1911=sel_Product),AND(S1911&gt;=m_From,S1911&lt;=m_To)),1,0)</f>
        <v/>
      </c>
      <c r="X1911" s="36">
        <f>IF(AND(OR(sel_Region="All",C1911=sel_Region),OR(sel_Country="All",D1911=sel_Country),OR(sel_Channel="All",E1911=sel_Channel),OR(sel_Category="All",G1911=sel_Category),OR(sel_Product="All",H1911=sel_Product),AND(S1911&gt;=m_From,S1911&lt;=m_To)),1,0)</f>
        <v/>
      </c>
      <c r="Y1911" s="36">
        <f>IF(AND(OR(sel_Region="All",C1911=sel_Region),OR(sel_Country="All",D1911=sel_Country),OR(sel_Channel="All",E1911=sel_Channel),OR(sel_Customer="All",F1911=sel_Customer),OR(sel_Product="All",H1911=sel_Product),AND(S1911&gt;=m_From,S1911&lt;=m_To)),1,0)</f>
        <v/>
      </c>
      <c r="Z1911" s="36">
        <f>IF(AND(OR(sel_Region="All",C1911=sel_Region),OR(sel_Country="All",D1911=sel_Country),OR(sel_Channel="All",E1911=sel_Channel),OR(sel_Customer="All",F1911=sel_Customer),OR(sel_Category="All",G1911=sel_Category),AND(S1911&gt;=m_From,S1911&lt;=m_To)),1,0)</f>
        <v/>
      </c>
      <c r="AA1911" s="36">
        <f>IF(AND(OR(sel_Region="All",C1911=sel_Region),OR(sel_Country="All",D1911=sel_Country),OR(sel_Channel="All",E1911=sel_Channel),OR(sel_Customer="All",F1911=sel_Customer),OR(sel_Category="All",G1911=sel_Category),OR(sel_Product="All",H1911=sel_Product)),1,0)</f>
        <v/>
      </c>
    </row>
    <row r="1912">
      <c r="A1912" s="36" t="inlineStr">
        <is>
          <t>00365</t>
        </is>
      </c>
      <c r="B1912" s="44" t="n">
        <v>46282</v>
      </c>
      <c r="C1912" s="36" t="inlineStr">
        <is>
          <t>Western Europe</t>
        </is>
      </c>
      <c r="D1912" s="36" t="inlineStr">
        <is>
          <t>United Kingdom</t>
        </is>
      </c>
      <c r="E1912" s="36" t="inlineStr">
        <is>
          <t>Marketplace</t>
        </is>
      </c>
      <c r="F1912" s="36" t="inlineStr">
        <is>
          <t>Returning</t>
        </is>
      </c>
      <c r="G1912" s="36" t="inlineStr">
        <is>
          <t>Camping</t>
        </is>
      </c>
      <c r="H1912" s="36" t="inlineStr">
        <is>
          <t>Compact Sleeping Bag</t>
        </is>
      </c>
      <c r="I1912" s="36" t="n">
        <v>2</v>
      </c>
      <c r="J1912" s="39" t="n">
        <v>121.25</v>
      </c>
      <c r="K1912" s="45" t="n">
        <v>0</v>
      </c>
      <c r="L1912" s="39" t="n">
        <v>61.5</v>
      </c>
      <c r="M1912" s="39">
        <f>I1912*J1912*(1-K1912)</f>
        <v/>
      </c>
      <c r="N1912" s="39">
        <f>I1912*L1912</f>
        <v/>
      </c>
      <c r="O1912" s="39">
        <f>M1912-N1912</f>
        <v/>
      </c>
      <c r="P1912" s="38">
        <f>IF(M1912=0,0,O1912/M1912)</f>
        <v/>
      </c>
      <c r="Q1912" s="36">
        <f>YEAR(B1912)</f>
        <v/>
      </c>
      <c r="R1912" s="36">
        <f>"Q"&amp;ROUNDUP(MONTH(B1912)/3,0)</f>
        <v/>
      </c>
      <c r="S1912" s="36">
        <f>MONTH(B1912)</f>
        <v/>
      </c>
      <c r="T1912" s="36">
        <f>TEXT(B1912,"mmm")</f>
        <v/>
      </c>
      <c r="U1912" s="36">
        <f>IF(AND(OR(sel_Region="All",C1912=sel_Region),OR(sel_Country="All",D1912=sel_Country),OR(sel_Channel="All",E1912=sel_Channel),OR(sel_Customer="All",F1912=sel_Customer),OR(sel_Category="All",G1912=sel_Category),OR(sel_Product="All",H1912=sel_Product),AND(S1912&gt;=m_From,S1912&lt;=m_To)),1,0)</f>
        <v/>
      </c>
      <c r="V1912" s="36">
        <f>IF(AND(OR(sel_Region="All",C1912=sel_Region),OR(sel_Channel="All",E1912=sel_Channel),OR(sel_Customer="All",F1912=sel_Customer),OR(sel_Category="All",G1912=sel_Category),OR(sel_Product="All",H1912=sel_Product),AND(S1912&gt;=m_From,S1912&lt;=m_To)),1,0)</f>
        <v/>
      </c>
      <c r="W1912" s="36">
        <f>IF(AND(OR(sel_Region="All",C1912=sel_Region),OR(sel_Country="All",D1912=sel_Country),OR(sel_Customer="All",F1912=sel_Customer),OR(sel_Category="All",G1912=sel_Category),OR(sel_Product="All",H1912=sel_Product),AND(S1912&gt;=m_From,S1912&lt;=m_To)),1,0)</f>
        <v/>
      </c>
      <c r="X1912" s="36">
        <f>IF(AND(OR(sel_Region="All",C1912=sel_Region),OR(sel_Country="All",D1912=sel_Country),OR(sel_Channel="All",E1912=sel_Channel),OR(sel_Category="All",G1912=sel_Category),OR(sel_Product="All",H1912=sel_Product),AND(S1912&gt;=m_From,S1912&lt;=m_To)),1,0)</f>
        <v/>
      </c>
      <c r="Y1912" s="36">
        <f>IF(AND(OR(sel_Region="All",C1912=sel_Region),OR(sel_Country="All",D1912=sel_Country),OR(sel_Channel="All",E1912=sel_Channel),OR(sel_Customer="All",F1912=sel_Customer),OR(sel_Product="All",H1912=sel_Product),AND(S1912&gt;=m_From,S1912&lt;=m_To)),1,0)</f>
        <v/>
      </c>
      <c r="Z1912" s="36">
        <f>IF(AND(OR(sel_Region="All",C1912=sel_Region),OR(sel_Country="All",D1912=sel_Country),OR(sel_Channel="All",E1912=sel_Channel),OR(sel_Customer="All",F1912=sel_Customer),OR(sel_Category="All",G1912=sel_Category),AND(S1912&gt;=m_From,S1912&lt;=m_To)),1,0)</f>
        <v/>
      </c>
      <c r="AA1912" s="36">
        <f>IF(AND(OR(sel_Region="All",C1912=sel_Region),OR(sel_Country="All",D1912=sel_Country),OR(sel_Channel="All",E1912=sel_Channel),OR(sel_Customer="All",F1912=sel_Customer),OR(sel_Category="All",G1912=sel_Category),OR(sel_Product="All",H1912=sel_Product)),1,0)</f>
        <v/>
      </c>
    </row>
    <row r="1913">
      <c r="A1913" s="36" t="inlineStr">
        <is>
          <t>00494</t>
        </is>
      </c>
      <c r="B1913" s="44" t="n">
        <v>46282</v>
      </c>
      <c r="C1913" s="36" t="inlineStr">
        <is>
          <t>Western Europe</t>
        </is>
      </c>
      <c r="D1913" s="36" t="inlineStr">
        <is>
          <t>Belgium</t>
        </is>
      </c>
      <c r="E1913" s="36" t="inlineStr">
        <is>
          <t>Online Store</t>
        </is>
      </c>
      <c r="F1913" s="36" t="inlineStr">
        <is>
          <t>New</t>
        </is>
      </c>
      <c r="G1913" s="36" t="inlineStr">
        <is>
          <t>Travel</t>
        </is>
      </c>
      <c r="H1913" s="36" t="inlineStr">
        <is>
          <t>Insulated Bottle</t>
        </is>
      </c>
      <c r="I1913" s="36" t="n">
        <v>1</v>
      </c>
      <c r="J1913" s="39" t="n">
        <v>35.94</v>
      </c>
      <c r="K1913" s="45" t="n">
        <v>0.1</v>
      </c>
      <c r="L1913" s="39" t="n">
        <v>13.19</v>
      </c>
      <c r="M1913" s="39">
        <f>I1913*J1913*(1-K1913)</f>
        <v/>
      </c>
      <c r="N1913" s="39">
        <f>I1913*L1913</f>
        <v/>
      </c>
      <c r="O1913" s="39">
        <f>M1913-N1913</f>
        <v/>
      </c>
      <c r="P1913" s="38">
        <f>IF(M1913=0,0,O1913/M1913)</f>
        <v/>
      </c>
      <c r="Q1913" s="36">
        <f>YEAR(B1913)</f>
        <v/>
      </c>
      <c r="R1913" s="36">
        <f>"Q"&amp;ROUNDUP(MONTH(B1913)/3,0)</f>
        <v/>
      </c>
      <c r="S1913" s="36">
        <f>MONTH(B1913)</f>
        <v/>
      </c>
      <c r="T1913" s="36">
        <f>TEXT(B1913,"mmm")</f>
        <v/>
      </c>
      <c r="U1913" s="36">
        <f>IF(AND(OR(sel_Region="All",C1913=sel_Region),OR(sel_Country="All",D1913=sel_Country),OR(sel_Channel="All",E1913=sel_Channel),OR(sel_Customer="All",F1913=sel_Customer),OR(sel_Category="All",G1913=sel_Category),OR(sel_Product="All",H1913=sel_Product),AND(S1913&gt;=m_From,S1913&lt;=m_To)),1,0)</f>
        <v/>
      </c>
      <c r="V1913" s="36">
        <f>IF(AND(OR(sel_Region="All",C1913=sel_Region),OR(sel_Channel="All",E1913=sel_Channel),OR(sel_Customer="All",F1913=sel_Customer),OR(sel_Category="All",G1913=sel_Category),OR(sel_Product="All",H1913=sel_Product),AND(S1913&gt;=m_From,S1913&lt;=m_To)),1,0)</f>
        <v/>
      </c>
      <c r="W1913" s="36">
        <f>IF(AND(OR(sel_Region="All",C1913=sel_Region),OR(sel_Country="All",D1913=sel_Country),OR(sel_Customer="All",F1913=sel_Customer),OR(sel_Category="All",G1913=sel_Category),OR(sel_Product="All",H1913=sel_Product),AND(S1913&gt;=m_From,S1913&lt;=m_To)),1,0)</f>
        <v/>
      </c>
      <c r="X1913" s="36">
        <f>IF(AND(OR(sel_Region="All",C1913=sel_Region),OR(sel_Country="All",D1913=sel_Country),OR(sel_Channel="All",E1913=sel_Channel),OR(sel_Category="All",G1913=sel_Category),OR(sel_Product="All",H1913=sel_Product),AND(S1913&gt;=m_From,S1913&lt;=m_To)),1,0)</f>
        <v/>
      </c>
      <c r="Y1913" s="36">
        <f>IF(AND(OR(sel_Region="All",C1913=sel_Region),OR(sel_Country="All",D1913=sel_Country),OR(sel_Channel="All",E1913=sel_Channel),OR(sel_Customer="All",F1913=sel_Customer),OR(sel_Product="All",H1913=sel_Product),AND(S1913&gt;=m_From,S1913&lt;=m_To)),1,0)</f>
        <v/>
      </c>
      <c r="Z1913" s="36">
        <f>IF(AND(OR(sel_Region="All",C1913=sel_Region),OR(sel_Country="All",D1913=sel_Country),OR(sel_Channel="All",E1913=sel_Channel),OR(sel_Customer="All",F1913=sel_Customer),OR(sel_Category="All",G1913=sel_Category),AND(S1913&gt;=m_From,S1913&lt;=m_To)),1,0)</f>
        <v/>
      </c>
      <c r="AA1913" s="36">
        <f>IF(AND(OR(sel_Region="All",C1913=sel_Region),OR(sel_Country="All",D1913=sel_Country),OR(sel_Channel="All",E1913=sel_Channel),OR(sel_Customer="All",F1913=sel_Customer),OR(sel_Category="All",G1913=sel_Category),OR(sel_Product="All",H1913=sel_Product)),1,0)</f>
        <v/>
      </c>
    </row>
    <row r="1914">
      <c r="A1914" s="36" t="inlineStr">
        <is>
          <t>00665</t>
        </is>
      </c>
      <c r="B1914" s="44" t="n">
        <v>46282</v>
      </c>
      <c r="C1914" s="36" t="inlineStr">
        <is>
          <t>Central Europe</t>
        </is>
      </c>
      <c r="D1914" s="36" t="inlineStr">
        <is>
          <t>Poland</t>
        </is>
      </c>
      <c r="E1914" s="36" t="inlineStr">
        <is>
          <t>Online Store</t>
        </is>
      </c>
      <c r="F1914" s="36" t="inlineStr">
        <is>
          <t>New</t>
        </is>
      </c>
      <c r="G1914" s="36" t="inlineStr">
        <is>
          <t>Cycling</t>
        </is>
      </c>
      <c r="H1914" s="36" t="inlineStr">
        <is>
          <t>Cycling Pack 12L</t>
        </is>
      </c>
      <c r="I1914" s="36" t="n">
        <v>1</v>
      </c>
      <c r="J1914" s="39" t="n">
        <v>101.18</v>
      </c>
      <c r="K1914" s="45" t="n">
        <v>0.1</v>
      </c>
      <c r="L1914" s="39" t="n">
        <v>49.38</v>
      </c>
      <c r="M1914" s="39">
        <f>I1914*J1914*(1-K1914)</f>
        <v/>
      </c>
      <c r="N1914" s="39">
        <f>I1914*L1914</f>
        <v/>
      </c>
      <c r="O1914" s="39">
        <f>M1914-N1914</f>
        <v/>
      </c>
      <c r="P1914" s="38">
        <f>IF(M1914=0,0,O1914/M1914)</f>
        <v/>
      </c>
      <c r="Q1914" s="36">
        <f>YEAR(B1914)</f>
        <v/>
      </c>
      <c r="R1914" s="36">
        <f>"Q"&amp;ROUNDUP(MONTH(B1914)/3,0)</f>
        <v/>
      </c>
      <c r="S1914" s="36">
        <f>MONTH(B1914)</f>
        <v/>
      </c>
      <c r="T1914" s="36">
        <f>TEXT(B1914,"mmm")</f>
        <v/>
      </c>
      <c r="U1914" s="36">
        <f>IF(AND(OR(sel_Region="All",C1914=sel_Region),OR(sel_Country="All",D1914=sel_Country),OR(sel_Channel="All",E1914=sel_Channel),OR(sel_Customer="All",F1914=sel_Customer),OR(sel_Category="All",G1914=sel_Category),OR(sel_Product="All",H1914=sel_Product),AND(S1914&gt;=m_From,S1914&lt;=m_To)),1,0)</f>
        <v/>
      </c>
      <c r="V1914" s="36">
        <f>IF(AND(OR(sel_Region="All",C1914=sel_Region),OR(sel_Channel="All",E1914=sel_Channel),OR(sel_Customer="All",F1914=sel_Customer),OR(sel_Category="All",G1914=sel_Category),OR(sel_Product="All",H1914=sel_Product),AND(S1914&gt;=m_From,S1914&lt;=m_To)),1,0)</f>
        <v/>
      </c>
      <c r="W1914" s="36">
        <f>IF(AND(OR(sel_Region="All",C1914=sel_Region),OR(sel_Country="All",D1914=sel_Country),OR(sel_Customer="All",F1914=sel_Customer),OR(sel_Category="All",G1914=sel_Category),OR(sel_Product="All",H1914=sel_Product),AND(S1914&gt;=m_From,S1914&lt;=m_To)),1,0)</f>
        <v/>
      </c>
      <c r="X1914" s="36">
        <f>IF(AND(OR(sel_Region="All",C1914=sel_Region),OR(sel_Country="All",D1914=sel_Country),OR(sel_Channel="All",E1914=sel_Channel),OR(sel_Category="All",G1914=sel_Category),OR(sel_Product="All",H1914=sel_Product),AND(S1914&gt;=m_From,S1914&lt;=m_To)),1,0)</f>
        <v/>
      </c>
      <c r="Y1914" s="36">
        <f>IF(AND(OR(sel_Region="All",C1914=sel_Region),OR(sel_Country="All",D1914=sel_Country),OR(sel_Channel="All",E1914=sel_Channel),OR(sel_Customer="All",F1914=sel_Customer),OR(sel_Product="All",H1914=sel_Product),AND(S1914&gt;=m_From,S1914&lt;=m_To)),1,0)</f>
        <v/>
      </c>
      <c r="Z1914" s="36">
        <f>IF(AND(OR(sel_Region="All",C1914=sel_Region),OR(sel_Country="All",D1914=sel_Country),OR(sel_Channel="All",E1914=sel_Channel),OR(sel_Customer="All",F1914=sel_Customer),OR(sel_Category="All",G1914=sel_Category),AND(S1914&gt;=m_From,S1914&lt;=m_To)),1,0)</f>
        <v/>
      </c>
      <c r="AA1914" s="36">
        <f>IF(AND(OR(sel_Region="All",C1914=sel_Region),OR(sel_Country="All",D1914=sel_Country),OR(sel_Channel="All",E1914=sel_Channel),OR(sel_Customer="All",F1914=sel_Customer),OR(sel_Category="All",G1914=sel_Category),OR(sel_Product="All",H1914=sel_Product)),1,0)</f>
        <v/>
      </c>
    </row>
    <row r="1915">
      <c r="A1915" s="36" t="inlineStr">
        <is>
          <t>02067</t>
        </is>
      </c>
      <c r="B1915" s="44" t="n">
        <v>46282</v>
      </c>
      <c r="C1915" s="36" t="inlineStr">
        <is>
          <t>Western Europe</t>
        </is>
      </c>
      <c r="D1915" s="36" t="inlineStr">
        <is>
          <t>Netherlands</t>
        </is>
      </c>
      <c r="E1915" s="36" t="inlineStr">
        <is>
          <t>Retail Partners</t>
        </is>
      </c>
      <c r="F1915" s="36" t="inlineStr">
        <is>
          <t>New</t>
        </is>
      </c>
      <c r="G1915" s="36" t="inlineStr">
        <is>
          <t>Cycling</t>
        </is>
      </c>
      <c r="H1915" s="36" t="inlineStr">
        <is>
          <t>Commuter Helmet</t>
        </is>
      </c>
      <c r="I1915" s="36" t="n">
        <v>2</v>
      </c>
      <c r="J1915" s="39" t="n">
        <v>82.47</v>
      </c>
      <c r="K1915" s="45" t="n">
        <v>0</v>
      </c>
      <c r="L1915" s="39" t="n">
        <v>42.49</v>
      </c>
      <c r="M1915" s="39">
        <f>I1915*J1915*(1-K1915)</f>
        <v/>
      </c>
      <c r="N1915" s="39">
        <f>I1915*L1915</f>
        <v/>
      </c>
      <c r="O1915" s="39">
        <f>M1915-N1915</f>
        <v/>
      </c>
      <c r="P1915" s="38">
        <f>IF(M1915=0,0,O1915/M1915)</f>
        <v/>
      </c>
      <c r="Q1915" s="36">
        <f>YEAR(B1915)</f>
        <v/>
      </c>
      <c r="R1915" s="36">
        <f>"Q"&amp;ROUNDUP(MONTH(B1915)/3,0)</f>
        <v/>
      </c>
      <c r="S1915" s="36">
        <f>MONTH(B1915)</f>
        <v/>
      </c>
      <c r="T1915" s="36">
        <f>TEXT(B1915,"mmm")</f>
        <v/>
      </c>
      <c r="U1915" s="36">
        <f>IF(AND(OR(sel_Region="All",C1915=sel_Region),OR(sel_Country="All",D1915=sel_Country),OR(sel_Channel="All",E1915=sel_Channel),OR(sel_Customer="All",F1915=sel_Customer),OR(sel_Category="All",G1915=sel_Category),OR(sel_Product="All",H1915=sel_Product),AND(S1915&gt;=m_From,S1915&lt;=m_To)),1,0)</f>
        <v/>
      </c>
      <c r="V1915" s="36">
        <f>IF(AND(OR(sel_Region="All",C1915=sel_Region),OR(sel_Channel="All",E1915=sel_Channel),OR(sel_Customer="All",F1915=sel_Customer),OR(sel_Category="All",G1915=sel_Category),OR(sel_Product="All",H1915=sel_Product),AND(S1915&gt;=m_From,S1915&lt;=m_To)),1,0)</f>
        <v/>
      </c>
      <c r="W1915" s="36">
        <f>IF(AND(OR(sel_Region="All",C1915=sel_Region),OR(sel_Country="All",D1915=sel_Country),OR(sel_Customer="All",F1915=sel_Customer),OR(sel_Category="All",G1915=sel_Category),OR(sel_Product="All",H1915=sel_Product),AND(S1915&gt;=m_From,S1915&lt;=m_To)),1,0)</f>
        <v/>
      </c>
      <c r="X1915" s="36">
        <f>IF(AND(OR(sel_Region="All",C1915=sel_Region),OR(sel_Country="All",D1915=sel_Country),OR(sel_Channel="All",E1915=sel_Channel),OR(sel_Category="All",G1915=sel_Category),OR(sel_Product="All",H1915=sel_Product),AND(S1915&gt;=m_From,S1915&lt;=m_To)),1,0)</f>
        <v/>
      </c>
      <c r="Y1915" s="36">
        <f>IF(AND(OR(sel_Region="All",C1915=sel_Region),OR(sel_Country="All",D1915=sel_Country),OR(sel_Channel="All",E1915=sel_Channel),OR(sel_Customer="All",F1915=sel_Customer),OR(sel_Product="All",H1915=sel_Product),AND(S1915&gt;=m_From,S1915&lt;=m_To)),1,0)</f>
        <v/>
      </c>
      <c r="Z1915" s="36">
        <f>IF(AND(OR(sel_Region="All",C1915=sel_Region),OR(sel_Country="All",D1915=sel_Country),OR(sel_Channel="All",E1915=sel_Channel),OR(sel_Customer="All",F1915=sel_Customer),OR(sel_Category="All",G1915=sel_Category),AND(S1915&gt;=m_From,S1915&lt;=m_To)),1,0)</f>
        <v/>
      </c>
      <c r="AA1915" s="36">
        <f>IF(AND(OR(sel_Region="All",C1915=sel_Region),OR(sel_Country="All",D1915=sel_Country),OR(sel_Channel="All",E1915=sel_Channel),OR(sel_Customer="All",F1915=sel_Customer),OR(sel_Category="All",G1915=sel_Category),OR(sel_Product="All",H1915=sel_Product)),1,0)</f>
        <v/>
      </c>
    </row>
    <row r="1916">
      <c r="A1916" s="36" t="inlineStr">
        <is>
          <t>02648</t>
        </is>
      </c>
      <c r="B1916" s="44" t="n">
        <v>46282</v>
      </c>
      <c r="C1916" s="36" t="inlineStr">
        <is>
          <t>Northern Europe</t>
        </is>
      </c>
      <c r="D1916" s="36" t="inlineStr">
        <is>
          <t>Norway</t>
        </is>
      </c>
      <c r="E1916" s="36" t="inlineStr">
        <is>
          <t>Marketplace</t>
        </is>
      </c>
      <c r="F1916" s="36" t="inlineStr">
        <is>
          <t>New</t>
        </is>
      </c>
      <c r="G1916" s="36" t="inlineStr">
        <is>
          <t>Fitness</t>
        </is>
      </c>
      <c r="H1916" s="36" t="inlineStr">
        <is>
          <t>Training Mat</t>
        </is>
      </c>
      <c r="I1916" s="36" t="n">
        <v>1</v>
      </c>
      <c r="J1916" s="39" t="n">
        <v>50.47</v>
      </c>
      <c r="K1916" s="45" t="n">
        <v>0.05</v>
      </c>
      <c r="L1916" s="39" t="n">
        <v>22.27</v>
      </c>
      <c r="M1916" s="39">
        <f>I1916*J1916*(1-K1916)</f>
        <v/>
      </c>
      <c r="N1916" s="39">
        <f>I1916*L1916</f>
        <v/>
      </c>
      <c r="O1916" s="39">
        <f>M1916-N1916</f>
        <v/>
      </c>
      <c r="P1916" s="38">
        <f>IF(M1916=0,0,O1916/M1916)</f>
        <v/>
      </c>
      <c r="Q1916" s="36">
        <f>YEAR(B1916)</f>
        <v/>
      </c>
      <c r="R1916" s="36">
        <f>"Q"&amp;ROUNDUP(MONTH(B1916)/3,0)</f>
        <v/>
      </c>
      <c r="S1916" s="36">
        <f>MONTH(B1916)</f>
        <v/>
      </c>
      <c r="T1916" s="36">
        <f>TEXT(B1916,"mmm")</f>
        <v/>
      </c>
      <c r="U1916" s="36">
        <f>IF(AND(OR(sel_Region="All",C1916=sel_Region),OR(sel_Country="All",D1916=sel_Country),OR(sel_Channel="All",E1916=sel_Channel),OR(sel_Customer="All",F1916=sel_Customer),OR(sel_Category="All",G1916=sel_Category),OR(sel_Product="All",H1916=sel_Product),AND(S1916&gt;=m_From,S1916&lt;=m_To)),1,0)</f>
        <v/>
      </c>
      <c r="V1916" s="36">
        <f>IF(AND(OR(sel_Region="All",C1916=sel_Region),OR(sel_Channel="All",E1916=sel_Channel),OR(sel_Customer="All",F1916=sel_Customer),OR(sel_Category="All",G1916=sel_Category),OR(sel_Product="All",H1916=sel_Product),AND(S1916&gt;=m_From,S1916&lt;=m_To)),1,0)</f>
        <v/>
      </c>
      <c r="W1916" s="36">
        <f>IF(AND(OR(sel_Region="All",C1916=sel_Region),OR(sel_Country="All",D1916=sel_Country),OR(sel_Customer="All",F1916=sel_Customer),OR(sel_Category="All",G1916=sel_Category),OR(sel_Product="All",H1916=sel_Product),AND(S1916&gt;=m_From,S1916&lt;=m_To)),1,0)</f>
        <v/>
      </c>
      <c r="X1916" s="36">
        <f>IF(AND(OR(sel_Region="All",C1916=sel_Region),OR(sel_Country="All",D1916=sel_Country),OR(sel_Channel="All",E1916=sel_Channel),OR(sel_Category="All",G1916=sel_Category),OR(sel_Product="All",H1916=sel_Product),AND(S1916&gt;=m_From,S1916&lt;=m_To)),1,0)</f>
        <v/>
      </c>
      <c r="Y1916" s="36">
        <f>IF(AND(OR(sel_Region="All",C1916=sel_Region),OR(sel_Country="All",D1916=sel_Country),OR(sel_Channel="All",E1916=sel_Channel),OR(sel_Customer="All",F1916=sel_Customer),OR(sel_Product="All",H1916=sel_Product),AND(S1916&gt;=m_From,S1916&lt;=m_To)),1,0)</f>
        <v/>
      </c>
      <c r="Z1916" s="36">
        <f>IF(AND(OR(sel_Region="All",C1916=sel_Region),OR(sel_Country="All",D1916=sel_Country),OR(sel_Channel="All",E1916=sel_Channel),OR(sel_Customer="All",F1916=sel_Customer),OR(sel_Category="All",G1916=sel_Category),AND(S1916&gt;=m_From,S1916&lt;=m_To)),1,0)</f>
        <v/>
      </c>
      <c r="AA1916" s="36">
        <f>IF(AND(OR(sel_Region="All",C1916=sel_Region),OR(sel_Country="All",D1916=sel_Country),OR(sel_Channel="All",E1916=sel_Channel),OR(sel_Customer="All",F1916=sel_Customer),OR(sel_Category="All",G1916=sel_Category),OR(sel_Product="All",H1916=sel_Product)),1,0)</f>
        <v/>
      </c>
    </row>
    <row r="1917">
      <c r="A1917" s="36" t="inlineStr">
        <is>
          <t>03074</t>
        </is>
      </c>
      <c r="B1917" s="44" t="n">
        <v>46282</v>
      </c>
      <c r="C1917" s="36" t="inlineStr">
        <is>
          <t>Western Europe</t>
        </is>
      </c>
      <c r="D1917" s="36" t="inlineStr">
        <is>
          <t>United Kingdom</t>
        </is>
      </c>
      <c r="E1917" s="36" t="inlineStr">
        <is>
          <t>Corporate</t>
        </is>
      </c>
      <c r="F1917" s="36" t="inlineStr">
        <is>
          <t>Business</t>
        </is>
      </c>
      <c r="G1917" s="36" t="inlineStr">
        <is>
          <t>Camping</t>
        </is>
      </c>
      <c r="H1917" s="36" t="inlineStr">
        <is>
          <t>Portable Camp Stove</t>
        </is>
      </c>
      <c r="I1917" s="36" t="n">
        <v>5</v>
      </c>
      <c r="J1917" s="39" t="n">
        <v>82.63</v>
      </c>
      <c r="K1917" s="45" t="n">
        <v>0.15</v>
      </c>
      <c r="L1917" s="39" t="n">
        <v>38.63</v>
      </c>
      <c r="M1917" s="39">
        <f>I1917*J1917*(1-K1917)</f>
        <v/>
      </c>
      <c r="N1917" s="39">
        <f>I1917*L1917</f>
        <v/>
      </c>
      <c r="O1917" s="39">
        <f>M1917-N1917</f>
        <v/>
      </c>
      <c r="P1917" s="38">
        <f>IF(M1917=0,0,O1917/M1917)</f>
        <v/>
      </c>
      <c r="Q1917" s="36">
        <f>YEAR(B1917)</f>
        <v/>
      </c>
      <c r="R1917" s="36">
        <f>"Q"&amp;ROUNDUP(MONTH(B1917)/3,0)</f>
        <v/>
      </c>
      <c r="S1917" s="36">
        <f>MONTH(B1917)</f>
        <v/>
      </c>
      <c r="T1917" s="36">
        <f>TEXT(B1917,"mmm")</f>
        <v/>
      </c>
      <c r="U1917" s="36">
        <f>IF(AND(OR(sel_Region="All",C1917=sel_Region),OR(sel_Country="All",D1917=sel_Country),OR(sel_Channel="All",E1917=sel_Channel),OR(sel_Customer="All",F1917=sel_Customer),OR(sel_Category="All",G1917=sel_Category),OR(sel_Product="All",H1917=sel_Product),AND(S1917&gt;=m_From,S1917&lt;=m_To)),1,0)</f>
        <v/>
      </c>
      <c r="V1917" s="36">
        <f>IF(AND(OR(sel_Region="All",C1917=sel_Region),OR(sel_Channel="All",E1917=sel_Channel),OR(sel_Customer="All",F1917=sel_Customer),OR(sel_Category="All",G1917=sel_Category),OR(sel_Product="All",H1917=sel_Product),AND(S1917&gt;=m_From,S1917&lt;=m_To)),1,0)</f>
        <v/>
      </c>
      <c r="W1917" s="36">
        <f>IF(AND(OR(sel_Region="All",C1917=sel_Region),OR(sel_Country="All",D1917=sel_Country),OR(sel_Customer="All",F1917=sel_Customer),OR(sel_Category="All",G1917=sel_Category),OR(sel_Product="All",H1917=sel_Product),AND(S1917&gt;=m_From,S1917&lt;=m_To)),1,0)</f>
        <v/>
      </c>
      <c r="X1917" s="36">
        <f>IF(AND(OR(sel_Region="All",C1917=sel_Region),OR(sel_Country="All",D1917=sel_Country),OR(sel_Channel="All",E1917=sel_Channel),OR(sel_Category="All",G1917=sel_Category),OR(sel_Product="All",H1917=sel_Product),AND(S1917&gt;=m_From,S1917&lt;=m_To)),1,0)</f>
        <v/>
      </c>
      <c r="Y1917" s="36">
        <f>IF(AND(OR(sel_Region="All",C1917=sel_Region),OR(sel_Country="All",D1917=sel_Country),OR(sel_Channel="All",E1917=sel_Channel),OR(sel_Customer="All",F1917=sel_Customer),OR(sel_Product="All",H1917=sel_Product),AND(S1917&gt;=m_From,S1917&lt;=m_To)),1,0)</f>
        <v/>
      </c>
      <c r="Z1917" s="36">
        <f>IF(AND(OR(sel_Region="All",C1917=sel_Region),OR(sel_Country="All",D1917=sel_Country),OR(sel_Channel="All",E1917=sel_Channel),OR(sel_Customer="All",F1917=sel_Customer),OR(sel_Category="All",G1917=sel_Category),AND(S1917&gt;=m_From,S1917&lt;=m_To)),1,0)</f>
        <v/>
      </c>
      <c r="AA1917" s="36">
        <f>IF(AND(OR(sel_Region="All",C1917=sel_Region),OR(sel_Country="All",D1917=sel_Country),OR(sel_Channel="All",E1917=sel_Channel),OR(sel_Customer="All",F1917=sel_Customer),OR(sel_Category="All",G1917=sel_Category),OR(sel_Product="All",H1917=sel_Product)),1,0)</f>
        <v/>
      </c>
    </row>
    <row r="1918">
      <c r="A1918" s="36" t="inlineStr">
        <is>
          <t>00259</t>
        </is>
      </c>
      <c r="B1918" s="44" t="n">
        <v>46283</v>
      </c>
      <c r="C1918" s="36" t="inlineStr">
        <is>
          <t>Western Europe</t>
        </is>
      </c>
      <c r="D1918" s="36" t="inlineStr">
        <is>
          <t>United Kingdom</t>
        </is>
      </c>
      <c r="E1918" s="36" t="inlineStr">
        <is>
          <t>Retail Partners</t>
        </is>
      </c>
      <c r="F1918" s="36" t="inlineStr">
        <is>
          <t>Business</t>
        </is>
      </c>
      <c r="G1918" s="36" t="inlineStr">
        <is>
          <t>Travel</t>
        </is>
      </c>
      <c r="H1918" s="36" t="inlineStr">
        <is>
          <t>Travel Backpack 35L</t>
        </is>
      </c>
      <c r="I1918" s="36" t="n">
        <v>4</v>
      </c>
      <c r="J1918" s="39" t="n">
        <v>168.48</v>
      </c>
      <c r="K1918" s="45" t="n">
        <v>0.1</v>
      </c>
      <c r="L1918" s="39" t="n">
        <v>89.84999999999999</v>
      </c>
      <c r="M1918" s="39">
        <f>I1918*J1918*(1-K1918)</f>
        <v/>
      </c>
      <c r="N1918" s="39">
        <f>I1918*L1918</f>
        <v/>
      </c>
      <c r="O1918" s="39">
        <f>M1918-N1918</f>
        <v/>
      </c>
      <c r="P1918" s="38">
        <f>IF(M1918=0,0,O1918/M1918)</f>
        <v/>
      </c>
      <c r="Q1918" s="36">
        <f>YEAR(B1918)</f>
        <v/>
      </c>
      <c r="R1918" s="36">
        <f>"Q"&amp;ROUNDUP(MONTH(B1918)/3,0)</f>
        <v/>
      </c>
      <c r="S1918" s="36">
        <f>MONTH(B1918)</f>
        <v/>
      </c>
      <c r="T1918" s="36">
        <f>TEXT(B1918,"mmm")</f>
        <v/>
      </c>
      <c r="U1918" s="36">
        <f>IF(AND(OR(sel_Region="All",C1918=sel_Region),OR(sel_Country="All",D1918=sel_Country),OR(sel_Channel="All",E1918=sel_Channel),OR(sel_Customer="All",F1918=sel_Customer),OR(sel_Category="All",G1918=sel_Category),OR(sel_Product="All",H1918=sel_Product),AND(S1918&gt;=m_From,S1918&lt;=m_To)),1,0)</f>
        <v/>
      </c>
      <c r="V1918" s="36">
        <f>IF(AND(OR(sel_Region="All",C1918=sel_Region),OR(sel_Channel="All",E1918=sel_Channel),OR(sel_Customer="All",F1918=sel_Customer),OR(sel_Category="All",G1918=sel_Category),OR(sel_Product="All",H1918=sel_Product),AND(S1918&gt;=m_From,S1918&lt;=m_To)),1,0)</f>
        <v/>
      </c>
      <c r="W1918" s="36">
        <f>IF(AND(OR(sel_Region="All",C1918=sel_Region),OR(sel_Country="All",D1918=sel_Country),OR(sel_Customer="All",F1918=sel_Customer),OR(sel_Category="All",G1918=sel_Category),OR(sel_Product="All",H1918=sel_Product),AND(S1918&gt;=m_From,S1918&lt;=m_To)),1,0)</f>
        <v/>
      </c>
      <c r="X1918" s="36">
        <f>IF(AND(OR(sel_Region="All",C1918=sel_Region),OR(sel_Country="All",D1918=sel_Country),OR(sel_Channel="All",E1918=sel_Channel),OR(sel_Category="All",G1918=sel_Category),OR(sel_Product="All",H1918=sel_Product),AND(S1918&gt;=m_From,S1918&lt;=m_To)),1,0)</f>
        <v/>
      </c>
      <c r="Y1918" s="36">
        <f>IF(AND(OR(sel_Region="All",C1918=sel_Region),OR(sel_Country="All",D1918=sel_Country),OR(sel_Channel="All",E1918=sel_Channel),OR(sel_Customer="All",F1918=sel_Customer),OR(sel_Product="All",H1918=sel_Product),AND(S1918&gt;=m_From,S1918&lt;=m_To)),1,0)</f>
        <v/>
      </c>
      <c r="Z1918" s="36">
        <f>IF(AND(OR(sel_Region="All",C1918=sel_Region),OR(sel_Country="All",D1918=sel_Country),OR(sel_Channel="All",E1918=sel_Channel),OR(sel_Customer="All",F1918=sel_Customer),OR(sel_Category="All",G1918=sel_Category),AND(S1918&gt;=m_From,S1918&lt;=m_To)),1,0)</f>
        <v/>
      </c>
      <c r="AA1918" s="36">
        <f>IF(AND(OR(sel_Region="All",C1918=sel_Region),OR(sel_Country="All",D1918=sel_Country),OR(sel_Channel="All",E1918=sel_Channel),OR(sel_Customer="All",F1918=sel_Customer),OR(sel_Category="All",G1918=sel_Category),OR(sel_Product="All",H1918=sel_Product)),1,0)</f>
        <v/>
      </c>
    </row>
    <row r="1919">
      <c r="A1919" s="36" t="inlineStr">
        <is>
          <t>00997</t>
        </is>
      </c>
      <c r="B1919" s="44" t="n">
        <v>46283</v>
      </c>
      <c r="C1919" s="36" t="inlineStr">
        <is>
          <t>Central Europe</t>
        </is>
      </c>
      <c r="D1919" s="36" t="inlineStr">
        <is>
          <t>Switzerland</t>
        </is>
      </c>
      <c r="E1919" s="36" t="inlineStr">
        <is>
          <t>Marketplace</t>
        </is>
      </c>
      <c r="F1919" s="36" t="inlineStr">
        <is>
          <t>Returning</t>
        </is>
      </c>
      <c r="G1919" s="36" t="inlineStr">
        <is>
          <t>Camping</t>
        </is>
      </c>
      <c r="H1919" s="36" t="inlineStr">
        <is>
          <t>Compact Sleeping Bag</t>
        </is>
      </c>
      <c r="I1919" s="36" t="n">
        <v>2</v>
      </c>
      <c r="J1919" s="39" t="n">
        <v>121.82</v>
      </c>
      <c r="K1919" s="45" t="n">
        <v>0</v>
      </c>
      <c r="L1919" s="39" t="n">
        <v>61.92</v>
      </c>
      <c r="M1919" s="39">
        <f>I1919*J1919*(1-K1919)</f>
        <v/>
      </c>
      <c r="N1919" s="39">
        <f>I1919*L1919</f>
        <v/>
      </c>
      <c r="O1919" s="39">
        <f>M1919-N1919</f>
        <v/>
      </c>
      <c r="P1919" s="38">
        <f>IF(M1919=0,0,O1919/M1919)</f>
        <v/>
      </c>
      <c r="Q1919" s="36">
        <f>YEAR(B1919)</f>
        <v/>
      </c>
      <c r="R1919" s="36">
        <f>"Q"&amp;ROUNDUP(MONTH(B1919)/3,0)</f>
        <v/>
      </c>
      <c r="S1919" s="36">
        <f>MONTH(B1919)</f>
        <v/>
      </c>
      <c r="T1919" s="36">
        <f>TEXT(B1919,"mmm")</f>
        <v/>
      </c>
      <c r="U1919" s="36">
        <f>IF(AND(OR(sel_Region="All",C1919=sel_Region),OR(sel_Country="All",D1919=sel_Country),OR(sel_Channel="All",E1919=sel_Channel),OR(sel_Customer="All",F1919=sel_Customer),OR(sel_Category="All",G1919=sel_Category),OR(sel_Product="All",H1919=sel_Product),AND(S1919&gt;=m_From,S1919&lt;=m_To)),1,0)</f>
        <v/>
      </c>
      <c r="V1919" s="36">
        <f>IF(AND(OR(sel_Region="All",C1919=sel_Region),OR(sel_Channel="All",E1919=sel_Channel),OR(sel_Customer="All",F1919=sel_Customer),OR(sel_Category="All",G1919=sel_Category),OR(sel_Product="All",H1919=sel_Product),AND(S1919&gt;=m_From,S1919&lt;=m_To)),1,0)</f>
        <v/>
      </c>
      <c r="W1919" s="36">
        <f>IF(AND(OR(sel_Region="All",C1919=sel_Region),OR(sel_Country="All",D1919=sel_Country),OR(sel_Customer="All",F1919=sel_Customer),OR(sel_Category="All",G1919=sel_Category),OR(sel_Product="All",H1919=sel_Product),AND(S1919&gt;=m_From,S1919&lt;=m_To)),1,0)</f>
        <v/>
      </c>
      <c r="X1919" s="36">
        <f>IF(AND(OR(sel_Region="All",C1919=sel_Region),OR(sel_Country="All",D1919=sel_Country),OR(sel_Channel="All",E1919=sel_Channel),OR(sel_Category="All",G1919=sel_Category),OR(sel_Product="All",H1919=sel_Product),AND(S1919&gt;=m_From,S1919&lt;=m_To)),1,0)</f>
        <v/>
      </c>
      <c r="Y1919" s="36">
        <f>IF(AND(OR(sel_Region="All",C1919=sel_Region),OR(sel_Country="All",D1919=sel_Country),OR(sel_Channel="All",E1919=sel_Channel),OR(sel_Customer="All",F1919=sel_Customer),OR(sel_Product="All",H1919=sel_Product),AND(S1919&gt;=m_From,S1919&lt;=m_To)),1,0)</f>
        <v/>
      </c>
      <c r="Z1919" s="36">
        <f>IF(AND(OR(sel_Region="All",C1919=sel_Region),OR(sel_Country="All",D1919=sel_Country),OR(sel_Channel="All",E1919=sel_Channel),OR(sel_Customer="All",F1919=sel_Customer),OR(sel_Category="All",G1919=sel_Category),AND(S1919&gt;=m_From,S1919&lt;=m_To)),1,0)</f>
        <v/>
      </c>
      <c r="AA1919" s="36">
        <f>IF(AND(OR(sel_Region="All",C1919=sel_Region),OR(sel_Country="All",D1919=sel_Country),OR(sel_Channel="All",E1919=sel_Channel),OR(sel_Customer="All",F1919=sel_Customer),OR(sel_Category="All",G1919=sel_Category),OR(sel_Product="All",H1919=sel_Product)),1,0)</f>
        <v/>
      </c>
    </row>
    <row r="1920">
      <c r="A1920" s="36" t="inlineStr">
        <is>
          <t>02102</t>
        </is>
      </c>
      <c r="B1920" s="44" t="n">
        <v>46283</v>
      </c>
      <c r="C1920" s="36" t="inlineStr">
        <is>
          <t>Southern Europe</t>
        </is>
      </c>
      <c r="D1920" s="36" t="inlineStr">
        <is>
          <t>Italy</t>
        </is>
      </c>
      <c r="E1920" s="36" t="inlineStr">
        <is>
          <t>Retail Partners</t>
        </is>
      </c>
      <c r="F1920" s="36" t="inlineStr">
        <is>
          <t>Returning</t>
        </is>
      </c>
      <c r="G1920" s="36" t="inlineStr">
        <is>
          <t>Cycling</t>
        </is>
      </c>
      <c r="H1920" s="36" t="inlineStr">
        <is>
          <t>Trail Bike Light</t>
        </is>
      </c>
      <c r="I1920" s="36" t="n">
        <v>1</v>
      </c>
      <c r="J1920" s="39" t="n">
        <v>50.02</v>
      </c>
      <c r="K1920" s="45" t="n">
        <v>0.1</v>
      </c>
      <c r="L1920" s="39" t="n">
        <v>22.47</v>
      </c>
      <c r="M1920" s="39">
        <f>I1920*J1920*(1-K1920)</f>
        <v/>
      </c>
      <c r="N1920" s="39">
        <f>I1920*L1920</f>
        <v/>
      </c>
      <c r="O1920" s="39">
        <f>M1920-N1920</f>
        <v/>
      </c>
      <c r="P1920" s="38">
        <f>IF(M1920=0,0,O1920/M1920)</f>
        <v/>
      </c>
      <c r="Q1920" s="36">
        <f>YEAR(B1920)</f>
        <v/>
      </c>
      <c r="R1920" s="36">
        <f>"Q"&amp;ROUNDUP(MONTH(B1920)/3,0)</f>
        <v/>
      </c>
      <c r="S1920" s="36">
        <f>MONTH(B1920)</f>
        <v/>
      </c>
      <c r="T1920" s="36">
        <f>TEXT(B1920,"mmm")</f>
        <v/>
      </c>
      <c r="U1920" s="36">
        <f>IF(AND(OR(sel_Region="All",C1920=sel_Region),OR(sel_Country="All",D1920=sel_Country),OR(sel_Channel="All",E1920=sel_Channel),OR(sel_Customer="All",F1920=sel_Customer),OR(sel_Category="All",G1920=sel_Category),OR(sel_Product="All",H1920=sel_Product),AND(S1920&gt;=m_From,S1920&lt;=m_To)),1,0)</f>
        <v/>
      </c>
      <c r="V1920" s="36">
        <f>IF(AND(OR(sel_Region="All",C1920=sel_Region),OR(sel_Channel="All",E1920=sel_Channel),OR(sel_Customer="All",F1920=sel_Customer),OR(sel_Category="All",G1920=sel_Category),OR(sel_Product="All",H1920=sel_Product),AND(S1920&gt;=m_From,S1920&lt;=m_To)),1,0)</f>
        <v/>
      </c>
      <c r="W1920" s="36">
        <f>IF(AND(OR(sel_Region="All",C1920=sel_Region),OR(sel_Country="All",D1920=sel_Country),OR(sel_Customer="All",F1920=sel_Customer),OR(sel_Category="All",G1920=sel_Category),OR(sel_Product="All",H1920=sel_Product),AND(S1920&gt;=m_From,S1920&lt;=m_To)),1,0)</f>
        <v/>
      </c>
      <c r="X1920" s="36">
        <f>IF(AND(OR(sel_Region="All",C1920=sel_Region),OR(sel_Country="All",D1920=sel_Country),OR(sel_Channel="All",E1920=sel_Channel),OR(sel_Category="All",G1920=sel_Category),OR(sel_Product="All",H1920=sel_Product),AND(S1920&gt;=m_From,S1920&lt;=m_To)),1,0)</f>
        <v/>
      </c>
      <c r="Y1920" s="36">
        <f>IF(AND(OR(sel_Region="All",C1920=sel_Region),OR(sel_Country="All",D1920=sel_Country),OR(sel_Channel="All",E1920=sel_Channel),OR(sel_Customer="All",F1920=sel_Customer),OR(sel_Product="All",H1920=sel_Product),AND(S1920&gt;=m_From,S1920&lt;=m_To)),1,0)</f>
        <v/>
      </c>
      <c r="Z1920" s="36">
        <f>IF(AND(OR(sel_Region="All",C1920=sel_Region),OR(sel_Country="All",D1920=sel_Country),OR(sel_Channel="All",E1920=sel_Channel),OR(sel_Customer="All",F1920=sel_Customer),OR(sel_Category="All",G1920=sel_Category),AND(S1920&gt;=m_From,S1920&lt;=m_To)),1,0)</f>
        <v/>
      </c>
      <c r="AA1920" s="36">
        <f>IF(AND(OR(sel_Region="All",C1920=sel_Region),OR(sel_Country="All",D1920=sel_Country),OR(sel_Channel="All",E1920=sel_Channel),OR(sel_Customer="All",F1920=sel_Customer),OR(sel_Category="All",G1920=sel_Category),OR(sel_Product="All",H1920=sel_Product)),1,0)</f>
        <v/>
      </c>
    </row>
    <row r="1921">
      <c r="A1921" s="36" t="inlineStr">
        <is>
          <t>02452</t>
        </is>
      </c>
      <c r="B1921" s="44" t="n">
        <v>46283</v>
      </c>
      <c r="C1921" s="36" t="inlineStr">
        <is>
          <t>Northern Europe</t>
        </is>
      </c>
      <c r="D1921" s="36" t="inlineStr">
        <is>
          <t>Denmark</t>
        </is>
      </c>
      <c r="E1921" s="36" t="inlineStr">
        <is>
          <t>Online Store</t>
        </is>
      </c>
      <c r="F1921" s="36" t="inlineStr">
        <is>
          <t>New</t>
        </is>
      </c>
      <c r="G1921" s="36" t="inlineStr">
        <is>
          <t>Fitness</t>
        </is>
      </c>
      <c r="H1921" s="36" t="inlineStr">
        <is>
          <t>Training Mat</t>
        </is>
      </c>
      <c r="I1921" s="36" t="n">
        <v>1</v>
      </c>
      <c r="J1921" s="39" t="n">
        <v>50.17</v>
      </c>
      <c r="K1921" s="45" t="n">
        <v>0.1</v>
      </c>
      <c r="L1921" s="39" t="n">
        <v>21.99</v>
      </c>
      <c r="M1921" s="39">
        <f>I1921*J1921*(1-K1921)</f>
        <v/>
      </c>
      <c r="N1921" s="39">
        <f>I1921*L1921</f>
        <v/>
      </c>
      <c r="O1921" s="39">
        <f>M1921-N1921</f>
        <v/>
      </c>
      <c r="P1921" s="38">
        <f>IF(M1921=0,0,O1921/M1921)</f>
        <v/>
      </c>
      <c r="Q1921" s="36">
        <f>YEAR(B1921)</f>
        <v/>
      </c>
      <c r="R1921" s="36">
        <f>"Q"&amp;ROUNDUP(MONTH(B1921)/3,0)</f>
        <v/>
      </c>
      <c r="S1921" s="36">
        <f>MONTH(B1921)</f>
        <v/>
      </c>
      <c r="T1921" s="36">
        <f>TEXT(B1921,"mmm")</f>
        <v/>
      </c>
      <c r="U1921" s="36">
        <f>IF(AND(OR(sel_Region="All",C1921=sel_Region),OR(sel_Country="All",D1921=sel_Country),OR(sel_Channel="All",E1921=sel_Channel),OR(sel_Customer="All",F1921=sel_Customer),OR(sel_Category="All",G1921=sel_Category),OR(sel_Product="All",H1921=sel_Product),AND(S1921&gt;=m_From,S1921&lt;=m_To)),1,0)</f>
        <v/>
      </c>
      <c r="V1921" s="36">
        <f>IF(AND(OR(sel_Region="All",C1921=sel_Region),OR(sel_Channel="All",E1921=sel_Channel),OR(sel_Customer="All",F1921=sel_Customer),OR(sel_Category="All",G1921=sel_Category),OR(sel_Product="All",H1921=sel_Product),AND(S1921&gt;=m_From,S1921&lt;=m_To)),1,0)</f>
        <v/>
      </c>
      <c r="W1921" s="36">
        <f>IF(AND(OR(sel_Region="All",C1921=sel_Region),OR(sel_Country="All",D1921=sel_Country),OR(sel_Customer="All",F1921=sel_Customer),OR(sel_Category="All",G1921=sel_Category),OR(sel_Product="All",H1921=sel_Product),AND(S1921&gt;=m_From,S1921&lt;=m_To)),1,0)</f>
        <v/>
      </c>
      <c r="X1921" s="36">
        <f>IF(AND(OR(sel_Region="All",C1921=sel_Region),OR(sel_Country="All",D1921=sel_Country),OR(sel_Channel="All",E1921=sel_Channel),OR(sel_Category="All",G1921=sel_Category),OR(sel_Product="All",H1921=sel_Product),AND(S1921&gt;=m_From,S1921&lt;=m_To)),1,0)</f>
        <v/>
      </c>
      <c r="Y1921" s="36">
        <f>IF(AND(OR(sel_Region="All",C1921=sel_Region),OR(sel_Country="All",D1921=sel_Country),OR(sel_Channel="All",E1921=sel_Channel),OR(sel_Customer="All",F1921=sel_Customer),OR(sel_Product="All",H1921=sel_Product),AND(S1921&gt;=m_From,S1921&lt;=m_To)),1,0)</f>
        <v/>
      </c>
      <c r="Z1921" s="36">
        <f>IF(AND(OR(sel_Region="All",C1921=sel_Region),OR(sel_Country="All",D1921=sel_Country),OR(sel_Channel="All",E1921=sel_Channel),OR(sel_Customer="All",F1921=sel_Customer),OR(sel_Category="All",G1921=sel_Category),AND(S1921&gt;=m_From,S1921&lt;=m_To)),1,0)</f>
        <v/>
      </c>
      <c r="AA1921" s="36">
        <f>IF(AND(OR(sel_Region="All",C1921=sel_Region),OR(sel_Country="All",D1921=sel_Country),OR(sel_Channel="All",E1921=sel_Channel),OR(sel_Customer="All",F1921=sel_Customer),OR(sel_Category="All",G1921=sel_Category),OR(sel_Product="All",H1921=sel_Product)),1,0)</f>
        <v/>
      </c>
    </row>
    <row r="1922">
      <c r="A1922" s="36" t="inlineStr">
        <is>
          <t>02761</t>
        </is>
      </c>
      <c r="B1922" s="44" t="n">
        <v>46283</v>
      </c>
      <c r="C1922" s="36" t="inlineStr">
        <is>
          <t>Southern Europe</t>
        </is>
      </c>
      <c r="D1922" s="36" t="inlineStr">
        <is>
          <t>Italy</t>
        </is>
      </c>
      <c r="E1922" s="36" t="inlineStr">
        <is>
          <t>Corporate</t>
        </is>
      </c>
      <c r="F1922" s="36" t="inlineStr">
        <is>
          <t>Business</t>
        </is>
      </c>
      <c r="G1922" s="36" t="inlineStr">
        <is>
          <t>Camping</t>
        </is>
      </c>
      <c r="H1922" s="36" t="inlineStr">
        <is>
          <t>Compact Sleeping Bag</t>
        </is>
      </c>
      <c r="I1922" s="36" t="n">
        <v>5</v>
      </c>
      <c r="J1922" s="39" t="n">
        <v>124.51</v>
      </c>
      <c r="K1922" s="45" t="n">
        <v>0.1</v>
      </c>
      <c r="L1922" s="39" t="n">
        <v>60.29</v>
      </c>
      <c r="M1922" s="39">
        <f>I1922*J1922*(1-K1922)</f>
        <v/>
      </c>
      <c r="N1922" s="39">
        <f>I1922*L1922</f>
        <v/>
      </c>
      <c r="O1922" s="39">
        <f>M1922-N1922</f>
        <v/>
      </c>
      <c r="P1922" s="38">
        <f>IF(M1922=0,0,O1922/M1922)</f>
        <v/>
      </c>
      <c r="Q1922" s="36">
        <f>YEAR(B1922)</f>
        <v/>
      </c>
      <c r="R1922" s="36">
        <f>"Q"&amp;ROUNDUP(MONTH(B1922)/3,0)</f>
        <v/>
      </c>
      <c r="S1922" s="36">
        <f>MONTH(B1922)</f>
        <v/>
      </c>
      <c r="T1922" s="36">
        <f>TEXT(B1922,"mmm")</f>
        <v/>
      </c>
      <c r="U1922" s="36">
        <f>IF(AND(OR(sel_Region="All",C1922=sel_Region),OR(sel_Country="All",D1922=sel_Country),OR(sel_Channel="All",E1922=sel_Channel),OR(sel_Customer="All",F1922=sel_Customer),OR(sel_Category="All",G1922=sel_Category),OR(sel_Product="All",H1922=sel_Product),AND(S1922&gt;=m_From,S1922&lt;=m_To)),1,0)</f>
        <v/>
      </c>
      <c r="V1922" s="36">
        <f>IF(AND(OR(sel_Region="All",C1922=sel_Region),OR(sel_Channel="All",E1922=sel_Channel),OR(sel_Customer="All",F1922=sel_Customer),OR(sel_Category="All",G1922=sel_Category),OR(sel_Product="All",H1922=sel_Product),AND(S1922&gt;=m_From,S1922&lt;=m_To)),1,0)</f>
        <v/>
      </c>
      <c r="W1922" s="36">
        <f>IF(AND(OR(sel_Region="All",C1922=sel_Region),OR(sel_Country="All",D1922=sel_Country),OR(sel_Customer="All",F1922=sel_Customer),OR(sel_Category="All",G1922=sel_Category),OR(sel_Product="All",H1922=sel_Product),AND(S1922&gt;=m_From,S1922&lt;=m_To)),1,0)</f>
        <v/>
      </c>
      <c r="X1922" s="36">
        <f>IF(AND(OR(sel_Region="All",C1922=sel_Region),OR(sel_Country="All",D1922=sel_Country),OR(sel_Channel="All",E1922=sel_Channel),OR(sel_Category="All",G1922=sel_Category),OR(sel_Product="All",H1922=sel_Product),AND(S1922&gt;=m_From,S1922&lt;=m_To)),1,0)</f>
        <v/>
      </c>
      <c r="Y1922" s="36">
        <f>IF(AND(OR(sel_Region="All",C1922=sel_Region),OR(sel_Country="All",D1922=sel_Country),OR(sel_Channel="All",E1922=sel_Channel),OR(sel_Customer="All",F1922=sel_Customer),OR(sel_Product="All",H1922=sel_Product),AND(S1922&gt;=m_From,S1922&lt;=m_To)),1,0)</f>
        <v/>
      </c>
      <c r="Z1922" s="36">
        <f>IF(AND(OR(sel_Region="All",C1922=sel_Region),OR(sel_Country="All",D1922=sel_Country),OR(sel_Channel="All",E1922=sel_Channel),OR(sel_Customer="All",F1922=sel_Customer),OR(sel_Category="All",G1922=sel_Category),AND(S1922&gt;=m_From,S1922&lt;=m_To)),1,0)</f>
        <v/>
      </c>
      <c r="AA1922" s="36">
        <f>IF(AND(OR(sel_Region="All",C1922=sel_Region),OR(sel_Country="All",D1922=sel_Country),OR(sel_Channel="All",E1922=sel_Channel),OR(sel_Customer="All",F1922=sel_Customer),OR(sel_Category="All",G1922=sel_Category),OR(sel_Product="All",H1922=sel_Product)),1,0)</f>
        <v/>
      </c>
    </row>
    <row r="1923">
      <c r="A1923" s="36" t="inlineStr">
        <is>
          <t>03993</t>
        </is>
      </c>
      <c r="B1923" s="44" t="n">
        <v>46283</v>
      </c>
      <c r="C1923" s="36" t="inlineStr">
        <is>
          <t>Central Europe</t>
        </is>
      </c>
      <c r="D1923" s="36" t="inlineStr">
        <is>
          <t>Germany</t>
        </is>
      </c>
      <c r="E1923" s="36" t="inlineStr">
        <is>
          <t>Marketplace</t>
        </is>
      </c>
      <c r="F1923" s="36" t="inlineStr">
        <is>
          <t>Returning</t>
        </is>
      </c>
      <c r="G1923" s="36" t="inlineStr">
        <is>
          <t>Hiking</t>
        </is>
      </c>
      <c r="H1923" s="36" t="inlineStr">
        <is>
          <t>Summit Backpack 45L</t>
        </is>
      </c>
      <c r="I1923" s="36" t="n">
        <v>1</v>
      </c>
      <c r="J1923" s="39" t="n">
        <v>153.68</v>
      </c>
      <c r="K1923" s="45" t="n">
        <v>0.05</v>
      </c>
      <c r="L1923" s="39" t="n">
        <v>77.42</v>
      </c>
      <c r="M1923" s="39">
        <f>I1923*J1923*(1-K1923)</f>
        <v/>
      </c>
      <c r="N1923" s="39">
        <f>I1923*L1923</f>
        <v/>
      </c>
      <c r="O1923" s="39">
        <f>M1923-N1923</f>
        <v/>
      </c>
      <c r="P1923" s="38">
        <f>IF(M1923=0,0,O1923/M1923)</f>
        <v/>
      </c>
      <c r="Q1923" s="36">
        <f>YEAR(B1923)</f>
        <v/>
      </c>
      <c r="R1923" s="36">
        <f>"Q"&amp;ROUNDUP(MONTH(B1923)/3,0)</f>
        <v/>
      </c>
      <c r="S1923" s="36">
        <f>MONTH(B1923)</f>
        <v/>
      </c>
      <c r="T1923" s="36">
        <f>TEXT(B1923,"mmm")</f>
        <v/>
      </c>
      <c r="U1923" s="36">
        <f>IF(AND(OR(sel_Region="All",C1923=sel_Region),OR(sel_Country="All",D1923=sel_Country),OR(sel_Channel="All",E1923=sel_Channel),OR(sel_Customer="All",F1923=sel_Customer),OR(sel_Category="All",G1923=sel_Category),OR(sel_Product="All",H1923=sel_Product),AND(S1923&gt;=m_From,S1923&lt;=m_To)),1,0)</f>
        <v/>
      </c>
      <c r="V1923" s="36">
        <f>IF(AND(OR(sel_Region="All",C1923=sel_Region),OR(sel_Channel="All",E1923=sel_Channel),OR(sel_Customer="All",F1923=sel_Customer),OR(sel_Category="All",G1923=sel_Category),OR(sel_Product="All",H1923=sel_Product),AND(S1923&gt;=m_From,S1923&lt;=m_To)),1,0)</f>
        <v/>
      </c>
      <c r="W1923" s="36">
        <f>IF(AND(OR(sel_Region="All",C1923=sel_Region),OR(sel_Country="All",D1923=sel_Country),OR(sel_Customer="All",F1923=sel_Customer),OR(sel_Category="All",G1923=sel_Category),OR(sel_Product="All",H1923=sel_Product),AND(S1923&gt;=m_From,S1923&lt;=m_To)),1,0)</f>
        <v/>
      </c>
      <c r="X1923" s="36">
        <f>IF(AND(OR(sel_Region="All",C1923=sel_Region),OR(sel_Country="All",D1923=sel_Country),OR(sel_Channel="All",E1923=sel_Channel),OR(sel_Category="All",G1923=sel_Category),OR(sel_Product="All",H1923=sel_Product),AND(S1923&gt;=m_From,S1923&lt;=m_To)),1,0)</f>
        <v/>
      </c>
      <c r="Y1923" s="36">
        <f>IF(AND(OR(sel_Region="All",C1923=sel_Region),OR(sel_Country="All",D1923=sel_Country),OR(sel_Channel="All",E1923=sel_Channel),OR(sel_Customer="All",F1923=sel_Customer),OR(sel_Product="All",H1923=sel_Product),AND(S1923&gt;=m_From,S1923&lt;=m_To)),1,0)</f>
        <v/>
      </c>
      <c r="Z1923" s="36">
        <f>IF(AND(OR(sel_Region="All",C1923=sel_Region),OR(sel_Country="All",D1923=sel_Country),OR(sel_Channel="All",E1923=sel_Channel),OR(sel_Customer="All",F1923=sel_Customer),OR(sel_Category="All",G1923=sel_Category),AND(S1923&gt;=m_From,S1923&lt;=m_To)),1,0)</f>
        <v/>
      </c>
      <c r="AA1923" s="36">
        <f>IF(AND(OR(sel_Region="All",C1923=sel_Region),OR(sel_Country="All",D1923=sel_Country),OR(sel_Channel="All",E1923=sel_Channel),OR(sel_Customer="All",F1923=sel_Customer),OR(sel_Category="All",G1923=sel_Category),OR(sel_Product="All",H1923=sel_Product)),1,0)</f>
        <v/>
      </c>
    </row>
    <row r="1924">
      <c r="A1924" s="36" t="inlineStr">
        <is>
          <t>04343</t>
        </is>
      </c>
      <c r="B1924" s="44" t="n">
        <v>46283</v>
      </c>
      <c r="C1924" s="36" t="inlineStr">
        <is>
          <t>Central Europe</t>
        </is>
      </c>
      <c r="D1924" s="36" t="inlineStr">
        <is>
          <t>Germany</t>
        </is>
      </c>
      <c r="E1924" s="36" t="inlineStr">
        <is>
          <t>Marketplace</t>
        </is>
      </c>
      <c r="F1924" s="36" t="inlineStr">
        <is>
          <t>New</t>
        </is>
      </c>
      <c r="G1924" s="36" t="inlineStr">
        <is>
          <t>Camping</t>
        </is>
      </c>
      <c r="H1924" s="36" t="inlineStr">
        <is>
          <t>Compact Sleeping Bag</t>
        </is>
      </c>
      <c r="I1924" s="36" t="n">
        <v>2</v>
      </c>
      <c r="J1924" s="39" t="n">
        <v>121.37</v>
      </c>
      <c r="K1924" s="45" t="n">
        <v>0.05</v>
      </c>
      <c r="L1924" s="39" t="n">
        <v>60.13</v>
      </c>
      <c r="M1924" s="39">
        <f>I1924*J1924*(1-K1924)</f>
        <v/>
      </c>
      <c r="N1924" s="39">
        <f>I1924*L1924</f>
        <v/>
      </c>
      <c r="O1924" s="39">
        <f>M1924-N1924</f>
        <v/>
      </c>
      <c r="P1924" s="38">
        <f>IF(M1924=0,0,O1924/M1924)</f>
        <v/>
      </c>
      <c r="Q1924" s="36">
        <f>YEAR(B1924)</f>
        <v/>
      </c>
      <c r="R1924" s="36">
        <f>"Q"&amp;ROUNDUP(MONTH(B1924)/3,0)</f>
        <v/>
      </c>
      <c r="S1924" s="36">
        <f>MONTH(B1924)</f>
        <v/>
      </c>
      <c r="T1924" s="36">
        <f>TEXT(B1924,"mmm")</f>
        <v/>
      </c>
      <c r="U1924" s="36">
        <f>IF(AND(OR(sel_Region="All",C1924=sel_Region),OR(sel_Country="All",D1924=sel_Country),OR(sel_Channel="All",E1924=sel_Channel),OR(sel_Customer="All",F1924=sel_Customer),OR(sel_Category="All",G1924=sel_Category),OR(sel_Product="All",H1924=sel_Product),AND(S1924&gt;=m_From,S1924&lt;=m_To)),1,0)</f>
        <v/>
      </c>
      <c r="V1924" s="36">
        <f>IF(AND(OR(sel_Region="All",C1924=sel_Region),OR(sel_Channel="All",E1924=sel_Channel),OR(sel_Customer="All",F1924=sel_Customer),OR(sel_Category="All",G1924=sel_Category),OR(sel_Product="All",H1924=sel_Product),AND(S1924&gt;=m_From,S1924&lt;=m_To)),1,0)</f>
        <v/>
      </c>
      <c r="W1924" s="36">
        <f>IF(AND(OR(sel_Region="All",C1924=sel_Region),OR(sel_Country="All",D1924=sel_Country),OR(sel_Customer="All",F1924=sel_Customer),OR(sel_Category="All",G1924=sel_Category),OR(sel_Product="All",H1924=sel_Product),AND(S1924&gt;=m_From,S1924&lt;=m_To)),1,0)</f>
        <v/>
      </c>
      <c r="X1924" s="36">
        <f>IF(AND(OR(sel_Region="All",C1924=sel_Region),OR(sel_Country="All",D1924=sel_Country),OR(sel_Channel="All",E1924=sel_Channel),OR(sel_Category="All",G1924=sel_Category),OR(sel_Product="All",H1924=sel_Product),AND(S1924&gt;=m_From,S1924&lt;=m_To)),1,0)</f>
        <v/>
      </c>
      <c r="Y1924" s="36">
        <f>IF(AND(OR(sel_Region="All",C1924=sel_Region),OR(sel_Country="All",D1924=sel_Country),OR(sel_Channel="All",E1924=sel_Channel),OR(sel_Customer="All",F1924=sel_Customer),OR(sel_Product="All",H1924=sel_Product),AND(S1924&gt;=m_From,S1924&lt;=m_To)),1,0)</f>
        <v/>
      </c>
      <c r="Z1924" s="36">
        <f>IF(AND(OR(sel_Region="All",C1924=sel_Region),OR(sel_Country="All",D1924=sel_Country),OR(sel_Channel="All",E1924=sel_Channel),OR(sel_Customer="All",F1924=sel_Customer),OR(sel_Category="All",G1924=sel_Category),AND(S1924&gt;=m_From,S1924&lt;=m_To)),1,0)</f>
        <v/>
      </c>
      <c r="AA1924" s="36">
        <f>IF(AND(OR(sel_Region="All",C1924=sel_Region),OR(sel_Country="All",D1924=sel_Country),OR(sel_Channel="All",E1924=sel_Channel),OR(sel_Customer="All",F1924=sel_Customer),OR(sel_Category="All",G1924=sel_Category),OR(sel_Product="All",H1924=sel_Product)),1,0)</f>
        <v/>
      </c>
    </row>
    <row r="1925">
      <c r="A1925" s="36" t="inlineStr">
        <is>
          <t>04429</t>
        </is>
      </c>
      <c r="B1925" s="44" t="n">
        <v>46283</v>
      </c>
      <c r="C1925" s="36" t="inlineStr">
        <is>
          <t>Southern Europe</t>
        </is>
      </c>
      <c r="D1925" s="36" t="inlineStr">
        <is>
          <t>Italy</t>
        </is>
      </c>
      <c r="E1925" s="36" t="inlineStr">
        <is>
          <t>Online Store</t>
        </is>
      </c>
      <c r="F1925" s="36" t="inlineStr">
        <is>
          <t>Business</t>
        </is>
      </c>
      <c r="G1925" s="36" t="inlineStr">
        <is>
          <t>Hiking</t>
        </is>
      </c>
      <c r="H1925" s="36" t="inlineStr">
        <is>
          <t>Trail Boots</t>
        </is>
      </c>
      <c r="I1925" s="36" t="n">
        <v>2</v>
      </c>
      <c r="J1925" s="39" t="n">
        <v>145.1</v>
      </c>
      <c r="K1925" s="45" t="n">
        <v>0.1</v>
      </c>
      <c r="L1925" s="39" t="n">
        <v>77.62</v>
      </c>
      <c r="M1925" s="39">
        <f>I1925*J1925*(1-K1925)</f>
        <v/>
      </c>
      <c r="N1925" s="39">
        <f>I1925*L1925</f>
        <v/>
      </c>
      <c r="O1925" s="39">
        <f>M1925-N1925</f>
        <v/>
      </c>
      <c r="P1925" s="38">
        <f>IF(M1925=0,0,O1925/M1925)</f>
        <v/>
      </c>
      <c r="Q1925" s="36">
        <f>YEAR(B1925)</f>
        <v/>
      </c>
      <c r="R1925" s="36">
        <f>"Q"&amp;ROUNDUP(MONTH(B1925)/3,0)</f>
        <v/>
      </c>
      <c r="S1925" s="36">
        <f>MONTH(B1925)</f>
        <v/>
      </c>
      <c r="T1925" s="36">
        <f>TEXT(B1925,"mmm")</f>
        <v/>
      </c>
      <c r="U1925" s="36">
        <f>IF(AND(OR(sel_Region="All",C1925=sel_Region),OR(sel_Country="All",D1925=sel_Country),OR(sel_Channel="All",E1925=sel_Channel),OR(sel_Customer="All",F1925=sel_Customer),OR(sel_Category="All",G1925=sel_Category),OR(sel_Product="All",H1925=sel_Product),AND(S1925&gt;=m_From,S1925&lt;=m_To)),1,0)</f>
        <v/>
      </c>
      <c r="V1925" s="36">
        <f>IF(AND(OR(sel_Region="All",C1925=sel_Region),OR(sel_Channel="All",E1925=sel_Channel),OR(sel_Customer="All",F1925=sel_Customer),OR(sel_Category="All",G1925=sel_Category),OR(sel_Product="All",H1925=sel_Product),AND(S1925&gt;=m_From,S1925&lt;=m_To)),1,0)</f>
        <v/>
      </c>
      <c r="W1925" s="36">
        <f>IF(AND(OR(sel_Region="All",C1925=sel_Region),OR(sel_Country="All",D1925=sel_Country),OR(sel_Customer="All",F1925=sel_Customer),OR(sel_Category="All",G1925=sel_Category),OR(sel_Product="All",H1925=sel_Product),AND(S1925&gt;=m_From,S1925&lt;=m_To)),1,0)</f>
        <v/>
      </c>
      <c r="X1925" s="36">
        <f>IF(AND(OR(sel_Region="All",C1925=sel_Region),OR(sel_Country="All",D1925=sel_Country),OR(sel_Channel="All",E1925=sel_Channel),OR(sel_Category="All",G1925=sel_Category),OR(sel_Product="All",H1925=sel_Product),AND(S1925&gt;=m_From,S1925&lt;=m_To)),1,0)</f>
        <v/>
      </c>
      <c r="Y1925" s="36">
        <f>IF(AND(OR(sel_Region="All",C1925=sel_Region),OR(sel_Country="All",D1925=sel_Country),OR(sel_Channel="All",E1925=sel_Channel),OR(sel_Customer="All",F1925=sel_Customer),OR(sel_Product="All",H1925=sel_Product),AND(S1925&gt;=m_From,S1925&lt;=m_To)),1,0)</f>
        <v/>
      </c>
      <c r="Z1925" s="36">
        <f>IF(AND(OR(sel_Region="All",C1925=sel_Region),OR(sel_Country="All",D1925=sel_Country),OR(sel_Channel="All",E1925=sel_Channel),OR(sel_Customer="All",F1925=sel_Customer),OR(sel_Category="All",G1925=sel_Category),AND(S1925&gt;=m_From,S1925&lt;=m_To)),1,0)</f>
        <v/>
      </c>
      <c r="AA1925" s="36">
        <f>IF(AND(OR(sel_Region="All",C1925=sel_Region),OR(sel_Country="All",D1925=sel_Country),OR(sel_Channel="All",E1925=sel_Channel),OR(sel_Customer="All",F1925=sel_Customer),OR(sel_Category="All",G1925=sel_Category),OR(sel_Product="All",H1925=sel_Product)),1,0)</f>
        <v/>
      </c>
    </row>
    <row r="1926">
      <c r="A1926" s="36" t="inlineStr">
        <is>
          <t>04824</t>
        </is>
      </c>
      <c r="B1926" s="44" t="n">
        <v>46283</v>
      </c>
      <c r="C1926" s="36" t="inlineStr">
        <is>
          <t>Western Europe</t>
        </is>
      </c>
      <c r="D1926" s="36" t="inlineStr">
        <is>
          <t>United Kingdom</t>
        </is>
      </c>
      <c r="E1926" s="36" t="inlineStr">
        <is>
          <t>Online Store</t>
        </is>
      </c>
      <c r="F1926" s="36" t="inlineStr">
        <is>
          <t>Returning</t>
        </is>
      </c>
      <c r="G1926" s="36" t="inlineStr">
        <is>
          <t>Fitness</t>
        </is>
      </c>
      <c r="H1926" s="36" t="inlineStr">
        <is>
          <t>Recovery Roller</t>
        </is>
      </c>
      <c r="I1926" s="36" t="n">
        <v>1</v>
      </c>
      <c r="J1926" s="39" t="n">
        <v>36.73</v>
      </c>
      <c r="K1926" s="45" t="n">
        <v>0.05</v>
      </c>
      <c r="L1926" s="39" t="n">
        <v>14.11</v>
      </c>
      <c r="M1926" s="39">
        <f>I1926*J1926*(1-K1926)</f>
        <v/>
      </c>
      <c r="N1926" s="39">
        <f>I1926*L1926</f>
        <v/>
      </c>
      <c r="O1926" s="39">
        <f>M1926-N1926</f>
        <v/>
      </c>
      <c r="P1926" s="38">
        <f>IF(M1926=0,0,O1926/M1926)</f>
        <v/>
      </c>
      <c r="Q1926" s="36">
        <f>YEAR(B1926)</f>
        <v/>
      </c>
      <c r="R1926" s="36">
        <f>"Q"&amp;ROUNDUP(MONTH(B1926)/3,0)</f>
        <v/>
      </c>
      <c r="S1926" s="36">
        <f>MONTH(B1926)</f>
        <v/>
      </c>
      <c r="T1926" s="36">
        <f>TEXT(B1926,"mmm")</f>
        <v/>
      </c>
      <c r="U1926" s="36">
        <f>IF(AND(OR(sel_Region="All",C1926=sel_Region),OR(sel_Country="All",D1926=sel_Country),OR(sel_Channel="All",E1926=sel_Channel),OR(sel_Customer="All",F1926=sel_Customer),OR(sel_Category="All",G1926=sel_Category),OR(sel_Product="All",H1926=sel_Product),AND(S1926&gt;=m_From,S1926&lt;=m_To)),1,0)</f>
        <v/>
      </c>
      <c r="V1926" s="36">
        <f>IF(AND(OR(sel_Region="All",C1926=sel_Region),OR(sel_Channel="All",E1926=sel_Channel),OR(sel_Customer="All",F1926=sel_Customer),OR(sel_Category="All",G1926=sel_Category),OR(sel_Product="All",H1926=sel_Product),AND(S1926&gt;=m_From,S1926&lt;=m_To)),1,0)</f>
        <v/>
      </c>
      <c r="W1926" s="36">
        <f>IF(AND(OR(sel_Region="All",C1926=sel_Region),OR(sel_Country="All",D1926=sel_Country),OR(sel_Customer="All",F1926=sel_Customer),OR(sel_Category="All",G1926=sel_Category),OR(sel_Product="All",H1926=sel_Product),AND(S1926&gt;=m_From,S1926&lt;=m_To)),1,0)</f>
        <v/>
      </c>
      <c r="X1926" s="36">
        <f>IF(AND(OR(sel_Region="All",C1926=sel_Region),OR(sel_Country="All",D1926=sel_Country),OR(sel_Channel="All",E1926=sel_Channel),OR(sel_Category="All",G1926=sel_Category),OR(sel_Product="All",H1926=sel_Product),AND(S1926&gt;=m_From,S1926&lt;=m_To)),1,0)</f>
        <v/>
      </c>
      <c r="Y1926" s="36">
        <f>IF(AND(OR(sel_Region="All",C1926=sel_Region),OR(sel_Country="All",D1926=sel_Country),OR(sel_Channel="All",E1926=sel_Channel),OR(sel_Customer="All",F1926=sel_Customer),OR(sel_Product="All",H1926=sel_Product),AND(S1926&gt;=m_From,S1926&lt;=m_To)),1,0)</f>
        <v/>
      </c>
      <c r="Z1926" s="36">
        <f>IF(AND(OR(sel_Region="All",C1926=sel_Region),OR(sel_Country="All",D1926=sel_Country),OR(sel_Channel="All",E1926=sel_Channel),OR(sel_Customer="All",F1926=sel_Customer),OR(sel_Category="All",G1926=sel_Category),AND(S1926&gt;=m_From,S1926&lt;=m_To)),1,0)</f>
        <v/>
      </c>
      <c r="AA1926" s="36">
        <f>IF(AND(OR(sel_Region="All",C1926=sel_Region),OR(sel_Country="All",D1926=sel_Country),OR(sel_Channel="All",E1926=sel_Channel),OR(sel_Customer="All",F1926=sel_Customer),OR(sel_Category="All",G1926=sel_Category),OR(sel_Product="All",H1926=sel_Product)),1,0)</f>
        <v/>
      </c>
    </row>
    <row r="1927">
      <c r="A1927" s="36" t="inlineStr">
        <is>
          <t>04881</t>
        </is>
      </c>
      <c r="B1927" s="44" t="n">
        <v>46283</v>
      </c>
      <c r="C1927" s="36" t="inlineStr">
        <is>
          <t>Northern Europe</t>
        </is>
      </c>
      <c r="D1927" s="36" t="inlineStr">
        <is>
          <t>Sweden</t>
        </is>
      </c>
      <c r="E1927" s="36" t="inlineStr">
        <is>
          <t>Online Store</t>
        </is>
      </c>
      <c r="F1927" s="36" t="inlineStr">
        <is>
          <t>Business</t>
        </is>
      </c>
      <c r="G1927" s="36" t="inlineStr">
        <is>
          <t>Travel</t>
        </is>
      </c>
      <c r="H1927" s="36" t="inlineStr">
        <is>
          <t>Carry-On Duffel</t>
        </is>
      </c>
      <c r="I1927" s="36" t="n">
        <v>4</v>
      </c>
      <c r="J1927" s="39" t="n">
        <v>134.15</v>
      </c>
      <c r="K1927" s="45" t="n">
        <v>0.05</v>
      </c>
      <c r="L1927" s="39" t="n">
        <v>65.58</v>
      </c>
      <c r="M1927" s="39">
        <f>I1927*J1927*(1-K1927)</f>
        <v/>
      </c>
      <c r="N1927" s="39">
        <f>I1927*L1927</f>
        <v/>
      </c>
      <c r="O1927" s="39">
        <f>M1927-N1927</f>
        <v/>
      </c>
      <c r="P1927" s="38">
        <f>IF(M1927=0,0,O1927/M1927)</f>
        <v/>
      </c>
      <c r="Q1927" s="36">
        <f>YEAR(B1927)</f>
        <v/>
      </c>
      <c r="R1927" s="36">
        <f>"Q"&amp;ROUNDUP(MONTH(B1927)/3,0)</f>
        <v/>
      </c>
      <c r="S1927" s="36">
        <f>MONTH(B1927)</f>
        <v/>
      </c>
      <c r="T1927" s="36">
        <f>TEXT(B1927,"mmm")</f>
        <v/>
      </c>
      <c r="U1927" s="36">
        <f>IF(AND(OR(sel_Region="All",C1927=sel_Region),OR(sel_Country="All",D1927=sel_Country),OR(sel_Channel="All",E1927=sel_Channel),OR(sel_Customer="All",F1927=sel_Customer),OR(sel_Category="All",G1927=sel_Category),OR(sel_Product="All",H1927=sel_Product),AND(S1927&gt;=m_From,S1927&lt;=m_To)),1,0)</f>
        <v/>
      </c>
      <c r="V1927" s="36">
        <f>IF(AND(OR(sel_Region="All",C1927=sel_Region),OR(sel_Channel="All",E1927=sel_Channel),OR(sel_Customer="All",F1927=sel_Customer),OR(sel_Category="All",G1927=sel_Category),OR(sel_Product="All",H1927=sel_Product),AND(S1927&gt;=m_From,S1927&lt;=m_To)),1,0)</f>
        <v/>
      </c>
      <c r="W1927" s="36">
        <f>IF(AND(OR(sel_Region="All",C1927=sel_Region),OR(sel_Country="All",D1927=sel_Country),OR(sel_Customer="All",F1927=sel_Customer),OR(sel_Category="All",G1927=sel_Category),OR(sel_Product="All",H1927=sel_Product),AND(S1927&gt;=m_From,S1927&lt;=m_To)),1,0)</f>
        <v/>
      </c>
      <c r="X1927" s="36">
        <f>IF(AND(OR(sel_Region="All",C1927=sel_Region),OR(sel_Country="All",D1927=sel_Country),OR(sel_Channel="All",E1927=sel_Channel),OR(sel_Category="All",G1927=sel_Category),OR(sel_Product="All",H1927=sel_Product),AND(S1927&gt;=m_From,S1927&lt;=m_To)),1,0)</f>
        <v/>
      </c>
      <c r="Y1927" s="36">
        <f>IF(AND(OR(sel_Region="All",C1927=sel_Region),OR(sel_Country="All",D1927=sel_Country),OR(sel_Channel="All",E1927=sel_Channel),OR(sel_Customer="All",F1927=sel_Customer),OR(sel_Product="All",H1927=sel_Product),AND(S1927&gt;=m_From,S1927&lt;=m_To)),1,0)</f>
        <v/>
      </c>
      <c r="Z1927" s="36">
        <f>IF(AND(OR(sel_Region="All",C1927=sel_Region),OR(sel_Country="All",D1927=sel_Country),OR(sel_Channel="All",E1927=sel_Channel),OR(sel_Customer="All",F1927=sel_Customer),OR(sel_Category="All",G1927=sel_Category),AND(S1927&gt;=m_From,S1927&lt;=m_To)),1,0)</f>
        <v/>
      </c>
      <c r="AA1927" s="36">
        <f>IF(AND(OR(sel_Region="All",C1927=sel_Region),OR(sel_Country="All",D1927=sel_Country),OR(sel_Channel="All",E1927=sel_Channel),OR(sel_Customer="All",F1927=sel_Customer),OR(sel_Category="All",G1927=sel_Category),OR(sel_Product="All",H1927=sel_Product)),1,0)</f>
        <v/>
      </c>
    </row>
    <row r="1928">
      <c r="A1928" s="36" t="inlineStr">
        <is>
          <t>05138</t>
        </is>
      </c>
      <c r="B1928" s="44" t="n">
        <v>46283</v>
      </c>
      <c r="C1928" s="36" t="inlineStr">
        <is>
          <t>Southern Europe</t>
        </is>
      </c>
      <c r="D1928" s="36" t="inlineStr">
        <is>
          <t>Spain</t>
        </is>
      </c>
      <c r="E1928" s="36" t="inlineStr">
        <is>
          <t>Corporate</t>
        </is>
      </c>
      <c r="F1928" s="36" t="inlineStr">
        <is>
          <t>Business</t>
        </is>
      </c>
      <c r="G1928" s="36" t="inlineStr">
        <is>
          <t>Hiking</t>
        </is>
      </c>
      <c r="H1928" s="36" t="inlineStr">
        <is>
          <t>Hiking Daypack 20L</t>
        </is>
      </c>
      <c r="I1928" s="36" t="n">
        <v>8</v>
      </c>
      <c r="J1928" s="39" t="n">
        <v>94.20999999999999</v>
      </c>
      <c r="K1928" s="45" t="n">
        <v>0.1</v>
      </c>
      <c r="L1928" s="39" t="n">
        <v>45.05</v>
      </c>
      <c r="M1928" s="39">
        <f>I1928*J1928*(1-K1928)</f>
        <v/>
      </c>
      <c r="N1928" s="39">
        <f>I1928*L1928</f>
        <v/>
      </c>
      <c r="O1928" s="39">
        <f>M1928-N1928</f>
        <v/>
      </c>
      <c r="P1928" s="38">
        <f>IF(M1928=0,0,O1928/M1928)</f>
        <v/>
      </c>
      <c r="Q1928" s="36">
        <f>YEAR(B1928)</f>
        <v/>
      </c>
      <c r="R1928" s="36">
        <f>"Q"&amp;ROUNDUP(MONTH(B1928)/3,0)</f>
        <v/>
      </c>
      <c r="S1928" s="36">
        <f>MONTH(B1928)</f>
        <v/>
      </c>
      <c r="T1928" s="36">
        <f>TEXT(B1928,"mmm")</f>
        <v/>
      </c>
      <c r="U1928" s="36">
        <f>IF(AND(OR(sel_Region="All",C1928=sel_Region),OR(sel_Country="All",D1928=sel_Country),OR(sel_Channel="All",E1928=sel_Channel),OR(sel_Customer="All",F1928=sel_Customer),OR(sel_Category="All",G1928=sel_Category),OR(sel_Product="All",H1928=sel_Product),AND(S1928&gt;=m_From,S1928&lt;=m_To)),1,0)</f>
        <v/>
      </c>
      <c r="V1928" s="36">
        <f>IF(AND(OR(sel_Region="All",C1928=sel_Region),OR(sel_Channel="All",E1928=sel_Channel),OR(sel_Customer="All",F1928=sel_Customer),OR(sel_Category="All",G1928=sel_Category),OR(sel_Product="All",H1928=sel_Product),AND(S1928&gt;=m_From,S1928&lt;=m_To)),1,0)</f>
        <v/>
      </c>
      <c r="W1928" s="36">
        <f>IF(AND(OR(sel_Region="All",C1928=sel_Region),OR(sel_Country="All",D1928=sel_Country),OR(sel_Customer="All",F1928=sel_Customer),OR(sel_Category="All",G1928=sel_Category),OR(sel_Product="All",H1928=sel_Product),AND(S1928&gt;=m_From,S1928&lt;=m_To)),1,0)</f>
        <v/>
      </c>
      <c r="X1928" s="36">
        <f>IF(AND(OR(sel_Region="All",C1928=sel_Region),OR(sel_Country="All",D1928=sel_Country),OR(sel_Channel="All",E1928=sel_Channel),OR(sel_Category="All",G1928=sel_Category),OR(sel_Product="All",H1928=sel_Product),AND(S1928&gt;=m_From,S1928&lt;=m_To)),1,0)</f>
        <v/>
      </c>
      <c r="Y1928" s="36">
        <f>IF(AND(OR(sel_Region="All",C1928=sel_Region),OR(sel_Country="All",D1928=sel_Country),OR(sel_Channel="All",E1928=sel_Channel),OR(sel_Customer="All",F1928=sel_Customer),OR(sel_Product="All",H1928=sel_Product),AND(S1928&gt;=m_From,S1928&lt;=m_To)),1,0)</f>
        <v/>
      </c>
      <c r="Z1928" s="36">
        <f>IF(AND(OR(sel_Region="All",C1928=sel_Region),OR(sel_Country="All",D1928=sel_Country),OR(sel_Channel="All",E1928=sel_Channel),OR(sel_Customer="All",F1928=sel_Customer),OR(sel_Category="All",G1928=sel_Category),AND(S1928&gt;=m_From,S1928&lt;=m_To)),1,0)</f>
        <v/>
      </c>
      <c r="AA1928" s="36">
        <f>IF(AND(OR(sel_Region="All",C1928=sel_Region),OR(sel_Country="All",D1928=sel_Country),OR(sel_Channel="All",E1928=sel_Channel),OR(sel_Customer="All",F1928=sel_Customer),OR(sel_Category="All",G1928=sel_Category),OR(sel_Product="All",H1928=sel_Product)),1,0)</f>
        <v/>
      </c>
    </row>
    <row r="1929">
      <c r="A1929" s="36" t="inlineStr">
        <is>
          <t>01214</t>
        </is>
      </c>
      <c r="B1929" s="44" t="n">
        <v>46284</v>
      </c>
      <c r="C1929" s="36" t="inlineStr">
        <is>
          <t>Southern Europe</t>
        </is>
      </c>
      <c r="D1929" s="36" t="inlineStr">
        <is>
          <t>Italy</t>
        </is>
      </c>
      <c r="E1929" s="36" t="inlineStr">
        <is>
          <t>Retail Partners</t>
        </is>
      </c>
      <c r="F1929" s="36" t="inlineStr">
        <is>
          <t>Returning</t>
        </is>
      </c>
      <c r="G1929" s="36" t="inlineStr">
        <is>
          <t>Camping</t>
        </is>
      </c>
      <c r="H1929" s="36" t="inlineStr">
        <is>
          <t>Trail Tent 2P</t>
        </is>
      </c>
      <c r="I1929" s="36" t="n">
        <v>1</v>
      </c>
      <c r="J1929" s="39" t="n">
        <v>198.29</v>
      </c>
      <c r="K1929" s="45" t="n">
        <v>0.05</v>
      </c>
      <c r="L1929" s="39" t="n">
        <v>106.24</v>
      </c>
      <c r="M1929" s="39">
        <f>I1929*J1929*(1-K1929)</f>
        <v/>
      </c>
      <c r="N1929" s="39">
        <f>I1929*L1929</f>
        <v/>
      </c>
      <c r="O1929" s="39">
        <f>M1929-N1929</f>
        <v/>
      </c>
      <c r="P1929" s="38">
        <f>IF(M1929=0,0,O1929/M1929)</f>
        <v/>
      </c>
      <c r="Q1929" s="36">
        <f>YEAR(B1929)</f>
        <v/>
      </c>
      <c r="R1929" s="36">
        <f>"Q"&amp;ROUNDUP(MONTH(B1929)/3,0)</f>
        <v/>
      </c>
      <c r="S1929" s="36">
        <f>MONTH(B1929)</f>
        <v/>
      </c>
      <c r="T1929" s="36">
        <f>TEXT(B1929,"mmm")</f>
        <v/>
      </c>
      <c r="U1929" s="36">
        <f>IF(AND(OR(sel_Region="All",C1929=sel_Region),OR(sel_Country="All",D1929=sel_Country),OR(sel_Channel="All",E1929=sel_Channel),OR(sel_Customer="All",F1929=sel_Customer),OR(sel_Category="All",G1929=sel_Category),OR(sel_Product="All",H1929=sel_Product),AND(S1929&gt;=m_From,S1929&lt;=m_To)),1,0)</f>
        <v/>
      </c>
      <c r="V1929" s="36">
        <f>IF(AND(OR(sel_Region="All",C1929=sel_Region),OR(sel_Channel="All",E1929=sel_Channel),OR(sel_Customer="All",F1929=sel_Customer),OR(sel_Category="All",G1929=sel_Category),OR(sel_Product="All",H1929=sel_Product),AND(S1929&gt;=m_From,S1929&lt;=m_To)),1,0)</f>
        <v/>
      </c>
      <c r="W1929" s="36">
        <f>IF(AND(OR(sel_Region="All",C1929=sel_Region),OR(sel_Country="All",D1929=sel_Country),OR(sel_Customer="All",F1929=sel_Customer),OR(sel_Category="All",G1929=sel_Category),OR(sel_Product="All",H1929=sel_Product),AND(S1929&gt;=m_From,S1929&lt;=m_To)),1,0)</f>
        <v/>
      </c>
      <c r="X1929" s="36">
        <f>IF(AND(OR(sel_Region="All",C1929=sel_Region),OR(sel_Country="All",D1929=sel_Country),OR(sel_Channel="All",E1929=sel_Channel),OR(sel_Category="All",G1929=sel_Category),OR(sel_Product="All",H1929=sel_Product),AND(S1929&gt;=m_From,S1929&lt;=m_To)),1,0)</f>
        <v/>
      </c>
      <c r="Y1929" s="36">
        <f>IF(AND(OR(sel_Region="All",C1929=sel_Region),OR(sel_Country="All",D1929=sel_Country),OR(sel_Channel="All",E1929=sel_Channel),OR(sel_Customer="All",F1929=sel_Customer),OR(sel_Product="All",H1929=sel_Product),AND(S1929&gt;=m_From,S1929&lt;=m_To)),1,0)</f>
        <v/>
      </c>
      <c r="Z1929" s="36">
        <f>IF(AND(OR(sel_Region="All",C1929=sel_Region),OR(sel_Country="All",D1929=sel_Country),OR(sel_Channel="All",E1929=sel_Channel),OR(sel_Customer="All",F1929=sel_Customer),OR(sel_Category="All",G1929=sel_Category),AND(S1929&gt;=m_From,S1929&lt;=m_To)),1,0)</f>
        <v/>
      </c>
      <c r="AA1929" s="36">
        <f>IF(AND(OR(sel_Region="All",C1929=sel_Region),OR(sel_Country="All",D1929=sel_Country),OR(sel_Channel="All",E1929=sel_Channel),OR(sel_Customer="All",F1929=sel_Customer),OR(sel_Category="All",G1929=sel_Category),OR(sel_Product="All",H1929=sel_Product)),1,0)</f>
        <v/>
      </c>
    </row>
    <row r="1930">
      <c r="A1930" s="36" t="inlineStr">
        <is>
          <t>01346</t>
        </is>
      </c>
      <c r="B1930" s="44" t="n">
        <v>46284</v>
      </c>
      <c r="C1930" s="36" t="inlineStr">
        <is>
          <t>Central Europe</t>
        </is>
      </c>
      <c r="D1930" s="36" t="inlineStr">
        <is>
          <t>Poland</t>
        </is>
      </c>
      <c r="E1930" s="36" t="inlineStr">
        <is>
          <t>Marketplace</t>
        </is>
      </c>
      <c r="F1930" s="36" t="inlineStr">
        <is>
          <t>Returning</t>
        </is>
      </c>
      <c r="G1930" s="36" t="inlineStr">
        <is>
          <t>Travel</t>
        </is>
      </c>
      <c r="H1930" s="36" t="inlineStr">
        <is>
          <t>Travel Backpack 35L</t>
        </is>
      </c>
      <c r="I1930" s="36" t="n">
        <v>3</v>
      </c>
      <c r="J1930" s="39" t="n">
        <v>166.21</v>
      </c>
      <c r="K1930" s="45" t="n">
        <v>0.05</v>
      </c>
      <c r="L1930" s="39" t="n">
        <v>85.03</v>
      </c>
      <c r="M1930" s="39">
        <f>I1930*J1930*(1-K1930)</f>
        <v/>
      </c>
      <c r="N1930" s="39">
        <f>I1930*L1930</f>
        <v/>
      </c>
      <c r="O1930" s="39">
        <f>M1930-N1930</f>
        <v/>
      </c>
      <c r="P1930" s="38">
        <f>IF(M1930=0,0,O1930/M1930)</f>
        <v/>
      </c>
      <c r="Q1930" s="36">
        <f>YEAR(B1930)</f>
        <v/>
      </c>
      <c r="R1930" s="36">
        <f>"Q"&amp;ROUNDUP(MONTH(B1930)/3,0)</f>
        <v/>
      </c>
      <c r="S1930" s="36">
        <f>MONTH(B1930)</f>
        <v/>
      </c>
      <c r="T1930" s="36">
        <f>TEXT(B1930,"mmm")</f>
        <v/>
      </c>
      <c r="U1930" s="36">
        <f>IF(AND(OR(sel_Region="All",C1930=sel_Region),OR(sel_Country="All",D1930=sel_Country),OR(sel_Channel="All",E1930=sel_Channel),OR(sel_Customer="All",F1930=sel_Customer),OR(sel_Category="All",G1930=sel_Category),OR(sel_Product="All",H1930=sel_Product),AND(S1930&gt;=m_From,S1930&lt;=m_To)),1,0)</f>
        <v/>
      </c>
      <c r="V1930" s="36">
        <f>IF(AND(OR(sel_Region="All",C1930=sel_Region),OR(sel_Channel="All",E1930=sel_Channel),OR(sel_Customer="All",F1930=sel_Customer),OR(sel_Category="All",G1930=sel_Category),OR(sel_Product="All",H1930=sel_Product),AND(S1930&gt;=m_From,S1930&lt;=m_To)),1,0)</f>
        <v/>
      </c>
      <c r="W1930" s="36">
        <f>IF(AND(OR(sel_Region="All",C1930=sel_Region),OR(sel_Country="All",D1930=sel_Country),OR(sel_Customer="All",F1930=sel_Customer),OR(sel_Category="All",G1930=sel_Category),OR(sel_Product="All",H1930=sel_Product),AND(S1930&gt;=m_From,S1930&lt;=m_To)),1,0)</f>
        <v/>
      </c>
      <c r="X1930" s="36">
        <f>IF(AND(OR(sel_Region="All",C1930=sel_Region),OR(sel_Country="All",D1930=sel_Country),OR(sel_Channel="All",E1930=sel_Channel),OR(sel_Category="All",G1930=sel_Category),OR(sel_Product="All",H1930=sel_Product),AND(S1930&gt;=m_From,S1930&lt;=m_To)),1,0)</f>
        <v/>
      </c>
      <c r="Y1930" s="36">
        <f>IF(AND(OR(sel_Region="All",C1930=sel_Region),OR(sel_Country="All",D1930=sel_Country),OR(sel_Channel="All",E1930=sel_Channel),OR(sel_Customer="All",F1930=sel_Customer),OR(sel_Product="All",H1930=sel_Product),AND(S1930&gt;=m_From,S1930&lt;=m_To)),1,0)</f>
        <v/>
      </c>
      <c r="Z1930" s="36">
        <f>IF(AND(OR(sel_Region="All",C1930=sel_Region),OR(sel_Country="All",D1930=sel_Country),OR(sel_Channel="All",E1930=sel_Channel),OR(sel_Customer="All",F1930=sel_Customer),OR(sel_Category="All",G1930=sel_Category),AND(S1930&gt;=m_From,S1930&lt;=m_To)),1,0)</f>
        <v/>
      </c>
      <c r="AA1930" s="36">
        <f>IF(AND(OR(sel_Region="All",C1930=sel_Region),OR(sel_Country="All",D1930=sel_Country),OR(sel_Channel="All",E1930=sel_Channel),OR(sel_Customer="All",F1930=sel_Customer),OR(sel_Category="All",G1930=sel_Category),OR(sel_Product="All",H1930=sel_Product)),1,0)</f>
        <v/>
      </c>
    </row>
    <row r="1931">
      <c r="A1931" s="36" t="inlineStr">
        <is>
          <t>01361</t>
        </is>
      </c>
      <c r="B1931" s="44" t="n">
        <v>46284</v>
      </c>
      <c r="C1931" s="36" t="inlineStr">
        <is>
          <t>Central Europe</t>
        </is>
      </c>
      <c r="D1931" s="36" t="inlineStr">
        <is>
          <t>Austria</t>
        </is>
      </c>
      <c r="E1931" s="36" t="inlineStr">
        <is>
          <t>Marketplace</t>
        </is>
      </c>
      <c r="F1931" s="36" t="inlineStr">
        <is>
          <t>New</t>
        </is>
      </c>
      <c r="G1931" s="36" t="inlineStr">
        <is>
          <t>Cycling</t>
        </is>
      </c>
      <c r="H1931" s="36" t="inlineStr">
        <is>
          <t>Compact Repair Kit</t>
        </is>
      </c>
      <c r="I1931" s="36" t="n">
        <v>1</v>
      </c>
      <c r="J1931" s="39" t="n">
        <v>40.7</v>
      </c>
      <c r="K1931" s="45" t="n">
        <v>0.05</v>
      </c>
      <c r="L1931" s="39" t="n">
        <v>16.43</v>
      </c>
      <c r="M1931" s="39">
        <f>I1931*J1931*(1-K1931)</f>
        <v/>
      </c>
      <c r="N1931" s="39">
        <f>I1931*L1931</f>
        <v/>
      </c>
      <c r="O1931" s="39">
        <f>M1931-N1931</f>
        <v/>
      </c>
      <c r="P1931" s="38">
        <f>IF(M1931=0,0,O1931/M1931)</f>
        <v/>
      </c>
      <c r="Q1931" s="36">
        <f>YEAR(B1931)</f>
        <v/>
      </c>
      <c r="R1931" s="36">
        <f>"Q"&amp;ROUNDUP(MONTH(B1931)/3,0)</f>
        <v/>
      </c>
      <c r="S1931" s="36">
        <f>MONTH(B1931)</f>
        <v/>
      </c>
      <c r="T1931" s="36">
        <f>TEXT(B1931,"mmm")</f>
        <v/>
      </c>
      <c r="U1931" s="36">
        <f>IF(AND(OR(sel_Region="All",C1931=sel_Region),OR(sel_Country="All",D1931=sel_Country),OR(sel_Channel="All",E1931=sel_Channel),OR(sel_Customer="All",F1931=sel_Customer),OR(sel_Category="All",G1931=sel_Category),OR(sel_Product="All",H1931=sel_Product),AND(S1931&gt;=m_From,S1931&lt;=m_To)),1,0)</f>
        <v/>
      </c>
      <c r="V1931" s="36">
        <f>IF(AND(OR(sel_Region="All",C1931=sel_Region),OR(sel_Channel="All",E1931=sel_Channel),OR(sel_Customer="All",F1931=sel_Customer),OR(sel_Category="All",G1931=sel_Category),OR(sel_Product="All",H1931=sel_Product),AND(S1931&gt;=m_From,S1931&lt;=m_To)),1,0)</f>
        <v/>
      </c>
      <c r="W1931" s="36">
        <f>IF(AND(OR(sel_Region="All",C1931=sel_Region),OR(sel_Country="All",D1931=sel_Country),OR(sel_Customer="All",F1931=sel_Customer),OR(sel_Category="All",G1931=sel_Category),OR(sel_Product="All",H1931=sel_Product),AND(S1931&gt;=m_From,S1931&lt;=m_To)),1,0)</f>
        <v/>
      </c>
      <c r="X1931" s="36">
        <f>IF(AND(OR(sel_Region="All",C1931=sel_Region),OR(sel_Country="All",D1931=sel_Country),OR(sel_Channel="All",E1931=sel_Channel),OR(sel_Category="All",G1931=sel_Category),OR(sel_Product="All",H1931=sel_Product),AND(S1931&gt;=m_From,S1931&lt;=m_To)),1,0)</f>
        <v/>
      </c>
      <c r="Y1931" s="36">
        <f>IF(AND(OR(sel_Region="All",C1931=sel_Region),OR(sel_Country="All",D1931=sel_Country),OR(sel_Channel="All",E1931=sel_Channel),OR(sel_Customer="All",F1931=sel_Customer),OR(sel_Product="All",H1931=sel_Product),AND(S1931&gt;=m_From,S1931&lt;=m_To)),1,0)</f>
        <v/>
      </c>
      <c r="Z1931" s="36">
        <f>IF(AND(OR(sel_Region="All",C1931=sel_Region),OR(sel_Country="All",D1931=sel_Country),OR(sel_Channel="All",E1931=sel_Channel),OR(sel_Customer="All",F1931=sel_Customer),OR(sel_Category="All",G1931=sel_Category),AND(S1931&gt;=m_From,S1931&lt;=m_To)),1,0)</f>
        <v/>
      </c>
      <c r="AA1931" s="36">
        <f>IF(AND(OR(sel_Region="All",C1931=sel_Region),OR(sel_Country="All",D1931=sel_Country),OR(sel_Channel="All",E1931=sel_Channel),OR(sel_Customer="All",F1931=sel_Customer),OR(sel_Category="All",G1931=sel_Category),OR(sel_Product="All",H1931=sel_Product)),1,0)</f>
        <v/>
      </c>
    </row>
    <row r="1932">
      <c r="A1932" s="36" t="inlineStr">
        <is>
          <t>02728</t>
        </is>
      </c>
      <c r="B1932" s="44" t="n">
        <v>46284</v>
      </c>
      <c r="C1932" s="36" t="inlineStr">
        <is>
          <t>Southern Europe</t>
        </is>
      </c>
      <c r="D1932" s="36" t="inlineStr">
        <is>
          <t>Italy</t>
        </is>
      </c>
      <c r="E1932" s="36" t="inlineStr">
        <is>
          <t>Online Store</t>
        </is>
      </c>
      <c r="F1932" s="36" t="inlineStr">
        <is>
          <t>New</t>
        </is>
      </c>
      <c r="G1932" s="36" t="inlineStr">
        <is>
          <t>Hiking</t>
        </is>
      </c>
      <c r="H1932" s="36" t="inlineStr">
        <is>
          <t>Summit Backpack 45L</t>
        </is>
      </c>
      <c r="I1932" s="36" t="n">
        <v>3</v>
      </c>
      <c r="J1932" s="39" t="n">
        <v>153.5</v>
      </c>
      <c r="K1932" s="45" t="n">
        <v>0</v>
      </c>
      <c r="L1932" s="39" t="n">
        <v>80.81999999999999</v>
      </c>
      <c r="M1932" s="39">
        <f>I1932*J1932*(1-K1932)</f>
        <v/>
      </c>
      <c r="N1932" s="39">
        <f>I1932*L1932</f>
        <v/>
      </c>
      <c r="O1932" s="39">
        <f>M1932-N1932</f>
        <v/>
      </c>
      <c r="P1932" s="38">
        <f>IF(M1932=0,0,O1932/M1932)</f>
        <v/>
      </c>
      <c r="Q1932" s="36">
        <f>YEAR(B1932)</f>
        <v/>
      </c>
      <c r="R1932" s="36">
        <f>"Q"&amp;ROUNDUP(MONTH(B1932)/3,0)</f>
        <v/>
      </c>
      <c r="S1932" s="36">
        <f>MONTH(B1932)</f>
        <v/>
      </c>
      <c r="T1932" s="36">
        <f>TEXT(B1932,"mmm")</f>
        <v/>
      </c>
      <c r="U1932" s="36">
        <f>IF(AND(OR(sel_Region="All",C1932=sel_Region),OR(sel_Country="All",D1932=sel_Country),OR(sel_Channel="All",E1932=sel_Channel),OR(sel_Customer="All",F1932=sel_Customer),OR(sel_Category="All",G1932=sel_Category),OR(sel_Product="All",H1932=sel_Product),AND(S1932&gt;=m_From,S1932&lt;=m_To)),1,0)</f>
        <v/>
      </c>
      <c r="V1932" s="36">
        <f>IF(AND(OR(sel_Region="All",C1932=sel_Region),OR(sel_Channel="All",E1932=sel_Channel),OR(sel_Customer="All",F1932=sel_Customer),OR(sel_Category="All",G1932=sel_Category),OR(sel_Product="All",H1932=sel_Product),AND(S1932&gt;=m_From,S1932&lt;=m_To)),1,0)</f>
        <v/>
      </c>
      <c r="W1932" s="36">
        <f>IF(AND(OR(sel_Region="All",C1932=sel_Region),OR(sel_Country="All",D1932=sel_Country),OR(sel_Customer="All",F1932=sel_Customer),OR(sel_Category="All",G1932=sel_Category),OR(sel_Product="All",H1932=sel_Product),AND(S1932&gt;=m_From,S1932&lt;=m_To)),1,0)</f>
        <v/>
      </c>
      <c r="X1932" s="36">
        <f>IF(AND(OR(sel_Region="All",C1932=sel_Region),OR(sel_Country="All",D1932=sel_Country),OR(sel_Channel="All",E1932=sel_Channel),OR(sel_Category="All",G1932=sel_Category),OR(sel_Product="All",H1932=sel_Product),AND(S1932&gt;=m_From,S1932&lt;=m_To)),1,0)</f>
        <v/>
      </c>
      <c r="Y1932" s="36">
        <f>IF(AND(OR(sel_Region="All",C1932=sel_Region),OR(sel_Country="All",D1932=sel_Country),OR(sel_Channel="All",E1932=sel_Channel),OR(sel_Customer="All",F1932=sel_Customer),OR(sel_Product="All",H1932=sel_Product),AND(S1932&gt;=m_From,S1932&lt;=m_To)),1,0)</f>
        <v/>
      </c>
      <c r="Z1932" s="36">
        <f>IF(AND(OR(sel_Region="All",C1932=sel_Region),OR(sel_Country="All",D1932=sel_Country),OR(sel_Channel="All",E1932=sel_Channel),OR(sel_Customer="All",F1932=sel_Customer),OR(sel_Category="All",G1932=sel_Category),AND(S1932&gt;=m_From,S1932&lt;=m_To)),1,0)</f>
        <v/>
      </c>
      <c r="AA1932" s="36">
        <f>IF(AND(OR(sel_Region="All",C1932=sel_Region),OR(sel_Country="All",D1932=sel_Country),OR(sel_Channel="All",E1932=sel_Channel),OR(sel_Customer="All",F1932=sel_Customer),OR(sel_Category="All",G1932=sel_Category),OR(sel_Product="All",H1932=sel_Product)),1,0)</f>
        <v/>
      </c>
    </row>
    <row r="1933">
      <c r="A1933" s="36" t="inlineStr">
        <is>
          <t>02788</t>
        </is>
      </c>
      <c r="B1933" s="44" t="n">
        <v>46284</v>
      </c>
      <c r="C1933" s="36" t="inlineStr">
        <is>
          <t>Central Europe</t>
        </is>
      </c>
      <c r="D1933" s="36" t="inlineStr">
        <is>
          <t>Germany</t>
        </is>
      </c>
      <c r="E1933" s="36" t="inlineStr">
        <is>
          <t>Marketplace</t>
        </is>
      </c>
      <c r="F1933" s="36" t="inlineStr">
        <is>
          <t>New</t>
        </is>
      </c>
      <c r="G1933" s="36" t="inlineStr">
        <is>
          <t>Hiking</t>
        </is>
      </c>
      <c r="H1933" s="36" t="inlineStr">
        <is>
          <t>Trekking Poles</t>
        </is>
      </c>
      <c r="I1933" s="36" t="n">
        <v>1</v>
      </c>
      <c r="J1933" s="39" t="n">
        <v>70.43000000000001</v>
      </c>
      <c r="K1933" s="45" t="n">
        <v>0</v>
      </c>
      <c r="L1933" s="39" t="n">
        <v>31.51</v>
      </c>
      <c r="M1933" s="39">
        <f>I1933*J1933*(1-K1933)</f>
        <v/>
      </c>
      <c r="N1933" s="39">
        <f>I1933*L1933</f>
        <v/>
      </c>
      <c r="O1933" s="39">
        <f>M1933-N1933</f>
        <v/>
      </c>
      <c r="P1933" s="38">
        <f>IF(M1933=0,0,O1933/M1933)</f>
        <v/>
      </c>
      <c r="Q1933" s="36">
        <f>YEAR(B1933)</f>
        <v/>
      </c>
      <c r="R1933" s="36">
        <f>"Q"&amp;ROUNDUP(MONTH(B1933)/3,0)</f>
        <v/>
      </c>
      <c r="S1933" s="36">
        <f>MONTH(B1933)</f>
        <v/>
      </c>
      <c r="T1933" s="36">
        <f>TEXT(B1933,"mmm")</f>
        <v/>
      </c>
      <c r="U1933" s="36">
        <f>IF(AND(OR(sel_Region="All",C1933=sel_Region),OR(sel_Country="All",D1933=sel_Country),OR(sel_Channel="All",E1933=sel_Channel),OR(sel_Customer="All",F1933=sel_Customer),OR(sel_Category="All",G1933=sel_Category),OR(sel_Product="All",H1933=sel_Product),AND(S1933&gt;=m_From,S1933&lt;=m_To)),1,0)</f>
        <v/>
      </c>
      <c r="V1933" s="36">
        <f>IF(AND(OR(sel_Region="All",C1933=sel_Region),OR(sel_Channel="All",E1933=sel_Channel),OR(sel_Customer="All",F1933=sel_Customer),OR(sel_Category="All",G1933=sel_Category),OR(sel_Product="All",H1933=sel_Product),AND(S1933&gt;=m_From,S1933&lt;=m_To)),1,0)</f>
        <v/>
      </c>
      <c r="W1933" s="36">
        <f>IF(AND(OR(sel_Region="All",C1933=sel_Region),OR(sel_Country="All",D1933=sel_Country),OR(sel_Customer="All",F1933=sel_Customer),OR(sel_Category="All",G1933=sel_Category),OR(sel_Product="All",H1933=sel_Product),AND(S1933&gt;=m_From,S1933&lt;=m_To)),1,0)</f>
        <v/>
      </c>
      <c r="X1933" s="36">
        <f>IF(AND(OR(sel_Region="All",C1933=sel_Region),OR(sel_Country="All",D1933=sel_Country),OR(sel_Channel="All",E1933=sel_Channel),OR(sel_Category="All",G1933=sel_Category),OR(sel_Product="All",H1933=sel_Product),AND(S1933&gt;=m_From,S1933&lt;=m_To)),1,0)</f>
        <v/>
      </c>
      <c r="Y1933" s="36">
        <f>IF(AND(OR(sel_Region="All",C1933=sel_Region),OR(sel_Country="All",D1933=sel_Country),OR(sel_Channel="All",E1933=sel_Channel),OR(sel_Customer="All",F1933=sel_Customer),OR(sel_Product="All",H1933=sel_Product),AND(S1933&gt;=m_From,S1933&lt;=m_To)),1,0)</f>
        <v/>
      </c>
      <c r="Z1933" s="36">
        <f>IF(AND(OR(sel_Region="All",C1933=sel_Region),OR(sel_Country="All",D1933=sel_Country),OR(sel_Channel="All",E1933=sel_Channel),OR(sel_Customer="All",F1933=sel_Customer),OR(sel_Category="All",G1933=sel_Category),AND(S1933&gt;=m_From,S1933&lt;=m_To)),1,0)</f>
        <v/>
      </c>
      <c r="AA1933" s="36">
        <f>IF(AND(OR(sel_Region="All",C1933=sel_Region),OR(sel_Country="All",D1933=sel_Country),OR(sel_Channel="All",E1933=sel_Channel),OR(sel_Customer="All",F1933=sel_Customer),OR(sel_Category="All",G1933=sel_Category),OR(sel_Product="All",H1933=sel_Product)),1,0)</f>
        <v/>
      </c>
    </row>
    <row r="1934">
      <c r="A1934" s="36" t="inlineStr">
        <is>
          <t>02932</t>
        </is>
      </c>
      <c r="B1934" s="44" t="n">
        <v>46284</v>
      </c>
      <c r="C1934" s="36" t="inlineStr">
        <is>
          <t>Southern Europe</t>
        </is>
      </c>
      <c r="D1934" s="36" t="inlineStr">
        <is>
          <t>Italy</t>
        </is>
      </c>
      <c r="E1934" s="36" t="inlineStr">
        <is>
          <t>Retail Partners</t>
        </is>
      </c>
      <c r="F1934" s="36" t="inlineStr">
        <is>
          <t>Business</t>
        </is>
      </c>
      <c r="G1934" s="36" t="inlineStr">
        <is>
          <t>Cycling</t>
        </is>
      </c>
      <c r="H1934" s="36" t="inlineStr">
        <is>
          <t>Trail Bike Light</t>
        </is>
      </c>
      <c r="I1934" s="36" t="n">
        <v>4</v>
      </c>
      <c r="J1934" s="39" t="n">
        <v>49.93</v>
      </c>
      <c r="K1934" s="45" t="n">
        <v>0</v>
      </c>
      <c r="L1934" s="39" t="n">
        <v>22.99</v>
      </c>
      <c r="M1934" s="39">
        <f>I1934*J1934*(1-K1934)</f>
        <v/>
      </c>
      <c r="N1934" s="39">
        <f>I1934*L1934</f>
        <v/>
      </c>
      <c r="O1934" s="39">
        <f>M1934-N1934</f>
        <v/>
      </c>
      <c r="P1934" s="38">
        <f>IF(M1934=0,0,O1934/M1934)</f>
        <v/>
      </c>
      <c r="Q1934" s="36">
        <f>YEAR(B1934)</f>
        <v/>
      </c>
      <c r="R1934" s="36">
        <f>"Q"&amp;ROUNDUP(MONTH(B1934)/3,0)</f>
        <v/>
      </c>
      <c r="S1934" s="36">
        <f>MONTH(B1934)</f>
        <v/>
      </c>
      <c r="T1934" s="36">
        <f>TEXT(B1934,"mmm")</f>
        <v/>
      </c>
      <c r="U1934" s="36">
        <f>IF(AND(OR(sel_Region="All",C1934=sel_Region),OR(sel_Country="All",D1934=sel_Country),OR(sel_Channel="All",E1934=sel_Channel),OR(sel_Customer="All",F1934=sel_Customer),OR(sel_Category="All",G1934=sel_Category),OR(sel_Product="All",H1934=sel_Product),AND(S1934&gt;=m_From,S1934&lt;=m_To)),1,0)</f>
        <v/>
      </c>
      <c r="V1934" s="36">
        <f>IF(AND(OR(sel_Region="All",C1934=sel_Region),OR(sel_Channel="All",E1934=sel_Channel),OR(sel_Customer="All",F1934=sel_Customer),OR(sel_Category="All",G1934=sel_Category),OR(sel_Product="All",H1934=sel_Product),AND(S1934&gt;=m_From,S1934&lt;=m_To)),1,0)</f>
        <v/>
      </c>
      <c r="W1934" s="36">
        <f>IF(AND(OR(sel_Region="All",C1934=sel_Region),OR(sel_Country="All",D1934=sel_Country),OR(sel_Customer="All",F1934=sel_Customer),OR(sel_Category="All",G1934=sel_Category),OR(sel_Product="All",H1934=sel_Product),AND(S1934&gt;=m_From,S1934&lt;=m_To)),1,0)</f>
        <v/>
      </c>
      <c r="X1934" s="36">
        <f>IF(AND(OR(sel_Region="All",C1934=sel_Region),OR(sel_Country="All",D1934=sel_Country),OR(sel_Channel="All",E1934=sel_Channel),OR(sel_Category="All",G1934=sel_Category),OR(sel_Product="All",H1934=sel_Product),AND(S1934&gt;=m_From,S1934&lt;=m_To)),1,0)</f>
        <v/>
      </c>
      <c r="Y1934" s="36">
        <f>IF(AND(OR(sel_Region="All",C1934=sel_Region),OR(sel_Country="All",D1934=sel_Country),OR(sel_Channel="All",E1934=sel_Channel),OR(sel_Customer="All",F1934=sel_Customer),OR(sel_Product="All",H1934=sel_Product),AND(S1934&gt;=m_From,S1934&lt;=m_To)),1,0)</f>
        <v/>
      </c>
      <c r="Z1934" s="36">
        <f>IF(AND(OR(sel_Region="All",C1934=sel_Region),OR(sel_Country="All",D1934=sel_Country),OR(sel_Channel="All",E1934=sel_Channel),OR(sel_Customer="All",F1934=sel_Customer),OR(sel_Category="All",G1934=sel_Category),AND(S1934&gt;=m_From,S1934&lt;=m_To)),1,0)</f>
        <v/>
      </c>
      <c r="AA1934" s="36">
        <f>IF(AND(OR(sel_Region="All",C1934=sel_Region),OR(sel_Country="All",D1934=sel_Country),OR(sel_Channel="All",E1934=sel_Channel),OR(sel_Customer="All",F1934=sel_Customer),OR(sel_Category="All",G1934=sel_Category),OR(sel_Product="All",H1934=sel_Product)),1,0)</f>
        <v/>
      </c>
    </row>
    <row r="1935">
      <c r="A1935" s="36" t="inlineStr">
        <is>
          <t>03399</t>
        </is>
      </c>
      <c r="B1935" s="44" t="n">
        <v>46284</v>
      </c>
      <c r="C1935" s="36" t="inlineStr">
        <is>
          <t>Central Europe</t>
        </is>
      </c>
      <c r="D1935" s="36" t="inlineStr">
        <is>
          <t>Germany</t>
        </is>
      </c>
      <c r="E1935" s="36" t="inlineStr">
        <is>
          <t>Retail Partners</t>
        </is>
      </c>
      <c r="F1935" s="36" t="inlineStr">
        <is>
          <t>Returning</t>
        </is>
      </c>
      <c r="G1935" s="36" t="inlineStr">
        <is>
          <t>Cycling</t>
        </is>
      </c>
      <c r="H1935" s="36" t="inlineStr">
        <is>
          <t>Trail Bike Light</t>
        </is>
      </c>
      <c r="I1935" s="36" t="n">
        <v>1</v>
      </c>
      <c r="J1935" s="39" t="n">
        <v>50.18</v>
      </c>
      <c r="K1935" s="45" t="n">
        <v>0</v>
      </c>
      <c r="L1935" s="39" t="n">
        <v>22.92</v>
      </c>
      <c r="M1935" s="39">
        <f>I1935*J1935*(1-K1935)</f>
        <v/>
      </c>
      <c r="N1935" s="39">
        <f>I1935*L1935</f>
        <v/>
      </c>
      <c r="O1935" s="39">
        <f>M1935-N1935</f>
        <v/>
      </c>
      <c r="P1935" s="38">
        <f>IF(M1935=0,0,O1935/M1935)</f>
        <v/>
      </c>
      <c r="Q1935" s="36">
        <f>YEAR(B1935)</f>
        <v/>
      </c>
      <c r="R1935" s="36">
        <f>"Q"&amp;ROUNDUP(MONTH(B1935)/3,0)</f>
        <v/>
      </c>
      <c r="S1935" s="36">
        <f>MONTH(B1935)</f>
        <v/>
      </c>
      <c r="T1935" s="36">
        <f>TEXT(B1935,"mmm")</f>
        <v/>
      </c>
      <c r="U1935" s="36">
        <f>IF(AND(OR(sel_Region="All",C1935=sel_Region),OR(sel_Country="All",D1935=sel_Country),OR(sel_Channel="All",E1935=sel_Channel),OR(sel_Customer="All",F1935=sel_Customer),OR(sel_Category="All",G1935=sel_Category),OR(sel_Product="All",H1935=sel_Product),AND(S1935&gt;=m_From,S1935&lt;=m_To)),1,0)</f>
        <v/>
      </c>
      <c r="V1935" s="36">
        <f>IF(AND(OR(sel_Region="All",C1935=sel_Region),OR(sel_Channel="All",E1935=sel_Channel),OR(sel_Customer="All",F1935=sel_Customer),OR(sel_Category="All",G1935=sel_Category),OR(sel_Product="All",H1935=sel_Product),AND(S1935&gt;=m_From,S1935&lt;=m_To)),1,0)</f>
        <v/>
      </c>
      <c r="W1935" s="36">
        <f>IF(AND(OR(sel_Region="All",C1935=sel_Region),OR(sel_Country="All",D1935=sel_Country),OR(sel_Customer="All",F1935=sel_Customer),OR(sel_Category="All",G1935=sel_Category),OR(sel_Product="All",H1935=sel_Product),AND(S1935&gt;=m_From,S1935&lt;=m_To)),1,0)</f>
        <v/>
      </c>
      <c r="X1935" s="36">
        <f>IF(AND(OR(sel_Region="All",C1935=sel_Region),OR(sel_Country="All",D1935=sel_Country),OR(sel_Channel="All",E1935=sel_Channel),OR(sel_Category="All",G1935=sel_Category),OR(sel_Product="All",H1935=sel_Product),AND(S1935&gt;=m_From,S1935&lt;=m_To)),1,0)</f>
        <v/>
      </c>
      <c r="Y1935" s="36">
        <f>IF(AND(OR(sel_Region="All",C1935=sel_Region),OR(sel_Country="All",D1935=sel_Country),OR(sel_Channel="All",E1935=sel_Channel),OR(sel_Customer="All",F1935=sel_Customer),OR(sel_Product="All",H1935=sel_Product),AND(S1935&gt;=m_From,S1935&lt;=m_To)),1,0)</f>
        <v/>
      </c>
      <c r="Z1935" s="36">
        <f>IF(AND(OR(sel_Region="All",C1935=sel_Region),OR(sel_Country="All",D1935=sel_Country),OR(sel_Channel="All",E1935=sel_Channel),OR(sel_Customer="All",F1935=sel_Customer),OR(sel_Category="All",G1935=sel_Category),AND(S1935&gt;=m_From,S1935&lt;=m_To)),1,0)</f>
        <v/>
      </c>
      <c r="AA1935" s="36">
        <f>IF(AND(OR(sel_Region="All",C1935=sel_Region),OR(sel_Country="All",D1935=sel_Country),OR(sel_Channel="All",E1935=sel_Channel),OR(sel_Customer="All",F1935=sel_Customer),OR(sel_Category="All",G1935=sel_Category),OR(sel_Product="All",H1935=sel_Product)),1,0)</f>
        <v/>
      </c>
    </row>
    <row r="1936">
      <c r="A1936" s="36" t="inlineStr">
        <is>
          <t>03588</t>
        </is>
      </c>
      <c r="B1936" s="44" t="n">
        <v>46284</v>
      </c>
      <c r="C1936" s="36" t="inlineStr">
        <is>
          <t>Western Europe</t>
        </is>
      </c>
      <c r="D1936" s="36" t="inlineStr">
        <is>
          <t>France</t>
        </is>
      </c>
      <c r="E1936" s="36" t="inlineStr">
        <is>
          <t>Retail Partners</t>
        </is>
      </c>
      <c r="F1936" s="36" t="inlineStr">
        <is>
          <t>New</t>
        </is>
      </c>
      <c r="G1936" s="36" t="inlineStr">
        <is>
          <t>Travel</t>
        </is>
      </c>
      <c r="H1936" s="36" t="inlineStr">
        <is>
          <t>Travel Backpack 35L</t>
        </is>
      </c>
      <c r="I1936" s="36" t="n">
        <v>2</v>
      </c>
      <c r="J1936" s="39" t="n">
        <v>164.01</v>
      </c>
      <c r="K1936" s="45" t="n">
        <v>0.15</v>
      </c>
      <c r="L1936" s="39" t="n">
        <v>87.14</v>
      </c>
      <c r="M1936" s="39">
        <f>I1936*J1936*(1-K1936)</f>
        <v/>
      </c>
      <c r="N1936" s="39">
        <f>I1936*L1936</f>
        <v/>
      </c>
      <c r="O1936" s="39">
        <f>M1936-N1936</f>
        <v/>
      </c>
      <c r="P1936" s="38">
        <f>IF(M1936=0,0,O1936/M1936)</f>
        <v/>
      </c>
      <c r="Q1936" s="36">
        <f>YEAR(B1936)</f>
        <v/>
      </c>
      <c r="R1936" s="36">
        <f>"Q"&amp;ROUNDUP(MONTH(B1936)/3,0)</f>
        <v/>
      </c>
      <c r="S1936" s="36">
        <f>MONTH(B1936)</f>
        <v/>
      </c>
      <c r="T1936" s="36">
        <f>TEXT(B1936,"mmm")</f>
        <v/>
      </c>
      <c r="U1936" s="36">
        <f>IF(AND(OR(sel_Region="All",C1936=sel_Region),OR(sel_Country="All",D1936=sel_Country),OR(sel_Channel="All",E1936=sel_Channel),OR(sel_Customer="All",F1936=sel_Customer),OR(sel_Category="All",G1936=sel_Category),OR(sel_Product="All",H1936=sel_Product),AND(S1936&gt;=m_From,S1936&lt;=m_To)),1,0)</f>
        <v/>
      </c>
      <c r="V1936" s="36">
        <f>IF(AND(OR(sel_Region="All",C1936=sel_Region),OR(sel_Channel="All",E1936=sel_Channel),OR(sel_Customer="All",F1936=sel_Customer),OR(sel_Category="All",G1936=sel_Category),OR(sel_Product="All",H1936=sel_Product),AND(S1936&gt;=m_From,S1936&lt;=m_To)),1,0)</f>
        <v/>
      </c>
      <c r="W1936" s="36">
        <f>IF(AND(OR(sel_Region="All",C1936=sel_Region),OR(sel_Country="All",D1936=sel_Country),OR(sel_Customer="All",F1936=sel_Customer),OR(sel_Category="All",G1936=sel_Category),OR(sel_Product="All",H1936=sel_Product),AND(S1936&gt;=m_From,S1936&lt;=m_To)),1,0)</f>
        <v/>
      </c>
      <c r="X1936" s="36">
        <f>IF(AND(OR(sel_Region="All",C1936=sel_Region),OR(sel_Country="All",D1936=sel_Country),OR(sel_Channel="All",E1936=sel_Channel),OR(sel_Category="All",G1936=sel_Category),OR(sel_Product="All",H1936=sel_Product),AND(S1936&gt;=m_From,S1936&lt;=m_To)),1,0)</f>
        <v/>
      </c>
      <c r="Y1936" s="36">
        <f>IF(AND(OR(sel_Region="All",C1936=sel_Region),OR(sel_Country="All",D1936=sel_Country),OR(sel_Channel="All",E1936=sel_Channel),OR(sel_Customer="All",F1936=sel_Customer),OR(sel_Product="All",H1936=sel_Product),AND(S1936&gt;=m_From,S1936&lt;=m_To)),1,0)</f>
        <v/>
      </c>
      <c r="Z1936" s="36">
        <f>IF(AND(OR(sel_Region="All",C1936=sel_Region),OR(sel_Country="All",D1936=sel_Country),OR(sel_Channel="All",E1936=sel_Channel),OR(sel_Customer="All",F1936=sel_Customer),OR(sel_Category="All",G1936=sel_Category),AND(S1936&gt;=m_From,S1936&lt;=m_To)),1,0)</f>
        <v/>
      </c>
      <c r="AA1936" s="36">
        <f>IF(AND(OR(sel_Region="All",C1936=sel_Region),OR(sel_Country="All",D1936=sel_Country),OR(sel_Channel="All",E1936=sel_Channel),OR(sel_Customer="All",F1936=sel_Customer),OR(sel_Category="All",G1936=sel_Category),OR(sel_Product="All",H1936=sel_Product)),1,0)</f>
        <v/>
      </c>
    </row>
    <row r="1937">
      <c r="A1937" s="36" t="inlineStr">
        <is>
          <t>03603</t>
        </is>
      </c>
      <c r="B1937" s="44" t="n">
        <v>46284</v>
      </c>
      <c r="C1937" s="36" t="inlineStr">
        <is>
          <t>Central Europe</t>
        </is>
      </c>
      <c r="D1937" s="36" t="inlineStr">
        <is>
          <t>Poland</t>
        </is>
      </c>
      <c r="E1937" s="36" t="inlineStr">
        <is>
          <t>Marketplace</t>
        </is>
      </c>
      <c r="F1937" s="36" t="inlineStr">
        <is>
          <t>Returning</t>
        </is>
      </c>
      <c r="G1937" s="36" t="inlineStr">
        <is>
          <t>Cycling</t>
        </is>
      </c>
      <c r="H1937" s="36" t="inlineStr">
        <is>
          <t>Commuter Helmet</t>
        </is>
      </c>
      <c r="I1937" s="36" t="n">
        <v>2</v>
      </c>
      <c r="J1937" s="39" t="n">
        <v>83.77</v>
      </c>
      <c r="K1937" s="45" t="n">
        <v>0</v>
      </c>
      <c r="L1937" s="39" t="n">
        <v>43.32</v>
      </c>
      <c r="M1937" s="39">
        <f>I1937*J1937*(1-K1937)</f>
        <v/>
      </c>
      <c r="N1937" s="39">
        <f>I1937*L1937</f>
        <v/>
      </c>
      <c r="O1937" s="39">
        <f>M1937-N1937</f>
        <v/>
      </c>
      <c r="P1937" s="38">
        <f>IF(M1937=0,0,O1937/M1937)</f>
        <v/>
      </c>
      <c r="Q1937" s="36">
        <f>YEAR(B1937)</f>
        <v/>
      </c>
      <c r="R1937" s="36">
        <f>"Q"&amp;ROUNDUP(MONTH(B1937)/3,0)</f>
        <v/>
      </c>
      <c r="S1937" s="36">
        <f>MONTH(B1937)</f>
        <v/>
      </c>
      <c r="T1937" s="36">
        <f>TEXT(B1937,"mmm")</f>
        <v/>
      </c>
      <c r="U1937" s="36">
        <f>IF(AND(OR(sel_Region="All",C1937=sel_Region),OR(sel_Country="All",D1937=sel_Country),OR(sel_Channel="All",E1937=sel_Channel),OR(sel_Customer="All",F1937=sel_Customer),OR(sel_Category="All",G1937=sel_Category),OR(sel_Product="All",H1937=sel_Product),AND(S1937&gt;=m_From,S1937&lt;=m_To)),1,0)</f>
        <v/>
      </c>
      <c r="V1937" s="36">
        <f>IF(AND(OR(sel_Region="All",C1937=sel_Region),OR(sel_Channel="All",E1937=sel_Channel),OR(sel_Customer="All",F1937=sel_Customer),OR(sel_Category="All",G1937=sel_Category),OR(sel_Product="All",H1937=sel_Product),AND(S1937&gt;=m_From,S1937&lt;=m_To)),1,0)</f>
        <v/>
      </c>
      <c r="W1937" s="36">
        <f>IF(AND(OR(sel_Region="All",C1937=sel_Region),OR(sel_Country="All",D1937=sel_Country),OR(sel_Customer="All",F1937=sel_Customer),OR(sel_Category="All",G1937=sel_Category),OR(sel_Product="All",H1937=sel_Product),AND(S1937&gt;=m_From,S1937&lt;=m_To)),1,0)</f>
        <v/>
      </c>
      <c r="X1937" s="36">
        <f>IF(AND(OR(sel_Region="All",C1937=sel_Region),OR(sel_Country="All",D1937=sel_Country),OR(sel_Channel="All",E1937=sel_Channel),OR(sel_Category="All",G1937=sel_Category),OR(sel_Product="All",H1937=sel_Product),AND(S1937&gt;=m_From,S1937&lt;=m_To)),1,0)</f>
        <v/>
      </c>
      <c r="Y1937" s="36">
        <f>IF(AND(OR(sel_Region="All",C1937=sel_Region),OR(sel_Country="All",D1937=sel_Country),OR(sel_Channel="All",E1937=sel_Channel),OR(sel_Customer="All",F1937=sel_Customer),OR(sel_Product="All",H1937=sel_Product),AND(S1937&gt;=m_From,S1937&lt;=m_To)),1,0)</f>
        <v/>
      </c>
      <c r="Z1937" s="36">
        <f>IF(AND(OR(sel_Region="All",C1937=sel_Region),OR(sel_Country="All",D1937=sel_Country),OR(sel_Channel="All",E1937=sel_Channel),OR(sel_Customer="All",F1937=sel_Customer),OR(sel_Category="All",G1937=sel_Category),AND(S1937&gt;=m_From,S1937&lt;=m_To)),1,0)</f>
        <v/>
      </c>
      <c r="AA1937" s="36">
        <f>IF(AND(OR(sel_Region="All",C1937=sel_Region),OR(sel_Country="All",D1937=sel_Country),OR(sel_Channel="All",E1937=sel_Channel),OR(sel_Customer="All",F1937=sel_Customer),OR(sel_Category="All",G1937=sel_Category),OR(sel_Product="All",H1937=sel_Product)),1,0)</f>
        <v/>
      </c>
    </row>
    <row r="1938">
      <c r="A1938" s="36" t="inlineStr">
        <is>
          <t>03845</t>
        </is>
      </c>
      <c r="B1938" s="44" t="n">
        <v>46284</v>
      </c>
      <c r="C1938" s="36" t="inlineStr">
        <is>
          <t>Western Europe</t>
        </is>
      </c>
      <c r="D1938" s="36" t="inlineStr">
        <is>
          <t>United Kingdom</t>
        </is>
      </c>
      <c r="E1938" s="36" t="inlineStr">
        <is>
          <t>Online Store</t>
        </is>
      </c>
      <c r="F1938" s="36" t="inlineStr">
        <is>
          <t>New</t>
        </is>
      </c>
      <c r="G1938" s="36" t="inlineStr">
        <is>
          <t>Camping</t>
        </is>
      </c>
      <c r="H1938" s="36" t="inlineStr">
        <is>
          <t>Portable Camp Stove</t>
        </is>
      </c>
      <c r="I1938" s="36" t="n">
        <v>1</v>
      </c>
      <c r="J1938" s="39" t="n">
        <v>81.84</v>
      </c>
      <c r="K1938" s="45" t="n">
        <v>0</v>
      </c>
      <c r="L1938" s="39" t="n">
        <v>38.5</v>
      </c>
      <c r="M1938" s="39">
        <f>I1938*J1938*(1-K1938)</f>
        <v/>
      </c>
      <c r="N1938" s="39">
        <f>I1938*L1938</f>
        <v/>
      </c>
      <c r="O1938" s="39">
        <f>M1938-N1938</f>
        <v/>
      </c>
      <c r="P1938" s="38">
        <f>IF(M1938=0,0,O1938/M1938)</f>
        <v/>
      </c>
      <c r="Q1938" s="36">
        <f>YEAR(B1938)</f>
        <v/>
      </c>
      <c r="R1938" s="36">
        <f>"Q"&amp;ROUNDUP(MONTH(B1938)/3,0)</f>
        <v/>
      </c>
      <c r="S1938" s="36">
        <f>MONTH(B1938)</f>
        <v/>
      </c>
      <c r="T1938" s="36">
        <f>TEXT(B1938,"mmm")</f>
        <v/>
      </c>
      <c r="U1938" s="36">
        <f>IF(AND(OR(sel_Region="All",C1938=sel_Region),OR(sel_Country="All",D1938=sel_Country),OR(sel_Channel="All",E1938=sel_Channel),OR(sel_Customer="All",F1938=sel_Customer),OR(sel_Category="All",G1938=sel_Category),OR(sel_Product="All",H1938=sel_Product),AND(S1938&gt;=m_From,S1938&lt;=m_To)),1,0)</f>
        <v/>
      </c>
      <c r="V1938" s="36">
        <f>IF(AND(OR(sel_Region="All",C1938=sel_Region),OR(sel_Channel="All",E1938=sel_Channel),OR(sel_Customer="All",F1938=sel_Customer),OR(sel_Category="All",G1938=sel_Category),OR(sel_Product="All",H1938=sel_Product),AND(S1938&gt;=m_From,S1938&lt;=m_To)),1,0)</f>
        <v/>
      </c>
      <c r="W1938" s="36">
        <f>IF(AND(OR(sel_Region="All",C1938=sel_Region),OR(sel_Country="All",D1938=sel_Country),OR(sel_Customer="All",F1938=sel_Customer),OR(sel_Category="All",G1938=sel_Category),OR(sel_Product="All",H1938=sel_Product),AND(S1938&gt;=m_From,S1938&lt;=m_To)),1,0)</f>
        <v/>
      </c>
      <c r="X1938" s="36">
        <f>IF(AND(OR(sel_Region="All",C1938=sel_Region),OR(sel_Country="All",D1938=sel_Country),OR(sel_Channel="All",E1938=sel_Channel),OR(sel_Category="All",G1938=sel_Category),OR(sel_Product="All",H1938=sel_Product),AND(S1938&gt;=m_From,S1938&lt;=m_To)),1,0)</f>
        <v/>
      </c>
      <c r="Y1938" s="36">
        <f>IF(AND(OR(sel_Region="All",C1938=sel_Region),OR(sel_Country="All",D1938=sel_Country),OR(sel_Channel="All",E1938=sel_Channel),OR(sel_Customer="All",F1938=sel_Customer),OR(sel_Product="All",H1938=sel_Product),AND(S1938&gt;=m_From,S1938&lt;=m_To)),1,0)</f>
        <v/>
      </c>
      <c r="Z1938" s="36">
        <f>IF(AND(OR(sel_Region="All",C1938=sel_Region),OR(sel_Country="All",D1938=sel_Country),OR(sel_Channel="All",E1938=sel_Channel),OR(sel_Customer="All",F1938=sel_Customer),OR(sel_Category="All",G1938=sel_Category),AND(S1938&gt;=m_From,S1938&lt;=m_To)),1,0)</f>
        <v/>
      </c>
      <c r="AA1938" s="36">
        <f>IF(AND(OR(sel_Region="All",C1938=sel_Region),OR(sel_Country="All",D1938=sel_Country),OR(sel_Channel="All",E1938=sel_Channel),OR(sel_Customer="All",F1938=sel_Customer),OR(sel_Category="All",G1938=sel_Category),OR(sel_Product="All",H1938=sel_Product)),1,0)</f>
        <v/>
      </c>
    </row>
    <row r="1939">
      <c r="A1939" s="36" t="inlineStr">
        <is>
          <t>04191</t>
        </is>
      </c>
      <c r="B1939" s="44" t="n">
        <v>46284</v>
      </c>
      <c r="C1939" s="36" t="inlineStr">
        <is>
          <t>Northern Europe</t>
        </is>
      </c>
      <c r="D1939" s="36" t="inlineStr">
        <is>
          <t>Denmark</t>
        </is>
      </c>
      <c r="E1939" s="36" t="inlineStr">
        <is>
          <t>Marketplace</t>
        </is>
      </c>
      <c r="F1939" s="36" t="inlineStr">
        <is>
          <t>Returning</t>
        </is>
      </c>
      <c r="G1939" s="36" t="inlineStr">
        <is>
          <t>Fitness</t>
        </is>
      </c>
      <c r="H1939" s="36" t="inlineStr">
        <is>
          <t>Resistance Band Set</t>
        </is>
      </c>
      <c r="I1939" s="36" t="n">
        <v>1</v>
      </c>
      <c r="J1939" s="39" t="n">
        <v>40.32</v>
      </c>
      <c r="K1939" s="45" t="n">
        <v>0.15</v>
      </c>
      <c r="L1939" s="39" t="n">
        <v>14.39</v>
      </c>
      <c r="M1939" s="39">
        <f>I1939*J1939*(1-K1939)</f>
        <v/>
      </c>
      <c r="N1939" s="39">
        <f>I1939*L1939</f>
        <v/>
      </c>
      <c r="O1939" s="39">
        <f>M1939-N1939</f>
        <v/>
      </c>
      <c r="P1939" s="38">
        <f>IF(M1939=0,0,O1939/M1939)</f>
        <v/>
      </c>
      <c r="Q1939" s="36">
        <f>YEAR(B1939)</f>
        <v/>
      </c>
      <c r="R1939" s="36">
        <f>"Q"&amp;ROUNDUP(MONTH(B1939)/3,0)</f>
        <v/>
      </c>
      <c r="S1939" s="36">
        <f>MONTH(B1939)</f>
        <v/>
      </c>
      <c r="T1939" s="36">
        <f>TEXT(B1939,"mmm")</f>
        <v/>
      </c>
      <c r="U1939" s="36">
        <f>IF(AND(OR(sel_Region="All",C1939=sel_Region),OR(sel_Country="All",D1939=sel_Country),OR(sel_Channel="All",E1939=sel_Channel),OR(sel_Customer="All",F1939=sel_Customer),OR(sel_Category="All",G1939=sel_Category),OR(sel_Product="All",H1939=sel_Product),AND(S1939&gt;=m_From,S1939&lt;=m_To)),1,0)</f>
        <v/>
      </c>
      <c r="V1939" s="36">
        <f>IF(AND(OR(sel_Region="All",C1939=sel_Region),OR(sel_Channel="All",E1939=sel_Channel),OR(sel_Customer="All",F1939=sel_Customer),OR(sel_Category="All",G1939=sel_Category),OR(sel_Product="All",H1939=sel_Product),AND(S1939&gt;=m_From,S1939&lt;=m_To)),1,0)</f>
        <v/>
      </c>
      <c r="W1939" s="36">
        <f>IF(AND(OR(sel_Region="All",C1939=sel_Region),OR(sel_Country="All",D1939=sel_Country),OR(sel_Customer="All",F1939=sel_Customer),OR(sel_Category="All",G1939=sel_Category),OR(sel_Product="All",H1939=sel_Product),AND(S1939&gt;=m_From,S1939&lt;=m_To)),1,0)</f>
        <v/>
      </c>
      <c r="X1939" s="36">
        <f>IF(AND(OR(sel_Region="All",C1939=sel_Region),OR(sel_Country="All",D1939=sel_Country),OR(sel_Channel="All",E1939=sel_Channel),OR(sel_Category="All",G1939=sel_Category),OR(sel_Product="All",H1939=sel_Product),AND(S1939&gt;=m_From,S1939&lt;=m_To)),1,0)</f>
        <v/>
      </c>
      <c r="Y1939" s="36">
        <f>IF(AND(OR(sel_Region="All",C1939=sel_Region),OR(sel_Country="All",D1939=sel_Country),OR(sel_Channel="All",E1939=sel_Channel),OR(sel_Customer="All",F1939=sel_Customer),OR(sel_Product="All",H1939=sel_Product),AND(S1939&gt;=m_From,S1939&lt;=m_To)),1,0)</f>
        <v/>
      </c>
      <c r="Z1939" s="36">
        <f>IF(AND(OR(sel_Region="All",C1939=sel_Region),OR(sel_Country="All",D1939=sel_Country),OR(sel_Channel="All",E1939=sel_Channel),OR(sel_Customer="All",F1939=sel_Customer),OR(sel_Category="All",G1939=sel_Category),AND(S1939&gt;=m_From,S1939&lt;=m_To)),1,0)</f>
        <v/>
      </c>
      <c r="AA1939" s="36">
        <f>IF(AND(OR(sel_Region="All",C1939=sel_Region),OR(sel_Country="All",D1939=sel_Country),OR(sel_Channel="All",E1939=sel_Channel),OR(sel_Customer="All",F1939=sel_Customer),OR(sel_Category="All",G1939=sel_Category),OR(sel_Product="All",H1939=sel_Product)),1,0)</f>
        <v/>
      </c>
    </row>
    <row r="1940">
      <c r="A1940" s="36" t="inlineStr">
        <is>
          <t>04269</t>
        </is>
      </c>
      <c r="B1940" s="44" t="n">
        <v>46284</v>
      </c>
      <c r="C1940" s="36" t="inlineStr">
        <is>
          <t>Northern Europe</t>
        </is>
      </c>
      <c r="D1940" s="36" t="inlineStr">
        <is>
          <t>Norway</t>
        </is>
      </c>
      <c r="E1940" s="36" t="inlineStr">
        <is>
          <t>Corporate</t>
        </is>
      </c>
      <c r="F1940" s="36" t="inlineStr">
        <is>
          <t>Business</t>
        </is>
      </c>
      <c r="G1940" s="36" t="inlineStr">
        <is>
          <t>Hiking</t>
        </is>
      </c>
      <c r="H1940" s="36" t="inlineStr">
        <is>
          <t>Summit Backpack 45L</t>
        </is>
      </c>
      <c r="I1940" s="36" t="n">
        <v>4</v>
      </c>
      <c r="J1940" s="39" t="n">
        <v>155.84</v>
      </c>
      <c r="K1940" s="45" t="n">
        <v>0.05</v>
      </c>
      <c r="L1940" s="39" t="n">
        <v>80.79000000000001</v>
      </c>
      <c r="M1940" s="39">
        <f>I1940*J1940*(1-K1940)</f>
        <v/>
      </c>
      <c r="N1940" s="39">
        <f>I1940*L1940</f>
        <v/>
      </c>
      <c r="O1940" s="39">
        <f>M1940-N1940</f>
        <v/>
      </c>
      <c r="P1940" s="38">
        <f>IF(M1940=0,0,O1940/M1940)</f>
        <v/>
      </c>
      <c r="Q1940" s="36">
        <f>YEAR(B1940)</f>
        <v/>
      </c>
      <c r="R1940" s="36">
        <f>"Q"&amp;ROUNDUP(MONTH(B1940)/3,0)</f>
        <v/>
      </c>
      <c r="S1940" s="36">
        <f>MONTH(B1940)</f>
        <v/>
      </c>
      <c r="T1940" s="36">
        <f>TEXT(B1940,"mmm")</f>
        <v/>
      </c>
      <c r="U1940" s="36">
        <f>IF(AND(OR(sel_Region="All",C1940=sel_Region),OR(sel_Country="All",D1940=sel_Country),OR(sel_Channel="All",E1940=sel_Channel),OR(sel_Customer="All",F1940=sel_Customer),OR(sel_Category="All",G1940=sel_Category),OR(sel_Product="All",H1940=sel_Product),AND(S1940&gt;=m_From,S1940&lt;=m_To)),1,0)</f>
        <v/>
      </c>
      <c r="V1940" s="36">
        <f>IF(AND(OR(sel_Region="All",C1940=sel_Region),OR(sel_Channel="All",E1940=sel_Channel),OR(sel_Customer="All",F1940=sel_Customer),OR(sel_Category="All",G1940=sel_Category),OR(sel_Product="All",H1940=sel_Product),AND(S1940&gt;=m_From,S1940&lt;=m_To)),1,0)</f>
        <v/>
      </c>
      <c r="W1940" s="36">
        <f>IF(AND(OR(sel_Region="All",C1940=sel_Region),OR(sel_Country="All",D1940=sel_Country),OR(sel_Customer="All",F1940=sel_Customer),OR(sel_Category="All",G1940=sel_Category),OR(sel_Product="All",H1940=sel_Product),AND(S1940&gt;=m_From,S1940&lt;=m_To)),1,0)</f>
        <v/>
      </c>
      <c r="X1940" s="36">
        <f>IF(AND(OR(sel_Region="All",C1940=sel_Region),OR(sel_Country="All",D1940=sel_Country),OR(sel_Channel="All",E1940=sel_Channel),OR(sel_Category="All",G1940=sel_Category),OR(sel_Product="All",H1940=sel_Product),AND(S1940&gt;=m_From,S1940&lt;=m_To)),1,0)</f>
        <v/>
      </c>
      <c r="Y1940" s="36">
        <f>IF(AND(OR(sel_Region="All",C1940=sel_Region),OR(sel_Country="All",D1940=sel_Country),OR(sel_Channel="All",E1940=sel_Channel),OR(sel_Customer="All",F1940=sel_Customer),OR(sel_Product="All",H1940=sel_Product),AND(S1940&gt;=m_From,S1940&lt;=m_To)),1,0)</f>
        <v/>
      </c>
      <c r="Z1940" s="36">
        <f>IF(AND(OR(sel_Region="All",C1940=sel_Region),OR(sel_Country="All",D1940=sel_Country),OR(sel_Channel="All",E1940=sel_Channel),OR(sel_Customer="All",F1940=sel_Customer),OR(sel_Category="All",G1940=sel_Category),AND(S1940&gt;=m_From,S1940&lt;=m_To)),1,0)</f>
        <v/>
      </c>
      <c r="AA1940" s="36">
        <f>IF(AND(OR(sel_Region="All",C1940=sel_Region),OR(sel_Country="All",D1940=sel_Country),OR(sel_Channel="All",E1940=sel_Channel),OR(sel_Customer="All",F1940=sel_Customer),OR(sel_Category="All",G1940=sel_Category),OR(sel_Product="All",H1940=sel_Product)),1,0)</f>
        <v/>
      </c>
    </row>
    <row r="1941">
      <c r="A1941" s="36" t="inlineStr">
        <is>
          <t>00005</t>
        </is>
      </c>
      <c r="B1941" s="44" t="n">
        <v>46285</v>
      </c>
      <c r="C1941" s="36" t="inlineStr">
        <is>
          <t>Central Europe</t>
        </is>
      </c>
      <c r="D1941" s="36" t="inlineStr">
        <is>
          <t>Austria</t>
        </is>
      </c>
      <c r="E1941" s="36" t="inlineStr">
        <is>
          <t>Online Store</t>
        </is>
      </c>
      <c r="F1941" s="36" t="inlineStr">
        <is>
          <t>Business</t>
        </is>
      </c>
      <c r="G1941" s="36" t="inlineStr">
        <is>
          <t>Fitness</t>
        </is>
      </c>
      <c r="H1941" s="36" t="inlineStr">
        <is>
          <t>Training Mat</t>
        </is>
      </c>
      <c r="I1941" s="36" t="n">
        <v>1</v>
      </c>
      <c r="J1941" s="39" t="n">
        <v>51.83</v>
      </c>
      <c r="K1941" s="45" t="n">
        <v>0</v>
      </c>
      <c r="L1941" s="39" t="n">
        <v>21.9</v>
      </c>
      <c r="M1941" s="39">
        <f>I1941*J1941*(1-K1941)</f>
        <v/>
      </c>
      <c r="N1941" s="39">
        <f>I1941*L1941</f>
        <v/>
      </c>
      <c r="O1941" s="39">
        <f>M1941-N1941</f>
        <v/>
      </c>
      <c r="P1941" s="38">
        <f>IF(M1941=0,0,O1941/M1941)</f>
        <v/>
      </c>
      <c r="Q1941" s="36">
        <f>YEAR(B1941)</f>
        <v/>
      </c>
      <c r="R1941" s="36">
        <f>"Q"&amp;ROUNDUP(MONTH(B1941)/3,0)</f>
        <v/>
      </c>
      <c r="S1941" s="36">
        <f>MONTH(B1941)</f>
        <v/>
      </c>
      <c r="T1941" s="36">
        <f>TEXT(B1941,"mmm")</f>
        <v/>
      </c>
      <c r="U1941" s="36">
        <f>IF(AND(OR(sel_Region="All",C1941=sel_Region),OR(sel_Country="All",D1941=sel_Country),OR(sel_Channel="All",E1941=sel_Channel),OR(sel_Customer="All",F1941=sel_Customer),OR(sel_Category="All",G1941=sel_Category),OR(sel_Product="All",H1941=sel_Product),AND(S1941&gt;=m_From,S1941&lt;=m_To)),1,0)</f>
        <v/>
      </c>
      <c r="V1941" s="36">
        <f>IF(AND(OR(sel_Region="All",C1941=sel_Region),OR(sel_Channel="All",E1941=sel_Channel),OR(sel_Customer="All",F1941=sel_Customer),OR(sel_Category="All",G1941=sel_Category),OR(sel_Product="All",H1941=sel_Product),AND(S1941&gt;=m_From,S1941&lt;=m_To)),1,0)</f>
        <v/>
      </c>
      <c r="W1941" s="36">
        <f>IF(AND(OR(sel_Region="All",C1941=sel_Region),OR(sel_Country="All",D1941=sel_Country),OR(sel_Customer="All",F1941=sel_Customer),OR(sel_Category="All",G1941=sel_Category),OR(sel_Product="All",H1941=sel_Product),AND(S1941&gt;=m_From,S1941&lt;=m_To)),1,0)</f>
        <v/>
      </c>
      <c r="X1941" s="36">
        <f>IF(AND(OR(sel_Region="All",C1941=sel_Region),OR(sel_Country="All",D1941=sel_Country),OR(sel_Channel="All",E1941=sel_Channel),OR(sel_Category="All",G1941=sel_Category),OR(sel_Product="All",H1941=sel_Product),AND(S1941&gt;=m_From,S1941&lt;=m_To)),1,0)</f>
        <v/>
      </c>
      <c r="Y1941" s="36">
        <f>IF(AND(OR(sel_Region="All",C1941=sel_Region),OR(sel_Country="All",D1941=sel_Country),OR(sel_Channel="All",E1941=sel_Channel),OR(sel_Customer="All",F1941=sel_Customer),OR(sel_Product="All",H1941=sel_Product),AND(S1941&gt;=m_From,S1941&lt;=m_To)),1,0)</f>
        <v/>
      </c>
      <c r="Z1941" s="36">
        <f>IF(AND(OR(sel_Region="All",C1941=sel_Region),OR(sel_Country="All",D1941=sel_Country),OR(sel_Channel="All",E1941=sel_Channel),OR(sel_Customer="All",F1941=sel_Customer),OR(sel_Category="All",G1941=sel_Category),AND(S1941&gt;=m_From,S1941&lt;=m_To)),1,0)</f>
        <v/>
      </c>
      <c r="AA1941" s="36">
        <f>IF(AND(OR(sel_Region="All",C1941=sel_Region),OR(sel_Country="All",D1941=sel_Country),OR(sel_Channel="All",E1941=sel_Channel),OR(sel_Customer="All",F1941=sel_Customer),OR(sel_Category="All",G1941=sel_Category),OR(sel_Product="All",H1941=sel_Product)),1,0)</f>
        <v/>
      </c>
    </row>
    <row r="1942">
      <c r="A1942" s="36" t="inlineStr">
        <is>
          <t>00210</t>
        </is>
      </c>
      <c r="B1942" s="44" t="n">
        <v>46285</v>
      </c>
      <c r="C1942" s="36" t="inlineStr">
        <is>
          <t>Northern Europe</t>
        </is>
      </c>
      <c r="D1942" s="36" t="inlineStr">
        <is>
          <t>Ireland</t>
        </is>
      </c>
      <c r="E1942" s="36" t="inlineStr">
        <is>
          <t>Retail Partners</t>
        </is>
      </c>
      <c r="F1942" s="36" t="inlineStr">
        <is>
          <t>Returning</t>
        </is>
      </c>
      <c r="G1942" s="36" t="inlineStr">
        <is>
          <t>Camping</t>
        </is>
      </c>
      <c r="H1942" s="36" t="inlineStr">
        <is>
          <t>Trail Tent 2P</t>
        </is>
      </c>
      <c r="I1942" s="36" t="n">
        <v>1</v>
      </c>
      <c r="J1942" s="39" t="n">
        <v>190.77</v>
      </c>
      <c r="K1942" s="45" t="n">
        <v>0.05</v>
      </c>
      <c r="L1942" s="39" t="n">
        <v>104.69</v>
      </c>
      <c r="M1942" s="39">
        <f>I1942*J1942*(1-K1942)</f>
        <v/>
      </c>
      <c r="N1942" s="39">
        <f>I1942*L1942</f>
        <v/>
      </c>
      <c r="O1942" s="39">
        <f>M1942-N1942</f>
        <v/>
      </c>
      <c r="P1942" s="38">
        <f>IF(M1942=0,0,O1942/M1942)</f>
        <v/>
      </c>
      <c r="Q1942" s="36">
        <f>YEAR(B1942)</f>
        <v/>
      </c>
      <c r="R1942" s="36">
        <f>"Q"&amp;ROUNDUP(MONTH(B1942)/3,0)</f>
        <v/>
      </c>
      <c r="S1942" s="36">
        <f>MONTH(B1942)</f>
        <v/>
      </c>
      <c r="T1942" s="36">
        <f>TEXT(B1942,"mmm")</f>
        <v/>
      </c>
      <c r="U1942" s="36">
        <f>IF(AND(OR(sel_Region="All",C1942=sel_Region),OR(sel_Country="All",D1942=sel_Country),OR(sel_Channel="All",E1942=sel_Channel),OR(sel_Customer="All",F1942=sel_Customer),OR(sel_Category="All",G1942=sel_Category),OR(sel_Product="All",H1942=sel_Product),AND(S1942&gt;=m_From,S1942&lt;=m_To)),1,0)</f>
        <v/>
      </c>
      <c r="V1942" s="36">
        <f>IF(AND(OR(sel_Region="All",C1942=sel_Region),OR(sel_Channel="All",E1942=sel_Channel),OR(sel_Customer="All",F1942=sel_Customer),OR(sel_Category="All",G1942=sel_Category),OR(sel_Product="All",H1942=sel_Product),AND(S1942&gt;=m_From,S1942&lt;=m_To)),1,0)</f>
        <v/>
      </c>
      <c r="W1942" s="36">
        <f>IF(AND(OR(sel_Region="All",C1942=sel_Region),OR(sel_Country="All",D1942=sel_Country),OR(sel_Customer="All",F1942=sel_Customer),OR(sel_Category="All",G1942=sel_Category),OR(sel_Product="All",H1942=sel_Product),AND(S1942&gt;=m_From,S1942&lt;=m_To)),1,0)</f>
        <v/>
      </c>
      <c r="X1942" s="36">
        <f>IF(AND(OR(sel_Region="All",C1942=sel_Region),OR(sel_Country="All",D1942=sel_Country),OR(sel_Channel="All",E1942=sel_Channel),OR(sel_Category="All",G1942=sel_Category),OR(sel_Product="All",H1942=sel_Product),AND(S1942&gt;=m_From,S1942&lt;=m_To)),1,0)</f>
        <v/>
      </c>
      <c r="Y1942" s="36">
        <f>IF(AND(OR(sel_Region="All",C1942=sel_Region),OR(sel_Country="All",D1942=sel_Country),OR(sel_Channel="All",E1942=sel_Channel),OR(sel_Customer="All",F1942=sel_Customer),OR(sel_Product="All",H1942=sel_Product),AND(S1942&gt;=m_From,S1942&lt;=m_To)),1,0)</f>
        <v/>
      </c>
      <c r="Z1942" s="36">
        <f>IF(AND(OR(sel_Region="All",C1942=sel_Region),OR(sel_Country="All",D1942=sel_Country),OR(sel_Channel="All",E1942=sel_Channel),OR(sel_Customer="All",F1942=sel_Customer),OR(sel_Category="All",G1942=sel_Category),AND(S1942&gt;=m_From,S1942&lt;=m_To)),1,0)</f>
        <v/>
      </c>
      <c r="AA1942" s="36">
        <f>IF(AND(OR(sel_Region="All",C1942=sel_Region),OR(sel_Country="All",D1942=sel_Country),OR(sel_Channel="All",E1942=sel_Channel),OR(sel_Customer="All",F1942=sel_Customer),OR(sel_Category="All",G1942=sel_Category),OR(sel_Product="All",H1942=sel_Product)),1,0)</f>
        <v/>
      </c>
    </row>
    <row r="1943">
      <c r="A1943" s="36" t="inlineStr">
        <is>
          <t>00462</t>
        </is>
      </c>
      <c r="B1943" s="44" t="n">
        <v>46285</v>
      </c>
      <c r="C1943" s="36" t="inlineStr">
        <is>
          <t>Central Europe</t>
        </is>
      </c>
      <c r="D1943" s="36" t="inlineStr">
        <is>
          <t>Germany</t>
        </is>
      </c>
      <c r="E1943" s="36" t="inlineStr">
        <is>
          <t>Retail Partners</t>
        </is>
      </c>
      <c r="F1943" s="36" t="inlineStr">
        <is>
          <t>New</t>
        </is>
      </c>
      <c r="G1943" s="36" t="inlineStr">
        <is>
          <t>Cycling</t>
        </is>
      </c>
      <c r="H1943" s="36" t="inlineStr">
        <is>
          <t>Compact Repair Kit</t>
        </is>
      </c>
      <c r="I1943" s="36" t="n">
        <v>2</v>
      </c>
      <c r="J1943" s="39" t="n">
        <v>40.05</v>
      </c>
      <c r="K1943" s="45" t="n">
        <v>0.05</v>
      </c>
      <c r="L1943" s="39" t="n">
        <v>16.97</v>
      </c>
      <c r="M1943" s="39">
        <f>I1943*J1943*(1-K1943)</f>
        <v/>
      </c>
      <c r="N1943" s="39">
        <f>I1943*L1943</f>
        <v/>
      </c>
      <c r="O1943" s="39">
        <f>M1943-N1943</f>
        <v/>
      </c>
      <c r="P1943" s="38">
        <f>IF(M1943=0,0,O1943/M1943)</f>
        <v/>
      </c>
      <c r="Q1943" s="36">
        <f>YEAR(B1943)</f>
        <v/>
      </c>
      <c r="R1943" s="36">
        <f>"Q"&amp;ROUNDUP(MONTH(B1943)/3,0)</f>
        <v/>
      </c>
      <c r="S1943" s="36">
        <f>MONTH(B1943)</f>
        <v/>
      </c>
      <c r="T1943" s="36">
        <f>TEXT(B1943,"mmm")</f>
        <v/>
      </c>
      <c r="U1943" s="36">
        <f>IF(AND(OR(sel_Region="All",C1943=sel_Region),OR(sel_Country="All",D1943=sel_Country),OR(sel_Channel="All",E1943=sel_Channel),OR(sel_Customer="All",F1943=sel_Customer),OR(sel_Category="All",G1943=sel_Category),OR(sel_Product="All",H1943=sel_Product),AND(S1943&gt;=m_From,S1943&lt;=m_To)),1,0)</f>
        <v/>
      </c>
      <c r="V1943" s="36">
        <f>IF(AND(OR(sel_Region="All",C1943=sel_Region),OR(sel_Channel="All",E1943=sel_Channel),OR(sel_Customer="All",F1943=sel_Customer),OR(sel_Category="All",G1943=sel_Category),OR(sel_Product="All",H1943=sel_Product),AND(S1943&gt;=m_From,S1943&lt;=m_To)),1,0)</f>
        <v/>
      </c>
      <c r="W1943" s="36">
        <f>IF(AND(OR(sel_Region="All",C1943=sel_Region),OR(sel_Country="All",D1943=sel_Country),OR(sel_Customer="All",F1943=sel_Customer),OR(sel_Category="All",G1943=sel_Category),OR(sel_Product="All",H1943=sel_Product),AND(S1943&gt;=m_From,S1943&lt;=m_To)),1,0)</f>
        <v/>
      </c>
      <c r="X1943" s="36">
        <f>IF(AND(OR(sel_Region="All",C1943=sel_Region),OR(sel_Country="All",D1943=sel_Country),OR(sel_Channel="All",E1943=sel_Channel),OR(sel_Category="All",G1943=sel_Category),OR(sel_Product="All",H1943=sel_Product),AND(S1943&gt;=m_From,S1943&lt;=m_To)),1,0)</f>
        <v/>
      </c>
      <c r="Y1943" s="36">
        <f>IF(AND(OR(sel_Region="All",C1943=sel_Region),OR(sel_Country="All",D1943=sel_Country),OR(sel_Channel="All",E1943=sel_Channel),OR(sel_Customer="All",F1943=sel_Customer),OR(sel_Product="All",H1943=sel_Product),AND(S1943&gt;=m_From,S1943&lt;=m_To)),1,0)</f>
        <v/>
      </c>
      <c r="Z1943" s="36">
        <f>IF(AND(OR(sel_Region="All",C1943=sel_Region),OR(sel_Country="All",D1943=sel_Country),OR(sel_Channel="All",E1943=sel_Channel),OR(sel_Customer="All",F1943=sel_Customer),OR(sel_Category="All",G1943=sel_Category),AND(S1943&gt;=m_From,S1943&lt;=m_To)),1,0)</f>
        <v/>
      </c>
      <c r="AA1943" s="36">
        <f>IF(AND(OR(sel_Region="All",C1943=sel_Region),OR(sel_Country="All",D1943=sel_Country),OR(sel_Channel="All",E1943=sel_Channel),OR(sel_Customer="All",F1943=sel_Customer),OR(sel_Category="All",G1943=sel_Category),OR(sel_Product="All",H1943=sel_Product)),1,0)</f>
        <v/>
      </c>
    </row>
    <row r="1944">
      <c r="A1944" s="36" t="inlineStr">
        <is>
          <t>00725</t>
        </is>
      </c>
      <c r="B1944" s="44" t="n">
        <v>46285</v>
      </c>
      <c r="C1944" s="36" t="inlineStr">
        <is>
          <t>Central Europe</t>
        </is>
      </c>
      <c r="D1944" s="36" t="inlineStr">
        <is>
          <t>Germany</t>
        </is>
      </c>
      <c r="E1944" s="36" t="inlineStr">
        <is>
          <t>Online Store</t>
        </is>
      </c>
      <c r="F1944" s="36" t="inlineStr">
        <is>
          <t>New</t>
        </is>
      </c>
      <c r="G1944" s="36" t="inlineStr">
        <is>
          <t>Cycling</t>
        </is>
      </c>
      <c r="H1944" s="36" t="inlineStr">
        <is>
          <t>Commuter Helmet</t>
        </is>
      </c>
      <c r="I1944" s="36" t="n">
        <v>1</v>
      </c>
      <c r="J1944" s="39" t="n">
        <v>82.08</v>
      </c>
      <c r="K1944" s="45" t="n">
        <v>0.05</v>
      </c>
      <c r="L1944" s="39" t="n">
        <v>43.18</v>
      </c>
      <c r="M1944" s="39">
        <f>I1944*J1944*(1-K1944)</f>
        <v/>
      </c>
      <c r="N1944" s="39">
        <f>I1944*L1944</f>
        <v/>
      </c>
      <c r="O1944" s="39">
        <f>M1944-N1944</f>
        <v/>
      </c>
      <c r="P1944" s="38">
        <f>IF(M1944=0,0,O1944/M1944)</f>
        <v/>
      </c>
      <c r="Q1944" s="36">
        <f>YEAR(B1944)</f>
        <v/>
      </c>
      <c r="R1944" s="36">
        <f>"Q"&amp;ROUNDUP(MONTH(B1944)/3,0)</f>
        <v/>
      </c>
      <c r="S1944" s="36">
        <f>MONTH(B1944)</f>
        <v/>
      </c>
      <c r="T1944" s="36">
        <f>TEXT(B1944,"mmm")</f>
        <v/>
      </c>
      <c r="U1944" s="36">
        <f>IF(AND(OR(sel_Region="All",C1944=sel_Region),OR(sel_Country="All",D1944=sel_Country),OR(sel_Channel="All",E1944=sel_Channel),OR(sel_Customer="All",F1944=sel_Customer),OR(sel_Category="All",G1944=sel_Category),OR(sel_Product="All",H1944=sel_Product),AND(S1944&gt;=m_From,S1944&lt;=m_To)),1,0)</f>
        <v/>
      </c>
      <c r="V1944" s="36">
        <f>IF(AND(OR(sel_Region="All",C1944=sel_Region),OR(sel_Channel="All",E1944=sel_Channel),OR(sel_Customer="All",F1944=sel_Customer),OR(sel_Category="All",G1944=sel_Category),OR(sel_Product="All",H1944=sel_Product),AND(S1944&gt;=m_From,S1944&lt;=m_To)),1,0)</f>
        <v/>
      </c>
      <c r="W1944" s="36">
        <f>IF(AND(OR(sel_Region="All",C1944=sel_Region),OR(sel_Country="All",D1944=sel_Country),OR(sel_Customer="All",F1944=sel_Customer),OR(sel_Category="All",G1944=sel_Category),OR(sel_Product="All",H1944=sel_Product),AND(S1944&gt;=m_From,S1944&lt;=m_To)),1,0)</f>
        <v/>
      </c>
      <c r="X1944" s="36">
        <f>IF(AND(OR(sel_Region="All",C1944=sel_Region),OR(sel_Country="All",D1944=sel_Country),OR(sel_Channel="All",E1944=sel_Channel),OR(sel_Category="All",G1944=sel_Category),OR(sel_Product="All",H1944=sel_Product),AND(S1944&gt;=m_From,S1944&lt;=m_To)),1,0)</f>
        <v/>
      </c>
      <c r="Y1944" s="36">
        <f>IF(AND(OR(sel_Region="All",C1944=sel_Region),OR(sel_Country="All",D1944=sel_Country),OR(sel_Channel="All",E1944=sel_Channel),OR(sel_Customer="All",F1944=sel_Customer),OR(sel_Product="All",H1944=sel_Product),AND(S1944&gt;=m_From,S1944&lt;=m_To)),1,0)</f>
        <v/>
      </c>
      <c r="Z1944" s="36">
        <f>IF(AND(OR(sel_Region="All",C1944=sel_Region),OR(sel_Country="All",D1944=sel_Country),OR(sel_Channel="All",E1944=sel_Channel),OR(sel_Customer="All",F1944=sel_Customer),OR(sel_Category="All",G1944=sel_Category),AND(S1944&gt;=m_From,S1944&lt;=m_To)),1,0)</f>
        <v/>
      </c>
      <c r="AA1944" s="36">
        <f>IF(AND(OR(sel_Region="All",C1944=sel_Region),OR(sel_Country="All",D1944=sel_Country),OR(sel_Channel="All",E1944=sel_Channel),OR(sel_Customer="All",F1944=sel_Customer),OR(sel_Category="All",G1944=sel_Category),OR(sel_Product="All",H1944=sel_Product)),1,0)</f>
        <v/>
      </c>
    </row>
    <row r="1945">
      <c r="A1945" s="36" t="inlineStr">
        <is>
          <t>00918</t>
        </is>
      </c>
      <c r="B1945" s="44" t="n">
        <v>46285</v>
      </c>
      <c r="C1945" s="36" t="inlineStr">
        <is>
          <t>Southern Europe</t>
        </is>
      </c>
      <c r="D1945" s="36" t="inlineStr">
        <is>
          <t>Italy</t>
        </is>
      </c>
      <c r="E1945" s="36" t="inlineStr">
        <is>
          <t>Online Store</t>
        </is>
      </c>
      <c r="F1945" s="36" t="inlineStr">
        <is>
          <t>Returning</t>
        </is>
      </c>
      <c r="G1945" s="36" t="inlineStr">
        <is>
          <t>Cycling</t>
        </is>
      </c>
      <c r="H1945" s="36" t="inlineStr">
        <is>
          <t>Trail Bike Light</t>
        </is>
      </c>
      <c r="I1945" s="36" t="n">
        <v>1</v>
      </c>
      <c r="J1945" s="39" t="n">
        <v>50.3</v>
      </c>
      <c r="K1945" s="45" t="n">
        <v>0.05</v>
      </c>
      <c r="L1945" s="39" t="n">
        <v>22.14</v>
      </c>
      <c r="M1945" s="39">
        <f>I1945*J1945*(1-K1945)</f>
        <v/>
      </c>
      <c r="N1945" s="39">
        <f>I1945*L1945</f>
        <v/>
      </c>
      <c r="O1945" s="39">
        <f>M1945-N1945</f>
        <v/>
      </c>
      <c r="P1945" s="38">
        <f>IF(M1945=0,0,O1945/M1945)</f>
        <v/>
      </c>
      <c r="Q1945" s="36">
        <f>YEAR(B1945)</f>
        <v/>
      </c>
      <c r="R1945" s="36">
        <f>"Q"&amp;ROUNDUP(MONTH(B1945)/3,0)</f>
        <v/>
      </c>
      <c r="S1945" s="36">
        <f>MONTH(B1945)</f>
        <v/>
      </c>
      <c r="T1945" s="36">
        <f>TEXT(B1945,"mmm")</f>
        <v/>
      </c>
      <c r="U1945" s="36">
        <f>IF(AND(OR(sel_Region="All",C1945=sel_Region),OR(sel_Country="All",D1945=sel_Country),OR(sel_Channel="All",E1945=sel_Channel),OR(sel_Customer="All",F1945=sel_Customer),OR(sel_Category="All",G1945=sel_Category),OR(sel_Product="All",H1945=sel_Product),AND(S1945&gt;=m_From,S1945&lt;=m_To)),1,0)</f>
        <v/>
      </c>
      <c r="V1945" s="36">
        <f>IF(AND(OR(sel_Region="All",C1945=sel_Region),OR(sel_Channel="All",E1945=sel_Channel),OR(sel_Customer="All",F1945=sel_Customer),OR(sel_Category="All",G1945=sel_Category),OR(sel_Product="All",H1945=sel_Product),AND(S1945&gt;=m_From,S1945&lt;=m_To)),1,0)</f>
        <v/>
      </c>
      <c r="W1945" s="36">
        <f>IF(AND(OR(sel_Region="All",C1945=sel_Region),OR(sel_Country="All",D1945=sel_Country),OR(sel_Customer="All",F1945=sel_Customer),OR(sel_Category="All",G1945=sel_Category),OR(sel_Product="All",H1945=sel_Product),AND(S1945&gt;=m_From,S1945&lt;=m_To)),1,0)</f>
        <v/>
      </c>
      <c r="X1945" s="36">
        <f>IF(AND(OR(sel_Region="All",C1945=sel_Region),OR(sel_Country="All",D1945=sel_Country),OR(sel_Channel="All",E1945=sel_Channel),OR(sel_Category="All",G1945=sel_Category),OR(sel_Product="All",H1945=sel_Product),AND(S1945&gt;=m_From,S1945&lt;=m_To)),1,0)</f>
        <v/>
      </c>
      <c r="Y1945" s="36">
        <f>IF(AND(OR(sel_Region="All",C1945=sel_Region),OR(sel_Country="All",D1945=sel_Country),OR(sel_Channel="All",E1945=sel_Channel),OR(sel_Customer="All",F1945=sel_Customer),OR(sel_Product="All",H1945=sel_Product),AND(S1945&gt;=m_From,S1945&lt;=m_To)),1,0)</f>
        <v/>
      </c>
      <c r="Z1945" s="36">
        <f>IF(AND(OR(sel_Region="All",C1945=sel_Region),OR(sel_Country="All",D1945=sel_Country),OR(sel_Channel="All",E1945=sel_Channel),OR(sel_Customer="All",F1945=sel_Customer),OR(sel_Category="All",G1945=sel_Category),AND(S1945&gt;=m_From,S1945&lt;=m_To)),1,0)</f>
        <v/>
      </c>
      <c r="AA1945" s="36">
        <f>IF(AND(OR(sel_Region="All",C1945=sel_Region),OR(sel_Country="All",D1945=sel_Country),OR(sel_Channel="All",E1945=sel_Channel),OR(sel_Customer="All",F1945=sel_Customer),OR(sel_Category="All",G1945=sel_Category),OR(sel_Product="All",H1945=sel_Product)),1,0)</f>
        <v/>
      </c>
    </row>
    <row r="1946">
      <c r="A1946" s="36" t="inlineStr">
        <is>
          <t>01442</t>
        </is>
      </c>
      <c r="B1946" s="44" t="n">
        <v>46285</v>
      </c>
      <c r="C1946" s="36" t="inlineStr">
        <is>
          <t>Northern Europe</t>
        </is>
      </c>
      <c r="D1946" s="36" t="inlineStr">
        <is>
          <t>Norway</t>
        </is>
      </c>
      <c r="E1946" s="36" t="inlineStr">
        <is>
          <t>Online Store</t>
        </is>
      </c>
      <c r="F1946" s="36" t="inlineStr">
        <is>
          <t>New</t>
        </is>
      </c>
      <c r="G1946" s="36" t="inlineStr">
        <is>
          <t>Travel</t>
        </is>
      </c>
      <c r="H1946" s="36" t="inlineStr">
        <is>
          <t>Packing Cube Set</t>
        </is>
      </c>
      <c r="I1946" s="36" t="n">
        <v>1</v>
      </c>
      <c r="J1946" s="39" t="n">
        <v>47.68</v>
      </c>
      <c r="K1946" s="45" t="n">
        <v>0.1</v>
      </c>
      <c r="L1946" s="39" t="n">
        <v>18.03</v>
      </c>
      <c r="M1946" s="39">
        <f>I1946*J1946*(1-K1946)</f>
        <v/>
      </c>
      <c r="N1946" s="39">
        <f>I1946*L1946</f>
        <v/>
      </c>
      <c r="O1946" s="39">
        <f>M1946-N1946</f>
        <v/>
      </c>
      <c r="P1946" s="38">
        <f>IF(M1946=0,0,O1946/M1946)</f>
        <v/>
      </c>
      <c r="Q1946" s="36">
        <f>YEAR(B1946)</f>
        <v/>
      </c>
      <c r="R1946" s="36">
        <f>"Q"&amp;ROUNDUP(MONTH(B1946)/3,0)</f>
        <v/>
      </c>
      <c r="S1946" s="36">
        <f>MONTH(B1946)</f>
        <v/>
      </c>
      <c r="T1946" s="36">
        <f>TEXT(B1946,"mmm")</f>
        <v/>
      </c>
      <c r="U1946" s="36">
        <f>IF(AND(OR(sel_Region="All",C1946=sel_Region),OR(sel_Country="All",D1946=sel_Country),OR(sel_Channel="All",E1946=sel_Channel),OR(sel_Customer="All",F1946=sel_Customer),OR(sel_Category="All",G1946=sel_Category),OR(sel_Product="All",H1946=sel_Product),AND(S1946&gt;=m_From,S1946&lt;=m_To)),1,0)</f>
        <v/>
      </c>
      <c r="V1946" s="36">
        <f>IF(AND(OR(sel_Region="All",C1946=sel_Region),OR(sel_Channel="All",E1946=sel_Channel),OR(sel_Customer="All",F1946=sel_Customer),OR(sel_Category="All",G1946=sel_Category),OR(sel_Product="All",H1946=sel_Product),AND(S1946&gt;=m_From,S1946&lt;=m_To)),1,0)</f>
        <v/>
      </c>
      <c r="W1946" s="36">
        <f>IF(AND(OR(sel_Region="All",C1946=sel_Region),OR(sel_Country="All",D1946=sel_Country),OR(sel_Customer="All",F1946=sel_Customer),OR(sel_Category="All",G1946=sel_Category),OR(sel_Product="All",H1946=sel_Product),AND(S1946&gt;=m_From,S1946&lt;=m_To)),1,0)</f>
        <v/>
      </c>
      <c r="X1946" s="36">
        <f>IF(AND(OR(sel_Region="All",C1946=sel_Region),OR(sel_Country="All",D1946=sel_Country),OR(sel_Channel="All",E1946=sel_Channel),OR(sel_Category="All",G1946=sel_Category),OR(sel_Product="All",H1946=sel_Product),AND(S1946&gt;=m_From,S1946&lt;=m_To)),1,0)</f>
        <v/>
      </c>
      <c r="Y1946" s="36">
        <f>IF(AND(OR(sel_Region="All",C1946=sel_Region),OR(sel_Country="All",D1946=sel_Country),OR(sel_Channel="All",E1946=sel_Channel),OR(sel_Customer="All",F1946=sel_Customer),OR(sel_Product="All",H1946=sel_Product),AND(S1946&gt;=m_From,S1946&lt;=m_To)),1,0)</f>
        <v/>
      </c>
      <c r="Z1946" s="36">
        <f>IF(AND(OR(sel_Region="All",C1946=sel_Region),OR(sel_Country="All",D1946=sel_Country),OR(sel_Channel="All",E1946=sel_Channel),OR(sel_Customer="All",F1946=sel_Customer),OR(sel_Category="All",G1946=sel_Category),AND(S1946&gt;=m_From,S1946&lt;=m_To)),1,0)</f>
        <v/>
      </c>
      <c r="AA1946" s="36">
        <f>IF(AND(OR(sel_Region="All",C1946=sel_Region),OR(sel_Country="All",D1946=sel_Country),OR(sel_Channel="All",E1946=sel_Channel),OR(sel_Customer="All",F1946=sel_Customer),OR(sel_Category="All",G1946=sel_Category),OR(sel_Product="All",H1946=sel_Product)),1,0)</f>
        <v/>
      </c>
    </row>
    <row r="1947">
      <c r="A1947" s="36" t="inlineStr">
        <is>
          <t>04290</t>
        </is>
      </c>
      <c r="B1947" s="44" t="n">
        <v>46285</v>
      </c>
      <c r="C1947" s="36" t="inlineStr">
        <is>
          <t>Northern Europe</t>
        </is>
      </c>
      <c r="D1947" s="36" t="inlineStr">
        <is>
          <t>Sweden</t>
        </is>
      </c>
      <c r="E1947" s="36" t="inlineStr">
        <is>
          <t>Retail Partners</t>
        </is>
      </c>
      <c r="F1947" s="36" t="inlineStr">
        <is>
          <t>Returning</t>
        </is>
      </c>
      <c r="G1947" s="36" t="inlineStr">
        <is>
          <t>Cycling</t>
        </is>
      </c>
      <c r="H1947" s="36" t="inlineStr">
        <is>
          <t>Trail Bike Light</t>
        </is>
      </c>
      <c r="I1947" s="36" t="n">
        <v>2</v>
      </c>
      <c r="J1947" s="39" t="n">
        <v>51.48</v>
      </c>
      <c r="K1947" s="45" t="n">
        <v>0.05</v>
      </c>
      <c r="L1947" s="39" t="n">
        <v>22.38</v>
      </c>
      <c r="M1947" s="39">
        <f>I1947*J1947*(1-K1947)</f>
        <v/>
      </c>
      <c r="N1947" s="39">
        <f>I1947*L1947</f>
        <v/>
      </c>
      <c r="O1947" s="39">
        <f>M1947-N1947</f>
        <v/>
      </c>
      <c r="P1947" s="38">
        <f>IF(M1947=0,0,O1947/M1947)</f>
        <v/>
      </c>
      <c r="Q1947" s="36">
        <f>YEAR(B1947)</f>
        <v/>
      </c>
      <c r="R1947" s="36">
        <f>"Q"&amp;ROUNDUP(MONTH(B1947)/3,0)</f>
        <v/>
      </c>
      <c r="S1947" s="36">
        <f>MONTH(B1947)</f>
        <v/>
      </c>
      <c r="T1947" s="36">
        <f>TEXT(B1947,"mmm")</f>
        <v/>
      </c>
      <c r="U1947" s="36">
        <f>IF(AND(OR(sel_Region="All",C1947=sel_Region),OR(sel_Country="All",D1947=sel_Country),OR(sel_Channel="All",E1947=sel_Channel),OR(sel_Customer="All",F1947=sel_Customer),OR(sel_Category="All",G1947=sel_Category),OR(sel_Product="All",H1947=sel_Product),AND(S1947&gt;=m_From,S1947&lt;=m_To)),1,0)</f>
        <v/>
      </c>
      <c r="V1947" s="36">
        <f>IF(AND(OR(sel_Region="All",C1947=sel_Region),OR(sel_Channel="All",E1947=sel_Channel),OR(sel_Customer="All",F1947=sel_Customer),OR(sel_Category="All",G1947=sel_Category),OR(sel_Product="All",H1947=sel_Product),AND(S1947&gt;=m_From,S1947&lt;=m_To)),1,0)</f>
        <v/>
      </c>
      <c r="W1947" s="36">
        <f>IF(AND(OR(sel_Region="All",C1947=sel_Region),OR(sel_Country="All",D1947=sel_Country),OR(sel_Customer="All",F1947=sel_Customer),OR(sel_Category="All",G1947=sel_Category),OR(sel_Product="All",H1947=sel_Product),AND(S1947&gt;=m_From,S1947&lt;=m_To)),1,0)</f>
        <v/>
      </c>
      <c r="X1947" s="36">
        <f>IF(AND(OR(sel_Region="All",C1947=sel_Region),OR(sel_Country="All",D1947=sel_Country),OR(sel_Channel="All",E1947=sel_Channel),OR(sel_Category="All",G1947=sel_Category),OR(sel_Product="All",H1947=sel_Product),AND(S1947&gt;=m_From,S1947&lt;=m_To)),1,0)</f>
        <v/>
      </c>
      <c r="Y1947" s="36">
        <f>IF(AND(OR(sel_Region="All",C1947=sel_Region),OR(sel_Country="All",D1947=sel_Country),OR(sel_Channel="All",E1947=sel_Channel),OR(sel_Customer="All",F1947=sel_Customer),OR(sel_Product="All",H1947=sel_Product),AND(S1947&gt;=m_From,S1947&lt;=m_To)),1,0)</f>
        <v/>
      </c>
      <c r="Z1947" s="36">
        <f>IF(AND(OR(sel_Region="All",C1947=sel_Region),OR(sel_Country="All",D1947=sel_Country),OR(sel_Channel="All",E1947=sel_Channel),OR(sel_Customer="All",F1947=sel_Customer),OR(sel_Category="All",G1947=sel_Category),AND(S1947&gt;=m_From,S1947&lt;=m_To)),1,0)</f>
        <v/>
      </c>
      <c r="AA1947" s="36">
        <f>IF(AND(OR(sel_Region="All",C1947=sel_Region),OR(sel_Country="All",D1947=sel_Country),OR(sel_Channel="All",E1947=sel_Channel),OR(sel_Customer="All",F1947=sel_Customer),OR(sel_Category="All",G1947=sel_Category),OR(sel_Product="All",H1947=sel_Product)),1,0)</f>
        <v/>
      </c>
    </row>
    <row r="1948">
      <c r="A1948" s="36" t="inlineStr">
        <is>
          <t>04666</t>
        </is>
      </c>
      <c r="B1948" s="44" t="n">
        <v>46285</v>
      </c>
      <c r="C1948" s="36" t="inlineStr">
        <is>
          <t>Northern Europe</t>
        </is>
      </c>
      <c r="D1948" s="36" t="inlineStr">
        <is>
          <t>Ireland</t>
        </is>
      </c>
      <c r="E1948" s="36" t="inlineStr">
        <is>
          <t>Online Store</t>
        </is>
      </c>
      <c r="F1948" s="36" t="inlineStr">
        <is>
          <t>Business</t>
        </is>
      </c>
      <c r="G1948" s="36" t="inlineStr">
        <is>
          <t>Fitness</t>
        </is>
      </c>
      <c r="H1948" s="36" t="inlineStr">
        <is>
          <t>Weighted Vest</t>
        </is>
      </c>
      <c r="I1948" s="36" t="n">
        <v>2</v>
      </c>
      <c r="J1948" s="39" t="n">
        <v>123.73</v>
      </c>
      <c r="K1948" s="45" t="n">
        <v>0</v>
      </c>
      <c r="L1948" s="39" t="n">
        <v>68.45999999999999</v>
      </c>
      <c r="M1948" s="39">
        <f>I1948*J1948*(1-K1948)</f>
        <v/>
      </c>
      <c r="N1948" s="39">
        <f>I1948*L1948</f>
        <v/>
      </c>
      <c r="O1948" s="39">
        <f>M1948-N1948</f>
        <v/>
      </c>
      <c r="P1948" s="38">
        <f>IF(M1948=0,0,O1948/M1948)</f>
        <v/>
      </c>
      <c r="Q1948" s="36">
        <f>YEAR(B1948)</f>
        <v/>
      </c>
      <c r="R1948" s="36">
        <f>"Q"&amp;ROUNDUP(MONTH(B1948)/3,0)</f>
        <v/>
      </c>
      <c r="S1948" s="36">
        <f>MONTH(B1948)</f>
        <v/>
      </c>
      <c r="T1948" s="36">
        <f>TEXT(B1948,"mmm")</f>
        <v/>
      </c>
      <c r="U1948" s="36">
        <f>IF(AND(OR(sel_Region="All",C1948=sel_Region),OR(sel_Country="All",D1948=sel_Country),OR(sel_Channel="All",E1948=sel_Channel),OR(sel_Customer="All",F1948=sel_Customer),OR(sel_Category="All",G1948=sel_Category),OR(sel_Product="All",H1948=sel_Product),AND(S1948&gt;=m_From,S1948&lt;=m_To)),1,0)</f>
        <v/>
      </c>
      <c r="V1948" s="36">
        <f>IF(AND(OR(sel_Region="All",C1948=sel_Region),OR(sel_Channel="All",E1948=sel_Channel),OR(sel_Customer="All",F1948=sel_Customer),OR(sel_Category="All",G1948=sel_Category),OR(sel_Product="All",H1948=sel_Product),AND(S1948&gt;=m_From,S1948&lt;=m_To)),1,0)</f>
        <v/>
      </c>
      <c r="W1948" s="36">
        <f>IF(AND(OR(sel_Region="All",C1948=sel_Region),OR(sel_Country="All",D1948=sel_Country),OR(sel_Customer="All",F1948=sel_Customer),OR(sel_Category="All",G1948=sel_Category),OR(sel_Product="All",H1948=sel_Product),AND(S1948&gt;=m_From,S1948&lt;=m_To)),1,0)</f>
        <v/>
      </c>
      <c r="X1948" s="36">
        <f>IF(AND(OR(sel_Region="All",C1948=sel_Region),OR(sel_Country="All",D1948=sel_Country),OR(sel_Channel="All",E1948=sel_Channel),OR(sel_Category="All",G1948=sel_Category),OR(sel_Product="All",H1948=sel_Product),AND(S1948&gt;=m_From,S1948&lt;=m_To)),1,0)</f>
        <v/>
      </c>
      <c r="Y1948" s="36">
        <f>IF(AND(OR(sel_Region="All",C1948=sel_Region),OR(sel_Country="All",D1948=sel_Country),OR(sel_Channel="All",E1948=sel_Channel),OR(sel_Customer="All",F1948=sel_Customer),OR(sel_Product="All",H1948=sel_Product),AND(S1948&gt;=m_From,S1948&lt;=m_To)),1,0)</f>
        <v/>
      </c>
      <c r="Z1948" s="36">
        <f>IF(AND(OR(sel_Region="All",C1948=sel_Region),OR(sel_Country="All",D1948=sel_Country),OR(sel_Channel="All",E1948=sel_Channel),OR(sel_Customer="All",F1948=sel_Customer),OR(sel_Category="All",G1948=sel_Category),AND(S1948&gt;=m_From,S1948&lt;=m_To)),1,0)</f>
        <v/>
      </c>
      <c r="AA1948" s="36">
        <f>IF(AND(OR(sel_Region="All",C1948=sel_Region),OR(sel_Country="All",D1948=sel_Country),OR(sel_Channel="All",E1948=sel_Channel),OR(sel_Customer="All",F1948=sel_Customer),OR(sel_Category="All",G1948=sel_Category),OR(sel_Product="All",H1948=sel_Product)),1,0)</f>
        <v/>
      </c>
    </row>
    <row r="1949">
      <c r="A1949" s="36" t="inlineStr">
        <is>
          <t>00234</t>
        </is>
      </c>
      <c r="B1949" s="44" t="n">
        <v>46286</v>
      </c>
      <c r="C1949" s="36" t="inlineStr">
        <is>
          <t>Northern Europe</t>
        </is>
      </c>
      <c r="D1949" s="36" t="inlineStr">
        <is>
          <t>Denmark</t>
        </is>
      </c>
      <c r="E1949" s="36" t="inlineStr">
        <is>
          <t>Online Store</t>
        </is>
      </c>
      <c r="F1949" s="36" t="inlineStr">
        <is>
          <t>Business</t>
        </is>
      </c>
      <c r="G1949" s="36" t="inlineStr">
        <is>
          <t>Hiking</t>
        </is>
      </c>
      <c r="H1949" s="36" t="inlineStr">
        <is>
          <t>Trail Boots</t>
        </is>
      </c>
      <c r="I1949" s="36" t="n">
        <v>2</v>
      </c>
      <c r="J1949" s="39" t="n">
        <v>146.81</v>
      </c>
      <c r="K1949" s="45" t="n">
        <v>0</v>
      </c>
      <c r="L1949" s="39" t="n">
        <v>79.72</v>
      </c>
      <c r="M1949" s="39">
        <f>I1949*J1949*(1-K1949)</f>
        <v/>
      </c>
      <c r="N1949" s="39">
        <f>I1949*L1949</f>
        <v/>
      </c>
      <c r="O1949" s="39">
        <f>M1949-N1949</f>
        <v/>
      </c>
      <c r="P1949" s="38">
        <f>IF(M1949=0,0,O1949/M1949)</f>
        <v/>
      </c>
      <c r="Q1949" s="36">
        <f>YEAR(B1949)</f>
        <v/>
      </c>
      <c r="R1949" s="36">
        <f>"Q"&amp;ROUNDUP(MONTH(B1949)/3,0)</f>
        <v/>
      </c>
      <c r="S1949" s="36">
        <f>MONTH(B1949)</f>
        <v/>
      </c>
      <c r="T1949" s="36">
        <f>TEXT(B1949,"mmm")</f>
        <v/>
      </c>
      <c r="U1949" s="36">
        <f>IF(AND(OR(sel_Region="All",C1949=sel_Region),OR(sel_Country="All",D1949=sel_Country),OR(sel_Channel="All",E1949=sel_Channel),OR(sel_Customer="All",F1949=sel_Customer),OR(sel_Category="All",G1949=sel_Category),OR(sel_Product="All",H1949=sel_Product),AND(S1949&gt;=m_From,S1949&lt;=m_To)),1,0)</f>
        <v/>
      </c>
      <c r="V1949" s="36">
        <f>IF(AND(OR(sel_Region="All",C1949=sel_Region),OR(sel_Channel="All",E1949=sel_Channel),OR(sel_Customer="All",F1949=sel_Customer),OR(sel_Category="All",G1949=sel_Category),OR(sel_Product="All",H1949=sel_Product),AND(S1949&gt;=m_From,S1949&lt;=m_To)),1,0)</f>
        <v/>
      </c>
      <c r="W1949" s="36">
        <f>IF(AND(OR(sel_Region="All",C1949=sel_Region),OR(sel_Country="All",D1949=sel_Country),OR(sel_Customer="All",F1949=sel_Customer),OR(sel_Category="All",G1949=sel_Category),OR(sel_Product="All",H1949=sel_Product),AND(S1949&gt;=m_From,S1949&lt;=m_To)),1,0)</f>
        <v/>
      </c>
      <c r="X1949" s="36">
        <f>IF(AND(OR(sel_Region="All",C1949=sel_Region),OR(sel_Country="All",D1949=sel_Country),OR(sel_Channel="All",E1949=sel_Channel),OR(sel_Category="All",G1949=sel_Category),OR(sel_Product="All",H1949=sel_Product),AND(S1949&gt;=m_From,S1949&lt;=m_To)),1,0)</f>
        <v/>
      </c>
      <c r="Y1949" s="36">
        <f>IF(AND(OR(sel_Region="All",C1949=sel_Region),OR(sel_Country="All",D1949=sel_Country),OR(sel_Channel="All",E1949=sel_Channel),OR(sel_Customer="All",F1949=sel_Customer),OR(sel_Product="All",H1949=sel_Product),AND(S1949&gt;=m_From,S1949&lt;=m_To)),1,0)</f>
        <v/>
      </c>
      <c r="Z1949" s="36">
        <f>IF(AND(OR(sel_Region="All",C1949=sel_Region),OR(sel_Country="All",D1949=sel_Country),OR(sel_Channel="All",E1949=sel_Channel),OR(sel_Customer="All",F1949=sel_Customer),OR(sel_Category="All",G1949=sel_Category),AND(S1949&gt;=m_From,S1949&lt;=m_To)),1,0)</f>
        <v/>
      </c>
      <c r="AA1949" s="36">
        <f>IF(AND(OR(sel_Region="All",C1949=sel_Region),OR(sel_Country="All",D1949=sel_Country),OR(sel_Channel="All",E1949=sel_Channel),OR(sel_Customer="All",F1949=sel_Customer),OR(sel_Category="All",G1949=sel_Category),OR(sel_Product="All",H1949=sel_Product)),1,0)</f>
        <v/>
      </c>
    </row>
    <row r="1950">
      <c r="A1950" s="36" t="inlineStr">
        <is>
          <t>00802</t>
        </is>
      </c>
      <c r="B1950" s="44" t="n">
        <v>46286</v>
      </c>
      <c r="C1950" s="36" t="inlineStr">
        <is>
          <t>Central Europe</t>
        </is>
      </c>
      <c r="D1950" s="36" t="inlineStr">
        <is>
          <t>Germany</t>
        </is>
      </c>
      <c r="E1950" s="36" t="inlineStr">
        <is>
          <t>Retail Partners</t>
        </is>
      </c>
      <c r="F1950" s="36" t="inlineStr">
        <is>
          <t>Returning</t>
        </is>
      </c>
      <c r="G1950" s="36" t="inlineStr">
        <is>
          <t>Travel</t>
        </is>
      </c>
      <c r="H1950" s="36" t="inlineStr">
        <is>
          <t>Travel Backpack 35L</t>
        </is>
      </c>
      <c r="I1950" s="36" t="n">
        <v>2</v>
      </c>
      <c r="J1950" s="39" t="n">
        <v>167.16</v>
      </c>
      <c r="K1950" s="45" t="n">
        <v>0</v>
      </c>
      <c r="L1950" s="39" t="n">
        <v>88.51000000000001</v>
      </c>
      <c r="M1950" s="39">
        <f>I1950*J1950*(1-K1950)</f>
        <v/>
      </c>
      <c r="N1950" s="39">
        <f>I1950*L1950</f>
        <v/>
      </c>
      <c r="O1950" s="39">
        <f>M1950-N1950</f>
        <v/>
      </c>
      <c r="P1950" s="38">
        <f>IF(M1950=0,0,O1950/M1950)</f>
        <v/>
      </c>
      <c r="Q1950" s="36">
        <f>YEAR(B1950)</f>
        <v/>
      </c>
      <c r="R1950" s="36">
        <f>"Q"&amp;ROUNDUP(MONTH(B1950)/3,0)</f>
        <v/>
      </c>
      <c r="S1950" s="36">
        <f>MONTH(B1950)</f>
        <v/>
      </c>
      <c r="T1950" s="36">
        <f>TEXT(B1950,"mmm")</f>
        <v/>
      </c>
      <c r="U1950" s="36">
        <f>IF(AND(OR(sel_Region="All",C1950=sel_Region),OR(sel_Country="All",D1950=sel_Country),OR(sel_Channel="All",E1950=sel_Channel),OR(sel_Customer="All",F1950=sel_Customer),OR(sel_Category="All",G1950=sel_Category),OR(sel_Product="All",H1950=sel_Product),AND(S1950&gt;=m_From,S1950&lt;=m_To)),1,0)</f>
        <v/>
      </c>
      <c r="V1950" s="36">
        <f>IF(AND(OR(sel_Region="All",C1950=sel_Region),OR(sel_Channel="All",E1950=sel_Channel),OR(sel_Customer="All",F1950=sel_Customer),OR(sel_Category="All",G1950=sel_Category),OR(sel_Product="All",H1950=sel_Product),AND(S1950&gt;=m_From,S1950&lt;=m_To)),1,0)</f>
        <v/>
      </c>
      <c r="W1950" s="36">
        <f>IF(AND(OR(sel_Region="All",C1950=sel_Region),OR(sel_Country="All",D1950=sel_Country),OR(sel_Customer="All",F1950=sel_Customer),OR(sel_Category="All",G1950=sel_Category),OR(sel_Product="All",H1950=sel_Product),AND(S1950&gt;=m_From,S1950&lt;=m_To)),1,0)</f>
        <v/>
      </c>
      <c r="X1950" s="36">
        <f>IF(AND(OR(sel_Region="All",C1950=sel_Region),OR(sel_Country="All",D1950=sel_Country),OR(sel_Channel="All",E1950=sel_Channel),OR(sel_Category="All",G1950=sel_Category),OR(sel_Product="All",H1950=sel_Product),AND(S1950&gt;=m_From,S1950&lt;=m_To)),1,0)</f>
        <v/>
      </c>
      <c r="Y1950" s="36">
        <f>IF(AND(OR(sel_Region="All",C1950=sel_Region),OR(sel_Country="All",D1950=sel_Country),OR(sel_Channel="All",E1950=sel_Channel),OR(sel_Customer="All",F1950=sel_Customer),OR(sel_Product="All",H1950=sel_Product),AND(S1950&gt;=m_From,S1950&lt;=m_To)),1,0)</f>
        <v/>
      </c>
      <c r="Z1950" s="36">
        <f>IF(AND(OR(sel_Region="All",C1950=sel_Region),OR(sel_Country="All",D1950=sel_Country),OR(sel_Channel="All",E1950=sel_Channel),OR(sel_Customer="All",F1950=sel_Customer),OR(sel_Category="All",G1950=sel_Category),AND(S1950&gt;=m_From,S1950&lt;=m_To)),1,0)</f>
        <v/>
      </c>
      <c r="AA1950" s="36">
        <f>IF(AND(OR(sel_Region="All",C1950=sel_Region),OR(sel_Country="All",D1950=sel_Country),OR(sel_Channel="All",E1950=sel_Channel),OR(sel_Customer="All",F1950=sel_Customer),OR(sel_Category="All",G1950=sel_Category),OR(sel_Product="All",H1950=sel_Product)),1,0)</f>
        <v/>
      </c>
    </row>
    <row r="1951">
      <c r="A1951" s="36" t="inlineStr">
        <is>
          <t>01942</t>
        </is>
      </c>
      <c r="B1951" s="44" t="n">
        <v>46286</v>
      </c>
      <c r="C1951" s="36" t="inlineStr">
        <is>
          <t>Northern Europe</t>
        </is>
      </c>
      <c r="D1951" s="36" t="inlineStr">
        <is>
          <t>Sweden</t>
        </is>
      </c>
      <c r="E1951" s="36" t="inlineStr">
        <is>
          <t>Online Store</t>
        </is>
      </c>
      <c r="F1951" s="36" t="inlineStr">
        <is>
          <t>New</t>
        </is>
      </c>
      <c r="G1951" s="36" t="inlineStr">
        <is>
          <t>Cycling</t>
        </is>
      </c>
      <c r="H1951" s="36" t="inlineStr">
        <is>
          <t>Commuter Helmet</t>
        </is>
      </c>
      <c r="I1951" s="36" t="n">
        <v>1</v>
      </c>
      <c r="J1951" s="39" t="n">
        <v>83.69</v>
      </c>
      <c r="K1951" s="45" t="n">
        <v>0</v>
      </c>
      <c r="L1951" s="39" t="n">
        <v>42.76</v>
      </c>
      <c r="M1951" s="39">
        <f>I1951*J1951*(1-K1951)</f>
        <v/>
      </c>
      <c r="N1951" s="39">
        <f>I1951*L1951</f>
        <v/>
      </c>
      <c r="O1951" s="39">
        <f>M1951-N1951</f>
        <v/>
      </c>
      <c r="P1951" s="38">
        <f>IF(M1951=0,0,O1951/M1951)</f>
        <v/>
      </c>
      <c r="Q1951" s="36">
        <f>YEAR(B1951)</f>
        <v/>
      </c>
      <c r="R1951" s="36">
        <f>"Q"&amp;ROUNDUP(MONTH(B1951)/3,0)</f>
        <v/>
      </c>
      <c r="S1951" s="36">
        <f>MONTH(B1951)</f>
        <v/>
      </c>
      <c r="T1951" s="36">
        <f>TEXT(B1951,"mmm")</f>
        <v/>
      </c>
      <c r="U1951" s="36">
        <f>IF(AND(OR(sel_Region="All",C1951=sel_Region),OR(sel_Country="All",D1951=sel_Country),OR(sel_Channel="All",E1951=sel_Channel),OR(sel_Customer="All",F1951=sel_Customer),OR(sel_Category="All",G1951=sel_Category),OR(sel_Product="All",H1951=sel_Product),AND(S1951&gt;=m_From,S1951&lt;=m_To)),1,0)</f>
        <v/>
      </c>
      <c r="V1951" s="36">
        <f>IF(AND(OR(sel_Region="All",C1951=sel_Region),OR(sel_Channel="All",E1951=sel_Channel),OR(sel_Customer="All",F1951=sel_Customer),OR(sel_Category="All",G1951=sel_Category),OR(sel_Product="All",H1951=sel_Product),AND(S1951&gt;=m_From,S1951&lt;=m_To)),1,0)</f>
        <v/>
      </c>
      <c r="W1951" s="36">
        <f>IF(AND(OR(sel_Region="All",C1951=sel_Region),OR(sel_Country="All",D1951=sel_Country),OR(sel_Customer="All",F1951=sel_Customer),OR(sel_Category="All",G1951=sel_Category),OR(sel_Product="All",H1951=sel_Product),AND(S1951&gt;=m_From,S1951&lt;=m_To)),1,0)</f>
        <v/>
      </c>
      <c r="X1951" s="36">
        <f>IF(AND(OR(sel_Region="All",C1951=sel_Region),OR(sel_Country="All",D1951=sel_Country),OR(sel_Channel="All",E1951=sel_Channel),OR(sel_Category="All",G1951=sel_Category),OR(sel_Product="All",H1951=sel_Product),AND(S1951&gt;=m_From,S1951&lt;=m_To)),1,0)</f>
        <v/>
      </c>
      <c r="Y1951" s="36">
        <f>IF(AND(OR(sel_Region="All",C1951=sel_Region),OR(sel_Country="All",D1951=sel_Country),OR(sel_Channel="All",E1951=sel_Channel),OR(sel_Customer="All",F1951=sel_Customer),OR(sel_Product="All",H1951=sel_Product),AND(S1951&gt;=m_From,S1951&lt;=m_To)),1,0)</f>
        <v/>
      </c>
      <c r="Z1951" s="36">
        <f>IF(AND(OR(sel_Region="All",C1951=sel_Region),OR(sel_Country="All",D1951=sel_Country),OR(sel_Channel="All",E1951=sel_Channel),OR(sel_Customer="All",F1951=sel_Customer),OR(sel_Category="All",G1951=sel_Category),AND(S1951&gt;=m_From,S1951&lt;=m_To)),1,0)</f>
        <v/>
      </c>
      <c r="AA1951" s="36">
        <f>IF(AND(OR(sel_Region="All",C1951=sel_Region),OR(sel_Country="All",D1951=sel_Country),OR(sel_Channel="All",E1951=sel_Channel),OR(sel_Customer="All",F1951=sel_Customer),OR(sel_Category="All",G1951=sel_Category),OR(sel_Product="All",H1951=sel_Product)),1,0)</f>
        <v/>
      </c>
    </row>
    <row r="1952">
      <c r="A1952" s="36" t="inlineStr">
        <is>
          <t>02200</t>
        </is>
      </c>
      <c r="B1952" s="44" t="n">
        <v>46286</v>
      </c>
      <c r="C1952" s="36" t="inlineStr">
        <is>
          <t>Southern Europe</t>
        </is>
      </c>
      <c r="D1952" s="36" t="inlineStr">
        <is>
          <t>Spain</t>
        </is>
      </c>
      <c r="E1952" s="36" t="inlineStr">
        <is>
          <t>Online Store</t>
        </is>
      </c>
      <c r="F1952" s="36" t="inlineStr">
        <is>
          <t>New</t>
        </is>
      </c>
      <c r="G1952" s="36" t="inlineStr">
        <is>
          <t>Cycling</t>
        </is>
      </c>
      <c r="H1952" s="36" t="inlineStr">
        <is>
          <t>Compact Repair Kit</t>
        </is>
      </c>
      <c r="I1952" s="36" t="n">
        <v>1</v>
      </c>
      <c r="J1952" s="39" t="n">
        <v>40.4</v>
      </c>
      <c r="K1952" s="45" t="n">
        <v>0.15</v>
      </c>
      <c r="L1952" s="39" t="n">
        <v>16.47</v>
      </c>
      <c r="M1952" s="39">
        <f>I1952*J1952*(1-K1952)</f>
        <v/>
      </c>
      <c r="N1952" s="39">
        <f>I1952*L1952</f>
        <v/>
      </c>
      <c r="O1952" s="39">
        <f>M1952-N1952</f>
        <v/>
      </c>
      <c r="P1952" s="38">
        <f>IF(M1952=0,0,O1952/M1952)</f>
        <v/>
      </c>
      <c r="Q1952" s="36">
        <f>YEAR(B1952)</f>
        <v/>
      </c>
      <c r="R1952" s="36">
        <f>"Q"&amp;ROUNDUP(MONTH(B1952)/3,0)</f>
        <v/>
      </c>
      <c r="S1952" s="36">
        <f>MONTH(B1952)</f>
        <v/>
      </c>
      <c r="T1952" s="36">
        <f>TEXT(B1952,"mmm")</f>
        <v/>
      </c>
      <c r="U1952" s="36">
        <f>IF(AND(OR(sel_Region="All",C1952=sel_Region),OR(sel_Country="All",D1952=sel_Country),OR(sel_Channel="All",E1952=sel_Channel),OR(sel_Customer="All",F1952=sel_Customer),OR(sel_Category="All",G1952=sel_Category),OR(sel_Product="All",H1952=sel_Product),AND(S1952&gt;=m_From,S1952&lt;=m_To)),1,0)</f>
        <v/>
      </c>
      <c r="V1952" s="36">
        <f>IF(AND(OR(sel_Region="All",C1952=sel_Region),OR(sel_Channel="All",E1952=sel_Channel),OR(sel_Customer="All",F1952=sel_Customer),OR(sel_Category="All",G1952=sel_Category),OR(sel_Product="All",H1952=sel_Product),AND(S1952&gt;=m_From,S1952&lt;=m_To)),1,0)</f>
        <v/>
      </c>
      <c r="W1952" s="36">
        <f>IF(AND(OR(sel_Region="All",C1952=sel_Region),OR(sel_Country="All",D1952=sel_Country),OR(sel_Customer="All",F1952=sel_Customer),OR(sel_Category="All",G1952=sel_Category),OR(sel_Product="All",H1952=sel_Product),AND(S1952&gt;=m_From,S1952&lt;=m_To)),1,0)</f>
        <v/>
      </c>
      <c r="X1952" s="36">
        <f>IF(AND(OR(sel_Region="All",C1952=sel_Region),OR(sel_Country="All",D1952=sel_Country),OR(sel_Channel="All",E1952=sel_Channel),OR(sel_Category="All",G1952=sel_Category),OR(sel_Product="All",H1952=sel_Product),AND(S1952&gt;=m_From,S1952&lt;=m_To)),1,0)</f>
        <v/>
      </c>
      <c r="Y1952" s="36">
        <f>IF(AND(OR(sel_Region="All",C1952=sel_Region),OR(sel_Country="All",D1952=sel_Country),OR(sel_Channel="All",E1952=sel_Channel),OR(sel_Customer="All",F1952=sel_Customer),OR(sel_Product="All",H1952=sel_Product),AND(S1952&gt;=m_From,S1952&lt;=m_To)),1,0)</f>
        <v/>
      </c>
      <c r="Z1952" s="36">
        <f>IF(AND(OR(sel_Region="All",C1952=sel_Region),OR(sel_Country="All",D1952=sel_Country),OR(sel_Channel="All",E1952=sel_Channel),OR(sel_Customer="All",F1952=sel_Customer),OR(sel_Category="All",G1952=sel_Category),AND(S1952&gt;=m_From,S1952&lt;=m_To)),1,0)</f>
        <v/>
      </c>
      <c r="AA1952" s="36">
        <f>IF(AND(OR(sel_Region="All",C1952=sel_Region),OR(sel_Country="All",D1952=sel_Country),OR(sel_Channel="All",E1952=sel_Channel),OR(sel_Customer="All",F1952=sel_Customer),OR(sel_Category="All",G1952=sel_Category),OR(sel_Product="All",H1952=sel_Product)),1,0)</f>
        <v/>
      </c>
    </row>
    <row r="1953">
      <c r="A1953" s="36" t="inlineStr">
        <is>
          <t>02236</t>
        </is>
      </c>
      <c r="B1953" s="44" t="n">
        <v>46286</v>
      </c>
      <c r="C1953" s="36" t="inlineStr">
        <is>
          <t>Central Europe</t>
        </is>
      </c>
      <c r="D1953" s="36" t="inlineStr">
        <is>
          <t>Switzerland</t>
        </is>
      </c>
      <c r="E1953" s="36" t="inlineStr">
        <is>
          <t>Online Store</t>
        </is>
      </c>
      <c r="F1953" s="36" t="inlineStr">
        <is>
          <t>Returning</t>
        </is>
      </c>
      <c r="G1953" s="36" t="inlineStr">
        <is>
          <t>Hiking</t>
        </is>
      </c>
      <c r="H1953" s="36" t="inlineStr">
        <is>
          <t>Trail Boots</t>
        </is>
      </c>
      <c r="I1953" s="36" t="n">
        <v>3</v>
      </c>
      <c r="J1953" s="39" t="n">
        <v>143.31</v>
      </c>
      <c r="K1953" s="45" t="n">
        <v>0</v>
      </c>
      <c r="L1953" s="39" t="n">
        <v>81.36</v>
      </c>
      <c r="M1953" s="39">
        <f>I1953*J1953*(1-K1953)</f>
        <v/>
      </c>
      <c r="N1953" s="39">
        <f>I1953*L1953</f>
        <v/>
      </c>
      <c r="O1953" s="39">
        <f>M1953-N1953</f>
        <v/>
      </c>
      <c r="P1953" s="38">
        <f>IF(M1953=0,0,O1953/M1953)</f>
        <v/>
      </c>
      <c r="Q1953" s="36">
        <f>YEAR(B1953)</f>
        <v/>
      </c>
      <c r="R1953" s="36">
        <f>"Q"&amp;ROUNDUP(MONTH(B1953)/3,0)</f>
        <v/>
      </c>
      <c r="S1953" s="36">
        <f>MONTH(B1953)</f>
        <v/>
      </c>
      <c r="T1953" s="36">
        <f>TEXT(B1953,"mmm")</f>
        <v/>
      </c>
      <c r="U1953" s="36">
        <f>IF(AND(OR(sel_Region="All",C1953=sel_Region),OR(sel_Country="All",D1953=sel_Country),OR(sel_Channel="All",E1953=sel_Channel),OR(sel_Customer="All",F1953=sel_Customer),OR(sel_Category="All",G1953=sel_Category),OR(sel_Product="All",H1953=sel_Product),AND(S1953&gt;=m_From,S1953&lt;=m_To)),1,0)</f>
        <v/>
      </c>
      <c r="V1953" s="36">
        <f>IF(AND(OR(sel_Region="All",C1953=sel_Region),OR(sel_Channel="All",E1953=sel_Channel),OR(sel_Customer="All",F1953=sel_Customer),OR(sel_Category="All",G1953=sel_Category),OR(sel_Product="All",H1953=sel_Product),AND(S1953&gt;=m_From,S1953&lt;=m_To)),1,0)</f>
        <v/>
      </c>
      <c r="W1953" s="36">
        <f>IF(AND(OR(sel_Region="All",C1953=sel_Region),OR(sel_Country="All",D1953=sel_Country),OR(sel_Customer="All",F1953=sel_Customer),OR(sel_Category="All",G1953=sel_Category),OR(sel_Product="All",H1953=sel_Product),AND(S1953&gt;=m_From,S1953&lt;=m_To)),1,0)</f>
        <v/>
      </c>
      <c r="X1953" s="36">
        <f>IF(AND(OR(sel_Region="All",C1953=sel_Region),OR(sel_Country="All",D1953=sel_Country),OR(sel_Channel="All",E1953=sel_Channel),OR(sel_Category="All",G1953=sel_Category),OR(sel_Product="All",H1953=sel_Product),AND(S1953&gt;=m_From,S1953&lt;=m_To)),1,0)</f>
        <v/>
      </c>
      <c r="Y1953" s="36">
        <f>IF(AND(OR(sel_Region="All",C1953=sel_Region),OR(sel_Country="All",D1953=sel_Country),OR(sel_Channel="All",E1953=sel_Channel),OR(sel_Customer="All",F1953=sel_Customer),OR(sel_Product="All",H1953=sel_Product),AND(S1953&gt;=m_From,S1953&lt;=m_To)),1,0)</f>
        <v/>
      </c>
      <c r="Z1953" s="36">
        <f>IF(AND(OR(sel_Region="All",C1953=sel_Region),OR(sel_Country="All",D1953=sel_Country),OR(sel_Channel="All",E1953=sel_Channel),OR(sel_Customer="All",F1953=sel_Customer),OR(sel_Category="All",G1953=sel_Category),AND(S1953&gt;=m_From,S1953&lt;=m_To)),1,0)</f>
        <v/>
      </c>
      <c r="AA1953" s="36">
        <f>IF(AND(OR(sel_Region="All",C1953=sel_Region),OR(sel_Country="All",D1953=sel_Country),OR(sel_Channel="All",E1953=sel_Channel),OR(sel_Customer="All",F1953=sel_Customer),OR(sel_Category="All",G1953=sel_Category),OR(sel_Product="All",H1953=sel_Product)),1,0)</f>
        <v/>
      </c>
    </row>
    <row r="1954">
      <c r="A1954" s="36" t="inlineStr">
        <is>
          <t>04041</t>
        </is>
      </c>
      <c r="B1954" s="44" t="n">
        <v>46286</v>
      </c>
      <c r="C1954" s="36" t="inlineStr">
        <is>
          <t>Central Europe</t>
        </is>
      </c>
      <c r="D1954" s="36" t="inlineStr">
        <is>
          <t>Switzerland</t>
        </is>
      </c>
      <c r="E1954" s="36" t="inlineStr">
        <is>
          <t>Corporate</t>
        </is>
      </c>
      <c r="F1954" s="36" t="inlineStr">
        <is>
          <t>Returning</t>
        </is>
      </c>
      <c r="G1954" s="36" t="inlineStr">
        <is>
          <t>Fitness</t>
        </is>
      </c>
      <c r="H1954" s="36" t="inlineStr">
        <is>
          <t>Training Mat</t>
        </is>
      </c>
      <c r="I1954" s="36" t="n">
        <v>15</v>
      </c>
      <c r="J1954" s="39" t="n">
        <v>51.1</v>
      </c>
      <c r="K1954" s="45" t="n">
        <v>0.1</v>
      </c>
      <c r="L1954" s="39" t="n">
        <v>21.9</v>
      </c>
      <c r="M1954" s="39">
        <f>I1954*J1954*(1-K1954)</f>
        <v/>
      </c>
      <c r="N1954" s="39">
        <f>I1954*L1954</f>
        <v/>
      </c>
      <c r="O1954" s="39">
        <f>M1954-N1954</f>
        <v/>
      </c>
      <c r="P1954" s="38">
        <f>IF(M1954=0,0,O1954/M1954)</f>
        <v/>
      </c>
      <c r="Q1954" s="36">
        <f>YEAR(B1954)</f>
        <v/>
      </c>
      <c r="R1954" s="36">
        <f>"Q"&amp;ROUNDUP(MONTH(B1954)/3,0)</f>
        <v/>
      </c>
      <c r="S1954" s="36">
        <f>MONTH(B1954)</f>
        <v/>
      </c>
      <c r="T1954" s="36">
        <f>TEXT(B1954,"mmm")</f>
        <v/>
      </c>
      <c r="U1954" s="36">
        <f>IF(AND(OR(sel_Region="All",C1954=sel_Region),OR(sel_Country="All",D1954=sel_Country),OR(sel_Channel="All",E1954=sel_Channel),OR(sel_Customer="All",F1954=sel_Customer),OR(sel_Category="All",G1954=sel_Category),OR(sel_Product="All",H1954=sel_Product),AND(S1954&gt;=m_From,S1954&lt;=m_To)),1,0)</f>
        <v/>
      </c>
      <c r="V1954" s="36">
        <f>IF(AND(OR(sel_Region="All",C1954=sel_Region),OR(sel_Channel="All",E1954=sel_Channel),OR(sel_Customer="All",F1954=sel_Customer),OR(sel_Category="All",G1954=sel_Category),OR(sel_Product="All",H1954=sel_Product),AND(S1954&gt;=m_From,S1954&lt;=m_To)),1,0)</f>
        <v/>
      </c>
      <c r="W1954" s="36">
        <f>IF(AND(OR(sel_Region="All",C1954=sel_Region),OR(sel_Country="All",D1954=sel_Country),OR(sel_Customer="All",F1954=sel_Customer),OR(sel_Category="All",G1954=sel_Category),OR(sel_Product="All",H1954=sel_Product),AND(S1954&gt;=m_From,S1954&lt;=m_To)),1,0)</f>
        <v/>
      </c>
      <c r="X1954" s="36">
        <f>IF(AND(OR(sel_Region="All",C1954=sel_Region),OR(sel_Country="All",D1954=sel_Country),OR(sel_Channel="All",E1954=sel_Channel),OR(sel_Category="All",G1954=sel_Category),OR(sel_Product="All",H1954=sel_Product),AND(S1954&gt;=m_From,S1954&lt;=m_To)),1,0)</f>
        <v/>
      </c>
      <c r="Y1954" s="36">
        <f>IF(AND(OR(sel_Region="All",C1954=sel_Region),OR(sel_Country="All",D1954=sel_Country),OR(sel_Channel="All",E1954=sel_Channel),OR(sel_Customer="All",F1954=sel_Customer),OR(sel_Product="All",H1954=sel_Product),AND(S1954&gt;=m_From,S1954&lt;=m_To)),1,0)</f>
        <v/>
      </c>
      <c r="Z1954" s="36">
        <f>IF(AND(OR(sel_Region="All",C1954=sel_Region),OR(sel_Country="All",D1954=sel_Country),OR(sel_Channel="All",E1954=sel_Channel),OR(sel_Customer="All",F1954=sel_Customer),OR(sel_Category="All",G1954=sel_Category),AND(S1954&gt;=m_From,S1954&lt;=m_To)),1,0)</f>
        <v/>
      </c>
      <c r="AA1954" s="36">
        <f>IF(AND(OR(sel_Region="All",C1954=sel_Region),OR(sel_Country="All",D1954=sel_Country),OR(sel_Channel="All",E1954=sel_Channel),OR(sel_Customer="All",F1954=sel_Customer),OR(sel_Category="All",G1954=sel_Category),OR(sel_Product="All",H1954=sel_Product)),1,0)</f>
        <v/>
      </c>
    </row>
    <row r="1955">
      <c r="A1955" s="36" t="inlineStr">
        <is>
          <t>04435</t>
        </is>
      </c>
      <c r="B1955" s="44" t="n">
        <v>46286</v>
      </c>
      <c r="C1955" s="36" t="inlineStr">
        <is>
          <t>Western Europe</t>
        </is>
      </c>
      <c r="D1955" s="36" t="inlineStr">
        <is>
          <t>France</t>
        </is>
      </c>
      <c r="E1955" s="36" t="inlineStr">
        <is>
          <t>Marketplace</t>
        </is>
      </c>
      <c r="F1955" s="36" t="inlineStr">
        <is>
          <t>New</t>
        </is>
      </c>
      <c r="G1955" s="36" t="inlineStr">
        <is>
          <t>Hiking</t>
        </is>
      </c>
      <c r="H1955" s="36" t="inlineStr">
        <is>
          <t>Trail Boots</t>
        </is>
      </c>
      <c r="I1955" s="36" t="n">
        <v>1</v>
      </c>
      <c r="J1955" s="39" t="n">
        <v>146.33</v>
      </c>
      <c r="K1955" s="45" t="n">
        <v>0</v>
      </c>
      <c r="L1955" s="39" t="n">
        <v>80.05</v>
      </c>
      <c r="M1955" s="39">
        <f>I1955*J1955*(1-K1955)</f>
        <v/>
      </c>
      <c r="N1955" s="39">
        <f>I1955*L1955</f>
        <v/>
      </c>
      <c r="O1955" s="39">
        <f>M1955-N1955</f>
        <v/>
      </c>
      <c r="P1955" s="38">
        <f>IF(M1955=0,0,O1955/M1955)</f>
        <v/>
      </c>
      <c r="Q1955" s="36">
        <f>YEAR(B1955)</f>
        <v/>
      </c>
      <c r="R1955" s="36">
        <f>"Q"&amp;ROUNDUP(MONTH(B1955)/3,0)</f>
        <v/>
      </c>
      <c r="S1955" s="36">
        <f>MONTH(B1955)</f>
        <v/>
      </c>
      <c r="T1955" s="36">
        <f>TEXT(B1955,"mmm")</f>
        <v/>
      </c>
      <c r="U1955" s="36">
        <f>IF(AND(OR(sel_Region="All",C1955=sel_Region),OR(sel_Country="All",D1955=sel_Country),OR(sel_Channel="All",E1955=sel_Channel),OR(sel_Customer="All",F1955=sel_Customer),OR(sel_Category="All",G1955=sel_Category),OR(sel_Product="All",H1955=sel_Product),AND(S1955&gt;=m_From,S1955&lt;=m_To)),1,0)</f>
        <v/>
      </c>
      <c r="V1955" s="36">
        <f>IF(AND(OR(sel_Region="All",C1955=sel_Region),OR(sel_Channel="All",E1955=sel_Channel),OR(sel_Customer="All",F1955=sel_Customer),OR(sel_Category="All",G1955=sel_Category),OR(sel_Product="All",H1955=sel_Product),AND(S1955&gt;=m_From,S1955&lt;=m_To)),1,0)</f>
        <v/>
      </c>
      <c r="W1955" s="36">
        <f>IF(AND(OR(sel_Region="All",C1955=sel_Region),OR(sel_Country="All",D1955=sel_Country),OR(sel_Customer="All",F1955=sel_Customer),OR(sel_Category="All",G1955=sel_Category),OR(sel_Product="All",H1955=sel_Product),AND(S1955&gt;=m_From,S1955&lt;=m_To)),1,0)</f>
        <v/>
      </c>
      <c r="X1955" s="36">
        <f>IF(AND(OR(sel_Region="All",C1955=sel_Region),OR(sel_Country="All",D1955=sel_Country),OR(sel_Channel="All",E1955=sel_Channel),OR(sel_Category="All",G1955=sel_Category),OR(sel_Product="All",H1955=sel_Product),AND(S1955&gt;=m_From,S1955&lt;=m_To)),1,0)</f>
        <v/>
      </c>
      <c r="Y1955" s="36">
        <f>IF(AND(OR(sel_Region="All",C1955=sel_Region),OR(sel_Country="All",D1955=sel_Country),OR(sel_Channel="All",E1955=sel_Channel),OR(sel_Customer="All",F1955=sel_Customer),OR(sel_Product="All",H1955=sel_Product),AND(S1955&gt;=m_From,S1955&lt;=m_To)),1,0)</f>
        <v/>
      </c>
      <c r="Z1955" s="36">
        <f>IF(AND(OR(sel_Region="All",C1955=sel_Region),OR(sel_Country="All",D1955=sel_Country),OR(sel_Channel="All",E1955=sel_Channel),OR(sel_Customer="All",F1955=sel_Customer),OR(sel_Category="All",G1955=sel_Category),AND(S1955&gt;=m_From,S1955&lt;=m_To)),1,0)</f>
        <v/>
      </c>
      <c r="AA1955" s="36">
        <f>IF(AND(OR(sel_Region="All",C1955=sel_Region),OR(sel_Country="All",D1955=sel_Country),OR(sel_Channel="All",E1955=sel_Channel),OR(sel_Customer="All",F1955=sel_Customer),OR(sel_Category="All",G1955=sel_Category),OR(sel_Product="All",H1955=sel_Product)),1,0)</f>
        <v/>
      </c>
    </row>
    <row r="1956">
      <c r="A1956" s="36" t="inlineStr">
        <is>
          <t>00305</t>
        </is>
      </c>
      <c r="B1956" s="44" t="n">
        <v>46287</v>
      </c>
      <c r="C1956" s="36" t="inlineStr">
        <is>
          <t>Western Europe</t>
        </is>
      </c>
      <c r="D1956" s="36" t="inlineStr">
        <is>
          <t>United Kingdom</t>
        </is>
      </c>
      <c r="E1956" s="36" t="inlineStr">
        <is>
          <t>Online Store</t>
        </is>
      </c>
      <c r="F1956" s="36" t="inlineStr">
        <is>
          <t>Returning</t>
        </is>
      </c>
      <c r="G1956" s="36" t="inlineStr">
        <is>
          <t>Travel</t>
        </is>
      </c>
      <c r="H1956" s="36" t="inlineStr">
        <is>
          <t>Carry-On Duffel</t>
        </is>
      </c>
      <c r="I1956" s="36" t="n">
        <v>1</v>
      </c>
      <c r="J1956" s="39" t="n">
        <v>130.7</v>
      </c>
      <c r="K1956" s="45" t="n">
        <v>0.05</v>
      </c>
      <c r="L1956" s="39" t="n">
        <v>68.23</v>
      </c>
      <c r="M1956" s="39">
        <f>I1956*J1956*(1-K1956)</f>
        <v/>
      </c>
      <c r="N1956" s="39">
        <f>I1956*L1956</f>
        <v/>
      </c>
      <c r="O1956" s="39">
        <f>M1956-N1956</f>
        <v/>
      </c>
      <c r="P1956" s="38">
        <f>IF(M1956=0,0,O1956/M1956)</f>
        <v/>
      </c>
      <c r="Q1956" s="36">
        <f>YEAR(B1956)</f>
        <v/>
      </c>
      <c r="R1956" s="36">
        <f>"Q"&amp;ROUNDUP(MONTH(B1956)/3,0)</f>
        <v/>
      </c>
      <c r="S1956" s="36">
        <f>MONTH(B1956)</f>
        <v/>
      </c>
      <c r="T1956" s="36">
        <f>TEXT(B1956,"mmm")</f>
        <v/>
      </c>
      <c r="U1956" s="36">
        <f>IF(AND(OR(sel_Region="All",C1956=sel_Region),OR(sel_Country="All",D1956=sel_Country),OR(sel_Channel="All",E1956=sel_Channel),OR(sel_Customer="All",F1956=sel_Customer),OR(sel_Category="All",G1956=sel_Category),OR(sel_Product="All",H1956=sel_Product),AND(S1956&gt;=m_From,S1956&lt;=m_To)),1,0)</f>
        <v/>
      </c>
      <c r="V1956" s="36">
        <f>IF(AND(OR(sel_Region="All",C1956=sel_Region),OR(sel_Channel="All",E1956=sel_Channel),OR(sel_Customer="All",F1956=sel_Customer),OR(sel_Category="All",G1956=sel_Category),OR(sel_Product="All",H1956=sel_Product),AND(S1956&gt;=m_From,S1956&lt;=m_To)),1,0)</f>
        <v/>
      </c>
      <c r="W1956" s="36">
        <f>IF(AND(OR(sel_Region="All",C1956=sel_Region),OR(sel_Country="All",D1956=sel_Country),OR(sel_Customer="All",F1956=sel_Customer),OR(sel_Category="All",G1956=sel_Category),OR(sel_Product="All",H1956=sel_Product),AND(S1956&gt;=m_From,S1956&lt;=m_To)),1,0)</f>
        <v/>
      </c>
      <c r="X1956" s="36">
        <f>IF(AND(OR(sel_Region="All",C1956=sel_Region),OR(sel_Country="All",D1956=sel_Country),OR(sel_Channel="All",E1956=sel_Channel),OR(sel_Category="All",G1956=sel_Category),OR(sel_Product="All",H1956=sel_Product),AND(S1956&gt;=m_From,S1956&lt;=m_To)),1,0)</f>
        <v/>
      </c>
      <c r="Y1956" s="36">
        <f>IF(AND(OR(sel_Region="All",C1956=sel_Region),OR(sel_Country="All",D1956=sel_Country),OR(sel_Channel="All",E1956=sel_Channel),OR(sel_Customer="All",F1956=sel_Customer),OR(sel_Product="All",H1956=sel_Product),AND(S1956&gt;=m_From,S1956&lt;=m_To)),1,0)</f>
        <v/>
      </c>
      <c r="Z1956" s="36">
        <f>IF(AND(OR(sel_Region="All",C1956=sel_Region),OR(sel_Country="All",D1956=sel_Country),OR(sel_Channel="All",E1956=sel_Channel),OR(sel_Customer="All",F1956=sel_Customer),OR(sel_Category="All",G1956=sel_Category),AND(S1956&gt;=m_From,S1956&lt;=m_To)),1,0)</f>
        <v/>
      </c>
      <c r="AA1956" s="36">
        <f>IF(AND(OR(sel_Region="All",C1956=sel_Region),OR(sel_Country="All",D1956=sel_Country),OR(sel_Channel="All",E1956=sel_Channel),OR(sel_Customer="All",F1956=sel_Customer),OR(sel_Category="All",G1956=sel_Category),OR(sel_Product="All",H1956=sel_Product)),1,0)</f>
        <v/>
      </c>
    </row>
    <row r="1957">
      <c r="A1957" s="36" t="inlineStr">
        <is>
          <t>00808</t>
        </is>
      </c>
      <c r="B1957" s="44" t="n">
        <v>46287</v>
      </c>
      <c r="C1957" s="36" t="inlineStr">
        <is>
          <t>Central Europe</t>
        </is>
      </c>
      <c r="D1957" s="36" t="inlineStr">
        <is>
          <t>Germany</t>
        </is>
      </c>
      <c r="E1957" s="36" t="inlineStr">
        <is>
          <t>Corporate</t>
        </is>
      </c>
      <c r="F1957" s="36" t="inlineStr">
        <is>
          <t>Business</t>
        </is>
      </c>
      <c r="G1957" s="36" t="inlineStr">
        <is>
          <t>Fitness</t>
        </is>
      </c>
      <c r="H1957" s="36" t="inlineStr">
        <is>
          <t>Resistance Band Set</t>
        </is>
      </c>
      <c r="I1957" s="36" t="n">
        <v>8</v>
      </c>
      <c r="J1957" s="39" t="n">
        <v>39.63</v>
      </c>
      <c r="K1957" s="45" t="n">
        <v>0.15</v>
      </c>
      <c r="L1957" s="39" t="n">
        <v>14.61</v>
      </c>
      <c r="M1957" s="39">
        <f>I1957*J1957*(1-K1957)</f>
        <v/>
      </c>
      <c r="N1957" s="39">
        <f>I1957*L1957</f>
        <v/>
      </c>
      <c r="O1957" s="39">
        <f>M1957-N1957</f>
        <v/>
      </c>
      <c r="P1957" s="38">
        <f>IF(M1957=0,0,O1957/M1957)</f>
        <v/>
      </c>
      <c r="Q1957" s="36">
        <f>YEAR(B1957)</f>
        <v/>
      </c>
      <c r="R1957" s="36">
        <f>"Q"&amp;ROUNDUP(MONTH(B1957)/3,0)</f>
        <v/>
      </c>
      <c r="S1957" s="36">
        <f>MONTH(B1957)</f>
        <v/>
      </c>
      <c r="T1957" s="36">
        <f>TEXT(B1957,"mmm")</f>
        <v/>
      </c>
      <c r="U1957" s="36">
        <f>IF(AND(OR(sel_Region="All",C1957=sel_Region),OR(sel_Country="All",D1957=sel_Country),OR(sel_Channel="All",E1957=sel_Channel),OR(sel_Customer="All",F1957=sel_Customer),OR(sel_Category="All",G1957=sel_Category),OR(sel_Product="All",H1957=sel_Product),AND(S1957&gt;=m_From,S1957&lt;=m_To)),1,0)</f>
        <v/>
      </c>
      <c r="V1957" s="36">
        <f>IF(AND(OR(sel_Region="All",C1957=sel_Region),OR(sel_Channel="All",E1957=sel_Channel),OR(sel_Customer="All",F1957=sel_Customer),OR(sel_Category="All",G1957=sel_Category),OR(sel_Product="All",H1957=sel_Product),AND(S1957&gt;=m_From,S1957&lt;=m_To)),1,0)</f>
        <v/>
      </c>
      <c r="W1957" s="36">
        <f>IF(AND(OR(sel_Region="All",C1957=sel_Region),OR(sel_Country="All",D1957=sel_Country),OR(sel_Customer="All",F1957=sel_Customer),OR(sel_Category="All",G1957=sel_Category),OR(sel_Product="All",H1957=sel_Product),AND(S1957&gt;=m_From,S1957&lt;=m_To)),1,0)</f>
        <v/>
      </c>
      <c r="X1957" s="36">
        <f>IF(AND(OR(sel_Region="All",C1957=sel_Region),OR(sel_Country="All",D1957=sel_Country),OR(sel_Channel="All",E1957=sel_Channel),OR(sel_Category="All",G1957=sel_Category),OR(sel_Product="All",H1957=sel_Product),AND(S1957&gt;=m_From,S1957&lt;=m_To)),1,0)</f>
        <v/>
      </c>
      <c r="Y1957" s="36">
        <f>IF(AND(OR(sel_Region="All",C1957=sel_Region),OR(sel_Country="All",D1957=sel_Country),OR(sel_Channel="All",E1957=sel_Channel),OR(sel_Customer="All",F1957=sel_Customer),OR(sel_Product="All",H1957=sel_Product),AND(S1957&gt;=m_From,S1957&lt;=m_To)),1,0)</f>
        <v/>
      </c>
      <c r="Z1957" s="36">
        <f>IF(AND(OR(sel_Region="All",C1957=sel_Region),OR(sel_Country="All",D1957=sel_Country),OR(sel_Channel="All",E1957=sel_Channel),OR(sel_Customer="All",F1957=sel_Customer),OR(sel_Category="All",G1957=sel_Category),AND(S1957&gt;=m_From,S1957&lt;=m_To)),1,0)</f>
        <v/>
      </c>
      <c r="AA1957" s="36">
        <f>IF(AND(OR(sel_Region="All",C1957=sel_Region),OR(sel_Country="All",D1957=sel_Country),OR(sel_Channel="All",E1957=sel_Channel),OR(sel_Customer="All",F1957=sel_Customer),OR(sel_Category="All",G1957=sel_Category),OR(sel_Product="All",H1957=sel_Product)),1,0)</f>
        <v/>
      </c>
    </row>
    <row r="1958">
      <c r="A1958" s="36" t="inlineStr">
        <is>
          <t>01029</t>
        </is>
      </c>
      <c r="B1958" s="44" t="n">
        <v>46287</v>
      </c>
      <c r="C1958" s="36" t="inlineStr">
        <is>
          <t>Central Europe</t>
        </is>
      </c>
      <c r="D1958" s="36" t="inlineStr">
        <is>
          <t>Austria</t>
        </is>
      </c>
      <c r="E1958" s="36" t="inlineStr">
        <is>
          <t>Online Store</t>
        </is>
      </c>
      <c r="F1958" s="36" t="inlineStr">
        <is>
          <t>Returning</t>
        </is>
      </c>
      <c r="G1958" s="36" t="inlineStr">
        <is>
          <t>Travel</t>
        </is>
      </c>
      <c r="H1958" s="36" t="inlineStr">
        <is>
          <t>Carry-On Duffel</t>
        </is>
      </c>
      <c r="I1958" s="36" t="n">
        <v>1</v>
      </c>
      <c r="J1958" s="39" t="n">
        <v>132.36</v>
      </c>
      <c r="K1958" s="45" t="n">
        <v>0.05</v>
      </c>
      <c r="L1958" s="39" t="n">
        <v>66.63</v>
      </c>
      <c r="M1958" s="39">
        <f>I1958*J1958*(1-K1958)</f>
        <v/>
      </c>
      <c r="N1958" s="39">
        <f>I1958*L1958</f>
        <v/>
      </c>
      <c r="O1958" s="39">
        <f>M1958-N1958</f>
        <v/>
      </c>
      <c r="P1958" s="38">
        <f>IF(M1958=0,0,O1958/M1958)</f>
        <v/>
      </c>
      <c r="Q1958" s="36">
        <f>YEAR(B1958)</f>
        <v/>
      </c>
      <c r="R1958" s="36">
        <f>"Q"&amp;ROUNDUP(MONTH(B1958)/3,0)</f>
        <v/>
      </c>
      <c r="S1958" s="36">
        <f>MONTH(B1958)</f>
        <v/>
      </c>
      <c r="T1958" s="36">
        <f>TEXT(B1958,"mmm")</f>
        <v/>
      </c>
      <c r="U1958" s="36">
        <f>IF(AND(OR(sel_Region="All",C1958=sel_Region),OR(sel_Country="All",D1958=sel_Country),OR(sel_Channel="All",E1958=sel_Channel),OR(sel_Customer="All",F1958=sel_Customer),OR(sel_Category="All",G1958=sel_Category),OR(sel_Product="All",H1958=sel_Product),AND(S1958&gt;=m_From,S1958&lt;=m_To)),1,0)</f>
        <v/>
      </c>
      <c r="V1958" s="36">
        <f>IF(AND(OR(sel_Region="All",C1958=sel_Region),OR(sel_Channel="All",E1958=sel_Channel),OR(sel_Customer="All",F1958=sel_Customer),OR(sel_Category="All",G1958=sel_Category),OR(sel_Product="All",H1958=sel_Product),AND(S1958&gt;=m_From,S1958&lt;=m_To)),1,0)</f>
        <v/>
      </c>
      <c r="W1958" s="36">
        <f>IF(AND(OR(sel_Region="All",C1958=sel_Region),OR(sel_Country="All",D1958=sel_Country),OR(sel_Customer="All",F1958=sel_Customer),OR(sel_Category="All",G1958=sel_Category),OR(sel_Product="All",H1958=sel_Product),AND(S1958&gt;=m_From,S1958&lt;=m_To)),1,0)</f>
        <v/>
      </c>
      <c r="X1958" s="36">
        <f>IF(AND(OR(sel_Region="All",C1958=sel_Region),OR(sel_Country="All",D1958=sel_Country),OR(sel_Channel="All",E1958=sel_Channel),OR(sel_Category="All",G1958=sel_Category),OR(sel_Product="All",H1958=sel_Product),AND(S1958&gt;=m_From,S1958&lt;=m_To)),1,0)</f>
        <v/>
      </c>
      <c r="Y1958" s="36">
        <f>IF(AND(OR(sel_Region="All",C1958=sel_Region),OR(sel_Country="All",D1958=sel_Country),OR(sel_Channel="All",E1958=sel_Channel),OR(sel_Customer="All",F1958=sel_Customer),OR(sel_Product="All",H1958=sel_Product),AND(S1958&gt;=m_From,S1958&lt;=m_To)),1,0)</f>
        <v/>
      </c>
      <c r="Z1958" s="36">
        <f>IF(AND(OR(sel_Region="All",C1958=sel_Region),OR(sel_Country="All",D1958=sel_Country),OR(sel_Channel="All",E1958=sel_Channel),OR(sel_Customer="All",F1958=sel_Customer),OR(sel_Category="All",G1958=sel_Category),AND(S1958&gt;=m_From,S1958&lt;=m_To)),1,0)</f>
        <v/>
      </c>
      <c r="AA1958" s="36">
        <f>IF(AND(OR(sel_Region="All",C1958=sel_Region),OR(sel_Country="All",D1958=sel_Country),OR(sel_Channel="All",E1958=sel_Channel),OR(sel_Customer="All",F1958=sel_Customer),OR(sel_Category="All",G1958=sel_Category),OR(sel_Product="All",H1958=sel_Product)),1,0)</f>
        <v/>
      </c>
    </row>
    <row r="1959">
      <c r="A1959" s="36" t="inlineStr">
        <is>
          <t>01721</t>
        </is>
      </c>
      <c r="B1959" s="44" t="n">
        <v>46287</v>
      </c>
      <c r="C1959" s="36" t="inlineStr">
        <is>
          <t>Western Europe</t>
        </is>
      </c>
      <c r="D1959" s="36" t="inlineStr">
        <is>
          <t>Netherlands</t>
        </is>
      </c>
      <c r="E1959" s="36" t="inlineStr">
        <is>
          <t>Online Store</t>
        </is>
      </c>
      <c r="F1959" s="36" t="inlineStr">
        <is>
          <t>Business</t>
        </is>
      </c>
      <c r="G1959" s="36" t="inlineStr">
        <is>
          <t>Hiking</t>
        </is>
      </c>
      <c r="H1959" s="36" t="inlineStr">
        <is>
          <t>Summit Backpack 45L</t>
        </is>
      </c>
      <c r="I1959" s="36" t="n">
        <v>1</v>
      </c>
      <c r="J1959" s="39" t="n">
        <v>156.81</v>
      </c>
      <c r="K1959" s="45" t="n">
        <v>0</v>
      </c>
      <c r="L1959" s="39" t="n">
        <v>78.2</v>
      </c>
      <c r="M1959" s="39">
        <f>I1959*J1959*(1-K1959)</f>
        <v/>
      </c>
      <c r="N1959" s="39">
        <f>I1959*L1959</f>
        <v/>
      </c>
      <c r="O1959" s="39">
        <f>M1959-N1959</f>
        <v/>
      </c>
      <c r="P1959" s="38">
        <f>IF(M1959=0,0,O1959/M1959)</f>
        <v/>
      </c>
      <c r="Q1959" s="36">
        <f>YEAR(B1959)</f>
        <v/>
      </c>
      <c r="R1959" s="36">
        <f>"Q"&amp;ROUNDUP(MONTH(B1959)/3,0)</f>
        <v/>
      </c>
      <c r="S1959" s="36">
        <f>MONTH(B1959)</f>
        <v/>
      </c>
      <c r="T1959" s="36">
        <f>TEXT(B1959,"mmm")</f>
        <v/>
      </c>
      <c r="U1959" s="36">
        <f>IF(AND(OR(sel_Region="All",C1959=sel_Region),OR(sel_Country="All",D1959=sel_Country),OR(sel_Channel="All",E1959=sel_Channel),OR(sel_Customer="All",F1959=sel_Customer),OR(sel_Category="All",G1959=sel_Category),OR(sel_Product="All",H1959=sel_Product),AND(S1959&gt;=m_From,S1959&lt;=m_To)),1,0)</f>
        <v/>
      </c>
      <c r="V1959" s="36">
        <f>IF(AND(OR(sel_Region="All",C1959=sel_Region),OR(sel_Channel="All",E1959=sel_Channel),OR(sel_Customer="All",F1959=sel_Customer),OR(sel_Category="All",G1959=sel_Category),OR(sel_Product="All",H1959=sel_Product),AND(S1959&gt;=m_From,S1959&lt;=m_To)),1,0)</f>
        <v/>
      </c>
      <c r="W1959" s="36">
        <f>IF(AND(OR(sel_Region="All",C1959=sel_Region),OR(sel_Country="All",D1959=sel_Country),OR(sel_Customer="All",F1959=sel_Customer),OR(sel_Category="All",G1959=sel_Category),OR(sel_Product="All",H1959=sel_Product),AND(S1959&gt;=m_From,S1959&lt;=m_To)),1,0)</f>
        <v/>
      </c>
      <c r="X1959" s="36">
        <f>IF(AND(OR(sel_Region="All",C1959=sel_Region),OR(sel_Country="All",D1959=sel_Country),OR(sel_Channel="All",E1959=sel_Channel),OR(sel_Category="All",G1959=sel_Category),OR(sel_Product="All",H1959=sel_Product),AND(S1959&gt;=m_From,S1959&lt;=m_To)),1,0)</f>
        <v/>
      </c>
      <c r="Y1959" s="36">
        <f>IF(AND(OR(sel_Region="All",C1959=sel_Region),OR(sel_Country="All",D1959=sel_Country),OR(sel_Channel="All",E1959=sel_Channel),OR(sel_Customer="All",F1959=sel_Customer),OR(sel_Product="All",H1959=sel_Product),AND(S1959&gt;=m_From,S1959&lt;=m_To)),1,0)</f>
        <v/>
      </c>
      <c r="Z1959" s="36">
        <f>IF(AND(OR(sel_Region="All",C1959=sel_Region),OR(sel_Country="All",D1959=sel_Country),OR(sel_Channel="All",E1959=sel_Channel),OR(sel_Customer="All",F1959=sel_Customer),OR(sel_Category="All",G1959=sel_Category),AND(S1959&gt;=m_From,S1959&lt;=m_To)),1,0)</f>
        <v/>
      </c>
      <c r="AA1959" s="36">
        <f>IF(AND(OR(sel_Region="All",C1959=sel_Region),OR(sel_Country="All",D1959=sel_Country),OR(sel_Channel="All",E1959=sel_Channel),OR(sel_Customer="All",F1959=sel_Customer),OR(sel_Category="All",G1959=sel_Category),OR(sel_Product="All",H1959=sel_Product)),1,0)</f>
        <v/>
      </c>
    </row>
    <row r="1960">
      <c r="A1960" s="36" t="inlineStr">
        <is>
          <t>02425</t>
        </is>
      </c>
      <c r="B1960" s="44" t="n">
        <v>46287</v>
      </c>
      <c r="C1960" s="36" t="inlineStr">
        <is>
          <t>Western Europe</t>
        </is>
      </c>
      <c r="D1960" s="36" t="inlineStr">
        <is>
          <t>United Kingdom</t>
        </is>
      </c>
      <c r="E1960" s="36" t="inlineStr">
        <is>
          <t>Marketplace</t>
        </is>
      </c>
      <c r="F1960" s="36" t="inlineStr">
        <is>
          <t>New</t>
        </is>
      </c>
      <c r="G1960" s="36" t="inlineStr">
        <is>
          <t>Travel</t>
        </is>
      </c>
      <c r="H1960" s="36" t="inlineStr">
        <is>
          <t>Carry-On Duffel</t>
        </is>
      </c>
      <c r="I1960" s="36" t="n">
        <v>3</v>
      </c>
      <c r="J1960" s="39" t="n">
        <v>134.52</v>
      </c>
      <c r="K1960" s="45" t="n">
        <v>0.05</v>
      </c>
      <c r="L1960" s="39" t="n">
        <v>65.19</v>
      </c>
      <c r="M1960" s="39">
        <f>I1960*J1960*(1-K1960)</f>
        <v/>
      </c>
      <c r="N1960" s="39">
        <f>I1960*L1960</f>
        <v/>
      </c>
      <c r="O1960" s="39">
        <f>M1960-N1960</f>
        <v/>
      </c>
      <c r="P1960" s="38">
        <f>IF(M1960=0,0,O1960/M1960)</f>
        <v/>
      </c>
      <c r="Q1960" s="36">
        <f>YEAR(B1960)</f>
        <v/>
      </c>
      <c r="R1960" s="36">
        <f>"Q"&amp;ROUNDUP(MONTH(B1960)/3,0)</f>
        <v/>
      </c>
      <c r="S1960" s="36">
        <f>MONTH(B1960)</f>
        <v/>
      </c>
      <c r="T1960" s="36">
        <f>TEXT(B1960,"mmm")</f>
        <v/>
      </c>
      <c r="U1960" s="36">
        <f>IF(AND(OR(sel_Region="All",C1960=sel_Region),OR(sel_Country="All",D1960=sel_Country),OR(sel_Channel="All",E1960=sel_Channel),OR(sel_Customer="All",F1960=sel_Customer),OR(sel_Category="All",G1960=sel_Category),OR(sel_Product="All",H1960=sel_Product),AND(S1960&gt;=m_From,S1960&lt;=m_To)),1,0)</f>
        <v/>
      </c>
      <c r="V1960" s="36">
        <f>IF(AND(OR(sel_Region="All",C1960=sel_Region),OR(sel_Channel="All",E1960=sel_Channel),OR(sel_Customer="All",F1960=sel_Customer),OR(sel_Category="All",G1960=sel_Category),OR(sel_Product="All",H1960=sel_Product),AND(S1960&gt;=m_From,S1960&lt;=m_To)),1,0)</f>
        <v/>
      </c>
      <c r="W1960" s="36">
        <f>IF(AND(OR(sel_Region="All",C1960=sel_Region),OR(sel_Country="All",D1960=sel_Country),OR(sel_Customer="All",F1960=sel_Customer),OR(sel_Category="All",G1960=sel_Category),OR(sel_Product="All",H1960=sel_Product),AND(S1960&gt;=m_From,S1960&lt;=m_To)),1,0)</f>
        <v/>
      </c>
      <c r="X1960" s="36">
        <f>IF(AND(OR(sel_Region="All",C1960=sel_Region),OR(sel_Country="All",D1960=sel_Country),OR(sel_Channel="All",E1960=sel_Channel),OR(sel_Category="All",G1960=sel_Category),OR(sel_Product="All",H1960=sel_Product),AND(S1960&gt;=m_From,S1960&lt;=m_To)),1,0)</f>
        <v/>
      </c>
      <c r="Y1960" s="36">
        <f>IF(AND(OR(sel_Region="All",C1960=sel_Region),OR(sel_Country="All",D1960=sel_Country),OR(sel_Channel="All",E1960=sel_Channel),OR(sel_Customer="All",F1960=sel_Customer),OR(sel_Product="All",H1960=sel_Product),AND(S1960&gt;=m_From,S1960&lt;=m_To)),1,0)</f>
        <v/>
      </c>
      <c r="Z1960" s="36">
        <f>IF(AND(OR(sel_Region="All",C1960=sel_Region),OR(sel_Country="All",D1960=sel_Country),OR(sel_Channel="All",E1960=sel_Channel),OR(sel_Customer="All",F1960=sel_Customer),OR(sel_Category="All",G1960=sel_Category),AND(S1960&gt;=m_From,S1960&lt;=m_To)),1,0)</f>
        <v/>
      </c>
      <c r="AA1960" s="36">
        <f>IF(AND(OR(sel_Region="All",C1960=sel_Region),OR(sel_Country="All",D1960=sel_Country),OR(sel_Channel="All",E1960=sel_Channel),OR(sel_Customer="All",F1960=sel_Customer),OR(sel_Category="All",G1960=sel_Category),OR(sel_Product="All",H1960=sel_Product)),1,0)</f>
        <v/>
      </c>
    </row>
    <row r="1961">
      <c r="A1961" s="36" t="inlineStr">
        <is>
          <t>03322</t>
        </is>
      </c>
      <c r="B1961" s="44" t="n">
        <v>46287</v>
      </c>
      <c r="C1961" s="36" t="inlineStr">
        <is>
          <t>Western Europe</t>
        </is>
      </c>
      <c r="D1961" s="36" t="inlineStr">
        <is>
          <t>United Kingdom</t>
        </is>
      </c>
      <c r="E1961" s="36" t="inlineStr">
        <is>
          <t>Online Store</t>
        </is>
      </c>
      <c r="F1961" s="36" t="inlineStr">
        <is>
          <t>Returning</t>
        </is>
      </c>
      <c r="G1961" s="36" t="inlineStr">
        <is>
          <t>Camping</t>
        </is>
      </c>
      <c r="H1961" s="36" t="inlineStr">
        <is>
          <t>Compact Sleeping Bag</t>
        </is>
      </c>
      <c r="I1961" s="36" t="n">
        <v>1</v>
      </c>
      <c r="J1961" s="39" t="n">
        <v>124.51</v>
      </c>
      <c r="K1961" s="45" t="n">
        <v>0</v>
      </c>
      <c r="L1961" s="39" t="n">
        <v>59.97</v>
      </c>
      <c r="M1961" s="39">
        <f>I1961*J1961*(1-K1961)</f>
        <v/>
      </c>
      <c r="N1961" s="39">
        <f>I1961*L1961</f>
        <v/>
      </c>
      <c r="O1961" s="39">
        <f>M1961-N1961</f>
        <v/>
      </c>
      <c r="P1961" s="38">
        <f>IF(M1961=0,0,O1961/M1961)</f>
        <v/>
      </c>
      <c r="Q1961" s="36">
        <f>YEAR(B1961)</f>
        <v/>
      </c>
      <c r="R1961" s="36">
        <f>"Q"&amp;ROUNDUP(MONTH(B1961)/3,0)</f>
        <v/>
      </c>
      <c r="S1961" s="36">
        <f>MONTH(B1961)</f>
        <v/>
      </c>
      <c r="T1961" s="36">
        <f>TEXT(B1961,"mmm")</f>
        <v/>
      </c>
      <c r="U1961" s="36">
        <f>IF(AND(OR(sel_Region="All",C1961=sel_Region),OR(sel_Country="All",D1961=sel_Country),OR(sel_Channel="All",E1961=sel_Channel),OR(sel_Customer="All",F1961=sel_Customer),OR(sel_Category="All",G1961=sel_Category),OR(sel_Product="All",H1961=sel_Product),AND(S1961&gt;=m_From,S1961&lt;=m_To)),1,0)</f>
        <v/>
      </c>
      <c r="V1961" s="36">
        <f>IF(AND(OR(sel_Region="All",C1961=sel_Region),OR(sel_Channel="All",E1961=sel_Channel),OR(sel_Customer="All",F1961=sel_Customer),OR(sel_Category="All",G1961=sel_Category),OR(sel_Product="All",H1961=sel_Product),AND(S1961&gt;=m_From,S1961&lt;=m_To)),1,0)</f>
        <v/>
      </c>
      <c r="W1961" s="36">
        <f>IF(AND(OR(sel_Region="All",C1961=sel_Region),OR(sel_Country="All",D1961=sel_Country),OR(sel_Customer="All",F1961=sel_Customer),OR(sel_Category="All",G1961=sel_Category),OR(sel_Product="All",H1961=sel_Product),AND(S1961&gt;=m_From,S1961&lt;=m_To)),1,0)</f>
        <v/>
      </c>
      <c r="X1961" s="36">
        <f>IF(AND(OR(sel_Region="All",C1961=sel_Region),OR(sel_Country="All",D1961=sel_Country),OR(sel_Channel="All",E1961=sel_Channel),OR(sel_Category="All",G1961=sel_Category),OR(sel_Product="All",H1961=sel_Product),AND(S1961&gt;=m_From,S1961&lt;=m_To)),1,0)</f>
        <v/>
      </c>
      <c r="Y1961" s="36">
        <f>IF(AND(OR(sel_Region="All",C1961=sel_Region),OR(sel_Country="All",D1961=sel_Country),OR(sel_Channel="All",E1961=sel_Channel),OR(sel_Customer="All",F1961=sel_Customer),OR(sel_Product="All",H1961=sel_Product),AND(S1961&gt;=m_From,S1961&lt;=m_To)),1,0)</f>
        <v/>
      </c>
      <c r="Z1961" s="36">
        <f>IF(AND(OR(sel_Region="All",C1961=sel_Region),OR(sel_Country="All",D1961=sel_Country),OR(sel_Channel="All",E1961=sel_Channel),OR(sel_Customer="All",F1961=sel_Customer),OR(sel_Category="All",G1961=sel_Category),AND(S1961&gt;=m_From,S1961&lt;=m_To)),1,0)</f>
        <v/>
      </c>
      <c r="AA1961" s="36">
        <f>IF(AND(OR(sel_Region="All",C1961=sel_Region),OR(sel_Country="All",D1961=sel_Country),OR(sel_Channel="All",E1961=sel_Channel),OR(sel_Customer="All",F1961=sel_Customer),OR(sel_Category="All",G1961=sel_Category),OR(sel_Product="All",H1961=sel_Product)),1,0)</f>
        <v/>
      </c>
    </row>
    <row r="1962">
      <c r="A1962" s="36" t="inlineStr">
        <is>
          <t>03821</t>
        </is>
      </c>
      <c r="B1962" s="44" t="n">
        <v>46287</v>
      </c>
      <c r="C1962" s="36" t="inlineStr">
        <is>
          <t>Northern Europe</t>
        </is>
      </c>
      <c r="D1962" s="36" t="inlineStr">
        <is>
          <t>Ireland</t>
        </is>
      </c>
      <c r="E1962" s="36" t="inlineStr">
        <is>
          <t>Online Store</t>
        </is>
      </c>
      <c r="F1962" s="36" t="inlineStr">
        <is>
          <t>Returning</t>
        </is>
      </c>
      <c r="G1962" s="36" t="inlineStr">
        <is>
          <t>Hiking</t>
        </is>
      </c>
      <c r="H1962" s="36" t="inlineStr">
        <is>
          <t>Trail Boots</t>
        </is>
      </c>
      <c r="I1962" s="36" t="n">
        <v>1</v>
      </c>
      <c r="J1962" s="39" t="n">
        <v>141</v>
      </c>
      <c r="K1962" s="45" t="n">
        <v>0</v>
      </c>
      <c r="L1962" s="39" t="n">
        <v>79.01000000000001</v>
      </c>
      <c r="M1962" s="39">
        <f>I1962*J1962*(1-K1962)</f>
        <v/>
      </c>
      <c r="N1962" s="39">
        <f>I1962*L1962</f>
        <v/>
      </c>
      <c r="O1962" s="39">
        <f>M1962-N1962</f>
        <v/>
      </c>
      <c r="P1962" s="38">
        <f>IF(M1962=0,0,O1962/M1962)</f>
        <v/>
      </c>
      <c r="Q1962" s="36">
        <f>YEAR(B1962)</f>
        <v/>
      </c>
      <c r="R1962" s="36">
        <f>"Q"&amp;ROUNDUP(MONTH(B1962)/3,0)</f>
        <v/>
      </c>
      <c r="S1962" s="36">
        <f>MONTH(B1962)</f>
        <v/>
      </c>
      <c r="T1962" s="36">
        <f>TEXT(B1962,"mmm")</f>
        <v/>
      </c>
      <c r="U1962" s="36">
        <f>IF(AND(OR(sel_Region="All",C1962=sel_Region),OR(sel_Country="All",D1962=sel_Country),OR(sel_Channel="All",E1962=sel_Channel),OR(sel_Customer="All",F1962=sel_Customer),OR(sel_Category="All",G1962=sel_Category),OR(sel_Product="All",H1962=sel_Product),AND(S1962&gt;=m_From,S1962&lt;=m_To)),1,0)</f>
        <v/>
      </c>
      <c r="V1962" s="36">
        <f>IF(AND(OR(sel_Region="All",C1962=sel_Region),OR(sel_Channel="All",E1962=sel_Channel),OR(sel_Customer="All",F1962=sel_Customer),OR(sel_Category="All",G1962=sel_Category),OR(sel_Product="All",H1962=sel_Product),AND(S1962&gt;=m_From,S1962&lt;=m_To)),1,0)</f>
        <v/>
      </c>
      <c r="W1962" s="36">
        <f>IF(AND(OR(sel_Region="All",C1962=sel_Region),OR(sel_Country="All",D1962=sel_Country),OR(sel_Customer="All",F1962=sel_Customer),OR(sel_Category="All",G1962=sel_Category),OR(sel_Product="All",H1962=sel_Product),AND(S1962&gt;=m_From,S1962&lt;=m_To)),1,0)</f>
        <v/>
      </c>
      <c r="X1962" s="36">
        <f>IF(AND(OR(sel_Region="All",C1962=sel_Region),OR(sel_Country="All",D1962=sel_Country),OR(sel_Channel="All",E1962=sel_Channel),OR(sel_Category="All",G1962=sel_Category),OR(sel_Product="All",H1962=sel_Product),AND(S1962&gt;=m_From,S1962&lt;=m_To)),1,0)</f>
        <v/>
      </c>
      <c r="Y1962" s="36">
        <f>IF(AND(OR(sel_Region="All",C1962=sel_Region),OR(sel_Country="All",D1962=sel_Country),OR(sel_Channel="All",E1962=sel_Channel),OR(sel_Customer="All",F1962=sel_Customer),OR(sel_Product="All",H1962=sel_Product),AND(S1962&gt;=m_From,S1962&lt;=m_To)),1,0)</f>
        <v/>
      </c>
      <c r="Z1962" s="36">
        <f>IF(AND(OR(sel_Region="All",C1962=sel_Region),OR(sel_Country="All",D1962=sel_Country),OR(sel_Channel="All",E1962=sel_Channel),OR(sel_Customer="All",F1962=sel_Customer),OR(sel_Category="All",G1962=sel_Category),AND(S1962&gt;=m_From,S1962&lt;=m_To)),1,0)</f>
        <v/>
      </c>
      <c r="AA1962" s="36">
        <f>IF(AND(OR(sel_Region="All",C1962=sel_Region),OR(sel_Country="All",D1962=sel_Country),OR(sel_Channel="All",E1962=sel_Channel),OR(sel_Customer="All",F1962=sel_Customer),OR(sel_Category="All",G1962=sel_Category),OR(sel_Product="All",H1962=sel_Product)),1,0)</f>
        <v/>
      </c>
    </row>
    <row r="1963">
      <c r="A1963" s="36" t="inlineStr">
        <is>
          <t>03899</t>
        </is>
      </c>
      <c r="B1963" s="44" t="n">
        <v>46287</v>
      </c>
      <c r="C1963" s="36" t="inlineStr">
        <is>
          <t>Western Europe</t>
        </is>
      </c>
      <c r="D1963" s="36" t="inlineStr">
        <is>
          <t>Belgium</t>
        </is>
      </c>
      <c r="E1963" s="36" t="inlineStr">
        <is>
          <t>Corporate</t>
        </is>
      </c>
      <c r="F1963" s="36" t="inlineStr">
        <is>
          <t>Returning</t>
        </is>
      </c>
      <c r="G1963" s="36" t="inlineStr">
        <is>
          <t>Camping</t>
        </is>
      </c>
      <c r="H1963" s="36" t="inlineStr">
        <is>
          <t>Compact Sleeping Bag</t>
        </is>
      </c>
      <c r="I1963" s="36" t="n">
        <v>6</v>
      </c>
      <c r="J1963" s="39" t="n">
        <v>121.7</v>
      </c>
      <c r="K1963" s="45" t="n">
        <v>0.15</v>
      </c>
      <c r="L1963" s="39" t="n">
        <v>61.26</v>
      </c>
      <c r="M1963" s="39">
        <f>I1963*J1963*(1-K1963)</f>
        <v/>
      </c>
      <c r="N1963" s="39">
        <f>I1963*L1963</f>
        <v/>
      </c>
      <c r="O1963" s="39">
        <f>M1963-N1963</f>
        <v/>
      </c>
      <c r="P1963" s="38">
        <f>IF(M1963=0,0,O1963/M1963)</f>
        <v/>
      </c>
      <c r="Q1963" s="36">
        <f>YEAR(B1963)</f>
        <v/>
      </c>
      <c r="R1963" s="36">
        <f>"Q"&amp;ROUNDUP(MONTH(B1963)/3,0)</f>
        <v/>
      </c>
      <c r="S1963" s="36">
        <f>MONTH(B1963)</f>
        <v/>
      </c>
      <c r="T1963" s="36">
        <f>TEXT(B1963,"mmm")</f>
        <v/>
      </c>
      <c r="U1963" s="36">
        <f>IF(AND(OR(sel_Region="All",C1963=sel_Region),OR(sel_Country="All",D1963=sel_Country),OR(sel_Channel="All",E1963=sel_Channel),OR(sel_Customer="All",F1963=sel_Customer),OR(sel_Category="All",G1963=sel_Category),OR(sel_Product="All",H1963=sel_Product),AND(S1963&gt;=m_From,S1963&lt;=m_To)),1,0)</f>
        <v/>
      </c>
      <c r="V1963" s="36">
        <f>IF(AND(OR(sel_Region="All",C1963=sel_Region),OR(sel_Channel="All",E1963=sel_Channel),OR(sel_Customer="All",F1963=sel_Customer),OR(sel_Category="All",G1963=sel_Category),OR(sel_Product="All",H1963=sel_Product),AND(S1963&gt;=m_From,S1963&lt;=m_To)),1,0)</f>
        <v/>
      </c>
      <c r="W1963" s="36">
        <f>IF(AND(OR(sel_Region="All",C1963=sel_Region),OR(sel_Country="All",D1963=sel_Country),OR(sel_Customer="All",F1963=sel_Customer),OR(sel_Category="All",G1963=sel_Category),OR(sel_Product="All",H1963=sel_Product),AND(S1963&gt;=m_From,S1963&lt;=m_To)),1,0)</f>
        <v/>
      </c>
      <c r="X1963" s="36">
        <f>IF(AND(OR(sel_Region="All",C1963=sel_Region),OR(sel_Country="All",D1963=sel_Country),OR(sel_Channel="All",E1963=sel_Channel),OR(sel_Category="All",G1963=sel_Category),OR(sel_Product="All",H1963=sel_Product),AND(S1963&gt;=m_From,S1963&lt;=m_To)),1,0)</f>
        <v/>
      </c>
      <c r="Y1963" s="36">
        <f>IF(AND(OR(sel_Region="All",C1963=sel_Region),OR(sel_Country="All",D1963=sel_Country),OR(sel_Channel="All",E1963=sel_Channel),OR(sel_Customer="All",F1963=sel_Customer),OR(sel_Product="All",H1963=sel_Product),AND(S1963&gt;=m_From,S1963&lt;=m_To)),1,0)</f>
        <v/>
      </c>
      <c r="Z1963" s="36">
        <f>IF(AND(OR(sel_Region="All",C1963=sel_Region),OR(sel_Country="All",D1963=sel_Country),OR(sel_Channel="All",E1963=sel_Channel),OR(sel_Customer="All",F1963=sel_Customer),OR(sel_Category="All",G1963=sel_Category),AND(S1963&gt;=m_From,S1963&lt;=m_To)),1,0)</f>
        <v/>
      </c>
      <c r="AA1963" s="36">
        <f>IF(AND(OR(sel_Region="All",C1963=sel_Region),OR(sel_Country="All",D1963=sel_Country),OR(sel_Channel="All",E1963=sel_Channel),OR(sel_Customer="All",F1963=sel_Customer),OR(sel_Category="All",G1963=sel_Category),OR(sel_Product="All",H1963=sel_Product)),1,0)</f>
        <v/>
      </c>
    </row>
    <row r="1964">
      <c r="A1964" s="36" t="inlineStr">
        <is>
          <t>04807</t>
        </is>
      </c>
      <c r="B1964" s="44" t="n">
        <v>46287</v>
      </c>
      <c r="C1964" s="36" t="inlineStr">
        <is>
          <t>Western Europe</t>
        </is>
      </c>
      <c r="D1964" s="36" t="inlineStr">
        <is>
          <t>Netherlands</t>
        </is>
      </c>
      <c r="E1964" s="36" t="inlineStr">
        <is>
          <t>Corporate</t>
        </is>
      </c>
      <c r="F1964" s="36" t="inlineStr">
        <is>
          <t>Business</t>
        </is>
      </c>
      <c r="G1964" s="36" t="inlineStr">
        <is>
          <t>Cycling</t>
        </is>
      </c>
      <c r="H1964" s="36" t="inlineStr">
        <is>
          <t>Cycling Pack 12L</t>
        </is>
      </c>
      <c r="I1964" s="36" t="n">
        <v>4</v>
      </c>
      <c r="J1964" s="39" t="n">
        <v>103.86</v>
      </c>
      <c r="K1964" s="45" t="n">
        <v>0.1</v>
      </c>
      <c r="L1964" s="39" t="n">
        <v>50.12</v>
      </c>
      <c r="M1964" s="39">
        <f>I1964*J1964*(1-K1964)</f>
        <v/>
      </c>
      <c r="N1964" s="39">
        <f>I1964*L1964</f>
        <v/>
      </c>
      <c r="O1964" s="39">
        <f>M1964-N1964</f>
        <v/>
      </c>
      <c r="P1964" s="38">
        <f>IF(M1964=0,0,O1964/M1964)</f>
        <v/>
      </c>
      <c r="Q1964" s="36">
        <f>YEAR(B1964)</f>
        <v/>
      </c>
      <c r="R1964" s="36">
        <f>"Q"&amp;ROUNDUP(MONTH(B1964)/3,0)</f>
        <v/>
      </c>
      <c r="S1964" s="36">
        <f>MONTH(B1964)</f>
        <v/>
      </c>
      <c r="T1964" s="36">
        <f>TEXT(B1964,"mmm")</f>
        <v/>
      </c>
      <c r="U1964" s="36">
        <f>IF(AND(OR(sel_Region="All",C1964=sel_Region),OR(sel_Country="All",D1964=sel_Country),OR(sel_Channel="All",E1964=sel_Channel),OR(sel_Customer="All",F1964=sel_Customer),OR(sel_Category="All",G1964=sel_Category),OR(sel_Product="All",H1964=sel_Product),AND(S1964&gt;=m_From,S1964&lt;=m_To)),1,0)</f>
        <v/>
      </c>
      <c r="V1964" s="36">
        <f>IF(AND(OR(sel_Region="All",C1964=sel_Region),OR(sel_Channel="All",E1964=sel_Channel),OR(sel_Customer="All",F1964=sel_Customer),OR(sel_Category="All",G1964=sel_Category),OR(sel_Product="All",H1964=sel_Product),AND(S1964&gt;=m_From,S1964&lt;=m_To)),1,0)</f>
        <v/>
      </c>
      <c r="W1964" s="36">
        <f>IF(AND(OR(sel_Region="All",C1964=sel_Region),OR(sel_Country="All",D1964=sel_Country),OR(sel_Customer="All",F1964=sel_Customer),OR(sel_Category="All",G1964=sel_Category),OR(sel_Product="All",H1964=sel_Product),AND(S1964&gt;=m_From,S1964&lt;=m_To)),1,0)</f>
        <v/>
      </c>
      <c r="X1964" s="36">
        <f>IF(AND(OR(sel_Region="All",C1964=sel_Region),OR(sel_Country="All",D1964=sel_Country),OR(sel_Channel="All",E1964=sel_Channel),OR(sel_Category="All",G1964=sel_Category),OR(sel_Product="All",H1964=sel_Product),AND(S1964&gt;=m_From,S1964&lt;=m_To)),1,0)</f>
        <v/>
      </c>
      <c r="Y1964" s="36">
        <f>IF(AND(OR(sel_Region="All",C1964=sel_Region),OR(sel_Country="All",D1964=sel_Country),OR(sel_Channel="All",E1964=sel_Channel),OR(sel_Customer="All",F1964=sel_Customer),OR(sel_Product="All",H1964=sel_Product),AND(S1964&gt;=m_From,S1964&lt;=m_To)),1,0)</f>
        <v/>
      </c>
      <c r="Z1964" s="36">
        <f>IF(AND(OR(sel_Region="All",C1964=sel_Region),OR(sel_Country="All",D1964=sel_Country),OR(sel_Channel="All",E1964=sel_Channel),OR(sel_Customer="All",F1964=sel_Customer),OR(sel_Category="All",G1964=sel_Category),AND(S1964&gt;=m_From,S1964&lt;=m_To)),1,0)</f>
        <v/>
      </c>
      <c r="AA1964" s="36">
        <f>IF(AND(OR(sel_Region="All",C1964=sel_Region),OR(sel_Country="All",D1964=sel_Country),OR(sel_Channel="All",E1964=sel_Channel),OR(sel_Customer="All",F1964=sel_Customer),OR(sel_Category="All",G1964=sel_Category),OR(sel_Product="All",H1964=sel_Product)),1,0)</f>
        <v/>
      </c>
    </row>
    <row r="1965">
      <c r="A1965" s="36" t="inlineStr">
        <is>
          <t>00030</t>
        </is>
      </c>
      <c r="B1965" s="44" t="n">
        <v>46288</v>
      </c>
      <c r="C1965" s="36" t="inlineStr">
        <is>
          <t>Northern Europe</t>
        </is>
      </c>
      <c r="D1965" s="36" t="inlineStr">
        <is>
          <t>Denmark</t>
        </is>
      </c>
      <c r="E1965" s="36" t="inlineStr">
        <is>
          <t>Marketplace</t>
        </is>
      </c>
      <c r="F1965" s="36" t="inlineStr">
        <is>
          <t>Returning</t>
        </is>
      </c>
      <c r="G1965" s="36" t="inlineStr">
        <is>
          <t>Hiking</t>
        </is>
      </c>
      <c r="H1965" s="36" t="inlineStr">
        <is>
          <t>Hiking Daypack 20L</t>
        </is>
      </c>
      <c r="I1965" s="36" t="n">
        <v>2</v>
      </c>
      <c r="J1965" s="39" t="n">
        <v>93.81999999999999</v>
      </c>
      <c r="K1965" s="45" t="n">
        <v>0.05</v>
      </c>
      <c r="L1965" s="39" t="n">
        <v>45.57</v>
      </c>
      <c r="M1965" s="39">
        <f>I1965*J1965*(1-K1965)</f>
        <v/>
      </c>
      <c r="N1965" s="39">
        <f>I1965*L1965</f>
        <v/>
      </c>
      <c r="O1965" s="39">
        <f>M1965-N1965</f>
        <v/>
      </c>
      <c r="P1965" s="38">
        <f>IF(M1965=0,0,O1965/M1965)</f>
        <v/>
      </c>
      <c r="Q1965" s="36">
        <f>YEAR(B1965)</f>
        <v/>
      </c>
      <c r="R1965" s="36">
        <f>"Q"&amp;ROUNDUP(MONTH(B1965)/3,0)</f>
        <v/>
      </c>
      <c r="S1965" s="36">
        <f>MONTH(B1965)</f>
        <v/>
      </c>
      <c r="T1965" s="36">
        <f>TEXT(B1965,"mmm")</f>
        <v/>
      </c>
      <c r="U1965" s="36">
        <f>IF(AND(OR(sel_Region="All",C1965=sel_Region),OR(sel_Country="All",D1965=sel_Country),OR(sel_Channel="All",E1965=sel_Channel),OR(sel_Customer="All",F1965=sel_Customer),OR(sel_Category="All",G1965=sel_Category),OR(sel_Product="All",H1965=sel_Product),AND(S1965&gt;=m_From,S1965&lt;=m_To)),1,0)</f>
        <v/>
      </c>
      <c r="V1965" s="36">
        <f>IF(AND(OR(sel_Region="All",C1965=sel_Region),OR(sel_Channel="All",E1965=sel_Channel),OR(sel_Customer="All",F1965=sel_Customer),OR(sel_Category="All",G1965=sel_Category),OR(sel_Product="All",H1965=sel_Product),AND(S1965&gt;=m_From,S1965&lt;=m_To)),1,0)</f>
        <v/>
      </c>
      <c r="W1965" s="36">
        <f>IF(AND(OR(sel_Region="All",C1965=sel_Region),OR(sel_Country="All",D1965=sel_Country),OR(sel_Customer="All",F1965=sel_Customer),OR(sel_Category="All",G1965=sel_Category),OR(sel_Product="All",H1965=sel_Product),AND(S1965&gt;=m_From,S1965&lt;=m_To)),1,0)</f>
        <v/>
      </c>
      <c r="X1965" s="36">
        <f>IF(AND(OR(sel_Region="All",C1965=sel_Region),OR(sel_Country="All",D1965=sel_Country),OR(sel_Channel="All",E1965=sel_Channel),OR(sel_Category="All",G1965=sel_Category),OR(sel_Product="All",H1965=sel_Product),AND(S1965&gt;=m_From,S1965&lt;=m_To)),1,0)</f>
        <v/>
      </c>
      <c r="Y1965" s="36">
        <f>IF(AND(OR(sel_Region="All",C1965=sel_Region),OR(sel_Country="All",D1965=sel_Country),OR(sel_Channel="All",E1965=sel_Channel),OR(sel_Customer="All",F1965=sel_Customer),OR(sel_Product="All",H1965=sel_Product),AND(S1965&gt;=m_From,S1965&lt;=m_To)),1,0)</f>
        <v/>
      </c>
      <c r="Z1965" s="36">
        <f>IF(AND(OR(sel_Region="All",C1965=sel_Region),OR(sel_Country="All",D1965=sel_Country),OR(sel_Channel="All",E1965=sel_Channel),OR(sel_Customer="All",F1965=sel_Customer),OR(sel_Category="All",G1965=sel_Category),AND(S1965&gt;=m_From,S1965&lt;=m_To)),1,0)</f>
        <v/>
      </c>
      <c r="AA1965" s="36">
        <f>IF(AND(OR(sel_Region="All",C1965=sel_Region),OR(sel_Country="All",D1965=sel_Country),OR(sel_Channel="All",E1965=sel_Channel),OR(sel_Customer="All",F1965=sel_Customer),OR(sel_Category="All",G1965=sel_Category),OR(sel_Product="All",H1965=sel_Product)),1,0)</f>
        <v/>
      </c>
    </row>
    <row r="1966">
      <c r="A1966" s="36" t="inlineStr">
        <is>
          <t>03027</t>
        </is>
      </c>
      <c r="B1966" s="44" t="n">
        <v>46288</v>
      </c>
      <c r="C1966" s="36" t="inlineStr">
        <is>
          <t>Western Europe</t>
        </is>
      </c>
      <c r="D1966" s="36" t="inlineStr">
        <is>
          <t>United Kingdom</t>
        </is>
      </c>
      <c r="E1966" s="36" t="inlineStr">
        <is>
          <t>Corporate</t>
        </is>
      </c>
      <c r="F1966" s="36" t="inlineStr">
        <is>
          <t>Business</t>
        </is>
      </c>
      <c r="G1966" s="36" t="inlineStr">
        <is>
          <t>Hiking</t>
        </is>
      </c>
      <c r="H1966" s="36" t="inlineStr">
        <is>
          <t>Summit Backpack 45L</t>
        </is>
      </c>
      <c r="I1966" s="36" t="n">
        <v>8</v>
      </c>
      <c r="J1966" s="39" t="n">
        <v>155.14</v>
      </c>
      <c r="K1966" s="45" t="n">
        <v>0.1</v>
      </c>
      <c r="L1966" s="39" t="n">
        <v>76.87</v>
      </c>
      <c r="M1966" s="39">
        <f>I1966*J1966*(1-K1966)</f>
        <v/>
      </c>
      <c r="N1966" s="39">
        <f>I1966*L1966</f>
        <v/>
      </c>
      <c r="O1966" s="39">
        <f>M1966-N1966</f>
        <v/>
      </c>
      <c r="P1966" s="38">
        <f>IF(M1966=0,0,O1966/M1966)</f>
        <v/>
      </c>
      <c r="Q1966" s="36">
        <f>YEAR(B1966)</f>
        <v/>
      </c>
      <c r="R1966" s="36">
        <f>"Q"&amp;ROUNDUP(MONTH(B1966)/3,0)</f>
        <v/>
      </c>
      <c r="S1966" s="36">
        <f>MONTH(B1966)</f>
        <v/>
      </c>
      <c r="T1966" s="36">
        <f>TEXT(B1966,"mmm")</f>
        <v/>
      </c>
      <c r="U1966" s="36">
        <f>IF(AND(OR(sel_Region="All",C1966=sel_Region),OR(sel_Country="All",D1966=sel_Country),OR(sel_Channel="All",E1966=sel_Channel),OR(sel_Customer="All",F1966=sel_Customer),OR(sel_Category="All",G1966=sel_Category),OR(sel_Product="All",H1966=sel_Product),AND(S1966&gt;=m_From,S1966&lt;=m_To)),1,0)</f>
        <v/>
      </c>
      <c r="V1966" s="36">
        <f>IF(AND(OR(sel_Region="All",C1966=sel_Region),OR(sel_Channel="All",E1966=sel_Channel),OR(sel_Customer="All",F1966=sel_Customer),OR(sel_Category="All",G1966=sel_Category),OR(sel_Product="All",H1966=sel_Product),AND(S1966&gt;=m_From,S1966&lt;=m_To)),1,0)</f>
        <v/>
      </c>
      <c r="W1966" s="36">
        <f>IF(AND(OR(sel_Region="All",C1966=sel_Region),OR(sel_Country="All",D1966=sel_Country),OR(sel_Customer="All",F1966=sel_Customer),OR(sel_Category="All",G1966=sel_Category),OR(sel_Product="All",H1966=sel_Product),AND(S1966&gt;=m_From,S1966&lt;=m_To)),1,0)</f>
        <v/>
      </c>
      <c r="X1966" s="36">
        <f>IF(AND(OR(sel_Region="All",C1966=sel_Region),OR(sel_Country="All",D1966=sel_Country),OR(sel_Channel="All",E1966=sel_Channel),OR(sel_Category="All",G1966=sel_Category),OR(sel_Product="All",H1966=sel_Product),AND(S1966&gt;=m_From,S1966&lt;=m_To)),1,0)</f>
        <v/>
      </c>
      <c r="Y1966" s="36">
        <f>IF(AND(OR(sel_Region="All",C1966=sel_Region),OR(sel_Country="All",D1966=sel_Country),OR(sel_Channel="All",E1966=sel_Channel),OR(sel_Customer="All",F1966=sel_Customer),OR(sel_Product="All",H1966=sel_Product),AND(S1966&gt;=m_From,S1966&lt;=m_To)),1,0)</f>
        <v/>
      </c>
      <c r="Z1966" s="36">
        <f>IF(AND(OR(sel_Region="All",C1966=sel_Region),OR(sel_Country="All",D1966=sel_Country),OR(sel_Channel="All",E1966=sel_Channel),OR(sel_Customer="All",F1966=sel_Customer),OR(sel_Category="All",G1966=sel_Category),AND(S1966&gt;=m_From,S1966&lt;=m_To)),1,0)</f>
        <v/>
      </c>
      <c r="AA1966" s="36">
        <f>IF(AND(OR(sel_Region="All",C1966=sel_Region),OR(sel_Country="All",D1966=sel_Country),OR(sel_Channel="All",E1966=sel_Channel),OR(sel_Customer="All",F1966=sel_Customer),OR(sel_Category="All",G1966=sel_Category),OR(sel_Product="All",H1966=sel_Product)),1,0)</f>
        <v/>
      </c>
    </row>
    <row r="1967">
      <c r="A1967" s="36" t="inlineStr">
        <is>
          <t>03690</t>
        </is>
      </c>
      <c r="B1967" s="44" t="n">
        <v>46288</v>
      </c>
      <c r="C1967" s="36" t="inlineStr">
        <is>
          <t>Western Europe</t>
        </is>
      </c>
      <c r="D1967" s="36" t="inlineStr">
        <is>
          <t>United Kingdom</t>
        </is>
      </c>
      <c r="E1967" s="36" t="inlineStr">
        <is>
          <t>Online Store</t>
        </is>
      </c>
      <c r="F1967" s="36" t="inlineStr">
        <is>
          <t>Returning</t>
        </is>
      </c>
      <c r="G1967" s="36" t="inlineStr">
        <is>
          <t>Hiking</t>
        </is>
      </c>
      <c r="H1967" s="36" t="inlineStr">
        <is>
          <t>Hiking Daypack 20L</t>
        </is>
      </c>
      <c r="I1967" s="36" t="n">
        <v>3</v>
      </c>
      <c r="J1967" s="39" t="n">
        <v>92.14</v>
      </c>
      <c r="K1967" s="45" t="n">
        <v>0.05</v>
      </c>
      <c r="L1967" s="39" t="n">
        <v>45.25</v>
      </c>
      <c r="M1967" s="39">
        <f>I1967*J1967*(1-K1967)</f>
        <v/>
      </c>
      <c r="N1967" s="39">
        <f>I1967*L1967</f>
        <v/>
      </c>
      <c r="O1967" s="39">
        <f>M1967-N1967</f>
        <v/>
      </c>
      <c r="P1967" s="38">
        <f>IF(M1967=0,0,O1967/M1967)</f>
        <v/>
      </c>
      <c r="Q1967" s="36">
        <f>YEAR(B1967)</f>
        <v/>
      </c>
      <c r="R1967" s="36">
        <f>"Q"&amp;ROUNDUP(MONTH(B1967)/3,0)</f>
        <v/>
      </c>
      <c r="S1967" s="36">
        <f>MONTH(B1967)</f>
        <v/>
      </c>
      <c r="T1967" s="36">
        <f>TEXT(B1967,"mmm")</f>
        <v/>
      </c>
      <c r="U1967" s="36">
        <f>IF(AND(OR(sel_Region="All",C1967=sel_Region),OR(sel_Country="All",D1967=sel_Country),OR(sel_Channel="All",E1967=sel_Channel),OR(sel_Customer="All",F1967=sel_Customer),OR(sel_Category="All",G1967=sel_Category),OR(sel_Product="All",H1967=sel_Product),AND(S1967&gt;=m_From,S1967&lt;=m_To)),1,0)</f>
        <v/>
      </c>
      <c r="V1967" s="36">
        <f>IF(AND(OR(sel_Region="All",C1967=sel_Region),OR(sel_Channel="All",E1967=sel_Channel),OR(sel_Customer="All",F1967=sel_Customer),OR(sel_Category="All",G1967=sel_Category),OR(sel_Product="All",H1967=sel_Product),AND(S1967&gt;=m_From,S1967&lt;=m_To)),1,0)</f>
        <v/>
      </c>
      <c r="W1967" s="36">
        <f>IF(AND(OR(sel_Region="All",C1967=sel_Region),OR(sel_Country="All",D1967=sel_Country),OR(sel_Customer="All",F1967=sel_Customer),OR(sel_Category="All",G1967=sel_Category),OR(sel_Product="All",H1967=sel_Product),AND(S1967&gt;=m_From,S1967&lt;=m_To)),1,0)</f>
        <v/>
      </c>
      <c r="X1967" s="36">
        <f>IF(AND(OR(sel_Region="All",C1967=sel_Region),OR(sel_Country="All",D1967=sel_Country),OR(sel_Channel="All",E1967=sel_Channel),OR(sel_Category="All",G1967=sel_Category),OR(sel_Product="All",H1967=sel_Product),AND(S1967&gt;=m_From,S1967&lt;=m_To)),1,0)</f>
        <v/>
      </c>
      <c r="Y1967" s="36">
        <f>IF(AND(OR(sel_Region="All",C1967=sel_Region),OR(sel_Country="All",D1967=sel_Country),OR(sel_Channel="All",E1967=sel_Channel),OR(sel_Customer="All",F1967=sel_Customer),OR(sel_Product="All",H1967=sel_Product),AND(S1967&gt;=m_From,S1967&lt;=m_To)),1,0)</f>
        <v/>
      </c>
      <c r="Z1967" s="36">
        <f>IF(AND(OR(sel_Region="All",C1967=sel_Region),OR(sel_Country="All",D1967=sel_Country),OR(sel_Channel="All",E1967=sel_Channel),OR(sel_Customer="All",F1967=sel_Customer),OR(sel_Category="All",G1967=sel_Category),AND(S1967&gt;=m_From,S1967&lt;=m_To)),1,0)</f>
        <v/>
      </c>
      <c r="AA1967" s="36">
        <f>IF(AND(OR(sel_Region="All",C1967=sel_Region),OR(sel_Country="All",D1967=sel_Country),OR(sel_Channel="All",E1967=sel_Channel),OR(sel_Customer="All",F1967=sel_Customer),OR(sel_Category="All",G1967=sel_Category),OR(sel_Product="All",H1967=sel_Product)),1,0)</f>
        <v/>
      </c>
    </row>
    <row r="1968">
      <c r="A1968" s="36" t="inlineStr">
        <is>
          <t>00600</t>
        </is>
      </c>
      <c r="B1968" s="44" t="n">
        <v>46289</v>
      </c>
      <c r="C1968" s="36" t="inlineStr">
        <is>
          <t>Central Europe</t>
        </is>
      </c>
      <c r="D1968" s="36" t="inlineStr">
        <is>
          <t>Germany</t>
        </is>
      </c>
      <c r="E1968" s="36" t="inlineStr">
        <is>
          <t>Retail Partners</t>
        </is>
      </c>
      <c r="F1968" s="36" t="inlineStr">
        <is>
          <t>Returning</t>
        </is>
      </c>
      <c r="G1968" s="36" t="inlineStr">
        <is>
          <t>Cycling</t>
        </is>
      </c>
      <c r="H1968" s="36" t="inlineStr">
        <is>
          <t>Compact Repair Kit</t>
        </is>
      </c>
      <c r="I1968" s="36" t="n">
        <v>6</v>
      </c>
      <c r="J1968" s="39" t="n">
        <v>39.88</v>
      </c>
      <c r="K1968" s="45" t="n">
        <v>0.05</v>
      </c>
      <c r="L1968" s="39" t="n">
        <v>16.79</v>
      </c>
      <c r="M1968" s="39">
        <f>I1968*J1968*(1-K1968)</f>
        <v/>
      </c>
      <c r="N1968" s="39">
        <f>I1968*L1968</f>
        <v/>
      </c>
      <c r="O1968" s="39">
        <f>M1968-N1968</f>
        <v/>
      </c>
      <c r="P1968" s="38">
        <f>IF(M1968=0,0,O1968/M1968)</f>
        <v/>
      </c>
      <c r="Q1968" s="36">
        <f>YEAR(B1968)</f>
        <v/>
      </c>
      <c r="R1968" s="36">
        <f>"Q"&amp;ROUNDUP(MONTH(B1968)/3,0)</f>
        <v/>
      </c>
      <c r="S1968" s="36">
        <f>MONTH(B1968)</f>
        <v/>
      </c>
      <c r="T1968" s="36">
        <f>TEXT(B1968,"mmm")</f>
        <v/>
      </c>
      <c r="U1968" s="36">
        <f>IF(AND(OR(sel_Region="All",C1968=sel_Region),OR(sel_Country="All",D1968=sel_Country),OR(sel_Channel="All",E1968=sel_Channel),OR(sel_Customer="All",F1968=sel_Customer),OR(sel_Category="All",G1968=sel_Category),OR(sel_Product="All",H1968=sel_Product),AND(S1968&gt;=m_From,S1968&lt;=m_To)),1,0)</f>
        <v/>
      </c>
      <c r="V1968" s="36">
        <f>IF(AND(OR(sel_Region="All",C1968=sel_Region),OR(sel_Channel="All",E1968=sel_Channel),OR(sel_Customer="All",F1968=sel_Customer),OR(sel_Category="All",G1968=sel_Category),OR(sel_Product="All",H1968=sel_Product),AND(S1968&gt;=m_From,S1968&lt;=m_To)),1,0)</f>
        <v/>
      </c>
      <c r="W1968" s="36">
        <f>IF(AND(OR(sel_Region="All",C1968=sel_Region),OR(sel_Country="All",D1968=sel_Country),OR(sel_Customer="All",F1968=sel_Customer),OR(sel_Category="All",G1968=sel_Category),OR(sel_Product="All",H1968=sel_Product),AND(S1968&gt;=m_From,S1968&lt;=m_To)),1,0)</f>
        <v/>
      </c>
      <c r="X1968" s="36">
        <f>IF(AND(OR(sel_Region="All",C1968=sel_Region),OR(sel_Country="All",D1968=sel_Country),OR(sel_Channel="All",E1968=sel_Channel),OR(sel_Category="All",G1968=sel_Category),OR(sel_Product="All",H1968=sel_Product),AND(S1968&gt;=m_From,S1968&lt;=m_To)),1,0)</f>
        <v/>
      </c>
      <c r="Y1968" s="36">
        <f>IF(AND(OR(sel_Region="All",C1968=sel_Region),OR(sel_Country="All",D1968=sel_Country),OR(sel_Channel="All",E1968=sel_Channel),OR(sel_Customer="All",F1968=sel_Customer),OR(sel_Product="All",H1968=sel_Product),AND(S1968&gt;=m_From,S1968&lt;=m_To)),1,0)</f>
        <v/>
      </c>
      <c r="Z1968" s="36">
        <f>IF(AND(OR(sel_Region="All",C1968=sel_Region),OR(sel_Country="All",D1968=sel_Country),OR(sel_Channel="All",E1968=sel_Channel),OR(sel_Customer="All",F1968=sel_Customer),OR(sel_Category="All",G1968=sel_Category),AND(S1968&gt;=m_From,S1968&lt;=m_To)),1,0)</f>
        <v/>
      </c>
      <c r="AA1968" s="36">
        <f>IF(AND(OR(sel_Region="All",C1968=sel_Region),OR(sel_Country="All",D1968=sel_Country),OR(sel_Channel="All",E1968=sel_Channel),OR(sel_Customer="All",F1968=sel_Customer),OR(sel_Category="All",G1968=sel_Category),OR(sel_Product="All",H1968=sel_Product)),1,0)</f>
        <v/>
      </c>
    </row>
    <row r="1969">
      <c r="A1969" s="36" t="inlineStr">
        <is>
          <t>01931</t>
        </is>
      </c>
      <c r="B1969" s="44" t="n">
        <v>46289</v>
      </c>
      <c r="C1969" s="36" t="inlineStr">
        <is>
          <t>Northern Europe</t>
        </is>
      </c>
      <c r="D1969" s="36" t="inlineStr">
        <is>
          <t>Norway</t>
        </is>
      </c>
      <c r="E1969" s="36" t="inlineStr">
        <is>
          <t>Online Store</t>
        </is>
      </c>
      <c r="F1969" s="36" t="inlineStr">
        <is>
          <t>Returning</t>
        </is>
      </c>
      <c r="G1969" s="36" t="inlineStr">
        <is>
          <t>Travel</t>
        </is>
      </c>
      <c r="H1969" s="36" t="inlineStr">
        <is>
          <t>Insulated Bottle</t>
        </is>
      </c>
      <c r="I1969" s="36" t="n">
        <v>4</v>
      </c>
      <c r="J1969" s="39" t="n">
        <v>35.7</v>
      </c>
      <c r="K1969" s="45" t="n">
        <v>0</v>
      </c>
      <c r="L1969" s="39" t="n">
        <v>13.91</v>
      </c>
      <c r="M1969" s="39">
        <f>I1969*J1969*(1-K1969)</f>
        <v/>
      </c>
      <c r="N1969" s="39">
        <f>I1969*L1969</f>
        <v/>
      </c>
      <c r="O1969" s="39">
        <f>M1969-N1969</f>
        <v/>
      </c>
      <c r="P1969" s="38">
        <f>IF(M1969=0,0,O1969/M1969)</f>
        <v/>
      </c>
      <c r="Q1969" s="36">
        <f>YEAR(B1969)</f>
        <v/>
      </c>
      <c r="R1969" s="36">
        <f>"Q"&amp;ROUNDUP(MONTH(B1969)/3,0)</f>
        <v/>
      </c>
      <c r="S1969" s="36">
        <f>MONTH(B1969)</f>
        <v/>
      </c>
      <c r="T1969" s="36">
        <f>TEXT(B1969,"mmm")</f>
        <v/>
      </c>
      <c r="U1969" s="36">
        <f>IF(AND(OR(sel_Region="All",C1969=sel_Region),OR(sel_Country="All",D1969=sel_Country),OR(sel_Channel="All",E1969=sel_Channel),OR(sel_Customer="All",F1969=sel_Customer),OR(sel_Category="All",G1969=sel_Category),OR(sel_Product="All",H1969=sel_Product),AND(S1969&gt;=m_From,S1969&lt;=m_To)),1,0)</f>
        <v/>
      </c>
      <c r="V1969" s="36">
        <f>IF(AND(OR(sel_Region="All",C1969=sel_Region),OR(sel_Channel="All",E1969=sel_Channel),OR(sel_Customer="All",F1969=sel_Customer),OR(sel_Category="All",G1969=sel_Category),OR(sel_Product="All",H1969=sel_Product),AND(S1969&gt;=m_From,S1969&lt;=m_To)),1,0)</f>
        <v/>
      </c>
      <c r="W1969" s="36">
        <f>IF(AND(OR(sel_Region="All",C1969=sel_Region),OR(sel_Country="All",D1969=sel_Country),OR(sel_Customer="All",F1969=sel_Customer),OR(sel_Category="All",G1969=sel_Category),OR(sel_Product="All",H1969=sel_Product),AND(S1969&gt;=m_From,S1969&lt;=m_To)),1,0)</f>
        <v/>
      </c>
      <c r="X1969" s="36">
        <f>IF(AND(OR(sel_Region="All",C1969=sel_Region),OR(sel_Country="All",D1969=sel_Country),OR(sel_Channel="All",E1969=sel_Channel),OR(sel_Category="All",G1969=sel_Category),OR(sel_Product="All",H1969=sel_Product),AND(S1969&gt;=m_From,S1969&lt;=m_To)),1,0)</f>
        <v/>
      </c>
      <c r="Y1969" s="36">
        <f>IF(AND(OR(sel_Region="All",C1969=sel_Region),OR(sel_Country="All",D1969=sel_Country),OR(sel_Channel="All",E1969=sel_Channel),OR(sel_Customer="All",F1969=sel_Customer),OR(sel_Product="All",H1969=sel_Product),AND(S1969&gt;=m_From,S1969&lt;=m_To)),1,0)</f>
        <v/>
      </c>
      <c r="Z1969" s="36">
        <f>IF(AND(OR(sel_Region="All",C1969=sel_Region),OR(sel_Country="All",D1969=sel_Country),OR(sel_Channel="All",E1969=sel_Channel),OR(sel_Customer="All",F1969=sel_Customer),OR(sel_Category="All",G1969=sel_Category),AND(S1969&gt;=m_From,S1969&lt;=m_To)),1,0)</f>
        <v/>
      </c>
      <c r="AA1969" s="36">
        <f>IF(AND(OR(sel_Region="All",C1969=sel_Region),OR(sel_Country="All",D1969=sel_Country),OR(sel_Channel="All",E1969=sel_Channel),OR(sel_Customer="All",F1969=sel_Customer),OR(sel_Category="All",G1969=sel_Category),OR(sel_Product="All",H1969=sel_Product)),1,0)</f>
        <v/>
      </c>
    </row>
    <row r="1970">
      <c r="A1970" s="36" t="inlineStr">
        <is>
          <t>02124</t>
        </is>
      </c>
      <c r="B1970" s="44" t="n">
        <v>46289</v>
      </c>
      <c r="C1970" s="36" t="inlineStr">
        <is>
          <t>Western Europe</t>
        </is>
      </c>
      <c r="D1970" s="36" t="inlineStr">
        <is>
          <t>United Kingdom</t>
        </is>
      </c>
      <c r="E1970" s="36" t="inlineStr">
        <is>
          <t>Retail Partners</t>
        </is>
      </c>
      <c r="F1970" s="36" t="inlineStr">
        <is>
          <t>New</t>
        </is>
      </c>
      <c r="G1970" s="36" t="inlineStr">
        <is>
          <t>Cycling</t>
        </is>
      </c>
      <c r="H1970" s="36" t="inlineStr">
        <is>
          <t>Cycling Pack 12L</t>
        </is>
      </c>
      <c r="I1970" s="36" t="n">
        <v>6</v>
      </c>
      <c r="J1970" s="39" t="n">
        <v>104.16</v>
      </c>
      <c r="K1970" s="45" t="n">
        <v>0</v>
      </c>
      <c r="L1970" s="39" t="n">
        <v>51.76</v>
      </c>
      <c r="M1970" s="39">
        <f>I1970*J1970*(1-K1970)</f>
        <v/>
      </c>
      <c r="N1970" s="39">
        <f>I1970*L1970</f>
        <v/>
      </c>
      <c r="O1970" s="39">
        <f>M1970-N1970</f>
        <v/>
      </c>
      <c r="P1970" s="38">
        <f>IF(M1970=0,0,O1970/M1970)</f>
        <v/>
      </c>
      <c r="Q1970" s="36">
        <f>YEAR(B1970)</f>
        <v/>
      </c>
      <c r="R1970" s="36">
        <f>"Q"&amp;ROUNDUP(MONTH(B1970)/3,0)</f>
        <v/>
      </c>
      <c r="S1970" s="36">
        <f>MONTH(B1970)</f>
        <v/>
      </c>
      <c r="T1970" s="36">
        <f>TEXT(B1970,"mmm")</f>
        <v/>
      </c>
      <c r="U1970" s="36">
        <f>IF(AND(OR(sel_Region="All",C1970=sel_Region),OR(sel_Country="All",D1970=sel_Country),OR(sel_Channel="All",E1970=sel_Channel),OR(sel_Customer="All",F1970=sel_Customer),OR(sel_Category="All",G1970=sel_Category),OR(sel_Product="All",H1970=sel_Product),AND(S1970&gt;=m_From,S1970&lt;=m_To)),1,0)</f>
        <v/>
      </c>
      <c r="V1970" s="36">
        <f>IF(AND(OR(sel_Region="All",C1970=sel_Region),OR(sel_Channel="All",E1970=sel_Channel),OR(sel_Customer="All",F1970=sel_Customer),OR(sel_Category="All",G1970=sel_Category),OR(sel_Product="All",H1970=sel_Product),AND(S1970&gt;=m_From,S1970&lt;=m_To)),1,0)</f>
        <v/>
      </c>
      <c r="W1970" s="36">
        <f>IF(AND(OR(sel_Region="All",C1970=sel_Region),OR(sel_Country="All",D1970=sel_Country),OR(sel_Customer="All",F1970=sel_Customer),OR(sel_Category="All",G1970=sel_Category),OR(sel_Product="All",H1970=sel_Product),AND(S1970&gt;=m_From,S1970&lt;=m_To)),1,0)</f>
        <v/>
      </c>
      <c r="X1970" s="36">
        <f>IF(AND(OR(sel_Region="All",C1970=sel_Region),OR(sel_Country="All",D1970=sel_Country),OR(sel_Channel="All",E1970=sel_Channel),OR(sel_Category="All",G1970=sel_Category),OR(sel_Product="All",H1970=sel_Product),AND(S1970&gt;=m_From,S1970&lt;=m_To)),1,0)</f>
        <v/>
      </c>
      <c r="Y1970" s="36">
        <f>IF(AND(OR(sel_Region="All",C1970=sel_Region),OR(sel_Country="All",D1970=sel_Country),OR(sel_Channel="All",E1970=sel_Channel),OR(sel_Customer="All",F1970=sel_Customer),OR(sel_Product="All",H1970=sel_Product),AND(S1970&gt;=m_From,S1970&lt;=m_To)),1,0)</f>
        <v/>
      </c>
      <c r="Z1970" s="36">
        <f>IF(AND(OR(sel_Region="All",C1970=sel_Region),OR(sel_Country="All",D1970=sel_Country),OR(sel_Channel="All",E1970=sel_Channel),OR(sel_Customer="All",F1970=sel_Customer),OR(sel_Category="All",G1970=sel_Category),AND(S1970&gt;=m_From,S1970&lt;=m_To)),1,0)</f>
        <v/>
      </c>
      <c r="AA1970" s="36">
        <f>IF(AND(OR(sel_Region="All",C1970=sel_Region),OR(sel_Country="All",D1970=sel_Country),OR(sel_Channel="All",E1970=sel_Channel),OR(sel_Customer="All",F1970=sel_Customer),OR(sel_Category="All",G1970=sel_Category),OR(sel_Product="All",H1970=sel_Product)),1,0)</f>
        <v/>
      </c>
    </row>
    <row r="1971">
      <c r="A1971" s="36" t="inlineStr">
        <is>
          <t>02789</t>
        </is>
      </c>
      <c r="B1971" s="44" t="n">
        <v>46289</v>
      </c>
      <c r="C1971" s="36" t="inlineStr">
        <is>
          <t>Northern Europe</t>
        </is>
      </c>
      <c r="D1971" s="36" t="inlineStr">
        <is>
          <t>Norway</t>
        </is>
      </c>
      <c r="E1971" s="36" t="inlineStr">
        <is>
          <t>Online Store</t>
        </is>
      </c>
      <c r="F1971" s="36" t="inlineStr">
        <is>
          <t>New</t>
        </is>
      </c>
      <c r="G1971" s="36" t="inlineStr">
        <is>
          <t>Hiking</t>
        </is>
      </c>
      <c r="H1971" s="36" t="inlineStr">
        <is>
          <t>Trail Boots</t>
        </is>
      </c>
      <c r="I1971" s="36" t="n">
        <v>5</v>
      </c>
      <c r="J1971" s="39" t="n">
        <v>147.21</v>
      </c>
      <c r="K1971" s="45" t="n">
        <v>0.05</v>
      </c>
      <c r="L1971" s="39" t="n">
        <v>79.14</v>
      </c>
      <c r="M1971" s="39">
        <f>I1971*J1971*(1-K1971)</f>
        <v/>
      </c>
      <c r="N1971" s="39">
        <f>I1971*L1971</f>
        <v/>
      </c>
      <c r="O1971" s="39">
        <f>M1971-N1971</f>
        <v/>
      </c>
      <c r="P1971" s="38">
        <f>IF(M1971=0,0,O1971/M1971)</f>
        <v/>
      </c>
      <c r="Q1971" s="36">
        <f>YEAR(B1971)</f>
        <v/>
      </c>
      <c r="R1971" s="36">
        <f>"Q"&amp;ROUNDUP(MONTH(B1971)/3,0)</f>
        <v/>
      </c>
      <c r="S1971" s="36">
        <f>MONTH(B1971)</f>
        <v/>
      </c>
      <c r="T1971" s="36">
        <f>TEXT(B1971,"mmm")</f>
        <v/>
      </c>
      <c r="U1971" s="36">
        <f>IF(AND(OR(sel_Region="All",C1971=sel_Region),OR(sel_Country="All",D1971=sel_Country),OR(sel_Channel="All",E1971=sel_Channel),OR(sel_Customer="All",F1971=sel_Customer),OR(sel_Category="All",G1971=sel_Category),OR(sel_Product="All",H1971=sel_Product),AND(S1971&gt;=m_From,S1971&lt;=m_To)),1,0)</f>
        <v/>
      </c>
      <c r="V1971" s="36">
        <f>IF(AND(OR(sel_Region="All",C1971=sel_Region),OR(sel_Channel="All",E1971=sel_Channel),OR(sel_Customer="All",F1971=sel_Customer),OR(sel_Category="All",G1971=sel_Category),OR(sel_Product="All",H1971=sel_Product),AND(S1971&gt;=m_From,S1971&lt;=m_To)),1,0)</f>
        <v/>
      </c>
      <c r="W1971" s="36">
        <f>IF(AND(OR(sel_Region="All",C1971=sel_Region),OR(sel_Country="All",D1971=sel_Country),OR(sel_Customer="All",F1971=sel_Customer),OR(sel_Category="All",G1971=sel_Category),OR(sel_Product="All",H1971=sel_Product),AND(S1971&gt;=m_From,S1971&lt;=m_To)),1,0)</f>
        <v/>
      </c>
      <c r="X1971" s="36">
        <f>IF(AND(OR(sel_Region="All",C1971=sel_Region),OR(sel_Country="All",D1971=sel_Country),OR(sel_Channel="All",E1971=sel_Channel),OR(sel_Category="All",G1971=sel_Category),OR(sel_Product="All",H1971=sel_Product),AND(S1971&gt;=m_From,S1971&lt;=m_To)),1,0)</f>
        <v/>
      </c>
      <c r="Y1971" s="36">
        <f>IF(AND(OR(sel_Region="All",C1971=sel_Region),OR(sel_Country="All",D1971=sel_Country),OR(sel_Channel="All",E1971=sel_Channel),OR(sel_Customer="All",F1971=sel_Customer),OR(sel_Product="All",H1971=sel_Product),AND(S1971&gt;=m_From,S1971&lt;=m_To)),1,0)</f>
        <v/>
      </c>
      <c r="Z1971" s="36">
        <f>IF(AND(OR(sel_Region="All",C1971=sel_Region),OR(sel_Country="All",D1971=sel_Country),OR(sel_Channel="All",E1971=sel_Channel),OR(sel_Customer="All",F1971=sel_Customer),OR(sel_Category="All",G1971=sel_Category),AND(S1971&gt;=m_From,S1971&lt;=m_To)),1,0)</f>
        <v/>
      </c>
      <c r="AA1971" s="36">
        <f>IF(AND(OR(sel_Region="All",C1971=sel_Region),OR(sel_Country="All",D1971=sel_Country),OR(sel_Channel="All",E1971=sel_Channel),OR(sel_Customer="All",F1971=sel_Customer),OR(sel_Category="All",G1971=sel_Category),OR(sel_Product="All",H1971=sel_Product)),1,0)</f>
        <v/>
      </c>
    </row>
    <row r="1972">
      <c r="A1972" s="36" t="inlineStr">
        <is>
          <t>02921</t>
        </is>
      </c>
      <c r="B1972" s="44" t="n">
        <v>46289</v>
      </c>
      <c r="C1972" s="36" t="inlineStr">
        <is>
          <t>Southern Europe</t>
        </is>
      </c>
      <c r="D1972" s="36" t="inlineStr">
        <is>
          <t>Spain</t>
        </is>
      </c>
      <c r="E1972" s="36" t="inlineStr">
        <is>
          <t>Online Store</t>
        </is>
      </c>
      <c r="F1972" s="36" t="inlineStr">
        <is>
          <t>New</t>
        </is>
      </c>
      <c r="G1972" s="36" t="inlineStr">
        <is>
          <t>Camping</t>
        </is>
      </c>
      <c r="H1972" s="36" t="inlineStr">
        <is>
          <t>Trail Tent 2P</t>
        </is>
      </c>
      <c r="I1972" s="36" t="n">
        <v>3</v>
      </c>
      <c r="J1972" s="39" t="n">
        <v>195.68</v>
      </c>
      <c r="K1972" s="45" t="n">
        <v>0.05</v>
      </c>
      <c r="L1972" s="39" t="n">
        <v>102.16</v>
      </c>
      <c r="M1972" s="39">
        <f>I1972*J1972*(1-K1972)</f>
        <v/>
      </c>
      <c r="N1972" s="39">
        <f>I1972*L1972</f>
        <v/>
      </c>
      <c r="O1972" s="39">
        <f>M1972-N1972</f>
        <v/>
      </c>
      <c r="P1972" s="38">
        <f>IF(M1972=0,0,O1972/M1972)</f>
        <v/>
      </c>
      <c r="Q1972" s="36">
        <f>YEAR(B1972)</f>
        <v/>
      </c>
      <c r="R1972" s="36">
        <f>"Q"&amp;ROUNDUP(MONTH(B1972)/3,0)</f>
        <v/>
      </c>
      <c r="S1972" s="36">
        <f>MONTH(B1972)</f>
        <v/>
      </c>
      <c r="T1972" s="36">
        <f>TEXT(B1972,"mmm")</f>
        <v/>
      </c>
      <c r="U1972" s="36">
        <f>IF(AND(OR(sel_Region="All",C1972=sel_Region),OR(sel_Country="All",D1972=sel_Country),OR(sel_Channel="All",E1972=sel_Channel),OR(sel_Customer="All",F1972=sel_Customer),OR(sel_Category="All",G1972=sel_Category),OR(sel_Product="All",H1972=sel_Product),AND(S1972&gt;=m_From,S1972&lt;=m_To)),1,0)</f>
        <v/>
      </c>
      <c r="V1972" s="36">
        <f>IF(AND(OR(sel_Region="All",C1972=sel_Region),OR(sel_Channel="All",E1972=sel_Channel),OR(sel_Customer="All",F1972=sel_Customer),OR(sel_Category="All",G1972=sel_Category),OR(sel_Product="All",H1972=sel_Product),AND(S1972&gt;=m_From,S1972&lt;=m_To)),1,0)</f>
        <v/>
      </c>
      <c r="W1972" s="36">
        <f>IF(AND(OR(sel_Region="All",C1972=sel_Region),OR(sel_Country="All",D1972=sel_Country),OR(sel_Customer="All",F1972=sel_Customer),OR(sel_Category="All",G1972=sel_Category),OR(sel_Product="All",H1972=sel_Product),AND(S1972&gt;=m_From,S1972&lt;=m_To)),1,0)</f>
        <v/>
      </c>
      <c r="X1972" s="36">
        <f>IF(AND(OR(sel_Region="All",C1972=sel_Region),OR(sel_Country="All",D1972=sel_Country),OR(sel_Channel="All",E1972=sel_Channel),OR(sel_Category="All",G1972=sel_Category),OR(sel_Product="All",H1972=sel_Product),AND(S1972&gt;=m_From,S1972&lt;=m_To)),1,0)</f>
        <v/>
      </c>
      <c r="Y1972" s="36">
        <f>IF(AND(OR(sel_Region="All",C1972=sel_Region),OR(sel_Country="All",D1972=sel_Country),OR(sel_Channel="All",E1972=sel_Channel),OR(sel_Customer="All",F1972=sel_Customer),OR(sel_Product="All",H1972=sel_Product),AND(S1972&gt;=m_From,S1972&lt;=m_To)),1,0)</f>
        <v/>
      </c>
      <c r="Z1972" s="36">
        <f>IF(AND(OR(sel_Region="All",C1972=sel_Region),OR(sel_Country="All",D1972=sel_Country),OR(sel_Channel="All",E1972=sel_Channel),OR(sel_Customer="All",F1972=sel_Customer),OR(sel_Category="All",G1972=sel_Category),AND(S1972&gt;=m_From,S1972&lt;=m_To)),1,0)</f>
        <v/>
      </c>
      <c r="AA1972" s="36">
        <f>IF(AND(OR(sel_Region="All",C1972=sel_Region),OR(sel_Country="All",D1972=sel_Country),OR(sel_Channel="All",E1972=sel_Channel),OR(sel_Customer="All",F1972=sel_Customer),OR(sel_Category="All",G1972=sel_Category),OR(sel_Product="All",H1972=sel_Product)),1,0)</f>
        <v/>
      </c>
    </row>
    <row r="1973">
      <c r="A1973" s="36" t="inlineStr">
        <is>
          <t>03108</t>
        </is>
      </c>
      <c r="B1973" s="44" t="n">
        <v>46289</v>
      </c>
      <c r="C1973" s="36" t="inlineStr">
        <is>
          <t>Central Europe</t>
        </is>
      </c>
      <c r="D1973" s="36" t="inlineStr">
        <is>
          <t>Switzerland</t>
        </is>
      </c>
      <c r="E1973" s="36" t="inlineStr">
        <is>
          <t>Corporate</t>
        </is>
      </c>
      <c r="F1973" s="36" t="inlineStr">
        <is>
          <t>Business</t>
        </is>
      </c>
      <c r="G1973" s="36" t="inlineStr">
        <is>
          <t>Hiking</t>
        </is>
      </c>
      <c r="H1973" s="36" t="inlineStr">
        <is>
          <t>Hiking Daypack 20L</t>
        </is>
      </c>
      <c r="I1973" s="36" t="n">
        <v>5</v>
      </c>
      <c r="J1973" s="39" t="n">
        <v>90.05</v>
      </c>
      <c r="K1973" s="45" t="n">
        <v>0.15</v>
      </c>
      <c r="L1973" s="39" t="n">
        <v>44.12</v>
      </c>
      <c r="M1973" s="39">
        <f>I1973*J1973*(1-K1973)</f>
        <v/>
      </c>
      <c r="N1973" s="39">
        <f>I1973*L1973</f>
        <v/>
      </c>
      <c r="O1973" s="39">
        <f>M1973-N1973</f>
        <v/>
      </c>
      <c r="P1973" s="38">
        <f>IF(M1973=0,0,O1973/M1973)</f>
        <v/>
      </c>
      <c r="Q1973" s="36">
        <f>YEAR(B1973)</f>
        <v/>
      </c>
      <c r="R1973" s="36">
        <f>"Q"&amp;ROUNDUP(MONTH(B1973)/3,0)</f>
        <v/>
      </c>
      <c r="S1973" s="36">
        <f>MONTH(B1973)</f>
        <v/>
      </c>
      <c r="T1973" s="36">
        <f>TEXT(B1973,"mmm")</f>
        <v/>
      </c>
      <c r="U1973" s="36">
        <f>IF(AND(OR(sel_Region="All",C1973=sel_Region),OR(sel_Country="All",D1973=sel_Country),OR(sel_Channel="All",E1973=sel_Channel),OR(sel_Customer="All",F1973=sel_Customer),OR(sel_Category="All",G1973=sel_Category),OR(sel_Product="All",H1973=sel_Product),AND(S1973&gt;=m_From,S1973&lt;=m_To)),1,0)</f>
        <v/>
      </c>
      <c r="V1973" s="36">
        <f>IF(AND(OR(sel_Region="All",C1973=sel_Region),OR(sel_Channel="All",E1973=sel_Channel),OR(sel_Customer="All",F1973=sel_Customer),OR(sel_Category="All",G1973=sel_Category),OR(sel_Product="All",H1973=sel_Product),AND(S1973&gt;=m_From,S1973&lt;=m_To)),1,0)</f>
        <v/>
      </c>
      <c r="W1973" s="36">
        <f>IF(AND(OR(sel_Region="All",C1973=sel_Region),OR(sel_Country="All",D1973=sel_Country),OR(sel_Customer="All",F1973=sel_Customer),OR(sel_Category="All",G1973=sel_Category),OR(sel_Product="All",H1973=sel_Product),AND(S1973&gt;=m_From,S1973&lt;=m_To)),1,0)</f>
        <v/>
      </c>
      <c r="X1973" s="36">
        <f>IF(AND(OR(sel_Region="All",C1973=sel_Region),OR(sel_Country="All",D1973=sel_Country),OR(sel_Channel="All",E1973=sel_Channel),OR(sel_Category="All",G1973=sel_Category),OR(sel_Product="All",H1973=sel_Product),AND(S1973&gt;=m_From,S1973&lt;=m_To)),1,0)</f>
        <v/>
      </c>
      <c r="Y1973" s="36">
        <f>IF(AND(OR(sel_Region="All",C1973=sel_Region),OR(sel_Country="All",D1973=sel_Country),OR(sel_Channel="All",E1973=sel_Channel),OR(sel_Customer="All",F1973=sel_Customer),OR(sel_Product="All",H1973=sel_Product),AND(S1973&gt;=m_From,S1973&lt;=m_To)),1,0)</f>
        <v/>
      </c>
      <c r="Z1973" s="36">
        <f>IF(AND(OR(sel_Region="All",C1973=sel_Region),OR(sel_Country="All",D1973=sel_Country),OR(sel_Channel="All",E1973=sel_Channel),OR(sel_Customer="All",F1973=sel_Customer),OR(sel_Category="All",G1973=sel_Category),AND(S1973&gt;=m_From,S1973&lt;=m_To)),1,0)</f>
        <v/>
      </c>
      <c r="AA1973" s="36">
        <f>IF(AND(OR(sel_Region="All",C1973=sel_Region),OR(sel_Country="All",D1973=sel_Country),OR(sel_Channel="All",E1973=sel_Channel),OR(sel_Customer="All",F1973=sel_Customer),OR(sel_Category="All",G1973=sel_Category),OR(sel_Product="All",H1973=sel_Product)),1,0)</f>
        <v/>
      </c>
    </row>
    <row r="1974">
      <c r="A1974" s="36" t="inlineStr">
        <is>
          <t>03226</t>
        </is>
      </c>
      <c r="B1974" s="44" t="n">
        <v>46289</v>
      </c>
      <c r="C1974" s="36" t="inlineStr">
        <is>
          <t>Western Europe</t>
        </is>
      </c>
      <c r="D1974" s="36" t="inlineStr">
        <is>
          <t>France</t>
        </is>
      </c>
      <c r="E1974" s="36" t="inlineStr">
        <is>
          <t>Marketplace</t>
        </is>
      </c>
      <c r="F1974" s="36" t="inlineStr">
        <is>
          <t>Returning</t>
        </is>
      </c>
      <c r="G1974" s="36" t="inlineStr">
        <is>
          <t>Camping</t>
        </is>
      </c>
      <c r="H1974" s="36" t="inlineStr">
        <is>
          <t>Alpine Tent 4P</t>
        </is>
      </c>
      <c r="I1974" s="36" t="n">
        <v>1</v>
      </c>
      <c r="J1974" s="39" t="n">
        <v>345.48</v>
      </c>
      <c r="K1974" s="45" t="n">
        <v>0</v>
      </c>
      <c r="L1974" s="39" t="n">
        <v>196.31</v>
      </c>
      <c r="M1974" s="39">
        <f>I1974*J1974*(1-K1974)</f>
        <v/>
      </c>
      <c r="N1974" s="39">
        <f>I1974*L1974</f>
        <v/>
      </c>
      <c r="O1974" s="39">
        <f>M1974-N1974</f>
        <v/>
      </c>
      <c r="P1974" s="38">
        <f>IF(M1974=0,0,O1974/M1974)</f>
        <v/>
      </c>
      <c r="Q1974" s="36">
        <f>YEAR(B1974)</f>
        <v/>
      </c>
      <c r="R1974" s="36">
        <f>"Q"&amp;ROUNDUP(MONTH(B1974)/3,0)</f>
        <v/>
      </c>
      <c r="S1974" s="36">
        <f>MONTH(B1974)</f>
        <v/>
      </c>
      <c r="T1974" s="36">
        <f>TEXT(B1974,"mmm")</f>
        <v/>
      </c>
      <c r="U1974" s="36">
        <f>IF(AND(OR(sel_Region="All",C1974=sel_Region),OR(sel_Country="All",D1974=sel_Country),OR(sel_Channel="All",E1974=sel_Channel),OR(sel_Customer="All",F1974=sel_Customer),OR(sel_Category="All",G1974=sel_Category),OR(sel_Product="All",H1974=sel_Product),AND(S1974&gt;=m_From,S1974&lt;=m_To)),1,0)</f>
        <v/>
      </c>
      <c r="V1974" s="36">
        <f>IF(AND(OR(sel_Region="All",C1974=sel_Region),OR(sel_Channel="All",E1974=sel_Channel),OR(sel_Customer="All",F1974=sel_Customer),OR(sel_Category="All",G1974=sel_Category),OR(sel_Product="All",H1974=sel_Product),AND(S1974&gt;=m_From,S1974&lt;=m_To)),1,0)</f>
        <v/>
      </c>
      <c r="W1974" s="36">
        <f>IF(AND(OR(sel_Region="All",C1974=sel_Region),OR(sel_Country="All",D1974=sel_Country),OR(sel_Customer="All",F1974=sel_Customer),OR(sel_Category="All",G1974=sel_Category),OR(sel_Product="All",H1974=sel_Product),AND(S1974&gt;=m_From,S1974&lt;=m_To)),1,0)</f>
        <v/>
      </c>
      <c r="X1974" s="36">
        <f>IF(AND(OR(sel_Region="All",C1974=sel_Region),OR(sel_Country="All",D1974=sel_Country),OR(sel_Channel="All",E1974=sel_Channel),OR(sel_Category="All",G1974=sel_Category),OR(sel_Product="All",H1974=sel_Product),AND(S1974&gt;=m_From,S1974&lt;=m_To)),1,0)</f>
        <v/>
      </c>
      <c r="Y1974" s="36">
        <f>IF(AND(OR(sel_Region="All",C1974=sel_Region),OR(sel_Country="All",D1974=sel_Country),OR(sel_Channel="All",E1974=sel_Channel),OR(sel_Customer="All",F1974=sel_Customer),OR(sel_Product="All",H1974=sel_Product),AND(S1974&gt;=m_From,S1974&lt;=m_To)),1,0)</f>
        <v/>
      </c>
      <c r="Z1974" s="36">
        <f>IF(AND(OR(sel_Region="All",C1974=sel_Region),OR(sel_Country="All",D1974=sel_Country),OR(sel_Channel="All",E1974=sel_Channel),OR(sel_Customer="All",F1974=sel_Customer),OR(sel_Category="All",G1974=sel_Category),AND(S1974&gt;=m_From,S1974&lt;=m_To)),1,0)</f>
        <v/>
      </c>
      <c r="AA1974" s="36">
        <f>IF(AND(OR(sel_Region="All",C1974=sel_Region),OR(sel_Country="All",D1974=sel_Country),OR(sel_Channel="All",E1974=sel_Channel),OR(sel_Customer="All",F1974=sel_Customer),OR(sel_Category="All",G1974=sel_Category),OR(sel_Product="All",H1974=sel_Product)),1,0)</f>
        <v/>
      </c>
    </row>
    <row r="1975">
      <c r="A1975" s="36" t="inlineStr">
        <is>
          <t>03286</t>
        </is>
      </c>
      <c r="B1975" s="44" t="n">
        <v>46289</v>
      </c>
      <c r="C1975" s="36" t="inlineStr">
        <is>
          <t>Western Europe</t>
        </is>
      </c>
      <c r="D1975" s="36" t="inlineStr">
        <is>
          <t>Belgium</t>
        </is>
      </c>
      <c r="E1975" s="36" t="inlineStr">
        <is>
          <t>Online Store</t>
        </is>
      </c>
      <c r="F1975" s="36" t="inlineStr">
        <is>
          <t>New</t>
        </is>
      </c>
      <c r="G1975" s="36" t="inlineStr">
        <is>
          <t>Travel</t>
        </is>
      </c>
      <c r="H1975" s="36" t="inlineStr">
        <is>
          <t>Packing Cube Set</t>
        </is>
      </c>
      <c r="I1975" s="36" t="n">
        <v>1</v>
      </c>
      <c r="J1975" s="39" t="n">
        <v>46.23</v>
      </c>
      <c r="K1975" s="45" t="n">
        <v>0.1</v>
      </c>
      <c r="L1975" s="39" t="n">
        <v>18.34</v>
      </c>
      <c r="M1975" s="39">
        <f>I1975*J1975*(1-K1975)</f>
        <v/>
      </c>
      <c r="N1975" s="39">
        <f>I1975*L1975</f>
        <v/>
      </c>
      <c r="O1975" s="39">
        <f>M1975-N1975</f>
        <v/>
      </c>
      <c r="P1975" s="38">
        <f>IF(M1975=0,0,O1975/M1975)</f>
        <v/>
      </c>
      <c r="Q1975" s="36">
        <f>YEAR(B1975)</f>
        <v/>
      </c>
      <c r="R1975" s="36">
        <f>"Q"&amp;ROUNDUP(MONTH(B1975)/3,0)</f>
        <v/>
      </c>
      <c r="S1975" s="36">
        <f>MONTH(B1975)</f>
        <v/>
      </c>
      <c r="T1975" s="36">
        <f>TEXT(B1975,"mmm")</f>
        <v/>
      </c>
      <c r="U1975" s="36">
        <f>IF(AND(OR(sel_Region="All",C1975=sel_Region),OR(sel_Country="All",D1975=sel_Country),OR(sel_Channel="All",E1975=sel_Channel),OR(sel_Customer="All",F1975=sel_Customer),OR(sel_Category="All",G1975=sel_Category),OR(sel_Product="All",H1975=sel_Product),AND(S1975&gt;=m_From,S1975&lt;=m_To)),1,0)</f>
        <v/>
      </c>
      <c r="V1975" s="36">
        <f>IF(AND(OR(sel_Region="All",C1975=sel_Region),OR(sel_Channel="All",E1975=sel_Channel),OR(sel_Customer="All",F1975=sel_Customer),OR(sel_Category="All",G1975=sel_Category),OR(sel_Product="All",H1975=sel_Product),AND(S1975&gt;=m_From,S1975&lt;=m_To)),1,0)</f>
        <v/>
      </c>
      <c r="W1975" s="36">
        <f>IF(AND(OR(sel_Region="All",C1975=sel_Region),OR(sel_Country="All",D1975=sel_Country),OR(sel_Customer="All",F1975=sel_Customer),OR(sel_Category="All",G1975=sel_Category),OR(sel_Product="All",H1975=sel_Product),AND(S1975&gt;=m_From,S1975&lt;=m_To)),1,0)</f>
        <v/>
      </c>
      <c r="X1975" s="36">
        <f>IF(AND(OR(sel_Region="All",C1975=sel_Region),OR(sel_Country="All",D1975=sel_Country),OR(sel_Channel="All",E1975=sel_Channel),OR(sel_Category="All",G1975=sel_Category),OR(sel_Product="All",H1975=sel_Product),AND(S1975&gt;=m_From,S1975&lt;=m_To)),1,0)</f>
        <v/>
      </c>
      <c r="Y1975" s="36">
        <f>IF(AND(OR(sel_Region="All",C1975=sel_Region),OR(sel_Country="All",D1975=sel_Country),OR(sel_Channel="All",E1975=sel_Channel),OR(sel_Customer="All",F1975=sel_Customer),OR(sel_Product="All",H1975=sel_Product),AND(S1975&gt;=m_From,S1975&lt;=m_To)),1,0)</f>
        <v/>
      </c>
      <c r="Z1975" s="36">
        <f>IF(AND(OR(sel_Region="All",C1975=sel_Region),OR(sel_Country="All",D1975=sel_Country),OR(sel_Channel="All",E1975=sel_Channel),OR(sel_Customer="All",F1975=sel_Customer),OR(sel_Category="All",G1975=sel_Category),AND(S1975&gt;=m_From,S1975&lt;=m_To)),1,0)</f>
        <v/>
      </c>
      <c r="AA1975" s="36">
        <f>IF(AND(OR(sel_Region="All",C1975=sel_Region),OR(sel_Country="All",D1975=sel_Country),OR(sel_Channel="All",E1975=sel_Channel),OR(sel_Customer="All",F1975=sel_Customer),OR(sel_Category="All",G1975=sel_Category),OR(sel_Product="All",H1975=sel_Product)),1,0)</f>
        <v/>
      </c>
    </row>
    <row r="1976">
      <c r="A1976" s="36" t="inlineStr">
        <is>
          <t>04510</t>
        </is>
      </c>
      <c r="B1976" s="44" t="n">
        <v>46289</v>
      </c>
      <c r="C1976" s="36" t="inlineStr">
        <is>
          <t>Southern Europe</t>
        </is>
      </c>
      <c r="D1976" s="36" t="inlineStr">
        <is>
          <t>Spain</t>
        </is>
      </c>
      <c r="E1976" s="36" t="inlineStr">
        <is>
          <t>Marketplace</t>
        </is>
      </c>
      <c r="F1976" s="36" t="inlineStr">
        <is>
          <t>Returning</t>
        </is>
      </c>
      <c r="G1976" s="36" t="inlineStr">
        <is>
          <t>Camping</t>
        </is>
      </c>
      <c r="H1976" s="36" t="inlineStr">
        <is>
          <t>Portable Camp Stove</t>
        </is>
      </c>
      <c r="I1976" s="36" t="n">
        <v>3</v>
      </c>
      <c r="J1976" s="39" t="n">
        <v>82.38</v>
      </c>
      <c r="K1976" s="45" t="n">
        <v>0.15</v>
      </c>
      <c r="L1976" s="39" t="n">
        <v>39.02</v>
      </c>
      <c r="M1976" s="39">
        <f>I1976*J1976*(1-K1976)</f>
        <v/>
      </c>
      <c r="N1976" s="39">
        <f>I1976*L1976</f>
        <v/>
      </c>
      <c r="O1976" s="39">
        <f>M1976-N1976</f>
        <v/>
      </c>
      <c r="P1976" s="38">
        <f>IF(M1976=0,0,O1976/M1976)</f>
        <v/>
      </c>
      <c r="Q1976" s="36">
        <f>YEAR(B1976)</f>
        <v/>
      </c>
      <c r="R1976" s="36">
        <f>"Q"&amp;ROUNDUP(MONTH(B1976)/3,0)</f>
        <v/>
      </c>
      <c r="S1976" s="36">
        <f>MONTH(B1976)</f>
        <v/>
      </c>
      <c r="T1976" s="36">
        <f>TEXT(B1976,"mmm")</f>
        <v/>
      </c>
      <c r="U1976" s="36">
        <f>IF(AND(OR(sel_Region="All",C1976=sel_Region),OR(sel_Country="All",D1976=sel_Country),OR(sel_Channel="All",E1976=sel_Channel),OR(sel_Customer="All",F1976=sel_Customer),OR(sel_Category="All",G1976=sel_Category),OR(sel_Product="All",H1976=sel_Product),AND(S1976&gt;=m_From,S1976&lt;=m_To)),1,0)</f>
        <v/>
      </c>
      <c r="V1976" s="36">
        <f>IF(AND(OR(sel_Region="All",C1976=sel_Region),OR(sel_Channel="All",E1976=sel_Channel),OR(sel_Customer="All",F1976=sel_Customer),OR(sel_Category="All",G1976=sel_Category),OR(sel_Product="All",H1976=sel_Product),AND(S1976&gt;=m_From,S1976&lt;=m_To)),1,0)</f>
        <v/>
      </c>
      <c r="W1976" s="36">
        <f>IF(AND(OR(sel_Region="All",C1976=sel_Region),OR(sel_Country="All",D1976=sel_Country),OR(sel_Customer="All",F1976=sel_Customer),OR(sel_Category="All",G1976=sel_Category),OR(sel_Product="All",H1976=sel_Product),AND(S1976&gt;=m_From,S1976&lt;=m_To)),1,0)</f>
        <v/>
      </c>
      <c r="X1976" s="36">
        <f>IF(AND(OR(sel_Region="All",C1976=sel_Region),OR(sel_Country="All",D1976=sel_Country),OR(sel_Channel="All",E1976=sel_Channel),OR(sel_Category="All",G1976=sel_Category),OR(sel_Product="All",H1976=sel_Product),AND(S1976&gt;=m_From,S1976&lt;=m_To)),1,0)</f>
        <v/>
      </c>
      <c r="Y1976" s="36">
        <f>IF(AND(OR(sel_Region="All",C1976=sel_Region),OR(sel_Country="All",D1976=sel_Country),OR(sel_Channel="All",E1976=sel_Channel),OR(sel_Customer="All",F1976=sel_Customer),OR(sel_Product="All",H1976=sel_Product),AND(S1976&gt;=m_From,S1976&lt;=m_To)),1,0)</f>
        <v/>
      </c>
      <c r="Z1976" s="36">
        <f>IF(AND(OR(sel_Region="All",C1976=sel_Region),OR(sel_Country="All",D1976=sel_Country),OR(sel_Channel="All",E1976=sel_Channel),OR(sel_Customer="All",F1976=sel_Customer),OR(sel_Category="All",G1976=sel_Category),AND(S1976&gt;=m_From,S1976&lt;=m_To)),1,0)</f>
        <v/>
      </c>
      <c r="AA1976" s="36">
        <f>IF(AND(OR(sel_Region="All",C1976=sel_Region),OR(sel_Country="All",D1976=sel_Country),OR(sel_Channel="All",E1976=sel_Channel),OR(sel_Customer="All",F1976=sel_Customer),OR(sel_Category="All",G1976=sel_Category),OR(sel_Product="All",H1976=sel_Product)),1,0)</f>
        <v/>
      </c>
    </row>
    <row r="1977">
      <c r="A1977" s="36" t="inlineStr">
        <is>
          <t>02069</t>
        </is>
      </c>
      <c r="B1977" s="44" t="n">
        <v>46290</v>
      </c>
      <c r="C1977" s="36" t="inlineStr">
        <is>
          <t>Western Europe</t>
        </is>
      </c>
      <c r="D1977" s="36" t="inlineStr">
        <is>
          <t>Netherlands</t>
        </is>
      </c>
      <c r="E1977" s="36" t="inlineStr">
        <is>
          <t>Online Store</t>
        </is>
      </c>
      <c r="F1977" s="36" t="inlineStr">
        <is>
          <t>New</t>
        </is>
      </c>
      <c r="G1977" s="36" t="inlineStr">
        <is>
          <t>Camping</t>
        </is>
      </c>
      <c r="H1977" s="36" t="inlineStr">
        <is>
          <t>Alpine Tent 4P</t>
        </is>
      </c>
      <c r="I1977" s="36" t="n">
        <v>1</v>
      </c>
      <c r="J1977" s="39" t="n">
        <v>344.79</v>
      </c>
      <c r="K1977" s="45" t="n">
        <v>0</v>
      </c>
      <c r="L1977" s="39" t="n">
        <v>189.63</v>
      </c>
      <c r="M1977" s="39">
        <f>I1977*J1977*(1-K1977)</f>
        <v/>
      </c>
      <c r="N1977" s="39">
        <f>I1977*L1977</f>
        <v/>
      </c>
      <c r="O1977" s="39">
        <f>M1977-N1977</f>
        <v/>
      </c>
      <c r="P1977" s="38">
        <f>IF(M1977=0,0,O1977/M1977)</f>
        <v/>
      </c>
      <c r="Q1977" s="36">
        <f>YEAR(B1977)</f>
        <v/>
      </c>
      <c r="R1977" s="36">
        <f>"Q"&amp;ROUNDUP(MONTH(B1977)/3,0)</f>
        <v/>
      </c>
      <c r="S1977" s="36">
        <f>MONTH(B1977)</f>
        <v/>
      </c>
      <c r="T1977" s="36">
        <f>TEXT(B1977,"mmm")</f>
        <v/>
      </c>
      <c r="U1977" s="36">
        <f>IF(AND(OR(sel_Region="All",C1977=sel_Region),OR(sel_Country="All",D1977=sel_Country),OR(sel_Channel="All",E1977=sel_Channel),OR(sel_Customer="All",F1977=sel_Customer),OR(sel_Category="All",G1977=sel_Category),OR(sel_Product="All",H1977=sel_Product),AND(S1977&gt;=m_From,S1977&lt;=m_To)),1,0)</f>
        <v/>
      </c>
      <c r="V1977" s="36">
        <f>IF(AND(OR(sel_Region="All",C1977=sel_Region),OR(sel_Channel="All",E1977=sel_Channel),OR(sel_Customer="All",F1977=sel_Customer),OR(sel_Category="All",G1977=sel_Category),OR(sel_Product="All",H1977=sel_Product),AND(S1977&gt;=m_From,S1977&lt;=m_To)),1,0)</f>
        <v/>
      </c>
      <c r="W1977" s="36">
        <f>IF(AND(OR(sel_Region="All",C1977=sel_Region),OR(sel_Country="All",D1977=sel_Country),OR(sel_Customer="All",F1977=sel_Customer),OR(sel_Category="All",G1977=sel_Category),OR(sel_Product="All",H1977=sel_Product),AND(S1977&gt;=m_From,S1977&lt;=m_To)),1,0)</f>
        <v/>
      </c>
      <c r="X1977" s="36">
        <f>IF(AND(OR(sel_Region="All",C1977=sel_Region),OR(sel_Country="All",D1977=sel_Country),OR(sel_Channel="All",E1977=sel_Channel),OR(sel_Category="All",G1977=sel_Category),OR(sel_Product="All",H1977=sel_Product),AND(S1977&gt;=m_From,S1977&lt;=m_To)),1,0)</f>
        <v/>
      </c>
      <c r="Y1977" s="36">
        <f>IF(AND(OR(sel_Region="All",C1977=sel_Region),OR(sel_Country="All",D1977=sel_Country),OR(sel_Channel="All",E1977=sel_Channel),OR(sel_Customer="All",F1977=sel_Customer),OR(sel_Product="All",H1977=sel_Product),AND(S1977&gt;=m_From,S1977&lt;=m_To)),1,0)</f>
        <v/>
      </c>
      <c r="Z1977" s="36">
        <f>IF(AND(OR(sel_Region="All",C1977=sel_Region),OR(sel_Country="All",D1977=sel_Country),OR(sel_Channel="All",E1977=sel_Channel),OR(sel_Customer="All",F1977=sel_Customer),OR(sel_Category="All",G1977=sel_Category),AND(S1977&gt;=m_From,S1977&lt;=m_To)),1,0)</f>
        <v/>
      </c>
      <c r="AA1977" s="36">
        <f>IF(AND(OR(sel_Region="All",C1977=sel_Region),OR(sel_Country="All",D1977=sel_Country),OR(sel_Channel="All",E1977=sel_Channel),OR(sel_Customer="All",F1977=sel_Customer),OR(sel_Category="All",G1977=sel_Category),OR(sel_Product="All",H1977=sel_Product)),1,0)</f>
        <v/>
      </c>
    </row>
    <row r="1978">
      <c r="A1978" s="36" t="inlineStr">
        <is>
          <t>00095</t>
        </is>
      </c>
      <c r="B1978" s="44" t="n">
        <v>46291</v>
      </c>
      <c r="C1978" s="36" t="inlineStr">
        <is>
          <t>Southern Europe</t>
        </is>
      </c>
      <c r="D1978" s="36" t="inlineStr">
        <is>
          <t>Spain</t>
        </is>
      </c>
      <c r="E1978" s="36" t="inlineStr">
        <is>
          <t>Marketplace</t>
        </is>
      </c>
      <c r="F1978" s="36" t="inlineStr">
        <is>
          <t>Returning</t>
        </is>
      </c>
      <c r="G1978" s="36" t="inlineStr">
        <is>
          <t>Hiking</t>
        </is>
      </c>
      <c r="H1978" s="36" t="inlineStr">
        <is>
          <t>Trekking Poles</t>
        </is>
      </c>
      <c r="I1978" s="36" t="n">
        <v>1</v>
      </c>
      <c r="J1978" s="39" t="n">
        <v>73.06</v>
      </c>
      <c r="K1978" s="45" t="n">
        <v>0.05</v>
      </c>
      <c r="L1978" s="39" t="n">
        <v>31.42</v>
      </c>
      <c r="M1978" s="39">
        <f>I1978*J1978*(1-K1978)</f>
        <v/>
      </c>
      <c r="N1978" s="39">
        <f>I1978*L1978</f>
        <v/>
      </c>
      <c r="O1978" s="39">
        <f>M1978-N1978</f>
        <v/>
      </c>
      <c r="P1978" s="38">
        <f>IF(M1978=0,0,O1978/M1978)</f>
        <v/>
      </c>
      <c r="Q1978" s="36">
        <f>YEAR(B1978)</f>
        <v/>
      </c>
      <c r="R1978" s="36">
        <f>"Q"&amp;ROUNDUP(MONTH(B1978)/3,0)</f>
        <v/>
      </c>
      <c r="S1978" s="36">
        <f>MONTH(B1978)</f>
        <v/>
      </c>
      <c r="T1978" s="36">
        <f>TEXT(B1978,"mmm")</f>
        <v/>
      </c>
      <c r="U1978" s="36">
        <f>IF(AND(OR(sel_Region="All",C1978=sel_Region),OR(sel_Country="All",D1978=sel_Country),OR(sel_Channel="All",E1978=sel_Channel),OR(sel_Customer="All",F1978=sel_Customer),OR(sel_Category="All",G1978=sel_Category),OR(sel_Product="All",H1978=sel_Product),AND(S1978&gt;=m_From,S1978&lt;=m_To)),1,0)</f>
        <v/>
      </c>
      <c r="V1978" s="36">
        <f>IF(AND(OR(sel_Region="All",C1978=sel_Region),OR(sel_Channel="All",E1978=sel_Channel),OR(sel_Customer="All",F1978=sel_Customer),OR(sel_Category="All",G1978=sel_Category),OR(sel_Product="All",H1978=sel_Product),AND(S1978&gt;=m_From,S1978&lt;=m_To)),1,0)</f>
        <v/>
      </c>
      <c r="W1978" s="36">
        <f>IF(AND(OR(sel_Region="All",C1978=sel_Region),OR(sel_Country="All",D1978=sel_Country),OR(sel_Customer="All",F1978=sel_Customer),OR(sel_Category="All",G1978=sel_Category),OR(sel_Product="All",H1978=sel_Product),AND(S1978&gt;=m_From,S1978&lt;=m_To)),1,0)</f>
        <v/>
      </c>
      <c r="X1978" s="36">
        <f>IF(AND(OR(sel_Region="All",C1978=sel_Region),OR(sel_Country="All",D1978=sel_Country),OR(sel_Channel="All",E1978=sel_Channel),OR(sel_Category="All",G1978=sel_Category),OR(sel_Product="All",H1978=sel_Product),AND(S1978&gt;=m_From,S1978&lt;=m_To)),1,0)</f>
        <v/>
      </c>
      <c r="Y1978" s="36">
        <f>IF(AND(OR(sel_Region="All",C1978=sel_Region),OR(sel_Country="All",D1978=sel_Country),OR(sel_Channel="All",E1978=sel_Channel),OR(sel_Customer="All",F1978=sel_Customer),OR(sel_Product="All",H1978=sel_Product),AND(S1978&gt;=m_From,S1978&lt;=m_To)),1,0)</f>
        <v/>
      </c>
      <c r="Z1978" s="36">
        <f>IF(AND(OR(sel_Region="All",C1978=sel_Region),OR(sel_Country="All",D1978=sel_Country),OR(sel_Channel="All",E1978=sel_Channel),OR(sel_Customer="All",F1978=sel_Customer),OR(sel_Category="All",G1978=sel_Category),AND(S1978&gt;=m_From,S1978&lt;=m_To)),1,0)</f>
        <v/>
      </c>
      <c r="AA1978" s="36">
        <f>IF(AND(OR(sel_Region="All",C1978=sel_Region),OR(sel_Country="All",D1978=sel_Country),OR(sel_Channel="All",E1978=sel_Channel),OR(sel_Customer="All",F1978=sel_Customer),OR(sel_Category="All",G1978=sel_Category),OR(sel_Product="All",H1978=sel_Product)),1,0)</f>
        <v/>
      </c>
    </row>
    <row r="1979">
      <c r="A1979" s="36" t="inlineStr">
        <is>
          <t>00160</t>
        </is>
      </c>
      <c r="B1979" s="44" t="n">
        <v>46291</v>
      </c>
      <c r="C1979" s="36" t="inlineStr">
        <is>
          <t>Western Europe</t>
        </is>
      </c>
      <c r="D1979" s="36" t="inlineStr">
        <is>
          <t>United Kingdom</t>
        </is>
      </c>
      <c r="E1979" s="36" t="inlineStr">
        <is>
          <t>Online Store</t>
        </is>
      </c>
      <c r="F1979" s="36" t="inlineStr">
        <is>
          <t>Returning</t>
        </is>
      </c>
      <c r="G1979" s="36" t="inlineStr">
        <is>
          <t>Camping</t>
        </is>
      </c>
      <c r="H1979" s="36" t="inlineStr">
        <is>
          <t>Portable Camp Stove</t>
        </is>
      </c>
      <c r="I1979" s="36" t="n">
        <v>1</v>
      </c>
      <c r="J1979" s="39" t="n">
        <v>81.58</v>
      </c>
      <c r="K1979" s="45" t="n">
        <v>0.1</v>
      </c>
      <c r="L1979" s="39" t="n">
        <v>38.89</v>
      </c>
      <c r="M1979" s="39">
        <f>I1979*J1979*(1-K1979)</f>
        <v/>
      </c>
      <c r="N1979" s="39">
        <f>I1979*L1979</f>
        <v/>
      </c>
      <c r="O1979" s="39">
        <f>M1979-N1979</f>
        <v/>
      </c>
      <c r="P1979" s="38">
        <f>IF(M1979=0,0,O1979/M1979)</f>
        <v/>
      </c>
      <c r="Q1979" s="36">
        <f>YEAR(B1979)</f>
        <v/>
      </c>
      <c r="R1979" s="36">
        <f>"Q"&amp;ROUNDUP(MONTH(B1979)/3,0)</f>
        <v/>
      </c>
      <c r="S1979" s="36">
        <f>MONTH(B1979)</f>
        <v/>
      </c>
      <c r="T1979" s="36">
        <f>TEXT(B1979,"mmm")</f>
        <v/>
      </c>
      <c r="U1979" s="36">
        <f>IF(AND(OR(sel_Region="All",C1979=sel_Region),OR(sel_Country="All",D1979=sel_Country),OR(sel_Channel="All",E1979=sel_Channel),OR(sel_Customer="All",F1979=sel_Customer),OR(sel_Category="All",G1979=sel_Category),OR(sel_Product="All",H1979=sel_Product),AND(S1979&gt;=m_From,S1979&lt;=m_To)),1,0)</f>
        <v/>
      </c>
      <c r="V1979" s="36">
        <f>IF(AND(OR(sel_Region="All",C1979=sel_Region),OR(sel_Channel="All",E1979=sel_Channel),OR(sel_Customer="All",F1979=sel_Customer),OR(sel_Category="All",G1979=sel_Category),OR(sel_Product="All",H1979=sel_Product),AND(S1979&gt;=m_From,S1979&lt;=m_To)),1,0)</f>
        <v/>
      </c>
      <c r="W1979" s="36">
        <f>IF(AND(OR(sel_Region="All",C1979=sel_Region),OR(sel_Country="All",D1979=sel_Country),OR(sel_Customer="All",F1979=sel_Customer),OR(sel_Category="All",G1979=sel_Category),OR(sel_Product="All",H1979=sel_Product),AND(S1979&gt;=m_From,S1979&lt;=m_To)),1,0)</f>
        <v/>
      </c>
      <c r="X1979" s="36">
        <f>IF(AND(OR(sel_Region="All",C1979=sel_Region),OR(sel_Country="All",D1979=sel_Country),OR(sel_Channel="All",E1979=sel_Channel),OR(sel_Category="All",G1979=sel_Category),OR(sel_Product="All",H1979=sel_Product),AND(S1979&gt;=m_From,S1979&lt;=m_To)),1,0)</f>
        <v/>
      </c>
      <c r="Y1979" s="36">
        <f>IF(AND(OR(sel_Region="All",C1979=sel_Region),OR(sel_Country="All",D1979=sel_Country),OR(sel_Channel="All",E1979=sel_Channel),OR(sel_Customer="All",F1979=sel_Customer),OR(sel_Product="All",H1979=sel_Product),AND(S1979&gt;=m_From,S1979&lt;=m_To)),1,0)</f>
        <v/>
      </c>
      <c r="Z1979" s="36">
        <f>IF(AND(OR(sel_Region="All",C1979=sel_Region),OR(sel_Country="All",D1979=sel_Country),OR(sel_Channel="All",E1979=sel_Channel),OR(sel_Customer="All",F1979=sel_Customer),OR(sel_Category="All",G1979=sel_Category),AND(S1979&gt;=m_From,S1979&lt;=m_To)),1,0)</f>
        <v/>
      </c>
      <c r="AA1979" s="36">
        <f>IF(AND(OR(sel_Region="All",C1979=sel_Region),OR(sel_Country="All",D1979=sel_Country),OR(sel_Channel="All",E1979=sel_Channel),OR(sel_Customer="All",F1979=sel_Customer),OR(sel_Category="All",G1979=sel_Category),OR(sel_Product="All",H1979=sel_Product)),1,0)</f>
        <v/>
      </c>
    </row>
    <row r="1980">
      <c r="A1980" s="36" t="inlineStr">
        <is>
          <t>00407</t>
        </is>
      </c>
      <c r="B1980" s="44" t="n">
        <v>46291</v>
      </c>
      <c r="C1980" s="36" t="inlineStr">
        <is>
          <t>Central Europe</t>
        </is>
      </c>
      <c r="D1980" s="36" t="inlineStr">
        <is>
          <t>Germany</t>
        </is>
      </c>
      <c r="E1980" s="36" t="inlineStr">
        <is>
          <t>Corporate</t>
        </is>
      </c>
      <c r="F1980" s="36" t="inlineStr">
        <is>
          <t>Returning</t>
        </is>
      </c>
      <c r="G1980" s="36" t="inlineStr">
        <is>
          <t>Fitness</t>
        </is>
      </c>
      <c r="H1980" s="36" t="inlineStr">
        <is>
          <t>Training Mat</t>
        </is>
      </c>
      <c r="I1980" s="36" t="n">
        <v>6</v>
      </c>
      <c r="J1980" s="39" t="n">
        <v>49.87</v>
      </c>
      <c r="K1980" s="45" t="n">
        <v>0.1</v>
      </c>
      <c r="L1980" s="39" t="n">
        <v>21.75</v>
      </c>
      <c r="M1980" s="39">
        <f>I1980*J1980*(1-K1980)</f>
        <v/>
      </c>
      <c r="N1980" s="39">
        <f>I1980*L1980</f>
        <v/>
      </c>
      <c r="O1980" s="39">
        <f>M1980-N1980</f>
        <v/>
      </c>
      <c r="P1980" s="38">
        <f>IF(M1980=0,0,O1980/M1980)</f>
        <v/>
      </c>
      <c r="Q1980" s="36">
        <f>YEAR(B1980)</f>
        <v/>
      </c>
      <c r="R1980" s="36">
        <f>"Q"&amp;ROUNDUP(MONTH(B1980)/3,0)</f>
        <v/>
      </c>
      <c r="S1980" s="36">
        <f>MONTH(B1980)</f>
        <v/>
      </c>
      <c r="T1980" s="36">
        <f>TEXT(B1980,"mmm")</f>
        <v/>
      </c>
      <c r="U1980" s="36">
        <f>IF(AND(OR(sel_Region="All",C1980=sel_Region),OR(sel_Country="All",D1980=sel_Country),OR(sel_Channel="All",E1980=sel_Channel),OR(sel_Customer="All",F1980=sel_Customer),OR(sel_Category="All",G1980=sel_Category),OR(sel_Product="All",H1980=sel_Product),AND(S1980&gt;=m_From,S1980&lt;=m_To)),1,0)</f>
        <v/>
      </c>
      <c r="V1980" s="36">
        <f>IF(AND(OR(sel_Region="All",C1980=sel_Region),OR(sel_Channel="All",E1980=sel_Channel),OR(sel_Customer="All",F1980=sel_Customer),OR(sel_Category="All",G1980=sel_Category),OR(sel_Product="All",H1980=sel_Product),AND(S1980&gt;=m_From,S1980&lt;=m_To)),1,0)</f>
        <v/>
      </c>
      <c r="W1980" s="36">
        <f>IF(AND(OR(sel_Region="All",C1980=sel_Region),OR(sel_Country="All",D1980=sel_Country),OR(sel_Customer="All",F1980=sel_Customer),OR(sel_Category="All",G1980=sel_Category),OR(sel_Product="All",H1980=sel_Product),AND(S1980&gt;=m_From,S1980&lt;=m_To)),1,0)</f>
        <v/>
      </c>
      <c r="X1980" s="36">
        <f>IF(AND(OR(sel_Region="All",C1980=sel_Region),OR(sel_Country="All",D1980=sel_Country),OR(sel_Channel="All",E1980=sel_Channel),OR(sel_Category="All",G1980=sel_Category),OR(sel_Product="All",H1980=sel_Product),AND(S1980&gt;=m_From,S1980&lt;=m_To)),1,0)</f>
        <v/>
      </c>
      <c r="Y1980" s="36">
        <f>IF(AND(OR(sel_Region="All",C1980=sel_Region),OR(sel_Country="All",D1980=sel_Country),OR(sel_Channel="All",E1980=sel_Channel),OR(sel_Customer="All",F1980=sel_Customer),OR(sel_Product="All",H1980=sel_Product),AND(S1980&gt;=m_From,S1980&lt;=m_To)),1,0)</f>
        <v/>
      </c>
      <c r="Z1980" s="36">
        <f>IF(AND(OR(sel_Region="All",C1980=sel_Region),OR(sel_Country="All",D1980=sel_Country),OR(sel_Channel="All",E1980=sel_Channel),OR(sel_Customer="All",F1980=sel_Customer),OR(sel_Category="All",G1980=sel_Category),AND(S1980&gt;=m_From,S1980&lt;=m_To)),1,0)</f>
        <v/>
      </c>
      <c r="AA1980" s="36">
        <f>IF(AND(OR(sel_Region="All",C1980=sel_Region),OR(sel_Country="All",D1980=sel_Country),OR(sel_Channel="All",E1980=sel_Channel),OR(sel_Customer="All",F1980=sel_Customer),OR(sel_Category="All",G1980=sel_Category),OR(sel_Product="All",H1980=sel_Product)),1,0)</f>
        <v/>
      </c>
    </row>
    <row r="1981">
      <c r="A1981" s="36" t="inlineStr">
        <is>
          <t>01395</t>
        </is>
      </c>
      <c r="B1981" s="44" t="n">
        <v>46291</v>
      </c>
      <c r="C1981" s="36" t="inlineStr">
        <is>
          <t>Northern Europe</t>
        </is>
      </c>
      <c r="D1981" s="36" t="inlineStr">
        <is>
          <t>Ireland</t>
        </is>
      </c>
      <c r="E1981" s="36" t="inlineStr">
        <is>
          <t>Online Store</t>
        </is>
      </c>
      <c r="F1981" s="36" t="inlineStr">
        <is>
          <t>New</t>
        </is>
      </c>
      <c r="G1981" s="36" t="inlineStr">
        <is>
          <t>Cycling</t>
        </is>
      </c>
      <c r="H1981" s="36" t="inlineStr">
        <is>
          <t>Compact Repair Kit</t>
        </is>
      </c>
      <c r="I1981" s="36" t="n">
        <v>2</v>
      </c>
      <c r="J1981" s="39" t="n">
        <v>39.81</v>
      </c>
      <c r="K1981" s="45" t="n">
        <v>0.05</v>
      </c>
      <c r="L1981" s="39" t="n">
        <v>16.87</v>
      </c>
      <c r="M1981" s="39">
        <f>I1981*J1981*(1-K1981)</f>
        <v/>
      </c>
      <c r="N1981" s="39">
        <f>I1981*L1981</f>
        <v/>
      </c>
      <c r="O1981" s="39">
        <f>M1981-N1981</f>
        <v/>
      </c>
      <c r="P1981" s="38">
        <f>IF(M1981=0,0,O1981/M1981)</f>
        <v/>
      </c>
      <c r="Q1981" s="36">
        <f>YEAR(B1981)</f>
        <v/>
      </c>
      <c r="R1981" s="36">
        <f>"Q"&amp;ROUNDUP(MONTH(B1981)/3,0)</f>
        <v/>
      </c>
      <c r="S1981" s="36">
        <f>MONTH(B1981)</f>
        <v/>
      </c>
      <c r="T1981" s="36">
        <f>TEXT(B1981,"mmm")</f>
        <v/>
      </c>
      <c r="U1981" s="36">
        <f>IF(AND(OR(sel_Region="All",C1981=sel_Region),OR(sel_Country="All",D1981=sel_Country),OR(sel_Channel="All",E1981=sel_Channel),OR(sel_Customer="All",F1981=sel_Customer),OR(sel_Category="All",G1981=sel_Category),OR(sel_Product="All",H1981=sel_Product),AND(S1981&gt;=m_From,S1981&lt;=m_To)),1,0)</f>
        <v/>
      </c>
      <c r="V1981" s="36">
        <f>IF(AND(OR(sel_Region="All",C1981=sel_Region),OR(sel_Channel="All",E1981=sel_Channel),OR(sel_Customer="All",F1981=sel_Customer),OR(sel_Category="All",G1981=sel_Category),OR(sel_Product="All",H1981=sel_Product),AND(S1981&gt;=m_From,S1981&lt;=m_To)),1,0)</f>
        <v/>
      </c>
      <c r="W1981" s="36">
        <f>IF(AND(OR(sel_Region="All",C1981=sel_Region),OR(sel_Country="All",D1981=sel_Country),OR(sel_Customer="All",F1981=sel_Customer),OR(sel_Category="All",G1981=sel_Category),OR(sel_Product="All",H1981=sel_Product),AND(S1981&gt;=m_From,S1981&lt;=m_To)),1,0)</f>
        <v/>
      </c>
      <c r="X1981" s="36">
        <f>IF(AND(OR(sel_Region="All",C1981=sel_Region),OR(sel_Country="All",D1981=sel_Country),OR(sel_Channel="All",E1981=sel_Channel),OR(sel_Category="All",G1981=sel_Category),OR(sel_Product="All",H1981=sel_Product),AND(S1981&gt;=m_From,S1981&lt;=m_To)),1,0)</f>
        <v/>
      </c>
      <c r="Y1981" s="36">
        <f>IF(AND(OR(sel_Region="All",C1981=sel_Region),OR(sel_Country="All",D1981=sel_Country),OR(sel_Channel="All",E1981=sel_Channel),OR(sel_Customer="All",F1981=sel_Customer),OR(sel_Product="All",H1981=sel_Product),AND(S1981&gt;=m_From,S1981&lt;=m_To)),1,0)</f>
        <v/>
      </c>
      <c r="Z1981" s="36">
        <f>IF(AND(OR(sel_Region="All",C1981=sel_Region),OR(sel_Country="All",D1981=sel_Country),OR(sel_Channel="All",E1981=sel_Channel),OR(sel_Customer="All",F1981=sel_Customer),OR(sel_Category="All",G1981=sel_Category),AND(S1981&gt;=m_From,S1981&lt;=m_To)),1,0)</f>
        <v/>
      </c>
      <c r="AA1981" s="36">
        <f>IF(AND(OR(sel_Region="All",C1981=sel_Region),OR(sel_Country="All",D1981=sel_Country),OR(sel_Channel="All",E1981=sel_Channel),OR(sel_Customer="All",F1981=sel_Customer),OR(sel_Category="All",G1981=sel_Category),OR(sel_Product="All",H1981=sel_Product)),1,0)</f>
        <v/>
      </c>
    </row>
    <row r="1982">
      <c r="A1982" s="36" t="inlineStr">
        <is>
          <t>02085</t>
        </is>
      </c>
      <c r="B1982" s="44" t="n">
        <v>46291</v>
      </c>
      <c r="C1982" s="36" t="inlineStr">
        <is>
          <t>Northern Europe</t>
        </is>
      </c>
      <c r="D1982" s="36" t="inlineStr">
        <is>
          <t>Sweden</t>
        </is>
      </c>
      <c r="E1982" s="36" t="inlineStr">
        <is>
          <t>Online Store</t>
        </is>
      </c>
      <c r="F1982" s="36" t="inlineStr">
        <is>
          <t>Returning</t>
        </is>
      </c>
      <c r="G1982" s="36" t="inlineStr">
        <is>
          <t>Camping</t>
        </is>
      </c>
      <c r="H1982" s="36" t="inlineStr">
        <is>
          <t>Trail Tent 2P</t>
        </is>
      </c>
      <c r="I1982" s="36" t="n">
        <v>3</v>
      </c>
      <c r="J1982" s="39" t="n">
        <v>191.46</v>
      </c>
      <c r="K1982" s="45" t="n">
        <v>0</v>
      </c>
      <c r="L1982" s="39" t="n">
        <v>104.06</v>
      </c>
      <c r="M1982" s="39">
        <f>I1982*J1982*(1-K1982)</f>
        <v/>
      </c>
      <c r="N1982" s="39">
        <f>I1982*L1982</f>
        <v/>
      </c>
      <c r="O1982" s="39">
        <f>M1982-N1982</f>
        <v/>
      </c>
      <c r="P1982" s="38">
        <f>IF(M1982=0,0,O1982/M1982)</f>
        <v/>
      </c>
      <c r="Q1982" s="36">
        <f>YEAR(B1982)</f>
        <v/>
      </c>
      <c r="R1982" s="36">
        <f>"Q"&amp;ROUNDUP(MONTH(B1982)/3,0)</f>
        <v/>
      </c>
      <c r="S1982" s="36">
        <f>MONTH(B1982)</f>
        <v/>
      </c>
      <c r="T1982" s="36">
        <f>TEXT(B1982,"mmm")</f>
        <v/>
      </c>
      <c r="U1982" s="36">
        <f>IF(AND(OR(sel_Region="All",C1982=sel_Region),OR(sel_Country="All",D1982=sel_Country),OR(sel_Channel="All",E1982=sel_Channel),OR(sel_Customer="All",F1982=sel_Customer),OR(sel_Category="All",G1982=sel_Category),OR(sel_Product="All",H1982=sel_Product),AND(S1982&gt;=m_From,S1982&lt;=m_To)),1,0)</f>
        <v/>
      </c>
      <c r="V1982" s="36">
        <f>IF(AND(OR(sel_Region="All",C1982=sel_Region),OR(sel_Channel="All",E1982=sel_Channel),OR(sel_Customer="All",F1982=sel_Customer),OR(sel_Category="All",G1982=sel_Category),OR(sel_Product="All",H1982=sel_Product),AND(S1982&gt;=m_From,S1982&lt;=m_To)),1,0)</f>
        <v/>
      </c>
      <c r="W1982" s="36">
        <f>IF(AND(OR(sel_Region="All",C1982=sel_Region),OR(sel_Country="All",D1982=sel_Country),OR(sel_Customer="All",F1982=sel_Customer),OR(sel_Category="All",G1982=sel_Category),OR(sel_Product="All",H1982=sel_Product),AND(S1982&gt;=m_From,S1982&lt;=m_To)),1,0)</f>
        <v/>
      </c>
      <c r="X1982" s="36">
        <f>IF(AND(OR(sel_Region="All",C1982=sel_Region),OR(sel_Country="All",D1982=sel_Country),OR(sel_Channel="All",E1982=sel_Channel),OR(sel_Category="All",G1982=sel_Category),OR(sel_Product="All",H1982=sel_Product),AND(S1982&gt;=m_From,S1982&lt;=m_To)),1,0)</f>
        <v/>
      </c>
      <c r="Y1982" s="36">
        <f>IF(AND(OR(sel_Region="All",C1982=sel_Region),OR(sel_Country="All",D1982=sel_Country),OR(sel_Channel="All",E1982=sel_Channel),OR(sel_Customer="All",F1982=sel_Customer),OR(sel_Product="All",H1982=sel_Product),AND(S1982&gt;=m_From,S1982&lt;=m_To)),1,0)</f>
        <v/>
      </c>
      <c r="Z1982" s="36">
        <f>IF(AND(OR(sel_Region="All",C1982=sel_Region),OR(sel_Country="All",D1982=sel_Country),OR(sel_Channel="All",E1982=sel_Channel),OR(sel_Customer="All",F1982=sel_Customer),OR(sel_Category="All",G1982=sel_Category),AND(S1982&gt;=m_From,S1982&lt;=m_To)),1,0)</f>
        <v/>
      </c>
      <c r="AA1982" s="36">
        <f>IF(AND(OR(sel_Region="All",C1982=sel_Region),OR(sel_Country="All",D1982=sel_Country),OR(sel_Channel="All",E1982=sel_Channel),OR(sel_Customer="All",F1982=sel_Customer),OR(sel_Category="All",G1982=sel_Category),OR(sel_Product="All",H1982=sel_Product)),1,0)</f>
        <v/>
      </c>
    </row>
    <row r="1983">
      <c r="A1983" s="36" t="inlineStr">
        <is>
          <t>03124</t>
        </is>
      </c>
      <c r="B1983" s="44" t="n">
        <v>46291</v>
      </c>
      <c r="C1983" s="36" t="inlineStr">
        <is>
          <t>Northern Europe</t>
        </is>
      </c>
      <c r="D1983" s="36" t="inlineStr">
        <is>
          <t>Denmark</t>
        </is>
      </c>
      <c r="E1983" s="36" t="inlineStr">
        <is>
          <t>Online Store</t>
        </is>
      </c>
      <c r="F1983" s="36" t="inlineStr">
        <is>
          <t>Returning</t>
        </is>
      </c>
      <c r="G1983" s="36" t="inlineStr">
        <is>
          <t>Travel</t>
        </is>
      </c>
      <c r="H1983" s="36" t="inlineStr">
        <is>
          <t>Packing Cube Set</t>
        </is>
      </c>
      <c r="I1983" s="36" t="n">
        <v>3</v>
      </c>
      <c r="J1983" s="39" t="n">
        <v>46.48</v>
      </c>
      <c r="K1983" s="45" t="n">
        <v>0.05</v>
      </c>
      <c r="L1983" s="39" t="n">
        <v>18.82</v>
      </c>
      <c r="M1983" s="39">
        <f>I1983*J1983*(1-K1983)</f>
        <v/>
      </c>
      <c r="N1983" s="39">
        <f>I1983*L1983</f>
        <v/>
      </c>
      <c r="O1983" s="39">
        <f>M1983-N1983</f>
        <v/>
      </c>
      <c r="P1983" s="38">
        <f>IF(M1983=0,0,O1983/M1983)</f>
        <v/>
      </c>
      <c r="Q1983" s="36">
        <f>YEAR(B1983)</f>
        <v/>
      </c>
      <c r="R1983" s="36">
        <f>"Q"&amp;ROUNDUP(MONTH(B1983)/3,0)</f>
        <v/>
      </c>
      <c r="S1983" s="36">
        <f>MONTH(B1983)</f>
        <v/>
      </c>
      <c r="T1983" s="36">
        <f>TEXT(B1983,"mmm")</f>
        <v/>
      </c>
      <c r="U1983" s="36">
        <f>IF(AND(OR(sel_Region="All",C1983=sel_Region),OR(sel_Country="All",D1983=sel_Country),OR(sel_Channel="All",E1983=sel_Channel),OR(sel_Customer="All",F1983=sel_Customer),OR(sel_Category="All",G1983=sel_Category),OR(sel_Product="All",H1983=sel_Product),AND(S1983&gt;=m_From,S1983&lt;=m_To)),1,0)</f>
        <v/>
      </c>
      <c r="V1983" s="36">
        <f>IF(AND(OR(sel_Region="All",C1983=sel_Region),OR(sel_Channel="All",E1983=sel_Channel),OR(sel_Customer="All",F1983=sel_Customer),OR(sel_Category="All",G1983=sel_Category),OR(sel_Product="All",H1983=sel_Product),AND(S1983&gt;=m_From,S1983&lt;=m_To)),1,0)</f>
        <v/>
      </c>
      <c r="W1983" s="36">
        <f>IF(AND(OR(sel_Region="All",C1983=sel_Region),OR(sel_Country="All",D1983=sel_Country),OR(sel_Customer="All",F1983=sel_Customer),OR(sel_Category="All",G1983=sel_Category),OR(sel_Product="All",H1983=sel_Product),AND(S1983&gt;=m_From,S1983&lt;=m_To)),1,0)</f>
        <v/>
      </c>
      <c r="X1983" s="36">
        <f>IF(AND(OR(sel_Region="All",C1983=sel_Region),OR(sel_Country="All",D1983=sel_Country),OR(sel_Channel="All",E1983=sel_Channel),OR(sel_Category="All",G1983=sel_Category),OR(sel_Product="All",H1983=sel_Product),AND(S1983&gt;=m_From,S1983&lt;=m_To)),1,0)</f>
        <v/>
      </c>
      <c r="Y1983" s="36">
        <f>IF(AND(OR(sel_Region="All",C1983=sel_Region),OR(sel_Country="All",D1983=sel_Country),OR(sel_Channel="All",E1983=sel_Channel),OR(sel_Customer="All",F1983=sel_Customer),OR(sel_Product="All",H1983=sel_Product),AND(S1983&gt;=m_From,S1983&lt;=m_To)),1,0)</f>
        <v/>
      </c>
      <c r="Z1983" s="36">
        <f>IF(AND(OR(sel_Region="All",C1983=sel_Region),OR(sel_Country="All",D1983=sel_Country),OR(sel_Channel="All",E1983=sel_Channel),OR(sel_Customer="All",F1983=sel_Customer),OR(sel_Category="All",G1983=sel_Category),AND(S1983&gt;=m_From,S1983&lt;=m_To)),1,0)</f>
        <v/>
      </c>
      <c r="AA1983" s="36">
        <f>IF(AND(OR(sel_Region="All",C1983=sel_Region),OR(sel_Country="All",D1983=sel_Country),OR(sel_Channel="All",E1983=sel_Channel),OR(sel_Customer="All",F1983=sel_Customer),OR(sel_Category="All",G1983=sel_Category),OR(sel_Product="All",H1983=sel_Product)),1,0)</f>
        <v/>
      </c>
    </row>
    <row r="1984">
      <c r="A1984" s="36" t="inlineStr">
        <is>
          <t>03216</t>
        </is>
      </c>
      <c r="B1984" s="44" t="n">
        <v>46291</v>
      </c>
      <c r="C1984" s="36" t="inlineStr">
        <is>
          <t>Central Europe</t>
        </is>
      </c>
      <c r="D1984" s="36" t="inlineStr">
        <is>
          <t>Germany</t>
        </is>
      </c>
      <c r="E1984" s="36" t="inlineStr">
        <is>
          <t>Retail Partners</t>
        </is>
      </c>
      <c r="F1984" s="36" t="inlineStr">
        <is>
          <t>Returning</t>
        </is>
      </c>
      <c r="G1984" s="36" t="inlineStr">
        <is>
          <t>Travel</t>
        </is>
      </c>
      <c r="H1984" s="36" t="inlineStr">
        <is>
          <t>Insulated Bottle</t>
        </is>
      </c>
      <c r="I1984" s="36" t="n">
        <v>2</v>
      </c>
      <c r="J1984" s="39" t="n">
        <v>35.44</v>
      </c>
      <c r="K1984" s="45" t="n">
        <v>0.1</v>
      </c>
      <c r="L1984" s="39" t="n">
        <v>13.2</v>
      </c>
      <c r="M1984" s="39">
        <f>I1984*J1984*(1-K1984)</f>
        <v/>
      </c>
      <c r="N1984" s="39">
        <f>I1984*L1984</f>
        <v/>
      </c>
      <c r="O1984" s="39">
        <f>M1984-N1984</f>
        <v/>
      </c>
      <c r="P1984" s="38">
        <f>IF(M1984=0,0,O1984/M1984)</f>
        <v/>
      </c>
      <c r="Q1984" s="36">
        <f>YEAR(B1984)</f>
        <v/>
      </c>
      <c r="R1984" s="36">
        <f>"Q"&amp;ROUNDUP(MONTH(B1984)/3,0)</f>
        <v/>
      </c>
      <c r="S1984" s="36">
        <f>MONTH(B1984)</f>
        <v/>
      </c>
      <c r="T1984" s="36">
        <f>TEXT(B1984,"mmm")</f>
        <v/>
      </c>
      <c r="U1984" s="36">
        <f>IF(AND(OR(sel_Region="All",C1984=sel_Region),OR(sel_Country="All",D1984=sel_Country),OR(sel_Channel="All",E1984=sel_Channel),OR(sel_Customer="All",F1984=sel_Customer),OR(sel_Category="All",G1984=sel_Category),OR(sel_Product="All",H1984=sel_Product),AND(S1984&gt;=m_From,S1984&lt;=m_To)),1,0)</f>
        <v/>
      </c>
      <c r="V1984" s="36">
        <f>IF(AND(OR(sel_Region="All",C1984=sel_Region),OR(sel_Channel="All",E1984=sel_Channel),OR(sel_Customer="All",F1984=sel_Customer),OR(sel_Category="All",G1984=sel_Category),OR(sel_Product="All",H1984=sel_Product),AND(S1984&gt;=m_From,S1984&lt;=m_To)),1,0)</f>
        <v/>
      </c>
      <c r="W1984" s="36">
        <f>IF(AND(OR(sel_Region="All",C1984=sel_Region),OR(sel_Country="All",D1984=sel_Country),OR(sel_Customer="All",F1984=sel_Customer),OR(sel_Category="All",G1984=sel_Category),OR(sel_Product="All",H1984=sel_Product),AND(S1984&gt;=m_From,S1984&lt;=m_To)),1,0)</f>
        <v/>
      </c>
      <c r="X1984" s="36">
        <f>IF(AND(OR(sel_Region="All",C1984=sel_Region),OR(sel_Country="All",D1984=sel_Country),OR(sel_Channel="All",E1984=sel_Channel),OR(sel_Category="All",G1984=sel_Category),OR(sel_Product="All",H1984=sel_Product),AND(S1984&gt;=m_From,S1984&lt;=m_To)),1,0)</f>
        <v/>
      </c>
      <c r="Y1984" s="36">
        <f>IF(AND(OR(sel_Region="All",C1984=sel_Region),OR(sel_Country="All",D1984=sel_Country),OR(sel_Channel="All",E1984=sel_Channel),OR(sel_Customer="All",F1984=sel_Customer),OR(sel_Product="All",H1984=sel_Product),AND(S1984&gt;=m_From,S1984&lt;=m_To)),1,0)</f>
        <v/>
      </c>
      <c r="Z1984" s="36">
        <f>IF(AND(OR(sel_Region="All",C1984=sel_Region),OR(sel_Country="All",D1984=sel_Country),OR(sel_Channel="All",E1984=sel_Channel),OR(sel_Customer="All",F1984=sel_Customer),OR(sel_Category="All",G1984=sel_Category),AND(S1984&gt;=m_From,S1984&lt;=m_To)),1,0)</f>
        <v/>
      </c>
      <c r="AA1984" s="36">
        <f>IF(AND(OR(sel_Region="All",C1984=sel_Region),OR(sel_Country="All",D1984=sel_Country),OR(sel_Channel="All",E1984=sel_Channel),OR(sel_Customer="All",F1984=sel_Customer),OR(sel_Category="All",G1984=sel_Category),OR(sel_Product="All",H1984=sel_Product)),1,0)</f>
        <v/>
      </c>
    </row>
    <row r="1985">
      <c r="A1985" s="36" t="inlineStr">
        <is>
          <t>03743</t>
        </is>
      </c>
      <c r="B1985" s="44" t="n">
        <v>46291</v>
      </c>
      <c r="C1985" s="36" t="inlineStr">
        <is>
          <t>Northern Europe</t>
        </is>
      </c>
      <c r="D1985" s="36" t="inlineStr">
        <is>
          <t>Sweden</t>
        </is>
      </c>
      <c r="E1985" s="36" t="inlineStr">
        <is>
          <t>Online Store</t>
        </is>
      </c>
      <c r="F1985" s="36" t="inlineStr">
        <is>
          <t>New</t>
        </is>
      </c>
      <c r="G1985" s="36" t="inlineStr">
        <is>
          <t>Fitness</t>
        </is>
      </c>
      <c r="H1985" s="36" t="inlineStr">
        <is>
          <t>Recovery Roller</t>
        </is>
      </c>
      <c r="I1985" s="36" t="n">
        <v>4</v>
      </c>
      <c r="J1985" s="39" t="n">
        <v>36.16</v>
      </c>
      <c r="K1985" s="45" t="n">
        <v>0.05</v>
      </c>
      <c r="L1985" s="39" t="n">
        <v>13.68</v>
      </c>
      <c r="M1985" s="39">
        <f>I1985*J1985*(1-K1985)</f>
        <v/>
      </c>
      <c r="N1985" s="39">
        <f>I1985*L1985</f>
        <v/>
      </c>
      <c r="O1985" s="39">
        <f>M1985-N1985</f>
        <v/>
      </c>
      <c r="P1985" s="38">
        <f>IF(M1985=0,0,O1985/M1985)</f>
        <v/>
      </c>
      <c r="Q1985" s="36">
        <f>YEAR(B1985)</f>
        <v/>
      </c>
      <c r="R1985" s="36">
        <f>"Q"&amp;ROUNDUP(MONTH(B1985)/3,0)</f>
        <v/>
      </c>
      <c r="S1985" s="36">
        <f>MONTH(B1985)</f>
        <v/>
      </c>
      <c r="T1985" s="36">
        <f>TEXT(B1985,"mmm")</f>
        <v/>
      </c>
      <c r="U1985" s="36">
        <f>IF(AND(OR(sel_Region="All",C1985=sel_Region),OR(sel_Country="All",D1985=sel_Country),OR(sel_Channel="All",E1985=sel_Channel),OR(sel_Customer="All",F1985=sel_Customer),OR(sel_Category="All",G1985=sel_Category),OR(sel_Product="All",H1985=sel_Product),AND(S1985&gt;=m_From,S1985&lt;=m_To)),1,0)</f>
        <v/>
      </c>
      <c r="V1985" s="36">
        <f>IF(AND(OR(sel_Region="All",C1985=sel_Region),OR(sel_Channel="All",E1985=sel_Channel),OR(sel_Customer="All",F1985=sel_Customer),OR(sel_Category="All",G1985=sel_Category),OR(sel_Product="All",H1985=sel_Product),AND(S1985&gt;=m_From,S1985&lt;=m_To)),1,0)</f>
        <v/>
      </c>
      <c r="W1985" s="36">
        <f>IF(AND(OR(sel_Region="All",C1985=sel_Region),OR(sel_Country="All",D1985=sel_Country),OR(sel_Customer="All",F1985=sel_Customer),OR(sel_Category="All",G1985=sel_Category),OR(sel_Product="All",H1985=sel_Product),AND(S1985&gt;=m_From,S1985&lt;=m_To)),1,0)</f>
        <v/>
      </c>
      <c r="X1985" s="36">
        <f>IF(AND(OR(sel_Region="All",C1985=sel_Region),OR(sel_Country="All",D1985=sel_Country),OR(sel_Channel="All",E1985=sel_Channel),OR(sel_Category="All",G1985=sel_Category),OR(sel_Product="All",H1985=sel_Product),AND(S1985&gt;=m_From,S1985&lt;=m_To)),1,0)</f>
        <v/>
      </c>
      <c r="Y1985" s="36">
        <f>IF(AND(OR(sel_Region="All",C1985=sel_Region),OR(sel_Country="All",D1985=sel_Country),OR(sel_Channel="All",E1985=sel_Channel),OR(sel_Customer="All",F1985=sel_Customer),OR(sel_Product="All",H1985=sel_Product),AND(S1985&gt;=m_From,S1985&lt;=m_To)),1,0)</f>
        <v/>
      </c>
      <c r="Z1985" s="36">
        <f>IF(AND(OR(sel_Region="All",C1985=sel_Region),OR(sel_Country="All",D1985=sel_Country),OR(sel_Channel="All",E1985=sel_Channel),OR(sel_Customer="All",F1985=sel_Customer),OR(sel_Category="All",G1985=sel_Category),AND(S1985&gt;=m_From,S1985&lt;=m_To)),1,0)</f>
        <v/>
      </c>
      <c r="AA1985" s="36">
        <f>IF(AND(OR(sel_Region="All",C1985=sel_Region),OR(sel_Country="All",D1985=sel_Country),OR(sel_Channel="All",E1985=sel_Channel),OR(sel_Customer="All",F1985=sel_Customer),OR(sel_Category="All",G1985=sel_Category),OR(sel_Product="All",H1985=sel_Product)),1,0)</f>
        <v/>
      </c>
    </row>
    <row r="1986">
      <c r="A1986" s="36" t="inlineStr">
        <is>
          <t>03788</t>
        </is>
      </c>
      <c r="B1986" s="44" t="n">
        <v>46291</v>
      </c>
      <c r="C1986" s="36" t="inlineStr">
        <is>
          <t>Western Europe</t>
        </is>
      </c>
      <c r="D1986" s="36" t="inlineStr">
        <is>
          <t>United Kingdom</t>
        </is>
      </c>
      <c r="E1986" s="36" t="inlineStr">
        <is>
          <t>Online Store</t>
        </is>
      </c>
      <c r="F1986" s="36" t="inlineStr">
        <is>
          <t>Returning</t>
        </is>
      </c>
      <c r="G1986" s="36" t="inlineStr">
        <is>
          <t>Fitness</t>
        </is>
      </c>
      <c r="H1986" s="36" t="inlineStr">
        <is>
          <t>Recovery Roller</t>
        </is>
      </c>
      <c r="I1986" s="36" t="n">
        <v>2</v>
      </c>
      <c r="J1986" s="39" t="n">
        <v>35.93</v>
      </c>
      <c r="K1986" s="45" t="n">
        <v>0</v>
      </c>
      <c r="L1986" s="39" t="n">
        <v>13.91</v>
      </c>
      <c r="M1986" s="39">
        <f>I1986*J1986*(1-K1986)</f>
        <v/>
      </c>
      <c r="N1986" s="39">
        <f>I1986*L1986</f>
        <v/>
      </c>
      <c r="O1986" s="39">
        <f>M1986-N1986</f>
        <v/>
      </c>
      <c r="P1986" s="38">
        <f>IF(M1986=0,0,O1986/M1986)</f>
        <v/>
      </c>
      <c r="Q1986" s="36">
        <f>YEAR(B1986)</f>
        <v/>
      </c>
      <c r="R1986" s="36">
        <f>"Q"&amp;ROUNDUP(MONTH(B1986)/3,0)</f>
        <v/>
      </c>
      <c r="S1986" s="36">
        <f>MONTH(B1986)</f>
        <v/>
      </c>
      <c r="T1986" s="36">
        <f>TEXT(B1986,"mmm")</f>
        <v/>
      </c>
      <c r="U1986" s="36">
        <f>IF(AND(OR(sel_Region="All",C1986=sel_Region),OR(sel_Country="All",D1986=sel_Country),OR(sel_Channel="All",E1986=sel_Channel),OR(sel_Customer="All",F1986=sel_Customer),OR(sel_Category="All",G1986=sel_Category),OR(sel_Product="All",H1986=sel_Product),AND(S1986&gt;=m_From,S1986&lt;=m_To)),1,0)</f>
        <v/>
      </c>
      <c r="V1986" s="36">
        <f>IF(AND(OR(sel_Region="All",C1986=sel_Region),OR(sel_Channel="All",E1986=sel_Channel),OR(sel_Customer="All",F1986=sel_Customer),OR(sel_Category="All",G1986=sel_Category),OR(sel_Product="All",H1986=sel_Product),AND(S1986&gt;=m_From,S1986&lt;=m_To)),1,0)</f>
        <v/>
      </c>
      <c r="W1986" s="36">
        <f>IF(AND(OR(sel_Region="All",C1986=sel_Region),OR(sel_Country="All",D1986=sel_Country),OR(sel_Customer="All",F1986=sel_Customer),OR(sel_Category="All",G1986=sel_Category),OR(sel_Product="All",H1986=sel_Product),AND(S1986&gt;=m_From,S1986&lt;=m_To)),1,0)</f>
        <v/>
      </c>
      <c r="X1986" s="36">
        <f>IF(AND(OR(sel_Region="All",C1986=sel_Region),OR(sel_Country="All",D1986=sel_Country),OR(sel_Channel="All",E1986=sel_Channel),OR(sel_Category="All",G1986=sel_Category),OR(sel_Product="All",H1986=sel_Product),AND(S1986&gt;=m_From,S1986&lt;=m_To)),1,0)</f>
        <v/>
      </c>
      <c r="Y1986" s="36">
        <f>IF(AND(OR(sel_Region="All",C1986=sel_Region),OR(sel_Country="All",D1986=sel_Country),OR(sel_Channel="All",E1986=sel_Channel),OR(sel_Customer="All",F1986=sel_Customer),OR(sel_Product="All",H1986=sel_Product),AND(S1986&gt;=m_From,S1986&lt;=m_To)),1,0)</f>
        <v/>
      </c>
      <c r="Z1986" s="36">
        <f>IF(AND(OR(sel_Region="All",C1986=sel_Region),OR(sel_Country="All",D1986=sel_Country),OR(sel_Channel="All",E1986=sel_Channel),OR(sel_Customer="All",F1986=sel_Customer),OR(sel_Category="All",G1986=sel_Category),AND(S1986&gt;=m_From,S1986&lt;=m_To)),1,0)</f>
        <v/>
      </c>
      <c r="AA1986" s="36">
        <f>IF(AND(OR(sel_Region="All",C1986=sel_Region),OR(sel_Country="All",D1986=sel_Country),OR(sel_Channel="All",E1986=sel_Channel),OR(sel_Customer="All",F1986=sel_Customer),OR(sel_Category="All",G1986=sel_Category),OR(sel_Product="All",H1986=sel_Product)),1,0)</f>
        <v/>
      </c>
    </row>
    <row r="1987">
      <c r="A1987" s="36" t="inlineStr">
        <is>
          <t>04883</t>
        </is>
      </c>
      <c r="B1987" s="44" t="n">
        <v>46291</v>
      </c>
      <c r="C1987" s="36" t="inlineStr">
        <is>
          <t>Western Europe</t>
        </is>
      </c>
      <c r="D1987" s="36" t="inlineStr">
        <is>
          <t>United Kingdom</t>
        </is>
      </c>
      <c r="E1987" s="36" t="inlineStr">
        <is>
          <t>Online Store</t>
        </is>
      </c>
      <c r="F1987" s="36" t="inlineStr">
        <is>
          <t>Business</t>
        </is>
      </c>
      <c r="G1987" s="36" t="inlineStr">
        <is>
          <t>Camping</t>
        </is>
      </c>
      <c r="H1987" s="36" t="inlineStr">
        <is>
          <t>Trail Tent 2P</t>
        </is>
      </c>
      <c r="I1987" s="36" t="n">
        <v>1</v>
      </c>
      <c r="J1987" s="39" t="n">
        <v>199.7</v>
      </c>
      <c r="K1987" s="45" t="n">
        <v>0</v>
      </c>
      <c r="L1987" s="39" t="n">
        <v>103.77</v>
      </c>
      <c r="M1987" s="39">
        <f>I1987*J1987*(1-K1987)</f>
        <v/>
      </c>
      <c r="N1987" s="39">
        <f>I1987*L1987</f>
        <v/>
      </c>
      <c r="O1987" s="39">
        <f>M1987-N1987</f>
        <v/>
      </c>
      <c r="P1987" s="38">
        <f>IF(M1987=0,0,O1987/M1987)</f>
        <v/>
      </c>
      <c r="Q1987" s="36">
        <f>YEAR(B1987)</f>
        <v/>
      </c>
      <c r="R1987" s="36">
        <f>"Q"&amp;ROUNDUP(MONTH(B1987)/3,0)</f>
        <v/>
      </c>
      <c r="S1987" s="36">
        <f>MONTH(B1987)</f>
        <v/>
      </c>
      <c r="T1987" s="36">
        <f>TEXT(B1987,"mmm")</f>
        <v/>
      </c>
      <c r="U1987" s="36">
        <f>IF(AND(OR(sel_Region="All",C1987=sel_Region),OR(sel_Country="All",D1987=sel_Country),OR(sel_Channel="All",E1987=sel_Channel),OR(sel_Customer="All",F1987=sel_Customer),OR(sel_Category="All",G1987=sel_Category),OR(sel_Product="All",H1987=sel_Product),AND(S1987&gt;=m_From,S1987&lt;=m_To)),1,0)</f>
        <v/>
      </c>
      <c r="V1987" s="36">
        <f>IF(AND(OR(sel_Region="All",C1987=sel_Region),OR(sel_Channel="All",E1987=sel_Channel),OR(sel_Customer="All",F1987=sel_Customer),OR(sel_Category="All",G1987=sel_Category),OR(sel_Product="All",H1987=sel_Product),AND(S1987&gt;=m_From,S1987&lt;=m_To)),1,0)</f>
        <v/>
      </c>
      <c r="W1987" s="36">
        <f>IF(AND(OR(sel_Region="All",C1987=sel_Region),OR(sel_Country="All",D1987=sel_Country),OR(sel_Customer="All",F1987=sel_Customer),OR(sel_Category="All",G1987=sel_Category),OR(sel_Product="All",H1987=sel_Product),AND(S1987&gt;=m_From,S1987&lt;=m_To)),1,0)</f>
        <v/>
      </c>
      <c r="X1987" s="36">
        <f>IF(AND(OR(sel_Region="All",C1987=sel_Region),OR(sel_Country="All",D1987=sel_Country),OR(sel_Channel="All",E1987=sel_Channel),OR(sel_Category="All",G1987=sel_Category),OR(sel_Product="All",H1987=sel_Product),AND(S1987&gt;=m_From,S1987&lt;=m_To)),1,0)</f>
        <v/>
      </c>
      <c r="Y1987" s="36">
        <f>IF(AND(OR(sel_Region="All",C1987=sel_Region),OR(sel_Country="All",D1987=sel_Country),OR(sel_Channel="All",E1987=sel_Channel),OR(sel_Customer="All",F1987=sel_Customer),OR(sel_Product="All",H1987=sel_Product),AND(S1987&gt;=m_From,S1987&lt;=m_To)),1,0)</f>
        <v/>
      </c>
      <c r="Z1987" s="36">
        <f>IF(AND(OR(sel_Region="All",C1987=sel_Region),OR(sel_Country="All",D1987=sel_Country),OR(sel_Channel="All",E1987=sel_Channel),OR(sel_Customer="All",F1987=sel_Customer),OR(sel_Category="All",G1987=sel_Category),AND(S1987&gt;=m_From,S1987&lt;=m_To)),1,0)</f>
        <v/>
      </c>
      <c r="AA1987" s="36">
        <f>IF(AND(OR(sel_Region="All",C1987=sel_Region),OR(sel_Country="All",D1987=sel_Country),OR(sel_Channel="All",E1987=sel_Channel),OR(sel_Customer="All",F1987=sel_Customer),OR(sel_Category="All",G1987=sel_Category),OR(sel_Product="All",H1987=sel_Product)),1,0)</f>
        <v/>
      </c>
    </row>
    <row r="1988">
      <c r="A1988" s="36" t="inlineStr">
        <is>
          <t>01577</t>
        </is>
      </c>
      <c r="B1988" s="44" t="n">
        <v>46292</v>
      </c>
      <c r="C1988" s="36" t="inlineStr">
        <is>
          <t>Western Europe</t>
        </is>
      </c>
      <c r="D1988" s="36" t="inlineStr">
        <is>
          <t>Belgium</t>
        </is>
      </c>
      <c r="E1988" s="36" t="inlineStr">
        <is>
          <t>Online Store</t>
        </is>
      </c>
      <c r="F1988" s="36" t="inlineStr">
        <is>
          <t>New</t>
        </is>
      </c>
      <c r="G1988" s="36" t="inlineStr">
        <is>
          <t>Hiking</t>
        </is>
      </c>
      <c r="H1988" s="36" t="inlineStr">
        <is>
          <t>Summit Backpack 45L</t>
        </is>
      </c>
      <c r="I1988" s="36" t="n">
        <v>4</v>
      </c>
      <c r="J1988" s="39" t="n">
        <v>154.28</v>
      </c>
      <c r="K1988" s="45" t="n">
        <v>0.05</v>
      </c>
      <c r="L1988" s="39" t="n">
        <v>78.18000000000001</v>
      </c>
      <c r="M1988" s="39">
        <f>I1988*J1988*(1-K1988)</f>
        <v/>
      </c>
      <c r="N1988" s="39">
        <f>I1988*L1988</f>
        <v/>
      </c>
      <c r="O1988" s="39">
        <f>M1988-N1988</f>
        <v/>
      </c>
      <c r="P1988" s="38">
        <f>IF(M1988=0,0,O1988/M1988)</f>
        <v/>
      </c>
      <c r="Q1988" s="36">
        <f>YEAR(B1988)</f>
        <v/>
      </c>
      <c r="R1988" s="36">
        <f>"Q"&amp;ROUNDUP(MONTH(B1988)/3,0)</f>
        <v/>
      </c>
      <c r="S1988" s="36">
        <f>MONTH(B1988)</f>
        <v/>
      </c>
      <c r="T1988" s="36">
        <f>TEXT(B1988,"mmm")</f>
        <v/>
      </c>
      <c r="U1988" s="36">
        <f>IF(AND(OR(sel_Region="All",C1988=sel_Region),OR(sel_Country="All",D1988=sel_Country),OR(sel_Channel="All",E1988=sel_Channel),OR(sel_Customer="All",F1988=sel_Customer),OR(sel_Category="All",G1988=sel_Category),OR(sel_Product="All",H1988=sel_Product),AND(S1988&gt;=m_From,S1988&lt;=m_To)),1,0)</f>
        <v/>
      </c>
      <c r="V1988" s="36">
        <f>IF(AND(OR(sel_Region="All",C1988=sel_Region),OR(sel_Channel="All",E1988=sel_Channel),OR(sel_Customer="All",F1988=sel_Customer),OR(sel_Category="All",G1988=sel_Category),OR(sel_Product="All",H1988=sel_Product),AND(S1988&gt;=m_From,S1988&lt;=m_To)),1,0)</f>
        <v/>
      </c>
      <c r="W1988" s="36">
        <f>IF(AND(OR(sel_Region="All",C1988=sel_Region),OR(sel_Country="All",D1988=sel_Country),OR(sel_Customer="All",F1988=sel_Customer),OR(sel_Category="All",G1988=sel_Category),OR(sel_Product="All",H1988=sel_Product),AND(S1988&gt;=m_From,S1988&lt;=m_To)),1,0)</f>
        <v/>
      </c>
      <c r="X1988" s="36">
        <f>IF(AND(OR(sel_Region="All",C1988=sel_Region),OR(sel_Country="All",D1988=sel_Country),OR(sel_Channel="All",E1988=sel_Channel),OR(sel_Category="All",G1988=sel_Category),OR(sel_Product="All",H1988=sel_Product),AND(S1988&gt;=m_From,S1988&lt;=m_To)),1,0)</f>
        <v/>
      </c>
      <c r="Y1988" s="36">
        <f>IF(AND(OR(sel_Region="All",C1988=sel_Region),OR(sel_Country="All",D1988=sel_Country),OR(sel_Channel="All",E1988=sel_Channel),OR(sel_Customer="All",F1988=sel_Customer),OR(sel_Product="All",H1988=sel_Product),AND(S1988&gt;=m_From,S1988&lt;=m_To)),1,0)</f>
        <v/>
      </c>
      <c r="Z1988" s="36">
        <f>IF(AND(OR(sel_Region="All",C1988=sel_Region),OR(sel_Country="All",D1988=sel_Country),OR(sel_Channel="All",E1988=sel_Channel),OR(sel_Customer="All",F1988=sel_Customer),OR(sel_Category="All",G1988=sel_Category),AND(S1988&gt;=m_From,S1988&lt;=m_To)),1,0)</f>
        <v/>
      </c>
      <c r="AA1988" s="36">
        <f>IF(AND(OR(sel_Region="All",C1988=sel_Region),OR(sel_Country="All",D1988=sel_Country),OR(sel_Channel="All",E1988=sel_Channel),OR(sel_Customer="All",F1988=sel_Customer),OR(sel_Category="All",G1988=sel_Category),OR(sel_Product="All",H1988=sel_Product)),1,0)</f>
        <v/>
      </c>
    </row>
    <row r="1989">
      <c r="A1989" s="36" t="inlineStr">
        <is>
          <t>02310</t>
        </is>
      </c>
      <c r="B1989" s="44" t="n">
        <v>46292</v>
      </c>
      <c r="C1989" s="36" t="inlineStr">
        <is>
          <t>Southern Europe</t>
        </is>
      </c>
      <c r="D1989" s="36" t="inlineStr">
        <is>
          <t>Italy</t>
        </is>
      </c>
      <c r="E1989" s="36" t="inlineStr">
        <is>
          <t>Online Store</t>
        </is>
      </c>
      <c r="F1989" s="36" t="inlineStr">
        <is>
          <t>Returning</t>
        </is>
      </c>
      <c r="G1989" s="36" t="inlineStr">
        <is>
          <t>Travel</t>
        </is>
      </c>
      <c r="H1989" s="36" t="inlineStr">
        <is>
          <t>Travel Backpack 35L</t>
        </is>
      </c>
      <c r="I1989" s="36" t="n">
        <v>1</v>
      </c>
      <c r="J1989" s="39" t="n">
        <v>165.44</v>
      </c>
      <c r="K1989" s="45" t="n">
        <v>0</v>
      </c>
      <c r="L1989" s="39" t="n">
        <v>88.25</v>
      </c>
      <c r="M1989" s="39">
        <f>I1989*J1989*(1-K1989)</f>
        <v/>
      </c>
      <c r="N1989" s="39">
        <f>I1989*L1989</f>
        <v/>
      </c>
      <c r="O1989" s="39">
        <f>M1989-N1989</f>
        <v/>
      </c>
      <c r="P1989" s="38">
        <f>IF(M1989=0,0,O1989/M1989)</f>
        <v/>
      </c>
      <c r="Q1989" s="36">
        <f>YEAR(B1989)</f>
        <v/>
      </c>
      <c r="R1989" s="36">
        <f>"Q"&amp;ROUNDUP(MONTH(B1989)/3,0)</f>
        <v/>
      </c>
      <c r="S1989" s="36">
        <f>MONTH(B1989)</f>
        <v/>
      </c>
      <c r="T1989" s="36">
        <f>TEXT(B1989,"mmm")</f>
        <v/>
      </c>
      <c r="U1989" s="36">
        <f>IF(AND(OR(sel_Region="All",C1989=sel_Region),OR(sel_Country="All",D1989=sel_Country),OR(sel_Channel="All",E1989=sel_Channel),OR(sel_Customer="All",F1989=sel_Customer),OR(sel_Category="All",G1989=sel_Category),OR(sel_Product="All",H1989=sel_Product),AND(S1989&gt;=m_From,S1989&lt;=m_To)),1,0)</f>
        <v/>
      </c>
      <c r="V1989" s="36">
        <f>IF(AND(OR(sel_Region="All",C1989=sel_Region),OR(sel_Channel="All",E1989=sel_Channel),OR(sel_Customer="All",F1989=sel_Customer),OR(sel_Category="All",G1989=sel_Category),OR(sel_Product="All",H1989=sel_Product),AND(S1989&gt;=m_From,S1989&lt;=m_To)),1,0)</f>
        <v/>
      </c>
      <c r="W1989" s="36">
        <f>IF(AND(OR(sel_Region="All",C1989=sel_Region),OR(sel_Country="All",D1989=sel_Country),OR(sel_Customer="All",F1989=sel_Customer),OR(sel_Category="All",G1989=sel_Category),OR(sel_Product="All",H1989=sel_Product),AND(S1989&gt;=m_From,S1989&lt;=m_To)),1,0)</f>
        <v/>
      </c>
      <c r="X1989" s="36">
        <f>IF(AND(OR(sel_Region="All",C1989=sel_Region),OR(sel_Country="All",D1989=sel_Country),OR(sel_Channel="All",E1989=sel_Channel),OR(sel_Category="All",G1989=sel_Category),OR(sel_Product="All",H1989=sel_Product),AND(S1989&gt;=m_From,S1989&lt;=m_To)),1,0)</f>
        <v/>
      </c>
      <c r="Y1989" s="36">
        <f>IF(AND(OR(sel_Region="All",C1989=sel_Region),OR(sel_Country="All",D1989=sel_Country),OR(sel_Channel="All",E1989=sel_Channel),OR(sel_Customer="All",F1989=sel_Customer),OR(sel_Product="All",H1989=sel_Product),AND(S1989&gt;=m_From,S1989&lt;=m_To)),1,0)</f>
        <v/>
      </c>
      <c r="Z1989" s="36">
        <f>IF(AND(OR(sel_Region="All",C1989=sel_Region),OR(sel_Country="All",D1989=sel_Country),OR(sel_Channel="All",E1989=sel_Channel),OR(sel_Customer="All",F1989=sel_Customer),OR(sel_Category="All",G1989=sel_Category),AND(S1989&gt;=m_From,S1989&lt;=m_To)),1,0)</f>
        <v/>
      </c>
      <c r="AA1989" s="36">
        <f>IF(AND(OR(sel_Region="All",C1989=sel_Region),OR(sel_Country="All",D1989=sel_Country),OR(sel_Channel="All",E1989=sel_Channel),OR(sel_Customer="All",F1989=sel_Customer),OR(sel_Category="All",G1989=sel_Category),OR(sel_Product="All",H1989=sel_Product)),1,0)</f>
        <v/>
      </c>
    </row>
    <row r="1990">
      <c r="A1990" s="36" t="inlineStr">
        <is>
          <t>02383</t>
        </is>
      </c>
      <c r="B1990" s="44" t="n">
        <v>46292</v>
      </c>
      <c r="C1990" s="36" t="inlineStr">
        <is>
          <t>Western Europe</t>
        </is>
      </c>
      <c r="D1990" s="36" t="inlineStr">
        <is>
          <t>Netherlands</t>
        </is>
      </c>
      <c r="E1990" s="36" t="inlineStr">
        <is>
          <t>Online Store</t>
        </is>
      </c>
      <c r="F1990" s="36" t="inlineStr">
        <is>
          <t>Returning</t>
        </is>
      </c>
      <c r="G1990" s="36" t="inlineStr">
        <is>
          <t>Travel</t>
        </is>
      </c>
      <c r="H1990" s="36" t="inlineStr">
        <is>
          <t>Carry-On Duffel</t>
        </is>
      </c>
      <c r="I1990" s="36" t="n">
        <v>2</v>
      </c>
      <c r="J1990" s="39" t="n">
        <v>130.29</v>
      </c>
      <c r="K1990" s="45" t="n">
        <v>0.1</v>
      </c>
      <c r="L1990" s="39" t="n">
        <v>67.97</v>
      </c>
      <c r="M1990" s="39">
        <f>I1990*J1990*(1-K1990)</f>
        <v/>
      </c>
      <c r="N1990" s="39">
        <f>I1990*L1990</f>
        <v/>
      </c>
      <c r="O1990" s="39">
        <f>M1990-N1990</f>
        <v/>
      </c>
      <c r="P1990" s="38">
        <f>IF(M1990=0,0,O1990/M1990)</f>
        <v/>
      </c>
      <c r="Q1990" s="36">
        <f>YEAR(B1990)</f>
        <v/>
      </c>
      <c r="R1990" s="36">
        <f>"Q"&amp;ROUNDUP(MONTH(B1990)/3,0)</f>
        <v/>
      </c>
      <c r="S1990" s="36">
        <f>MONTH(B1990)</f>
        <v/>
      </c>
      <c r="T1990" s="36">
        <f>TEXT(B1990,"mmm")</f>
        <v/>
      </c>
      <c r="U1990" s="36">
        <f>IF(AND(OR(sel_Region="All",C1990=sel_Region),OR(sel_Country="All",D1990=sel_Country),OR(sel_Channel="All",E1990=sel_Channel),OR(sel_Customer="All",F1990=sel_Customer),OR(sel_Category="All",G1990=sel_Category),OR(sel_Product="All",H1990=sel_Product),AND(S1990&gt;=m_From,S1990&lt;=m_To)),1,0)</f>
        <v/>
      </c>
      <c r="V1990" s="36">
        <f>IF(AND(OR(sel_Region="All",C1990=sel_Region),OR(sel_Channel="All",E1990=sel_Channel),OR(sel_Customer="All",F1990=sel_Customer),OR(sel_Category="All",G1990=sel_Category),OR(sel_Product="All",H1990=sel_Product),AND(S1990&gt;=m_From,S1990&lt;=m_To)),1,0)</f>
        <v/>
      </c>
      <c r="W1990" s="36">
        <f>IF(AND(OR(sel_Region="All",C1990=sel_Region),OR(sel_Country="All",D1990=sel_Country),OR(sel_Customer="All",F1990=sel_Customer),OR(sel_Category="All",G1990=sel_Category),OR(sel_Product="All",H1990=sel_Product),AND(S1990&gt;=m_From,S1990&lt;=m_To)),1,0)</f>
        <v/>
      </c>
      <c r="X1990" s="36">
        <f>IF(AND(OR(sel_Region="All",C1990=sel_Region),OR(sel_Country="All",D1990=sel_Country),OR(sel_Channel="All",E1990=sel_Channel),OR(sel_Category="All",G1990=sel_Category),OR(sel_Product="All",H1990=sel_Product),AND(S1990&gt;=m_From,S1990&lt;=m_To)),1,0)</f>
        <v/>
      </c>
      <c r="Y1990" s="36">
        <f>IF(AND(OR(sel_Region="All",C1990=sel_Region),OR(sel_Country="All",D1990=sel_Country),OR(sel_Channel="All",E1990=sel_Channel),OR(sel_Customer="All",F1990=sel_Customer),OR(sel_Product="All",H1990=sel_Product),AND(S1990&gt;=m_From,S1990&lt;=m_To)),1,0)</f>
        <v/>
      </c>
      <c r="Z1990" s="36">
        <f>IF(AND(OR(sel_Region="All",C1990=sel_Region),OR(sel_Country="All",D1990=sel_Country),OR(sel_Channel="All",E1990=sel_Channel),OR(sel_Customer="All",F1990=sel_Customer),OR(sel_Category="All",G1990=sel_Category),AND(S1990&gt;=m_From,S1990&lt;=m_To)),1,0)</f>
        <v/>
      </c>
      <c r="AA1990" s="36">
        <f>IF(AND(OR(sel_Region="All",C1990=sel_Region),OR(sel_Country="All",D1990=sel_Country),OR(sel_Channel="All",E1990=sel_Channel),OR(sel_Customer="All",F1990=sel_Customer),OR(sel_Category="All",G1990=sel_Category),OR(sel_Product="All",H1990=sel_Product)),1,0)</f>
        <v/>
      </c>
    </row>
    <row r="1991">
      <c r="A1991" s="36" t="inlineStr">
        <is>
          <t>02803</t>
        </is>
      </c>
      <c r="B1991" s="44" t="n">
        <v>46292</v>
      </c>
      <c r="C1991" s="36" t="inlineStr">
        <is>
          <t>Central Europe</t>
        </is>
      </c>
      <c r="D1991" s="36" t="inlineStr">
        <is>
          <t>Germany</t>
        </is>
      </c>
      <c r="E1991" s="36" t="inlineStr">
        <is>
          <t>Online Store</t>
        </is>
      </c>
      <c r="F1991" s="36" t="inlineStr">
        <is>
          <t>Returning</t>
        </is>
      </c>
      <c r="G1991" s="36" t="inlineStr">
        <is>
          <t>Fitness</t>
        </is>
      </c>
      <c r="H1991" s="36" t="inlineStr">
        <is>
          <t>Recovery Roller</t>
        </is>
      </c>
      <c r="I1991" s="36" t="n">
        <v>3</v>
      </c>
      <c r="J1991" s="39" t="n">
        <v>36.91</v>
      </c>
      <c r="K1991" s="45" t="n">
        <v>0.05</v>
      </c>
      <c r="L1991" s="39" t="n">
        <v>13.7</v>
      </c>
      <c r="M1991" s="39">
        <f>I1991*J1991*(1-K1991)</f>
        <v/>
      </c>
      <c r="N1991" s="39">
        <f>I1991*L1991</f>
        <v/>
      </c>
      <c r="O1991" s="39">
        <f>M1991-N1991</f>
        <v/>
      </c>
      <c r="P1991" s="38">
        <f>IF(M1991=0,0,O1991/M1991)</f>
        <v/>
      </c>
      <c r="Q1991" s="36">
        <f>YEAR(B1991)</f>
        <v/>
      </c>
      <c r="R1991" s="36">
        <f>"Q"&amp;ROUNDUP(MONTH(B1991)/3,0)</f>
        <v/>
      </c>
      <c r="S1991" s="36">
        <f>MONTH(B1991)</f>
        <v/>
      </c>
      <c r="T1991" s="36">
        <f>TEXT(B1991,"mmm")</f>
        <v/>
      </c>
      <c r="U1991" s="36">
        <f>IF(AND(OR(sel_Region="All",C1991=sel_Region),OR(sel_Country="All",D1991=sel_Country),OR(sel_Channel="All",E1991=sel_Channel),OR(sel_Customer="All",F1991=sel_Customer),OR(sel_Category="All",G1991=sel_Category),OR(sel_Product="All",H1991=sel_Product),AND(S1991&gt;=m_From,S1991&lt;=m_To)),1,0)</f>
        <v/>
      </c>
      <c r="V1991" s="36">
        <f>IF(AND(OR(sel_Region="All",C1991=sel_Region),OR(sel_Channel="All",E1991=sel_Channel),OR(sel_Customer="All",F1991=sel_Customer),OR(sel_Category="All",G1991=sel_Category),OR(sel_Product="All",H1991=sel_Product),AND(S1991&gt;=m_From,S1991&lt;=m_To)),1,0)</f>
        <v/>
      </c>
      <c r="W1991" s="36">
        <f>IF(AND(OR(sel_Region="All",C1991=sel_Region),OR(sel_Country="All",D1991=sel_Country),OR(sel_Customer="All",F1991=sel_Customer),OR(sel_Category="All",G1991=sel_Category),OR(sel_Product="All",H1991=sel_Product),AND(S1991&gt;=m_From,S1991&lt;=m_To)),1,0)</f>
        <v/>
      </c>
      <c r="X1991" s="36">
        <f>IF(AND(OR(sel_Region="All",C1991=sel_Region),OR(sel_Country="All",D1991=sel_Country),OR(sel_Channel="All",E1991=sel_Channel),OR(sel_Category="All",G1991=sel_Category),OR(sel_Product="All",H1991=sel_Product),AND(S1991&gt;=m_From,S1991&lt;=m_To)),1,0)</f>
        <v/>
      </c>
      <c r="Y1991" s="36">
        <f>IF(AND(OR(sel_Region="All",C1991=sel_Region),OR(sel_Country="All",D1991=sel_Country),OR(sel_Channel="All",E1991=sel_Channel),OR(sel_Customer="All",F1991=sel_Customer),OR(sel_Product="All",H1991=sel_Product),AND(S1991&gt;=m_From,S1991&lt;=m_To)),1,0)</f>
        <v/>
      </c>
      <c r="Z1991" s="36">
        <f>IF(AND(OR(sel_Region="All",C1991=sel_Region),OR(sel_Country="All",D1991=sel_Country),OR(sel_Channel="All",E1991=sel_Channel),OR(sel_Customer="All",F1991=sel_Customer),OR(sel_Category="All",G1991=sel_Category),AND(S1991&gt;=m_From,S1991&lt;=m_To)),1,0)</f>
        <v/>
      </c>
      <c r="AA1991" s="36">
        <f>IF(AND(OR(sel_Region="All",C1991=sel_Region),OR(sel_Country="All",D1991=sel_Country),OR(sel_Channel="All",E1991=sel_Channel),OR(sel_Customer="All",F1991=sel_Customer),OR(sel_Category="All",G1991=sel_Category),OR(sel_Product="All",H1991=sel_Product)),1,0)</f>
        <v/>
      </c>
    </row>
    <row r="1992">
      <c r="A1992" s="36" t="inlineStr">
        <is>
          <t>04199</t>
        </is>
      </c>
      <c r="B1992" s="44" t="n">
        <v>46292</v>
      </c>
      <c r="C1992" s="36" t="inlineStr">
        <is>
          <t>Northern Europe</t>
        </is>
      </c>
      <c r="D1992" s="36" t="inlineStr">
        <is>
          <t>Denmark</t>
        </is>
      </c>
      <c r="E1992" s="36" t="inlineStr">
        <is>
          <t>Marketplace</t>
        </is>
      </c>
      <c r="F1992" s="36" t="inlineStr">
        <is>
          <t>Business</t>
        </is>
      </c>
      <c r="G1992" s="36" t="inlineStr">
        <is>
          <t>Cycling</t>
        </is>
      </c>
      <c r="H1992" s="36" t="inlineStr">
        <is>
          <t>Trail Bike Light</t>
        </is>
      </c>
      <c r="I1992" s="36" t="n">
        <v>1</v>
      </c>
      <c r="J1992" s="39" t="n">
        <v>50.02</v>
      </c>
      <c r="K1992" s="45" t="n">
        <v>0</v>
      </c>
      <c r="L1992" s="39" t="n">
        <v>22.65</v>
      </c>
      <c r="M1992" s="39">
        <f>I1992*J1992*(1-K1992)</f>
        <v/>
      </c>
      <c r="N1992" s="39">
        <f>I1992*L1992</f>
        <v/>
      </c>
      <c r="O1992" s="39">
        <f>M1992-N1992</f>
        <v/>
      </c>
      <c r="P1992" s="38">
        <f>IF(M1992=0,0,O1992/M1992)</f>
        <v/>
      </c>
      <c r="Q1992" s="36">
        <f>YEAR(B1992)</f>
        <v/>
      </c>
      <c r="R1992" s="36">
        <f>"Q"&amp;ROUNDUP(MONTH(B1992)/3,0)</f>
        <v/>
      </c>
      <c r="S1992" s="36">
        <f>MONTH(B1992)</f>
        <v/>
      </c>
      <c r="T1992" s="36">
        <f>TEXT(B1992,"mmm")</f>
        <v/>
      </c>
      <c r="U1992" s="36">
        <f>IF(AND(OR(sel_Region="All",C1992=sel_Region),OR(sel_Country="All",D1992=sel_Country),OR(sel_Channel="All",E1992=sel_Channel),OR(sel_Customer="All",F1992=sel_Customer),OR(sel_Category="All",G1992=sel_Category),OR(sel_Product="All",H1992=sel_Product),AND(S1992&gt;=m_From,S1992&lt;=m_To)),1,0)</f>
        <v/>
      </c>
      <c r="V1992" s="36">
        <f>IF(AND(OR(sel_Region="All",C1992=sel_Region),OR(sel_Channel="All",E1992=sel_Channel),OR(sel_Customer="All",F1992=sel_Customer),OR(sel_Category="All",G1992=sel_Category),OR(sel_Product="All",H1992=sel_Product),AND(S1992&gt;=m_From,S1992&lt;=m_To)),1,0)</f>
        <v/>
      </c>
      <c r="W1992" s="36">
        <f>IF(AND(OR(sel_Region="All",C1992=sel_Region),OR(sel_Country="All",D1992=sel_Country),OR(sel_Customer="All",F1992=sel_Customer),OR(sel_Category="All",G1992=sel_Category),OR(sel_Product="All",H1992=sel_Product),AND(S1992&gt;=m_From,S1992&lt;=m_To)),1,0)</f>
        <v/>
      </c>
      <c r="X1992" s="36">
        <f>IF(AND(OR(sel_Region="All",C1992=sel_Region),OR(sel_Country="All",D1992=sel_Country),OR(sel_Channel="All",E1992=sel_Channel),OR(sel_Category="All",G1992=sel_Category),OR(sel_Product="All",H1992=sel_Product),AND(S1992&gt;=m_From,S1992&lt;=m_To)),1,0)</f>
        <v/>
      </c>
      <c r="Y1992" s="36">
        <f>IF(AND(OR(sel_Region="All",C1992=sel_Region),OR(sel_Country="All",D1992=sel_Country),OR(sel_Channel="All",E1992=sel_Channel),OR(sel_Customer="All",F1992=sel_Customer),OR(sel_Product="All",H1992=sel_Product),AND(S1992&gt;=m_From,S1992&lt;=m_To)),1,0)</f>
        <v/>
      </c>
      <c r="Z1992" s="36">
        <f>IF(AND(OR(sel_Region="All",C1992=sel_Region),OR(sel_Country="All",D1992=sel_Country),OR(sel_Channel="All",E1992=sel_Channel),OR(sel_Customer="All",F1992=sel_Customer),OR(sel_Category="All",G1992=sel_Category),AND(S1992&gt;=m_From,S1992&lt;=m_To)),1,0)</f>
        <v/>
      </c>
      <c r="AA1992" s="36">
        <f>IF(AND(OR(sel_Region="All",C1992=sel_Region),OR(sel_Country="All",D1992=sel_Country),OR(sel_Channel="All",E1992=sel_Channel),OR(sel_Customer="All",F1992=sel_Customer),OR(sel_Category="All",G1992=sel_Category),OR(sel_Product="All",H1992=sel_Product)),1,0)</f>
        <v/>
      </c>
    </row>
    <row r="1993">
      <c r="A1993" s="36" t="inlineStr">
        <is>
          <t>04517</t>
        </is>
      </c>
      <c r="B1993" s="44" t="n">
        <v>46292</v>
      </c>
      <c r="C1993" s="36" t="inlineStr">
        <is>
          <t>Central Europe</t>
        </is>
      </c>
      <c r="D1993" s="36" t="inlineStr">
        <is>
          <t>Germany</t>
        </is>
      </c>
      <c r="E1993" s="36" t="inlineStr">
        <is>
          <t>Online Store</t>
        </is>
      </c>
      <c r="F1993" s="36" t="inlineStr">
        <is>
          <t>Returning</t>
        </is>
      </c>
      <c r="G1993" s="36" t="inlineStr">
        <is>
          <t>Camping</t>
        </is>
      </c>
      <c r="H1993" s="36" t="inlineStr">
        <is>
          <t>Portable Camp Stove</t>
        </is>
      </c>
      <c r="I1993" s="36" t="n">
        <v>1</v>
      </c>
      <c r="J1993" s="39" t="n">
        <v>83.31999999999999</v>
      </c>
      <c r="K1993" s="45" t="n">
        <v>0.05</v>
      </c>
      <c r="L1993" s="39" t="n">
        <v>38.93</v>
      </c>
      <c r="M1993" s="39">
        <f>I1993*J1993*(1-K1993)</f>
        <v/>
      </c>
      <c r="N1993" s="39">
        <f>I1993*L1993</f>
        <v/>
      </c>
      <c r="O1993" s="39">
        <f>M1993-N1993</f>
        <v/>
      </c>
      <c r="P1993" s="38">
        <f>IF(M1993=0,0,O1993/M1993)</f>
        <v/>
      </c>
      <c r="Q1993" s="36">
        <f>YEAR(B1993)</f>
        <v/>
      </c>
      <c r="R1993" s="36">
        <f>"Q"&amp;ROUNDUP(MONTH(B1993)/3,0)</f>
        <v/>
      </c>
      <c r="S1993" s="36">
        <f>MONTH(B1993)</f>
        <v/>
      </c>
      <c r="T1993" s="36">
        <f>TEXT(B1993,"mmm")</f>
        <v/>
      </c>
      <c r="U1993" s="36">
        <f>IF(AND(OR(sel_Region="All",C1993=sel_Region),OR(sel_Country="All",D1993=sel_Country),OR(sel_Channel="All",E1993=sel_Channel),OR(sel_Customer="All",F1993=sel_Customer),OR(sel_Category="All",G1993=sel_Category),OR(sel_Product="All",H1993=sel_Product),AND(S1993&gt;=m_From,S1993&lt;=m_To)),1,0)</f>
        <v/>
      </c>
      <c r="V1993" s="36">
        <f>IF(AND(OR(sel_Region="All",C1993=sel_Region),OR(sel_Channel="All",E1993=sel_Channel),OR(sel_Customer="All",F1993=sel_Customer),OR(sel_Category="All",G1993=sel_Category),OR(sel_Product="All",H1993=sel_Product),AND(S1993&gt;=m_From,S1993&lt;=m_To)),1,0)</f>
        <v/>
      </c>
      <c r="W1993" s="36">
        <f>IF(AND(OR(sel_Region="All",C1993=sel_Region),OR(sel_Country="All",D1993=sel_Country),OR(sel_Customer="All",F1993=sel_Customer),OR(sel_Category="All",G1993=sel_Category),OR(sel_Product="All",H1993=sel_Product),AND(S1993&gt;=m_From,S1993&lt;=m_To)),1,0)</f>
        <v/>
      </c>
      <c r="X1993" s="36">
        <f>IF(AND(OR(sel_Region="All",C1993=sel_Region),OR(sel_Country="All",D1993=sel_Country),OR(sel_Channel="All",E1993=sel_Channel),OR(sel_Category="All",G1993=sel_Category),OR(sel_Product="All",H1993=sel_Product),AND(S1993&gt;=m_From,S1993&lt;=m_To)),1,0)</f>
        <v/>
      </c>
      <c r="Y1993" s="36">
        <f>IF(AND(OR(sel_Region="All",C1993=sel_Region),OR(sel_Country="All",D1993=sel_Country),OR(sel_Channel="All",E1993=sel_Channel),OR(sel_Customer="All",F1993=sel_Customer),OR(sel_Product="All",H1993=sel_Product),AND(S1993&gt;=m_From,S1993&lt;=m_To)),1,0)</f>
        <v/>
      </c>
      <c r="Z1993" s="36">
        <f>IF(AND(OR(sel_Region="All",C1993=sel_Region),OR(sel_Country="All",D1993=sel_Country),OR(sel_Channel="All",E1993=sel_Channel),OR(sel_Customer="All",F1993=sel_Customer),OR(sel_Category="All",G1993=sel_Category),AND(S1993&gt;=m_From,S1993&lt;=m_To)),1,0)</f>
        <v/>
      </c>
      <c r="AA1993" s="36">
        <f>IF(AND(OR(sel_Region="All",C1993=sel_Region),OR(sel_Country="All",D1993=sel_Country),OR(sel_Channel="All",E1993=sel_Channel),OR(sel_Customer="All",F1993=sel_Customer),OR(sel_Category="All",G1993=sel_Category),OR(sel_Product="All",H1993=sel_Product)),1,0)</f>
        <v/>
      </c>
    </row>
    <row r="1994">
      <c r="A1994" s="36" t="inlineStr">
        <is>
          <t>00080</t>
        </is>
      </c>
      <c r="B1994" s="44" t="n">
        <v>46293</v>
      </c>
      <c r="C1994" s="36" t="inlineStr">
        <is>
          <t>Southern Europe</t>
        </is>
      </c>
      <c r="D1994" s="36" t="inlineStr">
        <is>
          <t>Italy</t>
        </is>
      </c>
      <c r="E1994" s="36" t="inlineStr">
        <is>
          <t>Corporate</t>
        </is>
      </c>
      <c r="F1994" s="36" t="inlineStr">
        <is>
          <t>Business</t>
        </is>
      </c>
      <c r="G1994" s="36" t="inlineStr">
        <is>
          <t>Hiking</t>
        </is>
      </c>
      <c r="H1994" s="36" t="inlineStr">
        <is>
          <t>Trekking Poles</t>
        </is>
      </c>
      <c r="I1994" s="36" t="n">
        <v>10</v>
      </c>
      <c r="J1994" s="39" t="n">
        <v>71.04000000000001</v>
      </c>
      <c r="K1994" s="45" t="n">
        <v>0.2</v>
      </c>
      <c r="L1994" s="39" t="n">
        <v>31.7</v>
      </c>
      <c r="M1994" s="39">
        <f>I1994*J1994*(1-K1994)</f>
        <v/>
      </c>
      <c r="N1994" s="39">
        <f>I1994*L1994</f>
        <v/>
      </c>
      <c r="O1994" s="39">
        <f>M1994-N1994</f>
        <v/>
      </c>
      <c r="P1994" s="38">
        <f>IF(M1994=0,0,O1994/M1994)</f>
        <v/>
      </c>
      <c r="Q1994" s="36">
        <f>YEAR(B1994)</f>
        <v/>
      </c>
      <c r="R1994" s="36">
        <f>"Q"&amp;ROUNDUP(MONTH(B1994)/3,0)</f>
        <v/>
      </c>
      <c r="S1994" s="36">
        <f>MONTH(B1994)</f>
        <v/>
      </c>
      <c r="T1994" s="36">
        <f>TEXT(B1994,"mmm")</f>
        <v/>
      </c>
      <c r="U1994" s="36">
        <f>IF(AND(OR(sel_Region="All",C1994=sel_Region),OR(sel_Country="All",D1994=sel_Country),OR(sel_Channel="All",E1994=sel_Channel),OR(sel_Customer="All",F1994=sel_Customer),OR(sel_Category="All",G1994=sel_Category),OR(sel_Product="All",H1994=sel_Product),AND(S1994&gt;=m_From,S1994&lt;=m_To)),1,0)</f>
        <v/>
      </c>
      <c r="V1994" s="36">
        <f>IF(AND(OR(sel_Region="All",C1994=sel_Region),OR(sel_Channel="All",E1994=sel_Channel),OR(sel_Customer="All",F1994=sel_Customer),OR(sel_Category="All",G1994=sel_Category),OR(sel_Product="All",H1994=sel_Product),AND(S1994&gt;=m_From,S1994&lt;=m_To)),1,0)</f>
        <v/>
      </c>
      <c r="W1994" s="36">
        <f>IF(AND(OR(sel_Region="All",C1994=sel_Region),OR(sel_Country="All",D1994=sel_Country),OR(sel_Customer="All",F1994=sel_Customer),OR(sel_Category="All",G1994=sel_Category),OR(sel_Product="All",H1994=sel_Product),AND(S1994&gt;=m_From,S1994&lt;=m_To)),1,0)</f>
        <v/>
      </c>
      <c r="X1994" s="36">
        <f>IF(AND(OR(sel_Region="All",C1994=sel_Region),OR(sel_Country="All",D1994=sel_Country),OR(sel_Channel="All",E1994=sel_Channel),OR(sel_Category="All",G1994=sel_Category),OR(sel_Product="All",H1994=sel_Product),AND(S1994&gt;=m_From,S1994&lt;=m_To)),1,0)</f>
        <v/>
      </c>
      <c r="Y1994" s="36">
        <f>IF(AND(OR(sel_Region="All",C1994=sel_Region),OR(sel_Country="All",D1994=sel_Country),OR(sel_Channel="All",E1994=sel_Channel),OR(sel_Customer="All",F1994=sel_Customer),OR(sel_Product="All",H1994=sel_Product),AND(S1994&gt;=m_From,S1994&lt;=m_To)),1,0)</f>
        <v/>
      </c>
      <c r="Z1994" s="36">
        <f>IF(AND(OR(sel_Region="All",C1994=sel_Region),OR(sel_Country="All",D1994=sel_Country),OR(sel_Channel="All",E1994=sel_Channel),OR(sel_Customer="All",F1994=sel_Customer),OR(sel_Category="All",G1994=sel_Category),AND(S1994&gt;=m_From,S1994&lt;=m_To)),1,0)</f>
        <v/>
      </c>
      <c r="AA1994" s="36">
        <f>IF(AND(OR(sel_Region="All",C1994=sel_Region),OR(sel_Country="All",D1994=sel_Country),OR(sel_Channel="All",E1994=sel_Channel),OR(sel_Customer="All",F1994=sel_Customer),OR(sel_Category="All",G1994=sel_Category),OR(sel_Product="All",H1994=sel_Product)),1,0)</f>
        <v/>
      </c>
    </row>
    <row r="1995">
      <c r="A1995" s="36" t="inlineStr">
        <is>
          <t>00370</t>
        </is>
      </c>
      <c r="B1995" s="44" t="n">
        <v>46293</v>
      </c>
      <c r="C1995" s="36" t="inlineStr">
        <is>
          <t>Western Europe</t>
        </is>
      </c>
      <c r="D1995" s="36" t="inlineStr">
        <is>
          <t>Netherlands</t>
        </is>
      </c>
      <c r="E1995" s="36" t="inlineStr">
        <is>
          <t>Retail Partners</t>
        </is>
      </c>
      <c r="F1995" s="36" t="inlineStr">
        <is>
          <t>Returning</t>
        </is>
      </c>
      <c r="G1995" s="36" t="inlineStr">
        <is>
          <t>Cycling</t>
        </is>
      </c>
      <c r="H1995" s="36" t="inlineStr">
        <is>
          <t>Compact Repair Kit</t>
        </is>
      </c>
      <c r="I1995" s="36" t="n">
        <v>2</v>
      </c>
      <c r="J1995" s="39" t="n">
        <v>40.83</v>
      </c>
      <c r="K1995" s="45" t="n">
        <v>0</v>
      </c>
      <c r="L1995" s="39" t="n">
        <v>16.85</v>
      </c>
      <c r="M1995" s="39">
        <f>I1995*J1995*(1-K1995)</f>
        <v/>
      </c>
      <c r="N1995" s="39">
        <f>I1995*L1995</f>
        <v/>
      </c>
      <c r="O1995" s="39">
        <f>M1995-N1995</f>
        <v/>
      </c>
      <c r="P1995" s="38">
        <f>IF(M1995=0,0,O1995/M1995)</f>
        <v/>
      </c>
      <c r="Q1995" s="36">
        <f>YEAR(B1995)</f>
        <v/>
      </c>
      <c r="R1995" s="36">
        <f>"Q"&amp;ROUNDUP(MONTH(B1995)/3,0)</f>
        <v/>
      </c>
      <c r="S1995" s="36">
        <f>MONTH(B1995)</f>
        <v/>
      </c>
      <c r="T1995" s="36">
        <f>TEXT(B1995,"mmm")</f>
        <v/>
      </c>
      <c r="U1995" s="36">
        <f>IF(AND(OR(sel_Region="All",C1995=sel_Region),OR(sel_Country="All",D1995=sel_Country),OR(sel_Channel="All",E1995=sel_Channel),OR(sel_Customer="All",F1995=sel_Customer),OR(sel_Category="All",G1995=sel_Category),OR(sel_Product="All",H1995=sel_Product),AND(S1995&gt;=m_From,S1995&lt;=m_To)),1,0)</f>
        <v/>
      </c>
      <c r="V1995" s="36">
        <f>IF(AND(OR(sel_Region="All",C1995=sel_Region),OR(sel_Channel="All",E1995=sel_Channel),OR(sel_Customer="All",F1995=sel_Customer),OR(sel_Category="All",G1995=sel_Category),OR(sel_Product="All",H1995=sel_Product),AND(S1995&gt;=m_From,S1995&lt;=m_To)),1,0)</f>
        <v/>
      </c>
      <c r="W1995" s="36">
        <f>IF(AND(OR(sel_Region="All",C1995=sel_Region),OR(sel_Country="All",D1995=sel_Country),OR(sel_Customer="All",F1995=sel_Customer),OR(sel_Category="All",G1995=sel_Category),OR(sel_Product="All",H1995=sel_Product),AND(S1995&gt;=m_From,S1995&lt;=m_To)),1,0)</f>
        <v/>
      </c>
      <c r="X1995" s="36">
        <f>IF(AND(OR(sel_Region="All",C1995=sel_Region),OR(sel_Country="All",D1995=sel_Country),OR(sel_Channel="All",E1995=sel_Channel),OR(sel_Category="All",G1995=sel_Category),OR(sel_Product="All",H1995=sel_Product),AND(S1995&gt;=m_From,S1995&lt;=m_To)),1,0)</f>
        <v/>
      </c>
      <c r="Y1995" s="36">
        <f>IF(AND(OR(sel_Region="All",C1995=sel_Region),OR(sel_Country="All",D1995=sel_Country),OR(sel_Channel="All",E1995=sel_Channel),OR(sel_Customer="All",F1995=sel_Customer),OR(sel_Product="All",H1995=sel_Product),AND(S1995&gt;=m_From,S1995&lt;=m_To)),1,0)</f>
        <v/>
      </c>
      <c r="Z1995" s="36">
        <f>IF(AND(OR(sel_Region="All",C1995=sel_Region),OR(sel_Country="All",D1995=sel_Country),OR(sel_Channel="All",E1995=sel_Channel),OR(sel_Customer="All",F1995=sel_Customer),OR(sel_Category="All",G1995=sel_Category),AND(S1995&gt;=m_From,S1995&lt;=m_To)),1,0)</f>
        <v/>
      </c>
      <c r="AA1995" s="36">
        <f>IF(AND(OR(sel_Region="All",C1995=sel_Region),OR(sel_Country="All",D1995=sel_Country),OR(sel_Channel="All",E1995=sel_Channel),OR(sel_Customer="All",F1995=sel_Customer),OR(sel_Category="All",G1995=sel_Category),OR(sel_Product="All",H1995=sel_Product)),1,0)</f>
        <v/>
      </c>
    </row>
    <row r="1996">
      <c r="A1996" s="36" t="inlineStr">
        <is>
          <t>00417</t>
        </is>
      </c>
      <c r="B1996" s="44" t="n">
        <v>46293</v>
      </c>
      <c r="C1996" s="36" t="inlineStr">
        <is>
          <t>Central Europe</t>
        </is>
      </c>
      <c r="D1996" s="36" t="inlineStr">
        <is>
          <t>Poland</t>
        </is>
      </c>
      <c r="E1996" s="36" t="inlineStr">
        <is>
          <t>Marketplace</t>
        </is>
      </c>
      <c r="F1996" s="36" t="inlineStr">
        <is>
          <t>Returning</t>
        </is>
      </c>
      <c r="G1996" s="36" t="inlineStr">
        <is>
          <t>Camping</t>
        </is>
      </c>
      <c r="H1996" s="36" t="inlineStr">
        <is>
          <t>Compact Sleeping Bag</t>
        </is>
      </c>
      <c r="I1996" s="36" t="n">
        <v>1</v>
      </c>
      <c r="J1996" s="39" t="n">
        <v>121.64</v>
      </c>
      <c r="K1996" s="45" t="n">
        <v>0.15</v>
      </c>
      <c r="L1996" s="39" t="n">
        <v>61.56</v>
      </c>
      <c r="M1996" s="39">
        <f>I1996*J1996*(1-K1996)</f>
        <v/>
      </c>
      <c r="N1996" s="39">
        <f>I1996*L1996</f>
        <v/>
      </c>
      <c r="O1996" s="39">
        <f>M1996-N1996</f>
        <v/>
      </c>
      <c r="P1996" s="38">
        <f>IF(M1996=0,0,O1996/M1996)</f>
        <v/>
      </c>
      <c r="Q1996" s="36">
        <f>YEAR(B1996)</f>
        <v/>
      </c>
      <c r="R1996" s="36">
        <f>"Q"&amp;ROUNDUP(MONTH(B1996)/3,0)</f>
        <v/>
      </c>
      <c r="S1996" s="36">
        <f>MONTH(B1996)</f>
        <v/>
      </c>
      <c r="T1996" s="36">
        <f>TEXT(B1996,"mmm")</f>
        <v/>
      </c>
      <c r="U1996" s="36">
        <f>IF(AND(OR(sel_Region="All",C1996=sel_Region),OR(sel_Country="All",D1996=sel_Country),OR(sel_Channel="All",E1996=sel_Channel),OR(sel_Customer="All",F1996=sel_Customer),OR(sel_Category="All",G1996=sel_Category),OR(sel_Product="All",H1996=sel_Product),AND(S1996&gt;=m_From,S1996&lt;=m_To)),1,0)</f>
        <v/>
      </c>
      <c r="V1996" s="36">
        <f>IF(AND(OR(sel_Region="All",C1996=sel_Region),OR(sel_Channel="All",E1996=sel_Channel),OR(sel_Customer="All",F1996=sel_Customer),OR(sel_Category="All",G1996=sel_Category),OR(sel_Product="All",H1996=sel_Product),AND(S1996&gt;=m_From,S1996&lt;=m_To)),1,0)</f>
        <v/>
      </c>
      <c r="W1996" s="36">
        <f>IF(AND(OR(sel_Region="All",C1996=sel_Region),OR(sel_Country="All",D1996=sel_Country),OR(sel_Customer="All",F1996=sel_Customer),OR(sel_Category="All",G1996=sel_Category),OR(sel_Product="All",H1996=sel_Product),AND(S1996&gt;=m_From,S1996&lt;=m_To)),1,0)</f>
        <v/>
      </c>
      <c r="X1996" s="36">
        <f>IF(AND(OR(sel_Region="All",C1996=sel_Region),OR(sel_Country="All",D1996=sel_Country),OR(sel_Channel="All",E1996=sel_Channel),OR(sel_Category="All",G1996=sel_Category),OR(sel_Product="All",H1996=sel_Product),AND(S1996&gt;=m_From,S1996&lt;=m_To)),1,0)</f>
        <v/>
      </c>
      <c r="Y1996" s="36">
        <f>IF(AND(OR(sel_Region="All",C1996=sel_Region),OR(sel_Country="All",D1996=sel_Country),OR(sel_Channel="All",E1996=sel_Channel),OR(sel_Customer="All",F1996=sel_Customer),OR(sel_Product="All",H1996=sel_Product),AND(S1996&gt;=m_From,S1996&lt;=m_To)),1,0)</f>
        <v/>
      </c>
      <c r="Z1996" s="36">
        <f>IF(AND(OR(sel_Region="All",C1996=sel_Region),OR(sel_Country="All",D1996=sel_Country),OR(sel_Channel="All",E1996=sel_Channel),OR(sel_Customer="All",F1996=sel_Customer),OR(sel_Category="All",G1996=sel_Category),AND(S1996&gt;=m_From,S1996&lt;=m_To)),1,0)</f>
        <v/>
      </c>
      <c r="AA1996" s="36">
        <f>IF(AND(OR(sel_Region="All",C1996=sel_Region),OR(sel_Country="All",D1996=sel_Country),OR(sel_Channel="All",E1996=sel_Channel),OR(sel_Customer="All",F1996=sel_Customer),OR(sel_Category="All",G1996=sel_Category),OR(sel_Product="All",H1996=sel_Product)),1,0)</f>
        <v/>
      </c>
    </row>
    <row r="1997">
      <c r="A1997" s="36" t="inlineStr">
        <is>
          <t>00437</t>
        </is>
      </c>
      <c r="B1997" s="44" t="n">
        <v>46293</v>
      </c>
      <c r="C1997" s="36" t="inlineStr">
        <is>
          <t>Central Europe</t>
        </is>
      </c>
      <c r="D1997" s="36" t="inlineStr">
        <is>
          <t>Czechia</t>
        </is>
      </c>
      <c r="E1997" s="36" t="inlineStr">
        <is>
          <t>Retail Partners</t>
        </is>
      </c>
      <c r="F1997" s="36" t="inlineStr">
        <is>
          <t>New</t>
        </is>
      </c>
      <c r="G1997" s="36" t="inlineStr">
        <is>
          <t>Travel</t>
        </is>
      </c>
      <c r="H1997" s="36" t="inlineStr">
        <is>
          <t>Travel Backpack 35L</t>
        </is>
      </c>
      <c r="I1997" s="36" t="n">
        <v>1</v>
      </c>
      <c r="J1997" s="39" t="n">
        <v>164.7</v>
      </c>
      <c r="K1997" s="45" t="n">
        <v>0</v>
      </c>
      <c r="L1997" s="39" t="n">
        <v>86.02</v>
      </c>
      <c r="M1997" s="39">
        <f>I1997*J1997*(1-K1997)</f>
        <v/>
      </c>
      <c r="N1997" s="39">
        <f>I1997*L1997</f>
        <v/>
      </c>
      <c r="O1997" s="39">
        <f>M1997-N1997</f>
        <v/>
      </c>
      <c r="P1997" s="38">
        <f>IF(M1997=0,0,O1997/M1997)</f>
        <v/>
      </c>
      <c r="Q1997" s="36">
        <f>YEAR(B1997)</f>
        <v/>
      </c>
      <c r="R1997" s="36">
        <f>"Q"&amp;ROUNDUP(MONTH(B1997)/3,0)</f>
        <v/>
      </c>
      <c r="S1997" s="36">
        <f>MONTH(B1997)</f>
        <v/>
      </c>
      <c r="T1997" s="36">
        <f>TEXT(B1997,"mmm")</f>
        <v/>
      </c>
      <c r="U1997" s="36">
        <f>IF(AND(OR(sel_Region="All",C1997=sel_Region),OR(sel_Country="All",D1997=sel_Country),OR(sel_Channel="All",E1997=sel_Channel),OR(sel_Customer="All",F1997=sel_Customer),OR(sel_Category="All",G1997=sel_Category),OR(sel_Product="All",H1997=sel_Product),AND(S1997&gt;=m_From,S1997&lt;=m_To)),1,0)</f>
        <v/>
      </c>
      <c r="V1997" s="36">
        <f>IF(AND(OR(sel_Region="All",C1997=sel_Region),OR(sel_Channel="All",E1997=sel_Channel),OR(sel_Customer="All",F1997=sel_Customer),OR(sel_Category="All",G1997=sel_Category),OR(sel_Product="All",H1997=sel_Product),AND(S1997&gt;=m_From,S1997&lt;=m_To)),1,0)</f>
        <v/>
      </c>
      <c r="W1997" s="36">
        <f>IF(AND(OR(sel_Region="All",C1997=sel_Region),OR(sel_Country="All",D1997=sel_Country),OR(sel_Customer="All",F1997=sel_Customer),OR(sel_Category="All",G1997=sel_Category),OR(sel_Product="All",H1997=sel_Product),AND(S1997&gt;=m_From,S1997&lt;=m_To)),1,0)</f>
        <v/>
      </c>
      <c r="X1997" s="36">
        <f>IF(AND(OR(sel_Region="All",C1997=sel_Region),OR(sel_Country="All",D1997=sel_Country),OR(sel_Channel="All",E1997=sel_Channel),OR(sel_Category="All",G1997=sel_Category),OR(sel_Product="All",H1997=sel_Product),AND(S1997&gt;=m_From,S1997&lt;=m_To)),1,0)</f>
        <v/>
      </c>
      <c r="Y1997" s="36">
        <f>IF(AND(OR(sel_Region="All",C1997=sel_Region),OR(sel_Country="All",D1997=sel_Country),OR(sel_Channel="All",E1997=sel_Channel),OR(sel_Customer="All",F1997=sel_Customer),OR(sel_Product="All",H1997=sel_Product),AND(S1997&gt;=m_From,S1997&lt;=m_To)),1,0)</f>
        <v/>
      </c>
      <c r="Z1997" s="36">
        <f>IF(AND(OR(sel_Region="All",C1997=sel_Region),OR(sel_Country="All",D1997=sel_Country),OR(sel_Channel="All",E1997=sel_Channel),OR(sel_Customer="All",F1997=sel_Customer),OR(sel_Category="All",G1997=sel_Category),AND(S1997&gt;=m_From,S1997&lt;=m_To)),1,0)</f>
        <v/>
      </c>
      <c r="AA1997" s="36">
        <f>IF(AND(OR(sel_Region="All",C1997=sel_Region),OR(sel_Country="All",D1997=sel_Country),OR(sel_Channel="All",E1997=sel_Channel),OR(sel_Customer="All",F1997=sel_Customer),OR(sel_Category="All",G1997=sel_Category),OR(sel_Product="All",H1997=sel_Product)),1,0)</f>
        <v/>
      </c>
    </row>
    <row r="1998">
      <c r="A1998" s="36" t="inlineStr">
        <is>
          <t>00790</t>
        </is>
      </c>
      <c r="B1998" s="44" t="n">
        <v>46293</v>
      </c>
      <c r="C1998" s="36" t="inlineStr">
        <is>
          <t>Western Europe</t>
        </is>
      </c>
      <c r="D1998" s="36" t="inlineStr">
        <is>
          <t>Netherlands</t>
        </is>
      </c>
      <c r="E1998" s="36" t="inlineStr">
        <is>
          <t>Marketplace</t>
        </is>
      </c>
      <c r="F1998" s="36" t="inlineStr">
        <is>
          <t>New</t>
        </is>
      </c>
      <c r="G1998" s="36" t="inlineStr">
        <is>
          <t>Camping</t>
        </is>
      </c>
      <c r="H1998" s="36" t="inlineStr">
        <is>
          <t>Trail Tent 2P</t>
        </is>
      </c>
      <c r="I1998" s="36" t="n">
        <v>1</v>
      </c>
      <c r="J1998" s="39" t="n">
        <v>199.09</v>
      </c>
      <c r="K1998" s="45" t="n">
        <v>0.05</v>
      </c>
      <c r="L1998" s="39" t="n">
        <v>106.57</v>
      </c>
      <c r="M1998" s="39">
        <f>I1998*J1998*(1-K1998)</f>
        <v/>
      </c>
      <c r="N1998" s="39">
        <f>I1998*L1998</f>
        <v/>
      </c>
      <c r="O1998" s="39">
        <f>M1998-N1998</f>
        <v/>
      </c>
      <c r="P1998" s="38">
        <f>IF(M1998=0,0,O1998/M1998)</f>
        <v/>
      </c>
      <c r="Q1998" s="36">
        <f>YEAR(B1998)</f>
        <v/>
      </c>
      <c r="R1998" s="36">
        <f>"Q"&amp;ROUNDUP(MONTH(B1998)/3,0)</f>
        <v/>
      </c>
      <c r="S1998" s="36">
        <f>MONTH(B1998)</f>
        <v/>
      </c>
      <c r="T1998" s="36">
        <f>TEXT(B1998,"mmm")</f>
        <v/>
      </c>
      <c r="U1998" s="36">
        <f>IF(AND(OR(sel_Region="All",C1998=sel_Region),OR(sel_Country="All",D1998=sel_Country),OR(sel_Channel="All",E1998=sel_Channel),OR(sel_Customer="All",F1998=sel_Customer),OR(sel_Category="All",G1998=sel_Category),OR(sel_Product="All",H1998=sel_Product),AND(S1998&gt;=m_From,S1998&lt;=m_To)),1,0)</f>
        <v/>
      </c>
      <c r="V1998" s="36">
        <f>IF(AND(OR(sel_Region="All",C1998=sel_Region),OR(sel_Channel="All",E1998=sel_Channel),OR(sel_Customer="All",F1998=sel_Customer),OR(sel_Category="All",G1998=sel_Category),OR(sel_Product="All",H1998=sel_Product),AND(S1998&gt;=m_From,S1998&lt;=m_To)),1,0)</f>
        <v/>
      </c>
      <c r="W1998" s="36">
        <f>IF(AND(OR(sel_Region="All",C1998=sel_Region),OR(sel_Country="All",D1998=sel_Country),OR(sel_Customer="All",F1998=sel_Customer),OR(sel_Category="All",G1998=sel_Category),OR(sel_Product="All",H1998=sel_Product),AND(S1998&gt;=m_From,S1998&lt;=m_To)),1,0)</f>
        <v/>
      </c>
      <c r="X1998" s="36">
        <f>IF(AND(OR(sel_Region="All",C1998=sel_Region),OR(sel_Country="All",D1998=sel_Country),OR(sel_Channel="All",E1998=sel_Channel),OR(sel_Category="All",G1998=sel_Category),OR(sel_Product="All",H1998=sel_Product),AND(S1998&gt;=m_From,S1998&lt;=m_To)),1,0)</f>
        <v/>
      </c>
      <c r="Y1998" s="36">
        <f>IF(AND(OR(sel_Region="All",C1998=sel_Region),OR(sel_Country="All",D1998=sel_Country),OR(sel_Channel="All",E1998=sel_Channel),OR(sel_Customer="All",F1998=sel_Customer),OR(sel_Product="All",H1998=sel_Product),AND(S1998&gt;=m_From,S1998&lt;=m_To)),1,0)</f>
        <v/>
      </c>
      <c r="Z1998" s="36">
        <f>IF(AND(OR(sel_Region="All",C1998=sel_Region),OR(sel_Country="All",D1998=sel_Country),OR(sel_Channel="All",E1998=sel_Channel),OR(sel_Customer="All",F1998=sel_Customer),OR(sel_Category="All",G1998=sel_Category),AND(S1998&gt;=m_From,S1998&lt;=m_To)),1,0)</f>
        <v/>
      </c>
      <c r="AA1998" s="36">
        <f>IF(AND(OR(sel_Region="All",C1998=sel_Region),OR(sel_Country="All",D1998=sel_Country),OR(sel_Channel="All",E1998=sel_Channel),OR(sel_Customer="All",F1998=sel_Customer),OR(sel_Category="All",G1998=sel_Category),OR(sel_Product="All",H1998=sel_Product)),1,0)</f>
        <v/>
      </c>
    </row>
    <row r="1999">
      <c r="A1999" s="36" t="inlineStr">
        <is>
          <t>01151</t>
        </is>
      </c>
      <c r="B1999" s="44" t="n">
        <v>46293</v>
      </c>
      <c r="C1999" s="36" t="inlineStr">
        <is>
          <t>Southern Europe</t>
        </is>
      </c>
      <c r="D1999" s="36" t="inlineStr">
        <is>
          <t>Spain</t>
        </is>
      </c>
      <c r="E1999" s="36" t="inlineStr">
        <is>
          <t>Marketplace</t>
        </is>
      </c>
      <c r="F1999" s="36" t="inlineStr">
        <is>
          <t>Returning</t>
        </is>
      </c>
      <c r="G1999" s="36" t="inlineStr">
        <is>
          <t>Cycling</t>
        </is>
      </c>
      <c r="H1999" s="36" t="inlineStr">
        <is>
          <t>Commuter Helmet</t>
        </is>
      </c>
      <c r="I1999" s="36" t="n">
        <v>1</v>
      </c>
      <c r="J1999" s="39" t="n">
        <v>81.48</v>
      </c>
      <c r="K1999" s="45" t="n">
        <v>0</v>
      </c>
      <c r="L1999" s="39" t="n">
        <v>41.47</v>
      </c>
      <c r="M1999" s="39">
        <f>I1999*J1999*(1-K1999)</f>
        <v/>
      </c>
      <c r="N1999" s="39">
        <f>I1999*L1999</f>
        <v/>
      </c>
      <c r="O1999" s="39">
        <f>M1999-N1999</f>
        <v/>
      </c>
      <c r="P1999" s="38">
        <f>IF(M1999=0,0,O1999/M1999)</f>
        <v/>
      </c>
      <c r="Q1999" s="36">
        <f>YEAR(B1999)</f>
        <v/>
      </c>
      <c r="R1999" s="36">
        <f>"Q"&amp;ROUNDUP(MONTH(B1999)/3,0)</f>
        <v/>
      </c>
      <c r="S1999" s="36">
        <f>MONTH(B1999)</f>
        <v/>
      </c>
      <c r="T1999" s="36">
        <f>TEXT(B1999,"mmm")</f>
        <v/>
      </c>
      <c r="U1999" s="36">
        <f>IF(AND(OR(sel_Region="All",C1999=sel_Region),OR(sel_Country="All",D1999=sel_Country),OR(sel_Channel="All",E1999=sel_Channel),OR(sel_Customer="All",F1999=sel_Customer),OR(sel_Category="All",G1999=sel_Category),OR(sel_Product="All",H1999=sel_Product),AND(S1999&gt;=m_From,S1999&lt;=m_To)),1,0)</f>
        <v/>
      </c>
      <c r="V1999" s="36">
        <f>IF(AND(OR(sel_Region="All",C1999=sel_Region),OR(sel_Channel="All",E1999=sel_Channel),OR(sel_Customer="All",F1999=sel_Customer),OR(sel_Category="All",G1999=sel_Category),OR(sel_Product="All",H1999=sel_Product),AND(S1999&gt;=m_From,S1999&lt;=m_To)),1,0)</f>
        <v/>
      </c>
      <c r="W1999" s="36">
        <f>IF(AND(OR(sel_Region="All",C1999=sel_Region),OR(sel_Country="All",D1999=sel_Country),OR(sel_Customer="All",F1999=sel_Customer),OR(sel_Category="All",G1999=sel_Category),OR(sel_Product="All",H1999=sel_Product),AND(S1999&gt;=m_From,S1999&lt;=m_To)),1,0)</f>
        <v/>
      </c>
      <c r="X1999" s="36">
        <f>IF(AND(OR(sel_Region="All",C1999=sel_Region),OR(sel_Country="All",D1999=sel_Country),OR(sel_Channel="All",E1999=sel_Channel),OR(sel_Category="All",G1999=sel_Category),OR(sel_Product="All",H1999=sel_Product),AND(S1999&gt;=m_From,S1999&lt;=m_To)),1,0)</f>
        <v/>
      </c>
      <c r="Y1999" s="36">
        <f>IF(AND(OR(sel_Region="All",C1999=sel_Region),OR(sel_Country="All",D1999=sel_Country),OR(sel_Channel="All",E1999=sel_Channel),OR(sel_Customer="All",F1999=sel_Customer),OR(sel_Product="All",H1999=sel_Product),AND(S1999&gt;=m_From,S1999&lt;=m_To)),1,0)</f>
        <v/>
      </c>
      <c r="Z1999" s="36">
        <f>IF(AND(OR(sel_Region="All",C1999=sel_Region),OR(sel_Country="All",D1999=sel_Country),OR(sel_Channel="All",E1999=sel_Channel),OR(sel_Customer="All",F1999=sel_Customer),OR(sel_Category="All",G1999=sel_Category),AND(S1999&gt;=m_From,S1999&lt;=m_To)),1,0)</f>
        <v/>
      </c>
      <c r="AA1999" s="36">
        <f>IF(AND(OR(sel_Region="All",C1999=sel_Region),OR(sel_Country="All",D1999=sel_Country),OR(sel_Channel="All",E1999=sel_Channel),OR(sel_Customer="All",F1999=sel_Customer),OR(sel_Category="All",G1999=sel_Category),OR(sel_Product="All",H1999=sel_Product)),1,0)</f>
        <v/>
      </c>
    </row>
    <row r="2000">
      <c r="A2000" s="36" t="inlineStr">
        <is>
          <t>01331</t>
        </is>
      </c>
      <c r="B2000" s="44" t="n">
        <v>46293</v>
      </c>
      <c r="C2000" s="36" t="inlineStr">
        <is>
          <t>Southern Europe</t>
        </is>
      </c>
      <c r="D2000" s="36" t="inlineStr">
        <is>
          <t>Spain</t>
        </is>
      </c>
      <c r="E2000" s="36" t="inlineStr">
        <is>
          <t>Online Store</t>
        </is>
      </c>
      <c r="F2000" s="36" t="inlineStr">
        <is>
          <t>New</t>
        </is>
      </c>
      <c r="G2000" s="36" t="inlineStr">
        <is>
          <t>Fitness</t>
        </is>
      </c>
      <c r="H2000" s="36" t="inlineStr">
        <is>
          <t>Resistance Band Set</t>
        </is>
      </c>
      <c r="I2000" s="36" t="n">
        <v>3</v>
      </c>
      <c r="J2000" s="39" t="n">
        <v>39.45</v>
      </c>
      <c r="K2000" s="45" t="n">
        <v>0.05</v>
      </c>
      <c r="L2000" s="39" t="n">
        <v>15.1</v>
      </c>
      <c r="M2000" s="39">
        <f>I2000*J2000*(1-K2000)</f>
        <v/>
      </c>
      <c r="N2000" s="39">
        <f>I2000*L2000</f>
        <v/>
      </c>
      <c r="O2000" s="39">
        <f>M2000-N2000</f>
        <v/>
      </c>
      <c r="P2000" s="38">
        <f>IF(M2000=0,0,O2000/M2000)</f>
        <v/>
      </c>
      <c r="Q2000" s="36">
        <f>YEAR(B2000)</f>
        <v/>
      </c>
      <c r="R2000" s="36">
        <f>"Q"&amp;ROUNDUP(MONTH(B2000)/3,0)</f>
        <v/>
      </c>
      <c r="S2000" s="36">
        <f>MONTH(B2000)</f>
        <v/>
      </c>
      <c r="T2000" s="36">
        <f>TEXT(B2000,"mmm")</f>
        <v/>
      </c>
      <c r="U2000" s="36">
        <f>IF(AND(OR(sel_Region="All",C2000=sel_Region),OR(sel_Country="All",D2000=sel_Country),OR(sel_Channel="All",E2000=sel_Channel),OR(sel_Customer="All",F2000=sel_Customer),OR(sel_Category="All",G2000=sel_Category),OR(sel_Product="All",H2000=sel_Product),AND(S2000&gt;=m_From,S2000&lt;=m_To)),1,0)</f>
        <v/>
      </c>
      <c r="V2000" s="36">
        <f>IF(AND(OR(sel_Region="All",C2000=sel_Region),OR(sel_Channel="All",E2000=sel_Channel),OR(sel_Customer="All",F2000=sel_Customer),OR(sel_Category="All",G2000=sel_Category),OR(sel_Product="All",H2000=sel_Product),AND(S2000&gt;=m_From,S2000&lt;=m_To)),1,0)</f>
        <v/>
      </c>
      <c r="W2000" s="36">
        <f>IF(AND(OR(sel_Region="All",C2000=sel_Region),OR(sel_Country="All",D2000=sel_Country),OR(sel_Customer="All",F2000=sel_Customer),OR(sel_Category="All",G2000=sel_Category),OR(sel_Product="All",H2000=sel_Product),AND(S2000&gt;=m_From,S2000&lt;=m_To)),1,0)</f>
        <v/>
      </c>
      <c r="X2000" s="36">
        <f>IF(AND(OR(sel_Region="All",C2000=sel_Region),OR(sel_Country="All",D2000=sel_Country),OR(sel_Channel="All",E2000=sel_Channel),OR(sel_Category="All",G2000=sel_Category),OR(sel_Product="All",H2000=sel_Product),AND(S2000&gt;=m_From,S2000&lt;=m_To)),1,0)</f>
        <v/>
      </c>
      <c r="Y2000" s="36">
        <f>IF(AND(OR(sel_Region="All",C2000=sel_Region),OR(sel_Country="All",D2000=sel_Country),OR(sel_Channel="All",E2000=sel_Channel),OR(sel_Customer="All",F2000=sel_Customer),OR(sel_Product="All",H2000=sel_Product),AND(S2000&gt;=m_From,S2000&lt;=m_To)),1,0)</f>
        <v/>
      </c>
      <c r="Z2000" s="36">
        <f>IF(AND(OR(sel_Region="All",C2000=sel_Region),OR(sel_Country="All",D2000=sel_Country),OR(sel_Channel="All",E2000=sel_Channel),OR(sel_Customer="All",F2000=sel_Customer),OR(sel_Category="All",G2000=sel_Category),AND(S2000&gt;=m_From,S2000&lt;=m_To)),1,0)</f>
        <v/>
      </c>
      <c r="AA2000" s="36">
        <f>IF(AND(OR(sel_Region="All",C2000=sel_Region),OR(sel_Country="All",D2000=sel_Country),OR(sel_Channel="All",E2000=sel_Channel),OR(sel_Customer="All",F2000=sel_Customer),OR(sel_Category="All",G2000=sel_Category),OR(sel_Product="All",H2000=sel_Product)),1,0)</f>
        <v/>
      </c>
    </row>
    <row r="2001">
      <c r="A2001" s="36" t="inlineStr">
        <is>
          <t>02388</t>
        </is>
      </c>
      <c r="B2001" s="44" t="n">
        <v>46293</v>
      </c>
      <c r="C2001" s="36" t="inlineStr">
        <is>
          <t>Western Europe</t>
        </is>
      </c>
      <c r="D2001" s="36" t="inlineStr">
        <is>
          <t>United Kingdom</t>
        </is>
      </c>
      <c r="E2001" s="36" t="inlineStr">
        <is>
          <t>Online Store</t>
        </is>
      </c>
      <c r="F2001" s="36" t="inlineStr">
        <is>
          <t>Returning</t>
        </is>
      </c>
      <c r="G2001" s="36" t="inlineStr">
        <is>
          <t>Hiking</t>
        </is>
      </c>
      <c r="H2001" s="36" t="inlineStr">
        <is>
          <t>Hiking Daypack 20L</t>
        </is>
      </c>
      <c r="I2001" s="36" t="n">
        <v>3</v>
      </c>
      <c r="J2001" s="39" t="n">
        <v>93.22</v>
      </c>
      <c r="K2001" s="45" t="n">
        <v>0</v>
      </c>
      <c r="L2001" s="39" t="n">
        <v>46.75</v>
      </c>
      <c r="M2001" s="39">
        <f>I2001*J2001*(1-K2001)</f>
        <v/>
      </c>
      <c r="N2001" s="39">
        <f>I2001*L2001</f>
        <v/>
      </c>
      <c r="O2001" s="39">
        <f>M2001-N2001</f>
        <v/>
      </c>
      <c r="P2001" s="38">
        <f>IF(M2001=0,0,O2001/M2001)</f>
        <v/>
      </c>
      <c r="Q2001" s="36">
        <f>YEAR(B2001)</f>
        <v/>
      </c>
      <c r="R2001" s="36">
        <f>"Q"&amp;ROUNDUP(MONTH(B2001)/3,0)</f>
        <v/>
      </c>
      <c r="S2001" s="36">
        <f>MONTH(B2001)</f>
        <v/>
      </c>
      <c r="T2001" s="36">
        <f>TEXT(B2001,"mmm")</f>
        <v/>
      </c>
      <c r="U2001" s="36">
        <f>IF(AND(OR(sel_Region="All",C2001=sel_Region),OR(sel_Country="All",D2001=sel_Country),OR(sel_Channel="All",E2001=sel_Channel),OR(sel_Customer="All",F2001=sel_Customer),OR(sel_Category="All",G2001=sel_Category),OR(sel_Product="All",H2001=sel_Product),AND(S2001&gt;=m_From,S2001&lt;=m_To)),1,0)</f>
        <v/>
      </c>
      <c r="V2001" s="36">
        <f>IF(AND(OR(sel_Region="All",C2001=sel_Region),OR(sel_Channel="All",E2001=sel_Channel),OR(sel_Customer="All",F2001=sel_Customer),OR(sel_Category="All",G2001=sel_Category),OR(sel_Product="All",H2001=sel_Product),AND(S2001&gt;=m_From,S2001&lt;=m_To)),1,0)</f>
        <v/>
      </c>
      <c r="W2001" s="36">
        <f>IF(AND(OR(sel_Region="All",C2001=sel_Region),OR(sel_Country="All",D2001=sel_Country),OR(sel_Customer="All",F2001=sel_Customer),OR(sel_Category="All",G2001=sel_Category),OR(sel_Product="All",H2001=sel_Product),AND(S2001&gt;=m_From,S2001&lt;=m_To)),1,0)</f>
        <v/>
      </c>
      <c r="X2001" s="36">
        <f>IF(AND(OR(sel_Region="All",C2001=sel_Region),OR(sel_Country="All",D2001=sel_Country),OR(sel_Channel="All",E2001=sel_Channel),OR(sel_Category="All",G2001=sel_Category),OR(sel_Product="All",H2001=sel_Product),AND(S2001&gt;=m_From,S2001&lt;=m_To)),1,0)</f>
        <v/>
      </c>
      <c r="Y2001" s="36">
        <f>IF(AND(OR(sel_Region="All",C2001=sel_Region),OR(sel_Country="All",D2001=sel_Country),OR(sel_Channel="All",E2001=sel_Channel),OR(sel_Customer="All",F2001=sel_Customer),OR(sel_Product="All",H2001=sel_Product),AND(S2001&gt;=m_From,S2001&lt;=m_To)),1,0)</f>
        <v/>
      </c>
      <c r="Z2001" s="36">
        <f>IF(AND(OR(sel_Region="All",C2001=sel_Region),OR(sel_Country="All",D2001=sel_Country),OR(sel_Channel="All",E2001=sel_Channel),OR(sel_Customer="All",F2001=sel_Customer),OR(sel_Category="All",G2001=sel_Category),AND(S2001&gt;=m_From,S2001&lt;=m_To)),1,0)</f>
        <v/>
      </c>
      <c r="AA2001" s="36">
        <f>IF(AND(OR(sel_Region="All",C2001=sel_Region),OR(sel_Country="All",D2001=sel_Country),OR(sel_Channel="All",E2001=sel_Channel),OR(sel_Customer="All",F2001=sel_Customer),OR(sel_Category="All",G2001=sel_Category),OR(sel_Product="All",H2001=sel_Product)),1,0)</f>
        <v/>
      </c>
    </row>
    <row r="2002">
      <c r="A2002" s="36" t="inlineStr">
        <is>
          <t>02795</t>
        </is>
      </c>
      <c r="B2002" s="44" t="n">
        <v>46293</v>
      </c>
      <c r="C2002" s="36" t="inlineStr">
        <is>
          <t>Central Europe</t>
        </is>
      </c>
      <c r="D2002" s="36" t="inlineStr">
        <is>
          <t>Germany</t>
        </is>
      </c>
      <c r="E2002" s="36" t="inlineStr">
        <is>
          <t>Online Store</t>
        </is>
      </c>
      <c r="F2002" s="36" t="inlineStr">
        <is>
          <t>New</t>
        </is>
      </c>
      <c r="G2002" s="36" t="inlineStr">
        <is>
          <t>Hiking</t>
        </is>
      </c>
      <c r="H2002" s="36" t="inlineStr">
        <is>
          <t>Trail Boots</t>
        </is>
      </c>
      <c r="I2002" s="36" t="n">
        <v>3</v>
      </c>
      <c r="J2002" s="39" t="n">
        <v>142.19</v>
      </c>
      <c r="K2002" s="45" t="n">
        <v>0.05</v>
      </c>
      <c r="L2002" s="39" t="n">
        <v>78.37</v>
      </c>
      <c r="M2002" s="39">
        <f>I2002*J2002*(1-K2002)</f>
        <v/>
      </c>
      <c r="N2002" s="39">
        <f>I2002*L2002</f>
        <v/>
      </c>
      <c r="O2002" s="39">
        <f>M2002-N2002</f>
        <v/>
      </c>
      <c r="P2002" s="38">
        <f>IF(M2002=0,0,O2002/M2002)</f>
        <v/>
      </c>
      <c r="Q2002" s="36">
        <f>YEAR(B2002)</f>
        <v/>
      </c>
      <c r="R2002" s="36">
        <f>"Q"&amp;ROUNDUP(MONTH(B2002)/3,0)</f>
        <v/>
      </c>
      <c r="S2002" s="36">
        <f>MONTH(B2002)</f>
        <v/>
      </c>
      <c r="T2002" s="36">
        <f>TEXT(B2002,"mmm")</f>
        <v/>
      </c>
      <c r="U2002" s="36">
        <f>IF(AND(OR(sel_Region="All",C2002=sel_Region),OR(sel_Country="All",D2002=sel_Country),OR(sel_Channel="All",E2002=sel_Channel),OR(sel_Customer="All",F2002=sel_Customer),OR(sel_Category="All",G2002=sel_Category),OR(sel_Product="All",H2002=sel_Product),AND(S2002&gt;=m_From,S2002&lt;=m_To)),1,0)</f>
        <v/>
      </c>
      <c r="V2002" s="36">
        <f>IF(AND(OR(sel_Region="All",C2002=sel_Region),OR(sel_Channel="All",E2002=sel_Channel),OR(sel_Customer="All",F2002=sel_Customer),OR(sel_Category="All",G2002=sel_Category),OR(sel_Product="All",H2002=sel_Product),AND(S2002&gt;=m_From,S2002&lt;=m_To)),1,0)</f>
        <v/>
      </c>
      <c r="W2002" s="36">
        <f>IF(AND(OR(sel_Region="All",C2002=sel_Region),OR(sel_Country="All",D2002=sel_Country),OR(sel_Customer="All",F2002=sel_Customer),OR(sel_Category="All",G2002=sel_Category),OR(sel_Product="All",H2002=sel_Product),AND(S2002&gt;=m_From,S2002&lt;=m_To)),1,0)</f>
        <v/>
      </c>
      <c r="X2002" s="36">
        <f>IF(AND(OR(sel_Region="All",C2002=sel_Region),OR(sel_Country="All",D2002=sel_Country),OR(sel_Channel="All",E2002=sel_Channel),OR(sel_Category="All",G2002=sel_Category),OR(sel_Product="All",H2002=sel_Product),AND(S2002&gt;=m_From,S2002&lt;=m_To)),1,0)</f>
        <v/>
      </c>
      <c r="Y2002" s="36">
        <f>IF(AND(OR(sel_Region="All",C2002=sel_Region),OR(sel_Country="All",D2002=sel_Country),OR(sel_Channel="All",E2002=sel_Channel),OR(sel_Customer="All",F2002=sel_Customer),OR(sel_Product="All",H2002=sel_Product),AND(S2002&gt;=m_From,S2002&lt;=m_To)),1,0)</f>
        <v/>
      </c>
      <c r="Z2002" s="36">
        <f>IF(AND(OR(sel_Region="All",C2002=sel_Region),OR(sel_Country="All",D2002=sel_Country),OR(sel_Channel="All",E2002=sel_Channel),OR(sel_Customer="All",F2002=sel_Customer),OR(sel_Category="All",G2002=sel_Category),AND(S2002&gt;=m_From,S2002&lt;=m_To)),1,0)</f>
        <v/>
      </c>
      <c r="AA2002" s="36">
        <f>IF(AND(OR(sel_Region="All",C2002=sel_Region),OR(sel_Country="All",D2002=sel_Country),OR(sel_Channel="All",E2002=sel_Channel),OR(sel_Customer="All",F2002=sel_Customer),OR(sel_Category="All",G2002=sel_Category),OR(sel_Product="All",H2002=sel_Product)),1,0)</f>
        <v/>
      </c>
    </row>
    <row r="2003">
      <c r="A2003" s="36" t="inlineStr">
        <is>
          <t>02840</t>
        </is>
      </c>
      <c r="B2003" s="44" t="n">
        <v>46293</v>
      </c>
      <c r="C2003" s="36" t="inlineStr">
        <is>
          <t>Southern Europe</t>
        </is>
      </c>
      <c r="D2003" s="36" t="inlineStr">
        <is>
          <t>Spain</t>
        </is>
      </c>
      <c r="E2003" s="36" t="inlineStr">
        <is>
          <t>Online Store</t>
        </is>
      </c>
      <c r="F2003" s="36" t="inlineStr">
        <is>
          <t>Returning</t>
        </is>
      </c>
      <c r="G2003" s="36" t="inlineStr">
        <is>
          <t>Hiking</t>
        </is>
      </c>
      <c r="H2003" s="36" t="inlineStr">
        <is>
          <t>Summit Backpack 45L</t>
        </is>
      </c>
      <c r="I2003" s="36" t="n">
        <v>2</v>
      </c>
      <c r="J2003" s="39" t="n">
        <v>151.7</v>
      </c>
      <c r="K2003" s="45" t="n">
        <v>0</v>
      </c>
      <c r="L2003" s="39" t="n">
        <v>77.19</v>
      </c>
      <c r="M2003" s="39">
        <f>I2003*J2003*(1-K2003)</f>
        <v/>
      </c>
      <c r="N2003" s="39">
        <f>I2003*L2003</f>
        <v/>
      </c>
      <c r="O2003" s="39">
        <f>M2003-N2003</f>
        <v/>
      </c>
      <c r="P2003" s="38">
        <f>IF(M2003=0,0,O2003/M2003)</f>
        <v/>
      </c>
      <c r="Q2003" s="36">
        <f>YEAR(B2003)</f>
        <v/>
      </c>
      <c r="R2003" s="36">
        <f>"Q"&amp;ROUNDUP(MONTH(B2003)/3,0)</f>
        <v/>
      </c>
      <c r="S2003" s="36">
        <f>MONTH(B2003)</f>
        <v/>
      </c>
      <c r="T2003" s="36">
        <f>TEXT(B2003,"mmm")</f>
        <v/>
      </c>
      <c r="U2003" s="36">
        <f>IF(AND(OR(sel_Region="All",C2003=sel_Region),OR(sel_Country="All",D2003=sel_Country),OR(sel_Channel="All",E2003=sel_Channel),OR(sel_Customer="All",F2003=sel_Customer),OR(sel_Category="All",G2003=sel_Category),OR(sel_Product="All",H2003=sel_Product),AND(S2003&gt;=m_From,S2003&lt;=m_To)),1,0)</f>
        <v/>
      </c>
      <c r="V2003" s="36">
        <f>IF(AND(OR(sel_Region="All",C2003=sel_Region),OR(sel_Channel="All",E2003=sel_Channel),OR(sel_Customer="All",F2003=sel_Customer),OR(sel_Category="All",G2003=sel_Category),OR(sel_Product="All",H2003=sel_Product),AND(S2003&gt;=m_From,S2003&lt;=m_To)),1,0)</f>
        <v/>
      </c>
      <c r="W2003" s="36">
        <f>IF(AND(OR(sel_Region="All",C2003=sel_Region),OR(sel_Country="All",D2003=sel_Country),OR(sel_Customer="All",F2003=sel_Customer),OR(sel_Category="All",G2003=sel_Category),OR(sel_Product="All",H2003=sel_Product),AND(S2003&gt;=m_From,S2003&lt;=m_To)),1,0)</f>
        <v/>
      </c>
      <c r="X2003" s="36">
        <f>IF(AND(OR(sel_Region="All",C2003=sel_Region),OR(sel_Country="All",D2003=sel_Country),OR(sel_Channel="All",E2003=sel_Channel),OR(sel_Category="All",G2003=sel_Category),OR(sel_Product="All",H2003=sel_Product),AND(S2003&gt;=m_From,S2003&lt;=m_To)),1,0)</f>
        <v/>
      </c>
      <c r="Y2003" s="36">
        <f>IF(AND(OR(sel_Region="All",C2003=sel_Region),OR(sel_Country="All",D2003=sel_Country),OR(sel_Channel="All",E2003=sel_Channel),OR(sel_Customer="All",F2003=sel_Customer),OR(sel_Product="All",H2003=sel_Product),AND(S2003&gt;=m_From,S2003&lt;=m_To)),1,0)</f>
        <v/>
      </c>
      <c r="Z2003" s="36">
        <f>IF(AND(OR(sel_Region="All",C2003=sel_Region),OR(sel_Country="All",D2003=sel_Country),OR(sel_Channel="All",E2003=sel_Channel),OR(sel_Customer="All",F2003=sel_Customer),OR(sel_Category="All",G2003=sel_Category),AND(S2003&gt;=m_From,S2003&lt;=m_To)),1,0)</f>
        <v/>
      </c>
      <c r="AA2003" s="36">
        <f>IF(AND(OR(sel_Region="All",C2003=sel_Region),OR(sel_Country="All",D2003=sel_Country),OR(sel_Channel="All",E2003=sel_Channel),OR(sel_Customer="All",F2003=sel_Customer),OR(sel_Category="All",G2003=sel_Category),OR(sel_Product="All",H2003=sel_Product)),1,0)</f>
        <v/>
      </c>
    </row>
    <row r="2004">
      <c r="A2004" s="36" t="inlineStr">
        <is>
          <t>02863</t>
        </is>
      </c>
      <c r="B2004" s="44" t="n">
        <v>46293</v>
      </c>
      <c r="C2004" s="36" t="inlineStr">
        <is>
          <t>Northern Europe</t>
        </is>
      </c>
      <c r="D2004" s="36" t="inlineStr">
        <is>
          <t>Sweden</t>
        </is>
      </c>
      <c r="E2004" s="36" t="inlineStr">
        <is>
          <t>Retail Partners</t>
        </is>
      </c>
      <c r="F2004" s="36" t="inlineStr">
        <is>
          <t>New</t>
        </is>
      </c>
      <c r="G2004" s="36" t="inlineStr">
        <is>
          <t>Travel</t>
        </is>
      </c>
      <c r="H2004" s="36" t="inlineStr">
        <is>
          <t>Carry-On Duffel</t>
        </is>
      </c>
      <c r="I2004" s="36" t="n">
        <v>1</v>
      </c>
      <c r="J2004" s="39" t="n">
        <v>133.85</v>
      </c>
      <c r="K2004" s="45" t="n">
        <v>0.05</v>
      </c>
      <c r="L2004" s="39" t="n">
        <v>66.41</v>
      </c>
      <c r="M2004" s="39">
        <f>I2004*J2004*(1-K2004)</f>
        <v/>
      </c>
      <c r="N2004" s="39">
        <f>I2004*L2004</f>
        <v/>
      </c>
      <c r="O2004" s="39">
        <f>M2004-N2004</f>
        <v/>
      </c>
      <c r="P2004" s="38">
        <f>IF(M2004=0,0,O2004/M2004)</f>
        <v/>
      </c>
      <c r="Q2004" s="36">
        <f>YEAR(B2004)</f>
        <v/>
      </c>
      <c r="R2004" s="36">
        <f>"Q"&amp;ROUNDUP(MONTH(B2004)/3,0)</f>
        <v/>
      </c>
      <c r="S2004" s="36">
        <f>MONTH(B2004)</f>
        <v/>
      </c>
      <c r="T2004" s="36">
        <f>TEXT(B2004,"mmm")</f>
        <v/>
      </c>
      <c r="U2004" s="36">
        <f>IF(AND(OR(sel_Region="All",C2004=sel_Region),OR(sel_Country="All",D2004=sel_Country),OR(sel_Channel="All",E2004=sel_Channel),OR(sel_Customer="All",F2004=sel_Customer),OR(sel_Category="All",G2004=sel_Category),OR(sel_Product="All",H2004=sel_Product),AND(S2004&gt;=m_From,S2004&lt;=m_To)),1,0)</f>
        <v/>
      </c>
      <c r="V2004" s="36">
        <f>IF(AND(OR(sel_Region="All",C2004=sel_Region),OR(sel_Channel="All",E2004=sel_Channel),OR(sel_Customer="All",F2004=sel_Customer),OR(sel_Category="All",G2004=sel_Category),OR(sel_Product="All",H2004=sel_Product),AND(S2004&gt;=m_From,S2004&lt;=m_To)),1,0)</f>
        <v/>
      </c>
      <c r="W2004" s="36">
        <f>IF(AND(OR(sel_Region="All",C2004=sel_Region),OR(sel_Country="All",D2004=sel_Country),OR(sel_Customer="All",F2004=sel_Customer),OR(sel_Category="All",G2004=sel_Category),OR(sel_Product="All",H2004=sel_Product),AND(S2004&gt;=m_From,S2004&lt;=m_To)),1,0)</f>
        <v/>
      </c>
      <c r="X2004" s="36">
        <f>IF(AND(OR(sel_Region="All",C2004=sel_Region),OR(sel_Country="All",D2004=sel_Country),OR(sel_Channel="All",E2004=sel_Channel),OR(sel_Category="All",G2004=sel_Category),OR(sel_Product="All",H2004=sel_Product),AND(S2004&gt;=m_From,S2004&lt;=m_To)),1,0)</f>
        <v/>
      </c>
      <c r="Y2004" s="36">
        <f>IF(AND(OR(sel_Region="All",C2004=sel_Region),OR(sel_Country="All",D2004=sel_Country),OR(sel_Channel="All",E2004=sel_Channel),OR(sel_Customer="All",F2004=sel_Customer),OR(sel_Product="All",H2004=sel_Product),AND(S2004&gt;=m_From,S2004&lt;=m_To)),1,0)</f>
        <v/>
      </c>
      <c r="Z2004" s="36">
        <f>IF(AND(OR(sel_Region="All",C2004=sel_Region),OR(sel_Country="All",D2004=sel_Country),OR(sel_Channel="All",E2004=sel_Channel),OR(sel_Customer="All",F2004=sel_Customer),OR(sel_Category="All",G2004=sel_Category),AND(S2004&gt;=m_From,S2004&lt;=m_To)),1,0)</f>
        <v/>
      </c>
      <c r="AA2004" s="36">
        <f>IF(AND(OR(sel_Region="All",C2004=sel_Region),OR(sel_Country="All",D2004=sel_Country),OR(sel_Channel="All",E2004=sel_Channel),OR(sel_Customer="All",F2004=sel_Customer),OR(sel_Category="All",G2004=sel_Category),OR(sel_Product="All",H2004=sel_Product)),1,0)</f>
        <v/>
      </c>
    </row>
    <row r="2005">
      <c r="A2005" s="36" t="inlineStr">
        <is>
          <t>04522</t>
        </is>
      </c>
      <c r="B2005" s="44" t="n">
        <v>46293</v>
      </c>
      <c r="C2005" s="36" t="inlineStr">
        <is>
          <t>Western Europe</t>
        </is>
      </c>
      <c r="D2005" s="36" t="inlineStr">
        <is>
          <t>France</t>
        </is>
      </c>
      <c r="E2005" s="36" t="inlineStr">
        <is>
          <t>Marketplace</t>
        </is>
      </c>
      <c r="F2005" s="36" t="inlineStr">
        <is>
          <t>Business</t>
        </is>
      </c>
      <c r="G2005" s="36" t="inlineStr">
        <is>
          <t>Camping</t>
        </is>
      </c>
      <c r="H2005" s="36" t="inlineStr">
        <is>
          <t>Compact Sleeping Bag</t>
        </is>
      </c>
      <c r="I2005" s="36" t="n">
        <v>6</v>
      </c>
      <c r="J2005" s="39" t="n">
        <v>125.62</v>
      </c>
      <c r="K2005" s="45" t="n">
        <v>0</v>
      </c>
      <c r="L2005" s="39" t="n">
        <v>61.34</v>
      </c>
      <c r="M2005" s="39">
        <f>I2005*J2005*(1-K2005)</f>
        <v/>
      </c>
      <c r="N2005" s="39">
        <f>I2005*L2005</f>
        <v/>
      </c>
      <c r="O2005" s="39">
        <f>M2005-N2005</f>
        <v/>
      </c>
      <c r="P2005" s="38">
        <f>IF(M2005=0,0,O2005/M2005)</f>
        <v/>
      </c>
      <c r="Q2005" s="36">
        <f>YEAR(B2005)</f>
        <v/>
      </c>
      <c r="R2005" s="36">
        <f>"Q"&amp;ROUNDUP(MONTH(B2005)/3,0)</f>
        <v/>
      </c>
      <c r="S2005" s="36">
        <f>MONTH(B2005)</f>
        <v/>
      </c>
      <c r="T2005" s="36">
        <f>TEXT(B2005,"mmm")</f>
        <v/>
      </c>
      <c r="U2005" s="36">
        <f>IF(AND(OR(sel_Region="All",C2005=sel_Region),OR(sel_Country="All",D2005=sel_Country),OR(sel_Channel="All",E2005=sel_Channel),OR(sel_Customer="All",F2005=sel_Customer),OR(sel_Category="All",G2005=sel_Category),OR(sel_Product="All",H2005=sel_Product),AND(S2005&gt;=m_From,S2005&lt;=m_To)),1,0)</f>
        <v/>
      </c>
      <c r="V2005" s="36">
        <f>IF(AND(OR(sel_Region="All",C2005=sel_Region),OR(sel_Channel="All",E2005=sel_Channel),OR(sel_Customer="All",F2005=sel_Customer),OR(sel_Category="All",G2005=sel_Category),OR(sel_Product="All",H2005=sel_Product),AND(S2005&gt;=m_From,S2005&lt;=m_To)),1,0)</f>
        <v/>
      </c>
      <c r="W2005" s="36">
        <f>IF(AND(OR(sel_Region="All",C2005=sel_Region),OR(sel_Country="All",D2005=sel_Country),OR(sel_Customer="All",F2005=sel_Customer),OR(sel_Category="All",G2005=sel_Category),OR(sel_Product="All",H2005=sel_Product),AND(S2005&gt;=m_From,S2005&lt;=m_To)),1,0)</f>
        <v/>
      </c>
      <c r="X2005" s="36">
        <f>IF(AND(OR(sel_Region="All",C2005=sel_Region),OR(sel_Country="All",D2005=sel_Country),OR(sel_Channel="All",E2005=sel_Channel),OR(sel_Category="All",G2005=sel_Category),OR(sel_Product="All",H2005=sel_Product),AND(S2005&gt;=m_From,S2005&lt;=m_To)),1,0)</f>
        <v/>
      </c>
      <c r="Y2005" s="36">
        <f>IF(AND(OR(sel_Region="All",C2005=sel_Region),OR(sel_Country="All",D2005=sel_Country),OR(sel_Channel="All",E2005=sel_Channel),OR(sel_Customer="All",F2005=sel_Customer),OR(sel_Product="All",H2005=sel_Product),AND(S2005&gt;=m_From,S2005&lt;=m_To)),1,0)</f>
        <v/>
      </c>
      <c r="Z2005" s="36">
        <f>IF(AND(OR(sel_Region="All",C2005=sel_Region),OR(sel_Country="All",D2005=sel_Country),OR(sel_Channel="All",E2005=sel_Channel),OR(sel_Customer="All",F2005=sel_Customer),OR(sel_Category="All",G2005=sel_Category),AND(S2005&gt;=m_From,S2005&lt;=m_To)),1,0)</f>
        <v/>
      </c>
      <c r="AA2005" s="36">
        <f>IF(AND(OR(sel_Region="All",C2005=sel_Region),OR(sel_Country="All",D2005=sel_Country),OR(sel_Channel="All",E2005=sel_Channel),OR(sel_Customer="All",F2005=sel_Customer),OR(sel_Category="All",G2005=sel_Category),OR(sel_Product="All",H2005=sel_Product)),1,0)</f>
        <v/>
      </c>
    </row>
    <row r="2006">
      <c r="A2006" s="36" t="inlineStr">
        <is>
          <t>05200</t>
        </is>
      </c>
      <c r="B2006" s="44" t="n">
        <v>46293</v>
      </c>
      <c r="C2006" s="36" t="inlineStr">
        <is>
          <t>Central Europe</t>
        </is>
      </c>
      <c r="D2006" s="36" t="inlineStr">
        <is>
          <t>Germany</t>
        </is>
      </c>
      <c r="E2006" s="36" t="inlineStr">
        <is>
          <t>Online Store</t>
        </is>
      </c>
      <c r="F2006" s="36" t="inlineStr">
        <is>
          <t>New</t>
        </is>
      </c>
      <c r="G2006" s="36" t="inlineStr">
        <is>
          <t>Camping</t>
        </is>
      </c>
      <c r="H2006" s="36" t="inlineStr">
        <is>
          <t>Trail Tent 2P</t>
        </is>
      </c>
      <c r="I2006" s="36" t="n">
        <v>3</v>
      </c>
      <c r="J2006" s="39" t="n">
        <v>196.87</v>
      </c>
      <c r="K2006" s="45" t="n">
        <v>0.1</v>
      </c>
      <c r="L2006" s="39" t="n">
        <v>105.93</v>
      </c>
      <c r="M2006" s="39">
        <f>I2006*J2006*(1-K2006)</f>
        <v/>
      </c>
      <c r="N2006" s="39">
        <f>I2006*L2006</f>
        <v/>
      </c>
      <c r="O2006" s="39">
        <f>M2006-N2006</f>
        <v/>
      </c>
      <c r="P2006" s="38">
        <f>IF(M2006=0,0,O2006/M2006)</f>
        <v/>
      </c>
      <c r="Q2006" s="36">
        <f>YEAR(B2006)</f>
        <v/>
      </c>
      <c r="R2006" s="36">
        <f>"Q"&amp;ROUNDUP(MONTH(B2006)/3,0)</f>
        <v/>
      </c>
      <c r="S2006" s="36">
        <f>MONTH(B2006)</f>
        <v/>
      </c>
      <c r="T2006" s="36">
        <f>TEXT(B2006,"mmm")</f>
        <v/>
      </c>
      <c r="U2006" s="36">
        <f>IF(AND(OR(sel_Region="All",C2006=sel_Region),OR(sel_Country="All",D2006=sel_Country),OR(sel_Channel="All",E2006=sel_Channel),OR(sel_Customer="All",F2006=sel_Customer),OR(sel_Category="All",G2006=sel_Category),OR(sel_Product="All",H2006=sel_Product),AND(S2006&gt;=m_From,S2006&lt;=m_To)),1,0)</f>
        <v/>
      </c>
      <c r="V2006" s="36">
        <f>IF(AND(OR(sel_Region="All",C2006=sel_Region),OR(sel_Channel="All",E2006=sel_Channel),OR(sel_Customer="All",F2006=sel_Customer),OR(sel_Category="All",G2006=sel_Category),OR(sel_Product="All",H2006=sel_Product),AND(S2006&gt;=m_From,S2006&lt;=m_To)),1,0)</f>
        <v/>
      </c>
      <c r="W2006" s="36">
        <f>IF(AND(OR(sel_Region="All",C2006=sel_Region),OR(sel_Country="All",D2006=sel_Country),OR(sel_Customer="All",F2006=sel_Customer),OR(sel_Category="All",G2006=sel_Category),OR(sel_Product="All",H2006=sel_Product),AND(S2006&gt;=m_From,S2006&lt;=m_To)),1,0)</f>
        <v/>
      </c>
      <c r="X2006" s="36">
        <f>IF(AND(OR(sel_Region="All",C2006=sel_Region),OR(sel_Country="All",D2006=sel_Country),OR(sel_Channel="All",E2006=sel_Channel),OR(sel_Category="All",G2006=sel_Category),OR(sel_Product="All",H2006=sel_Product),AND(S2006&gt;=m_From,S2006&lt;=m_To)),1,0)</f>
        <v/>
      </c>
      <c r="Y2006" s="36">
        <f>IF(AND(OR(sel_Region="All",C2006=sel_Region),OR(sel_Country="All",D2006=sel_Country),OR(sel_Channel="All",E2006=sel_Channel),OR(sel_Customer="All",F2006=sel_Customer),OR(sel_Product="All",H2006=sel_Product),AND(S2006&gt;=m_From,S2006&lt;=m_To)),1,0)</f>
        <v/>
      </c>
      <c r="Z2006" s="36">
        <f>IF(AND(OR(sel_Region="All",C2006=sel_Region),OR(sel_Country="All",D2006=sel_Country),OR(sel_Channel="All",E2006=sel_Channel),OR(sel_Customer="All",F2006=sel_Customer),OR(sel_Category="All",G2006=sel_Category),AND(S2006&gt;=m_From,S2006&lt;=m_To)),1,0)</f>
        <v/>
      </c>
      <c r="AA2006" s="36">
        <f>IF(AND(OR(sel_Region="All",C2006=sel_Region),OR(sel_Country="All",D2006=sel_Country),OR(sel_Channel="All",E2006=sel_Channel),OR(sel_Customer="All",F2006=sel_Customer),OR(sel_Category="All",G2006=sel_Category),OR(sel_Product="All",H2006=sel_Product)),1,0)</f>
        <v/>
      </c>
    </row>
    <row r="2007">
      <c r="A2007" s="36" t="inlineStr">
        <is>
          <t>00452</t>
        </is>
      </c>
      <c r="B2007" s="44" t="n">
        <v>46294</v>
      </c>
      <c r="C2007" s="36" t="inlineStr">
        <is>
          <t>Central Europe</t>
        </is>
      </c>
      <c r="D2007" s="36" t="inlineStr">
        <is>
          <t>Czechia</t>
        </is>
      </c>
      <c r="E2007" s="36" t="inlineStr">
        <is>
          <t>Online Store</t>
        </is>
      </c>
      <c r="F2007" s="36" t="inlineStr">
        <is>
          <t>Returning</t>
        </is>
      </c>
      <c r="G2007" s="36" t="inlineStr">
        <is>
          <t>Travel</t>
        </is>
      </c>
      <c r="H2007" s="36" t="inlineStr">
        <is>
          <t>Insulated Bottle</t>
        </is>
      </c>
      <c r="I2007" s="36" t="n">
        <v>4</v>
      </c>
      <c r="J2007" s="39" t="n">
        <v>36.87</v>
      </c>
      <c r="K2007" s="45" t="n">
        <v>0</v>
      </c>
      <c r="L2007" s="39" t="n">
        <v>13.43</v>
      </c>
      <c r="M2007" s="39">
        <f>I2007*J2007*(1-K2007)</f>
        <v/>
      </c>
      <c r="N2007" s="39">
        <f>I2007*L2007</f>
        <v/>
      </c>
      <c r="O2007" s="39">
        <f>M2007-N2007</f>
        <v/>
      </c>
      <c r="P2007" s="38">
        <f>IF(M2007=0,0,O2007/M2007)</f>
        <v/>
      </c>
      <c r="Q2007" s="36">
        <f>YEAR(B2007)</f>
        <v/>
      </c>
      <c r="R2007" s="36">
        <f>"Q"&amp;ROUNDUP(MONTH(B2007)/3,0)</f>
        <v/>
      </c>
      <c r="S2007" s="36">
        <f>MONTH(B2007)</f>
        <v/>
      </c>
      <c r="T2007" s="36">
        <f>TEXT(B2007,"mmm")</f>
        <v/>
      </c>
      <c r="U2007" s="36">
        <f>IF(AND(OR(sel_Region="All",C2007=sel_Region),OR(sel_Country="All",D2007=sel_Country),OR(sel_Channel="All",E2007=sel_Channel),OR(sel_Customer="All",F2007=sel_Customer),OR(sel_Category="All",G2007=sel_Category),OR(sel_Product="All",H2007=sel_Product),AND(S2007&gt;=m_From,S2007&lt;=m_To)),1,0)</f>
        <v/>
      </c>
      <c r="V2007" s="36">
        <f>IF(AND(OR(sel_Region="All",C2007=sel_Region),OR(sel_Channel="All",E2007=sel_Channel),OR(sel_Customer="All",F2007=sel_Customer),OR(sel_Category="All",G2007=sel_Category),OR(sel_Product="All",H2007=sel_Product),AND(S2007&gt;=m_From,S2007&lt;=m_To)),1,0)</f>
        <v/>
      </c>
      <c r="W2007" s="36">
        <f>IF(AND(OR(sel_Region="All",C2007=sel_Region),OR(sel_Country="All",D2007=sel_Country),OR(sel_Customer="All",F2007=sel_Customer),OR(sel_Category="All",G2007=sel_Category),OR(sel_Product="All",H2007=sel_Product),AND(S2007&gt;=m_From,S2007&lt;=m_To)),1,0)</f>
        <v/>
      </c>
      <c r="X2007" s="36">
        <f>IF(AND(OR(sel_Region="All",C2007=sel_Region),OR(sel_Country="All",D2007=sel_Country),OR(sel_Channel="All",E2007=sel_Channel),OR(sel_Category="All",G2007=sel_Category),OR(sel_Product="All",H2007=sel_Product),AND(S2007&gt;=m_From,S2007&lt;=m_To)),1,0)</f>
        <v/>
      </c>
      <c r="Y2007" s="36">
        <f>IF(AND(OR(sel_Region="All",C2007=sel_Region),OR(sel_Country="All",D2007=sel_Country),OR(sel_Channel="All",E2007=sel_Channel),OR(sel_Customer="All",F2007=sel_Customer),OR(sel_Product="All",H2007=sel_Product),AND(S2007&gt;=m_From,S2007&lt;=m_To)),1,0)</f>
        <v/>
      </c>
      <c r="Z2007" s="36">
        <f>IF(AND(OR(sel_Region="All",C2007=sel_Region),OR(sel_Country="All",D2007=sel_Country),OR(sel_Channel="All",E2007=sel_Channel),OR(sel_Customer="All",F2007=sel_Customer),OR(sel_Category="All",G2007=sel_Category),AND(S2007&gt;=m_From,S2007&lt;=m_To)),1,0)</f>
        <v/>
      </c>
      <c r="AA2007" s="36">
        <f>IF(AND(OR(sel_Region="All",C2007=sel_Region),OR(sel_Country="All",D2007=sel_Country),OR(sel_Channel="All",E2007=sel_Channel),OR(sel_Customer="All",F2007=sel_Customer),OR(sel_Category="All",G2007=sel_Category),OR(sel_Product="All",H2007=sel_Product)),1,0)</f>
        <v/>
      </c>
    </row>
    <row r="2008">
      <c r="A2008" s="36" t="inlineStr">
        <is>
          <t>00871</t>
        </is>
      </c>
      <c r="B2008" s="44" t="n">
        <v>46294</v>
      </c>
      <c r="C2008" s="36" t="inlineStr">
        <is>
          <t>Central Europe</t>
        </is>
      </c>
      <c r="D2008" s="36" t="inlineStr">
        <is>
          <t>Germany</t>
        </is>
      </c>
      <c r="E2008" s="36" t="inlineStr">
        <is>
          <t>Online Store</t>
        </is>
      </c>
      <c r="F2008" s="36" t="inlineStr">
        <is>
          <t>New</t>
        </is>
      </c>
      <c r="G2008" s="36" t="inlineStr">
        <is>
          <t>Travel</t>
        </is>
      </c>
      <c r="H2008" s="36" t="inlineStr">
        <is>
          <t>Packing Cube Set</t>
        </is>
      </c>
      <c r="I2008" s="36" t="n">
        <v>1</v>
      </c>
      <c r="J2008" s="39" t="n">
        <v>47.37</v>
      </c>
      <c r="K2008" s="45" t="n">
        <v>0</v>
      </c>
      <c r="L2008" s="39" t="n">
        <v>18.2</v>
      </c>
      <c r="M2008" s="39">
        <f>I2008*J2008*(1-K2008)</f>
        <v/>
      </c>
      <c r="N2008" s="39">
        <f>I2008*L2008</f>
        <v/>
      </c>
      <c r="O2008" s="39">
        <f>M2008-N2008</f>
        <v/>
      </c>
      <c r="P2008" s="38">
        <f>IF(M2008=0,0,O2008/M2008)</f>
        <v/>
      </c>
      <c r="Q2008" s="36">
        <f>YEAR(B2008)</f>
        <v/>
      </c>
      <c r="R2008" s="36">
        <f>"Q"&amp;ROUNDUP(MONTH(B2008)/3,0)</f>
        <v/>
      </c>
      <c r="S2008" s="36">
        <f>MONTH(B2008)</f>
        <v/>
      </c>
      <c r="T2008" s="36">
        <f>TEXT(B2008,"mmm")</f>
        <v/>
      </c>
      <c r="U2008" s="36">
        <f>IF(AND(OR(sel_Region="All",C2008=sel_Region),OR(sel_Country="All",D2008=sel_Country),OR(sel_Channel="All",E2008=sel_Channel),OR(sel_Customer="All",F2008=sel_Customer),OR(sel_Category="All",G2008=sel_Category),OR(sel_Product="All",H2008=sel_Product),AND(S2008&gt;=m_From,S2008&lt;=m_To)),1,0)</f>
        <v/>
      </c>
      <c r="V2008" s="36">
        <f>IF(AND(OR(sel_Region="All",C2008=sel_Region),OR(sel_Channel="All",E2008=sel_Channel),OR(sel_Customer="All",F2008=sel_Customer),OR(sel_Category="All",G2008=sel_Category),OR(sel_Product="All",H2008=sel_Product),AND(S2008&gt;=m_From,S2008&lt;=m_To)),1,0)</f>
        <v/>
      </c>
      <c r="W2008" s="36">
        <f>IF(AND(OR(sel_Region="All",C2008=sel_Region),OR(sel_Country="All",D2008=sel_Country),OR(sel_Customer="All",F2008=sel_Customer),OR(sel_Category="All",G2008=sel_Category),OR(sel_Product="All",H2008=sel_Product),AND(S2008&gt;=m_From,S2008&lt;=m_To)),1,0)</f>
        <v/>
      </c>
      <c r="X2008" s="36">
        <f>IF(AND(OR(sel_Region="All",C2008=sel_Region),OR(sel_Country="All",D2008=sel_Country),OR(sel_Channel="All",E2008=sel_Channel),OR(sel_Category="All",G2008=sel_Category),OR(sel_Product="All",H2008=sel_Product),AND(S2008&gt;=m_From,S2008&lt;=m_To)),1,0)</f>
        <v/>
      </c>
      <c r="Y2008" s="36">
        <f>IF(AND(OR(sel_Region="All",C2008=sel_Region),OR(sel_Country="All",D2008=sel_Country),OR(sel_Channel="All",E2008=sel_Channel),OR(sel_Customer="All",F2008=sel_Customer),OR(sel_Product="All",H2008=sel_Product),AND(S2008&gt;=m_From,S2008&lt;=m_To)),1,0)</f>
        <v/>
      </c>
      <c r="Z2008" s="36">
        <f>IF(AND(OR(sel_Region="All",C2008=sel_Region),OR(sel_Country="All",D2008=sel_Country),OR(sel_Channel="All",E2008=sel_Channel),OR(sel_Customer="All",F2008=sel_Customer),OR(sel_Category="All",G2008=sel_Category),AND(S2008&gt;=m_From,S2008&lt;=m_To)),1,0)</f>
        <v/>
      </c>
      <c r="AA2008" s="36">
        <f>IF(AND(OR(sel_Region="All",C2008=sel_Region),OR(sel_Country="All",D2008=sel_Country),OR(sel_Channel="All",E2008=sel_Channel),OR(sel_Customer="All",F2008=sel_Customer),OR(sel_Category="All",G2008=sel_Category),OR(sel_Product="All",H2008=sel_Product)),1,0)</f>
        <v/>
      </c>
    </row>
    <row r="2009">
      <c r="A2009" s="36" t="inlineStr">
        <is>
          <t>00922</t>
        </is>
      </c>
      <c r="B2009" s="44" t="n">
        <v>46294</v>
      </c>
      <c r="C2009" s="36" t="inlineStr">
        <is>
          <t>Western Europe</t>
        </is>
      </c>
      <c r="D2009" s="36" t="inlineStr">
        <is>
          <t>United Kingdom</t>
        </is>
      </c>
      <c r="E2009" s="36" t="inlineStr">
        <is>
          <t>Marketplace</t>
        </is>
      </c>
      <c r="F2009" s="36" t="inlineStr">
        <is>
          <t>Business</t>
        </is>
      </c>
      <c r="G2009" s="36" t="inlineStr">
        <is>
          <t>Hiking</t>
        </is>
      </c>
      <c r="H2009" s="36" t="inlineStr">
        <is>
          <t>Trail Boots</t>
        </is>
      </c>
      <c r="I2009" s="36" t="n">
        <v>1</v>
      </c>
      <c r="J2009" s="39" t="n">
        <v>145.62</v>
      </c>
      <c r="K2009" s="45" t="n">
        <v>0.05</v>
      </c>
      <c r="L2009" s="39" t="n">
        <v>80.25</v>
      </c>
      <c r="M2009" s="39">
        <f>I2009*J2009*(1-K2009)</f>
        <v/>
      </c>
      <c r="N2009" s="39">
        <f>I2009*L2009</f>
        <v/>
      </c>
      <c r="O2009" s="39">
        <f>M2009-N2009</f>
        <v/>
      </c>
      <c r="P2009" s="38">
        <f>IF(M2009=0,0,O2009/M2009)</f>
        <v/>
      </c>
      <c r="Q2009" s="36">
        <f>YEAR(B2009)</f>
        <v/>
      </c>
      <c r="R2009" s="36">
        <f>"Q"&amp;ROUNDUP(MONTH(B2009)/3,0)</f>
        <v/>
      </c>
      <c r="S2009" s="36">
        <f>MONTH(B2009)</f>
        <v/>
      </c>
      <c r="T2009" s="36">
        <f>TEXT(B2009,"mmm")</f>
        <v/>
      </c>
      <c r="U2009" s="36">
        <f>IF(AND(OR(sel_Region="All",C2009=sel_Region),OR(sel_Country="All",D2009=sel_Country),OR(sel_Channel="All",E2009=sel_Channel),OR(sel_Customer="All",F2009=sel_Customer),OR(sel_Category="All",G2009=sel_Category),OR(sel_Product="All",H2009=sel_Product),AND(S2009&gt;=m_From,S2009&lt;=m_To)),1,0)</f>
        <v/>
      </c>
      <c r="V2009" s="36">
        <f>IF(AND(OR(sel_Region="All",C2009=sel_Region),OR(sel_Channel="All",E2009=sel_Channel),OR(sel_Customer="All",F2009=sel_Customer),OR(sel_Category="All",G2009=sel_Category),OR(sel_Product="All",H2009=sel_Product),AND(S2009&gt;=m_From,S2009&lt;=m_To)),1,0)</f>
        <v/>
      </c>
      <c r="W2009" s="36">
        <f>IF(AND(OR(sel_Region="All",C2009=sel_Region),OR(sel_Country="All",D2009=sel_Country),OR(sel_Customer="All",F2009=sel_Customer),OR(sel_Category="All",G2009=sel_Category),OR(sel_Product="All",H2009=sel_Product),AND(S2009&gt;=m_From,S2009&lt;=m_To)),1,0)</f>
        <v/>
      </c>
      <c r="X2009" s="36">
        <f>IF(AND(OR(sel_Region="All",C2009=sel_Region),OR(sel_Country="All",D2009=sel_Country),OR(sel_Channel="All",E2009=sel_Channel),OR(sel_Category="All",G2009=sel_Category),OR(sel_Product="All",H2009=sel_Product),AND(S2009&gt;=m_From,S2009&lt;=m_To)),1,0)</f>
        <v/>
      </c>
      <c r="Y2009" s="36">
        <f>IF(AND(OR(sel_Region="All",C2009=sel_Region),OR(sel_Country="All",D2009=sel_Country),OR(sel_Channel="All",E2009=sel_Channel),OR(sel_Customer="All",F2009=sel_Customer),OR(sel_Product="All",H2009=sel_Product),AND(S2009&gt;=m_From,S2009&lt;=m_To)),1,0)</f>
        <v/>
      </c>
      <c r="Z2009" s="36">
        <f>IF(AND(OR(sel_Region="All",C2009=sel_Region),OR(sel_Country="All",D2009=sel_Country),OR(sel_Channel="All",E2009=sel_Channel),OR(sel_Customer="All",F2009=sel_Customer),OR(sel_Category="All",G2009=sel_Category),AND(S2009&gt;=m_From,S2009&lt;=m_To)),1,0)</f>
        <v/>
      </c>
      <c r="AA2009" s="36">
        <f>IF(AND(OR(sel_Region="All",C2009=sel_Region),OR(sel_Country="All",D2009=sel_Country),OR(sel_Channel="All",E2009=sel_Channel),OR(sel_Customer="All",F2009=sel_Customer),OR(sel_Category="All",G2009=sel_Category),OR(sel_Product="All",H2009=sel_Product)),1,0)</f>
        <v/>
      </c>
    </row>
    <row r="2010">
      <c r="A2010" s="36" t="inlineStr">
        <is>
          <t>01491</t>
        </is>
      </c>
      <c r="B2010" s="44" t="n">
        <v>46294</v>
      </c>
      <c r="C2010" s="36" t="inlineStr">
        <is>
          <t>Western Europe</t>
        </is>
      </c>
      <c r="D2010" s="36" t="inlineStr">
        <is>
          <t>United Kingdom</t>
        </is>
      </c>
      <c r="E2010" s="36" t="inlineStr">
        <is>
          <t>Retail Partners</t>
        </is>
      </c>
      <c r="F2010" s="36" t="inlineStr">
        <is>
          <t>New</t>
        </is>
      </c>
      <c r="G2010" s="36" t="inlineStr">
        <is>
          <t>Fitness</t>
        </is>
      </c>
      <c r="H2010" s="36" t="inlineStr">
        <is>
          <t>Recovery Roller</t>
        </is>
      </c>
      <c r="I2010" s="36" t="n">
        <v>2</v>
      </c>
      <c r="J2010" s="39" t="n">
        <v>36.1</v>
      </c>
      <c r="K2010" s="45" t="n">
        <v>0.05</v>
      </c>
      <c r="L2010" s="39" t="n">
        <v>13.71</v>
      </c>
      <c r="M2010" s="39">
        <f>I2010*J2010*(1-K2010)</f>
        <v/>
      </c>
      <c r="N2010" s="39">
        <f>I2010*L2010</f>
        <v/>
      </c>
      <c r="O2010" s="39">
        <f>M2010-N2010</f>
        <v/>
      </c>
      <c r="P2010" s="38">
        <f>IF(M2010=0,0,O2010/M2010)</f>
        <v/>
      </c>
      <c r="Q2010" s="36">
        <f>YEAR(B2010)</f>
        <v/>
      </c>
      <c r="R2010" s="36">
        <f>"Q"&amp;ROUNDUP(MONTH(B2010)/3,0)</f>
        <v/>
      </c>
      <c r="S2010" s="36">
        <f>MONTH(B2010)</f>
        <v/>
      </c>
      <c r="T2010" s="36">
        <f>TEXT(B2010,"mmm")</f>
        <v/>
      </c>
      <c r="U2010" s="36">
        <f>IF(AND(OR(sel_Region="All",C2010=sel_Region),OR(sel_Country="All",D2010=sel_Country),OR(sel_Channel="All",E2010=sel_Channel),OR(sel_Customer="All",F2010=sel_Customer),OR(sel_Category="All",G2010=sel_Category),OR(sel_Product="All",H2010=sel_Product),AND(S2010&gt;=m_From,S2010&lt;=m_To)),1,0)</f>
        <v/>
      </c>
      <c r="V2010" s="36">
        <f>IF(AND(OR(sel_Region="All",C2010=sel_Region),OR(sel_Channel="All",E2010=sel_Channel),OR(sel_Customer="All",F2010=sel_Customer),OR(sel_Category="All",G2010=sel_Category),OR(sel_Product="All",H2010=sel_Product),AND(S2010&gt;=m_From,S2010&lt;=m_To)),1,0)</f>
        <v/>
      </c>
      <c r="W2010" s="36">
        <f>IF(AND(OR(sel_Region="All",C2010=sel_Region),OR(sel_Country="All",D2010=sel_Country),OR(sel_Customer="All",F2010=sel_Customer),OR(sel_Category="All",G2010=sel_Category),OR(sel_Product="All",H2010=sel_Product),AND(S2010&gt;=m_From,S2010&lt;=m_To)),1,0)</f>
        <v/>
      </c>
      <c r="X2010" s="36">
        <f>IF(AND(OR(sel_Region="All",C2010=sel_Region),OR(sel_Country="All",D2010=sel_Country),OR(sel_Channel="All",E2010=sel_Channel),OR(sel_Category="All",G2010=sel_Category),OR(sel_Product="All",H2010=sel_Product),AND(S2010&gt;=m_From,S2010&lt;=m_To)),1,0)</f>
        <v/>
      </c>
      <c r="Y2010" s="36">
        <f>IF(AND(OR(sel_Region="All",C2010=sel_Region),OR(sel_Country="All",D2010=sel_Country),OR(sel_Channel="All",E2010=sel_Channel),OR(sel_Customer="All",F2010=sel_Customer),OR(sel_Product="All",H2010=sel_Product),AND(S2010&gt;=m_From,S2010&lt;=m_To)),1,0)</f>
        <v/>
      </c>
      <c r="Z2010" s="36">
        <f>IF(AND(OR(sel_Region="All",C2010=sel_Region),OR(sel_Country="All",D2010=sel_Country),OR(sel_Channel="All",E2010=sel_Channel),OR(sel_Customer="All",F2010=sel_Customer),OR(sel_Category="All",G2010=sel_Category),AND(S2010&gt;=m_From,S2010&lt;=m_To)),1,0)</f>
        <v/>
      </c>
      <c r="AA2010" s="36">
        <f>IF(AND(OR(sel_Region="All",C2010=sel_Region),OR(sel_Country="All",D2010=sel_Country),OR(sel_Channel="All",E2010=sel_Channel),OR(sel_Customer="All",F2010=sel_Customer),OR(sel_Category="All",G2010=sel_Category),OR(sel_Product="All",H2010=sel_Product)),1,0)</f>
        <v/>
      </c>
    </row>
    <row r="2011">
      <c r="A2011" s="36" t="inlineStr">
        <is>
          <t>01548</t>
        </is>
      </c>
      <c r="B2011" s="44" t="n">
        <v>46294</v>
      </c>
      <c r="C2011" s="36" t="inlineStr">
        <is>
          <t>Southern Europe</t>
        </is>
      </c>
      <c r="D2011" s="36" t="inlineStr">
        <is>
          <t>Portugal</t>
        </is>
      </c>
      <c r="E2011" s="36" t="inlineStr">
        <is>
          <t>Retail Partners</t>
        </is>
      </c>
      <c r="F2011" s="36" t="inlineStr">
        <is>
          <t>Returning</t>
        </is>
      </c>
      <c r="G2011" s="36" t="inlineStr">
        <is>
          <t>Hiking</t>
        </is>
      </c>
      <c r="H2011" s="36" t="inlineStr">
        <is>
          <t>Trekking Poles</t>
        </is>
      </c>
      <c r="I2011" s="36" t="n">
        <v>2</v>
      </c>
      <c r="J2011" s="39" t="n">
        <v>73</v>
      </c>
      <c r="K2011" s="45" t="n">
        <v>0.05</v>
      </c>
      <c r="L2011" s="39" t="n">
        <v>31.41</v>
      </c>
      <c r="M2011" s="39">
        <f>I2011*J2011*(1-K2011)</f>
        <v/>
      </c>
      <c r="N2011" s="39">
        <f>I2011*L2011</f>
        <v/>
      </c>
      <c r="O2011" s="39">
        <f>M2011-N2011</f>
        <v/>
      </c>
      <c r="P2011" s="38">
        <f>IF(M2011=0,0,O2011/M2011)</f>
        <v/>
      </c>
      <c r="Q2011" s="36">
        <f>YEAR(B2011)</f>
        <v/>
      </c>
      <c r="R2011" s="36">
        <f>"Q"&amp;ROUNDUP(MONTH(B2011)/3,0)</f>
        <v/>
      </c>
      <c r="S2011" s="36">
        <f>MONTH(B2011)</f>
        <v/>
      </c>
      <c r="T2011" s="36">
        <f>TEXT(B2011,"mmm")</f>
        <v/>
      </c>
      <c r="U2011" s="36">
        <f>IF(AND(OR(sel_Region="All",C2011=sel_Region),OR(sel_Country="All",D2011=sel_Country),OR(sel_Channel="All",E2011=sel_Channel),OR(sel_Customer="All",F2011=sel_Customer),OR(sel_Category="All",G2011=sel_Category),OR(sel_Product="All",H2011=sel_Product),AND(S2011&gt;=m_From,S2011&lt;=m_To)),1,0)</f>
        <v/>
      </c>
      <c r="V2011" s="36">
        <f>IF(AND(OR(sel_Region="All",C2011=sel_Region),OR(sel_Channel="All",E2011=sel_Channel),OR(sel_Customer="All",F2011=sel_Customer),OR(sel_Category="All",G2011=sel_Category),OR(sel_Product="All",H2011=sel_Product),AND(S2011&gt;=m_From,S2011&lt;=m_To)),1,0)</f>
        <v/>
      </c>
      <c r="W2011" s="36">
        <f>IF(AND(OR(sel_Region="All",C2011=sel_Region),OR(sel_Country="All",D2011=sel_Country),OR(sel_Customer="All",F2011=sel_Customer),OR(sel_Category="All",G2011=sel_Category),OR(sel_Product="All",H2011=sel_Product),AND(S2011&gt;=m_From,S2011&lt;=m_To)),1,0)</f>
        <v/>
      </c>
      <c r="X2011" s="36">
        <f>IF(AND(OR(sel_Region="All",C2011=sel_Region),OR(sel_Country="All",D2011=sel_Country),OR(sel_Channel="All",E2011=sel_Channel),OR(sel_Category="All",G2011=sel_Category),OR(sel_Product="All",H2011=sel_Product),AND(S2011&gt;=m_From,S2011&lt;=m_To)),1,0)</f>
        <v/>
      </c>
      <c r="Y2011" s="36">
        <f>IF(AND(OR(sel_Region="All",C2011=sel_Region),OR(sel_Country="All",D2011=sel_Country),OR(sel_Channel="All",E2011=sel_Channel),OR(sel_Customer="All",F2011=sel_Customer),OR(sel_Product="All",H2011=sel_Product),AND(S2011&gt;=m_From,S2011&lt;=m_To)),1,0)</f>
        <v/>
      </c>
      <c r="Z2011" s="36">
        <f>IF(AND(OR(sel_Region="All",C2011=sel_Region),OR(sel_Country="All",D2011=sel_Country),OR(sel_Channel="All",E2011=sel_Channel),OR(sel_Customer="All",F2011=sel_Customer),OR(sel_Category="All",G2011=sel_Category),AND(S2011&gt;=m_From,S2011&lt;=m_To)),1,0)</f>
        <v/>
      </c>
      <c r="AA2011" s="36">
        <f>IF(AND(OR(sel_Region="All",C2011=sel_Region),OR(sel_Country="All",D2011=sel_Country),OR(sel_Channel="All",E2011=sel_Channel),OR(sel_Customer="All",F2011=sel_Customer),OR(sel_Category="All",G2011=sel_Category),OR(sel_Product="All",H2011=sel_Product)),1,0)</f>
        <v/>
      </c>
    </row>
    <row r="2012">
      <c r="A2012" s="36" t="inlineStr">
        <is>
          <t>02299</t>
        </is>
      </c>
      <c r="B2012" s="44" t="n">
        <v>46294</v>
      </c>
      <c r="C2012" s="36" t="inlineStr">
        <is>
          <t>Central Europe</t>
        </is>
      </c>
      <c r="D2012" s="36" t="inlineStr">
        <is>
          <t>Switzerland</t>
        </is>
      </c>
      <c r="E2012" s="36" t="inlineStr">
        <is>
          <t>Online Store</t>
        </is>
      </c>
      <c r="F2012" s="36" t="inlineStr">
        <is>
          <t>New</t>
        </is>
      </c>
      <c r="G2012" s="36" t="inlineStr">
        <is>
          <t>Travel</t>
        </is>
      </c>
      <c r="H2012" s="36" t="inlineStr">
        <is>
          <t>Insulated Bottle</t>
        </is>
      </c>
      <c r="I2012" s="36" t="n">
        <v>2</v>
      </c>
      <c r="J2012" s="39" t="n">
        <v>36.93</v>
      </c>
      <c r="K2012" s="45" t="n">
        <v>0.1</v>
      </c>
      <c r="L2012" s="39" t="n">
        <v>13.4</v>
      </c>
      <c r="M2012" s="39">
        <f>I2012*J2012*(1-K2012)</f>
        <v/>
      </c>
      <c r="N2012" s="39">
        <f>I2012*L2012</f>
        <v/>
      </c>
      <c r="O2012" s="39">
        <f>M2012-N2012</f>
        <v/>
      </c>
      <c r="P2012" s="38">
        <f>IF(M2012=0,0,O2012/M2012)</f>
        <v/>
      </c>
      <c r="Q2012" s="36">
        <f>YEAR(B2012)</f>
        <v/>
      </c>
      <c r="R2012" s="36">
        <f>"Q"&amp;ROUNDUP(MONTH(B2012)/3,0)</f>
        <v/>
      </c>
      <c r="S2012" s="36">
        <f>MONTH(B2012)</f>
        <v/>
      </c>
      <c r="T2012" s="36">
        <f>TEXT(B2012,"mmm")</f>
        <v/>
      </c>
      <c r="U2012" s="36">
        <f>IF(AND(OR(sel_Region="All",C2012=sel_Region),OR(sel_Country="All",D2012=sel_Country),OR(sel_Channel="All",E2012=sel_Channel),OR(sel_Customer="All",F2012=sel_Customer),OR(sel_Category="All",G2012=sel_Category),OR(sel_Product="All",H2012=sel_Product),AND(S2012&gt;=m_From,S2012&lt;=m_To)),1,0)</f>
        <v/>
      </c>
      <c r="V2012" s="36">
        <f>IF(AND(OR(sel_Region="All",C2012=sel_Region),OR(sel_Channel="All",E2012=sel_Channel),OR(sel_Customer="All",F2012=sel_Customer),OR(sel_Category="All",G2012=sel_Category),OR(sel_Product="All",H2012=sel_Product),AND(S2012&gt;=m_From,S2012&lt;=m_To)),1,0)</f>
        <v/>
      </c>
      <c r="W2012" s="36">
        <f>IF(AND(OR(sel_Region="All",C2012=sel_Region),OR(sel_Country="All",D2012=sel_Country),OR(sel_Customer="All",F2012=sel_Customer),OR(sel_Category="All",G2012=sel_Category),OR(sel_Product="All",H2012=sel_Product),AND(S2012&gt;=m_From,S2012&lt;=m_To)),1,0)</f>
        <v/>
      </c>
      <c r="X2012" s="36">
        <f>IF(AND(OR(sel_Region="All",C2012=sel_Region),OR(sel_Country="All",D2012=sel_Country),OR(sel_Channel="All",E2012=sel_Channel),OR(sel_Category="All",G2012=sel_Category),OR(sel_Product="All",H2012=sel_Product),AND(S2012&gt;=m_From,S2012&lt;=m_To)),1,0)</f>
        <v/>
      </c>
      <c r="Y2012" s="36">
        <f>IF(AND(OR(sel_Region="All",C2012=sel_Region),OR(sel_Country="All",D2012=sel_Country),OR(sel_Channel="All",E2012=sel_Channel),OR(sel_Customer="All",F2012=sel_Customer),OR(sel_Product="All",H2012=sel_Product),AND(S2012&gt;=m_From,S2012&lt;=m_To)),1,0)</f>
        <v/>
      </c>
      <c r="Z2012" s="36">
        <f>IF(AND(OR(sel_Region="All",C2012=sel_Region),OR(sel_Country="All",D2012=sel_Country),OR(sel_Channel="All",E2012=sel_Channel),OR(sel_Customer="All",F2012=sel_Customer),OR(sel_Category="All",G2012=sel_Category),AND(S2012&gt;=m_From,S2012&lt;=m_To)),1,0)</f>
        <v/>
      </c>
      <c r="AA2012" s="36">
        <f>IF(AND(OR(sel_Region="All",C2012=sel_Region),OR(sel_Country="All",D2012=sel_Country),OR(sel_Channel="All",E2012=sel_Channel),OR(sel_Customer="All",F2012=sel_Customer),OR(sel_Category="All",G2012=sel_Category),OR(sel_Product="All",H2012=sel_Product)),1,0)</f>
        <v/>
      </c>
    </row>
    <row r="2013">
      <c r="A2013" s="36" t="inlineStr">
        <is>
          <t>03051</t>
        </is>
      </c>
      <c r="B2013" s="44" t="n">
        <v>46294</v>
      </c>
      <c r="C2013" s="36" t="inlineStr">
        <is>
          <t>Central Europe</t>
        </is>
      </c>
      <c r="D2013" s="36" t="inlineStr">
        <is>
          <t>Poland</t>
        </is>
      </c>
      <c r="E2013" s="36" t="inlineStr">
        <is>
          <t>Online Store</t>
        </is>
      </c>
      <c r="F2013" s="36" t="inlineStr">
        <is>
          <t>New</t>
        </is>
      </c>
      <c r="G2013" s="36" t="inlineStr">
        <is>
          <t>Fitness</t>
        </is>
      </c>
      <c r="H2013" s="36" t="inlineStr">
        <is>
          <t>Training Mat</t>
        </is>
      </c>
      <c r="I2013" s="36" t="n">
        <v>2</v>
      </c>
      <c r="J2013" s="39" t="n">
        <v>51.52</v>
      </c>
      <c r="K2013" s="45" t="n">
        <v>0</v>
      </c>
      <c r="L2013" s="39" t="n">
        <v>21.47</v>
      </c>
      <c r="M2013" s="39">
        <f>I2013*J2013*(1-K2013)</f>
        <v/>
      </c>
      <c r="N2013" s="39">
        <f>I2013*L2013</f>
        <v/>
      </c>
      <c r="O2013" s="39">
        <f>M2013-N2013</f>
        <v/>
      </c>
      <c r="P2013" s="38">
        <f>IF(M2013=0,0,O2013/M2013)</f>
        <v/>
      </c>
      <c r="Q2013" s="36">
        <f>YEAR(B2013)</f>
        <v/>
      </c>
      <c r="R2013" s="36">
        <f>"Q"&amp;ROUNDUP(MONTH(B2013)/3,0)</f>
        <v/>
      </c>
      <c r="S2013" s="36">
        <f>MONTH(B2013)</f>
        <v/>
      </c>
      <c r="T2013" s="36">
        <f>TEXT(B2013,"mmm")</f>
        <v/>
      </c>
      <c r="U2013" s="36">
        <f>IF(AND(OR(sel_Region="All",C2013=sel_Region),OR(sel_Country="All",D2013=sel_Country),OR(sel_Channel="All",E2013=sel_Channel),OR(sel_Customer="All",F2013=sel_Customer),OR(sel_Category="All",G2013=sel_Category),OR(sel_Product="All",H2013=sel_Product),AND(S2013&gt;=m_From,S2013&lt;=m_To)),1,0)</f>
        <v/>
      </c>
      <c r="V2013" s="36">
        <f>IF(AND(OR(sel_Region="All",C2013=sel_Region),OR(sel_Channel="All",E2013=sel_Channel),OR(sel_Customer="All",F2013=sel_Customer),OR(sel_Category="All",G2013=sel_Category),OR(sel_Product="All",H2013=sel_Product),AND(S2013&gt;=m_From,S2013&lt;=m_To)),1,0)</f>
        <v/>
      </c>
      <c r="W2013" s="36">
        <f>IF(AND(OR(sel_Region="All",C2013=sel_Region),OR(sel_Country="All",D2013=sel_Country),OR(sel_Customer="All",F2013=sel_Customer),OR(sel_Category="All",G2013=sel_Category),OR(sel_Product="All",H2013=sel_Product),AND(S2013&gt;=m_From,S2013&lt;=m_To)),1,0)</f>
        <v/>
      </c>
      <c r="X2013" s="36">
        <f>IF(AND(OR(sel_Region="All",C2013=sel_Region),OR(sel_Country="All",D2013=sel_Country),OR(sel_Channel="All",E2013=sel_Channel),OR(sel_Category="All",G2013=sel_Category),OR(sel_Product="All",H2013=sel_Product),AND(S2013&gt;=m_From,S2013&lt;=m_To)),1,0)</f>
        <v/>
      </c>
      <c r="Y2013" s="36">
        <f>IF(AND(OR(sel_Region="All",C2013=sel_Region),OR(sel_Country="All",D2013=sel_Country),OR(sel_Channel="All",E2013=sel_Channel),OR(sel_Customer="All",F2013=sel_Customer),OR(sel_Product="All",H2013=sel_Product),AND(S2013&gt;=m_From,S2013&lt;=m_To)),1,0)</f>
        <v/>
      </c>
      <c r="Z2013" s="36">
        <f>IF(AND(OR(sel_Region="All",C2013=sel_Region),OR(sel_Country="All",D2013=sel_Country),OR(sel_Channel="All",E2013=sel_Channel),OR(sel_Customer="All",F2013=sel_Customer),OR(sel_Category="All",G2013=sel_Category),AND(S2013&gt;=m_From,S2013&lt;=m_To)),1,0)</f>
        <v/>
      </c>
      <c r="AA2013" s="36">
        <f>IF(AND(OR(sel_Region="All",C2013=sel_Region),OR(sel_Country="All",D2013=sel_Country),OR(sel_Channel="All",E2013=sel_Channel),OR(sel_Customer="All",F2013=sel_Customer),OR(sel_Category="All",G2013=sel_Category),OR(sel_Product="All",H2013=sel_Product)),1,0)</f>
        <v/>
      </c>
    </row>
    <row r="2014">
      <c r="A2014" s="36" t="inlineStr">
        <is>
          <t>04018</t>
        </is>
      </c>
      <c r="B2014" s="44" t="n">
        <v>46294</v>
      </c>
      <c r="C2014" s="36" t="inlineStr">
        <is>
          <t>Central Europe</t>
        </is>
      </c>
      <c r="D2014" s="36" t="inlineStr">
        <is>
          <t>Austria</t>
        </is>
      </c>
      <c r="E2014" s="36" t="inlineStr">
        <is>
          <t>Online Store</t>
        </is>
      </c>
      <c r="F2014" s="36" t="inlineStr">
        <is>
          <t>New</t>
        </is>
      </c>
      <c r="G2014" s="36" t="inlineStr">
        <is>
          <t>Fitness</t>
        </is>
      </c>
      <c r="H2014" s="36" t="inlineStr">
        <is>
          <t>Training Mat</t>
        </is>
      </c>
      <c r="I2014" s="36" t="n">
        <v>1</v>
      </c>
      <c r="J2014" s="39" t="n">
        <v>50.42</v>
      </c>
      <c r="K2014" s="45" t="n">
        <v>0</v>
      </c>
      <c r="L2014" s="39" t="n">
        <v>21.68</v>
      </c>
      <c r="M2014" s="39">
        <f>I2014*J2014*(1-K2014)</f>
        <v/>
      </c>
      <c r="N2014" s="39">
        <f>I2014*L2014</f>
        <v/>
      </c>
      <c r="O2014" s="39">
        <f>M2014-N2014</f>
        <v/>
      </c>
      <c r="P2014" s="38">
        <f>IF(M2014=0,0,O2014/M2014)</f>
        <v/>
      </c>
      <c r="Q2014" s="36">
        <f>YEAR(B2014)</f>
        <v/>
      </c>
      <c r="R2014" s="36">
        <f>"Q"&amp;ROUNDUP(MONTH(B2014)/3,0)</f>
        <v/>
      </c>
      <c r="S2014" s="36">
        <f>MONTH(B2014)</f>
        <v/>
      </c>
      <c r="T2014" s="36">
        <f>TEXT(B2014,"mmm")</f>
        <v/>
      </c>
      <c r="U2014" s="36">
        <f>IF(AND(OR(sel_Region="All",C2014=sel_Region),OR(sel_Country="All",D2014=sel_Country),OR(sel_Channel="All",E2014=sel_Channel),OR(sel_Customer="All",F2014=sel_Customer),OR(sel_Category="All",G2014=sel_Category),OR(sel_Product="All",H2014=sel_Product),AND(S2014&gt;=m_From,S2014&lt;=m_To)),1,0)</f>
        <v/>
      </c>
      <c r="V2014" s="36">
        <f>IF(AND(OR(sel_Region="All",C2014=sel_Region),OR(sel_Channel="All",E2014=sel_Channel),OR(sel_Customer="All",F2014=sel_Customer),OR(sel_Category="All",G2014=sel_Category),OR(sel_Product="All",H2014=sel_Product),AND(S2014&gt;=m_From,S2014&lt;=m_To)),1,0)</f>
        <v/>
      </c>
      <c r="W2014" s="36">
        <f>IF(AND(OR(sel_Region="All",C2014=sel_Region),OR(sel_Country="All",D2014=sel_Country),OR(sel_Customer="All",F2014=sel_Customer),OR(sel_Category="All",G2014=sel_Category),OR(sel_Product="All",H2014=sel_Product),AND(S2014&gt;=m_From,S2014&lt;=m_To)),1,0)</f>
        <v/>
      </c>
      <c r="X2014" s="36">
        <f>IF(AND(OR(sel_Region="All",C2014=sel_Region),OR(sel_Country="All",D2014=sel_Country),OR(sel_Channel="All",E2014=sel_Channel),OR(sel_Category="All",G2014=sel_Category),OR(sel_Product="All",H2014=sel_Product),AND(S2014&gt;=m_From,S2014&lt;=m_To)),1,0)</f>
        <v/>
      </c>
      <c r="Y2014" s="36">
        <f>IF(AND(OR(sel_Region="All",C2014=sel_Region),OR(sel_Country="All",D2014=sel_Country),OR(sel_Channel="All",E2014=sel_Channel),OR(sel_Customer="All",F2014=sel_Customer),OR(sel_Product="All",H2014=sel_Product),AND(S2014&gt;=m_From,S2014&lt;=m_To)),1,0)</f>
        <v/>
      </c>
      <c r="Z2014" s="36">
        <f>IF(AND(OR(sel_Region="All",C2014=sel_Region),OR(sel_Country="All",D2014=sel_Country),OR(sel_Channel="All",E2014=sel_Channel),OR(sel_Customer="All",F2014=sel_Customer),OR(sel_Category="All",G2014=sel_Category),AND(S2014&gt;=m_From,S2014&lt;=m_To)),1,0)</f>
        <v/>
      </c>
      <c r="AA2014" s="36">
        <f>IF(AND(OR(sel_Region="All",C2014=sel_Region),OR(sel_Country="All",D2014=sel_Country),OR(sel_Channel="All",E2014=sel_Channel),OR(sel_Customer="All",F2014=sel_Customer),OR(sel_Category="All",G2014=sel_Category),OR(sel_Product="All",H2014=sel_Product)),1,0)</f>
        <v/>
      </c>
    </row>
    <row r="2015">
      <c r="A2015" s="36" t="inlineStr">
        <is>
          <t>04118</t>
        </is>
      </c>
      <c r="B2015" s="44" t="n">
        <v>46294</v>
      </c>
      <c r="C2015" s="36" t="inlineStr">
        <is>
          <t>Central Europe</t>
        </is>
      </c>
      <c r="D2015" s="36" t="inlineStr">
        <is>
          <t>Poland</t>
        </is>
      </c>
      <c r="E2015" s="36" t="inlineStr">
        <is>
          <t>Corporate</t>
        </is>
      </c>
      <c r="F2015" s="36" t="inlineStr">
        <is>
          <t>Returning</t>
        </is>
      </c>
      <c r="G2015" s="36" t="inlineStr">
        <is>
          <t>Hiking</t>
        </is>
      </c>
      <c r="H2015" s="36" t="inlineStr">
        <is>
          <t>Summit Backpack 45L</t>
        </is>
      </c>
      <c r="I2015" s="36" t="n">
        <v>10</v>
      </c>
      <c r="J2015" s="39" t="n">
        <v>157.79</v>
      </c>
      <c r="K2015" s="45" t="n">
        <v>0.1</v>
      </c>
      <c r="L2015" s="39" t="n">
        <v>77.90000000000001</v>
      </c>
      <c r="M2015" s="39">
        <f>I2015*J2015*(1-K2015)</f>
        <v/>
      </c>
      <c r="N2015" s="39">
        <f>I2015*L2015</f>
        <v/>
      </c>
      <c r="O2015" s="39">
        <f>M2015-N2015</f>
        <v/>
      </c>
      <c r="P2015" s="38">
        <f>IF(M2015=0,0,O2015/M2015)</f>
        <v/>
      </c>
      <c r="Q2015" s="36">
        <f>YEAR(B2015)</f>
        <v/>
      </c>
      <c r="R2015" s="36">
        <f>"Q"&amp;ROUNDUP(MONTH(B2015)/3,0)</f>
        <v/>
      </c>
      <c r="S2015" s="36">
        <f>MONTH(B2015)</f>
        <v/>
      </c>
      <c r="T2015" s="36">
        <f>TEXT(B2015,"mmm")</f>
        <v/>
      </c>
      <c r="U2015" s="36">
        <f>IF(AND(OR(sel_Region="All",C2015=sel_Region),OR(sel_Country="All",D2015=sel_Country),OR(sel_Channel="All",E2015=sel_Channel),OR(sel_Customer="All",F2015=sel_Customer),OR(sel_Category="All",G2015=sel_Category),OR(sel_Product="All",H2015=sel_Product),AND(S2015&gt;=m_From,S2015&lt;=m_To)),1,0)</f>
        <v/>
      </c>
      <c r="V2015" s="36">
        <f>IF(AND(OR(sel_Region="All",C2015=sel_Region),OR(sel_Channel="All",E2015=sel_Channel),OR(sel_Customer="All",F2015=sel_Customer),OR(sel_Category="All",G2015=sel_Category),OR(sel_Product="All",H2015=sel_Product),AND(S2015&gt;=m_From,S2015&lt;=m_To)),1,0)</f>
        <v/>
      </c>
      <c r="W2015" s="36">
        <f>IF(AND(OR(sel_Region="All",C2015=sel_Region),OR(sel_Country="All",D2015=sel_Country),OR(sel_Customer="All",F2015=sel_Customer),OR(sel_Category="All",G2015=sel_Category),OR(sel_Product="All",H2015=sel_Product),AND(S2015&gt;=m_From,S2015&lt;=m_To)),1,0)</f>
        <v/>
      </c>
      <c r="X2015" s="36">
        <f>IF(AND(OR(sel_Region="All",C2015=sel_Region),OR(sel_Country="All",D2015=sel_Country),OR(sel_Channel="All",E2015=sel_Channel),OR(sel_Category="All",G2015=sel_Category),OR(sel_Product="All",H2015=sel_Product),AND(S2015&gt;=m_From,S2015&lt;=m_To)),1,0)</f>
        <v/>
      </c>
      <c r="Y2015" s="36">
        <f>IF(AND(OR(sel_Region="All",C2015=sel_Region),OR(sel_Country="All",D2015=sel_Country),OR(sel_Channel="All",E2015=sel_Channel),OR(sel_Customer="All",F2015=sel_Customer),OR(sel_Product="All",H2015=sel_Product),AND(S2015&gt;=m_From,S2015&lt;=m_To)),1,0)</f>
        <v/>
      </c>
      <c r="Z2015" s="36">
        <f>IF(AND(OR(sel_Region="All",C2015=sel_Region),OR(sel_Country="All",D2015=sel_Country),OR(sel_Channel="All",E2015=sel_Channel),OR(sel_Customer="All",F2015=sel_Customer),OR(sel_Category="All",G2015=sel_Category),AND(S2015&gt;=m_From,S2015&lt;=m_To)),1,0)</f>
        <v/>
      </c>
      <c r="AA2015" s="36">
        <f>IF(AND(OR(sel_Region="All",C2015=sel_Region),OR(sel_Country="All",D2015=sel_Country),OR(sel_Channel="All",E2015=sel_Channel),OR(sel_Customer="All",F2015=sel_Customer),OR(sel_Category="All",G2015=sel_Category),OR(sel_Product="All",H2015=sel_Product)),1,0)</f>
        <v/>
      </c>
    </row>
    <row r="2016">
      <c r="A2016" s="36" t="inlineStr">
        <is>
          <t>04251</t>
        </is>
      </c>
      <c r="B2016" s="44" t="n">
        <v>46294</v>
      </c>
      <c r="C2016" s="36" t="inlineStr">
        <is>
          <t>Central Europe</t>
        </is>
      </c>
      <c r="D2016" s="36" t="inlineStr">
        <is>
          <t>Switzerland</t>
        </is>
      </c>
      <c r="E2016" s="36" t="inlineStr">
        <is>
          <t>Online Store</t>
        </is>
      </c>
      <c r="F2016" s="36" t="inlineStr">
        <is>
          <t>Returning</t>
        </is>
      </c>
      <c r="G2016" s="36" t="inlineStr">
        <is>
          <t>Cycling</t>
        </is>
      </c>
      <c r="H2016" s="36" t="inlineStr">
        <is>
          <t>Compact Repair Kit</t>
        </is>
      </c>
      <c r="I2016" s="36" t="n">
        <v>1</v>
      </c>
      <c r="J2016" s="39" t="n">
        <v>40.41</v>
      </c>
      <c r="K2016" s="45" t="n">
        <v>0.15</v>
      </c>
      <c r="L2016" s="39" t="n">
        <v>16.3</v>
      </c>
      <c r="M2016" s="39">
        <f>I2016*J2016*(1-K2016)</f>
        <v/>
      </c>
      <c r="N2016" s="39">
        <f>I2016*L2016</f>
        <v/>
      </c>
      <c r="O2016" s="39">
        <f>M2016-N2016</f>
        <v/>
      </c>
      <c r="P2016" s="38">
        <f>IF(M2016=0,0,O2016/M2016)</f>
        <v/>
      </c>
      <c r="Q2016" s="36">
        <f>YEAR(B2016)</f>
        <v/>
      </c>
      <c r="R2016" s="36">
        <f>"Q"&amp;ROUNDUP(MONTH(B2016)/3,0)</f>
        <v/>
      </c>
      <c r="S2016" s="36">
        <f>MONTH(B2016)</f>
        <v/>
      </c>
      <c r="T2016" s="36">
        <f>TEXT(B2016,"mmm")</f>
        <v/>
      </c>
      <c r="U2016" s="36">
        <f>IF(AND(OR(sel_Region="All",C2016=sel_Region),OR(sel_Country="All",D2016=sel_Country),OR(sel_Channel="All",E2016=sel_Channel),OR(sel_Customer="All",F2016=sel_Customer),OR(sel_Category="All",G2016=sel_Category),OR(sel_Product="All",H2016=sel_Product),AND(S2016&gt;=m_From,S2016&lt;=m_To)),1,0)</f>
        <v/>
      </c>
      <c r="V2016" s="36">
        <f>IF(AND(OR(sel_Region="All",C2016=sel_Region),OR(sel_Channel="All",E2016=sel_Channel),OR(sel_Customer="All",F2016=sel_Customer),OR(sel_Category="All",G2016=sel_Category),OR(sel_Product="All",H2016=sel_Product),AND(S2016&gt;=m_From,S2016&lt;=m_To)),1,0)</f>
        <v/>
      </c>
      <c r="W2016" s="36">
        <f>IF(AND(OR(sel_Region="All",C2016=sel_Region),OR(sel_Country="All",D2016=sel_Country),OR(sel_Customer="All",F2016=sel_Customer),OR(sel_Category="All",G2016=sel_Category),OR(sel_Product="All",H2016=sel_Product),AND(S2016&gt;=m_From,S2016&lt;=m_To)),1,0)</f>
        <v/>
      </c>
      <c r="X2016" s="36">
        <f>IF(AND(OR(sel_Region="All",C2016=sel_Region),OR(sel_Country="All",D2016=sel_Country),OR(sel_Channel="All",E2016=sel_Channel),OR(sel_Category="All",G2016=sel_Category),OR(sel_Product="All",H2016=sel_Product),AND(S2016&gt;=m_From,S2016&lt;=m_To)),1,0)</f>
        <v/>
      </c>
      <c r="Y2016" s="36">
        <f>IF(AND(OR(sel_Region="All",C2016=sel_Region),OR(sel_Country="All",D2016=sel_Country),OR(sel_Channel="All",E2016=sel_Channel),OR(sel_Customer="All",F2016=sel_Customer),OR(sel_Product="All",H2016=sel_Product),AND(S2016&gt;=m_From,S2016&lt;=m_To)),1,0)</f>
        <v/>
      </c>
      <c r="Z2016" s="36">
        <f>IF(AND(OR(sel_Region="All",C2016=sel_Region),OR(sel_Country="All",D2016=sel_Country),OR(sel_Channel="All",E2016=sel_Channel),OR(sel_Customer="All",F2016=sel_Customer),OR(sel_Category="All",G2016=sel_Category),AND(S2016&gt;=m_From,S2016&lt;=m_To)),1,0)</f>
        <v/>
      </c>
      <c r="AA2016" s="36">
        <f>IF(AND(OR(sel_Region="All",C2016=sel_Region),OR(sel_Country="All",D2016=sel_Country),OR(sel_Channel="All",E2016=sel_Channel),OR(sel_Customer="All",F2016=sel_Customer),OR(sel_Category="All",G2016=sel_Category),OR(sel_Product="All",H2016=sel_Product)),1,0)</f>
        <v/>
      </c>
    </row>
    <row r="2017">
      <c r="A2017" s="36" t="inlineStr">
        <is>
          <t>04557</t>
        </is>
      </c>
      <c r="B2017" s="44" t="n">
        <v>46294</v>
      </c>
      <c r="C2017" s="36" t="inlineStr">
        <is>
          <t>Western Europe</t>
        </is>
      </c>
      <c r="D2017" s="36" t="inlineStr">
        <is>
          <t>United Kingdom</t>
        </is>
      </c>
      <c r="E2017" s="36" t="inlineStr">
        <is>
          <t>Online Store</t>
        </is>
      </c>
      <c r="F2017" s="36" t="inlineStr">
        <is>
          <t>New</t>
        </is>
      </c>
      <c r="G2017" s="36" t="inlineStr">
        <is>
          <t>Cycling</t>
        </is>
      </c>
      <c r="H2017" s="36" t="inlineStr">
        <is>
          <t>Trail Bike Light</t>
        </is>
      </c>
      <c r="I2017" s="36" t="n">
        <v>2</v>
      </c>
      <c r="J2017" s="39" t="n">
        <v>50.17</v>
      </c>
      <c r="K2017" s="45" t="n">
        <v>0.05</v>
      </c>
      <c r="L2017" s="39" t="n">
        <v>22.83</v>
      </c>
      <c r="M2017" s="39">
        <f>I2017*J2017*(1-K2017)</f>
        <v/>
      </c>
      <c r="N2017" s="39">
        <f>I2017*L2017</f>
        <v/>
      </c>
      <c r="O2017" s="39">
        <f>M2017-N2017</f>
        <v/>
      </c>
      <c r="P2017" s="38">
        <f>IF(M2017=0,0,O2017/M2017)</f>
        <v/>
      </c>
      <c r="Q2017" s="36">
        <f>YEAR(B2017)</f>
        <v/>
      </c>
      <c r="R2017" s="36">
        <f>"Q"&amp;ROUNDUP(MONTH(B2017)/3,0)</f>
        <v/>
      </c>
      <c r="S2017" s="36">
        <f>MONTH(B2017)</f>
        <v/>
      </c>
      <c r="T2017" s="36">
        <f>TEXT(B2017,"mmm")</f>
        <v/>
      </c>
      <c r="U2017" s="36">
        <f>IF(AND(OR(sel_Region="All",C2017=sel_Region),OR(sel_Country="All",D2017=sel_Country),OR(sel_Channel="All",E2017=sel_Channel),OR(sel_Customer="All",F2017=sel_Customer),OR(sel_Category="All",G2017=sel_Category),OR(sel_Product="All",H2017=sel_Product),AND(S2017&gt;=m_From,S2017&lt;=m_To)),1,0)</f>
        <v/>
      </c>
      <c r="V2017" s="36">
        <f>IF(AND(OR(sel_Region="All",C2017=sel_Region),OR(sel_Channel="All",E2017=sel_Channel),OR(sel_Customer="All",F2017=sel_Customer),OR(sel_Category="All",G2017=sel_Category),OR(sel_Product="All",H2017=sel_Product),AND(S2017&gt;=m_From,S2017&lt;=m_To)),1,0)</f>
        <v/>
      </c>
      <c r="W2017" s="36">
        <f>IF(AND(OR(sel_Region="All",C2017=sel_Region),OR(sel_Country="All",D2017=sel_Country),OR(sel_Customer="All",F2017=sel_Customer),OR(sel_Category="All",G2017=sel_Category),OR(sel_Product="All",H2017=sel_Product),AND(S2017&gt;=m_From,S2017&lt;=m_To)),1,0)</f>
        <v/>
      </c>
      <c r="X2017" s="36">
        <f>IF(AND(OR(sel_Region="All",C2017=sel_Region),OR(sel_Country="All",D2017=sel_Country),OR(sel_Channel="All",E2017=sel_Channel),OR(sel_Category="All",G2017=sel_Category),OR(sel_Product="All",H2017=sel_Product),AND(S2017&gt;=m_From,S2017&lt;=m_To)),1,0)</f>
        <v/>
      </c>
      <c r="Y2017" s="36">
        <f>IF(AND(OR(sel_Region="All",C2017=sel_Region),OR(sel_Country="All",D2017=sel_Country),OR(sel_Channel="All",E2017=sel_Channel),OR(sel_Customer="All",F2017=sel_Customer),OR(sel_Product="All",H2017=sel_Product),AND(S2017&gt;=m_From,S2017&lt;=m_To)),1,0)</f>
        <v/>
      </c>
      <c r="Z2017" s="36">
        <f>IF(AND(OR(sel_Region="All",C2017=sel_Region),OR(sel_Country="All",D2017=sel_Country),OR(sel_Channel="All",E2017=sel_Channel),OR(sel_Customer="All",F2017=sel_Customer),OR(sel_Category="All",G2017=sel_Category),AND(S2017&gt;=m_From,S2017&lt;=m_To)),1,0)</f>
        <v/>
      </c>
      <c r="AA2017" s="36">
        <f>IF(AND(OR(sel_Region="All",C2017=sel_Region),OR(sel_Country="All",D2017=sel_Country),OR(sel_Channel="All",E2017=sel_Channel),OR(sel_Customer="All",F2017=sel_Customer),OR(sel_Category="All",G2017=sel_Category),OR(sel_Product="All",H2017=sel_Product)),1,0)</f>
        <v/>
      </c>
    </row>
    <row r="2018">
      <c r="A2018" s="36" t="inlineStr">
        <is>
          <t>04811</t>
        </is>
      </c>
      <c r="B2018" s="44" t="n">
        <v>46294</v>
      </c>
      <c r="C2018" s="36" t="inlineStr">
        <is>
          <t>Central Europe</t>
        </is>
      </c>
      <c r="D2018" s="36" t="inlineStr">
        <is>
          <t>Poland</t>
        </is>
      </c>
      <c r="E2018" s="36" t="inlineStr">
        <is>
          <t>Online Store</t>
        </is>
      </c>
      <c r="F2018" s="36" t="inlineStr">
        <is>
          <t>New</t>
        </is>
      </c>
      <c r="G2018" s="36" t="inlineStr">
        <is>
          <t>Hiking</t>
        </is>
      </c>
      <c r="H2018" s="36" t="inlineStr">
        <is>
          <t>Summit Backpack 45L</t>
        </is>
      </c>
      <c r="I2018" s="36" t="n">
        <v>1</v>
      </c>
      <c r="J2018" s="39" t="n">
        <v>155.55</v>
      </c>
      <c r="K2018" s="45" t="n">
        <v>0.1</v>
      </c>
      <c r="L2018" s="39" t="n">
        <v>79.2</v>
      </c>
      <c r="M2018" s="39">
        <f>I2018*J2018*(1-K2018)</f>
        <v/>
      </c>
      <c r="N2018" s="39">
        <f>I2018*L2018</f>
        <v/>
      </c>
      <c r="O2018" s="39">
        <f>M2018-N2018</f>
        <v/>
      </c>
      <c r="P2018" s="38">
        <f>IF(M2018=0,0,O2018/M2018)</f>
        <v/>
      </c>
      <c r="Q2018" s="36">
        <f>YEAR(B2018)</f>
        <v/>
      </c>
      <c r="R2018" s="36">
        <f>"Q"&amp;ROUNDUP(MONTH(B2018)/3,0)</f>
        <v/>
      </c>
      <c r="S2018" s="36">
        <f>MONTH(B2018)</f>
        <v/>
      </c>
      <c r="T2018" s="36">
        <f>TEXT(B2018,"mmm")</f>
        <v/>
      </c>
      <c r="U2018" s="36">
        <f>IF(AND(OR(sel_Region="All",C2018=sel_Region),OR(sel_Country="All",D2018=sel_Country),OR(sel_Channel="All",E2018=sel_Channel),OR(sel_Customer="All",F2018=sel_Customer),OR(sel_Category="All",G2018=sel_Category),OR(sel_Product="All",H2018=sel_Product),AND(S2018&gt;=m_From,S2018&lt;=m_To)),1,0)</f>
        <v/>
      </c>
      <c r="V2018" s="36">
        <f>IF(AND(OR(sel_Region="All",C2018=sel_Region),OR(sel_Channel="All",E2018=sel_Channel),OR(sel_Customer="All",F2018=sel_Customer),OR(sel_Category="All",G2018=sel_Category),OR(sel_Product="All",H2018=sel_Product),AND(S2018&gt;=m_From,S2018&lt;=m_To)),1,0)</f>
        <v/>
      </c>
      <c r="W2018" s="36">
        <f>IF(AND(OR(sel_Region="All",C2018=sel_Region),OR(sel_Country="All",D2018=sel_Country),OR(sel_Customer="All",F2018=sel_Customer),OR(sel_Category="All",G2018=sel_Category),OR(sel_Product="All",H2018=sel_Product),AND(S2018&gt;=m_From,S2018&lt;=m_To)),1,0)</f>
        <v/>
      </c>
      <c r="X2018" s="36">
        <f>IF(AND(OR(sel_Region="All",C2018=sel_Region),OR(sel_Country="All",D2018=sel_Country),OR(sel_Channel="All",E2018=sel_Channel),OR(sel_Category="All",G2018=sel_Category),OR(sel_Product="All",H2018=sel_Product),AND(S2018&gt;=m_From,S2018&lt;=m_To)),1,0)</f>
        <v/>
      </c>
      <c r="Y2018" s="36">
        <f>IF(AND(OR(sel_Region="All",C2018=sel_Region),OR(sel_Country="All",D2018=sel_Country),OR(sel_Channel="All",E2018=sel_Channel),OR(sel_Customer="All",F2018=sel_Customer),OR(sel_Product="All",H2018=sel_Product),AND(S2018&gt;=m_From,S2018&lt;=m_To)),1,0)</f>
        <v/>
      </c>
      <c r="Z2018" s="36">
        <f>IF(AND(OR(sel_Region="All",C2018=sel_Region),OR(sel_Country="All",D2018=sel_Country),OR(sel_Channel="All",E2018=sel_Channel),OR(sel_Customer="All",F2018=sel_Customer),OR(sel_Category="All",G2018=sel_Category),AND(S2018&gt;=m_From,S2018&lt;=m_To)),1,0)</f>
        <v/>
      </c>
      <c r="AA2018" s="36">
        <f>IF(AND(OR(sel_Region="All",C2018=sel_Region),OR(sel_Country="All",D2018=sel_Country),OR(sel_Channel="All",E2018=sel_Channel),OR(sel_Customer="All",F2018=sel_Customer),OR(sel_Category="All",G2018=sel_Category),OR(sel_Product="All",H2018=sel_Product)),1,0)</f>
        <v/>
      </c>
    </row>
    <row r="2019">
      <c r="A2019" s="36" t="inlineStr">
        <is>
          <t>00306</t>
        </is>
      </c>
      <c r="B2019" s="44" t="n">
        <v>46295</v>
      </c>
      <c r="C2019" s="36" t="inlineStr">
        <is>
          <t>Northern Europe</t>
        </is>
      </c>
      <c r="D2019" s="36" t="inlineStr">
        <is>
          <t>Finland</t>
        </is>
      </c>
      <c r="E2019" s="36" t="inlineStr">
        <is>
          <t>Retail Partners</t>
        </is>
      </c>
      <c r="F2019" s="36" t="inlineStr">
        <is>
          <t>Business</t>
        </is>
      </c>
      <c r="G2019" s="36" t="inlineStr">
        <is>
          <t>Cycling</t>
        </is>
      </c>
      <c r="H2019" s="36" t="inlineStr">
        <is>
          <t>Trail Bike Light</t>
        </is>
      </c>
      <c r="I2019" s="36" t="n">
        <v>1</v>
      </c>
      <c r="J2019" s="39" t="n">
        <v>51.81</v>
      </c>
      <c r="K2019" s="45" t="n">
        <v>0.1</v>
      </c>
      <c r="L2019" s="39" t="n">
        <v>22.65</v>
      </c>
      <c r="M2019" s="39">
        <f>I2019*J2019*(1-K2019)</f>
        <v/>
      </c>
      <c r="N2019" s="39">
        <f>I2019*L2019</f>
        <v/>
      </c>
      <c r="O2019" s="39">
        <f>M2019-N2019</f>
        <v/>
      </c>
      <c r="P2019" s="38">
        <f>IF(M2019=0,0,O2019/M2019)</f>
        <v/>
      </c>
      <c r="Q2019" s="36">
        <f>YEAR(B2019)</f>
        <v/>
      </c>
      <c r="R2019" s="36">
        <f>"Q"&amp;ROUNDUP(MONTH(B2019)/3,0)</f>
        <v/>
      </c>
      <c r="S2019" s="36">
        <f>MONTH(B2019)</f>
        <v/>
      </c>
      <c r="T2019" s="36">
        <f>TEXT(B2019,"mmm")</f>
        <v/>
      </c>
      <c r="U2019" s="36">
        <f>IF(AND(OR(sel_Region="All",C2019=sel_Region),OR(sel_Country="All",D2019=sel_Country),OR(sel_Channel="All",E2019=sel_Channel),OR(sel_Customer="All",F2019=sel_Customer),OR(sel_Category="All",G2019=sel_Category),OR(sel_Product="All",H2019=sel_Product),AND(S2019&gt;=m_From,S2019&lt;=m_To)),1,0)</f>
        <v/>
      </c>
      <c r="V2019" s="36">
        <f>IF(AND(OR(sel_Region="All",C2019=sel_Region),OR(sel_Channel="All",E2019=sel_Channel),OR(sel_Customer="All",F2019=sel_Customer),OR(sel_Category="All",G2019=sel_Category),OR(sel_Product="All",H2019=sel_Product),AND(S2019&gt;=m_From,S2019&lt;=m_To)),1,0)</f>
        <v/>
      </c>
      <c r="W2019" s="36">
        <f>IF(AND(OR(sel_Region="All",C2019=sel_Region),OR(sel_Country="All",D2019=sel_Country),OR(sel_Customer="All",F2019=sel_Customer),OR(sel_Category="All",G2019=sel_Category),OR(sel_Product="All",H2019=sel_Product),AND(S2019&gt;=m_From,S2019&lt;=m_To)),1,0)</f>
        <v/>
      </c>
      <c r="X2019" s="36">
        <f>IF(AND(OR(sel_Region="All",C2019=sel_Region),OR(sel_Country="All",D2019=sel_Country),OR(sel_Channel="All",E2019=sel_Channel),OR(sel_Category="All",G2019=sel_Category),OR(sel_Product="All",H2019=sel_Product),AND(S2019&gt;=m_From,S2019&lt;=m_To)),1,0)</f>
        <v/>
      </c>
      <c r="Y2019" s="36">
        <f>IF(AND(OR(sel_Region="All",C2019=sel_Region),OR(sel_Country="All",D2019=sel_Country),OR(sel_Channel="All",E2019=sel_Channel),OR(sel_Customer="All",F2019=sel_Customer),OR(sel_Product="All",H2019=sel_Product),AND(S2019&gt;=m_From,S2019&lt;=m_To)),1,0)</f>
        <v/>
      </c>
      <c r="Z2019" s="36">
        <f>IF(AND(OR(sel_Region="All",C2019=sel_Region),OR(sel_Country="All",D2019=sel_Country),OR(sel_Channel="All",E2019=sel_Channel),OR(sel_Customer="All",F2019=sel_Customer),OR(sel_Category="All",G2019=sel_Category),AND(S2019&gt;=m_From,S2019&lt;=m_To)),1,0)</f>
        <v/>
      </c>
      <c r="AA2019" s="36">
        <f>IF(AND(OR(sel_Region="All",C2019=sel_Region),OR(sel_Country="All",D2019=sel_Country),OR(sel_Channel="All",E2019=sel_Channel),OR(sel_Customer="All",F2019=sel_Customer),OR(sel_Category="All",G2019=sel_Category),OR(sel_Product="All",H2019=sel_Product)),1,0)</f>
        <v/>
      </c>
    </row>
    <row r="2020">
      <c r="A2020" s="36" t="inlineStr">
        <is>
          <t>01158</t>
        </is>
      </c>
      <c r="B2020" s="44" t="n">
        <v>46295</v>
      </c>
      <c r="C2020" s="36" t="inlineStr">
        <is>
          <t>Southern Europe</t>
        </is>
      </c>
      <c r="D2020" s="36" t="inlineStr">
        <is>
          <t>Portugal</t>
        </is>
      </c>
      <c r="E2020" s="36" t="inlineStr">
        <is>
          <t>Retail Partners</t>
        </is>
      </c>
      <c r="F2020" s="36" t="inlineStr">
        <is>
          <t>Returning</t>
        </is>
      </c>
      <c r="G2020" s="36" t="inlineStr">
        <is>
          <t>Fitness</t>
        </is>
      </c>
      <c r="H2020" s="36" t="inlineStr">
        <is>
          <t>Resistance Band Set</t>
        </is>
      </c>
      <c r="I2020" s="36" t="n">
        <v>1</v>
      </c>
      <c r="J2020" s="39" t="n">
        <v>40.61</v>
      </c>
      <c r="K2020" s="45" t="n">
        <v>0.1</v>
      </c>
      <c r="L2020" s="39" t="n">
        <v>14.28</v>
      </c>
      <c r="M2020" s="39">
        <f>I2020*J2020*(1-K2020)</f>
        <v/>
      </c>
      <c r="N2020" s="39">
        <f>I2020*L2020</f>
        <v/>
      </c>
      <c r="O2020" s="39">
        <f>M2020-N2020</f>
        <v/>
      </c>
      <c r="P2020" s="38">
        <f>IF(M2020=0,0,O2020/M2020)</f>
        <v/>
      </c>
      <c r="Q2020" s="36">
        <f>YEAR(B2020)</f>
        <v/>
      </c>
      <c r="R2020" s="36">
        <f>"Q"&amp;ROUNDUP(MONTH(B2020)/3,0)</f>
        <v/>
      </c>
      <c r="S2020" s="36">
        <f>MONTH(B2020)</f>
        <v/>
      </c>
      <c r="T2020" s="36">
        <f>TEXT(B2020,"mmm")</f>
        <v/>
      </c>
      <c r="U2020" s="36">
        <f>IF(AND(OR(sel_Region="All",C2020=sel_Region),OR(sel_Country="All",D2020=sel_Country),OR(sel_Channel="All",E2020=sel_Channel),OR(sel_Customer="All",F2020=sel_Customer),OR(sel_Category="All",G2020=sel_Category),OR(sel_Product="All",H2020=sel_Product),AND(S2020&gt;=m_From,S2020&lt;=m_To)),1,0)</f>
        <v/>
      </c>
      <c r="V2020" s="36">
        <f>IF(AND(OR(sel_Region="All",C2020=sel_Region),OR(sel_Channel="All",E2020=sel_Channel),OR(sel_Customer="All",F2020=sel_Customer),OR(sel_Category="All",G2020=sel_Category),OR(sel_Product="All",H2020=sel_Product),AND(S2020&gt;=m_From,S2020&lt;=m_To)),1,0)</f>
        <v/>
      </c>
      <c r="W2020" s="36">
        <f>IF(AND(OR(sel_Region="All",C2020=sel_Region),OR(sel_Country="All",D2020=sel_Country),OR(sel_Customer="All",F2020=sel_Customer),OR(sel_Category="All",G2020=sel_Category),OR(sel_Product="All",H2020=sel_Product),AND(S2020&gt;=m_From,S2020&lt;=m_To)),1,0)</f>
        <v/>
      </c>
      <c r="X2020" s="36">
        <f>IF(AND(OR(sel_Region="All",C2020=sel_Region),OR(sel_Country="All",D2020=sel_Country),OR(sel_Channel="All",E2020=sel_Channel),OR(sel_Category="All",G2020=sel_Category),OR(sel_Product="All",H2020=sel_Product),AND(S2020&gt;=m_From,S2020&lt;=m_To)),1,0)</f>
        <v/>
      </c>
      <c r="Y2020" s="36">
        <f>IF(AND(OR(sel_Region="All",C2020=sel_Region),OR(sel_Country="All",D2020=sel_Country),OR(sel_Channel="All",E2020=sel_Channel),OR(sel_Customer="All",F2020=sel_Customer),OR(sel_Product="All",H2020=sel_Product),AND(S2020&gt;=m_From,S2020&lt;=m_To)),1,0)</f>
        <v/>
      </c>
      <c r="Z2020" s="36">
        <f>IF(AND(OR(sel_Region="All",C2020=sel_Region),OR(sel_Country="All",D2020=sel_Country),OR(sel_Channel="All",E2020=sel_Channel),OR(sel_Customer="All",F2020=sel_Customer),OR(sel_Category="All",G2020=sel_Category),AND(S2020&gt;=m_From,S2020&lt;=m_To)),1,0)</f>
        <v/>
      </c>
      <c r="AA2020" s="36">
        <f>IF(AND(OR(sel_Region="All",C2020=sel_Region),OR(sel_Country="All",D2020=sel_Country),OR(sel_Channel="All",E2020=sel_Channel),OR(sel_Customer="All",F2020=sel_Customer),OR(sel_Category="All",G2020=sel_Category),OR(sel_Product="All",H2020=sel_Product)),1,0)</f>
        <v/>
      </c>
    </row>
    <row r="2021">
      <c r="A2021" s="36" t="inlineStr">
        <is>
          <t>01639</t>
        </is>
      </c>
      <c r="B2021" s="44" t="n">
        <v>46295</v>
      </c>
      <c r="C2021" s="36" t="inlineStr">
        <is>
          <t>Northern Europe</t>
        </is>
      </c>
      <c r="D2021" s="36" t="inlineStr">
        <is>
          <t>Sweden</t>
        </is>
      </c>
      <c r="E2021" s="36" t="inlineStr">
        <is>
          <t>Retail Partners</t>
        </is>
      </c>
      <c r="F2021" s="36" t="inlineStr">
        <is>
          <t>Business</t>
        </is>
      </c>
      <c r="G2021" s="36" t="inlineStr">
        <is>
          <t>Hiking</t>
        </is>
      </c>
      <c r="H2021" s="36" t="inlineStr">
        <is>
          <t>Trail Boots</t>
        </is>
      </c>
      <c r="I2021" s="36" t="n">
        <v>1</v>
      </c>
      <c r="J2021" s="39" t="n">
        <v>140.78</v>
      </c>
      <c r="K2021" s="45" t="n">
        <v>0.05</v>
      </c>
      <c r="L2021" s="39" t="n">
        <v>80.8</v>
      </c>
      <c r="M2021" s="39">
        <f>I2021*J2021*(1-K2021)</f>
        <v/>
      </c>
      <c r="N2021" s="39">
        <f>I2021*L2021</f>
        <v/>
      </c>
      <c r="O2021" s="39">
        <f>M2021-N2021</f>
        <v/>
      </c>
      <c r="P2021" s="38">
        <f>IF(M2021=0,0,O2021/M2021)</f>
        <v/>
      </c>
      <c r="Q2021" s="36">
        <f>YEAR(B2021)</f>
        <v/>
      </c>
      <c r="R2021" s="36">
        <f>"Q"&amp;ROUNDUP(MONTH(B2021)/3,0)</f>
        <v/>
      </c>
      <c r="S2021" s="36">
        <f>MONTH(B2021)</f>
        <v/>
      </c>
      <c r="T2021" s="36">
        <f>TEXT(B2021,"mmm")</f>
        <v/>
      </c>
      <c r="U2021" s="36">
        <f>IF(AND(OR(sel_Region="All",C2021=sel_Region),OR(sel_Country="All",D2021=sel_Country),OR(sel_Channel="All",E2021=sel_Channel),OR(sel_Customer="All",F2021=sel_Customer),OR(sel_Category="All",G2021=sel_Category),OR(sel_Product="All",H2021=sel_Product),AND(S2021&gt;=m_From,S2021&lt;=m_To)),1,0)</f>
        <v/>
      </c>
      <c r="V2021" s="36">
        <f>IF(AND(OR(sel_Region="All",C2021=sel_Region),OR(sel_Channel="All",E2021=sel_Channel),OR(sel_Customer="All",F2021=sel_Customer),OR(sel_Category="All",G2021=sel_Category),OR(sel_Product="All",H2021=sel_Product),AND(S2021&gt;=m_From,S2021&lt;=m_To)),1,0)</f>
        <v/>
      </c>
      <c r="W2021" s="36">
        <f>IF(AND(OR(sel_Region="All",C2021=sel_Region),OR(sel_Country="All",D2021=sel_Country),OR(sel_Customer="All",F2021=sel_Customer),OR(sel_Category="All",G2021=sel_Category),OR(sel_Product="All",H2021=sel_Product),AND(S2021&gt;=m_From,S2021&lt;=m_To)),1,0)</f>
        <v/>
      </c>
      <c r="X2021" s="36">
        <f>IF(AND(OR(sel_Region="All",C2021=sel_Region),OR(sel_Country="All",D2021=sel_Country),OR(sel_Channel="All",E2021=sel_Channel),OR(sel_Category="All",G2021=sel_Category),OR(sel_Product="All",H2021=sel_Product),AND(S2021&gt;=m_From,S2021&lt;=m_To)),1,0)</f>
        <v/>
      </c>
      <c r="Y2021" s="36">
        <f>IF(AND(OR(sel_Region="All",C2021=sel_Region),OR(sel_Country="All",D2021=sel_Country),OR(sel_Channel="All",E2021=sel_Channel),OR(sel_Customer="All",F2021=sel_Customer),OR(sel_Product="All",H2021=sel_Product),AND(S2021&gt;=m_From,S2021&lt;=m_To)),1,0)</f>
        <v/>
      </c>
      <c r="Z2021" s="36">
        <f>IF(AND(OR(sel_Region="All",C2021=sel_Region),OR(sel_Country="All",D2021=sel_Country),OR(sel_Channel="All",E2021=sel_Channel),OR(sel_Customer="All",F2021=sel_Customer),OR(sel_Category="All",G2021=sel_Category),AND(S2021&gt;=m_From,S2021&lt;=m_To)),1,0)</f>
        <v/>
      </c>
      <c r="AA2021" s="36">
        <f>IF(AND(OR(sel_Region="All",C2021=sel_Region),OR(sel_Country="All",D2021=sel_Country),OR(sel_Channel="All",E2021=sel_Channel),OR(sel_Customer="All",F2021=sel_Customer),OR(sel_Category="All",G2021=sel_Category),OR(sel_Product="All",H2021=sel_Product)),1,0)</f>
        <v/>
      </c>
    </row>
    <row r="2022">
      <c r="A2022" s="36" t="inlineStr">
        <is>
          <t>02247</t>
        </is>
      </c>
      <c r="B2022" s="44" t="n">
        <v>46295</v>
      </c>
      <c r="C2022" s="36" t="inlineStr">
        <is>
          <t>Central Europe</t>
        </is>
      </c>
      <c r="D2022" s="36" t="inlineStr">
        <is>
          <t>Austria</t>
        </is>
      </c>
      <c r="E2022" s="36" t="inlineStr">
        <is>
          <t>Retail Partners</t>
        </is>
      </c>
      <c r="F2022" s="36" t="inlineStr">
        <is>
          <t>Business</t>
        </is>
      </c>
      <c r="G2022" s="36" t="inlineStr">
        <is>
          <t>Travel</t>
        </is>
      </c>
      <c r="H2022" s="36" t="inlineStr">
        <is>
          <t>Travel Backpack 35L</t>
        </is>
      </c>
      <c r="I2022" s="36" t="n">
        <v>1</v>
      </c>
      <c r="J2022" s="39" t="n">
        <v>163.14</v>
      </c>
      <c r="K2022" s="45" t="n">
        <v>0</v>
      </c>
      <c r="L2022" s="39" t="n">
        <v>87.53</v>
      </c>
      <c r="M2022" s="39">
        <f>I2022*J2022*(1-K2022)</f>
        <v/>
      </c>
      <c r="N2022" s="39">
        <f>I2022*L2022</f>
        <v/>
      </c>
      <c r="O2022" s="39">
        <f>M2022-N2022</f>
        <v/>
      </c>
      <c r="P2022" s="38">
        <f>IF(M2022=0,0,O2022/M2022)</f>
        <v/>
      </c>
      <c r="Q2022" s="36">
        <f>YEAR(B2022)</f>
        <v/>
      </c>
      <c r="R2022" s="36">
        <f>"Q"&amp;ROUNDUP(MONTH(B2022)/3,0)</f>
        <v/>
      </c>
      <c r="S2022" s="36">
        <f>MONTH(B2022)</f>
        <v/>
      </c>
      <c r="T2022" s="36">
        <f>TEXT(B2022,"mmm")</f>
        <v/>
      </c>
      <c r="U2022" s="36">
        <f>IF(AND(OR(sel_Region="All",C2022=sel_Region),OR(sel_Country="All",D2022=sel_Country),OR(sel_Channel="All",E2022=sel_Channel),OR(sel_Customer="All",F2022=sel_Customer),OR(sel_Category="All",G2022=sel_Category),OR(sel_Product="All",H2022=sel_Product),AND(S2022&gt;=m_From,S2022&lt;=m_To)),1,0)</f>
        <v/>
      </c>
      <c r="V2022" s="36">
        <f>IF(AND(OR(sel_Region="All",C2022=sel_Region),OR(sel_Channel="All",E2022=sel_Channel),OR(sel_Customer="All",F2022=sel_Customer),OR(sel_Category="All",G2022=sel_Category),OR(sel_Product="All",H2022=sel_Product),AND(S2022&gt;=m_From,S2022&lt;=m_To)),1,0)</f>
        <v/>
      </c>
      <c r="W2022" s="36">
        <f>IF(AND(OR(sel_Region="All",C2022=sel_Region),OR(sel_Country="All",D2022=sel_Country),OR(sel_Customer="All",F2022=sel_Customer),OR(sel_Category="All",G2022=sel_Category),OR(sel_Product="All",H2022=sel_Product),AND(S2022&gt;=m_From,S2022&lt;=m_To)),1,0)</f>
        <v/>
      </c>
      <c r="X2022" s="36">
        <f>IF(AND(OR(sel_Region="All",C2022=sel_Region),OR(sel_Country="All",D2022=sel_Country),OR(sel_Channel="All",E2022=sel_Channel),OR(sel_Category="All",G2022=sel_Category),OR(sel_Product="All",H2022=sel_Product),AND(S2022&gt;=m_From,S2022&lt;=m_To)),1,0)</f>
        <v/>
      </c>
      <c r="Y2022" s="36">
        <f>IF(AND(OR(sel_Region="All",C2022=sel_Region),OR(sel_Country="All",D2022=sel_Country),OR(sel_Channel="All",E2022=sel_Channel),OR(sel_Customer="All",F2022=sel_Customer),OR(sel_Product="All",H2022=sel_Product),AND(S2022&gt;=m_From,S2022&lt;=m_To)),1,0)</f>
        <v/>
      </c>
      <c r="Z2022" s="36">
        <f>IF(AND(OR(sel_Region="All",C2022=sel_Region),OR(sel_Country="All",D2022=sel_Country),OR(sel_Channel="All",E2022=sel_Channel),OR(sel_Customer="All",F2022=sel_Customer),OR(sel_Category="All",G2022=sel_Category),AND(S2022&gt;=m_From,S2022&lt;=m_To)),1,0)</f>
        <v/>
      </c>
      <c r="AA2022" s="36">
        <f>IF(AND(OR(sel_Region="All",C2022=sel_Region),OR(sel_Country="All",D2022=sel_Country),OR(sel_Channel="All",E2022=sel_Channel),OR(sel_Customer="All",F2022=sel_Customer),OR(sel_Category="All",G2022=sel_Category),OR(sel_Product="All",H2022=sel_Product)),1,0)</f>
        <v/>
      </c>
    </row>
    <row r="2023">
      <c r="A2023" s="36" t="inlineStr">
        <is>
          <t>03119</t>
        </is>
      </c>
      <c r="B2023" s="44" t="n">
        <v>46295</v>
      </c>
      <c r="C2023" s="36" t="inlineStr">
        <is>
          <t>Western Europe</t>
        </is>
      </c>
      <c r="D2023" s="36" t="inlineStr">
        <is>
          <t>Belgium</t>
        </is>
      </c>
      <c r="E2023" s="36" t="inlineStr">
        <is>
          <t>Retail Partners</t>
        </is>
      </c>
      <c r="F2023" s="36" t="inlineStr">
        <is>
          <t>Returning</t>
        </is>
      </c>
      <c r="G2023" s="36" t="inlineStr">
        <is>
          <t>Hiking</t>
        </is>
      </c>
      <c r="H2023" s="36" t="inlineStr">
        <is>
          <t>Trekking Poles</t>
        </is>
      </c>
      <c r="I2023" s="36" t="n">
        <v>1</v>
      </c>
      <c r="J2023" s="39" t="n">
        <v>70.91</v>
      </c>
      <c r="K2023" s="45" t="n">
        <v>0</v>
      </c>
      <c r="L2023" s="39" t="n">
        <v>31.73</v>
      </c>
      <c r="M2023" s="39">
        <f>I2023*J2023*(1-K2023)</f>
        <v/>
      </c>
      <c r="N2023" s="39">
        <f>I2023*L2023</f>
        <v/>
      </c>
      <c r="O2023" s="39">
        <f>M2023-N2023</f>
        <v/>
      </c>
      <c r="P2023" s="38">
        <f>IF(M2023=0,0,O2023/M2023)</f>
        <v/>
      </c>
      <c r="Q2023" s="36">
        <f>YEAR(B2023)</f>
        <v/>
      </c>
      <c r="R2023" s="36">
        <f>"Q"&amp;ROUNDUP(MONTH(B2023)/3,0)</f>
        <v/>
      </c>
      <c r="S2023" s="36">
        <f>MONTH(B2023)</f>
        <v/>
      </c>
      <c r="T2023" s="36">
        <f>TEXT(B2023,"mmm")</f>
        <v/>
      </c>
      <c r="U2023" s="36">
        <f>IF(AND(OR(sel_Region="All",C2023=sel_Region),OR(sel_Country="All",D2023=sel_Country),OR(sel_Channel="All",E2023=sel_Channel),OR(sel_Customer="All",F2023=sel_Customer),OR(sel_Category="All",G2023=sel_Category),OR(sel_Product="All",H2023=sel_Product),AND(S2023&gt;=m_From,S2023&lt;=m_To)),1,0)</f>
        <v/>
      </c>
      <c r="V2023" s="36">
        <f>IF(AND(OR(sel_Region="All",C2023=sel_Region),OR(sel_Channel="All",E2023=sel_Channel),OR(sel_Customer="All",F2023=sel_Customer),OR(sel_Category="All",G2023=sel_Category),OR(sel_Product="All",H2023=sel_Product),AND(S2023&gt;=m_From,S2023&lt;=m_To)),1,0)</f>
        <v/>
      </c>
      <c r="W2023" s="36">
        <f>IF(AND(OR(sel_Region="All",C2023=sel_Region),OR(sel_Country="All",D2023=sel_Country),OR(sel_Customer="All",F2023=sel_Customer),OR(sel_Category="All",G2023=sel_Category),OR(sel_Product="All",H2023=sel_Product),AND(S2023&gt;=m_From,S2023&lt;=m_To)),1,0)</f>
        <v/>
      </c>
      <c r="X2023" s="36">
        <f>IF(AND(OR(sel_Region="All",C2023=sel_Region),OR(sel_Country="All",D2023=sel_Country),OR(sel_Channel="All",E2023=sel_Channel),OR(sel_Category="All",G2023=sel_Category),OR(sel_Product="All",H2023=sel_Product),AND(S2023&gt;=m_From,S2023&lt;=m_To)),1,0)</f>
        <v/>
      </c>
      <c r="Y2023" s="36">
        <f>IF(AND(OR(sel_Region="All",C2023=sel_Region),OR(sel_Country="All",D2023=sel_Country),OR(sel_Channel="All",E2023=sel_Channel),OR(sel_Customer="All",F2023=sel_Customer),OR(sel_Product="All",H2023=sel_Product),AND(S2023&gt;=m_From,S2023&lt;=m_To)),1,0)</f>
        <v/>
      </c>
      <c r="Z2023" s="36">
        <f>IF(AND(OR(sel_Region="All",C2023=sel_Region),OR(sel_Country="All",D2023=sel_Country),OR(sel_Channel="All",E2023=sel_Channel),OR(sel_Customer="All",F2023=sel_Customer),OR(sel_Category="All",G2023=sel_Category),AND(S2023&gt;=m_From,S2023&lt;=m_To)),1,0)</f>
        <v/>
      </c>
      <c r="AA2023" s="36">
        <f>IF(AND(OR(sel_Region="All",C2023=sel_Region),OR(sel_Country="All",D2023=sel_Country),OR(sel_Channel="All",E2023=sel_Channel),OR(sel_Customer="All",F2023=sel_Customer),OR(sel_Category="All",G2023=sel_Category),OR(sel_Product="All",H2023=sel_Product)),1,0)</f>
        <v/>
      </c>
    </row>
    <row r="2024">
      <c r="A2024" s="36" t="inlineStr">
        <is>
          <t>03267</t>
        </is>
      </c>
      <c r="B2024" s="44" t="n">
        <v>46295</v>
      </c>
      <c r="C2024" s="36" t="inlineStr">
        <is>
          <t>Western Europe</t>
        </is>
      </c>
      <c r="D2024" s="36" t="inlineStr">
        <is>
          <t>France</t>
        </is>
      </c>
      <c r="E2024" s="36" t="inlineStr">
        <is>
          <t>Marketplace</t>
        </is>
      </c>
      <c r="F2024" s="36" t="inlineStr">
        <is>
          <t>Returning</t>
        </is>
      </c>
      <c r="G2024" s="36" t="inlineStr">
        <is>
          <t>Cycling</t>
        </is>
      </c>
      <c r="H2024" s="36" t="inlineStr">
        <is>
          <t>Commuter Helmet</t>
        </is>
      </c>
      <c r="I2024" s="36" t="n">
        <v>2</v>
      </c>
      <c r="J2024" s="39" t="n">
        <v>81.98999999999999</v>
      </c>
      <c r="K2024" s="45" t="n">
        <v>0</v>
      </c>
      <c r="L2024" s="39" t="n">
        <v>43.95</v>
      </c>
      <c r="M2024" s="39">
        <f>I2024*J2024*(1-K2024)</f>
        <v/>
      </c>
      <c r="N2024" s="39">
        <f>I2024*L2024</f>
        <v/>
      </c>
      <c r="O2024" s="39">
        <f>M2024-N2024</f>
        <v/>
      </c>
      <c r="P2024" s="38">
        <f>IF(M2024=0,0,O2024/M2024)</f>
        <v/>
      </c>
      <c r="Q2024" s="36">
        <f>YEAR(B2024)</f>
        <v/>
      </c>
      <c r="R2024" s="36">
        <f>"Q"&amp;ROUNDUP(MONTH(B2024)/3,0)</f>
        <v/>
      </c>
      <c r="S2024" s="36">
        <f>MONTH(B2024)</f>
        <v/>
      </c>
      <c r="T2024" s="36">
        <f>TEXT(B2024,"mmm")</f>
        <v/>
      </c>
      <c r="U2024" s="36">
        <f>IF(AND(OR(sel_Region="All",C2024=sel_Region),OR(sel_Country="All",D2024=sel_Country),OR(sel_Channel="All",E2024=sel_Channel),OR(sel_Customer="All",F2024=sel_Customer),OR(sel_Category="All",G2024=sel_Category),OR(sel_Product="All",H2024=sel_Product),AND(S2024&gt;=m_From,S2024&lt;=m_To)),1,0)</f>
        <v/>
      </c>
      <c r="V2024" s="36">
        <f>IF(AND(OR(sel_Region="All",C2024=sel_Region),OR(sel_Channel="All",E2024=sel_Channel),OR(sel_Customer="All",F2024=sel_Customer),OR(sel_Category="All",G2024=sel_Category),OR(sel_Product="All",H2024=sel_Product),AND(S2024&gt;=m_From,S2024&lt;=m_To)),1,0)</f>
        <v/>
      </c>
      <c r="W2024" s="36">
        <f>IF(AND(OR(sel_Region="All",C2024=sel_Region),OR(sel_Country="All",D2024=sel_Country),OR(sel_Customer="All",F2024=sel_Customer),OR(sel_Category="All",G2024=sel_Category),OR(sel_Product="All",H2024=sel_Product),AND(S2024&gt;=m_From,S2024&lt;=m_To)),1,0)</f>
        <v/>
      </c>
      <c r="X2024" s="36">
        <f>IF(AND(OR(sel_Region="All",C2024=sel_Region),OR(sel_Country="All",D2024=sel_Country),OR(sel_Channel="All",E2024=sel_Channel),OR(sel_Category="All",G2024=sel_Category),OR(sel_Product="All",H2024=sel_Product),AND(S2024&gt;=m_From,S2024&lt;=m_To)),1,0)</f>
        <v/>
      </c>
      <c r="Y2024" s="36">
        <f>IF(AND(OR(sel_Region="All",C2024=sel_Region),OR(sel_Country="All",D2024=sel_Country),OR(sel_Channel="All",E2024=sel_Channel),OR(sel_Customer="All",F2024=sel_Customer),OR(sel_Product="All",H2024=sel_Product),AND(S2024&gt;=m_From,S2024&lt;=m_To)),1,0)</f>
        <v/>
      </c>
      <c r="Z2024" s="36">
        <f>IF(AND(OR(sel_Region="All",C2024=sel_Region),OR(sel_Country="All",D2024=sel_Country),OR(sel_Channel="All",E2024=sel_Channel),OR(sel_Customer="All",F2024=sel_Customer),OR(sel_Category="All",G2024=sel_Category),AND(S2024&gt;=m_From,S2024&lt;=m_To)),1,0)</f>
        <v/>
      </c>
      <c r="AA2024" s="36">
        <f>IF(AND(OR(sel_Region="All",C2024=sel_Region),OR(sel_Country="All",D2024=sel_Country),OR(sel_Channel="All",E2024=sel_Channel),OR(sel_Customer="All",F2024=sel_Customer),OR(sel_Category="All",G2024=sel_Category),OR(sel_Product="All",H2024=sel_Product)),1,0)</f>
        <v/>
      </c>
    </row>
    <row r="2025">
      <c r="A2025" s="36" t="inlineStr">
        <is>
          <t>03382</t>
        </is>
      </c>
      <c r="B2025" s="44" t="n">
        <v>46295</v>
      </c>
      <c r="C2025" s="36" t="inlineStr">
        <is>
          <t>Western Europe</t>
        </is>
      </c>
      <c r="D2025" s="36" t="inlineStr">
        <is>
          <t>Belgium</t>
        </is>
      </c>
      <c r="E2025" s="36" t="inlineStr">
        <is>
          <t>Marketplace</t>
        </is>
      </c>
      <c r="F2025" s="36" t="inlineStr">
        <is>
          <t>New</t>
        </is>
      </c>
      <c r="G2025" s="36" t="inlineStr">
        <is>
          <t>Cycling</t>
        </is>
      </c>
      <c r="H2025" s="36" t="inlineStr">
        <is>
          <t>Commuter Helmet</t>
        </is>
      </c>
      <c r="I2025" s="36" t="n">
        <v>2</v>
      </c>
      <c r="J2025" s="39" t="n">
        <v>81.13</v>
      </c>
      <c r="K2025" s="45" t="n">
        <v>0</v>
      </c>
      <c r="L2025" s="39" t="n">
        <v>43.7</v>
      </c>
      <c r="M2025" s="39">
        <f>I2025*J2025*(1-K2025)</f>
        <v/>
      </c>
      <c r="N2025" s="39">
        <f>I2025*L2025</f>
        <v/>
      </c>
      <c r="O2025" s="39">
        <f>M2025-N2025</f>
        <v/>
      </c>
      <c r="P2025" s="38">
        <f>IF(M2025=0,0,O2025/M2025)</f>
        <v/>
      </c>
      <c r="Q2025" s="36">
        <f>YEAR(B2025)</f>
        <v/>
      </c>
      <c r="R2025" s="36">
        <f>"Q"&amp;ROUNDUP(MONTH(B2025)/3,0)</f>
        <v/>
      </c>
      <c r="S2025" s="36">
        <f>MONTH(B2025)</f>
        <v/>
      </c>
      <c r="T2025" s="36">
        <f>TEXT(B2025,"mmm")</f>
        <v/>
      </c>
      <c r="U2025" s="36">
        <f>IF(AND(OR(sel_Region="All",C2025=sel_Region),OR(sel_Country="All",D2025=sel_Country),OR(sel_Channel="All",E2025=sel_Channel),OR(sel_Customer="All",F2025=sel_Customer),OR(sel_Category="All",G2025=sel_Category),OR(sel_Product="All",H2025=sel_Product),AND(S2025&gt;=m_From,S2025&lt;=m_To)),1,0)</f>
        <v/>
      </c>
      <c r="V2025" s="36">
        <f>IF(AND(OR(sel_Region="All",C2025=sel_Region),OR(sel_Channel="All",E2025=sel_Channel),OR(sel_Customer="All",F2025=sel_Customer),OR(sel_Category="All",G2025=sel_Category),OR(sel_Product="All",H2025=sel_Product),AND(S2025&gt;=m_From,S2025&lt;=m_To)),1,0)</f>
        <v/>
      </c>
      <c r="W2025" s="36">
        <f>IF(AND(OR(sel_Region="All",C2025=sel_Region),OR(sel_Country="All",D2025=sel_Country),OR(sel_Customer="All",F2025=sel_Customer),OR(sel_Category="All",G2025=sel_Category),OR(sel_Product="All",H2025=sel_Product),AND(S2025&gt;=m_From,S2025&lt;=m_To)),1,0)</f>
        <v/>
      </c>
      <c r="X2025" s="36">
        <f>IF(AND(OR(sel_Region="All",C2025=sel_Region),OR(sel_Country="All",D2025=sel_Country),OR(sel_Channel="All",E2025=sel_Channel),OR(sel_Category="All",G2025=sel_Category),OR(sel_Product="All",H2025=sel_Product),AND(S2025&gt;=m_From,S2025&lt;=m_To)),1,0)</f>
        <v/>
      </c>
      <c r="Y2025" s="36">
        <f>IF(AND(OR(sel_Region="All",C2025=sel_Region),OR(sel_Country="All",D2025=sel_Country),OR(sel_Channel="All",E2025=sel_Channel),OR(sel_Customer="All",F2025=sel_Customer),OR(sel_Product="All",H2025=sel_Product),AND(S2025&gt;=m_From,S2025&lt;=m_To)),1,0)</f>
        <v/>
      </c>
      <c r="Z2025" s="36">
        <f>IF(AND(OR(sel_Region="All",C2025=sel_Region),OR(sel_Country="All",D2025=sel_Country),OR(sel_Channel="All",E2025=sel_Channel),OR(sel_Customer="All",F2025=sel_Customer),OR(sel_Category="All",G2025=sel_Category),AND(S2025&gt;=m_From,S2025&lt;=m_To)),1,0)</f>
        <v/>
      </c>
      <c r="AA2025" s="36">
        <f>IF(AND(OR(sel_Region="All",C2025=sel_Region),OR(sel_Country="All",D2025=sel_Country),OR(sel_Channel="All",E2025=sel_Channel),OR(sel_Customer="All",F2025=sel_Customer),OR(sel_Category="All",G2025=sel_Category),OR(sel_Product="All",H2025=sel_Product)),1,0)</f>
        <v/>
      </c>
    </row>
    <row r="2026">
      <c r="A2026" s="36" t="inlineStr">
        <is>
          <t>03814</t>
        </is>
      </c>
      <c r="B2026" s="44" t="n">
        <v>46295</v>
      </c>
      <c r="C2026" s="36" t="inlineStr">
        <is>
          <t>Central Europe</t>
        </is>
      </c>
      <c r="D2026" s="36" t="inlineStr">
        <is>
          <t>Germany</t>
        </is>
      </c>
      <c r="E2026" s="36" t="inlineStr">
        <is>
          <t>Corporate</t>
        </is>
      </c>
      <c r="F2026" s="36" t="inlineStr">
        <is>
          <t>Returning</t>
        </is>
      </c>
      <c r="G2026" s="36" t="inlineStr">
        <is>
          <t>Hiking</t>
        </is>
      </c>
      <c r="H2026" s="36" t="inlineStr">
        <is>
          <t>Trail Boots</t>
        </is>
      </c>
      <c r="I2026" s="36" t="n">
        <v>5</v>
      </c>
      <c r="J2026" s="39" t="n">
        <v>141.08</v>
      </c>
      <c r="K2026" s="45" t="n">
        <v>0.05</v>
      </c>
      <c r="L2026" s="39" t="n">
        <v>78.23</v>
      </c>
      <c r="M2026" s="39">
        <f>I2026*J2026*(1-K2026)</f>
        <v/>
      </c>
      <c r="N2026" s="39">
        <f>I2026*L2026</f>
        <v/>
      </c>
      <c r="O2026" s="39">
        <f>M2026-N2026</f>
        <v/>
      </c>
      <c r="P2026" s="38">
        <f>IF(M2026=0,0,O2026/M2026)</f>
        <v/>
      </c>
      <c r="Q2026" s="36">
        <f>YEAR(B2026)</f>
        <v/>
      </c>
      <c r="R2026" s="36">
        <f>"Q"&amp;ROUNDUP(MONTH(B2026)/3,0)</f>
        <v/>
      </c>
      <c r="S2026" s="36">
        <f>MONTH(B2026)</f>
        <v/>
      </c>
      <c r="T2026" s="36">
        <f>TEXT(B2026,"mmm")</f>
        <v/>
      </c>
      <c r="U2026" s="36">
        <f>IF(AND(OR(sel_Region="All",C2026=sel_Region),OR(sel_Country="All",D2026=sel_Country),OR(sel_Channel="All",E2026=sel_Channel),OR(sel_Customer="All",F2026=sel_Customer),OR(sel_Category="All",G2026=sel_Category),OR(sel_Product="All",H2026=sel_Product),AND(S2026&gt;=m_From,S2026&lt;=m_To)),1,0)</f>
        <v/>
      </c>
      <c r="V2026" s="36">
        <f>IF(AND(OR(sel_Region="All",C2026=sel_Region),OR(sel_Channel="All",E2026=sel_Channel),OR(sel_Customer="All",F2026=sel_Customer),OR(sel_Category="All",G2026=sel_Category),OR(sel_Product="All",H2026=sel_Product),AND(S2026&gt;=m_From,S2026&lt;=m_To)),1,0)</f>
        <v/>
      </c>
      <c r="W2026" s="36">
        <f>IF(AND(OR(sel_Region="All",C2026=sel_Region),OR(sel_Country="All",D2026=sel_Country),OR(sel_Customer="All",F2026=sel_Customer),OR(sel_Category="All",G2026=sel_Category),OR(sel_Product="All",H2026=sel_Product),AND(S2026&gt;=m_From,S2026&lt;=m_To)),1,0)</f>
        <v/>
      </c>
      <c r="X2026" s="36">
        <f>IF(AND(OR(sel_Region="All",C2026=sel_Region),OR(sel_Country="All",D2026=sel_Country),OR(sel_Channel="All",E2026=sel_Channel),OR(sel_Category="All",G2026=sel_Category),OR(sel_Product="All",H2026=sel_Product),AND(S2026&gt;=m_From,S2026&lt;=m_To)),1,0)</f>
        <v/>
      </c>
      <c r="Y2026" s="36">
        <f>IF(AND(OR(sel_Region="All",C2026=sel_Region),OR(sel_Country="All",D2026=sel_Country),OR(sel_Channel="All",E2026=sel_Channel),OR(sel_Customer="All",F2026=sel_Customer),OR(sel_Product="All",H2026=sel_Product),AND(S2026&gt;=m_From,S2026&lt;=m_To)),1,0)</f>
        <v/>
      </c>
      <c r="Z2026" s="36">
        <f>IF(AND(OR(sel_Region="All",C2026=sel_Region),OR(sel_Country="All",D2026=sel_Country),OR(sel_Channel="All",E2026=sel_Channel),OR(sel_Customer="All",F2026=sel_Customer),OR(sel_Category="All",G2026=sel_Category),AND(S2026&gt;=m_From,S2026&lt;=m_To)),1,0)</f>
        <v/>
      </c>
      <c r="AA2026" s="36">
        <f>IF(AND(OR(sel_Region="All",C2026=sel_Region),OR(sel_Country="All",D2026=sel_Country),OR(sel_Channel="All",E2026=sel_Channel),OR(sel_Customer="All",F2026=sel_Customer),OR(sel_Category="All",G2026=sel_Category),OR(sel_Product="All",H2026=sel_Product)),1,0)</f>
        <v/>
      </c>
    </row>
    <row r="2027">
      <c r="A2027" s="36" t="inlineStr">
        <is>
          <t>03818</t>
        </is>
      </c>
      <c r="B2027" s="44" t="n">
        <v>46295</v>
      </c>
      <c r="C2027" s="36" t="inlineStr">
        <is>
          <t>Southern Europe</t>
        </is>
      </c>
      <c r="D2027" s="36" t="inlineStr">
        <is>
          <t>Italy</t>
        </is>
      </c>
      <c r="E2027" s="36" t="inlineStr">
        <is>
          <t>Online Store</t>
        </is>
      </c>
      <c r="F2027" s="36" t="inlineStr">
        <is>
          <t>Returning</t>
        </is>
      </c>
      <c r="G2027" s="36" t="inlineStr">
        <is>
          <t>Travel</t>
        </is>
      </c>
      <c r="H2027" s="36" t="inlineStr">
        <is>
          <t>Insulated Bottle</t>
        </is>
      </c>
      <c r="I2027" s="36" t="n">
        <v>5</v>
      </c>
      <c r="J2027" s="39" t="n">
        <v>36.18</v>
      </c>
      <c r="K2027" s="45" t="n">
        <v>0</v>
      </c>
      <c r="L2027" s="39" t="n">
        <v>13.66</v>
      </c>
      <c r="M2027" s="39">
        <f>I2027*J2027*(1-K2027)</f>
        <v/>
      </c>
      <c r="N2027" s="39">
        <f>I2027*L2027</f>
        <v/>
      </c>
      <c r="O2027" s="39">
        <f>M2027-N2027</f>
        <v/>
      </c>
      <c r="P2027" s="38">
        <f>IF(M2027=0,0,O2027/M2027)</f>
        <v/>
      </c>
      <c r="Q2027" s="36">
        <f>YEAR(B2027)</f>
        <v/>
      </c>
      <c r="R2027" s="36">
        <f>"Q"&amp;ROUNDUP(MONTH(B2027)/3,0)</f>
        <v/>
      </c>
      <c r="S2027" s="36">
        <f>MONTH(B2027)</f>
        <v/>
      </c>
      <c r="T2027" s="36">
        <f>TEXT(B2027,"mmm")</f>
        <v/>
      </c>
      <c r="U2027" s="36">
        <f>IF(AND(OR(sel_Region="All",C2027=sel_Region),OR(sel_Country="All",D2027=sel_Country),OR(sel_Channel="All",E2027=sel_Channel),OR(sel_Customer="All",F2027=sel_Customer),OR(sel_Category="All",G2027=sel_Category),OR(sel_Product="All",H2027=sel_Product),AND(S2027&gt;=m_From,S2027&lt;=m_To)),1,0)</f>
        <v/>
      </c>
      <c r="V2027" s="36">
        <f>IF(AND(OR(sel_Region="All",C2027=sel_Region),OR(sel_Channel="All",E2027=sel_Channel),OR(sel_Customer="All",F2027=sel_Customer),OR(sel_Category="All",G2027=sel_Category),OR(sel_Product="All",H2027=sel_Product),AND(S2027&gt;=m_From,S2027&lt;=m_To)),1,0)</f>
        <v/>
      </c>
      <c r="W2027" s="36">
        <f>IF(AND(OR(sel_Region="All",C2027=sel_Region),OR(sel_Country="All",D2027=sel_Country),OR(sel_Customer="All",F2027=sel_Customer),OR(sel_Category="All",G2027=sel_Category),OR(sel_Product="All",H2027=sel_Product),AND(S2027&gt;=m_From,S2027&lt;=m_To)),1,0)</f>
        <v/>
      </c>
      <c r="X2027" s="36">
        <f>IF(AND(OR(sel_Region="All",C2027=sel_Region),OR(sel_Country="All",D2027=sel_Country),OR(sel_Channel="All",E2027=sel_Channel),OR(sel_Category="All",G2027=sel_Category),OR(sel_Product="All",H2027=sel_Product),AND(S2027&gt;=m_From,S2027&lt;=m_To)),1,0)</f>
        <v/>
      </c>
      <c r="Y2027" s="36">
        <f>IF(AND(OR(sel_Region="All",C2027=sel_Region),OR(sel_Country="All",D2027=sel_Country),OR(sel_Channel="All",E2027=sel_Channel),OR(sel_Customer="All",F2027=sel_Customer),OR(sel_Product="All",H2027=sel_Product),AND(S2027&gt;=m_From,S2027&lt;=m_To)),1,0)</f>
        <v/>
      </c>
      <c r="Z2027" s="36">
        <f>IF(AND(OR(sel_Region="All",C2027=sel_Region),OR(sel_Country="All",D2027=sel_Country),OR(sel_Channel="All",E2027=sel_Channel),OR(sel_Customer="All",F2027=sel_Customer),OR(sel_Category="All",G2027=sel_Category),AND(S2027&gt;=m_From,S2027&lt;=m_To)),1,0)</f>
        <v/>
      </c>
      <c r="AA2027" s="36">
        <f>IF(AND(OR(sel_Region="All",C2027=sel_Region),OR(sel_Country="All",D2027=sel_Country),OR(sel_Channel="All",E2027=sel_Channel),OR(sel_Customer="All",F2027=sel_Customer),OR(sel_Category="All",G2027=sel_Category),OR(sel_Product="All",H2027=sel_Product)),1,0)</f>
        <v/>
      </c>
    </row>
    <row r="2028">
      <c r="A2028" s="36" t="inlineStr">
        <is>
          <t>04347</t>
        </is>
      </c>
      <c r="B2028" s="44" t="n">
        <v>46295</v>
      </c>
      <c r="C2028" s="36" t="inlineStr">
        <is>
          <t>Western Europe</t>
        </is>
      </c>
      <c r="D2028" s="36" t="inlineStr">
        <is>
          <t>France</t>
        </is>
      </c>
      <c r="E2028" s="36" t="inlineStr">
        <is>
          <t>Marketplace</t>
        </is>
      </c>
      <c r="F2028" s="36" t="inlineStr">
        <is>
          <t>New</t>
        </is>
      </c>
      <c r="G2028" s="36" t="inlineStr">
        <is>
          <t>Cycling</t>
        </is>
      </c>
      <c r="H2028" s="36" t="inlineStr">
        <is>
          <t>Commuter Helmet</t>
        </is>
      </c>
      <c r="I2028" s="36" t="n">
        <v>1</v>
      </c>
      <c r="J2028" s="39" t="n">
        <v>81.06</v>
      </c>
      <c r="K2028" s="45" t="n">
        <v>0.05</v>
      </c>
      <c r="L2028" s="39" t="n">
        <v>43.54</v>
      </c>
      <c r="M2028" s="39">
        <f>I2028*J2028*(1-K2028)</f>
        <v/>
      </c>
      <c r="N2028" s="39">
        <f>I2028*L2028</f>
        <v/>
      </c>
      <c r="O2028" s="39">
        <f>M2028-N2028</f>
        <v/>
      </c>
      <c r="P2028" s="38">
        <f>IF(M2028=0,0,O2028/M2028)</f>
        <v/>
      </c>
      <c r="Q2028" s="36">
        <f>YEAR(B2028)</f>
        <v/>
      </c>
      <c r="R2028" s="36">
        <f>"Q"&amp;ROUNDUP(MONTH(B2028)/3,0)</f>
        <v/>
      </c>
      <c r="S2028" s="36">
        <f>MONTH(B2028)</f>
        <v/>
      </c>
      <c r="T2028" s="36">
        <f>TEXT(B2028,"mmm")</f>
        <v/>
      </c>
      <c r="U2028" s="36">
        <f>IF(AND(OR(sel_Region="All",C2028=sel_Region),OR(sel_Country="All",D2028=sel_Country),OR(sel_Channel="All",E2028=sel_Channel),OR(sel_Customer="All",F2028=sel_Customer),OR(sel_Category="All",G2028=sel_Category),OR(sel_Product="All",H2028=sel_Product),AND(S2028&gt;=m_From,S2028&lt;=m_To)),1,0)</f>
        <v/>
      </c>
      <c r="V2028" s="36">
        <f>IF(AND(OR(sel_Region="All",C2028=sel_Region),OR(sel_Channel="All",E2028=sel_Channel),OR(sel_Customer="All",F2028=sel_Customer),OR(sel_Category="All",G2028=sel_Category),OR(sel_Product="All",H2028=sel_Product),AND(S2028&gt;=m_From,S2028&lt;=m_To)),1,0)</f>
        <v/>
      </c>
      <c r="W2028" s="36">
        <f>IF(AND(OR(sel_Region="All",C2028=sel_Region),OR(sel_Country="All",D2028=sel_Country),OR(sel_Customer="All",F2028=sel_Customer),OR(sel_Category="All",G2028=sel_Category),OR(sel_Product="All",H2028=sel_Product),AND(S2028&gt;=m_From,S2028&lt;=m_To)),1,0)</f>
        <v/>
      </c>
      <c r="X2028" s="36">
        <f>IF(AND(OR(sel_Region="All",C2028=sel_Region),OR(sel_Country="All",D2028=sel_Country),OR(sel_Channel="All",E2028=sel_Channel),OR(sel_Category="All",G2028=sel_Category),OR(sel_Product="All",H2028=sel_Product),AND(S2028&gt;=m_From,S2028&lt;=m_To)),1,0)</f>
        <v/>
      </c>
      <c r="Y2028" s="36">
        <f>IF(AND(OR(sel_Region="All",C2028=sel_Region),OR(sel_Country="All",D2028=sel_Country),OR(sel_Channel="All",E2028=sel_Channel),OR(sel_Customer="All",F2028=sel_Customer),OR(sel_Product="All",H2028=sel_Product),AND(S2028&gt;=m_From,S2028&lt;=m_To)),1,0)</f>
        <v/>
      </c>
      <c r="Z2028" s="36">
        <f>IF(AND(OR(sel_Region="All",C2028=sel_Region),OR(sel_Country="All",D2028=sel_Country),OR(sel_Channel="All",E2028=sel_Channel),OR(sel_Customer="All",F2028=sel_Customer),OR(sel_Category="All",G2028=sel_Category),AND(S2028&gt;=m_From,S2028&lt;=m_To)),1,0)</f>
        <v/>
      </c>
      <c r="AA2028" s="36">
        <f>IF(AND(OR(sel_Region="All",C2028=sel_Region),OR(sel_Country="All",D2028=sel_Country),OR(sel_Channel="All",E2028=sel_Channel),OR(sel_Customer="All",F2028=sel_Customer),OR(sel_Category="All",G2028=sel_Category),OR(sel_Product="All",H2028=sel_Product)),1,0)</f>
        <v/>
      </c>
    </row>
    <row r="2029">
      <c r="A2029" s="36" t="inlineStr">
        <is>
          <t>04646</t>
        </is>
      </c>
      <c r="B2029" s="44" t="n">
        <v>46295</v>
      </c>
      <c r="C2029" s="36" t="inlineStr">
        <is>
          <t>Northern Europe</t>
        </is>
      </c>
      <c r="D2029" s="36" t="inlineStr">
        <is>
          <t>Ireland</t>
        </is>
      </c>
      <c r="E2029" s="36" t="inlineStr">
        <is>
          <t>Online Store</t>
        </is>
      </c>
      <c r="F2029" s="36" t="inlineStr">
        <is>
          <t>Business</t>
        </is>
      </c>
      <c r="G2029" s="36" t="inlineStr">
        <is>
          <t>Fitness</t>
        </is>
      </c>
      <c r="H2029" s="36" t="inlineStr">
        <is>
          <t>Training Mat</t>
        </is>
      </c>
      <c r="I2029" s="36" t="n">
        <v>1</v>
      </c>
      <c r="J2029" s="39" t="n">
        <v>49.51</v>
      </c>
      <c r="K2029" s="45" t="n">
        <v>0.15</v>
      </c>
      <c r="L2029" s="39" t="n">
        <v>21.4</v>
      </c>
      <c r="M2029" s="39">
        <f>I2029*J2029*(1-K2029)</f>
        <v/>
      </c>
      <c r="N2029" s="39">
        <f>I2029*L2029</f>
        <v/>
      </c>
      <c r="O2029" s="39">
        <f>M2029-N2029</f>
        <v/>
      </c>
      <c r="P2029" s="38">
        <f>IF(M2029=0,0,O2029/M2029)</f>
        <v/>
      </c>
      <c r="Q2029" s="36">
        <f>YEAR(B2029)</f>
        <v/>
      </c>
      <c r="R2029" s="36">
        <f>"Q"&amp;ROUNDUP(MONTH(B2029)/3,0)</f>
        <v/>
      </c>
      <c r="S2029" s="36">
        <f>MONTH(B2029)</f>
        <v/>
      </c>
      <c r="T2029" s="36">
        <f>TEXT(B2029,"mmm")</f>
        <v/>
      </c>
      <c r="U2029" s="36">
        <f>IF(AND(OR(sel_Region="All",C2029=sel_Region),OR(sel_Country="All",D2029=sel_Country),OR(sel_Channel="All",E2029=sel_Channel),OR(sel_Customer="All",F2029=sel_Customer),OR(sel_Category="All",G2029=sel_Category),OR(sel_Product="All",H2029=sel_Product),AND(S2029&gt;=m_From,S2029&lt;=m_To)),1,0)</f>
        <v/>
      </c>
      <c r="V2029" s="36">
        <f>IF(AND(OR(sel_Region="All",C2029=sel_Region),OR(sel_Channel="All",E2029=sel_Channel),OR(sel_Customer="All",F2029=sel_Customer),OR(sel_Category="All",G2029=sel_Category),OR(sel_Product="All",H2029=sel_Product),AND(S2029&gt;=m_From,S2029&lt;=m_To)),1,0)</f>
        <v/>
      </c>
      <c r="W2029" s="36">
        <f>IF(AND(OR(sel_Region="All",C2029=sel_Region),OR(sel_Country="All",D2029=sel_Country),OR(sel_Customer="All",F2029=sel_Customer),OR(sel_Category="All",G2029=sel_Category),OR(sel_Product="All",H2029=sel_Product),AND(S2029&gt;=m_From,S2029&lt;=m_To)),1,0)</f>
        <v/>
      </c>
      <c r="X2029" s="36">
        <f>IF(AND(OR(sel_Region="All",C2029=sel_Region),OR(sel_Country="All",D2029=sel_Country),OR(sel_Channel="All",E2029=sel_Channel),OR(sel_Category="All",G2029=sel_Category),OR(sel_Product="All",H2029=sel_Product),AND(S2029&gt;=m_From,S2029&lt;=m_To)),1,0)</f>
        <v/>
      </c>
      <c r="Y2029" s="36">
        <f>IF(AND(OR(sel_Region="All",C2029=sel_Region),OR(sel_Country="All",D2029=sel_Country),OR(sel_Channel="All",E2029=sel_Channel),OR(sel_Customer="All",F2029=sel_Customer),OR(sel_Product="All",H2029=sel_Product),AND(S2029&gt;=m_From,S2029&lt;=m_To)),1,0)</f>
        <v/>
      </c>
      <c r="Z2029" s="36">
        <f>IF(AND(OR(sel_Region="All",C2029=sel_Region),OR(sel_Country="All",D2029=sel_Country),OR(sel_Channel="All",E2029=sel_Channel),OR(sel_Customer="All",F2029=sel_Customer),OR(sel_Category="All",G2029=sel_Category),AND(S2029&gt;=m_From,S2029&lt;=m_To)),1,0)</f>
        <v/>
      </c>
      <c r="AA2029" s="36">
        <f>IF(AND(OR(sel_Region="All",C2029=sel_Region),OR(sel_Country="All",D2029=sel_Country),OR(sel_Channel="All",E2029=sel_Channel),OR(sel_Customer="All",F2029=sel_Customer),OR(sel_Category="All",G2029=sel_Category),OR(sel_Product="All",H2029=sel_Product)),1,0)</f>
        <v/>
      </c>
    </row>
    <row r="2030">
      <c r="A2030" s="36" t="inlineStr">
        <is>
          <t>05102</t>
        </is>
      </c>
      <c r="B2030" s="44" t="n">
        <v>46295</v>
      </c>
      <c r="C2030" s="36" t="inlineStr">
        <is>
          <t>Central Europe</t>
        </is>
      </c>
      <c r="D2030" s="36" t="inlineStr">
        <is>
          <t>Poland</t>
        </is>
      </c>
      <c r="E2030" s="36" t="inlineStr">
        <is>
          <t>Online Store</t>
        </is>
      </c>
      <c r="F2030" s="36" t="inlineStr">
        <is>
          <t>New</t>
        </is>
      </c>
      <c r="G2030" s="36" t="inlineStr">
        <is>
          <t>Camping</t>
        </is>
      </c>
      <c r="H2030" s="36" t="inlineStr">
        <is>
          <t>Trail Tent 2P</t>
        </is>
      </c>
      <c r="I2030" s="36" t="n">
        <v>1</v>
      </c>
      <c r="J2030" s="39" t="n">
        <v>196.74</v>
      </c>
      <c r="K2030" s="45" t="n">
        <v>0.15</v>
      </c>
      <c r="L2030" s="39" t="n">
        <v>102.01</v>
      </c>
      <c r="M2030" s="39">
        <f>I2030*J2030*(1-K2030)</f>
        <v/>
      </c>
      <c r="N2030" s="39">
        <f>I2030*L2030</f>
        <v/>
      </c>
      <c r="O2030" s="39">
        <f>M2030-N2030</f>
        <v/>
      </c>
      <c r="P2030" s="38">
        <f>IF(M2030=0,0,O2030/M2030)</f>
        <v/>
      </c>
      <c r="Q2030" s="36">
        <f>YEAR(B2030)</f>
        <v/>
      </c>
      <c r="R2030" s="36">
        <f>"Q"&amp;ROUNDUP(MONTH(B2030)/3,0)</f>
        <v/>
      </c>
      <c r="S2030" s="36">
        <f>MONTH(B2030)</f>
        <v/>
      </c>
      <c r="T2030" s="36">
        <f>TEXT(B2030,"mmm")</f>
        <v/>
      </c>
      <c r="U2030" s="36">
        <f>IF(AND(OR(sel_Region="All",C2030=sel_Region),OR(sel_Country="All",D2030=sel_Country),OR(sel_Channel="All",E2030=sel_Channel),OR(sel_Customer="All",F2030=sel_Customer),OR(sel_Category="All",G2030=sel_Category),OR(sel_Product="All",H2030=sel_Product),AND(S2030&gt;=m_From,S2030&lt;=m_To)),1,0)</f>
        <v/>
      </c>
      <c r="V2030" s="36">
        <f>IF(AND(OR(sel_Region="All",C2030=sel_Region),OR(sel_Channel="All",E2030=sel_Channel),OR(sel_Customer="All",F2030=sel_Customer),OR(sel_Category="All",G2030=sel_Category),OR(sel_Product="All",H2030=sel_Product),AND(S2030&gt;=m_From,S2030&lt;=m_To)),1,0)</f>
        <v/>
      </c>
      <c r="W2030" s="36">
        <f>IF(AND(OR(sel_Region="All",C2030=sel_Region),OR(sel_Country="All",D2030=sel_Country),OR(sel_Customer="All",F2030=sel_Customer),OR(sel_Category="All",G2030=sel_Category),OR(sel_Product="All",H2030=sel_Product),AND(S2030&gt;=m_From,S2030&lt;=m_To)),1,0)</f>
        <v/>
      </c>
      <c r="X2030" s="36">
        <f>IF(AND(OR(sel_Region="All",C2030=sel_Region),OR(sel_Country="All",D2030=sel_Country),OR(sel_Channel="All",E2030=sel_Channel),OR(sel_Category="All",G2030=sel_Category),OR(sel_Product="All",H2030=sel_Product),AND(S2030&gt;=m_From,S2030&lt;=m_To)),1,0)</f>
        <v/>
      </c>
      <c r="Y2030" s="36">
        <f>IF(AND(OR(sel_Region="All",C2030=sel_Region),OR(sel_Country="All",D2030=sel_Country),OR(sel_Channel="All",E2030=sel_Channel),OR(sel_Customer="All",F2030=sel_Customer),OR(sel_Product="All",H2030=sel_Product),AND(S2030&gt;=m_From,S2030&lt;=m_To)),1,0)</f>
        <v/>
      </c>
      <c r="Z2030" s="36">
        <f>IF(AND(OR(sel_Region="All",C2030=sel_Region),OR(sel_Country="All",D2030=sel_Country),OR(sel_Channel="All",E2030=sel_Channel),OR(sel_Customer="All",F2030=sel_Customer),OR(sel_Category="All",G2030=sel_Category),AND(S2030&gt;=m_From,S2030&lt;=m_To)),1,0)</f>
        <v/>
      </c>
      <c r="AA2030" s="36">
        <f>IF(AND(OR(sel_Region="All",C2030=sel_Region),OR(sel_Country="All",D2030=sel_Country),OR(sel_Channel="All",E2030=sel_Channel),OR(sel_Customer="All",F2030=sel_Customer),OR(sel_Category="All",G2030=sel_Category),OR(sel_Product="All",H2030=sel_Product)),1,0)</f>
        <v/>
      </c>
    </row>
    <row r="2031">
      <c r="A2031" s="36" t="inlineStr">
        <is>
          <t>05152</t>
        </is>
      </c>
      <c r="B2031" s="44" t="n">
        <v>46295</v>
      </c>
      <c r="C2031" s="36" t="inlineStr">
        <is>
          <t>Western Europe</t>
        </is>
      </c>
      <c r="D2031" s="36" t="inlineStr">
        <is>
          <t>France</t>
        </is>
      </c>
      <c r="E2031" s="36" t="inlineStr">
        <is>
          <t>Online Store</t>
        </is>
      </c>
      <c r="F2031" s="36" t="inlineStr">
        <is>
          <t>New</t>
        </is>
      </c>
      <c r="G2031" s="36" t="inlineStr">
        <is>
          <t>Hiking</t>
        </is>
      </c>
      <c r="H2031" s="36" t="inlineStr">
        <is>
          <t>Hiking Daypack 20L</t>
        </is>
      </c>
      <c r="I2031" s="36" t="n">
        <v>2</v>
      </c>
      <c r="J2031" s="39" t="n">
        <v>91.78</v>
      </c>
      <c r="K2031" s="45" t="n">
        <v>0.1</v>
      </c>
      <c r="L2031" s="39" t="n">
        <v>45.51</v>
      </c>
      <c r="M2031" s="39">
        <f>I2031*J2031*(1-K2031)</f>
        <v/>
      </c>
      <c r="N2031" s="39">
        <f>I2031*L2031</f>
        <v/>
      </c>
      <c r="O2031" s="39">
        <f>M2031-N2031</f>
        <v/>
      </c>
      <c r="P2031" s="38">
        <f>IF(M2031=0,0,O2031/M2031)</f>
        <v/>
      </c>
      <c r="Q2031" s="36">
        <f>YEAR(B2031)</f>
        <v/>
      </c>
      <c r="R2031" s="36">
        <f>"Q"&amp;ROUNDUP(MONTH(B2031)/3,0)</f>
        <v/>
      </c>
      <c r="S2031" s="36">
        <f>MONTH(B2031)</f>
        <v/>
      </c>
      <c r="T2031" s="36">
        <f>TEXT(B2031,"mmm")</f>
        <v/>
      </c>
      <c r="U2031" s="36">
        <f>IF(AND(OR(sel_Region="All",C2031=sel_Region),OR(sel_Country="All",D2031=sel_Country),OR(sel_Channel="All",E2031=sel_Channel),OR(sel_Customer="All",F2031=sel_Customer),OR(sel_Category="All",G2031=sel_Category),OR(sel_Product="All",H2031=sel_Product),AND(S2031&gt;=m_From,S2031&lt;=m_To)),1,0)</f>
        <v/>
      </c>
      <c r="V2031" s="36">
        <f>IF(AND(OR(sel_Region="All",C2031=sel_Region),OR(sel_Channel="All",E2031=sel_Channel),OR(sel_Customer="All",F2031=sel_Customer),OR(sel_Category="All",G2031=sel_Category),OR(sel_Product="All",H2031=sel_Product),AND(S2031&gt;=m_From,S2031&lt;=m_To)),1,0)</f>
        <v/>
      </c>
      <c r="W2031" s="36">
        <f>IF(AND(OR(sel_Region="All",C2031=sel_Region),OR(sel_Country="All",D2031=sel_Country),OR(sel_Customer="All",F2031=sel_Customer),OR(sel_Category="All",G2031=sel_Category),OR(sel_Product="All",H2031=sel_Product),AND(S2031&gt;=m_From,S2031&lt;=m_To)),1,0)</f>
        <v/>
      </c>
      <c r="X2031" s="36">
        <f>IF(AND(OR(sel_Region="All",C2031=sel_Region),OR(sel_Country="All",D2031=sel_Country),OR(sel_Channel="All",E2031=sel_Channel),OR(sel_Category="All",G2031=sel_Category),OR(sel_Product="All",H2031=sel_Product),AND(S2031&gt;=m_From,S2031&lt;=m_To)),1,0)</f>
        <v/>
      </c>
      <c r="Y2031" s="36">
        <f>IF(AND(OR(sel_Region="All",C2031=sel_Region),OR(sel_Country="All",D2031=sel_Country),OR(sel_Channel="All",E2031=sel_Channel),OR(sel_Customer="All",F2031=sel_Customer),OR(sel_Product="All",H2031=sel_Product),AND(S2031&gt;=m_From,S2031&lt;=m_To)),1,0)</f>
        <v/>
      </c>
      <c r="Z2031" s="36">
        <f>IF(AND(OR(sel_Region="All",C2031=sel_Region),OR(sel_Country="All",D2031=sel_Country),OR(sel_Channel="All",E2031=sel_Channel),OR(sel_Customer="All",F2031=sel_Customer),OR(sel_Category="All",G2031=sel_Category),AND(S2031&gt;=m_From,S2031&lt;=m_To)),1,0)</f>
        <v/>
      </c>
      <c r="AA2031" s="36">
        <f>IF(AND(OR(sel_Region="All",C2031=sel_Region),OR(sel_Country="All",D2031=sel_Country),OR(sel_Channel="All",E2031=sel_Channel),OR(sel_Customer="All",F2031=sel_Customer),OR(sel_Category="All",G2031=sel_Category),OR(sel_Product="All",H2031=sel_Product)),1,0)</f>
        <v/>
      </c>
    </row>
    <row r="2032">
      <c r="A2032" s="36" t="inlineStr">
        <is>
          <t>00151</t>
        </is>
      </c>
      <c r="B2032" s="44" t="n">
        <v>46296</v>
      </c>
      <c r="C2032" s="36" t="inlineStr">
        <is>
          <t>Northern Europe</t>
        </is>
      </c>
      <c r="D2032" s="36" t="inlineStr">
        <is>
          <t>Finland</t>
        </is>
      </c>
      <c r="E2032" s="36" t="inlineStr">
        <is>
          <t>Online Store</t>
        </is>
      </c>
      <c r="F2032" s="36" t="inlineStr">
        <is>
          <t>New</t>
        </is>
      </c>
      <c r="G2032" s="36" t="inlineStr">
        <is>
          <t>Hiking</t>
        </is>
      </c>
      <c r="H2032" s="36" t="inlineStr">
        <is>
          <t>Trail Boots</t>
        </is>
      </c>
      <c r="I2032" s="36" t="n">
        <v>5</v>
      </c>
      <c r="J2032" s="39" t="n">
        <v>146.69</v>
      </c>
      <c r="K2032" s="45" t="n">
        <v>0</v>
      </c>
      <c r="L2032" s="39" t="n">
        <v>79</v>
      </c>
      <c r="M2032" s="39">
        <f>I2032*J2032*(1-K2032)</f>
        <v/>
      </c>
      <c r="N2032" s="39">
        <f>I2032*L2032</f>
        <v/>
      </c>
      <c r="O2032" s="39">
        <f>M2032-N2032</f>
        <v/>
      </c>
      <c r="P2032" s="38">
        <f>IF(M2032=0,0,O2032/M2032)</f>
        <v/>
      </c>
      <c r="Q2032" s="36">
        <f>YEAR(B2032)</f>
        <v/>
      </c>
      <c r="R2032" s="36">
        <f>"Q"&amp;ROUNDUP(MONTH(B2032)/3,0)</f>
        <v/>
      </c>
      <c r="S2032" s="36">
        <f>MONTH(B2032)</f>
        <v/>
      </c>
      <c r="T2032" s="36">
        <f>TEXT(B2032,"mmm")</f>
        <v/>
      </c>
      <c r="U2032" s="36">
        <f>IF(AND(OR(sel_Region="All",C2032=sel_Region),OR(sel_Country="All",D2032=sel_Country),OR(sel_Channel="All",E2032=sel_Channel),OR(sel_Customer="All",F2032=sel_Customer),OR(sel_Category="All",G2032=sel_Category),OR(sel_Product="All",H2032=sel_Product),AND(S2032&gt;=m_From,S2032&lt;=m_To)),1,0)</f>
        <v/>
      </c>
      <c r="V2032" s="36">
        <f>IF(AND(OR(sel_Region="All",C2032=sel_Region),OR(sel_Channel="All",E2032=sel_Channel),OR(sel_Customer="All",F2032=sel_Customer),OR(sel_Category="All",G2032=sel_Category),OR(sel_Product="All",H2032=sel_Product),AND(S2032&gt;=m_From,S2032&lt;=m_To)),1,0)</f>
        <v/>
      </c>
      <c r="W2032" s="36">
        <f>IF(AND(OR(sel_Region="All",C2032=sel_Region),OR(sel_Country="All",D2032=sel_Country),OR(sel_Customer="All",F2032=sel_Customer),OR(sel_Category="All",G2032=sel_Category),OR(sel_Product="All",H2032=sel_Product),AND(S2032&gt;=m_From,S2032&lt;=m_To)),1,0)</f>
        <v/>
      </c>
      <c r="X2032" s="36">
        <f>IF(AND(OR(sel_Region="All",C2032=sel_Region),OR(sel_Country="All",D2032=sel_Country),OR(sel_Channel="All",E2032=sel_Channel),OR(sel_Category="All",G2032=sel_Category),OR(sel_Product="All",H2032=sel_Product),AND(S2032&gt;=m_From,S2032&lt;=m_To)),1,0)</f>
        <v/>
      </c>
      <c r="Y2032" s="36">
        <f>IF(AND(OR(sel_Region="All",C2032=sel_Region),OR(sel_Country="All",D2032=sel_Country),OR(sel_Channel="All",E2032=sel_Channel),OR(sel_Customer="All",F2032=sel_Customer),OR(sel_Product="All",H2032=sel_Product),AND(S2032&gt;=m_From,S2032&lt;=m_To)),1,0)</f>
        <v/>
      </c>
      <c r="Z2032" s="36">
        <f>IF(AND(OR(sel_Region="All",C2032=sel_Region),OR(sel_Country="All",D2032=sel_Country),OR(sel_Channel="All",E2032=sel_Channel),OR(sel_Customer="All",F2032=sel_Customer),OR(sel_Category="All",G2032=sel_Category),AND(S2032&gt;=m_From,S2032&lt;=m_To)),1,0)</f>
        <v/>
      </c>
      <c r="AA2032" s="36">
        <f>IF(AND(OR(sel_Region="All",C2032=sel_Region),OR(sel_Country="All",D2032=sel_Country),OR(sel_Channel="All",E2032=sel_Channel),OR(sel_Customer="All",F2032=sel_Customer),OR(sel_Category="All",G2032=sel_Category),OR(sel_Product="All",H2032=sel_Product)),1,0)</f>
        <v/>
      </c>
    </row>
    <row r="2033">
      <c r="A2033" s="36" t="inlineStr">
        <is>
          <t>01292</t>
        </is>
      </c>
      <c r="B2033" s="44" t="n">
        <v>46296</v>
      </c>
      <c r="C2033" s="36" t="inlineStr">
        <is>
          <t>Southern Europe</t>
        </is>
      </c>
      <c r="D2033" s="36" t="inlineStr">
        <is>
          <t>Portugal</t>
        </is>
      </c>
      <c r="E2033" s="36" t="inlineStr">
        <is>
          <t>Retail Partners</t>
        </is>
      </c>
      <c r="F2033" s="36" t="inlineStr">
        <is>
          <t>New</t>
        </is>
      </c>
      <c r="G2033" s="36" t="inlineStr">
        <is>
          <t>Camping</t>
        </is>
      </c>
      <c r="H2033" s="36" t="inlineStr">
        <is>
          <t>Portable Camp Stove</t>
        </is>
      </c>
      <c r="I2033" s="36" t="n">
        <v>1</v>
      </c>
      <c r="J2033" s="39" t="n">
        <v>79.81</v>
      </c>
      <c r="K2033" s="45" t="n">
        <v>0</v>
      </c>
      <c r="L2033" s="39" t="n">
        <v>39.08</v>
      </c>
      <c r="M2033" s="39">
        <f>I2033*J2033*(1-K2033)</f>
        <v/>
      </c>
      <c r="N2033" s="39">
        <f>I2033*L2033</f>
        <v/>
      </c>
      <c r="O2033" s="39">
        <f>M2033-N2033</f>
        <v/>
      </c>
      <c r="P2033" s="38">
        <f>IF(M2033=0,0,O2033/M2033)</f>
        <v/>
      </c>
      <c r="Q2033" s="36">
        <f>YEAR(B2033)</f>
        <v/>
      </c>
      <c r="R2033" s="36">
        <f>"Q"&amp;ROUNDUP(MONTH(B2033)/3,0)</f>
        <v/>
      </c>
      <c r="S2033" s="36">
        <f>MONTH(B2033)</f>
        <v/>
      </c>
      <c r="T2033" s="36">
        <f>TEXT(B2033,"mmm")</f>
        <v/>
      </c>
      <c r="U2033" s="36">
        <f>IF(AND(OR(sel_Region="All",C2033=sel_Region),OR(sel_Country="All",D2033=sel_Country),OR(sel_Channel="All",E2033=sel_Channel),OR(sel_Customer="All",F2033=sel_Customer),OR(sel_Category="All",G2033=sel_Category),OR(sel_Product="All",H2033=sel_Product),AND(S2033&gt;=m_From,S2033&lt;=m_To)),1,0)</f>
        <v/>
      </c>
      <c r="V2033" s="36">
        <f>IF(AND(OR(sel_Region="All",C2033=sel_Region),OR(sel_Channel="All",E2033=sel_Channel),OR(sel_Customer="All",F2033=sel_Customer),OR(sel_Category="All",G2033=sel_Category),OR(sel_Product="All",H2033=sel_Product),AND(S2033&gt;=m_From,S2033&lt;=m_To)),1,0)</f>
        <v/>
      </c>
      <c r="W2033" s="36">
        <f>IF(AND(OR(sel_Region="All",C2033=sel_Region),OR(sel_Country="All",D2033=sel_Country),OR(sel_Customer="All",F2033=sel_Customer),OR(sel_Category="All",G2033=sel_Category),OR(sel_Product="All",H2033=sel_Product),AND(S2033&gt;=m_From,S2033&lt;=m_To)),1,0)</f>
        <v/>
      </c>
      <c r="X2033" s="36">
        <f>IF(AND(OR(sel_Region="All",C2033=sel_Region),OR(sel_Country="All",D2033=sel_Country),OR(sel_Channel="All",E2033=sel_Channel),OR(sel_Category="All",G2033=sel_Category),OR(sel_Product="All",H2033=sel_Product),AND(S2033&gt;=m_From,S2033&lt;=m_To)),1,0)</f>
        <v/>
      </c>
      <c r="Y2033" s="36">
        <f>IF(AND(OR(sel_Region="All",C2033=sel_Region),OR(sel_Country="All",D2033=sel_Country),OR(sel_Channel="All",E2033=sel_Channel),OR(sel_Customer="All",F2033=sel_Customer),OR(sel_Product="All",H2033=sel_Product),AND(S2033&gt;=m_From,S2033&lt;=m_To)),1,0)</f>
        <v/>
      </c>
      <c r="Z2033" s="36">
        <f>IF(AND(OR(sel_Region="All",C2033=sel_Region),OR(sel_Country="All",D2033=sel_Country),OR(sel_Channel="All",E2033=sel_Channel),OR(sel_Customer="All",F2033=sel_Customer),OR(sel_Category="All",G2033=sel_Category),AND(S2033&gt;=m_From,S2033&lt;=m_To)),1,0)</f>
        <v/>
      </c>
      <c r="AA2033" s="36">
        <f>IF(AND(OR(sel_Region="All",C2033=sel_Region),OR(sel_Country="All",D2033=sel_Country),OR(sel_Channel="All",E2033=sel_Channel),OR(sel_Customer="All",F2033=sel_Customer),OR(sel_Category="All",G2033=sel_Category),OR(sel_Product="All",H2033=sel_Product)),1,0)</f>
        <v/>
      </c>
    </row>
    <row r="2034">
      <c r="A2034" s="36" t="inlineStr">
        <is>
          <t>01862</t>
        </is>
      </c>
      <c r="B2034" s="44" t="n">
        <v>46296</v>
      </c>
      <c r="C2034" s="36" t="inlineStr">
        <is>
          <t>Western Europe</t>
        </is>
      </c>
      <c r="D2034" s="36" t="inlineStr">
        <is>
          <t>United Kingdom</t>
        </is>
      </c>
      <c r="E2034" s="36" t="inlineStr">
        <is>
          <t>Online Store</t>
        </is>
      </c>
      <c r="F2034" s="36" t="inlineStr">
        <is>
          <t>New</t>
        </is>
      </c>
      <c r="G2034" s="36" t="inlineStr">
        <is>
          <t>Camping</t>
        </is>
      </c>
      <c r="H2034" s="36" t="inlineStr">
        <is>
          <t>Compact Sleeping Bag</t>
        </is>
      </c>
      <c r="I2034" s="36" t="n">
        <v>5</v>
      </c>
      <c r="J2034" s="39" t="n">
        <v>121.63</v>
      </c>
      <c r="K2034" s="45" t="n">
        <v>0.05</v>
      </c>
      <c r="L2034" s="39" t="n">
        <v>61.7</v>
      </c>
      <c r="M2034" s="39">
        <f>I2034*J2034*(1-K2034)</f>
        <v/>
      </c>
      <c r="N2034" s="39">
        <f>I2034*L2034</f>
        <v/>
      </c>
      <c r="O2034" s="39">
        <f>M2034-N2034</f>
        <v/>
      </c>
      <c r="P2034" s="38">
        <f>IF(M2034=0,0,O2034/M2034)</f>
        <v/>
      </c>
      <c r="Q2034" s="36">
        <f>YEAR(B2034)</f>
        <v/>
      </c>
      <c r="R2034" s="36">
        <f>"Q"&amp;ROUNDUP(MONTH(B2034)/3,0)</f>
        <v/>
      </c>
      <c r="S2034" s="36">
        <f>MONTH(B2034)</f>
        <v/>
      </c>
      <c r="T2034" s="36">
        <f>TEXT(B2034,"mmm")</f>
        <v/>
      </c>
      <c r="U2034" s="36">
        <f>IF(AND(OR(sel_Region="All",C2034=sel_Region),OR(sel_Country="All",D2034=sel_Country),OR(sel_Channel="All",E2034=sel_Channel),OR(sel_Customer="All",F2034=sel_Customer),OR(sel_Category="All",G2034=sel_Category),OR(sel_Product="All",H2034=sel_Product),AND(S2034&gt;=m_From,S2034&lt;=m_To)),1,0)</f>
        <v/>
      </c>
      <c r="V2034" s="36">
        <f>IF(AND(OR(sel_Region="All",C2034=sel_Region),OR(sel_Channel="All",E2034=sel_Channel),OR(sel_Customer="All",F2034=sel_Customer),OR(sel_Category="All",G2034=sel_Category),OR(sel_Product="All",H2034=sel_Product),AND(S2034&gt;=m_From,S2034&lt;=m_To)),1,0)</f>
        <v/>
      </c>
      <c r="W2034" s="36">
        <f>IF(AND(OR(sel_Region="All",C2034=sel_Region),OR(sel_Country="All",D2034=sel_Country),OR(sel_Customer="All",F2034=sel_Customer),OR(sel_Category="All",G2034=sel_Category),OR(sel_Product="All",H2034=sel_Product),AND(S2034&gt;=m_From,S2034&lt;=m_To)),1,0)</f>
        <v/>
      </c>
      <c r="X2034" s="36">
        <f>IF(AND(OR(sel_Region="All",C2034=sel_Region),OR(sel_Country="All",D2034=sel_Country),OR(sel_Channel="All",E2034=sel_Channel),OR(sel_Category="All",G2034=sel_Category),OR(sel_Product="All",H2034=sel_Product),AND(S2034&gt;=m_From,S2034&lt;=m_To)),1,0)</f>
        <v/>
      </c>
      <c r="Y2034" s="36">
        <f>IF(AND(OR(sel_Region="All",C2034=sel_Region),OR(sel_Country="All",D2034=sel_Country),OR(sel_Channel="All",E2034=sel_Channel),OR(sel_Customer="All",F2034=sel_Customer),OR(sel_Product="All",H2034=sel_Product),AND(S2034&gt;=m_From,S2034&lt;=m_To)),1,0)</f>
        <v/>
      </c>
      <c r="Z2034" s="36">
        <f>IF(AND(OR(sel_Region="All",C2034=sel_Region),OR(sel_Country="All",D2034=sel_Country),OR(sel_Channel="All",E2034=sel_Channel),OR(sel_Customer="All",F2034=sel_Customer),OR(sel_Category="All",G2034=sel_Category),AND(S2034&gt;=m_From,S2034&lt;=m_To)),1,0)</f>
        <v/>
      </c>
      <c r="AA2034" s="36">
        <f>IF(AND(OR(sel_Region="All",C2034=sel_Region),OR(sel_Country="All",D2034=sel_Country),OR(sel_Channel="All",E2034=sel_Channel),OR(sel_Customer="All",F2034=sel_Customer),OR(sel_Category="All",G2034=sel_Category),OR(sel_Product="All",H2034=sel_Product)),1,0)</f>
        <v/>
      </c>
    </row>
    <row r="2035">
      <c r="A2035" s="36" t="inlineStr">
        <is>
          <t>02569</t>
        </is>
      </c>
      <c r="B2035" s="44" t="n">
        <v>46296</v>
      </c>
      <c r="C2035" s="36" t="inlineStr">
        <is>
          <t>Western Europe</t>
        </is>
      </c>
      <c r="D2035" s="36" t="inlineStr">
        <is>
          <t>France</t>
        </is>
      </c>
      <c r="E2035" s="36" t="inlineStr">
        <is>
          <t>Corporate</t>
        </is>
      </c>
      <c r="F2035" s="36" t="inlineStr">
        <is>
          <t>Business</t>
        </is>
      </c>
      <c r="G2035" s="36" t="inlineStr">
        <is>
          <t>Cycling</t>
        </is>
      </c>
      <c r="H2035" s="36" t="inlineStr">
        <is>
          <t>Trail Bike Light</t>
        </is>
      </c>
      <c r="I2035" s="36" t="n">
        <v>10</v>
      </c>
      <c r="J2035" s="39" t="n">
        <v>50.42</v>
      </c>
      <c r="K2035" s="45" t="n">
        <v>0.05</v>
      </c>
      <c r="L2035" s="39" t="n">
        <v>22.5</v>
      </c>
      <c r="M2035" s="39">
        <f>I2035*J2035*(1-K2035)</f>
        <v/>
      </c>
      <c r="N2035" s="39">
        <f>I2035*L2035</f>
        <v/>
      </c>
      <c r="O2035" s="39">
        <f>M2035-N2035</f>
        <v/>
      </c>
      <c r="P2035" s="38">
        <f>IF(M2035=0,0,O2035/M2035)</f>
        <v/>
      </c>
      <c r="Q2035" s="36">
        <f>YEAR(B2035)</f>
        <v/>
      </c>
      <c r="R2035" s="36">
        <f>"Q"&amp;ROUNDUP(MONTH(B2035)/3,0)</f>
        <v/>
      </c>
      <c r="S2035" s="36">
        <f>MONTH(B2035)</f>
        <v/>
      </c>
      <c r="T2035" s="36">
        <f>TEXT(B2035,"mmm")</f>
        <v/>
      </c>
      <c r="U2035" s="36">
        <f>IF(AND(OR(sel_Region="All",C2035=sel_Region),OR(sel_Country="All",D2035=sel_Country),OR(sel_Channel="All",E2035=sel_Channel),OR(sel_Customer="All",F2035=sel_Customer),OR(sel_Category="All",G2035=sel_Category),OR(sel_Product="All",H2035=sel_Product),AND(S2035&gt;=m_From,S2035&lt;=m_To)),1,0)</f>
        <v/>
      </c>
      <c r="V2035" s="36">
        <f>IF(AND(OR(sel_Region="All",C2035=sel_Region),OR(sel_Channel="All",E2035=sel_Channel),OR(sel_Customer="All",F2035=sel_Customer),OR(sel_Category="All",G2035=sel_Category),OR(sel_Product="All",H2035=sel_Product),AND(S2035&gt;=m_From,S2035&lt;=m_To)),1,0)</f>
        <v/>
      </c>
      <c r="W2035" s="36">
        <f>IF(AND(OR(sel_Region="All",C2035=sel_Region),OR(sel_Country="All",D2035=sel_Country),OR(sel_Customer="All",F2035=sel_Customer),OR(sel_Category="All",G2035=sel_Category),OR(sel_Product="All",H2035=sel_Product),AND(S2035&gt;=m_From,S2035&lt;=m_To)),1,0)</f>
        <v/>
      </c>
      <c r="X2035" s="36">
        <f>IF(AND(OR(sel_Region="All",C2035=sel_Region),OR(sel_Country="All",D2035=sel_Country),OR(sel_Channel="All",E2035=sel_Channel),OR(sel_Category="All",G2035=sel_Category),OR(sel_Product="All",H2035=sel_Product),AND(S2035&gt;=m_From,S2035&lt;=m_To)),1,0)</f>
        <v/>
      </c>
      <c r="Y2035" s="36">
        <f>IF(AND(OR(sel_Region="All",C2035=sel_Region),OR(sel_Country="All",D2035=sel_Country),OR(sel_Channel="All",E2035=sel_Channel),OR(sel_Customer="All",F2035=sel_Customer),OR(sel_Product="All",H2035=sel_Product),AND(S2035&gt;=m_From,S2035&lt;=m_To)),1,0)</f>
        <v/>
      </c>
      <c r="Z2035" s="36">
        <f>IF(AND(OR(sel_Region="All",C2035=sel_Region),OR(sel_Country="All",D2035=sel_Country),OR(sel_Channel="All",E2035=sel_Channel),OR(sel_Customer="All",F2035=sel_Customer),OR(sel_Category="All",G2035=sel_Category),AND(S2035&gt;=m_From,S2035&lt;=m_To)),1,0)</f>
        <v/>
      </c>
      <c r="AA2035" s="36">
        <f>IF(AND(OR(sel_Region="All",C2035=sel_Region),OR(sel_Country="All",D2035=sel_Country),OR(sel_Channel="All",E2035=sel_Channel),OR(sel_Customer="All",F2035=sel_Customer),OR(sel_Category="All",G2035=sel_Category),OR(sel_Product="All",H2035=sel_Product)),1,0)</f>
        <v/>
      </c>
    </row>
    <row r="2036">
      <c r="A2036" s="36" t="inlineStr">
        <is>
          <t>03333</t>
        </is>
      </c>
      <c r="B2036" s="44" t="n">
        <v>46296</v>
      </c>
      <c r="C2036" s="36" t="inlineStr">
        <is>
          <t>Northern Europe</t>
        </is>
      </c>
      <c r="D2036" s="36" t="inlineStr">
        <is>
          <t>Denmark</t>
        </is>
      </c>
      <c r="E2036" s="36" t="inlineStr">
        <is>
          <t>Online Store</t>
        </is>
      </c>
      <c r="F2036" s="36" t="inlineStr">
        <is>
          <t>New</t>
        </is>
      </c>
      <c r="G2036" s="36" t="inlineStr">
        <is>
          <t>Camping</t>
        </is>
      </c>
      <c r="H2036" s="36" t="inlineStr">
        <is>
          <t>Portable Camp Stove</t>
        </is>
      </c>
      <c r="I2036" s="36" t="n">
        <v>3</v>
      </c>
      <c r="J2036" s="39" t="n">
        <v>80.67</v>
      </c>
      <c r="K2036" s="45" t="n">
        <v>0</v>
      </c>
      <c r="L2036" s="39" t="n">
        <v>39.94</v>
      </c>
      <c r="M2036" s="39">
        <f>I2036*J2036*(1-K2036)</f>
        <v/>
      </c>
      <c r="N2036" s="39">
        <f>I2036*L2036</f>
        <v/>
      </c>
      <c r="O2036" s="39">
        <f>M2036-N2036</f>
        <v/>
      </c>
      <c r="P2036" s="38">
        <f>IF(M2036=0,0,O2036/M2036)</f>
        <v/>
      </c>
      <c r="Q2036" s="36">
        <f>YEAR(B2036)</f>
        <v/>
      </c>
      <c r="R2036" s="36">
        <f>"Q"&amp;ROUNDUP(MONTH(B2036)/3,0)</f>
        <v/>
      </c>
      <c r="S2036" s="36">
        <f>MONTH(B2036)</f>
        <v/>
      </c>
      <c r="T2036" s="36">
        <f>TEXT(B2036,"mmm")</f>
        <v/>
      </c>
      <c r="U2036" s="36">
        <f>IF(AND(OR(sel_Region="All",C2036=sel_Region),OR(sel_Country="All",D2036=sel_Country),OR(sel_Channel="All",E2036=sel_Channel),OR(sel_Customer="All",F2036=sel_Customer),OR(sel_Category="All",G2036=sel_Category),OR(sel_Product="All",H2036=sel_Product),AND(S2036&gt;=m_From,S2036&lt;=m_To)),1,0)</f>
        <v/>
      </c>
      <c r="V2036" s="36">
        <f>IF(AND(OR(sel_Region="All",C2036=sel_Region),OR(sel_Channel="All",E2036=sel_Channel),OR(sel_Customer="All",F2036=sel_Customer),OR(sel_Category="All",G2036=sel_Category),OR(sel_Product="All",H2036=sel_Product),AND(S2036&gt;=m_From,S2036&lt;=m_To)),1,0)</f>
        <v/>
      </c>
      <c r="W2036" s="36">
        <f>IF(AND(OR(sel_Region="All",C2036=sel_Region),OR(sel_Country="All",D2036=sel_Country),OR(sel_Customer="All",F2036=sel_Customer),OR(sel_Category="All",G2036=sel_Category),OR(sel_Product="All",H2036=sel_Product),AND(S2036&gt;=m_From,S2036&lt;=m_To)),1,0)</f>
        <v/>
      </c>
      <c r="X2036" s="36">
        <f>IF(AND(OR(sel_Region="All",C2036=sel_Region),OR(sel_Country="All",D2036=sel_Country),OR(sel_Channel="All",E2036=sel_Channel),OR(sel_Category="All",G2036=sel_Category),OR(sel_Product="All",H2036=sel_Product),AND(S2036&gt;=m_From,S2036&lt;=m_To)),1,0)</f>
        <v/>
      </c>
      <c r="Y2036" s="36">
        <f>IF(AND(OR(sel_Region="All",C2036=sel_Region),OR(sel_Country="All",D2036=sel_Country),OR(sel_Channel="All",E2036=sel_Channel),OR(sel_Customer="All",F2036=sel_Customer),OR(sel_Product="All",H2036=sel_Product),AND(S2036&gt;=m_From,S2036&lt;=m_To)),1,0)</f>
        <v/>
      </c>
      <c r="Z2036" s="36">
        <f>IF(AND(OR(sel_Region="All",C2036=sel_Region),OR(sel_Country="All",D2036=sel_Country),OR(sel_Channel="All",E2036=sel_Channel),OR(sel_Customer="All",F2036=sel_Customer),OR(sel_Category="All",G2036=sel_Category),AND(S2036&gt;=m_From,S2036&lt;=m_To)),1,0)</f>
        <v/>
      </c>
      <c r="AA2036" s="36">
        <f>IF(AND(OR(sel_Region="All",C2036=sel_Region),OR(sel_Country="All",D2036=sel_Country),OR(sel_Channel="All",E2036=sel_Channel),OR(sel_Customer="All",F2036=sel_Customer),OR(sel_Category="All",G2036=sel_Category),OR(sel_Product="All",H2036=sel_Product)),1,0)</f>
        <v/>
      </c>
    </row>
    <row r="2037">
      <c r="A2037" s="36" t="inlineStr">
        <is>
          <t>03830</t>
        </is>
      </c>
      <c r="B2037" s="44" t="n">
        <v>46296</v>
      </c>
      <c r="C2037" s="36" t="inlineStr">
        <is>
          <t>Western Europe</t>
        </is>
      </c>
      <c r="D2037" s="36" t="inlineStr">
        <is>
          <t>France</t>
        </is>
      </c>
      <c r="E2037" s="36" t="inlineStr">
        <is>
          <t>Online Store</t>
        </is>
      </c>
      <c r="F2037" s="36" t="inlineStr">
        <is>
          <t>Business</t>
        </is>
      </c>
      <c r="G2037" s="36" t="inlineStr">
        <is>
          <t>Hiking</t>
        </is>
      </c>
      <c r="H2037" s="36" t="inlineStr">
        <is>
          <t>Summit Backpack 45L</t>
        </is>
      </c>
      <c r="I2037" s="36" t="n">
        <v>2</v>
      </c>
      <c r="J2037" s="39" t="n">
        <v>152.12</v>
      </c>
      <c r="K2037" s="45" t="n">
        <v>0</v>
      </c>
      <c r="L2037" s="39" t="n">
        <v>79.53</v>
      </c>
      <c r="M2037" s="39">
        <f>I2037*J2037*(1-K2037)</f>
        <v/>
      </c>
      <c r="N2037" s="39">
        <f>I2037*L2037</f>
        <v/>
      </c>
      <c r="O2037" s="39">
        <f>M2037-N2037</f>
        <v/>
      </c>
      <c r="P2037" s="38">
        <f>IF(M2037=0,0,O2037/M2037)</f>
        <v/>
      </c>
      <c r="Q2037" s="36">
        <f>YEAR(B2037)</f>
        <v/>
      </c>
      <c r="R2037" s="36">
        <f>"Q"&amp;ROUNDUP(MONTH(B2037)/3,0)</f>
        <v/>
      </c>
      <c r="S2037" s="36">
        <f>MONTH(B2037)</f>
        <v/>
      </c>
      <c r="T2037" s="36">
        <f>TEXT(B2037,"mmm")</f>
        <v/>
      </c>
      <c r="U2037" s="36">
        <f>IF(AND(OR(sel_Region="All",C2037=sel_Region),OR(sel_Country="All",D2037=sel_Country),OR(sel_Channel="All",E2037=sel_Channel),OR(sel_Customer="All",F2037=sel_Customer),OR(sel_Category="All",G2037=sel_Category),OR(sel_Product="All",H2037=sel_Product),AND(S2037&gt;=m_From,S2037&lt;=m_To)),1,0)</f>
        <v/>
      </c>
      <c r="V2037" s="36">
        <f>IF(AND(OR(sel_Region="All",C2037=sel_Region),OR(sel_Channel="All",E2037=sel_Channel),OR(sel_Customer="All",F2037=sel_Customer),OR(sel_Category="All",G2037=sel_Category),OR(sel_Product="All",H2037=sel_Product),AND(S2037&gt;=m_From,S2037&lt;=m_To)),1,0)</f>
        <v/>
      </c>
      <c r="W2037" s="36">
        <f>IF(AND(OR(sel_Region="All",C2037=sel_Region),OR(sel_Country="All",D2037=sel_Country),OR(sel_Customer="All",F2037=sel_Customer),OR(sel_Category="All",G2037=sel_Category),OR(sel_Product="All",H2037=sel_Product),AND(S2037&gt;=m_From,S2037&lt;=m_To)),1,0)</f>
        <v/>
      </c>
      <c r="X2037" s="36">
        <f>IF(AND(OR(sel_Region="All",C2037=sel_Region),OR(sel_Country="All",D2037=sel_Country),OR(sel_Channel="All",E2037=sel_Channel),OR(sel_Category="All",G2037=sel_Category),OR(sel_Product="All",H2037=sel_Product),AND(S2037&gt;=m_From,S2037&lt;=m_To)),1,0)</f>
        <v/>
      </c>
      <c r="Y2037" s="36">
        <f>IF(AND(OR(sel_Region="All",C2037=sel_Region),OR(sel_Country="All",D2037=sel_Country),OR(sel_Channel="All",E2037=sel_Channel),OR(sel_Customer="All",F2037=sel_Customer),OR(sel_Product="All",H2037=sel_Product),AND(S2037&gt;=m_From,S2037&lt;=m_To)),1,0)</f>
        <v/>
      </c>
      <c r="Z2037" s="36">
        <f>IF(AND(OR(sel_Region="All",C2037=sel_Region),OR(sel_Country="All",D2037=sel_Country),OR(sel_Channel="All",E2037=sel_Channel),OR(sel_Customer="All",F2037=sel_Customer),OR(sel_Category="All",G2037=sel_Category),AND(S2037&gt;=m_From,S2037&lt;=m_To)),1,0)</f>
        <v/>
      </c>
      <c r="AA2037" s="36">
        <f>IF(AND(OR(sel_Region="All",C2037=sel_Region),OR(sel_Country="All",D2037=sel_Country),OR(sel_Channel="All",E2037=sel_Channel),OR(sel_Customer="All",F2037=sel_Customer),OR(sel_Category="All",G2037=sel_Category),OR(sel_Product="All",H2037=sel_Product)),1,0)</f>
        <v/>
      </c>
    </row>
    <row r="2038">
      <c r="A2038" s="36" t="inlineStr">
        <is>
          <t>04868</t>
        </is>
      </c>
      <c r="B2038" s="44" t="n">
        <v>46296</v>
      </c>
      <c r="C2038" s="36" t="inlineStr">
        <is>
          <t>Northern Europe</t>
        </is>
      </c>
      <c r="D2038" s="36" t="inlineStr">
        <is>
          <t>Denmark</t>
        </is>
      </c>
      <c r="E2038" s="36" t="inlineStr">
        <is>
          <t>Corporate</t>
        </is>
      </c>
      <c r="F2038" s="36" t="inlineStr">
        <is>
          <t>New</t>
        </is>
      </c>
      <c r="G2038" s="36" t="inlineStr">
        <is>
          <t>Camping</t>
        </is>
      </c>
      <c r="H2038" s="36" t="inlineStr">
        <is>
          <t>Portable Camp Stove</t>
        </is>
      </c>
      <c r="I2038" s="36" t="n">
        <v>4</v>
      </c>
      <c r="J2038" s="39" t="n">
        <v>82.54000000000001</v>
      </c>
      <c r="K2038" s="45" t="n">
        <v>0.15</v>
      </c>
      <c r="L2038" s="39" t="n">
        <v>39.74</v>
      </c>
      <c r="M2038" s="39">
        <f>I2038*J2038*(1-K2038)</f>
        <v/>
      </c>
      <c r="N2038" s="39">
        <f>I2038*L2038</f>
        <v/>
      </c>
      <c r="O2038" s="39">
        <f>M2038-N2038</f>
        <v/>
      </c>
      <c r="P2038" s="38">
        <f>IF(M2038=0,0,O2038/M2038)</f>
        <v/>
      </c>
      <c r="Q2038" s="36">
        <f>YEAR(B2038)</f>
        <v/>
      </c>
      <c r="R2038" s="36">
        <f>"Q"&amp;ROUNDUP(MONTH(B2038)/3,0)</f>
        <v/>
      </c>
      <c r="S2038" s="36">
        <f>MONTH(B2038)</f>
        <v/>
      </c>
      <c r="T2038" s="36">
        <f>TEXT(B2038,"mmm")</f>
        <v/>
      </c>
      <c r="U2038" s="36">
        <f>IF(AND(OR(sel_Region="All",C2038=sel_Region),OR(sel_Country="All",D2038=sel_Country),OR(sel_Channel="All",E2038=sel_Channel),OR(sel_Customer="All",F2038=sel_Customer),OR(sel_Category="All",G2038=sel_Category),OR(sel_Product="All",H2038=sel_Product),AND(S2038&gt;=m_From,S2038&lt;=m_To)),1,0)</f>
        <v/>
      </c>
      <c r="V2038" s="36">
        <f>IF(AND(OR(sel_Region="All",C2038=sel_Region),OR(sel_Channel="All",E2038=sel_Channel),OR(sel_Customer="All",F2038=sel_Customer),OR(sel_Category="All",G2038=sel_Category),OR(sel_Product="All",H2038=sel_Product),AND(S2038&gt;=m_From,S2038&lt;=m_To)),1,0)</f>
        <v/>
      </c>
      <c r="W2038" s="36">
        <f>IF(AND(OR(sel_Region="All",C2038=sel_Region),OR(sel_Country="All",D2038=sel_Country),OR(sel_Customer="All",F2038=sel_Customer),OR(sel_Category="All",G2038=sel_Category),OR(sel_Product="All",H2038=sel_Product),AND(S2038&gt;=m_From,S2038&lt;=m_To)),1,0)</f>
        <v/>
      </c>
      <c r="X2038" s="36">
        <f>IF(AND(OR(sel_Region="All",C2038=sel_Region),OR(sel_Country="All",D2038=sel_Country),OR(sel_Channel="All",E2038=sel_Channel),OR(sel_Category="All",G2038=sel_Category),OR(sel_Product="All",H2038=sel_Product),AND(S2038&gt;=m_From,S2038&lt;=m_To)),1,0)</f>
        <v/>
      </c>
      <c r="Y2038" s="36">
        <f>IF(AND(OR(sel_Region="All",C2038=sel_Region),OR(sel_Country="All",D2038=sel_Country),OR(sel_Channel="All",E2038=sel_Channel),OR(sel_Customer="All",F2038=sel_Customer),OR(sel_Product="All",H2038=sel_Product),AND(S2038&gt;=m_From,S2038&lt;=m_To)),1,0)</f>
        <v/>
      </c>
      <c r="Z2038" s="36">
        <f>IF(AND(OR(sel_Region="All",C2038=sel_Region),OR(sel_Country="All",D2038=sel_Country),OR(sel_Channel="All",E2038=sel_Channel),OR(sel_Customer="All",F2038=sel_Customer),OR(sel_Category="All",G2038=sel_Category),AND(S2038&gt;=m_From,S2038&lt;=m_To)),1,0)</f>
        <v/>
      </c>
      <c r="AA2038" s="36">
        <f>IF(AND(OR(sel_Region="All",C2038=sel_Region),OR(sel_Country="All",D2038=sel_Country),OR(sel_Channel="All",E2038=sel_Channel),OR(sel_Customer="All",F2038=sel_Customer),OR(sel_Category="All",G2038=sel_Category),OR(sel_Product="All",H2038=sel_Product)),1,0)</f>
        <v/>
      </c>
    </row>
    <row r="2039">
      <c r="A2039" s="36" t="inlineStr">
        <is>
          <t>02250</t>
        </is>
      </c>
      <c r="B2039" s="44" t="n">
        <v>46297</v>
      </c>
      <c r="C2039" s="36" t="inlineStr">
        <is>
          <t>Western Europe</t>
        </is>
      </c>
      <c r="D2039" s="36" t="inlineStr">
        <is>
          <t>France</t>
        </is>
      </c>
      <c r="E2039" s="36" t="inlineStr">
        <is>
          <t>Retail Partners</t>
        </is>
      </c>
      <c r="F2039" s="36" t="inlineStr">
        <is>
          <t>Returning</t>
        </is>
      </c>
      <c r="G2039" s="36" t="inlineStr">
        <is>
          <t>Cycling</t>
        </is>
      </c>
      <c r="H2039" s="36" t="inlineStr">
        <is>
          <t>Trail Bike Light</t>
        </is>
      </c>
      <c r="I2039" s="36" t="n">
        <v>2</v>
      </c>
      <c r="J2039" s="39" t="n">
        <v>50.43</v>
      </c>
      <c r="K2039" s="45" t="n">
        <v>0</v>
      </c>
      <c r="L2039" s="39" t="n">
        <v>23.04</v>
      </c>
      <c r="M2039" s="39">
        <f>I2039*J2039*(1-K2039)</f>
        <v/>
      </c>
      <c r="N2039" s="39">
        <f>I2039*L2039</f>
        <v/>
      </c>
      <c r="O2039" s="39">
        <f>M2039-N2039</f>
        <v/>
      </c>
      <c r="P2039" s="38">
        <f>IF(M2039=0,0,O2039/M2039)</f>
        <v/>
      </c>
      <c r="Q2039" s="36">
        <f>YEAR(B2039)</f>
        <v/>
      </c>
      <c r="R2039" s="36">
        <f>"Q"&amp;ROUNDUP(MONTH(B2039)/3,0)</f>
        <v/>
      </c>
      <c r="S2039" s="36">
        <f>MONTH(B2039)</f>
        <v/>
      </c>
      <c r="T2039" s="36">
        <f>TEXT(B2039,"mmm")</f>
        <v/>
      </c>
      <c r="U2039" s="36">
        <f>IF(AND(OR(sel_Region="All",C2039=sel_Region),OR(sel_Country="All",D2039=sel_Country),OR(sel_Channel="All",E2039=sel_Channel),OR(sel_Customer="All",F2039=sel_Customer),OR(sel_Category="All",G2039=sel_Category),OR(sel_Product="All",H2039=sel_Product),AND(S2039&gt;=m_From,S2039&lt;=m_To)),1,0)</f>
        <v/>
      </c>
      <c r="V2039" s="36">
        <f>IF(AND(OR(sel_Region="All",C2039=sel_Region),OR(sel_Channel="All",E2039=sel_Channel),OR(sel_Customer="All",F2039=sel_Customer),OR(sel_Category="All",G2039=sel_Category),OR(sel_Product="All",H2039=sel_Product),AND(S2039&gt;=m_From,S2039&lt;=m_To)),1,0)</f>
        <v/>
      </c>
      <c r="W2039" s="36">
        <f>IF(AND(OR(sel_Region="All",C2039=sel_Region),OR(sel_Country="All",D2039=sel_Country),OR(sel_Customer="All",F2039=sel_Customer),OR(sel_Category="All",G2039=sel_Category),OR(sel_Product="All",H2039=sel_Product),AND(S2039&gt;=m_From,S2039&lt;=m_To)),1,0)</f>
        <v/>
      </c>
      <c r="X2039" s="36">
        <f>IF(AND(OR(sel_Region="All",C2039=sel_Region),OR(sel_Country="All",D2039=sel_Country),OR(sel_Channel="All",E2039=sel_Channel),OR(sel_Category="All",G2039=sel_Category),OR(sel_Product="All",H2039=sel_Product),AND(S2039&gt;=m_From,S2039&lt;=m_To)),1,0)</f>
        <v/>
      </c>
      <c r="Y2039" s="36">
        <f>IF(AND(OR(sel_Region="All",C2039=sel_Region),OR(sel_Country="All",D2039=sel_Country),OR(sel_Channel="All",E2039=sel_Channel),OR(sel_Customer="All",F2039=sel_Customer),OR(sel_Product="All",H2039=sel_Product),AND(S2039&gt;=m_From,S2039&lt;=m_To)),1,0)</f>
        <v/>
      </c>
      <c r="Z2039" s="36">
        <f>IF(AND(OR(sel_Region="All",C2039=sel_Region),OR(sel_Country="All",D2039=sel_Country),OR(sel_Channel="All",E2039=sel_Channel),OR(sel_Customer="All",F2039=sel_Customer),OR(sel_Category="All",G2039=sel_Category),AND(S2039&gt;=m_From,S2039&lt;=m_To)),1,0)</f>
        <v/>
      </c>
      <c r="AA2039" s="36">
        <f>IF(AND(OR(sel_Region="All",C2039=sel_Region),OR(sel_Country="All",D2039=sel_Country),OR(sel_Channel="All",E2039=sel_Channel),OR(sel_Customer="All",F2039=sel_Customer),OR(sel_Category="All",G2039=sel_Category),OR(sel_Product="All",H2039=sel_Product)),1,0)</f>
        <v/>
      </c>
    </row>
    <row r="2040">
      <c r="A2040" s="36" t="inlineStr">
        <is>
          <t>02516</t>
        </is>
      </c>
      <c r="B2040" s="44" t="n">
        <v>46297</v>
      </c>
      <c r="C2040" s="36" t="inlineStr">
        <is>
          <t>Northern Europe</t>
        </is>
      </c>
      <c r="D2040" s="36" t="inlineStr">
        <is>
          <t>Finland</t>
        </is>
      </c>
      <c r="E2040" s="36" t="inlineStr">
        <is>
          <t>Online Store</t>
        </is>
      </c>
      <c r="F2040" s="36" t="inlineStr">
        <is>
          <t>New</t>
        </is>
      </c>
      <c r="G2040" s="36" t="inlineStr">
        <is>
          <t>Camping</t>
        </is>
      </c>
      <c r="H2040" s="36" t="inlineStr">
        <is>
          <t>Trail Tent 2P</t>
        </is>
      </c>
      <c r="I2040" s="36" t="n">
        <v>2</v>
      </c>
      <c r="J2040" s="39" t="n">
        <v>198.57</v>
      </c>
      <c r="K2040" s="45" t="n">
        <v>0.15</v>
      </c>
      <c r="L2040" s="39" t="n">
        <v>101.08</v>
      </c>
      <c r="M2040" s="39">
        <f>I2040*J2040*(1-K2040)</f>
        <v/>
      </c>
      <c r="N2040" s="39">
        <f>I2040*L2040</f>
        <v/>
      </c>
      <c r="O2040" s="39">
        <f>M2040-N2040</f>
        <v/>
      </c>
      <c r="P2040" s="38">
        <f>IF(M2040=0,0,O2040/M2040)</f>
        <v/>
      </c>
      <c r="Q2040" s="36">
        <f>YEAR(B2040)</f>
        <v/>
      </c>
      <c r="R2040" s="36">
        <f>"Q"&amp;ROUNDUP(MONTH(B2040)/3,0)</f>
        <v/>
      </c>
      <c r="S2040" s="36">
        <f>MONTH(B2040)</f>
        <v/>
      </c>
      <c r="T2040" s="36">
        <f>TEXT(B2040,"mmm")</f>
        <v/>
      </c>
      <c r="U2040" s="36">
        <f>IF(AND(OR(sel_Region="All",C2040=sel_Region),OR(sel_Country="All",D2040=sel_Country),OR(sel_Channel="All",E2040=sel_Channel),OR(sel_Customer="All",F2040=sel_Customer),OR(sel_Category="All",G2040=sel_Category),OR(sel_Product="All",H2040=sel_Product),AND(S2040&gt;=m_From,S2040&lt;=m_To)),1,0)</f>
        <v/>
      </c>
      <c r="V2040" s="36">
        <f>IF(AND(OR(sel_Region="All",C2040=sel_Region),OR(sel_Channel="All",E2040=sel_Channel),OR(sel_Customer="All",F2040=sel_Customer),OR(sel_Category="All",G2040=sel_Category),OR(sel_Product="All",H2040=sel_Product),AND(S2040&gt;=m_From,S2040&lt;=m_To)),1,0)</f>
        <v/>
      </c>
      <c r="W2040" s="36">
        <f>IF(AND(OR(sel_Region="All",C2040=sel_Region),OR(sel_Country="All",D2040=sel_Country),OR(sel_Customer="All",F2040=sel_Customer),OR(sel_Category="All",G2040=sel_Category),OR(sel_Product="All",H2040=sel_Product),AND(S2040&gt;=m_From,S2040&lt;=m_To)),1,0)</f>
        <v/>
      </c>
      <c r="X2040" s="36">
        <f>IF(AND(OR(sel_Region="All",C2040=sel_Region),OR(sel_Country="All",D2040=sel_Country),OR(sel_Channel="All",E2040=sel_Channel),OR(sel_Category="All",G2040=sel_Category),OR(sel_Product="All",H2040=sel_Product),AND(S2040&gt;=m_From,S2040&lt;=m_To)),1,0)</f>
        <v/>
      </c>
      <c r="Y2040" s="36">
        <f>IF(AND(OR(sel_Region="All",C2040=sel_Region),OR(sel_Country="All",D2040=sel_Country),OR(sel_Channel="All",E2040=sel_Channel),OR(sel_Customer="All",F2040=sel_Customer),OR(sel_Product="All",H2040=sel_Product),AND(S2040&gt;=m_From,S2040&lt;=m_To)),1,0)</f>
        <v/>
      </c>
      <c r="Z2040" s="36">
        <f>IF(AND(OR(sel_Region="All",C2040=sel_Region),OR(sel_Country="All",D2040=sel_Country),OR(sel_Channel="All",E2040=sel_Channel),OR(sel_Customer="All",F2040=sel_Customer),OR(sel_Category="All",G2040=sel_Category),AND(S2040&gt;=m_From,S2040&lt;=m_To)),1,0)</f>
        <v/>
      </c>
      <c r="AA2040" s="36">
        <f>IF(AND(OR(sel_Region="All",C2040=sel_Region),OR(sel_Country="All",D2040=sel_Country),OR(sel_Channel="All",E2040=sel_Channel),OR(sel_Customer="All",F2040=sel_Customer),OR(sel_Category="All",G2040=sel_Category),OR(sel_Product="All",H2040=sel_Product)),1,0)</f>
        <v/>
      </c>
    </row>
    <row r="2041">
      <c r="A2041" s="36" t="inlineStr">
        <is>
          <t>00809</t>
        </is>
      </c>
      <c r="B2041" s="44" t="n">
        <v>46298</v>
      </c>
      <c r="C2041" s="36" t="inlineStr">
        <is>
          <t>Western Europe</t>
        </is>
      </c>
      <c r="D2041" s="36" t="inlineStr">
        <is>
          <t>United Kingdom</t>
        </is>
      </c>
      <c r="E2041" s="36" t="inlineStr">
        <is>
          <t>Online Store</t>
        </is>
      </c>
      <c r="F2041" s="36" t="inlineStr">
        <is>
          <t>New</t>
        </is>
      </c>
      <c r="G2041" s="36" t="inlineStr">
        <is>
          <t>Fitness</t>
        </is>
      </c>
      <c r="H2041" s="36" t="inlineStr">
        <is>
          <t>Resistance Band Set</t>
        </is>
      </c>
      <c r="I2041" s="36" t="n">
        <v>2</v>
      </c>
      <c r="J2041" s="39" t="n">
        <v>41.06</v>
      </c>
      <c r="K2041" s="45" t="n">
        <v>0.05</v>
      </c>
      <c r="L2041" s="39" t="n">
        <v>14.54</v>
      </c>
      <c r="M2041" s="39">
        <f>I2041*J2041*(1-K2041)</f>
        <v/>
      </c>
      <c r="N2041" s="39">
        <f>I2041*L2041</f>
        <v/>
      </c>
      <c r="O2041" s="39">
        <f>M2041-N2041</f>
        <v/>
      </c>
      <c r="P2041" s="38">
        <f>IF(M2041=0,0,O2041/M2041)</f>
        <v/>
      </c>
      <c r="Q2041" s="36">
        <f>YEAR(B2041)</f>
        <v/>
      </c>
      <c r="R2041" s="36">
        <f>"Q"&amp;ROUNDUP(MONTH(B2041)/3,0)</f>
        <v/>
      </c>
      <c r="S2041" s="36">
        <f>MONTH(B2041)</f>
        <v/>
      </c>
      <c r="T2041" s="36">
        <f>TEXT(B2041,"mmm")</f>
        <v/>
      </c>
      <c r="U2041" s="36">
        <f>IF(AND(OR(sel_Region="All",C2041=sel_Region),OR(sel_Country="All",D2041=sel_Country),OR(sel_Channel="All",E2041=sel_Channel),OR(sel_Customer="All",F2041=sel_Customer),OR(sel_Category="All",G2041=sel_Category),OR(sel_Product="All",H2041=sel_Product),AND(S2041&gt;=m_From,S2041&lt;=m_To)),1,0)</f>
        <v/>
      </c>
      <c r="V2041" s="36">
        <f>IF(AND(OR(sel_Region="All",C2041=sel_Region),OR(sel_Channel="All",E2041=sel_Channel),OR(sel_Customer="All",F2041=sel_Customer),OR(sel_Category="All",G2041=sel_Category),OR(sel_Product="All",H2041=sel_Product),AND(S2041&gt;=m_From,S2041&lt;=m_To)),1,0)</f>
        <v/>
      </c>
      <c r="W2041" s="36">
        <f>IF(AND(OR(sel_Region="All",C2041=sel_Region),OR(sel_Country="All",D2041=sel_Country),OR(sel_Customer="All",F2041=sel_Customer),OR(sel_Category="All",G2041=sel_Category),OR(sel_Product="All",H2041=sel_Product),AND(S2041&gt;=m_From,S2041&lt;=m_To)),1,0)</f>
        <v/>
      </c>
      <c r="X2041" s="36">
        <f>IF(AND(OR(sel_Region="All",C2041=sel_Region),OR(sel_Country="All",D2041=sel_Country),OR(sel_Channel="All",E2041=sel_Channel),OR(sel_Category="All",G2041=sel_Category),OR(sel_Product="All",H2041=sel_Product),AND(S2041&gt;=m_From,S2041&lt;=m_To)),1,0)</f>
        <v/>
      </c>
      <c r="Y2041" s="36">
        <f>IF(AND(OR(sel_Region="All",C2041=sel_Region),OR(sel_Country="All",D2041=sel_Country),OR(sel_Channel="All",E2041=sel_Channel),OR(sel_Customer="All",F2041=sel_Customer),OR(sel_Product="All",H2041=sel_Product),AND(S2041&gt;=m_From,S2041&lt;=m_To)),1,0)</f>
        <v/>
      </c>
      <c r="Z2041" s="36">
        <f>IF(AND(OR(sel_Region="All",C2041=sel_Region),OR(sel_Country="All",D2041=sel_Country),OR(sel_Channel="All",E2041=sel_Channel),OR(sel_Customer="All",F2041=sel_Customer),OR(sel_Category="All",G2041=sel_Category),AND(S2041&gt;=m_From,S2041&lt;=m_To)),1,0)</f>
        <v/>
      </c>
      <c r="AA2041" s="36">
        <f>IF(AND(OR(sel_Region="All",C2041=sel_Region),OR(sel_Country="All",D2041=sel_Country),OR(sel_Channel="All",E2041=sel_Channel),OR(sel_Customer="All",F2041=sel_Customer),OR(sel_Category="All",G2041=sel_Category),OR(sel_Product="All",H2041=sel_Product)),1,0)</f>
        <v/>
      </c>
    </row>
    <row r="2042">
      <c r="A2042" s="36" t="inlineStr">
        <is>
          <t>01852</t>
        </is>
      </c>
      <c r="B2042" s="44" t="n">
        <v>46298</v>
      </c>
      <c r="C2042" s="36" t="inlineStr">
        <is>
          <t>Central Europe</t>
        </is>
      </c>
      <c r="D2042" s="36" t="inlineStr">
        <is>
          <t>Germany</t>
        </is>
      </c>
      <c r="E2042" s="36" t="inlineStr">
        <is>
          <t>Corporate</t>
        </is>
      </c>
      <c r="F2042" s="36" t="inlineStr">
        <is>
          <t>Business</t>
        </is>
      </c>
      <c r="G2042" s="36" t="inlineStr">
        <is>
          <t>Travel</t>
        </is>
      </c>
      <c r="H2042" s="36" t="inlineStr">
        <is>
          <t>Travel Backpack 35L</t>
        </is>
      </c>
      <c r="I2042" s="36" t="n">
        <v>4</v>
      </c>
      <c r="J2042" s="39" t="n">
        <v>162.19</v>
      </c>
      <c r="K2042" s="45" t="n">
        <v>0.15</v>
      </c>
      <c r="L2042" s="39" t="n">
        <v>89.81</v>
      </c>
      <c r="M2042" s="39">
        <f>I2042*J2042*(1-K2042)</f>
        <v/>
      </c>
      <c r="N2042" s="39">
        <f>I2042*L2042</f>
        <v/>
      </c>
      <c r="O2042" s="39">
        <f>M2042-N2042</f>
        <v/>
      </c>
      <c r="P2042" s="38">
        <f>IF(M2042=0,0,O2042/M2042)</f>
        <v/>
      </c>
      <c r="Q2042" s="36">
        <f>YEAR(B2042)</f>
        <v/>
      </c>
      <c r="R2042" s="36">
        <f>"Q"&amp;ROUNDUP(MONTH(B2042)/3,0)</f>
        <v/>
      </c>
      <c r="S2042" s="36">
        <f>MONTH(B2042)</f>
        <v/>
      </c>
      <c r="T2042" s="36">
        <f>TEXT(B2042,"mmm")</f>
        <v/>
      </c>
      <c r="U2042" s="36">
        <f>IF(AND(OR(sel_Region="All",C2042=sel_Region),OR(sel_Country="All",D2042=sel_Country),OR(sel_Channel="All",E2042=sel_Channel),OR(sel_Customer="All",F2042=sel_Customer),OR(sel_Category="All",G2042=sel_Category),OR(sel_Product="All",H2042=sel_Product),AND(S2042&gt;=m_From,S2042&lt;=m_To)),1,0)</f>
        <v/>
      </c>
      <c r="V2042" s="36">
        <f>IF(AND(OR(sel_Region="All",C2042=sel_Region),OR(sel_Channel="All",E2042=sel_Channel),OR(sel_Customer="All",F2042=sel_Customer),OR(sel_Category="All",G2042=sel_Category),OR(sel_Product="All",H2042=sel_Product),AND(S2042&gt;=m_From,S2042&lt;=m_To)),1,0)</f>
        <v/>
      </c>
      <c r="W2042" s="36">
        <f>IF(AND(OR(sel_Region="All",C2042=sel_Region),OR(sel_Country="All",D2042=sel_Country),OR(sel_Customer="All",F2042=sel_Customer),OR(sel_Category="All",G2042=sel_Category),OR(sel_Product="All",H2042=sel_Product),AND(S2042&gt;=m_From,S2042&lt;=m_To)),1,0)</f>
        <v/>
      </c>
      <c r="X2042" s="36">
        <f>IF(AND(OR(sel_Region="All",C2042=sel_Region),OR(sel_Country="All",D2042=sel_Country),OR(sel_Channel="All",E2042=sel_Channel),OR(sel_Category="All",G2042=sel_Category),OR(sel_Product="All",H2042=sel_Product),AND(S2042&gt;=m_From,S2042&lt;=m_To)),1,0)</f>
        <v/>
      </c>
      <c r="Y2042" s="36">
        <f>IF(AND(OR(sel_Region="All",C2042=sel_Region),OR(sel_Country="All",D2042=sel_Country),OR(sel_Channel="All",E2042=sel_Channel),OR(sel_Customer="All",F2042=sel_Customer),OR(sel_Product="All",H2042=sel_Product),AND(S2042&gt;=m_From,S2042&lt;=m_To)),1,0)</f>
        <v/>
      </c>
      <c r="Z2042" s="36">
        <f>IF(AND(OR(sel_Region="All",C2042=sel_Region),OR(sel_Country="All",D2042=sel_Country),OR(sel_Channel="All",E2042=sel_Channel),OR(sel_Customer="All",F2042=sel_Customer),OR(sel_Category="All",G2042=sel_Category),AND(S2042&gt;=m_From,S2042&lt;=m_To)),1,0)</f>
        <v/>
      </c>
      <c r="AA2042" s="36">
        <f>IF(AND(OR(sel_Region="All",C2042=sel_Region),OR(sel_Country="All",D2042=sel_Country),OR(sel_Channel="All",E2042=sel_Channel),OR(sel_Customer="All",F2042=sel_Customer),OR(sel_Category="All",G2042=sel_Category),OR(sel_Product="All",H2042=sel_Product)),1,0)</f>
        <v/>
      </c>
    </row>
    <row r="2043">
      <c r="A2043" s="36" t="inlineStr">
        <is>
          <t>03627</t>
        </is>
      </c>
      <c r="B2043" s="44" t="n">
        <v>46298</v>
      </c>
      <c r="C2043" s="36" t="inlineStr">
        <is>
          <t>Western Europe</t>
        </is>
      </c>
      <c r="D2043" s="36" t="inlineStr">
        <is>
          <t>Belgium</t>
        </is>
      </c>
      <c r="E2043" s="36" t="inlineStr">
        <is>
          <t>Retail Partners</t>
        </is>
      </c>
      <c r="F2043" s="36" t="inlineStr">
        <is>
          <t>New</t>
        </is>
      </c>
      <c r="G2043" s="36" t="inlineStr">
        <is>
          <t>Camping</t>
        </is>
      </c>
      <c r="H2043" s="36" t="inlineStr">
        <is>
          <t>Trail Tent 2P</t>
        </is>
      </c>
      <c r="I2043" s="36" t="n">
        <v>2</v>
      </c>
      <c r="J2043" s="39" t="n">
        <v>192.99</v>
      </c>
      <c r="K2043" s="45" t="n">
        <v>0</v>
      </c>
      <c r="L2043" s="39" t="n">
        <v>101.73</v>
      </c>
      <c r="M2043" s="39">
        <f>I2043*J2043*(1-K2043)</f>
        <v/>
      </c>
      <c r="N2043" s="39">
        <f>I2043*L2043</f>
        <v/>
      </c>
      <c r="O2043" s="39">
        <f>M2043-N2043</f>
        <v/>
      </c>
      <c r="P2043" s="38">
        <f>IF(M2043=0,0,O2043/M2043)</f>
        <v/>
      </c>
      <c r="Q2043" s="36">
        <f>YEAR(B2043)</f>
        <v/>
      </c>
      <c r="R2043" s="36">
        <f>"Q"&amp;ROUNDUP(MONTH(B2043)/3,0)</f>
        <v/>
      </c>
      <c r="S2043" s="36">
        <f>MONTH(B2043)</f>
        <v/>
      </c>
      <c r="T2043" s="36">
        <f>TEXT(B2043,"mmm")</f>
        <v/>
      </c>
      <c r="U2043" s="36">
        <f>IF(AND(OR(sel_Region="All",C2043=sel_Region),OR(sel_Country="All",D2043=sel_Country),OR(sel_Channel="All",E2043=sel_Channel),OR(sel_Customer="All",F2043=sel_Customer),OR(sel_Category="All",G2043=sel_Category),OR(sel_Product="All",H2043=sel_Product),AND(S2043&gt;=m_From,S2043&lt;=m_To)),1,0)</f>
        <v/>
      </c>
      <c r="V2043" s="36">
        <f>IF(AND(OR(sel_Region="All",C2043=sel_Region),OR(sel_Channel="All",E2043=sel_Channel),OR(sel_Customer="All",F2043=sel_Customer),OR(sel_Category="All",G2043=sel_Category),OR(sel_Product="All",H2043=sel_Product),AND(S2043&gt;=m_From,S2043&lt;=m_To)),1,0)</f>
        <v/>
      </c>
      <c r="W2043" s="36">
        <f>IF(AND(OR(sel_Region="All",C2043=sel_Region),OR(sel_Country="All",D2043=sel_Country),OR(sel_Customer="All",F2043=sel_Customer),OR(sel_Category="All",G2043=sel_Category),OR(sel_Product="All",H2043=sel_Product),AND(S2043&gt;=m_From,S2043&lt;=m_To)),1,0)</f>
        <v/>
      </c>
      <c r="X2043" s="36">
        <f>IF(AND(OR(sel_Region="All",C2043=sel_Region),OR(sel_Country="All",D2043=sel_Country),OR(sel_Channel="All",E2043=sel_Channel),OR(sel_Category="All",G2043=sel_Category),OR(sel_Product="All",H2043=sel_Product),AND(S2043&gt;=m_From,S2043&lt;=m_To)),1,0)</f>
        <v/>
      </c>
      <c r="Y2043" s="36">
        <f>IF(AND(OR(sel_Region="All",C2043=sel_Region),OR(sel_Country="All",D2043=sel_Country),OR(sel_Channel="All",E2043=sel_Channel),OR(sel_Customer="All",F2043=sel_Customer),OR(sel_Product="All",H2043=sel_Product),AND(S2043&gt;=m_From,S2043&lt;=m_To)),1,0)</f>
        <v/>
      </c>
      <c r="Z2043" s="36">
        <f>IF(AND(OR(sel_Region="All",C2043=sel_Region),OR(sel_Country="All",D2043=sel_Country),OR(sel_Channel="All",E2043=sel_Channel),OR(sel_Customer="All",F2043=sel_Customer),OR(sel_Category="All",G2043=sel_Category),AND(S2043&gt;=m_From,S2043&lt;=m_To)),1,0)</f>
        <v/>
      </c>
      <c r="AA2043" s="36">
        <f>IF(AND(OR(sel_Region="All",C2043=sel_Region),OR(sel_Country="All",D2043=sel_Country),OR(sel_Channel="All",E2043=sel_Channel),OR(sel_Customer="All",F2043=sel_Customer),OR(sel_Category="All",G2043=sel_Category),OR(sel_Product="All",H2043=sel_Product)),1,0)</f>
        <v/>
      </c>
    </row>
    <row r="2044">
      <c r="A2044" s="36" t="inlineStr">
        <is>
          <t>04135</t>
        </is>
      </c>
      <c r="B2044" s="44" t="n">
        <v>46298</v>
      </c>
      <c r="C2044" s="36" t="inlineStr">
        <is>
          <t>Southern Europe</t>
        </is>
      </c>
      <c r="D2044" s="36" t="inlineStr">
        <is>
          <t>Italy</t>
        </is>
      </c>
      <c r="E2044" s="36" t="inlineStr">
        <is>
          <t>Online Store</t>
        </is>
      </c>
      <c r="F2044" s="36" t="inlineStr">
        <is>
          <t>New</t>
        </is>
      </c>
      <c r="G2044" s="36" t="inlineStr">
        <is>
          <t>Hiking</t>
        </is>
      </c>
      <c r="H2044" s="36" t="inlineStr">
        <is>
          <t>Trail Boots</t>
        </is>
      </c>
      <c r="I2044" s="36" t="n">
        <v>3</v>
      </c>
      <c r="J2044" s="39" t="n">
        <v>142.33</v>
      </c>
      <c r="K2044" s="45" t="n">
        <v>0.1</v>
      </c>
      <c r="L2044" s="39" t="n">
        <v>79.19</v>
      </c>
      <c r="M2044" s="39">
        <f>I2044*J2044*(1-K2044)</f>
        <v/>
      </c>
      <c r="N2044" s="39">
        <f>I2044*L2044</f>
        <v/>
      </c>
      <c r="O2044" s="39">
        <f>M2044-N2044</f>
        <v/>
      </c>
      <c r="P2044" s="38">
        <f>IF(M2044=0,0,O2044/M2044)</f>
        <v/>
      </c>
      <c r="Q2044" s="36">
        <f>YEAR(B2044)</f>
        <v/>
      </c>
      <c r="R2044" s="36">
        <f>"Q"&amp;ROUNDUP(MONTH(B2044)/3,0)</f>
        <v/>
      </c>
      <c r="S2044" s="36">
        <f>MONTH(B2044)</f>
        <v/>
      </c>
      <c r="T2044" s="36">
        <f>TEXT(B2044,"mmm")</f>
        <v/>
      </c>
      <c r="U2044" s="36">
        <f>IF(AND(OR(sel_Region="All",C2044=sel_Region),OR(sel_Country="All",D2044=sel_Country),OR(sel_Channel="All",E2044=sel_Channel),OR(sel_Customer="All",F2044=sel_Customer),OR(sel_Category="All",G2044=sel_Category),OR(sel_Product="All",H2044=sel_Product),AND(S2044&gt;=m_From,S2044&lt;=m_To)),1,0)</f>
        <v/>
      </c>
      <c r="V2044" s="36">
        <f>IF(AND(OR(sel_Region="All",C2044=sel_Region),OR(sel_Channel="All",E2044=sel_Channel),OR(sel_Customer="All",F2044=sel_Customer),OR(sel_Category="All",G2044=sel_Category),OR(sel_Product="All",H2044=sel_Product),AND(S2044&gt;=m_From,S2044&lt;=m_To)),1,0)</f>
        <v/>
      </c>
      <c r="W2044" s="36">
        <f>IF(AND(OR(sel_Region="All",C2044=sel_Region),OR(sel_Country="All",D2044=sel_Country),OR(sel_Customer="All",F2044=sel_Customer),OR(sel_Category="All",G2044=sel_Category),OR(sel_Product="All",H2044=sel_Product),AND(S2044&gt;=m_From,S2044&lt;=m_To)),1,0)</f>
        <v/>
      </c>
      <c r="X2044" s="36">
        <f>IF(AND(OR(sel_Region="All",C2044=sel_Region),OR(sel_Country="All",D2044=sel_Country),OR(sel_Channel="All",E2044=sel_Channel),OR(sel_Category="All",G2044=sel_Category),OR(sel_Product="All",H2044=sel_Product),AND(S2044&gt;=m_From,S2044&lt;=m_To)),1,0)</f>
        <v/>
      </c>
      <c r="Y2044" s="36">
        <f>IF(AND(OR(sel_Region="All",C2044=sel_Region),OR(sel_Country="All",D2044=sel_Country),OR(sel_Channel="All",E2044=sel_Channel),OR(sel_Customer="All",F2044=sel_Customer),OR(sel_Product="All",H2044=sel_Product),AND(S2044&gt;=m_From,S2044&lt;=m_To)),1,0)</f>
        <v/>
      </c>
      <c r="Z2044" s="36">
        <f>IF(AND(OR(sel_Region="All",C2044=sel_Region),OR(sel_Country="All",D2044=sel_Country),OR(sel_Channel="All",E2044=sel_Channel),OR(sel_Customer="All",F2044=sel_Customer),OR(sel_Category="All",G2044=sel_Category),AND(S2044&gt;=m_From,S2044&lt;=m_To)),1,0)</f>
        <v/>
      </c>
      <c r="AA2044" s="36">
        <f>IF(AND(OR(sel_Region="All",C2044=sel_Region),OR(sel_Country="All",D2044=sel_Country),OR(sel_Channel="All",E2044=sel_Channel),OR(sel_Customer="All",F2044=sel_Customer),OR(sel_Category="All",G2044=sel_Category),OR(sel_Product="All",H2044=sel_Product)),1,0)</f>
        <v/>
      </c>
    </row>
    <row r="2045">
      <c r="A2045" s="36" t="inlineStr">
        <is>
          <t>04138</t>
        </is>
      </c>
      <c r="B2045" s="44" t="n">
        <v>46298</v>
      </c>
      <c r="C2045" s="36" t="inlineStr">
        <is>
          <t>Central Europe</t>
        </is>
      </c>
      <c r="D2045" s="36" t="inlineStr">
        <is>
          <t>Switzerland</t>
        </is>
      </c>
      <c r="E2045" s="36" t="inlineStr">
        <is>
          <t>Retail Partners</t>
        </is>
      </c>
      <c r="F2045" s="36" t="inlineStr">
        <is>
          <t>Business</t>
        </is>
      </c>
      <c r="G2045" s="36" t="inlineStr">
        <is>
          <t>Hiking</t>
        </is>
      </c>
      <c r="H2045" s="36" t="inlineStr">
        <is>
          <t>Trail Boots</t>
        </is>
      </c>
      <c r="I2045" s="36" t="n">
        <v>4</v>
      </c>
      <c r="J2045" s="39" t="n">
        <v>143.63</v>
      </c>
      <c r="K2045" s="45" t="n">
        <v>0</v>
      </c>
      <c r="L2045" s="39" t="n">
        <v>80.51000000000001</v>
      </c>
      <c r="M2045" s="39">
        <f>I2045*J2045*(1-K2045)</f>
        <v/>
      </c>
      <c r="N2045" s="39">
        <f>I2045*L2045</f>
        <v/>
      </c>
      <c r="O2045" s="39">
        <f>M2045-N2045</f>
        <v/>
      </c>
      <c r="P2045" s="38">
        <f>IF(M2045=0,0,O2045/M2045)</f>
        <v/>
      </c>
      <c r="Q2045" s="36">
        <f>YEAR(B2045)</f>
        <v/>
      </c>
      <c r="R2045" s="36">
        <f>"Q"&amp;ROUNDUP(MONTH(B2045)/3,0)</f>
        <v/>
      </c>
      <c r="S2045" s="36">
        <f>MONTH(B2045)</f>
        <v/>
      </c>
      <c r="T2045" s="36">
        <f>TEXT(B2045,"mmm")</f>
        <v/>
      </c>
      <c r="U2045" s="36">
        <f>IF(AND(OR(sel_Region="All",C2045=sel_Region),OR(sel_Country="All",D2045=sel_Country),OR(sel_Channel="All",E2045=sel_Channel),OR(sel_Customer="All",F2045=sel_Customer),OR(sel_Category="All",G2045=sel_Category),OR(sel_Product="All",H2045=sel_Product),AND(S2045&gt;=m_From,S2045&lt;=m_To)),1,0)</f>
        <v/>
      </c>
      <c r="V2045" s="36">
        <f>IF(AND(OR(sel_Region="All",C2045=sel_Region),OR(sel_Channel="All",E2045=sel_Channel),OR(sel_Customer="All",F2045=sel_Customer),OR(sel_Category="All",G2045=sel_Category),OR(sel_Product="All",H2045=sel_Product),AND(S2045&gt;=m_From,S2045&lt;=m_To)),1,0)</f>
        <v/>
      </c>
      <c r="W2045" s="36">
        <f>IF(AND(OR(sel_Region="All",C2045=sel_Region),OR(sel_Country="All",D2045=sel_Country),OR(sel_Customer="All",F2045=sel_Customer),OR(sel_Category="All",G2045=sel_Category),OR(sel_Product="All",H2045=sel_Product),AND(S2045&gt;=m_From,S2045&lt;=m_To)),1,0)</f>
        <v/>
      </c>
      <c r="X2045" s="36">
        <f>IF(AND(OR(sel_Region="All",C2045=sel_Region),OR(sel_Country="All",D2045=sel_Country),OR(sel_Channel="All",E2045=sel_Channel),OR(sel_Category="All",G2045=sel_Category),OR(sel_Product="All",H2045=sel_Product),AND(S2045&gt;=m_From,S2045&lt;=m_To)),1,0)</f>
        <v/>
      </c>
      <c r="Y2045" s="36">
        <f>IF(AND(OR(sel_Region="All",C2045=sel_Region),OR(sel_Country="All",D2045=sel_Country),OR(sel_Channel="All",E2045=sel_Channel),OR(sel_Customer="All",F2045=sel_Customer),OR(sel_Product="All",H2045=sel_Product),AND(S2045&gt;=m_From,S2045&lt;=m_To)),1,0)</f>
        <v/>
      </c>
      <c r="Z2045" s="36">
        <f>IF(AND(OR(sel_Region="All",C2045=sel_Region),OR(sel_Country="All",D2045=sel_Country),OR(sel_Channel="All",E2045=sel_Channel),OR(sel_Customer="All",F2045=sel_Customer),OR(sel_Category="All",G2045=sel_Category),AND(S2045&gt;=m_From,S2045&lt;=m_To)),1,0)</f>
        <v/>
      </c>
      <c r="AA2045" s="36">
        <f>IF(AND(OR(sel_Region="All",C2045=sel_Region),OR(sel_Country="All",D2045=sel_Country),OR(sel_Channel="All",E2045=sel_Channel),OR(sel_Customer="All",F2045=sel_Customer),OR(sel_Category="All",G2045=sel_Category),OR(sel_Product="All",H2045=sel_Product)),1,0)</f>
        <v/>
      </c>
    </row>
    <row r="2046">
      <c r="A2046" s="36" t="inlineStr">
        <is>
          <t>04286</t>
        </is>
      </c>
      <c r="B2046" s="44" t="n">
        <v>46298</v>
      </c>
      <c r="C2046" s="36" t="inlineStr">
        <is>
          <t>Central Europe</t>
        </is>
      </c>
      <c r="D2046" s="36" t="inlineStr">
        <is>
          <t>Austria</t>
        </is>
      </c>
      <c r="E2046" s="36" t="inlineStr">
        <is>
          <t>Retail Partners</t>
        </is>
      </c>
      <c r="F2046" s="36" t="inlineStr">
        <is>
          <t>Returning</t>
        </is>
      </c>
      <c r="G2046" s="36" t="inlineStr">
        <is>
          <t>Camping</t>
        </is>
      </c>
      <c r="H2046" s="36" t="inlineStr">
        <is>
          <t>Alpine Tent 4P</t>
        </is>
      </c>
      <c r="I2046" s="36" t="n">
        <v>4</v>
      </c>
      <c r="J2046" s="39" t="n">
        <v>341.95</v>
      </c>
      <c r="K2046" s="45" t="n">
        <v>0.05</v>
      </c>
      <c r="L2046" s="39" t="n">
        <v>199.9</v>
      </c>
      <c r="M2046" s="39">
        <f>I2046*J2046*(1-K2046)</f>
        <v/>
      </c>
      <c r="N2046" s="39">
        <f>I2046*L2046</f>
        <v/>
      </c>
      <c r="O2046" s="39">
        <f>M2046-N2046</f>
        <v/>
      </c>
      <c r="P2046" s="38">
        <f>IF(M2046=0,0,O2046/M2046)</f>
        <v/>
      </c>
      <c r="Q2046" s="36">
        <f>YEAR(B2046)</f>
        <v/>
      </c>
      <c r="R2046" s="36">
        <f>"Q"&amp;ROUNDUP(MONTH(B2046)/3,0)</f>
        <v/>
      </c>
      <c r="S2046" s="36">
        <f>MONTH(B2046)</f>
        <v/>
      </c>
      <c r="T2046" s="36">
        <f>TEXT(B2046,"mmm")</f>
        <v/>
      </c>
      <c r="U2046" s="36">
        <f>IF(AND(OR(sel_Region="All",C2046=sel_Region),OR(sel_Country="All",D2046=sel_Country),OR(sel_Channel="All",E2046=sel_Channel),OR(sel_Customer="All",F2046=sel_Customer),OR(sel_Category="All",G2046=sel_Category),OR(sel_Product="All",H2046=sel_Product),AND(S2046&gt;=m_From,S2046&lt;=m_To)),1,0)</f>
        <v/>
      </c>
      <c r="V2046" s="36">
        <f>IF(AND(OR(sel_Region="All",C2046=sel_Region),OR(sel_Channel="All",E2046=sel_Channel),OR(sel_Customer="All",F2046=sel_Customer),OR(sel_Category="All",G2046=sel_Category),OR(sel_Product="All",H2046=sel_Product),AND(S2046&gt;=m_From,S2046&lt;=m_To)),1,0)</f>
        <v/>
      </c>
      <c r="W2046" s="36">
        <f>IF(AND(OR(sel_Region="All",C2046=sel_Region),OR(sel_Country="All",D2046=sel_Country),OR(sel_Customer="All",F2046=sel_Customer),OR(sel_Category="All",G2046=sel_Category),OR(sel_Product="All",H2046=sel_Product),AND(S2046&gt;=m_From,S2046&lt;=m_To)),1,0)</f>
        <v/>
      </c>
      <c r="X2046" s="36">
        <f>IF(AND(OR(sel_Region="All",C2046=sel_Region),OR(sel_Country="All",D2046=sel_Country),OR(sel_Channel="All",E2046=sel_Channel),OR(sel_Category="All",G2046=sel_Category),OR(sel_Product="All",H2046=sel_Product),AND(S2046&gt;=m_From,S2046&lt;=m_To)),1,0)</f>
        <v/>
      </c>
      <c r="Y2046" s="36">
        <f>IF(AND(OR(sel_Region="All",C2046=sel_Region),OR(sel_Country="All",D2046=sel_Country),OR(sel_Channel="All",E2046=sel_Channel),OR(sel_Customer="All",F2046=sel_Customer),OR(sel_Product="All",H2046=sel_Product),AND(S2046&gt;=m_From,S2046&lt;=m_To)),1,0)</f>
        <v/>
      </c>
      <c r="Z2046" s="36">
        <f>IF(AND(OR(sel_Region="All",C2046=sel_Region),OR(sel_Country="All",D2046=sel_Country),OR(sel_Channel="All",E2046=sel_Channel),OR(sel_Customer="All",F2046=sel_Customer),OR(sel_Category="All",G2046=sel_Category),AND(S2046&gt;=m_From,S2046&lt;=m_To)),1,0)</f>
        <v/>
      </c>
      <c r="AA2046" s="36">
        <f>IF(AND(OR(sel_Region="All",C2046=sel_Region),OR(sel_Country="All",D2046=sel_Country),OR(sel_Channel="All",E2046=sel_Channel),OR(sel_Customer="All",F2046=sel_Customer),OR(sel_Category="All",G2046=sel_Category),OR(sel_Product="All",H2046=sel_Product)),1,0)</f>
        <v/>
      </c>
    </row>
    <row r="2047">
      <c r="A2047" s="36" t="inlineStr">
        <is>
          <t>04371</t>
        </is>
      </c>
      <c r="B2047" s="44" t="n">
        <v>46298</v>
      </c>
      <c r="C2047" s="36" t="inlineStr">
        <is>
          <t>Central Europe</t>
        </is>
      </c>
      <c r="D2047" s="36" t="inlineStr">
        <is>
          <t>Austria</t>
        </is>
      </c>
      <c r="E2047" s="36" t="inlineStr">
        <is>
          <t>Online Store</t>
        </is>
      </c>
      <c r="F2047" s="36" t="inlineStr">
        <is>
          <t>Returning</t>
        </is>
      </c>
      <c r="G2047" s="36" t="inlineStr">
        <is>
          <t>Fitness</t>
        </is>
      </c>
      <c r="H2047" s="36" t="inlineStr">
        <is>
          <t>Weighted Vest</t>
        </is>
      </c>
      <c r="I2047" s="36" t="n">
        <v>1</v>
      </c>
      <c r="J2047" s="39" t="n">
        <v>123.81</v>
      </c>
      <c r="K2047" s="45" t="n">
        <v>0</v>
      </c>
      <c r="L2047" s="39" t="n">
        <v>68.72</v>
      </c>
      <c r="M2047" s="39">
        <f>I2047*J2047*(1-K2047)</f>
        <v/>
      </c>
      <c r="N2047" s="39">
        <f>I2047*L2047</f>
        <v/>
      </c>
      <c r="O2047" s="39">
        <f>M2047-N2047</f>
        <v/>
      </c>
      <c r="P2047" s="38">
        <f>IF(M2047=0,0,O2047/M2047)</f>
        <v/>
      </c>
      <c r="Q2047" s="36">
        <f>YEAR(B2047)</f>
        <v/>
      </c>
      <c r="R2047" s="36">
        <f>"Q"&amp;ROUNDUP(MONTH(B2047)/3,0)</f>
        <v/>
      </c>
      <c r="S2047" s="36">
        <f>MONTH(B2047)</f>
        <v/>
      </c>
      <c r="T2047" s="36">
        <f>TEXT(B2047,"mmm")</f>
        <v/>
      </c>
      <c r="U2047" s="36">
        <f>IF(AND(OR(sel_Region="All",C2047=sel_Region),OR(sel_Country="All",D2047=sel_Country),OR(sel_Channel="All",E2047=sel_Channel),OR(sel_Customer="All",F2047=sel_Customer),OR(sel_Category="All",G2047=sel_Category),OR(sel_Product="All",H2047=sel_Product),AND(S2047&gt;=m_From,S2047&lt;=m_To)),1,0)</f>
        <v/>
      </c>
      <c r="V2047" s="36">
        <f>IF(AND(OR(sel_Region="All",C2047=sel_Region),OR(sel_Channel="All",E2047=sel_Channel),OR(sel_Customer="All",F2047=sel_Customer),OR(sel_Category="All",G2047=sel_Category),OR(sel_Product="All",H2047=sel_Product),AND(S2047&gt;=m_From,S2047&lt;=m_To)),1,0)</f>
        <v/>
      </c>
      <c r="W2047" s="36">
        <f>IF(AND(OR(sel_Region="All",C2047=sel_Region),OR(sel_Country="All",D2047=sel_Country),OR(sel_Customer="All",F2047=sel_Customer),OR(sel_Category="All",G2047=sel_Category),OR(sel_Product="All",H2047=sel_Product),AND(S2047&gt;=m_From,S2047&lt;=m_To)),1,0)</f>
        <v/>
      </c>
      <c r="X2047" s="36">
        <f>IF(AND(OR(sel_Region="All",C2047=sel_Region),OR(sel_Country="All",D2047=sel_Country),OR(sel_Channel="All",E2047=sel_Channel),OR(sel_Category="All",G2047=sel_Category),OR(sel_Product="All",H2047=sel_Product),AND(S2047&gt;=m_From,S2047&lt;=m_To)),1,0)</f>
        <v/>
      </c>
      <c r="Y2047" s="36">
        <f>IF(AND(OR(sel_Region="All",C2047=sel_Region),OR(sel_Country="All",D2047=sel_Country),OR(sel_Channel="All",E2047=sel_Channel),OR(sel_Customer="All",F2047=sel_Customer),OR(sel_Product="All",H2047=sel_Product),AND(S2047&gt;=m_From,S2047&lt;=m_To)),1,0)</f>
        <v/>
      </c>
      <c r="Z2047" s="36">
        <f>IF(AND(OR(sel_Region="All",C2047=sel_Region),OR(sel_Country="All",D2047=sel_Country),OR(sel_Channel="All",E2047=sel_Channel),OR(sel_Customer="All",F2047=sel_Customer),OR(sel_Category="All",G2047=sel_Category),AND(S2047&gt;=m_From,S2047&lt;=m_To)),1,0)</f>
        <v/>
      </c>
      <c r="AA2047" s="36">
        <f>IF(AND(OR(sel_Region="All",C2047=sel_Region),OR(sel_Country="All",D2047=sel_Country),OR(sel_Channel="All",E2047=sel_Channel),OR(sel_Customer="All",F2047=sel_Customer),OR(sel_Category="All",G2047=sel_Category),OR(sel_Product="All",H2047=sel_Product)),1,0)</f>
        <v/>
      </c>
    </row>
    <row r="2048">
      <c r="A2048" s="36" t="inlineStr">
        <is>
          <t>00905</t>
        </is>
      </c>
      <c r="B2048" s="44" t="n">
        <v>46299</v>
      </c>
      <c r="C2048" s="36" t="inlineStr">
        <is>
          <t>Northern Europe</t>
        </is>
      </c>
      <c r="D2048" s="36" t="inlineStr">
        <is>
          <t>Ireland</t>
        </is>
      </c>
      <c r="E2048" s="36" t="inlineStr">
        <is>
          <t>Online Store</t>
        </is>
      </c>
      <c r="F2048" s="36" t="inlineStr">
        <is>
          <t>New</t>
        </is>
      </c>
      <c r="G2048" s="36" t="inlineStr">
        <is>
          <t>Hiking</t>
        </is>
      </c>
      <c r="H2048" s="36" t="inlineStr">
        <is>
          <t>Trail Boots</t>
        </is>
      </c>
      <c r="I2048" s="36" t="n">
        <v>1</v>
      </c>
      <c r="J2048" s="39" t="n">
        <v>146.1</v>
      </c>
      <c r="K2048" s="45" t="n">
        <v>0</v>
      </c>
      <c r="L2048" s="39" t="n">
        <v>79.73999999999999</v>
      </c>
      <c r="M2048" s="39">
        <f>I2048*J2048*(1-K2048)</f>
        <v/>
      </c>
      <c r="N2048" s="39">
        <f>I2048*L2048</f>
        <v/>
      </c>
      <c r="O2048" s="39">
        <f>M2048-N2048</f>
        <v/>
      </c>
      <c r="P2048" s="38">
        <f>IF(M2048=0,0,O2048/M2048)</f>
        <v/>
      </c>
      <c r="Q2048" s="36">
        <f>YEAR(B2048)</f>
        <v/>
      </c>
      <c r="R2048" s="36">
        <f>"Q"&amp;ROUNDUP(MONTH(B2048)/3,0)</f>
        <v/>
      </c>
      <c r="S2048" s="36">
        <f>MONTH(B2048)</f>
        <v/>
      </c>
      <c r="T2048" s="36">
        <f>TEXT(B2048,"mmm")</f>
        <v/>
      </c>
      <c r="U2048" s="36">
        <f>IF(AND(OR(sel_Region="All",C2048=sel_Region),OR(sel_Country="All",D2048=sel_Country),OR(sel_Channel="All",E2048=sel_Channel),OR(sel_Customer="All",F2048=sel_Customer),OR(sel_Category="All",G2048=sel_Category),OR(sel_Product="All",H2048=sel_Product),AND(S2048&gt;=m_From,S2048&lt;=m_To)),1,0)</f>
        <v/>
      </c>
      <c r="V2048" s="36">
        <f>IF(AND(OR(sel_Region="All",C2048=sel_Region),OR(sel_Channel="All",E2048=sel_Channel),OR(sel_Customer="All",F2048=sel_Customer),OR(sel_Category="All",G2048=sel_Category),OR(sel_Product="All",H2048=sel_Product),AND(S2048&gt;=m_From,S2048&lt;=m_To)),1,0)</f>
        <v/>
      </c>
      <c r="W2048" s="36">
        <f>IF(AND(OR(sel_Region="All",C2048=sel_Region),OR(sel_Country="All",D2048=sel_Country),OR(sel_Customer="All",F2048=sel_Customer),OR(sel_Category="All",G2048=sel_Category),OR(sel_Product="All",H2048=sel_Product),AND(S2048&gt;=m_From,S2048&lt;=m_To)),1,0)</f>
        <v/>
      </c>
      <c r="X2048" s="36">
        <f>IF(AND(OR(sel_Region="All",C2048=sel_Region),OR(sel_Country="All",D2048=sel_Country),OR(sel_Channel="All",E2048=sel_Channel),OR(sel_Category="All",G2048=sel_Category),OR(sel_Product="All",H2048=sel_Product),AND(S2048&gt;=m_From,S2048&lt;=m_To)),1,0)</f>
        <v/>
      </c>
      <c r="Y2048" s="36">
        <f>IF(AND(OR(sel_Region="All",C2048=sel_Region),OR(sel_Country="All",D2048=sel_Country),OR(sel_Channel="All",E2048=sel_Channel),OR(sel_Customer="All",F2048=sel_Customer),OR(sel_Product="All",H2048=sel_Product),AND(S2048&gt;=m_From,S2048&lt;=m_To)),1,0)</f>
        <v/>
      </c>
      <c r="Z2048" s="36">
        <f>IF(AND(OR(sel_Region="All",C2048=sel_Region),OR(sel_Country="All",D2048=sel_Country),OR(sel_Channel="All",E2048=sel_Channel),OR(sel_Customer="All",F2048=sel_Customer),OR(sel_Category="All",G2048=sel_Category),AND(S2048&gt;=m_From,S2048&lt;=m_To)),1,0)</f>
        <v/>
      </c>
      <c r="AA2048" s="36">
        <f>IF(AND(OR(sel_Region="All",C2048=sel_Region),OR(sel_Country="All",D2048=sel_Country),OR(sel_Channel="All",E2048=sel_Channel),OR(sel_Customer="All",F2048=sel_Customer),OR(sel_Category="All",G2048=sel_Category),OR(sel_Product="All",H2048=sel_Product)),1,0)</f>
        <v/>
      </c>
    </row>
    <row r="2049">
      <c r="A2049" s="36" t="inlineStr">
        <is>
          <t>01415</t>
        </is>
      </c>
      <c r="B2049" s="44" t="n">
        <v>46299</v>
      </c>
      <c r="C2049" s="36" t="inlineStr">
        <is>
          <t>Central Europe</t>
        </is>
      </c>
      <c r="D2049" s="36" t="inlineStr">
        <is>
          <t>Switzerland</t>
        </is>
      </c>
      <c r="E2049" s="36" t="inlineStr">
        <is>
          <t>Marketplace</t>
        </is>
      </c>
      <c r="F2049" s="36" t="inlineStr">
        <is>
          <t>Returning</t>
        </is>
      </c>
      <c r="G2049" s="36" t="inlineStr">
        <is>
          <t>Travel</t>
        </is>
      </c>
      <c r="H2049" s="36" t="inlineStr">
        <is>
          <t>Travel Backpack 35L</t>
        </is>
      </c>
      <c r="I2049" s="36" t="n">
        <v>1</v>
      </c>
      <c r="J2049" s="39" t="n">
        <v>161.07</v>
      </c>
      <c r="K2049" s="45" t="n">
        <v>0.05</v>
      </c>
      <c r="L2049" s="39" t="n">
        <v>89.81</v>
      </c>
      <c r="M2049" s="39">
        <f>I2049*J2049*(1-K2049)</f>
        <v/>
      </c>
      <c r="N2049" s="39">
        <f>I2049*L2049</f>
        <v/>
      </c>
      <c r="O2049" s="39">
        <f>M2049-N2049</f>
        <v/>
      </c>
      <c r="P2049" s="38">
        <f>IF(M2049=0,0,O2049/M2049)</f>
        <v/>
      </c>
      <c r="Q2049" s="36">
        <f>YEAR(B2049)</f>
        <v/>
      </c>
      <c r="R2049" s="36">
        <f>"Q"&amp;ROUNDUP(MONTH(B2049)/3,0)</f>
        <v/>
      </c>
      <c r="S2049" s="36">
        <f>MONTH(B2049)</f>
        <v/>
      </c>
      <c r="T2049" s="36">
        <f>TEXT(B2049,"mmm")</f>
        <v/>
      </c>
      <c r="U2049" s="36">
        <f>IF(AND(OR(sel_Region="All",C2049=sel_Region),OR(sel_Country="All",D2049=sel_Country),OR(sel_Channel="All",E2049=sel_Channel),OR(sel_Customer="All",F2049=sel_Customer),OR(sel_Category="All",G2049=sel_Category),OR(sel_Product="All",H2049=sel_Product),AND(S2049&gt;=m_From,S2049&lt;=m_To)),1,0)</f>
        <v/>
      </c>
      <c r="V2049" s="36">
        <f>IF(AND(OR(sel_Region="All",C2049=sel_Region),OR(sel_Channel="All",E2049=sel_Channel),OR(sel_Customer="All",F2049=sel_Customer),OR(sel_Category="All",G2049=sel_Category),OR(sel_Product="All",H2049=sel_Product),AND(S2049&gt;=m_From,S2049&lt;=m_To)),1,0)</f>
        <v/>
      </c>
      <c r="W2049" s="36">
        <f>IF(AND(OR(sel_Region="All",C2049=sel_Region),OR(sel_Country="All",D2049=sel_Country),OR(sel_Customer="All",F2049=sel_Customer),OR(sel_Category="All",G2049=sel_Category),OR(sel_Product="All",H2049=sel_Product),AND(S2049&gt;=m_From,S2049&lt;=m_To)),1,0)</f>
        <v/>
      </c>
      <c r="X2049" s="36">
        <f>IF(AND(OR(sel_Region="All",C2049=sel_Region),OR(sel_Country="All",D2049=sel_Country),OR(sel_Channel="All",E2049=sel_Channel),OR(sel_Category="All",G2049=sel_Category),OR(sel_Product="All",H2049=sel_Product),AND(S2049&gt;=m_From,S2049&lt;=m_To)),1,0)</f>
        <v/>
      </c>
      <c r="Y2049" s="36">
        <f>IF(AND(OR(sel_Region="All",C2049=sel_Region),OR(sel_Country="All",D2049=sel_Country),OR(sel_Channel="All",E2049=sel_Channel),OR(sel_Customer="All",F2049=sel_Customer),OR(sel_Product="All",H2049=sel_Product),AND(S2049&gt;=m_From,S2049&lt;=m_To)),1,0)</f>
        <v/>
      </c>
      <c r="Z2049" s="36">
        <f>IF(AND(OR(sel_Region="All",C2049=sel_Region),OR(sel_Country="All",D2049=sel_Country),OR(sel_Channel="All",E2049=sel_Channel),OR(sel_Customer="All",F2049=sel_Customer),OR(sel_Category="All",G2049=sel_Category),AND(S2049&gt;=m_From,S2049&lt;=m_To)),1,0)</f>
        <v/>
      </c>
      <c r="AA2049" s="36">
        <f>IF(AND(OR(sel_Region="All",C2049=sel_Region),OR(sel_Country="All",D2049=sel_Country),OR(sel_Channel="All",E2049=sel_Channel),OR(sel_Customer="All",F2049=sel_Customer),OR(sel_Category="All",G2049=sel_Category),OR(sel_Product="All",H2049=sel_Product)),1,0)</f>
        <v/>
      </c>
    </row>
    <row r="2050">
      <c r="A2050" s="36" t="inlineStr">
        <is>
          <t>02205</t>
        </is>
      </c>
      <c r="B2050" s="44" t="n">
        <v>46299</v>
      </c>
      <c r="C2050" s="36" t="inlineStr">
        <is>
          <t>Western Europe</t>
        </is>
      </c>
      <c r="D2050" s="36" t="inlineStr">
        <is>
          <t>France</t>
        </is>
      </c>
      <c r="E2050" s="36" t="inlineStr">
        <is>
          <t>Online Store</t>
        </is>
      </c>
      <c r="F2050" s="36" t="inlineStr">
        <is>
          <t>New</t>
        </is>
      </c>
      <c r="G2050" s="36" t="inlineStr">
        <is>
          <t>Hiking</t>
        </is>
      </c>
      <c r="H2050" s="36" t="inlineStr">
        <is>
          <t>Hiking Daypack 20L</t>
        </is>
      </c>
      <c r="I2050" s="36" t="n">
        <v>5</v>
      </c>
      <c r="J2050" s="39" t="n">
        <v>90.12</v>
      </c>
      <c r="K2050" s="45" t="n">
        <v>0</v>
      </c>
      <c r="L2050" s="39" t="n">
        <v>46.67</v>
      </c>
      <c r="M2050" s="39">
        <f>I2050*J2050*(1-K2050)</f>
        <v/>
      </c>
      <c r="N2050" s="39">
        <f>I2050*L2050</f>
        <v/>
      </c>
      <c r="O2050" s="39">
        <f>M2050-N2050</f>
        <v/>
      </c>
      <c r="P2050" s="38">
        <f>IF(M2050=0,0,O2050/M2050)</f>
        <v/>
      </c>
      <c r="Q2050" s="36">
        <f>YEAR(B2050)</f>
        <v/>
      </c>
      <c r="R2050" s="36">
        <f>"Q"&amp;ROUNDUP(MONTH(B2050)/3,0)</f>
        <v/>
      </c>
      <c r="S2050" s="36">
        <f>MONTH(B2050)</f>
        <v/>
      </c>
      <c r="T2050" s="36">
        <f>TEXT(B2050,"mmm")</f>
        <v/>
      </c>
      <c r="U2050" s="36">
        <f>IF(AND(OR(sel_Region="All",C2050=sel_Region),OR(sel_Country="All",D2050=sel_Country),OR(sel_Channel="All",E2050=sel_Channel),OR(sel_Customer="All",F2050=sel_Customer),OR(sel_Category="All",G2050=sel_Category),OR(sel_Product="All",H2050=sel_Product),AND(S2050&gt;=m_From,S2050&lt;=m_To)),1,0)</f>
        <v/>
      </c>
      <c r="V2050" s="36">
        <f>IF(AND(OR(sel_Region="All",C2050=sel_Region),OR(sel_Channel="All",E2050=sel_Channel),OR(sel_Customer="All",F2050=sel_Customer),OR(sel_Category="All",G2050=sel_Category),OR(sel_Product="All",H2050=sel_Product),AND(S2050&gt;=m_From,S2050&lt;=m_To)),1,0)</f>
        <v/>
      </c>
      <c r="W2050" s="36">
        <f>IF(AND(OR(sel_Region="All",C2050=sel_Region),OR(sel_Country="All",D2050=sel_Country),OR(sel_Customer="All",F2050=sel_Customer),OR(sel_Category="All",G2050=sel_Category),OR(sel_Product="All",H2050=sel_Product),AND(S2050&gt;=m_From,S2050&lt;=m_To)),1,0)</f>
        <v/>
      </c>
      <c r="X2050" s="36">
        <f>IF(AND(OR(sel_Region="All",C2050=sel_Region),OR(sel_Country="All",D2050=sel_Country),OR(sel_Channel="All",E2050=sel_Channel),OR(sel_Category="All",G2050=sel_Category),OR(sel_Product="All",H2050=sel_Product),AND(S2050&gt;=m_From,S2050&lt;=m_To)),1,0)</f>
        <v/>
      </c>
      <c r="Y2050" s="36">
        <f>IF(AND(OR(sel_Region="All",C2050=sel_Region),OR(sel_Country="All",D2050=sel_Country),OR(sel_Channel="All",E2050=sel_Channel),OR(sel_Customer="All",F2050=sel_Customer),OR(sel_Product="All",H2050=sel_Product),AND(S2050&gt;=m_From,S2050&lt;=m_To)),1,0)</f>
        <v/>
      </c>
      <c r="Z2050" s="36">
        <f>IF(AND(OR(sel_Region="All",C2050=sel_Region),OR(sel_Country="All",D2050=sel_Country),OR(sel_Channel="All",E2050=sel_Channel),OR(sel_Customer="All",F2050=sel_Customer),OR(sel_Category="All",G2050=sel_Category),AND(S2050&gt;=m_From,S2050&lt;=m_To)),1,0)</f>
        <v/>
      </c>
      <c r="AA2050" s="36">
        <f>IF(AND(OR(sel_Region="All",C2050=sel_Region),OR(sel_Country="All",D2050=sel_Country),OR(sel_Channel="All",E2050=sel_Channel),OR(sel_Customer="All",F2050=sel_Customer),OR(sel_Category="All",G2050=sel_Category),OR(sel_Product="All",H2050=sel_Product)),1,0)</f>
        <v/>
      </c>
    </row>
    <row r="2051">
      <c r="A2051" s="36" t="inlineStr">
        <is>
          <t>02374</t>
        </is>
      </c>
      <c r="B2051" s="44" t="n">
        <v>46299</v>
      </c>
      <c r="C2051" s="36" t="inlineStr">
        <is>
          <t>Western Europe</t>
        </is>
      </c>
      <c r="D2051" s="36" t="inlineStr">
        <is>
          <t>France</t>
        </is>
      </c>
      <c r="E2051" s="36" t="inlineStr">
        <is>
          <t>Marketplace</t>
        </is>
      </c>
      <c r="F2051" s="36" t="inlineStr">
        <is>
          <t>Returning</t>
        </is>
      </c>
      <c r="G2051" s="36" t="inlineStr">
        <is>
          <t>Hiking</t>
        </is>
      </c>
      <c r="H2051" s="36" t="inlineStr">
        <is>
          <t>Trekking Poles</t>
        </is>
      </c>
      <c r="I2051" s="36" t="n">
        <v>1</v>
      </c>
      <c r="J2051" s="39" t="n">
        <v>70.40000000000001</v>
      </c>
      <c r="K2051" s="45" t="n">
        <v>0</v>
      </c>
      <c r="L2051" s="39" t="n">
        <v>32.43</v>
      </c>
      <c r="M2051" s="39">
        <f>I2051*J2051*(1-K2051)</f>
        <v/>
      </c>
      <c r="N2051" s="39">
        <f>I2051*L2051</f>
        <v/>
      </c>
      <c r="O2051" s="39">
        <f>M2051-N2051</f>
        <v/>
      </c>
      <c r="P2051" s="38">
        <f>IF(M2051=0,0,O2051/M2051)</f>
        <v/>
      </c>
      <c r="Q2051" s="36">
        <f>YEAR(B2051)</f>
        <v/>
      </c>
      <c r="R2051" s="36">
        <f>"Q"&amp;ROUNDUP(MONTH(B2051)/3,0)</f>
        <v/>
      </c>
      <c r="S2051" s="36">
        <f>MONTH(B2051)</f>
        <v/>
      </c>
      <c r="T2051" s="36">
        <f>TEXT(B2051,"mmm")</f>
        <v/>
      </c>
      <c r="U2051" s="36">
        <f>IF(AND(OR(sel_Region="All",C2051=sel_Region),OR(sel_Country="All",D2051=sel_Country),OR(sel_Channel="All",E2051=sel_Channel),OR(sel_Customer="All",F2051=sel_Customer),OR(sel_Category="All",G2051=sel_Category),OR(sel_Product="All",H2051=sel_Product),AND(S2051&gt;=m_From,S2051&lt;=m_To)),1,0)</f>
        <v/>
      </c>
      <c r="V2051" s="36">
        <f>IF(AND(OR(sel_Region="All",C2051=sel_Region),OR(sel_Channel="All",E2051=sel_Channel),OR(sel_Customer="All",F2051=sel_Customer),OR(sel_Category="All",G2051=sel_Category),OR(sel_Product="All",H2051=sel_Product),AND(S2051&gt;=m_From,S2051&lt;=m_To)),1,0)</f>
        <v/>
      </c>
      <c r="W2051" s="36">
        <f>IF(AND(OR(sel_Region="All",C2051=sel_Region),OR(sel_Country="All",D2051=sel_Country),OR(sel_Customer="All",F2051=sel_Customer),OR(sel_Category="All",G2051=sel_Category),OR(sel_Product="All",H2051=sel_Product),AND(S2051&gt;=m_From,S2051&lt;=m_To)),1,0)</f>
        <v/>
      </c>
      <c r="X2051" s="36">
        <f>IF(AND(OR(sel_Region="All",C2051=sel_Region),OR(sel_Country="All",D2051=sel_Country),OR(sel_Channel="All",E2051=sel_Channel),OR(sel_Category="All",G2051=sel_Category),OR(sel_Product="All",H2051=sel_Product),AND(S2051&gt;=m_From,S2051&lt;=m_To)),1,0)</f>
        <v/>
      </c>
      <c r="Y2051" s="36">
        <f>IF(AND(OR(sel_Region="All",C2051=sel_Region),OR(sel_Country="All",D2051=sel_Country),OR(sel_Channel="All",E2051=sel_Channel),OR(sel_Customer="All",F2051=sel_Customer),OR(sel_Product="All",H2051=sel_Product),AND(S2051&gt;=m_From,S2051&lt;=m_To)),1,0)</f>
        <v/>
      </c>
      <c r="Z2051" s="36">
        <f>IF(AND(OR(sel_Region="All",C2051=sel_Region),OR(sel_Country="All",D2051=sel_Country),OR(sel_Channel="All",E2051=sel_Channel),OR(sel_Customer="All",F2051=sel_Customer),OR(sel_Category="All",G2051=sel_Category),AND(S2051&gt;=m_From,S2051&lt;=m_To)),1,0)</f>
        <v/>
      </c>
      <c r="AA2051" s="36">
        <f>IF(AND(OR(sel_Region="All",C2051=sel_Region),OR(sel_Country="All",D2051=sel_Country),OR(sel_Channel="All",E2051=sel_Channel),OR(sel_Customer="All",F2051=sel_Customer),OR(sel_Category="All",G2051=sel_Category),OR(sel_Product="All",H2051=sel_Product)),1,0)</f>
        <v/>
      </c>
    </row>
    <row r="2052">
      <c r="A2052" s="36" t="inlineStr">
        <is>
          <t>04840</t>
        </is>
      </c>
      <c r="B2052" s="44" t="n">
        <v>46299</v>
      </c>
      <c r="C2052" s="36" t="inlineStr">
        <is>
          <t>Central Europe</t>
        </is>
      </c>
      <c r="D2052" s="36" t="inlineStr">
        <is>
          <t>Germany</t>
        </is>
      </c>
      <c r="E2052" s="36" t="inlineStr">
        <is>
          <t>Corporate</t>
        </is>
      </c>
      <c r="F2052" s="36" t="inlineStr">
        <is>
          <t>Business</t>
        </is>
      </c>
      <c r="G2052" s="36" t="inlineStr">
        <is>
          <t>Camping</t>
        </is>
      </c>
      <c r="H2052" s="36" t="inlineStr">
        <is>
          <t>Trail Tent 2P</t>
        </is>
      </c>
      <c r="I2052" s="36" t="n">
        <v>6</v>
      </c>
      <c r="J2052" s="39" t="n">
        <v>191.08</v>
      </c>
      <c r="K2052" s="45" t="n">
        <v>0.1</v>
      </c>
      <c r="L2052" s="39" t="n">
        <v>102.93</v>
      </c>
      <c r="M2052" s="39">
        <f>I2052*J2052*(1-K2052)</f>
        <v/>
      </c>
      <c r="N2052" s="39">
        <f>I2052*L2052</f>
        <v/>
      </c>
      <c r="O2052" s="39">
        <f>M2052-N2052</f>
        <v/>
      </c>
      <c r="P2052" s="38">
        <f>IF(M2052=0,0,O2052/M2052)</f>
        <v/>
      </c>
      <c r="Q2052" s="36">
        <f>YEAR(B2052)</f>
        <v/>
      </c>
      <c r="R2052" s="36">
        <f>"Q"&amp;ROUNDUP(MONTH(B2052)/3,0)</f>
        <v/>
      </c>
      <c r="S2052" s="36">
        <f>MONTH(B2052)</f>
        <v/>
      </c>
      <c r="T2052" s="36">
        <f>TEXT(B2052,"mmm")</f>
        <v/>
      </c>
      <c r="U2052" s="36">
        <f>IF(AND(OR(sel_Region="All",C2052=sel_Region),OR(sel_Country="All",D2052=sel_Country),OR(sel_Channel="All",E2052=sel_Channel),OR(sel_Customer="All",F2052=sel_Customer),OR(sel_Category="All",G2052=sel_Category),OR(sel_Product="All",H2052=sel_Product),AND(S2052&gt;=m_From,S2052&lt;=m_To)),1,0)</f>
        <v/>
      </c>
      <c r="V2052" s="36">
        <f>IF(AND(OR(sel_Region="All",C2052=sel_Region),OR(sel_Channel="All",E2052=sel_Channel),OR(sel_Customer="All",F2052=sel_Customer),OR(sel_Category="All",G2052=sel_Category),OR(sel_Product="All",H2052=sel_Product),AND(S2052&gt;=m_From,S2052&lt;=m_To)),1,0)</f>
        <v/>
      </c>
      <c r="W2052" s="36">
        <f>IF(AND(OR(sel_Region="All",C2052=sel_Region),OR(sel_Country="All",D2052=sel_Country),OR(sel_Customer="All",F2052=sel_Customer),OR(sel_Category="All",G2052=sel_Category),OR(sel_Product="All",H2052=sel_Product),AND(S2052&gt;=m_From,S2052&lt;=m_To)),1,0)</f>
        <v/>
      </c>
      <c r="X2052" s="36">
        <f>IF(AND(OR(sel_Region="All",C2052=sel_Region),OR(sel_Country="All",D2052=sel_Country),OR(sel_Channel="All",E2052=sel_Channel),OR(sel_Category="All",G2052=sel_Category),OR(sel_Product="All",H2052=sel_Product),AND(S2052&gt;=m_From,S2052&lt;=m_To)),1,0)</f>
        <v/>
      </c>
      <c r="Y2052" s="36">
        <f>IF(AND(OR(sel_Region="All",C2052=sel_Region),OR(sel_Country="All",D2052=sel_Country),OR(sel_Channel="All",E2052=sel_Channel),OR(sel_Customer="All",F2052=sel_Customer),OR(sel_Product="All",H2052=sel_Product),AND(S2052&gt;=m_From,S2052&lt;=m_To)),1,0)</f>
        <v/>
      </c>
      <c r="Z2052" s="36">
        <f>IF(AND(OR(sel_Region="All",C2052=sel_Region),OR(sel_Country="All",D2052=sel_Country),OR(sel_Channel="All",E2052=sel_Channel),OR(sel_Customer="All",F2052=sel_Customer),OR(sel_Category="All",G2052=sel_Category),AND(S2052&gt;=m_From,S2052&lt;=m_To)),1,0)</f>
        <v/>
      </c>
      <c r="AA2052" s="36">
        <f>IF(AND(OR(sel_Region="All",C2052=sel_Region),OR(sel_Country="All",D2052=sel_Country),OR(sel_Channel="All",E2052=sel_Channel),OR(sel_Customer="All",F2052=sel_Customer),OR(sel_Category="All",G2052=sel_Category),OR(sel_Product="All",H2052=sel_Product)),1,0)</f>
        <v/>
      </c>
    </row>
    <row r="2053">
      <c r="A2053" s="36" t="inlineStr">
        <is>
          <t>04984</t>
        </is>
      </c>
      <c r="B2053" s="44" t="n">
        <v>46299</v>
      </c>
      <c r="C2053" s="36" t="inlineStr">
        <is>
          <t>Northern Europe</t>
        </is>
      </c>
      <c r="D2053" s="36" t="inlineStr">
        <is>
          <t>Norway</t>
        </is>
      </c>
      <c r="E2053" s="36" t="inlineStr">
        <is>
          <t>Online Store</t>
        </is>
      </c>
      <c r="F2053" s="36" t="inlineStr">
        <is>
          <t>Returning</t>
        </is>
      </c>
      <c r="G2053" s="36" t="inlineStr">
        <is>
          <t>Fitness</t>
        </is>
      </c>
      <c r="H2053" s="36" t="inlineStr">
        <is>
          <t>Recovery Roller</t>
        </is>
      </c>
      <c r="I2053" s="36" t="n">
        <v>1</v>
      </c>
      <c r="J2053" s="39" t="n">
        <v>36.59</v>
      </c>
      <c r="K2053" s="45" t="n">
        <v>0</v>
      </c>
      <c r="L2053" s="39" t="n">
        <v>13.62</v>
      </c>
      <c r="M2053" s="39">
        <f>I2053*J2053*(1-K2053)</f>
        <v/>
      </c>
      <c r="N2053" s="39">
        <f>I2053*L2053</f>
        <v/>
      </c>
      <c r="O2053" s="39">
        <f>M2053-N2053</f>
        <v/>
      </c>
      <c r="P2053" s="38">
        <f>IF(M2053=0,0,O2053/M2053)</f>
        <v/>
      </c>
      <c r="Q2053" s="36">
        <f>YEAR(B2053)</f>
        <v/>
      </c>
      <c r="R2053" s="36">
        <f>"Q"&amp;ROUNDUP(MONTH(B2053)/3,0)</f>
        <v/>
      </c>
      <c r="S2053" s="36">
        <f>MONTH(B2053)</f>
        <v/>
      </c>
      <c r="T2053" s="36">
        <f>TEXT(B2053,"mmm")</f>
        <v/>
      </c>
      <c r="U2053" s="36">
        <f>IF(AND(OR(sel_Region="All",C2053=sel_Region),OR(sel_Country="All",D2053=sel_Country),OR(sel_Channel="All",E2053=sel_Channel),OR(sel_Customer="All",F2053=sel_Customer),OR(sel_Category="All",G2053=sel_Category),OR(sel_Product="All",H2053=sel_Product),AND(S2053&gt;=m_From,S2053&lt;=m_To)),1,0)</f>
        <v/>
      </c>
      <c r="V2053" s="36">
        <f>IF(AND(OR(sel_Region="All",C2053=sel_Region),OR(sel_Channel="All",E2053=sel_Channel),OR(sel_Customer="All",F2053=sel_Customer),OR(sel_Category="All",G2053=sel_Category),OR(sel_Product="All",H2053=sel_Product),AND(S2053&gt;=m_From,S2053&lt;=m_To)),1,0)</f>
        <v/>
      </c>
      <c r="W2053" s="36">
        <f>IF(AND(OR(sel_Region="All",C2053=sel_Region),OR(sel_Country="All",D2053=sel_Country),OR(sel_Customer="All",F2053=sel_Customer),OR(sel_Category="All",G2053=sel_Category),OR(sel_Product="All",H2053=sel_Product),AND(S2053&gt;=m_From,S2053&lt;=m_To)),1,0)</f>
        <v/>
      </c>
      <c r="X2053" s="36">
        <f>IF(AND(OR(sel_Region="All",C2053=sel_Region),OR(sel_Country="All",D2053=sel_Country),OR(sel_Channel="All",E2053=sel_Channel),OR(sel_Category="All",G2053=sel_Category),OR(sel_Product="All",H2053=sel_Product),AND(S2053&gt;=m_From,S2053&lt;=m_To)),1,0)</f>
        <v/>
      </c>
      <c r="Y2053" s="36">
        <f>IF(AND(OR(sel_Region="All",C2053=sel_Region),OR(sel_Country="All",D2053=sel_Country),OR(sel_Channel="All",E2053=sel_Channel),OR(sel_Customer="All",F2053=sel_Customer),OR(sel_Product="All",H2053=sel_Product),AND(S2053&gt;=m_From,S2053&lt;=m_To)),1,0)</f>
        <v/>
      </c>
      <c r="Z2053" s="36">
        <f>IF(AND(OR(sel_Region="All",C2053=sel_Region),OR(sel_Country="All",D2053=sel_Country),OR(sel_Channel="All",E2053=sel_Channel),OR(sel_Customer="All",F2053=sel_Customer),OR(sel_Category="All",G2053=sel_Category),AND(S2053&gt;=m_From,S2053&lt;=m_To)),1,0)</f>
        <v/>
      </c>
      <c r="AA2053" s="36">
        <f>IF(AND(OR(sel_Region="All",C2053=sel_Region),OR(sel_Country="All",D2053=sel_Country),OR(sel_Channel="All",E2053=sel_Channel),OR(sel_Customer="All",F2053=sel_Customer),OR(sel_Category="All",G2053=sel_Category),OR(sel_Product="All",H2053=sel_Product)),1,0)</f>
        <v/>
      </c>
    </row>
    <row r="2054">
      <c r="A2054" s="36" t="inlineStr">
        <is>
          <t>00641</t>
        </is>
      </c>
      <c r="B2054" s="44" t="n">
        <v>46300</v>
      </c>
      <c r="C2054" s="36" t="inlineStr">
        <is>
          <t>Central Europe</t>
        </is>
      </c>
      <c r="D2054" s="36" t="inlineStr">
        <is>
          <t>Switzerland</t>
        </is>
      </c>
      <c r="E2054" s="36" t="inlineStr">
        <is>
          <t>Retail Partners</t>
        </is>
      </c>
      <c r="F2054" s="36" t="inlineStr">
        <is>
          <t>Returning</t>
        </is>
      </c>
      <c r="G2054" s="36" t="inlineStr">
        <is>
          <t>Camping</t>
        </is>
      </c>
      <c r="H2054" s="36" t="inlineStr">
        <is>
          <t>Compact Sleeping Bag</t>
        </is>
      </c>
      <c r="I2054" s="36" t="n">
        <v>2</v>
      </c>
      <c r="J2054" s="39" t="n">
        <v>125.38</v>
      </c>
      <c r="K2054" s="45" t="n">
        <v>0.05</v>
      </c>
      <c r="L2054" s="39" t="n">
        <v>59.12</v>
      </c>
      <c r="M2054" s="39">
        <f>I2054*J2054*(1-K2054)</f>
        <v/>
      </c>
      <c r="N2054" s="39">
        <f>I2054*L2054</f>
        <v/>
      </c>
      <c r="O2054" s="39">
        <f>M2054-N2054</f>
        <v/>
      </c>
      <c r="P2054" s="38">
        <f>IF(M2054=0,0,O2054/M2054)</f>
        <v/>
      </c>
      <c r="Q2054" s="36">
        <f>YEAR(B2054)</f>
        <v/>
      </c>
      <c r="R2054" s="36">
        <f>"Q"&amp;ROUNDUP(MONTH(B2054)/3,0)</f>
        <v/>
      </c>
      <c r="S2054" s="36">
        <f>MONTH(B2054)</f>
        <v/>
      </c>
      <c r="T2054" s="36">
        <f>TEXT(B2054,"mmm")</f>
        <v/>
      </c>
      <c r="U2054" s="36">
        <f>IF(AND(OR(sel_Region="All",C2054=sel_Region),OR(sel_Country="All",D2054=sel_Country),OR(sel_Channel="All",E2054=sel_Channel),OR(sel_Customer="All",F2054=sel_Customer),OR(sel_Category="All",G2054=sel_Category),OR(sel_Product="All",H2054=sel_Product),AND(S2054&gt;=m_From,S2054&lt;=m_To)),1,0)</f>
        <v/>
      </c>
      <c r="V2054" s="36">
        <f>IF(AND(OR(sel_Region="All",C2054=sel_Region),OR(sel_Channel="All",E2054=sel_Channel),OR(sel_Customer="All",F2054=sel_Customer),OR(sel_Category="All",G2054=sel_Category),OR(sel_Product="All",H2054=sel_Product),AND(S2054&gt;=m_From,S2054&lt;=m_To)),1,0)</f>
        <v/>
      </c>
      <c r="W2054" s="36">
        <f>IF(AND(OR(sel_Region="All",C2054=sel_Region),OR(sel_Country="All",D2054=sel_Country),OR(sel_Customer="All",F2054=sel_Customer),OR(sel_Category="All",G2054=sel_Category),OR(sel_Product="All",H2054=sel_Product),AND(S2054&gt;=m_From,S2054&lt;=m_To)),1,0)</f>
        <v/>
      </c>
      <c r="X2054" s="36">
        <f>IF(AND(OR(sel_Region="All",C2054=sel_Region),OR(sel_Country="All",D2054=sel_Country),OR(sel_Channel="All",E2054=sel_Channel),OR(sel_Category="All",G2054=sel_Category),OR(sel_Product="All",H2054=sel_Product),AND(S2054&gt;=m_From,S2054&lt;=m_To)),1,0)</f>
        <v/>
      </c>
      <c r="Y2054" s="36">
        <f>IF(AND(OR(sel_Region="All",C2054=sel_Region),OR(sel_Country="All",D2054=sel_Country),OR(sel_Channel="All",E2054=sel_Channel),OR(sel_Customer="All",F2054=sel_Customer),OR(sel_Product="All",H2054=sel_Product),AND(S2054&gt;=m_From,S2054&lt;=m_To)),1,0)</f>
        <v/>
      </c>
      <c r="Z2054" s="36">
        <f>IF(AND(OR(sel_Region="All",C2054=sel_Region),OR(sel_Country="All",D2054=sel_Country),OR(sel_Channel="All",E2054=sel_Channel),OR(sel_Customer="All",F2054=sel_Customer),OR(sel_Category="All",G2054=sel_Category),AND(S2054&gt;=m_From,S2054&lt;=m_To)),1,0)</f>
        <v/>
      </c>
      <c r="AA2054" s="36">
        <f>IF(AND(OR(sel_Region="All",C2054=sel_Region),OR(sel_Country="All",D2054=sel_Country),OR(sel_Channel="All",E2054=sel_Channel),OR(sel_Customer="All",F2054=sel_Customer),OR(sel_Category="All",G2054=sel_Category),OR(sel_Product="All",H2054=sel_Product)),1,0)</f>
        <v/>
      </c>
    </row>
    <row r="2055">
      <c r="A2055" s="36" t="inlineStr">
        <is>
          <t>01358</t>
        </is>
      </c>
      <c r="B2055" s="44" t="n">
        <v>46300</v>
      </c>
      <c r="C2055" s="36" t="inlineStr">
        <is>
          <t>Southern Europe</t>
        </is>
      </c>
      <c r="D2055" s="36" t="inlineStr">
        <is>
          <t>Spain</t>
        </is>
      </c>
      <c r="E2055" s="36" t="inlineStr">
        <is>
          <t>Online Store</t>
        </is>
      </c>
      <c r="F2055" s="36" t="inlineStr">
        <is>
          <t>New</t>
        </is>
      </c>
      <c r="G2055" s="36" t="inlineStr">
        <is>
          <t>Travel</t>
        </is>
      </c>
      <c r="H2055" s="36" t="inlineStr">
        <is>
          <t>Insulated Bottle</t>
        </is>
      </c>
      <c r="I2055" s="36" t="n">
        <v>1</v>
      </c>
      <c r="J2055" s="39" t="n">
        <v>35.71</v>
      </c>
      <c r="K2055" s="45" t="n">
        <v>0</v>
      </c>
      <c r="L2055" s="39" t="n">
        <v>13.3</v>
      </c>
      <c r="M2055" s="39">
        <f>I2055*J2055*(1-K2055)</f>
        <v/>
      </c>
      <c r="N2055" s="39">
        <f>I2055*L2055</f>
        <v/>
      </c>
      <c r="O2055" s="39">
        <f>M2055-N2055</f>
        <v/>
      </c>
      <c r="P2055" s="38">
        <f>IF(M2055=0,0,O2055/M2055)</f>
        <v/>
      </c>
      <c r="Q2055" s="36">
        <f>YEAR(B2055)</f>
        <v/>
      </c>
      <c r="R2055" s="36">
        <f>"Q"&amp;ROUNDUP(MONTH(B2055)/3,0)</f>
        <v/>
      </c>
      <c r="S2055" s="36">
        <f>MONTH(B2055)</f>
        <v/>
      </c>
      <c r="T2055" s="36">
        <f>TEXT(B2055,"mmm")</f>
        <v/>
      </c>
      <c r="U2055" s="36">
        <f>IF(AND(OR(sel_Region="All",C2055=sel_Region),OR(sel_Country="All",D2055=sel_Country),OR(sel_Channel="All",E2055=sel_Channel),OR(sel_Customer="All",F2055=sel_Customer),OR(sel_Category="All",G2055=sel_Category),OR(sel_Product="All",H2055=sel_Product),AND(S2055&gt;=m_From,S2055&lt;=m_To)),1,0)</f>
        <v/>
      </c>
      <c r="V2055" s="36">
        <f>IF(AND(OR(sel_Region="All",C2055=sel_Region),OR(sel_Channel="All",E2055=sel_Channel),OR(sel_Customer="All",F2055=sel_Customer),OR(sel_Category="All",G2055=sel_Category),OR(sel_Product="All",H2055=sel_Product),AND(S2055&gt;=m_From,S2055&lt;=m_To)),1,0)</f>
        <v/>
      </c>
      <c r="W2055" s="36">
        <f>IF(AND(OR(sel_Region="All",C2055=sel_Region),OR(sel_Country="All",D2055=sel_Country),OR(sel_Customer="All",F2055=sel_Customer),OR(sel_Category="All",G2055=sel_Category),OR(sel_Product="All",H2055=sel_Product),AND(S2055&gt;=m_From,S2055&lt;=m_To)),1,0)</f>
        <v/>
      </c>
      <c r="X2055" s="36">
        <f>IF(AND(OR(sel_Region="All",C2055=sel_Region),OR(sel_Country="All",D2055=sel_Country),OR(sel_Channel="All",E2055=sel_Channel),OR(sel_Category="All",G2055=sel_Category),OR(sel_Product="All",H2055=sel_Product),AND(S2055&gt;=m_From,S2055&lt;=m_To)),1,0)</f>
        <v/>
      </c>
      <c r="Y2055" s="36">
        <f>IF(AND(OR(sel_Region="All",C2055=sel_Region),OR(sel_Country="All",D2055=sel_Country),OR(sel_Channel="All",E2055=sel_Channel),OR(sel_Customer="All",F2055=sel_Customer),OR(sel_Product="All",H2055=sel_Product),AND(S2055&gt;=m_From,S2055&lt;=m_To)),1,0)</f>
        <v/>
      </c>
      <c r="Z2055" s="36">
        <f>IF(AND(OR(sel_Region="All",C2055=sel_Region),OR(sel_Country="All",D2055=sel_Country),OR(sel_Channel="All",E2055=sel_Channel),OR(sel_Customer="All",F2055=sel_Customer),OR(sel_Category="All",G2055=sel_Category),AND(S2055&gt;=m_From,S2055&lt;=m_To)),1,0)</f>
        <v/>
      </c>
      <c r="AA2055" s="36">
        <f>IF(AND(OR(sel_Region="All",C2055=sel_Region),OR(sel_Country="All",D2055=sel_Country),OR(sel_Channel="All",E2055=sel_Channel),OR(sel_Customer="All",F2055=sel_Customer),OR(sel_Category="All",G2055=sel_Category),OR(sel_Product="All",H2055=sel_Product)),1,0)</f>
        <v/>
      </c>
    </row>
    <row r="2056">
      <c r="A2056" s="36" t="inlineStr">
        <is>
          <t>03904</t>
        </is>
      </c>
      <c r="B2056" s="44" t="n">
        <v>46300</v>
      </c>
      <c r="C2056" s="36" t="inlineStr">
        <is>
          <t>Central Europe</t>
        </is>
      </c>
      <c r="D2056" s="36" t="inlineStr">
        <is>
          <t>Austria</t>
        </is>
      </c>
      <c r="E2056" s="36" t="inlineStr">
        <is>
          <t>Online Store</t>
        </is>
      </c>
      <c r="F2056" s="36" t="inlineStr">
        <is>
          <t>Returning</t>
        </is>
      </c>
      <c r="G2056" s="36" t="inlineStr">
        <is>
          <t>Travel</t>
        </is>
      </c>
      <c r="H2056" s="36" t="inlineStr">
        <is>
          <t>Packing Cube Set</t>
        </is>
      </c>
      <c r="I2056" s="36" t="n">
        <v>2</v>
      </c>
      <c r="J2056" s="39" t="n">
        <v>46.72</v>
      </c>
      <c r="K2056" s="45" t="n">
        <v>0</v>
      </c>
      <c r="L2056" s="39" t="n">
        <v>18.39</v>
      </c>
      <c r="M2056" s="39">
        <f>I2056*J2056*(1-K2056)</f>
        <v/>
      </c>
      <c r="N2056" s="39">
        <f>I2056*L2056</f>
        <v/>
      </c>
      <c r="O2056" s="39">
        <f>M2056-N2056</f>
        <v/>
      </c>
      <c r="P2056" s="38">
        <f>IF(M2056=0,0,O2056/M2056)</f>
        <v/>
      </c>
      <c r="Q2056" s="36">
        <f>YEAR(B2056)</f>
        <v/>
      </c>
      <c r="R2056" s="36">
        <f>"Q"&amp;ROUNDUP(MONTH(B2056)/3,0)</f>
        <v/>
      </c>
      <c r="S2056" s="36">
        <f>MONTH(B2056)</f>
        <v/>
      </c>
      <c r="T2056" s="36">
        <f>TEXT(B2056,"mmm")</f>
        <v/>
      </c>
      <c r="U2056" s="36">
        <f>IF(AND(OR(sel_Region="All",C2056=sel_Region),OR(sel_Country="All",D2056=sel_Country),OR(sel_Channel="All",E2056=sel_Channel),OR(sel_Customer="All",F2056=sel_Customer),OR(sel_Category="All",G2056=sel_Category),OR(sel_Product="All",H2056=sel_Product),AND(S2056&gt;=m_From,S2056&lt;=m_To)),1,0)</f>
        <v/>
      </c>
      <c r="V2056" s="36">
        <f>IF(AND(OR(sel_Region="All",C2056=sel_Region),OR(sel_Channel="All",E2056=sel_Channel),OR(sel_Customer="All",F2056=sel_Customer),OR(sel_Category="All",G2056=sel_Category),OR(sel_Product="All",H2056=sel_Product),AND(S2056&gt;=m_From,S2056&lt;=m_To)),1,0)</f>
        <v/>
      </c>
      <c r="W2056" s="36">
        <f>IF(AND(OR(sel_Region="All",C2056=sel_Region),OR(sel_Country="All",D2056=sel_Country),OR(sel_Customer="All",F2056=sel_Customer),OR(sel_Category="All",G2056=sel_Category),OR(sel_Product="All",H2056=sel_Product),AND(S2056&gt;=m_From,S2056&lt;=m_To)),1,0)</f>
        <v/>
      </c>
      <c r="X2056" s="36">
        <f>IF(AND(OR(sel_Region="All",C2056=sel_Region),OR(sel_Country="All",D2056=sel_Country),OR(sel_Channel="All",E2056=sel_Channel),OR(sel_Category="All",G2056=sel_Category),OR(sel_Product="All",H2056=sel_Product),AND(S2056&gt;=m_From,S2056&lt;=m_To)),1,0)</f>
        <v/>
      </c>
      <c r="Y2056" s="36">
        <f>IF(AND(OR(sel_Region="All",C2056=sel_Region),OR(sel_Country="All",D2056=sel_Country),OR(sel_Channel="All",E2056=sel_Channel),OR(sel_Customer="All",F2056=sel_Customer),OR(sel_Product="All",H2056=sel_Product),AND(S2056&gt;=m_From,S2056&lt;=m_To)),1,0)</f>
        <v/>
      </c>
      <c r="Z2056" s="36">
        <f>IF(AND(OR(sel_Region="All",C2056=sel_Region),OR(sel_Country="All",D2056=sel_Country),OR(sel_Channel="All",E2056=sel_Channel),OR(sel_Customer="All",F2056=sel_Customer),OR(sel_Category="All",G2056=sel_Category),AND(S2056&gt;=m_From,S2056&lt;=m_To)),1,0)</f>
        <v/>
      </c>
      <c r="AA2056" s="36">
        <f>IF(AND(OR(sel_Region="All",C2056=sel_Region),OR(sel_Country="All",D2056=sel_Country),OR(sel_Channel="All",E2056=sel_Channel),OR(sel_Customer="All",F2056=sel_Customer),OR(sel_Category="All",G2056=sel_Category),OR(sel_Product="All",H2056=sel_Product)),1,0)</f>
        <v/>
      </c>
    </row>
    <row r="2057">
      <c r="A2057" s="36" t="inlineStr">
        <is>
          <t>04336</t>
        </is>
      </c>
      <c r="B2057" s="44" t="n">
        <v>46300</v>
      </c>
      <c r="C2057" s="36" t="inlineStr">
        <is>
          <t>Southern Europe</t>
        </is>
      </c>
      <c r="D2057" s="36" t="inlineStr">
        <is>
          <t>Italy</t>
        </is>
      </c>
      <c r="E2057" s="36" t="inlineStr">
        <is>
          <t>Marketplace</t>
        </is>
      </c>
      <c r="F2057" s="36" t="inlineStr">
        <is>
          <t>Returning</t>
        </is>
      </c>
      <c r="G2057" s="36" t="inlineStr">
        <is>
          <t>Hiking</t>
        </is>
      </c>
      <c r="H2057" s="36" t="inlineStr">
        <is>
          <t>Trail Boots</t>
        </is>
      </c>
      <c r="I2057" s="36" t="n">
        <v>1</v>
      </c>
      <c r="J2057" s="39" t="n">
        <v>143.17</v>
      </c>
      <c r="K2057" s="45" t="n">
        <v>0.05</v>
      </c>
      <c r="L2057" s="39" t="n">
        <v>81.29000000000001</v>
      </c>
      <c r="M2057" s="39">
        <f>I2057*J2057*(1-K2057)</f>
        <v/>
      </c>
      <c r="N2057" s="39">
        <f>I2057*L2057</f>
        <v/>
      </c>
      <c r="O2057" s="39">
        <f>M2057-N2057</f>
        <v/>
      </c>
      <c r="P2057" s="38">
        <f>IF(M2057=0,0,O2057/M2057)</f>
        <v/>
      </c>
      <c r="Q2057" s="36">
        <f>YEAR(B2057)</f>
        <v/>
      </c>
      <c r="R2057" s="36">
        <f>"Q"&amp;ROUNDUP(MONTH(B2057)/3,0)</f>
        <v/>
      </c>
      <c r="S2057" s="36">
        <f>MONTH(B2057)</f>
        <v/>
      </c>
      <c r="T2057" s="36">
        <f>TEXT(B2057,"mmm")</f>
        <v/>
      </c>
      <c r="U2057" s="36">
        <f>IF(AND(OR(sel_Region="All",C2057=sel_Region),OR(sel_Country="All",D2057=sel_Country),OR(sel_Channel="All",E2057=sel_Channel),OR(sel_Customer="All",F2057=sel_Customer),OR(sel_Category="All",G2057=sel_Category),OR(sel_Product="All",H2057=sel_Product),AND(S2057&gt;=m_From,S2057&lt;=m_To)),1,0)</f>
        <v/>
      </c>
      <c r="V2057" s="36">
        <f>IF(AND(OR(sel_Region="All",C2057=sel_Region),OR(sel_Channel="All",E2057=sel_Channel),OR(sel_Customer="All",F2057=sel_Customer),OR(sel_Category="All",G2057=sel_Category),OR(sel_Product="All",H2057=sel_Product),AND(S2057&gt;=m_From,S2057&lt;=m_To)),1,0)</f>
        <v/>
      </c>
      <c r="W2057" s="36">
        <f>IF(AND(OR(sel_Region="All",C2057=sel_Region),OR(sel_Country="All",D2057=sel_Country),OR(sel_Customer="All",F2057=sel_Customer),OR(sel_Category="All",G2057=sel_Category),OR(sel_Product="All",H2057=sel_Product),AND(S2057&gt;=m_From,S2057&lt;=m_To)),1,0)</f>
        <v/>
      </c>
      <c r="X2057" s="36">
        <f>IF(AND(OR(sel_Region="All",C2057=sel_Region),OR(sel_Country="All",D2057=sel_Country),OR(sel_Channel="All",E2057=sel_Channel),OR(sel_Category="All",G2057=sel_Category),OR(sel_Product="All",H2057=sel_Product),AND(S2057&gt;=m_From,S2057&lt;=m_To)),1,0)</f>
        <v/>
      </c>
      <c r="Y2057" s="36">
        <f>IF(AND(OR(sel_Region="All",C2057=sel_Region),OR(sel_Country="All",D2057=sel_Country),OR(sel_Channel="All",E2057=sel_Channel),OR(sel_Customer="All",F2057=sel_Customer),OR(sel_Product="All",H2057=sel_Product),AND(S2057&gt;=m_From,S2057&lt;=m_To)),1,0)</f>
        <v/>
      </c>
      <c r="Z2057" s="36">
        <f>IF(AND(OR(sel_Region="All",C2057=sel_Region),OR(sel_Country="All",D2057=sel_Country),OR(sel_Channel="All",E2057=sel_Channel),OR(sel_Customer="All",F2057=sel_Customer),OR(sel_Category="All",G2057=sel_Category),AND(S2057&gt;=m_From,S2057&lt;=m_To)),1,0)</f>
        <v/>
      </c>
      <c r="AA2057" s="36">
        <f>IF(AND(OR(sel_Region="All",C2057=sel_Region),OR(sel_Country="All",D2057=sel_Country),OR(sel_Channel="All",E2057=sel_Channel),OR(sel_Customer="All",F2057=sel_Customer),OR(sel_Category="All",G2057=sel_Category),OR(sel_Product="All",H2057=sel_Product)),1,0)</f>
        <v/>
      </c>
    </row>
    <row r="2058">
      <c r="A2058" s="36" t="inlineStr">
        <is>
          <t>04705</t>
        </is>
      </c>
      <c r="B2058" s="44" t="n">
        <v>46300</v>
      </c>
      <c r="C2058" s="36" t="inlineStr">
        <is>
          <t>Southern Europe</t>
        </is>
      </c>
      <c r="D2058" s="36" t="inlineStr">
        <is>
          <t>Spain</t>
        </is>
      </c>
      <c r="E2058" s="36" t="inlineStr">
        <is>
          <t>Retail Partners</t>
        </is>
      </c>
      <c r="F2058" s="36" t="inlineStr">
        <is>
          <t>Returning</t>
        </is>
      </c>
      <c r="G2058" s="36" t="inlineStr">
        <is>
          <t>Camping</t>
        </is>
      </c>
      <c r="H2058" s="36" t="inlineStr">
        <is>
          <t>Compact Sleeping Bag</t>
        </is>
      </c>
      <c r="I2058" s="36" t="n">
        <v>1</v>
      </c>
      <c r="J2058" s="39" t="n">
        <v>125.88</v>
      </c>
      <c r="K2058" s="45" t="n">
        <v>0</v>
      </c>
      <c r="L2058" s="39" t="n">
        <v>62.46</v>
      </c>
      <c r="M2058" s="39">
        <f>I2058*J2058*(1-K2058)</f>
        <v/>
      </c>
      <c r="N2058" s="39">
        <f>I2058*L2058</f>
        <v/>
      </c>
      <c r="O2058" s="39">
        <f>M2058-N2058</f>
        <v/>
      </c>
      <c r="P2058" s="38">
        <f>IF(M2058=0,0,O2058/M2058)</f>
        <v/>
      </c>
      <c r="Q2058" s="36">
        <f>YEAR(B2058)</f>
        <v/>
      </c>
      <c r="R2058" s="36">
        <f>"Q"&amp;ROUNDUP(MONTH(B2058)/3,0)</f>
        <v/>
      </c>
      <c r="S2058" s="36">
        <f>MONTH(B2058)</f>
        <v/>
      </c>
      <c r="T2058" s="36">
        <f>TEXT(B2058,"mmm")</f>
        <v/>
      </c>
      <c r="U2058" s="36">
        <f>IF(AND(OR(sel_Region="All",C2058=sel_Region),OR(sel_Country="All",D2058=sel_Country),OR(sel_Channel="All",E2058=sel_Channel),OR(sel_Customer="All",F2058=sel_Customer),OR(sel_Category="All",G2058=sel_Category),OR(sel_Product="All",H2058=sel_Product),AND(S2058&gt;=m_From,S2058&lt;=m_To)),1,0)</f>
        <v/>
      </c>
      <c r="V2058" s="36">
        <f>IF(AND(OR(sel_Region="All",C2058=sel_Region),OR(sel_Channel="All",E2058=sel_Channel),OR(sel_Customer="All",F2058=sel_Customer),OR(sel_Category="All",G2058=sel_Category),OR(sel_Product="All",H2058=sel_Product),AND(S2058&gt;=m_From,S2058&lt;=m_To)),1,0)</f>
        <v/>
      </c>
      <c r="W2058" s="36">
        <f>IF(AND(OR(sel_Region="All",C2058=sel_Region),OR(sel_Country="All",D2058=sel_Country),OR(sel_Customer="All",F2058=sel_Customer),OR(sel_Category="All",G2058=sel_Category),OR(sel_Product="All",H2058=sel_Product),AND(S2058&gt;=m_From,S2058&lt;=m_To)),1,0)</f>
        <v/>
      </c>
      <c r="X2058" s="36">
        <f>IF(AND(OR(sel_Region="All",C2058=sel_Region),OR(sel_Country="All",D2058=sel_Country),OR(sel_Channel="All",E2058=sel_Channel),OR(sel_Category="All",G2058=sel_Category),OR(sel_Product="All",H2058=sel_Product),AND(S2058&gt;=m_From,S2058&lt;=m_To)),1,0)</f>
        <v/>
      </c>
      <c r="Y2058" s="36">
        <f>IF(AND(OR(sel_Region="All",C2058=sel_Region),OR(sel_Country="All",D2058=sel_Country),OR(sel_Channel="All",E2058=sel_Channel),OR(sel_Customer="All",F2058=sel_Customer),OR(sel_Product="All",H2058=sel_Product),AND(S2058&gt;=m_From,S2058&lt;=m_To)),1,0)</f>
        <v/>
      </c>
      <c r="Z2058" s="36">
        <f>IF(AND(OR(sel_Region="All",C2058=sel_Region),OR(sel_Country="All",D2058=sel_Country),OR(sel_Channel="All",E2058=sel_Channel),OR(sel_Customer="All",F2058=sel_Customer),OR(sel_Category="All",G2058=sel_Category),AND(S2058&gt;=m_From,S2058&lt;=m_To)),1,0)</f>
        <v/>
      </c>
      <c r="AA2058" s="36">
        <f>IF(AND(OR(sel_Region="All",C2058=sel_Region),OR(sel_Country="All",D2058=sel_Country),OR(sel_Channel="All",E2058=sel_Channel),OR(sel_Customer="All",F2058=sel_Customer),OR(sel_Category="All",G2058=sel_Category),OR(sel_Product="All",H2058=sel_Product)),1,0)</f>
        <v/>
      </c>
    </row>
    <row r="2059">
      <c r="A2059" s="36" t="inlineStr">
        <is>
          <t>01094</t>
        </is>
      </c>
      <c r="B2059" s="44" t="n">
        <v>46301</v>
      </c>
      <c r="C2059" s="36" t="inlineStr">
        <is>
          <t>Western Europe</t>
        </is>
      </c>
      <c r="D2059" s="36" t="inlineStr">
        <is>
          <t>Belgium</t>
        </is>
      </c>
      <c r="E2059" s="36" t="inlineStr">
        <is>
          <t>Online Store</t>
        </is>
      </c>
      <c r="F2059" s="36" t="inlineStr">
        <is>
          <t>New</t>
        </is>
      </c>
      <c r="G2059" s="36" t="inlineStr">
        <is>
          <t>Fitness</t>
        </is>
      </c>
      <c r="H2059" s="36" t="inlineStr">
        <is>
          <t>Weighted Vest</t>
        </is>
      </c>
      <c r="I2059" s="36" t="n">
        <v>2</v>
      </c>
      <c r="J2059" s="39" t="n">
        <v>121.81</v>
      </c>
      <c r="K2059" s="45" t="n">
        <v>0.05</v>
      </c>
      <c r="L2059" s="39" t="n">
        <v>67.72</v>
      </c>
      <c r="M2059" s="39">
        <f>I2059*J2059*(1-K2059)</f>
        <v/>
      </c>
      <c r="N2059" s="39">
        <f>I2059*L2059</f>
        <v/>
      </c>
      <c r="O2059" s="39">
        <f>M2059-N2059</f>
        <v/>
      </c>
      <c r="P2059" s="38">
        <f>IF(M2059=0,0,O2059/M2059)</f>
        <v/>
      </c>
      <c r="Q2059" s="36">
        <f>YEAR(B2059)</f>
        <v/>
      </c>
      <c r="R2059" s="36">
        <f>"Q"&amp;ROUNDUP(MONTH(B2059)/3,0)</f>
        <v/>
      </c>
      <c r="S2059" s="36">
        <f>MONTH(B2059)</f>
        <v/>
      </c>
      <c r="T2059" s="36">
        <f>TEXT(B2059,"mmm")</f>
        <v/>
      </c>
      <c r="U2059" s="36">
        <f>IF(AND(OR(sel_Region="All",C2059=sel_Region),OR(sel_Country="All",D2059=sel_Country),OR(sel_Channel="All",E2059=sel_Channel),OR(sel_Customer="All",F2059=sel_Customer),OR(sel_Category="All",G2059=sel_Category),OR(sel_Product="All",H2059=sel_Product),AND(S2059&gt;=m_From,S2059&lt;=m_To)),1,0)</f>
        <v/>
      </c>
      <c r="V2059" s="36">
        <f>IF(AND(OR(sel_Region="All",C2059=sel_Region),OR(sel_Channel="All",E2059=sel_Channel),OR(sel_Customer="All",F2059=sel_Customer),OR(sel_Category="All",G2059=sel_Category),OR(sel_Product="All",H2059=sel_Product),AND(S2059&gt;=m_From,S2059&lt;=m_To)),1,0)</f>
        <v/>
      </c>
      <c r="W2059" s="36">
        <f>IF(AND(OR(sel_Region="All",C2059=sel_Region),OR(sel_Country="All",D2059=sel_Country),OR(sel_Customer="All",F2059=sel_Customer),OR(sel_Category="All",G2059=sel_Category),OR(sel_Product="All",H2059=sel_Product),AND(S2059&gt;=m_From,S2059&lt;=m_To)),1,0)</f>
        <v/>
      </c>
      <c r="X2059" s="36">
        <f>IF(AND(OR(sel_Region="All",C2059=sel_Region),OR(sel_Country="All",D2059=sel_Country),OR(sel_Channel="All",E2059=sel_Channel),OR(sel_Category="All",G2059=sel_Category),OR(sel_Product="All",H2059=sel_Product),AND(S2059&gt;=m_From,S2059&lt;=m_To)),1,0)</f>
        <v/>
      </c>
      <c r="Y2059" s="36">
        <f>IF(AND(OR(sel_Region="All",C2059=sel_Region),OR(sel_Country="All",D2059=sel_Country),OR(sel_Channel="All",E2059=sel_Channel),OR(sel_Customer="All",F2059=sel_Customer),OR(sel_Product="All",H2059=sel_Product),AND(S2059&gt;=m_From,S2059&lt;=m_To)),1,0)</f>
        <v/>
      </c>
      <c r="Z2059" s="36">
        <f>IF(AND(OR(sel_Region="All",C2059=sel_Region),OR(sel_Country="All",D2059=sel_Country),OR(sel_Channel="All",E2059=sel_Channel),OR(sel_Customer="All",F2059=sel_Customer),OR(sel_Category="All",G2059=sel_Category),AND(S2059&gt;=m_From,S2059&lt;=m_To)),1,0)</f>
        <v/>
      </c>
      <c r="AA2059" s="36">
        <f>IF(AND(OR(sel_Region="All",C2059=sel_Region),OR(sel_Country="All",D2059=sel_Country),OR(sel_Channel="All",E2059=sel_Channel),OR(sel_Customer="All",F2059=sel_Customer),OR(sel_Category="All",G2059=sel_Category),OR(sel_Product="All",H2059=sel_Product)),1,0)</f>
        <v/>
      </c>
    </row>
    <row r="2060">
      <c r="A2060" s="36" t="inlineStr">
        <is>
          <t>03926</t>
        </is>
      </c>
      <c r="B2060" s="44" t="n">
        <v>46301</v>
      </c>
      <c r="C2060" s="36" t="inlineStr">
        <is>
          <t>Northern Europe</t>
        </is>
      </c>
      <c r="D2060" s="36" t="inlineStr">
        <is>
          <t>Denmark</t>
        </is>
      </c>
      <c r="E2060" s="36" t="inlineStr">
        <is>
          <t>Online Store</t>
        </is>
      </c>
      <c r="F2060" s="36" t="inlineStr">
        <is>
          <t>Business</t>
        </is>
      </c>
      <c r="G2060" s="36" t="inlineStr">
        <is>
          <t>Hiking</t>
        </is>
      </c>
      <c r="H2060" s="36" t="inlineStr">
        <is>
          <t>Summit Backpack 45L</t>
        </is>
      </c>
      <c r="I2060" s="36" t="n">
        <v>6</v>
      </c>
      <c r="J2060" s="39" t="n">
        <v>154.93</v>
      </c>
      <c r="K2060" s="45" t="n">
        <v>0.05</v>
      </c>
      <c r="L2060" s="39" t="n">
        <v>79.43000000000001</v>
      </c>
      <c r="M2060" s="39">
        <f>I2060*J2060*(1-K2060)</f>
        <v/>
      </c>
      <c r="N2060" s="39">
        <f>I2060*L2060</f>
        <v/>
      </c>
      <c r="O2060" s="39">
        <f>M2060-N2060</f>
        <v/>
      </c>
      <c r="P2060" s="38">
        <f>IF(M2060=0,0,O2060/M2060)</f>
        <v/>
      </c>
      <c r="Q2060" s="36">
        <f>YEAR(B2060)</f>
        <v/>
      </c>
      <c r="R2060" s="36">
        <f>"Q"&amp;ROUNDUP(MONTH(B2060)/3,0)</f>
        <v/>
      </c>
      <c r="S2060" s="36">
        <f>MONTH(B2060)</f>
        <v/>
      </c>
      <c r="T2060" s="36">
        <f>TEXT(B2060,"mmm")</f>
        <v/>
      </c>
      <c r="U2060" s="36">
        <f>IF(AND(OR(sel_Region="All",C2060=sel_Region),OR(sel_Country="All",D2060=sel_Country),OR(sel_Channel="All",E2060=sel_Channel),OR(sel_Customer="All",F2060=sel_Customer),OR(sel_Category="All",G2060=sel_Category),OR(sel_Product="All",H2060=sel_Product),AND(S2060&gt;=m_From,S2060&lt;=m_To)),1,0)</f>
        <v/>
      </c>
      <c r="V2060" s="36">
        <f>IF(AND(OR(sel_Region="All",C2060=sel_Region),OR(sel_Channel="All",E2060=sel_Channel),OR(sel_Customer="All",F2060=sel_Customer),OR(sel_Category="All",G2060=sel_Category),OR(sel_Product="All",H2060=sel_Product),AND(S2060&gt;=m_From,S2060&lt;=m_To)),1,0)</f>
        <v/>
      </c>
      <c r="W2060" s="36">
        <f>IF(AND(OR(sel_Region="All",C2060=sel_Region),OR(sel_Country="All",D2060=sel_Country),OR(sel_Customer="All",F2060=sel_Customer),OR(sel_Category="All",G2060=sel_Category),OR(sel_Product="All",H2060=sel_Product),AND(S2060&gt;=m_From,S2060&lt;=m_To)),1,0)</f>
        <v/>
      </c>
      <c r="X2060" s="36">
        <f>IF(AND(OR(sel_Region="All",C2060=sel_Region),OR(sel_Country="All",D2060=sel_Country),OR(sel_Channel="All",E2060=sel_Channel),OR(sel_Category="All",G2060=sel_Category),OR(sel_Product="All",H2060=sel_Product),AND(S2060&gt;=m_From,S2060&lt;=m_To)),1,0)</f>
        <v/>
      </c>
      <c r="Y2060" s="36">
        <f>IF(AND(OR(sel_Region="All",C2060=sel_Region),OR(sel_Country="All",D2060=sel_Country),OR(sel_Channel="All",E2060=sel_Channel),OR(sel_Customer="All",F2060=sel_Customer),OR(sel_Product="All",H2060=sel_Product),AND(S2060&gt;=m_From,S2060&lt;=m_To)),1,0)</f>
        <v/>
      </c>
      <c r="Z2060" s="36">
        <f>IF(AND(OR(sel_Region="All",C2060=sel_Region),OR(sel_Country="All",D2060=sel_Country),OR(sel_Channel="All",E2060=sel_Channel),OR(sel_Customer="All",F2060=sel_Customer),OR(sel_Category="All",G2060=sel_Category),AND(S2060&gt;=m_From,S2060&lt;=m_To)),1,0)</f>
        <v/>
      </c>
      <c r="AA2060" s="36">
        <f>IF(AND(OR(sel_Region="All",C2060=sel_Region),OR(sel_Country="All",D2060=sel_Country),OR(sel_Channel="All",E2060=sel_Channel),OR(sel_Customer="All",F2060=sel_Customer),OR(sel_Category="All",G2060=sel_Category),OR(sel_Product="All",H2060=sel_Product)),1,0)</f>
        <v/>
      </c>
    </row>
    <row r="2061">
      <c r="A2061" s="36" t="inlineStr">
        <is>
          <t>00524</t>
        </is>
      </c>
      <c r="B2061" s="44" t="n">
        <v>46302</v>
      </c>
      <c r="C2061" s="36" t="inlineStr">
        <is>
          <t>Western Europe</t>
        </is>
      </c>
      <c r="D2061" s="36" t="inlineStr">
        <is>
          <t>United Kingdom</t>
        </is>
      </c>
      <c r="E2061" s="36" t="inlineStr">
        <is>
          <t>Retail Partners</t>
        </is>
      </c>
      <c r="F2061" s="36" t="inlineStr">
        <is>
          <t>New</t>
        </is>
      </c>
      <c r="G2061" s="36" t="inlineStr">
        <is>
          <t>Cycling</t>
        </is>
      </c>
      <c r="H2061" s="36" t="inlineStr">
        <is>
          <t>Cycling Pack 12L</t>
        </is>
      </c>
      <c r="I2061" s="36" t="n">
        <v>2</v>
      </c>
      <c r="J2061" s="39" t="n">
        <v>101.1</v>
      </c>
      <c r="K2061" s="45" t="n">
        <v>0.15</v>
      </c>
      <c r="L2061" s="39" t="n">
        <v>51.61</v>
      </c>
      <c r="M2061" s="39">
        <f>I2061*J2061*(1-K2061)</f>
        <v/>
      </c>
      <c r="N2061" s="39">
        <f>I2061*L2061</f>
        <v/>
      </c>
      <c r="O2061" s="39">
        <f>M2061-N2061</f>
        <v/>
      </c>
      <c r="P2061" s="38">
        <f>IF(M2061=0,0,O2061/M2061)</f>
        <v/>
      </c>
      <c r="Q2061" s="36">
        <f>YEAR(B2061)</f>
        <v/>
      </c>
      <c r="R2061" s="36">
        <f>"Q"&amp;ROUNDUP(MONTH(B2061)/3,0)</f>
        <v/>
      </c>
      <c r="S2061" s="36">
        <f>MONTH(B2061)</f>
        <v/>
      </c>
      <c r="T2061" s="36">
        <f>TEXT(B2061,"mmm")</f>
        <v/>
      </c>
      <c r="U2061" s="36">
        <f>IF(AND(OR(sel_Region="All",C2061=sel_Region),OR(sel_Country="All",D2061=sel_Country),OR(sel_Channel="All",E2061=sel_Channel),OR(sel_Customer="All",F2061=sel_Customer),OR(sel_Category="All",G2061=sel_Category),OR(sel_Product="All",H2061=sel_Product),AND(S2061&gt;=m_From,S2061&lt;=m_To)),1,0)</f>
        <v/>
      </c>
      <c r="V2061" s="36">
        <f>IF(AND(OR(sel_Region="All",C2061=sel_Region),OR(sel_Channel="All",E2061=sel_Channel),OR(sel_Customer="All",F2061=sel_Customer),OR(sel_Category="All",G2061=sel_Category),OR(sel_Product="All",H2061=sel_Product),AND(S2061&gt;=m_From,S2061&lt;=m_To)),1,0)</f>
        <v/>
      </c>
      <c r="W2061" s="36">
        <f>IF(AND(OR(sel_Region="All",C2061=sel_Region),OR(sel_Country="All",D2061=sel_Country),OR(sel_Customer="All",F2061=sel_Customer),OR(sel_Category="All",G2061=sel_Category),OR(sel_Product="All",H2061=sel_Product),AND(S2061&gt;=m_From,S2061&lt;=m_To)),1,0)</f>
        <v/>
      </c>
      <c r="X2061" s="36">
        <f>IF(AND(OR(sel_Region="All",C2061=sel_Region),OR(sel_Country="All",D2061=sel_Country),OR(sel_Channel="All",E2061=sel_Channel),OR(sel_Category="All",G2061=sel_Category),OR(sel_Product="All",H2061=sel_Product),AND(S2061&gt;=m_From,S2061&lt;=m_To)),1,0)</f>
        <v/>
      </c>
      <c r="Y2061" s="36">
        <f>IF(AND(OR(sel_Region="All",C2061=sel_Region),OR(sel_Country="All",D2061=sel_Country),OR(sel_Channel="All",E2061=sel_Channel),OR(sel_Customer="All",F2061=sel_Customer),OR(sel_Product="All",H2061=sel_Product),AND(S2061&gt;=m_From,S2061&lt;=m_To)),1,0)</f>
        <v/>
      </c>
      <c r="Z2061" s="36">
        <f>IF(AND(OR(sel_Region="All",C2061=sel_Region),OR(sel_Country="All",D2061=sel_Country),OR(sel_Channel="All",E2061=sel_Channel),OR(sel_Customer="All",F2061=sel_Customer),OR(sel_Category="All",G2061=sel_Category),AND(S2061&gt;=m_From,S2061&lt;=m_To)),1,0)</f>
        <v/>
      </c>
      <c r="AA2061" s="36">
        <f>IF(AND(OR(sel_Region="All",C2061=sel_Region),OR(sel_Country="All",D2061=sel_Country),OR(sel_Channel="All",E2061=sel_Channel),OR(sel_Customer="All",F2061=sel_Customer),OR(sel_Category="All",G2061=sel_Category),OR(sel_Product="All",H2061=sel_Product)),1,0)</f>
        <v/>
      </c>
    </row>
    <row r="2062">
      <c r="A2062" s="36" t="inlineStr">
        <is>
          <t>02277</t>
        </is>
      </c>
      <c r="B2062" s="44" t="n">
        <v>46302</v>
      </c>
      <c r="C2062" s="36" t="inlineStr">
        <is>
          <t>Southern Europe</t>
        </is>
      </c>
      <c r="D2062" s="36" t="inlineStr">
        <is>
          <t>Spain</t>
        </is>
      </c>
      <c r="E2062" s="36" t="inlineStr">
        <is>
          <t>Online Store</t>
        </is>
      </c>
      <c r="F2062" s="36" t="inlineStr">
        <is>
          <t>New</t>
        </is>
      </c>
      <c r="G2062" s="36" t="inlineStr">
        <is>
          <t>Cycling</t>
        </is>
      </c>
      <c r="H2062" s="36" t="inlineStr">
        <is>
          <t>Cycling Pack 12L</t>
        </is>
      </c>
      <c r="I2062" s="36" t="n">
        <v>2</v>
      </c>
      <c r="J2062" s="39" t="n">
        <v>105</v>
      </c>
      <c r="K2062" s="45" t="n">
        <v>0</v>
      </c>
      <c r="L2062" s="39" t="n">
        <v>50.3</v>
      </c>
      <c r="M2062" s="39">
        <f>I2062*J2062*(1-K2062)</f>
        <v/>
      </c>
      <c r="N2062" s="39">
        <f>I2062*L2062</f>
        <v/>
      </c>
      <c r="O2062" s="39">
        <f>M2062-N2062</f>
        <v/>
      </c>
      <c r="P2062" s="38">
        <f>IF(M2062=0,0,O2062/M2062)</f>
        <v/>
      </c>
      <c r="Q2062" s="36">
        <f>YEAR(B2062)</f>
        <v/>
      </c>
      <c r="R2062" s="36">
        <f>"Q"&amp;ROUNDUP(MONTH(B2062)/3,0)</f>
        <v/>
      </c>
      <c r="S2062" s="36">
        <f>MONTH(B2062)</f>
        <v/>
      </c>
      <c r="T2062" s="36">
        <f>TEXT(B2062,"mmm")</f>
        <v/>
      </c>
      <c r="U2062" s="36">
        <f>IF(AND(OR(sel_Region="All",C2062=sel_Region),OR(sel_Country="All",D2062=sel_Country),OR(sel_Channel="All",E2062=sel_Channel),OR(sel_Customer="All",F2062=sel_Customer),OR(sel_Category="All",G2062=sel_Category),OR(sel_Product="All",H2062=sel_Product),AND(S2062&gt;=m_From,S2062&lt;=m_To)),1,0)</f>
        <v/>
      </c>
      <c r="V2062" s="36">
        <f>IF(AND(OR(sel_Region="All",C2062=sel_Region),OR(sel_Channel="All",E2062=sel_Channel),OR(sel_Customer="All",F2062=sel_Customer),OR(sel_Category="All",G2062=sel_Category),OR(sel_Product="All",H2062=sel_Product),AND(S2062&gt;=m_From,S2062&lt;=m_To)),1,0)</f>
        <v/>
      </c>
      <c r="W2062" s="36">
        <f>IF(AND(OR(sel_Region="All",C2062=sel_Region),OR(sel_Country="All",D2062=sel_Country),OR(sel_Customer="All",F2062=sel_Customer),OR(sel_Category="All",G2062=sel_Category),OR(sel_Product="All",H2062=sel_Product),AND(S2062&gt;=m_From,S2062&lt;=m_To)),1,0)</f>
        <v/>
      </c>
      <c r="X2062" s="36">
        <f>IF(AND(OR(sel_Region="All",C2062=sel_Region),OR(sel_Country="All",D2062=sel_Country),OR(sel_Channel="All",E2062=sel_Channel),OR(sel_Category="All",G2062=sel_Category),OR(sel_Product="All",H2062=sel_Product),AND(S2062&gt;=m_From,S2062&lt;=m_To)),1,0)</f>
        <v/>
      </c>
      <c r="Y2062" s="36">
        <f>IF(AND(OR(sel_Region="All",C2062=sel_Region),OR(sel_Country="All",D2062=sel_Country),OR(sel_Channel="All",E2062=sel_Channel),OR(sel_Customer="All",F2062=sel_Customer),OR(sel_Product="All",H2062=sel_Product),AND(S2062&gt;=m_From,S2062&lt;=m_To)),1,0)</f>
        <v/>
      </c>
      <c r="Z2062" s="36">
        <f>IF(AND(OR(sel_Region="All",C2062=sel_Region),OR(sel_Country="All",D2062=sel_Country),OR(sel_Channel="All",E2062=sel_Channel),OR(sel_Customer="All",F2062=sel_Customer),OR(sel_Category="All",G2062=sel_Category),AND(S2062&gt;=m_From,S2062&lt;=m_To)),1,0)</f>
        <v/>
      </c>
      <c r="AA2062" s="36">
        <f>IF(AND(OR(sel_Region="All",C2062=sel_Region),OR(sel_Country="All",D2062=sel_Country),OR(sel_Channel="All",E2062=sel_Channel),OR(sel_Customer="All",F2062=sel_Customer),OR(sel_Category="All",G2062=sel_Category),OR(sel_Product="All",H2062=sel_Product)),1,0)</f>
        <v/>
      </c>
    </row>
    <row r="2063">
      <c r="A2063" s="36" t="inlineStr">
        <is>
          <t>02442</t>
        </is>
      </c>
      <c r="B2063" s="44" t="n">
        <v>46302</v>
      </c>
      <c r="C2063" s="36" t="inlineStr">
        <is>
          <t>Northern Europe</t>
        </is>
      </c>
      <c r="D2063" s="36" t="inlineStr">
        <is>
          <t>Sweden</t>
        </is>
      </c>
      <c r="E2063" s="36" t="inlineStr">
        <is>
          <t>Corporate</t>
        </is>
      </c>
      <c r="F2063" s="36" t="inlineStr">
        <is>
          <t>Business</t>
        </is>
      </c>
      <c r="G2063" s="36" t="inlineStr">
        <is>
          <t>Hiking</t>
        </is>
      </c>
      <c r="H2063" s="36" t="inlineStr">
        <is>
          <t>Summit Backpack 45L</t>
        </is>
      </c>
      <c r="I2063" s="36" t="n">
        <v>4</v>
      </c>
      <c r="J2063" s="39" t="n">
        <v>157.12</v>
      </c>
      <c r="K2063" s="45" t="n">
        <v>0.15</v>
      </c>
      <c r="L2063" s="39" t="n">
        <v>77.98</v>
      </c>
      <c r="M2063" s="39">
        <f>I2063*J2063*(1-K2063)</f>
        <v/>
      </c>
      <c r="N2063" s="39">
        <f>I2063*L2063</f>
        <v/>
      </c>
      <c r="O2063" s="39">
        <f>M2063-N2063</f>
        <v/>
      </c>
      <c r="P2063" s="38">
        <f>IF(M2063=0,0,O2063/M2063)</f>
        <v/>
      </c>
      <c r="Q2063" s="36">
        <f>YEAR(B2063)</f>
        <v/>
      </c>
      <c r="R2063" s="36">
        <f>"Q"&amp;ROUNDUP(MONTH(B2063)/3,0)</f>
        <v/>
      </c>
      <c r="S2063" s="36">
        <f>MONTH(B2063)</f>
        <v/>
      </c>
      <c r="T2063" s="36">
        <f>TEXT(B2063,"mmm")</f>
        <v/>
      </c>
      <c r="U2063" s="36">
        <f>IF(AND(OR(sel_Region="All",C2063=sel_Region),OR(sel_Country="All",D2063=sel_Country),OR(sel_Channel="All",E2063=sel_Channel),OR(sel_Customer="All",F2063=sel_Customer),OR(sel_Category="All",G2063=sel_Category),OR(sel_Product="All",H2063=sel_Product),AND(S2063&gt;=m_From,S2063&lt;=m_To)),1,0)</f>
        <v/>
      </c>
      <c r="V2063" s="36">
        <f>IF(AND(OR(sel_Region="All",C2063=sel_Region),OR(sel_Channel="All",E2063=sel_Channel),OR(sel_Customer="All",F2063=sel_Customer),OR(sel_Category="All",G2063=sel_Category),OR(sel_Product="All",H2063=sel_Product),AND(S2063&gt;=m_From,S2063&lt;=m_To)),1,0)</f>
        <v/>
      </c>
      <c r="W2063" s="36">
        <f>IF(AND(OR(sel_Region="All",C2063=sel_Region),OR(sel_Country="All",D2063=sel_Country),OR(sel_Customer="All",F2063=sel_Customer),OR(sel_Category="All",G2063=sel_Category),OR(sel_Product="All",H2063=sel_Product),AND(S2063&gt;=m_From,S2063&lt;=m_To)),1,0)</f>
        <v/>
      </c>
      <c r="X2063" s="36">
        <f>IF(AND(OR(sel_Region="All",C2063=sel_Region),OR(sel_Country="All",D2063=sel_Country),OR(sel_Channel="All",E2063=sel_Channel),OR(sel_Category="All",G2063=sel_Category),OR(sel_Product="All",H2063=sel_Product),AND(S2063&gt;=m_From,S2063&lt;=m_To)),1,0)</f>
        <v/>
      </c>
      <c r="Y2063" s="36">
        <f>IF(AND(OR(sel_Region="All",C2063=sel_Region),OR(sel_Country="All",D2063=sel_Country),OR(sel_Channel="All",E2063=sel_Channel),OR(sel_Customer="All",F2063=sel_Customer),OR(sel_Product="All",H2063=sel_Product),AND(S2063&gt;=m_From,S2063&lt;=m_To)),1,0)</f>
        <v/>
      </c>
      <c r="Z2063" s="36">
        <f>IF(AND(OR(sel_Region="All",C2063=sel_Region),OR(sel_Country="All",D2063=sel_Country),OR(sel_Channel="All",E2063=sel_Channel),OR(sel_Customer="All",F2063=sel_Customer),OR(sel_Category="All",G2063=sel_Category),AND(S2063&gt;=m_From,S2063&lt;=m_To)),1,0)</f>
        <v/>
      </c>
      <c r="AA2063" s="36">
        <f>IF(AND(OR(sel_Region="All",C2063=sel_Region),OR(sel_Country="All",D2063=sel_Country),OR(sel_Channel="All",E2063=sel_Channel),OR(sel_Customer="All",F2063=sel_Customer),OR(sel_Category="All",G2063=sel_Category),OR(sel_Product="All",H2063=sel_Product)),1,0)</f>
        <v/>
      </c>
    </row>
    <row r="2064">
      <c r="A2064" s="36" t="inlineStr">
        <is>
          <t>02809</t>
        </is>
      </c>
      <c r="B2064" s="44" t="n">
        <v>46302</v>
      </c>
      <c r="C2064" s="36" t="inlineStr">
        <is>
          <t>Western Europe</t>
        </is>
      </c>
      <c r="D2064" s="36" t="inlineStr">
        <is>
          <t>United Kingdom</t>
        </is>
      </c>
      <c r="E2064" s="36" t="inlineStr">
        <is>
          <t>Online Store</t>
        </is>
      </c>
      <c r="F2064" s="36" t="inlineStr">
        <is>
          <t>Returning</t>
        </is>
      </c>
      <c r="G2064" s="36" t="inlineStr">
        <is>
          <t>Hiking</t>
        </is>
      </c>
      <c r="H2064" s="36" t="inlineStr">
        <is>
          <t>Trekking Poles</t>
        </is>
      </c>
      <c r="I2064" s="36" t="n">
        <v>3</v>
      </c>
      <c r="J2064" s="39" t="n">
        <v>70.23999999999999</v>
      </c>
      <c r="K2064" s="45" t="n">
        <v>0.05</v>
      </c>
      <c r="L2064" s="39" t="n">
        <v>31.96</v>
      </c>
      <c r="M2064" s="39">
        <f>I2064*J2064*(1-K2064)</f>
        <v/>
      </c>
      <c r="N2064" s="39">
        <f>I2064*L2064</f>
        <v/>
      </c>
      <c r="O2064" s="39">
        <f>M2064-N2064</f>
        <v/>
      </c>
      <c r="P2064" s="38">
        <f>IF(M2064=0,0,O2064/M2064)</f>
        <v/>
      </c>
      <c r="Q2064" s="36">
        <f>YEAR(B2064)</f>
        <v/>
      </c>
      <c r="R2064" s="36">
        <f>"Q"&amp;ROUNDUP(MONTH(B2064)/3,0)</f>
        <v/>
      </c>
      <c r="S2064" s="36">
        <f>MONTH(B2064)</f>
        <v/>
      </c>
      <c r="T2064" s="36">
        <f>TEXT(B2064,"mmm")</f>
        <v/>
      </c>
      <c r="U2064" s="36">
        <f>IF(AND(OR(sel_Region="All",C2064=sel_Region),OR(sel_Country="All",D2064=sel_Country),OR(sel_Channel="All",E2064=sel_Channel),OR(sel_Customer="All",F2064=sel_Customer),OR(sel_Category="All",G2064=sel_Category),OR(sel_Product="All",H2064=sel_Product),AND(S2064&gt;=m_From,S2064&lt;=m_To)),1,0)</f>
        <v/>
      </c>
      <c r="V2064" s="36">
        <f>IF(AND(OR(sel_Region="All",C2064=sel_Region),OR(sel_Channel="All",E2064=sel_Channel),OR(sel_Customer="All",F2064=sel_Customer),OR(sel_Category="All",G2064=sel_Category),OR(sel_Product="All",H2064=sel_Product),AND(S2064&gt;=m_From,S2064&lt;=m_To)),1,0)</f>
        <v/>
      </c>
      <c r="W2064" s="36">
        <f>IF(AND(OR(sel_Region="All",C2064=sel_Region),OR(sel_Country="All",D2064=sel_Country),OR(sel_Customer="All",F2064=sel_Customer),OR(sel_Category="All",G2064=sel_Category),OR(sel_Product="All",H2064=sel_Product),AND(S2064&gt;=m_From,S2064&lt;=m_To)),1,0)</f>
        <v/>
      </c>
      <c r="X2064" s="36">
        <f>IF(AND(OR(sel_Region="All",C2064=sel_Region),OR(sel_Country="All",D2064=sel_Country),OR(sel_Channel="All",E2064=sel_Channel),OR(sel_Category="All",G2064=sel_Category),OR(sel_Product="All",H2064=sel_Product),AND(S2064&gt;=m_From,S2064&lt;=m_To)),1,0)</f>
        <v/>
      </c>
      <c r="Y2064" s="36">
        <f>IF(AND(OR(sel_Region="All",C2064=sel_Region),OR(sel_Country="All",D2064=sel_Country),OR(sel_Channel="All",E2064=sel_Channel),OR(sel_Customer="All",F2064=sel_Customer),OR(sel_Product="All",H2064=sel_Product),AND(S2064&gt;=m_From,S2064&lt;=m_To)),1,0)</f>
        <v/>
      </c>
      <c r="Z2064" s="36">
        <f>IF(AND(OR(sel_Region="All",C2064=sel_Region),OR(sel_Country="All",D2064=sel_Country),OR(sel_Channel="All",E2064=sel_Channel),OR(sel_Customer="All",F2064=sel_Customer),OR(sel_Category="All",G2064=sel_Category),AND(S2064&gt;=m_From,S2064&lt;=m_To)),1,0)</f>
        <v/>
      </c>
      <c r="AA2064" s="36">
        <f>IF(AND(OR(sel_Region="All",C2064=sel_Region),OR(sel_Country="All",D2064=sel_Country),OR(sel_Channel="All",E2064=sel_Channel),OR(sel_Customer="All",F2064=sel_Customer),OR(sel_Category="All",G2064=sel_Category),OR(sel_Product="All",H2064=sel_Product)),1,0)</f>
        <v/>
      </c>
    </row>
    <row r="2065">
      <c r="A2065" s="36" t="inlineStr">
        <is>
          <t>02946</t>
        </is>
      </c>
      <c r="B2065" s="44" t="n">
        <v>46302</v>
      </c>
      <c r="C2065" s="36" t="inlineStr">
        <is>
          <t>Northern Europe</t>
        </is>
      </c>
      <c r="D2065" s="36" t="inlineStr">
        <is>
          <t>Norway</t>
        </is>
      </c>
      <c r="E2065" s="36" t="inlineStr">
        <is>
          <t>Online Store</t>
        </is>
      </c>
      <c r="F2065" s="36" t="inlineStr">
        <is>
          <t>Returning</t>
        </is>
      </c>
      <c r="G2065" s="36" t="inlineStr">
        <is>
          <t>Cycling</t>
        </is>
      </c>
      <c r="H2065" s="36" t="inlineStr">
        <is>
          <t>Cycling Pack 12L</t>
        </is>
      </c>
      <c r="I2065" s="36" t="n">
        <v>1</v>
      </c>
      <c r="J2065" s="39" t="n">
        <v>103.48</v>
      </c>
      <c r="K2065" s="45" t="n">
        <v>0.1</v>
      </c>
      <c r="L2065" s="39" t="n">
        <v>51.33</v>
      </c>
      <c r="M2065" s="39">
        <f>I2065*J2065*(1-K2065)</f>
        <v/>
      </c>
      <c r="N2065" s="39">
        <f>I2065*L2065</f>
        <v/>
      </c>
      <c r="O2065" s="39">
        <f>M2065-N2065</f>
        <v/>
      </c>
      <c r="P2065" s="38">
        <f>IF(M2065=0,0,O2065/M2065)</f>
        <v/>
      </c>
      <c r="Q2065" s="36">
        <f>YEAR(B2065)</f>
        <v/>
      </c>
      <c r="R2065" s="36">
        <f>"Q"&amp;ROUNDUP(MONTH(B2065)/3,0)</f>
        <v/>
      </c>
      <c r="S2065" s="36">
        <f>MONTH(B2065)</f>
        <v/>
      </c>
      <c r="T2065" s="36">
        <f>TEXT(B2065,"mmm")</f>
        <v/>
      </c>
      <c r="U2065" s="36">
        <f>IF(AND(OR(sel_Region="All",C2065=sel_Region),OR(sel_Country="All",D2065=sel_Country),OR(sel_Channel="All",E2065=sel_Channel),OR(sel_Customer="All",F2065=sel_Customer),OR(sel_Category="All",G2065=sel_Category),OR(sel_Product="All",H2065=sel_Product),AND(S2065&gt;=m_From,S2065&lt;=m_To)),1,0)</f>
        <v/>
      </c>
      <c r="V2065" s="36">
        <f>IF(AND(OR(sel_Region="All",C2065=sel_Region),OR(sel_Channel="All",E2065=sel_Channel),OR(sel_Customer="All",F2065=sel_Customer),OR(sel_Category="All",G2065=sel_Category),OR(sel_Product="All",H2065=sel_Product),AND(S2065&gt;=m_From,S2065&lt;=m_To)),1,0)</f>
        <v/>
      </c>
      <c r="W2065" s="36">
        <f>IF(AND(OR(sel_Region="All",C2065=sel_Region),OR(sel_Country="All",D2065=sel_Country),OR(sel_Customer="All",F2065=sel_Customer),OR(sel_Category="All",G2065=sel_Category),OR(sel_Product="All",H2065=sel_Product),AND(S2065&gt;=m_From,S2065&lt;=m_To)),1,0)</f>
        <v/>
      </c>
      <c r="X2065" s="36">
        <f>IF(AND(OR(sel_Region="All",C2065=sel_Region),OR(sel_Country="All",D2065=sel_Country),OR(sel_Channel="All",E2065=sel_Channel),OR(sel_Category="All",G2065=sel_Category),OR(sel_Product="All",H2065=sel_Product),AND(S2065&gt;=m_From,S2065&lt;=m_To)),1,0)</f>
        <v/>
      </c>
      <c r="Y2065" s="36">
        <f>IF(AND(OR(sel_Region="All",C2065=sel_Region),OR(sel_Country="All",D2065=sel_Country),OR(sel_Channel="All",E2065=sel_Channel),OR(sel_Customer="All",F2065=sel_Customer),OR(sel_Product="All",H2065=sel_Product),AND(S2065&gt;=m_From,S2065&lt;=m_To)),1,0)</f>
        <v/>
      </c>
      <c r="Z2065" s="36">
        <f>IF(AND(OR(sel_Region="All",C2065=sel_Region),OR(sel_Country="All",D2065=sel_Country),OR(sel_Channel="All",E2065=sel_Channel),OR(sel_Customer="All",F2065=sel_Customer),OR(sel_Category="All",G2065=sel_Category),AND(S2065&gt;=m_From,S2065&lt;=m_To)),1,0)</f>
        <v/>
      </c>
      <c r="AA2065" s="36">
        <f>IF(AND(OR(sel_Region="All",C2065=sel_Region),OR(sel_Country="All",D2065=sel_Country),OR(sel_Channel="All",E2065=sel_Channel),OR(sel_Customer="All",F2065=sel_Customer),OR(sel_Category="All",G2065=sel_Category),OR(sel_Product="All",H2065=sel_Product)),1,0)</f>
        <v/>
      </c>
    </row>
    <row r="2066">
      <c r="A2066" s="36" t="inlineStr">
        <is>
          <t>04147</t>
        </is>
      </c>
      <c r="B2066" s="44" t="n">
        <v>46302</v>
      </c>
      <c r="C2066" s="36" t="inlineStr">
        <is>
          <t>Central Europe</t>
        </is>
      </c>
      <c r="D2066" s="36" t="inlineStr">
        <is>
          <t>Germany</t>
        </is>
      </c>
      <c r="E2066" s="36" t="inlineStr">
        <is>
          <t>Retail Partners</t>
        </is>
      </c>
      <c r="F2066" s="36" t="inlineStr">
        <is>
          <t>Returning</t>
        </is>
      </c>
      <c r="G2066" s="36" t="inlineStr">
        <is>
          <t>Cycling</t>
        </is>
      </c>
      <c r="H2066" s="36" t="inlineStr">
        <is>
          <t>Compact Repair Kit</t>
        </is>
      </c>
      <c r="I2066" s="36" t="n">
        <v>3</v>
      </c>
      <c r="J2066" s="39" t="n">
        <v>40.77</v>
      </c>
      <c r="K2066" s="45" t="n">
        <v>0.05</v>
      </c>
      <c r="L2066" s="39" t="n">
        <v>16.68</v>
      </c>
      <c r="M2066" s="39">
        <f>I2066*J2066*(1-K2066)</f>
        <v/>
      </c>
      <c r="N2066" s="39">
        <f>I2066*L2066</f>
        <v/>
      </c>
      <c r="O2066" s="39">
        <f>M2066-N2066</f>
        <v/>
      </c>
      <c r="P2066" s="38">
        <f>IF(M2066=0,0,O2066/M2066)</f>
        <v/>
      </c>
      <c r="Q2066" s="36">
        <f>YEAR(B2066)</f>
        <v/>
      </c>
      <c r="R2066" s="36">
        <f>"Q"&amp;ROUNDUP(MONTH(B2066)/3,0)</f>
        <v/>
      </c>
      <c r="S2066" s="36">
        <f>MONTH(B2066)</f>
        <v/>
      </c>
      <c r="T2066" s="36">
        <f>TEXT(B2066,"mmm")</f>
        <v/>
      </c>
      <c r="U2066" s="36">
        <f>IF(AND(OR(sel_Region="All",C2066=sel_Region),OR(sel_Country="All",D2066=sel_Country),OR(sel_Channel="All",E2066=sel_Channel),OR(sel_Customer="All",F2066=sel_Customer),OR(sel_Category="All",G2066=sel_Category),OR(sel_Product="All",H2066=sel_Product),AND(S2066&gt;=m_From,S2066&lt;=m_To)),1,0)</f>
        <v/>
      </c>
      <c r="V2066" s="36">
        <f>IF(AND(OR(sel_Region="All",C2066=sel_Region),OR(sel_Channel="All",E2066=sel_Channel),OR(sel_Customer="All",F2066=sel_Customer),OR(sel_Category="All",G2066=sel_Category),OR(sel_Product="All",H2066=sel_Product),AND(S2066&gt;=m_From,S2066&lt;=m_To)),1,0)</f>
        <v/>
      </c>
      <c r="W2066" s="36">
        <f>IF(AND(OR(sel_Region="All",C2066=sel_Region),OR(sel_Country="All",D2066=sel_Country),OR(sel_Customer="All",F2066=sel_Customer),OR(sel_Category="All",G2066=sel_Category),OR(sel_Product="All",H2066=sel_Product),AND(S2066&gt;=m_From,S2066&lt;=m_To)),1,0)</f>
        <v/>
      </c>
      <c r="X2066" s="36">
        <f>IF(AND(OR(sel_Region="All",C2066=sel_Region),OR(sel_Country="All",D2066=sel_Country),OR(sel_Channel="All",E2066=sel_Channel),OR(sel_Category="All",G2066=sel_Category),OR(sel_Product="All",H2066=sel_Product),AND(S2066&gt;=m_From,S2066&lt;=m_To)),1,0)</f>
        <v/>
      </c>
      <c r="Y2066" s="36">
        <f>IF(AND(OR(sel_Region="All",C2066=sel_Region),OR(sel_Country="All",D2066=sel_Country),OR(sel_Channel="All",E2066=sel_Channel),OR(sel_Customer="All",F2066=sel_Customer),OR(sel_Product="All",H2066=sel_Product),AND(S2066&gt;=m_From,S2066&lt;=m_To)),1,0)</f>
        <v/>
      </c>
      <c r="Z2066" s="36">
        <f>IF(AND(OR(sel_Region="All",C2066=sel_Region),OR(sel_Country="All",D2066=sel_Country),OR(sel_Channel="All",E2066=sel_Channel),OR(sel_Customer="All",F2066=sel_Customer),OR(sel_Category="All",G2066=sel_Category),AND(S2066&gt;=m_From,S2066&lt;=m_To)),1,0)</f>
        <v/>
      </c>
      <c r="AA2066" s="36">
        <f>IF(AND(OR(sel_Region="All",C2066=sel_Region),OR(sel_Country="All",D2066=sel_Country),OR(sel_Channel="All",E2066=sel_Channel),OR(sel_Customer="All",F2066=sel_Customer),OR(sel_Category="All",G2066=sel_Category),OR(sel_Product="All",H2066=sel_Product)),1,0)</f>
        <v/>
      </c>
    </row>
    <row r="2067">
      <c r="A2067" s="36" t="inlineStr">
        <is>
          <t>04164</t>
        </is>
      </c>
      <c r="B2067" s="44" t="n">
        <v>46302</v>
      </c>
      <c r="C2067" s="36" t="inlineStr">
        <is>
          <t>Southern Europe</t>
        </is>
      </c>
      <c r="D2067" s="36" t="inlineStr">
        <is>
          <t>Portugal</t>
        </is>
      </c>
      <c r="E2067" s="36" t="inlineStr">
        <is>
          <t>Retail Partners</t>
        </is>
      </c>
      <c r="F2067" s="36" t="inlineStr">
        <is>
          <t>New</t>
        </is>
      </c>
      <c r="G2067" s="36" t="inlineStr">
        <is>
          <t>Hiking</t>
        </is>
      </c>
      <c r="H2067" s="36" t="inlineStr">
        <is>
          <t>Trail Boots</t>
        </is>
      </c>
      <c r="I2067" s="36" t="n">
        <v>2</v>
      </c>
      <c r="J2067" s="39" t="n">
        <v>143.42</v>
      </c>
      <c r="K2067" s="45" t="n">
        <v>0</v>
      </c>
      <c r="L2067" s="39" t="n">
        <v>81.44</v>
      </c>
      <c r="M2067" s="39">
        <f>I2067*J2067*(1-K2067)</f>
        <v/>
      </c>
      <c r="N2067" s="39">
        <f>I2067*L2067</f>
        <v/>
      </c>
      <c r="O2067" s="39">
        <f>M2067-N2067</f>
        <v/>
      </c>
      <c r="P2067" s="38">
        <f>IF(M2067=0,0,O2067/M2067)</f>
        <v/>
      </c>
      <c r="Q2067" s="36">
        <f>YEAR(B2067)</f>
        <v/>
      </c>
      <c r="R2067" s="36">
        <f>"Q"&amp;ROUNDUP(MONTH(B2067)/3,0)</f>
        <v/>
      </c>
      <c r="S2067" s="36">
        <f>MONTH(B2067)</f>
        <v/>
      </c>
      <c r="T2067" s="36">
        <f>TEXT(B2067,"mmm")</f>
        <v/>
      </c>
      <c r="U2067" s="36">
        <f>IF(AND(OR(sel_Region="All",C2067=sel_Region),OR(sel_Country="All",D2067=sel_Country),OR(sel_Channel="All",E2067=sel_Channel),OR(sel_Customer="All",F2067=sel_Customer),OR(sel_Category="All",G2067=sel_Category),OR(sel_Product="All",H2067=sel_Product),AND(S2067&gt;=m_From,S2067&lt;=m_To)),1,0)</f>
        <v/>
      </c>
      <c r="V2067" s="36">
        <f>IF(AND(OR(sel_Region="All",C2067=sel_Region),OR(sel_Channel="All",E2067=sel_Channel),OR(sel_Customer="All",F2067=sel_Customer),OR(sel_Category="All",G2067=sel_Category),OR(sel_Product="All",H2067=sel_Product),AND(S2067&gt;=m_From,S2067&lt;=m_To)),1,0)</f>
        <v/>
      </c>
      <c r="W2067" s="36">
        <f>IF(AND(OR(sel_Region="All",C2067=sel_Region),OR(sel_Country="All",D2067=sel_Country),OR(sel_Customer="All",F2067=sel_Customer),OR(sel_Category="All",G2067=sel_Category),OR(sel_Product="All",H2067=sel_Product),AND(S2067&gt;=m_From,S2067&lt;=m_To)),1,0)</f>
        <v/>
      </c>
      <c r="X2067" s="36">
        <f>IF(AND(OR(sel_Region="All",C2067=sel_Region),OR(sel_Country="All",D2067=sel_Country),OR(sel_Channel="All",E2067=sel_Channel),OR(sel_Category="All",G2067=sel_Category),OR(sel_Product="All",H2067=sel_Product),AND(S2067&gt;=m_From,S2067&lt;=m_To)),1,0)</f>
        <v/>
      </c>
      <c r="Y2067" s="36">
        <f>IF(AND(OR(sel_Region="All",C2067=sel_Region),OR(sel_Country="All",D2067=sel_Country),OR(sel_Channel="All",E2067=sel_Channel),OR(sel_Customer="All",F2067=sel_Customer),OR(sel_Product="All",H2067=sel_Product),AND(S2067&gt;=m_From,S2067&lt;=m_To)),1,0)</f>
        <v/>
      </c>
      <c r="Z2067" s="36">
        <f>IF(AND(OR(sel_Region="All",C2067=sel_Region),OR(sel_Country="All",D2067=sel_Country),OR(sel_Channel="All",E2067=sel_Channel),OR(sel_Customer="All",F2067=sel_Customer),OR(sel_Category="All",G2067=sel_Category),AND(S2067&gt;=m_From,S2067&lt;=m_To)),1,0)</f>
        <v/>
      </c>
      <c r="AA2067" s="36">
        <f>IF(AND(OR(sel_Region="All",C2067=sel_Region),OR(sel_Country="All",D2067=sel_Country),OR(sel_Channel="All",E2067=sel_Channel),OR(sel_Customer="All",F2067=sel_Customer),OR(sel_Category="All",G2067=sel_Category),OR(sel_Product="All",H2067=sel_Product)),1,0)</f>
        <v/>
      </c>
    </row>
    <row r="2068">
      <c r="A2068" s="36" t="inlineStr">
        <is>
          <t>04275</t>
        </is>
      </c>
      <c r="B2068" s="44" t="n">
        <v>46302</v>
      </c>
      <c r="C2068" s="36" t="inlineStr">
        <is>
          <t>Western Europe</t>
        </is>
      </c>
      <c r="D2068" s="36" t="inlineStr">
        <is>
          <t>Netherlands</t>
        </is>
      </c>
      <c r="E2068" s="36" t="inlineStr">
        <is>
          <t>Marketplace</t>
        </is>
      </c>
      <c r="F2068" s="36" t="inlineStr">
        <is>
          <t>Returning</t>
        </is>
      </c>
      <c r="G2068" s="36" t="inlineStr">
        <is>
          <t>Cycling</t>
        </is>
      </c>
      <c r="H2068" s="36" t="inlineStr">
        <is>
          <t>Trail Bike Light</t>
        </is>
      </c>
      <c r="I2068" s="36" t="n">
        <v>1</v>
      </c>
      <c r="J2068" s="39" t="n">
        <v>49.56</v>
      </c>
      <c r="K2068" s="45" t="n">
        <v>0.05</v>
      </c>
      <c r="L2068" s="39" t="n">
        <v>22.88</v>
      </c>
      <c r="M2068" s="39">
        <f>I2068*J2068*(1-K2068)</f>
        <v/>
      </c>
      <c r="N2068" s="39">
        <f>I2068*L2068</f>
        <v/>
      </c>
      <c r="O2068" s="39">
        <f>M2068-N2068</f>
        <v/>
      </c>
      <c r="P2068" s="38">
        <f>IF(M2068=0,0,O2068/M2068)</f>
        <v/>
      </c>
      <c r="Q2068" s="36">
        <f>YEAR(B2068)</f>
        <v/>
      </c>
      <c r="R2068" s="36">
        <f>"Q"&amp;ROUNDUP(MONTH(B2068)/3,0)</f>
        <v/>
      </c>
      <c r="S2068" s="36">
        <f>MONTH(B2068)</f>
        <v/>
      </c>
      <c r="T2068" s="36">
        <f>TEXT(B2068,"mmm")</f>
        <v/>
      </c>
      <c r="U2068" s="36">
        <f>IF(AND(OR(sel_Region="All",C2068=sel_Region),OR(sel_Country="All",D2068=sel_Country),OR(sel_Channel="All",E2068=sel_Channel),OR(sel_Customer="All",F2068=sel_Customer),OR(sel_Category="All",G2068=sel_Category),OR(sel_Product="All",H2068=sel_Product),AND(S2068&gt;=m_From,S2068&lt;=m_To)),1,0)</f>
        <v/>
      </c>
      <c r="V2068" s="36">
        <f>IF(AND(OR(sel_Region="All",C2068=sel_Region),OR(sel_Channel="All",E2068=sel_Channel),OR(sel_Customer="All",F2068=sel_Customer),OR(sel_Category="All",G2068=sel_Category),OR(sel_Product="All",H2068=sel_Product),AND(S2068&gt;=m_From,S2068&lt;=m_To)),1,0)</f>
        <v/>
      </c>
      <c r="W2068" s="36">
        <f>IF(AND(OR(sel_Region="All",C2068=sel_Region),OR(sel_Country="All",D2068=sel_Country),OR(sel_Customer="All",F2068=sel_Customer),OR(sel_Category="All",G2068=sel_Category),OR(sel_Product="All",H2068=sel_Product),AND(S2068&gt;=m_From,S2068&lt;=m_To)),1,0)</f>
        <v/>
      </c>
      <c r="X2068" s="36">
        <f>IF(AND(OR(sel_Region="All",C2068=sel_Region),OR(sel_Country="All",D2068=sel_Country),OR(sel_Channel="All",E2068=sel_Channel),OR(sel_Category="All",G2068=sel_Category),OR(sel_Product="All",H2068=sel_Product),AND(S2068&gt;=m_From,S2068&lt;=m_To)),1,0)</f>
        <v/>
      </c>
      <c r="Y2068" s="36">
        <f>IF(AND(OR(sel_Region="All",C2068=sel_Region),OR(sel_Country="All",D2068=sel_Country),OR(sel_Channel="All",E2068=sel_Channel),OR(sel_Customer="All",F2068=sel_Customer),OR(sel_Product="All",H2068=sel_Product),AND(S2068&gt;=m_From,S2068&lt;=m_To)),1,0)</f>
        <v/>
      </c>
      <c r="Z2068" s="36">
        <f>IF(AND(OR(sel_Region="All",C2068=sel_Region),OR(sel_Country="All",D2068=sel_Country),OR(sel_Channel="All",E2068=sel_Channel),OR(sel_Customer="All",F2068=sel_Customer),OR(sel_Category="All",G2068=sel_Category),AND(S2068&gt;=m_From,S2068&lt;=m_To)),1,0)</f>
        <v/>
      </c>
      <c r="AA2068" s="36">
        <f>IF(AND(OR(sel_Region="All",C2068=sel_Region),OR(sel_Country="All",D2068=sel_Country),OR(sel_Channel="All",E2068=sel_Channel),OR(sel_Customer="All",F2068=sel_Customer),OR(sel_Category="All",G2068=sel_Category),OR(sel_Product="All",H2068=sel_Product)),1,0)</f>
        <v/>
      </c>
    </row>
    <row r="2069">
      <c r="A2069" s="36" t="inlineStr">
        <is>
          <t>05062</t>
        </is>
      </c>
      <c r="B2069" s="44" t="n">
        <v>46302</v>
      </c>
      <c r="C2069" s="36" t="inlineStr">
        <is>
          <t>Central Europe</t>
        </is>
      </c>
      <c r="D2069" s="36" t="inlineStr">
        <is>
          <t>Germany</t>
        </is>
      </c>
      <c r="E2069" s="36" t="inlineStr">
        <is>
          <t>Online Store</t>
        </is>
      </c>
      <c r="F2069" s="36" t="inlineStr">
        <is>
          <t>Returning</t>
        </is>
      </c>
      <c r="G2069" s="36" t="inlineStr">
        <is>
          <t>Travel</t>
        </is>
      </c>
      <c r="H2069" s="36" t="inlineStr">
        <is>
          <t>Carry-On Duffel</t>
        </is>
      </c>
      <c r="I2069" s="36" t="n">
        <v>4</v>
      </c>
      <c r="J2069" s="39" t="n">
        <v>131.05</v>
      </c>
      <c r="K2069" s="45" t="n">
        <v>0</v>
      </c>
      <c r="L2069" s="39" t="n">
        <v>67.37</v>
      </c>
      <c r="M2069" s="39">
        <f>I2069*J2069*(1-K2069)</f>
        <v/>
      </c>
      <c r="N2069" s="39">
        <f>I2069*L2069</f>
        <v/>
      </c>
      <c r="O2069" s="39">
        <f>M2069-N2069</f>
        <v/>
      </c>
      <c r="P2069" s="38">
        <f>IF(M2069=0,0,O2069/M2069)</f>
        <v/>
      </c>
      <c r="Q2069" s="36">
        <f>YEAR(B2069)</f>
        <v/>
      </c>
      <c r="R2069" s="36">
        <f>"Q"&amp;ROUNDUP(MONTH(B2069)/3,0)</f>
        <v/>
      </c>
      <c r="S2069" s="36">
        <f>MONTH(B2069)</f>
        <v/>
      </c>
      <c r="T2069" s="36">
        <f>TEXT(B2069,"mmm")</f>
        <v/>
      </c>
      <c r="U2069" s="36">
        <f>IF(AND(OR(sel_Region="All",C2069=sel_Region),OR(sel_Country="All",D2069=sel_Country),OR(sel_Channel="All",E2069=sel_Channel),OR(sel_Customer="All",F2069=sel_Customer),OR(sel_Category="All",G2069=sel_Category),OR(sel_Product="All",H2069=sel_Product),AND(S2069&gt;=m_From,S2069&lt;=m_To)),1,0)</f>
        <v/>
      </c>
      <c r="V2069" s="36">
        <f>IF(AND(OR(sel_Region="All",C2069=sel_Region),OR(sel_Channel="All",E2069=sel_Channel),OR(sel_Customer="All",F2069=sel_Customer),OR(sel_Category="All",G2069=sel_Category),OR(sel_Product="All",H2069=sel_Product),AND(S2069&gt;=m_From,S2069&lt;=m_To)),1,0)</f>
        <v/>
      </c>
      <c r="W2069" s="36">
        <f>IF(AND(OR(sel_Region="All",C2069=sel_Region),OR(sel_Country="All",D2069=sel_Country),OR(sel_Customer="All",F2069=sel_Customer),OR(sel_Category="All",G2069=sel_Category),OR(sel_Product="All",H2069=sel_Product),AND(S2069&gt;=m_From,S2069&lt;=m_To)),1,0)</f>
        <v/>
      </c>
      <c r="X2069" s="36">
        <f>IF(AND(OR(sel_Region="All",C2069=sel_Region),OR(sel_Country="All",D2069=sel_Country),OR(sel_Channel="All",E2069=sel_Channel),OR(sel_Category="All",G2069=sel_Category),OR(sel_Product="All",H2069=sel_Product),AND(S2069&gt;=m_From,S2069&lt;=m_To)),1,0)</f>
        <v/>
      </c>
      <c r="Y2069" s="36">
        <f>IF(AND(OR(sel_Region="All",C2069=sel_Region),OR(sel_Country="All",D2069=sel_Country),OR(sel_Channel="All",E2069=sel_Channel),OR(sel_Customer="All",F2069=sel_Customer),OR(sel_Product="All",H2069=sel_Product),AND(S2069&gt;=m_From,S2069&lt;=m_To)),1,0)</f>
        <v/>
      </c>
      <c r="Z2069" s="36">
        <f>IF(AND(OR(sel_Region="All",C2069=sel_Region),OR(sel_Country="All",D2069=sel_Country),OR(sel_Channel="All",E2069=sel_Channel),OR(sel_Customer="All",F2069=sel_Customer),OR(sel_Category="All",G2069=sel_Category),AND(S2069&gt;=m_From,S2069&lt;=m_To)),1,0)</f>
        <v/>
      </c>
      <c r="AA2069" s="36">
        <f>IF(AND(OR(sel_Region="All",C2069=sel_Region),OR(sel_Country="All",D2069=sel_Country),OR(sel_Channel="All",E2069=sel_Channel),OR(sel_Customer="All",F2069=sel_Customer),OR(sel_Category="All",G2069=sel_Category),OR(sel_Product="All",H2069=sel_Product)),1,0)</f>
        <v/>
      </c>
    </row>
    <row r="2070">
      <c r="A2070" s="36" t="inlineStr">
        <is>
          <t>01126</t>
        </is>
      </c>
      <c r="B2070" s="44" t="n">
        <v>46303</v>
      </c>
      <c r="C2070" s="36" t="inlineStr">
        <is>
          <t>Southern Europe</t>
        </is>
      </c>
      <c r="D2070" s="36" t="inlineStr">
        <is>
          <t>Portugal</t>
        </is>
      </c>
      <c r="E2070" s="36" t="inlineStr">
        <is>
          <t>Online Store</t>
        </is>
      </c>
      <c r="F2070" s="36" t="inlineStr">
        <is>
          <t>Business</t>
        </is>
      </c>
      <c r="G2070" s="36" t="inlineStr">
        <is>
          <t>Cycling</t>
        </is>
      </c>
      <c r="H2070" s="36" t="inlineStr">
        <is>
          <t>Trail Bike Light</t>
        </is>
      </c>
      <c r="I2070" s="36" t="n">
        <v>1</v>
      </c>
      <c r="J2070" s="39" t="n">
        <v>51.35</v>
      </c>
      <c r="K2070" s="45" t="n">
        <v>0</v>
      </c>
      <c r="L2070" s="39" t="n">
        <v>22.98</v>
      </c>
      <c r="M2070" s="39">
        <f>I2070*J2070*(1-K2070)</f>
        <v/>
      </c>
      <c r="N2070" s="39">
        <f>I2070*L2070</f>
        <v/>
      </c>
      <c r="O2070" s="39">
        <f>M2070-N2070</f>
        <v/>
      </c>
      <c r="P2070" s="38">
        <f>IF(M2070=0,0,O2070/M2070)</f>
        <v/>
      </c>
      <c r="Q2070" s="36">
        <f>YEAR(B2070)</f>
        <v/>
      </c>
      <c r="R2070" s="36">
        <f>"Q"&amp;ROUNDUP(MONTH(B2070)/3,0)</f>
        <v/>
      </c>
      <c r="S2070" s="36">
        <f>MONTH(B2070)</f>
        <v/>
      </c>
      <c r="T2070" s="36">
        <f>TEXT(B2070,"mmm")</f>
        <v/>
      </c>
      <c r="U2070" s="36">
        <f>IF(AND(OR(sel_Region="All",C2070=sel_Region),OR(sel_Country="All",D2070=sel_Country),OR(sel_Channel="All",E2070=sel_Channel),OR(sel_Customer="All",F2070=sel_Customer),OR(sel_Category="All",G2070=sel_Category),OR(sel_Product="All",H2070=sel_Product),AND(S2070&gt;=m_From,S2070&lt;=m_To)),1,0)</f>
        <v/>
      </c>
      <c r="V2070" s="36">
        <f>IF(AND(OR(sel_Region="All",C2070=sel_Region),OR(sel_Channel="All",E2070=sel_Channel),OR(sel_Customer="All",F2070=sel_Customer),OR(sel_Category="All",G2070=sel_Category),OR(sel_Product="All",H2070=sel_Product),AND(S2070&gt;=m_From,S2070&lt;=m_To)),1,0)</f>
        <v/>
      </c>
      <c r="W2070" s="36">
        <f>IF(AND(OR(sel_Region="All",C2070=sel_Region),OR(sel_Country="All",D2070=sel_Country),OR(sel_Customer="All",F2070=sel_Customer),OR(sel_Category="All",G2070=sel_Category),OR(sel_Product="All",H2070=sel_Product),AND(S2070&gt;=m_From,S2070&lt;=m_To)),1,0)</f>
        <v/>
      </c>
      <c r="X2070" s="36">
        <f>IF(AND(OR(sel_Region="All",C2070=sel_Region),OR(sel_Country="All",D2070=sel_Country),OR(sel_Channel="All",E2070=sel_Channel),OR(sel_Category="All",G2070=sel_Category),OR(sel_Product="All",H2070=sel_Product),AND(S2070&gt;=m_From,S2070&lt;=m_To)),1,0)</f>
        <v/>
      </c>
      <c r="Y2070" s="36">
        <f>IF(AND(OR(sel_Region="All",C2070=sel_Region),OR(sel_Country="All",D2070=sel_Country),OR(sel_Channel="All",E2070=sel_Channel),OR(sel_Customer="All",F2070=sel_Customer),OR(sel_Product="All",H2070=sel_Product),AND(S2070&gt;=m_From,S2070&lt;=m_To)),1,0)</f>
        <v/>
      </c>
      <c r="Z2070" s="36">
        <f>IF(AND(OR(sel_Region="All",C2070=sel_Region),OR(sel_Country="All",D2070=sel_Country),OR(sel_Channel="All",E2070=sel_Channel),OR(sel_Customer="All",F2070=sel_Customer),OR(sel_Category="All",G2070=sel_Category),AND(S2070&gt;=m_From,S2070&lt;=m_To)),1,0)</f>
        <v/>
      </c>
      <c r="AA2070" s="36">
        <f>IF(AND(OR(sel_Region="All",C2070=sel_Region),OR(sel_Country="All",D2070=sel_Country),OR(sel_Channel="All",E2070=sel_Channel),OR(sel_Customer="All",F2070=sel_Customer),OR(sel_Category="All",G2070=sel_Category),OR(sel_Product="All",H2070=sel_Product)),1,0)</f>
        <v/>
      </c>
    </row>
    <row r="2071">
      <c r="A2071" s="36" t="inlineStr">
        <is>
          <t>01865</t>
        </is>
      </c>
      <c r="B2071" s="44" t="n">
        <v>46303</v>
      </c>
      <c r="C2071" s="36" t="inlineStr">
        <is>
          <t>Western Europe</t>
        </is>
      </c>
      <c r="D2071" s="36" t="inlineStr">
        <is>
          <t>United Kingdom</t>
        </is>
      </c>
      <c r="E2071" s="36" t="inlineStr">
        <is>
          <t>Online Store</t>
        </is>
      </c>
      <c r="F2071" s="36" t="inlineStr">
        <is>
          <t>Returning</t>
        </is>
      </c>
      <c r="G2071" s="36" t="inlineStr">
        <is>
          <t>Fitness</t>
        </is>
      </c>
      <c r="H2071" s="36" t="inlineStr">
        <is>
          <t>Resistance Band Set</t>
        </is>
      </c>
      <c r="I2071" s="36" t="n">
        <v>1</v>
      </c>
      <c r="J2071" s="39" t="n">
        <v>39.66</v>
      </c>
      <c r="K2071" s="45" t="n">
        <v>0</v>
      </c>
      <c r="L2071" s="39" t="n">
        <v>14.39</v>
      </c>
      <c r="M2071" s="39">
        <f>I2071*J2071*(1-K2071)</f>
        <v/>
      </c>
      <c r="N2071" s="39">
        <f>I2071*L2071</f>
        <v/>
      </c>
      <c r="O2071" s="39">
        <f>M2071-N2071</f>
        <v/>
      </c>
      <c r="P2071" s="38">
        <f>IF(M2071=0,0,O2071/M2071)</f>
        <v/>
      </c>
      <c r="Q2071" s="36">
        <f>YEAR(B2071)</f>
        <v/>
      </c>
      <c r="R2071" s="36">
        <f>"Q"&amp;ROUNDUP(MONTH(B2071)/3,0)</f>
        <v/>
      </c>
      <c r="S2071" s="36">
        <f>MONTH(B2071)</f>
        <v/>
      </c>
      <c r="T2071" s="36">
        <f>TEXT(B2071,"mmm")</f>
        <v/>
      </c>
      <c r="U2071" s="36">
        <f>IF(AND(OR(sel_Region="All",C2071=sel_Region),OR(sel_Country="All",D2071=sel_Country),OR(sel_Channel="All",E2071=sel_Channel),OR(sel_Customer="All",F2071=sel_Customer),OR(sel_Category="All",G2071=sel_Category),OR(sel_Product="All",H2071=sel_Product),AND(S2071&gt;=m_From,S2071&lt;=m_To)),1,0)</f>
        <v/>
      </c>
      <c r="V2071" s="36">
        <f>IF(AND(OR(sel_Region="All",C2071=sel_Region),OR(sel_Channel="All",E2071=sel_Channel),OR(sel_Customer="All",F2071=sel_Customer),OR(sel_Category="All",G2071=sel_Category),OR(sel_Product="All",H2071=sel_Product),AND(S2071&gt;=m_From,S2071&lt;=m_To)),1,0)</f>
        <v/>
      </c>
      <c r="W2071" s="36">
        <f>IF(AND(OR(sel_Region="All",C2071=sel_Region),OR(sel_Country="All",D2071=sel_Country),OR(sel_Customer="All",F2071=sel_Customer),OR(sel_Category="All",G2071=sel_Category),OR(sel_Product="All",H2071=sel_Product),AND(S2071&gt;=m_From,S2071&lt;=m_To)),1,0)</f>
        <v/>
      </c>
      <c r="X2071" s="36">
        <f>IF(AND(OR(sel_Region="All",C2071=sel_Region),OR(sel_Country="All",D2071=sel_Country),OR(sel_Channel="All",E2071=sel_Channel),OR(sel_Category="All",G2071=sel_Category),OR(sel_Product="All",H2071=sel_Product),AND(S2071&gt;=m_From,S2071&lt;=m_To)),1,0)</f>
        <v/>
      </c>
      <c r="Y2071" s="36">
        <f>IF(AND(OR(sel_Region="All",C2071=sel_Region),OR(sel_Country="All",D2071=sel_Country),OR(sel_Channel="All",E2071=sel_Channel),OR(sel_Customer="All",F2071=sel_Customer),OR(sel_Product="All",H2071=sel_Product),AND(S2071&gt;=m_From,S2071&lt;=m_To)),1,0)</f>
        <v/>
      </c>
      <c r="Z2071" s="36">
        <f>IF(AND(OR(sel_Region="All",C2071=sel_Region),OR(sel_Country="All",D2071=sel_Country),OR(sel_Channel="All",E2071=sel_Channel),OR(sel_Customer="All",F2071=sel_Customer),OR(sel_Category="All",G2071=sel_Category),AND(S2071&gt;=m_From,S2071&lt;=m_To)),1,0)</f>
        <v/>
      </c>
      <c r="AA2071" s="36">
        <f>IF(AND(OR(sel_Region="All",C2071=sel_Region),OR(sel_Country="All",D2071=sel_Country),OR(sel_Channel="All",E2071=sel_Channel),OR(sel_Customer="All",F2071=sel_Customer),OR(sel_Category="All",G2071=sel_Category),OR(sel_Product="All",H2071=sel_Product)),1,0)</f>
        <v/>
      </c>
    </row>
    <row r="2072">
      <c r="A2072" s="36" t="inlineStr">
        <is>
          <t>02471</t>
        </is>
      </c>
      <c r="B2072" s="44" t="n">
        <v>46303</v>
      </c>
      <c r="C2072" s="36" t="inlineStr">
        <is>
          <t>Western Europe</t>
        </is>
      </c>
      <c r="D2072" s="36" t="inlineStr">
        <is>
          <t>France</t>
        </is>
      </c>
      <c r="E2072" s="36" t="inlineStr">
        <is>
          <t>Retail Partners</t>
        </is>
      </c>
      <c r="F2072" s="36" t="inlineStr">
        <is>
          <t>New</t>
        </is>
      </c>
      <c r="G2072" s="36" t="inlineStr">
        <is>
          <t>Fitness</t>
        </is>
      </c>
      <c r="H2072" s="36" t="inlineStr">
        <is>
          <t>Resistance Band Set</t>
        </is>
      </c>
      <c r="I2072" s="36" t="n">
        <v>1</v>
      </c>
      <c r="J2072" s="39" t="n">
        <v>39.79</v>
      </c>
      <c r="K2072" s="45" t="n">
        <v>0</v>
      </c>
      <c r="L2072" s="39" t="n">
        <v>14.76</v>
      </c>
      <c r="M2072" s="39">
        <f>I2072*J2072*(1-K2072)</f>
        <v/>
      </c>
      <c r="N2072" s="39">
        <f>I2072*L2072</f>
        <v/>
      </c>
      <c r="O2072" s="39">
        <f>M2072-N2072</f>
        <v/>
      </c>
      <c r="P2072" s="38">
        <f>IF(M2072=0,0,O2072/M2072)</f>
        <v/>
      </c>
      <c r="Q2072" s="36">
        <f>YEAR(B2072)</f>
        <v/>
      </c>
      <c r="R2072" s="36">
        <f>"Q"&amp;ROUNDUP(MONTH(B2072)/3,0)</f>
        <v/>
      </c>
      <c r="S2072" s="36">
        <f>MONTH(B2072)</f>
        <v/>
      </c>
      <c r="T2072" s="36">
        <f>TEXT(B2072,"mmm")</f>
        <v/>
      </c>
      <c r="U2072" s="36">
        <f>IF(AND(OR(sel_Region="All",C2072=sel_Region),OR(sel_Country="All",D2072=sel_Country),OR(sel_Channel="All",E2072=sel_Channel),OR(sel_Customer="All",F2072=sel_Customer),OR(sel_Category="All",G2072=sel_Category),OR(sel_Product="All",H2072=sel_Product),AND(S2072&gt;=m_From,S2072&lt;=m_To)),1,0)</f>
        <v/>
      </c>
      <c r="V2072" s="36">
        <f>IF(AND(OR(sel_Region="All",C2072=sel_Region),OR(sel_Channel="All",E2072=sel_Channel),OR(sel_Customer="All",F2072=sel_Customer),OR(sel_Category="All",G2072=sel_Category),OR(sel_Product="All",H2072=sel_Product),AND(S2072&gt;=m_From,S2072&lt;=m_To)),1,0)</f>
        <v/>
      </c>
      <c r="W2072" s="36">
        <f>IF(AND(OR(sel_Region="All",C2072=sel_Region),OR(sel_Country="All",D2072=sel_Country),OR(sel_Customer="All",F2072=sel_Customer),OR(sel_Category="All",G2072=sel_Category),OR(sel_Product="All",H2072=sel_Product),AND(S2072&gt;=m_From,S2072&lt;=m_To)),1,0)</f>
        <v/>
      </c>
      <c r="X2072" s="36">
        <f>IF(AND(OR(sel_Region="All",C2072=sel_Region),OR(sel_Country="All",D2072=sel_Country),OR(sel_Channel="All",E2072=sel_Channel),OR(sel_Category="All",G2072=sel_Category),OR(sel_Product="All",H2072=sel_Product),AND(S2072&gt;=m_From,S2072&lt;=m_To)),1,0)</f>
        <v/>
      </c>
      <c r="Y2072" s="36">
        <f>IF(AND(OR(sel_Region="All",C2072=sel_Region),OR(sel_Country="All",D2072=sel_Country),OR(sel_Channel="All",E2072=sel_Channel),OR(sel_Customer="All",F2072=sel_Customer),OR(sel_Product="All",H2072=sel_Product),AND(S2072&gt;=m_From,S2072&lt;=m_To)),1,0)</f>
        <v/>
      </c>
      <c r="Z2072" s="36">
        <f>IF(AND(OR(sel_Region="All",C2072=sel_Region),OR(sel_Country="All",D2072=sel_Country),OR(sel_Channel="All",E2072=sel_Channel),OR(sel_Customer="All",F2072=sel_Customer),OR(sel_Category="All",G2072=sel_Category),AND(S2072&gt;=m_From,S2072&lt;=m_To)),1,0)</f>
        <v/>
      </c>
      <c r="AA2072" s="36">
        <f>IF(AND(OR(sel_Region="All",C2072=sel_Region),OR(sel_Country="All",D2072=sel_Country),OR(sel_Channel="All",E2072=sel_Channel),OR(sel_Customer="All",F2072=sel_Customer),OR(sel_Category="All",G2072=sel_Category),OR(sel_Product="All",H2072=sel_Product)),1,0)</f>
        <v/>
      </c>
    </row>
    <row r="2073">
      <c r="A2073" s="36" t="inlineStr">
        <is>
          <t>03208</t>
        </is>
      </c>
      <c r="B2073" s="44" t="n">
        <v>46303</v>
      </c>
      <c r="C2073" s="36" t="inlineStr">
        <is>
          <t>Northern Europe</t>
        </is>
      </c>
      <c r="D2073" s="36" t="inlineStr">
        <is>
          <t>Finland</t>
        </is>
      </c>
      <c r="E2073" s="36" t="inlineStr">
        <is>
          <t>Corporate</t>
        </is>
      </c>
      <c r="F2073" s="36" t="inlineStr">
        <is>
          <t>New</t>
        </is>
      </c>
      <c r="G2073" s="36" t="inlineStr">
        <is>
          <t>Cycling</t>
        </is>
      </c>
      <c r="H2073" s="36" t="inlineStr">
        <is>
          <t>Compact Repair Kit</t>
        </is>
      </c>
      <c r="I2073" s="36" t="n">
        <v>6</v>
      </c>
      <c r="J2073" s="39" t="n">
        <v>41.27</v>
      </c>
      <c r="K2073" s="45" t="n">
        <v>0.1</v>
      </c>
      <c r="L2073" s="39" t="n">
        <v>16.61</v>
      </c>
      <c r="M2073" s="39">
        <f>I2073*J2073*(1-K2073)</f>
        <v/>
      </c>
      <c r="N2073" s="39">
        <f>I2073*L2073</f>
        <v/>
      </c>
      <c r="O2073" s="39">
        <f>M2073-N2073</f>
        <v/>
      </c>
      <c r="P2073" s="38">
        <f>IF(M2073=0,0,O2073/M2073)</f>
        <v/>
      </c>
      <c r="Q2073" s="36">
        <f>YEAR(B2073)</f>
        <v/>
      </c>
      <c r="R2073" s="36">
        <f>"Q"&amp;ROUNDUP(MONTH(B2073)/3,0)</f>
        <v/>
      </c>
      <c r="S2073" s="36">
        <f>MONTH(B2073)</f>
        <v/>
      </c>
      <c r="T2073" s="36">
        <f>TEXT(B2073,"mmm")</f>
        <v/>
      </c>
      <c r="U2073" s="36">
        <f>IF(AND(OR(sel_Region="All",C2073=sel_Region),OR(sel_Country="All",D2073=sel_Country),OR(sel_Channel="All",E2073=sel_Channel),OR(sel_Customer="All",F2073=sel_Customer),OR(sel_Category="All",G2073=sel_Category),OR(sel_Product="All",H2073=sel_Product),AND(S2073&gt;=m_From,S2073&lt;=m_To)),1,0)</f>
        <v/>
      </c>
      <c r="V2073" s="36">
        <f>IF(AND(OR(sel_Region="All",C2073=sel_Region),OR(sel_Channel="All",E2073=sel_Channel),OR(sel_Customer="All",F2073=sel_Customer),OR(sel_Category="All",G2073=sel_Category),OR(sel_Product="All",H2073=sel_Product),AND(S2073&gt;=m_From,S2073&lt;=m_To)),1,0)</f>
        <v/>
      </c>
      <c r="W2073" s="36">
        <f>IF(AND(OR(sel_Region="All",C2073=sel_Region),OR(sel_Country="All",D2073=sel_Country),OR(sel_Customer="All",F2073=sel_Customer),OR(sel_Category="All",G2073=sel_Category),OR(sel_Product="All",H2073=sel_Product),AND(S2073&gt;=m_From,S2073&lt;=m_To)),1,0)</f>
        <v/>
      </c>
      <c r="X2073" s="36">
        <f>IF(AND(OR(sel_Region="All",C2073=sel_Region),OR(sel_Country="All",D2073=sel_Country),OR(sel_Channel="All",E2073=sel_Channel),OR(sel_Category="All",G2073=sel_Category),OR(sel_Product="All",H2073=sel_Product),AND(S2073&gt;=m_From,S2073&lt;=m_To)),1,0)</f>
        <v/>
      </c>
      <c r="Y2073" s="36">
        <f>IF(AND(OR(sel_Region="All",C2073=sel_Region),OR(sel_Country="All",D2073=sel_Country),OR(sel_Channel="All",E2073=sel_Channel),OR(sel_Customer="All",F2073=sel_Customer),OR(sel_Product="All",H2073=sel_Product),AND(S2073&gt;=m_From,S2073&lt;=m_To)),1,0)</f>
        <v/>
      </c>
      <c r="Z2073" s="36">
        <f>IF(AND(OR(sel_Region="All",C2073=sel_Region),OR(sel_Country="All",D2073=sel_Country),OR(sel_Channel="All",E2073=sel_Channel),OR(sel_Customer="All",F2073=sel_Customer),OR(sel_Category="All",G2073=sel_Category),AND(S2073&gt;=m_From,S2073&lt;=m_To)),1,0)</f>
        <v/>
      </c>
      <c r="AA2073" s="36">
        <f>IF(AND(OR(sel_Region="All",C2073=sel_Region),OR(sel_Country="All",D2073=sel_Country),OR(sel_Channel="All",E2073=sel_Channel),OR(sel_Customer="All",F2073=sel_Customer),OR(sel_Category="All",G2073=sel_Category),OR(sel_Product="All",H2073=sel_Product)),1,0)</f>
        <v/>
      </c>
    </row>
    <row r="2074">
      <c r="A2074" s="36" t="inlineStr">
        <is>
          <t>04285</t>
        </is>
      </c>
      <c r="B2074" s="44" t="n">
        <v>46303</v>
      </c>
      <c r="C2074" s="36" t="inlineStr">
        <is>
          <t>Western Europe</t>
        </is>
      </c>
      <c r="D2074" s="36" t="inlineStr">
        <is>
          <t>Belgium</t>
        </is>
      </c>
      <c r="E2074" s="36" t="inlineStr">
        <is>
          <t>Online Store</t>
        </is>
      </c>
      <c r="F2074" s="36" t="inlineStr">
        <is>
          <t>Returning</t>
        </is>
      </c>
      <c r="G2074" s="36" t="inlineStr">
        <is>
          <t>Hiking</t>
        </is>
      </c>
      <c r="H2074" s="36" t="inlineStr">
        <is>
          <t>Hiking Daypack 20L</t>
        </is>
      </c>
      <c r="I2074" s="36" t="n">
        <v>1</v>
      </c>
      <c r="J2074" s="39" t="n">
        <v>93.39</v>
      </c>
      <c r="K2074" s="45" t="n">
        <v>0</v>
      </c>
      <c r="L2074" s="39" t="n">
        <v>45.98</v>
      </c>
      <c r="M2074" s="39">
        <f>I2074*J2074*(1-K2074)</f>
        <v/>
      </c>
      <c r="N2074" s="39">
        <f>I2074*L2074</f>
        <v/>
      </c>
      <c r="O2074" s="39">
        <f>M2074-N2074</f>
        <v/>
      </c>
      <c r="P2074" s="38">
        <f>IF(M2074=0,0,O2074/M2074)</f>
        <v/>
      </c>
      <c r="Q2074" s="36">
        <f>YEAR(B2074)</f>
        <v/>
      </c>
      <c r="R2074" s="36">
        <f>"Q"&amp;ROUNDUP(MONTH(B2074)/3,0)</f>
        <v/>
      </c>
      <c r="S2074" s="36">
        <f>MONTH(B2074)</f>
        <v/>
      </c>
      <c r="T2074" s="36">
        <f>TEXT(B2074,"mmm")</f>
        <v/>
      </c>
      <c r="U2074" s="36">
        <f>IF(AND(OR(sel_Region="All",C2074=sel_Region),OR(sel_Country="All",D2074=sel_Country),OR(sel_Channel="All",E2074=sel_Channel),OR(sel_Customer="All",F2074=sel_Customer),OR(sel_Category="All",G2074=sel_Category),OR(sel_Product="All",H2074=sel_Product),AND(S2074&gt;=m_From,S2074&lt;=m_To)),1,0)</f>
        <v/>
      </c>
      <c r="V2074" s="36">
        <f>IF(AND(OR(sel_Region="All",C2074=sel_Region),OR(sel_Channel="All",E2074=sel_Channel),OR(sel_Customer="All",F2074=sel_Customer),OR(sel_Category="All",G2074=sel_Category),OR(sel_Product="All",H2074=sel_Product),AND(S2074&gt;=m_From,S2074&lt;=m_To)),1,0)</f>
        <v/>
      </c>
      <c r="W2074" s="36">
        <f>IF(AND(OR(sel_Region="All",C2074=sel_Region),OR(sel_Country="All",D2074=sel_Country),OR(sel_Customer="All",F2074=sel_Customer),OR(sel_Category="All",G2074=sel_Category),OR(sel_Product="All",H2074=sel_Product),AND(S2074&gt;=m_From,S2074&lt;=m_To)),1,0)</f>
        <v/>
      </c>
      <c r="X2074" s="36">
        <f>IF(AND(OR(sel_Region="All",C2074=sel_Region),OR(sel_Country="All",D2074=sel_Country),OR(sel_Channel="All",E2074=sel_Channel),OR(sel_Category="All",G2074=sel_Category),OR(sel_Product="All",H2074=sel_Product),AND(S2074&gt;=m_From,S2074&lt;=m_To)),1,0)</f>
        <v/>
      </c>
      <c r="Y2074" s="36">
        <f>IF(AND(OR(sel_Region="All",C2074=sel_Region),OR(sel_Country="All",D2074=sel_Country),OR(sel_Channel="All",E2074=sel_Channel),OR(sel_Customer="All",F2074=sel_Customer),OR(sel_Product="All",H2074=sel_Product),AND(S2074&gt;=m_From,S2074&lt;=m_To)),1,0)</f>
        <v/>
      </c>
      <c r="Z2074" s="36">
        <f>IF(AND(OR(sel_Region="All",C2074=sel_Region),OR(sel_Country="All",D2074=sel_Country),OR(sel_Channel="All",E2074=sel_Channel),OR(sel_Customer="All",F2074=sel_Customer),OR(sel_Category="All",G2074=sel_Category),AND(S2074&gt;=m_From,S2074&lt;=m_To)),1,0)</f>
        <v/>
      </c>
      <c r="AA2074" s="36">
        <f>IF(AND(OR(sel_Region="All",C2074=sel_Region),OR(sel_Country="All",D2074=sel_Country),OR(sel_Channel="All",E2074=sel_Channel),OR(sel_Customer="All",F2074=sel_Customer),OR(sel_Category="All",G2074=sel_Category),OR(sel_Product="All",H2074=sel_Product)),1,0)</f>
        <v/>
      </c>
    </row>
    <row r="2075">
      <c r="A2075" s="36" t="inlineStr">
        <is>
          <t>00261</t>
        </is>
      </c>
      <c r="B2075" s="44" t="n">
        <v>46304</v>
      </c>
      <c r="C2075" s="36" t="inlineStr">
        <is>
          <t>Northern Europe</t>
        </is>
      </c>
      <c r="D2075" s="36" t="inlineStr">
        <is>
          <t>Ireland</t>
        </is>
      </c>
      <c r="E2075" s="36" t="inlineStr">
        <is>
          <t>Online Store</t>
        </is>
      </c>
      <c r="F2075" s="36" t="inlineStr">
        <is>
          <t>Business</t>
        </is>
      </c>
      <c r="G2075" s="36" t="inlineStr">
        <is>
          <t>Camping</t>
        </is>
      </c>
      <c r="H2075" s="36" t="inlineStr">
        <is>
          <t>Alpine Tent 4P</t>
        </is>
      </c>
      <c r="I2075" s="36" t="n">
        <v>1</v>
      </c>
      <c r="J2075" s="39" t="n">
        <v>336.56</v>
      </c>
      <c r="K2075" s="45" t="n">
        <v>0</v>
      </c>
      <c r="L2075" s="39" t="n">
        <v>189.74</v>
      </c>
      <c r="M2075" s="39">
        <f>I2075*J2075*(1-K2075)</f>
        <v/>
      </c>
      <c r="N2075" s="39">
        <f>I2075*L2075</f>
        <v/>
      </c>
      <c r="O2075" s="39">
        <f>M2075-N2075</f>
        <v/>
      </c>
      <c r="P2075" s="38">
        <f>IF(M2075=0,0,O2075/M2075)</f>
        <v/>
      </c>
      <c r="Q2075" s="36">
        <f>YEAR(B2075)</f>
        <v/>
      </c>
      <c r="R2075" s="36">
        <f>"Q"&amp;ROUNDUP(MONTH(B2075)/3,0)</f>
        <v/>
      </c>
      <c r="S2075" s="36">
        <f>MONTH(B2075)</f>
        <v/>
      </c>
      <c r="T2075" s="36">
        <f>TEXT(B2075,"mmm")</f>
        <v/>
      </c>
      <c r="U2075" s="36">
        <f>IF(AND(OR(sel_Region="All",C2075=sel_Region),OR(sel_Country="All",D2075=sel_Country),OR(sel_Channel="All",E2075=sel_Channel),OR(sel_Customer="All",F2075=sel_Customer),OR(sel_Category="All",G2075=sel_Category),OR(sel_Product="All",H2075=sel_Product),AND(S2075&gt;=m_From,S2075&lt;=m_To)),1,0)</f>
        <v/>
      </c>
      <c r="V2075" s="36">
        <f>IF(AND(OR(sel_Region="All",C2075=sel_Region),OR(sel_Channel="All",E2075=sel_Channel),OR(sel_Customer="All",F2075=sel_Customer),OR(sel_Category="All",G2075=sel_Category),OR(sel_Product="All",H2075=sel_Product),AND(S2075&gt;=m_From,S2075&lt;=m_To)),1,0)</f>
        <v/>
      </c>
      <c r="W2075" s="36">
        <f>IF(AND(OR(sel_Region="All",C2075=sel_Region),OR(sel_Country="All",D2075=sel_Country),OR(sel_Customer="All",F2075=sel_Customer),OR(sel_Category="All",G2075=sel_Category),OR(sel_Product="All",H2075=sel_Product),AND(S2075&gt;=m_From,S2075&lt;=m_To)),1,0)</f>
        <v/>
      </c>
      <c r="X2075" s="36">
        <f>IF(AND(OR(sel_Region="All",C2075=sel_Region),OR(sel_Country="All",D2075=sel_Country),OR(sel_Channel="All",E2075=sel_Channel),OR(sel_Category="All",G2075=sel_Category),OR(sel_Product="All",H2075=sel_Product),AND(S2075&gt;=m_From,S2075&lt;=m_To)),1,0)</f>
        <v/>
      </c>
      <c r="Y2075" s="36">
        <f>IF(AND(OR(sel_Region="All",C2075=sel_Region),OR(sel_Country="All",D2075=sel_Country),OR(sel_Channel="All",E2075=sel_Channel),OR(sel_Customer="All",F2075=sel_Customer),OR(sel_Product="All",H2075=sel_Product),AND(S2075&gt;=m_From,S2075&lt;=m_To)),1,0)</f>
        <v/>
      </c>
      <c r="Z2075" s="36">
        <f>IF(AND(OR(sel_Region="All",C2075=sel_Region),OR(sel_Country="All",D2075=sel_Country),OR(sel_Channel="All",E2075=sel_Channel),OR(sel_Customer="All",F2075=sel_Customer),OR(sel_Category="All",G2075=sel_Category),AND(S2075&gt;=m_From,S2075&lt;=m_To)),1,0)</f>
        <v/>
      </c>
      <c r="AA2075" s="36">
        <f>IF(AND(OR(sel_Region="All",C2075=sel_Region),OR(sel_Country="All",D2075=sel_Country),OR(sel_Channel="All",E2075=sel_Channel),OR(sel_Customer="All",F2075=sel_Customer),OR(sel_Category="All",G2075=sel_Category),OR(sel_Product="All",H2075=sel_Product)),1,0)</f>
        <v/>
      </c>
    </row>
    <row r="2076">
      <c r="A2076" s="36" t="inlineStr">
        <is>
          <t>00291</t>
        </is>
      </c>
      <c r="B2076" s="44" t="n">
        <v>46304</v>
      </c>
      <c r="C2076" s="36" t="inlineStr">
        <is>
          <t>Northern Europe</t>
        </is>
      </c>
      <c r="D2076" s="36" t="inlineStr">
        <is>
          <t>Sweden</t>
        </is>
      </c>
      <c r="E2076" s="36" t="inlineStr">
        <is>
          <t>Online Store</t>
        </is>
      </c>
      <c r="F2076" s="36" t="inlineStr">
        <is>
          <t>New</t>
        </is>
      </c>
      <c r="G2076" s="36" t="inlineStr">
        <is>
          <t>Travel</t>
        </is>
      </c>
      <c r="H2076" s="36" t="inlineStr">
        <is>
          <t>Carry-On Duffel</t>
        </is>
      </c>
      <c r="I2076" s="36" t="n">
        <v>2</v>
      </c>
      <c r="J2076" s="39" t="n">
        <v>132.48</v>
      </c>
      <c r="K2076" s="45" t="n">
        <v>0.1</v>
      </c>
      <c r="L2076" s="39" t="n">
        <v>67.48</v>
      </c>
      <c r="M2076" s="39">
        <f>I2076*J2076*(1-K2076)</f>
        <v/>
      </c>
      <c r="N2076" s="39">
        <f>I2076*L2076</f>
        <v/>
      </c>
      <c r="O2076" s="39">
        <f>M2076-N2076</f>
        <v/>
      </c>
      <c r="P2076" s="38">
        <f>IF(M2076=0,0,O2076/M2076)</f>
        <v/>
      </c>
      <c r="Q2076" s="36">
        <f>YEAR(B2076)</f>
        <v/>
      </c>
      <c r="R2076" s="36">
        <f>"Q"&amp;ROUNDUP(MONTH(B2076)/3,0)</f>
        <v/>
      </c>
      <c r="S2076" s="36">
        <f>MONTH(B2076)</f>
        <v/>
      </c>
      <c r="T2076" s="36">
        <f>TEXT(B2076,"mmm")</f>
        <v/>
      </c>
      <c r="U2076" s="36">
        <f>IF(AND(OR(sel_Region="All",C2076=sel_Region),OR(sel_Country="All",D2076=sel_Country),OR(sel_Channel="All",E2076=sel_Channel),OR(sel_Customer="All",F2076=sel_Customer),OR(sel_Category="All",G2076=sel_Category),OR(sel_Product="All",H2076=sel_Product),AND(S2076&gt;=m_From,S2076&lt;=m_To)),1,0)</f>
        <v/>
      </c>
      <c r="V2076" s="36">
        <f>IF(AND(OR(sel_Region="All",C2076=sel_Region),OR(sel_Channel="All",E2076=sel_Channel),OR(sel_Customer="All",F2076=sel_Customer),OR(sel_Category="All",G2076=sel_Category),OR(sel_Product="All",H2076=sel_Product),AND(S2076&gt;=m_From,S2076&lt;=m_To)),1,0)</f>
        <v/>
      </c>
      <c r="W2076" s="36">
        <f>IF(AND(OR(sel_Region="All",C2076=sel_Region),OR(sel_Country="All",D2076=sel_Country),OR(sel_Customer="All",F2076=sel_Customer),OR(sel_Category="All",G2076=sel_Category),OR(sel_Product="All",H2076=sel_Product),AND(S2076&gt;=m_From,S2076&lt;=m_To)),1,0)</f>
        <v/>
      </c>
      <c r="X2076" s="36">
        <f>IF(AND(OR(sel_Region="All",C2076=sel_Region),OR(sel_Country="All",D2076=sel_Country),OR(sel_Channel="All",E2076=sel_Channel),OR(sel_Category="All",G2076=sel_Category),OR(sel_Product="All",H2076=sel_Product),AND(S2076&gt;=m_From,S2076&lt;=m_To)),1,0)</f>
        <v/>
      </c>
      <c r="Y2076" s="36">
        <f>IF(AND(OR(sel_Region="All",C2076=sel_Region),OR(sel_Country="All",D2076=sel_Country),OR(sel_Channel="All",E2076=sel_Channel),OR(sel_Customer="All",F2076=sel_Customer),OR(sel_Product="All",H2076=sel_Product),AND(S2076&gt;=m_From,S2076&lt;=m_To)),1,0)</f>
        <v/>
      </c>
      <c r="Z2076" s="36">
        <f>IF(AND(OR(sel_Region="All",C2076=sel_Region),OR(sel_Country="All",D2076=sel_Country),OR(sel_Channel="All",E2076=sel_Channel),OR(sel_Customer="All",F2076=sel_Customer),OR(sel_Category="All",G2076=sel_Category),AND(S2076&gt;=m_From,S2076&lt;=m_To)),1,0)</f>
        <v/>
      </c>
      <c r="AA2076" s="36">
        <f>IF(AND(OR(sel_Region="All",C2076=sel_Region),OR(sel_Country="All",D2076=sel_Country),OR(sel_Channel="All",E2076=sel_Channel),OR(sel_Customer="All",F2076=sel_Customer),OR(sel_Category="All",G2076=sel_Category),OR(sel_Product="All",H2076=sel_Product)),1,0)</f>
        <v/>
      </c>
    </row>
    <row r="2077">
      <c r="A2077" s="36" t="inlineStr">
        <is>
          <t>00670</t>
        </is>
      </c>
      <c r="B2077" s="44" t="n">
        <v>46304</v>
      </c>
      <c r="C2077" s="36" t="inlineStr">
        <is>
          <t>Central Europe</t>
        </is>
      </c>
      <c r="D2077" s="36" t="inlineStr">
        <is>
          <t>Poland</t>
        </is>
      </c>
      <c r="E2077" s="36" t="inlineStr">
        <is>
          <t>Retail Partners</t>
        </is>
      </c>
      <c r="F2077" s="36" t="inlineStr">
        <is>
          <t>Returning</t>
        </is>
      </c>
      <c r="G2077" s="36" t="inlineStr">
        <is>
          <t>Hiking</t>
        </is>
      </c>
      <c r="H2077" s="36" t="inlineStr">
        <is>
          <t>Hiking Daypack 20L</t>
        </is>
      </c>
      <c r="I2077" s="36" t="n">
        <v>1</v>
      </c>
      <c r="J2077" s="39" t="n">
        <v>92.59</v>
      </c>
      <c r="K2077" s="45" t="n">
        <v>0</v>
      </c>
      <c r="L2077" s="39" t="n">
        <v>44.46</v>
      </c>
      <c r="M2077" s="39">
        <f>I2077*J2077*(1-K2077)</f>
        <v/>
      </c>
      <c r="N2077" s="39">
        <f>I2077*L2077</f>
        <v/>
      </c>
      <c r="O2077" s="39">
        <f>M2077-N2077</f>
        <v/>
      </c>
      <c r="P2077" s="38">
        <f>IF(M2077=0,0,O2077/M2077)</f>
        <v/>
      </c>
      <c r="Q2077" s="36">
        <f>YEAR(B2077)</f>
        <v/>
      </c>
      <c r="R2077" s="36">
        <f>"Q"&amp;ROUNDUP(MONTH(B2077)/3,0)</f>
        <v/>
      </c>
      <c r="S2077" s="36">
        <f>MONTH(B2077)</f>
        <v/>
      </c>
      <c r="T2077" s="36">
        <f>TEXT(B2077,"mmm")</f>
        <v/>
      </c>
      <c r="U2077" s="36">
        <f>IF(AND(OR(sel_Region="All",C2077=sel_Region),OR(sel_Country="All",D2077=sel_Country),OR(sel_Channel="All",E2077=sel_Channel),OR(sel_Customer="All",F2077=sel_Customer),OR(sel_Category="All",G2077=sel_Category),OR(sel_Product="All",H2077=sel_Product),AND(S2077&gt;=m_From,S2077&lt;=m_To)),1,0)</f>
        <v/>
      </c>
      <c r="V2077" s="36">
        <f>IF(AND(OR(sel_Region="All",C2077=sel_Region),OR(sel_Channel="All",E2077=sel_Channel),OR(sel_Customer="All",F2077=sel_Customer),OR(sel_Category="All",G2077=sel_Category),OR(sel_Product="All",H2077=sel_Product),AND(S2077&gt;=m_From,S2077&lt;=m_To)),1,0)</f>
        <v/>
      </c>
      <c r="W2077" s="36">
        <f>IF(AND(OR(sel_Region="All",C2077=sel_Region),OR(sel_Country="All",D2077=sel_Country),OR(sel_Customer="All",F2077=sel_Customer),OR(sel_Category="All",G2077=sel_Category),OR(sel_Product="All",H2077=sel_Product),AND(S2077&gt;=m_From,S2077&lt;=m_To)),1,0)</f>
        <v/>
      </c>
      <c r="X2077" s="36">
        <f>IF(AND(OR(sel_Region="All",C2077=sel_Region),OR(sel_Country="All",D2077=sel_Country),OR(sel_Channel="All",E2077=sel_Channel),OR(sel_Category="All",G2077=sel_Category),OR(sel_Product="All",H2077=sel_Product),AND(S2077&gt;=m_From,S2077&lt;=m_To)),1,0)</f>
        <v/>
      </c>
      <c r="Y2077" s="36">
        <f>IF(AND(OR(sel_Region="All",C2077=sel_Region),OR(sel_Country="All",D2077=sel_Country),OR(sel_Channel="All",E2077=sel_Channel),OR(sel_Customer="All",F2077=sel_Customer),OR(sel_Product="All",H2077=sel_Product),AND(S2077&gt;=m_From,S2077&lt;=m_To)),1,0)</f>
        <v/>
      </c>
      <c r="Z2077" s="36">
        <f>IF(AND(OR(sel_Region="All",C2077=sel_Region),OR(sel_Country="All",D2077=sel_Country),OR(sel_Channel="All",E2077=sel_Channel),OR(sel_Customer="All",F2077=sel_Customer),OR(sel_Category="All",G2077=sel_Category),AND(S2077&gt;=m_From,S2077&lt;=m_To)),1,0)</f>
        <v/>
      </c>
      <c r="AA2077" s="36">
        <f>IF(AND(OR(sel_Region="All",C2077=sel_Region),OR(sel_Country="All",D2077=sel_Country),OR(sel_Channel="All",E2077=sel_Channel),OR(sel_Customer="All",F2077=sel_Customer),OR(sel_Category="All",G2077=sel_Category),OR(sel_Product="All",H2077=sel_Product)),1,0)</f>
        <v/>
      </c>
    </row>
    <row r="2078">
      <c r="A2078" s="36" t="inlineStr">
        <is>
          <t>01306</t>
        </is>
      </c>
      <c r="B2078" s="44" t="n">
        <v>46304</v>
      </c>
      <c r="C2078" s="36" t="inlineStr">
        <is>
          <t>Western Europe</t>
        </is>
      </c>
      <c r="D2078" s="36" t="inlineStr">
        <is>
          <t>United Kingdom</t>
        </is>
      </c>
      <c r="E2078" s="36" t="inlineStr">
        <is>
          <t>Retail Partners</t>
        </is>
      </c>
      <c r="F2078" s="36" t="inlineStr">
        <is>
          <t>Business</t>
        </is>
      </c>
      <c r="G2078" s="36" t="inlineStr">
        <is>
          <t>Fitness</t>
        </is>
      </c>
      <c r="H2078" s="36" t="inlineStr">
        <is>
          <t>Recovery Roller</t>
        </is>
      </c>
      <c r="I2078" s="36" t="n">
        <v>1</v>
      </c>
      <c r="J2078" s="39" t="n">
        <v>35.45</v>
      </c>
      <c r="K2078" s="45" t="n">
        <v>0.05</v>
      </c>
      <c r="L2078" s="39" t="n">
        <v>14.23</v>
      </c>
      <c r="M2078" s="39">
        <f>I2078*J2078*(1-K2078)</f>
        <v/>
      </c>
      <c r="N2078" s="39">
        <f>I2078*L2078</f>
        <v/>
      </c>
      <c r="O2078" s="39">
        <f>M2078-N2078</f>
        <v/>
      </c>
      <c r="P2078" s="38">
        <f>IF(M2078=0,0,O2078/M2078)</f>
        <v/>
      </c>
      <c r="Q2078" s="36">
        <f>YEAR(B2078)</f>
        <v/>
      </c>
      <c r="R2078" s="36">
        <f>"Q"&amp;ROUNDUP(MONTH(B2078)/3,0)</f>
        <v/>
      </c>
      <c r="S2078" s="36">
        <f>MONTH(B2078)</f>
        <v/>
      </c>
      <c r="T2078" s="36">
        <f>TEXT(B2078,"mmm")</f>
        <v/>
      </c>
      <c r="U2078" s="36">
        <f>IF(AND(OR(sel_Region="All",C2078=sel_Region),OR(sel_Country="All",D2078=sel_Country),OR(sel_Channel="All",E2078=sel_Channel),OR(sel_Customer="All",F2078=sel_Customer),OR(sel_Category="All",G2078=sel_Category),OR(sel_Product="All",H2078=sel_Product),AND(S2078&gt;=m_From,S2078&lt;=m_To)),1,0)</f>
        <v/>
      </c>
      <c r="V2078" s="36">
        <f>IF(AND(OR(sel_Region="All",C2078=sel_Region),OR(sel_Channel="All",E2078=sel_Channel),OR(sel_Customer="All",F2078=sel_Customer),OR(sel_Category="All",G2078=sel_Category),OR(sel_Product="All",H2078=sel_Product),AND(S2078&gt;=m_From,S2078&lt;=m_To)),1,0)</f>
        <v/>
      </c>
      <c r="W2078" s="36">
        <f>IF(AND(OR(sel_Region="All",C2078=sel_Region),OR(sel_Country="All",D2078=sel_Country),OR(sel_Customer="All",F2078=sel_Customer),OR(sel_Category="All",G2078=sel_Category),OR(sel_Product="All",H2078=sel_Product),AND(S2078&gt;=m_From,S2078&lt;=m_To)),1,0)</f>
        <v/>
      </c>
      <c r="X2078" s="36">
        <f>IF(AND(OR(sel_Region="All",C2078=sel_Region),OR(sel_Country="All",D2078=sel_Country),OR(sel_Channel="All",E2078=sel_Channel),OR(sel_Category="All",G2078=sel_Category),OR(sel_Product="All",H2078=sel_Product),AND(S2078&gt;=m_From,S2078&lt;=m_To)),1,0)</f>
        <v/>
      </c>
      <c r="Y2078" s="36">
        <f>IF(AND(OR(sel_Region="All",C2078=sel_Region),OR(sel_Country="All",D2078=sel_Country),OR(sel_Channel="All",E2078=sel_Channel),OR(sel_Customer="All",F2078=sel_Customer),OR(sel_Product="All",H2078=sel_Product),AND(S2078&gt;=m_From,S2078&lt;=m_To)),1,0)</f>
        <v/>
      </c>
      <c r="Z2078" s="36">
        <f>IF(AND(OR(sel_Region="All",C2078=sel_Region),OR(sel_Country="All",D2078=sel_Country),OR(sel_Channel="All",E2078=sel_Channel),OR(sel_Customer="All",F2078=sel_Customer),OR(sel_Category="All",G2078=sel_Category),AND(S2078&gt;=m_From,S2078&lt;=m_To)),1,0)</f>
        <v/>
      </c>
      <c r="AA2078" s="36">
        <f>IF(AND(OR(sel_Region="All",C2078=sel_Region),OR(sel_Country="All",D2078=sel_Country),OR(sel_Channel="All",E2078=sel_Channel),OR(sel_Customer="All",F2078=sel_Customer),OR(sel_Category="All",G2078=sel_Category),OR(sel_Product="All",H2078=sel_Product)),1,0)</f>
        <v/>
      </c>
    </row>
    <row r="2079">
      <c r="A2079" s="36" t="inlineStr">
        <is>
          <t>02400</t>
        </is>
      </c>
      <c r="B2079" s="44" t="n">
        <v>46304</v>
      </c>
      <c r="C2079" s="36" t="inlineStr">
        <is>
          <t>Northern Europe</t>
        </is>
      </c>
      <c r="D2079" s="36" t="inlineStr">
        <is>
          <t>Sweden</t>
        </is>
      </c>
      <c r="E2079" s="36" t="inlineStr">
        <is>
          <t>Online Store</t>
        </is>
      </c>
      <c r="F2079" s="36" t="inlineStr">
        <is>
          <t>New</t>
        </is>
      </c>
      <c r="G2079" s="36" t="inlineStr">
        <is>
          <t>Hiking</t>
        </is>
      </c>
      <c r="H2079" s="36" t="inlineStr">
        <is>
          <t>Hiking Daypack 20L</t>
        </is>
      </c>
      <c r="I2079" s="36" t="n">
        <v>2</v>
      </c>
      <c r="J2079" s="39" t="n">
        <v>93.83</v>
      </c>
      <c r="K2079" s="45" t="n">
        <v>0.1</v>
      </c>
      <c r="L2079" s="39" t="n">
        <v>44.27</v>
      </c>
      <c r="M2079" s="39">
        <f>I2079*J2079*(1-K2079)</f>
        <v/>
      </c>
      <c r="N2079" s="39">
        <f>I2079*L2079</f>
        <v/>
      </c>
      <c r="O2079" s="39">
        <f>M2079-N2079</f>
        <v/>
      </c>
      <c r="P2079" s="38">
        <f>IF(M2079=0,0,O2079/M2079)</f>
        <v/>
      </c>
      <c r="Q2079" s="36">
        <f>YEAR(B2079)</f>
        <v/>
      </c>
      <c r="R2079" s="36">
        <f>"Q"&amp;ROUNDUP(MONTH(B2079)/3,0)</f>
        <v/>
      </c>
      <c r="S2079" s="36">
        <f>MONTH(B2079)</f>
        <v/>
      </c>
      <c r="T2079" s="36">
        <f>TEXT(B2079,"mmm")</f>
        <v/>
      </c>
      <c r="U2079" s="36">
        <f>IF(AND(OR(sel_Region="All",C2079=sel_Region),OR(sel_Country="All",D2079=sel_Country),OR(sel_Channel="All",E2079=sel_Channel),OR(sel_Customer="All",F2079=sel_Customer),OR(sel_Category="All",G2079=sel_Category),OR(sel_Product="All",H2079=sel_Product),AND(S2079&gt;=m_From,S2079&lt;=m_To)),1,0)</f>
        <v/>
      </c>
      <c r="V2079" s="36">
        <f>IF(AND(OR(sel_Region="All",C2079=sel_Region),OR(sel_Channel="All",E2079=sel_Channel),OR(sel_Customer="All",F2079=sel_Customer),OR(sel_Category="All",G2079=sel_Category),OR(sel_Product="All",H2079=sel_Product),AND(S2079&gt;=m_From,S2079&lt;=m_To)),1,0)</f>
        <v/>
      </c>
      <c r="W2079" s="36">
        <f>IF(AND(OR(sel_Region="All",C2079=sel_Region),OR(sel_Country="All",D2079=sel_Country),OR(sel_Customer="All",F2079=sel_Customer),OR(sel_Category="All",G2079=sel_Category),OR(sel_Product="All",H2079=sel_Product),AND(S2079&gt;=m_From,S2079&lt;=m_To)),1,0)</f>
        <v/>
      </c>
      <c r="X2079" s="36">
        <f>IF(AND(OR(sel_Region="All",C2079=sel_Region),OR(sel_Country="All",D2079=sel_Country),OR(sel_Channel="All",E2079=sel_Channel),OR(sel_Category="All",G2079=sel_Category),OR(sel_Product="All",H2079=sel_Product),AND(S2079&gt;=m_From,S2079&lt;=m_To)),1,0)</f>
        <v/>
      </c>
      <c r="Y2079" s="36">
        <f>IF(AND(OR(sel_Region="All",C2079=sel_Region),OR(sel_Country="All",D2079=sel_Country),OR(sel_Channel="All",E2079=sel_Channel),OR(sel_Customer="All",F2079=sel_Customer),OR(sel_Product="All",H2079=sel_Product),AND(S2079&gt;=m_From,S2079&lt;=m_To)),1,0)</f>
        <v/>
      </c>
      <c r="Z2079" s="36">
        <f>IF(AND(OR(sel_Region="All",C2079=sel_Region),OR(sel_Country="All",D2079=sel_Country),OR(sel_Channel="All",E2079=sel_Channel),OR(sel_Customer="All",F2079=sel_Customer),OR(sel_Category="All",G2079=sel_Category),AND(S2079&gt;=m_From,S2079&lt;=m_To)),1,0)</f>
        <v/>
      </c>
      <c r="AA2079" s="36">
        <f>IF(AND(OR(sel_Region="All",C2079=sel_Region),OR(sel_Country="All",D2079=sel_Country),OR(sel_Channel="All",E2079=sel_Channel),OR(sel_Customer="All",F2079=sel_Customer),OR(sel_Category="All",G2079=sel_Category),OR(sel_Product="All",H2079=sel_Product)),1,0)</f>
        <v/>
      </c>
    </row>
    <row r="2080">
      <c r="A2080" s="36" t="inlineStr">
        <is>
          <t>03816</t>
        </is>
      </c>
      <c r="B2080" s="44" t="n">
        <v>46304</v>
      </c>
      <c r="C2080" s="36" t="inlineStr">
        <is>
          <t>Central Europe</t>
        </is>
      </c>
      <c r="D2080" s="36" t="inlineStr">
        <is>
          <t>Germany</t>
        </is>
      </c>
      <c r="E2080" s="36" t="inlineStr">
        <is>
          <t>Online Store</t>
        </is>
      </c>
      <c r="F2080" s="36" t="inlineStr">
        <is>
          <t>New</t>
        </is>
      </c>
      <c r="G2080" s="36" t="inlineStr">
        <is>
          <t>Fitness</t>
        </is>
      </c>
      <c r="H2080" s="36" t="inlineStr">
        <is>
          <t>Recovery Roller</t>
        </is>
      </c>
      <c r="I2080" s="36" t="n">
        <v>1</v>
      </c>
      <c r="J2080" s="39" t="n">
        <v>36.32</v>
      </c>
      <c r="K2080" s="45" t="n">
        <v>0</v>
      </c>
      <c r="L2080" s="39" t="n">
        <v>13.6</v>
      </c>
      <c r="M2080" s="39">
        <f>I2080*J2080*(1-K2080)</f>
        <v/>
      </c>
      <c r="N2080" s="39">
        <f>I2080*L2080</f>
        <v/>
      </c>
      <c r="O2080" s="39">
        <f>M2080-N2080</f>
        <v/>
      </c>
      <c r="P2080" s="38">
        <f>IF(M2080=0,0,O2080/M2080)</f>
        <v/>
      </c>
      <c r="Q2080" s="36">
        <f>YEAR(B2080)</f>
        <v/>
      </c>
      <c r="R2080" s="36">
        <f>"Q"&amp;ROUNDUP(MONTH(B2080)/3,0)</f>
        <v/>
      </c>
      <c r="S2080" s="36">
        <f>MONTH(B2080)</f>
        <v/>
      </c>
      <c r="T2080" s="36">
        <f>TEXT(B2080,"mmm")</f>
        <v/>
      </c>
      <c r="U2080" s="36">
        <f>IF(AND(OR(sel_Region="All",C2080=sel_Region),OR(sel_Country="All",D2080=sel_Country),OR(sel_Channel="All",E2080=sel_Channel),OR(sel_Customer="All",F2080=sel_Customer),OR(sel_Category="All",G2080=sel_Category),OR(sel_Product="All",H2080=sel_Product),AND(S2080&gt;=m_From,S2080&lt;=m_To)),1,0)</f>
        <v/>
      </c>
      <c r="V2080" s="36">
        <f>IF(AND(OR(sel_Region="All",C2080=sel_Region),OR(sel_Channel="All",E2080=sel_Channel),OR(sel_Customer="All",F2080=sel_Customer),OR(sel_Category="All",G2080=sel_Category),OR(sel_Product="All",H2080=sel_Product),AND(S2080&gt;=m_From,S2080&lt;=m_To)),1,0)</f>
        <v/>
      </c>
      <c r="W2080" s="36">
        <f>IF(AND(OR(sel_Region="All",C2080=sel_Region),OR(sel_Country="All",D2080=sel_Country),OR(sel_Customer="All",F2080=sel_Customer),OR(sel_Category="All",G2080=sel_Category),OR(sel_Product="All",H2080=sel_Product),AND(S2080&gt;=m_From,S2080&lt;=m_To)),1,0)</f>
        <v/>
      </c>
      <c r="X2080" s="36">
        <f>IF(AND(OR(sel_Region="All",C2080=sel_Region),OR(sel_Country="All",D2080=sel_Country),OR(sel_Channel="All",E2080=sel_Channel),OR(sel_Category="All",G2080=sel_Category),OR(sel_Product="All",H2080=sel_Product),AND(S2080&gt;=m_From,S2080&lt;=m_To)),1,0)</f>
        <v/>
      </c>
      <c r="Y2080" s="36">
        <f>IF(AND(OR(sel_Region="All",C2080=sel_Region),OR(sel_Country="All",D2080=sel_Country),OR(sel_Channel="All",E2080=sel_Channel),OR(sel_Customer="All",F2080=sel_Customer),OR(sel_Product="All",H2080=sel_Product),AND(S2080&gt;=m_From,S2080&lt;=m_To)),1,0)</f>
        <v/>
      </c>
      <c r="Z2080" s="36">
        <f>IF(AND(OR(sel_Region="All",C2080=sel_Region),OR(sel_Country="All",D2080=sel_Country),OR(sel_Channel="All",E2080=sel_Channel),OR(sel_Customer="All",F2080=sel_Customer),OR(sel_Category="All",G2080=sel_Category),AND(S2080&gt;=m_From,S2080&lt;=m_To)),1,0)</f>
        <v/>
      </c>
      <c r="AA2080" s="36">
        <f>IF(AND(OR(sel_Region="All",C2080=sel_Region),OR(sel_Country="All",D2080=sel_Country),OR(sel_Channel="All",E2080=sel_Channel),OR(sel_Customer="All",F2080=sel_Customer),OR(sel_Category="All",G2080=sel_Category),OR(sel_Product="All",H2080=sel_Product)),1,0)</f>
        <v/>
      </c>
    </row>
    <row r="2081">
      <c r="A2081" s="36" t="inlineStr">
        <is>
          <t>04038</t>
        </is>
      </c>
      <c r="B2081" s="44" t="n">
        <v>46304</v>
      </c>
      <c r="C2081" s="36" t="inlineStr">
        <is>
          <t>Southern Europe</t>
        </is>
      </c>
      <c r="D2081" s="36" t="inlineStr">
        <is>
          <t>Italy</t>
        </is>
      </c>
      <c r="E2081" s="36" t="inlineStr">
        <is>
          <t>Online Store</t>
        </is>
      </c>
      <c r="F2081" s="36" t="inlineStr">
        <is>
          <t>Returning</t>
        </is>
      </c>
      <c r="G2081" s="36" t="inlineStr">
        <is>
          <t>Fitness</t>
        </is>
      </c>
      <c r="H2081" s="36" t="inlineStr">
        <is>
          <t>Weighted Vest</t>
        </is>
      </c>
      <c r="I2081" s="36" t="n">
        <v>2</v>
      </c>
      <c r="J2081" s="39" t="n">
        <v>125.56</v>
      </c>
      <c r="K2081" s="45" t="n">
        <v>0.1</v>
      </c>
      <c r="L2081" s="39" t="n">
        <v>67.26000000000001</v>
      </c>
      <c r="M2081" s="39">
        <f>I2081*J2081*(1-K2081)</f>
        <v/>
      </c>
      <c r="N2081" s="39">
        <f>I2081*L2081</f>
        <v/>
      </c>
      <c r="O2081" s="39">
        <f>M2081-N2081</f>
        <v/>
      </c>
      <c r="P2081" s="38">
        <f>IF(M2081=0,0,O2081/M2081)</f>
        <v/>
      </c>
      <c r="Q2081" s="36">
        <f>YEAR(B2081)</f>
        <v/>
      </c>
      <c r="R2081" s="36">
        <f>"Q"&amp;ROUNDUP(MONTH(B2081)/3,0)</f>
        <v/>
      </c>
      <c r="S2081" s="36">
        <f>MONTH(B2081)</f>
        <v/>
      </c>
      <c r="T2081" s="36">
        <f>TEXT(B2081,"mmm")</f>
        <v/>
      </c>
      <c r="U2081" s="36">
        <f>IF(AND(OR(sel_Region="All",C2081=sel_Region),OR(sel_Country="All",D2081=sel_Country),OR(sel_Channel="All",E2081=sel_Channel),OR(sel_Customer="All",F2081=sel_Customer),OR(sel_Category="All",G2081=sel_Category),OR(sel_Product="All",H2081=sel_Product),AND(S2081&gt;=m_From,S2081&lt;=m_To)),1,0)</f>
        <v/>
      </c>
      <c r="V2081" s="36">
        <f>IF(AND(OR(sel_Region="All",C2081=sel_Region),OR(sel_Channel="All",E2081=sel_Channel),OR(sel_Customer="All",F2081=sel_Customer),OR(sel_Category="All",G2081=sel_Category),OR(sel_Product="All",H2081=sel_Product),AND(S2081&gt;=m_From,S2081&lt;=m_To)),1,0)</f>
        <v/>
      </c>
      <c r="W2081" s="36">
        <f>IF(AND(OR(sel_Region="All",C2081=sel_Region),OR(sel_Country="All",D2081=sel_Country),OR(sel_Customer="All",F2081=sel_Customer),OR(sel_Category="All",G2081=sel_Category),OR(sel_Product="All",H2081=sel_Product),AND(S2081&gt;=m_From,S2081&lt;=m_To)),1,0)</f>
        <v/>
      </c>
      <c r="X2081" s="36">
        <f>IF(AND(OR(sel_Region="All",C2081=sel_Region),OR(sel_Country="All",D2081=sel_Country),OR(sel_Channel="All",E2081=sel_Channel),OR(sel_Category="All",G2081=sel_Category),OR(sel_Product="All",H2081=sel_Product),AND(S2081&gt;=m_From,S2081&lt;=m_To)),1,0)</f>
        <v/>
      </c>
      <c r="Y2081" s="36">
        <f>IF(AND(OR(sel_Region="All",C2081=sel_Region),OR(sel_Country="All",D2081=sel_Country),OR(sel_Channel="All",E2081=sel_Channel),OR(sel_Customer="All",F2081=sel_Customer),OR(sel_Product="All",H2081=sel_Product),AND(S2081&gt;=m_From,S2081&lt;=m_To)),1,0)</f>
        <v/>
      </c>
      <c r="Z2081" s="36">
        <f>IF(AND(OR(sel_Region="All",C2081=sel_Region),OR(sel_Country="All",D2081=sel_Country),OR(sel_Channel="All",E2081=sel_Channel),OR(sel_Customer="All",F2081=sel_Customer),OR(sel_Category="All",G2081=sel_Category),AND(S2081&gt;=m_From,S2081&lt;=m_To)),1,0)</f>
        <v/>
      </c>
      <c r="AA2081" s="36">
        <f>IF(AND(OR(sel_Region="All",C2081=sel_Region),OR(sel_Country="All",D2081=sel_Country),OR(sel_Channel="All",E2081=sel_Channel),OR(sel_Customer="All",F2081=sel_Customer),OR(sel_Category="All",G2081=sel_Category),OR(sel_Product="All",H2081=sel_Product)),1,0)</f>
        <v/>
      </c>
    </row>
    <row r="2082">
      <c r="A2082" s="36" t="inlineStr">
        <is>
          <t>04686</t>
        </is>
      </c>
      <c r="B2082" s="44" t="n">
        <v>46304</v>
      </c>
      <c r="C2082" s="36" t="inlineStr">
        <is>
          <t>Southern Europe</t>
        </is>
      </c>
      <c r="D2082" s="36" t="inlineStr">
        <is>
          <t>Italy</t>
        </is>
      </c>
      <c r="E2082" s="36" t="inlineStr">
        <is>
          <t>Marketplace</t>
        </is>
      </c>
      <c r="F2082" s="36" t="inlineStr">
        <is>
          <t>New</t>
        </is>
      </c>
      <c r="G2082" s="36" t="inlineStr">
        <is>
          <t>Camping</t>
        </is>
      </c>
      <c r="H2082" s="36" t="inlineStr">
        <is>
          <t>Compact Sleeping Bag</t>
        </is>
      </c>
      <c r="I2082" s="36" t="n">
        <v>2</v>
      </c>
      <c r="J2082" s="39" t="n">
        <v>124.91</v>
      </c>
      <c r="K2082" s="45" t="n">
        <v>0</v>
      </c>
      <c r="L2082" s="39" t="n">
        <v>60.33</v>
      </c>
      <c r="M2082" s="39">
        <f>I2082*J2082*(1-K2082)</f>
        <v/>
      </c>
      <c r="N2082" s="39">
        <f>I2082*L2082</f>
        <v/>
      </c>
      <c r="O2082" s="39">
        <f>M2082-N2082</f>
        <v/>
      </c>
      <c r="P2082" s="38">
        <f>IF(M2082=0,0,O2082/M2082)</f>
        <v/>
      </c>
      <c r="Q2082" s="36">
        <f>YEAR(B2082)</f>
        <v/>
      </c>
      <c r="R2082" s="36">
        <f>"Q"&amp;ROUNDUP(MONTH(B2082)/3,0)</f>
        <v/>
      </c>
      <c r="S2082" s="36">
        <f>MONTH(B2082)</f>
        <v/>
      </c>
      <c r="T2082" s="36">
        <f>TEXT(B2082,"mmm")</f>
        <v/>
      </c>
      <c r="U2082" s="36">
        <f>IF(AND(OR(sel_Region="All",C2082=sel_Region),OR(sel_Country="All",D2082=sel_Country),OR(sel_Channel="All",E2082=sel_Channel),OR(sel_Customer="All",F2082=sel_Customer),OR(sel_Category="All",G2082=sel_Category),OR(sel_Product="All",H2082=sel_Product),AND(S2082&gt;=m_From,S2082&lt;=m_To)),1,0)</f>
        <v/>
      </c>
      <c r="V2082" s="36">
        <f>IF(AND(OR(sel_Region="All",C2082=sel_Region),OR(sel_Channel="All",E2082=sel_Channel),OR(sel_Customer="All",F2082=sel_Customer),OR(sel_Category="All",G2082=sel_Category),OR(sel_Product="All",H2082=sel_Product),AND(S2082&gt;=m_From,S2082&lt;=m_To)),1,0)</f>
        <v/>
      </c>
      <c r="W2082" s="36">
        <f>IF(AND(OR(sel_Region="All",C2082=sel_Region),OR(sel_Country="All",D2082=sel_Country),OR(sel_Customer="All",F2082=sel_Customer),OR(sel_Category="All",G2082=sel_Category),OR(sel_Product="All",H2082=sel_Product),AND(S2082&gt;=m_From,S2082&lt;=m_To)),1,0)</f>
        <v/>
      </c>
      <c r="X2082" s="36">
        <f>IF(AND(OR(sel_Region="All",C2082=sel_Region),OR(sel_Country="All",D2082=sel_Country),OR(sel_Channel="All",E2082=sel_Channel),OR(sel_Category="All",G2082=sel_Category),OR(sel_Product="All",H2082=sel_Product),AND(S2082&gt;=m_From,S2082&lt;=m_To)),1,0)</f>
        <v/>
      </c>
      <c r="Y2082" s="36">
        <f>IF(AND(OR(sel_Region="All",C2082=sel_Region),OR(sel_Country="All",D2082=sel_Country),OR(sel_Channel="All",E2082=sel_Channel),OR(sel_Customer="All",F2082=sel_Customer),OR(sel_Product="All",H2082=sel_Product),AND(S2082&gt;=m_From,S2082&lt;=m_To)),1,0)</f>
        <v/>
      </c>
      <c r="Z2082" s="36">
        <f>IF(AND(OR(sel_Region="All",C2082=sel_Region),OR(sel_Country="All",D2082=sel_Country),OR(sel_Channel="All",E2082=sel_Channel),OR(sel_Customer="All",F2082=sel_Customer),OR(sel_Category="All",G2082=sel_Category),AND(S2082&gt;=m_From,S2082&lt;=m_To)),1,0)</f>
        <v/>
      </c>
      <c r="AA2082" s="36">
        <f>IF(AND(OR(sel_Region="All",C2082=sel_Region),OR(sel_Country="All",D2082=sel_Country),OR(sel_Channel="All",E2082=sel_Channel),OR(sel_Customer="All",F2082=sel_Customer),OR(sel_Category="All",G2082=sel_Category),OR(sel_Product="All",H2082=sel_Product)),1,0)</f>
        <v/>
      </c>
    </row>
    <row r="2083">
      <c r="A2083" s="36" t="inlineStr">
        <is>
          <t>05076</t>
        </is>
      </c>
      <c r="B2083" s="44" t="n">
        <v>46304</v>
      </c>
      <c r="C2083" s="36" t="inlineStr">
        <is>
          <t>Central Europe</t>
        </is>
      </c>
      <c r="D2083" s="36" t="inlineStr">
        <is>
          <t>Germany</t>
        </is>
      </c>
      <c r="E2083" s="36" t="inlineStr">
        <is>
          <t>Online Store</t>
        </is>
      </c>
      <c r="F2083" s="36" t="inlineStr">
        <is>
          <t>New</t>
        </is>
      </c>
      <c r="G2083" s="36" t="inlineStr">
        <is>
          <t>Camping</t>
        </is>
      </c>
      <c r="H2083" s="36" t="inlineStr">
        <is>
          <t>Trail Tent 2P</t>
        </is>
      </c>
      <c r="I2083" s="36" t="n">
        <v>1</v>
      </c>
      <c r="J2083" s="39" t="n">
        <v>199.32</v>
      </c>
      <c r="K2083" s="45" t="n">
        <v>0</v>
      </c>
      <c r="L2083" s="39" t="n">
        <v>103.83</v>
      </c>
      <c r="M2083" s="39">
        <f>I2083*J2083*(1-K2083)</f>
        <v/>
      </c>
      <c r="N2083" s="39">
        <f>I2083*L2083</f>
        <v/>
      </c>
      <c r="O2083" s="39">
        <f>M2083-N2083</f>
        <v/>
      </c>
      <c r="P2083" s="38">
        <f>IF(M2083=0,0,O2083/M2083)</f>
        <v/>
      </c>
      <c r="Q2083" s="36">
        <f>YEAR(B2083)</f>
        <v/>
      </c>
      <c r="R2083" s="36">
        <f>"Q"&amp;ROUNDUP(MONTH(B2083)/3,0)</f>
        <v/>
      </c>
      <c r="S2083" s="36">
        <f>MONTH(B2083)</f>
        <v/>
      </c>
      <c r="T2083" s="36">
        <f>TEXT(B2083,"mmm")</f>
        <v/>
      </c>
      <c r="U2083" s="36">
        <f>IF(AND(OR(sel_Region="All",C2083=sel_Region),OR(sel_Country="All",D2083=sel_Country),OR(sel_Channel="All",E2083=sel_Channel),OR(sel_Customer="All",F2083=sel_Customer),OR(sel_Category="All",G2083=sel_Category),OR(sel_Product="All",H2083=sel_Product),AND(S2083&gt;=m_From,S2083&lt;=m_To)),1,0)</f>
        <v/>
      </c>
      <c r="V2083" s="36">
        <f>IF(AND(OR(sel_Region="All",C2083=sel_Region),OR(sel_Channel="All",E2083=sel_Channel),OR(sel_Customer="All",F2083=sel_Customer),OR(sel_Category="All",G2083=sel_Category),OR(sel_Product="All",H2083=sel_Product),AND(S2083&gt;=m_From,S2083&lt;=m_To)),1,0)</f>
        <v/>
      </c>
      <c r="W2083" s="36">
        <f>IF(AND(OR(sel_Region="All",C2083=sel_Region),OR(sel_Country="All",D2083=sel_Country),OR(sel_Customer="All",F2083=sel_Customer),OR(sel_Category="All",G2083=sel_Category),OR(sel_Product="All",H2083=sel_Product),AND(S2083&gt;=m_From,S2083&lt;=m_To)),1,0)</f>
        <v/>
      </c>
      <c r="X2083" s="36">
        <f>IF(AND(OR(sel_Region="All",C2083=sel_Region),OR(sel_Country="All",D2083=sel_Country),OR(sel_Channel="All",E2083=sel_Channel),OR(sel_Category="All",G2083=sel_Category),OR(sel_Product="All",H2083=sel_Product),AND(S2083&gt;=m_From,S2083&lt;=m_To)),1,0)</f>
        <v/>
      </c>
      <c r="Y2083" s="36">
        <f>IF(AND(OR(sel_Region="All",C2083=sel_Region),OR(sel_Country="All",D2083=sel_Country),OR(sel_Channel="All",E2083=sel_Channel),OR(sel_Customer="All",F2083=sel_Customer),OR(sel_Product="All",H2083=sel_Product),AND(S2083&gt;=m_From,S2083&lt;=m_To)),1,0)</f>
        <v/>
      </c>
      <c r="Z2083" s="36">
        <f>IF(AND(OR(sel_Region="All",C2083=sel_Region),OR(sel_Country="All",D2083=sel_Country),OR(sel_Channel="All",E2083=sel_Channel),OR(sel_Customer="All",F2083=sel_Customer),OR(sel_Category="All",G2083=sel_Category),AND(S2083&gt;=m_From,S2083&lt;=m_To)),1,0)</f>
        <v/>
      </c>
      <c r="AA2083" s="36">
        <f>IF(AND(OR(sel_Region="All",C2083=sel_Region),OR(sel_Country="All",D2083=sel_Country),OR(sel_Channel="All",E2083=sel_Channel),OR(sel_Customer="All",F2083=sel_Customer),OR(sel_Category="All",G2083=sel_Category),OR(sel_Product="All",H2083=sel_Product)),1,0)</f>
        <v/>
      </c>
    </row>
    <row r="2084">
      <c r="A2084" s="36" t="inlineStr">
        <is>
          <t>01339</t>
        </is>
      </c>
      <c r="B2084" s="44" t="n">
        <v>46305</v>
      </c>
      <c r="C2084" s="36" t="inlineStr">
        <is>
          <t>Central Europe</t>
        </is>
      </c>
      <c r="D2084" s="36" t="inlineStr">
        <is>
          <t>Switzerland</t>
        </is>
      </c>
      <c r="E2084" s="36" t="inlineStr">
        <is>
          <t>Online Store</t>
        </is>
      </c>
      <c r="F2084" s="36" t="inlineStr">
        <is>
          <t>Returning</t>
        </is>
      </c>
      <c r="G2084" s="36" t="inlineStr">
        <is>
          <t>Camping</t>
        </is>
      </c>
      <c r="H2084" s="36" t="inlineStr">
        <is>
          <t>Alpine Tent 4P</t>
        </is>
      </c>
      <c r="I2084" s="36" t="n">
        <v>4</v>
      </c>
      <c r="J2084" s="39" t="n">
        <v>337.38</v>
      </c>
      <c r="K2084" s="45" t="n">
        <v>0.05</v>
      </c>
      <c r="L2084" s="39" t="n">
        <v>194.94</v>
      </c>
      <c r="M2084" s="39">
        <f>I2084*J2084*(1-K2084)</f>
        <v/>
      </c>
      <c r="N2084" s="39">
        <f>I2084*L2084</f>
        <v/>
      </c>
      <c r="O2084" s="39">
        <f>M2084-N2084</f>
        <v/>
      </c>
      <c r="P2084" s="38">
        <f>IF(M2084=0,0,O2084/M2084)</f>
        <v/>
      </c>
      <c r="Q2084" s="36">
        <f>YEAR(B2084)</f>
        <v/>
      </c>
      <c r="R2084" s="36">
        <f>"Q"&amp;ROUNDUP(MONTH(B2084)/3,0)</f>
        <v/>
      </c>
      <c r="S2084" s="36">
        <f>MONTH(B2084)</f>
        <v/>
      </c>
      <c r="T2084" s="36">
        <f>TEXT(B2084,"mmm")</f>
        <v/>
      </c>
      <c r="U2084" s="36">
        <f>IF(AND(OR(sel_Region="All",C2084=sel_Region),OR(sel_Country="All",D2084=sel_Country),OR(sel_Channel="All",E2084=sel_Channel),OR(sel_Customer="All",F2084=sel_Customer),OR(sel_Category="All",G2084=sel_Category),OR(sel_Product="All",H2084=sel_Product),AND(S2084&gt;=m_From,S2084&lt;=m_To)),1,0)</f>
        <v/>
      </c>
      <c r="V2084" s="36">
        <f>IF(AND(OR(sel_Region="All",C2084=sel_Region),OR(sel_Channel="All",E2084=sel_Channel),OR(sel_Customer="All",F2084=sel_Customer),OR(sel_Category="All",G2084=sel_Category),OR(sel_Product="All",H2084=sel_Product),AND(S2084&gt;=m_From,S2084&lt;=m_To)),1,0)</f>
        <v/>
      </c>
      <c r="W2084" s="36">
        <f>IF(AND(OR(sel_Region="All",C2084=sel_Region),OR(sel_Country="All",D2084=sel_Country),OR(sel_Customer="All",F2084=sel_Customer),OR(sel_Category="All",G2084=sel_Category),OR(sel_Product="All",H2084=sel_Product),AND(S2084&gt;=m_From,S2084&lt;=m_To)),1,0)</f>
        <v/>
      </c>
      <c r="X2084" s="36">
        <f>IF(AND(OR(sel_Region="All",C2084=sel_Region),OR(sel_Country="All",D2084=sel_Country),OR(sel_Channel="All",E2084=sel_Channel),OR(sel_Category="All",G2084=sel_Category),OR(sel_Product="All",H2084=sel_Product),AND(S2084&gt;=m_From,S2084&lt;=m_To)),1,0)</f>
        <v/>
      </c>
      <c r="Y2084" s="36">
        <f>IF(AND(OR(sel_Region="All",C2084=sel_Region),OR(sel_Country="All",D2084=sel_Country),OR(sel_Channel="All",E2084=sel_Channel),OR(sel_Customer="All",F2084=sel_Customer),OR(sel_Product="All",H2084=sel_Product),AND(S2084&gt;=m_From,S2084&lt;=m_To)),1,0)</f>
        <v/>
      </c>
      <c r="Z2084" s="36">
        <f>IF(AND(OR(sel_Region="All",C2084=sel_Region),OR(sel_Country="All",D2084=sel_Country),OR(sel_Channel="All",E2084=sel_Channel),OR(sel_Customer="All",F2084=sel_Customer),OR(sel_Category="All",G2084=sel_Category),AND(S2084&gt;=m_From,S2084&lt;=m_To)),1,0)</f>
        <v/>
      </c>
      <c r="AA2084" s="36">
        <f>IF(AND(OR(sel_Region="All",C2084=sel_Region),OR(sel_Country="All",D2084=sel_Country),OR(sel_Channel="All",E2084=sel_Channel),OR(sel_Customer="All",F2084=sel_Customer),OR(sel_Category="All",G2084=sel_Category),OR(sel_Product="All",H2084=sel_Product)),1,0)</f>
        <v/>
      </c>
    </row>
    <row r="2085">
      <c r="A2085" s="36" t="inlineStr">
        <is>
          <t>01884</t>
        </is>
      </c>
      <c r="B2085" s="44" t="n">
        <v>46305</v>
      </c>
      <c r="C2085" s="36" t="inlineStr">
        <is>
          <t>Northern Europe</t>
        </is>
      </c>
      <c r="D2085" s="36" t="inlineStr">
        <is>
          <t>Sweden</t>
        </is>
      </c>
      <c r="E2085" s="36" t="inlineStr">
        <is>
          <t>Online Store</t>
        </is>
      </c>
      <c r="F2085" s="36" t="inlineStr">
        <is>
          <t>Business</t>
        </is>
      </c>
      <c r="G2085" s="36" t="inlineStr">
        <is>
          <t>Camping</t>
        </is>
      </c>
      <c r="H2085" s="36" t="inlineStr">
        <is>
          <t>Portable Camp Stove</t>
        </is>
      </c>
      <c r="I2085" s="36" t="n">
        <v>3</v>
      </c>
      <c r="J2085" s="39" t="n">
        <v>82.18000000000001</v>
      </c>
      <c r="K2085" s="45" t="n">
        <v>0.1</v>
      </c>
      <c r="L2085" s="39" t="n">
        <v>39.82</v>
      </c>
      <c r="M2085" s="39">
        <f>I2085*J2085*(1-K2085)</f>
        <v/>
      </c>
      <c r="N2085" s="39">
        <f>I2085*L2085</f>
        <v/>
      </c>
      <c r="O2085" s="39">
        <f>M2085-N2085</f>
        <v/>
      </c>
      <c r="P2085" s="38">
        <f>IF(M2085=0,0,O2085/M2085)</f>
        <v/>
      </c>
      <c r="Q2085" s="36">
        <f>YEAR(B2085)</f>
        <v/>
      </c>
      <c r="R2085" s="36">
        <f>"Q"&amp;ROUNDUP(MONTH(B2085)/3,0)</f>
        <v/>
      </c>
      <c r="S2085" s="36">
        <f>MONTH(B2085)</f>
        <v/>
      </c>
      <c r="T2085" s="36">
        <f>TEXT(B2085,"mmm")</f>
        <v/>
      </c>
      <c r="U2085" s="36">
        <f>IF(AND(OR(sel_Region="All",C2085=sel_Region),OR(sel_Country="All",D2085=sel_Country),OR(sel_Channel="All",E2085=sel_Channel),OR(sel_Customer="All",F2085=sel_Customer),OR(sel_Category="All",G2085=sel_Category),OR(sel_Product="All",H2085=sel_Product),AND(S2085&gt;=m_From,S2085&lt;=m_To)),1,0)</f>
        <v/>
      </c>
      <c r="V2085" s="36">
        <f>IF(AND(OR(sel_Region="All",C2085=sel_Region),OR(sel_Channel="All",E2085=sel_Channel),OR(sel_Customer="All",F2085=sel_Customer),OR(sel_Category="All",G2085=sel_Category),OR(sel_Product="All",H2085=sel_Product),AND(S2085&gt;=m_From,S2085&lt;=m_To)),1,0)</f>
        <v/>
      </c>
      <c r="W2085" s="36">
        <f>IF(AND(OR(sel_Region="All",C2085=sel_Region),OR(sel_Country="All",D2085=sel_Country),OR(sel_Customer="All",F2085=sel_Customer),OR(sel_Category="All",G2085=sel_Category),OR(sel_Product="All",H2085=sel_Product),AND(S2085&gt;=m_From,S2085&lt;=m_To)),1,0)</f>
        <v/>
      </c>
      <c r="X2085" s="36">
        <f>IF(AND(OR(sel_Region="All",C2085=sel_Region),OR(sel_Country="All",D2085=sel_Country),OR(sel_Channel="All",E2085=sel_Channel),OR(sel_Category="All",G2085=sel_Category),OR(sel_Product="All",H2085=sel_Product),AND(S2085&gt;=m_From,S2085&lt;=m_To)),1,0)</f>
        <v/>
      </c>
      <c r="Y2085" s="36">
        <f>IF(AND(OR(sel_Region="All",C2085=sel_Region),OR(sel_Country="All",D2085=sel_Country),OR(sel_Channel="All",E2085=sel_Channel),OR(sel_Customer="All",F2085=sel_Customer),OR(sel_Product="All",H2085=sel_Product),AND(S2085&gt;=m_From,S2085&lt;=m_To)),1,0)</f>
        <v/>
      </c>
      <c r="Z2085" s="36">
        <f>IF(AND(OR(sel_Region="All",C2085=sel_Region),OR(sel_Country="All",D2085=sel_Country),OR(sel_Channel="All",E2085=sel_Channel),OR(sel_Customer="All",F2085=sel_Customer),OR(sel_Category="All",G2085=sel_Category),AND(S2085&gt;=m_From,S2085&lt;=m_To)),1,0)</f>
        <v/>
      </c>
      <c r="AA2085" s="36">
        <f>IF(AND(OR(sel_Region="All",C2085=sel_Region),OR(sel_Country="All",D2085=sel_Country),OR(sel_Channel="All",E2085=sel_Channel),OR(sel_Customer="All",F2085=sel_Customer),OR(sel_Category="All",G2085=sel_Category),OR(sel_Product="All",H2085=sel_Product)),1,0)</f>
        <v/>
      </c>
    </row>
    <row r="2086">
      <c r="A2086" s="36" t="inlineStr">
        <is>
          <t>03568</t>
        </is>
      </c>
      <c r="B2086" s="44" t="n">
        <v>46305</v>
      </c>
      <c r="C2086" s="36" t="inlineStr">
        <is>
          <t>Southern Europe</t>
        </is>
      </c>
      <c r="D2086" s="36" t="inlineStr">
        <is>
          <t>Italy</t>
        </is>
      </c>
      <c r="E2086" s="36" t="inlineStr">
        <is>
          <t>Corporate</t>
        </is>
      </c>
      <c r="F2086" s="36" t="inlineStr">
        <is>
          <t>New</t>
        </is>
      </c>
      <c r="G2086" s="36" t="inlineStr">
        <is>
          <t>Hiking</t>
        </is>
      </c>
      <c r="H2086" s="36" t="inlineStr">
        <is>
          <t>Trekking Poles</t>
        </is>
      </c>
      <c r="I2086" s="36" t="n">
        <v>15</v>
      </c>
      <c r="J2086" s="39" t="n">
        <v>70.25</v>
      </c>
      <c r="K2086" s="45" t="n">
        <v>0.1</v>
      </c>
      <c r="L2086" s="39" t="n">
        <v>32.19</v>
      </c>
      <c r="M2086" s="39">
        <f>I2086*J2086*(1-K2086)</f>
        <v/>
      </c>
      <c r="N2086" s="39">
        <f>I2086*L2086</f>
        <v/>
      </c>
      <c r="O2086" s="39">
        <f>M2086-N2086</f>
        <v/>
      </c>
      <c r="P2086" s="38">
        <f>IF(M2086=0,0,O2086/M2086)</f>
        <v/>
      </c>
      <c r="Q2086" s="36">
        <f>YEAR(B2086)</f>
        <v/>
      </c>
      <c r="R2086" s="36">
        <f>"Q"&amp;ROUNDUP(MONTH(B2086)/3,0)</f>
        <v/>
      </c>
      <c r="S2086" s="36">
        <f>MONTH(B2086)</f>
        <v/>
      </c>
      <c r="T2086" s="36">
        <f>TEXT(B2086,"mmm")</f>
        <v/>
      </c>
      <c r="U2086" s="36">
        <f>IF(AND(OR(sel_Region="All",C2086=sel_Region),OR(sel_Country="All",D2086=sel_Country),OR(sel_Channel="All",E2086=sel_Channel),OR(sel_Customer="All",F2086=sel_Customer),OR(sel_Category="All",G2086=sel_Category),OR(sel_Product="All",H2086=sel_Product),AND(S2086&gt;=m_From,S2086&lt;=m_To)),1,0)</f>
        <v/>
      </c>
      <c r="V2086" s="36">
        <f>IF(AND(OR(sel_Region="All",C2086=sel_Region),OR(sel_Channel="All",E2086=sel_Channel),OR(sel_Customer="All",F2086=sel_Customer),OR(sel_Category="All",G2086=sel_Category),OR(sel_Product="All",H2086=sel_Product),AND(S2086&gt;=m_From,S2086&lt;=m_To)),1,0)</f>
        <v/>
      </c>
      <c r="W2086" s="36">
        <f>IF(AND(OR(sel_Region="All",C2086=sel_Region),OR(sel_Country="All",D2086=sel_Country),OR(sel_Customer="All",F2086=sel_Customer),OR(sel_Category="All",G2086=sel_Category),OR(sel_Product="All",H2086=sel_Product),AND(S2086&gt;=m_From,S2086&lt;=m_To)),1,0)</f>
        <v/>
      </c>
      <c r="X2086" s="36">
        <f>IF(AND(OR(sel_Region="All",C2086=sel_Region),OR(sel_Country="All",D2086=sel_Country),OR(sel_Channel="All",E2086=sel_Channel),OR(sel_Category="All",G2086=sel_Category),OR(sel_Product="All",H2086=sel_Product),AND(S2086&gt;=m_From,S2086&lt;=m_To)),1,0)</f>
        <v/>
      </c>
      <c r="Y2086" s="36">
        <f>IF(AND(OR(sel_Region="All",C2086=sel_Region),OR(sel_Country="All",D2086=sel_Country),OR(sel_Channel="All",E2086=sel_Channel),OR(sel_Customer="All",F2086=sel_Customer),OR(sel_Product="All",H2086=sel_Product),AND(S2086&gt;=m_From,S2086&lt;=m_To)),1,0)</f>
        <v/>
      </c>
      <c r="Z2086" s="36">
        <f>IF(AND(OR(sel_Region="All",C2086=sel_Region),OR(sel_Country="All",D2086=sel_Country),OR(sel_Channel="All",E2086=sel_Channel),OR(sel_Customer="All",F2086=sel_Customer),OR(sel_Category="All",G2086=sel_Category),AND(S2086&gt;=m_From,S2086&lt;=m_To)),1,0)</f>
        <v/>
      </c>
      <c r="AA2086" s="36">
        <f>IF(AND(OR(sel_Region="All",C2086=sel_Region),OR(sel_Country="All",D2086=sel_Country),OR(sel_Channel="All",E2086=sel_Channel),OR(sel_Customer="All",F2086=sel_Customer),OR(sel_Category="All",G2086=sel_Category),OR(sel_Product="All",H2086=sel_Product)),1,0)</f>
        <v/>
      </c>
    </row>
    <row r="2087">
      <c r="A2087" s="36" t="inlineStr">
        <is>
          <t>04171</t>
        </is>
      </c>
      <c r="B2087" s="44" t="n">
        <v>46305</v>
      </c>
      <c r="C2087" s="36" t="inlineStr">
        <is>
          <t>Western Europe</t>
        </is>
      </c>
      <c r="D2087" s="36" t="inlineStr">
        <is>
          <t>Netherlands</t>
        </is>
      </c>
      <c r="E2087" s="36" t="inlineStr">
        <is>
          <t>Retail Partners</t>
        </is>
      </c>
      <c r="F2087" s="36" t="inlineStr">
        <is>
          <t>New</t>
        </is>
      </c>
      <c r="G2087" s="36" t="inlineStr">
        <is>
          <t>Travel</t>
        </is>
      </c>
      <c r="H2087" s="36" t="inlineStr">
        <is>
          <t>Insulated Bottle</t>
        </is>
      </c>
      <c r="I2087" s="36" t="n">
        <v>2</v>
      </c>
      <c r="J2087" s="39" t="n">
        <v>35.36</v>
      </c>
      <c r="K2087" s="45" t="n">
        <v>0</v>
      </c>
      <c r="L2087" s="39" t="n">
        <v>13.49</v>
      </c>
      <c r="M2087" s="39">
        <f>I2087*J2087*(1-K2087)</f>
        <v/>
      </c>
      <c r="N2087" s="39">
        <f>I2087*L2087</f>
        <v/>
      </c>
      <c r="O2087" s="39">
        <f>M2087-N2087</f>
        <v/>
      </c>
      <c r="P2087" s="38">
        <f>IF(M2087=0,0,O2087/M2087)</f>
        <v/>
      </c>
      <c r="Q2087" s="36">
        <f>YEAR(B2087)</f>
        <v/>
      </c>
      <c r="R2087" s="36">
        <f>"Q"&amp;ROUNDUP(MONTH(B2087)/3,0)</f>
        <v/>
      </c>
      <c r="S2087" s="36">
        <f>MONTH(B2087)</f>
        <v/>
      </c>
      <c r="T2087" s="36">
        <f>TEXT(B2087,"mmm")</f>
        <v/>
      </c>
      <c r="U2087" s="36">
        <f>IF(AND(OR(sel_Region="All",C2087=sel_Region),OR(sel_Country="All",D2087=sel_Country),OR(sel_Channel="All",E2087=sel_Channel),OR(sel_Customer="All",F2087=sel_Customer),OR(sel_Category="All",G2087=sel_Category),OR(sel_Product="All",H2087=sel_Product),AND(S2087&gt;=m_From,S2087&lt;=m_To)),1,0)</f>
        <v/>
      </c>
      <c r="V2087" s="36">
        <f>IF(AND(OR(sel_Region="All",C2087=sel_Region),OR(sel_Channel="All",E2087=sel_Channel),OR(sel_Customer="All",F2087=sel_Customer),OR(sel_Category="All",G2087=sel_Category),OR(sel_Product="All",H2087=sel_Product),AND(S2087&gt;=m_From,S2087&lt;=m_To)),1,0)</f>
        <v/>
      </c>
      <c r="W2087" s="36">
        <f>IF(AND(OR(sel_Region="All",C2087=sel_Region),OR(sel_Country="All",D2087=sel_Country),OR(sel_Customer="All",F2087=sel_Customer),OR(sel_Category="All",G2087=sel_Category),OR(sel_Product="All",H2087=sel_Product),AND(S2087&gt;=m_From,S2087&lt;=m_To)),1,0)</f>
        <v/>
      </c>
      <c r="X2087" s="36">
        <f>IF(AND(OR(sel_Region="All",C2087=sel_Region),OR(sel_Country="All",D2087=sel_Country),OR(sel_Channel="All",E2087=sel_Channel),OR(sel_Category="All",G2087=sel_Category),OR(sel_Product="All",H2087=sel_Product),AND(S2087&gt;=m_From,S2087&lt;=m_To)),1,0)</f>
        <v/>
      </c>
      <c r="Y2087" s="36">
        <f>IF(AND(OR(sel_Region="All",C2087=sel_Region),OR(sel_Country="All",D2087=sel_Country),OR(sel_Channel="All",E2087=sel_Channel),OR(sel_Customer="All",F2087=sel_Customer),OR(sel_Product="All",H2087=sel_Product),AND(S2087&gt;=m_From,S2087&lt;=m_To)),1,0)</f>
        <v/>
      </c>
      <c r="Z2087" s="36">
        <f>IF(AND(OR(sel_Region="All",C2087=sel_Region),OR(sel_Country="All",D2087=sel_Country),OR(sel_Channel="All",E2087=sel_Channel),OR(sel_Customer="All",F2087=sel_Customer),OR(sel_Category="All",G2087=sel_Category),AND(S2087&gt;=m_From,S2087&lt;=m_To)),1,0)</f>
        <v/>
      </c>
      <c r="AA2087" s="36">
        <f>IF(AND(OR(sel_Region="All",C2087=sel_Region),OR(sel_Country="All",D2087=sel_Country),OR(sel_Channel="All",E2087=sel_Channel),OR(sel_Customer="All",F2087=sel_Customer),OR(sel_Category="All",G2087=sel_Category),OR(sel_Product="All",H2087=sel_Product)),1,0)</f>
        <v/>
      </c>
    </row>
    <row r="2088">
      <c r="A2088" s="36" t="inlineStr">
        <is>
          <t>04477</t>
        </is>
      </c>
      <c r="B2088" s="44" t="n">
        <v>46305</v>
      </c>
      <c r="C2088" s="36" t="inlineStr">
        <is>
          <t>Northern Europe</t>
        </is>
      </c>
      <c r="D2088" s="36" t="inlineStr">
        <is>
          <t>Denmark</t>
        </is>
      </c>
      <c r="E2088" s="36" t="inlineStr">
        <is>
          <t>Retail Partners</t>
        </is>
      </c>
      <c r="F2088" s="36" t="inlineStr">
        <is>
          <t>New</t>
        </is>
      </c>
      <c r="G2088" s="36" t="inlineStr">
        <is>
          <t>Travel</t>
        </is>
      </c>
      <c r="H2088" s="36" t="inlineStr">
        <is>
          <t>Packing Cube Set</t>
        </is>
      </c>
      <c r="I2088" s="36" t="n">
        <v>1</v>
      </c>
      <c r="J2088" s="39" t="n">
        <v>46.01</v>
      </c>
      <c r="K2088" s="45" t="n">
        <v>0</v>
      </c>
      <c r="L2088" s="39" t="n">
        <v>18.24</v>
      </c>
      <c r="M2088" s="39">
        <f>I2088*J2088*(1-K2088)</f>
        <v/>
      </c>
      <c r="N2088" s="39">
        <f>I2088*L2088</f>
        <v/>
      </c>
      <c r="O2088" s="39">
        <f>M2088-N2088</f>
        <v/>
      </c>
      <c r="P2088" s="38">
        <f>IF(M2088=0,0,O2088/M2088)</f>
        <v/>
      </c>
      <c r="Q2088" s="36">
        <f>YEAR(B2088)</f>
        <v/>
      </c>
      <c r="R2088" s="36">
        <f>"Q"&amp;ROUNDUP(MONTH(B2088)/3,0)</f>
        <v/>
      </c>
      <c r="S2088" s="36">
        <f>MONTH(B2088)</f>
        <v/>
      </c>
      <c r="T2088" s="36">
        <f>TEXT(B2088,"mmm")</f>
        <v/>
      </c>
      <c r="U2088" s="36">
        <f>IF(AND(OR(sel_Region="All",C2088=sel_Region),OR(sel_Country="All",D2088=sel_Country),OR(sel_Channel="All",E2088=sel_Channel),OR(sel_Customer="All",F2088=sel_Customer),OR(sel_Category="All",G2088=sel_Category),OR(sel_Product="All",H2088=sel_Product),AND(S2088&gt;=m_From,S2088&lt;=m_To)),1,0)</f>
        <v/>
      </c>
      <c r="V2088" s="36">
        <f>IF(AND(OR(sel_Region="All",C2088=sel_Region),OR(sel_Channel="All",E2088=sel_Channel),OR(sel_Customer="All",F2088=sel_Customer),OR(sel_Category="All",G2088=sel_Category),OR(sel_Product="All",H2088=sel_Product),AND(S2088&gt;=m_From,S2088&lt;=m_To)),1,0)</f>
        <v/>
      </c>
      <c r="W2088" s="36">
        <f>IF(AND(OR(sel_Region="All",C2088=sel_Region),OR(sel_Country="All",D2088=sel_Country),OR(sel_Customer="All",F2088=sel_Customer),OR(sel_Category="All",G2088=sel_Category),OR(sel_Product="All",H2088=sel_Product),AND(S2088&gt;=m_From,S2088&lt;=m_To)),1,0)</f>
        <v/>
      </c>
      <c r="X2088" s="36">
        <f>IF(AND(OR(sel_Region="All",C2088=sel_Region),OR(sel_Country="All",D2088=sel_Country),OR(sel_Channel="All",E2088=sel_Channel),OR(sel_Category="All",G2088=sel_Category),OR(sel_Product="All",H2088=sel_Product),AND(S2088&gt;=m_From,S2088&lt;=m_To)),1,0)</f>
        <v/>
      </c>
      <c r="Y2088" s="36">
        <f>IF(AND(OR(sel_Region="All",C2088=sel_Region),OR(sel_Country="All",D2088=sel_Country),OR(sel_Channel="All",E2088=sel_Channel),OR(sel_Customer="All",F2088=sel_Customer),OR(sel_Product="All",H2088=sel_Product),AND(S2088&gt;=m_From,S2088&lt;=m_To)),1,0)</f>
        <v/>
      </c>
      <c r="Z2088" s="36">
        <f>IF(AND(OR(sel_Region="All",C2088=sel_Region),OR(sel_Country="All",D2088=sel_Country),OR(sel_Channel="All",E2088=sel_Channel),OR(sel_Customer="All",F2088=sel_Customer),OR(sel_Category="All",G2088=sel_Category),AND(S2088&gt;=m_From,S2088&lt;=m_To)),1,0)</f>
        <v/>
      </c>
      <c r="AA2088" s="36">
        <f>IF(AND(OR(sel_Region="All",C2088=sel_Region),OR(sel_Country="All",D2088=sel_Country),OR(sel_Channel="All",E2088=sel_Channel),OR(sel_Customer="All",F2088=sel_Customer),OR(sel_Category="All",G2088=sel_Category),OR(sel_Product="All",H2088=sel_Product)),1,0)</f>
        <v/>
      </c>
    </row>
    <row r="2089">
      <c r="A2089" s="36" t="inlineStr">
        <is>
          <t>03368</t>
        </is>
      </c>
      <c r="B2089" s="44" t="n">
        <v>46306</v>
      </c>
      <c r="C2089" s="36" t="inlineStr">
        <is>
          <t>Southern Europe</t>
        </is>
      </c>
      <c r="D2089" s="36" t="inlineStr">
        <is>
          <t>Portugal</t>
        </is>
      </c>
      <c r="E2089" s="36" t="inlineStr">
        <is>
          <t>Online Store</t>
        </is>
      </c>
      <c r="F2089" s="36" t="inlineStr">
        <is>
          <t>Returning</t>
        </is>
      </c>
      <c r="G2089" s="36" t="inlineStr">
        <is>
          <t>Hiking</t>
        </is>
      </c>
      <c r="H2089" s="36" t="inlineStr">
        <is>
          <t>Hiking Daypack 20L</t>
        </is>
      </c>
      <c r="I2089" s="36" t="n">
        <v>1</v>
      </c>
      <c r="J2089" s="39" t="n">
        <v>89.88</v>
      </c>
      <c r="K2089" s="45" t="n">
        <v>0</v>
      </c>
      <c r="L2089" s="39" t="n">
        <v>46.15</v>
      </c>
      <c r="M2089" s="39">
        <f>I2089*J2089*(1-K2089)</f>
        <v/>
      </c>
      <c r="N2089" s="39">
        <f>I2089*L2089</f>
        <v/>
      </c>
      <c r="O2089" s="39">
        <f>M2089-N2089</f>
        <v/>
      </c>
      <c r="P2089" s="38">
        <f>IF(M2089=0,0,O2089/M2089)</f>
        <v/>
      </c>
      <c r="Q2089" s="36">
        <f>YEAR(B2089)</f>
        <v/>
      </c>
      <c r="R2089" s="36">
        <f>"Q"&amp;ROUNDUP(MONTH(B2089)/3,0)</f>
        <v/>
      </c>
      <c r="S2089" s="36">
        <f>MONTH(B2089)</f>
        <v/>
      </c>
      <c r="T2089" s="36">
        <f>TEXT(B2089,"mmm")</f>
        <v/>
      </c>
      <c r="U2089" s="36">
        <f>IF(AND(OR(sel_Region="All",C2089=sel_Region),OR(sel_Country="All",D2089=sel_Country),OR(sel_Channel="All",E2089=sel_Channel),OR(sel_Customer="All",F2089=sel_Customer),OR(sel_Category="All",G2089=sel_Category),OR(sel_Product="All",H2089=sel_Product),AND(S2089&gt;=m_From,S2089&lt;=m_To)),1,0)</f>
        <v/>
      </c>
      <c r="V2089" s="36">
        <f>IF(AND(OR(sel_Region="All",C2089=sel_Region),OR(sel_Channel="All",E2089=sel_Channel),OR(sel_Customer="All",F2089=sel_Customer),OR(sel_Category="All",G2089=sel_Category),OR(sel_Product="All",H2089=sel_Product),AND(S2089&gt;=m_From,S2089&lt;=m_To)),1,0)</f>
        <v/>
      </c>
      <c r="W2089" s="36">
        <f>IF(AND(OR(sel_Region="All",C2089=sel_Region),OR(sel_Country="All",D2089=sel_Country),OR(sel_Customer="All",F2089=sel_Customer),OR(sel_Category="All",G2089=sel_Category),OR(sel_Product="All",H2089=sel_Product),AND(S2089&gt;=m_From,S2089&lt;=m_To)),1,0)</f>
        <v/>
      </c>
      <c r="X2089" s="36">
        <f>IF(AND(OR(sel_Region="All",C2089=sel_Region),OR(sel_Country="All",D2089=sel_Country),OR(sel_Channel="All",E2089=sel_Channel),OR(sel_Category="All",G2089=sel_Category),OR(sel_Product="All",H2089=sel_Product),AND(S2089&gt;=m_From,S2089&lt;=m_To)),1,0)</f>
        <v/>
      </c>
      <c r="Y2089" s="36">
        <f>IF(AND(OR(sel_Region="All",C2089=sel_Region),OR(sel_Country="All",D2089=sel_Country),OR(sel_Channel="All",E2089=sel_Channel),OR(sel_Customer="All",F2089=sel_Customer),OR(sel_Product="All",H2089=sel_Product),AND(S2089&gt;=m_From,S2089&lt;=m_To)),1,0)</f>
        <v/>
      </c>
      <c r="Z2089" s="36">
        <f>IF(AND(OR(sel_Region="All",C2089=sel_Region),OR(sel_Country="All",D2089=sel_Country),OR(sel_Channel="All",E2089=sel_Channel),OR(sel_Customer="All",F2089=sel_Customer),OR(sel_Category="All",G2089=sel_Category),AND(S2089&gt;=m_From,S2089&lt;=m_To)),1,0)</f>
        <v/>
      </c>
      <c r="AA2089" s="36">
        <f>IF(AND(OR(sel_Region="All",C2089=sel_Region),OR(sel_Country="All",D2089=sel_Country),OR(sel_Channel="All",E2089=sel_Channel),OR(sel_Customer="All",F2089=sel_Customer),OR(sel_Category="All",G2089=sel_Category),OR(sel_Product="All",H2089=sel_Product)),1,0)</f>
        <v/>
      </c>
    </row>
    <row r="2090">
      <c r="A2090" s="36" t="inlineStr">
        <is>
          <t>03566</t>
        </is>
      </c>
      <c r="B2090" s="44" t="n">
        <v>46306</v>
      </c>
      <c r="C2090" s="36" t="inlineStr">
        <is>
          <t>Central Europe</t>
        </is>
      </c>
      <c r="D2090" s="36" t="inlineStr">
        <is>
          <t>Germany</t>
        </is>
      </c>
      <c r="E2090" s="36" t="inlineStr">
        <is>
          <t>Online Store</t>
        </is>
      </c>
      <c r="F2090" s="36" t="inlineStr">
        <is>
          <t>New</t>
        </is>
      </c>
      <c r="G2090" s="36" t="inlineStr">
        <is>
          <t>Fitness</t>
        </is>
      </c>
      <c r="H2090" s="36" t="inlineStr">
        <is>
          <t>Resistance Band Set</t>
        </is>
      </c>
      <c r="I2090" s="36" t="n">
        <v>1</v>
      </c>
      <c r="J2090" s="39" t="n">
        <v>41.33</v>
      </c>
      <c r="K2090" s="45" t="n">
        <v>0</v>
      </c>
      <c r="L2090" s="39" t="n">
        <v>14.47</v>
      </c>
      <c r="M2090" s="39">
        <f>I2090*J2090*(1-K2090)</f>
        <v/>
      </c>
      <c r="N2090" s="39">
        <f>I2090*L2090</f>
        <v/>
      </c>
      <c r="O2090" s="39">
        <f>M2090-N2090</f>
        <v/>
      </c>
      <c r="P2090" s="38">
        <f>IF(M2090=0,0,O2090/M2090)</f>
        <v/>
      </c>
      <c r="Q2090" s="36">
        <f>YEAR(B2090)</f>
        <v/>
      </c>
      <c r="R2090" s="36">
        <f>"Q"&amp;ROUNDUP(MONTH(B2090)/3,0)</f>
        <v/>
      </c>
      <c r="S2090" s="36">
        <f>MONTH(B2090)</f>
        <v/>
      </c>
      <c r="T2090" s="36">
        <f>TEXT(B2090,"mmm")</f>
        <v/>
      </c>
      <c r="U2090" s="36">
        <f>IF(AND(OR(sel_Region="All",C2090=sel_Region),OR(sel_Country="All",D2090=sel_Country),OR(sel_Channel="All",E2090=sel_Channel),OR(sel_Customer="All",F2090=sel_Customer),OR(sel_Category="All",G2090=sel_Category),OR(sel_Product="All",H2090=sel_Product),AND(S2090&gt;=m_From,S2090&lt;=m_To)),1,0)</f>
        <v/>
      </c>
      <c r="V2090" s="36">
        <f>IF(AND(OR(sel_Region="All",C2090=sel_Region),OR(sel_Channel="All",E2090=sel_Channel),OR(sel_Customer="All",F2090=sel_Customer),OR(sel_Category="All",G2090=sel_Category),OR(sel_Product="All",H2090=sel_Product),AND(S2090&gt;=m_From,S2090&lt;=m_To)),1,0)</f>
        <v/>
      </c>
      <c r="W2090" s="36">
        <f>IF(AND(OR(sel_Region="All",C2090=sel_Region),OR(sel_Country="All",D2090=sel_Country),OR(sel_Customer="All",F2090=sel_Customer),OR(sel_Category="All",G2090=sel_Category),OR(sel_Product="All",H2090=sel_Product),AND(S2090&gt;=m_From,S2090&lt;=m_To)),1,0)</f>
        <v/>
      </c>
      <c r="X2090" s="36">
        <f>IF(AND(OR(sel_Region="All",C2090=sel_Region),OR(sel_Country="All",D2090=sel_Country),OR(sel_Channel="All",E2090=sel_Channel),OR(sel_Category="All",G2090=sel_Category),OR(sel_Product="All",H2090=sel_Product),AND(S2090&gt;=m_From,S2090&lt;=m_To)),1,0)</f>
        <v/>
      </c>
      <c r="Y2090" s="36">
        <f>IF(AND(OR(sel_Region="All",C2090=sel_Region),OR(sel_Country="All",D2090=sel_Country),OR(sel_Channel="All",E2090=sel_Channel),OR(sel_Customer="All",F2090=sel_Customer),OR(sel_Product="All",H2090=sel_Product),AND(S2090&gt;=m_From,S2090&lt;=m_To)),1,0)</f>
        <v/>
      </c>
      <c r="Z2090" s="36">
        <f>IF(AND(OR(sel_Region="All",C2090=sel_Region),OR(sel_Country="All",D2090=sel_Country),OR(sel_Channel="All",E2090=sel_Channel),OR(sel_Customer="All",F2090=sel_Customer),OR(sel_Category="All",G2090=sel_Category),AND(S2090&gt;=m_From,S2090&lt;=m_To)),1,0)</f>
        <v/>
      </c>
      <c r="AA2090" s="36">
        <f>IF(AND(OR(sel_Region="All",C2090=sel_Region),OR(sel_Country="All",D2090=sel_Country),OR(sel_Channel="All",E2090=sel_Channel),OR(sel_Customer="All",F2090=sel_Customer),OR(sel_Category="All",G2090=sel_Category),OR(sel_Product="All",H2090=sel_Product)),1,0)</f>
        <v/>
      </c>
    </row>
    <row r="2091">
      <c r="A2091" s="36" t="inlineStr">
        <is>
          <t>04420</t>
        </is>
      </c>
      <c r="B2091" s="44" t="n">
        <v>46306</v>
      </c>
      <c r="C2091" s="36" t="inlineStr">
        <is>
          <t>Northern Europe</t>
        </is>
      </c>
      <c r="D2091" s="36" t="inlineStr">
        <is>
          <t>Denmark</t>
        </is>
      </c>
      <c r="E2091" s="36" t="inlineStr">
        <is>
          <t>Corporate</t>
        </is>
      </c>
      <c r="F2091" s="36" t="inlineStr">
        <is>
          <t>Business</t>
        </is>
      </c>
      <c r="G2091" s="36" t="inlineStr">
        <is>
          <t>Cycling</t>
        </is>
      </c>
      <c r="H2091" s="36" t="inlineStr">
        <is>
          <t>Compact Repair Kit</t>
        </is>
      </c>
      <c r="I2091" s="36" t="n">
        <v>15</v>
      </c>
      <c r="J2091" s="39" t="n">
        <v>40.78</v>
      </c>
      <c r="K2091" s="45" t="n">
        <v>0.15</v>
      </c>
      <c r="L2091" s="39" t="n">
        <v>17.07</v>
      </c>
      <c r="M2091" s="39">
        <f>I2091*J2091*(1-K2091)</f>
        <v/>
      </c>
      <c r="N2091" s="39">
        <f>I2091*L2091</f>
        <v/>
      </c>
      <c r="O2091" s="39">
        <f>M2091-N2091</f>
        <v/>
      </c>
      <c r="P2091" s="38">
        <f>IF(M2091=0,0,O2091/M2091)</f>
        <v/>
      </c>
      <c r="Q2091" s="36">
        <f>YEAR(B2091)</f>
        <v/>
      </c>
      <c r="R2091" s="36">
        <f>"Q"&amp;ROUNDUP(MONTH(B2091)/3,0)</f>
        <v/>
      </c>
      <c r="S2091" s="36">
        <f>MONTH(B2091)</f>
        <v/>
      </c>
      <c r="T2091" s="36">
        <f>TEXT(B2091,"mmm")</f>
        <v/>
      </c>
      <c r="U2091" s="36">
        <f>IF(AND(OR(sel_Region="All",C2091=sel_Region),OR(sel_Country="All",D2091=sel_Country),OR(sel_Channel="All",E2091=sel_Channel),OR(sel_Customer="All",F2091=sel_Customer),OR(sel_Category="All",G2091=sel_Category),OR(sel_Product="All",H2091=sel_Product),AND(S2091&gt;=m_From,S2091&lt;=m_To)),1,0)</f>
        <v/>
      </c>
      <c r="V2091" s="36">
        <f>IF(AND(OR(sel_Region="All",C2091=sel_Region),OR(sel_Channel="All",E2091=sel_Channel),OR(sel_Customer="All",F2091=sel_Customer),OR(sel_Category="All",G2091=sel_Category),OR(sel_Product="All",H2091=sel_Product),AND(S2091&gt;=m_From,S2091&lt;=m_To)),1,0)</f>
        <v/>
      </c>
      <c r="W2091" s="36">
        <f>IF(AND(OR(sel_Region="All",C2091=sel_Region),OR(sel_Country="All",D2091=sel_Country),OR(sel_Customer="All",F2091=sel_Customer),OR(sel_Category="All",G2091=sel_Category),OR(sel_Product="All",H2091=sel_Product),AND(S2091&gt;=m_From,S2091&lt;=m_To)),1,0)</f>
        <v/>
      </c>
      <c r="X2091" s="36">
        <f>IF(AND(OR(sel_Region="All",C2091=sel_Region),OR(sel_Country="All",D2091=sel_Country),OR(sel_Channel="All",E2091=sel_Channel),OR(sel_Category="All",G2091=sel_Category),OR(sel_Product="All",H2091=sel_Product),AND(S2091&gt;=m_From,S2091&lt;=m_To)),1,0)</f>
        <v/>
      </c>
      <c r="Y2091" s="36">
        <f>IF(AND(OR(sel_Region="All",C2091=sel_Region),OR(sel_Country="All",D2091=sel_Country),OR(sel_Channel="All",E2091=sel_Channel),OR(sel_Customer="All",F2091=sel_Customer),OR(sel_Product="All",H2091=sel_Product),AND(S2091&gt;=m_From,S2091&lt;=m_To)),1,0)</f>
        <v/>
      </c>
      <c r="Z2091" s="36">
        <f>IF(AND(OR(sel_Region="All",C2091=sel_Region),OR(sel_Country="All",D2091=sel_Country),OR(sel_Channel="All",E2091=sel_Channel),OR(sel_Customer="All",F2091=sel_Customer),OR(sel_Category="All",G2091=sel_Category),AND(S2091&gt;=m_From,S2091&lt;=m_To)),1,0)</f>
        <v/>
      </c>
      <c r="AA2091" s="36">
        <f>IF(AND(OR(sel_Region="All",C2091=sel_Region),OR(sel_Country="All",D2091=sel_Country),OR(sel_Channel="All",E2091=sel_Channel),OR(sel_Customer="All",F2091=sel_Customer),OR(sel_Category="All",G2091=sel_Category),OR(sel_Product="All",H2091=sel_Product)),1,0)</f>
        <v/>
      </c>
    </row>
    <row r="2092">
      <c r="A2092" s="36" t="inlineStr">
        <is>
          <t>00513</t>
        </is>
      </c>
      <c r="B2092" s="44" t="n">
        <v>46307</v>
      </c>
      <c r="C2092" s="36" t="inlineStr">
        <is>
          <t>Western Europe</t>
        </is>
      </c>
      <c r="D2092" s="36" t="inlineStr">
        <is>
          <t>Netherlands</t>
        </is>
      </c>
      <c r="E2092" s="36" t="inlineStr">
        <is>
          <t>Online Store</t>
        </is>
      </c>
      <c r="F2092" s="36" t="inlineStr">
        <is>
          <t>Business</t>
        </is>
      </c>
      <c r="G2092" s="36" t="inlineStr">
        <is>
          <t>Travel</t>
        </is>
      </c>
      <c r="H2092" s="36" t="inlineStr">
        <is>
          <t>Travel Backpack 35L</t>
        </is>
      </c>
      <c r="I2092" s="36" t="n">
        <v>1</v>
      </c>
      <c r="J2092" s="39" t="n">
        <v>163.87</v>
      </c>
      <c r="K2092" s="45" t="n">
        <v>0</v>
      </c>
      <c r="L2092" s="39" t="n">
        <v>85.76000000000001</v>
      </c>
      <c r="M2092" s="39">
        <f>I2092*J2092*(1-K2092)</f>
        <v/>
      </c>
      <c r="N2092" s="39">
        <f>I2092*L2092</f>
        <v/>
      </c>
      <c r="O2092" s="39">
        <f>M2092-N2092</f>
        <v/>
      </c>
      <c r="P2092" s="38">
        <f>IF(M2092=0,0,O2092/M2092)</f>
        <v/>
      </c>
      <c r="Q2092" s="36">
        <f>YEAR(B2092)</f>
        <v/>
      </c>
      <c r="R2092" s="36">
        <f>"Q"&amp;ROUNDUP(MONTH(B2092)/3,0)</f>
        <v/>
      </c>
      <c r="S2092" s="36">
        <f>MONTH(B2092)</f>
        <v/>
      </c>
      <c r="T2092" s="36">
        <f>TEXT(B2092,"mmm")</f>
        <v/>
      </c>
      <c r="U2092" s="36">
        <f>IF(AND(OR(sel_Region="All",C2092=sel_Region),OR(sel_Country="All",D2092=sel_Country),OR(sel_Channel="All",E2092=sel_Channel),OR(sel_Customer="All",F2092=sel_Customer),OR(sel_Category="All",G2092=sel_Category),OR(sel_Product="All",H2092=sel_Product),AND(S2092&gt;=m_From,S2092&lt;=m_To)),1,0)</f>
        <v/>
      </c>
      <c r="V2092" s="36">
        <f>IF(AND(OR(sel_Region="All",C2092=sel_Region),OR(sel_Channel="All",E2092=sel_Channel),OR(sel_Customer="All",F2092=sel_Customer),OR(sel_Category="All",G2092=sel_Category),OR(sel_Product="All",H2092=sel_Product),AND(S2092&gt;=m_From,S2092&lt;=m_To)),1,0)</f>
        <v/>
      </c>
      <c r="W2092" s="36">
        <f>IF(AND(OR(sel_Region="All",C2092=sel_Region),OR(sel_Country="All",D2092=sel_Country),OR(sel_Customer="All",F2092=sel_Customer),OR(sel_Category="All",G2092=sel_Category),OR(sel_Product="All",H2092=sel_Product),AND(S2092&gt;=m_From,S2092&lt;=m_To)),1,0)</f>
        <v/>
      </c>
      <c r="X2092" s="36">
        <f>IF(AND(OR(sel_Region="All",C2092=sel_Region),OR(sel_Country="All",D2092=sel_Country),OR(sel_Channel="All",E2092=sel_Channel),OR(sel_Category="All",G2092=sel_Category),OR(sel_Product="All",H2092=sel_Product),AND(S2092&gt;=m_From,S2092&lt;=m_To)),1,0)</f>
        <v/>
      </c>
      <c r="Y2092" s="36">
        <f>IF(AND(OR(sel_Region="All",C2092=sel_Region),OR(sel_Country="All",D2092=sel_Country),OR(sel_Channel="All",E2092=sel_Channel),OR(sel_Customer="All",F2092=sel_Customer),OR(sel_Product="All",H2092=sel_Product),AND(S2092&gt;=m_From,S2092&lt;=m_To)),1,0)</f>
        <v/>
      </c>
      <c r="Z2092" s="36">
        <f>IF(AND(OR(sel_Region="All",C2092=sel_Region),OR(sel_Country="All",D2092=sel_Country),OR(sel_Channel="All",E2092=sel_Channel),OR(sel_Customer="All",F2092=sel_Customer),OR(sel_Category="All",G2092=sel_Category),AND(S2092&gt;=m_From,S2092&lt;=m_To)),1,0)</f>
        <v/>
      </c>
      <c r="AA2092" s="36">
        <f>IF(AND(OR(sel_Region="All",C2092=sel_Region),OR(sel_Country="All",D2092=sel_Country),OR(sel_Channel="All",E2092=sel_Channel),OR(sel_Customer="All",F2092=sel_Customer),OR(sel_Category="All",G2092=sel_Category),OR(sel_Product="All",H2092=sel_Product)),1,0)</f>
        <v/>
      </c>
    </row>
    <row r="2093">
      <c r="A2093" s="36" t="inlineStr">
        <is>
          <t>00786</t>
        </is>
      </c>
      <c r="B2093" s="44" t="n">
        <v>46307</v>
      </c>
      <c r="C2093" s="36" t="inlineStr">
        <is>
          <t>Northern Europe</t>
        </is>
      </c>
      <c r="D2093" s="36" t="inlineStr">
        <is>
          <t>Ireland</t>
        </is>
      </c>
      <c r="E2093" s="36" t="inlineStr">
        <is>
          <t>Online Store</t>
        </is>
      </c>
      <c r="F2093" s="36" t="inlineStr">
        <is>
          <t>New</t>
        </is>
      </c>
      <c r="G2093" s="36" t="inlineStr">
        <is>
          <t>Fitness</t>
        </is>
      </c>
      <c r="H2093" s="36" t="inlineStr">
        <is>
          <t>Recovery Roller</t>
        </is>
      </c>
      <c r="I2093" s="36" t="n">
        <v>1</v>
      </c>
      <c r="J2093" s="39" t="n">
        <v>35.39</v>
      </c>
      <c r="K2093" s="45" t="n">
        <v>0.05</v>
      </c>
      <c r="L2093" s="39" t="n">
        <v>13.68</v>
      </c>
      <c r="M2093" s="39">
        <f>I2093*J2093*(1-K2093)</f>
        <v/>
      </c>
      <c r="N2093" s="39">
        <f>I2093*L2093</f>
        <v/>
      </c>
      <c r="O2093" s="39">
        <f>M2093-N2093</f>
        <v/>
      </c>
      <c r="P2093" s="38">
        <f>IF(M2093=0,0,O2093/M2093)</f>
        <v/>
      </c>
      <c r="Q2093" s="36">
        <f>YEAR(B2093)</f>
        <v/>
      </c>
      <c r="R2093" s="36">
        <f>"Q"&amp;ROUNDUP(MONTH(B2093)/3,0)</f>
        <v/>
      </c>
      <c r="S2093" s="36">
        <f>MONTH(B2093)</f>
        <v/>
      </c>
      <c r="T2093" s="36">
        <f>TEXT(B2093,"mmm")</f>
        <v/>
      </c>
      <c r="U2093" s="36">
        <f>IF(AND(OR(sel_Region="All",C2093=sel_Region),OR(sel_Country="All",D2093=sel_Country),OR(sel_Channel="All",E2093=sel_Channel),OR(sel_Customer="All",F2093=sel_Customer),OR(sel_Category="All",G2093=sel_Category),OR(sel_Product="All",H2093=sel_Product),AND(S2093&gt;=m_From,S2093&lt;=m_To)),1,0)</f>
        <v/>
      </c>
      <c r="V2093" s="36">
        <f>IF(AND(OR(sel_Region="All",C2093=sel_Region),OR(sel_Channel="All",E2093=sel_Channel),OR(sel_Customer="All",F2093=sel_Customer),OR(sel_Category="All",G2093=sel_Category),OR(sel_Product="All",H2093=sel_Product),AND(S2093&gt;=m_From,S2093&lt;=m_To)),1,0)</f>
        <v/>
      </c>
      <c r="W2093" s="36">
        <f>IF(AND(OR(sel_Region="All",C2093=sel_Region),OR(sel_Country="All",D2093=sel_Country),OR(sel_Customer="All",F2093=sel_Customer),OR(sel_Category="All",G2093=sel_Category),OR(sel_Product="All",H2093=sel_Product),AND(S2093&gt;=m_From,S2093&lt;=m_To)),1,0)</f>
        <v/>
      </c>
      <c r="X2093" s="36">
        <f>IF(AND(OR(sel_Region="All",C2093=sel_Region),OR(sel_Country="All",D2093=sel_Country),OR(sel_Channel="All",E2093=sel_Channel),OR(sel_Category="All",G2093=sel_Category),OR(sel_Product="All",H2093=sel_Product),AND(S2093&gt;=m_From,S2093&lt;=m_To)),1,0)</f>
        <v/>
      </c>
      <c r="Y2093" s="36">
        <f>IF(AND(OR(sel_Region="All",C2093=sel_Region),OR(sel_Country="All",D2093=sel_Country),OR(sel_Channel="All",E2093=sel_Channel),OR(sel_Customer="All",F2093=sel_Customer),OR(sel_Product="All",H2093=sel_Product),AND(S2093&gt;=m_From,S2093&lt;=m_To)),1,0)</f>
        <v/>
      </c>
      <c r="Z2093" s="36">
        <f>IF(AND(OR(sel_Region="All",C2093=sel_Region),OR(sel_Country="All",D2093=sel_Country),OR(sel_Channel="All",E2093=sel_Channel),OR(sel_Customer="All",F2093=sel_Customer),OR(sel_Category="All",G2093=sel_Category),AND(S2093&gt;=m_From,S2093&lt;=m_To)),1,0)</f>
        <v/>
      </c>
      <c r="AA2093" s="36">
        <f>IF(AND(OR(sel_Region="All",C2093=sel_Region),OR(sel_Country="All",D2093=sel_Country),OR(sel_Channel="All",E2093=sel_Channel),OR(sel_Customer="All",F2093=sel_Customer),OR(sel_Category="All",G2093=sel_Category),OR(sel_Product="All",H2093=sel_Product)),1,0)</f>
        <v/>
      </c>
    </row>
    <row r="2094">
      <c r="A2094" s="36" t="inlineStr">
        <is>
          <t>03771</t>
        </is>
      </c>
      <c r="B2094" s="44" t="n">
        <v>46307</v>
      </c>
      <c r="C2094" s="36" t="inlineStr">
        <is>
          <t>Northern Europe</t>
        </is>
      </c>
      <c r="D2094" s="36" t="inlineStr">
        <is>
          <t>Ireland</t>
        </is>
      </c>
      <c r="E2094" s="36" t="inlineStr">
        <is>
          <t>Online Store</t>
        </is>
      </c>
      <c r="F2094" s="36" t="inlineStr">
        <is>
          <t>Business</t>
        </is>
      </c>
      <c r="G2094" s="36" t="inlineStr">
        <is>
          <t>Camping</t>
        </is>
      </c>
      <c r="H2094" s="36" t="inlineStr">
        <is>
          <t>Portable Camp Stove</t>
        </is>
      </c>
      <c r="I2094" s="36" t="n">
        <v>2</v>
      </c>
      <c r="J2094" s="39" t="n">
        <v>80.2</v>
      </c>
      <c r="K2094" s="45" t="n">
        <v>0</v>
      </c>
      <c r="L2094" s="39" t="n">
        <v>39.59</v>
      </c>
      <c r="M2094" s="39">
        <f>I2094*J2094*(1-K2094)</f>
        <v/>
      </c>
      <c r="N2094" s="39">
        <f>I2094*L2094</f>
        <v/>
      </c>
      <c r="O2094" s="39">
        <f>M2094-N2094</f>
        <v/>
      </c>
      <c r="P2094" s="38">
        <f>IF(M2094=0,0,O2094/M2094)</f>
        <v/>
      </c>
      <c r="Q2094" s="36">
        <f>YEAR(B2094)</f>
        <v/>
      </c>
      <c r="R2094" s="36">
        <f>"Q"&amp;ROUNDUP(MONTH(B2094)/3,0)</f>
        <v/>
      </c>
      <c r="S2094" s="36">
        <f>MONTH(B2094)</f>
        <v/>
      </c>
      <c r="T2094" s="36">
        <f>TEXT(B2094,"mmm")</f>
        <v/>
      </c>
      <c r="U2094" s="36">
        <f>IF(AND(OR(sel_Region="All",C2094=sel_Region),OR(sel_Country="All",D2094=sel_Country),OR(sel_Channel="All",E2094=sel_Channel),OR(sel_Customer="All",F2094=sel_Customer),OR(sel_Category="All",G2094=sel_Category),OR(sel_Product="All",H2094=sel_Product),AND(S2094&gt;=m_From,S2094&lt;=m_To)),1,0)</f>
        <v/>
      </c>
      <c r="V2094" s="36">
        <f>IF(AND(OR(sel_Region="All",C2094=sel_Region),OR(sel_Channel="All",E2094=sel_Channel),OR(sel_Customer="All",F2094=sel_Customer),OR(sel_Category="All",G2094=sel_Category),OR(sel_Product="All",H2094=sel_Product),AND(S2094&gt;=m_From,S2094&lt;=m_To)),1,0)</f>
        <v/>
      </c>
      <c r="W2094" s="36">
        <f>IF(AND(OR(sel_Region="All",C2094=sel_Region),OR(sel_Country="All",D2094=sel_Country),OR(sel_Customer="All",F2094=sel_Customer),OR(sel_Category="All",G2094=sel_Category),OR(sel_Product="All",H2094=sel_Product),AND(S2094&gt;=m_From,S2094&lt;=m_To)),1,0)</f>
        <v/>
      </c>
      <c r="X2094" s="36">
        <f>IF(AND(OR(sel_Region="All",C2094=sel_Region),OR(sel_Country="All",D2094=sel_Country),OR(sel_Channel="All",E2094=sel_Channel),OR(sel_Category="All",G2094=sel_Category),OR(sel_Product="All",H2094=sel_Product),AND(S2094&gt;=m_From,S2094&lt;=m_To)),1,0)</f>
        <v/>
      </c>
      <c r="Y2094" s="36">
        <f>IF(AND(OR(sel_Region="All",C2094=sel_Region),OR(sel_Country="All",D2094=sel_Country),OR(sel_Channel="All",E2094=sel_Channel),OR(sel_Customer="All",F2094=sel_Customer),OR(sel_Product="All",H2094=sel_Product),AND(S2094&gt;=m_From,S2094&lt;=m_To)),1,0)</f>
        <v/>
      </c>
      <c r="Z2094" s="36">
        <f>IF(AND(OR(sel_Region="All",C2094=sel_Region),OR(sel_Country="All",D2094=sel_Country),OR(sel_Channel="All",E2094=sel_Channel),OR(sel_Customer="All",F2094=sel_Customer),OR(sel_Category="All",G2094=sel_Category),AND(S2094&gt;=m_From,S2094&lt;=m_To)),1,0)</f>
        <v/>
      </c>
      <c r="AA2094" s="36">
        <f>IF(AND(OR(sel_Region="All",C2094=sel_Region),OR(sel_Country="All",D2094=sel_Country),OR(sel_Channel="All",E2094=sel_Channel),OR(sel_Customer="All",F2094=sel_Customer),OR(sel_Category="All",G2094=sel_Category),OR(sel_Product="All",H2094=sel_Product)),1,0)</f>
        <v/>
      </c>
    </row>
    <row r="2095">
      <c r="A2095" s="36" t="inlineStr">
        <is>
          <t>03910</t>
        </is>
      </c>
      <c r="B2095" s="44" t="n">
        <v>46307</v>
      </c>
      <c r="C2095" s="36" t="inlineStr">
        <is>
          <t>Northern Europe</t>
        </is>
      </c>
      <c r="D2095" s="36" t="inlineStr">
        <is>
          <t>Sweden</t>
        </is>
      </c>
      <c r="E2095" s="36" t="inlineStr">
        <is>
          <t>Online Store</t>
        </is>
      </c>
      <c r="F2095" s="36" t="inlineStr">
        <is>
          <t>Business</t>
        </is>
      </c>
      <c r="G2095" s="36" t="inlineStr">
        <is>
          <t>Cycling</t>
        </is>
      </c>
      <c r="H2095" s="36" t="inlineStr">
        <is>
          <t>Compact Repair Kit</t>
        </is>
      </c>
      <c r="I2095" s="36" t="n">
        <v>3</v>
      </c>
      <c r="J2095" s="39" t="n">
        <v>41.09</v>
      </c>
      <c r="K2095" s="45" t="n">
        <v>0</v>
      </c>
      <c r="L2095" s="39" t="n">
        <v>17.18</v>
      </c>
      <c r="M2095" s="39">
        <f>I2095*J2095*(1-K2095)</f>
        <v/>
      </c>
      <c r="N2095" s="39">
        <f>I2095*L2095</f>
        <v/>
      </c>
      <c r="O2095" s="39">
        <f>M2095-N2095</f>
        <v/>
      </c>
      <c r="P2095" s="38">
        <f>IF(M2095=0,0,O2095/M2095)</f>
        <v/>
      </c>
      <c r="Q2095" s="36">
        <f>YEAR(B2095)</f>
        <v/>
      </c>
      <c r="R2095" s="36">
        <f>"Q"&amp;ROUNDUP(MONTH(B2095)/3,0)</f>
        <v/>
      </c>
      <c r="S2095" s="36">
        <f>MONTH(B2095)</f>
        <v/>
      </c>
      <c r="T2095" s="36">
        <f>TEXT(B2095,"mmm")</f>
        <v/>
      </c>
      <c r="U2095" s="36">
        <f>IF(AND(OR(sel_Region="All",C2095=sel_Region),OR(sel_Country="All",D2095=sel_Country),OR(sel_Channel="All",E2095=sel_Channel),OR(sel_Customer="All",F2095=sel_Customer),OR(sel_Category="All",G2095=sel_Category),OR(sel_Product="All",H2095=sel_Product),AND(S2095&gt;=m_From,S2095&lt;=m_To)),1,0)</f>
        <v/>
      </c>
      <c r="V2095" s="36">
        <f>IF(AND(OR(sel_Region="All",C2095=sel_Region),OR(sel_Channel="All",E2095=sel_Channel),OR(sel_Customer="All",F2095=sel_Customer),OR(sel_Category="All",G2095=sel_Category),OR(sel_Product="All",H2095=sel_Product),AND(S2095&gt;=m_From,S2095&lt;=m_To)),1,0)</f>
        <v/>
      </c>
      <c r="W2095" s="36">
        <f>IF(AND(OR(sel_Region="All",C2095=sel_Region),OR(sel_Country="All",D2095=sel_Country),OR(sel_Customer="All",F2095=sel_Customer),OR(sel_Category="All",G2095=sel_Category),OR(sel_Product="All",H2095=sel_Product),AND(S2095&gt;=m_From,S2095&lt;=m_To)),1,0)</f>
        <v/>
      </c>
      <c r="X2095" s="36">
        <f>IF(AND(OR(sel_Region="All",C2095=sel_Region),OR(sel_Country="All",D2095=sel_Country),OR(sel_Channel="All",E2095=sel_Channel),OR(sel_Category="All",G2095=sel_Category),OR(sel_Product="All",H2095=sel_Product),AND(S2095&gt;=m_From,S2095&lt;=m_To)),1,0)</f>
        <v/>
      </c>
      <c r="Y2095" s="36">
        <f>IF(AND(OR(sel_Region="All",C2095=sel_Region),OR(sel_Country="All",D2095=sel_Country),OR(sel_Channel="All",E2095=sel_Channel),OR(sel_Customer="All",F2095=sel_Customer),OR(sel_Product="All",H2095=sel_Product),AND(S2095&gt;=m_From,S2095&lt;=m_To)),1,0)</f>
        <v/>
      </c>
      <c r="Z2095" s="36">
        <f>IF(AND(OR(sel_Region="All",C2095=sel_Region),OR(sel_Country="All",D2095=sel_Country),OR(sel_Channel="All",E2095=sel_Channel),OR(sel_Customer="All",F2095=sel_Customer),OR(sel_Category="All",G2095=sel_Category),AND(S2095&gt;=m_From,S2095&lt;=m_To)),1,0)</f>
        <v/>
      </c>
      <c r="AA2095" s="36">
        <f>IF(AND(OR(sel_Region="All",C2095=sel_Region),OR(sel_Country="All",D2095=sel_Country),OR(sel_Channel="All",E2095=sel_Channel),OR(sel_Customer="All",F2095=sel_Customer),OR(sel_Category="All",G2095=sel_Category),OR(sel_Product="All",H2095=sel_Product)),1,0)</f>
        <v/>
      </c>
    </row>
    <row r="2096">
      <c r="A2096" s="36" t="inlineStr">
        <is>
          <t>00330</t>
        </is>
      </c>
      <c r="B2096" s="44" t="n">
        <v>46308</v>
      </c>
      <c r="C2096" s="36" t="inlineStr">
        <is>
          <t>Central Europe</t>
        </is>
      </c>
      <c r="D2096" s="36" t="inlineStr">
        <is>
          <t>Germany</t>
        </is>
      </c>
      <c r="E2096" s="36" t="inlineStr">
        <is>
          <t>Corporate</t>
        </is>
      </c>
      <c r="F2096" s="36" t="inlineStr">
        <is>
          <t>Business</t>
        </is>
      </c>
      <c r="G2096" s="36" t="inlineStr">
        <is>
          <t>Travel</t>
        </is>
      </c>
      <c r="H2096" s="36" t="inlineStr">
        <is>
          <t>Insulated Bottle</t>
        </is>
      </c>
      <c r="I2096" s="36" t="n">
        <v>5</v>
      </c>
      <c r="J2096" s="39" t="n">
        <v>36.97</v>
      </c>
      <c r="K2096" s="45" t="n">
        <v>0.15</v>
      </c>
      <c r="L2096" s="39" t="n">
        <v>13.93</v>
      </c>
      <c r="M2096" s="39">
        <f>I2096*J2096*(1-K2096)</f>
        <v/>
      </c>
      <c r="N2096" s="39">
        <f>I2096*L2096</f>
        <v/>
      </c>
      <c r="O2096" s="39">
        <f>M2096-N2096</f>
        <v/>
      </c>
      <c r="P2096" s="38">
        <f>IF(M2096=0,0,O2096/M2096)</f>
        <v/>
      </c>
      <c r="Q2096" s="36">
        <f>YEAR(B2096)</f>
        <v/>
      </c>
      <c r="R2096" s="36">
        <f>"Q"&amp;ROUNDUP(MONTH(B2096)/3,0)</f>
        <v/>
      </c>
      <c r="S2096" s="36">
        <f>MONTH(B2096)</f>
        <v/>
      </c>
      <c r="T2096" s="36">
        <f>TEXT(B2096,"mmm")</f>
        <v/>
      </c>
      <c r="U2096" s="36">
        <f>IF(AND(OR(sel_Region="All",C2096=sel_Region),OR(sel_Country="All",D2096=sel_Country),OR(sel_Channel="All",E2096=sel_Channel),OR(sel_Customer="All",F2096=sel_Customer),OR(sel_Category="All",G2096=sel_Category),OR(sel_Product="All",H2096=sel_Product),AND(S2096&gt;=m_From,S2096&lt;=m_To)),1,0)</f>
        <v/>
      </c>
      <c r="V2096" s="36">
        <f>IF(AND(OR(sel_Region="All",C2096=sel_Region),OR(sel_Channel="All",E2096=sel_Channel),OR(sel_Customer="All",F2096=sel_Customer),OR(sel_Category="All",G2096=sel_Category),OR(sel_Product="All",H2096=sel_Product),AND(S2096&gt;=m_From,S2096&lt;=m_To)),1,0)</f>
        <v/>
      </c>
      <c r="W2096" s="36">
        <f>IF(AND(OR(sel_Region="All",C2096=sel_Region),OR(sel_Country="All",D2096=sel_Country),OR(sel_Customer="All",F2096=sel_Customer),OR(sel_Category="All",G2096=sel_Category),OR(sel_Product="All",H2096=sel_Product),AND(S2096&gt;=m_From,S2096&lt;=m_To)),1,0)</f>
        <v/>
      </c>
      <c r="X2096" s="36">
        <f>IF(AND(OR(sel_Region="All",C2096=sel_Region),OR(sel_Country="All",D2096=sel_Country),OR(sel_Channel="All",E2096=sel_Channel),OR(sel_Category="All",G2096=sel_Category),OR(sel_Product="All",H2096=sel_Product),AND(S2096&gt;=m_From,S2096&lt;=m_To)),1,0)</f>
        <v/>
      </c>
      <c r="Y2096" s="36">
        <f>IF(AND(OR(sel_Region="All",C2096=sel_Region),OR(sel_Country="All",D2096=sel_Country),OR(sel_Channel="All",E2096=sel_Channel),OR(sel_Customer="All",F2096=sel_Customer),OR(sel_Product="All",H2096=sel_Product),AND(S2096&gt;=m_From,S2096&lt;=m_To)),1,0)</f>
        <v/>
      </c>
      <c r="Z2096" s="36">
        <f>IF(AND(OR(sel_Region="All",C2096=sel_Region),OR(sel_Country="All",D2096=sel_Country),OR(sel_Channel="All",E2096=sel_Channel),OR(sel_Customer="All",F2096=sel_Customer),OR(sel_Category="All",G2096=sel_Category),AND(S2096&gt;=m_From,S2096&lt;=m_To)),1,0)</f>
        <v/>
      </c>
      <c r="AA2096" s="36">
        <f>IF(AND(OR(sel_Region="All",C2096=sel_Region),OR(sel_Country="All",D2096=sel_Country),OR(sel_Channel="All",E2096=sel_Channel),OR(sel_Customer="All",F2096=sel_Customer),OR(sel_Category="All",G2096=sel_Category),OR(sel_Product="All",H2096=sel_Product)),1,0)</f>
        <v/>
      </c>
    </row>
    <row r="2097">
      <c r="A2097" s="36" t="inlineStr">
        <is>
          <t>00707</t>
        </is>
      </c>
      <c r="B2097" s="44" t="n">
        <v>46308</v>
      </c>
      <c r="C2097" s="36" t="inlineStr">
        <is>
          <t>Northern Europe</t>
        </is>
      </c>
      <c r="D2097" s="36" t="inlineStr">
        <is>
          <t>Denmark</t>
        </is>
      </c>
      <c r="E2097" s="36" t="inlineStr">
        <is>
          <t>Retail Partners</t>
        </is>
      </c>
      <c r="F2097" s="36" t="inlineStr">
        <is>
          <t>New</t>
        </is>
      </c>
      <c r="G2097" s="36" t="inlineStr">
        <is>
          <t>Travel</t>
        </is>
      </c>
      <c r="H2097" s="36" t="inlineStr">
        <is>
          <t>Insulated Bottle</t>
        </is>
      </c>
      <c r="I2097" s="36" t="n">
        <v>4</v>
      </c>
      <c r="J2097" s="39" t="n">
        <v>35.88</v>
      </c>
      <c r="K2097" s="45" t="n">
        <v>0.05</v>
      </c>
      <c r="L2097" s="39" t="n">
        <v>13.45</v>
      </c>
      <c r="M2097" s="39">
        <f>I2097*J2097*(1-K2097)</f>
        <v/>
      </c>
      <c r="N2097" s="39">
        <f>I2097*L2097</f>
        <v/>
      </c>
      <c r="O2097" s="39">
        <f>M2097-N2097</f>
        <v/>
      </c>
      <c r="P2097" s="38">
        <f>IF(M2097=0,0,O2097/M2097)</f>
        <v/>
      </c>
      <c r="Q2097" s="36">
        <f>YEAR(B2097)</f>
        <v/>
      </c>
      <c r="R2097" s="36">
        <f>"Q"&amp;ROUNDUP(MONTH(B2097)/3,0)</f>
        <v/>
      </c>
      <c r="S2097" s="36">
        <f>MONTH(B2097)</f>
        <v/>
      </c>
      <c r="T2097" s="36">
        <f>TEXT(B2097,"mmm")</f>
        <v/>
      </c>
      <c r="U2097" s="36">
        <f>IF(AND(OR(sel_Region="All",C2097=sel_Region),OR(sel_Country="All",D2097=sel_Country),OR(sel_Channel="All",E2097=sel_Channel),OR(sel_Customer="All",F2097=sel_Customer),OR(sel_Category="All",G2097=sel_Category),OR(sel_Product="All",H2097=sel_Product),AND(S2097&gt;=m_From,S2097&lt;=m_To)),1,0)</f>
        <v/>
      </c>
      <c r="V2097" s="36">
        <f>IF(AND(OR(sel_Region="All",C2097=sel_Region),OR(sel_Channel="All",E2097=sel_Channel),OR(sel_Customer="All",F2097=sel_Customer),OR(sel_Category="All",G2097=sel_Category),OR(sel_Product="All",H2097=sel_Product),AND(S2097&gt;=m_From,S2097&lt;=m_To)),1,0)</f>
        <v/>
      </c>
      <c r="W2097" s="36">
        <f>IF(AND(OR(sel_Region="All",C2097=sel_Region),OR(sel_Country="All",D2097=sel_Country),OR(sel_Customer="All",F2097=sel_Customer),OR(sel_Category="All",G2097=sel_Category),OR(sel_Product="All",H2097=sel_Product),AND(S2097&gt;=m_From,S2097&lt;=m_To)),1,0)</f>
        <v/>
      </c>
      <c r="X2097" s="36">
        <f>IF(AND(OR(sel_Region="All",C2097=sel_Region),OR(sel_Country="All",D2097=sel_Country),OR(sel_Channel="All",E2097=sel_Channel),OR(sel_Category="All",G2097=sel_Category),OR(sel_Product="All",H2097=sel_Product),AND(S2097&gt;=m_From,S2097&lt;=m_To)),1,0)</f>
        <v/>
      </c>
      <c r="Y2097" s="36">
        <f>IF(AND(OR(sel_Region="All",C2097=sel_Region),OR(sel_Country="All",D2097=sel_Country),OR(sel_Channel="All",E2097=sel_Channel),OR(sel_Customer="All",F2097=sel_Customer),OR(sel_Product="All",H2097=sel_Product),AND(S2097&gt;=m_From,S2097&lt;=m_To)),1,0)</f>
        <v/>
      </c>
      <c r="Z2097" s="36">
        <f>IF(AND(OR(sel_Region="All",C2097=sel_Region),OR(sel_Country="All",D2097=sel_Country),OR(sel_Channel="All",E2097=sel_Channel),OR(sel_Customer="All",F2097=sel_Customer),OR(sel_Category="All",G2097=sel_Category),AND(S2097&gt;=m_From,S2097&lt;=m_To)),1,0)</f>
        <v/>
      </c>
      <c r="AA2097" s="36">
        <f>IF(AND(OR(sel_Region="All",C2097=sel_Region),OR(sel_Country="All",D2097=sel_Country),OR(sel_Channel="All",E2097=sel_Channel),OR(sel_Customer="All",F2097=sel_Customer),OR(sel_Category="All",G2097=sel_Category),OR(sel_Product="All",H2097=sel_Product)),1,0)</f>
        <v/>
      </c>
    </row>
    <row r="2098">
      <c r="A2098" s="36" t="inlineStr">
        <is>
          <t>00989</t>
        </is>
      </c>
      <c r="B2098" s="44" t="n">
        <v>46308</v>
      </c>
      <c r="C2098" s="36" t="inlineStr">
        <is>
          <t>Central Europe</t>
        </is>
      </c>
      <c r="D2098" s="36" t="inlineStr">
        <is>
          <t>Switzerland</t>
        </is>
      </c>
      <c r="E2098" s="36" t="inlineStr">
        <is>
          <t>Online Store</t>
        </is>
      </c>
      <c r="F2098" s="36" t="inlineStr">
        <is>
          <t>Returning</t>
        </is>
      </c>
      <c r="G2098" s="36" t="inlineStr">
        <is>
          <t>Cycling</t>
        </is>
      </c>
      <c r="H2098" s="36" t="inlineStr">
        <is>
          <t>Compact Repair Kit</t>
        </is>
      </c>
      <c r="I2098" s="36" t="n">
        <v>3</v>
      </c>
      <c r="J2098" s="39" t="n">
        <v>40.42</v>
      </c>
      <c r="K2098" s="45" t="n">
        <v>0</v>
      </c>
      <c r="L2098" s="39" t="n">
        <v>16.79</v>
      </c>
      <c r="M2098" s="39">
        <f>I2098*J2098*(1-K2098)</f>
        <v/>
      </c>
      <c r="N2098" s="39">
        <f>I2098*L2098</f>
        <v/>
      </c>
      <c r="O2098" s="39">
        <f>M2098-N2098</f>
        <v/>
      </c>
      <c r="P2098" s="38">
        <f>IF(M2098=0,0,O2098/M2098)</f>
        <v/>
      </c>
      <c r="Q2098" s="36">
        <f>YEAR(B2098)</f>
        <v/>
      </c>
      <c r="R2098" s="36">
        <f>"Q"&amp;ROUNDUP(MONTH(B2098)/3,0)</f>
        <v/>
      </c>
      <c r="S2098" s="36">
        <f>MONTH(B2098)</f>
        <v/>
      </c>
      <c r="T2098" s="36">
        <f>TEXT(B2098,"mmm")</f>
        <v/>
      </c>
      <c r="U2098" s="36">
        <f>IF(AND(OR(sel_Region="All",C2098=sel_Region),OR(sel_Country="All",D2098=sel_Country),OR(sel_Channel="All",E2098=sel_Channel),OR(sel_Customer="All",F2098=sel_Customer),OR(sel_Category="All",G2098=sel_Category),OR(sel_Product="All",H2098=sel_Product),AND(S2098&gt;=m_From,S2098&lt;=m_To)),1,0)</f>
        <v/>
      </c>
      <c r="V2098" s="36">
        <f>IF(AND(OR(sel_Region="All",C2098=sel_Region),OR(sel_Channel="All",E2098=sel_Channel),OR(sel_Customer="All",F2098=sel_Customer),OR(sel_Category="All",G2098=sel_Category),OR(sel_Product="All",H2098=sel_Product),AND(S2098&gt;=m_From,S2098&lt;=m_To)),1,0)</f>
        <v/>
      </c>
      <c r="W2098" s="36">
        <f>IF(AND(OR(sel_Region="All",C2098=sel_Region),OR(sel_Country="All",D2098=sel_Country),OR(sel_Customer="All",F2098=sel_Customer),OR(sel_Category="All",G2098=sel_Category),OR(sel_Product="All",H2098=sel_Product),AND(S2098&gt;=m_From,S2098&lt;=m_To)),1,0)</f>
        <v/>
      </c>
      <c r="X2098" s="36">
        <f>IF(AND(OR(sel_Region="All",C2098=sel_Region),OR(sel_Country="All",D2098=sel_Country),OR(sel_Channel="All",E2098=sel_Channel),OR(sel_Category="All",G2098=sel_Category),OR(sel_Product="All",H2098=sel_Product),AND(S2098&gt;=m_From,S2098&lt;=m_To)),1,0)</f>
        <v/>
      </c>
      <c r="Y2098" s="36">
        <f>IF(AND(OR(sel_Region="All",C2098=sel_Region),OR(sel_Country="All",D2098=sel_Country),OR(sel_Channel="All",E2098=sel_Channel),OR(sel_Customer="All",F2098=sel_Customer),OR(sel_Product="All",H2098=sel_Product),AND(S2098&gt;=m_From,S2098&lt;=m_To)),1,0)</f>
        <v/>
      </c>
      <c r="Z2098" s="36">
        <f>IF(AND(OR(sel_Region="All",C2098=sel_Region),OR(sel_Country="All",D2098=sel_Country),OR(sel_Channel="All",E2098=sel_Channel),OR(sel_Customer="All",F2098=sel_Customer),OR(sel_Category="All",G2098=sel_Category),AND(S2098&gt;=m_From,S2098&lt;=m_To)),1,0)</f>
        <v/>
      </c>
      <c r="AA2098" s="36">
        <f>IF(AND(OR(sel_Region="All",C2098=sel_Region),OR(sel_Country="All",D2098=sel_Country),OR(sel_Channel="All",E2098=sel_Channel),OR(sel_Customer="All",F2098=sel_Customer),OR(sel_Category="All",G2098=sel_Category),OR(sel_Product="All",H2098=sel_Product)),1,0)</f>
        <v/>
      </c>
    </row>
    <row r="2099">
      <c r="A2099" s="36" t="inlineStr">
        <is>
          <t>01904</t>
        </is>
      </c>
      <c r="B2099" s="44" t="n">
        <v>46308</v>
      </c>
      <c r="C2099" s="36" t="inlineStr">
        <is>
          <t>Western Europe</t>
        </is>
      </c>
      <c r="D2099" s="36" t="inlineStr">
        <is>
          <t>United Kingdom</t>
        </is>
      </c>
      <c r="E2099" s="36" t="inlineStr">
        <is>
          <t>Retail Partners</t>
        </is>
      </c>
      <c r="F2099" s="36" t="inlineStr">
        <is>
          <t>Returning</t>
        </is>
      </c>
      <c r="G2099" s="36" t="inlineStr">
        <is>
          <t>Cycling</t>
        </is>
      </c>
      <c r="H2099" s="36" t="inlineStr">
        <is>
          <t>Trail Bike Light</t>
        </is>
      </c>
      <c r="I2099" s="36" t="n">
        <v>1</v>
      </c>
      <c r="J2099" s="39" t="n">
        <v>50.34</v>
      </c>
      <c r="K2099" s="45" t="n">
        <v>0.15</v>
      </c>
      <c r="L2099" s="39" t="n">
        <v>22.56</v>
      </c>
      <c r="M2099" s="39">
        <f>I2099*J2099*(1-K2099)</f>
        <v/>
      </c>
      <c r="N2099" s="39">
        <f>I2099*L2099</f>
        <v/>
      </c>
      <c r="O2099" s="39">
        <f>M2099-N2099</f>
        <v/>
      </c>
      <c r="P2099" s="38">
        <f>IF(M2099=0,0,O2099/M2099)</f>
        <v/>
      </c>
      <c r="Q2099" s="36">
        <f>YEAR(B2099)</f>
        <v/>
      </c>
      <c r="R2099" s="36">
        <f>"Q"&amp;ROUNDUP(MONTH(B2099)/3,0)</f>
        <v/>
      </c>
      <c r="S2099" s="36">
        <f>MONTH(B2099)</f>
        <v/>
      </c>
      <c r="T2099" s="36">
        <f>TEXT(B2099,"mmm")</f>
        <v/>
      </c>
      <c r="U2099" s="36">
        <f>IF(AND(OR(sel_Region="All",C2099=sel_Region),OR(sel_Country="All",D2099=sel_Country),OR(sel_Channel="All",E2099=sel_Channel),OR(sel_Customer="All",F2099=sel_Customer),OR(sel_Category="All",G2099=sel_Category),OR(sel_Product="All",H2099=sel_Product),AND(S2099&gt;=m_From,S2099&lt;=m_To)),1,0)</f>
        <v/>
      </c>
      <c r="V2099" s="36">
        <f>IF(AND(OR(sel_Region="All",C2099=sel_Region),OR(sel_Channel="All",E2099=sel_Channel),OR(sel_Customer="All",F2099=sel_Customer),OR(sel_Category="All",G2099=sel_Category),OR(sel_Product="All",H2099=sel_Product),AND(S2099&gt;=m_From,S2099&lt;=m_To)),1,0)</f>
        <v/>
      </c>
      <c r="W2099" s="36">
        <f>IF(AND(OR(sel_Region="All",C2099=sel_Region),OR(sel_Country="All",D2099=sel_Country),OR(sel_Customer="All",F2099=sel_Customer),OR(sel_Category="All",G2099=sel_Category),OR(sel_Product="All",H2099=sel_Product),AND(S2099&gt;=m_From,S2099&lt;=m_To)),1,0)</f>
        <v/>
      </c>
      <c r="X2099" s="36">
        <f>IF(AND(OR(sel_Region="All",C2099=sel_Region),OR(sel_Country="All",D2099=sel_Country),OR(sel_Channel="All",E2099=sel_Channel),OR(sel_Category="All",G2099=sel_Category),OR(sel_Product="All",H2099=sel_Product),AND(S2099&gt;=m_From,S2099&lt;=m_To)),1,0)</f>
        <v/>
      </c>
      <c r="Y2099" s="36">
        <f>IF(AND(OR(sel_Region="All",C2099=sel_Region),OR(sel_Country="All",D2099=sel_Country),OR(sel_Channel="All",E2099=sel_Channel),OR(sel_Customer="All",F2099=sel_Customer),OR(sel_Product="All",H2099=sel_Product),AND(S2099&gt;=m_From,S2099&lt;=m_To)),1,0)</f>
        <v/>
      </c>
      <c r="Z2099" s="36">
        <f>IF(AND(OR(sel_Region="All",C2099=sel_Region),OR(sel_Country="All",D2099=sel_Country),OR(sel_Channel="All",E2099=sel_Channel),OR(sel_Customer="All",F2099=sel_Customer),OR(sel_Category="All",G2099=sel_Category),AND(S2099&gt;=m_From,S2099&lt;=m_To)),1,0)</f>
        <v/>
      </c>
      <c r="AA2099" s="36">
        <f>IF(AND(OR(sel_Region="All",C2099=sel_Region),OR(sel_Country="All",D2099=sel_Country),OR(sel_Channel="All",E2099=sel_Channel),OR(sel_Customer="All",F2099=sel_Customer),OR(sel_Category="All",G2099=sel_Category),OR(sel_Product="All",H2099=sel_Product)),1,0)</f>
        <v/>
      </c>
    </row>
    <row r="2100">
      <c r="A2100" s="36" t="inlineStr">
        <is>
          <t>02854</t>
        </is>
      </c>
      <c r="B2100" s="44" t="n">
        <v>46308</v>
      </c>
      <c r="C2100" s="36" t="inlineStr">
        <is>
          <t>Southern Europe</t>
        </is>
      </c>
      <c r="D2100" s="36" t="inlineStr">
        <is>
          <t>Italy</t>
        </is>
      </c>
      <c r="E2100" s="36" t="inlineStr">
        <is>
          <t>Retail Partners</t>
        </is>
      </c>
      <c r="F2100" s="36" t="inlineStr">
        <is>
          <t>New</t>
        </is>
      </c>
      <c r="G2100" s="36" t="inlineStr">
        <is>
          <t>Travel</t>
        </is>
      </c>
      <c r="H2100" s="36" t="inlineStr">
        <is>
          <t>Insulated Bottle</t>
        </is>
      </c>
      <c r="I2100" s="36" t="n">
        <v>3</v>
      </c>
      <c r="J2100" s="39" t="n">
        <v>36.05</v>
      </c>
      <c r="K2100" s="45" t="n">
        <v>0.1</v>
      </c>
      <c r="L2100" s="39" t="n">
        <v>13.87</v>
      </c>
      <c r="M2100" s="39">
        <f>I2100*J2100*(1-K2100)</f>
        <v/>
      </c>
      <c r="N2100" s="39">
        <f>I2100*L2100</f>
        <v/>
      </c>
      <c r="O2100" s="39">
        <f>M2100-N2100</f>
        <v/>
      </c>
      <c r="P2100" s="38">
        <f>IF(M2100=0,0,O2100/M2100)</f>
        <v/>
      </c>
      <c r="Q2100" s="36">
        <f>YEAR(B2100)</f>
        <v/>
      </c>
      <c r="R2100" s="36">
        <f>"Q"&amp;ROUNDUP(MONTH(B2100)/3,0)</f>
        <v/>
      </c>
      <c r="S2100" s="36">
        <f>MONTH(B2100)</f>
        <v/>
      </c>
      <c r="T2100" s="36">
        <f>TEXT(B2100,"mmm")</f>
        <v/>
      </c>
      <c r="U2100" s="36">
        <f>IF(AND(OR(sel_Region="All",C2100=sel_Region),OR(sel_Country="All",D2100=sel_Country),OR(sel_Channel="All",E2100=sel_Channel),OR(sel_Customer="All",F2100=sel_Customer),OR(sel_Category="All",G2100=sel_Category),OR(sel_Product="All",H2100=sel_Product),AND(S2100&gt;=m_From,S2100&lt;=m_To)),1,0)</f>
        <v/>
      </c>
      <c r="V2100" s="36">
        <f>IF(AND(OR(sel_Region="All",C2100=sel_Region),OR(sel_Channel="All",E2100=sel_Channel),OR(sel_Customer="All",F2100=sel_Customer),OR(sel_Category="All",G2100=sel_Category),OR(sel_Product="All",H2100=sel_Product),AND(S2100&gt;=m_From,S2100&lt;=m_To)),1,0)</f>
        <v/>
      </c>
      <c r="W2100" s="36">
        <f>IF(AND(OR(sel_Region="All",C2100=sel_Region),OR(sel_Country="All",D2100=sel_Country),OR(sel_Customer="All",F2100=sel_Customer),OR(sel_Category="All",G2100=sel_Category),OR(sel_Product="All",H2100=sel_Product),AND(S2100&gt;=m_From,S2100&lt;=m_To)),1,0)</f>
        <v/>
      </c>
      <c r="X2100" s="36">
        <f>IF(AND(OR(sel_Region="All",C2100=sel_Region),OR(sel_Country="All",D2100=sel_Country),OR(sel_Channel="All",E2100=sel_Channel),OR(sel_Category="All",G2100=sel_Category),OR(sel_Product="All",H2100=sel_Product),AND(S2100&gt;=m_From,S2100&lt;=m_To)),1,0)</f>
        <v/>
      </c>
      <c r="Y2100" s="36">
        <f>IF(AND(OR(sel_Region="All",C2100=sel_Region),OR(sel_Country="All",D2100=sel_Country),OR(sel_Channel="All",E2100=sel_Channel),OR(sel_Customer="All",F2100=sel_Customer),OR(sel_Product="All",H2100=sel_Product),AND(S2100&gt;=m_From,S2100&lt;=m_To)),1,0)</f>
        <v/>
      </c>
      <c r="Z2100" s="36">
        <f>IF(AND(OR(sel_Region="All",C2100=sel_Region),OR(sel_Country="All",D2100=sel_Country),OR(sel_Channel="All",E2100=sel_Channel),OR(sel_Customer="All",F2100=sel_Customer),OR(sel_Category="All",G2100=sel_Category),AND(S2100&gt;=m_From,S2100&lt;=m_To)),1,0)</f>
        <v/>
      </c>
      <c r="AA2100" s="36">
        <f>IF(AND(OR(sel_Region="All",C2100=sel_Region),OR(sel_Country="All",D2100=sel_Country),OR(sel_Channel="All",E2100=sel_Channel),OR(sel_Customer="All",F2100=sel_Customer),OR(sel_Category="All",G2100=sel_Category),OR(sel_Product="All",H2100=sel_Product)),1,0)</f>
        <v/>
      </c>
    </row>
    <row r="2101">
      <c r="A2101" s="36" t="inlineStr">
        <is>
          <t>03212</t>
        </is>
      </c>
      <c r="B2101" s="44" t="n">
        <v>46308</v>
      </c>
      <c r="C2101" s="36" t="inlineStr">
        <is>
          <t>Northern Europe</t>
        </is>
      </c>
      <c r="D2101" s="36" t="inlineStr">
        <is>
          <t>Sweden</t>
        </is>
      </c>
      <c r="E2101" s="36" t="inlineStr">
        <is>
          <t>Corporate</t>
        </is>
      </c>
      <c r="F2101" s="36" t="inlineStr">
        <is>
          <t>Returning</t>
        </is>
      </c>
      <c r="G2101" s="36" t="inlineStr">
        <is>
          <t>Cycling</t>
        </is>
      </c>
      <c r="H2101" s="36" t="inlineStr">
        <is>
          <t>Compact Repair Kit</t>
        </is>
      </c>
      <c r="I2101" s="36" t="n">
        <v>15</v>
      </c>
      <c r="J2101" s="39" t="n">
        <v>40</v>
      </c>
      <c r="K2101" s="45" t="n">
        <v>0.1</v>
      </c>
      <c r="L2101" s="39" t="n">
        <v>16.42</v>
      </c>
      <c r="M2101" s="39">
        <f>I2101*J2101*(1-K2101)</f>
        <v/>
      </c>
      <c r="N2101" s="39">
        <f>I2101*L2101</f>
        <v/>
      </c>
      <c r="O2101" s="39">
        <f>M2101-N2101</f>
        <v/>
      </c>
      <c r="P2101" s="38">
        <f>IF(M2101=0,0,O2101/M2101)</f>
        <v/>
      </c>
      <c r="Q2101" s="36">
        <f>YEAR(B2101)</f>
        <v/>
      </c>
      <c r="R2101" s="36">
        <f>"Q"&amp;ROUNDUP(MONTH(B2101)/3,0)</f>
        <v/>
      </c>
      <c r="S2101" s="36">
        <f>MONTH(B2101)</f>
        <v/>
      </c>
      <c r="T2101" s="36">
        <f>TEXT(B2101,"mmm")</f>
        <v/>
      </c>
      <c r="U2101" s="36">
        <f>IF(AND(OR(sel_Region="All",C2101=sel_Region),OR(sel_Country="All",D2101=sel_Country),OR(sel_Channel="All",E2101=sel_Channel),OR(sel_Customer="All",F2101=sel_Customer),OR(sel_Category="All",G2101=sel_Category),OR(sel_Product="All",H2101=sel_Product),AND(S2101&gt;=m_From,S2101&lt;=m_To)),1,0)</f>
        <v/>
      </c>
      <c r="V2101" s="36">
        <f>IF(AND(OR(sel_Region="All",C2101=sel_Region),OR(sel_Channel="All",E2101=sel_Channel),OR(sel_Customer="All",F2101=sel_Customer),OR(sel_Category="All",G2101=sel_Category),OR(sel_Product="All",H2101=sel_Product),AND(S2101&gt;=m_From,S2101&lt;=m_To)),1,0)</f>
        <v/>
      </c>
      <c r="W2101" s="36">
        <f>IF(AND(OR(sel_Region="All",C2101=sel_Region),OR(sel_Country="All",D2101=sel_Country),OR(sel_Customer="All",F2101=sel_Customer),OR(sel_Category="All",G2101=sel_Category),OR(sel_Product="All",H2101=sel_Product),AND(S2101&gt;=m_From,S2101&lt;=m_To)),1,0)</f>
        <v/>
      </c>
      <c r="X2101" s="36">
        <f>IF(AND(OR(sel_Region="All",C2101=sel_Region),OR(sel_Country="All",D2101=sel_Country),OR(sel_Channel="All",E2101=sel_Channel),OR(sel_Category="All",G2101=sel_Category),OR(sel_Product="All",H2101=sel_Product),AND(S2101&gt;=m_From,S2101&lt;=m_To)),1,0)</f>
        <v/>
      </c>
      <c r="Y2101" s="36">
        <f>IF(AND(OR(sel_Region="All",C2101=sel_Region),OR(sel_Country="All",D2101=sel_Country),OR(sel_Channel="All",E2101=sel_Channel),OR(sel_Customer="All",F2101=sel_Customer),OR(sel_Product="All",H2101=sel_Product),AND(S2101&gt;=m_From,S2101&lt;=m_To)),1,0)</f>
        <v/>
      </c>
      <c r="Z2101" s="36">
        <f>IF(AND(OR(sel_Region="All",C2101=sel_Region),OR(sel_Country="All",D2101=sel_Country),OR(sel_Channel="All",E2101=sel_Channel),OR(sel_Customer="All",F2101=sel_Customer),OR(sel_Category="All",G2101=sel_Category),AND(S2101&gt;=m_From,S2101&lt;=m_To)),1,0)</f>
        <v/>
      </c>
      <c r="AA2101" s="36">
        <f>IF(AND(OR(sel_Region="All",C2101=sel_Region),OR(sel_Country="All",D2101=sel_Country),OR(sel_Channel="All",E2101=sel_Channel),OR(sel_Customer="All",F2101=sel_Customer),OR(sel_Category="All",G2101=sel_Category),OR(sel_Product="All",H2101=sel_Product)),1,0)</f>
        <v/>
      </c>
    </row>
    <row r="2102">
      <c r="A2102" s="36" t="inlineStr">
        <is>
          <t>04479</t>
        </is>
      </c>
      <c r="B2102" s="44" t="n">
        <v>46308</v>
      </c>
      <c r="C2102" s="36" t="inlineStr">
        <is>
          <t>Western Europe</t>
        </is>
      </c>
      <c r="D2102" s="36" t="inlineStr">
        <is>
          <t>Netherlands</t>
        </is>
      </c>
      <c r="E2102" s="36" t="inlineStr">
        <is>
          <t>Retail Partners</t>
        </is>
      </c>
      <c r="F2102" s="36" t="inlineStr">
        <is>
          <t>Returning</t>
        </is>
      </c>
      <c r="G2102" s="36" t="inlineStr">
        <is>
          <t>Hiking</t>
        </is>
      </c>
      <c r="H2102" s="36" t="inlineStr">
        <is>
          <t>Summit Backpack 45L</t>
        </is>
      </c>
      <c r="I2102" s="36" t="n">
        <v>1</v>
      </c>
      <c r="J2102" s="39" t="n">
        <v>151.68</v>
      </c>
      <c r="K2102" s="45" t="n">
        <v>0.05</v>
      </c>
      <c r="L2102" s="39" t="n">
        <v>78.98</v>
      </c>
      <c r="M2102" s="39">
        <f>I2102*J2102*(1-K2102)</f>
        <v/>
      </c>
      <c r="N2102" s="39">
        <f>I2102*L2102</f>
        <v/>
      </c>
      <c r="O2102" s="39">
        <f>M2102-N2102</f>
        <v/>
      </c>
      <c r="P2102" s="38">
        <f>IF(M2102=0,0,O2102/M2102)</f>
        <v/>
      </c>
      <c r="Q2102" s="36">
        <f>YEAR(B2102)</f>
        <v/>
      </c>
      <c r="R2102" s="36">
        <f>"Q"&amp;ROUNDUP(MONTH(B2102)/3,0)</f>
        <v/>
      </c>
      <c r="S2102" s="36">
        <f>MONTH(B2102)</f>
        <v/>
      </c>
      <c r="T2102" s="36">
        <f>TEXT(B2102,"mmm")</f>
        <v/>
      </c>
      <c r="U2102" s="36">
        <f>IF(AND(OR(sel_Region="All",C2102=sel_Region),OR(sel_Country="All",D2102=sel_Country),OR(sel_Channel="All",E2102=sel_Channel),OR(sel_Customer="All",F2102=sel_Customer),OR(sel_Category="All",G2102=sel_Category),OR(sel_Product="All",H2102=sel_Product),AND(S2102&gt;=m_From,S2102&lt;=m_To)),1,0)</f>
        <v/>
      </c>
      <c r="V2102" s="36">
        <f>IF(AND(OR(sel_Region="All",C2102=sel_Region),OR(sel_Channel="All",E2102=sel_Channel),OR(sel_Customer="All",F2102=sel_Customer),OR(sel_Category="All",G2102=sel_Category),OR(sel_Product="All",H2102=sel_Product),AND(S2102&gt;=m_From,S2102&lt;=m_To)),1,0)</f>
        <v/>
      </c>
      <c r="W2102" s="36">
        <f>IF(AND(OR(sel_Region="All",C2102=sel_Region),OR(sel_Country="All",D2102=sel_Country),OR(sel_Customer="All",F2102=sel_Customer),OR(sel_Category="All",G2102=sel_Category),OR(sel_Product="All",H2102=sel_Product),AND(S2102&gt;=m_From,S2102&lt;=m_To)),1,0)</f>
        <v/>
      </c>
      <c r="X2102" s="36">
        <f>IF(AND(OR(sel_Region="All",C2102=sel_Region),OR(sel_Country="All",D2102=sel_Country),OR(sel_Channel="All",E2102=sel_Channel),OR(sel_Category="All",G2102=sel_Category),OR(sel_Product="All",H2102=sel_Product),AND(S2102&gt;=m_From,S2102&lt;=m_To)),1,0)</f>
        <v/>
      </c>
      <c r="Y2102" s="36">
        <f>IF(AND(OR(sel_Region="All",C2102=sel_Region),OR(sel_Country="All",D2102=sel_Country),OR(sel_Channel="All",E2102=sel_Channel),OR(sel_Customer="All",F2102=sel_Customer),OR(sel_Product="All",H2102=sel_Product),AND(S2102&gt;=m_From,S2102&lt;=m_To)),1,0)</f>
        <v/>
      </c>
      <c r="Z2102" s="36">
        <f>IF(AND(OR(sel_Region="All",C2102=sel_Region),OR(sel_Country="All",D2102=sel_Country),OR(sel_Channel="All",E2102=sel_Channel),OR(sel_Customer="All",F2102=sel_Customer),OR(sel_Category="All",G2102=sel_Category),AND(S2102&gt;=m_From,S2102&lt;=m_To)),1,0)</f>
        <v/>
      </c>
      <c r="AA2102" s="36">
        <f>IF(AND(OR(sel_Region="All",C2102=sel_Region),OR(sel_Country="All",D2102=sel_Country),OR(sel_Channel="All",E2102=sel_Channel),OR(sel_Customer="All",F2102=sel_Customer),OR(sel_Category="All",G2102=sel_Category),OR(sel_Product="All",H2102=sel_Product)),1,0)</f>
        <v/>
      </c>
    </row>
    <row r="2103">
      <c r="A2103" s="36" t="inlineStr">
        <is>
          <t>04574</t>
        </is>
      </c>
      <c r="B2103" s="44" t="n">
        <v>46308</v>
      </c>
      <c r="C2103" s="36" t="inlineStr">
        <is>
          <t>Central Europe</t>
        </is>
      </c>
      <c r="D2103" s="36" t="inlineStr">
        <is>
          <t>Poland</t>
        </is>
      </c>
      <c r="E2103" s="36" t="inlineStr">
        <is>
          <t>Online Store</t>
        </is>
      </c>
      <c r="F2103" s="36" t="inlineStr">
        <is>
          <t>Business</t>
        </is>
      </c>
      <c r="G2103" s="36" t="inlineStr">
        <is>
          <t>Fitness</t>
        </is>
      </c>
      <c r="H2103" s="36" t="inlineStr">
        <is>
          <t>Recovery Roller</t>
        </is>
      </c>
      <c r="I2103" s="36" t="n">
        <v>1</v>
      </c>
      <c r="J2103" s="39" t="n">
        <v>36.53</v>
      </c>
      <c r="K2103" s="45" t="n">
        <v>0</v>
      </c>
      <c r="L2103" s="39" t="n">
        <v>14.01</v>
      </c>
      <c r="M2103" s="39">
        <f>I2103*J2103*(1-K2103)</f>
        <v/>
      </c>
      <c r="N2103" s="39">
        <f>I2103*L2103</f>
        <v/>
      </c>
      <c r="O2103" s="39">
        <f>M2103-N2103</f>
        <v/>
      </c>
      <c r="P2103" s="38">
        <f>IF(M2103=0,0,O2103/M2103)</f>
        <v/>
      </c>
      <c r="Q2103" s="36">
        <f>YEAR(B2103)</f>
        <v/>
      </c>
      <c r="R2103" s="36">
        <f>"Q"&amp;ROUNDUP(MONTH(B2103)/3,0)</f>
        <v/>
      </c>
      <c r="S2103" s="36">
        <f>MONTH(B2103)</f>
        <v/>
      </c>
      <c r="T2103" s="36">
        <f>TEXT(B2103,"mmm")</f>
        <v/>
      </c>
      <c r="U2103" s="36">
        <f>IF(AND(OR(sel_Region="All",C2103=sel_Region),OR(sel_Country="All",D2103=sel_Country),OR(sel_Channel="All",E2103=sel_Channel),OR(sel_Customer="All",F2103=sel_Customer),OR(sel_Category="All",G2103=sel_Category),OR(sel_Product="All",H2103=sel_Product),AND(S2103&gt;=m_From,S2103&lt;=m_To)),1,0)</f>
        <v/>
      </c>
      <c r="V2103" s="36">
        <f>IF(AND(OR(sel_Region="All",C2103=sel_Region),OR(sel_Channel="All",E2103=sel_Channel),OR(sel_Customer="All",F2103=sel_Customer),OR(sel_Category="All",G2103=sel_Category),OR(sel_Product="All",H2103=sel_Product),AND(S2103&gt;=m_From,S2103&lt;=m_To)),1,0)</f>
        <v/>
      </c>
      <c r="W2103" s="36">
        <f>IF(AND(OR(sel_Region="All",C2103=sel_Region),OR(sel_Country="All",D2103=sel_Country),OR(sel_Customer="All",F2103=sel_Customer),OR(sel_Category="All",G2103=sel_Category),OR(sel_Product="All",H2103=sel_Product),AND(S2103&gt;=m_From,S2103&lt;=m_To)),1,0)</f>
        <v/>
      </c>
      <c r="X2103" s="36">
        <f>IF(AND(OR(sel_Region="All",C2103=sel_Region),OR(sel_Country="All",D2103=sel_Country),OR(sel_Channel="All",E2103=sel_Channel),OR(sel_Category="All",G2103=sel_Category),OR(sel_Product="All",H2103=sel_Product),AND(S2103&gt;=m_From,S2103&lt;=m_To)),1,0)</f>
        <v/>
      </c>
      <c r="Y2103" s="36">
        <f>IF(AND(OR(sel_Region="All",C2103=sel_Region),OR(sel_Country="All",D2103=sel_Country),OR(sel_Channel="All",E2103=sel_Channel),OR(sel_Customer="All",F2103=sel_Customer),OR(sel_Product="All",H2103=sel_Product),AND(S2103&gt;=m_From,S2103&lt;=m_To)),1,0)</f>
        <v/>
      </c>
      <c r="Z2103" s="36">
        <f>IF(AND(OR(sel_Region="All",C2103=sel_Region),OR(sel_Country="All",D2103=sel_Country),OR(sel_Channel="All",E2103=sel_Channel),OR(sel_Customer="All",F2103=sel_Customer),OR(sel_Category="All",G2103=sel_Category),AND(S2103&gt;=m_From,S2103&lt;=m_To)),1,0)</f>
        <v/>
      </c>
      <c r="AA2103" s="36">
        <f>IF(AND(OR(sel_Region="All",C2103=sel_Region),OR(sel_Country="All",D2103=sel_Country),OR(sel_Channel="All",E2103=sel_Channel),OR(sel_Customer="All",F2103=sel_Customer),OR(sel_Category="All",G2103=sel_Category),OR(sel_Product="All",H2103=sel_Product)),1,0)</f>
        <v/>
      </c>
    </row>
    <row r="2104">
      <c r="A2104" s="36" t="inlineStr">
        <is>
          <t>04815</t>
        </is>
      </c>
      <c r="B2104" s="44" t="n">
        <v>46308</v>
      </c>
      <c r="C2104" s="36" t="inlineStr">
        <is>
          <t>Southern Europe</t>
        </is>
      </c>
      <c r="D2104" s="36" t="inlineStr">
        <is>
          <t>Spain</t>
        </is>
      </c>
      <c r="E2104" s="36" t="inlineStr">
        <is>
          <t>Retail Partners</t>
        </is>
      </c>
      <c r="F2104" s="36" t="inlineStr">
        <is>
          <t>Business</t>
        </is>
      </c>
      <c r="G2104" s="36" t="inlineStr">
        <is>
          <t>Cycling</t>
        </is>
      </c>
      <c r="H2104" s="36" t="inlineStr">
        <is>
          <t>Compact Repair Kit</t>
        </is>
      </c>
      <c r="I2104" s="36" t="n">
        <v>1</v>
      </c>
      <c r="J2104" s="39" t="n">
        <v>39.89</v>
      </c>
      <c r="K2104" s="45" t="n">
        <v>0.05</v>
      </c>
      <c r="L2104" s="39" t="n">
        <v>16.91</v>
      </c>
      <c r="M2104" s="39">
        <f>I2104*J2104*(1-K2104)</f>
        <v/>
      </c>
      <c r="N2104" s="39">
        <f>I2104*L2104</f>
        <v/>
      </c>
      <c r="O2104" s="39">
        <f>M2104-N2104</f>
        <v/>
      </c>
      <c r="P2104" s="38">
        <f>IF(M2104=0,0,O2104/M2104)</f>
        <v/>
      </c>
      <c r="Q2104" s="36">
        <f>YEAR(B2104)</f>
        <v/>
      </c>
      <c r="R2104" s="36">
        <f>"Q"&amp;ROUNDUP(MONTH(B2104)/3,0)</f>
        <v/>
      </c>
      <c r="S2104" s="36">
        <f>MONTH(B2104)</f>
        <v/>
      </c>
      <c r="T2104" s="36">
        <f>TEXT(B2104,"mmm")</f>
        <v/>
      </c>
      <c r="U2104" s="36">
        <f>IF(AND(OR(sel_Region="All",C2104=sel_Region),OR(sel_Country="All",D2104=sel_Country),OR(sel_Channel="All",E2104=sel_Channel),OR(sel_Customer="All",F2104=sel_Customer),OR(sel_Category="All",G2104=sel_Category),OR(sel_Product="All",H2104=sel_Product),AND(S2104&gt;=m_From,S2104&lt;=m_To)),1,0)</f>
        <v/>
      </c>
      <c r="V2104" s="36">
        <f>IF(AND(OR(sel_Region="All",C2104=sel_Region),OR(sel_Channel="All",E2104=sel_Channel),OR(sel_Customer="All",F2104=sel_Customer),OR(sel_Category="All",G2104=sel_Category),OR(sel_Product="All",H2104=sel_Product),AND(S2104&gt;=m_From,S2104&lt;=m_To)),1,0)</f>
        <v/>
      </c>
      <c r="W2104" s="36">
        <f>IF(AND(OR(sel_Region="All",C2104=sel_Region),OR(sel_Country="All",D2104=sel_Country),OR(sel_Customer="All",F2104=sel_Customer),OR(sel_Category="All",G2104=sel_Category),OR(sel_Product="All",H2104=sel_Product),AND(S2104&gt;=m_From,S2104&lt;=m_To)),1,0)</f>
        <v/>
      </c>
      <c r="X2104" s="36">
        <f>IF(AND(OR(sel_Region="All",C2104=sel_Region),OR(sel_Country="All",D2104=sel_Country),OR(sel_Channel="All",E2104=sel_Channel),OR(sel_Category="All",G2104=sel_Category),OR(sel_Product="All",H2104=sel_Product),AND(S2104&gt;=m_From,S2104&lt;=m_To)),1,0)</f>
        <v/>
      </c>
      <c r="Y2104" s="36">
        <f>IF(AND(OR(sel_Region="All",C2104=sel_Region),OR(sel_Country="All",D2104=sel_Country),OR(sel_Channel="All",E2104=sel_Channel),OR(sel_Customer="All",F2104=sel_Customer),OR(sel_Product="All",H2104=sel_Product),AND(S2104&gt;=m_From,S2104&lt;=m_To)),1,0)</f>
        <v/>
      </c>
      <c r="Z2104" s="36">
        <f>IF(AND(OR(sel_Region="All",C2104=sel_Region),OR(sel_Country="All",D2104=sel_Country),OR(sel_Channel="All",E2104=sel_Channel),OR(sel_Customer="All",F2104=sel_Customer),OR(sel_Category="All",G2104=sel_Category),AND(S2104&gt;=m_From,S2104&lt;=m_To)),1,0)</f>
        <v/>
      </c>
      <c r="AA2104" s="36">
        <f>IF(AND(OR(sel_Region="All",C2104=sel_Region),OR(sel_Country="All",D2104=sel_Country),OR(sel_Channel="All",E2104=sel_Channel),OR(sel_Customer="All",F2104=sel_Customer),OR(sel_Category="All",G2104=sel_Category),OR(sel_Product="All",H2104=sel_Product)),1,0)</f>
        <v/>
      </c>
    </row>
    <row r="2105">
      <c r="A2105" s="36" t="inlineStr">
        <is>
          <t>05027</t>
        </is>
      </c>
      <c r="B2105" s="44" t="n">
        <v>46308</v>
      </c>
      <c r="C2105" s="36" t="inlineStr">
        <is>
          <t>Northern Europe</t>
        </is>
      </c>
      <c r="D2105" s="36" t="inlineStr">
        <is>
          <t>Finland</t>
        </is>
      </c>
      <c r="E2105" s="36" t="inlineStr">
        <is>
          <t>Online Store</t>
        </is>
      </c>
      <c r="F2105" s="36" t="inlineStr">
        <is>
          <t>New</t>
        </is>
      </c>
      <c r="G2105" s="36" t="inlineStr">
        <is>
          <t>Hiking</t>
        </is>
      </c>
      <c r="H2105" s="36" t="inlineStr">
        <is>
          <t>Summit Backpack 45L</t>
        </is>
      </c>
      <c r="I2105" s="36" t="n">
        <v>1</v>
      </c>
      <c r="J2105" s="39" t="n">
        <v>154.53</v>
      </c>
      <c r="K2105" s="45" t="n">
        <v>0</v>
      </c>
      <c r="L2105" s="39" t="n">
        <v>77.93000000000001</v>
      </c>
      <c r="M2105" s="39">
        <f>I2105*J2105*(1-K2105)</f>
        <v/>
      </c>
      <c r="N2105" s="39">
        <f>I2105*L2105</f>
        <v/>
      </c>
      <c r="O2105" s="39">
        <f>M2105-N2105</f>
        <v/>
      </c>
      <c r="P2105" s="38">
        <f>IF(M2105=0,0,O2105/M2105)</f>
        <v/>
      </c>
      <c r="Q2105" s="36">
        <f>YEAR(B2105)</f>
        <v/>
      </c>
      <c r="R2105" s="36">
        <f>"Q"&amp;ROUNDUP(MONTH(B2105)/3,0)</f>
        <v/>
      </c>
      <c r="S2105" s="36">
        <f>MONTH(B2105)</f>
        <v/>
      </c>
      <c r="T2105" s="36">
        <f>TEXT(B2105,"mmm")</f>
        <v/>
      </c>
      <c r="U2105" s="36">
        <f>IF(AND(OR(sel_Region="All",C2105=sel_Region),OR(sel_Country="All",D2105=sel_Country),OR(sel_Channel="All",E2105=sel_Channel),OR(sel_Customer="All",F2105=sel_Customer),OR(sel_Category="All",G2105=sel_Category),OR(sel_Product="All",H2105=sel_Product),AND(S2105&gt;=m_From,S2105&lt;=m_To)),1,0)</f>
        <v/>
      </c>
      <c r="V2105" s="36">
        <f>IF(AND(OR(sel_Region="All",C2105=sel_Region),OR(sel_Channel="All",E2105=sel_Channel),OR(sel_Customer="All",F2105=sel_Customer),OR(sel_Category="All",G2105=sel_Category),OR(sel_Product="All",H2105=sel_Product),AND(S2105&gt;=m_From,S2105&lt;=m_To)),1,0)</f>
        <v/>
      </c>
      <c r="W2105" s="36">
        <f>IF(AND(OR(sel_Region="All",C2105=sel_Region),OR(sel_Country="All",D2105=sel_Country),OR(sel_Customer="All",F2105=sel_Customer),OR(sel_Category="All",G2105=sel_Category),OR(sel_Product="All",H2105=sel_Product),AND(S2105&gt;=m_From,S2105&lt;=m_To)),1,0)</f>
        <v/>
      </c>
      <c r="X2105" s="36">
        <f>IF(AND(OR(sel_Region="All",C2105=sel_Region),OR(sel_Country="All",D2105=sel_Country),OR(sel_Channel="All",E2105=sel_Channel),OR(sel_Category="All",G2105=sel_Category),OR(sel_Product="All",H2105=sel_Product),AND(S2105&gt;=m_From,S2105&lt;=m_To)),1,0)</f>
        <v/>
      </c>
      <c r="Y2105" s="36">
        <f>IF(AND(OR(sel_Region="All",C2105=sel_Region),OR(sel_Country="All",D2105=sel_Country),OR(sel_Channel="All",E2105=sel_Channel),OR(sel_Customer="All",F2105=sel_Customer),OR(sel_Product="All",H2105=sel_Product),AND(S2105&gt;=m_From,S2105&lt;=m_To)),1,0)</f>
        <v/>
      </c>
      <c r="Z2105" s="36">
        <f>IF(AND(OR(sel_Region="All",C2105=sel_Region),OR(sel_Country="All",D2105=sel_Country),OR(sel_Channel="All",E2105=sel_Channel),OR(sel_Customer="All",F2105=sel_Customer),OR(sel_Category="All",G2105=sel_Category),AND(S2105&gt;=m_From,S2105&lt;=m_To)),1,0)</f>
        <v/>
      </c>
      <c r="AA2105" s="36">
        <f>IF(AND(OR(sel_Region="All",C2105=sel_Region),OR(sel_Country="All",D2105=sel_Country),OR(sel_Channel="All",E2105=sel_Channel),OR(sel_Customer="All",F2105=sel_Customer),OR(sel_Category="All",G2105=sel_Category),OR(sel_Product="All",H2105=sel_Product)),1,0)</f>
        <v/>
      </c>
    </row>
    <row r="2106">
      <c r="A2106" s="36" t="inlineStr">
        <is>
          <t>01794</t>
        </is>
      </c>
      <c r="B2106" s="44" t="n">
        <v>46309</v>
      </c>
      <c r="C2106" s="36" t="inlineStr">
        <is>
          <t>Western Europe</t>
        </is>
      </c>
      <c r="D2106" s="36" t="inlineStr">
        <is>
          <t>United Kingdom</t>
        </is>
      </c>
      <c r="E2106" s="36" t="inlineStr">
        <is>
          <t>Marketplace</t>
        </is>
      </c>
      <c r="F2106" s="36" t="inlineStr">
        <is>
          <t>Business</t>
        </is>
      </c>
      <c r="G2106" s="36" t="inlineStr">
        <is>
          <t>Cycling</t>
        </is>
      </c>
      <c r="H2106" s="36" t="inlineStr">
        <is>
          <t>Trail Bike Light</t>
        </is>
      </c>
      <c r="I2106" s="36" t="n">
        <v>2</v>
      </c>
      <c r="J2106" s="39" t="n">
        <v>50.64</v>
      </c>
      <c r="K2106" s="45" t="n">
        <v>0.05</v>
      </c>
      <c r="L2106" s="39" t="n">
        <v>22.28</v>
      </c>
      <c r="M2106" s="39">
        <f>I2106*J2106*(1-K2106)</f>
        <v/>
      </c>
      <c r="N2106" s="39">
        <f>I2106*L2106</f>
        <v/>
      </c>
      <c r="O2106" s="39">
        <f>M2106-N2106</f>
        <v/>
      </c>
      <c r="P2106" s="38">
        <f>IF(M2106=0,0,O2106/M2106)</f>
        <v/>
      </c>
      <c r="Q2106" s="36">
        <f>YEAR(B2106)</f>
        <v/>
      </c>
      <c r="R2106" s="36">
        <f>"Q"&amp;ROUNDUP(MONTH(B2106)/3,0)</f>
        <v/>
      </c>
      <c r="S2106" s="36">
        <f>MONTH(B2106)</f>
        <v/>
      </c>
      <c r="T2106" s="36">
        <f>TEXT(B2106,"mmm")</f>
        <v/>
      </c>
      <c r="U2106" s="36">
        <f>IF(AND(OR(sel_Region="All",C2106=sel_Region),OR(sel_Country="All",D2106=sel_Country),OR(sel_Channel="All",E2106=sel_Channel),OR(sel_Customer="All",F2106=sel_Customer),OR(sel_Category="All",G2106=sel_Category),OR(sel_Product="All",H2106=sel_Product),AND(S2106&gt;=m_From,S2106&lt;=m_To)),1,0)</f>
        <v/>
      </c>
      <c r="V2106" s="36">
        <f>IF(AND(OR(sel_Region="All",C2106=sel_Region),OR(sel_Channel="All",E2106=sel_Channel),OR(sel_Customer="All",F2106=sel_Customer),OR(sel_Category="All",G2106=sel_Category),OR(sel_Product="All",H2106=sel_Product),AND(S2106&gt;=m_From,S2106&lt;=m_To)),1,0)</f>
        <v/>
      </c>
      <c r="W2106" s="36">
        <f>IF(AND(OR(sel_Region="All",C2106=sel_Region),OR(sel_Country="All",D2106=sel_Country),OR(sel_Customer="All",F2106=sel_Customer),OR(sel_Category="All",G2106=sel_Category),OR(sel_Product="All",H2106=sel_Product),AND(S2106&gt;=m_From,S2106&lt;=m_To)),1,0)</f>
        <v/>
      </c>
      <c r="X2106" s="36">
        <f>IF(AND(OR(sel_Region="All",C2106=sel_Region),OR(sel_Country="All",D2106=sel_Country),OR(sel_Channel="All",E2106=sel_Channel),OR(sel_Category="All",G2106=sel_Category),OR(sel_Product="All",H2106=sel_Product),AND(S2106&gt;=m_From,S2106&lt;=m_To)),1,0)</f>
        <v/>
      </c>
      <c r="Y2106" s="36">
        <f>IF(AND(OR(sel_Region="All",C2106=sel_Region),OR(sel_Country="All",D2106=sel_Country),OR(sel_Channel="All",E2106=sel_Channel),OR(sel_Customer="All",F2106=sel_Customer),OR(sel_Product="All",H2106=sel_Product),AND(S2106&gt;=m_From,S2106&lt;=m_To)),1,0)</f>
        <v/>
      </c>
      <c r="Z2106" s="36">
        <f>IF(AND(OR(sel_Region="All",C2106=sel_Region),OR(sel_Country="All",D2106=sel_Country),OR(sel_Channel="All",E2106=sel_Channel),OR(sel_Customer="All",F2106=sel_Customer),OR(sel_Category="All",G2106=sel_Category),AND(S2106&gt;=m_From,S2106&lt;=m_To)),1,0)</f>
        <v/>
      </c>
      <c r="AA2106" s="36">
        <f>IF(AND(OR(sel_Region="All",C2106=sel_Region),OR(sel_Country="All",D2106=sel_Country),OR(sel_Channel="All",E2106=sel_Channel),OR(sel_Customer="All",F2106=sel_Customer),OR(sel_Category="All",G2106=sel_Category),OR(sel_Product="All",H2106=sel_Product)),1,0)</f>
        <v/>
      </c>
    </row>
    <row r="2107">
      <c r="A2107" s="36" t="inlineStr">
        <is>
          <t>01867</t>
        </is>
      </c>
      <c r="B2107" s="44" t="n">
        <v>46309</v>
      </c>
      <c r="C2107" s="36" t="inlineStr">
        <is>
          <t>Southern Europe</t>
        </is>
      </c>
      <c r="D2107" s="36" t="inlineStr">
        <is>
          <t>Spain</t>
        </is>
      </c>
      <c r="E2107" s="36" t="inlineStr">
        <is>
          <t>Online Store</t>
        </is>
      </c>
      <c r="F2107" s="36" t="inlineStr">
        <is>
          <t>New</t>
        </is>
      </c>
      <c r="G2107" s="36" t="inlineStr">
        <is>
          <t>Fitness</t>
        </is>
      </c>
      <c r="H2107" s="36" t="inlineStr">
        <is>
          <t>Resistance Band Set</t>
        </is>
      </c>
      <c r="I2107" s="36" t="n">
        <v>3</v>
      </c>
      <c r="J2107" s="39" t="n">
        <v>40.88</v>
      </c>
      <c r="K2107" s="45" t="n">
        <v>0.05</v>
      </c>
      <c r="L2107" s="39" t="n">
        <v>14.59</v>
      </c>
      <c r="M2107" s="39">
        <f>I2107*J2107*(1-K2107)</f>
        <v/>
      </c>
      <c r="N2107" s="39">
        <f>I2107*L2107</f>
        <v/>
      </c>
      <c r="O2107" s="39">
        <f>M2107-N2107</f>
        <v/>
      </c>
      <c r="P2107" s="38">
        <f>IF(M2107=0,0,O2107/M2107)</f>
        <v/>
      </c>
      <c r="Q2107" s="36">
        <f>YEAR(B2107)</f>
        <v/>
      </c>
      <c r="R2107" s="36">
        <f>"Q"&amp;ROUNDUP(MONTH(B2107)/3,0)</f>
        <v/>
      </c>
      <c r="S2107" s="36">
        <f>MONTH(B2107)</f>
        <v/>
      </c>
      <c r="T2107" s="36">
        <f>TEXT(B2107,"mmm")</f>
        <v/>
      </c>
      <c r="U2107" s="36">
        <f>IF(AND(OR(sel_Region="All",C2107=sel_Region),OR(sel_Country="All",D2107=sel_Country),OR(sel_Channel="All",E2107=sel_Channel),OR(sel_Customer="All",F2107=sel_Customer),OR(sel_Category="All",G2107=sel_Category),OR(sel_Product="All",H2107=sel_Product),AND(S2107&gt;=m_From,S2107&lt;=m_To)),1,0)</f>
        <v/>
      </c>
      <c r="V2107" s="36">
        <f>IF(AND(OR(sel_Region="All",C2107=sel_Region),OR(sel_Channel="All",E2107=sel_Channel),OR(sel_Customer="All",F2107=sel_Customer),OR(sel_Category="All",G2107=sel_Category),OR(sel_Product="All",H2107=sel_Product),AND(S2107&gt;=m_From,S2107&lt;=m_To)),1,0)</f>
        <v/>
      </c>
      <c r="W2107" s="36">
        <f>IF(AND(OR(sel_Region="All",C2107=sel_Region),OR(sel_Country="All",D2107=sel_Country),OR(sel_Customer="All",F2107=sel_Customer),OR(sel_Category="All",G2107=sel_Category),OR(sel_Product="All",H2107=sel_Product),AND(S2107&gt;=m_From,S2107&lt;=m_To)),1,0)</f>
        <v/>
      </c>
      <c r="X2107" s="36">
        <f>IF(AND(OR(sel_Region="All",C2107=sel_Region),OR(sel_Country="All",D2107=sel_Country),OR(sel_Channel="All",E2107=sel_Channel),OR(sel_Category="All",G2107=sel_Category),OR(sel_Product="All",H2107=sel_Product),AND(S2107&gt;=m_From,S2107&lt;=m_To)),1,0)</f>
        <v/>
      </c>
      <c r="Y2107" s="36">
        <f>IF(AND(OR(sel_Region="All",C2107=sel_Region),OR(sel_Country="All",D2107=sel_Country),OR(sel_Channel="All",E2107=sel_Channel),OR(sel_Customer="All",F2107=sel_Customer),OR(sel_Product="All",H2107=sel_Product),AND(S2107&gt;=m_From,S2107&lt;=m_To)),1,0)</f>
        <v/>
      </c>
      <c r="Z2107" s="36">
        <f>IF(AND(OR(sel_Region="All",C2107=sel_Region),OR(sel_Country="All",D2107=sel_Country),OR(sel_Channel="All",E2107=sel_Channel),OR(sel_Customer="All",F2107=sel_Customer),OR(sel_Category="All",G2107=sel_Category),AND(S2107&gt;=m_From,S2107&lt;=m_To)),1,0)</f>
        <v/>
      </c>
      <c r="AA2107" s="36">
        <f>IF(AND(OR(sel_Region="All",C2107=sel_Region),OR(sel_Country="All",D2107=sel_Country),OR(sel_Channel="All",E2107=sel_Channel),OR(sel_Customer="All",F2107=sel_Customer),OR(sel_Category="All",G2107=sel_Category),OR(sel_Product="All",H2107=sel_Product)),1,0)</f>
        <v/>
      </c>
    </row>
    <row r="2108">
      <c r="A2108" s="36" t="inlineStr">
        <is>
          <t>02088</t>
        </is>
      </c>
      <c r="B2108" s="44" t="n">
        <v>46309</v>
      </c>
      <c r="C2108" s="36" t="inlineStr">
        <is>
          <t>Western Europe</t>
        </is>
      </c>
      <c r="D2108" s="36" t="inlineStr">
        <is>
          <t>Belgium</t>
        </is>
      </c>
      <c r="E2108" s="36" t="inlineStr">
        <is>
          <t>Retail Partners</t>
        </is>
      </c>
      <c r="F2108" s="36" t="inlineStr">
        <is>
          <t>Returning</t>
        </is>
      </c>
      <c r="G2108" s="36" t="inlineStr">
        <is>
          <t>Hiking</t>
        </is>
      </c>
      <c r="H2108" s="36" t="inlineStr">
        <is>
          <t>Trail Boots</t>
        </is>
      </c>
      <c r="I2108" s="36" t="n">
        <v>1</v>
      </c>
      <c r="J2108" s="39" t="n">
        <v>141.77</v>
      </c>
      <c r="K2108" s="45" t="n">
        <v>0</v>
      </c>
      <c r="L2108" s="39" t="n">
        <v>78.48</v>
      </c>
      <c r="M2108" s="39">
        <f>I2108*J2108*(1-K2108)</f>
        <v/>
      </c>
      <c r="N2108" s="39">
        <f>I2108*L2108</f>
        <v/>
      </c>
      <c r="O2108" s="39">
        <f>M2108-N2108</f>
        <v/>
      </c>
      <c r="P2108" s="38">
        <f>IF(M2108=0,0,O2108/M2108)</f>
        <v/>
      </c>
      <c r="Q2108" s="36">
        <f>YEAR(B2108)</f>
        <v/>
      </c>
      <c r="R2108" s="36">
        <f>"Q"&amp;ROUNDUP(MONTH(B2108)/3,0)</f>
        <v/>
      </c>
      <c r="S2108" s="36">
        <f>MONTH(B2108)</f>
        <v/>
      </c>
      <c r="T2108" s="36">
        <f>TEXT(B2108,"mmm")</f>
        <v/>
      </c>
      <c r="U2108" s="36">
        <f>IF(AND(OR(sel_Region="All",C2108=sel_Region),OR(sel_Country="All",D2108=sel_Country),OR(sel_Channel="All",E2108=sel_Channel),OR(sel_Customer="All",F2108=sel_Customer),OR(sel_Category="All",G2108=sel_Category),OR(sel_Product="All",H2108=sel_Product),AND(S2108&gt;=m_From,S2108&lt;=m_To)),1,0)</f>
        <v/>
      </c>
      <c r="V2108" s="36">
        <f>IF(AND(OR(sel_Region="All",C2108=sel_Region),OR(sel_Channel="All",E2108=sel_Channel),OR(sel_Customer="All",F2108=sel_Customer),OR(sel_Category="All",G2108=sel_Category),OR(sel_Product="All",H2108=sel_Product),AND(S2108&gt;=m_From,S2108&lt;=m_To)),1,0)</f>
        <v/>
      </c>
      <c r="W2108" s="36">
        <f>IF(AND(OR(sel_Region="All",C2108=sel_Region),OR(sel_Country="All",D2108=sel_Country),OR(sel_Customer="All",F2108=sel_Customer),OR(sel_Category="All",G2108=sel_Category),OR(sel_Product="All",H2108=sel_Product),AND(S2108&gt;=m_From,S2108&lt;=m_To)),1,0)</f>
        <v/>
      </c>
      <c r="X2108" s="36">
        <f>IF(AND(OR(sel_Region="All",C2108=sel_Region),OR(sel_Country="All",D2108=sel_Country),OR(sel_Channel="All",E2108=sel_Channel),OR(sel_Category="All",G2108=sel_Category),OR(sel_Product="All",H2108=sel_Product),AND(S2108&gt;=m_From,S2108&lt;=m_To)),1,0)</f>
        <v/>
      </c>
      <c r="Y2108" s="36">
        <f>IF(AND(OR(sel_Region="All",C2108=sel_Region),OR(sel_Country="All",D2108=sel_Country),OR(sel_Channel="All",E2108=sel_Channel),OR(sel_Customer="All",F2108=sel_Customer),OR(sel_Product="All",H2108=sel_Product),AND(S2108&gt;=m_From,S2108&lt;=m_To)),1,0)</f>
        <v/>
      </c>
      <c r="Z2108" s="36">
        <f>IF(AND(OR(sel_Region="All",C2108=sel_Region),OR(sel_Country="All",D2108=sel_Country),OR(sel_Channel="All",E2108=sel_Channel),OR(sel_Customer="All",F2108=sel_Customer),OR(sel_Category="All",G2108=sel_Category),AND(S2108&gt;=m_From,S2108&lt;=m_To)),1,0)</f>
        <v/>
      </c>
      <c r="AA2108" s="36">
        <f>IF(AND(OR(sel_Region="All",C2108=sel_Region),OR(sel_Country="All",D2108=sel_Country),OR(sel_Channel="All",E2108=sel_Channel),OR(sel_Customer="All",F2108=sel_Customer),OR(sel_Category="All",G2108=sel_Category),OR(sel_Product="All",H2108=sel_Product)),1,0)</f>
        <v/>
      </c>
    </row>
    <row r="2109">
      <c r="A2109" s="36" t="inlineStr">
        <is>
          <t>02270</t>
        </is>
      </c>
      <c r="B2109" s="44" t="n">
        <v>46309</v>
      </c>
      <c r="C2109" s="36" t="inlineStr">
        <is>
          <t>Western Europe</t>
        </is>
      </c>
      <c r="D2109" s="36" t="inlineStr">
        <is>
          <t>Netherlands</t>
        </is>
      </c>
      <c r="E2109" s="36" t="inlineStr">
        <is>
          <t>Online Store</t>
        </is>
      </c>
      <c r="F2109" s="36" t="inlineStr">
        <is>
          <t>New</t>
        </is>
      </c>
      <c r="G2109" s="36" t="inlineStr">
        <is>
          <t>Camping</t>
        </is>
      </c>
      <c r="H2109" s="36" t="inlineStr">
        <is>
          <t>Trail Tent 2P</t>
        </is>
      </c>
      <c r="I2109" s="36" t="n">
        <v>3</v>
      </c>
      <c r="J2109" s="39" t="n">
        <v>199.99</v>
      </c>
      <c r="K2109" s="45" t="n">
        <v>0.15</v>
      </c>
      <c r="L2109" s="39" t="n">
        <v>101.86</v>
      </c>
      <c r="M2109" s="39">
        <f>I2109*J2109*(1-K2109)</f>
        <v/>
      </c>
      <c r="N2109" s="39">
        <f>I2109*L2109</f>
        <v/>
      </c>
      <c r="O2109" s="39">
        <f>M2109-N2109</f>
        <v/>
      </c>
      <c r="P2109" s="38">
        <f>IF(M2109=0,0,O2109/M2109)</f>
        <v/>
      </c>
      <c r="Q2109" s="36">
        <f>YEAR(B2109)</f>
        <v/>
      </c>
      <c r="R2109" s="36">
        <f>"Q"&amp;ROUNDUP(MONTH(B2109)/3,0)</f>
        <v/>
      </c>
      <c r="S2109" s="36">
        <f>MONTH(B2109)</f>
        <v/>
      </c>
      <c r="T2109" s="36">
        <f>TEXT(B2109,"mmm")</f>
        <v/>
      </c>
      <c r="U2109" s="36">
        <f>IF(AND(OR(sel_Region="All",C2109=sel_Region),OR(sel_Country="All",D2109=sel_Country),OR(sel_Channel="All",E2109=sel_Channel),OR(sel_Customer="All",F2109=sel_Customer),OR(sel_Category="All",G2109=sel_Category),OR(sel_Product="All",H2109=sel_Product),AND(S2109&gt;=m_From,S2109&lt;=m_To)),1,0)</f>
        <v/>
      </c>
      <c r="V2109" s="36">
        <f>IF(AND(OR(sel_Region="All",C2109=sel_Region),OR(sel_Channel="All",E2109=sel_Channel),OR(sel_Customer="All",F2109=sel_Customer),OR(sel_Category="All",G2109=sel_Category),OR(sel_Product="All",H2109=sel_Product),AND(S2109&gt;=m_From,S2109&lt;=m_To)),1,0)</f>
        <v/>
      </c>
      <c r="W2109" s="36">
        <f>IF(AND(OR(sel_Region="All",C2109=sel_Region),OR(sel_Country="All",D2109=sel_Country),OR(sel_Customer="All",F2109=sel_Customer),OR(sel_Category="All",G2109=sel_Category),OR(sel_Product="All",H2109=sel_Product),AND(S2109&gt;=m_From,S2109&lt;=m_To)),1,0)</f>
        <v/>
      </c>
      <c r="X2109" s="36">
        <f>IF(AND(OR(sel_Region="All",C2109=sel_Region),OR(sel_Country="All",D2109=sel_Country),OR(sel_Channel="All",E2109=sel_Channel),OR(sel_Category="All",G2109=sel_Category),OR(sel_Product="All",H2109=sel_Product),AND(S2109&gt;=m_From,S2109&lt;=m_To)),1,0)</f>
        <v/>
      </c>
      <c r="Y2109" s="36">
        <f>IF(AND(OR(sel_Region="All",C2109=sel_Region),OR(sel_Country="All",D2109=sel_Country),OR(sel_Channel="All",E2109=sel_Channel),OR(sel_Customer="All",F2109=sel_Customer),OR(sel_Product="All",H2109=sel_Product),AND(S2109&gt;=m_From,S2109&lt;=m_To)),1,0)</f>
        <v/>
      </c>
      <c r="Z2109" s="36">
        <f>IF(AND(OR(sel_Region="All",C2109=sel_Region),OR(sel_Country="All",D2109=sel_Country),OR(sel_Channel="All",E2109=sel_Channel),OR(sel_Customer="All",F2109=sel_Customer),OR(sel_Category="All",G2109=sel_Category),AND(S2109&gt;=m_From,S2109&lt;=m_To)),1,0)</f>
        <v/>
      </c>
      <c r="AA2109" s="36">
        <f>IF(AND(OR(sel_Region="All",C2109=sel_Region),OR(sel_Country="All",D2109=sel_Country),OR(sel_Channel="All",E2109=sel_Channel),OR(sel_Customer="All",F2109=sel_Customer),OR(sel_Category="All",G2109=sel_Category),OR(sel_Product="All",H2109=sel_Product)),1,0)</f>
        <v/>
      </c>
    </row>
    <row r="2110">
      <c r="A2110" s="36" t="inlineStr">
        <is>
          <t>03789</t>
        </is>
      </c>
      <c r="B2110" s="44" t="n">
        <v>46309</v>
      </c>
      <c r="C2110" s="36" t="inlineStr">
        <is>
          <t>Western Europe</t>
        </is>
      </c>
      <c r="D2110" s="36" t="inlineStr">
        <is>
          <t>Belgium</t>
        </is>
      </c>
      <c r="E2110" s="36" t="inlineStr">
        <is>
          <t>Marketplace</t>
        </is>
      </c>
      <c r="F2110" s="36" t="inlineStr">
        <is>
          <t>New</t>
        </is>
      </c>
      <c r="G2110" s="36" t="inlineStr">
        <is>
          <t>Cycling</t>
        </is>
      </c>
      <c r="H2110" s="36" t="inlineStr">
        <is>
          <t>Trail Bike Light</t>
        </is>
      </c>
      <c r="I2110" s="36" t="n">
        <v>2</v>
      </c>
      <c r="J2110" s="39" t="n">
        <v>50.56</v>
      </c>
      <c r="K2110" s="45" t="n">
        <v>0</v>
      </c>
      <c r="L2110" s="39" t="n">
        <v>23.04</v>
      </c>
      <c r="M2110" s="39">
        <f>I2110*J2110*(1-K2110)</f>
        <v/>
      </c>
      <c r="N2110" s="39">
        <f>I2110*L2110</f>
        <v/>
      </c>
      <c r="O2110" s="39">
        <f>M2110-N2110</f>
        <v/>
      </c>
      <c r="P2110" s="38">
        <f>IF(M2110=0,0,O2110/M2110)</f>
        <v/>
      </c>
      <c r="Q2110" s="36">
        <f>YEAR(B2110)</f>
        <v/>
      </c>
      <c r="R2110" s="36">
        <f>"Q"&amp;ROUNDUP(MONTH(B2110)/3,0)</f>
        <v/>
      </c>
      <c r="S2110" s="36">
        <f>MONTH(B2110)</f>
        <v/>
      </c>
      <c r="T2110" s="36">
        <f>TEXT(B2110,"mmm")</f>
        <v/>
      </c>
      <c r="U2110" s="36">
        <f>IF(AND(OR(sel_Region="All",C2110=sel_Region),OR(sel_Country="All",D2110=sel_Country),OR(sel_Channel="All",E2110=sel_Channel),OR(sel_Customer="All",F2110=sel_Customer),OR(sel_Category="All",G2110=sel_Category),OR(sel_Product="All",H2110=sel_Product),AND(S2110&gt;=m_From,S2110&lt;=m_To)),1,0)</f>
        <v/>
      </c>
      <c r="V2110" s="36">
        <f>IF(AND(OR(sel_Region="All",C2110=sel_Region),OR(sel_Channel="All",E2110=sel_Channel),OR(sel_Customer="All",F2110=sel_Customer),OR(sel_Category="All",G2110=sel_Category),OR(sel_Product="All",H2110=sel_Product),AND(S2110&gt;=m_From,S2110&lt;=m_To)),1,0)</f>
        <v/>
      </c>
      <c r="W2110" s="36">
        <f>IF(AND(OR(sel_Region="All",C2110=sel_Region),OR(sel_Country="All",D2110=sel_Country),OR(sel_Customer="All",F2110=sel_Customer),OR(sel_Category="All",G2110=sel_Category),OR(sel_Product="All",H2110=sel_Product),AND(S2110&gt;=m_From,S2110&lt;=m_To)),1,0)</f>
        <v/>
      </c>
      <c r="X2110" s="36">
        <f>IF(AND(OR(sel_Region="All",C2110=sel_Region),OR(sel_Country="All",D2110=sel_Country),OR(sel_Channel="All",E2110=sel_Channel),OR(sel_Category="All",G2110=sel_Category),OR(sel_Product="All",H2110=sel_Product),AND(S2110&gt;=m_From,S2110&lt;=m_To)),1,0)</f>
        <v/>
      </c>
      <c r="Y2110" s="36">
        <f>IF(AND(OR(sel_Region="All",C2110=sel_Region),OR(sel_Country="All",D2110=sel_Country),OR(sel_Channel="All",E2110=sel_Channel),OR(sel_Customer="All",F2110=sel_Customer),OR(sel_Product="All",H2110=sel_Product),AND(S2110&gt;=m_From,S2110&lt;=m_To)),1,0)</f>
        <v/>
      </c>
      <c r="Z2110" s="36">
        <f>IF(AND(OR(sel_Region="All",C2110=sel_Region),OR(sel_Country="All",D2110=sel_Country),OR(sel_Channel="All",E2110=sel_Channel),OR(sel_Customer="All",F2110=sel_Customer),OR(sel_Category="All",G2110=sel_Category),AND(S2110&gt;=m_From,S2110&lt;=m_To)),1,0)</f>
        <v/>
      </c>
      <c r="AA2110" s="36">
        <f>IF(AND(OR(sel_Region="All",C2110=sel_Region),OR(sel_Country="All",D2110=sel_Country),OR(sel_Channel="All",E2110=sel_Channel),OR(sel_Customer="All",F2110=sel_Customer),OR(sel_Category="All",G2110=sel_Category),OR(sel_Product="All",H2110=sel_Product)),1,0)</f>
        <v/>
      </c>
    </row>
    <row r="2111">
      <c r="A2111" s="36" t="inlineStr">
        <is>
          <t>04323</t>
        </is>
      </c>
      <c r="B2111" s="44" t="n">
        <v>46309</v>
      </c>
      <c r="C2111" s="36" t="inlineStr">
        <is>
          <t>Western Europe</t>
        </is>
      </c>
      <c r="D2111" s="36" t="inlineStr">
        <is>
          <t>Netherlands</t>
        </is>
      </c>
      <c r="E2111" s="36" t="inlineStr">
        <is>
          <t>Online Store</t>
        </is>
      </c>
      <c r="F2111" s="36" t="inlineStr">
        <is>
          <t>New</t>
        </is>
      </c>
      <c r="G2111" s="36" t="inlineStr">
        <is>
          <t>Travel</t>
        </is>
      </c>
      <c r="H2111" s="36" t="inlineStr">
        <is>
          <t>Packing Cube Set</t>
        </is>
      </c>
      <c r="I2111" s="36" t="n">
        <v>1</v>
      </c>
      <c r="J2111" s="39" t="n">
        <v>47.38</v>
      </c>
      <c r="K2111" s="45" t="n">
        <v>0</v>
      </c>
      <c r="L2111" s="39" t="n">
        <v>17.86</v>
      </c>
      <c r="M2111" s="39">
        <f>I2111*J2111*(1-K2111)</f>
        <v/>
      </c>
      <c r="N2111" s="39">
        <f>I2111*L2111</f>
        <v/>
      </c>
      <c r="O2111" s="39">
        <f>M2111-N2111</f>
        <v/>
      </c>
      <c r="P2111" s="38">
        <f>IF(M2111=0,0,O2111/M2111)</f>
        <v/>
      </c>
      <c r="Q2111" s="36">
        <f>YEAR(B2111)</f>
        <v/>
      </c>
      <c r="R2111" s="36">
        <f>"Q"&amp;ROUNDUP(MONTH(B2111)/3,0)</f>
        <v/>
      </c>
      <c r="S2111" s="36">
        <f>MONTH(B2111)</f>
        <v/>
      </c>
      <c r="T2111" s="36">
        <f>TEXT(B2111,"mmm")</f>
        <v/>
      </c>
      <c r="U2111" s="36">
        <f>IF(AND(OR(sel_Region="All",C2111=sel_Region),OR(sel_Country="All",D2111=sel_Country),OR(sel_Channel="All",E2111=sel_Channel),OR(sel_Customer="All",F2111=sel_Customer),OR(sel_Category="All",G2111=sel_Category),OR(sel_Product="All",H2111=sel_Product),AND(S2111&gt;=m_From,S2111&lt;=m_To)),1,0)</f>
        <v/>
      </c>
      <c r="V2111" s="36">
        <f>IF(AND(OR(sel_Region="All",C2111=sel_Region),OR(sel_Channel="All",E2111=sel_Channel),OR(sel_Customer="All",F2111=sel_Customer),OR(sel_Category="All",G2111=sel_Category),OR(sel_Product="All",H2111=sel_Product),AND(S2111&gt;=m_From,S2111&lt;=m_To)),1,0)</f>
        <v/>
      </c>
      <c r="W2111" s="36">
        <f>IF(AND(OR(sel_Region="All",C2111=sel_Region),OR(sel_Country="All",D2111=sel_Country),OR(sel_Customer="All",F2111=sel_Customer),OR(sel_Category="All",G2111=sel_Category),OR(sel_Product="All",H2111=sel_Product),AND(S2111&gt;=m_From,S2111&lt;=m_To)),1,0)</f>
        <v/>
      </c>
      <c r="X2111" s="36">
        <f>IF(AND(OR(sel_Region="All",C2111=sel_Region),OR(sel_Country="All",D2111=sel_Country),OR(sel_Channel="All",E2111=sel_Channel),OR(sel_Category="All",G2111=sel_Category),OR(sel_Product="All",H2111=sel_Product),AND(S2111&gt;=m_From,S2111&lt;=m_To)),1,0)</f>
        <v/>
      </c>
      <c r="Y2111" s="36">
        <f>IF(AND(OR(sel_Region="All",C2111=sel_Region),OR(sel_Country="All",D2111=sel_Country),OR(sel_Channel="All",E2111=sel_Channel),OR(sel_Customer="All",F2111=sel_Customer),OR(sel_Product="All",H2111=sel_Product),AND(S2111&gt;=m_From,S2111&lt;=m_To)),1,0)</f>
        <v/>
      </c>
      <c r="Z2111" s="36">
        <f>IF(AND(OR(sel_Region="All",C2111=sel_Region),OR(sel_Country="All",D2111=sel_Country),OR(sel_Channel="All",E2111=sel_Channel),OR(sel_Customer="All",F2111=sel_Customer),OR(sel_Category="All",G2111=sel_Category),AND(S2111&gt;=m_From,S2111&lt;=m_To)),1,0)</f>
        <v/>
      </c>
      <c r="AA2111" s="36">
        <f>IF(AND(OR(sel_Region="All",C2111=sel_Region),OR(sel_Country="All",D2111=sel_Country),OR(sel_Channel="All",E2111=sel_Channel),OR(sel_Customer="All",F2111=sel_Customer),OR(sel_Category="All",G2111=sel_Category),OR(sel_Product="All",H2111=sel_Product)),1,0)</f>
        <v/>
      </c>
    </row>
    <row r="2112">
      <c r="A2112" s="36" t="inlineStr">
        <is>
          <t>00276</t>
        </is>
      </c>
      <c r="B2112" s="44" t="n">
        <v>46310</v>
      </c>
      <c r="C2112" s="36" t="inlineStr">
        <is>
          <t>Northern Europe</t>
        </is>
      </c>
      <c r="D2112" s="36" t="inlineStr">
        <is>
          <t>Sweden</t>
        </is>
      </c>
      <c r="E2112" s="36" t="inlineStr">
        <is>
          <t>Online Store</t>
        </is>
      </c>
      <c r="F2112" s="36" t="inlineStr">
        <is>
          <t>Business</t>
        </is>
      </c>
      <c r="G2112" s="36" t="inlineStr">
        <is>
          <t>Hiking</t>
        </is>
      </c>
      <c r="H2112" s="36" t="inlineStr">
        <is>
          <t>Hiking Daypack 20L</t>
        </is>
      </c>
      <c r="I2112" s="36" t="n">
        <v>1</v>
      </c>
      <c r="J2112" s="39" t="n">
        <v>92.73999999999999</v>
      </c>
      <c r="K2112" s="45" t="n">
        <v>0.15</v>
      </c>
      <c r="L2112" s="39" t="n">
        <v>44.52</v>
      </c>
      <c r="M2112" s="39">
        <f>I2112*J2112*(1-K2112)</f>
        <v/>
      </c>
      <c r="N2112" s="39">
        <f>I2112*L2112</f>
        <v/>
      </c>
      <c r="O2112" s="39">
        <f>M2112-N2112</f>
        <v/>
      </c>
      <c r="P2112" s="38">
        <f>IF(M2112=0,0,O2112/M2112)</f>
        <v/>
      </c>
      <c r="Q2112" s="36">
        <f>YEAR(B2112)</f>
        <v/>
      </c>
      <c r="R2112" s="36">
        <f>"Q"&amp;ROUNDUP(MONTH(B2112)/3,0)</f>
        <v/>
      </c>
      <c r="S2112" s="36">
        <f>MONTH(B2112)</f>
        <v/>
      </c>
      <c r="T2112" s="36">
        <f>TEXT(B2112,"mmm")</f>
        <v/>
      </c>
      <c r="U2112" s="36">
        <f>IF(AND(OR(sel_Region="All",C2112=sel_Region),OR(sel_Country="All",D2112=sel_Country),OR(sel_Channel="All",E2112=sel_Channel),OR(sel_Customer="All",F2112=sel_Customer),OR(sel_Category="All",G2112=sel_Category),OR(sel_Product="All",H2112=sel_Product),AND(S2112&gt;=m_From,S2112&lt;=m_To)),1,0)</f>
        <v/>
      </c>
      <c r="V2112" s="36">
        <f>IF(AND(OR(sel_Region="All",C2112=sel_Region),OR(sel_Channel="All",E2112=sel_Channel),OR(sel_Customer="All",F2112=sel_Customer),OR(sel_Category="All",G2112=sel_Category),OR(sel_Product="All",H2112=sel_Product),AND(S2112&gt;=m_From,S2112&lt;=m_To)),1,0)</f>
        <v/>
      </c>
      <c r="W2112" s="36">
        <f>IF(AND(OR(sel_Region="All",C2112=sel_Region),OR(sel_Country="All",D2112=sel_Country),OR(sel_Customer="All",F2112=sel_Customer),OR(sel_Category="All",G2112=sel_Category),OR(sel_Product="All",H2112=sel_Product),AND(S2112&gt;=m_From,S2112&lt;=m_To)),1,0)</f>
        <v/>
      </c>
      <c r="X2112" s="36">
        <f>IF(AND(OR(sel_Region="All",C2112=sel_Region),OR(sel_Country="All",D2112=sel_Country),OR(sel_Channel="All",E2112=sel_Channel),OR(sel_Category="All",G2112=sel_Category),OR(sel_Product="All",H2112=sel_Product),AND(S2112&gt;=m_From,S2112&lt;=m_To)),1,0)</f>
        <v/>
      </c>
      <c r="Y2112" s="36">
        <f>IF(AND(OR(sel_Region="All",C2112=sel_Region),OR(sel_Country="All",D2112=sel_Country),OR(sel_Channel="All",E2112=sel_Channel),OR(sel_Customer="All",F2112=sel_Customer),OR(sel_Product="All",H2112=sel_Product),AND(S2112&gt;=m_From,S2112&lt;=m_To)),1,0)</f>
        <v/>
      </c>
      <c r="Z2112" s="36">
        <f>IF(AND(OR(sel_Region="All",C2112=sel_Region),OR(sel_Country="All",D2112=sel_Country),OR(sel_Channel="All",E2112=sel_Channel),OR(sel_Customer="All",F2112=sel_Customer),OR(sel_Category="All",G2112=sel_Category),AND(S2112&gt;=m_From,S2112&lt;=m_To)),1,0)</f>
        <v/>
      </c>
      <c r="AA2112" s="36">
        <f>IF(AND(OR(sel_Region="All",C2112=sel_Region),OR(sel_Country="All",D2112=sel_Country),OR(sel_Channel="All",E2112=sel_Channel),OR(sel_Customer="All",F2112=sel_Customer),OR(sel_Category="All",G2112=sel_Category),OR(sel_Product="All",H2112=sel_Product)),1,0)</f>
        <v/>
      </c>
    </row>
    <row r="2113">
      <c r="A2113" s="36" t="inlineStr">
        <is>
          <t>00791</t>
        </is>
      </c>
      <c r="B2113" s="44" t="n">
        <v>46310</v>
      </c>
      <c r="C2113" s="36" t="inlineStr">
        <is>
          <t>Western Europe</t>
        </is>
      </c>
      <c r="D2113" s="36" t="inlineStr">
        <is>
          <t>France</t>
        </is>
      </c>
      <c r="E2113" s="36" t="inlineStr">
        <is>
          <t>Retail Partners</t>
        </is>
      </c>
      <c r="F2113" s="36" t="inlineStr">
        <is>
          <t>Returning</t>
        </is>
      </c>
      <c r="G2113" s="36" t="inlineStr">
        <is>
          <t>Cycling</t>
        </is>
      </c>
      <c r="H2113" s="36" t="inlineStr">
        <is>
          <t>Trail Bike Light</t>
        </is>
      </c>
      <c r="I2113" s="36" t="n">
        <v>3</v>
      </c>
      <c r="J2113" s="39" t="n">
        <v>51.57</v>
      </c>
      <c r="K2113" s="45" t="n">
        <v>0.1</v>
      </c>
      <c r="L2113" s="39" t="n">
        <v>21.82</v>
      </c>
      <c r="M2113" s="39">
        <f>I2113*J2113*(1-K2113)</f>
        <v/>
      </c>
      <c r="N2113" s="39">
        <f>I2113*L2113</f>
        <v/>
      </c>
      <c r="O2113" s="39">
        <f>M2113-N2113</f>
        <v/>
      </c>
      <c r="P2113" s="38">
        <f>IF(M2113=0,0,O2113/M2113)</f>
        <v/>
      </c>
      <c r="Q2113" s="36">
        <f>YEAR(B2113)</f>
        <v/>
      </c>
      <c r="R2113" s="36">
        <f>"Q"&amp;ROUNDUP(MONTH(B2113)/3,0)</f>
        <v/>
      </c>
      <c r="S2113" s="36">
        <f>MONTH(B2113)</f>
        <v/>
      </c>
      <c r="T2113" s="36">
        <f>TEXT(B2113,"mmm")</f>
        <v/>
      </c>
      <c r="U2113" s="36">
        <f>IF(AND(OR(sel_Region="All",C2113=sel_Region),OR(sel_Country="All",D2113=sel_Country),OR(sel_Channel="All",E2113=sel_Channel),OR(sel_Customer="All",F2113=sel_Customer),OR(sel_Category="All",G2113=sel_Category),OR(sel_Product="All",H2113=sel_Product),AND(S2113&gt;=m_From,S2113&lt;=m_To)),1,0)</f>
        <v/>
      </c>
      <c r="V2113" s="36">
        <f>IF(AND(OR(sel_Region="All",C2113=sel_Region),OR(sel_Channel="All",E2113=sel_Channel),OR(sel_Customer="All",F2113=sel_Customer),OR(sel_Category="All",G2113=sel_Category),OR(sel_Product="All",H2113=sel_Product),AND(S2113&gt;=m_From,S2113&lt;=m_To)),1,0)</f>
        <v/>
      </c>
      <c r="W2113" s="36">
        <f>IF(AND(OR(sel_Region="All",C2113=sel_Region),OR(sel_Country="All",D2113=sel_Country),OR(sel_Customer="All",F2113=sel_Customer),OR(sel_Category="All",G2113=sel_Category),OR(sel_Product="All",H2113=sel_Product),AND(S2113&gt;=m_From,S2113&lt;=m_To)),1,0)</f>
        <v/>
      </c>
      <c r="X2113" s="36">
        <f>IF(AND(OR(sel_Region="All",C2113=sel_Region),OR(sel_Country="All",D2113=sel_Country),OR(sel_Channel="All",E2113=sel_Channel),OR(sel_Category="All",G2113=sel_Category),OR(sel_Product="All",H2113=sel_Product),AND(S2113&gt;=m_From,S2113&lt;=m_To)),1,0)</f>
        <v/>
      </c>
      <c r="Y2113" s="36">
        <f>IF(AND(OR(sel_Region="All",C2113=sel_Region),OR(sel_Country="All",D2113=sel_Country),OR(sel_Channel="All",E2113=sel_Channel),OR(sel_Customer="All",F2113=sel_Customer),OR(sel_Product="All",H2113=sel_Product),AND(S2113&gt;=m_From,S2113&lt;=m_To)),1,0)</f>
        <v/>
      </c>
      <c r="Z2113" s="36">
        <f>IF(AND(OR(sel_Region="All",C2113=sel_Region),OR(sel_Country="All",D2113=sel_Country),OR(sel_Channel="All",E2113=sel_Channel),OR(sel_Customer="All",F2113=sel_Customer),OR(sel_Category="All",G2113=sel_Category),AND(S2113&gt;=m_From,S2113&lt;=m_To)),1,0)</f>
        <v/>
      </c>
      <c r="AA2113" s="36">
        <f>IF(AND(OR(sel_Region="All",C2113=sel_Region),OR(sel_Country="All",D2113=sel_Country),OR(sel_Channel="All",E2113=sel_Channel),OR(sel_Customer="All",F2113=sel_Customer),OR(sel_Category="All",G2113=sel_Category),OR(sel_Product="All",H2113=sel_Product)),1,0)</f>
        <v/>
      </c>
    </row>
    <row r="2114">
      <c r="A2114" s="36" t="inlineStr">
        <is>
          <t>01033</t>
        </is>
      </c>
      <c r="B2114" s="44" t="n">
        <v>46310</v>
      </c>
      <c r="C2114" s="36" t="inlineStr">
        <is>
          <t>Central Europe</t>
        </is>
      </c>
      <c r="D2114" s="36" t="inlineStr">
        <is>
          <t>Germany</t>
        </is>
      </c>
      <c r="E2114" s="36" t="inlineStr">
        <is>
          <t>Online Store</t>
        </is>
      </c>
      <c r="F2114" s="36" t="inlineStr">
        <is>
          <t>New</t>
        </is>
      </c>
      <c r="G2114" s="36" t="inlineStr">
        <is>
          <t>Hiking</t>
        </is>
      </c>
      <c r="H2114" s="36" t="inlineStr">
        <is>
          <t>Trekking Poles</t>
        </is>
      </c>
      <c r="I2114" s="36" t="n">
        <v>1</v>
      </c>
      <c r="J2114" s="39" t="n">
        <v>70.47</v>
      </c>
      <c r="K2114" s="45" t="n">
        <v>0.1</v>
      </c>
      <c r="L2114" s="39" t="n">
        <v>31.52</v>
      </c>
      <c r="M2114" s="39">
        <f>I2114*J2114*(1-K2114)</f>
        <v/>
      </c>
      <c r="N2114" s="39">
        <f>I2114*L2114</f>
        <v/>
      </c>
      <c r="O2114" s="39">
        <f>M2114-N2114</f>
        <v/>
      </c>
      <c r="P2114" s="38">
        <f>IF(M2114=0,0,O2114/M2114)</f>
        <v/>
      </c>
      <c r="Q2114" s="36">
        <f>YEAR(B2114)</f>
        <v/>
      </c>
      <c r="R2114" s="36">
        <f>"Q"&amp;ROUNDUP(MONTH(B2114)/3,0)</f>
        <v/>
      </c>
      <c r="S2114" s="36">
        <f>MONTH(B2114)</f>
        <v/>
      </c>
      <c r="T2114" s="36">
        <f>TEXT(B2114,"mmm")</f>
        <v/>
      </c>
      <c r="U2114" s="36">
        <f>IF(AND(OR(sel_Region="All",C2114=sel_Region),OR(sel_Country="All",D2114=sel_Country),OR(sel_Channel="All",E2114=sel_Channel),OR(sel_Customer="All",F2114=sel_Customer),OR(sel_Category="All",G2114=sel_Category),OR(sel_Product="All",H2114=sel_Product),AND(S2114&gt;=m_From,S2114&lt;=m_To)),1,0)</f>
        <v/>
      </c>
      <c r="V2114" s="36">
        <f>IF(AND(OR(sel_Region="All",C2114=sel_Region),OR(sel_Channel="All",E2114=sel_Channel),OR(sel_Customer="All",F2114=sel_Customer),OR(sel_Category="All",G2114=sel_Category),OR(sel_Product="All",H2114=sel_Product),AND(S2114&gt;=m_From,S2114&lt;=m_To)),1,0)</f>
        <v/>
      </c>
      <c r="W2114" s="36">
        <f>IF(AND(OR(sel_Region="All",C2114=sel_Region),OR(sel_Country="All",D2114=sel_Country),OR(sel_Customer="All",F2114=sel_Customer),OR(sel_Category="All",G2114=sel_Category),OR(sel_Product="All",H2114=sel_Product),AND(S2114&gt;=m_From,S2114&lt;=m_To)),1,0)</f>
        <v/>
      </c>
      <c r="X2114" s="36">
        <f>IF(AND(OR(sel_Region="All",C2114=sel_Region),OR(sel_Country="All",D2114=sel_Country),OR(sel_Channel="All",E2114=sel_Channel),OR(sel_Category="All",G2114=sel_Category),OR(sel_Product="All",H2114=sel_Product),AND(S2114&gt;=m_From,S2114&lt;=m_To)),1,0)</f>
        <v/>
      </c>
      <c r="Y2114" s="36">
        <f>IF(AND(OR(sel_Region="All",C2114=sel_Region),OR(sel_Country="All",D2114=sel_Country),OR(sel_Channel="All",E2114=sel_Channel),OR(sel_Customer="All",F2114=sel_Customer),OR(sel_Product="All",H2114=sel_Product),AND(S2114&gt;=m_From,S2114&lt;=m_To)),1,0)</f>
        <v/>
      </c>
      <c r="Z2114" s="36">
        <f>IF(AND(OR(sel_Region="All",C2114=sel_Region),OR(sel_Country="All",D2114=sel_Country),OR(sel_Channel="All",E2114=sel_Channel),OR(sel_Customer="All",F2114=sel_Customer),OR(sel_Category="All",G2114=sel_Category),AND(S2114&gt;=m_From,S2114&lt;=m_To)),1,0)</f>
        <v/>
      </c>
      <c r="AA2114" s="36">
        <f>IF(AND(OR(sel_Region="All",C2114=sel_Region),OR(sel_Country="All",D2114=sel_Country),OR(sel_Channel="All",E2114=sel_Channel),OR(sel_Customer="All",F2114=sel_Customer),OR(sel_Category="All",G2114=sel_Category),OR(sel_Product="All",H2114=sel_Product)),1,0)</f>
        <v/>
      </c>
    </row>
    <row r="2115">
      <c r="A2115" s="36" t="inlineStr">
        <is>
          <t>01247</t>
        </is>
      </c>
      <c r="B2115" s="44" t="n">
        <v>46310</v>
      </c>
      <c r="C2115" s="36" t="inlineStr">
        <is>
          <t>Southern Europe</t>
        </is>
      </c>
      <c r="D2115" s="36" t="inlineStr">
        <is>
          <t>Spain</t>
        </is>
      </c>
      <c r="E2115" s="36" t="inlineStr">
        <is>
          <t>Online Store</t>
        </is>
      </c>
      <c r="F2115" s="36" t="inlineStr">
        <is>
          <t>New</t>
        </is>
      </c>
      <c r="G2115" s="36" t="inlineStr">
        <is>
          <t>Hiking</t>
        </is>
      </c>
      <c r="H2115" s="36" t="inlineStr">
        <is>
          <t>Trekking Poles</t>
        </is>
      </c>
      <c r="I2115" s="36" t="n">
        <v>1</v>
      </c>
      <c r="J2115" s="39" t="n">
        <v>71.05</v>
      </c>
      <c r="K2115" s="45" t="n">
        <v>0</v>
      </c>
      <c r="L2115" s="39" t="n">
        <v>33.32</v>
      </c>
      <c r="M2115" s="39">
        <f>I2115*J2115*(1-K2115)</f>
        <v/>
      </c>
      <c r="N2115" s="39">
        <f>I2115*L2115</f>
        <v/>
      </c>
      <c r="O2115" s="39">
        <f>M2115-N2115</f>
        <v/>
      </c>
      <c r="P2115" s="38">
        <f>IF(M2115=0,0,O2115/M2115)</f>
        <v/>
      </c>
      <c r="Q2115" s="36">
        <f>YEAR(B2115)</f>
        <v/>
      </c>
      <c r="R2115" s="36">
        <f>"Q"&amp;ROUNDUP(MONTH(B2115)/3,0)</f>
        <v/>
      </c>
      <c r="S2115" s="36">
        <f>MONTH(B2115)</f>
        <v/>
      </c>
      <c r="T2115" s="36">
        <f>TEXT(B2115,"mmm")</f>
        <v/>
      </c>
      <c r="U2115" s="36">
        <f>IF(AND(OR(sel_Region="All",C2115=sel_Region),OR(sel_Country="All",D2115=sel_Country),OR(sel_Channel="All",E2115=sel_Channel),OR(sel_Customer="All",F2115=sel_Customer),OR(sel_Category="All",G2115=sel_Category),OR(sel_Product="All",H2115=sel_Product),AND(S2115&gt;=m_From,S2115&lt;=m_To)),1,0)</f>
        <v/>
      </c>
      <c r="V2115" s="36">
        <f>IF(AND(OR(sel_Region="All",C2115=sel_Region),OR(sel_Channel="All",E2115=sel_Channel),OR(sel_Customer="All",F2115=sel_Customer),OR(sel_Category="All",G2115=sel_Category),OR(sel_Product="All",H2115=sel_Product),AND(S2115&gt;=m_From,S2115&lt;=m_To)),1,0)</f>
        <v/>
      </c>
      <c r="W2115" s="36">
        <f>IF(AND(OR(sel_Region="All",C2115=sel_Region),OR(sel_Country="All",D2115=sel_Country),OR(sel_Customer="All",F2115=sel_Customer),OR(sel_Category="All",G2115=sel_Category),OR(sel_Product="All",H2115=sel_Product),AND(S2115&gt;=m_From,S2115&lt;=m_To)),1,0)</f>
        <v/>
      </c>
      <c r="X2115" s="36">
        <f>IF(AND(OR(sel_Region="All",C2115=sel_Region),OR(sel_Country="All",D2115=sel_Country),OR(sel_Channel="All",E2115=sel_Channel),OR(sel_Category="All",G2115=sel_Category),OR(sel_Product="All",H2115=sel_Product),AND(S2115&gt;=m_From,S2115&lt;=m_To)),1,0)</f>
        <v/>
      </c>
      <c r="Y2115" s="36">
        <f>IF(AND(OR(sel_Region="All",C2115=sel_Region),OR(sel_Country="All",D2115=sel_Country),OR(sel_Channel="All",E2115=sel_Channel),OR(sel_Customer="All",F2115=sel_Customer),OR(sel_Product="All",H2115=sel_Product),AND(S2115&gt;=m_From,S2115&lt;=m_To)),1,0)</f>
        <v/>
      </c>
      <c r="Z2115" s="36">
        <f>IF(AND(OR(sel_Region="All",C2115=sel_Region),OR(sel_Country="All",D2115=sel_Country),OR(sel_Channel="All",E2115=sel_Channel),OR(sel_Customer="All",F2115=sel_Customer),OR(sel_Category="All",G2115=sel_Category),AND(S2115&gt;=m_From,S2115&lt;=m_To)),1,0)</f>
        <v/>
      </c>
      <c r="AA2115" s="36">
        <f>IF(AND(OR(sel_Region="All",C2115=sel_Region),OR(sel_Country="All",D2115=sel_Country),OR(sel_Channel="All",E2115=sel_Channel),OR(sel_Customer="All",F2115=sel_Customer),OR(sel_Category="All",G2115=sel_Category),OR(sel_Product="All",H2115=sel_Product)),1,0)</f>
        <v/>
      </c>
    </row>
    <row r="2116">
      <c r="A2116" s="36" t="inlineStr">
        <is>
          <t>01321</t>
        </is>
      </c>
      <c r="B2116" s="44" t="n">
        <v>46310</v>
      </c>
      <c r="C2116" s="36" t="inlineStr">
        <is>
          <t>Western Europe</t>
        </is>
      </c>
      <c r="D2116" s="36" t="inlineStr">
        <is>
          <t>France</t>
        </is>
      </c>
      <c r="E2116" s="36" t="inlineStr">
        <is>
          <t>Retail Partners</t>
        </is>
      </c>
      <c r="F2116" s="36" t="inlineStr">
        <is>
          <t>Returning</t>
        </is>
      </c>
      <c r="G2116" s="36" t="inlineStr">
        <is>
          <t>Cycling</t>
        </is>
      </c>
      <c r="H2116" s="36" t="inlineStr">
        <is>
          <t>Compact Repair Kit</t>
        </is>
      </c>
      <c r="I2116" s="36" t="n">
        <v>3</v>
      </c>
      <c r="J2116" s="39" t="n">
        <v>39.83</v>
      </c>
      <c r="K2116" s="45" t="n">
        <v>0.1</v>
      </c>
      <c r="L2116" s="39" t="n">
        <v>16.93</v>
      </c>
      <c r="M2116" s="39">
        <f>I2116*J2116*(1-K2116)</f>
        <v/>
      </c>
      <c r="N2116" s="39">
        <f>I2116*L2116</f>
        <v/>
      </c>
      <c r="O2116" s="39">
        <f>M2116-N2116</f>
        <v/>
      </c>
      <c r="P2116" s="38">
        <f>IF(M2116=0,0,O2116/M2116)</f>
        <v/>
      </c>
      <c r="Q2116" s="36">
        <f>YEAR(B2116)</f>
        <v/>
      </c>
      <c r="R2116" s="36">
        <f>"Q"&amp;ROUNDUP(MONTH(B2116)/3,0)</f>
        <v/>
      </c>
      <c r="S2116" s="36">
        <f>MONTH(B2116)</f>
        <v/>
      </c>
      <c r="T2116" s="36">
        <f>TEXT(B2116,"mmm")</f>
        <v/>
      </c>
      <c r="U2116" s="36">
        <f>IF(AND(OR(sel_Region="All",C2116=sel_Region),OR(sel_Country="All",D2116=sel_Country),OR(sel_Channel="All",E2116=sel_Channel),OR(sel_Customer="All",F2116=sel_Customer),OR(sel_Category="All",G2116=sel_Category),OR(sel_Product="All",H2116=sel_Product),AND(S2116&gt;=m_From,S2116&lt;=m_To)),1,0)</f>
        <v/>
      </c>
      <c r="V2116" s="36">
        <f>IF(AND(OR(sel_Region="All",C2116=sel_Region),OR(sel_Channel="All",E2116=sel_Channel),OR(sel_Customer="All",F2116=sel_Customer),OR(sel_Category="All",G2116=sel_Category),OR(sel_Product="All",H2116=sel_Product),AND(S2116&gt;=m_From,S2116&lt;=m_To)),1,0)</f>
        <v/>
      </c>
      <c r="W2116" s="36">
        <f>IF(AND(OR(sel_Region="All",C2116=sel_Region),OR(sel_Country="All",D2116=sel_Country),OR(sel_Customer="All",F2116=sel_Customer),OR(sel_Category="All",G2116=sel_Category),OR(sel_Product="All",H2116=sel_Product),AND(S2116&gt;=m_From,S2116&lt;=m_To)),1,0)</f>
        <v/>
      </c>
      <c r="X2116" s="36">
        <f>IF(AND(OR(sel_Region="All",C2116=sel_Region),OR(sel_Country="All",D2116=sel_Country),OR(sel_Channel="All",E2116=sel_Channel),OR(sel_Category="All",G2116=sel_Category),OR(sel_Product="All",H2116=sel_Product),AND(S2116&gt;=m_From,S2116&lt;=m_To)),1,0)</f>
        <v/>
      </c>
      <c r="Y2116" s="36">
        <f>IF(AND(OR(sel_Region="All",C2116=sel_Region),OR(sel_Country="All",D2116=sel_Country),OR(sel_Channel="All",E2116=sel_Channel),OR(sel_Customer="All",F2116=sel_Customer),OR(sel_Product="All",H2116=sel_Product),AND(S2116&gt;=m_From,S2116&lt;=m_To)),1,0)</f>
        <v/>
      </c>
      <c r="Z2116" s="36">
        <f>IF(AND(OR(sel_Region="All",C2116=sel_Region),OR(sel_Country="All",D2116=sel_Country),OR(sel_Channel="All",E2116=sel_Channel),OR(sel_Customer="All",F2116=sel_Customer),OR(sel_Category="All",G2116=sel_Category),AND(S2116&gt;=m_From,S2116&lt;=m_To)),1,0)</f>
        <v/>
      </c>
      <c r="AA2116" s="36">
        <f>IF(AND(OR(sel_Region="All",C2116=sel_Region),OR(sel_Country="All",D2116=sel_Country),OR(sel_Channel="All",E2116=sel_Channel),OR(sel_Customer="All",F2116=sel_Customer),OR(sel_Category="All",G2116=sel_Category),OR(sel_Product="All",H2116=sel_Product)),1,0)</f>
        <v/>
      </c>
    </row>
    <row r="2117">
      <c r="A2117" s="36" t="inlineStr">
        <is>
          <t>02048</t>
        </is>
      </c>
      <c r="B2117" s="44" t="n">
        <v>46310</v>
      </c>
      <c r="C2117" s="36" t="inlineStr">
        <is>
          <t>Western Europe</t>
        </is>
      </c>
      <c r="D2117" s="36" t="inlineStr">
        <is>
          <t>Netherlands</t>
        </is>
      </c>
      <c r="E2117" s="36" t="inlineStr">
        <is>
          <t>Online Store</t>
        </is>
      </c>
      <c r="F2117" s="36" t="inlineStr">
        <is>
          <t>New</t>
        </is>
      </c>
      <c r="G2117" s="36" t="inlineStr">
        <is>
          <t>Fitness</t>
        </is>
      </c>
      <c r="H2117" s="36" t="inlineStr">
        <is>
          <t>Training Mat</t>
        </is>
      </c>
      <c r="I2117" s="36" t="n">
        <v>3</v>
      </c>
      <c r="J2117" s="39" t="n">
        <v>49.5</v>
      </c>
      <c r="K2117" s="45" t="n">
        <v>0.05</v>
      </c>
      <c r="L2117" s="39" t="n">
        <v>22</v>
      </c>
      <c r="M2117" s="39">
        <f>I2117*J2117*(1-K2117)</f>
        <v/>
      </c>
      <c r="N2117" s="39">
        <f>I2117*L2117</f>
        <v/>
      </c>
      <c r="O2117" s="39">
        <f>M2117-N2117</f>
        <v/>
      </c>
      <c r="P2117" s="38">
        <f>IF(M2117=0,0,O2117/M2117)</f>
        <v/>
      </c>
      <c r="Q2117" s="36">
        <f>YEAR(B2117)</f>
        <v/>
      </c>
      <c r="R2117" s="36">
        <f>"Q"&amp;ROUNDUP(MONTH(B2117)/3,0)</f>
        <v/>
      </c>
      <c r="S2117" s="36">
        <f>MONTH(B2117)</f>
        <v/>
      </c>
      <c r="T2117" s="36">
        <f>TEXT(B2117,"mmm")</f>
        <v/>
      </c>
      <c r="U2117" s="36">
        <f>IF(AND(OR(sel_Region="All",C2117=sel_Region),OR(sel_Country="All",D2117=sel_Country),OR(sel_Channel="All",E2117=sel_Channel),OR(sel_Customer="All",F2117=sel_Customer),OR(sel_Category="All",G2117=sel_Category),OR(sel_Product="All",H2117=sel_Product),AND(S2117&gt;=m_From,S2117&lt;=m_To)),1,0)</f>
        <v/>
      </c>
      <c r="V2117" s="36">
        <f>IF(AND(OR(sel_Region="All",C2117=sel_Region),OR(sel_Channel="All",E2117=sel_Channel),OR(sel_Customer="All",F2117=sel_Customer),OR(sel_Category="All",G2117=sel_Category),OR(sel_Product="All",H2117=sel_Product),AND(S2117&gt;=m_From,S2117&lt;=m_To)),1,0)</f>
        <v/>
      </c>
      <c r="W2117" s="36">
        <f>IF(AND(OR(sel_Region="All",C2117=sel_Region),OR(sel_Country="All",D2117=sel_Country),OR(sel_Customer="All",F2117=sel_Customer),OR(sel_Category="All",G2117=sel_Category),OR(sel_Product="All",H2117=sel_Product),AND(S2117&gt;=m_From,S2117&lt;=m_To)),1,0)</f>
        <v/>
      </c>
      <c r="X2117" s="36">
        <f>IF(AND(OR(sel_Region="All",C2117=sel_Region),OR(sel_Country="All",D2117=sel_Country),OR(sel_Channel="All",E2117=sel_Channel),OR(sel_Category="All",G2117=sel_Category),OR(sel_Product="All",H2117=sel_Product),AND(S2117&gt;=m_From,S2117&lt;=m_To)),1,0)</f>
        <v/>
      </c>
      <c r="Y2117" s="36">
        <f>IF(AND(OR(sel_Region="All",C2117=sel_Region),OR(sel_Country="All",D2117=sel_Country),OR(sel_Channel="All",E2117=sel_Channel),OR(sel_Customer="All",F2117=sel_Customer),OR(sel_Product="All",H2117=sel_Product),AND(S2117&gt;=m_From,S2117&lt;=m_To)),1,0)</f>
        <v/>
      </c>
      <c r="Z2117" s="36">
        <f>IF(AND(OR(sel_Region="All",C2117=sel_Region),OR(sel_Country="All",D2117=sel_Country),OR(sel_Channel="All",E2117=sel_Channel),OR(sel_Customer="All",F2117=sel_Customer),OR(sel_Category="All",G2117=sel_Category),AND(S2117&gt;=m_From,S2117&lt;=m_To)),1,0)</f>
        <v/>
      </c>
      <c r="AA2117" s="36">
        <f>IF(AND(OR(sel_Region="All",C2117=sel_Region),OR(sel_Country="All",D2117=sel_Country),OR(sel_Channel="All",E2117=sel_Channel),OR(sel_Customer="All",F2117=sel_Customer),OR(sel_Category="All",G2117=sel_Category),OR(sel_Product="All",H2117=sel_Product)),1,0)</f>
        <v/>
      </c>
    </row>
    <row r="2118">
      <c r="A2118" s="36" t="inlineStr">
        <is>
          <t>02082</t>
        </is>
      </c>
      <c r="B2118" s="44" t="n">
        <v>46310</v>
      </c>
      <c r="C2118" s="36" t="inlineStr">
        <is>
          <t>Central Europe</t>
        </is>
      </c>
      <c r="D2118" s="36" t="inlineStr">
        <is>
          <t>Austria</t>
        </is>
      </c>
      <c r="E2118" s="36" t="inlineStr">
        <is>
          <t>Marketplace</t>
        </is>
      </c>
      <c r="F2118" s="36" t="inlineStr">
        <is>
          <t>New</t>
        </is>
      </c>
      <c r="G2118" s="36" t="inlineStr">
        <is>
          <t>Hiking</t>
        </is>
      </c>
      <c r="H2118" s="36" t="inlineStr">
        <is>
          <t>Hiking Daypack 20L</t>
        </is>
      </c>
      <c r="I2118" s="36" t="n">
        <v>1</v>
      </c>
      <c r="J2118" s="39" t="n">
        <v>91.98999999999999</v>
      </c>
      <c r="K2118" s="45" t="n">
        <v>0</v>
      </c>
      <c r="L2118" s="39" t="n">
        <v>44.86</v>
      </c>
      <c r="M2118" s="39">
        <f>I2118*J2118*(1-K2118)</f>
        <v/>
      </c>
      <c r="N2118" s="39">
        <f>I2118*L2118</f>
        <v/>
      </c>
      <c r="O2118" s="39">
        <f>M2118-N2118</f>
        <v/>
      </c>
      <c r="P2118" s="38">
        <f>IF(M2118=0,0,O2118/M2118)</f>
        <v/>
      </c>
      <c r="Q2118" s="36">
        <f>YEAR(B2118)</f>
        <v/>
      </c>
      <c r="R2118" s="36">
        <f>"Q"&amp;ROUNDUP(MONTH(B2118)/3,0)</f>
        <v/>
      </c>
      <c r="S2118" s="36">
        <f>MONTH(B2118)</f>
        <v/>
      </c>
      <c r="T2118" s="36">
        <f>TEXT(B2118,"mmm")</f>
        <v/>
      </c>
      <c r="U2118" s="36">
        <f>IF(AND(OR(sel_Region="All",C2118=sel_Region),OR(sel_Country="All",D2118=sel_Country),OR(sel_Channel="All",E2118=sel_Channel),OR(sel_Customer="All",F2118=sel_Customer),OR(sel_Category="All",G2118=sel_Category),OR(sel_Product="All",H2118=sel_Product),AND(S2118&gt;=m_From,S2118&lt;=m_To)),1,0)</f>
        <v/>
      </c>
      <c r="V2118" s="36">
        <f>IF(AND(OR(sel_Region="All",C2118=sel_Region),OR(sel_Channel="All",E2118=sel_Channel),OR(sel_Customer="All",F2118=sel_Customer),OR(sel_Category="All",G2118=sel_Category),OR(sel_Product="All",H2118=sel_Product),AND(S2118&gt;=m_From,S2118&lt;=m_To)),1,0)</f>
        <v/>
      </c>
      <c r="W2118" s="36">
        <f>IF(AND(OR(sel_Region="All",C2118=sel_Region),OR(sel_Country="All",D2118=sel_Country),OR(sel_Customer="All",F2118=sel_Customer),OR(sel_Category="All",G2118=sel_Category),OR(sel_Product="All",H2118=sel_Product),AND(S2118&gt;=m_From,S2118&lt;=m_To)),1,0)</f>
        <v/>
      </c>
      <c r="X2118" s="36">
        <f>IF(AND(OR(sel_Region="All",C2118=sel_Region),OR(sel_Country="All",D2118=sel_Country),OR(sel_Channel="All",E2118=sel_Channel),OR(sel_Category="All",G2118=sel_Category),OR(sel_Product="All",H2118=sel_Product),AND(S2118&gt;=m_From,S2118&lt;=m_To)),1,0)</f>
        <v/>
      </c>
      <c r="Y2118" s="36">
        <f>IF(AND(OR(sel_Region="All",C2118=sel_Region),OR(sel_Country="All",D2118=sel_Country),OR(sel_Channel="All",E2118=sel_Channel),OR(sel_Customer="All",F2118=sel_Customer),OR(sel_Product="All",H2118=sel_Product),AND(S2118&gt;=m_From,S2118&lt;=m_To)),1,0)</f>
        <v/>
      </c>
      <c r="Z2118" s="36">
        <f>IF(AND(OR(sel_Region="All",C2118=sel_Region),OR(sel_Country="All",D2118=sel_Country),OR(sel_Channel="All",E2118=sel_Channel),OR(sel_Customer="All",F2118=sel_Customer),OR(sel_Category="All",G2118=sel_Category),AND(S2118&gt;=m_From,S2118&lt;=m_To)),1,0)</f>
        <v/>
      </c>
      <c r="AA2118" s="36">
        <f>IF(AND(OR(sel_Region="All",C2118=sel_Region),OR(sel_Country="All",D2118=sel_Country),OR(sel_Channel="All",E2118=sel_Channel),OR(sel_Customer="All",F2118=sel_Customer),OR(sel_Category="All",G2118=sel_Category),OR(sel_Product="All",H2118=sel_Product)),1,0)</f>
        <v/>
      </c>
    </row>
    <row r="2119">
      <c r="A2119" s="36" t="inlineStr">
        <is>
          <t>02177</t>
        </is>
      </c>
      <c r="B2119" s="44" t="n">
        <v>46310</v>
      </c>
      <c r="C2119" s="36" t="inlineStr">
        <is>
          <t>Southern Europe</t>
        </is>
      </c>
      <c r="D2119" s="36" t="inlineStr">
        <is>
          <t>Italy</t>
        </is>
      </c>
      <c r="E2119" s="36" t="inlineStr">
        <is>
          <t>Marketplace</t>
        </is>
      </c>
      <c r="F2119" s="36" t="inlineStr">
        <is>
          <t>Returning</t>
        </is>
      </c>
      <c r="G2119" s="36" t="inlineStr">
        <is>
          <t>Cycling</t>
        </is>
      </c>
      <c r="H2119" s="36" t="inlineStr">
        <is>
          <t>Commuter Helmet</t>
        </is>
      </c>
      <c r="I2119" s="36" t="n">
        <v>1</v>
      </c>
      <c r="J2119" s="39" t="n">
        <v>79.78</v>
      </c>
      <c r="K2119" s="45" t="n">
        <v>0.05</v>
      </c>
      <c r="L2119" s="39" t="n">
        <v>41.59</v>
      </c>
      <c r="M2119" s="39">
        <f>I2119*J2119*(1-K2119)</f>
        <v/>
      </c>
      <c r="N2119" s="39">
        <f>I2119*L2119</f>
        <v/>
      </c>
      <c r="O2119" s="39">
        <f>M2119-N2119</f>
        <v/>
      </c>
      <c r="P2119" s="38">
        <f>IF(M2119=0,0,O2119/M2119)</f>
        <v/>
      </c>
      <c r="Q2119" s="36">
        <f>YEAR(B2119)</f>
        <v/>
      </c>
      <c r="R2119" s="36">
        <f>"Q"&amp;ROUNDUP(MONTH(B2119)/3,0)</f>
        <v/>
      </c>
      <c r="S2119" s="36">
        <f>MONTH(B2119)</f>
        <v/>
      </c>
      <c r="T2119" s="36">
        <f>TEXT(B2119,"mmm")</f>
        <v/>
      </c>
      <c r="U2119" s="36">
        <f>IF(AND(OR(sel_Region="All",C2119=sel_Region),OR(sel_Country="All",D2119=sel_Country),OR(sel_Channel="All",E2119=sel_Channel),OR(sel_Customer="All",F2119=sel_Customer),OR(sel_Category="All",G2119=sel_Category),OR(sel_Product="All",H2119=sel_Product),AND(S2119&gt;=m_From,S2119&lt;=m_To)),1,0)</f>
        <v/>
      </c>
      <c r="V2119" s="36">
        <f>IF(AND(OR(sel_Region="All",C2119=sel_Region),OR(sel_Channel="All",E2119=sel_Channel),OR(sel_Customer="All",F2119=sel_Customer),OR(sel_Category="All",G2119=sel_Category),OR(sel_Product="All",H2119=sel_Product),AND(S2119&gt;=m_From,S2119&lt;=m_To)),1,0)</f>
        <v/>
      </c>
      <c r="W2119" s="36">
        <f>IF(AND(OR(sel_Region="All",C2119=sel_Region),OR(sel_Country="All",D2119=sel_Country),OR(sel_Customer="All",F2119=sel_Customer),OR(sel_Category="All",G2119=sel_Category),OR(sel_Product="All",H2119=sel_Product),AND(S2119&gt;=m_From,S2119&lt;=m_To)),1,0)</f>
        <v/>
      </c>
      <c r="X2119" s="36">
        <f>IF(AND(OR(sel_Region="All",C2119=sel_Region),OR(sel_Country="All",D2119=sel_Country),OR(sel_Channel="All",E2119=sel_Channel),OR(sel_Category="All",G2119=sel_Category),OR(sel_Product="All",H2119=sel_Product),AND(S2119&gt;=m_From,S2119&lt;=m_To)),1,0)</f>
        <v/>
      </c>
      <c r="Y2119" s="36">
        <f>IF(AND(OR(sel_Region="All",C2119=sel_Region),OR(sel_Country="All",D2119=sel_Country),OR(sel_Channel="All",E2119=sel_Channel),OR(sel_Customer="All",F2119=sel_Customer),OR(sel_Product="All",H2119=sel_Product),AND(S2119&gt;=m_From,S2119&lt;=m_To)),1,0)</f>
        <v/>
      </c>
      <c r="Z2119" s="36">
        <f>IF(AND(OR(sel_Region="All",C2119=sel_Region),OR(sel_Country="All",D2119=sel_Country),OR(sel_Channel="All",E2119=sel_Channel),OR(sel_Customer="All",F2119=sel_Customer),OR(sel_Category="All",G2119=sel_Category),AND(S2119&gt;=m_From,S2119&lt;=m_To)),1,0)</f>
        <v/>
      </c>
      <c r="AA2119" s="36">
        <f>IF(AND(OR(sel_Region="All",C2119=sel_Region),OR(sel_Country="All",D2119=sel_Country),OR(sel_Channel="All",E2119=sel_Channel),OR(sel_Customer="All",F2119=sel_Customer),OR(sel_Category="All",G2119=sel_Category),OR(sel_Product="All",H2119=sel_Product)),1,0)</f>
        <v/>
      </c>
    </row>
    <row r="2120">
      <c r="A2120" s="36" t="inlineStr">
        <is>
          <t>03776</t>
        </is>
      </c>
      <c r="B2120" s="44" t="n">
        <v>46310</v>
      </c>
      <c r="C2120" s="36" t="inlineStr">
        <is>
          <t>Western Europe</t>
        </is>
      </c>
      <c r="D2120" s="36" t="inlineStr">
        <is>
          <t>United Kingdom</t>
        </is>
      </c>
      <c r="E2120" s="36" t="inlineStr">
        <is>
          <t>Online Store</t>
        </is>
      </c>
      <c r="F2120" s="36" t="inlineStr">
        <is>
          <t>Returning</t>
        </is>
      </c>
      <c r="G2120" s="36" t="inlineStr">
        <is>
          <t>Cycling</t>
        </is>
      </c>
      <c r="H2120" s="36" t="inlineStr">
        <is>
          <t>Commuter Helmet</t>
        </is>
      </c>
      <c r="I2120" s="36" t="n">
        <v>1</v>
      </c>
      <c r="J2120" s="39" t="n">
        <v>82.97</v>
      </c>
      <c r="K2120" s="45" t="n">
        <v>0</v>
      </c>
      <c r="L2120" s="39" t="n">
        <v>43.09</v>
      </c>
      <c r="M2120" s="39">
        <f>I2120*J2120*(1-K2120)</f>
        <v/>
      </c>
      <c r="N2120" s="39">
        <f>I2120*L2120</f>
        <v/>
      </c>
      <c r="O2120" s="39">
        <f>M2120-N2120</f>
        <v/>
      </c>
      <c r="P2120" s="38">
        <f>IF(M2120=0,0,O2120/M2120)</f>
        <v/>
      </c>
      <c r="Q2120" s="36">
        <f>YEAR(B2120)</f>
        <v/>
      </c>
      <c r="R2120" s="36">
        <f>"Q"&amp;ROUNDUP(MONTH(B2120)/3,0)</f>
        <v/>
      </c>
      <c r="S2120" s="36">
        <f>MONTH(B2120)</f>
        <v/>
      </c>
      <c r="T2120" s="36">
        <f>TEXT(B2120,"mmm")</f>
        <v/>
      </c>
      <c r="U2120" s="36">
        <f>IF(AND(OR(sel_Region="All",C2120=sel_Region),OR(sel_Country="All",D2120=sel_Country),OR(sel_Channel="All",E2120=sel_Channel),OR(sel_Customer="All",F2120=sel_Customer),OR(sel_Category="All",G2120=sel_Category),OR(sel_Product="All",H2120=sel_Product),AND(S2120&gt;=m_From,S2120&lt;=m_To)),1,0)</f>
        <v/>
      </c>
      <c r="V2120" s="36">
        <f>IF(AND(OR(sel_Region="All",C2120=sel_Region),OR(sel_Channel="All",E2120=sel_Channel),OR(sel_Customer="All",F2120=sel_Customer),OR(sel_Category="All",G2120=sel_Category),OR(sel_Product="All",H2120=sel_Product),AND(S2120&gt;=m_From,S2120&lt;=m_To)),1,0)</f>
        <v/>
      </c>
      <c r="W2120" s="36">
        <f>IF(AND(OR(sel_Region="All",C2120=sel_Region),OR(sel_Country="All",D2120=sel_Country),OR(sel_Customer="All",F2120=sel_Customer),OR(sel_Category="All",G2120=sel_Category),OR(sel_Product="All",H2120=sel_Product),AND(S2120&gt;=m_From,S2120&lt;=m_To)),1,0)</f>
        <v/>
      </c>
      <c r="X2120" s="36">
        <f>IF(AND(OR(sel_Region="All",C2120=sel_Region),OR(sel_Country="All",D2120=sel_Country),OR(sel_Channel="All",E2120=sel_Channel),OR(sel_Category="All",G2120=sel_Category),OR(sel_Product="All",H2120=sel_Product),AND(S2120&gt;=m_From,S2120&lt;=m_To)),1,0)</f>
        <v/>
      </c>
      <c r="Y2120" s="36">
        <f>IF(AND(OR(sel_Region="All",C2120=sel_Region),OR(sel_Country="All",D2120=sel_Country),OR(sel_Channel="All",E2120=sel_Channel),OR(sel_Customer="All",F2120=sel_Customer),OR(sel_Product="All",H2120=sel_Product),AND(S2120&gt;=m_From,S2120&lt;=m_To)),1,0)</f>
        <v/>
      </c>
      <c r="Z2120" s="36">
        <f>IF(AND(OR(sel_Region="All",C2120=sel_Region),OR(sel_Country="All",D2120=sel_Country),OR(sel_Channel="All",E2120=sel_Channel),OR(sel_Customer="All",F2120=sel_Customer),OR(sel_Category="All",G2120=sel_Category),AND(S2120&gt;=m_From,S2120&lt;=m_To)),1,0)</f>
        <v/>
      </c>
      <c r="AA2120" s="36">
        <f>IF(AND(OR(sel_Region="All",C2120=sel_Region),OR(sel_Country="All",D2120=sel_Country),OR(sel_Channel="All",E2120=sel_Channel),OR(sel_Customer="All",F2120=sel_Customer),OR(sel_Category="All",G2120=sel_Category),OR(sel_Product="All",H2120=sel_Product)),1,0)</f>
        <v/>
      </c>
    </row>
    <row r="2121">
      <c r="A2121" s="36" t="inlineStr">
        <is>
          <t>04542</t>
        </is>
      </c>
      <c r="B2121" s="44" t="n">
        <v>46310</v>
      </c>
      <c r="C2121" s="36" t="inlineStr">
        <is>
          <t>Southern Europe</t>
        </is>
      </c>
      <c r="D2121" s="36" t="inlineStr">
        <is>
          <t>Portugal</t>
        </is>
      </c>
      <c r="E2121" s="36" t="inlineStr">
        <is>
          <t>Online Store</t>
        </is>
      </c>
      <c r="F2121" s="36" t="inlineStr">
        <is>
          <t>Business</t>
        </is>
      </c>
      <c r="G2121" s="36" t="inlineStr">
        <is>
          <t>Cycling</t>
        </is>
      </c>
      <c r="H2121" s="36" t="inlineStr">
        <is>
          <t>Cycling Pack 12L</t>
        </is>
      </c>
      <c r="I2121" s="36" t="n">
        <v>1</v>
      </c>
      <c r="J2121" s="39" t="n">
        <v>103.33</v>
      </c>
      <c r="K2121" s="45" t="n">
        <v>0</v>
      </c>
      <c r="L2121" s="39" t="n">
        <v>50.85</v>
      </c>
      <c r="M2121" s="39">
        <f>I2121*J2121*(1-K2121)</f>
        <v/>
      </c>
      <c r="N2121" s="39">
        <f>I2121*L2121</f>
        <v/>
      </c>
      <c r="O2121" s="39">
        <f>M2121-N2121</f>
        <v/>
      </c>
      <c r="P2121" s="38">
        <f>IF(M2121=0,0,O2121/M2121)</f>
        <v/>
      </c>
      <c r="Q2121" s="36">
        <f>YEAR(B2121)</f>
        <v/>
      </c>
      <c r="R2121" s="36">
        <f>"Q"&amp;ROUNDUP(MONTH(B2121)/3,0)</f>
        <v/>
      </c>
      <c r="S2121" s="36">
        <f>MONTH(B2121)</f>
        <v/>
      </c>
      <c r="T2121" s="36">
        <f>TEXT(B2121,"mmm")</f>
        <v/>
      </c>
      <c r="U2121" s="36">
        <f>IF(AND(OR(sel_Region="All",C2121=sel_Region),OR(sel_Country="All",D2121=sel_Country),OR(sel_Channel="All",E2121=sel_Channel),OR(sel_Customer="All",F2121=sel_Customer),OR(sel_Category="All",G2121=sel_Category),OR(sel_Product="All",H2121=sel_Product),AND(S2121&gt;=m_From,S2121&lt;=m_To)),1,0)</f>
        <v/>
      </c>
      <c r="V2121" s="36">
        <f>IF(AND(OR(sel_Region="All",C2121=sel_Region),OR(sel_Channel="All",E2121=sel_Channel),OR(sel_Customer="All",F2121=sel_Customer),OR(sel_Category="All",G2121=sel_Category),OR(sel_Product="All",H2121=sel_Product),AND(S2121&gt;=m_From,S2121&lt;=m_To)),1,0)</f>
        <v/>
      </c>
      <c r="W2121" s="36">
        <f>IF(AND(OR(sel_Region="All",C2121=sel_Region),OR(sel_Country="All",D2121=sel_Country),OR(sel_Customer="All",F2121=sel_Customer),OR(sel_Category="All",G2121=sel_Category),OR(sel_Product="All",H2121=sel_Product),AND(S2121&gt;=m_From,S2121&lt;=m_To)),1,0)</f>
        <v/>
      </c>
      <c r="X2121" s="36">
        <f>IF(AND(OR(sel_Region="All",C2121=sel_Region),OR(sel_Country="All",D2121=sel_Country),OR(sel_Channel="All",E2121=sel_Channel),OR(sel_Category="All",G2121=sel_Category),OR(sel_Product="All",H2121=sel_Product),AND(S2121&gt;=m_From,S2121&lt;=m_To)),1,0)</f>
        <v/>
      </c>
      <c r="Y2121" s="36">
        <f>IF(AND(OR(sel_Region="All",C2121=sel_Region),OR(sel_Country="All",D2121=sel_Country),OR(sel_Channel="All",E2121=sel_Channel),OR(sel_Customer="All",F2121=sel_Customer),OR(sel_Product="All",H2121=sel_Product),AND(S2121&gt;=m_From,S2121&lt;=m_To)),1,0)</f>
        <v/>
      </c>
      <c r="Z2121" s="36">
        <f>IF(AND(OR(sel_Region="All",C2121=sel_Region),OR(sel_Country="All",D2121=sel_Country),OR(sel_Channel="All",E2121=sel_Channel),OR(sel_Customer="All",F2121=sel_Customer),OR(sel_Category="All",G2121=sel_Category),AND(S2121&gt;=m_From,S2121&lt;=m_To)),1,0)</f>
        <v/>
      </c>
      <c r="AA2121" s="36">
        <f>IF(AND(OR(sel_Region="All",C2121=sel_Region),OR(sel_Country="All",D2121=sel_Country),OR(sel_Channel="All",E2121=sel_Channel),OR(sel_Customer="All",F2121=sel_Customer),OR(sel_Category="All",G2121=sel_Category),OR(sel_Product="All",H2121=sel_Product)),1,0)</f>
        <v/>
      </c>
    </row>
    <row r="2122">
      <c r="A2122" s="36" t="inlineStr">
        <is>
          <t>00036</t>
        </is>
      </c>
      <c r="B2122" s="44" t="n">
        <v>46311</v>
      </c>
      <c r="C2122" s="36" t="inlineStr">
        <is>
          <t>Southern Europe</t>
        </is>
      </c>
      <c r="D2122" s="36" t="inlineStr">
        <is>
          <t>Portugal</t>
        </is>
      </c>
      <c r="E2122" s="36" t="inlineStr">
        <is>
          <t>Online Store</t>
        </is>
      </c>
      <c r="F2122" s="36" t="inlineStr">
        <is>
          <t>New</t>
        </is>
      </c>
      <c r="G2122" s="36" t="inlineStr">
        <is>
          <t>Hiking</t>
        </is>
      </c>
      <c r="H2122" s="36" t="inlineStr">
        <is>
          <t>Trail Boots</t>
        </is>
      </c>
      <c r="I2122" s="36" t="n">
        <v>3</v>
      </c>
      <c r="J2122" s="39" t="n">
        <v>142.54</v>
      </c>
      <c r="K2122" s="45" t="n">
        <v>0.05</v>
      </c>
      <c r="L2122" s="39" t="n">
        <v>81.59999999999999</v>
      </c>
      <c r="M2122" s="39">
        <f>I2122*J2122*(1-K2122)</f>
        <v/>
      </c>
      <c r="N2122" s="39">
        <f>I2122*L2122</f>
        <v/>
      </c>
      <c r="O2122" s="39">
        <f>M2122-N2122</f>
        <v/>
      </c>
      <c r="P2122" s="38">
        <f>IF(M2122=0,0,O2122/M2122)</f>
        <v/>
      </c>
      <c r="Q2122" s="36">
        <f>YEAR(B2122)</f>
        <v/>
      </c>
      <c r="R2122" s="36">
        <f>"Q"&amp;ROUNDUP(MONTH(B2122)/3,0)</f>
        <v/>
      </c>
      <c r="S2122" s="36">
        <f>MONTH(B2122)</f>
        <v/>
      </c>
      <c r="T2122" s="36">
        <f>TEXT(B2122,"mmm")</f>
        <v/>
      </c>
      <c r="U2122" s="36">
        <f>IF(AND(OR(sel_Region="All",C2122=sel_Region),OR(sel_Country="All",D2122=sel_Country),OR(sel_Channel="All",E2122=sel_Channel),OR(sel_Customer="All",F2122=sel_Customer),OR(sel_Category="All",G2122=sel_Category),OR(sel_Product="All",H2122=sel_Product),AND(S2122&gt;=m_From,S2122&lt;=m_To)),1,0)</f>
        <v/>
      </c>
      <c r="V2122" s="36">
        <f>IF(AND(OR(sel_Region="All",C2122=sel_Region),OR(sel_Channel="All",E2122=sel_Channel),OR(sel_Customer="All",F2122=sel_Customer),OR(sel_Category="All",G2122=sel_Category),OR(sel_Product="All",H2122=sel_Product),AND(S2122&gt;=m_From,S2122&lt;=m_To)),1,0)</f>
        <v/>
      </c>
      <c r="W2122" s="36">
        <f>IF(AND(OR(sel_Region="All",C2122=sel_Region),OR(sel_Country="All",D2122=sel_Country),OR(sel_Customer="All",F2122=sel_Customer),OR(sel_Category="All",G2122=sel_Category),OR(sel_Product="All",H2122=sel_Product),AND(S2122&gt;=m_From,S2122&lt;=m_To)),1,0)</f>
        <v/>
      </c>
      <c r="X2122" s="36">
        <f>IF(AND(OR(sel_Region="All",C2122=sel_Region),OR(sel_Country="All",D2122=sel_Country),OR(sel_Channel="All",E2122=sel_Channel),OR(sel_Category="All",G2122=sel_Category),OR(sel_Product="All",H2122=sel_Product),AND(S2122&gt;=m_From,S2122&lt;=m_To)),1,0)</f>
        <v/>
      </c>
      <c r="Y2122" s="36">
        <f>IF(AND(OR(sel_Region="All",C2122=sel_Region),OR(sel_Country="All",D2122=sel_Country),OR(sel_Channel="All",E2122=sel_Channel),OR(sel_Customer="All",F2122=sel_Customer),OR(sel_Product="All",H2122=sel_Product),AND(S2122&gt;=m_From,S2122&lt;=m_To)),1,0)</f>
        <v/>
      </c>
      <c r="Z2122" s="36">
        <f>IF(AND(OR(sel_Region="All",C2122=sel_Region),OR(sel_Country="All",D2122=sel_Country),OR(sel_Channel="All",E2122=sel_Channel),OR(sel_Customer="All",F2122=sel_Customer),OR(sel_Category="All",G2122=sel_Category),AND(S2122&gt;=m_From,S2122&lt;=m_To)),1,0)</f>
        <v/>
      </c>
      <c r="AA2122" s="36">
        <f>IF(AND(OR(sel_Region="All",C2122=sel_Region),OR(sel_Country="All",D2122=sel_Country),OR(sel_Channel="All",E2122=sel_Channel),OR(sel_Customer="All",F2122=sel_Customer),OR(sel_Category="All",G2122=sel_Category),OR(sel_Product="All",H2122=sel_Product)),1,0)</f>
        <v/>
      </c>
    </row>
    <row r="2123">
      <c r="A2123" s="36" t="inlineStr">
        <is>
          <t>00064</t>
        </is>
      </c>
      <c r="B2123" s="44" t="n">
        <v>46311</v>
      </c>
      <c r="C2123" s="36" t="inlineStr">
        <is>
          <t>Northern Europe</t>
        </is>
      </c>
      <c r="D2123" s="36" t="inlineStr">
        <is>
          <t>Norway</t>
        </is>
      </c>
      <c r="E2123" s="36" t="inlineStr">
        <is>
          <t>Online Store</t>
        </is>
      </c>
      <c r="F2123" s="36" t="inlineStr">
        <is>
          <t>New</t>
        </is>
      </c>
      <c r="G2123" s="36" t="inlineStr">
        <is>
          <t>Hiking</t>
        </is>
      </c>
      <c r="H2123" s="36" t="inlineStr">
        <is>
          <t>Hiking Daypack 20L</t>
        </is>
      </c>
      <c r="I2123" s="36" t="n">
        <v>3</v>
      </c>
      <c r="J2123" s="39" t="n">
        <v>92.14</v>
      </c>
      <c r="K2123" s="45" t="n">
        <v>0.1</v>
      </c>
      <c r="L2123" s="39" t="n">
        <v>46.43</v>
      </c>
      <c r="M2123" s="39">
        <f>I2123*J2123*(1-K2123)</f>
        <v/>
      </c>
      <c r="N2123" s="39">
        <f>I2123*L2123</f>
        <v/>
      </c>
      <c r="O2123" s="39">
        <f>M2123-N2123</f>
        <v/>
      </c>
      <c r="P2123" s="38">
        <f>IF(M2123=0,0,O2123/M2123)</f>
        <v/>
      </c>
      <c r="Q2123" s="36">
        <f>YEAR(B2123)</f>
        <v/>
      </c>
      <c r="R2123" s="36">
        <f>"Q"&amp;ROUNDUP(MONTH(B2123)/3,0)</f>
        <v/>
      </c>
      <c r="S2123" s="36">
        <f>MONTH(B2123)</f>
        <v/>
      </c>
      <c r="T2123" s="36">
        <f>TEXT(B2123,"mmm")</f>
        <v/>
      </c>
      <c r="U2123" s="36">
        <f>IF(AND(OR(sel_Region="All",C2123=sel_Region),OR(sel_Country="All",D2123=sel_Country),OR(sel_Channel="All",E2123=sel_Channel),OR(sel_Customer="All",F2123=sel_Customer),OR(sel_Category="All",G2123=sel_Category),OR(sel_Product="All",H2123=sel_Product),AND(S2123&gt;=m_From,S2123&lt;=m_To)),1,0)</f>
        <v/>
      </c>
      <c r="V2123" s="36">
        <f>IF(AND(OR(sel_Region="All",C2123=sel_Region),OR(sel_Channel="All",E2123=sel_Channel),OR(sel_Customer="All",F2123=sel_Customer),OR(sel_Category="All",G2123=sel_Category),OR(sel_Product="All",H2123=sel_Product),AND(S2123&gt;=m_From,S2123&lt;=m_To)),1,0)</f>
        <v/>
      </c>
      <c r="W2123" s="36">
        <f>IF(AND(OR(sel_Region="All",C2123=sel_Region),OR(sel_Country="All",D2123=sel_Country),OR(sel_Customer="All",F2123=sel_Customer),OR(sel_Category="All",G2123=sel_Category),OR(sel_Product="All",H2123=sel_Product),AND(S2123&gt;=m_From,S2123&lt;=m_To)),1,0)</f>
        <v/>
      </c>
      <c r="X2123" s="36">
        <f>IF(AND(OR(sel_Region="All",C2123=sel_Region),OR(sel_Country="All",D2123=sel_Country),OR(sel_Channel="All",E2123=sel_Channel),OR(sel_Category="All",G2123=sel_Category),OR(sel_Product="All",H2123=sel_Product),AND(S2123&gt;=m_From,S2123&lt;=m_To)),1,0)</f>
        <v/>
      </c>
      <c r="Y2123" s="36">
        <f>IF(AND(OR(sel_Region="All",C2123=sel_Region),OR(sel_Country="All",D2123=sel_Country),OR(sel_Channel="All",E2123=sel_Channel),OR(sel_Customer="All",F2123=sel_Customer),OR(sel_Product="All",H2123=sel_Product),AND(S2123&gt;=m_From,S2123&lt;=m_To)),1,0)</f>
        <v/>
      </c>
      <c r="Z2123" s="36">
        <f>IF(AND(OR(sel_Region="All",C2123=sel_Region),OR(sel_Country="All",D2123=sel_Country),OR(sel_Channel="All",E2123=sel_Channel),OR(sel_Customer="All",F2123=sel_Customer),OR(sel_Category="All",G2123=sel_Category),AND(S2123&gt;=m_From,S2123&lt;=m_To)),1,0)</f>
        <v/>
      </c>
      <c r="AA2123" s="36">
        <f>IF(AND(OR(sel_Region="All",C2123=sel_Region),OR(sel_Country="All",D2123=sel_Country),OR(sel_Channel="All",E2123=sel_Channel),OR(sel_Customer="All",F2123=sel_Customer),OR(sel_Category="All",G2123=sel_Category),OR(sel_Product="All",H2123=sel_Product)),1,0)</f>
        <v/>
      </c>
    </row>
    <row r="2124">
      <c r="A2124" s="36" t="inlineStr">
        <is>
          <t>00529</t>
        </is>
      </c>
      <c r="B2124" s="44" t="n">
        <v>46311</v>
      </c>
      <c r="C2124" s="36" t="inlineStr">
        <is>
          <t>Western Europe</t>
        </is>
      </c>
      <c r="D2124" s="36" t="inlineStr">
        <is>
          <t>Netherlands</t>
        </is>
      </c>
      <c r="E2124" s="36" t="inlineStr">
        <is>
          <t>Retail Partners</t>
        </is>
      </c>
      <c r="F2124" s="36" t="inlineStr">
        <is>
          <t>Business</t>
        </is>
      </c>
      <c r="G2124" s="36" t="inlineStr">
        <is>
          <t>Travel</t>
        </is>
      </c>
      <c r="H2124" s="36" t="inlineStr">
        <is>
          <t>Travel Backpack 35L</t>
        </is>
      </c>
      <c r="I2124" s="36" t="n">
        <v>2</v>
      </c>
      <c r="J2124" s="39" t="n">
        <v>165.23</v>
      </c>
      <c r="K2124" s="45" t="n">
        <v>0</v>
      </c>
      <c r="L2124" s="39" t="n">
        <v>88.87</v>
      </c>
      <c r="M2124" s="39">
        <f>I2124*J2124*(1-K2124)</f>
        <v/>
      </c>
      <c r="N2124" s="39">
        <f>I2124*L2124</f>
        <v/>
      </c>
      <c r="O2124" s="39">
        <f>M2124-N2124</f>
        <v/>
      </c>
      <c r="P2124" s="38">
        <f>IF(M2124=0,0,O2124/M2124)</f>
        <v/>
      </c>
      <c r="Q2124" s="36">
        <f>YEAR(B2124)</f>
        <v/>
      </c>
      <c r="R2124" s="36">
        <f>"Q"&amp;ROUNDUP(MONTH(B2124)/3,0)</f>
        <v/>
      </c>
      <c r="S2124" s="36">
        <f>MONTH(B2124)</f>
        <v/>
      </c>
      <c r="T2124" s="36">
        <f>TEXT(B2124,"mmm")</f>
        <v/>
      </c>
      <c r="U2124" s="36">
        <f>IF(AND(OR(sel_Region="All",C2124=sel_Region),OR(sel_Country="All",D2124=sel_Country),OR(sel_Channel="All",E2124=sel_Channel),OR(sel_Customer="All",F2124=sel_Customer),OR(sel_Category="All",G2124=sel_Category),OR(sel_Product="All",H2124=sel_Product),AND(S2124&gt;=m_From,S2124&lt;=m_To)),1,0)</f>
        <v/>
      </c>
      <c r="V2124" s="36">
        <f>IF(AND(OR(sel_Region="All",C2124=sel_Region),OR(sel_Channel="All",E2124=sel_Channel),OR(sel_Customer="All",F2124=sel_Customer),OR(sel_Category="All",G2124=sel_Category),OR(sel_Product="All",H2124=sel_Product),AND(S2124&gt;=m_From,S2124&lt;=m_To)),1,0)</f>
        <v/>
      </c>
      <c r="W2124" s="36">
        <f>IF(AND(OR(sel_Region="All",C2124=sel_Region),OR(sel_Country="All",D2124=sel_Country),OR(sel_Customer="All",F2124=sel_Customer),OR(sel_Category="All",G2124=sel_Category),OR(sel_Product="All",H2124=sel_Product),AND(S2124&gt;=m_From,S2124&lt;=m_To)),1,0)</f>
        <v/>
      </c>
      <c r="X2124" s="36">
        <f>IF(AND(OR(sel_Region="All",C2124=sel_Region),OR(sel_Country="All",D2124=sel_Country),OR(sel_Channel="All",E2124=sel_Channel),OR(sel_Category="All",G2124=sel_Category),OR(sel_Product="All",H2124=sel_Product),AND(S2124&gt;=m_From,S2124&lt;=m_To)),1,0)</f>
        <v/>
      </c>
      <c r="Y2124" s="36">
        <f>IF(AND(OR(sel_Region="All",C2124=sel_Region),OR(sel_Country="All",D2124=sel_Country),OR(sel_Channel="All",E2124=sel_Channel),OR(sel_Customer="All",F2124=sel_Customer),OR(sel_Product="All",H2124=sel_Product),AND(S2124&gt;=m_From,S2124&lt;=m_To)),1,0)</f>
        <v/>
      </c>
      <c r="Z2124" s="36">
        <f>IF(AND(OR(sel_Region="All",C2124=sel_Region),OR(sel_Country="All",D2124=sel_Country),OR(sel_Channel="All",E2124=sel_Channel),OR(sel_Customer="All",F2124=sel_Customer),OR(sel_Category="All",G2124=sel_Category),AND(S2124&gt;=m_From,S2124&lt;=m_To)),1,0)</f>
        <v/>
      </c>
      <c r="AA2124" s="36">
        <f>IF(AND(OR(sel_Region="All",C2124=sel_Region),OR(sel_Country="All",D2124=sel_Country),OR(sel_Channel="All",E2124=sel_Channel),OR(sel_Customer="All",F2124=sel_Customer),OR(sel_Category="All",G2124=sel_Category),OR(sel_Product="All",H2124=sel_Product)),1,0)</f>
        <v/>
      </c>
    </row>
    <row r="2125">
      <c r="A2125" s="36" t="inlineStr">
        <is>
          <t>01815</t>
        </is>
      </c>
      <c r="B2125" s="44" t="n">
        <v>46311</v>
      </c>
      <c r="C2125" s="36" t="inlineStr">
        <is>
          <t>Western Europe</t>
        </is>
      </c>
      <c r="D2125" s="36" t="inlineStr">
        <is>
          <t>Belgium</t>
        </is>
      </c>
      <c r="E2125" s="36" t="inlineStr">
        <is>
          <t>Online Store</t>
        </is>
      </c>
      <c r="F2125" s="36" t="inlineStr">
        <is>
          <t>Business</t>
        </is>
      </c>
      <c r="G2125" s="36" t="inlineStr">
        <is>
          <t>Fitness</t>
        </is>
      </c>
      <c r="H2125" s="36" t="inlineStr">
        <is>
          <t>Weighted Vest</t>
        </is>
      </c>
      <c r="I2125" s="36" t="n">
        <v>1</v>
      </c>
      <c r="J2125" s="39" t="n">
        <v>121.92</v>
      </c>
      <c r="K2125" s="45" t="n">
        <v>0</v>
      </c>
      <c r="L2125" s="39" t="n">
        <v>71.02</v>
      </c>
      <c r="M2125" s="39">
        <f>I2125*J2125*(1-K2125)</f>
        <v/>
      </c>
      <c r="N2125" s="39">
        <f>I2125*L2125</f>
        <v/>
      </c>
      <c r="O2125" s="39">
        <f>M2125-N2125</f>
        <v/>
      </c>
      <c r="P2125" s="38">
        <f>IF(M2125=0,0,O2125/M2125)</f>
        <v/>
      </c>
      <c r="Q2125" s="36">
        <f>YEAR(B2125)</f>
        <v/>
      </c>
      <c r="R2125" s="36">
        <f>"Q"&amp;ROUNDUP(MONTH(B2125)/3,0)</f>
        <v/>
      </c>
      <c r="S2125" s="36">
        <f>MONTH(B2125)</f>
        <v/>
      </c>
      <c r="T2125" s="36">
        <f>TEXT(B2125,"mmm")</f>
        <v/>
      </c>
      <c r="U2125" s="36">
        <f>IF(AND(OR(sel_Region="All",C2125=sel_Region),OR(sel_Country="All",D2125=sel_Country),OR(sel_Channel="All",E2125=sel_Channel),OR(sel_Customer="All",F2125=sel_Customer),OR(sel_Category="All",G2125=sel_Category),OR(sel_Product="All",H2125=sel_Product),AND(S2125&gt;=m_From,S2125&lt;=m_To)),1,0)</f>
        <v/>
      </c>
      <c r="V2125" s="36">
        <f>IF(AND(OR(sel_Region="All",C2125=sel_Region),OR(sel_Channel="All",E2125=sel_Channel),OR(sel_Customer="All",F2125=sel_Customer),OR(sel_Category="All",G2125=sel_Category),OR(sel_Product="All",H2125=sel_Product),AND(S2125&gt;=m_From,S2125&lt;=m_To)),1,0)</f>
        <v/>
      </c>
      <c r="W2125" s="36">
        <f>IF(AND(OR(sel_Region="All",C2125=sel_Region),OR(sel_Country="All",D2125=sel_Country),OR(sel_Customer="All",F2125=sel_Customer),OR(sel_Category="All",G2125=sel_Category),OR(sel_Product="All",H2125=sel_Product),AND(S2125&gt;=m_From,S2125&lt;=m_To)),1,0)</f>
        <v/>
      </c>
      <c r="X2125" s="36">
        <f>IF(AND(OR(sel_Region="All",C2125=sel_Region),OR(sel_Country="All",D2125=sel_Country),OR(sel_Channel="All",E2125=sel_Channel),OR(sel_Category="All",G2125=sel_Category),OR(sel_Product="All",H2125=sel_Product),AND(S2125&gt;=m_From,S2125&lt;=m_To)),1,0)</f>
        <v/>
      </c>
      <c r="Y2125" s="36">
        <f>IF(AND(OR(sel_Region="All",C2125=sel_Region),OR(sel_Country="All",D2125=sel_Country),OR(sel_Channel="All",E2125=sel_Channel),OR(sel_Customer="All",F2125=sel_Customer),OR(sel_Product="All",H2125=sel_Product),AND(S2125&gt;=m_From,S2125&lt;=m_To)),1,0)</f>
        <v/>
      </c>
      <c r="Z2125" s="36">
        <f>IF(AND(OR(sel_Region="All",C2125=sel_Region),OR(sel_Country="All",D2125=sel_Country),OR(sel_Channel="All",E2125=sel_Channel),OR(sel_Customer="All",F2125=sel_Customer),OR(sel_Category="All",G2125=sel_Category),AND(S2125&gt;=m_From,S2125&lt;=m_To)),1,0)</f>
        <v/>
      </c>
      <c r="AA2125" s="36">
        <f>IF(AND(OR(sel_Region="All",C2125=sel_Region),OR(sel_Country="All",D2125=sel_Country),OR(sel_Channel="All",E2125=sel_Channel),OR(sel_Customer="All",F2125=sel_Customer),OR(sel_Category="All",G2125=sel_Category),OR(sel_Product="All",H2125=sel_Product)),1,0)</f>
        <v/>
      </c>
    </row>
    <row r="2126">
      <c r="A2126" s="36" t="inlineStr">
        <is>
          <t>01820</t>
        </is>
      </c>
      <c r="B2126" s="44" t="n">
        <v>46311</v>
      </c>
      <c r="C2126" s="36" t="inlineStr">
        <is>
          <t>Central Europe</t>
        </is>
      </c>
      <c r="D2126" s="36" t="inlineStr">
        <is>
          <t>Czechia</t>
        </is>
      </c>
      <c r="E2126" s="36" t="inlineStr">
        <is>
          <t>Online Store</t>
        </is>
      </c>
      <c r="F2126" s="36" t="inlineStr">
        <is>
          <t>Returning</t>
        </is>
      </c>
      <c r="G2126" s="36" t="inlineStr">
        <is>
          <t>Travel</t>
        </is>
      </c>
      <c r="H2126" s="36" t="inlineStr">
        <is>
          <t>Insulated Bottle</t>
        </is>
      </c>
      <c r="I2126" s="36" t="n">
        <v>3</v>
      </c>
      <c r="J2126" s="39" t="n">
        <v>36.46</v>
      </c>
      <c r="K2126" s="45" t="n">
        <v>0.05</v>
      </c>
      <c r="L2126" s="39" t="n">
        <v>13.9</v>
      </c>
      <c r="M2126" s="39">
        <f>I2126*J2126*(1-K2126)</f>
        <v/>
      </c>
      <c r="N2126" s="39">
        <f>I2126*L2126</f>
        <v/>
      </c>
      <c r="O2126" s="39">
        <f>M2126-N2126</f>
        <v/>
      </c>
      <c r="P2126" s="38">
        <f>IF(M2126=0,0,O2126/M2126)</f>
        <v/>
      </c>
      <c r="Q2126" s="36">
        <f>YEAR(B2126)</f>
        <v/>
      </c>
      <c r="R2126" s="36">
        <f>"Q"&amp;ROUNDUP(MONTH(B2126)/3,0)</f>
        <v/>
      </c>
      <c r="S2126" s="36">
        <f>MONTH(B2126)</f>
        <v/>
      </c>
      <c r="T2126" s="36">
        <f>TEXT(B2126,"mmm")</f>
        <v/>
      </c>
      <c r="U2126" s="36">
        <f>IF(AND(OR(sel_Region="All",C2126=sel_Region),OR(sel_Country="All",D2126=sel_Country),OR(sel_Channel="All",E2126=sel_Channel),OR(sel_Customer="All",F2126=sel_Customer),OR(sel_Category="All",G2126=sel_Category),OR(sel_Product="All",H2126=sel_Product),AND(S2126&gt;=m_From,S2126&lt;=m_To)),1,0)</f>
        <v/>
      </c>
      <c r="V2126" s="36">
        <f>IF(AND(OR(sel_Region="All",C2126=sel_Region),OR(sel_Channel="All",E2126=sel_Channel),OR(sel_Customer="All",F2126=sel_Customer),OR(sel_Category="All",G2126=sel_Category),OR(sel_Product="All",H2126=sel_Product),AND(S2126&gt;=m_From,S2126&lt;=m_To)),1,0)</f>
        <v/>
      </c>
      <c r="W2126" s="36">
        <f>IF(AND(OR(sel_Region="All",C2126=sel_Region),OR(sel_Country="All",D2126=sel_Country),OR(sel_Customer="All",F2126=sel_Customer),OR(sel_Category="All",G2126=sel_Category),OR(sel_Product="All",H2126=sel_Product),AND(S2126&gt;=m_From,S2126&lt;=m_To)),1,0)</f>
        <v/>
      </c>
      <c r="X2126" s="36">
        <f>IF(AND(OR(sel_Region="All",C2126=sel_Region),OR(sel_Country="All",D2126=sel_Country),OR(sel_Channel="All",E2126=sel_Channel),OR(sel_Category="All",G2126=sel_Category),OR(sel_Product="All",H2126=sel_Product),AND(S2126&gt;=m_From,S2126&lt;=m_To)),1,0)</f>
        <v/>
      </c>
      <c r="Y2126" s="36">
        <f>IF(AND(OR(sel_Region="All",C2126=sel_Region),OR(sel_Country="All",D2126=sel_Country),OR(sel_Channel="All",E2126=sel_Channel),OR(sel_Customer="All",F2126=sel_Customer),OR(sel_Product="All",H2126=sel_Product),AND(S2126&gt;=m_From,S2126&lt;=m_To)),1,0)</f>
        <v/>
      </c>
      <c r="Z2126" s="36">
        <f>IF(AND(OR(sel_Region="All",C2126=sel_Region),OR(sel_Country="All",D2126=sel_Country),OR(sel_Channel="All",E2126=sel_Channel),OR(sel_Customer="All",F2126=sel_Customer),OR(sel_Category="All",G2126=sel_Category),AND(S2126&gt;=m_From,S2126&lt;=m_To)),1,0)</f>
        <v/>
      </c>
      <c r="AA2126" s="36">
        <f>IF(AND(OR(sel_Region="All",C2126=sel_Region),OR(sel_Country="All",D2126=sel_Country),OR(sel_Channel="All",E2126=sel_Channel),OR(sel_Customer="All",F2126=sel_Customer),OR(sel_Category="All",G2126=sel_Category),OR(sel_Product="All",H2126=sel_Product)),1,0)</f>
        <v/>
      </c>
    </row>
    <row r="2127">
      <c r="A2127" s="36" t="inlineStr">
        <is>
          <t>02028</t>
        </is>
      </c>
      <c r="B2127" s="44" t="n">
        <v>46311</v>
      </c>
      <c r="C2127" s="36" t="inlineStr">
        <is>
          <t>Western Europe</t>
        </is>
      </c>
      <c r="D2127" s="36" t="inlineStr">
        <is>
          <t>Belgium</t>
        </is>
      </c>
      <c r="E2127" s="36" t="inlineStr">
        <is>
          <t>Retail Partners</t>
        </is>
      </c>
      <c r="F2127" s="36" t="inlineStr">
        <is>
          <t>Business</t>
        </is>
      </c>
      <c r="G2127" s="36" t="inlineStr">
        <is>
          <t>Fitness</t>
        </is>
      </c>
      <c r="H2127" s="36" t="inlineStr">
        <is>
          <t>Training Mat</t>
        </is>
      </c>
      <c r="I2127" s="36" t="n">
        <v>3</v>
      </c>
      <c r="J2127" s="39" t="n">
        <v>51.89</v>
      </c>
      <c r="K2127" s="45" t="n">
        <v>0.1</v>
      </c>
      <c r="L2127" s="39" t="n">
        <v>21.56</v>
      </c>
      <c r="M2127" s="39">
        <f>I2127*J2127*(1-K2127)</f>
        <v/>
      </c>
      <c r="N2127" s="39">
        <f>I2127*L2127</f>
        <v/>
      </c>
      <c r="O2127" s="39">
        <f>M2127-N2127</f>
        <v/>
      </c>
      <c r="P2127" s="38">
        <f>IF(M2127=0,0,O2127/M2127)</f>
        <v/>
      </c>
      <c r="Q2127" s="36">
        <f>YEAR(B2127)</f>
        <v/>
      </c>
      <c r="R2127" s="36">
        <f>"Q"&amp;ROUNDUP(MONTH(B2127)/3,0)</f>
        <v/>
      </c>
      <c r="S2127" s="36">
        <f>MONTH(B2127)</f>
        <v/>
      </c>
      <c r="T2127" s="36">
        <f>TEXT(B2127,"mmm")</f>
        <v/>
      </c>
      <c r="U2127" s="36">
        <f>IF(AND(OR(sel_Region="All",C2127=sel_Region),OR(sel_Country="All",D2127=sel_Country),OR(sel_Channel="All",E2127=sel_Channel),OR(sel_Customer="All",F2127=sel_Customer),OR(sel_Category="All",G2127=sel_Category),OR(sel_Product="All",H2127=sel_Product),AND(S2127&gt;=m_From,S2127&lt;=m_To)),1,0)</f>
        <v/>
      </c>
      <c r="V2127" s="36">
        <f>IF(AND(OR(sel_Region="All",C2127=sel_Region),OR(sel_Channel="All",E2127=sel_Channel),OR(sel_Customer="All",F2127=sel_Customer),OR(sel_Category="All",G2127=sel_Category),OR(sel_Product="All",H2127=sel_Product),AND(S2127&gt;=m_From,S2127&lt;=m_To)),1,0)</f>
        <v/>
      </c>
      <c r="W2127" s="36">
        <f>IF(AND(OR(sel_Region="All",C2127=sel_Region),OR(sel_Country="All",D2127=sel_Country),OR(sel_Customer="All",F2127=sel_Customer),OR(sel_Category="All",G2127=sel_Category),OR(sel_Product="All",H2127=sel_Product),AND(S2127&gt;=m_From,S2127&lt;=m_To)),1,0)</f>
        <v/>
      </c>
      <c r="X2127" s="36">
        <f>IF(AND(OR(sel_Region="All",C2127=sel_Region),OR(sel_Country="All",D2127=sel_Country),OR(sel_Channel="All",E2127=sel_Channel),OR(sel_Category="All",G2127=sel_Category),OR(sel_Product="All",H2127=sel_Product),AND(S2127&gt;=m_From,S2127&lt;=m_To)),1,0)</f>
        <v/>
      </c>
      <c r="Y2127" s="36">
        <f>IF(AND(OR(sel_Region="All",C2127=sel_Region),OR(sel_Country="All",D2127=sel_Country),OR(sel_Channel="All",E2127=sel_Channel),OR(sel_Customer="All",F2127=sel_Customer),OR(sel_Product="All",H2127=sel_Product),AND(S2127&gt;=m_From,S2127&lt;=m_To)),1,0)</f>
        <v/>
      </c>
      <c r="Z2127" s="36">
        <f>IF(AND(OR(sel_Region="All",C2127=sel_Region),OR(sel_Country="All",D2127=sel_Country),OR(sel_Channel="All",E2127=sel_Channel),OR(sel_Customer="All",F2127=sel_Customer),OR(sel_Category="All",G2127=sel_Category),AND(S2127&gt;=m_From,S2127&lt;=m_To)),1,0)</f>
        <v/>
      </c>
      <c r="AA2127" s="36">
        <f>IF(AND(OR(sel_Region="All",C2127=sel_Region),OR(sel_Country="All",D2127=sel_Country),OR(sel_Channel="All",E2127=sel_Channel),OR(sel_Customer="All",F2127=sel_Customer),OR(sel_Category="All",G2127=sel_Category),OR(sel_Product="All",H2127=sel_Product)),1,0)</f>
        <v/>
      </c>
    </row>
    <row r="2128">
      <c r="A2128" s="36" t="inlineStr">
        <is>
          <t>02741</t>
        </is>
      </c>
      <c r="B2128" s="44" t="n">
        <v>46311</v>
      </c>
      <c r="C2128" s="36" t="inlineStr">
        <is>
          <t>Western Europe</t>
        </is>
      </c>
      <c r="D2128" s="36" t="inlineStr">
        <is>
          <t>Belgium</t>
        </is>
      </c>
      <c r="E2128" s="36" t="inlineStr">
        <is>
          <t>Online Store</t>
        </is>
      </c>
      <c r="F2128" s="36" t="inlineStr">
        <is>
          <t>Returning</t>
        </is>
      </c>
      <c r="G2128" s="36" t="inlineStr">
        <is>
          <t>Fitness</t>
        </is>
      </c>
      <c r="H2128" s="36" t="inlineStr">
        <is>
          <t>Resistance Band Set</t>
        </is>
      </c>
      <c r="I2128" s="36" t="n">
        <v>1</v>
      </c>
      <c r="J2128" s="39" t="n">
        <v>40.75</v>
      </c>
      <c r="K2128" s="45" t="n">
        <v>0</v>
      </c>
      <c r="L2128" s="39" t="n">
        <v>14.7</v>
      </c>
      <c r="M2128" s="39">
        <f>I2128*J2128*(1-K2128)</f>
        <v/>
      </c>
      <c r="N2128" s="39">
        <f>I2128*L2128</f>
        <v/>
      </c>
      <c r="O2128" s="39">
        <f>M2128-N2128</f>
        <v/>
      </c>
      <c r="P2128" s="38">
        <f>IF(M2128=0,0,O2128/M2128)</f>
        <v/>
      </c>
      <c r="Q2128" s="36">
        <f>YEAR(B2128)</f>
        <v/>
      </c>
      <c r="R2128" s="36">
        <f>"Q"&amp;ROUNDUP(MONTH(B2128)/3,0)</f>
        <v/>
      </c>
      <c r="S2128" s="36">
        <f>MONTH(B2128)</f>
        <v/>
      </c>
      <c r="T2128" s="36">
        <f>TEXT(B2128,"mmm")</f>
        <v/>
      </c>
      <c r="U2128" s="36">
        <f>IF(AND(OR(sel_Region="All",C2128=sel_Region),OR(sel_Country="All",D2128=sel_Country),OR(sel_Channel="All",E2128=sel_Channel),OR(sel_Customer="All",F2128=sel_Customer),OR(sel_Category="All",G2128=sel_Category),OR(sel_Product="All",H2128=sel_Product),AND(S2128&gt;=m_From,S2128&lt;=m_To)),1,0)</f>
        <v/>
      </c>
      <c r="V2128" s="36">
        <f>IF(AND(OR(sel_Region="All",C2128=sel_Region),OR(sel_Channel="All",E2128=sel_Channel),OR(sel_Customer="All",F2128=sel_Customer),OR(sel_Category="All",G2128=sel_Category),OR(sel_Product="All",H2128=sel_Product),AND(S2128&gt;=m_From,S2128&lt;=m_To)),1,0)</f>
        <v/>
      </c>
      <c r="W2128" s="36">
        <f>IF(AND(OR(sel_Region="All",C2128=sel_Region),OR(sel_Country="All",D2128=sel_Country),OR(sel_Customer="All",F2128=sel_Customer),OR(sel_Category="All",G2128=sel_Category),OR(sel_Product="All",H2128=sel_Product),AND(S2128&gt;=m_From,S2128&lt;=m_To)),1,0)</f>
        <v/>
      </c>
      <c r="X2128" s="36">
        <f>IF(AND(OR(sel_Region="All",C2128=sel_Region),OR(sel_Country="All",D2128=sel_Country),OR(sel_Channel="All",E2128=sel_Channel),OR(sel_Category="All",G2128=sel_Category),OR(sel_Product="All",H2128=sel_Product),AND(S2128&gt;=m_From,S2128&lt;=m_To)),1,0)</f>
        <v/>
      </c>
      <c r="Y2128" s="36">
        <f>IF(AND(OR(sel_Region="All",C2128=sel_Region),OR(sel_Country="All",D2128=sel_Country),OR(sel_Channel="All",E2128=sel_Channel),OR(sel_Customer="All",F2128=sel_Customer),OR(sel_Product="All",H2128=sel_Product),AND(S2128&gt;=m_From,S2128&lt;=m_To)),1,0)</f>
        <v/>
      </c>
      <c r="Z2128" s="36">
        <f>IF(AND(OR(sel_Region="All",C2128=sel_Region),OR(sel_Country="All",D2128=sel_Country),OR(sel_Channel="All",E2128=sel_Channel),OR(sel_Customer="All",F2128=sel_Customer),OR(sel_Category="All",G2128=sel_Category),AND(S2128&gt;=m_From,S2128&lt;=m_To)),1,0)</f>
        <v/>
      </c>
      <c r="AA2128" s="36">
        <f>IF(AND(OR(sel_Region="All",C2128=sel_Region),OR(sel_Country="All",D2128=sel_Country),OR(sel_Channel="All",E2128=sel_Channel),OR(sel_Customer="All",F2128=sel_Customer),OR(sel_Category="All",G2128=sel_Category),OR(sel_Product="All",H2128=sel_Product)),1,0)</f>
        <v/>
      </c>
    </row>
    <row r="2129">
      <c r="A2129" s="36" t="inlineStr">
        <is>
          <t>03602</t>
        </is>
      </c>
      <c r="B2129" s="44" t="n">
        <v>46311</v>
      </c>
      <c r="C2129" s="36" t="inlineStr">
        <is>
          <t>Northern Europe</t>
        </is>
      </c>
      <c r="D2129" s="36" t="inlineStr">
        <is>
          <t>Denmark</t>
        </is>
      </c>
      <c r="E2129" s="36" t="inlineStr">
        <is>
          <t>Corporate</t>
        </is>
      </c>
      <c r="F2129" s="36" t="inlineStr">
        <is>
          <t>Business</t>
        </is>
      </c>
      <c r="G2129" s="36" t="inlineStr">
        <is>
          <t>Camping</t>
        </is>
      </c>
      <c r="H2129" s="36" t="inlineStr">
        <is>
          <t>Alpine Tent 4P</t>
        </is>
      </c>
      <c r="I2129" s="36" t="n">
        <v>4</v>
      </c>
      <c r="J2129" s="39" t="n">
        <v>345.13</v>
      </c>
      <c r="K2129" s="45" t="n">
        <v>0.05</v>
      </c>
      <c r="L2129" s="39" t="n">
        <v>200.02</v>
      </c>
      <c r="M2129" s="39">
        <f>I2129*J2129*(1-K2129)</f>
        <v/>
      </c>
      <c r="N2129" s="39">
        <f>I2129*L2129</f>
        <v/>
      </c>
      <c r="O2129" s="39">
        <f>M2129-N2129</f>
        <v/>
      </c>
      <c r="P2129" s="38">
        <f>IF(M2129=0,0,O2129/M2129)</f>
        <v/>
      </c>
      <c r="Q2129" s="36">
        <f>YEAR(B2129)</f>
        <v/>
      </c>
      <c r="R2129" s="36">
        <f>"Q"&amp;ROUNDUP(MONTH(B2129)/3,0)</f>
        <v/>
      </c>
      <c r="S2129" s="36">
        <f>MONTH(B2129)</f>
        <v/>
      </c>
      <c r="T2129" s="36">
        <f>TEXT(B2129,"mmm")</f>
        <v/>
      </c>
      <c r="U2129" s="36">
        <f>IF(AND(OR(sel_Region="All",C2129=sel_Region),OR(sel_Country="All",D2129=sel_Country),OR(sel_Channel="All",E2129=sel_Channel),OR(sel_Customer="All",F2129=sel_Customer),OR(sel_Category="All",G2129=sel_Category),OR(sel_Product="All",H2129=sel_Product),AND(S2129&gt;=m_From,S2129&lt;=m_To)),1,0)</f>
        <v/>
      </c>
      <c r="V2129" s="36">
        <f>IF(AND(OR(sel_Region="All",C2129=sel_Region),OR(sel_Channel="All",E2129=sel_Channel),OR(sel_Customer="All",F2129=sel_Customer),OR(sel_Category="All",G2129=sel_Category),OR(sel_Product="All",H2129=sel_Product),AND(S2129&gt;=m_From,S2129&lt;=m_To)),1,0)</f>
        <v/>
      </c>
      <c r="W2129" s="36">
        <f>IF(AND(OR(sel_Region="All",C2129=sel_Region),OR(sel_Country="All",D2129=sel_Country),OR(sel_Customer="All",F2129=sel_Customer),OR(sel_Category="All",G2129=sel_Category),OR(sel_Product="All",H2129=sel_Product),AND(S2129&gt;=m_From,S2129&lt;=m_To)),1,0)</f>
        <v/>
      </c>
      <c r="X2129" s="36">
        <f>IF(AND(OR(sel_Region="All",C2129=sel_Region),OR(sel_Country="All",D2129=sel_Country),OR(sel_Channel="All",E2129=sel_Channel),OR(sel_Category="All",G2129=sel_Category),OR(sel_Product="All",H2129=sel_Product),AND(S2129&gt;=m_From,S2129&lt;=m_To)),1,0)</f>
        <v/>
      </c>
      <c r="Y2129" s="36">
        <f>IF(AND(OR(sel_Region="All",C2129=sel_Region),OR(sel_Country="All",D2129=sel_Country),OR(sel_Channel="All",E2129=sel_Channel),OR(sel_Customer="All",F2129=sel_Customer),OR(sel_Product="All",H2129=sel_Product),AND(S2129&gt;=m_From,S2129&lt;=m_To)),1,0)</f>
        <v/>
      </c>
      <c r="Z2129" s="36">
        <f>IF(AND(OR(sel_Region="All",C2129=sel_Region),OR(sel_Country="All",D2129=sel_Country),OR(sel_Channel="All",E2129=sel_Channel),OR(sel_Customer="All",F2129=sel_Customer),OR(sel_Category="All",G2129=sel_Category),AND(S2129&gt;=m_From,S2129&lt;=m_To)),1,0)</f>
        <v/>
      </c>
      <c r="AA2129" s="36">
        <f>IF(AND(OR(sel_Region="All",C2129=sel_Region),OR(sel_Country="All",D2129=sel_Country),OR(sel_Channel="All",E2129=sel_Channel),OR(sel_Customer="All",F2129=sel_Customer),OR(sel_Category="All",G2129=sel_Category),OR(sel_Product="All",H2129=sel_Product)),1,0)</f>
        <v/>
      </c>
    </row>
    <row r="2130">
      <c r="A2130" s="36" t="inlineStr">
        <is>
          <t>04116</t>
        </is>
      </c>
      <c r="B2130" s="44" t="n">
        <v>46311</v>
      </c>
      <c r="C2130" s="36" t="inlineStr">
        <is>
          <t>Central Europe</t>
        </is>
      </c>
      <c r="D2130" s="36" t="inlineStr">
        <is>
          <t>Austria</t>
        </is>
      </c>
      <c r="E2130" s="36" t="inlineStr">
        <is>
          <t>Retail Partners</t>
        </is>
      </c>
      <c r="F2130" s="36" t="inlineStr">
        <is>
          <t>New</t>
        </is>
      </c>
      <c r="G2130" s="36" t="inlineStr">
        <is>
          <t>Travel</t>
        </is>
      </c>
      <c r="H2130" s="36" t="inlineStr">
        <is>
          <t>Insulated Bottle</t>
        </is>
      </c>
      <c r="I2130" s="36" t="n">
        <v>2</v>
      </c>
      <c r="J2130" s="39" t="n">
        <v>37.1</v>
      </c>
      <c r="K2130" s="45" t="n">
        <v>0</v>
      </c>
      <c r="L2130" s="39" t="n">
        <v>13.31</v>
      </c>
      <c r="M2130" s="39">
        <f>I2130*J2130*(1-K2130)</f>
        <v/>
      </c>
      <c r="N2130" s="39">
        <f>I2130*L2130</f>
        <v/>
      </c>
      <c r="O2130" s="39">
        <f>M2130-N2130</f>
        <v/>
      </c>
      <c r="P2130" s="38">
        <f>IF(M2130=0,0,O2130/M2130)</f>
        <v/>
      </c>
      <c r="Q2130" s="36">
        <f>YEAR(B2130)</f>
        <v/>
      </c>
      <c r="R2130" s="36">
        <f>"Q"&amp;ROUNDUP(MONTH(B2130)/3,0)</f>
        <v/>
      </c>
      <c r="S2130" s="36">
        <f>MONTH(B2130)</f>
        <v/>
      </c>
      <c r="T2130" s="36">
        <f>TEXT(B2130,"mmm")</f>
        <v/>
      </c>
      <c r="U2130" s="36">
        <f>IF(AND(OR(sel_Region="All",C2130=sel_Region),OR(sel_Country="All",D2130=sel_Country),OR(sel_Channel="All",E2130=sel_Channel),OR(sel_Customer="All",F2130=sel_Customer),OR(sel_Category="All",G2130=sel_Category),OR(sel_Product="All",H2130=sel_Product),AND(S2130&gt;=m_From,S2130&lt;=m_To)),1,0)</f>
        <v/>
      </c>
      <c r="V2130" s="36">
        <f>IF(AND(OR(sel_Region="All",C2130=sel_Region),OR(sel_Channel="All",E2130=sel_Channel),OR(sel_Customer="All",F2130=sel_Customer),OR(sel_Category="All",G2130=sel_Category),OR(sel_Product="All",H2130=sel_Product),AND(S2130&gt;=m_From,S2130&lt;=m_To)),1,0)</f>
        <v/>
      </c>
      <c r="W2130" s="36">
        <f>IF(AND(OR(sel_Region="All",C2130=sel_Region),OR(sel_Country="All",D2130=sel_Country),OR(sel_Customer="All",F2130=sel_Customer),OR(sel_Category="All",G2130=sel_Category),OR(sel_Product="All",H2130=sel_Product),AND(S2130&gt;=m_From,S2130&lt;=m_To)),1,0)</f>
        <v/>
      </c>
      <c r="X2130" s="36">
        <f>IF(AND(OR(sel_Region="All",C2130=sel_Region),OR(sel_Country="All",D2130=sel_Country),OR(sel_Channel="All",E2130=sel_Channel),OR(sel_Category="All",G2130=sel_Category),OR(sel_Product="All",H2130=sel_Product),AND(S2130&gt;=m_From,S2130&lt;=m_To)),1,0)</f>
        <v/>
      </c>
      <c r="Y2130" s="36">
        <f>IF(AND(OR(sel_Region="All",C2130=sel_Region),OR(sel_Country="All",D2130=sel_Country),OR(sel_Channel="All",E2130=sel_Channel),OR(sel_Customer="All",F2130=sel_Customer),OR(sel_Product="All",H2130=sel_Product),AND(S2130&gt;=m_From,S2130&lt;=m_To)),1,0)</f>
        <v/>
      </c>
      <c r="Z2130" s="36">
        <f>IF(AND(OR(sel_Region="All",C2130=sel_Region),OR(sel_Country="All",D2130=sel_Country),OR(sel_Channel="All",E2130=sel_Channel),OR(sel_Customer="All",F2130=sel_Customer),OR(sel_Category="All",G2130=sel_Category),AND(S2130&gt;=m_From,S2130&lt;=m_To)),1,0)</f>
        <v/>
      </c>
      <c r="AA2130" s="36">
        <f>IF(AND(OR(sel_Region="All",C2130=sel_Region),OR(sel_Country="All",D2130=sel_Country),OR(sel_Channel="All",E2130=sel_Channel),OR(sel_Customer="All",F2130=sel_Customer),OR(sel_Category="All",G2130=sel_Category),OR(sel_Product="All",H2130=sel_Product)),1,0)</f>
        <v/>
      </c>
    </row>
    <row r="2131">
      <c r="A2131" s="36" t="inlineStr">
        <is>
          <t>04197</t>
        </is>
      </c>
      <c r="B2131" s="44" t="n">
        <v>46311</v>
      </c>
      <c r="C2131" s="36" t="inlineStr">
        <is>
          <t>Western Europe</t>
        </is>
      </c>
      <c r="D2131" s="36" t="inlineStr">
        <is>
          <t>Netherlands</t>
        </is>
      </c>
      <c r="E2131" s="36" t="inlineStr">
        <is>
          <t>Marketplace</t>
        </is>
      </c>
      <c r="F2131" s="36" t="inlineStr">
        <is>
          <t>New</t>
        </is>
      </c>
      <c r="G2131" s="36" t="inlineStr">
        <is>
          <t>Hiking</t>
        </is>
      </c>
      <c r="H2131" s="36" t="inlineStr">
        <is>
          <t>Hiking Daypack 20L</t>
        </is>
      </c>
      <c r="I2131" s="36" t="n">
        <v>3</v>
      </c>
      <c r="J2131" s="39" t="n">
        <v>94.19</v>
      </c>
      <c r="K2131" s="45" t="n">
        <v>0</v>
      </c>
      <c r="L2131" s="39" t="n">
        <v>44.89</v>
      </c>
      <c r="M2131" s="39">
        <f>I2131*J2131*(1-K2131)</f>
        <v/>
      </c>
      <c r="N2131" s="39">
        <f>I2131*L2131</f>
        <v/>
      </c>
      <c r="O2131" s="39">
        <f>M2131-N2131</f>
        <v/>
      </c>
      <c r="P2131" s="38">
        <f>IF(M2131=0,0,O2131/M2131)</f>
        <v/>
      </c>
      <c r="Q2131" s="36">
        <f>YEAR(B2131)</f>
        <v/>
      </c>
      <c r="R2131" s="36">
        <f>"Q"&amp;ROUNDUP(MONTH(B2131)/3,0)</f>
        <v/>
      </c>
      <c r="S2131" s="36">
        <f>MONTH(B2131)</f>
        <v/>
      </c>
      <c r="T2131" s="36">
        <f>TEXT(B2131,"mmm")</f>
        <v/>
      </c>
      <c r="U2131" s="36">
        <f>IF(AND(OR(sel_Region="All",C2131=sel_Region),OR(sel_Country="All",D2131=sel_Country),OR(sel_Channel="All",E2131=sel_Channel),OR(sel_Customer="All",F2131=sel_Customer),OR(sel_Category="All",G2131=sel_Category),OR(sel_Product="All",H2131=sel_Product),AND(S2131&gt;=m_From,S2131&lt;=m_To)),1,0)</f>
        <v/>
      </c>
      <c r="V2131" s="36">
        <f>IF(AND(OR(sel_Region="All",C2131=sel_Region),OR(sel_Channel="All",E2131=sel_Channel),OR(sel_Customer="All",F2131=sel_Customer),OR(sel_Category="All",G2131=sel_Category),OR(sel_Product="All",H2131=sel_Product),AND(S2131&gt;=m_From,S2131&lt;=m_To)),1,0)</f>
        <v/>
      </c>
      <c r="W2131" s="36">
        <f>IF(AND(OR(sel_Region="All",C2131=sel_Region),OR(sel_Country="All",D2131=sel_Country),OR(sel_Customer="All",F2131=sel_Customer),OR(sel_Category="All",G2131=sel_Category),OR(sel_Product="All",H2131=sel_Product),AND(S2131&gt;=m_From,S2131&lt;=m_To)),1,0)</f>
        <v/>
      </c>
      <c r="X2131" s="36">
        <f>IF(AND(OR(sel_Region="All",C2131=sel_Region),OR(sel_Country="All",D2131=sel_Country),OR(sel_Channel="All",E2131=sel_Channel),OR(sel_Category="All",G2131=sel_Category),OR(sel_Product="All",H2131=sel_Product),AND(S2131&gt;=m_From,S2131&lt;=m_To)),1,0)</f>
        <v/>
      </c>
      <c r="Y2131" s="36">
        <f>IF(AND(OR(sel_Region="All",C2131=sel_Region),OR(sel_Country="All",D2131=sel_Country),OR(sel_Channel="All",E2131=sel_Channel),OR(sel_Customer="All",F2131=sel_Customer),OR(sel_Product="All",H2131=sel_Product),AND(S2131&gt;=m_From,S2131&lt;=m_To)),1,0)</f>
        <v/>
      </c>
      <c r="Z2131" s="36">
        <f>IF(AND(OR(sel_Region="All",C2131=sel_Region),OR(sel_Country="All",D2131=sel_Country),OR(sel_Channel="All",E2131=sel_Channel),OR(sel_Customer="All",F2131=sel_Customer),OR(sel_Category="All",G2131=sel_Category),AND(S2131&gt;=m_From,S2131&lt;=m_To)),1,0)</f>
        <v/>
      </c>
      <c r="AA2131" s="36">
        <f>IF(AND(OR(sel_Region="All",C2131=sel_Region),OR(sel_Country="All",D2131=sel_Country),OR(sel_Channel="All",E2131=sel_Channel),OR(sel_Customer="All",F2131=sel_Customer),OR(sel_Category="All",G2131=sel_Category),OR(sel_Product="All",H2131=sel_Product)),1,0)</f>
        <v/>
      </c>
    </row>
    <row r="2132">
      <c r="A2132" s="36" t="inlineStr">
        <is>
          <t>00360</t>
        </is>
      </c>
      <c r="B2132" s="44" t="n">
        <v>46312</v>
      </c>
      <c r="C2132" s="36" t="inlineStr">
        <is>
          <t>Western Europe</t>
        </is>
      </c>
      <c r="D2132" s="36" t="inlineStr">
        <is>
          <t>United Kingdom</t>
        </is>
      </c>
      <c r="E2132" s="36" t="inlineStr">
        <is>
          <t>Online Store</t>
        </is>
      </c>
      <c r="F2132" s="36" t="inlineStr">
        <is>
          <t>Returning</t>
        </is>
      </c>
      <c r="G2132" s="36" t="inlineStr">
        <is>
          <t>Camping</t>
        </is>
      </c>
      <c r="H2132" s="36" t="inlineStr">
        <is>
          <t>Portable Camp Stove</t>
        </is>
      </c>
      <c r="I2132" s="36" t="n">
        <v>2</v>
      </c>
      <c r="J2132" s="39" t="n">
        <v>82.52</v>
      </c>
      <c r="K2132" s="45" t="n">
        <v>0.05</v>
      </c>
      <c r="L2132" s="39" t="n">
        <v>38.61</v>
      </c>
      <c r="M2132" s="39">
        <f>I2132*J2132*(1-K2132)</f>
        <v/>
      </c>
      <c r="N2132" s="39">
        <f>I2132*L2132</f>
        <v/>
      </c>
      <c r="O2132" s="39">
        <f>M2132-N2132</f>
        <v/>
      </c>
      <c r="P2132" s="38">
        <f>IF(M2132=0,0,O2132/M2132)</f>
        <v/>
      </c>
      <c r="Q2132" s="36">
        <f>YEAR(B2132)</f>
        <v/>
      </c>
      <c r="R2132" s="36">
        <f>"Q"&amp;ROUNDUP(MONTH(B2132)/3,0)</f>
        <v/>
      </c>
      <c r="S2132" s="36">
        <f>MONTH(B2132)</f>
        <v/>
      </c>
      <c r="T2132" s="36">
        <f>TEXT(B2132,"mmm")</f>
        <v/>
      </c>
      <c r="U2132" s="36">
        <f>IF(AND(OR(sel_Region="All",C2132=sel_Region),OR(sel_Country="All",D2132=sel_Country),OR(sel_Channel="All",E2132=sel_Channel),OR(sel_Customer="All",F2132=sel_Customer),OR(sel_Category="All",G2132=sel_Category),OR(sel_Product="All",H2132=sel_Product),AND(S2132&gt;=m_From,S2132&lt;=m_To)),1,0)</f>
        <v/>
      </c>
      <c r="V2132" s="36">
        <f>IF(AND(OR(sel_Region="All",C2132=sel_Region),OR(sel_Channel="All",E2132=sel_Channel),OR(sel_Customer="All",F2132=sel_Customer),OR(sel_Category="All",G2132=sel_Category),OR(sel_Product="All",H2132=sel_Product),AND(S2132&gt;=m_From,S2132&lt;=m_To)),1,0)</f>
        <v/>
      </c>
      <c r="W2132" s="36">
        <f>IF(AND(OR(sel_Region="All",C2132=sel_Region),OR(sel_Country="All",D2132=sel_Country),OR(sel_Customer="All",F2132=sel_Customer),OR(sel_Category="All",G2132=sel_Category),OR(sel_Product="All",H2132=sel_Product),AND(S2132&gt;=m_From,S2132&lt;=m_To)),1,0)</f>
        <v/>
      </c>
      <c r="X2132" s="36">
        <f>IF(AND(OR(sel_Region="All",C2132=sel_Region),OR(sel_Country="All",D2132=sel_Country),OR(sel_Channel="All",E2132=sel_Channel),OR(sel_Category="All",G2132=sel_Category),OR(sel_Product="All",H2132=sel_Product),AND(S2132&gt;=m_From,S2132&lt;=m_To)),1,0)</f>
        <v/>
      </c>
      <c r="Y2132" s="36">
        <f>IF(AND(OR(sel_Region="All",C2132=sel_Region),OR(sel_Country="All",D2132=sel_Country),OR(sel_Channel="All",E2132=sel_Channel),OR(sel_Customer="All",F2132=sel_Customer),OR(sel_Product="All",H2132=sel_Product),AND(S2132&gt;=m_From,S2132&lt;=m_To)),1,0)</f>
        <v/>
      </c>
      <c r="Z2132" s="36">
        <f>IF(AND(OR(sel_Region="All",C2132=sel_Region),OR(sel_Country="All",D2132=sel_Country),OR(sel_Channel="All",E2132=sel_Channel),OR(sel_Customer="All",F2132=sel_Customer),OR(sel_Category="All",G2132=sel_Category),AND(S2132&gt;=m_From,S2132&lt;=m_To)),1,0)</f>
        <v/>
      </c>
      <c r="AA2132" s="36">
        <f>IF(AND(OR(sel_Region="All",C2132=sel_Region),OR(sel_Country="All",D2132=sel_Country),OR(sel_Channel="All",E2132=sel_Channel),OR(sel_Customer="All",F2132=sel_Customer),OR(sel_Category="All",G2132=sel_Category),OR(sel_Product="All",H2132=sel_Product)),1,0)</f>
        <v/>
      </c>
    </row>
    <row r="2133">
      <c r="A2133" s="36" t="inlineStr">
        <is>
          <t>00427</t>
        </is>
      </c>
      <c r="B2133" s="44" t="n">
        <v>46312</v>
      </c>
      <c r="C2133" s="36" t="inlineStr">
        <is>
          <t>Western Europe</t>
        </is>
      </c>
      <c r="D2133" s="36" t="inlineStr">
        <is>
          <t>France</t>
        </is>
      </c>
      <c r="E2133" s="36" t="inlineStr">
        <is>
          <t>Online Store</t>
        </is>
      </c>
      <c r="F2133" s="36" t="inlineStr">
        <is>
          <t>Business</t>
        </is>
      </c>
      <c r="G2133" s="36" t="inlineStr">
        <is>
          <t>Hiking</t>
        </is>
      </c>
      <c r="H2133" s="36" t="inlineStr">
        <is>
          <t>Summit Backpack 45L</t>
        </is>
      </c>
      <c r="I2133" s="36" t="n">
        <v>1</v>
      </c>
      <c r="J2133" s="39" t="n">
        <v>155.16</v>
      </c>
      <c r="K2133" s="45" t="n">
        <v>0</v>
      </c>
      <c r="L2133" s="39" t="n">
        <v>78.84</v>
      </c>
      <c r="M2133" s="39">
        <f>I2133*J2133*(1-K2133)</f>
        <v/>
      </c>
      <c r="N2133" s="39">
        <f>I2133*L2133</f>
        <v/>
      </c>
      <c r="O2133" s="39">
        <f>M2133-N2133</f>
        <v/>
      </c>
      <c r="P2133" s="38">
        <f>IF(M2133=0,0,O2133/M2133)</f>
        <v/>
      </c>
      <c r="Q2133" s="36">
        <f>YEAR(B2133)</f>
        <v/>
      </c>
      <c r="R2133" s="36">
        <f>"Q"&amp;ROUNDUP(MONTH(B2133)/3,0)</f>
        <v/>
      </c>
      <c r="S2133" s="36">
        <f>MONTH(B2133)</f>
        <v/>
      </c>
      <c r="T2133" s="36">
        <f>TEXT(B2133,"mmm")</f>
        <v/>
      </c>
      <c r="U2133" s="36">
        <f>IF(AND(OR(sel_Region="All",C2133=sel_Region),OR(sel_Country="All",D2133=sel_Country),OR(sel_Channel="All",E2133=sel_Channel),OR(sel_Customer="All",F2133=sel_Customer),OR(sel_Category="All",G2133=sel_Category),OR(sel_Product="All",H2133=sel_Product),AND(S2133&gt;=m_From,S2133&lt;=m_To)),1,0)</f>
        <v/>
      </c>
      <c r="V2133" s="36">
        <f>IF(AND(OR(sel_Region="All",C2133=sel_Region),OR(sel_Channel="All",E2133=sel_Channel),OR(sel_Customer="All",F2133=sel_Customer),OR(sel_Category="All",G2133=sel_Category),OR(sel_Product="All",H2133=sel_Product),AND(S2133&gt;=m_From,S2133&lt;=m_To)),1,0)</f>
        <v/>
      </c>
      <c r="W2133" s="36">
        <f>IF(AND(OR(sel_Region="All",C2133=sel_Region),OR(sel_Country="All",D2133=sel_Country),OR(sel_Customer="All",F2133=sel_Customer),OR(sel_Category="All",G2133=sel_Category),OR(sel_Product="All",H2133=sel_Product),AND(S2133&gt;=m_From,S2133&lt;=m_To)),1,0)</f>
        <v/>
      </c>
      <c r="X2133" s="36">
        <f>IF(AND(OR(sel_Region="All",C2133=sel_Region),OR(sel_Country="All",D2133=sel_Country),OR(sel_Channel="All",E2133=sel_Channel),OR(sel_Category="All",G2133=sel_Category),OR(sel_Product="All",H2133=sel_Product),AND(S2133&gt;=m_From,S2133&lt;=m_To)),1,0)</f>
        <v/>
      </c>
      <c r="Y2133" s="36">
        <f>IF(AND(OR(sel_Region="All",C2133=sel_Region),OR(sel_Country="All",D2133=sel_Country),OR(sel_Channel="All",E2133=sel_Channel),OR(sel_Customer="All",F2133=sel_Customer),OR(sel_Product="All",H2133=sel_Product),AND(S2133&gt;=m_From,S2133&lt;=m_To)),1,0)</f>
        <v/>
      </c>
      <c r="Z2133" s="36">
        <f>IF(AND(OR(sel_Region="All",C2133=sel_Region),OR(sel_Country="All",D2133=sel_Country),OR(sel_Channel="All",E2133=sel_Channel),OR(sel_Customer="All",F2133=sel_Customer),OR(sel_Category="All",G2133=sel_Category),AND(S2133&gt;=m_From,S2133&lt;=m_To)),1,0)</f>
        <v/>
      </c>
      <c r="AA2133" s="36">
        <f>IF(AND(OR(sel_Region="All",C2133=sel_Region),OR(sel_Country="All",D2133=sel_Country),OR(sel_Channel="All",E2133=sel_Channel),OR(sel_Customer="All",F2133=sel_Customer),OR(sel_Category="All",G2133=sel_Category),OR(sel_Product="All",H2133=sel_Product)),1,0)</f>
        <v/>
      </c>
    </row>
    <row r="2134">
      <c r="A2134" s="36" t="inlineStr">
        <is>
          <t>01018</t>
        </is>
      </c>
      <c r="B2134" s="44" t="n">
        <v>46312</v>
      </c>
      <c r="C2134" s="36" t="inlineStr">
        <is>
          <t>Western Europe</t>
        </is>
      </c>
      <c r="D2134" s="36" t="inlineStr">
        <is>
          <t>France</t>
        </is>
      </c>
      <c r="E2134" s="36" t="inlineStr">
        <is>
          <t>Marketplace</t>
        </is>
      </c>
      <c r="F2134" s="36" t="inlineStr">
        <is>
          <t>Returning</t>
        </is>
      </c>
      <c r="G2134" s="36" t="inlineStr">
        <is>
          <t>Travel</t>
        </is>
      </c>
      <c r="H2134" s="36" t="inlineStr">
        <is>
          <t>Packing Cube Set</t>
        </is>
      </c>
      <c r="I2134" s="36" t="n">
        <v>1</v>
      </c>
      <c r="J2134" s="39" t="n">
        <v>46.36</v>
      </c>
      <c r="K2134" s="45" t="n">
        <v>0.05</v>
      </c>
      <c r="L2134" s="39" t="n">
        <v>18.4</v>
      </c>
      <c r="M2134" s="39">
        <f>I2134*J2134*(1-K2134)</f>
        <v/>
      </c>
      <c r="N2134" s="39">
        <f>I2134*L2134</f>
        <v/>
      </c>
      <c r="O2134" s="39">
        <f>M2134-N2134</f>
        <v/>
      </c>
      <c r="P2134" s="38">
        <f>IF(M2134=0,0,O2134/M2134)</f>
        <v/>
      </c>
      <c r="Q2134" s="36">
        <f>YEAR(B2134)</f>
        <v/>
      </c>
      <c r="R2134" s="36">
        <f>"Q"&amp;ROUNDUP(MONTH(B2134)/3,0)</f>
        <v/>
      </c>
      <c r="S2134" s="36">
        <f>MONTH(B2134)</f>
        <v/>
      </c>
      <c r="T2134" s="36">
        <f>TEXT(B2134,"mmm")</f>
        <v/>
      </c>
      <c r="U2134" s="36">
        <f>IF(AND(OR(sel_Region="All",C2134=sel_Region),OR(sel_Country="All",D2134=sel_Country),OR(sel_Channel="All",E2134=sel_Channel),OR(sel_Customer="All",F2134=sel_Customer),OR(sel_Category="All",G2134=sel_Category),OR(sel_Product="All",H2134=sel_Product),AND(S2134&gt;=m_From,S2134&lt;=m_To)),1,0)</f>
        <v/>
      </c>
      <c r="V2134" s="36">
        <f>IF(AND(OR(sel_Region="All",C2134=sel_Region),OR(sel_Channel="All",E2134=sel_Channel),OR(sel_Customer="All",F2134=sel_Customer),OR(sel_Category="All",G2134=sel_Category),OR(sel_Product="All",H2134=sel_Product),AND(S2134&gt;=m_From,S2134&lt;=m_To)),1,0)</f>
        <v/>
      </c>
      <c r="W2134" s="36">
        <f>IF(AND(OR(sel_Region="All",C2134=sel_Region),OR(sel_Country="All",D2134=sel_Country),OR(sel_Customer="All",F2134=sel_Customer),OR(sel_Category="All",G2134=sel_Category),OR(sel_Product="All",H2134=sel_Product),AND(S2134&gt;=m_From,S2134&lt;=m_To)),1,0)</f>
        <v/>
      </c>
      <c r="X2134" s="36">
        <f>IF(AND(OR(sel_Region="All",C2134=sel_Region),OR(sel_Country="All",D2134=sel_Country),OR(sel_Channel="All",E2134=sel_Channel),OR(sel_Category="All",G2134=sel_Category),OR(sel_Product="All",H2134=sel_Product),AND(S2134&gt;=m_From,S2134&lt;=m_To)),1,0)</f>
        <v/>
      </c>
      <c r="Y2134" s="36">
        <f>IF(AND(OR(sel_Region="All",C2134=sel_Region),OR(sel_Country="All",D2134=sel_Country),OR(sel_Channel="All",E2134=sel_Channel),OR(sel_Customer="All",F2134=sel_Customer),OR(sel_Product="All",H2134=sel_Product),AND(S2134&gt;=m_From,S2134&lt;=m_To)),1,0)</f>
        <v/>
      </c>
      <c r="Z2134" s="36">
        <f>IF(AND(OR(sel_Region="All",C2134=sel_Region),OR(sel_Country="All",D2134=sel_Country),OR(sel_Channel="All",E2134=sel_Channel),OR(sel_Customer="All",F2134=sel_Customer),OR(sel_Category="All",G2134=sel_Category),AND(S2134&gt;=m_From,S2134&lt;=m_To)),1,0)</f>
        <v/>
      </c>
      <c r="AA2134" s="36">
        <f>IF(AND(OR(sel_Region="All",C2134=sel_Region),OR(sel_Country="All",D2134=sel_Country),OR(sel_Channel="All",E2134=sel_Channel),OR(sel_Customer="All",F2134=sel_Customer),OR(sel_Category="All",G2134=sel_Category),OR(sel_Product="All",H2134=sel_Product)),1,0)</f>
        <v/>
      </c>
    </row>
    <row r="2135">
      <c r="A2135" s="36" t="inlineStr">
        <is>
          <t>01179</t>
        </is>
      </c>
      <c r="B2135" s="44" t="n">
        <v>46312</v>
      </c>
      <c r="C2135" s="36" t="inlineStr">
        <is>
          <t>Northern Europe</t>
        </is>
      </c>
      <c r="D2135" s="36" t="inlineStr">
        <is>
          <t>Norway</t>
        </is>
      </c>
      <c r="E2135" s="36" t="inlineStr">
        <is>
          <t>Online Store</t>
        </is>
      </c>
      <c r="F2135" s="36" t="inlineStr">
        <is>
          <t>Business</t>
        </is>
      </c>
      <c r="G2135" s="36" t="inlineStr">
        <is>
          <t>Cycling</t>
        </is>
      </c>
      <c r="H2135" s="36" t="inlineStr">
        <is>
          <t>Commuter Helmet</t>
        </is>
      </c>
      <c r="I2135" s="36" t="n">
        <v>1</v>
      </c>
      <c r="J2135" s="39" t="n">
        <v>81.47</v>
      </c>
      <c r="K2135" s="45" t="n">
        <v>0</v>
      </c>
      <c r="L2135" s="39" t="n">
        <v>43.67</v>
      </c>
      <c r="M2135" s="39">
        <f>I2135*J2135*(1-K2135)</f>
        <v/>
      </c>
      <c r="N2135" s="39">
        <f>I2135*L2135</f>
        <v/>
      </c>
      <c r="O2135" s="39">
        <f>M2135-N2135</f>
        <v/>
      </c>
      <c r="P2135" s="38">
        <f>IF(M2135=0,0,O2135/M2135)</f>
        <v/>
      </c>
      <c r="Q2135" s="36">
        <f>YEAR(B2135)</f>
        <v/>
      </c>
      <c r="R2135" s="36">
        <f>"Q"&amp;ROUNDUP(MONTH(B2135)/3,0)</f>
        <v/>
      </c>
      <c r="S2135" s="36">
        <f>MONTH(B2135)</f>
        <v/>
      </c>
      <c r="T2135" s="36">
        <f>TEXT(B2135,"mmm")</f>
        <v/>
      </c>
      <c r="U2135" s="36">
        <f>IF(AND(OR(sel_Region="All",C2135=sel_Region),OR(sel_Country="All",D2135=sel_Country),OR(sel_Channel="All",E2135=sel_Channel),OR(sel_Customer="All",F2135=sel_Customer),OR(sel_Category="All",G2135=sel_Category),OR(sel_Product="All",H2135=sel_Product),AND(S2135&gt;=m_From,S2135&lt;=m_To)),1,0)</f>
        <v/>
      </c>
      <c r="V2135" s="36">
        <f>IF(AND(OR(sel_Region="All",C2135=sel_Region),OR(sel_Channel="All",E2135=sel_Channel),OR(sel_Customer="All",F2135=sel_Customer),OR(sel_Category="All",G2135=sel_Category),OR(sel_Product="All",H2135=sel_Product),AND(S2135&gt;=m_From,S2135&lt;=m_To)),1,0)</f>
        <v/>
      </c>
      <c r="W2135" s="36">
        <f>IF(AND(OR(sel_Region="All",C2135=sel_Region),OR(sel_Country="All",D2135=sel_Country),OR(sel_Customer="All",F2135=sel_Customer),OR(sel_Category="All",G2135=sel_Category),OR(sel_Product="All",H2135=sel_Product),AND(S2135&gt;=m_From,S2135&lt;=m_To)),1,0)</f>
        <v/>
      </c>
      <c r="X2135" s="36">
        <f>IF(AND(OR(sel_Region="All",C2135=sel_Region),OR(sel_Country="All",D2135=sel_Country),OR(sel_Channel="All",E2135=sel_Channel),OR(sel_Category="All",G2135=sel_Category),OR(sel_Product="All",H2135=sel_Product),AND(S2135&gt;=m_From,S2135&lt;=m_To)),1,0)</f>
        <v/>
      </c>
      <c r="Y2135" s="36">
        <f>IF(AND(OR(sel_Region="All",C2135=sel_Region),OR(sel_Country="All",D2135=sel_Country),OR(sel_Channel="All",E2135=sel_Channel),OR(sel_Customer="All",F2135=sel_Customer),OR(sel_Product="All",H2135=sel_Product),AND(S2135&gt;=m_From,S2135&lt;=m_To)),1,0)</f>
        <v/>
      </c>
      <c r="Z2135" s="36">
        <f>IF(AND(OR(sel_Region="All",C2135=sel_Region),OR(sel_Country="All",D2135=sel_Country),OR(sel_Channel="All",E2135=sel_Channel),OR(sel_Customer="All",F2135=sel_Customer),OR(sel_Category="All",G2135=sel_Category),AND(S2135&gt;=m_From,S2135&lt;=m_To)),1,0)</f>
        <v/>
      </c>
      <c r="AA2135" s="36">
        <f>IF(AND(OR(sel_Region="All",C2135=sel_Region),OR(sel_Country="All",D2135=sel_Country),OR(sel_Channel="All",E2135=sel_Channel),OR(sel_Customer="All",F2135=sel_Customer),OR(sel_Category="All",G2135=sel_Category),OR(sel_Product="All",H2135=sel_Product)),1,0)</f>
        <v/>
      </c>
    </row>
    <row r="2136">
      <c r="A2136" s="36" t="inlineStr">
        <is>
          <t>02267</t>
        </is>
      </c>
      <c r="B2136" s="44" t="n">
        <v>46312</v>
      </c>
      <c r="C2136" s="36" t="inlineStr">
        <is>
          <t>Southern Europe</t>
        </is>
      </c>
      <c r="D2136" s="36" t="inlineStr">
        <is>
          <t>Italy</t>
        </is>
      </c>
      <c r="E2136" s="36" t="inlineStr">
        <is>
          <t>Online Store</t>
        </is>
      </c>
      <c r="F2136" s="36" t="inlineStr">
        <is>
          <t>Returning</t>
        </is>
      </c>
      <c r="G2136" s="36" t="inlineStr">
        <is>
          <t>Travel</t>
        </is>
      </c>
      <c r="H2136" s="36" t="inlineStr">
        <is>
          <t>Carry-On Duffel</t>
        </is>
      </c>
      <c r="I2136" s="36" t="n">
        <v>1</v>
      </c>
      <c r="J2136" s="39" t="n">
        <v>134.31</v>
      </c>
      <c r="K2136" s="45" t="n">
        <v>0.05</v>
      </c>
      <c r="L2136" s="39" t="n">
        <v>67.23999999999999</v>
      </c>
      <c r="M2136" s="39">
        <f>I2136*J2136*(1-K2136)</f>
        <v/>
      </c>
      <c r="N2136" s="39">
        <f>I2136*L2136</f>
        <v/>
      </c>
      <c r="O2136" s="39">
        <f>M2136-N2136</f>
        <v/>
      </c>
      <c r="P2136" s="38">
        <f>IF(M2136=0,0,O2136/M2136)</f>
        <v/>
      </c>
      <c r="Q2136" s="36">
        <f>YEAR(B2136)</f>
        <v/>
      </c>
      <c r="R2136" s="36">
        <f>"Q"&amp;ROUNDUP(MONTH(B2136)/3,0)</f>
        <v/>
      </c>
      <c r="S2136" s="36">
        <f>MONTH(B2136)</f>
        <v/>
      </c>
      <c r="T2136" s="36">
        <f>TEXT(B2136,"mmm")</f>
        <v/>
      </c>
      <c r="U2136" s="36">
        <f>IF(AND(OR(sel_Region="All",C2136=sel_Region),OR(sel_Country="All",D2136=sel_Country),OR(sel_Channel="All",E2136=sel_Channel),OR(sel_Customer="All",F2136=sel_Customer),OR(sel_Category="All",G2136=sel_Category),OR(sel_Product="All",H2136=sel_Product),AND(S2136&gt;=m_From,S2136&lt;=m_To)),1,0)</f>
        <v/>
      </c>
      <c r="V2136" s="36">
        <f>IF(AND(OR(sel_Region="All",C2136=sel_Region),OR(sel_Channel="All",E2136=sel_Channel),OR(sel_Customer="All",F2136=sel_Customer),OR(sel_Category="All",G2136=sel_Category),OR(sel_Product="All",H2136=sel_Product),AND(S2136&gt;=m_From,S2136&lt;=m_To)),1,0)</f>
        <v/>
      </c>
      <c r="W2136" s="36">
        <f>IF(AND(OR(sel_Region="All",C2136=sel_Region),OR(sel_Country="All",D2136=sel_Country),OR(sel_Customer="All",F2136=sel_Customer),OR(sel_Category="All",G2136=sel_Category),OR(sel_Product="All",H2136=sel_Product),AND(S2136&gt;=m_From,S2136&lt;=m_To)),1,0)</f>
        <v/>
      </c>
      <c r="X2136" s="36">
        <f>IF(AND(OR(sel_Region="All",C2136=sel_Region),OR(sel_Country="All",D2136=sel_Country),OR(sel_Channel="All",E2136=sel_Channel),OR(sel_Category="All",G2136=sel_Category),OR(sel_Product="All",H2136=sel_Product),AND(S2136&gt;=m_From,S2136&lt;=m_To)),1,0)</f>
        <v/>
      </c>
      <c r="Y2136" s="36">
        <f>IF(AND(OR(sel_Region="All",C2136=sel_Region),OR(sel_Country="All",D2136=sel_Country),OR(sel_Channel="All",E2136=sel_Channel),OR(sel_Customer="All",F2136=sel_Customer),OR(sel_Product="All",H2136=sel_Product),AND(S2136&gt;=m_From,S2136&lt;=m_To)),1,0)</f>
        <v/>
      </c>
      <c r="Z2136" s="36">
        <f>IF(AND(OR(sel_Region="All",C2136=sel_Region),OR(sel_Country="All",D2136=sel_Country),OR(sel_Channel="All",E2136=sel_Channel),OR(sel_Customer="All",F2136=sel_Customer),OR(sel_Category="All",G2136=sel_Category),AND(S2136&gt;=m_From,S2136&lt;=m_To)),1,0)</f>
        <v/>
      </c>
      <c r="AA2136" s="36">
        <f>IF(AND(OR(sel_Region="All",C2136=sel_Region),OR(sel_Country="All",D2136=sel_Country),OR(sel_Channel="All",E2136=sel_Channel),OR(sel_Customer="All",F2136=sel_Customer),OR(sel_Category="All",G2136=sel_Category),OR(sel_Product="All",H2136=sel_Product)),1,0)</f>
        <v/>
      </c>
    </row>
    <row r="2137">
      <c r="A2137" s="36" t="inlineStr">
        <is>
          <t>02656</t>
        </is>
      </c>
      <c r="B2137" s="44" t="n">
        <v>46312</v>
      </c>
      <c r="C2137" s="36" t="inlineStr">
        <is>
          <t>Northern Europe</t>
        </is>
      </c>
      <c r="D2137" s="36" t="inlineStr">
        <is>
          <t>Norway</t>
        </is>
      </c>
      <c r="E2137" s="36" t="inlineStr">
        <is>
          <t>Online Store</t>
        </is>
      </c>
      <c r="F2137" s="36" t="inlineStr">
        <is>
          <t>New</t>
        </is>
      </c>
      <c r="G2137" s="36" t="inlineStr">
        <is>
          <t>Camping</t>
        </is>
      </c>
      <c r="H2137" s="36" t="inlineStr">
        <is>
          <t>Compact Sleeping Bag</t>
        </is>
      </c>
      <c r="I2137" s="36" t="n">
        <v>1</v>
      </c>
      <c r="J2137" s="39" t="n">
        <v>123.11</v>
      </c>
      <c r="K2137" s="45" t="n">
        <v>0</v>
      </c>
      <c r="L2137" s="39" t="n">
        <v>58.99</v>
      </c>
      <c r="M2137" s="39">
        <f>I2137*J2137*(1-K2137)</f>
        <v/>
      </c>
      <c r="N2137" s="39">
        <f>I2137*L2137</f>
        <v/>
      </c>
      <c r="O2137" s="39">
        <f>M2137-N2137</f>
        <v/>
      </c>
      <c r="P2137" s="38">
        <f>IF(M2137=0,0,O2137/M2137)</f>
        <v/>
      </c>
      <c r="Q2137" s="36">
        <f>YEAR(B2137)</f>
        <v/>
      </c>
      <c r="R2137" s="36">
        <f>"Q"&amp;ROUNDUP(MONTH(B2137)/3,0)</f>
        <v/>
      </c>
      <c r="S2137" s="36">
        <f>MONTH(B2137)</f>
        <v/>
      </c>
      <c r="T2137" s="36">
        <f>TEXT(B2137,"mmm")</f>
        <v/>
      </c>
      <c r="U2137" s="36">
        <f>IF(AND(OR(sel_Region="All",C2137=sel_Region),OR(sel_Country="All",D2137=sel_Country),OR(sel_Channel="All",E2137=sel_Channel),OR(sel_Customer="All",F2137=sel_Customer),OR(sel_Category="All",G2137=sel_Category),OR(sel_Product="All",H2137=sel_Product),AND(S2137&gt;=m_From,S2137&lt;=m_To)),1,0)</f>
        <v/>
      </c>
      <c r="V2137" s="36">
        <f>IF(AND(OR(sel_Region="All",C2137=sel_Region),OR(sel_Channel="All",E2137=sel_Channel),OR(sel_Customer="All",F2137=sel_Customer),OR(sel_Category="All",G2137=sel_Category),OR(sel_Product="All",H2137=sel_Product),AND(S2137&gt;=m_From,S2137&lt;=m_To)),1,0)</f>
        <v/>
      </c>
      <c r="W2137" s="36">
        <f>IF(AND(OR(sel_Region="All",C2137=sel_Region),OR(sel_Country="All",D2137=sel_Country),OR(sel_Customer="All",F2137=sel_Customer),OR(sel_Category="All",G2137=sel_Category),OR(sel_Product="All",H2137=sel_Product),AND(S2137&gt;=m_From,S2137&lt;=m_To)),1,0)</f>
        <v/>
      </c>
      <c r="X2137" s="36">
        <f>IF(AND(OR(sel_Region="All",C2137=sel_Region),OR(sel_Country="All",D2137=sel_Country),OR(sel_Channel="All",E2137=sel_Channel),OR(sel_Category="All",G2137=sel_Category),OR(sel_Product="All",H2137=sel_Product),AND(S2137&gt;=m_From,S2137&lt;=m_To)),1,0)</f>
        <v/>
      </c>
      <c r="Y2137" s="36">
        <f>IF(AND(OR(sel_Region="All",C2137=sel_Region),OR(sel_Country="All",D2137=sel_Country),OR(sel_Channel="All",E2137=sel_Channel),OR(sel_Customer="All",F2137=sel_Customer),OR(sel_Product="All",H2137=sel_Product),AND(S2137&gt;=m_From,S2137&lt;=m_To)),1,0)</f>
        <v/>
      </c>
      <c r="Z2137" s="36">
        <f>IF(AND(OR(sel_Region="All",C2137=sel_Region),OR(sel_Country="All",D2137=sel_Country),OR(sel_Channel="All",E2137=sel_Channel),OR(sel_Customer="All",F2137=sel_Customer),OR(sel_Category="All",G2137=sel_Category),AND(S2137&gt;=m_From,S2137&lt;=m_To)),1,0)</f>
        <v/>
      </c>
      <c r="AA2137" s="36">
        <f>IF(AND(OR(sel_Region="All",C2137=sel_Region),OR(sel_Country="All",D2137=sel_Country),OR(sel_Channel="All",E2137=sel_Channel),OR(sel_Customer="All",F2137=sel_Customer),OR(sel_Category="All",G2137=sel_Category),OR(sel_Product="All",H2137=sel_Product)),1,0)</f>
        <v/>
      </c>
    </row>
    <row r="2138">
      <c r="A2138" s="36" t="inlineStr">
        <is>
          <t>02867</t>
        </is>
      </c>
      <c r="B2138" s="44" t="n">
        <v>46312</v>
      </c>
      <c r="C2138" s="36" t="inlineStr">
        <is>
          <t>Central Europe</t>
        </is>
      </c>
      <c r="D2138" s="36" t="inlineStr">
        <is>
          <t>Austria</t>
        </is>
      </c>
      <c r="E2138" s="36" t="inlineStr">
        <is>
          <t>Online Store</t>
        </is>
      </c>
      <c r="F2138" s="36" t="inlineStr">
        <is>
          <t>New</t>
        </is>
      </c>
      <c r="G2138" s="36" t="inlineStr">
        <is>
          <t>Camping</t>
        </is>
      </c>
      <c r="H2138" s="36" t="inlineStr">
        <is>
          <t>Portable Camp Stove</t>
        </is>
      </c>
      <c r="I2138" s="36" t="n">
        <v>1</v>
      </c>
      <c r="J2138" s="39" t="n">
        <v>81.23999999999999</v>
      </c>
      <c r="K2138" s="45" t="n">
        <v>0</v>
      </c>
      <c r="L2138" s="39" t="n">
        <v>38.65</v>
      </c>
      <c r="M2138" s="39">
        <f>I2138*J2138*(1-K2138)</f>
        <v/>
      </c>
      <c r="N2138" s="39">
        <f>I2138*L2138</f>
        <v/>
      </c>
      <c r="O2138" s="39">
        <f>M2138-N2138</f>
        <v/>
      </c>
      <c r="P2138" s="38">
        <f>IF(M2138=0,0,O2138/M2138)</f>
        <v/>
      </c>
      <c r="Q2138" s="36">
        <f>YEAR(B2138)</f>
        <v/>
      </c>
      <c r="R2138" s="36">
        <f>"Q"&amp;ROUNDUP(MONTH(B2138)/3,0)</f>
        <v/>
      </c>
      <c r="S2138" s="36">
        <f>MONTH(B2138)</f>
        <v/>
      </c>
      <c r="T2138" s="36">
        <f>TEXT(B2138,"mmm")</f>
        <v/>
      </c>
      <c r="U2138" s="36">
        <f>IF(AND(OR(sel_Region="All",C2138=sel_Region),OR(sel_Country="All",D2138=sel_Country),OR(sel_Channel="All",E2138=sel_Channel),OR(sel_Customer="All",F2138=sel_Customer),OR(sel_Category="All",G2138=sel_Category),OR(sel_Product="All",H2138=sel_Product),AND(S2138&gt;=m_From,S2138&lt;=m_To)),1,0)</f>
        <v/>
      </c>
      <c r="V2138" s="36">
        <f>IF(AND(OR(sel_Region="All",C2138=sel_Region),OR(sel_Channel="All",E2138=sel_Channel),OR(sel_Customer="All",F2138=sel_Customer),OR(sel_Category="All",G2138=sel_Category),OR(sel_Product="All",H2138=sel_Product),AND(S2138&gt;=m_From,S2138&lt;=m_To)),1,0)</f>
        <v/>
      </c>
      <c r="W2138" s="36">
        <f>IF(AND(OR(sel_Region="All",C2138=sel_Region),OR(sel_Country="All",D2138=sel_Country),OR(sel_Customer="All",F2138=sel_Customer),OR(sel_Category="All",G2138=sel_Category),OR(sel_Product="All",H2138=sel_Product),AND(S2138&gt;=m_From,S2138&lt;=m_To)),1,0)</f>
        <v/>
      </c>
      <c r="X2138" s="36">
        <f>IF(AND(OR(sel_Region="All",C2138=sel_Region),OR(sel_Country="All",D2138=sel_Country),OR(sel_Channel="All",E2138=sel_Channel),OR(sel_Category="All",G2138=sel_Category),OR(sel_Product="All",H2138=sel_Product),AND(S2138&gt;=m_From,S2138&lt;=m_To)),1,0)</f>
        <v/>
      </c>
      <c r="Y2138" s="36">
        <f>IF(AND(OR(sel_Region="All",C2138=sel_Region),OR(sel_Country="All",D2138=sel_Country),OR(sel_Channel="All",E2138=sel_Channel),OR(sel_Customer="All",F2138=sel_Customer),OR(sel_Product="All",H2138=sel_Product),AND(S2138&gt;=m_From,S2138&lt;=m_To)),1,0)</f>
        <v/>
      </c>
      <c r="Z2138" s="36">
        <f>IF(AND(OR(sel_Region="All",C2138=sel_Region),OR(sel_Country="All",D2138=sel_Country),OR(sel_Channel="All",E2138=sel_Channel),OR(sel_Customer="All",F2138=sel_Customer),OR(sel_Category="All",G2138=sel_Category),AND(S2138&gt;=m_From,S2138&lt;=m_To)),1,0)</f>
        <v/>
      </c>
      <c r="AA2138" s="36">
        <f>IF(AND(OR(sel_Region="All",C2138=sel_Region),OR(sel_Country="All",D2138=sel_Country),OR(sel_Channel="All",E2138=sel_Channel),OR(sel_Customer="All",F2138=sel_Customer),OR(sel_Category="All",G2138=sel_Category),OR(sel_Product="All",H2138=sel_Product)),1,0)</f>
        <v/>
      </c>
    </row>
    <row r="2139">
      <c r="A2139" s="36" t="inlineStr">
        <is>
          <t>03335</t>
        </is>
      </c>
      <c r="B2139" s="44" t="n">
        <v>46312</v>
      </c>
      <c r="C2139" s="36" t="inlineStr">
        <is>
          <t>Southern Europe</t>
        </is>
      </c>
      <c r="D2139" s="36" t="inlineStr">
        <is>
          <t>Portugal</t>
        </is>
      </c>
      <c r="E2139" s="36" t="inlineStr">
        <is>
          <t>Marketplace</t>
        </is>
      </c>
      <c r="F2139" s="36" t="inlineStr">
        <is>
          <t>Returning</t>
        </is>
      </c>
      <c r="G2139" s="36" t="inlineStr">
        <is>
          <t>Hiking</t>
        </is>
      </c>
      <c r="H2139" s="36" t="inlineStr">
        <is>
          <t>Trekking Poles</t>
        </is>
      </c>
      <c r="I2139" s="36" t="n">
        <v>1</v>
      </c>
      <c r="J2139" s="39" t="n">
        <v>70.81</v>
      </c>
      <c r="K2139" s="45" t="n">
        <v>0.15</v>
      </c>
      <c r="L2139" s="39" t="n">
        <v>32.93</v>
      </c>
      <c r="M2139" s="39">
        <f>I2139*J2139*(1-K2139)</f>
        <v/>
      </c>
      <c r="N2139" s="39">
        <f>I2139*L2139</f>
        <v/>
      </c>
      <c r="O2139" s="39">
        <f>M2139-N2139</f>
        <v/>
      </c>
      <c r="P2139" s="38">
        <f>IF(M2139=0,0,O2139/M2139)</f>
        <v/>
      </c>
      <c r="Q2139" s="36">
        <f>YEAR(B2139)</f>
        <v/>
      </c>
      <c r="R2139" s="36">
        <f>"Q"&amp;ROUNDUP(MONTH(B2139)/3,0)</f>
        <v/>
      </c>
      <c r="S2139" s="36">
        <f>MONTH(B2139)</f>
        <v/>
      </c>
      <c r="T2139" s="36">
        <f>TEXT(B2139,"mmm")</f>
        <v/>
      </c>
      <c r="U2139" s="36">
        <f>IF(AND(OR(sel_Region="All",C2139=sel_Region),OR(sel_Country="All",D2139=sel_Country),OR(sel_Channel="All",E2139=sel_Channel),OR(sel_Customer="All",F2139=sel_Customer),OR(sel_Category="All",G2139=sel_Category),OR(sel_Product="All",H2139=sel_Product),AND(S2139&gt;=m_From,S2139&lt;=m_To)),1,0)</f>
        <v/>
      </c>
      <c r="V2139" s="36">
        <f>IF(AND(OR(sel_Region="All",C2139=sel_Region),OR(sel_Channel="All",E2139=sel_Channel),OR(sel_Customer="All",F2139=sel_Customer),OR(sel_Category="All",G2139=sel_Category),OR(sel_Product="All",H2139=sel_Product),AND(S2139&gt;=m_From,S2139&lt;=m_To)),1,0)</f>
        <v/>
      </c>
      <c r="W2139" s="36">
        <f>IF(AND(OR(sel_Region="All",C2139=sel_Region),OR(sel_Country="All",D2139=sel_Country),OR(sel_Customer="All",F2139=sel_Customer),OR(sel_Category="All",G2139=sel_Category),OR(sel_Product="All",H2139=sel_Product),AND(S2139&gt;=m_From,S2139&lt;=m_To)),1,0)</f>
        <v/>
      </c>
      <c r="X2139" s="36">
        <f>IF(AND(OR(sel_Region="All",C2139=sel_Region),OR(sel_Country="All",D2139=sel_Country),OR(sel_Channel="All",E2139=sel_Channel),OR(sel_Category="All",G2139=sel_Category),OR(sel_Product="All",H2139=sel_Product),AND(S2139&gt;=m_From,S2139&lt;=m_To)),1,0)</f>
        <v/>
      </c>
      <c r="Y2139" s="36">
        <f>IF(AND(OR(sel_Region="All",C2139=sel_Region),OR(sel_Country="All",D2139=sel_Country),OR(sel_Channel="All",E2139=sel_Channel),OR(sel_Customer="All",F2139=sel_Customer),OR(sel_Product="All",H2139=sel_Product),AND(S2139&gt;=m_From,S2139&lt;=m_To)),1,0)</f>
        <v/>
      </c>
      <c r="Z2139" s="36">
        <f>IF(AND(OR(sel_Region="All",C2139=sel_Region),OR(sel_Country="All",D2139=sel_Country),OR(sel_Channel="All",E2139=sel_Channel),OR(sel_Customer="All",F2139=sel_Customer),OR(sel_Category="All",G2139=sel_Category),AND(S2139&gt;=m_From,S2139&lt;=m_To)),1,0)</f>
        <v/>
      </c>
      <c r="AA2139" s="36">
        <f>IF(AND(OR(sel_Region="All",C2139=sel_Region),OR(sel_Country="All",D2139=sel_Country),OR(sel_Channel="All",E2139=sel_Channel),OR(sel_Customer="All",F2139=sel_Customer),OR(sel_Category="All",G2139=sel_Category),OR(sel_Product="All",H2139=sel_Product)),1,0)</f>
        <v/>
      </c>
    </row>
    <row r="2140">
      <c r="A2140" s="36" t="inlineStr">
        <is>
          <t>03770</t>
        </is>
      </c>
      <c r="B2140" s="44" t="n">
        <v>46312</v>
      </c>
      <c r="C2140" s="36" t="inlineStr">
        <is>
          <t>Western Europe</t>
        </is>
      </c>
      <c r="D2140" s="36" t="inlineStr">
        <is>
          <t>France</t>
        </is>
      </c>
      <c r="E2140" s="36" t="inlineStr">
        <is>
          <t>Online Store</t>
        </is>
      </c>
      <c r="F2140" s="36" t="inlineStr">
        <is>
          <t>Business</t>
        </is>
      </c>
      <c r="G2140" s="36" t="inlineStr">
        <is>
          <t>Camping</t>
        </is>
      </c>
      <c r="H2140" s="36" t="inlineStr">
        <is>
          <t>Trail Tent 2P</t>
        </is>
      </c>
      <c r="I2140" s="36" t="n">
        <v>6</v>
      </c>
      <c r="J2140" s="39" t="n">
        <v>200.26</v>
      </c>
      <c r="K2140" s="45" t="n">
        <v>0</v>
      </c>
      <c r="L2140" s="39" t="n">
        <v>106.71</v>
      </c>
      <c r="M2140" s="39">
        <f>I2140*J2140*(1-K2140)</f>
        <v/>
      </c>
      <c r="N2140" s="39">
        <f>I2140*L2140</f>
        <v/>
      </c>
      <c r="O2140" s="39">
        <f>M2140-N2140</f>
        <v/>
      </c>
      <c r="P2140" s="38">
        <f>IF(M2140=0,0,O2140/M2140)</f>
        <v/>
      </c>
      <c r="Q2140" s="36">
        <f>YEAR(B2140)</f>
        <v/>
      </c>
      <c r="R2140" s="36">
        <f>"Q"&amp;ROUNDUP(MONTH(B2140)/3,0)</f>
        <v/>
      </c>
      <c r="S2140" s="36">
        <f>MONTH(B2140)</f>
        <v/>
      </c>
      <c r="T2140" s="36">
        <f>TEXT(B2140,"mmm")</f>
        <v/>
      </c>
      <c r="U2140" s="36">
        <f>IF(AND(OR(sel_Region="All",C2140=sel_Region),OR(sel_Country="All",D2140=sel_Country),OR(sel_Channel="All",E2140=sel_Channel),OR(sel_Customer="All",F2140=sel_Customer),OR(sel_Category="All",G2140=sel_Category),OR(sel_Product="All",H2140=sel_Product),AND(S2140&gt;=m_From,S2140&lt;=m_To)),1,0)</f>
        <v/>
      </c>
      <c r="V2140" s="36">
        <f>IF(AND(OR(sel_Region="All",C2140=sel_Region),OR(sel_Channel="All",E2140=sel_Channel),OR(sel_Customer="All",F2140=sel_Customer),OR(sel_Category="All",G2140=sel_Category),OR(sel_Product="All",H2140=sel_Product),AND(S2140&gt;=m_From,S2140&lt;=m_To)),1,0)</f>
        <v/>
      </c>
      <c r="W2140" s="36">
        <f>IF(AND(OR(sel_Region="All",C2140=sel_Region),OR(sel_Country="All",D2140=sel_Country),OR(sel_Customer="All",F2140=sel_Customer),OR(sel_Category="All",G2140=sel_Category),OR(sel_Product="All",H2140=sel_Product),AND(S2140&gt;=m_From,S2140&lt;=m_To)),1,0)</f>
        <v/>
      </c>
      <c r="X2140" s="36">
        <f>IF(AND(OR(sel_Region="All",C2140=sel_Region),OR(sel_Country="All",D2140=sel_Country),OR(sel_Channel="All",E2140=sel_Channel),OR(sel_Category="All",G2140=sel_Category),OR(sel_Product="All",H2140=sel_Product),AND(S2140&gt;=m_From,S2140&lt;=m_To)),1,0)</f>
        <v/>
      </c>
      <c r="Y2140" s="36">
        <f>IF(AND(OR(sel_Region="All",C2140=sel_Region),OR(sel_Country="All",D2140=sel_Country),OR(sel_Channel="All",E2140=sel_Channel),OR(sel_Customer="All",F2140=sel_Customer),OR(sel_Product="All",H2140=sel_Product),AND(S2140&gt;=m_From,S2140&lt;=m_To)),1,0)</f>
        <v/>
      </c>
      <c r="Z2140" s="36">
        <f>IF(AND(OR(sel_Region="All",C2140=sel_Region),OR(sel_Country="All",D2140=sel_Country),OR(sel_Channel="All",E2140=sel_Channel),OR(sel_Customer="All",F2140=sel_Customer),OR(sel_Category="All",G2140=sel_Category),AND(S2140&gt;=m_From,S2140&lt;=m_To)),1,0)</f>
        <v/>
      </c>
      <c r="AA2140" s="36">
        <f>IF(AND(OR(sel_Region="All",C2140=sel_Region),OR(sel_Country="All",D2140=sel_Country),OR(sel_Channel="All",E2140=sel_Channel),OR(sel_Customer="All",F2140=sel_Customer),OR(sel_Category="All",G2140=sel_Category),OR(sel_Product="All",H2140=sel_Product)),1,0)</f>
        <v/>
      </c>
    </row>
    <row r="2141">
      <c r="A2141" s="36" t="inlineStr">
        <is>
          <t>04065</t>
        </is>
      </c>
      <c r="B2141" s="44" t="n">
        <v>46312</v>
      </c>
      <c r="C2141" s="36" t="inlineStr">
        <is>
          <t>Western Europe</t>
        </is>
      </c>
      <c r="D2141" s="36" t="inlineStr">
        <is>
          <t>Belgium</t>
        </is>
      </c>
      <c r="E2141" s="36" t="inlineStr">
        <is>
          <t>Online Store</t>
        </is>
      </c>
      <c r="F2141" s="36" t="inlineStr">
        <is>
          <t>New</t>
        </is>
      </c>
      <c r="G2141" s="36" t="inlineStr">
        <is>
          <t>Fitness</t>
        </is>
      </c>
      <c r="H2141" s="36" t="inlineStr">
        <is>
          <t>Recovery Roller</t>
        </is>
      </c>
      <c r="I2141" s="36" t="n">
        <v>3</v>
      </c>
      <c r="J2141" s="39" t="n">
        <v>36.75</v>
      </c>
      <c r="K2141" s="45" t="n">
        <v>0.05</v>
      </c>
      <c r="L2141" s="39" t="n">
        <v>13.71</v>
      </c>
      <c r="M2141" s="39">
        <f>I2141*J2141*(1-K2141)</f>
        <v/>
      </c>
      <c r="N2141" s="39">
        <f>I2141*L2141</f>
        <v/>
      </c>
      <c r="O2141" s="39">
        <f>M2141-N2141</f>
        <v/>
      </c>
      <c r="P2141" s="38">
        <f>IF(M2141=0,0,O2141/M2141)</f>
        <v/>
      </c>
      <c r="Q2141" s="36">
        <f>YEAR(B2141)</f>
        <v/>
      </c>
      <c r="R2141" s="36">
        <f>"Q"&amp;ROUNDUP(MONTH(B2141)/3,0)</f>
        <v/>
      </c>
      <c r="S2141" s="36">
        <f>MONTH(B2141)</f>
        <v/>
      </c>
      <c r="T2141" s="36">
        <f>TEXT(B2141,"mmm")</f>
        <v/>
      </c>
      <c r="U2141" s="36">
        <f>IF(AND(OR(sel_Region="All",C2141=sel_Region),OR(sel_Country="All",D2141=sel_Country),OR(sel_Channel="All",E2141=sel_Channel),OR(sel_Customer="All",F2141=sel_Customer),OR(sel_Category="All",G2141=sel_Category),OR(sel_Product="All",H2141=sel_Product),AND(S2141&gt;=m_From,S2141&lt;=m_To)),1,0)</f>
        <v/>
      </c>
      <c r="V2141" s="36">
        <f>IF(AND(OR(sel_Region="All",C2141=sel_Region),OR(sel_Channel="All",E2141=sel_Channel),OR(sel_Customer="All",F2141=sel_Customer),OR(sel_Category="All",G2141=sel_Category),OR(sel_Product="All",H2141=sel_Product),AND(S2141&gt;=m_From,S2141&lt;=m_To)),1,0)</f>
        <v/>
      </c>
      <c r="W2141" s="36">
        <f>IF(AND(OR(sel_Region="All",C2141=sel_Region),OR(sel_Country="All",D2141=sel_Country),OR(sel_Customer="All",F2141=sel_Customer),OR(sel_Category="All",G2141=sel_Category),OR(sel_Product="All",H2141=sel_Product),AND(S2141&gt;=m_From,S2141&lt;=m_To)),1,0)</f>
        <v/>
      </c>
      <c r="X2141" s="36">
        <f>IF(AND(OR(sel_Region="All",C2141=sel_Region),OR(sel_Country="All",D2141=sel_Country),OR(sel_Channel="All",E2141=sel_Channel),OR(sel_Category="All",G2141=sel_Category),OR(sel_Product="All",H2141=sel_Product),AND(S2141&gt;=m_From,S2141&lt;=m_To)),1,0)</f>
        <v/>
      </c>
      <c r="Y2141" s="36">
        <f>IF(AND(OR(sel_Region="All",C2141=sel_Region),OR(sel_Country="All",D2141=sel_Country),OR(sel_Channel="All",E2141=sel_Channel),OR(sel_Customer="All",F2141=sel_Customer),OR(sel_Product="All",H2141=sel_Product),AND(S2141&gt;=m_From,S2141&lt;=m_To)),1,0)</f>
        <v/>
      </c>
      <c r="Z2141" s="36">
        <f>IF(AND(OR(sel_Region="All",C2141=sel_Region),OR(sel_Country="All",D2141=sel_Country),OR(sel_Channel="All",E2141=sel_Channel),OR(sel_Customer="All",F2141=sel_Customer),OR(sel_Category="All",G2141=sel_Category),AND(S2141&gt;=m_From,S2141&lt;=m_To)),1,0)</f>
        <v/>
      </c>
      <c r="AA2141" s="36">
        <f>IF(AND(OR(sel_Region="All",C2141=sel_Region),OR(sel_Country="All",D2141=sel_Country),OR(sel_Channel="All",E2141=sel_Channel),OR(sel_Customer="All",F2141=sel_Customer),OR(sel_Category="All",G2141=sel_Category),OR(sel_Product="All",H2141=sel_Product)),1,0)</f>
        <v/>
      </c>
    </row>
    <row r="2142">
      <c r="A2142" s="36" t="inlineStr">
        <is>
          <t>04222</t>
        </is>
      </c>
      <c r="B2142" s="44" t="n">
        <v>46312</v>
      </c>
      <c r="C2142" s="36" t="inlineStr">
        <is>
          <t>Northern Europe</t>
        </is>
      </c>
      <c r="D2142" s="36" t="inlineStr">
        <is>
          <t>Norway</t>
        </is>
      </c>
      <c r="E2142" s="36" t="inlineStr">
        <is>
          <t>Online Store</t>
        </is>
      </c>
      <c r="F2142" s="36" t="inlineStr">
        <is>
          <t>Returning</t>
        </is>
      </c>
      <c r="G2142" s="36" t="inlineStr">
        <is>
          <t>Hiking</t>
        </is>
      </c>
      <c r="H2142" s="36" t="inlineStr">
        <is>
          <t>Hiking Daypack 20L</t>
        </is>
      </c>
      <c r="I2142" s="36" t="n">
        <v>2</v>
      </c>
      <c r="J2142" s="39" t="n">
        <v>92.41</v>
      </c>
      <c r="K2142" s="45" t="n">
        <v>0.1</v>
      </c>
      <c r="L2142" s="39" t="n">
        <v>45.42</v>
      </c>
      <c r="M2142" s="39">
        <f>I2142*J2142*(1-K2142)</f>
        <v/>
      </c>
      <c r="N2142" s="39">
        <f>I2142*L2142</f>
        <v/>
      </c>
      <c r="O2142" s="39">
        <f>M2142-N2142</f>
        <v/>
      </c>
      <c r="P2142" s="38">
        <f>IF(M2142=0,0,O2142/M2142)</f>
        <v/>
      </c>
      <c r="Q2142" s="36">
        <f>YEAR(B2142)</f>
        <v/>
      </c>
      <c r="R2142" s="36">
        <f>"Q"&amp;ROUNDUP(MONTH(B2142)/3,0)</f>
        <v/>
      </c>
      <c r="S2142" s="36">
        <f>MONTH(B2142)</f>
        <v/>
      </c>
      <c r="T2142" s="36">
        <f>TEXT(B2142,"mmm")</f>
        <v/>
      </c>
      <c r="U2142" s="36">
        <f>IF(AND(OR(sel_Region="All",C2142=sel_Region),OR(sel_Country="All",D2142=sel_Country),OR(sel_Channel="All",E2142=sel_Channel),OR(sel_Customer="All",F2142=sel_Customer),OR(sel_Category="All",G2142=sel_Category),OR(sel_Product="All",H2142=sel_Product),AND(S2142&gt;=m_From,S2142&lt;=m_To)),1,0)</f>
        <v/>
      </c>
      <c r="V2142" s="36">
        <f>IF(AND(OR(sel_Region="All",C2142=sel_Region),OR(sel_Channel="All",E2142=sel_Channel),OR(sel_Customer="All",F2142=sel_Customer),OR(sel_Category="All",G2142=sel_Category),OR(sel_Product="All",H2142=sel_Product),AND(S2142&gt;=m_From,S2142&lt;=m_To)),1,0)</f>
        <v/>
      </c>
      <c r="W2142" s="36">
        <f>IF(AND(OR(sel_Region="All",C2142=sel_Region),OR(sel_Country="All",D2142=sel_Country),OR(sel_Customer="All",F2142=sel_Customer),OR(sel_Category="All",G2142=sel_Category),OR(sel_Product="All",H2142=sel_Product),AND(S2142&gt;=m_From,S2142&lt;=m_To)),1,0)</f>
        <v/>
      </c>
      <c r="X2142" s="36">
        <f>IF(AND(OR(sel_Region="All",C2142=sel_Region),OR(sel_Country="All",D2142=sel_Country),OR(sel_Channel="All",E2142=sel_Channel),OR(sel_Category="All",G2142=sel_Category),OR(sel_Product="All",H2142=sel_Product),AND(S2142&gt;=m_From,S2142&lt;=m_To)),1,0)</f>
        <v/>
      </c>
      <c r="Y2142" s="36">
        <f>IF(AND(OR(sel_Region="All",C2142=sel_Region),OR(sel_Country="All",D2142=sel_Country),OR(sel_Channel="All",E2142=sel_Channel),OR(sel_Customer="All",F2142=sel_Customer),OR(sel_Product="All",H2142=sel_Product),AND(S2142&gt;=m_From,S2142&lt;=m_To)),1,0)</f>
        <v/>
      </c>
      <c r="Z2142" s="36">
        <f>IF(AND(OR(sel_Region="All",C2142=sel_Region),OR(sel_Country="All",D2142=sel_Country),OR(sel_Channel="All",E2142=sel_Channel),OR(sel_Customer="All",F2142=sel_Customer),OR(sel_Category="All",G2142=sel_Category),AND(S2142&gt;=m_From,S2142&lt;=m_To)),1,0)</f>
        <v/>
      </c>
      <c r="AA2142" s="36">
        <f>IF(AND(OR(sel_Region="All",C2142=sel_Region),OR(sel_Country="All",D2142=sel_Country),OR(sel_Channel="All",E2142=sel_Channel),OR(sel_Customer="All",F2142=sel_Customer),OR(sel_Category="All",G2142=sel_Category),OR(sel_Product="All",H2142=sel_Product)),1,0)</f>
        <v/>
      </c>
    </row>
    <row r="2143">
      <c r="A2143" s="36" t="inlineStr">
        <is>
          <t>04304</t>
        </is>
      </c>
      <c r="B2143" s="44" t="n">
        <v>46312</v>
      </c>
      <c r="C2143" s="36" t="inlineStr">
        <is>
          <t>Central Europe</t>
        </is>
      </c>
      <c r="D2143" s="36" t="inlineStr">
        <is>
          <t>Poland</t>
        </is>
      </c>
      <c r="E2143" s="36" t="inlineStr">
        <is>
          <t>Retail Partners</t>
        </is>
      </c>
      <c r="F2143" s="36" t="inlineStr">
        <is>
          <t>New</t>
        </is>
      </c>
      <c r="G2143" s="36" t="inlineStr">
        <is>
          <t>Fitness</t>
        </is>
      </c>
      <c r="H2143" s="36" t="inlineStr">
        <is>
          <t>Resistance Band Set</t>
        </is>
      </c>
      <c r="I2143" s="36" t="n">
        <v>1</v>
      </c>
      <c r="J2143" s="39" t="n">
        <v>40.67</v>
      </c>
      <c r="K2143" s="45" t="n">
        <v>0</v>
      </c>
      <c r="L2143" s="39" t="n">
        <v>15.09</v>
      </c>
      <c r="M2143" s="39">
        <f>I2143*J2143*(1-K2143)</f>
        <v/>
      </c>
      <c r="N2143" s="39">
        <f>I2143*L2143</f>
        <v/>
      </c>
      <c r="O2143" s="39">
        <f>M2143-N2143</f>
        <v/>
      </c>
      <c r="P2143" s="38">
        <f>IF(M2143=0,0,O2143/M2143)</f>
        <v/>
      </c>
      <c r="Q2143" s="36">
        <f>YEAR(B2143)</f>
        <v/>
      </c>
      <c r="R2143" s="36">
        <f>"Q"&amp;ROUNDUP(MONTH(B2143)/3,0)</f>
        <v/>
      </c>
      <c r="S2143" s="36">
        <f>MONTH(B2143)</f>
        <v/>
      </c>
      <c r="T2143" s="36">
        <f>TEXT(B2143,"mmm")</f>
        <v/>
      </c>
      <c r="U2143" s="36">
        <f>IF(AND(OR(sel_Region="All",C2143=sel_Region),OR(sel_Country="All",D2143=sel_Country),OR(sel_Channel="All",E2143=sel_Channel),OR(sel_Customer="All",F2143=sel_Customer),OR(sel_Category="All",G2143=sel_Category),OR(sel_Product="All",H2143=sel_Product),AND(S2143&gt;=m_From,S2143&lt;=m_To)),1,0)</f>
        <v/>
      </c>
      <c r="V2143" s="36">
        <f>IF(AND(OR(sel_Region="All",C2143=sel_Region),OR(sel_Channel="All",E2143=sel_Channel),OR(sel_Customer="All",F2143=sel_Customer),OR(sel_Category="All",G2143=sel_Category),OR(sel_Product="All",H2143=sel_Product),AND(S2143&gt;=m_From,S2143&lt;=m_To)),1,0)</f>
        <v/>
      </c>
      <c r="W2143" s="36">
        <f>IF(AND(OR(sel_Region="All",C2143=sel_Region),OR(sel_Country="All",D2143=sel_Country),OR(sel_Customer="All",F2143=sel_Customer),OR(sel_Category="All",G2143=sel_Category),OR(sel_Product="All",H2143=sel_Product),AND(S2143&gt;=m_From,S2143&lt;=m_To)),1,0)</f>
        <v/>
      </c>
      <c r="X2143" s="36">
        <f>IF(AND(OR(sel_Region="All",C2143=sel_Region),OR(sel_Country="All",D2143=sel_Country),OR(sel_Channel="All",E2143=sel_Channel),OR(sel_Category="All",G2143=sel_Category),OR(sel_Product="All",H2143=sel_Product),AND(S2143&gt;=m_From,S2143&lt;=m_To)),1,0)</f>
        <v/>
      </c>
      <c r="Y2143" s="36">
        <f>IF(AND(OR(sel_Region="All",C2143=sel_Region),OR(sel_Country="All",D2143=sel_Country),OR(sel_Channel="All",E2143=sel_Channel),OR(sel_Customer="All",F2143=sel_Customer),OR(sel_Product="All",H2143=sel_Product),AND(S2143&gt;=m_From,S2143&lt;=m_To)),1,0)</f>
        <v/>
      </c>
      <c r="Z2143" s="36">
        <f>IF(AND(OR(sel_Region="All",C2143=sel_Region),OR(sel_Country="All",D2143=sel_Country),OR(sel_Channel="All",E2143=sel_Channel),OR(sel_Customer="All",F2143=sel_Customer),OR(sel_Category="All",G2143=sel_Category),AND(S2143&gt;=m_From,S2143&lt;=m_To)),1,0)</f>
        <v/>
      </c>
      <c r="AA2143" s="36">
        <f>IF(AND(OR(sel_Region="All",C2143=sel_Region),OR(sel_Country="All",D2143=sel_Country),OR(sel_Channel="All",E2143=sel_Channel),OR(sel_Customer="All",F2143=sel_Customer),OR(sel_Category="All",G2143=sel_Category),OR(sel_Product="All",H2143=sel_Product)),1,0)</f>
        <v/>
      </c>
    </row>
    <row r="2144">
      <c r="A2144" s="36" t="inlineStr">
        <is>
          <t>00109</t>
        </is>
      </c>
      <c r="B2144" s="44" t="n">
        <v>46313</v>
      </c>
      <c r="C2144" s="36" t="inlineStr">
        <is>
          <t>Central Europe</t>
        </is>
      </c>
      <c r="D2144" s="36" t="inlineStr">
        <is>
          <t>Czechia</t>
        </is>
      </c>
      <c r="E2144" s="36" t="inlineStr">
        <is>
          <t>Online Store</t>
        </is>
      </c>
      <c r="F2144" s="36" t="inlineStr">
        <is>
          <t>Returning</t>
        </is>
      </c>
      <c r="G2144" s="36" t="inlineStr">
        <is>
          <t>Hiking</t>
        </is>
      </c>
      <c r="H2144" s="36" t="inlineStr">
        <is>
          <t>Hiking Daypack 20L</t>
        </is>
      </c>
      <c r="I2144" s="36" t="n">
        <v>1</v>
      </c>
      <c r="J2144" s="39" t="n">
        <v>90.09</v>
      </c>
      <c r="K2144" s="45" t="n">
        <v>0</v>
      </c>
      <c r="L2144" s="39" t="n">
        <v>45.17</v>
      </c>
      <c r="M2144" s="39">
        <f>I2144*J2144*(1-K2144)</f>
        <v/>
      </c>
      <c r="N2144" s="39">
        <f>I2144*L2144</f>
        <v/>
      </c>
      <c r="O2144" s="39">
        <f>M2144-N2144</f>
        <v/>
      </c>
      <c r="P2144" s="38">
        <f>IF(M2144=0,0,O2144/M2144)</f>
        <v/>
      </c>
      <c r="Q2144" s="36">
        <f>YEAR(B2144)</f>
        <v/>
      </c>
      <c r="R2144" s="36">
        <f>"Q"&amp;ROUNDUP(MONTH(B2144)/3,0)</f>
        <v/>
      </c>
      <c r="S2144" s="36">
        <f>MONTH(B2144)</f>
        <v/>
      </c>
      <c r="T2144" s="36">
        <f>TEXT(B2144,"mmm")</f>
        <v/>
      </c>
      <c r="U2144" s="36">
        <f>IF(AND(OR(sel_Region="All",C2144=sel_Region),OR(sel_Country="All",D2144=sel_Country),OR(sel_Channel="All",E2144=sel_Channel),OR(sel_Customer="All",F2144=sel_Customer),OR(sel_Category="All",G2144=sel_Category),OR(sel_Product="All",H2144=sel_Product),AND(S2144&gt;=m_From,S2144&lt;=m_To)),1,0)</f>
        <v/>
      </c>
      <c r="V2144" s="36">
        <f>IF(AND(OR(sel_Region="All",C2144=sel_Region),OR(sel_Channel="All",E2144=sel_Channel),OR(sel_Customer="All",F2144=sel_Customer),OR(sel_Category="All",G2144=sel_Category),OR(sel_Product="All",H2144=sel_Product),AND(S2144&gt;=m_From,S2144&lt;=m_To)),1,0)</f>
        <v/>
      </c>
      <c r="W2144" s="36">
        <f>IF(AND(OR(sel_Region="All",C2144=sel_Region),OR(sel_Country="All",D2144=sel_Country),OR(sel_Customer="All",F2144=sel_Customer),OR(sel_Category="All",G2144=sel_Category),OR(sel_Product="All",H2144=sel_Product),AND(S2144&gt;=m_From,S2144&lt;=m_To)),1,0)</f>
        <v/>
      </c>
      <c r="X2144" s="36">
        <f>IF(AND(OR(sel_Region="All",C2144=sel_Region),OR(sel_Country="All",D2144=sel_Country),OR(sel_Channel="All",E2144=sel_Channel),OR(sel_Category="All",G2144=sel_Category),OR(sel_Product="All",H2144=sel_Product),AND(S2144&gt;=m_From,S2144&lt;=m_To)),1,0)</f>
        <v/>
      </c>
      <c r="Y2144" s="36">
        <f>IF(AND(OR(sel_Region="All",C2144=sel_Region),OR(sel_Country="All",D2144=sel_Country),OR(sel_Channel="All",E2144=sel_Channel),OR(sel_Customer="All",F2144=sel_Customer),OR(sel_Product="All",H2144=sel_Product),AND(S2144&gt;=m_From,S2144&lt;=m_To)),1,0)</f>
        <v/>
      </c>
      <c r="Z2144" s="36">
        <f>IF(AND(OR(sel_Region="All",C2144=sel_Region),OR(sel_Country="All",D2144=sel_Country),OR(sel_Channel="All",E2144=sel_Channel),OR(sel_Customer="All",F2144=sel_Customer),OR(sel_Category="All",G2144=sel_Category),AND(S2144&gt;=m_From,S2144&lt;=m_To)),1,0)</f>
        <v/>
      </c>
      <c r="AA2144" s="36">
        <f>IF(AND(OR(sel_Region="All",C2144=sel_Region),OR(sel_Country="All",D2144=sel_Country),OR(sel_Channel="All",E2144=sel_Channel),OR(sel_Customer="All",F2144=sel_Customer),OR(sel_Category="All",G2144=sel_Category),OR(sel_Product="All",H2144=sel_Product)),1,0)</f>
        <v/>
      </c>
    </row>
    <row r="2145">
      <c r="A2145" s="36" t="inlineStr">
        <is>
          <t>00744</t>
        </is>
      </c>
      <c r="B2145" s="44" t="n">
        <v>46313</v>
      </c>
      <c r="C2145" s="36" t="inlineStr">
        <is>
          <t>Northern Europe</t>
        </is>
      </c>
      <c r="D2145" s="36" t="inlineStr">
        <is>
          <t>Finland</t>
        </is>
      </c>
      <c r="E2145" s="36" t="inlineStr">
        <is>
          <t>Online Store</t>
        </is>
      </c>
      <c r="F2145" s="36" t="inlineStr">
        <is>
          <t>Returning</t>
        </is>
      </c>
      <c r="G2145" s="36" t="inlineStr">
        <is>
          <t>Travel</t>
        </is>
      </c>
      <c r="H2145" s="36" t="inlineStr">
        <is>
          <t>Insulated Bottle</t>
        </is>
      </c>
      <c r="I2145" s="36" t="n">
        <v>1</v>
      </c>
      <c r="J2145" s="39" t="n">
        <v>36.83</v>
      </c>
      <c r="K2145" s="45" t="n">
        <v>0</v>
      </c>
      <c r="L2145" s="39" t="n">
        <v>13.64</v>
      </c>
      <c r="M2145" s="39">
        <f>I2145*J2145*(1-K2145)</f>
        <v/>
      </c>
      <c r="N2145" s="39">
        <f>I2145*L2145</f>
        <v/>
      </c>
      <c r="O2145" s="39">
        <f>M2145-N2145</f>
        <v/>
      </c>
      <c r="P2145" s="38">
        <f>IF(M2145=0,0,O2145/M2145)</f>
        <v/>
      </c>
      <c r="Q2145" s="36">
        <f>YEAR(B2145)</f>
        <v/>
      </c>
      <c r="R2145" s="36">
        <f>"Q"&amp;ROUNDUP(MONTH(B2145)/3,0)</f>
        <v/>
      </c>
      <c r="S2145" s="36">
        <f>MONTH(B2145)</f>
        <v/>
      </c>
      <c r="T2145" s="36">
        <f>TEXT(B2145,"mmm")</f>
        <v/>
      </c>
      <c r="U2145" s="36">
        <f>IF(AND(OR(sel_Region="All",C2145=sel_Region),OR(sel_Country="All",D2145=sel_Country),OR(sel_Channel="All",E2145=sel_Channel),OR(sel_Customer="All",F2145=sel_Customer),OR(sel_Category="All",G2145=sel_Category),OR(sel_Product="All",H2145=sel_Product),AND(S2145&gt;=m_From,S2145&lt;=m_To)),1,0)</f>
        <v/>
      </c>
      <c r="V2145" s="36">
        <f>IF(AND(OR(sel_Region="All",C2145=sel_Region),OR(sel_Channel="All",E2145=sel_Channel),OR(sel_Customer="All",F2145=sel_Customer),OR(sel_Category="All",G2145=sel_Category),OR(sel_Product="All",H2145=sel_Product),AND(S2145&gt;=m_From,S2145&lt;=m_To)),1,0)</f>
        <v/>
      </c>
      <c r="W2145" s="36">
        <f>IF(AND(OR(sel_Region="All",C2145=sel_Region),OR(sel_Country="All",D2145=sel_Country),OR(sel_Customer="All",F2145=sel_Customer),OR(sel_Category="All",G2145=sel_Category),OR(sel_Product="All",H2145=sel_Product),AND(S2145&gt;=m_From,S2145&lt;=m_To)),1,0)</f>
        <v/>
      </c>
      <c r="X2145" s="36">
        <f>IF(AND(OR(sel_Region="All",C2145=sel_Region),OR(sel_Country="All",D2145=sel_Country),OR(sel_Channel="All",E2145=sel_Channel),OR(sel_Category="All",G2145=sel_Category),OR(sel_Product="All",H2145=sel_Product),AND(S2145&gt;=m_From,S2145&lt;=m_To)),1,0)</f>
        <v/>
      </c>
      <c r="Y2145" s="36">
        <f>IF(AND(OR(sel_Region="All",C2145=sel_Region),OR(sel_Country="All",D2145=sel_Country),OR(sel_Channel="All",E2145=sel_Channel),OR(sel_Customer="All",F2145=sel_Customer),OR(sel_Product="All",H2145=sel_Product),AND(S2145&gt;=m_From,S2145&lt;=m_To)),1,0)</f>
        <v/>
      </c>
      <c r="Z2145" s="36">
        <f>IF(AND(OR(sel_Region="All",C2145=sel_Region),OR(sel_Country="All",D2145=sel_Country),OR(sel_Channel="All",E2145=sel_Channel),OR(sel_Customer="All",F2145=sel_Customer),OR(sel_Category="All",G2145=sel_Category),AND(S2145&gt;=m_From,S2145&lt;=m_To)),1,0)</f>
        <v/>
      </c>
      <c r="AA2145" s="36">
        <f>IF(AND(OR(sel_Region="All",C2145=sel_Region),OR(sel_Country="All",D2145=sel_Country),OR(sel_Channel="All",E2145=sel_Channel),OR(sel_Customer="All",F2145=sel_Customer),OR(sel_Category="All",G2145=sel_Category),OR(sel_Product="All",H2145=sel_Product)),1,0)</f>
        <v/>
      </c>
    </row>
    <row r="2146">
      <c r="A2146" s="36" t="inlineStr">
        <is>
          <t>00960</t>
        </is>
      </c>
      <c r="B2146" s="44" t="n">
        <v>46313</v>
      </c>
      <c r="C2146" s="36" t="inlineStr">
        <is>
          <t>Central Europe</t>
        </is>
      </c>
      <c r="D2146" s="36" t="inlineStr">
        <is>
          <t>Germany</t>
        </is>
      </c>
      <c r="E2146" s="36" t="inlineStr">
        <is>
          <t>Marketplace</t>
        </is>
      </c>
      <c r="F2146" s="36" t="inlineStr">
        <is>
          <t>Returning</t>
        </is>
      </c>
      <c r="G2146" s="36" t="inlineStr">
        <is>
          <t>Camping</t>
        </is>
      </c>
      <c r="H2146" s="36" t="inlineStr">
        <is>
          <t>Trail Tent 2P</t>
        </is>
      </c>
      <c r="I2146" s="36" t="n">
        <v>5</v>
      </c>
      <c r="J2146" s="39" t="n">
        <v>196.37</v>
      </c>
      <c r="K2146" s="45" t="n">
        <v>0.05</v>
      </c>
      <c r="L2146" s="39" t="n">
        <v>103.51</v>
      </c>
      <c r="M2146" s="39">
        <f>I2146*J2146*(1-K2146)</f>
        <v/>
      </c>
      <c r="N2146" s="39">
        <f>I2146*L2146</f>
        <v/>
      </c>
      <c r="O2146" s="39">
        <f>M2146-N2146</f>
        <v/>
      </c>
      <c r="P2146" s="38">
        <f>IF(M2146=0,0,O2146/M2146)</f>
        <v/>
      </c>
      <c r="Q2146" s="36">
        <f>YEAR(B2146)</f>
        <v/>
      </c>
      <c r="R2146" s="36">
        <f>"Q"&amp;ROUNDUP(MONTH(B2146)/3,0)</f>
        <v/>
      </c>
      <c r="S2146" s="36">
        <f>MONTH(B2146)</f>
        <v/>
      </c>
      <c r="T2146" s="36">
        <f>TEXT(B2146,"mmm")</f>
        <v/>
      </c>
      <c r="U2146" s="36">
        <f>IF(AND(OR(sel_Region="All",C2146=sel_Region),OR(sel_Country="All",D2146=sel_Country),OR(sel_Channel="All",E2146=sel_Channel),OR(sel_Customer="All",F2146=sel_Customer),OR(sel_Category="All",G2146=sel_Category),OR(sel_Product="All",H2146=sel_Product),AND(S2146&gt;=m_From,S2146&lt;=m_To)),1,0)</f>
        <v/>
      </c>
      <c r="V2146" s="36">
        <f>IF(AND(OR(sel_Region="All",C2146=sel_Region),OR(sel_Channel="All",E2146=sel_Channel),OR(sel_Customer="All",F2146=sel_Customer),OR(sel_Category="All",G2146=sel_Category),OR(sel_Product="All",H2146=sel_Product),AND(S2146&gt;=m_From,S2146&lt;=m_To)),1,0)</f>
        <v/>
      </c>
      <c r="W2146" s="36">
        <f>IF(AND(OR(sel_Region="All",C2146=sel_Region),OR(sel_Country="All",D2146=sel_Country),OR(sel_Customer="All",F2146=sel_Customer),OR(sel_Category="All",G2146=sel_Category),OR(sel_Product="All",H2146=sel_Product),AND(S2146&gt;=m_From,S2146&lt;=m_To)),1,0)</f>
        <v/>
      </c>
      <c r="X2146" s="36">
        <f>IF(AND(OR(sel_Region="All",C2146=sel_Region),OR(sel_Country="All",D2146=sel_Country),OR(sel_Channel="All",E2146=sel_Channel),OR(sel_Category="All",G2146=sel_Category),OR(sel_Product="All",H2146=sel_Product),AND(S2146&gt;=m_From,S2146&lt;=m_To)),1,0)</f>
        <v/>
      </c>
      <c r="Y2146" s="36">
        <f>IF(AND(OR(sel_Region="All",C2146=sel_Region),OR(sel_Country="All",D2146=sel_Country),OR(sel_Channel="All",E2146=sel_Channel),OR(sel_Customer="All",F2146=sel_Customer),OR(sel_Product="All",H2146=sel_Product),AND(S2146&gt;=m_From,S2146&lt;=m_To)),1,0)</f>
        <v/>
      </c>
      <c r="Z2146" s="36">
        <f>IF(AND(OR(sel_Region="All",C2146=sel_Region),OR(sel_Country="All",D2146=sel_Country),OR(sel_Channel="All",E2146=sel_Channel),OR(sel_Customer="All",F2146=sel_Customer),OR(sel_Category="All",G2146=sel_Category),AND(S2146&gt;=m_From,S2146&lt;=m_To)),1,0)</f>
        <v/>
      </c>
      <c r="AA2146" s="36">
        <f>IF(AND(OR(sel_Region="All",C2146=sel_Region),OR(sel_Country="All",D2146=sel_Country),OR(sel_Channel="All",E2146=sel_Channel),OR(sel_Customer="All",F2146=sel_Customer),OR(sel_Category="All",G2146=sel_Category),OR(sel_Product="All",H2146=sel_Product)),1,0)</f>
        <v/>
      </c>
    </row>
    <row r="2147">
      <c r="A2147" s="36" t="inlineStr">
        <is>
          <t>01389</t>
        </is>
      </c>
      <c r="B2147" s="44" t="n">
        <v>46313</v>
      </c>
      <c r="C2147" s="36" t="inlineStr">
        <is>
          <t>Southern Europe</t>
        </is>
      </c>
      <c r="D2147" s="36" t="inlineStr">
        <is>
          <t>Italy</t>
        </is>
      </c>
      <c r="E2147" s="36" t="inlineStr">
        <is>
          <t>Online Store</t>
        </is>
      </c>
      <c r="F2147" s="36" t="inlineStr">
        <is>
          <t>New</t>
        </is>
      </c>
      <c r="G2147" s="36" t="inlineStr">
        <is>
          <t>Hiking</t>
        </is>
      </c>
      <c r="H2147" s="36" t="inlineStr">
        <is>
          <t>Hiking Daypack 20L</t>
        </is>
      </c>
      <c r="I2147" s="36" t="n">
        <v>2</v>
      </c>
      <c r="J2147" s="39" t="n">
        <v>93.73</v>
      </c>
      <c r="K2147" s="45" t="n">
        <v>0</v>
      </c>
      <c r="L2147" s="39" t="n">
        <v>44.79</v>
      </c>
      <c r="M2147" s="39">
        <f>I2147*J2147*(1-K2147)</f>
        <v/>
      </c>
      <c r="N2147" s="39">
        <f>I2147*L2147</f>
        <v/>
      </c>
      <c r="O2147" s="39">
        <f>M2147-N2147</f>
        <v/>
      </c>
      <c r="P2147" s="38">
        <f>IF(M2147=0,0,O2147/M2147)</f>
        <v/>
      </c>
      <c r="Q2147" s="36">
        <f>YEAR(B2147)</f>
        <v/>
      </c>
      <c r="R2147" s="36">
        <f>"Q"&amp;ROUNDUP(MONTH(B2147)/3,0)</f>
        <v/>
      </c>
      <c r="S2147" s="36">
        <f>MONTH(B2147)</f>
        <v/>
      </c>
      <c r="T2147" s="36">
        <f>TEXT(B2147,"mmm")</f>
        <v/>
      </c>
      <c r="U2147" s="36">
        <f>IF(AND(OR(sel_Region="All",C2147=sel_Region),OR(sel_Country="All",D2147=sel_Country),OR(sel_Channel="All",E2147=sel_Channel),OR(sel_Customer="All",F2147=sel_Customer),OR(sel_Category="All",G2147=sel_Category),OR(sel_Product="All",H2147=sel_Product),AND(S2147&gt;=m_From,S2147&lt;=m_To)),1,0)</f>
        <v/>
      </c>
      <c r="V2147" s="36">
        <f>IF(AND(OR(sel_Region="All",C2147=sel_Region),OR(sel_Channel="All",E2147=sel_Channel),OR(sel_Customer="All",F2147=sel_Customer),OR(sel_Category="All",G2147=sel_Category),OR(sel_Product="All",H2147=sel_Product),AND(S2147&gt;=m_From,S2147&lt;=m_To)),1,0)</f>
        <v/>
      </c>
      <c r="W2147" s="36">
        <f>IF(AND(OR(sel_Region="All",C2147=sel_Region),OR(sel_Country="All",D2147=sel_Country),OR(sel_Customer="All",F2147=sel_Customer),OR(sel_Category="All",G2147=sel_Category),OR(sel_Product="All",H2147=sel_Product),AND(S2147&gt;=m_From,S2147&lt;=m_To)),1,0)</f>
        <v/>
      </c>
      <c r="X2147" s="36">
        <f>IF(AND(OR(sel_Region="All",C2147=sel_Region),OR(sel_Country="All",D2147=sel_Country),OR(sel_Channel="All",E2147=sel_Channel),OR(sel_Category="All",G2147=sel_Category),OR(sel_Product="All",H2147=sel_Product),AND(S2147&gt;=m_From,S2147&lt;=m_To)),1,0)</f>
        <v/>
      </c>
      <c r="Y2147" s="36">
        <f>IF(AND(OR(sel_Region="All",C2147=sel_Region),OR(sel_Country="All",D2147=sel_Country),OR(sel_Channel="All",E2147=sel_Channel),OR(sel_Customer="All",F2147=sel_Customer),OR(sel_Product="All",H2147=sel_Product),AND(S2147&gt;=m_From,S2147&lt;=m_To)),1,0)</f>
        <v/>
      </c>
      <c r="Z2147" s="36">
        <f>IF(AND(OR(sel_Region="All",C2147=sel_Region),OR(sel_Country="All",D2147=sel_Country),OR(sel_Channel="All",E2147=sel_Channel),OR(sel_Customer="All",F2147=sel_Customer),OR(sel_Category="All",G2147=sel_Category),AND(S2147&gt;=m_From,S2147&lt;=m_To)),1,0)</f>
        <v/>
      </c>
      <c r="AA2147" s="36">
        <f>IF(AND(OR(sel_Region="All",C2147=sel_Region),OR(sel_Country="All",D2147=sel_Country),OR(sel_Channel="All",E2147=sel_Channel),OR(sel_Customer="All",F2147=sel_Customer),OR(sel_Category="All",G2147=sel_Category),OR(sel_Product="All",H2147=sel_Product)),1,0)</f>
        <v/>
      </c>
    </row>
    <row r="2148">
      <c r="A2148" s="36" t="inlineStr">
        <is>
          <t>01493</t>
        </is>
      </c>
      <c r="B2148" s="44" t="n">
        <v>46313</v>
      </c>
      <c r="C2148" s="36" t="inlineStr">
        <is>
          <t>Northern Europe</t>
        </is>
      </c>
      <c r="D2148" s="36" t="inlineStr">
        <is>
          <t>Finland</t>
        </is>
      </c>
      <c r="E2148" s="36" t="inlineStr">
        <is>
          <t>Online Store</t>
        </is>
      </c>
      <c r="F2148" s="36" t="inlineStr">
        <is>
          <t>Business</t>
        </is>
      </c>
      <c r="G2148" s="36" t="inlineStr">
        <is>
          <t>Travel</t>
        </is>
      </c>
      <c r="H2148" s="36" t="inlineStr">
        <is>
          <t>Insulated Bottle</t>
        </is>
      </c>
      <c r="I2148" s="36" t="n">
        <v>1</v>
      </c>
      <c r="J2148" s="39" t="n">
        <v>36.46</v>
      </c>
      <c r="K2148" s="45" t="n">
        <v>0.05</v>
      </c>
      <c r="L2148" s="39" t="n">
        <v>13.35</v>
      </c>
      <c r="M2148" s="39">
        <f>I2148*J2148*(1-K2148)</f>
        <v/>
      </c>
      <c r="N2148" s="39">
        <f>I2148*L2148</f>
        <v/>
      </c>
      <c r="O2148" s="39">
        <f>M2148-N2148</f>
        <v/>
      </c>
      <c r="P2148" s="38">
        <f>IF(M2148=0,0,O2148/M2148)</f>
        <v/>
      </c>
      <c r="Q2148" s="36">
        <f>YEAR(B2148)</f>
        <v/>
      </c>
      <c r="R2148" s="36">
        <f>"Q"&amp;ROUNDUP(MONTH(B2148)/3,0)</f>
        <v/>
      </c>
      <c r="S2148" s="36">
        <f>MONTH(B2148)</f>
        <v/>
      </c>
      <c r="T2148" s="36">
        <f>TEXT(B2148,"mmm")</f>
        <v/>
      </c>
      <c r="U2148" s="36">
        <f>IF(AND(OR(sel_Region="All",C2148=sel_Region),OR(sel_Country="All",D2148=sel_Country),OR(sel_Channel="All",E2148=sel_Channel),OR(sel_Customer="All",F2148=sel_Customer),OR(sel_Category="All",G2148=sel_Category),OR(sel_Product="All",H2148=sel_Product),AND(S2148&gt;=m_From,S2148&lt;=m_To)),1,0)</f>
        <v/>
      </c>
      <c r="V2148" s="36">
        <f>IF(AND(OR(sel_Region="All",C2148=sel_Region),OR(sel_Channel="All",E2148=sel_Channel),OR(sel_Customer="All",F2148=sel_Customer),OR(sel_Category="All",G2148=sel_Category),OR(sel_Product="All",H2148=sel_Product),AND(S2148&gt;=m_From,S2148&lt;=m_To)),1,0)</f>
        <v/>
      </c>
      <c r="W2148" s="36">
        <f>IF(AND(OR(sel_Region="All",C2148=sel_Region),OR(sel_Country="All",D2148=sel_Country),OR(sel_Customer="All",F2148=sel_Customer),OR(sel_Category="All",G2148=sel_Category),OR(sel_Product="All",H2148=sel_Product),AND(S2148&gt;=m_From,S2148&lt;=m_To)),1,0)</f>
        <v/>
      </c>
      <c r="X2148" s="36">
        <f>IF(AND(OR(sel_Region="All",C2148=sel_Region),OR(sel_Country="All",D2148=sel_Country),OR(sel_Channel="All",E2148=sel_Channel),OR(sel_Category="All",G2148=sel_Category),OR(sel_Product="All",H2148=sel_Product),AND(S2148&gt;=m_From,S2148&lt;=m_To)),1,0)</f>
        <v/>
      </c>
      <c r="Y2148" s="36">
        <f>IF(AND(OR(sel_Region="All",C2148=sel_Region),OR(sel_Country="All",D2148=sel_Country),OR(sel_Channel="All",E2148=sel_Channel),OR(sel_Customer="All",F2148=sel_Customer),OR(sel_Product="All",H2148=sel_Product),AND(S2148&gt;=m_From,S2148&lt;=m_To)),1,0)</f>
        <v/>
      </c>
      <c r="Z2148" s="36">
        <f>IF(AND(OR(sel_Region="All",C2148=sel_Region),OR(sel_Country="All",D2148=sel_Country),OR(sel_Channel="All",E2148=sel_Channel),OR(sel_Customer="All",F2148=sel_Customer),OR(sel_Category="All",G2148=sel_Category),AND(S2148&gt;=m_From,S2148&lt;=m_To)),1,0)</f>
        <v/>
      </c>
      <c r="AA2148" s="36">
        <f>IF(AND(OR(sel_Region="All",C2148=sel_Region),OR(sel_Country="All",D2148=sel_Country),OR(sel_Channel="All",E2148=sel_Channel),OR(sel_Customer="All",F2148=sel_Customer),OR(sel_Category="All",G2148=sel_Category),OR(sel_Product="All",H2148=sel_Product)),1,0)</f>
        <v/>
      </c>
    </row>
    <row r="2149">
      <c r="A2149" s="36" t="inlineStr">
        <is>
          <t>01967</t>
        </is>
      </c>
      <c r="B2149" s="44" t="n">
        <v>46313</v>
      </c>
      <c r="C2149" s="36" t="inlineStr">
        <is>
          <t>Central Europe</t>
        </is>
      </c>
      <c r="D2149" s="36" t="inlineStr">
        <is>
          <t>Poland</t>
        </is>
      </c>
      <c r="E2149" s="36" t="inlineStr">
        <is>
          <t>Online Store</t>
        </is>
      </c>
      <c r="F2149" s="36" t="inlineStr">
        <is>
          <t>Returning</t>
        </is>
      </c>
      <c r="G2149" s="36" t="inlineStr">
        <is>
          <t>Camping</t>
        </is>
      </c>
      <c r="H2149" s="36" t="inlineStr">
        <is>
          <t>Compact Sleeping Bag</t>
        </is>
      </c>
      <c r="I2149" s="36" t="n">
        <v>2</v>
      </c>
      <c r="J2149" s="39" t="n">
        <v>125.91</v>
      </c>
      <c r="K2149" s="45" t="n">
        <v>0</v>
      </c>
      <c r="L2149" s="39" t="n">
        <v>61.95</v>
      </c>
      <c r="M2149" s="39">
        <f>I2149*J2149*(1-K2149)</f>
        <v/>
      </c>
      <c r="N2149" s="39">
        <f>I2149*L2149</f>
        <v/>
      </c>
      <c r="O2149" s="39">
        <f>M2149-N2149</f>
        <v/>
      </c>
      <c r="P2149" s="38">
        <f>IF(M2149=0,0,O2149/M2149)</f>
        <v/>
      </c>
      <c r="Q2149" s="36">
        <f>YEAR(B2149)</f>
        <v/>
      </c>
      <c r="R2149" s="36">
        <f>"Q"&amp;ROUNDUP(MONTH(B2149)/3,0)</f>
        <v/>
      </c>
      <c r="S2149" s="36">
        <f>MONTH(B2149)</f>
        <v/>
      </c>
      <c r="T2149" s="36">
        <f>TEXT(B2149,"mmm")</f>
        <v/>
      </c>
      <c r="U2149" s="36">
        <f>IF(AND(OR(sel_Region="All",C2149=sel_Region),OR(sel_Country="All",D2149=sel_Country),OR(sel_Channel="All",E2149=sel_Channel),OR(sel_Customer="All",F2149=sel_Customer),OR(sel_Category="All",G2149=sel_Category),OR(sel_Product="All",H2149=sel_Product),AND(S2149&gt;=m_From,S2149&lt;=m_To)),1,0)</f>
        <v/>
      </c>
      <c r="V2149" s="36">
        <f>IF(AND(OR(sel_Region="All",C2149=sel_Region),OR(sel_Channel="All",E2149=sel_Channel),OR(sel_Customer="All",F2149=sel_Customer),OR(sel_Category="All",G2149=sel_Category),OR(sel_Product="All",H2149=sel_Product),AND(S2149&gt;=m_From,S2149&lt;=m_To)),1,0)</f>
        <v/>
      </c>
      <c r="W2149" s="36">
        <f>IF(AND(OR(sel_Region="All",C2149=sel_Region),OR(sel_Country="All",D2149=sel_Country),OR(sel_Customer="All",F2149=sel_Customer),OR(sel_Category="All",G2149=sel_Category),OR(sel_Product="All",H2149=sel_Product),AND(S2149&gt;=m_From,S2149&lt;=m_To)),1,0)</f>
        <v/>
      </c>
      <c r="X2149" s="36">
        <f>IF(AND(OR(sel_Region="All",C2149=sel_Region),OR(sel_Country="All",D2149=sel_Country),OR(sel_Channel="All",E2149=sel_Channel),OR(sel_Category="All",G2149=sel_Category),OR(sel_Product="All",H2149=sel_Product),AND(S2149&gt;=m_From,S2149&lt;=m_To)),1,0)</f>
        <v/>
      </c>
      <c r="Y2149" s="36">
        <f>IF(AND(OR(sel_Region="All",C2149=sel_Region),OR(sel_Country="All",D2149=sel_Country),OR(sel_Channel="All",E2149=sel_Channel),OR(sel_Customer="All",F2149=sel_Customer),OR(sel_Product="All",H2149=sel_Product),AND(S2149&gt;=m_From,S2149&lt;=m_To)),1,0)</f>
        <v/>
      </c>
      <c r="Z2149" s="36">
        <f>IF(AND(OR(sel_Region="All",C2149=sel_Region),OR(sel_Country="All",D2149=sel_Country),OR(sel_Channel="All",E2149=sel_Channel),OR(sel_Customer="All",F2149=sel_Customer),OR(sel_Category="All",G2149=sel_Category),AND(S2149&gt;=m_From,S2149&lt;=m_To)),1,0)</f>
        <v/>
      </c>
      <c r="AA2149" s="36">
        <f>IF(AND(OR(sel_Region="All",C2149=sel_Region),OR(sel_Country="All",D2149=sel_Country),OR(sel_Channel="All",E2149=sel_Channel),OR(sel_Customer="All",F2149=sel_Customer),OR(sel_Category="All",G2149=sel_Category),OR(sel_Product="All",H2149=sel_Product)),1,0)</f>
        <v/>
      </c>
    </row>
    <row r="2150">
      <c r="A2150" s="36" t="inlineStr">
        <is>
          <t>02132</t>
        </is>
      </c>
      <c r="B2150" s="44" t="n">
        <v>46313</v>
      </c>
      <c r="C2150" s="36" t="inlineStr">
        <is>
          <t>Western Europe</t>
        </is>
      </c>
      <c r="D2150" s="36" t="inlineStr">
        <is>
          <t>United Kingdom</t>
        </is>
      </c>
      <c r="E2150" s="36" t="inlineStr">
        <is>
          <t>Retail Partners</t>
        </is>
      </c>
      <c r="F2150" s="36" t="inlineStr">
        <is>
          <t>New</t>
        </is>
      </c>
      <c r="G2150" s="36" t="inlineStr">
        <is>
          <t>Hiking</t>
        </is>
      </c>
      <c r="H2150" s="36" t="inlineStr">
        <is>
          <t>Hiking Daypack 20L</t>
        </is>
      </c>
      <c r="I2150" s="36" t="n">
        <v>1</v>
      </c>
      <c r="J2150" s="39" t="n">
        <v>92.56</v>
      </c>
      <c r="K2150" s="45" t="n">
        <v>0.1</v>
      </c>
      <c r="L2150" s="39" t="n">
        <v>44.23</v>
      </c>
      <c r="M2150" s="39">
        <f>I2150*J2150*(1-K2150)</f>
        <v/>
      </c>
      <c r="N2150" s="39">
        <f>I2150*L2150</f>
        <v/>
      </c>
      <c r="O2150" s="39">
        <f>M2150-N2150</f>
        <v/>
      </c>
      <c r="P2150" s="38">
        <f>IF(M2150=0,0,O2150/M2150)</f>
        <v/>
      </c>
      <c r="Q2150" s="36">
        <f>YEAR(B2150)</f>
        <v/>
      </c>
      <c r="R2150" s="36">
        <f>"Q"&amp;ROUNDUP(MONTH(B2150)/3,0)</f>
        <v/>
      </c>
      <c r="S2150" s="36">
        <f>MONTH(B2150)</f>
        <v/>
      </c>
      <c r="T2150" s="36">
        <f>TEXT(B2150,"mmm")</f>
        <v/>
      </c>
      <c r="U2150" s="36">
        <f>IF(AND(OR(sel_Region="All",C2150=sel_Region),OR(sel_Country="All",D2150=sel_Country),OR(sel_Channel="All",E2150=sel_Channel),OR(sel_Customer="All",F2150=sel_Customer),OR(sel_Category="All",G2150=sel_Category),OR(sel_Product="All",H2150=sel_Product),AND(S2150&gt;=m_From,S2150&lt;=m_To)),1,0)</f>
        <v/>
      </c>
      <c r="V2150" s="36">
        <f>IF(AND(OR(sel_Region="All",C2150=sel_Region),OR(sel_Channel="All",E2150=sel_Channel),OR(sel_Customer="All",F2150=sel_Customer),OR(sel_Category="All",G2150=sel_Category),OR(sel_Product="All",H2150=sel_Product),AND(S2150&gt;=m_From,S2150&lt;=m_To)),1,0)</f>
        <v/>
      </c>
      <c r="W2150" s="36">
        <f>IF(AND(OR(sel_Region="All",C2150=sel_Region),OR(sel_Country="All",D2150=sel_Country),OR(sel_Customer="All",F2150=sel_Customer),OR(sel_Category="All",G2150=sel_Category),OR(sel_Product="All",H2150=sel_Product),AND(S2150&gt;=m_From,S2150&lt;=m_To)),1,0)</f>
        <v/>
      </c>
      <c r="X2150" s="36">
        <f>IF(AND(OR(sel_Region="All",C2150=sel_Region),OR(sel_Country="All",D2150=sel_Country),OR(sel_Channel="All",E2150=sel_Channel),OR(sel_Category="All",G2150=sel_Category),OR(sel_Product="All",H2150=sel_Product),AND(S2150&gt;=m_From,S2150&lt;=m_To)),1,0)</f>
        <v/>
      </c>
      <c r="Y2150" s="36">
        <f>IF(AND(OR(sel_Region="All",C2150=sel_Region),OR(sel_Country="All",D2150=sel_Country),OR(sel_Channel="All",E2150=sel_Channel),OR(sel_Customer="All",F2150=sel_Customer),OR(sel_Product="All",H2150=sel_Product),AND(S2150&gt;=m_From,S2150&lt;=m_To)),1,0)</f>
        <v/>
      </c>
      <c r="Z2150" s="36">
        <f>IF(AND(OR(sel_Region="All",C2150=sel_Region),OR(sel_Country="All",D2150=sel_Country),OR(sel_Channel="All",E2150=sel_Channel),OR(sel_Customer="All",F2150=sel_Customer),OR(sel_Category="All",G2150=sel_Category),AND(S2150&gt;=m_From,S2150&lt;=m_To)),1,0)</f>
        <v/>
      </c>
      <c r="AA2150" s="36">
        <f>IF(AND(OR(sel_Region="All",C2150=sel_Region),OR(sel_Country="All",D2150=sel_Country),OR(sel_Channel="All",E2150=sel_Channel),OR(sel_Customer="All",F2150=sel_Customer),OR(sel_Category="All",G2150=sel_Category),OR(sel_Product="All",H2150=sel_Product)),1,0)</f>
        <v/>
      </c>
    </row>
    <row r="2151">
      <c r="A2151" s="36" t="inlineStr">
        <is>
          <t>02882</t>
        </is>
      </c>
      <c r="B2151" s="44" t="n">
        <v>46313</v>
      </c>
      <c r="C2151" s="36" t="inlineStr">
        <is>
          <t>Western Europe</t>
        </is>
      </c>
      <c r="D2151" s="36" t="inlineStr">
        <is>
          <t>United Kingdom</t>
        </is>
      </c>
      <c r="E2151" s="36" t="inlineStr">
        <is>
          <t>Marketplace</t>
        </is>
      </c>
      <c r="F2151" s="36" t="inlineStr">
        <is>
          <t>New</t>
        </is>
      </c>
      <c r="G2151" s="36" t="inlineStr">
        <is>
          <t>Hiking</t>
        </is>
      </c>
      <c r="H2151" s="36" t="inlineStr">
        <is>
          <t>Trekking Poles</t>
        </is>
      </c>
      <c r="I2151" s="36" t="n">
        <v>4</v>
      </c>
      <c r="J2151" s="39" t="n">
        <v>70.02</v>
      </c>
      <c r="K2151" s="45" t="n">
        <v>0</v>
      </c>
      <c r="L2151" s="39" t="n">
        <v>32.86</v>
      </c>
      <c r="M2151" s="39">
        <f>I2151*J2151*(1-K2151)</f>
        <v/>
      </c>
      <c r="N2151" s="39">
        <f>I2151*L2151</f>
        <v/>
      </c>
      <c r="O2151" s="39">
        <f>M2151-N2151</f>
        <v/>
      </c>
      <c r="P2151" s="38">
        <f>IF(M2151=0,0,O2151/M2151)</f>
        <v/>
      </c>
      <c r="Q2151" s="36">
        <f>YEAR(B2151)</f>
        <v/>
      </c>
      <c r="R2151" s="36">
        <f>"Q"&amp;ROUNDUP(MONTH(B2151)/3,0)</f>
        <v/>
      </c>
      <c r="S2151" s="36">
        <f>MONTH(B2151)</f>
        <v/>
      </c>
      <c r="T2151" s="36">
        <f>TEXT(B2151,"mmm")</f>
        <v/>
      </c>
      <c r="U2151" s="36">
        <f>IF(AND(OR(sel_Region="All",C2151=sel_Region),OR(sel_Country="All",D2151=sel_Country),OR(sel_Channel="All",E2151=sel_Channel),OR(sel_Customer="All",F2151=sel_Customer),OR(sel_Category="All",G2151=sel_Category),OR(sel_Product="All",H2151=sel_Product),AND(S2151&gt;=m_From,S2151&lt;=m_To)),1,0)</f>
        <v/>
      </c>
      <c r="V2151" s="36">
        <f>IF(AND(OR(sel_Region="All",C2151=sel_Region),OR(sel_Channel="All",E2151=sel_Channel),OR(sel_Customer="All",F2151=sel_Customer),OR(sel_Category="All",G2151=sel_Category),OR(sel_Product="All",H2151=sel_Product),AND(S2151&gt;=m_From,S2151&lt;=m_To)),1,0)</f>
        <v/>
      </c>
      <c r="W2151" s="36">
        <f>IF(AND(OR(sel_Region="All",C2151=sel_Region),OR(sel_Country="All",D2151=sel_Country),OR(sel_Customer="All",F2151=sel_Customer),OR(sel_Category="All",G2151=sel_Category),OR(sel_Product="All",H2151=sel_Product),AND(S2151&gt;=m_From,S2151&lt;=m_To)),1,0)</f>
        <v/>
      </c>
      <c r="X2151" s="36">
        <f>IF(AND(OR(sel_Region="All",C2151=sel_Region),OR(sel_Country="All",D2151=sel_Country),OR(sel_Channel="All",E2151=sel_Channel),OR(sel_Category="All",G2151=sel_Category),OR(sel_Product="All",H2151=sel_Product),AND(S2151&gt;=m_From,S2151&lt;=m_To)),1,0)</f>
        <v/>
      </c>
      <c r="Y2151" s="36">
        <f>IF(AND(OR(sel_Region="All",C2151=sel_Region),OR(sel_Country="All",D2151=sel_Country),OR(sel_Channel="All",E2151=sel_Channel),OR(sel_Customer="All",F2151=sel_Customer),OR(sel_Product="All",H2151=sel_Product),AND(S2151&gt;=m_From,S2151&lt;=m_To)),1,0)</f>
        <v/>
      </c>
      <c r="Z2151" s="36">
        <f>IF(AND(OR(sel_Region="All",C2151=sel_Region),OR(sel_Country="All",D2151=sel_Country),OR(sel_Channel="All",E2151=sel_Channel),OR(sel_Customer="All",F2151=sel_Customer),OR(sel_Category="All",G2151=sel_Category),AND(S2151&gt;=m_From,S2151&lt;=m_To)),1,0)</f>
        <v/>
      </c>
      <c r="AA2151" s="36">
        <f>IF(AND(OR(sel_Region="All",C2151=sel_Region),OR(sel_Country="All",D2151=sel_Country),OR(sel_Channel="All",E2151=sel_Channel),OR(sel_Customer="All",F2151=sel_Customer),OR(sel_Category="All",G2151=sel_Category),OR(sel_Product="All",H2151=sel_Product)),1,0)</f>
        <v/>
      </c>
    </row>
    <row r="2152">
      <c r="A2152" s="36" t="inlineStr">
        <is>
          <t>03345</t>
        </is>
      </c>
      <c r="B2152" s="44" t="n">
        <v>46313</v>
      </c>
      <c r="C2152" s="36" t="inlineStr">
        <is>
          <t>Southern Europe</t>
        </is>
      </c>
      <c r="D2152" s="36" t="inlineStr">
        <is>
          <t>Italy</t>
        </is>
      </c>
      <c r="E2152" s="36" t="inlineStr">
        <is>
          <t>Online Store</t>
        </is>
      </c>
      <c r="F2152" s="36" t="inlineStr">
        <is>
          <t>Returning</t>
        </is>
      </c>
      <c r="G2152" s="36" t="inlineStr">
        <is>
          <t>Cycling</t>
        </is>
      </c>
      <c r="H2152" s="36" t="inlineStr">
        <is>
          <t>Trail Bike Light</t>
        </is>
      </c>
      <c r="I2152" s="36" t="n">
        <v>3</v>
      </c>
      <c r="J2152" s="39" t="n">
        <v>51.62</v>
      </c>
      <c r="K2152" s="45" t="n">
        <v>0.1</v>
      </c>
      <c r="L2152" s="39" t="n">
        <v>22.94</v>
      </c>
      <c r="M2152" s="39">
        <f>I2152*J2152*(1-K2152)</f>
        <v/>
      </c>
      <c r="N2152" s="39">
        <f>I2152*L2152</f>
        <v/>
      </c>
      <c r="O2152" s="39">
        <f>M2152-N2152</f>
        <v/>
      </c>
      <c r="P2152" s="38">
        <f>IF(M2152=0,0,O2152/M2152)</f>
        <v/>
      </c>
      <c r="Q2152" s="36">
        <f>YEAR(B2152)</f>
        <v/>
      </c>
      <c r="R2152" s="36">
        <f>"Q"&amp;ROUNDUP(MONTH(B2152)/3,0)</f>
        <v/>
      </c>
      <c r="S2152" s="36">
        <f>MONTH(B2152)</f>
        <v/>
      </c>
      <c r="T2152" s="36">
        <f>TEXT(B2152,"mmm")</f>
        <v/>
      </c>
      <c r="U2152" s="36">
        <f>IF(AND(OR(sel_Region="All",C2152=sel_Region),OR(sel_Country="All",D2152=sel_Country),OR(sel_Channel="All",E2152=sel_Channel),OR(sel_Customer="All",F2152=sel_Customer),OR(sel_Category="All",G2152=sel_Category),OR(sel_Product="All",H2152=sel_Product),AND(S2152&gt;=m_From,S2152&lt;=m_To)),1,0)</f>
        <v/>
      </c>
      <c r="V2152" s="36">
        <f>IF(AND(OR(sel_Region="All",C2152=sel_Region),OR(sel_Channel="All",E2152=sel_Channel),OR(sel_Customer="All",F2152=sel_Customer),OR(sel_Category="All",G2152=sel_Category),OR(sel_Product="All",H2152=sel_Product),AND(S2152&gt;=m_From,S2152&lt;=m_To)),1,0)</f>
        <v/>
      </c>
      <c r="W2152" s="36">
        <f>IF(AND(OR(sel_Region="All",C2152=sel_Region),OR(sel_Country="All",D2152=sel_Country),OR(sel_Customer="All",F2152=sel_Customer),OR(sel_Category="All",G2152=sel_Category),OR(sel_Product="All",H2152=sel_Product),AND(S2152&gt;=m_From,S2152&lt;=m_To)),1,0)</f>
        <v/>
      </c>
      <c r="X2152" s="36">
        <f>IF(AND(OR(sel_Region="All",C2152=sel_Region),OR(sel_Country="All",D2152=sel_Country),OR(sel_Channel="All",E2152=sel_Channel),OR(sel_Category="All",G2152=sel_Category),OR(sel_Product="All",H2152=sel_Product),AND(S2152&gt;=m_From,S2152&lt;=m_To)),1,0)</f>
        <v/>
      </c>
      <c r="Y2152" s="36">
        <f>IF(AND(OR(sel_Region="All",C2152=sel_Region),OR(sel_Country="All",D2152=sel_Country),OR(sel_Channel="All",E2152=sel_Channel),OR(sel_Customer="All",F2152=sel_Customer),OR(sel_Product="All",H2152=sel_Product),AND(S2152&gt;=m_From,S2152&lt;=m_To)),1,0)</f>
        <v/>
      </c>
      <c r="Z2152" s="36">
        <f>IF(AND(OR(sel_Region="All",C2152=sel_Region),OR(sel_Country="All",D2152=sel_Country),OR(sel_Channel="All",E2152=sel_Channel),OR(sel_Customer="All",F2152=sel_Customer),OR(sel_Category="All",G2152=sel_Category),AND(S2152&gt;=m_From,S2152&lt;=m_To)),1,0)</f>
        <v/>
      </c>
      <c r="AA2152" s="36">
        <f>IF(AND(OR(sel_Region="All",C2152=sel_Region),OR(sel_Country="All",D2152=sel_Country),OR(sel_Channel="All",E2152=sel_Channel),OR(sel_Customer="All",F2152=sel_Customer),OR(sel_Category="All",G2152=sel_Category),OR(sel_Product="All",H2152=sel_Product)),1,0)</f>
        <v/>
      </c>
    </row>
    <row r="2153">
      <c r="A2153" s="36" t="inlineStr">
        <is>
          <t>04089</t>
        </is>
      </c>
      <c r="B2153" s="44" t="n">
        <v>46313</v>
      </c>
      <c r="C2153" s="36" t="inlineStr">
        <is>
          <t>Northern Europe</t>
        </is>
      </c>
      <c r="D2153" s="36" t="inlineStr">
        <is>
          <t>Sweden</t>
        </is>
      </c>
      <c r="E2153" s="36" t="inlineStr">
        <is>
          <t>Online Store</t>
        </is>
      </c>
      <c r="F2153" s="36" t="inlineStr">
        <is>
          <t>New</t>
        </is>
      </c>
      <c r="G2153" s="36" t="inlineStr">
        <is>
          <t>Camping</t>
        </is>
      </c>
      <c r="H2153" s="36" t="inlineStr">
        <is>
          <t>Trail Tent 2P</t>
        </is>
      </c>
      <c r="I2153" s="36" t="n">
        <v>1</v>
      </c>
      <c r="J2153" s="39" t="n">
        <v>196.39</v>
      </c>
      <c r="K2153" s="45" t="n">
        <v>0</v>
      </c>
      <c r="L2153" s="39" t="n">
        <v>104.66</v>
      </c>
      <c r="M2153" s="39">
        <f>I2153*J2153*(1-K2153)</f>
        <v/>
      </c>
      <c r="N2153" s="39">
        <f>I2153*L2153</f>
        <v/>
      </c>
      <c r="O2153" s="39">
        <f>M2153-N2153</f>
        <v/>
      </c>
      <c r="P2153" s="38">
        <f>IF(M2153=0,0,O2153/M2153)</f>
        <v/>
      </c>
      <c r="Q2153" s="36">
        <f>YEAR(B2153)</f>
        <v/>
      </c>
      <c r="R2153" s="36">
        <f>"Q"&amp;ROUNDUP(MONTH(B2153)/3,0)</f>
        <v/>
      </c>
      <c r="S2153" s="36">
        <f>MONTH(B2153)</f>
        <v/>
      </c>
      <c r="T2153" s="36">
        <f>TEXT(B2153,"mmm")</f>
        <v/>
      </c>
      <c r="U2153" s="36">
        <f>IF(AND(OR(sel_Region="All",C2153=sel_Region),OR(sel_Country="All",D2153=sel_Country),OR(sel_Channel="All",E2153=sel_Channel),OR(sel_Customer="All",F2153=sel_Customer),OR(sel_Category="All",G2153=sel_Category),OR(sel_Product="All",H2153=sel_Product),AND(S2153&gt;=m_From,S2153&lt;=m_To)),1,0)</f>
        <v/>
      </c>
      <c r="V2153" s="36">
        <f>IF(AND(OR(sel_Region="All",C2153=sel_Region),OR(sel_Channel="All",E2153=sel_Channel),OR(sel_Customer="All",F2153=sel_Customer),OR(sel_Category="All",G2153=sel_Category),OR(sel_Product="All",H2153=sel_Product),AND(S2153&gt;=m_From,S2153&lt;=m_To)),1,0)</f>
        <v/>
      </c>
      <c r="W2153" s="36">
        <f>IF(AND(OR(sel_Region="All",C2153=sel_Region),OR(sel_Country="All",D2153=sel_Country),OR(sel_Customer="All",F2153=sel_Customer),OR(sel_Category="All",G2153=sel_Category),OR(sel_Product="All",H2153=sel_Product),AND(S2153&gt;=m_From,S2153&lt;=m_To)),1,0)</f>
        <v/>
      </c>
      <c r="X2153" s="36">
        <f>IF(AND(OR(sel_Region="All",C2153=sel_Region),OR(sel_Country="All",D2153=sel_Country),OR(sel_Channel="All",E2153=sel_Channel),OR(sel_Category="All",G2153=sel_Category),OR(sel_Product="All",H2153=sel_Product),AND(S2153&gt;=m_From,S2153&lt;=m_To)),1,0)</f>
        <v/>
      </c>
      <c r="Y2153" s="36">
        <f>IF(AND(OR(sel_Region="All",C2153=sel_Region),OR(sel_Country="All",D2153=sel_Country),OR(sel_Channel="All",E2153=sel_Channel),OR(sel_Customer="All",F2153=sel_Customer),OR(sel_Product="All",H2153=sel_Product),AND(S2153&gt;=m_From,S2153&lt;=m_To)),1,0)</f>
        <v/>
      </c>
      <c r="Z2153" s="36">
        <f>IF(AND(OR(sel_Region="All",C2153=sel_Region),OR(sel_Country="All",D2153=sel_Country),OR(sel_Channel="All",E2153=sel_Channel),OR(sel_Customer="All",F2153=sel_Customer),OR(sel_Category="All",G2153=sel_Category),AND(S2153&gt;=m_From,S2153&lt;=m_To)),1,0)</f>
        <v/>
      </c>
      <c r="AA2153" s="36">
        <f>IF(AND(OR(sel_Region="All",C2153=sel_Region),OR(sel_Country="All",D2153=sel_Country),OR(sel_Channel="All",E2153=sel_Channel),OR(sel_Customer="All",F2153=sel_Customer),OR(sel_Category="All",G2153=sel_Category),OR(sel_Product="All",H2153=sel_Product)),1,0)</f>
        <v/>
      </c>
    </row>
    <row r="2154">
      <c r="A2154" s="36" t="inlineStr">
        <is>
          <t>04119</t>
        </is>
      </c>
      <c r="B2154" s="44" t="n">
        <v>46313</v>
      </c>
      <c r="C2154" s="36" t="inlineStr">
        <is>
          <t>Western Europe</t>
        </is>
      </c>
      <c r="D2154" s="36" t="inlineStr">
        <is>
          <t>United Kingdom</t>
        </is>
      </c>
      <c r="E2154" s="36" t="inlineStr">
        <is>
          <t>Corporate</t>
        </is>
      </c>
      <c r="F2154" s="36" t="inlineStr">
        <is>
          <t>Business</t>
        </is>
      </c>
      <c r="G2154" s="36" t="inlineStr">
        <is>
          <t>Fitness</t>
        </is>
      </c>
      <c r="H2154" s="36" t="inlineStr">
        <is>
          <t>Resistance Band Set</t>
        </is>
      </c>
      <c r="I2154" s="36" t="n">
        <v>10</v>
      </c>
      <c r="J2154" s="39" t="n">
        <v>41.26</v>
      </c>
      <c r="K2154" s="45" t="n">
        <v>0.1</v>
      </c>
      <c r="L2154" s="39" t="n">
        <v>15.06</v>
      </c>
      <c r="M2154" s="39">
        <f>I2154*J2154*(1-K2154)</f>
        <v/>
      </c>
      <c r="N2154" s="39">
        <f>I2154*L2154</f>
        <v/>
      </c>
      <c r="O2154" s="39">
        <f>M2154-N2154</f>
        <v/>
      </c>
      <c r="P2154" s="38">
        <f>IF(M2154=0,0,O2154/M2154)</f>
        <v/>
      </c>
      <c r="Q2154" s="36">
        <f>YEAR(B2154)</f>
        <v/>
      </c>
      <c r="R2154" s="36">
        <f>"Q"&amp;ROUNDUP(MONTH(B2154)/3,0)</f>
        <v/>
      </c>
      <c r="S2154" s="36">
        <f>MONTH(B2154)</f>
        <v/>
      </c>
      <c r="T2154" s="36">
        <f>TEXT(B2154,"mmm")</f>
        <v/>
      </c>
      <c r="U2154" s="36">
        <f>IF(AND(OR(sel_Region="All",C2154=sel_Region),OR(sel_Country="All",D2154=sel_Country),OR(sel_Channel="All",E2154=sel_Channel),OR(sel_Customer="All",F2154=sel_Customer),OR(sel_Category="All",G2154=sel_Category),OR(sel_Product="All",H2154=sel_Product),AND(S2154&gt;=m_From,S2154&lt;=m_To)),1,0)</f>
        <v/>
      </c>
      <c r="V2154" s="36">
        <f>IF(AND(OR(sel_Region="All",C2154=sel_Region),OR(sel_Channel="All",E2154=sel_Channel),OR(sel_Customer="All",F2154=sel_Customer),OR(sel_Category="All",G2154=sel_Category),OR(sel_Product="All",H2154=sel_Product),AND(S2154&gt;=m_From,S2154&lt;=m_To)),1,0)</f>
        <v/>
      </c>
      <c r="W2154" s="36">
        <f>IF(AND(OR(sel_Region="All",C2154=sel_Region),OR(sel_Country="All",D2154=sel_Country),OR(sel_Customer="All",F2154=sel_Customer),OR(sel_Category="All",G2154=sel_Category),OR(sel_Product="All",H2154=sel_Product),AND(S2154&gt;=m_From,S2154&lt;=m_To)),1,0)</f>
        <v/>
      </c>
      <c r="X2154" s="36">
        <f>IF(AND(OR(sel_Region="All",C2154=sel_Region),OR(sel_Country="All",D2154=sel_Country),OR(sel_Channel="All",E2154=sel_Channel),OR(sel_Category="All",G2154=sel_Category),OR(sel_Product="All",H2154=sel_Product),AND(S2154&gt;=m_From,S2154&lt;=m_To)),1,0)</f>
        <v/>
      </c>
      <c r="Y2154" s="36">
        <f>IF(AND(OR(sel_Region="All",C2154=sel_Region),OR(sel_Country="All",D2154=sel_Country),OR(sel_Channel="All",E2154=sel_Channel),OR(sel_Customer="All",F2154=sel_Customer),OR(sel_Product="All",H2154=sel_Product),AND(S2154&gt;=m_From,S2154&lt;=m_To)),1,0)</f>
        <v/>
      </c>
      <c r="Z2154" s="36">
        <f>IF(AND(OR(sel_Region="All",C2154=sel_Region),OR(sel_Country="All",D2154=sel_Country),OR(sel_Channel="All",E2154=sel_Channel),OR(sel_Customer="All",F2154=sel_Customer),OR(sel_Category="All",G2154=sel_Category),AND(S2154&gt;=m_From,S2154&lt;=m_To)),1,0)</f>
        <v/>
      </c>
      <c r="AA2154" s="36">
        <f>IF(AND(OR(sel_Region="All",C2154=sel_Region),OR(sel_Country="All",D2154=sel_Country),OR(sel_Channel="All",E2154=sel_Channel),OR(sel_Customer="All",F2154=sel_Customer),OR(sel_Category="All",G2154=sel_Category),OR(sel_Product="All",H2154=sel_Product)),1,0)</f>
        <v/>
      </c>
    </row>
    <row r="2155">
      <c r="A2155" s="36" t="inlineStr">
        <is>
          <t>04968</t>
        </is>
      </c>
      <c r="B2155" s="44" t="n">
        <v>46313</v>
      </c>
      <c r="C2155" s="36" t="inlineStr">
        <is>
          <t>Northern Europe</t>
        </is>
      </c>
      <c r="D2155" s="36" t="inlineStr">
        <is>
          <t>Ireland</t>
        </is>
      </c>
      <c r="E2155" s="36" t="inlineStr">
        <is>
          <t>Marketplace</t>
        </is>
      </c>
      <c r="F2155" s="36" t="inlineStr">
        <is>
          <t>New</t>
        </is>
      </c>
      <c r="G2155" s="36" t="inlineStr">
        <is>
          <t>Travel</t>
        </is>
      </c>
      <c r="H2155" s="36" t="inlineStr">
        <is>
          <t>Insulated Bottle</t>
        </is>
      </c>
      <c r="I2155" s="36" t="n">
        <v>1</v>
      </c>
      <c r="J2155" s="39" t="n">
        <v>35.55</v>
      </c>
      <c r="K2155" s="45" t="n">
        <v>0.05</v>
      </c>
      <c r="L2155" s="39" t="n">
        <v>13.44</v>
      </c>
      <c r="M2155" s="39">
        <f>I2155*J2155*(1-K2155)</f>
        <v/>
      </c>
      <c r="N2155" s="39">
        <f>I2155*L2155</f>
        <v/>
      </c>
      <c r="O2155" s="39">
        <f>M2155-N2155</f>
        <v/>
      </c>
      <c r="P2155" s="38">
        <f>IF(M2155=0,0,O2155/M2155)</f>
        <v/>
      </c>
      <c r="Q2155" s="36">
        <f>YEAR(B2155)</f>
        <v/>
      </c>
      <c r="R2155" s="36">
        <f>"Q"&amp;ROUNDUP(MONTH(B2155)/3,0)</f>
        <v/>
      </c>
      <c r="S2155" s="36">
        <f>MONTH(B2155)</f>
        <v/>
      </c>
      <c r="T2155" s="36">
        <f>TEXT(B2155,"mmm")</f>
        <v/>
      </c>
      <c r="U2155" s="36">
        <f>IF(AND(OR(sel_Region="All",C2155=sel_Region),OR(sel_Country="All",D2155=sel_Country),OR(sel_Channel="All",E2155=sel_Channel),OR(sel_Customer="All",F2155=sel_Customer),OR(sel_Category="All",G2155=sel_Category),OR(sel_Product="All",H2155=sel_Product),AND(S2155&gt;=m_From,S2155&lt;=m_To)),1,0)</f>
        <v/>
      </c>
      <c r="V2155" s="36">
        <f>IF(AND(OR(sel_Region="All",C2155=sel_Region),OR(sel_Channel="All",E2155=sel_Channel),OR(sel_Customer="All",F2155=sel_Customer),OR(sel_Category="All",G2155=sel_Category),OR(sel_Product="All",H2155=sel_Product),AND(S2155&gt;=m_From,S2155&lt;=m_To)),1,0)</f>
        <v/>
      </c>
      <c r="W2155" s="36">
        <f>IF(AND(OR(sel_Region="All",C2155=sel_Region),OR(sel_Country="All",D2155=sel_Country),OR(sel_Customer="All",F2155=sel_Customer),OR(sel_Category="All",G2155=sel_Category),OR(sel_Product="All",H2155=sel_Product),AND(S2155&gt;=m_From,S2155&lt;=m_To)),1,0)</f>
        <v/>
      </c>
      <c r="X2155" s="36">
        <f>IF(AND(OR(sel_Region="All",C2155=sel_Region),OR(sel_Country="All",D2155=sel_Country),OR(sel_Channel="All",E2155=sel_Channel),OR(sel_Category="All",G2155=sel_Category),OR(sel_Product="All",H2155=sel_Product),AND(S2155&gt;=m_From,S2155&lt;=m_To)),1,0)</f>
        <v/>
      </c>
      <c r="Y2155" s="36">
        <f>IF(AND(OR(sel_Region="All",C2155=sel_Region),OR(sel_Country="All",D2155=sel_Country),OR(sel_Channel="All",E2155=sel_Channel),OR(sel_Customer="All",F2155=sel_Customer),OR(sel_Product="All",H2155=sel_Product),AND(S2155&gt;=m_From,S2155&lt;=m_To)),1,0)</f>
        <v/>
      </c>
      <c r="Z2155" s="36">
        <f>IF(AND(OR(sel_Region="All",C2155=sel_Region),OR(sel_Country="All",D2155=sel_Country),OR(sel_Channel="All",E2155=sel_Channel),OR(sel_Customer="All",F2155=sel_Customer),OR(sel_Category="All",G2155=sel_Category),AND(S2155&gt;=m_From,S2155&lt;=m_To)),1,0)</f>
        <v/>
      </c>
      <c r="AA2155" s="36">
        <f>IF(AND(OR(sel_Region="All",C2155=sel_Region),OR(sel_Country="All",D2155=sel_Country),OR(sel_Channel="All",E2155=sel_Channel),OR(sel_Customer="All",F2155=sel_Customer),OR(sel_Category="All",G2155=sel_Category),OR(sel_Product="All",H2155=sel_Product)),1,0)</f>
        <v/>
      </c>
    </row>
    <row r="2156">
      <c r="A2156" s="36" t="inlineStr">
        <is>
          <t>05197</t>
        </is>
      </c>
      <c r="B2156" s="44" t="n">
        <v>46313</v>
      </c>
      <c r="C2156" s="36" t="inlineStr">
        <is>
          <t>Western Europe</t>
        </is>
      </c>
      <c r="D2156" s="36" t="inlineStr">
        <is>
          <t>United Kingdom</t>
        </is>
      </c>
      <c r="E2156" s="36" t="inlineStr">
        <is>
          <t>Online Store</t>
        </is>
      </c>
      <c r="F2156" s="36" t="inlineStr">
        <is>
          <t>New</t>
        </is>
      </c>
      <c r="G2156" s="36" t="inlineStr">
        <is>
          <t>Cycling</t>
        </is>
      </c>
      <c r="H2156" s="36" t="inlineStr">
        <is>
          <t>Trail Bike Light</t>
        </is>
      </c>
      <c r="I2156" s="36" t="n">
        <v>1</v>
      </c>
      <c r="J2156" s="39" t="n">
        <v>49.5</v>
      </c>
      <c r="K2156" s="45" t="n">
        <v>0</v>
      </c>
      <c r="L2156" s="39" t="n">
        <v>22.36</v>
      </c>
      <c r="M2156" s="39">
        <f>I2156*J2156*(1-K2156)</f>
        <v/>
      </c>
      <c r="N2156" s="39">
        <f>I2156*L2156</f>
        <v/>
      </c>
      <c r="O2156" s="39">
        <f>M2156-N2156</f>
        <v/>
      </c>
      <c r="P2156" s="38">
        <f>IF(M2156=0,0,O2156/M2156)</f>
        <v/>
      </c>
      <c r="Q2156" s="36">
        <f>YEAR(B2156)</f>
        <v/>
      </c>
      <c r="R2156" s="36">
        <f>"Q"&amp;ROUNDUP(MONTH(B2156)/3,0)</f>
        <v/>
      </c>
      <c r="S2156" s="36">
        <f>MONTH(B2156)</f>
        <v/>
      </c>
      <c r="T2156" s="36">
        <f>TEXT(B2156,"mmm")</f>
        <v/>
      </c>
      <c r="U2156" s="36">
        <f>IF(AND(OR(sel_Region="All",C2156=sel_Region),OR(sel_Country="All",D2156=sel_Country),OR(sel_Channel="All",E2156=sel_Channel),OR(sel_Customer="All",F2156=sel_Customer),OR(sel_Category="All",G2156=sel_Category),OR(sel_Product="All",H2156=sel_Product),AND(S2156&gt;=m_From,S2156&lt;=m_To)),1,0)</f>
        <v/>
      </c>
      <c r="V2156" s="36">
        <f>IF(AND(OR(sel_Region="All",C2156=sel_Region),OR(sel_Channel="All",E2156=sel_Channel),OR(sel_Customer="All",F2156=sel_Customer),OR(sel_Category="All",G2156=sel_Category),OR(sel_Product="All",H2156=sel_Product),AND(S2156&gt;=m_From,S2156&lt;=m_To)),1,0)</f>
        <v/>
      </c>
      <c r="W2156" s="36">
        <f>IF(AND(OR(sel_Region="All",C2156=sel_Region),OR(sel_Country="All",D2156=sel_Country),OR(sel_Customer="All",F2156=sel_Customer),OR(sel_Category="All",G2156=sel_Category),OR(sel_Product="All",H2156=sel_Product),AND(S2156&gt;=m_From,S2156&lt;=m_To)),1,0)</f>
        <v/>
      </c>
      <c r="X2156" s="36">
        <f>IF(AND(OR(sel_Region="All",C2156=sel_Region),OR(sel_Country="All",D2156=sel_Country),OR(sel_Channel="All",E2156=sel_Channel),OR(sel_Category="All",G2156=sel_Category),OR(sel_Product="All",H2156=sel_Product),AND(S2156&gt;=m_From,S2156&lt;=m_To)),1,0)</f>
        <v/>
      </c>
      <c r="Y2156" s="36">
        <f>IF(AND(OR(sel_Region="All",C2156=sel_Region),OR(sel_Country="All",D2156=sel_Country),OR(sel_Channel="All",E2156=sel_Channel),OR(sel_Customer="All",F2156=sel_Customer),OR(sel_Product="All",H2156=sel_Product),AND(S2156&gt;=m_From,S2156&lt;=m_To)),1,0)</f>
        <v/>
      </c>
      <c r="Z2156" s="36">
        <f>IF(AND(OR(sel_Region="All",C2156=sel_Region),OR(sel_Country="All",D2156=sel_Country),OR(sel_Channel="All",E2156=sel_Channel),OR(sel_Customer="All",F2156=sel_Customer),OR(sel_Category="All",G2156=sel_Category),AND(S2156&gt;=m_From,S2156&lt;=m_To)),1,0)</f>
        <v/>
      </c>
      <c r="AA2156" s="36">
        <f>IF(AND(OR(sel_Region="All",C2156=sel_Region),OR(sel_Country="All",D2156=sel_Country),OR(sel_Channel="All",E2156=sel_Channel),OR(sel_Customer="All",F2156=sel_Customer),OR(sel_Category="All",G2156=sel_Category),OR(sel_Product="All",H2156=sel_Product)),1,0)</f>
        <v/>
      </c>
    </row>
    <row r="2157">
      <c r="A2157" s="36" t="inlineStr">
        <is>
          <t>00066</t>
        </is>
      </c>
      <c r="B2157" s="44" t="n">
        <v>46314</v>
      </c>
      <c r="C2157" s="36" t="inlineStr">
        <is>
          <t>Southern Europe</t>
        </is>
      </c>
      <c r="D2157" s="36" t="inlineStr">
        <is>
          <t>Italy</t>
        </is>
      </c>
      <c r="E2157" s="36" t="inlineStr">
        <is>
          <t>Online Store</t>
        </is>
      </c>
      <c r="F2157" s="36" t="inlineStr">
        <is>
          <t>Business</t>
        </is>
      </c>
      <c r="G2157" s="36" t="inlineStr">
        <is>
          <t>Camping</t>
        </is>
      </c>
      <c r="H2157" s="36" t="inlineStr">
        <is>
          <t>Portable Camp Stove</t>
        </is>
      </c>
      <c r="I2157" s="36" t="n">
        <v>1</v>
      </c>
      <c r="J2157" s="39" t="n">
        <v>80.58</v>
      </c>
      <c r="K2157" s="45" t="n">
        <v>0</v>
      </c>
      <c r="L2157" s="39" t="n">
        <v>40.43</v>
      </c>
      <c r="M2157" s="39">
        <f>I2157*J2157*(1-K2157)</f>
        <v/>
      </c>
      <c r="N2157" s="39">
        <f>I2157*L2157</f>
        <v/>
      </c>
      <c r="O2157" s="39">
        <f>M2157-N2157</f>
        <v/>
      </c>
      <c r="P2157" s="38">
        <f>IF(M2157=0,0,O2157/M2157)</f>
        <v/>
      </c>
      <c r="Q2157" s="36">
        <f>YEAR(B2157)</f>
        <v/>
      </c>
      <c r="R2157" s="36">
        <f>"Q"&amp;ROUNDUP(MONTH(B2157)/3,0)</f>
        <v/>
      </c>
      <c r="S2157" s="36">
        <f>MONTH(B2157)</f>
        <v/>
      </c>
      <c r="T2157" s="36">
        <f>TEXT(B2157,"mmm")</f>
        <v/>
      </c>
      <c r="U2157" s="36">
        <f>IF(AND(OR(sel_Region="All",C2157=sel_Region),OR(sel_Country="All",D2157=sel_Country),OR(sel_Channel="All",E2157=sel_Channel),OR(sel_Customer="All",F2157=sel_Customer),OR(sel_Category="All",G2157=sel_Category),OR(sel_Product="All",H2157=sel_Product),AND(S2157&gt;=m_From,S2157&lt;=m_To)),1,0)</f>
        <v/>
      </c>
      <c r="V2157" s="36">
        <f>IF(AND(OR(sel_Region="All",C2157=sel_Region),OR(sel_Channel="All",E2157=sel_Channel),OR(sel_Customer="All",F2157=sel_Customer),OR(sel_Category="All",G2157=sel_Category),OR(sel_Product="All",H2157=sel_Product),AND(S2157&gt;=m_From,S2157&lt;=m_To)),1,0)</f>
        <v/>
      </c>
      <c r="W2157" s="36">
        <f>IF(AND(OR(sel_Region="All",C2157=sel_Region),OR(sel_Country="All",D2157=sel_Country),OR(sel_Customer="All",F2157=sel_Customer),OR(sel_Category="All",G2157=sel_Category),OR(sel_Product="All",H2157=sel_Product),AND(S2157&gt;=m_From,S2157&lt;=m_To)),1,0)</f>
        <v/>
      </c>
      <c r="X2157" s="36">
        <f>IF(AND(OR(sel_Region="All",C2157=sel_Region),OR(sel_Country="All",D2157=sel_Country),OR(sel_Channel="All",E2157=sel_Channel),OR(sel_Category="All",G2157=sel_Category),OR(sel_Product="All",H2157=sel_Product),AND(S2157&gt;=m_From,S2157&lt;=m_To)),1,0)</f>
        <v/>
      </c>
      <c r="Y2157" s="36">
        <f>IF(AND(OR(sel_Region="All",C2157=sel_Region),OR(sel_Country="All",D2157=sel_Country),OR(sel_Channel="All",E2157=sel_Channel),OR(sel_Customer="All",F2157=sel_Customer),OR(sel_Product="All",H2157=sel_Product),AND(S2157&gt;=m_From,S2157&lt;=m_To)),1,0)</f>
        <v/>
      </c>
      <c r="Z2157" s="36">
        <f>IF(AND(OR(sel_Region="All",C2157=sel_Region),OR(sel_Country="All",D2157=sel_Country),OR(sel_Channel="All",E2157=sel_Channel),OR(sel_Customer="All",F2157=sel_Customer),OR(sel_Category="All",G2157=sel_Category),AND(S2157&gt;=m_From,S2157&lt;=m_To)),1,0)</f>
        <v/>
      </c>
      <c r="AA2157" s="36">
        <f>IF(AND(OR(sel_Region="All",C2157=sel_Region),OR(sel_Country="All",D2157=sel_Country),OR(sel_Channel="All",E2157=sel_Channel),OR(sel_Customer="All",F2157=sel_Customer),OR(sel_Category="All",G2157=sel_Category),OR(sel_Product="All",H2157=sel_Product)),1,0)</f>
        <v/>
      </c>
    </row>
    <row r="2158">
      <c r="A2158" s="36" t="inlineStr">
        <is>
          <t>00585</t>
        </is>
      </c>
      <c r="B2158" s="44" t="n">
        <v>46314</v>
      </c>
      <c r="C2158" s="36" t="inlineStr">
        <is>
          <t>Northern Europe</t>
        </is>
      </c>
      <c r="D2158" s="36" t="inlineStr">
        <is>
          <t>Denmark</t>
        </is>
      </c>
      <c r="E2158" s="36" t="inlineStr">
        <is>
          <t>Retail Partners</t>
        </is>
      </c>
      <c r="F2158" s="36" t="inlineStr">
        <is>
          <t>Business</t>
        </is>
      </c>
      <c r="G2158" s="36" t="inlineStr">
        <is>
          <t>Travel</t>
        </is>
      </c>
      <c r="H2158" s="36" t="inlineStr">
        <is>
          <t>Travel Backpack 35L</t>
        </is>
      </c>
      <c r="I2158" s="36" t="n">
        <v>2</v>
      </c>
      <c r="J2158" s="39" t="n">
        <v>161.59</v>
      </c>
      <c r="K2158" s="45" t="n">
        <v>0.05</v>
      </c>
      <c r="L2158" s="39" t="n">
        <v>89.56999999999999</v>
      </c>
      <c r="M2158" s="39">
        <f>I2158*J2158*(1-K2158)</f>
        <v/>
      </c>
      <c r="N2158" s="39">
        <f>I2158*L2158</f>
        <v/>
      </c>
      <c r="O2158" s="39">
        <f>M2158-N2158</f>
        <v/>
      </c>
      <c r="P2158" s="38">
        <f>IF(M2158=0,0,O2158/M2158)</f>
        <v/>
      </c>
      <c r="Q2158" s="36">
        <f>YEAR(B2158)</f>
        <v/>
      </c>
      <c r="R2158" s="36">
        <f>"Q"&amp;ROUNDUP(MONTH(B2158)/3,0)</f>
        <v/>
      </c>
      <c r="S2158" s="36">
        <f>MONTH(B2158)</f>
        <v/>
      </c>
      <c r="T2158" s="36">
        <f>TEXT(B2158,"mmm")</f>
        <v/>
      </c>
      <c r="U2158" s="36">
        <f>IF(AND(OR(sel_Region="All",C2158=sel_Region),OR(sel_Country="All",D2158=sel_Country),OR(sel_Channel="All",E2158=sel_Channel),OR(sel_Customer="All",F2158=sel_Customer),OR(sel_Category="All",G2158=sel_Category),OR(sel_Product="All",H2158=sel_Product),AND(S2158&gt;=m_From,S2158&lt;=m_To)),1,0)</f>
        <v/>
      </c>
      <c r="V2158" s="36">
        <f>IF(AND(OR(sel_Region="All",C2158=sel_Region),OR(sel_Channel="All",E2158=sel_Channel),OR(sel_Customer="All",F2158=sel_Customer),OR(sel_Category="All",G2158=sel_Category),OR(sel_Product="All",H2158=sel_Product),AND(S2158&gt;=m_From,S2158&lt;=m_To)),1,0)</f>
        <v/>
      </c>
      <c r="W2158" s="36">
        <f>IF(AND(OR(sel_Region="All",C2158=sel_Region),OR(sel_Country="All",D2158=sel_Country),OR(sel_Customer="All",F2158=sel_Customer),OR(sel_Category="All",G2158=sel_Category),OR(sel_Product="All",H2158=sel_Product),AND(S2158&gt;=m_From,S2158&lt;=m_To)),1,0)</f>
        <v/>
      </c>
      <c r="X2158" s="36">
        <f>IF(AND(OR(sel_Region="All",C2158=sel_Region),OR(sel_Country="All",D2158=sel_Country),OR(sel_Channel="All",E2158=sel_Channel),OR(sel_Category="All",G2158=sel_Category),OR(sel_Product="All",H2158=sel_Product),AND(S2158&gt;=m_From,S2158&lt;=m_To)),1,0)</f>
        <v/>
      </c>
      <c r="Y2158" s="36">
        <f>IF(AND(OR(sel_Region="All",C2158=sel_Region),OR(sel_Country="All",D2158=sel_Country),OR(sel_Channel="All",E2158=sel_Channel),OR(sel_Customer="All",F2158=sel_Customer),OR(sel_Product="All",H2158=sel_Product),AND(S2158&gt;=m_From,S2158&lt;=m_To)),1,0)</f>
        <v/>
      </c>
      <c r="Z2158" s="36">
        <f>IF(AND(OR(sel_Region="All",C2158=sel_Region),OR(sel_Country="All",D2158=sel_Country),OR(sel_Channel="All",E2158=sel_Channel),OR(sel_Customer="All",F2158=sel_Customer),OR(sel_Category="All",G2158=sel_Category),AND(S2158&gt;=m_From,S2158&lt;=m_To)),1,0)</f>
        <v/>
      </c>
      <c r="AA2158" s="36">
        <f>IF(AND(OR(sel_Region="All",C2158=sel_Region),OR(sel_Country="All",D2158=sel_Country),OR(sel_Channel="All",E2158=sel_Channel),OR(sel_Customer="All",F2158=sel_Customer),OR(sel_Category="All",G2158=sel_Category),OR(sel_Product="All",H2158=sel_Product)),1,0)</f>
        <v/>
      </c>
    </row>
    <row r="2159">
      <c r="A2159" s="36" t="inlineStr">
        <is>
          <t>00856</t>
        </is>
      </c>
      <c r="B2159" s="44" t="n">
        <v>46314</v>
      </c>
      <c r="C2159" s="36" t="inlineStr">
        <is>
          <t>Western Europe</t>
        </is>
      </c>
      <c r="D2159" s="36" t="inlineStr">
        <is>
          <t>United Kingdom</t>
        </is>
      </c>
      <c r="E2159" s="36" t="inlineStr">
        <is>
          <t>Online Store</t>
        </is>
      </c>
      <c r="F2159" s="36" t="inlineStr">
        <is>
          <t>Business</t>
        </is>
      </c>
      <c r="G2159" s="36" t="inlineStr">
        <is>
          <t>Camping</t>
        </is>
      </c>
      <c r="H2159" s="36" t="inlineStr">
        <is>
          <t>Portable Camp Stove</t>
        </is>
      </c>
      <c r="I2159" s="36" t="n">
        <v>1</v>
      </c>
      <c r="J2159" s="39" t="n">
        <v>80.31999999999999</v>
      </c>
      <c r="K2159" s="45" t="n">
        <v>0</v>
      </c>
      <c r="L2159" s="39" t="n">
        <v>39.73</v>
      </c>
      <c r="M2159" s="39">
        <f>I2159*J2159*(1-K2159)</f>
        <v/>
      </c>
      <c r="N2159" s="39">
        <f>I2159*L2159</f>
        <v/>
      </c>
      <c r="O2159" s="39">
        <f>M2159-N2159</f>
        <v/>
      </c>
      <c r="P2159" s="38">
        <f>IF(M2159=0,0,O2159/M2159)</f>
        <v/>
      </c>
      <c r="Q2159" s="36">
        <f>YEAR(B2159)</f>
        <v/>
      </c>
      <c r="R2159" s="36">
        <f>"Q"&amp;ROUNDUP(MONTH(B2159)/3,0)</f>
        <v/>
      </c>
      <c r="S2159" s="36">
        <f>MONTH(B2159)</f>
        <v/>
      </c>
      <c r="T2159" s="36">
        <f>TEXT(B2159,"mmm")</f>
        <v/>
      </c>
      <c r="U2159" s="36">
        <f>IF(AND(OR(sel_Region="All",C2159=sel_Region),OR(sel_Country="All",D2159=sel_Country),OR(sel_Channel="All",E2159=sel_Channel),OR(sel_Customer="All",F2159=sel_Customer),OR(sel_Category="All",G2159=sel_Category),OR(sel_Product="All",H2159=sel_Product),AND(S2159&gt;=m_From,S2159&lt;=m_To)),1,0)</f>
        <v/>
      </c>
      <c r="V2159" s="36">
        <f>IF(AND(OR(sel_Region="All",C2159=sel_Region),OR(sel_Channel="All",E2159=sel_Channel),OR(sel_Customer="All",F2159=sel_Customer),OR(sel_Category="All",G2159=sel_Category),OR(sel_Product="All",H2159=sel_Product),AND(S2159&gt;=m_From,S2159&lt;=m_To)),1,0)</f>
        <v/>
      </c>
      <c r="W2159" s="36">
        <f>IF(AND(OR(sel_Region="All",C2159=sel_Region),OR(sel_Country="All",D2159=sel_Country),OR(sel_Customer="All",F2159=sel_Customer),OR(sel_Category="All",G2159=sel_Category),OR(sel_Product="All",H2159=sel_Product),AND(S2159&gt;=m_From,S2159&lt;=m_To)),1,0)</f>
        <v/>
      </c>
      <c r="X2159" s="36">
        <f>IF(AND(OR(sel_Region="All",C2159=sel_Region),OR(sel_Country="All",D2159=sel_Country),OR(sel_Channel="All",E2159=sel_Channel),OR(sel_Category="All",G2159=sel_Category),OR(sel_Product="All",H2159=sel_Product),AND(S2159&gt;=m_From,S2159&lt;=m_To)),1,0)</f>
        <v/>
      </c>
      <c r="Y2159" s="36">
        <f>IF(AND(OR(sel_Region="All",C2159=sel_Region),OR(sel_Country="All",D2159=sel_Country),OR(sel_Channel="All",E2159=sel_Channel),OR(sel_Customer="All",F2159=sel_Customer),OR(sel_Product="All",H2159=sel_Product),AND(S2159&gt;=m_From,S2159&lt;=m_To)),1,0)</f>
        <v/>
      </c>
      <c r="Z2159" s="36">
        <f>IF(AND(OR(sel_Region="All",C2159=sel_Region),OR(sel_Country="All",D2159=sel_Country),OR(sel_Channel="All",E2159=sel_Channel),OR(sel_Customer="All",F2159=sel_Customer),OR(sel_Category="All",G2159=sel_Category),AND(S2159&gt;=m_From,S2159&lt;=m_To)),1,0)</f>
        <v/>
      </c>
      <c r="AA2159" s="36">
        <f>IF(AND(OR(sel_Region="All",C2159=sel_Region),OR(sel_Country="All",D2159=sel_Country),OR(sel_Channel="All",E2159=sel_Channel),OR(sel_Customer="All",F2159=sel_Customer),OR(sel_Category="All",G2159=sel_Category),OR(sel_Product="All",H2159=sel_Product)),1,0)</f>
        <v/>
      </c>
    </row>
    <row r="2160">
      <c r="A2160" s="36" t="inlineStr">
        <is>
          <t>01793</t>
        </is>
      </c>
      <c r="B2160" s="44" t="n">
        <v>46314</v>
      </c>
      <c r="C2160" s="36" t="inlineStr">
        <is>
          <t>Southern Europe</t>
        </is>
      </c>
      <c r="D2160" s="36" t="inlineStr">
        <is>
          <t>Portugal</t>
        </is>
      </c>
      <c r="E2160" s="36" t="inlineStr">
        <is>
          <t>Marketplace</t>
        </is>
      </c>
      <c r="F2160" s="36" t="inlineStr">
        <is>
          <t>New</t>
        </is>
      </c>
      <c r="G2160" s="36" t="inlineStr">
        <is>
          <t>Travel</t>
        </is>
      </c>
      <c r="H2160" s="36" t="inlineStr">
        <is>
          <t>Travel Backpack 35L</t>
        </is>
      </c>
      <c r="I2160" s="36" t="n">
        <v>1</v>
      </c>
      <c r="J2160" s="39" t="n">
        <v>164.25</v>
      </c>
      <c r="K2160" s="45" t="n">
        <v>0</v>
      </c>
      <c r="L2160" s="39" t="n">
        <v>86.59999999999999</v>
      </c>
      <c r="M2160" s="39">
        <f>I2160*J2160*(1-K2160)</f>
        <v/>
      </c>
      <c r="N2160" s="39">
        <f>I2160*L2160</f>
        <v/>
      </c>
      <c r="O2160" s="39">
        <f>M2160-N2160</f>
        <v/>
      </c>
      <c r="P2160" s="38">
        <f>IF(M2160=0,0,O2160/M2160)</f>
        <v/>
      </c>
      <c r="Q2160" s="36">
        <f>YEAR(B2160)</f>
        <v/>
      </c>
      <c r="R2160" s="36">
        <f>"Q"&amp;ROUNDUP(MONTH(B2160)/3,0)</f>
        <v/>
      </c>
      <c r="S2160" s="36">
        <f>MONTH(B2160)</f>
        <v/>
      </c>
      <c r="T2160" s="36">
        <f>TEXT(B2160,"mmm")</f>
        <v/>
      </c>
      <c r="U2160" s="36">
        <f>IF(AND(OR(sel_Region="All",C2160=sel_Region),OR(sel_Country="All",D2160=sel_Country),OR(sel_Channel="All",E2160=sel_Channel),OR(sel_Customer="All",F2160=sel_Customer),OR(sel_Category="All",G2160=sel_Category),OR(sel_Product="All",H2160=sel_Product),AND(S2160&gt;=m_From,S2160&lt;=m_To)),1,0)</f>
        <v/>
      </c>
      <c r="V2160" s="36">
        <f>IF(AND(OR(sel_Region="All",C2160=sel_Region),OR(sel_Channel="All",E2160=sel_Channel),OR(sel_Customer="All",F2160=sel_Customer),OR(sel_Category="All",G2160=sel_Category),OR(sel_Product="All",H2160=sel_Product),AND(S2160&gt;=m_From,S2160&lt;=m_To)),1,0)</f>
        <v/>
      </c>
      <c r="W2160" s="36">
        <f>IF(AND(OR(sel_Region="All",C2160=sel_Region),OR(sel_Country="All",D2160=sel_Country),OR(sel_Customer="All",F2160=sel_Customer),OR(sel_Category="All",G2160=sel_Category),OR(sel_Product="All",H2160=sel_Product),AND(S2160&gt;=m_From,S2160&lt;=m_To)),1,0)</f>
        <v/>
      </c>
      <c r="X2160" s="36">
        <f>IF(AND(OR(sel_Region="All",C2160=sel_Region),OR(sel_Country="All",D2160=sel_Country),OR(sel_Channel="All",E2160=sel_Channel),OR(sel_Category="All",G2160=sel_Category),OR(sel_Product="All",H2160=sel_Product),AND(S2160&gt;=m_From,S2160&lt;=m_To)),1,0)</f>
        <v/>
      </c>
      <c r="Y2160" s="36">
        <f>IF(AND(OR(sel_Region="All",C2160=sel_Region),OR(sel_Country="All",D2160=sel_Country),OR(sel_Channel="All",E2160=sel_Channel),OR(sel_Customer="All",F2160=sel_Customer),OR(sel_Product="All",H2160=sel_Product),AND(S2160&gt;=m_From,S2160&lt;=m_To)),1,0)</f>
        <v/>
      </c>
      <c r="Z2160" s="36">
        <f>IF(AND(OR(sel_Region="All",C2160=sel_Region),OR(sel_Country="All",D2160=sel_Country),OR(sel_Channel="All",E2160=sel_Channel),OR(sel_Customer="All",F2160=sel_Customer),OR(sel_Category="All",G2160=sel_Category),AND(S2160&gt;=m_From,S2160&lt;=m_To)),1,0)</f>
        <v/>
      </c>
      <c r="AA2160" s="36">
        <f>IF(AND(OR(sel_Region="All",C2160=sel_Region),OR(sel_Country="All",D2160=sel_Country),OR(sel_Channel="All",E2160=sel_Channel),OR(sel_Customer="All",F2160=sel_Customer),OR(sel_Category="All",G2160=sel_Category),OR(sel_Product="All",H2160=sel_Product)),1,0)</f>
        <v/>
      </c>
    </row>
    <row r="2161">
      <c r="A2161" s="36" t="inlineStr">
        <is>
          <t>04763</t>
        </is>
      </c>
      <c r="B2161" s="44" t="n">
        <v>46314</v>
      </c>
      <c r="C2161" s="36" t="inlineStr">
        <is>
          <t>Western Europe</t>
        </is>
      </c>
      <c r="D2161" s="36" t="inlineStr">
        <is>
          <t>United Kingdom</t>
        </is>
      </c>
      <c r="E2161" s="36" t="inlineStr">
        <is>
          <t>Marketplace</t>
        </is>
      </c>
      <c r="F2161" s="36" t="inlineStr">
        <is>
          <t>New</t>
        </is>
      </c>
      <c r="G2161" s="36" t="inlineStr">
        <is>
          <t>Cycling</t>
        </is>
      </c>
      <c r="H2161" s="36" t="inlineStr">
        <is>
          <t>Cycling Pack 12L</t>
        </is>
      </c>
      <c r="I2161" s="36" t="n">
        <v>6</v>
      </c>
      <c r="J2161" s="39" t="n">
        <v>101.6</v>
      </c>
      <c r="K2161" s="45" t="n">
        <v>0</v>
      </c>
      <c r="L2161" s="39" t="n">
        <v>50.17</v>
      </c>
      <c r="M2161" s="39">
        <f>I2161*J2161*(1-K2161)</f>
        <v/>
      </c>
      <c r="N2161" s="39">
        <f>I2161*L2161</f>
        <v/>
      </c>
      <c r="O2161" s="39">
        <f>M2161-N2161</f>
        <v/>
      </c>
      <c r="P2161" s="38">
        <f>IF(M2161=0,0,O2161/M2161)</f>
        <v/>
      </c>
      <c r="Q2161" s="36">
        <f>YEAR(B2161)</f>
        <v/>
      </c>
      <c r="R2161" s="36">
        <f>"Q"&amp;ROUNDUP(MONTH(B2161)/3,0)</f>
        <v/>
      </c>
      <c r="S2161" s="36">
        <f>MONTH(B2161)</f>
        <v/>
      </c>
      <c r="T2161" s="36">
        <f>TEXT(B2161,"mmm")</f>
        <v/>
      </c>
      <c r="U2161" s="36">
        <f>IF(AND(OR(sel_Region="All",C2161=sel_Region),OR(sel_Country="All",D2161=sel_Country),OR(sel_Channel="All",E2161=sel_Channel),OR(sel_Customer="All",F2161=sel_Customer),OR(sel_Category="All",G2161=sel_Category),OR(sel_Product="All",H2161=sel_Product),AND(S2161&gt;=m_From,S2161&lt;=m_To)),1,0)</f>
        <v/>
      </c>
      <c r="V2161" s="36">
        <f>IF(AND(OR(sel_Region="All",C2161=sel_Region),OR(sel_Channel="All",E2161=sel_Channel),OR(sel_Customer="All",F2161=sel_Customer),OR(sel_Category="All",G2161=sel_Category),OR(sel_Product="All",H2161=sel_Product),AND(S2161&gt;=m_From,S2161&lt;=m_To)),1,0)</f>
        <v/>
      </c>
      <c r="W2161" s="36">
        <f>IF(AND(OR(sel_Region="All",C2161=sel_Region),OR(sel_Country="All",D2161=sel_Country),OR(sel_Customer="All",F2161=sel_Customer),OR(sel_Category="All",G2161=sel_Category),OR(sel_Product="All",H2161=sel_Product),AND(S2161&gt;=m_From,S2161&lt;=m_To)),1,0)</f>
        <v/>
      </c>
      <c r="X2161" s="36">
        <f>IF(AND(OR(sel_Region="All",C2161=sel_Region),OR(sel_Country="All",D2161=sel_Country),OR(sel_Channel="All",E2161=sel_Channel),OR(sel_Category="All",G2161=sel_Category),OR(sel_Product="All",H2161=sel_Product),AND(S2161&gt;=m_From,S2161&lt;=m_To)),1,0)</f>
        <v/>
      </c>
      <c r="Y2161" s="36">
        <f>IF(AND(OR(sel_Region="All",C2161=sel_Region),OR(sel_Country="All",D2161=sel_Country),OR(sel_Channel="All",E2161=sel_Channel),OR(sel_Customer="All",F2161=sel_Customer),OR(sel_Product="All",H2161=sel_Product),AND(S2161&gt;=m_From,S2161&lt;=m_To)),1,0)</f>
        <v/>
      </c>
      <c r="Z2161" s="36">
        <f>IF(AND(OR(sel_Region="All",C2161=sel_Region),OR(sel_Country="All",D2161=sel_Country),OR(sel_Channel="All",E2161=sel_Channel),OR(sel_Customer="All",F2161=sel_Customer),OR(sel_Category="All",G2161=sel_Category),AND(S2161&gt;=m_From,S2161&lt;=m_To)),1,0)</f>
        <v/>
      </c>
      <c r="AA2161" s="36">
        <f>IF(AND(OR(sel_Region="All",C2161=sel_Region),OR(sel_Country="All",D2161=sel_Country),OR(sel_Channel="All",E2161=sel_Channel),OR(sel_Customer="All",F2161=sel_Customer),OR(sel_Category="All",G2161=sel_Category),OR(sel_Product="All",H2161=sel_Product)),1,0)</f>
        <v/>
      </c>
    </row>
    <row r="2162">
      <c r="A2162" s="36" t="inlineStr">
        <is>
          <t>01716</t>
        </is>
      </c>
      <c r="B2162" s="44" t="n">
        <v>46315</v>
      </c>
      <c r="C2162" s="36" t="inlineStr">
        <is>
          <t>Southern Europe</t>
        </is>
      </c>
      <c r="D2162" s="36" t="inlineStr">
        <is>
          <t>Spain</t>
        </is>
      </c>
      <c r="E2162" s="36" t="inlineStr">
        <is>
          <t>Retail Partners</t>
        </is>
      </c>
      <c r="F2162" s="36" t="inlineStr">
        <is>
          <t>Returning</t>
        </is>
      </c>
      <c r="G2162" s="36" t="inlineStr">
        <is>
          <t>Fitness</t>
        </is>
      </c>
      <c r="H2162" s="36" t="inlineStr">
        <is>
          <t>Recovery Roller</t>
        </is>
      </c>
      <c r="I2162" s="36" t="n">
        <v>5</v>
      </c>
      <c r="J2162" s="39" t="n">
        <v>35.99</v>
      </c>
      <c r="K2162" s="45" t="n">
        <v>0</v>
      </c>
      <c r="L2162" s="39" t="n">
        <v>14.19</v>
      </c>
      <c r="M2162" s="39">
        <f>I2162*J2162*(1-K2162)</f>
        <v/>
      </c>
      <c r="N2162" s="39">
        <f>I2162*L2162</f>
        <v/>
      </c>
      <c r="O2162" s="39">
        <f>M2162-N2162</f>
        <v/>
      </c>
      <c r="P2162" s="38">
        <f>IF(M2162=0,0,O2162/M2162)</f>
        <v/>
      </c>
      <c r="Q2162" s="36">
        <f>YEAR(B2162)</f>
        <v/>
      </c>
      <c r="R2162" s="36">
        <f>"Q"&amp;ROUNDUP(MONTH(B2162)/3,0)</f>
        <v/>
      </c>
      <c r="S2162" s="36">
        <f>MONTH(B2162)</f>
        <v/>
      </c>
      <c r="T2162" s="36">
        <f>TEXT(B2162,"mmm")</f>
        <v/>
      </c>
      <c r="U2162" s="36">
        <f>IF(AND(OR(sel_Region="All",C2162=sel_Region),OR(sel_Country="All",D2162=sel_Country),OR(sel_Channel="All",E2162=sel_Channel),OR(sel_Customer="All",F2162=sel_Customer),OR(sel_Category="All",G2162=sel_Category),OR(sel_Product="All",H2162=sel_Product),AND(S2162&gt;=m_From,S2162&lt;=m_To)),1,0)</f>
        <v/>
      </c>
      <c r="V2162" s="36">
        <f>IF(AND(OR(sel_Region="All",C2162=sel_Region),OR(sel_Channel="All",E2162=sel_Channel),OR(sel_Customer="All",F2162=sel_Customer),OR(sel_Category="All",G2162=sel_Category),OR(sel_Product="All",H2162=sel_Product),AND(S2162&gt;=m_From,S2162&lt;=m_To)),1,0)</f>
        <v/>
      </c>
      <c r="W2162" s="36">
        <f>IF(AND(OR(sel_Region="All",C2162=sel_Region),OR(sel_Country="All",D2162=sel_Country),OR(sel_Customer="All",F2162=sel_Customer),OR(sel_Category="All",G2162=sel_Category),OR(sel_Product="All",H2162=sel_Product),AND(S2162&gt;=m_From,S2162&lt;=m_To)),1,0)</f>
        <v/>
      </c>
      <c r="X2162" s="36">
        <f>IF(AND(OR(sel_Region="All",C2162=sel_Region),OR(sel_Country="All",D2162=sel_Country),OR(sel_Channel="All",E2162=sel_Channel),OR(sel_Category="All",G2162=sel_Category),OR(sel_Product="All",H2162=sel_Product),AND(S2162&gt;=m_From,S2162&lt;=m_To)),1,0)</f>
        <v/>
      </c>
      <c r="Y2162" s="36">
        <f>IF(AND(OR(sel_Region="All",C2162=sel_Region),OR(sel_Country="All",D2162=sel_Country),OR(sel_Channel="All",E2162=sel_Channel),OR(sel_Customer="All",F2162=sel_Customer),OR(sel_Product="All",H2162=sel_Product),AND(S2162&gt;=m_From,S2162&lt;=m_To)),1,0)</f>
        <v/>
      </c>
      <c r="Z2162" s="36">
        <f>IF(AND(OR(sel_Region="All",C2162=sel_Region),OR(sel_Country="All",D2162=sel_Country),OR(sel_Channel="All",E2162=sel_Channel),OR(sel_Customer="All",F2162=sel_Customer),OR(sel_Category="All",G2162=sel_Category),AND(S2162&gt;=m_From,S2162&lt;=m_To)),1,0)</f>
        <v/>
      </c>
      <c r="AA2162" s="36">
        <f>IF(AND(OR(sel_Region="All",C2162=sel_Region),OR(sel_Country="All",D2162=sel_Country),OR(sel_Channel="All",E2162=sel_Channel),OR(sel_Customer="All",F2162=sel_Customer),OR(sel_Category="All",G2162=sel_Category),OR(sel_Product="All",H2162=sel_Product)),1,0)</f>
        <v/>
      </c>
    </row>
    <row r="2163">
      <c r="A2163" s="36" t="inlineStr">
        <is>
          <t>01759</t>
        </is>
      </c>
      <c r="B2163" s="44" t="n">
        <v>46315</v>
      </c>
      <c r="C2163" s="36" t="inlineStr">
        <is>
          <t>Western Europe</t>
        </is>
      </c>
      <c r="D2163" s="36" t="inlineStr">
        <is>
          <t>United Kingdom</t>
        </is>
      </c>
      <c r="E2163" s="36" t="inlineStr">
        <is>
          <t>Online Store</t>
        </is>
      </c>
      <c r="F2163" s="36" t="inlineStr">
        <is>
          <t>Returning</t>
        </is>
      </c>
      <c r="G2163" s="36" t="inlineStr">
        <is>
          <t>Fitness</t>
        </is>
      </c>
      <c r="H2163" s="36" t="inlineStr">
        <is>
          <t>Recovery Roller</t>
        </is>
      </c>
      <c r="I2163" s="36" t="n">
        <v>2</v>
      </c>
      <c r="J2163" s="39" t="n">
        <v>36.57</v>
      </c>
      <c r="K2163" s="45" t="n">
        <v>0.1</v>
      </c>
      <c r="L2163" s="39" t="n">
        <v>13.79</v>
      </c>
      <c r="M2163" s="39">
        <f>I2163*J2163*(1-K2163)</f>
        <v/>
      </c>
      <c r="N2163" s="39">
        <f>I2163*L2163</f>
        <v/>
      </c>
      <c r="O2163" s="39">
        <f>M2163-N2163</f>
        <v/>
      </c>
      <c r="P2163" s="38">
        <f>IF(M2163=0,0,O2163/M2163)</f>
        <v/>
      </c>
      <c r="Q2163" s="36">
        <f>YEAR(B2163)</f>
        <v/>
      </c>
      <c r="R2163" s="36">
        <f>"Q"&amp;ROUNDUP(MONTH(B2163)/3,0)</f>
        <v/>
      </c>
      <c r="S2163" s="36">
        <f>MONTH(B2163)</f>
        <v/>
      </c>
      <c r="T2163" s="36">
        <f>TEXT(B2163,"mmm")</f>
        <v/>
      </c>
      <c r="U2163" s="36">
        <f>IF(AND(OR(sel_Region="All",C2163=sel_Region),OR(sel_Country="All",D2163=sel_Country),OR(sel_Channel="All",E2163=sel_Channel),OR(sel_Customer="All",F2163=sel_Customer),OR(sel_Category="All",G2163=sel_Category),OR(sel_Product="All",H2163=sel_Product),AND(S2163&gt;=m_From,S2163&lt;=m_To)),1,0)</f>
        <v/>
      </c>
      <c r="V2163" s="36">
        <f>IF(AND(OR(sel_Region="All",C2163=sel_Region),OR(sel_Channel="All",E2163=sel_Channel),OR(sel_Customer="All",F2163=sel_Customer),OR(sel_Category="All",G2163=sel_Category),OR(sel_Product="All",H2163=sel_Product),AND(S2163&gt;=m_From,S2163&lt;=m_To)),1,0)</f>
        <v/>
      </c>
      <c r="W2163" s="36">
        <f>IF(AND(OR(sel_Region="All",C2163=sel_Region),OR(sel_Country="All",D2163=sel_Country),OR(sel_Customer="All",F2163=sel_Customer),OR(sel_Category="All",G2163=sel_Category),OR(sel_Product="All",H2163=sel_Product),AND(S2163&gt;=m_From,S2163&lt;=m_To)),1,0)</f>
        <v/>
      </c>
      <c r="X2163" s="36">
        <f>IF(AND(OR(sel_Region="All",C2163=sel_Region),OR(sel_Country="All",D2163=sel_Country),OR(sel_Channel="All",E2163=sel_Channel),OR(sel_Category="All",G2163=sel_Category),OR(sel_Product="All",H2163=sel_Product),AND(S2163&gt;=m_From,S2163&lt;=m_To)),1,0)</f>
        <v/>
      </c>
      <c r="Y2163" s="36">
        <f>IF(AND(OR(sel_Region="All",C2163=sel_Region),OR(sel_Country="All",D2163=sel_Country),OR(sel_Channel="All",E2163=sel_Channel),OR(sel_Customer="All",F2163=sel_Customer),OR(sel_Product="All",H2163=sel_Product),AND(S2163&gt;=m_From,S2163&lt;=m_To)),1,0)</f>
        <v/>
      </c>
      <c r="Z2163" s="36">
        <f>IF(AND(OR(sel_Region="All",C2163=sel_Region),OR(sel_Country="All",D2163=sel_Country),OR(sel_Channel="All",E2163=sel_Channel),OR(sel_Customer="All",F2163=sel_Customer),OR(sel_Category="All",G2163=sel_Category),AND(S2163&gt;=m_From,S2163&lt;=m_To)),1,0)</f>
        <v/>
      </c>
      <c r="AA2163" s="36">
        <f>IF(AND(OR(sel_Region="All",C2163=sel_Region),OR(sel_Country="All",D2163=sel_Country),OR(sel_Channel="All",E2163=sel_Channel),OR(sel_Customer="All",F2163=sel_Customer),OR(sel_Category="All",G2163=sel_Category),OR(sel_Product="All",H2163=sel_Product)),1,0)</f>
        <v/>
      </c>
    </row>
    <row r="2164">
      <c r="A2164" s="36" t="inlineStr">
        <is>
          <t>01811</t>
        </is>
      </c>
      <c r="B2164" s="44" t="n">
        <v>46315</v>
      </c>
      <c r="C2164" s="36" t="inlineStr">
        <is>
          <t>Central Europe</t>
        </is>
      </c>
      <c r="D2164" s="36" t="inlineStr">
        <is>
          <t>Austria</t>
        </is>
      </c>
      <c r="E2164" s="36" t="inlineStr">
        <is>
          <t>Online Store</t>
        </is>
      </c>
      <c r="F2164" s="36" t="inlineStr">
        <is>
          <t>New</t>
        </is>
      </c>
      <c r="G2164" s="36" t="inlineStr">
        <is>
          <t>Cycling</t>
        </is>
      </c>
      <c r="H2164" s="36" t="inlineStr">
        <is>
          <t>Compact Repair Kit</t>
        </is>
      </c>
      <c r="I2164" s="36" t="n">
        <v>1</v>
      </c>
      <c r="J2164" s="39" t="n">
        <v>40.99</v>
      </c>
      <c r="K2164" s="45" t="n">
        <v>0.1</v>
      </c>
      <c r="L2164" s="39" t="n">
        <v>17.16</v>
      </c>
      <c r="M2164" s="39">
        <f>I2164*J2164*(1-K2164)</f>
        <v/>
      </c>
      <c r="N2164" s="39">
        <f>I2164*L2164</f>
        <v/>
      </c>
      <c r="O2164" s="39">
        <f>M2164-N2164</f>
        <v/>
      </c>
      <c r="P2164" s="38">
        <f>IF(M2164=0,0,O2164/M2164)</f>
        <v/>
      </c>
      <c r="Q2164" s="36">
        <f>YEAR(B2164)</f>
        <v/>
      </c>
      <c r="R2164" s="36">
        <f>"Q"&amp;ROUNDUP(MONTH(B2164)/3,0)</f>
        <v/>
      </c>
      <c r="S2164" s="36">
        <f>MONTH(B2164)</f>
        <v/>
      </c>
      <c r="T2164" s="36">
        <f>TEXT(B2164,"mmm")</f>
        <v/>
      </c>
      <c r="U2164" s="36">
        <f>IF(AND(OR(sel_Region="All",C2164=sel_Region),OR(sel_Country="All",D2164=sel_Country),OR(sel_Channel="All",E2164=sel_Channel),OR(sel_Customer="All",F2164=sel_Customer),OR(sel_Category="All",G2164=sel_Category),OR(sel_Product="All",H2164=sel_Product),AND(S2164&gt;=m_From,S2164&lt;=m_To)),1,0)</f>
        <v/>
      </c>
      <c r="V2164" s="36">
        <f>IF(AND(OR(sel_Region="All",C2164=sel_Region),OR(sel_Channel="All",E2164=sel_Channel),OR(sel_Customer="All",F2164=sel_Customer),OR(sel_Category="All",G2164=sel_Category),OR(sel_Product="All",H2164=sel_Product),AND(S2164&gt;=m_From,S2164&lt;=m_To)),1,0)</f>
        <v/>
      </c>
      <c r="W2164" s="36">
        <f>IF(AND(OR(sel_Region="All",C2164=sel_Region),OR(sel_Country="All",D2164=sel_Country),OR(sel_Customer="All",F2164=sel_Customer),OR(sel_Category="All",G2164=sel_Category),OR(sel_Product="All",H2164=sel_Product),AND(S2164&gt;=m_From,S2164&lt;=m_To)),1,0)</f>
        <v/>
      </c>
      <c r="X2164" s="36">
        <f>IF(AND(OR(sel_Region="All",C2164=sel_Region),OR(sel_Country="All",D2164=sel_Country),OR(sel_Channel="All",E2164=sel_Channel),OR(sel_Category="All",G2164=sel_Category),OR(sel_Product="All",H2164=sel_Product),AND(S2164&gt;=m_From,S2164&lt;=m_To)),1,0)</f>
        <v/>
      </c>
      <c r="Y2164" s="36">
        <f>IF(AND(OR(sel_Region="All",C2164=sel_Region),OR(sel_Country="All",D2164=sel_Country),OR(sel_Channel="All",E2164=sel_Channel),OR(sel_Customer="All",F2164=sel_Customer),OR(sel_Product="All",H2164=sel_Product),AND(S2164&gt;=m_From,S2164&lt;=m_To)),1,0)</f>
        <v/>
      </c>
      <c r="Z2164" s="36">
        <f>IF(AND(OR(sel_Region="All",C2164=sel_Region),OR(sel_Country="All",D2164=sel_Country),OR(sel_Channel="All",E2164=sel_Channel),OR(sel_Customer="All",F2164=sel_Customer),OR(sel_Category="All",G2164=sel_Category),AND(S2164&gt;=m_From,S2164&lt;=m_To)),1,0)</f>
        <v/>
      </c>
      <c r="AA2164" s="36">
        <f>IF(AND(OR(sel_Region="All",C2164=sel_Region),OR(sel_Country="All",D2164=sel_Country),OR(sel_Channel="All",E2164=sel_Channel),OR(sel_Customer="All",F2164=sel_Customer),OR(sel_Category="All",G2164=sel_Category),OR(sel_Product="All",H2164=sel_Product)),1,0)</f>
        <v/>
      </c>
    </row>
    <row r="2165">
      <c r="A2165" s="36" t="inlineStr">
        <is>
          <t>02918</t>
        </is>
      </c>
      <c r="B2165" s="44" t="n">
        <v>46315</v>
      </c>
      <c r="C2165" s="36" t="inlineStr">
        <is>
          <t>Western Europe</t>
        </is>
      </c>
      <c r="D2165" s="36" t="inlineStr">
        <is>
          <t>United Kingdom</t>
        </is>
      </c>
      <c r="E2165" s="36" t="inlineStr">
        <is>
          <t>Retail Partners</t>
        </is>
      </c>
      <c r="F2165" s="36" t="inlineStr">
        <is>
          <t>Returning</t>
        </is>
      </c>
      <c r="G2165" s="36" t="inlineStr">
        <is>
          <t>Camping</t>
        </is>
      </c>
      <c r="H2165" s="36" t="inlineStr">
        <is>
          <t>Portable Camp Stove</t>
        </is>
      </c>
      <c r="I2165" s="36" t="n">
        <v>3</v>
      </c>
      <c r="J2165" s="39" t="n">
        <v>80.47</v>
      </c>
      <c r="K2165" s="45" t="n">
        <v>0</v>
      </c>
      <c r="L2165" s="39" t="n">
        <v>40.09</v>
      </c>
      <c r="M2165" s="39">
        <f>I2165*J2165*(1-K2165)</f>
        <v/>
      </c>
      <c r="N2165" s="39">
        <f>I2165*L2165</f>
        <v/>
      </c>
      <c r="O2165" s="39">
        <f>M2165-N2165</f>
        <v/>
      </c>
      <c r="P2165" s="38">
        <f>IF(M2165=0,0,O2165/M2165)</f>
        <v/>
      </c>
      <c r="Q2165" s="36">
        <f>YEAR(B2165)</f>
        <v/>
      </c>
      <c r="R2165" s="36">
        <f>"Q"&amp;ROUNDUP(MONTH(B2165)/3,0)</f>
        <v/>
      </c>
      <c r="S2165" s="36">
        <f>MONTH(B2165)</f>
        <v/>
      </c>
      <c r="T2165" s="36">
        <f>TEXT(B2165,"mmm")</f>
        <v/>
      </c>
      <c r="U2165" s="36">
        <f>IF(AND(OR(sel_Region="All",C2165=sel_Region),OR(sel_Country="All",D2165=sel_Country),OR(sel_Channel="All",E2165=sel_Channel),OR(sel_Customer="All",F2165=sel_Customer),OR(sel_Category="All",G2165=sel_Category),OR(sel_Product="All",H2165=sel_Product),AND(S2165&gt;=m_From,S2165&lt;=m_To)),1,0)</f>
        <v/>
      </c>
      <c r="V2165" s="36">
        <f>IF(AND(OR(sel_Region="All",C2165=sel_Region),OR(sel_Channel="All",E2165=sel_Channel),OR(sel_Customer="All",F2165=sel_Customer),OR(sel_Category="All",G2165=sel_Category),OR(sel_Product="All",H2165=sel_Product),AND(S2165&gt;=m_From,S2165&lt;=m_To)),1,0)</f>
        <v/>
      </c>
      <c r="W2165" s="36">
        <f>IF(AND(OR(sel_Region="All",C2165=sel_Region),OR(sel_Country="All",D2165=sel_Country),OR(sel_Customer="All",F2165=sel_Customer),OR(sel_Category="All",G2165=sel_Category),OR(sel_Product="All",H2165=sel_Product),AND(S2165&gt;=m_From,S2165&lt;=m_To)),1,0)</f>
        <v/>
      </c>
      <c r="X2165" s="36">
        <f>IF(AND(OR(sel_Region="All",C2165=sel_Region),OR(sel_Country="All",D2165=sel_Country),OR(sel_Channel="All",E2165=sel_Channel),OR(sel_Category="All",G2165=sel_Category),OR(sel_Product="All",H2165=sel_Product),AND(S2165&gt;=m_From,S2165&lt;=m_To)),1,0)</f>
        <v/>
      </c>
      <c r="Y2165" s="36">
        <f>IF(AND(OR(sel_Region="All",C2165=sel_Region),OR(sel_Country="All",D2165=sel_Country),OR(sel_Channel="All",E2165=sel_Channel),OR(sel_Customer="All",F2165=sel_Customer),OR(sel_Product="All",H2165=sel_Product),AND(S2165&gt;=m_From,S2165&lt;=m_To)),1,0)</f>
        <v/>
      </c>
      <c r="Z2165" s="36">
        <f>IF(AND(OR(sel_Region="All",C2165=sel_Region),OR(sel_Country="All",D2165=sel_Country),OR(sel_Channel="All",E2165=sel_Channel),OR(sel_Customer="All",F2165=sel_Customer),OR(sel_Category="All",G2165=sel_Category),AND(S2165&gt;=m_From,S2165&lt;=m_To)),1,0)</f>
        <v/>
      </c>
      <c r="AA2165" s="36">
        <f>IF(AND(OR(sel_Region="All",C2165=sel_Region),OR(sel_Country="All",D2165=sel_Country),OR(sel_Channel="All",E2165=sel_Channel),OR(sel_Customer="All",F2165=sel_Customer),OR(sel_Category="All",G2165=sel_Category),OR(sel_Product="All",H2165=sel_Product)),1,0)</f>
        <v/>
      </c>
    </row>
    <row r="2166">
      <c r="A2166" s="36" t="inlineStr">
        <is>
          <t>04150</t>
        </is>
      </c>
      <c r="B2166" s="44" t="n">
        <v>46315</v>
      </c>
      <c r="C2166" s="36" t="inlineStr">
        <is>
          <t>Western Europe</t>
        </is>
      </c>
      <c r="D2166" s="36" t="inlineStr">
        <is>
          <t>France</t>
        </is>
      </c>
      <c r="E2166" s="36" t="inlineStr">
        <is>
          <t>Retail Partners</t>
        </is>
      </c>
      <c r="F2166" s="36" t="inlineStr">
        <is>
          <t>Business</t>
        </is>
      </c>
      <c r="G2166" s="36" t="inlineStr">
        <is>
          <t>Hiking</t>
        </is>
      </c>
      <c r="H2166" s="36" t="inlineStr">
        <is>
          <t>Trail Boots</t>
        </is>
      </c>
      <c r="I2166" s="36" t="n">
        <v>5</v>
      </c>
      <c r="J2166" s="39" t="n">
        <v>140.32</v>
      </c>
      <c r="K2166" s="45" t="n">
        <v>0</v>
      </c>
      <c r="L2166" s="39" t="n">
        <v>80.08</v>
      </c>
      <c r="M2166" s="39">
        <f>I2166*J2166*(1-K2166)</f>
        <v/>
      </c>
      <c r="N2166" s="39">
        <f>I2166*L2166</f>
        <v/>
      </c>
      <c r="O2166" s="39">
        <f>M2166-N2166</f>
        <v/>
      </c>
      <c r="P2166" s="38">
        <f>IF(M2166=0,0,O2166/M2166)</f>
        <v/>
      </c>
      <c r="Q2166" s="36">
        <f>YEAR(B2166)</f>
        <v/>
      </c>
      <c r="R2166" s="36">
        <f>"Q"&amp;ROUNDUP(MONTH(B2166)/3,0)</f>
        <v/>
      </c>
      <c r="S2166" s="36">
        <f>MONTH(B2166)</f>
        <v/>
      </c>
      <c r="T2166" s="36">
        <f>TEXT(B2166,"mmm")</f>
        <v/>
      </c>
      <c r="U2166" s="36">
        <f>IF(AND(OR(sel_Region="All",C2166=sel_Region),OR(sel_Country="All",D2166=sel_Country),OR(sel_Channel="All",E2166=sel_Channel),OR(sel_Customer="All",F2166=sel_Customer),OR(sel_Category="All",G2166=sel_Category),OR(sel_Product="All",H2166=sel_Product),AND(S2166&gt;=m_From,S2166&lt;=m_To)),1,0)</f>
        <v/>
      </c>
      <c r="V2166" s="36">
        <f>IF(AND(OR(sel_Region="All",C2166=sel_Region),OR(sel_Channel="All",E2166=sel_Channel),OR(sel_Customer="All",F2166=sel_Customer),OR(sel_Category="All",G2166=sel_Category),OR(sel_Product="All",H2166=sel_Product),AND(S2166&gt;=m_From,S2166&lt;=m_To)),1,0)</f>
        <v/>
      </c>
      <c r="W2166" s="36">
        <f>IF(AND(OR(sel_Region="All",C2166=sel_Region),OR(sel_Country="All",D2166=sel_Country),OR(sel_Customer="All",F2166=sel_Customer),OR(sel_Category="All",G2166=sel_Category),OR(sel_Product="All",H2166=sel_Product),AND(S2166&gt;=m_From,S2166&lt;=m_To)),1,0)</f>
        <v/>
      </c>
      <c r="X2166" s="36">
        <f>IF(AND(OR(sel_Region="All",C2166=sel_Region),OR(sel_Country="All",D2166=sel_Country),OR(sel_Channel="All",E2166=sel_Channel),OR(sel_Category="All",G2166=sel_Category),OR(sel_Product="All",H2166=sel_Product),AND(S2166&gt;=m_From,S2166&lt;=m_To)),1,0)</f>
        <v/>
      </c>
      <c r="Y2166" s="36">
        <f>IF(AND(OR(sel_Region="All",C2166=sel_Region),OR(sel_Country="All",D2166=sel_Country),OR(sel_Channel="All",E2166=sel_Channel),OR(sel_Customer="All",F2166=sel_Customer),OR(sel_Product="All",H2166=sel_Product),AND(S2166&gt;=m_From,S2166&lt;=m_To)),1,0)</f>
        <v/>
      </c>
      <c r="Z2166" s="36">
        <f>IF(AND(OR(sel_Region="All",C2166=sel_Region),OR(sel_Country="All",D2166=sel_Country),OR(sel_Channel="All",E2166=sel_Channel),OR(sel_Customer="All",F2166=sel_Customer),OR(sel_Category="All",G2166=sel_Category),AND(S2166&gt;=m_From,S2166&lt;=m_To)),1,0)</f>
        <v/>
      </c>
      <c r="AA2166" s="36">
        <f>IF(AND(OR(sel_Region="All",C2166=sel_Region),OR(sel_Country="All",D2166=sel_Country),OR(sel_Channel="All",E2166=sel_Channel),OR(sel_Customer="All",F2166=sel_Customer),OR(sel_Category="All",G2166=sel_Category),OR(sel_Product="All",H2166=sel_Product)),1,0)</f>
        <v/>
      </c>
    </row>
    <row r="2167">
      <c r="A2167" s="36" t="inlineStr">
        <is>
          <t>04830</t>
        </is>
      </c>
      <c r="B2167" s="44" t="n">
        <v>46315</v>
      </c>
      <c r="C2167" s="36" t="inlineStr">
        <is>
          <t>Central Europe</t>
        </is>
      </c>
      <c r="D2167" s="36" t="inlineStr">
        <is>
          <t>Switzerland</t>
        </is>
      </c>
      <c r="E2167" s="36" t="inlineStr">
        <is>
          <t>Online Store</t>
        </is>
      </c>
      <c r="F2167" s="36" t="inlineStr">
        <is>
          <t>New</t>
        </is>
      </c>
      <c r="G2167" s="36" t="inlineStr">
        <is>
          <t>Fitness</t>
        </is>
      </c>
      <c r="H2167" s="36" t="inlineStr">
        <is>
          <t>Weighted Vest</t>
        </is>
      </c>
      <c r="I2167" s="36" t="n">
        <v>3</v>
      </c>
      <c r="J2167" s="39" t="n">
        <v>125.93</v>
      </c>
      <c r="K2167" s="45" t="n">
        <v>0.1</v>
      </c>
      <c r="L2167" s="39" t="n">
        <v>68.45</v>
      </c>
      <c r="M2167" s="39">
        <f>I2167*J2167*(1-K2167)</f>
        <v/>
      </c>
      <c r="N2167" s="39">
        <f>I2167*L2167</f>
        <v/>
      </c>
      <c r="O2167" s="39">
        <f>M2167-N2167</f>
        <v/>
      </c>
      <c r="P2167" s="38">
        <f>IF(M2167=0,0,O2167/M2167)</f>
        <v/>
      </c>
      <c r="Q2167" s="36">
        <f>YEAR(B2167)</f>
        <v/>
      </c>
      <c r="R2167" s="36">
        <f>"Q"&amp;ROUNDUP(MONTH(B2167)/3,0)</f>
        <v/>
      </c>
      <c r="S2167" s="36">
        <f>MONTH(B2167)</f>
        <v/>
      </c>
      <c r="T2167" s="36">
        <f>TEXT(B2167,"mmm")</f>
        <v/>
      </c>
      <c r="U2167" s="36">
        <f>IF(AND(OR(sel_Region="All",C2167=sel_Region),OR(sel_Country="All",D2167=sel_Country),OR(sel_Channel="All",E2167=sel_Channel),OR(sel_Customer="All",F2167=sel_Customer),OR(sel_Category="All",G2167=sel_Category),OR(sel_Product="All",H2167=sel_Product),AND(S2167&gt;=m_From,S2167&lt;=m_To)),1,0)</f>
        <v/>
      </c>
      <c r="V2167" s="36">
        <f>IF(AND(OR(sel_Region="All",C2167=sel_Region),OR(sel_Channel="All",E2167=sel_Channel),OR(sel_Customer="All",F2167=sel_Customer),OR(sel_Category="All",G2167=sel_Category),OR(sel_Product="All",H2167=sel_Product),AND(S2167&gt;=m_From,S2167&lt;=m_To)),1,0)</f>
        <v/>
      </c>
      <c r="W2167" s="36">
        <f>IF(AND(OR(sel_Region="All",C2167=sel_Region),OR(sel_Country="All",D2167=sel_Country),OR(sel_Customer="All",F2167=sel_Customer),OR(sel_Category="All",G2167=sel_Category),OR(sel_Product="All",H2167=sel_Product),AND(S2167&gt;=m_From,S2167&lt;=m_To)),1,0)</f>
        <v/>
      </c>
      <c r="X2167" s="36">
        <f>IF(AND(OR(sel_Region="All",C2167=sel_Region),OR(sel_Country="All",D2167=sel_Country),OR(sel_Channel="All",E2167=sel_Channel),OR(sel_Category="All",G2167=sel_Category),OR(sel_Product="All",H2167=sel_Product),AND(S2167&gt;=m_From,S2167&lt;=m_To)),1,0)</f>
        <v/>
      </c>
      <c r="Y2167" s="36">
        <f>IF(AND(OR(sel_Region="All",C2167=sel_Region),OR(sel_Country="All",D2167=sel_Country),OR(sel_Channel="All",E2167=sel_Channel),OR(sel_Customer="All",F2167=sel_Customer),OR(sel_Product="All",H2167=sel_Product),AND(S2167&gt;=m_From,S2167&lt;=m_To)),1,0)</f>
        <v/>
      </c>
      <c r="Z2167" s="36">
        <f>IF(AND(OR(sel_Region="All",C2167=sel_Region),OR(sel_Country="All",D2167=sel_Country),OR(sel_Channel="All",E2167=sel_Channel),OR(sel_Customer="All",F2167=sel_Customer),OR(sel_Category="All",G2167=sel_Category),AND(S2167&gt;=m_From,S2167&lt;=m_To)),1,0)</f>
        <v/>
      </c>
      <c r="AA2167" s="36">
        <f>IF(AND(OR(sel_Region="All",C2167=sel_Region),OR(sel_Country="All",D2167=sel_Country),OR(sel_Channel="All",E2167=sel_Channel),OR(sel_Customer="All",F2167=sel_Customer),OR(sel_Category="All",G2167=sel_Category),OR(sel_Product="All",H2167=sel_Product)),1,0)</f>
        <v/>
      </c>
    </row>
    <row r="2168">
      <c r="A2168" s="36" t="inlineStr">
        <is>
          <t>04698</t>
        </is>
      </c>
      <c r="B2168" s="44" t="n">
        <v>46316</v>
      </c>
      <c r="C2168" s="36" t="inlineStr">
        <is>
          <t>Western Europe</t>
        </is>
      </c>
      <c r="D2168" s="36" t="inlineStr">
        <is>
          <t>United Kingdom</t>
        </is>
      </c>
      <c r="E2168" s="36" t="inlineStr">
        <is>
          <t>Online Store</t>
        </is>
      </c>
      <c r="F2168" s="36" t="inlineStr">
        <is>
          <t>Returning</t>
        </is>
      </c>
      <c r="G2168" s="36" t="inlineStr">
        <is>
          <t>Hiking</t>
        </is>
      </c>
      <c r="H2168" s="36" t="inlineStr">
        <is>
          <t>Trail Boots</t>
        </is>
      </c>
      <c r="I2168" s="36" t="n">
        <v>2</v>
      </c>
      <c r="J2168" s="39" t="n">
        <v>141.4</v>
      </c>
      <c r="K2168" s="45" t="n">
        <v>0.05</v>
      </c>
      <c r="L2168" s="39" t="n">
        <v>77.48</v>
      </c>
      <c r="M2168" s="39">
        <f>I2168*J2168*(1-K2168)</f>
        <v/>
      </c>
      <c r="N2168" s="39">
        <f>I2168*L2168</f>
        <v/>
      </c>
      <c r="O2168" s="39">
        <f>M2168-N2168</f>
        <v/>
      </c>
      <c r="P2168" s="38">
        <f>IF(M2168=0,0,O2168/M2168)</f>
        <v/>
      </c>
      <c r="Q2168" s="36">
        <f>YEAR(B2168)</f>
        <v/>
      </c>
      <c r="R2168" s="36">
        <f>"Q"&amp;ROUNDUP(MONTH(B2168)/3,0)</f>
        <v/>
      </c>
      <c r="S2168" s="36">
        <f>MONTH(B2168)</f>
        <v/>
      </c>
      <c r="T2168" s="36">
        <f>TEXT(B2168,"mmm")</f>
        <v/>
      </c>
      <c r="U2168" s="36">
        <f>IF(AND(OR(sel_Region="All",C2168=sel_Region),OR(sel_Country="All",D2168=sel_Country),OR(sel_Channel="All",E2168=sel_Channel),OR(sel_Customer="All",F2168=sel_Customer),OR(sel_Category="All",G2168=sel_Category),OR(sel_Product="All",H2168=sel_Product),AND(S2168&gt;=m_From,S2168&lt;=m_To)),1,0)</f>
        <v/>
      </c>
      <c r="V2168" s="36">
        <f>IF(AND(OR(sel_Region="All",C2168=sel_Region),OR(sel_Channel="All",E2168=sel_Channel),OR(sel_Customer="All",F2168=sel_Customer),OR(sel_Category="All",G2168=sel_Category),OR(sel_Product="All",H2168=sel_Product),AND(S2168&gt;=m_From,S2168&lt;=m_To)),1,0)</f>
        <v/>
      </c>
      <c r="W2168" s="36">
        <f>IF(AND(OR(sel_Region="All",C2168=sel_Region),OR(sel_Country="All",D2168=sel_Country),OR(sel_Customer="All",F2168=sel_Customer),OR(sel_Category="All",G2168=sel_Category),OR(sel_Product="All",H2168=sel_Product),AND(S2168&gt;=m_From,S2168&lt;=m_To)),1,0)</f>
        <v/>
      </c>
      <c r="X2168" s="36">
        <f>IF(AND(OR(sel_Region="All",C2168=sel_Region),OR(sel_Country="All",D2168=sel_Country),OR(sel_Channel="All",E2168=sel_Channel),OR(sel_Category="All",G2168=sel_Category),OR(sel_Product="All",H2168=sel_Product),AND(S2168&gt;=m_From,S2168&lt;=m_To)),1,0)</f>
        <v/>
      </c>
      <c r="Y2168" s="36">
        <f>IF(AND(OR(sel_Region="All",C2168=sel_Region),OR(sel_Country="All",D2168=sel_Country),OR(sel_Channel="All",E2168=sel_Channel),OR(sel_Customer="All",F2168=sel_Customer),OR(sel_Product="All",H2168=sel_Product),AND(S2168&gt;=m_From,S2168&lt;=m_To)),1,0)</f>
        <v/>
      </c>
      <c r="Z2168" s="36">
        <f>IF(AND(OR(sel_Region="All",C2168=sel_Region),OR(sel_Country="All",D2168=sel_Country),OR(sel_Channel="All",E2168=sel_Channel),OR(sel_Customer="All",F2168=sel_Customer),OR(sel_Category="All",G2168=sel_Category),AND(S2168&gt;=m_From,S2168&lt;=m_To)),1,0)</f>
        <v/>
      </c>
      <c r="AA2168" s="36">
        <f>IF(AND(OR(sel_Region="All",C2168=sel_Region),OR(sel_Country="All",D2168=sel_Country),OR(sel_Channel="All",E2168=sel_Channel),OR(sel_Customer="All",F2168=sel_Customer),OR(sel_Category="All",G2168=sel_Category),OR(sel_Product="All",H2168=sel_Product)),1,0)</f>
        <v/>
      </c>
    </row>
    <row r="2169">
      <c r="A2169" s="36" t="inlineStr">
        <is>
          <t>04846</t>
        </is>
      </c>
      <c r="B2169" s="44" t="n">
        <v>46316</v>
      </c>
      <c r="C2169" s="36" t="inlineStr">
        <is>
          <t>Southern Europe</t>
        </is>
      </c>
      <c r="D2169" s="36" t="inlineStr">
        <is>
          <t>Spain</t>
        </is>
      </c>
      <c r="E2169" s="36" t="inlineStr">
        <is>
          <t>Corporate</t>
        </is>
      </c>
      <c r="F2169" s="36" t="inlineStr">
        <is>
          <t>Business</t>
        </is>
      </c>
      <c r="G2169" s="36" t="inlineStr">
        <is>
          <t>Cycling</t>
        </is>
      </c>
      <c r="H2169" s="36" t="inlineStr">
        <is>
          <t>Trail Bike Light</t>
        </is>
      </c>
      <c r="I2169" s="36" t="n">
        <v>8</v>
      </c>
      <c r="J2169" s="39" t="n">
        <v>51.91</v>
      </c>
      <c r="K2169" s="45" t="n">
        <v>0.05</v>
      </c>
      <c r="L2169" s="39" t="n">
        <v>22.99</v>
      </c>
      <c r="M2169" s="39">
        <f>I2169*J2169*(1-K2169)</f>
        <v/>
      </c>
      <c r="N2169" s="39">
        <f>I2169*L2169</f>
        <v/>
      </c>
      <c r="O2169" s="39">
        <f>M2169-N2169</f>
        <v/>
      </c>
      <c r="P2169" s="38">
        <f>IF(M2169=0,0,O2169/M2169)</f>
        <v/>
      </c>
      <c r="Q2169" s="36">
        <f>YEAR(B2169)</f>
        <v/>
      </c>
      <c r="R2169" s="36">
        <f>"Q"&amp;ROUNDUP(MONTH(B2169)/3,0)</f>
        <v/>
      </c>
      <c r="S2169" s="36">
        <f>MONTH(B2169)</f>
        <v/>
      </c>
      <c r="T2169" s="36">
        <f>TEXT(B2169,"mmm")</f>
        <v/>
      </c>
      <c r="U2169" s="36">
        <f>IF(AND(OR(sel_Region="All",C2169=sel_Region),OR(sel_Country="All",D2169=sel_Country),OR(sel_Channel="All",E2169=sel_Channel),OR(sel_Customer="All",F2169=sel_Customer),OR(sel_Category="All",G2169=sel_Category),OR(sel_Product="All",H2169=sel_Product),AND(S2169&gt;=m_From,S2169&lt;=m_To)),1,0)</f>
        <v/>
      </c>
      <c r="V2169" s="36">
        <f>IF(AND(OR(sel_Region="All",C2169=sel_Region),OR(sel_Channel="All",E2169=sel_Channel),OR(sel_Customer="All",F2169=sel_Customer),OR(sel_Category="All",G2169=sel_Category),OR(sel_Product="All",H2169=sel_Product),AND(S2169&gt;=m_From,S2169&lt;=m_To)),1,0)</f>
        <v/>
      </c>
      <c r="W2169" s="36">
        <f>IF(AND(OR(sel_Region="All",C2169=sel_Region),OR(sel_Country="All",D2169=sel_Country),OR(sel_Customer="All",F2169=sel_Customer),OR(sel_Category="All",G2169=sel_Category),OR(sel_Product="All",H2169=sel_Product),AND(S2169&gt;=m_From,S2169&lt;=m_To)),1,0)</f>
        <v/>
      </c>
      <c r="X2169" s="36">
        <f>IF(AND(OR(sel_Region="All",C2169=sel_Region),OR(sel_Country="All",D2169=sel_Country),OR(sel_Channel="All",E2169=sel_Channel),OR(sel_Category="All",G2169=sel_Category),OR(sel_Product="All",H2169=sel_Product),AND(S2169&gt;=m_From,S2169&lt;=m_To)),1,0)</f>
        <v/>
      </c>
      <c r="Y2169" s="36">
        <f>IF(AND(OR(sel_Region="All",C2169=sel_Region),OR(sel_Country="All",D2169=sel_Country),OR(sel_Channel="All",E2169=sel_Channel),OR(sel_Customer="All",F2169=sel_Customer),OR(sel_Product="All",H2169=sel_Product),AND(S2169&gt;=m_From,S2169&lt;=m_To)),1,0)</f>
        <v/>
      </c>
      <c r="Z2169" s="36">
        <f>IF(AND(OR(sel_Region="All",C2169=sel_Region),OR(sel_Country="All",D2169=sel_Country),OR(sel_Channel="All",E2169=sel_Channel),OR(sel_Customer="All",F2169=sel_Customer),OR(sel_Category="All",G2169=sel_Category),AND(S2169&gt;=m_From,S2169&lt;=m_To)),1,0)</f>
        <v/>
      </c>
      <c r="AA2169" s="36">
        <f>IF(AND(OR(sel_Region="All",C2169=sel_Region),OR(sel_Country="All",D2169=sel_Country),OR(sel_Channel="All",E2169=sel_Channel),OR(sel_Customer="All",F2169=sel_Customer),OR(sel_Category="All",G2169=sel_Category),OR(sel_Product="All",H2169=sel_Product)),1,0)</f>
        <v/>
      </c>
    </row>
    <row r="2170">
      <c r="A2170" s="36" t="inlineStr">
        <is>
          <t>05024</t>
        </is>
      </c>
      <c r="B2170" s="44" t="n">
        <v>46316</v>
      </c>
      <c r="C2170" s="36" t="inlineStr">
        <is>
          <t>Western Europe</t>
        </is>
      </c>
      <c r="D2170" s="36" t="inlineStr">
        <is>
          <t>Netherlands</t>
        </is>
      </c>
      <c r="E2170" s="36" t="inlineStr">
        <is>
          <t>Marketplace</t>
        </is>
      </c>
      <c r="F2170" s="36" t="inlineStr">
        <is>
          <t>Returning</t>
        </is>
      </c>
      <c r="G2170" s="36" t="inlineStr">
        <is>
          <t>Camping</t>
        </is>
      </c>
      <c r="H2170" s="36" t="inlineStr">
        <is>
          <t>Trail Tent 2P</t>
        </is>
      </c>
      <c r="I2170" s="36" t="n">
        <v>1</v>
      </c>
      <c r="J2170" s="39" t="n">
        <v>192.62</v>
      </c>
      <c r="K2170" s="45" t="n">
        <v>0</v>
      </c>
      <c r="L2170" s="39" t="n">
        <v>102.51</v>
      </c>
      <c r="M2170" s="39">
        <f>I2170*J2170*(1-K2170)</f>
        <v/>
      </c>
      <c r="N2170" s="39">
        <f>I2170*L2170</f>
        <v/>
      </c>
      <c r="O2170" s="39">
        <f>M2170-N2170</f>
        <v/>
      </c>
      <c r="P2170" s="38">
        <f>IF(M2170=0,0,O2170/M2170)</f>
        <v/>
      </c>
      <c r="Q2170" s="36">
        <f>YEAR(B2170)</f>
        <v/>
      </c>
      <c r="R2170" s="36">
        <f>"Q"&amp;ROUNDUP(MONTH(B2170)/3,0)</f>
        <v/>
      </c>
      <c r="S2170" s="36">
        <f>MONTH(B2170)</f>
        <v/>
      </c>
      <c r="T2170" s="36">
        <f>TEXT(B2170,"mmm")</f>
        <v/>
      </c>
      <c r="U2170" s="36">
        <f>IF(AND(OR(sel_Region="All",C2170=sel_Region),OR(sel_Country="All",D2170=sel_Country),OR(sel_Channel="All",E2170=sel_Channel),OR(sel_Customer="All",F2170=sel_Customer),OR(sel_Category="All",G2170=sel_Category),OR(sel_Product="All",H2170=sel_Product),AND(S2170&gt;=m_From,S2170&lt;=m_To)),1,0)</f>
        <v/>
      </c>
      <c r="V2170" s="36">
        <f>IF(AND(OR(sel_Region="All",C2170=sel_Region),OR(sel_Channel="All",E2170=sel_Channel),OR(sel_Customer="All",F2170=sel_Customer),OR(sel_Category="All",G2170=sel_Category),OR(sel_Product="All",H2170=sel_Product),AND(S2170&gt;=m_From,S2170&lt;=m_To)),1,0)</f>
        <v/>
      </c>
      <c r="W2170" s="36">
        <f>IF(AND(OR(sel_Region="All",C2170=sel_Region),OR(sel_Country="All",D2170=sel_Country),OR(sel_Customer="All",F2170=sel_Customer),OR(sel_Category="All",G2170=sel_Category),OR(sel_Product="All",H2170=sel_Product),AND(S2170&gt;=m_From,S2170&lt;=m_To)),1,0)</f>
        <v/>
      </c>
      <c r="X2170" s="36">
        <f>IF(AND(OR(sel_Region="All",C2170=sel_Region),OR(sel_Country="All",D2170=sel_Country),OR(sel_Channel="All",E2170=sel_Channel),OR(sel_Category="All",G2170=sel_Category),OR(sel_Product="All",H2170=sel_Product),AND(S2170&gt;=m_From,S2170&lt;=m_To)),1,0)</f>
        <v/>
      </c>
      <c r="Y2170" s="36">
        <f>IF(AND(OR(sel_Region="All",C2170=sel_Region),OR(sel_Country="All",D2170=sel_Country),OR(sel_Channel="All",E2170=sel_Channel),OR(sel_Customer="All",F2170=sel_Customer),OR(sel_Product="All",H2170=sel_Product),AND(S2170&gt;=m_From,S2170&lt;=m_To)),1,0)</f>
        <v/>
      </c>
      <c r="Z2170" s="36">
        <f>IF(AND(OR(sel_Region="All",C2170=sel_Region),OR(sel_Country="All",D2170=sel_Country),OR(sel_Channel="All",E2170=sel_Channel),OR(sel_Customer="All",F2170=sel_Customer),OR(sel_Category="All",G2170=sel_Category),AND(S2170&gt;=m_From,S2170&lt;=m_To)),1,0)</f>
        <v/>
      </c>
      <c r="AA2170" s="36">
        <f>IF(AND(OR(sel_Region="All",C2170=sel_Region),OR(sel_Country="All",D2170=sel_Country),OR(sel_Channel="All",E2170=sel_Channel),OR(sel_Customer="All",F2170=sel_Customer),OR(sel_Category="All",G2170=sel_Category),OR(sel_Product="All",H2170=sel_Product)),1,0)</f>
        <v/>
      </c>
    </row>
    <row r="2171">
      <c r="A2171" s="36" t="inlineStr">
        <is>
          <t>01157</t>
        </is>
      </c>
      <c r="B2171" s="44" t="n">
        <v>46317</v>
      </c>
      <c r="C2171" s="36" t="inlineStr">
        <is>
          <t>Western Europe</t>
        </is>
      </c>
      <c r="D2171" s="36" t="inlineStr">
        <is>
          <t>Belgium</t>
        </is>
      </c>
      <c r="E2171" s="36" t="inlineStr">
        <is>
          <t>Online Store</t>
        </is>
      </c>
      <c r="F2171" s="36" t="inlineStr">
        <is>
          <t>New</t>
        </is>
      </c>
      <c r="G2171" s="36" t="inlineStr">
        <is>
          <t>Cycling</t>
        </is>
      </c>
      <c r="H2171" s="36" t="inlineStr">
        <is>
          <t>Trail Bike Light</t>
        </is>
      </c>
      <c r="I2171" s="36" t="n">
        <v>1</v>
      </c>
      <c r="J2171" s="39" t="n">
        <v>51.25</v>
      </c>
      <c r="K2171" s="45" t="n">
        <v>0</v>
      </c>
      <c r="L2171" s="39" t="n">
        <v>22.58</v>
      </c>
      <c r="M2171" s="39">
        <f>I2171*J2171*(1-K2171)</f>
        <v/>
      </c>
      <c r="N2171" s="39">
        <f>I2171*L2171</f>
        <v/>
      </c>
      <c r="O2171" s="39">
        <f>M2171-N2171</f>
        <v/>
      </c>
      <c r="P2171" s="38">
        <f>IF(M2171=0,0,O2171/M2171)</f>
        <v/>
      </c>
      <c r="Q2171" s="36">
        <f>YEAR(B2171)</f>
        <v/>
      </c>
      <c r="R2171" s="36">
        <f>"Q"&amp;ROUNDUP(MONTH(B2171)/3,0)</f>
        <v/>
      </c>
      <c r="S2171" s="36">
        <f>MONTH(B2171)</f>
        <v/>
      </c>
      <c r="T2171" s="36">
        <f>TEXT(B2171,"mmm")</f>
        <v/>
      </c>
      <c r="U2171" s="36">
        <f>IF(AND(OR(sel_Region="All",C2171=sel_Region),OR(sel_Country="All",D2171=sel_Country),OR(sel_Channel="All",E2171=sel_Channel),OR(sel_Customer="All",F2171=sel_Customer),OR(sel_Category="All",G2171=sel_Category),OR(sel_Product="All",H2171=sel_Product),AND(S2171&gt;=m_From,S2171&lt;=m_To)),1,0)</f>
        <v/>
      </c>
      <c r="V2171" s="36">
        <f>IF(AND(OR(sel_Region="All",C2171=sel_Region),OR(sel_Channel="All",E2171=sel_Channel),OR(sel_Customer="All",F2171=sel_Customer),OR(sel_Category="All",G2171=sel_Category),OR(sel_Product="All",H2171=sel_Product),AND(S2171&gt;=m_From,S2171&lt;=m_To)),1,0)</f>
        <v/>
      </c>
      <c r="W2171" s="36">
        <f>IF(AND(OR(sel_Region="All",C2171=sel_Region),OR(sel_Country="All",D2171=sel_Country),OR(sel_Customer="All",F2171=sel_Customer),OR(sel_Category="All",G2171=sel_Category),OR(sel_Product="All",H2171=sel_Product),AND(S2171&gt;=m_From,S2171&lt;=m_To)),1,0)</f>
        <v/>
      </c>
      <c r="X2171" s="36">
        <f>IF(AND(OR(sel_Region="All",C2171=sel_Region),OR(sel_Country="All",D2171=sel_Country),OR(sel_Channel="All",E2171=sel_Channel),OR(sel_Category="All",G2171=sel_Category),OR(sel_Product="All",H2171=sel_Product),AND(S2171&gt;=m_From,S2171&lt;=m_To)),1,0)</f>
        <v/>
      </c>
      <c r="Y2171" s="36">
        <f>IF(AND(OR(sel_Region="All",C2171=sel_Region),OR(sel_Country="All",D2171=sel_Country),OR(sel_Channel="All",E2171=sel_Channel),OR(sel_Customer="All",F2171=sel_Customer),OR(sel_Product="All",H2171=sel_Product),AND(S2171&gt;=m_From,S2171&lt;=m_To)),1,0)</f>
        <v/>
      </c>
      <c r="Z2171" s="36">
        <f>IF(AND(OR(sel_Region="All",C2171=sel_Region),OR(sel_Country="All",D2171=sel_Country),OR(sel_Channel="All",E2171=sel_Channel),OR(sel_Customer="All",F2171=sel_Customer),OR(sel_Category="All",G2171=sel_Category),AND(S2171&gt;=m_From,S2171&lt;=m_To)),1,0)</f>
        <v/>
      </c>
      <c r="AA2171" s="36">
        <f>IF(AND(OR(sel_Region="All",C2171=sel_Region),OR(sel_Country="All",D2171=sel_Country),OR(sel_Channel="All",E2171=sel_Channel),OR(sel_Customer="All",F2171=sel_Customer),OR(sel_Category="All",G2171=sel_Category),OR(sel_Product="All",H2171=sel_Product)),1,0)</f>
        <v/>
      </c>
    </row>
    <row r="2172">
      <c r="A2172" s="36" t="inlineStr">
        <is>
          <t>01427</t>
        </is>
      </c>
      <c r="B2172" s="44" t="n">
        <v>46317</v>
      </c>
      <c r="C2172" s="36" t="inlineStr">
        <is>
          <t>Western Europe</t>
        </is>
      </c>
      <c r="D2172" s="36" t="inlineStr">
        <is>
          <t>Belgium</t>
        </is>
      </c>
      <c r="E2172" s="36" t="inlineStr">
        <is>
          <t>Retail Partners</t>
        </is>
      </c>
      <c r="F2172" s="36" t="inlineStr">
        <is>
          <t>New</t>
        </is>
      </c>
      <c r="G2172" s="36" t="inlineStr">
        <is>
          <t>Travel</t>
        </is>
      </c>
      <c r="H2172" s="36" t="inlineStr">
        <is>
          <t>Packing Cube Set</t>
        </is>
      </c>
      <c r="I2172" s="36" t="n">
        <v>1</v>
      </c>
      <c r="J2172" s="39" t="n">
        <v>45.97</v>
      </c>
      <c r="K2172" s="45" t="n">
        <v>0.05</v>
      </c>
      <c r="L2172" s="39" t="n">
        <v>18.76</v>
      </c>
      <c r="M2172" s="39">
        <f>I2172*J2172*(1-K2172)</f>
        <v/>
      </c>
      <c r="N2172" s="39">
        <f>I2172*L2172</f>
        <v/>
      </c>
      <c r="O2172" s="39">
        <f>M2172-N2172</f>
        <v/>
      </c>
      <c r="P2172" s="38">
        <f>IF(M2172=0,0,O2172/M2172)</f>
        <v/>
      </c>
      <c r="Q2172" s="36">
        <f>YEAR(B2172)</f>
        <v/>
      </c>
      <c r="R2172" s="36">
        <f>"Q"&amp;ROUNDUP(MONTH(B2172)/3,0)</f>
        <v/>
      </c>
      <c r="S2172" s="36">
        <f>MONTH(B2172)</f>
        <v/>
      </c>
      <c r="T2172" s="36">
        <f>TEXT(B2172,"mmm")</f>
        <v/>
      </c>
      <c r="U2172" s="36">
        <f>IF(AND(OR(sel_Region="All",C2172=sel_Region),OR(sel_Country="All",D2172=sel_Country),OR(sel_Channel="All",E2172=sel_Channel),OR(sel_Customer="All",F2172=sel_Customer),OR(sel_Category="All",G2172=sel_Category),OR(sel_Product="All",H2172=sel_Product),AND(S2172&gt;=m_From,S2172&lt;=m_To)),1,0)</f>
        <v/>
      </c>
      <c r="V2172" s="36">
        <f>IF(AND(OR(sel_Region="All",C2172=sel_Region),OR(sel_Channel="All",E2172=sel_Channel),OR(sel_Customer="All",F2172=sel_Customer),OR(sel_Category="All",G2172=sel_Category),OR(sel_Product="All",H2172=sel_Product),AND(S2172&gt;=m_From,S2172&lt;=m_To)),1,0)</f>
        <v/>
      </c>
      <c r="W2172" s="36">
        <f>IF(AND(OR(sel_Region="All",C2172=sel_Region),OR(sel_Country="All",D2172=sel_Country),OR(sel_Customer="All",F2172=sel_Customer),OR(sel_Category="All",G2172=sel_Category),OR(sel_Product="All",H2172=sel_Product),AND(S2172&gt;=m_From,S2172&lt;=m_To)),1,0)</f>
        <v/>
      </c>
      <c r="X2172" s="36">
        <f>IF(AND(OR(sel_Region="All",C2172=sel_Region),OR(sel_Country="All",D2172=sel_Country),OR(sel_Channel="All",E2172=sel_Channel),OR(sel_Category="All",G2172=sel_Category),OR(sel_Product="All",H2172=sel_Product),AND(S2172&gt;=m_From,S2172&lt;=m_To)),1,0)</f>
        <v/>
      </c>
      <c r="Y2172" s="36">
        <f>IF(AND(OR(sel_Region="All",C2172=sel_Region),OR(sel_Country="All",D2172=sel_Country),OR(sel_Channel="All",E2172=sel_Channel),OR(sel_Customer="All",F2172=sel_Customer),OR(sel_Product="All",H2172=sel_Product),AND(S2172&gt;=m_From,S2172&lt;=m_To)),1,0)</f>
        <v/>
      </c>
      <c r="Z2172" s="36">
        <f>IF(AND(OR(sel_Region="All",C2172=sel_Region),OR(sel_Country="All",D2172=sel_Country),OR(sel_Channel="All",E2172=sel_Channel),OR(sel_Customer="All",F2172=sel_Customer),OR(sel_Category="All",G2172=sel_Category),AND(S2172&gt;=m_From,S2172&lt;=m_To)),1,0)</f>
        <v/>
      </c>
      <c r="AA2172" s="36">
        <f>IF(AND(OR(sel_Region="All",C2172=sel_Region),OR(sel_Country="All",D2172=sel_Country),OR(sel_Channel="All",E2172=sel_Channel),OR(sel_Customer="All",F2172=sel_Customer),OR(sel_Category="All",G2172=sel_Category),OR(sel_Product="All",H2172=sel_Product)),1,0)</f>
        <v/>
      </c>
    </row>
    <row r="2173">
      <c r="A2173" s="36" t="inlineStr">
        <is>
          <t>01622</t>
        </is>
      </c>
      <c r="B2173" s="44" t="n">
        <v>46317</v>
      </c>
      <c r="C2173" s="36" t="inlineStr">
        <is>
          <t>Northern Europe</t>
        </is>
      </c>
      <c r="D2173" s="36" t="inlineStr">
        <is>
          <t>Sweden</t>
        </is>
      </c>
      <c r="E2173" s="36" t="inlineStr">
        <is>
          <t>Marketplace</t>
        </is>
      </c>
      <c r="F2173" s="36" t="inlineStr">
        <is>
          <t>Returning</t>
        </is>
      </c>
      <c r="G2173" s="36" t="inlineStr">
        <is>
          <t>Camping</t>
        </is>
      </c>
      <c r="H2173" s="36" t="inlineStr">
        <is>
          <t>Compact Sleeping Bag</t>
        </is>
      </c>
      <c r="I2173" s="36" t="n">
        <v>1</v>
      </c>
      <c r="J2173" s="39" t="n">
        <v>123.29</v>
      </c>
      <c r="K2173" s="45" t="n">
        <v>0</v>
      </c>
      <c r="L2173" s="39" t="n">
        <v>59.48</v>
      </c>
      <c r="M2173" s="39">
        <f>I2173*J2173*(1-K2173)</f>
        <v/>
      </c>
      <c r="N2173" s="39">
        <f>I2173*L2173</f>
        <v/>
      </c>
      <c r="O2173" s="39">
        <f>M2173-N2173</f>
        <v/>
      </c>
      <c r="P2173" s="38">
        <f>IF(M2173=0,0,O2173/M2173)</f>
        <v/>
      </c>
      <c r="Q2173" s="36">
        <f>YEAR(B2173)</f>
        <v/>
      </c>
      <c r="R2173" s="36">
        <f>"Q"&amp;ROUNDUP(MONTH(B2173)/3,0)</f>
        <v/>
      </c>
      <c r="S2173" s="36">
        <f>MONTH(B2173)</f>
        <v/>
      </c>
      <c r="T2173" s="36">
        <f>TEXT(B2173,"mmm")</f>
        <v/>
      </c>
      <c r="U2173" s="36">
        <f>IF(AND(OR(sel_Region="All",C2173=sel_Region),OR(sel_Country="All",D2173=sel_Country),OR(sel_Channel="All",E2173=sel_Channel),OR(sel_Customer="All",F2173=sel_Customer),OR(sel_Category="All",G2173=sel_Category),OR(sel_Product="All",H2173=sel_Product),AND(S2173&gt;=m_From,S2173&lt;=m_To)),1,0)</f>
        <v/>
      </c>
      <c r="V2173" s="36">
        <f>IF(AND(OR(sel_Region="All",C2173=sel_Region),OR(sel_Channel="All",E2173=sel_Channel),OR(sel_Customer="All",F2173=sel_Customer),OR(sel_Category="All",G2173=sel_Category),OR(sel_Product="All",H2173=sel_Product),AND(S2173&gt;=m_From,S2173&lt;=m_To)),1,0)</f>
        <v/>
      </c>
      <c r="W2173" s="36">
        <f>IF(AND(OR(sel_Region="All",C2173=sel_Region),OR(sel_Country="All",D2173=sel_Country),OR(sel_Customer="All",F2173=sel_Customer),OR(sel_Category="All",G2173=sel_Category),OR(sel_Product="All",H2173=sel_Product),AND(S2173&gt;=m_From,S2173&lt;=m_To)),1,0)</f>
        <v/>
      </c>
      <c r="X2173" s="36">
        <f>IF(AND(OR(sel_Region="All",C2173=sel_Region),OR(sel_Country="All",D2173=sel_Country),OR(sel_Channel="All",E2173=sel_Channel),OR(sel_Category="All",G2173=sel_Category),OR(sel_Product="All",H2173=sel_Product),AND(S2173&gt;=m_From,S2173&lt;=m_To)),1,0)</f>
        <v/>
      </c>
      <c r="Y2173" s="36">
        <f>IF(AND(OR(sel_Region="All",C2173=sel_Region),OR(sel_Country="All",D2173=sel_Country),OR(sel_Channel="All",E2173=sel_Channel),OR(sel_Customer="All",F2173=sel_Customer),OR(sel_Product="All",H2173=sel_Product),AND(S2173&gt;=m_From,S2173&lt;=m_To)),1,0)</f>
        <v/>
      </c>
      <c r="Z2173" s="36">
        <f>IF(AND(OR(sel_Region="All",C2173=sel_Region),OR(sel_Country="All",D2173=sel_Country),OR(sel_Channel="All",E2173=sel_Channel),OR(sel_Customer="All",F2173=sel_Customer),OR(sel_Category="All",G2173=sel_Category),AND(S2173&gt;=m_From,S2173&lt;=m_To)),1,0)</f>
        <v/>
      </c>
      <c r="AA2173" s="36">
        <f>IF(AND(OR(sel_Region="All",C2173=sel_Region),OR(sel_Country="All",D2173=sel_Country),OR(sel_Channel="All",E2173=sel_Channel),OR(sel_Customer="All",F2173=sel_Customer),OR(sel_Category="All",G2173=sel_Category),OR(sel_Product="All",H2173=sel_Product)),1,0)</f>
        <v/>
      </c>
    </row>
    <row r="2174">
      <c r="A2174" s="36" t="inlineStr">
        <is>
          <t>01879</t>
        </is>
      </c>
      <c r="B2174" s="44" t="n">
        <v>46317</v>
      </c>
      <c r="C2174" s="36" t="inlineStr">
        <is>
          <t>Western Europe</t>
        </is>
      </c>
      <c r="D2174" s="36" t="inlineStr">
        <is>
          <t>United Kingdom</t>
        </is>
      </c>
      <c r="E2174" s="36" t="inlineStr">
        <is>
          <t>Corporate</t>
        </is>
      </c>
      <c r="F2174" s="36" t="inlineStr">
        <is>
          <t>Business</t>
        </is>
      </c>
      <c r="G2174" s="36" t="inlineStr">
        <is>
          <t>Travel</t>
        </is>
      </c>
      <c r="H2174" s="36" t="inlineStr">
        <is>
          <t>Insulated Bottle</t>
        </is>
      </c>
      <c r="I2174" s="36" t="n">
        <v>8</v>
      </c>
      <c r="J2174" s="39" t="n">
        <v>35.83</v>
      </c>
      <c r="K2174" s="45" t="n">
        <v>0.05</v>
      </c>
      <c r="L2174" s="39" t="n">
        <v>13.89</v>
      </c>
      <c r="M2174" s="39">
        <f>I2174*J2174*(1-K2174)</f>
        <v/>
      </c>
      <c r="N2174" s="39">
        <f>I2174*L2174</f>
        <v/>
      </c>
      <c r="O2174" s="39">
        <f>M2174-N2174</f>
        <v/>
      </c>
      <c r="P2174" s="38">
        <f>IF(M2174=0,0,O2174/M2174)</f>
        <v/>
      </c>
      <c r="Q2174" s="36">
        <f>YEAR(B2174)</f>
        <v/>
      </c>
      <c r="R2174" s="36">
        <f>"Q"&amp;ROUNDUP(MONTH(B2174)/3,0)</f>
        <v/>
      </c>
      <c r="S2174" s="36">
        <f>MONTH(B2174)</f>
        <v/>
      </c>
      <c r="T2174" s="36">
        <f>TEXT(B2174,"mmm")</f>
        <v/>
      </c>
      <c r="U2174" s="36">
        <f>IF(AND(OR(sel_Region="All",C2174=sel_Region),OR(sel_Country="All",D2174=sel_Country),OR(sel_Channel="All",E2174=sel_Channel),OR(sel_Customer="All",F2174=sel_Customer),OR(sel_Category="All",G2174=sel_Category),OR(sel_Product="All",H2174=sel_Product),AND(S2174&gt;=m_From,S2174&lt;=m_To)),1,0)</f>
        <v/>
      </c>
      <c r="V2174" s="36">
        <f>IF(AND(OR(sel_Region="All",C2174=sel_Region),OR(sel_Channel="All",E2174=sel_Channel),OR(sel_Customer="All",F2174=sel_Customer),OR(sel_Category="All",G2174=sel_Category),OR(sel_Product="All",H2174=sel_Product),AND(S2174&gt;=m_From,S2174&lt;=m_To)),1,0)</f>
        <v/>
      </c>
      <c r="W2174" s="36">
        <f>IF(AND(OR(sel_Region="All",C2174=sel_Region),OR(sel_Country="All",D2174=sel_Country),OR(sel_Customer="All",F2174=sel_Customer),OR(sel_Category="All",G2174=sel_Category),OR(sel_Product="All",H2174=sel_Product),AND(S2174&gt;=m_From,S2174&lt;=m_To)),1,0)</f>
        <v/>
      </c>
      <c r="X2174" s="36">
        <f>IF(AND(OR(sel_Region="All",C2174=sel_Region),OR(sel_Country="All",D2174=sel_Country),OR(sel_Channel="All",E2174=sel_Channel),OR(sel_Category="All",G2174=sel_Category),OR(sel_Product="All",H2174=sel_Product),AND(S2174&gt;=m_From,S2174&lt;=m_To)),1,0)</f>
        <v/>
      </c>
      <c r="Y2174" s="36">
        <f>IF(AND(OR(sel_Region="All",C2174=sel_Region),OR(sel_Country="All",D2174=sel_Country),OR(sel_Channel="All",E2174=sel_Channel),OR(sel_Customer="All",F2174=sel_Customer),OR(sel_Product="All",H2174=sel_Product),AND(S2174&gt;=m_From,S2174&lt;=m_To)),1,0)</f>
        <v/>
      </c>
      <c r="Z2174" s="36">
        <f>IF(AND(OR(sel_Region="All",C2174=sel_Region),OR(sel_Country="All",D2174=sel_Country),OR(sel_Channel="All",E2174=sel_Channel),OR(sel_Customer="All",F2174=sel_Customer),OR(sel_Category="All",G2174=sel_Category),AND(S2174&gt;=m_From,S2174&lt;=m_To)),1,0)</f>
        <v/>
      </c>
      <c r="AA2174" s="36">
        <f>IF(AND(OR(sel_Region="All",C2174=sel_Region),OR(sel_Country="All",D2174=sel_Country),OR(sel_Channel="All",E2174=sel_Channel),OR(sel_Customer="All",F2174=sel_Customer),OR(sel_Category="All",G2174=sel_Category),OR(sel_Product="All",H2174=sel_Product)),1,0)</f>
        <v/>
      </c>
    </row>
    <row r="2175">
      <c r="A2175" s="36" t="inlineStr">
        <is>
          <t>02483</t>
        </is>
      </c>
      <c r="B2175" s="44" t="n">
        <v>46317</v>
      </c>
      <c r="C2175" s="36" t="inlineStr">
        <is>
          <t>Southern Europe</t>
        </is>
      </c>
      <c r="D2175" s="36" t="inlineStr">
        <is>
          <t>Spain</t>
        </is>
      </c>
      <c r="E2175" s="36" t="inlineStr">
        <is>
          <t>Online Store</t>
        </is>
      </c>
      <c r="F2175" s="36" t="inlineStr">
        <is>
          <t>New</t>
        </is>
      </c>
      <c r="G2175" s="36" t="inlineStr">
        <is>
          <t>Camping</t>
        </is>
      </c>
      <c r="H2175" s="36" t="inlineStr">
        <is>
          <t>Portable Camp Stove</t>
        </is>
      </c>
      <c r="I2175" s="36" t="n">
        <v>1</v>
      </c>
      <c r="J2175" s="39" t="n">
        <v>80.56</v>
      </c>
      <c r="K2175" s="45" t="n">
        <v>0</v>
      </c>
      <c r="L2175" s="39" t="n">
        <v>39.53</v>
      </c>
      <c r="M2175" s="39">
        <f>I2175*J2175*(1-K2175)</f>
        <v/>
      </c>
      <c r="N2175" s="39">
        <f>I2175*L2175</f>
        <v/>
      </c>
      <c r="O2175" s="39">
        <f>M2175-N2175</f>
        <v/>
      </c>
      <c r="P2175" s="38">
        <f>IF(M2175=0,0,O2175/M2175)</f>
        <v/>
      </c>
      <c r="Q2175" s="36">
        <f>YEAR(B2175)</f>
        <v/>
      </c>
      <c r="R2175" s="36">
        <f>"Q"&amp;ROUNDUP(MONTH(B2175)/3,0)</f>
        <v/>
      </c>
      <c r="S2175" s="36">
        <f>MONTH(B2175)</f>
        <v/>
      </c>
      <c r="T2175" s="36">
        <f>TEXT(B2175,"mmm")</f>
        <v/>
      </c>
      <c r="U2175" s="36">
        <f>IF(AND(OR(sel_Region="All",C2175=sel_Region),OR(sel_Country="All",D2175=sel_Country),OR(sel_Channel="All",E2175=sel_Channel),OR(sel_Customer="All",F2175=sel_Customer),OR(sel_Category="All",G2175=sel_Category),OR(sel_Product="All",H2175=sel_Product),AND(S2175&gt;=m_From,S2175&lt;=m_To)),1,0)</f>
        <v/>
      </c>
      <c r="V2175" s="36">
        <f>IF(AND(OR(sel_Region="All",C2175=sel_Region),OR(sel_Channel="All",E2175=sel_Channel),OR(sel_Customer="All",F2175=sel_Customer),OR(sel_Category="All",G2175=sel_Category),OR(sel_Product="All",H2175=sel_Product),AND(S2175&gt;=m_From,S2175&lt;=m_To)),1,0)</f>
        <v/>
      </c>
      <c r="W2175" s="36">
        <f>IF(AND(OR(sel_Region="All",C2175=sel_Region),OR(sel_Country="All",D2175=sel_Country),OR(sel_Customer="All",F2175=sel_Customer),OR(sel_Category="All",G2175=sel_Category),OR(sel_Product="All",H2175=sel_Product),AND(S2175&gt;=m_From,S2175&lt;=m_To)),1,0)</f>
        <v/>
      </c>
      <c r="X2175" s="36">
        <f>IF(AND(OR(sel_Region="All",C2175=sel_Region),OR(sel_Country="All",D2175=sel_Country),OR(sel_Channel="All",E2175=sel_Channel),OR(sel_Category="All",G2175=sel_Category),OR(sel_Product="All",H2175=sel_Product),AND(S2175&gt;=m_From,S2175&lt;=m_To)),1,0)</f>
        <v/>
      </c>
      <c r="Y2175" s="36">
        <f>IF(AND(OR(sel_Region="All",C2175=sel_Region),OR(sel_Country="All",D2175=sel_Country),OR(sel_Channel="All",E2175=sel_Channel),OR(sel_Customer="All",F2175=sel_Customer),OR(sel_Product="All",H2175=sel_Product),AND(S2175&gt;=m_From,S2175&lt;=m_To)),1,0)</f>
        <v/>
      </c>
      <c r="Z2175" s="36">
        <f>IF(AND(OR(sel_Region="All",C2175=sel_Region),OR(sel_Country="All",D2175=sel_Country),OR(sel_Channel="All",E2175=sel_Channel),OR(sel_Customer="All",F2175=sel_Customer),OR(sel_Category="All",G2175=sel_Category),AND(S2175&gt;=m_From,S2175&lt;=m_To)),1,0)</f>
        <v/>
      </c>
      <c r="AA2175" s="36">
        <f>IF(AND(OR(sel_Region="All",C2175=sel_Region),OR(sel_Country="All",D2175=sel_Country),OR(sel_Channel="All",E2175=sel_Channel),OR(sel_Customer="All",F2175=sel_Customer),OR(sel_Category="All",G2175=sel_Category),OR(sel_Product="All",H2175=sel_Product)),1,0)</f>
        <v/>
      </c>
    </row>
    <row r="2176">
      <c r="A2176" s="36" t="inlineStr">
        <is>
          <t>04451</t>
        </is>
      </c>
      <c r="B2176" s="44" t="n">
        <v>46317</v>
      </c>
      <c r="C2176" s="36" t="inlineStr">
        <is>
          <t>Western Europe</t>
        </is>
      </c>
      <c r="D2176" s="36" t="inlineStr">
        <is>
          <t>Netherlands</t>
        </is>
      </c>
      <c r="E2176" s="36" t="inlineStr">
        <is>
          <t>Online Store</t>
        </is>
      </c>
      <c r="F2176" s="36" t="inlineStr">
        <is>
          <t>New</t>
        </is>
      </c>
      <c r="G2176" s="36" t="inlineStr">
        <is>
          <t>Cycling</t>
        </is>
      </c>
      <c r="H2176" s="36" t="inlineStr">
        <is>
          <t>Compact Repair Kit</t>
        </is>
      </c>
      <c r="I2176" s="36" t="n">
        <v>1</v>
      </c>
      <c r="J2176" s="39" t="n">
        <v>40.47</v>
      </c>
      <c r="K2176" s="45" t="n">
        <v>0.05</v>
      </c>
      <c r="L2176" s="39" t="n">
        <v>16.73</v>
      </c>
      <c r="M2176" s="39">
        <f>I2176*J2176*(1-K2176)</f>
        <v/>
      </c>
      <c r="N2176" s="39">
        <f>I2176*L2176</f>
        <v/>
      </c>
      <c r="O2176" s="39">
        <f>M2176-N2176</f>
        <v/>
      </c>
      <c r="P2176" s="38">
        <f>IF(M2176=0,0,O2176/M2176)</f>
        <v/>
      </c>
      <c r="Q2176" s="36">
        <f>YEAR(B2176)</f>
        <v/>
      </c>
      <c r="R2176" s="36">
        <f>"Q"&amp;ROUNDUP(MONTH(B2176)/3,0)</f>
        <v/>
      </c>
      <c r="S2176" s="36">
        <f>MONTH(B2176)</f>
        <v/>
      </c>
      <c r="T2176" s="36">
        <f>TEXT(B2176,"mmm")</f>
        <v/>
      </c>
      <c r="U2176" s="36">
        <f>IF(AND(OR(sel_Region="All",C2176=sel_Region),OR(sel_Country="All",D2176=sel_Country),OR(sel_Channel="All",E2176=sel_Channel),OR(sel_Customer="All",F2176=sel_Customer),OR(sel_Category="All",G2176=sel_Category),OR(sel_Product="All",H2176=sel_Product),AND(S2176&gt;=m_From,S2176&lt;=m_To)),1,0)</f>
        <v/>
      </c>
      <c r="V2176" s="36">
        <f>IF(AND(OR(sel_Region="All",C2176=sel_Region),OR(sel_Channel="All",E2176=sel_Channel),OR(sel_Customer="All",F2176=sel_Customer),OR(sel_Category="All",G2176=sel_Category),OR(sel_Product="All",H2176=sel_Product),AND(S2176&gt;=m_From,S2176&lt;=m_To)),1,0)</f>
        <v/>
      </c>
      <c r="W2176" s="36">
        <f>IF(AND(OR(sel_Region="All",C2176=sel_Region),OR(sel_Country="All",D2176=sel_Country),OR(sel_Customer="All",F2176=sel_Customer),OR(sel_Category="All",G2176=sel_Category),OR(sel_Product="All",H2176=sel_Product),AND(S2176&gt;=m_From,S2176&lt;=m_To)),1,0)</f>
        <v/>
      </c>
      <c r="X2176" s="36">
        <f>IF(AND(OR(sel_Region="All",C2176=sel_Region),OR(sel_Country="All",D2176=sel_Country),OR(sel_Channel="All",E2176=sel_Channel),OR(sel_Category="All",G2176=sel_Category),OR(sel_Product="All",H2176=sel_Product),AND(S2176&gt;=m_From,S2176&lt;=m_To)),1,0)</f>
        <v/>
      </c>
      <c r="Y2176" s="36">
        <f>IF(AND(OR(sel_Region="All",C2176=sel_Region),OR(sel_Country="All",D2176=sel_Country),OR(sel_Channel="All",E2176=sel_Channel),OR(sel_Customer="All",F2176=sel_Customer),OR(sel_Product="All",H2176=sel_Product),AND(S2176&gt;=m_From,S2176&lt;=m_To)),1,0)</f>
        <v/>
      </c>
      <c r="Z2176" s="36">
        <f>IF(AND(OR(sel_Region="All",C2176=sel_Region),OR(sel_Country="All",D2176=sel_Country),OR(sel_Channel="All",E2176=sel_Channel),OR(sel_Customer="All",F2176=sel_Customer),OR(sel_Category="All",G2176=sel_Category),AND(S2176&gt;=m_From,S2176&lt;=m_To)),1,0)</f>
        <v/>
      </c>
      <c r="AA2176" s="36">
        <f>IF(AND(OR(sel_Region="All",C2176=sel_Region),OR(sel_Country="All",D2176=sel_Country),OR(sel_Channel="All",E2176=sel_Channel),OR(sel_Customer="All",F2176=sel_Customer),OR(sel_Category="All",G2176=sel_Category),OR(sel_Product="All",H2176=sel_Product)),1,0)</f>
        <v/>
      </c>
    </row>
    <row r="2177">
      <c r="A2177" s="36" t="inlineStr">
        <is>
          <t>00093</t>
        </is>
      </c>
      <c r="B2177" s="44" t="n">
        <v>46318</v>
      </c>
      <c r="C2177" s="36" t="inlineStr">
        <is>
          <t>Central Europe</t>
        </is>
      </c>
      <c r="D2177" s="36" t="inlineStr">
        <is>
          <t>Germany</t>
        </is>
      </c>
      <c r="E2177" s="36" t="inlineStr">
        <is>
          <t>Corporate</t>
        </is>
      </c>
      <c r="F2177" s="36" t="inlineStr">
        <is>
          <t>Business</t>
        </is>
      </c>
      <c r="G2177" s="36" t="inlineStr">
        <is>
          <t>Travel</t>
        </is>
      </c>
      <c r="H2177" s="36" t="inlineStr">
        <is>
          <t>Carry-On Duffel</t>
        </is>
      </c>
      <c r="I2177" s="36" t="n">
        <v>15</v>
      </c>
      <c r="J2177" s="39" t="n">
        <v>133.52</v>
      </c>
      <c r="K2177" s="45" t="n">
        <v>0.2</v>
      </c>
      <c r="L2177" s="39" t="n">
        <v>66</v>
      </c>
      <c r="M2177" s="39">
        <f>I2177*J2177*(1-K2177)</f>
        <v/>
      </c>
      <c r="N2177" s="39">
        <f>I2177*L2177</f>
        <v/>
      </c>
      <c r="O2177" s="39">
        <f>M2177-N2177</f>
        <v/>
      </c>
      <c r="P2177" s="38">
        <f>IF(M2177=0,0,O2177/M2177)</f>
        <v/>
      </c>
      <c r="Q2177" s="36">
        <f>YEAR(B2177)</f>
        <v/>
      </c>
      <c r="R2177" s="36">
        <f>"Q"&amp;ROUNDUP(MONTH(B2177)/3,0)</f>
        <v/>
      </c>
      <c r="S2177" s="36">
        <f>MONTH(B2177)</f>
        <v/>
      </c>
      <c r="T2177" s="36">
        <f>TEXT(B2177,"mmm")</f>
        <v/>
      </c>
      <c r="U2177" s="36">
        <f>IF(AND(OR(sel_Region="All",C2177=sel_Region),OR(sel_Country="All",D2177=sel_Country),OR(sel_Channel="All",E2177=sel_Channel),OR(sel_Customer="All",F2177=sel_Customer),OR(sel_Category="All",G2177=sel_Category),OR(sel_Product="All",H2177=sel_Product),AND(S2177&gt;=m_From,S2177&lt;=m_To)),1,0)</f>
        <v/>
      </c>
      <c r="V2177" s="36">
        <f>IF(AND(OR(sel_Region="All",C2177=sel_Region),OR(sel_Channel="All",E2177=sel_Channel),OR(sel_Customer="All",F2177=sel_Customer),OR(sel_Category="All",G2177=sel_Category),OR(sel_Product="All",H2177=sel_Product),AND(S2177&gt;=m_From,S2177&lt;=m_To)),1,0)</f>
        <v/>
      </c>
      <c r="W2177" s="36">
        <f>IF(AND(OR(sel_Region="All",C2177=sel_Region),OR(sel_Country="All",D2177=sel_Country),OR(sel_Customer="All",F2177=sel_Customer),OR(sel_Category="All",G2177=sel_Category),OR(sel_Product="All",H2177=sel_Product),AND(S2177&gt;=m_From,S2177&lt;=m_To)),1,0)</f>
        <v/>
      </c>
      <c r="X2177" s="36">
        <f>IF(AND(OR(sel_Region="All",C2177=sel_Region),OR(sel_Country="All",D2177=sel_Country),OR(sel_Channel="All",E2177=sel_Channel),OR(sel_Category="All",G2177=sel_Category),OR(sel_Product="All",H2177=sel_Product),AND(S2177&gt;=m_From,S2177&lt;=m_To)),1,0)</f>
        <v/>
      </c>
      <c r="Y2177" s="36">
        <f>IF(AND(OR(sel_Region="All",C2177=sel_Region),OR(sel_Country="All",D2177=sel_Country),OR(sel_Channel="All",E2177=sel_Channel),OR(sel_Customer="All",F2177=sel_Customer),OR(sel_Product="All",H2177=sel_Product),AND(S2177&gt;=m_From,S2177&lt;=m_To)),1,0)</f>
        <v/>
      </c>
      <c r="Z2177" s="36">
        <f>IF(AND(OR(sel_Region="All",C2177=sel_Region),OR(sel_Country="All",D2177=sel_Country),OR(sel_Channel="All",E2177=sel_Channel),OR(sel_Customer="All",F2177=sel_Customer),OR(sel_Category="All",G2177=sel_Category),AND(S2177&gt;=m_From,S2177&lt;=m_To)),1,0)</f>
        <v/>
      </c>
      <c r="AA2177" s="36">
        <f>IF(AND(OR(sel_Region="All",C2177=sel_Region),OR(sel_Country="All",D2177=sel_Country),OR(sel_Channel="All",E2177=sel_Channel),OR(sel_Customer="All",F2177=sel_Customer),OR(sel_Category="All",G2177=sel_Category),OR(sel_Product="All",H2177=sel_Product)),1,0)</f>
        <v/>
      </c>
    </row>
    <row r="2178">
      <c r="A2178" s="36" t="inlineStr">
        <is>
          <t>00265</t>
        </is>
      </c>
      <c r="B2178" s="44" t="n">
        <v>46318</v>
      </c>
      <c r="C2178" s="36" t="inlineStr">
        <is>
          <t>Central Europe</t>
        </is>
      </c>
      <c r="D2178" s="36" t="inlineStr">
        <is>
          <t>Austria</t>
        </is>
      </c>
      <c r="E2178" s="36" t="inlineStr">
        <is>
          <t>Online Store</t>
        </is>
      </c>
      <c r="F2178" s="36" t="inlineStr">
        <is>
          <t>Returning</t>
        </is>
      </c>
      <c r="G2178" s="36" t="inlineStr">
        <is>
          <t>Cycling</t>
        </is>
      </c>
      <c r="H2178" s="36" t="inlineStr">
        <is>
          <t>Commuter Helmet</t>
        </is>
      </c>
      <c r="I2178" s="36" t="n">
        <v>1</v>
      </c>
      <c r="J2178" s="39" t="n">
        <v>82.28</v>
      </c>
      <c r="K2178" s="45" t="n">
        <v>0</v>
      </c>
      <c r="L2178" s="39" t="n">
        <v>42.08</v>
      </c>
      <c r="M2178" s="39">
        <f>I2178*J2178*(1-K2178)</f>
        <v/>
      </c>
      <c r="N2178" s="39">
        <f>I2178*L2178</f>
        <v/>
      </c>
      <c r="O2178" s="39">
        <f>M2178-N2178</f>
        <v/>
      </c>
      <c r="P2178" s="38">
        <f>IF(M2178=0,0,O2178/M2178)</f>
        <v/>
      </c>
      <c r="Q2178" s="36">
        <f>YEAR(B2178)</f>
        <v/>
      </c>
      <c r="R2178" s="36">
        <f>"Q"&amp;ROUNDUP(MONTH(B2178)/3,0)</f>
        <v/>
      </c>
      <c r="S2178" s="36">
        <f>MONTH(B2178)</f>
        <v/>
      </c>
      <c r="T2178" s="36">
        <f>TEXT(B2178,"mmm")</f>
        <v/>
      </c>
      <c r="U2178" s="36">
        <f>IF(AND(OR(sel_Region="All",C2178=sel_Region),OR(sel_Country="All",D2178=sel_Country),OR(sel_Channel="All",E2178=sel_Channel),OR(sel_Customer="All",F2178=sel_Customer),OR(sel_Category="All",G2178=sel_Category),OR(sel_Product="All",H2178=sel_Product),AND(S2178&gt;=m_From,S2178&lt;=m_To)),1,0)</f>
        <v/>
      </c>
      <c r="V2178" s="36">
        <f>IF(AND(OR(sel_Region="All",C2178=sel_Region),OR(sel_Channel="All",E2178=sel_Channel),OR(sel_Customer="All",F2178=sel_Customer),OR(sel_Category="All",G2178=sel_Category),OR(sel_Product="All",H2178=sel_Product),AND(S2178&gt;=m_From,S2178&lt;=m_To)),1,0)</f>
        <v/>
      </c>
      <c r="W2178" s="36">
        <f>IF(AND(OR(sel_Region="All",C2178=sel_Region),OR(sel_Country="All",D2178=sel_Country),OR(sel_Customer="All",F2178=sel_Customer),OR(sel_Category="All",G2178=sel_Category),OR(sel_Product="All",H2178=sel_Product),AND(S2178&gt;=m_From,S2178&lt;=m_To)),1,0)</f>
        <v/>
      </c>
      <c r="X2178" s="36">
        <f>IF(AND(OR(sel_Region="All",C2178=sel_Region),OR(sel_Country="All",D2178=sel_Country),OR(sel_Channel="All",E2178=sel_Channel),OR(sel_Category="All",G2178=sel_Category),OR(sel_Product="All",H2178=sel_Product),AND(S2178&gt;=m_From,S2178&lt;=m_To)),1,0)</f>
        <v/>
      </c>
      <c r="Y2178" s="36">
        <f>IF(AND(OR(sel_Region="All",C2178=sel_Region),OR(sel_Country="All",D2178=sel_Country),OR(sel_Channel="All",E2178=sel_Channel),OR(sel_Customer="All",F2178=sel_Customer),OR(sel_Product="All",H2178=sel_Product),AND(S2178&gt;=m_From,S2178&lt;=m_To)),1,0)</f>
        <v/>
      </c>
      <c r="Z2178" s="36">
        <f>IF(AND(OR(sel_Region="All",C2178=sel_Region),OR(sel_Country="All",D2178=sel_Country),OR(sel_Channel="All",E2178=sel_Channel),OR(sel_Customer="All",F2178=sel_Customer),OR(sel_Category="All",G2178=sel_Category),AND(S2178&gt;=m_From,S2178&lt;=m_To)),1,0)</f>
        <v/>
      </c>
      <c r="AA2178" s="36">
        <f>IF(AND(OR(sel_Region="All",C2178=sel_Region),OR(sel_Country="All",D2178=sel_Country),OR(sel_Channel="All",E2178=sel_Channel),OR(sel_Customer="All",F2178=sel_Customer),OR(sel_Category="All",G2178=sel_Category),OR(sel_Product="All",H2178=sel_Product)),1,0)</f>
        <v/>
      </c>
    </row>
    <row r="2179">
      <c r="A2179" s="36" t="inlineStr">
        <is>
          <t>00555</t>
        </is>
      </c>
      <c r="B2179" s="44" t="n">
        <v>46318</v>
      </c>
      <c r="C2179" s="36" t="inlineStr">
        <is>
          <t>Central Europe</t>
        </is>
      </c>
      <c r="D2179" s="36" t="inlineStr">
        <is>
          <t>Switzerland</t>
        </is>
      </c>
      <c r="E2179" s="36" t="inlineStr">
        <is>
          <t>Online Store</t>
        </is>
      </c>
      <c r="F2179" s="36" t="inlineStr">
        <is>
          <t>New</t>
        </is>
      </c>
      <c r="G2179" s="36" t="inlineStr">
        <is>
          <t>Travel</t>
        </is>
      </c>
      <c r="H2179" s="36" t="inlineStr">
        <is>
          <t>Insulated Bottle</t>
        </is>
      </c>
      <c r="I2179" s="36" t="n">
        <v>6</v>
      </c>
      <c r="J2179" s="39" t="n">
        <v>35.48</v>
      </c>
      <c r="K2179" s="45" t="n">
        <v>0</v>
      </c>
      <c r="L2179" s="39" t="n">
        <v>13.37</v>
      </c>
      <c r="M2179" s="39">
        <f>I2179*J2179*(1-K2179)</f>
        <v/>
      </c>
      <c r="N2179" s="39">
        <f>I2179*L2179</f>
        <v/>
      </c>
      <c r="O2179" s="39">
        <f>M2179-N2179</f>
        <v/>
      </c>
      <c r="P2179" s="38">
        <f>IF(M2179=0,0,O2179/M2179)</f>
        <v/>
      </c>
      <c r="Q2179" s="36">
        <f>YEAR(B2179)</f>
        <v/>
      </c>
      <c r="R2179" s="36">
        <f>"Q"&amp;ROUNDUP(MONTH(B2179)/3,0)</f>
        <v/>
      </c>
      <c r="S2179" s="36">
        <f>MONTH(B2179)</f>
        <v/>
      </c>
      <c r="T2179" s="36">
        <f>TEXT(B2179,"mmm")</f>
        <v/>
      </c>
      <c r="U2179" s="36">
        <f>IF(AND(OR(sel_Region="All",C2179=sel_Region),OR(sel_Country="All",D2179=sel_Country),OR(sel_Channel="All",E2179=sel_Channel),OR(sel_Customer="All",F2179=sel_Customer),OR(sel_Category="All",G2179=sel_Category),OR(sel_Product="All",H2179=sel_Product),AND(S2179&gt;=m_From,S2179&lt;=m_To)),1,0)</f>
        <v/>
      </c>
      <c r="V2179" s="36">
        <f>IF(AND(OR(sel_Region="All",C2179=sel_Region),OR(sel_Channel="All",E2179=sel_Channel),OR(sel_Customer="All",F2179=sel_Customer),OR(sel_Category="All",G2179=sel_Category),OR(sel_Product="All",H2179=sel_Product),AND(S2179&gt;=m_From,S2179&lt;=m_To)),1,0)</f>
        <v/>
      </c>
      <c r="W2179" s="36">
        <f>IF(AND(OR(sel_Region="All",C2179=sel_Region),OR(sel_Country="All",D2179=sel_Country),OR(sel_Customer="All",F2179=sel_Customer),OR(sel_Category="All",G2179=sel_Category),OR(sel_Product="All",H2179=sel_Product),AND(S2179&gt;=m_From,S2179&lt;=m_To)),1,0)</f>
        <v/>
      </c>
      <c r="X2179" s="36">
        <f>IF(AND(OR(sel_Region="All",C2179=sel_Region),OR(sel_Country="All",D2179=sel_Country),OR(sel_Channel="All",E2179=sel_Channel),OR(sel_Category="All",G2179=sel_Category),OR(sel_Product="All",H2179=sel_Product),AND(S2179&gt;=m_From,S2179&lt;=m_To)),1,0)</f>
        <v/>
      </c>
      <c r="Y2179" s="36">
        <f>IF(AND(OR(sel_Region="All",C2179=sel_Region),OR(sel_Country="All",D2179=sel_Country),OR(sel_Channel="All",E2179=sel_Channel),OR(sel_Customer="All",F2179=sel_Customer),OR(sel_Product="All",H2179=sel_Product),AND(S2179&gt;=m_From,S2179&lt;=m_To)),1,0)</f>
        <v/>
      </c>
      <c r="Z2179" s="36">
        <f>IF(AND(OR(sel_Region="All",C2179=sel_Region),OR(sel_Country="All",D2179=sel_Country),OR(sel_Channel="All",E2179=sel_Channel),OR(sel_Customer="All",F2179=sel_Customer),OR(sel_Category="All",G2179=sel_Category),AND(S2179&gt;=m_From,S2179&lt;=m_To)),1,0)</f>
        <v/>
      </c>
      <c r="AA2179" s="36">
        <f>IF(AND(OR(sel_Region="All",C2179=sel_Region),OR(sel_Country="All",D2179=sel_Country),OR(sel_Channel="All",E2179=sel_Channel),OR(sel_Customer="All",F2179=sel_Customer),OR(sel_Category="All",G2179=sel_Category),OR(sel_Product="All",H2179=sel_Product)),1,0)</f>
        <v/>
      </c>
    </row>
    <row r="2180">
      <c r="A2180" s="36" t="inlineStr">
        <is>
          <t>01993</t>
        </is>
      </c>
      <c r="B2180" s="44" t="n">
        <v>46318</v>
      </c>
      <c r="C2180" s="36" t="inlineStr">
        <is>
          <t>Northern Europe</t>
        </is>
      </c>
      <c r="D2180" s="36" t="inlineStr">
        <is>
          <t>Ireland</t>
        </is>
      </c>
      <c r="E2180" s="36" t="inlineStr">
        <is>
          <t>Retail Partners</t>
        </is>
      </c>
      <c r="F2180" s="36" t="inlineStr">
        <is>
          <t>New</t>
        </is>
      </c>
      <c r="G2180" s="36" t="inlineStr">
        <is>
          <t>Hiking</t>
        </is>
      </c>
      <c r="H2180" s="36" t="inlineStr">
        <is>
          <t>Summit Backpack 45L</t>
        </is>
      </c>
      <c r="I2180" s="36" t="n">
        <v>1</v>
      </c>
      <c r="J2180" s="39" t="n">
        <v>152.38</v>
      </c>
      <c r="K2180" s="45" t="n">
        <v>0.15</v>
      </c>
      <c r="L2180" s="39" t="n">
        <v>78.92</v>
      </c>
      <c r="M2180" s="39">
        <f>I2180*J2180*(1-K2180)</f>
        <v/>
      </c>
      <c r="N2180" s="39">
        <f>I2180*L2180</f>
        <v/>
      </c>
      <c r="O2180" s="39">
        <f>M2180-N2180</f>
        <v/>
      </c>
      <c r="P2180" s="38">
        <f>IF(M2180=0,0,O2180/M2180)</f>
        <v/>
      </c>
      <c r="Q2180" s="36">
        <f>YEAR(B2180)</f>
        <v/>
      </c>
      <c r="R2180" s="36">
        <f>"Q"&amp;ROUNDUP(MONTH(B2180)/3,0)</f>
        <v/>
      </c>
      <c r="S2180" s="36">
        <f>MONTH(B2180)</f>
        <v/>
      </c>
      <c r="T2180" s="36">
        <f>TEXT(B2180,"mmm")</f>
        <v/>
      </c>
      <c r="U2180" s="36">
        <f>IF(AND(OR(sel_Region="All",C2180=sel_Region),OR(sel_Country="All",D2180=sel_Country),OR(sel_Channel="All",E2180=sel_Channel),OR(sel_Customer="All",F2180=sel_Customer),OR(sel_Category="All",G2180=sel_Category),OR(sel_Product="All",H2180=sel_Product),AND(S2180&gt;=m_From,S2180&lt;=m_To)),1,0)</f>
        <v/>
      </c>
      <c r="V2180" s="36">
        <f>IF(AND(OR(sel_Region="All",C2180=sel_Region),OR(sel_Channel="All",E2180=sel_Channel),OR(sel_Customer="All",F2180=sel_Customer),OR(sel_Category="All",G2180=sel_Category),OR(sel_Product="All",H2180=sel_Product),AND(S2180&gt;=m_From,S2180&lt;=m_To)),1,0)</f>
        <v/>
      </c>
      <c r="W2180" s="36">
        <f>IF(AND(OR(sel_Region="All",C2180=sel_Region),OR(sel_Country="All",D2180=sel_Country),OR(sel_Customer="All",F2180=sel_Customer),OR(sel_Category="All",G2180=sel_Category),OR(sel_Product="All",H2180=sel_Product),AND(S2180&gt;=m_From,S2180&lt;=m_To)),1,0)</f>
        <v/>
      </c>
      <c r="X2180" s="36">
        <f>IF(AND(OR(sel_Region="All",C2180=sel_Region),OR(sel_Country="All",D2180=sel_Country),OR(sel_Channel="All",E2180=sel_Channel),OR(sel_Category="All",G2180=sel_Category),OR(sel_Product="All",H2180=sel_Product),AND(S2180&gt;=m_From,S2180&lt;=m_To)),1,0)</f>
        <v/>
      </c>
      <c r="Y2180" s="36">
        <f>IF(AND(OR(sel_Region="All",C2180=sel_Region),OR(sel_Country="All",D2180=sel_Country),OR(sel_Channel="All",E2180=sel_Channel),OR(sel_Customer="All",F2180=sel_Customer),OR(sel_Product="All",H2180=sel_Product),AND(S2180&gt;=m_From,S2180&lt;=m_To)),1,0)</f>
        <v/>
      </c>
      <c r="Z2180" s="36">
        <f>IF(AND(OR(sel_Region="All",C2180=sel_Region),OR(sel_Country="All",D2180=sel_Country),OR(sel_Channel="All",E2180=sel_Channel),OR(sel_Customer="All",F2180=sel_Customer),OR(sel_Category="All",G2180=sel_Category),AND(S2180&gt;=m_From,S2180&lt;=m_To)),1,0)</f>
        <v/>
      </c>
      <c r="AA2180" s="36">
        <f>IF(AND(OR(sel_Region="All",C2180=sel_Region),OR(sel_Country="All",D2180=sel_Country),OR(sel_Channel="All",E2180=sel_Channel),OR(sel_Customer="All",F2180=sel_Customer),OR(sel_Category="All",G2180=sel_Category),OR(sel_Product="All",H2180=sel_Product)),1,0)</f>
        <v/>
      </c>
    </row>
    <row r="2181">
      <c r="A2181" s="36" t="inlineStr">
        <is>
          <t>03116</t>
        </is>
      </c>
      <c r="B2181" s="44" t="n">
        <v>46318</v>
      </c>
      <c r="C2181" s="36" t="inlineStr">
        <is>
          <t>Central Europe</t>
        </is>
      </c>
      <c r="D2181" s="36" t="inlineStr">
        <is>
          <t>Czechia</t>
        </is>
      </c>
      <c r="E2181" s="36" t="inlineStr">
        <is>
          <t>Marketplace</t>
        </is>
      </c>
      <c r="F2181" s="36" t="inlineStr">
        <is>
          <t>New</t>
        </is>
      </c>
      <c r="G2181" s="36" t="inlineStr">
        <is>
          <t>Hiking</t>
        </is>
      </c>
      <c r="H2181" s="36" t="inlineStr">
        <is>
          <t>Hiking Daypack 20L</t>
        </is>
      </c>
      <c r="I2181" s="36" t="n">
        <v>1</v>
      </c>
      <c r="J2181" s="39" t="n">
        <v>93.64</v>
      </c>
      <c r="K2181" s="45" t="n">
        <v>0</v>
      </c>
      <c r="L2181" s="39" t="n">
        <v>44.34</v>
      </c>
      <c r="M2181" s="39">
        <f>I2181*J2181*(1-K2181)</f>
        <v/>
      </c>
      <c r="N2181" s="39">
        <f>I2181*L2181</f>
        <v/>
      </c>
      <c r="O2181" s="39">
        <f>M2181-N2181</f>
        <v/>
      </c>
      <c r="P2181" s="38">
        <f>IF(M2181=0,0,O2181/M2181)</f>
        <v/>
      </c>
      <c r="Q2181" s="36">
        <f>YEAR(B2181)</f>
        <v/>
      </c>
      <c r="R2181" s="36">
        <f>"Q"&amp;ROUNDUP(MONTH(B2181)/3,0)</f>
        <v/>
      </c>
      <c r="S2181" s="36">
        <f>MONTH(B2181)</f>
        <v/>
      </c>
      <c r="T2181" s="36">
        <f>TEXT(B2181,"mmm")</f>
        <v/>
      </c>
      <c r="U2181" s="36">
        <f>IF(AND(OR(sel_Region="All",C2181=sel_Region),OR(sel_Country="All",D2181=sel_Country),OR(sel_Channel="All",E2181=sel_Channel),OR(sel_Customer="All",F2181=sel_Customer),OR(sel_Category="All",G2181=sel_Category),OR(sel_Product="All",H2181=sel_Product),AND(S2181&gt;=m_From,S2181&lt;=m_To)),1,0)</f>
        <v/>
      </c>
      <c r="V2181" s="36">
        <f>IF(AND(OR(sel_Region="All",C2181=sel_Region),OR(sel_Channel="All",E2181=sel_Channel),OR(sel_Customer="All",F2181=sel_Customer),OR(sel_Category="All",G2181=sel_Category),OR(sel_Product="All",H2181=sel_Product),AND(S2181&gt;=m_From,S2181&lt;=m_To)),1,0)</f>
        <v/>
      </c>
      <c r="W2181" s="36">
        <f>IF(AND(OR(sel_Region="All",C2181=sel_Region),OR(sel_Country="All",D2181=sel_Country),OR(sel_Customer="All",F2181=sel_Customer),OR(sel_Category="All",G2181=sel_Category),OR(sel_Product="All",H2181=sel_Product),AND(S2181&gt;=m_From,S2181&lt;=m_To)),1,0)</f>
        <v/>
      </c>
      <c r="X2181" s="36">
        <f>IF(AND(OR(sel_Region="All",C2181=sel_Region),OR(sel_Country="All",D2181=sel_Country),OR(sel_Channel="All",E2181=sel_Channel),OR(sel_Category="All",G2181=sel_Category),OR(sel_Product="All",H2181=sel_Product),AND(S2181&gt;=m_From,S2181&lt;=m_To)),1,0)</f>
        <v/>
      </c>
      <c r="Y2181" s="36">
        <f>IF(AND(OR(sel_Region="All",C2181=sel_Region),OR(sel_Country="All",D2181=sel_Country),OR(sel_Channel="All",E2181=sel_Channel),OR(sel_Customer="All",F2181=sel_Customer),OR(sel_Product="All",H2181=sel_Product),AND(S2181&gt;=m_From,S2181&lt;=m_To)),1,0)</f>
        <v/>
      </c>
      <c r="Z2181" s="36">
        <f>IF(AND(OR(sel_Region="All",C2181=sel_Region),OR(sel_Country="All",D2181=sel_Country),OR(sel_Channel="All",E2181=sel_Channel),OR(sel_Customer="All",F2181=sel_Customer),OR(sel_Category="All",G2181=sel_Category),AND(S2181&gt;=m_From,S2181&lt;=m_To)),1,0)</f>
        <v/>
      </c>
      <c r="AA2181" s="36">
        <f>IF(AND(OR(sel_Region="All",C2181=sel_Region),OR(sel_Country="All",D2181=sel_Country),OR(sel_Channel="All",E2181=sel_Channel),OR(sel_Customer="All",F2181=sel_Customer),OR(sel_Category="All",G2181=sel_Category),OR(sel_Product="All",H2181=sel_Product)),1,0)</f>
        <v/>
      </c>
    </row>
    <row r="2182">
      <c r="A2182" s="36" t="inlineStr">
        <is>
          <t>03631</t>
        </is>
      </c>
      <c r="B2182" s="44" t="n">
        <v>46318</v>
      </c>
      <c r="C2182" s="36" t="inlineStr">
        <is>
          <t>Western Europe</t>
        </is>
      </c>
      <c r="D2182" s="36" t="inlineStr">
        <is>
          <t>Netherlands</t>
        </is>
      </c>
      <c r="E2182" s="36" t="inlineStr">
        <is>
          <t>Retail Partners</t>
        </is>
      </c>
      <c r="F2182" s="36" t="inlineStr">
        <is>
          <t>Returning</t>
        </is>
      </c>
      <c r="G2182" s="36" t="inlineStr">
        <is>
          <t>Fitness</t>
        </is>
      </c>
      <c r="H2182" s="36" t="inlineStr">
        <is>
          <t>Weighted Vest</t>
        </is>
      </c>
      <c r="I2182" s="36" t="n">
        <v>1</v>
      </c>
      <c r="J2182" s="39" t="n">
        <v>123.6</v>
      </c>
      <c r="K2182" s="45" t="n">
        <v>0</v>
      </c>
      <c r="L2182" s="39" t="n">
        <v>67.3</v>
      </c>
      <c r="M2182" s="39">
        <f>I2182*J2182*(1-K2182)</f>
        <v/>
      </c>
      <c r="N2182" s="39">
        <f>I2182*L2182</f>
        <v/>
      </c>
      <c r="O2182" s="39">
        <f>M2182-N2182</f>
        <v/>
      </c>
      <c r="P2182" s="38">
        <f>IF(M2182=0,0,O2182/M2182)</f>
        <v/>
      </c>
      <c r="Q2182" s="36">
        <f>YEAR(B2182)</f>
        <v/>
      </c>
      <c r="R2182" s="36">
        <f>"Q"&amp;ROUNDUP(MONTH(B2182)/3,0)</f>
        <v/>
      </c>
      <c r="S2182" s="36">
        <f>MONTH(B2182)</f>
        <v/>
      </c>
      <c r="T2182" s="36">
        <f>TEXT(B2182,"mmm")</f>
        <v/>
      </c>
      <c r="U2182" s="36">
        <f>IF(AND(OR(sel_Region="All",C2182=sel_Region),OR(sel_Country="All",D2182=sel_Country),OR(sel_Channel="All",E2182=sel_Channel),OR(sel_Customer="All",F2182=sel_Customer),OR(sel_Category="All",G2182=sel_Category),OR(sel_Product="All",H2182=sel_Product),AND(S2182&gt;=m_From,S2182&lt;=m_To)),1,0)</f>
        <v/>
      </c>
      <c r="V2182" s="36">
        <f>IF(AND(OR(sel_Region="All",C2182=sel_Region),OR(sel_Channel="All",E2182=sel_Channel),OR(sel_Customer="All",F2182=sel_Customer),OR(sel_Category="All",G2182=sel_Category),OR(sel_Product="All",H2182=sel_Product),AND(S2182&gt;=m_From,S2182&lt;=m_To)),1,0)</f>
        <v/>
      </c>
      <c r="W2182" s="36">
        <f>IF(AND(OR(sel_Region="All",C2182=sel_Region),OR(sel_Country="All",D2182=sel_Country),OR(sel_Customer="All",F2182=sel_Customer),OR(sel_Category="All",G2182=sel_Category),OR(sel_Product="All",H2182=sel_Product),AND(S2182&gt;=m_From,S2182&lt;=m_To)),1,0)</f>
        <v/>
      </c>
      <c r="X2182" s="36">
        <f>IF(AND(OR(sel_Region="All",C2182=sel_Region),OR(sel_Country="All",D2182=sel_Country),OR(sel_Channel="All",E2182=sel_Channel),OR(sel_Category="All",G2182=sel_Category),OR(sel_Product="All",H2182=sel_Product),AND(S2182&gt;=m_From,S2182&lt;=m_To)),1,0)</f>
        <v/>
      </c>
      <c r="Y2182" s="36">
        <f>IF(AND(OR(sel_Region="All",C2182=sel_Region),OR(sel_Country="All",D2182=sel_Country),OR(sel_Channel="All",E2182=sel_Channel),OR(sel_Customer="All",F2182=sel_Customer),OR(sel_Product="All",H2182=sel_Product),AND(S2182&gt;=m_From,S2182&lt;=m_To)),1,0)</f>
        <v/>
      </c>
      <c r="Z2182" s="36">
        <f>IF(AND(OR(sel_Region="All",C2182=sel_Region),OR(sel_Country="All",D2182=sel_Country),OR(sel_Channel="All",E2182=sel_Channel),OR(sel_Customer="All",F2182=sel_Customer),OR(sel_Category="All",G2182=sel_Category),AND(S2182&gt;=m_From,S2182&lt;=m_To)),1,0)</f>
        <v/>
      </c>
      <c r="AA2182" s="36">
        <f>IF(AND(OR(sel_Region="All",C2182=sel_Region),OR(sel_Country="All",D2182=sel_Country),OR(sel_Channel="All",E2182=sel_Channel),OR(sel_Customer="All",F2182=sel_Customer),OR(sel_Category="All",G2182=sel_Category),OR(sel_Product="All",H2182=sel_Product)),1,0)</f>
        <v/>
      </c>
    </row>
    <row r="2183">
      <c r="A2183" s="36" t="inlineStr">
        <is>
          <t>04216</t>
        </is>
      </c>
      <c r="B2183" s="44" t="n">
        <v>46318</v>
      </c>
      <c r="C2183" s="36" t="inlineStr">
        <is>
          <t>Central Europe</t>
        </is>
      </c>
      <c r="D2183" s="36" t="inlineStr">
        <is>
          <t>Czechia</t>
        </is>
      </c>
      <c r="E2183" s="36" t="inlineStr">
        <is>
          <t>Online Store</t>
        </is>
      </c>
      <c r="F2183" s="36" t="inlineStr">
        <is>
          <t>New</t>
        </is>
      </c>
      <c r="G2183" s="36" t="inlineStr">
        <is>
          <t>Fitness</t>
        </is>
      </c>
      <c r="H2183" s="36" t="inlineStr">
        <is>
          <t>Weighted Vest</t>
        </is>
      </c>
      <c r="I2183" s="36" t="n">
        <v>3</v>
      </c>
      <c r="J2183" s="39" t="n">
        <v>124.6</v>
      </c>
      <c r="K2183" s="45" t="n">
        <v>0.05</v>
      </c>
      <c r="L2183" s="39" t="n">
        <v>69.12</v>
      </c>
      <c r="M2183" s="39">
        <f>I2183*J2183*(1-K2183)</f>
        <v/>
      </c>
      <c r="N2183" s="39">
        <f>I2183*L2183</f>
        <v/>
      </c>
      <c r="O2183" s="39">
        <f>M2183-N2183</f>
        <v/>
      </c>
      <c r="P2183" s="38">
        <f>IF(M2183=0,0,O2183/M2183)</f>
        <v/>
      </c>
      <c r="Q2183" s="36">
        <f>YEAR(B2183)</f>
        <v/>
      </c>
      <c r="R2183" s="36">
        <f>"Q"&amp;ROUNDUP(MONTH(B2183)/3,0)</f>
        <v/>
      </c>
      <c r="S2183" s="36">
        <f>MONTH(B2183)</f>
        <v/>
      </c>
      <c r="T2183" s="36">
        <f>TEXT(B2183,"mmm")</f>
        <v/>
      </c>
      <c r="U2183" s="36">
        <f>IF(AND(OR(sel_Region="All",C2183=sel_Region),OR(sel_Country="All",D2183=sel_Country),OR(sel_Channel="All",E2183=sel_Channel),OR(sel_Customer="All",F2183=sel_Customer),OR(sel_Category="All",G2183=sel_Category),OR(sel_Product="All",H2183=sel_Product),AND(S2183&gt;=m_From,S2183&lt;=m_To)),1,0)</f>
        <v/>
      </c>
      <c r="V2183" s="36">
        <f>IF(AND(OR(sel_Region="All",C2183=sel_Region),OR(sel_Channel="All",E2183=sel_Channel),OR(sel_Customer="All",F2183=sel_Customer),OR(sel_Category="All",G2183=sel_Category),OR(sel_Product="All",H2183=sel_Product),AND(S2183&gt;=m_From,S2183&lt;=m_To)),1,0)</f>
        <v/>
      </c>
      <c r="W2183" s="36">
        <f>IF(AND(OR(sel_Region="All",C2183=sel_Region),OR(sel_Country="All",D2183=sel_Country),OR(sel_Customer="All",F2183=sel_Customer),OR(sel_Category="All",G2183=sel_Category),OR(sel_Product="All",H2183=sel_Product),AND(S2183&gt;=m_From,S2183&lt;=m_To)),1,0)</f>
        <v/>
      </c>
      <c r="X2183" s="36">
        <f>IF(AND(OR(sel_Region="All",C2183=sel_Region),OR(sel_Country="All",D2183=sel_Country),OR(sel_Channel="All",E2183=sel_Channel),OR(sel_Category="All",G2183=sel_Category),OR(sel_Product="All",H2183=sel_Product),AND(S2183&gt;=m_From,S2183&lt;=m_To)),1,0)</f>
        <v/>
      </c>
      <c r="Y2183" s="36">
        <f>IF(AND(OR(sel_Region="All",C2183=sel_Region),OR(sel_Country="All",D2183=sel_Country),OR(sel_Channel="All",E2183=sel_Channel),OR(sel_Customer="All",F2183=sel_Customer),OR(sel_Product="All",H2183=sel_Product),AND(S2183&gt;=m_From,S2183&lt;=m_To)),1,0)</f>
        <v/>
      </c>
      <c r="Z2183" s="36">
        <f>IF(AND(OR(sel_Region="All",C2183=sel_Region),OR(sel_Country="All",D2183=sel_Country),OR(sel_Channel="All",E2183=sel_Channel),OR(sel_Customer="All",F2183=sel_Customer),OR(sel_Category="All",G2183=sel_Category),AND(S2183&gt;=m_From,S2183&lt;=m_To)),1,0)</f>
        <v/>
      </c>
      <c r="AA2183" s="36">
        <f>IF(AND(OR(sel_Region="All",C2183=sel_Region),OR(sel_Country="All",D2183=sel_Country),OR(sel_Channel="All",E2183=sel_Channel),OR(sel_Customer="All",F2183=sel_Customer),OR(sel_Category="All",G2183=sel_Category),OR(sel_Product="All",H2183=sel_Product)),1,0)</f>
        <v/>
      </c>
    </row>
    <row r="2184">
      <c r="A2184" s="36" t="inlineStr">
        <is>
          <t>04956</t>
        </is>
      </c>
      <c r="B2184" s="44" t="n">
        <v>46318</v>
      </c>
      <c r="C2184" s="36" t="inlineStr">
        <is>
          <t>Western Europe</t>
        </is>
      </c>
      <c r="D2184" s="36" t="inlineStr">
        <is>
          <t>France</t>
        </is>
      </c>
      <c r="E2184" s="36" t="inlineStr">
        <is>
          <t>Retail Partners</t>
        </is>
      </c>
      <c r="F2184" s="36" t="inlineStr">
        <is>
          <t>Business</t>
        </is>
      </c>
      <c r="G2184" s="36" t="inlineStr">
        <is>
          <t>Hiking</t>
        </is>
      </c>
      <c r="H2184" s="36" t="inlineStr">
        <is>
          <t>Summit Backpack 45L</t>
        </is>
      </c>
      <c r="I2184" s="36" t="n">
        <v>2</v>
      </c>
      <c r="J2184" s="39" t="n">
        <v>151.66</v>
      </c>
      <c r="K2184" s="45" t="n">
        <v>0</v>
      </c>
      <c r="L2184" s="39" t="n">
        <v>77.17</v>
      </c>
      <c r="M2184" s="39">
        <f>I2184*J2184*(1-K2184)</f>
        <v/>
      </c>
      <c r="N2184" s="39">
        <f>I2184*L2184</f>
        <v/>
      </c>
      <c r="O2184" s="39">
        <f>M2184-N2184</f>
        <v/>
      </c>
      <c r="P2184" s="38">
        <f>IF(M2184=0,0,O2184/M2184)</f>
        <v/>
      </c>
      <c r="Q2184" s="36">
        <f>YEAR(B2184)</f>
        <v/>
      </c>
      <c r="R2184" s="36">
        <f>"Q"&amp;ROUNDUP(MONTH(B2184)/3,0)</f>
        <v/>
      </c>
      <c r="S2184" s="36">
        <f>MONTH(B2184)</f>
        <v/>
      </c>
      <c r="T2184" s="36">
        <f>TEXT(B2184,"mmm")</f>
        <v/>
      </c>
      <c r="U2184" s="36">
        <f>IF(AND(OR(sel_Region="All",C2184=sel_Region),OR(sel_Country="All",D2184=sel_Country),OR(sel_Channel="All",E2184=sel_Channel),OR(sel_Customer="All",F2184=sel_Customer),OR(sel_Category="All",G2184=sel_Category),OR(sel_Product="All",H2184=sel_Product),AND(S2184&gt;=m_From,S2184&lt;=m_To)),1,0)</f>
        <v/>
      </c>
      <c r="V2184" s="36">
        <f>IF(AND(OR(sel_Region="All",C2184=sel_Region),OR(sel_Channel="All",E2184=sel_Channel),OR(sel_Customer="All",F2184=sel_Customer),OR(sel_Category="All",G2184=sel_Category),OR(sel_Product="All",H2184=sel_Product),AND(S2184&gt;=m_From,S2184&lt;=m_To)),1,0)</f>
        <v/>
      </c>
      <c r="W2184" s="36">
        <f>IF(AND(OR(sel_Region="All",C2184=sel_Region),OR(sel_Country="All",D2184=sel_Country),OR(sel_Customer="All",F2184=sel_Customer),OR(sel_Category="All",G2184=sel_Category),OR(sel_Product="All",H2184=sel_Product),AND(S2184&gt;=m_From,S2184&lt;=m_To)),1,0)</f>
        <v/>
      </c>
      <c r="X2184" s="36">
        <f>IF(AND(OR(sel_Region="All",C2184=sel_Region),OR(sel_Country="All",D2184=sel_Country),OR(sel_Channel="All",E2184=sel_Channel),OR(sel_Category="All",G2184=sel_Category),OR(sel_Product="All",H2184=sel_Product),AND(S2184&gt;=m_From,S2184&lt;=m_To)),1,0)</f>
        <v/>
      </c>
      <c r="Y2184" s="36">
        <f>IF(AND(OR(sel_Region="All",C2184=sel_Region),OR(sel_Country="All",D2184=sel_Country),OR(sel_Channel="All",E2184=sel_Channel),OR(sel_Customer="All",F2184=sel_Customer),OR(sel_Product="All",H2184=sel_Product),AND(S2184&gt;=m_From,S2184&lt;=m_To)),1,0)</f>
        <v/>
      </c>
      <c r="Z2184" s="36">
        <f>IF(AND(OR(sel_Region="All",C2184=sel_Region),OR(sel_Country="All",D2184=sel_Country),OR(sel_Channel="All",E2184=sel_Channel),OR(sel_Customer="All",F2184=sel_Customer),OR(sel_Category="All",G2184=sel_Category),AND(S2184&gt;=m_From,S2184&lt;=m_To)),1,0)</f>
        <v/>
      </c>
      <c r="AA2184" s="36">
        <f>IF(AND(OR(sel_Region="All",C2184=sel_Region),OR(sel_Country="All",D2184=sel_Country),OR(sel_Channel="All",E2184=sel_Channel),OR(sel_Customer="All",F2184=sel_Customer),OR(sel_Category="All",G2184=sel_Category),OR(sel_Product="All",H2184=sel_Product)),1,0)</f>
        <v/>
      </c>
    </row>
    <row r="2185">
      <c r="A2185" s="36" t="inlineStr">
        <is>
          <t>00439</t>
        </is>
      </c>
      <c r="B2185" s="44" t="n">
        <v>46319</v>
      </c>
      <c r="C2185" s="36" t="inlineStr">
        <is>
          <t>Northern Europe</t>
        </is>
      </c>
      <c r="D2185" s="36" t="inlineStr">
        <is>
          <t>Denmark</t>
        </is>
      </c>
      <c r="E2185" s="36" t="inlineStr">
        <is>
          <t>Retail Partners</t>
        </is>
      </c>
      <c r="F2185" s="36" t="inlineStr">
        <is>
          <t>New</t>
        </is>
      </c>
      <c r="G2185" s="36" t="inlineStr">
        <is>
          <t>Travel</t>
        </is>
      </c>
      <c r="H2185" s="36" t="inlineStr">
        <is>
          <t>Insulated Bottle</t>
        </is>
      </c>
      <c r="I2185" s="36" t="n">
        <v>1</v>
      </c>
      <c r="J2185" s="39" t="n">
        <v>36.76</v>
      </c>
      <c r="K2185" s="45" t="n">
        <v>0</v>
      </c>
      <c r="L2185" s="39" t="n">
        <v>13.18</v>
      </c>
      <c r="M2185" s="39">
        <f>I2185*J2185*(1-K2185)</f>
        <v/>
      </c>
      <c r="N2185" s="39">
        <f>I2185*L2185</f>
        <v/>
      </c>
      <c r="O2185" s="39">
        <f>M2185-N2185</f>
        <v/>
      </c>
      <c r="P2185" s="38">
        <f>IF(M2185=0,0,O2185/M2185)</f>
        <v/>
      </c>
      <c r="Q2185" s="36">
        <f>YEAR(B2185)</f>
        <v/>
      </c>
      <c r="R2185" s="36">
        <f>"Q"&amp;ROUNDUP(MONTH(B2185)/3,0)</f>
        <v/>
      </c>
      <c r="S2185" s="36">
        <f>MONTH(B2185)</f>
        <v/>
      </c>
      <c r="T2185" s="36">
        <f>TEXT(B2185,"mmm")</f>
        <v/>
      </c>
      <c r="U2185" s="36">
        <f>IF(AND(OR(sel_Region="All",C2185=sel_Region),OR(sel_Country="All",D2185=sel_Country),OR(sel_Channel="All",E2185=sel_Channel),OR(sel_Customer="All",F2185=sel_Customer),OR(sel_Category="All",G2185=sel_Category),OR(sel_Product="All",H2185=sel_Product),AND(S2185&gt;=m_From,S2185&lt;=m_To)),1,0)</f>
        <v/>
      </c>
      <c r="V2185" s="36">
        <f>IF(AND(OR(sel_Region="All",C2185=sel_Region),OR(sel_Channel="All",E2185=sel_Channel),OR(sel_Customer="All",F2185=sel_Customer),OR(sel_Category="All",G2185=sel_Category),OR(sel_Product="All",H2185=sel_Product),AND(S2185&gt;=m_From,S2185&lt;=m_To)),1,0)</f>
        <v/>
      </c>
      <c r="W2185" s="36">
        <f>IF(AND(OR(sel_Region="All",C2185=sel_Region),OR(sel_Country="All",D2185=sel_Country),OR(sel_Customer="All",F2185=sel_Customer),OR(sel_Category="All",G2185=sel_Category),OR(sel_Product="All",H2185=sel_Product),AND(S2185&gt;=m_From,S2185&lt;=m_To)),1,0)</f>
        <v/>
      </c>
      <c r="X2185" s="36">
        <f>IF(AND(OR(sel_Region="All",C2185=sel_Region),OR(sel_Country="All",D2185=sel_Country),OR(sel_Channel="All",E2185=sel_Channel),OR(sel_Category="All",G2185=sel_Category),OR(sel_Product="All",H2185=sel_Product),AND(S2185&gt;=m_From,S2185&lt;=m_To)),1,0)</f>
        <v/>
      </c>
      <c r="Y2185" s="36">
        <f>IF(AND(OR(sel_Region="All",C2185=sel_Region),OR(sel_Country="All",D2185=sel_Country),OR(sel_Channel="All",E2185=sel_Channel),OR(sel_Customer="All",F2185=sel_Customer),OR(sel_Product="All",H2185=sel_Product),AND(S2185&gt;=m_From,S2185&lt;=m_To)),1,0)</f>
        <v/>
      </c>
      <c r="Z2185" s="36">
        <f>IF(AND(OR(sel_Region="All",C2185=sel_Region),OR(sel_Country="All",D2185=sel_Country),OR(sel_Channel="All",E2185=sel_Channel),OR(sel_Customer="All",F2185=sel_Customer),OR(sel_Category="All",G2185=sel_Category),AND(S2185&gt;=m_From,S2185&lt;=m_To)),1,0)</f>
        <v/>
      </c>
      <c r="AA2185" s="36">
        <f>IF(AND(OR(sel_Region="All",C2185=sel_Region),OR(sel_Country="All",D2185=sel_Country),OR(sel_Channel="All",E2185=sel_Channel),OR(sel_Customer="All",F2185=sel_Customer),OR(sel_Category="All",G2185=sel_Category),OR(sel_Product="All",H2185=sel_Product)),1,0)</f>
        <v/>
      </c>
    </row>
    <row r="2186">
      <c r="A2186" s="36" t="inlineStr">
        <is>
          <t>01076</t>
        </is>
      </c>
      <c r="B2186" s="44" t="n">
        <v>46319</v>
      </c>
      <c r="C2186" s="36" t="inlineStr">
        <is>
          <t>Southern Europe</t>
        </is>
      </c>
      <c r="D2186" s="36" t="inlineStr">
        <is>
          <t>Portugal</t>
        </is>
      </c>
      <c r="E2186" s="36" t="inlineStr">
        <is>
          <t>Marketplace</t>
        </is>
      </c>
      <c r="F2186" s="36" t="inlineStr">
        <is>
          <t>Returning</t>
        </is>
      </c>
      <c r="G2186" s="36" t="inlineStr">
        <is>
          <t>Camping</t>
        </is>
      </c>
      <c r="H2186" s="36" t="inlineStr">
        <is>
          <t>Trail Tent 2P</t>
        </is>
      </c>
      <c r="I2186" s="36" t="n">
        <v>1</v>
      </c>
      <c r="J2186" s="39" t="n">
        <v>195.67</v>
      </c>
      <c r="K2186" s="45" t="n">
        <v>0</v>
      </c>
      <c r="L2186" s="39" t="n">
        <v>105.88</v>
      </c>
      <c r="M2186" s="39">
        <f>I2186*J2186*(1-K2186)</f>
        <v/>
      </c>
      <c r="N2186" s="39">
        <f>I2186*L2186</f>
        <v/>
      </c>
      <c r="O2186" s="39">
        <f>M2186-N2186</f>
        <v/>
      </c>
      <c r="P2186" s="38">
        <f>IF(M2186=0,0,O2186/M2186)</f>
        <v/>
      </c>
      <c r="Q2186" s="36">
        <f>YEAR(B2186)</f>
        <v/>
      </c>
      <c r="R2186" s="36">
        <f>"Q"&amp;ROUNDUP(MONTH(B2186)/3,0)</f>
        <v/>
      </c>
      <c r="S2186" s="36">
        <f>MONTH(B2186)</f>
        <v/>
      </c>
      <c r="T2186" s="36">
        <f>TEXT(B2186,"mmm")</f>
        <v/>
      </c>
      <c r="U2186" s="36">
        <f>IF(AND(OR(sel_Region="All",C2186=sel_Region),OR(sel_Country="All",D2186=sel_Country),OR(sel_Channel="All",E2186=sel_Channel),OR(sel_Customer="All",F2186=sel_Customer),OR(sel_Category="All",G2186=sel_Category),OR(sel_Product="All",H2186=sel_Product),AND(S2186&gt;=m_From,S2186&lt;=m_To)),1,0)</f>
        <v/>
      </c>
      <c r="V2186" s="36">
        <f>IF(AND(OR(sel_Region="All",C2186=sel_Region),OR(sel_Channel="All",E2186=sel_Channel),OR(sel_Customer="All",F2186=sel_Customer),OR(sel_Category="All",G2186=sel_Category),OR(sel_Product="All",H2186=sel_Product),AND(S2186&gt;=m_From,S2186&lt;=m_To)),1,0)</f>
        <v/>
      </c>
      <c r="W2186" s="36">
        <f>IF(AND(OR(sel_Region="All",C2186=sel_Region),OR(sel_Country="All",D2186=sel_Country),OR(sel_Customer="All",F2186=sel_Customer),OR(sel_Category="All",G2186=sel_Category),OR(sel_Product="All",H2186=sel_Product),AND(S2186&gt;=m_From,S2186&lt;=m_To)),1,0)</f>
        <v/>
      </c>
      <c r="X2186" s="36">
        <f>IF(AND(OR(sel_Region="All",C2186=sel_Region),OR(sel_Country="All",D2186=sel_Country),OR(sel_Channel="All",E2186=sel_Channel),OR(sel_Category="All",G2186=sel_Category),OR(sel_Product="All",H2186=sel_Product),AND(S2186&gt;=m_From,S2186&lt;=m_To)),1,0)</f>
        <v/>
      </c>
      <c r="Y2186" s="36">
        <f>IF(AND(OR(sel_Region="All",C2186=sel_Region),OR(sel_Country="All",D2186=sel_Country),OR(sel_Channel="All",E2186=sel_Channel),OR(sel_Customer="All",F2186=sel_Customer),OR(sel_Product="All",H2186=sel_Product),AND(S2186&gt;=m_From,S2186&lt;=m_To)),1,0)</f>
        <v/>
      </c>
      <c r="Z2186" s="36">
        <f>IF(AND(OR(sel_Region="All",C2186=sel_Region),OR(sel_Country="All",D2186=sel_Country),OR(sel_Channel="All",E2186=sel_Channel),OR(sel_Customer="All",F2186=sel_Customer),OR(sel_Category="All",G2186=sel_Category),AND(S2186&gt;=m_From,S2186&lt;=m_To)),1,0)</f>
        <v/>
      </c>
      <c r="AA2186" s="36">
        <f>IF(AND(OR(sel_Region="All",C2186=sel_Region),OR(sel_Country="All",D2186=sel_Country),OR(sel_Channel="All",E2186=sel_Channel),OR(sel_Customer="All",F2186=sel_Customer),OR(sel_Category="All",G2186=sel_Category),OR(sel_Product="All",H2186=sel_Product)),1,0)</f>
        <v/>
      </c>
    </row>
    <row r="2187">
      <c r="A2187" s="36" t="inlineStr">
        <is>
          <t>01130</t>
        </is>
      </c>
      <c r="B2187" s="44" t="n">
        <v>46319</v>
      </c>
      <c r="C2187" s="36" t="inlineStr">
        <is>
          <t>Southern Europe</t>
        </is>
      </c>
      <c r="D2187" s="36" t="inlineStr">
        <is>
          <t>Italy</t>
        </is>
      </c>
      <c r="E2187" s="36" t="inlineStr">
        <is>
          <t>Retail Partners</t>
        </is>
      </c>
      <c r="F2187" s="36" t="inlineStr">
        <is>
          <t>Returning</t>
        </is>
      </c>
      <c r="G2187" s="36" t="inlineStr">
        <is>
          <t>Cycling</t>
        </is>
      </c>
      <c r="H2187" s="36" t="inlineStr">
        <is>
          <t>Compact Repair Kit</t>
        </is>
      </c>
      <c r="I2187" s="36" t="n">
        <v>1</v>
      </c>
      <c r="J2187" s="39" t="n">
        <v>40.83</v>
      </c>
      <c r="K2187" s="45" t="n">
        <v>0.1</v>
      </c>
      <c r="L2187" s="39" t="n">
        <v>16.54</v>
      </c>
      <c r="M2187" s="39">
        <f>I2187*J2187*(1-K2187)</f>
        <v/>
      </c>
      <c r="N2187" s="39">
        <f>I2187*L2187</f>
        <v/>
      </c>
      <c r="O2187" s="39">
        <f>M2187-N2187</f>
        <v/>
      </c>
      <c r="P2187" s="38">
        <f>IF(M2187=0,0,O2187/M2187)</f>
        <v/>
      </c>
      <c r="Q2187" s="36">
        <f>YEAR(B2187)</f>
        <v/>
      </c>
      <c r="R2187" s="36">
        <f>"Q"&amp;ROUNDUP(MONTH(B2187)/3,0)</f>
        <v/>
      </c>
      <c r="S2187" s="36">
        <f>MONTH(B2187)</f>
        <v/>
      </c>
      <c r="T2187" s="36">
        <f>TEXT(B2187,"mmm")</f>
        <v/>
      </c>
      <c r="U2187" s="36">
        <f>IF(AND(OR(sel_Region="All",C2187=sel_Region),OR(sel_Country="All",D2187=sel_Country),OR(sel_Channel="All",E2187=sel_Channel),OR(sel_Customer="All",F2187=sel_Customer),OR(sel_Category="All",G2187=sel_Category),OR(sel_Product="All",H2187=sel_Product),AND(S2187&gt;=m_From,S2187&lt;=m_To)),1,0)</f>
        <v/>
      </c>
      <c r="V2187" s="36">
        <f>IF(AND(OR(sel_Region="All",C2187=sel_Region),OR(sel_Channel="All",E2187=sel_Channel),OR(sel_Customer="All",F2187=sel_Customer),OR(sel_Category="All",G2187=sel_Category),OR(sel_Product="All",H2187=sel_Product),AND(S2187&gt;=m_From,S2187&lt;=m_To)),1,0)</f>
        <v/>
      </c>
      <c r="W2187" s="36">
        <f>IF(AND(OR(sel_Region="All",C2187=sel_Region),OR(sel_Country="All",D2187=sel_Country),OR(sel_Customer="All",F2187=sel_Customer),OR(sel_Category="All",G2187=sel_Category),OR(sel_Product="All",H2187=sel_Product),AND(S2187&gt;=m_From,S2187&lt;=m_To)),1,0)</f>
        <v/>
      </c>
      <c r="X2187" s="36">
        <f>IF(AND(OR(sel_Region="All",C2187=sel_Region),OR(sel_Country="All",D2187=sel_Country),OR(sel_Channel="All",E2187=sel_Channel),OR(sel_Category="All",G2187=sel_Category),OR(sel_Product="All",H2187=sel_Product),AND(S2187&gt;=m_From,S2187&lt;=m_To)),1,0)</f>
        <v/>
      </c>
      <c r="Y2187" s="36">
        <f>IF(AND(OR(sel_Region="All",C2187=sel_Region),OR(sel_Country="All",D2187=sel_Country),OR(sel_Channel="All",E2187=sel_Channel),OR(sel_Customer="All",F2187=sel_Customer),OR(sel_Product="All",H2187=sel_Product),AND(S2187&gt;=m_From,S2187&lt;=m_To)),1,0)</f>
        <v/>
      </c>
      <c r="Z2187" s="36">
        <f>IF(AND(OR(sel_Region="All",C2187=sel_Region),OR(sel_Country="All",D2187=sel_Country),OR(sel_Channel="All",E2187=sel_Channel),OR(sel_Customer="All",F2187=sel_Customer),OR(sel_Category="All",G2187=sel_Category),AND(S2187&gt;=m_From,S2187&lt;=m_To)),1,0)</f>
        <v/>
      </c>
      <c r="AA2187" s="36">
        <f>IF(AND(OR(sel_Region="All",C2187=sel_Region),OR(sel_Country="All",D2187=sel_Country),OR(sel_Channel="All",E2187=sel_Channel),OR(sel_Customer="All",F2187=sel_Customer),OR(sel_Category="All",G2187=sel_Category),OR(sel_Product="All",H2187=sel_Product)),1,0)</f>
        <v/>
      </c>
    </row>
    <row r="2188">
      <c r="A2188" s="36" t="inlineStr">
        <is>
          <t>02820</t>
        </is>
      </c>
      <c r="B2188" s="44" t="n">
        <v>46319</v>
      </c>
      <c r="C2188" s="36" t="inlineStr">
        <is>
          <t>Western Europe</t>
        </is>
      </c>
      <c r="D2188" s="36" t="inlineStr">
        <is>
          <t>Netherlands</t>
        </is>
      </c>
      <c r="E2188" s="36" t="inlineStr">
        <is>
          <t>Corporate</t>
        </is>
      </c>
      <c r="F2188" s="36" t="inlineStr">
        <is>
          <t>Business</t>
        </is>
      </c>
      <c r="G2188" s="36" t="inlineStr">
        <is>
          <t>Hiking</t>
        </is>
      </c>
      <c r="H2188" s="36" t="inlineStr">
        <is>
          <t>Trekking Poles</t>
        </is>
      </c>
      <c r="I2188" s="36" t="n">
        <v>6</v>
      </c>
      <c r="J2188" s="39" t="n">
        <v>72.73</v>
      </c>
      <c r="K2188" s="45" t="n">
        <v>0.05</v>
      </c>
      <c r="L2188" s="39" t="n">
        <v>32.7</v>
      </c>
      <c r="M2188" s="39">
        <f>I2188*J2188*(1-K2188)</f>
        <v/>
      </c>
      <c r="N2188" s="39">
        <f>I2188*L2188</f>
        <v/>
      </c>
      <c r="O2188" s="39">
        <f>M2188-N2188</f>
        <v/>
      </c>
      <c r="P2188" s="38">
        <f>IF(M2188=0,0,O2188/M2188)</f>
        <v/>
      </c>
      <c r="Q2188" s="36">
        <f>YEAR(B2188)</f>
        <v/>
      </c>
      <c r="R2188" s="36">
        <f>"Q"&amp;ROUNDUP(MONTH(B2188)/3,0)</f>
        <v/>
      </c>
      <c r="S2188" s="36">
        <f>MONTH(B2188)</f>
        <v/>
      </c>
      <c r="T2188" s="36">
        <f>TEXT(B2188,"mmm")</f>
        <v/>
      </c>
      <c r="U2188" s="36">
        <f>IF(AND(OR(sel_Region="All",C2188=sel_Region),OR(sel_Country="All",D2188=sel_Country),OR(sel_Channel="All",E2188=sel_Channel),OR(sel_Customer="All",F2188=sel_Customer),OR(sel_Category="All",G2188=sel_Category),OR(sel_Product="All",H2188=sel_Product),AND(S2188&gt;=m_From,S2188&lt;=m_To)),1,0)</f>
        <v/>
      </c>
      <c r="V2188" s="36">
        <f>IF(AND(OR(sel_Region="All",C2188=sel_Region),OR(sel_Channel="All",E2188=sel_Channel),OR(sel_Customer="All",F2188=sel_Customer),OR(sel_Category="All",G2188=sel_Category),OR(sel_Product="All",H2188=sel_Product),AND(S2188&gt;=m_From,S2188&lt;=m_To)),1,0)</f>
        <v/>
      </c>
      <c r="W2188" s="36">
        <f>IF(AND(OR(sel_Region="All",C2188=sel_Region),OR(sel_Country="All",D2188=sel_Country),OR(sel_Customer="All",F2188=sel_Customer),OR(sel_Category="All",G2188=sel_Category),OR(sel_Product="All",H2188=sel_Product),AND(S2188&gt;=m_From,S2188&lt;=m_To)),1,0)</f>
        <v/>
      </c>
      <c r="X2188" s="36">
        <f>IF(AND(OR(sel_Region="All",C2188=sel_Region),OR(sel_Country="All",D2188=sel_Country),OR(sel_Channel="All",E2188=sel_Channel),OR(sel_Category="All",G2188=sel_Category),OR(sel_Product="All",H2188=sel_Product),AND(S2188&gt;=m_From,S2188&lt;=m_To)),1,0)</f>
        <v/>
      </c>
      <c r="Y2188" s="36">
        <f>IF(AND(OR(sel_Region="All",C2188=sel_Region),OR(sel_Country="All",D2188=sel_Country),OR(sel_Channel="All",E2188=sel_Channel),OR(sel_Customer="All",F2188=sel_Customer),OR(sel_Product="All",H2188=sel_Product),AND(S2188&gt;=m_From,S2188&lt;=m_To)),1,0)</f>
        <v/>
      </c>
      <c r="Z2188" s="36">
        <f>IF(AND(OR(sel_Region="All",C2188=sel_Region),OR(sel_Country="All",D2188=sel_Country),OR(sel_Channel="All",E2188=sel_Channel),OR(sel_Customer="All",F2188=sel_Customer),OR(sel_Category="All",G2188=sel_Category),AND(S2188&gt;=m_From,S2188&lt;=m_To)),1,0)</f>
        <v/>
      </c>
      <c r="AA2188" s="36">
        <f>IF(AND(OR(sel_Region="All",C2188=sel_Region),OR(sel_Country="All",D2188=sel_Country),OR(sel_Channel="All",E2188=sel_Channel),OR(sel_Customer="All",F2188=sel_Customer),OR(sel_Category="All",G2188=sel_Category),OR(sel_Product="All",H2188=sel_Product)),1,0)</f>
        <v/>
      </c>
    </row>
    <row r="2189">
      <c r="A2189" s="36" t="inlineStr">
        <is>
          <t>04213</t>
        </is>
      </c>
      <c r="B2189" s="44" t="n">
        <v>46319</v>
      </c>
      <c r="C2189" s="36" t="inlineStr">
        <is>
          <t>Central Europe</t>
        </is>
      </c>
      <c r="D2189" s="36" t="inlineStr">
        <is>
          <t>Poland</t>
        </is>
      </c>
      <c r="E2189" s="36" t="inlineStr">
        <is>
          <t>Corporate</t>
        </is>
      </c>
      <c r="F2189" s="36" t="inlineStr">
        <is>
          <t>Business</t>
        </is>
      </c>
      <c r="G2189" s="36" t="inlineStr">
        <is>
          <t>Camping</t>
        </is>
      </c>
      <c r="H2189" s="36" t="inlineStr">
        <is>
          <t>Portable Camp Stove</t>
        </is>
      </c>
      <c r="I2189" s="36" t="n">
        <v>4</v>
      </c>
      <c r="J2189" s="39" t="n">
        <v>81.23</v>
      </c>
      <c r="K2189" s="45" t="n">
        <v>0.1</v>
      </c>
      <c r="L2189" s="39" t="n">
        <v>38.96</v>
      </c>
      <c r="M2189" s="39">
        <f>I2189*J2189*(1-K2189)</f>
        <v/>
      </c>
      <c r="N2189" s="39">
        <f>I2189*L2189</f>
        <v/>
      </c>
      <c r="O2189" s="39">
        <f>M2189-N2189</f>
        <v/>
      </c>
      <c r="P2189" s="38">
        <f>IF(M2189=0,0,O2189/M2189)</f>
        <v/>
      </c>
      <c r="Q2189" s="36">
        <f>YEAR(B2189)</f>
        <v/>
      </c>
      <c r="R2189" s="36">
        <f>"Q"&amp;ROUNDUP(MONTH(B2189)/3,0)</f>
        <v/>
      </c>
      <c r="S2189" s="36">
        <f>MONTH(B2189)</f>
        <v/>
      </c>
      <c r="T2189" s="36">
        <f>TEXT(B2189,"mmm")</f>
        <v/>
      </c>
      <c r="U2189" s="36">
        <f>IF(AND(OR(sel_Region="All",C2189=sel_Region),OR(sel_Country="All",D2189=sel_Country),OR(sel_Channel="All",E2189=sel_Channel),OR(sel_Customer="All",F2189=sel_Customer),OR(sel_Category="All",G2189=sel_Category),OR(sel_Product="All",H2189=sel_Product),AND(S2189&gt;=m_From,S2189&lt;=m_To)),1,0)</f>
        <v/>
      </c>
      <c r="V2189" s="36">
        <f>IF(AND(OR(sel_Region="All",C2189=sel_Region),OR(sel_Channel="All",E2189=sel_Channel),OR(sel_Customer="All",F2189=sel_Customer),OR(sel_Category="All",G2189=sel_Category),OR(sel_Product="All",H2189=sel_Product),AND(S2189&gt;=m_From,S2189&lt;=m_To)),1,0)</f>
        <v/>
      </c>
      <c r="W2189" s="36">
        <f>IF(AND(OR(sel_Region="All",C2189=sel_Region),OR(sel_Country="All",D2189=sel_Country),OR(sel_Customer="All",F2189=sel_Customer),OR(sel_Category="All",G2189=sel_Category),OR(sel_Product="All",H2189=sel_Product),AND(S2189&gt;=m_From,S2189&lt;=m_To)),1,0)</f>
        <v/>
      </c>
      <c r="X2189" s="36">
        <f>IF(AND(OR(sel_Region="All",C2189=sel_Region),OR(sel_Country="All",D2189=sel_Country),OR(sel_Channel="All",E2189=sel_Channel),OR(sel_Category="All",G2189=sel_Category),OR(sel_Product="All",H2189=sel_Product),AND(S2189&gt;=m_From,S2189&lt;=m_To)),1,0)</f>
        <v/>
      </c>
      <c r="Y2189" s="36">
        <f>IF(AND(OR(sel_Region="All",C2189=sel_Region),OR(sel_Country="All",D2189=sel_Country),OR(sel_Channel="All",E2189=sel_Channel),OR(sel_Customer="All",F2189=sel_Customer),OR(sel_Product="All",H2189=sel_Product),AND(S2189&gt;=m_From,S2189&lt;=m_To)),1,0)</f>
        <v/>
      </c>
      <c r="Z2189" s="36">
        <f>IF(AND(OR(sel_Region="All",C2189=sel_Region),OR(sel_Country="All",D2189=sel_Country),OR(sel_Channel="All",E2189=sel_Channel),OR(sel_Customer="All",F2189=sel_Customer),OR(sel_Category="All",G2189=sel_Category),AND(S2189&gt;=m_From,S2189&lt;=m_To)),1,0)</f>
        <v/>
      </c>
      <c r="AA2189" s="36">
        <f>IF(AND(OR(sel_Region="All",C2189=sel_Region),OR(sel_Country="All",D2189=sel_Country),OR(sel_Channel="All",E2189=sel_Channel),OR(sel_Customer="All",F2189=sel_Customer),OR(sel_Category="All",G2189=sel_Category),OR(sel_Product="All",H2189=sel_Product)),1,0)</f>
        <v/>
      </c>
    </row>
    <row r="2190">
      <c r="A2190" s="36" t="inlineStr">
        <is>
          <t>04375</t>
        </is>
      </c>
      <c r="B2190" s="44" t="n">
        <v>46319</v>
      </c>
      <c r="C2190" s="36" t="inlineStr">
        <is>
          <t>Central Europe</t>
        </is>
      </c>
      <c r="D2190" s="36" t="inlineStr">
        <is>
          <t>Czechia</t>
        </is>
      </c>
      <c r="E2190" s="36" t="inlineStr">
        <is>
          <t>Online Store</t>
        </is>
      </c>
      <c r="F2190" s="36" t="inlineStr">
        <is>
          <t>Business</t>
        </is>
      </c>
      <c r="G2190" s="36" t="inlineStr">
        <is>
          <t>Travel</t>
        </is>
      </c>
      <c r="H2190" s="36" t="inlineStr">
        <is>
          <t>Packing Cube Set</t>
        </is>
      </c>
      <c r="I2190" s="36" t="n">
        <v>1</v>
      </c>
      <c r="J2190" s="39" t="n">
        <v>46.38</v>
      </c>
      <c r="K2190" s="45" t="n">
        <v>0.15</v>
      </c>
      <c r="L2190" s="39" t="n">
        <v>17.87</v>
      </c>
      <c r="M2190" s="39">
        <f>I2190*J2190*(1-K2190)</f>
        <v/>
      </c>
      <c r="N2190" s="39">
        <f>I2190*L2190</f>
        <v/>
      </c>
      <c r="O2190" s="39">
        <f>M2190-N2190</f>
        <v/>
      </c>
      <c r="P2190" s="38">
        <f>IF(M2190=0,0,O2190/M2190)</f>
        <v/>
      </c>
      <c r="Q2190" s="36">
        <f>YEAR(B2190)</f>
        <v/>
      </c>
      <c r="R2190" s="36">
        <f>"Q"&amp;ROUNDUP(MONTH(B2190)/3,0)</f>
        <v/>
      </c>
      <c r="S2190" s="36">
        <f>MONTH(B2190)</f>
        <v/>
      </c>
      <c r="T2190" s="36">
        <f>TEXT(B2190,"mmm")</f>
        <v/>
      </c>
      <c r="U2190" s="36">
        <f>IF(AND(OR(sel_Region="All",C2190=sel_Region),OR(sel_Country="All",D2190=sel_Country),OR(sel_Channel="All",E2190=sel_Channel),OR(sel_Customer="All",F2190=sel_Customer),OR(sel_Category="All",G2190=sel_Category),OR(sel_Product="All",H2190=sel_Product),AND(S2190&gt;=m_From,S2190&lt;=m_To)),1,0)</f>
        <v/>
      </c>
      <c r="V2190" s="36">
        <f>IF(AND(OR(sel_Region="All",C2190=sel_Region),OR(sel_Channel="All",E2190=sel_Channel),OR(sel_Customer="All",F2190=sel_Customer),OR(sel_Category="All",G2190=sel_Category),OR(sel_Product="All",H2190=sel_Product),AND(S2190&gt;=m_From,S2190&lt;=m_To)),1,0)</f>
        <v/>
      </c>
      <c r="W2190" s="36">
        <f>IF(AND(OR(sel_Region="All",C2190=sel_Region),OR(sel_Country="All",D2190=sel_Country),OR(sel_Customer="All",F2190=sel_Customer),OR(sel_Category="All",G2190=sel_Category),OR(sel_Product="All",H2190=sel_Product),AND(S2190&gt;=m_From,S2190&lt;=m_To)),1,0)</f>
        <v/>
      </c>
      <c r="X2190" s="36">
        <f>IF(AND(OR(sel_Region="All",C2190=sel_Region),OR(sel_Country="All",D2190=sel_Country),OR(sel_Channel="All",E2190=sel_Channel),OR(sel_Category="All",G2190=sel_Category),OR(sel_Product="All",H2190=sel_Product),AND(S2190&gt;=m_From,S2190&lt;=m_To)),1,0)</f>
        <v/>
      </c>
      <c r="Y2190" s="36">
        <f>IF(AND(OR(sel_Region="All",C2190=sel_Region),OR(sel_Country="All",D2190=sel_Country),OR(sel_Channel="All",E2190=sel_Channel),OR(sel_Customer="All",F2190=sel_Customer),OR(sel_Product="All",H2190=sel_Product),AND(S2190&gt;=m_From,S2190&lt;=m_To)),1,0)</f>
        <v/>
      </c>
      <c r="Z2190" s="36">
        <f>IF(AND(OR(sel_Region="All",C2190=sel_Region),OR(sel_Country="All",D2190=sel_Country),OR(sel_Channel="All",E2190=sel_Channel),OR(sel_Customer="All",F2190=sel_Customer),OR(sel_Category="All",G2190=sel_Category),AND(S2190&gt;=m_From,S2190&lt;=m_To)),1,0)</f>
        <v/>
      </c>
      <c r="AA2190" s="36">
        <f>IF(AND(OR(sel_Region="All",C2190=sel_Region),OR(sel_Country="All",D2190=sel_Country),OR(sel_Channel="All",E2190=sel_Channel),OR(sel_Customer="All",F2190=sel_Customer),OR(sel_Category="All",G2190=sel_Category),OR(sel_Product="All",H2190=sel_Product)),1,0)</f>
        <v/>
      </c>
    </row>
    <row r="2191">
      <c r="A2191" s="36" t="inlineStr">
        <is>
          <t>05072</t>
        </is>
      </c>
      <c r="B2191" s="44" t="n">
        <v>46319</v>
      </c>
      <c r="C2191" s="36" t="inlineStr">
        <is>
          <t>Western Europe</t>
        </is>
      </c>
      <c r="D2191" s="36" t="inlineStr">
        <is>
          <t>Netherlands</t>
        </is>
      </c>
      <c r="E2191" s="36" t="inlineStr">
        <is>
          <t>Corporate</t>
        </is>
      </c>
      <c r="F2191" s="36" t="inlineStr">
        <is>
          <t>Business</t>
        </is>
      </c>
      <c r="G2191" s="36" t="inlineStr">
        <is>
          <t>Travel</t>
        </is>
      </c>
      <c r="H2191" s="36" t="inlineStr">
        <is>
          <t>Packing Cube Set</t>
        </is>
      </c>
      <c r="I2191" s="36" t="n">
        <v>5</v>
      </c>
      <c r="J2191" s="39" t="n">
        <v>45.9</v>
      </c>
      <c r="K2191" s="45" t="n">
        <v>0.1</v>
      </c>
      <c r="L2191" s="39" t="n">
        <v>17.94</v>
      </c>
      <c r="M2191" s="39">
        <f>I2191*J2191*(1-K2191)</f>
        <v/>
      </c>
      <c r="N2191" s="39">
        <f>I2191*L2191</f>
        <v/>
      </c>
      <c r="O2191" s="39">
        <f>M2191-N2191</f>
        <v/>
      </c>
      <c r="P2191" s="38">
        <f>IF(M2191=0,0,O2191/M2191)</f>
        <v/>
      </c>
      <c r="Q2191" s="36">
        <f>YEAR(B2191)</f>
        <v/>
      </c>
      <c r="R2191" s="36">
        <f>"Q"&amp;ROUNDUP(MONTH(B2191)/3,0)</f>
        <v/>
      </c>
      <c r="S2191" s="36">
        <f>MONTH(B2191)</f>
        <v/>
      </c>
      <c r="T2191" s="36">
        <f>TEXT(B2191,"mmm")</f>
        <v/>
      </c>
      <c r="U2191" s="36">
        <f>IF(AND(OR(sel_Region="All",C2191=sel_Region),OR(sel_Country="All",D2191=sel_Country),OR(sel_Channel="All",E2191=sel_Channel),OR(sel_Customer="All",F2191=sel_Customer),OR(sel_Category="All",G2191=sel_Category),OR(sel_Product="All",H2191=sel_Product),AND(S2191&gt;=m_From,S2191&lt;=m_To)),1,0)</f>
        <v/>
      </c>
      <c r="V2191" s="36">
        <f>IF(AND(OR(sel_Region="All",C2191=sel_Region),OR(sel_Channel="All",E2191=sel_Channel),OR(sel_Customer="All",F2191=sel_Customer),OR(sel_Category="All",G2191=sel_Category),OR(sel_Product="All",H2191=sel_Product),AND(S2191&gt;=m_From,S2191&lt;=m_To)),1,0)</f>
        <v/>
      </c>
      <c r="W2191" s="36">
        <f>IF(AND(OR(sel_Region="All",C2191=sel_Region),OR(sel_Country="All",D2191=sel_Country),OR(sel_Customer="All",F2191=sel_Customer),OR(sel_Category="All",G2191=sel_Category),OR(sel_Product="All",H2191=sel_Product),AND(S2191&gt;=m_From,S2191&lt;=m_To)),1,0)</f>
        <v/>
      </c>
      <c r="X2191" s="36">
        <f>IF(AND(OR(sel_Region="All",C2191=sel_Region),OR(sel_Country="All",D2191=sel_Country),OR(sel_Channel="All",E2191=sel_Channel),OR(sel_Category="All",G2191=sel_Category),OR(sel_Product="All",H2191=sel_Product),AND(S2191&gt;=m_From,S2191&lt;=m_To)),1,0)</f>
        <v/>
      </c>
      <c r="Y2191" s="36">
        <f>IF(AND(OR(sel_Region="All",C2191=sel_Region),OR(sel_Country="All",D2191=sel_Country),OR(sel_Channel="All",E2191=sel_Channel),OR(sel_Customer="All",F2191=sel_Customer),OR(sel_Product="All",H2191=sel_Product),AND(S2191&gt;=m_From,S2191&lt;=m_To)),1,0)</f>
        <v/>
      </c>
      <c r="Z2191" s="36">
        <f>IF(AND(OR(sel_Region="All",C2191=sel_Region),OR(sel_Country="All",D2191=sel_Country),OR(sel_Channel="All",E2191=sel_Channel),OR(sel_Customer="All",F2191=sel_Customer),OR(sel_Category="All",G2191=sel_Category),AND(S2191&gt;=m_From,S2191&lt;=m_To)),1,0)</f>
        <v/>
      </c>
      <c r="AA2191" s="36">
        <f>IF(AND(OR(sel_Region="All",C2191=sel_Region),OR(sel_Country="All",D2191=sel_Country),OR(sel_Channel="All",E2191=sel_Channel),OR(sel_Customer="All",F2191=sel_Customer),OR(sel_Category="All",G2191=sel_Category),OR(sel_Product="All",H2191=sel_Product)),1,0)</f>
        <v/>
      </c>
    </row>
    <row r="2192">
      <c r="A2192" s="36" t="inlineStr">
        <is>
          <t>00310</t>
        </is>
      </c>
      <c r="B2192" s="44" t="n">
        <v>46320</v>
      </c>
      <c r="C2192" s="36" t="inlineStr">
        <is>
          <t>Central Europe</t>
        </is>
      </c>
      <c r="D2192" s="36" t="inlineStr">
        <is>
          <t>Germany</t>
        </is>
      </c>
      <c r="E2192" s="36" t="inlineStr">
        <is>
          <t>Online Store</t>
        </is>
      </c>
      <c r="F2192" s="36" t="inlineStr">
        <is>
          <t>Business</t>
        </is>
      </c>
      <c r="G2192" s="36" t="inlineStr">
        <is>
          <t>Hiking</t>
        </is>
      </c>
      <c r="H2192" s="36" t="inlineStr">
        <is>
          <t>Trail Boots</t>
        </is>
      </c>
      <c r="I2192" s="36" t="n">
        <v>5</v>
      </c>
      <c r="J2192" s="39" t="n">
        <v>144.04</v>
      </c>
      <c r="K2192" s="45" t="n">
        <v>0.1</v>
      </c>
      <c r="L2192" s="39" t="n">
        <v>78.06999999999999</v>
      </c>
      <c r="M2192" s="39">
        <f>I2192*J2192*(1-K2192)</f>
        <v/>
      </c>
      <c r="N2192" s="39">
        <f>I2192*L2192</f>
        <v/>
      </c>
      <c r="O2192" s="39">
        <f>M2192-N2192</f>
        <v/>
      </c>
      <c r="P2192" s="38">
        <f>IF(M2192=0,0,O2192/M2192)</f>
        <v/>
      </c>
      <c r="Q2192" s="36">
        <f>YEAR(B2192)</f>
        <v/>
      </c>
      <c r="R2192" s="36">
        <f>"Q"&amp;ROUNDUP(MONTH(B2192)/3,0)</f>
        <v/>
      </c>
      <c r="S2192" s="36">
        <f>MONTH(B2192)</f>
        <v/>
      </c>
      <c r="T2192" s="36">
        <f>TEXT(B2192,"mmm")</f>
        <v/>
      </c>
      <c r="U2192" s="36">
        <f>IF(AND(OR(sel_Region="All",C2192=sel_Region),OR(sel_Country="All",D2192=sel_Country),OR(sel_Channel="All",E2192=sel_Channel),OR(sel_Customer="All",F2192=sel_Customer),OR(sel_Category="All",G2192=sel_Category),OR(sel_Product="All",H2192=sel_Product),AND(S2192&gt;=m_From,S2192&lt;=m_To)),1,0)</f>
        <v/>
      </c>
      <c r="V2192" s="36">
        <f>IF(AND(OR(sel_Region="All",C2192=sel_Region),OR(sel_Channel="All",E2192=sel_Channel),OR(sel_Customer="All",F2192=sel_Customer),OR(sel_Category="All",G2192=sel_Category),OR(sel_Product="All",H2192=sel_Product),AND(S2192&gt;=m_From,S2192&lt;=m_To)),1,0)</f>
        <v/>
      </c>
      <c r="W2192" s="36">
        <f>IF(AND(OR(sel_Region="All",C2192=sel_Region),OR(sel_Country="All",D2192=sel_Country),OR(sel_Customer="All",F2192=sel_Customer),OR(sel_Category="All",G2192=sel_Category),OR(sel_Product="All",H2192=sel_Product),AND(S2192&gt;=m_From,S2192&lt;=m_To)),1,0)</f>
        <v/>
      </c>
      <c r="X2192" s="36">
        <f>IF(AND(OR(sel_Region="All",C2192=sel_Region),OR(sel_Country="All",D2192=sel_Country),OR(sel_Channel="All",E2192=sel_Channel),OR(sel_Category="All",G2192=sel_Category),OR(sel_Product="All",H2192=sel_Product),AND(S2192&gt;=m_From,S2192&lt;=m_To)),1,0)</f>
        <v/>
      </c>
      <c r="Y2192" s="36">
        <f>IF(AND(OR(sel_Region="All",C2192=sel_Region),OR(sel_Country="All",D2192=sel_Country),OR(sel_Channel="All",E2192=sel_Channel),OR(sel_Customer="All",F2192=sel_Customer),OR(sel_Product="All",H2192=sel_Product),AND(S2192&gt;=m_From,S2192&lt;=m_To)),1,0)</f>
        <v/>
      </c>
      <c r="Z2192" s="36">
        <f>IF(AND(OR(sel_Region="All",C2192=sel_Region),OR(sel_Country="All",D2192=sel_Country),OR(sel_Channel="All",E2192=sel_Channel),OR(sel_Customer="All",F2192=sel_Customer),OR(sel_Category="All",G2192=sel_Category),AND(S2192&gt;=m_From,S2192&lt;=m_To)),1,0)</f>
        <v/>
      </c>
      <c r="AA2192" s="36">
        <f>IF(AND(OR(sel_Region="All",C2192=sel_Region),OR(sel_Country="All",D2192=sel_Country),OR(sel_Channel="All",E2192=sel_Channel),OR(sel_Customer="All",F2192=sel_Customer),OR(sel_Category="All",G2192=sel_Category),OR(sel_Product="All",H2192=sel_Product)),1,0)</f>
        <v/>
      </c>
    </row>
    <row r="2193">
      <c r="A2193" s="36" t="inlineStr">
        <is>
          <t>00317</t>
        </is>
      </c>
      <c r="B2193" s="44" t="n">
        <v>46320</v>
      </c>
      <c r="C2193" s="36" t="inlineStr">
        <is>
          <t>Northern Europe</t>
        </is>
      </c>
      <c r="D2193" s="36" t="inlineStr">
        <is>
          <t>Finland</t>
        </is>
      </c>
      <c r="E2193" s="36" t="inlineStr">
        <is>
          <t>Marketplace</t>
        </is>
      </c>
      <c r="F2193" s="36" t="inlineStr">
        <is>
          <t>New</t>
        </is>
      </c>
      <c r="G2193" s="36" t="inlineStr">
        <is>
          <t>Cycling</t>
        </is>
      </c>
      <c r="H2193" s="36" t="inlineStr">
        <is>
          <t>Commuter Helmet</t>
        </is>
      </c>
      <c r="I2193" s="36" t="n">
        <v>2</v>
      </c>
      <c r="J2193" s="39" t="n">
        <v>80.69</v>
      </c>
      <c r="K2193" s="45" t="n">
        <v>0.05</v>
      </c>
      <c r="L2193" s="39" t="n">
        <v>43.81</v>
      </c>
      <c r="M2193" s="39">
        <f>I2193*J2193*(1-K2193)</f>
        <v/>
      </c>
      <c r="N2193" s="39">
        <f>I2193*L2193</f>
        <v/>
      </c>
      <c r="O2193" s="39">
        <f>M2193-N2193</f>
        <v/>
      </c>
      <c r="P2193" s="38">
        <f>IF(M2193=0,0,O2193/M2193)</f>
        <v/>
      </c>
      <c r="Q2193" s="36">
        <f>YEAR(B2193)</f>
        <v/>
      </c>
      <c r="R2193" s="36">
        <f>"Q"&amp;ROUNDUP(MONTH(B2193)/3,0)</f>
        <v/>
      </c>
      <c r="S2193" s="36">
        <f>MONTH(B2193)</f>
        <v/>
      </c>
      <c r="T2193" s="36">
        <f>TEXT(B2193,"mmm")</f>
        <v/>
      </c>
      <c r="U2193" s="36">
        <f>IF(AND(OR(sel_Region="All",C2193=sel_Region),OR(sel_Country="All",D2193=sel_Country),OR(sel_Channel="All",E2193=sel_Channel),OR(sel_Customer="All",F2193=sel_Customer),OR(sel_Category="All",G2193=sel_Category),OR(sel_Product="All",H2193=sel_Product),AND(S2193&gt;=m_From,S2193&lt;=m_To)),1,0)</f>
        <v/>
      </c>
      <c r="V2193" s="36">
        <f>IF(AND(OR(sel_Region="All",C2193=sel_Region),OR(sel_Channel="All",E2193=sel_Channel),OR(sel_Customer="All",F2193=sel_Customer),OR(sel_Category="All",G2193=sel_Category),OR(sel_Product="All",H2193=sel_Product),AND(S2193&gt;=m_From,S2193&lt;=m_To)),1,0)</f>
        <v/>
      </c>
      <c r="W2193" s="36">
        <f>IF(AND(OR(sel_Region="All",C2193=sel_Region),OR(sel_Country="All",D2193=sel_Country),OR(sel_Customer="All",F2193=sel_Customer),OR(sel_Category="All",G2193=sel_Category),OR(sel_Product="All",H2193=sel_Product),AND(S2193&gt;=m_From,S2193&lt;=m_To)),1,0)</f>
        <v/>
      </c>
      <c r="X2193" s="36">
        <f>IF(AND(OR(sel_Region="All",C2193=sel_Region),OR(sel_Country="All",D2193=sel_Country),OR(sel_Channel="All",E2193=sel_Channel),OR(sel_Category="All",G2193=sel_Category),OR(sel_Product="All",H2193=sel_Product),AND(S2193&gt;=m_From,S2193&lt;=m_To)),1,0)</f>
        <v/>
      </c>
      <c r="Y2193" s="36">
        <f>IF(AND(OR(sel_Region="All",C2193=sel_Region),OR(sel_Country="All",D2193=sel_Country),OR(sel_Channel="All",E2193=sel_Channel),OR(sel_Customer="All",F2193=sel_Customer),OR(sel_Product="All",H2193=sel_Product),AND(S2193&gt;=m_From,S2193&lt;=m_To)),1,0)</f>
        <v/>
      </c>
      <c r="Z2193" s="36">
        <f>IF(AND(OR(sel_Region="All",C2193=sel_Region),OR(sel_Country="All",D2193=sel_Country),OR(sel_Channel="All",E2193=sel_Channel),OR(sel_Customer="All",F2193=sel_Customer),OR(sel_Category="All",G2193=sel_Category),AND(S2193&gt;=m_From,S2193&lt;=m_To)),1,0)</f>
        <v/>
      </c>
      <c r="AA2193" s="36">
        <f>IF(AND(OR(sel_Region="All",C2193=sel_Region),OR(sel_Country="All",D2193=sel_Country),OR(sel_Channel="All",E2193=sel_Channel),OR(sel_Customer="All",F2193=sel_Customer),OR(sel_Category="All",G2193=sel_Category),OR(sel_Product="All",H2193=sel_Product)),1,0)</f>
        <v/>
      </c>
    </row>
    <row r="2194">
      <c r="A2194" s="36" t="inlineStr">
        <is>
          <t>00684</t>
        </is>
      </c>
      <c r="B2194" s="44" t="n">
        <v>46320</v>
      </c>
      <c r="C2194" s="36" t="inlineStr">
        <is>
          <t>Western Europe</t>
        </is>
      </c>
      <c r="D2194" s="36" t="inlineStr">
        <is>
          <t>Belgium</t>
        </is>
      </c>
      <c r="E2194" s="36" t="inlineStr">
        <is>
          <t>Online Store</t>
        </is>
      </c>
      <c r="F2194" s="36" t="inlineStr">
        <is>
          <t>Business</t>
        </is>
      </c>
      <c r="G2194" s="36" t="inlineStr">
        <is>
          <t>Camping</t>
        </is>
      </c>
      <c r="H2194" s="36" t="inlineStr">
        <is>
          <t>Trail Tent 2P</t>
        </is>
      </c>
      <c r="I2194" s="36" t="n">
        <v>1</v>
      </c>
      <c r="J2194" s="39" t="n">
        <v>191.91</v>
      </c>
      <c r="K2194" s="45" t="n">
        <v>0</v>
      </c>
      <c r="L2194" s="39" t="n">
        <v>101.89</v>
      </c>
      <c r="M2194" s="39">
        <f>I2194*J2194*(1-K2194)</f>
        <v/>
      </c>
      <c r="N2194" s="39">
        <f>I2194*L2194</f>
        <v/>
      </c>
      <c r="O2194" s="39">
        <f>M2194-N2194</f>
        <v/>
      </c>
      <c r="P2194" s="38">
        <f>IF(M2194=0,0,O2194/M2194)</f>
        <v/>
      </c>
      <c r="Q2194" s="36">
        <f>YEAR(B2194)</f>
        <v/>
      </c>
      <c r="R2194" s="36">
        <f>"Q"&amp;ROUNDUP(MONTH(B2194)/3,0)</f>
        <v/>
      </c>
      <c r="S2194" s="36">
        <f>MONTH(B2194)</f>
        <v/>
      </c>
      <c r="T2194" s="36">
        <f>TEXT(B2194,"mmm")</f>
        <v/>
      </c>
      <c r="U2194" s="36">
        <f>IF(AND(OR(sel_Region="All",C2194=sel_Region),OR(sel_Country="All",D2194=sel_Country),OR(sel_Channel="All",E2194=sel_Channel),OR(sel_Customer="All",F2194=sel_Customer),OR(sel_Category="All",G2194=sel_Category),OR(sel_Product="All",H2194=sel_Product),AND(S2194&gt;=m_From,S2194&lt;=m_To)),1,0)</f>
        <v/>
      </c>
      <c r="V2194" s="36">
        <f>IF(AND(OR(sel_Region="All",C2194=sel_Region),OR(sel_Channel="All",E2194=sel_Channel),OR(sel_Customer="All",F2194=sel_Customer),OR(sel_Category="All",G2194=sel_Category),OR(sel_Product="All",H2194=sel_Product),AND(S2194&gt;=m_From,S2194&lt;=m_To)),1,0)</f>
        <v/>
      </c>
      <c r="W2194" s="36">
        <f>IF(AND(OR(sel_Region="All",C2194=sel_Region),OR(sel_Country="All",D2194=sel_Country),OR(sel_Customer="All",F2194=sel_Customer),OR(sel_Category="All",G2194=sel_Category),OR(sel_Product="All",H2194=sel_Product),AND(S2194&gt;=m_From,S2194&lt;=m_To)),1,0)</f>
        <v/>
      </c>
      <c r="X2194" s="36">
        <f>IF(AND(OR(sel_Region="All",C2194=sel_Region),OR(sel_Country="All",D2194=sel_Country),OR(sel_Channel="All",E2194=sel_Channel),OR(sel_Category="All",G2194=sel_Category),OR(sel_Product="All",H2194=sel_Product),AND(S2194&gt;=m_From,S2194&lt;=m_To)),1,0)</f>
        <v/>
      </c>
      <c r="Y2194" s="36">
        <f>IF(AND(OR(sel_Region="All",C2194=sel_Region),OR(sel_Country="All",D2194=sel_Country),OR(sel_Channel="All",E2194=sel_Channel),OR(sel_Customer="All",F2194=sel_Customer),OR(sel_Product="All",H2194=sel_Product),AND(S2194&gt;=m_From,S2194&lt;=m_To)),1,0)</f>
        <v/>
      </c>
      <c r="Z2194" s="36">
        <f>IF(AND(OR(sel_Region="All",C2194=sel_Region),OR(sel_Country="All",D2194=sel_Country),OR(sel_Channel="All",E2194=sel_Channel),OR(sel_Customer="All",F2194=sel_Customer),OR(sel_Category="All",G2194=sel_Category),AND(S2194&gt;=m_From,S2194&lt;=m_To)),1,0)</f>
        <v/>
      </c>
      <c r="AA2194" s="36">
        <f>IF(AND(OR(sel_Region="All",C2194=sel_Region),OR(sel_Country="All",D2194=sel_Country),OR(sel_Channel="All",E2194=sel_Channel),OR(sel_Customer="All",F2194=sel_Customer),OR(sel_Category="All",G2194=sel_Category),OR(sel_Product="All",H2194=sel_Product)),1,0)</f>
        <v/>
      </c>
    </row>
    <row r="2195">
      <c r="A2195" s="36" t="inlineStr">
        <is>
          <t>01430</t>
        </is>
      </c>
      <c r="B2195" s="44" t="n">
        <v>46320</v>
      </c>
      <c r="C2195" s="36" t="inlineStr">
        <is>
          <t>Western Europe</t>
        </is>
      </c>
      <c r="D2195" s="36" t="inlineStr">
        <is>
          <t>France</t>
        </is>
      </c>
      <c r="E2195" s="36" t="inlineStr">
        <is>
          <t>Retail Partners</t>
        </is>
      </c>
      <c r="F2195" s="36" t="inlineStr">
        <is>
          <t>New</t>
        </is>
      </c>
      <c r="G2195" s="36" t="inlineStr">
        <is>
          <t>Fitness</t>
        </is>
      </c>
      <c r="H2195" s="36" t="inlineStr">
        <is>
          <t>Recovery Roller</t>
        </is>
      </c>
      <c r="I2195" s="36" t="n">
        <v>1</v>
      </c>
      <c r="J2195" s="39" t="n">
        <v>36.63</v>
      </c>
      <c r="K2195" s="45" t="n">
        <v>0.05</v>
      </c>
      <c r="L2195" s="39" t="n">
        <v>13.97</v>
      </c>
      <c r="M2195" s="39">
        <f>I2195*J2195*(1-K2195)</f>
        <v/>
      </c>
      <c r="N2195" s="39">
        <f>I2195*L2195</f>
        <v/>
      </c>
      <c r="O2195" s="39">
        <f>M2195-N2195</f>
        <v/>
      </c>
      <c r="P2195" s="38">
        <f>IF(M2195=0,0,O2195/M2195)</f>
        <v/>
      </c>
      <c r="Q2195" s="36">
        <f>YEAR(B2195)</f>
        <v/>
      </c>
      <c r="R2195" s="36">
        <f>"Q"&amp;ROUNDUP(MONTH(B2195)/3,0)</f>
        <v/>
      </c>
      <c r="S2195" s="36">
        <f>MONTH(B2195)</f>
        <v/>
      </c>
      <c r="T2195" s="36">
        <f>TEXT(B2195,"mmm")</f>
        <v/>
      </c>
      <c r="U2195" s="36">
        <f>IF(AND(OR(sel_Region="All",C2195=sel_Region),OR(sel_Country="All",D2195=sel_Country),OR(sel_Channel="All",E2195=sel_Channel),OR(sel_Customer="All",F2195=sel_Customer),OR(sel_Category="All",G2195=sel_Category),OR(sel_Product="All",H2195=sel_Product),AND(S2195&gt;=m_From,S2195&lt;=m_To)),1,0)</f>
        <v/>
      </c>
      <c r="V2195" s="36">
        <f>IF(AND(OR(sel_Region="All",C2195=sel_Region),OR(sel_Channel="All",E2195=sel_Channel),OR(sel_Customer="All",F2195=sel_Customer),OR(sel_Category="All",G2195=sel_Category),OR(sel_Product="All",H2195=sel_Product),AND(S2195&gt;=m_From,S2195&lt;=m_To)),1,0)</f>
        <v/>
      </c>
      <c r="W2195" s="36">
        <f>IF(AND(OR(sel_Region="All",C2195=sel_Region),OR(sel_Country="All",D2195=sel_Country),OR(sel_Customer="All",F2195=sel_Customer),OR(sel_Category="All",G2195=sel_Category),OR(sel_Product="All",H2195=sel_Product),AND(S2195&gt;=m_From,S2195&lt;=m_To)),1,0)</f>
        <v/>
      </c>
      <c r="X2195" s="36">
        <f>IF(AND(OR(sel_Region="All",C2195=sel_Region),OR(sel_Country="All",D2195=sel_Country),OR(sel_Channel="All",E2195=sel_Channel),OR(sel_Category="All",G2195=sel_Category),OR(sel_Product="All",H2195=sel_Product),AND(S2195&gt;=m_From,S2195&lt;=m_To)),1,0)</f>
        <v/>
      </c>
      <c r="Y2195" s="36">
        <f>IF(AND(OR(sel_Region="All",C2195=sel_Region),OR(sel_Country="All",D2195=sel_Country),OR(sel_Channel="All",E2195=sel_Channel),OR(sel_Customer="All",F2195=sel_Customer),OR(sel_Product="All",H2195=sel_Product),AND(S2195&gt;=m_From,S2195&lt;=m_To)),1,0)</f>
        <v/>
      </c>
      <c r="Z2195" s="36">
        <f>IF(AND(OR(sel_Region="All",C2195=sel_Region),OR(sel_Country="All",D2195=sel_Country),OR(sel_Channel="All",E2195=sel_Channel),OR(sel_Customer="All",F2195=sel_Customer),OR(sel_Category="All",G2195=sel_Category),AND(S2195&gt;=m_From,S2195&lt;=m_To)),1,0)</f>
        <v/>
      </c>
      <c r="AA2195" s="36">
        <f>IF(AND(OR(sel_Region="All",C2195=sel_Region),OR(sel_Country="All",D2195=sel_Country),OR(sel_Channel="All",E2195=sel_Channel),OR(sel_Customer="All",F2195=sel_Customer),OR(sel_Category="All",G2195=sel_Category),OR(sel_Product="All",H2195=sel_Product)),1,0)</f>
        <v/>
      </c>
    </row>
    <row r="2196">
      <c r="A2196" s="36" t="inlineStr">
        <is>
          <t>02049</t>
        </is>
      </c>
      <c r="B2196" s="44" t="n">
        <v>46320</v>
      </c>
      <c r="C2196" s="36" t="inlineStr">
        <is>
          <t>Western Europe</t>
        </is>
      </c>
      <c r="D2196" s="36" t="inlineStr">
        <is>
          <t>Belgium</t>
        </is>
      </c>
      <c r="E2196" s="36" t="inlineStr">
        <is>
          <t>Corporate</t>
        </is>
      </c>
      <c r="F2196" s="36" t="inlineStr">
        <is>
          <t>Business</t>
        </is>
      </c>
      <c r="G2196" s="36" t="inlineStr">
        <is>
          <t>Travel</t>
        </is>
      </c>
      <c r="H2196" s="36" t="inlineStr">
        <is>
          <t>Insulated Bottle</t>
        </is>
      </c>
      <c r="I2196" s="36" t="n">
        <v>6</v>
      </c>
      <c r="J2196" s="39" t="n">
        <v>35.38</v>
      </c>
      <c r="K2196" s="45" t="n">
        <v>0.05</v>
      </c>
      <c r="L2196" s="39" t="n">
        <v>13.9</v>
      </c>
      <c r="M2196" s="39">
        <f>I2196*J2196*(1-K2196)</f>
        <v/>
      </c>
      <c r="N2196" s="39">
        <f>I2196*L2196</f>
        <v/>
      </c>
      <c r="O2196" s="39">
        <f>M2196-N2196</f>
        <v/>
      </c>
      <c r="P2196" s="38">
        <f>IF(M2196=0,0,O2196/M2196)</f>
        <v/>
      </c>
      <c r="Q2196" s="36">
        <f>YEAR(B2196)</f>
        <v/>
      </c>
      <c r="R2196" s="36">
        <f>"Q"&amp;ROUNDUP(MONTH(B2196)/3,0)</f>
        <v/>
      </c>
      <c r="S2196" s="36">
        <f>MONTH(B2196)</f>
        <v/>
      </c>
      <c r="T2196" s="36">
        <f>TEXT(B2196,"mmm")</f>
        <v/>
      </c>
      <c r="U2196" s="36">
        <f>IF(AND(OR(sel_Region="All",C2196=sel_Region),OR(sel_Country="All",D2196=sel_Country),OR(sel_Channel="All",E2196=sel_Channel),OR(sel_Customer="All",F2196=sel_Customer),OR(sel_Category="All",G2196=sel_Category),OR(sel_Product="All",H2196=sel_Product),AND(S2196&gt;=m_From,S2196&lt;=m_To)),1,0)</f>
        <v/>
      </c>
      <c r="V2196" s="36">
        <f>IF(AND(OR(sel_Region="All",C2196=sel_Region),OR(sel_Channel="All",E2196=sel_Channel),OR(sel_Customer="All",F2196=sel_Customer),OR(sel_Category="All",G2196=sel_Category),OR(sel_Product="All",H2196=sel_Product),AND(S2196&gt;=m_From,S2196&lt;=m_To)),1,0)</f>
        <v/>
      </c>
      <c r="W2196" s="36">
        <f>IF(AND(OR(sel_Region="All",C2196=sel_Region),OR(sel_Country="All",D2196=sel_Country),OR(sel_Customer="All",F2196=sel_Customer),OR(sel_Category="All",G2196=sel_Category),OR(sel_Product="All",H2196=sel_Product),AND(S2196&gt;=m_From,S2196&lt;=m_To)),1,0)</f>
        <v/>
      </c>
      <c r="X2196" s="36">
        <f>IF(AND(OR(sel_Region="All",C2196=sel_Region),OR(sel_Country="All",D2196=sel_Country),OR(sel_Channel="All",E2196=sel_Channel),OR(sel_Category="All",G2196=sel_Category),OR(sel_Product="All",H2196=sel_Product),AND(S2196&gt;=m_From,S2196&lt;=m_To)),1,0)</f>
        <v/>
      </c>
      <c r="Y2196" s="36">
        <f>IF(AND(OR(sel_Region="All",C2196=sel_Region),OR(sel_Country="All",D2196=sel_Country),OR(sel_Channel="All",E2196=sel_Channel),OR(sel_Customer="All",F2196=sel_Customer),OR(sel_Product="All",H2196=sel_Product),AND(S2196&gt;=m_From,S2196&lt;=m_To)),1,0)</f>
        <v/>
      </c>
      <c r="Z2196" s="36">
        <f>IF(AND(OR(sel_Region="All",C2196=sel_Region),OR(sel_Country="All",D2196=sel_Country),OR(sel_Channel="All",E2196=sel_Channel),OR(sel_Customer="All",F2196=sel_Customer),OR(sel_Category="All",G2196=sel_Category),AND(S2196&gt;=m_From,S2196&lt;=m_To)),1,0)</f>
        <v/>
      </c>
      <c r="AA2196" s="36">
        <f>IF(AND(OR(sel_Region="All",C2196=sel_Region),OR(sel_Country="All",D2196=sel_Country),OR(sel_Channel="All",E2196=sel_Channel),OR(sel_Customer="All",F2196=sel_Customer),OR(sel_Category="All",G2196=sel_Category),OR(sel_Product="All",H2196=sel_Product)),1,0)</f>
        <v/>
      </c>
    </row>
    <row r="2197">
      <c r="A2197" s="36" t="inlineStr">
        <is>
          <t>02199</t>
        </is>
      </c>
      <c r="B2197" s="44" t="n">
        <v>46320</v>
      </c>
      <c r="C2197" s="36" t="inlineStr">
        <is>
          <t>Central Europe</t>
        </is>
      </c>
      <c r="D2197" s="36" t="inlineStr">
        <is>
          <t>Germany</t>
        </is>
      </c>
      <c r="E2197" s="36" t="inlineStr">
        <is>
          <t>Marketplace</t>
        </is>
      </c>
      <c r="F2197" s="36" t="inlineStr">
        <is>
          <t>Returning</t>
        </is>
      </c>
      <c r="G2197" s="36" t="inlineStr">
        <is>
          <t>Travel</t>
        </is>
      </c>
      <c r="H2197" s="36" t="inlineStr">
        <is>
          <t>Carry-On Duffel</t>
        </is>
      </c>
      <c r="I2197" s="36" t="n">
        <v>1</v>
      </c>
      <c r="J2197" s="39" t="n">
        <v>132.63</v>
      </c>
      <c r="K2197" s="45" t="n">
        <v>0.05</v>
      </c>
      <c r="L2197" s="39" t="n">
        <v>67.48999999999999</v>
      </c>
      <c r="M2197" s="39">
        <f>I2197*J2197*(1-K2197)</f>
        <v/>
      </c>
      <c r="N2197" s="39">
        <f>I2197*L2197</f>
        <v/>
      </c>
      <c r="O2197" s="39">
        <f>M2197-N2197</f>
        <v/>
      </c>
      <c r="P2197" s="38">
        <f>IF(M2197=0,0,O2197/M2197)</f>
        <v/>
      </c>
      <c r="Q2197" s="36">
        <f>YEAR(B2197)</f>
        <v/>
      </c>
      <c r="R2197" s="36">
        <f>"Q"&amp;ROUNDUP(MONTH(B2197)/3,0)</f>
        <v/>
      </c>
      <c r="S2197" s="36">
        <f>MONTH(B2197)</f>
        <v/>
      </c>
      <c r="T2197" s="36">
        <f>TEXT(B2197,"mmm")</f>
        <v/>
      </c>
      <c r="U2197" s="36">
        <f>IF(AND(OR(sel_Region="All",C2197=sel_Region),OR(sel_Country="All",D2197=sel_Country),OR(sel_Channel="All",E2197=sel_Channel),OR(sel_Customer="All",F2197=sel_Customer),OR(sel_Category="All",G2197=sel_Category),OR(sel_Product="All",H2197=sel_Product),AND(S2197&gt;=m_From,S2197&lt;=m_To)),1,0)</f>
        <v/>
      </c>
      <c r="V2197" s="36">
        <f>IF(AND(OR(sel_Region="All",C2197=sel_Region),OR(sel_Channel="All",E2197=sel_Channel),OR(sel_Customer="All",F2197=sel_Customer),OR(sel_Category="All",G2197=sel_Category),OR(sel_Product="All",H2197=sel_Product),AND(S2197&gt;=m_From,S2197&lt;=m_To)),1,0)</f>
        <v/>
      </c>
      <c r="W2197" s="36">
        <f>IF(AND(OR(sel_Region="All",C2197=sel_Region),OR(sel_Country="All",D2197=sel_Country),OR(sel_Customer="All",F2197=sel_Customer),OR(sel_Category="All",G2197=sel_Category),OR(sel_Product="All",H2197=sel_Product),AND(S2197&gt;=m_From,S2197&lt;=m_To)),1,0)</f>
        <v/>
      </c>
      <c r="X2197" s="36">
        <f>IF(AND(OR(sel_Region="All",C2197=sel_Region),OR(sel_Country="All",D2197=sel_Country),OR(sel_Channel="All",E2197=sel_Channel),OR(sel_Category="All",G2197=sel_Category),OR(sel_Product="All",H2197=sel_Product),AND(S2197&gt;=m_From,S2197&lt;=m_To)),1,0)</f>
        <v/>
      </c>
      <c r="Y2197" s="36">
        <f>IF(AND(OR(sel_Region="All",C2197=sel_Region),OR(sel_Country="All",D2197=sel_Country),OR(sel_Channel="All",E2197=sel_Channel),OR(sel_Customer="All",F2197=sel_Customer),OR(sel_Product="All",H2197=sel_Product),AND(S2197&gt;=m_From,S2197&lt;=m_To)),1,0)</f>
        <v/>
      </c>
      <c r="Z2197" s="36">
        <f>IF(AND(OR(sel_Region="All",C2197=sel_Region),OR(sel_Country="All",D2197=sel_Country),OR(sel_Channel="All",E2197=sel_Channel),OR(sel_Customer="All",F2197=sel_Customer),OR(sel_Category="All",G2197=sel_Category),AND(S2197&gt;=m_From,S2197&lt;=m_To)),1,0)</f>
        <v/>
      </c>
      <c r="AA2197" s="36">
        <f>IF(AND(OR(sel_Region="All",C2197=sel_Region),OR(sel_Country="All",D2197=sel_Country),OR(sel_Channel="All",E2197=sel_Channel),OR(sel_Customer="All",F2197=sel_Customer),OR(sel_Category="All",G2197=sel_Category),OR(sel_Product="All",H2197=sel_Product)),1,0)</f>
        <v/>
      </c>
    </row>
    <row r="2198">
      <c r="A2198" s="36" t="inlineStr">
        <is>
          <t>02954</t>
        </is>
      </c>
      <c r="B2198" s="44" t="n">
        <v>46320</v>
      </c>
      <c r="C2198" s="36" t="inlineStr">
        <is>
          <t>Western Europe</t>
        </is>
      </c>
      <c r="D2198" s="36" t="inlineStr">
        <is>
          <t>Belgium</t>
        </is>
      </c>
      <c r="E2198" s="36" t="inlineStr">
        <is>
          <t>Online Store</t>
        </is>
      </c>
      <c r="F2198" s="36" t="inlineStr">
        <is>
          <t>New</t>
        </is>
      </c>
      <c r="G2198" s="36" t="inlineStr">
        <is>
          <t>Hiking</t>
        </is>
      </c>
      <c r="H2198" s="36" t="inlineStr">
        <is>
          <t>Trekking Poles</t>
        </is>
      </c>
      <c r="I2198" s="36" t="n">
        <v>1</v>
      </c>
      <c r="J2198" s="39" t="n">
        <v>71.17</v>
      </c>
      <c r="K2198" s="45" t="n">
        <v>0</v>
      </c>
      <c r="L2198" s="39" t="n">
        <v>32.57</v>
      </c>
      <c r="M2198" s="39">
        <f>I2198*J2198*(1-K2198)</f>
        <v/>
      </c>
      <c r="N2198" s="39">
        <f>I2198*L2198</f>
        <v/>
      </c>
      <c r="O2198" s="39">
        <f>M2198-N2198</f>
        <v/>
      </c>
      <c r="P2198" s="38">
        <f>IF(M2198=0,0,O2198/M2198)</f>
        <v/>
      </c>
      <c r="Q2198" s="36">
        <f>YEAR(B2198)</f>
        <v/>
      </c>
      <c r="R2198" s="36">
        <f>"Q"&amp;ROUNDUP(MONTH(B2198)/3,0)</f>
        <v/>
      </c>
      <c r="S2198" s="36">
        <f>MONTH(B2198)</f>
        <v/>
      </c>
      <c r="T2198" s="36">
        <f>TEXT(B2198,"mmm")</f>
        <v/>
      </c>
      <c r="U2198" s="36">
        <f>IF(AND(OR(sel_Region="All",C2198=sel_Region),OR(sel_Country="All",D2198=sel_Country),OR(sel_Channel="All",E2198=sel_Channel),OR(sel_Customer="All",F2198=sel_Customer),OR(sel_Category="All",G2198=sel_Category),OR(sel_Product="All",H2198=sel_Product),AND(S2198&gt;=m_From,S2198&lt;=m_To)),1,0)</f>
        <v/>
      </c>
      <c r="V2198" s="36">
        <f>IF(AND(OR(sel_Region="All",C2198=sel_Region),OR(sel_Channel="All",E2198=sel_Channel),OR(sel_Customer="All",F2198=sel_Customer),OR(sel_Category="All",G2198=sel_Category),OR(sel_Product="All",H2198=sel_Product),AND(S2198&gt;=m_From,S2198&lt;=m_To)),1,0)</f>
        <v/>
      </c>
      <c r="W2198" s="36">
        <f>IF(AND(OR(sel_Region="All",C2198=sel_Region),OR(sel_Country="All",D2198=sel_Country),OR(sel_Customer="All",F2198=sel_Customer),OR(sel_Category="All",G2198=sel_Category),OR(sel_Product="All",H2198=sel_Product),AND(S2198&gt;=m_From,S2198&lt;=m_To)),1,0)</f>
        <v/>
      </c>
      <c r="X2198" s="36">
        <f>IF(AND(OR(sel_Region="All",C2198=sel_Region),OR(sel_Country="All",D2198=sel_Country),OR(sel_Channel="All",E2198=sel_Channel),OR(sel_Category="All",G2198=sel_Category),OR(sel_Product="All",H2198=sel_Product),AND(S2198&gt;=m_From,S2198&lt;=m_To)),1,0)</f>
        <v/>
      </c>
      <c r="Y2198" s="36">
        <f>IF(AND(OR(sel_Region="All",C2198=sel_Region),OR(sel_Country="All",D2198=sel_Country),OR(sel_Channel="All",E2198=sel_Channel),OR(sel_Customer="All",F2198=sel_Customer),OR(sel_Product="All",H2198=sel_Product),AND(S2198&gt;=m_From,S2198&lt;=m_To)),1,0)</f>
        <v/>
      </c>
      <c r="Z2198" s="36">
        <f>IF(AND(OR(sel_Region="All",C2198=sel_Region),OR(sel_Country="All",D2198=sel_Country),OR(sel_Channel="All",E2198=sel_Channel),OR(sel_Customer="All",F2198=sel_Customer),OR(sel_Category="All",G2198=sel_Category),AND(S2198&gt;=m_From,S2198&lt;=m_To)),1,0)</f>
        <v/>
      </c>
      <c r="AA2198" s="36">
        <f>IF(AND(OR(sel_Region="All",C2198=sel_Region),OR(sel_Country="All",D2198=sel_Country),OR(sel_Channel="All",E2198=sel_Channel),OR(sel_Customer="All",F2198=sel_Customer),OR(sel_Category="All",G2198=sel_Category),OR(sel_Product="All",H2198=sel_Product)),1,0)</f>
        <v/>
      </c>
    </row>
    <row r="2199">
      <c r="A2199" s="36" t="inlineStr">
        <is>
          <t>03218</t>
        </is>
      </c>
      <c r="B2199" s="44" t="n">
        <v>46320</v>
      </c>
      <c r="C2199" s="36" t="inlineStr">
        <is>
          <t>Southern Europe</t>
        </is>
      </c>
      <c r="D2199" s="36" t="inlineStr">
        <is>
          <t>Italy</t>
        </is>
      </c>
      <c r="E2199" s="36" t="inlineStr">
        <is>
          <t>Corporate</t>
        </is>
      </c>
      <c r="F2199" s="36" t="inlineStr">
        <is>
          <t>Business</t>
        </is>
      </c>
      <c r="G2199" s="36" t="inlineStr">
        <is>
          <t>Travel</t>
        </is>
      </c>
      <c r="H2199" s="36" t="inlineStr">
        <is>
          <t>Carry-On Duffel</t>
        </is>
      </c>
      <c r="I2199" s="36" t="n">
        <v>6</v>
      </c>
      <c r="J2199" s="39" t="n">
        <v>132.08</v>
      </c>
      <c r="K2199" s="45" t="n">
        <v>0.1</v>
      </c>
      <c r="L2199" s="39" t="n">
        <v>67.61</v>
      </c>
      <c r="M2199" s="39">
        <f>I2199*J2199*(1-K2199)</f>
        <v/>
      </c>
      <c r="N2199" s="39">
        <f>I2199*L2199</f>
        <v/>
      </c>
      <c r="O2199" s="39">
        <f>M2199-N2199</f>
        <v/>
      </c>
      <c r="P2199" s="38">
        <f>IF(M2199=0,0,O2199/M2199)</f>
        <v/>
      </c>
      <c r="Q2199" s="36">
        <f>YEAR(B2199)</f>
        <v/>
      </c>
      <c r="R2199" s="36">
        <f>"Q"&amp;ROUNDUP(MONTH(B2199)/3,0)</f>
        <v/>
      </c>
      <c r="S2199" s="36">
        <f>MONTH(B2199)</f>
        <v/>
      </c>
      <c r="T2199" s="36">
        <f>TEXT(B2199,"mmm")</f>
        <v/>
      </c>
      <c r="U2199" s="36">
        <f>IF(AND(OR(sel_Region="All",C2199=sel_Region),OR(sel_Country="All",D2199=sel_Country),OR(sel_Channel="All",E2199=sel_Channel),OR(sel_Customer="All",F2199=sel_Customer),OR(sel_Category="All",G2199=sel_Category),OR(sel_Product="All",H2199=sel_Product),AND(S2199&gt;=m_From,S2199&lt;=m_To)),1,0)</f>
        <v/>
      </c>
      <c r="V2199" s="36">
        <f>IF(AND(OR(sel_Region="All",C2199=sel_Region),OR(sel_Channel="All",E2199=sel_Channel),OR(sel_Customer="All",F2199=sel_Customer),OR(sel_Category="All",G2199=sel_Category),OR(sel_Product="All",H2199=sel_Product),AND(S2199&gt;=m_From,S2199&lt;=m_To)),1,0)</f>
        <v/>
      </c>
      <c r="W2199" s="36">
        <f>IF(AND(OR(sel_Region="All",C2199=sel_Region),OR(sel_Country="All",D2199=sel_Country),OR(sel_Customer="All",F2199=sel_Customer),OR(sel_Category="All",G2199=sel_Category),OR(sel_Product="All",H2199=sel_Product),AND(S2199&gt;=m_From,S2199&lt;=m_To)),1,0)</f>
        <v/>
      </c>
      <c r="X2199" s="36">
        <f>IF(AND(OR(sel_Region="All",C2199=sel_Region),OR(sel_Country="All",D2199=sel_Country),OR(sel_Channel="All",E2199=sel_Channel),OR(sel_Category="All",G2199=sel_Category),OR(sel_Product="All",H2199=sel_Product),AND(S2199&gt;=m_From,S2199&lt;=m_To)),1,0)</f>
        <v/>
      </c>
      <c r="Y2199" s="36">
        <f>IF(AND(OR(sel_Region="All",C2199=sel_Region),OR(sel_Country="All",D2199=sel_Country),OR(sel_Channel="All",E2199=sel_Channel),OR(sel_Customer="All",F2199=sel_Customer),OR(sel_Product="All",H2199=sel_Product),AND(S2199&gt;=m_From,S2199&lt;=m_To)),1,0)</f>
        <v/>
      </c>
      <c r="Z2199" s="36">
        <f>IF(AND(OR(sel_Region="All",C2199=sel_Region),OR(sel_Country="All",D2199=sel_Country),OR(sel_Channel="All",E2199=sel_Channel),OR(sel_Customer="All",F2199=sel_Customer),OR(sel_Category="All",G2199=sel_Category),AND(S2199&gt;=m_From,S2199&lt;=m_To)),1,0)</f>
        <v/>
      </c>
      <c r="AA2199" s="36">
        <f>IF(AND(OR(sel_Region="All",C2199=sel_Region),OR(sel_Country="All",D2199=sel_Country),OR(sel_Channel="All",E2199=sel_Channel),OR(sel_Customer="All",F2199=sel_Customer),OR(sel_Category="All",G2199=sel_Category),OR(sel_Product="All",H2199=sel_Product)),1,0)</f>
        <v/>
      </c>
    </row>
    <row r="2200">
      <c r="A2200" s="36" t="inlineStr">
        <is>
          <t>03965</t>
        </is>
      </c>
      <c r="B2200" s="44" t="n">
        <v>46320</v>
      </c>
      <c r="C2200" s="36" t="inlineStr">
        <is>
          <t>Central Europe</t>
        </is>
      </c>
      <c r="D2200" s="36" t="inlineStr">
        <is>
          <t>Switzerland</t>
        </is>
      </c>
      <c r="E2200" s="36" t="inlineStr">
        <is>
          <t>Retail Partners</t>
        </is>
      </c>
      <c r="F2200" s="36" t="inlineStr">
        <is>
          <t>Returning</t>
        </is>
      </c>
      <c r="G2200" s="36" t="inlineStr">
        <is>
          <t>Camping</t>
        </is>
      </c>
      <c r="H2200" s="36" t="inlineStr">
        <is>
          <t>Portable Camp Stove</t>
        </is>
      </c>
      <c r="I2200" s="36" t="n">
        <v>3</v>
      </c>
      <c r="J2200" s="39" t="n">
        <v>82.75</v>
      </c>
      <c r="K2200" s="45" t="n">
        <v>0.05</v>
      </c>
      <c r="L2200" s="39" t="n">
        <v>38.53</v>
      </c>
      <c r="M2200" s="39">
        <f>I2200*J2200*(1-K2200)</f>
        <v/>
      </c>
      <c r="N2200" s="39">
        <f>I2200*L2200</f>
        <v/>
      </c>
      <c r="O2200" s="39">
        <f>M2200-N2200</f>
        <v/>
      </c>
      <c r="P2200" s="38">
        <f>IF(M2200=0,0,O2200/M2200)</f>
        <v/>
      </c>
      <c r="Q2200" s="36">
        <f>YEAR(B2200)</f>
        <v/>
      </c>
      <c r="R2200" s="36">
        <f>"Q"&amp;ROUNDUP(MONTH(B2200)/3,0)</f>
        <v/>
      </c>
      <c r="S2200" s="36">
        <f>MONTH(B2200)</f>
        <v/>
      </c>
      <c r="T2200" s="36">
        <f>TEXT(B2200,"mmm")</f>
        <v/>
      </c>
      <c r="U2200" s="36">
        <f>IF(AND(OR(sel_Region="All",C2200=sel_Region),OR(sel_Country="All",D2200=sel_Country),OR(sel_Channel="All",E2200=sel_Channel),OR(sel_Customer="All",F2200=sel_Customer),OR(sel_Category="All",G2200=sel_Category),OR(sel_Product="All",H2200=sel_Product),AND(S2200&gt;=m_From,S2200&lt;=m_To)),1,0)</f>
        <v/>
      </c>
      <c r="V2200" s="36">
        <f>IF(AND(OR(sel_Region="All",C2200=sel_Region),OR(sel_Channel="All",E2200=sel_Channel),OR(sel_Customer="All",F2200=sel_Customer),OR(sel_Category="All",G2200=sel_Category),OR(sel_Product="All",H2200=sel_Product),AND(S2200&gt;=m_From,S2200&lt;=m_To)),1,0)</f>
        <v/>
      </c>
      <c r="W2200" s="36">
        <f>IF(AND(OR(sel_Region="All",C2200=sel_Region),OR(sel_Country="All",D2200=sel_Country),OR(sel_Customer="All",F2200=sel_Customer),OR(sel_Category="All",G2200=sel_Category),OR(sel_Product="All",H2200=sel_Product),AND(S2200&gt;=m_From,S2200&lt;=m_To)),1,0)</f>
        <v/>
      </c>
      <c r="X2200" s="36">
        <f>IF(AND(OR(sel_Region="All",C2200=sel_Region),OR(sel_Country="All",D2200=sel_Country),OR(sel_Channel="All",E2200=sel_Channel),OR(sel_Category="All",G2200=sel_Category),OR(sel_Product="All",H2200=sel_Product),AND(S2200&gt;=m_From,S2200&lt;=m_To)),1,0)</f>
        <v/>
      </c>
      <c r="Y2200" s="36">
        <f>IF(AND(OR(sel_Region="All",C2200=sel_Region),OR(sel_Country="All",D2200=sel_Country),OR(sel_Channel="All",E2200=sel_Channel),OR(sel_Customer="All",F2200=sel_Customer),OR(sel_Product="All",H2200=sel_Product),AND(S2200&gt;=m_From,S2200&lt;=m_To)),1,0)</f>
        <v/>
      </c>
      <c r="Z2200" s="36">
        <f>IF(AND(OR(sel_Region="All",C2200=sel_Region),OR(sel_Country="All",D2200=sel_Country),OR(sel_Channel="All",E2200=sel_Channel),OR(sel_Customer="All",F2200=sel_Customer),OR(sel_Category="All",G2200=sel_Category),AND(S2200&gt;=m_From,S2200&lt;=m_To)),1,0)</f>
        <v/>
      </c>
      <c r="AA2200" s="36">
        <f>IF(AND(OR(sel_Region="All",C2200=sel_Region),OR(sel_Country="All",D2200=sel_Country),OR(sel_Channel="All",E2200=sel_Channel),OR(sel_Customer="All",F2200=sel_Customer),OR(sel_Category="All",G2200=sel_Category),OR(sel_Product="All",H2200=sel_Product)),1,0)</f>
        <v/>
      </c>
    </row>
    <row r="2201">
      <c r="A2201" s="36" t="inlineStr">
        <is>
          <t>02278</t>
        </is>
      </c>
      <c r="B2201" s="44" t="n">
        <v>46321</v>
      </c>
      <c r="C2201" s="36" t="inlineStr">
        <is>
          <t>Southern Europe</t>
        </is>
      </c>
      <c r="D2201" s="36" t="inlineStr">
        <is>
          <t>Italy</t>
        </is>
      </c>
      <c r="E2201" s="36" t="inlineStr">
        <is>
          <t>Online Store</t>
        </is>
      </c>
      <c r="F2201" s="36" t="inlineStr">
        <is>
          <t>Returning</t>
        </is>
      </c>
      <c r="G2201" s="36" t="inlineStr">
        <is>
          <t>Fitness</t>
        </is>
      </c>
      <c r="H2201" s="36" t="inlineStr">
        <is>
          <t>Training Mat</t>
        </is>
      </c>
      <c r="I2201" s="36" t="n">
        <v>5</v>
      </c>
      <c r="J2201" s="39" t="n">
        <v>51.5</v>
      </c>
      <c r="K2201" s="45" t="n">
        <v>0.1</v>
      </c>
      <c r="L2201" s="39" t="n">
        <v>21.38</v>
      </c>
      <c r="M2201" s="39">
        <f>I2201*J2201*(1-K2201)</f>
        <v/>
      </c>
      <c r="N2201" s="39">
        <f>I2201*L2201</f>
        <v/>
      </c>
      <c r="O2201" s="39">
        <f>M2201-N2201</f>
        <v/>
      </c>
      <c r="P2201" s="38">
        <f>IF(M2201=0,0,O2201/M2201)</f>
        <v/>
      </c>
      <c r="Q2201" s="36">
        <f>YEAR(B2201)</f>
        <v/>
      </c>
      <c r="R2201" s="36">
        <f>"Q"&amp;ROUNDUP(MONTH(B2201)/3,0)</f>
        <v/>
      </c>
      <c r="S2201" s="36">
        <f>MONTH(B2201)</f>
        <v/>
      </c>
      <c r="T2201" s="36">
        <f>TEXT(B2201,"mmm")</f>
        <v/>
      </c>
      <c r="U2201" s="36">
        <f>IF(AND(OR(sel_Region="All",C2201=sel_Region),OR(sel_Country="All",D2201=sel_Country),OR(sel_Channel="All",E2201=sel_Channel),OR(sel_Customer="All",F2201=sel_Customer),OR(sel_Category="All",G2201=sel_Category),OR(sel_Product="All",H2201=sel_Product),AND(S2201&gt;=m_From,S2201&lt;=m_To)),1,0)</f>
        <v/>
      </c>
      <c r="V2201" s="36">
        <f>IF(AND(OR(sel_Region="All",C2201=sel_Region),OR(sel_Channel="All",E2201=sel_Channel),OR(sel_Customer="All",F2201=sel_Customer),OR(sel_Category="All",G2201=sel_Category),OR(sel_Product="All",H2201=sel_Product),AND(S2201&gt;=m_From,S2201&lt;=m_To)),1,0)</f>
        <v/>
      </c>
      <c r="W2201" s="36">
        <f>IF(AND(OR(sel_Region="All",C2201=sel_Region),OR(sel_Country="All",D2201=sel_Country),OR(sel_Customer="All",F2201=sel_Customer),OR(sel_Category="All",G2201=sel_Category),OR(sel_Product="All",H2201=sel_Product),AND(S2201&gt;=m_From,S2201&lt;=m_To)),1,0)</f>
        <v/>
      </c>
      <c r="X2201" s="36">
        <f>IF(AND(OR(sel_Region="All",C2201=sel_Region),OR(sel_Country="All",D2201=sel_Country),OR(sel_Channel="All",E2201=sel_Channel),OR(sel_Category="All",G2201=sel_Category),OR(sel_Product="All",H2201=sel_Product),AND(S2201&gt;=m_From,S2201&lt;=m_To)),1,0)</f>
        <v/>
      </c>
      <c r="Y2201" s="36">
        <f>IF(AND(OR(sel_Region="All",C2201=sel_Region),OR(sel_Country="All",D2201=sel_Country),OR(sel_Channel="All",E2201=sel_Channel),OR(sel_Customer="All",F2201=sel_Customer),OR(sel_Product="All",H2201=sel_Product),AND(S2201&gt;=m_From,S2201&lt;=m_To)),1,0)</f>
        <v/>
      </c>
      <c r="Z2201" s="36">
        <f>IF(AND(OR(sel_Region="All",C2201=sel_Region),OR(sel_Country="All",D2201=sel_Country),OR(sel_Channel="All",E2201=sel_Channel),OR(sel_Customer="All",F2201=sel_Customer),OR(sel_Category="All",G2201=sel_Category),AND(S2201&gt;=m_From,S2201&lt;=m_To)),1,0)</f>
        <v/>
      </c>
      <c r="AA2201" s="36">
        <f>IF(AND(OR(sel_Region="All",C2201=sel_Region),OR(sel_Country="All",D2201=sel_Country),OR(sel_Channel="All",E2201=sel_Channel),OR(sel_Customer="All",F2201=sel_Customer),OR(sel_Category="All",G2201=sel_Category),OR(sel_Product="All",H2201=sel_Product)),1,0)</f>
        <v/>
      </c>
    </row>
    <row r="2202">
      <c r="A2202" s="36" t="inlineStr">
        <is>
          <t>03132</t>
        </is>
      </c>
      <c r="B2202" s="44" t="n">
        <v>46321</v>
      </c>
      <c r="C2202" s="36" t="inlineStr">
        <is>
          <t>Northern Europe</t>
        </is>
      </c>
      <c r="D2202" s="36" t="inlineStr">
        <is>
          <t>Denmark</t>
        </is>
      </c>
      <c r="E2202" s="36" t="inlineStr">
        <is>
          <t>Online Store</t>
        </is>
      </c>
      <c r="F2202" s="36" t="inlineStr">
        <is>
          <t>New</t>
        </is>
      </c>
      <c r="G2202" s="36" t="inlineStr">
        <is>
          <t>Hiking</t>
        </is>
      </c>
      <c r="H2202" s="36" t="inlineStr">
        <is>
          <t>Trail Boots</t>
        </is>
      </c>
      <c r="I2202" s="36" t="n">
        <v>3</v>
      </c>
      <c r="J2202" s="39" t="n">
        <v>140.49</v>
      </c>
      <c r="K2202" s="45" t="n">
        <v>0.05</v>
      </c>
      <c r="L2202" s="39" t="n">
        <v>77.45</v>
      </c>
      <c r="M2202" s="39">
        <f>I2202*J2202*(1-K2202)</f>
        <v/>
      </c>
      <c r="N2202" s="39">
        <f>I2202*L2202</f>
        <v/>
      </c>
      <c r="O2202" s="39">
        <f>M2202-N2202</f>
        <v/>
      </c>
      <c r="P2202" s="38">
        <f>IF(M2202=0,0,O2202/M2202)</f>
        <v/>
      </c>
      <c r="Q2202" s="36">
        <f>YEAR(B2202)</f>
        <v/>
      </c>
      <c r="R2202" s="36">
        <f>"Q"&amp;ROUNDUP(MONTH(B2202)/3,0)</f>
        <v/>
      </c>
      <c r="S2202" s="36">
        <f>MONTH(B2202)</f>
        <v/>
      </c>
      <c r="T2202" s="36">
        <f>TEXT(B2202,"mmm")</f>
        <v/>
      </c>
      <c r="U2202" s="36">
        <f>IF(AND(OR(sel_Region="All",C2202=sel_Region),OR(sel_Country="All",D2202=sel_Country),OR(sel_Channel="All",E2202=sel_Channel),OR(sel_Customer="All",F2202=sel_Customer),OR(sel_Category="All",G2202=sel_Category),OR(sel_Product="All",H2202=sel_Product),AND(S2202&gt;=m_From,S2202&lt;=m_To)),1,0)</f>
        <v/>
      </c>
      <c r="V2202" s="36">
        <f>IF(AND(OR(sel_Region="All",C2202=sel_Region),OR(sel_Channel="All",E2202=sel_Channel),OR(sel_Customer="All",F2202=sel_Customer),OR(sel_Category="All",G2202=sel_Category),OR(sel_Product="All",H2202=sel_Product),AND(S2202&gt;=m_From,S2202&lt;=m_To)),1,0)</f>
        <v/>
      </c>
      <c r="W2202" s="36">
        <f>IF(AND(OR(sel_Region="All",C2202=sel_Region),OR(sel_Country="All",D2202=sel_Country),OR(sel_Customer="All",F2202=sel_Customer),OR(sel_Category="All",G2202=sel_Category),OR(sel_Product="All",H2202=sel_Product),AND(S2202&gt;=m_From,S2202&lt;=m_To)),1,0)</f>
        <v/>
      </c>
      <c r="X2202" s="36">
        <f>IF(AND(OR(sel_Region="All",C2202=sel_Region),OR(sel_Country="All",D2202=sel_Country),OR(sel_Channel="All",E2202=sel_Channel),OR(sel_Category="All",G2202=sel_Category),OR(sel_Product="All",H2202=sel_Product),AND(S2202&gt;=m_From,S2202&lt;=m_To)),1,0)</f>
        <v/>
      </c>
      <c r="Y2202" s="36">
        <f>IF(AND(OR(sel_Region="All",C2202=sel_Region),OR(sel_Country="All",D2202=sel_Country),OR(sel_Channel="All",E2202=sel_Channel),OR(sel_Customer="All",F2202=sel_Customer),OR(sel_Product="All",H2202=sel_Product),AND(S2202&gt;=m_From,S2202&lt;=m_To)),1,0)</f>
        <v/>
      </c>
      <c r="Z2202" s="36">
        <f>IF(AND(OR(sel_Region="All",C2202=sel_Region),OR(sel_Country="All",D2202=sel_Country),OR(sel_Channel="All",E2202=sel_Channel),OR(sel_Customer="All",F2202=sel_Customer),OR(sel_Category="All",G2202=sel_Category),AND(S2202&gt;=m_From,S2202&lt;=m_To)),1,0)</f>
        <v/>
      </c>
      <c r="AA2202" s="36">
        <f>IF(AND(OR(sel_Region="All",C2202=sel_Region),OR(sel_Country="All",D2202=sel_Country),OR(sel_Channel="All",E2202=sel_Channel),OR(sel_Customer="All",F2202=sel_Customer),OR(sel_Category="All",G2202=sel_Category),OR(sel_Product="All",H2202=sel_Product)),1,0)</f>
        <v/>
      </c>
    </row>
    <row r="2203">
      <c r="A2203" s="36" t="inlineStr">
        <is>
          <t>03144</t>
        </is>
      </c>
      <c r="B2203" s="44" t="n">
        <v>46321</v>
      </c>
      <c r="C2203" s="36" t="inlineStr">
        <is>
          <t>Northern Europe</t>
        </is>
      </c>
      <c r="D2203" s="36" t="inlineStr">
        <is>
          <t>Sweden</t>
        </is>
      </c>
      <c r="E2203" s="36" t="inlineStr">
        <is>
          <t>Marketplace</t>
        </is>
      </c>
      <c r="F2203" s="36" t="inlineStr">
        <is>
          <t>New</t>
        </is>
      </c>
      <c r="G2203" s="36" t="inlineStr">
        <is>
          <t>Fitness</t>
        </is>
      </c>
      <c r="H2203" s="36" t="inlineStr">
        <is>
          <t>Recovery Roller</t>
        </is>
      </c>
      <c r="I2203" s="36" t="n">
        <v>4</v>
      </c>
      <c r="J2203" s="39" t="n">
        <v>36.2</v>
      </c>
      <c r="K2203" s="45" t="n">
        <v>0.15</v>
      </c>
      <c r="L2203" s="39" t="n">
        <v>13.53</v>
      </c>
      <c r="M2203" s="39">
        <f>I2203*J2203*(1-K2203)</f>
        <v/>
      </c>
      <c r="N2203" s="39">
        <f>I2203*L2203</f>
        <v/>
      </c>
      <c r="O2203" s="39">
        <f>M2203-N2203</f>
        <v/>
      </c>
      <c r="P2203" s="38">
        <f>IF(M2203=0,0,O2203/M2203)</f>
        <v/>
      </c>
      <c r="Q2203" s="36">
        <f>YEAR(B2203)</f>
        <v/>
      </c>
      <c r="R2203" s="36">
        <f>"Q"&amp;ROUNDUP(MONTH(B2203)/3,0)</f>
        <v/>
      </c>
      <c r="S2203" s="36">
        <f>MONTH(B2203)</f>
        <v/>
      </c>
      <c r="T2203" s="36">
        <f>TEXT(B2203,"mmm")</f>
        <v/>
      </c>
      <c r="U2203" s="36">
        <f>IF(AND(OR(sel_Region="All",C2203=sel_Region),OR(sel_Country="All",D2203=sel_Country),OR(sel_Channel="All",E2203=sel_Channel),OR(sel_Customer="All",F2203=sel_Customer),OR(sel_Category="All",G2203=sel_Category),OR(sel_Product="All",H2203=sel_Product),AND(S2203&gt;=m_From,S2203&lt;=m_To)),1,0)</f>
        <v/>
      </c>
      <c r="V2203" s="36">
        <f>IF(AND(OR(sel_Region="All",C2203=sel_Region),OR(sel_Channel="All",E2203=sel_Channel),OR(sel_Customer="All",F2203=sel_Customer),OR(sel_Category="All",G2203=sel_Category),OR(sel_Product="All",H2203=sel_Product),AND(S2203&gt;=m_From,S2203&lt;=m_To)),1,0)</f>
        <v/>
      </c>
      <c r="W2203" s="36">
        <f>IF(AND(OR(sel_Region="All",C2203=sel_Region),OR(sel_Country="All",D2203=sel_Country),OR(sel_Customer="All",F2203=sel_Customer),OR(sel_Category="All",G2203=sel_Category),OR(sel_Product="All",H2203=sel_Product),AND(S2203&gt;=m_From,S2203&lt;=m_To)),1,0)</f>
        <v/>
      </c>
      <c r="X2203" s="36">
        <f>IF(AND(OR(sel_Region="All",C2203=sel_Region),OR(sel_Country="All",D2203=sel_Country),OR(sel_Channel="All",E2203=sel_Channel),OR(sel_Category="All",G2203=sel_Category),OR(sel_Product="All",H2203=sel_Product),AND(S2203&gt;=m_From,S2203&lt;=m_To)),1,0)</f>
        <v/>
      </c>
      <c r="Y2203" s="36">
        <f>IF(AND(OR(sel_Region="All",C2203=sel_Region),OR(sel_Country="All",D2203=sel_Country),OR(sel_Channel="All",E2203=sel_Channel),OR(sel_Customer="All",F2203=sel_Customer),OR(sel_Product="All",H2203=sel_Product),AND(S2203&gt;=m_From,S2203&lt;=m_To)),1,0)</f>
        <v/>
      </c>
      <c r="Z2203" s="36">
        <f>IF(AND(OR(sel_Region="All",C2203=sel_Region),OR(sel_Country="All",D2203=sel_Country),OR(sel_Channel="All",E2203=sel_Channel),OR(sel_Customer="All",F2203=sel_Customer),OR(sel_Category="All",G2203=sel_Category),AND(S2203&gt;=m_From,S2203&lt;=m_To)),1,0)</f>
        <v/>
      </c>
      <c r="AA2203" s="36">
        <f>IF(AND(OR(sel_Region="All",C2203=sel_Region),OR(sel_Country="All",D2203=sel_Country),OR(sel_Channel="All",E2203=sel_Channel),OR(sel_Customer="All",F2203=sel_Customer),OR(sel_Category="All",G2203=sel_Category),OR(sel_Product="All",H2203=sel_Product)),1,0)</f>
        <v/>
      </c>
    </row>
    <row r="2204">
      <c r="A2204" s="36" t="inlineStr">
        <is>
          <t>03501</t>
        </is>
      </c>
      <c r="B2204" s="44" t="n">
        <v>46321</v>
      </c>
      <c r="C2204" s="36" t="inlineStr">
        <is>
          <t>Western Europe</t>
        </is>
      </c>
      <c r="D2204" s="36" t="inlineStr">
        <is>
          <t>Netherlands</t>
        </is>
      </c>
      <c r="E2204" s="36" t="inlineStr">
        <is>
          <t>Retail Partners</t>
        </is>
      </c>
      <c r="F2204" s="36" t="inlineStr">
        <is>
          <t>New</t>
        </is>
      </c>
      <c r="G2204" s="36" t="inlineStr">
        <is>
          <t>Camping</t>
        </is>
      </c>
      <c r="H2204" s="36" t="inlineStr">
        <is>
          <t>Compact Sleeping Bag</t>
        </is>
      </c>
      <c r="I2204" s="36" t="n">
        <v>1</v>
      </c>
      <c r="J2204" s="39" t="n">
        <v>120.5</v>
      </c>
      <c r="K2204" s="45" t="n">
        <v>0.05</v>
      </c>
      <c r="L2204" s="39" t="n">
        <v>61.71</v>
      </c>
      <c r="M2204" s="39">
        <f>I2204*J2204*(1-K2204)</f>
        <v/>
      </c>
      <c r="N2204" s="39">
        <f>I2204*L2204</f>
        <v/>
      </c>
      <c r="O2204" s="39">
        <f>M2204-N2204</f>
        <v/>
      </c>
      <c r="P2204" s="38">
        <f>IF(M2204=0,0,O2204/M2204)</f>
        <v/>
      </c>
      <c r="Q2204" s="36">
        <f>YEAR(B2204)</f>
        <v/>
      </c>
      <c r="R2204" s="36">
        <f>"Q"&amp;ROUNDUP(MONTH(B2204)/3,0)</f>
        <v/>
      </c>
      <c r="S2204" s="36">
        <f>MONTH(B2204)</f>
        <v/>
      </c>
      <c r="T2204" s="36">
        <f>TEXT(B2204,"mmm")</f>
        <v/>
      </c>
      <c r="U2204" s="36">
        <f>IF(AND(OR(sel_Region="All",C2204=sel_Region),OR(sel_Country="All",D2204=sel_Country),OR(sel_Channel="All",E2204=sel_Channel),OR(sel_Customer="All",F2204=sel_Customer),OR(sel_Category="All",G2204=sel_Category),OR(sel_Product="All",H2204=sel_Product),AND(S2204&gt;=m_From,S2204&lt;=m_To)),1,0)</f>
        <v/>
      </c>
      <c r="V2204" s="36">
        <f>IF(AND(OR(sel_Region="All",C2204=sel_Region),OR(sel_Channel="All",E2204=sel_Channel),OR(sel_Customer="All",F2204=sel_Customer),OR(sel_Category="All",G2204=sel_Category),OR(sel_Product="All",H2204=sel_Product),AND(S2204&gt;=m_From,S2204&lt;=m_To)),1,0)</f>
        <v/>
      </c>
      <c r="W2204" s="36">
        <f>IF(AND(OR(sel_Region="All",C2204=sel_Region),OR(sel_Country="All",D2204=sel_Country),OR(sel_Customer="All",F2204=sel_Customer),OR(sel_Category="All",G2204=sel_Category),OR(sel_Product="All",H2204=sel_Product),AND(S2204&gt;=m_From,S2204&lt;=m_To)),1,0)</f>
        <v/>
      </c>
      <c r="X2204" s="36">
        <f>IF(AND(OR(sel_Region="All",C2204=sel_Region),OR(sel_Country="All",D2204=sel_Country),OR(sel_Channel="All",E2204=sel_Channel),OR(sel_Category="All",G2204=sel_Category),OR(sel_Product="All",H2204=sel_Product),AND(S2204&gt;=m_From,S2204&lt;=m_To)),1,0)</f>
        <v/>
      </c>
      <c r="Y2204" s="36">
        <f>IF(AND(OR(sel_Region="All",C2204=sel_Region),OR(sel_Country="All",D2204=sel_Country),OR(sel_Channel="All",E2204=sel_Channel),OR(sel_Customer="All",F2204=sel_Customer),OR(sel_Product="All",H2204=sel_Product),AND(S2204&gt;=m_From,S2204&lt;=m_To)),1,0)</f>
        <v/>
      </c>
      <c r="Z2204" s="36">
        <f>IF(AND(OR(sel_Region="All",C2204=sel_Region),OR(sel_Country="All",D2204=sel_Country),OR(sel_Channel="All",E2204=sel_Channel),OR(sel_Customer="All",F2204=sel_Customer),OR(sel_Category="All",G2204=sel_Category),AND(S2204&gt;=m_From,S2204&lt;=m_To)),1,0)</f>
        <v/>
      </c>
      <c r="AA2204" s="36">
        <f>IF(AND(OR(sel_Region="All",C2204=sel_Region),OR(sel_Country="All",D2204=sel_Country),OR(sel_Channel="All",E2204=sel_Channel),OR(sel_Customer="All",F2204=sel_Customer),OR(sel_Category="All",G2204=sel_Category),OR(sel_Product="All",H2204=sel_Product)),1,0)</f>
        <v/>
      </c>
    </row>
    <row r="2205">
      <c r="A2205" s="36" t="inlineStr">
        <is>
          <t>00458</t>
        </is>
      </c>
      <c r="B2205" s="44" t="n">
        <v>46322</v>
      </c>
      <c r="C2205" s="36" t="inlineStr">
        <is>
          <t>Northern Europe</t>
        </is>
      </c>
      <c r="D2205" s="36" t="inlineStr">
        <is>
          <t>Sweden</t>
        </is>
      </c>
      <c r="E2205" s="36" t="inlineStr">
        <is>
          <t>Retail Partners</t>
        </is>
      </c>
      <c r="F2205" s="36" t="inlineStr">
        <is>
          <t>Business</t>
        </is>
      </c>
      <c r="G2205" s="36" t="inlineStr">
        <is>
          <t>Cycling</t>
        </is>
      </c>
      <c r="H2205" s="36" t="inlineStr">
        <is>
          <t>Cycling Pack 12L</t>
        </is>
      </c>
      <c r="I2205" s="36" t="n">
        <v>1</v>
      </c>
      <c r="J2205" s="39" t="n">
        <v>102.44</v>
      </c>
      <c r="K2205" s="45" t="n">
        <v>0.05</v>
      </c>
      <c r="L2205" s="39" t="n">
        <v>49.14</v>
      </c>
      <c r="M2205" s="39">
        <f>I2205*J2205*(1-K2205)</f>
        <v/>
      </c>
      <c r="N2205" s="39">
        <f>I2205*L2205</f>
        <v/>
      </c>
      <c r="O2205" s="39">
        <f>M2205-N2205</f>
        <v/>
      </c>
      <c r="P2205" s="38">
        <f>IF(M2205=0,0,O2205/M2205)</f>
        <v/>
      </c>
      <c r="Q2205" s="36">
        <f>YEAR(B2205)</f>
        <v/>
      </c>
      <c r="R2205" s="36">
        <f>"Q"&amp;ROUNDUP(MONTH(B2205)/3,0)</f>
        <v/>
      </c>
      <c r="S2205" s="36">
        <f>MONTH(B2205)</f>
        <v/>
      </c>
      <c r="T2205" s="36">
        <f>TEXT(B2205,"mmm")</f>
        <v/>
      </c>
      <c r="U2205" s="36">
        <f>IF(AND(OR(sel_Region="All",C2205=sel_Region),OR(sel_Country="All",D2205=sel_Country),OR(sel_Channel="All",E2205=sel_Channel),OR(sel_Customer="All",F2205=sel_Customer),OR(sel_Category="All",G2205=sel_Category),OR(sel_Product="All",H2205=sel_Product),AND(S2205&gt;=m_From,S2205&lt;=m_To)),1,0)</f>
        <v/>
      </c>
      <c r="V2205" s="36">
        <f>IF(AND(OR(sel_Region="All",C2205=sel_Region),OR(sel_Channel="All",E2205=sel_Channel),OR(sel_Customer="All",F2205=sel_Customer),OR(sel_Category="All",G2205=sel_Category),OR(sel_Product="All",H2205=sel_Product),AND(S2205&gt;=m_From,S2205&lt;=m_To)),1,0)</f>
        <v/>
      </c>
      <c r="W2205" s="36">
        <f>IF(AND(OR(sel_Region="All",C2205=sel_Region),OR(sel_Country="All",D2205=sel_Country),OR(sel_Customer="All",F2205=sel_Customer),OR(sel_Category="All",G2205=sel_Category),OR(sel_Product="All",H2205=sel_Product),AND(S2205&gt;=m_From,S2205&lt;=m_To)),1,0)</f>
        <v/>
      </c>
      <c r="X2205" s="36">
        <f>IF(AND(OR(sel_Region="All",C2205=sel_Region),OR(sel_Country="All",D2205=sel_Country),OR(sel_Channel="All",E2205=sel_Channel),OR(sel_Category="All",G2205=sel_Category),OR(sel_Product="All",H2205=sel_Product),AND(S2205&gt;=m_From,S2205&lt;=m_To)),1,0)</f>
        <v/>
      </c>
      <c r="Y2205" s="36">
        <f>IF(AND(OR(sel_Region="All",C2205=sel_Region),OR(sel_Country="All",D2205=sel_Country),OR(sel_Channel="All",E2205=sel_Channel),OR(sel_Customer="All",F2205=sel_Customer),OR(sel_Product="All",H2205=sel_Product),AND(S2205&gt;=m_From,S2205&lt;=m_To)),1,0)</f>
        <v/>
      </c>
      <c r="Z2205" s="36">
        <f>IF(AND(OR(sel_Region="All",C2205=sel_Region),OR(sel_Country="All",D2205=sel_Country),OR(sel_Channel="All",E2205=sel_Channel),OR(sel_Customer="All",F2205=sel_Customer),OR(sel_Category="All",G2205=sel_Category),AND(S2205&gt;=m_From,S2205&lt;=m_To)),1,0)</f>
        <v/>
      </c>
      <c r="AA2205" s="36">
        <f>IF(AND(OR(sel_Region="All",C2205=sel_Region),OR(sel_Country="All",D2205=sel_Country),OR(sel_Channel="All",E2205=sel_Channel),OR(sel_Customer="All",F2205=sel_Customer),OR(sel_Category="All",G2205=sel_Category),OR(sel_Product="All",H2205=sel_Product)),1,0)</f>
        <v/>
      </c>
    </row>
    <row r="2206">
      <c r="A2206" s="36" t="inlineStr">
        <is>
          <t>01065</t>
        </is>
      </c>
      <c r="B2206" s="44" t="n">
        <v>46322</v>
      </c>
      <c r="C2206" s="36" t="inlineStr">
        <is>
          <t>Northern Europe</t>
        </is>
      </c>
      <c r="D2206" s="36" t="inlineStr">
        <is>
          <t>Denmark</t>
        </is>
      </c>
      <c r="E2206" s="36" t="inlineStr">
        <is>
          <t>Online Store</t>
        </is>
      </c>
      <c r="F2206" s="36" t="inlineStr">
        <is>
          <t>New</t>
        </is>
      </c>
      <c r="G2206" s="36" t="inlineStr">
        <is>
          <t>Fitness</t>
        </is>
      </c>
      <c r="H2206" s="36" t="inlineStr">
        <is>
          <t>Weighted Vest</t>
        </is>
      </c>
      <c r="I2206" s="36" t="n">
        <v>6</v>
      </c>
      <c r="J2206" s="39" t="n">
        <v>121.58</v>
      </c>
      <c r="K2206" s="45" t="n">
        <v>0.15</v>
      </c>
      <c r="L2206" s="39" t="n">
        <v>68.86</v>
      </c>
      <c r="M2206" s="39">
        <f>I2206*J2206*(1-K2206)</f>
        <v/>
      </c>
      <c r="N2206" s="39">
        <f>I2206*L2206</f>
        <v/>
      </c>
      <c r="O2206" s="39">
        <f>M2206-N2206</f>
        <v/>
      </c>
      <c r="P2206" s="38">
        <f>IF(M2206=0,0,O2206/M2206)</f>
        <v/>
      </c>
      <c r="Q2206" s="36">
        <f>YEAR(B2206)</f>
        <v/>
      </c>
      <c r="R2206" s="36">
        <f>"Q"&amp;ROUNDUP(MONTH(B2206)/3,0)</f>
        <v/>
      </c>
      <c r="S2206" s="36">
        <f>MONTH(B2206)</f>
        <v/>
      </c>
      <c r="T2206" s="36">
        <f>TEXT(B2206,"mmm")</f>
        <v/>
      </c>
      <c r="U2206" s="36">
        <f>IF(AND(OR(sel_Region="All",C2206=sel_Region),OR(sel_Country="All",D2206=sel_Country),OR(sel_Channel="All",E2206=sel_Channel),OR(sel_Customer="All",F2206=sel_Customer),OR(sel_Category="All",G2206=sel_Category),OR(sel_Product="All",H2206=sel_Product),AND(S2206&gt;=m_From,S2206&lt;=m_To)),1,0)</f>
        <v/>
      </c>
      <c r="V2206" s="36">
        <f>IF(AND(OR(sel_Region="All",C2206=sel_Region),OR(sel_Channel="All",E2206=sel_Channel),OR(sel_Customer="All",F2206=sel_Customer),OR(sel_Category="All",G2206=sel_Category),OR(sel_Product="All",H2206=sel_Product),AND(S2206&gt;=m_From,S2206&lt;=m_To)),1,0)</f>
        <v/>
      </c>
      <c r="W2206" s="36">
        <f>IF(AND(OR(sel_Region="All",C2206=sel_Region),OR(sel_Country="All",D2206=sel_Country),OR(sel_Customer="All",F2206=sel_Customer),OR(sel_Category="All",G2206=sel_Category),OR(sel_Product="All",H2206=sel_Product),AND(S2206&gt;=m_From,S2206&lt;=m_To)),1,0)</f>
        <v/>
      </c>
      <c r="X2206" s="36">
        <f>IF(AND(OR(sel_Region="All",C2206=sel_Region),OR(sel_Country="All",D2206=sel_Country),OR(sel_Channel="All",E2206=sel_Channel),OR(sel_Category="All",G2206=sel_Category),OR(sel_Product="All",H2206=sel_Product),AND(S2206&gt;=m_From,S2206&lt;=m_To)),1,0)</f>
        <v/>
      </c>
      <c r="Y2206" s="36">
        <f>IF(AND(OR(sel_Region="All",C2206=sel_Region),OR(sel_Country="All",D2206=sel_Country),OR(sel_Channel="All",E2206=sel_Channel),OR(sel_Customer="All",F2206=sel_Customer),OR(sel_Product="All",H2206=sel_Product),AND(S2206&gt;=m_From,S2206&lt;=m_To)),1,0)</f>
        <v/>
      </c>
      <c r="Z2206" s="36">
        <f>IF(AND(OR(sel_Region="All",C2206=sel_Region),OR(sel_Country="All",D2206=sel_Country),OR(sel_Channel="All",E2206=sel_Channel),OR(sel_Customer="All",F2206=sel_Customer),OR(sel_Category="All",G2206=sel_Category),AND(S2206&gt;=m_From,S2206&lt;=m_To)),1,0)</f>
        <v/>
      </c>
      <c r="AA2206" s="36">
        <f>IF(AND(OR(sel_Region="All",C2206=sel_Region),OR(sel_Country="All",D2206=sel_Country),OR(sel_Channel="All",E2206=sel_Channel),OR(sel_Customer="All",F2206=sel_Customer),OR(sel_Category="All",G2206=sel_Category),OR(sel_Product="All",H2206=sel_Product)),1,0)</f>
        <v/>
      </c>
    </row>
    <row r="2207">
      <c r="A2207" s="36" t="inlineStr">
        <is>
          <t>01707</t>
        </is>
      </c>
      <c r="B2207" s="44" t="n">
        <v>46322</v>
      </c>
      <c r="C2207" s="36" t="inlineStr">
        <is>
          <t>Northern Europe</t>
        </is>
      </c>
      <c r="D2207" s="36" t="inlineStr">
        <is>
          <t>Norway</t>
        </is>
      </c>
      <c r="E2207" s="36" t="inlineStr">
        <is>
          <t>Online Store</t>
        </is>
      </c>
      <c r="F2207" s="36" t="inlineStr">
        <is>
          <t>New</t>
        </is>
      </c>
      <c r="G2207" s="36" t="inlineStr">
        <is>
          <t>Travel</t>
        </is>
      </c>
      <c r="H2207" s="36" t="inlineStr">
        <is>
          <t>Insulated Bottle</t>
        </is>
      </c>
      <c r="I2207" s="36" t="n">
        <v>2</v>
      </c>
      <c r="J2207" s="39" t="n">
        <v>35.36</v>
      </c>
      <c r="K2207" s="45" t="n">
        <v>0</v>
      </c>
      <c r="L2207" s="39" t="n">
        <v>13.33</v>
      </c>
      <c r="M2207" s="39">
        <f>I2207*J2207*(1-K2207)</f>
        <v/>
      </c>
      <c r="N2207" s="39">
        <f>I2207*L2207</f>
        <v/>
      </c>
      <c r="O2207" s="39">
        <f>M2207-N2207</f>
        <v/>
      </c>
      <c r="P2207" s="38">
        <f>IF(M2207=0,0,O2207/M2207)</f>
        <v/>
      </c>
      <c r="Q2207" s="36">
        <f>YEAR(B2207)</f>
        <v/>
      </c>
      <c r="R2207" s="36">
        <f>"Q"&amp;ROUNDUP(MONTH(B2207)/3,0)</f>
        <v/>
      </c>
      <c r="S2207" s="36">
        <f>MONTH(B2207)</f>
        <v/>
      </c>
      <c r="T2207" s="36">
        <f>TEXT(B2207,"mmm")</f>
        <v/>
      </c>
      <c r="U2207" s="36">
        <f>IF(AND(OR(sel_Region="All",C2207=sel_Region),OR(sel_Country="All",D2207=sel_Country),OR(sel_Channel="All",E2207=sel_Channel),OR(sel_Customer="All",F2207=sel_Customer),OR(sel_Category="All",G2207=sel_Category),OR(sel_Product="All",H2207=sel_Product),AND(S2207&gt;=m_From,S2207&lt;=m_To)),1,0)</f>
        <v/>
      </c>
      <c r="V2207" s="36">
        <f>IF(AND(OR(sel_Region="All",C2207=sel_Region),OR(sel_Channel="All",E2207=sel_Channel),OR(sel_Customer="All",F2207=sel_Customer),OR(sel_Category="All",G2207=sel_Category),OR(sel_Product="All",H2207=sel_Product),AND(S2207&gt;=m_From,S2207&lt;=m_To)),1,0)</f>
        <v/>
      </c>
      <c r="W2207" s="36">
        <f>IF(AND(OR(sel_Region="All",C2207=sel_Region),OR(sel_Country="All",D2207=sel_Country),OR(sel_Customer="All",F2207=sel_Customer),OR(sel_Category="All",G2207=sel_Category),OR(sel_Product="All",H2207=sel_Product),AND(S2207&gt;=m_From,S2207&lt;=m_To)),1,0)</f>
        <v/>
      </c>
      <c r="X2207" s="36">
        <f>IF(AND(OR(sel_Region="All",C2207=sel_Region),OR(sel_Country="All",D2207=sel_Country),OR(sel_Channel="All",E2207=sel_Channel),OR(sel_Category="All",G2207=sel_Category),OR(sel_Product="All",H2207=sel_Product),AND(S2207&gt;=m_From,S2207&lt;=m_To)),1,0)</f>
        <v/>
      </c>
      <c r="Y2207" s="36">
        <f>IF(AND(OR(sel_Region="All",C2207=sel_Region),OR(sel_Country="All",D2207=sel_Country),OR(sel_Channel="All",E2207=sel_Channel),OR(sel_Customer="All",F2207=sel_Customer),OR(sel_Product="All",H2207=sel_Product),AND(S2207&gt;=m_From,S2207&lt;=m_To)),1,0)</f>
        <v/>
      </c>
      <c r="Z2207" s="36">
        <f>IF(AND(OR(sel_Region="All",C2207=sel_Region),OR(sel_Country="All",D2207=sel_Country),OR(sel_Channel="All",E2207=sel_Channel),OR(sel_Customer="All",F2207=sel_Customer),OR(sel_Category="All",G2207=sel_Category),AND(S2207&gt;=m_From,S2207&lt;=m_To)),1,0)</f>
        <v/>
      </c>
      <c r="AA2207" s="36">
        <f>IF(AND(OR(sel_Region="All",C2207=sel_Region),OR(sel_Country="All",D2207=sel_Country),OR(sel_Channel="All",E2207=sel_Channel),OR(sel_Customer="All",F2207=sel_Customer),OR(sel_Category="All",G2207=sel_Category),OR(sel_Product="All",H2207=sel_Product)),1,0)</f>
        <v/>
      </c>
    </row>
    <row r="2208">
      <c r="A2208" s="36" t="inlineStr">
        <is>
          <t>01989</t>
        </is>
      </c>
      <c r="B2208" s="44" t="n">
        <v>46322</v>
      </c>
      <c r="C2208" s="36" t="inlineStr">
        <is>
          <t>Western Europe</t>
        </is>
      </c>
      <c r="D2208" s="36" t="inlineStr">
        <is>
          <t>Belgium</t>
        </is>
      </c>
      <c r="E2208" s="36" t="inlineStr">
        <is>
          <t>Online Store</t>
        </is>
      </c>
      <c r="F2208" s="36" t="inlineStr">
        <is>
          <t>New</t>
        </is>
      </c>
      <c r="G2208" s="36" t="inlineStr">
        <is>
          <t>Camping</t>
        </is>
      </c>
      <c r="H2208" s="36" t="inlineStr">
        <is>
          <t>Alpine Tent 4P</t>
        </is>
      </c>
      <c r="I2208" s="36" t="n">
        <v>2</v>
      </c>
      <c r="J2208" s="39" t="n">
        <v>335.73</v>
      </c>
      <c r="K2208" s="45" t="n">
        <v>0</v>
      </c>
      <c r="L2208" s="39" t="n">
        <v>199.44</v>
      </c>
      <c r="M2208" s="39">
        <f>I2208*J2208*(1-K2208)</f>
        <v/>
      </c>
      <c r="N2208" s="39">
        <f>I2208*L2208</f>
        <v/>
      </c>
      <c r="O2208" s="39">
        <f>M2208-N2208</f>
        <v/>
      </c>
      <c r="P2208" s="38">
        <f>IF(M2208=0,0,O2208/M2208)</f>
        <v/>
      </c>
      <c r="Q2208" s="36">
        <f>YEAR(B2208)</f>
        <v/>
      </c>
      <c r="R2208" s="36">
        <f>"Q"&amp;ROUNDUP(MONTH(B2208)/3,0)</f>
        <v/>
      </c>
      <c r="S2208" s="36">
        <f>MONTH(B2208)</f>
        <v/>
      </c>
      <c r="T2208" s="36">
        <f>TEXT(B2208,"mmm")</f>
        <v/>
      </c>
      <c r="U2208" s="36">
        <f>IF(AND(OR(sel_Region="All",C2208=sel_Region),OR(sel_Country="All",D2208=sel_Country),OR(sel_Channel="All",E2208=sel_Channel),OR(sel_Customer="All",F2208=sel_Customer),OR(sel_Category="All",G2208=sel_Category),OR(sel_Product="All",H2208=sel_Product),AND(S2208&gt;=m_From,S2208&lt;=m_To)),1,0)</f>
        <v/>
      </c>
      <c r="V2208" s="36">
        <f>IF(AND(OR(sel_Region="All",C2208=sel_Region),OR(sel_Channel="All",E2208=sel_Channel),OR(sel_Customer="All",F2208=sel_Customer),OR(sel_Category="All",G2208=sel_Category),OR(sel_Product="All",H2208=sel_Product),AND(S2208&gt;=m_From,S2208&lt;=m_To)),1,0)</f>
        <v/>
      </c>
      <c r="W2208" s="36">
        <f>IF(AND(OR(sel_Region="All",C2208=sel_Region),OR(sel_Country="All",D2208=sel_Country),OR(sel_Customer="All",F2208=sel_Customer),OR(sel_Category="All",G2208=sel_Category),OR(sel_Product="All",H2208=sel_Product),AND(S2208&gt;=m_From,S2208&lt;=m_To)),1,0)</f>
        <v/>
      </c>
      <c r="X2208" s="36">
        <f>IF(AND(OR(sel_Region="All",C2208=sel_Region),OR(sel_Country="All",D2208=sel_Country),OR(sel_Channel="All",E2208=sel_Channel),OR(sel_Category="All",G2208=sel_Category),OR(sel_Product="All",H2208=sel_Product),AND(S2208&gt;=m_From,S2208&lt;=m_To)),1,0)</f>
        <v/>
      </c>
      <c r="Y2208" s="36">
        <f>IF(AND(OR(sel_Region="All",C2208=sel_Region),OR(sel_Country="All",D2208=sel_Country),OR(sel_Channel="All",E2208=sel_Channel),OR(sel_Customer="All",F2208=sel_Customer),OR(sel_Product="All",H2208=sel_Product),AND(S2208&gt;=m_From,S2208&lt;=m_To)),1,0)</f>
        <v/>
      </c>
      <c r="Z2208" s="36">
        <f>IF(AND(OR(sel_Region="All",C2208=sel_Region),OR(sel_Country="All",D2208=sel_Country),OR(sel_Channel="All",E2208=sel_Channel),OR(sel_Customer="All",F2208=sel_Customer),OR(sel_Category="All",G2208=sel_Category),AND(S2208&gt;=m_From,S2208&lt;=m_To)),1,0)</f>
        <v/>
      </c>
      <c r="AA2208" s="36">
        <f>IF(AND(OR(sel_Region="All",C2208=sel_Region),OR(sel_Country="All",D2208=sel_Country),OR(sel_Channel="All",E2208=sel_Channel),OR(sel_Customer="All",F2208=sel_Customer),OR(sel_Category="All",G2208=sel_Category),OR(sel_Product="All",H2208=sel_Product)),1,0)</f>
        <v/>
      </c>
    </row>
    <row r="2209">
      <c r="A2209" s="36" t="inlineStr">
        <is>
          <t>02852</t>
        </is>
      </c>
      <c r="B2209" s="44" t="n">
        <v>46322</v>
      </c>
      <c r="C2209" s="36" t="inlineStr">
        <is>
          <t>Central Europe</t>
        </is>
      </c>
      <c r="D2209" s="36" t="inlineStr">
        <is>
          <t>Germany</t>
        </is>
      </c>
      <c r="E2209" s="36" t="inlineStr">
        <is>
          <t>Corporate</t>
        </is>
      </c>
      <c r="F2209" s="36" t="inlineStr">
        <is>
          <t>Business</t>
        </is>
      </c>
      <c r="G2209" s="36" t="inlineStr">
        <is>
          <t>Hiking</t>
        </is>
      </c>
      <c r="H2209" s="36" t="inlineStr">
        <is>
          <t>Trail Boots</t>
        </is>
      </c>
      <c r="I2209" s="36" t="n">
        <v>3</v>
      </c>
      <c r="J2209" s="39" t="n">
        <v>141.96</v>
      </c>
      <c r="K2209" s="45" t="n">
        <v>0.1</v>
      </c>
      <c r="L2209" s="39" t="n">
        <v>77.42</v>
      </c>
      <c r="M2209" s="39">
        <f>I2209*J2209*(1-K2209)</f>
        <v/>
      </c>
      <c r="N2209" s="39">
        <f>I2209*L2209</f>
        <v/>
      </c>
      <c r="O2209" s="39">
        <f>M2209-N2209</f>
        <v/>
      </c>
      <c r="P2209" s="38">
        <f>IF(M2209=0,0,O2209/M2209)</f>
        <v/>
      </c>
      <c r="Q2209" s="36">
        <f>YEAR(B2209)</f>
        <v/>
      </c>
      <c r="R2209" s="36">
        <f>"Q"&amp;ROUNDUP(MONTH(B2209)/3,0)</f>
        <v/>
      </c>
      <c r="S2209" s="36">
        <f>MONTH(B2209)</f>
        <v/>
      </c>
      <c r="T2209" s="36">
        <f>TEXT(B2209,"mmm")</f>
        <v/>
      </c>
      <c r="U2209" s="36">
        <f>IF(AND(OR(sel_Region="All",C2209=sel_Region),OR(sel_Country="All",D2209=sel_Country),OR(sel_Channel="All",E2209=sel_Channel),OR(sel_Customer="All",F2209=sel_Customer),OR(sel_Category="All",G2209=sel_Category),OR(sel_Product="All",H2209=sel_Product),AND(S2209&gt;=m_From,S2209&lt;=m_To)),1,0)</f>
        <v/>
      </c>
      <c r="V2209" s="36">
        <f>IF(AND(OR(sel_Region="All",C2209=sel_Region),OR(sel_Channel="All",E2209=sel_Channel),OR(sel_Customer="All",F2209=sel_Customer),OR(sel_Category="All",G2209=sel_Category),OR(sel_Product="All",H2209=sel_Product),AND(S2209&gt;=m_From,S2209&lt;=m_To)),1,0)</f>
        <v/>
      </c>
      <c r="W2209" s="36">
        <f>IF(AND(OR(sel_Region="All",C2209=sel_Region),OR(sel_Country="All",D2209=sel_Country),OR(sel_Customer="All",F2209=sel_Customer),OR(sel_Category="All",G2209=sel_Category),OR(sel_Product="All",H2209=sel_Product),AND(S2209&gt;=m_From,S2209&lt;=m_To)),1,0)</f>
        <v/>
      </c>
      <c r="X2209" s="36">
        <f>IF(AND(OR(sel_Region="All",C2209=sel_Region),OR(sel_Country="All",D2209=sel_Country),OR(sel_Channel="All",E2209=sel_Channel),OR(sel_Category="All",G2209=sel_Category),OR(sel_Product="All",H2209=sel_Product),AND(S2209&gt;=m_From,S2209&lt;=m_To)),1,0)</f>
        <v/>
      </c>
      <c r="Y2209" s="36">
        <f>IF(AND(OR(sel_Region="All",C2209=sel_Region),OR(sel_Country="All",D2209=sel_Country),OR(sel_Channel="All",E2209=sel_Channel),OR(sel_Customer="All",F2209=sel_Customer),OR(sel_Product="All",H2209=sel_Product),AND(S2209&gt;=m_From,S2209&lt;=m_To)),1,0)</f>
        <v/>
      </c>
      <c r="Z2209" s="36">
        <f>IF(AND(OR(sel_Region="All",C2209=sel_Region),OR(sel_Country="All",D2209=sel_Country),OR(sel_Channel="All",E2209=sel_Channel),OR(sel_Customer="All",F2209=sel_Customer),OR(sel_Category="All",G2209=sel_Category),AND(S2209&gt;=m_From,S2209&lt;=m_To)),1,0)</f>
        <v/>
      </c>
      <c r="AA2209" s="36">
        <f>IF(AND(OR(sel_Region="All",C2209=sel_Region),OR(sel_Country="All",D2209=sel_Country),OR(sel_Channel="All",E2209=sel_Channel),OR(sel_Customer="All",F2209=sel_Customer),OR(sel_Category="All",G2209=sel_Category),OR(sel_Product="All",H2209=sel_Product)),1,0)</f>
        <v/>
      </c>
    </row>
    <row r="2210">
      <c r="A2210" s="36" t="inlineStr">
        <is>
          <t>04762</t>
        </is>
      </c>
      <c r="B2210" s="44" t="n">
        <v>46322</v>
      </c>
      <c r="C2210" s="36" t="inlineStr">
        <is>
          <t>Central Europe</t>
        </is>
      </c>
      <c r="D2210" s="36" t="inlineStr">
        <is>
          <t>Germany</t>
        </is>
      </c>
      <c r="E2210" s="36" t="inlineStr">
        <is>
          <t>Marketplace</t>
        </is>
      </c>
      <c r="F2210" s="36" t="inlineStr">
        <is>
          <t>New</t>
        </is>
      </c>
      <c r="G2210" s="36" t="inlineStr">
        <is>
          <t>Fitness</t>
        </is>
      </c>
      <c r="H2210" s="36" t="inlineStr">
        <is>
          <t>Training Mat</t>
        </is>
      </c>
      <c r="I2210" s="36" t="n">
        <v>2</v>
      </c>
      <c r="J2210" s="39" t="n">
        <v>51.76</v>
      </c>
      <c r="K2210" s="45" t="n">
        <v>0</v>
      </c>
      <c r="L2210" s="39" t="n">
        <v>21.64</v>
      </c>
      <c r="M2210" s="39">
        <f>I2210*J2210*(1-K2210)</f>
        <v/>
      </c>
      <c r="N2210" s="39">
        <f>I2210*L2210</f>
        <v/>
      </c>
      <c r="O2210" s="39">
        <f>M2210-N2210</f>
        <v/>
      </c>
      <c r="P2210" s="38">
        <f>IF(M2210=0,0,O2210/M2210)</f>
        <v/>
      </c>
      <c r="Q2210" s="36">
        <f>YEAR(B2210)</f>
        <v/>
      </c>
      <c r="R2210" s="36">
        <f>"Q"&amp;ROUNDUP(MONTH(B2210)/3,0)</f>
        <v/>
      </c>
      <c r="S2210" s="36">
        <f>MONTH(B2210)</f>
        <v/>
      </c>
      <c r="T2210" s="36">
        <f>TEXT(B2210,"mmm")</f>
        <v/>
      </c>
      <c r="U2210" s="36">
        <f>IF(AND(OR(sel_Region="All",C2210=sel_Region),OR(sel_Country="All",D2210=sel_Country),OR(sel_Channel="All",E2210=sel_Channel),OR(sel_Customer="All",F2210=sel_Customer),OR(sel_Category="All",G2210=sel_Category),OR(sel_Product="All",H2210=sel_Product),AND(S2210&gt;=m_From,S2210&lt;=m_To)),1,0)</f>
        <v/>
      </c>
      <c r="V2210" s="36">
        <f>IF(AND(OR(sel_Region="All",C2210=sel_Region),OR(sel_Channel="All",E2210=sel_Channel),OR(sel_Customer="All",F2210=sel_Customer),OR(sel_Category="All",G2210=sel_Category),OR(sel_Product="All",H2210=sel_Product),AND(S2210&gt;=m_From,S2210&lt;=m_To)),1,0)</f>
        <v/>
      </c>
      <c r="W2210" s="36">
        <f>IF(AND(OR(sel_Region="All",C2210=sel_Region),OR(sel_Country="All",D2210=sel_Country),OR(sel_Customer="All",F2210=sel_Customer),OR(sel_Category="All",G2210=sel_Category),OR(sel_Product="All",H2210=sel_Product),AND(S2210&gt;=m_From,S2210&lt;=m_To)),1,0)</f>
        <v/>
      </c>
      <c r="X2210" s="36">
        <f>IF(AND(OR(sel_Region="All",C2210=sel_Region),OR(sel_Country="All",D2210=sel_Country),OR(sel_Channel="All",E2210=sel_Channel),OR(sel_Category="All",G2210=sel_Category),OR(sel_Product="All",H2210=sel_Product),AND(S2210&gt;=m_From,S2210&lt;=m_To)),1,0)</f>
        <v/>
      </c>
      <c r="Y2210" s="36">
        <f>IF(AND(OR(sel_Region="All",C2210=sel_Region),OR(sel_Country="All",D2210=sel_Country),OR(sel_Channel="All",E2210=sel_Channel),OR(sel_Customer="All",F2210=sel_Customer),OR(sel_Product="All",H2210=sel_Product),AND(S2210&gt;=m_From,S2210&lt;=m_To)),1,0)</f>
        <v/>
      </c>
      <c r="Z2210" s="36">
        <f>IF(AND(OR(sel_Region="All",C2210=sel_Region),OR(sel_Country="All",D2210=sel_Country),OR(sel_Channel="All",E2210=sel_Channel),OR(sel_Customer="All",F2210=sel_Customer),OR(sel_Category="All",G2210=sel_Category),AND(S2210&gt;=m_From,S2210&lt;=m_To)),1,0)</f>
        <v/>
      </c>
      <c r="AA2210" s="36">
        <f>IF(AND(OR(sel_Region="All",C2210=sel_Region),OR(sel_Country="All",D2210=sel_Country),OR(sel_Channel="All",E2210=sel_Channel),OR(sel_Customer="All",F2210=sel_Customer),OR(sel_Category="All",G2210=sel_Category),OR(sel_Product="All",H2210=sel_Product)),1,0)</f>
        <v/>
      </c>
    </row>
    <row r="2211">
      <c r="A2211" s="36" t="inlineStr">
        <is>
          <t>04997</t>
        </is>
      </c>
      <c r="B2211" s="44" t="n">
        <v>46322</v>
      </c>
      <c r="C2211" s="36" t="inlineStr">
        <is>
          <t>Western Europe</t>
        </is>
      </c>
      <c r="D2211" s="36" t="inlineStr">
        <is>
          <t>Netherlands</t>
        </is>
      </c>
      <c r="E2211" s="36" t="inlineStr">
        <is>
          <t>Online Store</t>
        </is>
      </c>
      <c r="F2211" s="36" t="inlineStr">
        <is>
          <t>Returning</t>
        </is>
      </c>
      <c r="G2211" s="36" t="inlineStr">
        <is>
          <t>Camping</t>
        </is>
      </c>
      <c r="H2211" s="36" t="inlineStr">
        <is>
          <t>Trail Tent 2P</t>
        </is>
      </c>
      <c r="I2211" s="36" t="n">
        <v>3</v>
      </c>
      <c r="J2211" s="39" t="n">
        <v>194.09</v>
      </c>
      <c r="K2211" s="45" t="n">
        <v>0.1</v>
      </c>
      <c r="L2211" s="39" t="n">
        <v>105.84</v>
      </c>
      <c r="M2211" s="39">
        <f>I2211*J2211*(1-K2211)</f>
        <v/>
      </c>
      <c r="N2211" s="39">
        <f>I2211*L2211</f>
        <v/>
      </c>
      <c r="O2211" s="39">
        <f>M2211-N2211</f>
        <v/>
      </c>
      <c r="P2211" s="38">
        <f>IF(M2211=0,0,O2211/M2211)</f>
        <v/>
      </c>
      <c r="Q2211" s="36">
        <f>YEAR(B2211)</f>
        <v/>
      </c>
      <c r="R2211" s="36">
        <f>"Q"&amp;ROUNDUP(MONTH(B2211)/3,0)</f>
        <v/>
      </c>
      <c r="S2211" s="36">
        <f>MONTH(B2211)</f>
        <v/>
      </c>
      <c r="T2211" s="36">
        <f>TEXT(B2211,"mmm")</f>
        <v/>
      </c>
      <c r="U2211" s="36">
        <f>IF(AND(OR(sel_Region="All",C2211=sel_Region),OR(sel_Country="All",D2211=sel_Country),OR(sel_Channel="All",E2211=sel_Channel),OR(sel_Customer="All",F2211=sel_Customer),OR(sel_Category="All",G2211=sel_Category),OR(sel_Product="All",H2211=sel_Product),AND(S2211&gt;=m_From,S2211&lt;=m_To)),1,0)</f>
        <v/>
      </c>
      <c r="V2211" s="36">
        <f>IF(AND(OR(sel_Region="All",C2211=sel_Region),OR(sel_Channel="All",E2211=sel_Channel),OR(sel_Customer="All",F2211=sel_Customer),OR(sel_Category="All",G2211=sel_Category),OR(sel_Product="All",H2211=sel_Product),AND(S2211&gt;=m_From,S2211&lt;=m_To)),1,0)</f>
        <v/>
      </c>
      <c r="W2211" s="36">
        <f>IF(AND(OR(sel_Region="All",C2211=sel_Region),OR(sel_Country="All",D2211=sel_Country),OR(sel_Customer="All",F2211=sel_Customer),OR(sel_Category="All",G2211=sel_Category),OR(sel_Product="All",H2211=sel_Product),AND(S2211&gt;=m_From,S2211&lt;=m_To)),1,0)</f>
        <v/>
      </c>
      <c r="X2211" s="36">
        <f>IF(AND(OR(sel_Region="All",C2211=sel_Region),OR(sel_Country="All",D2211=sel_Country),OR(sel_Channel="All",E2211=sel_Channel),OR(sel_Category="All",G2211=sel_Category),OR(sel_Product="All",H2211=sel_Product),AND(S2211&gt;=m_From,S2211&lt;=m_To)),1,0)</f>
        <v/>
      </c>
      <c r="Y2211" s="36">
        <f>IF(AND(OR(sel_Region="All",C2211=sel_Region),OR(sel_Country="All",D2211=sel_Country),OR(sel_Channel="All",E2211=sel_Channel),OR(sel_Customer="All",F2211=sel_Customer),OR(sel_Product="All",H2211=sel_Product),AND(S2211&gt;=m_From,S2211&lt;=m_To)),1,0)</f>
        <v/>
      </c>
      <c r="Z2211" s="36">
        <f>IF(AND(OR(sel_Region="All",C2211=sel_Region),OR(sel_Country="All",D2211=sel_Country),OR(sel_Channel="All",E2211=sel_Channel),OR(sel_Customer="All",F2211=sel_Customer),OR(sel_Category="All",G2211=sel_Category),AND(S2211&gt;=m_From,S2211&lt;=m_To)),1,0)</f>
        <v/>
      </c>
      <c r="AA2211" s="36">
        <f>IF(AND(OR(sel_Region="All",C2211=sel_Region),OR(sel_Country="All",D2211=sel_Country),OR(sel_Channel="All",E2211=sel_Channel),OR(sel_Customer="All",F2211=sel_Customer),OR(sel_Category="All",G2211=sel_Category),OR(sel_Product="All",H2211=sel_Product)),1,0)</f>
        <v/>
      </c>
    </row>
    <row r="2212">
      <c r="A2212" s="36" t="inlineStr">
        <is>
          <t>01238</t>
        </is>
      </c>
      <c r="B2212" s="44" t="n">
        <v>46323</v>
      </c>
      <c r="C2212" s="36" t="inlineStr">
        <is>
          <t>Central Europe</t>
        </is>
      </c>
      <c r="D2212" s="36" t="inlineStr">
        <is>
          <t>Germany</t>
        </is>
      </c>
      <c r="E2212" s="36" t="inlineStr">
        <is>
          <t>Online Store</t>
        </is>
      </c>
      <c r="F2212" s="36" t="inlineStr">
        <is>
          <t>Returning</t>
        </is>
      </c>
      <c r="G2212" s="36" t="inlineStr">
        <is>
          <t>Camping</t>
        </is>
      </c>
      <c r="H2212" s="36" t="inlineStr">
        <is>
          <t>Compact Sleeping Bag</t>
        </is>
      </c>
      <c r="I2212" s="36" t="n">
        <v>1</v>
      </c>
      <c r="J2212" s="39" t="n">
        <v>125.39</v>
      </c>
      <c r="K2212" s="45" t="n">
        <v>0.05</v>
      </c>
      <c r="L2212" s="39" t="n">
        <v>61.19</v>
      </c>
      <c r="M2212" s="39">
        <f>I2212*J2212*(1-K2212)</f>
        <v/>
      </c>
      <c r="N2212" s="39">
        <f>I2212*L2212</f>
        <v/>
      </c>
      <c r="O2212" s="39">
        <f>M2212-N2212</f>
        <v/>
      </c>
      <c r="P2212" s="38">
        <f>IF(M2212=0,0,O2212/M2212)</f>
        <v/>
      </c>
      <c r="Q2212" s="36">
        <f>YEAR(B2212)</f>
        <v/>
      </c>
      <c r="R2212" s="36">
        <f>"Q"&amp;ROUNDUP(MONTH(B2212)/3,0)</f>
        <v/>
      </c>
      <c r="S2212" s="36">
        <f>MONTH(B2212)</f>
        <v/>
      </c>
      <c r="T2212" s="36">
        <f>TEXT(B2212,"mmm")</f>
        <v/>
      </c>
      <c r="U2212" s="36">
        <f>IF(AND(OR(sel_Region="All",C2212=sel_Region),OR(sel_Country="All",D2212=sel_Country),OR(sel_Channel="All",E2212=sel_Channel),OR(sel_Customer="All",F2212=sel_Customer),OR(sel_Category="All",G2212=sel_Category),OR(sel_Product="All",H2212=sel_Product),AND(S2212&gt;=m_From,S2212&lt;=m_To)),1,0)</f>
        <v/>
      </c>
      <c r="V2212" s="36">
        <f>IF(AND(OR(sel_Region="All",C2212=sel_Region),OR(sel_Channel="All",E2212=sel_Channel),OR(sel_Customer="All",F2212=sel_Customer),OR(sel_Category="All",G2212=sel_Category),OR(sel_Product="All",H2212=sel_Product),AND(S2212&gt;=m_From,S2212&lt;=m_To)),1,0)</f>
        <v/>
      </c>
      <c r="W2212" s="36">
        <f>IF(AND(OR(sel_Region="All",C2212=sel_Region),OR(sel_Country="All",D2212=sel_Country),OR(sel_Customer="All",F2212=sel_Customer),OR(sel_Category="All",G2212=sel_Category),OR(sel_Product="All",H2212=sel_Product),AND(S2212&gt;=m_From,S2212&lt;=m_To)),1,0)</f>
        <v/>
      </c>
      <c r="X2212" s="36">
        <f>IF(AND(OR(sel_Region="All",C2212=sel_Region),OR(sel_Country="All",D2212=sel_Country),OR(sel_Channel="All",E2212=sel_Channel),OR(sel_Category="All",G2212=sel_Category),OR(sel_Product="All",H2212=sel_Product),AND(S2212&gt;=m_From,S2212&lt;=m_To)),1,0)</f>
        <v/>
      </c>
      <c r="Y2212" s="36">
        <f>IF(AND(OR(sel_Region="All",C2212=sel_Region),OR(sel_Country="All",D2212=sel_Country),OR(sel_Channel="All",E2212=sel_Channel),OR(sel_Customer="All",F2212=sel_Customer),OR(sel_Product="All",H2212=sel_Product),AND(S2212&gt;=m_From,S2212&lt;=m_To)),1,0)</f>
        <v/>
      </c>
      <c r="Z2212" s="36">
        <f>IF(AND(OR(sel_Region="All",C2212=sel_Region),OR(sel_Country="All",D2212=sel_Country),OR(sel_Channel="All",E2212=sel_Channel),OR(sel_Customer="All",F2212=sel_Customer),OR(sel_Category="All",G2212=sel_Category),AND(S2212&gt;=m_From,S2212&lt;=m_To)),1,0)</f>
        <v/>
      </c>
      <c r="AA2212" s="36">
        <f>IF(AND(OR(sel_Region="All",C2212=sel_Region),OR(sel_Country="All",D2212=sel_Country),OR(sel_Channel="All",E2212=sel_Channel),OR(sel_Customer="All",F2212=sel_Customer),OR(sel_Category="All",G2212=sel_Category),OR(sel_Product="All",H2212=sel_Product)),1,0)</f>
        <v/>
      </c>
    </row>
    <row r="2213">
      <c r="A2213" s="36" t="inlineStr">
        <is>
          <t>02622</t>
        </is>
      </c>
      <c r="B2213" s="44" t="n">
        <v>46323</v>
      </c>
      <c r="C2213" s="36" t="inlineStr">
        <is>
          <t>Southern Europe</t>
        </is>
      </c>
      <c r="D2213" s="36" t="inlineStr">
        <is>
          <t>Italy</t>
        </is>
      </c>
      <c r="E2213" s="36" t="inlineStr">
        <is>
          <t>Marketplace</t>
        </is>
      </c>
      <c r="F2213" s="36" t="inlineStr">
        <is>
          <t>New</t>
        </is>
      </c>
      <c r="G2213" s="36" t="inlineStr">
        <is>
          <t>Camping</t>
        </is>
      </c>
      <c r="H2213" s="36" t="inlineStr">
        <is>
          <t>Portable Camp Stove</t>
        </is>
      </c>
      <c r="I2213" s="36" t="n">
        <v>3</v>
      </c>
      <c r="J2213" s="39" t="n">
        <v>83.73</v>
      </c>
      <c r="K2213" s="45" t="n">
        <v>0.15</v>
      </c>
      <c r="L2213" s="39" t="n">
        <v>39.43</v>
      </c>
      <c r="M2213" s="39">
        <f>I2213*J2213*(1-K2213)</f>
        <v/>
      </c>
      <c r="N2213" s="39">
        <f>I2213*L2213</f>
        <v/>
      </c>
      <c r="O2213" s="39">
        <f>M2213-N2213</f>
        <v/>
      </c>
      <c r="P2213" s="38">
        <f>IF(M2213=0,0,O2213/M2213)</f>
        <v/>
      </c>
      <c r="Q2213" s="36">
        <f>YEAR(B2213)</f>
        <v/>
      </c>
      <c r="R2213" s="36">
        <f>"Q"&amp;ROUNDUP(MONTH(B2213)/3,0)</f>
        <v/>
      </c>
      <c r="S2213" s="36">
        <f>MONTH(B2213)</f>
        <v/>
      </c>
      <c r="T2213" s="36">
        <f>TEXT(B2213,"mmm")</f>
        <v/>
      </c>
      <c r="U2213" s="36">
        <f>IF(AND(OR(sel_Region="All",C2213=sel_Region),OR(sel_Country="All",D2213=sel_Country),OR(sel_Channel="All",E2213=sel_Channel),OR(sel_Customer="All",F2213=sel_Customer),OR(sel_Category="All",G2213=sel_Category),OR(sel_Product="All",H2213=sel_Product),AND(S2213&gt;=m_From,S2213&lt;=m_To)),1,0)</f>
        <v/>
      </c>
      <c r="V2213" s="36">
        <f>IF(AND(OR(sel_Region="All",C2213=sel_Region),OR(sel_Channel="All",E2213=sel_Channel),OR(sel_Customer="All",F2213=sel_Customer),OR(sel_Category="All",G2213=sel_Category),OR(sel_Product="All",H2213=sel_Product),AND(S2213&gt;=m_From,S2213&lt;=m_To)),1,0)</f>
        <v/>
      </c>
      <c r="W2213" s="36">
        <f>IF(AND(OR(sel_Region="All",C2213=sel_Region),OR(sel_Country="All",D2213=sel_Country),OR(sel_Customer="All",F2213=sel_Customer),OR(sel_Category="All",G2213=sel_Category),OR(sel_Product="All",H2213=sel_Product),AND(S2213&gt;=m_From,S2213&lt;=m_To)),1,0)</f>
        <v/>
      </c>
      <c r="X2213" s="36">
        <f>IF(AND(OR(sel_Region="All",C2213=sel_Region),OR(sel_Country="All",D2213=sel_Country),OR(sel_Channel="All",E2213=sel_Channel),OR(sel_Category="All",G2213=sel_Category),OR(sel_Product="All",H2213=sel_Product),AND(S2213&gt;=m_From,S2213&lt;=m_To)),1,0)</f>
        <v/>
      </c>
      <c r="Y2213" s="36">
        <f>IF(AND(OR(sel_Region="All",C2213=sel_Region),OR(sel_Country="All",D2213=sel_Country),OR(sel_Channel="All",E2213=sel_Channel),OR(sel_Customer="All",F2213=sel_Customer),OR(sel_Product="All",H2213=sel_Product),AND(S2213&gt;=m_From,S2213&lt;=m_To)),1,0)</f>
        <v/>
      </c>
      <c r="Z2213" s="36">
        <f>IF(AND(OR(sel_Region="All",C2213=sel_Region),OR(sel_Country="All",D2213=sel_Country),OR(sel_Channel="All",E2213=sel_Channel),OR(sel_Customer="All",F2213=sel_Customer),OR(sel_Category="All",G2213=sel_Category),AND(S2213&gt;=m_From,S2213&lt;=m_To)),1,0)</f>
        <v/>
      </c>
      <c r="AA2213" s="36">
        <f>IF(AND(OR(sel_Region="All",C2213=sel_Region),OR(sel_Country="All",D2213=sel_Country),OR(sel_Channel="All",E2213=sel_Channel),OR(sel_Customer="All",F2213=sel_Customer),OR(sel_Category="All",G2213=sel_Category),OR(sel_Product="All",H2213=sel_Product)),1,0)</f>
        <v/>
      </c>
    </row>
    <row r="2214">
      <c r="A2214" s="36" t="inlineStr">
        <is>
          <t>03106</t>
        </is>
      </c>
      <c r="B2214" s="44" t="n">
        <v>46323</v>
      </c>
      <c r="C2214" s="36" t="inlineStr">
        <is>
          <t>Western Europe</t>
        </is>
      </c>
      <c r="D2214" s="36" t="inlineStr">
        <is>
          <t>United Kingdom</t>
        </is>
      </c>
      <c r="E2214" s="36" t="inlineStr">
        <is>
          <t>Marketplace</t>
        </is>
      </c>
      <c r="F2214" s="36" t="inlineStr">
        <is>
          <t>Business</t>
        </is>
      </c>
      <c r="G2214" s="36" t="inlineStr">
        <is>
          <t>Fitness</t>
        </is>
      </c>
      <c r="H2214" s="36" t="inlineStr">
        <is>
          <t>Recovery Roller</t>
        </is>
      </c>
      <c r="I2214" s="36" t="n">
        <v>3</v>
      </c>
      <c r="J2214" s="39" t="n">
        <v>36.99</v>
      </c>
      <c r="K2214" s="45" t="n">
        <v>0.05</v>
      </c>
      <c r="L2214" s="39" t="n">
        <v>14.14</v>
      </c>
      <c r="M2214" s="39">
        <f>I2214*J2214*(1-K2214)</f>
        <v/>
      </c>
      <c r="N2214" s="39">
        <f>I2214*L2214</f>
        <v/>
      </c>
      <c r="O2214" s="39">
        <f>M2214-N2214</f>
        <v/>
      </c>
      <c r="P2214" s="38">
        <f>IF(M2214=0,0,O2214/M2214)</f>
        <v/>
      </c>
      <c r="Q2214" s="36">
        <f>YEAR(B2214)</f>
        <v/>
      </c>
      <c r="R2214" s="36">
        <f>"Q"&amp;ROUNDUP(MONTH(B2214)/3,0)</f>
        <v/>
      </c>
      <c r="S2214" s="36">
        <f>MONTH(B2214)</f>
        <v/>
      </c>
      <c r="T2214" s="36">
        <f>TEXT(B2214,"mmm")</f>
        <v/>
      </c>
      <c r="U2214" s="36">
        <f>IF(AND(OR(sel_Region="All",C2214=sel_Region),OR(sel_Country="All",D2214=sel_Country),OR(sel_Channel="All",E2214=sel_Channel),OR(sel_Customer="All",F2214=sel_Customer),OR(sel_Category="All",G2214=sel_Category),OR(sel_Product="All",H2214=sel_Product),AND(S2214&gt;=m_From,S2214&lt;=m_To)),1,0)</f>
        <v/>
      </c>
      <c r="V2214" s="36">
        <f>IF(AND(OR(sel_Region="All",C2214=sel_Region),OR(sel_Channel="All",E2214=sel_Channel),OR(sel_Customer="All",F2214=sel_Customer),OR(sel_Category="All",G2214=sel_Category),OR(sel_Product="All",H2214=sel_Product),AND(S2214&gt;=m_From,S2214&lt;=m_To)),1,0)</f>
        <v/>
      </c>
      <c r="W2214" s="36">
        <f>IF(AND(OR(sel_Region="All",C2214=sel_Region),OR(sel_Country="All",D2214=sel_Country),OR(sel_Customer="All",F2214=sel_Customer),OR(sel_Category="All",G2214=sel_Category),OR(sel_Product="All",H2214=sel_Product),AND(S2214&gt;=m_From,S2214&lt;=m_To)),1,0)</f>
        <v/>
      </c>
      <c r="X2214" s="36">
        <f>IF(AND(OR(sel_Region="All",C2214=sel_Region),OR(sel_Country="All",D2214=sel_Country),OR(sel_Channel="All",E2214=sel_Channel),OR(sel_Category="All",G2214=sel_Category),OR(sel_Product="All",H2214=sel_Product),AND(S2214&gt;=m_From,S2214&lt;=m_To)),1,0)</f>
        <v/>
      </c>
      <c r="Y2214" s="36">
        <f>IF(AND(OR(sel_Region="All",C2214=sel_Region),OR(sel_Country="All",D2214=sel_Country),OR(sel_Channel="All",E2214=sel_Channel),OR(sel_Customer="All",F2214=sel_Customer),OR(sel_Product="All",H2214=sel_Product),AND(S2214&gt;=m_From,S2214&lt;=m_To)),1,0)</f>
        <v/>
      </c>
      <c r="Z2214" s="36">
        <f>IF(AND(OR(sel_Region="All",C2214=sel_Region),OR(sel_Country="All",D2214=sel_Country),OR(sel_Channel="All",E2214=sel_Channel),OR(sel_Customer="All",F2214=sel_Customer),OR(sel_Category="All",G2214=sel_Category),AND(S2214&gt;=m_From,S2214&lt;=m_To)),1,0)</f>
        <v/>
      </c>
      <c r="AA2214" s="36">
        <f>IF(AND(OR(sel_Region="All",C2214=sel_Region),OR(sel_Country="All",D2214=sel_Country),OR(sel_Channel="All",E2214=sel_Channel),OR(sel_Customer="All",F2214=sel_Customer),OR(sel_Category="All",G2214=sel_Category),OR(sel_Product="All",H2214=sel_Product)),1,0)</f>
        <v/>
      </c>
    </row>
    <row r="2215">
      <c r="A2215" s="36" t="inlineStr">
        <is>
          <t>03274</t>
        </is>
      </c>
      <c r="B2215" s="44" t="n">
        <v>46323</v>
      </c>
      <c r="C2215" s="36" t="inlineStr">
        <is>
          <t>Western Europe</t>
        </is>
      </c>
      <c r="D2215" s="36" t="inlineStr">
        <is>
          <t>Netherlands</t>
        </is>
      </c>
      <c r="E2215" s="36" t="inlineStr">
        <is>
          <t>Marketplace</t>
        </is>
      </c>
      <c r="F2215" s="36" t="inlineStr">
        <is>
          <t>New</t>
        </is>
      </c>
      <c r="G2215" s="36" t="inlineStr">
        <is>
          <t>Fitness</t>
        </is>
      </c>
      <c r="H2215" s="36" t="inlineStr">
        <is>
          <t>Resistance Band Set</t>
        </is>
      </c>
      <c r="I2215" s="36" t="n">
        <v>1</v>
      </c>
      <c r="J2215" s="39" t="n">
        <v>39.42</v>
      </c>
      <c r="K2215" s="45" t="n">
        <v>0</v>
      </c>
      <c r="L2215" s="39" t="n">
        <v>14.58</v>
      </c>
      <c r="M2215" s="39">
        <f>I2215*J2215*(1-K2215)</f>
        <v/>
      </c>
      <c r="N2215" s="39">
        <f>I2215*L2215</f>
        <v/>
      </c>
      <c r="O2215" s="39">
        <f>M2215-N2215</f>
        <v/>
      </c>
      <c r="P2215" s="38">
        <f>IF(M2215=0,0,O2215/M2215)</f>
        <v/>
      </c>
      <c r="Q2215" s="36">
        <f>YEAR(B2215)</f>
        <v/>
      </c>
      <c r="R2215" s="36">
        <f>"Q"&amp;ROUNDUP(MONTH(B2215)/3,0)</f>
        <v/>
      </c>
      <c r="S2215" s="36">
        <f>MONTH(B2215)</f>
        <v/>
      </c>
      <c r="T2215" s="36">
        <f>TEXT(B2215,"mmm")</f>
        <v/>
      </c>
      <c r="U2215" s="36">
        <f>IF(AND(OR(sel_Region="All",C2215=sel_Region),OR(sel_Country="All",D2215=sel_Country),OR(sel_Channel="All",E2215=sel_Channel),OR(sel_Customer="All",F2215=sel_Customer),OR(sel_Category="All",G2215=sel_Category),OR(sel_Product="All",H2215=sel_Product),AND(S2215&gt;=m_From,S2215&lt;=m_To)),1,0)</f>
        <v/>
      </c>
      <c r="V2215" s="36">
        <f>IF(AND(OR(sel_Region="All",C2215=sel_Region),OR(sel_Channel="All",E2215=sel_Channel),OR(sel_Customer="All",F2215=sel_Customer),OR(sel_Category="All",G2215=sel_Category),OR(sel_Product="All",H2215=sel_Product),AND(S2215&gt;=m_From,S2215&lt;=m_To)),1,0)</f>
        <v/>
      </c>
      <c r="W2215" s="36">
        <f>IF(AND(OR(sel_Region="All",C2215=sel_Region),OR(sel_Country="All",D2215=sel_Country),OR(sel_Customer="All",F2215=sel_Customer),OR(sel_Category="All",G2215=sel_Category),OR(sel_Product="All",H2215=sel_Product),AND(S2215&gt;=m_From,S2215&lt;=m_To)),1,0)</f>
        <v/>
      </c>
      <c r="X2215" s="36">
        <f>IF(AND(OR(sel_Region="All",C2215=sel_Region),OR(sel_Country="All",D2215=sel_Country),OR(sel_Channel="All",E2215=sel_Channel),OR(sel_Category="All",G2215=sel_Category),OR(sel_Product="All",H2215=sel_Product),AND(S2215&gt;=m_From,S2215&lt;=m_To)),1,0)</f>
        <v/>
      </c>
      <c r="Y2215" s="36">
        <f>IF(AND(OR(sel_Region="All",C2215=sel_Region),OR(sel_Country="All",D2215=sel_Country),OR(sel_Channel="All",E2215=sel_Channel),OR(sel_Customer="All",F2215=sel_Customer),OR(sel_Product="All",H2215=sel_Product),AND(S2215&gt;=m_From,S2215&lt;=m_To)),1,0)</f>
        <v/>
      </c>
      <c r="Z2215" s="36">
        <f>IF(AND(OR(sel_Region="All",C2215=sel_Region),OR(sel_Country="All",D2215=sel_Country),OR(sel_Channel="All",E2215=sel_Channel),OR(sel_Customer="All",F2215=sel_Customer),OR(sel_Category="All",G2215=sel_Category),AND(S2215&gt;=m_From,S2215&lt;=m_To)),1,0)</f>
        <v/>
      </c>
      <c r="AA2215" s="36">
        <f>IF(AND(OR(sel_Region="All",C2215=sel_Region),OR(sel_Country="All",D2215=sel_Country),OR(sel_Channel="All",E2215=sel_Channel),OR(sel_Customer="All",F2215=sel_Customer),OR(sel_Category="All",G2215=sel_Category),OR(sel_Product="All",H2215=sel_Product)),1,0)</f>
        <v/>
      </c>
    </row>
    <row r="2216">
      <c r="A2216" s="36" t="inlineStr">
        <is>
          <t>03542</t>
        </is>
      </c>
      <c r="B2216" s="44" t="n">
        <v>46323</v>
      </c>
      <c r="C2216" s="36" t="inlineStr">
        <is>
          <t>Western Europe</t>
        </is>
      </c>
      <c r="D2216" s="36" t="inlineStr">
        <is>
          <t>Belgium</t>
        </is>
      </c>
      <c r="E2216" s="36" t="inlineStr">
        <is>
          <t>Online Store</t>
        </is>
      </c>
      <c r="F2216" s="36" t="inlineStr">
        <is>
          <t>New</t>
        </is>
      </c>
      <c r="G2216" s="36" t="inlineStr">
        <is>
          <t>Cycling</t>
        </is>
      </c>
      <c r="H2216" s="36" t="inlineStr">
        <is>
          <t>Trail Bike Light</t>
        </is>
      </c>
      <c r="I2216" s="36" t="n">
        <v>2</v>
      </c>
      <c r="J2216" s="39" t="n">
        <v>50.66</v>
      </c>
      <c r="K2216" s="45" t="n">
        <v>0</v>
      </c>
      <c r="L2216" s="39" t="n">
        <v>22.02</v>
      </c>
      <c r="M2216" s="39">
        <f>I2216*J2216*(1-K2216)</f>
        <v/>
      </c>
      <c r="N2216" s="39">
        <f>I2216*L2216</f>
        <v/>
      </c>
      <c r="O2216" s="39">
        <f>M2216-N2216</f>
        <v/>
      </c>
      <c r="P2216" s="38">
        <f>IF(M2216=0,0,O2216/M2216)</f>
        <v/>
      </c>
      <c r="Q2216" s="36">
        <f>YEAR(B2216)</f>
        <v/>
      </c>
      <c r="R2216" s="36">
        <f>"Q"&amp;ROUNDUP(MONTH(B2216)/3,0)</f>
        <v/>
      </c>
      <c r="S2216" s="36">
        <f>MONTH(B2216)</f>
        <v/>
      </c>
      <c r="T2216" s="36">
        <f>TEXT(B2216,"mmm")</f>
        <v/>
      </c>
      <c r="U2216" s="36">
        <f>IF(AND(OR(sel_Region="All",C2216=sel_Region),OR(sel_Country="All",D2216=sel_Country),OR(sel_Channel="All",E2216=sel_Channel),OR(sel_Customer="All",F2216=sel_Customer),OR(sel_Category="All",G2216=sel_Category),OR(sel_Product="All",H2216=sel_Product),AND(S2216&gt;=m_From,S2216&lt;=m_To)),1,0)</f>
        <v/>
      </c>
      <c r="V2216" s="36">
        <f>IF(AND(OR(sel_Region="All",C2216=sel_Region),OR(sel_Channel="All",E2216=sel_Channel),OR(sel_Customer="All",F2216=sel_Customer),OR(sel_Category="All",G2216=sel_Category),OR(sel_Product="All",H2216=sel_Product),AND(S2216&gt;=m_From,S2216&lt;=m_To)),1,0)</f>
        <v/>
      </c>
      <c r="W2216" s="36">
        <f>IF(AND(OR(sel_Region="All",C2216=sel_Region),OR(sel_Country="All",D2216=sel_Country),OR(sel_Customer="All",F2216=sel_Customer),OR(sel_Category="All",G2216=sel_Category),OR(sel_Product="All",H2216=sel_Product),AND(S2216&gt;=m_From,S2216&lt;=m_To)),1,0)</f>
        <v/>
      </c>
      <c r="X2216" s="36">
        <f>IF(AND(OR(sel_Region="All",C2216=sel_Region),OR(sel_Country="All",D2216=sel_Country),OR(sel_Channel="All",E2216=sel_Channel),OR(sel_Category="All",G2216=sel_Category),OR(sel_Product="All",H2216=sel_Product),AND(S2216&gt;=m_From,S2216&lt;=m_To)),1,0)</f>
        <v/>
      </c>
      <c r="Y2216" s="36">
        <f>IF(AND(OR(sel_Region="All",C2216=sel_Region),OR(sel_Country="All",D2216=sel_Country),OR(sel_Channel="All",E2216=sel_Channel),OR(sel_Customer="All",F2216=sel_Customer),OR(sel_Product="All",H2216=sel_Product),AND(S2216&gt;=m_From,S2216&lt;=m_To)),1,0)</f>
        <v/>
      </c>
      <c r="Z2216" s="36">
        <f>IF(AND(OR(sel_Region="All",C2216=sel_Region),OR(sel_Country="All",D2216=sel_Country),OR(sel_Channel="All",E2216=sel_Channel),OR(sel_Customer="All",F2216=sel_Customer),OR(sel_Category="All",G2216=sel_Category),AND(S2216&gt;=m_From,S2216&lt;=m_To)),1,0)</f>
        <v/>
      </c>
      <c r="AA2216" s="36">
        <f>IF(AND(OR(sel_Region="All",C2216=sel_Region),OR(sel_Country="All",D2216=sel_Country),OR(sel_Channel="All",E2216=sel_Channel),OR(sel_Customer="All",F2216=sel_Customer),OR(sel_Category="All",G2216=sel_Category),OR(sel_Product="All",H2216=sel_Product)),1,0)</f>
        <v/>
      </c>
    </row>
    <row r="2217">
      <c r="A2217" s="36" t="inlineStr">
        <is>
          <t>03704</t>
        </is>
      </c>
      <c r="B2217" s="44" t="n">
        <v>46323</v>
      </c>
      <c r="C2217" s="36" t="inlineStr">
        <is>
          <t>Central Europe</t>
        </is>
      </c>
      <c r="D2217" s="36" t="inlineStr">
        <is>
          <t>Germany</t>
        </is>
      </c>
      <c r="E2217" s="36" t="inlineStr">
        <is>
          <t>Online Store</t>
        </is>
      </c>
      <c r="F2217" s="36" t="inlineStr">
        <is>
          <t>Returning</t>
        </is>
      </c>
      <c r="G2217" s="36" t="inlineStr">
        <is>
          <t>Hiking</t>
        </is>
      </c>
      <c r="H2217" s="36" t="inlineStr">
        <is>
          <t>Trekking Poles</t>
        </is>
      </c>
      <c r="I2217" s="36" t="n">
        <v>4</v>
      </c>
      <c r="J2217" s="39" t="n">
        <v>71.95999999999999</v>
      </c>
      <c r="K2217" s="45" t="n">
        <v>0.1</v>
      </c>
      <c r="L2217" s="39" t="n">
        <v>31.51</v>
      </c>
      <c r="M2217" s="39">
        <f>I2217*J2217*(1-K2217)</f>
        <v/>
      </c>
      <c r="N2217" s="39">
        <f>I2217*L2217</f>
        <v/>
      </c>
      <c r="O2217" s="39">
        <f>M2217-N2217</f>
        <v/>
      </c>
      <c r="P2217" s="38">
        <f>IF(M2217=0,0,O2217/M2217)</f>
        <v/>
      </c>
      <c r="Q2217" s="36">
        <f>YEAR(B2217)</f>
        <v/>
      </c>
      <c r="R2217" s="36">
        <f>"Q"&amp;ROUNDUP(MONTH(B2217)/3,0)</f>
        <v/>
      </c>
      <c r="S2217" s="36">
        <f>MONTH(B2217)</f>
        <v/>
      </c>
      <c r="T2217" s="36">
        <f>TEXT(B2217,"mmm")</f>
        <v/>
      </c>
      <c r="U2217" s="36">
        <f>IF(AND(OR(sel_Region="All",C2217=sel_Region),OR(sel_Country="All",D2217=sel_Country),OR(sel_Channel="All",E2217=sel_Channel),OR(sel_Customer="All",F2217=sel_Customer),OR(sel_Category="All",G2217=sel_Category),OR(sel_Product="All",H2217=sel_Product),AND(S2217&gt;=m_From,S2217&lt;=m_To)),1,0)</f>
        <v/>
      </c>
      <c r="V2217" s="36">
        <f>IF(AND(OR(sel_Region="All",C2217=sel_Region),OR(sel_Channel="All",E2217=sel_Channel),OR(sel_Customer="All",F2217=sel_Customer),OR(sel_Category="All",G2217=sel_Category),OR(sel_Product="All",H2217=sel_Product),AND(S2217&gt;=m_From,S2217&lt;=m_To)),1,0)</f>
        <v/>
      </c>
      <c r="W2217" s="36">
        <f>IF(AND(OR(sel_Region="All",C2217=sel_Region),OR(sel_Country="All",D2217=sel_Country),OR(sel_Customer="All",F2217=sel_Customer),OR(sel_Category="All",G2217=sel_Category),OR(sel_Product="All",H2217=sel_Product),AND(S2217&gt;=m_From,S2217&lt;=m_To)),1,0)</f>
        <v/>
      </c>
      <c r="X2217" s="36">
        <f>IF(AND(OR(sel_Region="All",C2217=sel_Region),OR(sel_Country="All",D2217=sel_Country),OR(sel_Channel="All",E2217=sel_Channel),OR(sel_Category="All",G2217=sel_Category),OR(sel_Product="All",H2217=sel_Product),AND(S2217&gt;=m_From,S2217&lt;=m_To)),1,0)</f>
        <v/>
      </c>
      <c r="Y2217" s="36">
        <f>IF(AND(OR(sel_Region="All",C2217=sel_Region),OR(sel_Country="All",D2217=sel_Country),OR(sel_Channel="All",E2217=sel_Channel),OR(sel_Customer="All",F2217=sel_Customer),OR(sel_Product="All",H2217=sel_Product),AND(S2217&gt;=m_From,S2217&lt;=m_To)),1,0)</f>
        <v/>
      </c>
      <c r="Z2217" s="36">
        <f>IF(AND(OR(sel_Region="All",C2217=sel_Region),OR(sel_Country="All",D2217=sel_Country),OR(sel_Channel="All",E2217=sel_Channel),OR(sel_Customer="All",F2217=sel_Customer),OR(sel_Category="All",G2217=sel_Category),AND(S2217&gt;=m_From,S2217&lt;=m_To)),1,0)</f>
        <v/>
      </c>
      <c r="AA2217" s="36">
        <f>IF(AND(OR(sel_Region="All",C2217=sel_Region),OR(sel_Country="All",D2217=sel_Country),OR(sel_Channel="All",E2217=sel_Channel),OR(sel_Customer="All",F2217=sel_Customer),OR(sel_Category="All",G2217=sel_Category),OR(sel_Product="All",H2217=sel_Product)),1,0)</f>
        <v/>
      </c>
    </row>
    <row r="2218">
      <c r="A2218" s="36" t="inlineStr">
        <is>
          <t>04699</t>
        </is>
      </c>
      <c r="B2218" s="44" t="n">
        <v>46323</v>
      </c>
      <c r="C2218" s="36" t="inlineStr">
        <is>
          <t>Northern Europe</t>
        </is>
      </c>
      <c r="D2218" s="36" t="inlineStr">
        <is>
          <t>Denmark</t>
        </is>
      </c>
      <c r="E2218" s="36" t="inlineStr">
        <is>
          <t>Retail Partners</t>
        </is>
      </c>
      <c r="F2218" s="36" t="inlineStr">
        <is>
          <t>Returning</t>
        </is>
      </c>
      <c r="G2218" s="36" t="inlineStr">
        <is>
          <t>Cycling</t>
        </is>
      </c>
      <c r="H2218" s="36" t="inlineStr">
        <is>
          <t>Trail Bike Light</t>
        </is>
      </c>
      <c r="I2218" s="36" t="n">
        <v>1</v>
      </c>
      <c r="J2218" s="39" t="n">
        <v>49.72</v>
      </c>
      <c r="K2218" s="45" t="n">
        <v>0.05</v>
      </c>
      <c r="L2218" s="39" t="n">
        <v>22.5</v>
      </c>
      <c r="M2218" s="39">
        <f>I2218*J2218*(1-K2218)</f>
        <v/>
      </c>
      <c r="N2218" s="39">
        <f>I2218*L2218</f>
        <v/>
      </c>
      <c r="O2218" s="39">
        <f>M2218-N2218</f>
        <v/>
      </c>
      <c r="P2218" s="38">
        <f>IF(M2218=0,0,O2218/M2218)</f>
        <v/>
      </c>
      <c r="Q2218" s="36">
        <f>YEAR(B2218)</f>
        <v/>
      </c>
      <c r="R2218" s="36">
        <f>"Q"&amp;ROUNDUP(MONTH(B2218)/3,0)</f>
        <v/>
      </c>
      <c r="S2218" s="36">
        <f>MONTH(B2218)</f>
        <v/>
      </c>
      <c r="T2218" s="36">
        <f>TEXT(B2218,"mmm")</f>
        <v/>
      </c>
      <c r="U2218" s="36">
        <f>IF(AND(OR(sel_Region="All",C2218=sel_Region),OR(sel_Country="All",D2218=sel_Country),OR(sel_Channel="All",E2218=sel_Channel),OR(sel_Customer="All",F2218=sel_Customer),OR(sel_Category="All",G2218=sel_Category),OR(sel_Product="All",H2218=sel_Product),AND(S2218&gt;=m_From,S2218&lt;=m_To)),1,0)</f>
        <v/>
      </c>
      <c r="V2218" s="36">
        <f>IF(AND(OR(sel_Region="All",C2218=sel_Region),OR(sel_Channel="All",E2218=sel_Channel),OR(sel_Customer="All",F2218=sel_Customer),OR(sel_Category="All",G2218=sel_Category),OR(sel_Product="All",H2218=sel_Product),AND(S2218&gt;=m_From,S2218&lt;=m_To)),1,0)</f>
        <v/>
      </c>
      <c r="W2218" s="36">
        <f>IF(AND(OR(sel_Region="All",C2218=sel_Region),OR(sel_Country="All",D2218=sel_Country),OR(sel_Customer="All",F2218=sel_Customer),OR(sel_Category="All",G2218=sel_Category),OR(sel_Product="All",H2218=sel_Product),AND(S2218&gt;=m_From,S2218&lt;=m_To)),1,0)</f>
        <v/>
      </c>
      <c r="X2218" s="36">
        <f>IF(AND(OR(sel_Region="All",C2218=sel_Region),OR(sel_Country="All",D2218=sel_Country),OR(sel_Channel="All",E2218=sel_Channel),OR(sel_Category="All",G2218=sel_Category),OR(sel_Product="All",H2218=sel_Product),AND(S2218&gt;=m_From,S2218&lt;=m_To)),1,0)</f>
        <v/>
      </c>
      <c r="Y2218" s="36">
        <f>IF(AND(OR(sel_Region="All",C2218=sel_Region),OR(sel_Country="All",D2218=sel_Country),OR(sel_Channel="All",E2218=sel_Channel),OR(sel_Customer="All",F2218=sel_Customer),OR(sel_Product="All",H2218=sel_Product),AND(S2218&gt;=m_From,S2218&lt;=m_To)),1,0)</f>
        <v/>
      </c>
      <c r="Z2218" s="36">
        <f>IF(AND(OR(sel_Region="All",C2218=sel_Region),OR(sel_Country="All",D2218=sel_Country),OR(sel_Channel="All",E2218=sel_Channel),OR(sel_Customer="All",F2218=sel_Customer),OR(sel_Category="All",G2218=sel_Category),AND(S2218&gt;=m_From,S2218&lt;=m_To)),1,0)</f>
        <v/>
      </c>
      <c r="AA2218" s="36">
        <f>IF(AND(OR(sel_Region="All",C2218=sel_Region),OR(sel_Country="All",D2218=sel_Country),OR(sel_Channel="All",E2218=sel_Channel),OR(sel_Customer="All",F2218=sel_Customer),OR(sel_Category="All",G2218=sel_Category),OR(sel_Product="All",H2218=sel_Product)),1,0)</f>
        <v/>
      </c>
    </row>
    <row r="2219">
      <c r="A2219" s="36" t="inlineStr">
        <is>
          <t>01226</t>
        </is>
      </c>
      <c r="B2219" s="44" t="n">
        <v>46324</v>
      </c>
      <c r="C2219" s="36" t="inlineStr">
        <is>
          <t>Southern Europe</t>
        </is>
      </c>
      <c r="D2219" s="36" t="inlineStr">
        <is>
          <t>Spain</t>
        </is>
      </c>
      <c r="E2219" s="36" t="inlineStr">
        <is>
          <t>Marketplace</t>
        </is>
      </c>
      <c r="F2219" s="36" t="inlineStr">
        <is>
          <t>Returning</t>
        </is>
      </c>
      <c r="G2219" s="36" t="inlineStr">
        <is>
          <t>Travel</t>
        </is>
      </c>
      <c r="H2219" s="36" t="inlineStr">
        <is>
          <t>Insulated Bottle</t>
        </is>
      </c>
      <c r="I2219" s="36" t="n">
        <v>1</v>
      </c>
      <c r="J2219" s="39" t="n">
        <v>36.58</v>
      </c>
      <c r="K2219" s="45" t="n">
        <v>0</v>
      </c>
      <c r="L2219" s="39" t="n">
        <v>13.5</v>
      </c>
      <c r="M2219" s="39">
        <f>I2219*J2219*(1-K2219)</f>
        <v/>
      </c>
      <c r="N2219" s="39">
        <f>I2219*L2219</f>
        <v/>
      </c>
      <c r="O2219" s="39">
        <f>M2219-N2219</f>
        <v/>
      </c>
      <c r="P2219" s="38">
        <f>IF(M2219=0,0,O2219/M2219)</f>
        <v/>
      </c>
      <c r="Q2219" s="36">
        <f>YEAR(B2219)</f>
        <v/>
      </c>
      <c r="R2219" s="36">
        <f>"Q"&amp;ROUNDUP(MONTH(B2219)/3,0)</f>
        <v/>
      </c>
      <c r="S2219" s="36">
        <f>MONTH(B2219)</f>
        <v/>
      </c>
      <c r="T2219" s="36">
        <f>TEXT(B2219,"mmm")</f>
        <v/>
      </c>
      <c r="U2219" s="36">
        <f>IF(AND(OR(sel_Region="All",C2219=sel_Region),OR(sel_Country="All",D2219=sel_Country),OR(sel_Channel="All",E2219=sel_Channel),OR(sel_Customer="All",F2219=sel_Customer),OR(sel_Category="All",G2219=sel_Category),OR(sel_Product="All",H2219=sel_Product),AND(S2219&gt;=m_From,S2219&lt;=m_To)),1,0)</f>
        <v/>
      </c>
      <c r="V2219" s="36">
        <f>IF(AND(OR(sel_Region="All",C2219=sel_Region),OR(sel_Channel="All",E2219=sel_Channel),OR(sel_Customer="All",F2219=sel_Customer),OR(sel_Category="All",G2219=sel_Category),OR(sel_Product="All",H2219=sel_Product),AND(S2219&gt;=m_From,S2219&lt;=m_To)),1,0)</f>
        <v/>
      </c>
      <c r="W2219" s="36">
        <f>IF(AND(OR(sel_Region="All",C2219=sel_Region),OR(sel_Country="All",D2219=sel_Country),OR(sel_Customer="All",F2219=sel_Customer),OR(sel_Category="All",G2219=sel_Category),OR(sel_Product="All",H2219=sel_Product),AND(S2219&gt;=m_From,S2219&lt;=m_To)),1,0)</f>
        <v/>
      </c>
      <c r="X2219" s="36">
        <f>IF(AND(OR(sel_Region="All",C2219=sel_Region),OR(sel_Country="All",D2219=sel_Country),OR(sel_Channel="All",E2219=sel_Channel),OR(sel_Category="All",G2219=sel_Category),OR(sel_Product="All",H2219=sel_Product),AND(S2219&gt;=m_From,S2219&lt;=m_To)),1,0)</f>
        <v/>
      </c>
      <c r="Y2219" s="36">
        <f>IF(AND(OR(sel_Region="All",C2219=sel_Region),OR(sel_Country="All",D2219=sel_Country),OR(sel_Channel="All",E2219=sel_Channel),OR(sel_Customer="All",F2219=sel_Customer),OR(sel_Product="All",H2219=sel_Product),AND(S2219&gt;=m_From,S2219&lt;=m_To)),1,0)</f>
        <v/>
      </c>
      <c r="Z2219" s="36">
        <f>IF(AND(OR(sel_Region="All",C2219=sel_Region),OR(sel_Country="All",D2219=sel_Country),OR(sel_Channel="All",E2219=sel_Channel),OR(sel_Customer="All",F2219=sel_Customer),OR(sel_Category="All",G2219=sel_Category),AND(S2219&gt;=m_From,S2219&lt;=m_To)),1,0)</f>
        <v/>
      </c>
      <c r="AA2219" s="36">
        <f>IF(AND(OR(sel_Region="All",C2219=sel_Region),OR(sel_Country="All",D2219=sel_Country),OR(sel_Channel="All",E2219=sel_Channel),OR(sel_Customer="All",F2219=sel_Customer),OR(sel_Category="All",G2219=sel_Category),OR(sel_Product="All",H2219=sel_Product)),1,0)</f>
        <v/>
      </c>
    </row>
    <row r="2220">
      <c r="A2220" s="36" t="inlineStr">
        <is>
          <t>01245</t>
        </is>
      </c>
      <c r="B2220" s="44" t="n">
        <v>46324</v>
      </c>
      <c r="C2220" s="36" t="inlineStr">
        <is>
          <t>Central Europe</t>
        </is>
      </c>
      <c r="D2220" s="36" t="inlineStr">
        <is>
          <t>Austria</t>
        </is>
      </c>
      <c r="E2220" s="36" t="inlineStr">
        <is>
          <t>Marketplace</t>
        </is>
      </c>
      <c r="F2220" s="36" t="inlineStr">
        <is>
          <t>Returning</t>
        </is>
      </c>
      <c r="G2220" s="36" t="inlineStr">
        <is>
          <t>Fitness</t>
        </is>
      </c>
      <c r="H2220" s="36" t="inlineStr">
        <is>
          <t>Resistance Band Set</t>
        </is>
      </c>
      <c r="I2220" s="36" t="n">
        <v>2</v>
      </c>
      <c r="J2220" s="39" t="n">
        <v>41.06</v>
      </c>
      <c r="K2220" s="45" t="n">
        <v>0.05</v>
      </c>
      <c r="L2220" s="39" t="n">
        <v>15.07</v>
      </c>
      <c r="M2220" s="39">
        <f>I2220*J2220*(1-K2220)</f>
        <v/>
      </c>
      <c r="N2220" s="39">
        <f>I2220*L2220</f>
        <v/>
      </c>
      <c r="O2220" s="39">
        <f>M2220-N2220</f>
        <v/>
      </c>
      <c r="P2220" s="38">
        <f>IF(M2220=0,0,O2220/M2220)</f>
        <v/>
      </c>
      <c r="Q2220" s="36">
        <f>YEAR(B2220)</f>
        <v/>
      </c>
      <c r="R2220" s="36">
        <f>"Q"&amp;ROUNDUP(MONTH(B2220)/3,0)</f>
        <v/>
      </c>
      <c r="S2220" s="36">
        <f>MONTH(B2220)</f>
        <v/>
      </c>
      <c r="T2220" s="36">
        <f>TEXT(B2220,"mmm")</f>
        <v/>
      </c>
      <c r="U2220" s="36">
        <f>IF(AND(OR(sel_Region="All",C2220=sel_Region),OR(sel_Country="All",D2220=sel_Country),OR(sel_Channel="All",E2220=sel_Channel),OR(sel_Customer="All",F2220=sel_Customer),OR(sel_Category="All",G2220=sel_Category),OR(sel_Product="All",H2220=sel_Product),AND(S2220&gt;=m_From,S2220&lt;=m_To)),1,0)</f>
        <v/>
      </c>
      <c r="V2220" s="36">
        <f>IF(AND(OR(sel_Region="All",C2220=sel_Region),OR(sel_Channel="All",E2220=sel_Channel),OR(sel_Customer="All",F2220=sel_Customer),OR(sel_Category="All",G2220=sel_Category),OR(sel_Product="All",H2220=sel_Product),AND(S2220&gt;=m_From,S2220&lt;=m_To)),1,0)</f>
        <v/>
      </c>
      <c r="W2220" s="36">
        <f>IF(AND(OR(sel_Region="All",C2220=sel_Region),OR(sel_Country="All",D2220=sel_Country),OR(sel_Customer="All",F2220=sel_Customer),OR(sel_Category="All",G2220=sel_Category),OR(sel_Product="All",H2220=sel_Product),AND(S2220&gt;=m_From,S2220&lt;=m_To)),1,0)</f>
        <v/>
      </c>
      <c r="X2220" s="36">
        <f>IF(AND(OR(sel_Region="All",C2220=sel_Region),OR(sel_Country="All",D2220=sel_Country),OR(sel_Channel="All",E2220=sel_Channel),OR(sel_Category="All",G2220=sel_Category),OR(sel_Product="All",H2220=sel_Product),AND(S2220&gt;=m_From,S2220&lt;=m_To)),1,0)</f>
        <v/>
      </c>
      <c r="Y2220" s="36">
        <f>IF(AND(OR(sel_Region="All",C2220=sel_Region),OR(sel_Country="All",D2220=sel_Country),OR(sel_Channel="All",E2220=sel_Channel),OR(sel_Customer="All",F2220=sel_Customer),OR(sel_Product="All",H2220=sel_Product),AND(S2220&gt;=m_From,S2220&lt;=m_To)),1,0)</f>
        <v/>
      </c>
      <c r="Z2220" s="36">
        <f>IF(AND(OR(sel_Region="All",C2220=sel_Region),OR(sel_Country="All",D2220=sel_Country),OR(sel_Channel="All",E2220=sel_Channel),OR(sel_Customer="All",F2220=sel_Customer),OR(sel_Category="All",G2220=sel_Category),AND(S2220&gt;=m_From,S2220&lt;=m_To)),1,0)</f>
        <v/>
      </c>
      <c r="AA2220" s="36">
        <f>IF(AND(OR(sel_Region="All",C2220=sel_Region),OR(sel_Country="All",D2220=sel_Country),OR(sel_Channel="All",E2220=sel_Channel),OR(sel_Customer="All",F2220=sel_Customer),OR(sel_Category="All",G2220=sel_Category),OR(sel_Product="All",H2220=sel_Product)),1,0)</f>
        <v/>
      </c>
    </row>
    <row r="2221">
      <c r="A2221" s="36" t="inlineStr">
        <is>
          <t>01477</t>
        </is>
      </c>
      <c r="B2221" s="44" t="n">
        <v>46324</v>
      </c>
      <c r="C2221" s="36" t="inlineStr">
        <is>
          <t>Central Europe</t>
        </is>
      </c>
      <c r="D2221" s="36" t="inlineStr">
        <is>
          <t>Poland</t>
        </is>
      </c>
      <c r="E2221" s="36" t="inlineStr">
        <is>
          <t>Marketplace</t>
        </is>
      </c>
      <c r="F2221" s="36" t="inlineStr">
        <is>
          <t>Returning</t>
        </is>
      </c>
      <c r="G2221" s="36" t="inlineStr">
        <is>
          <t>Camping</t>
        </is>
      </c>
      <c r="H2221" s="36" t="inlineStr">
        <is>
          <t>Compact Sleeping Bag</t>
        </is>
      </c>
      <c r="I2221" s="36" t="n">
        <v>1</v>
      </c>
      <c r="J2221" s="39" t="n">
        <v>121.78</v>
      </c>
      <c r="K2221" s="45" t="n">
        <v>0.15</v>
      </c>
      <c r="L2221" s="39" t="n">
        <v>61.55</v>
      </c>
      <c r="M2221" s="39">
        <f>I2221*J2221*(1-K2221)</f>
        <v/>
      </c>
      <c r="N2221" s="39">
        <f>I2221*L2221</f>
        <v/>
      </c>
      <c r="O2221" s="39">
        <f>M2221-N2221</f>
        <v/>
      </c>
      <c r="P2221" s="38">
        <f>IF(M2221=0,0,O2221/M2221)</f>
        <v/>
      </c>
      <c r="Q2221" s="36">
        <f>YEAR(B2221)</f>
        <v/>
      </c>
      <c r="R2221" s="36">
        <f>"Q"&amp;ROUNDUP(MONTH(B2221)/3,0)</f>
        <v/>
      </c>
      <c r="S2221" s="36">
        <f>MONTH(B2221)</f>
        <v/>
      </c>
      <c r="T2221" s="36">
        <f>TEXT(B2221,"mmm")</f>
        <v/>
      </c>
      <c r="U2221" s="36">
        <f>IF(AND(OR(sel_Region="All",C2221=sel_Region),OR(sel_Country="All",D2221=sel_Country),OR(sel_Channel="All",E2221=sel_Channel),OR(sel_Customer="All",F2221=sel_Customer),OR(sel_Category="All",G2221=sel_Category),OR(sel_Product="All",H2221=sel_Product),AND(S2221&gt;=m_From,S2221&lt;=m_To)),1,0)</f>
        <v/>
      </c>
      <c r="V2221" s="36">
        <f>IF(AND(OR(sel_Region="All",C2221=sel_Region),OR(sel_Channel="All",E2221=sel_Channel),OR(sel_Customer="All",F2221=sel_Customer),OR(sel_Category="All",G2221=sel_Category),OR(sel_Product="All",H2221=sel_Product),AND(S2221&gt;=m_From,S2221&lt;=m_To)),1,0)</f>
        <v/>
      </c>
      <c r="W2221" s="36">
        <f>IF(AND(OR(sel_Region="All",C2221=sel_Region),OR(sel_Country="All",D2221=sel_Country),OR(sel_Customer="All",F2221=sel_Customer),OR(sel_Category="All",G2221=sel_Category),OR(sel_Product="All",H2221=sel_Product),AND(S2221&gt;=m_From,S2221&lt;=m_To)),1,0)</f>
        <v/>
      </c>
      <c r="X2221" s="36">
        <f>IF(AND(OR(sel_Region="All",C2221=sel_Region),OR(sel_Country="All",D2221=sel_Country),OR(sel_Channel="All",E2221=sel_Channel),OR(sel_Category="All",G2221=sel_Category),OR(sel_Product="All",H2221=sel_Product),AND(S2221&gt;=m_From,S2221&lt;=m_To)),1,0)</f>
        <v/>
      </c>
      <c r="Y2221" s="36">
        <f>IF(AND(OR(sel_Region="All",C2221=sel_Region),OR(sel_Country="All",D2221=sel_Country),OR(sel_Channel="All",E2221=sel_Channel),OR(sel_Customer="All",F2221=sel_Customer),OR(sel_Product="All",H2221=sel_Product),AND(S2221&gt;=m_From,S2221&lt;=m_To)),1,0)</f>
        <v/>
      </c>
      <c r="Z2221" s="36">
        <f>IF(AND(OR(sel_Region="All",C2221=sel_Region),OR(sel_Country="All",D2221=sel_Country),OR(sel_Channel="All",E2221=sel_Channel),OR(sel_Customer="All",F2221=sel_Customer),OR(sel_Category="All",G2221=sel_Category),AND(S2221&gt;=m_From,S2221&lt;=m_To)),1,0)</f>
        <v/>
      </c>
      <c r="AA2221" s="36">
        <f>IF(AND(OR(sel_Region="All",C2221=sel_Region),OR(sel_Country="All",D2221=sel_Country),OR(sel_Channel="All",E2221=sel_Channel),OR(sel_Customer="All",F2221=sel_Customer),OR(sel_Category="All",G2221=sel_Category),OR(sel_Product="All",H2221=sel_Product)),1,0)</f>
        <v/>
      </c>
    </row>
    <row r="2222">
      <c r="A2222" s="36" t="inlineStr">
        <is>
          <t>01575</t>
        </is>
      </c>
      <c r="B2222" s="44" t="n">
        <v>46324</v>
      </c>
      <c r="C2222" s="36" t="inlineStr">
        <is>
          <t>Western Europe</t>
        </is>
      </c>
      <c r="D2222" s="36" t="inlineStr">
        <is>
          <t>Netherlands</t>
        </is>
      </c>
      <c r="E2222" s="36" t="inlineStr">
        <is>
          <t>Corporate</t>
        </is>
      </c>
      <c r="F2222" s="36" t="inlineStr">
        <is>
          <t>Returning</t>
        </is>
      </c>
      <c r="G2222" s="36" t="inlineStr">
        <is>
          <t>Travel</t>
        </is>
      </c>
      <c r="H2222" s="36" t="inlineStr">
        <is>
          <t>Carry-On Duffel</t>
        </is>
      </c>
      <c r="I2222" s="36" t="n">
        <v>5</v>
      </c>
      <c r="J2222" s="39" t="n">
        <v>130.68</v>
      </c>
      <c r="K2222" s="45" t="n">
        <v>0.2</v>
      </c>
      <c r="L2222" s="39" t="n">
        <v>67.20999999999999</v>
      </c>
      <c r="M2222" s="39">
        <f>I2222*J2222*(1-K2222)</f>
        <v/>
      </c>
      <c r="N2222" s="39">
        <f>I2222*L2222</f>
        <v/>
      </c>
      <c r="O2222" s="39">
        <f>M2222-N2222</f>
        <v/>
      </c>
      <c r="P2222" s="38">
        <f>IF(M2222=0,0,O2222/M2222)</f>
        <v/>
      </c>
      <c r="Q2222" s="36">
        <f>YEAR(B2222)</f>
        <v/>
      </c>
      <c r="R2222" s="36">
        <f>"Q"&amp;ROUNDUP(MONTH(B2222)/3,0)</f>
        <v/>
      </c>
      <c r="S2222" s="36">
        <f>MONTH(B2222)</f>
        <v/>
      </c>
      <c r="T2222" s="36">
        <f>TEXT(B2222,"mmm")</f>
        <v/>
      </c>
      <c r="U2222" s="36">
        <f>IF(AND(OR(sel_Region="All",C2222=sel_Region),OR(sel_Country="All",D2222=sel_Country),OR(sel_Channel="All",E2222=sel_Channel),OR(sel_Customer="All",F2222=sel_Customer),OR(sel_Category="All",G2222=sel_Category),OR(sel_Product="All",H2222=sel_Product),AND(S2222&gt;=m_From,S2222&lt;=m_To)),1,0)</f>
        <v/>
      </c>
      <c r="V2222" s="36">
        <f>IF(AND(OR(sel_Region="All",C2222=sel_Region),OR(sel_Channel="All",E2222=sel_Channel),OR(sel_Customer="All",F2222=sel_Customer),OR(sel_Category="All",G2222=sel_Category),OR(sel_Product="All",H2222=sel_Product),AND(S2222&gt;=m_From,S2222&lt;=m_To)),1,0)</f>
        <v/>
      </c>
      <c r="W2222" s="36">
        <f>IF(AND(OR(sel_Region="All",C2222=sel_Region),OR(sel_Country="All",D2222=sel_Country),OR(sel_Customer="All",F2222=sel_Customer),OR(sel_Category="All",G2222=sel_Category),OR(sel_Product="All",H2222=sel_Product),AND(S2222&gt;=m_From,S2222&lt;=m_To)),1,0)</f>
        <v/>
      </c>
      <c r="X2222" s="36">
        <f>IF(AND(OR(sel_Region="All",C2222=sel_Region),OR(sel_Country="All",D2222=sel_Country),OR(sel_Channel="All",E2222=sel_Channel),OR(sel_Category="All",G2222=sel_Category),OR(sel_Product="All",H2222=sel_Product),AND(S2222&gt;=m_From,S2222&lt;=m_To)),1,0)</f>
        <v/>
      </c>
      <c r="Y2222" s="36">
        <f>IF(AND(OR(sel_Region="All",C2222=sel_Region),OR(sel_Country="All",D2222=sel_Country),OR(sel_Channel="All",E2222=sel_Channel),OR(sel_Customer="All",F2222=sel_Customer),OR(sel_Product="All",H2222=sel_Product),AND(S2222&gt;=m_From,S2222&lt;=m_To)),1,0)</f>
        <v/>
      </c>
      <c r="Z2222" s="36">
        <f>IF(AND(OR(sel_Region="All",C2222=sel_Region),OR(sel_Country="All",D2222=sel_Country),OR(sel_Channel="All",E2222=sel_Channel),OR(sel_Customer="All",F2222=sel_Customer),OR(sel_Category="All",G2222=sel_Category),AND(S2222&gt;=m_From,S2222&lt;=m_To)),1,0)</f>
        <v/>
      </c>
      <c r="AA2222" s="36">
        <f>IF(AND(OR(sel_Region="All",C2222=sel_Region),OR(sel_Country="All",D2222=sel_Country),OR(sel_Channel="All",E2222=sel_Channel),OR(sel_Customer="All",F2222=sel_Customer),OR(sel_Category="All",G2222=sel_Category),OR(sel_Product="All",H2222=sel_Product)),1,0)</f>
        <v/>
      </c>
    </row>
    <row r="2223">
      <c r="A2223" s="36" t="inlineStr">
        <is>
          <t>02830</t>
        </is>
      </c>
      <c r="B2223" s="44" t="n">
        <v>46324</v>
      </c>
      <c r="C2223" s="36" t="inlineStr">
        <is>
          <t>Northern Europe</t>
        </is>
      </c>
      <c r="D2223" s="36" t="inlineStr">
        <is>
          <t>Sweden</t>
        </is>
      </c>
      <c r="E2223" s="36" t="inlineStr">
        <is>
          <t>Online Store</t>
        </is>
      </c>
      <c r="F2223" s="36" t="inlineStr">
        <is>
          <t>New</t>
        </is>
      </c>
      <c r="G2223" s="36" t="inlineStr">
        <is>
          <t>Travel</t>
        </is>
      </c>
      <c r="H2223" s="36" t="inlineStr">
        <is>
          <t>Travel Backpack 35L</t>
        </is>
      </c>
      <c r="I2223" s="36" t="n">
        <v>1</v>
      </c>
      <c r="J2223" s="39" t="n">
        <v>161.95</v>
      </c>
      <c r="K2223" s="45" t="n">
        <v>0</v>
      </c>
      <c r="L2223" s="39" t="n">
        <v>86.61</v>
      </c>
      <c r="M2223" s="39">
        <f>I2223*J2223*(1-K2223)</f>
        <v/>
      </c>
      <c r="N2223" s="39">
        <f>I2223*L2223</f>
        <v/>
      </c>
      <c r="O2223" s="39">
        <f>M2223-N2223</f>
        <v/>
      </c>
      <c r="P2223" s="38">
        <f>IF(M2223=0,0,O2223/M2223)</f>
        <v/>
      </c>
      <c r="Q2223" s="36">
        <f>YEAR(B2223)</f>
        <v/>
      </c>
      <c r="R2223" s="36">
        <f>"Q"&amp;ROUNDUP(MONTH(B2223)/3,0)</f>
        <v/>
      </c>
      <c r="S2223" s="36">
        <f>MONTH(B2223)</f>
        <v/>
      </c>
      <c r="T2223" s="36">
        <f>TEXT(B2223,"mmm")</f>
        <v/>
      </c>
      <c r="U2223" s="36">
        <f>IF(AND(OR(sel_Region="All",C2223=sel_Region),OR(sel_Country="All",D2223=sel_Country),OR(sel_Channel="All",E2223=sel_Channel),OR(sel_Customer="All",F2223=sel_Customer),OR(sel_Category="All",G2223=sel_Category),OR(sel_Product="All",H2223=sel_Product),AND(S2223&gt;=m_From,S2223&lt;=m_To)),1,0)</f>
        <v/>
      </c>
      <c r="V2223" s="36">
        <f>IF(AND(OR(sel_Region="All",C2223=sel_Region),OR(sel_Channel="All",E2223=sel_Channel),OR(sel_Customer="All",F2223=sel_Customer),OR(sel_Category="All",G2223=sel_Category),OR(sel_Product="All",H2223=sel_Product),AND(S2223&gt;=m_From,S2223&lt;=m_To)),1,0)</f>
        <v/>
      </c>
      <c r="W2223" s="36">
        <f>IF(AND(OR(sel_Region="All",C2223=sel_Region),OR(sel_Country="All",D2223=sel_Country),OR(sel_Customer="All",F2223=sel_Customer),OR(sel_Category="All",G2223=sel_Category),OR(sel_Product="All",H2223=sel_Product),AND(S2223&gt;=m_From,S2223&lt;=m_To)),1,0)</f>
        <v/>
      </c>
      <c r="X2223" s="36">
        <f>IF(AND(OR(sel_Region="All",C2223=sel_Region),OR(sel_Country="All",D2223=sel_Country),OR(sel_Channel="All",E2223=sel_Channel),OR(sel_Category="All",G2223=sel_Category),OR(sel_Product="All",H2223=sel_Product),AND(S2223&gt;=m_From,S2223&lt;=m_To)),1,0)</f>
        <v/>
      </c>
      <c r="Y2223" s="36">
        <f>IF(AND(OR(sel_Region="All",C2223=sel_Region),OR(sel_Country="All",D2223=sel_Country),OR(sel_Channel="All",E2223=sel_Channel),OR(sel_Customer="All",F2223=sel_Customer),OR(sel_Product="All",H2223=sel_Product),AND(S2223&gt;=m_From,S2223&lt;=m_To)),1,0)</f>
        <v/>
      </c>
      <c r="Z2223" s="36">
        <f>IF(AND(OR(sel_Region="All",C2223=sel_Region),OR(sel_Country="All",D2223=sel_Country),OR(sel_Channel="All",E2223=sel_Channel),OR(sel_Customer="All",F2223=sel_Customer),OR(sel_Category="All",G2223=sel_Category),AND(S2223&gt;=m_From,S2223&lt;=m_To)),1,0)</f>
        <v/>
      </c>
      <c r="AA2223" s="36">
        <f>IF(AND(OR(sel_Region="All",C2223=sel_Region),OR(sel_Country="All",D2223=sel_Country),OR(sel_Channel="All",E2223=sel_Channel),OR(sel_Customer="All",F2223=sel_Customer),OR(sel_Category="All",G2223=sel_Category),OR(sel_Product="All",H2223=sel_Product)),1,0)</f>
        <v/>
      </c>
    </row>
    <row r="2224">
      <c r="A2224" s="36" t="inlineStr">
        <is>
          <t>02884</t>
        </is>
      </c>
      <c r="B2224" s="44" t="n">
        <v>46324</v>
      </c>
      <c r="C2224" s="36" t="inlineStr">
        <is>
          <t>Southern Europe</t>
        </is>
      </c>
      <c r="D2224" s="36" t="inlineStr">
        <is>
          <t>Italy</t>
        </is>
      </c>
      <c r="E2224" s="36" t="inlineStr">
        <is>
          <t>Retail Partners</t>
        </is>
      </c>
      <c r="F2224" s="36" t="inlineStr">
        <is>
          <t>Returning</t>
        </is>
      </c>
      <c r="G2224" s="36" t="inlineStr">
        <is>
          <t>Cycling</t>
        </is>
      </c>
      <c r="H2224" s="36" t="inlineStr">
        <is>
          <t>Commuter Helmet</t>
        </is>
      </c>
      <c r="I2224" s="36" t="n">
        <v>2</v>
      </c>
      <c r="J2224" s="39" t="n">
        <v>83.59999999999999</v>
      </c>
      <c r="K2224" s="45" t="n">
        <v>0</v>
      </c>
      <c r="L2224" s="39" t="n">
        <v>43.01</v>
      </c>
      <c r="M2224" s="39">
        <f>I2224*J2224*(1-K2224)</f>
        <v/>
      </c>
      <c r="N2224" s="39">
        <f>I2224*L2224</f>
        <v/>
      </c>
      <c r="O2224" s="39">
        <f>M2224-N2224</f>
        <v/>
      </c>
      <c r="P2224" s="38">
        <f>IF(M2224=0,0,O2224/M2224)</f>
        <v/>
      </c>
      <c r="Q2224" s="36">
        <f>YEAR(B2224)</f>
        <v/>
      </c>
      <c r="R2224" s="36">
        <f>"Q"&amp;ROUNDUP(MONTH(B2224)/3,0)</f>
        <v/>
      </c>
      <c r="S2224" s="36">
        <f>MONTH(B2224)</f>
        <v/>
      </c>
      <c r="T2224" s="36">
        <f>TEXT(B2224,"mmm")</f>
        <v/>
      </c>
      <c r="U2224" s="36">
        <f>IF(AND(OR(sel_Region="All",C2224=sel_Region),OR(sel_Country="All",D2224=sel_Country),OR(sel_Channel="All",E2224=sel_Channel),OR(sel_Customer="All",F2224=sel_Customer),OR(sel_Category="All",G2224=sel_Category),OR(sel_Product="All",H2224=sel_Product),AND(S2224&gt;=m_From,S2224&lt;=m_To)),1,0)</f>
        <v/>
      </c>
      <c r="V2224" s="36">
        <f>IF(AND(OR(sel_Region="All",C2224=sel_Region),OR(sel_Channel="All",E2224=sel_Channel),OR(sel_Customer="All",F2224=sel_Customer),OR(sel_Category="All",G2224=sel_Category),OR(sel_Product="All",H2224=sel_Product),AND(S2224&gt;=m_From,S2224&lt;=m_To)),1,0)</f>
        <v/>
      </c>
      <c r="W2224" s="36">
        <f>IF(AND(OR(sel_Region="All",C2224=sel_Region),OR(sel_Country="All",D2224=sel_Country),OR(sel_Customer="All",F2224=sel_Customer),OR(sel_Category="All",G2224=sel_Category),OR(sel_Product="All",H2224=sel_Product),AND(S2224&gt;=m_From,S2224&lt;=m_To)),1,0)</f>
        <v/>
      </c>
      <c r="X2224" s="36">
        <f>IF(AND(OR(sel_Region="All",C2224=sel_Region),OR(sel_Country="All",D2224=sel_Country),OR(sel_Channel="All",E2224=sel_Channel),OR(sel_Category="All",G2224=sel_Category),OR(sel_Product="All",H2224=sel_Product),AND(S2224&gt;=m_From,S2224&lt;=m_To)),1,0)</f>
        <v/>
      </c>
      <c r="Y2224" s="36">
        <f>IF(AND(OR(sel_Region="All",C2224=sel_Region),OR(sel_Country="All",D2224=sel_Country),OR(sel_Channel="All",E2224=sel_Channel),OR(sel_Customer="All",F2224=sel_Customer),OR(sel_Product="All",H2224=sel_Product),AND(S2224&gt;=m_From,S2224&lt;=m_To)),1,0)</f>
        <v/>
      </c>
      <c r="Z2224" s="36">
        <f>IF(AND(OR(sel_Region="All",C2224=sel_Region),OR(sel_Country="All",D2224=sel_Country),OR(sel_Channel="All",E2224=sel_Channel),OR(sel_Customer="All",F2224=sel_Customer),OR(sel_Category="All",G2224=sel_Category),AND(S2224&gt;=m_From,S2224&lt;=m_To)),1,0)</f>
        <v/>
      </c>
      <c r="AA2224" s="36">
        <f>IF(AND(OR(sel_Region="All",C2224=sel_Region),OR(sel_Country="All",D2224=sel_Country),OR(sel_Channel="All",E2224=sel_Channel),OR(sel_Customer="All",F2224=sel_Customer),OR(sel_Category="All",G2224=sel_Category),OR(sel_Product="All",H2224=sel_Product)),1,0)</f>
        <v/>
      </c>
    </row>
    <row r="2225">
      <c r="A2225" s="36" t="inlineStr">
        <is>
          <t>03093</t>
        </is>
      </c>
      <c r="B2225" s="44" t="n">
        <v>46324</v>
      </c>
      <c r="C2225" s="36" t="inlineStr">
        <is>
          <t>Western Europe</t>
        </is>
      </c>
      <c r="D2225" s="36" t="inlineStr">
        <is>
          <t>Belgium</t>
        </is>
      </c>
      <c r="E2225" s="36" t="inlineStr">
        <is>
          <t>Corporate</t>
        </is>
      </c>
      <c r="F2225" s="36" t="inlineStr">
        <is>
          <t>Business</t>
        </is>
      </c>
      <c r="G2225" s="36" t="inlineStr">
        <is>
          <t>Camping</t>
        </is>
      </c>
      <c r="H2225" s="36" t="inlineStr">
        <is>
          <t>Trail Tent 2P</t>
        </is>
      </c>
      <c r="I2225" s="36" t="n">
        <v>3</v>
      </c>
      <c r="J2225" s="39" t="n">
        <v>194.19</v>
      </c>
      <c r="K2225" s="45" t="n">
        <v>0.15</v>
      </c>
      <c r="L2225" s="39" t="n">
        <v>104.22</v>
      </c>
      <c r="M2225" s="39">
        <f>I2225*J2225*(1-K2225)</f>
        <v/>
      </c>
      <c r="N2225" s="39">
        <f>I2225*L2225</f>
        <v/>
      </c>
      <c r="O2225" s="39">
        <f>M2225-N2225</f>
        <v/>
      </c>
      <c r="P2225" s="38">
        <f>IF(M2225=0,0,O2225/M2225)</f>
        <v/>
      </c>
      <c r="Q2225" s="36">
        <f>YEAR(B2225)</f>
        <v/>
      </c>
      <c r="R2225" s="36">
        <f>"Q"&amp;ROUNDUP(MONTH(B2225)/3,0)</f>
        <v/>
      </c>
      <c r="S2225" s="36">
        <f>MONTH(B2225)</f>
        <v/>
      </c>
      <c r="T2225" s="36">
        <f>TEXT(B2225,"mmm")</f>
        <v/>
      </c>
      <c r="U2225" s="36">
        <f>IF(AND(OR(sel_Region="All",C2225=sel_Region),OR(sel_Country="All",D2225=sel_Country),OR(sel_Channel="All",E2225=sel_Channel),OR(sel_Customer="All",F2225=sel_Customer),OR(sel_Category="All",G2225=sel_Category),OR(sel_Product="All",H2225=sel_Product),AND(S2225&gt;=m_From,S2225&lt;=m_To)),1,0)</f>
        <v/>
      </c>
      <c r="V2225" s="36">
        <f>IF(AND(OR(sel_Region="All",C2225=sel_Region),OR(sel_Channel="All",E2225=sel_Channel),OR(sel_Customer="All",F2225=sel_Customer),OR(sel_Category="All",G2225=sel_Category),OR(sel_Product="All",H2225=sel_Product),AND(S2225&gt;=m_From,S2225&lt;=m_To)),1,0)</f>
        <v/>
      </c>
      <c r="W2225" s="36">
        <f>IF(AND(OR(sel_Region="All",C2225=sel_Region),OR(sel_Country="All",D2225=sel_Country),OR(sel_Customer="All",F2225=sel_Customer),OR(sel_Category="All",G2225=sel_Category),OR(sel_Product="All",H2225=sel_Product),AND(S2225&gt;=m_From,S2225&lt;=m_To)),1,0)</f>
        <v/>
      </c>
      <c r="X2225" s="36">
        <f>IF(AND(OR(sel_Region="All",C2225=sel_Region),OR(sel_Country="All",D2225=sel_Country),OR(sel_Channel="All",E2225=sel_Channel),OR(sel_Category="All",G2225=sel_Category),OR(sel_Product="All",H2225=sel_Product),AND(S2225&gt;=m_From,S2225&lt;=m_To)),1,0)</f>
        <v/>
      </c>
      <c r="Y2225" s="36">
        <f>IF(AND(OR(sel_Region="All",C2225=sel_Region),OR(sel_Country="All",D2225=sel_Country),OR(sel_Channel="All",E2225=sel_Channel),OR(sel_Customer="All",F2225=sel_Customer),OR(sel_Product="All",H2225=sel_Product),AND(S2225&gt;=m_From,S2225&lt;=m_To)),1,0)</f>
        <v/>
      </c>
      <c r="Z2225" s="36">
        <f>IF(AND(OR(sel_Region="All",C2225=sel_Region),OR(sel_Country="All",D2225=sel_Country),OR(sel_Channel="All",E2225=sel_Channel),OR(sel_Customer="All",F2225=sel_Customer),OR(sel_Category="All",G2225=sel_Category),AND(S2225&gt;=m_From,S2225&lt;=m_To)),1,0)</f>
        <v/>
      </c>
      <c r="AA2225" s="36">
        <f>IF(AND(OR(sel_Region="All",C2225=sel_Region),OR(sel_Country="All",D2225=sel_Country),OR(sel_Channel="All",E2225=sel_Channel),OR(sel_Customer="All",F2225=sel_Customer),OR(sel_Category="All",G2225=sel_Category),OR(sel_Product="All",H2225=sel_Product)),1,0)</f>
        <v/>
      </c>
    </row>
    <row r="2226">
      <c r="A2226" s="36" t="inlineStr">
        <is>
          <t>03613</t>
        </is>
      </c>
      <c r="B2226" s="44" t="n">
        <v>46324</v>
      </c>
      <c r="C2226" s="36" t="inlineStr">
        <is>
          <t>Central Europe</t>
        </is>
      </c>
      <c r="D2226" s="36" t="inlineStr">
        <is>
          <t>Germany</t>
        </is>
      </c>
      <c r="E2226" s="36" t="inlineStr">
        <is>
          <t>Online Store</t>
        </is>
      </c>
      <c r="F2226" s="36" t="inlineStr">
        <is>
          <t>Returning</t>
        </is>
      </c>
      <c r="G2226" s="36" t="inlineStr">
        <is>
          <t>Travel</t>
        </is>
      </c>
      <c r="H2226" s="36" t="inlineStr">
        <is>
          <t>Travel Backpack 35L</t>
        </is>
      </c>
      <c r="I2226" s="36" t="n">
        <v>3</v>
      </c>
      <c r="J2226" s="39" t="n">
        <v>167.41</v>
      </c>
      <c r="K2226" s="45" t="n">
        <v>0</v>
      </c>
      <c r="L2226" s="39" t="n">
        <v>85.33</v>
      </c>
      <c r="M2226" s="39">
        <f>I2226*J2226*(1-K2226)</f>
        <v/>
      </c>
      <c r="N2226" s="39">
        <f>I2226*L2226</f>
        <v/>
      </c>
      <c r="O2226" s="39">
        <f>M2226-N2226</f>
        <v/>
      </c>
      <c r="P2226" s="38">
        <f>IF(M2226=0,0,O2226/M2226)</f>
        <v/>
      </c>
      <c r="Q2226" s="36">
        <f>YEAR(B2226)</f>
        <v/>
      </c>
      <c r="R2226" s="36">
        <f>"Q"&amp;ROUNDUP(MONTH(B2226)/3,0)</f>
        <v/>
      </c>
      <c r="S2226" s="36">
        <f>MONTH(B2226)</f>
        <v/>
      </c>
      <c r="T2226" s="36">
        <f>TEXT(B2226,"mmm")</f>
        <v/>
      </c>
      <c r="U2226" s="36">
        <f>IF(AND(OR(sel_Region="All",C2226=sel_Region),OR(sel_Country="All",D2226=sel_Country),OR(sel_Channel="All",E2226=sel_Channel),OR(sel_Customer="All",F2226=sel_Customer),OR(sel_Category="All",G2226=sel_Category),OR(sel_Product="All",H2226=sel_Product),AND(S2226&gt;=m_From,S2226&lt;=m_To)),1,0)</f>
        <v/>
      </c>
      <c r="V2226" s="36">
        <f>IF(AND(OR(sel_Region="All",C2226=sel_Region),OR(sel_Channel="All",E2226=sel_Channel),OR(sel_Customer="All",F2226=sel_Customer),OR(sel_Category="All",G2226=sel_Category),OR(sel_Product="All",H2226=sel_Product),AND(S2226&gt;=m_From,S2226&lt;=m_To)),1,0)</f>
        <v/>
      </c>
      <c r="W2226" s="36">
        <f>IF(AND(OR(sel_Region="All",C2226=sel_Region),OR(sel_Country="All",D2226=sel_Country),OR(sel_Customer="All",F2226=sel_Customer),OR(sel_Category="All",G2226=sel_Category),OR(sel_Product="All",H2226=sel_Product),AND(S2226&gt;=m_From,S2226&lt;=m_To)),1,0)</f>
        <v/>
      </c>
      <c r="X2226" s="36">
        <f>IF(AND(OR(sel_Region="All",C2226=sel_Region),OR(sel_Country="All",D2226=sel_Country),OR(sel_Channel="All",E2226=sel_Channel),OR(sel_Category="All",G2226=sel_Category),OR(sel_Product="All",H2226=sel_Product),AND(S2226&gt;=m_From,S2226&lt;=m_To)),1,0)</f>
        <v/>
      </c>
      <c r="Y2226" s="36">
        <f>IF(AND(OR(sel_Region="All",C2226=sel_Region),OR(sel_Country="All",D2226=sel_Country),OR(sel_Channel="All",E2226=sel_Channel),OR(sel_Customer="All",F2226=sel_Customer),OR(sel_Product="All",H2226=sel_Product),AND(S2226&gt;=m_From,S2226&lt;=m_To)),1,0)</f>
        <v/>
      </c>
      <c r="Z2226" s="36">
        <f>IF(AND(OR(sel_Region="All",C2226=sel_Region),OR(sel_Country="All",D2226=sel_Country),OR(sel_Channel="All",E2226=sel_Channel),OR(sel_Customer="All",F2226=sel_Customer),OR(sel_Category="All",G2226=sel_Category),AND(S2226&gt;=m_From,S2226&lt;=m_To)),1,0)</f>
        <v/>
      </c>
      <c r="AA2226" s="36">
        <f>IF(AND(OR(sel_Region="All",C2226=sel_Region),OR(sel_Country="All",D2226=sel_Country),OR(sel_Channel="All",E2226=sel_Channel),OR(sel_Customer="All",F2226=sel_Customer),OR(sel_Category="All",G2226=sel_Category),OR(sel_Product="All",H2226=sel_Product)),1,0)</f>
        <v/>
      </c>
    </row>
    <row r="2227">
      <c r="A2227" s="36" t="inlineStr">
        <is>
          <t>04496</t>
        </is>
      </c>
      <c r="B2227" s="44" t="n">
        <v>46324</v>
      </c>
      <c r="C2227" s="36" t="inlineStr">
        <is>
          <t>Western Europe</t>
        </is>
      </c>
      <c r="D2227" s="36" t="inlineStr">
        <is>
          <t>United Kingdom</t>
        </is>
      </c>
      <c r="E2227" s="36" t="inlineStr">
        <is>
          <t>Online Store</t>
        </is>
      </c>
      <c r="F2227" s="36" t="inlineStr">
        <is>
          <t>Returning</t>
        </is>
      </c>
      <c r="G2227" s="36" t="inlineStr">
        <is>
          <t>Fitness</t>
        </is>
      </c>
      <c r="H2227" s="36" t="inlineStr">
        <is>
          <t>Resistance Band Set</t>
        </is>
      </c>
      <c r="I2227" s="36" t="n">
        <v>2</v>
      </c>
      <c r="J2227" s="39" t="n">
        <v>40.83</v>
      </c>
      <c r="K2227" s="45" t="n">
        <v>0.1</v>
      </c>
      <c r="L2227" s="39" t="n">
        <v>14.91</v>
      </c>
      <c r="M2227" s="39">
        <f>I2227*J2227*(1-K2227)</f>
        <v/>
      </c>
      <c r="N2227" s="39">
        <f>I2227*L2227</f>
        <v/>
      </c>
      <c r="O2227" s="39">
        <f>M2227-N2227</f>
        <v/>
      </c>
      <c r="P2227" s="38">
        <f>IF(M2227=0,0,O2227/M2227)</f>
        <v/>
      </c>
      <c r="Q2227" s="36">
        <f>YEAR(B2227)</f>
        <v/>
      </c>
      <c r="R2227" s="36">
        <f>"Q"&amp;ROUNDUP(MONTH(B2227)/3,0)</f>
        <v/>
      </c>
      <c r="S2227" s="36">
        <f>MONTH(B2227)</f>
        <v/>
      </c>
      <c r="T2227" s="36">
        <f>TEXT(B2227,"mmm")</f>
        <v/>
      </c>
      <c r="U2227" s="36">
        <f>IF(AND(OR(sel_Region="All",C2227=sel_Region),OR(sel_Country="All",D2227=sel_Country),OR(sel_Channel="All",E2227=sel_Channel),OR(sel_Customer="All",F2227=sel_Customer),OR(sel_Category="All",G2227=sel_Category),OR(sel_Product="All",H2227=sel_Product),AND(S2227&gt;=m_From,S2227&lt;=m_To)),1,0)</f>
        <v/>
      </c>
      <c r="V2227" s="36">
        <f>IF(AND(OR(sel_Region="All",C2227=sel_Region),OR(sel_Channel="All",E2227=sel_Channel),OR(sel_Customer="All",F2227=sel_Customer),OR(sel_Category="All",G2227=sel_Category),OR(sel_Product="All",H2227=sel_Product),AND(S2227&gt;=m_From,S2227&lt;=m_To)),1,0)</f>
        <v/>
      </c>
      <c r="W2227" s="36">
        <f>IF(AND(OR(sel_Region="All",C2227=sel_Region),OR(sel_Country="All",D2227=sel_Country),OR(sel_Customer="All",F2227=sel_Customer),OR(sel_Category="All",G2227=sel_Category),OR(sel_Product="All",H2227=sel_Product),AND(S2227&gt;=m_From,S2227&lt;=m_To)),1,0)</f>
        <v/>
      </c>
      <c r="X2227" s="36">
        <f>IF(AND(OR(sel_Region="All",C2227=sel_Region),OR(sel_Country="All",D2227=sel_Country),OR(sel_Channel="All",E2227=sel_Channel),OR(sel_Category="All",G2227=sel_Category),OR(sel_Product="All",H2227=sel_Product),AND(S2227&gt;=m_From,S2227&lt;=m_To)),1,0)</f>
        <v/>
      </c>
      <c r="Y2227" s="36">
        <f>IF(AND(OR(sel_Region="All",C2227=sel_Region),OR(sel_Country="All",D2227=sel_Country),OR(sel_Channel="All",E2227=sel_Channel),OR(sel_Customer="All",F2227=sel_Customer),OR(sel_Product="All",H2227=sel_Product),AND(S2227&gt;=m_From,S2227&lt;=m_To)),1,0)</f>
        <v/>
      </c>
      <c r="Z2227" s="36">
        <f>IF(AND(OR(sel_Region="All",C2227=sel_Region),OR(sel_Country="All",D2227=sel_Country),OR(sel_Channel="All",E2227=sel_Channel),OR(sel_Customer="All",F2227=sel_Customer),OR(sel_Category="All",G2227=sel_Category),AND(S2227&gt;=m_From,S2227&lt;=m_To)),1,0)</f>
        <v/>
      </c>
      <c r="AA2227" s="36">
        <f>IF(AND(OR(sel_Region="All",C2227=sel_Region),OR(sel_Country="All",D2227=sel_Country),OR(sel_Channel="All",E2227=sel_Channel),OR(sel_Customer="All",F2227=sel_Customer),OR(sel_Category="All",G2227=sel_Category),OR(sel_Product="All",H2227=sel_Product)),1,0)</f>
        <v/>
      </c>
    </row>
    <row r="2228">
      <c r="A2228" s="36" t="inlineStr">
        <is>
          <t>05194</t>
        </is>
      </c>
      <c r="B2228" s="44" t="n">
        <v>46324</v>
      </c>
      <c r="C2228" s="36" t="inlineStr">
        <is>
          <t>Southern Europe</t>
        </is>
      </c>
      <c r="D2228" s="36" t="inlineStr">
        <is>
          <t>Portugal</t>
        </is>
      </c>
      <c r="E2228" s="36" t="inlineStr">
        <is>
          <t>Corporate</t>
        </is>
      </c>
      <c r="F2228" s="36" t="inlineStr">
        <is>
          <t>Business</t>
        </is>
      </c>
      <c r="G2228" s="36" t="inlineStr">
        <is>
          <t>Camping</t>
        </is>
      </c>
      <c r="H2228" s="36" t="inlineStr">
        <is>
          <t>Portable Camp Stove</t>
        </is>
      </c>
      <c r="I2228" s="36" t="n">
        <v>12</v>
      </c>
      <c r="J2228" s="39" t="n">
        <v>80.84</v>
      </c>
      <c r="K2228" s="45" t="n">
        <v>0.1</v>
      </c>
      <c r="L2228" s="39" t="n">
        <v>38.39</v>
      </c>
      <c r="M2228" s="39">
        <f>I2228*J2228*(1-K2228)</f>
        <v/>
      </c>
      <c r="N2228" s="39">
        <f>I2228*L2228</f>
        <v/>
      </c>
      <c r="O2228" s="39">
        <f>M2228-N2228</f>
        <v/>
      </c>
      <c r="P2228" s="38">
        <f>IF(M2228=0,0,O2228/M2228)</f>
        <v/>
      </c>
      <c r="Q2228" s="36">
        <f>YEAR(B2228)</f>
        <v/>
      </c>
      <c r="R2228" s="36">
        <f>"Q"&amp;ROUNDUP(MONTH(B2228)/3,0)</f>
        <v/>
      </c>
      <c r="S2228" s="36">
        <f>MONTH(B2228)</f>
        <v/>
      </c>
      <c r="T2228" s="36">
        <f>TEXT(B2228,"mmm")</f>
        <v/>
      </c>
      <c r="U2228" s="36">
        <f>IF(AND(OR(sel_Region="All",C2228=sel_Region),OR(sel_Country="All",D2228=sel_Country),OR(sel_Channel="All",E2228=sel_Channel),OR(sel_Customer="All",F2228=sel_Customer),OR(sel_Category="All",G2228=sel_Category),OR(sel_Product="All",H2228=sel_Product),AND(S2228&gt;=m_From,S2228&lt;=m_To)),1,0)</f>
        <v/>
      </c>
      <c r="V2228" s="36">
        <f>IF(AND(OR(sel_Region="All",C2228=sel_Region),OR(sel_Channel="All",E2228=sel_Channel),OR(sel_Customer="All",F2228=sel_Customer),OR(sel_Category="All",G2228=sel_Category),OR(sel_Product="All",H2228=sel_Product),AND(S2228&gt;=m_From,S2228&lt;=m_To)),1,0)</f>
        <v/>
      </c>
      <c r="W2228" s="36">
        <f>IF(AND(OR(sel_Region="All",C2228=sel_Region),OR(sel_Country="All",D2228=sel_Country),OR(sel_Customer="All",F2228=sel_Customer),OR(sel_Category="All",G2228=sel_Category),OR(sel_Product="All",H2228=sel_Product),AND(S2228&gt;=m_From,S2228&lt;=m_To)),1,0)</f>
        <v/>
      </c>
      <c r="X2228" s="36">
        <f>IF(AND(OR(sel_Region="All",C2228=sel_Region),OR(sel_Country="All",D2228=sel_Country),OR(sel_Channel="All",E2228=sel_Channel),OR(sel_Category="All",G2228=sel_Category),OR(sel_Product="All",H2228=sel_Product),AND(S2228&gt;=m_From,S2228&lt;=m_To)),1,0)</f>
        <v/>
      </c>
      <c r="Y2228" s="36">
        <f>IF(AND(OR(sel_Region="All",C2228=sel_Region),OR(sel_Country="All",D2228=sel_Country),OR(sel_Channel="All",E2228=sel_Channel),OR(sel_Customer="All",F2228=sel_Customer),OR(sel_Product="All",H2228=sel_Product),AND(S2228&gt;=m_From,S2228&lt;=m_To)),1,0)</f>
        <v/>
      </c>
      <c r="Z2228" s="36">
        <f>IF(AND(OR(sel_Region="All",C2228=sel_Region),OR(sel_Country="All",D2228=sel_Country),OR(sel_Channel="All",E2228=sel_Channel),OR(sel_Customer="All",F2228=sel_Customer),OR(sel_Category="All",G2228=sel_Category),AND(S2228&gt;=m_From,S2228&lt;=m_To)),1,0)</f>
        <v/>
      </c>
      <c r="AA2228" s="36">
        <f>IF(AND(OR(sel_Region="All",C2228=sel_Region),OR(sel_Country="All",D2228=sel_Country),OR(sel_Channel="All",E2228=sel_Channel),OR(sel_Customer="All",F2228=sel_Customer),OR(sel_Category="All",G2228=sel_Category),OR(sel_Product="All",H2228=sel_Product)),1,0)</f>
        <v/>
      </c>
    </row>
    <row r="2229">
      <c r="A2229" s="36" t="inlineStr">
        <is>
          <t>00339</t>
        </is>
      </c>
      <c r="B2229" s="44" t="n">
        <v>46325</v>
      </c>
      <c r="C2229" s="36" t="inlineStr">
        <is>
          <t>Western Europe</t>
        </is>
      </c>
      <c r="D2229" s="36" t="inlineStr">
        <is>
          <t>France</t>
        </is>
      </c>
      <c r="E2229" s="36" t="inlineStr">
        <is>
          <t>Online Store</t>
        </is>
      </c>
      <c r="F2229" s="36" t="inlineStr">
        <is>
          <t>Returning</t>
        </is>
      </c>
      <c r="G2229" s="36" t="inlineStr">
        <is>
          <t>Cycling</t>
        </is>
      </c>
      <c r="H2229" s="36" t="inlineStr">
        <is>
          <t>Compact Repair Kit</t>
        </is>
      </c>
      <c r="I2229" s="36" t="n">
        <v>1</v>
      </c>
      <c r="J2229" s="39" t="n">
        <v>39.65</v>
      </c>
      <c r="K2229" s="45" t="n">
        <v>0</v>
      </c>
      <c r="L2229" s="39" t="n">
        <v>16.38</v>
      </c>
      <c r="M2229" s="39">
        <f>I2229*J2229*(1-K2229)</f>
        <v/>
      </c>
      <c r="N2229" s="39">
        <f>I2229*L2229</f>
        <v/>
      </c>
      <c r="O2229" s="39">
        <f>M2229-N2229</f>
        <v/>
      </c>
      <c r="P2229" s="38">
        <f>IF(M2229=0,0,O2229/M2229)</f>
        <v/>
      </c>
      <c r="Q2229" s="36">
        <f>YEAR(B2229)</f>
        <v/>
      </c>
      <c r="R2229" s="36">
        <f>"Q"&amp;ROUNDUP(MONTH(B2229)/3,0)</f>
        <v/>
      </c>
      <c r="S2229" s="36">
        <f>MONTH(B2229)</f>
        <v/>
      </c>
      <c r="T2229" s="36">
        <f>TEXT(B2229,"mmm")</f>
        <v/>
      </c>
      <c r="U2229" s="36">
        <f>IF(AND(OR(sel_Region="All",C2229=sel_Region),OR(sel_Country="All",D2229=sel_Country),OR(sel_Channel="All",E2229=sel_Channel),OR(sel_Customer="All",F2229=sel_Customer),OR(sel_Category="All",G2229=sel_Category),OR(sel_Product="All",H2229=sel_Product),AND(S2229&gt;=m_From,S2229&lt;=m_To)),1,0)</f>
        <v/>
      </c>
      <c r="V2229" s="36">
        <f>IF(AND(OR(sel_Region="All",C2229=sel_Region),OR(sel_Channel="All",E2229=sel_Channel),OR(sel_Customer="All",F2229=sel_Customer),OR(sel_Category="All",G2229=sel_Category),OR(sel_Product="All",H2229=sel_Product),AND(S2229&gt;=m_From,S2229&lt;=m_To)),1,0)</f>
        <v/>
      </c>
      <c r="W2229" s="36">
        <f>IF(AND(OR(sel_Region="All",C2229=sel_Region),OR(sel_Country="All",D2229=sel_Country),OR(sel_Customer="All",F2229=sel_Customer),OR(sel_Category="All",G2229=sel_Category),OR(sel_Product="All",H2229=sel_Product),AND(S2229&gt;=m_From,S2229&lt;=m_To)),1,0)</f>
        <v/>
      </c>
      <c r="X2229" s="36">
        <f>IF(AND(OR(sel_Region="All",C2229=sel_Region),OR(sel_Country="All",D2229=sel_Country),OR(sel_Channel="All",E2229=sel_Channel),OR(sel_Category="All",G2229=sel_Category),OR(sel_Product="All",H2229=sel_Product),AND(S2229&gt;=m_From,S2229&lt;=m_To)),1,0)</f>
        <v/>
      </c>
      <c r="Y2229" s="36">
        <f>IF(AND(OR(sel_Region="All",C2229=sel_Region),OR(sel_Country="All",D2229=sel_Country),OR(sel_Channel="All",E2229=sel_Channel),OR(sel_Customer="All",F2229=sel_Customer),OR(sel_Product="All",H2229=sel_Product),AND(S2229&gt;=m_From,S2229&lt;=m_To)),1,0)</f>
        <v/>
      </c>
      <c r="Z2229" s="36">
        <f>IF(AND(OR(sel_Region="All",C2229=sel_Region),OR(sel_Country="All",D2229=sel_Country),OR(sel_Channel="All",E2229=sel_Channel),OR(sel_Customer="All",F2229=sel_Customer),OR(sel_Category="All",G2229=sel_Category),AND(S2229&gt;=m_From,S2229&lt;=m_To)),1,0)</f>
        <v/>
      </c>
      <c r="AA2229" s="36">
        <f>IF(AND(OR(sel_Region="All",C2229=sel_Region),OR(sel_Country="All",D2229=sel_Country),OR(sel_Channel="All",E2229=sel_Channel),OR(sel_Customer="All",F2229=sel_Customer),OR(sel_Category="All",G2229=sel_Category),OR(sel_Product="All",H2229=sel_Product)),1,0)</f>
        <v/>
      </c>
    </row>
    <row r="2230">
      <c r="A2230" s="36" t="inlineStr">
        <is>
          <t>01199</t>
        </is>
      </c>
      <c r="B2230" s="44" t="n">
        <v>46325</v>
      </c>
      <c r="C2230" s="36" t="inlineStr">
        <is>
          <t>Central Europe</t>
        </is>
      </c>
      <c r="D2230" s="36" t="inlineStr">
        <is>
          <t>Germany</t>
        </is>
      </c>
      <c r="E2230" s="36" t="inlineStr">
        <is>
          <t>Online Store</t>
        </is>
      </c>
      <c r="F2230" s="36" t="inlineStr">
        <is>
          <t>New</t>
        </is>
      </c>
      <c r="G2230" s="36" t="inlineStr">
        <is>
          <t>Cycling</t>
        </is>
      </c>
      <c r="H2230" s="36" t="inlineStr">
        <is>
          <t>Cycling Pack 12L</t>
        </is>
      </c>
      <c r="I2230" s="36" t="n">
        <v>1</v>
      </c>
      <c r="J2230" s="39" t="n">
        <v>102.47</v>
      </c>
      <c r="K2230" s="45" t="n">
        <v>0.1</v>
      </c>
      <c r="L2230" s="39" t="n">
        <v>49.75</v>
      </c>
      <c r="M2230" s="39">
        <f>I2230*J2230*(1-K2230)</f>
        <v/>
      </c>
      <c r="N2230" s="39">
        <f>I2230*L2230</f>
        <v/>
      </c>
      <c r="O2230" s="39">
        <f>M2230-N2230</f>
        <v/>
      </c>
      <c r="P2230" s="38">
        <f>IF(M2230=0,0,O2230/M2230)</f>
        <v/>
      </c>
      <c r="Q2230" s="36">
        <f>YEAR(B2230)</f>
        <v/>
      </c>
      <c r="R2230" s="36">
        <f>"Q"&amp;ROUNDUP(MONTH(B2230)/3,0)</f>
        <v/>
      </c>
      <c r="S2230" s="36">
        <f>MONTH(B2230)</f>
        <v/>
      </c>
      <c r="T2230" s="36">
        <f>TEXT(B2230,"mmm")</f>
        <v/>
      </c>
      <c r="U2230" s="36">
        <f>IF(AND(OR(sel_Region="All",C2230=sel_Region),OR(sel_Country="All",D2230=sel_Country),OR(sel_Channel="All",E2230=sel_Channel),OR(sel_Customer="All",F2230=sel_Customer),OR(sel_Category="All",G2230=sel_Category),OR(sel_Product="All",H2230=sel_Product),AND(S2230&gt;=m_From,S2230&lt;=m_To)),1,0)</f>
        <v/>
      </c>
      <c r="V2230" s="36">
        <f>IF(AND(OR(sel_Region="All",C2230=sel_Region),OR(sel_Channel="All",E2230=sel_Channel),OR(sel_Customer="All",F2230=sel_Customer),OR(sel_Category="All",G2230=sel_Category),OR(sel_Product="All",H2230=sel_Product),AND(S2230&gt;=m_From,S2230&lt;=m_To)),1,0)</f>
        <v/>
      </c>
      <c r="W2230" s="36">
        <f>IF(AND(OR(sel_Region="All",C2230=sel_Region),OR(sel_Country="All",D2230=sel_Country),OR(sel_Customer="All",F2230=sel_Customer),OR(sel_Category="All",G2230=sel_Category),OR(sel_Product="All",H2230=sel_Product),AND(S2230&gt;=m_From,S2230&lt;=m_To)),1,0)</f>
        <v/>
      </c>
      <c r="X2230" s="36">
        <f>IF(AND(OR(sel_Region="All",C2230=sel_Region),OR(sel_Country="All",D2230=sel_Country),OR(sel_Channel="All",E2230=sel_Channel),OR(sel_Category="All",G2230=sel_Category),OR(sel_Product="All",H2230=sel_Product),AND(S2230&gt;=m_From,S2230&lt;=m_To)),1,0)</f>
        <v/>
      </c>
      <c r="Y2230" s="36">
        <f>IF(AND(OR(sel_Region="All",C2230=sel_Region),OR(sel_Country="All",D2230=sel_Country),OR(sel_Channel="All",E2230=sel_Channel),OR(sel_Customer="All",F2230=sel_Customer),OR(sel_Product="All",H2230=sel_Product),AND(S2230&gt;=m_From,S2230&lt;=m_To)),1,0)</f>
        <v/>
      </c>
      <c r="Z2230" s="36">
        <f>IF(AND(OR(sel_Region="All",C2230=sel_Region),OR(sel_Country="All",D2230=sel_Country),OR(sel_Channel="All",E2230=sel_Channel),OR(sel_Customer="All",F2230=sel_Customer),OR(sel_Category="All",G2230=sel_Category),AND(S2230&gt;=m_From,S2230&lt;=m_To)),1,0)</f>
        <v/>
      </c>
      <c r="AA2230" s="36">
        <f>IF(AND(OR(sel_Region="All",C2230=sel_Region),OR(sel_Country="All",D2230=sel_Country),OR(sel_Channel="All",E2230=sel_Channel),OR(sel_Customer="All",F2230=sel_Customer),OR(sel_Category="All",G2230=sel_Category),OR(sel_Product="All",H2230=sel_Product)),1,0)</f>
        <v/>
      </c>
    </row>
    <row r="2231">
      <c r="A2231" s="36" t="inlineStr">
        <is>
          <t>01253</t>
        </is>
      </c>
      <c r="B2231" s="44" t="n">
        <v>46325</v>
      </c>
      <c r="C2231" s="36" t="inlineStr">
        <is>
          <t>Western Europe</t>
        </is>
      </c>
      <c r="D2231" s="36" t="inlineStr">
        <is>
          <t>France</t>
        </is>
      </c>
      <c r="E2231" s="36" t="inlineStr">
        <is>
          <t>Retail Partners</t>
        </is>
      </c>
      <c r="F2231" s="36" t="inlineStr">
        <is>
          <t>Business</t>
        </is>
      </c>
      <c r="G2231" s="36" t="inlineStr">
        <is>
          <t>Fitness</t>
        </is>
      </c>
      <c r="H2231" s="36" t="inlineStr">
        <is>
          <t>Resistance Band Set</t>
        </is>
      </c>
      <c r="I2231" s="36" t="n">
        <v>2</v>
      </c>
      <c r="J2231" s="39" t="n">
        <v>40.43</v>
      </c>
      <c r="K2231" s="45" t="n">
        <v>0</v>
      </c>
      <c r="L2231" s="39" t="n">
        <v>14.88</v>
      </c>
      <c r="M2231" s="39">
        <f>I2231*J2231*(1-K2231)</f>
        <v/>
      </c>
      <c r="N2231" s="39">
        <f>I2231*L2231</f>
        <v/>
      </c>
      <c r="O2231" s="39">
        <f>M2231-N2231</f>
        <v/>
      </c>
      <c r="P2231" s="38">
        <f>IF(M2231=0,0,O2231/M2231)</f>
        <v/>
      </c>
      <c r="Q2231" s="36">
        <f>YEAR(B2231)</f>
        <v/>
      </c>
      <c r="R2231" s="36">
        <f>"Q"&amp;ROUNDUP(MONTH(B2231)/3,0)</f>
        <v/>
      </c>
      <c r="S2231" s="36">
        <f>MONTH(B2231)</f>
        <v/>
      </c>
      <c r="T2231" s="36">
        <f>TEXT(B2231,"mmm")</f>
        <v/>
      </c>
      <c r="U2231" s="36">
        <f>IF(AND(OR(sel_Region="All",C2231=sel_Region),OR(sel_Country="All",D2231=sel_Country),OR(sel_Channel="All",E2231=sel_Channel),OR(sel_Customer="All",F2231=sel_Customer),OR(sel_Category="All",G2231=sel_Category),OR(sel_Product="All",H2231=sel_Product),AND(S2231&gt;=m_From,S2231&lt;=m_To)),1,0)</f>
        <v/>
      </c>
      <c r="V2231" s="36">
        <f>IF(AND(OR(sel_Region="All",C2231=sel_Region),OR(sel_Channel="All",E2231=sel_Channel),OR(sel_Customer="All",F2231=sel_Customer),OR(sel_Category="All",G2231=sel_Category),OR(sel_Product="All",H2231=sel_Product),AND(S2231&gt;=m_From,S2231&lt;=m_To)),1,0)</f>
        <v/>
      </c>
      <c r="W2231" s="36">
        <f>IF(AND(OR(sel_Region="All",C2231=sel_Region),OR(sel_Country="All",D2231=sel_Country),OR(sel_Customer="All",F2231=sel_Customer),OR(sel_Category="All",G2231=sel_Category),OR(sel_Product="All",H2231=sel_Product),AND(S2231&gt;=m_From,S2231&lt;=m_To)),1,0)</f>
        <v/>
      </c>
      <c r="X2231" s="36">
        <f>IF(AND(OR(sel_Region="All",C2231=sel_Region),OR(sel_Country="All",D2231=sel_Country),OR(sel_Channel="All",E2231=sel_Channel),OR(sel_Category="All",G2231=sel_Category),OR(sel_Product="All",H2231=sel_Product),AND(S2231&gt;=m_From,S2231&lt;=m_To)),1,0)</f>
        <v/>
      </c>
      <c r="Y2231" s="36">
        <f>IF(AND(OR(sel_Region="All",C2231=sel_Region),OR(sel_Country="All",D2231=sel_Country),OR(sel_Channel="All",E2231=sel_Channel),OR(sel_Customer="All",F2231=sel_Customer),OR(sel_Product="All",H2231=sel_Product),AND(S2231&gt;=m_From,S2231&lt;=m_To)),1,0)</f>
        <v/>
      </c>
      <c r="Z2231" s="36">
        <f>IF(AND(OR(sel_Region="All",C2231=sel_Region),OR(sel_Country="All",D2231=sel_Country),OR(sel_Channel="All",E2231=sel_Channel),OR(sel_Customer="All",F2231=sel_Customer),OR(sel_Category="All",G2231=sel_Category),AND(S2231&gt;=m_From,S2231&lt;=m_To)),1,0)</f>
        <v/>
      </c>
      <c r="AA2231" s="36">
        <f>IF(AND(OR(sel_Region="All",C2231=sel_Region),OR(sel_Country="All",D2231=sel_Country),OR(sel_Channel="All",E2231=sel_Channel),OR(sel_Customer="All",F2231=sel_Customer),OR(sel_Category="All",G2231=sel_Category),OR(sel_Product="All",H2231=sel_Product)),1,0)</f>
        <v/>
      </c>
    </row>
    <row r="2232">
      <c r="A2232" s="36" t="inlineStr">
        <is>
          <t>01407</t>
        </is>
      </c>
      <c r="B2232" s="44" t="n">
        <v>46325</v>
      </c>
      <c r="C2232" s="36" t="inlineStr">
        <is>
          <t>Western Europe</t>
        </is>
      </c>
      <c r="D2232" s="36" t="inlineStr">
        <is>
          <t>United Kingdom</t>
        </is>
      </c>
      <c r="E2232" s="36" t="inlineStr">
        <is>
          <t>Retail Partners</t>
        </is>
      </c>
      <c r="F2232" s="36" t="inlineStr">
        <is>
          <t>Business</t>
        </is>
      </c>
      <c r="G2232" s="36" t="inlineStr">
        <is>
          <t>Travel</t>
        </is>
      </c>
      <c r="H2232" s="36" t="inlineStr">
        <is>
          <t>Insulated Bottle</t>
        </is>
      </c>
      <c r="I2232" s="36" t="n">
        <v>2</v>
      </c>
      <c r="J2232" s="39" t="n">
        <v>35.88</v>
      </c>
      <c r="K2232" s="45" t="n">
        <v>0.05</v>
      </c>
      <c r="L2232" s="39" t="n">
        <v>13.52</v>
      </c>
      <c r="M2232" s="39">
        <f>I2232*J2232*(1-K2232)</f>
        <v/>
      </c>
      <c r="N2232" s="39">
        <f>I2232*L2232</f>
        <v/>
      </c>
      <c r="O2232" s="39">
        <f>M2232-N2232</f>
        <v/>
      </c>
      <c r="P2232" s="38">
        <f>IF(M2232=0,0,O2232/M2232)</f>
        <v/>
      </c>
      <c r="Q2232" s="36">
        <f>YEAR(B2232)</f>
        <v/>
      </c>
      <c r="R2232" s="36">
        <f>"Q"&amp;ROUNDUP(MONTH(B2232)/3,0)</f>
        <v/>
      </c>
      <c r="S2232" s="36">
        <f>MONTH(B2232)</f>
        <v/>
      </c>
      <c r="T2232" s="36">
        <f>TEXT(B2232,"mmm")</f>
        <v/>
      </c>
      <c r="U2232" s="36">
        <f>IF(AND(OR(sel_Region="All",C2232=sel_Region),OR(sel_Country="All",D2232=sel_Country),OR(sel_Channel="All",E2232=sel_Channel),OR(sel_Customer="All",F2232=sel_Customer),OR(sel_Category="All",G2232=sel_Category),OR(sel_Product="All",H2232=sel_Product),AND(S2232&gt;=m_From,S2232&lt;=m_To)),1,0)</f>
        <v/>
      </c>
      <c r="V2232" s="36">
        <f>IF(AND(OR(sel_Region="All",C2232=sel_Region),OR(sel_Channel="All",E2232=sel_Channel),OR(sel_Customer="All",F2232=sel_Customer),OR(sel_Category="All",G2232=sel_Category),OR(sel_Product="All",H2232=sel_Product),AND(S2232&gt;=m_From,S2232&lt;=m_To)),1,0)</f>
        <v/>
      </c>
      <c r="W2232" s="36">
        <f>IF(AND(OR(sel_Region="All",C2232=sel_Region),OR(sel_Country="All",D2232=sel_Country),OR(sel_Customer="All",F2232=sel_Customer),OR(sel_Category="All",G2232=sel_Category),OR(sel_Product="All",H2232=sel_Product),AND(S2232&gt;=m_From,S2232&lt;=m_To)),1,0)</f>
        <v/>
      </c>
      <c r="X2232" s="36">
        <f>IF(AND(OR(sel_Region="All",C2232=sel_Region),OR(sel_Country="All",D2232=sel_Country),OR(sel_Channel="All",E2232=sel_Channel),OR(sel_Category="All",G2232=sel_Category),OR(sel_Product="All",H2232=sel_Product),AND(S2232&gt;=m_From,S2232&lt;=m_To)),1,0)</f>
        <v/>
      </c>
      <c r="Y2232" s="36">
        <f>IF(AND(OR(sel_Region="All",C2232=sel_Region),OR(sel_Country="All",D2232=sel_Country),OR(sel_Channel="All",E2232=sel_Channel),OR(sel_Customer="All",F2232=sel_Customer),OR(sel_Product="All",H2232=sel_Product),AND(S2232&gt;=m_From,S2232&lt;=m_To)),1,0)</f>
        <v/>
      </c>
      <c r="Z2232" s="36">
        <f>IF(AND(OR(sel_Region="All",C2232=sel_Region),OR(sel_Country="All",D2232=sel_Country),OR(sel_Channel="All",E2232=sel_Channel),OR(sel_Customer="All",F2232=sel_Customer),OR(sel_Category="All",G2232=sel_Category),AND(S2232&gt;=m_From,S2232&lt;=m_To)),1,0)</f>
        <v/>
      </c>
      <c r="AA2232" s="36">
        <f>IF(AND(OR(sel_Region="All",C2232=sel_Region),OR(sel_Country="All",D2232=sel_Country),OR(sel_Channel="All",E2232=sel_Channel),OR(sel_Customer="All",F2232=sel_Customer),OR(sel_Category="All",G2232=sel_Category),OR(sel_Product="All",H2232=sel_Product)),1,0)</f>
        <v/>
      </c>
    </row>
    <row r="2233">
      <c r="A2233" s="36" t="inlineStr">
        <is>
          <t>02532</t>
        </is>
      </c>
      <c r="B2233" s="44" t="n">
        <v>46325</v>
      </c>
      <c r="C2233" s="36" t="inlineStr">
        <is>
          <t>Southern Europe</t>
        </is>
      </c>
      <c r="D2233" s="36" t="inlineStr">
        <is>
          <t>Italy</t>
        </is>
      </c>
      <c r="E2233" s="36" t="inlineStr">
        <is>
          <t>Marketplace</t>
        </is>
      </c>
      <c r="F2233" s="36" t="inlineStr">
        <is>
          <t>New</t>
        </is>
      </c>
      <c r="G2233" s="36" t="inlineStr">
        <is>
          <t>Cycling</t>
        </is>
      </c>
      <c r="H2233" s="36" t="inlineStr">
        <is>
          <t>Commuter Helmet</t>
        </is>
      </c>
      <c r="I2233" s="36" t="n">
        <v>1</v>
      </c>
      <c r="J2233" s="39" t="n">
        <v>80.40000000000001</v>
      </c>
      <c r="K2233" s="45" t="n">
        <v>0</v>
      </c>
      <c r="L2233" s="39" t="n">
        <v>43.34</v>
      </c>
      <c r="M2233" s="39">
        <f>I2233*J2233*(1-K2233)</f>
        <v/>
      </c>
      <c r="N2233" s="39">
        <f>I2233*L2233</f>
        <v/>
      </c>
      <c r="O2233" s="39">
        <f>M2233-N2233</f>
        <v/>
      </c>
      <c r="P2233" s="38">
        <f>IF(M2233=0,0,O2233/M2233)</f>
        <v/>
      </c>
      <c r="Q2233" s="36">
        <f>YEAR(B2233)</f>
        <v/>
      </c>
      <c r="R2233" s="36">
        <f>"Q"&amp;ROUNDUP(MONTH(B2233)/3,0)</f>
        <v/>
      </c>
      <c r="S2233" s="36">
        <f>MONTH(B2233)</f>
        <v/>
      </c>
      <c r="T2233" s="36">
        <f>TEXT(B2233,"mmm")</f>
        <v/>
      </c>
      <c r="U2233" s="36">
        <f>IF(AND(OR(sel_Region="All",C2233=sel_Region),OR(sel_Country="All",D2233=sel_Country),OR(sel_Channel="All",E2233=sel_Channel),OR(sel_Customer="All",F2233=sel_Customer),OR(sel_Category="All",G2233=sel_Category),OR(sel_Product="All",H2233=sel_Product),AND(S2233&gt;=m_From,S2233&lt;=m_To)),1,0)</f>
        <v/>
      </c>
      <c r="V2233" s="36">
        <f>IF(AND(OR(sel_Region="All",C2233=sel_Region),OR(sel_Channel="All",E2233=sel_Channel),OR(sel_Customer="All",F2233=sel_Customer),OR(sel_Category="All",G2233=sel_Category),OR(sel_Product="All",H2233=sel_Product),AND(S2233&gt;=m_From,S2233&lt;=m_To)),1,0)</f>
        <v/>
      </c>
      <c r="W2233" s="36">
        <f>IF(AND(OR(sel_Region="All",C2233=sel_Region),OR(sel_Country="All",D2233=sel_Country),OR(sel_Customer="All",F2233=sel_Customer),OR(sel_Category="All",G2233=sel_Category),OR(sel_Product="All",H2233=sel_Product),AND(S2233&gt;=m_From,S2233&lt;=m_To)),1,0)</f>
        <v/>
      </c>
      <c r="X2233" s="36">
        <f>IF(AND(OR(sel_Region="All",C2233=sel_Region),OR(sel_Country="All",D2233=sel_Country),OR(sel_Channel="All",E2233=sel_Channel),OR(sel_Category="All",G2233=sel_Category),OR(sel_Product="All",H2233=sel_Product),AND(S2233&gt;=m_From,S2233&lt;=m_To)),1,0)</f>
        <v/>
      </c>
      <c r="Y2233" s="36">
        <f>IF(AND(OR(sel_Region="All",C2233=sel_Region),OR(sel_Country="All",D2233=sel_Country),OR(sel_Channel="All",E2233=sel_Channel),OR(sel_Customer="All",F2233=sel_Customer),OR(sel_Product="All",H2233=sel_Product),AND(S2233&gt;=m_From,S2233&lt;=m_To)),1,0)</f>
        <v/>
      </c>
      <c r="Z2233" s="36">
        <f>IF(AND(OR(sel_Region="All",C2233=sel_Region),OR(sel_Country="All",D2233=sel_Country),OR(sel_Channel="All",E2233=sel_Channel),OR(sel_Customer="All",F2233=sel_Customer),OR(sel_Category="All",G2233=sel_Category),AND(S2233&gt;=m_From,S2233&lt;=m_To)),1,0)</f>
        <v/>
      </c>
      <c r="AA2233" s="36">
        <f>IF(AND(OR(sel_Region="All",C2233=sel_Region),OR(sel_Country="All",D2233=sel_Country),OR(sel_Channel="All",E2233=sel_Channel),OR(sel_Customer="All",F2233=sel_Customer),OR(sel_Category="All",G2233=sel_Category),OR(sel_Product="All",H2233=sel_Product)),1,0)</f>
        <v/>
      </c>
    </row>
    <row r="2234">
      <c r="A2234" s="36" t="inlineStr">
        <is>
          <t>00307</t>
        </is>
      </c>
      <c r="B2234" s="44" t="n">
        <v>46326</v>
      </c>
      <c r="C2234" s="36" t="inlineStr">
        <is>
          <t>Western Europe</t>
        </is>
      </c>
      <c r="D2234" s="36" t="inlineStr">
        <is>
          <t>United Kingdom</t>
        </is>
      </c>
      <c r="E2234" s="36" t="inlineStr">
        <is>
          <t>Online Store</t>
        </is>
      </c>
      <c r="F2234" s="36" t="inlineStr">
        <is>
          <t>Returning</t>
        </is>
      </c>
      <c r="G2234" s="36" t="inlineStr">
        <is>
          <t>Fitness</t>
        </is>
      </c>
      <c r="H2234" s="36" t="inlineStr">
        <is>
          <t>Recovery Roller</t>
        </is>
      </c>
      <c r="I2234" s="36" t="n">
        <v>1</v>
      </c>
      <c r="J2234" s="39" t="n">
        <v>37.08</v>
      </c>
      <c r="K2234" s="45" t="n">
        <v>0</v>
      </c>
      <c r="L2234" s="39" t="n">
        <v>13.62</v>
      </c>
      <c r="M2234" s="39">
        <f>I2234*J2234*(1-K2234)</f>
        <v/>
      </c>
      <c r="N2234" s="39">
        <f>I2234*L2234</f>
        <v/>
      </c>
      <c r="O2234" s="39">
        <f>M2234-N2234</f>
        <v/>
      </c>
      <c r="P2234" s="38">
        <f>IF(M2234=0,0,O2234/M2234)</f>
        <v/>
      </c>
      <c r="Q2234" s="36">
        <f>YEAR(B2234)</f>
        <v/>
      </c>
      <c r="R2234" s="36">
        <f>"Q"&amp;ROUNDUP(MONTH(B2234)/3,0)</f>
        <v/>
      </c>
      <c r="S2234" s="36">
        <f>MONTH(B2234)</f>
        <v/>
      </c>
      <c r="T2234" s="36">
        <f>TEXT(B2234,"mmm")</f>
        <v/>
      </c>
      <c r="U2234" s="36">
        <f>IF(AND(OR(sel_Region="All",C2234=sel_Region),OR(sel_Country="All",D2234=sel_Country),OR(sel_Channel="All",E2234=sel_Channel),OR(sel_Customer="All",F2234=sel_Customer),OR(sel_Category="All",G2234=sel_Category),OR(sel_Product="All",H2234=sel_Product),AND(S2234&gt;=m_From,S2234&lt;=m_To)),1,0)</f>
        <v/>
      </c>
      <c r="V2234" s="36">
        <f>IF(AND(OR(sel_Region="All",C2234=sel_Region),OR(sel_Channel="All",E2234=sel_Channel),OR(sel_Customer="All",F2234=sel_Customer),OR(sel_Category="All",G2234=sel_Category),OR(sel_Product="All",H2234=sel_Product),AND(S2234&gt;=m_From,S2234&lt;=m_To)),1,0)</f>
        <v/>
      </c>
      <c r="W2234" s="36">
        <f>IF(AND(OR(sel_Region="All",C2234=sel_Region),OR(sel_Country="All",D2234=sel_Country),OR(sel_Customer="All",F2234=sel_Customer),OR(sel_Category="All",G2234=sel_Category),OR(sel_Product="All",H2234=sel_Product),AND(S2234&gt;=m_From,S2234&lt;=m_To)),1,0)</f>
        <v/>
      </c>
      <c r="X2234" s="36">
        <f>IF(AND(OR(sel_Region="All",C2234=sel_Region),OR(sel_Country="All",D2234=sel_Country),OR(sel_Channel="All",E2234=sel_Channel),OR(sel_Category="All",G2234=sel_Category),OR(sel_Product="All",H2234=sel_Product),AND(S2234&gt;=m_From,S2234&lt;=m_To)),1,0)</f>
        <v/>
      </c>
      <c r="Y2234" s="36">
        <f>IF(AND(OR(sel_Region="All",C2234=sel_Region),OR(sel_Country="All",D2234=sel_Country),OR(sel_Channel="All",E2234=sel_Channel),OR(sel_Customer="All",F2234=sel_Customer),OR(sel_Product="All",H2234=sel_Product),AND(S2234&gt;=m_From,S2234&lt;=m_To)),1,0)</f>
        <v/>
      </c>
      <c r="Z2234" s="36">
        <f>IF(AND(OR(sel_Region="All",C2234=sel_Region),OR(sel_Country="All",D2234=sel_Country),OR(sel_Channel="All",E2234=sel_Channel),OR(sel_Customer="All",F2234=sel_Customer),OR(sel_Category="All",G2234=sel_Category),AND(S2234&gt;=m_From,S2234&lt;=m_To)),1,0)</f>
        <v/>
      </c>
      <c r="AA2234" s="36">
        <f>IF(AND(OR(sel_Region="All",C2234=sel_Region),OR(sel_Country="All",D2234=sel_Country),OR(sel_Channel="All",E2234=sel_Channel),OR(sel_Customer="All",F2234=sel_Customer),OR(sel_Category="All",G2234=sel_Category),OR(sel_Product="All",H2234=sel_Product)),1,0)</f>
        <v/>
      </c>
    </row>
    <row r="2235">
      <c r="A2235" s="36" t="inlineStr">
        <is>
          <t>03257</t>
        </is>
      </c>
      <c r="B2235" s="44" t="n">
        <v>46326</v>
      </c>
      <c r="C2235" s="36" t="inlineStr">
        <is>
          <t>Western Europe</t>
        </is>
      </c>
      <c r="D2235" s="36" t="inlineStr">
        <is>
          <t>Belgium</t>
        </is>
      </c>
      <c r="E2235" s="36" t="inlineStr">
        <is>
          <t>Retail Partners</t>
        </is>
      </c>
      <c r="F2235" s="36" t="inlineStr">
        <is>
          <t>New</t>
        </is>
      </c>
      <c r="G2235" s="36" t="inlineStr">
        <is>
          <t>Travel</t>
        </is>
      </c>
      <c r="H2235" s="36" t="inlineStr">
        <is>
          <t>Travel Backpack 35L</t>
        </is>
      </c>
      <c r="I2235" s="36" t="n">
        <v>6</v>
      </c>
      <c r="J2235" s="39" t="n">
        <v>165.92</v>
      </c>
      <c r="K2235" s="45" t="n">
        <v>0</v>
      </c>
      <c r="L2235" s="39" t="n">
        <v>87.55</v>
      </c>
      <c r="M2235" s="39">
        <f>I2235*J2235*(1-K2235)</f>
        <v/>
      </c>
      <c r="N2235" s="39">
        <f>I2235*L2235</f>
        <v/>
      </c>
      <c r="O2235" s="39">
        <f>M2235-N2235</f>
        <v/>
      </c>
      <c r="P2235" s="38">
        <f>IF(M2235=0,0,O2235/M2235)</f>
        <v/>
      </c>
      <c r="Q2235" s="36">
        <f>YEAR(B2235)</f>
        <v/>
      </c>
      <c r="R2235" s="36">
        <f>"Q"&amp;ROUNDUP(MONTH(B2235)/3,0)</f>
        <v/>
      </c>
      <c r="S2235" s="36">
        <f>MONTH(B2235)</f>
        <v/>
      </c>
      <c r="T2235" s="36">
        <f>TEXT(B2235,"mmm")</f>
        <v/>
      </c>
      <c r="U2235" s="36">
        <f>IF(AND(OR(sel_Region="All",C2235=sel_Region),OR(sel_Country="All",D2235=sel_Country),OR(sel_Channel="All",E2235=sel_Channel),OR(sel_Customer="All",F2235=sel_Customer),OR(sel_Category="All",G2235=sel_Category),OR(sel_Product="All",H2235=sel_Product),AND(S2235&gt;=m_From,S2235&lt;=m_To)),1,0)</f>
        <v/>
      </c>
      <c r="V2235" s="36">
        <f>IF(AND(OR(sel_Region="All",C2235=sel_Region),OR(sel_Channel="All",E2235=sel_Channel),OR(sel_Customer="All",F2235=sel_Customer),OR(sel_Category="All",G2235=sel_Category),OR(sel_Product="All",H2235=sel_Product),AND(S2235&gt;=m_From,S2235&lt;=m_To)),1,0)</f>
        <v/>
      </c>
      <c r="W2235" s="36">
        <f>IF(AND(OR(sel_Region="All",C2235=sel_Region),OR(sel_Country="All",D2235=sel_Country),OR(sel_Customer="All",F2235=sel_Customer),OR(sel_Category="All",G2235=sel_Category),OR(sel_Product="All",H2235=sel_Product),AND(S2235&gt;=m_From,S2235&lt;=m_To)),1,0)</f>
        <v/>
      </c>
      <c r="X2235" s="36">
        <f>IF(AND(OR(sel_Region="All",C2235=sel_Region),OR(sel_Country="All",D2235=sel_Country),OR(sel_Channel="All",E2235=sel_Channel),OR(sel_Category="All",G2235=sel_Category),OR(sel_Product="All",H2235=sel_Product),AND(S2235&gt;=m_From,S2235&lt;=m_To)),1,0)</f>
        <v/>
      </c>
      <c r="Y2235" s="36">
        <f>IF(AND(OR(sel_Region="All",C2235=sel_Region),OR(sel_Country="All",D2235=sel_Country),OR(sel_Channel="All",E2235=sel_Channel),OR(sel_Customer="All",F2235=sel_Customer),OR(sel_Product="All",H2235=sel_Product),AND(S2235&gt;=m_From,S2235&lt;=m_To)),1,0)</f>
        <v/>
      </c>
      <c r="Z2235" s="36">
        <f>IF(AND(OR(sel_Region="All",C2235=sel_Region),OR(sel_Country="All",D2235=sel_Country),OR(sel_Channel="All",E2235=sel_Channel),OR(sel_Customer="All",F2235=sel_Customer),OR(sel_Category="All",G2235=sel_Category),AND(S2235&gt;=m_From,S2235&lt;=m_To)),1,0)</f>
        <v/>
      </c>
      <c r="AA2235" s="36">
        <f>IF(AND(OR(sel_Region="All",C2235=sel_Region),OR(sel_Country="All",D2235=sel_Country),OR(sel_Channel="All",E2235=sel_Channel),OR(sel_Customer="All",F2235=sel_Customer),OR(sel_Category="All",G2235=sel_Category),OR(sel_Product="All",H2235=sel_Product)),1,0)</f>
        <v/>
      </c>
    </row>
    <row r="2236">
      <c r="A2236" s="36" t="inlineStr">
        <is>
          <t>03739</t>
        </is>
      </c>
      <c r="B2236" s="44" t="n">
        <v>46326</v>
      </c>
      <c r="C2236" s="36" t="inlineStr">
        <is>
          <t>Central Europe</t>
        </is>
      </c>
      <c r="D2236" s="36" t="inlineStr">
        <is>
          <t>Germany</t>
        </is>
      </c>
      <c r="E2236" s="36" t="inlineStr">
        <is>
          <t>Marketplace</t>
        </is>
      </c>
      <c r="F2236" s="36" t="inlineStr">
        <is>
          <t>New</t>
        </is>
      </c>
      <c r="G2236" s="36" t="inlineStr">
        <is>
          <t>Travel</t>
        </is>
      </c>
      <c r="H2236" s="36" t="inlineStr">
        <is>
          <t>Carry-On Duffel</t>
        </is>
      </c>
      <c r="I2236" s="36" t="n">
        <v>1</v>
      </c>
      <c r="J2236" s="39" t="n">
        <v>135.19</v>
      </c>
      <c r="K2236" s="45" t="n">
        <v>0</v>
      </c>
      <c r="L2236" s="39" t="n">
        <v>68.31999999999999</v>
      </c>
      <c r="M2236" s="39">
        <f>I2236*J2236*(1-K2236)</f>
        <v/>
      </c>
      <c r="N2236" s="39">
        <f>I2236*L2236</f>
        <v/>
      </c>
      <c r="O2236" s="39">
        <f>M2236-N2236</f>
        <v/>
      </c>
      <c r="P2236" s="38">
        <f>IF(M2236=0,0,O2236/M2236)</f>
        <v/>
      </c>
      <c r="Q2236" s="36">
        <f>YEAR(B2236)</f>
        <v/>
      </c>
      <c r="R2236" s="36">
        <f>"Q"&amp;ROUNDUP(MONTH(B2236)/3,0)</f>
        <v/>
      </c>
      <c r="S2236" s="36">
        <f>MONTH(B2236)</f>
        <v/>
      </c>
      <c r="T2236" s="36">
        <f>TEXT(B2236,"mmm")</f>
        <v/>
      </c>
      <c r="U2236" s="36">
        <f>IF(AND(OR(sel_Region="All",C2236=sel_Region),OR(sel_Country="All",D2236=sel_Country),OR(sel_Channel="All",E2236=sel_Channel),OR(sel_Customer="All",F2236=sel_Customer),OR(sel_Category="All",G2236=sel_Category),OR(sel_Product="All",H2236=sel_Product),AND(S2236&gt;=m_From,S2236&lt;=m_To)),1,0)</f>
        <v/>
      </c>
      <c r="V2236" s="36">
        <f>IF(AND(OR(sel_Region="All",C2236=sel_Region),OR(sel_Channel="All",E2236=sel_Channel),OR(sel_Customer="All",F2236=sel_Customer),OR(sel_Category="All",G2236=sel_Category),OR(sel_Product="All",H2236=sel_Product),AND(S2236&gt;=m_From,S2236&lt;=m_To)),1,0)</f>
        <v/>
      </c>
      <c r="W2236" s="36">
        <f>IF(AND(OR(sel_Region="All",C2236=sel_Region),OR(sel_Country="All",D2236=sel_Country),OR(sel_Customer="All",F2236=sel_Customer),OR(sel_Category="All",G2236=sel_Category),OR(sel_Product="All",H2236=sel_Product),AND(S2236&gt;=m_From,S2236&lt;=m_To)),1,0)</f>
        <v/>
      </c>
      <c r="X2236" s="36">
        <f>IF(AND(OR(sel_Region="All",C2236=sel_Region),OR(sel_Country="All",D2236=sel_Country),OR(sel_Channel="All",E2236=sel_Channel),OR(sel_Category="All",G2236=sel_Category),OR(sel_Product="All",H2236=sel_Product),AND(S2236&gt;=m_From,S2236&lt;=m_To)),1,0)</f>
        <v/>
      </c>
      <c r="Y2236" s="36">
        <f>IF(AND(OR(sel_Region="All",C2236=sel_Region),OR(sel_Country="All",D2236=sel_Country),OR(sel_Channel="All",E2236=sel_Channel),OR(sel_Customer="All",F2236=sel_Customer),OR(sel_Product="All",H2236=sel_Product),AND(S2236&gt;=m_From,S2236&lt;=m_To)),1,0)</f>
        <v/>
      </c>
      <c r="Z2236" s="36">
        <f>IF(AND(OR(sel_Region="All",C2236=sel_Region),OR(sel_Country="All",D2236=sel_Country),OR(sel_Channel="All",E2236=sel_Channel),OR(sel_Customer="All",F2236=sel_Customer),OR(sel_Category="All",G2236=sel_Category),AND(S2236&gt;=m_From,S2236&lt;=m_To)),1,0)</f>
        <v/>
      </c>
      <c r="AA2236" s="36">
        <f>IF(AND(OR(sel_Region="All",C2236=sel_Region),OR(sel_Country="All",D2236=sel_Country),OR(sel_Channel="All",E2236=sel_Channel),OR(sel_Customer="All",F2236=sel_Customer),OR(sel_Category="All",G2236=sel_Category),OR(sel_Product="All",H2236=sel_Product)),1,0)</f>
        <v/>
      </c>
    </row>
    <row r="2237">
      <c r="A2237" s="36" t="inlineStr">
        <is>
          <t>00077</t>
        </is>
      </c>
      <c r="B2237" s="44" t="n">
        <v>46327</v>
      </c>
      <c r="C2237" s="36" t="inlineStr">
        <is>
          <t>Central Europe</t>
        </is>
      </c>
      <c r="D2237" s="36" t="inlineStr">
        <is>
          <t>Switzerland</t>
        </is>
      </c>
      <c r="E2237" s="36" t="inlineStr">
        <is>
          <t>Online Store</t>
        </is>
      </c>
      <c r="F2237" s="36" t="inlineStr">
        <is>
          <t>New</t>
        </is>
      </c>
      <c r="G2237" s="36" t="inlineStr">
        <is>
          <t>Travel</t>
        </is>
      </c>
      <c r="H2237" s="36" t="inlineStr">
        <is>
          <t>Carry-On Duffel</t>
        </is>
      </c>
      <c r="I2237" s="36" t="n">
        <v>2</v>
      </c>
      <c r="J2237" s="39" t="n">
        <v>133.96</v>
      </c>
      <c r="K2237" s="45" t="n">
        <v>0.1</v>
      </c>
      <c r="L2237" s="39" t="n">
        <v>65.44</v>
      </c>
      <c r="M2237" s="39">
        <f>I2237*J2237*(1-K2237)</f>
        <v/>
      </c>
      <c r="N2237" s="39">
        <f>I2237*L2237</f>
        <v/>
      </c>
      <c r="O2237" s="39">
        <f>M2237-N2237</f>
        <v/>
      </c>
      <c r="P2237" s="38">
        <f>IF(M2237=0,0,O2237/M2237)</f>
        <v/>
      </c>
      <c r="Q2237" s="36">
        <f>YEAR(B2237)</f>
        <v/>
      </c>
      <c r="R2237" s="36">
        <f>"Q"&amp;ROUNDUP(MONTH(B2237)/3,0)</f>
        <v/>
      </c>
      <c r="S2237" s="36">
        <f>MONTH(B2237)</f>
        <v/>
      </c>
      <c r="T2237" s="36">
        <f>TEXT(B2237,"mmm")</f>
        <v/>
      </c>
      <c r="U2237" s="36">
        <f>IF(AND(OR(sel_Region="All",C2237=sel_Region),OR(sel_Country="All",D2237=sel_Country),OR(sel_Channel="All",E2237=sel_Channel),OR(sel_Customer="All",F2237=sel_Customer),OR(sel_Category="All",G2237=sel_Category),OR(sel_Product="All",H2237=sel_Product),AND(S2237&gt;=m_From,S2237&lt;=m_To)),1,0)</f>
        <v/>
      </c>
      <c r="V2237" s="36">
        <f>IF(AND(OR(sel_Region="All",C2237=sel_Region),OR(sel_Channel="All",E2237=sel_Channel),OR(sel_Customer="All",F2237=sel_Customer),OR(sel_Category="All",G2237=sel_Category),OR(sel_Product="All",H2237=sel_Product),AND(S2237&gt;=m_From,S2237&lt;=m_To)),1,0)</f>
        <v/>
      </c>
      <c r="W2237" s="36">
        <f>IF(AND(OR(sel_Region="All",C2237=sel_Region),OR(sel_Country="All",D2237=sel_Country),OR(sel_Customer="All",F2237=sel_Customer),OR(sel_Category="All",G2237=sel_Category),OR(sel_Product="All",H2237=sel_Product),AND(S2237&gt;=m_From,S2237&lt;=m_To)),1,0)</f>
        <v/>
      </c>
      <c r="X2237" s="36">
        <f>IF(AND(OR(sel_Region="All",C2237=sel_Region),OR(sel_Country="All",D2237=sel_Country),OR(sel_Channel="All",E2237=sel_Channel),OR(sel_Category="All",G2237=sel_Category),OR(sel_Product="All",H2237=sel_Product),AND(S2237&gt;=m_From,S2237&lt;=m_To)),1,0)</f>
        <v/>
      </c>
      <c r="Y2237" s="36">
        <f>IF(AND(OR(sel_Region="All",C2237=sel_Region),OR(sel_Country="All",D2237=sel_Country),OR(sel_Channel="All",E2237=sel_Channel),OR(sel_Customer="All",F2237=sel_Customer),OR(sel_Product="All",H2237=sel_Product),AND(S2237&gt;=m_From,S2237&lt;=m_To)),1,0)</f>
        <v/>
      </c>
      <c r="Z2237" s="36">
        <f>IF(AND(OR(sel_Region="All",C2237=sel_Region),OR(sel_Country="All",D2237=sel_Country),OR(sel_Channel="All",E2237=sel_Channel),OR(sel_Customer="All",F2237=sel_Customer),OR(sel_Category="All",G2237=sel_Category),AND(S2237&gt;=m_From,S2237&lt;=m_To)),1,0)</f>
        <v/>
      </c>
      <c r="AA2237" s="36">
        <f>IF(AND(OR(sel_Region="All",C2237=sel_Region),OR(sel_Country="All",D2237=sel_Country),OR(sel_Channel="All",E2237=sel_Channel),OR(sel_Customer="All",F2237=sel_Customer),OR(sel_Category="All",G2237=sel_Category),OR(sel_Product="All",H2237=sel_Product)),1,0)</f>
        <v/>
      </c>
    </row>
    <row r="2238">
      <c r="A2238" s="36" t="inlineStr">
        <is>
          <t>00461</t>
        </is>
      </c>
      <c r="B2238" s="44" t="n">
        <v>46327</v>
      </c>
      <c r="C2238" s="36" t="inlineStr">
        <is>
          <t>Central Europe</t>
        </is>
      </c>
      <c r="D2238" s="36" t="inlineStr">
        <is>
          <t>Switzerland</t>
        </is>
      </c>
      <c r="E2238" s="36" t="inlineStr">
        <is>
          <t>Marketplace</t>
        </is>
      </c>
      <c r="F2238" s="36" t="inlineStr">
        <is>
          <t>Business</t>
        </is>
      </c>
      <c r="G2238" s="36" t="inlineStr">
        <is>
          <t>Cycling</t>
        </is>
      </c>
      <c r="H2238" s="36" t="inlineStr">
        <is>
          <t>Trail Bike Light</t>
        </is>
      </c>
      <c r="I2238" s="36" t="n">
        <v>3</v>
      </c>
      <c r="J2238" s="39" t="n">
        <v>51.67</v>
      </c>
      <c r="K2238" s="45" t="n">
        <v>0.05</v>
      </c>
      <c r="L2238" s="39" t="n">
        <v>22.8</v>
      </c>
      <c r="M2238" s="39">
        <f>I2238*J2238*(1-K2238)</f>
        <v/>
      </c>
      <c r="N2238" s="39">
        <f>I2238*L2238</f>
        <v/>
      </c>
      <c r="O2238" s="39">
        <f>M2238-N2238</f>
        <v/>
      </c>
      <c r="P2238" s="38">
        <f>IF(M2238=0,0,O2238/M2238)</f>
        <v/>
      </c>
      <c r="Q2238" s="36">
        <f>YEAR(B2238)</f>
        <v/>
      </c>
      <c r="R2238" s="36">
        <f>"Q"&amp;ROUNDUP(MONTH(B2238)/3,0)</f>
        <v/>
      </c>
      <c r="S2238" s="36">
        <f>MONTH(B2238)</f>
        <v/>
      </c>
      <c r="T2238" s="36">
        <f>TEXT(B2238,"mmm")</f>
        <v/>
      </c>
      <c r="U2238" s="36">
        <f>IF(AND(OR(sel_Region="All",C2238=sel_Region),OR(sel_Country="All",D2238=sel_Country),OR(sel_Channel="All",E2238=sel_Channel),OR(sel_Customer="All",F2238=sel_Customer),OR(sel_Category="All",G2238=sel_Category),OR(sel_Product="All",H2238=sel_Product),AND(S2238&gt;=m_From,S2238&lt;=m_To)),1,0)</f>
        <v/>
      </c>
      <c r="V2238" s="36">
        <f>IF(AND(OR(sel_Region="All",C2238=sel_Region),OR(sel_Channel="All",E2238=sel_Channel),OR(sel_Customer="All",F2238=sel_Customer),OR(sel_Category="All",G2238=sel_Category),OR(sel_Product="All",H2238=sel_Product),AND(S2238&gt;=m_From,S2238&lt;=m_To)),1,0)</f>
        <v/>
      </c>
      <c r="W2238" s="36">
        <f>IF(AND(OR(sel_Region="All",C2238=sel_Region),OR(sel_Country="All",D2238=sel_Country),OR(sel_Customer="All",F2238=sel_Customer),OR(sel_Category="All",G2238=sel_Category),OR(sel_Product="All",H2238=sel_Product),AND(S2238&gt;=m_From,S2238&lt;=m_To)),1,0)</f>
        <v/>
      </c>
      <c r="X2238" s="36">
        <f>IF(AND(OR(sel_Region="All",C2238=sel_Region),OR(sel_Country="All",D2238=sel_Country),OR(sel_Channel="All",E2238=sel_Channel),OR(sel_Category="All",G2238=sel_Category),OR(sel_Product="All",H2238=sel_Product),AND(S2238&gt;=m_From,S2238&lt;=m_To)),1,0)</f>
        <v/>
      </c>
      <c r="Y2238" s="36">
        <f>IF(AND(OR(sel_Region="All",C2238=sel_Region),OR(sel_Country="All",D2238=sel_Country),OR(sel_Channel="All",E2238=sel_Channel),OR(sel_Customer="All",F2238=sel_Customer),OR(sel_Product="All",H2238=sel_Product),AND(S2238&gt;=m_From,S2238&lt;=m_To)),1,0)</f>
        <v/>
      </c>
      <c r="Z2238" s="36">
        <f>IF(AND(OR(sel_Region="All",C2238=sel_Region),OR(sel_Country="All",D2238=sel_Country),OR(sel_Channel="All",E2238=sel_Channel),OR(sel_Customer="All",F2238=sel_Customer),OR(sel_Category="All",G2238=sel_Category),AND(S2238&gt;=m_From,S2238&lt;=m_To)),1,0)</f>
        <v/>
      </c>
      <c r="AA2238" s="36">
        <f>IF(AND(OR(sel_Region="All",C2238=sel_Region),OR(sel_Country="All",D2238=sel_Country),OR(sel_Channel="All",E2238=sel_Channel),OR(sel_Customer="All",F2238=sel_Customer),OR(sel_Category="All",G2238=sel_Category),OR(sel_Product="All",H2238=sel_Product)),1,0)</f>
        <v/>
      </c>
    </row>
    <row r="2239">
      <c r="A2239" s="36" t="inlineStr">
        <is>
          <t>00732</t>
        </is>
      </c>
      <c r="B2239" s="44" t="n">
        <v>46327</v>
      </c>
      <c r="C2239" s="36" t="inlineStr">
        <is>
          <t>Central Europe</t>
        </is>
      </c>
      <c r="D2239" s="36" t="inlineStr">
        <is>
          <t>Czechia</t>
        </is>
      </c>
      <c r="E2239" s="36" t="inlineStr">
        <is>
          <t>Marketplace</t>
        </is>
      </c>
      <c r="F2239" s="36" t="inlineStr">
        <is>
          <t>Returning</t>
        </is>
      </c>
      <c r="G2239" s="36" t="inlineStr">
        <is>
          <t>Hiking</t>
        </is>
      </c>
      <c r="H2239" s="36" t="inlineStr">
        <is>
          <t>Summit Backpack 45L</t>
        </is>
      </c>
      <c r="I2239" s="36" t="n">
        <v>1</v>
      </c>
      <c r="J2239" s="39" t="n">
        <v>150.46</v>
      </c>
      <c r="K2239" s="45" t="n">
        <v>0.15</v>
      </c>
      <c r="L2239" s="39" t="n">
        <v>78.39</v>
      </c>
      <c r="M2239" s="39">
        <f>I2239*J2239*(1-K2239)</f>
        <v/>
      </c>
      <c r="N2239" s="39">
        <f>I2239*L2239</f>
        <v/>
      </c>
      <c r="O2239" s="39">
        <f>M2239-N2239</f>
        <v/>
      </c>
      <c r="P2239" s="38">
        <f>IF(M2239=0,0,O2239/M2239)</f>
        <v/>
      </c>
      <c r="Q2239" s="36">
        <f>YEAR(B2239)</f>
        <v/>
      </c>
      <c r="R2239" s="36">
        <f>"Q"&amp;ROUNDUP(MONTH(B2239)/3,0)</f>
        <v/>
      </c>
      <c r="S2239" s="36">
        <f>MONTH(B2239)</f>
        <v/>
      </c>
      <c r="T2239" s="36">
        <f>TEXT(B2239,"mmm")</f>
        <v/>
      </c>
      <c r="U2239" s="36">
        <f>IF(AND(OR(sel_Region="All",C2239=sel_Region),OR(sel_Country="All",D2239=sel_Country),OR(sel_Channel="All",E2239=sel_Channel),OR(sel_Customer="All",F2239=sel_Customer),OR(sel_Category="All",G2239=sel_Category),OR(sel_Product="All",H2239=sel_Product),AND(S2239&gt;=m_From,S2239&lt;=m_To)),1,0)</f>
        <v/>
      </c>
      <c r="V2239" s="36">
        <f>IF(AND(OR(sel_Region="All",C2239=sel_Region),OR(sel_Channel="All",E2239=sel_Channel),OR(sel_Customer="All",F2239=sel_Customer),OR(sel_Category="All",G2239=sel_Category),OR(sel_Product="All",H2239=sel_Product),AND(S2239&gt;=m_From,S2239&lt;=m_To)),1,0)</f>
        <v/>
      </c>
      <c r="W2239" s="36">
        <f>IF(AND(OR(sel_Region="All",C2239=sel_Region),OR(sel_Country="All",D2239=sel_Country),OR(sel_Customer="All",F2239=sel_Customer),OR(sel_Category="All",G2239=sel_Category),OR(sel_Product="All",H2239=sel_Product),AND(S2239&gt;=m_From,S2239&lt;=m_To)),1,0)</f>
        <v/>
      </c>
      <c r="X2239" s="36">
        <f>IF(AND(OR(sel_Region="All",C2239=sel_Region),OR(sel_Country="All",D2239=sel_Country),OR(sel_Channel="All",E2239=sel_Channel),OR(sel_Category="All",G2239=sel_Category),OR(sel_Product="All",H2239=sel_Product),AND(S2239&gt;=m_From,S2239&lt;=m_To)),1,0)</f>
        <v/>
      </c>
      <c r="Y2239" s="36">
        <f>IF(AND(OR(sel_Region="All",C2239=sel_Region),OR(sel_Country="All",D2239=sel_Country),OR(sel_Channel="All",E2239=sel_Channel),OR(sel_Customer="All",F2239=sel_Customer),OR(sel_Product="All",H2239=sel_Product),AND(S2239&gt;=m_From,S2239&lt;=m_To)),1,0)</f>
        <v/>
      </c>
      <c r="Z2239" s="36">
        <f>IF(AND(OR(sel_Region="All",C2239=sel_Region),OR(sel_Country="All",D2239=sel_Country),OR(sel_Channel="All",E2239=sel_Channel),OR(sel_Customer="All",F2239=sel_Customer),OR(sel_Category="All",G2239=sel_Category),AND(S2239&gt;=m_From,S2239&lt;=m_To)),1,0)</f>
        <v/>
      </c>
      <c r="AA2239" s="36">
        <f>IF(AND(OR(sel_Region="All",C2239=sel_Region),OR(sel_Country="All",D2239=sel_Country),OR(sel_Channel="All",E2239=sel_Channel),OR(sel_Customer="All",F2239=sel_Customer),OR(sel_Category="All",G2239=sel_Category),OR(sel_Product="All",H2239=sel_Product)),1,0)</f>
        <v/>
      </c>
    </row>
    <row r="2240">
      <c r="A2240" s="36" t="inlineStr">
        <is>
          <t>00919</t>
        </is>
      </c>
      <c r="B2240" s="44" t="n">
        <v>46327</v>
      </c>
      <c r="C2240" s="36" t="inlineStr">
        <is>
          <t>Western Europe</t>
        </is>
      </c>
      <c r="D2240" s="36" t="inlineStr">
        <is>
          <t>France</t>
        </is>
      </c>
      <c r="E2240" s="36" t="inlineStr">
        <is>
          <t>Online Store</t>
        </is>
      </c>
      <c r="F2240" s="36" t="inlineStr">
        <is>
          <t>New</t>
        </is>
      </c>
      <c r="G2240" s="36" t="inlineStr">
        <is>
          <t>Cycling</t>
        </is>
      </c>
      <c r="H2240" s="36" t="inlineStr">
        <is>
          <t>Cycling Pack 12L</t>
        </is>
      </c>
      <c r="I2240" s="36" t="n">
        <v>1</v>
      </c>
      <c r="J2240" s="39" t="n">
        <v>103.53</v>
      </c>
      <c r="K2240" s="45" t="n">
        <v>0.1</v>
      </c>
      <c r="L2240" s="39" t="n">
        <v>51.75</v>
      </c>
      <c r="M2240" s="39">
        <f>I2240*J2240*(1-K2240)</f>
        <v/>
      </c>
      <c r="N2240" s="39">
        <f>I2240*L2240</f>
        <v/>
      </c>
      <c r="O2240" s="39">
        <f>M2240-N2240</f>
        <v/>
      </c>
      <c r="P2240" s="38">
        <f>IF(M2240=0,0,O2240/M2240)</f>
        <v/>
      </c>
      <c r="Q2240" s="36">
        <f>YEAR(B2240)</f>
        <v/>
      </c>
      <c r="R2240" s="36">
        <f>"Q"&amp;ROUNDUP(MONTH(B2240)/3,0)</f>
        <v/>
      </c>
      <c r="S2240" s="36">
        <f>MONTH(B2240)</f>
        <v/>
      </c>
      <c r="T2240" s="36">
        <f>TEXT(B2240,"mmm")</f>
        <v/>
      </c>
      <c r="U2240" s="36">
        <f>IF(AND(OR(sel_Region="All",C2240=sel_Region),OR(sel_Country="All",D2240=sel_Country),OR(sel_Channel="All",E2240=sel_Channel),OR(sel_Customer="All",F2240=sel_Customer),OR(sel_Category="All",G2240=sel_Category),OR(sel_Product="All",H2240=sel_Product),AND(S2240&gt;=m_From,S2240&lt;=m_To)),1,0)</f>
        <v/>
      </c>
      <c r="V2240" s="36">
        <f>IF(AND(OR(sel_Region="All",C2240=sel_Region),OR(sel_Channel="All",E2240=sel_Channel),OR(sel_Customer="All",F2240=sel_Customer),OR(sel_Category="All",G2240=sel_Category),OR(sel_Product="All",H2240=sel_Product),AND(S2240&gt;=m_From,S2240&lt;=m_To)),1,0)</f>
        <v/>
      </c>
      <c r="W2240" s="36">
        <f>IF(AND(OR(sel_Region="All",C2240=sel_Region),OR(sel_Country="All",D2240=sel_Country),OR(sel_Customer="All",F2240=sel_Customer),OR(sel_Category="All",G2240=sel_Category),OR(sel_Product="All",H2240=sel_Product),AND(S2240&gt;=m_From,S2240&lt;=m_To)),1,0)</f>
        <v/>
      </c>
      <c r="X2240" s="36">
        <f>IF(AND(OR(sel_Region="All",C2240=sel_Region),OR(sel_Country="All",D2240=sel_Country),OR(sel_Channel="All",E2240=sel_Channel),OR(sel_Category="All",G2240=sel_Category),OR(sel_Product="All",H2240=sel_Product),AND(S2240&gt;=m_From,S2240&lt;=m_To)),1,0)</f>
        <v/>
      </c>
      <c r="Y2240" s="36">
        <f>IF(AND(OR(sel_Region="All",C2240=sel_Region),OR(sel_Country="All",D2240=sel_Country),OR(sel_Channel="All",E2240=sel_Channel),OR(sel_Customer="All",F2240=sel_Customer),OR(sel_Product="All",H2240=sel_Product),AND(S2240&gt;=m_From,S2240&lt;=m_To)),1,0)</f>
        <v/>
      </c>
      <c r="Z2240" s="36">
        <f>IF(AND(OR(sel_Region="All",C2240=sel_Region),OR(sel_Country="All",D2240=sel_Country),OR(sel_Channel="All",E2240=sel_Channel),OR(sel_Customer="All",F2240=sel_Customer),OR(sel_Category="All",G2240=sel_Category),AND(S2240&gt;=m_From,S2240&lt;=m_To)),1,0)</f>
        <v/>
      </c>
      <c r="AA2240" s="36">
        <f>IF(AND(OR(sel_Region="All",C2240=sel_Region),OR(sel_Country="All",D2240=sel_Country),OR(sel_Channel="All",E2240=sel_Channel),OR(sel_Customer="All",F2240=sel_Customer),OR(sel_Category="All",G2240=sel_Category),OR(sel_Product="All",H2240=sel_Product)),1,0)</f>
        <v/>
      </c>
    </row>
    <row r="2241">
      <c r="A2241" s="36" t="inlineStr">
        <is>
          <t>00949</t>
        </is>
      </c>
      <c r="B2241" s="44" t="n">
        <v>46327</v>
      </c>
      <c r="C2241" s="36" t="inlineStr">
        <is>
          <t>Northern Europe</t>
        </is>
      </c>
      <c r="D2241" s="36" t="inlineStr">
        <is>
          <t>Sweden</t>
        </is>
      </c>
      <c r="E2241" s="36" t="inlineStr">
        <is>
          <t>Online Store</t>
        </is>
      </c>
      <c r="F2241" s="36" t="inlineStr">
        <is>
          <t>Returning</t>
        </is>
      </c>
      <c r="G2241" s="36" t="inlineStr">
        <is>
          <t>Cycling</t>
        </is>
      </c>
      <c r="H2241" s="36" t="inlineStr">
        <is>
          <t>Cycling Pack 12L</t>
        </is>
      </c>
      <c r="I2241" s="36" t="n">
        <v>4</v>
      </c>
      <c r="J2241" s="39" t="n">
        <v>103.33</v>
      </c>
      <c r="K2241" s="45" t="n">
        <v>0</v>
      </c>
      <c r="L2241" s="39" t="n">
        <v>49.15</v>
      </c>
      <c r="M2241" s="39">
        <f>I2241*J2241*(1-K2241)</f>
        <v/>
      </c>
      <c r="N2241" s="39">
        <f>I2241*L2241</f>
        <v/>
      </c>
      <c r="O2241" s="39">
        <f>M2241-N2241</f>
        <v/>
      </c>
      <c r="P2241" s="38">
        <f>IF(M2241=0,0,O2241/M2241)</f>
        <v/>
      </c>
      <c r="Q2241" s="36">
        <f>YEAR(B2241)</f>
        <v/>
      </c>
      <c r="R2241" s="36">
        <f>"Q"&amp;ROUNDUP(MONTH(B2241)/3,0)</f>
        <v/>
      </c>
      <c r="S2241" s="36">
        <f>MONTH(B2241)</f>
        <v/>
      </c>
      <c r="T2241" s="36">
        <f>TEXT(B2241,"mmm")</f>
        <v/>
      </c>
      <c r="U2241" s="36">
        <f>IF(AND(OR(sel_Region="All",C2241=sel_Region),OR(sel_Country="All",D2241=sel_Country),OR(sel_Channel="All",E2241=sel_Channel),OR(sel_Customer="All",F2241=sel_Customer),OR(sel_Category="All",G2241=sel_Category),OR(sel_Product="All",H2241=sel_Product),AND(S2241&gt;=m_From,S2241&lt;=m_To)),1,0)</f>
        <v/>
      </c>
      <c r="V2241" s="36">
        <f>IF(AND(OR(sel_Region="All",C2241=sel_Region),OR(sel_Channel="All",E2241=sel_Channel),OR(sel_Customer="All",F2241=sel_Customer),OR(sel_Category="All",G2241=sel_Category),OR(sel_Product="All",H2241=sel_Product),AND(S2241&gt;=m_From,S2241&lt;=m_To)),1,0)</f>
        <v/>
      </c>
      <c r="W2241" s="36">
        <f>IF(AND(OR(sel_Region="All",C2241=sel_Region),OR(sel_Country="All",D2241=sel_Country),OR(sel_Customer="All",F2241=sel_Customer),OR(sel_Category="All",G2241=sel_Category),OR(sel_Product="All",H2241=sel_Product),AND(S2241&gt;=m_From,S2241&lt;=m_To)),1,0)</f>
        <v/>
      </c>
      <c r="X2241" s="36">
        <f>IF(AND(OR(sel_Region="All",C2241=sel_Region),OR(sel_Country="All",D2241=sel_Country),OR(sel_Channel="All",E2241=sel_Channel),OR(sel_Category="All",G2241=sel_Category),OR(sel_Product="All",H2241=sel_Product),AND(S2241&gt;=m_From,S2241&lt;=m_To)),1,0)</f>
        <v/>
      </c>
      <c r="Y2241" s="36">
        <f>IF(AND(OR(sel_Region="All",C2241=sel_Region),OR(sel_Country="All",D2241=sel_Country),OR(sel_Channel="All",E2241=sel_Channel),OR(sel_Customer="All",F2241=sel_Customer),OR(sel_Product="All",H2241=sel_Product),AND(S2241&gt;=m_From,S2241&lt;=m_To)),1,0)</f>
        <v/>
      </c>
      <c r="Z2241" s="36">
        <f>IF(AND(OR(sel_Region="All",C2241=sel_Region),OR(sel_Country="All",D2241=sel_Country),OR(sel_Channel="All",E2241=sel_Channel),OR(sel_Customer="All",F2241=sel_Customer),OR(sel_Category="All",G2241=sel_Category),AND(S2241&gt;=m_From,S2241&lt;=m_To)),1,0)</f>
        <v/>
      </c>
      <c r="AA2241" s="36">
        <f>IF(AND(OR(sel_Region="All",C2241=sel_Region),OR(sel_Country="All",D2241=sel_Country),OR(sel_Channel="All",E2241=sel_Channel),OR(sel_Customer="All",F2241=sel_Customer),OR(sel_Category="All",G2241=sel_Category),OR(sel_Product="All",H2241=sel_Product)),1,0)</f>
        <v/>
      </c>
    </row>
    <row r="2242">
      <c r="A2242" s="36" t="inlineStr">
        <is>
          <t>01185</t>
        </is>
      </c>
      <c r="B2242" s="44" t="n">
        <v>46327</v>
      </c>
      <c r="C2242" s="36" t="inlineStr">
        <is>
          <t>Western Europe</t>
        </is>
      </c>
      <c r="D2242" s="36" t="inlineStr">
        <is>
          <t>United Kingdom</t>
        </is>
      </c>
      <c r="E2242" s="36" t="inlineStr">
        <is>
          <t>Corporate</t>
        </is>
      </c>
      <c r="F2242" s="36" t="inlineStr">
        <is>
          <t>Business</t>
        </is>
      </c>
      <c r="G2242" s="36" t="inlineStr">
        <is>
          <t>Travel</t>
        </is>
      </c>
      <c r="H2242" s="36" t="inlineStr">
        <is>
          <t>Insulated Bottle</t>
        </is>
      </c>
      <c r="I2242" s="36" t="n">
        <v>5</v>
      </c>
      <c r="J2242" s="39" t="n">
        <v>37.08</v>
      </c>
      <c r="K2242" s="45" t="n">
        <v>0.15</v>
      </c>
      <c r="L2242" s="39" t="n">
        <v>13.27</v>
      </c>
      <c r="M2242" s="39">
        <f>I2242*J2242*(1-K2242)</f>
        <v/>
      </c>
      <c r="N2242" s="39">
        <f>I2242*L2242</f>
        <v/>
      </c>
      <c r="O2242" s="39">
        <f>M2242-N2242</f>
        <v/>
      </c>
      <c r="P2242" s="38">
        <f>IF(M2242=0,0,O2242/M2242)</f>
        <v/>
      </c>
      <c r="Q2242" s="36">
        <f>YEAR(B2242)</f>
        <v/>
      </c>
      <c r="R2242" s="36">
        <f>"Q"&amp;ROUNDUP(MONTH(B2242)/3,0)</f>
        <v/>
      </c>
      <c r="S2242" s="36">
        <f>MONTH(B2242)</f>
        <v/>
      </c>
      <c r="T2242" s="36">
        <f>TEXT(B2242,"mmm")</f>
        <v/>
      </c>
      <c r="U2242" s="36">
        <f>IF(AND(OR(sel_Region="All",C2242=sel_Region),OR(sel_Country="All",D2242=sel_Country),OR(sel_Channel="All",E2242=sel_Channel),OR(sel_Customer="All",F2242=sel_Customer),OR(sel_Category="All",G2242=sel_Category),OR(sel_Product="All",H2242=sel_Product),AND(S2242&gt;=m_From,S2242&lt;=m_To)),1,0)</f>
        <v/>
      </c>
      <c r="V2242" s="36">
        <f>IF(AND(OR(sel_Region="All",C2242=sel_Region),OR(sel_Channel="All",E2242=sel_Channel),OR(sel_Customer="All",F2242=sel_Customer),OR(sel_Category="All",G2242=sel_Category),OR(sel_Product="All",H2242=sel_Product),AND(S2242&gt;=m_From,S2242&lt;=m_To)),1,0)</f>
        <v/>
      </c>
      <c r="W2242" s="36">
        <f>IF(AND(OR(sel_Region="All",C2242=sel_Region),OR(sel_Country="All",D2242=sel_Country),OR(sel_Customer="All",F2242=sel_Customer),OR(sel_Category="All",G2242=sel_Category),OR(sel_Product="All",H2242=sel_Product),AND(S2242&gt;=m_From,S2242&lt;=m_To)),1,0)</f>
        <v/>
      </c>
      <c r="X2242" s="36">
        <f>IF(AND(OR(sel_Region="All",C2242=sel_Region),OR(sel_Country="All",D2242=sel_Country),OR(sel_Channel="All",E2242=sel_Channel),OR(sel_Category="All",G2242=sel_Category),OR(sel_Product="All",H2242=sel_Product),AND(S2242&gt;=m_From,S2242&lt;=m_To)),1,0)</f>
        <v/>
      </c>
      <c r="Y2242" s="36">
        <f>IF(AND(OR(sel_Region="All",C2242=sel_Region),OR(sel_Country="All",D2242=sel_Country),OR(sel_Channel="All",E2242=sel_Channel),OR(sel_Customer="All",F2242=sel_Customer),OR(sel_Product="All",H2242=sel_Product),AND(S2242&gt;=m_From,S2242&lt;=m_To)),1,0)</f>
        <v/>
      </c>
      <c r="Z2242" s="36">
        <f>IF(AND(OR(sel_Region="All",C2242=sel_Region),OR(sel_Country="All",D2242=sel_Country),OR(sel_Channel="All",E2242=sel_Channel),OR(sel_Customer="All",F2242=sel_Customer),OR(sel_Category="All",G2242=sel_Category),AND(S2242&gt;=m_From,S2242&lt;=m_To)),1,0)</f>
        <v/>
      </c>
      <c r="AA2242" s="36">
        <f>IF(AND(OR(sel_Region="All",C2242=sel_Region),OR(sel_Country="All",D2242=sel_Country),OR(sel_Channel="All",E2242=sel_Channel),OR(sel_Customer="All",F2242=sel_Customer),OR(sel_Category="All",G2242=sel_Category),OR(sel_Product="All",H2242=sel_Product)),1,0)</f>
        <v/>
      </c>
    </row>
    <row r="2243">
      <c r="A2243" s="36" t="inlineStr">
        <is>
          <t>01248</t>
        </is>
      </c>
      <c r="B2243" s="44" t="n">
        <v>46327</v>
      </c>
      <c r="C2243" s="36" t="inlineStr">
        <is>
          <t>Southern Europe</t>
        </is>
      </c>
      <c r="D2243" s="36" t="inlineStr">
        <is>
          <t>Spain</t>
        </is>
      </c>
      <c r="E2243" s="36" t="inlineStr">
        <is>
          <t>Corporate</t>
        </is>
      </c>
      <c r="F2243" s="36" t="inlineStr">
        <is>
          <t>Business</t>
        </is>
      </c>
      <c r="G2243" s="36" t="inlineStr">
        <is>
          <t>Travel</t>
        </is>
      </c>
      <c r="H2243" s="36" t="inlineStr">
        <is>
          <t>Carry-On Duffel</t>
        </is>
      </c>
      <c r="I2243" s="36" t="n">
        <v>5</v>
      </c>
      <c r="J2243" s="39" t="n">
        <v>132.33</v>
      </c>
      <c r="K2243" s="45" t="n">
        <v>0.2</v>
      </c>
      <c r="L2243" s="39" t="n">
        <v>65.2</v>
      </c>
      <c r="M2243" s="39">
        <f>I2243*J2243*(1-K2243)</f>
        <v/>
      </c>
      <c r="N2243" s="39">
        <f>I2243*L2243</f>
        <v/>
      </c>
      <c r="O2243" s="39">
        <f>M2243-N2243</f>
        <v/>
      </c>
      <c r="P2243" s="38">
        <f>IF(M2243=0,0,O2243/M2243)</f>
        <v/>
      </c>
      <c r="Q2243" s="36">
        <f>YEAR(B2243)</f>
        <v/>
      </c>
      <c r="R2243" s="36">
        <f>"Q"&amp;ROUNDUP(MONTH(B2243)/3,0)</f>
        <v/>
      </c>
      <c r="S2243" s="36">
        <f>MONTH(B2243)</f>
        <v/>
      </c>
      <c r="T2243" s="36">
        <f>TEXT(B2243,"mmm")</f>
        <v/>
      </c>
      <c r="U2243" s="36">
        <f>IF(AND(OR(sel_Region="All",C2243=sel_Region),OR(sel_Country="All",D2243=sel_Country),OR(sel_Channel="All",E2243=sel_Channel),OR(sel_Customer="All",F2243=sel_Customer),OR(sel_Category="All",G2243=sel_Category),OR(sel_Product="All",H2243=sel_Product),AND(S2243&gt;=m_From,S2243&lt;=m_To)),1,0)</f>
        <v/>
      </c>
      <c r="V2243" s="36">
        <f>IF(AND(OR(sel_Region="All",C2243=sel_Region),OR(sel_Channel="All",E2243=sel_Channel),OR(sel_Customer="All",F2243=sel_Customer),OR(sel_Category="All",G2243=sel_Category),OR(sel_Product="All",H2243=sel_Product),AND(S2243&gt;=m_From,S2243&lt;=m_To)),1,0)</f>
        <v/>
      </c>
      <c r="W2243" s="36">
        <f>IF(AND(OR(sel_Region="All",C2243=sel_Region),OR(sel_Country="All",D2243=sel_Country),OR(sel_Customer="All",F2243=sel_Customer),OR(sel_Category="All",G2243=sel_Category),OR(sel_Product="All",H2243=sel_Product),AND(S2243&gt;=m_From,S2243&lt;=m_To)),1,0)</f>
        <v/>
      </c>
      <c r="X2243" s="36">
        <f>IF(AND(OR(sel_Region="All",C2243=sel_Region),OR(sel_Country="All",D2243=sel_Country),OR(sel_Channel="All",E2243=sel_Channel),OR(sel_Category="All",G2243=sel_Category),OR(sel_Product="All",H2243=sel_Product),AND(S2243&gt;=m_From,S2243&lt;=m_To)),1,0)</f>
        <v/>
      </c>
      <c r="Y2243" s="36">
        <f>IF(AND(OR(sel_Region="All",C2243=sel_Region),OR(sel_Country="All",D2243=sel_Country),OR(sel_Channel="All",E2243=sel_Channel),OR(sel_Customer="All",F2243=sel_Customer),OR(sel_Product="All",H2243=sel_Product),AND(S2243&gt;=m_From,S2243&lt;=m_To)),1,0)</f>
        <v/>
      </c>
      <c r="Z2243" s="36">
        <f>IF(AND(OR(sel_Region="All",C2243=sel_Region),OR(sel_Country="All",D2243=sel_Country),OR(sel_Channel="All",E2243=sel_Channel),OR(sel_Customer="All",F2243=sel_Customer),OR(sel_Category="All",G2243=sel_Category),AND(S2243&gt;=m_From,S2243&lt;=m_To)),1,0)</f>
        <v/>
      </c>
      <c r="AA2243" s="36">
        <f>IF(AND(OR(sel_Region="All",C2243=sel_Region),OR(sel_Country="All",D2243=sel_Country),OR(sel_Channel="All",E2243=sel_Channel),OR(sel_Customer="All",F2243=sel_Customer),OR(sel_Category="All",G2243=sel_Category),OR(sel_Product="All",H2243=sel_Product)),1,0)</f>
        <v/>
      </c>
    </row>
    <row r="2244">
      <c r="A2244" s="36" t="inlineStr">
        <is>
          <t>02129</t>
        </is>
      </c>
      <c r="B2244" s="44" t="n">
        <v>46327</v>
      </c>
      <c r="C2244" s="36" t="inlineStr">
        <is>
          <t>Western Europe</t>
        </is>
      </c>
      <c r="D2244" s="36" t="inlineStr">
        <is>
          <t>France</t>
        </is>
      </c>
      <c r="E2244" s="36" t="inlineStr">
        <is>
          <t>Retail Partners</t>
        </is>
      </c>
      <c r="F2244" s="36" t="inlineStr">
        <is>
          <t>New</t>
        </is>
      </c>
      <c r="G2244" s="36" t="inlineStr">
        <is>
          <t>Cycling</t>
        </is>
      </c>
      <c r="H2244" s="36" t="inlineStr">
        <is>
          <t>Trail Bike Light</t>
        </is>
      </c>
      <c r="I2244" s="36" t="n">
        <v>2</v>
      </c>
      <c r="J2244" s="39" t="n">
        <v>50.43</v>
      </c>
      <c r="K2244" s="45" t="n">
        <v>0</v>
      </c>
      <c r="L2244" s="39" t="n">
        <v>22.54</v>
      </c>
      <c r="M2244" s="39">
        <f>I2244*J2244*(1-K2244)</f>
        <v/>
      </c>
      <c r="N2244" s="39">
        <f>I2244*L2244</f>
        <v/>
      </c>
      <c r="O2244" s="39">
        <f>M2244-N2244</f>
        <v/>
      </c>
      <c r="P2244" s="38">
        <f>IF(M2244=0,0,O2244/M2244)</f>
        <v/>
      </c>
      <c r="Q2244" s="36">
        <f>YEAR(B2244)</f>
        <v/>
      </c>
      <c r="R2244" s="36">
        <f>"Q"&amp;ROUNDUP(MONTH(B2244)/3,0)</f>
        <v/>
      </c>
      <c r="S2244" s="36">
        <f>MONTH(B2244)</f>
        <v/>
      </c>
      <c r="T2244" s="36">
        <f>TEXT(B2244,"mmm")</f>
        <v/>
      </c>
      <c r="U2244" s="36">
        <f>IF(AND(OR(sel_Region="All",C2244=sel_Region),OR(sel_Country="All",D2244=sel_Country),OR(sel_Channel="All",E2244=sel_Channel),OR(sel_Customer="All",F2244=sel_Customer),OR(sel_Category="All",G2244=sel_Category),OR(sel_Product="All",H2244=sel_Product),AND(S2244&gt;=m_From,S2244&lt;=m_To)),1,0)</f>
        <v/>
      </c>
      <c r="V2244" s="36">
        <f>IF(AND(OR(sel_Region="All",C2244=sel_Region),OR(sel_Channel="All",E2244=sel_Channel),OR(sel_Customer="All",F2244=sel_Customer),OR(sel_Category="All",G2244=sel_Category),OR(sel_Product="All",H2244=sel_Product),AND(S2244&gt;=m_From,S2244&lt;=m_To)),1,0)</f>
        <v/>
      </c>
      <c r="W2244" s="36">
        <f>IF(AND(OR(sel_Region="All",C2244=sel_Region),OR(sel_Country="All",D2244=sel_Country),OR(sel_Customer="All",F2244=sel_Customer),OR(sel_Category="All",G2244=sel_Category),OR(sel_Product="All",H2244=sel_Product),AND(S2244&gt;=m_From,S2244&lt;=m_To)),1,0)</f>
        <v/>
      </c>
      <c r="X2244" s="36">
        <f>IF(AND(OR(sel_Region="All",C2244=sel_Region),OR(sel_Country="All",D2244=sel_Country),OR(sel_Channel="All",E2244=sel_Channel),OR(sel_Category="All",G2244=sel_Category),OR(sel_Product="All",H2244=sel_Product),AND(S2244&gt;=m_From,S2244&lt;=m_To)),1,0)</f>
        <v/>
      </c>
      <c r="Y2244" s="36">
        <f>IF(AND(OR(sel_Region="All",C2244=sel_Region),OR(sel_Country="All",D2244=sel_Country),OR(sel_Channel="All",E2244=sel_Channel),OR(sel_Customer="All",F2244=sel_Customer),OR(sel_Product="All",H2244=sel_Product),AND(S2244&gt;=m_From,S2244&lt;=m_To)),1,0)</f>
        <v/>
      </c>
      <c r="Z2244" s="36">
        <f>IF(AND(OR(sel_Region="All",C2244=sel_Region),OR(sel_Country="All",D2244=sel_Country),OR(sel_Channel="All",E2244=sel_Channel),OR(sel_Customer="All",F2244=sel_Customer),OR(sel_Category="All",G2244=sel_Category),AND(S2244&gt;=m_From,S2244&lt;=m_To)),1,0)</f>
        <v/>
      </c>
      <c r="AA2244" s="36">
        <f>IF(AND(OR(sel_Region="All",C2244=sel_Region),OR(sel_Country="All",D2244=sel_Country),OR(sel_Channel="All",E2244=sel_Channel),OR(sel_Customer="All",F2244=sel_Customer),OR(sel_Category="All",G2244=sel_Category),OR(sel_Product="All",H2244=sel_Product)),1,0)</f>
        <v/>
      </c>
    </row>
    <row r="2245">
      <c r="A2245" s="36" t="inlineStr">
        <is>
          <t>02850</t>
        </is>
      </c>
      <c r="B2245" s="44" t="n">
        <v>46327</v>
      </c>
      <c r="C2245" s="36" t="inlineStr">
        <is>
          <t>Northern Europe</t>
        </is>
      </c>
      <c r="D2245" s="36" t="inlineStr">
        <is>
          <t>Sweden</t>
        </is>
      </c>
      <c r="E2245" s="36" t="inlineStr">
        <is>
          <t>Corporate</t>
        </is>
      </c>
      <c r="F2245" s="36" t="inlineStr">
        <is>
          <t>Returning</t>
        </is>
      </c>
      <c r="G2245" s="36" t="inlineStr">
        <is>
          <t>Fitness</t>
        </is>
      </c>
      <c r="H2245" s="36" t="inlineStr">
        <is>
          <t>Training Mat</t>
        </is>
      </c>
      <c r="I2245" s="36" t="n">
        <v>3</v>
      </c>
      <c r="J2245" s="39" t="n">
        <v>50.05</v>
      </c>
      <c r="K2245" s="45" t="n">
        <v>0.15</v>
      </c>
      <c r="L2245" s="39" t="n">
        <v>22.36</v>
      </c>
      <c r="M2245" s="39">
        <f>I2245*J2245*(1-K2245)</f>
        <v/>
      </c>
      <c r="N2245" s="39">
        <f>I2245*L2245</f>
        <v/>
      </c>
      <c r="O2245" s="39">
        <f>M2245-N2245</f>
        <v/>
      </c>
      <c r="P2245" s="38">
        <f>IF(M2245=0,0,O2245/M2245)</f>
        <v/>
      </c>
      <c r="Q2245" s="36">
        <f>YEAR(B2245)</f>
        <v/>
      </c>
      <c r="R2245" s="36">
        <f>"Q"&amp;ROUNDUP(MONTH(B2245)/3,0)</f>
        <v/>
      </c>
      <c r="S2245" s="36">
        <f>MONTH(B2245)</f>
        <v/>
      </c>
      <c r="T2245" s="36">
        <f>TEXT(B2245,"mmm")</f>
        <v/>
      </c>
      <c r="U2245" s="36">
        <f>IF(AND(OR(sel_Region="All",C2245=sel_Region),OR(sel_Country="All",D2245=sel_Country),OR(sel_Channel="All",E2245=sel_Channel),OR(sel_Customer="All",F2245=sel_Customer),OR(sel_Category="All",G2245=sel_Category),OR(sel_Product="All",H2245=sel_Product),AND(S2245&gt;=m_From,S2245&lt;=m_To)),1,0)</f>
        <v/>
      </c>
      <c r="V2245" s="36">
        <f>IF(AND(OR(sel_Region="All",C2245=sel_Region),OR(sel_Channel="All",E2245=sel_Channel),OR(sel_Customer="All",F2245=sel_Customer),OR(sel_Category="All",G2245=sel_Category),OR(sel_Product="All",H2245=sel_Product),AND(S2245&gt;=m_From,S2245&lt;=m_To)),1,0)</f>
        <v/>
      </c>
      <c r="W2245" s="36">
        <f>IF(AND(OR(sel_Region="All",C2245=sel_Region),OR(sel_Country="All",D2245=sel_Country),OR(sel_Customer="All",F2245=sel_Customer),OR(sel_Category="All",G2245=sel_Category),OR(sel_Product="All",H2245=sel_Product),AND(S2245&gt;=m_From,S2245&lt;=m_To)),1,0)</f>
        <v/>
      </c>
      <c r="X2245" s="36">
        <f>IF(AND(OR(sel_Region="All",C2245=sel_Region),OR(sel_Country="All",D2245=sel_Country),OR(sel_Channel="All",E2245=sel_Channel),OR(sel_Category="All",G2245=sel_Category),OR(sel_Product="All",H2245=sel_Product),AND(S2245&gt;=m_From,S2245&lt;=m_To)),1,0)</f>
        <v/>
      </c>
      <c r="Y2245" s="36">
        <f>IF(AND(OR(sel_Region="All",C2245=sel_Region),OR(sel_Country="All",D2245=sel_Country),OR(sel_Channel="All",E2245=sel_Channel),OR(sel_Customer="All",F2245=sel_Customer),OR(sel_Product="All",H2245=sel_Product),AND(S2245&gt;=m_From,S2245&lt;=m_To)),1,0)</f>
        <v/>
      </c>
      <c r="Z2245" s="36">
        <f>IF(AND(OR(sel_Region="All",C2245=sel_Region),OR(sel_Country="All",D2245=sel_Country),OR(sel_Channel="All",E2245=sel_Channel),OR(sel_Customer="All",F2245=sel_Customer),OR(sel_Category="All",G2245=sel_Category),AND(S2245&gt;=m_From,S2245&lt;=m_To)),1,0)</f>
        <v/>
      </c>
      <c r="AA2245" s="36">
        <f>IF(AND(OR(sel_Region="All",C2245=sel_Region),OR(sel_Country="All",D2245=sel_Country),OR(sel_Channel="All",E2245=sel_Channel),OR(sel_Customer="All",F2245=sel_Customer),OR(sel_Category="All",G2245=sel_Category),OR(sel_Product="All",H2245=sel_Product)),1,0)</f>
        <v/>
      </c>
    </row>
    <row r="2246">
      <c r="A2246" s="36" t="inlineStr">
        <is>
          <t>03477</t>
        </is>
      </c>
      <c r="B2246" s="44" t="n">
        <v>46327</v>
      </c>
      <c r="C2246" s="36" t="inlineStr">
        <is>
          <t>Western Europe</t>
        </is>
      </c>
      <c r="D2246" s="36" t="inlineStr">
        <is>
          <t>France</t>
        </is>
      </c>
      <c r="E2246" s="36" t="inlineStr">
        <is>
          <t>Online Store</t>
        </is>
      </c>
      <c r="F2246" s="36" t="inlineStr">
        <is>
          <t>Returning</t>
        </is>
      </c>
      <c r="G2246" s="36" t="inlineStr">
        <is>
          <t>Camping</t>
        </is>
      </c>
      <c r="H2246" s="36" t="inlineStr">
        <is>
          <t>Trail Tent 2P</t>
        </is>
      </c>
      <c r="I2246" s="36" t="n">
        <v>1</v>
      </c>
      <c r="J2246" s="39" t="n">
        <v>197.14</v>
      </c>
      <c r="K2246" s="45" t="n">
        <v>0.05</v>
      </c>
      <c r="L2246" s="39" t="n">
        <v>102.87</v>
      </c>
      <c r="M2246" s="39">
        <f>I2246*J2246*(1-K2246)</f>
        <v/>
      </c>
      <c r="N2246" s="39">
        <f>I2246*L2246</f>
        <v/>
      </c>
      <c r="O2246" s="39">
        <f>M2246-N2246</f>
        <v/>
      </c>
      <c r="P2246" s="38">
        <f>IF(M2246=0,0,O2246/M2246)</f>
        <v/>
      </c>
      <c r="Q2246" s="36">
        <f>YEAR(B2246)</f>
        <v/>
      </c>
      <c r="R2246" s="36">
        <f>"Q"&amp;ROUNDUP(MONTH(B2246)/3,0)</f>
        <v/>
      </c>
      <c r="S2246" s="36">
        <f>MONTH(B2246)</f>
        <v/>
      </c>
      <c r="T2246" s="36">
        <f>TEXT(B2246,"mmm")</f>
        <v/>
      </c>
      <c r="U2246" s="36">
        <f>IF(AND(OR(sel_Region="All",C2246=sel_Region),OR(sel_Country="All",D2246=sel_Country),OR(sel_Channel="All",E2246=sel_Channel),OR(sel_Customer="All",F2246=sel_Customer),OR(sel_Category="All",G2246=sel_Category),OR(sel_Product="All",H2246=sel_Product),AND(S2246&gt;=m_From,S2246&lt;=m_To)),1,0)</f>
        <v/>
      </c>
      <c r="V2246" s="36">
        <f>IF(AND(OR(sel_Region="All",C2246=sel_Region),OR(sel_Channel="All",E2246=sel_Channel),OR(sel_Customer="All",F2246=sel_Customer),OR(sel_Category="All",G2246=sel_Category),OR(sel_Product="All",H2246=sel_Product),AND(S2246&gt;=m_From,S2246&lt;=m_To)),1,0)</f>
        <v/>
      </c>
      <c r="W2246" s="36">
        <f>IF(AND(OR(sel_Region="All",C2246=sel_Region),OR(sel_Country="All",D2246=sel_Country),OR(sel_Customer="All",F2246=sel_Customer),OR(sel_Category="All",G2246=sel_Category),OR(sel_Product="All",H2246=sel_Product),AND(S2246&gt;=m_From,S2246&lt;=m_To)),1,0)</f>
        <v/>
      </c>
      <c r="X2246" s="36">
        <f>IF(AND(OR(sel_Region="All",C2246=sel_Region),OR(sel_Country="All",D2246=sel_Country),OR(sel_Channel="All",E2246=sel_Channel),OR(sel_Category="All",G2246=sel_Category),OR(sel_Product="All",H2246=sel_Product),AND(S2246&gt;=m_From,S2246&lt;=m_To)),1,0)</f>
        <v/>
      </c>
      <c r="Y2246" s="36">
        <f>IF(AND(OR(sel_Region="All",C2246=sel_Region),OR(sel_Country="All",D2246=sel_Country),OR(sel_Channel="All",E2246=sel_Channel),OR(sel_Customer="All",F2246=sel_Customer),OR(sel_Product="All",H2246=sel_Product),AND(S2246&gt;=m_From,S2246&lt;=m_To)),1,0)</f>
        <v/>
      </c>
      <c r="Z2246" s="36">
        <f>IF(AND(OR(sel_Region="All",C2246=sel_Region),OR(sel_Country="All",D2246=sel_Country),OR(sel_Channel="All",E2246=sel_Channel),OR(sel_Customer="All",F2246=sel_Customer),OR(sel_Category="All",G2246=sel_Category),AND(S2246&gt;=m_From,S2246&lt;=m_To)),1,0)</f>
        <v/>
      </c>
      <c r="AA2246" s="36">
        <f>IF(AND(OR(sel_Region="All",C2246=sel_Region),OR(sel_Country="All",D2246=sel_Country),OR(sel_Channel="All",E2246=sel_Channel),OR(sel_Customer="All",F2246=sel_Customer),OR(sel_Category="All",G2246=sel_Category),OR(sel_Product="All",H2246=sel_Product)),1,0)</f>
        <v/>
      </c>
    </row>
    <row r="2247">
      <c r="A2247" s="36" t="inlineStr">
        <is>
          <t>04673</t>
        </is>
      </c>
      <c r="B2247" s="44" t="n">
        <v>46327</v>
      </c>
      <c r="C2247" s="36" t="inlineStr">
        <is>
          <t>Southern Europe</t>
        </is>
      </c>
      <c r="D2247" s="36" t="inlineStr">
        <is>
          <t>Spain</t>
        </is>
      </c>
      <c r="E2247" s="36" t="inlineStr">
        <is>
          <t>Corporate</t>
        </is>
      </c>
      <c r="F2247" s="36" t="inlineStr">
        <is>
          <t>Business</t>
        </is>
      </c>
      <c r="G2247" s="36" t="inlineStr">
        <is>
          <t>Hiking</t>
        </is>
      </c>
      <c r="H2247" s="36" t="inlineStr">
        <is>
          <t>Trekking Poles</t>
        </is>
      </c>
      <c r="I2247" s="36" t="n">
        <v>5</v>
      </c>
      <c r="J2247" s="39" t="n">
        <v>72.13</v>
      </c>
      <c r="K2247" s="45" t="n">
        <v>0.1</v>
      </c>
      <c r="L2247" s="39" t="n">
        <v>31.41</v>
      </c>
      <c r="M2247" s="39">
        <f>I2247*J2247*(1-K2247)</f>
        <v/>
      </c>
      <c r="N2247" s="39">
        <f>I2247*L2247</f>
        <v/>
      </c>
      <c r="O2247" s="39">
        <f>M2247-N2247</f>
        <v/>
      </c>
      <c r="P2247" s="38">
        <f>IF(M2247=0,0,O2247/M2247)</f>
        <v/>
      </c>
      <c r="Q2247" s="36">
        <f>YEAR(B2247)</f>
        <v/>
      </c>
      <c r="R2247" s="36">
        <f>"Q"&amp;ROUNDUP(MONTH(B2247)/3,0)</f>
        <v/>
      </c>
      <c r="S2247" s="36">
        <f>MONTH(B2247)</f>
        <v/>
      </c>
      <c r="T2247" s="36">
        <f>TEXT(B2247,"mmm")</f>
        <v/>
      </c>
      <c r="U2247" s="36">
        <f>IF(AND(OR(sel_Region="All",C2247=sel_Region),OR(sel_Country="All",D2247=sel_Country),OR(sel_Channel="All",E2247=sel_Channel),OR(sel_Customer="All",F2247=sel_Customer),OR(sel_Category="All",G2247=sel_Category),OR(sel_Product="All",H2247=sel_Product),AND(S2247&gt;=m_From,S2247&lt;=m_To)),1,0)</f>
        <v/>
      </c>
      <c r="V2247" s="36">
        <f>IF(AND(OR(sel_Region="All",C2247=sel_Region),OR(sel_Channel="All",E2247=sel_Channel),OR(sel_Customer="All",F2247=sel_Customer),OR(sel_Category="All",G2247=sel_Category),OR(sel_Product="All",H2247=sel_Product),AND(S2247&gt;=m_From,S2247&lt;=m_To)),1,0)</f>
        <v/>
      </c>
      <c r="W2247" s="36">
        <f>IF(AND(OR(sel_Region="All",C2247=sel_Region),OR(sel_Country="All",D2247=sel_Country),OR(sel_Customer="All",F2247=sel_Customer),OR(sel_Category="All",G2247=sel_Category),OR(sel_Product="All",H2247=sel_Product),AND(S2247&gt;=m_From,S2247&lt;=m_To)),1,0)</f>
        <v/>
      </c>
      <c r="X2247" s="36">
        <f>IF(AND(OR(sel_Region="All",C2247=sel_Region),OR(sel_Country="All",D2247=sel_Country),OR(sel_Channel="All",E2247=sel_Channel),OR(sel_Category="All",G2247=sel_Category),OR(sel_Product="All",H2247=sel_Product),AND(S2247&gt;=m_From,S2247&lt;=m_To)),1,0)</f>
        <v/>
      </c>
      <c r="Y2247" s="36">
        <f>IF(AND(OR(sel_Region="All",C2247=sel_Region),OR(sel_Country="All",D2247=sel_Country),OR(sel_Channel="All",E2247=sel_Channel),OR(sel_Customer="All",F2247=sel_Customer),OR(sel_Product="All",H2247=sel_Product),AND(S2247&gt;=m_From,S2247&lt;=m_To)),1,0)</f>
        <v/>
      </c>
      <c r="Z2247" s="36">
        <f>IF(AND(OR(sel_Region="All",C2247=sel_Region),OR(sel_Country="All",D2247=sel_Country),OR(sel_Channel="All",E2247=sel_Channel),OR(sel_Customer="All",F2247=sel_Customer),OR(sel_Category="All",G2247=sel_Category),AND(S2247&gt;=m_From,S2247&lt;=m_To)),1,0)</f>
        <v/>
      </c>
      <c r="AA2247" s="36">
        <f>IF(AND(OR(sel_Region="All",C2247=sel_Region),OR(sel_Country="All",D2247=sel_Country),OR(sel_Channel="All",E2247=sel_Channel),OR(sel_Customer="All",F2247=sel_Customer),OR(sel_Category="All",G2247=sel_Category),OR(sel_Product="All",H2247=sel_Product)),1,0)</f>
        <v/>
      </c>
    </row>
    <row r="2248">
      <c r="A2248" s="36" t="inlineStr">
        <is>
          <t>04679</t>
        </is>
      </c>
      <c r="B2248" s="44" t="n">
        <v>46327</v>
      </c>
      <c r="C2248" s="36" t="inlineStr">
        <is>
          <t>Central Europe</t>
        </is>
      </c>
      <c r="D2248" s="36" t="inlineStr">
        <is>
          <t>Germany</t>
        </is>
      </c>
      <c r="E2248" s="36" t="inlineStr">
        <is>
          <t>Corporate</t>
        </is>
      </c>
      <c r="F2248" s="36" t="inlineStr">
        <is>
          <t>Returning</t>
        </is>
      </c>
      <c r="G2248" s="36" t="inlineStr">
        <is>
          <t>Camping</t>
        </is>
      </c>
      <c r="H2248" s="36" t="inlineStr">
        <is>
          <t>Alpine Tent 4P</t>
        </is>
      </c>
      <c r="I2248" s="36" t="n">
        <v>8</v>
      </c>
      <c r="J2248" s="39" t="n">
        <v>341.51</v>
      </c>
      <c r="K2248" s="45" t="n">
        <v>0.1</v>
      </c>
      <c r="L2248" s="39" t="n">
        <v>200.1</v>
      </c>
      <c r="M2248" s="39">
        <f>I2248*J2248*(1-K2248)</f>
        <v/>
      </c>
      <c r="N2248" s="39">
        <f>I2248*L2248</f>
        <v/>
      </c>
      <c r="O2248" s="39">
        <f>M2248-N2248</f>
        <v/>
      </c>
      <c r="P2248" s="38">
        <f>IF(M2248=0,0,O2248/M2248)</f>
        <v/>
      </c>
      <c r="Q2248" s="36">
        <f>YEAR(B2248)</f>
        <v/>
      </c>
      <c r="R2248" s="36">
        <f>"Q"&amp;ROUNDUP(MONTH(B2248)/3,0)</f>
        <v/>
      </c>
      <c r="S2248" s="36">
        <f>MONTH(B2248)</f>
        <v/>
      </c>
      <c r="T2248" s="36">
        <f>TEXT(B2248,"mmm")</f>
        <v/>
      </c>
      <c r="U2248" s="36">
        <f>IF(AND(OR(sel_Region="All",C2248=sel_Region),OR(sel_Country="All",D2248=sel_Country),OR(sel_Channel="All",E2248=sel_Channel),OR(sel_Customer="All",F2248=sel_Customer),OR(sel_Category="All",G2248=sel_Category),OR(sel_Product="All",H2248=sel_Product),AND(S2248&gt;=m_From,S2248&lt;=m_To)),1,0)</f>
        <v/>
      </c>
      <c r="V2248" s="36">
        <f>IF(AND(OR(sel_Region="All",C2248=sel_Region),OR(sel_Channel="All",E2248=sel_Channel),OR(sel_Customer="All",F2248=sel_Customer),OR(sel_Category="All",G2248=sel_Category),OR(sel_Product="All",H2248=sel_Product),AND(S2248&gt;=m_From,S2248&lt;=m_To)),1,0)</f>
        <v/>
      </c>
      <c r="W2248" s="36">
        <f>IF(AND(OR(sel_Region="All",C2248=sel_Region),OR(sel_Country="All",D2248=sel_Country),OR(sel_Customer="All",F2248=sel_Customer),OR(sel_Category="All",G2248=sel_Category),OR(sel_Product="All",H2248=sel_Product),AND(S2248&gt;=m_From,S2248&lt;=m_To)),1,0)</f>
        <v/>
      </c>
      <c r="X2248" s="36">
        <f>IF(AND(OR(sel_Region="All",C2248=sel_Region),OR(sel_Country="All",D2248=sel_Country),OR(sel_Channel="All",E2248=sel_Channel),OR(sel_Category="All",G2248=sel_Category),OR(sel_Product="All",H2248=sel_Product),AND(S2248&gt;=m_From,S2248&lt;=m_To)),1,0)</f>
        <v/>
      </c>
      <c r="Y2248" s="36">
        <f>IF(AND(OR(sel_Region="All",C2248=sel_Region),OR(sel_Country="All",D2248=sel_Country),OR(sel_Channel="All",E2248=sel_Channel),OR(sel_Customer="All",F2248=sel_Customer),OR(sel_Product="All",H2248=sel_Product),AND(S2248&gt;=m_From,S2248&lt;=m_To)),1,0)</f>
        <v/>
      </c>
      <c r="Z2248" s="36">
        <f>IF(AND(OR(sel_Region="All",C2248=sel_Region),OR(sel_Country="All",D2248=sel_Country),OR(sel_Channel="All",E2248=sel_Channel),OR(sel_Customer="All",F2248=sel_Customer),OR(sel_Category="All",G2248=sel_Category),AND(S2248&gt;=m_From,S2248&lt;=m_To)),1,0)</f>
        <v/>
      </c>
      <c r="AA2248" s="36">
        <f>IF(AND(OR(sel_Region="All",C2248=sel_Region),OR(sel_Country="All",D2248=sel_Country),OR(sel_Channel="All",E2248=sel_Channel),OR(sel_Customer="All",F2248=sel_Customer),OR(sel_Category="All",G2248=sel_Category),OR(sel_Product="All",H2248=sel_Product)),1,0)</f>
        <v/>
      </c>
    </row>
    <row r="2249">
      <c r="A2249" s="36" t="inlineStr">
        <is>
          <t>04809</t>
        </is>
      </c>
      <c r="B2249" s="44" t="n">
        <v>46327</v>
      </c>
      <c r="C2249" s="36" t="inlineStr">
        <is>
          <t>Central Europe</t>
        </is>
      </c>
      <c r="D2249" s="36" t="inlineStr">
        <is>
          <t>Switzerland</t>
        </is>
      </c>
      <c r="E2249" s="36" t="inlineStr">
        <is>
          <t>Online Store</t>
        </is>
      </c>
      <c r="F2249" s="36" t="inlineStr">
        <is>
          <t>New</t>
        </is>
      </c>
      <c r="G2249" s="36" t="inlineStr">
        <is>
          <t>Travel</t>
        </is>
      </c>
      <c r="H2249" s="36" t="inlineStr">
        <is>
          <t>Insulated Bottle</t>
        </is>
      </c>
      <c r="I2249" s="36" t="n">
        <v>1</v>
      </c>
      <c r="J2249" s="39" t="n">
        <v>36.47</v>
      </c>
      <c r="K2249" s="45" t="n">
        <v>0.05</v>
      </c>
      <c r="L2249" s="39" t="n">
        <v>13.88</v>
      </c>
      <c r="M2249" s="39">
        <f>I2249*J2249*(1-K2249)</f>
        <v/>
      </c>
      <c r="N2249" s="39">
        <f>I2249*L2249</f>
        <v/>
      </c>
      <c r="O2249" s="39">
        <f>M2249-N2249</f>
        <v/>
      </c>
      <c r="P2249" s="38">
        <f>IF(M2249=0,0,O2249/M2249)</f>
        <v/>
      </c>
      <c r="Q2249" s="36">
        <f>YEAR(B2249)</f>
        <v/>
      </c>
      <c r="R2249" s="36">
        <f>"Q"&amp;ROUNDUP(MONTH(B2249)/3,0)</f>
        <v/>
      </c>
      <c r="S2249" s="36">
        <f>MONTH(B2249)</f>
        <v/>
      </c>
      <c r="T2249" s="36">
        <f>TEXT(B2249,"mmm")</f>
        <v/>
      </c>
      <c r="U2249" s="36">
        <f>IF(AND(OR(sel_Region="All",C2249=sel_Region),OR(sel_Country="All",D2249=sel_Country),OR(sel_Channel="All",E2249=sel_Channel),OR(sel_Customer="All",F2249=sel_Customer),OR(sel_Category="All",G2249=sel_Category),OR(sel_Product="All",H2249=sel_Product),AND(S2249&gt;=m_From,S2249&lt;=m_To)),1,0)</f>
        <v/>
      </c>
      <c r="V2249" s="36">
        <f>IF(AND(OR(sel_Region="All",C2249=sel_Region),OR(sel_Channel="All",E2249=sel_Channel),OR(sel_Customer="All",F2249=sel_Customer),OR(sel_Category="All",G2249=sel_Category),OR(sel_Product="All",H2249=sel_Product),AND(S2249&gt;=m_From,S2249&lt;=m_To)),1,0)</f>
        <v/>
      </c>
      <c r="W2249" s="36">
        <f>IF(AND(OR(sel_Region="All",C2249=sel_Region),OR(sel_Country="All",D2249=sel_Country),OR(sel_Customer="All",F2249=sel_Customer),OR(sel_Category="All",G2249=sel_Category),OR(sel_Product="All",H2249=sel_Product),AND(S2249&gt;=m_From,S2249&lt;=m_To)),1,0)</f>
        <v/>
      </c>
      <c r="X2249" s="36">
        <f>IF(AND(OR(sel_Region="All",C2249=sel_Region),OR(sel_Country="All",D2249=sel_Country),OR(sel_Channel="All",E2249=sel_Channel),OR(sel_Category="All",G2249=sel_Category),OR(sel_Product="All",H2249=sel_Product),AND(S2249&gt;=m_From,S2249&lt;=m_To)),1,0)</f>
        <v/>
      </c>
      <c r="Y2249" s="36">
        <f>IF(AND(OR(sel_Region="All",C2249=sel_Region),OR(sel_Country="All",D2249=sel_Country),OR(sel_Channel="All",E2249=sel_Channel),OR(sel_Customer="All",F2249=sel_Customer),OR(sel_Product="All",H2249=sel_Product),AND(S2249&gt;=m_From,S2249&lt;=m_To)),1,0)</f>
        <v/>
      </c>
      <c r="Z2249" s="36">
        <f>IF(AND(OR(sel_Region="All",C2249=sel_Region),OR(sel_Country="All",D2249=sel_Country),OR(sel_Channel="All",E2249=sel_Channel),OR(sel_Customer="All",F2249=sel_Customer),OR(sel_Category="All",G2249=sel_Category),AND(S2249&gt;=m_From,S2249&lt;=m_To)),1,0)</f>
        <v/>
      </c>
      <c r="AA2249" s="36">
        <f>IF(AND(OR(sel_Region="All",C2249=sel_Region),OR(sel_Country="All",D2249=sel_Country),OR(sel_Channel="All",E2249=sel_Channel),OR(sel_Customer="All",F2249=sel_Customer),OR(sel_Category="All",G2249=sel_Category),OR(sel_Product="All",H2249=sel_Product)),1,0)</f>
        <v/>
      </c>
    </row>
    <row r="2250">
      <c r="A2250" s="36" t="inlineStr">
        <is>
          <t>04849</t>
        </is>
      </c>
      <c r="B2250" s="44" t="n">
        <v>46327</v>
      </c>
      <c r="C2250" s="36" t="inlineStr">
        <is>
          <t>Southern Europe</t>
        </is>
      </c>
      <c r="D2250" s="36" t="inlineStr">
        <is>
          <t>Spain</t>
        </is>
      </c>
      <c r="E2250" s="36" t="inlineStr">
        <is>
          <t>Online Store</t>
        </is>
      </c>
      <c r="F2250" s="36" t="inlineStr">
        <is>
          <t>New</t>
        </is>
      </c>
      <c r="G2250" s="36" t="inlineStr">
        <is>
          <t>Travel</t>
        </is>
      </c>
      <c r="H2250" s="36" t="inlineStr">
        <is>
          <t>Insulated Bottle</t>
        </is>
      </c>
      <c r="I2250" s="36" t="n">
        <v>4</v>
      </c>
      <c r="J2250" s="39" t="n">
        <v>35.69</v>
      </c>
      <c r="K2250" s="45" t="n">
        <v>0.15</v>
      </c>
      <c r="L2250" s="39" t="n">
        <v>13.52</v>
      </c>
      <c r="M2250" s="39">
        <f>I2250*J2250*(1-K2250)</f>
        <v/>
      </c>
      <c r="N2250" s="39">
        <f>I2250*L2250</f>
        <v/>
      </c>
      <c r="O2250" s="39">
        <f>M2250-N2250</f>
        <v/>
      </c>
      <c r="P2250" s="38">
        <f>IF(M2250=0,0,O2250/M2250)</f>
        <v/>
      </c>
      <c r="Q2250" s="36">
        <f>YEAR(B2250)</f>
        <v/>
      </c>
      <c r="R2250" s="36">
        <f>"Q"&amp;ROUNDUP(MONTH(B2250)/3,0)</f>
        <v/>
      </c>
      <c r="S2250" s="36">
        <f>MONTH(B2250)</f>
        <v/>
      </c>
      <c r="T2250" s="36">
        <f>TEXT(B2250,"mmm")</f>
        <v/>
      </c>
      <c r="U2250" s="36">
        <f>IF(AND(OR(sel_Region="All",C2250=sel_Region),OR(sel_Country="All",D2250=sel_Country),OR(sel_Channel="All",E2250=sel_Channel),OR(sel_Customer="All",F2250=sel_Customer),OR(sel_Category="All",G2250=sel_Category),OR(sel_Product="All",H2250=sel_Product),AND(S2250&gt;=m_From,S2250&lt;=m_To)),1,0)</f>
        <v/>
      </c>
      <c r="V2250" s="36">
        <f>IF(AND(OR(sel_Region="All",C2250=sel_Region),OR(sel_Channel="All",E2250=sel_Channel),OR(sel_Customer="All",F2250=sel_Customer),OR(sel_Category="All",G2250=sel_Category),OR(sel_Product="All",H2250=sel_Product),AND(S2250&gt;=m_From,S2250&lt;=m_To)),1,0)</f>
        <v/>
      </c>
      <c r="W2250" s="36">
        <f>IF(AND(OR(sel_Region="All",C2250=sel_Region),OR(sel_Country="All",D2250=sel_Country),OR(sel_Customer="All",F2250=sel_Customer),OR(sel_Category="All",G2250=sel_Category),OR(sel_Product="All",H2250=sel_Product),AND(S2250&gt;=m_From,S2250&lt;=m_To)),1,0)</f>
        <v/>
      </c>
      <c r="X2250" s="36">
        <f>IF(AND(OR(sel_Region="All",C2250=sel_Region),OR(sel_Country="All",D2250=sel_Country),OR(sel_Channel="All",E2250=sel_Channel),OR(sel_Category="All",G2250=sel_Category),OR(sel_Product="All",H2250=sel_Product),AND(S2250&gt;=m_From,S2250&lt;=m_To)),1,0)</f>
        <v/>
      </c>
      <c r="Y2250" s="36">
        <f>IF(AND(OR(sel_Region="All",C2250=sel_Region),OR(sel_Country="All",D2250=sel_Country),OR(sel_Channel="All",E2250=sel_Channel),OR(sel_Customer="All",F2250=sel_Customer),OR(sel_Product="All",H2250=sel_Product),AND(S2250&gt;=m_From,S2250&lt;=m_To)),1,0)</f>
        <v/>
      </c>
      <c r="Z2250" s="36">
        <f>IF(AND(OR(sel_Region="All",C2250=sel_Region),OR(sel_Country="All",D2250=sel_Country),OR(sel_Channel="All",E2250=sel_Channel),OR(sel_Customer="All",F2250=sel_Customer),OR(sel_Category="All",G2250=sel_Category),AND(S2250&gt;=m_From,S2250&lt;=m_To)),1,0)</f>
        <v/>
      </c>
      <c r="AA2250" s="36">
        <f>IF(AND(OR(sel_Region="All",C2250=sel_Region),OR(sel_Country="All",D2250=sel_Country),OR(sel_Channel="All",E2250=sel_Channel),OR(sel_Customer="All",F2250=sel_Customer),OR(sel_Category="All",G2250=sel_Category),OR(sel_Product="All",H2250=sel_Product)),1,0)</f>
        <v/>
      </c>
    </row>
    <row r="2251">
      <c r="A2251" s="36" t="inlineStr">
        <is>
          <t>00436</t>
        </is>
      </c>
      <c r="B2251" s="44" t="n">
        <v>46328</v>
      </c>
      <c r="C2251" s="36" t="inlineStr">
        <is>
          <t>Northern Europe</t>
        </is>
      </c>
      <c r="D2251" s="36" t="inlineStr">
        <is>
          <t>Finland</t>
        </is>
      </c>
      <c r="E2251" s="36" t="inlineStr">
        <is>
          <t>Online Store</t>
        </is>
      </c>
      <c r="F2251" s="36" t="inlineStr">
        <is>
          <t>New</t>
        </is>
      </c>
      <c r="G2251" s="36" t="inlineStr">
        <is>
          <t>Travel</t>
        </is>
      </c>
      <c r="H2251" s="36" t="inlineStr">
        <is>
          <t>Insulated Bottle</t>
        </is>
      </c>
      <c r="I2251" s="36" t="n">
        <v>2</v>
      </c>
      <c r="J2251" s="39" t="n">
        <v>35.34</v>
      </c>
      <c r="K2251" s="45" t="n">
        <v>0.1</v>
      </c>
      <c r="L2251" s="39" t="n">
        <v>13.82</v>
      </c>
      <c r="M2251" s="39">
        <f>I2251*J2251*(1-K2251)</f>
        <v/>
      </c>
      <c r="N2251" s="39">
        <f>I2251*L2251</f>
        <v/>
      </c>
      <c r="O2251" s="39">
        <f>M2251-N2251</f>
        <v/>
      </c>
      <c r="P2251" s="38">
        <f>IF(M2251=0,0,O2251/M2251)</f>
        <v/>
      </c>
      <c r="Q2251" s="36">
        <f>YEAR(B2251)</f>
        <v/>
      </c>
      <c r="R2251" s="36">
        <f>"Q"&amp;ROUNDUP(MONTH(B2251)/3,0)</f>
        <v/>
      </c>
      <c r="S2251" s="36">
        <f>MONTH(B2251)</f>
        <v/>
      </c>
      <c r="T2251" s="36">
        <f>TEXT(B2251,"mmm")</f>
        <v/>
      </c>
      <c r="U2251" s="36">
        <f>IF(AND(OR(sel_Region="All",C2251=sel_Region),OR(sel_Country="All",D2251=sel_Country),OR(sel_Channel="All",E2251=sel_Channel),OR(sel_Customer="All",F2251=sel_Customer),OR(sel_Category="All",G2251=sel_Category),OR(sel_Product="All",H2251=sel_Product),AND(S2251&gt;=m_From,S2251&lt;=m_To)),1,0)</f>
        <v/>
      </c>
      <c r="V2251" s="36">
        <f>IF(AND(OR(sel_Region="All",C2251=sel_Region),OR(sel_Channel="All",E2251=sel_Channel),OR(sel_Customer="All",F2251=sel_Customer),OR(sel_Category="All",G2251=sel_Category),OR(sel_Product="All",H2251=sel_Product),AND(S2251&gt;=m_From,S2251&lt;=m_To)),1,0)</f>
        <v/>
      </c>
      <c r="W2251" s="36">
        <f>IF(AND(OR(sel_Region="All",C2251=sel_Region),OR(sel_Country="All",D2251=sel_Country),OR(sel_Customer="All",F2251=sel_Customer),OR(sel_Category="All",G2251=sel_Category),OR(sel_Product="All",H2251=sel_Product),AND(S2251&gt;=m_From,S2251&lt;=m_To)),1,0)</f>
        <v/>
      </c>
      <c r="X2251" s="36">
        <f>IF(AND(OR(sel_Region="All",C2251=sel_Region),OR(sel_Country="All",D2251=sel_Country),OR(sel_Channel="All",E2251=sel_Channel),OR(sel_Category="All",G2251=sel_Category),OR(sel_Product="All",H2251=sel_Product),AND(S2251&gt;=m_From,S2251&lt;=m_To)),1,0)</f>
        <v/>
      </c>
      <c r="Y2251" s="36">
        <f>IF(AND(OR(sel_Region="All",C2251=sel_Region),OR(sel_Country="All",D2251=sel_Country),OR(sel_Channel="All",E2251=sel_Channel),OR(sel_Customer="All",F2251=sel_Customer),OR(sel_Product="All",H2251=sel_Product),AND(S2251&gt;=m_From,S2251&lt;=m_To)),1,0)</f>
        <v/>
      </c>
      <c r="Z2251" s="36">
        <f>IF(AND(OR(sel_Region="All",C2251=sel_Region),OR(sel_Country="All",D2251=sel_Country),OR(sel_Channel="All",E2251=sel_Channel),OR(sel_Customer="All",F2251=sel_Customer),OR(sel_Category="All",G2251=sel_Category),AND(S2251&gt;=m_From,S2251&lt;=m_To)),1,0)</f>
        <v/>
      </c>
      <c r="AA2251" s="36">
        <f>IF(AND(OR(sel_Region="All",C2251=sel_Region),OR(sel_Country="All",D2251=sel_Country),OR(sel_Channel="All",E2251=sel_Channel),OR(sel_Customer="All",F2251=sel_Customer),OR(sel_Category="All",G2251=sel_Category),OR(sel_Product="All",H2251=sel_Product)),1,0)</f>
        <v/>
      </c>
    </row>
    <row r="2252">
      <c r="A2252" s="36" t="inlineStr">
        <is>
          <t>00879</t>
        </is>
      </c>
      <c r="B2252" s="44" t="n">
        <v>46328</v>
      </c>
      <c r="C2252" s="36" t="inlineStr">
        <is>
          <t>Northern Europe</t>
        </is>
      </c>
      <c r="D2252" s="36" t="inlineStr">
        <is>
          <t>Finland</t>
        </is>
      </c>
      <c r="E2252" s="36" t="inlineStr">
        <is>
          <t>Online Store</t>
        </is>
      </c>
      <c r="F2252" s="36" t="inlineStr">
        <is>
          <t>New</t>
        </is>
      </c>
      <c r="G2252" s="36" t="inlineStr">
        <is>
          <t>Travel</t>
        </is>
      </c>
      <c r="H2252" s="36" t="inlineStr">
        <is>
          <t>Packing Cube Set</t>
        </is>
      </c>
      <c r="I2252" s="36" t="n">
        <v>4</v>
      </c>
      <c r="J2252" s="39" t="n">
        <v>46.8</v>
      </c>
      <c r="K2252" s="45" t="n">
        <v>0.05</v>
      </c>
      <c r="L2252" s="39" t="n">
        <v>18.52</v>
      </c>
      <c r="M2252" s="39">
        <f>I2252*J2252*(1-K2252)</f>
        <v/>
      </c>
      <c r="N2252" s="39">
        <f>I2252*L2252</f>
        <v/>
      </c>
      <c r="O2252" s="39">
        <f>M2252-N2252</f>
        <v/>
      </c>
      <c r="P2252" s="38">
        <f>IF(M2252=0,0,O2252/M2252)</f>
        <v/>
      </c>
      <c r="Q2252" s="36">
        <f>YEAR(B2252)</f>
        <v/>
      </c>
      <c r="R2252" s="36">
        <f>"Q"&amp;ROUNDUP(MONTH(B2252)/3,0)</f>
        <v/>
      </c>
      <c r="S2252" s="36">
        <f>MONTH(B2252)</f>
        <v/>
      </c>
      <c r="T2252" s="36">
        <f>TEXT(B2252,"mmm")</f>
        <v/>
      </c>
      <c r="U2252" s="36">
        <f>IF(AND(OR(sel_Region="All",C2252=sel_Region),OR(sel_Country="All",D2252=sel_Country),OR(sel_Channel="All",E2252=sel_Channel),OR(sel_Customer="All",F2252=sel_Customer),OR(sel_Category="All",G2252=sel_Category),OR(sel_Product="All",H2252=sel_Product),AND(S2252&gt;=m_From,S2252&lt;=m_To)),1,0)</f>
        <v/>
      </c>
      <c r="V2252" s="36">
        <f>IF(AND(OR(sel_Region="All",C2252=sel_Region),OR(sel_Channel="All",E2252=sel_Channel),OR(sel_Customer="All",F2252=sel_Customer),OR(sel_Category="All",G2252=sel_Category),OR(sel_Product="All",H2252=sel_Product),AND(S2252&gt;=m_From,S2252&lt;=m_To)),1,0)</f>
        <v/>
      </c>
      <c r="W2252" s="36">
        <f>IF(AND(OR(sel_Region="All",C2252=sel_Region),OR(sel_Country="All",D2252=sel_Country),OR(sel_Customer="All",F2252=sel_Customer),OR(sel_Category="All",G2252=sel_Category),OR(sel_Product="All",H2252=sel_Product),AND(S2252&gt;=m_From,S2252&lt;=m_To)),1,0)</f>
        <v/>
      </c>
      <c r="X2252" s="36">
        <f>IF(AND(OR(sel_Region="All",C2252=sel_Region),OR(sel_Country="All",D2252=sel_Country),OR(sel_Channel="All",E2252=sel_Channel),OR(sel_Category="All",G2252=sel_Category),OR(sel_Product="All",H2252=sel_Product),AND(S2252&gt;=m_From,S2252&lt;=m_To)),1,0)</f>
        <v/>
      </c>
      <c r="Y2252" s="36">
        <f>IF(AND(OR(sel_Region="All",C2252=sel_Region),OR(sel_Country="All",D2252=sel_Country),OR(sel_Channel="All",E2252=sel_Channel),OR(sel_Customer="All",F2252=sel_Customer),OR(sel_Product="All",H2252=sel_Product),AND(S2252&gt;=m_From,S2252&lt;=m_To)),1,0)</f>
        <v/>
      </c>
      <c r="Z2252" s="36">
        <f>IF(AND(OR(sel_Region="All",C2252=sel_Region),OR(sel_Country="All",D2252=sel_Country),OR(sel_Channel="All",E2252=sel_Channel),OR(sel_Customer="All",F2252=sel_Customer),OR(sel_Category="All",G2252=sel_Category),AND(S2252&gt;=m_From,S2252&lt;=m_To)),1,0)</f>
        <v/>
      </c>
      <c r="AA2252" s="36">
        <f>IF(AND(OR(sel_Region="All",C2252=sel_Region),OR(sel_Country="All",D2252=sel_Country),OR(sel_Channel="All",E2252=sel_Channel),OR(sel_Customer="All",F2252=sel_Customer),OR(sel_Category="All",G2252=sel_Category),OR(sel_Product="All",H2252=sel_Product)),1,0)</f>
        <v/>
      </c>
    </row>
    <row r="2253">
      <c r="A2253" s="36" t="inlineStr">
        <is>
          <t>00955</t>
        </is>
      </c>
      <c r="B2253" s="44" t="n">
        <v>46328</v>
      </c>
      <c r="C2253" s="36" t="inlineStr">
        <is>
          <t>Western Europe</t>
        </is>
      </c>
      <c r="D2253" s="36" t="inlineStr">
        <is>
          <t>France</t>
        </is>
      </c>
      <c r="E2253" s="36" t="inlineStr">
        <is>
          <t>Retail Partners</t>
        </is>
      </c>
      <c r="F2253" s="36" t="inlineStr">
        <is>
          <t>New</t>
        </is>
      </c>
      <c r="G2253" s="36" t="inlineStr">
        <is>
          <t>Camping</t>
        </is>
      </c>
      <c r="H2253" s="36" t="inlineStr">
        <is>
          <t>Trail Tent 2P</t>
        </is>
      </c>
      <c r="I2253" s="36" t="n">
        <v>1</v>
      </c>
      <c r="J2253" s="39" t="n">
        <v>198.34</v>
      </c>
      <c r="K2253" s="45" t="n">
        <v>0.05</v>
      </c>
      <c r="L2253" s="39" t="n">
        <v>103.2</v>
      </c>
      <c r="M2253" s="39">
        <f>I2253*J2253*(1-K2253)</f>
        <v/>
      </c>
      <c r="N2253" s="39">
        <f>I2253*L2253</f>
        <v/>
      </c>
      <c r="O2253" s="39">
        <f>M2253-N2253</f>
        <v/>
      </c>
      <c r="P2253" s="38">
        <f>IF(M2253=0,0,O2253/M2253)</f>
        <v/>
      </c>
      <c r="Q2253" s="36">
        <f>YEAR(B2253)</f>
        <v/>
      </c>
      <c r="R2253" s="36">
        <f>"Q"&amp;ROUNDUP(MONTH(B2253)/3,0)</f>
        <v/>
      </c>
      <c r="S2253" s="36">
        <f>MONTH(B2253)</f>
        <v/>
      </c>
      <c r="T2253" s="36">
        <f>TEXT(B2253,"mmm")</f>
        <v/>
      </c>
      <c r="U2253" s="36">
        <f>IF(AND(OR(sel_Region="All",C2253=sel_Region),OR(sel_Country="All",D2253=sel_Country),OR(sel_Channel="All",E2253=sel_Channel),OR(sel_Customer="All",F2253=sel_Customer),OR(sel_Category="All",G2253=sel_Category),OR(sel_Product="All",H2253=sel_Product),AND(S2253&gt;=m_From,S2253&lt;=m_To)),1,0)</f>
        <v/>
      </c>
      <c r="V2253" s="36">
        <f>IF(AND(OR(sel_Region="All",C2253=sel_Region),OR(sel_Channel="All",E2253=sel_Channel),OR(sel_Customer="All",F2253=sel_Customer),OR(sel_Category="All",G2253=sel_Category),OR(sel_Product="All",H2253=sel_Product),AND(S2253&gt;=m_From,S2253&lt;=m_To)),1,0)</f>
        <v/>
      </c>
      <c r="W2253" s="36">
        <f>IF(AND(OR(sel_Region="All",C2253=sel_Region),OR(sel_Country="All",D2253=sel_Country),OR(sel_Customer="All",F2253=sel_Customer),OR(sel_Category="All",G2253=sel_Category),OR(sel_Product="All",H2253=sel_Product),AND(S2253&gt;=m_From,S2253&lt;=m_To)),1,0)</f>
        <v/>
      </c>
      <c r="X2253" s="36">
        <f>IF(AND(OR(sel_Region="All",C2253=sel_Region),OR(sel_Country="All",D2253=sel_Country),OR(sel_Channel="All",E2253=sel_Channel),OR(sel_Category="All",G2253=sel_Category),OR(sel_Product="All",H2253=sel_Product),AND(S2253&gt;=m_From,S2253&lt;=m_To)),1,0)</f>
        <v/>
      </c>
      <c r="Y2253" s="36">
        <f>IF(AND(OR(sel_Region="All",C2253=sel_Region),OR(sel_Country="All",D2253=sel_Country),OR(sel_Channel="All",E2253=sel_Channel),OR(sel_Customer="All",F2253=sel_Customer),OR(sel_Product="All",H2253=sel_Product),AND(S2253&gt;=m_From,S2253&lt;=m_To)),1,0)</f>
        <v/>
      </c>
      <c r="Z2253" s="36">
        <f>IF(AND(OR(sel_Region="All",C2253=sel_Region),OR(sel_Country="All",D2253=sel_Country),OR(sel_Channel="All",E2253=sel_Channel),OR(sel_Customer="All",F2253=sel_Customer),OR(sel_Category="All",G2253=sel_Category),AND(S2253&gt;=m_From,S2253&lt;=m_To)),1,0)</f>
        <v/>
      </c>
      <c r="AA2253" s="36">
        <f>IF(AND(OR(sel_Region="All",C2253=sel_Region),OR(sel_Country="All",D2253=sel_Country),OR(sel_Channel="All",E2253=sel_Channel),OR(sel_Customer="All",F2253=sel_Customer),OR(sel_Category="All",G2253=sel_Category),OR(sel_Product="All",H2253=sel_Product)),1,0)</f>
        <v/>
      </c>
    </row>
    <row r="2254">
      <c r="A2254" s="36" t="inlineStr">
        <is>
          <t>01068</t>
        </is>
      </c>
      <c r="B2254" s="44" t="n">
        <v>46328</v>
      </c>
      <c r="C2254" s="36" t="inlineStr">
        <is>
          <t>Central Europe</t>
        </is>
      </c>
      <c r="D2254" s="36" t="inlineStr">
        <is>
          <t>Austria</t>
        </is>
      </c>
      <c r="E2254" s="36" t="inlineStr">
        <is>
          <t>Online Store</t>
        </is>
      </c>
      <c r="F2254" s="36" t="inlineStr">
        <is>
          <t>Returning</t>
        </is>
      </c>
      <c r="G2254" s="36" t="inlineStr">
        <is>
          <t>Fitness</t>
        </is>
      </c>
      <c r="H2254" s="36" t="inlineStr">
        <is>
          <t>Weighted Vest</t>
        </is>
      </c>
      <c r="I2254" s="36" t="n">
        <v>5</v>
      </c>
      <c r="J2254" s="39" t="n">
        <v>122.26</v>
      </c>
      <c r="K2254" s="45" t="n">
        <v>0.1</v>
      </c>
      <c r="L2254" s="39" t="n">
        <v>68.3</v>
      </c>
      <c r="M2254" s="39">
        <f>I2254*J2254*(1-K2254)</f>
        <v/>
      </c>
      <c r="N2254" s="39">
        <f>I2254*L2254</f>
        <v/>
      </c>
      <c r="O2254" s="39">
        <f>M2254-N2254</f>
        <v/>
      </c>
      <c r="P2254" s="38">
        <f>IF(M2254=0,0,O2254/M2254)</f>
        <v/>
      </c>
      <c r="Q2254" s="36">
        <f>YEAR(B2254)</f>
        <v/>
      </c>
      <c r="R2254" s="36">
        <f>"Q"&amp;ROUNDUP(MONTH(B2254)/3,0)</f>
        <v/>
      </c>
      <c r="S2254" s="36">
        <f>MONTH(B2254)</f>
        <v/>
      </c>
      <c r="T2254" s="36">
        <f>TEXT(B2254,"mmm")</f>
        <v/>
      </c>
      <c r="U2254" s="36">
        <f>IF(AND(OR(sel_Region="All",C2254=sel_Region),OR(sel_Country="All",D2254=sel_Country),OR(sel_Channel="All",E2254=sel_Channel),OR(sel_Customer="All",F2254=sel_Customer),OR(sel_Category="All",G2254=sel_Category),OR(sel_Product="All",H2254=sel_Product),AND(S2254&gt;=m_From,S2254&lt;=m_To)),1,0)</f>
        <v/>
      </c>
      <c r="V2254" s="36">
        <f>IF(AND(OR(sel_Region="All",C2254=sel_Region),OR(sel_Channel="All",E2254=sel_Channel),OR(sel_Customer="All",F2254=sel_Customer),OR(sel_Category="All",G2254=sel_Category),OR(sel_Product="All",H2254=sel_Product),AND(S2254&gt;=m_From,S2254&lt;=m_To)),1,0)</f>
        <v/>
      </c>
      <c r="W2254" s="36">
        <f>IF(AND(OR(sel_Region="All",C2254=sel_Region),OR(sel_Country="All",D2254=sel_Country),OR(sel_Customer="All",F2254=sel_Customer),OR(sel_Category="All",G2254=sel_Category),OR(sel_Product="All",H2254=sel_Product),AND(S2254&gt;=m_From,S2254&lt;=m_To)),1,0)</f>
        <v/>
      </c>
      <c r="X2254" s="36">
        <f>IF(AND(OR(sel_Region="All",C2254=sel_Region),OR(sel_Country="All",D2254=sel_Country),OR(sel_Channel="All",E2254=sel_Channel),OR(sel_Category="All",G2254=sel_Category),OR(sel_Product="All",H2254=sel_Product),AND(S2254&gt;=m_From,S2254&lt;=m_To)),1,0)</f>
        <v/>
      </c>
      <c r="Y2254" s="36">
        <f>IF(AND(OR(sel_Region="All",C2254=sel_Region),OR(sel_Country="All",D2254=sel_Country),OR(sel_Channel="All",E2254=sel_Channel),OR(sel_Customer="All",F2254=sel_Customer),OR(sel_Product="All",H2254=sel_Product),AND(S2254&gt;=m_From,S2254&lt;=m_To)),1,0)</f>
        <v/>
      </c>
      <c r="Z2254" s="36">
        <f>IF(AND(OR(sel_Region="All",C2254=sel_Region),OR(sel_Country="All",D2254=sel_Country),OR(sel_Channel="All",E2254=sel_Channel),OR(sel_Customer="All",F2254=sel_Customer),OR(sel_Category="All",G2254=sel_Category),AND(S2254&gt;=m_From,S2254&lt;=m_To)),1,0)</f>
        <v/>
      </c>
      <c r="AA2254" s="36">
        <f>IF(AND(OR(sel_Region="All",C2254=sel_Region),OR(sel_Country="All",D2254=sel_Country),OR(sel_Channel="All",E2254=sel_Channel),OR(sel_Customer="All",F2254=sel_Customer),OR(sel_Category="All",G2254=sel_Category),OR(sel_Product="All",H2254=sel_Product)),1,0)</f>
        <v/>
      </c>
    </row>
    <row r="2255">
      <c r="A2255" s="36" t="inlineStr">
        <is>
          <t>01733</t>
        </is>
      </c>
      <c r="B2255" s="44" t="n">
        <v>46328</v>
      </c>
      <c r="C2255" s="36" t="inlineStr">
        <is>
          <t>Southern Europe</t>
        </is>
      </c>
      <c r="D2255" s="36" t="inlineStr">
        <is>
          <t>Portugal</t>
        </is>
      </c>
      <c r="E2255" s="36" t="inlineStr">
        <is>
          <t>Corporate</t>
        </is>
      </c>
      <c r="F2255" s="36" t="inlineStr">
        <is>
          <t>Returning</t>
        </is>
      </c>
      <c r="G2255" s="36" t="inlineStr">
        <is>
          <t>Hiking</t>
        </is>
      </c>
      <c r="H2255" s="36" t="inlineStr">
        <is>
          <t>Trekking Poles</t>
        </is>
      </c>
      <c r="I2255" s="36" t="n">
        <v>3</v>
      </c>
      <c r="J2255" s="39" t="n">
        <v>71.12</v>
      </c>
      <c r="K2255" s="45" t="n">
        <v>0.15</v>
      </c>
      <c r="L2255" s="39" t="n">
        <v>33.09</v>
      </c>
      <c r="M2255" s="39">
        <f>I2255*J2255*(1-K2255)</f>
        <v/>
      </c>
      <c r="N2255" s="39">
        <f>I2255*L2255</f>
        <v/>
      </c>
      <c r="O2255" s="39">
        <f>M2255-N2255</f>
        <v/>
      </c>
      <c r="P2255" s="38">
        <f>IF(M2255=0,0,O2255/M2255)</f>
        <v/>
      </c>
      <c r="Q2255" s="36">
        <f>YEAR(B2255)</f>
        <v/>
      </c>
      <c r="R2255" s="36">
        <f>"Q"&amp;ROUNDUP(MONTH(B2255)/3,0)</f>
        <v/>
      </c>
      <c r="S2255" s="36">
        <f>MONTH(B2255)</f>
        <v/>
      </c>
      <c r="T2255" s="36">
        <f>TEXT(B2255,"mmm")</f>
        <v/>
      </c>
      <c r="U2255" s="36">
        <f>IF(AND(OR(sel_Region="All",C2255=sel_Region),OR(sel_Country="All",D2255=sel_Country),OR(sel_Channel="All",E2255=sel_Channel),OR(sel_Customer="All",F2255=sel_Customer),OR(sel_Category="All",G2255=sel_Category),OR(sel_Product="All",H2255=sel_Product),AND(S2255&gt;=m_From,S2255&lt;=m_To)),1,0)</f>
        <v/>
      </c>
      <c r="V2255" s="36">
        <f>IF(AND(OR(sel_Region="All",C2255=sel_Region),OR(sel_Channel="All",E2255=sel_Channel),OR(sel_Customer="All",F2255=sel_Customer),OR(sel_Category="All",G2255=sel_Category),OR(sel_Product="All",H2255=sel_Product),AND(S2255&gt;=m_From,S2255&lt;=m_To)),1,0)</f>
        <v/>
      </c>
      <c r="W2255" s="36">
        <f>IF(AND(OR(sel_Region="All",C2255=sel_Region),OR(sel_Country="All",D2255=sel_Country),OR(sel_Customer="All",F2255=sel_Customer),OR(sel_Category="All",G2255=sel_Category),OR(sel_Product="All",H2255=sel_Product),AND(S2255&gt;=m_From,S2255&lt;=m_To)),1,0)</f>
        <v/>
      </c>
      <c r="X2255" s="36">
        <f>IF(AND(OR(sel_Region="All",C2255=sel_Region),OR(sel_Country="All",D2255=sel_Country),OR(sel_Channel="All",E2255=sel_Channel),OR(sel_Category="All",G2255=sel_Category),OR(sel_Product="All",H2255=sel_Product),AND(S2255&gt;=m_From,S2255&lt;=m_To)),1,0)</f>
        <v/>
      </c>
      <c r="Y2255" s="36">
        <f>IF(AND(OR(sel_Region="All",C2255=sel_Region),OR(sel_Country="All",D2255=sel_Country),OR(sel_Channel="All",E2255=sel_Channel),OR(sel_Customer="All",F2255=sel_Customer),OR(sel_Product="All",H2255=sel_Product),AND(S2255&gt;=m_From,S2255&lt;=m_To)),1,0)</f>
        <v/>
      </c>
      <c r="Z2255" s="36">
        <f>IF(AND(OR(sel_Region="All",C2255=sel_Region),OR(sel_Country="All",D2255=sel_Country),OR(sel_Channel="All",E2255=sel_Channel),OR(sel_Customer="All",F2255=sel_Customer),OR(sel_Category="All",G2255=sel_Category),AND(S2255&gt;=m_From,S2255&lt;=m_To)),1,0)</f>
        <v/>
      </c>
      <c r="AA2255" s="36">
        <f>IF(AND(OR(sel_Region="All",C2255=sel_Region),OR(sel_Country="All",D2255=sel_Country),OR(sel_Channel="All",E2255=sel_Channel),OR(sel_Customer="All",F2255=sel_Customer),OR(sel_Category="All",G2255=sel_Category),OR(sel_Product="All",H2255=sel_Product)),1,0)</f>
        <v/>
      </c>
    </row>
    <row r="2256">
      <c r="A2256" s="36" t="inlineStr">
        <is>
          <t>03270</t>
        </is>
      </c>
      <c r="B2256" s="44" t="n">
        <v>46328</v>
      </c>
      <c r="C2256" s="36" t="inlineStr">
        <is>
          <t>Central Europe</t>
        </is>
      </c>
      <c r="D2256" s="36" t="inlineStr">
        <is>
          <t>Germany</t>
        </is>
      </c>
      <c r="E2256" s="36" t="inlineStr">
        <is>
          <t>Retail Partners</t>
        </is>
      </c>
      <c r="F2256" s="36" t="inlineStr">
        <is>
          <t>Returning</t>
        </is>
      </c>
      <c r="G2256" s="36" t="inlineStr">
        <is>
          <t>Cycling</t>
        </is>
      </c>
      <c r="H2256" s="36" t="inlineStr">
        <is>
          <t>Commuter Helmet</t>
        </is>
      </c>
      <c r="I2256" s="36" t="n">
        <v>2</v>
      </c>
      <c r="J2256" s="39" t="n">
        <v>81.90000000000001</v>
      </c>
      <c r="K2256" s="45" t="n">
        <v>0.15</v>
      </c>
      <c r="L2256" s="39" t="n">
        <v>41.91</v>
      </c>
      <c r="M2256" s="39">
        <f>I2256*J2256*(1-K2256)</f>
        <v/>
      </c>
      <c r="N2256" s="39">
        <f>I2256*L2256</f>
        <v/>
      </c>
      <c r="O2256" s="39">
        <f>M2256-N2256</f>
        <v/>
      </c>
      <c r="P2256" s="38">
        <f>IF(M2256=0,0,O2256/M2256)</f>
        <v/>
      </c>
      <c r="Q2256" s="36">
        <f>YEAR(B2256)</f>
        <v/>
      </c>
      <c r="R2256" s="36">
        <f>"Q"&amp;ROUNDUP(MONTH(B2256)/3,0)</f>
        <v/>
      </c>
      <c r="S2256" s="36">
        <f>MONTH(B2256)</f>
        <v/>
      </c>
      <c r="T2256" s="36">
        <f>TEXT(B2256,"mmm")</f>
        <v/>
      </c>
      <c r="U2256" s="36">
        <f>IF(AND(OR(sel_Region="All",C2256=sel_Region),OR(sel_Country="All",D2256=sel_Country),OR(sel_Channel="All",E2256=sel_Channel),OR(sel_Customer="All",F2256=sel_Customer),OR(sel_Category="All",G2256=sel_Category),OR(sel_Product="All",H2256=sel_Product),AND(S2256&gt;=m_From,S2256&lt;=m_To)),1,0)</f>
        <v/>
      </c>
      <c r="V2256" s="36">
        <f>IF(AND(OR(sel_Region="All",C2256=sel_Region),OR(sel_Channel="All",E2256=sel_Channel),OR(sel_Customer="All",F2256=sel_Customer),OR(sel_Category="All",G2256=sel_Category),OR(sel_Product="All",H2256=sel_Product),AND(S2256&gt;=m_From,S2256&lt;=m_To)),1,0)</f>
        <v/>
      </c>
      <c r="W2256" s="36">
        <f>IF(AND(OR(sel_Region="All",C2256=sel_Region),OR(sel_Country="All",D2256=sel_Country),OR(sel_Customer="All",F2256=sel_Customer),OR(sel_Category="All",G2256=sel_Category),OR(sel_Product="All",H2256=sel_Product),AND(S2256&gt;=m_From,S2256&lt;=m_To)),1,0)</f>
        <v/>
      </c>
      <c r="X2256" s="36">
        <f>IF(AND(OR(sel_Region="All",C2256=sel_Region),OR(sel_Country="All",D2256=sel_Country),OR(sel_Channel="All",E2256=sel_Channel),OR(sel_Category="All",G2256=sel_Category),OR(sel_Product="All",H2256=sel_Product),AND(S2256&gt;=m_From,S2256&lt;=m_To)),1,0)</f>
        <v/>
      </c>
      <c r="Y2256" s="36">
        <f>IF(AND(OR(sel_Region="All",C2256=sel_Region),OR(sel_Country="All",D2256=sel_Country),OR(sel_Channel="All",E2256=sel_Channel),OR(sel_Customer="All",F2256=sel_Customer),OR(sel_Product="All",H2256=sel_Product),AND(S2256&gt;=m_From,S2256&lt;=m_To)),1,0)</f>
        <v/>
      </c>
      <c r="Z2256" s="36">
        <f>IF(AND(OR(sel_Region="All",C2256=sel_Region),OR(sel_Country="All",D2256=sel_Country),OR(sel_Channel="All",E2256=sel_Channel),OR(sel_Customer="All",F2256=sel_Customer),OR(sel_Category="All",G2256=sel_Category),AND(S2256&gt;=m_From,S2256&lt;=m_To)),1,0)</f>
        <v/>
      </c>
      <c r="AA2256" s="36">
        <f>IF(AND(OR(sel_Region="All",C2256=sel_Region),OR(sel_Country="All",D2256=sel_Country),OR(sel_Channel="All",E2256=sel_Channel),OR(sel_Customer="All",F2256=sel_Customer),OR(sel_Category="All",G2256=sel_Category),OR(sel_Product="All",H2256=sel_Product)),1,0)</f>
        <v/>
      </c>
    </row>
    <row r="2257">
      <c r="A2257" s="36" t="inlineStr">
        <is>
          <t>03484</t>
        </is>
      </c>
      <c r="B2257" s="44" t="n">
        <v>46328</v>
      </c>
      <c r="C2257" s="36" t="inlineStr">
        <is>
          <t>Northern Europe</t>
        </is>
      </c>
      <c r="D2257" s="36" t="inlineStr">
        <is>
          <t>Sweden</t>
        </is>
      </c>
      <c r="E2257" s="36" t="inlineStr">
        <is>
          <t>Marketplace</t>
        </is>
      </c>
      <c r="F2257" s="36" t="inlineStr">
        <is>
          <t>Returning</t>
        </is>
      </c>
      <c r="G2257" s="36" t="inlineStr">
        <is>
          <t>Travel</t>
        </is>
      </c>
      <c r="H2257" s="36" t="inlineStr">
        <is>
          <t>Travel Backpack 35L</t>
        </is>
      </c>
      <c r="I2257" s="36" t="n">
        <v>4</v>
      </c>
      <c r="J2257" s="39" t="n">
        <v>165.12</v>
      </c>
      <c r="K2257" s="45" t="n">
        <v>0.05</v>
      </c>
      <c r="L2257" s="39" t="n">
        <v>89.65000000000001</v>
      </c>
      <c r="M2257" s="39">
        <f>I2257*J2257*(1-K2257)</f>
        <v/>
      </c>
      <c r="N2257" s="39">
        <f>I2257*L2257</f>
        <v/>
      </c>
      <c r="O2257" s="39">
        <f>M2257-N2257</f>
        <v/>
      </c>
      <c r="P2257" s="38">
        <f>IF(M2257=0,0,O2257/M2257)</f>
        <v/>
      </c>
      <c r="Q2257" s="36">
        <f>YEAR(B2257)</f>
        <v/>
      </c>
      <c r="R2257" s="36">
        <f>"Q"&amp;ROUNDUP(MONTH(B2257)/3,0)</f>
        <v/>
      </c>
      <c r="S2257" s="36">
        <f>MONTH(B2257)</f>
        <v/>
      </c>
      <c r="T2257" s="36">
        <f>TEXT(B2257,"mmm")</f>
        <v/>
      </c>
      <c r="U2257" s="36">
        <f>IF(AND(OR(sel_Region="All",C2257=sel_Region),OR(sel_Country="All",D2257=sel_Country),OR(sel_Channel="All",E2257=sel_Channel),OR(sel_Customer="All",F2257=sel_Customer),OR(sel_Category="All",G2257=sel_Category),OR(sel_Product="All",H2257=sel_Product),AND(S2257&gt;=m_From,S2257&lt;=m_To)),1,0)</f>
        <v/>
      </c>
      <c r="V2257" s="36">
        <f>IF(AND(OR(sel_Region="All",C2257=sel_Region),OR(sel_Channel="All",E2257=sel_Channel),OR(sel_Customer="All",F2257=sel_Customer),OR(sel_Category="All",G2257=sel_Category),OR(sel_Product="All",H2257=sel_Product),AND(S2257&gt;=m_From,S2257&lt;=m_To)),1,0)</f>
        <v/>
      </c>
      <c r="W2257" s="36">
        <f>IF(AND(OR(sel_Region="All",C2257=sel_Region),OR(sel_Country="All",D2257=sel_Country),OR(sel_Customer="All",F2257=sel_Customer),OR(sel_Category="All",G2257=sel_Category),OR(sel_Product="All",H2257=sel_Product),AND(S2257&gt;=m_From,S2257&lt;=m_To)),1,0)</f>
        <v/>
      </c>
      <c r="X2257" s="36">
        <f>IF(AND(OR(sel_Region="All",C2257=sel_Region),OR(sel_Country="All",D2257=sel_Country),OR(sel_Channel="All",E2257=sel_Channel),OR(sel_Category="All",G2257=sel_Category),OR(sel_Product="All",H2257=sel_Product),AND(S2257&gt;=m_From,S2257&lt;=m_To)),1,0)</f>
        <v/>
      </c>
      <c r="Y2257" s="36">
        <f>IF(AND(OR(sel_Region="All",C2257=sel_Region),OR(sel_Country="All",D2257=sel_Country),OR(sel_Channel="All",E2257=sel_Channel),OR(sel_Customer="All",F2257=sel_Customer),OR(sel_Product="All",H2257=sel_Product),AND(S2257&gt;=m_From,S2257&lt;=m_To)),1,0)</f>
        <v/>
      </c>
      <c r="Z2257" s="36">
        <f>IF(AND(OR(sel_Region="All",C2257=sel_Region),OR(sel_Country="All",D2257=sel_Country),OR(sel_Channel="All",E2257=sel_Channel),OR(sel_Customer="All",F2257=sel_Customer),OR(sel_Category="All",G2257=sel_Category),AND(S2257&gt;=m_From,S2257&lt;=m_To)),1,0)</f>
        <v/>
      </c>
      <c r="AA2257" s="36">
        <f>IF(AND(OR(sel_Region="All",C2257=sel_Region),OR(sel_Country="All",D2257=sel_Country),OR(sel_Channel="All",E2257=sel_Channel),OR(sel_Customer="All",F2257=sel_Customer),OR(sel_Category="All",G2257=sel_Category),OR(sel_Product="All",H2257=sel_Product)),1,0)</f>
        <v/>
      </c>
    </row>
    <row r="2258">
      <c r="A2258" s="36" t="inlineStr">
        <is>
          <t>03608</t>
        </is>
      </c>
      <c r="B2258" s="44" t="n">
        <v>46328</v>
      </c>
      <c r="C2258" s="36" t="inlineStr">
        <is>
          <t>Western Europe</t>
        </is>
      </c>
      <c r="D2258" s="36" t="inlineStr">
        <is>
          <t>United Kingdom</t>
        </is>
      </c>
      <c r="E2258" s="36" t="inlineStr">
        <is>
          <t>Retail Partners</t>
        </is>
      </c>
      <c r="F2258" s="36" t="inlineStr">
        <is>
          <t>New</t>
        </is>
      </c>
      <c r="G2258" s="36" t="inlineStr">
        <is>
          <t>Hiking</t>
        </is>
      </c>
      <c r="H2258" s="36" t="inlineStr">
        <is>
          <t>Hiking Daypack 20L</t>
        </is>
      </c>
      <c r="I2258" s="36" t="n">
        <v>1</v>
      </c>
      <c r="J2258" s="39" t="n">
        <v>91.34999999999999</v>
      </c>
      <c r="K2258" s="45" t="n">
        <v>0</v>
      </c>
      <c r="L2258" s="39" t="n">
        <v>45.5</v>
      </c>
      <c r="M2258" s="39">
        <f>I2258*J2258*(1-K2258)</f>
        <v/>
      </c>
      <c r="N2258" s="39">
        <f>I2258*L2258</f>
        <v/>
      </c>
      <c r="O2258" s="39">
        <f>M2258-N2258</f>
        <v/>
      </c>
      <c r="P2258" s="38">
        <f>IF(M2258=0,0,O2258/M2258)</f>
        <v/>
      </c>
      <c r="Q2258" s="36">
        <f>YEAR(B2258)</f>
        <v/>
      </c>
      <c r="R2258" s="36">
        <f>"Q"&amp;ROUNDUP(MONTH(B2258)/3,0)</f>
        <v/>
      </c>
      <c r="S2258" s="36">
        <f>MONTH(B2258)</f>
        <v/>
      </c>
      <c r="T2258" s="36">
        <f>TEXT(B2258,"mmm")</f>
        <v/>
      </c>
      <c r="U2258" s="36">
        <f>IF(AND(OR(sel_Region="All",C2258=sel_Region),OR(sel_Country="All",D2258=sel_Country),OR(sel_Channel="All",E2258=sel_Channel),OR(sel_Customer="All",F2258=sel_Customer),OR(sel_Category="All",G2258=sel_Category),OR(sel_Product="All",H2258=sel_Product),AND(S2258&gt;=m_From,S2258&lt;=m_To)),1,0)</f>
        <v/>
      </c>
      <c r="V2258" s="36">
        <f>IF(AND(OR(sel_Region="All",C2258=sel_Region),OR(sel_Channel="All",E2258=sel_Channel),OR(sel_Customer="All",F2258=sel_Customer),OR(sel_Category="All",G2258=sel_Category),OR(sel_Product="All",H2258=sel_Product),AND(S2258&gt;=m_From,S2258&lt;=m_To)),1,0)</f>
        <v/>
      </c>
      <c r="W2258" s="36">
        <f>IF(AND(OR(sel_Region="All",C2258=sel_Region),OR(sel_Country="All",D2258=sel_Country),OR(sel_Customer="All",F2258=sel_Customer),OR(sel_Category="All",G2258=sel_Category),OR(sel_Product="All",H2258=sel_Product),AND(S2258&gt;=m_From,S2258&lt;=m_To)),1,0)</f>
        <v/>
      </c>
      <c r="X2258" s="36">
        <f>IF(AND(OR(sel_Region="All",C2258=sel_Region),OR(sel_Country="All",D2258=sel_Country),OR(sel_Channel="All",E2258=sel_Channel),OR(sel_Category="All",G2258=sel_Category),OR(sel_Product="All",H2258=sel_Product),AND(S2258&gt;=m_From,S2258&lt;=m_To)),1,0)</f>
        <v/>
      </c>
      <c r="Y2258" s="36">
        <f>IF(AND(OR(sel_Region="All",C2258=sel_Region),OR(sel_Country="All",D2258=sel_Country),OR(sel_Channel="All",E2258=sel_Channel),OR(sel_Customer="All",F2258=sel_Customer),OR(sel_Product="All",H2258=sel_Product),AND(S2258&gt;=m_From,S2258&lt;=m_To)),1,0)</f>
        <v/>
      </c>
      <c r="Z2258" s="36">
        <f>IF(AND(OR(sel_Region="All",C2258=sel_Region),OR(sel_Country="All",D2258=sel_Country),OR(sel_Channel="All",E2258=sel_Channel),OR(sel_Customer="All",F2258=sel_Customer),OR(sel_Category="All",G2258=sel_Category),AND(S2258&gt;=m_From,S2258&lt;=m_To)),1,0)</f>
        <v/>
      </c>
      <c r="AA2258" s="36">
        <f>IF(AND(OR(sel_Region="All",C2258=sel_Region),OR(sel_Country="All",D2258=sel_Country),OR(sel_Channel="All",E2258=sel_Channel),OR(sel_Customer="All",F2258=sel_Customer),OR(sel_Category="All",G2258=sel_Category),OR(sel_Product="All",H2258=sel_Product)),1,0)</f>
        <v/>
      </c>
    </row>
    <row r="2259">
      <c r="A2259" s="36" t="inlineStr">
        <is>
          <t>04036</t>
        </is>
      </c>
      <c r="B2259" s="44" t="n">
        <v>46328</v>
      </c>
      <c r="C2259" s="36" t="inlineStr">
        <is>
          <t>Northern Europe</t>
        </is>
      </c>
      <c r="D2259" s="36" t="inlineStr">
        <is>
          <t>Ireland</t>
        </is>
      </c>
      <c r="E2259" s="36" t="inlineStr">
        <is>
          <t>Online Store</t>
        </is>
      </c>
      <c r="F2259" s="36" t="inlineStr">
        <is>
          <t>Business</t>
        </is>
      </c>
      <c r="G2259" s="36" t="inlineStr">
        <is>
          <t>Fitness</t>
        </is>
      </c>
      <c r="H2259" s="36" t="inlineStr">
        <is>
          <t>Recovery Roller</t>
        </is>
      </c>
      <c r="I2259" s="36" t="n">
        <v>1</v>
      </c>
      <c r="J2259" s="39" t="n">
        <v>36.96</v>
      </c>
      <c r="K2259" s="45" t="n">
        <v>0.1</v>
      </c>
      <c r="L2259" s="39" t="n">
        <v>14.18</v>
      </c>
      <c r="M2259" s="39">
        <f>I2259*J2259*(1-K2259)</f>
        <v/>
      </c>
      <c r="N2259" s="39">
        <f>I2259*L2259</f>
        <v/>
      </c>
      <c r="O2259" s="39">
        <f>M2259-N2259</f>
        <v/>
      </c>
      <c r="P2259" s="38">
        <f>IF(M2259=0,0,O2259/M2259)</f>
        <v/>
      </c>
      <c r="Q2259" s="36">
        <f>YEAR(B2259)</f>
        <v/>
      </c>
      <c r="R2259" s="36">
        <f>"Q"&amp;ROUNDUP(MONTH(B2259)/3,0)</f>
        <v/>
      </c>
      <c r="S2259" s="36">
        <f>MONTH(B2259)</f>
        <v/>
      </c>
      <c r="T2259" s="36">
        <f>TEXT(B2259,"mmm")</f>
        <v/>
      </c>
      <c r="U2259" s="36">
        <f>IF(AND(OR(sel_Region="All",C2259=sel_Region),OR(sel_Country="All",D2259=sel_Country),OR(sel_Channel="All",E2259=sel_Channel),OR(sel_Customer="All",F2259=sel_Customer),OR(sel_Category="All",G2259=sel_Category),OR(sel_Product="All",H2259=sel_Product),AND(S2259&gt;=m_From,S2259&lt;=m_To)),1,0)</f>
        <v/>
      </c>
      <c r="V2259" s="36">
        <f>IF(AND(OR(sel_Region="All",C2259=sel_Region),OR(sel_Channel="All",E2259=sel_Channel),OR(sel_Customer="All",F2259=sel_Customer),OR(sel_Category="All",G2259=sel_Category),OR(sel_Product="All",H2259=sel_Product),AND(S2259&gt;=m_From,S2259&lt;=m_To)),1,0)</f>
        <v/>
      </c>
      <c r="W2259" s="36">
        <f>IF(AND(OR(sel_Region="All",C2259=sel_Region),OR(sel_Country="All",D2259=sel_Country),OR(sel_Customer="All",F2259=sel_Customer),OR(sel_Category="All",G2259=sel_Category),OR(sel_Product="All",H2259=sel_Product),AND(S2259&gt;=m_From,S2259&lt;=m_To)),1,0)</f>
        <v/>
      </c>
      <c r="X2259" s="36">
        <f>IF(AND(OR(sel_Region="All",C2259=sel_Region),OR(sel_Country="All",D2259=sel_Country),OR(sel_Channel="All",E2259=sel_Channel),OR(sel_Category="All",G2259=sel_Category),OR(sel_Product="All",H2259=sel_Product),AND(S2259&gt;=m_From,S2259&lt;=m_To)),1,0)</f>
        <v/>
      </c>
      <c r="Y2259" s="36">
        <f>IF(AND(OR(sel_Region="All",C2259=sel_Region),OR(sel_Country="All",D2259=sel_Country),OR(sel_Channel="All",E2259=sel_Channel),OR(sel_Customer="All",F2259=sel_Customer),OR(sel_Product="All",H2259=sel_Product),AND(S2259&gt;=m_From,S2259&lt;=m_To)),1,0)</f>
        <v/>
      </c>
      <c r="Z2259" s="36">
        <f>IF(AND(OR(sel_Region="All",C2259=sel_Region),OR(sel_Country="All",D2259=sel_Country),OR(sel_Channel="All",E2259=sel_Channel),OR(sel_Customer="All",F2259=sel_Customer),OR(sel_Category="All",G2259=sel_Category),AND(S2259&gt;=m_From,S2259&lt;=m_To)),1,0)</f>
        <v/>
      </c>
      <c r="AA2259" s="36">
        <f>IF(AND(OR(sel_Region="All",C2259=sel_Region),OR(sel_Country="All",D2259=sel_Country),OR(sel_Channel="All",E2259=sel_Channel),OR(sel_Customer="All",F2259=sel_Customer),OR(sel_Category="All",G2259=sel_Category),OR(sel_Product="All",H2259=sel_Product)),1,0)</f>
        <v/>
      </c>
    </row>
    <row r="2260">
      <c r="A2260" s="36" t="inlineStr">
        <is>
          <t>00408</t>
        </is>
      </c>
      <c r="B2260" s="44" t="n">
        <v>46329</v>
      </c>
      <c r="C2260" s="36" t="inlineStr">
        <is>
          <t>Western Europe</t>
        </is>
      </c>
      <c r="D2260" s="36" t="inlineStr">
        <is>
          <t>France</t>
        </is>
      </c>
      <c r="E2260" s="36" t="inlineStr">
        <is>
          <t>Online Store</t>
        </is>
      </c>
      <c r="F2260" s="36" t="inlineStr">
        <is>
          <t>Returning</t>
        </is>
      </c>
      <c r="G2260" s="36" t="inlineStr">
        <is>
          <t>Cycling</t>
        </is>
      </c>
      <c r="H2260" s="36" t="inlineStr">
        <is>
          <t>Trail Bike Light</t>
        </is>
      </c>
      <c r="I2260" s="36" t="n">
        <v>1</v>
      </c>
      <c r="J2260" s="39" t="n">
        <v>49.61</v>
      </c>
      <c r="K2260" s="45" t="n">
        <v>0</v>
      </c>
      <c r="L2260" s="39" t="n">
        <v>22.8</v>
      </c>
      <c r="M2260" s="39">
        <f>I2260*J2260*(1-K2260)</f>
        <v/>
      </c>
      <c r="N2260" s="39">
        <f>I2260*L2260</f>
        <v/>
      </c>
      <c r="O2260" s="39">
        <f>M2260-N2260</f>
        <v/>
      </c>
      <c r="P2260" s="38">
        <f>IF(M2260=0,0,O2260/M2260)</f>
        <v/>
      </c>
      <c r="Q2260" s="36">
        <f>YEAR(B2260)</f>
        <v/>
      </c>
      <c r="R2260" s="36">
        <f>"Q"&amp;ROUNDUP(MONTH(B2260)/3,0)</f>
        <v/>
      </c>
      <c r="S2260" s="36">
        <f>MONTH(B2260)</f>
        <v/>
      </c>
      <c r="T2260" s="36">
        <f>TEXT(B2260,"mmm")</f>
        <v/>
      </c>
      <c r="U2260" s="36">
        <f>IF(AND(OR(sel_Region="All",C2260=sel_Region),OR(sel_Country="All",D2260=sel_Country),OR(sel_Channel="All",E2260=sel_Channel),OR(sel_Customer="All",F2260=sel_Customer),OR(sel_Category="All",G2260=sel_Category),OR(sel_Product="All",H2260=sel_Product),AND(S2260&gt;=m_From,S2260&lt;=m_To)),1,0)</f>
        <v/>
      </c>
      <c r="V2260" s="36">
        <f>IF(AND(OR(sel_Region="All",C2260=sel_Region),OR(sel_Channel="All",E2260=sel_Channel),OR(sel_Customer="All",F2260=sel_Customer),OR(sel_Category="All",G2260=sel_Category),OR(sel_Product="All",H2260=sel_Product),AND(S2260&gt;=m_From,S2260&lt;=m_To)),1,0)</f>
        <v/>
      </c>
      <c r="W2260" s="36">
        <f>IF(AND(OR(sel_Region="All",C2260=sel_Region),OR(sel_Country="All",D2260=sel_Country),OR(sel_Customer="All",F2260=sel_Customer),OR(sel_Category="All",G2260=sel_Category),OR(sel_Product="All",H2260=sel_Product),AND(S2260&gt;=m_From,S2260&lt;=m_To)),1,0)</f>
        <v/>
      </c>
      <c r="X2260" s="36">
        <f>IF(AND(OR(sel_Region="All",C2260=sel_Region),OR(sel_Country="All",D2260=sel_Country),OR(sel_Channel="All",E2260=sel_Channel),OR(sel_Category="All",G2260=sel_Category),OR(sel_Product="All",H2260=sel_Product),AND(S2260&gt;=m_From,S2260&lt;=m_To)),1,0)</f>
        <v/>
      </c>
      <c r="Y2260" s="36">
        <f>IF(AND(OR(sel_Region="All",C2260=sel_Region),OR(sel_Country="All",D2260=sel_Country),OR(sel_Channel="All",E2260=sel_Channel),OR(sel_Customer="All",F2260=sel_Customer),OR(sel_Product="All",H2260=sel_Product),AND(S2260&gt;=m_From,S2260&lt;=m_To)),1,0)</f>
        <v/>
      </c>
      <c r="Z2260" s="36">
        <f>IF(AND(OR(sel_Region="All",C2260=sel_Region),OR(sel_Country="All",D2260=sel_Country),OR(sel_Channel="All",E2260=sel_Channel),OR(sel_Customer="All",F2260=sel_Customer),OR(sel_Category="All",G2260=sel_Category),AND(S2260&gt;=m_From,S2260&lt;=m_To)),1,0)</f>
        <v/>
      </c>
      <c r="AA2260" s="36">
        <f>IF(AND(OR(sel_Region="All",C2260=sel_Region),OR(sel_Country="All",D2260=sel_Country),OR(sel_Channel="All",E2260=sel_Channel),OR(sel_Customer="All",F2260=sel_Customer),OR(sel_Category="All",G2260=sel_Category),OR(sel_Product="All",H2260=sel_Product)),1,0)</f>
        <v/>
      </c>
    </row>
    <row r="2261">
      <c r="A2261" s="36" t="inlineStr">
        <is>
          <t>00939</t>
        </is>
      </c>
      <c r="B2261" s="44" t="n">
        <v>46329</v>
      </c>
      <c r="C2261" s="36" t="inlineStr">
        <is>
          <t>Central Europe</t>
        </is>
      </c>
      <c r="D2261" s="36" t="inlineStr">
        <is>
          <t>Switzerland</t>
        </is>
      </c>
      <c r="E2261" s="36" t="inlineStr">
        <is>
          <t>Retail Partners</t>
        </is>
      </c>
      <c r="F2261" s="36" t="inlineStr">
        <is>
          <t>Returning</t>
        </is>
      </c>
      <c r="G2261" s="36" t="inlineStr">
        <is>
          <t>Cycling</t>
        </is>
      </c>
      <c r="H2261" s="36" t="inlineStr">
        <is>
          <t>Trail Bike Light</t>
        </is>
      </c>
      <c r="I2261" s="36" t="n">
        <v>1</v>
      </c>
      <c r="J2261" s="39" t="n">
        <v>49.76</v>
      </c>
      <c r="K2261" s="45" t="n">
        <v>0.1</v>
      </c>
      <c r="L2261" s="39" t="n">
        <v>21.94</v>
      </c>
      <c r="M2261" s="39">
        <f>I2261*J2261*(1-K2261)</f>
        <v/>
      </c>
      <c r="N2261" s="39">
        <f>I2261*L2261</f>
        <v/>
      </c>
      <c r="O2261" s="39">
        <f>M2261-N2261</f>
        <v/>
      </c>
      <c r="P2261" s="38">
        <f>IF(M2261=0,0,O2261/M2261)</f>
        <v/>
      </c>
      <c r="Q2261" s="36">
        <f>YEAR(B2261)</f>
        <v/>
      </c>
      <c r="R2261" s="36">
        <f>"Q"&amp;ROUNDUP(MONTH(B2261)/3,0)</f>
        <v/>
      </c>
      <c r="S2261" s="36">
        <f>MONTH(B2261)</f>
        <v/>
      </c>
      <c r="T2261" s="36">
        <f>TEXT(B2261,"mmm")</f>
        <v/>
      </c>
      <c r="U2261" s="36">
        <f>IF(AND(OR(sel_Region="All",C2261=sel_Region),OR(sel_Country="All",D2261=sel_Country),OR(sel_Channel="All",E2261=sel_Channel),OR(sel_Customer="All",F2261=sel_Customer),OR(sel_Category="All",G2261=sel_Category),OR(sel_Product="All",H2261=sel_Product),AND(S2261&gt;=m_From,S2261&lt;=m_To)),1,0)</f>
        <v/>
      </c>
      <c r="V2261" s="36">
        <f>IF(AND(OR(sel_Region="All",C2261=sel_Region),OR(sel_Channel="All",E2261=sel_Channel),OR(sel_Customer="All",F2261=sel_Customer),OR(sel_Category="All",G2261=sel_Category),OR(sel_Product="All",H2261=sel_Product),AND(S2261&gt;=m_From,S2261&lt;=m_To)),1,0)</f>
        <v/>
      </c>
      <c r="W2261" s="36">
        <f>IF(AND(OR(sel_Region="All",C2261=sel_Region),OR(sel_Country="All",D2261=sel_Country),OR(sel_Customer="All",F2261=sel_Customer),OR(sel_Category="All",G2261=sel_Category),OR(sel_Product="All",H2261=sel_Product),AND(S2261&gt;=m_From,S2261&lt;=m_To)),1,0)</f>
        <v/>
      </c>
      <c r="X2261" s="36">
        <f>IF(AND(OR(sel_Region="All",C2261=sel_Region),OR(sel_Country="All",D2261=sel_Country),OR(sel_Channel="All",E2261=sel_Channel),OR(sel_Category="All",G2261=sel_Category),OR(sel_Product="All",H2261=sel_Product),AND(S2261&gt;=m_From,S2261&lt;=m_To)),1,0)</f>
        <v/>
      </c>
      <c r="Y2261" s="36">
        <f>IF(AND(OR(sel_Region="All",C2261=sel_Region),OR(sel_Country="All",D2261=sel_Country),OR(sel_Channel="All",E2261=sel_Channel),OR(sel_Customer="All",F2261=sel_Customer),OR(sel_Product="All",H2261=sel_Product),AND(S2261&gt;=m_From,S2261&lt;=m_To)),1,0)</f>
        <v/>
      </c>
      <c r="Z2261" s="36">
        <f>IF(AND(OR(sel_Region="All",C2261=sel_Region),OR(sel_Country="All",D2261=sel_Country),OR(sel_Channel="All",E2261=sel_Channel),OR(sel_Customer="All",F2261=sel_Customer),OR(sel_Category="All",G2261=sel_Category),AND(S2261&gt;=m_From,S2261&lt;=m_To)),1,0)</f>
        <v/>
      </c>
      <c r="AA2261" s="36">
        <f>IF(AND(OR(sel_Region="All",C2261=sel_Region),OR(sel_Country="All",D2261=sel_Country),OR(sel_Channel="All",E2261=sel_Channel),OR(sel_Customer="All",F2261=sel_Customer),OR(sel_Category="All",G2261=sel_Category),OR(sel_Product="All",H2261=sel_Product)),1,0)</f>
        <v/>
      </c>
    </row>
    <row r="2262">
      <c r="A2262" s="36" t="inlineStr">
        <is>
          <t>01022</t>
        </is>
      </c>
      <c r="B2262" s="44" t="n">
        <v>46329</v>
      </c>
      <c r="C2262" s="36" t="inlineStr">
        <is>
          <t>Western Europe</t>
        </is>
      </c>
      <c r="D2262" s="36" t="inlineStr">
        <is>
          <t>Netherlands</t>
        </is>
      </c>
      <c r="E2262" s="36" t="inlineStr">
        <is>
          <t>Online Store</t>
        </is>
      </c>
      <c r="F2262" s="36" t="inlineStr">
        <is>
          <t>Returning</t>
        </is>
      </c>
      <c r="G2262" s="36" t="inlineStr">
        <is>
          <t>Cycling</t>
        </is>
      </c>
      <c r="H2262" s="36" t="inlineStr">
        <is>
          <t>Compact Repair Kit</t>
        </is>
      </c>
      <c r="I2262" s="36" t="n">
        <v>1</v>
      </c>
      <c r="J2262" s="39" t="n">
        <v>39.97</v>
      </c>
      <c r="K2262" s="45" t="n">
        <v>0.1</v>
      </c>
      <c r="L2262" s="39" t="n">
        <v>16.93</v>
      </c>
      <c r="M2262" s="39">
        <f>I2262*J2262*(1-K2262)</f>
        <v/>
      </c>
      <c r="N2262" s="39">
        <f>I2262*L2262</f>
        <v/>
      </c>
      <c r="O2262" s="39">
        <f>M2262-N2262</f>
        <v/>
      </c>
      <c r="P2262" s="38">
        <f>IF(M2262=0,0,O2262/M2262)</f>
        <v/>
      </c>
      <c r="Q2262" s="36">
        <f>YEAR(B2262)</f>
        <v/>
      </c>
      <c r="R2262" s="36">
        <f>"Q"&amp;ROUNDUP(MONTH(B2262)/3,0)</f>
        <v/>
      </c>
      <c r="S2262" s="36">
        <f>MONTH(B2262)</f>
        <v/>
      </c>
      <c r="T2262" s="36">
        <f>TEXT(B2262,"mmm")</f>
        <v/>
      </c>
      <c r="U2262" s="36">
        <f>IF(AND(OR(sel_Region="All",C2262=sel_Region),OR(sel_Country="All",D2262=sel_Country),OR(sel_Channel="All",E2262=sel_Channel),OR(sel_Customer="All",F2262=sel_Customer),OR(sel_Category="All",G2262=sel_Category),OR(sel_Product="All",H2262=sel_Product),AND(S2262&gt;=m_From,S2262&lt;=m_To)),1,0)</f>
        <v/>
      </c>
      <c r="V2262" s="36">
        <f>IF(AND(OR(sel_Region="All",C2262=sel_Region),OR(sel_Channel="All",E2262=sel_Channel),OR(sel_Customer="All",F2262=sel_Customer),OR(sel_Category="All",G2262=sel_Category),OR(sel_Product="All",H2262=sel_Product),AND(S2262&gt;=m_From,S2262&lt;=m_To)),1,0)</f>
        <v/>
      </c>
      <c r="W2262" s="36">
        <f>IF(AND(OR(sel_Region="All",C2262=sel_Region),OR(sel_Country="All",D2262=sel_Country),OR(sel_Customer="All",F2262=sel_Customer),OR(sel_Category="All",G2262=sel_Category),OR(sel_Product="All",H2262=sel_Product),AND(S2262&gt;=m_From,S2262&lt;=m_To)),1,0)</f>
        <v/>
      </c>
      <c r="X2262" s="36">
        <f>IF(AND(OR(sel_Region="All",C2262=sel_Region),OR(sel_Country="All",D2262=sel_Country),OR(sel_Channel="All",E2262=sel_Channel),OR(sel_Category="All",G2262=sel_Category),OR(sel_Product="All",H2262=sel_Product),AND(S2262&gt;=m_From,S2262&lt;=m_To)),1,0)</f>
        <v/>
      </c>
      <c r="Y2262" s="36">
        <f>IF(AND(OR(sel_Region="All",C2262=sel_Region),OR(sel_Country="All",D2262=sel_Country),OR(sel_Channel="All",E2262=sel_Channel),OR(sel_Customer="All",F2262=sel_Customer),OR(sel_Product="All",H2262=sel_Product),AND(S2262&gt;=m_From,S2262&lt;=m_To)),1,0)</f>
        <v/>
      </c>
      <c r="Z2262" s="36">
        <f>IF(AND(OR(sel_Region="All",C2262=sel_Region),OR(sel_Country="All",D2262=sel_Country),OR(sel_Channel="All",E2262=sel_Channel),OR(sel_Customer="All",F2262=sel_Customer),OR(sel_Category="All",G2262=sel_Category),AND(S2262&gt;=m_From,S2262&lt;=m_To)),1,0)</f>
        <v/>
      </c>
      <c r="AA2262" s="36">
        <f>IF(AND(OR(sel_Region="All",C2262=sel_Region),OR(sel_Country="All",D2262=sel_Country),OR(sel_Channel="All",E2262=sel_Channel),OR(sel_Customer="All",F2262=sel_Customer),OR(sel_Category="All",G2262=sel_Category),OR(sel_Product="All",H2262=sel_Product)),1,0)</f>
        <v/>
      </c>
    </row>
    <row r="2263">
      <c r="A2263" s="36" t="inlineStr">
        <is>
          <t>01997</t>
        </is>
      </c>
      <c r="B2263" s="44" t="n">
        <v>46329</v>
      </c>
      <c r="C2263" s="36" t="inlineStr">
        <is>
          <t>Central Europe</t>
        </is>
      </c>
      <c r="D2263" s="36" t="inlineStr">
        <is>
          <t>Germany</t>
        </is>
      </c>
      <c r="E2263" s="36" t="inlineStr">
        <is>
          <t>Marketplace</t>
        </is>
      </c>
      <c r="F2263" s="36" t="inlineStr">
        <is>
          <t>Returning</t>
        </is>
      </c>
      <c r="G2263" s="36" t="inlineStr">
        <is>
          <t>Camping</t>
        </is>
      </c>
      <c r="H2263" s="36" t="inlineStr">
        <is>
          <t>Alpine Tent 4P</t>
        </is>
      </c>
      <c r="I2263" s="36" t="n">
        <v>2</v>
      </c>
      <c r="J2263" s="39" t="n">
        <v>335.46</v>
      </c>
      <c r="K2263" s="45" t="n">
        <v>0.1</v>
      </c>
      <c r="L2263" s="39" t="n">
        <v>199.87</v>
      </c>
      <c r="M2263" s="39">
        <f>I2263*J2263*(1-K2263)</f>
        <v/>
      </c>
      <c r="N2263" s="39">
        <f>I2263*L2263</f>
        <v/>
      </c>
      <c r="O2263" s="39">
        <f>M2263-N2263</f>
        <v/>
      </c>
      <c r="P2263" s="38">
        <f>IF(M2263=0,0,O2263/M2263)</f>
        <v/>
      </c>
      <c r="Q2263" s="36">
        <f>YEAR(B2263)</f>
        <v/>
      </c>
      <c r="R2263" s="36">
        <f>"Q"&amp;ROUNDUP(MONTH(B2263)/3,0)</f>
        <v/>
      </c>
      <c r="S2263" s="36">
        <f>MONTH(B2263)</f>
        <v/>
      </c>
      <c r="T2263" s="36">
        <f>TEXT(B2263,"mmm")</f>
        <v/>
      </c>
      <c r="U2263" s="36">
        <f>IF(AND(OR(sel_Region="All",C2263=sel_Region),OR(sel_Country="All",D2263=sel_Country),OR(sel_Channel="All",E2263=sel_Channel),OR(sel_Customer="All",F2263=sel_Customer),OR(sel_Category="All",G2263=sel_Category),OR(sel_Product="All",H2263=sel_Product),AND(S2263&gt;=m_From,S2263&lt;=m_To)),1,0)</f>
        <v/>
      </c>
      <c r="V2263" s="36">
        <f>IF(AND(OR(sel_Region="All",C2263=sel_Region),OR(sel_Channel="All",E2263=sel_Channel),OR(sel_Customer="All",F2263=sel_Customer),OR(sel_Category="All",G2263=sel_Category),OR(sel_Product="All",H2263=sel_Product),AND(S2263&gt;=m_From,S2263&lt;=m_To)),1,0)</f>
        <v/>
      </c>
      <c r="W2263" s="36">
        <f>IF(AND(OR(sel_Region="All",C2263=sel_Region),OR(sel_Country="All",D2263=sel_Country),OR(sel_Customer="All",F2263=sel_Customer),OR(sel_Category="All",G2263=sel_Category),OR(sel_Product="All",H2263=sel_Product),AND(S2263&gt;=m_From,S2263&lt;=m_To)),1,0)</f>
        <v/>
      </c>
      <c r="X2263" s="36">
        <f>IF(AND(OR(sel_Region="All",C2263=sel_Region),OR(sel_Country="All",D2263=sel_Country),OR(sel_Channel="All",E2263=sel_Channel),OR(sel_Category="All",G2263=sel_Category),OR(sel_Product="All",H2263=sel_Product),AND(S2263&gt;=m_From,S2263&lt;=m_To)),1,0)</f>
        <v/>
      </c>
      <c r="Y2263" s="36">
        <f>IF(AND(OR(sel_Region="All",C2263=sel_Region),OR(sel_Country="All",D2263=sel_Country),OR(sel_Channel="All",E2263=sel_Channel),OR(sel_Customer="All",F2263=sel_Customer),OR(sel_Product="All",H2263=sel_Product),AND(S2263&gt;=m_From,S2263&lt;=m_To)),1,0)</f>
        <v/>
      </c>
      <c r="Z2263" s="36">
        <f>IF(AND(OR(sel_Region="All",C2263=sel_Region),OR(sel_Country="All",D2263=sel_Country),OR(sel_Channel="All",E2263=sel_Channel),OR(sel_Customer="All",F2263=sel_Customer),OR(sel_Category="All",G2263=sel_Category),AND(S2263&gt;=m_From,S2263&lt;=m_To)),1,0)</f>
        <v/>
      </c>
      <c r="AA2263" s="36">
        <f>IF(AND(OR(sel_Region="All",C2263=sel_Region),OR(sel_Country="All",D2263=sel_Country),OR(sel_Channel="All",E2263=sel_Channel),OR(sel_Customer="All",F2263=sel_Customer),OR(sel_Category="All",G2263=sel_Category),OR(sel_Product="All",H2263=sel_Product)),1,0)</f>
        <v/>
      </c>
    </row>
    <row r="2264">
      <c r="A2264" s="36" t="inlineStr">
        <is>
          <t>03978</t>
        </is>
      </c>
      <c r="B2264" s="44" t="n">
        <v>46329</v>
      </c>
      <c r="C2264" s="36" t="inlineStr">
        <is>
          <t>Central Europe</t>
        </is>
      </c>
      <c r="D2264" s="36" t="inlineStr">
        <is>
          <t>Germany</t>
        </is>
      </c>
      <c r="E2264" s="36" t="inlineStr">
        <is>
          <t>Online Store</t>
        </is>
      </c>
      <c r="F2264" s="36" t="inlineStr">
        <is>
          <t>New</t>
        </is>
      </c>
      <c r="G2264" s="36" t="inlineStr">
        <is>
          <t>Hiking</t>
        </is>
      </c>
      <c r="H2264" s="36" t="inlineStr">
        <is>
          <t>Summit Backpack 45L</t>
        </is>
      </c>
      <c r="I2264" s="36" t="n">
        <v>4</v>
      </c>
      <c r="J2264" s="39" t="n">
        <v>154.46</v>
      </c>
      <c r="K2264" s="45" t="n">
        <v>0.05</v>
      </c>
      <c r="L2264" s="39" t="n">
        <v>80.48</v>
      </c>
      <c r="M2264" s="39">
        <f>I2264*J2264*(1-K2264)</f>
        <v/>
      </c>
      <c r="N2264" s="39">
        <f>I2264*L2264</f>
        <v/>
      </c>
      <c r="O2264" s="39">
        <f>M2264-N2264</f>
        <v/>
      </c>
      <c r="P2264" s="38">
        <f>IF(M2264=0,0,O2264/M2264)</f>
        <v/>
      </c>
      <c r="Q2264" s="36">
        <f>YEAR(B2264)</f>
        <v/>
      </c>
      <c r="R2264" s="36">
        <f>"Q"&amp;ROUNDUP(MONTH(B2264)/3,0)</f>
        <v/>
      </c>
      <c r="S2264" s="36">
        <f>MONTH(B2264)</f>
        <v/>
      </c>
      <c r="T2264" s="36">
        <f>TEXT(B2264,"mmm")</f>
        <v/>
      </c>
      <c r="U2264" s="36">
        <f>IF(AND(OR(sel_Region="All",C2264=sel_Region),OR(sel_Country="All",D2264=sel_Country),OR(sel_Channel="All",E2264=sel_Channel),OR(sel_Customer="All",F2264=sel_Customer),OR(sel_Category="All",G2264=sel_Category),OR(sel_Product="All",H2264=sel_Product),AND(S2264&gt;=m_From,S2264&lt;=m_To)),1,0)</f>
        <v/>
      </c>
      <c r="V2264" s="36">
        <f>IF(AND(OR(sel_Region="All",C2264=sel_Region),OR(sel_Channel="All",E2264=sel_Channel),OR(sel_Customer="All",F2264=sel_Customer),OR(sel_Category="All",G2264=sel_Category),OR(sel_Product="All",H2264=sel_Product),AND(S2264&gt;=m_From,S2264&lt;=m_To)),1,0)</f>
        <v/>
      </c>
      <c r="W2264" s="36">
        <f>IF(AND(OR(sel_Region="All",C2264=sel_Region),OR(sel_Country="All",D2264=sel_Country),OR(sel_Customer="All",F2264=sel_Customer),OR(sel_Category="All",G2264=sel_Category),OR(sel_Product="All",H2264=sel_Product),AND(S2264&gt;=m_From,S2264&lt;=m_To)),1,0)</f>
        <v/>
      </c>
      <c r="X2264" s="36">
        <f>IF(AND(OR(sel_Region="All",C2264=sel_Region),OR(sel_Country="All",D2264=sel_Country),OR(sel_Channel="All",E2264=sel_Channel),OR(sel_Category="All",G2264=sel_Category),OR(sel_Product="All",H2264=sel_Product),AND(S2264&gt;=m_From,S2264&lt;=m_To)),1,0)</f>
        <v/>
      </c>
      <c r="Y2264" s="36">
        <f>IF(AND(OR(sel_Region="All",C2264=sel_Region),OR(sel_Country="All",D2264=sel_Country),OR(sel_Channel="All",E2264=sel_Channel),OR(sel_Customer="All",F2264=sel_Customer),OR(sel_Product="All",H2264=sel_Product),AND(S2264&gt;=m_From,S2264&lt;=m_To)),1,0)</f>
        <v/>
      </c>
      <c r="Z2264" s="36">
        <f>IF(AND(OR(sel_Region="All",C2264=sel_Region),OR(sel_Country="All",D2264=sel_Country),OR(sel_Channel="All",E2264=sel_Channel),OR(sel_Customer="All",F2264=sel_Customer),OR(sel_Category="All",G2264=sel_Category),AND(S2264&gt;=m_From,S2264&lt;=m_To)),1,0)</f>
        <v/>
      </c>
      <c r="AA2264" s="36">
        <f>IF(AND(OR(sel_Region="All",C2264=sel_Region),OR(sel_Country="All",D2264=sel_Country),OR(sel_Channel="All",E2264=sel_Channel),OR(sel_Customer="All",F2264=sel_Customer),OR(sel_Category="All",G2264=sel_Category),OR(sel_Product="All",H2264=sel_Product)),1,0)</f>
        <v/>
      </c>
    </row>
    <row r="2265">
      <c r="A2265" s="36" t="inlineStr">
        <is>
          <t>04715</t>
        </is>
      </c>
      <c r="B2265" s="44" t="n">
        <v>46329</v>
      </c>
      <c r="C2265" s="36" t="inlineStr">
        <is>
          <t>Southern Europe</t>
        </is>
      </c>
      <c r="D2265" s="36" t="inlineStr">
        <is>
          <t>Spain</t>
        </is>
      </c>
      <c r="E2265" s="36" t="inlineStr">
        <is>
          <t>Corporate</t>
        </is>
      </c>
      <c r="F2265" s="36" t="inlineStr">
        <is>
          <t>Business</t>
        </is>
      </c>
      <c r="G2265" s="36" t="inlineStr">
        <is>
          <t>Fitness</t>
        </is>
      </c>
      <c r="H2265" s="36" t="inlineStr">
        <is>
          <t>Resistance Band Set</t>
        </is>
      </c>
      <c r="I2265" s="36" t="n">
        <v>10</v>
      </c>
      <c r="J2265" s="39" t="n">
        <v>39.87</v>
      </c>
      <c r="K2265" s="45" t="n">
        <v>0.15</v>
      </c>
      <c r="L2265" s="39" t="n">
        <v>14.31</v>
      </c>
      <c r="M2265" s="39">
        <f>I2265*J2265*(1-K2265)</f>
        <v/>
      </c>
      <c r="N2265" s="39">
        <f>I2265*L2265</f>
        <v/>
      </c>
      <c r="O2265" s="39">
        <f>M2265-N2265</f>
        <v/>
      </c>
      <c r="P2265" s="38">
        <f>IF(M2265=0,0,O2265/M2265)</f>
        <v/>
      </c>
      <c r="Q2265" s="36">
        <f>YEAR(B2265)</f>
        <v/>
      </c>
      <c r="R2265" s="36">
        <f>"Q"&amp;ROUNDUP(MONTH(B2265)/3,0)</f>
        <v/>
      </c>
      <c r="S2265" s="36">
        <f>MONTH(B2265)</f>
        <v/>
      </c>
      <c r="T2265" s="36">
        <f>TEXT(B2265,"mmm")</f>
        <v/>
      </c>
      <c r="U2265" s="36">
        <f>IF(AND(OR(sel_Region="All",C2265=sel_Region),OR(sel_Country="All",D2265=sel_Country),OR(sel_Channel="All",E2265=sel_Channel),OR(sel_Customer="All",F2265=sel_Customer),OR(sel_Category="All",G2265=sel_Category),OR(sel_Product="All",H2265=sel_Product),AND(S2265&gt;=m_From,S2265&lt;=m_To)),1,0)</f>
        <v/>
      </c>
      <c r="V2265" s="36">
        <f>IF(AND(OR(sel_Region="All",C2265=sel_Region),OR(sel_Channel="All",E2265=sel_Channel),OR(sel_Customer="All",F2265=sel_Customer),OR(sel_Category="All",G2265=sel_Category),OR(sel_Product="All",H2265=sel_Product),AND(S2265&gt;=m_From,S2265&lt;=m_To)),1,0)</f>
        <v/>
      </c>
      <c r="W2265" s="36">
        <f>IF(AND(OR(sel_Region="All",C2265=sel_Region),OR(sel_Country="All",D2265=sel_Country),OR(sel_Customer="All",F2265=sel_Customer),OR(sel_Category="All",G2265=sel_Category),OR(sel_Product="All",H2265=sel_Product),AND(S2265&gt;=m_From,S2265&lt;=m_To)),1,0)</f>
        <v/>
      </c>
      <c r="X2265" s="36">
        <f>IF(AND(OR(sel_Region="All",C2265=sel_Region),OR(sel_Country="All",D2265=sel_Country),OR(sel_Channel="All",E2265=sel_Channel),OR(sel_Category="All",G2265=sel_Category),OR(sel_Product="All",H2265=sel_Product),AND(S2265&gt;=m_From,S2265&lt;=m_To)),1,0)</f>
        <v/>
      </c>
      <c r="Y2265" s="36">
        <f>IF(AND(OR(sel_Region="All",C2265=sel_Region),OR(sel_Country="All",D2265=sel_Country),OR(sel_Channel="All",E2265=sel_Channel),OR(sel_Customer="All",F2265=sel_Customer),OR(sel_Product="All",H2265=sel_Product),AND(S2265&gt;=m_From,S2265&lt;=m_To)),1,0)</f>
        <v/>
      </c>
      <c r="Z2265" s="36">
        <f>IF(AND(OR(sel_Region="All",C2265=sel_Region),OR(sel_Country="All",D2265=sel_Country),OR(sel_Channel="All",E2265=sel_Channel),OR(sel_Customer="All",F2265=sel_Customer),OR(sel_Category="All",G2265=sel_Category),AND(S2265&gt;=m_From,S2265&lt;=m_To)),1,0)</f>
        <v/>
      </c>
      <c r="AA2265" s="36">
        <f>IF(AND(OR(sel_Region="All",C2265=sel_Region),OR(sel_Country="All",D2265=sel_Country),OR(sel_Channel="All",E2265=sel_Channel),OR(sel_Customer="All",F2265=sel_Customer),OR(sel_Category="All",G2265=sel_Category),OR(sel_Product="All",H2265=sel_Product)),1,0)</f>
        <v/>
      </c>
    </row>
    <row r="2266">
      <c r="A2266" s="36" t="inlineStr">
        <is>
          <t>00145</t>
        </is>
      </c>
      <c r="B2266" s="44" t="n">
        <v>46330</v>
      </c>
      <c r="C2266" s="36" t="inlineStr">
        <is>
          <t>Southern Europe</t>
        </is>
      </c>
      <c r="D2266" s="36" t="inlineStr">
        <is>
          <t>Italy</t>
        </is>
      </c>
      <c r="E2266" s="36" t="inlineStr">
        <is>
          <t>Online Store</t>
        </is>
      </c>
      <c r="F2266" s="36" t="inlineStr">
        <is>
          <t>Business</t>
        </is>
      </c>
      <c r="G2266" s="36" t="inlineStr">
        <is>
          <t>Hiking</t>
        </is>
      </c>
      <c r="H2266" s="36" t="inlineStr">
        <is>
          <t>Hiking Daypack 20L</t>
        </is>
      </c>
      <c r="I2266" s="36" t="n">
        <v>2</v>
      </c>
      <c r="J2266" s="39" t="n">
        <v>93.19</v>
      </c>
      <c r="K2266" s="45" t="n">
        <v>0.2</v>
      </c>
      <c r="L2266" s="39" t="n">
        <v>45.7</v>
      </c>
      <c r="M2266" s="39">
        <f>I2266*J2266*(1-K2266)</f>
        <v/>
      </c>
      <c r="N2266" s="39">
        <f>I2266*L2266</f>
        <v/>
      </c>
      <c r="O2266" s="39">
        <f>M2266-N2266</f>
        <v/>
      </c>
      <c r="P2266" s="38">
        <f>IF(M2266=0,0,O2266/M2266)</f>
        <v/>
      </c>
      <c r="Q2266" s="36">
        <f>YEAR(B2266)</f>
        <v/>
      </c>
      <c r="R2266" s="36">
        <f>"Q"&amp;ROUNDUP(MONTH(B2266)/3,0)</f>
        <v/>
      </c>
      <c r="S2266" s="36">
        <f>MONTH(B2266)</f>
        <v/>
      </c>
      <c r="T2266" s="36">
        <f>TEXT(B2266,"mmm")</f>
        <v/>
      </c>
      <c r="U2266" s="36">
        <f>IF(AND(OR(sel_Region="All",C2266=sel_Region),OR(sel_Country="All",D2266=sel_Country),OR(sel_Channel="All",E2266=sel_Channel),OR(sel_Customer="All",F2266=sel_Customer),OR(sel_Category="All",G2266=sel_Category),OR(sel_Product="All",H2266=sel_Product),AND(S2266&gt;=m_From,S2266&lt;=m_To)),1,0)</f>
        <v/>
      </c>
      <c r="V2266" s="36">
        <f>IF(AND(OR(sel_Region="All",C2266=sel_Region),OR(sel_Channel="All",E2266=sel_Channel),OR(sel_Customer="All",F2266=sel_Customer),OR(sel_Category="All",G2266=sel_Category),OR(sel_Product="All",H2266=sel_Product),AND(S2266&gt;=m_From,S2266&lt;=m_To)),1,0)</f>
        <v/>
      </c>
      <c r="W2266" s="36">
        <f>IF(AND(OR(sel_Region="All",C2266=sel_Region),OR(sel_Country="All",D2266=sel_Country),OR(sel_Customer="All",F2266=sel_Customer),OR(sel_Category="All",G2266=sel_Category),OR(sel_Product="All",H2266=sel_Product),AND(S2266&gt;=m_From,S2266&lt;=m_To)),1,0)</f>
        <v/>
      </c>
      <c r="X2266" s="36">
        <f>IF(AND(OR(sel_Region="All",C2266=sel_Region),OR(sel_Country="All",D2266=sel_Country),OR(sel_Channel="All",E2266=sel_Channel),OR(sel_Category="All",G2266=sel_Category),OR(sel_Product="All",H2266=sel_Product),AND(S2266&gt;=m_From,S2266&lt;=m_To)),1,0)</f>
        <v/>
      </c>
      <c r="Y2266" s="36">
        <f>IF(AND(OR(sel_Region="All",C2266=sel_Region),OR(sel_Country="All",D2266=sel_Country),OR(sel_Channel="All",E2266=sel_Channel),OR(sel_Customer="All",F2266=sel_Customer),OR(sel_Product="All",H2266=sel_Product),AND(S2266&gt;=m_From,S2266&lt;=m_To)),1,0)</f>
        <v/>
      </c>
      <c r="Z2266" s="36">
        <f>IF(AND(OR(sel_Region="All",C2266=sel_Region),OR(sel_Country="All",D2266=sel_Country),OR(sel_Channel="All",E2266=sel_Channel),OR(sel_Customer="All",F2266=sel_Customer),OR(sel_Category="All",G2266=sel_Category),AND(S2266&gt;=m_From,S2266&lt;=m_To)),1,0)</f>
        <v/>
      </c>
      <c r="AA2266" s="36">
        <f>IF(AND(OR(sel_Region="All",C2266=sel_Region),OR(sel_Country="All",D2266=sel_Country),OR(sel_Channel="All",E2266=sel_Channel),OR(sel_Customer="All",F2266=sel_Customer),OR(sel_Category="All",G2266=sel_Category),OR(sel_Product="All",H2266=sel_Product)),1,0)</f>
        <v/>
      </c>
    </row>
    <row r="2267">
      <c r="A2267" s="36" t="inlineStr">
        <is>
          <t>00465</t>
        </is>
      </c>
      <c r="B2267" s="44" t="n">
        <v>46330</v>
      </c>
      <c r="C2267" s="36" t="inlineStr">
        <is>
          <t>Central Europe</t>
        </is>
      </c>
      <c r="D2267" s="36" t="inlineStr">
        <is>
          <t>Germany</t>
        </is>
      </c>
      <c r="E2267" s="36" t="inlineStr">
        <is>
          <t>Online Store</t>
        </is>
      </c>
      <c r="F2267" s="36" t="inlineStr">
        <is>
          <t>Returning</t>
        </is>
      </c>
      <c r="G2267" s="36" t="inlineStr">
        <is>
          <t>Fitness</t>
        </is>
      </c>
      <c r="H2267" s="36" t="inlineStr">
        <is>
          <t>Resistance Band Set</t>
        </is>
      </c>
      <c r="I2267" s="36" t="n">
        <v>3</v>
      </c>
      <c r="J2267" s="39" t="n">
        <v>41.29</v>
      </c>
      <c r="K2267" s="45" t="n">
        <v>0.05</v>
      </c>
      <c r="L2267" s="39" t="n">
        <v>14.43</v>
      </c>
      <c r="M2267" s="39">
        <f>I2267*J2267*(1-K2267)</f>
        <v/>
      </c>
      <c r="N2267" s="39">
        <f>I2267*L2267</f>
        <v/>
      </c>
      <c r="O2267" s="39">
        <f>M2267-N2267</f>
        <v/>
      </c>
      <c r="P2267" s="38">
        <f>IF(M2267=0,0,O2267/M2267)</f>
        <v/>
      </c>
      <c r="Q2267" s="36">
        <f>YEAR(B2267)</f>
        <v/>
      </c>
      <c r="R2267" s="36">
        <f>"Q"&amp;ROUNDUP(MONTH(B2267)/3,0)</f>
        <v/>
      </c>
      <c r="S2267" s="36">
        <f>MONTH(B2267)</f>
        <v/>
      </c>
      <c r="T2267" s="36">
        <f>TEXT(B2267,"mmm")</f>
        <v/>
      </c>
      <c r="U2267" s="36">
        <f>IF(AND(OR(sel_Region="All",C2267=sel_Region),OR(sel_Country="All",D2267=sel_Country),OR(sel_Channel="All",E2267=sel_Channel),OR(sel_Customer="All",F2267=sel_Customer),OR(sel_Category="All",G2267=sel_Category),OR(sel_Product="All",H2267=sel_Product),AND(S2267&gt;=m_From,S2267&lt;=m_To)),1,0)</f>
        <v/>
      </c>
      <c r="V2267" s="36">
        <f>IF(AND(OR(sel_Region="All",C2267=sel_Region),OR(sel_Channel="All",E2267=sel_Channel),OR(sel_Customer="All",F2267=sel_Customer),OR(sel_Category="All",G2267=sel_Category),OR(sel_Product="All",H2267=sel_Product),AND(S2267&gt;=m_From,S2267&lt;=m_To)),1,0)</f>
        <v/>
      </c>
      <c r="W2267" s="36">
        <f>IF(AND(OR(sel_Region="All",C2267=sel_Region),OR(sel_Country="All",D2267=sel_Country),OR(sel_Customer="All",F2267=sel_Customer),OR(sel_Category="All",G2267=sel_Category),OR(sel_Product="All",H2267=sel_Product),AND(S2267&gt;=m_From,S2267&lt;=m_To)),1,0)</f>
        <v/>
      </c>
      <c r="X2267" s="36">
        <f>IF(AND(OR(sel_Region="All",C2267=sel_Region),OR(sel_Country="All",D2267=sel_Country),OR(sel_Channel="All",E2267=sel_Channel),OR(sel_Category="All",G2267=sel_Category),OR(sel_Product="All",H2267=sel_Product),AND(S2267&gt;=m_From,S2267&lt;=m_To)),1,0)</f>
        <v/>
      </c>
      <c r="Y2267" s="36">
        <f>IF(AND(OR(sel_Region="All",C2267=sel_Region),OR(sel_Country="All",D2267=sel_Country),OR(sel_Channel="All",E2267=sel_Channel),OR(sel_Customer="All",F2267=sel_Customer),OR(sel_Product="All",H2267=sel_Product),AND(S2267&gt;=m_From,S2267&lt;=m_To)),1,0)</f>
        <v/>
      </c>
      <c r="Z2267" s="36">
        <f>IF(AND(OR(sel_Region="All",C2267=sel_Region),OR(sel_Country="All",D2267=sel_Country),OR(sel_Channel="All",E2267=sel_Channel),OR(sel_Customer="All",F2267=sel_Customer),OR(sel_Category="All",G2267=sel_Category),AND(S2267&gt;=m_From,S2267&lt;=m_To)),1,0)</f>
        <v/>
      </c>
      <c r="AA2267" s="36">
        <f>IF(AND(OR(sel_Region="All",C2267=sel_Region),OR(sel_Country="All",D2267=sel_Country),OR(sel_Channel="All",E2267=sel_Channel),OR(sel_Customer="All",F2267=sel_Customer),OR(sel_Category="All",G2267=sel_Category),OR(sel_Product="All",H2267=sel_Product)),1,0)</f>
        <v/>
      </c>
    </row>
    <row r="2268">
      <c r="A2268" s="36" t="inlineStr">
        <is>
          <t>01449</t>
        </is>
      </c>
      <c r="B2268" s="44" t="n">
        <v>46330</v>
      </c>
      <c r="C2268" s="36" t="inlineStr">
        <is>
          <t>Western Europe</t>
        </is>
      </c>
      <c r="D2268" s="36" t="inlineStr">
        <is>
          <t>United Kingdom</t>
        </is>
      </c>
      <c r="E2268" s="36" t="inlineStr">
        <is>
          <t>Online Store</t>
        </is>
      </c>
      <c r="F2268" s="36" t="inlineStr">
        <is>
          <t>Returning</t>
        </is>
      </c>
      <c r="G2268" s="36" t="inlineStr">
        <is>
          <t>Cycling</t>
        </is>
      </c>
      <c r="H2268" s="36" t="inlineStr">
        <is>
          <t>Trail Bike Light</t>
        </is>
      </c>
      <c r="I2268" s="36" t="n">
        <v>1</v>
      </c>
      <c r="J2268" s="39" t="n">
        <v>50.76</v>
      </c>
      <c r="K2268" s="45" t="n">
        <v>0.1</v>
      </c>
      <c r="L2268" s="39" t="n">
        <v>22.72</v>
      </c>
      <c r="M2268" s="39">
        <f>I2268*J2268*(1-K2268)</f>
        <v/>
      </c>
      <c r="N2268" s="39">
        <f>I2268*L2268</f>
        <v/>
      </c>
      <c r="O2268" s="39">
        <f>M2268-N2268</f>
        <v/>
      </c>
      <c r="P2268" s="38">
        <f>IF(M2268=0,0,O2268/M2268)</f>
        <v/>
      </c>
      <c r="Q2268" s="36">
        <f>YEAR(B2268)</f>
        <v/>
      </c>
      <c r="R2268" s="36">
        <f>"Q"&amp;ROUNDUP(MONTH(B2268)/3,0)</f>
        <v/>
      </c>
      <c r="S2268" s="36">
        <f>MONTH(B2268)</f>
        <v/>
      </c>
      <c r="T2268" s="36">
        <f>TEXT(B2268,"mmm")</f>
        <v/>
      </c>
      <c r="U2268" s="36">
        <f>IF(AND(OR(sel_Region="All",C2268=sel_Region),OR(sel_Country="All",D2268=sel_Country),OR(sel_Channel="All",E2268=sel_Channel),OR(sel_Customer="All",F2268=sel_Customer),OR(sel_Category="All",G2268=sel_Category),OR(sel_Product="All",H2268=sel_Product),AND(S2268&gt;=m_From,S2268&lt;=m_To)),1,0)</f>
        <v/>
      </c>
      <c r="V2268" s="36">
        <f>IF(AND(OR(sel_Region="All",C2268=sel_Region),OR(sel_Channel="All",E2268=sel_Channel),OR(sel_Customer="All",F2268=sel_Customer),OR(sel_Category="All",G2268=sel_Category),OR(sel_Product="All",H2268=sel_Product),AND(S2268&gt;=m_From,S2268&lt;=m_To)),1,0)</f>
        <v/>
      </c>
      <c r="W2268" s="36">
        <f>IF(AND(OR(sel_Region="All",C2268=sel_Region),OR(sel_Country="All",D2268=sel_Country),OR(sel_Customer="All",F2268=sel_Customer),OR(sel_Category="All",G2268=sel_Category),OR(sel_Product="All",H2268=sel_Product),AND(S2268&gt;=m_From,S2268&lt;=m_To)),1,0)</f>
        <v/>
      </c>
      <c r="X2268" s="36">
        <f>IF(AND(OR(sel_Region="All",C2268=sel_Region),OR(sel_Country="All",D2268=sel_Country),OR(sel_Channel="All",E2268=sel_Channel),OR(sel_Category="All",G2268=sel_Category),OR(sel_Product="All",H2268=sel_Product),AND(S2268&gt;=m_From,S2268&lt;=m_To)),1,0)</f>
        <v/>
      </c>
      <c r="Y2268" s="36">
        <f>IF(AND(OR(sel_Region="All",C2268=sel_Region),OR(sel_Country="All",D2268=sel_Country),OR(sel_Channel="All",E2268=sel_Channel),OR(sel_Customer="All",F2268=sel_Customer),OR(sel_Product="All",H2268=sel_Product),AND(S2268&gt;=m_From,S2268&lt;=m_To)),1,0)</f>
        <v/>
      </c>
      <c r="Z2268" s="36">
        <f>IF(AND(OR(sel_Region="All",C2268=sel_Region),OR(sel_Country="All",D2268=sel_Country),OR(sel_Channel="All",E2268=sel_Channel),OR(sel_Customer="All",F2268=sel_Customer),OR(sel_Category="All",G2268=sel_Category),AND(S2268&gt;=m_From,S2268&lt;=m_To)),1,0)</f>
        <v/>
      </c>
      <c r="AA2268" s="36">
        <f>IF(AND(OR(sel_Region="All",C2268=sel_Region),OR(sel_Country="All",D2268=sel_Country),OR(sel_Channel="All",E2268=sel_Channel),OR(sel_Customer="All",F2268=sel_Customer),OR(sel_Category="All",G2268=sel_Category),OR(sel_Product="All",H2268=sel_Product)),1,0)</f>
        <v/>
      </c>
    </row>
    <row r="2269">
      <c r="A2269" s="36" t="inlineStr">
        <is>
          <t>01802</t>
        </is>
      </c>
      <c r="B2269" s="44" t="n">
        <v>46330</v>
      </c>
      <c r="C2269" s="36" t="inlineStr">
        <is>
          <t>Northern Europe</t>
        </is>
      </c>
      <c r="D2269" s="36" t="inlineStr">
        <is>
          <t>Norway</t>
        </is>
      </c>
      <c r="E2269" s="36" t="inlineStr">
        <is>
          <t>Retail Partners</t>
        </is>
      </c>
      <c r="F2269" s="36" t="inlineStr">
        <is>
          <t>Business</t>
        </is>
      </c>
      <c r="G2269" s="36" t="inlineStr">
        <is>
          <t>Travel</t>
        </is>
      </c>
      <c r="H2269" s="36" t="inlineStr">
        <is>
          <t>Insulated Bottle</t>
        </is>
      </c>
      <c r="I2269" s="36" t="n">
        <v>1</v>
      </c>
      <c r="J2269" s="39" t="n">
        <v>35.94</v>
      </c>
      <c r="K2269" s="45" t="n">
        <v>0.05</v>
      </c>
      <c r="L2269" s="39" t="n">
        <v>13.39</v>
      </c>
      <c r="M2269" s="39">
        <f>I2269*J2269*(1-K2269)</f>
        <v/>
      </c>
      <c r="N2269" s="39">
        <f>I2269*L2269</f>
        <v/>
      </c>
      <c r="O2269" s="39">
        <f>M2269-N2269</f>
        <v/>
      </c>
      <c r="P2269" s="38">
        <f>IF(M2269=0,0,O2269/M2269)</f>
        <v/>
      </c>
      <c r="Q2269" s="36">
        <f>YEAR(B2269)</f>
        <v/>
      </c>
      <c r="R2269" s="36">
        <f>"Q"&amp;ROUNDUP(MONTH(B2269)/3,0)</f>
        <v/>
      </c>
      <c r="S2269" s="36">
        <f>MONTH(B2269)</f>
        <v/>
      </c>
      <c r="T2269" s="36">
        <f>TEXT(B2269,"mmm")</f>
        <v/>
      </c>
      <c r="U2269" s="36">
        <f>IF(AND(OR(sel_Region="All",C2269=sel_Region),OR(sel_Country="All",D2269=sel_Country),OR(sel_Channel="All",E2269=sel_Channel),OR(sel_Customer="All",F2269=sel_Customer),OR(sel_Category="All",G2269=sel_Category),OR(sel_Product="All",H2269=sel_Product),AND(S2269&gt;=m_From,S2269&lt;=m_To)),1,0)</f>
        <v/>
      </c>
      <c r="V2269" s="36">
        <f>IF(AND(OR(sel_Region="All",C2269=sel_Region),OR(sel_Channel="All",E2269=sel_Channel),OR(sel_Customer="All",F2269=sel_Customer),OR(sel_Category="All",G2269=sel_Category),OR(sel_Product="All",H2269=sel_Product),AND(S2269&gt;=m_From,S2269&lt;=m_To)),1,0)</f>
        <v/>
      </c>
      <c r="W2269" s="36">
        <f>IF(AND(OR(sel_Region="All",C2269=sel_Region),OR(sel_Country="All",D2269=sel_Country),OR(sel_Customer="All",F2269=sel_Customer),OR(sel_Category="All",G2269=sel_Category),OR(sel_Product="All",H2269=sel_Product),AND(S2269&gt;=m_From,S2269&lt;=m_To)),1,0)</f>
        <v/>
      </c>
      <c r="X2269" s="36">
        <f>IF(AND(OR(sel_Region="All",C2269=sel_Region),OR(sel_Country="All",D2269=sel_Country),OR(sel_Channel="All",E2269=sel_Channel),OR(sel_Category="All",G2269=sel_Category),OR(sel_Product="All",H2269=sel_Product),AND(S2269&gt;=m_From,S2269&lt;=m_To)),1,0)</f>
        <v/>
      </c>
      <c r="Y2269" s="36">
        <f>IF(AND(OR(sel_Region="All",C2269=sel_Region),OR(sel_Country="All",D2269=sel_Country),OR(sel_Channel="All",E2269=sel_Channel),OR(sel_Customer="All",F2269=sel_Customer),OR(sel_Product="All",H2269=sel_Product),AND(S2269&gt;=m_From,S2269&lt;=m_To)),1,0)</f>
        <v/>
      </c>
      <c r="Z2269" s="36">
        <f>IF(AND(OR(sel_Region="All",C2269=sel_Region),OR(sel_Country="All",D2269=sel_Country),OR(sel_Channel="All",E2269=sel_Channel),OR(sel_Customer="All",F2269=sel_Customer),OR(sel_Category="All",G2269=sel_Category),AND(S2269&gt;=m_From,S2269&lt;=m_To)),1,0)</f>
        <v/>
      </c>
      <c r="AA2269" s="36">
        <f>IF(AND(OR(sel_Region="All",C2269=sel_Region),OR(sel_Country="All",D2269=sel_Country),OR(sel_Channel="All",E2269=sel_Channel),OR(sel_Customer="All",F2269=sel_Customer),OR(sel_Category="All",G2269=sel_Category),OR(sel_Product="All",H2269=sel_Product)),1,0)</f>
        <v/>
      </c>
    </row>
    <row r="2270">
      <c r="A2270" s="36" t="inlineStr">
        <is>
          <t>02645</t>
        </is>
      </c>
      <c r="B2270" s="44" t="n">
        <v>46330</v>
      </c>
      <c r="C2270" s="36" t="inlineStr">
        <is>
          <t>Southern Europe</t>
        </is>
      </c>
      <c r="D2270" s="36" t="inlineStr">
        <is>
          <t>Italy</t>
        </is>
      </c>
      <c r="E2270" s="36" t="inlineStr">
        <is>
          <t>Retail Partners</t>
        </is>
      </c>
      <c r="F2270" s="36" t="inlineStr">
        <is>
          <t>New</t>
        </is>
      </c>
      <c r="G2270" s="36" t="inlineStr">
        <is>
          <t>Hiking</t>
        </is>
      </c>
      <c r="H2270" s="36" t="inlineStr">
        <is>
          <t>Trekking Poles</t>
        </is>
      </c>
      <c r="I2270" s="36" t="n">
        <v>4</v>
      </c>
      <c r="J2270" s="39" t="n">
        <v>70.01000000000001</v>
      </c>
      <c r="K2270" s="45" t="n">
        <v>0.05</v>
      </c>
      <c r="L2270" s="39" t="n">
        <v>31.43</v>
      </c>
      <c r="M2270" s="39">
        <f>I2270*J2270*(1-K2270)</f>
        <v/>
      </c>
      <c r="N2270" s="39">
        <f>I2270*L2270</f>
        <v/>
      </c>
      <c r="O2270" s="39">
        <f>M2270-N2270</f>
        <v/>
      </c>
      <c r="P2270" s="38">
        <f>IF(M2270=0,0,O2270/M2270)</f>
        <v/>
      </c>
      <c r="Q2270" s="36">
        <f>YEAR(B2270)</f>
        <v/>
      </c>
      <c r="R2270" s="36">
        <f>"Q"&amp;ROUNDUP(MONTH(B2270)/3,0)</f>
        <v/>
      </c>
      <c r="S2270" s="36">
        <f>MONTH(B2270)</f>
        <v/>
      </c>
      <c r="T2270" s="36">
        <f>TEXT(B2270,"mmm")</f>
        <v/>
      </c>
      <c r="U2270" s="36">
        <f>IF(AND(OR(sel_Region="All",C2270=sel_Region),OR(sel_Country="All",D2270=sel_Country),OR(sel_Channel="All",E2270=sel_Channel),OR(sel_Customer="All",F2270=sel_Customer),OR(sel_Category="All",G2270=sel_Category),OR(sel_Product="All",H2270=sel_Product),AND(S2270&gt;=m_From,S2270&lt;=m_To)),1,0)</f>
        <v/>
      </c>
      <c r="V2270" s="36">
        <f>IF(AND(OR(sel_Region="All",C2270=sel_Region),OR(sel_Channel="All",E2270=sel_Channel),OR(sel_Customer="All",F2270=sel_Customer),OR(sel_Category="All",G2270=sel_Category),OR(sel_Product="All",H2270=sel_Product),AND(S2270&gt;=m_From,S2270&lt;=m_To)),1,0)</f>
        <v/>
      </c>
      <c r="W2270" s="36">
        <f>IF(AND(OR(sel_Region="All",C2270=sel_Region),OR(sel_Country="All",D2270=sel_Country),OR(sel_Customer="All",F2270=sel_Customer),OR(sel_Category="All",G2270=sel_Category),OR(sel_Product="All",H2270=sel_Product),AND(S2270&gt;=m_From,S2270&lt;=m_To)),1,0)</f>
        <v/>
      </c>
      <c r="X2270" s="36">
        <f>IF(AND(OR(sel_Region="All",C2270=sel_Region),OR(sel_Country="All",D2270=sel_Country),OR(sel_Channel="All",E2270=sel_Channel),OR(sel_Category="All",G2270=sel_Category),OR(sel_Product="All",H2270=sel_Product),AND(S2270&gt;=m_From,S2270&lt;=m_To)),1,0)</f>
        <v/>
      </c>
      <c r="Y2270" s="36">
        <f>IF(AND(OR(sel_Region="All",C2270=sel_Region),OR(sel_Country="All",D2270=sel_Country),OR(sel_Channel="All",E2270=sel_Channel),OR(sel_Customer="All",F2270=sel_Customer),OR(sel_Product="All",H2270=sel_Product),AND(S2270&gt;=m_From,S2270&lt;=m_To)),1,0)</f>
        <v/>
      </c>
      <c r="Z2270" s="36">
        <f>IF(AND(OR(sel_Region="All",C2270=sel_Region),OR(sel_Country="All",D2270=sel_Country),OR(sel_Channel="All",E2270=sel_Channel),OR(sel_Customer="All",F2270=sel_Customer),OR(sel_Category="All",G2270=sel_Category),AND(S2270&gt;=m_From,S2270&lt;=m_To)),1,0)</f>
        <v/>
      </c>
      <c r="AA2270" s="36">
        <f>IF(AND(OR(sel_Region="All",C2270=sel_Region),OR(sel_Country="All",D2270=sel_Country),OR(sel_Channel="All",E2270=sel_Channel),OR(sel_Customer="All",F2270=sel_Customer),OR(sel_Category="All",G2270=sel_Category),OR(sel_Product="All",H2270=sel_Product)),1,0)</f>
        <v/>
      </c>
    </row>
    <row r="2271">
      <c r="A2271" s="36" t="inlineStr">
        <is>
          <t>03539</t>
        </is>
      </c>
      <c r="B2271" s="44" t="n">
        <v>46330</v>
      </c>
      <c r="C2271" s="36" t="inlineStr">
        <is>
          <t>Southern Europe</t>
        </is>
      </c>
      <c r="D2271" s="36" t="inlineStr">
        <is>
          <t>Italy</t>
        </is>
      </c>
      <c r="E2271" s="36" t="inlineStr">
        <is>
          <t>Marketplace</t>
        </is>
      </c>
      <c r="F2271" s="36" t="inlineStr">
        <is>
          <t>Returning</t>
        </is>
      </c>
      <c r="G2271" s="36" t="inlineStr">
        <is>
          <t>Hiking</t>
        </is>
      </c>
      <c r="H2271" s="36" t="inlineStr">
        <is>
          <t>Summit Backpack 45L</t>
        </is>
      </c>
      <c r="I2271" s="36" t="n">
        <v>3</v>
      </c>
      <c r="J2271" s="39" t="n">
        <v>152.32</v>
      </c>
      <c r="K2271" s="45" t="n">
        <v>0.1</v>
      </c>
      <c r="L2271" s="39" t="n">
        <v>79.36</v>
      </c>
      <c r="M2271" s="39">
        <f>I2271*J2271*(1-K2271)</f>
        <v/>
      </c>
      <c r="N2271" s="39">
        <f>I2271*L2271</f>
        <v/>
      </c>
      <c r="O2271" s="39">
        <f>M2271-N2271</f>
        <v/>
      </c>
      <c r="P2271" s="38">
        <f>IF(M2271=0,0,O2271/M2271)</f>
        <v/>
      </c>
      <c r="Q2271" s="36">
        <f>YEAR(B2271)</f>
        <v/>
      </c>
      <c r="R2271" s="36">
        <f>"Q"&amp;ROUNDUP(MONTH(B2271)/3,0)</f>
        <v/>
      </c>
      <c r="S2271" s="36">
        <f>MONTH(B2271)</f>
        <v/>
      </c>
      <c r="T2271" s="36">
        <f>TEXT(B2271,"mmm")</f>
        <v/>
      </c>
      <c r="U2271" s="36">
        <f>IF(AND(OR(sel_Region="All",C2271=sel_Region),OR(sel_Country="All",D2271=sel_Country),OR(sel_Channel="All",E2271=sel_Channel),OR(sel_Customer="All",F2271=sel_Customer),OR(sel_Category="All",G2271=sel_Category),OR(sel_Product="All",H2271=sel_Product),AND(S2271&gt;=m_From,S2271&lt;=m_To)),1,0)</f>
        <v/>
      </c>
      <c r="V2271" s="36">
        <f>IF(AND(OR(sel_Region="All",C2271=sel_Region),OR(sel_Channel="All",E2271=sel_Channel),OR(sel_Customer="All",F2271=sel_Customer),OR(sel_Category="All",G2271=sel_Category),OR(sel_Product="All",H2271=sel_Product),AND(S2271&gt;=m_From,S2271&lt;=m_To)),1,0)</f>
        <v/>
      </c>
      <c r="W2271" s="36">
        <f>IF(AND(OR(sel_Region="All",C2271=sel_Region),OR(sel_Country="All",D2271=sel_Country),OR(sel_Customer="All",F2271=sel_Customer),OR(sel_Category="All",G2271=sel_Category),OR(sel_Product="All",H2271=sel_Product),AND(S2271&gt;=m_From,S2271&lt;=m_To)),1,0)</f>
        <v/>
      </c>
      <c r="X2271" s="36">
        <f>IF(AND(OR(sel_Region="All",C2271=sel_Region),OR(sel_Country="All",D2271=sel_Country),OR(sel_Channel="All",E2271=sel_Channel),OR(sel_Category="All",G2271=sel_Category),OR(sel_Product="All",H2271=sel_Product),AND(S2271&gt;=m_From,S2271&lt;=m_To)),1,0)</f>
        <v/>
      </c>
      <c r="Y2271" s="36">
        <f>IF(AND(OR(sel_Region="All",C2271=sel_Region),OR(sel_Country="All",D2271=sel_Country),OR(sel_Channel="All",E2271=sel_Channel),OR(sel_Customer="All",F2271=sel_Customer),OR(sel_Product="All",H2271=sel_Product),AND(S2271&gt;=m_From,S2271&lt;=m_To)),1,0)</f>
        <v/>
      </c>
      <c r="Z2271" s="36">
        <f>IF(AND(OR(sel_Region="All",C2271=sel_Region),OR(sel_Country="All",D2271=sel_Country),OR(sel_Channel="All",E2271=sel_Channel),OR(sel_Customer="All",F2271=sel_Customer),OR(sel_Category="All",G2271=sel_Category),AND(S2271&gt;=m_From,S2271&lt;=m_To)),1,0)</f>
        <v/>
      </c>
      <c r="AA2271" s="36">
        <f>IF(AND(OR(sel_Region="All",C2271=sel_Region),OR(sel_Country="All",D2271=sel_Country),OR(sel_Channel="All",E2271=sel_Channel),OR(sel_Customer="All",F2271=sel_Customer),OR(sel_Category="All",G2271=sel_Category),OR(sel_Product="All",H2271=sel_Product)),1,0)</f>
        <v/>
      </c>
    </row>
    <row r="2272">
      <c r="A2272" s="36" t="inlineStr">
        <is>
          <t>04309</t>
        </is>
      </c>
      <c r="B2272" s="44" t="n">
        <v>46330</v>
      </c>
      <c r="C2272" s="36" t="inlineStr">
        <is>
          <t>Western Europe</t>
        </is>
      </c>
      <c r="D2272" s="36" t="inlineStr">
        <is>
          <t>United Kingdom</t>
        </is>
      </c>
      <c r="E2272" s="36" t="inlineStr">
        <is>
          <t>Online Store</t>
        </is>
      </c>
      <c r="F2272" s="36" t="inlineStr">
        <is>
          <t>Business</t>
        </is>
      </c>
      <c r="G2272" s="36" t="inlineStr">
        <is>
          <t>Cycling</t>
        </is>
      </c>
      <c r="H2272" s="36" t="inlineStr">
        <is>
          <t>Trail Bike Light</t>
        </is>
      </c>
      <c r="I2272" s="36" t="n">
        <v>1</v>
      </c>
      <c r="J2272" s="39" t="n">
        <v>50.32</v>
      </c>
      <c r="K2272" s="45" t="n">
        <v>0.05</v>
      </c>
      <c r="L2272" s="39" t="n">
        <v>22.46</v>
      </c>
      <c r="M2272" s="39">
        <f>I2272*J2272*(1-K2272)</f>
        <v/>
      </c>
      <c r="N2272" s="39">
        <f>I2272*L2272</f>
        <v/>
      </c>
      <c r="O2272" s="39">
        <f>M2272-N2272</f>
        <v/>
      </c>
      <c r="P2272" s="38">
        <f>IF(M2272=0,0,O2272/M2272)</f>
        <v/>
      </c>
      <c r="Q2272" s="36">
        <f>YEAR(B2272)</f>
        <v/>
      </c>
      <c r="R2272" s="36">
        <f>"Q"&amp;ROUNDUP(MONTH(B2272)/3,0)</f>
        <v/>
      </c>
      <c r="S2272" s="36">
        <f>MONTH(B2272)</f>
        <v/>
      </c>
      <c r="T2272" s="36">
        <f>TEXT(B2272,"mmm")</f>
        <v/>
      </c>
      <c r="U2272" s="36">
        <f>IF(AND(OR(sel_Region="All",C2272=sel_Region),OR(sel_Country="All",D2272=sel_Country),OR(sel_Channel="All",E2272=sel_Channel),OR(sel_Customer="All",F2272=sel_Customer),OR(sel_Category="All",G2272=sel_Category),OR(sel_Product="All",H2272=sel_Product),AND(S2272&gt;=m_From,S2272&lt;=m_To)),1,0)</f>
        <v/>
      </c>
      <c r="V2272" s="36">
        <f>IF(AND(OR(sel_Region="All",C2272=sel_Region),OR(sel_Channel="All",E2272=sel_Channel),OR(sel_Customer="All",F2272=sel_Customer),OR(sel_Category="All",G2272=sel_Category),OR(sel_Product="All",H2272=sel_Product),AND(S2272&gt;=m_From,S2272&lt;=m_To)),1,0)</f>
        <v/>
      </c>
      <c r="W2272" s="36">
        <f>IF(AND(OR(sel_Region="All",C2272=sel_Region),OR(sel_Country="All",D2272=sel_Country),OR(sel_Customer="All",F2272=sel_Customer),OR(sel_Category="All",G2272=sel_Category),OR(sel_Product="All",H2272=sel_Product),AND(S2272&gt;=m_From,S2272&lt;=m_To)),1,0)</f>
        <v/>
      </c>
      <c r="X2272" s="36">
        <f>IF(AND(OR(sel_Region="All",C2272=sel_Region),OR(sel_Country="All",D2272=sel_Country),OR(sel_Channel="All",E2272=sel_Channel),OR(sel_Category="All",G2272=sel_Category),OR(sel_Product="All",H2272=sel_Product),AND(S2272&gt;=m_From,S2272&lt;=m_To)),1,0)</f>
        <v/>
      </c>
      <c r="Y2272" s="36">
        <f>IF(AND(OR(sel_Region="All",C2272=sel_Region),OR(sel_Country="All",D2272=sel_Country),OR(sel_Channel="All",E2272=sel_Channel),OR(sel_Customer="All",F2272=sel_Customer),OR(sel_Product="All",H2272=sel_Product),AND(S2272&gt;=m_From,S2272&lt;=m_To)),1,0)</f>
        <v/>
      </c>
      <c r="Z2272" s="36">
        <f>IF(AND(OR(sel_Region="All",C2272=sel_Region),OR(sel_Country="All",D2272=sel_Country),OR(sel_Channel="All",E2272=sel_Channel),OR(sel_Customer="All",F2272=sel_Customer),OR(sel_Category="All",G2272=sel_Category),AND(S2272&gt;=m_From,S2272&lt;=m_To)),1,0)</f>
        <v/>
      </c>
      <c r="AA2272" s="36">
        <f>IF(AND(OR(sel_Region="All",C2272=sel_Region),OR(sel_Country="All",D2272=sel_Country),OR(sel_Channel="All",E2272=sel_Channel),OR(sel_Customer="All",F2272=sel_Customer),OR(sel_Category="All",G2272=sel_Category),OR(sel_Product="All",H2272=sel_Product)),1,0)</f>
        <v/>
      </c>
    </row>
    <row r="2273">
      <c r="A2273" s="36" t="inlineStr">
        <is>
          <t>04355</t>
        </is>
      </c>
      <c r="B2273" s="44" t="n">
        <v>46330</v>
      </c>
      <c r="C2273" s="36" t="inlineStr">
        <is>
          <t>Northern Europe</t>
        </is>
      </c>
      <c r="D2273" s="36" t="inlineStr">
        <is>
          <t>Sweden</t>
        </is>
      </c>
      <c r="E2273" s="36" t="inlineStr">
        <is>
          <t>Retail Partners</t>
        </is>
      </c>
      <c r="F2273" s="36" t="inlineStr">
        <is>
          <t>Returning</t>
        </is>
      </c>
      <c r="G2273" s="36" t="inlineStr">
        <is>
          <t>Hiking</t>
        </is>
      </c>
      <c r="H2273" s="36" t="inlineStr">
        <is>
          <t>Summit Backpack 45L</t>
        </is>
      </c>
      <c r="I2273" s="36" t="n">
        <v>2</v>
      </c>
      <c r="J2273" s="39" t="n">
        <v>151.04</v>
      </c>
      <c r="K2273" s="45" t="n">
        <v>0.15</v>
      </c>
      <c r="L2273" s="39" t="n">
        <v>76.97</v>
      </c>
      <c r="M2273" s="39">
        <f>I2273*J2273*(1-K2273)</f>
        <v/>
      </c>
      <c r="N2273" s="39">
        <f>I2273*L2273</f>
        <v/>
      </c>
      <c r="O2273" s="39">
        <f>M2273-N2273</f>
        <v/>
      </c>
      <c r="P2273" s="38">
        <f>IF(M2273=0,0,O2273/M2273)</f>
        <v/>
      </c>
      <c r="Q2273" s="36">
        <f>YEAR(B2273)</f>
        <v/>
      </c>
      <c r="R2273" s="36">
        <f>"Q"&amp;ROUNDUP(MONTH(B2273)/3,0)</f>
        <v/>
      </c>
      <c r="S2273" s="36">
        <f>MONTH(B2273)</f>
        <v/>
      </c>
      <c r="T2273" s="36">
        <f>TEXT(B2273,"mmm")</f>
        <v/>
      </c>
      <c r="U2273" s="36">
        <f>IF(AND(OR(sel_Region="All",C2273=sel_Region),OR(sel_Country="All",D2273=sel_Country),OR(sel_Channel="All",E2273=sel_Channel),OR(sel_Customer="All",F2273=sel_Customer),OR(sel_Category="All",G2273=sel_Category),OR(sel_Product="All",H2273=sel_Product),AND(S2273&gt;=m_From,S2273&lt;=m_To)),1,0)</f>
        <v/>
      </c>
      <c r="V2273" s="36">
        <f>IF(AND(OR(sel_Region="All",C2273=sel_Region),OR(sel_Channel="All",E2273=sel_Channel),OR(sel_Customer="All",F2273=sel_Customer),OR(sel_Category="All",G2273=sel_Category),OR(sel_Product="All",H2273=sel_Product),AND(S2273&gt;=m_From,S2273&lt;=m_To)),1,0)</f>
        <v/>
      </c>
      <c r="W2273" s="36">
        <f>IF(AND(OR(sel_Region="All",C2273=sel_Region),OR(sel_Country="All",D2273=sel_Country),OR(sel_Customer="All",F2273=sel_Customer),OR(sel_Category="All",G2273=sel_Category),OR(sel_Product="All",H2273=sel_Product),AND(S2273&gt;=m_From,S2273&lt;=m_To)),1,0)</f>
        <v/>
      </c>
      <c r="X2273" s="36">
        <f>IF(AND(OR(sel_Region="All",C2273=sel_Region),OR(sel_Country="All",D2273=sel_Country),OR(sel_Channel="All",E2273=sel_Channel),OR(sel_Category="All",G2273=sel_Category),OR(sel_Product="All",H2273=sel_Product),AND(S2273&gt;=m_From,S2273&lt;=m_To)),1,0)</f>
        <v/>
      </c>
      <c r="Y2273" s="36">
        <f>IF(AND(OR(sel_Region="All",C2273=sel_Region),OR(sel_Country="All",D2273=sel_Country),OR(sel_Channel="All",E2273=sel_Channel),OR(sel_Customer="All",F2273=sel_Customer),OR(sel_Product="All",H2273=sel_Product),AND(S2273&gt;=m_From,S2273&lt;=m_To)),1,0)</f>
        <v/>
      </c>
      <c r="Z2273" s="36">
        <f>IF(AND(OR(sel_Region="All",C2273=sel_Region),OR(sel_Country="All",D2273=sel_Country),OR(sel_Channel="All",E2273=sel_Channel),OR(sel_Customer="All",F2273=sel_Customer),OR(sel_Category="All",G2273=sel_Category),AND(S2273&gt;=m_From,S2273&lt;=m_To)),1,0)</f>
        <v/>
      </c>
      <c r="AA2273" s="36">
        <f>IF(AND(OR(sel_Region="All",C2273=sel_Region),OR(sel_Country="All",D2273=sel_Country),OR(sel_Channel="All",E2273=sel_Channel),OR(sel_Customer="All",F2273=sel_Customer),OR(sel_Category="All",G2273=sel_Category),OR(sel_Product="All",H2273=sel_Product)),1,0)</f>
        <v/>
      </c>
    </row>
    <row r="2274">
      <c r="A2274" s="36" t="inlineStr">
        <is>
          <t>05052</t>
        </is>
      </c>
      <c r="B2274" s="44" t="n">
        <v>46330</v>
      </c>
      <c r="C2274" s="36" t="inlineStr">
        <is>
          <t>Southern Europe</t>
        </is>
      </c>
      <c r="D2274" s="36" t="inlineStr">
        <is>
          <t>Italy</t>
        </is>
      </c>
      <c r="E2274" s="36" t="inlineStr">
        <is>
          <t>Marketplace</t>
        </is>
      </c>
      <c r="F2274" s="36" t="inlineStr">
        <is>
          <t>Returning</t>
        </is>
      </c>
      <c r="G2274" s="36" t="inlineStr">
        <is>
          <t>Cycling</t>
        </is>
      </c>
      <c r="H2274" s="36" t="inlineStr">
        <is>
          <t>Compact Repair Kit</t>
        </is>
      </c>
      <c r="I2274" s="36" t="n">
        <v>3</v>
      </c>
      <c r="J2274" s="39" t="n">
        <v>41.12</v>
      </c>
      <c r="K2274" s="45" t="n">
        <v>0.1</v>
      </c>
      <c r="L2274" s="39" t="n">
        <v>16.67</v>
      </c>
      <c r="M2274" s="39">
        <f>I2274*J2274*(1-K2274)</f>
        <v/>
      </c>
      <c r="N2274" s="39">
        <f>I2274*L2274</f>
        <v/>
      </c>
      <c r="O2274" s="39">
        <f>M2274-N2274</f>
        <v/>
      </c>
      <c r="P2274" s="38">
        <f>IF(M2274=0,0,O2274/M2274)</f>
        <v/>
      </c>
      <c r="Q2274" s="36">
        <f>YEAR(B2274)</f>
        <v/>
      </c>
      <c r="R2274" s="36">
        <f>"Q"&amp;ROUNDUP(MONTH(B2274)/3,0)</f>
        <v/>
      </c>
      <c r="S2274" s="36">
        <f>MONTH(B2274)</f>
        <v/>
      </c>
      <c r="T2274" s="36">
        <f>TEXT(B2274,"mmm")</f>
        <v/>
      </c>
      <c r="U2274" s="36">
        <f>IF(AND(OR(sel_Region="All",C2274=sel_Region),OR(sel_Country="All",D2274=sel_Country),OR(sel_Channel="All",E2274=sel_Channel),OR(sel_Customer="All",F2274=sel_Customer),OR(sel_Category="All",G2274=sel_Category),OR(sel_Product="All",H2274=sel_Product),AND(S2274&gt;=m_From,S2274&lt;=m_To)),1,0)</f>
        <v/>
      </c>
      <c r="V2274" s="36">
        <f>IF(AND(OR(sel_Region="All",C2274=sel_Region),OR(sel_Channel="All",E2274=sel_Channel),OR(sel_Customer="All",F2274=sel_Customer),OR(sel_Category="All",G2274=sel_Category),OR(sel_Product="All",H2274=sel_Product),AND(S2274&gt;=m_From,S2274&lt;=m_To)),1,0)</f>
        <v/>
      </c>
      <c r="W2274" s="36">
        <f>IF(AND(OR(sel_Region="All",C2274=sel_Region),OR(sel_Country="All",D2274=sel_Country),OR(sel_Customer="All",F2274=sel_Customer),OR(sel_Category="All",G2274=sel_Category),OR(sel_Product="All",H2274=sel_Product),AND(S2274&gt;=m_From,S2274&lt;=m_To)),1,0)</f>
        <v/>
      </c>
      <c r="X2274" s="36">
        <f>IF(AND(OR(sel_Region="All",C2274=sel_Region),OR(sel_Country="All",D2274=sel_Country),OR(sel_Channel="All",E2274=sel_Channel),OR(sel_Category="All",G2274=sel_Category),OR(sel_Product="All",H2274=sel_Product),AND(S2274&gt;=m_From,S2274&lt;=m_To)),1,0)</f>
        <v/>
      </c>
      <c r="Y2274" s="36">
        <f>IF(AND(OR(sel_Region="All",C2274=sel_Region),OR(sel_Country="All",D2274=sel_Country),OR(sel_Channel="All",E2274=sel_Channel),OR(sel_Customer="All",F2274=sel_Customer),OR(sel_Product="All",H2274=sel_Product),AND(S2274&gt;=m_From,S2274&lt;=m_To)),1,0)</f>
        <v/>
      </c>
      <c r="Z2274" s="36">
        <f>IF(AND(OR(sel_Region="All",C2274=sel_Region),OR(sel_Country="All",D2274=sel_Country),OR(sel_Channel="All",E2274=sel_Channel),OR(sel_Customer="All",F2274=sel_Customer),OR(sel_Category="All",G2274=sel_Category),AND(S2274&gt;=m_From,S2274&lt;=m_To)),1,0)</f>
        <v/>
      </c>
      <c r="AA2274" s="36">
        <f>IF(AND(OR(sel_Region="All",C2274=sel_Region),OR(sel_Country="All",D2274=sel_Country),OR(sel_Channel="All",E2274=sel_Channel),OR(sel_Customer="All",F2274=sel_Customer),OR(sel_Category="All",G2274=sel_Category),OR(sel_Product="All",H2274=sel_Product)),1,0)</f>
        <v/>
      </c>
    </row>
    <row r="2275">
      <c r="A2275" s="36" t="inlineStr">
        <is>
          <t>00009</t>
        </is>
      </c>
      <c r="B2275" s="44" t="n">
        <v>46331</v>
      </c>
      <c r="C2275" s="36" t="inlineStr">
        <is>
          <t>Southern Europe</t>
        </is>
      </c>
      <c r="D2275" s="36" t="inlineStr">
        <is>
          <t>Italy</t>
        </is>
      </c>
      <c r="E2275" s="36" t="inlineStr">
        <is>
          <t>Online Store</t>
        </is>
      </c>
      <c r="F2275" s="36" t="inlineStr">
        <is>
          <t>New</t>
        </is>
      </c>
      <c r="G2275" s="36" t="inlineStr">
        <is>
          <t>Hiking</t>
        </is>
      </c>
      <c r="H2275" s="36" t="inlineStr">
        <is>
          <t>Trail Boots</t>
        </is>
      </c>
      <c r="I2275" s="36" t="n">
        <v>1</v>
      </c>
      <c r="J2275" s="39" t="n">
        <v>140.59</v>
      </c>
      <c r="K2275" s="45" t="n">
        <v>0.1</v>
      </c>
      <c r="L2275" s="39" t="n">
        <v>79.51000000000001</v>
      </c>
      <c r="M2275" s="39">
        <f>I2275*J2275*(1-K2275)</f>
        <v/>
      </c>
      <c r="N2275" s="39">
        <f>I2275*L2275</f>
        <v/>
      </c>
      <c r="O2275" s="39">
        <f>M2275-N2275</f>
        <v/>
      </c>
      <c r="P2275" s="38">
        <f>IF(M2275=0,0,O2275/M2275)</f>
        <v/>
      </c>
      <c r="Q2275" s="36">
        <f>YEAR(B2275)</f>
        <v/>
      </c>
      <c r="R2275" s="36">
        <f>"Q"&amp;ROUNDUP(MONTH(B2275)/3,0)</f>
        <v/>
      </c>
      <c r="S2275" s="36">
        <f>MONTH(B2275)</f>
        <v/>
      </c>
      <c r="T2275" s="36">
        <f>TEXT(B2275,"mmm")</f>
        <v/>
      </c>
      <c r="U2275" s="36">
        <f>IF(AND(OR(sel_Region="All",C2275=sel_Region),OR(sel_Country="All",D2275=sel_Country),OR(sel_Channel="All",E2275=sel_Channel),OR(sel_Customer="All",F2275=sel_Customer),OR(sel_Category="All",G2275=sel_Category),OR(sel_Product="All",H2275=sel_Product),AND(S2275&gt;=m_From,S2275&lt;=m_To)),1,0)</f>
        <v/>
      </c>
      <c r="V2275" s="36">
        <f>IF(AND(OR(sel_Region="All",C2275=sel_Region),OR(sel_Channel="All",E2275=sel_Channel),OR(sel_Customer="All",F2275=sel_Customer),OR(sel_Category="All",G2275=sel_Category),OR(sel_Product="All",H2275=sel_Product),AND(S2275&gt;=m_From,S2275&lt;=m_To)),1,0)</f>
        <v/>
      </c>
      <c r="W2275" s="36">
        <f>IF(AND(OR(sel_Region="All",C2275=sel_Region),OR(sel_Country="All",D2275=sel_Country),OR(sel_Customer="All",F2275=sel_Customer),OR(sel_Category="All",G2275=sel_Category),OR(sel_Product="All",H2275=sel_Product),AND(S2275&gt;=m_From,S2275&lt;=m_To)),1,0)</f>
        <v/>
      </c>
      <c r="X2275" s="36">
        <f>IF(AND(OR(sel_Region="All",C2275=sel_Region),OR(sel_Country="All",D2275=sel_Country),OR(sel_Channel="All",E2275=sel_Channel),OR(sel_Category="All",G2275=sel_Category),OR(sel_Product="All",H2275=sel_Product),AND(S2275&gt;=m_From,S2275&lt;=m_To)),1,0)</f>
        <v/>
      </c>
      <c r="Y2275" s="36">
        <f>IF(AND(OR(sel_Region="All",C2275=sel_Region),OR(sel_Country="All",D2275=sel_Country),OR(sel_Channel="All",E2275=sel_Channel),OR(sel_Customer="All",F2275=sel_Customer),OR(sel_Product="All",H2275=sel_Product),AND(S2275&gt;=m_From,S2275&lt;=m_To)),1,0)</f>
        <v/>
      </c>
      <c r="Z2275" s="36">
        <f>IF(AND(OR(sel_Region="All",C2275=sel_Region),OR(sel_Country="All",D2275=sel_Country),OR(sel_Channel="All",E2275=sel_Channel),OR(sel_Customer="All",F2275=sel_Customer),OR(sel_Category="All",G2275=sel_Category),AND(S2275&gt;=m_From,S2275&lt;=m_To)),1,0)</f>
        <v/>
      </c>
      <c r="AA2275" s="36">
        <f>IF(AND(OR(sel_Region="All",C2275=sel_Region),OR(sel_Country="All",D2275=sel_Country),OR(sel_Channel="All",E2275=sel_Channel),OR(sel_Customer="All",F2275=sel_Customer),OR(sel_Category="All",G2275=sel_Category),OR(sel_Product="All",H2275=sel_Product)),1,0)</f>
        <v/>
      </c>
    </row>
    <row r="2276">
      <c r="A2276" s="36" t="inlineStr">
        <is>
          <t>00703</t>
        </is>
      </c>
      <c r="B2276" s="44" t="n">
        <v>46331</v>
      </c>
      <c r="C2276" s="36" t="inlineStr">
        <is>
          <t>Central Europe</t>
        </is>
      </c>
      <c r="D2276" s="36" t="inlineStr">
        <is>
          <t>Poland</t>
        </is>
      </c>
      <c r="E2276" s="36" t="inlineStr">
        <is>
          <t>Online Store</t>
        </is>
      </c>
      <c r="F2276" s="36" t="inlineStr">
        <is>
          <t>Returning</t>
        </is>
      </c>
      <c r="G2276" s="36" t="inlineStr">
        <is>
          <t>Travel</t>
        </is>
      </c>
      <c r="H2276" s="36" t="inlineStr">
        <is>
          <t>Travel Backpack 35L</t>
        </is>
      </c>
      <c r="I2276" s="36" t="n">
        <v>2</v>
      </c>
      <c r="J2276" s="39" t="n">
        <v>160.68</v>
      </c>
      <c r="K2276" s="45" t="n">
        <v>0</v>
      </c>
      <c r="L2276" s="39" t="n">
        <v>89.48999999999999</v>
      </c>
      <c r="M2276" s="39">
        <f>I2276*J2276*(1-K2276)</f>
        <v/>
      </c>
      <c r="N2276" s="39">
        <f>I2276*L2276</f>
        <v/>
      </c>
      <c r="O2276" s="39">
        <f>M2276-N2276</f>
        <v/>
      </c>
      <c r="P2276" s="38">
        <f>IF(M2276=0,0,O2276/M2276)</f>
        <v/>
      </c>
      <c r="Q2276" s="36">
        <f>YEAR(B2276)</f>
        <v/>
      </c>
      <c r="R2276" s="36">
        <f>"Q"&amp;ROUNDUP(MONTH(B2276)/3,0)</f>
        <v/>
      </c>
      <c r="S2276" s="36">
        <f>MONTH(B2276)</f>
        <v/>
      </c>
      <c r="T2276" s="36">
        <f>TEXT(B2276,"mmm")</f>
        <v/>
      </c>
      <c r="U2276" s="36">
        <f>IF(AND(OR(sel_Region="All",C2276=sel_Region),OR(sel_Country="All",D2276=sel_Country),OR(sel_Channel="All",E2276=sel_Channel),OR(sel_Customer="All",F2276=sel_Customer),OR(sel_Category="All",G2276=sel_Category),OR(sel_Product="All",H2276=sel_Product),AND(S2276&gt;=m_From,S2276&lt;=m_To)),1,0)</f>
        <v/>
      </c>
      <c r="V2276" s="36">
        <f>IF(AND(OR(sel_Region="All",C2276=sel_Region),OR(sel_Channel="All",E2276=sel_Channel),OR(sel_Customer="All",F2276=sel_Customer),OR(sel_Category="All",G2276=sel_Category),OR(sel_Product="All",H2276=sel_Product),AND(S2276&gt;=m_From,S2276&lt;=m_To)),1,0)</f>
        <v/>
      </c>
      <c r="W2276" s="36">
        <f>IF(AND(OR(sel_Region="All",C2276=sel_Region),OR(sel_Country="All",D2276=sel_Country),OR(sel_Customer="All",F2276=sel_Customer),OR(sel_Category="All",G2276=sel_Category),OR(sel_Product="All",H2276=sel_Product),AND(S2276&gt;=m_From,S2276&lt;=m_To)),1,0)</f>
        <v/>
      </c>
      <c r="X2276" s="36">
        <f>IF(AND(OR(sel_Region="All",C2276=sel_Region),OR(sel_Country="All",D2276=sel_Country),OR(sel_Channel="All",E2276=sel_Channel),OR(sel_Category="All",G2276=sel_Category),OR(sel_Product="All",H2276=sel_Product),AND(S2276&gt;=m_From,S2276&lt;=m_To)),1,0)</f>
        <v/>
      </c>
      <c r="Y2276" s="36">
        <f>IF(AND(OR(sel_Region="All",C2276=sel_Region),OR(sel_Country="All",D2276=sel_Country),OR(sel_Channel="All",E2276=sel_Channel),OR(sel_Customer="All",F2276=sel_Customer),OR(sel_Product="All",H2276=sel_Product),AND(S2276&gt;=m_From,S2276&lt;=m_To)),1,0)</f>
        <v/>
      </c>
      <c r="Z2276" s="36">
        <f>IF(AND(OR(sel_Region="All",C2276=sel_Region),OR(sel_Country="All",D2276=sel_Country),OR(sel_Channel="All",E2276=sel_Channel),OR(sel_Customer="All",F2276=sel_Customer),OR(sel_Category="All",G2276=sel_Category),AND(S2276&gt;=m_From,S2276&lt;=m_To)),1,0)</f>
        <v/>
      </c>
      <c r="AA2276" s="36">
        <f>IF(AND(OR(sel_Region="All",C2276=sel_Region),OR(sel_Country="All",D2276=sel_Country),OR(sel_Channel="All",E2276=sel_Channel),OR(sel_Customer="All",F2276=sel_Customer),OR(sel_Category="All",G2276=sel_Category),OR(sel_Product="All",H2276=sel_Product)),1,0)</f>
        <v/>
      </c>
    </row>
    <row r="2277">
      <c r="A2277" s="36" t="inlineStr">
        <is>
          <t>01627</t>
        </is>
      </c>
      <c r="B2277" s="44" t="n">
        <v>46331</v>
      </c>
      <c r="C2277" s="36" t="inlineStr">
        <is>
          <t>Western Europe</t>
        </is>
      </c>
      <c r="D2277" s="36" t="inlineStr">
        <is>
          <t>Belgium</t>
        </is>
      </c>
      <c r="E2277" s="36" t="inlineStr">
        <is>
          <t>Online Store</t>
        </is>
      </c>
      <c r="F2277" s="36" t="inlineStr">
        <is>
          <t>Returning</t>
        </is>
      </c>
      <c r="G2277" s="36" t="inlineStr">
        <is>
          <t>Fitness</t>
        </is>
      </c>
      <c r="H2277" s="36" t="inlineStr">
        <is>
          <t>Training Mat</t>
        </is>
      </c>
      <c r="I2277" s="36" t="n">
        <v>6</v>
      </c>
      <c r="J2277" s="39" t="n">
        <v>49.7</v>
      </c>
      <c r="K2277" s="45" t="n">
        <v>0</v>
      </c>
      <c r="L2277" s="39" t="n">
        <v>22.34</v>
      </c>
      <c r="M2277" s="39">
        <f>I2277*J2277*(1-K2277)</f>
        <v/>
      </c>
      <c r="N2277" s="39">
        <f>I2277*L2277</f>
        <v/>
      </c>
      <c r="O2277" s="39">
        <f>M2277-N2277</f>
        <v/>
      </c>
      <c r="P2277" s="38">
        <f>IF(M2277=0,0,O2277/M2277)</f>
        <v/>
      </c>
      <c r="Q2277" s="36">
        <f>YEAR(B2277)</f>
        <v/>
      </c>
      <c r="R2277" s="36">
        <f>"Q"&amp;ROUNDUP(MONTH(B2277)/3,0)</f>
        <v/>
      </c>
      <c r="S2277" s="36">
        <f>MONTH(B2277)</f>
        <v/>
      </c>
      <c r="T2277" s="36">
        <f>TEXT(B2277,"mmm")</f>
        <v/>
      </c>
      <c r="U2277" s="36">
        <f>IF(AND(OR(sel_Region="All",C2277=sel_Region),OR(sel_Country="All",D2277=sel_Country),OR(sel_Channel="All",E2277=sel_Channel),OR(sel_Customer="All",F2277=sel_Customer),OR(sel_Category="All",G2277=sel_Category),OR(sel_Product="All",H2277=sel_Product),AND(S2277&gt;=m_From,S2277&lt;=m_To)),1,0)</f>
        <v/>
      </c>
      <c r="V2277" s="36">
        <f>IF(AND(OR(sel_Region="All",C2277=sel_Region),OR(sel_Channel="All",E2277=sel_Channel),OR(sel_Customer="All",F2277=sel_Customer),OR(sel_Category="All",G2277=sel_Category),OR(sel_Product="All",H2277=sel_Product),AND(S2277&gt;=m_From,S2277&lt;=m_To)),1,0)</f>
        <v/>
      </c>
      <c r="W2277" s="36">
        <f>IF(AND(OR(sel_Region="All",C2277=sel_Region),OR(sel_Country="All",D2277=sel_Country),OR(sel_Customer="All",F2277=sel_Customer),OR(sel_Category="All",G2277=sel_Category),OR(sel_Product="All",H2277=sel_Product),AND(S2277&gt;=m_From,S2277&lt;=m_To)),1,0)</f>
        <v/>
      </c>
      <c r="X2277" s="36">
        <f>IF(AND(OR(sel_Region="All",C2277=sel_Region),OR(sel_Country="All",D2277=sel_Country),OR(sel_Channel="All",E2277=sel_Channel),OR(sel_Category="All",G2277=sel_Category),OR(sel_Product="All",H2277=sel_Product),AND(S2277&gt;=m_From,S2277&lt;=m_To)),1,0)</f>
        <v/>
      </c>
      <c r="Y2277" s="36">
        <f>IF(AND(OR(sel_Region="All",C2277=sel_Region),OR(sel_Country="All",D2277=sel_Country),OR(sel_Channel="All",E2277=sel_Channel),OR(sel_Customer="All",F2277=sel_Customer),OR(sel_Product="All",H2277=sel_Product),AND(S2277&gt;=m_From,S2277&lt;=m_To)),1,0)</f>
        <v/>
      </c>
      <c r="Z2277" s="36">
        <f>IF(AND(OR(sel_Region="All",C2277=sel_Region),OR(sel_Country="All",D2277=sel_Country),OR(sel_Channel="All",E2277=sel_Channel),OR(sel_Customer="All",F2277=sel_Customer),OR(sel_Category="All",G2277=sel_Category),AND(S2277&gt;=m_From,S2277&lt;=m_To)),1,0)</f>
        <v/>
      </c>
      <c r="AA2277" s="36">
        <f>IF(AND(OR(sel_Region="All",C2277=sel_Region),OR(sel_Country="All",D2277=sel_Country),OR(sel_Channel="All",E2277=sel_Channel),OR(sel_Customer="All",F2277=sel_Customer),OR(sel_Category="All",G2277=sel_Category),OR(sel_Product="All",H2277=sel_Product)),1,0)</f>
        <v/>
      </c>
    </row>
    <row r="2278">
      <c r="A2278" s="36" t="inlineStr">
        <is>
          <t>01760</t>
        </is>
      </c>
      <c r="B2278" s="44" t="n">
        <v>46331</v>
      </c>
      <c r="C2278" s="36" t="inlineStr">
        <is>
          <t>Central Europe</t>
        </is>
      </c>
      <c r="D2278" s="36" t="inlineStr">
        <is>
          <t>Switzerland</t>
        </is>
      </c>
      <c r="E2278" s="36" t="inlineStr">
        <is>
          <t>Retail Partners</t>
        </is>
      </c>
      <c r="F2278" s="36" t="inlineStr">
        <is>
          <t>Returning</t>
        </is>
      </c>
      <c r="G2278" s="36" t="inlineStr">
        <is>
          <t>Cycling</t>
        </is>
      </c>
      <c r="H2278" s="36" t="inlineStr">
        <is>
          <t>Commuter Helmet</t>
        </is>
      </c>
      <c r="I2278" s="36" t="n">
        <v>3</v>
      </c>
      <c r="J2278" s="39" t="n">
        <v>80.40000000000001</v>
      </c>
      <c r="K2278" s="45" t="n">
        <v>0.05</v>
      </c>
      <c r="L2278" s="39" t="n">
        <v>42.82</v>
      </c>
      <c r="M2278" s="39">
        <f>I2278*J2278*(1-K2278)</f>
        <v/>
      </c>
      <c r="N2278" s="39">
        <f>I2278*L2278</f>
        <v/>
      </c>
      <c r="O2278" s="39">
        <f>M2278-N2278</f>
        <v/>
      </c>
      <c r="P2278" s="38">
        <f>IF(M2278=0,0,O2278/M2278)</f>
        <v/>
      </c>
      <c r="Q2278" s="36">
        <f>YEAR(B2278)</f>
        <v/>
      </c>
      <c r="R2278" s="36">
        <f>"Q"&amp;ROUNDUP(MONTH(B2278)/3,0)</f>
        <v/>
      </c>
      <c r="S2278" s="36">
        <f>MONTH(B2278)</f>
        <v/>
      </c>
      <c r="T2278" s="36">
        <f>TEXT(B2278,"mmm")</f>
        <v/>
      </c>
      <c r="U2278" s="36">
        <f>IF(AND(OR(sel_Region="All",C2278=sel_Region),OR(sel_Country="All",D2278=sel_Country),OR(sel_Channel="All",E2278=sel_Channel),OR(sel_Customer="All",F2278=sel_Customer),OR(sel_Category="All",G2278=sel_Category),OR(sel_Product="All",H2278=sel_Product),AND(S2278&gt;=m_From,S2278&lt;=m_To)),1,0)</f>
        <v/>
      </c>
      <c r="V2278" s="36">
        <f>IF(AND(OR(sel_Region="All",C2278=sel_Region),OR(sel_Channel="All",E2278=sel_Channel),OR(sel_Customer="All",F2278=sel_Customer),OR(sel_Category="All",G2278=sel_Category),OR(sel_Product="All",H2278=sel_Product),AND(S2278&gt;=m_From,S2278&lt;=m_To)),1,0)</f>
        <v/>
      </c>
      <c r="W2278" s="36">
        <f>IF(AND(OR(sel_Region="All",C2278=sel_Region),OR(sel_Country="All",D2278=sel_Country),OR(sel_Customer="All",F2278=sel_Customer),OR(sel_Category="All",G2278=sel_Category),OR(sel_Product="All",H2278=sel_Product),AND(S2278&gt;=m_From,S2278&lt;=m_To)),1,0)</f>
        <v/>
      </c>
      <c r="X2278" s="36">
        <f>IF(AND(OR(sel_Region="All",C2278=sel_Region),OR(sel_Country="All",D2278=sel_Country),OR(sel_Channel="All",E2278=sel_Channel),OR(sel_Category="All",G2278=sel_Category),OR(sel_Product="All",H2278=sel_Product),AND(S2278&gt;=m_From,S2278&lt;=m_To)),1,0)</f>
        <v/>
      </c>
      <c r="Y2278" s="36">
        <f>IF(AND(OR(sel_Region="All",C2278=sel_Region),OR(sel_Country="All",D2278=sel_Country),OR(sel_Channel="All",E2278=sel_Channel),OR(sel_Customer="All",F2278=sel_Customer),OR(sel_Product="All",H2278=sel_Product),AND(S2278&gt;=m_From,S2278&lt;=m_To)),1,0)</f>
        <v/>
      </c>
      <c r="Z2278" s="36">
        <f>IF(AND(OR(sel_Region="All",C2278=sel_Region),OR(sel_Country="All",D2278=sel_Country),OR(sel_Channel="All",E2278=sel_Channel),OR(sel_Customer="All",F2278=sel_Customer),OR(sel_Category="All",G2278=sel_Category),AND(S2278&gt;=m_From,S2278&lt;=m_To)),1,0)</f>
        <v/>
      </c>
      <c r="AA2278" s="36">
        <f>IF(AND(OR(sel_Region="All",C2278=sel_Region),OR(sel_Country="All",D2278=sel_Country),OR(sel_Channel="All",E2278=sel_Channel),OR(sel_Customer="All",F2278=sel_Customer),OR(sel_Category="All",G2278=sel_Category),OR(sel_Product="All",H2278=sel_Product)),1,0)</f>
        <v/>
      </c>
    </row>
    <row r="2279">
      <c r="A2279" s="36" t="inlineStr">
        <is>
          <t>02268</t>
        </is>
      </c>
      <c r="B2279" s="44" t="n">
        <v>46331</v>
      </c>
      <c r="C2279" s="36" t="inlineStr">
        <is>
          <t>Central Europe</t>
        </is>
      </c>
      <c r="D2279" s="36" t="inlineStr">
        <is>
          <t>Czechia</t>
        </is>
      </c>
      <c r="E2279" s="36" t="inlineStr">
        <is>
          <t>Retail Partners</t>
        </is>
      </c>
      <c r="F2279" s="36" t="inlineStr">
        <is>
          <t>New</t>
        </is>
      </c>
      <c r="G2279" s="36" t="inlineStr">
        <is>
          <t>Hiking</t>
        </is>
      </c>
      <c r="H2279" s="36" t="inlineStr">
        <is>
          <t>Summit Backpack 45L</t>
        </is>
      </c>
      <c r="I2279" s="36" t="n">
        <v>4</v>
      </c>
      <c r="J2279" s="39" t="n">
        <v>151.39</v>
      </c>
      <c r="K2279" s="45" t="n">
        <v>0.05</v>
      </c>
      <c r="L2279" s="39" t="n">
        <v>80.66</v>
      </c>
      <c r="M2279" s="39">
        <f>I2279*J2279*(1-K2279)</f>
        <v/>
      </c>
      <c r="N2279" s="39">
        <f>I2279*L2279</f>
        <v/>
      </c>
      <c r="O2279" s="39">
        <f>M2279-N2279</f>
        <v/>
      </c>
      <c r="P2279" s="38">
        <f>IF(M2279=0,0,O2279/M2279)</f>
        <v/>
      </c>
      <c r="Q2279" s="36">
        <f>YEAR(B2279)</f>
        <v/>
      </c>
      <c r="R2279" s="36">
        <f>"Q"&amp;ROUNDUP(MONTH(B2279)/3,0)</f>
        <v/>
      </c>
      <c r="S2279" s="36">
        <f>MONTH(B2279)</f>
        <v/>
      </c>
      <c r="T2279" s="36">
        <f>TEXT(B2279,"mmm")</f>
        <v/>
      </c>
      <c r="U2279" s="36">
        <f>IF(AND(OR(sel_Region="All",C2279=sel_Region),OR(sel_Country="All",D2279=sel_Country),OR(sel_Channel="All",E2279=sel_Channel),OR(sel_Customer="All",F2279=sel_Customer),OR(sel_Category="All",G2279=sel_Category),OR(sel_Product="All",H2279=sel_Product),AND(S2279&gt;=m_From,S2279&lt;=m_To)),1,0)</f>
        <v/>
      </c>
      <c r="V2279" s="36">
        <f>IF(AND(OR(sel_Region="All",C2279=sel_Region),OR(sel_Channel="All",E2279=sel_Channel),OR(sel_Customer="All",F2279=sel_Customer),OR(sel_Category="All",G2279=sel_Category),OR(sel_Product="All",H2279=sel_Product),AND(S2279&gt;=m_From,S2279&lt;=m_To)),1,0)</f>
        <v/>
      </c>
      <c r="W2279" s="36">
        <f>IF(AND(OR(sel_Region="All",C2279=sel_Region),OR(sel_Country="All",D2279=sel_Country),OR(sel_Customer="All",F2279=sel_Customer),OR(sel_Category="All",G2279=sel_Category),OR(sel_Product="All",H2279=sel_Product),AND(S2279&gt;=m_From,S2279&lt;=m_To)),1,0)</f>
        <v/>
      </c>
      <c r="X2279" s="36">
        <f>IF(AND(OR(sel_Region="All",C2279=sel_Region),OR(sel_Country="All",D2279=sel_Country),OR(sel_Channel="All",E2279=sel_Channel),OR(sel_Category="All",G2279=sel_Category),OR(sel_Product="All",H2279=sel_Product),AND(S2279&gt;=m_From,S2279&lt;=m_To)),1,0)</f>
        <v/>
      </c>
      <c r="Y2279" s="36">
        <f>IF(AND(OR(sel_Region="All",C2279=sel_Region),OR(sel_Country="All",D2279=sel_Country),OR(sel_Channel="All",E2279=sel_Channel),OR(sel_Customer="All",F2279=sel_Customer),OR(sel_Product="All",H2279=sel_Product),AND(S2279&gt;=m_From,S2279&lt;=m_To)),1,0)</f>
        <v/>
      </c>
      <c r="Z2279" s="36">
        <f>IF(AND(OR(sel_Region="All",C2279=sel_Region),OR(sel_Country="All",D2279=sel_Country),OR(sel_Channel="All",E2279=sel_Channel),OR(sel_Customer="All",F2279=sel_Customer),OR(sel_Category="All",G2279=sel_Category),AND(S2279&gt;=m_From,S2279&lt;=m_To)),1,0)</f>
        <v/>
      </c>
      <c r="AA2279" s="36">
        <f>IF(AND(OR(sel_Region="All",C2279=sel_Region),OR(sel_Country="All",D2279=sel_Country),OR(sel_Channel="All",E2279=sel_Channel),OR(sel_Customer="All",F2279=sel_Customer),OR(sel_Category="All",G2279=sel_Category),OR(sel_Product="All",H2279=sel_Product)),1,0)</f>
        <v/>
      </c>
    </row>
    <row r="2280">
      <c r="A2280" s="36" t="inlineStr">
        <is>
          <t>02636</t>
        </is>
      </c>
      <c r="B2280" s="44" t="n">
        <v>46331</v>
      </c>
      <c r="C2280" s="36" t="inlineStr">
        <is>
          <t>Central Europe</t>
        </is>
      </c>
      <c r="D2280" s="36" t="inlineStr">
        <is>
          <t>Poland</t>
        </is>
      </c>
      <c r="E2280" s="36" t="inlineStr">
        <is>
          <t>Retail Partners</t>
        </is>
      </c>
      <c r="F2280" s="36" t="inlineStr">
        <is>
          <t>Business</t>
        </is>
      </c>
      <c r="G2280" s="36" t="inlineStr">
        <is>
          <t>Travel</t>
        </is>
      </c>
      <c r="H2280" s="36" t="inlineStr">
        <is>
          <t>Packing Cube Set</t>
        </is>
      </c>
      <c r="I2280" s="36" t="n">
        <v>2</v>
      </c>
      <c r="J2280" s="39" t="n">
        <v>45.44</v>
      </c>
      <c r="K2280" s="45" t="n">
        <v>0.05</v>
      </c>
      <c r="L2280" s="39" t="n">
        <v>18.2</v>
      </c>
      <c r="M2280" s="39">
        <f>I2280*J2280*(1-K2280)</f>
        <v/>
      </c>
      <c r="N2280" s="39">
        <f>I2280*L2280</f>
        <v/>
      </c>
      <c r="O2280" s="39">
        <f>M2280-N2280</f>
        <v/>
      </c>
      <c r="P2280" s="38">
        <f>IF(M2280=0,0,O2280/M2280)</f>
        <v/>
      </c>
      <c r="Q2280" s="36">
        <f>YEAR(B2280)</f>
        <v/>
      </c>
      <c r="R2280" s="36">
        <f>"Q"&amp;ROUNDUP(MONTH(B2280)/3,0)</f>
        <v/>
      </c>
      <c r="S2280" s="36">
        <f>MONTH(B2280)</f>
        <v/>
      </c>
      <c r="T2280" s="36">
        <f>TEXT(B2280,"mmm")</f>
        <v/>
      </c>
      <c r="U2280" s="36">
        <f>IF(AND(OR(sel_Region="All",C2280=sel_Region),OR(sel_Country="All",D2280=sel_Country),OR(sel_Channel="All",E2280=sel_Channel),OR(sel_Customer="All",F2280=sel_Customer),OR(sel_Category="All",G2280=sel_Category),OR(sel_Product="All",H2280=sel_Product),AND(S2280&gt;=m_From,S2280&lt;=m_To)),1,0)</f>
        <v/>
      </c>
      <c r="V2280" s="36">
        <f>IF(AND(OR(sel_Region="All",C2280=sel_Region),OR(sel_Channel="All",E2280=sel_Channel),OR(sel_Customer="All",F2280=sel_Customer),OR(sel_Category="All",G2280=sel_Category),OR(sel_Product="All",H2280=sel_Product),AND(S2280&gt;=m_From,S2280&lt;=m_To)),1,0)</f>
        <v/>
      </c>
      <c r="W2280" s="36">
        <f>IF(AND(OR(sel_Region="All",C2280=sel_Region),OR(sel_Country="All",D2280=sel_Country),OR(sel_Customer="All",F2280=sel_Customer),OR(sel_Category="All",G2280=sel_Category),OR(sel_Product="All",H2280=sel_Product),AND(S2280&gt;=m_From,S2280&lt;=m_To)),1,0)</f>
        <v/>
      </c>
      <c r="X2280" s="36">
        <f>IF(AND(OR(sel_Region="All",C2280=sel_Region),OR(sel_Country="All",D2280=sel_Country),OR(sel_Channel="All",E2280=sel_Channel),OR(sel_Category="All",G2280=sel_Category),OR(sel_Product="All",H2280=sel_Product),AND(S2280&gt;=m_From,S2280&lt;=m_To)),1,0)</f>
        <v/>
      </c>
      <c r="Y2280" s="36">
        <f>IF(AND(OR(sel_Region="All",C2280=sel_Region),OR(sel_Country="All",D2280=sel_Country),OR(sel_Channel="All",E2280=sel_Channel),OR(sel_Customer="All",F2280=sel_Customer),OR(sel_Product="All",H2280=sel_Product),AND(S2280&gt;=m_From,S2280&lt;=m_To)),1,0)</f>
        <v/>
      </c>
      <c r="Z2280" s="36">
        <f>IF(AND(OR(sel_Region="All",C2280=sel_Region),OR(sel_Country="All",D2280=sel_Country),OR(sel_Channel="All",E2280=sel_Channel),OR(sel_Customer="All",F2280=sel_Customer),OR(sel_Category="All",G2280=sel_Category),AND(S2280&gt;=m_From,S2280&lt;=m_To)),1,0)</f>
        <v/>
      </c>
      <c r="AA2280" s="36">
        <f>IF(AND(OR(sel_Region="All",C2280=sel_Region),OR(sel_Country="All",D2280=sel_Country),OR(sel_Channel="All",E2280=sel_Channel),OR(sel_Customer="All",F2280=sel_Customer),OR(sel_Category="All",G2280=sel_Category),OR(sel_Product="All",H2280=sel_Product)),1,0)</f>
        <v/>
      </c>
    </row>
    <row r="2281">
      <c r="A2281" s="36" t="inlineStr">
        <is>
          <t>03255</t>
        </is>
      </c>
      <c r="B2281" s="44" t="n">
        <v>46331</v>
      </c>
      <c r="C2281" s="36" t="inlineStr">
        <is>
          <t>Western Europe</t>
        </is>
      </c>
      <c r="D2281" s="36" t="inlineStr">
        <is>
          <t>France</t>
        </is>
      </c>
      <c r="E2281" s="36" t="inlineStr">
        <is>
          <t>Online Store</t>
        </is>
      </c>
      <c r="F2281" s="36" t="inlineStr">
        <is>
          <t>New</t>
        </is>
      </c>
      <c r="G2281" s="36" t="inlineStr">
        <is>
          <t>Hiking</t>
        </is>
      </c>
      <c r="H2281" s="36" t="inlineStr">
        <is>
          <t>Trekking Poles</t>
        </is>
      </c>
      <c r="I2281" s="36" t="n">
        <v>2</v>
      </c>
      <c r="J2281" s="39" t="n">
        <v>70.79000000000001</v>
      </c>
      <c r="K2281" s="45" t="n">
        <v>0.15</v>
      </c>
      <c r="L2281" s="39" t="n">
        <v>33.32</v>
      </c>
      <c r="M2281" s="39">
        <f>I2281*J2281*(1-K2281)</f>
        <v/>
      </c>
      <c r="N2281" s="39">
        <f>I2281*L2281</f>
        <v/>
      </c>
      <c r="O2281" s="39">
        <f>M2281-N2281</f>
        <v/>
      </c>
      <c r="P2281" s="38">
        <f>IF(M2281=0,0,O2281/M2281)</f>
        <v/>
      </c>
      <c r="Q2281" s="36">
        <f>YEAR(B2281)</f>
        <v/>
      </c>
      <c r="R2281" s="36">
        <f>"Q"&amp;ROUNDUP(MONTH(B2281)/3,0)</f>
        <v/>
      </c>
      <c r="S2281" s="36">
        <f>MONTH(B2281)</f>
        <v/>
      </c>
      <c r="T2281" s="36">
        <f>TEXT(B2281,"mmm")</f>
        <v/>
      </c>
      <c r="U2281" s="36">
        <f>IF(AND(OR(sel_Region="All",C2281=sel_Region),OR(sel_Country="All",D2281=sel_Country),OR(sel_Channel="All",E2281=sel_Channel),OR(sel_Customer="All",F2281=sel_Customer),OR(sel_Category="All",G2281=sel_Category),OR(sel_Product="All",H2281=sel_Product),AND(S2281&gt;=m_From,S2281&lt;=m_To)),1,0)</f>
        <v/>
      </c>
      <c r="V2281" s="36">
        <f>IF(AND(OR(sel_Region="All",C2281=sel_Region),OR(sel_Channel="All",E2281=sel_Channel),OR(sel_Customer="All",F2281=sel_Customer),OR(sel_Category="All",G2281=sel_Category),OR(sel_Product="All",H2281=sel_Product),AND(S2281&gt;=m_From,S2281&lt;=m_To)),1,0)</f>
        <v/>
      </c>
      <c r="W2281" s="36">
        <f>IF(AND(OR(sel_Region="All",C2281=sel_Region),OR(sel_Country="All",D2281=sel_Country),OR(sel_Customer="All",F2281=sel_Customer),OR(sel_Category="All",G2281=sel_Category),OR(sel_Product="All",H2281=sel_Product),AND(S2281&gt;=m_From,S2281&lt;=m_To)),1,0)</f>
        <v/>
      </c>
      <c r="X2281" s="36">
        <f>IF(AND(OR(sel_Region="All",C2281=sel_Region),OR(sel_Country="All",D2281=sel_Country),OR(sel_Channel="All",E2281=sel_Channel),OR(sel_Category="All",G2281=sel_Category),OR(sel_Product="All",H2281=sel_Product),AND(S2281&gt;=m_From,S2281&lt;=m_To)),1,0)</f>
        <v/>
      </c>
      <c r="Y2281" s="36">
        <f>IF(AND(OR(sel_Region="All",C2281=sel_Region),OR(sel_Country="All",D2281=sel_Country),OR(sel_Channel="All",E2281=sel_Channel),OR(sel_Customer="All",F2281=sel_Customer),OR(sel_Product="All",H2281=sel_Product),AND(S2281&gt;=m_From,S2281&lt;=m_To)),1,0)</f>
        <v/>
      </c>
      <c r="Z2281" s="36">
        <f>IF(AND(OR(sel_Region="All",C2281=sel_Region),OR(sel_Country="All",D2281=sel_Country),OR(sel_Channel="All",E2281=sel_Channel),OR(sel_Customer="All",F2281=sel_Customer),OR(sel_Category="All",G2281=sel_Category),AND(S2281&gt;=m_From,S2281&lt;=m_To)),1,0)</f>
        <v/>
      </c>
      <c r="AA2281" s="36">
        <f>IF(AND(OR(sel_Region="All",C2281=sel_Region),OR(sel_Country="All",D2281=sel_Country),OR(sel_Channel="All",E2281=sel_Channel),OR(sel_Customer="All",F2281=sel_Customer),OR(sel_Category="All",G2281=sel_Category),OR(sel_Product="All",H2281=sel_Product)),1,0)</f>
        <v/>
      </c>
    </row>
    <row r="2282">
      <c r="A2282" s="36" t="inlineStr">
        <is>
          <t>04326</t>
        </is>
      </c>
      <c r="B2282" s="44" t="n">
        <v>46331</v>
      </c>
      <c r="C2282" s="36" t="inlineStr">
        <is>
          <t>Northern Europe</t>
        </is>
      </c>
      <c r="D2282" s="36" t="inlineStr">
        <is>
          <t>Denmark</t>
        </is>
      </c>
      <c r="E2282" s="36" t="inlineStr">
        <is>
          <t>Retail Partners</t>
        </is>
      </c>
      <c r="F2282" s="36" t="inlineStr">
        <is>
          <t>Returning</t>
        </is>
      </c>
      <c r="G2282" s="36" t="inlineStr">
        <is>
          <t>Travel</t>
        </is>
      </c>
      <c r="H2282" s="36" t="inlineStr">
        <is>
          <t>Insulated Bottle</t>
        </is>
      </c>
      <c r="I2282" s="36" t="n">
        <v>1</v>
      </c>
      <c r="J2282" s="39" t="n">
        <v>35.63</v>
      </c>
      <c r="K2282" s="45" t="n">
        <v>0</v>
      </c>
      <c r="L2282" s="39" t="n">
        <v>13.47</v>
      </c>
      <c r="M2282" s="39">
        <f>I2282*J2282*(1-K2282)</f>
        <v/>
      </c>
      <c r="N2282" s="39">
        <f>I2282*L2282</f>
        <v/>
      </c>
      <c r="O2282" s="39">
        <f>M2282-N2282</f>
        <v/>
      </c>
      <c r="P2282" s="38">
        <f>IF(M2282=0,0,O2282/M2282)</f>
        <v/>
      </c>
      <c r="Q2282" s="36">
        <f>YEAR(B2282)</f>
        <v/>
      </c>
      <c r="R2282" s="36">
        <f>"Q"&amp;ROUNDUP(MONTH(B2282)/3,0)</f>
        <v/>
      </c>
      <c r="S2282" s="36">
        <f>MONTH(B2282)</f>
        <v/>
      </c>
      <c r="T2282" s="36">
        <f>TEXT(B2282,"mmm")</f>
        <v/>
      </c>
      <c r="U2282" s="36">
        <f>IF(AND(OR(sel_Region="All",C2282=sel_Region),OR(sel_Country="All",D2282=sel_Country),OR(sel_Channel="All",E2282=sel_Channel),OR(sel_Customer="All",F2282=sel_Customer),OR(sel_Category="All",G2282=sel_Category),OR(sel_Product="All",H2282=sel_Product),AND(S2282&gt;=m_From,S2282&lt;=m_To)),1,0)</f>
        <v/>
      </c>
      <c r="V2282" s="36">
        <f>IF(AND(OR(sel_Region="All",C2282=sel_Region),OR(sel_Channel="All",E2282=sel_Channel),OR(sel_Customer="All",F2282=sel_Customer),OR(sel_Category="All",G2282=sel_Category),OR(sel_Product="All",H2282=sel_Product),AND(S2282&gt;=m_From,S2282&lt;=m_To)),1,0)</f>
        <v/>
      </c>
      <c r="W2282" s="36">
        <f>IF(AND(OR(sel_Region="All",C2282=sel_Region),OR(sel_Country="All",D2282=sel_Country),OR(sel_Customer="All",F2282=sel_Customer),OR(sel_Category="All",G2282=sel_Category),OR(sel_Product="All",H2282=sel_Product),AND(S2282&gt;=m_From,S2282&lt;=m_To)),1,0)</f>
        <v/>
      </c>
      <c r="X2282" s="36">
        <f>IF(AND(OR(sel_Region="All",C2282=sel_Region),OR(sel_Country="All",D2282=sel_Country),OR(sel_Channel="All",E2282=sel_Channel),OR(sel_Category="All",G2282=sel_Category),OR(sel_Product="All",H2282=sel_Product),AND(S2282&gt;=m_From,S2282&lt;=m_To)),1,0)</f>
        <v/>
      </c>
      <c r="Y2282" s="36">
        <f>IF(AND(OR(sel_Region="All",C2282=sel_Region),OR(sel_Country="All",D2282=sel_Country),OR(sel_Channel="All",E2282=sel_Channel),OR(sel_Customer="All",F2282=sel_Customer),OR(sel_Product="All",H2282=sel_Product),AND(S2282&gt;=m_From,S2282&lt;=m_To)),1,0)</f>
        <v/>
      </c>
      <c r="Z2282" s="36">
        <f>IF(AND(OR(sel_Region="All",C2282=sel_Region),OR(sel_Country="All",D2282=sel_Country),OR(sel_Channel="All",E2282=sel_Channel),OR(sel_Customer="All",F2282=sel_Customer),OR(sel_Category="All",G2282=sel_Category),AND(S2282&gt;=m_From,S2282&lt;=m_To)),1,0)</f>
        <v/>
      </c>
      <c r="AA2282" s="36">
        <f>IF(AND(OR(sel_Region="All",C2282=sel_Region),OR(sel_Country="All",D2282=sel_Country),OR(sel_Channel="All",E2282=sel_Channel),OR(sel_Customer="All",F2282=sel_Customer),OR(sel_Category="All",G2282=sel_Category),OR(sel_Product="All",H2282=sel_Product)),1,0)</f>
        <v/>
      </c>
    </row>
    <row r="2283">
      <c r="A2283" s="36" t="inlineStr">
        <is>
          <t>04346</t>
        </is>
      </c>
      <c r="B2283" s="44" t="n">
        <v>46331</v>
      </c>
      <c r="C2283" s="36" t="inlineStr">
        <is>
          <t>Southern Europe</t>
        </is>
      </c>
      <c r="D2283" s="36" t="inlineStr">
        <is>
          <t>Italy</t>
        </is>
      </c>
      <c r="E2283" s="36" t="inlineStr">
        <is>
          <t>Online Store</t>
        </is>
      </c>
      <c r="F2283" s="36" t="inlineStr">
        <is>
          <t>Business</t>
        </is>
      </c>
      <c r="G2283" s="36" t="inlineStr">
        <is>
          <t>Hiking</t>
        </is>
      </c>
      <c r="H2283" s="36" t="inlineStr">
        <is>
          <t>Trekking Poles</t>
        </is>
      </c>
      <c r="I2283" s="36" t="n">
        <v>3</v>
      </c>
      <c r="J2283" s="39" t="n">
        <v>73.01000000000001</v>
      </c>
      <c r="K2283" s="45" t="n">
        <v>0.15</v>
      </c>
      <c r="L2283" s="39" t="n">
        <v>32.49</v>
      </c>
      <c r="M2283" s="39">
        <f>I2283*J2283*(1-K2283)</f>
        <v/>
      </c>
      <c r="N2283" s="39">
        <f>I2283*L2283</f>
        <v/>
      </c>
      <c r="O2283" s="39">
        <f>M2283-N2283</f>
        <v/>
      </c>
      <c r="P2283" s="38">
        <f>IF(M2283=0,0,O2283/M2283)</f>
        <v/>
      </c>
      <c r="Q2283" s="36">
        <f>YEAR(B2283)</f>
        <v/>
      </c>
      <c r="R2283" s="36">
        <f>"Q"&amp;ROUNDUP(MONTH(B2283)/3,0)</f>
        <v/>
      </c>
      <c r="S2283" s="36">
        <f>MONTH(B2283)</f>
        <v/>
      </c>
      <c r="T2283" s="36">
        <f>TEXT(B2283,"mmm")</f>
        <v/>
      </c>
      <c r="U2283" s="36">
        <f>IF(AND(OR(sel_Region="All",C2283=sel_Region),OR(sel_Country="All",D2283=sel_Country),OR(sel_Channel="All",E2283=sel_Channel),OR(sel_Customer="All",F2283=sel_Customer),OR(sel_Category="All",G2283=sel_Category),OR(sel_Product="All",H2283=sel_Product),AND(S2283&gt;=m_From,S2283&lt;=m_To)),1,0)</f>
        <v/>
      </c>
      <c r="V2283" s="36">
        <f>IF(AND(OR(sel_Region="All",C2283=sel_Region),OR(sel_Channel="All",E2283=sel_Channel),OR(sel_Customer="All",F2283=sel_Customer),OR(sel_Category="All",G2283=sel_Category),OR(sel_Product="All",H2283=sel_Product),AND(S2283&gt;=m_From,S2283&lt;=m_To)),1,0)</f>
        <v/>
      </c>
      <c r="W2283" s="36">
        <f>IF(AND(OR(sel_Region="All",C2283=sel_Region),OR(sel_Country="All",D2283=sel_Country),OR(sel_Customer="All",F2283=sel_Customer),OR(sel_Category="All",G2283=sel_Category),OR(sel_Product="All",H2283=sel_Product),AND(S2283&gt;=m_From,S2283&lt;=m_To)),1,0)</f>
        <v/>
      </c>
      <c r="X2283" s="36">
        <f>IF(AND(OR(sel_Region="All",C2283=sel_Region),OR(sel_Country="All",D2283=sel_Country),OR(sel_Channel="All",E2283=sel_Channel),OR(sel_Category="All",G2283=sel_Category),OR(sel_Product="All",H2283=sel_Product),AND(S2283&gt;=m_From,S2283&lt;=m_To)),1,0)</f>
        <v/>
      </c>
      <c r="Y2283" s="36">
        <f>IF(AND(OR(sel_Region="All",C2283=sel_Region),OR(sel_Country="All",D2283=sel_Country),OR(sel_Channel="All",E2283=sel_Channel),OR(sel_Customer="All",F2283=sel_Customer),OR(sel_Product="All",H2283=sel_Product),AND(S2283&gt;=m_From,S2283&lt;=m_To)),1,0)</f>
        <v/>
      </c>
      <c r="Z2283" s="36">
        <f>IF(AND(OR(sel_Region="All",C2283=sel_Region),OR(sel_Country="All",D2283=sel_Country),OR(sel_Channel="All",E2283=sel_Channel),OR(sel_Customer="All",F2283=sel_Customer),OR(sel_Category="All",G2283=sel_Category),AND(S2283&gt;=m_From,S2283&lt;=m_To)),1,0)</f>
        <v/>
      </c>
      <c r="AA2283" s="36">
        <f>IF(AND(OR(sel_Region="All",C2283=sel_Region),OR(sel_Country="All",D2283=sel_Country),OR(sel_Channel="All",E2283=sel_Channel),OR(sel_Customer="All",F2283=sel_Customer),OR(sel_Category="All",G2283=sel_Category),OR(sel_Product="All",H2283=sel_Product)),1,0)</f>
        <v/>
      </c>
    </row>
    <row r="2284">
      <c r="A2284" s="36" t="inlineStr">
        <is>
          <t>00266</t>
        </is>
      </c>
      <c r="B2284" s="44" t="n">
        <v>46332</v>
      </c>
      <c r="C2284" s="36" t="inlineStr">
        <is>
          <t>Central Europe</t>
        </is>
      </c>
      <c r="D2284" s="36" t="inlineStr">
        <is>
          <t>Czechia</t>
        </is>
      </c>
      <c r="E2284" s="36" t="inlineStr">
        <is>
          <t>Marketplace</t>
        </is>
      </c>
      <c r="F2284" s="36" t="inlineStr">
        <is>
          <t>Business</t>
        </is>
      </c>
      <c r="G2284" s="36" t="inlineStr">
        <is>
          <t>Hiking</t>
        </is>
      </c>
      <c r="H2284" s="36" t="inlineStr">
        <is>
          <t>Hiking Daypack 20L</t>
        </is>
      </c>
      <c r="I2284" s="36" t="n">
        <v>1</v>
      </c>
      <c r="J2284" s="39" t="n">
        <v>93.48</v>
      </c>
      <c r="K2284" s="45" t="n">
        <v>0.05</v>
      </c>
      <c r="L2284" s="39" t="n">
        <v>46.34</v>
      </c>
      <c r="M2284" s="39">
        <f>I2284*J2284*(1-K2284)</f>
        <v/>
      </c>
      <c r="N2284" s="39">
        <f>I2284*L2284</f>
        <v/>
      </c>
      <c r="O2284" s="39">
        <f>M2284-N2284</f>
        <v/>
      </c>
      <c r="P2284" s="38">
        <f>IF(M2284=0,0,O2284/M2284)</f>
        <v/>
      </c>
      <c r="Q2284" s="36">
        <f>YEAR(B2284)</f>
        <v/>
      </c>
      <c r="R2284" s="36">
        <f>"Q"&amp;ROUNDUP(MONTH(B2284)/3,0)</f>
        <v/>
      </c>
      <c r="S2284" s="36">
        <f>MONTH(B2284)</f>
        <v/>
      </c>
      <c r="T2284" s="36">
        <f>TEXT(B2284,"mmm")</f>
        <v/>
      </c>
      <c r="U2284" s="36">
        <f>IF(AND(OR(sel_Region="All",C2284=sel_Region),OR(sel_Country="All",D2284=sel_Country),OR(sel_Channel="All",E2284=sel_Channel),OR(sel_Customer="All",F2284=sel_Customer),OR(sel_Category="All",G2284=sel_Category),OR(sel_Product="All",H2284=sel_Product),AND(S2284&gt;=m_From,S2284&lt;=m_To)),1,0)</f>
        <v/>
      </c>
      <c r="V2284" s="36">
        <f>IF(AND(OR(sel_Region="All",C2284=sel_Region),OR(sel_Channel="All",E2284=sel_Channel),OR(sel_Customer="All",F2284=sel_Customer),OR(sel_Category="All",G2284=sel_Category),OR(sel_Product="All",H2284=sel_Product),AND(S2284&gt;=m_From,S2284&lt;=m_To)),1,0)</f>
        <v/>
      </c>
      <c r="W2284" s="36">
        <f>IF(AND(OR(sel_Region="All",C2284=sel_Region),OR(sel_Country="All",D2284=sel_Country),OR(sel_Customer="All",F2284=sel_Customer),OR(sel_Category="All",G2284=sel_Category),OR(sel_Product="All",H2284=sel_Product),AND(S2284&gt;=m_From,S2284&lt;=m_To)),1,0)</f>
        <v/>
      </c>
      <c r="X2284" s="36">
        <f>IF(AND(OR(sel_Region="All",C2284=sel_Region),OR(sel_Country="All",D2284=sel_Country),OR(sel_Channel="All",E2284=sel_Channel),OR(sel_Category="All",G2284=sel_Category),OR(sel_Product="All",H2284=sel_Product),AND(S2284&gt;=m_From,S2284&lt;=m_To)),1,0)</f>
        <v/>
      </c>
      <c r="Y2284" s="36">
        <f>IF(AND(OR(sel_Region="All",C2284=sel_Region),OR(sel_Country="All",D2284=sel_Country),OR(sel_Channel="All",E2284=sel_Channel),OR(sel_Customer="All",F2284=sel_Customer),OR(sel_Product="All",H2284=sel_Product),AND(S2284&gt;=m_From,S2284&lt;=m_To)),1,0)</f>
        <v/>
      </c>
      <c r="Z2284" s="36">
        <f>IF(AND(OR(sel_Region="All",C2284=sel_Region),OR(sel_Country="All",D2284=sel_Country),OR(sel_Channel="All",E2284=sel_Channel),OR(sel_Customer="All",F2284=sel_Customer),OR(sel_Category="All",G2284=sel_Category),AND(S2284&gt;=m_From,S2284&lt;=m_To)),1,0)</f>
        <v/>
      </c>
      <c r="AA2284" s="36">
        <f>IF(AND(OR(sel_Region="All",C2284=sel_Region),OR(sel_Country="All",D2284=sel_Country),OR(sel_Channel="All",E2284=sel_Channel),OR(sel_Customer="All",F2284=sel_Customer),OR(sel_Category="All",G2284=sel_Category),OR(sel_Product="All",H2284=sel_Product)),1,0)</f>
        <v/>
      </c>
    </row>
    <row r="2285">
      <c r="A2285" s="36" t="inlineStr">
        <is>
          <t>00274</t>
        </is>
      </c>
      <c r="B2285" s="44" t="n">
        <v>46332</v>
      </c>
      <c r="C2285" s="36" t="inlineStr">
        <is>
          <t>Central Europe</t>
        </is>
      </c>
      <c r="D2285" s="36" t="inlineStr">
        <is>
          <t>Czechia</t>
        </is>
      </c>
      <c r="E2285" s="36" t="inlineStr">
        <is>
          <t>Online Store</t>
        </is>
      </c>
      <c r="F2285" s="36" t="inlineStr">
        <is>
          <t>Business</t>
        </is>
      </c>
      <c r="G2285" s="36" t="inlineStr">
        <is>
          <t>Cycling</t>
        </is>
      </c>
      <c r="H2285" s="36" t="inlineStr">
        <is>
          <t>Commuter Helmet</t>
        </is>
      </c>
      <c r="I2285" s="36" t="n">
        <v>1</v>
      </c>
      <c r="J2285" s="39" t="n">
        <v>82.89</v>
      </c>
      <c r="K2285" s="45" t="n">
        <v>0</v>
      </c>
      <c r="L2285" s="39" t="n">
        <v>41.44</v>
      </c>
      <c r="M2285" s="39">
        <f>I2285*J2285*(1-K2285)</f>
        <v/>
      </c>
      <c r="N2285" s="39">
        <f>I2285*L2285</f>
        <v/>
      </c>
      <c r="O2285" s="39">
        <f>M2285-N2285</f>
        <v/>
      </c>
      <c r="P2285" s="38">
        <f>IF(M2285=0,0,O2285/M2285)</f>
        <v/>
      </c>
      <c r="Q2285" s="36">
        <f>YEAR(B2285)</f>
        <v/>
      </c>
      <c r="R2285" s="36">
        <f>"Q"&amp;ROUNDUP(MONTH(B2285)/3,0)</f>
        <v/>
      </c>
      <c r="S2285" s="36">
        <f>MONTH(B2285)</f>
        <v/>
      </c>
      <c r="T2285" s="36">
        <f>TEXT(B2285,"mmm")</f>
        <v/>
      </c>
      <c r="U2285" s="36">
        <f>IF(AND(OR(sel_Region="All",C2285=sel_Region),OR(sel_Country="All",D2285=sel_Country),OR(sel_Channel="All",E2285=sel_Channel),OR(sel_Customer="All",F2285=sel_Customer),OR(sel_Category="All",G2285=sel_Category),OR(sel_Product="All",H2285=sel_Product),AND(S2285&gt;=m_From,S2285&lt;=m_To)),1,0)</f>
        <v/>
      </c>
      <c r="V2285" s="36">
        <f>IF(AND(OR(sel_Region="All",C2285=sel_Region),OR(sel_Channel="All",E2285=sel_Channel),OR(sel_Customer="All",F2285=sel_Customer),OR(sel_Category="All",G2285=sel_Category),OR(sel_Product="All",H2285=sel_Product),AND(S2285&gt;=m_From,S2285&lt;=m_To)),1,0)</f>
        <v/>
      </c>
      <c r="W2285" s="36">
        <f>IF(AND(OR(sel_Region="All",C2285=sel_Region),OR(sel_Country="All",D2285=sel_Country),OR(sel_Customer="All",F2285=sel_Customer),OR(sel_Category="All",G2285=sel_Category),OR(sel_Product="All",H2285=sel_Product),AND(S2285&gt;=m_From,S2285&lt;=m_To)),1,0)</f>
        <v/>
      </c>
      <c r="X2285" s="36">
        <f>IF(AND(OR(sel_Region="All",C2285=sel_Region),OR(sel_Country="All",D2285=sel_Country),OR(sel_Channel="All",E2285=sel_Channel),OR(sel_Category="All",G2285=sel_Category),OR(sel_Product="All",H2285=sel_Product),AND(S2285&gt;=m_From,S2285&lt;=m_To)),1,0)</f>
        <v/>
      </c>
      <c r="Y2285" s="36">
        <f>IF(AND(OR(sel_Region="All",C2285=sel_Region),OR(sel_Country="All",D2285=sel_Country),OR(sel_Channel="All",E2285=sel_Channel),OR(sel_Customer="All",F2285=sel_Customer),OR(sel_Product="All",H2285=sel_Product),AND(S2285&gt;=m_From,S2285&lt;=m_To)),1,0)</f>
        <v/>
      </c>
      <c r="Z2285" s="36">
        <f>IF(AND(OR(sel_Region="All",C2285=sel_Region),OR(sel_Country="All",D2285=sel_Country),OR(sel_Channel="All",E2285=sel_Channel),OR(sel_Customer="All",F2285=sel_Customer),OR(sel_Category="All",G2285=sel_Category),AND(S2285&gt;=m_From,S2285&lt;=m_To)),1,0)</f>
        <v/>
      </c>
      <c r="AA2285" s="36">
        <f>IF(AND(OR(sel_Region="All",C2285=sel_Region),OR(sel_Country="All",D2285=sel_Country),OR(sel_Channel="All",E2285=sel_Channel),OR(sel_Customer="All",F2285=sel_Customer),OR(sel_Category="All",G2285=sel_Category),OR(sel_Product="All",H2285=sel_Product)),1,0)</f>
        <v/>
      </c>
    </row>
    <row r="2286">
      <c r="A2286" s="36" t="inlineStr">
        <is>
          <t>01135</t>
        </is>
      </c>
      <c r="B2286" s="44" t="n">
        <v>46332</v>
      </c>
      <c r="C2286" s="36" t="inlineStr">
        <is>
          <t>Western Europe</t>
        </is>
      </c>
      <c r="D2286" s="36" t="inlineStr">
        <is>
          <t>Netherlands</t>
        </is>
      </c>
      <c r="E2286" s="36" t="inlineStr">
        <is>
          <t>Online Store</t>
        </is>
      </c>
      <c r="F2286" s="36" t="inlineStr">
        <is>
          <t>New</t>
        </is>
      </c>
      <c r="G2286" s="36" t="inlineStr">
        <is>
          <t>Travel</t>
        </is>
      </c>
      <c r="H2286" s="36" t="inlineStr">
        <is>
          <t>Insulated Bottle</t>
        </is>
      </c>
      <c r="I2286" s="36" t="n">
        <v>2</v>
      </c>
      <c r="J2286" s="39" t="n">
        <v>35.71</v>
      </c>
      <c r="K2286" s="45" t="n">
        <v>0.2</v>
      </c>
      <c r="L2286" s="39" t="n">
        <v>13.48</v>
      </c>
      <c r="M2286" s="39">
        <f>I2286*J2286*(1-K2286)</f>
        <v/>
      </c>
      <c r="N2286" s="39">
        <f>I2286*L2286</f>
        <v/>
      </c>
      <c r="O2286" s="39">
        <f>M2286-N2286</f>
        <v/>
      </c>
      <c r="P2286" s="38">
        <f>IF(M2286=0,0,O2286/M2286)</f>
        <v/>
      </c>
      <c r="Q2286" s="36">
        <f>YEAR(B2286)</f>
        <v/>
      </c>
      <c r="R2286" s="36">
        <f>"Q"&amp;ROUNDUP(MONTH(B2286)/3,0)</f>
        <v/>
      </c>
      <c r="S2286" s="36">
        <f>MONTH(B2286)</f>
        <v/>
      </c>
      <c r="T2286" s="36">
        <f>TEXT(B2286,"mmm")</f>
        <v/>
      </c>
      <c r="U2286" s="36">
        <f>IF(AND(OR(sel_Region="All",C2286=sel_Region),OR(sel_Country="All",D2286=sel_Country),OR(sel_Channel="All",E2286=sel_Channel),OR(sel_Customer="All",F2286=sel_Customer),OR(sel_Category="All",G2286=sel_Category),OR(sel_Product="All",H2286=sel_Product),AND(S2286&gt;=m_From,S2286&lt;=m_To)),1,0)</f>
        <v/>
      </c>
      <c r="V2286" s="36">
        <f>IF(AND(OR(sel_Region="All",C2286=sel_Region),OR(sel_Channel="All",E2286=sel_Channel),OR(sel_Customer="All",F2286=sel_Customer),OR(sel_Category="All",G2286=sel_Category),OR(sel_Product="All",H2286=sel_Product),AND(S2286&gt;=m_From,S2286&lt;=m_To)),1,0)</f>
        <v/>
      </c>
      <c r="W2286" s="36">
        <f>IF(AND(OR(sel_Region="All",C2286=sel_Region),OR(sel_Country="All",D2286=sel_Country),OR(sel_Customer="All",F2286=sel_Customer),OR(sel_Category="All",G2286=sel_Category),OR(sel_Product="All",H2286=sel_Product),AND(S2286&gt;=m_From,S2286&lt;=m_To)),1,0)</f>
        <v/>
      </c>
      <c r="X2286" s="36">
        <f>IF(AND(OR(sel_Region="All",C2286=sel_Region),OR(sel_Country="All",D2286=sel_Country),OR(sel_Channel="All",E2286=sel_Channel),OR(sel_Category="All",G2286=sel_Category),OR(sel_Product="All",H2286=sel_Product),AND(S2286&gt;=m_From,S2286&lt;=m_To)),1,0)</f>
        <v/>
      </c>
      <c r="Y2286" s="36">
        <f>IF(AND(OR(sel_Region="All",C2286=sel_Region),OR(sel_Country="All",D2286=sel_Country),OR(sel_Channel="All",E2286=sel_Channel),OR(sel_Customer="All",F2286=sel_Customer),OR(sel_Product="All",H2286=sel_Product),AND(S2286&gt;=m_From,S2286&lt;=m_To)),1,0)</f>
        <v/>
      </c>
      <c r="Z2286" s="36">
        <f>IF(AND(OR(sel_Region="All",C2286=sel_Region),OR(sel_Country="All",D2286=sel_Country),OR(sel_Channel="All",E2286=sel_Channel),OR(sel_Customer="All",F2286=sel_Customer),OR(sel_Category="All",G2286=sel_Category),AND(S2286&gt;=m_From,S2286&lt;=m_To)),1,0)</f>
        <v/>
      </c>
      <c r="AA2286" s="36">
        <f>IF(AND(OR(sel_Region="All",C2286=sel_Region),OR(sel_Country="All",D2286=sel_Country),OR(sel_Channel="All",E2286=sel_Channel),OR(sel_Customer="All",F2286=sel_Customer),OR(sel_Category="All",G2286=sel_Category),OR(sel_Product="All",H2286=sel_Product)),1,0)</f>
        <v/>
      </c>
    </row>
    <row r="2287">
      <c r="A2287" s="36" t="inlineStr">
        <is>
          <t>02166</t>
        </is>
      </c>
      <c r="B2287" s="44" t="n">
        <v>46332</v>
      </c>
      <c r="C2287" s="36" t="inlineStr">
        <is>
          <t>Western Europe</t>
        </is>
      </c>
      <c r="D2287" s="36" t="inlineStr">
        <is>
          <t>France</t>
        </is>
      </c>
      <c r="E2287" s="36" t="inlineStr">
        <is>
          <t>Retail Partners</t>
        </is>
      </c>
      <c r="F2287" s="36" t="inlineStr">
        <is>
          <t>New</t>
        </is>
      </c>
      <c r="G2287" s="36" t="inlineStr">
        <is>
          <t>Fitness</t>
        </is>
      </c>
      <c r="H2287" s="36" t="inlineStr">
        <is>
          <t>Resistance Band Set</t>
        </is>
      </c>
      <c r="I2287" s="36" t="n">
        <v>1</v>
      </c>
      <c r="J2287" s="39" t="n">
        <v>40.38</v>
      </c>
      <c r="K2287" s="45" t="n">
        <v>0.15</v>
      </c>
      <c r="L2287" s="39" t="n">
        <v>14.53</v>
      </c>
      <c r="M2287" s="39">
        <f>I2287*J2287*(1-K2287)</f>
        <v/>
      </c>
      <c r="N2287" s="39">
        <f>I2287*L2287</f>
        <v/>
      </c>
      <c r="O2287" s="39">
        <f>M2287-N2287</f>
        <v/>
      </c>
      <c r="P2287" s="38">
        <f>IF(M2287=0,0,O2287/M2287)</f>
        <v/>
      </c>
      <c r="Q2287" s="36">
        <f>YEAR(B2287)</f>
        <v/>
      </c>
      <c r="R2287" s="36">
        <f>"Q"&amp;ROUNDUP(MONTH(B2287)/3,0)</f>
        <v/>
      </c>
      <c r="S2287" s="36">
        <f>MONTH(B2287)</f>
        <v/>
      </c>
      <c r="T2287" s="36">
        <f>TEXT(B2287,"mmm")</f>
        <v/>
      </c>
      <c r="U2287" s="36">
        <f>IF(AND(OR(sel_Region="All",C2287=sel_Region),OR(sel_Country="All",D2287=sel_Country),OR(sel_Channel="All",E2287=sel_Channel),OR(sel_Customer="All",F2287=sel_Customer),OR(sel_Category="All",G2287=sel_Category),OR(sel_Product="All",H2287=sel_Product),AND(S2287&gt;=m_From,S2287&lt;=m_To)),1,0)</f>
        <v/>
      </c>
      <c r="V2287" s="36">
        <f>IF(AND(OR(sel_Region="All",C2287=sel_Region),OR(sel_Channel="All",E2287=sel_Channel),OR(sel_Customer="All",F2287=sel_Customer),OR(sel_Category="All",G2287=sel_Category),OR(sel_Product="All",H2287=sel_Product),AND(S2287&gt;=m_From,S2287&lt;=m_To)),1,0)</f>
        <v/>
      </c>
      <c r="W2287" s="36">
        <f>IF(AND(OR(sel_Region="All",C2287=sel_Region),OR(sel_Country="All",D2287=sel_Country),OR(sel_Customer="All",F2287=sel_Customer),OR(sel_Category="All",G2287=sel_Category),OR(sel_Product="All",H2287=sel_Product),AND(S2287&gt;=m_From,S2287&lt;=m_To)),1,0)</f>
        <v/>
      </c>
      <c r="X2287" s="36">
        <f>IF(AND(OR(sel_Region="All",C2287=sel_Region),OR(sel_Country="All",D2287=sel_Country),OR(sel_Channel="All",E2287=sel_Channel),OR(sel_Category="All",G2287=sel_Category),OR(sel_Product="All",H2287=sel_Product),AND(S2287&gt;=m_From,S2287&lt;=m_To)),1,0)</f>
        <v/>
      </c>
      <c r="Y2287" s="36">
        <f>IF(AND(OR(sel_Region="All",C2287=sel_Region),OR(sel_Country="All",D2287=sel_Country),OR(sel_Channel="All",E2287=sel_Channel),OR(sel_Customer="All",F2287=sel_Customer),OR(sel_Product="All",H2287=sel_Product),AND(S2287&gt;=m_From,S2287&lt;=m_To)),1,0)</f>
        <v/>
      </c>
      <c r="Z2287" s="36">
        <f>IF(AND(OR(sel_Region="All",C2287=sel_Region),OR(sel_Country="All",D2287=sel_Country),OR(sel_Channel="All",E2287=sel_Channel),OR(sel_Customer="All",F2287=sel_Customer),OR(sel_Category="All",G2287=sel_Category),AND(S2287&gt;=m_From,S2287&lt;=m_To)),1,0)</f>
        <v/>
      </c>
      <c r="AA2287" s="36">
        <f>IF(AND(OR(sel_Region="All",C2287=sel_Region),OR(sel_Country="All",D2287=sel_Country),OR(sel_Channel="All",E2287=sel_Channel),OR(sel_Customer="All",F2287=sel_Customer),OR(sel_Category="All",G2287=sel_Category),OR(sel_Product="All",H2287=sel_Product)),1,0)</f>
        <v/>
      </c>
    </row>
    <row r="2288">
      <c r="A2288" s="36" t="inlineStr">
        <is>
          <t>03620</t>
        </is>
      </c>
      <c r="B2288" s="44" t="n">
        <v>46332</v>
      </c>
      <c r="C2288" s="36" t="inlineStr">
        <is>
          <t>Central Europe</t>
        </is>
      </c>
      <c r="D2288" s="36" t="inlineStr">
        <is>
          <t>Germany</t>
        </is>
      </c>
      <c r="E2288" s="36" t="inlineStr">
        <is>
          <t>Marketplace</t>
        </is>
      </c>
      <c r="F2288" s="36" t="inlineStr">
        <is>
          <t>New</t>
        </is>
      </c>
      <c r="G2288" s="36" t="inlineStr">
        <is>
          <t>Hiking</t>
        </is>
      </c>
      <c r="H2288" s="36" t="inlineStr">
        <is>
          <t>Trail Boots</t>
        </is>
      </c>
      <c r="I2288" s="36" t="n">
        <v>1</v>
      </c>
      <c r="J2288" s="39" t="n">
        <v>142</v>
      </c>
      <c r="K2288" s="45" t="n">
        <v>0.05</v>
      </c>
      <c r="L2288" s="39" t="n">
        <v>81.09999999999999</v>
      </c>
      <c r="M2288" s="39">
        <f>I2288*J2288*(1-K2288)</f>
        <v/>
      </c>
      <c r="N2288" s="39">
        <f>I2288*L2288</f>
        <v/>
      </c>
      <c r="O2288" s="39">
        <f>M2288-N2288</f>
        <v/>
      </c>
      <c r="P2288" s="38">
        <f>IF(M2288=0,0,O2288/M2288)</f>
        <v/>
      </c>
      <c r="Q2288" s="36">
        <f>YEAR(B2288)</f>
        <v/>
      </c>
      <c r="R2288" s="36">
        <f>"Q"&amp;ROUNDUP(MONTH(B2288)/3,0)</f>
        <v/>
      </c>
      <c r="S2288" s="36">
        <f>MONTH(B2288)</f>
        <v/>
      </c>
      <c r="T2288" s="36">
        <f>TEXT(B2288,"mmm")</f>
        <v/>
      </c>
      <c r="U2288" s="36">
        <f>IF(AND(OR(sel_Region="All",C2288=sel_Region),OR(sel_Country="All",D2288=sel_Country),OR(sel_Channel="All",E2288=sel_Channel),OR(sel_Customer="All",F2288=sel_Customer),OR(sel_Category="All",G2288=sel_Category),OR(sel_Product="All",H2288=sel_Product),AND(S2288&gt;=m_From,S2288&lt;=m_To)),1,0)</f>
        <v/>
      </c>
      <c r="V2288" s="36">
        <f>IF(AND(OR(sel_Region="All",C2288=sel_Region),OR(sel_Channel="All",E2288=sel_Channel),OR(sel_Customer="All",F2288=sel_Customer),OR(sel_Category="All",G2288=sel_Category),OR(sel_Product="All",H2288=sel_Product),AND(S2288&gt;=m_From,S2288&lt;=m_To)),1,0)</f>
        <v/>
      </c>
      <c r="W2288" s="36">
        <f>IF(AND(OR(sel_Region="All",C2288=sel_Region),OR(sel_Country="All",D2288=sel_Country),OR(sel_Customer="All",F2288=sel_Customer),OR(sel_Category="All",G2288=sel_Category),OR(sel_Product="All",H2288=sel_Product),AND(S2288&gt;=m_From,S2288&lt;=m_To)),1,0)</f>
        <v/>
      </c>
      <c r="X2288" s="36">
        <f>IF(AND(OR(sel_Region="All",C2288=sel_Region),OR(sel_Country="All",D2288=sel_Country),OR(sel_Channel="All",E2288=sel_Channel),OR(sel_Category="All",G2288=sel_Category),OR(sel_Product="All",H2288=sel_Product),AND(S2288&gt;=m_From,S2288&lt;=m_To)),1,0)</f>
        <v/>
      </c>
      <c r="Y2288" s="36">
        <f>IF(AND(OR(sel_Region="All",C2288=sel_Region),OR(sel_Country="All",D2288=sel_Country),OR(sel_Channel="All",E2288=sel_Channel),OR(sel_Customer="All",F2288=sel_Customer),OR(sel_Product="All",H2288=sel_Product),AND(S2288&gt;=m_From,S2288&lt;=m_To)),1,0)</f>
        <v/>
      </c>
      <c r="Z2288" s="36">
        <f>IF(AND(OR(sel_Region="All",C2288=sel_Region),OR(sel_Country="All",D2288=sel_Country),OR(sel_Channel="All",E2288=sel_Channel),OR(sel_Customer="All",F2288=sel_Customer),OR(sel_Category="All",G2288=sel_Category),AND(S2288&gt;=m_From,S2288&lt;=m_To)),1,0)</f>
        <v/>
      </c>
      <c r="AA2288" s="36">
        <f>IF(AND(OR(sel_Region="All",C2288=sel_Region),OR(sel_Country="All",D2288=sel_Country),OR(sel_Channel="All",E2288=sel_Channel),OR(sel_Customer="All",F2288=sel_Customer),OR(sel_Category="All",G2288=sel_Category),OR(sel_Product="All",H2288=sel_Product)),1,0)</f>
        <v/>
      </c>
    </row>
    <row r="2289">
      <c r="A2289" s="36" t="inlineStr">
        <is>
          <t>03986</t>
        </is>
      </c>
      <c r="B2289" s="44" t="n">
        <v>46332</v>
      </c>
      <c r="C2289" s="36" t="inlineStr">
        <is>
          <t>Southern Europe</t>
        </is>
      </c>
      <c r="D2289" s="36" t="inlineStr">
        <is>
          <t>Italy</t>
        </is>
      </c>
      <c r="E2289" s="36" t="inlineStr">
        <is>
          <t>Marketplace</t>
        </is>
      </c>
      <c r="F2289" s="36" t="inlineStr">
        <is>
          <t>New</t>
        </is>
      </c>
      <c r="G2289" s="36" t="inlineStr">
        <is>
          <t>Travel</t>
        </is>
      </c>
      <c r="H2289" s="36" t="inlineStr">
        <is>
          <t>Insulated Bottle</t>
        </is>
      </c>
      <c r="I2289" s="36" t="n">
        <v>2</v>
      </c>
      <c r="J2289" s="39" t="n">
        <v>36.29</v>
      </c>
      <c r="K2289" s="45" t="n">
        <v>0.15</v>
      </c>
      <c r="L2289" s="39" t="n">
        <v>13.93</v>
      </c>
      <c r="M2289" s="39">
        <f>I2289*J2289*(1-K2289)</f>
        <v/>
      </c>
      <c r="N2289" s="39">
        <f>I2289*L2289</f>
        <v/>
      </c>
      <c r="O2289" s="39">
        <f>M2289-N2289</f>
        <v/>
      </c>
      <c r="P2289" s="38">
        <f>IF(M2289=0,0,O2289/M2289)</f>
        <v/>
      </c>
      <c r="Q2289" s="36">
        <f>YEAR(B2289)</f>
        <v/>
      </c>
      <c r="R2289" s="36">
        <f>"Q"&amp;ROUNDUP(MONTH(B2289)/3,0)</f>
        <v/>
      </c>
      <c r="S2289" s="36">
        <f>MONTH(B2289)</f>
        <v/>
      </c>
      <c r="T2289" s="36">
        <f>TEXT(B2289,"mmm")</f>
        <v/>
      </c>
      <c r="U2289" s="36">
        <f>IF(AND(OR(sel_Region="All",C2289=sel_Region),OR(sel_Country="All",D2289=sel_Country),OR(sel_Channel="All",E2289=sel_Channel),OR(sel_Customer="All",F2289=sel_Customer),OR(sel_Category="All",G2289=sel_Category),OR(sel_Product="All",H2289=sel_Product),AND(S2289&gt;=m_From,S2289&lt;=m_To)),1,0)</f>
        <v/>
      </c>
      <c r="V2289" s="36">
        <f>IF(AND(OR(sel_Region="All",C2289=sel_Region),OR(sel_Channel="All",E2289=sel_Channel),OR(sel_Customer="All",F2289=sel_Customer),OR(sel_Category="All",G2289=sel_Category),OR(sel_Product="All",H2289=sel_Product),AND(S2289&gt;=m_From,S2289&lt;=m_To)),1,0)</f>
        <v/>
      </c>
      <c r="W2289" s="36">
        <f>IF(AND(OR(sel_Region="All",C2289=sel_Region),OR(sel_Country="All",D2289=sel_Country),OR(sel_Customer="All",F2289=sel_Customer),OR(sel_Category="All",G2289=sel_Category),OR(sel_Product="All",H2289=sel_Product),AND(S2289&gt;=m_From,S2289&lt;=m_To)),1,0)</f>
        <v/>
      </c>
      <c r="X2289" s="36">
        <f>IF(AND(OR(sel_Region="All",C2289=sel_Region),OR(sel_Country="All",D2289=sel_Country),OR(sel_Channel="All",E2289=sel_Channel),OR(sel_Category="All",G2289=sel_Category),OR(sel_Product="All",H2289=sel_Product),AND(S2289&gt;=m_From,S2289&lt;=m_To)),1,0)</f>
        <v/>
      </c>
      <c r="Y2289" s="36">
        <f>IF(AND(OR(sel_Region="All",C2289=sel_Region),OR(sel_Country="All",D2289=sel_Country),OR(sel_Channel="All",E2289=sel_Channel),OR(sel_Customer="All",F2289=sel_Customer),OR(sel_Product="All",H2289=sel_Product),AND(S2289&gt;=m_From,S2289&lt;=m_To)),1,0)</f>
        <v/>
      </c>
      <c r="Z2289" s="36">
        <f>IF(AND(OR(sel_Region="All",C2289=sel_Region),OR(sel_Country="All",D2289=sel_Country),OR(sel_Channel="All",E2289=sel_Channel),OR(sel_Customer="All",F2289=sel_Customer),OR(sel_Category="All",G2289=sel_Category),AND(S2289&gt;=m_From,S2289&lt;=m_To)),1,0)</f>
        <v/>
      </c>
      <c r="AA2289" s="36">
        <f>IF(AND(OR(sel_Region="All",C2289=sel_Region),OR(sel_Country="All",D2289=sel_Country),OR(sel_Channel="All",E2289=sel_Channel),OR(sel_Customer="All",F2289=sel_Customer),OR(sel_Category="All",G2289=sel_Category),OR(sel_Product="All",H2289=sel_Product)),1,0)</f>
        <v/>
      </c>
    </row>
    <row r="2290">
      <c r="A2290" s="36" t="inlineStr">
        <is>
          <t>04384</t>
        </is>
      </c>
      <c r="B2290" s="44" t="n">
        <v>46332</v>
      </c>
      <c r="C2290" s="36" t="inlineStr">
        <is>
          <t>Western Europe</t>
        </is>
      </c>
      <c r="D2290" s="36" t="inlineStr">
        <is>
          <t>United Kingdom</t>
        </is>
      </c>
      <c r="E2290" s="36" t="inlineStr">
        <is>
          <t>Online Store</t>
        </is>
      </c>
      <c r="F2290" s="36" t="inlineStr">
        <is>
          <t>New</t>
        </is>
      </c>
      <c r="G2290" s="36" t="inlineStr">
        <is>
          <t>Camping</t>
        </is>
      </c>
      <c r="H2290" s="36" t="inlineStr">
        <is>
          <t>Compact Sleeping Bag</t>
        </is>
      </c>
      <c r="I2290" s="36" t="n">
        <v>1</v>
      </c>
      <c r="J2290" s="39" t="n">
        <v>121.66</v>
      </c>
      <c r="K2290" s="45" t="n">
        <v>0</v>
      </c>
      <c r="L2290" s="39" t="n">
        <v>61.66</v>
      </c>
      <c r="M2290" s="39">
        <f>I2290*J2290*(1-K2290)</f>
        <v/>
      </c>
      <c r="N2290" s="39">
        <f>I2290*L2290</f>
        <v/>
      </c>
      <c r="O2290" s="39">
        <f>M2290-N2290</f>
        <v/>
      </c>
      <c r="P2290" s="38">
        <f>IF(M2290=0,0,O2290/M2290)</f>
        <v/>
      </c>
      <c r="Q2290" s="36">
        <f>YEAR(B2290)</f>
        <v/>
      </c>
      <c r="R2290" s="36">
        <f>"Q"&amp;ROUNDUP(MONTH(B2290)/3,0)</f>
        <v/>
      </c>
      <c r="S2290" s="36">
        <f>MONTH(B2290)</f>
        <v/>
      </c>
      <c r="T2290" s="36">
        <f>TEXT(B2290,"mmm")</f>
        <v/>
      </c>
      <c r="U2290" s="36">
        <f>IF(AND(OR(sel_Region="All",C2290=sel_Region),OR(sel_Country="All",D2290=sel_Country),OR(sel_Channel="All",E2290=sel_Channel),OR(sel_Customer="All",F2290=sel_Customer),OR(sel_Category="All",G2290=sel_Category),OR(sel_Product="All",H2290=sel_Product),AND(S2290&gt;=m_From,S2290&lt;=m_To)),1,0)</f>
        <v/>
      </c>
      <c r="V2290" s="36">
        <f>IF(AND(OR(sel_Region="All",C2290=sel_Region),OR(sel_Channel="All",E2290=sel_Channel),OR(sel_Customer="All",F2290=sel_Customer),OR(sel_Category="All",G2290=sel_Category),OR(sel_Product="All",H2290=sel_Product),AND(S2290&gt;=m_From,S2290&lt;=m_To)),1,0)</f>
        <v/>
      </c>
      <c r="W2290" s="36">
        <f>IF(AND(OR(sel_Region="All",C2290=sel_Region),OR(sel_Country="All",D2290=sel_Country),OR(sel_Customer="All",F2290=sel_Customer),OR(sel_Category="All",G2290=sel_Category),OR(sel_Product="All",H2290=sel_Product),AND(S2290&gt;=m_From,S2290&lt;=m_To)),1,0)</f>
        <v/>
      </c>
      <c r="X2290" s="36">
        <f>IF(AND(OR(sel_Region="All",C2290=sel_Region),OR(sel_Country="All",D2290=sel_Country),OR(sel_Channel="All",E2290=sel_Channel),OR(sel_Category="All",G2290=sel_Category),OR(sel_Product="All",H2290=sel_Product),AND(S2290&gt;=m_From,S2290&lt;=m_To)),1,0)</f>
        <v/>
      </c>
      <c r="Y2290" s="36">
        <f>IF(AND(OR(sel_Region="All",C2290=sel_Region),OR(sel_Country="All",D2290=sel_Country),OR(sel_Channel="All",E2290=sel_Channel),OR(sel_Customer="All",F2290=sel_Customer),OR(sel_Product="All",H2290=sel_Product),AND(S2290&gt;=m_From,S2290&lt;=m_To)),1,0)</f>
        <v/>
      </c>
      <c r="Z2290" s="36">
        <f>IF(AND(OR(sel_Region="All",C2290=sel_Region),OR(sel_Country="All",D2290=sel_Country),OR(sel_Channel="All",E2290=sel_Channel),OR(sel_Customer="All",F2290=sel_Customer),OR(sel_Category="All",G2290=sel_Category),AND(S2290&gt;=m_From,S2290&lt;=m_To)),1,0)</f>
        <v/>
      </c>
      <c r="AA2290" s="36">
        <f>IF(AND(OR(sel_Region="All",C2290=sel_Region),OR(sel_Country="All",D2290=sel_Country),OR(sel_Channel="All",E2290=sel_Channel),OR(sel_Customer="All",F2290=sel_Customer),OR(sel_Category="All",G2290=sel_Category),OR(sel_Product="All",H2290=sel_Product)),1,0)</f>
        <v/>
      </c>
    </row>
    <row r="2291">
      <c r="A2291" s="36" t="inlineStr">
        <is>
          <t>04565</t>
        </is>
      </c>
      <c r="B2291" s="44" t="n">
        <v>46332</v>
      </c>
      <c r="C2291" s="36" t="inlineStr">
        <is>
          <t>Central Europe</t>
        </is>
      </c>
      <c r="D2291" s="36" t="inlineStr">
        <is>
          <t>Poland</t>
        </is>
      </c>
      <c r="E2291" s="36" t="inlineStr">
        <is>
          <t>Online Store</t>
        </is>
      </c>
      <c r="F2291" s="36" t="inlineStr">
        <is>
          <t>Returning</t>
        </is>
      </c>
      <c r="G2291" s="36" t="inlineStr">
        <is>
          <t>Camping</t>
        </is>
      </c>
      <c r="H2291" s="36" t="inlineStr">
        <is>
          <t>Compact Sleeping Bag</t>
        </is>
      </c>
      <c r="I2291" s="36" t="n">
        <v>3</v>
      </c>
      <c r="J2291" s="39" t="n">
        <v>124.65</v>
      </c>
      <c r="K2291" s="45" t="n">
        <v>0.05</v>
      </c>
      <c r="L2291" s="39" t="n">
        <v>62.27</v>
      </c>
      <c r="M2291" s="39">
        <f>I2291*J2291*(1-K2291)</f>
        <v/>
      </c>
      <c r="N2291" s="39">
        <f>I2291*L2291</f>
        <v/>
      </c>
      <c r="O2291" s="39">
        <f>M2291-N2291</f>
        <v/>
      </c>
      <c r="P2291" s="38">
        <f>IF(M2291=0,0,O2291/M2291)</f>
        <v/>
      </c>
      <c r="Q2291" s="36">
        <f>YEAR(B2291)</f>
        <v/>
      </c>
      <c r="R2291" s="36">
        <f>"Q"&amp;ROUNDUP(MONTH(B2291)/3,0)</f>
        <v/>
      </c>
      <c r="S2291" s="36">
        <f>MONTH(B2291)</f>
        <v/>
      </c>
      <c r="T2291" s="36">
        <f>TEXT(B2291,"mmm")</f>
        <v/>
      </c>
      <c r="U2291" s="36">
        <f>IF(AND(OR(sel_Region="All",C2291=sel_Region),OR(sel_Country="All",D2291=sel_Country),OR(sel_Channel="All",E2291=sel_Channel),OR(sel_Customer="All",F2291=sel_Customer),OR(sel_Category="All",G2291=sel_Category),OR(sel_Product="All",H2291=sel_Product),AND(S2291&gt;=m_From,S2291&lt;=m_To)),1,0)</f>
        <v/>
      </c>
      <c r="V2291" s="36">
        <f>IF(AND(OR(sel_Region="All",C2291=sel_Region),OR(sel_Channel="All",E2291=sel_Channel),OR(sel_Customer="All",F2291=sel_Customer),OR(sel_Category="All",G2291=sel_Category),OR(sel_Product="All",H2291=sel_Product),AND(S2291&gt;=m_From,S2291&lt;=m_To)),1,0)</f>
        <v/>
      </c>
      <c r="W2291" s="36">
        <f>IF(AND(OR(sel_Region="All",C2291=sel_Region),OR(sel_Country="All",D2291=sel_Country),OR(sel_Customer="All",F2291=sel_Customer),OR(sel_Category="All",G2291=sel_Category),OR(sel_Product="All",H2291=sel_Product),AND(S2291&gt;=m_From,S2291&lt;=m_To)),1,0)</f>
        <v/>
      </c>
      <c r="X2291" s="36">
        <f>IF(AND(OR(sel_Region="All",C2291=sel_Region),OR(sel_Country="All",D2291=sel_Country),OR(sel_Channel="All",E2291=sel_Channel),OR(sel_Category="All",G2291=sel_Category),OR(sel_Product="All",H2291=sel_Product),AND(S2291&gt;=m_From,S2291&lt;=m_To)),1,0)</f>
        <v/>
      </c>
      <c r="Y2291" s="36">
        <f>IF(AND(OR(sel_Region="All",C2291=sel_Region),OR(sel_Country="All",D2291=sel_Country),OR(sel_Channel="All",E2291=sel_Channel),OR(sel_Customer="All",F2291=sel_Customer),OR(sel_Product="All",H2291=sel_Product),AND(S2291&gt;=m_From,S2291&lt;=m_To)),1,0)</f>
        <v/>
      </c>
      <c r="Z2291" s="36">
        <f>IF(AND(OR(sel_Region="All",C2291=sel_Region),OR(sel_Country="All",D2291=sel_Country),OR(sel_Channel="All",E2291=sel_Channel),OR(sel_Customer="All",F2291=sel_Customer),OR(sel_Category="All",G2291=sel_Category),AND(S2291&gt;=m_From,S2291&lt;=m_To)),1,0)</f>
        <v/>
      </c>
      <c r="AA2291" s="36">
        <f>IF(AND(OR(sel_Region="All",C2291=sel_Region),OR(sel_Country="All",D2291=sel_Country),OR(sel_Channel="All",E2291=sel_Channel),OR(sel_Customer="All",F2291=sel_Customer),OR(sel_Category="All",G2291=sel_Category),OR(sel_Product="All",H2291=sel_Product)),1,0)</f>
        <v/>
      </c>
    </row>
    <row r="2292">
      <c r="A2292" s="36" t="inlineStr">
        <is>
          <t>04634</t>
        </is>
      </c>
      <c r="B2292" s="44" t="n">
        <v>46332</v>
      </c>
      <c r="C2292" s="36" t="inlineStr">
        <is>
          <t>Southern Europe</t>
        </is>
      </c>
      <c r="D2292" s="36" t="inlineStr">
        <is>
          <t>Italy</t>
        </is>
      </c>
      <c r="E2292" s="36" t="inlineStr">
        <is>
          <t>Online Store</t>
        </is>
      </c>
      <c r="F2292" s="36" t="inlineStr">
        <is>
          <t>New</t>
        </is>
      </c>
      <c r="G2292" s="36" t="inlineStr">
        <is>
          <t>Cycling</t>
        </is>
      </c>
      <c r="H2292" s="36" t="inlineStr">
        <is>
          <t>Commuter Helmet</t>
        </is>
      </c>
      <c r="I2292" s="36" t="n">
        <v>2</v>
      </c>
      <c r="J2292" s="39" t="n">
        <v>80.61</v>
      </c>
      <c r="K2292" s="45" t="n">
        <v>0</v>
      </c>
      <c r="L2292" s="39" t="n">
        <v>43.72</v>
      </c>
      <c r="M2292" s="39">
        <f>I2292*J2292*(1-K2292)</f>
        <v/>
      </c>
      <c r="N2292" s="39">
        <f>I2292*L2292</f>
        <v/>
      </c>
      <c r="O2292" s="39">
        <f>M2292-N2292</f>
        <v/>
      </c>
      <c r="P2292" s="38">
        <f>IF(M2292=0,0,O2292/M2292)</f>
        <v/>
      </c>
      <c r="Q2292" s="36">
        <f>YEAR(B2292)</f>
        <v/>
      </c>
      <c r="R2292" s="36">
        <f>"Q"&amp;ROUNDUP(MONTH(B2292)/3,0)</f>
        <v/>
      </c>
      <c r="S2292" s="36">
        <f>MONTH(B2292)</f>
        <v/>
      </c>
      <c r="T2292" s="36">
        <f>TEXT(B2292,"mmm")</f>
        <v/>
      </c>
      <c r="U2292" s="36">
        <f>IF(AND(OR(sel_Region="All",C2292=sel_Region),OR(sel_Country="All",D2292=sel_Country),OR(sel_Channel="All",E2292=sel_Channel),OR(sel_Customer="All",F2292=sel_Customer),OR(sel_Category="All",G2292=sel_Category),OR(sel_Product="All",H2292=sel_Product),AND(S2292&gt;=m_From,S2292&lt;=m_To)),1,0)</f>
        <v/>
      </c>
      <c r="V2292" s="36">
        <f>IF(AND(OR(sel_Region="All",C2292=sel_Region),OR(sel_Channel="All",E2292=sel_Channel),OR(sel_Customer="All",F2292=sel_Customer),OR(sel_Category="All",G2292=sel_Category),OR(sel_Product="All",H2292=sel_Product),AND(S2292&gt;=m_From,S2292&lt;=m_To)),1,0)</f>
        <v/>
      </c>
      <c r="W2292" s="36">
        <f>IF(AND(OR(sel_Region="All",C2292=sel_Region),OR(sel_Country="All",D2292=sel_Country),OR(sel_Customer="All",F2292=sel_Customer),OR(sel_Category="All",G2292=sel_Category),OR(sel_Product="All",H2292=sel_Product),AND(S2292&gt;=m_From,S2292&lt;=m_To)),1,0)</f>
        <v/>
      </c>
      <c r="X2292" s="36">
        <f>IF(AND(OR(sel_Region="All",C2292=sel_Region),OR(sel_Country="All",D2292=sel_Country),OR(sel_Channel="All",E2292=sel_Channel),OR(sel_Category="All",G2292=sel_Category),OR(sel_Product="All",H2292=sel_Product),AND(S2292&gt;=m_From,S2292&lt;=m_To)),1,0)</f>
        <v/>
      </c>
      <c r="Y2292" s="36">
        <f>IF(AND(OR(sel_Region="All",C2292=sel_Region),OR(sel_Country="All",D2292=sel_Country),OR(sel_Channel="All",E2292=sel_Channel),OR(sel_Customer="All",F2292=sel_Customer),OR(sel_Product="All",H2292=sel_Product),AND(S2292&gt;=m_From,S2292&lt;=m_To)),1,0)</f>
        <v/>
      </c>
      <c r="Z2292" s="36">
        <f>IF(AND(OR(sel_Region="All",C2292=sel_Region),OR(sel_Country="All",D2292=sel_Country),OR(sel_Channel="All",E2292=sel_Channel),OR(sel_Customer="All",F2292=sel_Customer),OR(sel_Category="All",G2292=sel_Category),AND(S2292&gt;=m_From,S2292&lt;=m_To)),1,0)</f>
        <v/>
      </c>
      <c r="AA2292" s="36">
        <f>IF(AND(OR(sel_Region="All",C2292=sel_Region),OR(sel_Country="All",D2292=sel_Country),OR(sel_Channel="All",E2292=sel_Channel),OR(sel_Customer="All",F2292=sel_Customer),OR(sel_Category="All",G2292=sel_Category),OR(sel_Product="All",H2292=sel_Product)),1,0)</f>
        <v/>
      </c>
    </row>
    <row r="2293">
      <c r="A2293" s="36" t="inlineStr">
        <is>
          <t>00104</t>
        </is>
      </c>
      <c r="B2293" s="44" t="n">
        <v>46333</v>
      </c>
      <c r="C2293" s="36" t="inlineStr">
        <is>
          <t>Central Europe</t>
        </is>
      </c>
      <c r="D2293" s="36" t="inlineStr">
        <is>
          <t>Switzerland</t>
        </is>
      </c>
      <c r="E2293" s="36" t="inlineStr">
        <is>
          <t>Online Store</t>
        </is>
      </c>
      <c r="F2293" s="36" t="inlineStr">
        <is>
          <t>New</t>
        </is>
      </c>
      <c r="G2293" s="36" t="inlineStr">
        <is>
          <t>Hiking</t>
        </is>
      </c>
      <c r="H2293" s="36" t="inlineStr">
        <is>
          <t>Summit Backpack 45L</t>
        </is>
      </c>
      <c r="I2293" s="36" t="n">
        <v>1</v>
      </c>
      <c r="J2293" s="39" t="n">
        <v>153.96</v>
      </c>
      <c r="K2293" s="45" t="n">
        <v>0</v>
      </c>
      <c r="L2293" s="39" t="n">
        <v>80.62</v>
      </c>
      <c r="M2293" s="39">
        <f>I2293*J2293*(1-K2293)</f>
        <v/>
      </c>
      <c r="N2293" s="39">
        <f>I2293*L2293</f>
        <v/>
      </c>
      <c r="O2293" s="39">
        <f>M2293-N2293</f>
        <v/>
      </c>
      <c r="P2293" s="38">
        <f>IF(M2293=0,0,O2293/M2293)</f>
        <v/>
      </c>
      <c r="Q2293" s="36">
        <f>YEAR(B2293)</f>
        <v/>
      </c>
      <c r="R2293" s="36">
        <f>"Q"&amp;ROUNDUP(MONTH(B2293)/3,0)</f>
        <v/>
      </c>
      <c r="S2293" s="36">
        <f>MONTH(B2293)</f>
        <v/>
      </c>
      <c r="T2293" s="36">
        <f>TEXT(B2293,"mmm")</f>
        <v/>
      </c>
      <c r="U2293" s="36">
        <f>IF(AND(OR(sel_Region="All",C2293=sel_Region),OR(sel_Country="All",D2293=sel_Country),OR(sel_Channel="All",E2293=sel_Channel),OR(sel_Customer="All",F2293=sel_Customer),OR(sel_Category="All",G2293=sel_Category),OR(sel_Product="All",H2293=sel_Product),AND(S2293&gt;=m_From,S2293&lt;=m_To)),1,0)</f>
        <v/>
      </c>
      <c r="V2293" s="36">
        <f>IF(AND(OR(sel_Region="All",C2293=sel_Region),OR(sel_Channel="All",E2293=sel_Channel),OR(sel_Customer="All",F2293=sel_Customer),OR(sel_Category="All",G2293=sel_Category),OR(sel_Product="All",H2293=sel_Product),AND(S2293&gt;=m_From,S2293&lt;=m_To)),1,0)</f>
        <v/>
      </c>
      <c r="W2293" s="36">
        <f>IF(AND(OR(sel_Region="All",C2293=sel_Region),OR(sel_Country="All",D2293=sel_Country),OR(sel_Customer="All",F2293=sel_Customer),OR(sel_Category="All",G2293=sel_Category),OR(sel_Product="All",H2293=sel_Product),AND(S2293&gt;=m_From,S2293&lt;=m_To)),1,0)</f>
        <v/>
      </c>
      <c r="X2293" s="36">
        <f>IF(AND(OR(sel_Region="All",C2293=sel_Region),OR(sel_Country="All",D2293=sel_Country),OR(sel_Channel="All",E2293=sel_Channel),OR(sel_Category="All",G2293=sel_Category),OR(sel_Product="All",H2293=sel_Product),AND(S2293&gt;=m_From,S2293&lt;=m_To)),1,0)</f>
        <v/>
      </c>
      <c r="Y2293" s="36">
        <f>IF(AND(OR(sel_Region="All",C2293=sel_Region),OR(sel_Country="All",D2293=sel_Country),OR(sel_Channel="All",E2293=sel_Channel),OR(sel_Customer="All",F2293=sel_Customer),OR(sel_Product="All",H2293=sel_Product),AND(S2293&gt;=m_From,S2293&lt;=m_To)),1,0)</f>
        <v/>
      </c>
      <c r="Z2293" s="36">
        <f>IF(AND(OR(sel_Region="All",C2293=sel_Region),OR(sel_Country="All",D2293=sel_Country),OR(sel_Channel="All",E2293=sel_Channel),OR(sel_Customer="All",F2293=sel_Customer),OR(sel_Category="All",G2293=sel_Category),AND(S2293&gt;=m_From,S2293&lt;=m_To)),1,0)</f>
        <v/>
      </c>
      <c r="AA2293" s="36">
        <f>IF(AND(OR(sel_Region="All",C2293=sel_Region),OR(sel_Country="All",D2293=sel_Country),OR(sel_Channel="All",E2293=sel_Channel),OR(sel_Customer="All",F2293=sel_Customer),OR(sel_Category="All",G2293=sel_Category),OR(sel_Product="All",H2293=sel_Product)),1,0)</f>
        <v/>
      </c>
    </row>
    <row r="2294">
      <c r="A2294" s="36" t="inlineStr">
        <is>
          <t>00181</t>
        </is>
      </c>
      <c r="B2294" s="44" t="n">
        <v>46333</v>
      </c>
      <c r="C2294" s="36" t="inlineStr">
        <is>
          <t>Central Europe</t>
        </is>
      </c>
      <c r="D2294" s="36" t="inlineStr">
        <is>
          <t>Czechia</t>
        </is>
      </c>
      <c r="E2294" s="36" t="inlineStr">
        <is>
          <t>Retail Partners</t>
        </is>
      </c>
      <c r="F2294" s="36" t="inlineStr">
        <is>
          <t>Returning</t>
        </is>
      </c>
      <c r="G2294" s="36" t="inlineStr">
        <is>
          <t>Travel</t>
        </is>
      </c>
      <c r="H2294" s="36" t="inlineStr">
        <is>
          <t>Insulated Bottle</t>
        </is>
      </c>
      <c r="I2294" s="36" t="n">
        <v>1</v>
      </c>
      <c r="J2294" s="39" t="n">
        <v>35.58</v>
      </c>
      <c r="K2294" s="45" t="n">
        <v>0</v>
      </c>
      <c r="L2294" s="39" t="n">
        <v>13.4</v>
      </c>
      <c r="M2294" s="39">
        <f>I2294*J2294*(1-K2294)</f>
        <v/>
      </c>
      <c r="N2294" s="39">
        <f>I2294*L2294</f>
        <v/>
      </c>
      <c r="O2294" s="39">
        <f>M2294-N2294</f>
        <v/>
      </c>
      <c r="P2294" s="38">
        <f>IF(M2294=0,0,O2294/M2294)</f>
        <v/>
      </c>
      <c r="Q2294" s="36">
        <f>YEAR(B2294)</f>
        <v/>
      </c>
      <c r="R2294" s="36">
        <f>"Q"&amp;ROUNDUP(MONTH(B2294)/3,0)</f>
        <v/>
      </c>
      <c r="S2294" s="36">
        <f>MONTH(B2294)</f>
        <v/>
      </c>
      <c r="T2294" s="36">
        <f>TEXT(B2294,"mmm")</f>
        <v/>
      </c>
      <c r="U2294" s="36">
        <f>IF(AND(OR(sel_Region="All",C2294=sel_Region),OR(sel_Country="All",D2294=sel_Country),OR(sel_Channel="All",E2294=sel_Channel),OR(sel_Customer="All",F2294=sel_Customer),OR(sel_Category="All",G2294=sel_Category),OR(sel_Product="All",H2294=sel_Product),AND(S2294&gt;=m_From,S2294&lt;=m_To)),1,0)</f>
        <v/>
      </c>
      <c r="V2294" s="36">
        <f>IF(AND(OR(sel_Region="All",C2294=sel_Region),OR(sel_Channel="All",E2294=sel_Channel),OR(sel_Customer="All",F2294=sel_Customer),OR(sel_Category="All",G2294=sel_Category),OR(sel_Product="All",H2294=sel_Product),AND(S2294&gt;=m_From,S2294&lt;=m_To)),1,0)</f>
        <v/>
      </c>
      <c r="W2294" s="36">
        <f>IF(AND(OR(sel_Region="All",C2294=sel_Region),OR(sel_Country="All",D2294=sel_Country),OR(sel_Customer="All",F2294=sel_Customer),OR(sel_Category="All",G2294=sel_Category),OR(sel_Product="All",H2294=sel_Product),AND(S2294&gt;=m_From,S2294&lt;=m_To)),1,0)</f>
        <v/>
      </c>
      <c r="X2294" s="36">
        <f>IF(AND(OR(sel_Region="All",C2294=sel_Region),OR(sel_Country="All",D2294=sel_Country),OR(sel_Channel="All",E2294=sel_Channel),OR(sel_Category="All",G2294=sel_Category),OR(sel_Product="All",H2294=sel_Product),AND(S2294&gt;=m_From,S2294&lt;=m_To)),1,0)</f>
        <v/>
      </c>
      <c r="Y2294" s="36">
        <f>IF(AND(OR(sel_Region="All",C2294=sel_Region),OR(sel_Country="All",D2294=sel_Country),OR(sel_Channel="All",E2294=sel_Channel),OR(sel_Customer="All",F2294=sel_Customer),OR(sel_Product="All",H2294=sel_Product),AND(S2294&gt;=m_From,S2294&lt;=m_To)),1,0)</f>
        <v/>
      </c>
      <c r="Z2294" s="36">
        <f>IF(AND(OR(sel_Region="All",C2294=sel_Region),OR(sel_Country="All",D2294=sel_Country),OR(sel_Channel="All",E2294=sel_Channel),OR(sel_Customer="All",F2294=sel_Customer),OR(sel_Category="All",G2294=sel_Category),AND(S2294&gt;=m_From,S2294&lt;=m_To)),1,0)</f>
        <v/>
      </c>
      <c r="AA2294" s="36">
        <f>IF(AND(OR(sel_Region="All",C2294=sel_Region),OR(sel_Country="All",D2294=sel_Country),OR(sel_Channel="All",E2294=sel_Channel),OR(sel_Customer="All",F2294=sel_Customer),OR(sel_Category="All",G2294=sel_Category),OR(sel_Product="All",H2294=sel_Product)),1,0)</f>
        <v/>
      </c>
    </row>
    <row r="2295">
      <c r="A2295" s="36" t="inlineStr">
        <is>
          <t>00823</t>
        </is>
      </c>
      <c r="B2295" s="44" t="n">
        <v>46333</v>
      </c>
      <c r="C2295" s="36" t="inlineStr">
        <is>
          <t>Southern Europe</t>
        </is>
      </c>
      <c r="D2295" s="36" t="inlineStr">
        <is>
          <t>Spain</t>
        </is>
      </c>
      <c r="E2295" s="36" t="inlineStr">
        <is>
          <t>Marketplace</t>
        </is>
      </c>
      <c r="F2295" s="36" t="inlineStr">
        <is>
          <t>New</t>
        </is>
      </c>
      <c r="G2295" s="36" t="inlineStr">
        <is>
          <t>Fitness</t>
        </is>
      </c>
      <c r="H2295" s="36" t="inlineStr">
        <is>
          <t>Recovery Roller</t>
        </is>
      </c>
      <c r="I2295" s="36" t="n">
        <v>5</v>
      </c>
      <c r="J2295" s="39" t="n">
        <v>36.37</v>
      </c>
      <c r="K2295" s="45" t="n">
        <v>0.15</v>
      </c>
      <c r="L2295" s="39" t="n">
        <v>13.65</v>
      </c>
      <c r="M2295" s="39">
        <f>I2295*J2295*(1-K2295)</f>
        <v/>
      </c>
      <c r="N2295" s="39">
        <f>I2295*L2295</f>
        <v/>
      </c>
      <c r="O2295" s="39">
        <f>M2295-N2295</f>
        <v/>
      </c>
      <c r="P2295" s="38">
        <f>IF(M2295=0,0,O2295/M2295)</f>
        <v/>
      </c>
      <c r="Q2295" s="36">
        <f>YEAR(B2295)</f>
        <v/>
      </c>
      <c r="R2295" s="36">
        <f>"Q"&amp;ROUNDUP(MONTH(B2295)/3,0)</f>
        <v/>
      </c>
      <c r="S2295" s="36">
        <f>MONTH(B2295)</f>
        <v/>
      </c>
      <c r="T2295" s="36">
        <f>TEXT(B2295,"mmm")</f>
        <v/>
      </c>
      <c r="U2295" s="36">
        <f>IF(AND(OR(sel_Region="All",C2295=sel_Region),OR(sel_Country="All",D2295=sel_Country),OR(sel_Channel="All",E2295=sel_Channel),OR(sel_Customer="All",F2295=sel_Customer),OR(sel_Category="All",G2295=sel_Category),OR(sel_Product="All",H2295=sel_Product),AND(S2295&gt;=m_From,S2295&lt;=m_To)),1,0)</f>
        <v/>
      </c>
      <c r="V2295" s="36">
        <f>IF(AND(OR(sel_Region="All",C2295=sel_Region),OR(sel_Channel="All",E2295=sel_Channel),OR(sel_Customer="All",F2295=sel_Customer),OR(sel_Category="All",G2295=sel_Category),OR(sel_Product="All",H2295=sel_Product),AND(S2295&gt;=m_From,S2295&lt;=m_To)),1,0)</f>
        <v/>
      </c>
      <c r="W2295" s="36">
        <f>IF(AND(OR(sel_Region="All",C2295=sel_Region),OR(sel_Country="All",D2295=sel_Country),OR(sel_Customer="All",F2295=sel_Customer),OR(sel_Category="All",G2295=sel_Category),OR(sel_Product="All",H2295=sel_Product),AND(S2295&gt;=m_From,S2295&lt;=m_To)),1,0)</f>
        <v/>
      </c>
      <c r="X2295" s="36">
        <f>IF(AND(OR(sel_Region="All",C2295=sel_Region),OR(sel_Country="All",D2295=sel_Country),OR(sel_Channel="All",E2295=sel_Channel),OR(sel_Category="All",G2295=sel_Category),OR(sel_Product="All",H2295=sel_Product),AND(S2295&gt;=m_From,S2295&lt;=m_To)),1,0)</f>
        <v/>
      </c>
      <c r="Y2295" s="36">
        <f>IF(AND(OR(sel_Region="All",C2295=sel_Region),OR(sel_Country="All",D2295=sel_Country),OR(sel_Channel="All",E2295=sel_Channel),OR(sel_Customer="All",F2295=sel_Customer),OR(sel_Product="All",H2295=sel_Product),AND(S2295&gt;=m_From,S2295&lt;=m_To)),1,0)</f>
        <v/>
      </c>
      <c r="Z2295" s="36">
        <f>IF(AND(OR(sel_Region="All",C2295=sel_Region),OR(sel_Country="All",D2295=sel_Country),OR(sel_Channel="All",E2295=sel_Channel),OR(sel_Customer="All",F2295=sel_Customer),OR(sel_Category="All",G2295=sel_Category),AND(S2295&gt;=m_From,S2295&lt;=m_To)),1,0)</f>
        <v/>
      </c>
      <c r="AA2295" s="36">
        <f>IF(AND(OR(sel_Region="All",C2295=sel_Region),OR(sel_Country="All",D2295=sel_Country),OR(sel_Channel="All",E2295=sel_Channel),OR(sel_Customer="All",F2295=sel_Customer),OR(sel_Category="All",G2295=sel_Category),OR(sel_Product="All",H2295=sel_Product)),1,0)</f>
        <v/>
      </c>
    </row>
    <row r="2296">
      <c r="A2296" s="36" t="inlineStr">
        <is>
          <t>01730</t>
        </is>
      </c>
      <c r="B2296" s="44" t="n">
        <v>46333</v>
      </c>
      <c r="C2296" s="36" t="inlineStr">
        <is>
          <t>Western Europe</t>
        </is>
      </c>
      <c r="D2296" s="36" t="inlineStr">
        <is>
          <t>Belgium</t>
        </is>
      </c>
      <c r="E2296" s="36" t="inlineStr">
        <is>
          <t>Marketplace</t>
        </is>
      </c>
      <c r="F2296" s="36" t="inlineStr">
        <is>
          <t>Returning</t>
        </is>
      </c>
      <c r="G2296" s="36" t="inlineStr">
        <is>
          <t>Hiking</t>
        </is>
      </c>
      <c r="H2296" s="36" t="inlineStr">
        <is>
          <t>Summit Backpack 45L</t>
        </is>
      </c>
      <c r="I2296" s="36" t="n">
        <v>2</v>
      </c>
      <c r="J2296" s="39" t="n">
        <v>151.55</v>
      </c>
      <c r="K2296" s="45" t="n">
        <v>0.1</v>
      </c>
      <c r="L2296" s="39" t="n">
        <v>80.48</v>
      </c>
      <c r="M2296" s="39">
        <f>I2296*J2296*(1-K2296)</f>
        <v/>
      </c>
      <c r="N2296" s="39">
        <f>I2296*L2296</f>
        <v/>
      </c>
      <c r="O2296" s="39">
        <f>M2296-N2296</f>
        <v/>
      </c>
      <c r="P2296" s="38">
        <f>IF(M2296=0,0,O2296/M2296)</f>
        <v/>
      </c>
      <c r="Q2296" s="36">
        <f>YEAR(B2296)</f>
        <v/>
      </c>
      <c r="R2296" s="36">
        <f>"Q"&amp;ROUNDUP(MONTH(B2296)/3,0)</f>
        <v/>
      </c>
      <c r="S2296" s="36">
        <f>MONTH(B2296)</f>
        <v/>
      </c>
      <c r="T2296" s="36">
        <f>TEXT(B2296,"mmm")</f>
        <v/>
      </c>
      <c r="U2296" s="36">
        <f>IF(AND(OR(sel_Region="All",C2296=sel_Region),OR(sel_Country="All",D2296=sel_Country),OR(sel_Channel="All",E2296=sel_Channel),OR(sel_Customer="All",F2296=sel_Customer),OR(sel_Category="All",G2296=sel_Category),OR(sel_Product="All",H2296=sel_Product),AND(S2296&gt;=m_From,S2296&lt;=m_To)),1,0)</f>
        <v/>
      </c>
      <c r="V2296" s="36">
        <f>IF(AND(OR(sel_Region="All",C2296=sel_Region),OR(sel_Channel="All",E2296=sel_Channel),OR(sel_Customer="All",F2296=sel_Customer),OR(sel_Category="All",G2296=sel_Category),OR(sel_Product="All",H2296=sel_Product),AND(S2296&gt;=m_From,S2296&lt;=m_To)),1,0)</f>
        <v/>
      </c>
      <c r="W2296" s="36">
        <f>IF(AND(OR(sel_Region="All",C2296=sel_Region),OR(sel_Country="All",D2296=sel_Country),OR(sel_Customer="All",F2296=sel_Customer),OR(sel_Category="All",G2296=sel_Category),OR(sel_Product="All",H2296=sel_Product),AND(S2296&gt;=m_From,S2296&lt;=m_To)),1,0)</f>
        <v/>
      </c>
      <c r="X2296" s="36">
        <f>IF(AND(OR(sel_Region="All",C2296=sel_Region),OR(sel_Country="All",D2296=sel_Country),OR(sel_Channel="All",E2296=sel_Channel),OR(sel_Category="All",G2296=sel_Category),OR(sel_Product="All",H2296=sel_Product),AND(S2296&gt;=m_From,S2296&lt;=m_To)),1,0)</f>
        <v/>
      </c>
      <c r="Y2296" s="36">
        <f>IF(AND(OR(sel_Region="All",C2296=sel_Region),OR(sel_Country="All",D2296=sel_Country),OR(sel_Channel="All",E2296=sel_Channel),OR(sel_Customer="All",F2296=sel_Customer),OR(sel_Product="All",H2296=sel_Product),AND(S2296&gt;=m_From,S2296&lt;=m_To)),1,0)</f>
        <v/>
      </c>
      <c r="Z2296" s="36">
        <f>IF(AND(OR(sel_Region="All",C2296=sel_Region),OR(sel_Country="All",D2296=sel_Country),OR(sel_Channel="All",E2296=sel_Channel),OR(sel_Customer="All",F2296=sel_Customer),OR(sel_Category="All",G2296=sel_Category),AND(S2296&gt;=m_From,S2296&lt;=m_To)),1,0)</f>
        <v/>
      </c>
      <c r="AA2296" s="36">
        <f>IF(AND(OR(sel_Region="All",C2296=sel_Region),OR(sel_Country="All",D2296=sel_Country),OR(sel_Channel="All",E2296=sel_Channel),OR(sel_Customer="All",F2296=sel_Customer),OR(sel_Category="All",G2296=sel_Category),OR(sel_Product="All",H2296=sel_Product)),1,0)</f>
        <v/>
      </c>
    </row>
    <row r="2297">
      <c r="A2297" s="36" t="inlineStr">
        <is>
          <t>02710</t>
        </is>
      </c>
      <c r="B2297" s="44" t="n">
        <v>46333</v>
      </c>
      <c r="C2297" s="36" t="inlineStr">
        <is>
          <t>Southern Europe</t>
        </is>
      </c>
      <c r="D2297" s="36" t="inlineStr">
        <is>
          <t>Portugal</t>
        </is>
      </c>
      <c r="E2297" s="36" t="inlineStr">
        <is>
          <t>Retail Partners</t>
        </is>
      </c>
      <c r="F2297" s="36" t="inlineStr">
        <is>
          <t>New</t>
        </is>
      </c>
      <c r="G2297" s="36" t="inlineStr">
        <is>
          <t>Camping</t>
        </is>
      </c>
      <c r="H2297" s="36" t="inlineStr">
        <is>
          <t>Portable Camp Stove</t>
        </is>
      </c>
      <c r="I2297" s="36" t="n">
        <v>2</v>
      </c>
      <c r="J2297" s="39" t="n">
        <v>80.67</v>
      </c>
      <c r="K2297" s="45" t="n">
        <v>0</v>
      </c>
      <c r="L2297" s="39" t="n">
        <v>40.5</v>
      </c>
      <c r="M2297" s="39">
        <f>I2297*J2297*(1-K2297)</f>
        <v/>
      </c>
      <c r="N2297" s="39">
        <f>I2297*L2297</f>
        <v/>
      </c>
      <c r="O2297" s="39">
        <f>M2297-N2297</f>
        <v/>
      </c>
      <c r="P2297" s="38">
        <f>IF(M2297=0,0,O2297/M2297)</f>
        <v/>
      </c>
      <c r="Q2297" s="36">
        <f>YEAR(B2297)</f>
        <v/>
      </c>
      <c r="R2297" s="36">
        <f>"Q"&amp;ROUNDUP(MONTH(B2297)/3,0)</f>
        <v/>
      </c>
      <c r="S2297" s="36">
        <f>MONTH(B2297)</f>
        <v/>
      </c>
      <c r="T2297" s="36">
        <f>TEXT(B2297,"mmm")</f>
        <v/>
      </c>
      <c r="U2297" s="36">
        <f>IF(AND(OR(sel_Region="All",C2297=sel_Region),OR(sel_Country="All",D2297=sel_Country),OR(sel_Channel="All",E2297=sel_Channel),OR(sel_Customer="All",F2297=sel_Customer),OR(sel_Category="All",G2297=sel_Category),OR(sel_Product="All",H2297=sel_Product),AND(S2297&gt;=m_From,S2297&lt;=m_To)),1,0)</f>
        <v/>
      </c>
      <c r="V2297" s="36">
        <f>IF(AND(OR(sel_Region="All",C2297=sel_Region),OR(sel_Channel="All",E2297=sel_Channel),OR(sel_Customer="All",F2297=sel_Customer),OR(sel_Category="All",G2297=sel_Category),OR(sel_Product="All",H2297=sel_Product),AND(S2297&gt;=m_From,S2297&lt;=m_To)),1,0)</f>
        <v/>
      </c>
      <c r="W2297" s="36">
        <f>IF(AND(OR(sel_Region="All",C2297=sel_Region),OR(sel_Country="All",D2297=sel_Country),OR(sel_Customer="All",F2297=sel_Customer),OR(sel_Category="All",G2297=sel_Category),OR(sel_Product="All",H2297=sel_Product),AND(S2297&gt;=m_From,S2297&lt;=m_To)),1,0)</f>
        <v/>
      </c>
      <c r="X2297" s="36">
        <f>IF(AND(OR(sel_Region="All",C2297=sel_Region),OR(sel_Country="All",D2297=sel_Country),OR(sel_Channel="All",E2297=sel_Channel),OR(sel_Category="All",G2297=sel_Category),OR(sel_Product="All",H2297=sel_Product),AND(S2297&gt;=m_From,S2297&lt;=m_To)),1,0)</f>
        <v/>
      </c>
      <c r="Y2297" s="36">
        <f>IF(AND(OR(sel_Region="All",C2297=sel_Region),OR(sel_Country="All",D2297=sel_Country),OR(sel_Channel="All",E2297=sel_Channel),OR(sel_Customer="All",F2297=sel_Customer),OR(sel_Product="All",H2297=sel_Product),AND(S2297&gt;=m_From,S2297&lt;=m_To)),1,0)</f>
        <v/>
      </c>
      <c r="Z2297" s="36">
        <f>IF(AND(OR(sel_Region="All",C2297=sel_Region),OR(sel_Country="All",D2297=sel_Country),OR(sel_Channel="All",E2297=sel_Channel),OR(sel_Customer="All",F2297=sel_Customer),OR(sel_Category="All",G2297=sel_Category),AND(S2297&gt;=m_From,S2297&lt;=m_To)),1,0)</f>
        <v/>
      </c>
      <c r="AA2297" s="36">
        <f>IF(AND(OR(sel_Region="All",C2297=sel_Region),OR(sel_Country="All",D2297=sel_Country),OR(sel_Channel="All",E2297=sel_Channel),OR(sel_Customer="All",F2297=sel_Customer),OR(sel_Category="All",G2297=sel_Category),OR(sel_Product="All",H2297=sel_Product)),1,0)</f>
        <v/>
      </c>
    </row>
    <row r="2298">
      <c r="A2298" s="36" t="inlineStr">
        <is>
          <t>03018</t>
        </is>
      </c>
      <c r="B2298" s="44" t="n">
        <v>46333</v>
      </c>
      <c r="C2298" s="36" t="inlineStr">
        <is>
          <t>Western Europe</t>
        </is>
      </c>
      <c r="D2298" s="36" t="inlineStr">
        <is>
          <t>Netherlands</t>
        </is>
      </c>
      <c r="E2298" s="36" t="inlineStr">
        <is>
          <t>Corporate</t>
        </is>
      </c>
      <c r="F2298" s="36" t="inlineStr">
        <is>
          <t>Business</t>
        </is>
      </c>
      <c r="G2298" s="36" t="inlineStr">
        <is>
          <t>Cycling</t>
        </is>
      </c>
      <c r="H2298" s="36" t="inlineStr">
        <is>
          <t>Commuter Helmet</t>
        </is>
      </c>
      <c r="I2298" s="36" t="n">
        <v>10</v>
      </c>
      <c r="J2298" s="39" t="n">
        <v>81.48</v>
      </c>
      <c r="K2298" s="45" t="n">
        <v>0.05</v>
      </c>
      <c r="L2298" s="39" t="n">
        <v>43.7</v>
      </c>
      <c r="M2298" s="39">
        <f>I2298*J2298*(1-K2298)</f>
        <v/>
      </c>
      <c r="N2298" s="39">
        <f>I2298*L2298</f>
        <v/>
      </c>
      <c r="O2298" s="39">
        <f>M2298-N2298</f>
        <v/>
      </c>
      <c r="P2298" s="38">
        <f>IF(M2298=0,0,O2298/M2298)</f>
        <v/>
      </c>
      <c r="Q2298" s="36">
        <f>YEAR(B2298)</f>
        <v/>
      </c>
      <c r="R2298" s="36">
        <f>"Q"&amp;ROUNDUP(MONTH(B2298)/3,0)</f>
        <v/>
      </c>
      <c r="S2298" s="36">
        <f>MONTH(B2298)</f>
        <v/>
      </c>
      <c r="T2298" s="36">
        <f>TEXT(B2298,"mmm")</f>
        <v/>
      </c>
      <c r="U2298" s="36">
        <f>IF(AND(OR(sel_Region="All",C2298=sel_Region),OR(sel_Country="All",D2298=sel_Country),OR(sel_Channel="All",E2298=sel_Channel),OR(sel_Customer="All",F2298=sel_Customer),OR(sel_Category="All",G2298=sel_Category),OR(sel_Product="All",H2298=sel_Product),AND(S2298&gt;=m_From,S2298&lt;=m_To)),1,0)</f>
        <v/>
      </c>
      <c r="V2298" s="36">
        <f>IF(AND(OR(sel_Region="All",C2298=sel_Region),OR(sel_Channel="All",E2298=sel_Channel),OR(sel_Customer="All",F2298=sel_Customer),OR(sel_Category="All",G2298=sel_Category),OR(sel_Product="All",H2298=sel_Product),AND(S2298&gt;=m_From,S2298&lt;=m_To)),1,0)</f>
        <v/>
      </c>
      <c r="W2298" s="36">
        <f>IF(AND(OR(sel_Region="All",C2298=sel_Region),OR(sel_Country="All",D2298=sel_Country),OR(sel_Customer="All",F2298=sel_Customer),OR(sel_Category="All",G2298=sel_Category),OR(sel_Product="All",H2298=sel_Product),AND(S2298&gt;=m_From,S2298&lt;=m_To)),1,0)</f>
        <v/>
      </c>
      <c r="X2298" s="36">
        <f>IF(AND(OR(sel_Region="All",C2298=sel_Region),OR(sel_Country="All",D2298=sel_Country),OR(sel_Channel="All",E2298=sel_Channel),OR(sel_Category="All",G2298=sel_Category),OR(sel_Product="All",H2298=sel_Product),AND(S2298&gt;=m_From,S2298&lt;=m_To)),1,0)</f>
        <v/>
      </c>
      <c r="Y2298" s="36">
        <f>IF(AND(OR(sel_Region="All",C2298=sel_Region),OR(sel_Country="All",D2298=sel_Country),OR(sel_Channel="All",E2298=sel_Channel),OR(sel_Customer="All",F2298=sel_Customer),OR(sel_Product="All",H2298=sel_Product),AND(S2298&gt;=m_From,S2298&lt;=m_To)),1,0)</f>
        <v/>
      </c>
      <c r="Z2298" s="36">
        <f>IF(AND(OR(sel_Region="All",C2298=sel_Region),OR(sel_Country="All",D2298=sel_Country),OR(sel_Channel="All",E2298=sel_Channel),OR(sel_Customer="All",F2298=sel_Customer),OR(sel_Category="All",G2298=sel_Category),AND(S2298&gt;=m_From,S2298&lt;=m_To)),1,0)</f>
        <v/>
      </c>
      <c r="AA2298" s="36">
        <f>IF(AND(OR(sel_Region="All",C2298=sel_Region),OR(sel_Country="All",D2298=sel_Country),OR(sel_Channel="All",E2298=sel_Channel),OR(sel_Customer="All",F2298=sel_Customer),OR(sel_Category="All",G2298=sel_Category),OR(sel_Product="All",H2298=sel_Product)),1,0)</f>
        <v/>
      </c>
    </row>
    <row r="2299">
      <c r="A2299" s="36" t="inlineStr">
        <is>
          <t>03735</t>
        </is>
      </c>
      <c r="B2299" s="44" t="n">
        <v>46333</v>
      </c>
      <c r="C2299" s="36" t="inlineStr">
        <is>
          <t>Western Europe</t>
        </is>
      </c>
      <c r="D2299" s="36" t="inlineStr">
        <is>
          <t>United Kingdom</t>
        </is>
      </c>
      <c r="E2299" s="36" t="inlineStr">
        <is>
          <t>Retail Partners</t>
        </is>
      </c>
      <c r="F2299" s="36" t="inlineStr">
        <is>
          <t>Returning</t>
        </is>
      </c>
      <c r="G2299" s="36" t="inlineStr">
        <is>
          <t>Travel</t>
        </is>
      </c>
      <c r="H2299" s="36" t="inlineStr">
        <is>
          <t>Travel Backpack 35L</t>
        </is>
      </c>
      <c r="I2299" s="36" t="n">
        <v>2</v>
      </c>
      <c r="J2299" s="39" t="n">
        <v>163.58</v>
      </c>
      <c r="K2299" s="45" t="n">
        <v>0.1</v>
      </c>
      <c r="L2299" s="39" t="n">
        <v>88.14</v>
      </c>
      <c r="M2299" s="39">
        <f>I2299*J2299*(1-K2299)</f>
        <v/>
      </c>
      <c r="N2299" s="39">
        <f>I2299*L2299</f>
        <v/>
      </c>
      <c r="O2299" s="39">
        <f>M2299-N2299</f>
        <v/>
      </c>
      <c r="P2299" s="38">
        <f>IF(M2299=0,0,O2299/M2299)</f>
        <v/>
      </c>
      <c r="Q2299" s="36">
        <f>YEAR(B2299)</f>
        <v/>
      </c>
      <c r="R2299" s="36">
        <f>"Q"&amp;ROUNDUP(MONTH(B2299)/3,0)</f>
        <v/>
      </c>
      <c r="S2299" s="36">
        <f>MONTH(B2299)</f>
        <v/>
      </c>
      <c r="T2299" s="36">
        <f>TEXT(B2299,"mmm")</f>
        <v/>
      </c>
      <c r="U2299" s="36">
        <f>IF(AND(OR(sel_Region="All",C2299=sel_Region),OR(sel_Country="All",D2299=sel_Country),OR(sel_Channel="All",E2299=sel_Channel),OR(sel_Customer="All",F2299=sel_Customer),OR(sel_Category="All",G2299=sel_Category),OR(sel_Product="All",H2299=sel_Product),AND(S2299&gt;=m_From,S2299&lt;=m_To)),1,0)</f>
        <v/>
      </c>
      <c r="V2299" s="36">
        <f>IF(AND(OR(sel_Region="All",C2299=sel_Region),OR(sel_Channel="All",E2299=sel_Channel),OR(sel_Customer="All",F2299=sel_Customer),OR(sel_Category="All",G2299=sel_Category),OR(sel_Product="All",H2299=sel_Product),AND(S2299&gt;=m_From,S2299&lt;=m_To)),1,0)</f>
        <v/>
      </c>
      <c r="W2299" s="36">
        <f>IF(AND(OR(sel_Region="All",C2299=sel_Region),OR(sel_Country="All",D2299=sel_Country),OR(sel_Customer="All",F2299=sel_Customer),OR(sel_Category="All",G2299=sel_Category),OR(sel_Product="All",H2299=sel_Product),AND(S2299&gt;=m_From,S2299&lt;=m_To)),1,0)</f>
        <v/>
      </c>
      <c r="X2299" s="36">
        <f>IF(AND(OR(sel_Region="All",C2299=sel_Region),OR(sel_Country="All",D2299=sel_Country),OR(sel_Channel="All",E2299=sel_Channel),OR(sel_Category="All",G2299=sel_Category),OR(sel_Product="All",H2299=sel_Product),AND(S2299&gt;=m_From,S2299&lt;=m_To)),1,0)</f>
        <v/>
      </c>
      <c r="Y2299" s="36">
        <f>IF(AND(OR(sel_Region="All",C2299=sel_Region),OR(sel_Country="All",D2299=sel_Country),OR(sel_Channel="All",E2299=sel_Channel),OR(sel_Customer="All",F2299=sel_Customer),OR(sel_Product="All",H2299=sel_Product),AND(S2299&gt;=m_From,S2299&lt;=m_To)),1,0)</f>
        <v/>
      </c>
      <c r="Z2299" s="36">
        <f>IF(AND(OR(sel_Region="All",C2299=sel_Region),OR(sel_Country="All",D2299=sel_Country),OR(sel_Channel="All",E2299=sel_Channel),OR(sel_Customer="All",F2299=sel_Customer),OR(sel_Category="All",G2299=sel_Category),AND(S2299&gt;=m_From,S2299&lt;=m_To)),1,0)</f>
        <v/>
      </c>
      <c r="AA2299" s="36">
        <f>IF(AND(OR(sel_Region="All",C2299=sel_Region),OR(sel_Country="All",D2299=sel_Country),OR(sel_Channel="All",E2299=sel_Channel),OR(sel_Customer="All",F2299=sel_Customer),OR(sel_Category="All",G2299=sel_Category),OR(sel_Product="All",H2299=sel_Product)),1,0)</f>
        <v/>
      </c>
    </row>
    <row r="2300">
      <c r="A2300" s="36" t="inlineStr">
        <is>
          <t>04460</t>
        </is>
      </c>
      <c r="B2300" s="44" t="n">
        <v>46333</v>
      </c>
      <c r="C2300" s="36" t="inlineStr">
        <is>
          <t>Southern Europe</t>
        </is>
      </c>
      <c r="D2300" s="36" t="inlineStr">
        <is>
          <t>Portugal</t>
        </is>
      </c>
      <c r="E2300" s="36" t="inlineStr">
        <is>
          <t>Retail Partners</t>
        </is>
      </c>
      <c r="F2300" s="36" t="inlineStr">
        <is>
          <t>Returning</t>
        </is>
      </c>
      <c r="G2300" s="36" t="inlineStr">
        <is>
          <t>Hiking</t>
        </is>
      </c>
      <c r="H2300" s="36" t="inlineStr">
        <is>
          <t>Trekking Poles</t>
        </is>
      </c>
      <c r="I2300" s="36" t="n">
        <v>2</v>
      </c>
      <c r="J2300" s="39" t="n">
        <v>71.88</v>
      </c>
      <c r="K2300" s="45" t="n">
        <v>0.15</v>
      </c>
      <c r="L2300" s="39" t="n">
        <v>31.65</v>
      </c>
      <c r="M2300" s="39">
        <f>I2300*J2300*(1-K2300)</f>
        <v/>
      </c>
      <c r="N2300" s="39">
        <f>I2300*L2300</f>
        <v/>
      </c>
      <c r="O2300" s="39">
        <f>M2300-N2300</f>
        <v/>
      </c>
      <c r="P2300" s="38">
        <f>IF(M2300=0,0,O2300/M2300)</f>
        <v/>
      </c>
      <c r="Q2300" s="36">
        <f>YEAR(B2300)</f>
        <v/>
      </c>
      <c r="R2300" s="36">
        <f>"Q"&amp;ROUNDUP(MONTH(B2300)/3,0)</f>
        <v/>
      </c>
      <c r="S2300" s="36">
        <f>MONTH(B2300)</f>
        <v/>
      </c>
      <c r="T2300" s="36">
        <f>TEXT(B2300,"mmm")</f>
        <v/>
      </c>
      <c r="U2300" s="36">
        <f>IF(AND(OR(sel_Region="All",C2300=sel_Region),OR(sel_Country="All",D2300=sel_Country),OR(sel_Channel="All",E2300=sel_Channel),OR(sel_Customer="All",F2300=sel_Customer),OR(sel_Category="All",G2300=sel_Category),OR(sel_Product="All",H2300=sel_Product),AND(S2300&gt;=m_From,S2300&lt;=m_To)),1,0)</f>
        <v/>
      </c>
      <c r="V2300" s="36">
        <f>IF(AND(OR(sel_Region="All",C2300=sel_Region),OR(sel_Channel="All",E2300=sel_Channel),OR(sel_Customer="All",F2300=sel_Customer),OR(sel_Category="All",G2300=sel_Category),OR(sel_Product="All",H2300=sel_Product),AND(S2300&gt;=m_From,S2300&lt;=m_To)),1,0)</f>
        <v/>
      </c>
      <c r="W2300" s="36">
        <f>IF(AND(OR(sel_Region="All",C2300=sel_Region),OR(sel_Country="All",D2300=sel_Country),OR(sel_Customer="All",F2300=sel_Customer),OR(sel_Category="All",G2300=sel_Category),OR(sel_Product="All",H2300=sel_Product),AND(S2300&gt;=m_From,S2300&lt;=m_To)),1,0)</f>
        <v/>
      </c>
      <c r="X2300" s="36">
        <f>IF(AND(OR(sel_Region="All",C2300=sel_Region),OR(sel_Country="All",D2300=sel_Country),OR(sel_Channel="All",E2300=sel_Channel),OR(sel_Category="All",G2300=sel_Category),OR(sel_Product="All",H2300=sel_Product),AND(S2300&gt;=m_From,S2300&lt;=m_To)),1,0)</f>
        <v/>
      </c>
      <c r="Y2300" s="36">
        <f>IF(AND(OR(sel_Region="All",C2300=sel_Region),OR(sel_Country="All",D2300=sel_Country),OR(sel_Channel="All",E2300=sel_Channel),OR(sel_Customer="All",F2300=sel_Customer),OR(sel_Product="All",H2300=sel_Product),AND(S2300&gt;=m_From,S2300&lt;=m_To)),1,0)</f>
        <v/>
      </c>
      <c r="Z2300" s="36">
        <f>IF(AND(OR(sel_Region="All",C2300=sel_Region),OR(sel_Country="All",D2300=sel_Country),OR(sel_Channel="All",E2300=sel_Channel),OR(sel_Customer="All",F2300=sel_Customer),OR(sel_Category="All",G2300=sel_Category),AND(S2300&gt;=m_From,S2300&lt;=m_To)),1,0)</f>
        <v/>
      </c>
      <c r="AA2300" s="36">
        <f>IF(AND(OR(sel_Region="All",C2300=sel_Region),OR(sel_Country="All",D2300=sel_Country),OR(sel_Channel="All",E2300=sel_Channel),OR(sel_Customer="All",F2300=sel_Customer),OR(sel_Category="All",G2300=sel_Category),OR(sel_Product="All",H2300=sel_Product)),1,0)</f>
        <v/>
      </c>
    </row>
    <row r="2301">
      <c r="A2301" s="36" t="inlineStr">
        <is>
          <t>00319</t>
        </is>
      </c>
      <c r="B2301" s="44" t="n">
        <v>46334</v>
      </c>
      <c r="C2301" s="36" t="inlineStr">
        <is>
          <t>Western Europe</t>
        </is>
      </c>
      <c r="D2301" s="36" t="inlineStr">
        <is>
          <t>United Kingdom</t>
        </is>
      </c>
      <c r="E2301" s="36" t="inlineStr">
        <is>
          <t>Online Store</t>
        </is>
      </c>
      <c r="F2301" s="36" t="inlineStr">
        <is>
          <t>Returning</t>
        </is>
      </c>
      <c r="G2301" s="36" t="inlineStr">
        <is>
          <t>Travel</t>
        </is>
      </c>
      <c r="H2301" s="36" t="inlineStr">
        <is>
          <t>Insulated Bottle</t>
        </is>
      </c>
      <c r="I2301" s="36" t="n">
        <v>2</v>
      </c>
      <c r="J2301" s="39" t="n">
        <v>36.3</v>
      </c>
      <c r="K2301" s="45" t="n">
        <v>0.15</v>
      </c>
      <c r="L2301" s="39" t="n">
        <v>13.38</v>
      </c>
      <c r="M2301" s="39">
        <f>I2301*J2301*(1-K2301)</f>
        <v/>
      </c>
      <c r="N2301" s="39">
        <f>I2301*L2301</f>
        <v/>
      </c>
      <c r="O2301" s="39">
        <f>M2301-N2301</f>
        <v/>
      </c>
      <c r="P2301" s="38">
        <f>IF(M2301=0,0,O2301/M2301)</f>
        <v/>
      </c>
      <c r="Q2301" s="36">
        <f>YEAR(B2301)</f>
        <v/>
      </c>
      <c r="R2301" s="36">
        <f>"Q"&amp;ROUNDUP(MONTH(B2301)/3,0)</f>
        <v/>
      </c>
      <c r="S2301" s="36">
        <f>MONTH(B2301)</f>
        <v/>
      </c>
      <c r="T2301" s="36">
        <f>TEXT(B2301,"mmm")</f>
        <v/>
      </c>
      <c r="U2301" s="36">
        <f>IF(AND(OR(sel_Region="All",C2301=sel_Region),OR(sel_Country="All",D2301=sel_Country),OR(sel_Channel="All",E2301=sel_Channel),OR(sel_Customer="All",F2301=sel_Customer),OR(sel_Category="All",G2301=sel_Category),OR(sel_Product="All",H2301=sel_Product),AND(S2301&gt;=m_From,S2301&lt;=m_To)),1,0)</f>
        <v/>
      </c>
      <c r="V2301" s="36">
        <f>IF(AND(OR(sel_Region="All",C2301=sel_Region),OR(sel_Channel="All",E2301=sel_Channel),OR(sel_Customer="All",F2301=sel_Customer),OR(sel_Category="All",G2301=sel_Category),OR(sel_Product="All",H2301=sel_Product),AND(S2301&gt;=m_From,S2301&lt;=m_To)),1,0)</f>
        <v/>
      </c>
      <c r="W2301" s="36">
        <f>IF(AND(OR(sel_Region="All",C2301=sel_Region),OR(sel_Country="All",D2301=sel_Country),OR(sel_Customer="All",F2301=sel_Customer),OR(sel_Category="All",G2301=sel_Category),OR(sel_Product="All",H2301=sel_Product),AND(S2301&gt;=m_From,S2301&lt;=m_To)),1,0)</f>
        <v/>
      </c>
      <c r="X2301" s="36">
        <f>IF(AND(OR(sel_Region="All",C2301=sel_Region),OR(sel_Country="All",D2301=sel_Country),OR(sel_Channel="All",E2301=sel_Channel),OR(sel_Category="All",G2301=sel_Category),OR(sel_Product="All",H2301=sel_Product),AND(S2301&gt;=m_From,S2301&lt;=m_To)),1,0)</f>
        <v/>
      </c>
      <c r="Y2301" s="36">
        <f>IF(AND(OR(sel_Region="All",C2301=sel_Region),OR(sel_Country="All",D2301=sel_Country),OR(sel_Channel="All",E2301=sel_Channel),OR(sel_Customer="All",F2301=sel_Customer),OR(sel_Product="All",H2301=sel_Product),AND(S2301&gt;=m_From,S2301&lt;=m_To)),1,0)</f>
        <v/>
      </c>
      <c r="Z2301" s="36">
        <f>IF(AND(OR(sel_Region="All",C2301=sel_Region),OR(sel_Country="All",D2301=sel_Country),OR(sel_Channel="All",E2301=sel_Channel),OR(sel_Customer="All",F2301=sel_Customer),OR(sel_Category="All",G2301=sel_Category),AND(S2301&gt;=m_From,S2301&lt;=m_To)),1,0)</f>
        <v/>
      </c>
      <c r="AA2301" s="36">
        <f>IF(AND(OR(sel_Region="All",C2301=sel_Region),OR(sel_Country="All",D2301=sel_Country),OR(sel_Channel="All",E2301=sel_Channel),OR(sel_Customer="All",F2301=sel_Customer),OR(sel_Category="All",G2301=sel_Category),OR(sel_Product="All",H2301=sel_Product)),1,0)</f>
        <v/>
      </c>
    </row>
    <row r="2302">
      <c r="A2302" s="36" t="inlineStr">
        <is>
          <t>00595</t>
        </is>
      </c>
      <c r="B2302" s="44" t="n">
        <v>46334</v>
      </c>
      <c r="C2302" s="36" t="inlineStr">
        <is>
          <t>Central Europe</t>
        </is>
      </c>
      <c r="D2302" s="36" t="inlineStr">
        <is>
          <t>Germany</t>
        </is>
      </c>
      <c r="E2302" s="36" t="inlineStr">
        <is>
          <t>Online Store</t>
        </is>
      </c>
      <c r="F2302" s="36" t="inlineStr">
        <is>
          <t>New</t>
        </is>
      </c>
      <c r="G2302" s="36" t="inlineStr">
        <is>
          <t>Fitness</t>
        </is>
      </c>
      <c r="H2302" s="36" t="inlineStr">
        <is>
          <t>Recovery Roller</t>
        </is>
      </c>
      <c r="I2302" s="36" t="n">
        <v>2</v>
      </c>
      <c r="J2302" s="39" t="n">
        <v>36.16</v>
      </c>
      <c r="K2302" s="45" t="n">
        <v>0.1</v>
      </c>
      <c r="L2302" s="39" t="n">
        <v>13.79</v>
      </c>
      <c r="M2302" s="39">
        <f>I2302*J2302*(1-K2302)</f>
        <v/>
      </c>
      <c r="N2302" s="39">
        <f>I2302*L2302</f>
        <v/>
      </c>
      <c r="O2302" s="39">
        <f>M2302-N2302</f>
        <v/>
      </c>
      <c r="P2302" s="38">
        <f>IF(M2302=0,0,O2302/M2302)</f>
        <v/>
      </c>
      <c r="Q2302" s="36">
        <f>YEAR(B2302)</f>
        <v/>
      </c>
      <c r="R2302" s="36">
        <f>"Q"&amp;ROUNDUP(MONTH(B2302)/3,0)</f>
        <v/>
      </c>
      <c r="S2302" s="36">
        <f>MONTH(B2302)</f>
        <v/>
      </c>
      <c r="T2302" s="36">
        <f>TEXT(B2302,"mmm")</f>
        <v/>
      </c>
      <c r="U2302" s="36">
        <f>IF(AND(OR(sel_Region="All",C2302=sel_Region),OR(sel_Country="All",D2302=sel_Country),OR(sel_Channel="All",E2302=sel_Channel),OR(sel_Customer="All",F2302=sel_Customer),OR(sel_Category="All",G2302=sel_Category),OR(sel_Product="All",H2302=sel_Product),AND(S2302&gt;=m_From,S2302&lt;=m_To)),1,0)</f>
        <v/>
      </c>
      <c r="V2302" s="36">
        <f>IF(AND(OR(sel_Region="All",C2302=sel_Region),OR(sel_Channel="All",E2302=sel_Channel),OR(sel_Customer="All",F2302=sel_Customer),OR(sel_Category="All",G2302=sel_Category),OR(sel_Product="All",H2302=sel_Product),AND(S2302&gt;=m_From,S2302&lt;=m_To)),1,0)</f>
        <v/>
      </c>
      <c r="W2302" s="36">
        <f>IF(AND(OR(sel_Region="All",C2302=sel_Region),OR(sel_Country="All",D2302=sel_Country),OR(sel_Customer="All",F2302=sel_Customer),OR(sel_Category="All",G2302=sel_Category),OR(sel_Product="All",H2302=sel_Product),AND(S2302&gt;=m_From,S2302&lt;=m_To)),1,0)</f>
        <v/>
      </c>
      <c r="X2302" s="36">
        <f>IF(AND(OR(sel_Region="All",C2302=sel_Region),OR(sel_Country="All",D2302=sel_Country),OR(sel_Channel="All",E2302=sel_Channel),OR(sel_Category="All",G2302=sel_Category),OR(sel_Product="All",H2302=sel_Product),AND(S2302&gt;=m_From,S2302&lt;=m_To)),1,0)</f>
        <v/>
      </c>
      <c r="Y2302" s="36">
        <f>IF(AND(OR(sel_Region="All",C2302=sel_Region),OR(sel_Country="All",D2302=sel_Country),OR(sel_Channel="All",E2302=sel_Channel),OR(sel_Customer="All",F2302=sel_Customer),OR(sel_Product="All",H2302=sel_Product),AND(S2302&gt;=m_From,S2302&lt;=m_To)),1,0)</f>
        <v/>
      </c>
      <c r="Z2302" s="36">
        <f>IF(AND(OR(sel_Region="All",C2302=sel_Region),OR(sel_Country="All",D2302=sel_Country),OR(sel_Channel="All",E2302=sel_Channel),OR(sel_Customer="All",F2302=sel_Customer),OR(sel_Category="All",G2302=sel_Category),AND(S2302&gt;=m_From,S2302&lt;=m_To)),1,0)</f>
        <v/>
      </c>
      <c r="AA2302" s="36">
        <f>IF(AND(OR(sel_Region="All",C2302=sel_Region),OR(sel_Country="All",D2302=sel_Country),OR(sel_Channel="All",E2302=sel_Channel),OR(sel_Customer="All",F2302=sel_Customer),OR(sel_Category="All",G2302=sel_Category),OR(sel_Product="All",H2302=sel_Product)),1,0)</f>
        <v/>
      </c>
    </row>
    <row r="2303">
      <c r="A2303" s="36" t="inlineStr">
        <is>
          <t>01623</t>
        </is>
      </c>
      <c r="B2303" s="44" t="n">
        <v>46334</v>
      </c>
      <c r="C2303" s="36" t="inlineStr">
        <is>
          <t>Northern Europe</t>
        </is>
      </c>
      <c r="D2303" s="36" t="inlineStr">
        <is>
          <t>Denmark</t>
        </is>
      </c>
      <c r="E2303" s="36" t="inlineStr">
        <is>
          <t>Online Store</t>
        </is>
      </c>
      <c r="F2303" s="36" t="inlineStr">
        <is>
          <t>Returning</t>
        </is>
      </c>
      <c r="G2303" s="36" t="inlineStr">
        <is>
          <t>Travel</t>
        </is>
      </c>
      <c r="H2303" s="36" t="inlineStr">
        <is>
          <t>Insulated Bottle</t>
        </is>
      </c>
      <c r="I2303" s="36" t="n">
        <v>2</v>
      </c>
      <c r="J2303" s="39" t="n">
        <v>35.49</v>
      </c>
      <c r="K2303" s="45" t="n">
        <v>0.1</v>
      </c>
      <c r="L2303" s="39" t="n">
        <v>13.78</v>
      </c>
      <c r="M2303" s="39">
        <f>I2303*J2303*(1-K2303)</f>
        <v/>
      </c>
      <c r="N2303" s="39">
        <f>I2303*L2303</f>
        <v/>
      </c>
      <c r="O2303" s="39">
        <f>M2303-N2303</f>
        <v/>
      </c>
      <c r="P2303" s="38">
        <f>IF(M2303=0,0,O2303/M2303)</f>
        <v/>
      </c>
      <c r="Q2303" s="36">
        <f>YEAR(B2303)</f>
        <v/>
      </c>
      <c r="R2303" s="36">
        <f>"Q"&amp;ROUNDUP(MONTH(B2303)/3,0)</f>
        <v/>
      </c>
      <c r="S2303" s="36">
        <f>MONTH(B2303)</f>
        <v/>
      </c>
      <c r="T2303" s="36">
        <f>TEXT(B2303,"mmm")</f>
        <v/>
      </c>
      <c r="U2303" s="36">
        <f>IF(AND(OR(sel_Region="All",C2303=sel_Region),OR(sel_Country="All",D2303=sel_Country),OR(sel_Channel="All",E2303=sel_Channel),OR(sel_Customer="All",F2303=sel_Customer),OR(sel_Category="All",G2303=sel_Category),OR(sel_Product="All",H2303=sel_Product),AND(S2303&gt;=m_From,S2303&lt;=m_To)),1,0)</f>
        <v/>
      </c>
      <c r="V2303" s="36">
        <f>IF(AND(OR(sel_Region="All",C2303=sel_Region),OR(sel_Channel="All",E2303=sel_Channel),OR(sel_Customer="All",F2303=sel_Customer),OR(sel_Category="All",G2303=sel_Category),OR(sel_Product="All",H2303=sel_Product),AND(S2303&gt;=m_From,S2303&lt;=m_To)),1,0)</f>
        <v/>
      </c>
      <c r="W2303" s="36">
        <f>IF(AND(OR(sel_Region="All",C2303=sel_Region),OR(sel_Country="All",D2303=sel_Country),OR(sel_Customer="All",F2303=sel_Customer),OR(sel_Category="All",G2303=sel_Category),OR(sel_Product="All",H2303=sel_Product),AND(S2303&gt;=m_From,S2303&lt;=m_To)),1,0)</f>
        <v/>
      </c>
      <c r="X2303" s="36">
        <f>IF(AND(OR(sel_Region="All",C2303=sel_Region),OR(sel_Country="All",D2303=sel_Country),OR(sel_Channel="All",E2303=sel_Channel),OR(sel_Category="All",G2303=sel_Category),OR(sel_Product="All",H2303=sel_Product),AND(S2303&gt;=m_From,S2303&lt;=m_To)),1,0)</f>
        <v/>
      </c>
      <c r="Y2303" s="36">
        <f>IF(AND(OR(sel_Region="All",C2303=sel_Region),OR(sel_Country="All",D2303=sel_Country),OR(sel_Channel="All",E2303=sel_Channel),OR(sel_Customer="All",F2303=sel_Customer),OR(sel_Product="All",H2303=sel_Product),AND(S2303&gt;=m_From,S2303&lt;=m_To)),1,0)</f>
        <v/>
      </c>
      <c r="Z2303" s="36">
        <f>IF(AND(OR(sel_Region="All",C2303=sel_Region),OR(sel_Country="All",D2303=sel_Country),OR(sel_Channel="All",E2303=sel_Channel),OR(sel_Customer="All",F2303=sel_Customer),OR(sel_Category="All",G2303=sel_Category),AND(S2303&gt;=m_From,S2303&lt;=m_To)),1,0)</f>
        <v/>
      </c>
      <c r="AA2303" s="36">
        <f>IF(AND(OR(sel_Region="All",C2303=sel_Region),OR(sel_Country="All",D2303=sel_Country),OR(sel_Channel="All",E2303=sel_Channel),OR(sel_Customer="All",F2303=sel_Customer),OR(sel_Category="All",G2303=sel_Category),OR(sel_Product="All",H2303=sel_Product)),1,0)</f>
        <v/>
      </c>
    </row>
    <row r="2304">
      <c r="A2304" s="36" t="inlineStr">
        <is>
          <t>02638</t>
        </is>
      </c>
      <c r="B2304" s="44" t="n">
        <v>46334</v>
      </c>
      <c r="C2304" s="36" t="inlineStr">
        <is>
          <t>Southern Europe</t>
        </is>
      </c>
      <c r="D2304" s="36" t="inlineStr">
        <is>
          <t>Portugal</t>
        </is>
      </c>
      <c r="E2304" s="36" t="inlineStr">
        <is>
          <t>Online Store</t>
        </is>
      </c>
      <c r="F2304" s="36" t="inlineStr">
        <is>
          <t>New</t>
        </is>
      </c>
      <c r="G2304" s="36" t="inlineStr">
        <is>
          <t>Hiking</t>
        </is>
      </c>
      <c r="H2304" s="36" t="inlineStr">
        <is>
          <t>Trekking Poles</t>
        </is>
      </c>
      <c r="I2304" s="36" t="n">
        <v>1</v>
      </c>
      <c r="J2304" s="39" t="n">
        <v>69.76000000000001</v>
      </c>
      <c r="K2304" s="45" t="n">
        <v>0.15</v>
      </c>
      <c r="L2304" s="39" t="n">
        <v>32.39</v>
      </c>
      <c r="M2304" s="39">
        <f>I2304*J2304*(1-K2304)</f>
        <v/>
      </c>
      <c r="N2304" s="39">
        <f>I2304*L2304</f>
        <v/>
      </c>
      <c r="O2304" s="39">
        <f>M2304-N2304</f>
        <v/>
      </c>
      <c r="P2304" s="38">
        <f>IF(M2304=0,0,O2304/M2304)</f>
        <v/>
      </c>
      <c r="Q2304" s="36">
        <f>YEAR(B2304)</f>
        <v/>
      </c>
      <c r="R2304" s="36">
        <f>"Q"&amp;ROUNDUP(MONTH(B2304)/3,0)</f>
        <v/>
      </c>
      <c r="S2304" s="36">
        <f>MONTH(B2304)</f>
        <v/>
      </c>
      <c r="T2304" s="36">
        <f>TEXT(B2304,"mmm")</f>
        <v/>
      </c>
      <c r="U2304" s="36">
        <f>IF(AND(OR(sel_Region="All",C2304=sel_Region),OR(sel_Country="All",D2304=sel_Country),OR(sel_Channel="All",E2304=sel_Channel),OR(sel_Customer="All",F2304=sel_Customer),OR(sel_Category="All",G2304=sel_Category),OR(sel_Product="All",H2304=sel_Product),AND(S2304&gt;=m_From,S2304&lt;=m_To)),1,0)</f>
        <v/>
      </c>
      <c r="V2304" s="36">
        <f>IF(AND(OR(sel_Region="All",C2304=sel_Region),OR(sel_Channel="All",E2304=sel_Channel),OR(sel_Customer="All",F2304=sel_Customer),OR(sel_Category="All",G2304=sel_Category),OR(sel_Product="All",H2304=sel_Product),AND(S2304&gt;=m_From,S2304&lt;=m_To)),1,0)</f>
        <v/>
      </c>
      <c r="W2304" s="36">
        <f>IF(AND(OR(sel_Region="All",C2304=sel_Region),OR(sel_Country="All",D2304=sel_Country),OR(sel_Customer="All",F2304=sel_Customer),OR(sel_Category="All",G2304=sel_Category),OR(sel_Product="All",H2304=sel_Product),AND(S2304&gt;=m_From,S2304&lt;=m_To)),1,0)</f>
        <v/>
      </c>
      <c r="X2304" s="36">
        <f>IF(AND(OR(sel_Region="All",C2304=sel_Region),OR(sel_Country="All",D2304=sel_Country),OR(sel_Channel="All",E2304=sel_Channel),OR(sel_Category="All",G2304=sel_Category),OR(sel_Product="All",H2304=sel_Product),AND(S2304&gt;=m_From,S2304&lt;=m_To)),1,0)</f>
        <v/>
      </c>
      <c r="Y2304" s="36">
        <f>IF(AND(OR(sel_Region="All",C2304=sel_Region),OR(sel_Country="All",D2304=sel_Country),OR(sel_Channel="All",E2304=sel_Channel),OR(sel_Customer="All",F2304=sel_Customer),OR(sel_Product="All",H2304=sel_Product),AND(S2304&gt;=m_From,S2304&lt;=m_To)),1,0)</f>
        <v/>
      </c>
      <c r="Z2304" s="36">
        <f>IF(AND(OR(sel_Region="All",C2304=sel_Region),OR(sel_Country="All",D2304=sel_Country),OR(sel_Channel="All",E2304=sel_Channel),OR(sel_Customer="All",F2304=sel_Customer),OR(sel_Category="All",G2304=sel_Category),AND(S2304&gt;=m_From,S2304&lt;=m_To)),1,0)</f>
        <v/>
      </c>
      <c r="AA2304" s="36">
        <f>IF(AND(OR(sel_Region="All",C2304=sel_Region),OR(sel_Country="All",D2304=sel_Country),OR(sel_Channel="All",E2304=sel_Channel),OR(sel_Customer="All",F2304=sel_Customer),OR(sel_Category="All",G2304=sel_Category),OR(sel_Product="All",H2304=sel_Product)),1,0)</f>
        <v/>
      </c>
    </row>
    <row r="2305">
      <c r="A2305" s="36" t="inlineStr">
        <is>
          <t>02666</t>
        </is>
      </c>
      <c r="B2305" s="44" t="n">
        <v>46334</v>
      </c>
      <c r="C2305" s="36" t="inlineStr">
        <is>
          <t>Central Europe</t>
        </is>
      </c>
      <c r="D2305" s="36" t="inlineStr">
        <is>
          <t>Germany</t>
        </is>
      </c>
      <c r="E2305" s="36" t="inlineStr">
        <is>
          <t>Retail Partners</t>
        </is>
      </c>
      <c r="F2305" s="36" t="inlineStr">
        <is>
          <t>Business</t>
        </is>
      </c>
      <c r="G2305" s="36" t="inlineStr">
        <is>
          <t>Camping</t>
        </is>
      </c>
      <c r="H2305" s="36" t="inlineStr">
        <is>
          <t>Portable Camp Stove</t>
        </is>
      </c>
      <c r="I2305" s="36" t="n">
        <v>6</v>
      </c>
      <c r="J2305" s="39" t="n">
        <v>81.37</v>
      </c>
      <c r="K2305" s="45" t="n">
        <v>0</v>
      </c>
      <c r="L2305" s="39" t="n">
        <v>39.5</v>
      </c>
      <c r="M2305" s="39">
        <f>I2305*J2305*(1-K2305)</f>
        <v/>
      </c>
      <c r="N2305" s="39">
        <f>I2305*L2305</f>
        <v/>
      </c>
      <c r="O2305" s="39">
        <f>M2305-N2305</f>
        <v/>
      </c>
      <c r="P2305" s="38">
        <f>IF(M2305=0,0,O2305/M2305)</f>
        <v/>
      </c>
      <c r="Q2305" s="36">
        <f>YEAR(B2305)</f>
        <v/>
      </c>
      <c r="R2305" s="36">
        <f>"Q"&amp;ROUNDUP(MONTH(B2305)/3,0)</f>
        <v/>
      </c>
      <c r="S2305" s="36">
        <f>MONTH(B2305)</f>
        <v/>
      </c>
      <c r="T2305" s="36">
        <f>TEXT(B2305,"mmm")</f>
        <v/>
      </c>
      <c r="U2305" s="36">
        <f>IF(AND(OR(sel_Region="All",C2305=sel_Region),OR(sel_Country="All",D2305=sel_Country),OR(sel_Channel="All",E2305=sel_Channel),OR(sel_Customer="All",F2305=sel_Customer),OR(sel_Category="All",G2305=sel_Category),OR(sel_Product="All",H2305=sel_Product),AND(S2305&gt;=m_From,S2305&lt;=m_To)),1,0)</f>
        <v/>
      </c>
      <c r="V2305" s="36">
        <f>IF(AND(OR(sel_Region="All",C2305=sel_Region),OR(sel_Channel="All",E2305=sel_Channel),OR(sel_Customer="All",F2305=sel_Customer),OR(sel_Category="All",G2305=sel_Category),OR(sel_Product="All",H2305=sel_Product),AND(S2305&gt;=m_From,S2305&lt;=m_To)),1,0)</f>
        <v/>
      </c>
      <c r="W2305" s="36">
        <f>IF(AND(OR(sel_Region="All",C2305=sel_Region),OR(sel_Country="All",D2305=sel_Country),OR(sel_Customer="All",F2305=sel_Customer),OR(sel_Category="All",G2305=sel_Category),OR(sel_Product="All",H2305=sel_Product),AND(S2305&gt;=m_From,S2305&lt;=m_To)),1,0)</f>
        <v/>
      </c>
      <c r="X2305" s="36">
        <f>IF(AND(OR(sel_Region="All",C2305=sel_Region),OR(sel_Country="All",D2305=sel_Country),OR(sel_Channel="All",E2305=sel_Channel),OR(sel_Category="All",G2305=sel_Category),OR(sel_Product="All",H2305=sel_Product),AND(S2305&gt;=m_From,S2305&lt;=m_To)),1,0)</f>
        <v/>
      </c>
      <c r="Y2305" s="36">
        <f>IF(AND(OR(sel_Region="All",C2305=sel_Region),OR(sel_Country="All",D2305=sel_Country),OR(sel_Channel="All",E2305=sel_Channel),OR(sel_Customer="All",F2305=sel_Customer),OR(sel_Product="All",H2305=sel_Product),AND(S2305&gt;=m_From,S2305&lt;=m_To)),1,0)</f>
        <v/>
      </c>
      <c r="Z2305" s="36">
        <f>IF(AND(OR(sel_Region="All",C2305=sel_Region),OR(sel_Country="All",D2305=sel_Country),OR(sel_Channel="All",E2305=sel_Channel),OR(sel_Customer="All",F2305=sel_Customer),OR(sel_Category="All",G2305=sel_Category),AND(S2305&gt;=m_From,S2305&lt;=m_To)),1,0)</f>
        <v/>
      </c>
      <c r="AA2305" s="36">
        <f>IF(AND(OR(sel_Region="All",C2305=sel_Region),OR(sel_Country="All",D2305=sel_Country),OR(sel_Channel="All",E2305=sel_Channel),OR(sel_Customer="All",F2305=sel_Customer),OR(sel_Category="All",G2305=sel_Category),OR(sel_Product="All",H2305=sel_Product)),1,0)</f>
        <v/>
      </c>
    </row>
    <row r="2306">
      <c r="A2306" s="36" t="inlineStr">
        <is>
          <t>03505</t>
        </is>
      </c>
      <c r="B2306" s="44" t="n">
        <v>46334</v>
      </c>
      <c r="C2306" s="36" t="inlineStr">
        <is>
          <t>Central Europe</t>
        </is>
      </c>
      <c r="D2306" s="36" t="inlineStr">
        <is>
          <t>Germany</t>
        </is>
      </c>
      <c r="E2306" s="36" t="inlineStr">
        <is>
          <t>Corporate</t>
        </is>
      </c>
      <c r="F2306" s="36" t="inlineStr">
        <is>
          <t>Returning</t>
        </is>
      </c>
      <c r="G2306" s="36" t="inlineStr">
        <is>
          <t>Cycling</t>
        </is>
      </c>
      <c r="H2306" s="36" t="inlineStr">
        <is>
          <t>Commuter Helmet</t>
        </is>
      </c>
      <c r="I2306" s="36" t="n">
        <v>5</v>
      </c>
      <c r="J2306" s="39" t="n">
        <v>82.81999999999999</v>
      </c>
      <c r="K2306" s="45" t="n">
        <v>0.15</v>
      </c>
      <c r="L2306" s="39" t="n">
        <v>43.8</v>
      </c>
      <c r="M2306" s="39">
        <f>I2306*J2306*(1-K2306)</f>
        <v/>
      </c>
      <c r="N2306" s="39">
        <f>I2306*L2306</f>
        <v/>
      </c>
      <c r="O2306" s="39">
        <f>M2306-N2306</f>
        <v/>
      </c>
      <c r="P2306" s="38">
        <f>IF(M2306=0,0,O2306/M2306)</f>
        <v/>
      </c>
      <c r="Q2306" s="36">
        <f>YEAR(B2306)</f>
        <v/>
      </c>
      <c r="R2306" s="36">
        <f>"Q"&amp;ROUNDUP(MONTH(B2306)/3,0)</f>
        <v/>
      </c>
      <c r="S2306" s="36">
        <f>MONTH(B2306)</f>
        <v/>
      </c>
      <c r="T2306" s="36">
        <f>TEXT(B2306,"mmm")</f>
        <v/>
      </c>
      <c r="U2306" s="36">
        <f>IF(AND(OR(sel_Region="All",C2306=sel_Region),OR(sel_Country="All",D2306=sel_Country),OR(sel_Channel="All",E2306=sel_Channel),OR(sel_Customer="All",F2306=sel_Customer),OR(sel_Category="All",G2306=sel_Category),OR(sel_Product="All",H2306=sel_Product),AND(S2306&gt;=m_From,S2306&lt;=m_To)),1,0)</f>
        <v/>
      </c>
      <c r="V2306" s="36">
        <f>IF(AND(OR(sel_Region="All",C2306=sel_Region),OR(sel_Channel="All",E2306=sel_Channel),OR(sel_Customer="All",F2306=sel_Customer),OR(sel_Category="All",G2306=sel_Category),OR(sel_Product="All",H2306=sel_Product),AND(S2306&gt;=m_From,S2306&lt;=m_To)),1,0)</f>
        <v/>
      </c>
      <c r="W2306" s="36">
        <f>IF(AND(OR(sel_Region="All",C2306=sel_Region),OR(sel_Country="All",D2306=sel_Country),OR(sel_Customer="All",F2306=sel_Customer),OR(sel_Category="All",G2306=sel_Category),OR(sel_Product="All",H2306=sel_Product),AND(S2306&gt;=m_From,S2306&lt;=m_To)),1,0)</f>
        <v/>
      </c>
      <c r="X2306" s="36">
        <f>IF(AND(OR(sel_Region="All",C2306=sel_Region),OR(sel_Country="All",D2306=sel_Country),OR(sel_Channel="All",E2306=sel_Channel),OR(sel_Category="All",G2306=sel_Category),OR(sel_Product="All",H2306=sel_Product),AND(S2306&gt;=m_From,S2306&lt;=m_To)),1,0)</f>
        <v/>
      </c>
      <c r="Y2306" s="36">
        <f>IF(AND(OR(sel_Region="All",C2306=sel_Region),OR(sel_Country="All",D2306=sel_Country),OR(sel_Channel="All",E2306=sel_Channel),OR(sel_Customer="All",F2306=sel_Customer),OR(sel_Product="All",H2306=sel_Product),AND(S2306&gt;=m_From,S2306&lt;=m_To)),1,0)</f>
        <v/>
      </c>
      <c r="Z2306" s="36">
        <f>IF(AND(OR(sel_Region="All",C2306=sel_Region),OR(sel_Country="All",D2306=sel_Country),OR(sel_Channel="All",E2306=sel_Channel),OR(sel_Customer="All",F2306=sel_Customer),OR(sel_Category="All",G2306=sel_Category),AND(S2306&gt;=m_From,S2306&lt;=m_To)),1,0)</f>
        <v/>
      </c>
      <c r="AA2306" s="36">
        <f>IF(AND(OR(sel_Region="All",C2306=sel_Region),OR(sel_Country="All",D2306=sel_Country),OR(sel_Channel="All",E2306=sel_Channel),OR(sel_Customer="All",F2306=sel_Customer),OR(sel_Category="All",G2306=sel_Category),OR(sel_Product="All",H2306=sel_Product)),1,0)</f>
        <v/>
      </c>
    </row>
    <row r="2307">
      <c r="A2307" s="36" t="inlineStr">
        <is>
          <t>03626</t>
        </is>
      </c>
      <c r="B2307" s="44" t="n">
        <v>46334</v>
      </c>
      <c r="C2307" s="36" t="inlineStr">
        <is>
          <t>Western Europe</t>
        </is>
      </c>
      <c r="D2307" s="36" t="inlineStr">
        <is>
          <t>France</t>
        </is>
      </c>
      <c r="E2307" s="36" t="inlineStr">
        <is>
          <t>Corporate</t>
        </is>
      </c>
      <c r="F2307" s="36" t="inlineStr">
        <is>
          <t>Business</t>
        </is>
      </c>
      <c r="G2307" s="36" t="inlineStr">
        <is>
          <t>Cycling</t>
        </is>
      </c>
      <c r="H2307" s="36" t="inlineStr">
        <is>
          <t>Trail Bike Light</t>
        </is>
      </c>
      <c r="I2307" s="36" t="n">
        <v>15</v>
      </c>
      <c r="J2307" s="39" t="n">
        <v>51.05</v>
      </c>
      <c r="K2307" s="45" t="n">
        <v>0.1</v>
      </c>
      <c r="L2307" s="39" t="n">
        <v>21.95</v>
      </c>
      <c r="M2307" s="39">
        <f>I2307*J2307*(1-K2307)</f>
        <v/>
      </c>
      <c r="N2307" s="39">
        <f>I2307*L2307</f>
        <v/>
      </c>
      <c r="O2307" s="39">
        <f>M2307-N2307</f>
        <v/>
      </c>
      <c r="P2307" s="38">
        <f>IF(M2307=0,0,O2307/M2307)</f>
        <v/>
      </c>
      <c r="Q2307" s="36">
        <f>YEAR(B2307)</f>
        <v/>
      </c>
      <c r="R2307" s="36">
        <f>"Q"&amp;ROUNDUP(MONTH(B2307)/3,0)</f>
        <v/>
      </c>
      <c r="S2307" s="36">
        <f>MONTH(B2307)</f>
        <v/>
      </c>
      <c r="T2307" s="36">
        <f>TEXT(B2307,"mmm")</f>
        <v/>
      </c>
      <c r="U2307" s="36">
        <f>IF(AND(OR(sel_Region="All",C2307=sel_Region),OR(sel_Country="All",D2307=sel_Country),OR(sel_Channel="All",E2307=sel_Channel),OR(sel_Customer="All",F2307=sel_Customer),OR(sel_Category="All",G2307=sel_Category),OR(sel_Product="All",H2307=sel_Product),AND(S2307&gt;=m_From,S2307&lt;=m_To)),1,0)</f>
        <v/>
      </c>
      <c r="V2307" s="36">
        <f>IF(AND(OR(sel_Region="All",C2307=sel_Region),OR(sel_Channel="All",E2307=sel_Channel),OR(sel_Customer="All",F2307=sel_Customer),OR(sel_Category="All",G2307=sel_Category),OR(sel_Product="All",H2307=sel_Product),AND(S2307&gt;=m_From,S2307&lt;=m_To)),1,0)</f>
        <v/>
      </c>
      <c r="W2307" s="36">
        <f>IF(AND(OR(sel_Region="All",C2307=sel_Region),OR(sel_Country="All",D2307=sel_Country),OR(sel_Customer="All",F2307=sel_Customer),OR(sel_Category="All",G2307=sel_Category),OR(sel_Product="All",H2307=sel_Product),AND(S2307&gt;=m_From,S2307&lt;=m_To)),1,0)</f>
        <v/>
      </c>
      <c r="X2307" s="36">
        <f>IF(AND(OR(sel_Region="All",C2307=sel_Region),OR(sel_Country="All",D2307=sel_Country),OR(sel_Channel="All",E2307=sel_Channel),OR(sel_Category="All",G2307=sel_Category),OR(sel_Product="All",H2307=sel_Product),AND(S2307&gt;=m_From,S2307&lt;=m_To)),1,0)</f>
        <v/>
      </c>
      <c r="Y2307" s="36">
        <f>IF(AND(OR(sel_Region="All",C2307=sel_Region),OR(sel_Country="All",D2307=sel_Country),OR(sel_Channel="All",E2307=sel_Channel),OR(sel_Customer="All",F2307=sel_Customer),OR(sel_Product="All",H2307=sel_Product),AND(S2307&gt;=m_From,S2307&lt;=m_To)),1,0)</f>
        <v/>
      </c>
      <c r="Z2307" s="36">
        <f>IF(AND(OR(sel_Region="All",C2307=sel_Region),OR(sel_Country="All",D2307=sel_Country),OR(sel_Channel="All",E2307=sel_Channel),OR(sel_Customer="All",F2307=sel_Customer),OR(sel_Category="All",G2307=sel_Category),AND(S2307&gt;=m_From,S2307&lt;=m_To)),1,0)</f>
        <v/>
      </c>
      <c r="AA2307" s="36">
        <f>IF(AND(OR(sel_Region="All",C2307=sel_Region),OR(sel_Country="All",D2307=sel_Country),OR(sel_Channel="All",E2307=sel_Channel),OR(sel_Customer="All",F2307=sel_Customer),OR(sel_Category="All",G2307=sel_Category),OR(sel_Product="All",H2307=sel_Product)),1,0)</f>
        <v/>
      </c>
    </row>
    <row r="2308">
      <c r="A2308" s="36" t="inlineStr">
        <is>
          <t>03801</t>
        </is>
      </c>
      <c r="B2308" s="44" t="n">
        <v>46334</v>
      </c>
      <c r="C2308" s="36" t="inlineStr">
        <is>
          <t>Southern Europe</t>
        </is>
      </c>
      <c r="D2308" s="36" t="inlineStr">
        <is>
          <t>Italy</t>
        </is>
      </c>
      <c r="E2308" s="36" t="inlineStr">
        <is>
          <t>Online Store</t>
        </is>
      </c>
      <c r="F2308" s="36" t="inlineStr">
        <is>
          <t>Returning</t>
        </is>
      </c>
      <c r="G2308" s="36" t="inlineStr">
        <is>
          <t>Cycling</t>
        </is>
      </c>
      <c r="H2308" s="36" t="inlineStr">
        <is>
          <t>Cycling Pack 12L</t>
        </is>
      </c>
      <c r="I2308" s="36" t="n">
        <v>3</v>
      </c>
      <c r="J2308" s="39" t="n">
        <v>101.68</v>
      </c>
      <c r="K2308" s="45" t="n">
        <v>0.1</v>
      </c>
      <c r="L2308" s="39" t="n">
        <v>51.9</v>
      </c>
      <c r="M2308" s="39">
        <f>I2308*J2308*(1-K2308)</f>
        <v/>
      </c>
      <c r="N2308" s="39">
        <f>I2308*L2308</f>
        <v/>
      </c>
      <c r="O2308" s="39">
        <f>M2308-N2308</f>
        <v/>
      </c>
      <c r="P2308" s="38">
        <f>IF(M2308=0,0,O2308/M2308)</f>
        <v/>
      </c>
      <c r="Q2308" s="36">
        <f>YEAR(B2308)</f>
        <v/>
      </c>
      <c r="R2308" s="36">
        <f>"Q"&amp;ROUNDUP(MONTH(B2308)/3,0)</f>
        <v/>
      </c>
      <c r="S2308" s="36">
        <f>MONTH(B2308)</f>
        <v/>
      </c>
      <c r="T2308" s="36">
        <f>TEXT(B2308,"mmm")</f>
        <v/>
      </c>
      <c r="U2308" s="36">
        <f>IF(AND(OR(sel_Region="All",C2308=sel_Region),OR(sel_Country="All",D2308=sel_Country),OR(sel_Channel="All",E2308=sel_Channel),OR(sel_Customer="All",F2308=sel_Customer),OR(sel_Category="All",G2308=sel_Category),OR(sel_Product="All",H2308=sel_Product),AND(S2308&gt;=m_From,S2308&lt;=m_To)),1,0)</f>
        <v/>
      </c>
      <c r="V2308" s="36">
        <f>IF(AND(OR(sel_Region="All",C2308=sel_Region),OR(sel_Channel="All",E2308=sel_Channel),OR(sel_Customer="All",F2308=sel_Customer),OR(sel_Category="All",G2308=sel_Category),OR(sel_Product="All",H2308=sel_Product),AND(S2308&gt;=m_From,S2308&lt;=m_To)),1,0)</f>
        <v/>
      </c>
      <c r="W2308" s="36">
        <f>IF(AND(OR(sel_Region="All",C2308=sel_Region),OR(sel_Country="All",D2308=sel_Country),OR(sel_Customer="All",F2308=sel_Customer),OR(sel_Category="All",G2308=sel_Category),OR(sel_Product="All",H2308=sel_Product),AND(S2308&gt;=m_From,S2308&lt;=m_To)),1,0)</f>
        <v/>
      </c>
      <c r="X2308" s="36">
        <f>IF(AND(OR(sel_Region="All",C2308=sel_Region),OR(sel_Country="All",D2308=sel_Country),OR(sel_Channel="All",E2308=sel_Channel),OR(sel_Category="All",G2308=sel_Category),OR(sel_Product="All",H2308=sel_Product),AND(S2308&gt;=m_From,S2308&lt;=m_To)),1,0)</f>
        <v/>
      </c>
      <c r="Y2308" s="36">
        <f>IF(AND(OR(sel_Region="All",C2308=sel_Region),OR(sel_Country="All",D2308=sel_Country),OR(sel_Channel="All",E2308=sel_Channel),OR(sel_Customer="All",F2308=sel_Customer),OR(sel_Product="All",H2308=sel_Product),AND(S2308&gt;=m_From,S2308&lt;=m_To)),1,0)</f>
        <v/>
      </c>
      <c r="Z2308" s="36">
        <f>IF(AND(OR(sel_Region="All",C2308=sel_Region),OR(sel_Country="All",D2308=sel_Country),OR(sel_Channel="All",E2308=sel_Channel),OR(sel_Customer="All",F2308=sel_Customer),OR(sel_Category="All",G2308=sel_Category),AND(S2308&gt;=m_From,S2308&lt;=m_To)),1,0)</f>
        <v/>
      </c>
      <c r="AA2308" s="36">
        <f>IF(AND(OR(sel_Region="All",C2308=sel_Region),OR(sel_Country="All",D2308=sel_Country),OR(sel_Channel="All",E2308=sel_Channel),OR(sel_Customer="All",F2308=sel_Customer),OR(sel_Category="All",G2308=sel_Category),OR(sel_Product="All",H2308=sel_Product)),1,0)</f>
        <v/>
      </c>
    </row>
    <row r="2309">
      <c r="A2309" s="36" t="inlineStr">
        <is>
          <t>04685</t>
        </is>
      </c>
      <c r="B2309" s="44" t="n">
        <v>46334</v>
      </c>
      <c r="C2309" s="36" t="inlineStr">
        <is>
          <t>Western Europe</t>
        </is>
      </c>
      <c r="D2309" s="36" t="inlineStr">
        <is>
          <t>France</t>
        </is>
      </c>
      <c r="E2309" s="36" t="inlineStr">
        <is>
          <t>Corporate</t>
        </is>
      </c>
      <c r="F2309" s="36" t="inlineStr">
        <is>
          <t>Business</t>
        </is>
      </c>
      <c r="G2309" s="36" t="inlineStr">
        <is>
          <t>Camping</t>
        </is>
      </c>
      <c r="H2309" s="36" t="inlineStr">
        <is>
          <t>Portable Camp Stove</t>
        </is>
      </c>
      <c r="I2309" s="36" t="n">
        <v>6</v>
      </c>
      <c r="J2309" s="39" t="n">
        <v>80.83</v>
      </c>
      <c r="K2309" s="45" t="n">
        <v>0.15</v>
      </c>
      <c r="L2309" s="39" t="n">
        <v>39.32</v>
      </c>
      <c r="M2309" s="39">
        <f>I2309*J2309*(1-K2309)</f>
        <v/>
      </c>
      <c r="N2309" s="39">
        <f>I2309*L2309</f>
        <v/>
      </c>
      <c r="O2309" s="39">
        <f>M2309-N2309</f>
        <v/>
      </c>
      <c r="P2309" s="38">
        <f>IF(M2309=0,0,O2309/M2309)</f>
        <v/>
      </c>
      <c r="Q2309" s="36">
        <f>YEAR(B2309)</f>
        <v/>
      </c>
      <c r="R2309" s="36">
        <f>"Q"&amp;ROUNDUP(MONTH(B2309)/3,0)</f>
        <v/>
      </c>
      <c r="S2309" s="36">
        <f>MONTH(B2309)</f>
        <v/>
      </c>
      <c r="T2309" s="36">
        <f>TEXT(B2309,"mmm")</f>
        <v/>
      </c>
      <c r="U2309" s="36">
        <f>IF(AND(OR(sel_Region="All",C2309=sel_Region),OR(sel_Country="All",D2309=sel_Country),OR(sel_Channel="All",E2309=sel_Channel),OR(sel_Customer="All",F2309=sel_Customer),OR(sel_Category="All",G2309=sel_Category),OR(sel_Product="All",H2309=sel_Product),AND(S2309&gt;=m_From,S2309&lt;=m_To)),1,0)</f>
        <v/>
      </c>
      <c r="V2309" s="36">
        <f>IF(AND(OR(sel_Region="All",C2309=sel_Region),OR(sel_Channel="All",E2309=sel_Channel),OR(sel_Customer="All",F2309=sel_Customer),OR(sel_Category="All",G2309=sel_Category),OR(sel_Product="All",H2309=sel_Product),AND(S2309&gt;=m_From,S2309&lt;=m_To)),1,0)</f>
        <v/>
      </c>
      <c r="W2309" s="36">
        <f>IF(AND(OR(sel_Region="All",C2309=sel_Region),OR(sel_Country="All",D2309=sel_Country),OR(sel_Customer="All",F2309=sel_Customer),OR(sel_Category="All",G2309=sel_Category),OR(sel_Product="All",H2309=sel_Product),AND(S2309&gt;=m_From,S2309&lt;=m_To)),1,0)</f>
        <v/>
      </c>
      <c r="X2309" s="36">
        <f>IF(AND(OR(sel_Region="All",C2309=sel_Region),OR(sel_Country="All",D2309=sel_Country),OR(sel_Channel="All",E2309=sel_Channel),OR(sel_Category="All",G2309=sel_Category),OR(sel_Product="All",H2309=sel_Product),AND(S2309&gt;=m_From,S2309&lt;=m_To)),1,0)</f>
        <v/>
      </c>
      <c r="Y2309" s="36">
        <f>IF(AND(OR(sel_Region="All",C2309=sel_Region),OR(sel_Country="All",D2309=sel_Country),OR(sel_Channel="All",E2309=sel_Channel),OR(sel_Customer="All",F2309=sel_Customer),OR(sel_Product="All",H2309=sel_Product),AND(S2309&gt;=m_From,S2309&lt;=m_To)),1,0)</f>
        <v/>
      </c>
      <c r="Z2309" s="36">
        <f>IF(AND(OR(sel_Region="All",C2309=sel_Region),OR(sel_Country="All",D2309=sel_Country),OR(sel_Channel="All",E2309=sel_Channel),OR(sel_Customer="All",F2309=sel_Customer),OR(sel_Category="All",G2309=sel_Category),AND(S2309&gt;=m_From,S2309&lt;=m_To)),1,0)</f>
        <v/>
      </c>
      <c r="AA2309" s="36">
        <f>IF(AND(OR(sel_Region="All",C2309=sel_Region),OR(sel_Country="All",D2309=sel_Country),OR(sel_Channel="All",E2309=sel_Channel),OR(sel_Customer="All",F2309=sel_Customer),OR(sel_Category="All",G2309=sel_Category),OR(sel_Product="All",H2309=sel_Product)),1,0)</f>
        <v/>
      </c>
    </row>
    <row r="2310">
      <c r="A2310" s="36" t="inlineStr">
        <is>
          <t>04843</t>
        </is>
      </c>
      <c r="B2310" s="44" t="n">
        <v>46334</v>
      </c>
      <c r="C2310" s="36" t="inlineStr">
        <is>
          <t>Central Europe</t>
        </is>
      </c>
      <c r="D2310" s="36" t="inlineStr">
        <is>
          <t>Germany</t>
        </is>
      </c>
      <c r="E2310" s="36" t="inlineStr">
        <is>
          <t>Online Store</t>
        </is>
      </c>
      <c r="F2310" s="36" t="inlineStr">
        <is>
          <t>New</t>
        </is>
      </c>
      <c r="G2310" s="36" t="inlineStr">
        <is>
          <t>Camping</t>
        </is>
      </c>
      <c r="H2310" s="36" t="inlineStr">
        <is>
          <t>Compact Sleeping Bag</t>
        </is>
      </c>
      <c r="I2310" s="36" t="n">
        <v>6</v>
      </c>
      <c r="J2310" s="39" t="n">
        <v>123.67</v>
      </c>
      <c r="K2310" s="45" t="n">
        <v>0.15</v>
      </c>
      <c r="L2310" s="39" t="n">
        <v>60.55</v>
      </c>
      <c r="M2310" s="39">
        <f>I2310*J2310*(1-K2310)</f>
        <v/>
      </c>
      <c r="N2310" s="39">
        <f>I2310*L2310</f>
        <v/>
      </c>
      <c r="O2310" s="39">
        <f>M2310-N2310</f>
        <v/>
      </c>
      <c r="P2310" s="38">
        <f>IF(M2310=0,0,O2310/M2310)</f>
        <v/>
      </c>
      <c r="Q2310" s="36">
        <f>YEAR(B2310)</f>
        <v/>
      </c>
      <c r="R2310" s="36">
        <f>"Q"&amp;ROUNDUP(MONTH(B2310)/3,0)</f>
        <v/>
      </c>
      <c r="S2310" s="36">
        <f>MONTH(B2310)</f>
        <v/>
      </c>
      <c r="T2310" s="36">
        <f>TEXT(B2310,"mmm")</f>
        <v/>
      </c>
      <c r="U2310" s="36">
        <f>IF(AND(OR(sel_Region="All",C2310=sel_Region),OR(sel_Country="All",D2310=sel_Country),OR(sel_Channel="All",E2310=sel_Channel),OR(sel_Customer="All",F2310=sel_Customer),OR(sel_Category="All",G2310=sel_Category),OR(sel_Product="All",H2310=sel_Product),AND(S2310&gt;=m_From,S2310&lt;=m_To)),1,0)</f>
        <v/>
      </c>
      <c r="V2310" s="36">
        <f>IF(AND(OR(sel_Region="All",C2310=sel_Region),OR(sel_Channel="All",E2310=sel_Channel),OR(sel_Customer="All",F2310=sel_Customer),OR(sel_Category="All",G2310=sel_Category),OR(sel_Product="All",H2310=sel_Product),AND(S2310&gt;=m_From,S2310&lt;=m_To)),1,0)</f>
        <v/>
      </c>
      <c r="W2310" s="36">
        <f>IF(AND(OR(sel_Region="All",C2310=sel_Region),OR(sel_Country="All",D2310=sel_Country),OR(sel_Customer="All",F2310=sel_Customer),OR(sel_Category="All",G2310=sel_Category),OR(sel_Product="All",H2310=sel_Product),AND(S2310&gt;=m_From,S2310&lt;=m_To)),1,0)</f>
        <v/>
      </c>
      <c r="X2310" s="36">
        <f>IF(AND(OR(sel_Region="All",C2310=sel_Region),OR(sel_Country="All",D2310=sel_Country),OR(sel_Channel="All",E2310=sel_Channel),OR(sel_Category="All",G2310=sel_Category),OR(sel_Product="All",H2310=sel_Product),AND(S2310&gt;=m_From,S2310&lt;=m_To)),1,0)</f>
        <v/>
      </c>
      <c r="Y2310" s="36">
        <f>IF(AND(OR(sel_Region="All",C2310=sel_Region),OR(sel_Country="All",D2310=sel_Country),OR(sel_Channel="All",E2310=sel_Channel),OR(sel_Customer="All",F2310=sel_Customer),OR(sel_Product="All",H2310=sel_Product),AND(S2310&gt;=m_From,S2310&lt;=m_To)),1,0)</f>
        <v/>
      </c>
      <c r="Z2310" s="36">
        <f>IF(AND(OR(sel_Region="All",C2310=sel_Region),OR(sel_Country="All",D2310=sel_Country),OR(sel_Channel="All",E2310=sel_Channel),OR(sel_Customer="All",F2310=sel_Customer),OR(sel_Category="All",G2310=sel_Category),AND(S2310&gt;=m_From,S2310&lt;=m_To)),1,0)</f>
        <v/>
      </c>
      <c r="AA2310" s="36">
        <f>IF(AND(OR(sel_Region="All",C2310=sel_Region),OR(sel_Country="All",D2310=sel_Country),OR(sel_Channel="All",E2310=sel_Channel),OR(sel_Customer="All",F2310=sel_Customer),OR(sel_Category="All",G2310=sel_Category),OR(sel_Product="All",H2310=sel_Product)),1,0)</f>
        <v/>
      </c>
    </row>
    <row r="2311">
      <c r="A2311" s="36" t="inlineStr">
        <is>
          <t>04890</t>
        </is>
      </c>
      <c r="B2311" s="44" t="n">
        <v>46334</v>
      </c>
      <c r="C2311" s="36" t="inlineStr">
        <is>
          <t>Southern Europe</t>
        </is>
      </c>
      <c r="D2311" s="36" t="inlineStr">
        <is>
          <t>Italy</t>
        </is>
      </c>
      <c r="E2311" s="36" t="inlineStr">
        <is>
          <t>Online Store</t>
        </is>
      </c>
      <c r="F2311" s="36" t="inlineStr">
        <is>
          <t>New</t>
        </is>
      </c>
      <c r="G2311" s="36" t="inlineStr">
        <is>
          <t>Hiking</t>
        </is>
      </c>
      <c r="H2311" s="36" t="inlineStr">
        <is>
          <t>Hiking Daypack 20L</t>
        </is>
      </c>
      <c r="I2311" s="36" t="n">
        <v>2</v>
      </c>
      <c r="J2311" s="39" t="n">
        <v>93.16</v>
      </c>
      <c r="K2311" s="45" t="n">
        <v>0.1</v>
      </c>
      <c r="L2311" s="39" t="n">
        <v>44.19</v>
      </c>
      <c r="M2311" s="39">
        <f>I2311*J2311*(1-K2311)</f>
        <v/>
      </c>
      <c r="N2311" s="39">
        <f>I2311*L2311</f>
        <v/>
      </c>
      <c r="O2311" s="39">
        <f>M2311-N2311</f>
        <v/>
      </c>
      <c r="P2311" s="38">
        <f>IF(M2311=0,0,O2311/M2311)</f>
        <v/>
      </c>
      <c r="Q2311" s="36">
        <f>YEAR(B2311)</f>
        <v/>
      </c>
      <c r="R2311" s="36">
        <f>"Q"&amp;ROUNDUP(MONTH(B2311)/3,0)</f>
        <v/>
      </c>
      <c r="S2311" s="36">
        <f>MONTH(B2311)</f>
        <v/>
      </c>
      <c r="T2311" s="36">
        <f>TEXT(B2311,"mmm")</f>
        <v/>
      </c>
      <c r="U2311" s="36">
        <f>IF(AND(OR(sel_Region="All",C2311=sel_Region),OR(sel_Country="All",D2311=sel_Country),OR(sel_Channel="All",E2311=sel_Channel),OR(sel_Customer="All",F2311=sel_Customer),OR(sel_Category="All",G2311=sel_Category),OR(sel_Product="All",H2311=sel_Product),AND(S2311&gt;=m_From,S2311&lt;=m_To)),1,0)</f>
        <v/>
      </c>
      <c r="V2311" s="36">
        <f>IF(AND(OR(sel_Region="All",C2311=sel_Region),OR(sel_Channel="All",E2311=sel_Channel),OR(sel_Customer="All",F2311=sel_Customer),OR(sel_Category="All",G2311=sel_Category),OR(sel_Product="All",H2311=sel_Product),AND(S2311&gt;=m_From,S2311&lt;=m_To)),1,0)</f>
        <v/>
      </c>
      <c r="W2311" s="36">
        <f>IF(AND(OR(sel_Region="All",C2311=sel_Region),OR(sel_Country="All",D2311=sel_Country),OR(sel_Customer="All",F2311=sel_Customer),OR(sel_Category="All",G2311=sel_Category),OR(sel_Product="All",H2311=sel_Product),AND(S2311&gt;=m_From,S2311&lt;=m_To)),1,0)</f>
        <v/>
      </c>
      <c r="X2311" s="36">
        <f>IF(AND(OR(sel_Region="All",C2311=sel_Region),OR(sel_Country="All",D2311=sel_Country),OR(sel_Channel="All",E2311=sel_Channel),OR(sel_Category="All",G2311=sel_Category),OR(sel_Product="All",H2311=sel_Product),AND(S2311&gt;=m_From,S2311&lt;=m_To)),1,0)</f>
        <v/>
      </c>
      <c r="Y2311" s="36">
        <f>IF(AND(OR(sel_Region="All",C2311=sel_Region),OR(sel_Country="All",D2311=sel_Country),OR(sel_Channel="All",E2311=sel_Channel),OR(sel_Customer="All",F2311=sel_Customer),OR(sel_Product="All",H2311=sel_Product),AND(S2311&gt;=m_From,S2311&lt;=m_To)),1,0)</f>
        <v/>
      </c>
      <c r="Z2311" s="36">
        <f>IF(AND(OR(sel_Region="All",C2311=sel_Region),OR(sel_Country="All",D2311=sel_Country),OR(sel_Channel="All",E2311=sel_Channel),OR(sel_Customer="All",F2311=sel_Customer),OR(sel_Category="All",G2311=sel_Category),AND(S2311&gt;=m_From,S2311&lt;=m_To)),1,0)</f>
        <v/>
      </c>
      <c r="AA2311" s="36">
        <f>IF(AND(OR(sel_Region="All",C2311=sel_Region),OR(sel_Country="All",D2311=sel_Country),OR(sel_Channel="All",E2311=sel_Channel),OR(sel_Customer="All",F2311=sel_Customer),OR(sel_Category="All",G2311=sel_Category),OR(sel_Product="All",H2311=sel_Product)),1,0)</f>
        <v/>
      </c>
    </row>
    <row r="2312">
      <c r="A2312" s="36" t="inlineStr">
        <is>
          <t>04913</t>
        </is>
      </c>
      <c r="B2312" s="44" t="n">
        <v>46334</v>
      </c>
      <c r="C2312" s="36" t="inlineStr">
        <is>
          <t>Northern Europe</t>
        </is>
      </c>
      <c r="D2312" s="36" t="inlineStr">
        <is>
          <t>Sweden</t>
        </is>
      </c>
      <c r="E2312" s="36" t="inlineStr">
        <is>
          <t>Marketplace</t>
        </is>
      </c>
      <c r="F2312" s="36" t="inlineStr">
        <is>
          <t>New</t>
        </is>
      </c>
      <c r="G2312" s="36" t="inlineStr">
        <is>
          <t>Cycling</t>
        </is>
      </c>
      <c r="H2312" s="36" t="inlineStr">
        <is>
          <t>Commuter Helmet</t>
        </is>
      </c>
      <c r="I2312" s="36" t="n">
        <v>1</v>
      </c>
      <c r="J2312" s="39" t="n">
        <v>83.79000000000001</v>
      </c>
      <c r="K2312" s="45" t="n">
        <v>0.1</v>
      </c>
      <c r="L2312" s="39" t="n">
        <v>42.8</v>
      </c>
      <c r="M2312" s="39">
        <f>I2312*J2312*(1-K2312)</f>
        <v/>
      </c>
      <c r="N2312" s="39">
        <f>I2312*L2312</f>
        <v/>
      </c>
      <c r="O2312" s="39">
        <f>M2312-N2312</f>
        <v/>
      </c>
      <c r="P2312" s="38">
        <f>IF(M2312=0,0,O2312/M2312)</f>
        <v/>
      </c>
      <c r="Q2312" s="36">
        <f>YEAR(B2312)</f>
        <v/>
      </c>
      <c r="R2312" s="36">
        <f>"Q"&amp;ROUNDUP(MONTH(B2312)/3,0)</f>
        <v/>
      </c>
      <c r="S2312" s="36">
        <f>MONTH(B2312)</f>
        <v/>
      </c>
      <c r="T2312" s="36">
        <f>TEXT(B2312,"mmm")</f>
        <v/>
      </c>
      <c r="U2312" s="36">
        <f>IF(AND(OR(sel_Region="All",C2312=sel_Region),OR(sel_Country="All",D2312=sel_Country),OR(sel_Channel="All",E2312=sel_Channel),OR(sel_Customer="All",F2312=sel_Customer),OR(sel_Category="All",G2312=sel_Category),OR(sel_Product="All",H2312=sel_Product),AND(S2312&gt;=m_From,S2312&lt;=m_To)),1,0)</f>
        <v/>
      </c>
      <c r="V2312" s="36">
        <f>IF(AND(OR(sel_Region="All",C2312=sel_Region),OR(sel_Channel="All",E2312=sel_Channel),OR(sel_Customer="All",F2312=sel_Customer),OR(sel_Category="All",G2312=sel_Category),OR(sel_Product="All",H2312=sel_Product),AND(S2312&gt;=m_From,S2312&lt;=m_To)),1,0)</f>
        <v/>
      </c>
      <c r="W2312" s="36">
        <f>IF(AND(OR(sel_Region="All",C2312=sel_Region),OR(sel_Country="All",D2312=sel_Country),OR(sel_Customer="All",F2312=sel_Customer),OR(sel_Category="All",G2312=sel_Category),OR(sel_Product="All",H2312=sel_Product),AND(S2312&gt;=m_From,S2312&lt;=m_To)),1,0)</f>
        <v/>
      </c>
      <c r="X2312" s="36">
        <f>IF(AND(OR(sel_Region="All",C2312=sel_Region),OR(sel_Country="All",D2312=sel_Country),OR(sel_Channel="All",E2312=sel_Channel),OR(sel_Category="All",G2312=sel_Category),OR(sel_Product="All",H2312=sel_Product),AND(S2312&gt;=m_From,S2312&lt;=m_To)),1,0)</f>
        <v/>
      </c>
      <c r="Y2312" s="36">
        <f>IF(AND(OR(sel_Region="All",C2312=sel_Region),OR(sel_Country="All",D2312=sel_Country),OR(sel_Channel="All",E2312=sel_Channel),OR(sel_Customer="All",F2312=sel_Customer),OR(sel_Product="All",H2312=sel_Product),AND(S2312&gt;=m_From,S2312&lt;=m_To)),1,0)</f>
        <v/>
      </c>
      <c r="Z2312" s="36">
        <f>IF(AND(OR(sel_Region="All",C2312=sel_Region),OR(sel_Country="All",D2312=sel_Country),OR(sel_Channel="All",E2312=sel_Channel),OR(sel_Customer="All",F2312=sel_Customer),OR(sel_Category="All",G2312=sel_Category),AND(S2312&gt;=m_From,S2312&lt;=m_To)),1,0)</f>
        <v/>
      </c>
      <c r="AA2312" s="36">
        <f>IF(AND(OR(sel_Region="All",C2312=sel_Region),OR(sel_Country="All",D2312=sel_Country),OR(sel_Channel="All",E2312=sel_Channel),OR(sel_Customer="All",F2312=sel_Customer),OR(sel_Category="All",G2312=sel_Category),OR(sel_Product="All",H2312=sel_Product)),1,0)</f>
        <v/>
      </c>
    </row>
    <row r="2313">
      <c r="A2313" s="36" t="inlineStr">
        <is>
          <t>05079</t>
        </is>
      </c>
      <c r="B2313" s="44" t="n">
        <v>46334</v>
      </c>
      <c r="C2313" s="36" t="inlineStr">
        <is>
          <t>Northern Europe</t>
        </is>
      </c>
      <c r="D2313" s="36" t="inlineStr">
        <is>
          <t>Norway</t>
        </is>
      </c>
      <c r="E2313" s="36" t="inlineStr">
        <is>
          <t>Online Store</t>
        </is>
      </c>
      <c r="F2313" s="36" t="inlineStr">
        <is>
          <t>New</t>
        </is>
      </c>
      <c r="G2313" s="36" t="inlineStr">
        <is>
          <t>Fitness</t>
        </is>
      </c>
      <c r="H2313" s="36" t="inlineStr">
        <is>
          <t>Weighted Vest</t>
        </is>
      </c>
      <c r="I2313" s="36" t="n">
        <v>1</v>
      </c>
      <c r="J2313" s="39" t="n">
        <v>120.98</v>
      </c>
      <c r="K2313" s="45" t="n">
        <v>0.1</v>
      </c>
      <c r="L2313" s="39" t="n">
        <v>70.59</v>
      </c>
      <c r="M2313" s="39">
        <f>I2313*J2313*(1-K2313)</f>
        <v/>
      </c>
      <c r="N2313" s="39">
        <f>I2313*L2313</f>
        <v/>
      </c>
      <c r="O2313" s="39">
        <f>M2313-N2313</f>
        <v/>
      </c>
      <c r="P2313" s="38">
        <f>IF(M2313=0,0,O2313/M2313)</f>
        <v/>
      </c>
      <c r="Q2313" s="36">
        <f>YEAR(B2313)</f>
        <v/>
      </c>
      <c r="R2313" s="36">
        <f>"Q"&amp;ROUNDUP(MONTH(B2313)/3,0)</f>
        <v/>
      </c>
      <c r="S2313" s="36">
        <f>MONTH(B2313)</f>
        <v/>
      </c>
      <c r="T2313" s="36">
        <f>TEXT(B2313,"mmm")</f>
        <v/>
      </c>
      <c r="U2313" s="36">
        <f>IF(AND(OR(sel_Region="All",C2313=sel_Region),OR(sel_Country="All",D2313=sel_Country),OR(sel_Channel="All",E2313=sel_Channel),OR(sel_Customer="All",F2313=sel_Customer),OR(sel_Category="All",G2313=sel_Category),OR(sel_Product="All",H2313=sel_Product),AND(S2313&gt;=m_From,S2313&lt;=m_To)),1,0)</f>
        <v/>
      </c>
      <c r="V2313" s="36">
        <f>IF(AND(OR(sel_Region="All",C2313=sel_Region),OR(sel_Channel="All",E2313=sel_Channel),OR(sel_Customer="All",F2313=sel_Customer),OR(sel_Category="All",G2313=sel_Category),OR(sel_Product="All",H2313=sel_Product),AND(S2313&gt;=m_From,S2313&lt;=m_To)),1,0)</f>
        <v/>
      </c>
      <c r="W2313" s="36">
        <f>IF(AND(OR(sel_Region="All",C2313=sel_Region),OR(sel_Country="All",D2313=sel_Country),OR(sel_Customer="All",F2313=sel_Customer),OR(sel_Category="All",G2313=sel_Category),OR(sel_Product="All",H2313=sel_Product),AND(S2313&gt;=m_From,S2313&lt;=m_To)),1,0)</f>
        <v/>
      </c>
      <c r="X2313" s="36">
        <f>IF(AND(OR(sel_Region="All",C2313=sel_Region),OR(sel_Country="All",D2313=sel_Country),OR(sel_Channel="All",E2313=sel_Channel),OR(sel_Category="All",G2313=sel_Category),OR(sel_Product="All",H2313=sel_Product),AND(S2313&gt;=m_From,S2313&lt;=m_To)),1,0)</f>
        <v/>
      </c>
      <c r="Y2313" s="36">
        <f>IF(AND(OR(sel_Region="All",C2313=sel_Region),OR(sel_Country="All",D2313=sel_Country),OR(sel_Channel="All",E2313=sel_Channel),OR(sel_Customer="All",F2313=sel_Customer),OR(sel_Product="All",H2313=sel_Product),AND(S2313&gt;=m_From,S2313&lt;=m_To)),1,0)</f>
        <v/>
      </c>
      <c r="Z2313" s="36">
        <f>IF(AND(OR(sel_Region="All",C2313=sel_Region),OR(sel_Country="All",D2313=sel_Country),OR(sel_Channel="All",E2313=sel_Channel),OR(sel_Customer="All",F2313=sel_Customer),OR(sel_Category="All",G2313=sel_Category),AND(S2313&gt;=m_From,S2313&lt;=m_To)),1,0)</f>
        <v/>
      </c>
      <c r="AA2313" s="36">
        <f>IF(AND(OR(sel_Region="All",C2313=sel_Region),OR(sel_Country="All",D2313=sel_Country),OR(sel_Channel="All",E2313=sel_Channel),OR(sel_Customer="All",F2313=sel_Customer),OR(sel_Category="All",G2313=sel_Category),OR(sel_Product="All",H2313=sel_Product)),1,0)</f>
        <v/>
      </c>
    </row>
    <row r="2314">
      <c r="A2314" s="36" t="inlineStr">
        <is>
          <t>00366</t>
        </is>
      </c>
      <c r="B2314" s="44" t="n">
        <v>46335</v>
      </c>
      <c r="C2314" s="36" t="inlineStr">
        <is>
          <t>Western Europe</t>
        </is>
      </c>
      <c r="D2314" s="36" t="inlineStr">
        <is>
          <t>France</t>
        </is>
      </c>
      <c r="E2314" s="36" t="inlineStr">
        <is>
          <t>Retail Partners</t>
        </is>
      </c>
      <c r="F2314" s="36" t="inlineStr">
        <is>
          <t>Returning</t>
        </is>
      </c>
      <c r="G2314" s="36" t="inlineStr">
        <is>
          <t>Hiking</t>
        </is>
      </c>
      <c r="H2314" s="36" t="inlineStr">
        <is>
          <t>Summit Backpack 45L</t>
        </is>
      </c>
      <c r="I2314" s="36" t="n">
        <v>1</v>
      </c>
      <c r="J2314" s="39" t="n">
        <v>152.05</v>
      </c>
      <c r="K2314" s="45" t="n">
        <v>0.15</v>
      </c>
      <c r="L2314" s="39" t="n">
        <v>80.56</v>
      </c>
      <c r="M2314" s="39">
        <f>I2314*J2314*(1-K2314)</f>
        <v/>
      </c>
      <c r="N2314" s="39">
        <f>I2314*L2314</f>
        <v/>
      </c>
      <c r="O2314" s="39">
        <f>M2314-N2314</f>
        <v/>
      </c>
      <c r="P2314" s="38">
        <f>IF(M2314=0,0,O2314/M2314)</f>
        <v/>
      </c>
      <c r="Q2314" s="36">
        <f>YEAR(B2314)</f>
        <v/>
      </c>
      <c r="R2314" s="36">
        <f>"Q"&amp;ROUNDUP(MONTH(B2314)/3,0)</f>
        <v/>
      </c>
      <c r="S2314" s="36">
        <f>MONTH(B2314)</f>
        <v/>
      </c>
      <c r="T2314" s="36">
        <f>TEXT(B2314,"mmm")</f>
        <v/>
      </c>
      <c r="U2314" s="36">
        <f>IF(AND(OR(sel_Region="All",C2314=sel_Region),OR(sel_Country="All",D2314=sel_Country),OR(sel_Channel="All",E2314=sel_Channel),OR(sel_Customer="All",F2314=sel_Customer),OR(sel_Category="All",G2314=sel_Category),OR(sel_Product="All",H2314=sel_Product),AND(S2314&gt;=m_From,S2314&lt;=m_To)),1,0)</f>
        <v/>
      </c>
      <c r="V2314" s="36">
        <f>IF(AND(OR(sel_Region="All",C2314=sel_Region),OR(sel_Channel="All",E2314=sel_Channel),OR(sel_Customer="All",F2314=sel_Customer),OR(sel_Category="All",G2314=sel_Category),OR(sel_Product="All",H2314=sel_Product),AND(S2314&gt;=m_From,S2314&lt;=m_To)),1,0)</f>
        <v/>
      </c>
      <c r="W2314" s="36">
        <f>IF(AND(OR(sel_Region="All",C2314=sel_Region),OR(sel_Country="All",D2314=sel_Country),OR(sel_Customer="All",F2314=sel_Customer),OR(sel_Category="All",G2314=sel_Category),OR(sel_Product="All",H2314=sel_Product),AND(S2314&gt;=m_From,S2314&lt;=m_To)),1,0)</f>
        <v/>
      </c>
      <c r="X2314" s="36">
        <f>IF(AND(OR(sel_Region="All",C2314=sel_Region),OR(sel_Country="All",D2314=sel_Country),OR(sel_Channel="All",E2314=sel_Channel),OR(sel_Category="All",G2314=sel_Category),OR(sel_Product="All",H2314=sel_Product),AND(S2314&gt;=m_From,S2314&lt;=m_To)),1,0)</f>
        <v/>
      </c>
      <c r="Y2314" s="36">
        <f>IF(AND(OR(sel_Region="All",C2314=sel_Region),OR(sel_Country="All",D2314=sel_Country),OR(sel_Channel="All",E2314=sel_Channel),OR(sel_Customer="All",F2314=sel_Customer),OR(sel_Product="All",H2314=sel_Product),AND(S2314&gt;=m_From,S2314&lt;=m_To)),1,0)</f>
        <v/>
      </c>
      <c r="Z2314" s="36">
        <f>IF(AND(OR(sel_Region="All",C2314=sel_Region),OR(sel_Country="All",D2314=sel_Country),OR(sel_Channel="All",E2314=sel_Channel),OR(sel_Customer="All",F2314=sel_Customer),OR(sel_Category="All",G2314=sel_Category),AND(S2314&gt;=m_From,S2314&lt;=m_To)),1,0)</f>
        <v/>
      </c>
      <c r="AA2314" s="36">
        <f>IF(AND(OR(sel_Region="All",C2314=sel_Region),OR(sel_Country="All",D2314=sel_Country),OR(sel_Channel="All",E2314=sel_Channel),OR(sel_Customer="All",F2314=sel_Customer),OR(sel_Category="All",G2314=sel_Category),OR(sel_Product="All",H2314=sel_Product)),1,0)</f>
        <v/>
      </c>
    </row>
    <row r="2315">
      <c r="A2315" s="36" t="inlineStr">
        <is>
          <t>00567</t>
        </is>
      </c>
      <c r="B2315" s="44" t="n">
        <v>46335</v>
      </c>
      <c r="C2315" s="36" t="inlineStr">
        <is>
          <t>Southern Europe</t>
        </is>
      </c>
      <c r="D2315" s="36" t="inlineStr">
        <is>
          <t>Portugal</t>
        </is>
      </c>
      <c r="E2315" s="36" t="inlineStr">
        <is>
          <t>Retail Partners</t>
        </is>
      </c>
      <c r="F2315" s="36" t="inlineStr">
        <is>
          <t>New</t>
        </is>
      </c>
      <c r="G2315" s="36" t="inlineStr">
        <is>
          <t>Travel</t>
        </is>
      </c>
      <c r="H2315" s="36" t="inlineStr">
        <is>
          <t>Insulated Bottle</t>
        </is>
      </c>
      <c r="I2315" s="36" t="n">
        <v>3</v>
      </c>
      <c r="J2315" s="39" t="n">
        <v>36.14</v>
      </c>
      <c r="K2315" s="45" t="n">
        <v>0.1</v>
      </c>
      <c r="L2315" s="39" t="n">
        <v>13.23</v>
      </c>
      <c r="M2315" s="39">
        <f>I2315*J2315*(1-K2315)</f>
        <v/>
      </c>
      <c r="N2315" s="39">
        <f>I2315*L2315</f>
        <v/>
      </c>
      <c r="O2315" s="39">
        <f>M2315-N2315</f>
        <v/>
      </c>
      <c r="P2315" s="38">
        <f>IF(M2315=0,0,O2315/M2315)</f>
        <v/>
      </c>
      <c r="Q2315" s="36">
        <f>YEAR(B2315)</f>
        <v/>
      </c>
      <c r="R2315" s="36">
        <f>"Q"&amp;ROUNDUP(MONTH(B2315)/3,0)</f>
        <v/>
      </c>
      <c r="S2315" s="36">
        <f>MONTH(B2315)</f>
        <v/>
      </c>
      <c r="T2315" s="36">
        <f>TEXT(B2315,"mmm")</f>
        <v/>
      </c>
      <c r="U2315" s="36">
        <f>IF(AND(OR(sel_Region="All",C2315=sel_Region),OR(sel_Country="All",D2315=sel_Country),OR(sel_Channel="All",E2315=sel_Channel),OR(sel_Customer="All",F2315=sel_Customer),OR(sel_Category="All",G2315=sel_Category),OR(sel_Product="All",H2315=sel_Product),AND(S2315&gt;=m_From,S2315&lt;=m_To)),1,0)</f>
        <v/>
      </c>
      <c r="V2315" s="36">
        <f>IF(AND(OR(sel_Region="All",C2315=sel_Region),OR(sel_Channel="All",E2315=sel_Channel),OR(sel_Customer="All",F2315=sel_Customer),OR(sel_Category="All",G2315=sel_Category),OR(sel_Product="All",H2315=sel_Product),AND(S2315&gt;=m_From,S2315&lt;=m_To)),1,0)</f>
        <v/>
      </c>
      <c r="W2315" s="36">
        <f>IF(AND(OR(sel_Region="All",C2315=sel_Region),OR(sel_Country="All",D2315=sel_Country),OR(sel_Customer="All",F2315=sel_Customer),OR(sel_Category="All",G2315=sel_Category),OR(sel_Product="All",H2315=sel_Product),AND(S2315&gt;=m_From,S2315&lt;=m_To)),1,0)</f>
        <v/>
      </c>
      <c r="X2315" s="36">
        <f>IF(AND(OR(sel_Region="All",C2315=sel_Region),OR(sel_Country="All",D2315=sel_Country),OR(sel_Channel="All",E2315=sel_Channel),OR(sel_Category="All",G2315=sel_Category),OR(sel_Product="All",H2315=sel_Product),AND(S2315&gt;=m_From,S2315&lt;=m_To)),1,0)</f>
        <v/>
      </c>
      <c r="Y2315" s="36">
        <f>IF(AND(OR(sel_Region="All",C2315=sel_Region),OR(sel_Country="All",D2315=sel_Country),OR(sel_Channel="All",E2315=sel_Channel),OR(sel_Customer="All",F2315=sel_Customer),OR(sel_Product="All",H2315=sel_Product),AND(S2315&gt;=m_From,S2315&lt;=m_To)),1,0)</f>
        <v/>
      </c>
      <c r="Z2315" s="36">
        <f>IF(AND(OR(sel_Region="All",C2315=sel_Region),OR(sel_Country="All",D2315=sel_Country),OR(sel_Channel="All",E2315=sel_Channel),OR(sel_Customer="All",F2315=sel_Customer),OR(sel_Category="All",G2315=sel_Category),AND(S2315&gt;=m_From,S2315&lt;=m_To)),1,0)</f>
        <v/>
      </c>
      <c r="AA2315" s="36">
        <f>IF(AND(OR(sel_Region="All",C2315=sel_Region),OR(sel_Country="All",D2315=sel_Country),OR(sel_Channel="All",E2315=sel_Channel),OR(sel_Customer="All",F2315=sel_Customer),OR(sel_Category="All",G2315=sel_Category),OR(sel_Product="All",H2315=sel_Product)),1,0)</f>
        <v/>
      </c>
    </row>
    <row r="2316">
      <c r="A2316" s="36" t="inlineStr">
        <is>
          <t>01051</t>
        </is>
      </c>
      <c r="B2316" s="44" t="n">
        <v>46335</v>
      </c>
      <c r="C2316" s="36" t="inlineStr">
        <is>
          <t>Western Europe</t>
        </is>
      </c>
      <c r="D2316" s="36" t="inlineStr">
        <is>
          <t>France</t>
        </is>
      </c>
      <c r="E2316" s="36" t="inlineStr">
        <is>
          <t>Corporate</t>
        </is>
      </c>
      <c r="F2316" s="36" t="inlineStr">
        <is>
          <t>Business</t>
        </is>
      </c>
      <c r="G2316" s="36" t="inlineStr">
        <is>
          <t>Hiking</t>
        </is>
      </c>
      <c r="H2316" s="36" t="inlineStr">
        <is>
          <t>Hiking Daypack 20L</t>
        </is>
      </c>
      <c r="I2316" s="36" t="n">
        <v>12</v>
      </c>
      <c r="J2316" s="39" t="n">
        <v>90.98999999999999</v>
      </c>
      <c r="K2316" s="45" t="n">
        <v>0.2</v>
      </c>
      <c r="L2316" s="39" t="n">
        <v>45.51</v>
      </c>
      <c r="M2316" s="39">
        <f>I2316*J2316*(1-K2316)</f>
        <v/>
      </c>
      <c r="N2316" s="39">
        <f>I2316*L2316</f>
        <v/>
      </c>
      <c r="O2316" s="39">
        <f>M2316-N2316</f>
        <v/>
      </c>
      <c r="P2316" s="38">
        <f>IF(M2316=0,0,O2316/M2316)</f>
        <v/>
      </c>
      <c r="Q2316" s="36">
        <f>YEAR(B2316)</f>
        <v/>
      </c>
      <c r="R2316" s="36">
        <f>"Q"&amp;ROUNDUP(MONTH(B2316)/3,0)</f>
        <v/>
      </c>
      <c r="S2316" s="36">
        <f>MONTH(B2316)</f>
        <v/>
      </c>
      <c r="T2316" s="36">
        <f>TEXT(B2316,"mmm")</f>
        <v/>
      </c>
      <c r="U2316" s="36">
        <f>IF(AND(OR(sel_Region="All",C2316=sel_Region),OR(sel_Country="All",D2316=sel_Country),OR(sel_Channel="All",E2316=sel_Channel),OR(sel_Customer="All",F2316=sel_Customer),OR(sel_Category="All",G2316=sel_Category),OR(sel_Product="All",H2316=sel_Product),AND(S2316&gt;=m_From,S2316&lt;=m_To)),1,0)</f>
        <v/>
      </c>
      <c r="V2316" s="36">
        <f>IF(AND(OR(sel_Region="All",C2316=sel_Region),OR(sel_Channel="All",E2316=sel_Channel),OR(sel_Customer="All",F2316=sel_Customer),OR(sel_Category="All",G2316=sel_Category),OR(sel_Product="All",H2316=sel_Product),AND(S2316&gt;=m_From,S2316&lt;=m_To)),1,0)</f>
        <v/>
      </c>
      <c r="W2316" s="36">
        <f>IF(AND(OR(sel_Region="All",C2316=sel_Region),OR(sel_Country="All",D2316=sel_Country),OR(sel_Customer="All",F2316=sel_Customer),OR(sel_Category="All",G2316=sel_Category),OR(sel_Product="All",H2316=sel_Product),AND(S2316&gt;=m_From,S2316&lt;=m_To)),1,0)</f>
        <v/>
      </c>
      <c r="X2316" s="36">
        <f>IF(AND(OR(sel_Region="All",C2316=sel_Region),OR(sel_Country="All",D2316=sel_Country),OR(sel_Channel="All",E2316=sel_Channel),OR(sel_Category="All",G2316=sel_Category),OR(sel_Product="All",H2316=sel_Product),AND(S2316&gt;=m_From,S2316&lt;=m_To)),1,0)</f>
        <v/>
      </c>
      <c r="Y2316" s="36">
        <f>IF(AND(OR(sel_Region="All",C2316=sel_Region),OR(sel_Country="All",D2316=sel_Country),OR(sel_Channel="All",E2316=sel_Channel),OR(sel_Customer="All",F2316=sel_Customer),OR(sel_Product="All",H2316=sel_Product),AND(S2316&gt;=m_From,S2316&lt;=m_To)),1,0)</f>
        <v/>
      </c>
      <c r="Z2316" s="36">
        <f>IF(AND(OR(sel_Region="All",C2316=sel_Region),OR(sel_Country="All",D2316=sel_Country),OR(sel_Channel="All",E2316=sel_Channel),OR(sel_Customer="All",F2316=sel_Customer),OR(sel_Category="All",G2316=sel_Category),AND(S2316&gt;=m_From,S2316&lt;=m_To)),1,0)</f>
        <v/>
      </c>
      <c r="AA2316" s="36">
        <f>IF(AND(OR(sel_Region="All",C2316=sel_Region),OR(sel_Country="All",D2316=sel_Country),OR(sel_Channel="All",E2316=sel_Channel),OR(sel_Customer="All",F2316=sel_Customer),OR(sel_Category="All",G2316=sel_Category),OR(sel_Product="All",H2316=sel_Product)),1,0)</f>
        <v/>
      </c>
    </row>
    <row r="2317">
      <c r="A2317" s="36" t="inlineStr">
        <is>
          <t>01934</t>
        </is>
      </c>
      <c r="B2317" s="44" t="n">
        <v>46335</v>
      </c>
      <c r="C2317" s="36" t="inlineStr">
        <is>
          <t>Western Europe</t>
        </is>
      </c>
      <c r="D2317" s="36" t="inlineStr">
        <is>
          <t>France</t>
        </is>
      </c>
      <c r="E2317" s="36" t="inlineStr">
        <is>
          <t>Marketplace</t>
        </is>
      </c>
      <c r="F2317" s="36" t="inlineStr">
        <is>
          <t>Business</t>
        </is>
      </c>
      <c r="G2317" s="36" t="inlineStr">
        <is>
          <t>Cycling</t>
        </is>
      </c>
      <c r="H2317" s="36" t="inlineStr">
        <is>
          <t>Trail Bike Light</t>
        </is>
      </c>
      <c r="I2317" s="36" t="n">
        <v>1</v>
      </c>
      <c r="J2317" s="39" t="n">
        <v>50.55</v>
      </c>
      <c r="K2317" s="45" t="n">
        <v>0.05</v>
      </c>
      <c r="L2317" s="39" t="n">
        <v>22.09</v>
      </c>
      <c r="M2317" s="39">
        <f>I2317*J2317*(1-K2317)</f>
        <v/>
      </c>
      <c r="N2317" s="39">
        <f>I2317*L2317</f>
        <v/>
      </c>
      <c r="O2317" s="39">
        <f>M2317-N2317</f>
        <v/>
      </c>
      <c r="P2317" s="38">
        <f>IF(M2317=0,0,O2317/M2317)</f>
        <v/>
      </c>
      <c r="Q2317" s="36">
        <f>YEAR(B2317)</f>
        <v/>
      </c>
      <c r="R2317" s="36">
        <f>"Q"&amp;ROUNDUP(MONTH(B2317)/3,0)</f>
        <v/>
      </c>
      <c r="S2317" s="36">
        <f>MONTH(B2317)</f>
        <v/>
      </c>
      <c r="T2317" s="36">
        <f>TEXT(B2317,"mmm")</f>
        <v/>
      </c>
      <c r="U2317" s="36">
        <f>IF(AND(OR(sel_Region="All",C2317=sel_Region),OR(sel_Country="All",D2317=sel_Country),OR(sel_Channel="All",E2317=sel_Channel),OR(sel_Customer="All",F2317=sel_Customer),OR(sel_Category="All",G2317=sel_Category),OR(sel_Product="All",H2317=sel_Product),AND(S2317&gt;=m_From,S2317&lt;=m_To)),1,0)</f>
        <v/>
      </c>
      <c r="V2317" s="36">
        <f>IF(AND(OR(sel_Region="All",C2317=sel_Region),OR(sel_Channel="All",E2317=sel_Channel),OR(sel_Customer="All",F2317=sel_Customer),OR(sel_Category="All",G2317=sel_Category),OR(sel_Product="All",H2317=sel_Product),AND(S2317&gt;=m_From,S2317&lt;=m_To)),1,0)</f>
        <v/>
      </c>
      <c r="W2317" s="36">
        <f>IF(AND(OR(sel_Region="All",C2317=sel_Region),OR(sel_Country="All",D2317=sel_Country),OR(sel_Customer="All",F2317=sel_Customer),OR(sel_Category="All",G2317=sel_Category),OR(sel_Product="All",H2317=sel_Product),AND(S2317&gt;=m_From,S2317&lt;=m_To)),1,0)</f>
        <v/>
      </c>
      <c r="X2317" s="36">
        <f>IF(AND(OR(sel_Region="All",C2317=sel_Region),OR(sel_Country="All",D2317=sel_Country),OR(sel_Channel="All",E2317=sel_Channel),OR(sel_Category="All",G2317=sel_Category),OR(sel_Product="All",H2317=sel_Product),AND(S2317&gt;=m_From,S2317&lt;=m_To)),1,0)</f>
        <v/>
      </c>
      <c r="Y2317" s="36">
        <f>IF(AND(OR(sel_Region="All",C2317=sel_Region),OR(sel_Country="All",D2317=sel_Country),OR(sel_Channel="All",E2317=sel_Channel),OR(sel_Customer="All",F2317=sel_Customer),OR(sel_Product="All",H2317=sel_Product),AND(S2317&gt;=m_From,S2317&lt;=m_To)),1,0)</f>
        <v/>
      </c>
      <c r="Z2317" s="36">
        <f>IF(AND(OR(sel_Region="All",C2317=sel_Region),OR(sel_Country="All",D2317=sel_Country),OR(sel_Channel="All",E2317=sel_Channel),OR(sel_Customer="All",F2317=sel_Customer),OR(sel_Category="All",G2317=sel_Category),AND(S2317&gt;=m_From,S2317&lt;=m_To)),1,0)</f>
        <v/>
      </c>
      <c r="AA2317" s="36">
        <f>IF(AND(OR(sel_Region="All",C2317=sel_Region),OR(sel_Country="All",D2317=sel_Country),OR(sel_Channel="All",E2317=sel_Channel),OR(sel_Customer="All",F2317=sel_Customer),OR(sel_Category="All",G2317=sel_Category),OR(sel_Product="All",H2317=sel_Product)),1,0)</f>
        <v/>
      </c>
    </row>
    <row r="2318">
      <c r="A2318" s="36" t="inlineStr">
        <is>
          <t>02056</t>
        </is>
      </c>
      <c r="B2318" s="44" t="n">
        <v>46335</v>
      </c>
      <c r="C2318" s="36" t="inlineStr">
        <is>
          <t>Southern Europe</t>
        </is>
      </c>
      <c r="D2318" s="36" t="inlineStr">
        <is>
          <t>Spain</t>
        </is>
      </c>
      <c r="E2318" s="36" t="inlineStr">
        <is>
          <t>Retail Partners</t>
        </is>
      </c>
      <c r="F2318" s="36" t="inlineStr">
        <is>
          <t>New</t>
        </is>
      </c>
      <c r="G2318" s="36" t="inlineStr">
        <is>
          <t>Fitness</t>
        </is>
      </c>
      <c r="H2318" s="36" t="inlineStr">
        <is>
          <t>Training Mat</t>
        </is>
      </c>
      <c r="I2318" s="36" t="n">
        <v>1</v>
      </c>
      <c r="J2318" s="39" t="n">
        <v>51.65</v>
      </c>
      <c r="K2318" s="45" t="n">
        <v>0.15</v>
      </c>
      <c r="L2318" s="39" t="n">
        <v>21.86</v>
      </c>
      <c r="M2318" s="39">
        <f>I2318*J2318*(1-K2318)</f>
        <v/>
      </c>
      <c r="N2318" s="39">
        <f>I2318*L2318</f>
        <v/>
      </c>
      <c r="O2318" s="39">
        <f>M2318-N2318</f>
        <v/>
      </c>
      <c r="P2318" s="38">
        <f>IF(M2318=0,0,O2318/M2318)</f>
        <v/>
      </c>
      <c r="Q2318" s="36">
        <f>YEAR(B2318)</f>
        <v/>
      </c>
      <c r="R2318" s="36">
        <f>"Q"&amp;ROUNDUP(MONTH(B2318)/3,0)</f>
        <v/>
      </c>
      <c r="S2318" s="36">
        <f>MONTH(B2318)</f>
        <v/>
      </c>
      <c r="T2318" s="36">
        <f>TEXT(B2318,"mmm")</f>
        <v/>
      </c>
      <c r="U2318" s="36">
        <f>IF(AND(OR(sel_Region="All",C2318=sel_Region),OR(sel_Country="All",D2318=sel_Country),OR(sel_Channel="All",E2318=sel_Channel),OR(sel_Customer="All",F2318=sel_Customer),OR(sel_Category="All",G2318=sel_Category),OR(sel_Product="All",H2318=sel_Product),AND(S2318&gt;=m_From,S2318&lt;=m_To)),1,0)</f>
        <v/>
      </c>
      <c r="V2318" s="36">
        <f>IF(AND(OR(sel_Region="All",C2318=sel_Region),OR(sel_Channel="All",E2318=sel_Channel),OR(sel_Customer="All",F2318=sel_Customer),OR(sel_Category="All",G2318=sel_Category),OR(sel_Product="All",H2318=sel_Product),AND(S2318&gt;=m_From,S2318&lt;=m_To)),1,0)</f>
        <v/>
      </c>
      <c r="W2318" s="36">
        <f>IF(AND(OR(sel_Region="All",C2318=sel_Region),OR(sel_Country="All",D2318=sel_Country),OR(sel_Customer="All",F2318=sel_Customer),OR(sel_Category="All",G2318=sel_Category),OR(sel_Product="All",H2318=sel_Product),AND(S2318&gt;=m_From,S2318&lt;=m_To)),1,0)</f>
        <v/>
      </c>
      <c r="X2318" s="36">
        <f>IF(AND(OR(sel_Region="All",C2318=sel_Region),OR(sel_Country="All",D2318=sel_Country),OR(sel_Channel="All",E2318=sel_Channel),OR(sel_Category="All",G2318=sel_Category),OR(sel_Product="All",H2318=sel_Product),AND(S2318&gt;=m_From,S2318&lt;=m_To)),1,0)</f>
        <v/>
      </c>
      <c r="Y2318" s="36">
        <f>IF(AND(OR(sel_Region="All",C2318=sel_Region),OR(sel_Country="All",D2318=sel_Country),OR(sel_Channel="All",E2318=sel_Channel),OR(sel_Customer="All",F2318=sel_Customer),OR(sel_Product="All",H2318=sel_Product),AND(S2318&gt;=m_From,S2318&lt;=m_To)),1,0)</f>
        <v/>
      </c>
      <c r="Z2318" s="36">
        <f>IF(AND(OR(sel_Region="All",C2318=sel_Region),OR(sel_Country="All",D2318=sel_Country),OR(sel_Channel="All",E2318=sel_Channel),OR(sel_Customer="All",F2318=sel_Customer),OR(sel_Category="All",G2318=sel_Category),AND(S2318&gt;=m_From,S2318&lt;=m_To)),1,0)</f>
        <v/>
      </c>
      <c r="AA2318" s="36">
        <f>IF(AND(OR(sel_Region="All",C2318=sel_Region),OR(sel_Country="All",D2318=sel_Country),OR(sel_Channel="All",E2318=sel_Channel),OR(sel_Customer="All",F2318=sel_Customer),OR(sel_Category="All",G2318=sel_Category),OR(sel_Product="All",H2318=sel_Product)),1,0)</f>
        <v/>
      </c>
    </row>
    <row r="2319">
      <c r="A2319" s="36" t="inlineStr">
        <is>
          <t>02115</t>
        </is>
      </c>
      <c r="B2319" s="44" t="n">
        <v>46335</v>
      </c>
      <c r="C2319" s="36" t="inlineStr">
        <is>
          <t>Central Europe</t>
        </is>
      </c>
      <c r="D2319" s="36" t="inlineStr">
        <is>
          <t>Germany</t>
        </is>
      </c>
      <c r="E2319" s="36" t="inlineStr">
        <is>
          <t>Online Store</t>
        </is>
      </c>
      <c r="F2319" s="36" t="inlineStr">
        <is>
          <t>New</t>
        </is>
      </c>
      <c r="G2319" s="36" t="inlineStr">
        <is>
          <t>Cycling</t>
        </is>
      </c>
      <c r="H2319" s="36" t="inlineStr">
        <is>
          <t>Commuter Helmet</t>
        </is>
      </c>
      <c r="I2319" s="36" t="n">
        <v>5</v>
      </c>
      <c r="J2319" s="39" t="n">
        <v>82.95999999999999</v>
      </c>
      <c r="K2319" s="45" t="n">
        <v>0</v>
      </c>
      <c r="L2319" s="39" t="n">
        <v>43.55</v>
      </c>
      <c r="M2319" s="39">
        <f>I2319*J2319*(1-K2319)</f>
        <v/>
      </c>
      <c r="N2319" s="39">
        <f>I2319*L2319</f>
        <v/>
      </c>
      <c r="O2319" s="39">
        <f>M2319-N2319</f>
        <v/>
      </c>
      <c r="P2319" s="38">
        <f>IF(M2319=0,0,O2319/M2319)</f>
        <v/>
      </c>
      <c r="Q2319" s="36">
        <f>YEAR(B2319)</f>
        <v/>
      </c>
      <c r="R2319" s="36">
        <f>"Q"&amp;ROUNDUP(MONTH(B2319)/3,0)</f>
        <v/>
      </c>
      <c r="S2319" s="36">
        <f>MONTH(B2319)</f>
        <v/>
      </c>
      <c r="T2319" s="36">
        <f>TEXT(B2319,"mmm")</f>
        <v/>
      </c>
      <c r="U2319" s="36">
        <f>IF(AND(OR(sel_Region="All",C2319=sel_Region),OR(sel_Country="All",D2319=sel_Country),OR(sel_Channel="All",E2319=sel_Channel),OR(sel_Customer="All",F2319=sel_Customer),OR(sel_Category="All",G2319=sel_Category),OR(sel_Product="All",H2319=sel_Product),AND(S2319&gt;=m_From,S2319&lt;=m_To)),1,0)</f>
        <v/>
      </c>
      <c r="V2319" s="36">
        <f>IF(AND(OR(sel_Region="All",C2319=sel_Region),OR(sel_Channel="All",E2319=sel_Channel),OR(sel_Customer="All",F2319=sel_Customer),OR(sel_Category="All",G2319=sel_Category),OR(sel_Product="All",H2319=sel_Product),AND(S2319&gt;=m_From,S2319&lt;=m_To)),1,0)</f>
        <v/>
      </c>
      <c r="W2319" s="36">
        <f>IF(AND(OR(sel_Region="All",C2319=sel_Region),OR(sel_Country="All",D2319=sel_Country),OR(sel_Customer="All",F2319=sel_Customer),OR(sel_Category="All",G2319=sel_Category),OR(sel_Product="All",H2319=sel_Product),AND(S2319&gt;=m_From,S2319&lt;=m_To)),1,0)</f>
        <v/>
      </c>
      <c r="X2319" s="36">
        <f>IF(AND(OR(sel_Region="All",C2319=sel_Region),OR(sel_Country="All",D2319=sel_Country),OR(sel_Channel="All",E2319=sel_Channel),OR(sel_Category="All",G2319=sel_Category),OR(sel_Product="All",H2319=sel_Product),AND(S2319&gt;=m_From,S2319&lt;=m_To)),1,0)</f>
        <v/>
      </c>
      <c r="Y2319" s="36">
        <f>IF(AND(OR(sel_Region="All",C2319=sel_Region),OR(sel_Country="All",D2319=sel_Country),OR(sel_Channel="All",E2319=sel_Channel),OR(sel_Customer="All",F2319=sel_Customer),OR(sel_Product="All",H2319=sel_Product),AND(S2319&gt;=m_From,S2319&lt;=m_To)),1,0)</f>
        <v/>
      </c>
      <c r="Z2319" s="36">
        <f>IF(AND(OR(sel_Region="All",C2319=sel_Region),OR(sel_Country="All",D2319=sel_Country),OR(sel_Channel="All",E2319=sel_Channel),OR(sel_Customer="All",F2319=sel_Customer),OR(sel_Category="All",G2319=sel_Category),AND(S2319&gt;=m_From,S2319&lt;=m_To)),1,0)</f>
        <v/>
      </c>
      <c r="AA2319" s="36">
        <f>IF(AND(OR(sel_Region="All",C2319=sel_Region),OR(sel_Country="All",D2319=sel_Country),OR(sel_Channel="All",E2319=sel_Channel),OR(sel_Customer="All",F2319=sel_Customer),OR(sel_Category="All",G2319=sel_Category),OR(sel_Product="All",H2319=sel_Product)),1,0)</f>
        <v/>
      </c>
    </row>
    <row r="2320">
      <c r="A2320" s="36" t="inlineStr">
        <is>
          <t>02437</t>
        </is>
      </c>
      <c r="B2320" s="44" t="n">
        <v>46335</v>
      </c>
      <c r="C2320" s="36" t="inlineStr">
        <is>
          <t>Western Europe</t>
        </is>
      </c>
      <c r="D2320" s="36" t="inlineStr">
        <is>
          <t>Belgium</t>
        </is>
      </c>
      <c r="E2320" s="36" t="inlineStr">
        <is>
          <t>Marketplace</t>
        </is>
      </c>
      <c r="F2320" s="36" t="inlineStr">
        <is>
          <t>Business</t>
        </is>
      </c>
      <c r="G2320" s="36" t="inlineStr">
        <is>
          <t>Hiking</t>
        </is>
      </c>
      <c r="H2320" s="36" t="inlineStr">
        <is>
          <t>Trekking Poles</t>
        </is>
      </c>
      <c r="I2320" s="36" t="n">
        <v>1</v>
      </c>
      <c r="J2320" s="39" t="n">
        <v>70.3</v>
      </c>
      <c r="K2320" s="45" t="n">
        <v>0.05</v>
      </c>
      <c r="L2320" s="39" t="n">
        <v>33.31</v>
      </c>
      <c r="M2320" s="39">
        <f>I2320*J2320*(1-K2320)</f>
        <v/>
      </c>
      <c r="N2320" s="39">
        <f>I2320*L2320</f>
        <v/>
      </c>
      <c r="O2320" s="39">
        <f>M2320-N2320</f>
        <v/>
      </c>
      <c r="P2320" s="38">
        <f>IF(M2320=0,0,O2320/M2320)</f>
        <v/>
      </c>
      <c r="Q2320" s="36">
        <f>YEAR(B2320)</f>
        <v/>
      </c>
      <c r="R2320" s="36">
        <f>"Q"&amp;ROUNDUP(MONTH(B2320)/3,0)</f>
        <v/>
      </c>
      <c r="S2320" s="36">
        <f>MONTH(B2320)</f>
        <v/>
      </c>
      <c r="T2320" s="36">
        <f>TEXT(B2320,"mmm")</f>
        <v/>
      </c>
      <c r="U2320" s="36">
        <f>IF(AND(OR(sel_Region="All",C2320=sel_Region),OR(sel_Country="All",D2320=sel_Country),OR(sel_Channel="All",E2320=sel_Channel),OR(sel_Customer="All",F2320=sel_Customer),OR(sel_Category="All",G2320=sel_Category),OR(sel_Product="All",H2320=sel_Product),AND(S2320&gt;=m_From,S2320&lt;=m_To)),1,0)</f>
        <v/>
      </c>
      <c r="V2320" s="36">
        <f>IF(AND(OR(sel_Region="All",C2320=sel_Region),OR(sel_Channel="All",E2320=sel_Channel),OR(sel_Customer="All",F2320=sel_Customer),OR(sel_Category="All",G2320=sel_Category),OR(sel_Product="All",H2320=sel_Product),AND(S2320&gt;=m_From,S2320&lt;=m_To)),1,0)</f>
        <v/>
      </c>
      <c r="W2320" s="36">
        <f>IF(AND(OR(sel_Region="All",C2320=sel_Region),OR(sel_Country="All",D2320=sel_Country),OR(sel_Customer="All",F2320=sel_Customer),OR(sel_Category="All",G2320=sel_Category),OR(sel_Product="All",H2320=sel_Product),AND(S2320&gt;=m_From,S2320&lt;=m_To)),1,0)</f>
        <v/>
      </c>
      <c r="X2320" s="36">
        <f>IF(AND(OR(sel_Region="All",C2320=sel_Region),OR(sel_Country="All",D2320=sel_Country),OR(sel_Channel="All",E2320=sel_Channel),OR(sel_Category="All",G2320=sel_Category),OR(sel_Product="All",H2320=sel_Product),AND(S2320&gt;=m_From,S2320&lt;=m_To)),1,0)</f>
        <v/>
      </c>
      <c r="Y2320" s="36">
        <f>IF(AND(OR(sel_Region="All",C2320=sel_Region),OR(sel_Country="All",D2320=sel_Country),OR(sel_Channel="All",E2320=sel_Channel),OR(sel_Customer="All",F2320=sel_Customer),OR(sel_Product="All",H2320=sel_Product),AND(S2320&gt;=m_From,S2320&lt;=m_To)),1,0)</f>
        <v/>
      </c>
      <c r="Z2320" s="36">
        <f>IF(AND(OR(sel_Region="All",C2320=sel_Region),OR(sel_Country="All",D2320=sel_Country),OR(sel_Channel="All",E2320=sel_Channel),OR(sel_Customer="All",F2320=sel_Customer),OR(sel_Category="All",G2320=sel_Category),AND(S2320&gt;=m_From,S2320&lt;=m_To)),1,0)</f>
        <v/>
      </c>
      <c r="AA2320" s="36">
        <f>IF(AND(OR(sel_Region="All",C2320=sel_Region),OR(sel_Country="All",D2320=sel_Country),OR(sel_Channel="All",E2320=sel_Channel),OR(sel_Customer="All",F2320=sel_Customer),OR(sel_Category="All",G2320=sel_Category),OR(sel_Product="All",H2320=sel_Product)),1,0)</f>
        <v/>
      </c>
    </row>
    <row r="2321">
      <c r="A2321" s="36" t="inlineStr">
        <is>
          <t>03380</t>
        </is>
      </c>
      <c r="B2321" s="44" t="n">
        <v>46335</v>
      </c>
      <c r="C2321" s="36" t="inlineStr">
        <is>
          <t>Northern Europe</t>
        </is>
      </c>
      <c r="D2321" s="36" t="inlineStr">
        <is>
          <t>Sweden</t>
        </is>
      </c>
      <c r="E2321" s="36" t="inlineStr">
        <is>
          <t>Retail Partners</t>
        </is>
      </c>
      <c r="F2321" s="36" t="inlineStr">
        <is>
          <t>Returning</t>
        </is>
      </c>
      <c r="G2321" s="36" t="inlineStr">
        <is>
          <t>Travel</t>
        </is>
      </c>
      <c r="H2321" s="36" t="inlineStr">
        <is>
          <t>Packing Cube Set</t>
        </is>
      </c>
      <c r="I2321" s="36" t="n">
        <v>2</v>
      </c>
      <c r="J2321" s="39" t="n">
        <v>47.12</v>
      </c>
      <c r="K2321" s="45" t="n">
        <v>0.15</v>
      </c>
      <c r="L2321" s="39" t="n">
        <v>18.64</v>
      </c>
      <c r="M2321" s="39">
        <f>I2321*J2321*(1-K2321)</f>
        <v/>
      </c>
      <c r="N2321" s="39">
        <f>I2321*L2321</f>
        <v/>
      </c>
      <c r="O2321" s="39">
        <f>M2321-N2321</f>
        <v/>
      </c>
      <c r="P2321" s="38">
        <f>IF(M2321=0,0,O2321/M2321)</f>
        <v/>
      </c>
      <c r="Q2321" s="36">
        <f>YEAR(B2321)</f>
        <v/>
      </c>
      <c r="R2321" s="36">
        <f>"Q"&amp;ROUNDUP(MONTH(B2321)/3,0)</f>
        <v/>
      </c>
      <c r="S2321" s="36">
        <f>MONTH(B2321)</f>
        <v/>
      </c>
      <c r="T2321" s="36">
        <f>TEXT(B2321,"mmm")</f>
        <v/>
      </c>
      <c r="U2321" s="36">
        <f>IF(AND(OR(sel_Region="All",C2321=sel_Region),OR(sel_Country="All",D2321=sel_Country),OR(sel_Channel="All",E2321=sel_Channel),OR(sel_Customer="All",F2321=sel_Customer),OR(sel_Category="All",G2321=sel_Category),OR(sel_Product="All",H2321=sel_Product),AND(S2321&gt;=m_From,S2321&lt;=m_To)),1,0)</f>
        <v/>
      </c>
      <c r="V2321" s="36">
        <f>IF(AND(OR(sel_Region="All",C2321=sel_Region),OR(sel_Channel="All",E2321=sel_Channel),OR(sel_Customer="All",F2321=sel_Customer),OR(sel_Category="All",G2321=sel_Category),OR(sel_Product="All",H2321=sel_Product),AND(S2321&gt;=m_From,S2321&lt;=m_To)),1,0)</f>
        <v/>
      </c>
      <c r="W2321" s="36">
        <f>IF(AND(OR(sel_Region="All",C2321=sel_Region),OR(sel_Country="All",D2321=sel_Country),OR(sel_Customer="All",F2321=sel_Customer),OR(sel_Category="All",G2321=sel_Category),OR(sel_Product="All",H2321=sel_Product),AND(S2321&gt;=m_From,S2321&lt;=m_To)),1,0)</f>
        <v/>
      </c>
      <c r="X2321" s="36">
        <f>IF(AND(OR(sel_Region="All",C2321=sel_Region),OR(sel_Country="All",D2321=sel_Country),OR(sel_Channel="All",E2321=sel_Channel),OR(sel_Category="All",G2321=sel_Category),OR(sel_Product="All",H2321=sel_Product),AND(S2321&gt;=m_From,S2321&lt;=m_To)),1,0)</f>
        <v/>
      </c>
      <c r="Y2321" s="36">
        <f>IF(AND(OR(sel_Region="All",C2321=sel_Region),OR(sel_Country="All",D2321=sel_Country),OR(sel_Channel="All",E2321=sel_Channel),OR(sel_Customer="All",F2321=sel_Customer),OR(sel_Product="All",H2321=sel_Product),AND(S2321&gt;=m_From,S2321&lt;=m_To)),1,0)</f>
        <v/>
      </c>
      <c r="Z2321" s="36">
        <f>IF(AND(OR(sel_Region="All",C2321=sel_Region),OR(sel_Country="All",D2321=sel_Country),OR(sel_Channel="All",E2321=sel_Channel),OR(sel_Customer="All",F2321=sel_Customer),OR(sel_Category="All",G2321=sel_Category),AND(S2321&gt;=m_From,S2321&lt;=m_To)),1,0)</f>
        <v/>
      </c>
      <c r="AA2321" s="36">
        <f>IF(AND(OR(sel_Region="All",C2321=sel_Region),OR(sel_Country="All",D2321=sel_Country),OR(sel_Channel="All",E2321=sel_Channel),OR(sel_Customer="All",F2321=sel_Customer),OR(sel_Category="All",G2321=sel_Category),OR(sel_Product="All",H2321=sel_Product)),1,0)</f>
        <v/>
      </c>
    </row>
    <row r="2322">
      <c r="A2322" s="36" t="inlineStr">
        <is>
          <t>03648</t>
        </is>
      </c>
      <c r="B2322" s="44" t="n">
        <v>46335</v>
      </c>
      <c r="C2322" s="36" t="inlineStr">
        <is>
          <t>Southern Europe</t>
        </is>
      </c>
      <c r="D2322" s="36" t="inlineStr">
        <is>
          <t>Italy</t>
        </is>
      </c>
      <c r="E2322" s="36" t="inlineStr">
        <is>
          <t>Marketplace</t>
        </is>
      </c>
      <c r="F2322" s="36" t="inlineStr">
        <is>
          <t>New</t>
        </is>
      </c>
      <c r="G2322" s="36" t="inlineStr">
        <is>
          <t>Fitness</t>
        </is>
      </c>
      <c r="H2322" s="36" t="inlineStr">
        <is>
          <t>Resistance Band Set</t>
        </is>
      </c>
      <c r="I2322" s="36" t="n">
        <v>4</v>
      </c>
      <c r="J2322" s="39" t="n">
        <v>39.82</v>
      </c>
      <c r="K2322" s="45" t="n">
        <v>0.2</v>
      </c>
      <c r="L2322" s="39" t="n">
        <v>14.98</v>
      </c>
      <c r="M2322" s="39">
        <f>I2322*J2322*(1-K2322)</f>
        <v/>
      </c>
      <c r="N2322" s="39">
        <f>I2322*L2322</f>
        <v/>
      </c>
      <c r="O2322" s="39">
        <f>M2322-N2322</f>
        <v/>
      </c>
      <c r="P2322" s="38">
        <f>IF(M2322=0,0,O2322/M2322)</f>
        <v/>
      </c>
      <c r="Q2322" s="36">
        <f>YEAR(B2322)</f>
        <v/>
      </c>
      <c r="R2322" s="36">
        <f>"Q"&amp;ROUNDUP(MONTH(B2322)/3,0)</f>
        <v/>
      </c>
      <c r="S2322" s="36">
        <f>MONTH(B2322)</f>
        <v/>
      </c>
      <c r="T2322" s="36">
        <f>TEXT(B2322,"mmm")</f>
        <v/>
      </c>
      <c r="U2322" s="36">
        <f>IF(AND(OR(sel_Region="All",C2322=sel_Region),OR(sel_Country="All",D2322=sel_Country),OR(sel_Channel="All",E2322=sel_Channel),OR(sel_Customer="All",F2322=sel_Customer),OR(sel_Category="All",G2322=sel_Category),OR(sel_Product="All",H2322=sel_Product),AND(S2322&gt;=m_From,S2322&lt;=m_To)),1,0)</f>
        <v/>
      </c>
      <c r="V2322" s="36">
        <f>IF(AND(OR(sel_Region="All",C2322=sel_Region),OR(sel_Channel="All",E2322=sel_Channel),OR(sel_Customer="All",F2322=sel_Customer),OR(sel_Category="All",G2322=sel_Category),OR(sel_Product="All",H2322=sel_Product),AND(S2322&gt;=m_From,S2322&lt;=m_To)),1,0)</f>
        <v/>
      </c>
      <c r="W2322" s="36">
        <f>IF(AND(OR(sel_Region="All",C2322=sel_Region),OR(sel_Country="All",D2322=sel_Country),OR(sel_Customer="All",F2322=sel_Customer),OR(sel_Category="All",G2322=sel_Category),OR(sel_Product="All",H2322=sel_Product),AND(S2322&gt;=m_From,S2322&lt;=m_To)),1,0)</f>
        <v/>
      </c>
      <c r="X2322" s="36">
        <f>IF(AND(OR(sel_Region="All",C2322=sel_Region),OR(sel_Country="All",D2322=sel_Country),OR(sel_Channel="All",E2322=sel_Channel),OR(sel_Category="All",G2322=sel_Category),OR(sel_Product="All",H2322=sel_Product),AND(S2322&gt;=m_From,S2322&lt;=m_To)),1,0)</f>
        <v/>
      </c>
      <c r="Y2322" s="36">
        <f>IF(AND(OR(sel_Region="All",C2322=sel_Region),OR(sel_Country="All",D2322=sel_Country),OR(sel_Channel="All",E2322=sel_Channel),OR(sel_Customer="All",F2322=sel_Customer),OR(sel_Product="All",H2322=sel_Product),AND(S2322&gt;=m_From,S2322&lt;=m_To)),1,0)</f>
        <v/>
      </c>
      <c r="Z2322" s="36">
        <f>IF(AND(OR(sel_Region="All",C2322=sel_Region),OR(sel_Country="All",D2322=sel_Country),OR(sel_Channel="All",E2322=sel_Channel),OR(sel_Customer="All",F2322=sel_Customer),OR(sel_Category="All",G2322=sel_Category),AND(S2322&gt;=m_From,S2322&lt;=m_To)),1,0)</f>
        <v/>
      </c>
      <c r="AA2322" s="36">
        <f>IF(AND(OR(sel_Region="All",C2322=sel_Region),OR(sel_Country="All",D2322=sel_Country),OR(sel_Channel="All",E2322=sel_Channel),OR(sel_Customer="All",F2322=sel_Customer),OR(sel_Category="All",G2322=sel_Category),OR(sel_Product="All",H2322=sel_Product)),1,0)</f>
        <v/>
      </c>
    </row>
    <row r="2323">
      <c r="A2323" s="36" t="inlineStr">
        <is>
          <t>03692</t>
        </is>
      </c>
      <c r="B2323" s="44" t="n">
        <v>46335</v>
      </c>
      <c r="C2323" s="36" t="inlineStr">
        <is>
          <t>Central Europe</t>
        </is>
      </c>
      <c r="D2323" s="36" t="inlineStr">
        <is>
          <t>Poland</t>
        </is>
      </c>
      <c r="E2323" s="36" t="inlineStr">
        <is>
          <t>Online Store</t>
        </is>
      </c>
      <c r="F2323" s="36" t="inlineStr">
        <is>
          <t>Returning</t>
        </is>
      </c>
      <c r="G2323" s="36" t="inlineStr">
        <is>
          <t>Hiking</t>
        </is>
      </c>
      <c r="H2323" s="36" t="inlineStr">
        <is>
          <t>Summit Backpack 45L</t>
        </is>
      </c>
      <c r="I2323" s="36" t="n">
        <v>4</v>
      </c>
      <c r="J2323" s="39" t="n">
        <v>154.27</v>
      </c>
      <c r="K2323" s="45" t="n">
        <v>0.05</v>
      </c>
      <c r="L2323" s="39" t="n">
        <v>78.36</v>
      </c>
      <c r="M2323" s="39">
        <f>I2323*J2323*(1-K2323)</f>
        <v/>
      </c>
      <c r="N2323" s="39">
        <f>I2323*L2323</f>
        <v/>
      </c>
      <c r="O2323" s="39">
        <f>M2323-N2323</f>
        <v/>
      </c>
      <c r="P2323" s="38">
        <f>IF(M2323=0,0,O2323/M2323)</f>
        <v/>
      </c>
      <c r="Q2323" s="36">
        <f>YEAR(B2323)</f>
        <v/>
      </c>
      <c r="R2323" s="36">
        <f>"Q"&amp;ROUNDUP(MONTH(B2323)/3,0)</f>
        <v/>
      </c>
      <c r="S2323" s="36">
        <f>MONTH(B2323)</f>
        <v/>
      </c>
      <c r="T2323" s="36">
        <f>TEXT(B2323,"mmm")</f>
        <v/>
      </c>
      <c r="U2323" s="36">
        <f>IF(AND(OR(sel_Region="All",C2323=sel_Region),OR(sel_Country="All",D2323=sel_Country),OR(sel_Channel="All",E2323=sel_Channel),OR(sel_Customer="All",F2323=sel_Customer),OR(sel_Category="All",G2323=sel_Category),OR(sel_Product="All",H2323=sel_Product),AND(S2323&gt;=m_From,S2323&lt;=m_To)),1,0)</f>
        <v/>
      </c>
      <c r="V2323" s="36">
        <f>IF(AND(OR(sel_Region="All",C2323=sel_Region),OR(sel_Channel="All",E2323=sel_Channel),OR(sel_Customer="All",F2323=sel_Customer),OR(sel_Category="All",G2323=sel_Category),OR(sel_Product="All",H2323=sel_Product),AND(S2323&gt;=m_From,S2323&lt;=m_To)),1,0)</f>
        <v/>
      </c>
      <c r="W2323" s="36">
        <f>IF(AND(OR(sel_Region="All",C2323=sel_Region),OR(sel_Country="All",D2323=sel_Country),OR(sel_Customer="All",F2323=sel_Customer),OR(sel_Category="All",G2323=sel_Category),OR(sel_Product="All",H2323=sel_Product),AND(S2323&gt;=m_From,S2323&lt;=m_To)),1,0)</f>
        <v/>
      </c>
      <c r="X2323" s="36">
        <f>IF(AND(OR(sel_Region="All",C2323=sel_Region),OR(sel_Country="All",D2323=sel_Country),OR(sel_Channel="All",E2323=sel_Channel),OR(sel_Category="All",G2323=sel_Category),OR(sel_Product="All",H2323=sel_Product),AND(S2323&gt;=m_From,S2323&lt;=m_To)),1,0)</f>
        <v/>
      </c>
      <c r="Y2323" s="36">
        <f>IF(AND(OR(sel_Region="All",C2323=sel_Region),OR(sel_Country="All",D2323=sel_Country),OR(sel_Channel="All",E2323=sel_Channel),OR(sel_Customer="All",F2323=sel_Customer),OR(sel_Product="All",H2323=sel_Product),AND(S2323&gt;=m_From,S2323&lt;=m_To)),1,0)</f>
        <v/>
      </c>
      <c r="Z2323" s="36">
        <f>IF(AND(OR(sel_Region="All",C2323=sel_Region),OR(sel_Country="All",D2323=sel_Country),OR(sel_Channel="All",E2323=sel_Channel),OR(sel_Customer="All",F2323=sel_Customer),OR(sel_Category="All",G2323=sel_Category),AND(S2323&gt;=m_From,S2323&lt;=m_To)),1,0)</f>
        <v/>
      </c>
      <c r="AA2323" s="36">
        <f>IF(AND(OR(sel_Region="All",C2323=sel_Region),OR(sel_Country="All",D2323=sel_Country),OR(sel_Channel="All",E2323=sel_Channel),OR(sel_Customer="All",F2323=sel_Customer),OR(sel_Category="All",G2323=sel_Category),OR(sel_Product="All",H2323=sel_Product)),1,0)</f>
        <v/>
      </c>
    </row>
    <row r="2324">
      <c r="A2324" s="36" t="inlineStr">
        <is>
          <t>04406</t>
        </is>
      </c>
      <c r="B2324" s="44" t="n">
        <v>46335</v>
      </c>
      <c r="C2324" s="36" t="inlineStr">
        <is>
          <t>Southern Europe</t>
        </is>
      </c>
      <c r="D2324" s="36" t="inlineStr">
        <is>
          <t>Spain</t>
        </is>
      </c>
      <c r="E2324" s="36" t="inlineStr">
        <is>
          <t>Online Store</t>
        </is>
      </c>
      <c r="F2324" s="36" t="inlineStr">
        <is>
          <t>New</t>
        </is>
      </c>
      <c r="G2324" s="36" t="inlineStr">
        <is>
          <t>Hiking</t>
        </is>
      </c>
      <c r="H2324" s="36" t="inlineStr">
        <is>
          <t>Trail Boots</t>
        </is>
      </c>
      <c r="I2324" s="36" t="n">
        <v>1</v>
      </c>
      <c r="J2324" s="39" t="n">
        <v>143.02</v>
      </c>
      <c r="K2324" s="45" t="n">
        <v>0.1</v>
      </c>
      <c r="L2324" s="39" t="n">
        <v>79.25</v>
      </c>
      <c r="M2324" s="39">
        <f>I2324*J2324*(1-K2324)</f>
        <v/>
      </c>
      <c r="N2324" s="39">
        <f>I2324*L2324</f>
        <v/>
      </c>
      <c r="O2324" s="39">
        <f>M2324-N2324</f>
        <v/>
      </c>
      <c r="P2324" s="38">
        <f>IF(M2324=0,0,O2324/M2324)</f>
        <v/>
      </c>
      <c r="Q2324" s="36">
        <f>YEAR(B2324)</f>
        <v/>
      </c>
      <c r="R2324" s="36">
        <f>"Q"&amp;ROUNDUP(MONTH(B2324)/3,0)</f>
        <v/>
      </c>
      <c r="S2324" s="36">
        <f>MONTH(B2324)</f>
        <v/>
      </c>
      <c r="T2324" s="36">
        <f>TEXT(B2324,"mmm")</f>
        <v/>
      </c>
      <c r="U2324" s="36">
        <f>IF(AND(OR(sel_Region="All",C2324=sel_Region),OR(sel_Country="All",D2324=sel_Country),OR(sel_Channel="All",E2324=sel_Channel),OR(sel_Customer="All",F2324=sel_Customer),OR(sel_Category="All",G2324=sel_Category),OR(sel_Product="All",H2324=sel_Product),AND(S2324&gt;=m_From,S2324&lt;=m_To)),1,0)</f>
        <v/>
      </c>
      <c r="V2324" s="36">
        <f>IF(AND(OR(sel_Region="All",C2324=sel_Region),OR(sel_Channel="All",E2324=sel_Channel),OR(sel_Customer="All",F2324=sel_Customer),OR(sel_Category="All",G2324=sel_Category),OR(sel_Product="All",H2324=sel_Product),AND(S2324&gt;=m_From,S2324&lt;=m_To)),1,0)</f>
        <v/>
      </c>
      <c r="W2324" s="36">
        <f>IF(AND(OR(sel_Region="All",C2324=sel_Region),OR(sel_Country="All",D2324=sel_Country),OR(sel_Customer="All",F2324=sel_Customer),OR(sel_Category="All",G2324=sel_Category),OR(sel_Product="All",H2324=sel_Product),AND(S2324&gt;=m_From,S2324&lt;=m_To)),1,0)</f>
        <v/>
      </c>
      <c r="X2324" s="36">
        <f>IF(AND(OR(sel_Region="All",C2324=sel_Region),OR(sel_Country="All",D2324=sel_Country),OR(sel_Channel="All",E2324=sel_Channel),OR(sel_Category="All",G2324=sel_Category),OR(sel_Product="All",H2324=sel_Product),AND(S2324&gt;=m_From,S2324&lt;=m_To)),1,0)</f>
        <v/>
      </c>
      <c r="Y2324" s="36">
        <f>IF(AND(OR(sel_Region="All",C2324=sel_Region),OR(sel_Country="All",D2324=sel_Country),OR(sel_Channel="All",E2324=sel_Channel),OR(sel_Customer="All",F2324=sel_Customer),OR(sel_Product="All",H2324=sel_Product),AND(S2324&gt;=m_From,S2324&lt;=m_To)),1,0)</f>
        <v/>
      </c>
      <c r="Z2324" s="36">
        <f>IF(AND(OR(sel_Region="All",C2324=sel_Region),OR(sel_Country="All",D2324=sel_Country),OR(sel_Channel="All",E2324=sel_Channel),OR(sel_Customer="All",F2324=sel_Customer),OR(sel_Category="All",G2324=sel_Category),AND(S2324&gt;=m_From,S2324&lt;=m_To)),1,0)</f>
        <v/>
      </c>
      <c r="AA2324" s="36">
        <f>IF(AND(OR(sel_Region="All",C2324=sel_Region),OR(sel_Country="All",D2324=sel_Country),OR(sel_Channel="All",E2324=sel_Channel),OR(sel_Customer="All",F2324=sel_Customer),OR(sel_Category="All",G2324=sel_Category),OR(sel_Product="All",H2324=sel_Product)),1,0)</f>
        <v/>
      </c>
    </row>
    <row r="2325">
      <c r="A2325" s="36" t="inlineStr">
        <is>
          <t>04550</t>
        </is>
      </c>
      <c r="B2325" s="44" t="n">
        <v>46335</v>
      </c>
      <c r="C2325" s="36" t="inlineStr">
        <is>
          <t>Northern Europe</t>
        </is>
      </c>
      <c r="D2325" s="36" t="inlineStr">
        <is>
          <t>Finland</t>
        </is>
      </c>
      <c r="E2325" s="36" t="inlineStr">
        <is>
          <t>Retail Partners</t>
        </is>
      </c>
      <c r="F2325" s="36" t="inlineStr">
        <is>
          <t>Returning</t>
        </is>
      </c>
      <c r="G2325" s="36" t="inlineStr">
        <is>
          <t>Fitness</t>
        </is>
      </c>
      <c r="H2325" s="36" t="inlineStr">
        <is>
          <t>Recovery Roller</t>
        </is>
      </c>
      <c r="I2325" s="36" t="n">
        <v>1</v>
      </c>
      <c r="J2325" s="39" t="n">
        <v>35.36</v>
      </c>
      <c r="K2325" s="45" t="n">
        <v>0</v>
      </c>
      <c r="L2325" s="39" t="n">
        <v>13.74</v>
      </c>
      <c r="M2325" s="39">
        <f>I2325*J2325*(1-K2325)</f>
        <v/>
      </c>
      <c r="N2325" s="39">
        <f>I2325*L2325</f>
        <v/>
      </c>
      <c r="O2325" s="39">
        <f>M2325-N2325</f>
        <v/>
      </c>
      <c r="P2325" s="38">
        <f>IF(M2325=0,0,O2325/M2325)</f>
        <v/>
      </c>
      <c r="Q2325" s="36">
        <f>YEAR(B2325)</f>
        <v/>
      </c>
      <c r="R2325" s="36">
        <f>"Q"&amp;ROUNDUP(MONTH(B2325)/3,0)</f>
        <v/>
      </c>
      <c r="S2325" s="36">
        <f>MONTH(B2325)</f>
        <v/>
      </c>
      <c r="T2325" s="36">
        <f>TEXT(B2325,"mmm")</f>
        <v/>
      </c>
      <c r="U2325" s="36">
        <f>IF(AND(OR(sel_Region="All",C2325=sel_Region),OR(sel_Country="All",D2325=sel_Country),OR(sel_Channel="All",E2325=sel_Channel),OR(sel_Customer="All",F2325=sel_Customer),OR(sel_Category="All",G2325=sel_Category),OR(sel_Product="All",H2325=sel_Product),AND(S2325&gt;=m_From,S2325&lt;=m_To)),1,0)</f>
        <v/>
      </c>
      <c r="V2325" s="36">
        <f>IF(AND(OR(sel_Region="All",C2325=sel_Region),OR(sel_Channel="All",E2325=sel_Channel),OR(sel_Customer="All",F2325=sel_Customer),OR(sel_Category="All",G2325=sel_Category),OR(sel_Product="All",H2325=sel_Product),AND(S2325&gt;=m_From,S2325&lt;=m_To)),1,0)</f>
        <v/>
      </c>
      <c r="W2325" s="36">
        <f>IF(AND(OR(sel_Region="All",C2325=sel_Region),OR(sel_Country="All",D2325=sel_Country),OR(sel_Customer="All",F2325=sel_Customer),OR(sel_Category="All",G2325=sel_Category),OR(sel_Product="All",H2325=sel_Product),AND(S2325&gt;=m_From,S2325&lt;=m_To)),1,0)</f>
        <v/>
      </c>
      <c r="X2325" s="36">
        <f>IF(AND(OR(sel_Region="All",C2325=sel_Region),OR(sel_Country="All",D2325=sel_Country),OR(sel_Channel="All",E2325=sel_Channel),OR(sel_Category="All",G2325=sel_Category),OR(sel_Product="All",H2325=sel_Product),AND(S2325&gt;=m_From,S2325&lt;=m_To)),1,0)</f>
        <v/>
      </c>
      <c r="Y2325" s="36">
        <f>IF(AND(OR(sel_Region="All",C2325=sel_Region),OR(sel_Country="All",D2325=sel_Country),OR(sel_Channel="All",E2325=sel_Channel),OR(sel_Customer="All",F2325=sel_Customer),OR(sel_Product="All",H2325=sel_Product),AND(S2325&gt;=m_From,S2325&lt;=m_To)),1,0)</f>
        <v/>
      </c>
      <c r="Z2325" s="36">
        <f>IF(AND(OR(sel_Region="All",C2325=sel_Region),OR(sel_Country="All",D2325=sel_Country),OR(sel_Channel="All",E2325=sel_Channel),OR(sel_Customer="All",F2325=sel_Customer),OR(sel_Category="All",G2325=sel_Category),AND(S2325&gt;=m_From,S2325&lt;=m_To)),1,0)</f>
        <v/>
      </c>
      <c r="AA2325" s="36">
        <f>IF(AND(OR(sel_Region="All",C2325=sel_Region),OR(sel_Country="All",D2325=sel_Country),OR(sel_Channel="All",E2325=sel_Channel),OR(sel_Customer="All",F2325=sel_Customer),OR(sel_Category="All",G2325=sel_Category),OR(sel_Product="All",H2325=sel_Product)),1,0)</f>
        <v/>
      </c>
    </row>
    <row r="2326">
      <c r="A2326" s="36" t="inlineStr">
        <is>
          <t>04855</t>
        </is>
      </c>
      <c r="B2326" s="44" t="n">
        <v>46335</v>
      </c>
      <c r="C2326" s="36" t="inlineStr">
        <is>
          <t>Central Europe</t>
        </is>
      </c>
      <c r="D2326" s="36" t="inlineStr">
        <is>
          <t>Austria</t>
        </is>
      </c>
      <c r="E2326" s="36" t="inlineStr">
        <is>
          <t>Online Store</t>
        </is>
      </c>
      <c r="F2326" s="36" t="inlineStr">
        <is>
          <t>Returning</t>
        </is>
      </c>
      <c r="G2326" s="36" t="inlineStr">
        <is>
          <t>Hiking</t>
        </is>
      </c>
      <c r="H2326" s="36" t="inlineStr">
        <is>
          <t>Summit Backpack 45L</t>
        </is>
      </c>
      <c r="I2326" s="36" t="n">
        <v>1</v>
      </c>
      <c r="J2326" s="39" t="n">
        <v>156.82</v>
      </c>
      <c r="K2326" s="45" t="n">
        <v>0.1</v>
      </c>
      <c r="L2326" s="39" t="n">
        <v>77.12</v>
      </c>
      <c r="M2326" s="39">
        <f>I2326*J2326*(1-K2326)</f>
        <v/>
      </c>
      <c r="N2326" s="39">
        <f>I2326*L2326</f>
        <v/>
      </c>
      <c r="O2326" s="39">
        <f>M2326-N2326</f>
        <v/>
      </c>
      <c r="P2326" s="38">
        <f>IF(M2326=0,0,O2326/M2326)</f>
        <v/>
      </c>
      <c r="Q2326" s="36">
        <f>YEAR(B2326)</f>
        <v/>
      </c>
      <c r="R2326" s="36">
        <f>"Q"&amp;ROUNDUP(MONTH(B2326)/3,0)</f>
        <v/>
      </c>
      <c r="S2326" s="36">
        <f>MONTH(B2326)</f>
        <v/>
      </c>
      <c r="T2326" s="36">
        <f>TEXT(B2326,"mmm")</f>
        <v/>
      </c>
      <c r="U2326" s="36">
        <f>IF(AND(OR(sel_Region="All",C2326=sel_Region),OR(sel_Country="All",D2326=sel_Country),OR(sel_Channel="All",E2326=sel_Channel),OR(sel_Customer="All",F2326=sel_Customer),OR(sel_Category="All",G2326=sel_Category),OR(sel_Product="All",H2326=sel_Product),AND(S2326&gt;=m_From,S2326&lt;=m_To)),1,0)</f>
        <v/>
      </c>
      <c r="V2326" s="36">
        <f>IF(AND(OR(sel_Region="All",C2326=sel_Region),OR(sel_Channel="All",E2326=sel_Channel),OR(sel_Customer="All",F2326=sel_Customer),OR(sel_Category="All",G2326=sel_Category),OR(sel_Product="All",H2326=sel_Product),AND(S2326&gt;=m_From,S2326&lt;=m_To)),1,0)</f>
        <v/>
      </c>
      <c r="W2326" s="36">
        <f>IF(AND(OR(sel_Region="All",C2326=sel_Region),OR(sel_Country="All",D2326=sel_Country),OR(sel_Customer="All",F2326=sel_Customer),OR(sel_Category="All",G2326=sel_Category),OR(sel_Product="All",H2326=sel_Product),AND(S2326&gt;=m_From,S2326&lt;=m_To)),1,0)</f>
        <v/>
      </c>
      <c r="X2326" s="36">
        <f>IF(AND(OR(sel_Region="All",C2326=sel_Region),OR(sel_Country="All",D2326=sel_Country),OR(sel_Channel="All",E2326=sel_Channel),OR(sel_Category="All",G2326=sel_Category),OR(sel_Product="All",H2326=sel_Product),AND(S2326&gt;=m_From,S2326&lt;=m_To)),1,0)</f>
        <v/>
      </c>
      <c r="Y2326" s="36">
        <f>IF(AND(OR(sel_Region="All",C2326=sel_Region),OR(sel_Country="All",D2326=sel_Country),OR(sel_Channel="All",E2326=sel_Channel),OR(sel_Customer="All",F2326=sel_Customer),OR(sel_Product="All",H2326=sel_Product),AND(S2326&gt;=m_From,S2326&lt;=m_To)),1,0)</f>
        <v/>
      </c>
      <c r="Z2326" s="36">
        <f>IF(AND(OR(sel_Region="All",C2326=sel_Region),OR(sel_Country="All",D2326=sel_Country),OR(sel_Channel="All",E2326=sel_Channel),OR(sel_Customer="All",F2326=sel_Customer),OR(sel_Category="All",G2326=sel_Category),AND(S2326&gt;=m_From,S2326&lt;=m_To)),1,0)</f>
        <v/>
      </c>
      <c r="AA2326" s="36">
        <f>IF(AND(OR(sel_Region="All",C2326=sel_Region),OR(sel_Country="All",D2326=sel_Country),OR(sel_Channel="All",E2326=sel_Channel),OR(sel_Customer="All",F2326=sel_Customer),OR(sel_Category="All",G2326=sel_Category),OR(sel_Product="All",H2326=sel_Product)),1,0)</f>
        <v/>
      </c>
    </row>
    <row r="2327">
      <c r="A2327" s="36" t="inlineStr">
        <is>
          <t>05151</t>
        </is>
      </c>
      <c r="B2327" s="44" t="n">
        <v>46335</v>
      </c>
      <c r="C2327" s="36" t="inlineStr">
        <is>
          <t>Northern Europe</t>
        </is>
      </c>
      <c r="D2327" s="36" t="inlineStr">
        <is>
          <t>Norway</t>
        </is>
      </c>
      <c r="E2327" s="36" t="inlineStr">
        <is>
          <t>Corporate</t>
        </is>
      </c>
      <c r="F2327" s="36" t="inlineStr">
        <is>
          <t>Business</t>
        </is>
      </c>
      <c r="G2327" s="36" t="inlineStr">
        <is>
          <t>Fitness</t>
        </is>
      </c>
      <c r="H2327" s="36" t="inlineStr">
        <is>
          <t>Resistance Band Set</t>
        </is>
      </c>
      <c r="I2327" s="36" t="n">
        <v>10</v>
      </c>
      <c r="J2327" s="39" t="n">
        <v>40.98</v>
      </c>
      <c r="K2327" s="45" t="n">
        <v>0.1</v>
      </c>
      <c r="L2327" s="39" t="n">
        <v>14.6</v>
      </c>
      <c r="M2327" s="39">
        <f>I2327*J2327*(1-K2327)</f>
        <v/>
      </c>
      <c r="N2327" s="39">
        <f>I2327*L2327</f>
        <v/>
      </c>
      <c r="O2327" s="39">
        <f>M2327-N2327</f>
        <v/>
      </c>
      <c r="P2327" s="38">
        <f>IF(M2327=0,0,O2327/M2327)</f>
        <v/>
      </c>
      <c r="Q2327" s="36">
        <f>YEAR(B2327)</f>
        <v/>
      </c>
      <c r="R2327" s="36">
        <f>"Q"&amp;ROUNDUP(MONTH(B2327)/3,0)</f>
        <v/>
      </c>
      <c r="S2327" s="36">
        <f>MONTH(B2327)</f>
        <v/>
      </c>
      <c r="T2327" s="36">
        <f>TEXT(B2327,"mmm")</f>
        <v/>
      </c>
      <c r="U2327" s="36">
        <f>IF(AND(OR(sel_Region="All",C2327=sel_Region),OR(sel_Country="All",D2327=sel_Country),OR(sel_Channel="All",E2327=sel_Channel),OR(sel_Customer="All",F2327=sel_Customer),OR(sel_Category="All",G2327=sel_Category),OR(sel_Product="All",H2327=sel_Product),AND(S2327&gt;=m_From,S2327&lt;=m_To)),1,0)</f>
        <v/>
      </c>
      <c r="V2327" s="36">
        <f>IF(AND(OR(sel_Region="All",C2327=sel_Region),OR(sel_Channel="All",E2327=sel_Channel),OR(sel_Customer="All",F2327=sel_Customer),OR(sel_Category="All",G2327=sel_Category),OR(sel_Product="All",H2327=sel_Product),AND(S2327&gt;=m_From,S2327&lt;=m_To)),1,0)</f>
        <v/>
      </c>
      <c r="W2327" s="36">
        <f>IF(AND(OR(sel_Region="All",C2327=sel_Region),OR(sel_Country="All",D2327=sel_Country),OR(sel_Customer="All",F2327=sel_Customer),OR(sel_Category="All",G2327=sel_Category),OR(sel_Product="All",H2327=sel_Product),AND(S2327&gt;=m_From,S2327&lt;=m_To)),1,0)</f>
        <v/>
      </c>
      <c r="X2327" s="36">
        <f>IF(AND(OR(sel_Region="All",C2327=sel_Region),OR(sel_Country="All",D2327=sel_Country),OR(sel_Channel="All",E2327=sel_Channel),OR(sel_Category="All",G2327=sel_Category),OR(sel_Product="All",H2327=sel_Product),AND(S2327&gt;=m_From,S2327&lt;=m_To)),1,0)</f>
        <v/>
      </c>
      <c r="Y2327" s="36">
        <f>IF(AND(OR(sel_Region="All",C2327=sel_Region),OR(sel_Country="All",D2327=sel_Country),OR(sel_Channel="All",E2327=sel_Channel),OR(sel_Customer="All",F2327=sel_Customer),OR(sel_Product="All",H2327=sel_Product),AND(S2327&gt;=m_From,S2327&lt;=m_To)),1,0)</f>
        <v/>
      </c>
      <c r="Z2327" s="36">
        <f>IF(AND(OR(sel_Region="All",C2327=sel_Region),OR(sel_Country="All",D2327=sel_Country),OR(sel_Channel="All",E2327=sel_Channel),OR(sel_Customer="All",F2327=sel_Customer),OR(sel_Category="All",G2327=sel_Category),AND(S2327&gt;=m_From,S2327&lt;=m_To)),1,0)</f>
        <v/>
      </c>
      <c r="AA2327" s="36">
        <f>IF(AND(OR(sel_Region="All",C2327=sel_Region),OR(sel_Country="All",D2327=sel_Country),OR(sel_Channel="All",E2327=sel_Channel),OR(sel_Customer="All",F2327=sel_Customer),OR(sel_Category="All",G2327=sel_Category),OR(sel_Product="All",H2327=sel_Product)),1,0)</f>
        <v/>
      </c>
    </row>
    <row r="2328">
      <c r="A2328" s="36" t="inlineStr">
        <is>
          <t>05189</t>
        </is>
      </c>
      <c r="B2328" s="44" t="n">
        <v>46335</v>
      </c>
      <c r="C2328" s="36" t="inlineStr">
        <is>
          <t>Western Europe</t>
        </is>
      </c>
      <c r="D2328" s="36" t="inlineStr">
        <is>
          <t>United Kingdom</t>
        </is>
      </c>
      <c r="E2328" s="36" t="inlineStr">
        <is>
          <t>Retail Partners</t>
        </is>
      </c>
      <c r="F2328" s="36" t="inlineStr">
        <is>
          <t>New</t>
        </is>
      </c>
      <c r="G2328" s="36" t="inlineStr">
        <is>
          <t>Hiking</t>
        </is>
      </c>
      <c r="H2328" s="36" t="inlineStr">
        <is>
          <t>Trail Boots</t>
        </is>
      </c>
      <c r="I2328" s="36" t="n">
        <v>3</v>
      </c>
      <c r="J2328" s="39" t="n">
        <v>144.23</v>
      </c>
      <c r="K2328" s="45" t="n">
        <v>0</v>
      </c>
      <c r="L2328" s="39" t="n">
        <v>80.95999999999999</v>
      </c>
      <c r="M2328" s="39">
        <f>I2328*J2328*(1-K2328)</f>
        <v/>
      </c>
      <c r="N2328" s="39">
        <f>I2328*L2328</f>
        <v/>
      </c>
      <c r="O2328" s="39">
        <f>M2328-N2328</f>
        <v/>
      </c>
      <c r="P2328" s="38">
        <f>IF(M2328=0,0,O2328/M2328)</f>
        <v/>
      </c>
      <c r="Q2328" s="36">
        <f>YEAR(B2328)</f>
        <v/>
      </c>
      <c r="R2328" s="36">
        <f>"Q"&amp;ROUNDUP(MONTH(B2328)/3,0)</f>
        <v/>
      </c>
      <c r="S2328" s="36">
        <f>MONTH(B2328)</f>
        <v/>
      </c>
      <c r="T2328" s="36">
        <f>TEXT(B2328,"mmm")</f>
        <v/>
      </c>
      <c r="U2328" s="36">
        <f>IF(AND(OR(sel_Region="All",C2328=sel_Region),OR(sel_Country="All",D2328=sel_Country),OR(sel_Channel="All",E2328=sel_Channel),OR(sel_Customer="All",F2328=sel_Customer),OR(sel_Category="All",G2328=sel_Category),OR(sel_Product="All",H2328=sel_Product),AND(S2328&gt;=m_From,S2328&lt;=m_To)),1,0)</f>
        <v/>
      </c>
      <c r="V2328" s="36">
        <f>IF(AND(OR(sel_Region="All",C2328=sel_Region),OR(sel_Channel="All",E2328=sel_Channel),OR(sel_Customer="All",F2328=sel_Customer),OR(sel_Category="All",G2328=sel_Category),OR(sel_Product="All",H2328=sel_Product),AND(S2328&gt;=m_From,S2328&lt;=m_To)),1,0)</f>
        <v/>
      </c>
      <c r="W2328" s="36">
        <f>IF(AND(OR(sel_Region="All",C2328=sel_Region),OR(sel_Country="All",D2328=sel_Country),OR(sel_Customer="All",F2328=sel_Customer),OR(sel_Category="All",G2328=sel_Category),OR(sel_Product="All",H2328=sel_Product),AND(S2328&gt;=m_From,S2328&lt;=m_To)),1,0)</f>
        <v/>
      </c>
      <c r="X2328" s="36">
        <f>IF(AND(OR(sel_Region="All",C2328=sel_Region),OR(sel_Country="All",D2328=sel_Country),OR(sel_Channel="All",E2328=sel_Channel),OR(sel_Category="All",G2328=sel_Category),OR(sel_Product="All",H2328=sel_Product),AND(S2328&gt;=m_From,S2328&lt;=m_To)),1,0)</f>
        <v/>
      </c>
      <c r="Y2328" s="36">
        <f>IF(AND(OR(sel_Region="All",C2328=sel_Region),OR(sel_Country="All",D2328=sel_Country),OR(sel_Channel="All",E2328=sel_Channel),OR(sel_Customer="All",F2328=sel_Customer),OR(sel_Product="All",H2328=sel_Product),AND(S2328&gt;=m_From,S2328&lt;=m_To)),1,0)</f>
        <v/>
      </c>
      <c r="Z2328" s="36">
        <f>IF(AND(OR(sel_Region="All",C2328=sel_Region),OR(sel_Country="All",D2328=sel_Country),OR(sel_Channel="All",E2328=sel_Channel),OR(sel_Customer="All",F2328=sel_Customer),OR(sel_Category="All",G2328=sel_Category),AND(S2328&gt;=m_From,S2328&lt;=m_To)),1,0)</f>
        <v/>
      </c>
      <c r="AA2328" s="36">
        <f>IF(AND(OR(sel_Region="All",C2328=sel_Region),OR(sel_Country="All",D2328=sel_Country),OR(sel_Channel="All",E2328=sel_Channel),OR(sel_Customer="All",F2328=sel_Customer),OR(sel_Category="All",G2328=sel_Category),OR(sel_Product="All",H2328=sel_Product)),1,0)</f>
        <v/>
      </c>
    </row>
    <row r="2329">
      <c r="A2329" s="36" t="inlineStr">
        <is>
          <t>00726</t>
        </is>
      </c>
      <c r="B2329" s="44" t="n">
        <v>46336</v>
      </c>
      <c r="C2329" s="36" t="inlineStr">
        <is>
          <t>Western Europe</t>
        </is>
      </c>
      <c r="D2329" s="36" t="inlineStr">
        <is>
          <t>Netherlands</t>
        </is>
      </c>
      <c r="E2329" s="36" t="inlineStr">
        <is>
          <t>Online Store</t>
        </is>
      </c>
      <c r="F2329" s="36" t="inlineStr">
        <is>
          <t>New</t>
        </is>
      </c>
      <c r="G2329" s="36" t="inlineStr">
        <is>
          <t>Hiking</t>
        </is>
      </c>
      <c r="H2329" s="36" t="inlineStr">
        <is>
          <t>Hiking Daypack 20L</t>
        </is>
      </c>
      <c r="I2329" s="36" t="n">
        <v>1</v>
      </c>
      <c r="J2329" s="39" t="n">
        <v>90.23</v>
      </c>
      <c r="K2329" s="45" t="n">
        <v>0</v>
      </c>
      <c r="L2329" s="39" t="n">
        <v>44.06</v>
      </c>
      <c r="M2329" s="39">
        <f>I2329*J2329*(1-K2329)</f>
        <v/>
      </c>
      <c r="N2329" s="39">
        <f>I2329*L2329</f>
        <v/>
      </c>
      <c r="O2329" s="39">
        <f>M2329-N2329</f>
        <v/>
      </c>
      <c r="P2329" s="38">
        <f>IF(M2329=0,0,O2329/M2329)</f>
        <v/>
      </c>
      <c r="Q2329" s="36">
        <f>YEAR(B2329)</f>
        <v/>
      </c>
      <c r="R2329" s="36">
        <f>"Q"&amp;ROUNDUP(MONTH(B2329)/3,0)</f>
        <v/>
      </c>
      <c r="S2329" s="36">
        <f>MONTH(B2329)</f>
        <v/>
      </c>
      <c r="T2329" s="36">
        <f>TEXT(B2329,"mmm")</f>
        <v/>
      </c>
      <c r="U2329" s="36">
        <f>IF(AND(OR(sel_Region="All",C2329=sel_Region),OR(sel_Country="All",D2329=sel_Country),OR(sel_Channel="All",E2329=sel_Channel),OR(sel_Customer="All",F2329=sel_Customer),OR(sel_Category="All",G2329=sel_Category),OR(sel_Product="All",H2329=sel_Product),AND(S2329&gt;=m_From,S2329&lt;=m_To)),1,0)</f>
        <v/>
      </c>
      <c r="V2329" s="36">
        <f>IF(AND(OR(sel_Region="All",C2329=sel_Region),OR(sel_Channel="All",E2329=sel_Channel),OR(sel_Customer="All",F2329=sel_Customer),OR(sel_Category="All",G2329=sel_Category),OR(sel_Product="All",H2329=sel_Product),AND(S2329&gt;=m_From,S2329&lt;=m_To)),1,0)</f>
        <v/>
      </c>
      <c r="W2329" s="36">
        <f>IF(AND(OR(sel_Region="All",C2329=sel_Region),OR(sel_Country="All",D2329=sel_Country),OR(sel_Customer="All",F2329=sel_Customer),OR(sel_Category="All",G2329=sel_Category),OR(sel_Product="All",H2329=sel_Product),AND(S2329&gt;=m_From,S2329&lt;=m_To)),1,0)</f>
        <v/>
      </c>
      <c r="X2329" s="36">
        <f>IF(AND(OR(sel_Region="All",C2329=sel_Region),OR(sel_Country="All",D2329=sel_Country),OR(sel_Channel="All",E2329=sel_Channel),OR(sel_Category="All",G2329=sel_Category),OR(sel_Product="All",H2329=sel_Product),AND(S2329&gt;=m_From,S2329&lt;=m_To)),1,0)</f>
        <v/>
      </c>
      <c r="Y2329" s="36">
        <f>IF(AND(OR(sel_Region="All",C2329=sel_Region),OR(sel_Country="All",D2329=sel_Country),OR(sel_Channel="All",E2329=sel_Channel),OR(sel_Customer="All",F2329=sel_Customer),OR(sel_Product="All",H2329=sel_Product),AND(S2329&gt;=m_From,S2329&lt;=m_To)),1,0)</f>
        <v/>
      </c>
      <c r="Z2329" s="36">
        <f>IF(AND(OR(sel_Region="All",C2329=sel_Region),OR(sel_Country="All",D2329=sel_Country),OR(sel_Channel="All",E2329=sel_Channel),OR(sel_Customer="All",F2329=sel_Customer),OR(sel_Category="All",G2329=sel_Category),AND(S2329&gt;=m_From,S2329&lt;=m_To)),1,0)</f>
        <v/>
      </c>
      <c r="AA2329" s="36">
        <f>IF(AND(OR(sel_Region="All",C2329=sel_Region),OR(sel_Country="All",D2329=sel_Country),OR(sel_Channel="All",E2329=sel_Channel),OR(sel_Customer="All",F2329=sel_Customer),OR(sel_Category="All",G2329=sel_Category),OR(sel_Product="All",H2329=sel_Product)),1,0)</f>
        <v/>
      </c>
    </row>
    <row r="2330">
      <c r="A2330" s="36" t="inlineStr">
        <is>
          <t>02154</t>
        </is>
      </c>
      <c r="B2330" s="44" t="n">
        <v>46336</v>
      </c>
      <c r="C2330" s="36" t="inlineStr">
        <is>
          <t>Western Europe</t>
        </is>
      </c>
      <c r="D2330" s="36" t="inlineStr">
        <is>
          <t>Netherlands</t>
        </is>
      </c>
      <c r="E2330" s="36" t="inlineStr">
        <is>
          <t>Online Store</t>
        </is>
      </c>
      <c r="F2330" s="36" t="inlineStr">
        <is>
          <t>New</t>
        </is>
      </c>
      <c r="G2330" s="36" t="inlineStr">
        <is>
          <t>Hiking</t>
        </is>
      </c>
      <c r="H2330" s="36" t="inlineStr">
        <is>
          <t>Summit Backpack 45L</t>
        </is>
      </c>
      <c r="I2330" s="36" t="n">
        <v>5</v>
      </c>
      <c r="J2330" s="39" t="n">
        <v>152.82</v>
      </c>
      <c r="K2330" s="45" t="n">
        <v>0.1</v>
      </c>
      <c r="L2330" s="39" t="n">
        <v>80.09</v>
      </c>
      <c r="M2330" s="39">
        <f>I2330*J2330*(1-K2330)</f>
        <v/>
      </c>
      <c r="N2330" s="39">
        <f>I2330*L2330</f>
        <v/>
      </c>
      <c r="O2330" s="39">
        <f>M2330-N2330</f>
        <v/>
      </c>
      <c r="P2330" s="38">
        <f>IF(M2330=0,0,O2330/M2330)</f>
        <v/>
      </c>
      <c r="Q2330" s="36">
        <f>YEAR(B2330)</f>
        <v/>
      </c>
      <c r="R2330" s="36">
        <f>"Q"&amp;ROUNDUP(MONTH(B2330)/3,0)</f>
        <v/>
      </c>
      <c r="S2330" s="36">
        <f>MONTH(B2330)</f>
        <v/>
      </c>
      <c r="T2330" s="36">
        <f>TEXT(B2330,"mmm")</f>
        <v/>
      </c>
      <c r="U2330" s="36">
        <f>IF(AND(OR(sel_Region="All",C2330=sel_Region),OR(sel_Country="All",D2330=sel_Country),OR(sel_Channel="All",E2330=sel_Channel),OR(sel_Customer="All",F2330=sel_Customer),OR(sel_Category="All",G2330=sel_Category),OR(sel_Product="All",H2330=sel_Product),AND(S2330&gt;=m_From,S2330&lt;=m_To)),1,0)</f>
        <v/>
      </c>
      <c r="V2330" s="36">
        <f>IF(AND(OR(sel_Region="All",C2330=sel_Region),OR(sel_Channel="All",E2330=sel_Channel),OR(sel_Customer="All",F2330=sel_Customer),OR(sel_Category="All",G2330=sel_Category),OR(sel_Product="All",H2330=sel_Product),AND(S2330&gt;=m_From,S2330&lt;=m_To)),1,0)</f>
        <v/>
      </c>
      <c r="W2330" s="36">
        <f>IF(AND(OR(sel_Region="All",C2330=sel_Region),OR(sel_Country="All",D2330=sel_Country),OR(sel_Customer="All",F2330=sel_Customer),OR(sel_Category="All",G2330=sel_Category),OR(sel_Product="All",H2330=sel_Product),AND(S2330&gt;=m_From,S2330&lt;=m_To)),1,0)</f>
        <v/>
      </c>
      <c r="X2330" s="36">
        <f>IF(AND(OR(sel_Region="All",C2330=sel_Region),OR(sel_Country="All",D2330=sel_Country),OR(sel_Channel="All",E2330=sel_Channel),OR(sel_Category="All",G2330=sel_Category),OR(sel_Product="All",H2330=sel_Product),AND(S2330&gt;=m_From,S2330&lt;=m_To)),1,0)</f>
        <v/>
      </c>
      <c r="Y2330" s="36">
        <f>IF(AND(OR(sel_Region="All",C2330=sel_Region),OR(sel_Country="All",D2330=sel_Country),OR(sel_Channel="All",E2330=sel_Channel),OR(sel_Customer="All",F2330=sel_Customer),OR(sel_Product="All",H2330=sel_Product),AND(S2330&gt;=m_From,S2330&lt;=m_To)),1,0)</f>
        <v/>
      </c>
      <c r="Z2330" s="36">
        <f>IF(AND(OR(sel_Region="All",C2330=sel_Region),OR(sel_Country="All",D2330=sel_Country),OR(sel_Channel="All",E2330=sel_Channel),OR(sel_Customer="All",F2330=sel_Customer),OR(sel_Category="All",G2330=sel_Category),AND(S2330&gt;=m_From,S2330&lt;=m_To)),1,0)</f>
        <v/>
      </c>
      <c r="AA2330" s="36">
        <f>IF(AND(OR(sel_Region="All",C2330=sel_Region),OR(sel_Country="All",D2330=sel_Country),OR(sel_Channel="All",E2330=sel_Channel),OR(sel_Customer="All",F2330=sel_Customer),OR(sel_Category="All",G2330=sel_Category),OR(sel_Product="All",H2330=sel_Product)),1,0)</f>
        <v/>
      </c>
    </row>
    <row r="2331">
      <c r="A2331" s="36" t="inlineStr">
        <is>
          <t>04403</t>
        </is>
      </c>
      <c r="B2331" s="44" t="n">
        <v>46336</v>
      </c>
      <c r="C2331" s="36" t="inlineStr">
        <is>
          <t>Southern Europe</t>
        </is>
      </c>
      <c r="D2331" s="36" t="inlineStr">
        <is>
          <t>Spain</t>
        </is>
      </c>
      <c r="E2331" s="36" t="inlineStr">
        <is>
          <t>Online Store</t>
        </is>
      </c>
      <c r="F2331" s="36" t="inlineStr">
        <is>
          <t>Business</t>
        </is>
      </c>
      <c r="G2331" s="36" t="inlineStr">
        <is>
          <t>Travel</t>
        </is>
      </c>
      <c r="H2331" s="36" t="inlineStr">
        <is>
          <t>Insulated Bottle</t>
        </is>
      </c>
      <c r="I2331" s="36" t="n">
        <v>2</v>
      </c>
      <c r="J2331" s="39" t="n">
        <v>36.61</v>
      </c>
      <c r="K2331" s="45" t="n">
        <v>0.05</v>
      </c>
      <c r="L2331" s="39" t="n">
        <v>13.31</v>
      </c>
      <c r="M2331" s="39">
        <f>I2331*J2331*(1-K2331)</f>
        <v/>
      </c>
      <c r="N2331" s="39">
        <f>I2331*L2331</f>
        <v/>
      </c>
      <c r="O2331" s="39">
        <f>M2331-N2331</f>
        <v/>
      </c>
      <c r="P2331" s="38">
        <f>IF(M2331=0,0,O2331/M2331)</f>
        <v/>
      </c>
      <c r="Q2331" s="36">
        <f>YEAR(B2331)</f>
        <v/>
      </c>
      <c r="R2331" s="36">
        <f>"Q"&amp;ROUNDUP(MONTH(B2331)/3,0)</f>
        <v/>
      </c>
      <c r="S2331" s="36">
        <f>MONTH(B2331)</f>
        <v/>
      </c>
      <c r="T2331" s="36">
        <f>TEXT(B2331,"mmm")</f>
        <v/>
      </c>
      <c r="U2331" s="36">
        <f>IF(AND(OR(sel_Region="All",C2331=sel_Region),OR(sel_Country="All",D2331=sel_Country),OR(sel_Channel="All",E2331=sel_Channel),OR(sel_Customer="All",F2331=sel_Customer),OR(sel_Category="All",G2331=sel_Category),OR(sel_Product="All",H2331=sel_Product),AND(S2331&gt;=m_From,S2331&lt;=m_To)),1,0)</f>
        <v/>
      </c>
      <c r="V2331" s="36">
        <f>IF(AND(OR(sel_Region="All",C2331=sel_Region),OR(sel_Channel="All",E2331=sel_Channel),OR(sel_Customer="All",F2331=sel_Customer),OR(sel_Category="All",G2331=sel_Category),OR(sel_Product="All",H2331=sel_Product),AND(S2331&gt;=m_From,S2331&lt;=m_To)),1,0)</f>
        <v/>
      </c>
      <c r="W2331" s="36">
        <f>IF(AND(OR(sel_Region="All",C2331=sel_Region),OR(sel_Country="All",D2331=sel_Country),OR(sel_Customer="All",F2331=sel_Customer),OR(sel_Category="All",G2331=sel_Category),OR(sel_Product="All",H2331=sel_Product),AND(S2331&gt;=m_From,S2331&lt;=m_To)),1,0)</f>
        <v/>
      </c>
      <c r="X2331" s="36">
        <f>IF(AND(OR(sel_Region="All",C2331=sel_Region),OR(sel_Country="All",D2331=sel_Country),OR(sel_Channel="All",E2331=sel_Channel),OR(sel_Category="All",G2331=sel_Category),OR(sel_Product="All",H2331=sel_Product),AND(S2331&gt;=m_From,S2331&lt;=m_To)),1,0)</f>
        <v/>
      </c>
      <c r="Y2331" s="36">
        <f>IF(AND(OR(sel_Region="All",C2331=sel_Region),OR(sel_Country="All",D2331=sel_Country),OR(sel_Channel="All",E2331=sel_Channel),OR(sel_Customer="All",F2331=sel_Customer),OR(sel_Product="All",H2331=sel_Product),AND(S2331&gt;=m_From,S2331&lt;=m_To)),1,0)</f>
        <v/>
      </c>
      <c r="Z2331" s="36">
        <f>IF(AND(OR(sel_Region="All",C2331=sel_Region),OR(sel_Country="All",D2331=sel_Country),OR(sel_Channel="All",E2331=sel_Channel),OR(sel_Customer="All",F2331=sel_Customer),OR(sel_Category="All",G2331=sel_Category),AND(S2331&gt;=m_From,S2331&lt;=m_To)),1,0)</f>
        <v/>
      </c>
      <c r="AA2331" s="36">
        <f>IF(AND(OR(sel_Region="All",C2331=sel_Region),OR(sel_Country="All",D2331=sel_Country),OR(sel_Channel="All",E2331=sel_Channel),OR(sel_Customer="All",F2331=sel_Customer),OR(sel_Category="All",G2331=sel_Category),OR(sel_Product="All",H2331=sel_Product)),1,0)</f>
        <v/>
      </c>
    </row>
    <row r="2332">
      <c r="A2332" s="36" t="inlineStr">
        <is>
          <t>04924</t>
        </is>
      </c>
      <c r="B2332" s="44" t="n">
        <v>46336</v>
      </c>
      <c r="C2332" s="36" t="inlineStr">
        <is>
          <t>Western Europe</t>
        </is>
      </c>
      <c r="D2332" s="36" t="inlineStr">
        <is>
          <t>United Kingdom</t>
        </is>
      </c>
      <c r="E2332" s="36" t="inlineStr">
        <is>
          <t>Corporate</t>
        </is>
      </c>
      <c r="F2332" s="36" t="inlineStr">
        <is>
          <t>Business</t>
        </is>
      </c>
      <c r="G2332" s="36" t="inlineStr">
        <is>
          <t>Hiking</t>
        </is>
      </c>
      <c r="H2332" s="36" t="inlineStr">
        <is>
          <t>Summit Backpack 45L</t>
        </is>
      </c>
      <c r="I2332" s="36" t="n">
        <v>12</v>
      </c>
      <c r="J2332" s="39" t="n">
        <v>150.75</v>
      </c>
      <c r="K2332" s="45" t="n">
        <v>0.1</v>
      </c>
      <c r="L2332" s="39" t="n">
        <v>80.56999999999999</v>
      </c>
      <c r="M2332" s="39">
        <f>I2332*J2332*(1-K2332)</f>
        <v/>
      </c>
      <c r="N2332" s="39">
        <f>I2332*L2332</f>
        <v/>
      </c>
      <c r="O2332" s="39">
        <f>M2332-N2332</f>
        <v/>
      </c>
      <c r="P2332" s="38">
        <f>IF(M2332=0,0,O2332/M2332)</f>
        <v/>
      </c>
      <c r="Q2332" s="36">
        <f>YEAR(B2332)</f>
        <v/>
      </c>
      <c r="R2332" s="36">
        <f>"Q"&amp;ROUNDUP(MONTH(B2332)/3,0)</f>
        <v/>
      </c>
      <c r="S2332" s="36">
        <f>MONTH(B2332)</f>
        <v/>
      </c>
      <c r="T2332" s="36">
        <f>TEXT(B2332,"mmm")</f>
        <v/>
      </c>
      <c r="U2332" s="36">
        <f>IF(AND(OR(sel_Region="All",C2332=sel_Region),OR(sel_Country="All",D2332=sel_Country),OR(sel_Channel="All",E2332=sel_Channel),OR(sel_Customer="All",F2332=sel_Customer),OR(sel_Category="All",G2332=sel_Category),OR(sel_Product="All",H2332=sel_Product),AND(S2332&gt;=m_From,S2332&lt;=m_To)),1,0)</f>
        <v/>
      </c>
      <c r="V2332" s="36">
        <f>IF(AND(OR(sel_Region="All",C2332=sel_Region),OR(sel_Channel="All",E2332=sel_Channel),OR(sel_Customer="All",F2332=sel_Customer),OR(sel_Category="All",G2332=sel_Category),OR(sel_Product="All",H2332=sel_Product),AND(S2332&gt;=m_From,S2332&lt;=m_To)),1,0)</f>
        <v/>
      </c>
      <c r="W2332" s="36">
        <f>IF(AND(OR(sel_Region="All",C2332=sel_Region),OR(sel_Country="All",D2332=sel_Country),OR(sel_Customer="All",F2332=sel_Customer),OR(sel_Category="All",G2332=sel_Category),OR(sel_Product="All",H2332=sel_Product),AND(S2332&gt;=m_From,S2332&lt;=m_To)),1,0)</f>
        <v/>
      </c>
      <c r="X2332" s="36">
        <f>IF(AND(OR(sel_Region="All",C2332=sel_Region),OR(sel_Country="All",D2332=sel_Country),OR(sel_Channel="All",E2332=sel_Channel),OR(sel_Category="All",G2332=sel_Category),OR(sel_Product="All",H2332=sel_Product),AND(S2332&gt;=m_From,S2332&lt;=m_To)),1,0)</f>
        <v/>
      </c>
      <c r="Y2332" s="36">
        <f>IF(AND(OR(sel_Region="All",C2332=sel_Region),OR(sel_Country="All",D2332=sel_Country),OR(sel_Channel="All",E2332=sel_Channel),OR(sel_Customer="All",F2332=sel_Customer),OR(sel_Product="All",H2332=sel_Product),AND(S2332&gt;=m_From,S2332&lt;=m_To)),1,0)</f>
        <v/>
      </c>
      <c r="Z2332" s="36">
        <f>IF(AND(OR(sel_Region="All",C2332=sel_Region),OR(sel_Country="All",D2332=sel_Country),OR(sel_Channel="All",E2332=sel_Channel),OR(sel_Customer="All",F2332=sel_Customer),OR(sel_Category="All",G2332=sel_Category),AND(S2332&gt;=m_From,S2332&lt;=m_To)),1,0)</f>
        <v/>
      </c>
      <c r="AA2332" s="36">
        <f>IF(AND(OR(sel_Region="All",C2332=sel_Region),OR(sel_Country="All",D2332=sel_Country),OR(sel_Channel="All",E2332=sel_Channel),OR(sel_Customer="All",F2332=sel_Customer),OR(sel_Category="All",G2332=sel_Category),OR(sel_Product="All",H2332=sel_Product)),1,0)</f>
        <v/>
      </c>
    </row>
    <row r="2333">
      <c r="A2333" s="36" t="inlineStr">
        <is>
          <t>00025</t>
        </is>
      </c>
      <c r="B2333" s="44" t="n">
        <v>46337</v>
      </c>
      <c r="C2333" s="36" t="inlineStr">
        <is>
          <t>Southern Europe</t>
        </is>
      </c>
      <c r="D2333" s="36" t="inlineStr">
        <is>
          <t>Spain</t>
        </is>
      </c>
      <c r="E2333" s="36" t="inlineStr">
        <is>
          <t>Online Store</t>
        </is>
      </c>
      <c r="F2333" s="36" t="inlineStr">
        <is>
          <t>Returning</t>
        </is>
      </c>
      <c r="G2333" s="36" t="inlineStr">
        <is>
          <t>Hiking</t>
        </is>
      </c>
      <c r="H2333" s="36" t="inlineStr">
        <is>
          <t>Trail Boots</t>
        </is>
      </c>
      <c r="I2333" s="36" t="n">
        <v>1</v>
      </c>
      <c r="J2333" s="39" t="n">
        <v>145.83</v>
      </c>
      <c r="K2333" s="45" t="n">
        <v>0.1</v>
      </c>
      <c r="L2333" s="39" t="n">
        <v>79.14</v>
      </c>
      <c r="M2333" s="39">
        <f>I2333*J2333*(1-K2333)</f>
        <v/>
      </c>
      <c r="N2333" s="39">
        <f>I2333*L2333</f>
        <v/>
      </c>
      <c r="O2333" s="39">
        <f>M2333-N2333</f>
        <v/>
      </c>
      <c r="P2333" s="38">
        <f>IF(M2333=0,0,O2333/M2333)</f>
        <v/>
      </c>
      <c r="Q2333" s="36">
        <f>YEAR(B2333)</f>
        <v/>
      </c>
      <c r="R2333" s="36">
        <f>"Q"&amp;ROUNDUP(MONTH(B2333)/3,0)</f>
        <v/>
      </c>
      <c r="S2333" s="36">
        <f>MONTH(B2333)</f>
        <v/>
      </c>
      <c r="T2333" s="36">
        <f>TEXT(B2333,"mmm")</f>
        <v/>
      </c>
      <c r="U2333" s="36">
        <f>IF(AND(OR(sel_Region="All",C2333=sel_Region),OR(sel_Country="All",D2333=sel_Country),OR(sel_Channel="All",E2333=sel_Channel),OR(sel_Customer="All",F2333=sel_Customer),OR(sel_Category="All",G2333=sel_Category),OR(sel_Product="All",H2333=sel_Product),AND(S2333&gt;=m_From,S2333&lt;=m_To)),1,0)</f>
        <v/>
      </c>
      <c r="V2333" s="36">
        <f>IF(AND(OR(sel_Region="All",C2333=sel_Region),OR(sel_Channel="All",E2333=sel_Channel),OR(sel_Customer="All",F2333=sel_Customer),OR(sel_Category="All",G2333=sel_Category),OR(sel_Product="All",H2333=sel_Product),AND(S2333&gt;=m_From,S2333&lt;=m_To)),1,0)</f>
        <v/>
      </c>
      <c r="W2333" s="36">
        <f>IF(AND(OR(sel_Region="All",C2333=sel_Region),OR(sel_Country="All",D2333=sel_Country),OR(sel_Customer="All",F2333=sel_Customer),OR(sel_Category="All",G2333=sel_Category),OR(sel_Product="All",H2333=sel_Product),AND(S2333&gt;=m_From,S2333&lt;=m_To)),1,0)</f>
        <v/>
      </c>
      <c r="X2333" s="36">
        <f>IF(AND(OR(sel_Region="All",C2333=sel_Region),OR(sel_Country="All",D2333=sel_Country),OR(sel_Channel="All",E2333=sel_Channel),OR(sel_Category="All",G2333=sel_Category),OR(sel_Product="All",H2333=sel_Product),AND(S2333&gt;=m_From,S2333&lt;=m_To)),1,0)</f>
        <v/>
      </c>
      <c r="Y2333" s="36">
        <f>IF(AND(OR(sel_Region="All",C2333=sel_Region),OR(sel_Country="All",D2333=sel_Country),OR(sel_Channel="All",E2333=sel_Channel),OR(sel_Customer="All",F2333=sel_Customer),OR(sel_Product="All",H2333=sel_Product),AND(S2333&gt;=m_From,S2333&lt;=m_To)),1,0)</f>
        <v/>
      </c>
      <c r="Z2333" s="36">
        <f>IF(AND(OR(sel_Region="All",C2333=sel_Region),OR(sel_Country="All",D2333=sel_Country),OR(sel_Channel="All",E2333=sel_Channel),OR(sel_Customer="All",F2333=sel_Customer),OR(sel_Category="All",G2333=sel_Category),AND(S2333&gt;=m_From,S2333&lt;=m_To)),1,0)</f>
        <v/>
      </c>
      <c r="AA2333" s="36">
        <f>IF(AND(OR(sel_Region="All",C2333=sel_Region),OR(sel_Country="All",D2333=sel_Country),OR(sel_Channel="All",E2333=sel_Channel),OR(sel_Customer="All",F2333=sel_Customer),OR(sel_Category="All",G2333=sel_Category),OR(sel_Product="All",H2333=sel_Product)),1,0)</f>
        <v/>
      </c>
    </row>
    <row r="2334">
      <c r="A2334" s="36" t="inlineStr">
        <is>
          <t>00252</t>
        </is>
      </c>
      <c r="B2334" s="44" t="n">
        <v>46337</v>
      </c>
      <c r="C2334" s="36" t="inlineStr">
        <is>
          <t>Southern Europe</t>
        </is>
      </c>
      <c r="D2334" s="36" t="inlineStr">
        <is>
          <t>Spain</t>
        </is>
      </c>
      <c r="E2334" s="36" t="inlineStr">
        <is>
          <t>Online Store</t>
        </is>
      </c>
      <c r="F2334" s="36" t="inlineStr">
        <is>
          <t>Returning</t>
        </is>
      </c>
      <c r="G2334" s="36" t="inlineStr">
        <is>
          <t>Travel</t>
        </is>
      </c>
      <c r="H2334" s="36" t="inlineStr">
        <is>
          <t>Travel Backpack 35L</t>
        </is>
      </c>
      <c r="I2334" s="36" t="n">
        <v>4</v>
      </c>
      <c r="J2334" s="39" t="n">
        <v>162.04</v>
      </c>
      <c r="K2334" s="45" t="n">
        <v>0</v>
      </c>
      <c r="L2334" s="39" t="n">
        <v>85.77</v>
      </c>
      <c r="M2334" s="39">
        <f>I2334*J2334*(1-K2334)</f>
        <v/>
      </c>
      <c r="N2334" s="39">
        <f>I2334*L2334</f>
        <v/>
      </c>
      <c r="O2334" s="39">
        <f>M2334-N2334</f>
        <v/>
      </c>
      <c r="P2334" s="38">
        <f>IF(M2334=0,0,O2334/M2334)</f>
        <v/>
      </c>
      <c r="Q2334" s="36">
        <f>YEAR(B2334)</f>
        <v/>
      </c>
      <c r="R2334" s="36">
        <f>"Q"&amp;ROUNDUP(MONTH(B2334)/3,0)</f>
        <v/>
      </c>
      <c r="S2334" s="36">
        <f>MONTH(B2334)</f>
        <v/>
      </c>
      <c r="T2334" s="36">
        <f>TEXT(B2334,"mmm")</f>
        <v/>
      </c>
      <c r="U2334" s="36">
        <f>IF(AND(OR(sel_Region="All",C2334=sel_Region),OR(sel_Country="All",D2334=sel_Country),OR(sel_Channel="All",E2334=sel_Channel),OR(sel_Customer="All",F2334=sel_Customer),OR(sel_Category="All",G2334=sel_Category),OR(sel_Product="All",H2334=sel_Product),AND(S2334&gt;=m_From,S2334&lt;=m_To)),1,0)</f>
        <v/>
      </c>
      <c r="V2334" s="36">
        <f>IF(AND(OR(sel_Region="All",C2334=sel_Region),OR(sel_Channel="All",E2334=sel_Channel),OR(sel_Customer="All",F2334=sel_Customer),OR(sel_Category="All",G2334=sel_Category),OR(sel_Product="All",H2334=sel_Product),AND(S2334&gt;=m_From,S2334&lt;=m_To)),1,0)</f>
        <v/>
      </c>
      <c r="W2334" s="36">
        <f>IF(AND(OR(sel_Region="All",C2334=sel_Region),OR(sel_Country="All",D2334=sel_Country),OR(sel_Customer="All",F2334=sel_Customer),OR(sel_Category="All",G2334=sel_Category),OR(sel_Product="All",H2334=sel_Product),AND(S2334&gt;=m_From,S2334&lt;=m_To)),1,0)</f>
        <v/>
      </c>
      <c r="X2334" s="36">
        <f>IF(AND(OR(sel_Region="All",C2334=sel_Region),OR(sel_Country="All",D2334=sel_Country),OR(sel_Channel="All",E2334=sel_Channel),OR(sel_Category="All",G2334=sel_Category),OR(sel_Product="All",H2334=sel_Product),AND(S2334&gt;=m_From,S2334&lt;=m_To)),1,0)</f>
        <v/>
      </c>
      <c r="Y2334" s="36">
        <f>IF(AND(OR(sel_Region="All",C2334=sel_Region),OR(sel_Country="All",D2334=sel_Country),OR(sel_Channel="All",E2334=sel_Channel),OR(sel_Customer="All",F2334=sel_Customer),OR(sel_Product="All",H2334=sel_Product),AND(S2334&gt;=m_From,S2334&lt;=m_To)),1,0)</f>
        <v/>
      </c>
      <c r="Z2334" s="36">
        <f>IF(AND(OR(sel_Region="All",C2334=sel_Region),OR(sel_Country="All",D2334=sel_Country),OR(sel_Channel="All",E2334=sel_Channel),OR(sel_Customer="All",F2334=sel_Customer),OR(sel_Category="All",G2334=sel_Category),AND(S2334&gt;=m_From,S2334&lt;=m_To)),1,0)</f>
        <v/>
      </c>
      <c r="AA2334" s="36">
        <f>IF(AND(OR(sel_Region="All",C2334=sel_Region),OR(sel_Country="All",D2334=sel_Country),OR(sel_Channel="All",E2334=sel_Channel),OR(sel_Customer="All",F2334=sel_Customer),OR(sel_Category="All",G2334=sel_Category),OR(sel_Product="All",H2334=sel_Product)),1,0)</f>
        <v/>
      </c>
    </row>
    <row r="2335">
      <c r="A2335" s="36" t="inlineStr">
        <is>
          <t>01203</t>
        </is>
      </c>
      <c r="B2335" s="44" t="n">
        <v>46337</v>
      </c>
      <c r="C2335" s="36" t="inlineStr">
        <is>
          <t>Western Europe</t>
        </is>
      </c>
      <c r="D2335" s="36" t="inlineStr">
        <is>
          <t>United Kingdom</t>
        </is>
      </c>
      <c r="E2335" s="36" t="inlineStr">
        <is>
          <t>Retail Partners</t>
        </is>
      </c>
      <c r="F2335" s="36" t="inlineStr">
        <is>
          <t>Returning</t>
        </is>
      </c>
      <c r="G2335" s="36" t="inlineStr">
        <is>
          <t>Hiking</t>
        </is>
      </c>
      <c r="H2335" s="36" t="inlineStr">
        <is>
          <t>Trail Boots</t>
        </is>
      </c>
      <c r="I2335" s="36" t="n">
        <v>2</v>
      </c>
      <c r="J2335" s="39" t="n">
        <v>141.33</v>
      </c>
      <c r="K2335" s="45" t="n">
        <v>0.05</v>
      </c>
      <c r="L2335" s="39" t="n">
        <v>79.73999999999999</v>
      </c>
      <c r="M2335" s="39">
        <f>I2335*J2335*(1-K2335)</f>
        <v/>
      </c>
      <c r="N2335" s="39">
        <f>I2335*L2335</f>
        <v/>
      </c>
      <c r="O2335" s="39">
        <f>M2335-N2335</f>
        <v/>
      </c>
      <c r="P2335" s="38">
        <f>IF(M2335=0,0,O2335/M2335)</f>
        <v/>
      </c>
      <c r="Q2335" s="36">
        <f>YEAR(B2335)</f>
        <v/>
      </c>
      <c r="R2335" s="36">
        <f>"Q"&amp;ROUNDUP(MONTH(B2335)/3,0)</f>
        <v/>
      </c>
      <c r="S2335" s="36">
        <f>MONTH(B2335)</f>
        <v/>
      </c>
      <c r="T2335" s="36">
        <f>TEXT(B2335,"mmm")</f>
        <v/>
      </c>
      <c r="U2335" s="36">
        <f>IF(AND(OR(sel_Region="All",C2335=sel_Region),OR(sel_Country="All",D2335=sel_Country),OR(sel_Channel="All",E2335=sel_Channel),OR(sel_Customer="All",F2335=sel_Customer),OR(sel_Category="All",G2335=sel_Category),OR(sel_Product="All",H2335=sel_Product),AND(S2335&gt;=m_From,S2335&lt;=m_To)),1,0)</f>
        <v/>
      </c>
      <c r="V2335" s="36">
        <f>IF(AND(OR(sel_Region="All",C2335=sel_Region),OR(sel_Channel="All",E2335=sel_Channel),OR(sel_Customer="All",F2335=sel_Customer),OR(sel_Category="All",G2335=sel_Category),OR(sel_Product="All",H2335=sel_Product),AND(S2335&gt;=m_From,S2335&lt;=m_To)),1,0)</f>
        <v/>
      </c>
      <c r="W2335" s="36">
        <f>IF(AND(OR(sel_Region="All",C2335=sel_Region),OR(sel_Country="All",D2335=sel_Country),OR(sel_Customer="All",F2335=sel_Customer),OR(sel_Category="All",G2335=sel_Category),OR(sel_Product="All",H2335=sel_Product),AND(S2335&gt;=m_From,S2335&lt;=m_To)),1,0)</f>
        <v/>
      </c>
      <c r="X2335" s="36">
        <f>IF(AND(OR(sel_Region="All",C2335=sel_Region),OR(sel_Country="All",D2335=sel_Country),OR(sel_Channel="All",E2335=sel_Channel),OR(sel_Category="All",G2335=sel_Category),OR(sel_Product="All",H2335=sel_Product),AND(S2335&gt;=m_From,S2335&lt;=m_To)),1,0)</f>
        <v/>
      </c>
      <c r="Y2335" s="36">
        <f>IF(AND(OR(sel_Region="All",C2335=sel_Region),OR(sel_Country="All",D2335=sel_Country),OR(sel_Channel="All",E2335=sel_Channel),OR(sel_Customer="All",F2335=sel_Customer),OR(sel_Product="All",H2335=sel_Product),AND(S2335&gt;=m_From,S2335&lt;=m_To)),1,0)</f>
        <v/>
      </c>
      <c r="Z2335" s="36">
        <f>IF(AND(OR(sel_Region="All",C2335=sel_Region),OR(sel_Country="All",D2335=sel_Country),OR(sel_Channel="All",E2335=sel_Channel),OR(sel_Customer="All",F2335=sel_Customer),OR(sel_Category="All",G2335=sel_Category),AND(S2335&gt;=m_From,S2335&lt;=m_To)),1,0)</f>
        <v/>
      </c>
      <c r="AA2335" s="36">
        <f>IF(AND(OR(sel_Region="All",C2335=sel_Region),OR(sel_Country="All",D2335=sel_Country),OR(sel_Channel="All",E2335=sel_Channel),OR(sel_Customer="All",F2335=sel_Customer),OR(sel_Category="All",G2335=sel_Category),OR(sel_Product="All",H2335=sel_Product)),1,0)</f>
        <v/>
      </c>
    </row>
    <row r="2336">
      <c r="A2336" s="36" t="inlineStr">
        <is>
          <t>01567</t>
        </is>
      </c>
      <c r="B2336" s="44" t="n">
        <v>46337</v>
      </c>
      <c r="C2336" s="36" t="inlineStr">
        <is>
          <t>Northern Europe</t>
        </is>
      </c>
      <c r="D2336" s="36" t="inlineStr">
        <is>
          <t>Norway</t>
        </is>
      </c>
      <c r="E2336" s="36" t="inlineStr">
        <is>
          <t>Online Store</t>
        </is>
      </c>
      <c r="F2336" s="36" t="inlineStr">
        <is>
          <t>Returning</t>
        </is>
      </c>
      <c r="G2336" s="36" t="inlineStr">
        <is>
          <t>Camping</t>
        </is>
      </c>
      <c r="H2336" s="36" t="inlineStr">
        <is>
          <t>Compact Sleeping Bag</t>
        </is>
      </c>
      <c r="I2336" s="36" t="n">
        <v>1</v>
      </c>
      <c r="J2336" s="39" t="n">
        <v>125.11</v>
      </c>
      <c r="K2336" s="45" t="n">
        <v>0.1</v>
      </c>
      <c r="L2336" s="39" t="n">
        <v>61.65</v>
      </c>
      <c r="M2336" s="39">
        <f>I2336*J2336*(1-K2336)</f>
        <v/>
      </c>
      <c r="N2336" s="39">
        <f>I2336*L2336</f>
        <v/>
      </c>
      <c r="O2336" s="39">
        <f>M2336-N2336</f>
        <v/>
      </c>
      <c r="P2336" s="38">
        <f>IF(M2336=0,0,O2336/M2336)</f>
        <v/>
      </c>
      <c r="Q2336" s="36">
        <f>YEAR(B2336)</f>
        <v/>
      </c>
      <c r="R2336" s="36">
        <f>"Q"&amp;ROUNDUP(MONTH(B2336)/3,0)</f>
        <v/>
      </c>
      <c r="S2336" s="36">
        <f>MONTH(B2336)</f>
        <v/>
      </c>
      <c r="T2336" s="36">
        <f>TEXT(B2336,"mmm")</f>
        <v/>
      </c>
      <c r="U2336" s="36">
        <f>IF(AND(OR(sel_Region="All",C2336=sel_Region),OR(sel_Country="All",D2336=sel_Country),OR(sel_Channel="All",E2336=sel_Channel),OR(sel_Customer="All",F2336=sel_Customer),OR(sel_Category="All",G2336=sel_Category),OR(sel_Product="All",H2336=sel_Product),AND(S2336&gt;=m_From,S2336&lt;=m_To)),1,0)</f>
        <v/>
      </c>
      <c r="V2336" s="36">
        <f>IF(AND(OR(sel_Region="All",C2336=sel_Region),OR(sel_Channel="All",E2336=sel_Channel),OR(sel_Customer="All",F2336=sel_Customer),OR(sel_Category="All",G2336=sel_Category),OR(sel_Product="All",H2336=sel_Product),AND(S2336&gt;=m_From,S2336&lt;=m_To)),1,0)</f>
        <v/>
      </c>
      <c r="W2336" s="36">
        <f>IF(AND(OR(sel_Region="All",C2336=sel_Region),OR(sel_Country="All",D2336=sel_Country),OR(sel_Customer="All",F2336=sel_Customer),OR(sel_Category="All",G2336=sel_Category),OR(sel_Product="All",H2336=sel_Product),AND(S2336&gt;=m_From,S2336&lt;=m_To)),1,0)</f>
        <v/>
      </c>
      <c r="X2336" s="36">
        <f>IF(AND(OR(sel_Region="All",C2336=sel_Region),OR(sel_Country="All",D2336=sel_Country),OR(sel_Channel="All",E2336=sel_Channel),OR(sel_Category="All",G2336=sel_Category),OR(sel_Product="All",H2336=sel_Product),AND(S2336&gt;=m_From,S2336&lt;=m_To)),1,0)</f>
        <v/>
      </c>
      <c r="Y2336" s="36">
        <f>IF(AND(OR(sel_Region="All",C2336=sel_Region),OR(sel_Country="All",D2336=sel_Country),OR(sel_Channel="All",E2336=sel_Channel),OR(sel_Customer="All",F2336=sel_Customer),OR(sel_Product="All",H2336=sel_Product),AND(S2336&gt;=m_From,S2336&lt;=m_To)),1,0)</f>
        <v/>
      </c>
      <c r="Z2336" s="36">
        <f>IF(AND(OR(sel_Region="All",C2336=sel_Region),OR(sel_Country="All",D2336=sel_Country),OR(sel_Channel="All",E2336=sel_Channel),OR(sel_Customer="All",F2336=sel_Customer),OR(sel_Category="All",G2336=sel_Category),AND(S2336&gt;=m_From,S2336&lt;=m_To)),1,0)</f>
        <v/>
      </c>
      <c r="AA2336" s="36">
        <f>IF(AND(OR(sel_Region="All",C2336=sel_Region),OR(sel_Country="All",D2336=sel_Country),OR(sel_Channel="All",E2336=sel_Channel),OR(sel_Customer="All",F2336=sel_Customer),OR(sel_Category="All",G2336=sel_Category),OR(sel_Product="All",H2336=sel_Product)),1,0)</f>
        <v/>
      </c>
    </row>
    <row r="2337">
      <c r="A2337" s="36" t="inlineStr">
        <is>
          <t>02060</t>
        </is>
      </c>
      <c r="B2337" s="44" t="n">
        <v>46337</v>
      </c>
      <c r="C2337" s="36" t="inlineStr">
        <is>
          <t>Northern Europe</t>
        </is>
      </c>
      <c r="D2337" s="36" t="inlineStr">
        <is>
          <t>Denmark</t>
        </is>
      </c>
      <c r="E2337" s="36" t="inlineStr">
        <is>
          <t>Online Store</t>
        </is>
      </c>
      <c r="F2337" s="36" t="inlineStr">
        <is>
          <t>Business</t>
        </is>
      </c>
      <c r="G2337" s="36" t="inlineStr">
        <is>
          <t>Camping</t>
        </is>
      </c>
      <c r="H2337" s="36" t="inlineStr">
        <is>
          <t>Compact Sleeping Bag</t>
        </is>
      </c>
      <c r="I2337" s="36" t="n">
        <v>3</v>
      </c>
      <c r="J2337" s="39" t="n">
        <v>124.55</v>
      </c>
      <c r="K2337" s="45" t="n">
        <v>0.15</v>
      </c>
      <c r="L2337" s="39" t="n">
        <v>60.68</v>
      </c>
      <c r="M2337" s="39">
        <f>I2337*J2337*(1-K2337)</f>
        <v/>
      </c>
      <c r="N2337" s="39">
        <f>I2337*L2337</f>
        <v/>
      </c>
      <c r="O2337" s="39">
        <f>M2337-N2337</f>
        <v/>
      </c>
      <c r="P2337" s="38">
        <f>IF(M2337=0,0,O2337/M2337)</f>
        <v/>
      </c>
      <c r="Q2337" s="36">
        <f>YEAR(B2337)</f>
        <v/>
      </c>
      <c r="R2337" s="36">
        <f>"Q"&amp;ROUNDUP(MONTH(B2337)/3,0)</f>
        <v/>
      </c>
      <c r="S2337" s="36">
        <f>MONTH(B2337)</f>
        <v/>
      </c>
      <c r="T2337" s="36">
        <f>TEXT(B2337,"mmm")</f>
        <v/>
      </c>
      <c r="U2337" s="36">
        <f>IF(AND(OR(sel_Region="All",C2337=sel_Region),OR(sel_Country="All",D2337=sel_Country),OR(sel_Channel="All",E2337=sel_Channel),OR(sel_Customer="All",F2337=sel_Customer),OR(sel_Category="All",G2337=sel_Category),OR(sel_Product="All",H2337=sel_Product),AND(S2337&gt;=m_From,S2337&lt;=m_To)),1,0)</f>
        <v/>
      </c>
      <c r="V2337" s="36">
        <f>IF(AND(OR(sel_Region="All",C2337=sel_Region),OR(sel_Channel="All",E2337=sel_Channel),OR(sel_Customer="All",F2337=sel_Customer),OR(sel_Category="All",G2337=sel_Category),OR(sel_Product="All",H2337=sel_Product),AND(S2337&gt;=m_From,S2337&lt;=m_To)),1,0)</f>
        <v/>
      </c>
      <c r="W2337" s="36">
        <f>IF(AND(OR(sel_Region="All",C2337=sel_Region),OR(sel_Country="All",D2337=sel_Country),OR(sel_Customer="All",F2337=sel_Customer),OR(sel_Category="All",G2337=sel_Category),OR(sel_Product="All",H2337=sel_Product),AND(S2337&gt;=m_From,S2337&lt;=m_To)),1,0)</f>
        <v/>
      </c>
      <c r="X2337" s="36">
        <f>IF(AND(OR(sel_Region="All",C2337=sel_Region),OR(sel_Country="All",D2337=sel_Country),OR(sel_Channel="All",E2337=sel_Channel),OR(sel_Category="All",G2337=sel_Category),OR(sel_Product="All",H2337=sel_Product),AND(S2337&gt;=m_From,S2337&lt;=m_To)),1,0)</f>
        <v/>
      </c>
      <c r="Y2337" s="36">
        <f>IF(AND(OR(sel_Region="All",C2337=sel_Region),OR(sel_Country="All",D2337=sel_Country),OR(sel_Channel="All",E2337=sel_Channel),OR(sel_Customer="All",F2337=sel_Customer),OR(sel_Product="All",H2337=sel_Product),AND(S2337&gt;=m_From,S2337&lt;=m_To)),1,0)</f>
        <v/>
      </c>
      <c r="Z2337" s="36">
        <f>IF(AND(OR(sel_Region="All",C2337=sel_Region),OR(sel_Country="All",D2337=sel_Country),OR(sel_Channel="All",E2337=sel_Channel),OR(sel_Customer="All",F2337=sel_Customer),OR(sel_Category="All",G2337=sel_Category),AND(S2337&gt;=m_From,S2337&lt;=m_To)),1,0)</f>
        <v/>
      </c>
      <c r="AA2337" s="36">
        <f>IF(AND(OR(sel_Region="All",C2337=sel_Region),OR(sel_Country="All",D2337=sel_Country),OR(sel_Channel="All",E2337=sel_Channel),OR(sel_Customer="All",F2337=sel_Customer),OR(sel_Category="All",G2337=sel_Category),OR(sel_Product="All",H2337=sel_Product)),1,0)</f>
        <v/>
      </c>
    </row>
    <row r="2338">
      <c r="A2338" s="36" t="inlineStr">
        <is>
          <t>02485</t>
        </is>
      </c>
      <c r="B2338" s="44" t="n">
        <v>46337</v>
      </c>
      <c r="C2338" s="36" t="inlineStr">
        <is>
          <t>Northern Europe</t>
        </is>
      </c>
      <c r="D2338" s="36" t="inlineStr">
        <is>
          <t>Finland</t>
        </is>
      </c>
      <c r="E2338" s="36" t="inlineStr">
        <is>
          <t>Retail Partners</t>
        </is>
      </c>
      <c r="F2338" s="36" t="inlineStr">
        <is>
          <t>Returning</t>
        </is>
      </c>
      <c r="G2338" s="36" t="inlineStr">
        <is>
          <t>Hiking</t>
        </is>
      </c>
      <c r="H2338" s="36" t="inlineStr">
        <is>
          <t>Trail Boots</t>
        </is>
      </c>
      <c r="I2338" s="36" t="n">
        <v>1</v>
      </c>
      <c r="J2338" s="39" t="n">
        <v>143.77</v>
      </c>
      <c r="K2338" s="45" t="n">
        <v>0.1</v>
      </c>
      <c r="L2338" s="39" t="n">
        <v>81.02</v>
      </c>
      <c r="M2338" s="39">
        <f>I2338*J2338*(1-K2338)</f>
        <v/>
      </c>
      <c r="N2338" s="39">
        <f>I2338*L2338</f>
        <v/>
      </c>
      <c r="O2338" s="39">
        <f>M2338-N2338</f>
        <v/>
      </c>
      <c r="P2338" s="38">
        <f>IF(M2338=0,0,O2338/M2338)</f>
        <v/>
      </c>
      <c r="Q2338" s="36">
        <f>YEAR(B2338)</f>
        <v/>
      </c>
      <c r="R2338" s="36">
        <f>"Q"&amp;ROUNDUP(MONTH(B2338)/3,0)</f>
        <v/>
      </c>
      <c r="S2338" s="36">
        <f>MONTH(B2338)</f>
        <v/>
      </c>
      <c r="T2338" s="36">
        <f>TEXT(B2338,"mmm")</f>
        <v/>
      </c>
      <c r="U2338" s="36">
        <f>IF(AND(OR(sel_Region="All",C2338=sel_Region),OR(sel_Country="All",D2338=sel_Country),OR(sel_Channel="All",E2338=sel_Channel),OR(sel_Customer="All",F2338=sel_Customer),OR(sel_Category="All",G2338=sel_Category),OR(sel_Product="All",H2338=sel_Product),AND(S2338&gt;=m_From,S2338&lt;=m_To)),1,0)</f>
        <v/>
      </c>
      <c r="V2338" s="36">
        <f>IF(AND(OR(sel_Region="All",C2338=sel_Region),OR(sel_Channel="All",E2338=sel_Channel),OR(sel_Customer="All",F2338=sel_Customer),OR(sel_Category="All",G2338=sel_Category),OR(sel_Product="All",H2338=sel_Product),AND(S2338&gt;=m_From,S2338&lt;=m_To)),1,0)</f>
        <v/>
      </c>
      <c r="W2338" s="36">
        <f>IF(AND(OR(sel_Region="All",C2338=sel_Region),OR(sel_Country="All",D2338=sel_Country),OR(sel_Customer="All",F2338=sel_Customer),OR(sel_Category="All",G2338=sel_Category),OR(sel_Product="All",H2338=sel_Product),AND(S2338&gt;=m_From,S2338&lt;=m_To)),1,0)</f>
        <v/>
      </c>
      <c r="X2338" s="36">
        <f>IF(AND(OR(sel_Region="All",C2338=sel_Region),OR(sel_Country="All",D2338=sel_Country),OR(sel_Channel="All",E2338=sel_Channel),OR(sel_Category="All",G2338=sel_Category),OR(sel_Product="All",H2338=sel_Product),AND(S2338&gt;=m_From,S2338&lt;=m_To)),1,0)</f>
        <v/>
      </c>
      <c r="Y2338" s="36">
        <f>IF(AND(OR(sel_Region="All",C2338=sel_Region),OR(sel_Country="All",D2338=sel_Country),OR(sel_Channel="All",E2338=sel_Channel),OR(sel_Customer="All",F2338=sel_Customer),OR(sel_Product="All",H2338=sel_Product),AND(S2338&gt;=m_From,S2338&lt;=m_To)),1,0)</f>
        <v/>
      </c>
      <c r="Z2338" s="36">
        <f>IF(AND(OR(sel_Region="All",C2338=sel_Region),OR(sel_Country="All",D2338=sel_Country),OR(sel_Channel="All",E2338=sel_Channel),OR(sel_Customer="All",F2338=sel_Customer),OR(sel_Category="All",G2338=sel_Category),AND(S2338&gt;=m_From,S2338&lt;=m_To)),1,0)</f>
        <v/>
      </c>
      <c r="AA2338" s="36">
        <f>IF(AND(OR(sel_Region="All",C2338=sel_Region),OR(sel_Country="All",D2338=sel_Country),OR(sel_Channel="All",E2338=sel_Channel),OR(sel_Customer="All",F2338=sel_Customer),OR(sel_Category="All",G2338=sel_Category),OR(sel_Product="All",H2338=sel_Product)),1,0)</f>
        <v/>
      </c>
    </row>
    <row r="2339">
      <c r="A2339" s="36" t="inlineStr">
        <is>
          <t>03101</t>
        </is>
      </c>
      <c r="B2339" s="44" t="n">
        <v>46337</v>
      </c>
      <c r="C2339" s="36" t="inlineStr">
        <is>
          <t>Western Europe</t>
        </is>
      </c>
      <c r="D2339" s="36" t="inlineStr">
        <is>
          <t>United Kingdom</t>
        </is>
      </c>
      <c r="E2339" s="36" t="inlineStr">
        <is>
          <t>Online Store</t>
        </is>
      </c>
      <c r="F2339" s="36" t="inlineStr">
        <is>
          <t>New</t>
        </is>
      </c>
      <c r="G2339" s="36" t="inlineStr">
        <is>
          <t>Camping</t>
        </is>
      </c>
      <c r="H2339" s="36" t="inlineStr">
        <is>
          <t>Compact Sleeping Bag</t>
        </is>
      </c>
      <c r="I2339" s="36" t="n">
        <v>3</v>
      </c>
      <c r="J2339" s="39" t="n">
        <v>124.72</v>
      </c>
      <c r="K2339" s="45" t="n">
        <v>0.15</v>
      </c>
      <c r="L2339" s="39" t="n">
        <v>60.35</v>
      </c>
      <c r="M2339" s="39">
        <f>I2339*J2339*(1-K2339)</f>
        <v/>
      </c>
      <c r="N2339" s="39">
        <f>I2339*L2339</f>
        <v/>
      </c>
      <c r="O2339" s="39">
        <f>M2339-N2339</f>
        <v/>
      </c>
      <c r="P2339" s="38">
        <f>IF(M2339=0,0,O2339/M2339)</f>
        <v/>
      </c>
      <c r="Q2339" s="36">
        <f>YEAR(B2339)</f>
        <v/>
      </c>
      <c r="R2339" s="36">
        <f>"Q"&amp;ROUNDUP(MONTH(B2339)/3,0)</f>
        <v/>
      </c>
      <c r="S2339" s="36">
        <f>MONTH(B2339)</f>
        <v/>
      </c>
      <c r="T2339" s="36">
        <f>TEXT(B2339,"mmm")</f>
        <v/>
      </c>
      <c r="U2339" s="36">
        <f>IF(AND(OR(sel_Region="All",C2339=sel_Region),OR(sel_Country="All",D2339=sel_Country),OR(sel_Channel="All",E2339=sel_Channel),OR(sel_Customer="All",F2339=sel_Customer),OR(sel_Category="All",G2339=sel_Category),OR(sel_Product="All",H2339=sel_Product),AND(S2339&gt;=m_From,S2339&lt;=m_To)),1,0)</f>
        <v/>
      </c>
      <c r="V2339" s="36">
        <f>IF(AND(OR(sel_Region="All",C2339=sel_Region),OR(sel_Channel="All",E2339=sel_Channel),OR(sel_Customer="All",F2339=sel_Customer),OR(sel_Category="All",G2339=sel_Category),OR(sel_Product="All",H2339=sel_Product),AND(S2339&gt;=m_From,S2339&lt;=m_To)),1,0)</f>
        <v/>
      </c>
      <c r="W2339" s="36">
        <f>IF(AND(OR(sel_Region="All",C2339=sel_Region),OR(sel_Country="All",D2339=sel_Country),OR(sel_Customer="All",F2339=sel_Customer),OR(sel_Category="All",G2339=sel_Category),OR(sel_Product="All",H2339=sel_Product),AND(S2339&gt;=m_From,S2339&lt;=m_To)),1,0)</f>
        <v/>
      </c>
      <c r="X2339" s="36">
        <f>IF(AND(OR(sel_Region="All",C2339=sel_Region),OR(sel_Country="All",D2339=sel_Country),OR(sel_Channel="All",E2339=sel_Channel),OR(sel_Category="All",G2339=sel_Category),OR(sel_Product="All",H2339=sel_Product),AND(S2339&gt;=m_From,S2339&lt;=m_To)),1,0)</f>
        <v/>
      </c>
      <c r="Y2339" s="36">
        <f>IF(AND(OR(sel_Region="All",C2339=sel_Region),OR(sel_Country="All",D2339=sel_Country),OR(sel_Channel="All",E2339=sel_Channel),OR(sel_Customer="All",F2339=sel_Customer),OR(sel_Product="All",H2339=sel_Product),AND(S2339&gt;=m_From,S2339&lt;=m_To)),1,0)</f>
        <v/>
      </c>
      <c r="Z2339" s="36">
        <f>IF(AND(OR(sel_Region="All",C2339=sel_Region),OR(sel_Country="All",D2339=sel_Country),OR(sel_Channel="All",E2339=sel_Channel),OR(sel_Customer="All",F2339=sel_Customer),OR(sel_Category="All",G2339=sel_Category),AND(S2339&gt;=m_From,S2339&lt;=m_To)),1,0)</f>
        <v/>
      </c>
      <c r="AA2339" s="36">
        <f>IF(AND(OR(sel_Region="All",C2339=sel_Region),OR(sel_Country="All",D2339=sel_Country),OR(sel_Channel="All",E2339=sel_Channel),OR(sel_Customer="All",F2339=sel_Customer),OR(sel_Category="All",G2339=sel_Category),OR(sel_Product="All",H2339=sel_Product)),1,0)</f>
        <v/>
      </c>
    </row>
    <row r="2340">
      <c r="A2340" s="36" t="inlineStr">
        <is>
          <t>03165</t>
        </is>
      </c>
      <c r="B2340" s="44" t="n">
        <v>46337</v>
      </c>
      <c r="C2340" s="36" t="inlineStr">
        <is>
          <t>Northern Europe</t>
        </is>
      </c>
      <c r="D2340" s="36" t="inlineStr">
        <is>
          <t>Sweden</t>
        </is>
      </c>
      <c r="E2340" s="36" t="inlineStr">
        <is>
          <t>Retail Partners</t>
        </is>
      </c>
      <c r="F2340" s="36" t="inlineStr">
        <is>
          <t>Returning</t>
        </is>
      </c>
      <c r="G2340" s="36" t="inlineStr">
        <is>
          <t>Fitness</t>
        </is>
      </c>
      <c r="H2340" s="36" t="inlineStr">
        <is>
          <t>Recovery Roller</t>
        </is>
      </c>
      <c r="I2340" s="36" t="n">
        <v>1</v>
      </c>
      <c r="J2340" s="39" t="n">
        <v>35.73</v>
      </c>
      <c r="K2340" s="45" t="n">
        <v>0.1</v>
      </c>
      <c r="L2340" s="39" t="n">
        <v>14.15</v>
      </c>
      <c r="M2340" s="39">
        <f>I2340*J2340*(1-K2340)</f>
        <v/>
      </c>
      <c r="N2340" s="39">
        <f>I2340*L2340</f>
        <v/>
      </c>
      <c r="O2340" s="39">
        <f>M2340-N2340</f>
        <v/>
      </c>
      <c r="P2340" s="38">
        <f>IF(M2340=0,0,O2340/M2340)</f>
        <v/>
      </c>
      <c r="Q2340" s="36">
        <f>YEAR(B2340)</f>
        <v/>
      </c>
      <c r="R2340" s="36">
        <f>"Q"&amp;ROUNDUP(MONTH(B2340)/3,0)</f>
        <v/>
      </c>
      <c r="S2340" s="36">
        <f>MONTH(B2340)</f>
        <v/>
      </c>
      <c r="T2340" s="36">
        <f>TEXT(B2340,"mmm")</f>
        <v/>
      </c>
      <c r="U2340" s="36">
        <f>IF(AND(OR(sel_Region="All",C2340=sel_Region),OR(sel_Country="All",D2340=sel_Country),OR(sel_Channel="All",E2340=sel_Channel),OR(sel_Customer="All",F2340=sel_Customer),OR(sel_Category="All",G2340=sel_Category),OR(sel_Product="All",H2340=sel_Product),AND(S2340&gt;=m_From,S2340&lt;=m_To)),1,0)</f>
        <v/>
      </c>
      <c r="V2340" s="36">
        <f>IF(AND(OR(sel_Region="All",C2340=sel_Region),OR(sel_Channel="All",E2340=sel_Channel),OR(sel_Customer="All",F2340=sel_Customer),OR(sel_Category="All",G2340=sel_Category),OR(sel_Product="All",H2340=sel_Product),AND(S2340&gt;=m_From,S2340&lt;=m_To)),1,0)</f>
        <v/>
      </c>
      <c r="W2340" s="36">
        <f>IF(AND(OR(sel_Region="All",C2340=sel_Region),OR(sel_Country="All",D2340=sel_Country),OR(sel_Customer="All",F2340=sel_Customer),OR(sel_Category="All",G2340=sel_Category),OR(sel_Product="All",H2340=sel_Product),AND(S2340&gt;=m_From,S2340&lt;=m_To)),1,0)</f>
        <v/>
      </c>
      <c r="X2340" s="36">
        <f>IF(AND(OR(sel_Region="All",C2340=sel_Region),OR(sel_Country="All",D2340=sel_Country),OR(sel_Channel="All",E2340=sel_Channel),OR(sel_Category="All",G2340=sel_Category),OR(sel_Product="All",H2340=sel_Product),AND(S2340&gt;=m_From,S2340&lt;=m_To)),1,0)</f>
        <v/>
      </c>
      <c r="Y2340" s="36">
        <f>IF(AND(OR(sel_Region="All",C2340=sel_Region),OR(sel_Country="All",D2340=sel_Country),OR(sel_Channel="All",E2340=sel_Channel),OR(sel_Customer="All",F2340=sel_Customer),OR(sel_Product="All",H2340=sel_Product),AND(S2340&gt;=m_From,S2340&lt;=m_To)),1,0)</f>
        <v/>
      </c>
      <c r="Z2340" s="36">
        <f>IF(AND(OR(sel_Region="All",C2340=sel_Region),OR(sel_Country="All",D2340=sel_Country),OR(sel_Channel="All",E2340=sel_Channel),OR(sel_Customer="All",F2340=sel_Customer),OR(sel_Category="All",G2340=sel_Category),AND(S2340&gt;=m_From,S2340&lt;=m_To)),1,0)</f>
        <v/>
      </c>
      <c r="AA2340" s="36">
        <f>IF(AND(OR(sel_Region="All",C2340=sel_Region),OR(sel_Country="All",D2340=sel_Country),OR(sel_Channel="All",E2340=sel_Channel),OR(sel_Customer="All",F2340=sel_Customer),OR(sel_Category="All",G2340=sel_Category),OR(sel_Product="All",H2340=sel_Product)),1,0)</f>
        <v/>
      </c>
    </row>
    <row r="2341">
      <c r="A2341" s="36" t="inlineStr">
        <is>
          <t>04179</t>
        </is>
      </c>
      <c r="B2341" s="44" t="n">
        <v>46337</v>
      </c>
      <c r="C2341" s="36" t="inlineStr">
        <is>
          <t>Northern Europe</t>
        </is>
      </c>
      <c r="D2341" s="36" t="inlineStr">
        <is>
          <t>Ireland</t>
        </is>
      </c>
      <c r="E2341" s="36" t="inlineStr">
        <is>
          <t>Retail Partners</t>
        </is>
      </c>
      <c r="F2341" s="36" t="inlineStr">
        <is>
          <t>Business</t>
        </is>
      </c>
      <c r="G2341" s="36" t="inlineStr">
        <is>
          <t>Travel</t>
        </is>
      </c>
      <c r="H2341" s="36" t="inlineStr">
        <is>
          <t>Travel Backpack 35L</t>
        </is>
      </c>
      <c r="I2341" s="36" t="n">
        <v>2</v>
      </c>
      <c r="J2341" s="39" t="n">
        <v>166.1</v>
      </c>
      <c r="K2341" s="45" t="n">
        <v>0.05</v>
      </c>
      <c r="L2341" s="39" t="n">
        <v>88.2</v>
      </c>
      <c r="M2341" s="39">
        <f>I2341*J2341*(1-K2341)</f>
        <v/>
      </c>
      <c r="N2341" s="39">
        <f>I2341*L2341</f>
        <v/>
      </c>
      <c r="O2341" s="39">
        <f>M2341-N2341</f>
        <v/>
      </c>
      <c r="P2341" s="38">
        <f>IF(M2341=0,0,O2341/M2341)</f>
        <v/>
      </c>
      <c r="Q2341" s="36">
        <f>YEAR(B2341)</f>
        <v/>
      </c>
      <c r="R2341" s="36">
        <f>"Q"&amp;ROUNDUP(MONTH(B2341)/3,0)</f>
        <v/>
      </c>
      <c r="S2341" s="36">
        <f>MONTH(B2341)</f>
        <v/>
      </c>
      <c r="T2341" s="36">
        <f>TEXT(B2341,"mmm")</f>
        <v/>
      </c>
      <c r="U2341" s="36">
        <f>IF(AND(OR(sel_Region="All",C2341=sel_Region),OR(sel_Country="All",D2341=sel_Country),OR(sel_Channel="All",E2341=sel_Channel),OR(sel_Customer="All",F2341=sel_Customer),OR(sel_Category="All",G2341=sel_Category),OR(sel_Product="All",H2341=sel_Product),AND(S2341&gt;=m_From,S2341&lt;=m_To)),1,0)</f>
        <v/>
      </c>
      <c r="V2341" s="36">
        <f>IF(AND(OR(sel_Region="All",C2341=sel_Region),OR(sel_Channel="All",E2341=sel_Channel),OR(sel_Customer="All",F2341=sel_Customer),OR(sel_Category="All",G2341=sel_Category),OR(sel_Product="All",H2341=sel_Product),AND(S2341&gt;=m_From,S2341&lt;=m_To)),1,0)</f>
        <v/>
      </c>
      <c r="W2341" s="36">
        <f>IF(AND(OR(sel_Region="All",C2341=sel_Region),OR(sel_Country="All",D2341=sel_Country),OR(sel_Customer="All",F2341=sel_Customer),OR(sel_Category="All",G2341=sel_Category),OR(sel_Product="All",H2341=sel_Product),AND(S2341&gt;=m_From,S2341&lt;=m_To)),1,0)</f>
        <v/>
      </c>
      <c r="X2341" s="36">
        <f>IF(AND(OR(sel_Region="All",C2341=sel_Region),OR(sel_Country="All",D2341=sel_Country),OR(sel_Channel="All",E2341=sel_Channel),OR(sel_Category="All",G2341=sel_Category),OR(sel_Product="All",H2341=sel_Product),AND(S2341&gt;=m_From,S2341&lt;=m_To)),1,0)</f>
        <v/>
      </c>
      <c r="Y2341" s="36">
        <f>IF(AND(OR(sel_Region="All",C2341=sel_Region),OR(sel_Country="All",D2341=sel_Country),OR(sel_Channel="All",E2341=sel_Channel),OR(sel_Customer="All",F2341=sel_Customer),OR(sel_Product="All",H2341=sel_Product),AND(S2341&gt;=m_From,S2341&lt;=m_To)),1,0)</f>
        <v/>
      </c>
      <c r="Z2341" s="36">
        <f>IF(AND(OR(sel_Region="All",C2341=sel_Region),OR(sel_Country="All",D2341=sel_Country),OR(sel_Channel="All",E2341=sel_Channel),OR(sel_Customer="All",F2341=sel_Customer),OR(sel_Category="All",G2341=sel_Category),AND(S2341&gt;=m_From,S2341&lt;=m_To)),1,0)</f>
        <v/>
      </c>
      <c r="AA2341" s="36">
        <f>IF(AND(OR(sel_Region="All",C2341=sel_Region),OR(sel_Country="All",D2341=sel_Country),OR(sel_Channel="All",E2341=sel_Channel),OR(sel_Customer="All",F2341=sel_Customer),OR(sel_Category="All",G2341=sel_Category),OR(sel_Product="All",H2341=sel_Product)),1,0)</f>
        <v/>
      </c>
    </row>
    <row r="2342">
      <c r="A2342" s="36" t="inlineStr">
        <is>
          <t>04829</t>
        </is>
      </c>
      <c r="B2342" s="44" t="n">
        <v>46337</v>
      </c>
      <c r="C2342" s="36" t="inlineStr">
        <is>
          <t>Northern Europe</t>
        </is>
      </c>
      <c r="D2342" s="36" t="inlineStr">
        <is>
          <t>Norway</t>
        </is>
      </c>
      <c r="E2342" s="36" t="inlineStr">
        <is>
          <t>Marketplace</t>
        </is>
      </c>
      <c r="F2342" s="36" t="inlineStr">
        <is>
          <t>New</t>
        </is>
      </c>
      <c r="G2342" s="36" t="inlineStr">
        <is>
          <t>Cycling</t>
        </is>
      </c>
      <c r="H2342" s="36" t="inlineStr">
        <is>
          <t>Commuter Helmet</t>
        </is>
      </c>
      <c r="I2342" s="36" t="n">
        <v>2</v>
      </c>
      <c r="J2342" s="39" t="n">
        <v>81.27</v>
      </c>
      <c r="K2342" s="45" t="n">
        <v>0.05</v>
      </c>
      <c r="L2342" s="39" t="n">
        <v>43.04</v>
      </c>
      <c r="M2342" s="39">
        <f>I2342*J2342*(1-K2342)</f>
        <v/>
      </c>
      <c r="N2342" s="39">
        <f>I2342*L2342</f>
        <v/>
      </c>
      <c r="O2342" s="39">
        <f>M2342-N2342</f>
        <v/>
      </c>
      <c r="P2342" s="38">
        <f>IF(M2342=0,0,O2342/M2342)</f>
        <v/>
      </c>
      <c r="Q2342" s="36">
        <f>YEAR(B2342)</f>
        <v/>
      </c>
      <c r="R2342" s="36">
        <f>"Q"&amp;ROUNDUP(MONTH(B2342)/3,0)</f>
        <v/>
      </c>
      <c r="S2342" s="36">
        <f>MONTH(B2342)</f>
        <v/>
      </c>
      <c r="T2342" s="36">
        <f>TEXT(B2342,"mmm")</f>
        <v/>
      </c>
      <c r="U2342" s="36">
        <f>IF(AND(OR(sel_Region="All",C2342=sel_Region),OR(sel_Country="All",D2342=sel_Country),OR(sel_Channel="All",E2342=sel_Channel),OR(sel_Customer="All",F2342=sel_Customer),OR(sel_Category="All",G2342=sel_Category),OR(sel_Product="All",H2342=sel_Product),AND(S2342&gt;=m_From,S2342&lt;=m_To)),1,0)</f>
        <v/>
      </c>
      <c r="V2342" s="36">
        <f>IF(AND(OR(sel_Region="All",C2342=sel_Region),OR(sel_Channel="All",E2342=sel_Channel),OR(sel_Customer="All",F2342=sel_Customer),OR(sel_Category="All",G2342=sel_Category),OR(sel_Product="All",H2342=sel_Product),AND(S2342&gt;=m_From,S2342&lt;=m_To)),1,0)</f>
        <v/>
      </c>
      <c r="W2342" s="36">
        <f>IF(AND(OR(sel_Region="All",C2342=sel_Region),OR(sel_Country="All",D2342=sel_Country),OR(sel_Customer="All",F2342=sel_Customer),OR(sel_Category="All",G2342=sel_Category),OR(sel_Product="All",H2342=sel_Product),AND(S2342&gt;=m_From,S2342&lt;=m_To)),1,0)</f>
        <v/>
      </c>
      <c r="X2342" s="36">
        <f>IF(AND(OR(sel_Region="All",C2342=sel_Region),OR(sel_Country="All",D2342=sel_Country),OR(sel_Channel="All",E2342=sel_Channel),OR(sel_Category="All",G2342=sel_Category),OR(sel_Product="All",H2342=sel_Product),AND(S2342&gt;=m_From,S2342&lt;=m_To)),1,0)</f>
        <v/>
      </c>
      <c r="Y2342" s="36">
        <f>IF(AND(OR(sel_Region="All",C2342=sel_Region),OR(sel_Country="All",D2342=sel_Country),OR(sel_Channel="All",E2342=sel_Channel),OR(sel_Customer="All",F2342=sel_Customer),OR(sel_Product="All",H2342=sel_Product),AND(S2342&gt;=m_From,S2342&lt;=m_To)),1,0)</f>
        <v/>
      </c>
      <c r="Z2342" s="36">
        <f>IF(AND(OR(sel_Region="All",C2342=sel_Region),OR(sel_Country="All",D2342=sel_Country),OR(sel_Channel="All",E2342=sel_Channel),OR(sel_Customer="All",F2342=sel_Customer),OR(sel_Category="All",G2342=sel_Category),AND(S2342&gt;=m_From,S2342&lt;=m_To)),1,0)</f>
        <v/>
      </c>
      <c r="AA2342" s="36">
        <f>IF(AND(OR(sel_Region="All",C2342=sel_Region),OR(sel_Country="All",D2342=sel_Country),OR(sel_Channel="All",E2342=sel_Channel),OR(sel_Customer="All",F2342=sel_Customer),OR(sel_Category="All",G2342=sel_Category),OR(sel_Product="All",H2342=sel_Product)),1,0)</f>
        <v/>
      </c>
    </row>
    <row r="2343">
      <c r="A2343" s="36" t="inlineStr">
        <is>
          <t>04943</t>
        </is>
      </c>
      <c r="B2343" s="44" t="n">
        <v>46337</v>
      </c>
      <c r="C2343" s="36" t="inlineStr">
        <is>
          <t>Southern Europe</t>
        </is>
      </c>
      <c r="D2343" s="36" t="inlineStr">
        <is>
          <t>Portugal</t>
        </is>
      </c>
      <c r="E2343" s="36" t="inlineStr">
        <is>
          <t>Corporate</t>
        </is>
      </c>
      <c r="F2343" s="36" t="inlineStr">
        <is>
          <t>Returning</t>
        </is>
      </c>
      <c r="G2343" s="36" t="inlineStr">
        <is>
          <t>Camping</t>
        </is>
      </c>
      <c r="H2343" s="36" t="inlineStr">
        <is>
          <t>Trail Tent 2P</t>
        </is>
      </c>
      <c r="I2343" s="36" t="n">
        <v>10</v>
      </c>
      <c r="J2343" s="39" t="n">
        <v>191.98</v>
      </c>
      <c r="K2343" s="45" t="n">
        <v>0.1</v>
      </c>
      <c r="L2343" s="39" t="n">
        <v>102.73</v>
      </c>
      <c r="M2343" s="39">
        <f>I2343*J2343*(1-K2343)</f>
        <v/>
      </c>
      <c r="N2343" s="39">
        <f>I2343*L2343</f>
        <v/>
      </c>
      <c r="O2343" s="39">
        <f>M2343-N2343</f>
        <v/>
      </c>
      <c r="P2343" s="38">
        <f>IF(M2343=0,0,O2343/M2343)</f>
        <v/>
      </c>
      <c r="Q2343" s="36">
        <f>YEAR(B2343)</f>
        <v/>
      </c>
      <c r="R2343" s="36">
        <f>"Q"&amp;ROUNDUP(MONTH(B2343)/3,0)</f>
        <v/>
      </c>
      <c r="S2343" s="36">
        <f>MONTH(B2343)</f>
        <v/>
      </c>
      <c r="T2343" s="36">
        <f>TEXT(B2343,"mmm")</f>
        <v/>
      </c>
      <c r="U2343" s="36">
        <f>IF(AND(OR(sel_Region="All",C2343=sel_Region),OR(sel_Country="All",D2343=sel_Country),OR(sel_Channel="All",E2343=sel_Channel),OR(sel_Customer="All",F2343=sel_Customer),OR(sel_Category="All",G2343=sel_Category),OR(sel_Product="All",H2343=sel_Product),AND(S2343&gt;=m_From,S2343&lt;=m_To)),1,0)</f>
        <v/>
      </c>
      <c r="V2343" s="36">
        <f>IF(AND(OR(sel_Region="All",C2343=sel_Region),OR(sel_Channel="All",E2343=sel_Channel),OR(sel_Customer="All",F2343=sel_Customer),OR(sel_Category="All",G2343=sel_Category),OR(sel_Product="All",H2343=sel_Product),AND(S2343&gt;=m_From,S2343&lt;=m_To)),1,0)</f>
        <v/>
      </c>
      <c r="W2343" s="36">
        <f>IF(AND(OR(sel_Region="All",C2343=sel_Region),OR(sel_Country="All",D2343=sel_Country),OR(sel_Customer="All",F2343=sel_Customer),OR(sel_Category="All",G2343=sel_Category),OR(sel_Product="All",H2343=sel_Product),AND(S2343&gt;=m_From,S2343&lt;=m_To)),1,0)</f>
        <v/>
      </c>
      <c r="X2343" s="36">
        <f>IF(AND(OR(sel_Region="All",C2343=sel_Region),OR(sel_Country="All",D2343=sel_Country),OR(sel_Channel="All",E2343=sel_Channel),OR(sel_Category="All",G2343=sel_Category),OR(sel_Product="All",H2343=sel_Product),AND(S2343&gt;=m_From,S2343&lt;=m_To)),1,0)</f>
        <v/>
      </c>
      <c r="Y2343" s="36">
        <f>IF(AND(OR(sel_Region="All",C2343=sel_Region),OR(sel_Country="All",D2343=sel_Country),OR(sel_Channel="All",E2343=sel_Channel),OR(sel_Customer="All",F2343=sel_Customer),OR(sel_Product="All",H2343=sel_Product),AND(S2343&gt;=m_From,S2343&lt;=m_To)),1,0)</f>
        <v/>
      </c>
      <c r="Z2343" s="36">
        <f>IF(AND(OR(sel_Region="All",C2343=sel_Region),OR(sel_Country="All",D2343=sel_Country),OR(sel_Channel="All",E2343=sel_Channel),OR(sel_Customer="All",F2343=sel_Customer),OR(sel_Category="All",G2343=sel_Category),AND(S2343&gt;=m_From,S2343&lt;=m_To)),1,0)</f>
        <v/>
      </c>
      <c r="AA2343" s="36">
        <f>IF(AND(OR(sel_Region="All",C2343=sel_Region),OR(sel_Country="All",D2343=sel_Country),OR(sel_Channel="All",E2343=sel_Channel),OR(sel_Customer="All",F2343=sel_Customer),OR(sel_Category="All",G2343=sel_Category),OR(sel_Product="All",H2343=sel_Product)),1,0)</f>
        <v/>
      </c>
    </row>
    <row r="2344">
      <c r="A2344" s="36" t="inlineStr">
        <is>
          <t>00887</t>
        </is>
      </c>
      <c r="B2344" s="44" t="n">
        <v>46338</v>
      </c>
      <c r="C2344" s="36" t="inlineStr">
        <is>
          <t>Western Europe</t>
        </is>
      </c>
      <c r="D2344" s="36" t="inlineStr">
        <is>
          <t>United Kingdom</t>
        </is>
      </c>
      <c r="E2344" s="36" t="inlineStr">
        <is>
          <t>Retail Partners</t>
        </is>
      </c>
      <c r="F2344" s="36" t="inlineStr">
        <is>
          <t>Returning</t>
        </is>
      </c>
      <c r="G2344" s="36" t="inlineStr">
        <is>
          <t>Hiking</t>
        </is>
      </c>
      <c r="H2344" s="36" t="inlineStr">
        <is>
          <t>Hiking Daypack 20L</t>
        </is>
      </c>
      <c r="I2344" s="36" t="n">
        <v>6</v>
      </c>
      <c r="J2344" s="39" t="n">
        <v>89.87</v>
      </c>
      <c r="K2344" s="45" t="n">
        <v>0.2</v>
      </c>
      <c r="L2344" s="39" t="n">
        <v>44.47</v>
      </c>
      <c r="M2344" s="39">
        <f>I2344*J2344*(1-K2344)</f>
        <v/>
      </c>
      <c r="N2344" s="39">
        <f>I2344*L2344</f>
        <v/>
      </c>
      <c r="O2344" s="39">
        <f>M2344-N2344</f>
        <v/>
      </c>
      <c r="P2344" s="38">
        <f>IF(M2344=0,0,O2344/M2344)</f>
        <v/>
      </c>
      <c r="Q2344" s="36">
        <f>YEAR(B2344)</f>
        <v/>
      </c>
      <c r="R2344" s="36">
        <f>"Q"&amp;ROUNDUP(MONTH(B2344)/3,0)</f>
        <v/>
      </c>
      <c r="S2344" s="36">
        <f>MONTH(B2344)</f>
        <v/>
      </c>
      <c r="T2344" s="36">
        <f>TEXT(B2344,"mmm")</f>
        <v/>
      </c>
      <c r="U2344" s="36">
        <f>IF(AND(OR(sel_Region="All",C2344=sel_Region),OR(sel_Country="All",D2344=sel_Country),OR(sel_Channel="All",E2344=sel_Channel),OR(sel_Customer="All",F2344=sel_Customer),OR(sel_Category="All",G2344=sel_Category),OR(sel_Product="All",H2344=sel_Product),AND(S2344&gt;=m_From,S2344&lt;=m_To)),1,0)</f>
        <v/>
      </c>
      <c r="V2344" s="36">
        <f>IF(AND(OR(sel_Region="All",C2344=sel_Region),OR(sel_Channel="All",E2344=sel_Channel),OR(sel_Customer="All",F2344=sel_Customer),OR(sel_Category="All",G2344=sel_Category),OR(sel_Product="All",H2344=sel_Product),AND(S2344&gt;=m_From,S2344&lt;=m_To)),1,0)</f>
        <v/>
      </c>
      <c r="W2344" s="36">
        <f>IF(AND(OR(sel_Region="All",C2344=sel_Region),OR(sel_Country="All",D2344=sel_Country),OR(sel_Customer="All",F2344=sel_Customer),OR(sel_Category="All",G2344=sel_Category),OR(sel_Product="All",H2344=sel_Product),AND(S2344&gt;=m_From,S2344&lt;=m_To)),1,0)</f>
        <v/>
      </c>
      <c r="X2344" s="36">
        <f>IF(AND(OR(sel_Region="All",C2344=sel_Region),OR(sel_Country="All",D2344=sel_Country),OR(sel_Channel="All",E2344=sel_Channel),OR(sel_Category="All",G2344=sel_Category),OR(sel_Product="All",H2344=sel_Product),AND(S2344&gt;=m_From,S2344&lt;=m_To)),1,0)</f>
        <v/>
      </c>
      <c r="Y2344" s="36">
        <f>IF(AND(OR(sel_Region="All",C2344=sel_Region),OR(sel_Country="All",D2344=sel_Country),OR(sel_Channel="All",E2344=sel_Channel),OR(sel_Customer="All",F2344=sel_Customer),OR(sel_Product="All",H2344=sel_Product),AND(S2344&gt;=m_From,S2344&lt;=m_To)),1,0)</f>
        <v/>
      </c>
      <c r="Z2344" s="36">
        <f>IF(AND(OR(sel_Region="All",C2344=sel_Region),OR(sel_Country="All",D2344=sel_Country),OR(sel_Channel="All",E2344=sel_Channel),OR(sel_Customer="All",F2344=sel_Customer),OR(sel_Category="All",G2344=sel_Category),AND(S2344&gt;=m_From,S2344&lt;=m_To)),1,0)</f>
        <v/>
      </c>
      <c r="AA2344" s="36">
        <f>IF(AND(OR(sel_Region="All",C2344=sel_Region),OR(sel_Country="All",D2344=sel_Country),OR(sel_Channel="All",E2344=sel_Channel),OR(sel_Customer="All",F2344=sel_Customer),OR(sel_Category="All",G2344=sel_Category),OR(sel_Product="All",H2344=sel_Product)),1,0)</f>
        <v/>
      </c>
    </row>
    <row r="2345">
      <c r="A2345" s="36" t="inlineStr">
        <is>
          <t>01090</t>
        </is>
      </c>
      <c r="B2345" s="44" t="n">
        <v>46338</v>
      </c>
      <c r="C2345" s="36" t="inlineStr">
        <is>
          <t>Central Europe</t>
        </is>
      </c>
      <c r="D2345" s="36" t="inlineStr">
        <is>
          <t>Poland</t>
        </is>
      </c>
      <c r="E2345" s="36" t="inlineStr">
        <is>
          <t>Marketplace</t>
        </is>
      </c>
      <c r="F2345" s="36" t="inlineStr">
        <is>
          <t>New</t>
        </is>
      </c>
      <c r="G2345" s="36" t="inlineStr">
        <is>
          <t>Cycling</t>
        </is>
      </c>
      <c r="H2345" s="36" t="inlineStr">
        <is>
          <t>Trail Bike Light</t>
        </is>
      </c>
      <c r="I2345" s="36" t="n">
        <v>3</v>
      </c>
      <c r="J2345" s="39" t="n">
        <v>51.44</v>
      </c>
      <c r="K2345" s="45" t="n">
        <v>0.1</v>
      </c>
      <c r="L2345" s="39" t="n">
        <v>23.11</v>
      </c>
      <c r="M2345" s="39">
        <f>I2345*J2345*(1-K2345)</f>
        <v/>
      </c>
      <c r="N2345" s="39">
        <f>I2345*L2345</f>
        <v/>
      </c>
      <c r="O2345" s="39">
        <f>M2345-N2345</f>
        <v/>
      </c>
      <c r="P2345" s="38">
        <f>IF(M2345=0,0,O2345/M2345)</f>
        <v/>
      </c>
      <c r="Q2345" s="36">
        <f>YEAR(B2345)</f>
        <v/>
      </c>
      <c r="R2345" s="36">
        <f>"Q"&amp;ROUNDUP(MONTH(B2345)/3,0)</f>
        <v/>
      </c>
      <c r="S2345" s="36">
        <f>MONTH(B2345)</f>
        <v/>
      </c>
      <c r="T2345" s="36">
        <f>TEXT(B2345,"mmm")</f>
        <v/>
      </c>
      <c r="U2345" s="36">
        <f>IF(AND(OR(sel_Region="All",C2345=sel_Region),OR(sel_Country="All",D2345=sel_Country),OR(sel_Channel="All",E2345=sel_Channel),OR(sel_Customer="All",F2345=sel_Customer),OR(sel_Category="All",G2345=sel_Category),OR(sel_Product="All",H2345=sel_Product),AND(S2345&gt;=m_From,S2345&lt;=m_To)),1,0)</f>
        <v/>
      </c>
      <c r="V2345" s="36">
        <f>IF(AND(OR(sel_Region="All",C2345=sel_Region),OR(sel_Channel="All",E2345=sel_Channel),OR(sel_Customer="All",F2345=sel_Customer),OR(sel_Category="All",G2345=sel_Category),OR(sel_Product="All",H2345=sel_Product),AND(S2345&gt;=m_From,S2345&lt;=m_To)),1,0)</f>
        <v/>
      </c>
      <c r="W2345" s="36">
        <f>IF(AND(OR(sel_Region="All",C2345=sel_Region),OR(sel_Country="All",D2345=sel_Country),OR(sel_Customer="All",F2345=sel_Customer),OR(sel_Category="All",G2345=sel_Category),OR(sel_Product="All",H2345=sel_Product),AND(S2345&gt;=m_From,S2345&lt;=m_To)),1,0)</f>
        <v/>
      </c>
      <c r="X2345" s="36">
        <f>IF(AND(OR(sel_Region="All",C2345=sel_Region),OR(sel_Country="All",D2345=sel_Country),OR(sel_Channel="All",E2345=sel_Channel),OR(sel_Category="All",G2345=sel_Category),OR(sel_Product="All",H2345=sel_Product),AND(S2345&gt;=m_From,S2345&lt;=m_To)),1,0)</f>
        <v/>
      </c>
      <c r="Y2345" s="36">
        <f>IF(AND(OR(sel_Region="All",C2345=sel_Region),OR(sel_Country="All",D2345=sel_Country),OR(sel_Channel="All",E2345=sel_Channel),OR(sel_Customer="All",F2345=sel_Customer),OR(sel_Product="All",H2345=sel_Product),AND(S2345&gt;=m_From,S2345&lt;=m_To)),1,0)</f>
        <v/>
      </c>
      <c r="Z2345" s="36">
        <f>IF(AND(OR(sel_Region="All",C2345=sel_Region),OR(sel_Country="All",D2345=sel_Country),OR(sel_Channel="All",E2345=sel_Channel),OR(sel_Customer="All",F2345=sel_Customer),OR(sel_Category="All",G2345=sel_Category),AND(S2345&gt;=m_From,S2345&lt;=m_To)),1,0)</f>
        <v/>
      </c>
      <c r="AA2345" s="36">
        <f>IF(AND(OR(sel_Region="All",C2345=sel_Region),OR(sel_Country="All",D2345=sel_Country),OR(sel_Channel="All",E2345=sel_Channel),OR(sel_Customer="All",F2345=sel_Customer),OR(sel_Category="All",G2345=sel_Category),OR(sel_Product="All",H2345=sel_Product)),1,0)</f>
        <v/>
      </c>
    </row>
    <row r="2346">
      <c r="A2346" s="36" t="inlineStr">
        <is>
          <t>02090</t>
        </is>
      </c>
      <c r="B2346" s="44" t="n">
        <v>46338</v>
      </c>
      <c r="C2346" s="36" t="inlineStr">
        <is>
          <t>Western Europe</t>
        </is>
      </c>
      <c r="D2346" s="36" t="inlineStr">
        <is>
          <t>Belgium</t>
        </is>
      </c>
      <c r="E2346" s="36" t="inlineStr">
        <is>
          <t>Marketplace</t>
        </is>
      </c>
      <c r="F2346" s="36" t="inlineStr">
        <is>
          <t>New</t>
        </is>
      </c>
      <c r="G2346" s="36" t="inlineStr">
        <is>
          <t>Travel</t>
        </is>
      </c>
      <c r="H2346" s="36" t="inlineStr">
        <is>
          <t>Packing Cube Set</t>
        </is>
      </c>
      <c r="I2346" s="36" t="n">
        <v>4</v>
      </c>
      <c r="J2346" s="39" t="n">
        <v>46.68</v>
      </c>
      <c r="K2346" s="45" t="n">
        <v>0.05</v>
      </c>
      <c r="L2346" s="39" t="n">
        <v>17.96</v>
      </c>
      <c r="M2346" s="39">
        <f>I2346*J2346*(1-K2346)</f>
        <v/>
      </c>
      <c r="N2346" s="39">
        <f>I2346*L2346</f>
        <v/>
      </c>
      <c r="O2346" s="39">
        <f>M2346-N2346</f>
        <v/>
      </c>
      <c r="P2346" s="38">
        <f>IF(M2346=0,0,O2346/M2346)</f>
        <v/>
      </c>
      <c r="Q2346" s="36">
        <f>YEAR(B2346)</f>
        <v/>
      </c>
      <c r="R2346" s="36">
        <f>"Q"&amp;ROUNDUP(MONTH(B2346)/3,0)</f>
        <v/>
      </c>
      <c r="S2346" s="36">
        <f>MONTH(B2346)</f>
        <v/>
      </c>
      <c r="T2346" s="36">
        <f>TEXT(B2346,"mmm")</f>
        <v/>
      </c>
      <c r="U2346" s="36">
        <f>IF(AND(OR(sel_Region="All",C2346=sel_Region),OR(sel_Country="All",D2346=sel_Country),OR(sel_Channel="All",E2346=sel_Channel),OR(sel_Customer="All",F2346=sel_Customer),OR(sel_Category="All",G2346=sel_Category),OR(sel_Product="All",H2346=sel_Product),AND(S2346&gt;=m_From,S2346&lt;=m_To)),1,0)</f>
        <v/>
      </c>
      <c r="V2346" s="36">
        <f>IF(AND(OR(sel_Region="All",C2346=sel_Region),OR(sel_Channel="All",E2346=sel_Channel),OR(sel_Customer="All",F2346=sel_Customer),OR(sel_Category="All",G2346=sel_Category),OR(sel_Product="All",H2346=sel_Product),AND(S2346&gt;=m_From,S2346&lt;=m_To)),1,0)</f>
        <v/>
      </c>
      <c r="W2346" s="36">
        <f>IF(AND(OR(sel_Region="All",C2346=sel_Region),OR(sel_Country="All",D2346=sel_Country),OR(sel_Customer="All",F2346=sel_Customer),OR(sel_Category="All",G2346=sel_Category),OR(sel_Product="All",H2346=sel_Product),AND(S2346&gt;=m_From,S2346&lt;=m_To)),1,0)</f>
        <v/>
      </c>
      <c r="X2346" s="36">
        <f>IF(AND(OR(sel_Region="All",C2346=sel_Region),OR(sel_Country="All",D2346=sel_Country),OR(sel_Channel="All",E2346=sel_Channel),OR(sel_Category="All",G2346=sel_Category),OR(sel_Product="All",H2346=sel_Product),AND(S2346&gt;=m_From,S2346&lt;=m_To)),1,0)</f>
        <v/>
      </c>
      <c r="Y2346" s="36">
        <f>IF(AND(OR(sel_Region="All",C2346=sel_Region),OR(sel_Country="All",D2346=sel_Country),OR(sel_Channel="All",E2346=sel_Channel),OR(sel_Customer="All",F2346=sel_Customer),OR(sel_Product="All",H2346=sel_Product),AND(S2346&gt;=m_From,S2346&lt;=m_To)),1,0)</f>
        <v/>
      </c>
      <c r="Z2346" s="36">
        <f>IF(AND(OR(sel_Region="All",C2346=sel_Region),OR(sel_Country="All",D2346=sel_Country),OR(sel_Channel="All",E2346=sel_Channel),OR(sel_Customer="All",F2346=sel_Customer),OR(sel_Category="All",G2346=sel_Category),AND(S2346&gt;=m_From,S2346&lt;=m_To)),1,0)</f>
        <v/>
      </c>
      <c r="AA2346" s="36">
        <f>IF(AND(OR(sel_Region="All",C2346=sel_Region),OR(sel_Country="All",D2346=sel_Country),OR(sel_Channel="All",E2346=sel_Channel),OR(sel_Customer="All",F2346=sel_Customer),OR(sel_Category="All",G2346=sel_Category),OR(sel_Product="All",H2346=sel_Product)),1,0)</f>
        <v/>
      </c>
    </row>
    <row r="2347">
      <c r="A2347" s="36" t="inlineStr">
        <is>
          <t>02561</t>
        </is>
      </c>
      <c r="B2347" s="44" t="n">
        <v>46338</v>
      </c>
      <c r="C2347" s="36" t="inlineStr">
        <is>
          <t>Central Europe</t>
        </is>
      </c>
      <c r="D2347" s="36" t="inlineStr">
        <is>
          <t>Germany</t>
        </is>
      </c>
      <c r="E2347" s="36" t="inlineStr">
        <is>
          <t>Retail Partners</t>
        </is>
      </c>
      <c r="F2347" s="36" t="inlineStr">
        <is>
          <t>New</t>
        </is>
      </c>
      <c r="G2347" s="36" t="inlineStr">
        <is>
          <t>Hiking</t>
        </is>
      </c>
      <c r="H2347" s="36" t="inlineStr">
        <is>
          <t>Trekking Poles</t>
        </is>
      </c>
      <c r="I2347" s="36" t="n">
        <v>4</v>
      </c>
      <c r="J2347" s="39" t="n">
        <v>73.05</v>
      </c>
      <c r="K2347" s="45" t="n">
        <v>0.2</v>
      </c>
      <c r="L2347" s="39" t="n">
        <v>32.82</v>
      </c>
      <c r="M2347" s="39">
        <f>I2347*J2347*(1-K2347)</f>
        <v/>
      </c>
      <c r="N2347" s="39">
        <f>I2347*L2347</f>
        <v/>
      </c>
      <c r="O2347" s="39">
        <f>M2347-N2347</f>
        <v/>
      </c>
      <c r="P2347" s="38">
        <f>IF(M2347=0,0,O2347/M2347)</f>
        <v/>
      </c>
      <c r="Q2347" s="36">
        <f>YEAR(B2347)</f>
        <v/>
      </c>
      <c r="R2347" s="36">
        <f>"Q"&amp;ROUNDUP(MONTH(B2347)/3,0)</f>
        <v/>
      </c>
      <c r="S2347" s="36">
        <f>MONTH(B2347)</f>
        <v/>
      </c>
      <c r="T2347" s="36">
        <f>TEXT(B2347,"mmm")</f>
        <v/>
      </c>
      <c r="U2347" s="36">
        <f>IF(AND(OR(sel_Region="All",C2347=sel_Region),OR(sel_Country="All",D2347=sel_Country),OR(sel_Channel="All",E2347=sel_Channel),OR(sel_Customer="All",F2347=sel_Customer),OR(sel_Category="All",G2347=sel_Category),OR(sel_Product="All",H2347=sel_Product),AND(S2347&gt;=m_From,S2347&lt;=m_To)),1,0)</f>
        <v/>
      </c>
      <c r="V2347" s="36">
        <f>IF(AND(OR(sel_Region="All",C2347=sel_Region),OR(sel_Channel="All",E2347=sel_Channel),OR(sel_Customer="All",F2347=sel_Customer),OR(sel_Category="All",G2347=sel_Category),OR(sel_Product="All",H2347=sel_Product),AND(S2347&gt;=m_From,S2347&lt;=m_To)),1,0)</f>
        <v/>
      </c>
      <c r="W2347" s="36">
        <f>IF(AND(OR(sel_Region="All",C2347=sel_Region),OR(sel_Country="All",D2347=sel_Country),OR(sel_Customer="All",F2347=sel_Customer),OR(sel_Category="All",G2347=sel_Category),OR(sel_Product="All",H2347=sel_Product),AND(S2347&gt;=m_From,S2347&lt;=m_To)),1,0)</f>
        <v/>
      </c>
      <c r="X2347" s="36">
        <f>IF(AND(OR(sel_Region="All",C2347=sel_Region),OR(sel_Country="All",D2347=sel_Country),OR(sel_Channel="All",E2347=sel_Channel),OR(sel_Category="All",G2347=sel_Category),OR(sel_Product="All",H2347=sel_Product),AND(S2347&gt;=m_From,S2347&lt;=m_To)),1,0)</f>
        <v/>
      </c>
      <c r="Y2347" s="36">
        <f>IF(AND(OR(sel_Region="All",C2347=sel_Region),OR(sel_Country="All",D2347=sel_Country),OR(sel_Channel="All",E2347=sel_Channel),OR(sel_Customer="All",F2347=sel_Customer),OR(sel_Product="All",H2347=sel_Product),AND(S2347&gt;=m_From,S2347&lt;=m_To)),1,0)</f>
        <v/>
      </c>
      <c r="Z2347" s="36">
        <f>IF(AND(OR(sel_Region="All",C2347=sel_Region),OR(sel_Country="All",D2347=sel_Country),OR(sel_Channel="All",E2347=sel_Channel),OR(sel_Customer="All",F2347=sel_Customer),OR(sel_Category="All",G2347=sel_Category),AND(S2347&gt;=m_From,S2347&lt;=m_To)),1,0)</f>
        <v/>
      </c>
      <c r="AA2347" s="36">
        <f>IF(AND(OR(sel_Region="All",C2347=sel_Region),OR(sel_Country="All",D2347=sel_Country),OR(sel_Channel="All",E2347=sel_Channel),OR(sel_Customer="All",F2347=sel_Customer),OR(sel_Category="All",G2347=sel_Category),OR(sel_Product="All",H2347=sel_Product)),1,0)</f>
        <v/>
      </c>
    </row>
    <row r="2348">
      <c r="A2348" s="36" t="inlineStr">
        <is>
          <t>02855</t>
        </is>
      </c>
      <c r="B2348" s="44" t="n">
        <v>46338</v>
      </c>
      <c r="C2348" s="36" t="inlineStr">
        <is>
          <t>Northern Europe</t>
        </is>
      </c>
      <c r="D2348" s="36" t="inlineStr">
        <is>
          <t>Finland</t>
        </is>
      </c>
      <c r="E2348" s="36" t="inlineStr">
        <is>
          <t>Marketplace</t>
        </is>
      </c>
      <c r="F2348" s="36" t="inlineStr">
        <is>
          <t>New</t>
        </is>
      </c>
      <c r="G2348" s="36" t="inlineStr">
        <is>
          <t>Camping</t>
        </is>
      </c>
      <c r="H2348" s="36" t="inlineStr">
        <is>
          <t>Compact Sleeping Bag</t>
        </is>
      </c>
      <c r="I2348" s="36" t="n">
        <v>1</v>
      </c>
      <c r="J2348" s="39" t="n">
        <v>125.32</v>
      </c>
      <c r="K2348" s="45" t="n">
        <v>0.15</v>
      </c>
      <c r="L2348" s="39" t="n">
        <v>59.49</v>
      </c>
      <c r="M2348" s="39">
        <f>I2348*J2348*(1-K2348)</f>
        <v/>
      </c>
      <c r="N2348" s="39">
        <f>I2348*L2348</f>
        <v/>
      </c>
      <c r="O2348" s="39">
        <f>M2348-N2348</f>
        <v/>
      </c>
      <c r="P2348" s="38">
        <f>IF(M2348=0,0,O2348/M2348)</f>
        <v/>
      </c>
      <c r="Q2348" s="36">
        <f>YEAR(B2348)</f>
        <v/>
      </c>
      <c r="R2348" s="36">
        <f>"Q"&amp;ROUNDUP(MONTH(B2348)/3,0)</f>
        <v/>
      </c>
      <c r="S2348" s="36">
        <f>MONTH(B2348)</f>
        <v/>
      </c>
      <c r="T2348" s="36">
        <f>TEXT(B2348,"mmm")</f>
        <v/>
      </c>
      <c r="U2348" s="36">
        <f>IF(AND(OR(sel_Region="All",C2348=sel_Region),OR(sel_Country="All",D2348=sel_Country),OR(sel_Channel="All",E2348=sel_Channel),OR(sel_Customer="All",F2348=sel_Customer),OR(sel_Category="All",G2348=sel_Category),OR(sel_Product="All",H2348=sel_Product),AND(S2348&gt;=m_From,S2348&lt;=m_To)),1,0)</f>
        <v/>
      </c>
      <c r="V2348" s="36">
        <f>IF(AND(OR(sel_Region="All",C2348=sel_Region),OR(sel_Channel="All",E2348=sel_Channel),OR(sel_Customer="All",F2348=sel_Customer),OR(sel_Category="All",G2348=sel_Category),OR(sel_Product="All",H2348=sel_Product),AND(S2348&gt;=m_From,S2348&lt;=m_To)),1,0)</f>
        <v/>
      </c>
      <c r="W2348" s="36">
        <f>IF(AND(OR(sel_Region="All",C2348=sel_Region),OR(sel_Country="All",D2348=sel_Country),OR(sel_Customer="All",F2348=sel_Customer),OR(sel_Category="All",G2348=sel_Category),OR(sel_Product="All",H2348=sel_Product),AND(S2348&gt;=m_From,S2348&lt;=m_To)),1,0)</f>
        <v/>
      </c>
      <c r="X2348" s="36">
        <f>IF(AND(OR(sel_Region="All",C2348=sel_Region),OR(sel_Country="All",D2348=sel_Country),OR(sel_Channel="All",E2348=sel_Channel),OR(sel_Category="All",G2348=sel_Category),OR(sel_Product="All",H2348=sel_Product),AND(S2348&gt;=m_From,S2348&lt;=m_To)),1,0)</f>
        <v/>
      </c>
      <c r="Y2348" s="36">
        <f>IF(AND(OR(sel_Region="All",C2348=sel_Region),OR(sel_Country="All",D2348=sel_Country),OR(sel_Channel="All",E2348=sel_Channel),OR(sel_Customer="All",F2348=sel_Customer),OR(sel_Product="All",H2348=sel_Product),AND(S2348&gt;=m_From,S2348&lt;=m_To)),1,0)</f>
        <v/>
      </c>
      <c r="Z2348" s="36">
        <f>IF(AND(OR(sel_Region="All",C2348=sel_Region),OR(sel_Country="All",D2348=sel_Country),OR(sel_Channel="All",E2348=sel_Channel),OR(sel_Customer="All",F2348=sel_Customer),OR(sel_Category="All",G2348=sel_Category),AND(S2348&gt;=m_From,S2348&lt;=m_To)),1,0)</f>
        <v/>
      </c>
      <c r="AA2348" s="36">
        <f>IF(AND(OR(sel_Region="All",C2348=sel_Region),OR(sel_Country="All",D2348=sel_Country),OR(sel_Channel="All",E2348=sel_Channel),OR(sel_Customer="All",F2348=sel_Customer),OR(sel_Category="All",G2348=sel_Category),OR(sel_Product="All",H2348=sel_Product)),1,0)</f>
        <v/>
      </c>
    </row>
    <row r="2349">
      <c r="A2349" s="36" t="inlineStr">
        <is>
          <t>04421</t>
        </is>
      </c>
      <c r="B2349" s="44" t="n">
        <v>46338</v>
      </c>
      <c r="C2349" s="36" t="inlineStr">
        <is>
          <t>Central Europe</t>
        </is>
      </c>
      <c r="D2349" s="36" t="inlineStr">
        <is>
          <t>Switzerland</t>
        </is>
      </c>
      <c r="E2349" s="36" t="inlineStr">
        <is>
          <t>Marketplace</t>
        </is>
      </c>
      <c r="F2349" s="36" t="inlineStr">
        <is>
          <t>Business</t>
        </is>
      </c>
      <c r="G2349" s="36" t="inlineStr">
        <is>
          <t>Fitness</t>
        </is>
      </c>
      <c r="H2349" s="36" t="inlineStr">
        <is>
          <t>Weighted Vest</t>
        </is>
      </c>
      <c r="I2349" s="36" t="n">
        <v>2</v>
      </c>
      <c r="J2349" s="39" t="n">
        <v>123.49</v>
      </c>
      <c r="K2349" s="45" t="n">
        <v>0.15</v>
      </c>
      <c r="L2349" s="39" t="n">
        <v>68.08</v>
      </c>
      <c r="M2349" s="39">
        <f>I2349*J2349*(1-K2349)</f>
        <v/>
      </c>
      <c r="N2349" s="39">
        <f>I2349*L2349</f>
        <v/>
      </c>
      <c r="O2349" s="39">
        <f>M2349-N2349</f>
        <v/>
      </c>
      <c r="P2349" s="38">
        <f>IF(M2349=0,0,O2349/M2349)</f>
        <v/>
      </c>
      <c r="Q2349" s="36">
        <f>YEAR(B2349)</f>
        <v/>
      </c>
      <c r="R2349" s="36">
        <f>"Q"&amp;ROUNDUP(MONTH(B2349)/3,0)</f>
        <v/>
      </c>
      <c r="S2349" s="36">
        <f>MONTH(B2349)</f>
        <v/>
      </c>
      <c r="T2349" s="36">
        <f>TEXT(B2349,"mmm")</f>
        <v/>
      </c>
      <c r="U2349" s="36">
        <f>IF(AND(OR(sel_Region="All",C2349=sel_Region),OR(sel_Country="All",D2349=sel_Country),OR(sel_Channel="All",E2349=sel_Channel),OR(sel_Customer="All",F2349=sel_Customer),OR(sel_Category="All",G2349=sel_Category),OR(sel_Product="All",H2349=sel_Product),AND(S2349&gt;=m_From,S2349&lt;=m_To)),1,0)</f>
        <v/>
      </c>
      <c r="V2349" s="36">
        <f>IF(AND(OR(sel_Region="All",C2349=sel_Region),OR(sel_Channel="All",E2349=sel_Channel),OR(sel_Customer="All",F2349=sel_Customer),OR(sel_Category="All",G2349=sel_Category),OR(sel_Product="All",H2349=sel_Product),AND(S2349&gt;=m_From,S2349&lt;=m_To)),1,0)</f>
        <v/>
      </c>
      <c r="W2349" s="36">
        <f>IF(AND(OR(sel_Region="All",C2349=sel_Region),OR(sel_Country="All",D2349=sel_Country),OR(sel_Customer="All",F2349=sel_Customer),OR(sel_Category="All",G2349=sel_Category),OR(sel_Product="All",H2349=sel_Product),AND(S2349&gt;=m_From,S2349&lt;=m_To)),1,0)</f>
        <v/>
      </c>
      <c r="X2349" s="36">
        <f>IF(AND(OR(sel_Region="All",C2349=sel_Region),OR(sel_Country="All",D2349=sel_Country),OR(sel_Channel="All",E2349=sel_Channel),OR(sel_Category="All",G2349=sel_Category),OR(sel_Product="All",H2349=sel_Product),AND(S2349&gt;=m_From,S2349&lt;=m_To)),1,0)</f>
        <v/>
      </c>
      <c r="Y2349" s="36">
        <f>IF(AND(OR(sel_Region="All",C2349=sel_Region),OR(sel_Country="All",D2349=sel_Country),OR(sel_Channel="All",E2349=sel_Channel),OR(sel_Customer="All",F2349=sel_Customer),OR(sel_Product="All",H2349=sel_Product),AND(S2349&gt;=m_From,S2349&lt;=m_To)),1,0)</f>
        <v/>
      </c>
      <c r="Z2349" s="36">
        <f>IF(AND(OR(sel_Region="All",C2349=sel_Region),OR(sel_Country="All",D2349=sel_Country),OR(sel_Channel="All",E2349=sel_Channel),OR(sel_Customer="All",F2349=sel_Customer),OR(sel_Category="All",G2349=sel_Category),AND(S2349&gt;=m_From,S2349&lt;=m_To)),1,0)</f>
        <v/>
      </c>
      <c r="AA2349" s="36">
        <f>IF(AND(OR(sel_Region="All",C2349=sel_Region),OR(sel_Country="All",D2349=sel_Country),OR(sel_Channel="All",E2349=sel_Channel),OR(sel_Customer="All",F2349=sel_Customer),OR(sel_Category="All",G2349=sel_Category),OR(sel_Product="All",H2349=sel_Product)),1,0)</f>
        <v/>
      </c>
    </row>
    <row r="2350">
      <c r="A2350" s="36" t="inlineStr">
        <is>
          <t>00195</t>
        </is>
      </c>
      <c r="B2350" s="44" t="n">
        <v>46339</v>
      </c>
      <c r="C2350" s="36" t="inlineStr">
        <is>
          <t>Central Europe</t>
        </is>
      </c>
      <c r="D2350" s="36" t="inlineStr">
        <is>
          <t>Germany</t>
        </is>
      </c>
      <c r="E2350" s="36" t="inlineStr">
        <is>
          <t>Retail Partners</t>
        </is>
      </c>
      <c r="F2350" s="36" t="inlineStr">
        <is>
          <t>Returning</t>
        </is>
      </c>
      <c r="G2350" s="36" t="inlineStr">
        <is>
          <t>Travel</t>
        </is>
      </c>
      <c r="H2350" s="36" t="inlineStr">
        <is>
          <t>Packing Cube Set</t>
        </is>
      </c>
      <c r="I2350" s="36" t="n">
        <v>1</v>
      </c>
      <c r="J2350" s="39" t="n">
        <v>47.37</v>
      </c>
      <c r="K2350" s="45" t="n">
        <v>0.2</v>
      </c>
      <c r="L2350" s="39" t="n">
        <v>18.74</v>
      </c>
      <c r="M2350" s="39">
        <f>I2350*J2350*(1-K2350)</f>
        <v/>
      </c>
      <c r="N2350" s="39">
        <f>I2350*L2350</f>
        <v/>
      </c>
      <c r="O2350" s="39">
        <f>M2350-N2350</f>
        <v/>
      </c>
      <c r="P2350" s="38">
        <f>IF(M2350=0,0,O2350/M2350)</f>
        <v/>
      </c>
      <c r="Q2350" s="36">
        <f>YEAR(B2350)</f>
        <v/>
      </c>
      <c r="R2350" s="36">
        <f>"Q"&amp;ROUNDUP(MONTH(B2350)/3,0)</f>
        <v/>
      </c>
      <c r="S2350" s="36">
        <f>MONTH(B2350)</f>
        <v/>
      </c>
      <c r="T2350" s="36">
        <f>TEXT(B2350,"mmm")</f>
        <v/>
      </c>
      <c r="U2350" s="36">
        <f>IF(AND(OR(sel_Region="All",C2350=sel_Region),OR(sel_Country="All",D2350=sel_Country),OR(sel_Channel="All",E2350=sel_Channel),OR(sel_Customer="All",F2350=sel_Customer),OR(sel_Category="All",G2350=sel_Category),OR(sel_Product="All",H2350=sel_Product),AND(S2350&gt;=m_From,S2350&lt;=m_To)),1,0)</f>
        <v/>
      </c>
      <c r="V2350" s="36">
        <f>IF(AND(OR(sel_Region="All",C2350=sel_Region),OR(sel_Channel="All",E2350=sel_Channel),OR(sel_Customer="All",F2350=sel_Customer),OR(sel_Category="All",G2350=sel_Category),OR(sel_Product="All",H2350=sel_Product),AND(S2350&gt;=m_From,S2350&lt;=m_To)),1,0)</f>
        <v/>
      </c>
      <c r="W2350" s="36">
        <f>IF(AND(OR(sel_Region="All",C2350=sel_Region),OR(sel_Country="All",D2350=sel_Country),OR(sel_Customer="All",F2350=sel_Customer),OR(sel_Category="All",G2350=sel_Category),OR(sel_Product="All",H2350=sel_Product),AND(S2350&gt;=m_From,S2350&lt;=m_To)),1,0)</f>
        <v/>
      </c>
      <c r="X2350" s="36">
        <f>IF(AND(OR(sel_Region="All",C2350=sel_Region),OR(sel_Country="All",D2350=sel_Country),OR(sel_Channel="All",E2350=sel_Channel),OR(sel_Category="All",G2350=sel_Category),OR(sel_Product="All",H2350=sel_Product),AND(S2350&gt;=m_From,S2350&lt;=m_To)),1,0)</f>
        <v/>
      </c>
      <c r="Y2350" s="36">
        <f>IF(AND(OR(sel_Region="All",C2350=sel_Region),OR(sel_Country="All",D2350=sel_Country),OR(sel_Channel="All",E2350=sel_Channel),OR(sel_Customer="All",F2350=sel_Customer),OR(sel_Product="All",H2350=sel_Product),AND(S2350&gt;=m_From,S2350&lt;=m_To)),1,0)</f>
        <v/>
      </c>
      <c r="Z2350" s="36">
        <f>IF(AND(OR(sel_Region="All",C2350=sel_Region),OR(sel_Country="All",D2350=sel_Country),OR(sel_Channel="All",E2350=sel_Channel),OR(sel_Customer="All",F2350=sel_Customer),OR(sel_Category="All",G2350=sel_Category),AND(S2350&gt;=m_From,S2350&lt;=m_To)),1,0)</f>
        <v/>
      </c>
      <c r="AA2350" s="36">
        <f>IF(AND(OR(sel_Region="All",C2350=sel_Region),OR(sel_Country="All",D2350=sel_Country),OR(sel_Channel="All",E2350=sel_Channel),OR(sel_Customer="All",F2350=sel_Customer),OR(sel_Category="All",G2350=sel_Category),OR(sel_Product="All",H2350=sel_Product)),1,0)</f>
        <v/>
      </c>
    </row>
    <row r="2351">
      <c r="A2351" s="36" t="inlineStr">
        <is>
          <t>00520</t>
        </is>
      </c>
      <c r="B2351" s="44" t="n">
        <v>46339</v>
      </c>
      <c r="C2351" s="36" t="inlineStr">
        <is>
          <t>Central Europe</t>
        </is>
      </c>
      <c r="D2351" s="36" t="inlineStr">
        <is>
          <t>Germany</t>
        </is>
      </c>
      <c r="E2351" s="36" t="inlineStr">
        <is>
          <t>Corporate</t>
        </is>
      </c>
      <c r="F2351" s="36" t="inlineStr">
        <is>
          <t>Business</t>
        </is>
      </c>
      <c r="G2351" s="36" t="inlineStr">
        <is>
          <t>Hiking</t>
        </is>
      </c>
      <c r="H2351" s="36" t="inlineStr">
        <is>
          <t>Hiking Daypack 20L</t>
        </is>
      </c>
      <c r="I2351" s="36" t="n">
        <v>6</v>
      </c>
      <c r="J2351" s="39" t="n">
        <v>92.31</v>
      </c>
      <c r="K2351" s="45" t="n">
        <v>0.05</v>
      </c>
      <c r="L2351" s="39" t="n">
        <v>46.12</v>
      </c>
      <c r="M2351" s="39">
        <f>I2351*J2351*(1-K2351)</f>
        <v/>
      </c>
      <c r="N2351" s="39">
        <f>I2351*L2351</f>
        <v/>
      </c>
      <c r="O2351" s="39">
        <f>M2351-N2351</f>
        <v/>
      </c>
      <c r="P2351" s="38">
        <f>IF(M2351=0,0,O2351/M2351)</f>
        <v/>
      </c>
      <c r="Q2351" s="36">
        <f>YEAR(B2351)</f>
        <v/>
      </c>
      <c r="R2351" s="36">
        <f>"Q"&amp;ROUNDUP(MONTH(B2351)/3,0)</f>
        <v/>
      </c>
      <c r="S2351" s="36">
        <f>MONTH(B2351)</f>
        <v/>
      </c>
      <c r="T2351" s="36">
        <f>TEXT(B2351,"mmm")</f>
        <v/>
      </c>
      <c r="U2351" s="36">
        <f>IF(AND(OR(sel_Region="All",C2351=sel_Region),OR(sel_Country="All",D2351=sel_Country),OR(sel_Channel="All",E2351=sel_Channel),OR(sel_Customer="All",F2351=sel_Customer),OR(sel_Category="All",G2351=sel_Category),OR(sel_Product="All",H2351=sel_Product),AND(S2351&gt;=m_From,S2351&lt;=m_To)),1,0)</f>
        <v/>
      </c>
      <c r="V2351" s="36">
        <f>IF(AND(OR(sel_Region="All",C2351=sel_Region),OR(sel_Channel="All",E2351=sel_Channel),OR(sel_Customer="All",F2351=sel_Customer),OR(sel_Category="All",G2351=sel_Category),OR(sel_Product="All",H2351=sel_Product),AND(S2351&gt;=m_From,S2351&lt;=m_To)),1,0)</f>
        <v/>
      </c>
      <c r="W2351" s="36">
        <f>IF(AND(OR(sel_Region="All",C2351=sel_Region),OR(sel_Country="All",D2351=sel_Country),OR(sel_Customer="All",F2351=sel_Customer),OR(sel_Category="All",G2351=sel_Category),OR(sel_Product="All",H2351=sel_Product),AND(S2351&gt;=m_From,S2351&lt;=m_To)),1,0)</f>
        <v/>
      </c>
      <c r="X2351" s="36">
        <f>IF(AND(OR(sel_Region="All",C2351=sel_Region),OR(sel_Country="All",D2351=sel_Country),OR(sel_Channel="All",E2351=sel_Channel),OR(sel_Category="All",G2351=sel_Category),OR(sel_Product="All",H2351=sel_Product),AND(S2351&gt;=m_From,S2351&lt;=m_To)),1,0)</f>
        <v/>
      </c>
      <c r="Y2351" s="36">
        <f>IF(AND(OR(sel_Region="All",C2351=sel_Region),OR(sel_Country="All",D2351=sel_Country),OR(sel_Channel="All",E2351=sel_Channel),OR(sel_Customer="All",F2351=sel_Customer),OR(sel_Product="All",H2351=sel_Product),AND(S2351&gt;=m_From,S2351&lt;=m_To)),1,0)</f>
        <v/>
      </c>
      <c r="Z2351" s="36">
        <f>IF(AND(OR(sel_Region="All",C2351=sel_Region),OR(sel_Country="All",D2351=sel_Country),OR(sel_Channel="All",E2351=sel_Channel),OR(sel_Customer="All",F2351=sel_Customer),OR(sel_Category="All",G2351=sel_Category),AND(S2351&gt;=m_From,S2351&lt;=m_To)),1,0)</f>
        <v/>
      </c>
      <c r="AA2351" s="36">
        <f>IF(AND(OR(sel_Region="All",C2351=sel_Region),OR(sel_Country="All",D2351=sel_Country),OR(sel_Channel="All",E2351=sel_Channel),OR(sel_Customer="All",F2351=sel_Customer),OR(sel_Category="All",G2351=sel_Category),OR(sel_Product="All",H2351=sel_Product)),1,0)</f>
        <v/>
      </c>
    </row>
    <row r="2352">
      <c r="A2352" s="36" t="inlineStr">
        <is>
          <t>00646</t>
        </is>
      </c>
      <c r="B2352" s="44" t="n">
        <v>46339</v>
      </c>
      <c r="C2352" s="36" t="inlineStr">
        <is>
          <t>Northern Europe</t>
        </is>
      </c>
      <c r="D2352" s="36" t="inlineStr">
        <is>
          <t>Norway</t>
        </is>
      </c>
      <c r="E2352" s="36" t="inlineStr">
        <is>
          <t>Retail Partners</t>
        </is>
      </c>
      <c r="F2352" s="36" t="inlineStr">
        <is>
          <t>Returning</t>
        </is>
      </c>
      <c r="G2352" s="36" t="inlineStr">
        <is>
          <t>Cycling</t>
        </is>
      </c>
      <c r="H2352" s="36" t="inlineStr">
        <is>
          <t>Trail Bike Light</t>
        </is>
      </c>
      <c r="I2352" s="36" t="n">
        <v>1</v>
      </c>
      <c r="J2352" s="39" t="n">
        <v>49.53</v>
      </c>
      <c r="K2352" s="45" t="n">
        <v>0.1</v>
      </c>
      <c r="L2352" s="39" t="n">
        <v>22.18</v>
      </c>
      <c r="M2352" s="39">
        <f>I2352*J2352*(1-K2352)</f>
        <v/>
      </c>
      <c r="N2352" s="39">
        <f>I2352*L2352</f>
        <v/>
      </c>
      <c r="O2352" s="39">
        <f>M2352-N2352</f>
        <v/>
      </c>
      <c r="P2352" s="38">
        <f>IF(M2352=0,0,O2352/M2352)</f>
        <v/>
      </c>
      <c r="Q2352" s="36">
        <f>YEAR(B2352)</f>
        <v/>
      </c>
      <c r="R2352" s="36">
        <f>"Q"&amp;ROUNDUP(MONTH(B2352)/3,0)</f>
        <v/>
      </c>
      <c r="S2352" s="36">
        <f>MONTH(B2352)</f>
        <v/>
      </c>
      <c r="T2352" s="36">
        <f>TEXT(B2352,"mmm")</f>
        <v/>
      </c>
      <c r="U2352" s="36">
        <f>IF(AND(OR(sel_Region="All",C2352=sel_Region),OR(sel_Country="All",D2352=sel_Country),OR(sel_Channel="All",E2352=sel_Channel),OR(sel_Customer="All",F2352=sel_Customer),OR(sel_Category="All",G2352=sel_Category),OR(sel_Product="All",H2352=sel_Product),AND(S2352&gt;=m_From,S2352&lt;=m_To)),1,0)</f>
        <v/>
      </c>
      <c r="V2352" s="36">
        <f>IF(AND(OR(sel_Region="All",C2352=sel_Region),OR(sel_Channel="All",E2352=sel_Channel),OR(sel_Customer="All",F2352=sel_Customer),OR(sel_Category="All",G2352=sel_Category),OR(sel_Product="All",H2352=sel_Product),AND(S2352&gt;=m_From,S2352&lt;=m_To)),1,0)</f>
        <v/>
      </c>
      <c r="W2352" s="36">
        <f>IF(AND(OR(sel_Region="All",C2352=sel_Region),OR(sel_Country="All",D2352=sel_Country),OR(sel_Customer="All",F2352=sel_Customer),OR(sel_Category="All",G2352=sel_Category),OR(sel_Product="All",H2352=sel_Product),AND(S2352&gt;=m_From,S2352&lt;=m_To)),1,0)</f>
        <v/>
      </c>
      <c r="X2352" s="36">
        <f>IF(AND(OR(sel_Region="All",C2352=sel_Region),OR(sel_Country="All",D2352=sel_Country),OR(sel_Channel="All",E2352=sel_Channel),OR(sel_Category="All",G2352=sel_Category),OR(sel_Product="All",H2352=sel_Product),AND(S2352&gt;=m_From,S2352&lt;=m_To)),1,0)</f>
        <v/>
      </c>
      <c r="Y2352" s="36">
        <f>IF(AND(OR(sel_Region="All",C2352=sel_Region),OR(sel_Country="All",D2352=sel_Country),OR(sel_Channel="All",E2352=sel_Channel),OR(sel_Customer="All",F2352=sel_Customer),OR(sel_Product="All",H2352=sel_Product),AND(S2352&gt;=m_From,S2352&lt;=m_To)),1,0)</f>
        <v/>
      </c>
      <c r="Z2352" s="36">
        <f>IF(AND(OR(sel_Region="All",C2352=sel_Region),OR(sel_Country="All",D2352=sel_Country),OR(sel_Channel="All",E2352=sel_Channel),OR(sel_Customer="All",F2352=sel_Customer),OR(sel_Category="All",G2352=sel_Category),AND(S2352&gt;=m_From,S2352&lt;=m_To)),1,0)</f>
        <v/>
      </c>
      <c r="AA2352" s="36">
        <f>IF(AND(OR(sel_Region="All",C2352=sel_Region),OR(sel_Country="All",D2352=sel_Country),OR(sel_Channel="All",E2352=sel_Channel),OR(sel_Customer="All",F2352=sel_Customer),OR(sel_Category="All",G2352=sel_Category),OR(sel_Product="All",H2352=sel_Product)),1,0)</f>
        <v/>
      </c>
    </row>
    <row r="2353">
      <c r="A2353" s="36" t="inlineStr">
        <is>
          <t>00893</t>
        </is>
      </c>
      <c r="B2353" s="44" t="n">
        <v>46339</v>
      </c>
      <c r="C2353" s="36" t="inlineStr">
        <is>
          <t>Western Europe</t>
        </is>
      </c>
      <c r="D2353" s="36" t="inlineStr">
        <is>
          <t>United Kingdom</t>
        </is>
      </c>
      <c r="E2353" s="36" t="inlineStr">
        <is>
          <t>Online Store</t>
        </is>
      </c>
      <c r="F2353" s="36" t="inlineStr">
        <is>
          <t>New</t>
        </is>
      </c>
      <c r="G2353" s="36" t="inlineStr">
        <is>
          <t>Travel</t>
        </is>
      </c>
      <c r="H2353" s="36" t="inlineStr">
        <is>
          <t>Packing Cube Set</t>
        </is>
      </c>
      <c r="I2353" s="36" t="n">
        <v>4</v>
      </c>
      <c r="J2353" s="39" t="n">
        <v>47.62</v>
      </c>
      <c r="K2353" s="45" t="n">
        <v>0.2</v>
      </c>
      <c r="L2353" s="39" t="n">
        <v>18.1</v>
      </c>
      <c r="M2353" s="39">
        <f>I2353*J2353*(1-K2353)</f>
        <v/>
      </c>
      <c r="N2353" s="39">
        <f>I2353*L2353</f>
        <v/>
      </c>
      <c r="O2353" s="39">
        <f>M2353-N2353</f>
        <v/>
      </c>
      <c r="P2353" s="38">
        <f>IF(M2353=0,0,O2353/M2353)</f>
        <v/>
      </c>
      <c r="Q2353" s="36">
        <f>YEAR(B2353)</f>
        <v/>
      </c>
      <c r="R2353" s="36">
        <f>"Q"&amp;ROUNDUP(MONTH(B2353)/3,0)</f>
        <v/>
      </c>
      <c r="S2353" s="36">
        <f>MONTH(B2353)</f>
        <v/>
      </c>
      <c r="T2353" s="36">
        <f>TEXT(B2353,"mmm")</f>
        <v/>
      </c>
      <c r="U2353" s="36">
        <f>IF(AND(OR(sel_Region="All",C2353=sel_Region),OR(sel_Country="All",D2353=sel_Country),OR(sel_Channel="All",E2353=sel_Channel),OR(sel_Customer="All",F2353=sel_Customer),OR(sel_Category="All",G2353=sel_Category),OR(sel_Product="All",H2353=sel_Product),AND(S2353&gt;=m_From,S2353&lt;=m_To)),1,0)</f>
        <v/>
      </c>
      <c r="V2353" s="36">
        <f>IF(AND(OR(sel_Region="All",C2353=sel_Region),OR(sel_Channel="All",E2353=sel_Channel),OR(sel_Customer="All",F2353=sel_Customer),OR(sel_Category="All",G2353=sel_Category),OR(sel_Product="All",H2353=sel_Product),AND(S2353&gt;=m_From,S2353&lt;=m_To)),1,0)</f>
        <v/>
      </c>
      <c r="W2353" s="36">
        <f>IF(AND(OR(sel_Region="All",C2353=sel_Region),OR(sel_Country="All",D2353=sel_Country),OR(sel_Customer="All",F2353=sel_Customer),OR(sel_Category="All",G2353=sel_Category),OR(sel_Product="All",H2353=sel_Product),AND(S2353&gt;=m_From,S2353&lt;=m_To)),1,0)</f>
        <v/>
      </c>
      <c r="X2353" s="36">
        <f>IF(AND(OR(sel_Region="All",C2353=sel_Region),OR(sel_Country="All",D2353=sel_Country),OR(sel_Channel="All",E2353=sel_Channel),OR(sel_Category="All",G2353=sel_Category),OR(sel_Product="All",H2353=sel_Product),AND(S2353&gt;=m_From,S2353&lt;=m_To)),1,0)</f>
        <v/>
      </c>
      <c r="Y2353" s="36">
        <f>IF(AND(OR(sel_Region="All",C2353=sel_Region),OR(sel_Country="All",D2353=sel_Country),OR(sel_Channel="All",E2353=sel_Channel),OR(sel_Customer="All",F2353=sel_Customer),OR(sel_Product="All",H2353=sel_Product),AND(S2353&gt;=m_From,S2353&lt;=m_To)),1,0)</f>
        <v/>
      </c>
      <c r="Z2353" s="36">
        <f>IF(AND(OR(sel_Region="All",C2353=sel_Region),OR(sel_Country="All",D2353=sel_Country),OR(sel_Channel="All",E2353=sel_Channel),OR(sel_Customer="All",F2353=sel_Customer),OR(sel_Category="All",G2353=sel_Category),AND(S2353&gt;=m_From,S2353&lt;=m_To)),1,0)</f>
        <v/>
      </c>
      <c r="AA2353" s="36">
        <f>IF(AND(OR(sel_Region="All",C2353=sel_Region),OR(sel_Country="All",D2353=sel_Country),OR(sel_Channel="All",E2353=sel_Channel),OR(sel_Customer="All",F2353=sel_Customer),OR(sel_Category="All",G2353=sel_Category),OR(sel_Product="All",H2353=sel_Product)),1,0)</f>
        <v/>
      </c>
    </row>
    <row r="2354">
      <c r="A2354" s="36" t="inlineStr">
        <is>
          <t>00916</t>
        </is>
      </c>
      <c r="B2354" s="44" t="n">
        <v>46339</v>
      </c>
      <c r="C2354" s="36" t="inlineStr">
        <is>
          <t>Central Europe</t>
        </is>
      </c>
      <c r="D2354" s="36" t="inlineStr">
        <is>
          <t>Austria</t>
        </is>
      </c>
      <c r="E2354" s="36" t="inlineStr">
        <is>
          <t>Online Store</t>
        </is>
      </c>
      <c r="F2354" s="36" t="inlineStr">
        <is>
          <t>New</t>
        </is>
      </c>
      <c r="G2354" s="36" t="inlineStr">
        <is>
          <t>Cycling</t>
        </is>
      </c>
      <c r="H2354" s="36" t="inlineStr">
        <is>
          <t>Trail Bike Light</t>
        </is>
      </c>
      <c r="I2354" s="36" t="n">
        <v>4</v>
      </c>
      <c r="J2354" s="39" t="n">
        <v>51.93</v>
      </c>
      <c r="K2354" s="45" t="n">
        <v>0.05</v>
      </c>
      <c r="L2354" s="39" t="n">
        <v>22.62</v>
      </c>
      <c r="M2354" s="39">
        <f>I2354*J2354*(1-K2354)</f>
        <v/>
      </c>
      <c r="N2354" s="39">
        <f>I2354*L2354</f>
        <v/>
      </c>
      <c r="O2354" s="39">
        <f>M2354-N2354</f>
        <v/>
      </c>
      <c r="P2354" s="38">
        <f>IF(M2354=0,0,O2354/M2354)</f>
        <v/>
      </c>
      <c r="Q2354" s="36">
        <f>YEAR(B2354)</f>
        <v/>
      </c>
      <c r="R2354" s="36">
        <f>"Q"&amp;ROUNDUP(MONTH(B2354)/3,0)</f>
        <v/>
      </c>
      <c r="S2354" s="36">
        <f>MONTH(B2354)</f>
        <v/>
      </c>
      <c r="T2354" s="36">
        <f>TEXT(B2354,"mmm")</f>
        <v/>
      </c>
      <c r="U2354" s="36">
        <f>IF(AND(OR(sel_Region="All",C2354=sel_Region),OR(sel_Country="All",D2354=sel_Country),OR(sel_Channel="All",E2354=sel_Channel),OR(sel_Customer="All",F2354=sel_Customer),OR(sel_Category="All",G2354=sel_Category),OR(sel_Product="All",H2354=sel_Product),AND(S2354&gt;=m_From,S2354&lt;=m_To)),1,0)</f>
        <v/>
      </c>
      <c r="V2354" s="36">
        <f>IF(AND(OR(sel_Region="All",C2354=sel_Region),OR(sel_Channel="All",E2354=sel_Channel),OR(sel_Customer="All",F2354=sel_Customer),OR(sel_Category="All",G2354=sel_Category),OR(sel_Product="All",H2354=sel_Product),AND(S2354&gt;=m_From,S2354&lt;=m_To)),1,0)</f>
        <v/>
      </c>
      <c r="W2354" s="36">
        <f>IF(AND(OR(sel_Region="All",C2354=sel_Region),OR(sel_Country="All",D2354=sel_Country),OR(sel_Customer="All",F2354=sel_Customer),OR(sel_Category="All",G2354=sel_Category),OR(sel_Product="All",H2354=sel_Product),AND(S2354&gt;=m_From,S2354&lt;=m_To)),1,0)</f>
        <v/>
      </c>
      <c r="X2354" s="36">
        <f>IF(AND(OR(sel_Region="All",C2354=sel_Region),OR(sel_Country="All",D2354=sel_Country),OR(sel_Channel="All",E2354=sel_Channel),OR(sel_Category="All",G2354=sel_Category),OR(sel_Product="All",H2354=sel_Product),AND(S2354&gt;=m_From,S2354&lt;=m_To)),1,0)</f>
        <v/>
      </c>
      <c r="Y2354" s="36">
        <f>IF(AND(OR(sel_Region="All",C2354=sel_Region),OR(sel_Country="All",D2354=sel_Country),OR(sel_Channel="All",E2354=sel_Channel),OR(sel_Customer="All",F2354=sel_Customer),OR(sel_Product="All",H2354=sel_Product),AND(S2354&gt;=m_From,S2354&lt;=m_To)),1,0)</f>
        <v/>
      </c>
      <c r="Z2354" s="36">
        <f>IF(AND(OR(sel_Region="All",C2354=sel_Region),OR(sel_Country="All",D2354=sel_Country),OR(sel_Channel="All",E2354=sel_Channel),OR(sel_Customer="All",F2354=sel_Customer),OR(sel_Category="All",G2354=sel_Category),AND(S2354&gt;=m_From,S2354&lt;=m_To)),1,0)</f>
        <v/>
      </c>
      <c r="AA2354" s="36">
        <f>IF(AND(OR(sel_Region="All",C2354=sel_Region),OR(sel_Country="All",D2354=sel_Country),OR(sel_Channel="All",E2354=sel_Channel),OR(sel_Customer="All",F2354=sel_Customer),OR(sel_Category="All",G2354=sel_Category),OR(sel_Product="All",H2354=sel_Product)),1,0)</f>
        <v/>
      </c>
    </row>
    <row r="2355">
      <c r="A2355" s="36" t="inlineStr">
        <is>
          <t>01295</t>
        </is>
      </c>
      <c r="B2355" s="44" t="n">
        <v>46339</v>
      </c>
      <c r="C2355" s="36" t="inlineStr">
        <is>
          <t>Central Europe</t>
        </is>
      </c>
      <c r="D2355" s="36" t="inlineStr">
        <is>
          <t>Switzerland</t>
        </is>
      </c>
      <c r="E2355" s="36" t="inlineStr">
        <is>
          <t>Marketplace</t>
        </is>
      </c>
      <c r="F2355" s="36" t="inlineStr">
        <is>
          <t>New</t>
        </is>
      </c>
      <c r="G2355" s="36" t="inlineStr">
        <is>
          <t>Hiking</t>
        </is>
      </c>
      <c r="H2355" s="36" t="inlineStr">
        <is>
          <t>Summit Backpack 45L</t>
        </is>
      </c>
      <c r="I2355" s="36" t="n">
        <v>1</v>
      </c>
      <c r="J2355" s="39" t="n">
        <v>155.45</v>
      </c>
      <c r="K2355" s="45" t="n">
        <v>0.05</v>
      </c>
      <c r="L2355" s="39" t="n">
        <v>77.25</v>
      </c>
      <c r="M2355" s="39">
        <f>I2355*J2355*(1-K2355)</f>
        <v/>
      </c>
      <c r="N2355" s="39">
        <f>I2355*L2355</f>
        <v/>
      </c>
      <c r="O2355" s="39">
        <f>M2355-N2355</f>
        <v/>
      </c>
      <c r="P2355" s="38">
        <f>IF(M2355=0,0,O2355/M2355)</f>
        <v/>
      </c>
      <c r="Q2355" s="36">
        <f>YEAR(B2355)</f>
        <v/>
      </c>
      <c r="R2355" s="36">
        <f>"Q"&amp;ROUNDUP(MONTH(B2355)/3,0)</f>
        <v/>
      </c>
      <c r="S2355" s="36">
        <f>MONTH(B2355)</f>
        <v/>
      </c>
      <c r="T2355" s="36">
        <f>TEXT(B2355,"mmm")</f>
        <v/>
      </c>
      <c r="U2355" s="36">
        <f>IF(AND(OR(sel_Region="All",C2355=sel_Region),OR(sel_Country="All",D2355=sel_Country),OR(sel_Channel="All",E2355=sel_Channel),OR(sel_Customer="All",F2355=sel_Customer),OR(sel_Category="All",G2355=sel_Category),OR(sel_Product="All",H2355=sel_Product),AND(S2355&gt;=m_From,S2355&lt;=m_To)),1,0)</f>
        <v/>
      </c>
      <c r="V2355" s="36">
        <f>IF(AND(OR(sel_Region="All",C2355=sel_Region),OR(sel_Channel="All",E2355=sel_Channel),OR(sel_Customer="All",F2355=sel_Customer),OR(sel_Category="All",G2355=sel_Category),OR(sel_Product="All",H2355=sel_Product),AND(S2355&gt;=m_From,S2355&lt;=m_To)),1,0)</f>
        <v/>
      </c>
      <c r="W2355" s="36">
        <f>IF(AND(OR(sel_Region="All",C2355=sel_Region),OR(sel_Country="All",D2355=sel_Country),OR(sel_Customer="All",F2355=sel_Customer),OR(sel_Category="All",G2355=sel_Category),OR(sel_Product="All",H2355=sel_Product),AND(S2355&gt;=m_From,S2355&lt;=m_To)),1,0)</f>
        <v/>
      </c>
      <c r="X2355" s="36">
        <f>IF(AND(OR(sel_Region="All",C2355=sel_Region),OR(sel_Country="All",D2355=sel_Country),OR(sel_Channel="All",E2355=sel_Channel),OR(sel_Category="All",G2355=sel_Category),OR(sel_Product="All",H2355=sel_Product),AND(S2355&gt;=m_From,S2355&lt;=m_To)),1,0)</f>
        <v/>
      </c>
      <c r="Y2355" s="36">
        <f>IF(AND(OR(sel_Region="All",C2355=sel_Region),OR(sel_Country="All",D2355=sel_Country),OR(sel_Channel="All",E2355=sel_Channel),OR(sel_Customer="All",F2355=sel_Customer),OR(sel_Product="All",H2355=sel_Product),AND(S2355&gt;=m_From,S2355&lt;=m_To)),1,0)</f>
        <v/>
      </c>
      <c r="Z2355" s="36">
        <f>IF(AND(OR(sel_Region="All",C2355=sel_Region),OR(sel_Country="All",D2355=sel_Country),OR(sel_Channel="All",E2355=sel_Channel),OR(sel_Customer="All",F2355=sel_Customer),OR(sel_Category="All",G2355=sel_Category),AND(S2355&gt;=m_From,S2355&lt;=m_To)),1,0)</f>
        <v/>
      </c>
      <c r="AA2355" s="36">
        <f>IF(AND(OR(sel_Region="All",C2355=sel_Region),OR(sel_Country="All",D2355=sel_Country),OR(sel_Channel="All",E2355=sel_Channel),OR(sel_Customer="All",F2355=sel_Customer),OR(sel_Category="All",G2355=sel_Category),OR(sel_Product="All",H2355=sel_Product)),1,0)</f>
        <v/>
      </c>
    </row>
    <row r="2356">
      <c r="A2356" s="36" t="inlineStr">
        <is>
          <t>03438</t>
        </is>
      </c>
      <c r="B2356" s="44" t="n">
        <v>46339</v>
      </c>
      <c r="C2356" s="36" t="inlineStr">
        <is>
          <t>Southern Europe</t>
        </is>
      </c>
      <c r="D2356" s="36" t="inlineStr">
        <is>
          <t>Spain</t>
        </is>
      </c>
      <c r="E2356" s="36" t="inlineStr">
        <is>
          <t>Online Store</t>
        </is>
      </c>
      <c r="F2356" s="36" t="inlineStr">
        <is>
          <t>Returning</t>
        </is>
      </c>
      <c r="G2356" s="36" t="inlineStr">
        <is>
          <t>Cycling</t>
        </is>
      </c>
      <c r="H2356" s="36" t="inlineStr">
        <is>
          <t>Compact Repair Kit</t>
        </is>
      </c>
      <c r="I2356" s="36" t="n">
        <v>4</v>
      </c>
      <c r="J2356" s="39" t="n">
        <v>40.03</v>
      </c>
      <c r="K2356" s="45" t="n">
        <v>0.05</v>
      </c>
      <c r="L2356" s="39" t="n">
        <v>16.78</v>
      </c>
      <c r="M2356" s="39">
        <f>I2356*J2356*(1-K2356)</f>
        <v/>
      </c>
      <c r="N2356" s="39">
        <f>I2356*L2356</f>
        <v/>
      </c>
      <c r="O2356" s="39">
        <f>M2356-N2356</f>
        <v/>
      </c>
      <c r="P2356" s="38">
        <f>IF(M2356=0,0,O2356/M2356)</f>
        <v/>
      </c>
      <c r="Q2356" s="36">
        <f>YEAR(B2356)</f>
        <v/>
      </c>
      <c r="R2356" s="36">
        <f>"Q"&amp;ROUNDUP(MONTH(B2356)/3,0)</f>
        <v/>
      </c>
      <c r="S2356" s="36">
        <f>MONTH(B2356)</f>
        <v/>
      </c>
      <c r="T2356" s="36">
        <f>TEXT(B2356,"mmm")</f>
        <v/>
      </c>
      <c r="U2356" s="36">
        <f>IF(AND(OR(sel_Region="All",C2356=sel_Region),OR(sel_Country="All",D2356=sel_Country),OR(sel_Channel="All",E2356=sel_Channel),OR(sel_Customer="All",F2356=sel_Customer),OR(sel_Category="All",G2356=sel_Category),OR(sel_Product="All",H2356=sel_Product),AND(S2356&gt;=m_From,S2356&lt;=m_To)),1,0)</f>
        <v/>
      </c>
      <c r="V2356" s="36">
        <f>IF(AND(OR(sel_Region="All",C2356=sel_Region),OR(sel_Channel="All",E2356=sel_Channel),OR(sel_Customer="All",F2356=sel_Customer),OR(sel_Category="All",G2356=sel_Category),OR(sel_Product="All",H2356=sel_Product),AND(S2356&gt;=m_From,S2356&lt;=m_To)),1,0)</f>
        <v/>
      </c>
      <c r="W2356" s="36">
        <f>IF(AND(OR(sel_Region="All",C2356=sel_Region),OR(sel_Country="All",D2356=sel_Country),OR(sel_Customer="All",F2356=sel_Customer),OR(sel_Category="All",G2356=sel_Category),OR(sel_Product="All",H2356=sel_Product),AND(S2356&gt;=m_From,S2356&lt;=m_To)),1,0)</f>
        <v/>
      </c>
      <c r="X2356" s="36">
        <f>IF(AND(OR(sel_Region="All",C2356=sel_Region),OR(sel_Country="All",D2356=sel_Country),OR(sel_Channel="All",E2356=sel_Channel),OR(sel_Category="All",G2356=sel_Category),OR(sel_Product="All",H2356=sel_Product),AND(S2356&gt;=m_From,S2356&lt;=m_To)),1,0)</f>
        <v/>
      </c>
      <c r="Y2356" s="36">
        <f>IF(AND(OR(sel_Region="All",C2356=sel_Region),OR(sel_Country="All",D2356=sel_Country),OR(sel_Channel="All",E2356=sel_Channel),OR(sel_Customer="All",F2356=sel_Customer),OR(sel_Product="All",H2356=sel_Product),AND(S2356&gt;=m_From,S2356&lt;=m_To)),1,0)</f>
        <v/>
      </c>
      <c r="Z2356" s="36">
        <f>IF(AND(OR(sel_Region="All",C2356=sel_Region),OR(sel_Country="All",D2356=sel_Country),OR(sel_Channel="All",E2356=sel_Channel),OR(sel_Customer="All",F2356=sel_Customer),OR(sel_Category="All",G2356=sel_Category),AND(S2356&gt;=m_From,S2356&lt;=m_To)),1,0)</f>
        <v/>
      </c>
      <c r="AA2356" s="36">
        <f>IF(AND(OR(sel_Region="All",C2356=sel_Region),OR(sel_Country="All",D2356=sel_Country),OR(sel_Channel="All",E2356=sel_Channel),OR(sel_Customer="All",F2356=sel_Customer),OR(sel_Category="All",G2356=sel_Category),OR(sel_Product="All",H2356=sel_Product)),1,0)</f>
        <v/>
      </c>
    </row>
    <row r="2357">
      <c r="A2357" s="36" t="inlineStr">
        <is>
          <t>03573</t>
        </is>
      </c>
      <c r="B2357" s="44" t="n">
        <v>46339</v>
      </c>
      <c r="C2357" s="36" t="inlineStr">
        <is>
          <t>Southern Europe</t>
        </is>
      </c>
      <c r="D2357" s="36" t="inlineStr">
        <is>
          <t>Portugal</t>
        </is>
      </c>
      <c r="E2357" s="36" t="inlineStr">
        <is>
          <t>Online Store</t>
        </is>
      </c>
      <c r="F2357" s="36" t="inlineStr">
        <is>
          <t>Returning</t>
        </is>
      </c>
      <c r="G2357" s="36" t="inlineStr">
        <is>
          <t>Hiking</t>
        </is>
      </c>
      <c r="H2357" s="36" t="inlineStr">
        <is>
          <t>Summit Backpack 45L</t>
        </is>
      </c>
      <c r="I2357" s="36" t="n">
        <v>2</v>
      </c>
      <c r="J2357" s="39" t="n">
        <v>152.96</v>
      </c>
      <c r="K2357" s="45" t="n">
        <v>0.1</v>
      </c>
      <c r="L2357" s="39" t="n">
        <v>79.12</v>
      </c>
      <c r="M2357" s="39">
        <f>I2357*J2357*(1-K2357)</f>
        <v/>
      </c>
      <c r="N2357" s="39">
        <f>I2357*L2357</f>
        <v/>
      </c>
      <c r="O2357" s="39">
        <f>M2357-N2357</f>
        <v/>
      </c>
      <c r="P2357" s="38">
        <f>IF(M2357=0,0,O2357/M2357)</f>
        <v/>
      </c>
      <c r="Q2357" s="36">
        <f>YEAR(B2357)</f>
        <v/>
      </c>
      <c r="R2357" s="36">
        <f>"Q"&amp;ROUNDUP(MONTH(B2357)/3,0)</f>
        <v/>
      </c>
      <c r="S2357" s="36">
        <f>MONTH(B2357)</f>
        <v/>
      </c>
      <c r="T2357" s="36">
        <f>TEXT(B2357,"mmm")</f>
        <v/>
      </c>
      <c r="U2357" s="36">
        <f>IF(AND(OR(sel_Region="All",C2357=sel_Region),OR(sel_Country="All",D2357=sel_Country),OR(sel_Channel="All",E2357=sel_Channel),OR(sel_Customer="All",F2357=sel_Customer),OR(sel_Category="All",G2357=sel_Category),OR(sel_Product="All",H2357=sel_Product),AND(S2357&gt;=m_From,S2357&lt;=m_To)),1,0)</f>
        <v/>
      </c>
      <c r="V2357" s="36">
        <f>IF(AND(OR(sel_Region="All",C2357=sel_Region),OR(sel_Channel="All",E2357=sel_Channel),OR(sel_Customer="All",F2357=sel_Customer),OR(sel_Category="All",G2357=sel_Category),OR(sel_Product="All",H2357=sel_Product),AND(S2357&gt;=m_From,S2357&lt;=m_To)),1,0)</f>
        <v/>
      </c>
      <c r="W2357" s="36">
        <f>IF(AND(OR(sel_Region="All",C2357=sel_Region),OR(sel_Country="All",D2357=sel_Country),OR(sel_Customer="All",F2357=sel_Customer),OR(sel_Category="All",G2357=sel_Category),OR(sel_Product="All",H2357=sel_Product),AND(S2357&gt;=m_From,S2357&lt;=m_To)),1,0)</f>
        <v/>
      </c>
      <c r="X2357" s="36">
        <f>IF(AND(OR(sel_Region="All",C2357=sel_Region),OR(sel_Country="All",D2357=sel_Country),OR(sel_Channel="All",E2357=sel_Channel),OR(sel_Category="All",G2357=sel_Category),OR(sel_Product="All",H2357=sel_Product),AND(S2357&gt;=m_From,S2357&lt;=m_To)),1,0)</f>
        <v/>
      </c>
      <c r="Y2357" s="36">
        <f>IF(AND(OR(sel_Region="All",C2357=sel_Region),OR(sel_Country="All",D2357=sel_Country),OR(sel_Channel="All",E2357=sel_Channel),OR(sel_Customer="All",F2357=sel_Customer),OR(sel_Product="All",H2357=sel_Product),AND(S2357&gt;=m_From,S2357&lt;=m_To)),1,0)</f>
        <v/>
      </c>
      <c r="Z2357" s="36">
        <f>IF(AND(OR(sel_Region="All",C2357=sel_Region),OR(sel_Country="All",D2357=sel_Country),OR(sel_Channel="All",E2357=sel_Channel),OR(sel_Customer="All",F2357=sel_Customer),OR(sel_Category="All",G2357=sel_Category),AND(S2357&gt;=m_From,S2357&lt;=m_To)),1,0)</f>
        <v/>
      </c>
      <c r="AA2357" s="36">
        <f>IF(AND(OR(sel_Region="All",C2357=sel_Region),OR(sel_Country="All",D2357=sel_Country),OR(sel_Channel="All",E2357=sel_Channel),OR(sel_Customer="All",F2357=sel_Customer),OR(sel_Category="All",G2357=sel_Category),OR(sel_Product="All",H2357=sel_Product)),1,0)</f>
        <v/>
      </c>
    </row>
    <row r="2358">
      <c r="A2358" s="36" t="inlineStr">
        <is>
          <t>04257</t>
        </is>
      </c>
      <c r="B2358" s="44" t="n">
        <v>46339</v>
      </c>
      <c r="C2358" s="36" t="inlineStr">
        <is>
          <t>Western Europe</t>
        </is>
      </c>
      <c r="D2358" s="36" t="inlineStr">
        <is>
          <t>France</t>
        </is>
      </c>
      <c r="E2358" s="36" t="inlineStr">
        <is>
          <t>Retail Partners</t>
        </is>
      </c>
      <c r="F2358" s="36" t="inlineStr">
        <is>
          <t>New</t>
        </is>
      </c>
      <c r="G2358" s="36" t="inlineStr">
        <is>
          <t>Fitness</t>
        </is>
      </c>
      <c r="H2358" s="36" t="inlineStr">
        <is>
          <t>Weighted Vest</t>
        </is>
      </c>
      <c r="I2358" s="36" t="n">
        <v>2</v>
      </c>
      <c r="J2358" s="39" t="n">
        <v>124.06</v>
      </c>
      <c r="K2358" s="45" t="n">
        <v>0.05</v>
      </c>
      <c r="L2358" s="39" t="n">
        <v>69.98</v>
      </c>
      <c r="M2358" s="39">
        <f>I2358*J2358*(1-K2358)</f>
        <v/>
      </c>
      <c r="N2358" s="39">
        <f>I2358*L2358</f>
        <v/>
      </c>
      <c r="O2358" s="39">
        <f>M2358-N2358</f>
        <v/>
      </c>
      <c r="P2358" s="38">
        <f>IF(M2358=0,0,O2358/M2358)</f>
        <v/>
      </c>
      <c r="Q2358" s="36">
        <f>YEAR(B2358)</f>
        <v/>
      </c>
      <c r="R2358" s="36">
        <f>"Q"&amp;ROUNDUP(MONTH(B2358)/3,0)</f>
        <v/>
      </c>
      <c r="S2358" s="36">
        <f>MONTH(B2358)</f>
        <v/>
      </c>
      <c r="T2358" s="36">
        <f>TEXT(B2358,"mmm")</f>
        <v/>
      </c>
      <c r="U2358" s="36">
        <f>IF(AND(OR(sel_Region="All",C2358=sel_Region),OR(sel_Country="All",D2358=sel_Country),OR(sel_Channel="All",E2358=sel_Channel),OR(sel_Customer="All",F2358=sel_Customer),OR(sel_Category="All",G2358=sel_Category),OR(sel_Product="All",H2358=sel_Product),AND(S2358&gt;=m_From,S2358&lt;=m_To)),1,0)</f>
        <v/>
      </c>
      <c r="V2358" s="36">
        <f>IF(AND(OR(sel_Region="All",C2358=sel_Region),OR(sel_Channel="All",E2358=sel_Channel),OR(sel_Customer="All",F2358=sel_Customer),OR(sel_Category="All",G2358=sel_Category),OR(sel_Product="All",H2358=sel_Product),AND(S2358&gt;=m_From,S2358&lt;=m_To)),1,0)</f>
        <v/>
      </c>
      <c r="W2358" s="36">
        <f>IF(AND(OR(sel_Region="All",C2358=sel_Region),OR(sel_Country="All",D2358=sel_Country),OR(sel_Customer="All",F2358=sel_Customer),OR(sel_Category="All",G2358=sel_Category),OR(sel_Product="All",H2358=sel_Product),AND(S2358&gt;=m_From,S2358&lt;=m_To)),1,0)</f>
        <v/>
      </c>
      <c r="X2358" s="36">
        <f>IF(AND(OR(sel_Region="All",C2358=sel_Region),OR(sel_Country="All",D2358=sel_Country),OR(sel_Channel="All",E2358=sel_Channel),OR(sel_Category="All",G2358=sel_Category),OR(sel_Product="All",H2358=sel_Product),AND(S2358&gt;=m_From,S2358&lt;=m_To)),1,0)</f>
        <v/>
      </c>
      <c r="Y2358" s="36">
        <f>IF(AND(OR(sel_Region="All",C2358=sel_Region),OR(sel_Country="All",D2358=sel_Country),OR(sel_Channel="All",E2358=sel_Channel),OR(sel_Customer="All",F2358=sel_Customer),OR(sel_Product="All",H2358=sel_Product),AND(S2358&gt;=m_From,S2358&lt;=m_To)),1,0)</f>
        <v/>
      </c>
      <c r="Z2358" s="36">
        <f>IF(AND(OR(sel_Region="All",C2358=sel_Region),OR(sel_Country="All",D2358=sel_Country),OR(sel_Channel="All",E2358=sel_Channel),OR(sel_Customer="All",F2358=sel_Customer),OR(sel_Category="All",G2358=sel_Category),AND(S2358&gt;=m_From,S2358&lt;=m_To)),1,0)</f>
        <v/>
      </c>
      <c r="AA2358" s="36">
        <f>IF(AND(OR(sel_Region="All",C2358=sel_Region),OR(sel_Country="All",D2358=sel_Country),OR(sel_Channel="All",E2358=sel_Channel),OR(sel_Customer="All",F2358=sel_Customer),OR(sel_Category="All",G2358=sel_Category),OR(sel_Product="All",H2358=sel_Product)),1,0)</f>
        <v/>
      </c>
    </row>
    <row r="2359">
      <c r="A2359" s="36" t="inlineStr">
        <is>
          <t>04389</t>
        </is>
      </c>
      <c r="B2359" s="44" t="n">
        <v>46339</v>
      </c>
      <c r="C2359" s="36" t="inlineStr">
        <is>
          <t>Northern Europe</t>
        </is>
      </c>
      <c r="D2359" s="36" t="inlineStr">
        <is>
          <t>Finland</t>
        </is>
      </c>
      <c r="E2359" s="36" t="inlineStr">
        <is>
          <t>Marketplace</t>
        </is>
      </c>
      <c r="F2359" s="36" t="inlineStr">
        <is>
          <t>New</t>
        </is>
      </c>
      <c r="G2359" s="36" t="inlineStr">
        <is>
          <t>Hiking</t>
        </is>
      </c>
      <c r="H2359" s="36" t="inlineStr">
        <is>
          <t>Summit Backpack 45L</t>
        </is>
      </c>
      <c r="I2359" s="36" t="n">
        <v>1</v>
      </c>
      <c r="J2359" s="39" t="n">
        <v>151.66</v>
      </c>
      <c r="K2359" s="45" t="n">
        <v>0.1</v>
      </c>
      <c r="L2359" s="39" t="n">
        <v>80.20999999999999</v>
      </c>
      <c r="M2359" s="39">
        <f>I2359*J2359*(1-K2359)</f>
        <v/>
      </c>
      <c r="N2359" s="39">
        <f>I2359*L2359</f>
        <v/>
      </c>
      <c r="O2359" s="39">
        <f>M2359-N2359</f>
        <v/>
      </c>
      <c r="P2359" s="38">
        <f>IF(M2359=0,0,O2359/M2359)</f>
        <v/>
      </c>
      <c r="Q2359" s="36">
        <f>YEAR(B2359)</f>
        <v/>
      </c>
      <c r="R2359" s="36">
        <f>"Q"&amp;ROUNDUP(MONTH(B2359)/3,0)</f>
        <v/>
      </c>
      <c r="S2359" s="36">
        <f>MONTH(B2359)</f>
        <v/>
      </c>
      <c r="T2359" s="36">
        <f>TEXT(B2359,"mmm")</f>
        <v/>
      </c>
      <c r="U2359" s="36">
        <f>IF(AND(OR(sel_Region="All",C2359=sel_Region),OR(sel_Country="All",D2359=sel_Country),OR(sel_Channel="All",E2359=sel_Channel),OR(sel_Customer="All",F2359=sel_Customer),OR(sel_Category="All",G2359=sel_Category),OR(sel_Product="All",H2359=sel_Product),AND(S2359&gt;=m_From,S2359&lt;=m_To)),1,0)</f>
        <v/>
      </c>
      <c r="V2359" s="36">
        <f>IF(AND(OR(sel_Region="All",C2359=sel_Region),OR(sel_Channel="All",E2359=sel_Channel),OR(sel_Customer="All",F2359=sel_Customer),OR(sel_Category="All",G2359=sel_Category),OR(sel_Product="All",H2359=sel_Product),AND(S2359&gt;=m_From,S2359&lt;=m_To)),1,0)</f>
        <v/>
      </c>
      <c r="W2359" s="36">
        <f>IF(AND(OR(sel_Region="All",C2359=sel_Region),OR(sel_Country="All",D2359=sel_Country),OR(sel_Customer="All",F2359=sel_Customer),OR(sel_Category="All",G2359=sel_Category),OR(sel_Product="All",H2359=sel_Product),AND(S2359&gt;=m_From,S2359&lt;=m_To)),1,0)</f>
        <v/>
      </c>
      <c r="X2359" s="36">
        <f>IF(AND(OR(sel_Region="All",C2359=sel_Region),OR(sel_Country="All",D2359=sel_Country),OR(sel_Channel="All",E2359=sel_Channel),OR(sel_Category="All",G2359=sel_Category),OR(sel_Product="All",H2359=sel_Product),AND(S2359&gt;=m_From,S2359&lt;=m_To)),1,0)</f>
        <v/>
      </c>
      <c r="Y2359" s="36">
        <f>IF(AND(OR(sel_Region="All",C2359=sel_Region),OR(sel_Country="All",D2359=sel_Country),OR(sel_Channel="All",E2359=sel_Channel),OR(sel_Customer="All",F2359=sel_Customer),OR(sel_Product="All",H2359=sel_Product),AND(S2359&gt;=m_From,S2359&lt;=m_To)),1,0)</f>
        <v/>
      </c>
      <c r="Z2359" s="36">
        <f>IF(AND(OR(sel_Region="All",C2359=sel_Region),OR(sel_Country="All",D2359=sel_Country),OR(sel_Channel="All",E2359=sel_Channel),OR(sel_Customer="All",F2359=sel_Customer),OR(sel_Category="All",G2359=sel_Category),AND(S2359&gt;=m_From,S2359&lt;=m_To)),1,0)</f>
        <v/>
      </c>
      <c r="AA2359" s="36">
        <f>IF(AND(OR(sel_Region="All",C2359=sel_Region),OR(sel_Country="All",D2359=sel_Country),OR(sel_Channel="All",E2359=sel_Channel),OR(sel_Customer="All",F2359=sel_Customer),OR(sel_Category="All",G2359=sel_Category),OR(sel_Product="All",H2359=sel_Product)),1,0)</f>
        <v/>
      </c>
    </row>
    <row r="2360">
      <c r="A2360" s="36" t="inlineStr">
        <is>
          <t>04887</t>
        </is>
      </c>
      <c r="B2360" s="44" t="n">
        <v>46339</v>
      </c>
      <c r="C2360" s="36" t="inlineStr">
        <is>
          <t>Western Europe</t>
        </is>
      </c>
      <c r="D2360" s="36" t="inlineStr">
        <is>
          <t>United Kingdom</t>
        </is>
      </c>
      <c r="E2360" s="36" t="inlineStr">
        <is>
          <t>Online Store</t>
        </is>
      </c>
      <c r="F2360" s="36" t="inlineStr">
        <is>
          <t>New</t>
        </is>
      </c>
      <c r="G2360" s="36" t="inlineStr">
        <is>
          <t>Hiking</t>
        </is>
      </c>
      <c r="H2360" s="36" t="inlineStr">
        <is>
          <t>Trail Boots</t>
        </is>
      </c>
      <c r="I2360" s="36" t="n">
        <v>2</v>
      </c>
      <c r="J2360" s="39" t="n">
        <v>142.3</v>
      </c>
      <c r="K2360" s="45" t="n">
        <v>0.15</v>
      </c>
      <c r="L2360" s="39" t="n">
        <v>77.76000000000001</v>
      </c>
      <c r="M2360" s="39">
        <f>I2360*J2360*(1-K2360)</f>
        <v/>
      </c>
      <c r="N2360" s="39">
        <f>I2360*L2360</f>
        <v/>
      </c>
      <c r="O2360" s="39">
        <f>M2360-N2360</f>
        <v/>
      </c>
      <c r="P2360" s="38">
        <f>IF(M2360=0,0,O2360/M2360)</f>
        <v/>
      </c>
      <c r="Q2360" s="36">
        <f>YEAR(B2360)</f>
        <v/>
      </c>
      <c r="R2360" s="36">
        <f>"Q"&amp;ROUNDUP(MONTH(B2360)/3,0)</f>
        <v/>
      </c>
      <c r="S2360" s="36">
        <f>MONTH(B2360)</f>
        <v/>
      </c>
      <c r="T2360" s="36">
        <f>TEXT(B2360,"mmm")</f>
        <v/>
      </c>
      <c r="U2360" s="36">
        <f>IF(AND(OR(sel_Region="All",C2360=sel_Region),OR(sel_Country="All",D2360=sel_Country),OR(sel_Channel="All",E2360=sel_Channel),OR(sel_Customer="All",F2360=sel_Customer),OR(sel_Category="All",G2360=sel_Category),OR(sel_Product="All",H2360=sel_Product),AND(S2360&gt;=m_From,S2360&lt;=m_To)),1,0)</f>
        <v/>
      </c>
      <c r="V2360" s="36">
        <f>IF(AND(OR(sel_Region="All",C2360=sel_Region),OR(sel_Channel="All",E2360=sel_Channel),OR(sel_Customer="All",F2360=sel_Customer),OR(sel_Category="All",G2360=sel_Category),OR(sel_Product="All",H2360=sel_Product),AND(S2360&gt;=m_From,S2360&lt;=m_To)),1,0)</f>
        <v/>
      </c>
      <c r="W2360" s="36">
        <f>IF(AND(OR(sel_Region="All",C2360=sel_Region),OR(sel_Country="All",D2360=sel_Country),OR(sel_Customer="All",F2360=sel_Customer),OR(sel_Category="All",G2360=sel_Category),OR(sel_Product="All",H2360=sel_Product),AND(S2360&gt;=m_From,S2360&lt;=m_To)),1,0)</f>
        <v/>
      </c>
      <c r="X2360" s="36">
        <f>IF(AND(OR(sel_Region="All",C2360=sel_Region),OR(sel_Country="All",D2360=sel_Country),OR(sel_Channel="All",E2360=sel_Channel),OR(sel_Category="All",G2360=sel_Category),OR(sel_Product="All",H2360=sel_Product),AND(S2360&gt;=m_From,S2360&lt;=m_To)),1,0)</f>
        <v/>
      </c>
      <c r="Y2360" s="36">
        <f>IF(AND(OR(sel_Region="All",C2360=sel_Region),OR(sel_Country="All",D2360=sel_Country),OR(sel_Channel="All",E2360=sel_Channel),OR(sel_Customer="All",F2360=sel_Customer),OR(sel_Product="All",H2360=sel_Product),AND(S2360&gt;=m_From,S2360&lt;=m_To)),1,0)</f>
        <v/>
      </c>
      <c r="Z2360" s="36">
        <f>IF(AND(OR(sel_Region="All",C2360=sel_Region),OR(sel_Country="All",D2360=sel_Country),OR(sel_Channel="All",E2360=sel_Channel),OR(sel_Customer="All",F2360=sel_Customer),OR(sel_Category="All",G2360=sel_Category),AND(S2360&gt;=m_From,S2360&lt;=m_To)),1,0)</f>
        <v/>
      </c>
      <c r="AA2360" s="36">
        <f>IF(AND(OR(sel_Region="All",C2360=sel_Region),OR(sel_Country="All",D2360=sel_Country),OR(sel_Channel="All",E2360=sel_Channel),OR(sel_Customer="All",F2360=sel_Customer),OR(sel_Category="All",G2360=sel_Category),OR(sel_Product="All",H2360=sel_Product)),1,0)</f>
        <v/>
      </c>
    </row>
    <row r="2361">
      <c r="A2361" s="36" t="inlineStr">
        <is>
          <t>05007</t>
        </is>
      </c>
      <c r="B2361" s="44" t="n">
        <v>46339</v>
      </c>
      <c r="C2361" s="36" t="inlineStr">
        <is>
          <t>Central Europe</t>
        </is>
      </c>
      <c r="D2361" s="36" t="inlineStr">
        <is>
          <t>Poland</t>
        </is>
      </c>
      <c r="E2361" s="36" t="inlineStr">
        <is>
          <t>Online Store</t>
        </is>
      </c>
      <c r="F2361" s="36" t="inlineStr">
        <is>
          <t>Business</t>
        </is>
      </c>
      <c r="G2361" s="36" t="inlineStr">
        <is>
          <t>Travel</t>
        </is>
      </c>
      <c r="H2361" s="36" t="inlineStr">
        <is>
          <t>Travel Backpack 35L</t>
        </is>
      </c>
      <c r="I2361" s="36" t="n">
        <v>4</v>
      </c>
      <c r="J2361" s="39" t="n">
        <v>161.97</v>
      </c>
      <c r="K2361" s="45" t="n">
        <v>0.05</v>
      </c>
      <c r="L2361" s="39" t="n">
        <v>87.2</v>
      </c>
      <c r="M2361" s="39">
        <f>I2361*J2361*(1-K2361)</f>
        <v/>
      </c>
      <c r="N2361" s="39">
        <f>I2361*L2361</f>
        <v/>
      </c>
      <c r="O2361" s="39">
        <f>M2361-N2361</f>
        <v/>
      </c>
      <c r="P2361" s="38">
        <f>IF(M2361=0,0,O2361/M2361)</f>
        <v/>
      </c>
      <c r="Q2361" s="36">
        <f>YEAR(B2361)</f>
        <v/>
      </c>
      <c r="R2361" s="36">
        <f>"Q"&amp;ROUNDUP(MONTH(B2361)/3,0)</f>
        <v/>
      </c>
      <c r="S2361" s="36">
        <f>MONTH(B2361)</f>
        <v/>
      </c>
      <c r="T2361" s="36">
        <f>TEXT(B2361,"mmm")</f>
        <v/>
      </c>
      <c r="U2361" s="36">
        <f>IF(AND(OR(sel_Region="All",C2361=sel_Region),OR(sel_Country="All",D2361=sel_Country),OR(sel_Channel="All",E2361=sel_Channel),OR(sel_Customer="All",F2361=sel_Customer),OR(sel_Category="All",G2361=sel_Category),OR(sel_Product="All",H2361=sel_Product),AND(S2361&gt;=m_From,S2361&lt;=m_To)),1,0)</f>
        <v/>
      </c>
      <c r="V2361" s="36">
        <f>IF(AND(OR(sel_Region="All",C2361=sel_Region),OR(sel_Channel="All",E2361=sel_Channel),OR(sel_Customer="All",F2361=sel_Customer),OR(sel_Category="All",G2361=sel_Category),OR(sel_Product="All",H2361=sel_Product),AND(S2361&gt;=m_From,S2361&lt;=m_To)),1,0)</f>
        <v/>
      </c>
      <c r="W2361" s="36">
        <f>IF(AND(OR(sel_Region="All",C2361=sel_Region),OR(sel_Country="All",D2361=sel_Country),OR(sel_Customer="All",F2361=sel_Customer),OR(sel_Category="All",G2361=sel_Category),OR(sel_Product="All",H2361=sel_Product),AND(S2361&gt;=m_From,S2361&lt;=m_To)),1,0)</f>
        <v/>
      </c>
      <c r="X2361" s="36">
        <f>IF(AND(OR(sel_Region="All",C2361=sel_Region),OR(sel_Country="All",D2361=sel_Country),OR(sel_Channel="All",E2361=sel_Channel),OR(sel_Category="All",G2361=sel_Category),OR(sel_Product="All",H2361=sel_Product),AND(S2361&gt;=m_From,S2361&lt;=m_To)),1,0)</f>
        <v/>
      </c>
      <c r="Y2361" s="36">
        <f>IF(AND(OR(sel_Region="All",C2361=sel_Region),OR(sel_Country="All",D2361=sel_Country),OR(sel_Channel="All",E2361=sel_Channel),OR(sel_Customer="All",F2361=sel_Customer),OR(sel_Product="All",H2361=sel_Product),AND(S2361&gt;=m_From,S2361&lt;=m_To)),1,0)</f>
        <v/>
      </c>
      <c r="Z2361" s="36">
        <f>IF(AND(OR(sel_Region="All",C2361=sel_Region),OR(sel_Country="All",D2361=sel_Country),OR(sel_Channel="All",E2361=sel_Channel),OR(sel_Customer="All",F2361=sel_Customer),OR(sel_Category="All",G2361=sel_Category),AND(S2361&gt;=m_From,S2361&lt;=m_To)),1,0)</f>
        <v/>
      </c>
      <c r="AA2361" s="36">
        <f>IF(AND(OR(sel_Region="All",C2361=sel_Region),OR(sel_Country="All",D2361=sel_Country),OR(sel_Channel="All",E2361=sel_Channel),OR(sel_Customer="All",F2361=sel_Customer),OR(sel_Category="All",G2361=sel_Category),OR(sel_Product="All",H2361=sel_Product)),1,0)</f>
        <v/>
      </c>
    </row>
    <row r="2362">
      <c r="A2362" s="36" t="inlineStr">
        <is>
          <t>05111</t>
        </is>
      </c>
      <c r="B2362" s="44" t="n">
        <v>46339</v>
      </c>
      <c r="C2362" s="36" t="inlineStr">
        <is>
          <t>Central Europe</t>
        </is>
      </c>
      <c r="D2362" s="36" t="inlineStr">
        <is>
          <t>Poland</t>
        </is>
      </c>
      <c r="E2362" s="36" t="inlineStr">
        <is>
          <t>Corporate</t>
        </is>
      </c>
      <c r="F2362" s="36" t="inlineStr">
        <is>
          <t>Business</t>
        </is>
      </c>
      <c r="G2362" s="36" t="inlineStr">
        <is>
          <t>Travel</t>
        </is>
      </c>
      <c r="H2362" s="36" t="inlineStr">
        <is>
          <t>Carry-On Duffel</t>
        </is>
      </c>
      <c r="I2362" s="36" t="n">
        <v>5</v>
      </c>
      <c r="J2362" s="39" t="n">
        <v>133.99</v>
      </c>
      <c r="K2362" s="45" t="n">
        <v>0.15</v>
      </c>
      <c r="L2362" s="39" t="n">
        <v>65.55</v>
      </c>
      <c r="M2362" s="39">
        <f>I2362*J2362*(1-K2362)</f>
        <v/>
      </c>
      <c r="N2362" s="39">
        <f>I2362*L2362</f>
        <v/>
      </c>
      <c r="O2362" s="39">
        <f>M2362-N2362</f>
        <v/>
      </c>
      <c r="P2362" s="38">
        <f>IF(M2362=0,0,O2362/M2362)</f>
        <v/>
      </c>
      <c r="Q2362" s="36">
        <f>YEAR(B2362)</f>
        <v/>
      </c>
      <c r="R2362" s="36">
        <f>"Q"&amp;ROUNDUP(MONTH(B2362)/3,0)</f>
        <v/>
      </c>
      <c r="S2362" s="36">
        <f>MONTH(B2362)</f>
        <v/>
      </c>
      <c r="T2362" s="36">
        <f>TEXT(B2362,"mmm")</f>
        <v/>
      </c>
      <c r="U2362" s="36">
        <f>IF(AND(OR(sel_Region="All",C2362=sel_Region),OR(sel_Country="All",D2362=sel_Country),OR(sel_Channel="All",E2362=sel_Channel),OR(sel_Customer="All",F2362=sel_Customer),OR(sel_Category="All",G2362=sel_Category),OR(sel_Product="All",H2362=sel_Product),AND(S2362&gt;=m_From,S2362&lt;=m_To)),1,0)</f>
        <v/>
      </c>
      <c r="V2362" s="36">
        <f>IF(AND(OR(sel_Region="All",C2362=sel_Region),OR(sel_Channel="All",E2362=sel_Channel),OR(sel_Customer="All",F2362=sel_Customer),OR(sel_Category="All",G2362=sel_Category),OR(sel_Product="All",H2362=sel_Product),AND(S2362&gt;=m_From,S2362&lt;=m_To)),1,0)</f>
        <v/>
      </c>
      <c r="W2362" s="36">
        <f>IF(AND(OR(sel_Region="All",C2362=sel_Region),OR(sel_Country="All",D2362=sel_Country),OR(sel_Customer="All",F2362=sel_Customer),OR(sel_Category="All",G2362=sel_Category),OR(sel_Product="All",H2362=sel_Product),AND(S2362&gt;=m_From,S2362&lt;=m_To)),1,0)</f>
        <v/>
      </c>
      <c r="X2362" s="36">
        <f>IF(AND(OR(sel_Region="All",C2362=sel_Region),OR(sel_Country="All",D2362=sel_Country),OR(sel_Channel="All",E2362=sel_Channel),OR(sel_Category="All",G2362=sel_Category),OR(sel_Product="All",H2362=sel_Product),AND(S2362&gt;=m_From,S2362&lt;=m_To)),1,0)</f>
        <v/>
      </c>
      <c r="Y2362" s="36">
        <f>IF(AND(OR(sel_Region="All",C2362=sel_Region),OR(sel_Country="All",D2362=sel_Country),OR(sel_Channel="All",E2362=sel_Channel),OR(sel_Customer="All",F2362=sel_Customer),OR(sel_Product="All",H2362=sel_Product),AND(S2362&gt;=m_From,S2362&lt;=m_To)),1,0)</f>
        <v/>
      </c>
      <c r="Z2362" s="36">
        <f>IF(AND(OR(sel_Region="All",C2362=sel_Region),OR(sel_Country="All",D2362=sel_Country),OR(sel_Channel="All",E2362=sel_Channel),OR(sel_Customer="All",F2362=sel_Customer),OR(sel_Category="All",G2362=sel_Category),AND(S2362&gt;=m_From,S2362&lt;=m_To)),1,0)</f>
        <v/>
      </c>
      <c r="AA2362" s="36">
        <f>IF(AND(OR(sel_Region="All",C2362=sel_Region),OR(sel_Country="All",D2362=sel_Country),OR(sel_Channel="All",E2362=sel_Channel),OR(sel_Customer="All",F2362=sel_Customer),OR(sel_Category="All",G2362=sel_Category),OR(sel_Product="All",H2362=sel_Product)),1,0)</f>
        <v/>
      </c>
    </row>
    <row r="2363">
      <c r="A2363" s="36" t="inlineStr">
        <is>
          <t>05177</t>
        </is>
      </c>
      <c r="B2363" s="44" t="n">
        <v>46339</v>
      </c>
      <c r="C2363" s="36" t="inlineStr">
        <is>
          <t>Central Europe</t>
        </is>
      </c>
      <c r="D2363" s="36" t="inlineStr">
        <is>
          <t>Austria</t>
        </is>
      </c>
      <c r="E2363" s="36" t="inlineStr">
        <is>
          <t>Retail Partners</t>
        </is>
      </c>
      <c r="F2363" s="36" t="inlineStr">
        <is>
          <t>Returning</t>
        </is>
      </c>
      <c r="G2363" s="36" t="inlineStr">
        <is>
          <t>Camping</t>
        </is>
      </c>
      <c r="H2363" s="36" t="inlineStr">
        <is>
          <t>Portable Camp Stove</t>
        </is>
      </c>
      <c r="I2363" s="36" t="n">
        <v>2</v>
      </c>
      <c r="J2363" s="39" t="n">
        <v>83.18000000000001</v>
      </c>
      <c r="K2363" s="45" t="n">
        <v>0.1</v>
      </c>
      <c r="L2363" s="39" t="n">
        <v>40.48</v>
      </c>
      <c r="M2363" s="39">
        <f>I2363*J2363*(1-K2363)</f>
        <v/>
      </c>
      <c r="N2363" s="39">
        <f>I2363*L2363</f>
        <v/>
      </c>
      <c r="O2363" s="39">
        <f>M2363-N2363</f>
        <v/>
      </c>
      <c r="P2363" s="38">
        <f>IF(M2363=0,0,O2363/M2363)</f>
        <v/>
      </c>
      <c r="Q2363" s="36">
        <f>YEAR(B2363)</f>
        <v/>
      </c>
      <c r="R2363" s="36">
        <f>"Q"&amp;ROUNDUP(MONTH(B2363)/3,0)</f>
        <v/>
      </c>
      <c r="S2363" s="36">
        <f>MONTH(B2363)</f>
        <v/>
      </c>
      <c r="T2363" s="36">
        <f>TEXT(B2363,"mmm")</f>
        <v/>
      </c>
      <c r="U2363" s="36">
        <f>IF(AND(OR(sel_Region="All",C2363=sel_Region),OR(sel_Country="All",D2363=sel_Country),OR(sel_Channel="All",E2363=sel_Channel),OR(sel_Customer="All",F2363=sel_Customer),OR(sel_Category="All",G2363=sel_Category),OR(sel_Product="All",H2363=sel_Product),AND(S2363&gt;=m_From,S2363&lt;=m_To)),1,0)</f>
        <v/>
      </c>
      <c r="V2363" s="36">
        <f>IF(AND(OR(sel_Region="All",C2363=sel_Region),OR(sel_Channel="All",E2363=sel_Channel),OR(sel_Customer="All",F2363=sel_Customer),OR(sel_Category="All",G2363=sel_Category),OR(sel_Product="All",H2363=sel_Product),AND(S2363&gt;=m_From,S2363&lt;=m_To)),1,0)</f>
        <v/>
      </c>
      <c r="W2363" s="36">
        <f>IF(AND(OR(sel_Region="All",C2363=sel_Region),OR(sel_Country="All",D2363=sel_Country),OR(sel_Customer="All",F2363=sel_Customer),OR(sel_Category="All",G2363=sel_Category),OR(sel_Product="All",H2363=sel_Product),AND(S2363&gt;=m_From,S2363&lt;=m_To)),1,0)</f>
        <v/>
      </c>
      <c r="X2363" s="36">
        <f>IF(AND(OR(sel_Region="All",C2363=sel_Region),OR(sel_Country="All",D2363=sel_Country),OR(sel_Channel="All",E2363=sel_Channel),OR(sel_Category="All",G2363=sel_Category),OR(sel_Product="All",H2363=sel_Product),AND(S2363&gt;=m_From,S2363&lt;=m_To)),1,0)</f>
        <v/>
      </c>
      <c r="Y2363" s="36">
        <f>IF(AND(OR(sel_Region="All",C2363=sel_Region),OR(sel_Country="All",D2363=sel_Country),OR(sel_Channel="All",E2363=sel_Channel),OR(sel_Customer="All",F2363=sel_Customer),OR(sel_Product="All",H2363=sel_Product),AND(S2363&gt;=m_From,S2363&lt;=m_To)),1,0)</f>
        <v/>
      </c>
      <c r="Z2363" s="36">
        <f>IF(AND(OR(sel_Region="All",C2363=sel_Region),OR(sel_Country="All",D2363=sel_Country),OR(sel_Channel="All",E2363=sel_Channel),OR(sel_Customer="All",F2363=sel_Customer),OR(sel_Category="All",G2363=sel_Category),AND(S2363&gt;=m_From,S2363&lt;=m_To)),1,0)</f>
        <v/>
      </c>
      <c r="AA2363" s="36">
        <f>IF(AND(OR(sel_Region="All",C2363=sel_Region),OR(sel_Country="All",D2363=sel_Country),OR(sel_Channel="All",E2363=sel_Channel),OR(sel_Customer="All",F2363=sel_Customer),OR(sel_Category="All",G2363=sel_Category),OR(sel_Product="All",H2363=sel_Product)),1,0)</f>
        <v/>
      </c>
    </row>
    <row r="2364">
      <c r="A2364" s="36" t="inlineStr">
        <is>
          <t>00584</t>
        </is>
      </c>
      <c r="B2364" s="44" t="n">
        <v>46340</v>
      </c>
      <c r="C2364" s="36" t="inlineStr">
        <is>
          <t>Central Europe</t>
        </is>
      </c>
      <c r="D2364" s="36" t="inlineStr">
        <is>
          <t>Germany</t>
        </is>
      </c>
      <c r="E2364" s="36" t="inlineStr">
        <is>
          <t>Online Store</t>
        </is>
      </c>
      <c r="F2364" s="36" t="inlineStr">
        <is>
          <t>New</t>
        </is>
      </c>
      <c r="G2364" s="36" t="inlineStr">
        <is>
          <t>Hiking</t>
        </is>
      </c>
      <c r="H2364" s="36" t="inlineStr">
        <is>
          <t>Hiking Daypack 20L</t>
        </is>
      </c>
      <c r="I2364" s="36" t="n">
        <v>1</v>
      </c>
      <c r="J2364" s="39" t="n">
        <v>91.95</v>
      </c>
      <c r="K2364" s="45" t="n">
        <v>0</v>
      </c>
      <c r="L2364" s="39" t="n">
        <v>46.64</v>
      </c>
      <c r="M2364" s="39">
        <f>I2364*J2364*(1-K2364)</f>
        <v/>
      </c>
      <c r="N2364" s="39">
        <f>I2364*L2364</f>
        <v/>
      </c>
      <c r="O2364" s="39">
        <f>M2364-N2364</f>
        <v/>
      </c>
      <c r="P2364" s="38">
        <f>IF(M2364=0,0,O2364/M2364)</f>
        <v/>
      </c>
      <c r="Q2364" s="36">
        <f>YEAR(B2364)</f>
        <v/>
      </c>
      <c r="R2364" s="36">
        <f>"Q"&amp;ROUNDUP(MONTH(B2364)/3,0)</f>
        <v/>
      </c>
      <c r="S2364" s="36">
        <f>MONTH(B2364)</f>
        <v/>
      </c>
      <c r="T2364" s="36">
        <f>TEXT(B2364,"mmm")</f>
        <v/>
      </c>
      <c r="U2364" s="36">
        <f>IF(AND(OR(sel_Region="All",C2364=sel_Region),OR(sel_Country="All",D2364=sel_Country),OR(sel_Channel="All",E2364=sel_Channel),OR(sel_Customer="All",F2364=sel_Customer),OR(sel_Category="All",G2364=sel_Category),OR(sel_Product="All",H2364=sel_Product),AND(S2364&gt;=m_From,S2364&lt;=m_To)),1,0)</f>
        <v/>
      </c>
      <c r="V2364" s="36">
        <f>IF(AND(OR(sel_Region="All",C2364=sel_Region),OR(sel_Channel="All",E2364=sel_Channel),OR(sel_Customer="All",F2364=sel_Customer),OR(sel_Category="All",G2364=sel_Category),OR(sel_Product="All",H2364=sel_Product),AND(S2364&gt;=m_From,S2364&lt;=m_To)),1,0)</f>
        <v/>
      </c>
      <c r="W2364" s="36">
        <f>IF(AND(OR(sel_Region="All",C2364=sel_Region),OR(sel_Country="All",D2364=sel_Country),OR(sel_Customer="All",F2364=sel_Customer),OR(sel_Category="All",G2364=sel_Category),OR(sel_Product="All",H2364=sel_Product),AND(S2364&gt;=m_From,S2364&lt;=m_To)),1,0)</f>
        <v/>
      </c>
      <c r="X2364" s="36">
        <f>IF(AND(OR(sel_Region="All",C2364=sel_Region),OR(sel_Country="All",D2364=sel_Country),OR(sel_Channel="All",E2364=sel_Channel),OR(sel_Category="All",G2364=sel_Category),OR(sel_Product="All",H2364=sel_Product),AND(S2364&gt;=m_From,S2364&lt;=m_To)),1,0)</f>
        <v/>
      </c>
      <c r="Y2364" s="36">
        <f>IF(AND(OR(sel_Region="All",C2364=sel_Region),OR(sel_Country="All",D2364=sel_Country),OR(sel_Channel="All",E2364=sel_Channel),OR(sel_Customer="All",F2364=sel_Customer),OR(sel_Product="All",H2364=sel_Product),AND(S2364&gt;=m_From,S2364&lt;=m_To)),1,0)</f>
        <v/>
      </c>
      <c r="Z2364" s="36">
        <f>IF(AND(OR(sel_Region="All",C2364=sel_Region),OR(sel_Country="All",D2364=sel_Country),OR(sel_Channel="All",E2364=sel_Channel),OR(sel_Customer="All",F2364=sel_Customer),OR(sel_Category="All",G2364=sel_Category),AND(S2364&gt;=m_From,S2364&lt;=m_To)),1,0)</f>
        <v/>
      </c>
      <c r="AA2364" s="36">
        <f>IF(AND(OR(sel_Region="All",C2364=sel_Region),OR(sel_Country="All",D2364=sel_Country),OR(sel_Channel="All",E2364=sel_Channel),OR(sel_Customer="All",F2364=sel_Customer),OR(sel_Category="All",G2364=sel_Category),OR(sel_Product="All",H2364=sel_Product)),1,0)</f>
        <v/>
      </c>
    </row>
    <row r="2365">
      <c r="A2365" s="36" t="inlineStr">
        <is>
          <t>00621</t>
        </is>
      </c>
      <c r="B2365" s="44" t="n">
        <v>46340</v>
      </c>
      <c r="C2365" s="36" t="inlineStr">
        <is>
          <t>Western Europe</t>
        </is>
      </c>
      <c r="D2365" s="36" t="inlineStr">
        <is>
          <t>France</t>
        </is>
      </c>
      <c r="E2365" s="36" t="inlineStr">
        <is>
          <t>Corporate</t>
        </is>
      </c>
      <c r="F2365" s="36" t="inlineStr">
        <is>
          <t>Business</t>
        </is>
      </c>
      <c r="G2365" s="36" t="inlineStr">
        <is>
          <t>Travel</t>
        </is>
      </c>
      <c r="H2365" s="36" t="inlineStr">
        <is>
          <t>Insulated Bottle</t>
        </is>
      </c>
      <c r="I2365" s="36" t="n">
        <v>5</v>
      </c>
      <c r="J2365" s="39" t="n">
        <v>35.68</v>
      </c>
      <c r="K2365" s="45" t="n">
        <v>0.15</v>
      </c>
      <c r="L2365" s="39" t="n">
        <v>13.48</v>
      </c>
      <c r="M2365" s="39">
        <f>I2365*J2365*(1-K2365)</f>
        <v/>
      </c>
      <c r="N2365" s="39">
        <f>I2365*L2365</f>
        <v/>
      </c>
      <c r="O2365" s="39">
        <f>M2365-N2365</f>
        <v/>
      </c>
      <c r="P2365" s="38">
        <f>IF(M2365=0,0,O2365/M2365)</f>
        <v/>
      </c>
      <c r="Q2365" s="36">
        <f>YEAR(B2365)</f>
        <v/>
      </c>
      <c r="R2365" s="36">
        <f>"Q"&amp;ROUNDUP(MONTH(B2365)/3,0)</f>
        <v/>
      </c>
      <c r="S2365" s="36">
        <f>MONTH(B2365)</f>
        <v/>
      </c>
      <c r="T2365" s="36">
        <f>TEXT(B2365,"mmm")</f>
        <v/>
      </c>
      <c r="U2365" s="36">
        <f>IF(AND(OR(sel_Region="All",C2365=sel_Region),OR(sel_Country="All",D2365=sel_Country),OR(sel_Channel="All",E2365=sel_Channel),OR(sel_Customer="All",F2365=sel_Customer),OR(sel_Category="All",G2365=sel_Category),OR(sel_Product="All",H2365=sel_Product),AND(S2365&gt;=m_From,S2365&lt;=m_To)),1,0)</f>
        <v/>
      </c>
      <c r="V2365" s="36">
        <f>IF(AND(OR(sel_Region="All",C2365=sel_Region),OR(sel_Channel="All",E2365=sel_Channel),OR(sel_Customer="All",F2365=sel_Customer),OR(sel_Category="All",G2365=sel_Category),OR(sel_Product="All",H2365=sel_Product),AND(S2365&gt;=m_From,S2365&lt;=m_To)),1,0)</f>
        <v/>
      </c>
      <c r="W2365" s="36">
        <f>IF(AND(OR(sel_Region="All",C2365=sel_Region),OR(sel_Country="All",D2365=sel_Country),OR(sel_Customer="All",F2365=sel_Customer),OR(sel_Category="All",G2365=sel_Category),OR(sel_Product="All",H2365=sel_Product),AND(S2365&gt;=m_From,S2365&lt;=m_To)),1,0)</f>
        <v/>
      </c>
      <c r="X2365" s="36">
        <f>IF(AND(OR(sel_Region="All",C2365=sel_Region),OR(sel_Country="All",D2365=sel_Country),OR(sel_Channel="All",E2365=sel_Channel),OR(sel_Category="All",G2365=sel_Category),OR(sel_Product="All",H2365=sel_Product),AND(S2365&gt;=m_From,S2365&lt;=m_To)),1,0)</f>
        <v/>
      </c>
      <c r="Y2365" s="36">
        <f>IF(AND(OR(sel_Region="All",C2365=sel_Region),OR(sel_Country="All",D2365=sel_Country),OR(sel_Channel="All",E2365=sel_Channel),OR(sel_Customer="All",F2365=sel_Customer),OR(sel_Product="All",H2365=sel_Product),AND(S2365&gt;=m_From,S2365&lt;=m_To)),1,0)</f>
        <v/>
      </c>
      <c r="Z2365" s="36">
        <f>IF(AND(OR(sel_Region="All",C2365=sel_Region),OR(sel_Country="All",D2365=sel_Country),OR(sel_Channel="All",E2365=sel_Channel),OR(sel_Customer="All",F2365=sel_Customer),OR(sel_Category="All",G2365=sel_Category),AND(S2365&gt;=m_From,S2365&lt;=m_To)),1,0)</f>
        <v/>
      </c>
      <c r="AA2365" s="36">
        <f>IF(AND(OR(sel_Region="All",C2365=sel_Region),OR(sel_Country="All",D2365=sel_Country),OR(sel_Channel="All",E2365=sel_Channel),OR(sel_Customer="All",F2365=sel_Customer),OR(sel_Category="All",G2365=sel_Category),OR(sel_Product="All",H2365=sel_Product)),1,0)</f>
        <v/>
      </c>
    </row>
    <row r="2366">
      <c r="A2366" s="36" t="inlineStr">
        <is>
          <t>00623</t>
        </is>
      </c>
      <c r="B2366" s="44" t="n">
        <v>46340</v>
      </c>
      <c r="C2366" s="36" t="inlineStr">
        <is>
          <t>Northern Europe</t>
        </is>
      </c>
      <c r="D2366" s="36" t="inlineStr">
        <is>
          <t>Norway</t>
        </is>
      </c>
      <c r="E2366" s="36" t="inlineStr">
        <is>
          <t>Online Store</t>
        </is>
      </c>
      <c r="F2366" s="36" t="inlineStr">
        <is>
          <t>Returning</t>
        </is>
      </c>
      <c r="G2366" s="36" t="inlineStr">
        <is>
          <t>Camping</t>
        </is>
      </c>
      <c r="H2366" s="36" t="inlineStr">
        <is>
          <t>Alpine Tent 4P</t>
        </is>
      </c>
      <c r="I2366" s="36" t="n">
        <v>3</v>
      </c>
      <c r="J2366" s="39" t="n">
        <v>336.58</v>
      </c>
      <c r="K2366" s="45" t="n">
        <v>0.15</v>
      </c>
      <c r="L2366" s="39" t="n">
        <v>198.99</v>
      </c>
      <c r="M2366" s="39">
        <f>I2366*J2366*(1-K2366)</f>
        <v/>
      </c>
      <c r="N2366" s="39">
        <f>I2366*L2366</f>
        <v/>
      </c>
      <c r="O2366" s="39">
        <f>M2366-N2366</f>
        <v/>
      </c>
      <c r="P2366" s="38">
        <f>IF(M2366=0,0,O2366/M2366)</f>
        <v/>
      </c>
      <c r="Q2366" s="36">
        <f>YEAR(B2366)</f>
        <v/>
      </c>
      <c r="R2366" s="36">
        <f>"Q"&amp;ROUNDUP(MONTH(B2366)/3,0)</f>
        <v/>
      </c>
      <c r="S2366" s="36">
        <f>MONTH(B2366)</f>
        <v/>
      </c>
      <c r="T2366" s="36">
        <f>TEXT(B2366,"mmm")</f>
        <v/>
      </c>
      <c r="U2366" s="36">
        <f>IF(AND(OR(sel_Region="All",C2366=sel_Region),OR(sel_Country="All",D2366=sel_Country),OR(sel_Channel="All",E2366=sel_Channel),OR(sel_Customer="All",F2366=sel_Customer),OR(sel_Category="All",G2366=sel_Category),OR(sel_Product="All",H2366=sel_Product),AND(S2366&gt;=m_From,S2366&lt;=m_To)),1,0)</f>
        <v/>
      </c>
      <c r="V2366" s="36">
        <f>IF(AND(OR(sel_Region="All",C2366=sel_Region),OR(sel_Channel="All",E2366=sel_Channel),OR(sel_Customer="All",F2366=sel_Customer),OR(sel_Category="All",G2366=sel_Category),OR(sel_Product="All",H2366=sel_Product),AND(S2366&gt;=m_From,S2366&lt;=m_To)),1,0)</f>
        <v/>
      </c>
      <c r="W2366" s="36">
        <f>IF(AND(OR(sel_Region="All",C2366=sel_Region),OR(sel_Country="All",D2366=sel_Country),OR(sel_Customer="All",F2366=sel_Customer),OR(sel_Category="All",G2366=sel_Category),OR(sel_Product="All",H2366=sel_Product),AND(S2366&gt;=m_From,S2366&lt;=m_To)),1,0)</f>
        <v/>
      </c>
      <c r="X2366" s="36">
        <f>IF(AND(OR(sel_Region="All",C2366=sel_Region),OR(sel_Country="All",D2366=sel_Country),OR(sel_Channel="All",E2366=sel_Channel),OR(sel_Category="All",G2366=sel_Category),OR(sel_Product="All",H2366=sel_Product),AND(S2366&gt;=m_From,S2366&lt;=m_To)),1,0)</f>
        <v/>
      </c>
      <c r="Y2366" s="36">
        <f>IF(AND(OR(sel_Region="All",C2366=sel_Region),OR(sel_Country="All",D2366=sel_Country),OR(sel_Channel="All",E2366=sel_Channel),OR(sel_Customer="All",F2366=sel_Customer),OR(sel_Product="All",H2366=sel_Product),AND(S2366&gt;=m_From,S2366&lt;=m_To)),1,0)</f>
        <v/>
      </c>
      <c r="Z2366" s="36">
        <f>IF(AND(OR(sel_Region="All",C2366=sel_Region),OR(sel_Country="All",D2366=sel_Country),OR(sel_Channel="All",E2366=sel_Channel),OR(sel_Customer="All",F2366=sel_Customer),OR(sel_Category="All",G2366=sel_Category),AND(S2366&gt;=m_From,S2366&lt;=m_To)),1,0)</f>
        <v/>
      </c>
      <c r="AA2366" s="36">
        <f>IF(AND(OR(sel_Region="All",C2366=sel_Region),OR(sel_Country="All",D2366=sel_Country),OR(sel_Channel="All",E2366=sel_Channel),OR(sel_Customer="All",F2366=sel_Customer),OR(sel_Category="All",G2366=sel_Category),OR(sel_Product="All",H2366=sel_Product)),1,0)</f>
        <v/>
      </c>
    </row>
    <row r="2367">
      <c r="A2367" s="36" t="inlineStr">
        <is>
          <t>01431</t>
        </is>
      </c>
      <c r="B2367" s="44" t="n">
        <v>46340</v>
      </c>
      <c r="C2367" s="36" t="inlineStr">
        <is>
          <t>Northern Europe</t>
        </is>
      </c>
      <c r="D2367" s="36" t="inlineStr">
        <is>
          <t>Sweden</t>
        </is>
      </c>
      <c r="E2367" s="36" t="inlineStr">
        <is>
          <t>Online Store</t>
        </is>
      </c>
      <c r="F2367" s="36" t="inlineStr">
        <is>
          <t>New</t>
        </is>
      </c>
      <c r="G2367" s="36" t="inlineStr">
        <is>
          <t>Fitness</t>
        </is>
      </c>
      <c r="H2367" s="36" t="inlineStr">
        <is>
          <t>Recovery Roller</t>
        </is>
      </c>
      <c r="I2367" s="36" t="n">
        <v>2</v>
      </c>
      <c r="J2367" s="39" t="n">
        <v>36.98</v>
      </c>
      <c r="K2367" s="45" t="n">
        <v>0.15</v>
      </c>
      <c r="L2367" s="39" t="n">
        <v>14.13</v>
      </c>
      <c r="M2367" s="39">
        <f>I2367*J2367*(1-K2367)</f>
        <v/>
      </c>
      <c r="N2367" s="39">
        <f>I2367*L2367</f>
        <v/>
      </c>
      <c r="O2367" s="39">
        <f>M2367-N2367</f>
        <v/>
      </c>
      <c r="P2367" s="38">
        <f>IF(M2367=0,0,O2367/M2367)</f>
        <v/>
      </c>
      <c r="Q2367" s="36">
        <f>YEAR(B2367)</f>
        <v/>
      </c>
      <c r="R2367" s="36">
        <f>"Q"&amp;ROUNDUP(MONTH(B2367)/3,0)</f>
        <v/>
      </c>
      <c r="S2367" s="36">
        <f>MONTH(B2367)</f>
        <v/>
      </c>
      <c r="T2367" s="36">
        <f>TEXT(B2367,"mmm")</f>
        <v/>
      </c>
      <c r="U2367" s="36">
        <f>IF(AND(OR(sel_Region="All",C2367=sel_Region),OR(sel_Country="All",D2367=sel_Country),OR(sel_Channel="All",E2367=sel_Channel),OR(sel_Customer="All",F2367=sel_Customer),OR(sel_Category="All",G2367=sel_Category),OR(sel_Product="All",H2367=sel_Product),AND(S2367&gt;=m_From,S2367&lt;=m_To)),1,0)</f>
        <v/>
      </c>
      <c r="V2367" s="36">
        <f>IF(AND(OR(sel_Region="All",C2367=sel_Region),OR(sel_Channel="All",E2367=sel_Channel),OR(sel_Customer="All",F2367=sel_Customer),OR(sel_Category="All",G2367=sel_Category),OR(sel_Product="All",H2367=sel_Product),AND(S2367&gt;=m_From,S2367&lt;=m_To)),1,0)</f>
        <v/>
      </c>
      <c r="W2367" s="36">
        <f>IF(AND(OR(sel_Region="All",C2367=sel_Region),OR(sel_Country="All",D2367=sel_Country),OR(sel_Customer="All",F2367=sel_Customer),OR(sel_Category="All",G2367=sel_Category),OR(sel_Product="All",H2367=sel_Product),AND(S2367&gt;=m_From,S2367&lt;=m_To)),1,0)</f>
        <v/>
      </c>
      <c r="X2367" s="36">
        <f>IF(AND(OR(sel_Region="All",C2367=sel_Region),OR(sel_Country="All",D2367=sel_Country),OR(sel_Channel="All",E2367=sel_Channel),OR(sel_Category="All",G2367=sel_Category),OR(sel_Product="All",H2367=sel_Product),AND(S2367&gt;=m_From,S2367&lt;=m_To)),1,0)</f>
        <v/>
      </c>
      <c r="Y2367" s="36">
        <f>IF(AND(OR(sel_Region="All",C2367=sel_Region),OR(sel_Country="All",D2367=sel_Country),OR(sel_Channel="All",E2367=sel_Channel),OR(sel_Customer="All",F2367=sel_Customer),OR(sel_Product="All",H2367=sel_Product),AND(S2367&gt;=m_From,S2367&lt;=m_To)),1,0)</f>
        <v/>
      </c>
      <c r="Z2367" s="36">
        <f>IF(AND(OR(sel_Region="All",C2367=sel_Region),OR(sel_Country="All",D2367=sel_Country),OR(sel_Channel="All",E2367=sel_Channel),OR(sel_Customer="All",F2367=sel_Customer),OR(sel_Category="All",G2367=sel_Category),AND(S2367&gt;=m_From,S2367&lt;=m_To)),1,0)</f>
        <v/>
      </c>
      <c r="AA2367" s="36">
        <f>IF(AND(OR(sel_Region="All",C2367=sel_Region),OR(sel_Country="All",D2367=sel_Country),OR(sel_Channel="All",E2367=sel_Channel),OR(sel_Customer="All",F2367=sel_Customer),OR(sel_Category="All",G2367=sel_Category),OR(sel_Product="All",H2367=sel_Product)),1,0)</f>
        <v/>
      </c>
    </row>
    <row r="2368">
      <c r="A2368" s="36" t="inlineStr">
        <is>
          <t>01520</t>
        </is>
      </c>
      <c r="B2368" s="44" t="n">
        <v>46340</v>
      </c>
      <c r="C2368" s="36" t="inlineStr">
        <is>
          <t>Western Europe</t>
        </is>
      </c>
      <c r="D2368" s="36" t="inlineStr">
        <is>
          <t>France</t>
        </is>
      </c>
      <c r="E2368" s="36" t="inlineStr">
        <is>
          <t>Marketplace</t>
        </is>
      </c>
      <c r="F2368" s="36" t="inlineStr">
        <is>
          <t>New</t>
        </is>
      </c>
      <c r="G2368" s="36" t="inlineStr">
        <is>
          <t>Fitness</t>
        </is>
      </c>
      <c r="H2368" s="36" t="inlineStr">
        <is>
          <t>Recovery Roller</t>
        </is>
      </c>
      <c r="I2368" s="36" t="n">
        <v>2</v>
      </c>
      <c r="J2368" s="39" t="n">
        <v>36.15</v>
      </c>
      <c r="K2368" s="45" t="n">
        <v>0</v>
      </c>
      <c r="L2368" s="39" t="n">
        <v>13.51</v>
      </c>
      <c r="M2368" s="39">
        <f>I2368*J2368*(1-K2368)</f>
        <v/>
      </c>
      <c r="N2368" s="39">
        <f>I2368*L2368</f>
        <v/>
      </c>
      <c r="O2368" s="39">
        <f>M2368-N2368</f>
        <v/>
      </c>
      <c r="P2368" s="38">
        <f>IF(M2368=0,0,O2368/M2368)</f>
        <v/>
      </c>
      <c r="Q2368" s="36">
        <f>YEAR(B2368)</f>
        <v/>
      </c>
      <c r="R2368" s="36">
        <f>"Q"&amp;ROUNDUP(MONTH(B2368)/3,0)</f>
        <v/>
      </c>
      <c r="S2368" s="36">
        <f>MONTH(B2368)</f>
        <v/>
      </c>
      <c r="T2368" s="36">
        <f>TEXT(B2368,"mmm")</f>
        <v/>
      </c>
      <c r="U2368" s="36">
        <f>IF(AND(OR(sel_Region="All",C2368=sel_Region),OR(sel_Country="All",D2368=sel_Country),OR(sel_Channel="All",E2368=sel_Channel),OR(sel_Customer="All",F2368=sel_Customer),OR(sel_Category="All",G2368=sel_Category),OR(sel_Product="All",H2368=sel_Product),AND(S2368&gt;=m_From,S2368&lt;=m_To)),1,0)</f>
        <v/>
      </c>
      <c r="V2368" s="36">
        <f>IF(AND(OR(sel_Region="All",C2368=sel_Region),OR(sel_Channel="All",E2368=sel_Channel),OR(sel_Customer="All",F2368=sel_Customer),OR(sel_Category="All",G2368=sel_Category),OR(sel_Product="All",H2368=sel_Product),AND(S2368&gt;=m_From,S2368&lt;=m_To)),1,0)</f>
        <v/>
      </c>
      <c r="W2368" s="36">
        <f>IF(AND(OR(sel_Region="All",C2368=sel_Region),OR(sel_Country="All",D2368=sel_Country),OR(sel_Customer="All",F2368=sel_Customer),OR(sel_Category="All",G2368=sel_Category),OR(sel_Product="All",H2368=sel_Product),AND(S2368&gt;=m_From,S2368&lt;=m_To)),1,0)</f>
        <v/>
      </c>
      <c r="X2368" s="36">
        <f>IF(AND(OR(sel_Region="All",C2368=sel_Region),OR(sel_Country="All",D2368=sel_Country),OR(sel_Channel="All",E2368=sel_Channel),OR(sel_Category="All",G2368=sel_Category),OR(sel_Product="All",H2368=sel_Product),AND(S2368&gt;=m_From,S2368&lt;=m_To)),1,0)</f>
        <v/>
      </c>
      <c r="Y2368" s="36">
        <f>IF(AND(OR(sel_Region="All",C2368=sel_Region),OR(sel_Country="All",D2368=sel_Country),OR(sel_Channel="All",E2368=sel_Channel),OR(sel_Customer="All",F2368=sel_Customer),OR(sel_Product="All",H2368=sel_Product),AND(S2368&gt;=m_From,S2368&lt;=m_To)),1,0)</f>
        <v/>
      </c>
      <c r="Z2368" s="36">
        <f>IF(AND(OR(sel_Region="All",C2368=sel_Region),OR(sel_Country="All",D2368=sel_Country),OR(sel_Channel="All",E2368=sel_Channel),OR(sel_Customer="All",F2368=sel_Customer),OR(sel_Category="All",G2368=sel_Category),AND(S2368&gt;=m_From,S2368&lt;=m_To)),1,0)</f>
        <v/>
      </c>
      <c r="AA2368" s="36">
        <f>IF(AND(OR(sel_Region="All",C2368=sel_Region),OR(sel_Country="All",D2368=sel_Country),OR(sel_Channel="All",E2368=sel_Channel),OR(sel_Customer="All",F2368=sel_Customer),OR(sel_Category="All",G2368=sel_Category),OR(sel_Product="All",H2368=sel_Product)),1,0)</f>
        <v/>
      </c>
    </row>
    <row r="2369">
      <c r="A2369" s="36" t="inlineStr">
        <is>
          <t>01791</t>
        </is>
      </c>
      <c r="B2369" s="44" t="n">
        <v>46340</v>
      </c>
      <c r="C2369" s="36" t="inlineStr">
        <is>
          <t>Northern Europe</t>
        </is>
      </c>
      <c r="D2369" s="36" t="inlineStr">
        <is>
          <t>Sweden</t>
        </is>
      </c>
      <c r="E2369" s="36" t="inlineStr">
        <is>
          <t>Online Store</t>
        </is>
      </c>
      <c r="F2369" s="36" t="inlineStr">
        <is>
          <t>Business</t>
        </is>
      </c>
      <c r="G2369" s="36" t="inlineStr">
        <is>
          <t>Fitness</t>
        </is>
      </c>
      <c r="H2369" s="36" t="inlineStr">
        <is>
          <t>Weighted Vest</t>
        </is>
      </c>
      <c r="I2369" s="36" t="n">
        <v>1</v>
      </c>
      <c r="J2369" s="39" t="n">
        <v>121.86</v>
      </c>
      <c r="K2369" s="45" t="n">
        <v>0.05</v>
      </c>
      <c r="L2369" s="39" t="n">
        <v>69.90000000000001</v>
      </c>
      <c r="M2369" s="39">
        <f>I2369*J2369*(1-K2369)</f>
        <v/>
      </c>
      <c r="N2369" s="39">
        <f>I2369*L2369</f>
        <v/>
      </c>
      <c r="O2369" s="39">
        <f>M2369-N2369</f>
        <v/>
      </c>
      <c r="P2369" s="38">
        <f>IF(M2369=0,0,O2369/M2369)</f>
        <v/>
      </c>
      <c r="Q2369" s="36">
        <f>YEAR(B2369)</f>
        <v/>
      </c>
      <c r="R2369" s="36">
        <f>"Q"&amp;ROUNDUP(MONTH(B2369)/3,0)</f>
        <v/>
      </c>
      <c r="S2369" s="36">
        <f>MONTH(B2369)</f>
        <v/>
      </c>
      <c r="T2369" s="36">
        <f>TEXT(B2369,"mmm")</f>
        <v/>
      </c>
      <c r="U2369" s="36">
        <f>IF(AND(OR(sel_Region="All",C2369=sel_Region),OR(sel_Country="All",D2369=sel_Country),OR(sel_Channel="All",E2369=sel_Channel),OR(sel_Customer="All",F2369=sel_Customer),OR(sel_Category="All",G2369=sel_Category),OR(sel_Product="All",H2369=sel_Product),AND(S2369&gt;=m_From,S2369&lt;=m_To)),1,0)</f>
        <v/>
      </c>
      <c r="V2369" s="36">
        <f>IF(AND(OR(sel_Region="All",C2369=sel_Region),OR(sel_Channel="All",E2369=sel_Channel),OR(sel_Customer="All",F2369=sel_Customer),OR(sel_Category="All",G2369=sel_Category),OR(sel_Product="All",H2369=sel_Product),AND(S2369&gt;=m_From,S2369&lt;=m_To)),1,0)</f>
        <v/>
      </c>
      <c r="W2369" s="36">
        <f>IF(AND(OR(sel_Region="All",C2369=sel_Region),OR(sel_Country="All",D2369=sel_Country),OR(sel_Customer="All",F2369=sel_Customer),OR(sel_Category="All",G2369=sel_Category),OR(sel_Product="All",H2369=sel_Product),AND(S2369&gt;=m_From,S2369&lt;=m_To)),1,0)</f>
        <v/>
      </c>
      <c r="X2369" s="36">
        <f>IF(AND(OR(sel_Region="All",C2369=sel_Region),OR(sel_Country="All",D2369=sel_Country),OR(sel_Channel="All",E2369=sel_Channel),OR(sel_Category="All",G2369=sel_Category),OR(sel_Product="All",H2369=sel_Product),AND(S2369&gt;=m_From,S2369&lt;=m_To)),1,0)</f>
        <v/>
      </c>
      <c r="Y2369" s="36">
        <f>IF(AND(OR(sel_Region="All",C2369=sel_Region),OR(sel_Country="All",D2369=sel_Country),OR(sel_Channel="All",E2369=sel_Channel),OR(sel_Customer="All",F2369=sel_Customer),OR(sel_Product="All",H2369=sel_Product),AND(S2369&gt;=m_From,S2369&lt;=m_To)),1,0)</f>
        <v/>
      </c>
      <c r="Z2369" s="36">
        <f>IF(AND(OR(sel_Region="All",C2369=sel_Region),OR(sel_Country="All",D2369=sel_Country),OR(sel_Channel="All",E2369=sel_Channel),OR(sel_Customer="All",F2369=sel_Customer),OR(sel_Category="All",G2369=sel_Category),AND(S2369&gt;=m_From,S2369&lt;=m_To)),1,0)</f>
        <v/>
      </c>
      <c r="AA2369" s="36">
        <f>IF(AND(OR(sel_Region="All",C2369=sel_Region),OR(sel_Country="All",D2369=sel_Country),OR(sel_Channel="All",E2369=sel_Channel),OR(sel_Customer="All",F2369=sel_Customer),OR(sel_Category="All",G2369=sel_Category),OR(sel_Product="All",H2369=sel_Product)),1,0)</f>
        <v/>
      </c>
    </row>
    <row r="2370">
      <c r="A2370" s="36" t="inlineStr">
        <is>
          <t>02191</t>
        </is>
      </c>
      <c r="B2370" s="44" t="n">
        <v>46340</v>
      </c>
      <c r="C2370" s="36" t="inlineStr">
        <is>
          <t>Northern Europe</t>
        </is>
      </c>
      <c r="D2370" s="36" t="inlineStr">
        <is>
          <t>Denmark</t>
        </is>
      </c>
      <c r="E2370" s="36" t="inlineStr">
        <is>
          <t>Retail Partners</t>
        </is>
      </c>
      <c r="F2370" s="36" t="inlineStr">
        <is>
          <t>Returning</t>
        </is>
      </c>
      <c r="G2370" s="36" t="inlineStr">
        <is>
          <t>Cycling</t>
        </is>
      </c>
      <c r="H2370" s="36" t="inlineStr">
        <is>
          <t>Trail Bike Light</t>
        </is>
      </c>
      <c r="I2370" s="36" t="n">
        <v>6</v>
      </c>
      <c r="J2370" s="39" t="n">
        <v>49.85</v>
      </c>
      <c r="K2370" s="45" t="n">
        <v>0.05</v>
      </c>
      <c r="L2370" s="39" t="n">
        <v>22.68</v>
      </c>
      <c r="M2370" s="39">
        <f>I2370*J2370*(1-K2370)</f>
        <v/>
      </c>
      <c r="N2370" s="39">
        <f>I2370*L2370</f>
        <v/>
      </c>
      <c r="O2370" s="39">
        <f>M2370-N2370</f>
        <v/>
      </c>
      <c r="P2370" s="38">
        <f>IF(M2370=0,0,O2370/M2370)</f>
        <v/>
      </c>
      <c r="Q2370" s="36">
        <f>YEAR(B2370)</f>
        <v/>
      </c>
      <c r="R2370" s="36">
        <f>"Q"&amp;ROUNDUP(MONTH(B2370)/3,0)</f>
        <v/>
      </c>
      <c r="S2370" s="36">
        <f>MONTH(B2370)</f>
        <v/>
      </c>
      <c r="T2370" s="36">
        <f>TEXT(B2370,"mmm")</f>
        <v/>
      </c>
      <c r="U2370" s="36">
        <f>IF(AND(OR(sel_Region="All",C2370=sel_Region),OR(sel_Country="All",D2370=sel_Country),OR(sel_Channel="All",E2370=sel_Channel),OR(sel_Customer="All",F2370=sel_Customer),OR(sel_Category="All",G2370=sel_Category),OR(sel_Product="All",H2370=sel_Product),AND(S2370&gt;=m_From,S2370&lt;=m_To)),1,0)</f>
        <v/>
      </c>
      <c r="V2370" s="36">
        <f>IF(AND(OR(sel_Region="All",C2370=sel_Region),OR(sel_Channel="All",E2370=sel_Channel),OR(sel_Customer="All",F2370=sel_Customer),OR(sel_Category="All",G2370=sel_Category),OR(sel_Product="All",H2370=sel_Product),AND(S2370&gt;=m_From,S2370&lt;=m_To)),1,0)</f>
        <v/>
      </c>
      <c r="W2370" s="36">
        <f>IF(AND(OR(sel_Region="All",C2370=sel_Region),OR(sel_Country="All",D2370=sel_Country),OR(sel_Customer="All",F2370=sel_Customer),OR(sel_Category="All",G2370=sel_Category),OR(sel_Product="All",H2370=sel_Product),AND(S2370&gt;=m_From,S2370&lt;=m_To)),1,0)</f>
        <v/>
      </c>
      <c r="X2370" s="36">
        <f>IF(AND(OR(sel_Region="All",C2370=sel_Region),OR(sel_Country="All",D2370=sel_Country),OR(sel_Channel="All",E2370=sel_Channel),OR(sel_Category="All",G2370=sel_Category),OR(sel_Product="All",H2370=sel_Product),AND(S2370&gt;=m_From,S2370&lt;=m_To)),1,0)</f>
        <v/>
      </c>
      <c r="Y2370" s="36">
        <f>IF(AND(OR(sel_Region="All",C2370=sel_Region),OR(sel_Country="All",D2370=sel_Country),OR(sel_Channel="All",E2370=sel_Channel),OR(sel_Customer="All",F2370=sel_Customer),OR(sel_Product="All",H2370=sel_Product),AND(S2370&gt;=m_From,S2370&lt;=m_To)),1,0)</f>
        <v/>
      </c>
      <c r="Z2370" s="36">
        <f>IF(AND(OR(sel_Region="All",C2370=sel_Region),OR(sel_Country="All",D2370=sel_Country),OR(sel_Channel="All",E2370=sel_Channel),OR(sel_Customer="All",F2370=sel_Customer),OR(sel_Category="All",G2370=sel_Category),AND(S2370&gt;=m_From,S2370&lt;=m_To)),1,0)</f>
        <v/>
      </c>
      <c r="AA2370" s="36">
        <f>IF(AND(OR(sel_Region="All",C2370=sel_Region),OR(sel_Country="All",D2370=sel_Country),OR(sel_Channel="All",E2370=sel_Channel),OR(sel_Customer="All",F2370=sel_Customer),OR(sel_Category="All",G2370=sel_Category),OR(sel_Product="All",H2370=sel_Product)),1,0)</f>
        <v/>
      </c>
    </row>
    <row r="2371">
      <c r="A2371" s="36" t="inlineStr">
        <is>
          <t>02365</t>
        </is>
      </c>
      <c r="B2371" s="44" t="n">
        <v>46340</v>
      </c>
      <c r="C2371" s="36" t="inlineStr">
        <is>
          <t>Northern Europe</t>
        </is>
      </c>
      <c r="D2371" s="36" t="inlineStr">
        <is>
          <t>Denmark</t>
        </is>
      </c>
      <c r="E2371" s="36" t="inlineStr">
        <is>
          <t>Retail Partners</t>
        </is>
      </c>
      <c r="F2371" s="36" t="inlineStr">
        <is>
          <t>Business</t>
        </is>
      </c>
      <c r="G2371" s="36" t="inlineStr">
        <is>
          <t>Hiking</t>
        </is>
      </c>
      <c r="H2371" s="36" t="inlineStr">
        <is>
          <t>Hiking Daypack 20L</t>
        </is>
      </c>
      <c r="I2371" s="36" t="n">
        <v>2</v>
      </c>
      <c r="J2371" s="39" t="n">
        <v>91.95</v>
      </c>
      <c r="K2371" s="45" t="n">
        <v>0.05</v>
      </c>
      <c r="L2371" s="39" t="n">
        <v>46.45</v>
      </c>
      <c r="M2371" s="39">
        <f>I2371*J2371*(1-K2371)</f>
        <v/>
      </c>
      <c r="N2371" s="39">
        <f>I2371*L2371</f>
        <v/>
      </c>
      <c r="O2371" s="39">
        <f>M2371-N2371</f>
        <v/>
      </c>
      <c r="P2371" s="38">
        <f>IF(M2371=0,0,O2371/M2371)</f>
        <v/>
      </c>
      <c r="Q2371" s="36">
        <f>YEAR(B2371)</f>
        <v/>
      </c>
      <c r="R2371" s="36">
        <f>"Q"&amp;ROUNDUP(MONTH(B2371)/3,0)</f>
        <v/>
      </c>
      <c r="S2371" s="36">
        <f>MONTH(B2371)</f>
        <v/>
      </c>
      <c r="T2371" s="36">
        <f>TEXT(B2371,"mmm")</f>
        <v/>
      </c>
      <c r="U2371" s="36">
        <f>IF(AND(OR(sel_Region="All",C2371=sel_Region),OR(sel_Country="All",D2371=sel_Country),OR(sel_Channel="All",E2371=sel_Channel),OR(sel_Customer="All",F2371=sel_Customer),OR(sel_Category="All",G2371=sel_Category),OR(sel_Product="All",H2371=sel_Product),AND(S2371&gt;=m_From,S2371&lt;=m_To)),1,0)</f>
        <v/>
      </c>
      <c r="V2371" s="36">
        <f>IF(AND(OR(sel_Region="All",C2371=sel_Region),OR(sel_Channel="All",E2371=sel_Channel),OR(sel_Customer="All",F2371=sel_Customer),OR(sel_Category="All",G2371=sel_Category),OR(sel_Product="All",H2371=sel_Product),AND(S2371&gt;=m_From,S2371&lt;=m_To)),1,0)</f>
        <v/>
      </c>
      <c r="W2371" s="36">
        <f>IF(AND(OR(sel_Region="All",C2371=sel_Region),OR(sel_Country="All",D2371=sel_Country),OR(sel_Customer="All",F2371=sel_Customer),OR(sel_Category="All",G2371=sel_Category),OR(sel_Product="All",H2371=sel_Product),AND(S2371&gt;=m_From,S2371&lt;=m_To)),1,0)</f>
        <v/>
      </c>
      <c r="X2371" s="36">
        <f>IF(AND(OR(sel_Region="All",C2371=sel_Region),OR(sel_Country="All",D2371=sel_Country),OR(sel_Channel="All",E2371=sel_Channel),OR(sel_Category="All",G2371=sel_Category),OR(sel_Product="All",H2371=sel_Product),AND(S2371&gt;=m_From,S2371&lt;=m_To)),1,0)</f>
        <v/>
      </c>
      <c r="Y2371" s="36">
        <f>IF(AND(OR(sel_Region="All",C2371=sel_Region),OR(sel_Country="All",D2371=sel_Country),OR(sel_Channel="All",E2371=sel_Channel),OR(sel_Customer="All",F2371=sel_Customer),OR(sel_Product="All",H2371=sel_Product),AND(S2371&gt;=m_From,S2371&lt;=m_To)),1,0)</f>
        <v/>
      </c>
      <c r="Z2371" s="36">
        <f>IF(AND(OR(sel_Region="All",C2371=sel_Region),OR(sel_Country="All",D2371=sel_Country),OR(sel_Channel="All",E2371=sel_Channel),OR(sel_Customer="All",F2371=sel_Customer),OR(sel_Category="All",G2371=sel_Category),AND(S2371&gt;=m_From,S2371&lt;=m_To)),1,0)</f>
        <v/>
      </c>
      <c r="AA2371" s="36">
        <f>IF(AND(OR(sel_Region="All",C2371=sel_Region),OR(sel_Country="All",D2371=sel_Country),OR(sel_Channel="All",E2371=sel_Channel),OR(sel_Customer="All",F2371=sel_Customer),OR(sel_Category="All",G2371=sel_Category),OR(sel_Product="All",H2371=sel_Product)),1,0)</f>
        <v/>
      </c>
    </row>
    <row r="2372">
      <c r="A2372" s="36" t="inlineStr">
        <is>
          <t>02603</t>
        </is>
      </c>
      <c r="B2372" s="44" t="n">
        <v>46340</v>
      </c>
      <c r="C2372" s="36" t="inlineStr">
        <is>
          <t>Western Europe</t>
        </is>
      </c>
      <c r="D2372" s="36" t="inlineStr">
        <is>
          <t>United Kingdom</t>
        </is>
      </c>
      <c r="E2372" s="36" t="inlineStr">
        <is>
          <t>Marketplace</t>
        </is>
      </c>
      <c r="F2372" s="36" t="inlineStr">
        <is>
          <t>Returning</t>
        </is>
      </c>
      <c r="G2372" s="36" t="inlineStr">
        <is>
          <t>Cycling</t>
        </is>
      </c>
      <c r="H2372" s="36" t="inlineStr">
        <is>
          <t>Trail Bike Light</t>
        </is>
      </c>
      <c r="I2372" s="36" t="n">
        <v>2</v>
      </c>
      <c r="J2372" s="39" t="n">
        <v>51.71</v>
      </c>
      <c r="K2372" s="45" t="n">
        <v>0.15</v>
      </c>
      <c r="L2372" s="39" t="n">
        <v>22.93</v>
      </c>
      <c r="M2372" s="39">
        <f>I2372*J2372*(1-K2372)</f>
        <v/>
      </c>
      <c r="N2372" s="39">
        <f>I2372*L2372</f>
        <v/>
      </c>
      <c r="O2372" s="39">
        <f>M2372-N2372</f>
        <v/>
      </c>
      <c r="P2372" s="38">
        <f>IF(M2372=0,0,O2372/M2372)</f>
        <v/>
      </c>
      <c r="Q2372" s="36">
        <f>YEAR(B2372)</f>
        <v/>
      </c>
      <c r="R2372" s="36">
        <f>"Q"&amp;ROUNDUP(MONTH(B2372)/3,0)</f>
        <v/>
      </c>
      <c r="S2372" s="36">
        <f>MONTH(B2372)</f>
        <v/>
      </c>
      <c r="T2372" s="36">
        <f>TEXT(B2372,"mmm")</f>
        <v/>
      </c>
      <c r="U2372" s="36">
        <f>IF(AND(OR(sel_Region="All",C2372=sel_Region),OR(sel_Country="All",D2372=sel_Country),OR(sel_Channel="All",E2372=sel_Channel),OR(sel_Customer="All",F2372=sel_Customer),OR(sel_Category="All",G2372=sel_Category),OR(sel_Product="All",H2372=sel_Product),AND(S2372&gt;=m_From,S2372&lt;=m_To)),1,0)</f>
        <v/>
      </c>
      <c r="V2372" s="36">
        <f>IF(AND(OR(sel_Region="All",C2372=sel_Region),OR(sel_Channel="All",E2372=sel_Channel),OR(sel_Customer="All",F2372=sel_Customer),OR(sel_Category="All",G2372=sel_Category),OR(sel_Product="All",H2372=sel_Product),AND(S2372&gt;=m_From,S2372&lt;=m_To)),1,0)</f>
        <v/>
      </c>
      <c r="W2372" s="36">
        <f>IF(AND(OR(sel_Region="All",C2372=sel_Region),OR(sel_Country="All",D2372=sel_Country),OR(sel_Customer="All",F2372=sel_Customer),OR(sel_Category="All",G2372=sel_Category),OR(sel_Product="All",H2372=sel_Product),AND(S2372&gt;=m_From,S2372&lt;=m_To)),1,0)</f>
        <v/>
      </c>
      <c r="X2372" s="36">
        <f>IF(AND(OR(sel_Region="All",C2372=sel_Region),OR(sel_Country="All",D2372=sel_Country),OR(sel_Channel="All",E2372=sel_Channel),OR(sel_Category="All",G2372=sel_Category),OR(sel_Product="All",H2372=sel_Product),AND(S2372&gt;=m_From,S2372&lt;=m_To)),1,0)</f>
        <v/>
      </c>
      <c r="Y2372" s="36">
        <f>IF(AND(OR(sel_Region="All",C2372=sel_Region),OR(sel_Country="All",D2372=sel_Country),OR(sel_Channel="All",E2372=sel_Channel),OR(sel_Customer="All",F2372=sel_Customer),OR(sel_Product="All",H2372=sel_Product),AND(S2372&gt;=m_From,S2372&lt;=m_To)),1,0)</f>
        <v/>
      </c>
      <c r="Z2372" s="36">
        <f>IF(AND(OR(sel_Region="All",C2372=sel_Region),OR(sel_Country="All",D2372=sel_Country),OR(sel_Channel="All",E2372=sel_Channel),OR(sel_Customer="All",F2372=sel_Customer),OR(sel_Category="All",G2372=sel_Category),AND(S2372&gt;=m_From,S2372&lt;=m_To)),1,0)</f>
        <v/>
      </c>
      <c r="AA2372" s="36">
        <f>IF(AND(OR(sel_Region="All",C2372=sel_Region),OR(sel_Country="All",D2372=sel_Country),OR(sel_Channel="All",E2372=sel_Channel),OR(sel_Customer="All",F2372=sel_Customer),OR(sel_Category="All",G2372=sel_Category),OR(sel_Product="All",H2372=sel_Product)),1,0)</f>
        <v/>
      </c>
    </row>
    <row r="2373">
      <c r="A2373" s="36" t="inlineStr">
        <is>
          <t>04098</t>
        </is>
      </c>
      <c r="B2373" s="44" t="n">
        <v>46340</v>
      </c>
      <c r="C2373" s="36" t="inlineStr">
        <is>
          <t>Central Europe</t>
        </is>
      </c>
      <c r="D2373" s="36" t="inlineStr">
        <is>
          <t>Czechia</t>
        </is>
      </c>
      <c r="E2373" s="36" t="inlineStr">
        <is>
          <t>Retail Partners</t>
        </is>
      </c>
      <c r="F2373" s="36" t="inlineStr">
        <is>
          <t>Returning</t>
        </is>
      </c>
      <c r="G2373" s="36" t="inlineStr">
        <is>
          <t>Fitness</t>
        </is>
      </c>
      <c r="H2373" s="36" t="inlineStr">
        <is>
          <t>Resistance Band Set</t>
        </is>
      </c>
      <c r="I2373" s="36" t="n">
        <v>1</v>
      </c>
      <c r="J2373" s="39" t="n">
        <v>41.05</v>
      </c>
      <c r="K2373" s="45" t="n">
        <v>0.05</v>
      </c>
      <c r="L2373" s="39" t="n">
        <v>14.6</v>
      </c>
      <c r="M2373" s="39">
        <f>I2373*J2373*(1-K2373)</f>
        <v/>
      </c>
      <c r="N2373" s="39">
        <f>I2373*L2373</f>
        <v/>
      </c>
      <c r="O2373" s="39">
        <f>M2373-N2373</f>
        <v/>
      </c>
      <c r="P2373" s="38">
        <f>IF(M2373=0,0,O2373/M2373)</f>
        <v/>
      </c>
      <c r="Q2373" s="36">
        <f>YEAR(B2373)</f>
        <v/>
      </c>
      <c r="R2373" s="36">
        <f>"Q"&amp;ROUNDUP(MONTH(B2373)/3,0)</f>
        <v/>
      </c>
      <c r="S2373" s="36">
        <f>MONTH(B2373)</f>
        <v/>
      </c>
      <c r="T2373" s="36">
        <f>TEXT(B2373,"mmm")</f>
        <v/>
      </c>
      <c r="U2373" s="36">
        <f>IF(AND(OR(sel_Region="All",C2373=sel_Region),OR(sel_Country="All",D2373=sel_Country),OR(sel_Channel="All",E2373=sel_Channel),OR(sel_Customer="All",F2373=sel_Customer),OR(sel_Category="All",G2373=sel_Category),OR(sel_Product="All",H2373=sel_Product),AND(S2373&gt;=m_From,S2373&lt;=m_To)),1,0)</f>
        <v/>
      </c>
      <c r="V2373" s="36">
        <f>IF(AND(OR(sel_Region="All",C2373=sel_Region),OR(sel_Channel="All",E2373=sel_Channel),OR(sel_Customer="All",F2373=sel_Customer),OR(sel_Category="All",G2373=sel_Category),OR(sel_Product="All",H2373=sel_Product),AND(S2373&gt;=m_From,S2373&lt;=m_To)),1,0)</f>
        <v/>
      </c>
      <c r="W2373" s="36">
        <f>IF(AND(OR(sel_Region="All",C2373=sel_Region),OR(sel_Country="All",D2373=sel_Country),OR(sel_Customer="All",F2373=sel_Customer),OR(sel_Category="All",G2373=sel_Category),OR(sel_Product="All",H2373=sel_Product),AND(S2373&gt;=m_From,S2373&lt;=m_To)),1,0)</f>
        <v/>
      </c>
      <c r="X2373" s="36">
        <f>IF(AND(OR(sel_Region="All",C2373=sel_Region),OR(sel_Country="All",D2373=sel_Country),OR(sel_Channel="All",E2373=sel_Channel),OR(sel_Category="All",G2373=sel_Category),OR(sel_Product="All",H2373=sel_Product),AND(S2373&gt;=m_From,S2373&lt;=m_To)),1,0)</f>
        <v/>
      </c>
      <c r="Y2373" s="36">
        <f>IF(AND(OR(sel_Region="All",C2373=sel_Region),OR(sel_Country="All",D2373=sel_Country),OR(sel_Channel="All",E2373=sel_Channel),OR(sel_Customer="All",F2373=sel_Customer),OR(sel_Product="All",H2373=sel_Product),AND(S2373&gt;=m_From,S2373&lt;=m_To)),1,0)</f>
        <v/>
      </c>
      <c r="Z2373" s="36">
        <f>IF(AND(OR(sel_Region="All",C2373=sel_Region),OR(sel_Country="All",D2373=sel_Country),OR(sel_Channel="All",E2373=sel_Channel),OR(sel_Customer="All",F2373=sel_Customer),OR(sel_Category="All",G2373=sel_Category),AND(S2373&gt;=m_From,S2373&lt;=m_To)),1,0)</f>
        <v/>
      </c>
      <c r="AA2373" s="36">
        <f>IF(AND(OR(sel_Region="All",C2373=sel_Region),OR(sel_Country="All",D2373=sel_Country),OR(sel_Channel="All",E2373=sel_Channel),OR(sel_Customer="All",F2373=sel_Customer),OR(sel_Category="All",G2373=sel_Category),OR(sel_Product="All",H2373=sel_Product)),1,0)</f>
        <v/>
      </c>
    </row>
    <row r="2374">
      <c r="A2374" s="36" t="inlineStr">
        <is>
          <t>01176</t>
        </is>
      </c>
      <c r="B2374" s="44" t="n">
        <v>46341</v>
      </c>
      <c r="C2374" s="36" t="inlineStr">
        <is>
          <t>Central Europe</t>
        </is>
      </c>
      <c r="D2374" s="36" t="inlineStr">
        <is>
          <t>Austria</t>
        </is>
      </c>
      <c r="E2374" s="36" t="inlineStr">
        <is>
          <t>Corporate</t>
        </is>
      </c>
      <c r="F2374" s="36" t="inlineStr">
        <is>
          <t>Business</t>
        </is>
      </c>
      <c r="G2374" s="36" t="inlineStr">
        <is>
          <t>Camping</t>
        </is>
      </c>
      <c r="H2374" s="36" t="inlineStr">
        <is>
          <t>Alpine Tent 4P</t>
        </is>
      </c>
      <c r="I2374" s="36" t="n">
        <v>10</v>
      </c>
      <c r="J2374" s="39" t="n">
        <v>333.09</v>
      </c>
      <c r="K2374" s="45" t="n">
        <v>0.15</v>
      </c>
      <c r="L2374" s="39" t="n">
        <v>197.95</v>
      </c>
      <c r="M2374" s="39">
        <f>I2374*J2374*(1-K2374)</f>
        <v/>
      </c>
      <c r="N2374" s="39">
        <f>I2374*L2374</f>
        <v/>
      </c>
      <c r="O2374" s="39">
        <f>M2374-N2374</f>
        <v/>
      </c>
      <c r="P2374" s="38">
        <f>IF(M2374=0,0,O2374/M2374)</f>
        <v/>
      </c>
      <c r="Q2374" s="36">
        <f>YEAR(B2374)</f>
        <v/>
      </c>
      <c r="R2374" s="36">
        <f>"Q"&amp;ROUNDUP(MONTH(B2374)/3,0)</f>
        <v/>
      </c>
      <c r="S2374" s="36">
        <f>MONTH(B2374)</f>
        <v/>
      </c>
      <c r="T2374" s="36">
        <f>TEXT(B2374,"mmm")</f>
        <v/>
      </c>
      <c r="U2374" s="36">
        <f>IF(AND(OR(sel_Region="All",C2374=sel_Region),OR(sel_Country="All",D2374=sel_Country),OR(sel_Channel="All",E2374=sel_Channel),OR(sel_Customer="All",F2374=sel_Customer),OR(sel_Category="All",G2374=sel_Category),OR(sel_Product="All",H2374=sel_Product),AND(S2374&gt;=m_From,S2374&lt;=m_To)),1,0)</f>
        <v/>
      </c>
      <c r="V2374" s="36">
        <f>IF(AND(OR(sel_Region="All",C2374=sel_Region),OR(sel_Channel="All",E2374=sel_Channel),OR(sel_Customer="All",F2374=sel_Customer),OR(sel_Category="All",G2374=sel_Category),OR(sel_Product="All",H2374=sel_Product),AND(S2374&gt;=m_From,S2374&lt;=m_To)),1,0)</f>
        <v/>
      </c>
      <c r="W2374" s="36">
        <f>IF(AND(OR(sel_Region="All",C2374=sel_Region),OR(sel_Country="All",D2374=sel_Country),OR(sel_Customer="All",F2374=sel_Customer),OR(sel_Category="All",G2374=sel_Category),OR(sel_Product="All",H2374=sel_Product),AND(S2374&gt;=m_From,S2374&lt;=m_To)),1,0)</f>
        <v/>
      </c>
      <c r="X2374" s="36">
        <f>IF(AND(OR(sel_Region="All",C2374=sel_Region),OR(sel_Country="All",D2374=sel_Country),OR(sel_Channel="All",E2374=sel_Channel),OR(sel_Category="All",G2374=sel_Category),OR(sel_Product="All",H2374=sel_Product),AND(S2374&gt;=m_From,S2374&lt;=m_To)),1,0)</f>
        <v/>
      </c>
      <c r="Y2374" s="36">
        <f>IF(AND(OR(sel_Region="All",C2374=sel_Region),OR(sel_Country="All",D2374=sel_Country),OR(sel_Channel="All",E2374=sel_Channel),OR(sel_Customer="All",F2374=sel_Customer),OR(sel_Product="All",H2374=sel_Product),AND(S2374&gt;=m_From,S2374&lt;=m_To)),1,0)</f>
        <v/>
      </c>
      <c r="Z2374" s="36">
        <f>IF(AND(OR(sel_Region="All",C2374=sel_Region),OR(sel_Country="All",D2374=sel_Country),OR(sel_Channel="All",E2374=sel_Channel),OR(sel_Customer="All",F2374=sel_Customer),OR(sel_Category="All",G2374=sel_Category),AND(S2374&gt;=m_From,S2374&lt;=m_To)),1,0)</f>
        <v/>
      </c>
      <c r="AA2374" s="36">
        <f>IF(AND(OR(sel_Region="All",C2374=sel_Region),OR(sel_Country="All",D2374=sel_Country),OR(sel_Channel="All",E2374=sel_Channel),OR(sel_Customer="All",F2374=sel_Customer),OR(sel_Category="All",G2374=sel_Category),OR(sel_Product="All",H2374=sel_Product)),1,0)</f>
        <v/>
      </c>
    </row>
    <row r="2375">
      <c r="A2375" s="36" t="inlineStr">
        <is>
          <t>01895</t>
        </is>
      </c>
      <c r="B2375" s="44" t="n">
        <v>46341</v>
      </c>
      <c r="C2375" s="36" t="inlineStr">
        <is>
          <t>Western Europe</t>
        </is>
      </c>
      <c r="D2375" s="36" t="inlineStr">
        <is>
          <t>Belgium</t>
        </is>
      </c>
      <c r="E2375" s="36" t="inlineStr">
        <is>
          <t>Online Store</t>
        </is>
      </c>
      <c r="F2375" s="36" t="inlineStr">
        <is>
          <t>Business</t>
        </is>
      </c>
      <c r="G2375" s="36" t="inlineStr">
        <is>
          <t>Cycling</t>
        </is>
      </c>
      <c r="H2375" s="36" t="inlineStr">
        <is>
          <t>Trail Bike Light</t>
        </is>
      </c>
      <c r="I2375" s="36" t="n">
        <v>3</v>
      </c>
      <c r="J2375" s="39" t="n">
        <v>51.79</v>
      </c>
      <c r="K2375" s="45" t="n">
        <v>0.2</v>
      </c>
      <c r="L2375" s="39" t="n">
        <v>22.23</v>
      </c>
      <c r="M2375" s="39">
        <f>I2375*J2375*(1-K2375)</f>
        <v/>
      </c>
      <c r="N2375" s="39">
        <f>I2375*L2375</f>
        <v/>
      </c>
      <c r="O2375" s="39">
        <f>M2375-N2375</f>
        <v/>
      </c>
      <c r="P2375" s="38">
        <f>IF(M2375=0,0,O2375/M2375)</f>
        <v/>
      </c>
      <c r="Q2375" s="36">
        <f>YEAR(B2375)</f>
        <v/>
      </c>
      <c r="R2375" s="36">
        <f>"Q"&amp;ROUNDUP(MONTH(B2375)/3,0)</f>
        <v/>
      </c>
      <c r="S2375" s="36">
        <f>MONTH(B2375)</f>
        <v/>
      </c>
      <c r="T2375" s="36">
        <f>TEXT(B2375,"mmm")</f>
        <v/>
      </c>
      <c r="U2375" s="36">
        <f>IF(AND(OR(sel_Region="All",C2375=sel_Region),OR(sel_Country="All",D2375=sel_Country),OR(sel_Channel="All",E2375=sel_Channel),OR(sel_Customer="All",F2375=sel_Customer),OR(sel_Category="All",G2375=sel_Category),OR(sel_Product="All",H2375=sel_Product),AND(S2375&gt;=m_From,S2375&lt;=m_To)),1,0)</f>
        <v/>
      </c>
      <c r="V2375" s="36">
        <f>IF(AND(OR(sel_Region="All",C2375=sel_Region),OR(sel_Channel="All",E2375=sel_Channel),OR(sel_Customer="All",F2375=sel_Customer),OR(sel_Category="All",G2375=sel_Category),OR(sel_Product="All",H2375=sel_Product),AND(S2375&gt;=m_From,S2375&lt;=m_To)),1,0)</f>
        <v/>
      </c>
      <c r="W2375" s="36">
        <f>IF(AND(OR(sel_Region="All",C2375=sel_Region),OR(sel_Country="All",D2375=sel_Country),OR(sel_Customer="All",F2375=sel_Customer),OR(sel_Category="All",G2375=sel_Category),OR(sel_Product="All",H2375=sel_Product),AND(S2375&gt;=m_From,S2375&lt;=m_To)),1,0)</f>
        <v/>
      </c>
      <c r="X2375" s="36">
        <f>IF(AND(OR(sel_Region="All",C2375=sel_Region),OR(sel_Country="All",D2375=sel_Country),OR(sel_Channel="All",E2375=sel_Channel),OR(sel_Category="All",G2375=sel_Category),OR(sel_Product="All",H2375=sel_Product),AND(S2375&gt;=m_From,S2375&lt;=m_To)),1,0)</f>
        <v/>
      </c>
      <c r="Y2375" s="36">
        <f>IF(AND(OR(sel_Region="All",C2375=sel_Region),OR(sel_Country="All",D2375=sel_Country),OR(sel_Channel="All",E2375=sel_Channel),OR(sel_Customer="All",F2375=sel_Customer),OR(sel_Product="All",H2375=sel_Product),AND(S2375&gt;=m_From,S2375&lt;=m_To)),1,0)</f>
        <v/>
      </c>
      <c r="Z2375" s="36">
        <f>IF(AND(OR(sel_Region="All",C2375=sel_Region),OR(sel_Country="All",D2375=sel_Country),OR(sel_Channel="All",E2375=sel_Channel),OR(sel_Customer="All",F2375=sel_Customer),OR(sel_Category="All",G2375=sel_Category),AND(S2375&gt;=m_From,S2375&lt;=m_To)),1,0)</f>
        <v/>
      </c>
      <c r="AA2375" s="36">
        <f>IF(AND(OR(sel_Region="All",C2375=sel_Region),OR(sel_Country="All",D2375=sel_Country),OR(sel_Channel="All",E2375=sel_Channel),OR(sel_Customer="All",F2375=sel_Customer),OR(sel_Category="All",G2375=sel_Category),OR(sel_Product="All",H2375=sel_Product)),1,0)</f>
        <v/>
      </c>
    </row>
    <row r="2376">
      <c r="A2376" s="36" t="inlineStr">
        <is>
          <t>03385</t>
        </is>
      </c>
      <c r="B2376" s="44" t="n">
        <v>46341</v>
      </c>
      <c r="C2376" s="36" t="inlineStr">
        <is>
          <t>Central Europe</t>
        </is>
      </c>
      <c r="D2376" s="36" t="inlineStr">
        <is>
          <t>Switzerland</t>
        </is>
      </c>
      <c r="E2376" s="36" t="inlineStr">
        <is>
          <t>Marketplace</t>
        </is>
      </c>
      <c r="F2376" s="36" t="inlineStr">
        <is>
          <t>New</t>
        </is>
      </c>
      <c r="G2376" s="36" t="inlineStr">
        <is>
          <t>Hiking</t>
        </is>
      </c>
      <c r="H2376" s="36" t="inlineStr">
        <is>
          <t>Trekking Poles</t>
        </is>
      </c>
      <c r="I2376" s="36" t="n">
        <v>1</v>
      </c>
      <c r="J2376" s="39" t="n">
        <v>71.04000000000001</v>
      </c>
      <c r="K2376" s="45" t="n">
        <v>0.1</v>
      </c>
      <c r="L2376" s="39" t="n">
        <v>31.59</v>
      </c>
      <c r="M2376" s="39">
        <f>I2376*J2376*(1-K2376)</f>
        <v/>
      </c>
      <c r="N2376" s="39">
        <f>I2376*L2376</f>
        <v/>
      </c>
      <c r="O2376" s="39">
        <f>M2376-N2376</f>
        <v/>
      </c>
      <c r="P2376" s="38">
        <f>IF(M2376=0,0,O2376/M2376)</f>
        <v/>
      </c>
      <c r="Q2376" s="36">
        <f>YEAR(B2376)</f>
        <v/>
      </c>
      <c r="R2376" s="36">
        <f>"Q"&amp;ROUNDUP(MONTH(B2376)/3,0)</f>
        <v/>
      </c>
      <c r="S2376" s="36">
        <f>MONTH(B2376)</f>
        <v/>
      </c>
      <c r="T2376" s="36">
        <f>TEXT(B2376,"mmm")</f>
        <v/>
      </c>
      <c r="U2376" s="36">
        <f>IF(AND(OR(sel_Region="All",C2376=sel_Region),OR(sel_Country="All",D2376=sel_Country),OR(sel_Channel="All",E2376=sel_Channel),OR(sel_Customer="All",F2376=sel_Customer),OR(sel_Category="All",G2376=sel_Category),OR(sel_Product="All",H2376=sel_Product),AND(S2376&gt;=m_From,S2376&lt;=m_To)),1,0)</f>
        <v/>
      </c>
      <c r="V2376" s="36">
        <f>IF(AND(OR(sel_Region="All",C2376=sel_Region),OR(sel_Channel="All",E2376=sel_Channel),OR(sel_Customer="All",F2376=sel_Customer),OR(sel_Category="All",G2376=sel_Category),OR(sel_Product="All",H2376=sel_Product),AND(S2376&gt;=m_From,S2376&lt;=m_To)),1,0)</f>
        <v/>
      </c>
      <c r="W2376" s="36">
        <f>IF(AND(OR(sel_Region="All",C2376=sel_Region),OR(sel_Country="All",D2376=sel_Country),OR(sel_Customer="All",F2376=sel_Customer),OR(sel_Category="All",G2376=sel_Category),OR(sel_Product="All",H2376=sel_Product),AND(S2376&gt;=m_From,S2376&lt;=m_To)),1,0)</f>
        <v/>
      </c>
      <c r="X2376" s="36">
        <f>IF(AND(OR(sel_Region="All",C2376=sel_Region),OR(sel_Country="All",D2376=sel_Country),OR(sel_Channel="All",E2376=sel_Channel),OR(sel_Category="All",G2376=sel_Category),OR(sel_Product="All",H2376=sel_Product),AND(S2376&gt;=m_From,S2376&lt;=m_To)),1,0)</f>
        <v/>
      </c>
      <c r="Y2376" s="36">
        <f>IF(AND(OR(sel_Region="All",C2376=sel_Region),OR(sel_Country="All",D2376=sel_Country),OR(sel_Channel="All",E2376=sel_Channel),OR(sel_Customer="All",F2376=sel_Customer),OR(sel_Product="All",H2376=sel_Product),AND(S2376&gt;=m_From,S2376&lt;=m_To)),1,0)</f>
        <v/>
      </c>
      <c r="Z2376" s="36">
        <f>IF(AND(OR(sel_Region="All",C2376=sel_Region),OR(sel_Country="All",D2376=sel_Country),OR(sel_Channel="All",E2376=sel_Channel),OR(sel_Customer="All",F2376=sel_Customer),OR(sel_Category="All",G2376=sel_Category),AND(S2376&gt;=m_From,S2376&lt;=m_To)),1,0)</f>
        <v/>
      </c>
      <c r="AA2376" s="36">
        <f>IF(AND(OR(sel_Region="All",C2376=sel_Region),OR(sel_Country="All",D2376=sel_Country),OR(sel_Channel="All",E2376=sel_Channel),OR(sel_Customer="All",F2376=sel_Customer),OR(sel_Category="All",G2376=sel_Category),OR(sel_Product="All",H2376=sel_Product)),1,0)</f>
        <v/>
      </c>
    </row>
    <row r="2377">
      <c r="A2377" s="36" t="inlineStr">
        <is>
          <t>03581</t>
        </is>
      </c>
      <c r="B2377" s="44" t="n">
        <v>46341</v>
      </c>
      <c r="C2377" s="36" t="inlineStr">
        <is>
          <t>Western Europe</t>
        </is>
      </c>
      <c r="D2377" s="36" t="inlineStr">
        <is>
          <t>Belgium</t>
        </is>
      </c>
      <c r="E2377" s="36" t="inlineStr">
        <is>
          <t>Marketplace</t>
        </is>
      </c>
      <c r="F2377" s="36" t="inlineStr">
        <is>
          <t>Business</t>
        </is>
      </c>
      <c r="G2377" s="36" t="inlineStr">
        <is>
          <t>Hiking</t>
        </is>
      </c>
      <c r="H2377" s="36" t="inlineStr">
        <is>
          <t>Trail Boots</t>
        </is>
      </c>
      <c r="I2377" s="36" t="n">
        <v>2</v>
      </c>
      <c r="J2377" s="39" t="n">
        <v>141.21</v>
      </c>
      <c r="K2377" s="45" t="n">
        <v>0.1</v>
      </c>
      <c r="L2377" s="39" t="n">
        <v>78.31</v>
      </c>
      <c r="M2377" s="39">
        <f>I2377*J2377*(1-K2377)</f>
        <v/>
      </c>
      <c r="N2377" s="39">
        <f>I2377*L2377</f>
        <v/>
      </c>
      <c r="O2377" s="39">
        <f>M2377-N2377</f>
        <v/>
      </c>
      <c r="P2377" s="38">
        <f>IF(M2377=0,0,O2377/M2377)</f>
        <v/>
      </c>
      <c r="Q2377" s="36">
        <f>YEAR(B2377)</f>
        <v/>
      </c>
      <c r="R2377" s="36">
        <f>"Q"&amp;ROUNDUP(MONTH(B2377)/3,0)</f>
        <v/>
      </c>
      <c r="S2377" s="36">
        <f>MONTH(B2377)</f>
        <v/>
      </c>
      <c r="T2377" s="36">
        <f>TEXT(B2377,"mmm")</f>
        <v/>
      </c>
      <c r="U2377" s="36">
        <f>IF(AND(OR(sel_Region="All",C2377=sel_Region),OR(sel_Country="All",D2377=sel_Country),OR(sel_Channel="All",E2377=sel_Channel),OR(sel_Customer="All",F2377=sel_Customer),OR(sel_Category="All",G2377=sel_Category),OR(sel_Product="All",H2377=sel_Product),AND(S2377&gt;=m_From,S2377&lt;=m_To)),1,0)</f>
        <v/>
      </c>
      <c r="V2377" s="36">
        <f>IF(AND(OR(sel_Region="All",C2377=sel_Region),OR(sel_Channel="All",E2377=sel_Channel),OR(sel_Customer="All",F2377=sel_Customer),OR(sel_Category="All",G2377=sel_Category),OR(sel_Product="All",H2377=sel_Product),AND(S2377&gt;=m_From,S2377&lt;=m_To)),1,0)</f>
        <v/>
      </c>
      <c r="W2377" s="36">
        <f>IF(AND(OR(sel_Region="All",C2377=sel_Region),OR(sel_Country="All",D2377=sel_Country),OR(sel_Customer="All",F2377=sel_Customer),OR(sel_Category="All",G2377=sel_Category),OR(sel_Product="All",H2377=sel_Product),AND(S2377&gt;=m_From,S2377&lt;=m_To)),1,0)</f>
        <v/>
      </c>
      <c r="X2377" s="36">
        <f>IF(AND(OR(sel_Region="All",C2377=sel_Region),OR(sel_Country="All",D2377=sel_Country),OR(sel_Channel="All",E2377=sel_Channel),OR(sel_Category="All",G2377=sel_Category),OR(sel_Product="All",H2377=sel_Product),AND(S2377&gt;=m_From,S2377&lt;=m_To)),1,0)</f>
        <v/>
      </c>
      <c r="Y2377" s="36">
        <f>IF(AND(OR(sel_Region="All",C2377=sel_Region),OR(sel_Country="All",D2377=sel_Country),OR(sel_Channel="All",E2377=sel_Channel),OR(sel_Customer="All",F2377=sel_Customer),OR(sel_Product="All",H2377=sel_Product),AND(S2377&gt;=m_From,S2377&lt;=m_To)),1,0)</f>
        <v/>
      </c>
      <c r="Z2377" s="36">
        <f>IF(AND(OR(sel_Region="All",C2377=sel_Region),OR(sel_Country="All",D2377=sel_Country),OR(sel_Channel="All",E2377=sel_Channel),OR(sel_Customer="All",F2377=sel_Customer),OR(sel_Category="All",G2377=sel_Category),AND(S2377&gt;=m_From,S2377&lt;=m_To)),1,0)</f>
        <v/>
      </c>
      <c r="AA2377" s="36">
        <f>IF(AND(OR(sel_Region="All",C2377=sel_Region),OR(sel_Country="All",D2377=sel_Country),OR(sel_Channel="All",E2377=sel_Channel),OR(sel_Customer="All",F2377=sel_Customer),OR(sel_Category="All",G2377=sel_Category),OR(sel_Product="All",H2377=sel_Product)),1,0)</f>
        <v/>
      </c>
    </row>
    <row r="2378">
      <c r="A2378" s="36" t="inlineStr">
        <is>
          <t>04528</t>
        </is>
      </c>
      <c r="B2378" s="44" t="n">
        <v>46341</v>
      </c>
      <c r="C2378" s="36" t="inlineStr">
        <is>
          <t>Southern Europe</t>
        </is>
      </c>
      <c r="D2378" s="36" t="inlineStr">
        <is>
          <t>Italy</t>
        </is>
      </c>
      <c r="E2378" s="36" t="inlineStr">
        <is>
          <t>Marketplace</t>
        </is>
      </c>
      <c r="F2378" s="36" t="inlineStr">
        <is>
          <t>New</t>
        </is>
      </c>
      <c r="G2378" s="36" t="inlineStr">
        <is>
          <t>Hiking</t>
        </is>
      </c>
      <c r="H2378" s="36" t="inlineStr">
        <is>
          <t>Trail Boots</t>
        </is>
      </c>
      <c r="I2378" s="36" t="n">
        <v>2</v>
      </c>
      <c r="J2378" s="39" t="n">
        <v>141.64</v>
      </c>
      <c r="K2378" s="45" t="n">
        <v>0.15</v>
      </c>
      <c r="L2378" s="39" t="n">
        <v>80.34999999999999</v>
      </c>
      <c r="M2378" s="39">
        <f>I2378*J2378*(1-K2378)</f>
        <v/>
      </c>
      <c r="N2378" s="39">
        <f>I2378*L2378</f>
        <v/>
      </c>
      <c r="O2378" s="39">
        <f>M2378-N2378</f>
        <v/>
      </c>
      <c r="P2378" s="38">
        <f>IF(M2378=0,0,O2378/M2378)</f>
        <v/>
      </c>
      <c r="Q2378" s="36">
        <f>YEAR(B2378)</f>
        <v/>
      </c>
      <c r="R2378" s="36">
        <f>"Q"&amp;ROUNDUP(MONTH(B2378)/3,0)</f>
        <v/>
      </c>
      <c r="S2378" s="36">
        <f>MONTH(B2378)</f>
        <v/>
      </c>
      <c r="T2378" s="36">
        <f>TEXT(B2378,"mmm")</f>
        <v/>
      </c>
      <c r="U2378" s="36">
        <f>IF(AND(OR(sel_Region="All",C2378=sel_Region),OR(sel_Country="All",D2378=sel_Country),OR(sel_Channel="All",E2378=sel_Channel),OR(sel_Customer="All",F2378=sel_Customer),OR(sel_Category="All",G2378=sel_Category),OR(sel_Product="All",H2378=sel_Product),AND(S2378&gt;=m_From,S2378&lt;=m_To)),1,0)</f>
        <v/>
      </c>
      <c r="V2378" s="36">
        <f>IF(AND(OR(sel_Region="All",C2378=sel_Region),OR(sel_Channel="All",E2378=sel_Channel),OR(sel_Customer="All",F2378=sel_Customer),OR(sel_Category="All",G2378=sel_Category),OR(sel_Product="All",H2378=sel_Product),AND(S2378&gt;=m_From,S2378&lt;=m_To)),1,0)</f>
        <v/>
      </c>
      <c r="W2378" s="36">
        <f>IF(AND(OR(sel_Region="All",C2378=sel_Region),OR(sel_Country="All",D2378=sel_Country),OR(sel_Customer="All",F2378=sel_Customer),OR(sel_Category="All",G2378=sel_Category),OR(sel_Product="All",H2378=sel_Product),AND(S2378&gt;=m_From,S2378&lt;=m_To)),1,0)</f>
        <v/>
      </c>
      <c r="X2378" s="36">
        <f>IF(AND(OR(sel_Region="All",C2378=sel_Region),OR(sel_Country="All",D2378=sel_Country),OR(sel_Channel="All",E2378=sel_Channel),OR(sel_Category="All",G2378=sel_Category),OR(sel_Product="All",H2378=sel_Product),AND(S2378&gt;=m_From,S2378&lt;=m_To)),1,0)</f>
        <v/>
      </c>
      <c r="Y2378" s="36">
        <f>IF(AND(OR(sel_Region="All",C2378=sel_Region),OR(sel_Country="All",D2378=sel_Country),OR(sel_Channel="All",E2378=sel_Channel),OR(sel_Customer="All",F2378=sel_Customer),OR(sel_Product="All",H2378=sel_Product),AND(S2378&gt;=m_From,S2378&lt;=m_To)),1,0)</f>
        <v/>
      </c>
      <c r="Z2378" s="36">
        <f>IF(AND(OR(sel_Region="All",C2378=sel_Region),OR(sel_Country="All",D2378=sel_Country),OR(sel_Channel="All",E2378=sel_Channel),OR(sel_Customer="All",F2378=sel_Customer),OR(sel_Category="All",G2378=sel_Category),AND(S2378&gt;=m_From,S2378&lt;=m_To)),1,0)</f>
        <v/>
      </c>
      <c r="AA2378" s="36">
        <f>IF(AND(OR(sel_Region="All",C2378=sel_Region),OR(sel_Country="All",D2378=sel_Country),OR(sel_Channel="All",E2378=sel_Channel),OR(sel_Customer="All",F2378=sel_Customer),OR(sel_Category="All",G2378=sel_Category),OR(sel_Product="All",H2378=sel_Product)),1,0)</f>
        <v/>
      </c>
    </row>
    <row r="2379">
      <c r="A2379" s="36" t="inlineStr">
        <is>
          <t>04633</t>
        </is>
      </c>
      <c r="B2379" s="44" t="n">
        <v>46341</v>
      </c>
      <c r="C2379" s="36" t="inlineStr">
        <is>
          <t>Northern Europe</t>
        </is>
      </c>
      <c r="D2379" s="36" t="inlineStr">
        <is>
          <t>Finland</t>
        </is>
      </c>
      <c r="E2379" s="36" t="inlineStr">
        <is>
          <t>Online Store</t>
        </is>
      </c>
      <c r="F2379" s="36" t="inlineStr">
        <is>
          <t>Returning</t>
        </is>
      </c>
      <c r="G2379" s="36" t="inlineStr">
        <is>
          <t>Hiking</t>
        </is>
      </c>
      <c r="H2379" s="36" t="inlineStr">
        <is>
          <t>Trekking Poles</t>
        </is>
      </c>
      <c r="I2379" s="36" t="n">
        <v>1</v>
      </c>
      <c r="J2379" s="39" t="n">
        <v>71.78</v>
      </c>
      <c r="K2379" s="45" t="n">
        <v>0.15</v>
      </c>
      <c r="L2379" s="39" t="n">
        <v>32.87</v>
      </c>
      <c r="M2379" s="39">
        <f>I2379*J2379*(1-K2379)</f>
        <v/>
      </c>
      <c r="N2379" s="39">
        <f>I2379*L2379</f>
        <v/>
      </c>
      <c r="O2379" s="39">
        <f>M2379-N2379</f>
        <v/>
      </c>
      <c r="P2379" s="38">
        <f>IF(M2379=0,0,O2379/M2379)</f>
        <v/>
      </c>
      <c r="Q2379" s="36">
        <f>YEAR(B2379)</f>
        <v/>
      </c>
      <c r="R2379" s="36">
        <f>"Q"&amp;ROUNDUP(MONTH(B2379)/3,0)</f>
        <v/>
      </c>
      <c r="S2379" s="36">
        <f>MONTH(B2379)</f>
        <v/>
      </c>
      <c r="T2379" s="36">
        <f>TEXT(B2379,"mmm")</f>
        <v/>
      </c>
      <c r="U2379" s="36">
        <f>IF(AND(OR(sel_Region="All",C2379=sel_Region),OR(sel_Country="All",D2379=sel_Country),OR(sel_Channel="All",E2379=sel_Channel),OR(sel_Customer="All",F2379=sel_Customer),OR(sel_Category="All",G2379=sel_Category),OR(sel_Product="All",H2379=sel_Product),AND(S2379&gt;=m_From,S2379&lt;=m_To)),1,0)</f>
        <v/>
      </c>
      <c r="V2379" s="36">
        <f>IF(AND(OR(sel_Region="All",C2379=sel_Region),OR(sel_Channel="All",E2379=sel_Channel),OR(sel_Customer="All",F2379=sel_Customer),OR(sel_Category="All",G2379=sel_Category),OR(sel_Product="All",H2379=sel_Product),AND(S2379&gt;=m_From,S2379&lt;=m_To)),1,0)</f>
        <v/>
      </c>
      <c r="W2379" s="36">
        <f>IF(AND(OR(sel_Region="All",C2379=sel_Region),OR(sel_Country="All",D2379=sel_Country),OR(sel_Customer="All",F2379=sel_Customer),OR(sel_Category="All",G2379=sel_Category),OR(sel_Product="All",H2379=sel_Product),AND(S2379&gt;=m_From,S2379&lt;=m_To)),1,0)</f>
        <v/>
      </c>
      <c r="X2379" s="36">
        <f>IF(AND(OR(sel_Region="All",C2379=sel_Region),OR(sel_Country="All",D2379=sel_Country),OR(sel_Channel="All",E2379=sel_Channel),OR(sel_Category="All",G2379=sel_Category),OR(sel_Product="All",H2379=sel_Product),AND(S2379&gt;=m_From,S2379&lt;=m_To)),1,0)</f>
        <v/>
      </c>
      <c r="Y2379" s="36">
        <f>IF(AND(OR(sel_Region="All",C2379=sel_Region),OR(sel_Country="All",D2379=sel_Country),OR(sel_Channel="All",E2379=sel_Channel),OR(sel_Customer="All",F2379=sel_Customer),OR(sel_Product="All",H2379=sel_Product),AND(S2379&gt;=m_From,S2379&lt;=m_To)),1,0)</f>
        <v/>
      </c>
      <c r="Z2379" s="36">
        <f>IF(AND(OR(sel_Region="All",C2379=sel_Region),OR(sel_Country="All",D2379=sel_Country),OR(sel_Channel="All",E2379=sel_Channel),OR(sel_Customer="All",F2379=sel_Customer),OR(sel_Category="All",G2379=sel_Category),AND(S2379&gt;=m_From,S2379&lt;=m_To)),1,0)</f>
        <v/>
      </c>
      <c r="AA2379" s="36">
        <f>IF(AND(OR(sel_Region="All",C2379=sel_Region),OR(sel_Country="All",D2379=sel_Country),OR(sel_Channel="All",E2379=sel_Channel),OR(sel_Customer="All",F2379=sel_Customer),OR(sel_Category="All",G2379=sel_Category),OR(sel_Product="All",H2379=sel_Product)),1,0)</f>
        <v/>
      </c>
    </row>
    <row r="2380">
      <c r="A2380" s="36" t="inlineStr">
        <is>
          <t>05195</t>
        </is>
      </c>
      <c r="B2380" s="44" t="n">
        <v>46341</v>
      </c>
      <c r="C2380" s="36" t="inlineStr">
        <is>
          <t>Northern Europe</t>
        </is>
      </c>
      <c r="D2380" s="36" t="inlineStr">
        <is>
          <t>Norway</t>
        </is>
      </c>
      <c r="E2380" s="36" t="inlineStr">
        <is>
          <t>Online Store</t>
        </is>
      </c>
      <c r="F2380" s="36" t="inlineStr">
        <is>
          <t>Business</t>
        </is>
      </c>
      <c r="G2380" s="36" t="inlineStr">
        <is>
          <t>Hiking</t>
        </is>
      </c>
      <c r="H2380" s="36" t="inlineStr">
        <is>
          <t>Summit Backpack 45L</t>
        </is>
      </c>
      <c r="I2380" s="36" t="n">
        <v>3</v>
      </c>
      <c r="J2380" s="39" t="n">
        <v>153.89</v>
      </c>
      <c r="K2380" s="45" t="n">
        <v>0.1</v>
      </c>
      <c r="L2380" s="39" t="n">
        <v>80.36</v>
      </c>
      <c r="M2380" s="39">
        <f>I2380*J2380*(1-K2380)</f>
        <v/>
      </c>
      <c r="N2380" s="39">
        <f>I2380*L2380</f>
        <v/>
      </c>
      <c r="O2380" s="39">
        <f>M2380-N2380</f>
        <v/>
      </c>
      <c r="P2380" s="38">
        <f>IF(M2380=0,0,O2380/M2380)</f>
        <v/>
      </c>
      <c r="Q2380" s="36">
        <f>YEAR(B2380)</f>
        <v/>
      </c>
      <c r="R2380" s="36">
        <f>"Q"&amp;ROUNDUP(MONTH(B2380)/3,0)</f>
        <v/>
      </c>
      <c r="S2380" s="36">
        <f>MONTH(B2380)</f>
        <v/>
      </c>
      <c r="T2380" s="36">
        <f>TEXT(B2380,"mmm")</f>
        <v/>
      </c>
      <c r="U2380" s="36">
        <f>IF(AND(OR(sel_Region="All",C2380=sel_Region),OR(sel_Country="All",D2380=sel_Country),OR(sel_Channel="All",E2380=sel_Channel),OR(sel_Customer="All",F2380=sel_Customer),OR(sel_Category="All",G2380=sel_Category),OR(sel_Product="All",H2380=sel_Product),AND(S2380&gt;=m_From,S2380&lt;=m_To)),1,0)</f>
        <v/>
      </c>
      <c r="V2380" s="36">
        <f>IF(AND(OR(sel_Region="All",C2380=sel_Region),OR(sel_Channel="All",E2380=sel_Channel),OR(sel_Customer="All",F2380=sel_Customer),OR(sel_Category="All",G2380=sel_Category),OR(sel_Product="All",H2380=sel_Product),AND(S2380&gt;=m_From,S2380&lt;=m_To)),1,0)</f>
        <v/>
      </c>
      <c r="W2380" s="36">
        <f>IF(AND(OR(sel_Region="All",C2380=sel_Region),OR(sel_Country="All",D2380=sel_Country),OR(sel_Customer="All",F2380=sel_Customer),OR(sel_Category="All",G2380=sel_Category),OR(sel_Product="All",H2380=sel_Product),AND(S2380&gt;=m_From,S2380&lt;=m_To)),1,0)</f>
        <v/>
      </c>
      <c r="X2380" s="36">
        <f>IF(AND(OR(sel_Region="All",C2380=sel_Region),OR(sel_Country="All",D2380=sel_Country),OR(sel_Channel="All",E2380=sel_Channel),OR(sel_Category="All",G2380=sel_Category),OR(sel_Product="All",H2380=sel_Product),AND(S2380&gt;=m_From,S2380&lt;=m_To)),1,0)</f>
        <v/>
      </c>
      <c r="Y2380" s="36">
        <f>IF(AND(OR(sel_Region="All",C2380=sel_Region),OR(sel_Country="All",D2380=sel_Country),OR(sel_Channel="All",E2380=sel_Channel),OR(sel_Customer="All",F2380=sel_Customer),OR(sel_Product="All",H2380=sel_Product),AND(S2380&gt;=m_From,S2380&lt;=m_To)),1,0)</f>
        <v/>
      </c>
      <c r="Z2380" s="36">
        <f>IF(AND(OR(sel_Region="All",C2380=sel_Region),OR(sel_Country="All",D2380=sel_Country),OR(sel_Channel="All",E2380=sel_Channel),OR(sel_Customer="All",F2380=sel_Customer),OR(sel_Category="All",G2380=sel_Category),AND(S2380&gt;=m_From,S2380&lt;=m_To)),1,0)</f>
        <v/>
      </c>
      <c r="AA2380" s="36">
        <f>IF(AND(OR(sel_Region="All",C2380=sel_Region),OR(sel_Country="All",D2380=sel_Country),OR(sel_Channel="All",E2380=sel_Channel),OR(sel_Customer="All",F2380=sel_Customer),OR(sel_Category="All",G2380=sel_Category),OR(sel_Product="All",H2380=sel_Product)),1,0)</f>
        <v/>
      </c>
    </row>
    <row r="2381">
      <c r="A2381" s="36" t="inlineStr">
        <is>
          <t>02778</t>
        </is>
      </c>
      <c r="B2381" s="44" t="n">
        <v>46342</v>
      </c>
      <c r="C2381" s="36" t="inlineStr">
        <is>
          <t>Western Europe</t>
        </is>
      </c>
      <c r="D2381" s="36" t="inlineStr">
        <is>
          <t>Belgium</t>
        </is>
      </c>
      <c r="E2381" s="36" t="inlineStr">
        <is>
          <t>Marketplace</t>
        </is>
      </c>
      <c r="F2381" s="36" t="inlineStr">
        <is>
          <t>Returning</t>
        </is>
      </c>
      <c r="G2381" s="36" t="inlineStr">
        <is>
          <t>Hiking</t>
        </is>
      </c>
      <c r="H2381" s="36" t="inlineStr">
        <is>
          <t>Trail Boots</t>
        </is>
      </c>
      <c r="I2381" s="36" t="n">
        <v>1</v>
      </c>
      <c r="J2381" s="39" t="n">
        <v>145.4</v>
      </c>
      <c r="K2381" s="45" t="n">
        <v>0.1</v>
      </c>
      <c r="L2381" s="39" t="n">
        <v>77.66</v>
      </c>
      <c r="M2381" s="39">
        <f>I2381*J2381*(1-K2381)</f>
        <v/>
      </c>
      <c r="N2381" s="39">
        <f>I2381*L2381</f>
        <v/>
      </c>
      <c r="O2381" s="39">
        <f>M2381-N2381</f>
        <v/>
      </c>
      <c r="P2381" s="38">
        <f>IF(M2381=0,0,O2381/M2381)</f>
        <v/>
      </c>
      <c r="Q2381" s="36">
        <f>YEAR(B2381)</f>
        <v/>
      </c>
      <c r="R2381" s="36">
        <f>"Q"&amp;ROUNDUP(MONTH(B2381)/3,0)</f>
        <v/>
      </c>
      <c r="S2381" s="36">
        <f>MONTH(B2381)</f>
        <v/>
      </c>
      <c r="T2381" s="36">
        <f>TEXT(B2381,"mmm")</f>
        <v/>
      </c>
      <c r="U2381" s="36">
        <f>IF(AND(OR(sel_Region="All",C2381=sel_Region),OR(sel_Country="All",D2381=sel_Country),OR(sel_Channel="All",E2381=sel_Channel),OR(sel_Customer="All",F2381=sel_Customer),OR(sel_Category="All",G2381=sel_Category),OR(sel_Product="All",H2381=sel_Product),AND(S2381&gt;=m_From,S2381&lt;=m_To)),1,0)</f>
        <v/>
      </c>
      <c r="V2381" s="36">
        <f>IF(AND(OR(sel_Region="All",C2381=sel_Region),OR(sel_Channel="All",E2381=sel_Channel),OR(sel_Customer="All",F2381=sel_Customer),OR(sel_Category="All",G2381=sel_Category),OR(sel_Product="All",H2381=sel_Product),AND(S2381&gt;=m_From,S2381&lt;=m_To)),1,0)</f>
        <v/>
      </c>
      <c r="W2381" s="36">
        <f>IF(AND(OR(sel_Region="All",C2381=sel_Region),OR(sel_Country="All",D2381=sel_Country),OR(sel_Customer="All",F2381=sel_Customer),OR(sel_Category="All",G2381=sel_Category),OR(sel_Product="All",H2381=sel_Product),AND(S2381&gt;=m_From,S2381&lt;=m_To)),1,0)</f>
        <v/>
      </c>
      <c r="X2381" s="36">
        <f>IF(AND(OR(sel_Region="All",C2381=sel_Region),OR(sel_Country="All",D2381=sel_Country),OR(sel_Channel="All",E2381=sel_Channel),OR(sel_Category="All",G2381=sel_Category),OR(sel_Product="All",H2381=sel_Product),AND(S2381&gt;=m_From,S2381&lt;=m_To)),1,0)</f>
        <v/>
      </c>
      <c r="Y2381" s="36">
        <f>IF(AND(OR(sel_Region="All",C2381=sel_Region),OR(sel_Country="All",D2381=sel_Country),OR(sel_Channel="All",E2381=sel_Channel),OR(sel_Customer="All",F2381=sel_Customer),OR(sel_Product="All",H2381=sel_Product),AND(S2381&gt;=m_From,S2381&lt;=m_To)),1,0)</f>
        <v/>
      </c>
      <c r="Z2381" s="36">
        <f>IF(AND(OR(sel_Region="All",C2381=sel_Region),OR(sel_Country="All",D2381=sel_Country),OR(sel_Channel="All",E2381=sel_Channel),OR(sel_Customer="All",F2381=sel_Customer),OR(sel_Category="All",G2381=sel_Category),AND(S2381&gt;=m_From,S2381&lt;=m_To)),1,0)</f>
        <v/>
      </c>
      <c r="AA2381" s="36">
        <f>IF(AND(OR(sel_Region="All",C2381=sel_Region),OR(sel_Country="All",D2381=sel_Country),OR(sel_Channel="All",E2381=sel_Channel),OR(sel_Customer="All",F2381=sel_Customer),OR(sel_Category="All",G2381=sel_Category),OR(sel_Product="All",H2381=sel_Product)),1,0)</f>
        <v/>
      </c>
    </row>
    <row r="2382">
      <c r="A2382" s="36" t="inlineStr">
        <is>
          <t>00341</t>
        </is>
      </c>
      <c r="B2382" s="44" t="n">
        <v>46343</v>
      </c>
      <c r="C2382" s="36" t="inlineStr">
        <is>
          <t>Western Europe</t>
        </is>
      </c>
      <c r="D2382" s="36" t="inlineStr">
        <is>
          <t>United Kingdom</t>
        </is>
      </c>
      <c r="E2382" s="36" t="inlineStr">
        <is>
          <t>Online Store</t>
        </is>
      </c>
      <c r="F2382" s="36" t="inlineStr">
        <is>
          <t>Returning</t>
        </is>
      </c>
      <c r="G2382" s="36" t="inlineStr">
        <is>
          <t>Travel</t>
        </is>
      </c>
      <c r="H2382" s="36" t="inlineStr">
        <is>
          <t>Carry-On Duffel</t>
        </is>
      </c>
      <c r="I2382" s="36" t="n">
        <v>1</v>
      </c>
      <c r="J2382" s="39" t="n">
        <v>132.95</v>
      </c>
      <c r="K2382" s="45" t="n">
        <v>0.05</v>
      </c>
      <c r="L2382" s="39" t="n">
        <v>65.36</v>
      </c>
      <c r="M2382" s="39">
        <f>I2382*J2382*(1-K2382)</f>
        <v/>
      </c>
      <c r="N2382" s="39">
        <f>I2382*L2382</f>
        <v/>
      </c>
      <c r="O2382" s="39">
        <f>M2382-N2382</f>
        <v/>
      </c>
      <c r="P2382" s="38">
        <f>IF(M2382=0,0,O2382/M2382)</f>
        <v/>
      </c>
      <c r="Q2382" s="36">
        <f>YEAR(B2382)</f>
        <v/>
      </c>
      <c r="R2382" s="36">
        <f>"Q"&amp;ROUNDUP(MONTH(B2382)/3,0)</f>
        <v/>
      </c>
      <c r="S2382" s="36">
        <f>MONTH(B2382)</f>
        <v/>
      </c>
      <c r="T2382" s="36">
        <f>TEXT(B2382,"mmm")</f>
        <v/>
      </c>
      <c r="U2382" s="36">
        <f>IF(AND(OR(sel_Region="All",C2382=sel_Region),OR(sel_Country="All",D2382=sel_Country),OR(sel_Channel="All",E2382=sel_Channel),OR(sel_Customer="All",F2382=sel_Customer),OR(sel_Category="All",G2382=sel_Category),OR(sel_Product="All",H2382=sel_Product),AND(S2382&gt;=m_From,S2382&lt;=m_To)),1,0)</f>
        <v/>
      </c>
      <c r="V2382" s="36">
        <f>IF(AND(OR(sel_Region="All",C2382=sel_Region),OR(sel_Channel="All",E2382=sel_Channel),OR(sel_Customer="All",F2382=sel_Customer),OR(sel_Category="All",G2382=sel_Category),OR(sel_Product="All",H2382=sel_Product),AND(S2382&gt;=m_From,S2382&lt;=m_To)),1,0)</f>
        <v/>
      </c>
      <c r="W2382" s="36">
        <f>IF(AND(OR(sel_Region="All",C2382=sel_Region),OR(sel_Country="All",D2382=sel_Country),OR(sel_Customer="All",F2382=sel_Customer),OR(sel_Category="All",G2382=sel_Category),OR(sel_Product="All",H2382=sel_Product),AND(S2382&gt;=m_From,S2382&lt;=m_To)),1,0)</f>
        <v/>
      </c>
      <c r="X2382" s="36">
        <f>IF(AND(OR(sel_Region="All",C2382=sel_Region),OR(sel_Country="All",D2382=sel_Country),OR(sel_Channel="All",E2382=sel_Channel),OR(sel_Category="All",G2382=sel_Category),OR(sel_Product="All",H2382=sel_Product),AND(S2382&gt;=m_From,S2382&lt;=m_To)),1,0)</f>
        <v/>
      </c>
      <c r="Y2382" s="36">
        <f>IF(AND(OR(sel_Region="All",C2382=sel_Region),OR(sel_Country="All",D2382=sel_Country),OR(sel_Channel="All",E2382=sel_Channel),OR(sel_Customer="All",F2382=sel_Customer),OR(sel_Product="All",H2382=sel_Product),AND(S2382&gt;=m_From,S2382&lt;=m_To)),1,0)</f>
        <v/>
      </c>
      <c r="Z2382" s="36">
        <f>IF(AND(OR(sel_Region="All",C2382=sel_Region),OR(sel_Country="All",D2382=sel_Country),OR(sel_Channel="All",E2382=sel_Channel),OR(sel_Customer="All",F2382=sel_Customer),OR(sel_Category="All",G2382=sel_Category),AND(S2382&gt;=m_From,S2382&lt;=m_To)),1,0)</f>
        <v/>
      </c>
      <c r="AA2382" s="36">
        <f>IF(AND(OR(sel_Region="All",C2382=sel_Region),OR(sel_Country="All",D2382=sel_Country),OR(sel_Channel="All",E2382=sel_Channel),OR(sel_Customer="All",F2382=sel_Customer),OR(sel_Category="All",G2382=sel_Category),OR(sel_Product="All",H2382=sel_Product)),1,0)</f>
        <v/>
      </c>
    </row>
    <row r="2383">
      <c r="A2383" s="36" t="inlineStr">
        <is>
          <t>00374</t>
        </is>
      </c>
      <c r="B2383" s="44" t="n">
        <v>46343</v>
      </c>
      <c r="C2383" s="36" t="inlineStr">
        <is>
          <t>Western Europe</t>
        </is>
      </c>
      <c r="D2383" s="36" t="inlineStr">
        <is>
          <t>Netherlands</t>
        </is>
      </c>
      <c r="E2383" s="36" t="inlineStr">
        <is>
          <t>Retail Partners</t>
        </is>
      </c>
      <c r="F2383" s="36" t="inlineStr">
        <is>
          <t>Returning</t>
        </is>
      </c>
      <c r="G2383" s="36" t="inlineStr">
        <is>
          <t>Fitness</t>
        </is>
      </c>
      <c r="H2383" s="36" t="inlineStr">
        <is>
          <t>Training Mat</t>
        </is>
      </c>
      <c r="I2383" s="36" t="n">
        <v>1</v>
      </c>
      <c r="J2383" s="39" t="n">
        <v>51.34</v>
      </c>
      <c r="K2383" s="45" t="n">
        <v>0.15</v>
      </c>
      <c r="L2383" s="39" t="n">
        <v>21.37</v>
      </c>
      <c r="M2383" s="39">
        <f>I2383*J2383*(1-K2383)</f>
        <v/>
      </c>
      <c r="N2383" s="39">
        <f>I2383*L2383</f>
        <v/>
      </c>
      <c r="O2383" s="39">
        <f>M2383-N2383</f>
        <v/>
      </c>
      <c r="P2383" s="38">
        <f>IF(M2383=0,0,O2383/M2383)</f>
        <v/>
      </c>
      <c r="Q2383" s="36">
        <f>YEAR(B2383)</f>
        <v/>
      </c>
      <c r="R2383" s="36">
        <f>"Q"&amp;ROUNDUP(MONTH(B2383)/3,0)</f>
        <v/>
      </c>
      <c r="S2383" s="36">
        <f>MONTH(B2383)</f>
        <v/>
      </c>
      <c r="T2383" s="36">
        <f>TEXT(B2383,"mmm")</f>
        <v/>
      </c>
      <c r="U2383" s="36">
        <f>IF(AND(OR(sel_Region="All",C2383=sel_Region),OR(sel_Country="All",D2383=sel_Country),OR(sel_Channel="All",E2383=sel_Channel),OR(sel_Customer="All",F2383=sel_Customer),OR(sel_Category="All",G2383=sel_Category),OR(sel_Product="All",H2383=sel_Product),AND(S2383&gt;=m_From,S2383&lt;=m_To)),1,0)</f>
        <v/>
      </c>
      <c r="V2383" s="36">
        <f>IF(AND(OR(sel_Region="All",C2383=sel_Region),OR(sel_Channel="All",E2383=sel_Channel),OR(sel_Customer="All",F2383=sel_Customer),OR(sel_Category="All",G2383=sel_Category),OR(sel_Product="All",H2383=sel_Product),AND(S2383&gt;=m_From,S2383&lt;=m_To)),1,0)</f>
        <v/>
      </c>
      <c r="W2383" s="36">
        <f>IF(AND(OR(sel_Region="All",C2383=sel_Region),OR(sel_Country="All",D2383=sel_Country),OR(sel_Customer="All",F2383=sel_Customer),OR(sel_Category="All",G2383=sel_Category),OR(sel_Product="All",H2383=sel_Product),AND(S2383&gt;=m_From,S2383&lt;=m_To)),1,0)</f>
        <v/>
      </c>
      <c r="X2383" s="36">
        <f>IF(AND(OR(sel_Region="All",C2383=sel_Region),OR(sel_Country="All",D2383=sel_Country),OR(sel_Channel="All",E2383=sel_Channel),OR(sel_Category="All",G2383=sel_Category),OR(sel_Product="All",H2383=sel_Product),AND(S2383&gt;=m_From,S2383&lt;=m_To)),1,0)</f>
        <v/>
      </c>
      <c r="Y2383" s="36">
        <f>IF(AND(OR(sel_Region="All",C2383=sel_Region),OR(sel_Country="All",D2383=sel_Country),OR(sel_Channel="All",E2383=sel_Channel),OR(sel_Customer="All",F2383=sel_Customer),OR(sel_Product="All",H2383=sel_Product),AND(S2383&gt;=m_From,S2383&lt;=m_To)),1,0)</f>
        <v/>
      </c>
      <c r="Z2383" s="36">
        <f>IF(AND(OR(sel_Region="All",C2383=sel_Region),OR(sel_Country="All",D2383=sel_Country),OR(sel_Channel="All",E2383=sel_Channel),OR(sel_Customer="All",F2383=sel_Customer),OR(sel_Category="All",G2383=sel_Category),AND(S2383&gt;=m_From,S2383&lt;=m_To)),1,0)</f>
        <v/>
      </c>
      <c r="AA2383" s="36">
        <f>IF(AND(OR(sel_Region="All",C2383=sel_Region),OR(sel_Country="All",D2383=sel_Country),OR(sel_Channel="All",E2383=sel_Channel),OR(sel_Customer="All",F2383=sel_Customer),OR(sel_Category="All",G2383=sel_Category),OR(sel_Product="All",H2383=sel_Product)),1,0)</f>
        <v/>
      </c>
    </row>
    <row r="2384">
      <c r="A2384" s="36" t="inlineStr">
        <is>
          <t>00598</t>
        </is>
      </c>
      <c r="B2384" s="44" t="n">
        <v>46343</v>
      </c>
      <c r="C2384" s="36" t="inlineStr">
        <is>
          <t>Southern Europe</t>
        </is>
      </c>
      <c r="D2384" s="36" t="inlineStr">
        <is>
          <t>Spain</t>
        </is>
      </c>
      <c r="E2384" s="36" t="inlineStr">
        <is>
          <t>Online Store</t>
        </is>
      </c>
      <c r="F2384" s="36" t="inlineStr">
        <is>
          <t>New</t>
        </is>
      </c>
      <c r="G2384" s="36" t="inlineStr">
        <is>
          <t>Cycling</t>
        </is>
      </c>
      <c r="H2384" s="36" t="inlineStr">
        <is>
          <t>Trail Bike Light</t>
        </is>
      </c>
      <c r="I2384" s="36" t="n">
        <v>1</v>
      </c>
      <c r="J2384" s="39" t="n">
        <v>49.98</v>
      </c>
      <c r="K2384" s="45" t="n">
        <v>0.1</v>
      </c>
      <c r="L2384" s="39" t="n">
        <v>22.25</v>
      </c>
      <c r="M2384" s="39">
        <f>I2384*J2384*(1-K2384)</f>
        <v/>
      </c>
      <c r="N2384" s="39">
        <f>I2384*L2384</f>
        <v/>
      </c>
      <c r="O2384" s="39">
        <f>M2384-N2384</f>
        <v/>
      </c>
      <c r="P2384" s="38">
        <f>IF(M2384=0,0,O2384/M2384)</f>
        <v/>
      </c>
      <c r="Q2384" s="36">
        <f>YEAR(B2384)</f>
        <v/>
      </c>
      <c r="R2384" s="36">
        <f>"Q"&amp;ROUNDUP(MONTH(B2384)/3,0)</f>
        <v/>
      </c>
      <c r="S2384" s="36">
        <f>MONTH(B2384)</f>
        <v/>
      </c>
      <c r="T2384" s="36">
        <f>TEXT(B2384,"mmm")</f>
        <v/>
      </c>
      <c r="U2384" s="36">
        <f>IF(AND(OR(sel_Region="All",C2384=sel_Region),OR(sel_Country="All",D2384=sel_Country),OR(sel_Channel="All",E2384=sel_Channel),OR(sel_Customer="All",F2384=sel_Customer),OR(sel_Category="All",G2384=sel_Category),OR(sel_Product="All",H2384=sel_Product),AND(S2384&gt;=m_From,S2384&lt;=m_To)),1,0)</f>
        <v/>
      </c>
      <c r="V2384" s="36">
        <f>IF(AND(OR(sel_Region="All",C2384=sel_Region),OR(sel_Channel="All",E2384=sel_Channel),OR(sel_Customer="All",F2384=sel_Customer),OR(sel_Category="All",G2384=sel_Category),OR(sel_Product="All",H2384=sel_Product),AND(S2384&gt;=m_From,S2384&lt;=m_To)),1,0)</f>
        <v/>
      </c>
      <c r="W2384" s="36">
        <f>IF(AND(OR(sel_Region="All",C2384=sel_Region),OR(sel_Country="All",D2384=sel_Country),OR(sel_Customer="All",F2384=sel_Customer),OR(sel_Category="All",G2384=sel_Category),OR(sel_Product="All",H2384=sel_Product),AND(S2384&gt;=m_From,S2384&lt;=m_To)),1,0)</f>
        <v/>
      </c>
      <c r="X2384" s="36">
        <f>IF(AND(OR(sel_Region="All",C2384=sel_Region),OR(sel_Country="All",D2384=sel_Country),OR(sel_Channel="All",E2384=sel_Channel),OR(sel_Category="All",G2384=sel_Category),OR(sel_Product="All",H2384=sel_Product),AND(S2384&gt;=m_From,S2384&lt;=m_To)),1,0)</f>
        <v/>
      </c>
      <c r="Y2384" s="36">
        <f>IF(AND(OR(sel_Region="All",C2384=sel_Region),OR(sel_Country="All",D2384=sel_Country),OR(sel_Channel="All",E2384=sel_Channel),OR(sel_Customer="All",F2384=sel_Customer),OR(sel_Product="All",H2384=sel_Product),AND(S2384&gt;=m_From,S2384&lt;=m_To)),1,0)</f>
        <v/>
      </c>
      <c r="Z2384" s="36">
        <f>IF(AND(OR(sel_Region="All",C2384=sel_Region),OR(sel_Country="All",D2384=sel_Country),OR(sel_Channel="All",E2384=sel_Channel),OR(sel_Customer="All",F2384=sel_Customer),OR(sel_Category="All",G2384=sel_Category),AND(S2384&gt;=m_From,S2384&lt;=m_To)),1,0)</f>
        <v/>
      </c>
      <c r="AA2384" s="36">
        <f>IF(AND(OR(sel_Region="All",C2384=sel_Region),OR(sel_Country="All",D2384=sel_Country),OR(sel_Channel="All",E2384=sel_Channel),OR(sel_Customer="All",F2384=sel_Customer),OR(sel_Category="All",G2384=sel_Category),OR(sel_Product="All",H2384=sel_Product)),1,0)</f>
        <v/>
      </c>
    </row>
    <row r="2385">
      <c r="A2385" s="36" t="inlineStr">
        <is>
          <t>00690</t>
        </is>
      </c>
      <c r="B2385" s="44" t="n">
        <v>46343</v>
      </c>
      <c r="C2385" s="36" t="inlineStr">
        <is>
          <t>Western Europe</t>
        </is>
      </c>
      <c r="D2385" s="36" t="inlineStr">
        <is>
          <t>United Kingdom</t>
        </is>
      </c>
      <c r="E2385" s="36" t="inlineStr">
        <is>
          <t>Online Store</t>
        </is>
      </c>
      <c r="F2385" s="36" t="inlineStr">
        <is>
          <t>Returning</t>
        </is>
      </c>
      <c r="G2385" s="36" t="inlineStr">
        <is>
          <t>Travel</t>
        </is>
      </c>
      <c r="H2385" s="36" t="inlineStr">
        <is>
          <t>Travel Backpack 35L</t>
        </is>
      </c>
      <c r="I2385" s="36" t="n">
        <v>2</v>
      </c>
      <c r="J2385" s="39" t="n">
        <v>168.08</v>
      </c>
      <c r="K2385" s="45" t="n">
        <v>0.1</v>
      </c>
      <c r="L2385" s="39" t="n">
        <v>87.63</v>
      </c>
      <c r="M2385" s="39">
        <f>I2385*J2385*(1-K2385)</f>
        <v/>
      </c>
      <c r="N2385" s="39">
        <f>I2385*L2385</f>
        <v/>
      </c>
      <c r="O2385" s="39">
        <f>M2385-N2385</f>
        <v/>
      </c>
      <c r="P2385" s="38">
        <f>IF(M2385=0,0,O2385/M2385)</f>
        <v/>
      </c>
      <c r="Q2385" s="36">
        <f>YEAR(B2385)</f>
        <v/>
      </c>
      <c r="R2385" s="36">
        <f>"Q"&amp;ROUNDUP(MONTH(B2385)/3,0)</f>
        <v/>
      </c>
      <c r="S2385" s="36">
        <f>MONTH(B2385)</f>
        <v/>
      </c>
      <c r="T2385" s="36">
        <f>TEXT(B2385,"mmm")</f>
        <v/>
      </c>
      <c r="U2385" s="36">
        <f>IF(AND(OR(sel_Region="All",C2385=sel_Region),OR(sel_Country="All",D2385=sel_Country),OR(sel_Channel="All",E2385=sel_Channel),OR(sel_Customer="All",F2385=sel_Customer),OR(sel_Category="All",G2385=sel_Category),OR(sel_Product="All",H2385=sel_Product),AND(S2385&gt;=m_From,S2385&lt;=m_To)),1,0)</f>
        <v/>
      </c>
      <c r="V2385" s="36">
        <f>IF(AND(OR(sel_Region="All",C2385=sel_Region),OR(sel_Channel="All",E2385=sel_Channel),OR(sel_Customer="All",F2385=sel_Customer),OR(sel_Category="All",G2385=sel_Category),OR(sel_Product="All",H2385=sel_Product),AND(S2385&gt;=m_From,S2385&lt;=m_To)),1,0)</f>
        <v/>
      </c>
      <c r="W2385" s="36">
        <f>IF(AND(OR(sel_Region="All",C2385=sel_Region),OR(sel_Country="All",D2385=sel_Country),OR(sel_Customer="All",F2385=sel_Customer),OR(sel_Category="All",G2385=sel_Category),OR(sel_Product="All",H2385=sel_Product),AND(S2385&gt;=m_From,S2385&lt;=m_To)),1,0)</f>
        <v/>
      </c>
      <c r="X2385" s="36">
        <f>IF(AND(OR(sel_Region="All",C2385=sel_Region),OR(sel_Country="All",D2385=sel_Country),OR(sel_Channel="All",E2385=sel_Channel),OR(sel_Category="All",G2385=sel_Category),OR(sel_Product="All",H2385=sel_Product),AND(S2385&gt;=m_From,S2385&lt;=m_To)),1,0)</f>
        <v/>
      </c>
      <c r="Y2385" s="36">
        <f>IF(AND(OR(sel_Region="All",C2385=sel_Region),OR(sel_Country="All",D2385=sel_Country),OR(sel_Channel="All",E2385=sel_Channel),OR(sel_Customer="All",F2385=sel_Customer),OR(sel_Product="All",H2385=sel_Product),AND(S2385&gt;=m_From,S2385&lt;=m_To)),1,0)</f>
        <v/>
      </c>
      <c r="Z2385" s="36">
        <f>IF(AND(OR(sel_Region="All",C2385=sel_Region),OR(sel_Country="All",D2385=sel_Country),OR(sel_Channel="All",E2385=sel_Channel),OR(sel_Customer="All",F2385=sel_Customer),OR(sel_Category="All",G2385=sel_Category),AND(S2385&gt;=m_From,S2385&lt;=m_To)),1,0)</f>
        <v/>
      </c>
      <c r="AA2385" s="36">
        <f>IF(AND(OR(sel_Region="All",C2385=sel_Region),OR(sel_Country="All",D2385=sel_Country),OR(sel_Channel="All",E2385=sel_Channel),OR(sel_Customer="All",F2385=sel_Customer),OR(sel_Category="All",G2385=sel_Category),OR(sel_Product="All",H2385=sel_Product)),1,0)</f>
        <v/>
      </c>
    </row>
    <row r="2386">
      <c r="A2386" s="36" t="inlineStr">
        <is>
          <t>01296</t>
        </is>
      </c>
      <c r="B2386" s="44" t="n">
        <v>46343</v>
      </c>
      <c r="C2386" s="36" t="inlineStr">
        <is>
          <t>Western Europe</t>
        </is>
      </c>
      <c r="D2386" s="36" t="inlineStr">
        <is>
          <t>France</t>
        </is>
      </c>
      <c r="E2386" s="36" t="inlineStr">
        <is>
          <t>Online Store</t>
        </is>
      </c>
      <c r="F2386" s="36" t="inlineStr">
        <is>
          <t>New</t>
        </is>
      </c>
      <c r="G2386" s="36" t="inlineStr">
        <is>
          <t>Camping</t>
        </is>
      </c>
      <c r="H2386" s="36" t="inlineStr">
        <is>
          <t>Trail Tent 2P</t>
        </is>
      </c>
      <c r="I2386" s="36" t="n">
        <v>1</v>
      </c>
      <c r="J2386" s="39" t="n">
        <v>191.85</v>
      </c>
      <c r="K2386" s="45" t="n">
        <v>0.15</v>
      </c>
      <c r="L2386" s="39" t="n">
        <v>104.41</v>
      </c>
      <c r="M2386" s="39">
        <f>I2386*J2386*(1-K2386)</f>
        <v/>
      </c>
      <c r="N2386" s="39">
        <f>I2386*L2386</f>
        <v/>
      </c>
      <c r="O2386" s="39">
        <f>M2386-N2386</f>
        <v/>
      </c>
      <c r="P2386" s="38">
        <f>IF(M2386=0,0,O2386/M2386)</f>
        <v/>
      </c>
      <c r="Q2386" s="36">
        <f>YEAR(B2386)</f>
        <v/>
      </c>
      <c r="R2386" s="36">
        <f>"Q"&amp;ROUNDUP(MONTH(B2386)/3,0)</f>
        <v/>
      </c>
      <c r="S2386" s="36">
        <f>MONTH(B2386)</f>
        <v/>
      </c>
      <c r="T2386" s="36">
        <f>TEXT(B2386,"mmm")</f>
        <v/>
      </c>
      <c r="U2386" s="36">
        <f>IF(AND(OR(sel_Region="All",C2386=sel_Region),OR(sel_Country="All",D2386=sel_Country),OR(sel_Channel="All",E2386=sel_Channel),OR(sel_Customer="All",F2386=sel_Customer),OR(sel_Category="All",G2386=sel_Category),OR(sel_Product="All",H2386=sel_Product),AND(S2386&gt;=m_From,S2386&lt;=m_To)),1,0)</f>
        <v/>
      </c>
      <c r="V2386" s="36">
        <f>IF(AND(OR(sel_Region="All",C2386=sel_Region),OR(sel_Channel="All",E2386=sel_Channel),OR(sel_Customer="All",F2386=sel_Customer),OR(sel_Category="All",G2386=sel_Category),OR(sel_Product="All",H2386=sel_Product),AND(S2386&gt;=m_From,S2386&lt;=m_To)),1,0)</f>
        <v/>
      </c>
      <c r="W2386" s="36">
        <f>IF(AND(OR(sel_Region="All",C2386=sel_Region),OR(sel_Country="All",D2386=sel_Country),OR(sel_Customer="All",F2386=sel_Customer),OR(sel_Category="All",G2386=sel_Category),OR(sel_Product="All",H2386=sel_Product),AND(S2386&gt;=m_From,S2386&lt;=m_To)),1,0)</f>
        <v/>
      </c>
      <c r="X2386" s="36">
        <f>IF(AND(OR(sel_Region="All",C2386=sel_Region),OR(sel_Country="All",D2386=sel_Country),OR(sel_Channel="All",E2386=sel_Channel),OR(sel_Category="All",G2386=sel_Category),OR(sel_Product="All",H2386=sel_Product),AND(S2386&gt;=m_From,S2386&lt;=m_To)),1,0)</f>
        <v/>
      </c>
      <c r="Y2386" s="36">
        <f>IF(AND(OR(sel_Region="All",C2386=sel_Region),OR(sel_Country="All",D2386=sel_Country),OR(sel_Channel="All",E2386=sel_Channel),OR(sel_Customer="All",F2386=sel_Customer),OR(sel_Product="All",H2386=sel_Product),AND(S2386&gt;=m_From,S2386&lt;=m_To)),1,0)</f>
        <v/>
      </c>
      <c r="Z2386" s="36">
        <f>IF(AND(OR(sel_Region="All",C2386=sel_Region),OR(sel_Country="All",D2386=sel_Country),OR(sel_Channel="All",E2386=sel_Channel),OR(sel_Customer="All",F2386=sel_Customer),OR(sel_Category="All",G2386=sel_Category),AND(S2386&gt;=m_From,S2386&lt;=m_To)),1,0)</f>
        <v/>
      </c>
      <c r="AA2386" s="36">
        <f>IF(AND(OR(sel_Region="All",C2386=sel_Region),OR(sel_Country="All",D2386=sel_Country),OR(sel_Channel="All",E2386=sel_Channel),OR(sel_Customer="All",F2386=sel_Customer),OR(sel_Category="All",G2386=sel_Category),OR(sel_Product="All",H2386=sel_Product)),1,0)</f>
        <v/>
      </c>
    </row>
    <row r="2387">
      <c r="A2387" s="36" t="inlineStr">
        <is>
          <t>01585</t>
        </is>
      </c>
      <c r="B2387" s="44" t="n">
        <v>46343</v>
      </c>
      <c r="C2387" s="36" t="inlineStr">
        <is>
          <t>Central Europe</t>
        </is>
      </c>
      <c r="D2387" s="36" t="inlineStr">
        <is>
          <t>Poland</t>
        </is>
      </c>
      <c r="E2387" s="36" t="inlineStr">
        <is>
          <t>Retail Partners</t>
        </is>
      </c>
      <c r="F2387" s="36" t="inlineStr">
        <is>
          <t>Returning</t>
        </is>
      </c>
      <c r="G2387" s="36" t="inlineStr">
        <is>
          <t>Hiking</t>
        </is>
      </c>
      <c r="H2387" s="36" t="inlineStr">
        <is>
          <t>Hiking Daypack 20L</t>
        </is>
      </c>
      <c r="I2387" s="36" t="n">
        <v>4</v>
      </c>
      <c r="J2387" s="39" t="n">
        <v>93.98999999999999</v>
      </c>
      <c r="K2387" s="45" t="n">
        <v>0.1</v>
      </c>
      <c r="L2387" s="39" t="n">
        <v>44.07</v>
      </c>
      <c r="M2387" s="39">
        <f>I2387*J2387*(1-K2387)</f>
        <v/>
      </c>
      <c r="N2387" s="39">
        <f>I2387*L2387</f>
        <v/>
      </c>
      <c r="O2387" s="39">
        <f>M2387-N2387</f>
        <v/>
      </c>
      <c r="P2387" s="38">
        <f>IF(M2387=0,0,O2387/M2387)</f>
        <v/>
      </c>
      <c r="Q2387" s="36">
        <f>YEAR(B2387)</f>
        <v/>
      </c>
      <c r="R2387" s="36">
        <f>"Q"&amp;ROUNDUP(MONTH(B2387)/3,0)</f>
        <v/>
      </c>
      <c r="S2387" s="36">
        <f>MONTH(B2387)</f>
        <v/>
      </c>
      <c r="T2387" s="36">
        <f>TEXT(B2387,"mmm")</f>
        <v/>
      </c>
      <c r="U2387" s="36">
        <f>IF(AND(OR(sel_Region="All",C2387=sel_Region),OR(sel_Country="All",D2387=sel_Country),OR(sel_Channel="All",E2387=sel_Channel),OR(sel_Customer="All",F2387=sel_Customer),OR(sel_Category="All",G2387=sel_Category),OR(sel_Product="All",H2387=sel_Product),AND(S2387&gt;=m_From,S2387&lt;=m_To)),1,0)</f>
        <v/>
      </c>
      <c r="V2387" s="36">
        <f>IF(AND(OR(sel_Region="All",C2387=sel_Region),OR(sel_Channel="All",E2387=sel_Channel),OR(sel_Customer="All",F2387=sel_Customer),OR(sel_Category="All",G2387=sel_Category),OR(sel_Product="All",H2387=sel_Product),AND(S2387&gt;=m_From,S2387&lt;=m_To)),1,0)</f>
        <v/>
      </c>
      <c r="W2387" s="36">
        <f>IF(AND(OR(sel_Region="All",C2387=sel_Region),OR(sel_Country="All",D2387=sel_Country),OR(sel_Customer="All",F2387=sel_Customer),OR(sel_Category="All",G2387=sel_Category),OR(sel_Product="All",H2387=sel_Product),AND(S2387&gt;=m_From,S2387&lt;=m_To)),1,0)</f>
        <v/>
      </c>
      <c r="X2387" s="36">
        <f>IF(AND(OR(sel_Region="All",C2387=sel_Region),OR(sel_Country="All",D2387=sel_Country),OR(sel_Channel="All",E2387=sel_Channel),OR(sel_Category="All",G2387=sel_Category),OR(sel_Product="All",H2387=sel_Product),AND(S2387&gt;=m_From,S2387&lt;=m_To)),1,0)</f>
        <v/>
      </c>
      <c r="Y2387" s="36">
        <f>IF(AND(OR(sel_Region="All",C2387=sel_Region),OR(sel_Country="All",D2387=sel_Country),OR(sel_Channel="All",E2387=sel_Channel),OR(sel_Customer="All",F2387=sel_Customer),OR(sel_Product="All",H2387=sel_Product),AND(S2387&gt;=m_From,S2387&lt;=m_To)),1,0)</f>
        <v/>
      </c>
      <c r="Z2387" s="36">
        <f>IF(AND(OR(sel_Region="All",C2387=sel_Region),OR(sel_Country="All",D2387=sel_Country),OR(sel_Channel="All",E2387=sel_Channel),OR(sel_Customer="All",F2387=sel_Customer),OR(sel_Category="All",G2387=sel_Category),AND(S2387&gt;=m_From,S2387&lt;=m_To)),1,0)</f>
        <v/>
      </c>
      <c r="AA2387" s="36">
        <f>IF(AND(OR(sel_Region="All",C2387=sel_Region),OR(sel_Country="All",D2387=sel_Country),OR(sel_Channel="All",E2387=sel_Channel),OR(sel_Customer="All",F2387=sel_Customer),OR(sel_Category="All",G2387=sel_Category),OR(sel_Product="All",H2387=sel_Product)),1,0)</f>
        <v/>
      </c>
    </row>
    <row r="2388">
      <c r="A2388" s="36" t="inlineStr">
        <is>
          <t>02194</t>
        </is>
      </c>
      <c r="B2388" s="44" t="n">
        <v>46343</v>
      </c>
      <c r="C2388" s="36" t="inlineStr">
        <is>
          <t>Western Europe</t>
        </is>
      </c>
      <c r="D2388" s="36" t="inlineStr">
        <is>
          <t>France</t>
        </is>
      </c>
      <c r="E2388" s="36" t="inlineStr">
        <is>
          <t>Online Store</t>
        </is>
      </c>
      <c r="F2388" s="36" t="inlineStr">
        <is>
          <t>Returning</t>
        </is>
      </c>
      <c r="G2388" s="36" t="inlineStr">
        <is>
          <t>Travel</t>
        </is>
      </c>
      <c r="H2388" s="36" t="inlineStr">
        <is>
          <t>Insulated Bottle</t>
        </is>
      </c>
      <c r="I2388" s="36" t="n">
        <v>4</v>
      </c>
      <c r="J2388" s="39" t="n">
        <v>36.57</v>
      </c>
      <c r="K2388" s="45" t="n">
        <v>0.05</v>
      </c>
      <c r="L2388" s="39" t="n">
        <v>13.35</v>
      </c>
      <c r="M2388" s="39">
        <f>I2388*J2388*(1-K2388)</f>
        <v/>
      </c>
      <c r="N2388" s="39">
        <f>I2388*L2388</f>
        <v/>
      </c>
      <c r="O2388" s="39">
        <f>M2388-N2388</f>
        <v/>
      </c>
      <c r="P2388" s="38">
        <f>IF(M2388=0,0,O2388/M2388)</f>
        <v/>
      </c>
      <c r="Q2388" s="36">
        <f>YEAR(B2388)</f>
        <v/>
      </c>
      <c r="R2388" s="36">
        <f>"Q"&amp;ROUNDUP(MONTH(B2388)/3,0)</f>
        <v/>
      </c>
      <c r="S2388" s="36">
        <f>MONTH(B2388)</f>
        <v/>
      </c>
      <c r="T2388" s="36">
        <f>TEXT(B2388,"mmm")</f>
        <v/>
      </c>
      <c r="U2388" s="36">
        <f>IF(AND(OR(sel_Region="All",C2388=sel_Region),OR(sel_Country="All",D2388=sel_Country),OR(sel_Channel="All",E2388=sel_Channel),OR(sel_Customer="All",F2388=sel_Customer),OR(sel_Category="All",G2388=sel_Category),OR(sel_Product="All",H2388=sel_Product),AND(S2388&gt;=m_From,S2388&lt;=m_To)),1,0)</f>
        <v/>
      </c>
      <c r="V2388" s="36">
        <f>IF(AND(OR(sel_Region="All",C2388=sel_Region),OR(sel_Channel="All",E2388=sel_Channel),OR(sel_Customer="All",F2388=sel_Customer),OR(sel_Category="All",G2388=sel_Category),OR(sel_Product="All",H2388=sel_Product),AND(S2388&gt;=m_From,S2388&lt;=m_To)),1,0)</f>
        <v/>
      </c>
      <c r="W2388" s="36">
        <f>IF(AND(OR(sel_Region="All",C2388=sel_Region),OR(sel_Country="All",D2388=sel_Country),OR(sel_Customer="All",F2388=sel_Customer),OR(sel_Category="All",G2388=sel_Category),OR(sel_Product="All",H2388=sel_Product),AND(S2388&gt;=m_From,S2388&lt;=m_To)),1,0)</f>
        <v/>
      </c>
      <c r="X2388" s="36">
        <f>IF(AND(OR(sel_Region="All",C2388=sel_Region),OR(sel_Country="All",D2388=sel_Country),OR(sel_Channel="All",E2388=sel_Channel),OR(sel_Category="All",G2388=sel_Category),OR(sel_Product="All",H2388=sel_Product),AND(S2388&gt;=m_From,S2388&lt;=m_To)),1,0)</f>
        <v/>
      </c>
      <c r="Y2388" s="36">
        <f>IF(AND(OR(sel_Region="All",C2388=sel_Region),OR(sel_Country="All",D2388=sel_Country),OR(sel_Channel="All",E2388=sel_Channel),OR(sel_Customer="All",F2388=sel_Customer),OR(sel_Product="All",H2388=sel_Product),AND(S2388&gt;=m_From,S2388&lt;=m_To)),1,0)</f>
        <v/>
      </c>
      <c r="Z2388" s="36">
        <f>IF(AND(OR(sel_Region="All",C2388=sel_Region),OR(sel_Country="All",D2388=sel_Country),OR(sel_Channel="All",E2388=sel_Channel),OR(sel_Customer="All",F2388=sel_Customer),OR(sel_Category="All",G2388=sel_Category),AND(S2388&gt;=m_From,S2388&lt;=m_To)),1,0)</f>
        <v/>
      </c>
      <c r="AA2388" s="36">
        <f>IF(AND(OR(sel_Region="All",C2388=sel_Region),OR(sel_Country="All",D2388=sel_Country),OR(sel_Channel="All",E2388=sel_Channel),OR(sel_Customer="All",F2388=sel_Customer),OR(sel_Category="All",G2388=sel_Category),OR(sel_Product="All",H2388=sel_Product)),1,0)</f>
        <v/>
      </c>
    </row>
    <row r="2389">
      <c r="A2389" s="36" t="inlineStr">
        <is>
          <t>02221</t>
        </is>
      </c>
      <c r="B2389" s="44" t="n">
        <v>46343</v>
      </c>
      <c r="C2389" s="36" t="inlineStr">
        <is>
          <t>Central Europe</t>
        </is>
      </c>
      <c r="D2389" s="36" t="inlineStr">
        <is>
          <t>Germany</t>
        </is>
      </c>
      <c r="E2389" s="36" t="inlineStr">
        <is>
          <t>Marketplace</t>
        </is>
      </c>
      <c r="F2389" s="36" t="inlineStr">
        <is>
          <t>Returning</t>
        </is>
      </c>
      <c r="G2389" s="36" t="inlineStr">
        <is>
          <t>Cycling</t>
        </is>
      </c>
      <c r="H2389" s="36" t="inlineStr">
        <is>
          <t>Compact Repair Kit</t>
        </is>
      </c>
      <c r="I2389" s="36" t="n">
        <v>1</v>
      </c>
      <c r="J2389" s="39" t="n">
        <v>39.81</v>
      </c>
      <c r="K2389" s="45" t="n">
        <v>0.05</v>
      </c>
      <c r="L2389" s="39" t="n">
        <v>16.25</v>
      </c>
      <c r="M2389" s="39">
        <f>I2389*J2389*(1-K2389)</f>
        <v/>
      </c>
      <c r="N2389" s="39">
        <f>I2389*L2389</f>
        <v/>
      </c>
      <c r="O2389" s="39">
        <f>M2389-N2389</f>
        <v/>
      </c>
      <c r="P2389" s="38">
        <f>IF(M2389=0,0,O2389/M2389)</f>
        <v/>
      </c>
      <c r="Q2389" s="36">
        <f>YEAR(B2389)</f>
        <v/>
      </c>
      <c r="R2389" s="36">
        <f>"Q"&amp;ROUNDUP(MONTH(B2389)/3,0)</f>
        <v/>
      </c>
      <c r="S2389" s="36">
        <f>MONTH(B2389)</f>
        <v/>
      </c>
      <c r="T2389" s="36">
        <f>TEXT(B2389,"mmm")</f>
        <v/>
      </c>
      <c r="U2389" s="36">
        <f>IF(AND(OR(sel_Region="All",C2389=sel_Region),OR(sel_Country="All",D2389=sel_Country),OR(sel_Channel="All",E2389=sel_Channel),OR(sel_Customer="All",F2389=sel_Customer),OR(sel_Category="All",G2389=sel_Category),OR(sel_Product="All",H2389=sel_Product),AND(S2389&gt;=m_From,S2389&lt;=m_To)),1,0)</f>
        <v/>
      </c>
      <c r="V2389" s="36">
        <f>IF(AND(OR(sel_Region="All",C2389=sel_Region),OR(sel_Channel="All",E2389=sel_Channel),OR(sel_Customer="All",F2389=sel_Customer),OR(sel_Category="All",G2389=sel_Category),OR(sel_Product="All",H2389=sel_Product),AND(S2389&gt;=m_From,S2389&lt;=m_To)),1,0)</f>
        <v/>
      </c>
      <c r="W2389" s="36">
        <f>IF(AND(OR(sel_Region="All",C2389=sel_Region),OR(sel_Country="All",D2389=sel_Country),OR(sel_Customer="All",F2389=sel_Customer),OR(sel_Category="All",G2389=sel_Category),OR(sel_Product="All",H2389=sel_Product),AND(S2389&gt;=m_From,S2389&lt;=m_To)),1,0)</f>
        <v/>
      </c>
      <c r="X2389" s="36">
        <f>IF(AND(OR(sel_Region="All",C2389=sel_Region),OR(sel_Country="All",D2389=sel_Country),OR(sel_Channel="All",E2389=sel_Channel),OR(sel_Category="All",G2389=sel_Category),OR(sel_Product="All",H2389=sel_Product),AND(S2389&gt;=m_From,S2389&lt;=m_To)),1,0)</f>
        <v/>
      </c>
      <c r="Y2389" s="36">
        <f>IF(AND(OR(sel_Region="All",C2389=sel_Region),OR(sel_Country="All",D2389=sel_Country),OR(sel_Channel="All",E2389=sel_Channel),OR(sel_Customer="All",F2389=sel_Customer),OR(sel_Product="All",H2389=sel_Product),AND(S2389&gt;=m_From,S2389&lt;=m_To)),1,0)</f>
        <v/>
      </c>
      <c r="Z2389" s="36">
        <f>IF(AND(OR(sel_Region="All",C2389=sel_Region),OR(sel_Country="All",D2389=sel_Country),OR(sel_Channel="All",E2389=sel_Channel),OR(sel_Customer="All",F2389=sel_Customer),OR(sel_Category="All",G2389=sel_Category),AND(S2389&gt;=m_From,S2389&lt;=m_To)),1,0)</f>
        <v/>
      </c>
      <c r="AA2389" s="36">
        <f>IF(AND(OR(sel_Region="All",C2389=sel_Region),OR(sel_Country="All",D2389=sel_Country),OR(sel_Channel="All",E2389=sel_Channel),OR(sel_Customer="All",F2389=sel_Customer),OR(sel_Category="All",G2389=sel_Category),OR(sel_Product="All",H2389=sel_Product)),1,0)</f>
        <v/>
      </c>
    </row>
    <row r="2390">
      <c r="A2390" s="36" t="inlineStr">
        <is>
          <t>03836</t>
        </is>
      </c>
      <c r="B2390" s="44" t="n">
        <v>46343</v>
      </c>
      <c r="C2390" s="36" t="inlineStr">
        <is>
          <t>Western Europe</t>
        </is>
      </c>
      <c r="D2390" s="36" t="inlineStr">
        <is>
          <t>Belgium</t>
        </is>
      </c>
      <c r="E2390" s="36" t="inlineStr">
        <is>
          <t>Retail Partners</t>
        </is>
      </c>
      <c r="F2390" s="36" t="inlineStr">
        <is>
          <t>Returning</t>
        </is>
      </c>
      <c r="G2390" s="36" t="inlineStr">
        <is>
          <t>Hiking</t>
        </is>
      </c>
      <c r="H2390" s="36" t="inlineStr">
        <is>
          <t>Hiking Daypack 20L</t>
        </is>
      </c>
      <c r="I2390" s="36" t="n">
        <v>1</v>
      </c>
      <c r="J2390" s="39" t="n">
        <v>91.43000000000001</v>
      </c>
      <c r="K2390" s="45" t="n">
        <v>0.1</v>
      </c>
      <c r="L2390" s="39" t="n">
        <v>45.06</v>
      </c>
      <c r="M2390" s="39">
        <f>I2390*J2390*(1-K2390)</f>
        <v/>
      </c>
      <c r="N2390" s="39">
        <f>I2390*L2390</f>
        <v/>
      </c>
      <c r="O2390" s="39">
        <f>M2390-N2390</f>
        <v/>
      </c>
      <c r="P2390" s="38">
        <f>IF(M2390=0,0,O2390/M2390)</f>
        <v/>
      </c>
      <c r="Q2390" s="36">
        <f>YEAR(B2390)</f>
        <v/>
      </c>
      <c r="R2390" s="36">
        <f>"Q"&amp;ROUNDUP(MONTH(B2390)/3,0)</f>
        <v/>
      </c>
      <c r="S2390" s="36">
        <f>MONTH(B2390)</f>
        <v/>
      </c>
      <c r="T2390" s="36">
        <f>TEXT(B2390,"mmm")</f>
        <v/>
      </c>
      <c r="U2390" s="36">
        <f>IF(AND(OR(sel_Region="All",C2390=sel_Region),OR(sel_Country="All",D2390=sel_Country),OR(sel_Channel="All",E2390=sel_Channel),OR(sel_Customer="All",F2390=sel_Customer),OR(sel_Category="All",G2390=sel_Category),OR(sel_Product="All",H2390=sel_Product),AND(S2390&gt;=m_From,S2390&lt;=m_To)),1,0)</f>
        <v/>
      </c>
      <c r="V2390" s="36">
        <f>IF(AND(OR(sel_Region="All",C2390=sel_Region),OR(sel_Channel="All",E2390=sel_Channel),OR(sel_Customer="All",F2390=sel_Customer),OR(sel_Category="All",G2390=sel_Category),OR(sel_Product="All",H2390=sel_Product),AND(S2390&gt;=m_From,S2390&lt;=m_To)),1,0)</f>
        <v/>
      </c>
      <c r="W2390" s="36">
        <f>IF(AND(OR(sel_Region="All",C2390=sel_Region),OR(sel_Country="All",D2390=sel_Country),OR(sel_Customer="All",F2390=sel_Customer),OR(sel_Category="All",G2390=sel_Category),OR(sel_Product="All",H2390=sel_Product),AND(S2390&gt;=m_From,S2390&lt;=m_To)),1,0)</f>
        <v/>
      </c>
      <c r="X2390" s="36">
        <f>IF(AND(OR(sel_Region="All",C2390=sel_Region),OR(sel_Country="All",D2390=sel_Country),OR(sel_Channel="All",E2390=sel_Channel),OR(sel_Category="All",G2390=sel_Category),OR(sel_Product="All",H2390=sel_Product),AND(S2390&gt;=m_From,S2390&lt;=m_To)),1,0)</f>
        <v/>
      </c>
      <c r="Y2390" s="36">
        <f>IF(AND(OR(sel_Region="All",C2390=sel_Region),OR(sel_Country="All",D2390=sel_Country),OR(sel_Channel="All",E2390=sel_Channel),OR(sel_Customer="All",F2390=sel_Customer),OR(sel_Product="All",H2390=sel_Product),AND(S2390&gt;=m_From,S2390&lt;=m_To)),1,0)</f>
        <v/>
      </c>
      <c r="Z2390" s="36">
        <f>IF(AND(OR(sel_Region="All",C2390=sel_Region),OR(sel_Country="All",D2390=sel_Country),OR(sel_Channel="All",E2390=sel_Channel),OR(sel_Customer="All",F2390=sel_Customer),OR(sel_Category="All",G2390=sel_Category),AND(S2390&gt;=m_From,S2390&lt;=m_To)),1,0)</f>
        <v/>
      </c>
      <c r="AA2390" s="36">
        <f>IF(AND(OR(sel_Region="All",C2390=sel_Region),OR(sel_Country="All",D2390=sel_Country),OR(sel_Channel="All",E2390=sel_Channel),OR(sel_Customer="All",F2390=sel_Customer),OR(sel_Category="All",G2390=sel_Category),OR(sel_Product="All",H2390=sel_Product)),1,0)</f>
        <v/>
      </c>
    </row>
    <row r="2391">
      <c r="A2391" s="36" t="inlineStr">
        <is>
          <t>04437</t>
        </is>
      </c>
      <c r="B2391" s="44" t="n">
        <v>46343</v>
      </c>
      <c r="C2391" s="36" t="inlineStr">
        <is>
          <t>Northern Europe</t>
        </is>
      </c>
      <c r="D2391" s="36" t="inlineStr">
        <is>
          <t>Sweden</t>
        </is>
      </c>
      <c r="E2391" s="36" t="inlineStr">
        <is>
          <t>Online Store</t>
        </is>
      </c>
      <c r="F2391" s="36" t="inlineStr">
        <is>
          <t>Returning</t>
        </is>
      </c>
      <c r="G2391" s="36" t="inlineStr">
        <is>
          <t>Fitness</t>
        </is>
      </c>
      <c r="H2391" s="36" t="inlineStr">
        <is>
          <t>Weighted Vest</t>
        </is>
      </c>
      <c r="I2391" s="36" t="n">
        <v>1</v>
      </c>
      <c r="J2391" s="39" t="n">
        <v>122.64</v>
      </c>
      <c r="K2391" s="45" t="n">
        <v>0</v>
      </c>
      <c r="L2391" s="39" t="n">
        <v>68.58</v>
      </c>
      <c r="M2391" s="39">
        <f>I2391*J2391*(1-K2391)</f>
        <v/>
      </c>
      <c r="N2391" s="39">
        <f>I2391*L2391</f>
        <v/>
      </c>
      <c r="O2391" s="39">
        <f>M2391-N2391</f>
        <v/>
      </c>
      <c r="P2391" s="38">
        <f>IF(M2391=0,0,O2391/M2391)</f>
        <v/>
      </c>
      <c r="Q2391" s="36">
        <f>YEAR(B2391)</f>
        <v/>
      </c>
      <c r="R2391" s="36">
        <f>"Q"&amp;ROUNDUP(MONTH(B2391)/3,0)</f>
        <v/>
      </c>
      <c r="S2391" s="36">
        <f>MONTH(B2391)</f>
        <v/>
      </c>
      <c r="T2391" s="36">
        <f>TEXT(B2391,"mmm")</f>
        <v/>
      </c>
      <c r="U2391" s="36">
        <f>IF(AND(OR(sel_Region="All",C2391=sel_Region),OR(sel_Country="All",D2391=sel_Country),OR(sel_Channel="All",E2391=sel_Channel),OR(sel_Customer="All",F2391=sel_Customer),OR(sel_Category="All",G2391=sel_Category),OR(sel_Product="All",H2391=sel_Product),AND(S2391&gt;=m_From,S2391&lt;=m_To)),1,0)</f>
        <v/>
      </c>
      <c r="V2391" s="36">
        <f>IF(AND(OR(sel_Region="All",C2391=sel_Region),OR(sel_Channel="All",E2391=sel_Channel),OR(sel_Customer="All",F2391=sel_Customer),OR(sel_Category="All",G2391=sel_Category),OR(sel_Product="All",H2391=sel_Product),AND(S2391&gt;=m_From,S2391&lt;=m_To)),1,0)</f>
        <v/>
      </c>
      <c r="W2391" s="36">
        <f>IF(AND(OR(sel_Region="All",C2391=sel_Region),OR(sel_Country="All",D2391=sel_Country),OR(sel_Customer="All",F2391=sel_Customer),OR(sel_Category="All",G2391=sel_Category),OR(sel_Product="All",H2391=sel_Product),AND(S2391&gt;=m_From,S2391&lt;=m_To)),1,0)</f>
        <v/>
      </c>
      <c r="X2391" s="36">
        <f>IF(AND(OR(sel_Region="All",C2391=sel_Region),OR(sel_Country="All",D2391=sel_Country),OR(sel_Channel="All",E2391=sel_Channel),OR(sel_Category="All",G2391=sel_Category),OR(sel_Product="All",H2391=sel_Product),AND(S2391&gt;=m_From,S2391&lt;=m_To)),1,0)</f>
        <v/>
      </c>
      <c r="Y2391" s="36">
        <f>IF(AND(OR(sel_Region="All",C2391=sel_Region),OR(sel_Country="All",D2391=sel_Country),OR(sel_Channel="All",E2391=sel_Channel),OR(sel_Customer="All",F2391=sel_Customer),OR(sel_Product="All",H2391=sel_Product),AND(S2391&gt;=m_From,S2391&lt;=m_To)),1,0)</f>
        <v/>
      </c>
      <c r="Z2391" s="36">
        <f>IF(AND(OR(sel_Region="All",C2391=sel_Region),OR(sel_Country="All",D2391=sel_Country),OR(sel_Channel="All",E2391=sel_Channel),OR(sel_Customer="All",F2391=sel_Customer),OR(sel_Category="All",G2391=sel_Category),AND(S2391&gt;=m_From,S2391&lt;=m_To)),1,0)</f>
        <v/>
      </c>
      <c r="AA2391" s="36">
        <f>IF(AND(OR(sel_Region="All",C2391=sel_Region),OR(sel_Country="All",D2391=sel_Country),OR(sel_Channel="All",E2391=sel_Channel),OR(sel_Customer="All",F2391=sel_Customer),OR(sel_Category="All",G2391=sel_Category),OR(sel_Product="All",H2391=sel_Product)),1,0)</f>
        <v/>
      </c>
    </row>
    <row r="2392">
      <c r="A2392" s="36" t="inlineStr">
        <is>
          <t>04735</t>
        </is>
      </c>
      <c r="B2392" s="44" t="n">
        <v>46343</v>
      </c>
      <c r="C2392" s="36" t="inlineStr">
        <is>
          <t>Central Europe</t>
        </is>
      </c>
      <c r="D2392" s="36" t="inlineStr">
        <is>
          <t>Germany</t>
        </is>
      </c>
      <c r="E2392" s="36" t="inlineStr">
        <is>
          <t>Online Store</t>
        </is>
      </c>
      <c r="F2392" s="36" t="inlineStr">
        <is>
          <t>Business</t>
        </is>
      </c>
      <c r="G2392" s="36" t="inlineStr">
        <is>
          <t>Cycling</t>
        </is>
      </c>
      <c r="H2392" s="36" t="inlineStr">
        <is>
          <t>Commuter Helmet</t>
        </is>
      </c>
      <c r="I2392" s="36" t="n">
        <v>1</v>
      </c>
      <c r="J2392" s="39" t="n">
        <v>80.95999999999999</v>
      </c>
      <c r="K2392" s="45" t="n">
        <v>0.1</v>
      </c>
      <c r="L2392" s="39" t="n">
        <v>43.86</v>
      </c>
      <c r="M2392" s="39">
        <f>I2392*J2392*(1-K2392)</f>
        <v/>
      </c>
      <c r="N2392" s="39">
        <f>I2392*L2392</f>
        <v/>
      </c>
      <c r="O2392" s="39">
        <f>M2392-N2392</f>
        <v/>
      </c>
      <c r="P2392" s="38">
        <f>IF(M2392=0,0,O2392/M2392)</f>
        <v/>
      </c>
      <c r="Q2392" s="36">
        <f>YEAR(B2392)</f>
        <v/>
      </c>
      <c r="R2392" s="36">
        <f>"Q"&amp;ROUNDUP(MONTH(B2392)/3,0)</f>
        <v/>
      </c>
      <c r="S2392" s="36">
        <f>MONTH(B2392)</f>
        <v/>
      </c>
      <c r="T2392" s="36">
        <f>TEXT(B2392,"mmm")</f>
        <v/>
      </c>
      <c r="U2392" s="36">
        <f>IF(AND(OR(sel_Region="All",C2392=sel_Region),OR(sel_Country="All",D2392=sel_Country),OR(sel_Channel="All",E2392=sel_Channel),OR(sel_Customer="All",F2392=sel_Customer),OR(sel_Category="All",G2392=sel_Category),OR(sel_Product="All",H2392=sel_Product),AND(S2392&gt;=m_From,S2392&lt;=m_To)),1,0)</f>
        <v/>
      </c>
      <c r="V2392" s="36">
        <f>IF(AND(OR(sel_Region="All",C2392=sel_Region),OR(sel_Channel="All",E2392=sel_Channel),OR(sel_Customer="All",F2392=sel_Customer),OR(sel_Category="All",G2392=sel_Category),OR(sel_Product="All",H2392=sel_Product),AND(S2392&gt;=m_From,S2392&lt;=m_To)),1,0)</f>
        <v/>
      </c>
      <c r="W2392" s="36">
        <f>IF(AND(OR(sel_Region="All",C2392=sel_Region),OR(sel_Country="All",D2392=sel_Country),OR(sel_Customer="All",F2392=sel_Customer),OR(sel_Category="All",G2392=sel_Category),OR(sel_Product="All",H2392=sel_Product),AND(S2392&gt;=m_From,S2392&lt;=m_To)),1,0)</f>
        <v/>
      </c>
      <c r="X2392" s="36">
        <f>IF(AND(OR(sel_Region="All",C2392=sel_Region),OR(sel_Country="All",D2392=sel_Country),OR(sel_Channel="All",E2392=sel_Channel),OR(sel_Category="All",G2392=sel_Category),OR(sel_Product="All",H2392=sel_Product),AND(S2392&gt;=m_From,S2392&lt;=m_To)),1,0)</f>
        <v/>
      </c>
      <c r="Y2392" s="36">
        <f>IF(AND(OR(sel_Region="All",C2392=sel_Region),OR(sel_Country="All",D2392=sel_Country),OR(sel_Channel="All",E2392=sel_Channel),OR(sel_Customer="All",F2392=sel_Customer),OR(sel_Product="All",H2392=sel_Product),AND(S2392&gt;=m_From,S2392&lt;=m_To)),1,0)</f>
        <v/>
      </c>
      <c r="Z2392" s="36">
        <f>IF(AND(OR(sel_Region="All",C2392=sel_Region),OR(sel_Country="All",D2392=sel_Country),OR(sel_Channel="All",E2392=sel_Channel),OR(sel_Customer="All",F2392=sel_Customer),OR(sel_Category="All",G2392=sel_Category),AND(S2392&gt;=m_From,S2392&lt;=m_To)),1,0)</f>
        <v/>
      </c>
      <c r="AA2392" s="36">
        <f>IF(AND(OR(sel_Region="All",C2392=sel_Region),OR(sel_Country="All",D2392=sel_Country),OR(sel_Channel="All",E2392=sel_Channel),OR(sel_Customer="All",F2392=sel_Customer),OR(sel_Category="All",G2392=sel_Category),OR(sel_Product="All",H2392=sel_Product)),1,0)</f>
        <v/>
      </c>
    </row>
    <row r="2393">
      <c r="A2393" s="36" t="inlineStr">
        <is>
          <t>00554</t>
        </is>
      </c>
      <c r="B2393" s="44" t="n">
        <v>46344</v>
      </c>
      <c r="C2393" s="36" t="inlineStr">
        <is>
          <t>Northern Europe</t>
        </is>
      </c>
      <c r="D2393" s="36" t="inlineStr">
        <is>
          <t>Denmark</t>
        </is>
      </c>
      <c r="E2393" s="36" t="inlineStr">
        <is>
          <t>Marketplace</t>
        </is>
      </c>
      <c r="F2393" s="36" t="inlineStr">
        <is>
          <t>Business</t>
        </is>
      </c>
      <c r="G2393" s="36" t="inlineStr">
        <is>
          <t>Fitness</t>
        </is>
      </c>
      <c r="H2393" s="36" t="inlineStr">
        <is>
          <t>Recovery Roller</t>
        </is>
      </c>
      <c r="I2393" s="36" t="n">
        <v>1</v>
      </c>
      <c r="J2393" s="39" t="n">
        <v>36.38</v>
      </c>
      <c r="K2393" s="45" t="n">
        <v>0.05</v>
      </c>
      <c r="L2393" s="39" t="n">
        <v>14.06</v>
      </c>
      <c r="M2393" s="39">
        <f>I2393*J2393*(1-K2393)</f>
        <v/>
      </c>
      <c r="N2393" s="39">
        <f>I2393*L2393</f>
        <v/>
      </c>
      <c r="O2393" s="39">
        <f>M2393-N2393</f>
        <v/>
      </c>
      <c r="P2393" s="38">
        <f>IF(M2393=0,0,O2393/M2393)</f>
        <v/>
      </c>
      <c r="Q2393" s="36">
        <f>YEAR(B2393)</f>
        <v/>
      </c>
      <c r="R2393" s="36">
        <f>"Q"&amp;ROUNDUP(MONTH(B2393)/3,0)</f>
        <v/>
      </c>
      <c r="S2393" s="36">
        <f>MONTH(B2393)</f>
        <v/>
      </c>
      <c r="T2393" s="36">
        <f>TEXT(B2393,"mmm")</f>
        <v/>
      </c>
      <c r="U2393" s="36">
        <f>IF(AND(OR(sel_Region="All",C2393=sel_Region),OR(sel_Country="All",D2393=sel_Country),OR(sel_Channel="All",E2393=sel_Channel),OR(sel_Customer="All",F2393=sel_Customer),OR(sel_Category="All",G2393=sel_Category),OR(sel_Product="All",H2393=sel_Product),AND(S2393&gt;=m_From,S2393&lt;=m_To)),1,0)</f>
        <v/>
      </c>
      <c r="V2393" s="36">
        <f>IF(AND(OR(sel_Region="All",C2393=sel_Region),OR(sel_Channel="All",E2393=sel_Channel),OR(sel_Customer="All",F2393=sel_Customer),OR(sel_Category="All",G2393=sel_Category),OR(sel_Product="All",H2393=sel_Product),AND(S2393&gt;=m_From,S2393&lt;=m_To)),1,0)</f>
        <v/>
      </c>
      <c r="W2393" s="36">
        <f>IF(AND(OR(sel_Region="All",C2393=sel_Region),OR(sel_Country="All",D2393=sel_Country),OR(sel_Customer="All",F2393=sel_Customer),OR(sel_Category="All",G2393=sel_Category),OR(sel_Product="All",H2393=sel_Product),AND(S2393&gt;=m_From,S2393&lt;=m_To)),1,0)</f>
        <v/>
      </c>
      <c r="X2393" s="36">
        <f>IF(AND(OR(sel_Region="All",C2393=sel_Region),OR(sel_Country="All",D2393=sel_Country),OR(sel_Channel="All",E2393=sel_Channel),OR(sel_Category="All",G2393=sel_Category),OR(sel_Product="All",H2393=sel_Product),AND(S2393&gt;=m_From,S2393&lt;=m_To)),1,0)</f>
        <v/>
      </c>
      <c r="Y2393" s="36">
        <f>IF(AND(OR(sel_Region="All",C2393=sel_Region),OR(sel_Country="All",D2393=sel_Country),OR(sel_Channel="All",E2393=sel_Channel),OR(sel_Customer="All",F2393=sel_Customer),OR(sel_Product="All",H2393=sel_Product),AND(S2393&gt;=m_From,S2393&lt;=m_To)),1,0)</f>
        <v/>
      </c>
      <c r="Z2393" s="36">
        <f>IF(AND(OR(sel_Region="All",C2393=sel_Region),OR(sel_Country="All",D2393=sel_Country),OR(sel_Channel="All",E2393=sel_Channel),OR(sel_Customer="All",F2393=sel_Customer),OR(sel_Category="All",G2393=sel_Category),AND(S2393&gt;=m_From,S2393&lt;=m_To)),1,0)</f>
        <v/>
      </c>
      <c r="AA2393" s="36">
        <f>IF(AND(OR(sel_Region="All",C2393=sel_Region),OR(sel_Country="All",D2393=sel_Country),OR(sel_Channel="All",E2393=sel_Channel),OR(sel_Customer="All",F2393=sel_Customer),OR(sel_Category="All",G2393=sel_Category),OR(sel_Product="All",H2393=sel_Product)),1,0)</f>
        <v/>
      </c>
    </row>
    <row r="2394">
      <c r="A2394" s="36" t="inlineStr">
        <is>
          <t>01205</t>
        </is>
      </c>
      <c r="B2394" s="44" t="n">
        <v>46344</v>
      </c>
      <c r="C2394" s="36" t="inlineStr">
        <is>
          <t>Western Europe</t>
        </is>
      </c>
      <c r="D2394" s="36" t="inlineStr">
        <is>
          <t>France</t>
        </is>
      </c>
      <c r="E2394" s="36" t="inlineStr">
        <is>
          <t>Online Store</t>
        </is>
      </c>
      <c r="F2394" s="36" t="inlineStr">
        <is>
          <t>Returning</t>
        </is>
      </c>
      <c r="G2394" s="36" t="inlineStr">
        <is>
          <t>Cycling</t>
        </is>
      </c>
      <c r="H2394" s="36" t="inlineStr">
        <is>
          <t>Cycling Pack 12L</t>
        </is>
      </c>
      <c r="I2394" s="36" t="n">
        <v>2</v>
      </c>
      <c r="J2394" s="39" t="n">
        <v>100.72</v>
      </c>
      <c r="K2394" s="45" t="n">
        <v>0.1</v>
      </c>
      <c r="L2394" s="39" t="n">
        <v>51.68</v>
      </c>
      <c r="M2394" s="39">
        <f>I2394*J2394*(1-K2394)</f>
        <v/>
      </c>
      <c r="N2394" s="39">
        <f>I2394*L2394</f>
        <v/>
      </c>
      <c r="O2394" s="39">
        <f>M2394-N2394</f>
        <v/>
      </c>
      <c r="P2394" s="38">
        <f>IF(M2394=0,0,O2394/M2394)</f>
        <v/>
      </c>
      <c r="Q2394" s="36">
        <f>YEAR(B2394)</f>
        <v/>
      </c>
      <c r="R2394" s="36">
        <f>"Q"&amp;ROUNDUP(MONTH(B2394)/3,0)</f>
        <v/>
      </c>
      <c r="S2394" s="36">
        <f>MONTH(B2394)</f>
        <v/>
      </c>
      <c r="T2394" s="36">
        <f>TEXT(B2394,"mmm")</f>
        <v/>
      </c>
      <c r="U2394" s="36">
        <f>IF(AND(OR(sel_Region="All",C2394=sel_Region),OR(sel_Country="All",D2394=sel_Country),OR(sel_Channel="All",E2394=sel_Channel),OR(sel_Customer="All",F2394=sel_Customer),OR(sel_Category="All",G2394=sel_Category),OR(sel_Product="All",H2394=sel_Product),AND(S2394&gt;=m_From,S2394&lt;=m_To)),1,0)</f>
        <v/>
      </c>
      <c r="V2394" s="36">
        <f>IF(AND(OR(sel_Region="All",C2394=sel_Region),OR(sel_Channel="All",E2394=sel_Channel),OR(sel_Customer="All",F2394=sel_Customer),OR(sel_Category="All",G2394=sel_Category),OR(sel_Product="All",H2394=sel_Product),AND(S2394&gt;=m_From,S2394&lt;=m_To)),1,0)</f>
        <v/>
      </c>
      <c r="W2394" s="36">
        <f>IF(AND(OR(sel_Region="All",C2394=sel_Region),OR(sel_Country="All",D2394=sel_Country),OR(sel_Customer="All",F2394=sel_Customer),OR(sel_Category="All",G2394=sel_Category),OR(sel_Product="All",H2394=sel_Product),AND(S2394&gt;=m_From,S2394&lt;=m_To)),1,0)</f>
        <v/>
      </c>
      <c r="X2394" s="36">
        <f>IF(AND(OR(sel_Region="All",C2394=sel_Region),OR(sel_Country="All",D2394=sel_Country),OR(sel_Channel="All",E2394=sel_Channel),OR(sel_Category="All",G2394=sel_Category),OR(sel_Product="All",H2394=sel_Product),AND(S2394&gt;=m_From,S2394&lt;=m_To)),1,0)</f>
        <v/>
      </c>
      <c r="Y2394" s="36">
        <f>IF(AND(OR(sel_Region="All",C2394=sel_Region),OR(sel_Country="All",D2394=sel_Country),OR(sel_Channel="All",E2394=sel_Channel),OR(sel_Customer="All",F2394=sel_Customer),OR(sel_Product="All",H2394=sel_Product),AND(S2394&gt;=m_From,S2394&lt;=m_To)),1,0)</f>
        <v/>
      </c>
      <c r="Z2394" s="36">
        <f>IF(AND(OR(sel_Region="All",C2394=sel_Region),OR(sel_Country="All",D2394=sel_Country),OR(sel_Channel="All",E2394=sel_Channel),OR(sel_Customer="All",F2394=sel_Customer),OR(sel_Category="All",G2394=sel_Category),AND(S2394&gt;=m_From,S2394&lt;=m_To)),1,0)</f>
        <v/>
      </c>
      <c r="AA2394" s="36">
        <f>IF(AND(OR(sel_Region="All",C2394=sel_Region),OR(sel_Country="All",D2394=sel_Country),OR(sel_Channel="All",E2394=sel_Channel),OR(sel_Customer="All",F2394=sel_Customer),OR(sel_Category="All",G2394=sel_Category),OR(sel_Product="All",H2394=sel_Product)),1,0)</f>
        <v/>
      </c>
    </row>
    <row r="2395">
      <c r="A2395" s="36" t="inlineStr">
        <is>
          <t>01979</t>
        </is>
      </c>
      <c r="B2395" s="44" t="n">
        <v>46344</v>
      </c>
      <c r="C2395" s="36" t="inlineStr">
        <is>
          <t>Central Europe</t>
        </is>
      </c>
      <c r="D2395" s="36" t="inlineStr">
        <is>
          <t>Switzerland</t>
        </is>
      </c>
      <c r="E2395" s="36" t="inlineStr">
        <is>
          <t>Retail Partners</t>
        </is>
      </c>
      <c r="F2395" s="36" t="inlineStr">
        <is>
          <t>Returning</t>
        </is>
      </c>
      <c r="G2395" s="36" t="inlineStr">
        <is>
          <t>Camping</t>
        </is>
      </c>
      <c r="H2395" s="36" t="inlineStr">
        <is>
          <t>Compact Sleeping Bag</t>
        </is>
      </c>
      <c r="I2395" s="36" t="n">
        <v>3</v>
      </c>
      <c r="J2395" s="39" t="n">
        <v>120.29</v>
      </c>
      <c r="K2395" s="45" t="n">
        <v>0</v>
      </c>
      <c r="L2395" s="39" t="n">
        <v>62.04</v>
      </c>
      <c r="M2395" s="39">
        <f>I2395*J2395*(1-K2395)</f>
        <v/>
      </c>
      <c r="N2395" s="39">
        <f>I2395*L2395</f>
        <v/>
      </c>
      <c r="O2395" s="39">
        <f>M2395-N2395</f>
        <v/>
      </c>
      <c r="P2395" s="38">
        <f>IF(M2395=0,0,O2395/M2395)</f>
        <v/>
      </c>
      <c r="Q2395" s="36">
        <f>YEAR(B2395)</f>
        <v/>
      </c>
      <c r="R2395" s="36">
        <f>"Q"&amp;ROUNDUP(MONTH(B2395)/3,0)</f>
        <v/>
      </c>
      <c r="S2395" s="36">
        <f>MONTH(B2395)</f>
        <v/>
      </c>
      <c r="T2395" s="36">
        <f>TEXT(B2395,"mmm")</f>
        <v/>
      </c>
      <c r="U2395" s="36">
        <f>IF(AND(OR(sel_Region="All",C2395=sel_Region),OR(sel_Country="All",D2395=sel_Country),OR(sel_Channel="All",E2395=sel_Channel),OR(sel_Customer="All",F2395=sel_Customer),OR(sel_Category="All",G2395=sel_Category),OR(sel_Product="All",H2395=sel_Product),AND(S2395&gt;=m_From,S2395&lt;=m_To)),1,0)</f>
        <v/>
      </c>
      <c r="V2395" s="36">
        <f>IF(AND(OR(sel_Region="All",C2395=sel_Region),OR(sel_Channel="All",E2395=sel_Channel),OR(sel_Customer="All",F2395=sel_Customer),OR(sel_Category="All",G2395=sel_Category),OR(sel_Product="All",H2395=sel_Product),AND(S2395&gt;=m_From,S2395&lt;=m_To)),1,0)</f>
        <v/>
      </c>
      <c r="W2395" s="36">
        <f>IF(AND(OR(sel_Region="All",C2395=sel_Region),OR(sel_Country="All",D2395=sel_Country),OR(sel_Customer="All",F2395=sel_Customer),OR(sel_Category="All",G2395=sel_Category),OR(sel_Product="All",H2395=sel_Product),AND(S2395&gt;=m_From,S2395&lt;=m_To)),1,0)</f>
        <v/>
      </c>
      <c r="X2395" s="36">
        <f>IF(AND(OR(sel_Region="All",C2395=sel_Region),OR(sel_Country="All",D2395=sel_Country),OR(sel_Channel="All",E2395=sel_Channel),OR(sel_Category="All",G2395=sel_Category),OR(sel_Product="All",H2395=sel_Product),AND(S2395&gt;=m_From,S2395&lt;=m_To)),1,0)</f>
        <v/>
      </c>
      <c r="Y2395" s="36">
        <f>IF(AND(OR(sel_Region="All",C2395=sel_Region),OR(sel_Country="All",D2395=sel_Country),OR(sel_Channel="All",E2395=sel_Channel),OR(sel_Customer="All",F2395=sel_Customer),OR(sel_Product="All",H2395=sel_Product),AND(S2395&gt;=m_From,S2395&lt;=m_To)),1,0)</f>
        <v/>
      </c>
      <c r="Z2395" s="36">
        <f>IF(AND(OR(sel_Region="All",C2395=sel_Region),OR(sel_Country="All",D2395=sel_Country),OR(sel_Channel="All",E2395=sel_Channel),OR(sel_Customer="All",F2395=sel_Customer),OR(sel_Category="All",G2395=sel_Category),AND(S2395&gt;=m_From,S2395&lt;=m_To)),1,0)</f>
        <v/>
      </c>
      <c r="AA2395" s="36">
        <f>IF(AND(OR(sel_Region="All",C2395=sel_Region),OR(sel_Country="All",D2395=sel_Country),OR(sel_Channel="All",E2395=sel_Channel),OR(sel_Customer="All",F2395=sel_Customer),OR(sel_Category="All",G2395=sel_Category),OR(sel_Product="All",H2395=sel_Product)),1,0)</f>
        <v/>
      </c>
    </row>
    <row r="2396">
      <c r="A2396" s="36" t="inlineStr">
        <is>
          <t>02151</t>
        </is>
      </c>
      <c r="B2396" s="44" t="n">
        <v>46344</v>
      </c>
      <c r="C2396" s="36" t="inlineStr">
        <is>
          <t>Central Europe</t>
        </is>
      </c>
      <c r="D2396" s="36" t="inlineStr">
        <is>
          <t>Czechia</t>
        </is>
      </c>
      <c r="E2396" s="36" t="inlineStr">
        <is>
          <t>Online Store</t>
        </is>
      </c>
      <c r="F2396" s="36" t="inlineStr">
        <is>
          <t>New</t>
        </is>
      </c>
      <c r="G2396" s="36" t="inlineStr">
        <is>
          <t>Camping</t>
        </is>
      </c>
      <c r="H2396" s="36" t="inlineStr">
        <is>
          <t>Compact Sleeping Bag</t>
        </is>
      </c>
      <c r="I2396" s="36" t="n">
        <v>2</v>
      </c>
      <c r="J2396" s="39" t="n">
        <v>124.18</v>
      </c>
      <c r="K2396" s="45" t="n">
        <v>0.15</v>
      </c>
      <c r="L2396" s="39" t="n">
        <v>60.72</v>
      </c>
      <c r="M2396" s="39">
        <f>I2396*J2396*(1-K2396)</f>
        <v/>
      </c>
      <c r="N2396" s="39">
        <f>I2396*L2396</f>
        <v/>
      </c>
      <c r="O2396" s="39">
        <f>M2396-N2396</f>
        <v/>
      </c>
      <c r="P2396" s="38">
        <f>IF(M2396=0,0,O2396/M2396)</f>
        <v/>
      </c>
      <c r="Q2396" s="36">
        <f>YEAR(B2396)</f>
        <v/>
      </c>
      <c r="R2396" s="36">
        <f>"Q"&amp;ROUNDUP(MONTH(B2396)/3,0)</f>
        <v/>
      </c>
      <c r="S2396" s="36">
        <f>MONTH(B2396)</f>
        <v/>
      </c>
      <c r="T2396" s="36">
        <f>TEXT(B2396,"mmm")</f>
        <v/>
      </c>
      <c r="U2396" s="36">
        <f>IF(AND(OR(sel_Region="All",C2396=sel_Region),OR(sel_Country="All",D2396=sel_Country),OR(sel_Channel="All",E2396=sel_Channel),OR(sel_Customer="All",F2396=sel_Customer),OR(sel_Category="All",G2396=sel_Category),OR(sel_Product="All",H2396=sel_Product),AND(S2396&gt;=m_From,S2396&lt;=m_To)),1,0)</f>
        <v/>
      </c>
      <c r="V2396" s="36">
        <f>IF(AND(OR(sel_Region="All",C2396=sel_Region),OR(sel_Channel="All",E2396=sel_Channel),OR(sel_Customer="All",F2396=sel_Customer),OR(sel_Category="All",G2396=sel_Category),OR(sel_Product="All",H2396=sel_Product),AND(S2396&gt;=m_From,S2396&lt;=m_To)),1,0)</f>
        <v/>
      </c>
      <c r="W2396" s="36">
        <f>IF(AND(OR(sel_Region="All",C2396=sel_Region),OR(sel_Country="All",D2396=sel_Country),OR(sel_Customer="All",F2396=sel_Customer),OR(sel_Category="All",G2396=sel_Category),OR(sel_Product="All",H2396=sel_Product),AND(S2396&gt;=m_From,S2396&lt;=m_To)),1,0)</f>
        <v/>
      </c>
      <c r="X2396" s="36">
        <f>IF(AND(OR(sel_Region="All",C2396=sel_Region),OR(sel_Country="All",D2396=sel_Country),OR(sel_Channel="All",E2396=sel_Channel),OR(sel_Category="All",G2396=sel_Category),OR(sel_Product="All",H2396=sel_Product),AND(S2396&gt;=m_From,S2396&lt;=m_To)),1,0)</f>
        <v/>
      </c>
      <c r="Y2396" s="36">
        <f>IF(AND(OR(sel_Region="All",C2396=sel_Region),OR(sel_Country="All",D2396=sel_Country),OR(sel_Channel="All",E2396=sel_Channel),OR(sel_Customer="All",F2396=sel_Customer),OR(sel_Product="All",H2396=sel_Product),AND(S2396&gt;=m_From,S2396&lt;=m_To)),1,0)</f>
        <v/>
      </c>
      <c r="Z2396" s="36">
        <f>IF(AND(OR(sel_Region="All",C2396=sel_Region),OR(sel_Country="All",D2396=sel_Country),OR(sel_Channel="All",E2396=sel_Channel),OR(sel_Customer="All",F2396=sel_Customer),OR(sel_Category="All",G2396=sel_Category),AND(S2396&gt;=m_From,S2396&lt;=m_To)),1,0)</f>
        <v/>
      </c>
      <c r="AA2396" s="36">
        <f>IF(AND(OR(sel_Region="All",C2396=sel_Region),OR(sel_Country="All",D2396=sel_Country),OR(sel_Channel="All",E2396=sel_Channel),OR(sel_Customer="All",F2396=sel_Customer),OR(sel_Category="All",G2396=sel_Category),OR(sel_Product="All",H2396=sel_Product)),1,0)</f>
        <v/>
      </c>
    </row>
    <row r="2397">
      <c r="A2397" s="36" t="inlineStr">
        <is>
          <t>02730</t>
        </is>
      </c>
      <c r="B2397" s="44" t="n">
        <v>46344</v>
      </c>
      <c r="C2397" s="36" t="inlineStr">
        <is>
          <t>Southern Europe</t>
        </is>
      </c>
      <c r="D2397" s="36" t="inlineStr">
        <is>
          <t>Spain</t>
        </is>
      </c>
      <c r="E2397" s="36" t="inlineStr">
        <is>
          <t>Online Store</t>
        </is>
      </c>
      <c r="F2397" s="36" t="inlineStr">
        <is>
          <t>Returning</t>
        </is>
      </c>
      <c r="G2397" s="36" t="inlineStr">
        <is>
          <t>Hiking</t>
        </is>
      </c>
      <c r="H2397" s="36" t="inlineStr">
        <is>
          <t>Summit Backpack 45L</t>
        </is>
      </c>
      <c r="I2397" s="36" t="n">
        <v>3</v>
      </c>
      <c r="J2397" s="39" t="n">
        <v>154.07</v>
      </c>
      <c r="K2397" s="45" t="n">
        <v>0.05</v>
      </c>
      <c r="L2397" s="39" t="n">
        <v>77.73</v>
      </c>
      <c r="M2397" s="39">
        <f>I2397*J2397*(1-K2397)</f>
        <v/>
      </c>
      <c r="N2397" s="39">
        <f>I2397*L2397</f>
        <v/>
      </c>
      <c r="O2397" s="39">
        <f>M2397-N2397</f>
        <v/>
      </c>
      <c r="P2397" s="38">
        <f>IF(M2397=0,0,O2397/M2397)</f>
        <v/>
      </c>
      <c r="Q2397" s="36">
        <f>YEAR(B2397)</f>
        <v/>
      </c>
      <c r="R2397" s="36">
        <f>"Q"&amp;ROUNDUP(MONTH(B2397)/3,0)</f>
        <v/>
      </c>
      <c r="S2397" s="36">
        <f>MONTH(B2397)</f>
        <v/>
      </c>
      <c r="T2397" s="36">
        <f>TEXT(B2397,"mmm")</f>
        <v/>
      </c>
      <c r="U2397" s="36">
        <f>IF(AND(OR(sel_Region="All",C2397=sel_Region),OR(sel_Country="All",D2397=sel_Country),OR(sel_Channel="All",E2397=sel_Channel),OR(sel_Customer="All",F2397=sel_Customer),OR(sel_Category="All",G2397=sel_Category),OR(sel_Product="All",H2397=sel_Product),AND(S2397&gt;=m_From,S2397&lt;=m_To)),1,0)</f>
        <v/>
      </c>
      <c r="V2397" s="36">
        <f>IF(AND(OR(sel_Region="All",C2397=sel_Region),OR(sel_Channel="All",E2397=sel_Channel),OR(sel_Customer="All",F2397=sel_Customer),OR(sel_Category="All",G2397=sel_Category),OR(sel_Product="All",H2397=sel_Product),AND(S2397&gt;=m_From,S2397&lt;=m_To)),1,0)</f>
        <v/>
      </c>
      <c r="W2397" s="36">
        <f>IF(AND(OR(sel_Region="All",C2397=sel_Region),OR(sel_Country="All",D2397=sel_Country),OR(sel_Customer="All",F2397=sel_Customer),OR(sel_Category="All",G2397=sel_Category),OR(sel_Product="All",H2397=sel_Product),AND(S2397&gt;=m_From,S2397&lt;=m_To)),1,0)</f>
        <v/>
      </c>
      <c r="X2397" s="36">
        <f>IF(AND(OR(sel_Region="All",C2397=sel_Region),OR(sel_Country="All",D2397=sel_Country),OR(sel_Channel="All",E2397=sel_Channel),OR(sel_Category="All",G2397=sel_Category),OR(sel_Product="All",H2397=sel_Product),AND(S2397&gt;=m_From,S2397&lt;=m_To)),1,0)</f>
        <v/>
      </c>
      <c r="Y2397" s="36">
        <f>IF(AND(OR(sel_Region="All",C2397=sel_Region),OR(sel_Country="All",D2397=sel_Country),OR(sel_Channel="All",E2397=sel_Channel),OR(sel_Customer="All",F2397=sel_Customer),OR(sel_Product="All",H2397=sel_Product),AND(S2397&gt;=m_From,S2397&lt;=m_To)),1,0)</f>
        <v/>
      </c>
      <c r="Z2397" s="36">
        <f>IF(AND(OR(sel_Region="All",C2397=sel_Region),OR(sel_Country="All",D2397=sel_Country),OR(sel_Channel="All",E2397=sel_Channel),OR(sel_Customer="All",F2397=sel_Customer),OR(sel_Category="All",G2397=sel_Category),AND(S2397&gt;=m_From,S2397&lt;=m_To)),1,0)</f>
        <v/>
      </c>
      <c r="AA2397" s="36">
        <f>IF(AND(OR(sel_Region="All",C2397=sel_Region),OR(sel_Country="All",D2397=sel_Country),OR(sel_Channel="All",E2397=sel_Channel),OR(sel_Customer="All",F2397=sel_Customer),OR(sel_Category="All",G2397=sel_Category),OR(sel_Product="All",H2397=sel_Product)),1,0)</f>
        <v/>
      </c>
    </row>
    <row r="2398">
      <c r="A2398" s="36" t="inlineStr">
        <is>
          <t>02779</t>
        </is>
      </c>
      <c r="B2398" s="44" t="n">
        <v>46344</v>
      </c>
      <c r="C2398" s="36" t="inlineStr">
        <is>
          <t>Southern Europe</t>
        </is>
      </c>
      <c r="D2398" s="36" t="inlineStr">
        <is>
          <t>Italy</t>
        </is>
      </c>
      <c r="E2398" s="36" t="inlineStr">
        <is>
          <t>Corporate</t>
        </is>
      </c>
      <c r="F2398" s="36" t="inlineStr">
        <is>
          <t>Business</t>
        </is>
      </c>
      <c r="G2398" s="36" t="inlineStr">
        <is>
          <t>Fitness</t>
        </is>
      </c>
      <c r="H2398" s="36" t="inlineStr">
        <is>
          <t>Weighted Vest</t>
        </is>
      </c>
      <c r="I2398" s="36" t="n">
        <v>4</v>
      </c>
      <c r="J2398" s="39" t="n">
        <v>123.4</v>
      </c>
      <c r="K2398" s="45" t="n">
        <v>0.05</v>
      </c>
      <c r="L2398" s="39" t="n">
        <v>70.93000000000001</v>
      </c>
      <c r="M2398" s="39">
        <f>I2398*J2398*(1-K2398)</f>
        <v/>
      </c>
      <c r="N2398" s="39">
        <f>I2398*L2398</f>
        <v/>
      </c>
      <c r="O2398" s="39">
        <f>M2398-N2398</f>
        <v/>
      </c>
      <c r="P2398" s="38">
        <f>IF(M2398=0,0,O2398/M2398)</f>
        <v/>
      </c>
      <c r="Q2398" s="36">
        <f>YEAR(B2398)</f>
        <v/>
      </c>
      <c r="R2398" s="36">
        <f>"Q"&amp;ROUNDUP(MONTH(B2398)/3,0)</f>
        <v/>
      </c>
      <c r="S2398" s="36">
        <f>MONTH(B2398)</f>
        <v/>
      </c>
      <c r="T2398" s="36">
        <f>TEXT(B2398,"mmm")</f>
        <v/>
      </c>
      <c r="U2398" s="36">
        <f>IF(AND(OR(sel_Region="All",C2398=sel_Region),OR(sel_Country="All",D2398=sel_Country),OR(sel_Channel="All",E2398=sel_Channel),OR(sel_Customer="All",F2398=sel_Customer),OR(sel_Category="All",G2398=sel_Category),OR(sel_Product="All",H2398=sel_Product),AND(S2398&gt;=m_From,S2398&lt;=m_To)),1,0)</f>
        <v/>
      </c>
      <c r="V2398" s="36">
        <f>IF(AND(OR(sel_Region="All",C2398=sel_Region),OR(sel_Channel="All",E2398=sel_Channel),OR(sel_Customer="All",F2398=sel_Customer),OR(sel_Category="All",G2398=sel_Category),OR(sel_Product="All",H2398=sel_Product),AND(S2398&gt;=m_From,S2398&lt;=m_To)),1,0)</f>
        <v/>
      </c>
      <c r="W2398" s="36">
        <f>IF(AND(OR(sel_Region="All",C2398=sel_Region),OR(sel_Country="All",D2398=sel_Country),OR(sel_Customer="All",F2398=sel_Customer),OR(sel_Category="All",G2398=sel_Category),OR(sel_Product="All",H2398=sel_Product),AND(S2398&gt;=m_From,S2398&lt;=m_To)),1,0)</f>
        <v/>
      </c>
      <c r="X2398" s="36">
        <f>IF(AND(OR(sel_Region="All",C2398=sel_Region),OR(sel_Country="All",D2398=sel_Country),OR(sel_Channel="All",E2398=sel_Channel),OR(sel_Category="All",G2398=sel_Category),OR(sel_Product="All",H2398=sel_Product),AND(S2398&gt;=m_From,S2398&lt;=m_To)),1,0)</f>
        <v/>
      </c>
      <c r="Y2398" s="36">
        <f>IF(AND(OR(sel_Region="All",C2398=sel_Region),OR(sel_Country="All",D2398=sel_Country),OR(sel_Channel="All",E2398=sel_Channel),OR(sel_Customer="All",F2398=sel_Customer),OR(sel_Product="All",H2398=sel_Product),AND(S2398&gt;=m_From,S2398&lt;=m_To)),1,0)</f>
        <v/>
      </c>
      <c r="Z2398" s="36">
        <f>IF(AND(OR(sel_Region="All",C2398=sel_Region),OR(sel_Country="All",D2398=sel_Country),OR(sel_Channel="All",E2398=sel_Channel),OR(sel_Customer="All",F2398=sel_Customer),OR(sel_Category="All",G2398=sel_Category),AND(S2398&gt;=m_From,S2398&lt;=m_To)),1,0)</f>
        <v/>
      </c>
      <c r="AA2398" s="36">
        <f>IF(AND(OR(sel_Region="All",C2398=sel_Region),OR(sel_Country="All",D2398=sel_Country),OR(sel_Channel="All",E2398=sel_Channel),OR(sel_Customer="All",F2398=sel_Customer),OR(sel_Category="All",G2398=sel_Category),OR(sel_Product="All",H2398=sel_Product)),1,0)</f>
        <v/>
      </c>
    </row>
    <row r="2399">
      <c r="A2399" s="36" t="inlineStr">
        <is>
          <t>02853</t>
        </is>
      </c>
      <c r="B2399" s="44" t="n">
        <v>46344</v>
      </c>
      <c r="C2399" s="36" t="inlineStr">
        <is>
          <t>Northern Europe</t>
        </is>
      </c>
      <c r="D2399" s="36" t="inlineStr">
        <is>
          <t>Ireland</t>
        </is>
      </c>
      <c r="E2399" s="36" t="inlineStr">
        <is>
          <t>Online Store</t>
        </is>
      </c>
      <c r="F2399" s="36" t="inlineStr">
        <is>
          <t>New</t>
        </is>
      </c>
      <c r="G2399" s="36" t="inlineStr">
        <is>
          <t>Cycling</t>
        </is>
      </c>
      <c r="H2399" s="36" t="inlineStr">
        <is>
          <t>Cycling Pack 12L</t>
        </is>
      </c>
      <c r="I2399" s="36" t="n">
        <v>1</v>
      </c>
      <c r="J2399" s="39" t="n">
        <v>104.64</v>
      </c>
      <c r="K2399" s="45" t="n">
        <v>0</v>
      </c>
      <c r="L2399" s="39" t="n">
        <v>50.79</v>
      </c>
      <c r="M2399" s="39">
        <f>I2399*J2399*(1-K2399)</f>
        <v/>
      </c>
      <c r="N2399" s="39">
        <f>I2399*L2399</f>
        <v/>
      </c>
      <c r="O2399" s="39">
        <f>M2399-N2399</f>
        <v/>
      </c>
      <c r="P2399" s="38">
        <f>IF(M2399=0,0,O2399/M2399)</f>
        <v/>
      </c>
      <c r="Q2399" s="36">
        <f>YEAR(B2399)</f>
        <v/>
      </c>
      <c r="R2399" s="36">
        <f>"Q"&amp;ROUNDUP(MONTH(B2399)/3,0)</f>
        <v/>
      </c>
      <c r="S2399" s="36">
        <f>MONTH(B2399)</f>
        <v/>
      </c>
      <c r="T2399" s="36">
        <f>TEXT(B2399,"mmm")</f>
        <v/>
      </c>
      <c r="U2399" s="36">
        <f>IF(AND(OR(sel_Region="All",C2399=sel_Region),OR(sel_Country="All",D2399=sel_Country),OR(sel_Channel="All",E2399=sel_Channel),OR(sel_Customer="All",F2399=sel_Customer),OR(sel_Category="All",G2399=sel_Category),OR(sel_Product="All",H2399=sel_Product),AND(S2399&gt;=m_From,S2399&lt;=m_To)),1,0)</f>
        <v/>
      </c>
      <c r="V2399" s="36">
        <f>IF(AND(OR(sel_Region="All",C2399=sel_Region),OR(sel_Channel="All",E2399=sel_Channel),OR(sel_Customer="All",F2399=sel_Customer),OR(sel_Category="All",G2399=sel_Category),OR(sel_Product="All",H2399=sel_Product),AND(S2399&gt;=m_From,S2399&lt;=m_To)),1,0)</f>
        <v/>
      </c>
      <c r="W2399" s="36">
        <f>IF(AND(OR(sel_Region="All",C2399=sel_Region),OR(sel_Country="All",D2399=sel_Country),OR(sel_Customer="All",F2399=sel_Customer),OR(sel_Category="All",G2399=sel_Category),OR(sel_Product="All",H2399=sel_Product),AND(S2399&gt;=m_From,S2399&lt;=m_To)),1,0)</f>
        <v/>
      </c>
      <c r="X2399" s="36">
        <f>IF(AND(OR(sel_Region="All",C2399=sel_Region),OR(sel_Country="All",D2399=sel_Country),OR(sel_Channel="All",E2399=sel_Channel),OR(sel_Category="All",G2399=sel_Category),OR(sel_Product="All",H2399=sel_Product),AND(S2399&gt;=m_From,S2399&lt;=m_To)),1,0)</f>
        <v/>
      </c>
      <c r="Y2399" s="36">
        <f>IF(AND(OR(sel_Region="All",C2399=sel_Region),OR(sel_Country="All",D2399=sel_Country),OR(sel_Channel="All",E2399=sel_Channel),OR(sel_Customer="All",F2399=sel_Customer),OR(sel_Product="All",H2399=sel_Product),AND(S2399&gt;=m_From,S2399&lt;=m_To)),1,0)</f>
        <v/>
      </c>
      <c r="Z2399" s="36">
        <f>IF(AND(OR(sel_Region="All",C2399=sel_Region),OR(sel_Country="All",D2399=sel_Country),OR(sel_Channel="All",E2399=sel_Channel),OR(sel_Customer="All",F2399=sel_Customer),OR(sel_Category="All",G2399=sel_Category),AND(S2399&gt;=m_From,S2399&lt;=m_To)),1,0)</f>
        <v/>
      </c>
      <c r="AA2399" s="36">
        <f>IF(AND(OR(sel_Region="All",C2399=sel_Region),OR(sel_Country="All",D2399=sel_Country),OR(sel_Channel="All",E2399=sel_Channel),OR(sel_Customer="All",F2399=sel_Customer),OR(sel_Category="All",G2399=sel_Category),OR(sel_Product="All",H2399=sel_Product)),1,0)</f>
        <v/>
      </c>
    </row>
    <row r="2400">
      <c r="A2400" s="36" t="inlineStr">
        <is>
          <t>03825</t>
        </is>
      </c>
      <c r="B2400" s="44" t="n">
        <v>46344</v>
      </c>
      <c r="C2400" s="36" t="inlineStr">
        <is>
          <t>Western Europe</t>
        </is>
      </c>
      <c r="D2400" s="36" t="inlineStr">
        <is>
          <t>United Kingdom</t>
        </is>
      </c>
      <c r="E2400" s="36" t="inlineStr">
        <is>
          <t>Online Store</t>
        </is>
      </c>
      <c r="F2400" s="36" t="inlineStr">
        <is>
          <t>New</t>
        </is>
      </c>
      <c r="G2400" s="36" t="inlineStr">
        <is>
          <t>Travel</t>
        </is>
      </c>
      <c r="H2400" s="36" t="inlineStr">
        <is>
          <t>Packing Cube Set</t>
        </is>
      </c>
      <c r="I2400" s="36" t="n">
        <v>2</v>
      </c>
      <c r="J2400" s="39" t="n">
        <v>46.44</v>
      </c>
      <c r="K2400" s="45" t="n">
        <v>0.1</v>
      </c>
      <c r="L2400" s="39" t="n">
        <v>18.19</v>
      </c>
      <c r="M2400" s="39">
        <f>I2400*J2400*(1-K2400)</f>
        <v/>
      </c>
      <c r="N2400" s="39">
        <f>I2400*L2400</f>
        <v/>
      </c>
      <c r="O2400" s="39">
        <f>M2400-N2400</f>
        <v/>
      </c>
      <c r="P2400" s="38">
        <f>IF(M2400=0,0,O2400/M2400)</f>
        <v/>
      </c>
      <c r="Q2400" s="36">
        <f>YEAR(B2400)</f>
        <v/>
      </c>
      <c r="R2400" s="36">
        <f>"Q"&amp;ROUNDUP(MONTH(B2400)/3,0)</f>
        <v/>
      </c>
      <c r="S2400" s="36">
        <f>MONTH(B2400)</f>
        <v/>
      </c>
      <c r="T2400" s="36">
        <f>TEXT(B2400,"mmm")</f>
        <v/>
      </c>
      <c r="U2400" s="36">
        <f>IF(AND(OR(sel_Region="All",C2400=sel_Region),OR(sel_Country="All",D2400=sel_Country),OR(sel_Channel="All",E2400=sel_Channel),OR(sel_Customer="All",F2400=sel_Customer),OR(sel_Category="All",G2400=sel_Category),OR(sel_Product="All",H2400=sel_Product),AND(S2400&gt;=m_From,S2400&lt;=m_To)),1,0)</f>
        <v/>
      </c>
      <c r="V2400" s="36">
        <f>IF(AND(OR(sel_Region="All",C2400=sel_Region),OR(sel_Channel="All",E2400=sel_Channel),OR(sel_Customer="All",F2400=sel_Customer),OR(sel_Category="All",G2400=sel_Category),OR(sel_Product="All",H2400=sel_Product),AND(S2400&gt;=m_From,S2400&lt;=m_To)),1,0)</f>
        <v/>
      </c>
      <c r="W2400" s="36">
        <f>IF(AND(OR(sel_Region="All",C2400=sel_Region),OR(sel_Country="All",D2400=sel_Country),OR(sel_Customer="All",F2400=sel_Customer),OR(sel_Category="All",G2400=sel_Category),OR(sel_Product="All",H2400=sel_Product),AND(S2400&gt;=m_From,S2400&lt;=m_To)),1,0)</f>
        <v/>
      </c>
      <c r="X2400" s="36">
        <f>IF(AND(OR(sel_Region="All",C2400=sel_Region),OR(sel_Country="All",D2400=sel_Country),OR(sel_Channel="All",E2400=sel_Channel),OR(sel_Category="All",G2400=sel_Category),OR(sel_Product="All",H2400=sel_Product),AND(S2400&gt;=m_From,S2400&lt;=m_To)),1,0)</f>
        <v/>
      </c>
      <c r="Y2400" s="36">
        <f>IF(AND(OR(sel_Region="All",C2400=sel_Region),OR(sel_Country="All",D2400=sel_Country),OR(sel_Channel="All",E2400=sel_Channel),OR(sel_Customer="All",F2400=sel_Customer),OR(sel_Product="All",H2400=sel_Product),AND(S2400&gt;=m_From,S2400&lt;=m_To)),1,0)</f>
        <v/>
      </c>
      <c r="Z2400" s="36">
        <f>IF(AND(OR(sel_Region="All",C2400=sel_Region),OR(sel_Country="All",D2400=sel_Country),OR(sel_Channel="All",E2400=sel_Channel),OR(sel_Customer="All",F2400=sel_Customer),OR(sel_Category="All",G2400=sel_Category),AND(S2400&gt;=m_From,S2400&lt;=m_To)),1,0)</f>
        <v/>
      </c>
      <c r="AA2400" s="36">
        <f>IF(AND(OR(sel_Region="All",C2400=sel_Region),OR(sel_Country="All",D2400=sel_Country),OR(sel_Channel="All",E2400=sel_Channel),OR(sel_Customer="All",F2400=sel_Customer),OR(sel_Category="All",G2400=sel_Category),OR(sel_Product="All",H2400=sel_Product)),1,0)</f>
        <v/>
      </c>
    </row>
    <row r="2401">
      <c r="A2401" s="36" t="inlineStr">
        <is>
          <t>04808</t>
        </is>
      </c>
      <c r="B2401" s="44" t="n">
        <v>46344</v>
      </c>
      <c r="C2401" s="36" t="inlineStr">
        <is>
          <t>Northern Europe</t>
        </is>
      </c>
      <c r="D2401" s="36" t="inlineStr">
        <is>
          <t>Norway</t>
        </is>
      </c>
      <c r="E2401" s="36" t="inlineStr">
        <is>
          <t>Online Store</t>
        </is>
      </c>
      <c r="F2401" s="36" t="inlineStr">
        <is>
          <t>New</t>
        </is>
      </c>
      <c r="G2401" s="36" t="inlineStr">
        <is>
          <t>Camping</t>
        </is>
      </c>
      <c r="H2401" s="36" t="inlineStr">
        <is>
          <t>Portable Camp Stove</t>
        </is>
      </c>
      <c r="I2401" s="36" t="n">
        <v>2</v>
      </c>
      <c r="J2401" s="39" t="n">
        <v>81.67</v>
      </c>
      <c r="K2401" s="45" t="n">
        <v>0.05</v>
      </c>
      <c r="L2401" s="39" t="n">
        <v>40.43</v>
      </c>
      <c r="M2401" s="39">
        <f>I2401*J2401*(1-K2401)</f>
        <v/>
      </c>
      <c r="N2401" s="39">
        <f>I2401*L2401</f>
        <v/>
      </c>
      <c r="O2401" s="39">
        <f>M2401-N2401</f>
        <v/>
      </c>
      <c r="P2401" s="38">
        <f>IF(M2401=0,0,O2401/M2401)</f>
        <v/>
      </c>
      <c r="Q2401" s="36">
        <f>YEAR(B2401)</f>
        <v/>
      </c>
      <c r="R2401" s="36">
        <f>"Q"&amp;ROUNDUP(MONTH(B2401)/3,0)</f>
        <v/>
      </c>
      <c r="S2401" s="36">
        <f>MONTH(B2401)</f>
        <v/>
      </c>
      <c r="T2401" s="36">
        <f>TEXT(B2401,"mmm")</f>
        <v/>
      </c>
      <c r="U2401" s="36">
        <f>IF(AND(OR(sel_Region="All",C2401=sel_Region),OR(sel_Country="All",D2401=sel_Country),OR(sel_Channel="All",E2401=sel_Channel),OR(sel_Customer="All",F2401=sel_Customer),OR(sel_Category="All",G2401=sel_Category),OR(sel_Product="All",H2401=sel_Product),AND(S2401&gt;=m_From,S2401&lt;=m_To)),1,0)</f>
        <v/>
      </c>
      <c r="V2401" s="36">
        <f>IF(AND(OR(sel_Region="All",C2401=sel_Region),OR(sel_Channel="All",E2401=sel_Channel),OR(sel_Customer="All",F2401=sel_Customer),OR(sel_Category="All",G2401=sel_Category),OR(sel_Product="All",H2401=sel_Product),AND(S2401&gt;=m_From,S2401&lt;=m_To)),1,0)</f>
        <v/>
      </c>
      <c r="W2401" s="36">
        <f>IF(AND(OR(sel_Region="All",C2401=sel_Region),OR(sel_Country="All",D2401=sel_Country),OR(sel_Customer="All",F2401=sel_Customer),OR(sel_Category="All",G2401=sel_Category),OR(sel_Product="All",H2401=sel_Product),AND(S2401&gt;=m_From,S2401&lt;=m_To)),1,0)</f>
        <v/>
      </c>
      <c r="X2401" s="36">
        <f>IF(AND(OR(sel_Region="All",C2401=sel_Region),OR(sel_Country="All",D2401=sel_Country),OR(sel_Channel="All",E2401=sel_Channel),OR(sel_Category="All",G2401=sel_Category),OR(sel_Product="All",H2401=sel_Product),AND(S2401&gt;=m_From,S2401&lt;=m_To)),1,0)</f>
        <v/>
      </c>
      <c r="Y2401" s="36">
        <f>IF(AND(OR(sel_Region="All",C2401=sel_Region),OR(sel_Country="All",D2401=sel_Country),OR(sel_Channel="All",E2401=sel_Channel),OR(sel_Customer="All",F2401=sel_Customer),OR(sel_Product="All",H2401=sel_Product),AND(S2401&gt;=m_From,S2401&lt;=m_To)),1,0)</f>
        <v/>
      </c>
      <c r="Z2401" s="36">
        <f>IF(AND(OR(sel_Region="All",C2401=sel_Region),OR(sel_Country="All",D2401=sel_Country),OR(sel_Channel="All",E2401=sel_Channel),OR(sel_Customer="All",F2401=sel_Customer),OR(sel_Category="All",G2401=sel_Category),AND(S2401&gt;=m_From,S2401&lt;=m_To)),1,0)</f>
        <v/>
      </c>
      <c r="AA2401" s="36">
        <f>IF(AND(OR(sel_Region="All",C2401=sel_Region),OR(sel_Country="All",D2401=sel_Country),OR(sel_Channel="All",E2401=sel_Channel),OR(sel_Customer="All",F2401=sel_Customer),OR(sel_Category="All",G2401=sel_Category),OR(sel_Product="All",H2401=sel_Product)),1,0)</f>
        <v/>
      </c>
    </row>
    <row r="2402">
      <c r="A2402" s="36" t="inlineStr">
        <is>
          <t>05131</t>
        </is>
      </c>
      <c r="B2402" s="44" t="n">
        <v>46344</v>
      </c>
      <c r="C2402" s="36" t="inlineStr">
        <is>
          <t>Western Europe</t>
        </is>
      </c>
      <c r="D2402" s="36" t="inlineStr">
        <is>
          <t>United Kingdom</t>
        </is>
      </c>
      <c r="E2402" s="36" t="inlineStr">
        <is>
          <t>Retail Partners</t>
        </is>
      </c>
      <c r="F2402" s="36" t="inlineStr">
        <is>
          <t>New</t>
        </is>
      </c>
      <c r="G2402" s="36" t="inlineStr">
        <is>
          <t>Hiking</t>
        </is>
      </c>
      <c r="H2402" s="36" t="inlineStr">
        <is>
          <t>Trekking Poles</t>
        </is>
      </c>
      <c r="I2402" s="36" t="n">
        <v>3</v>
      </c>
      <c r="J2402" s="39" t="n">
        <v>70.59999999999999</v>
      </c>
      <c r="K2402" s="45" t="n">
        <v>0.05</v>
      </c>
      <c r="L2402" s="39" t="n">
        <v>32.68</v>
      </c>
      <c r="M2402" s="39">
        <f>I2402*J2402*(1-K2402)</f>
        <v/>
      </c>
      <c r="N2402" s="39">
        <f>I2402*L2402</f>
        <v/>
      </c>
      <c r="O2402" s="39">
        <f>M2402-N2402</f>
        <v/>
      </c>
      <c r="P2402" s="38">
        <f>IF(M2402=0,0,O2402/M2402)</f>
        <v/>
      </c>
      <c r="Q2402" s="36">
        <f>YEAR(B2402)</f>
        <v/>
      </c>
      <c r="R2402" s="36">
        <f>"Q"&amp;ROUNDUP(MONTH(B2402)/3,0)</f>
        <v/>
      </c>
      <c r="S2402" s="36">
        <f>MONTH(B2402)</f>
        <v/>
      </c>
      <c r="T2402" s="36">
        <f>TEXT(B2402,"mmm")</f>
        <v/>
      </c>
      <c r="U2402" s="36">
        <f>IF(AND(OR(sel_Region="All",C2402=sel_Region),OR(sel_Country="All",D2402=sel_Country),OR(sel_Channel="All",E2402=sel_Channel),OR(sel_Customer="All",F2402=sel_Customer),OR(sel_Category="All",G2402=sel_Category),OR(sel_Product="All",H2402=sel_Product),AND(S2402&gt;=m_From,S2402&lt;=m_To)),1,0)</f>
        <v/>
      </c>
      <c r="V2402" s="36">
        <f>IF(AND(OR(sel_Region="All",C2402=sel_Region),OR(sel_Channel="All",E2402=sel_Channel),OR(sel_Customer="All",F2402=sel_Customer),OR(sel_Category="All",G2402=sel_Category),OR(sel_Product="All",H2402=sel_Product),AND(S2402&gt;=m_From,S2402&lt;=m_To)),1,0)</f>
        <v/>
      </c>
      <c r="W2402" s="36">
        <f>IF(AND(OR(sel_Region="All",C2402=sel_Region),OR(sel_Country="All",D2402=sel_Country),OR(sel_Customer="All",F2402=sel_Customer),OR(sel_Category="All",G2402=sel_Category),OR(sel_Product="All",H2402=sel_Product),AND(S2402&gt;=m_From,S2402&lt;=m_To)),1,0)</f>
        <v/>
      </c>
      <c r="X2402" s="36">
        <f>IF(AND(OR(sel_Region="All",C2402=sel_Region),OR(sel_Country="All",D2402=sel_Country),OR(sel_Channel="All",E2402=sel_Channel),OR(sel_Category="All",G2402=sel_Category),OR(sel_Product="All",H2402=sel_Product),AND(S2402&gt;=m_From,S2402&lt;=m_To)),1,0)</f>
        <v/>
      </c>
      <c r="Y2402" s="36">
        <f>IF(AND(OR(sel_Region="All",C2402=sel_Region),OR(sel_Country="All",D2402=sel_Country),OR(sel_Channel="All",E2402=sel_Channel),OR(sel_Customer="All",F2402=sel_Customer),OR(sel_Product="All",H2402=sel_Product),AND(S2402&gt;=m_From,S2402&lt;=m_To)),1,0)</f>
        <v/>
      </c>
      <c r="Z2402" s="36">
        <f>IF(AND(OR(sel_Region="All",C2402=sel_Region),OR(sel_Country="All",D2402=sel_Country),OR(sel_Channel="All",E2402=sel_Channel),OR(sel_Customer="All",F2402=sel_Customer),OR(sel_Category="All",G2402=sel_Category),AND(S2402&gt;=m_From,S2402&lt;=m_To)),1,0)</f>
        <v/>
      </c>
      <c r="AA2402" s="36">
        <f>IF(AND(OR(sel_Region="All",C2402=sel_Region),OR(sel_Country="All",D2402=sel_Country),OR(sel_Channel="All",E2402=sel_Channel),OR(sel_Customer="All",F2402=sel_Customer),OR(sel_Category="All",G2402=sel_Category),OR(sel_Product="All",H2402=sel_Product)),1,0)</f>
        <v/>
      </c>
    </row>
    <row r="2403">
      <c r="A2403" s="36" t="inlineStr">
        <is>
          <t>01502</t>
        </is>
      </c>
      <c r="B2403" s="44" t="n">
        <v>46345</v>
      </c>
      <c r="C2403" s="36" t="inlineStr">
        <is>
          <t>Western Europe</t>
        </is>
      </c>
      <c r="D2403" s="36" t="inlineStr">
        <is>
          <t>Netherlands</t>
        </is>
      </c>
      <c r="E2403" s="36" t="inlineStr">
        <is>
          <t>Marketplace</t>
        </is>
      </c>
      <c r="F2403" s="36" t="inlineStr">
        <is>
          <t>New</t>
        </is>
      </c>
      <c r="G2403" s="36" t="inlineStr">
        <is>
          <t>Fitness</t>
        </is>
      </c>
      <c r="H2403" s="36" t="inlineStr">
        <is>
          <t>Recovery Roller</t>
        </is>
      </c>
      <c r="I2403" s="36" t="n">
        <v>1</v>
      </c>
      <c r="J2403" s="39" t="n">
        <v>35.77</v>
      </c>
      <c r="K2403" s="45" t="n">
        <v>0.15</v>
      </c>
      <c r="L2403" s="39" t="n">
        <v>13.69</v>
      </c>
      <c r="M2403" s="39">
        <f>I2403*J2403*(1-K2403)</f>
        <v/>
      </c>
      <c r="N2403" s="39">
        <f>I2403*L2403</f>
        <v/>
      </c>
      <c r="O2403" s="39">
        <f>M2403-N2403</f>
        <v/>
      </c>
      <c r="P2403" s="38">
        <f>IF(M2403=0,0,O2403/M2403)</f>
        <v/>
      </c>
      <c r="Q2403" s="36">
        <f>YEAR(B2403)</f>
        <v/>
      </c>
      <c r="R2403" s="36">
        <f>"Q"&amp;ROUNDUP(MONTH(B2403)/3,0)</f>
        <v/>
      </c>
      <c r="S2403" s="36">
        <f>MONTH(B2403)</f>
        <v/>
      </c>
      <c r="T2403" s="36">
        <f>TEXT(B2403,"mmm")</f>
        <v/>
      </c>
      <c r="U2403" s="36">
        <f>IF(AND(OR(sel_Region="All",C2403=sel_Region),OR(sel_Country="All",D2403=sel_Country),OR(sel_Channel="All",E2403=sel_Channel),OR(sel_Customer="All",F2403=sel_Customer),OR(sel_Category="All",G2403=sel_Category),OR(sel_Product="All",H2403=sel_Product),AND(S2403&gt;=m_From,S2403&lt;=m_To)),1,0)</f>
        <v/>
      </c>
      <c r="V2403" s="36">
        <f>IF(AND(OR(sel_Region="All",C2403=sel_Region),OR(sel_Channel="All",E2403=sel_Channel),OR(sel_Customer="All",F2403=sel_Customer),OR(sel_Category="All",G2403=sel_Category),OR(sel_Product="All",H2403=sel_Product),AND(S2403&gt;=m_From,S2403&lt;=m_To)),1,0)</f>
        <v/>
      </c>
      <c r="W2403" s="36">
        <f>IF(AND(OR(sel_Region="All",C2403=sel_Region),OR(sel_Country="All",D2403=sel_Country),OR(sel_Customer="All",F2403=sel_Customer),OR(sel_Category="All",G2403=sel_Category),OR(sel_Product="All",H2403=sel_Product),AND(S2403&gt;=m_From,S2403&lt;=m_To)),1,0)</f>
        <v/>
      </c>
      <c r="X2403" s="36">
        <f>IF(AND(OR(sel_Region="All",C2403=sel_Region),OR(sel_Country="All",D2403=sel_Country),OR(sel_Channel="All",E2403=sel_Channel),OR(sel_Category="All",G2403=sel_Category),OR(sel_Product="All",H2403=sel_Product),AND(S2403&gt;=m_From,S2403&lt;=m_To)),1,0)</f>
        <v/>
      </c>
      <c r="Y2403" s="36">
        <f>IF(AND(OR(sel_Region="All",C2403=sel_Region),OR(sel_Country="All",D2403=sel_Country),OR(sel_Channel="All",E2403=sel_Channel),OR(sel_Customer="All",F2403=sel_Customer),OR(sel_Product="All",H2403=sel_Product),AND(S2403&gt;=m_From,S2403&lt;=m_To)),1,0)</f>
        <v/>
      </c>
      <c r="Z2403" s="36">
        <f>IF(AND(OR(sel_Region="All",C2403=sel_Region),OR(sel_Country="All",D2403=sel_Country),OR(sel_Channel="All",E2403=sel_Channel),OR(sel_Customer="All",F2403=sel_Customer),OR(sel_Category="All",G2403=sel_Category),AND(S2403&gt;=m_From,S2403&lt;=m_To)),1,0)</f>
        <v/>
      </c>
      <c r="AA2403" s="36">
        <f>IF(AND(OR(sel_Region="All",C2403=sel_Region),OR(sel_Country="All",D2403=sel_Country),OR(sel_Channel="All",E2403=sel_Channel),OR(sel_Customer="All",F2403=sel_Customer),OR(sel_Category="All",G2403=sel_Category),OR(sel_Product="All",H2403=sel_Product)),1,0)</f>
        <v/>
      </c>
    </row>
    <row r="2404">
      <c r="A2404" s="36" t="inlineStr">
        <is>
          <t>02470</t>
        </is>
      </c>
      <c r="B2404" s="44" t="n">
        <v>46345</v>
      </c>
      <c r="C2404" s="36" t="inlineStr">
        <is>
          <t>Central Europe</t>
        </is>
      </c>
      <c r="D2404" s="36" t="inlineStr">
        <is>
          <t>Austria</t>
        </is>
      </c>
      <c r="E2404" s="36" t="inlineStr">
        <is>
          <t>Retail Partners</t>
        </is>
      </c>
      <c r="F2404" s="36" t="inlineStr">
        <is>
          <t>Business</t>
        </is>
      </c>
      <c r="G2404" s="36" t="inlineStr">
        <is>
          <t>Hiking</t>
        </is>
      </c>
      <c r="H2404" s="36" t="inlineStr">
        <is>
          <t>Hiking Daypack 20L</t>
        </is>
      </c>
      <c r="I2404" s="36" t="n">
        <v>1</v>
      </c>
      <c r="J2404" s="39" t="n">
        <v>92.13</v>
      </c>
      <c r="K2404" s="45" t="n">
        <v>0.15</v>
      </c>
      <c r="L2404" s="39" t="n">
        <v>45.85</v>
      </c>
      <c r="M2404" s="39">
        <f>I2404*J2404*(1-K2404)</f>
        <v/>
      </c>
      <c r="N2404" s="39">
        <f>I2404*L2404</f>
        <v/>
      </c>
      <c r="O2404" s="39">
        <f>M2404-N2404</f>
        <v/>
      </c>
      <c r="P2404" s="38">
        <f>IF(M2404=0,0,O2404/M2404)</f>
        <v/>
      </c>
      <c r="Q2404" s="36">
        <f>YEAR(B2404)</f>
        <v/>
      </c>
      <c r="R2404" s="36">
        <f>"Q"&amp;ROUNDUP(MONTH(B2404)/3,0)</f>
        <v/>
      </c>
      <c r="S2404" s="36">
        <f>MONTH(B2404)</f>
        <v/>
      </c>
      <c r="T2404" s="36">
        <f>TEXT(B2404,"mmm")</f>
        <v/>
      </c>
      <c r="U2404" s="36">
        <f>IF(AND(OR(sel_Region="All",C2404=sel_Region),OR(sel_Country="All",D2404=sel_Country),OR(sel_Channel="All",E2404=sel_Channel),OR(sel_Customer="All",F2404=sel_Customer),OR(sel_Category="All",G2404=sel_Category),OR(sel_Product="All",H2404=sel_Product),AND(S2404&gt;=m_From,S2404&lt;=m_To)),1,0)</f>
        <v/>
      </c>
      <c r="V2404" s="36">
        <f>IF(AND(OR(sel_Region="All",C2404=sel_Region),OR(sel_Channel="All",E2404=sel_Channel),OR(sel_Customer="All",F2404=sel_Customer),OR(sel_Category="All",G2404=sel_Category),OR(sel_Product="All",H2404=sel_Product),AND(S2404&gt;=m_From,S2404&lt;=m_To)),1,0)</f>
        <v/>
      </c>
      <c r="W2404" s="36">
        <f>IF(AND(OR(sel_Region="All",C2404=sel_Region),OR(sel_Country="All",D2404=sel_Country),OR(sel_Customer="All",F2404=sel_Customer),OR(sel_Category="All",G2404=sel_Category),OR(sel_Product="All",H2404=sel_Product),AND(S2404&gt;=m_From,S2404&lt;=m_To)),1,0)</f>
        <v/>
      </c>
      <c r="X2404" s="36">
        <f>IF(AND(OR(sel_Region="All",C2404=sel_Region),OR(sel_Country="All",D2404=sel_Country),OR(sel_Channel="All",E2404=sel_Channel),OR(sel_Category="All",G2404=sel_Category),OR(sel_Product="All",H2404=sel_Product),AND(S2404&gt;=m_From,S2404&lt;=m_To)),1,0)</f>
        <v/>
      </c>
      <c r="Y2404" s="36">
        <f>IF(AND(OR(sel_Region="All",C2404=sel_Region),OR(sel_Country="All",D2404=sel_Country),OR(sel_Channel="All",E2404=sel_Channel),OR(sel_Customer="All",F2404=sel_Customer),OR(sel_Product="All",H2404=sel_Product),AND(S2404&gt;=m_From,S2404&lt;=m_To)),1,0)</f>
        <v/>
      </c>
      <c r="Z2404" s="36">
        <f>IF(AND(OR(sel_Region="All",C2404=sel_Region),OR(sel_Country="All",D2404=sel_Country),OR(sel_Channel="All",E2404=sel_Channel),OR(sel_Customer="All",F2404=sel_Customer),OR(sel_Category="All",G2404=sel_Category),AND(S2404&gt;=m_From,S2404&lt;=m_To)),1,0)</f>
        <v/>
      </c>
      <c r="AA2404" s="36">
        <f>IF(AND(OR(sel_Region="All",C2404=sel_Region),OR(sel_Country="All",D2404=sel_Country),OR(sel_Channel="All",E2404=sel_Channel),OR(sel_Customer="All",F2404=sel_Customer),OR(sel_Category="All",G2404=sel_Category),OR(sel_Product="All",H2404=sel_Product)),1,0)</f>
        <v/>
      </c>
    </row>
    <row r="2405">
      <c r="A2405" s="36" t="inlineStr">
        <is>
          <t>03452</t>
        </is>
      </c>
      <c r="B2405" s="44" t="n">
        <v>46345</v>
      </c>
      <c r="C2405" s="36" t="inlineStr">
        <is>
          <t>Central Europe</t>
        </is>
      </c>
      <c r="D2405" s="36" t="inlineStr">
        <is>
          <t>Germany</t>
        </is>
      </c>
      <c r="E2405" s="36" t="inlineStr">
        <is>
          <t>Online Store</t>
        </is>
      </c>
      <c r="F2405" s="36" t="inlineStr">
        <is>
          <t>Returning</t>
        </is>
      </c>
      <c r="G2405" s="36" t="inlineStr">
        <is>
          <t>Hiking</t>
        </is>
      </c>
      <c r="H2405" s="36" t="inlineStr">
        <is>
          <t>Summit Backpack 45L</t>
        </is>
      </c>
      <c r="I2405" s="36" t="n">
        <v>5</v>
      </c>
      <c r="J2405" s="39" t="n">
        <v>151.09</v>
      </c>
      <c r="K2405" s="45" t="n">
        <v>0.05</v>
      </c>
      <c r="L2405" s="39" t="n">
        <v>79.33</v>
      </c>
      <c r="M2405" s="39">
        <f>I2405*J2405*(1-K2405)</f>
        <v/>
      </c>
      <c r="N2405" s="39">
        <f>I2405*L2405</f>
        <v/>
      </c>
      <c r="O2405" s="39">
        <f>M2405-N2405</f>
        <v/>
      </c>
      <c r="P2405" s="38">
        <f>IF(M2405=0,0,O2405/M2405)</f>
        <v/>
      </c>
      <c r="Q2405" s="36">
        <f>YEAR(B2405)</f>
        <v/>
      </c>
      <c r="R2405" s="36">
        <f>"Q"&amp;ROUNDUP(MONTH(B2405)/3,0)</f>
        <v/>
      </c>
      <c r="S2405" s="36">
        <f>MONTH(B2405)</f>
        <v/>
      </c>
      <c r="T2405" s="36">
        <f>TEXT(B2405,"mmm")</f>
        <v/>
      </c>
      <c r="U2405" s="36">
        <f>IF(AND(OR(sel_Region="All",C2405=sel_Region),OR(sel_Country="All",D2405=sel_Country),OR(sel_Channel="All",E2405=sel_Channel),OR(sel_Customer="All",F2405=sel_Customer),OR(sel_Category="All",G2405=sel_Category),OR(sel_Product="All",H2405=sel_Product),AND(S2405&gt;=m_From,S2405&lt;=m_To)),1,0)</f>
        <v/>
      </c>
      <c r="V2405" s="36">
        <f>IF(AND(OR(sel_Region="All",C2405=sel_Region),OR(sel_Channel="All",E2405=sel_Channel),OR(sel_Customer="All",F2405=sel_Customer),OR(sel_Category="All",G2405=sel_Category),OR(sel_Product="All",H2405=sel_Product),AND(S2405&gt;=m_From,S2405&lt;=m_To)),1,0)</f>
        <v/>
      </c>
      <c r="W2405" s="36">
        <f>IF(AND(OR(sel_Region="All",C2405=sel_Region),OR(sel_Country="All",D2405=sel_Country),OR(sel_Customer="All",F2405=sel_Customer),OR(sel_Category="All",G2405=sel_Category),OR(sel_Product="All",H2405=sel_Product),AND(S2405&gt;=m_From,S2405&lt;=m_To)),1,0)</f>
        <v/>
      </c>
      <c r="X2405" s="36">
        <f>IF(AND(OR(sel_Region="All",C2405=sel_Region),OR(sel_Country="All",D2405=sel_Country),OR(sel_Channel="All",E2405=sel_Channel),OR(sel_Category="All",G2405=sel_Category),OR(sel_Product="All",H2405=sel_Product),AND(S2405&gt;=m_From,S2405&lt;=m_To)),1,0)</f>
        <v/>
      </c>
      <c r="Y2405" s="36">
        <f>IF(AND(OR(sel_Region="All",C2405=sel_Region),OR(sel_Country="All",D2405=sel_Country),OR(sel_Channel="All",E2405=sel_Channel),OR(sel_Customer="All",F2405=sel_Customer),OR(sel_Product="All",H2405=sel_Product),AND(S2405&gt;=m_From,S2405&lt;=m_To)),1,0)</f>
        <v/>
      </c>
      <c r="Z2405" s="36">
        <f>IF(AND(OR(sel_Region="All",C2405=sel_Region),OR(sel_Country="All",D2405=sel_Country),OR(sel_Channel="All",E2405=sel_Channel),OR(sel_Customer="All",F2405=sel_Customer),OR(sel_Category="All",G2405=sel_Category),AND(S2405&gt;=m_From,S2405&lt;=m_To)),1,0)</f>
        <v/>
      </c>
      <c r="AA2405" s="36">
        <f>IF(AND(OR(sel_Region="All",C2405=sel_Region),OR(sel_Country="All",D2405=sel_Country),OR(sel_Channel="All",E2405=sel_Channel),OR(sel_Customer="All",F2405=sel_Customer),OR(sel_Category="All",G2405=sel_Category),OR(sel_Product="All",H2405=sel_Product)),1,0)</f>
        <v/>
      </c>
    </row>
    <row r="2406">
      <c r="A2406" s="36" t="inlineStr">
        <is>
          <t>04207</t>
        </is>
      </c>
      <c r="B2406" s="44" t="n">
        <v>46345</v>
      </c>
      <c r="C2406" s="36" t="inlineStr">
        <is>
          <t>Central Europe</t>
        </is>
      </c>
      <c r="D2406" s="36" t="inlineStr">
        <is>
          <t>Germany</t>
        </is>
      </c>
      <c r="E2406" s="36" t="inlineStr">
        <is>
          <t>Online Store</t>
        </is>
      </c>
      <c r="F2406" s="36" t="inlineStr">
        <is>
          <t>New</t>
        </is>
      </c>
      <c r="G2406" s="36" t="inlineStr">
        <is>
          <t>Cycling</t>
        </is>
      </c>
      <c r="H2406" s="36" t="inlineStr">
        <is>
          <t>Cycling Pack 12L</t>
        </is>
      </c>
      <c r="I2406" s="36" t="n">
        <v>2</v>
      </c>
      <c r="J2406" s="39" t="n">
        <v>103.99</v>
      </c>
      <c r="K2406" s="45" t="n">
        <v>0</v>
      </c>
      <c r="L2406" s="39" t="n">
        <v>50.36</v>
      </c>
      <c r="M2406" s="39">
        <f>I2406*J2406*(1-K2406)</f>
        <v/>
      </c>
      <c r="N2406" s="39">
        <f>I2406*L2406</f>
        <v/>
      </c>
      <c r="O2406" s="39">
        <f>M2406-N2406</f>
        <v/>
      </c>
      <c r="P2406" s="38">
        <f>IF(M2406=0,0,O2406/M2406)</f>
        <v/>
      </c>
      <c r="Q2406" s="36">
        <f>YEAR(B2406)</f>
        <v/>
      </c>
      <c r="R2406" s="36">
        <f>"Q"&amp;ROUNDUP(MONTH(B2406)/3,0)</f>
        <v/>
      </c>
      <c r="S2406" s="36">
        <f>MONTH(B2406)</f>
        <v/>
      </c>
      <c r="T2406" s="36">
        <f>TEXT(B2406,"mmm")</f>
        <v/>
      </c>
      <c r="U2406" s="36">
        <f>IF(AND(OR(sel_Region="All",C2406=sel_Region),OR(sel_Country="All",D2406=sel_Country),OR(sel_Channel="All",E2406=sel_Channel),OR(sel_Customer="All",F2406=sel_Customer),OR(sel_Category="All",G2406=sel_Category),OR(sel_Product="All",H2406=sel_Product),AND(S2406&gt;=m_From,S2406&lt;=m_To)),1,0)</f>
        <v/>
      </c>
      <c r="V2406" s="36">
        <f>IF(AND(OR(sel_Region="All",C2406=sel_Region),OR(sel_Channel="All",E2406=sel_Channel),OR(sel_Customer="All",F2406=sel_Customer),OR(sel_Category="All",G2406=sel_Category),OR(sel_Product="All",H2406=sel_Product),AND(S2406&gt;=m_From,S2406&lt;=m_To)),1,0)</f>
        <v/>
      </c>
      <c r="W2406" s="36">
        <f>IF(AND(OR(sel_Region="All",C2406=sel_Region),OR(sel_Country="All",D2406=sel_Country),OR(sel_Customer="All",F2406=sel_Customer),OR(sel_Category="All",G2406=sel_Category),OR(sel_Product="All",H2406=sel_Product),AND(S2406&gt;=m_From,S2406&lt;=m_To)),1,0)</f>
        <v/>
      </c>
      <c r="X2406" s="36">
        <f>IF(AND(OR(sel_Region="All",C2406=sel_Region),OR(sel_Country="All",D2406=sel_Country),OR(sel_Channel="All",E2406=sel_Channel),OR(sel_Category="All",G2406=sel_Category),OR(sel_Product="All",H2406=sel_Product),AND(S2406&gt;=m_From,S2406&lt;=m_To)),1,0)</f>
        <v/>
      </c>
      <c r="Y2406" s="36">
        <f>IF(AND(OR(sel_Region="All",C2406=sel_Region),OR(sel_Country="All",D2406=sel_Country),OR(sel_Channel="All",E2406=sel_Channel),OR(sel_Customer="All",F2406=sel_Customer),OR(sel_Product="All",H2406=sel_Product),AND(S2406&gt;=m_From,S2406&lt;=m_To)),1,0)</f>
        <v/>
      </c>
      <c r="Z2406" s="36">
        <f>IF(AND(OR(sel_Region="All",C2406=sel_Region),OR(sel_Country="All",D2406=sel_Country),OR(sel_Channel="All",E2406=sel_Channel),OR(sel_Customer="All",F2406=sel_Customer),OR(sel_Category="All",G2406=sel_Category),AND(S2406&gt;=m_From,S2406&lt;=m_To)),1,0)</f>
        <v/>
      </c>
      <c r="AA2406" s="36">
        <f>IF(AND(OR(sel_Region="All",C2406=sel_Region),OR(sel_Country="All",D2406=sel_Country),OR(sel_Channel="All",E2406=sel_Channel),OR(sel_Customer="All",F2406=sel_Customer),OR(sel_Category="All",G2406=sel_Category),OR(sel_Product="All",H2406=sel_Product)),1,0)</f>
        <v/>
      </c>
    </row>
    <row r="2407">
      <c r="A2407" s="36" t="inlineStr">
        <is>
          <t>00695</t>
        </is>
      </c>
      <c r="B2407" s="44" t="n">
        <v>46346</v>
      </c>
      <c r="C2407" s="36" t="inlineStr">
        <is>
          <t>Northern Europe</t>
        </is>
      </c>
      <c r="D2407" s="36" t="inlineStr">
        <is>
          <t>Ireland</t>
        </is>
      </c>
      <c r="E2407" s="36" t="inlineStr">
        <is>
          <t>Online Store</t>
        </is>
      </c>
      <c r="F2407" s="36" t="inlineStr">
        <is>
          <t>Returning</t>
        </is>
      </c>
      <c r="G2407" s="36" t="inlineStr">
        <is>
          <t>Travel</t>
        </is>
      </c>
      <c r="H2407" s="36" t="inlineStr">
        <is>
          <t>Insulated Bottle</t>
        </is>
      </c>
      <c r="I2407" s="36" t="n">
        <v>1</v>
      </c>
      <c r="J2407" s="39" t="n">
        <v>36.91</v>
      </c>
      <c r="K2407" s="45" t="n">
        <v>0.1</v>
      </c>
      <c r="L2407" s="39" t="n">
        <v>13.43</v>
      </c>
      <c r="M2407" s="39">
        <f>I2407*J2407*(1-K2407)</f>
        <v/>
      </c>
      <c r="N2407" s="39">
        <f>I2407*L2407</f>
        <v/>
      </c>
      <c r="O2407" s="39">
        <f>M2407-N2407</f>
        <v/>
      </c>
      <c r="P2407" s="38">
        <f>IF(M2407=0,0,O2407/M2407)</f>
        <v/>
      </c>
      <c r="Q2407" s="36">
        <f>YEAR(B2407)</f>
        <v/>
      </c>
      <c r="R2407" s="36">
        <f>"Q"&amp;ROUNDUP(MONTH(B2407)/3,0)</f>
        <v/>
      </c>
      <c r="S2407" s="36">
        <f>MONTH(B2407)</f>
        <v/>
      </c>
      <c r="T2407" s="36">
        <f>TEXT(B2407,"mmm")</f>
        <v/>
      </c>
      <c r="U2407" s="36">
        <f>IF(AND(OR(sel_Region="All",C2407=sel_Region),OR(sel_Country="All",D2407=sel_Country),OR(sel_Channel="All",E2407=sel_Channel),OR(sel_Customer="All",F2407=sel_Customer),OR(sel_Category="All",G2407=sel_Category),OR(sel_Product="All",H2407=sel_Product),AND(S2407&gt;=m_From,S2407&lt;=m_To)),1,0)</f>
        <v/>
      </c>
      <c r="V2407" s="36">
        <f>IF(AND(OR(sel_Region="All",C2407=sel_Region),OR(sel_Channel="All",E2407=sel_Channel),OR(sel_Customer="All",F2407=sel_Customer),OR(sel_Category="All",G2407=sel_Category),OR(sel_Product="All",H2407=sel_Product),AND(S2407&gt;=m_From,S2407&lt;=m_To)),1,0)</f>
        <v/>
      </c>
      <c r="W2407" s="36">
        <f>IF(AND(OR(sel_Region="All",C2407=sel_Region),OR(sel_Country="All",D2407=sel_Country),OR(sel_Customer="All",F2407=sel_Customer),OR(sel_Category="All",G2407=sel_Category),OR(sel_Product="All",H2407=sel_Product),AND(S2407&gt;=m_From,S2407&lt;=m_To)),1,0)</f>
        <v/>
      </c>
      <c r="X2407" s="36">
        <f>IF(AND(OR(sel_Region="All",C2407=sel_Region),OR(sel_Country="All",D2407=sel_Country),OR(sel_Channel="All",E2407=sel_Channel),OR(sel_Category="All",G2407=sel_Category),OR(sel_Product="All",H2407=sel_Product),AND(S2407&gt;=m_From,S2407&lt;=m_To)),1,0)</f>
        <v/>
      </c>
      <c r="Y2407" s="36">
        <f>IF(AND(OR(sel_Region="All",C2407=sel_Region),OR(sel_Country="All",D2407=sel_Country),OR(sel_Channel="All",E2407=sel_Channel),OR(sel_Customer="All",F2407=sel_Customer),OR(sel_Product="All",H2407=sel_Product),AND(S2407&gt;=m_From,S2407&lt;=m_To)),1,0)</f>
        <v/>
      </c>
      <c r="Z2407" s="36">
        <f>IF(AND(OR(sel_Region="All",C2407=sel_Region),OR(sel_Country="All",D2407=sel_Country),OR(sel_Channel="All",E2407=sel_Channel),OR(sel_Customer="All",F2407=sel_Customer),OR(sel_Category="All",G2407=sel_Category),AND(S2407&gt;=m_From,S2407&lt;=m_To)),1,0)</f>
        <v/>
      </c>
      <c r="AA2407" s="36">
        <f>IF(AND(OR(sel_Region="All",C2407=sel_Region),OR(sel_Country="All",D2407=sel_Country),OR(sel_Channel="All",E2407=sel_Channel),OR(sel_Customer="All",F2407=sel_Customer),OR(sel_Category="All",G2407=sel_Category),OR(sel_Product="All",H2407=sel_Product)),1,0)</f>
        <v/>
      </c>
    </row>
    <row r="2408">
      <c r="A2408" s="36" t="inlineStr">
        <is>
          <t>01127</t>
        </is>
      </c>
      <c r="B2408" s="44" t="n">
        <v>46346</v>
      </c>
      <c r="C2408" s="36" t="inlineStr">
        <is>
          <t>Southern Europe</t>
        </is>
      </c>
      <c r="D2408" s="36" t="inlineStr">
        <is>
          <t>Spain</t>
        </is>
      </c>
      <c r="E2408" s="36" t="inlineStr">
        <is>
          <t>Marketplace</t>
        </is>
      </c>
      <c r="F2408" s="36" t="inlineStr">
        <is>
          <t>New</t>
        </is>
      </c>
      <c r="G2408" s="36" t="inlineStr">
        <is>
          <t>Cycling</t>
        </is>
      </c>
      <c r="H2408" s="36" t="inlineStr">
        <is>
          <t>Commuter Helmet</t>
        </is>
      </c>
      <c r="I2408" s="36" t="n">
        <v>2</v>
      </c>
      <c r="J2408" s="39" t="n">
        <v>81.02</v>
      </c>
      <c r="K2408" s="45" t="n">
        <v>0</v>
      </c>
      <c r="L2408" s="39" t="n">
        <v>43.22</v>
      </c>
      <c r="M2408" s="39">
        <f>I2408*J2408*(1-K2408)</f>
        <v/>
      </c>
      <c r="N2408" s="39">
        <f>I2408*L2408</f>
        <v/>
      </c>
      <c r="O2408" s="39">
        <f>M2408-N2408</f>
        <v/>
      </c>
      <c r="P2408" s="38">
        <f>IF(M2408=0,0,O2408/M2408)</f>
        <v/>
      </c>
      <c r="Q2408" s="36">
        <f>YEAR(B2408)</f>
        <v/>
      </c>
      <c r="R2408" s="36">
        <f>"Q"&amp;ROUNDUP(MONTH(B2408)/3,0)</f>
        <v/>
      </c>
      <c r="S2408" s="36">
        <f>MONTH(B2408)</f>
        <v/>
      </c>
      <c r="T2408" s="36">
        <f>TEXT(B2408,"mmm")</f>
        <v/>
      </c>
      <c r="U2408" s="36">
        <f>IF(AND(OR(sel_Region="All",C2408=sel_Region),OR(sel_Country="All",D2408=sel_Country),OR(sel_Channel="All",E2408=sel_Channel),OR(sel_Customer="All",F2408=sel_Customer),OR(sel_Category="All",G2408=sel_Category),OR(sel_Product="All",H2408=sel_Product),AND(S2408&gt;=m_From,S2408&lt;=m_To)),1,0)</f>
        <v/>
      </c>
      <c r="V2408" s="36">
        <f>IF(AND(OR(sel_Region="All",C2408=sel_Region),OR(sel_Channel="All",E2408=sel_Channel),OR(sel_Customer="All",F2408=sel_Customer),OR(sel_Category="All",G2408=sel_Category),OR(sel_Product="All",H2408=sel_Product),AND(S2408&gt;=m_From,S2408&lt;=m_To)),1,0)</f>
        <v/>
      </c>
      <c r="W2408" s="36">
        <f>IF(AND(OR(sel_Region="All",C2408=sel_Region),OR(sel_Country="All",D2408=sel_Country),OR(sel_Customer="All",F2408=sel_Customer),OR(sel_Category="All",G2408=sel_Category),OR(sel_Product="All",H2408=sel_Product),AND(S2408&gt;=m_From,S2408&lt;=m_To)),1,0)</f>
        <v/>
      </c>
      <c r="X2408" s="36">
        <f>IF(AND(OR(sel_Region="All",C2408=sel_Region),OR(sel_Country="All",D2408=sel_Country),OR(sel_Channel="All",E2408=sel_Channel),OR(sel_Category="All",G2408=sel_Category),OR(sel_Product="All",H2408=sel_Product),AND(S2408&gt;=m_From,S2408&lt;=m_To)),1,0)</f>
        <v/>
      </c>
      <c r="Y2408" s="36">
        <f>IF(AND(OR(sel_Region="All",C2408=sel_Region),OR(sel_Country="All",D2408=sel_Country),OR(sel_Channel="All",E2408=sel_Channel),OR(sel_Customer="All",F2408=sel_Customer),OR(sel_Product="All",H2408=sel_Product),AND(S2408&gt;=m_From,S2408&lt;=m_To)),1,0)</f>
        <v/>
      </c>
      <c r="Z2408" s="36">
        <f>IF(AND(OR(sel_Region="All",C2408=sel_Region),OR(sel_Country="All",D2408=sel_Country),OR(sel_Channel="All",E2408=sel_Channel),OR(sel_Customer="All",F2408=sel_Customer),OR(sel_Category="All",G2408=sel_Category),AND(S2408&gt;=m_From,S2408&lt;=m_To)),1,0)</f>
        <v/>
      </c>
      <c r="AA2408" s="36">
        <f>IF(AND(OR(sel_Region="All",C2408=sel_Region),OR(sel_Country="All",D2408=sel_Country),OR(sel_Channel="All",E2408=sel_Channel),OR(sel_Customer="All",F2408=sel_Customer),OR(sel_Category="All",G2408=sel_Category),OR(sel_Product="All",H2408=sel_Product)),1,0)</f>
        <v/>
      </c>
    </row>
    <row r="2409">
      <c r="A2409" s="36" t="inlineStr">
        <is>
          <t>01174</t>
        </is>
      </c>
      <c r="B2409" s="44" t="n">
        <v>46346</v>
      </c>
      <c r="C2409" s="36" t="inlineStr">
        <is>
          <t>Southern Europe</t>
        </is>
      </c>
      <c r="D2409" s="36" t="inlineStr">
        <is>
          <t>Spain</t>
        </is>
      </c>
      <c r="E2409" s="36" t="inlineStr">
        <is>
          <t>Marketplace</t>
        </is>
      </c>
      <c r="F2409" s="36" t="inlineStr">
        <is>
          <t>New</t>
        </is>
      </c>
      <c r="G2409" s="36" t="inlineStr">
        <is>
          <t>Travel</t>
        </is>
      </c>
      <c r="H2409" s="36" t="inlineStr">
        <is>
          <t>Travel Backpack 35L</t>
        </is>
      </c>
      <c r="I2409" s="36" t="n">
        <v>3</v>
      </c>
      <c r="J2409" s="39" t="n">
        <v>164.36</v>
      </c>
      <c r="K2409" s="45" t="n">
        <v>0.05</v>
      </c>
      <c r="L2409" s="39" t="n">
        <v>88.7</v>
      </c>
      <c r="M2409" s="39">
        <f>I2409*J2409*(1-K2409)</f>
        <v/>
      </c>
      <c r="N2409" s="39">
        <f>I2409*L2409</f>
        <v/>
      </c>
      <c r="O2409" s="39">
        <f>M2409-N2409</f>
        <v/>
      </c>
      <c r="P2409" s="38">
        <f>IF(M2409=0,0,O2409/M2409)</f>
        <v/>
      </c>
      <c r="Q2409" s="36">
        <f>YEAR(B2409)</f>
        <v/>
      </c>
      <c r="R2409" s="36">
        <f>"Q"&amp;ROUNDUP(MONTH(B2409)/3,0)</f>
        <v/>
      </c>
      <c r="S2409" s="36">
        <f>MONTH(B2409)</f>
        <v/>
      </c>
      <c r="T2409" s="36">
        <f>TEXT(B2409,"mmm")</f>
        <v/>
      </c>
      <c r="U2409" s="36">
        <f>IF(AND(OR(sel_Region="All",C2409=sel_Region),OR(sel_Country="All",D2409=sel_Country),OR(sel_Channel="All",E2409=sel_Channel),OR(sel_Customer="All",F2409=sel_Customer),OR(sel_Category="All",G2409=sel_Category),OR(sel_Product="All",H2409=sel_Product),AND(S2409&gt;=m_From,S2409&lt;=m_To)),1,0)</f>
        <v/>
      </c>
      <c r="V2409" s="36">
        <f>IF(AND(OR(sel_Region="All",C2409=sel_Region),OR(sel_Channel="All",E2409=sel_Channel),OR(sel_Customer="All",F2409=sel_Customer),OR(sel_Category="All",G2409=sel_Category),OR(sel_Product="All",H2409=sel_Product),AND(S2409&gt;=m_From,S2409&lt;=m_To)),1,0)</f>
        <v/>
      </c>
      <c r="W2409" s="36">
        <f>IF(AND(OR(sel_Region="All",C2409=sel_Region),OR(sel_Country="All",D2409=sel_Country),OR(sel_Customer="All",F2409=sel_Customer),OR(sel_Category="All",G2409=sel_Category),OR(sel_Product="All",H2409=sel_Product),AND(S2409&gt;=m_From,S2409&lt;=m_To)),1,0)</f>
        <v/>
      </c>
      <c r="X2409" s="36">
        <f>IF(AND(OR(sel_Region="All",C2409=sel_Region),OR(sel_Country="All",D2409=sel_Country),OR(sel_Channel="All",E2409=sel_Channel),OR(sel_Category="All",G2409=sel_Category),OR(sel_Product="All",H2409=sel_Product),AND(S2409&gt;=m_From,S2409&lt;=m_To)),1,0)</f>
        <v/>
      </c>
      <c r="Y2409" s="36">
        <f>IF(AND(OR(sel_Region="All",C2409=sel_Region),OR(sel_Country="All",D2409=sel_Country),OR(sel_Channel="All",E2409=sel_Channel),OR(sel_Customer="All",F2409=sel_Customer),OR(sel_Product="All",H2409=sel_Product),AND(S2409&gt;=m_From,S2409&lt;=m_To)),1,0)</f>
        <v/>
      </c>
      <c r="Z2409" s="36">
        <f>IF(AND(OR(sel_Region="All",C2409=sel_Region),OR(sel_Country="All",D2409=sel_Country),OR(sel_Channel="All",E2409=sel_Channel),OR(sel_Customer="All",F2409=sel_Customer),OR(sel_Category="All",G2409=sel_Category),AND(S2409&gt;=m_From,S2409&lt;=m_To)),1,0)</f>
        <v/>
      </c>
      <c r="AA2409" s="36">
        <f>IF(AND(OR(sel_Region="All",C2409=sel_Region),OR(sel_Country="All",D2409=sel_Country),OR(sel_Channel="All",E2409=sel_Channel),OR(sel_Customer="All",F2409=sel_Customer),OR(sel_Category="All",G2409=sel_Category),OR(sel_Product="All",H2409=sel_Product)),1,0)</f>
        <v/>
      </c>
    </row>
    <row r="2410">
      <c r="A2410" s="36" t="inlineStr">
        <is>
          <t>03968</t>
        </is>
      </c>
      <c r="B2410" s="44" t="n">
        <v>46346</v>
      </c>
      <c r="C2410" s="36" t="inlineStr">
        <is>
          <t>Central Europe</t>
        </is>
      </c>
      <c r="D2410" s="36" t="inlineStr">
        <is>
          <t>Switzerland</t>
        </is>
      </c>
      <c r="E2410" s="36" t="inlineStr">
        <is>
          <t>Corporate</t>
        </is>
      </c>
      <c r="F2410" s="36" t="inlineStr">
        <is>
          <t>Business</t>
        </is>
      </c>
      <c r="G2410" s="36" t="inlineStr">
        <is>
          <t>Fitness</t>
        </is>
      </c>
      <c r="H2410" s="36" t="inlineStr">
        <is>
          <t>Training Mat</t>
        </is>
      </c>
      <c r="I2410" s="36" t="n">
        <v>5</v>
      </c>
      <c r="J2410" s="39" t="n">
        <v>51.36</v>
      </c>
      <c r="K2410" s="45" t="n">
        <v>0.1</v>
      </c>
      <c r="L2410" s="39" t="n">
        <v>22.45</v>
      </c>
      <c r="M2410" s="39">
        <f>I2410*J2410*(1-K2410)</f>
        <v/>
      </c>
      <c r="N2410" s="39">
        <f>I2410*L2410</f>
        <v/>
      </c>
      <c r="O2410" s="39">
        <f>M2410-N2410</f>
        <v/>
      </c>
      <c r="P2410" s="38">
        <f>IF(M2410=0,0,O2410/M2410)</f>
        <v/>
      </c>
      <c r="Q2410" s="36">
        <f>YEAR(B2410)</f>
        <v/>
      </c>
      <c r="R2410" s="36">
        <f>"Q"&amp;ROUNDUP(MONTH(B2410)/3,0)</f>
        <v/>
      </c>
      <c r="S2410" s="36">
        <f>MONTH(B2410)</f>
        <v/>
      </c>
      <c r="T2410" s="36">
        <f>TEXT(B2410,"mmm")</f>
        <v/>
      </c>
      <c r="U2410" s="36">
        <f>IF(AND(OR(sel_Region="All",C2410=sel_Region),OR(sel_Country="All",D2410=sel_Country),OR(sel_Channel="All",E2410=sel_Channel),OR(sel_Customer="All",F2410=sel_Customer),OR(sel_Category="All",G2410=sel_Category),OR(sel_Product="All",H2410=sel_Product),AND(S2410&gt;=m_From,S2410&lt;=m_To)),1,0)</f>
        <v/>
      </c>
      <c r="V2410" s="36">
        <f>IF(AND(OR(sel_Region="All",C2410=sel_Region),OR(sel_Channel="All",E2410=sel_Channel),OR(sel_Customer="All",F2410=sel_Customer),OR(sel_Category="All",G2410=sel_Category),OR(sel_Product="All",H2410=sel_Product),AND(S2410&gt;=m_From,S2410&lt;=m_To)),1,0)</f>
        <v/>
      </c>
      <c r="W2410" s="36">
        <f>IF(AND(OR(sel_Region="All",C2410=sel_Region),OR(sel_Country="All",D2410=sel_Country),OR(sel_Customer="All",F2410=sel_Customer),OR(sel_Category="All",G2410=sel_Category),OR(sel_Product="All",H2410=sel_Product),AND(S2410&gt;=m_From,S2410&lt;=m_To)),1,0)</f>
        <v/>
      </c>
      <c r="X2410" s="36">
        <f>IF(AND(OR(sel_Region="All",C2410=sel_Region),OR(sel_Country="All",D2410=sel_Country),OR(sel_Channel="All",E2410=sel_Channel),OR(sel_Category="All",G2410=sel_Category),OR(sel_Product="All",H2410=sel_Product),AND(S2410&gt;=m_From,S2410&lt;=m_To)),1,0)</f>
        <v/>
      </c>
      <c r="Y2410" s="36">
        <f>IF(AND(OR(sel_Region="All",C2410=sel_Region),OR(sel_Country="All",D2410=sel_Country),OR(sel_Channel="All",E2410=sel_Channel),OR(sel_Customer="All",F2410=sel_Customer),OR(sel_Product="All",H2410=sel_Product),AND(S2410&gt;=m_From,S2410&lt;=m_To)),1,0)</f>
        <v/>
      </c>
      <c r="Z2410" s="36">
        <f>IF(AND(OR(sel_Region="All",C2410=sel_Region),OR(sel_Country="All",D2410=sel_Country),OR(sel_Channel="All",E2410=sel_Channel),OR(sel_Customer="All",F2410=sel_Customer),OR(sel_Category="All",G2410=sel_Category),AND(S2410&gt;=m_From,S2410&lt;=m_To)),1,0)</f>
        <v/>
      </c>
      <c r="AA2410" s="36">
        <f>IF(AND(OR(sel_Region="All",C2410=sel_Region),OR(sel_Country="All",D2410=sel_Country),OR(sel_Channel="All",E2410=sel_Channel),OR(sel_Customer="All",F2410=sel_Customer),OR(sel_Category="All",G2410=sel_Category),OR(sel_Product="All",H2410=sel_Product)),1,0)</f>
        <v/>
      </c>
    </row>
    <row r="2411">
      <c r="A2411" s="36" t="inlineStr">
        <is>
          <t>04049</t>
        </is>
      </c>
      <c r="B2411" s="44" t="n">
        <v>46346</v>
      </c>
      <c r="C2411" s="36" t="inlineStr">
        <is>
          <t>Northern Europe</t>
        </is>
      </c>
      <c r="D2411" s="36" t="inlineStr">
        <is>
          <t>Norway</t>
        </is>
      </c>
      <c r="E2411" s="36" t="inlineStr">
        <is>
          <t>Marketplace</t>
        </is>
      </c>
      <c r="F2411" s="36" t="inlineStr">
        <is>
          <t>Returning</t>
        </is>
      </c>
      <c r="G2411" s="36" t="inlineStr">
        <is>
          <t>Travel</t>
        </is>
      </c>
      <c r="H2411" s="36" t="inlineStr">
        <is>
          <t>Insulated Bottle</t>
        </is>
      </c>
      <c r="I2411" s="36" t="n">
        <v>1</v>
      </c>
      <c r="J2411" s="39" t="n">
        <v>36.59</v>
      </c>
      <c r="K2411" s="45" t="n">
        <v>0</v>
      </c>
      <c r="L2411" s="39" t="n">
        <v>13.73</v>
      </c>
      <c r="M2411" s="39">
        <f>I2411*J2411*(1-K2411)</f>
        <v/>
      </c>
      <c r="N2411" s="39">
        <f>I2411*L2411</f>
        <v/>
      </c>
      <c r="O2411" s="39">
        <f>M2411-N2411</f>
        <v/>
      </c>
      <c r="P2411" s="38">
        <f>IF(M2411=0,0,O2411/M2411)</f>
        <v/>
      </c>
      <c r="Q2411" s="36">
        <f>YEAR(B2411)</f>
        <v/>
      </c>
      <c r="R2411" s="36">
        <f>"Q"&amp;ROUNDUP(MONTH(B2411)/3,0)</f>
        <v/>
      </c>
      <c r="S2411" s="36">
        <f>MONTH(B2411)</f>
        <v/>
      </c>
      <c r="T2411" s="36">
        <f>TEXT(B2411,"mmm")</f>
        <v/>
      </c>
      <c r="U2411" s="36">
        <f>IF(AND(OR(sel_Region="All",C2411=sel_Region),OR(sel_Country="All",D2411=sel_Country),OR(sel_Channel="All",E2411=sel_Channel),OR(sel_Customer="All",F2411=sel_Customer),OR(sel_Category="All",G2411=sel_Category),OR(sel_Product="All",H2411=sel_Product),AND(S2411&gt;=m_From,S2411&lt;=m_To)),1,0)</f>
        <v/>
      </c>
      <c r="V2411" s="36">
        <f>IF(AND(OR(sel_Region="All",C2411=sel_Region),OR(sel_Channel="All",E2411=sel_Channel),OR(sel_Customer="All",F2411=sel_Customer),OR(sel_Category="All",G2411=sel_Category),OR(sel_Product="All",H2411=sel_Product),AND(S2411&gt;=m_From,S2411&lt;=m_To)),1,0)</f>
        <v/>
      </c>
      <c r="W2411" s="36">
        <f>IF(AND(OR(sel_Region="All",C2411=sel_Region),OR(sel_Country="All",D2411=sel_Country),OR(sel_Customer="All",F2411=sel_Customer),OR(sel_Category="All",G2411=sel_Category),OR(sel_Product="All",H2411=sel_Product),AND(S2411&gt;=m_From,S2411&lt;=m_To)),1,0)</f>
        <v/>
      </c>
      <c r="X2411" s="36">
        <f>IF(AND(OR(sel_Region="All",C2411=sel_Region),OR(sel_Country="All",D2411=sel_Country),OR(sel_Channel="All",E2411=sel_Channel),OR(sel_Category="All",G2411=sel_Category),OR(sel_Product="All",H2411=sel_Product),AND(S2411&gt;=m_From,S2411&lt;=m_To)),1,0)</f>
        <v/>
      </c>
      <c r="Y2411" s="36">
        <f>IF(AND(OR(sel_Region="All",C2411=sel_Region),OR(sel_Country="All",D2411=sel_Country),OR(sel_Channel="All",E2411=sel_Channel),OR(sel_Customer="All",F2411=sel_Customer),OR(sel_Product="All",H2411=sel_Product),AND(S2411&gt;=m_From,S2411&lt;=m_To)),1,0)</f>
        <v/>
      </c>
      <c r="Z2411" s="36">
        <f>IF(AND(OR(sel_Region="All",C2411=sel_Region),OR(sel_Country="All",D2411=sel_Country),OR(sel_Channel="All",E2411=sel_Channel),OR(sel_Customer="All",F2411=sel_Customer),OR(sel_Category="All",G2411=sel_Category),AND(S2411&gt;=m_From,S2411&lt;=m_To)),1,0)</f>
        <v/>
      </c>
      <c r="AA2411" s="36">
        <f>IF(AND(OR(sel_Region="All",C2411=sel_Region),OR(sel_Country="All",D2411=sel_Country),OR(sel_Channel="All",E2411=sel_Channel),OR(sel_Customer="All",F2411=sel_Customer),OR(sel_Category="All",G2411=sel_Category),OR(sel_Product="All",H2411=sel_Product)),1,0)</f>
        <v/>
      </c>
    </row>
    <row r="2412">
      <c r="A2412" s="36" t="inlineStr">
        <is>
          <t>00003</t>
        </is>
      </c>
      <c r="B2412" s="44" t="n">
        <v>46347</v>
      </c>
      <c r="C2412" s="36" t="inlineStr">
        <is>
          <t>Western Europe</t>
        </is>
      </c>
      <c r="D2412" s="36" t="inlineStr">
        <is>
          <t>Netherlands</t>
        </is>
      </c>
      <c r="E2412" s="36" t="inlineStr">
        <is>
          <t>Retail Partners</t>
        </is>
      </c>
      <c r="F2412" s="36" t="inlineStr">
        <is>
          <t>Returning</t>
        </is>
      </c>
      <c r="G2412" s="36" t="inlineStr">
        <is>
          <t>Camping</t>
        </is>
      </c>
      <c r="H2412" s="36" t="inlineStr">
        <is>
          <t>Compact Sleeping Bag</t>
        </is>
      </c>
      <c r="I2412" s="36" t="n">
        <v>5</v>
      </c>
      <c r="J2412" s="39" t="n">
        <v>122.33</v>
      </c>
      <c r="K2412" s="45" t="n">
        <v>0.15</v>
      </c>
      <c r="L2412" s="39" t="n">
        <v>58.98</v>
      </c>
      <c r="M2412" s="39">
        <f>I2412*J2412*(1-K2412)</f>
        <v/>
      </c>
      <c r="N2412" s="39">
        <f>I2412*L2412</f>
        <v/>
      </c>
      <c r="O2412" s="39">
        <f>M2412-N2412</f>
        <v/>
      </c>
      <c r="P2412" s="38">
        <f>IF(M2412=0,0,O2412/M2412)</f>
        <v/>
      </c>
      <c r="Q2412" s="36">
        <f>YEAR(B2412)</f>
        <v/>
      </c>
      <c r="R2412" s="36">
        <f>"Q"&amp;ROUNDUP(MONTH(B2412)/3,0)</f>
        <v/>
      </c>
      <c r="S2412" s="36">
        <f>MONTH(B2412)</f>
        <v/>
      </c>
      <c r="T2412" s="36">
        <f>TEXT(B2412,"mmm")</f>
        <v/>
      </c>
      <c r="U2412" s="36">
        <f>IF(AND(OR(sel_Region="All",C2412=sel_Region),OR(sel_Country="All",D2412=sel_Country),OR(sel_Channel="All",E2412=sel_Channel),OR(sel_Customer="All",F2412=sel_Customer),OR(sel_Category="All",G2412=sel_Category),OR(sel_Product="All",H2412=sel_Product),AND(S2412&gt;=m_From,S2412&lt;=m_To)),1,0)</f>
        <v/>
      </c>
      <c r="V2412" s="36">
        <f>IF(AND(OR(sel_Region="All",C2412=sel_Region),OR(sel_Channel="All",E2412=sel_Channel),OR(sel_Customer="All",F2412=sel_Customer),OR(sel_Category="All",G2412=sel_Category),OR(sel_Product="All",H2412=sel_Product),AND(S2412&gt;=m_From,S2412&lt;=m_To)),1,0)</f>
        <v/>
      </c>
      <c r="W2412" s="36">
        <f>IF(AND(OR(sel_Region="All",C2412=sel_Region),OR(sel_Country="All",D2412=sel_Country),OR(sel_Customer="All",F2412=sel_Customer),OR(sel_Category="All",G2412=sel_Category),OR(sel_Product="All",H2412=sel_Product),AND(S2412&gt;=m_From,S2412&lt;=m_To)),1,0)</f>
        <v/>
      </c>
      <c r="X2412" s="36">
        <f>IF(AND(OR(sel_Region="All",C2412=sel_Region),OR(sel_Country="All",D2412=sel_Country),OR(sel_Channel="All",E2412=sel_Channel),OR(sel_Category="All",G2412=sel_Category),OR(sel_Product="All",H2412=sel_Product),AND(S2412&gt;=m_From,S2412&lt;=m_To)),1,0)</f>
        <v/>
      </c>
      <c r="Y2412" s="36">
        <f>IF(AND(OR(sel_Region="All",C2412=sel_Region),OR(sel_Country="All",D2412=sel_Country),OR(sel_Channel="All",E2412=sel_Channel),OR(sel_Customer="All",F2412=sel_Customer),OR(sel_Product="All",H2412=sel_Product),AND(S2412&gt;=m_From,S2412&lt;=m_To)),1,0)</f>
        <v/>
      </c>
      <c r="Z2412" s="36">
        <f>IF(AND(OR(sel_Region="All",C2412=sel_Region),OR(sel_Country="All",D2412=sel_Country),OR(sel_Channel="All",E2412=sel_Channel),OR(sel_Customer="All",F2412=sel_Customer),OR(sel_Category="All",G2412=sel_Category),AND(S2412&gt;=m_From,S2412&lt;=m_To)),1,0)</f>
        <v/>
      </c>
      <c r="AA2412" s="36">
        <f>IF(AND(OR(sel_Region="All",C2412=sel_Region),OR(sel_Country="All",D2412=sel_Country),OR(sel_Channel="All",E2412=sel_Channel),OR(sel_Customer="All",F2412=sel_Customer),OR(sel_Category="All",G2412=sel_Category),OR(sel_Product="All",H2412=sel_Product)),1,0)</f>
        <v/>
      </c>
    </row>
    <row r="2413">
      <c r="A2413" s="36" t="inlineStr">
        <is>
          <t>01603</t>
        </is>
      </c>
      <c r="B2413" s="44" t="n">
        <v>46347</v>
      </c>
      <c r="C2413" s="36" t="inlineStr">
        <is>
          <t>Western Europe</t>
        </is>
      </c>
      <c r="D2413" s="36" t="inlineStr">
        <is>
          <t>United Kingdom</t>
        </is>
      </c>
      <c r="E2413" s="36" t="inlineStr">
        <is>
          <t>Online Store</t>
        </is>
      </c>
      <c r="F2413" s="36" t="inlineStr">
        <is>
          <t>Returning</t>
        </is>
      </c>
      <c r="G2413" s="36" t="inlineStr">
        <is>
          <t>Camping</t>
        </is>
      </c>
      <c r="H2413" s="36" t="inlineStr">
        <is>
          <t>Portable Camp Stove</t>
        </is>
      </c>
      <c r="I2413" s="36" t="n">
        <v>1</v>
      </c>
      <c r="J2413" s="39" t="n">
        <v>83.48999999999999</v>
      </c>
      <c r="K2413" s="45" t="n">
        <v>0.05</v>
      </c>
      <c r="L2413" s="39" t="n">
        <v>39.66</v>
      </c>
      <c r="M2413" s="39">
        <f>I2413*J2413*(1-K2413)</f>
        <v/>
      </c>
      <c r="N2413" s="39">
        <f>I2413*L2413</f>
        <v/>
      </c>
      <c r="O2413" s="39">
        <f>M2413-N2413</f>
        <v/>
      </c>
      <c r="P2413" s="38">
        <f>IF(M2413=0,0,O2413/M2413)</f>
        <v/>
      </c>
      <c r="Q2413" s="36">
        <f>YEAR(B2413)</f>
        <v/>
      </c>
      <c r="R2413" s="36">
        <f>"Q"&amp;ROUNDUP(MONTH(B2413)/3,0)</f>
        <v/>
      </c>
      <c r="S2413" s="36">
        <f>MONTH(B2413)</f>
        <v/>
      </c>
      <c r="T2413" s="36">
        <f>TEXT(B2413,"mmm")</f>
        <v/>
      </c>
      <c r="U2413" s="36">
        <f>IF(AND(OR(sel_Region="All",C2413=sel_Region),OR(sel_Country="All",D2413=sel_Country),OR(sel_Channel="All",E2413=sel_Channel),OR(sel_Customer="All",F2413=sel_Customer),OR(sel_Category="All",G2413=sel_Category),OR(sel_Product="All",H2413=sel_Product),AND(S2413&gt;=m_From,S2413&lt;=m_To)),1,0)</f>
        <v/>
      </c>
      <c r="V2413" s="36">
        <f>IF(AND(OR(sel_Region="All",C2413=sel_Region),OR(sel_Channel="All",E2413=sel_Channel),OR(sel_Customer="All",F2413=sel_Customer),OR(sel_Category="All",G2413=sel_Category),OR(sel_Product="All",H2413=sel_Product),AND(S2413&gt;=m_From,S2413&lt;=m_To)),1,0)</f>
        <v/>
      </c>
      <c r="W2413" s="36">
        <f>IF(AND(OR(sel_Region="All",C2413=sel_Region),OR(sel_Country="All",D2413=sel_Country),OR(sel_Customer="All",F2413=sel_Customer),OR(sel_Category="All",G2413=sel_Category),OR(sel_Product="All",H2413=sel_Product),AND(S2413&gt;=m_From,S2413&lt;=m_To)),1,0)</f>
        <v/>
      </c>
      <c r="X2413" s="36">
        <f>IF(AND(OR(sel_Region="All",C2413=sel_Region),OR(sel_Country="All",D2413=sel_Country),OR(sel_Channel="All",E2413=sel_Channel),OR(sel_Category="All",G2413=sel_Category),OR(sel_Product="All",H2413=sel_Product),AND(S2413&gt;=m_From,S2413&lt;=m_To)),1,0)</f>
        <v/>
      </c>
      <c r="Y2413" s="36">
        <f>IF(AND(OR(sel_Region="All",C2413=sel_Region),OR(sel_Country="All",D2413=sel_Country),OR(sel_Channel="All",E2413=sel_Channel),OR(sel_Customer="All",F2413=sel_Customer),OR(sel_Product="All",H2413=sel_Product),AND(S2413&gt;=m_From,S2413&lt;=m_To)),1,0)</f>
        <v/>
      </c>
      <c r="Z2413" s="36">
        <f>IF(AND(OR(sel_Region="All",C2413=sel_Region),OR(sel_Country="All",D2413=sel_Country),OR(sel_Channel="All",E2413=sel_Channel),OR(sel_Customer="All",F2413=sel_Customer),OR(sel_Category="All",G2413=sel_Category),AND(S2413&gt;=m_From,S2413&lt;=m_To)),1,0)</f>
        <v/>
      </c>
      <c r="AA2413" s="36">
        <f>IF(AND(OR(sel_Region="All",C2413=sel_Region),OR(sel_Country="All",D2413=sel_Country),OR(sel_Channel="All",E2413=sel_Channel),OR(sel_Customer="All",F2413=sel_Customer),OR(sel_Category="All",G2413=sel_Category),OR(sel_Product="All",H2413=sel_Product)),1,0)</f>
        <v/>
      </c>
    </row>
    <row r="2414">
      <c r="A2414" s="36" t="inlineStr">
        <is>
          <t>02073</t>
        </is>
      </c>
      <c r="B2414" s="44" t="n">
        <v>46347</v>
      </c>
      <c r="C2414" s="36" t="inlineStr">
        <is>
          <t>Central Europe</t>
        </is>
      </c>
      <c r="D2414" s="36" t="inlineStr">
        <is>
          <t>Germany</t>
        </is>
      </c>
      <c r="E2414" s="36" t="inlineStr">
        <is>
          <t>Online Store</t>
        </is>
      </c>
      <c r="F2414" s="36" t="inlineStr">
        <is>
          <t>New</t>
        </is>
      </c>
      <c r="G2414" s="36" t="inlineStr">
        <is>
          <t>Cycling</t>
        </is>
      </c>
      <c r="H2414" s="36" t="inlineStr">
        <is>
          <t>Trail Bike Light</t>
        </is>
      </c>
      <c r="I2414" s="36" t="n">
        <v>2</v>
      </c>
      <c r="J2414" s="39" t="n">
        <v>51.48</v>
      </c>
      <c r="K2414" s="45" t="n">
        <v>0.1</v>
      </c>
      <c r="L2414" s="39" t="n">
        <v>22.51</v>
      </c>
      <c r="M2414" s="39">
        <f>I2414*J2414*(1-K2414)</f>
        <v/>
      </c>
      <c r="N2414" s="39">
        <f>I2414*L2414</f>
        <v/>
      </c>
      <c r="O2414" s="39">
        <f>M2414-N2414</f>
        <v/>
      </c>
      <c r="P2414" s="38">
        <f>IF(M2414=0,0,O2414/M2414)</f>
        <v/>
      </c>
      <c r="Q2414" s="36">
        <f>YEAR(B2414)</f>
        <v/>
      </c>
      <c r="R2414" s="36">
        <f>"Q"&amp;ROUNDUP(MONTH(B2414)/3,0)</f>
        <v/>
      </c>
      <c r="S2414" s="36">
        <f>MONTH(B2414)</f>
        <v/>
      </c>
      <c r="T2414" s="36">
        <f>TEXT(B2414,"mmm")</f>
        <v/>
      </c>
      <c r="U2414" s="36">
        <f>IF(AND(OR(sel_Region="All",C2414=sel_Region),OR(sel_Country="All",D2414=sel_Country),OR(sel_Channel="All",E2414=sel_Channel),OR(sel_Customer="All",F2414=sel_Customer),OR(sel_Category="All",G2414=sel_Category),OR(sel_Product="All",H2414=sel_Product),AND(S2414&gt;=m_From,S2414&lt;=m_To)),1,0)</f>
        <v/>
      </c>
      <c r="V2414" s="36">
        <f>IF(AND(OR(sel_Region="All",C2414=sel_Region),OR(sel_Channel="All",E2414=sel_Channel),OR(sel_Customer="All",F2414=sel_Customer),OR(sel_Category="All",G2414=sel_Category),OR(sel_Product="All",H2414=sel_Product),AND(S2414&gt;=m_From,S2414&lt;=m_To)),1,0)</f>
        <v/>
      </c>
      <c r="W2414" s="36">
        <f>IF(AND(OR(sel_Region="All",C2414=sel_Region),OR(sel_Country="All",D2414=sel_Country),OR(sel_Customer="All",F2414=sel_Customer),OR(sel_Category="All",G2414=sel_Category),OR(sel_Product="All",H2414=sel_Product),AND(S2414&gt;=m_From,S2414&lt;=m_To)),1,0)</f>
        <v/>
      </c>
      <c r="X2414" s="36">
        <f>IF(AND(OR(sel_Region="All",C2414=sel_Region),OR(sel_Country="All",D2414=sel_Country),OR(sel_Channel="All",E2414=sel_Channel),OR(sel_Category="All",G2414=sel_Category),OR(sel_Product="All",H2414=sel_Product),AND(S2414&gt;=m_From,S2414&lt;=m_To)),1,0)</f>
        <v/>
      </c>
      <c r="Y2414" s="36">
        <f>IF(AND(OR(sel_Region="All",C2414=sel_Region),OR(sel_Country="All",D2414=sel_Country),OR(sel_Channel="All",E2414=sel_Channel),OR(sel_Customer="All",F2414=sel_Customer),OR(sel_Product="All",H2414=sel_Product),AND(S2414&gt;=m_From,S2414&lt;=m_To)),1,0)</f>
        <v/>
      </c>
      <c r="Z2414" s="36">
        <f>IF(AND(OR(sel_Region="All",C2414=sel_Region),OR(sel_Country="All",D2414=sel_Country),OR(sel_Channel="All",E2414=sel_Channel),OR(sel_Customer="All",F2414=sel_Customer),OR(sel_Category="All",G2414=sel_Category),AND(S2414&gt;=m_From,S2414&lt;=m_To)),1,0)</f>
        <v/>
      </c>
      <c r="AA2414" s="36">
        <f>IF(AND(OR(sel_Region="All",C2414=sel_Region),OR(sel_Country="All",D2414=sel_Country),OR(sel_Channel="All",E2414=sel_Channel),OR(sel_Customer="All",F2414=sel_Customer),OR(sel_Category="All",G2414=sel_Category),OR(sel_Product="All",H2414=sel_Product)),1,0)</f>
        <v/>
      </c>
    </row>
    <row r="2415">
      <c r="A2415" s="36" t="inlineStr">
        <is>
          <t>02487</t>
        </is>
      </c>
      <c r="B2415" s="44" t="n">
        <v>46347</v>
      </c>
      <c r="C2415" s="36" t="inlineStr">
        <is>
          <t>Northern Europe</t>
        </is>
      </c>
      <c r="D2415" s="36" t="inlineStr">
        <is>
          <t>Sweden</t>
        </is>
      </c>
      <c r="E2415" s="36" t="inlineStr">
        <is>
          <t>Marketplace</t>
        </is>
      </c>
      <c r="F2415" s="36" t="inlineStr">
        <is>
          <t>New</t>
        </is>
      </c>
      <c r="G2415" s="36" t="inlineStr">
        <is>
          <t>Camping</t>
        </is>
      </c>
      <c r="H2415" s="36" t="inlineStr">
        <is>
          <t>Compact Sleeping Bag</t>
        </is>
      </c>
      <c r="I2415" s="36" t="n">
        <v>1</v>
      </c>
      <c r="J2415" s="39" t="n">
        <v>123.43</v>
      </c>
      <c r="K2415" s="45" t="n">
        <v>0.15</v>
      </c>
      <c r="L2415" s="39" t="n">
        <v>60.8</v>
      </c>
      <c r="M2415" s="39">
        <f>I2415*J2415*(1-K2415)</f>
        <v/>
      </c>
      <c r="N2415" s="39">
        <f>I2415*L2415</f>
        <v/>
      </c>
      <c r="O2415" s="39">
        <f>M2415-N2415</f>
        <v/>
      </c>
      <c r="P2415" s="38">
        <f>IF(M2415=0,0,O2415/M2415)</f>
        <v/>
      </c>
      <c r="Q2415" s="36">
        <f>YEAR(B2415)</f>
        <v/>
      </c>
      <c r="R2415" s="36">
        <f>"Q"&amp;ROUNDUP(MONTH(B2415)/3,0)</f>
        <v/>
      </c>
      <c r="S2415" s="36">
        <f>MONTH(B2415)</f>
        <v/>
      </c>
      <c r="T2415" s="36">
        <f>TEXT(B2415,"mmm")</f>
        <v/>
      </c>
      <c r="U2415" s="36">
        <f>IF(AND(OR(sel_Region="All",C2415=sel_Region),OR(sel_Country="All",D2415=sel_Country),OR(sel_Channel="All",E2415=sel_Channel),OR(sel_Customer="All",F2415=sel_Customer),OR(sel_Category="All",G2415=sel_Category),OR(sel_Product="All",H2415=sel_Product),AND(S2415&gt;=m_From,S2415&lt;=m_To)),1,0)</f>
        <v/>
      </c>
      <c r="V2415" s="36">
        <f>IF(AND(OR(sel_Region="All",C2415=sel_Region),OR(sel_Channel="All",E2415=sel_Channel),OR(sel_Customer="All",F2415=sel_Customer),OR(sel_Category="All",G2415=sel_Category),OR(sel_Product="All",H2415=sel_Product),AND(S2415&gt;=m_From,S2415&lt;=m_To)),1,0)</f>
        <v/>
      </c>
      <c r="W2415" s="36">
        <f>IF(AND(OR(sel_Region="All",C2415=sel_Region),OR(sel_Country="All",D2415=sel_Country),OR(sel_Customer="All",F2415=sel_Customer),OR(sel_Category="All",G2415=sel_Category),OR(sel_Product="All",H2415=sel_Product),AND(S2415&gt;=m_From,S2415&lt;=m_To)),1,0)</f>
        <v/>
      </c>
      <c r="X2415" s="36">
        <f>IF(AND(OR(sel_Region="All",C2415=sel_Region),OR(sel_Country="All",D2415=sel_Country),OR(sel_Channel="All",E2415=sel_Channel),OR(sel_Category="All",G2415=sel_Category),OR(sel_Product="All",H2415=sel_Product),AND(S2415&gt;=m_From,S2415&lt;=m_To)),1,0)</f>
        <v/>
      </c>
      <c r="Y2415" s="36">
        <f>IF(AND(OR(sel_Region="All",C2415=sel_Region),OR(sel_Country="All",D2415=sel_Country),OR(sel_Channel="All",E2415=sel_Channel),OR(sel_Customer="All",F2415=sel_Customer),OR(sel_Product="All",H2415=sel_Product),AND(S2415&gt;=m_From,S2415&lt;=m_To)),1,0)</f>
        <v/>
      </c>
      <c r="Z2415" s="36">
        <f>IF(AND(OR(sel_Region="All",C2415=sel_Region),OR(sel_Country="All",D2415=sel_Country),OR(sel_Channel="All",E2415=sel_Channel),OR(sel_Customer="All",F2415=sel_Customer),OR(sel_Category="All",G2415=sel_Category),AND(S2415&gt;=m_From,S2415&lt;=m_To)),1,0)</f>
        <v/>
      </c>
      <c r="AA2415" s="36">
        <f>IF(AND(OR(sel_Region="All",C2415=sel_Region),OR(sel_Country="All",D2415=sel_Country),OR(sel_Channel="All",E2415=sel_Channel),OR(sel_Customer="All",F2415=sel_Customer),OR(sel_Category="All",G2415=sel_Category),OR(sel_Product="All",H2415=sel_Product)),1,0)</f>
        <v/>
      </c>
    </row>
    <row r="2416">
      <c r="A2416" s="36" t="inlineStr">
        <is>
          <t>03407</t>
        </is>
      </c>
      <c r="B2416" s="44" t="n">
        <v>46347</v>
      </c>
      <c r="C2416" s="36" t="inlineStr">
        <is>
          <t>Western Europe</t>
        </is>
      </c>
      <c r="D2416" s="36" t="inlineStr">
        <is>
          <t>Netherlands</t>
        </is>
      </c>
      <c r="E2416" s="36" t="inlineStr">
        <is>
          <t>Online Store</t>
        </is>
      </c>
      <c r="F2416" s="36" t="inlineStr">
        <is>
          <t>New</t>
        </is>
      </c>
      <c r="G2416" s="36" t="inlineStr">
        <is>
          <t>Travel</t>
        </is>
      </c>
      <c r="H2416" s="36" t="inlineStr">
        <is>
          <t>Travel Backpack 35L</t>
        </is>
      </c>
      <c r="I2416" s="36" t="n">
        <v>1</v>
      </c>
      <c r="J2416" s="39" t="n">
        <v>164.85</v>
      </c>
      <c r="K2416" s="45" t="n">
        <v>0.1</v>
      </c>
      <c r="L2416" s="39" t="n">
        <v>89.40000000000001</v>
      </c>
      <c r="M2416" s="39">
        <f>I2416*J2416*(1-K2416)</f>
        <v/>
      </c>
      <c r="N2416" s="39">
        <f>I2416*L2416</f>
        <v/>
      </c>
      <c r="O2416" s="39">
        <f>M2416-N2416</f>
        <v/>
      </c>
      <c r="P2416" s="38">
        <f>IF(M2416=0,0,O2416/M2416)</f>
        <v/>
      </c>
      <c r="Q2416" s="36">
        <f>YEAR(B2416)</f>
        <v/>
      </c>
      <c r="R2416" s="36">
        <f>"Q"&amp;ROUNDUP(MONTH(B2416)/3,0)</f>
        <v/>
      </c>
      <c r="S2416" s="36">
        <f>MONTH(B2416)</f>
        <v/>
      </c>
      <c r="T2416" s="36">
        <f>TEXT(B2416,"mmm")</f>
        <v/>
      </c>
      <c r="U2416" s="36">
        <f>IF(AND(OR(sel_Region="All",C2416=sel_Region),OR(sel_Country="All",D2416=sel_Country),OR(sel_Channel="All",E2416=sel_Channel),OR(sel_Customer="All",F2416=sel_Customer),OR(sel_Category="All",G2416=sel_Category),OR(sel_Product="All",H2416=sel_Product),AND(S2416&gt;=m_From,S2416&lt;=m_To)),1,0)</f>
        <v/>
      </c>
      <c r="V2416" s="36">
        <f>IF(AND(OR(sel_Region="All",C2416=sel_Region),OR(sel_Channel="All",E2416=sel_Channel),OR(sel_Customer="All",F2416=sel_Customer),OR(sel_Category="All",G2416=sel_Category),OR(sel_Product="All",H2416=sel_Product),AND(S2416&gt;=m_From,S2416&lt;=m_To)),1,0)</f>
        <v/>
      </c>
      <c r="W2416" s="36">
        <f>IF(AND(OR(sel_Region="All",C2416=sel_Region),OR(sel_Country="All",D2416=sel_Country),OR(sel_Customer="All",F2416=sel_Customer),OR(sel_Category="All",G2416=sel_Category),OR(sel_Product="All",H2416=sel_Product),AND(S2416&gt;=m_From,S2416&lt;=m_To)),1,0)</f>
        <v/>
      </c>
      <c r="X2416" s="36">
        <f>IF(AND(OR(sel_Region="All",C2416=sel_Region),OR(sel_Country="All",D2416=sel_Country),OR(sel_Channel="All",E2416=sel_Channel),OR(sel_Category="All",G2416=sel_Category),OR(sel_Product="All",H2416=sel_Product),AND(S2416&gt;=m_From,S2416&lt;=m_To)),1,0)</f>
        <v/>
      </c>
      <c r="Y2416" s="36">
        <f>IF(AND(OR(sel_Region="All",C2416=sel_Region),OR(sel_Country="All",D2416=sel_Country),OR(sel_Channel="All",E2416=sel_Channel),OR(sel_Customer="All",F2416=sel_Customer),OR(sel_Product="All",H2416=sel_Product),AND(S2416&gt;=m_From,S2416&lt;=m_To)),1,0)</f>
        <v/>
      </c>
      <c r="Z2416" s="36">
        <f>IF(AND(OR(sel_Region="All",C2416=sel_Region),OR(sel_Country="All",D2416=sel_Country),OR(sel_Channel="All",E2416=sel_Channel),OR(sel_Customer="All",F2416=sel_Customer),OR(sel_Category="All",G2416=sel_Category),AND(S2416&gt;=m_From,S2416&lt;=m_To)),1,0)</f>
        <v/>
      </c>
      <c r="AA2416" s="36">
        <f>IF(AND(OR(sel_Region="All",C2416=sel_Region),OR(sel_Country="All",D2416=sel_Country),OR(sel_Channel="All",E2416=sel_Channel),OR(sel_Customer="All",F2416=sel_Customer),OR(sel_Category="All",G2416=sel_Category),OR(sel_Product="All",H2416=sel_Product)),1,0)</f>
        <v/>
      </c>
    </row>
    <row r="2417">
      <c r="A2417" s="36" t="inlineStr">
        <is>
          <t>04052</t>
        </is>
      </c>
      <c r="B2417" s="44" t="n">
        <v>46347</v>
      </c>
      <c r="C2417" s="36" t="inlineStr">
        <is>
          <t>Southern Europe</t>
        </is>
      </c>
      <c r="D2417" s="36" t="inlineStr">
        <is>
          <t>Spain</t>
        </is>
      </c>
      <c r="E2417" s="36" t="inlineStr">
        <is>
          <t>Online Store</t>
        </is>
      </c>
      <c r="F2417" s="36" t="inlineStr">
        <is>
          <t>New</t>
        </is>
      </c>
      <c r="G2417" s="36" t="inlineStr">
        <is>
          <t>Travel</t>
        </is>
      </c>
      <c r="H2417" s="36" t="inlineStr">
        <is>
          <t>Packing Cube Set</t>
        </is>
      </c>
      <c r="I2417" s="36" t="n">
        <v>1</v>
      </c>
      <c r="J2417" s="39" t="n">
        <v>46.82</v>
      </c>
      <c r="K2417" s="45" t="n">
        <v>0.2</v>
      </c>
      <c r="L2417" s="39" t="n">
        <v>18.27</v>
      </c>
      <c r="M2417" s="39">
        <f>I2417*J2417*(1-K2417)</f>
        <v/>
      </c>
      <c r="N2417" s="39">
        <f>I2417*L2417</f>
        <v/>
      </c>
      <c r="O2417" s="39">
        <f>M2417-N2417</f>
        <v/>
      </c>
      <c r="P2417" s="38">
        <f>IF(M2417=0,0,O2417/M2417)</f>
        <v/>
      </c>
      <c r="Q2417" s="36">
        <f>YEAR(B2417)</f>
        <v/>
      </c>
      <c r="R2417" s="36">
        <f>"Q"&amp;ROUNDUP(MONTH(B2417)/3,0)</f>
        <v/>
      </c>
      <c r="S2417" s="36">
        <f>MONTH(B2417)</f>
        <v/>
      </c>
      <c r="T2417" s="36">
        <f>TEXT(B2417,"mmm")</f>
        <v/>
      </c>
      <c r="U2417" s="36">
        <f>IF(AND(OR(sel_Region="All",C2417=sel_Region),OR(sel_Country="All",D2417=sel_Country),OR(sel_Channel="All",E2417=sel_Channel),OR(sel_Customer="All",F2417=sel_Customer),OR(sel_Category="All",G2417=sel_Category),OR(sel_Product="All",H2417=sel_Product),AND(S2417&gt;=m_From,S2417&lt;=m_To)),1,0)</f>
        <v/>
      </c>
      <c r="V2417" s="36">
        <f>IF(AND(OR(sel_Region="All",C2417=sel_Region),OR(sel_Channel="All",E2417=sel_Channel),OR(sel_Customer="All",F2417=sel_Customer),OR(sel_Category="All",G2417=sel_Category),OR(sel_Product="All",H2417=sel_Product),AND(S2417&gt;=m_From,S2417&lt;=m_To)),1,0)</f>
        <v/>
      </c>
      <c r="W2417" s="36">
        <f>IF(AND(OR(sel_Region="All",C2417=sel_Region),OR(sel_Country="All",D2417=sel_Country),OR(sel_Customer="All",F2417=sel_Customer),OR(sel_Category="All",G2417=sel_Category),OR(sel_Product="All",H2417=sel_Product),AND(S2417&gt;=m_From,S2417&lt;=m_To)),1,0)</f>
        <v/>
      </c>
      <c r="X2417" s="36">
        <f>IF(AND(OR(sel_Region="All",C2417=sel_Region),OR(sel_Country="All",D2417=sel_Country),OR(sel_Channel="All",E2417=sel_Channel),OR(sel_Category="All",G2417=sel_Category),OR(sel_Product="All",H2417=sel_Product),AND(S2417&gt;=m_From,S2417&lt;=m_To)),1,0)</f>
        <v/>
      </c>
      <c r="Y2417" s="36">
        <f>IF(AND(OR(sel_Region="All",C2417=sel_Region),OR(sel_Country="All",D2417=sel_Country),OR(sel_Channel="All",E2417=sel_Channel),OR(sel_Customer="All",F2417=sel_Customer),OR(sel_Product="All",H2417=sel_Product),AND(S2417&gt;=m_From,S2417&lt;=m_To)),1,0)</f>
        <v/>
      </c>
      <c r="Z2417" s="36">
        <f>IF(AND(OR(sel_Region="All",C2417=sel_Region),OR(sel_Country="All",D2417=sel_Country),OR(sel_Channel="All",E2417=sel_Channel),OR(sel_Customer="All",F2417=sel_Customer),OR(sel_Category="All",G2417=sel_Category),AND(S2417&gt;=m_From,S2417&lt;=m_To)),1,0)</f>
        <v/>
      </c>
      <c r="AA2417" s="36">
        <f>IF(AND(OR(sel_Region="All",C2417=sel_Region),OR(sel_Country="All",D2417=sel_Country),OR(sel_Channel="All",E2417=sel_Channel),OR(sel_Customer="All",F2417=sel_Customer),OR(sel_Category="All",G2417=sel_Category),OR(sel_Product="All",H2417=sel_Product)),1,0)</f>
        <v/>
      </c>
    </row>
    <row r="2418">
      <c r="A2418" s="36" t="inlineStr">
        <is>
          <t>00119</t>
        </is>
      </c>
      <c r="B2418" s="44" t="n">
        <v>46348</v>
      </c>
      <c r="C2418" s="36" t="inlineStr">
        <is>
          <t>Southern Europe</t>
        </is>
      </c>
      <c r="D2418" s="36" t="inlineStr">
        <is>
          <t>Portugal</t>
        </is>
      </c>
      <c r="E2418" s="36" t="inlineStr">
        <is>
          <t>Online Store</t>
        </is>
      </c>
      <c r="F2418" s="36" t="inlineStr">
        <is>
          <t>New</t>
        </is>
      </c>
      <c r="G2418" s="36" t="inlineStr">
        <is>
          <t>Fitness</t>
        </is>
      </c>
      <c r="H2418" s="36" t="inlineStr">
        <is>
          <t>Resistance Band Set</t>
        </is>
      </c>
      <c r="I2418" s="36" t="n">
        <v>1</v>
      </c>
      <c r="J2418" s="39" t="n">
        <v>41.16</v>
      </c>
      <c r="K2418" s="45" t="n">
        <v>0.1</v>
      </c>
      <c r="L2418" s="39" t="n">
        <v>14.82</v>
      </c>
      <c r="M2418" s="39">
        <f>I2418*J2418*(1-K2418)</f>
        <v/>
      </c>
      <c r="N2418" s="39">
        <f>I2418*L2418</f>
        <v/>
      </c>
      <c r="O2418" s="39">
        <f>M2418-N2418</f>
        <v/>
      </c>
      <c r="P2418" s="38">
        <f>IF(M2418=0,0,O2418/M2418)</f>
        <v/>
      </c>
      <c r="Q2418" s="36">
        <f>YEAR(B2418)</f>
        <v/>
      </c>
      <c r="R2418" s="36">
        <f>"Q"&amp;ROUNDUP(MONTH(B2418)/3,0)</f>
        <v/>
      </c>
      <c r="S2418" s="36">
        <f>MONTH(B2418)</f>
        <v/>
      </c>
      <c r="T2418" s="36">
        <f>TEXT(B2418,"mmm")</f>
        <v/>
      </c>
      <c r="U2418" s="36">
        <f>IF(AND(OR(sel_Region="All",C2418=sel_Region),OR(sel_Country="All",D2418=sel_Country),OR(sel_Channel="All",E2418=sel_Channel),OR(sel_Customer="All",F2418=sel_Customer),OR(sel_Category="All",G2418=sel_Category),OR(sel_Product="All",H2418=sel_Product),AND(S2418&gt;=m_From,S2418&lt;=m_To)),1,0)</f>
        <v/>
      </c>
      <c r="V2418" s="36">
        <f>IF(AND(OR(sel_Region="All",C2418=sel_Region),OR(sel_Channel="All",E2418=sel_Channel),OR(sel_Customer="All",F2418=sel_Customer),OR(sel_Category="All",G2418=sel_Category),OR(sel_Product="All",H2418=sel_Product),AND(S2418&gt;=m_From,S2418&lt;=m_To)),1,0)</f>
        <v/>
      </c>
      <c r="W2418" s="36">
        <f>IF(AND(OR(sel_Region="All",C2418=sel_Region),OR(sel_Country="All",D2418=sel_Country),OR(sel_Customer="All",F2418=sel_Customer),OR(sel_Category="All",G2418=sel_Category),OR(sel_Product="All",H2418=sel_Product),AND(S2418&gt;=m_From,S2418&lt;=m_To)),1,0)</f>
        <v/>
      </c>
      <c r="X2418" s="36">
        <f>IF(AND(OR(sel_Region="All",C2418=sel_Region),OR(sel_Country="All",D2418=sel_Country),OR(sel_Channel="All",E2418=sel_Channel),OR(sel_Category="All",G2418=sel_Category),OR(sel_Product="All",H2418=sel_Product),AND(S2418&gt;=m_From,S2418&lt;=m_To)),1,0)</f>
        <v/>
      </c>
      <c r="Y2418" s="36">
        <f>IF(AND(OR(sel_Region="All",C2418=sel_Region),OR(sel_Country="All",D2418=sel_Country),OR(sel_Channel="All",E2418=sel_Channel),OR(sel_Customer="All",F2418=sel_Customer),OR(sel_Product="All",H2418=sel_Product),AND(S2418&gt;=m_From,S2418&lt;=m_To)),1,0)</f>
        <v/>
      </c>
      <c r="Z2418" s="36">
        <f>IF(AND(OR(sel_Region="All",C2418=sel_Region),OR(sel_Country="All",D2418=sel_Country),OR(sel_Channel="All",E2418=sel_Channel),OR(sel_Customer="All",F2418=sel_Customer),OR(sel_Category="All",G2418=sel_Category),AND(S2418&gt;=m_From,S2418&lt;=m_To)),1,0)</f>
        <v/>
      </c>
      <c r="AA2418" s="36">
        <f>IF(AND(OR(sel_Region="All",C2418=sel_Region),OR(sel_Country="All",D2418=sel_Country),OR(sel_Channel="All",E2418=sel_Channel),OR(sel_Customer="All",F2418=sel_Customer),OR(sel_Category="All",G2418=sel_Category),OR(sel_Product="All",H2418=sel_Product)),1,0)</f>
        <v/>
      </c>
    </row>
    <row r="2419">
      <c r="A2419" s="36" t="inlineStr">
        <is>
          <t>00298</t>
        </is>
      </c>
      <c r="B2419" s="44" t="n">
        <v>46348</v>
      </c>
      <c r="C2419" s="36" t="inlineStr">
        <is>
          <t>Central Europe</t>
        </is>
      </c>
      <c r="D2419" s="36" t="inlineStr">
        <is>
          <t>Germany</t>
        </is>
      </c>
      <c r="E2419" s="36" t="inlineStr">
        <is>
          <t>Marketplace</t>
        </is>
      </c>
      <c r="F2419" s="36" t="inlineStr">
        <is>
          <t>New</t>
        </is>
      </c>
      <c r="G2419" s="36" t="inlineStr">
        <is>
          <t>Camping</t>
        </is>
      </c>
      <c r="H2419" s="36" t="inlineStr">
        <is>
          <t>Trail Tent 2P</t>
        </is>
      </c>
      <c r="I2419" s="36" t="n">
        <v>1</v>
      </c>
      <c r="J2419" s="39" t="n">
        <v>196.08</v>
      </c>
      <c r="K2419" s="45" t="n">
        <v>0.1</v>
      </c>
      <c r="L2419" s="39" t="n">
        <v>104.19</v>
      </c>
      <c r="M2419" s="39">
        <f>I2419*J2419*(1-K2419)</f>
        <v/>
      </c>
      <c r="N2419" s="39">
        <f>I2419*L2419</f>
        <v/>
      </c>
      <c r="O2419" s="39">
        <f>M2419-N2419</f>
        <v/>
      </c>
      <c r="P2419" s="38">
        <f>IF(M2419=0,0,O2419/M2419)</f>
        <v/>
      </c>
      <c r="Q2419" s="36">
        <f>YEAR(B2419)</f>
        <v/>
      </c>
      <c r="R2419" s="36">
        <f>"Q"&amp;ROUNDUP(MONTH(B2419)/3,0)</f>
        <v/>
      </c>
      <c r="S2419" s="36">
        <f>MONTH(B2419)</f>
        <v/>
      </c>
      <c r="T2419" s="36">
        <f>TEXT(B2419,"mmm")</f>
        <v/>
      </c>
      <c r="U2419" s="36">
        <f>IF(AND(OR(sel_Region="All",C2419=sel_Region),OR(sel_Country="All",D2419=sel_Country),OR(sel_Channel="All",E2419=sel_Channel),OR(sel_Customer="All",F2419=sel_Customer),OR(sel_Category="All",G2419=sel_Category),OR(sel_Product="All",H2419=sel_Product),AND(S2419&gt;=m_From,S2419&lt;=m_To)),1,0)</f>
        <v/>
      </c>
      <c r="V2419" s="36">
        <f>IF(AND(OR(sel_Region="All",C2419=sel_Region),OR(sel_Channel="All",E2419=sel_Channel),OR(sel_Customer="All",F2419=sel_Customer),OR(sel_Category="All",G2419=sel_Category),OR(sel_Product="All",H2419=sel_Product),AND(S2419&gt;=m_From,S2419&lt;=m_To)),1,0)</f>
        <v/>
      </c>
      <c r="W2419" s="36">
        <f>IF(AND(OR(sel_Region="All",C2419=sel_Region),OR(sel_Country="All",D2419=sel_Country),OR(sel_Customer="All",F2419=sel_Customer),OR(sel_Category="All",G2419=sel_Category),OR(sel_Product="All",H2419=sel_Product),AND(S2419&gt;=m_From,S2419&lt;=m_To)),1,0)</f>
        <v/>
      </c>
      <c r="X2419" s="36">
        <f>IF(AND(OR(sel_Region="All",C2419=sel_Region),OR(sel_Country="All",D2419=sel_Country),OR(sel_Channel="All",E2419=sel_Channel),OR(sel_Category="All",G2419=sel_Category),OR(sel_Product="All",H2419=sel_Product),AND(S2419&gt;=m_From,S2419&lt;=m_To)),1,0)</f>
        <v/>
      </c>
      <c r="Y2419" s="36">
        <f>IF(AND(OR(sel_Region="All",C2419=sel_Region),OR(sel_Country="All",D2419=sel_Country),OR(sel_Channel="All",E2419=sel_Channel),OR(sel_Customer="All",F2419=sel_Customer),OR(sel_Product="All",H2419=sel_Product),AND(S2419&gt;=m_From,S2419&lt;=m_To)),1,0)</f>
        <v/>
      </c>
      <c r="Z2419" s="36">
        <f>IF(AND(OR(sel_Region="All",C2419=sel_Region),OR(sel_Country="All",D2419=sel_Country),OR(sel_Channel="All",E2419=sel_Channel),OR(sel_Customer="All",F2419=sel_Customer),OR(sel_Category="All",G2419=sel_Category),AND(S2419&gt;=m_From,S2419&lt;=m_To)),1,0)</f>
        <v/>
      </c>
      <c r="AA2419" s="36">
        <f>IF(AND(OR(sel_Region="All",C2419=sel_Region),OR(sel_Country="All",D2419=sel_Country),OR(sel_Channel="All",E2419=sel_Channel),OR(sel_Customer="All",F2419=sel_Customer),OR(sel_Category="All",G2419=sel_Category),OR(sel_Product="All",H2419=sel_Product)),1,0)</f>
        <v/>
      </c>
    </row>
    <row r="2420">
      <c r="A2420" s="36" t="inlineStr">
        <is>
          <t>00419</t>
        </is>
      </c>
      <c r="B2420" s="44" t="n">
        <v>46348</v>
      </c>
      <c r="C2420" s="36" t="inlineStr">
        <is>
          <t>Western Europe</t>
        </is>
      </c>
      <c r="D2420" s="36" t="inlineStr">
        <is>
          <t>United Kingdom</t>
        </is>
      </c>
      <c r="E2420" s="36" t="inlineStr">
        <is>
          <t>Retail Partners</t>
        </is>
      </c>
      <c r="F2420" s="36" t="inlineStr">
        <is>
          <t>New</t>
        </is>
      </c>
      <c r="G2420" s="36" t="inlineStr">
        <is>
          <t>Camping</t>
        </is>
      </c>
      <c r="H2420" s="36" t="inlineStr">
        <is>
          <t>Trail Tent 2P</t>
        </is>
      </c>
      <c r="I2420" s="36" t="n">
        <v>1</v>
      </c>
      <c r="J2420" s="39" t="n">
        <v>192.62</v>
      </c>
      <c r="K2420" s="45" t="n">
        <v>0.1</v>
      </c>
      <c r="L2420" s="39" t="n">
        <v>105.97</v>
      </c>
      <c r="M2420" s="39">
        <f>I2420*J2420*(1-K2420)</f>
        <v/>
      </c>
      <c r="N2420" s="39">
        <f>I2420*L2420</f>
        <v/>
      </c>
      <c r="O2420" s="39">
        <f>M2420-N2420</f>
        <v/>
      </c>
      <c r="P2420" s="38">
        <f>IF(M2420=0,0,O2420/M2420)</f>
        <v/>
      </c>
      <c r="Q2420" s="36">
        <f>YEAR(B2420)</f>
        <v/>
      </c>
      <c r="R2420" s="36">
        <f>"Q"&amp;ROUNDUP(MONTH(B2420)/3,0)</f>
        <v/>
      </c>
      <c r="S2420" s="36">
        <f>MONTH(B2420)</f>
        <v/>
      </c>
      <c r="T2420" s="36">
        <f>TEXT(B2420,"mmm")</f>
        <v/>
      </c>
      <c r="U2420" s="36">
        <f>IF(AND(OR(sel_Region="All",C2420=sel_Region),OR(sel_Country="All",D2420=sel_Country),OR(sel_Channel="All",E2420=sel_Channel),OR(sel_Customer="All",F2420=sel_Customer),OR(sel_Category="All",G2420=sel_Category),OR(sel_Product="All",H2420=sel_Product),AND(S2420&gt;=m_From,S2420&lt;=m_To)),1,0)</f>
        <v/>
      </c>
      <c r="V2420" s="36">
        <f>IF(AND(OR(sel_Region="All",C2420=sel_Region),OR(sel_Channel="All",E2420=sel_Channel),OR(sel_Customer="All",F2420=sel_Customer),OR(sel_Category="All",G2420=sel_Category),OR(sel_Product="All",H2420=sel_Product),AND(S2420&gt;=m_From,S2420&lt;=m_To)),1,0)</f>
        <v/>
      </c>
      <c r="W2420" s="36">
        <f>IF(AND(OR(sel_Region="All",C2420=sel_Region),OR(sel_Country="All",D2420=sel_Country),OR(sel_Customer="All",F2420=sel_Customer),OR(sel_Category="All",G2420=sel_Category),OR(sel_Product="All",H2420=sel_Product),AND(S2420&gt;=m_From,S2420&lt;=m_To)),1,0)</f>
        <v/>
      </c>
      <c r="X2420" s="36">
        <f>IF(AND(OR(sel_Region="All",C2420=sel_Region),OR(sel_Country="All",D2420=sel_Country),OR(sel_Channel="All",E2420=sel_Channel),OR(sel_Category="All",G2420=sel_Category),OR(sel_Product="All",H2420=sel_Product),AND(S2420&gt;=m_From,S2420&lt;=m_To)),1,0)</f>
        <v/>
      </c>
      <c r="Y2420" s="36">
        <f>IF(AND(OR(sel_Region="All",C2420=sel_Region),OR(sel_Country="All",D2420=sel_Country),OR(sel_Channel="All",E2420=sel_Channel),OR(sel_Customer="All",F2420=sel_Customer),OR(sel_Product="All",H2420=sel_Product),AND(S2420&gt;=m_From,S2420&lt;=m_To)),1,0)</f>
        <v/>
      </c>
      <c r="Z2420" s="36">
        <f>IF(AND(OR(sel_Region="All",C2420=sel_Region),OR(sel_Country="All",D2420=sel_Country),OR(sel_Channel="All",E2420=sel_Channel),OR(sel_Customer="All",F2420=sel_Customer),OR(sel_Category="All",G2420=sel_Category),AND(S2420&gt;=m_From,S2420&lt;=m_To)),1,0)</f>
        <v/>
      </c>
      <c r="AA2420" s="36">
        <f>IF(AND(OR(sel_Region="All",C2420=sel_Region),OR(sel_Country="All",D2420=sel_Country),OR(sel_Channel="All",E2420=sel_Channel),OR(sel_Customer="All",F2420=sel_Customer),OR(sel_Category="All",G2420=sel_Category),OR(sel_Product="All",H2420=sel_Product)),1,0)</f>
        <v/>
      </c>
    </row>
    <row r="2421">
      <c r="A2421" s="36" t="inlineStr">
        <is>
          <t>01181</t>
        </is>
      </c>
      <c r="B2421" s="44" t="n">
        <v>46348</v>
      </c>
      <c r="C2421" s="36" t="inlineStr">
        <is>
          <t>Central Europe</t>
        </is>
      </c>
      <c r="D2421" s="36" t="inlineStr">
        <is>
          <t>Germany</t>
        </is>
      </c>
      <c r="E2421" s="36" t="inlineStr">
        <is>
          <t>Marketplace</t>
        </is>
      </c>
      <c r="F2421" s="36" t="inlineStr">
        <is>
          <t>New</t>
        </is>
      </c>
      <c r="G2421" s="36" t="inlineStr">
        <is>
          <t>Cycling</t>
        </is>
      </c>
      <c r="H2421" s="36" t="inlineStr">
        <is>
          <t>Cycling Pack 12L</t>
        </is>
      </c>
      <c r="I2421" s="36" t="n">
        <v>2</v>
      </c>
      <c r="J2421" s="39" t="n">
        <v>102.87</v>
      </c>
      <c r="K2421" s="45" t="n">
        <v>0.05</v>
      </c>
      <c r="L2421" s="39" t="n">
        <v>51.69</v>
      </c>
      <c r="M2421" s="39">
        <f>I2421*J2421*(1-K2421)</f>
        <v/>
      </c>
      <c r="N2421" s="39">
        <f>I2421*L2421</f>
        <v/>
      </c>
      <c r="O2421" s="39">
        <f>M2421-N2421</f>
        <v/>
      </c>
      <c r="P2421" s="38">
        <f>IF(M2421=0,0,O2421/M2421)</f>
        <v/>
      </c>
      <c r="Q2421" s="36">
        <f>YEAR(B2421)</f>
        <v/>
      </c>
      <c r="R2421" s="36">
        <f>"Q"&amp;ROUNDUP(MONTH(B2421)/3,0)</f>
        <v/>
      </c>
      <c r="S2421" s="36">
        <f>MONTH(B2421)</f>
        <v/>
      </c>
      <c r="T2421" s="36">
        <f>TEXT(B2421,"mmm")</f>
        <v/>
      </c>
      <c r="U2421" s="36">
        <f>IF(AND(OR(sel_Region="All",C2421=sel_Region),OR(sel_Country="All",D2421=sel_Country),OR(sel_Channel="All",E2421=sel_Channel),OR(sel_Customer="All",F2421=sel_Customer),OR(sel_Category="All",G2421=sel_Category),OR(sel_Product="All",H2421=sel_Product),AND(S2421&gt;=m_From,S2421&lt;=m_To)),1,0)</f>
        <v/>
      </c>
      <c r="V2421" s="36">
        <f>IF(AND(OR(sel_Region="All",C2421=sel_Region),OR(sel_Channel="All",E2421=sel_Channel),OR(sel_Customer="All",F2421=sel_Customer),OR(sel_Category="All",G2421=sel_Category),OR(sel_Product="All",H2421=sel_Product),AND(S2421&gt;=m_From,S2421&lt;=m_To)),1,0)</f>
        <v/>
      </c>
      <c r="W2421" s="36">
        <f>IF(AND(OR(sel_Region="All",C2421=sel_Region),OR(sel_Country="All",D2421=sel_Country),OR(sel_Customer="All",F2421=sel_Customer),OR(sel_Category="All",G2421=sel_Category),OR(sel_Product="All",H2421=sel_Product),AND(S2421&gt;=m_From,S2421&lt;=m_To)),1,0)</f>
        <v/>
      </c>
      <c r="X2421" s="36">
        <f>IF(AND(OR(sel_Region="All",C2421=sel_Region),OR(sel_Country="All",D2421=sel_Country),OR(sel_Channel="All",E2421=sel_Channel),OR(sel_Category="All",G2421=sel_Category),OR(sel_Product="All",H2421=sel_Product),AND(S2421&gt;=m_From,S2421&lt;=m_To)),1,0)</f>
        <v/>
      </c>
      <c r="Y2421" s="36">
        <f>IF(AND(OR(sel_Region="All",C2421=sel_Region),OR(sel_Country="All",D2421=sel_Country),OR(sel_Channel="All",E2421=sel_Channel),OR(sel_Customer="All",F2421=sel_Customer),OR(sel_Product="All",H2421=sel_Product),AND(S2421&gt;=m_From,S2421&lt;=m_To)),1,0)</f>
        <v/>
      </c>
      <c r="Z2421" s="36">
        <f>IF(AND(OR(sel_Region="All",C2421=sel_Region),OR(sel_Country="All",D2421=sel_Country),OR(sel_Channel="All",E2421=sel_Channel),OR(sel_Customer="All",F2421=sel_Customer),OR(sel_Category="All",G2421=sel_Category),AND(S2421&gt;=m_From,S2421&lt;=m_To)),1,0)</f>
        <v/>
      </c>
      <c r="AA2421" s="36">
        <f>IF(AND(OR(sel_Region="All",C2421=sel_Region),OR(sel_Country="All",D2421=sel_Country),OR(sel_Channel="All",E2421=sel_Channel),OR(sel_Customer="All",F2421=sel_Customer),OR(sel_Category="All",G2421=sel_Category),OR(sel_Product="All",H2421=sel_Product)),1,0)</f>
        <v/>
      </c>
    </row>
    <row r="2422">
      <c r="A2422" s="36" t="inlineStr">
        <is>
          <t>01924</t>
        </is>
      </c>
      <c r="B2422" s="44" t="n">
        <v>46348</v>
      </c>
      <c r="C2422" s="36" t="inlineStr">
        <is>
          <t>Southern Europe</t>
        </is>
      </c>
      <c r="D2422" s="36" t="inlineStr">
        <is>
          <t>Italy</t>
        </is>
      </c>
      <c r="E2422" s="36" t="inlineStr">
        <is>
          <t>Online Store</t>
        </is>
      </c>
      <c r="F2422" s="36" t="inlineStr">
        <is>
          <t>New</t>
        </is>
      </c>
      <c r="G2422" s="36" t="inlineStr">
        <is>
          <t>Cycling</t>
        </is>
      </c>
      <c r="H2422" s="36" t="inlineStr">
        <is>
          <t>Trail Bike Light</t>
        </is>
      </c>
      <c r="I2422" s="36" t="n">
        <v>3</v>
      </c>
      <c r="J2422" s="39" t="n">
        <v>50.99</v>
      </c>
      <c r="K2422" s="45" t="n">
        <v>0.2</v>
      </c>
      <c r="L2422" s="39" t="n">
        <v>22.53</v>
      </c>
      <c r="M2422" s="39">
        <f>I2422*J2422*(1-K2422)</f>
        <v/>
      </c>
      <c r="N2422" s="39">
        <f>I2422*L2422</f>
        <v/>
      </c>
      <c r="O2422" s="39">
        <f>M2422-N2422</f>
        <v/>
      </c>
      <c r="P2422" s="38">
        <f>IF(M2422=0,0,O2422/M2422)</f>
        <v/>
      </c>
      <c r="Q2422" s="36">
        <f>YEAR(B2422)</f>
        <v/>
      </c>
      <c r="R2422" s="36">
        <f>"Q"&amp;ROUNDUP(MONTH(B2422)/3,0)</f>
        <v/>
      </c>
      <c r="S2422" s="36">
        <f>MONTH(B2422)</f>
        <v/>
      </c>
      <c r="T2422" s="36">
        <f>TEXT(B2422,"mmm")</f>
        <v/>
      </c>
      <c r="U2422" s="36">
        <f>IF(AND(OR(sel_Region="All",C2422=sel_Region),OR(sel_Country="All",D2422=sel_Country),OR(sel_Channel="All",E2422=sel_Channel),OR(sel_Customer="All",F2422=sel_Customer),OR(sel_Category="All",G2422=sel_Category),OR(sel_Product="All",H2422=sel_Product),AND(S2422&gt;=m_From,S2422&lt;=m_To)),1,0)</f>
        <v/>
      </c>
      <c r="V2422" s="36">
        <f>IF(AND(OR(sel_Region="All",C2422=sel_Region),OR(sel_Channel="All",E2422=sel_Channel),OR(sel_Customer="All",F2422=sel_Customer),OR(sel_Category="All",G2422=sel_Category),OR(sel_Product="All",H2422=sel_Product),AND(S2422&gt;=m_From,S2422&lt;=m_To)),1,0)</f>
        <v/>
      </c>
      <c r="W2422" s="36">
        <f>IF(AND(OR(sel_Region="All",C2422=sel_Region),OR(sel_Country="All",D2422=sel_Country),OR(sel_Customer="All",F2422=sel_Customer),OR(sel_Category="All",G2422=sel_Category),OR(sel_Product="All",H2422=sel_Product),AND(S2422&gt;=m_From,S2422&lt;=m_To)),1,0)</f>
        <v/>
      </c>
      <c r="X2422" s="36">
        <f>IF(AND(OR(sel_Region="All",C2422=sel_Region),OR(sel_Country="All",D2422=sel_Country),OR(sel_Channel="All",E2422=sel_Channel),OR(sel_Category="All",G2422=sel_Category),OR(sel_Product="All",H2422=sel_Product),AND(S2422&gt;=m_From,S2422&lt;=m_To)),1,0)</f>
        <v/>
      </c>
      <c r="Y2422" s="36">
        <f>IF(AND(OR(sel_Region="All",C2422=sel_Region),OR(sel_Country="All",D2422=sel_Country),OR(sel_Channel="All",E2422=sel_Channel),OR(sel_Customer="All",F2422=sel_Customer),OR(sel_Product="All",H2422=sel_Product),AND(S2422&gt;=m_From,S2422&lt;=m_To)),1,0)</f>
        <v/>
      </c>
      <c r="Z2422" s="36">
        <f>IF(AND(OR(sel_Region="All",C2422=sel_Region),OR(sel_Country="All",D2422=sel_Country),OR(sel_Channel="All",E2422=sel_Channel),OR(sel_Customer="All",F2422=sel_Customer),OR(sel_Category="All",G2422=sel_Category),AND(S2422&gt;=m_From,S2422&lt;=m_To)),1,0)</f>
        <v/>
      </c>
      <c r="AA2422" s="36">
        <f>IF(AND(OR(sel_Region="All",C2422=sel_Region),OR(sel_Country="All",D2422=sel_Country),OR(sel_Channel="All",E2422=sel_Channel),OR(sel_Customer="All",F2422=sel_Customer),OR(sel_Category="All",G2422=sel_Category),OR(sel_Product="All",H2422=sel_Product)),1,0)</f>
        <v/>
      </c>
    </row>
    <row r="2423">
      <c r="A2423" s="36" t="inlineStr">
        <is>
          <t>03829</t>
        </is>
      </c>
      <c r="B2423" s="44" t="n">
        <v>46348</v>
      </c>
      <c r="C2423" s="36" t="inlineStr">
        <is>
          <t>Central Europe</t>
        </is>
      </c>
      <c r="D2423" s="36" t="inlineStr">
        <is>
          <t>Germany</t>
        </is>
      </c>
      <c r="E2423" s="36" t="inlineStr">
        <is>
          <t>Retail Partners</t>
        </is>
      </c>
      <c r="F2423" s="36" t="inlineStr">
        <is>
          <t>New</t>
        </is>
      </c>
      <c r="G2423" s="36" t="inlineStr">
        <is>
          <t>Cycling</t>
        </is>
      </c>
      <c r="H2423" s="36" t="inlineStr">
        <is>
          <t>Compact Repair Kit</t>
        </is>
      </c>
      <c r="I2423" s="36" t="n">
        <v>1</v>
      </c>
      <c r="J2423" s="39" t="n">
        <v>39.94</v>
      </c>
      <c r="K2423" s="45" t="n">
        <v>0.1</v>
      </c>
      <c r="L2423" s="39" t="n">
        <v>16.89</v>
      </c>
      <c r="M2423" s="39">
        <f>I2423*J2423*(1-K2423)</f>
        <v/>
      </c>
      <c r="N2423" s="39">
        <f>I2423*L2423</f>
        <v/>
      </c>
      <c r="O2423" s="39">
        <f>M2423-N2423</f>
        <v/>
      </c>
      <c r="P2423" s="38">
        <f>IF(M2423=0,0,O2423/M2423)</f>
        <v/>
      </c>
      <c r="Q2423" s="36">
        <f>YEAR(B2423)</f>
        <v/>
      </c>
      <c r="R2423" s="36">
        <f>"Q"&amp;ROUNDUP(MONTH(B2423)/3,0)</f>
        <v/>
      </c>
      <c r="S2423" s="36">
        <f>MONTH(B2423)</f>
        <v/>
      </c>
      <c r="T2423" s="36">
        <f>TEXT(B2423,"mmm")</f>
        <v/>
      </c>
      <c r="U2423" s="36">
        <f>IF(AND(OR(sel_Region="All",C2423=sel_Region),OR(sel_Country="All",D2423=sel_Country),OR(sel_Channel="All",E2423=sel_Channel),OR(sel_Customer="All",F2423=sel_Customer),OR(sel_Category="All",G2423=sel_Category),OR(sel_Product="All",H2423=sel_Product),AND(S2423&gt;=m_From,S2423&lt;=m_To)),1,0)</f>
        <v/>
      </c>
      <c r="V2423" s="36">
        <f>IF(AND(OR(sel_Region="All",C2423=sel_Region),OR(sel_Channel="All",E2423=sel_Channel),OR(sel_Customer="All",F2423=sel_Customer),OR(sel_Category="All",G2423=sel_Category),OR(sel_Product="All",H2423=sel_Product),AND(S2423&gt;=m_From,S2423&lt;=m_To)),1,0)</f>
        <v/>
      </c>
      <c r="W2423" s="36">
        <f>IF(AND(OR(sel_Region="All",C2423=sel_Region),OR(sel_Country="All",D2423=sel_Country),OR(sel_Customer="All",F2423=sel_Customer),OR(sel_Category="All",G2423=sel_Category),OR(sel_Product="All",H2423=sel_Product),AND(S2423&gt;=m_From,S2423&lt;=m_To)),1,0)</f>
        <v/>
      </c>
      <c r="X2423" s="36">
        <f>IF(AND(OR(sel_Region="All",C2423=sel_Region),OR(sel_Country="All",D2423=sel_Country),OR(sel_Channel="All",E2423=sel_Channel),OR(sel_Category="All",G2423=sel_Category),OR(sel_Product="All",H2423=sel_Product),AND(S2423&gt;=m_From,S2423&lt;=m_To)),1,0)</f>
        <v/>
      </c>
      <c r="Y2423" s="36">
        <f>IF(AND(OR(sel_Region="All",C2423=sel_Region),OR(sel_Country="All",D2423=sel_Country),OR(sel_Channel="All",E2423=sel_Channel),OR(sel_Customer="All",F2423=sel_Customer),OR(sel_Product="All",H2423=sel_Product),AND(S2423&gt;=m_From,S2423&lt;=m_To)),1,0)</f>
        <v/>
      </c>
      <c r="Z2423" s="36">
        <f>IF(AND(OR(sel_Region="All",C2423=sel_Region),OR(sel_Country="All",D2423=sel_Country),OR(sel_Channel="All",E2423=sel_Channel),OR(sel_Customer="All",F2423=sel_Customer),OR(sel_Category="All",G2423=sel_Category),AND(S2423&gt;=m_From,S2423&lt;=m_To)),1,0)</f>
        <v/>
      </c>
      <c r="AA2423" s="36">
        <f>IF(AND(OR(sel_Region="All",C2423=sel_Region),OR(sel_Country="All",D2423=sel_Country),OR(sel_Channel="All",E2423=sel_Channel),OR(sel_Customer="All",F2423=sel_Customer),OR(sel_Category="All",G2423=sel_Category),OR(sel_Product="All",H2423=sel_Product)),1,0)</f>
        <v/>
      </c>
    </row>
    <row r="2424">
      <c r="A2424" s="36" t="inlineStr">
        <is>
          <t>05065</t>
        </is>
      </c>
      <c r="B2424" s="44" t="n">
        <v>46348</v>
      </c>
      <c r="C2424" s="36" t="inlineStr">
        <is>
          <t>Western Europe</t>
        </is>
      </c>
      <c r="D2424" s="36" t="inlineStr">
        <is>
          <t>United Kingdom</t>
        </is>
      </c>
      <c r="E2424" s="36" t="inlineStr">
        <is>
          <t>Online Store</t>
        </is>
      </c>
      <c r="F2424" s="36" t="inlineStr">
        <is>
          <t>New</t>
        </is>
      </c>
      <c r="G2424" s="36" t="inlineStr">
        <is>
          <t>Travel</t>
        </is>
      </c>
      <c r="H2424" s="36" t="inlineStr">
        <is>
          <t>Travel Backpack 35L</t>
        </is>
      </c>
      <c r="I2424" s="36" t="n">
        <v>2</v>
      </c>
      <c r="J2424" s="39" t="n">
        <v>166.15</v>
      </c>
      <c r="K2424" s="45" t="n">
        <v>0</v>
      </c>
      <c r="L2424" s="39" t="n">
        <v>86.42</v>
      </c>
      <c r="M2424" s="39">
        <f>I2424*J2424*(1-K2424)</f>
        <v/>
      </c>
      <c r="N2424" s="39">
        <f>I2424*L2424</f>
        <v/>
      </c>
      <c r="O2424" s="39">
        <f>M2424-N2424</f>
        <v/>
      </c>
      <c r="P2424" s="38">
        <f>IF(M2424=0,0,O2424/M2424)</f>
        <v/>
      </c>
      <c r="Q2424" s="36">
        <f>YEAR(B2424)</f>
        <v/>
      </c>
      <c r="R2424" s="36">
        <f>"Q"&amp;ROUNDUP(MONTH(B2424)/3,0)</f>
        <v/>
      </c>
      <c r="S2424" s="36">
        <f>MONTH(B2424)</f>
        <v/>
      </c>
      <c r="T2424" s="36">
        <f>TEXT(B2424,"mmm")</f>
        <v/>
      </c>
      <c r="U2424" s="36">
        <f>IF(AND(OR(sel_Region="All",C2424=sel_Region),OR(sel_Country="All",D2424=sel_Country),OR(sel_Channel="All",E2424=sel_Channel),OR(sel_Customer="All",F2424=sel_Customer),OR(sel_Category="All",G2424=sel_Category),OR(sel_Product="All",H2424=sel_Product),AND(S2424&gt;=m_From,S2424&lt;=m_To)),1,0)</f>
        <v/>
      </c>
      <c r="V2424" s="36">
        <f>IF(AND(OR(sel_Region="All",C2424=sel_Region),OR(sel_Channel="All",E2424=sel_Channel),OR(sel_Customer="All",F2424=sel_Customer),OR(sel_Category="All",G2424=sel_Category),OR(sel_Product="All",H2424=sel_Product),AND(S2424&gt;=m_From,S2424&lt;=m_To)),1,0)</f>
        <v/>
      </c>
      <c r="W2424" s="36">
        <f>IF(AND(OR(sel_Region="All",C2424=sel_Region),OR(sel_Country="All",D2424=sel_Country),OR(sel_Customer="All",F2424=sel_Customer),OR(sel_Category="All",G2424=sel_Category),OR(sel_Product="All",H2424=sel_Product),AND(S2424&gt;=m_From,S2424&lt;=m_To)),1,0)</f>
        <v/>
      </c>
      <c r="X2424" s="36">
        <f>IF(AND(OR(sel_Region="All",C2424=sel_Region),OR(sel_Country="All",D2424=sel_Country),OR(sel_Channel="All",E2424=sel_Channel),OR(sel_Category="All",G2424=sel_Category),OR(sel_Product="All",H2424=sel_Product),AND(S2424&gt;=m_From,S2424&lt;=m_To)),1,0)</f>
        <v/>
      </c>
      <c r="Y2424" s="36">
        <f>IF(AND(OR(sel_Region="All",C2424=sel_Region),OR(sel_Country="All",D2424=sel_Country),OR(sel_Channel="All",E2424=sel_Channel),OR(sel_Customer="All",F2424=sel_Customer),OR(sel_Product="All",H2424=sel_Product),AND(S2424&gt;=m_From,S2424&lt;=m_To)),1,0)</f>
        <v/>
      </c>
      <c r="Z2424" s="36">
        <f>IF(AND(OR(sel_Region="All",C2424=sel_Region),OR(sel_Country="All",D2424=sel_Country),OR(sel_Channel="All",E2424=sel_Channel),OR(sel_Customer="All",F2424=sel_Customer),OR(sel_Category="All",G2424=sel_Category),AND(S2424&gt;=m_From,S2424&lt;=m_To)),1,0)</f>
        <v/>
      </c>
      <c r="AA2424" s="36">
        <f>IF(AND(OR(sel_Region="All",C2424=sel_Region),OR(sel_Country="All",D2424=sel_Country),OR(sel_Channel="All",E2424=sel_Channel),OR(sel_Customer="All",F2424=sel_Customer),OR(sel_Category="All",G2424=sel_Category),OR(sel_Product="All",H2424=sel_Product)),1,0)</f>
        <v/>
      </c>
    </row>
    <row r="2425">
      <c r="A2425" s="36" t="inlineStr">
        <is>
          <t>05146</t>
        </is>
      </c>
      <c r="B2425" s="44" t="n">
        <v>46348</v>
      </c>
      <c r="C2425" s="36" t="inlineStr">
        <is>
          <t>Central Europe</t>
        </is>
      </c>
      <c r="D2425" s="36" t="inlineStr">
        <is>
          <t>Austria</t>
        </is>
      </c>
      <c r="E2425" s="36" t="inlineStr">
        <is>
          <t>Online Store</t>
        </is>
      </c>
      <c r="F2425" s="36" t="inlineStr">
        <is>
          <t>New</t>
        </is>
      </c>
      <c r="G2425" s="36" t="inlineStr">
        <is>
          <t>Fitness</t>
        </is>
      </c>
      <c r="H2425" s="36" t="inlineStr">
        <is>
          <t>Recovery Roller</t>
        </is>
      </c>
      <c r="I2425" s="36" t="n">
        <v>1</v>
      </c>
      <c r="J2425" s="39" t="n">
        <v>35.79</v>
      </c>
      <c r="K2425" s="45" t="n">
        <v>0.1</v>
      </c>
      <c r="L2425" s="39" t="n">
        <v>14.17</v>
      </c>
      <c r="M2425" s="39">
        <f>I2425*J2425*(1-K2425)</f>
        <v/>
      </c>
      <c r="N2425" s="39">
        <f>I2425*L2425</f>
        <v/>
      </c>
      <c r="O2425" s="39">
        <f>M2425-N2425</f>
        <v/>
      </c>
      <c r="P2425" s="38">
        <f>IF(M2425=0,0,O2425/M2425)</f>
        <v/>
      </c>
      <c r="Q2425" s="36">
        <f>YEAR(B2425)</f>
        <v/>
      </c>
      <c r="R2425" s="36">
        <f>"Q"&amp;ROUNDUP(MONTH(B2425)/3,0)</f>
        <v/>
      </c>
      <c r="S2425" s="36">
        <f>MONTH(B2425)</f>
        <v/>
      </c>
      <c r="T2425" s="36">
        <f>TEXT(B2425,"mmm")</f>
        <v/>
      </c>
      <c r="U2425" s="36">
        <f>IF(AND(OR(sel_Region="All",C2425=sel_Region),OR(sel_Country="All",D2425=sel_Country),OR(sel_Channel="All",E2425=sel_Channel),OR(sel_Customer="All",F2425=sel_Customer),OR(sel_Category="All",G2425=sel_Category),OR(sel_Product="All",H2425=sel_Product),AND(S2425&gt;=m_From,S2425&lt;=m_To)),1,0)</f>
        <v/>
      </c>
      <c r="V2425" s="36">
        <f>IF(AND(OR(sel_Region="All",C2425=sel_Region),OR(sel_Channel="All",E2425=sel_Channel),OR(sel_Customer="All",F2425=sel_Customer),OR(sel_Category="All",G2425=sel_Category),OR(sel_Product="All",H2425=sel_Product),AND(S2425&gt;=m_From,S2425&lt;=m_To)),1,0)</f>
        <v/>
      </c>
      <c r="W2425" s="36">
        <f>IF(AND(OR(sel_Region="All",C2425=sel_Region),OR(sel_Country="All",D2425=sel_Country),OR(sel_Customer="All",F2425=sel_Customer),OR(sel_Category="All",G2425=sel_Category),OR(sel_Product="All",H2425=sel_Product),AND(S2425&gt;=m_From,S2425&lt;=m_To)),1,0)</f>
        <v/>
      </c>
      <c r="X2425" s="36">
        <f>IF(AND(OR(sel_Region="All",C2425=sel_Region),OR(sel_Country="All",D2425=sel_Country),OR(sel_Channel="All",E2425=sel_Channel),OR(sel_Category="All",G2425=sel_Category),OR(sel_Product="All",H2425=sel_Product),AND(S2425&gt;=m_From,S2425&lt;=m_To)),1,0)</f>
        <v/>
      </c>
      <c r="Y2425" s="36">
        <f>IF(AND(OR(sel_Region="All",C2425=sel_Region),OR(sel_Country="All",D2425=sel_Country),OR(sel_Channel="All",E2425=sel_Channel),OR(sel_Customer="All",F2425=sel_Customer),OR(sel_Product="All",H2425=sel_Product),AND(S2425&gt;=m_From,S2425&lt;=m_To)),1,0)</f>
        <v/>
      </c>
      <c r="Z2425" s="36">
        <f>IF(AND(OR(sel_Region="All",C2425=sel_Region),OR(sel_Country="All",D2425=sel_Country),OR(sel_Channel="All",E2425=sel_Channel),OR(sel_Customer="All",F2425=sel_Customer),OR(sel_Category="All",G2425=sel_Category),AND(S2425&gt;=m_From,S2425&lt;=m_To)),1,0)</f>
        <v/>
      </c>
      <c r="AA2425" s="36">
        <f>IF(AND(OR(sel_Region="All",C2425=sel_Region),OR(sel_Country="All",D2425=sel_Country),OR(sel_Channel="All",E2425=sel_Channel),OR(sel_Customer="All",F2425=sel_Customer),OR(sel_Category="All",G2425=sel_Category),OR(sel_Product="All",H2425=sel_Product)),1,0)</f>
        <v/>
      </c>
    </row>
    <row r="2426">
      <c r="A2426" s="36" t="inlineStr">
        <is>
          <t>00320</t>
        </is>
      </c>
      <c r="B2426" s="44" t="n">
        <v>46349</v>
      </c>
      <c r="C2426" s="36" t="inlineStr">
        <is>
          <t>Northern Europe</t>
        </is>
      </c>
      <c r="D2426" s="36" t="inlineStr">
        <is>
          <t>Sweden</t>
        </is>
      </c>
      <c r="E2426" s="36" t="inlineStr">
        <is>
          <t>Online Store</t>
        </is>
      </c>
      <c r="F2426" s="36" t="inlineStr">
        <is>
          <t>New</t>
        </is>
      </c>
      <c r="G2426" s="36" t="inlineStr">
        <is>
          <t>Camping</t>
        </is>
      </c>
      <c r="H2426" s="36" t="inlineStr">
        <is>
          <t>Trail Tent 2P</t>
        </is>
      </c>
      <c r="I2426" s="36" t="n">
        <v>5</v>
      </c>
      <c r="J2426" s="39" t="n">
        <v>196.53</v>
      </c>
      <c r="K2426" s="45" t="n">
        <v>0.15</v>
      </c>
      <c r="L2426" s="39" t="n">
        <v>105.01</v>
      </c>
      <c r="M2426" s="39">
        <f>I2426*J2426*(1-K2426)</f>
        <v/>
      </c>
      <c r="N2426" s="39">
        <f>I2426*L2426</f>
        <v/>
      </c>
      <c r="O2426" s="39">
        <f>M2426-N2426</f>
        <v/>
      </c>
      <c r="P2426" s="38">
        <f>IF(M2426=0,0,O2426/M2426)</f>
        <v/>
      </c>
      <c r="Q2426" s="36">
        <f>YEAR(B2426)</f>
        <v/>
      </c>
      <c r="R2426" s="36">
        <f>"Q"&amp;ROUNDUP(MONTH(B2426)/3,0)</f>
        <v/>
      </c>
      <c r="S2426" s="36">
        <f>MONTH(B2426)</f>
        <v/>
      </c>
      <c r="T2426" s="36">
        <f>TEXT(B2426,"mmm")</f>
        <v/>
      </c>
      <c r="U2426" s="36">
        <f>IF(AND(OR(sel_Region="All",C2426=sel_Region),OR(sel_Country="All",D2426=sel_Country),OR(sel_Channel="All",E2426=sel_Channel),OR(sel_Customer="All",F2426=sel_Customer),OR(sel_Category="All",G2426=sel_Category),OR(sel_Product="All",H2426=sel_Product),AND(S2426&gt;=m_From,S2426&lt;=m_To)),1,0)</f>
        <v/>
      </c>
      <c r="V2426" s="36">
        <f>IF(AND(OR(sel_Region="All",C2426=sel_Region),OR(sel_Channel="All",E2426=sel_Channel),OR(sel_Customer="All",F2426=sel_Customer),OR(sel_Category="All",G2426=sel_Category),OR(sel_Product="All",H2426=sel_Product),AND(S2426&gt;=m_From,S2426&lt;=m_To)),1,0)</f>
        <v/>
      </c>
      <c r="W2426" s="36">
        <f>IF(AND(OR(sel_Region="All",C2426=sel_Region),OR(sel_Country="All",D2426=sel_Country),OR(sel_Customer="All",F2426=sel_Customer),OR(sel_Category="All",G2426=sel_Category),OR(sel_Product="All",H2426=sel_Product),AND(S2426&gt;=m_From,S2426&lt;=m_To)),1,0)</f>
        <v/>
      </c>
      <c r="X2426" s="36">
        <f>IF(AND(OR(sel_Region="All",C2426=sel_Region),OR(sel_Country="All",D2426=sel_Country),OR(sel_Channel="All",E2426=sel_Channel),OR(sel_Category="All",G2426=sel_Category),OR(sel_Product="All",H2426=sel_Product),AND(S2426&gt;=m_From,S2426&lt;=m_To)),1,0)</f>
        <v/>
      </c>
      <c r="Y2426" s="36">
        <f>IF(AND(OR(sel_Region="All",C2426=sel_Region),OR(sel_Country="All",D2426=sel_Country),OR(sel_Channel="All",E2426=sel_Channel),OR(sel_Customer="All",F2426=sel_Customer),OR(sel_Product="All",H2426=sel_Product),AND(S2426&gt;=m_From,S2426&lt;=m_To)),1,0)</f>
        <v/>
      </c>
      <c r="Z2426" s="36">
        <f>IF(AND(OR(sel_Region="All",C2426=sel_Region),OR(sel_Country="All",D2426=sel_Country),OR(sel_Channel="All",E2426=sel_Channel),OR(sel_Customer="All",F2426=sel_Customer),OR(sel_Category="All",G2426=sel_Category),AND(S2426&gt;=m_From,S2426&lt;=m_To)),1,0)</f>
        <v/>
      </c>
      <c r="AA2426" s="36">
        <f>IF(AND(OR(sel_Region="All",C2426=sel_Region),OR(sel_Country="All",D2426=sel_Country),OR(sel_Channel="All",E2426=sel_Channel),OR(sel_Customer="All",F2426=sel_Customer),OR(sel_Category="All",G2426=sel_Category),OR(sel_Product="All",H2426=sel_Product)),1,0)</f>
        <v/>
      </c>
    </row>
    <row r="2427">
      <c r="A2427" s="36" t="inlineStr">
        <is>
          <t>01250</t>
        </is>
      </c>
      <c r="B2427" s="44" t="n">
        <v>46349</v>
      </c>
      <c r="C2427" s="36" t="inlineStr">
        <is>
          <t>Central Europe</t>
        </is>
      </c>
      <c r="D2427" s="36" t="inlineStr">
        <is>
          <t>Germany</t>
        </is>
      </c>
      <c r="E2427" s="36" t="inlineStr">
        <is>
          <t>Online Store</t>
        </is>
      </c>
      <c r="F2427" s="36" t="inlineStr">
        <is>
          <t>New</t>
        </is>
      </c>
      <c r="G2427" s="36" t="inlineStr">
        <is>
          <t>Travel</t>
        </is>
      </c>
      <c r="H2427" s="36" t="inlineStr">
        <is>
          <t>Insulated Bottle</t>
        </is>
      </c>
      <c r="I2427" s="36" t="n">
        <v>6</v>
      </c>
      <c r="J2427" s="39" t="n">
        <v>36.35</v>
      </c>
      <c r="K2427" s="45" t="n">
        <v>0</v>
      </c>
      <c r="L2427" s="39" t="n">
        <v>13.24</v>
      </c>
      <c r="M2427" s="39">
        <f>I2427*J2427*(1-K2427)</f>
        <v/>
      </c>
      <c r="N2427" s="39">
        <f>I2427*L2427</f>
        <v/>
      </c>
      <c r="O2427" s="39">
        <f>M2427-N2427</f>
        <v/>
      </c>
      <c r="P2427" s="38">
        <f>IF(M2427=0,0,O2427/M2427)</f>
        <v/>
      </c>
      <c r="Q2427" s="36">
        <f>YEAR(B2427)</f>
        <v/>
      </c>
      <c r="R2427" s="36">
        <f>"Q"&amp;ROUNDUP(MONTH(B2427)/3,0)</f>
        <v/>
      </c>
      <c r="S2427" s="36">
        <f>MONTH(B2427)</f>
        <v/>
      </c>
      <c r="T2427" s="36">
        <f>TEXT(B2427,"mmm")</f>
        <v/>
      </c>
      <c r="U2427" s="36">
        <f>IF(AND(OR(sel_Region="All",C2427=sel_Region),OR(sel_Country="All",D2427=sel_Country),OR(sel_Channel="All",E2427=sel_Channel),OR(sel_Customer="All",F2427=sel_Customer),OR(sel_Category="All",G2427=sel_Category),OR(sel_Product="All",H2427=sel_Product),AND(S2427&gt;=m_From,S2427&lt;=m_To)),1,0)</f>
        <v/>
      </c>
      <c r="V2427" s="36">
        <f>IF(AND(OR(sel_Region="All",C2427=sel_Region),OR(sel_Channel="All",E2427=sel_Channel),OR(sel_Customer="All",F2427=sel_Customer),OR(sel_Category="All",G2427=sel_Category),OR(sel_Product="All",H2427=sel_Product),AND(S2427&gt;=m_From,S2427&lt;=m_To)),1,0)</f>
        <v/>
      </c>
      <c r="W2427" s="36">
        <f>IF(AND(OR(sel_Region="All",C2427=sel_Region),OR(sel_Country="All",D2427=sel_Country),OR(sel_Customer="All",F2427=sel_Customer),OR(sel_Category="All",G2427=sel_Category),OR(sel_Product="All",H2427=sel_Product),AND(S2427&gt;=m_From,S2427&lt;=m_To)),1,0)</f>
        <v/>
      </c>
      <c r="X2427" s="36">
        <f>IF(AND(OR(sel_Region="All",C2427=sel_Region),OR(sel_Country="All",D2427=sel_Country),OR(sel_Channel="All",E2427=sel_Channel),OR(sel_Category="All",G2427=sel_Category),OR(sel_Product="All",H2427=sel_Product),AND(S2427&gt;=m_From,S2427&lt;=m_To)),1,0)</f>
        <v/>
      </c>
      <c r="Y2427" s="36">
        <f>IF(AND(OR(sel_Region="All",C2427=sel_Region),OR(sel_Country="All",D2427=sel_Country),OR(sel_Channel="All",E2427=sel_Channel),OR(sel_Customer="All",F2427=sel_Customer),OR(sel_Product="All",H2427=sel_Product),AND(S2427&gt;=m_From,S2427&lt;=m_To)),1,0)</f>
        <v/>
      </c>
      <c r="Z2427" s="36">
        <f>IF(AND(OR(sel_Region="All",C2427=sel_Region),OR(sel_Country="All",D2427=sel_Country),OR(sel_Channel="All",E2427=sel_Channel),OR(sel_Customer="All",F2427=sel_Customer),OR(sel_Category="All",G2427=sel_Category),AND(S2427&gt;=m_From,S2427&lt;=m_To)),1,0)</f>
        <v/>
      </c>
      <c r="AA2427" s="36">
        <f>IF(AND(OR(sel_Region="All",C2427=sel_Region),OR(sel_Country="All",D2427=sel_Country),OR(sel_Channel="All",E2427=sel_Channel),OR(sel_Customer="All",F2427=sel_Customer),OR(sel_Category="All",G2427=sel_Category),OR(sel_Product="All",H2427=sel_Product)),1,0)</f>
        <v/>
      </c>
    </row>
    <row r="2428">
      <c r="A2428" s="36" t="inlineStr">
        <is>
          <t>02584</t>
        </is>
      </c>
      <c r="B2428" s="44" t="n">
        <v>46349</v>
      </c>
      <c r="C2428" s="36" t="inlineStr">
        <is>
          <t>Central Europe</t>
        </is>
      </c>
      <c r="D2428" s="36" t="inlineStr">
        <is>
          <t>Austria</t>
        </is>
      </c>
      <c r="E2428" s="36" t="inlineStr">
        <is>
          <t>Corporate</t>
        </is>
      </c>
      <c r="F2428" s="36" t="inlineStr">
        <is>
          <t>Returning</t>
        </is>
      </c>
      <c r="G2428" s="36" t="inlineStr">
        <is>
          <t>Camping</t>
        </is>
      </c>
      <c r="H2428" s="36" t="inlineStr">
        <is>
          <t>Trail Tent 2P</t>
        </is>
      </c>
      <c r="I2428" s="36" t="n">
        <v>15</v>
      </c>
      <c r="J2428" s="39" t="n">
        <v>192.23</v>
      </c>
      <c r="K2428" s="45" t="n">
        <v>0.15</v>
      </c>
      <c r="L2428" s="39" t="n">
        <v>106.34</v>
      </c>
      <c r="M2428" s="39">
        <f>I2428*J2428*(1-K2428)</f>
        <v/>
      </c>
      <c r="N2428" s="39">
        <f>I2428*L2428</f>
        <v/>
      </c>
      <c r="O2428" s="39">
        <f>M2428-N2428</f>
        <v/>
      </c>
      <c r="P2428" s="38">
        <f>IF(M2428=0,0,O2428/M2428)</f>
        <v/>
      </c>
      <c r="Q2428" s="36">
        <f>YEAR(B2428)</f>
        <v/>
      </c>
      <c r="R2428" s="36">
        <f>"Q"&amp;ROUNDUP(MONTH(B2428)/3,0)</f>
        <v/>
      </c>
      <c r="S2428" s="36">
        <f>MONTH(B2428)</f>
        <v/>
      </c>
      <c r="T2428" s="36">
        <f>TEXT(B2428,"mmm")</f>
        <v/>
      </c>
      <c r="U2428" s="36">
        <f>IF(AND(OR(sel_Region="All",C2428=sel_Region),OR(sel_Country="All",D2428=sel_Country),OR(sel_Channel="All",E2428=sel_Channel),OR(sel_Customer="All",F2428=sel_Customer),OR(sel_Category="All",G2428=sel_Category),OR(sel_Product="All",H2428=sel_Product),AND(S2428&gt;=m_From,S2428&lt;=m_To)),1,0)</f>
        <v/>
      </c>
      <c r="V2428" s="36">
        <f>IF(AND(OR(sel_Region="All",C2428=sel_Region),OR(sel_Channel="All",E2428=sel_Channel),OR(sel_Customer="All",F2428=sel_Customer),OR(sel_Category="All",G2428=sel_Category),OR(sel_Product="All",H2428=sel_Product),AND(S2428&gt;=m_From,S2428&lt;=m_To)),1,0)</f>
        <v/>
      </c>
      <c r="W2428" s="36">
        <f>IF(AND(OR(sel_Region="All",C2428=sel_Region),OR(sel_Country="All",D2428=sel_Country),OR(sel_Customer="All",F2428=sel_Customer),OR(sel_Category="All",G2428=sel_Category),OR(sel_Product="All",H2428=sel_Product),AND(S2428&gt;=m_From,S2428&lt;=m_To)),1,0)</f>
        <v/>
      </c>
      <c r="X2428" s="36">
        <f>IF(AND(OR(sel_Region="All",C2428=sel_Region),OR(sel_Country="All",D2428=sel_Country),OR(sel_Channel="All",E2428=sel_Channel),OR(sel_Category="All",G2428=sel_Category),OR(sel_Product="All",H2428=sel_Product),AND(S2428&gt;=m_From,S2428&lt;=m_To)),1,0)</f>
        <v/>
      </c>
      <c r="Y2428" s="36">
        <f>IF(AND(OR(sel_Region="All",C2428=sel_Region),OR(sel_Country="All",D2428=sel_Country),OR(sel_Channel="All",E2428=sel_Channel),OR(sel_Customer="All",F2428=sel_Customer),OR(sel_Product="All",H2428=sel_Product),AND(S2428&gt;=m_From,S2428&lt;=m_To)),1,0)</f>
        <v/>
      </c>
      <c r="Z2428" s="36">
        <f>IF(AND(OR(sel_Region="All",C2428=sel_Region),OR(sel_Country="All",D2428=sel_Country),OR(sel_Channel="All",E2428=sel_Channel),OR(sel_Customer="All",F2428=sel_Customer),OR(sel_Category="All",G2428=sel_Category),AND(S2428&gt;=m_From,S2428&lt;=m_To)),1,0)</f>
        <v/>
      </c>
      <c r="AA2428" s="36">
        <f>IF(AND(OR(sel_Region="All",C2428=sel_Region),OR(sel_Country="All",D2428=sel_Country),OR(sel_Channel="All",E2428=sel_Channel),OR(sel_Customer="All",F2428=sel_Customer),OR(sel_Category="All",G2428=sel_Category),OR(sel_Product="All",H2428=sel_Product)),1,0)</f>
        <v/>
      </c>
    </row>
    <row r="2429">
      <c r="A2429" s="36" t="inlineStr">
        <is>
          <t>02717</t>
        </is>
      </c>
      <c r="B2429" s="44" t="n">
        <v>46349</v>
      </c>
      <c r="C2429" s="36" t="inlineStr">
        <is>
          <t>Central Europe</t>
        </is>
      </c>
      <c r="D2429" s="36" t="inlineStr">
        <is>
          <t>Germany</t>
        </is>
      </c>
      <c r="E2429" s="36" t="inlineStr">
        <is>
          <t>Online Store</t>
        </is>
      </c>
      <c r="F2429" s="36" t="inlineStr">
        <is>
          <t>New</t>
        </is>
      </c>
      <c r="G2429" s="36" t="inlineStr">
        <is>
          <t>Travel</t>
        </is>
      </c>
      <c r="H2429" s="36" t="inlineStr">
        <is>
          <t>Travel Backpack 35L</t>
        </is>
      </c>
      <c r="I2429" s="36" t="n">
        <v>2</v>
      </c>
      <c r="J2429" s="39" t="n">
        <v>167.9</v>
      </c>
      <c r="K2429" s="45" t="n">
        <v>0.15</v>
      </c>
      <c r="L2429" s="39" t="n">
        <v>89.55</v>
      </c>
      <c r="M2429" s="39">
        <f>I2429*J2429*(1-K2429)</f>
        <v/>
      </c>
      <c r="N2429" s="39">
        <f>I2429*L2429</f>
        <v/>
      </c>
      <c r="O2429" s="39">
        <f>M2429-N2429</f>
        <v/>
      </c>
      <c r="P2429" s="38">
        <f>IF(M2429=0,0,O2429/M2429)</f>
        <v/>
      </c>
      <c r="Q2429" s="36">
        <f>YEAR(B2429)</f>
        <v/>
      </c>
      <c r="R2429" s="36">
        <f>"Q"&amp;ROUNDUP(MONTH(B2429)/3,0)</f>
        <v/>
      </c>
      <c r="S2429" s="36">
        <f>MONTH(B2429)</f>
        <v/>
      </c>
      <c r="T2429" s="36">
        <f>TEXT(B2429,"mmm")</f>
        <v/>
      </c>
      <c r="U2429" s="36">
        <f>IF(AND(OR(sel_Region="All",C2429=sel_Region),OR(sel_Country="All",D2429=sel_Country),OR(sel_Channel="All",E2429=sel_Channel),OR(sel_Customer="All",F2429=sel_Customer),OR(sel_Category="All",G2429=sel_Category),OR(sel_Product="All",H2429=sel_Product),AND(S2429&gt;=m_From,S2429&lt;=m_To)),1,0)</f>
        <v/>
      </c>
      <c r="V2429" s="36">
        <f>IF(AND(OR(sel_Region="All",C2429=sel_Region),OR(sel_Channel="All",E2429=sel_Channel),OR(sel_Customer="All",F2429=sel_Customer),OR(sel_Category="All",G2429=sel_Category),OR(sel_Product="All",H2429=sel_Product),AND(S2429&gt;=m_From,S2429&lt;=m_To)),1,0)</f>
        <v/>
      </c>
      <c r="W2429" s="36">
        <f>IF(AND(OR(sel_Region="All",C2429=sel_Region),OR(sel_Country="All",D2429=sel_Country),OR(sel_Customer="All",F2429=sel_Customer),OR(sel_Category="All",G2429=sel_Category),OR(sel_Product="All",H2429=sel_Product),AND(S2429&gt;=m_From,S2429&lt;=m_To)),1,0)</f>
        <v/>
      </c>
      <c r="X2429" s="36">
        <f>IF(AND(OR(sel_Region="All",C2429=sel_Region),OR(sel_Country="All",D2429=sel_Country),OR(sel_Channel="All",E2429=sel_Channel),OR(sel_Category="All",G2429=sel_Category),OR(sel_Product="All",H2429=sel_Product),AND(S2429&gt;=m_From,S2429&lt;=m_To)),1,0)</f>
        <v/>
      </c>
      <c r="Y2429" s="36">
        <f>IF(AND(OR(sel_Region="All",C2429=sel_Region),OR(sel_Country="All",D2429=sel_Country),OR(sel_Channel="All",E2429=sel_Channel),OR(sel_Customer="All",F2429=sel_Customer),OR(sel_Product="All",H2429=sel_Product),AND(S2429&gt;=m_From,S2429&lt;=m_To)),1,0)</f>
        <v/>
      </c>
      <c r="Z2429" s="36">
        <f>IF(AND(OR(sel_Region="All",C2429=sel_Region),OR(sel_Country="All",D2429=sel_Country),OR(sel_Channel="All",E2429=sel_Channel),OR(sel_Customer="All",F2429=sel_Customer),OR(sel_Category="All",G2429=sel_Category),AND(S2429&gt;=m_From,S2429&lt;=m_To)),1,0)</f>
        <v/>
      </c>
      <c r="AA2429" s="36">
        <f>IF(AND(OR(sel_Region="All",C2429=sel_Region),OR(sel_Country="All",D2429=sel_Country),OR(sel_Channel="All",E2429=sel_Channel),OR(sel_Customer="All",F2429=sel_Customer),OR(sel_Category="All",G2429=sel_Category),OR(sel_Product="All",H2429=sel_Product)),1,0)</f>
        <v/>
      </c>
    </row>
    <row r="2430">
      <c r="A2430" s="36" t="inlineStr">
        <is>
          <t>02737</t>
        </is>
      </c>
      <c r="B2430" s="44" t="n">
        <v>46349</v>
      </c>
      <c r="C2430" s="36" t="inlineStr">
        <is>
          <t>Central Europe</t>
        </is>
      </c>
      <c r="D2430" s="36" t="inlineStr">
        <is>
          <t>Austria</t>
        </is>
      </c>
      <c r="E2430" s="36" t="inlineStr">
        <is>
          <t>Online Store</t>
        </is>
      </c>
      <c r="F2430" s="36" t="inlineStr">
        <is>
          <t>Business</t>
        </is>
      </c>
      <c r="G2430" s="36" t="inlineStr">
        <is>
          <t>Camping</t>
        </is>
      </c>
      <c r="H2430" s="36" t="inlineStr">
        <is>
          <t>Portable Camp Stove</t>
        </is>
      </c>
      <c r="I2430" s="36" t="n">
        <v>2</v>
      </c>
      <c r="J2430" s="39" t="n">
        <v>80.70999999999999</v>
      </c>
      <c r="K2430" s="45" t="n">
        <v>0.1</v>
      </c>
      <c r="L2430" s="39" t="n">
        <v>39.33</v>
      </c>
      <c r="M2430" s="39">
        <f>I2430*J2430*(1-K2430)</f>
        <v/>
      </c>
      <c r="N2430" s="39">
        <f>I2430*L2430</f>
        <v/>
      </c>
      <c r="O2430" s="39">
        <f>M2430-N2430</f>
        <v/>
      </c>
      <c r="P2430" s="38">
        <f>IF(M2430=0,0,O2430/M2430)</f>
        <v/>
      </c>
      <c r="Q2430" s="36">
        <f>YEAR(B2430)</f>
        <v/>
      </c>
      <c r="R2430" s="36">
        <f>"Q"&amp;ROUNDUP(MONTH(B2430)/3,0)</f>
        <v/>
      </c>
      <c r="S2430" s="36">
        <f>MONTH(B2430)</f>
        <v/>
      </c>
      <c r="T2430" s="36">
        <f>TEXT(B2430,"mmm")</f>
        <v/>
      </c>
      <c r="U2430" s="36">
        <f>IF(AND(OR(sel_Region="All",C2430=sel_Region),OR(sel_Country="All",D2430=sel_Country),OR(sel_Channel="All",E2430=sel_Channel),OR(sel_Customer="All",F2430=sel_Customer),OR(sel_Category="All",G2430=sel_Category),OR(sel_Product="All",H2430=sel_Product),AND(S2430&gt;=m_From,S2430&lt;=m_To)),1,0)</f>
        <v/>
      </c>
      <c r="V2430" s="36">
        <f>IF(AND(OR(sel_Region="All",C2430=sel_Region),OR(sel_Channel="All",E2430=sel_Channel),OR(sel_Customer="All",F2430=sel_Customer),OR(sel_Category="All",G2430=sel_Category),OR(sel_Product="All",H2430=sel_Product),AND(S2430&gt;=m_From,S2430&lt;=m_To)),1,0)</f>
        <v/>
      </c>
      <c r="W2430" s="36">
        <f>IF(AND(OR(sel_Region="All",C2430=sel_Region),OR(sel_Country="All",D2430=sel_Country),OR(sel_Customer="All",F2430=sel_Customer),OR(sel_Category="All",G2430=sel_Category),OR(sel_Product="All",H2430=sel_Product),AND(S2430&gt;=m_From,S2430&lt;=m_To)),1,0)</f>
        <v/>
      </c>
      <c r="X2430" s="36">
        <f>IF(AND(OR(sel_Region="All",C2430=sel_Region),OR(sel_Country="All",D2430=sel_Country),OR(sel_Channel="All",E2430=sel_Channel),OR(sel_Category="All",G2430=sel_Category),OR(sel_Product="All",H2430=sel_Product),AND(S2430&gt;=m_From,S2430&lt;=m_To)),1,0)</f>
        <v/>
      </c>
      <c r="Y2430" s="36">
        <f>IF(AND(OR(sel_Region="All",C2430=sel_Region),OR(sel_Country="All",D2430=sel_Country),OR(sel_Channel="All",E2430=sel_Channel),OR(sel_Customer="All",F2430=sel_Customer),OR(sel_Product="All",H2430=sel_Product),AND(S2430&gt;=m_From,S2430&lt;=m_To)),1,0)</f>
        <v/>
      </c>
      <c r="Z2430" s="36">
        <f>IF(AND(OR(sel_Region="All",C2430=sel_Region),OR(sel_Country="All",D2430=sel_Country),OR(sel_Channel="All",E2430=sel_Channel),OR(sel_Customer="All",F2430=sel_Customer),OR(sel_Category="All",G2430=sel_Category),AND(S2430&gt;=m_From,S2430&lt;=m_To)),1,0)</f>
        <v/>
      </c>
      <c r="AA2430" s="36">
        <f>IF(AND(OR(sel_Region="All",C2430=sel_Region),OR(sel_Country="All",D2430=sel_Country),OR(sel_Channel="All",E2430=sel_Channel),OR(sel_Customer="All",F2430=sel_Customer),OR(sel_Category="All",G2430=sel_Category),OR(sel_Product="All",H2430=sel_Product)),1,0)</f>
        <v/>
      </c>
    </row>
    <row r="2431">
      <c r="A2431" s="36" t="inlineStr">
        <is>
          <t>03021</t>
        </is>
      </c>
      <c r="B2431" s="44" t="n">
        <v>46349</v>
      </c>
      <c r="C2431" s="36" t="inlineStr">
        <is>
          <t>Southern Europe</t>
        </is>
      </c>
      <c r="D2431" s="36" t="inlineStr">
        <is>
          <t>Italy</t>
        </is>
      </c>
      <c r="E2431" s="36" t="inlineStr">
        <is>
          <t>Online Store</t>
        </is>
      </c>
      <c r="F2431" s="36" t="inlineStr">
        <is>
          <t>Business</t>
        </is>
      </c>
      <c r="G2431" s="36" t="inlineStr">
        <is>
          <t>Hiking</t>
        </is>
      </c>
      <c r="H2431" s="36" t="inlineStr">
        <is>
          <t>Trekking Poles</t>
        </is>
      </c>
      <c r="I2431" s="36" t="n">
        <v>1</v>
      </c>
      <c r="J2431" s="39" t="n">
        <v>71.66</v>
      </c>
      <c r="K2431" s="45" t="n">
        <v>0.2</v>
      </c>
      <c r="L2431" s="39" t="n">
        <v>31.83</v>
      </c>
      <c r="M2431" s="39">
        <f>I2431*J2431*(1-K2431)</f>
        <v/>
      </c>
      <c r="N2431" s="39">
        <f>I2431*L2431</f>
        <v/>
      </c>
      <c r="O2431" s="39">
        <f>M2431-N2431</f>
        <v/>
      </c>
      <c r="P2431" s="38">
        <f>IF(M2431=0,0,O2431/M2431)</f>
        <v/>
      </c>
      <c r="Q2431" s="36">
        <f>YEAR(B2431)</f>
        <v/>
      </c>
      <c r="R2431" s="36">
        <f>"Q"&amp;ROUNDUP(MONTH(B2431)/3,0)</f>
        <v/>
      </c>
      <c r="S2431" s="36">
        <f>MONTH(B2431)</f>
        <v/>
      </c>
      <c r="T2431" s="36">
        <f>TEXT(B2431,"mmm")</f>
        <v/>
      </c>
      <c r="U2431" s="36">
        <f>IF(AND(OR(sel_Region="All",C2431=sel_Region),OR(sel_Country="All",D2431=sel_Country),OR(sel_Channel="All",E2431=sel_Channel),OR(sel_Customer="All",F2431=sel_Customer),OR(sel_Category="All",G2431=sel_Category),OR(sel_Product="All",H2431=sel_Product),AND(S2431&gt;=m_From,S2431&lt;=m_To)),1,0)</f>
        <v/>
      </c>
      <c r="V2431" s="36">
        <f>IF(AND(OR(sel_Region="All",C2431=sel_Region),OR(sel_Channel="All",E2431=sel_Channel),OR(sel_Customer="All",F2431=sel_Customer),OR(sel_Category="All",G2431=sel_Category),OR(sel_Product="All",H2431=sel_Product),AND(S2431&gt;=m_From,S2431&lt;=m_To)),1,0)</f>
        <v/>
      </c>
      <c r="W2431" s="36">
        <f>IF(AND(OR(sel_Region="All",C2431=sel_Region),OR(sel_Country="All",D2431=sel_Country),OR(sel_Customer="All",F2431=sel_Customer),OR(sel_Category="All",G2431=sel_Category),OR(sel_Product="All",H2431=sel_Product),AND(S2431&gt;=m_From,S2431&lt;=m_To)),1,0)</f>
        <v/>
      </c>
      <c r="X2431" s="36">
        <f>IF(AND(OR(sel_Region="All",C2431=sel_Region),OR(sel_Country="All",D2431=sel_Country),OR(sel_Channel="All",E2431=sel_Channel),OR(sel_Category="All",G2431=sel_Category),OR(sel_Product="All",H2431=sel_Product),AND(S2431&gt;=m_From,S2431&lt;=m_To)),1,0)</f>
        <v/>
      </c>
      <c r="Y2431" s="36">
        <f>IF(AND(OR(sel_Region="All",C2431=sel_Region),OR(sel_Country="All",D2431=sel_Country),OR(sel_Channel="All",E2431=sel_Channel),OR(sel_Customer="All",F2431=sel_Customer),OR(sel_Product="All",H2431=sel_Product),AND(S2431&gt;=m_From,S2431&lt;=m_To)),1,0)</f>
        <v/>
      </c>
      <c r="Z2431" s="36">
        <f>IF(AND(OR(sel_Region="All",C2431=sel_Region),OR(sel_Country="All",D2431=sel_Country),OR(sel_Channel="All",E2431=sel_Channel),OR(sel_Customer="All",F2431=sel_Customer),OR(sel_Category="All",G2431=sel_Category),AND(S2431&gt;=m_From,S2431&lt;=m_To)),1,0)</f>
        <v/>
      </c>
      <c r="AA2431" s="36">
        <f>IF(AND(OR(sel_Region="All",C2431=sel_Region),OR(sel_Country="All",D2431=sel_Country),OR(sel_Channel="All",E2431=sel_Channel),OR(sel_Customer="All",F2431=sel_Customer),OR(sel_Category="All",G2431=sel_Category),OR(sel_Product="All",H2431=sel_Product)),1,0)</f>
        <v/>
      </c>
    </row>
    <row r="2432">
      <c r="A2432" s="36" t="inlineStr">
        <is>
          <t>05199</t>
        </is>
      </c>
      <c r="B2432" s="44" t="n">
        <v>46349</v>
      </c>
      <c r="C2432" s="36" t="inlineStr">
        <is>
          <t>Northern Europe</t>
        </is>
      </c>
      <c r="D2432" s="36" t="inlineStr">
        <is>
          <t>Ireland</t>
        </is>
      </c>
      <c r="E2432" s="36" t="inlineStr">
        <is>
          <t>Online Store</t>
        </is>
      </c>
      <c r="F2432" s="36" t="inlineStr">
        <is>
          <t>Returning</t>
        </is>
      </c>
      <c r="G2432" s="36" t="inlineStr">
        <is>
          <t>Camping</t>
        </is>
      </c>
      <c r="H2432" s="36" t="inlineStr">
        <is>
          <t>Compact Sleeping Bag</t>
        </is>
      </c>
      <c r="I2432" s="36" t="n">
        <v>5</v>
      </c>
      <c r="J2432" s="39" t="n">
        <v>125.23</v>
      </c>
      <c r="K2432" s="45" t="n">
        <v>0.05</v>
      </c>
      <c r="L2432" s="39" t="n">
        <v>59.84</v>
      </c>
      <c r="M2432" s="39">
        <f>I2432*J2432*(1-K2432)</f>
        <v/>
      </c>
      <c r="N2432" s="39">
        <f>I2432*L2432</f>
        <v/>
      </c>
      <c r="O2432" s="39">
        <f>M2432-N2432</f>
        <v/>
      </c>
      <c r="P2432" s="38">
        <f>IF(M2432=0,0,O2432/M2432)</f>
        <v/>
      </c>
      <c r="Q2432" s="36">
        <f>YEAR(B2432)</f>
        <v/>
      </c>
      <c r="R2432" s="36">
        <f>"Q"&amp;ROUNDUP(MONTH(B2432)/3,0)</f>
        <v/>
      </c>
      <c r="S2432" s="36">
        <f>MONTH(B2432)</f>
        <v/>
      </c>
      <c r="T2432" s="36">
        <f>TEXT(B2432,"mmm")</f>
        <v/>
      </c>
      <c r="U2432" s="36">
        <f>IF(AND(OR(sel_Region="All",C2432=sel_Region),OR(sel_Country="All",D2432=sel_Country),OR(sel_Channel="All",E2432=sel_Channel),OR(sel_Customer="All",F2432=sel_Customer),OR(sel_Category="All",G2432=sel_Category),OR(sel_Product="All",H2432=sel_Product),AND(S2432&gt;=m_From,S2432&lt;=m_To)),1,0)</f>
        <v/>
      </c>
      <c r="V2432" s="36">
        <f>IF(AND(OR(sel_Region="All",C2432=sel_Region),OR(sel_Channel="All",E2432=sel_Channel),OR(sel_Customer="All",F2432=sel_Customer),OR(sel_Category="All",G2432=sel_Category),OR(sel_Product="All",H2432=sel_Product),AND(S2432&gt;=m_From,S2432&lt;=m_To)),1,0)</f>
        <v/>
      </c>
      <c r="W2432" s="36">
        <f>IF(AND(OR(sel_Region="All",C2432=sel_Region),OR(sel_Country="All",D2432=sel_Country),OR(sel_Customer="All",F2432=sel_Customer),OR(sel_Category="All",G2432=sel_Category),OR(sel_Product="All",H2432=sel_Product),AND(S2432&gt;=m_From,S2432&lt;=m_To)),1,0)</f>
        <v/>
      </c>
      <c r="X2432" s="36">
        <f>IF(AND(OR(sel_Region="All",C2432=sel_Region),OR(sel_Country="All",D2432=sel_Country),OR(sel_Channel="All",E2432=sel_Channel),OR(sel_Category="All",G2432=sel_Category),OR(sel_Product="All",H2432=sel_Product),AND(S2432&gt;=m_From,S2432&lt;=m_To)),1,0)</f>
        <v/>
      </c>
      <c r="Y2432" s="36">
        <f>IF(AND(OR(sel_Region="All",C2432=sel_Region),OR(sel_Country="All",D2432=sel_Country),OR(sel_Channel="All",E2432=sel_Channel),OR(sel_Customer="All",F2432=sel_Customer),OR(sel_Product="All",H2432=sel_Product),AND(S2432&gt;=m_From,S2432&lt;=m_To)),1,0)</f>
        <v/>
      </c>
      <c r="Z2432" s="36">
        <f>IF(AND(OR(sel_Region="All",C2432=sel_Region),OR(sel_Country="All",D2432=sel_Country),OR(sel_Channel="All",E2432=sel_Channel),OR(sel_Customer="All",F2432=sel_Customer),OR(sel_Category="All",G2432=sel_Category),AND(S2432&gt;=m_From,S2432&lt;=m_To)),1,0)</f>
        <v/>
      </c>
      <c r="AA2432" s="36">
        <f>IF(AND(OR(sel_Region="All",C2432=sel_Region),OR(sel_Country="All",D2432=sel_Country),OR(sel_Channel="All",E2432=sel_Channel),OR(sel_Customer="All",F2432=sel_Customer),OR(sel_Category="All",G2432=sel_Category),OR(sel_Product="All",H2432=sel_Product)),1,0)</f>
        <v/>
      </c>
    </row>
    <row r="2433">
      <c r="A2433" s="36" t="inlineStr">
        <is>
          <t>01202</t>
        </is>
      </c>
      <c r="B2433" s="44" t="n">
        <v>46350</v>
      </c>
      <c r="C2433" s="36" t="inlineStr">
        <is>
          <t>Southern Europe</t>
        </is>
      </c>
      <c r="D2433" s="36" t="inlineStr">
        <is>
          <t>Italy</t>
        </is>
      </c>
      <c r="E2433" s="36" t="inlineStr">
        <is>
          <t>Marketplace</t>
        </is>
      </c>
      <c r="F2433" s="36" t="inlineStr">
        <is>
          <t>Returning</t>
        </is>
      </c>
      <c r="G2433" s="36" t="inlineStr">
        <is>
          <t>Hiking</t>
        </is>
      </c>
      <c r="H2433" s="36" t="inlineStr">
        <is>
          <t>Hiking Daypack 20L</t>
        </is>
      </c>
      <c r="I2433" s="36" t="n">
        <v>2</v>
      </c>
      <c r="J2433" s="39" t="n">
        <v>91.33</v>
      </c>
      <c r="K2433" s="45" t="n">
        <v>0.15</v>
      </c>
      <c r="L2433" s="39" t="n">
        <v>45.45</v>
      </c>
      <c r="M2433" s="39">
        <f>I2433*J2433*(1-K2433)</f>
        <v/>
      </c>
      <c r="N2433" s="39">
        <f>I2433*L2433</f>
        <v/>
      </c>
      <c r="O2433" s="39">
        <f>M2433-N2433</f>
        <v/>
      </c>
      <c r="P2433" s="38">
        <f>IF(M2433=0,0,O2433/M2433)</f>
        <v/>
      </c>
      <c r="Q2433" s="36">
        <f>YEAR(B2433)</f>
        <v/>
      </c>
      <c r="R2433" s="36">
        <f>"Q"&amp;ROUNDUP(MONTH(B2433)/3,0)</f>
        <v/>
      </c>
      <c r="S2433" s="36">
        <f>MONTH(B2433)</f>
        <v/>
      </c>
      <c r="T2433" s="36">
        <f>TEXT(B2433,"mmm")</f>
        <v/>
      </c>
      <c r="U2433" s="36">
        <f>IF(AND(OR(sel_Region="All",C2433=sel_Region),OR(sel_Country="All",D2433=sel_Country),OR(sel_Channel="All",E2433=sel_Channel),OR(sel_Customer="All",F2433=sel_Customer),OR(sel_Category="All",G2433=sel_Category),OR(sel_Product="All",H2433=sel_Product),AND(S2433&gt;=m_From,S2433&lt;=m_To)),1,0)</f>
        <v/>
      </c>
      <c r="V2433" s="36">
        <f>IF(AND(OR(sel_Region="All",C2433=sel_Region),OR(sel_Channel="All",E2433=sel_Channel),OR(sel_Customer="All",F2433=sel_Customer),OR(sel_Category="All",G2433=sel_Category),OR(sel_Product="All",H2433=sel_Product),AND(S2433&gt;=m_From,S2433&lt;=m_To)),1,0)</f>
        <v/>
      </c>
      <c r="W2433" s="36">
        <f>IF(AND(OR(sel_Region="All",C2433=sel_Region),OR(sel_Country="All",D2433=sel_Country),OR(sel_Customer="All",F2433=sel_Customer),OR(sel_Category="All",G2433=sel_Category),OR(sel_Product="All",H2433=sel_Product),AND(S2433&gt;=m_From,S2433&lt;=m_To)),1,0)</f>
        <v/>
      </c>
      <c r="X2433" s="36">
        <f>IF(AND(OR(sel_Region="All",C2433=sel_Region),OR(sel_Country="All",D2433=sel_Country),OR(sel_Channel="All",E2433=sel_Channel),OR(sel_Category="All",G2433=sel_Category),OR(sel_Product="All",H2433=sel_Product),AND(S2433&gt;=m_From,S2433&lt;=m_To)),1,0)</f>
        <v/>
      </c>
      <c r="Y2433" s="36">
        <f>IF(AND(OR(sel_Region="All",C2433=sel_Region),OR(sel_Country="All",D2433=sel_Country),OR(sel_Channel="All",E2433=sel_Channel),OR(sel_Customer="All",F2433=sel_Customer),OR(sel_Product="All",H2433=sel_Product),AND(S2433&gt;=m_From,S2433&lt;=m_To)),1,0)</f>
        <v/>
      </c>
      <c r="Z2433" s="36">
        <f>IF(AND(OR(sel_Region="All",C2433=sel_Region),OR(sel_Country="All",D2433=sel_Country),OR(sel_Channel="All",E2433=sel_Channel),OR(sel_Customer="All",F2433=sel_Customer),OR(sel_Category="All",G2433=sel_Category),AND(S2433&gt;=m_From,S2433&lt;=m_To)),1,0)</f>
        <v/>
      </c>
      <c r="AA2433" s="36">
        <f>IF(AND(OR(sel_Region="All",C2433=sel_Region),OR(sel_Country="All",D2433=sel_Country),OR(sel_Channel="All",E2433=sel_Channel),OR(sel_Customer="All",F2433=sel_Customer),OR(sel_Category="All",G2433=sel_Category),OR(sel_Product="All",H2433=sel_Product)),1,0)</f>
        <v/>
      </c>
    </row>
    <row r="2434">
      <c r="A2434" s="36" t="inlineStr">
        <is>
          <t>01365</t>
        </is>
      </c>
      <c r="B2434" s="44" t="n">
        <v>46350</v>
      </c>
      <c r="C2434" s="36" t="inlineStr">
        <is>
          <t>Southern Europe</t>
        </is>
      </c>
      <c r="D2434" s="36" t="inlineStr">
        <is>
          <t>Spain</t>
        </is>
      </c>
      <c r="E2434" s="36" t="inlineStr">
        <is>
          <t>Marketplace</t>
        </is>
      </c>
      <c r="F2434" s="36" t="inlineStr">
        <is>
          <t>New</t>
        </is>
      </c>
      <c r="G2434" s="36" t="inlineStr">
        <is>
          <t>Hiking</t>
        </is>
      </c>
      <c r="H2434" s="36" t="inlineStr">
        <is>
          <t>Summit Backpack 45L</t>
        </is>
      </c>
      <c r="I2434" s="36" t="n">
        <v>4</v>
      </c>
      <c r="J2434" s="39" t="n">
        <v>155.91</v>
      </c>
      <c r="K2434" s="45" t="n">
        <v>0</v>
      </c>
      <c r="L2434" s="39" t="n">
        <v>79.91</v>
      </c>
      <c r="M2434" s="39">
        <f>I2434*J2434*(1-K2434)</f>
        <v/>
      </c>
      <c r="N2434" s="39">
        <f>I2434*L2434</f>
        <v/>
      </c>
      <c r="O2434" s="39">
        <f>M2434-N2434</f>
        <v/>
      </c>
      <c r="P2434" s="38">
        <f>IF(M2434=0,0,O2434/M2434)</f>
        <v/>
      </c>
      <c r="Q2434" s="36">
        <f>YEAR(B2434)</f>
        <v/>
      </c>
      <c r="R2434" s="36">
        <f>"Q"&amp;ROUNDUP(MONTH(B2434)/3,0)</f>
        <v/>
      </c>
      <c r="S2434" s="36">
        <f>MONTH(B2434)</f>
        <v/>
      </c>
      <c r="T2434" s="36">
        <f>TEXT(B2434,"mmm")</f>
        <v/>
      </c>
      <c r="U2434" s="36">
        <f>IF(AND(OR(sel_Region="All",C2434=sel_Region),OR(sel_Country="All",D2434=sel_Country),OR(sel_Channel="All",E2434=sel_Channel),OR(sel_Customer="All",F2434=sel_Customer),OR(sel_Category="All",G2434=sel_Category),OR(sel_Product="All",H2434=sel_Product),AND(S2434&gt;=m_From,S2434&lt;=m_To)),1,0)</f>
        <v/>
      </c>
      <c r="V2434" s="36">
        <f>IF(AND(OR(sel_Region="All",C2434=sel_Region),OR(sel_Channel="All",E2434=sel_Channel),OR(sel_Customer="All",F2434=sel_Customer),OR(sel_Category="All",G2434=sel_Category),OR(sel_Product="All",H2434=sel_Product),AND(S2434&gt;=m_From,S2434&lt;=m_To)),1,0)</f>
        <v/>
      </c>
      <c r="W2434" s="36">
        <f>IF(AND(OR(sel_Region="All",C2434=sel_Region),OR(sel_Country="All",D2434=sel_Country),OR(sel_Customer="All",F2434=sel_Customer),OR(sel_Category="All",G2434=sel_Category),OR(sel_Product="All",H2434=sel_Product),AND(S2434&gt;=m_From,S2434&lt;=m_To)),1,0)</f>
        <v/>
      </c>
      <c r="X2434" s="36">
        <f>IF(AND(OR(sel_Region="All",C2434=sel_Region),OR(sel_Country="All",D2434=sel_Country),OR(sel_Channel="All",E2434=sel_Channel),OR(sel_Category="All",G2434=sel_Category),OR(sel_Product="All",H2434=sel_Product),AND(S2434&gt;=m_From,S2434&lt;=m_To)),1,0)</f>
        <v/>
      </c>
      <c r="Y2434" s="36">
        <f>IF(AND(OR(sel_Region="All",C2434=sel_Region),OR(sel_Country="All",D2434=sel_Country),OR(sel_Channel="All",E2434=sel_Channel),OR(sel_Customer="All",F2434=sel_Customer),OR(sel_Product="All",H2434=sel_Product),AND(S2434&gt;=m_From,S2434&lt;=m_To)),1,0)</f>
        <v/>
      </c>
      <c r="Z2434" s="36">
        <f>IF(AND(OR(sel_Region="All",C2434=sel_Region),OR(sel_Country="All",D2434=sel_Country),OR(sel_Channel="All",E2434=sel_Channel),OR(sel_Customer="All",F2434=sel_Customer),OR(sel_Category="All",G2434=sel_Category),AND(S2434&gt;=m_From,S2434&lt;=m_To)),1,0)</f>
        <v/>
      </c>
      <c r="AA2434" s="36">
        <f>IF(AND(OR(sel_Region="All",C2434=sel_Region),OR(sel_Country="All",D2434=sel_Country),OR(sel_Channel="All",E2434=sel_Channel),OR(sel_Customer="All",F2434=sel_Customer),OR(sel_Category="All",G2434=sel_Category),OR(sel_Product="All",H2434=sel_Product)),1,0)</f>
        <v/>
      </c>
    </row>
    <row r="2435">
      <c r="A2435" s="36" t="inlineStr">
        <is>
          <t>02575</t>
        </is>
      </c>
      <c r="B2435" s="44" t="n">
        <v>46350</v>
      </c>
      <c r="C2435" s="36" t="inlineStr">
        <is>
          <t>Northern Europe</t>
        </is>
      </c>
      <c r="D2435" s="36" t="inlineStr">
        <is>
          <t>Finland</t>
        </is>
      </c>
      <c r="E2435" s="36" t="inlineStr">
        <is>
          <t>Retail Partners</t>
        </is>
      </c>
      <c r="F2435" s="36" t="inlineStr">
        <is>
          <t>Returning</t>
        </is>
      </c>
      <c r="G2435" s="36" t="inlineStr">
        <is>
          <t>Fitness</t>
        </is>
      </c>
      <c r="H2435" s="36" t="inlineStr">
        <is>
          <t>Resistance Band Set</t>
        </is>
      </c>
      <c r="I2435" s="36" t="n">
        <v>1</v>
      </c>
      <c r="J2435" s="39" t="n">
        <v>39.42</v>
      </c>
      <c r="K2435" s="45" t="n">
        <v>0</v>
      </c>
      <c r="L2435" s="39" t="n">
        <v>14.63</v>
      </c>
      <c r="M2435" s="39">
        <f>I2435*J2435*(1-K2435)</f>
        <v/>
      </c>
      <c r="N2435" s="39">
        <f>I2435*L2435</f>
        <v/>
      </c>
      <c r="O2435" s="39">
        <f>M2435-N2435</f>
        <v/>
      </c>
      <c r="P2435" s="38">
        <f>IF(M2435=0,0,O2435/M2435)</f>
        <v/>
      </c>
      <c r="Q2435" s="36">
        <f>YEAR(B2435)</f>
        <v/>
      </c>
      <c r="R2435" s="36">
        <f>"Q"&amp;ROUNDUP(MONTH(B2435)/3,0)</f>
        <v/>
      </c>
      <c r="S2435" s="36">
        <f>MONTH(B2435)</f>
        <v/>
      </c>
      <c r="T2435" s="36">
        <f>TEXT(B2435,"mmm")</f>
        <v/>
      </c>
      <c r="U2435" s="36">
        <f>IF(AND(OR(sel_Region="All",C2435=sel_Region),OR(sel_Country="All",D2435=sel_Country),OR(sel_Channel="All",E2435=sel_Channel),OR(sel_Customer="All",F2435=sel_Customer),OR(sel_Category="All",G2435=sel_Category),OR(sel_Product="All",H2435=sel_Product),AND(S2435&gt;=m_From,S2435&lt;=m_To)),1,0)</f>
        <v/>
      </c>
      <c r="V2435" s="36">
        <f>IF(AND(OR(sel_Region="All",C2435=sel_Region),OR(sel_Channel="All",E2435=sel_Channel),OR(sel_Customer="All",F2435=sel_Customer),OR(sel_Category="All",G2435=sel_Category),OR(sel_Product="All",H2435=sel_Product),AND(S2435&gt;=m_From,S2435&lt;=m_To)),1,0)</f>
        <v/>
      </c>
      <c r="W2435" s="36">
        <f>IF(AND(OR(sel_Region="All",C2435=sel_Region),OR(sel_Country="All",D2435=sel_Country),OR(sel_Customer="All",F2435=sel_Customer),OR(sel_Category="All",G2435=sel_Category),OR(sel_Product="All",H2435=sel_Product),AND(S2435&gt;=m_From,S2435&lt;=m_To)),1,0)</f>
        <v/>
      </c>
      <c r="X2435" s="36">
        <f>IF(AND(OR(sel_Region="All",C2435=sel_Region),OR(sel_Country="All",D2435=sel_Country),OR(sel_Channel="All",E2435=sel_Channel),OR(sel_Category="All",G2435=sel_Category),OR(sel_Product="All",H2435=sel_Product),AND(S2435&gt;=m_From,S2435&lt;=m_To)),1,0)</f>
        <v/>
      </c>
      <c r="Y2435" s="36">
        <f>IF(AND(OR(sel_Region="All",C2435=sel_Region),OR(sel_Country="All",D2435=sel_Country),OR(sel_Channel="All",E2435=sel_Channel),OR(sel_Customer="All",F2435=sel_Customer),OR(sel_Product="All",H2435=sel_Product),AND(S2435&gt;=m_From,S2435&lt;=m_To)),1,0)</f>
        <v/>
      </c>
      <c r="Z2435" s="36">
        <f>IF(AND(OR(sel_Region="All",C2435=sel_Region),OR(sel_Country="All",D2435=sel_Country),OR(sel_Channel="All",E2435=sel_Channel),OR(sel_Customer="All",F2435=sel_Customer),OR(sel_Category="All",G2435=sel_Category),AND(S2435&gt;=m_From,S2435&lt;=m_To)),1,0)</f>
        <v/>
      </c>
      <c r="AA2435" s="36">
        <f>IF(AND(OR(sel_Region="All",C2435=sel_Region),OR(sel_Country="All",D2435=sel_Country),OR(sel_Channel="All",E2435=sel_Channel),OR(sel_Customer="All",F2435=sel_Customer),OR(sel_Category="All",G2435=sel_Category),OR(sel_Product="All",H2435=sel_Product)),1,0)</f>
        <v/>
      </c>
    </row>
    <row r="2436">
      <c r="A2436" s="36" t="inlineStr">
        <is>
          <t>02673</t>
        </is>
      </c>
      <c r="B2436" s="44" t="n">
        <v>46350</v>
      </c>
      <c r="C2436" s="36" t="inlineStr">
        <is>
          <t>Northern Europe</t>
        </is>
      </c>
      <c r="D2436" s="36" t="inlineStr">
        <is>
          <t>Sweden</t>
        </is>
      </c>
      <c r="E2436" s="36" t="inlineStr">
        <is>
          <t>Online Store</t>
        </is>
      </c>
      <c r="F2436" s="36" t="inlineStr">
        <is>
          <t>Returning</t>
        </is>
      </c>
      <c r="G2436" s="36" t="inlineStr">
        <is>
          <t>Cycling</t>
        </is>
      </c>
      <c r="H2436" s="36" t="inlineStr">
        <is>
          <t>Trail Bike Light</t>
        </is>
      </c>
      <c r="I2436" s="36" t="n">
        <v>2</v>
      </c>
      <c r="J2436" s="39" t="n">
        <v>51.56</v>
      </c>
      <c r="K2436" s="45" t="n">
        <v>0.05</v>
      </c>
      <c r="L2436" s="39" t="n">
        <v>22.7</v>
      </c>
      <c r="M2436" s="39">
        <f>I2436*J2436*(1-K2436)</f>
        <v/>
      </c>
      <c r="N2436" s="39">
        <f>I2436*L2436</f>
        <v/>
      </c>
      <c r="O2436" s="39">
        <f>M2436-N2436</f>
        <v/>
      </c>
      <c r="P2436" s="38">
        <f>IF(M2436=0,0,O2436/M2436)</f>
        <v/>
      </c>
      <c r="Q2436" s="36">
        <f>YEAR(B2436)</f>
        <v/>
      </c>
      <c r="R2436" s="36">
        <f>"Q"&amp;ROUNDUP(MONTH(B2436)/3,0)</f>
        <v/>
      </c>
      <c r="S2436" s="36">
        <f>MONTH(B2436)</f>
        <v/>
      </c>
      <c r="T2436" s="36">
        <f>TEXT(B2436,"mmm")</f>
        <v/>
      </c>
      <c r="U2436" s="36">
        <f>IF(AND(OR(sel_Region="All",C2436=sel_Region),OR(sel_Country="All",D2436=sel_Country),OR(sel_Channel="All",E2436=sel_Channel),OR(sel_Customer="All",F2436=sel_Customer),OR(sel_Category="All",G2436=sel_Category),OR(sel_Product="All",H2436=sel_Product),AND(S2436&gt;=m_From,S2436&lt;=m_To)),1,0)</f>
        <v/>
      </c>
      <c r="V2436" s="36">
        <f>IF(AND(OR(sel_Region="All",C2436=sel_Region),OR(sel_Channel="All",E2436=sel_Channel),OR(sel_Customer="All",F2436=sel_Customer),OR(sel_Category="All",G2436=sel_Category),OR(sel_Product="All",H2436=sel_Product),AND(S2436&gt;=m_From,S2436&lt;=m_To)),1,0)</f>
        <v/>
      </c>
      <c r="W2436" s="36">
        <f>IF(AND(OR(sel_Region="All",C2436=sel_Region),OR(sel_Country="All",D2436=sel_Country),OR(sel_Customer="All",F2436=sel_Customer),OR(sel_Category="All",G2436=sel_Category),OR(sel_Product="All",H2436=sel_Product),AND(S2436&gt;=m_From,S2436&lt;=m_To)),1,0)</f>
        <v/>
      </c>
      <c r="X2436" s="36">
        <f>IF(AND(OR(sel_Region="All",C2436=sel_Region),OR(sel_Country="All",D2436=sel_Country),OR(sel_Channel="All",E2436=sel_Channel),OR(sel_Category="All",G2436=sel_Category),OR(sel_Product="All",H2436=sel_Product),AND(S2436&gt;=m_From,S2436&lt;=m_To)),1,0)</f>
        <v/>
      </c>
      <c r="Y2436" s="36">
        <f>IF(AND(OR(sel_Region="All",C2436=sel_Region),OR(sel_Country="All",D2436=sel_Country),OR(sel_Channel="All",E2436=sel_Channel),OR(sel_Customer="All",F2436=sel_Customer),OR(sel_Product="All",H2436=sel_Product),AND(S2436&gt;=m_From,S2436&lt;=m_To)),1,0)</f>
        <v/>
      </c>
      <c r="Z2436" s="36">
        <f>IF(AND(OR(sel_Region="All",C2436=sel_Region),OR(sel_Country="All",D2436=sel_Country),OR(sel_Channel="All",E2436=sel_Channel),OR(sel_Customer="All",F2436=sel_Customer),OR(sel_Category="All",G2436=sel_Category),AND(S2436&gt;=m_From,S2436&lt;=m_To)),1,0)</f>
        <v/>
      </c>
      <c r="AA2436" s="36">
        <f>IF(AND(OR(sel_Region="All",C2436=sel_Region),OR(sel_Country="All",D2436=sel_Country),OR(sel_Channel="All",E2436=sel_Channel),OR(sel_Customer="All",F2436=sel_Customer),OR(sel_Category="All",G2436=sel_Category),OR(sel_Product="All",H2436=sel_Product)),1,0)</f>
        <v/>
      </c>
    </row>
    <row r="2437">
      <c r="A2437" s="36" t="inlineStr">
        <is>
          <t>04145</t>
        </is>
      </c>
      <c r="B2437" s="44" t="n">
        <v>46350</v>
      </c>
      <c r="C2437" s="36" t="inlineStr">
        <is>
          <t>Southern Europe</t>
        </is>
      </c>
      <c r="D2437" s="36" t="inlineStr">
        <is>
          <t>Spain</t>
        </is>
      </c>
      <c r="E2437" s="36" t="inlineStr">
        <is>
          <t>Online Store</t>
        </is>
      </c>
      <c r="F2437" s="36" t="inlineStr">
        <is>
          <t>Returning</t>
        </is>
      </c>
      <c r="G2437" s="36" t="inlineStr">
        <is>
          <t>Camping</t>
        </is>
      </c>
      <c r="H2437" s="36" t="inlineStr">
        <is>
          <t>Compact Sleeping Bag</t>
        </is>
      </c>
      <c r="I2437" s="36" t="n">
        <v>1</v>
      </c>
      <c r="J2437" s="39" t="n">
        <v>120.49</v>
      </c>
      <c r="K2437" s="45" t="n">
        <v>0.15</v>
      </c>
      <c r="L2437" s="39" t="n">
        <v>61.22</v>
      </c>
      <c r="M2437" s="39">
        <f>I2437*J2437*(1-K2437)</f>
        <v/>
      </c>
      <c r="N2437" s="39">
        <f>I2437*L2437</f>
        <v/>
      </c>
      <c r="O2437" s="39">
        <f>M2437-N2437</f>
        <v/>
      </c>
      <c r="P2437" s="38">
        <f>IF(M2437=0,0,O2437/M2437)</f>
        <v/>
      </c>
      <c r="Q2437" s="36">
        <f>YEAR(B2437)</f>
        <v/>
      </c>
      <c r="R2437" s="36">
        <f>"Q"&amp;ROUNDUP(MONTH(B2437)/3,0)</f>
        <v/>
      </c>
      <c r="S2437" s="36">
        <f>MONTH(B2437)</f>
        <v/>
      </c>
      <c r="T2437" s="36">
        <f>TEXT(B2437,"mmm")</f>
        <v/>
      </c>
      <c r="U2437" s="36">
        <f>IF(AND(OR(sel_Region="All",C2437=sel_Region),OR(sel_Country="All",D2437=sel_Country),OR(sel_Channel="All",E2437=sel_Channel),OR(sel_Customer="All",F2437=sel_Customer),OR(sel_Category="All",G2437=sel_Category),OR(sel_Product="All",H2437=sel_Product),AND(S2437&gt;=m_From,S2437&lt;=m_To)),1,0)</f>
        <v/>
      </c>
      <c r="V2437" s="36">
        <f>IF(AND(OR(sel_Region="All",C2437=sel_Region),OR(sel_Channel="All",E2437=sel_Channel),OR(sel_Customer="All",F2437=sel_Customer),OR(sel_Category="All",G2437=sel_Category),OR(sel_Product="All",H2437=sel_Product),AND(S2437&gt;=m_From,S2437&lt;=m_To)),1,0)</f>
        <v/>
      </c>
      <c r="W2437" s="36">
        <f>IF(AND(OR(sel_Region="All",C2437=sel_Region),OR(sel_Country="All",D2437=sel_Country),OR(sel_Customer="All",F2437=sel_Customer),OR(sel_Category="All",G2437=sel_Category),OR(sel_Product="All",H2437=sel_Product),AND(S2437&gt;=m_From,S2437&lt;=m_To)),1,0)</f>
        <v/>
      </c>
      <c r="X2437" s="36">
        <f>IF(AND(OR(sel_Region="All",C2437=sel_Region),OR(sel_Country="All",D2437=sel_Country),OR(sel_Channel="All",E2437=sel_Channel),OR(sel_Category="All",G2437=sel_Category),OR(sel_Product="All",H2437=sel_Product),AND(S2437&gt;=m_From,S2437&lt;=m_To)),1,0)</f>
        <v/>
      </c>
      <c r="Y2437" s="36">
        <f>IF(AND(OR(sel_Region="All",C2437=sel_Region),OR(sel_Country="All",D2437=sel_Country),OR(sel_Channel="All",E2437=sel_Channel),OR(sel_Customer="All",F2437=sel_Customer),OR(sel_Product="All",H2437=sel_Product),AND(S2437&gt;=m_From,S2437&lt;=m_To)),1,0)</f>
        <v/>
      </c>
      <c r="Z2437" s="36">
        <f>IF(AND(OR(sel_Region="All",C2437=sel_Region),OR(sel_Country="All",D2437=sel_Country),OR(sel_Channel="All",E2437=sel_Channel),OR(sel_Customer="All",F2437=sel_Customer),OR(sel_Category="All",G2437=sel_Category),AND(S2437&gt;=m_From,S2437&lt;=m_To)),1,0)</f>
        <v/>
      </c>
      <c r="AA2437" s="36">
        <f>IF(AND(OR(sel_Region="All",C2437=sel_Region),OR(sel_Country="All",D2437=sel_Country),OR(sel_Channel="All",E2437=sel_Channel),OR(sel_Customer="All",F2437=sel_Customer),OR(sel_Category="All",G2437=sel_Category),OR(sel_Product="All",H2437=sel_Product)),1,0)</f>
        <v/>
      </c>
    </row>
    <row r="2438">
      <c r="A2438" s="36" t="inlineStr">
        <is>
          <t>04610</t>
        </is>
      </c>
      <c r="B2438" s="44" t="n">
        <v>46350</v>
      </c>
      <c r="C2438" s="36" t="inlineStr">
        <is>
          <t>Northern Europe</t>
        </is>
      </c>
      <c r="D2438" s="36" t="inlineStr">
        <is>
          <t>Norway</t>
        </is>
      </c>
      <c r="E2438" s="36" t="inlineStr">
        <is>
          <t>Retail Partners</t>
        </is>
      </c>
      <c r="F2438" s="36" t="inlineStr">
        <is>
          <t>Returning</t>
        </is>
      </c>
      <c r="G2438" s="36" t="inlineStr">
        <is>
          <t>Hiking</t>
        </is>
      </c>
      <c r="H2438" s="36" t="inlineStr">
        <is>
          <t>Summit Backpack 45L</t>
        </is>
      </c>
      <c r="I2438" s="36" t="n">
        <v>2</v>
      </c>
      <c r="J2438" s="39" t="n">
        <v>153.96</v>
      </c>
      <c r="K2438" s="45" t="n">
        <v>0</v>
      </c>
      <c r="L2438" s="39" t="n">
        <v>79.33</v>
      </c>
      <c r="M2438" s="39">
        <f>I2438*J2438*(1-K2438)</f>
        <v/>
      </c>
      <c r="N2438" s="39">
        <f>I2438*L2438</f>
        <v/>
      </c>
      <c r="O2438" s="39">
        <f>M2438-N2438</f>
        <v/>
      </c>
      <c r="P2438" s="38">
        <f>IF(M2438=0,0,O2438/M2438)</f>
        <v/>
      </c>
      <c r="Q2438" s="36">
        <f>YEAR(B2438)</f>
        <v/>
      </c>
      <c r="R2438" s="36">
        <f>"Q"&amp;ROUNDUP(MONTH(B2438)/3,0)</f>
        <v/>
      </c>
      <c r="S2438" s="36">
        <f>MONTH(B2438)</f>
        <v/>
      </c>
      <c r="T2438" s="36">
        <f>TEXT(B2438,"mmm")</f>
        <v/>
      </c>
      <c r="U2438" s="36">
        <f>IF(AND(OR(sel_Region="All",C2438=sel_Region),OR(sel_Country="All",D2438=sel_Country),OR(sel_Channel="All",E2438=sel_Channel),OR(sel_Customer="All",F2438=sel_Customer),OR(sel_Category="All",G2438=sel_Category),OR(sel_Product="All",H2438=sel_Product),AND(S2438&gt;=m_From,S2438&lt;=m_To)),1,0)</f>
        <v/>
      </c>
      <c r="V2438" s="36">
        <f>IF(AND(OR(sel_Region="All",C2438=sel_Region),OR(sel_Channel="All",E2438=sel_Channel),OR(sel_Customer="All",F2438=sel_Customer),OR(sel_Category="All",G2438=sel_Category),OR(sel_Product="All",H2438=sel_Product),AND(S2438&gt;=m_From,S2438&lt;=m_To)),1,0)</f>
        <v/>
      </c>
      <c r="W2438" s="36">
        <f>IF(AND(OR(sel_Region="All",C2438=sel_Region),OR(sel_Country="All",D2438=sel_Country),OR(sel_Customer="All",F2438=sel_Customer),OR(sel_Category="All",G2438=sel_Category),OR(sel_Product="All",H2438=sel_Product),AND(S2438&gt;=m_From,S2438&lt;=m_To)),1,0)</f>
        <v/>
      </c>
      <c r="X2438" s="36">
        <f>IF(AND(OR(sel_Region="All",C2438=sel_Region),OR(sel_Country="All",D2438=sel_Country),OR(sel_Channel="All",E2438=sel_Channel),OR(sel_Category="All",G2438=sel_Category),OR(sel_Product="All",H2438=sel_Product),AND(S2438&gt;=m_From,S2438&lt;=m_To)),1,0)</f>
        <v/>
      </c>
      <c r="Y2438" s="36">
        <f>IF(AND(OR(sel_Region="All",C2438=sel_Region),OR(sel_Country="All",D2438=sel_Country),OR(sel_Channel="All",E2438=sel_Channel),OR(sel_Customer="All",F2438=sel_Customer),OR(sel_Product="All",H2438=sel_Product),AND(S2438&gt;=m_From,S2438&lt;=m_To)),1,0)</f>
        <v/>
      </c>
      <c r="Z2438" s="36">
        <f>IF(AND(OR(sel_Region="All",C2438=sel_Region),OR(sel_Country="All",D2438=sel_Country),OR(sel_Channel="All",E2438=sel_Channel),OR(sel_Customer="All",F2438=sel_Customer),OR(sel_Category="All",G2438=sel_Category),AND(S2438&gt;=m_From,S2438&lt;=m_To)),1,0)</f>
        <v/>
      </c>
      <c r="AA2438" s="36">
        <f>IF(AND(OR(sel_Region="All",C2438=sel_Region),OR(sel_Country="All",D2438=sel_Country),OR(sel_Channel="All",E2438=sel_Channel),OR(sel_Customer="All",F2438=sel_Customer),OR(sel_Category="All",G2438=sel_Category),OR(sel_Product="All",H2438=sel_Product)),1,0)</f>
        <v/>
      </c>
    </row>
    <row r="2439">
      <c r="A2439" s="36" t="inlineStr">
        <is>
          <t>04721</t>
        </is>
      </c>
      <c r="B2439" s="44" t="n">
        <v>46350</v>
      </c>
      <c r="C2439" s="36" t="inlineStr">
        <is>
          <t>Northern Europe</t>
        </is>
      </c>
      <c r="D2439" s="36" t="inlineStr">
        <is>
          <t>Norway</t>
        </is>
      </c>
      <c r="E2439" s="36" t="inlineStr">
        <is>
          <t>Retail Partners</t>
        </is>
      </c>
      <c r="F2439" s="36" t="inlineStr">
        <is>
          <t>New</t>
        </is>
      </c>
      <c r="G2439" s="36" t="inlineStr">
        <is>
          <t>Cycling</t>
        </is>
      </c>
      <c r="H2439" s="36" t="inlineStr">
        <is>
          <t>Compact Repair Kit</t>
        </is>
      </c>
      <c r="I2439" s="36" t="n">
        <v>1</v>
      </c>
      <c r="J2439" s="39" t="n">
        <v>39.85</v>
      </c>
      <c r="K2439" s="45" t="n">
        <v>0</v>
      </c>
      <c r="L2439" s="39" t="n">
        <v>16.3</v>
      </c>
      <c r="M2439" s="39">
        <f>I2439*J2439*(1-K2439)</f>
        <v/>
      </c>
      <c r="N2439" s="39">
        <f>I2439*L2439</f>
        <v/>
      </c>
      <c r="O2439" s="39">
        <f>M2439-N2439</f>
        <v/>
      </c>
      <c r="P2439" s="38">
        <f>IF(M2439=0,0,O2439/M2439)</f>
        <v/>
      </c>
      <c r="Q2439" s="36">
        <f>YEAR(B2439)</f>
        <v/>
      </c>
      <c r="R2439" s="36">
        <f>"Q"&amp;ROUNDUP(MONTH(B2439)/3,0)</f>
        <v/>
      </c>
      <c r="S2439" s="36">
        <f>MONTH(B2439)</f>
        <v/>
      </c>
      <c r="T2439" s="36">
        <f>TEXT(B2439,"mmm")</f>
        <v/>
      </c>
      <c r="U2439" s="36">
        <f>IF(AND(OR(sel_Region="All",C2439=sel_Region),OR(sel_Country="All",D2439=sel_Country),OR(sel_Channel="All",E2439=sel_Channel),OR(sel_Customer="All",F2439=sel_Customer),OR(sel_Category="All",G2439=sel_Category),OR(sel_Product="All",H2439=sel_Product),AND(S2439&gt;=m_From,S2439&lt;=m_To)),1,0)</f>
        <v/>
      </c>
      <c r="V2439" s="36">
        <f>IF(AND(OR(sel_Region="All",C2439=sel_Region),OR(sel_Channel="All",E2439=sel_Channel),OR(sel_Customer="All",F2439=sel_Customer),OR(sel_Category="All",G2439=sel_Category),OR(sel_Product="All",H2439=sel_Product),AND(S2439&gt;=m_From,S2439&lt;=m_To)),1,0)</f>
        <v/>
      </c>
      <c r="W2439" s="36">
        <f>IF(AND(OR(sel_Region="All",C2439=sel_Region),OR(sel_Country="All",D2439=sel_Country),OR(sel_Customer="All",F2439=sel_Customer),OR(sel_Category="All",G2439=sel_Category),OR(sel_Product="All",H2439=sel_Product),AND(S2439&gt;=m_From,S2439&lt;=m_To)),1,0)</f>
        <v/>
      </c>
      <c r="X2439" s="36">
        <f>IF(AND(OR(sel_Region="All",C2439=sel_Region),OR(sel_Country="All",D2439=sel_Country),OR(sel_Channel="All",E2439=sel_Channel),OR(sel_Category="All",G2439=sel_Category),OR(sel_Product="All",H2439=sel_Product),AND(S2439&gt;=m_From,S2439&lt;=m_To)),1,0)</f>
        <v/>
      </c>
      <c r="Y2439" s="36">
        <f>IF(AND(OR(sel_Region="All",C2439=sel_Region),OR(sel_Country="All",D2439=sel_Country),OR(sel_Channel="All",E2439=sel_Channel),OR(sel_Customer="All",F2439=sel_Customer),OR(sel_Product="All",H2439=sel_Product),AND(S2439&gt;=m_From,S2439&lt;=m_To)),1,0)</f>
        <v/>
      </c>
      <c r="Z2439" s="36">
        <f>IF(AND(OR(sel_Region="All",C2439=sel_Region),OR(sel_Country="All",D2439=sel_Country),OR(sel_Channel="All",E2439=sel_Channel),OR(sel_Customer="All",F2439=sel_Customer),OR(sel_Category="All",G2439=sel_Category),AND(S2439&gt;=m_From,S2439&lt;=m_To)),1,0)</f>
        <v/>
      </c>
      <c r="AA2439" s="36">
        <f>IF(AND(OR(sel_Region="All",C2439=sel_Region),OR(sel_Country="All",D2439=sel_Country),OR(sel_Channel="All",E2439=sel_Channel),OR(sel_Customer="All",F2439=sel_Customer),OR(sel_Category="All",G2439=sel_Category),OR(sel_Product="All",H2439=sel_Product)),1,0)</f>
        <v/>
      </c>
    </row>
    <row r="2440">
      <c r="A2440" s="36" t="inlineStr">
        <is>
          <t>00324</t>
        </is>
      </c>
      <c r="B2440" s="44" t="n">
        <v>46351</v>
      </c>
      <c r="C2440" s="36" t="inlineStr">
        <is>
          <t>Western Europe</t>
        </is>
      </c>
      <c r="D2440" s="36" t="inlineStr">
        <is>
          <t>France</t>
        </is>
      </c>
      <c r="E2440" s="36" t="inlineStr">
        <is>
          <t>Marketplace</t>
        </is>
      </c>
      <c r="F2440" s="36" t="inlineStr">
        <is>
          <t>Returning</t>
        </is>
      </c>
      <c r="G2440" s="36" t="inlineStr">
        <is>
          <t>Cycling</t>
        </is>
      </c>
      <c r="H2440" s="36" t="inlineStr">
        <is>
          <t>Cycling Pack 12L</t>
        </is>
      </c>
      <c r="I2440" s="36" t="n">
        <v>2</v>
      </c>
      <c r="J2440" s="39" t="n">
        <v>103.88</v>
      </c>
      <c r="K2440" s="45" t="n">
        <v>0.15</v>
      </c>
      <c r="L2440" s="39" t="n">
        <v>49.26</v>
      </c>
      <c r="M2440" s="39">
        <f>I2440*J2440*(1-K2440)</f>
        <v/>
      </c>
      <c r="N2440" s="39">
        <f>I2440*L2440</f>
        <v/>
      </c>
      <c r="O2440" s="39">
        <f>M2440-N2440</f>
        <v/>
      </c>
      <c r="P2440" s="38">
        <f>IF(M2440=0,0,O2440/M2440)</f>
        <v/>
      </c>
      <c r="Q2440" s="36">
        <f>YEAR(B2440)</f>
        <v/>
      </c>
      <c r="R2440" s="36">
        <f>"Q"&amp;ROUNDUP(MONTH(B2440)/3,0)</f>
        <v/>
      </c>
      <c r="S2440" s="36">
        <f>MONTH(B2440)</f>
        <v/>
      </c>
      <c r="T2440" s="36">
        <f>TEXT(B2440,"mmm")</f>
        <v/>
      </c>
      <c r="U2440" s="36">
        <f>IF(AND(OR(sel_Region="All",C2440=sel_Region),OR(sel_Country="All",D2440=sel_Country),OR(sel_Channel="All",E2440=sel_Channel),OR(sel_Customer="All",F2440=sel_Customer),OR(sel_Category="All",G2440=sel_Category),OR(sel_Product="All",H2440=sel_Product),AND(S2440&gt;=m_From,S2440&lt;=m_To)),1,0)</f>
        <v/>
      </c>
      <c r="V2440" s="36">
        <f>IF(AND(OR(sel_Region="All",C2440=sel_Region),OR(sel_Channel="All",E2440=sel_Channel),OR(sel_Customer="All",F2440=sel_Customer),OR(sel_Category="All",G2440=sel_Category),OR(sel_Product="All",H2440=sel_Product),AND(S2440&gt;=m_From,S2440&lt;=m_To)),1,0)</f>
        <v/>
      </c>
      <c r="W2440" s="36">
        <f>IF(AND(OR(sel_Region="All",C2440=sel_Region),OR(sel_Country="All",D2440=sel_Country),OR(sel_Customer="All",F2440=sel_Customer),OR(sel_Category="All",G2440=sel_Category),OR(sel_Product="All",H2440=sel_Product),AND(S2440&gt;=m_From,S2440&lt;=m_To)),1,0)</f>
        <v/>
      </c>
      <c r="X2440" s="36">
        <f>IF(AND(OR(sel_Region="All",C2440=sel_Region),OR(sel_Country="All",D2440=sel_Country),OR(sel_Channel="All",E2440=sel_Channel),OR(sel_Category="All",G2440=sel_Category),OR(sel_Product="All",H2440=sel_Product),AND(S2440&gt;=m_From,S2440&lt;=m_To)),1,0)</f>
        <v/>
      </c>
      <c r="Y2440" s="36">
        <f>IF(AND(OR(sel_Region="All",C2440=sel_Region),OR(sel_Country="All",D2440=sel_Country),OR(sel_Channel="All",E2440=sel_Channel),OR(sel_Customer="All",F2440=sel_Customer),OR(sel_Product="All",H2440=sel_Product),AND(S2440&gt;=m_From,S2440&lt;=m_To)),1,0)</f>
        <v/>
      </c>
      <c r="Z2440" s="36">
        <f>IF(AND(OR(sel_Region="All",C2440=sel_Region),OR(sel_Country="All",D2440=sel_Country),OR(sel_Channel="All",E2440=sel_Channel),OR(sel_Customer="All",F2440=sel_Customer),OR(sel_Category="All",G2440=sel_Category),AND(S2440&gt;=m_From,S2440&lt;=m_To)),1,0)</f>
        <v/>
      </c>
      <c r="AA2440" s="36">
        <f>IF(AND(OR(sel_Region="All",C2440=sel_Region),OR(sel_Country="All",D2440=sel_Country),OR(sel_Channel="All",E2440=sel_Channel),OR(sel_Customer="All",F2440=sel_Customer),OR(sel_Category="All",G2440=sel_Category),OR(sel_Product="All",H2440=sel_Product)),1,0)</f>
        <v/>
      </c>
    </row>
    <row r="2441">
      <c r="A2441" s="36" t="inlineStr">
        <is>
          <t>00559</t>
        </is>
      </c>
      <c r="B2441" s="44" t="n">
        <v>46351</v>
      </c>
      <c r="C2441" s="36" t="inlineStr">
        <is>
          <t>Western Europe</t>
        </is>
      </c>
      <c r="D2441" s="36" t="inlineStr">
        <is>
          <t>Netherlands</t>
        </is>
      </c>
      <c r="E2441" s="36" t="inlineStr">
        <is>
          <t>Online Store</t>
        </is>
      </c>
      <c r="F2441" s="36" t="inlineStr">
        <is>
          <t>Returning</t>
        </is>
      </c>
      <c r="G2441" s="36" t="inlineStr">
        <is>
          <t>Travel</t>
        </is>
      </c>
      <c r="H2441" s="36" t="inlineStr">
        <is>
          <t>Carry-On Duffel</t>
        </is>
      </c>
      <c r="I2441" s="36" t="n">
        <v>2</v>
      </c>
      <c r="J2441" s="39" t="n">
        <v>134.19</v>
      </c>
      <c r="K2441" s="45" t="n">
        <v>0.1</v>
      </c>
      <c r="L2441" s="39" t="n">
        <v>65.39</v>
      </c>
      <c r="M2441" s="39">
        <f>I2441*J2441*(1-K2441)</f>
        <v/>
      </c>
      <c r="N2441" s="39">
        <f>I2441*L2441</f>
        <v/>
      </c>
      <c r="O2441" s="39">
        <f>M2441-N2441</f>
        <v/>
      </c>
      <c r="P2441" s="38">
        <f>IF(M2441=0,0,O2441/M2441)</f>
        <v/>
      </c>
      <c r="Q2441" s="36">
        <f>YEAR(B2441)</f>
        <v/>
      </c>
      <c r="R2441" s="36">
        <f>"Q"&amp;ROUNDUP(MONTH(B2441)/3,0)</f>
        <v/>
      </c>
      <c r="S2441" s="36">
        <f>MONTH(B2441)</f>
        <v/>
      </c>
      <c r="T2441" s="36">
        <f>TEXT(B2441,"mmm")</f>
        <v/>
      </c>
      <c r="U2441" s="36">
        <f>IF(AND(OR(sel_Region="All",C2441=sel_Region),OR(sel_Country="All",D2441=sel_Country),OR(sel_Channel="All",E2441=sel_Channel),OR(sel_Customer="All",F2441=sel_Customer),OR(sel_Category="All",G2441=sel_Category),OR(sel_Product="All",H2441=sel_Product),AND(S2441&gt;=m_From,S2441&lt;=m_To)),1,0)</f>
        <v/>
      </c>
      <c r="V2441" s="36">
        <f>IF(AND(OR(sel_Region="All",C2441=sel_Region),OR(sel_Channel="All",E2441=sel_Channel),OR(sel_Customer="All",F2441=sel_Customer),OR(sel_Category="All",G2441=sel_Category),OR(sel_Product="All",H2441=sel_Product),AND(S2441&gt;=m_From,S2441&lt;=m_To)),1,0)</f>
        <v/>
      </c>
      <c r="W2441" s="36">
        <f>IF(AND(OR(sel_Region="All",C2441=sel_Region),OR(sel_Country="All",D2441=sel_Country),OR(sel_Customer="All",F2441=sel_Customer),OR(sel_Category="All",G2441=sel_Category),OR(sel_Product="All",H2441=sel_Product),AND(S2441&gt;=m_From,S2441&lt;=m_To)),1,0)</f>
        <v/>
      </c>
      <c r="X2441" s="36">
        <f>IF(AND(OR(sel_Region="All",C2441=sel_Region),OR(sel_Country="All",D2441=sel_Country),OR(sel_Channel="All",E2441=sel_Channel),OR(sel_Category="All",G2441=sel_Category),OR(sel_Product="All",H2441=sel_Product),AND(S2441&gt;=m_From,S2441&lt;=m_To)),1,0)</f>
        <v/>
      </c>
      <c r="Y2441" s="36">
        <f>IF(AND(OR(sel_Region="All",C2441=sel_Region),OR(sel_Country="All",D2441=sel_Country),OR(sel_Channel="All",E2441=sel_Channel),OR(sel_Customer="All",F2441=sel_Customer),OR(sel_Product="All",H2441=sel_Product),AND(S2441&gt;=m_From,S2441&lt;=m_To)),1,0)</f>
        <v/>
      </c>
      <c r="Z2441" s="36">
        <f>IF(AND(OR(sel_Region="All",C2441=sel_Region),OR(sel_Country="All",D2441=sel_Country),OR(sel_Channel="All",E2441=sel_Channel),OR(sel_Customer="All",F2441=sel_Customer),OR(sel_Category="All",G2441=sel_Category),AND(S2441&gt;=m_From,S2441&lt;=m_To)),1,0)</f>
        <v/>
      </c>
      <c r="AA2441" s="36">
        <f>IF(AND(OR(sel_Region="All",C2441=sel_Region),OR(sel_Country="All",D2441=sel_Country),OR(sel_Channel="All",E2441=sel_Channel),OR(sel_Customer="All",F2441=sel_Customer),OR(sel_Category="All",G2441=sel_Category),OR(sel_Product="All",H2441=sel_Product)),1,0)</f>
        <v/>
      </c>
    </row>
    <row r="2442">
      <c r="A2442" s="36" t="inlineStr">
        <is>
          <t>01108</t>
        </is>
      </c>
      <c r="B2442" s="44" t="n">
        <v>46351</v>
      </c>
      <c r="C2442" s="36" t="inlineStr">
        <is>
          <t>Central Europe</t>
        </is>
      </c>
      <c r="D2442" s="36" t="inlineStr">
        <is>
          <t>Czechia</t>
        </is>
      </c>
      <c r="E2442" s="36" t="inlineStr">
        <is>
          <t>Marketplace</t>
        </is>
      </c>
      <c r="F2442" s="36" t="inlineStr">
        <is>
          <t>New</t>
        </is>
      </c>
      <c r="G2442" s="36" t="inlineStr">
        <is>
          <t>Travel</t>
        </is>
      </c>
      <c r="H2442" s="36" t="inlineStr">
        <is>
          <t>Insulated Bottle</t>
        </is>
      </c>
      <c r="I2442" s="36" t="n">
        <v>1</v>
      </c>
      <c r="J2442" s="39" t="n">
        <v>37.06</v>
      </c>
      <c r="K2442" s="45" t="n">
        <v>0.1</v>
      </c>
      <c r="L2442" s="39" t="n">
        <v>13.18</v>
      </c>
      <c r="M2442" s="39">
        <f>I2442*J2442*(1-K2442)</f>
        <v/>
      </c>
      <c r="N2442" s="39">
        <f>I2442*L2442</f>
        <v/>
      </c>
      <c r="O2442" s="39">
        <f>M2442-N2442</f>
        <v/>
      </c>
      <c r="P2442" s="38">
        <f>IF(M2442=0,0,O2442/M2442)</f>
        <v/>
      </c>
      <c r="Q2442" s="36">
        <f>YEAR(B2442)</f>
        <v/>
      </c>
      <c r="R2442" s="36">
        <f>"Q"&amp;ROUNDUP(MONTH(B2442)/3,0)</f>
        <v/>
      </c>
      <c r="S2442" s="36">
        <f>MONTH(B2442)</f>
        <v/>
      </c>
      <c r="T2442" s="36">
        <f>TEXT(B2442,"mmm")</f>
        <v/>
      </c>
      <c r="U2442" s="36">
        <f>IF(AND(OR(sel_Region="All",C2442=sel_Region),OR(sel_Country="All",D2442=sel_Country),OR(sel_Channel="All",E2442=sel_Channel),OR(sel_Customer="All",F2442=sel_Customer),OR(sel_Category="All",G2442=sel_Category),OR(sel_Product="All",H2442=sel_Product),AND(S2442&gt;=m_From,S2442&lt;=m_To)),1,0)</f>
        <v/>
      </c>
      <c r="V2442" s="36">
        <f>IF(AND(OR(sel_Region="All",C2442=sel_Region),OR(sel_Channel="All",E2442=sel_Channel),OR(sel_Customer="All",F2442=sel_Customer),OR(sel_Category="All",G2442=sel_Category),OR(sel_Product="All",H2442=sel_Product),AND(S2442&gt;=m_From,S2442&lt;=m_To)),1,0)</f>
        <v/>
      </c>
      <c r="W2442" s="36">
        <f>IF(AND(OR(sel_Region="All",C2442=sel_Region),OR(sel_Country="All",D2442=sel_Country),OR(sel_Customer="All",F2442=sel_Customer),OR(sel_Category="All",G2442=sel_Category),OR(sel_Product="All",H2442=sel_Product),AND(S2442&gt;=m_From,S2442&lt;=m_To)),1,0)</f>
        <v/>
      </c>
      <c r="X2442" s="36">
        <f>IF(AND(OR(sel_Region="All",C2442=sel_Region),OR(sel_Country="All",D2442=sel_Country),OR(sel_Channel="All",E2442=sel_Channel),OR(sel_Category="All",G2442=sel_Category),OR(sel_Product="All",H2442=sel_Product),AND(S2442&gt;=m_From,S2442&lt;=m_To)),1,0)</f>
        <v/>
      </c>
      <c r="Y2442" s="36">
        <f>IF(AND(OR(sel_Region="All",C2442=sel_Region),OR(sel_Country="All",D2442=sel_Country),OR(sel_Channel="All",E2442=sel_Channel),OR(sel_Customer="All",F2442=sel_Customer),OR(sel_Product="All",H2442=sel_Product),AND(S2442&gt;=m_From,S2442&lt;=m_To)),1,0)</f>
        <v/>
      </c>
      <c r="Z2442" s="36">
        <f>IF(AND(OR(sel_Region="All",C2442=sel_Region),OR(sel_Country="All",D2442=sel_Country),OR(sel_Channel="All",E2442=sel_Channel),OR(sel_Customer="All",F2442=sel_Customer),OR(sel_Category="All",G2442=sel_Category),AND(S2442&gt;=m_From,S2442&lt;=m_To)),1,0)</f>
        <v/>
      </c>
      <c r="AA2442" s="36">
        <f>IF(AND(OR(sel_Region="All",C2442=sel_Region),OR(sel_Country="All",D2442=sel_Country),OR(sel_Channel="All",E2442=sel_Channel),OR(sel_Customer="All",F2442=sel_Customer),OR(sel_Category="All",G2442=sel_Category),OR(sel_Product="All",H2442=sel_Product)),1,0)</f>
        <v/>
      </c>
    </row>
    <row r="2443">
      <c r="A2443" s="36" t="inlineStr">
        <is>
          <t>01344</t>
        </is>
      </c>
      <c r="B2443" s="44" t="n">
        <v>46351</v>
      </c>
      <c r="C2443" s="36" t="inlineStr">
        <is>
          <t>Northern Europe</t>
        </is>
      </c>
      <c r="D2443" s="36" t="inlineStr">
        <is>
          <t>Finland</t>
        </is>
      </c>
      <c r="E2443" s="36" t="inlineStr">
        <is>
          <t>Online Store</t>
        </is>
      </c>
      <c r="F2443" s="36" t="inlineStr">
        <is>
          <t>New</t>
        </is>
      </c>
      <c r="G2443" s="36" t="inlineStr">
        <is>
          <t>Travel</t>
        </is>
      </c>
      <c r="H2443" s="36" t="inlineStr">
        <is>
          <t>Carry-On Duffel</t>
        </is>
      </c>
      <c r="I2443" s="36" t="n">
        <v>4</v>
      </c>
      <c r="J2443" s="39" t="n">
        <v>135.21</v>
      </c>
      <c r="K2443" s="45" t="n">
        <v>0.05</v>
      </c>
      <c r="L2443" s="39" t="n">
        <v>68.64</v>
      </c>
      <c r="M2443" s="39">
        <f>I2443*J2443*(1-K2443)</f>
        <v/>
      </c>
      <c r="N2443" s="39">
        <f>I2443*L2443</f>
        <v/>
      </c>
      <c r="O2443" s="39">
        <f>M2443-N2443</f>
        <v/>
      </c>
      <c r="P2443" s="38">
        <f>IF(M2443=0,0,O2443/M2443)</f>
        <v/>
      </c>
      <c r="Q2443" s="36">
        <f>YEAR(B2443)</f>
        <v/>
      </c>
      <c r="R2443" s="36">
        <f>"Q"&amp;ROUNDUP(MONTH(B2443)/3,0)</f>
        <v/>
      </c>
      <c r="S2443" s="36">
        <f>MONTH(B2443)</f>
        <v/>
      </c>
      <c r="T2443" s="36">
        <f>TEXT(B2443,"mmm")</f>
        <v/>
      </c>
      <c r="U2443" s="36">
        <f>IF(AND(OR(sel_Region="All",C2443=sel_Region),OR(sel_Country="All",D2443=sel_Country),OR(sel_Channel="All",E2443=sel_Channel),OR(sel_Customer="All",F2443=sel_Customer),OR(sel_Category="All",G2443=sel_Category),OR(sel_Product="All",H2443=sel_Product),AND(S2443&gt;=m_From,S2443&lt;=m_To)),1,0)</f>
        <v/>
      </c>
      <c r="V2443" s="36">
        <f>IF(AND(OR(sel_Region="All",C2443=sel_Region),OR(sel_Channel="All",E2443=sel_Channel),OR(sel_Customer="All",F2443=sel_Customer),OR(sel_Category="All",G2443=sel_Category),OR(sel_Product="All",H2443=sel_Product),AND(S2443&gt;=m_From,S2443&lt;=m_To)),1,0)</f>
        <v/>
      </c>
      <c r="W2443" s="36">
        <f>IF(AND(OR(sel_Region="All",C2443=sel_Region),OR(sel_Country="All",D2443=sel_Country),OR(sel_Customer="All",F2443=sel_Customer),OR(sel_Category="All",G2443=sel_Category),OR(sel_Product="All",H2443=sel_Product),AND(S2443&gt;=m_From,S2443&lt;=m_To)),1,0)</f>
        <v/>
      </c>
      <c r="X2443" s="36">
        <f>IF(AND(OR(sel_Region="All",C2443=sel_Region),OR(sel_Country="All",D2443=sel_Country),OR(sel_Channel="All",E2443=sel_Channel),OR(sel_Category="All",G2443=sel_Category),OR(sel_Product="All",H2443=sel_Product),AND(S2443&gt;=m_From,S2443&lt;=m_To)),1,0)</f>
        <v/>
      </c>
      <c r="Y2443" s="36">
        <f>IF(AND(OR(sel_Region="All",C2443=sel_Region),OR(sel_Country="All",D2443=sel_Country),OR(sel_Channel="All",E2443=sel_Channel),OR(sel_Customer="All",F2443=sel_Customer),OR(sel_Product="All",H2443=sel_Product),AND(S2443&gt;=m_From,S2443&lt;=m_To)),1,0)</f>
        <v/>
      </c>
      <c r="Z2443" s="36">
        <f>IF(AND(OR(sel_Region="All",C2443=sel_Region),OR(sel_Country="All",D2443=sel_Country),OR(sel_Channel="All",E2443=sel_Channel),OR(sel_Customer="All",F2443=sel_Customer),OR(sel_Category="All",G2443=sel_Category),AND(S2443&gt;=m_From,S2443&lt;=m_To)),1,0)</f>
        <v/>
      </c>
      <c r="AA2443" s="36">
        <f>IF(AND(OR(sel_Region="All",C2443=sel_Region),OR(sel_Country="All",D2443=sel_Country),OR(sel_Channel="All",E2443=sel_Channel),OR(sel_Customer="All",F2443=sel_Customer),OR(sel_Category="All",G2443=sel_Category),OR(sel_Product="All",H2443=sel_Product)),1,0)</f>
        <v/>
      </c>
    </row>
    <row r="2444">
      <c r="A2444" s="36" t="inlineStr">
        <is>
          <t>01922</t>
        </is>
      </c>
      <c r="B2444" s="44" t="n">
        <v>46351</v>
      </c>
      <c r="C2444" s="36" t="inlineStr">
        <is>
          <t>Southern Europe</t>
        </is>
      </c>
      <c r="D2444" s="36" t="inlineStr">
        <is>
          <t>Portugal</t>
        </is>
      </c>
      <c r="E2444" s="36" t="inlineStr">
        <is>
          <t>Marketplace</t>
        </is>
      </c>
      <c r="F2444" s="36" t="inlineStr">
        <is>
          <t>Returning</t>
        </is>
      </c>
      <c r="G2444" s="36" t="inlineStr">
        <is>
          <t>Hiking</t>
        </is>
      </c>
      <c r="H2444" s="36" t="inlineStr">
        <is>
          <t>Trail Boots</t>
        </is>
      </c>
      <c r="I2444" s="36" t="n">
        <v>2</v>
      </c>
      <c r="J2444" s="39" t="n">
        <v>145.77</v>
      </c>
      <c r="K2444" s="45" t="n">
        <v>0.1</v>
      </c>
      <c r="L2444" s="39" t="n">
        <v>78.14</v>
      </c>
      <c r="M2444" s="39">
        <f>I2444*J2444*(1-K2444)</f>
        <v/>
      </c>
      <c r="N2444" s="39">
        <f>I2444*L2444</f>
        <v/>
      </c>
      <c r="O2444" s="39">
        <f>M2444-N2444</f>
        <v/>
      </c>
      <c r="P2444" s="38">
        <f>IF(M2444=0,0,O2444/M2444)</f>
        <v/>
      </c>
      <c r="Q2444" s="36">
        <f>YEAR(B2444)</f>
        <v/>
      </c>
      <c r="R2444" s="36">
        <f>"Q"&amp;ROUNDUP(MONTH(B2444)/3,0)</f>
        <v/>
      </c>
      <c r="S2444" s="36">
        <f>MONTH(B2444)</f>
        <v/>
      </c>
      <c r="T2444" s="36">
        <f>TEXT(B2444,"mmm")</f>
        <v/>
      </c>
      <c r="U2444" s="36">
        <f>IF(AND(OR(sel_Region="All",C2444=sel_Region),OR(sel_Country="All",D2444=sel_Country),OR(sel_Channel="All",E2444=sel_Channel),OR(sel_Customer="All",F2444=sel_Customer),OR(sel_Category="All",G2444=sel_Category),OR(sel_Product="All",H2444=sel_Product),AND(S2444&gt;=m_From,S2444&lt;=m_To)),1,0)</f>
        <v/>
      </c>
      <c r="V2444" s="36">
        <f>IF(AND(OR(sel_Region="All",C2444=sel_Region),OR(sel_Channel="All",E2444=sel_Channel),OR(sel_Customer="All",F2444=sel_Customer),OR(sel_Category="All",G2444=sel_Category),OR(sel_Product="All",H2444=sel_Product),AND(S2444&gt;=m_From,S2444&lt;=m_To)),1,0)</f>
        <v/>
      </c>
      <c r="W2444" s="36">
        <f>IF(AND(OR(sel_Region="All",C2444=sel_Region),OR(sel_Country="All",D2444=sel_Country),OR(sel_Customer="All",F2444=sel_Customer),OR(sel_Category="All",G2444=sel_Category),OR(sel_Product="All",H2444=sel_Product),AND(S2444&gt;=m_From,S2444&lt;=m_To)),1,0)</f>
        <v/>
      </c>
      <c r="X2444" s="36">
        <f>IF(AND(OR(sel_Region="All",C2444=sel_Region),OR(sel_Country="All",D2444=sel_Country),OR(sel_Channel="All",E2444=sel_Channel),OR(sel_Category="All",G2444=sel_Category),OR(sel_Product="All",H2444=sel_Product),AND(S2444&gt;=m_From,S2444&lt;=m_To)),1,0)</f>
        <v/>
      </c>
      <c r="Y2444" s="36">
        <f>IF(AND(OR(sel_Region="All",C2444=sel_Region),OR(sel_Country="All",D2444=sel_Country),OR(sel_Channel="All",E2444=sel_Channel),OR(sel_Customer="All",F2444=sel_Customer),OR(sel_Product="All",H2444=sel_Product),AND(S2444&gt;=m_From,S2444&lt;=m_To)),1,0)</f>
        <v/>
      </c>
      <c r="Z2444" s="36">
        <f>IF(AND(OR(sel_Region="All",C2444=sel_Region),OR(sel_Country="All",D2444=sel_Country),OR(sel_Channel="All",E2444=sel_Channel),OR(sel_Customer="All",F2444=sel_Customer),OR(sel_Category="All",G2444=sel_Category),AND(S2444&gt;=m_From,S2444&lt;=m_To)),1,0)</f>
        <v/>
      </c>
      <c r="AA2444" s="36">
        <f>IF(AND(OR(sel_Region="All",C2444=sel_Region),OR(sel_Country="All",D2444=sel_Country),OR(sel_Channel="All",E2444=sel_Channel),OR(sel_Customer="All",F2444=sel_Customer),OR(sel_Category="All",G2444=sel_Category),OR(sel_Product="All",H2444=sel_Product)),1,0)</f>
        <v/>
      </c>
    </row>
    <row r="2445">
      <c r="A2445" s="36" t="inlineStr">
        <is>
          <t>02343</t>
        </is>
      </c>
      <c r="B2445" s="44" t="n">
        <v>46351</v>
      </c>
      <c r="C2445" s="36" t="inlineStr">
        <is>
          <t>Southern Europe</t>
        </is>
      </c>
      <c r="D2445" s="36" t="inlineStr">
        <is>
          <t>Italy</t>
        </is>
      </c>
      <c r="E2445" s="36" t="inlineStr">
        <is>
          <t>Retail Partners</t>
        </is>
      </c>
      <c r="F2445" s="36" t="inlineStr">
        <is>
          <t>New</t>
        </is>
      </c>
      <c r="G2445" s="36" t="inlineStr">
        <is>
          <t>Camping</t>
        </is>
      </c>
      <c r="H2445" s="36" t="inlineStr">
        <is>
          <t>Compact Sleeping Bag</t>
        </is>
      </c>
      <c r="I2445" s="36" t="n">
        <v>1</v>
      </c>
      <c r="J2445" s="39" t="n">
        <v>121.53</v>
      </c>
      <c r="K2445" s="45" t="n">
        <v>0.15</v>
      </c>
      <c r="L2445" s="39" t="n">
        <v>62.14</v>
      </c>
      <c r="M2445" s="39">
        <f>I2445*J2445*(1-K2445)</f>
        <v/>
      </c>
      <c r="N2445" s="39">
        <f>I2445*L2445</f>
        <v/>
      </c>
      <c r="O2445" s="39">
        <f>M2445-N2445</f>
        <v/>
      </c>
      <c r="P2445" s="38">
        <f>IF(M2445=0,0,O2445/M2445)</f>
        <v/>
      </c>
      <c r="Q2445" s="36">
        <f>YEAR(B2445)</f>
        <v/>
      </c>
      <c r="R2445" s="36">
        <f>"Q"&amp;ROUNDUP(MONTH(B2445)/3,0)</f>
        <v/>
      </c>
      <c r="S2445" s="36">
        <f>MONTH(B2445)</f>
        <v/>
      </c>
      <c r="T2445" s="36">
        <f>TEXT(B2445,"mmm")</f>
        <v/>
      </c>
      <c r="U2445" s="36">
        <f>IF(AND(OR(sel_Region="All",C2445=sel_Region),OR(sel_Country="All",D2445=sel_Country),OR(sel_Channel="All",E2445=sel_Channel),OR(sel_Customer="All",F2445=sel_Customer),OR(sel_Category="All",G2445=sel_Category),OR(sel_Product="All",H2445=sel_Product),AND(S2445&gt;=m_From,S2445&lt;=m_To)),1,0)</f>
        <v/>
      </c>
      <c r="V2445" s="36">
        <f>IF(AND(OR(sel_Region="All",C2445=sel_Region),OR(sel_Channel="All",E2445=sel_Channel),OR(sel_Customer="All",F2445=sel_Customer),OR(sel_Category="All",G2445=sel_Category),OR(sel_Product="All",H2445=sel_Product),AND(S2445&gt;=m_From,S2445&lt;=m_To)),1,0)</f>
        <v/>
      </c>
      <c r="W2445" s="36">
        <f>IF(AND(OR(sel_Region="All",C2445=sel_Region),OR(sel_Country="All",D2445=sel_Country),OR(sel_Customer="All",F2445=sel_Customer),OR(sel_Category="All",G2445=sel_Category),OR(sel_Product="All",H2445=sel_Product),AND(S2445&gt;=m_From,S2445&lt;=m_To)),1,0)</f>
        <v/>
      </c>
      <c r="X2445" s="36">
        <f>IF(AND(OR(sel_Region="All",C2445=sel_Region),OR(sel_Country="All",D2445=sel_Country),OR(sel_Channel="All",E2445=sel_Channel),OR(sel_Category="All",G2445=sel_Category),OR(sel_Product="All",H2445=sel_Product),AND(S2445&gt;=m_From,S2445&lt;=m_To)),1,0)</f>
        <v/>
      </c>
      <c r="Y2445" s="36">
        <f>IF(AND(OR(sel_Region="All",C2445=sel_Region),OR(sel_Country="All",D2445=sel_Country),OR(sel_Channel="All",E2445=sel_Channel),OR(sel_Customer="All",F2445=sel_Customer),OR(sel_Product="All",H2445=sel_Product),AND(S2445&gt;=m_From,S2445&lt;=m_To)),1,0)</f>
        <v/>
      </c>
      <c r="Z2445" s="36">
        <f>IF(AND(OR(sel_Region="All",C2445=sel_Region),OR(sel_Country="All",D2445=sel_Country),OR(sel_Channel="All",E2445=sel_Channel),OR(sel_Customer="All",F2445=sel_Customer),OR(sel_Category="All",G2445=sel_Category),AND(S2445&gt;=m_From,S2445&lt;=m_To)),1,0)</f>
        <v/>
      </c>
      <c r="AA2445" s="36">
        <f>IF(AND(OR(sel_Region="All",C2445=sel_Region),OR(sel_Country="All",D2445=sel_Country),OR(sel_Channel="All",E2445=sel_Channel),OR(sel_Customer="All",F2445=sel_Customer),OR(sel_Category="All",G2445=sel_Category),OR(sel_Product="All",H2445=sel_Product)),1,0)</f>
        <v/>
      </c>
    </row>
    <row r="2446">
      <c r="A2446" s="36" t="inlineStr">
        <is>
          <t>02466</t>
        </is>
      </c>
      <c r="B2446" s="44" t="n">
        <v>46351</v>
      </c>
      <c r="C2446" s="36" t="inlineStr">
        <is>
          <t>Northern Europe</t>
        </is>
      </c>
      <c r="D2446" s="36" t="inlineStr">
        <is>
          <t>Sweden</t>
        </is>
      </c>
      <c r="E2446" s="36" t="inlineStr">
        <is>
          <t>Online Store</t>
        </is>
      </c>
      <c r="F2446" s="36" t="inlineStr">
        <is>
          <t>Business</t>
        </is>
      </c>
      <c r="G2446" s="36" t="inlineStr">
        <is>
          <t>Cycling</t>
        </is>
      </c>
      <c r="H2446" s="36" t="inlineStr">
        <is>
          <t>Compact Repair Kit</t>
        </is>
      </c>
      <c r="I2446" s="36" t="n">
        <v>2</v>
      </c>
      <c r="J2446" s="39" t="n">
        <v>40.51</v>
      </c>
      <c r="K2446" s="45" t="n">
        <v>0.05</v>
      </c>
      <c r="L2446" s="39" t="n">
        <v>16.45</v>
      </c>
      <c r="M2446" s="39">
        <f>I2446*J2446*(1-K2446)</f>
        <v/>
      </c>
      <c r="N2446" s="39">
        <f>I2446*L2446</f>
        <v/>
      </c>
      <c r="O2446" s="39">
        <f>M2446-N2446</f>
        <v/>
      </c>
      <c r="P2446" s="38">
        <f>IF(M2446=0,0,O2446/M2446)</f>
        <v/>
      </c>
      <c r="Q2446" s="36">
        <f>YEAR(B2446)</f>
        <v/>
      </c>
      <c r="R2446" s="36">
        <f>"Q"&amp;ROUNDUP(MONTH(B2446)/3,0)</f>
        <v/>
      </c>
      <c r="S2446" s="36">
        <f>MONTH(B2446)</f>
        <v/>
      </c>
      <c r="T2446" s="36">
        <f>TEXT(B2446,"mmm")</f>
        <v/>
      </c>
      <c r="U2446" s="36">
        <f>IF(AND(OR(sel_Region="All",C2446=sel_Region),OR(sel_Country="All",D2446=sel_Country),OR(sel_Channel="All",E2446=sel_Channel),OR(sel_Customer="All",F2446=sel_Customer),OR(sel_Category="All",G2446=sel_Category),OR(sel_Product="All",H2446=sel_Product),AND(S2446&gt;=m_From,S2446&lt;=m_To)),1,0)</f>
        <v/>
      </c>
      <c r="V2446" s="36">
        <f>IF(AND(OR(sel_Region="All",C2446=sel_Region),OR(sel_Channel="All",E2446=sel_Channel),OR(sel_Customer="All",F2446=sel_Customer),OR(sel_Category="All",G2446=sel_Category),OR(sel_Product="All",H2446=sel_Product),AND(S2446&gt;=m_From,S2446&lt;=m_To)),1,0)</f>
        <v/>
      </c>
      <c r="W2446" s="36">
        <f>IF(AND(OR(sel_Region="All",C2446=sel_Region),OR(sel_Country="All",D2446=sel_Country),OR(sel_Customer="All",F2446=sel_Customer),OR(sel_Category="All",G2446=sel_Category),OR(sel_Product="All",H2446=sel_Product),AND(S2446&gt;=m_From,S2446&lt;=m_To)),1,0)</f>
        <v/>
      </c>
      <c r="X2446" s="36">
        <f>IF(AND(OR(sel_Region="All",C2446=sel_Region),OR(sel_Country="All",D2446=sel_Country),OR(sel_Channel="All",E2446=sel_Channel),OR(sel_Category="All",G2446=sel_Category),OR(sel_Product="All",H2446=sel_Product),AND(S2446&gt;=m_From,S2446&lt;=m_To)),1,0)</f>
        <v/>
      </c>
      <c r="Y2446" s="36">
        <f>IF(AND(OR(sel_Region="All",C2446=sel_Region),OR(sel_Country="All",D2446=sel_Country),OR(sel_Channel="All",E2446=sel_Channel),OR(sel_Customer="All",F2446=sel_Customer),OR(sel_Product="All",H2446=sel_Product),AND(S2446&gt;=m_From,S2446&lt;=m_To)),1,0)</f>
        <v/>
      </c>
      <c r="Z2446" s="36">
        <f>IF(AND(OR(sel_Region="All",C2446=sel_Region),OR(sel_Country="All",D2446=sel_Country),OR(sel_Channel="All",E2446=sel_Channel),OR(sel_Customer="All",F2446=sel_Customer),OR(sel_Category="All",G2446=sel_Category),AND(S2446&gt;=m_From,S2446&lt;=m_To)),1,0)</f>
        <v/>
      </c>
      <c r="AA2446" s="36">
        <f>IF(AND(OR(sel_Region="All",C2446=sel_Region),OR(sel_Country="All",D2446=sel_Country),OR(sel_Channel="All",E2446=sel_Channel),OR(sel_Customer="All",F2446=sel_Customer),OR(sel_Category="All",G2446=sel_Category),OR(sel_Product="All",H2446=sel_Product)),1,0)</f>
        <v/>
      </c>
    </row>
    <row r="2447">
      <c r="A2447" s="36" t="inlineStr">
        <is>
          <t>02647</t>
        </is>
      </c>
      <c r="B2447" s="44" t="n">
        <v>46351</v>
      </c>
      <c r="C2447" s="36" t="inlineStr">
        <is>
          <t>Northern Europe</t>
        </is>
      </c>
      <c r="D2447" s="36" t="inlineStr">
        <is>
          <t>Denmark</t>
        </is>
      </c>
      <c r="E2447" s="36" t="inlineStr">
        <is>
          <t>Online Store</t>
        </is>
      </c>
      <c r="F2447" s="36" t="inlineStr">
        <is>
          <t>New</t>
        </is>
      </c>
      <c r="G2447" s="36" t="inlineStr">
        <is>
          <t>Hiking</t>
        </is>
      </c>
      <c r="H2447" s="36" t="inlineStr">
        <is>
          <t>Trekking Poles</t>
        </is>
      </c>
      <c r="I2447" s="36" t="n">
        <v>1</v>
      </c>
      <c r="J2447" s="39" t="n">
        <v>70.09999999999999</v>
      </c>
      <c r="K2447" s="45" t="n">
        <v>0.15</v>
      </c>
      <c r="L2447" s="39" t="n">
        <v>32.28</v>
      </c>
      <c r="M2447" s="39">
        <f>I2447*J2447*(1-K2447)</f>
        <v/>
      </c>
      <c r="N2447" s="39">
        <f>I2447*L2447</f>
        <v/>
      </c>
      <c r="O2447" s="39">
        <f>M2447-N2447</f>
        <v/>
      </c>
      <c r="P2447" s="38">
        <f>IF(M2447=0,0,O2447/M2447)</f>
        <v/>
      </c>
      <c r="Q2447" s="36">
        <f>YEAR(B2447)</f>
        <v/>
      </c>
      <c r="R2447" s="36">
        <f>"Q"&amp;ROUNDUP(MONTH(B2447)/3,0)</f>
        <v/>
      </c>
      <c r="S2447" s="36">
        <f>MONTH(B2447)</f>
        <v/>
      </c>
      <c r="T2447" s="36">
        <f>TEXT(B2447,"mmm")</f>
        <v/>
      </c>
      <c r="U2447" s="36">
        <f>IF(AND(OR(sel_Region="All",C2447=sel_Region),OR(sel_Country="All",D2447=sel_Country),OR(sel_Channel="All",E2447=sel_Channel),OR(sel_Customer="All",F2447=sel_Customer),OR(sel_Category="All",G2447=sel_Category),OR(sel_Product="All",H2447=sel_Product),AND(S2447&gt;=m_From,S2447&lt;=m_To)),1,0)</f>
        <v/>
      </c>
      <c r="V2447" s="36">
        <f>IF(AND(OR(sel_Region="All",C2447=sel_Region),OR(sel_Channel="All",E2447=sel_Channel),OR(sel_Customer="All",F2447=sel_Customer),OR(sel_Category="All",G2447=sel_Category),OR(sel_Product="All",H2447=sel_Product),AND(S2447&gt;=m_From,S2447&lt;=m_To)),1,0)</f>
        <v/>
      </c>
      <c r="W2447" s="36">
        <f>IF(AND(OR(sel_Region="All",C2447=sel_Region),OR(sel_Country="All",D2447=sel_Country),OR(sel_Customer="All",F2447=sel_Customer),OR(sel_Category="All",G2447=sel_Category),OR(sel_Product="All",H2447=sel_Product),AND(S2447&gt;=m_From,S2447&lt;=m_To)),1,0)</f>
        <v/>
      </c>
      <c r="X2447" s="36">
        <f>IF(AND(OR(sel_Region="All",C2447=sel_Region),OR(sel_Country="All",D2447=sel_Country),OR(sel_Channel="All",E2447=sel_Channel),OR(sel_Category="All",G2447=sel_Category),OR(sel_Product="All",H2447=sel_Product),AND(S2447&gt;=m_From,S2447&lt;=m_To)),1,0)</f>
        <v/>
      </c>
      <c r="Y2447" s="36">
        <f>IF(AND(OR(sel_Region="All",C2447=sel_Region),OR(sel_Country="All",D2447=sel_Country),OR(sel_Channel="All",E2447=sel_Channel),OR(sel_Customer="All",F2447=sel_Customer),OR(sel_Product="All",H2447=sel_Product),AND(S2447&gt;=m_From,S2447&lt;=m_To)),1,0)</f>
        <v/>
      </c>
      <c r="Z2447" s="36">
        <f>IF(AND(OR(sel_Region="All",C2447=sel_Region),OR(sel_Country="All",D2447=sel_Country),OR(sel_Channel="All",E2447=sel_Channel),OR(sel_Customer="All",F2447=sel_Customer),OR(sel_Category="All",G2447=sel_Category),AND(S2447&gt;=m_From,S2447&lt;=m_To)),1,0)</f>
        <v/>
      </c>
      <c r="AA2447" s="36">
        <f>IF(AND(OR(sel_Region="All",C2447=sel_Region),OR(sel_Country="All",D2447=sel_Country),OR(sel_Channel="All",E2447=sel_Channel),OR(sel_Customer="All",F2447=sel_Customer),OR(sel_Category="All",G2447=sel_Category),OR(sel_Product="All",H2447=sel_Product)),1,0)</f>
        <v/>
      </c>
    </row>
    <row r="2448">
      <c r="A2448" s="36" t="inlineStr">
        <is>
          <t>02958</t>
        </is>
      </c>
      <c r="B2448" s="44" t="n">
        <v>46351</v>
      </c>
      <c r="C2448" s="36" t="inlineStr">
        <is>
          <t>Central Europe</t>
        </is>
      </c>
      <c r="D2448" s="36" t="inlineStr">
        <is>
          <t>Germany</t>
        </is>
      </c>
      <c r="E2448" s="36" t="inlineStr">
        <is>
          <t>Marketplace</t>
        </is>
      </c>
      <c r="F2448" s="36" t="inlineStr">
        <is>
          <t>New</t>
        </is>
      </c>
      <c r="G2448" s="36" t="inlineStr">
        <is>
          <t>Hiking</t>
        </is>
      </c>
      <c r="H2448" s="36" t="inlineStr">
        <is>
          <t>Trail Boots</t>
        </is>
      </c>
      <c r="I2448" s="36" t="n">
        <v>1</v>
      </c>
      <c r="J2448" s="39" t="n">
        <v>144.25</v>
      </c>
      <c r="K2448" s="45" t="n">
        <v>0.1</v>
      </c>
      <c r="L2448" s="39" t="n">
        <v>79.55</v>
      </c>
      <c r="M2448" s="39">
        <f>I2448*J2448*(1-K2448)</f>
        <v/>
      </c>
      <c r="N2448" s="39">
        <f>I2448*L2448</f>
        <v/>
      </c>
      <c r="O2448" s="39">
        <f>M2448-N2448</f>
        <v/>
      </c>
      <c r="P2448" s="38">
        <f>IF(M2448=0,0,O2448/M2448)</f>
        <v/>
      </c>
      <c r="Q2448" s="36">
        <f>YEAR(B2448)</f>
        <v/>
      </c>
      <c r="R2448" s="36">
        <f>"Q"&amp;ROUNDUP(MONTH(B2448)/3,0)</f>
        <v/>
      </c>
      <c r="S2448" s="36">
        <f>MONTH(B2448)</f>
        <v/>
      </c>
      <c r="T2448" s="36">
        <f>TEXT(B2448,"mmm")</f>
        <v/>
      </c>
      <c r="U2448" s="36">
        <f>IF(AND(OR(sel_Region="All",C2448=sel_Region),OR(sel_Country="All",D2448=sel_Country),OR(sel_Channel="All",E2448=sel_Channel),OR(sel_Customer="All",F2448=sel_Customer),OR(sel_Category="All",G2448=sel_Category),OR(sel_Product="All",H2448=sel_Product),AND(S2448&gt;=m_From,S2448&lt;=m_To)),1,0)</f>
        <v/>
      </c>
      <c r="V2448" s="36">
        <f>IF(AND(OR(sel_Region="All",C2448=sel_Region),OR(sel_Channel="All",E2448=sel_Channel),OR(sel_Customer="All",F2448=sel_Customer),OR(sel_Category="All",G2448=sel_Category),OR(sel_Product="All",H2448=sel_Product),AND(S2448&gt;=m_From,S2448&lt;=m_To)),1,0)</f>
        <v/>
      </c>
      <c r="W2448" s="36">
        <f>IF(AND(OR(sel_Region="All",C2448=sel_Region),OR(sel_Country="All",D2448=sel_Country),OR(sel_Customer="All",F2448=sel_Customer),OR(sel_Category="All",G2448=sel_Category),OR(sel_Product="All",H2448=sel_Product),AND(S2448&gt;=m_From,S2448&lt;=m_To)),1,0)</f>
        <v/>
      </c>
      <c r="X2448" s="36">
        <f>IF(AND(OR(sel_Region="All",C2448=sel_Region),OR(sel_Country="All",D2448=sel_Country),OR(sel_Channel="All",E2448=sel_Channel),OR(sel_Category="All",G2448=sel_Category),OR(sel_Product="All",H2448=sel_Product),AND(S2448&gt;=m_From,S2448&lt;=m_To)),1,0)</f>
        <v/>
      </c>
      <c r="Y2448" s="36">
        <f>IF(AND(OR(sel_Region="All",C2448=sel_Region),OR(sel_Country="All",D2448=sel_Country),OR(sel_Channel="All",E2448=sel_Channel),OR(sel_Customer="All",F2448=sel_Customer),OR(sel_Product="All",H2448=sel_Product),AND(S2448&gt;=m_From,S2448&lt;=m_To)),1,0)</f>
        <v/>
      </c>
      <c r="Z2448" s="36">
        <f>IF(AND(OR(sel_Region="All",C2448=sel_Region),OR(sel_Country="All",D2448=sel_Country),OR(sel_Channel="All",E2448=sel_Channel),OR(sel_Customer="All",F2448=sel_Customer),OR(sel_Category="All",G2448=sel_Category),AND(S2448&gt;=m_From,S2448&lt;=m_To)),1,0)</f>
        <v/>
      </c>
      <c r="AA2448" s="36">
        <f>IF(AND(OR(sel_Region="All",C2448=sel_Region),OR(sel_Country="All",D2448=sel_Country),OR(sel_Channel="All",E2448=sel_Channel),OR(sel_Customer="All",F2448=sel_Customer),OR(sel_Category="All",G2448=sel_Category),OR(sel_Product="All",H2448=sel_Product)),1,0)</f>
        <v/>
      </c>
    </row>
    <row r="2449">
      <c r="A2449" s="36" t="inlineStr">
        <is>
          <t>03527</t>
        </is>
      </c>
      <c r="B2449" s="44" t="n">
        <v>46351</v>
      </c>
      <c r="C2449" s="36" t="inlineStr">
        <is>
          <t>Central Europe</t>
        </is>
      </c>
      <c r="D2449" s="36" t="inlineStr">
        <is>
          <t>Austria</t>
        </is>
      </c>
      <c r="E2449" s="36" t="inlineStr">
        <is>
          <t>Marketplace</t>
        </is>
      </c>
      <c r="F2449" s="36" t="inlineStr">
        <is>
          <t>Returning</t>
        </is>
      </c>
      <c r="G2449" s="36" t="inlineStr">
        <is>
          <t>Hiking</t>
        </is>
      </c>
      <c r="H2449" s="36" t="inlineStr">
        <is>
          <t>Trail Boots</t>
        </is>
      </c>
      <c r="I2449" s="36" t="n">
        <v>4</v>
      </c>
      <c r="J2449" s="39" t="n">
        <v>146.19</v>
      </c>
      <c r="K2449" s="45" t="n">
        <v>0.1</v>
      </c>
      <c r="L2449" s="39" t="n">
        <v>79.56999999999999</v>
      </c>
      <c r="M2449" s="39">
        <f>I2449*J2449*(1-K2449)</f>
        <v/>
      </c>
      <c r="N2449" s="39">
        <f>I2449*L2449</f>
        <v/>
      </c>
      <c r="O2449" s="39">
        <f>M2449-N2449</f>
        <v/>
      </c>
      <c r="P2449" s="38">
        <f>IF(M2449=0,0,O2449/M2449)</f>
        <v/>
      </c>
      <c r="Q2449" s="36">
        <f>YEAR(B2449)</f>
        <v/>
      </c>
      <c r="R2449" s="36">
        <f>"Q"&amp;ROUNDUP(MONTH(B2449)/3,0)</f>
        <v/>
      </c>
      <c r="S2449" s="36">
        <f>MONTH(B2449)</f>
        <v/>
      </c>
      <c r="T2449" s="36">
        <f>TEXT(B2449,"mmm")</f>
        <v/>
      </c>
      <c r="U2449" s="36">
        <f>IF(AND(OR(sel_Region="All",C2449=sel_Region),OR(sel_Country="All",D2449=sel_Country),OR(sel_Channel="All",E2449=sel_Channel),OR(sel_Customer="All",F2449=sel_Customer),OR(sel_Category="All",G2449=sel_Category),OR(sel_Product="All",H2449=sel_Product),AND(S2449&gt;=m_From,S2449&lt;=m_To)),1,0)</f>
        <v/>
      </c>
      <c r="V2449" s="36">
        <f>IF(AND(OR(sel_Region="All",C2449=sel_Region),OR(sel_Channel="All",E2449=sel_Channel),OR(sel_Customer="All",F2449=sel_Customer),OR(sel_Category="All",G2449=sel_Category),OR(sel_Product="All",H2449=sel_Product),AND(S2449&gt;=m_From,S2449&lt;=m_To)),1,0)</f>
        <v/>
      </c>
      <c r="W2449" s="36">
        <f>IF(AND(OR(sel_Region="All",C2449=sel_Region),OR(sel_Country="All",D2449=sel_Country),OR(sel_Customer="All",F2449=sel_Customer),OR(sel_Category="All",G2449=sel_Category),OR(sel_Product="All",H2449=sel_Product),AND(S2449&gt;=m_From,S2449&lt;=m_To)),1,0)</f>
        <v/>
      </c>
      <c r="X2449" s="36">
        <f>IF(AND(OR(sel_Region="All",C2449=sel_Region),OR(sel_Country="All",D2449=sel_Country),OR(sel_Channel="All",E2449=sel_Channel),OR(sel_Category="All",G2449=sel_Category),OR(sel_Product="All",H2449=sel_Product),AND(S2449&gt;=m_From,S2449&lt;=m_To)),1,0)</f>
        <v/>
      </c>
      <c r="Y2449" s="36">
        <f>IF(AND(OR(sel_Region="All",C2449=sel_Region),OR(sel_Country="All",D2449=sel_Country),OR(sel_Channel="All",E2449=sel_Channel),OR(sel_Customer="All",F2449=sel_Customer),OR(sel_Product="All",H2449=sel_Product),AND(S2449&gt;=m_From,S2449&lt;=m_To)),1,0)</f>
        <v/>
      </c>
      <c r="Z2449" s="36">
        <f>IF(AND(OR(sel_Region="All",C2449=sel_Region),OR(sel_Country="All",D2449=sel_Country),OR(sel_Channel="All",E2449=sel_Channel),OR(sel_Customer="All",F2449=sel_Customer),OR(sel_Category="All",G2449=sel_Category),AND(S2449&gt;=m_From,S2449&lt;=m_To)),1,0)</f>
        <v/>
      </c>
      <c r="AA2449" s="36">
        <f>IF(AND(OR(sel_Region="All",C2449=sel_Region),OR(sel_Country="All",D2449=sel_Country),OR(sel_Channel="All",E2449=sel_Channel),OR(sel_Customer="All",F2449=sel_Customer),OR(sel_Category="All",G2449=sel_Category),OR(sel_Product="All",H2449=sel_Product)),1,0)</f>
        <v/>
      </c>
    </row>
    <row r="2450">
      <c r="A2450" s="36" t="inlineStr">
        <is>
          <t>03729</t>
        </is>
      </c>
      <c r="B2450" s="44" t="n">
        <v>46351</v>
      </c>
      <c r="C2450" s="36" t="inlineStr">
        <is>
          <t>Southern Europe</t>
        </is>
      </c>
      <c r="D2450" s="36" t="inlineStr">
        <is>
          <t>Portugal</t>
        </is>
      </c>
      <c r="E2450" s="36" t="inlineStr">
        <is>
          <t>Online Store</t>
        </is>
      </c>
      <c r="F2450" s="36" t="inlineStr">
        <is>
          <t>New</t>
        </is>
      </c>
      <c r="G2450" s="36" t="inlineStr">
        <is>
          <t>Camping</t>
        </is>
      </c>
      <c r="H2450" s="36" t="inlineStr">
        <is>
          <t>Portable Camp Stove</t>
        </is>
      </c>
      <c r="I2450" s="36" t="n">
        <v>1</v>
      </c>
      <c r="J2450" s="39" t="n">
        <v>81.89</v>
      </c>
      <c r="K2450" s="45" t="n">
        <v>0.05</v>
      </c>
      <c r="L2450" s="39" t="n">
        <v>38.33</v>
      </c>
      <c r="M2450" s="39">
        <f>I2450*J2450*(1-K2450)</f>
        <v/>
      </c>
      <c r="N2450" s="39">
        <f>I2450*L2450</f>
        <v/>
      </c>
      <c r="O2450" s="39">
        <f>M2450-N2450</f>
        <v/>
      </c>
      <c r="P2450" s="38">
        <f>IF(M2450=0,0,O2450/M2450)</f>
        <v/>
      </c>
      <c r="Q2450" s="36">
        <f>YEAR(B2450)</f>
        <v/>
      </c>
      <c r="R2450" s="36">
        <f>"Q"&amp;ROUNDUP(MONTH(B2450)/3,0)</f>
        <v/>
      </c>
      <c r="S2450" s="36">
        <f>MONTH(B2450)</f>
        <v/>
      </c>
      <c r="T2450" s="36">
        <f>TEXT(B2450,"mmm")</f>
        <v/>
      </c>
      <c r="U2450" s="36">
        <f>IF(AND(OR(sel_Region="All",C2450=sel_Region),OR(sel_Country="All",D2450=sel_Country),OR(sel_Channel="All",E2450=sel_Channel),OR(sel_Customer="All",F2450=sel_Customer),OR(sel_Category="All",G2450=sel_Category),OR(sel_Product="All",H2450=sel_Product),AND(S2450&gt;=m_From,S2450&lt;=m_To)),1,0)</f>
        <v/>
      </c>
      <c r="V2450" s="36">
        <f>IF(AND(OR(sel_Region="All",C2450=sel_Region),OR(sel_Channel="All",E2450=sel_Channel),OR(sel_Customer="All",F2450=sel_Customer),OR(sel_Category="All",G2450=sel_Category),OR(sel_Product="All",H2450=sel_Product),AND(S2450&gt;=m_From,S2450&lt;=m_To)),1,0)</f>
        <v/>
      </c>
      <c r="W2450" s="36">
        <f>IF(AND(OR(sel_Region="All",C2450=sel_Region),OR(sel_Country="All",D2450=sel_Country),OR(sel_Customer="All",F2450=sel_Customer),OR(sel_Category="All",G2450=sel_Category),OR(sel_Product="All",H2450=sel_Product),AND(S2450&gt;=m_From,S2450&lt;=m_To)),1,0)</f>
        <v/>
      </c>
      <c r="X2450" s="36">
        <f>IF(AND(OR(sel_Region="All",C2450=sel_Region),OR(sel_Country="All",D2450=sel_Country),OR(sel_Channel="All",E2450=sel_Channel),OR(sel_Category="All",G2450=sel_Category),OR(sel_Product="All",H2450=sel_Product),AND(S2450&gt;=m_From,S2450&lt;=m_To)),1,0)</f>
        <v/>
      </c>
      <c r="Y2450" s="36">
        <f>IF(AND(OR(sel_Region="All",C2450=sel_Region),OR(sel_Country="All",D2450=sel_Country),OR(sel_Channel="All",E2450=sel_Channel),OR(sel_Customer="All",F2450=sel_Customer),OR(sel_Product="All",H2450=sel_Product),AND(S2450&gt;=m_From,S2450&lt;=m_To)),1,0)</f>
        <v/>
      </c>
      <c r="Z2450" s="36">
        <f>IF(AND(OR(sel_Region="All",C2450=sel_Region),OR(sel_Country="All",D2450=sel_Country),OR(sel_Channel="All",E2450=sel_Channel),OR(sel_Customer="All",F2450=sel_Customer),OR(sel_Category="All",G2450=sel_Category),AND(S2450&gt;=m_From,S2450&lt;=m_To)),1,0)</f>
        <v/>
      </c>
      <c r="AA2450" s="36">
        <f>IF(AND(OR(sel_Region="All",C2450=sel_Region),OR(sel_Country="All",D2450=sel_Country),OR(sel_Channel="All",E2450=sel_Channel),OR(sel_Customer="All",F2450=sel_Customer),OR(sel_Category="All",G2450=sel_Category),OR(sel_Product="All",H2450=sel_Product)),1,0)</f>
        <v/>
      </c>
    </row>
    <row r="2451">
      <c r="A2451" s="36" t="inlineStr">
        <is>
          <t>04961</t>
        </is>
      </c>
      <c r="B2451" s="44" t="n">
        <v>46351</v>
      </c>
      <c r="C2451" s="36" t="inlineStr">
        <is>
          <t>Northern Europe</t>
        </is>
      </c>
      <c r="D2451" s="36" t="inlineStr">
        <is>
          <t>Sweden</t>
        </is>
      </c>
      <c r="E2451" s="36" t="inlineStr">
        <is>
          <t>Retail Partners</t>
        </is>
      </c>
      <c r="F2451" s="36" t="inlineStr">
        <is>
          <t>New</t>
        </is>
      </c>
      <c r="G2451" s="36" t="inlineStr">
        <is>
          <t>Camping</t>
        </is>
      </c>
      <c r="H2451" s="36" t="inlineStr">
        <is>
          <t>Trail Tent 2P</t>
        </is>
      </c>
      <c r="I2451" s="36" t="n">
        <v>2</v>
      </c>
      <c r="J2451" s="39" t="n">
        <v>194.78</v>
      </c>
      <c r="K2451" s="45" t="n">
        <v>0.15</v>
      </c>
      <c r="L2451" s="39" t="n">
        <v>102.51</v>
      </c>
      <c r="M2451" s="39">
        <f>I2451*J2451*(1-K2451)</f>
        <v/>
      </c>
      <c r="N2451" s="39">
        <f>I2451*L2451</f>
        <v/>
      </c>
      <c r="O2451" s="39">
        <f>M2451-N2451</f>
        <v/>
      </c>
      <c r="P2451" s="38">
        <f>IF(M2451=0,0,O2451/M2451)</f>
        <v/>
      </c>
      <c r="Q2451" s="36">
        <f>YEAR(B2451)</f>
        <v/>
      </c>
      <c r="R2451" s="36">
        <f>"Q"&amp;ROUNDUP(MONTH(B2451)/3,0)</f>
        <v/>
      </c>
      <c r="S2451" s="36">
        <f>MONTH(B2451)</f>
        <v/>
      </c>
      <c r="T2451" s="36">
        <f>TEXT(B2451,"mmm")</f>
        <v/>
      </c>
      <c r="U2451" s="36">
        <f>IF(AND(OR(sel_Region="All",C2451=sel_Region),OR(sel_Country="All",D2451=sel_Country),OR(sel_Channel="All",E2451=sel_Channel),OR(sel_Customer="All",F2451=sel_Customer),OR(sel_Category="All",G2451=sel_Category),OR(sel_Product="All",H2451=sel_Product),AND(S2451&gt;=m_From,S2451&lt;=m_To)),1,0)</f>
        <v/>
      </c>
      <c r="V2451" s="36">
        <f>IF(AND(OR(sel_Region="All",C2451=sel_Region),OR(sel_Channel="All",E2451=sel_Channel),OR(sel_Customer="All",F2451=sel_Customer),OR(sel_Category="All",G2451=sel_Category),OR(sel_Product="All",H2451=sel_Product),AND(S2451&gt;=m_From,S2451&lt;=m_To)),1,0)</f>
        <v/>
      </c>
      <c r="W2451" s="36">
        <f>IF(AND(OR(sel_Region="All",C2451=sel_Region),OR(sel_Country="All",D2451=sel_Country),OR(sel_Customer="All",F2451=sel_Customer),OR(sel_Category="All",G2451=sel_Category),OR(sel_Product="All",H2451=sel_Product),AND(S2451&gt;=m_From,S2451&lt;=m_To)),1,0)</f>
        <v/>
      </c>
      <c r="X2451" s="36">
        <f>IF(AND(OR(sel_Region="All",C2451=sel_Region),OR(sel_Country="All",D2451=sel_Country),OR(sel_Channel="All",E2451=sel_Channel),OR(sel_Category="All",G2451=sel_Category),OR(sel_Product="All",H2451=sel_Product),AND(S2451&gt;=m_From,S2451&lt;=m_To)),1,0)</f>
        <v/>
      </c>
      <c r="Y2451" s="36">
        <f>IF(AND(OR(sel_Region="All",C2451=sel_Region),OR(sel_Country="All",D2451=sel_Country),OR(sel_Channel="All",E2451=sel_Channel),OR(sel_Customer="All",F2451=sel_Customer),OR(sel_Product="All",H2451=sel_Product),AND(S2451&gt;=m_From,S2451&lt;=m_To)),1,0)</f>
        <v/>
      </c>
      <c r="Z2451" s="36">
        <f>IF(AND(OR(sel_Region="All",C2451=sel_Region),OR(sel_Country="All",D2451=sel_Country),OR(sel_Channel="All",E2451=sel_Channel),OR(sel_Customer="All",F2451=sel_Customer),OR(sel_Category="All",G2451=sel_Category),AND(S2451&gt;=m_From,S2451&lt;=m_To)),1,0)</f>
        <v/>
      </c>
      <c r="AA2451" s="36">
        <f>IF(AND(OR(sel_Region="All",C2451=sel_Region),OR(sel_Country="All",D2451=sel_Country),OR(sel_Channel="All",E2451=sel_Channel),OR(sel_Customer="All",F2451=sel_Customer),OR(sel_Category="All",G2451=sel_Category),OR(sel_Product="All",H2451=sel_Product)),1,0)</f>
        <v/>
      </c>
    </row>
    <row r="2452">
      <c r="A2452" s="36" t="inlineStr">
        <is>
          <t>05034</t>
        </is>
      </c>
      <c r="B2452" s="44" t="n">
        <v>46351</v>
      </c>
      <c r="C2452" s="36" t="inlineStr">
        <is>
          <t>Central Europe</t>
        </is>
      </c>
      <c r="D2452" s="36" t="inlineStr">
        <is>
          <t>Poland</t>
        </is>
      </c>
      <c r="E2452" s="36" t="inlineStr">
        <is>
          <t>Online Store</t>
        </is>
      </c>
      <c r="F2452" s="36" t="inlineStr">
        <is>
          <t>Returning</t>
        </is>
      </c>
      <c r="G2452" s="36" t="inlineStr">
        <is>
          <t>Hiking</t>
        </is>
      </c>
      <c r="H2452" s="36" t="inlineStr">
        <is>
          <t>Trail Boots</t>
        </is>
      </c>
      <c r="I2452" s="36" t="n">
        <v>1</v>
      </c>
      <c r="J2452" s="39" t="n">
        <v>141.63</v>
      </c>
      <c r="K2452" s="45" t="n">
        <v>0.05</v>
      </c>
      <c r="L2452" s="39" t="n">
        <v>77.17</v>
      </c>
      <c r="M2452" s="39">
        <f>I2452*J2452*(1-K2452)</f>
        <v/>
      </c>
      <c r="N2452" s="39">
        <f>I2452*L2452</f>
        <v/>
      </c>
      <c r="O2452" s="39">
        <f>M2452-N2452</f>
        <v/>
      </c>
      <c r="P2452" s="38">
        <f>IF(M2452=0,0,O2452/M2452)</f>
        <v/>
      </c>
      <c r="Q2452" s="36">
        <f>YEAR(B2452)</f>
        <v/>
      </c>
      <c r="R2452" s="36">
        <f>"Q"&amp;ROUNDUP(MONTH(B2452)/3,0)</f>
        <v/>
      </c>
      <c r="S2452" s="36">
        <f>MONTH(B2452)</f>
        <v/>
      </c>
      <c r="T2452" s="36">
        <f>TEXT(B2452,"mmm")</f>
        <v/>
      </c>
      <c r="U2452" s="36">
        <f>IF(AND(OR(sel_Region="All",C2452=sel_Region),OR(sel_Country="All",D2452=sel_Country),OR(sel_Channel="All",E2452=sel_Channel),OR(sel_Customer="All",F2452=sel_Customer),OR(sel_Category="All",G2452=sel_Category),OR(sel_Product="All",H2452=sel_Product),AND(S2452&gt;=m_From,S2452&lt;=m_To)),1,0)</f>
        <v/>
      </c>
      <c r="V2452" s="36">
        <f>IF(AND(OR(sel_Region="All",C2452=sel_Region),OR(sel_Channel="All",E2452=sel_Channel),OR(sel_Customer="All",F2452=sel_Customer),OR(sel_Category="All",G2452=sel_Category),OR(sel_Product="All",H2452=sel_Product),AND(S2452&gt;=m_From,S2452&lt;=m_To)),1,0)</f>
        <v/>
      </c>
      <c r="W2452" s="36">
        <f>IF(AND(OR(sel_Region="All",C2452=sel_Region),OR(sel_Country="All",D2452=sel_Country),OR(sel_Customer="All",F2452=sel_Customer),OR(sel_Category="All",G2452=sel_Category),OR(sel_Product="All",H2452=sel_Product),AND(S2452&gt;=m_From,S2452&lt;=m_To)),1,0)</f>
        <v/>
      </c>
      <c r="X2452" s="36">
        <f>IF(AND(OR(sel_Region="All",C2452=sel_Region),OR(sel_Country="All",D2452=sel_Country),OR(sel_Channel="All",E2452=sel_Channel),OR(sel_Category="All",G2452=sel_Category),OR(sel_Product="All",H2452=sel_Product),AND(S2452&gt;=m_From,S2452&lt;=m_To)),1,0)</f>
        <v/>
      </c>
      <c r="Y2452" s="36">
        <f>IF(AND(OR(sel_Region="All",C2452=sel_Region),OR(sel_Country="All",D2452=sel_Country),OR(sel_Channel="All",E2452=sel_Channel),OR(sel_Customer="All",F2452=sel_Customer),OR(sel_Product="All",H2452=sel_Product),AND(S2452&gt;=m_From,S2452&lt;=m_To)),1,0)</f>
        <v/>
      </c>
      <c r="Z2452" s="36">
        <f>IF(AND(OR(sel_Region="All",C2452=sel_Region),OR(sel_Country="All",D2452=sel_Country),OR(sel_Channel="All",E2452=sel_Channel),OR(sel_Customer="All",F2452=sel_Customer),OR(sel_Category="All",G2452=sel_Category),AND(S2452&gt;=m_From,S2452&lt;=m_To)),1,0)</f>
        <v/>
      </c>
      <c r="AA2452" s="36">
        <f>IF(AND(OR(sel_Region="All",C2452=sel_Region),OR(sel_Country="All",D2452=sel_Country),OR(sel_Channel="All",E2452=sel_Channel),OR(sel_Customer="All",F2452=sel_Customer),OR(sel_Category="All",G2452=sel_Category),OR(sel_Product="All",H2452=sel_Product)),1,0)</f>
        <v/>
      </c>
    </row>
    <row r="2453">
      <c r="A2453" s="36" t="inlineStr">
        <is>
          <t>00343</t>
        </is>
      </c>
      <c r="B2453" s="44" t="n">
        <v>46352</v>
      </c>
      <c r="C2453" s="36" t="inlineStr">
        <is>
          <t>Northern Europe</t>
        </is>
      </c>
      <c r="D2453" s="36" t="inlineStr">
        <is>
          <t>Norway</t>
        </is>
      </c>
      <c r="E2453" s="36" t="inlineStr">
        <is>
          <t>Online Store</t>
        </is>
      </c>
      <c r="F2453" s="36" t="inlineStr">
        <is>
          <t>Returning</t>
        </is>
      </c>
      <c r="G2453" s="36" t="inlineStr">
        <is>
          <t>Cycling</t>
        </is>
      </c>
      <c r="H2453" s="36" t="inlineStr">
        <is>
          <t>Compact Repair Kit</t>
        </is>
      </c>
      <c r="I2453" s="36" t="n">
        <v>1</v>
      </c>
      <c r="J2453" s="39" t="n">
        <v>40.86</v>
      </c>
      <c r="K2453" s="45" t="n">
        <v>0.05</v>
      </c>
      <c r="L2453" s="39" t="n">
        <v>17.14</v>
      </c>
      <c r="M2453" s="39">
        <f>I2453*J2453*(1-K2453)</f>
        <v/>
      </c>
      <c r="N2453" s="39">
        <f>I2453*L2453</f>
        <v/>
      </c>
      <c r="O2453" s="39">
        <f>M2453-N2453</f>
        <v/>
      </c>
      <c r="P2453" s="38">
        <f>IF(M2453=0,0,O2453/M2453)</f>
        <v/>
      </c>
      <c r="Q2453" s="36">
        <f>YEAR(B2453)</f>
        <v/>
      </c>
      <c r="R2453" s="36">
        <f>"Q"&amp;ROUNDUP(MONTH(B2453)/3,0)</f>
        <v/>
      </c>
      <c r="S2453" s="36">
        <f>MONTH(B2453)</f>
        <v/>
      </c>
      <c r="T2453" s="36">
        <f>TEXT(B2453,"mmm")</f>
        <v/>
      </c>
      <c r="U2453" s="36">
        <f>IF(AND(OR(sel_Region="All",C2453=sel_Region),OR(sel_Country="All",D2453=sel_Country),OR(sel_Channel="All",E2453=sel_Channel),OR(sel_Customer="All",F2453=sel_Customer),OR(sel_Category="All",G2453=sel_Category),OR(sel_Product="All",H2453=sel_Product),AND(S2453&gt;=m_From,S2453&lt;=m_To)),1,0)</f>
        <v/>
      </c>
      <c r="V2453" s="36">
        <f>IF(AND(OR(sel_Region="All",C2453=sel_Region),OR(sel_Channel="All",E2453=sel_Channel),OR(sel_Customer="All",F2453=sel_Customer),OR(sel_Category="All",G2453=sel_Category),OR(sel_Product="All",H2453=sel_Product),AND(S2453&gt;=m_From,S2453&lt;=m_To)),1,0)</f>
        <v/>
      </c>
      <c r="W2453" s="36">
        <f>IF(AND(OR(sel_Region="All",C2453=sel_Region),OR(sel_Country="All",D2453=sel_Country),OR(sel_Customer="All",F2453=sel_Customer),OR(sel_Category="All",G2453=sel_Category),OR(sel_Product="All",H2453=sel_Product),AND(S2453&gt;=m_From,S2453&lt;=m_To)),1,0)</f>
        <v/>
      </c>
      <c r="X2453" s="36">
        <f>IF(AND(OR(sel_Region="All",C2453=sel_Region),OR(sel_Country="All",D2453=sel_Country),OR(sel_Channel="All",E2453=sel_Channel),OR(sel_Category="All",G2453=sel_Category),OR(sel_Product="All",H2453=sel_Product),AND(S2453&gt;=m_From,S2453&lt;=m_To)),1,0)</f>
        <v/>
      </c>
      <c r="Y2453" s="36">
        <f>IF(AND(OR(sel_Region="All",C2453=sel_Region),OR(sel_Country="All",D2453=sel_Country),OR(sel_Channel="All",E2453=sel_Channel),OR(sel_Customer="All",F2453=sel_Customer),OR(sel_Product="All",H2453=sel_Product),AND(S2453&gt;=m_From,S2453&lt;=m_To)),1,0)</f>
        <v/>
      </c>
      <c r="Z2453" s="36">
        <f>IF(AND(OR(sel_Region="All",C2453=sel_Region),OR(sel_Country="All",D2453=sel_Country),OR(sel_Channel="All",E2453=sel_Channel),OR(sel_Customer="All",F2453=sel_Customer),OR(sel_Category="All",G2453=sel_Category),AND(S2453&gt;=m_From,S2453&lt;=m_To)),1,0)</f>
        <v/>
      </c>
      <c r="AA2453" s="36">
        <f>IF(AND(OR(sel_Region="All",C2453=sel_Region),OR(sel_Country="All",D2453=sel_Country),OR(sel_Channel="All",E2453=sel_Channel),OR(sel_Customer="All",F2453=sel_Customer),OR(sel_Category="All",G2453=sel_Category),OR(sel_Product="All",H2453=sel_Product)),1,0)</f>
        <v/>
      </c>
    </row>
    <row r="2454">
      <c r="A2454" s="36" t="inlineStr">
        <is>
          <t>00405</t>
        </is>
      </c>
      <c r="B2454" s="44" t="n">
        <v>46352</v>
      </c>
      <c r="C2454" s="36" t="inlineStr">
        <is>
          <t>Western Europe</t>
        </is>
      </c>
      <c r="D2454" s="36" t="inlineStr">
        <is>
          <t>United Kingdom</t>
        </is>
      </c>
      <c r="E2454" s="36" t="inlineStr">
        <is>
          <t>Online Store</t>
        </is>
      </c>
      <c r="F2454" s="36" t="inlineStr">
        <is>
          <t>New</t>
        </is>
      </c>
      <c r="G2454" s="36" t="inlineStr">
        <is>
          <t>Hiking</t>
        </is>
      </c>
      <c r="H2454" s="36" t="inlineStr">
        <is>
          <t>Trail Boots</t>
        </is>
      </c>
      <c r="I2454" s="36" t="n">
        <v>1</v>
      </c>
      <c r="J2454" s="39" t="n">
        <v>141.61</v>
      </c>
      <c r="K2454" s="45" t="n">
        <v>0.05</v>
      </c>
      <c r="L2454" s="39" t="n">
        <v>77.7</v>
      </c>
      <c r="M2454" s="39">
        <f>I2454*J2454*(1-K2454)</f>
        <v/>
      </c>
      <c r="N2454" s="39">
        <f>I2454*L2454</f>
        <v/>
      </c>
      <c r="O2454" s="39">
        <f>M2454-N2454</f>
        <v/>
      </c>
      <c r="P2454" s="38">
        <f>IF(M2454=0,0,O2454/M2454)</f>
        <v/>
      </c>
      <c r="Q2454" s="36">
        <f>YEAR(B2454)</f>
        <v/>
      </c>
      <c r="R2454" s="36">
        <f>"Q"&amp;ROUNDUP(MONTH(B2454)/3,0)</f>
        <v/>
      </c>
      <c r="S2454" s="36">
        <f>MONTH(B2454)</f>
        <v/>
      </c>
      <c r="T2454" s="36">
        <f>TEXT(B2454,"mmm")</f>
        <v/>
      </c>
      <c r="U2454" s="36">
        <f>IF(AND(OR(sel_Region="All",C2454=sel_Region),OR(sel_Country="All",D2454=sel_Country),OR(sel_Channel="All",E2454=sel_Channel),OR(sel_Customer="All",F2454=sel_Customer),OR(sel_Category="All",G2454=sel_Category),OR(sel_Product="All",H2454=sel_Product),AND(S2454&gt;=m_From,S2454&lt;=m_To)),1,0)</f>
        <v/>
      </c>
      <c r="V2454" s="36">
        <f>IF(AND(OR(sel_Region="All",C2454=sel_Region),OR(sel_Channel="All",E2454=sel_Channel),OR(sel_Customer="All",F2454=sel_Customer),OR(sel_Category="All",G2454=sel_Category),OR(sel_Product="All",H2454=sel_Product),AND(S2454&gt;=m_From,S2454&lt;=m_To)),1,0)</f>
        <v/>
      </c>
      <c r="W2454" s="36">
        <f>IF(AND(OR(sel_Region="All",C2454=sel_Region),OR(sel_Country="All",D2454=sel_Country),OR(sel_Customer="All",F2454=sel_Customer),OR(sel_Category="All",G2454=sel_Category),OR(sel_Product="All",H2454=sel_Product),AND(S2454&gt;=m_From,S2454&lt;=m_To)),1,0)</f>
        <v/>
      </c>
      <c r="X2454" s="36">
        <f>IF(AND(OR(sel_Region="All",C2454=sel_Region),OR(sel_Country="All",D2454=sel_Country),OR(sel_Channel="All",E2454=sel_Channel),OR(sel_Category="All",G2454=sel_Category),OR(sel_Product="All",H2454=sel_Product),AND(S2454&gt;=m_From,S2454&lt;=m_To)),1,0)</f>
        <v/>
      </c>
      <c r="Y2454" s="36">
        <f>IF(AND(OR(sel_Region="All",C2454=sel_Region),OR(sel_Country="All",D2454=sel_Country),OR(sel_Channel="All",E2454=sel_Channel),OR(sel_Customer="All",F2454=sel_Customer),OR(sel_Product="All",H2454=sel_Product),AND(S2454&gt;=m_From,S2454&lt;=m_To)),1,0)</f>
        <v/>
      </c>
      <c r="Z2454" s="36">
        <f>IF(AND(OR(sel_Region="All",C2454=sel_Region),OR(sel_Country="All",D2454=sel_Country),OR(sel_Channel="All",E2454=sel_Channel),OR(sel_Customer="All",F2454=sel_Customer),OR(sel_Category="All",G2454=sel_Category),AND(S2454&gt;=m_From,S2454&lt;=m_To)),1,0)</f>
        <v/>
      </c>
      <c r="AA2454" s="36">
        <f>IF(AND(OR(sel_Region="All",C2454=sel_Region),OR(sel_Country="All",D2454=sel_Country),OR(sel_Channel="All",E2454=sel_Channel),OR(sel_Customer="All",F2454=sel_Customer),OR(sel_Category="All",G2454=sel_Category),OR(sel_Product="All",H2454=sel_Product)),1,0)</f>
        <v/>
      </c>
    </row>
    <row r="2455">
      <c r="A2455" s="36" t="inlineStr">
        <is>
          <t>00485</t>
        </is>
      </c>
      <c r="B2455" s="44" t="n">
        <v>46352</v>
      </c>
      <c r="C2455" s="36" t="inlineStr">
        <is>
          <t>Western Europe</t>
        </is>
      </c>
      <c r="D2455" s="36" t="inlineStr">
        <is>
          <t>Netherlands</t>
        </is>
      </c>
      <c r="E2455" s="36" t="inlineStr">
        <is>
          <t>Online Store</t>
        </is>
      </c>
      <c r="F2455" s="36" t="inlineStr">
        <is>
          <t>New</t>
        </is>
      </c>
      <c r="G2455" s="36" t="inlineStr">
        <is>
          <t>Camping</t>
        </is>
      </c>
      <c r="H2455" s="36" t="inlineStr">
        <is>
          <t>Compact Sleeping Bag</t>
        </is>
      </c>
      <c r="I2455" s="36" t="n">
        <v>2</v>
      </c>
      <c r="J2455" s="39" t="n">
        <v>122.15</v>
      </c>
      <c r="K2455" s="45" t="n">
        <v>0.1</v>
      </c>
      <c r="L2455" s="39" t="n">
        <v>61.15</v>
      </c>
      <c r="M2455" s="39">
        <f>I2455*J2455*(1-K2455)</f>
        <v/>
      </c>
      <c r="N2455" s="39">
        <f>I2455*L2455</f>
        <v/>
      </c>
      <c r="O2455" s="39">
        <f>M2455-N2455</f>
        <v/>
      </c>
      <c r="P2455" s="38">
        <f>IF(M2455=0,0,O2455/M2455)</f>
        <v/>
      </c>
      <c r="Q2455" s="36">
        <f>YEAR(B2455)</f>
        <v/>
      </c>
      <c r="R2455" s="36">
        <f>"Q"&amp;ROUNDUP(MONTH(B2455)/3,0)</f>
        <v/>
      </c>
      <c r="S2455" s="36">
        <f>MONTH(B2455)</f>
        <v/>
      </c>
      <c r="T2455" s="36">
        <f>TEXT(B2455,"mmm")</f>
        <v/>
      </c>
      <c r="U2455" s="36">
        <f>IF(AND(OR(sel_Region="All",C2455=sel_Region),OR(sel_Country="All",D2455=sel_Country),OR(sel_Channel="All",E2455=sel_Channel),OR(sel_Customer="All",F2455=sel_Customer),OR(sel_Category="All",G2455=sel_Category),OR(sel_Product="All",H2455=sel_Product),AND(S2455&gt;=m_From,S2455&lt;=m_To)),1,0)</f>
        <v/>
      </c>
      <c r="V2455" s="36">
        <f>IF(AND(OR(sel_Region="All",C2455=sel_Region),OR(sel_Channel="All",E2455=sel_Channel),OR(sel_Customer="All",F2455=sel_Customer),OR(sel_Category="All",G2455=sel_Category),OR(sel_Product="All",H2455=sel_Product),AND(S2455&gt;=m_From,S2455&lt;=m_To)),1,0)</f>
        <v/>
      </c>
      <c r="W2455" s="36">
        <f>IF(AND(OR(sel_Region="All",C2455=sel_Region),OR(sel_Country="All",D2455=sel_Country),OR(sel_Customer="All",F2455=sel_Customer),OR(sel_Category="All",G2455=sel_Category),OR(sel_Product="All",H2455=sel_Product),AND(S2455&gt;=m_From,S2455&lt;=m_To)),1,0)</f>
        <v/>
      </c>
      <c r="X2455" s="36">
        <f>IF(AND(OR(sel_Region="All",C2455=sel_Region),OR(sel_Country="All",D2455=sel_Country),OR(sel_Channel="All",E2455=sel_Channel),OR(sel_Category="All",G2455=sel_Category),OR(sel_Product="All",H2455=sel_Product),AND(S2455&gt;=m_From,S2455&lt;=m_To)),1,0)</f>
        <v/>
      </c>
      <c r="Y2455" s="36">
        <f>IF(AND(OR(sel_Region="All",C2455=sel_Region),OR(sel_Country="All",D2455=sel_Country),OR(sel_Channel="All",E2455=sel_Channel),OR(sel_Customer="All",F2455=sel_Customer),OR(sel_Product="All",H2455=sel_Product),AND(S2455&gt;=m_From,S2455&lt;=m_To)),1,0)</f>
        <v/>
      </c>
      <c r="Z2455" s="36">
        <f>IF(AND(OR(sel_Region="All",C2455=sel_Region),OR(sel_Country="All",D2455=sel_Country),OR(sel_Channel="All",E2455=sel_Channel),OR(sel_Customer="All",F2455=sel_Customer),OR(sel_Category="All",G2455=sel_Category),AND(S2455&gt;=m_From,S2455&lt;=m_To)),1,0)</f>
        <v/>
      </c>
      <c r="AA2455" s="36">
        <f>IF(AND(OR(sel_Region="All",C2455=sel_Region),OR(sel_Country="All",D2455=sel_Country),OR(sel_Channel="All",E2455=sel_Channel),OR(sel_Customer="All",F2455=sel_Customer),OR(sel_Category="All",G2455=sel_Category),OR(sel_Product="All",H2455=sel_Product)),1,0)</f>
        <v/>
      </c>
    </row>
    <row r="2456">
      <c r="A2456" s="36" t="inlineStr">
        <is>
          <t>00807</t>
        </is>
      </c>
      <c r="B2456" s="44" t="n">
        <v>46352</v>
      </c>
      <c r="C2456" s="36" t="inlineStr">
        <is>
          <t>Northern Europe</t>
        </is>
      </c>
      <c r="D2456" s="36" t="inlineStr">
        <is>
          <t>Denmark</t>
        </is>
      </c>
      <c r="E2456" s="36" t="inlineStr">
        <is>
          <t>Retail Partners</t>
        </is>
      </c>
      <c r="F2456" s="36" t="inlineStr">
        <is>
          <t>Returning</t>
        </is>
      </c>
      <c r="G2456" s="36" t="inlineStr">
        <is>
          <t>Travel</t>
        </is>
      </c>
      <c r="H2456" s="36" t="inlineStr">
        <is>
          <t>Carry-On Duffel</t>
        </is>
      </c>
      <c r="I2456" s="36" t="n">
        <v>5</v>
      </c>
      <c r="J2456" s="39" t="n">
        <v>130.24</v>
      </c>
      <c r="K2456" s="45" t="n">
        <v>0.1</v>
      </c>
      <c r="L2456" s="39" t="n">
        <v>66.75</v>
      </c>
      <c r="M2456" s="39">
        <f>I2456*J2456*(1-K2456)</f>
        <v/>
      </c>
      <c r="N2456" s="39">
        <f>I2456*L2456</f>
        <v/>
      </c>
      <c r="O2456" s="39">
        <f>M2456-N2456</f>
        <v/>
      </c>
      <c r="P2456" s="38">
        <f>IF(M2456=0,0,O2456/M2456)</f>
        <v/>
      </c>
      <c r="Q2456" s="36">
        <f>YEAR(B2456)</f>
        <v/>
      </c>
      <c r="R2456" s="36">
        <f>"Q"&amp;ROUNDUP(MONTH(B2456)/3,0)</f>
        <v/>
      </c>
      <c r="S2456" s="36">
        <f>MONTH(B2456)</f>
        <v/>
      </c>
      <c r="T2456" s="36">
        <f>TEXT(B2456,"mmm")</f>
        <v/>
      </c>
      <c r="U2456" s="36">
        <f>IF(AND(OR(sel_Region="All",C2456=sel_Region),OR(sel_Country="All",D2456=sel_Country),OR(sel_Channel="All",E2456=sel_Channel),OR(sel_Customer="All",F2456=sel_Customer),OR(sel_Category="All",G2456=sel_Category),OR(sel_Product="All",H2456=sel_Product),AND(S2456&gt;=m_From,S2456&lt;=m_To)),1,0)</f>
        <v/>
      </c>
      <c r="V2456" s="36">
        <f>IF(AND(OR(sel_Region="All",C2456=sel_Region),OR(sel_Channel="All",E2456=sel_Channel),OR(sel_Customer="All",F2456=sel_Customer),OR(sel_Category="All",G2456=sel_Category),OR(sel_Product="All",H2456=sel_Product),AND(S2456&gt;=m_From,S2456&lt;=m_To)),1,0)</f>
        <v/>
      </c>
      <c r="W2456" s="36">
        <f>IF(AND(OR(sel_Region="All",C2456=sel_Region),OR(sel_Country="All",D2456=sel_Country),OR(sel_Customer="All",F2456=sel_Customer),OR(sel_Category="All",G2456=sel_Category),OR(sel_Product="All",H2456=sel_Product),AND(S2456&gt;=m_From,S2456&lt;=m_To)),1,0)</f>
        <v/>
      </c>
      <c r="X2456" s="36">
        <f>IF(AND(OR(sel_Region="All",C2456=sel_Region),OR(sel_Country="All",D2456=sel_Country),OR(sel_Channel="All",E2456=sel_Channel),OR(sel_Category="All",G2456=sel_Category),OR(sel_Product="All",H2456=sel_Product),AND(S2456&gt;=m_From,S2456&lt;=m_To)),1,0)</f>
        <v/>
      </c>
      <c r="Y2456" s="36">
        <f>IF(AND(OR(sel_Region="All",C2456=sel_Region),OR(sel_Country="All",D2456=sel_Country),OR(sel_Channel="All",E2456=sel_Channel),OR(sel_Customer="All",F2456=sel_Customer),OR(sel_Product="All",H2456=sel_Product),AND(S2456&gt;=m_From,S2456&lt;=m_To)),1,0)</f>
        <v/>
      </c>
      <c r="Z2456" s="36">
        <f>IF(AND(OR(sel_Region="All",C2456=sel_Region),OR(sel_Country="All",D2456=sel_Country),OR(sel_Channel="All",E2456=sel_Channel),OR(sel_Customer="All",F2456=sel_Customer),OR(sel_Category="All",G2456=sel_Category),AND(S2456&gt;=m_From,S2456&lt;=m_To)),1,0)</f>
        <v/>
      </c>
      <c r="AA2456" s="36">
        <f>IF(AND(OR(sel_Region="All",C2456=sel_Region),OR(sel_Country="All",D2456=sel_Country),OR(sel_Channel="All",E2456=sel_Channel),OR(sel_Customer="All",F2456=sel_Customer),OR(sel_Category="All",G2456=sel_Category),OR(sel_Product="All",H2456=sel_Product)),1,0)</f>
        <v/>
      </c>
    </row>
    <row r="2457">
      <c r="A2457" s="36" t="inlineStr">
        <is>
          <t>01666</t>
        </is>
      </c>
      <c r="B2457" s="44" t="n">
        <v>46352</v>
      </c>
      <c r="C2457" s="36" t="inlineStr">
        <is>
          <t>Southern Europe</t>
        </is>
      </c>
      <c r="D2457" s="36" t="inlineStr">
        <is>
          <t>Italy</t>
        </is>
      </c>
      <c r="E2457" s="36" t="inlineStr">
        <is>
          <t>Corporate</t>
        </is>
      </c>
      <c r="F2457" s="36" t="inlineStr">
        <is>
          <t>Returning</t>
        </is>
      </c>
      <c r="G2457" s="36" t="inlineStr">
        <is>
          <t>Cycling</t>
        </is>
      </c>
      <c r="H2457" s="36" t="inlineStr">
        <is>
          <t>Trail Bike Light</t>
        </is>
      </c>
      <c r="I2457" s="36" t="n">
        <v>3</v>
      </c>
      <c r="J2457" s="39" t="n">
        <v>50.18</v>
      </c>
      <c r="K2457" s="45" t="n">
        <v>0.1</v>
      </c>
      <c r="L2457" s="39" t="n">
        <v>23.12</v>
      </c>
      <c r="M2457" s="39">
        <f>I2457*J2457*(1-K2457)</f>
        <v/>
      </c>
      <c r="N2457" s="39">
        <f>I2457*L2457</f>
        <v/>
      </c>
      <c r="O2457" s="39">
        <f>M2457-N2457</f>
        <v/>
      </c>
      <c r="P2457" s="38">
        <f>IF(M2457=0,0,O2457/M2457)</f>
        <v/>
      </c>
      <c r="Q2457" s="36">
        <f>YEAR(B2457)</f>
        <v/>
      </c>
      <c r="R2457" s="36">
        <f>"Q"&amp;ROUNDUP(MONTH(B2457)/3,0)</f>
        <v/>
      </c>
      <c r="S2457" s="36">
        <f>MONTH(B2457)</f>
        <v/>
      </c>
      <c r="T2457" s="36">
        <f>TEXT(B2457,"mmm")</f>
        <v/>
      </c>
      <c r="U2457" s="36">
        <f>IF(AND(OR(sel_Region="All",C2457=sel_Region),OR(sel_Country="All",D2457=sel_Country),OR(sel_Channel="All",E2457=sel_Channel),OR(sel_Customer="All",F2457=sel_Customer),OR(sel_Category="All",G2457=sel_Category),OR(sel_Product="All",H2457=sel_Product),AND(S2457&gt;=m_From,S2457&lt;=m_To)),1,0)</f>
        <v/>
      </c>
      <c r="V2457" s="36">
        <f>IF(AND(OR(sel_Region="All",C2457=sel_Region),OR(sel_Channel="All",E2457=sel_Channel),OR(sel_Customer="All",F2457=sel_Customer),OR(sel_Category="All",G2457=sel_Category),OR(sel_Product="All",H2457=sel_Product),AND(S2457&gt;=m_From,S2457&lt;=m_To)),1,0)</f>
        <v/>
      </c>
      <c r="W2457" s="36">
        <f>IF(AND(OR(sel_Region="All",C2457=sel_Region),OR(sel_Country="All",D2457=sel_Country),OR(sel_Customer="All",F2457=sel_Customer),OR(sel_Category="All",G2457=sel_Category),OR(sel_Product="All",H2457=sel_Product),AND(S2457&gt;=m_From,S2457&lt;=m_To)),1,0)</f>
        <v/>
      </c>
      <c r="X2457" s="36">
        <f>IF(AND(OR(sel_Region="All",C2457=sel_Region),OR(sel_Country="All",D2457=sel_Country),OR(sel_Channel="All",E2457=sel_Channel),OR(sel_Category="All",G2457=sel_Category),OR(sel_Product="All",H2457=sel_Product),AND(S2457&gt;=m_From,S2457&lt;=m_To)),1,0)</f>
        <v/>
      </c>
      <c r="Y2457" s="36">
        <f>IF(AND(OR(sel_Region="All",C2457=sel_Region),OR(sel_Country="All",D2457=sel_Country),OR(sel_Channel="All",E2457=sel_Channel),OR(sel_Customer="All",F2457=sel_Customer),OR(sel_Product="All",H2457=sel_Product),AND(S2457&gt;=m_From,S2457&lt;=m_To)),1,0)</f>
        <v/>
      </c>
      <c r="Z2457" s="36">
        <f>IF(AND(OR(sel_Region="All",C2457=sel_Region),OR(sel_Country="All",D2457=sel_Country),OR(sel_Channel="All",E2457=sel_Channel),OR(sel_Customer="All",F2457=sel_Customer),OR(sel_Category="All",G2457=sel_Category),AND(S2457&gt;=m_From,S2457&lt;=m_To)),1,0)</f>
        <v/>
      </c>
      <c r="AA2457" s="36">
        <f>IF(AND(OR(sel_Region="All",C2457=sel_Region),OR(sel_Country="All",D2457=sel_Country),OR(sel_Channel="All",E2457=sel_Channel),OR(sel_Customer="All",F2457=sel_Customer),OR(sel_Category="All",G2457=sel_Category),OR(sel_Product="All",H2457=sel_Product)),1,0)</f>
        <v/>
      </c>
    </row>
    <row r="2458">
      <c r="A2458" s="36" t="inlineStr">
        <is>
          <t>03442</t>
        </is>
      </c>
      <c r="B2458" s="44" t="n">
        <v>46352</v>
      </c>
      <c r="C2458" s="36" t="inlineStr">
        <is>
          <t>Southern Europe</t>
        </is>
      </c>
      <c r="D2458" s="36" t="inlineStr">
        <is>
          <t>Portugal</t>
        </is>
      </c>
      <c r="E2458" s="36" t="inlineStr">
        <is>
          <t>Retail Partners</t>
        </is>
      </c>
      <c r="F2458" s="36" t="inlineStr">
        <is>
          <t>New</t>
        </is>
      </c>
      <c r="G2458" s="36" t="inlineStr">
        <is>
          <t>Fitness</t>
        </is>
      </c>
      <c r="H2458" s="36" t="inlineStr">
        <is>
          <t>Training Mat</t>
        </is>
      </c>
      <c r="I2458" s="36" t="n">
        <v>2</v>
      </c>
      <c r="J2458" s="39" t="n">
        <v>50.93</v>
      </c>
      <c r="K2458" s="45" t="n">
        <v>0.15</v>
      </c>
      <c r="L2458" s="39" t="n">
        <v>22.35</v>
      </c>
      <c r="M2458" s="39">
        <f>I2458*J2458*(1-K2458)</f>
        <v/>
      </c>
      <c r="N2458" s="39">
        <f>I2458*L2458</f>
        <v/>
      </c>
      <c r="O2458" s="39">
        <f>M2458-N2458</f>
        <v/>
      </c>
      <c r="P2458" s="38">
        <f>IF(M2458=0,0,O2458/M2458)</f>
        <v/>
      </c>
      <c r="Q2458" s="36">
        <f>YEAR(B2458)</f>
        <v/>
      </c>
      <c r="R2458" s="36">
        <f>"Q"&amp;ROUNDUP(MONTH(B2458)/3,0)</f>
        <v/>
      </c>
      <c r="S2458" s="36">
        <f>MONTH(B2458)</f>
        <v/>
      </c>
      <c r="T2458" s="36">
        <f>TEXT(B2458,"mmm")</f>
        <v/>
      </c>
      <c r="U2458" s="36">
        <f>IF(AND(OR(sel_Region="All",C2458=sel_Region),OR(sel_Country="All",D2458=sel_Country),OR(sel_Channel="All",E2458=sel_Channel),OR(sel_Customer="All",F2458=sel_Customer),OR(sel_Category="All",G2458=sel_Category),OR(sel_Product="All",H2458=sel_Product),AND(S2458&gt;=m_From,S2458&lt;=m_To)),1,0)</f>
        <v/>
      </c>
      <c r="V2458" s="36">
        <f>IF(AND(OR(sel_Region="All",C2458=sel_Region),OR(sel_Channel="All",E2458=sel_Channel),OR(sel_Customer="All",F2458=sel_Customer),OR(sel_Category="All",G2458=sel_Category),OR(sel_Product="All",H2458=sel_Product),AND(S2458&gt;=m_From,S2458&lt;=m_To)),1,0)</f>
        <v/>
      </c>
      <c r="W2458" s="36">
        <f>IF(AND(OR(sel_Region="All",C2458=sel_Region),OR(sel_Country="All",D2458=sel_Country),OR(sel_Customer="All",F2458=sel_Customer),OR(sel_Category="All",G2458=sel_Category),OR(sel_Product="All",H2458=sel_Product),AND(S2458&gt;=m_From,S2458&lt;=m_To)),1,0)</f>
        <v/>
      </c>
      <c r="X2458" s="36">
        <f>IF(AND(OR(sel_Region="All",C2458=sel_Region),OR(sel_Country="All",D2458=sel_Country),OR(sel_Channel="All",E2458=sel_Channel),OR(sel_Category="All",G2458=sel_Category),OR(sel_Product="All",H2458=sel_Product),AND(S2458&gt;=m_From,S2458&lt;=m_To)),1,0)</f>
        <v/>
      </c>
      <c r="Y2458" s="36">
        <f>IF(AND(OR(sel_Region="All",C2458=sel_Region),OR(sel_Country="All",D2458=sel_Country),OR(sel_Channel="All",E2458=sel_Channel),OR(sel_Customer="All",F2458=sel_Customer),OR(sel_Product="All",H2458=sel_Product),AND(S2458&gt;=m_From,S2458&lt;=m_To)),1,0)</f>
        <v/>
      </c>
      <c r="Z2458" s="36">
        <f>IF(AND(OR(sel_Region="All",C2458=sel_Region),OR(sel_Country="All",D2458=sel_Country),OR(sel_Channel="All",E2458=sel_Channel),OR(sel_Customer="All",F2458=sel_Customer),OR(sel_Category="All",G2458=sel_Category),AND(S2458&gt;=m_From,S2458&lt;=m_To)),1,0)</f>
        <v/>
      </c>
      <c r="AA2458" s="36">
        <f>IF(AND(OR(sel_Region="All",C2458=sel_Region),OR(sel_Country="All",D2458=sel_Country),OR(sel_Channel="All",E2458=sel_Channel),OR(sel_Customer="All",F2458=sel_Customer),OR(sel_Category="All",G2458=sel_Category),OR(sel_Product="All",H2458=sel_Product)),1,0)</f>
        <v/>
      </c>
    </row>
    <row r="2459">
      <c r="A2459" s="36" t="inlineStr">
        <is>
          <t>04177</t>
        </is>
      </c>
      <c r="B2459" s="44" t="n">
        <v>46352</v>
      </c>
      <c r="C2459" s="36" t="inlineStr">
        <is>
          <t>Northern Europe</t>
        </is>
      </c>
      <c r="D2459" s="36" t="inlineStr">
        <is>
          <t>Finland</t>
        </is>
      </c>
      <c r="E2459" s="36" t="inlineStr">
        <is>
          <t>Online Store</t>
        </is>
      </c>
      <c r="F2459" s="36" t="inlineStr">
        <is>
          <t>Business</t>
        </is>
      </c>
      <c r="G2459" s="36" t="inlineStr">
        <is>
          <t>Cycling</t>
        </is>
      </c>
      <c r="H2459" s="36" t="inlineStr">
        <is>
          <t>Trail Bike Light</t>
        </is>
      </c>
      <c r="I2459" s="36" t="n">
        <v>1</v>
      </c>
      <c r="J2459" s="39" t="n">
        <v>49.6</v>
      </c>
      <c r="K2459" s="45" t="n">
        <v>0</v>
      </c>
      <c r="L2459" s="39" t="n">
        <v>22.62</v>
      </c>
      <c r="M2459" s="39">
        <f>I2459*J2459*(1-K2459)</f>
        <v/>
      </c>
      <c r="N2459" s="39">
        <f>I2459*L2459</f>
        <v/>
      </c>
      <c r="O2459" s="39">
        <f>M2459-N2459</f>
        <v/>
      </c>
      <c r="P2459" s="38">
        <f>IF(M2459=0,0,O2459/M2459)</f>
        <v/>
      </c>
      <c r="Q2459" s="36">
        <f>YEAR(B2459)</f>
        <v/>
      </c>
      <c r="R2459" s="36">
        <f>"Q"&amp;ROUNDUP(MONTH(B2459)/3,0)</f>
        <v/>
      </c>
      <c r="S2459" s="36">
        <f>MONTH(B2459)</f>
        <v/>
      </c>
      <c r="T2459" s="36">
        <f>TEXT(B2459,"mmm")</f>
        <v/>
      </c>
      <c r="U2459" s="36">
        <f>IF(AND(OR(sel_Region="All",C2459=sel_Region),OR(sel_Country="All",D2459=sel_Country),OR(sel_Channel="All",E2459=sel_Channel),OR(sel_Customer="All",F2459=sel_Customer),OR(sel_Category="All",G2459=sel_Category),OR(sel_Product="All",H2459=sel_Product),AND(S2459&gt;=m_From,S2459&lt;=m_To)),1,0)</f>
        <v/>
      </c>
      <c r="V2459" s="36">
        <f>IF(AND(OR(sel_Region="All",C2459=sel_Region),OR(sel_Channel="All",E2459=sel_Channel),OR(sel_Customer="All",F2459=sel_Customer),OR(sel_Category="All",G2459=sel_Category),OR(sel_Product="All",H2459=sel_Product),AND(S2459&gt;=m_From,S2459&lt;=m_To)),1,0)</f>
        <v/>
      </c>
      <c r="W2459" s="36">
        <f>IF(AND(OR(sel_Region="All",C2459=sel_Region),OR(sel_Country="All",D2459=sel_Country),OR(sel_Customer="All",F2459=sel_Customer),OR(sel_Category="All",G2459=sel_Category),OR(sel_Product="All",H2459=sel_Product),AND(S2459&gt;=m_From,S2459&lt;=m_To)),1,0)</f>
        <v/>
      </c>
      <c r="X2459" s="36">
        <f>IF(AND(OR(sel_Region="All",C2459=sel_Region),OR(sel_Country="All",D2459=sel_Country),OR(sel_Channel="All",E2459=sel_Channel),OR(sel_Category="All",G2459=sel_Category),OR(sel_Product="All",H2459=sel_Product),AND(S2459&gt;=m_From,S2459&lt;=m_To)),1,0)</f>
        <v/>
      </c>
      <c r="Y2459" s="36">
        <f>IF(AND(OR(sel_Region="All",C2459=sel_Region),OR(sel_Country="All",D2459=sel_Country),OR(sel_Channel="All",E2459=sel_Channel),OR(sel_Customer="All",F2459=sel_Customer),OR(sel_Product="All",H2459=sel_Product),AND(S2459&gt;=m_From,S2459&lt;=m_To)),1,0)</f>
        <v/>
      </c>
      <c r="Z2459" s="36">
        <f>IF(AND(OR(sel_Region="All",C2459=sel_Region),OR(sel_Country="All",D2459=sel_Country),OR(sel_Channel="All",E2459=sel_Channel),OR(sel_Customer="All",F2459=sel_Customer),OR(sel_Category="All",G2459=sel_Category),AND(S2459&gt;=m_From,S2459&lt;=m_To)),1,0)</f>
        <v/>
      </c>
      <c r="AA2459" s="36">
        <f>IF(AND(OR(sel_Region="All",C2459=sel_Region),OR(sel_Country="All",D2459=sel_Country),OR(sel_Channel="All",E2459=sel_Channel),OR(sel_Customer="All",F2459=sel_Customer),OR(sel_Category="All",G2459=sel_Category),OR(sel_Product="All",H2459=sel_Product)),1,0)</f>
        <v/>
      </c>
    </row>
    <row r="2460">
      <c r="A2460" s="36" t="inlineStr">
        <is>
          <t>04659</t>
        </is>
      </c>
      <c r="B2460" s="44" t="n">
        <v>46352</v>
      </c>
      <c r="C2460" s="36" t="inlineStr">
        <is>
          <t>Central Europe</t>
        </is>
      </c>
      <c r="D2460" s="36" t="inlineStr">
        <is>
          <t>Switzerland</t>
        </is>
      </c>
      <c r="E2460" s="36" t="inlineStr">
        <is>
          <t>Corporate</t>
        </is>
      </c>
      <c r="F2460" s="36" t="inlineStr">
        <is>
          <t>Business</t>
        </is>
      </c>
      <c r="G2460" s="36" t="inlineStr">
        <is>
          <t>Camping</t>
        </is>
      </c>
      <c r="H2460" s="36" t="inlineStr">
        <is>
          <t>Portable Camp Stove</t>
        </is>
      </c>
      <c r="I2460" s="36" t="n">
        <v>3</v>
      </c>
      <c r="J2460" s="39" t="n">
        <v>83.3</v>
      </c>
      <c r="K2460" s="45" t="n">
        <v>0.15</v>
      </c>
      <c r="L2460" s="39" t="n">
        <v>38.74</v>
      </c>
      <c r="M2460" s="39">
        <f>I2460*J2460*(1-K2460)</f>
        <v/>
      </c>
      <c r="N2460" s="39">
        <f>I2460*L2460</f>
        <v/>
      </c>
      <c r="O2460" s="39">
        <f>M2460-N2460</f>
        <v/>
      </c>
      <c r="P2460" s="38">
        <f>IF(M2460=0,0,O2460/M2460)</f>
        <v/>
      </c>
      <c r="Q2460" s="36">
        <f>YEAR(B2460)</f>
        <v/>
      </c>
      <c r="R2460" s="36">
        <f>"Q"&amp;ROUNDUP(MONTH(B2460)/3,0)</f>
        <v/>
      </c>
      <c r="S2460" s="36">
        <f>MONTH(B2460)</f>
        <v/>
      </c>
      <c r="T2460" s="36">
        <f>TEXT(B2460,"mmm")</f>
        <v/>
      </c>
      <c r="U2460" s="36">
        <f>IF(AND(OR(sel_Region="All",C2460=sel_Region),OR(sel_Country="All",D2460=sel_Country),OR(sel_Channel="All",E2460=sel_Channel),OR(sel_Customer="All",F2460=sel_Customer),OR(sel_Category="All",G2460=sel_Category),OR(sel_Product="All",H2460=sel_Product),AND(S2460&gt;=m_From,S2460&lt;=m_To)),1,0)</f>
        <v/>
      </c>
      <c r="V2460" s="36">
        <f>IF(AND(OR(sel_Region="All",C2460=sel_Region),OR(sel_Channel="All",E2460=sel_Channel),OR(sel_Customer="All",F2460=sel_Customer),OR(sel_Category="All",G2460=sel_Category),OR(sel_Product="All",H2460=sel_Product),AND(S2460&gt;=m_From,S2460&lt;=m_To)),1,0)</f>
        <v/>
      </c>
      <c r="W2460" s="36">
        <f>IF(AND(OR(sel_Region="All",C2460=sel_Region),OR(sel_Country="All",D2460=sel_Country),OR(sel_Customer="All",F2460=sel_Customer),OR(sel_Category="All",G2460=sel_Category),OR(sel_Product="All",H2460=sel_Product),AND(S2460&gt;=m_From,S2460&lt;=m_To)),1,0)</f>
        <v/>
      </c>
      <c r="X2460" s="36">
        <f>IF(AND(OR(sel_Region="All",C2460=sel_Region),OR(sel_Country="All",D2460=sel_Country),OR(sel_Channel="All",E2460=sel_Channel),OR(sel_Category="All",G2460=sel_Category),OR(sel_Product="All",H2460=sel_Product),AND(S2460&gt;=m_From,S2460&lt;=m_To)),1,0)</f>
        <v/>
      </c>
      <c r="Y2460" s="36">
        <f>IF(AND(OR(sel_Region="All",C2460=sel_Region),OR(sel_Country="All",D2460=sel_Country),OR(sel_Channel="All",E2460=sel_Channel),OR(sel_Customer="All",F2460=sel_Customer),OR(sel_Product="All",H2460=sel_Product),AND(S2460&gt;=m_From,S2460&lt;=m_To)),1,0)</f>
        <v/>
      </c>
      <c r="Z2460" s="36">
        <f>IF(AND(OR(sel_Region="All",C2460=sel_Region),OR(sel_Country="All",D2460=sel_Country),OR(sel_Channel="All",E2460=sel_Channel),OR(sel_Customer="All",F2460=sel_Customer),OR(sel_Category="All",G2460=sel_Category),AND(S2460&gt;=m_From,S2460&lt;=m_To)),1,0)</f>
        <v/>
      </c>
      <c r="AA2460" s="36">
        <f>IF(AND(OR(sel_Region="All",C2460=sel_Region),OR(sel_Country="All",D2460=sel_Country),OR(sel_Channel="All",E2460=sel_Channel),OR(sel_Customer="All",F2460=sel_Customer),OR(sel_Category="All",G2460=sel_Category),OR(sel_Product="All",H2460=sel_Product)),1,0)</f>
        <v/>
      </c>
    </row>
    <row r="2461">
      <c r="A2461" s="36" t="inlineStr">
        <is>
          <t>04667</t>
        </is>
      </c>
      <c r="B2461" s="44" t="n">
        <v>46352</v>
      </c>
      <c r="C2461" s="36" t="inlineStr">
        <is>
          <t>Central Europe</t>
        </is>
      </c>
      <c r="D2461" s="36" t="inlineStr">
        <is>
          <t>Poland</t>
        </is>
      </c>
      <c r="E2461" s="36" t="inlineStr">
        <is>
          <t>Marketplace</t>
        </is>
      </c>
      <c r="F2461" s="36" t="inlineStr">
        <is>
          <t>Business</t>
        </is>
      </c>
      <c r="G2461" s="36" t="inlineStr">
        <is>
          <t>Travel</t>
        </is>
      </c>
      <c r="H2461" s="36" t="inlineStr">
        <is>
          <t>Insulated Bottle</t>
        </is>
      </c>
      <c r="I2461" s="36" t="n">
        <v>1</v>
      </c>
      <c r="J2461" s="39" t="n">
        <v>35.89</v>
      </c>
      <c r="K2461" s="45" t="n">
        <v>0.05</v>
      </c>
      <c r="L2461" s="39" t="n">
        <v>13.53</v>
      </c>
      <c r="M2461" s="39">
        <f>I2461*J2461*(1-K2461)</f>
        <v/>
      </c>
      <c r="N2461" s="39">
        <f>I2461*L2461</f>
        <v/>
      </c>
      <c r="O2461" s="39">
        <f>M2461-N2461</f>
        <v/>
      </c>
      <c r="P2461" s="38">
        <f>IF(M2461=0,0,O2461/M2461)</f>
        <v/>
      </c>
      <c r="Q2461" s="36">
        <f>YEAR(B2461)</f>
        <v/>
      </c>
      <c r="R2461" s="36">
        <f>"Q"&amp;ROUNDUP(MONTH(B2461)/3,0)</f>
        <v/>
      </c>
      <c r="S2461" s="36">
        <f>MONTH(B2461)</f>
        <v/>
      </c>
      <c r="T2461" s="36">
        <f>TEXT(B2461,"mmm")</f>
        <v/>
      </c>
      <c r="U2461" s="36">
        <f>IF(AND(OR(sel_Region="All",C2461=sel_Region),OR(sel_Country="All",D2461=sel_Country),OR(sel_Channel="All",E2461=sel_Channel),OR(sel_Customer="All",F2461=sel_Customer),OR(sel_Category="All",G2461=sel_Category),OR(sel_Product="All",H2461=sel_Product),AND(S2461&gt;=m_From,S2461&lt;=m_To)),1,0)</f>
        <v/>
      </c>
      <c r="V2461" s="36">
        <f>IF(AND(OR(sel_Region="All",C2461=sel_Region),OR(sel_Channel="All",E2461=sel_Channel),OR(sel_Customer="All",F2461=sel_Customer),OR(sel_Category="All",G2461=sel_Category),OR(sel_Product="All",H2461=sel_Product),AND(S2461&gt;=m_From,S2461&lt;=m_To)),1,0)</f>
        <v/>
      </c>
      <c r="W2461" s="36">
        <f>IF(AND(OR(sel_Region="All",C2461=sel_Region),OR(sel_Country="All",D2461=sel_Country),OR(sel_Customer="All",F2461=sel_Customer),OR(sel_Category="All",G2461=sel_Category),OR(sel_Product="All",H2461=sel_Product),AND(S2461&gt;=m_From,S2461&lt;=m_To)),1,0)</f>
        <v/>
      </c>
      <c r="X2461" s="36">
        <f>IF(AND(OR(sel_Region="All",C2461=sel_Region),OR(sel_Country="All",D2461=sel_Country),OR(sel_Channel="All",E2461=sel_Channel),OR(sel_Category="All",G2461=sel_Category),OR(sel_Product="All",H2461=sel_Product),AND(S2461&gt;=m_From,S2461&lt;=m_To)),1,0)</f>
        <v/>
      </c>
      <c r="Y2461" s="36">
        <f>IF(AND(OR(sel_Region="All",C2461=sel_Region),OR(sel_Country="All",D2461=sel_Country),OR(sel_Channel="All",E2461=sel_Channel),OR(sel_Customer="All",F2461=sel_Customer),OR(sel_Product="All",H2461=sel_Product),AND(S2461&gt;=m_From,S2461&lt;=m_To)),1,0)</f>
        <v/>
      </c>
      <c r="Z2461" s="36">
        <f>IF(AND(OR(sel_Region="All",C2461=sel_Region),OR(sel_Country="All",D2461=sel_Country),OR(sel_Channel="All",E2461=sel_Channel),OR(sel_Customer="All",F2461=sel_Customer),OR(sel_Category="All",G2461=sel_Category),AND(S2461&gt;=m_From,S2461&lt;=m_To)),1,0)</f>
        <v/>
      </c>
      <c r="AA2461" s="36">
        <f>IF(AND(OR(sel_Region="All",C2461=sel_Region),OR(sel_Country="All",D2461=sel_Country),OR(sel_Channel="All",E2461=sel_Channel),OR(sel_Customer="All",F2461=sel_Customer),OR(sel_Category="All",G2461=sel_Category),OR(sel_Product="All",H2461=sel_Product)),1,0)</f>
        <v/>
      </c>
    </row>
    <row r="2462">
      <c r="A2462" s="36" t="inlineStr">
        <is>
          <t>00197</t>
        </is>
      </c>
      <c r="B2462" s="44" t="n">
        <v>46353</v>
      </c>
      <c r="C2462" s="36" t="inlineStr">
        <is>
          <t>Western Europe</t>
        </is>
      </c>
      <c r="D2462" s="36" t="inlineStr">
        <is>
          <t>Belgium</t>
        </is>
      </c>
      <c r="E2462" s="36" t="inlineStr">
        <is>
          <t>Retail Partners</t>
        </is>
      </c>
      <c r="F2462" s="36" t="inlineStr">
        <is>
          <t>New</t>
        </is>
      </c>
      <c r="G2462" s="36" t="inlineStr">
        <is>
          <t>Camping</t>
        </is>
      </c>
      <c r="H2462" s="36" t="inlineStr">
        <is>
          <t>Trail Tent 2P</t>
        </is>
      </c>
      <c r="I2462" s="36" t="n">
        <v>1</v>
      </c>
      <c r="J2462" s="39" t="n">
        <v>195.32</v>
      </c>
      <c r="K2462" s="45" t="n">
        <v>0</v>
      </c>
      <c r="L2462" s="39" t="n">
        <v>103.21</v>
      </c>
      <c r="M2462" s="39">
        <f>I2462*J2462*(1-K2462)</f>
        <v/>
      </c>
      <c r="N2462" s="39">
        <f>I2462*L2462</f>
        <v/>
      </c>
      <c r="O2462" s="39">
        <f>M2462-N2462</f>
        <v/>
      </c>
      <c r="P2462" s="38">
        <f>IF(M2462=0,0,O2462/M2462)</f>
        <v/>
      </c>
      <c r="Q2462" s="36">
        <f>YEAR(B2462)</f>
        <v/>
      </c>
      <c r="R2462" s="36">
        <f>"Q"&amp;ROUNDUP(MONTH(B2462)/3,0)</f>
        <v/>
      </c>
      <c r="S2462" s="36">
        <f>MONTH(B2462)</f>
        <v/>
      </c>
      <c r="T2462" s="36">
        <f>TEXT(B2462,"mmm")</f>
        <v/>
      </c>
      <c r="U2462" s="36">
        <f>IF(AND(OR(sel_Region="All",C2462=sel_Region),OR(sel_Country="All",D2462=sel_Country),OR(sel_Channel="All",E2462=sel_Channel),OR(sel_Customer="All",F2462=sel_Customer),OR(sel_Category="All",G2462=sel_Category),OR(sel_Product="All",H2462=sel_Product),AND(S2462&gt;=m_From,S2462&lt;=m_To)),1,0)</f>
        <v/>
      </c>
      <c r="V2462" s="36">
        <f>IF(AND(OR(sel_Region="All",C2462=sel_Region),OR(sel_Channel="All",E2462=sel_Channel),OR(sel_Customer="All",F2462=sel_Customer),OR(sel_Category="All",G2462=sel_Category),OR(sel_Product="All",H2462=sel_Product),AND(S2462&gt;=m_From,S2462&lt;=m_To)),1,0)</f>
        <v/>
      </c>
      <c r="W2462" s="36">
        <f>IF(AND(OR(sel_Region="All",C2462=sel_Region),OR(sel_Country="All",D2462=sel_Country),OR(sel_Customer="All",F2462=sel_Customer),OR(sel_Category="All",G2462=sel_Category),OR(sel_Product="All",H2462=sel_Product),AND(S2462&gt;=m_From,S2462&lt;=m_To)),1,0)</f>
        <v/>
      </c>
      <c r="X2462" s="36">
        <f>IF(AND(OR(sel_Region="All",C2462=sel_Region),OR(sel_Country="All",D2462=sel_Country),OR(sel_Channel="All",E2462=sel_Channel),OR(sel_Category="All",G2462=sel_Category),OR(sel_Product="All",H2462=sel_Product),AND(S2462&gt;=m_From,S2462&lt;=m_To)),1,0)</f>
        <v/>
      </c>
      <c r="Y2462" s="36">
        <f>IF(AND(OR(sel_Region="All",C2462=sel_Region),OR(sel_Country="All",D2462=sel_Country),OR(sel_Channel="All",E2462=sel_Channel),OR(sel_Customer="All",F2462=sel_Customer),OR(sel_Product="All",H2462=sel_Product),AND(S2462&gt;=m_From,S2462&lt;=m_To)),1,0)</f>
        <v/>
      </c>
      <c r="Z2462" s="36">
        <f>IF(AND(OR(sel_Region="All",C2462=sel_Region),OR(sel_Country="All",D2462=sel_Country),OR(sel_Channel="All",E2462=sel_Channel),OR(sel_Customer="All",F2462=sel_Customer),OR(sel_Category="All",G2462=sel_Category),AND(S2462&gt;=m_From,S2462&lt;=m_To)),1,0)</f>
        <v/>
      </c>
      <c r="AA2462" s="36">
        <f>IF(AND(OR(sel_Region="All",C2462=sel_Region),OR(sel_Country="All",D2462=sel_Country),OR(sel_Channel="All",E2462=sel_Channel),OR(sel_Customer="All",F2462=sel_Customer),OR(sel_Category="All",G2462=sel_Category),OR(sel_Product="All",H2462=sel_Product)),1,0)</f>
        <v/>
      </c>
    </row>
    <row r="2463">
      <c r="A2463" s="36" t="inlineStr">
        <is>
          <t>00361</t>
        </is>
      </c>
      <c r="B2463" s="44" t="n">
        <v>46353</v>
      </c>
      <c r="C2463" s="36" t="inlineStr">
        <is>
          <t>Central Europe</t>
        </is>
      </c>
      <c r="D2463" s="36" t="inlineStr">
        <is>
          <t>Austria</t>
        </is>
      </c>
      <c r="E2463" s="36" t="inlineStr">
        <is>
          <t>Online Store</t>
        </is>
      </c>
      <c r="F2463" s="36" t="inlineStr">
        <is>
          <t>Returning</t>
        </is>
      </c>
      <c r="G2463" s="36" t="inlineStr">
        <is>
          <t>Travel</t>
        </is>
      </c>
      <c r="H2463" s="36" t="inlineStr">
        <is>
          <t>Insulated Bottle</t>
        </is>
      </c>
      <c r="I2463" s="36" t="n">
        <v>1</v>
      </c>
      <c r="J2463" s="39" t="n">
        <v>36.36</v>
      </c>
      <c r="K2463" s="45" t="n">
        <v>0.05</v>
      </c>
      <c r="L2463" s="39" t="n">
        <v>13.33</v>
      </c>
      <c r="M2463" s="39">
        <f>I2463*J2463*(1-K2463)</f>
        <v/>
      </c>
      <c r="N2463" s="39">
        <f>I2463*L2463</f>
        <v/>
      </c>
      <c r="O2463" s="39">
        <f>M2463-N2463</f>
        <v/>
      </c>
      <c r="P2463" s="38">
        <f>IF(M2463=0,0,O2463/M2463)</f>
        <v/>
      </c>
      <c r="Q2463" s="36">
        <f>YEAR(B2463)</f>
        <v/>
      </c>
      <c r="R2463" s="36">
        <f>"Q"&amp;ROUNDUP(MONTH(B2463)/3,0)</f>
        <v/>
      </c>
      <c r="S2463" s="36">
        <f>MONTH(B2463)</f>
        <v/>
      </c>
      <c r="T2463" s="36">
        <f>TEXT(B2463,"mmm")</f>
        <v/>
      </c>
      <c r="U2463" s="36">
        <f>IF(AND(OR(sel_Region="All",C2463=sel_Region),OR(sel_Country="All",D2463=sel_Country),OR(sel_Channel="All",E2463=sel_Channel),OR(sel_Customer="All",F2463=sel_Customer),OR(sel_Category="All",G2463=sel_Category),OR(sel_Product="All",H2463=sel_Product),AND(S2463&gt;=m_From,S2463&lt;=m_To)),1,0)</f>
        <v/>
      </c>
      <c r="V2463" s="36">
        <f>IF(AND(OR(sel_Region="All",C2463=sel_Region),OR(sel_Channel="All",E2463=sel_Channel),OR(sel_Customer="All",F2463=sel_Customer),OR(sel_Category="All",G2463=sel_Category),OR(sel_Product="All",H2463=sel_Product),AND(S2463&gt;=m_From,S2463&lt;=m_To)),1,0)</f>
        <v/>
      </c>
      <c r="W2463" s="36">
        <f>IF(AND(OR(sel_Region="All",C2463=sel_Region),OR(sel_Country="All",D2463=sel_Country),OR(sel_Customer="All",F2463=sel_Customer),OR(sel_Category="All",G2463=sel_Category),OR(sel_Product="All",H2463=sel_Product),AND(S2463&gt;=m_From,S2463&lt;=m_To)),1,0)</f>
        <v/>
      </c>
      <c r="X2463" s="36">
        <f>IF(AND(OR(sel_Region="All",C2463=sel_Region),OR(sel_Country="All",D2463=sel_Country),OR(sel_Channel="All",E2463=sel_Channel),OR(sel_Category="All",G2463=sel_Category),OR(sel_Product="All",H2463=sel_Product),AND(S2463&gt;=m_From,S2463&lt;=m_To)),1,0)</f>
        <v/>
      </c>
      <c r="Y2463" s="36">
        <f>IF(AND(OR(sel_Region="All",C2463=sel_Region),OR(sel_Country="All",D2463=sel_Country),OR(sel_Channel="All",E2463=sel_Channel),OR(sel_Customer="All",F2463=sel_Customer),OR(sel_Product="All",H2463=sel_Product),AND(S2463&gt;=m_From,S2463&lt;=m_To)),1,0)</f>
        <v/>
      </c>
      <c r="Z2463" s="36">
        <f>IF(AND(OR(sel_Region="All",C2463=sel_Region),OR(sel_Country="All",D2463=sel_Country),OR(sel_Channel="All",E2463=sel_Channel),OR(sel_Customer="All",F2463=sel_Customer),OR(sel_Category="All",G2463=sel_Category),AND(S2463&gt;=m_From,S2463&lt;=m_To)),1,0)</f>
        <v/>
      </c>
      <c r="AA2463" s="36">
        <f>IF(AND(OR(sel_Region="All",C2463=sel_Region),OR(sel_Country="All",D2463=sel_Country),OR(sel_Channel="All",E2463=sel_Channel),OR(sel_Customer="All",F2463=sel_Customer),OR(sel_Category="All",G2463=sel_Category),OR(sel_Product="All",H2463=sel_Product)),1,0)</f>
        <v/>
      </c>
    </row>
    <row r="2464">
      <c r="A2464" s="36" t="inlineStr">
        <is>
          <t>00841</t>
        </is>
      </c>
      <c r="B2464" s="44" t="n">
        <v>46353</v>
      </c>
      <c r="C2464" s="36" t="inlineStr">
        <is>
          <t>Central Europe</t>
        </is>
      </c>
      <c r="D2464" s="36" t="inlineStr">
        <is>
          <t>Germany</t>
        </is>
      </c>
      <c r="E2464" s="36" t="inlineStr">
        <is>
          <t>Online Store</t>
        </is>
      </c>
      <c r="F2464" s="36" t="inlineStr">
        <is>
          <t>Returning</t>
        </is>
      </c>
      <c r="G2464" s="36" t="inlineStr">
        <is>
          <t>Travel</t>
        </is>
      </c>
      <c r="H2464" s="36" t="inlineStr">
        <is>
          <t>Insulated Bottle</t>
        </is>
      </c>
      <c r="I2464" s="36" t="n">
        <v>2</v>
      </c>
      <c r="J2464" s="39" t="n">
        <v>35.85</v>
      </c>
      <c r="K2464" s="45" t="n">
        <v>0.05</v>
      </c>
      <c r="L2464" s="39" t="n">
        <v>13.69</v>
      </c>
      <c r="M2464" s="39">
        <f>I2464*J2464*(1-K2464)</f>
        <v/>
      </c>
      <c r="N2464" s="39">
        <f>I2464*L2464</f>
        <v/>
      </c>
      <c r="O2464" s="39">
        <f>M2464-N2464</f>
        <v/>
      </c>
      <c r="P2464" s="38">
        <f>IF(M2464=0,0,O2464/M2464)</f>
        <v/>
      </c>
      <c r="Q2464" s="36">
        <f>YEAR(B2464)</f>
        <v/>
      </c>
      <c r="R2464" s="36">
        <f>"Q"&amp;ROUNDUP(MONTH(B2464)/3,0)</f>
        <v/>
      </c>
      <c r="S2464" s="36">
        <f>MONTH(B2464)</f>
        <v/>
      </c>
      <c r="T2464" s="36">
        <f>TEXT(B2464,"mmm")</f>
        <v/>
      </c>
      <c r="U2464" s="36">
        <f>IF(AND(OR(sel_Region="All",C2464=sel_Region),OR(sel_Country="All",D2464=sel_Country),OR(sel_Channel="All",E2464=sel_Channel),OR(sel_Customer="All",F2464=sel_Customer),OR(sel_Category="All",G2464=sel_Category),OR(sel_Product="All",H2464=sel_Product),AND(S2464&gt;=m_From,S2464&lt;=m_To)),1,0)</f>
        <v/>
      </c>
      <c r="V2464" s="36">
        <f>IF(AND(OR(sel_Region="All",C2464=sel_Region),OR(sel_Channel="All",E2464=sel_Channel),OR(sel_Customer="All",F2464=sel_Customer),OR(sel_Category="All",G2464=sel_Category),OR(sel_Product="All",H2464=sel_Product),AND(S2464&gt;=m_From,S2464&lt;=m_To)),1,0)</f>
        <v/>
      </c>
      <c r="W2464" s="36">
        <f>IF(AND(OR(sel_Region="All",C2464=sel_Region),OR(sel_Country="All",D2464=sel_Country),OR(sel_Customer="All",F2464=sel_Customer),OR(sel_Category="All",G2464=sel_Category),OR(sel_Product="All",H2464=sel_Product),AND(S2464&gt;=m_From,S2464&lt;=m_To)),1,0)</f>
        <v/>
      </c>
      <c r="X2464" s="36">
        <f>IF(AND(OR(sel_Region="All",C2464=sel_Region),OR(sel_Country="All",D2464=sel_Country),OR(sel_Channel="All",E2464=sel_Channel),OR(sel_Category="All",G2464=sel_Category),OR(sel_Product="All",H2464=sel_Product),AND(S2464&gt;=m_From,S2464&lt;=m_To)),1,0)</f>
        <v/>
      </c>
      <c r="Y2464" s="36">
        <f>IF(AND(OR(sel_Region="All",C2464=sel_Region),OR(sel_Country="All",D2464=sel_Country),OR(sel_Channel="All",E2464=sel_Channel),OR(sel_Customer="All",F2464=sel_Customer),OR(sel_Product="All",H2464=sel_Product),AND(S2464&gt;=m_From,S2464&lt;=m_To)),1,0)</f>
        <v/>
      </c>
      <c r="Z2464" s="36">
        <f>IF(AND(OR(sel_Region="All",C2464=sel_Region),OR(sel_Country="All",D2464=sel_Country),OR(sel_Channel="All",E2464=sel_Channel),OR(sel_Customer="All",F2464=sel_Customer),OR(sel_Category="All",G2464=sel_Category),AND(S2464&gt;=m_From,S2464&lt;=m_To)),1,0)</f>
        <v/>
      </c>
      <c r="AA2464" s="36">
        <f>IF(AND(OR(sel_Region="All",C2464=sel_Region),OR(sel_Country="All",D2464=sel_Country),OR(sel_Channel="All",E2464=sel_Channel),OR(sel_Customer="All",F2464=sel_Customer),OR(sel_Category="All",G2464=sel_Category),OR(sel_Product="All",H2464=sel_Product)),1,0)</f>
        <v/>
      </c>
    </row>
    <row r="2465">
      <c r="A2465" s="36" t="inlineStr">
        <is>
          <t>00903</t>
        </is>
      </c>
      <c r="B2465" s="44" t="n">
        <v>46353</v>
      </c>
      <c r="C2465" s="36" t="inlineStr">
        <is>
          <t>Western Europe</t>
        </is>
      </c>
      <c r="D2465" s="36" t="inlineStr">
        <is>
          <t>United Kingdom</t>
        </is>
      </c>
      <c r="E2465" s="36" t="inlineStr">
        <is>
          <t>Online Store</t>
        </is>
      </c>
      <c r="F2465" s="36" t="inlineStr">
        <is>
          <t>New</t>
        </is>
      </c>
      <c r="G2465" s="36" t="inlineStr">
        <is>
          <t>Travel</t>
        </is>
      </c>
      <c r="H2465" s="36" t="inlineStr">
        <is>
          <t>Packing Cube Set</t>
        </is>
      </c>
      <c r="I2465" s="36" t="n">
        <v>4</v>
      </c>
      <c r="J2465" s="39" t="n">
        <v>46.73</v>
      </c>
      <c r="K2465" s="45" t="n">
        <v>0</v>
      </c>
      <c r="L2465" s="39" t="n">
        <v>17.99</v>
      </c>
      <c r="M2465" s="39">
        <f>I2465*J2465*(1-K2465)</f>
        <v/>
      </c>
      <c r="N2465" s="39">
        <f>I2465*L2465</f>
        <v/>
      </c>
      <c r="O2465" s="39">
        <f>M2465-N2465</f>
        <v/>
      </c>
      <c r="P2465" s="38">
        <f>IF(M2465=0,0,O2465/M2465)</f>
        <v/>
      </c>
      <c r="Q2465" s="36">
        <f>YEAR(B2465)</f>
        <v/>
      </c>
      <c r="R2465" s="36">
        <f>"Q"&amp;ROUNDUP(MONTH(B2465)/3,0)</f>
        <v/>
      </c>
      <c r="S2465" s="36">
        <f>MONTH(B2465)</f>
        <v/>
      </c>
      <c r="T2465" s="36">
        <f>TEXT(B2465,"mmm")</f>
        <v/>
      </c>
      <c r="U2465" s="36">
        <f>IF(AND(OR(sel_Region="All",C2465=sel_Region),OR(sel_Country="All",D2465=sel_Country),OR(sel_Channel="All",E2465=sel_Channel),OR(sel_Customer="All",F2465=sel_Customer),OR(sel_Category="All",G2465=sel_Category),OR(sel_Product="All",H2465=sel_Product),AND(S2465&gt;=m_From,S2465&lt;=m_To)),1,0)</f>
        <v/>
      </c>
      <c r="V2465" s="36">
        <f>IF(AND(OR(sel_Region="All",C2465=sel_Region),OR(sel_Channel="All",E2465=sel_Channel),OR(sel_Customer="All",F2465=sel_Customer),OR(sel_Category="All",G2465=sel_Category),OR(sel_Product="All",H2465=sel_Product),AND(S2465&gt;=m_From,S2465&lt;=m_To)),1,0)</f>
        <v/>
      </c>
      <c r="W2465" s="36">
        <f>IF(AND(OR(sel_Region="All",C2465=sel_Region),OR(sel_Country="All",D2465=sel_Country),OR(sel_Customer="All",F2465=sel_Customer),OR(sel_Category="All",G2465=sel_Category),OR(sel_Product="All",H2465=sel_Product),AND(S2465&gt;=m_From,S2465&lt;=m_To)),1,0)</f>
        <v/>
      </c>
      <c r="X2465" s="36">
        <f>IF(AND(OR(sel_Region="All",C2465=sel_Region),OR(sel_Country="All",D2465=sel_Country),OR(sel_Channel="All",E2465=sel_Channel),OR(sel_Category="All",G2465=sel_Category),OR(sel_Product="All",H2465=sel_Product),AND(S2465&gt;=m_From,S2465&lt;=m_To)),1,0)</f>
        <v/>
      </c>
      <c r="Y2465" s="36">
        <f>IF(AND(OR(sel_Region="All",C2465=sel_Region),OR(sel_Country="All",D2465=sel_Country),OR(sel_Channel="All",E2465=sel_Channel),OR(sel_Customer="All",F2465=sel_Customer),OR(sel_Product="All",H2465=sel_Product),AND(S2465&gt;=m_From,S2465&lt;=m_To)),1,0)</f>
        <v/>
      </c>
      <c r="Z2465" s="36">
        <f>IF(AND(OR(sel_Region="All",C2465=sel_Region),OR(sel_Country="All",D2465=sel_Country),OR(sel_Channel="All",E2465=sel_Channel),OR(sel_Customer="All",F2465=sel_Customer),OR(sel_Category="All",G2465=sel_Category),AND(S2465&gt;=m_From,S2465&lt;=m_To)),1,0)</f>
        <v/>
      </c>
      <c r="AA2465" s="36">
        <f>IF(AND(OR(sel_Region="All",C2465=sel_Region),OR(sel_Country="All",D2465=sel_Country),OR(sel_Channel="All",E2465=sel_Channel),OR(sel_Customer="All",F2465=sel_Customer),OR(sel_Category="All",G2465=sel_Category),OR(sel_Product="All",H2465=sel_Product)),1,0)</f>
        <v/>
      </c>
    </row>
    <row r="2466">
      <c r="A2466" s="36" t="inlineStr">
        <is>
          <t>01278</t>
        </is>
      </c>
      <c r="B2466" s="44" t="n">
        <v>46353</v>
      </c>
      <c r="C2466" s="36" t="inlineStr">
        <is>
          <t>Western Europe</t>
        </is>
      </c>
      <c r="D2466" s="36" t="inlineStr">
        <is>
          <t>France</t>
        </is>
      </c>
      <c r="E2466" s="36" t="inlineStr">
        <is>
          <t>Retail Partners</t>
        </is>
      </c>
      <c r="F2466" s="36" t="inlineStr">
        <is>
          <t>Returning</t>
        </is>
      </c>
      <c r="G2466" s="36" t="inlineStr">
        <is>
          <t>Hiking</t>
        </is>
      </c>
      <c r="H2466" s="36" t="inlineStr">
        <is>
          <t>Trail Boots</t>
        </is>
      </c>
      <c r="I2466" s="36" t="n">
        <v>3</v>
      </c>
      <c r="J2466" s="39" t="n">
        <v>143.72</v>
      </c>
      <c r="K2466" s="45" t="n">
        <v>0.15</v>
      </c>
      <c r="L2466" s="39" t="n">
        <v>78.56</v>
      </c>
      <c r="M2466" s="39">
        <f>I2466*J2466*(1-K2466)</f>
        <v/>
      </c>
      <c r="N2466" s="39">
        <f>I2466*L2466</f>
        <v/>
      </c>
      <c r="O2466" s="39">
        <f>M2466-N2466</f>
        <v/>
      </c>
      <c r="P2466" s="38">
        <f>IF(M2466=0,0,O2466/M2466)</f>
        <v/>
      </c>
      <c r="Q2466" s="36">
        <f>YEAR(B2466)</f>
        <v/>
      </c>
      <c r="R2466" s="36">
        <f>"Q"&amp;ROUNDUP(MONTH(B2466)/3,0)</f>
        <v/>
      </c>
      <c r="S2466" s="36">
        <f>MONTH(B2466)</f>
        <v/>
      </c>
      <c r="T2466" s="36">
        <f>TEXT(B2466,"mmm")</f>
        <v/>
      </c>
      <c r="U2466" s="36">
        <f>IF(AND(OR(sel_Region="All",C2466=sel_Region),OR(sel_Country="All",D2466=sel_Country),OR(sel_Channel="All",E2466=sel_Channel),OR(sel_Customer="All",F2466=sel_Customer),OR(sel_Category="All",G2466=sel_Category),OR(sel_Product="All",H2466=sel_Product),AND(S2466&gt;=m_From,S2466&lt;=m_To)),1,0)</f>
        <v/>
      </c>
      <c r="V2466" s="36">
        <f>IF(AND(OR(sel_Region="All",C2466=sel_Region),OR(sel_Channel="All",E2466=sel_Channel),OR(sel_Customer="All",F2466=sel_Customer),OR(sel_Category="All",G2466=sel_Category),OR(sel_Product="All",H2466=sel_Product),AND(S2466&gt;=m_From,S2466&lt;=m_To)),1,0)</f>
        <v/>
      </c>
      <c r="W2466" s="36">
        <f>IF(AND(OR(sel_Region="All",C2466=sel_Region),OR(sel_Country="All",D2466=sel_Country),OR(sel_Customer="All",F2466=sel_Customer),OR(sel_Category="All",G2466=sel_Category),OR(sel_Product="All",H2466=sel_Product),AND(S2466&gt;=m_From,S2466&lt;=m_To)),1,0)</f>
        <v/>
      </c>
      <c r="X2466" s="36">
        <f>IF(AND(OR(sel_Region="All",C2466=sel_Region),OR(sel_Country="All",D2466=sel_Country),OR(sel_Channel="All",E2466=sel_Channel),OR(sel_Category="All",G2466=sel_Category),OR(sel_Product="All",H2466=sel_Product),AND(S2466&gt;=m_From,S2466&lt;=m_To)),1,0)</f>
        <v/>
      </c>
      <c r="Y2466" s="36">
        <f>IF(AND(OR(sel_Region="All",C2466=sel_Region),OR(sel_Country="All",D2466=sel_Country),OR(sel_Channel="All",E2466=sel_Channel),OR(sel_Customer="All",F2466=sel_Customer),OR(sel_Product="All",H2466=sel_Product),AND(S2466&gt;=m_From,S2466&lt;=m_To)),1,0)</f>
        <v/>
      </c>
      <c r="Z2466" s="36">
        <f>IF(AND(OR(sel_Region="All",C2466=sel_Region),OR(sel_Country="All",D2466=sel_Country),OR(sel_Channel="All",E2466=sel_Channel),OR(sel_Customer="All",F2466=sel_Customer),OR(sel_Category="All",G2466=sel_Category),AND(S2466&gt;=m_From,S2466&lt;=m_To)),1,0)</f>
        <v/>
      </c>
      <c r="AA2466" s="36">
        <f>IF(AND(OR(sel_Region="All",C2466=sel_Region),OR(sel_Country="All",D2466=sel_Country),OR(sel_Channel="All",E2466=sel_Channel),OR(sel_Customer="All",F2466=sel_Customer),OR(sel_Category="All",G2466=sel_Category),OR(sel_Product="All",H2466=sel_Product)),1,0)</f>
        <v/>
      </c>
    </row>
    <row r="2467">
      <c r="A2467" s="36" t="inlineStr">
        <is>
          <t>02091</t>
        </is>
      </c>
      <c r="B2467" s="44" t="n">
        <v>46353</v>
      </c>
      <c r="C2467" s="36" t="inlineStr">
        <is>
          <t>Central Europe</t>
        </is>
      </c>
      <c r="D2467" s="36" t="inlineStr">
        <is>
          <t>Germany</t>
        </is>
      </c>
      <c r="E2467" s="36" t="inlineStr">
        <is>
          <t>Marketplace</t>
        </is>
      </c>
      <c r="F2467" s="36" t="inlineStr">
        <is>
          <t>New</t>
        </is>
      </c>
      <c r="G2467" s="36" t="inlineStr">
        <is>
          <t>Fitness</t>
        </is>
      </c>
      <c r="H2467" s="36" t="inlineStr">
        <is>
          <t>Recovery Roller</t>
        </is>
      </c>
      <c r="I2467" s="36" t="n">
        <v>1</v>
      </c>
      <c r="J2467" s="39" t="n">
        <v>35.59</v>
      </c>
      <c r="K2467" s="45" t="n">
        <v>0</v>
      </c>
      <c r="L2467" s="39" t="n">
        <v>13.57</v>
      </c>
      <c r="M2467" s="39">
        <f>I2467*J2467*(1-K2467)</f>
        <v/>
      </c>
      <c r="N2467" s="39">
        <f>I2467*L2467</f>
        <v/>
      </c>
      <c r="O2467" s="39">
        <f>M2467-N2467</f>
        <v/>
      </c>
      <c r="P2467" s="38">
        <f>IF(M2467=0,0,O2467/M2467)</f>
        <v/>
      </c>
      <c r="Q2467" s="36">
        <f>YEAR(B2467)</f>
        <v/>
      </c>
      <c r="R2467" s="36">
        <f>"Q"&amp;ROUNDUP(MONTH(B2467)/3,0)</f>
        <v/>
      </c>
      <c r="S2467" s="36">
        <f>MONTH(B2467)</f>
        <v/>
      </c>
      <c r="T2467" s="36">
        <f>TEXT(B2467,"mmm")</f>
        <v/>
      </c>
      <c r="U2467" s="36">
        <f>IF(AND(OR(sel_Region="All",C2467=sel_Region),OR(sel_Country="All",D2467=sel_Country),OR(sel_Channel="All",E2467=sel_Channel),OR(sel_Customer="All",F2467=sel_Customer),OR(sel_Category="All",G2467=sel_Category),OR(sel_Product="All",H2467=sel_Product),AND(S2467&gt;=m_From,S2467&lt;=m_To)),1,0)</f>
        <v/>
      </c>
      <c r="V2467" s="36">
        <f>IF(AND(OR(sel_Region="All",C2467=sel_Region),OR(sel_Channel="All",E2467=sel_Channel),OR(sel_Customer="All",F2467=sel_Customer),OR(sel_Category="All",G2467=sel_Category),OR(sel_Product="All",H2467=sel_Product),AND(S2467&gt;=m_From,S2467&lt;=m_To)),1,0)</f>
        <v/>
      </c>
      <c r="W2467" s="36">
        <f>IF(AND(OR(sel_Region="All",C2467=sel_Region),OR(sel_Country="All",D2467=sel_Country),OR(sel_Customer="All",F2467=sel_Customer),OR(sel_Category="All",G2467=sel_Category),OR(sel_Product="All",H2467=sel_Product),AND(S2467&gt;=m_From,S2467&lt;=m_To)),1,0)</f>
        <v/>
      </c>
      <c r="X2467" s="36">
        <f>IF(AND(OR(sel_Region="All",C2467=sel_Region),OR(sel_Country="All",D2467=sel_Country),OR(sel_Channel="All",E2467=sel_Channel),OR(sel_Category="All",G2467=sel_Category),OR(sel_Product="All",H2467=sel_Product),AND(S2467&gt;=m_From,S2467&lt;=m_To)),1,0)</f>
        <v/>
      </c>
      <c r="Y2467" s="36">
        <f>IF(AND(OR(sel_Region="All",C2467=sel_Region),OR(sel_Country="All",D2467=sel_Country),OR(sel_Channel="All",E2467=sel_Channel),OR(sel_Customer="All",F2467=sel_Customer),OR(sel_Product="All",H2467=sel_Product),AND(S2467&gt;=m_From,S2467&lt;=m_To)),1,0)</f>
        <v/>
      </c>
      <c r="Z2467" s="36">
        <f>IF(AND(OR(sel_Region="All",C2467=sel_Region),OR(sel_Country="All",D2467=sel_Country),OR(sel_Channel="All",E2467=sel_Channel),OR(sel_Customer="All",F2467=sel_Customer),OR(sel_Category="All",G2467=sel_Category),AND(S2467&gt;=m_From,S2467&lt;=m_To)),1,0)</f>
        <v/>
      </c>
      <c r="AA2467" s="36">
        <f>IF(AND(OR(sel_Region="All",C2467=sel_Region),OR(sel_Country="All",D2467=sel_Country),OR(sel_Channel="All",E2467=sel_Channel),OR(sel_Customer="All",F2467=sel_Customer),OR(sel_Category="All",G2467=sel_Category),OR(sel_Product="All",H2467=sel_Product)),1,0)</f>
        <v/>
      </c>
    </row>
    <row r="2468">
      <c r="A2468" s="36" t="inlineStr">
        <is>
          <t>03070</t>
        </is>
      </c>
      <c r="B2468" s="44" t="n">
        <v>46353</v>
      </c>
      <c r="C2468" s="36" t="inlineStr">
        <is>
          <t>Western Europe</t>
        </is>
      </c>
      <c r="D2468" s="36" t="inlineStr">
        <is>
          <t>France</t>
        </is>
      </c>
      <c r="E2468" s="36" t="inlineStr">
        <is>
          <t>Marketplace</t>
        </is>
      </c>
      <c r="F2468" s="36" t="inlineStr">
        <is>
          <t>Returning</t>
        </is>
      </c>
      <c r="G2468" s="36" t="inlineStr">
        <is>
          <t>Hiking</t>
        </is>
      </c>
      <c r="H2468" s="36" t="inlineStr">
        <is>
          <t>Trekking Poles</t>
        </is>
      </c>
      <c r="I2468" s="36" t="n">
        <v>4</v>
      </c>
      <c r="J2468" s="39" t="n">
        <v>71.11</v>
      </c>
      <c r="K2468" s="45" t="n">
        <v>0.05</v>
      </c>
      <c r="L2468" s="39" t="n">
        <v>32.25</v>
      </c>
      <c r="M2468" s="39">
        <f>I2468*J2468*(1-K2468)</f>
        <v/>
      </c>
      <c r="N2468" s="39">
        <f>I2468*L2468</f>
        <v/>
      </c>
      <c r="O2468" s="39">
        <f>M2468-N2468</f>
        <v/>
      </c>
      <c r="P2468" s="38">
        <f>IF(M2468=0,0,O2468/M2468)</f>
        <v/>
      </c>
      <c r="Q2468" s="36">
        <f>YEAR(B2468)</f>
        <v/>
      </c>
      <c r="R2468" s="36">
        <f>"Q"&amp;ROUNDUP(MONTH(B2468)/3,0)</f>
        <v/>
      </c>
      <c r="S2468" s="36">
        <f>MONTH(B2468)</f>
        <v/>
      </c>
      <c r="T2468" s="36">
        <f>TEXT(B2468,"mmm")</f>
        <v/>
      </c>
      <c r="U2468" s="36">
        <f>IF(AND(OR(sel_Region="All",C2468=sel_Region),OR(sel_Country="All",D2468=sel_Country),OR(sel_Channel="All",E2468=sel_Channel),OR(sel_Customer="All",F2468=sel_Customer),OR(sel_Category="All",G2468=sel_Category),OR(sel_Product="All",H2468=sel_Product),AND(S2468&gt;=m_From,S2468&lt;=m_To)),1,0)</f>
        <v/>
      </c>
      <c r="V2468" s="36">
        <f>IF(AND(OR(sel_Region="All",C2468=sel_Region),OR(sel_Channel="All",E2468=sel_Channel),OR(sel_Customer="All",F2468=sel_Customer),OR(sel_Category="All",G2468=sel_Category),OR(sel_Product="All",H2468=sel_Product),AND(S2468&gt;=m_From,S2468&lt;=m_To)),1,0)</f>
        <v/>
      </c>
      <c r="W2468" s="36">
        <f>IF(AND(OR(sel_Region="All",C2468=sel_Region),OR(sel_Country="All",D2468=sel_Country),OR(sel_Customer="All",F2468=sel_Customer),OR(sel_Category="All",G2468=sel_Category),OR(sel_Product="All",H2468=sel_Product),AND(S2468&gt;=m_From,S2468&lt;=m_To)),1,0)</f>
        <v/>
      </c>
      <c r="X2468" s="36">
        <f>IF(AND(OR(sel_Region="All",C2468=sel_Region),OR(sel_Country="All",D2468=sel_Country),OR(sel_Channel="All",E2468=sel_Channel),OR(sel_Category="All",G2468=sel_Category),OR(sel_Product="All",H2468=sel_Product),AND(S2468&gt;=m_From,S2468&lt;=m_To)),1,0)</f>
        <v/>
      </c>
      <c r="Y2468" s="36">
        <f>IF(AND(OR(sel_Region="All",C2468=sel_Region),OR(sel_Country="All",D2468=sel_Country),OR(sel_Channel="All",E2468=sel_Channel),OR(sel_Customer="All",F2468=sel_Customer),OR(sel_Product="All",H2468=sel_Product),AND(S2468&gt;=m_From,S2468&lt;=m_To)),1,0)</f>
        <v/>
      </c>
      <c r="Z2468" s="36">
        <f>IF(AND(OR(sel_Region="All",C2468=sel_Region),OR(sel_Country="All",D2468=sel_Country),OR(sel_Channel="All",E2468=sel_Channel),OR(sel_Customer="All",F2468=sel_Customer),OR(sel_Category="All",G2468=sel_Category),AND(S2468&gt;=m_From,S2468&lt;=m_To)),1,0)</f>
        <v/>
      </c>
      <c r="AA2468" s="36">
        <f>IF(AND(OR(sel_Region="All",C2468=sel_Region),OR(sel_Country="All",D2468=sel_Country),OR(sel_Channel="All",E2468=sel_Channel),OR(sel_Customer="All",F2468=sel_Customer),OR(sel_Category="All",G2468=sel_Category),OR(sel_Product="All",H2468=sel_Product)),1,0)</f>
        <v/>
      </c>
    </row>
    <row r="2469">
      <c r="A2469" s="36" t="inlineStr">
        <is>
          <t>04007</t>
        </is>
      </c>
      <c r="B2469" s="44" t="n">
        <v>46353</v>
      </c>
      <c r="C2469" s="36" t="inlineStr">
        <is>
          <t>Southern Europe</t>
        </is>
      </c>
      <c r="D2469" s="36" t="inlineStr">
        <is>
          <t>Portugal</t>
        </is>
      </c>
      <c r="E2469" s="36" t="inlineStr">
        <is>
          <t>Marketplace</t>
        </is>
      </c>
      <c r="F2469" s="36" t="inlineStr">
        <is>
          <t>Business</t>
        </is>
      </c>
      <c r="G2469" s="36" t="inlineStr">
        <is>
          <t>Cycling</t>
        </is>
      </c>
      <c r="H2469" s="36" t="inlineStr">
        <is>
          <t>Trail Bike Light</t>
        </is>
      </c>
      <c r="I2469" s="36" t="n">
        <v>5</v>
      </c>
      <c r="J2469" s="39" t="n">
        <v>51.04</v>
      </c>
      <c r="K2469" s="45" t="n">
        <v>0</v>
      </c>
      <c r="L2469" s="39" t="n">
        <v>22.69</v>
      </c>
      <c r="M2469" s="39">
        <f>I2469*J2469*(1-K2469)</f>
        <v/>
      </c>
      <c r="N2469" s="39">
        <f>I2469*L2469</f>
        <v/>
      </c>
      <c r="O2469" s="39">
        <f>M2469-N2469</f>
        <v/>
      </c>
      <c r="P2469" s="38">
        <f>IF(M2469=0,0,O2469/M2469)</f>
        <v/>
      </c>
      <c r="Q2469" s="36">
        <f>YEAR(B2469)</f>
        <v/>
      </c>
      <c r="R2469" s="36">
        <f>"Q"&amp;ROUNDUP(MONTH(B2469)/3,0)</f>
        <v/>
      </c>
      <c r="S2469" s="36">
        <f>MONTH(B2469)</f>
        <v/>
      </c>
      <c r="T2469" s="36">
        <f>TEXT(B2469,"mmm")</f>
        <v/>
      </c>
      <c r="U2469" s="36">
        <f>IF(AND(OR(sel_Region="All",C2469=sel_Region),OR(sel_Country="All",D2469=sel_Country),OR(sel_Channel="All",E2469=sel_Channel),OR(sel_Customer="All",F2469=sel_Customer),OR(sel_Category="All",G2469=sel_Category),OR(sel_Product="All",H2469=sel_Product),AND(S2469&gt;=m_From,S2469&lt;=m_To)),1,0)</f>
        <v/>
      </c>
      <c r="V2469" s="36">
        <f>IF(AND(OR(sel_Region="All",C2469=sel_Region),OR(sel_Channel="All",E2469=sel_Channel),OR(sel_Customer="All",F2469=sel_Customer),OR(sel_Category="All",G2469=sel_Category),OR(sel_Product="All",H2469=sel_Product),AND(S2469&gt;=m_From,S2469&lt;=m_To)),1,0)</f>
        <v/>
      </c>
      <c r="W2469" s="36">
        <f>IF(AND(OR(sel_Region="All",C2469=sel_Region),OR(sel_Country="All",D2469=sel_Country),OR(sel_Customer="All",F2469=sel_Customer),OR(sel_Category="All",G2469=sel_Category),OR(sel_Product="All",H2469=sel_Product),AND(S2469&gt;=m_From,S2469&lt;=m_To)),1,0)</f>
        <v/>
      </c>
      <c r="X2469" s="36">
        <f>IF(AND(OR(sel_Region="All",C2469=sel_Region),OR(sel_Country="All",D2469=sel_Country),OR(sel_Channel="All",E2469=sel_Channel),OR(sel_Category="All",G2469=sel_Category),OR(sel_Product="All",H2469=sel_Product),AND(S2469&gt;=m_From,S2469&lt;=m_To)),1,0)</f>
        <v/>
      </c>
      <c r="Y2469" s="36">
        <f>IF(AND(OR(sel_Region="All",C2469=sel_Region),OR(sel_Country="All",D2469=sel_Country),OR(sel_Channel="All",E2469=sel_Channel),OR(sel_Customer="All",F2469=sel_Customer),OR(sel_Product="All",H2469=sel_Product),AND(S2469&gt;=m_From,S2469&lt;=m_To)),1,0)</f>
        <v/>
      </c>
      <c r="Z2469" s="36">
        <f>IF(AND(OR(sel_Region="All",C2469=sel_Region),OR(sel_Country="All",D2469=sel_Country),OR(sel_Channel="All",E2469=sel_Channel),OR(sel_Customer="All",F2469=sel_Customer),OR(sel_Category="All",G2469=sel_Category),AND(S2469&gt;=m_From,S2469&lt;=m_To)),1,0)</f>
        <v/>
      </c>
      <c r="AA2469" s="36">
        <f>IF(AND(OR(sel_Region="All",C2469=sel_Region),OR(sel_Country="All",D2469=sel_Country),OR(sel_Channel="All",E2469=sel_Channel),OR(sel_Customer="All",F2469=sel_Customer),OR(sel_Category="All",G2469=sel_Category),OR(sel_Product="All",H2469=sel_Product)),1,0)</f>
        <v/>
      </c>
    </row>
    <row r="2470">
      <c r="A2470" s="36" t="inlineStr">
        <is>
          <t>04488</t>
        </is>
      </c>
      <c r="B2470" s="44" t="n">
        <v>46353</v>
      </c>
      <c r="C2470" s="36" t="inlineStr">
        <is>
          <t>Central Europe</t>
        </is>
      </c>
      <c r="D2470" s="36" t="inlineStr">
        <is>
          <t>Poland</t>
        </is>
      </c>
      <c r="E2470" s="36" t="inlineStr">
        <is>
          <t>Retail Partners</t>
        </is>
      </c>
      <c r="F2470" s="36" t="inlineStr">
        <is>
          <t>Returning</t>
        </is>
      </c>
      <c r="G2470" s="36" t="inlineStr">
        <is>
          <t>Travel</t>
        </is>
      </c>
      <c r="H2470" s="36" t="inlineStr">
        <is>
          <t>Travel Backpack 35L</t>
        </is>
      </c>
      <c r="I2470" s="36" t="n">
        <v>3</v>
      </c>
      <c r="J2470" s="39" t="n">
        <v>161.66</v>
      </c>
      <c r="K2470" s="45" t="n">
        <v>0.05</v>
      </c>
      <c r="L2470" s="39" t="n">
        <v>88.3</v>
      </c>
      <c r="M2470" s="39">
        <f>I2470*J2470*(1-K2470)</f>
        <v/>
      </c>
      <c r="N2470" s="39">
        <f>I2470*L2470</f>
        <v/>
      </c>
      <c r="O2470" s="39">
        <f>M2470-N2470</f>
        <v/>
      </c>
      <c r="P2470" s="38">
        <f>IF(M2470=0,0,O2470/M2470)</f>
        <v/>
      </c>
      <c r="Q2470" s="36">
        <f>YEAR(B2470)</f>
        <v/>
      </c>
      <c r="R2470" s="36">
        <f>"Q"&amp;ROUNDUP(MONTH(B2470)/3,0)</f>
        <v/>
      </c>
      <c r="S2470" s="36">
        <f>MONTH(B2470)</f>
        <v/>
      </c>
      <c r="T2470" s="36">
        <f>TEXT(B2470,"mmm")</f>
        <v/>
      </c>
      <c r="U2470" s="36">
        <f>IF(AND(OR(sel_Region="All",C2470=sel_Region),OR(sel_Country="All",D2470=sel_Country),OR(sel_Channel="All",E2470=sel_Channel),OR(sel_Customer="All",F2470=sel_Customer),OR(sel_Category="All",G2470=sel_Category),OR(sel_Product="All",H2470=sel_Product),AND(S2470&gt;=m_From,S2470&lt;=m_To)),1,0)</f>
        <v/>
      </c>
      <c r="V2470" s="36">
        <f>IF(AND(OR(sel_Region="All",C2470=sel_Region),OR(sel_Channel="All",E2470=sel_Channel),OR(sel_Customer="All",F2470=sel_Customer),OR(sel_Category="All",G2470=sel_Category),OR(sel_Product="All",H2470=sel_Product),AND(S2470&gt;=m_From,S2470&lt;=m_To)),1,0)</f>
        <v/>
      </c>
      <c r="W2470" s="36">
        <f>IF(AND(OR(sel_Region="All",C2470=sel_Region),OR(sel_Country="All",D2470=sel_Country),OR(sel_Customer="All",F2470=sel_Customer),OR(sel_Category="All",G2470=sel_Category),OR(sel_Product="All",H2470=sel_Product),AND(S2470&gt;=m_From,S2470&lt;=m_To)),1,0)</f>
        <v/>
      </c>
      <c r="X2470" s="36">
        <f>IF(AND(OR(sel_Region="All",C2470=sel_Region),OR(sel_Country="All",D2470=sel_Country),OR(sel_Channel="All",E2470=sel_Channel),OR(sel_Category="All",G2470=sel_Category),OR(sel_Product="All",H2470=sel_Product),AND(S2470&gt;=m_From,S2470&lt;=m_To)),1,0)</f>
        <v/>
      </c>
      <c r="Y2470" s="36">
        <f>IF(AND(OR(sel_Region="All",C2470=sel_Region),OR(sel_Country="All",D2470=sel_Country),OR(sel_Channel="All",E2470=sel_Channel),OR(sel_Customer="All",F2470=sel_Customer),OR(sel_Product="All",H2470=sel_Product),AND(S2470&gt;=m_From,S2470&lt;=m_To)),1,0)</f>
        <v/>
      </c>
      <c r="Z2470" s="36">
        <f>IF(AND(OR(sel_Region="All",C2470=sel_Region),OR(sel_Country="All",D2470=sel_Country),OR(sel_Channel="All",E2470=sel_Channel),OR(sel_Customer="All",F2470=sel_Customer),OR(sel_Category="All",G2470=sel_Category),AND(S2470&gt;=m_From,S2470&lt;=m_To)),1,0)</f>
        <v/>
      </c>
      <c r="AA2470" s="36">
        <f>IF(AND(OR(sel_Region="All",C2470=sel_Region),OR(sel_Country="All",D2470=sel_Country),OR(sel_Channel="All",E2470=sel_Channel),OR(sel_Customer="All",F2470=sel_Customer),OR(sel_Category="All",G2470=sel_Category),OR(sel_Product="All",H2470=sel_Product)),1,0)</f>
        <v/>
      </c>
    </row>
    <row r="2471">
      <c r="A2471" s="36" t="inlineStr">
        <is>
          <t>05159</t>
        </is>
      </c>
      <c r="B2471" s="44" t="n">
        <v>46353</v>
      </c>
      <c r="C2471" s="36" t="inlineStr">
        <is>
          <t>Western Europe</t>
        </is>
      </c>
      <c r="D2471" s="36" t="inlineStr">
        <is>
          <t>France</t>
        </is>
      </c>
      <c r="E2471" s="36" t="inlineStr">
        <is>
          <t>Online Store</t>
        </is>
      </c>
      <c r="F2471" s="36" t="inlineStr">
        <is>
          <t>Business</t>
        </is>
      </c>
      <c r="G2471" s="36" t="inlineStr">
        <is>
          <t>Camping</t>
        </is>
      </c>
      <c r="H2471" s="36" t="inlineStr">
        <is>
          <t>Portable Camp Stove</t>
        </is>
      </c>
      <c r="I2471" s="36" t="n">
        <v>2</v>
      </c>
      <c r="J2471" s="39" t="n">
        <v>80.40000000000001</v>
      </c>
      <c r="K2471" s="45" t="n">
        <v>0.15</v>
      </c>
      <c r="L2471" s="39" t="n">
        <v>38.87</v>
      </c>
      <c r="M2471" s="39">
        <f>I2471*J2471*(1-K2471)</f>
        <v/>
      </c>
      <c r="N2471" s="39">
        <f>I2471*L2471</f>
        <v/>
      </c>
      <c r="O2471" s="39">
        <f>M2471-N2471</f>
        <v/>
      </c>
      <c r="P2471" s="38">
        <f>IF(M2471=0,0,O2471/M2471)</f>
        <v/>
      </c>
      <c r="Q2471" s="36">
        <f>YEAR(B2471)</f>
        <v/>
      </c>
      <c r="R2471" s="36">
        <f>"Q"&amp;ROUNDUP(MONTH(B2471)/3,0)</f>
        <v/>
      </c>
      <c r="S2471" s="36">
        <f>MONTH(B2471)</f>
        <v/>
      </c>
      <c r="T2471" s="36">
        <f>TEXT(B2471,"mmm")</f>
        <v/>
      </c>
      <c r="U2471" s="36">
        <f>IF(AND(OR(sel_Region="All",C2471=sel_Region),OR(sel_Country="All",D2471=sel_Country),OR(sel_Channel="All",E2471=sel_Channel),OR(sel_Customer="All",F2471=sel_Customer),OR(sel_Category="All",G2471=sel_Category),OR(sel_Product="All",H2471=sel_Product),AND(S2471&gt;=m_From,S2471&lt;=m_To)),1,0)</f>
        <v/>
      </c>
      <c r="V2471" s="36">
        <f>IF(AND(OR(sel_Region="All",C2471=sel_Region),OR(sel_Channel="All",E2471=sel_Channel),OR(sel_Customer="All",F2471=sel_Customer),OR(sel_Category="All",G2471=sel_Category),OR(sel_Product="All",H2471=sel_Product),AND(S2471&gt;=m_From,S2471&lt;=m_To)),1,0)</f>
        <v/>
      </c>
      <c r="W2471" s="36">
        <f>IF(AND(OR(sel_Region="All",C2471=sel_Region),OR(sel_Country="All",D2471=sel_Country),OR(sel_Customer="All",F2471=sel_Customer),OR(sel_Category="All",G2471=sel_Category),OR(sel_Product="All",H2471=sel_Product),AND(S2471&gt;=m_From,S2471&lt;=m_To)),1,0)</f>
        <v/>
      </c>
      <c r="X2471" s="36">
        <f>IF(AND(OR(sel_Region="All",C2471=sel_Region),OR(sel_Country="All",D2471=sel_Country),OR(sel_Channel="All",E2471=sel_Channel),OR(sel_Category="All",G2471=sel_Category),OR(sel_Product="All",H2471=sel_Product),AND(S2471&gt;=m_From,S2471&lt;=m_To)),1,0)</f>
        <v/>
      </c>
      <c r="Y2471" s="36">
        <f>IF(AND(OR(sel_Region="All",C2471=sel_Region),OR(sel_Country="All",D2471=sel_Country),OR(sel_Channel="All",E2471=sel_Channel),OR(sel_Customer="All",F2471=sel_Customer),OR(sel_Product="All",H2471=sel_Product),AND(S2471&gt;=m_From,S2471&lt;=m_To)),1,0)</f>
        <v/>
      </c>
      <c r="Z2471" s="36">
        <f>IF(AND(OR(sel_Region="All",C2471=sel_Region),OR(sel_Country="All",D2471=sel_Country),OR(sel_Channel="All",E2471=sel_Channel),OR(sel_Customer="All",F2471=sel_Customer),OR(sel_Category="All",G2471=sel_Category),AND(S2471&gt;=m_From,S2471&lt;=m_To)),1,0)</f>
        <v/>
      </c>
      <c r="AA2471" s="36">
        <f>IF(AND(OR(sel_Region="All",C2471=sel_Region),OR(sel_Country="All",D2471=sel_Country),OR(sel_Channel="All",E2471=sel_Channel),OR(sel_Customer="All",F2471=sel_Customer),OR(sel_Category="All",G2471=sel_Category),OR(sel_Product="All",H2471=sel_Product)),1,0)</f>
        <v/>
      </c>
    </row>
    <row r="2472">
      <c r="A2472" s="36" t="inlineStr">
        <is>
          <t>00669</t>
        </is>
      </c>
      <c r="B2472" s="44" t="n">
        <v>46354</v>
      </c>
      <c r="C2472" s="36" t="inlineStr">
        <is>
          <t>Northern Europe</t>
        </is>
      </c>
      <c r="D2472" s="36" t="inlineStr">
        <is>
          <t>Ireland</t>
        </is>
      </c>
      <c r="E2472" s="36" t="inlineStr">
        <is>
          <t>Online Store</t>
        </is>
      </c>
      <c r="F2472" s="36" t="inlineStr">
        <is>
          <t>Returning</t>
        </is>
      </c>
      <c r="G2472" s="36" t="inlineStr">
        <is>
          <t>Fitness</t>
        </is>
      </c>
      <c r="H2472" s="36" t="inlineStr">
        <is>
          <t>Recovery Roller</t>
        </is>
      </c>
      <c r="I2472" s="36" t="n">
        <v>3</v>
      </c>
      <c r="J2472" s="39" t="n">
        <v>36.81</v>
      </c>
      <c r="K2472" s="45" t="n">
        <v>0.05</v>
      </c>
      <c r="L2472" s="39" t="n">
        <v>13.82</v>
      </c>
      <c r="M2472" s="39">
        <f>I2472*J2472*(1-K2472)</f>
        <v/>
      </c>
      <c r="N2472" s="39">
        <f>I2472*L2472</f>
        <v/>
      </c>
      <c r="O2472" s="39">
        <f>M2472-N2472</f>
        <v/>
      </c>
      <c r="P2472" s="38">
        <f>IF(M2472=0,0,O2472/M2472)</f>
        <v/>
      </c>
      <c r="Q2472" s="36">
        <f>YEAR(B2472)</f>
        <v/>
      </c>
      <c r="R2472" s="36">
        <f>"Q"&amp;ROUNDUP(MONTH(B2472)/3,0)</f>
        <v/>
      </c>
      <c r="S2472" s="36">
        <f>MONTH(B2472)</f>
        <v/>
      </c>
      <c r="T2472" s="36">
        <f>TEXT(B2472,"mmm")</f>
        <v/>
      </c>
      <c r="U2472" s="36">
        <f>IF(AND(OR(sel_Region="All",C2472=sel_Region),OR(sel_Country="All",D2472=sel_Country),OR(sel_Channel="All",E2472=sel_Channel),OR(sel_Customer="All",F2472=sel_Customer),OR(sel_Category="All",G2472=sel_Category),OR(sel_Product="All",H2472=sel_Product),AND(S2472&gt;=m_From,S2472&lt;=m_To)),1,0)</f>
        <v/>
      </c>
      <c r="V2472" s="36">
        <f>IF(AND(OR(sel_Region="All",C2472=sel_Region),OR(sel_Channel="All",E2472=sel_Channel),OR(sel_Customer="All",F2472=sel_Customer),OR(sel_Category="All",G2472=sel_Category),OR(sel_Product="All",H2472=sel_Product),AND(S2472&gt;=m_From,S2472&lt;=m_To)),1,0)</f>
        <v/>
      </c>
      <c r="W2472" s="36">
        <f>IF(AND(OR(sel_Region="All",C2472=sel_Region),OR(sel_Country="All",D2472=sel_Country),OR(sel_Customer="All",F2472=sel_Customer),OR(sel_Category="All",G2472=sel_Category),OR(sel_Product="All",H2472=sel_Product),AND(S2472&gt;=m_From,S2472&lt;=m_To)),1,0)</f>
        <v/>
      </c>
      <c r="X2472" s="36">
        <f>IF(AND(OR(sel_Region="All",C2472=sel_Region),OR(sel_Country="All",D2472=sel_Country),OR(sel_Channel="All",E2472=sel_Channel),OR(sel_Category="All",G2472=sel_Category),OR(sel_Product="All",H2472=sel_Product),AND(S2472&gt;=m_From,S2472&lt;=m_To)),1,0)</f>
        <v/>
      </c>
      <c r="Y2472" s="36">
        <f>IF(AND(OR(sel_Region="All",C2472=sel_Region),OR(sel_Country="All",D2472=sel_Country),OR(sel_Channel="All",E2472=sel_Channel),OR(sel_Customer="All",F2472=sel_Customer),OR(sel_Product="All",H2472=sel_Product),AND(S2472&gt;=m_From,S2472&lt;=m_To)),1,0)</f>
        <v/>
      </c>
      <c r="Z2472" s="36">
        <f>IF(AND(OR(sel_Region="All",C2472=sel_Region),OR(sel_Country="All",D2472=sel_Country),OR(sel_Channel="All",E2472=sel_Channel),OR(sel_Customer="All",F2472=sel_Customer),OR(sel_Category="All",G2472=sel_Category),AND(S2472&gt;=m_From,S2472&lt;=m_To)),1,0)</f>
        <v/>
      </c>
      <c r="AA2472" s="36">
        <f>IF(AND(OR(sel_Region="All",C2472=sel_Region),OR(sel_Country="All",D2472=sel_Country),OR(sel_Channel="All",E2472=sel_Channel),OR(sel_Customer="All",F2472=sel_Customer),OR(sel_Category="All",G2472=sel_Category),OR(sel_Product="All",H2472=sel_Product)),1,0)</f>
        <v/>
      </c>
    </row>
    <row r="2473">
      <c r="A2473" s="36" t="inlineStr">
        <is>
          <t>00686</t>
        </is>
      </c>
      <c r="B2473" s="44" t="n">
        <v>46354</v>
      </c>
      <c r="C2473" s="36" t="inlineStr">
        <is>
          <t>Central Europe</t>
        </is>
      </c>
      <c r="D2473" s="36" t="inlineStr">
        <is>
          <t>Germany</t>
        </is>
      </c>
      <c r="E2473" s="36" t="inlineStr">
        <is>
          <t>Marketplace</t>
        </is>
      </c>
      <c r="F2473" s="36" t="inlineStr">
        <is>
          <t>Returning</t>
        </is>
      </c>
      <c r="G2473" s="36" t="inlineStr">
        <is>
          <t>Travel</t>
        </is>
      </c>
      <c r="H2473" s="36" t="inlineStr">
        <is>
          <t>Carry-On Duffel</t>
        </is>
      </c>
      <c r="I2473" s="36" t="n">
        <v>2</v>
      </c>
      <c r="J2473" s="39" t="n">
        <v>132.61</v>
      </c>
      <c r="K2473" s="45" t="n">
        <v>0.1</v>
      </c>
      <c r="L2473" s="39" t="n">
        <v>67.3</v>
      </c>
      <c r="M2473" s="39">
        <f>I2473*J2473*(1-K2473)</f>
        <v/>
      </c>
      <c r="N2473" s="39">
        <f>I2473*L2473</f>
        <v/>
      </c>
      <c r="O2473" s="39">
        <f>M2473-N2473</f>
        <v/>
      </c>
      <c r="P2473" s="38">
        <f>IF(M2473=0,0,O2473/M2473)</f>
        <v/>
      </c>
      <c r="Q2473" s="36">
        <f>YEAR(B2473)</f>
        <v/>
      </c>
      <c r="R2473" s="36">
        <f>"Q"&amp;ROUNDUP(MONTH(B2473)/3,0)</f>
        <v/>
      </c>
      <c r="S2473" s="36">
        <f>MONTH(B2473)</f>
        <v/>
      </c>
      <c r="T2473" s="36">
        <f>TEXT(B2473,"mmm")</f>
        <v/>
      </c>
      <c r="U2473" s="36">
        <f>IF(AND(OR(sel_Region="All",C2473=sel_Region),OR(sel_Country="All",D2473=sel_Country),OR(sel_Channel="All",E2473=sel_Channel),OR(sel_Customer="All",F2473=sel_Customer),OR(sel_Category="All",G2473=sel_Category),OR(sel_Product="All",H2473=sel_Product),AND(S2473&gt;=m_From,S2473&lt;=m_To)),1,0)</f>
        <v/>
      </c>
      <c r="V2473" s="36">
        <f>IF(AND(OR(sel_Region="All",C2473=sel_Region),OR(sel_Channel="All",E2473=sel_Channel),OR(sel_Customer="All",F2473=sel_Customer),OR(sel_Category="All",G2473=sel_Category),OR(sel_Product="All",H2473=sel_Product),AND(S2473&gt;=m_From,S2473&lt;=m_To)),1,0)</f>
        <v/>
      </c>
      <c r="W2473" s="36">
        <f>IF(AND(OR(sel_Region="All",C2473=sel_Region),OR(sel_Country="All",D2473=sel_Country),OR(sel_Customer="All",F2473=sel_Customer),OR(sel_Category="All",G2473=sel_Category),OR(sel_Product="All",H2473=sel_Product),AND(S2473&gt;=m_From,S2473&lt;=m_To)),1,0)</f>
        <v/>
      </c>
      <c r="X2473" s="36">
        <f>IF(AND(OR(sel_Region="All",C2473=sel_Region),OR(sel_Country="All",D2473=sel_Country),OR(sel_Channel="All",E2473=sel_Channel),OR(sel_Category="All",G2473=sel_Category),OR(sel_Product="All",H2473=sel_Product),AND(S2473&gt;=m_From,S2473&lt;=m_To)),1,0)</f>
        <v/>
      </c>
      <c r="Y2473" s="36">
        <f>IF(AND(OR(sel_Region="All",C2473=sel_Region),OR(sel_Country="All",D2473=sel_Country),OR(sel_Channel="All",E2473=sel_Channel),OR(sel_Customer="All",F2473=sel_Customer),OR(sel_Product="All",H2473=sel_Product),AND(S2473&gt;=m_From,S2473&lt;=m_To)),1,0)</f>
        <v/>
      </c>
      <c r="Z2473" s="36">
        <f>IF(AND(OR(sel_Region="All",C2473=sel_Region),OR(sel_Country="All",D2473=sel_Country),OR(sel_Channel="All",E2473=sel_Channel),OR(sel_Customer="All",F2473=sel_Customer),OR(sel_Category="All",G2473=sel_Category),AND(S2473&gt;=m_From,S2473&lt;=m_To)),1,0)</f>
        <v/>
      </c>
      <c r="AA2473" s="36">
        <f>IF(AND(OR(sel_Region="All",C2473=sel_Region),OR(sel_Country="All",D2473=sel_Country),OR(sel_Channel="All",E2473=sel_Channel),OR(sel_Customer="All",F2473=sel_Customer),OR(sel_Category="All",G2473=sel_Category),OR(sel_Product="All",H2473=sel_Product)),1,0)</f>
        <v/>
      </c>
    </row>
    <row r="2474">
      <c r="A2474" s="36" t="inlineStr">
        <is>
          <t>00990</t>
        </is>
      </c>
      <c r="B2474" s="44" t="n">
        <v>46354</v>
      </c>
      <c r="C2474" s="36" t="inlineStr">
        <is>
          <t>Southern Europe</t>
        </is>
      </c>
      <c r="D2474" s="36" t="inlineStr">
        <is>
          <t>Italy</t>
        </is>
      </c>
      <c r="E2474" s="36" t="inlineStr">
        <is>
          <t>Online Store</t>
        </is>
      </c>
      <c r="F2474" s="36" t="inlineStr">
        <is>
          <t>Returning</t>
        </is>
      </c>
      <c r="G2474" s="36" t="inlineStr">
        <is>
          <t>Cycling</t>
        </is>
      </c>
      <c r="H2474" s="36" t="inlineStr">
        <is>
          <t>Compact Repair Kit</t>
        </is>
      </c>
      <c r="I2474" s="36" t="n">
        <v>5</v>
      </c>
      <c r="J2474" s="39" t="n">
        <v>39.79</v>
      </c>
      <c r="K2474" s="45" t="n">
        <v>0.1</v>
      </c>
      <c r="L2474" s="39" t="n">
        <v>17.09</v>
      </c>
      <c r="M2474" s="39">
        <f>I2474*J2474*(1-K2474)</f>
        <v/>
      </c>
      <c r="N2474" s="39">
        <f>I2474*L2474</f>
        <v/>
      </c>
      <c r="O2474" s="39">
        <f>M2474-N2474</f>
        <v/>
      </c>
      <c r="P2474" s="38">
        <f>IF(M2474=0,0,O2474/M2474)</f>
        <v/>
      </c>
      <c r="Q2474" s="36">
        <f>YEAR(B2474)</f>
        <v/>
      </c>
      <c r="R2474" s="36">
        <f>"Q"&amp;ROUNDUP(MONTH(B2474)/3,0)</f>
        <v/>
      </c>
      <c r="S2474" s="36">
        <f>MONTH(B2474)</f>
        <v/>
      </c>
      <c r="T2474" s="36">
        <f>TEXT(B2474,"mmm")</f>
        <v/>
      </c>
      <c r="U2474" s="36">
        <f>IF(AND(OR(sel_Region="All",C2474=sel_Region),OR(sel_Country="All",D2474=sel_Country),OR(sel_Channel="All",E2474=sel_Channel),OR(sel_Customer="All",F2474=sel_Customer),OR(sel_Category="All",G2474=sel_Category),OR(sel_Product="All",H2474=sel_Product),AND(S2474&gt;=m_From,S2474&lt;=m_To)),1,0)</f>
        <v/>
      </c>
      <c r="V2474" s="36">
        <f>IF(AND(OR(sel_Region="All",C2474=sel_Region),OR(sel_Channel="All",E2474=sel_Channel),OR(sel_Customer="All",F2474=sel_Customer),OR(sel_Category="All",G2474=sel_Category),OR(sel_Product="All",H2474=sel_Product),AND(S2474&gt;=m_From,S2474&lt;=m_To)),1,0)</f>
        <v/>
      </c>
      <c r="W2474" s="36">
        <f>IF(AND(OR(sel_Region="All",C2474=sel_Region),OR(sel_Country="All",D2474=sel_Country),OR(sel_Customer="All",F2474=sel_Customer),OR(sel_Category="All",G2474=sel_Category),OR(sel_Product="All",H2474=sel_Product),AND(S2474&gt;=m_From,S2474&lt;=m_To)),1,0)</f>
        <v/>
      </c>
      <c r="X2474" s="36">
        <f>IF(AND(OR(sel_Region="All",C2474=sel_Region),OR(sel_Country="All",D2474=sel_Country),OR(sel_Channel="All",E2474=sel_Channel),OR(sel_Category="All",G2474=sel_Category),OR(sel_Product="All",H2474=sel_Product),AND(S2474&gt;=m_From,S2474&lt;=m_To)),1,0)</f>
        <v/>
      </c>
      <c r="Y2474" s="36">
        <f>IF(AND(OR(sel_Region="All",C2474=sel_Region),OR(sel_Country="All",D2474=sel_Country),OR(sel_Channel="All",E2474=sel_Channel),OR(sel_Customer="All",F2474=sel_Customer),OR(sel_Product="All",H2474=sel_Product),AND(S2474&gt;=m_From,S2474&lt;=m_To)),1,0)</f>
        <v/>
      </c>
      <c r="Z2474" s="36">
        <f>IF(AND(OR(sel_Region="All",C2474=sel_Region),OR(sel_Country="All",D2474=sel_Country),OR(sel_Channel="All",E2474=sel_Channel),OR(sel_Customer="All",F2474=sel_Customer),OR(sel_Category="All",G2474=sel_Category),AND(S2474&gt;=m_From,S2474&lt;=m_To)),1,0)</f>
        <v/>
      </c>
      <c r="AA2474" s="36">
        <f>IF(AND(OR(sel_Region="All",C2474=sel_Region),OR(sel_Country="All",D2474=sel_Country),OR(sel_Channel="All",E2474=sel_Channel),OR(sel_Customer="All",F2474=sel_Customer),OR(sel_Category="All",G2474=sel_Category),OR(sel_Product="All",H2474=sel_Product)),1,0)</f>
        <v/>
      </c>
    </row>
    <row r="2475">
      <c r="A2475" s="36" t="inlineStr">
        <is>
          <t>01134</t>
        </is>
      </c>
      <c r="B2475" s="44" t="n">
        <v>46354</v>
      </c>
      <c r="C2475" s="36" t="inlineStr">
        <is>
          <t>Western Europe</t>
        </is>
      </c>
      <c r="D2475" s="36" t="inlineStr">
        <is>
          <t>Belgium</t>
        </is>
      </c>
      <c r="E2475" s="36" t="inlineStr">
        <is>
          <t>Online Store</t>
        </is>
      </c>
      <c r="F2475" s="36" t="inlineStr">
        <is>
          <t>Returning</t>
        </is>
      </c>
      <c r="G2475" s="36" t="inlineStr">
        <is>
          <t>Travel</t>
        </is>
      </c>
      <c r="H2475" s="36" t="inlineStr">
        <is>
          <t>Insulated Bottle</t>
        </is>
      </c>
      <c r="I2475" s="36" t="n">
        <v>2</v>
      </c>
      <c r="J2475" s="39" t="n">
        <v>36.12</v>
      </c>
      <c r="K2475" s="45" t="n">
        <v>0.1</v>
      </c>
      <c r="L2475" s="39" t="n">
        <v>13.61</v>
      </c>
      <c r="M2475" s="39">
        <f>I2475*J2475*(1-K2475)</f>
        <v/>
      </c>
      <c r="N2475" s="39">
        <f>I2475*L2475</f>
        <v/>
      </c>
      <c r="O2475" s="39">
        <f>M2475-N2475</f>
        <v/>
      </c>
      <c r="P2475" s="38">
        <f>IF(M2475=0,0,O2475/M2475)</f>
        <v/>
      </c>
      <c r="Q2475" s="36">
        <f>YEAR(B2475)</f>
        <v/>
      </c>
      <c r="R2475" s="36">
        <f>"Q"&amp;ROUNDUP(MONTH(B2475)/3,0)</f>
        <v/>
      </c>
      <c r="S2475" s="36">
        <f>MONTH(B2475)</f>
        <v/>
      </c>
      <c r="T2475" s="36">
        <f>TEXT(B2475,"mmm")</f>
        <v/>
      </c>
      <c r="U2475" s="36">
        <f>IF(AND(OR(sel_Region="All",C2475=sel_Region),OR(sel_Country="All",D2475=sel_Country),OR(sel_Channel="All",E2475=sel_Channel),OR(sel_Customer="All",F2475=sel_Customer),OR(sel_Category="All",G2475=sel_Category),OR(sel_Product="All",H2475=sel_Product),AND(S2475&gt;=m_From,S2475&lt;=m_To)),1,0)</f>
        <v/>
      </c>
      <c r="V2475" s="36">
        <f>IF(AND(OR(sel_Region="All",C2475=sel_Region),OR(sel_Channel="All",E2475=sel_Channel),OR(sel_Customer="All",F2475=sel_Customer),OR(sel_Category="All",G2475=sel_Category),OR(sel_Product="All",H2475=sel_Product),AND(S2475&gt;=m_From,S2475&lt;=m_To)),1,0)</f>
        <v/>
      </c>
      <c r="W2475" s="36">
        <f>IF(AND(OR(sel_Region="All",C2475=sel_Region),OR(sel_Country="All",D2475=sel_Country),OR(sel_Customer="All",F2475=sel_Customer),OR(sel_Category="All",G2475=sel_Category),OR(sel_Product="All",H2475=sel_Product),AND(S2475&gt;=m_From,S2475&lt;=m_To)),1,0)</f>
        <v/>
      </c>
      <c r="X2475" s="36">
        <f>IF(AND(OR(sel_Region="All",C2475=sel_Region),OR(sel_Country="All",D2475=sel_Country),OR(sel_Channel="All",E2475=sel_Channel),OR(sel_Category="All",G2475=sel_Category),OR(sel_Product="All",H2475=sel_Product),AND(S2475&gt;=m_From,S2475&lt;=m_To)),1,0)</f>
        <v/>
      </c>
      <c r="Y2475" s="36">
        <f>IF(AND(OR(sel_Region="All",C2475=sel_Region),OR(sel_Country="All",D2475=sel_Country),OR(sel_Channel="All",E2475=sel_Channel),OR(sel_Customer="All",F2475=sel_Customer),OR(sel_Product="All",H2475=sel_Product),AND(S2475&gt;=m_From,S2475&lt;=m_To)),1,0)</f>
        <v/>
      </c>
      <c r="Z2475" s="36">
        <f>IF(AND(OR(sel_Region="All",C2475=sel_Region),OR(sel_Country="All",D2475=sel_Country),OR(sel_Channel="All",E2475=sel_Channel),OR(sel_Customer="All",F2475=sel_Customer),OR(sel_Category="All",G2475=sel_Category),AND(S2475&gt;=m_From,S2475&lt;=m_To)),1,0)</f>
        <v/>
      </c>
      <c r="AA2475" s="36">
        <f>IF(AND(OR(sel_Region="All",C2475=sel_Region),OR(sel_Country="All",D2475=sel_Country),OR(sel_Channel="All",E2475=sel_Channel),OR(sel_Customer="All",F2475=sel_Customer),OR(sel_Category="All",G2475=sel_Category),OR(sel_Product="All",H2475=sel_Product)),1,0)</f>
        <v/>
      </c>
    </row>
    <row r="2476">
      <c r="A2476" s="36" t="inlineStr">
        <is>
          <t>01770</t>
        </is>
      </c>
      <c r="B2476" s="44" t="n">
        <v>46354</v>
      </c>
      <c r="C2476" s="36" t="inlineStr">
        <is>
          <t>Western Europe</t>
        </is>
      </c>
      <c r="D2476" s="36" t="inlineStr">
        <is>
          <t>Netherlands</t>
        </is>
      </c>
      <c r="E2476" s="36" t="inlineStr">
        <is>
          <t>Retail Partners</t>
        </is>
      </c>
      <c r="F2476" s="36" t="inlineStr">
        <is>
          <t>Returning</t>
        </is>
      </c>
      <c r="G2476" s="36" t="inlineStr">
        <is>
          <t>Hiking</t>
        </is>
      </c>
      <c r="H2476" s="36" t="inlineStr">
        <is>
          <t>Summit Backpack 45L</t>
        </is>
      </c>
      <c r="I2476" s="36" t="n">
        <v>5</v>
      </c>
      <c r="J2476" s="39" t="n">
        <v>153.93</v>
      </c>
      <c r="K2476" s="45" t="n">
        <v>0.05</v>
      </c>
      <c r="L2476" s="39" t="n">
        <v>77.27</v>
      </c>
      <c r="M2476" s="39">
        <f>I2476*J2476*(1-K2476)</f>
        <v/>
      </c>
      <c r="N2476" s="39">
        <f>I2476*L2476</f>
        <v/>
      </c>
      <c r="O2476" s="39">
        <f>M2476-N2476</f>
        <v/>
      </c>
      <c r="P2476" s="38">
        <f>IF(M2476=0,0,O2476/M2476)</f>
        <v/>
      </c>
      <c r="Q2476" s="36">
        <f>YEAR(B2476)</f>
        <v/>
      </c>
      <c r="R2476" s="36">
        <f>"Q"&amp;ROUNDUP(MONTH(B2476)/3,0)</f>
        <v/>
      </c>
      <c r="S2476" s="36">
        <f>MONTH(B2476)</f>
        <v/>
      </c>
      <c r="T2476" s="36">
        <f>TEXT(B2476,"mmm")</f>
        <v/>
      </c>
      <c r="U2476" s="36">
        <f>IF(AND(OR(sel_Region="All",C2476=sel_Region),OR(sel_Country="All",D2476=sel_Country),OR(sel_Channel="All",E2476=sel_Channel),OR(sel_Customer="All",F2476=sel_Customer),OR(sel_Category="All",G2476=sel_Category),OR(sel_Product="All",H2476=sel_Product),AND(S2476&gt;=m_From,S2476&lt;=m_To)),1,0)</f>
        <v/>
      </c>
      <c r="V2476" s="36">
        <f>IF(AND(OR(sel_Region="All",C2476=sel_Region),OR(sel_Channel="All",E2476=sel_Channel),OR(sel_Customer="All",F2476=sel_Customer),OR(sel_Category="All",G2476=sel_Category),OR(sel_Product="All",H2476=sel_Product),AND(S2476&gt;=m_From,S2476&lt;=m_To)),1,0)</f>
        <v/>
      </c>
      <c r="W2476" s="36">
        <f>IF(AND(OR(sel_Region="All",C2476=sel_Region),OR(sel_Country="All",D2476=sel_Country),OR(sel_Customer="All",F2476=sel_Customer),OR(sel_Category="All",G2476=sel_Category),OR(sel_Product="All",H2476=sel_Product),AND(S2476&gt;=m_From,S2476&lt;=m_To)),1,0)</f>
        <v/>
      </c>
      <c r="X2476" s="36">
        <f>IF(AND(OR(sel_Region="All",C2476=sel_Region),OR(sel_Country="All",D2476=sel_Country),OR(sel_Channel="All",E2476=sel_Channel),OR(sel_Category="All",G2476=sel_Category),OR(sel_Product="All",H2476=sel_Product),AND(S2476&gt;=m_From,S2476&lt;=m_To)),1,0)</f>
        <v/>
      </c>
      <c r="Y2476" s="36">
        <f>IF(AND(OR(sel_Region="All",C2476=sel_Region),OR(sel_Country="All",D2476=sel_Country),OR(sel_Channel="All",E2476=sel_Channel),OR(sel_Customer="All",F2476=sel_Customer),OR(sel_Product="All",H2476=sel_Product),AND(S2476&gt;=m_From,S2476&lt;=m_To)),1,0)</f>
        <v/>
      </c>
      <c r="Z2476" s="36">
        <f>IF(AND(OR(sel_Region="All",C2476=sel_Region),OR(sel_Country="All",D2476=sel_Country),OR(sel_Channel="All",E2476=sel_Channel),OR(sel_Customer="All",F2476=sel_Customer),OR(sel_Category="All",G2476=sel_Category),AND(S2476&gt;=m_From,S2476&lt;=m_To)),1,0)</f>
        <v/>
      </c>
      <c r="AA2476" s="36">
        <f>IF(AND(OR(sel_Region="All",C2476=sel_Region),OR(sel_Country="All",D2476=sel_Country),OR(sel_Channel="All",E2476=sel_Channel),OR(sel_Customer="All",F2476=sel_Customer),OR(sel_Category="All",G2476=sel_Category),OR(sel_Product="All",H2476=sel_Product)),1,0)</f>
        <v/>
      </c>
    </row>
    <row r="2477">
      <c r="A2477" s="36" t="inlineStr">
        <is>
          <t>03396</t>
        </is>
      </c>
      <c r="B2477" s="44" t="n">
        <v>46354</v>
      </c>
      <c r="C2477" s="36" t="inlineStr">
        <is>
          <t>Northern Europe</t>
        </is>
      </c>
      <c r="D2477" s="36" t="inlineStr">
        <is>
          <t>Ireland</t>
        </is>
      </c>
      <c r="E2477" s="36" t="inlineStr">
        <is>
          <t>Retail Partners</t>
        </is>
      </c>
      <c r="F2477" s="36" t="inlineStr">
        <is>
          <t>New</t>
        </is>
      </c>
      <c r="G2477" s="36" t="inlineStr">
        <is>
          <t>Fitness</t>
        </is>
      </c>
      <c r="H2477" s="36" t="inlineStr">
        <is>
          <t>Training Mat</t>
        </is>
      </c>
      <c r="I2477" s="36" t="n">
        <v>3</v>
      </c>
      <c r="J2477" s="39" t="n">
        <v>50.67</v>
      </c>
      <c r="K2477" s="45" t="n">
        <v>0.05</v>
      </c>
      <c r="L2477" s="39" t="n">
        <v>22.25</v>
      </c>
      <c r="M2477" s="39">
        <f>I2477*J2477*(1-K2477)</f>
        <v/>
      </c>
      <c r="N2477" s="39">
        <f>I2477*L2477</f>
        <v/>
      </c>
      <c r="O2477" s="39">
        <f>M2477-N2477</f>
        <v/>
      </c>
      <c r="P2477" s="38">
        <f>IF(M2477=0,0,O2477/M2477)</f>
        <v/>
      </c>
      <c r="Q2477" s="36">
        <f>YEAR(B2477)</f>
        <v/>
      </c>
      <c r="R2477" s="36">
        <f>"Q"&amp;ROUNDUP(MONTH(B2477)/3,0)</f>
        <v/>
      </c>
      <c r="S2477" s="36">
        <f>MONTH(B2477)</f>
        <v/>
      </c>
      <c r="T2477" s="36">
        <f>TEXT(B2477,"mmm")</f>
        <v/>
      </c>
      <c r="U2477" s="36">
        <f>IF(AND(OR(sel_Region="All",C2477=sel_Region),OR(sel_Country="All",D2477=sel_Country),OR(sel_Channel="All",E2477=sel_Channel),OR(sel_Customer="All",F2477=sel_Customer),OR(sel_Category="All",G2477=sel_Category),OR(sel_Product="All",H2477=sel_Product),AND(S2477&gt;=m_From,S2477&lt;=m_To)),1,0)</f>
        <v/>
      </c>
      <c r="V2477" s="36">
        <f>IF(AND(OR(sel_Region="All",C2477=sel_Region),OR(sel_Channel="All",E2477=sel_Channel),OR(sel_Customer="All",F2477=sel_Customer),OR(sel_Category="All",G2477=sel_Category),OR(sel_Product="All",H2477=sel_Product),AND(S2477&gt;=m_From,S2477&lt;=m_To)),1,0)</f>
        <v/>
      </c>
      <c r="W2477" s="36">
        <f>IF(AND(OR(sel_Region="All",C2477=sel_Region),OR(sel_Country="All",D2477=sel_Country),OR(sel_Customer="All",F2477=sel_Customer),OR(sel_Category="All",G2477=sel_Category),OR(sel_Product="All",H2477=sel_Product),AND(S2477&gt;=m_From,S2477&lt;=m_To)),1,0)</f>
        <v/>
      </c>
      <c r="X2477" s="36">
        <f>IF(AND(OR(sel_Region="All",C2477=sel_Region),OR(sel_Country="All",D2477=sel_Country),OR(sel_Channel="All",E2477=sel_Channel),OR(sel_Category="All",G2477=sel_Category),OR(sel_Product="All",H2477=sel_Product),AND(S2477&gt;=m_From,S2477&lt;=m_To)),1,0)</f>
        <v/>
      </c>
      <c r="Y2477" s="36">
        <f>IF(AND(OR(sel_Region="All",C2477=sel_Region),OR(sel_Country="All",D2477=sel_Country),OR(sel_Channel="All",E2477=sel_Channel),OR(sel_Customer="All",F2477=sel_Customer),OR(sel_Product="All",H2477=sel_Product),AND(S2477&gt;=m_From,S2477&lt;=m_To)),1,0)</f>
        <v/>
      </c>
      <c r="Z2477" s="36">
        <f>IF(AND(OR(sel_Region="All",C2477=sel_Region),OR(sel_Country="All",D2477=sel_Country),OR(sel_Channel="All",E2477=sel_Channel),OR(sel_Customer="All",F2477=sel_Customer),OR(sel_Category="All",G2477=sel_Category),AND(S2477&gt;=m_From,S2477&lt;=m_To)),1,0)</f>
        <v/>
      </c>
      <c r="AA2477" s="36">
        <f>IF(AND(OR(sel_Region="All",C2477=sel_Region),OR(sel_Country="All",D2477=sel_Country),OR(sel_Channel="All",E2477=sel_Channel),OR(sel_Customer="All",F2477=sel_Customer),OR(sel_Category="All",G2477=sel_Category),OR(sel_Product="All",H2477=sel_Product)),1,0)</f>
        <v/>
      </c>
    </row>
    <row r="2478">
      <c r="A2478" s="36" t="inlineStr">
        <is>
          <t>04259</t>
        </is>
      </c>
      <c r="B2478" s="44" t="n">
        <v>46354</v>
      </c>
      <c r="C2478" s="36" t="inlineStr">
        <is>
          <t>Northern Europe</t>
        </is>
      </c>
      <c r="D2478" s="36" t="inlineStr">
        <is>
          <t>Ireland</t>
        </is>
      </c>
      <c r="E2478" s="36" t="inlineStr">
        <is>
          <t>Online Store</t>
        </is>
      </c>
      <c r="F2478" s="36" t="inlineStr">
        <is>
          <t>Returning</t>
        </is>
      </c>
      <c r="G2478" s="36" t="inlineStr">
        <is>
          <t>Hiking</t>
        </is>
      </c>
      <c r="H2478" s="36" t="inlineStr">
        <is>
          <t>Trekking Poles</t>
        </is>
      </c>
      <c r="I2478" s="36" t="n">
        <v>4</v>
      </c>
      <c r="J2478" s="39" t="n">
        <v>72.77</v>
      </c>
      <c r="K2478" s="45" t="n">
        <v>0</v>
      </c>
      <c r="L2478" s="39" t="n">
        <v>32.09</v>
      </c>
      <c r="M2478" s="39">
        <f>I2478*J2478*(1-K2478)</f>
        <v/>
      </c>
      <c r="N2478" s="39">
        <f>I2478*L2478</f>
        <v/>
      </c>
      <c r="O2478" s="39">
        <f>M2478-N2478</f>
        <v/>
      </c>
      <c r="P2478" s="38">
        <f>IF(M2478=0,0,O2478/M2478)</f>
        <v/>
      </c>
      <c r="Q2478" s="36">
        <f>YEAR(B2478)</f>
        <v/>
      </c>
      <c r="R2478" s="36">
        <f>"Q"&amp;ROUNDUP(MONTH(B2478)/3,0)</f>
        <v/>
      </c>
      <c r="S2478" s="36">
        <f>MONTH(B2478)</f>
        <v/>
      </c>
      <c r="T2478" s="36">
        <f>TEXT(B2478,"mmm")</f>
        <v/>
      </c>
      <c r="U2478" s="36">
        <f>IF(AND(OR(sel_Region="All",C2478=sel_Region),OR(sel_Country="All",D2478=sel_Country),OR(sel_Channel="All",E2478=sel_Channel),OR(sel_Customer="All",F2478=sel_Customer),OR(sel_Category="All",G2478=sel_Category),OR(sel_Product="All",H2478=sel_Product),AND(S2478&gt;=m_From,S2478&lt;=m_To)),1,0)</f>
        <v/>
      </c>
      <c r="V2478" s="36">
        <f>IF(AND(OR(sel_Region="All",C2478=sel_Region),OR(sel_Channel="All",E2478=sel_Channel),OR(sel_Customer="All",F2478=sel_Customer),OR(sel_Category="All",G2478=sel_Category),OR(sel_Product="All",H2478=sel_Product),AND(S2478&gt;=m_From,S2478&lt;=m_To)),1,0)</f>
        <v/>
      </c>
      <c r="W2478" s="36">
        <f>IF(AND(OR(sel_Region="All",C2478=sel_Region),OR(sel_Country="All",D2478=sel_Country),OR(sel_Customer="All",F2478=sel_Customer),OR(sel_Category="All",G2478=sel_Category),OR(sel_Product="All",H2478=sel_Product),AND(S2478&gt;=m_From,S2478&lt;=m_To)),1,0)</f>
        <v/>
      </c>
      <c r="X2478" s="36">
        <f>IF(AND(OR(sel_Region="All",C2478=sel_Region),OR(sel_Country="All",D2478=sel_Country),OR(sel_Channel="All",E2478=sel_Channel),OR(sel_Category="All",G2478=sel_Category),OR(sel_Product="All",H2478=sel_Product),AND(S2478&gt;=m_From,S2478&lt;=m_To)),1,0)</f>
        <v/>
      </c>
      <c r="Y2478" s="36">
        <f>IF(AND(OR(sel_Region="All",C2478=sel_Region),OR(sel_Country="All",D2478=sel_Country),OR(sel_Channel="All",E2478=sel_Channel),OR(sel_Customer="All",F2478=sel_Customer),OR(sel_Product="All",H2478=sel_Product),AND(S2478&gt;=m_From,S2478&lt;=m_To)),1,0)</f>
        <v/>
      </c>
      <c r="Z2478" s="36">
        <f>IF(AND(OR(sel_Region="All",C2478=sel_Region),OR(sel_Country="All",D2478=sel_Country),OR(sel_Channel="All",E2478=sel_Channel),OR(sel_Customer="All",F2478=sel_Customer),OR(sel_Category="All",G2478=sel_Category),AND(S2478&gt;=m_From,S2478&lt;=m_To)),1,0)</f>
        <v/>
      </c>
      <c r="AA2478" s="36">
        <f>IF(AND(OR(sel_Region="All",C2478=sel_Region),OR(sel_Country="All",D2478=sel_Country),OR(sel_Channel="All",E2478=sel_Channel),OR(sel_Customer="All",F2478=sel_Customer),OR(sel_Category="All",G2478=sel_Category),OR(sel_Product="All",H2478=sel_Product)),1,0)</f>
        <v/>
      </c>
    </row>
    <row r="2479">
      <c r="A2479" s="36" t="inlineStr">
        <is>
          <t>04440</t>
        </is>
      </c>
      <c r="B2479" s="44" t="n">
        <v>46354</v>
      </c>
      <c r="C2479" s="36" t="inlineStr">
        <is>
          <t>Northern Europe</t>
        </is>
      </c>
      <c r="D2479" s="36" t="inlineStr">
        <is>
          <t>Finland</t>
        </is>
      </c>
      <c r="E2479" s="36" t="inlineStr">
        <is>
          <t>Marketplace</t>
        </is>
      </c>
      <c r="F2479" s="36" t="inlineStr">
        <is>
          <t>New</t>
        </is>
      </c>
      <c r="G2479" s="36" t="inlineStr">
        <is>
          <t>Travel</t>
        </is>
      </c>
      <c r="H2479" s="36" t="inlineStr">
        <is>
          <t>Packing Cube Set</t>
        </is>
      </c>
      <c r="I2479" s="36" t="n">
        <v>1</v>
      </c>
      <c r="J2479" s="39" t="n">
        <v>46.45</v>
      </c>
      <c r="K2479" s="45" t="n">
        <v>0.1</v>
      </c>
      <c r="L2479" s="39" t="n">
        <v>17.96</v>
      </c>
      <c r="M2479" s="39">
        <f>I2479*J2479*(1-K2479)</f>
        <v/>
      </c>
      <c r="N2479" s="39">
        <f>I2479*L2479</f>
        <v/>
      </c>
      <c r="O2479" s="39">
        <f>M2479-N2479</f>
        <v/>
      </c>
      <c r="P2479" s="38">
        <f>IF(M2479=0,0,O2479/M2479)</f>
        <v/>
      </c>
      <c r="Q2479" s="36">
        <f>YEAR(B2479)</f>
        <v/>
      </c>
      <c r="R2479" s="36">
        <f>"Q"&amp;ROUNDUP(MONTH(B2479)/3,0)</f>
        <v/>
      </c>
      <c r="S2479" s="36">
        <f>MONTH(B2479)</f>
        <v/>
      </c>
      <c r="T2479" s="36">
        <f>TEXT(B2479,"mmm")</f>
        <v/>
      </c>
      <c r="U2479" s="36">
        <f>IF(AND(OR(sel_Region="All",C2479=sel_Region),OR(sel_Country="All",D2479=sel_Country),OR(sel_Channel="All",E2479=sel_Channel),OR(sel_Customer="All",F2479=sel_Customer),OR(sel_Category="All",G2479=sel_Category),OR(sel_Product="All",H2479=sel_Product),AND(S2479&gt;=m_From,S2479&lt;=m_To)),1,0)</f>
        <v/>
      </c>
      <c r="V2479" s="36">
        <f>IF(AND(OR(sel_Region="All",C2479=sel_Region),OR(sel_Channel="All",E2479=sel_Channel),OR(sel_Customer="All",F2479=sel_Customer),OR(sel_Category="All",G2479=sel_Category),OR(sel_Product="All",H2479=sel_Product),AND(S2479&gt;=m_From,S2479&lt;=m_To)),1,0)</f>
        <v/>
      </c>
      <c r="W2479" s="36">
        <f>IF(AND(OR(sel_Region="All",C2479=sel_Region),OR(sel_Country="All",D2479=sel_Country),OR(sel_Customer="All",F2479=sel_Customer),OR(sel_Category="All",G2479=sel_Category),OR(sel_Product="All",H2479=sel_Product),AND(S2479&gt;=m_From,S2479&lt;=m_To)),1,0)</f>
        <v/>
      </c>
      <c r="X2479" s="36">
        <f>IF(AND(OR(sel_Region="All",C2479=sel_Region),OR(sel_Country="All",D2479=sel_Country),OR(sel_Channel="All",E2479=sel_Channel),OR(sel_Category="All",G2479=sel_Category),OR(sel_Product="All",H2479=sel_Product),AND(S2479&gt;=m_From,S2479&lt;=m_To)),1,0)</f>
        <v/>
      </c>
      <c r="Y2479" s="36">
        <f>IF(AND(OR(sel_Region="All",C2479=sel_Region),OR(sel_Country="All",D2479=sel_Country),OR(sel_Channel="All",E2479=sel_Channel),OR(sel_Customer="All",F2479=sel_Customer),OR(sel_Product="All",H2479=sel_Product),AND(S2479&gt;=m_From,S2479&lt;=m_To)),1,0)</f>
        <v/>
      </c>
      <c r="Z2479" s="36">
        <f>IF(AND(OR(sel_Region="All",C2479=sel_Region),OR(sel_Country="All",D2479=sel_Country),OR(sel_Channel="All",E2479=sel_Channel),OR(sel_Customer="All",F2479=sel_Customer),OR(sel_Category="All",G2479=sel_Category),AND(S2479&gt;=m_From,S2479&lt;=m_To)),1,0)</f>
        <v/>
      </c>
      <c r="AA2479" s="36">
        <f>IF(AND(OR(sel_Region="All",C2479=sel_Region),OR(sel_Country="All",D2479=sel_Country),OR(sel_Channel="All",E2479=sel_Channel),OR(sel_Customer="All",F2479=sel_Customer),OR(sel_Category="All",G2479=sel_Category),OR(sel_Product="All",H2479=sel_Product)),1,0)</f>
        <v/>
      </c>
    </row>
    <row r="2480">
      <c r="A2480" s="36" t="inlineStr">
        <is>
          <t>05115</t>
        </is>
      </c>
      <c r="B2480" s="44" t="n">
        <v>46354</v>
      </c>
      <c r="C2480" s="36" t="inlineStr">
        <is>
          <t>Southern Europe</t>
        </is>
      </c>
      <c r="D2480" s="36" t="inlineStr">
        <is>
          <t>Italy</t>
        </is>
      </c>
      <c r="E2480" s="36" t="inlineStr">
        <is>
          <t>Online Store</t>
        </is>
      </c>
      <c r="F2480" s="36" t="inlineStr">
        <is>
          <t>New</t>
        </is>
      </c>
      <c r="G2480" s="36" t="inlineStr">
        <is>
          <t>Travel</t>
        </is>
      </c>
      <c r="H2480" s="36" t="inlineStr">
        <is>
          <t>Travel Backpack 35L</t>
        </is>
      </c>
      <c r="I2480" s="36" t="n">
        <v>1</v>
      </c>
      <c r="J2480" s="39" t="n">
        <v>165.75</v>
      </c>
      <c r="K2480" s="45" t="n">
        <v>0.2</v>
      </c>
      <c r="L2480" s="39" t="n">
        <v>89.16</v>
      </c>
      <c r="M2480" s="39">
        <f>I2480*J2480*(1-K2480)</f>
        <v/>
      </c>
      <c r="N2480" s="39">
        <f>I2480*L2480</f>
        <v/>
      </c>
      <c r="O2480" s="39">
        <f>M2480-N2480</f>
        <v/>
      </c>
      <c r="P2480" s="38">
        <f>IF(M2480=0,0,O2480/M2480)</f>
        <v/>
      </c>
      <c r="Q2480" s="36">
        <f>YEAR(B2480)</f>
        <v/>
      </c>
      <c r="R2480" s="36">
        <f>"Q"&amp;ROUNDUP(MONTH(B2480)/3,0)</f>
        <v/>
      </c>
      <c r="S2480" s="36">
        <f>MONTH(B2480)</f>
        <v/>
      </c>
      <c r="T2480" s="36">
        <f>TEXT(B2480,"mmm")</f>
        <v/>
      </c>
      <c r="U2480" s="36">
        <f>IF(AND(OR(sel_Region="All",C2480=sel_Region),OR(sel_Country="All",D2480=sel_Country),OR(sel_Channel="All",E2480=sel_Channel),OR(sel_Customer="All",F2480=sel_Customer),OR(sel_Category="All",G2480=sel_Category),OR(sel_Product="All",H2480=sel_Product),AND(S2480&gt;=m_From,S2480&lt;=m_To)),1,0)</f>
        <v/>
      </c>
      <c r="V2480" s="36">
        <f>IF(AND(OR(sel_Region="All",C2480=sel_Region),OR(sel_Channel="All",E2480=sel_Channel),OR(sel_Customer="All",F2480=sel_Customer),OR(sel_Category="All",G2480=sel_Category),OR(sel_Product="All",H2480=sel_Product),AND(S2480&gt;=m_From,S2480&lt;=m_To)),1,0)</f>
        <v/>
      </c>
      <c r="W2480" s="36">
        <f>IF(AND(OR(sel_Region="All",C2480=sel_Region),OR(sel_Country="All",D2480=sel_Country),OR(sel_Customer="All",F2480=sel_Customer),OR(sel_Category="All",G2480=sel_Category),OR(sel_Product="All",H2480=sel_Product),AND(S2480&gt;=m_From,S2480&lt;=m_To)),1,0)</f>
        <v/>
      </c>
      <c r="X2480" s="36">
        <f>IF(AND(OR(sel_Region="All",C2480=sel_Region),OR(sel_Country="All",D2480=sel_Country),OR(sel_Channel="All",E2480=sel_Channel),OR(sel_Category="All",G2480=sel_Category),OR(sel_Product="All",H2480=sel_Product),AND(S2480&gt;=m_From,S2480&lt;=m_To)),1,0)</f>
        <v/>
      </c>
      <c r="Y2480" s="36">
        <f>IF(AND(OR(sel_Region="All",C2480=sel_Region),OR(sel_Country="All",D2480=sel_Country),OR(sel_Channel="All",E2480=sel_Channel),OR(sel_Customer="All",F2480=sel_Customer),OR(sel_Product="All",H2480=sel_Product),AND(S2480&gt;=m_From,S2480&lt;=m_To)),1,0)</f>
        <v/>
      </c>
      <c r="Z2480" s="36">
        <f>IF(AND(OR(sel_Region="All",C2480=sel_Region),OR(sel_Country="All",D2480=sel_Country),OR(sel_Channel="All",E2480=sel_Channel),OR(sel_Customer="All",F2480=sel_Customer),OR(sel_Category="All",G2480=sel_Category),AND(S2480&gt;=m_From,S2480&lt;=m_To)),1,0)</f>
        <v/>
      </c>
      <c r="AA2480" s="36">
        <f>IF(AND(OR(sel_Region="All",C2480=sel_Region),OR(sel_Country="All",D2480=sel_Country),OR(sel_Channel="All",E2480=sel_Channel),OR(sel_Customer="All",F2480=sel_Customer),OR(sel_Category="All",G2480=sel_Category),OR(sel_Product="All",H2480=sel_Product)),1,0)</f>
        <v/>
      </c>
    </row>
    <row r="2481">
      <c r="A2481" s="36" t="inlineStr">
        <is>
          <t>05136</t>
        </is>
      </c>
      <c r="B2481" s="44" t="n">
        <v>46354</v>
      </c>
      <c r="C2481" s="36" t="inlineStr">
        <is>
          <t>Northern Europe</t>
        </is>
      </c>
      <c r="D2481" s="36" t="inlineStr">
        <is>
          <t>Sweden</t>
        </is>
      </c>
      <c r="E2481" s="36" t="inlineStr">
        <is>
          <t>Marketplace</t>
        </is>
      </c>
      <c r="F2481" s="36" t="inlineStr">
        <is>
          <t>New</t>
        </is>
      </c>
      <c r="G2481" s="36" t="inlineStr">
        <is>
          <t>Camping</t>
        </is>
      </c>
      <c r="H2481" s="36" t="inlineStr">
        <is>
          <t>Trail Tent 2P</t>
        </is>
      </c>
      <c r="I2481" s="36" t="n">
        <v>4</v>
      </c>
      <c r="J2481" s="39" t="n">
        <v>198.02</v>
      </c>
      <c r="K2481" s="45" t="n">
        <v>0.05</v>
      </c>
      <c r="L2481" s="39" t="n">
        <v>103.82</v>
      </c>
      <c r="M2481" s="39">
        <f>I2481*J2481*(1-K2481)</f>
        <v/>
      </c>
      <c r="N2481" s="39">
        <f>I2481*L2481</f>
        <v/>
      </c>
      <c r="O2481" s="39">
        <f>M2481-N2481</f>
        <v/>
      </c>
      <c r="P2481" s="38">
        <f>IF(M2481=0,0,O2481/M2481)</f>
        <v/>
      </c>
      <c r="Q2481" s="36">
        <f>YEAR(B2481)</f>
        <v/>
      </c>
      <c r="R2481" s="36">
        <f>"Q"&amp;ROUNDUP(MONTH(B2481)/3,0)</f>
        <v/>
      </c>
      <c r="S2481" s="36">
        <f>MONTH(B2481)</f>
        <v/>
      </c>
      <c r="T2481" s="36">
        <f>TEXT(B2481,"mmm")</f>
        <v/>
      </c>
      <c r="U2481" s="36">
        <f>IF(AND(OR(sel_Region="All",C2481=sel_Region),OR(sel_Country="All",D2481=sel_Country),OR(sel_Channel="All",E2481=sel_Channel),OR(sel_Customer="All",F2481=sel_Customer),OR(sel_Category="All",G2481=sel_Category),OR(sel_Product="All",H2481=sel_Product),AND(S2481&gt;=m_From,S2481&lt;=m_To)),1,0)</f>
        <v/>
      </c>
      <c r="V2481" s="36">
        <f>IF(AND(OR(sel_Region="All",C2481=sel_Region),OR(sel_Channel="All",E2481=sel_Channel),OR(sel_Customer="All",F2481=sel_Customer),OR(sel_Category="All",G2481=sel_Category),OR(sel_Product="All",H2481=sel_Product),AND(S2481&gt;=m_From,S2481&lt;=m_To)),1,0)</f>
        <v/>
      </c>
      <c r="W2481" s="36">
        <f>IF(AND(OR(sel_Region="All",C2481=sel_Region),OR(sel_Country="All",D2481=sel_Country),OR(sel_Customer="All",F2481=sel_Customer),OR(sel_Category="All",G2481=sel_Category),OR(sel_Product="All",H2481=sel_Product),AND(S2481&gt;=m_From,S2481&lt;=m_To)),1,0)</f>
        <v/>
      </c>
      <c r="X2481" s="36">
        <f>IF(AND(OR(sel_Region="All",C2481=sel_Region),OR(sel_Country="All",D2481=sel_Country),OR(sel_Channel="All",E2481=sel_Channel),OR(sel_Category="All",G2481=sel_Category),OR(sel_Product="All",H2481=sel_Product),AND(S2481&gt;=m_From,S2481&lt;=m_To)),1,0)</f>
        <v/>
      </c>
      <c r="Y2481" s="36">
        <f>IF(AND(OR(sel_Region="All",C2481=sel_Region),OR(sel_Country="All",D2481=sel_Country),OR(sel_Channel="All",E2481=sel_Channel),OR(sel_Customer="All",F2481=sel_Customer),OR(sel_Product="All",H2481=sel_Product),AND(S2481&gt;=m_From,S2481&lt;=m_To)),1,0)</f>
        <v/>
      </c>
      <c r="Z2481" s="36">
        <f>IF(AND(OR(sel_Region="All",C2481=sel_Region),OR(sel_Country="All",D2481=sel_Country),OR(sel_Channel="All",E2481=sel_Channel),OR(sel_Customer="All",F2481=sel_Customer),OR(sel_Category="All",G2481=sel_Category),AND(S2481&gt;=m_From,S2481&lt;=m_To)),1,0)</f>
        <v/>
      </c>
      <c r="AA2481" s="36">
        <f>IF(AND(OR(sel_Region="All",C2481=sel_Region),OR(sel_Country="All",D2481=sel_Country),OR(sel_Channel="All",E2481=sel_Channel),OR(sel_Customer="All",F2481=sel_Customer),OR(sel_Category="All",G2481=sel_Category),OR(sel_Product="All",H2481=sel_Product)),1,0)</f>
        <v/>
      </c>
    </row>
    <row r="2482">
      <c r="A2482" s="36" t="inlineStr">
        <is>
          <t>00562</t>
        </is>
      </c>
      <c r="B2482" s="44" t="n">
        <v>46355</v>
      </c>
      <c r="C2482" s="36" t="inlineStr">
        <is>
          <t>Central Europe</t>
        </is>
      </c>
      <c r="D2482" s="36" t="inlineStr">
        <is>
          <t>Germany</t>
        </is>
      </c>
      <c r="E2482" s="36" t="inlineStr">
        <is>
          <t>Online Store</t>
        </is>
      </c>
      <c r="F2482" s="36" t="inlineStr">
        <is>
          <t>New</t>
        </is>
      </c>
      <c r="G2482" s="36" t="inlineStr">
        <is>
          <t>Travel</t>
        </is>
      </c>
      <c r="H2482" s="36" t="inlineStr">
        <is>
          <t>Packing Cube Set</t>
        </is>
      </c>
      <c r="I2482" s="36" t="n">
        <v>1</v>
      </c>
      <c r="J2482" s="39" t="n">
        <v>46.3</v>
      </c>
      <c r="K2482" s="45" t="n">
        <v>0.2</v>
      </c>
      <c r="L2482" s="39" t="n">
        <v>18.78</v>
      </c>
      <c r="M2482" s="39">
        <f>I2482*J2482*(1-K2482)</f>
        <v/>
      </c>
      <c r="N2482" s="39">
        <f>I2482*L2482</f>
        <v/>
      </c>
      <c r="O2482" s="39">
        <f>M2482-N2482</f>
        <v/>
      </c>
      <c r="P2482" s="38">
        <f>IF(M2482=0,0,O2482/M2482)</f>
        <v/>
      </c>
      <c r="Q2482" s="36">
        <f>YEAR(B2482)</f>
        <v/>
      </c>
      <c r="R2482" s="36">
        <f>"Q"&amp;ROUNDUP(MONTH(B2482)/3,0)</f>
        <v/>
      </c>
      <c r="S2482" s="36">
        <f>MONTH(B2482)</f>
        <v/>
      </c>
      <c r="T2482" s="36">
        <f>TEXT(B2482,"mmm")</f>
        <v/>
      </c>
      <c r="U2482" s="36">
        <f>IF(AND(OR(sel_Region="All",C2482=sel_Region),OR(sel_Country="All",D2482=sel_Country),OR(sel_Channel="All",E2482=sel_Channel),OR(sel_Customer="All",F2482=sel_Customer),OR(sel_Category="All",G2482=sel_Category),OR(sel_Product="All",H2482=sel_Product),AND(S2482&gt;=m_From,S2482&lt;=m_To)),1,0)</f>
        <v/>
      </c>
      <c r="V2482" s="36">
        <f>IF(AND(OR(sel_Region="All",C2482=sel_Region),OR(sel_Channel="All",E2482=sel_Channel),OR(sel_Customer="All",F2482=sel_Customer),OR(sel_Category="All",G2482=sel_Category),OR(sel_Product="All",H2482=sel_Product),AND(S2482&gt;=m_From,S2482&lt;=m_To)),1,0)</f>
        <v/>
      </c>
      <c r="W2482" s="36">
        <f>IF(AND(OR(sel_Region="All",C2482=sel_Region),OR(sel_Country="All",D2482=sel_Country),OR(sel_Customer="All",F2482=sel_Customer),OR(sel_Category="All",G2482=sel_Category),OR(sel_Product="All",H2482=sel_Product),AND(S2482&gt;=m_From,S2482&lt;=m_To)),1,0)</f>
        <v/>
      </c>
      <c r="X2482" s="36">
        <f>IF(AND(OR(sel_Region="All",C2482=sel_Region),OR(sel_Country="All",D2482=sel_Country),OR(sel_Channel="All",E2482=sel_Channel),OR(sel_Category="All",G2482=sel_Category),OR(sel_Product="All",H2482=sel_Product),AND(S2482&gt;=m_From,S2482&lt;=m_To)),1,0)</f>
        <v/>
      </c>
      <c r="Y2482" s="36">
        <f>IF(AND(OR(sel_Region="All",C2482=sel_Region),OR(sel_Country="All",D2482=sel_Country),OR(sel_Channel="All",E2482=sel_Channel),OR(sel_Customer="All",F2482=sel_Customer),OR(sel_Product="All",H2482=sel_Product),AND(S2482&gt;=m_From,S2482&lt;=m_To)),1,0)</f>
        <v/>
      </c>
      <c r="Z2482" s="36">
        <f>IF(AND(OR(sel_Region="All",C2482=sel_Region),OR(sel_Country="All",D2482=sel_Country),OR(sel_Channel="All",E2482=sel_Channel),OR(sel_Customer="All",F2482=sel_Customer),OR(sel_Category="All",G2482=sel_Category),AND(S2482&gt;=m_From,S2482&lt;=m_To)),1,0)</f>
        <v/>
      </c>
      <c r="AA2482" s="36">
        <f>IF(AND(OR(sel_Region="All",C2482=sel_Region),OR(sel_Country="All",D2482=sel_Country),OR(sel_Channel="All",E2482=sel_Channel),OR(sel_Customer="All",F2482=sel_Customer),OR(sel_Category="All",G2482=sel_Category),OR(sel_Product="All",H2482=sel_Product)),1,0)</f>
        <v/>
      </c>
    </row>
    <row r="2483">
      <c r="A2483" s="36" t="inlineStr">
        <is>
          <t>00806</t>
        </is>
      </c>
      <c r="B2483" s="44" t="n">
        <v>46355</v>
      </c>
      <c r="C2483" s="36" t="inlineStr">
        <is>
          <t>Southern Europe</t>
        </is>
      </c>
      <c r="D2483" s="36" t="inlineStr">
        <is>
          <t>Italy</t>
        </is>
      </c>
      <c r="E2483" s="36" t="inlineStr">
        <is>
          <t>Marketplace</t>
        </is>
      </c>
      <c r="F2483" s="36" t="inlineStr">
        <is>
          <t>Returning</t>
        </is>
      </c>
      <c r="G2483" s="36" t="inlineStr">
        <is>
          <t>Fitness</t>
        </is>
      </c>
      <c r="H2483" s="36" t="inlineStr">
        <is>
          <t>Resistance Band Set</t>
        </is>
      </c>
      <c r="I2483" s="36" t="n">
        <v>1</v>
      </c>
      <c r="J2483" s="39" t="n">
        <v>39.66</v>
      </c>
      <c r="K2483" s="45" t="n">
        <v>0</v>
      </c>
      <c r="L2483" s="39" t="n">
        <v>14.76</v>
      </c>
      <c r="M2483" s="39">
        <f>I2483*J2483*(1-K2483)</f>
        <v/>
      </c>
      <c r="N2483" s="39">
        <f>I2483*L2483</f>
        <v/>
      </c>
      <c r="O2483" s="39">
        <f>M2483-N2483</f>
        <v/>
      </c>
      <c r="P2483" s="38">
        <f>IF(M2483=0,0,O2483/M2483)</f>
        <v/>
      </c>
      <c r="Q2483" s="36">
        <f>YEAR(B2483)</f>
        <v/>
      </c>
      <c r="R2483" s="36">
        <f>"Q"&amp;ROUNDUP(MONTH(B2483)/3,0)</f>
        <v/>
      </c>
      <c r="S2483" s="36">
        <f>MONTH(B2483)</f>
        <v/>
      </c>
      <c r="T2483" s="36">
        <f>TEXT(B2483,"mmm")</f>
        <v/>
      </c>
      <c r="U2483" s="36">
        <f>IF(AND(OR(sel_Region="All",C2483=sel_Region),OR(sel_Country="All",D2483=sel_Country),OR(sel_Channel="All",E2483=sel_Channel),OR(sel_Customer="All",F2483=sel_Customer),OR(sel_Category="All",G2483=sel_Category),OR(sel_Product="All",H2483=sel_Product),AND(S2483&gt;=m_From,S2483&lt;=m_To)),1,0)</f>
        <v/>
      </c>
      <c r="V2483" s="36">
        <f>IF(AND(OR(sel_Region="All",C2483=sel_Region),OR(sel_Channel="All",E2483=sel_Channel),OR(sel_Customer="All",F2483=sel_Customer),OR(sel_Category="All",G2483=sel_Category),OR(sel_Product="All",H2483=sel_Product),AND(S2483&gt;=m_From,S2483&lt;=m_To)),1,0)</f>
        <v/>
      </c>
      <c r="W2483" s="36">
        <f>IF(AND(OR(sel_Region="All",C2483=sel_Region),OR(sel_Country="All",D2483=sel_Country),OR(sel_Customer="All",F2483=sel_Customer),OR(sel_Category="All",G2483=sel_Category),OR(sel_Product="All",H2483=sel_Product),AND(S2483&gt;=m_From,S2483&lt;=m_To)),1,0)</f>
        <v/>
      </c>
      <c r="X2483" s="36">
        <f>IF(AND(OR(sel_Region="All",C2483=sel_Region),OR(sel_Country="All",D2483=sel_Country),OR(sel_Channel="All",E2483=sel_Channel),OR(sel_Category="All",G2483=sel_Category),OR(sel_Product="All",H2483=sel_Product),AND(S2483&gt;=m_From,S2483&lt;=m_To)),1,0)</f>
        <v/>
      </c>
      <c r="Y2483" s="36">
        <f>IF(AND(OR(sel_Region="All",C2483=sel_Region),OR(sel_Country="All",D2483=sel_Country),OR(sel_Channel="All",E2483=sel_Channel),OR(sel_Customer="All",F2483=sel_Customer),OR(sel_Product="All",H2483=sel_Product),AND(S2483&gt;=m_From,S2483&lt;=m_To)),1,0)</f>
        <v/>
      </c>
      <c r="Z2483" s="36">
        <f>IF(AND(OR(sel_Region="All",C2483=sel_Region),OR(sel_Country="All",D2483=sel_Country),OR(sel_Channel="All",E2483=sel_Channel),OR(sel_Customer="All",F2483=sel_Customer),OR(sel_Category="All",G2483=sel_Category),AND(S2483&gt;=m_From,S2483&lt;=m_To)),1,0)</f>
        <v/>
      </c>
      <c r="AA2483" s="36">
        <f>IF(AND(OR(sel_Region="All",C2483=sel_Region),OR(sel_Country="All",D2483=sel_Country),OR(sel_Channel="All",E2483=sel_Channel),OR(sel_Customer="All",F2483=sel_Customer),OR(sel_Category="All",G2483=sel_Category),OR(sel_Product="All",H2483=sel_Product)),1,0)</f>
        <v/>
      </c>
    </row>
    <row r="2484">
      <c r="A2484" s="36" t="inlineStr">
        <is>
          <t>03150</t>
        </is>
      </c>
      <c r="B2484" s="44" t="n">
        <v>46355</v>
      </c>
      <c r="C2484" s="36" t="inlineStr">
        <is>
          <t>Central Europe</t>
        </is>
      </c>
      <c r="D2484" s="36" t="inlineStr">
        <is>
          <t>Austria</t>
        </is>
      </c>
      <c r="E2484" s="36" t="inlineStr">
        <is>
          <t>Online Store</t>
        </is>
      </c>
      <c r="F2484" s="36" t="inlineStr">
        <is>
          <t>New</t>
        </is>
      </c>
      <c r="G2484" s="36" t="inlineStr">
        <is>
          <t>Camping</t>
        </is>
      </c>
      <c r="H2484" s="36" t="inlineStr">
        <is>
          <t>Portable Camp Stove</t>
        </is>
      </c>
      <c r="I2484" s="36" t="n">
        <v>3</v>
      </c>
      <c r="J2484" s="39" t="n">
        <v>80.72</v>
      </c>
      <c r="K2484" s="45" t="n">
        <v>0.05</v>
      </c>
      <c r="L2484" s="39" t="n">
        <v>39.13</v>
      </c>
      <c r="M2484" s="39">
        <f>I2484*J2484*(1-K2484)</f>
        <v/>
      </c>
      <c r="N2484" s="39">
        <f>I2484*L2484</f>
        <v/>
      </c>
      <c r="O2484" s="39">
        <f>M2484-N2484</f>
        <v/>
      </c>
      <c r="P2484" s="38">
        <f>IF(M2484=0,0,O2484/M2484)</f>
        <v/>
      </c>
      <c r="Q2484" s="36">
        <f>YEAR(B2484)</f>
        <v/>
      </c>
      <c r="R2484" s="36">
        <f>"Q"&amp;ROUNDUP(MONTH(B2484)/3,0)</f>
        <v/>
      </c>
      <c r="S2484" s="36">
        <f>MONTH(B2484)</f>
        <v/>
      </c>
      <c r="T2484" s="36">
        <f>TEXT(B2484,"mmm")</f>
        <v/>
      </c>
      <c r="U2484" s="36">
        <f>IF(AND(OR(sel_Region="All",C2484=sel_Region),OR(sel_Country="All",D2484=sel_Country),OR(sel_Channel="All",E2484=sel_Channel),OR(sel_Customer="All",F2484=sel_Customer),OR(sel_Category="All",G2484=sel_Category),OR(sel_Product="All",H2484=sel_Product),AND(S2484&gt;=m_From,S2484&lt;=m_To)),1,0)</f>
        <v/>
      </c>
      <c r="V2484" s="36">
        <f>IF(AND(OR(sel_Region="All",C2484=sel_Region),OR(sel_Channel="All",E2484=sel_Channel),OR(sel_Customer="All",F2484=sel_Customer),OR(sel_Category="All",G2484=sel_Category),OR(sel_Product="All",H2484=sel_Product),AND(S2484&gt;=m_From,S2484&lt;=m_To)),1,0)</f>
        <v/>
      </c>
      <c r="W2484" s="36">
        <f>IF(AND(OR(sel_Region="All",C2484=sel_Region),OR(sel_Country="All",D2484=sel_Country),OR(sel_Customer="All",F2484=sel_Customer),OR(sel_Category="All",G2484=sel_Category),OR(sel_Product="All",H2484=sel_Product),AND(S2484&gt;=m_From,S2484&lt;=m_To)),1,0)</f>
        <v/>
      </c>
      <c r="X2484" s="36">
        <f>IF(AND(OR(sel_Region="All",C2484=sel_Region),OR(sel_Country="All",D2484=sel_Country),OR(sel_Channel="All",E2484=sel_Channel),OR(sel_Category="All",G2484=sel_Category),OR(sel_Product="All",H2484=sel_Product),AND(S2484&gt;=m_From,S2484&lt;=m_To)),1,0)</f>
        <v/>
      </c>
      <c r="Y2484" s="36">
        <f>IF(AND(OR(sel_Region="All",C2484=sel_Region),OR(sel_Country="All",D2484=sel_Country),OR(sel_Channel="All",E2484=sel_Channel),OR(sel_Customer="All",F2484=sel_Customer),OR(sel_Product="All",H2484=sel_Product),AND(S2484&gt;=m_From,S2484&lt;=m_To)),1,0)</f>
        <v/>
      </c>
      <c r="Z2484" s="36">
        <f>IF(AND(OR(sel_Region="All",C2484=sel_Region),OR(sel_Country="All",D2484=sel_Country),OR(sel_Channel="All",E2484=sel_Channel),OR(sel_Customer="All",F2484=sel_Customer),OR(sel_Category="All",G2484=sel_Category),AND(S2484&gt;=m_From,S2484&lt;=m_To)),1,0)</f>
        <v/>
      </c>
      <c r="AA2484" s="36">
        <f>IF(AND(OR(sel_Region="All",C2484=sel_Region),OR(sel_Country="All",D2484=sel_Country),OR(sel_Channel="All",E2484=sel_Channel),OR(sel_Customer="All",F2484=sel_Customer),OR(sel_Category="All",G2484=sel_Category),OR(sel_Product="All",H2484=sel_Product)),1,0)</f>
        <v/>
      </c>
    </row>
    <row r="2485">
      <c r="A2485" s="36" t="inlineStr">
        <is>
          <t>04847</t>
        </is>
      </c>
      <c r="B2485" s="44" t="n">
        <v>46355</v>
      </c>
      <c r="C2485" s="36" t="inlineStr">
        <is>
          <t>Central Europe</t>
        </is>
      </c>
      <c r="D2485" s="36" t="inlineStr">
        <is>
          <t>Poland</t>
        </is>
      </c>
      <c r="E2485" s="36" t="inlineStr">
        <is>
          <t>Marketplace</t>
        </is>
      </c>
      <c r="F2485" s="36" t="inlineStr">
        <is>
          <t>New</t>
        </is>
      </c>
      <c r="G2485" s="36" t="inlineStr">
        <is>
          <t>Travel</t>
        </is>
      </c>
      <c r="H2485" s="36" t="inlineStr">
        <is>
          <t>Insulated Bottle</t>
        </is>
      </c>
      <c r="I2485" s="36" t="n">
        <v>2</v>
      </c>
      <c r="J2485" s="39" t="n">
        <v>35.51</v>
      </c>
      <c r="K2485" s="45" t="n">
        <v>0.05</v>
      </c>
      <c r="L2485" s="39" t="n">
        <v>13.24</v>
      </c>
      <c r="M2485" s="39">
        <f>I2485*J2485*(1-K2485)</f>
        <v/>
      </c>
      <c r="N2485" s="39">
        <f>I2485*L2485</f>
        <v/>
      </c>
      <c r="O2485" s="39">
        <f>M2485-N2485</f>
        <v/>
      </c>
      <c r="P2485" s="38">
        <f>IF(M2485=0,0,O2485/M2485)</f>
        <v/>
      </c>
      <c r="Q2485" s="36">
        <f>YEAR(B2485)</f>
        <v/>
      </c>
      <c r="R2485" s="36">
        <f>"Q"&amp;ROUNDUP(MONTH(B2485)/3,0)</f>
        <v/>
      </c>
      <c r="S2485" s="36">
        <f>MONTH(B2485)</f>
        <v/>
      </c>
      <c r="T2485" s="36">
        <f>TEXT(B2485,"mmm")</f>
        <v/>
      </c>
      <c r="U2485" s="36">
        <f>IF(AND(OR(sel_Region="All",C2485=sel_Region),OR(sel_Country="All",D2485=sel_Country),OR(sel_Channel="All",E2485=sel_Channel),OR(sel_Customer="All",F2485=sel_Customer),OR(sel_Category="All",G2485=sel_Category),OR(sel_Product="All",H2485=sel_Product),AND(S2485&gt;=m_From,S2485&lt;=m_To)),1,0)</f>
        <v/>
      </c>
      <c r="V2485" s="36">
        <f>IF(AND(OR(sel_Region="All",C2485=sel_Region),OR(sel_Channel="All",E2485=sel_Channel),OR(sel_Customer="All",F2485=sel_Customer),OR(sel_Category="All",G2485=sel_Category),OR(sel_Product="All",H2485=sel_Product),AND(S2485&gt;=m_From,S2485&lt;=m_To)),1,0)</f>
        <v/>
      </c>
      <c r="W2485" s="36">
        <f>IF(AND(OR(sel_Region="All",C2485=sel_Region),OR(sel_Country="All",D2485=sel_Country),OR(sel_Customer="All",F2485=sel_Customer),OR(sel_Category="All",G2485=sel_Category),OR(sel_Product="All",H2485=sel_Product),AND(S2485&gt;=m_From,S2485&lt;=m_To)),1,0)</f>
        <v/>
      </c>
      <c r="X2485" s="36">
        <f>IF(AND(OR(sel_Region="All",C2485=sel_Region),OR(sel_Country="All",D2485=sel_Country),OR(sel_Channel="All",E2485=sel_Channel),OR(sel_Category="All",G2485=sel_Category),OR(sel_Product="All",H2485=sel_Product),AND(S2485&gt;=m_From,S2485&lt;=m_To)),1,0)</f>
        <v/>
      </c>
      <c r="Y2485" s="36">
        <f>IF(AND(OR(sel_Region="All",C2485=sel_Region),OR(sel_Country="All",D2485=sel_Country),OR(sel_Channel="All",E2485=sel_Channel),OR(sel_Customer="All",F2485=sel_Customer),OR(sel_Product="All",H2485=sel_Product),AND(S2485&gt;=m_From,S2485&lt;=m_To)),1,0)</f>
        <v/>
      </c>
      <c r="Z2485" s="36">
        <f>IF(AND(OR(sel_Region="All",C2485=sel_Region),OR(sel_Country="All",D2485=sel_Country),OR(sel_Channel="All",E2485=sel_Channel),OR(sel_Customer="All",F2485=sel_Customer),OR(sel_Category="All",G2485=sel_Category),AND(S2485&gt;=m_From,S2485&lt;=m_To)),1,0)</f>
        <v/>
      </c>
      <c r="AA2485" s="36">
        <f>IF(AND(OR(sel_Region="All",C2485=sel_Region),OR(sel_Country="All",D2485=sel_Country),OR(sel_Channel="All",E2485=sel_Channel),OR(sel_Customer="All",F2485=sel_Customer),OR(sel_Category="All",G2485=sel_Category),OR(sel_Product="All",H2485=sel_Product)),1,0)</f>
        <v/>
      </c>
    </row>
    <row r="2486">
      <c r="A2486" s="36" t="inlineStr">
        <is>
          <t>00221</t>
        </is>
      </c>
      <c r="B2486" s="44" t="n">
        <v>46356</v>
      </c>
      <c r="C2486" s="36" t="inlineStr">
        <is>
          <t>Western Europe</t>
        </is>
      </c>
      <c r="D2486" s="36" t="inlineStr">
        <is>
          <t>United Kingdom</t>
        </is>
      </c>
      <c r="E2486" s="36" t="inlineStr">
        <is>
          <t>Retail Partners</t>
        </is>
      </c>
      <c r="F2486" s="36" t="inlineStr">
        <is>
          <t>Business</t>
        </is>
      </c>
      <c r="G2486" s="36" t="inlineStr">
        <is>
          <t>Travel</t>
        </is>
      </c>
      <c r="H2486" s="36" t="inlineStr">
        <is>
          <t>Carry-On Duffel</t>
        </is>
      </c>
      <c r="I2486" s="36" t="n">
        <v>1</v>
      </c>
      <c r="J2486" s="39" t="n">
        <v>132.06</v>
      </c>
      <c r="K2486" s="45" t="n">
        <v>0.15</v>
      </c>
      <c r="L2486" s="39" t="n">
        <v>67.53</v>
      </c>
      <c r="M2486" s="39">
        <f>I2486*J2486*(1-K2486)</f>
        <v/>
      </c>
      <c r="N2486" s="39">
        <f>I2486*L2486</f>
        <v/>
      </c>
      <c r="O2486" s="39">
        <f>M2486-N2486</f>
        <v/>
      </c>
      <c r="P2486" s="38">
        <f>IF(M2486=0,0,O2486/M2486)</f>
        <v/>
      </c>
      <c r="Q2486" s="36">
        <f>YEAR(B2486)</f>
        <v/>
      </c>
      <c r="R2486" s="36">
        <f>"Q"&amp;ROUNDUP(MONTH(B2486)/3,0)</f>
        <v/>
      </c>
      <c r="S2486" s="36">
        <f>MONTH(B2486)</f>
        <v/>
      </c>
      <c r="T2486" s="36">
        <f>TEXT(B2486,"mmm")</f>
        <v/>
      </c>
      <c r="U2486" s="36">
        <f>IF(AND(OR(sel_Region="All",C2486=sel_Region),OR(sel_Country="All",D2486=sel_Country),OR(sel_Channel="All",E2486=sel_Channel),OR(sel_Customer="All",F2486=sel_Customer),OR(sel_Category="All",G2486=sel_Category),OR(sel_Product="All",H2486=sel_Product),AND(S2486&gt;=m_From,S2486&lt;=m_To)),1,0)</f>
        <v/>
      </c>
      <c r="V2486" s="36">
        <f>IF(AND(OR(sel_Region="All",C2486=sel_Region),OR(sel_Channel="All",E2486=sel_Channel),OR(sel_Customer="All",F2486=sel_Customer),OR(sel_Category="All",G2486=sel_Category),OR(sel_Product="All",H2486=sel_Product),AND(S2486&gt;=m_From,S2486&lt;=m_To)),1,0)</f>
        <v/>
      </c>
      <c r="W2486" s="36">
        <f>IF(AND(OR(sel_Region="All",C2486=sel_Region),OR(sel_Country="All",D2486=sel_Country),OR(sel_Customer="All",F2486=sel_Customer),OR(sel_Category="All",G2486=sel_Category),OR(sel_Product="All",H2486=sel_Product),AND(S2486&gt;=m_From,S2486&lt;=m_To)),1,0)</f>
        <v/>
      </c>
      <c r="X2486" s="36">
        <f>IF(AND(OR(sel_Region="All",C2486=sel_Region),OR(sel_Country="All",D2486=sel_Country),OR(sel_Channel="All",E2486=sel_Channel),OR(sel_Category="All",G2486=sel_Category),OR(sel_Product="All",H2486=sel_Product),AND(S2486&gt;=m_From,S2486&lt;=m_To)),1,0)</f>
        <v/>
      </c>
      <c r="Y2486" s="36">
        <f>IF(AND(OR(sel_Region="All",C2486=sel_Region),OR(sel_Country="All",D2486=sel_Country),OR(sel_Channel="All",E2486=sel_Channel),OR(sel_Customer="All",F2486=sel_Customer),OR(sel_Product="All",H2486=sel_Product),AND(S2486&gt;=m_From,S2486&lt;=m_To)),1,0)</f>
        <v/>
      </c>
      <c r="Z2486" s="36">
        <f>IF(AND(OR(sel_Region="All",C2486=sel_Region),OR(sel_Country="All",D2486=sel_Country),OR(sel_Channel="All",E2486=sel_Channel),OR(sel_Customer="All",F2486=sel_Customer),OR(sel_Category="All",G2486=sel_Category),AND(S2486&gt;=m_From,S2486&lt;=m_To)),1,0)</f>
        <v/>
      </c>
      <c r="AA2486" s="36">
        <f>IF(AND(OR(sel_Region="All",C2486=sel_Region),OR(sel_Country="All",D2486=sel_Country),OR(sel_Channel="All",E2486=sel_Channel),OR(sel_Customer="All",F2486=sel_Customer),OR(sel_Category="All",G2486=sel_Category),OR(sel_Product="All",H2486=sel_Product)),1,0)</f>
        <v/>
      </c>
    </row>
    <row r="2487">
      <c r="A2487" s="36" t="inlineStr">
        <is>
          <t>00630</t>
        </is>
      </c>
      <c r="B2487" s="44" t="n">
        <v>46356</v>
      </c>
      <c r="C2487" s="36" t="inlineStr">
        <is>
          <t>Western Europe</t>
        </is>
      </c>
      <c r="D2487" s="36" t="inlineStr">
        <is>
          <t>United Kingdom</t>
        </is>
      </c>
      <c r="E2487" s="36" t="inlineStr">
        <is>
          <t>Online Store</t>
        </is>
      </c>
      <c r="F2487" s="36" t="inlineStr">
        <is>
          <t>Business</t>
        </is>
      </c>
      <c r="G2487" s="36" t="inlineStr">
        <is>
          <t>Cycling</t>
        </is>
      </c>
      <c r="H2487" s="36" t="inlineStr">
        <is>
          <t>Compact Repair Kit</t>
        </is>
      </c>
      <c r="I2487" s="36" t="n">
        <v>3</v>
      </c>
      <c r="J2487" s="39" t="n">
        <v>41.07</v>
      </c>
      <c r="K2487" s="45" t="n">
        <v>0.1</v>
      </c>
      <c r="L2487" s="39" t="n">
        <v>16.86</v>
      </c>
      <c r="M2487" s="39">
        <f>I2487*J2487*(1-K2487)</f>
        <v/>
      </c>
      <c r="N2487" s="39">
        <f>I2487*L2487</f>
        <v/>
      </c>
      <c r="O2487" s="39">
        <f>M2487-N2487</f>
        <v/>
      </c>
      <c r="P2487" s="38">
        <f>IF(M2487=0,0,O2487/M2487)</f>
        <v/>
      </c>
      <c r="Q2487" s="36">
        <f>YEAR(B2487)</f>
        <v/>
      </c>
      <c r="R2487" s="36">
        <f>"Q"&amp;ROUNDUP(MONTH(B2487)/3,0)</f>
        <v/>
      </c>
      <c r="S2487" s="36">
        <f>MONTH(B2487)</f>
        <v/>
      </c>
      <c r="T2487" s="36">
        <f>TEXT(B2487,"mmm")</f>
        <v/>
      </c>
      <c r="U2487" s="36">
        <f>IF(AND(OR(sel_Region="All",C2487=sel_Region),OR(sel_Country="All",D2487=sel_Country),OR(sel_Channel="All",E2487=sel_Channel),OR(sel_Customer="All",F2487=sel_Customer),OR(sel_Category="All",G2487=sel_Category),OR(sel_Product="All",H2487=sel_Product),AND(S2487&gt;=m_From,S2487&lt;=m_To)),1,0)</f>
        <v/>
      </c>
      <c r="V2487" s="36">
        <f>IF(AND(OR(sel_Region="All",C2487=sel_Region),OR(sel_Channel="All",E2487=sel_Channel),OR(sel_Customer="All",F2487=sel_Customer),OR(sel_Category="All",G2487=sel_Category),OR(sel_Product="All",H2487=sel_Product),AND(S2487&gt;=m_From,S2487&lt;=m_To)),1,0)</f>
        <v/>
      </c>
      <c r="W2487" s="36">
        <f>IF(AND(OR(sel_Region="All",C2487=sel_Region),OR(sel_Country="All",D2487=sel_Country),OR(sel_Customer="All",F2487=sel_Customer),OR(sel_Category="All",G2487=sel_Category),OR(sel_Product="All",H2487=sel_Product),AND(S2487&gt;=m_From,S2487&lt;=m_To)),1,0)</f>
        <v/>
      </c>
      <c r="X2487" s="36">
        <f>IF(AND(OR(sel_Region="All",C2487=sel_Region),OR(sel_Country="All",D2487=sel_Country),OR(sel_Channel="All",E2487=sel_Channel),OR(sel_Category="All",G2487=sel_Category),OR(sel_Product="All",H2487=sel_Product),AND(S2487&gt;=m_From,S2487&lt;=m_To)),1,0)</f>
        <v/>
      </c>
      <c r="Y2487" s="36">
        <f>IF(AND(OR(sel_Region="All",C2487=sel_Region),OR(sel_Country="All",D2487=sel_Country),OR(sel_Channel="All",E2487=sel_Channel),OR(sel_Customer="All",F2487=sel_Customer),OR(sel_Product="All",H2487=sel_Product),AND(S2487&gt;=m_From,S2487&lt;=m_To)),1,0)</f>
        <v/>
      </c>
      <c r="Z2487" s="36">
        <f>IF(AND(OR(sel_Region="All",C2487=sel_Region),OR(sel_Country="All",D2487=sel_Country),OR(sel_Channel="All",E2487=sel_Channel),OR(sel_Customer="All",F2487=sel_Customer),OR(sel_Category="All",G2487=sel_Category),AND(S2487&gt;=m_From,S2487&lt;=m_To)),1,0)</f>
        <v/>
      </c>
      <c r="AA2487" s="36">
        <f>IF(AND(OR(sel_Region="All",C2487=sel_Region),OR(sel_Country="All",D2487=sel_Country),OR(sel_Channel="All",E2487=sel_Channel),OR(sel_Customer="All",F2487=sel_Customer),OR(sel_Category="All",G2487=sel_Category),OR(sel_Product="All",H2487=sel_Product)),1,0)</f>
        <v/>
      </c>
    </row>
    <row r="2488">
      <c r="A2488" s="36" t="inlineStr">
        <is>
          <t>01789</t>
        </is>
      </c>
      <c r="B2488" s="44" t="n">
        <v>46356</v>
      </c>
      <c r="C2488" s="36" t="inlineStr">
        <is>
          <t>Central Europe</t>
        </is>
      </c>
      <c r="D2488" s="36" t="inlineStr">
        <is>
          <t>Germany</t>
        </is>
      </c>
      <c r="E2488" s="36" t="inlineStr">
        <is>
          <t>Online Store</t>
        </is>
      </c>
      <c r="F2488" s="36" t="inlineStr">
        <is>
          <t>New</t>
        </is>
      </c>
      <c r="G2488" s="36" t="inlineStr">
        <is>
          <t>Hiking</t>
        </is>
      </c>
      <c r="H2488" s="36" t="inlineStr">
        <is>
          <t>Summit Backpack 45L</t>
        </is>
      </c>
      <c r="I2488" s="36" t="n">
        <v>2</v>
      </c>
      <c r="J2488" s="39" t="n">
        <v>151.49</v>
      </c>
      <c r="K2488" s="45" t="n">
        <v>0.1</v>
      </c>
      <c r="L2488" s="39" t="n">
        <v>81.39</v>
      </c>
      <c r="M2488" s="39">
        <f>I2488*J2488*(1-K2488)</f>
        <v/>
      </c>
      <c r="N2488" s="39">
        <f>I2488*L2488</f>
        <v/>
      </c>
      <c r="O2488" s="39">
        <f>M2488-N2488</f>
        <v/>
      </c>
      <c r="P2488" s="38">
        <f>IF(M2488=0,0,O2488/M2488)</f>
        <v/>
      </c>
      <c r="Q2488" s="36">
        <f>YEAR(B2488)</f>
        <v/>
      </c>
      <c r="R2488" s="36">
        <f>"Q"&amp;ROUNDUP(MONTH(B2488)/3,0)</f>
        <v/>
      </c>
      <c r="S2488" s="36">
        <f>MONTH(B2488)</f>
        <v/>
      </c>
      <c r="T2488" s="36">
        <f>TEXT(B2488,"mmm")</f>
        <v/>
      </c>
      <c r="U2488" s="36">
        <f>IF(AND(OR(sel_Region="All",C2488=sel_Region),OR(sel_Country="All",D2488=sel_Country),OR(sel_Channel="All",E2488=sel_Channel),OR(sel_Customer="All",F2488=sel_Customer),OR(sel_Category="All",G2488=sel_Category),OR(sel_Product="All",H2488=sel_Product),AND(S2488&gt;=m_From,S2488&lt;=m_To)),1,0)</f>
        <v/>
      </c>
      <c r="V2488" s="36">
        <f>IF(AND(OR(sel_Region="All",C2488=sel_Region),OR(sel_Channel="All",E2488=sel_Channel),OR(sel_Customer="All",F2488=sel_Customer),OR(sel_Category="All",G2488=sel_Category),OR(sel_Product="All",H2488=sel_Product),AND(S2488&gt;=m_From,S2488&lt;=m_To)),1,0)</f>
        <v/>
      </c>
      <c r="W2488" s="36">
        <f>IF(AND(OR(sel_Region="All",C2488=sel_Region),OR(sel_Country="All",D2488=sel_Country),OR(sel_Customer="All",F2488=sel_Customer),OR(sel_Category="All",G2488=sel_Category),OR(sel_Product="All",H2488=sel_Product),AND(S2488&gt;=m_From,S2488&lt;=m_To)),1,0)</f>
        <v/>
      </c>
      <c r="X2488" s="36">
        <f>IF(AND(OR(sel_Region="All",C2488=sel_Region),OR(sel_Country="All",D2488=sel_Country),OR(sel_Channel="All",E2488=sel_Channel),OR(sel_Category="All",G2488=sel_Category),OR(sel_Product="All",H2488=sel_Product),AND(S2488&gt;=m_From,S2488&lt;=m_To)),1,0)</f>
        <v/>
      </c>
      <c r="Y2488" s="36">
        <f>IF(AND(OR(sel_Region="All",C2488=sel_Region),OR(sel_Country="All",D2488=sel_Country),OR(sel_Channel="All",E2488=sel_Channel),OR(sel_Customer="All",F2488=sel_Customer),OR(sel_Product="All",H2488=sel_Product),AND(S2488&gt;=m_From,S2488&lt;=m_To)),1,0)</f>
        <v/>
      </c>
      <c r="Z2488" s="36">
        <f>IF(AND(OR(sel_Region="All",C2488=sel_Region),OR(sel_Country="All",D2488=sel_Country),OR(sel_Channel="All",E2488=sel_Channel),OR(sel_Customer="All",F2488=sel_Customer),OR(sel_Category="All",G2488=sel_Category),AND(S2488&gt;=m_From,S2488&lt;=m_To)),1,0)</f>
        <v/>
      </c>
      <c r="AA2488" s="36">
        <f>IF(AND(OR(sel_Region="All",C2488=sel_Region),OR(sel_Country="All",D2488=sel_Country),OR(sel_Channel="All",E2488=sel_Channel),OR(sel_Customer="All",F2488=sel_Customer),OR(sel_Category="All",G2488=sel_Category),OR(sel_Product="All",H2488=sel_Product)),1,0)</f>
        <v/>
      </c>
    </row>
    <row r="2489">
      <c r="A2489" s="36" t="inlineStr">
        <is>
          <t>01947</t>
        </is>
      </c>
      <c r="B2489" s="44" t="n">
        <v>46356</v>
      </c>
      <c r="C2489" s="36" t="inlineStr">
        <is>
          <t>Southern Europe</t>
        </is>
      </c>
      <c r="D2489" s="36" t="inlineStr">
        <is>
          <t>Spain</t>
        </is>
      </c>
      <c r="E2489" s="36" t="inlineStr">
        <is>
          <t>Retail Partners</t>
        </is>
      </c>
      <c r="F2489" s="36" t="inlineStr">
        <is>
          <t>Business</t>
        </is>
      </c>
      <c r="G2489" s="36" t="inlineStr">
        <is>
          <t>Fitness</t>
        </is>
      </c>
      <c r="H2489" s="36" t="inlineStr">
        <is>
          <t>Recovery Roller</t>
        </is>
      </c>
      <c r="I2489" s="36" t="n">
        <v>1</v>
      </c>
      <c r="J2489" s="39" t="n">
        <v>35.73</v>
      </c>
      <c r="K2489" s="45" t="n">
        <v>0.2</v>
      </c>
      <c r="L2489" s="39" t="n">
        <v>14.33</v>
      </c>
      <c r="M2489" s="39">
        <f>I2489*J2489*(1-K2489)</f>
        <v/>
      </c>
      <c r="N2489" s="39">
        <f>I2489*L2489</f>
        <v/>
      </c>
      <c r="O2489" s="39">
        <f>M2489-N2489</f>
        <v/>
      </c>
      <c r="P2489" s="38">
        <f>IF(M2489=0,0,O2489/M2489)</f>
        <v/>
      </c>
      <c r="Q2489" s="36">
        <f>YEAR(B2489)</f>
        <v/>
      </c>
      <c r="R2489" s="36">
        <f>"Q"&amp;ROUNDUP(MONTH(B2489)/3,0)</f>
        <v/>
      </c>
      <c r="S2489" s="36">
        <f>MONTH(B2489)</f>
        <v/>
      </c>
      <c r="T2489" s="36">
        <f>TEXT(B2489,"mmm")</f>
        <v/>
      </c>
      <c r="U2489" s="36">
        <f>IF(AND(OR(sel_Region="All",C2489=sel_Region),OR(sel_Country="All",D2489=sel_Country),OR(sel_Channel="All",E2489=sel_Channel),OR(sel_Customer="All",F2489=sel_Customer),OR(sel_Category="All",G2489=sel_Category),OR(sel_Product="All",H2489=sel_Product),AND(S2489&gt;=m_From,S2489&lt;=m_To)),1,0)</f>
        <v/>
      </c>
      <c r="V2489" s="36">
        <f>IF(AND(OR(sel_Region="All",C2489=sel_Region),OR(sel_Channel="All",E2489=sel_Channel),OR(sel_Customer="All",F2489=sel_Customer),OR(sel_Category="All",G2489=sel_Category),OR(sel_Product="All",H2489=sel_Product),AND(S2489&gt;=m_From,S2489&lt;=m_To)),1,0)</f>
        <v/>
      </c>
      <c r="W2489" s="36">
        <f>IF(AND(OR(sel_Region="All",C2489=sel_Region),OR(sel_Country="All",D2489=sel_Country),OR(sel_Customer="All",F2489=sel_Customer),OR(sel_Category="All",G2489=sel_Category),OR(sel_Product="All",H2489=sel_Product),AND(S2489&gt;=m_From,S2489&lt;=m_To)),1,0)</f>
        <v/>
      </c>
      <c r="X2489" s="36">
        <f>IF(AND(OR(sel_Region="All",C2489=sel_Region),OR(sel_Country="All",D2489=sel_Country),OR(sel_Channel="All",E2489=sel_Channel),OR(sel_Category="All",G2489=sel_Category),OR(sel_Product="All",H2489=sel_Product),AND(S2489&gt;=m_From,S2489&lt;=m_To)),1,0)</f>
        <v/>
      </c>
      <c r="Y2489" s="36">
        <f>IF(AND(OR(sel_Region="All",C2489=sel_Region),OR(sel_Country="All",D2489=sel_Country),OR(sel_Channel="All",E2489=sel_Channel),OR(sel_Customer="All",F2489=sel_Customer),OR(sel_Product="All",H2489=sel_Product),AND(S2489&gt;=m_From,S2489&lt;=m_To)),1,0)</f>
        <v/>
      </c>
      <c r="Z2489" s="36">
        <f>IF(AND(OR(sel_Region="All",C2489=sel_Region),OR(sel_Country="All",D2489=sel_Country),OR(sel_Channel="All",E2489=sel_Channel),OR(sel_Customer="All",F2489=sel_Customer),OR(sel_Category="All",G2489=sel_Category),AND(S2489&gt;=m_From,S2489&lt;=m_To)),1,0)</f>
        <v/>
      </c>
      <c r="AA2489" s="36">
        <f>IF(AND(OR(sel_Region="All",C2489=sel_Region),OR(sel_Country="All",D2489=sel_Country),OR(sel_Channel="All",E2489=sel_Channel),OR(sel_Customer="All",F2489=sel_Customer),OR(sel_Category="All",G2489=sel_Category),OR(sel_Product="All",H2489=sel_Product)),1,0)</f>
        <v/>
      </c>
    </row>
    <row r="2490">
      <c r="A2490" s="36" t="inlineStr">
        <is>
          <t>02279</t>
        </is>
      </c>
      <c r="B2490" s="44" t="n">
        <v>46356</v>
      </c>
      <c r="C2490" s="36" t="inlineStr">
        <is>
          <t>Southern Europe</t>
        </is>
      </c>
      <c r="D2490" s="36" t="inlineStr">
        <is>
          <t>Spain</t>
        </is>
      </c>
      <c r="E2490" s="36" t="inlineStr">
        <is>
          <t>Retail Partners</t>
        </is>
      </c>
      <c r="F2490" s="36" t="inlineStr">
        <is>
          <t>Returning</t>
        </is>
      </c>
      <c r="G2490" s="36" t="inlineStr">
        <is>
          <t>Cycling</t>
        </is>
      </c>
      <c r="H2490" s="36" t="inlineStr">
        <is>
          <t>Trail Bike Light</t>
        </is>
      </c>
      <c r="I2490" s="36" t="n">
        <v>2</v>
      </c>
      <c r="J2490" s="39" t="n">
        <v>50.38</v>
      </c>
      <c r="K2490" s="45" t="n">
        <v>0.1</v>
      </c>
      <c r="L2490" s="39" t="n">
        <v>22.41</v>
      </c>
      <c r="M2490" s="39">
        <f>I2490*J2490*(1-K2490)</f>
        <v/>
      </c>
      <c r="N2490" s="39">
        <f>I2490*L2490</f>
        <v/>
      </c>
      <c r="O2490" s="39">
        <f>M2490-N2490</f>
        <v/>
      </c>
      <c r="P2490" s="38">
        <f>IF(M2490=0,0,O2490/M2490)</f>
        <v/>
      </c>
      <c r="Q2490" s="36">
        <f>YEAR(B2490)</f>
        <v/>
      </c>
      <c r="R2490" s="36">
        <f>"Q"&amp;ROUNDUP(MONTH(B2490)/3,0)</f>
        <v/>
      </c>
      <c r="S2490" s="36">
        <f>MONTH(B2490)</f>
        <v/>
      </c>
      <c r="T2490" s="36">
        <f>TEXT(B2490,"mmm")</f>
        <v/>
      </c>
      <c r="U2490" s="36">
        <f>IF(AND(OR(sel_Region="All",C2490=sel_Region),OR(sel_Country="All",D2490=sel_Country),OR(sel_Channel="All",E2490=sel_Channel),OR(sel_Customer="All",F2490=sel_Customer),OR(sel_Category="All",G2490=sel_Category),OR(sel_Product="All",H2490=sel_Product),AND(S2490&gt;=m_From,S2490&lt;=m_To)),1,0)</f>
        <v/>
      </c>
      <c r="V2490" s="36">
        <f>IF(AND(OR(sel_Region="All",C2490=sel_Region),OR(sel_Channel="All",E2490=sel_Channel),OR(sel_Customer="All",F2490=sel_Customer),OR(sel_Category="All",G2490=sel_Category),OR(sel_Product="All",H2490=sel_Product),AND(S2490&gt;=m_From,S2490&lt;=m_To)),1,0)</f>
        <v/>
      </c>
      <c r="W2490" s="36">
        <f>IF(AND(OR(sel_Region="All",C2490=sel_Region),OR(sel_Country="All",D2490=sel_Country),OR(sel_Customer="All",F2490=sel_Customer),OR(sel_Category="All",G2490=sel_Category),OR(sel_Product="All",H2490=sel_Product),AND(S2490&gt;=m_From,S2490&lt;=m_To)),1,0)</f>
        <v/>
      </c>
      <c r="X2490" s="36">
        <f>IF(AND(OR(sel_Region="All",C2490=sel_Region),OR(sel_Country="All",D2490=sel_Country),OR(sel_Channel="All",E2490=sel_Channel),OR(sel_Category="All",G2490=sel_Category),OR(sel_Product="All",H2490=sel_Product),AND(S2490&gt;=m_From,S2490&lt;=m_To)),1,0)</f>
        <v/>
      </c>
      <c r="Y2490" s="36">
        <f>IF(AND(OR(sel_Region="All",C2490=sel_Region),OR(sel_Country="All",D2490=sel_Country),OR(sel_Channel="All",E2490=sel_Channel),OR(sel_Customer="All",F2490=sel_Customer),OR(sel_Product="All",H2490=sel_Product),AND(S2490&gt;=m_From,S2490&lt;=m_To)),1,0)</f>
        <v/>
      </c>
      <c r="Z2490" s="36">
        <f>IF(AND(OR(sel_Region="All",C2490=sel_Region),OR(sel_Country="All",D2490=sel_Country),OR(sel_Channel="All",E2490=sel_Channel),OR(sel_Customer="All",F2490=sel_Customer),OR(sel_Category="All",G2490=sel_Category),AND(S2490&gt;=m_From,S2490&lt;=m_To)),1,0)</f>
        <v/>
      </c>
      <c r="AA2490" s="36">
        <f>IF(AND(OR(sel_Region="All",C2490=sel_Region),OR(sel_Country="All",D2490=sel_Country),OR(sel_Channel="All",E2490=sel_Channel),OR(sel_Customer="All",F2490=sel_Customer),OR(sel_Category="All",G2490=sel_Category),OR(sel_Product="All",H2490=sel_Product)),1,0)</f>
        <v/>
      </c>
    </row>
    <row r="2491">
      <c r="A2491" s="36" t="inlineStr">
        <is>
          <t>02439</t>
        </is>
      </c>
      <c r="B2491" s="44" t="n">
        <v>46356</v>
      </c>
      <c r="C2491" s="36" t="inlineStr">
        <is>
          <t>Southern Europe</t>
        </is>
      </c>
      <c r="D2491" s="36" t="inlineStr">
        <is>
          <t>Portugal</t>
        </is>
      </c>
      <c r="E2491" s="36" t="inlineStr">
        <is>
          <t>Online Store</t>
        </is>
      </c>
      <c r="F2491" s="36" t="inlineStr">
        <is>
          <t>Business</t>
        </is>
      </c>
      <c r="G2491" s="36" t="inlineStr">
        <is>
          <t>Fitness</t>
        </is>
      </c>
      <c r="H2491" s="36" t="inlineStr">
        <is>
          <t>Recovery Roller</t>
        </is>
      </c>
      <c r="I2491" s="36" t="n">
        <v>1</v>
      </c>
      <c r="J2491" s="39" t="n">
        <v>35.67</v>
      </c>
      <c r="K2491" s="45" t="n">
        <v>0.1</v>
      </c>
      <c r="L2491" s="39" t="n">
        <v>13.81</v>
      </c>
      <c r="M2491" s="39">
        <f>I2491*J2491*(1-K2491)</f>
        <v/>
      </c>
      <c r="N2491" s="39">
        <f>I2491*L2491</f>
        <v/>
      </c>
      <c r="O2491" s="39">
        <f>M2491-N2491</f>
        <v/>
      </c>
      <c r="P2491" s="38">
        <f>IF(M2491=0,0,O2491/M2491)</f>
        <v/>
      </c>
      <c r="Q2491" s="36">
        <f>YEAR(B2491)</f>
        <v/>
      </c>
      <c r="R2491" s="36">
        <f>"Q"&amp;ROUNDUP(MONTH(B2491)/3,0)</f>
        <v/>
      </c>
      <c r="S2491" s="36">
        <f>MONTH(B2491)</f>
        <v/>
      </c>
      <c r="T2491" s="36">
        <f>TEXT(B2491,"mmm")</f>
        <v/>
      </c>
      <c r="U2491" s="36">
        <f>IF(AND(OR(sel_Region="All",C2491=sel_Region),OR(sel_Country="All",D2491=sel_Country),OR(sel_Channel="All",E2491=sel_Channel),OR(sel_Customer="All",F2491=sel_Customer),OR(sel_Category="All",G2491=sel_Category),OR(sel_Product="All",H2491=sel_Product),AND(S2491&gt;=m_From,S2491&lt;=m_To)),1,0)</f>
        <v/>
      </c>
      <c r="V2491" s="36">
        <f>IF(AND(OR(sel_Region="All",C2491=sel_Region),OR(sel_Channel="All",E2491=sel_Channel),OR(sel_Customer="All",F2491=sel_Customer),OR(sel_Category="All",G2491=sel_Category),OR(sel_Product="All",H2491=sel_Product),AND(S2491&gt;=m_From,S2491&lt;=m_To)),1,0)</f>
        <v/>
      </c>
      <c r="W2491" s="36">
        <f>IF(AND(OR(sel_Region="All",C2491=sel_Region),OR(sel_Country="All",D2491=sel_Country),OR(sel_Customer="All",F2491=sel_Customer),OR(sel_Category="All",G2491=sel_Category),OR(sel_Product="All",H2491=sel_Product),AND(S2491&gt;=m_From,S2491&lt;=m_To)),1,0)</f>
        <v/>
      </c>
      <c r="X2491" s="36">
        <f>IF(AND(OR(sel_Region="All",C2491=sel_Region),OR(sel_Country="All",D2491=sel_Country),OR(sel_Channel="All",E2491=sel_Channel),OR(sel_Category="All",G2491=sel_Category),OR(sel_Product="All",H2491=sel_Product),AND(S2491&gt;=m_From,S2491&lt;=m_To)),1,0)</f>
        <v/>
      </c>
      <c r="Y2491" s="36">
        <f>IF(AND(OR(sel_Region="All",C2491=sel_Region),OR(sel_Country="All",D2491=sel_Country),OR(sel_Channel="All",E2491=sel_Channel),OR(sel_Customer="All",F2491=sel_Customer),OR(sel_Product="All",H2491=sel_Product),AND(S2491&gt;=m_From,S2491&lt;=m_To)),1,0)</f>
        <v/>
      </c>
      <c r="Z2491" s="36">
        <f>IF(AND(OR(sel_Region="All",C2491=sel_Region),OR(sel_Country="All",D2491=sel_Country),OR(sel_Channel="All",E2491=sel_Channel),OR(sel_Customer="All",F2491=sel_Customer),OR(sel_Category="All",G2491=sel_Category),AND(S2491&gt;=m_From,S2491&lt;=m_To)),1,0)</f>
        <v/>
      </c>
      <c r="AA2491" s="36">
        <f>IF(AND(OR(sel_Region="All",C2491=sel_Region),OR(sel_Country="All",D2491=sel_Country),OR(sel_Channel="All",E2491=sel_Channel),OR(sel_Customer="All",F2491=sel_Customer),OR(sel_Category="All",G2491=sel_Category),OR(sel_Product="All",H2491=sel_Product)),1,0)</f>
        <v/>
      </c>
    </row>
    <row r="2492">
      <c r="A2492" s="36" t="inlineStr">
        <is>
          <t>02540</t>
        </is>
      </c>
      <c r="B2492" s="44" t="n">
        <v>46356</v>
      </c>
      <c r="C2492" s="36" t="inlineStr">
        <is>
          <t>Central Europe</t>
        </is>
      </c>
      <c r="D2492" s="36" t="inlineStr">
        <is>
          <t>Poland</t>
        </is>
      </c>
      <c r="E2492" s="36" t="inlineStr">
        <is>
          <t>Corporate</t>
        </is>
      </c>
      <c r="F2492" s="36" t="inlineStr">
        <is>
          <t>Business</t>
        </is>
      </c>
      <c r="G2492" s="36" t="inlineStr">
        <is>
          <t>Camping</t>
        </is>
      </c>
      <c r="H2492" s="36" t="inlineStr">
        <is>
          <t>Portable Camp Stove</t>
        </is>
      </c>
      <c r="I2492" s="36" t="n">
        <v>12</v>
      </c>
      <c r="J2492" s="39" t="n">
        <v>81.15000000000001</v>
      </c>
      <c r="K2492" s="45" t="n">
        <v>0.15</v>
      </c>
      <c r="L2492" s="39" t="n">
        <v>39.59</v>
      </c>
      <c r="M2492" s="39">
        <f>I2492*J2492*(1-K2492)</f>
        <v/>
      </c>
      <c r="N2492" s="39">
        <f>I2492*L2492</f>
        <v/>
      </c>
      <c r="O2492" s="39">
        <f>M2492-N2492</f>
        <v/>
      </c>
      <c r="P2492" s="38">
        <f>IF(M2492=0,0,O2492/M2492)</f>
        <v/>
      </c>
      <c r="Q2492" s="36">
        <f>YEAR(B2492)</f>
        <v/>
      </c>
      <c r="R2492" s="36">
        <f>"Q"&amp;ROUNDUP(MONTH(B2492)/3,0)</f>
        <v/>
      </c>
      <c r="S2492" s="36">
        <f>MONTH(B2492)</f>
        <v/>
      </c>
      <c r="T2492" s="36">
        <f>TEXT(B2492,"mmm")</f>
        <v/>
      </c>
      <c r="U2492" s="36">
        <f>IF(AND(OR(sel_Region="All",C2492=sel_Region),OR(sel_Country="All",D2492=sel_Country),OR(sel_Channel="All",E2492=sel_Channel),OR(sel_Customer="All",F2492=sel_Customer),OR(sel_Category="All",G2492=sel_Category),OR(sel_Product="All",H2492=sel_Product),AND(S2492&gt;=m_From,S2492&lt;=m_To)),1,0)</f>
        <v/>
      </c>
      <c r="V2492" s="36">
        <f>IF(AND(OR(sel_Region="All",C2492=sel_Region),OR(sel_Channel="All",E2492=sel_Channel),OR(sel_Customer="All",F2492=sel_Customer),OR(sel_Category="All",G2492=sel_Category),OR(sel_Product="All",H2492=sel_Product),AND(S2492&gt;=m_From,S2492&lt;=m_To)),1,0)</f>
        <v/>
      </c>
      <c r="W2492" s="36">
        <f>IF(AND(OR(sel_Region="All",C2492=sel_Region),OR(sel_Country="All",D2492=sel_Country),OR(sel_Customer="All",F2492=sel_Customer),OR(sel_Category="All",G2492=sel_Category),OR(sel_Product="All",H2492=sel_Product),AND(S2492&gt;=m_From,S2492&lt;=m_To)),1,0)</f>
        <v/>
      </c>
      <c r="X2492" s="36">
        <f>IF(AND(OR(sel_Region="All",C2492=sel_Region),OR(sel_Country="All",D2492=sel_Country),OR(sel_Channel="All",E2492=sel_Channel),OR(sel_Category="All",G2492=sel_Category),OR(sel_Product="All",H2492=sel_Product),AND(S2492&gt;=m_From,S2492&lt;=m_To)),1,0)</f>
        <v/>
      </c>
      <c r="Y2492" s="36">
        <f>IF(AND(OR(sel_Region="All",C2492=sel_Region),OR(sel_Country="All",D2492=sel_Country),OR(sel_Channel="All",E2492=sel_Channel),OR(sel_Customer="All",F2492=sel_Customer),OR(sel_Product="All",H2492=sel_Product),AND(S2492&gt;=m_From,S2492&lt;=m_To)),1,0)</f>
        <v/>
      </c>
      <c r="Z2492" s="36">
        <f>IF(AND(OR(sel_Region="All",C2492=sel_Region),OR(sel_Country="All",D2492=sel_Country),OR(sel_Channel="All",E2492=sel_Channel),OR(sel_Customer="All",F2492=sel_Customer),OR(sel_Category="All",G2492=sel_Category),AND(S2492&gt;=m_From,S2492&lt;=m_To)),1,0)</f>
        <v/>
      </c>
      <c r="AA2492" s="36">
        <f>IF(AND(OR(sel_Region="All",C2492=sel_Region),OR(sel_Country="All",D2492=sel_Country),OR(sel_Channel="All",E2492=sel_Channel),OR(sel_Customer="All",F2492=sel_Customer),OR(sel_Category="All",G2492=sel_Category),OR(sel_Product="All",H2492=sel_Product)),1,0)</f>
        <v/>
      </c>
    </row>
    <row r="2493">
      <c r="A2493" s="36" t="inlineStr">
        <is>
          <t>02747</t>
        </is>
      </c>
      <c r="B2493" s="44" t="n">
        <v>46356</v>
      </c>
      <c r="C2493" s="36" t="inlineStr">
        <is>
          <t>Southern Europe</t>
        </is>
      </c>
      <c r="D2493" s="36" t="inlineStr">
        <is>
          <t>Italy</t>
        </is>
      </c>
      <c r="E2493" s="36" t="inlineStr">
        <is>
          <t>Retail Partners</t>
        </is>
      </c>
      <c r="F2493" s="36" t="inlineStr">
        <is>
          <t>Returning</t>
        </is>
      </c>
      <c r="G2493" s="36" t="inlineStr">
        <is>
          <t>Camping</t>
        </is>
      </c>
      <c r="H2493" s="36" t="inlineStr">
        <is>
          <t>Trail Tent 2P</t>
        </is>
      </c>
      <c r="I2493" s="36" t="n">
        <v>1</v>
      </c>
      <c r="J2493" s="39" t="n">
        <v>194.73</v>
      </c>
      <c r="K2493" s="45" t="n">
        <v>0</v>
      </c>
      <c r="L2493" s="39" t="n">
        <v>104.48</v>
      </c>
      <c r="M2493" s="39">
        <f>I2493*J2493*(1-K2493)</f>
        <v/>
      </c>
      <c r="N2493" s="39">
        <f>I2493*L2493</f>
        <v/>
      </c>
      <c r="O2493" s="39">
        <f>M2493-N2493</f>
        <v/>
      </c>
      <c r="P2493" s="38">
        <f>IF(M2493=0,0,O2493/M2493)</f>
        <v/>
      </c>
      <c r="Q2493" s="36">
        <f>YEAR(B2493)</f>
        <v/>
      </c>
      <c r="R2493" s="36">
        <f>"Q"&amp;ROUNDUP(MONTH(B2493)/3,0)</f>
        <v/>
      </c>
      <c r="S2493" s="36">
        <f>MONTH(B2493)</f>
        <v/>
      </c>
      <c r="T2493" s="36">
        <f>TEXT(B2493,"mmm")</f>
        <v/>
      </c>
      <c r="U2493" s="36">
        <f>IF(AND(OR(sel_Region="All",C2493=sel_Region),OR(sel_Country="All",D2493=sel_Country),OR(sel_Channel="All",E2493=sel_Channel),OR(sel_Customer="All",F2493=sel_Customer),OR(sel_Category="All",G2493=sel_Category),OR(sel_Product="All",H2493=sel_Product),AND(S2493&gt;=m_From,S2493&lt;=m_To)),1,0)</f>
        <v/>
      </c>
      <c r="V2493" s="36">
        <f>IF(AND(OR(sel_Region="All",C2493=sel_Region),OR(sel_Channel="All",E2493=sel_Channel),OR(sel_Customer="All",F2493=sel_Customer),OR(sel_Category="All",G2493=sel_Category),OR(sel_Product="All",H2493=sel_Product),AND(S2493&gt;=m_From,S2493&lt;=m_To)),1,0)</f>
        <v/>
      </c>
      <c r="W2493" s="36">
        <f>IF(AND(OR(sel_Region="All",C2493=sel_Region),OR(sel_Country="All",D2493=sel_Country),OR(sel_Customer="All",F2493=sel_Customer),OR(sel_Category="All",G2493=sel_Category),OR(sel_Product="All",H2493=sel_Product),AND(S2493&gt;=m_From,S2493&lt;=m_To)),1,0)</f>
        <v/>
      </c>
      <c r="X2493" s="36">
        <f>IF(AND(OR(sel_Region="All",C2493=sel_Region),OR(sel_Country="All",D2493=sel_Country),OR(sel_Channel="All",E2493=sel_Channel),OR(sel_Category="All",G2493=sel_Category),OR(sel_Product="All",H2493=sel_Product),AND(S2493&gt;=m_From,S2493&lt;=m_To)),1,0)</f>
        <v/>
      </c>
      <c r="Y2493" s="36">
        <f>IF(AND(OR(sel_Region="All",C2493=sel_Region),OR(sel_Country="All",D2493=sel_Country),OR(sel_Channel="All",E2493=sel_Channel),OR(sel_Customer="All",F2493=sel_Customer),OR(sel_Product="All",H2493=sel_Product),AND(S2493&gt;=m_From,S2493&lt;=m_To)),1,0)</f>
        <v/>
      </c>
      <c r="Z2493" s="36">
        <f>IF(AND(OR(sel_Region="All",C2493=sel_Region),OR(sel_Country="All",D2493=sel_Country),OR(sel_Channel="All",E2493=sel_Channel),OR(sel_Customer="All",F2493=sel_Customer),OR(sel_Category="All",G2493=sel_Category),AND(S2493&gt;=m_From,S2493&lt;=m_To)),1,0)</f>
        <v/>
      </c>
      <c r="AA2493" s="36">
        <f>IF(AND(OR(sel_Region="All",C2493=sel_Region),OR(sel_Country="All",D2493=sel_Country),OR(sel_Channel="All",E2493=sel_Channel),OR(sel_Customer="All",F2493=sel_Customer),OR(sel_Category="All",G2493=sel_Category),OR(sel_Product="All",H2493=sel_Product)),1,0)</f>
        <v/>
      </c>
    </row>
    <row r="2494">
      <c r="A2494" s="36" t="inlineStr">
        <is>
          <t>03094</t>
        </is>
      </c>
      <c r="B2494" s="44" t="n">
        <v>46356</v>
      </c>
      <c r="C2494" s="36" t="inlineStr">
        <is>
          <t>Central Europe</t>
        </is>
      </c>
      <c r="D2494" s="36" t="inlineStr">
        <is>
          <t>Czechia</t>
        </is>
      </c>
      <c r="E2494" s="36" t="inlineStr">
        <is>
          <t>Marketplace</t>
        </is>
      </c>
      <c r="F2494" s="36" t="inlineStr">
        <is>
          <t>Business</t>
        </is>
      </c>
      <c r="G2494" s="36" t="inlineStr">
        <is>
          <t>Camping</t>
        </is>
      </c>
      <c r="H2494" s="36" t="inlineStr">
        <is>
          <t>Compact Sleeping Bag</t>
        </is>
      </c>
      <c r="I2494" s="36" t="n">
        <v>2</v>
      </c>
      <c r="J2494" s="39" t="n">
        <v>122.18</v>
      </c>
      <c r="K2494" s="45" t="n">
        <v>0.15</v>
      </c>
      <c r="L2494" s="39" t="n">
        <v>61.3</v>
      </c>
      <c r="M2494" s="39">
        <f>I2494*J2494*(1-K2494)</f>
        <v/>
      </c>
      <c r="N2494" s="39">
        <f>I2494*L2494</f>
        <v/>
      </c>
      <c r="O2494" s="39">
        <f>M2494-N2494</f>
        <v/>
      </c>
      <c r="P2494" s="38">
        <f>IF(M2494=0,0,O2494/M2494)</f>
        <v/>
      </c>
      <c r="Q2494" s="36">
        <f>YEAR(B2494)</f>
        <v/>
      </c>
      <c r="R2494" s="36">
        <f>"Q"&amp;ROUNDUP(MONTH(B2494)/3,0)</f>
        <v/>
      </c>
      <c r="S2494" s="36">
        <f>MONTH(B2494)</f>
        <v/>
      </c>
      <c r="T2494" s="36">
        <f>TEXT(B2494,"mmm")</f>
        <v/>
      </c>
      <c r="U2494" s="36">
        <f>IF(AND(OR(sel_Region="All",C2494=sel_Region),OR(sel_Country="All",D2494=sel_Country),OR(sel_Channel="All",E2494=sel_Channel),OR(sel_Customer="All",F2494=sel_Customer),OR(sel_Category="All",G2494=sel_Category),OR(sel_Product="All",H2494=sel_Product),AND(S2494&gt;=m_From,S2494&lt;=m_To)),1,0)</f>
        <v/>
      </c>
      <c r="V2494" s="36">
        <f>IF(AND(OR(sel_Region="All",C2494=sel_Region),OR(sel_Channel="All",E2494=sel_Channel),OR(sel_Customer="All",F2494=sel_Customer),OR(sel_Category="All",G2494=sel_Category),OR(sel_Product="All",H2494=sel_Product),AND(S2494&gt;=m_From,S2494&lt;=m_To)),1,0)</f>
        <v/>
      </c>
      <c r="W2494" s="36">
        <f>IF(AND(OR(sel_Region="All",C2494=sel_Region),OR(sel_Country="All",D2494=sel_Country),OR(sel_Customer="All",F2494=sel_Customer),OR(sel_Category="All",G2494=sel_Category),OR(sel_Product="All",H2494=sel_Product),AND(S2494&gt;=m_From,S2494&lt;=m_To)),1,0)</f>
        <v/>
      </c>
      <c r="X2494" s="36">
        <f>IF(AND(OR(sel_Region="All",C2494=sel_Region),OR(sel_Country="All",D2494=sel_Country),OR(sel_Channel="All",E2494=sel_Channel),OR(sel_Category="All",G2494=sel_Category),OR(sel_Product="All",H2494=sel_Product),AND(S2494&gt;=m_From,S2494&lt;=m_To)),1,0)</f>
        <v/>
      </c>
      <c r="Y2494" s="36">
        <f>IF(AND(OR(sel_Region="All",C2494=sel_Region),OR(sel_Country="All",D2494=sel_Country),OR(sel_Channel="All",E2494=sel_Channel),OR(sel_Customer="All",F2494=sel_Customer),OR(sel_Product="All",H2494=sel_Product),AND(S2494&gt;=m_From,S2494&lt;=m_To)),1,0)</f>
        <v/>
      </c>
      <c r="Z2494" s="36">
        <f>IF(AND(OR(sel_Region="All",C2494=sel_Region),OR(sel_Country="All",D2494=sel_Country),OR(sel_Channel="All",E2494=sel_Channel),OR(sel_Customer="All",F2494=sel_Customer),OR(sel_Category="All",G2494=sel_Category),AND(S2494&gt;=m_From,S2494&lt;=m_To)),1,0)</f>
        <v/>
      </c>
      <c r="AA2494" s="36">
        <f>IF(AND(OR(sel_Region="All",C2494=sel_Region),OR(sel_Country="All",D2494=sel_Country),OR(sel_Channel="All",E2494=sel_Channel),OR(sel_Customer="All",F2494=sel_Customer),OR(sel_Category="All",G2494=sel_Category),OR(sel_Product="All",H2494=sel_Product)),1,0)</f>
        <v/>
      </c>
    </row>
    <row r="2495">
      <c r="A2495" s="36" t="inlineStr">
        <is>
          <t>03359</t>
        </is>
      </c>
      <c r="B2495" s="44" t="n">
        <v>46356</v>
      </c>
      <c r="C2495" s="36" t="inlineStr">
        <is>
          <t>Western Europe</t>
        </is>
      </c>
      <c r="D2495" s="36" t="inlineStr">
        <is>
          <t>France</t>
        </is>
      </c>
      <c r="E2495" s="36" t="inlineStr">
        <is>
          <t>Online Store</t>
        </is>
      </c>
      <c r="F2495" s="36" t="inlineStr">
        <is>
          <t>Returning</t>
        </is>
      </c>
      <c r="G2495" s="36" t="inlineStr">
        <is>
          <t>Camping</t>
        </is>
      </c>
      <c r="H2495" s="36" t="inlineStr">
        <is>
          <t>Portable Camp Stove</t>
        </is>
      </c>
      <c r="I2495" s="36" t="n">
        <v>1</v>
      </c>
      <c r="J2495" s="39" t="n">
        <v>83.14</v>
      </c>
      <c r="K2495" s="45" t="n">
        <v>0</v>
      </c>
      <c r="L2495" s="39" t="n">
        <v>39.37</v>
      </c>
      <c r="M2495" s="39">
        <f>I2495*J2495*(1-K2495)</f>
        <v/>
      </c>
      <c r="N2495" s="39">
        <f>I2495*L2495</f>
        <v/>
      </c>
      <c r="O2495" s="39">
        <f>M2495-N2495</f>
        <v/>
      </c>
      <c r="P2495" s="38">
        <f>IF(M2495=0,0,O2495/M2495)</f>
        <v/>
      </c>
      <c r="Q2495" s="36">
        <f>YEAR(B2495)</f>
        <v/>
      </c>
      <c r="R2495" s="36">
        <f>"Q"&amp;ROUNDUP(MONTH(B2495)/3,0)</f>
        <v/>
      </c>
      <c r="S2495" s="36">
        <f>MONTH(B2495)</f>
        <v/>
      </c>
      <c r="T2495" s="36">
        <f>TEXT(B2495,"mmm")</f>
        <v/>
      </c>
      <c r="U2495" s="36">
        <f>IF(AND(OR(sel_Region="All",C2495=sel_Region),OR(sel_Country="All",D2495=sel_Country),OR(sel_Channel="All",E2495=sel_Channel),OR(sel_Customer="All",F2495=sel_Customer),OR(sel_Category="All",G2495=sel_Category),OR(sel_Product="All",H2495=sel_Product),AND(S2495&gt;=m_From,S2495&lt;=m_To)),1,0)</f>
        <v/>
      </c>
      <c r="V2495" s="36">
        <f>IF(AND(OR(sel_Region="All",C2495=sel_Region),OR(sel_Channel="All",E2495=sel_Channel),OR(sel_Customer="All",F2495=sel_Customer),OR(sel_Category="All",G2495=sel_Category),OR(sel_Product="All",H2495=sel_Product),AND(S2495&gt;=m_From,S2495&lt;=m_To)),1,0)</f>
        <v/>
      </c>
      <c r="W2495" s="36">
        <f>IF(AND(OR(sel_Region="All",C2495=sel_Region),OR(sel_Country="All",D2495=sel_Country),OR(sel_Customer="All",F2495=sel_Customer),OR(sel_Category="All",G2495=sel_Category),OR(sel_Product="All",H2495=sel_Product),AND(S2495&gt;=m_From,S2495&lt;=m_To)),1,0)</f>
        <v/>
      </c>
      <c r="X2495" s="36">
        <f>IF(AND(OR(sel_Region="All",C2495=sel_Region),OR(sel_Country="All",D2495=sel_Country),OR(sel_Channel="All",E2495=sel_Channel),OR(sel_Category="All",G2495=sel_Category),OR(sel_Product="All",H2495=sel_Product),AND(S2495&gt;=m_From,S2495&lt;=m_To)),1,0)</f>
        <v/>
      </c>
      <c r="Y2495" s="36">
        <f>IF(AND(OR(sel_Region="All",C2495=sel_Region),OR(sel_Country="All",D2495=sel_Country),OR(sel_Channel="All",E2495=sel_Channel),OR(sel_Customer="All",F2495=sel_Customer),OR(sel_Product="All",H2495=sel_Product),AND(S2495&gt;=m_From,S2495&lt;=m_To)),1,0)</f>
        <v/>
      </c>
      <c r="Z2495" s="36">
        <f>IF(AND(OR(sel_Region="All",C2495=sel_Region),OR(sel_Country="All",D2495=sel_Country),OR(sel_Channel="All",E2495=sel_Channel),OR(sel_Customer="All",F2495=sel_Customer),OR(sel_Category="All",G2495=sel_Category),AND(S2495&gt;=m_From,S2495&lt;=m_To)),1,0)</f>
        <v/>
      </c>
      <c r="AA2495" s="36">
        <f>IF(AND(OR(sel_Region="All",C2495=sel_Region),OR(sel_Country="All",D2495=sel_Country),OR(sel_Channel="All",E2495=sel_Channel),OR(sel_Customer="All",F2495=sel_Customer),OR(sel_Category="All",G2495=sel_Category),OR(sel_Product="All",H2495=sel_Product)),1,0)</f>
        <v/>
      </c>
    </row>
    <row r="2496">
      <c r="A2496" s="36" t="inlineStr">
        <is>
          <t>03473</t>
        </is>
      </c>
      <c r="B2496" s="44" t="n">
        <v>46356</v>
      </c>
      <c r="C2496" s="36" t="inlineStr">
        <is>
          <t>Northern Europe</t>
        </is>
      </c>
      <c r="D2496" s="36" t="inlineStr">
        <is>
          <t>Denmark</t>
        </is>
      </c>
      <c r="E2496" s="36" t="inlineStr">
        <is>
          <t>Online Store</t>
        </is>
      </c>
      <c r="F2496" s="36" t="inlineStr">
        <is>
          <t>Returning</t>
        </is>
      </c>
      <c r="G2496" s="36" t="inlineStr">
        <is>
          <t>Cycling</t>
        </is>
      </c>
      <c r="H2496" s="36" t="inlineStr">
        <is>
          <t>Commuter Helmet</t>
        </is>
      </c>
      <c r="I2496" s="36" t="n">
        <v>1</v>
      </c>
      <c r="J2496" s="39" t="n">
        <v>80.97</v>
      </c>
      <c r="K2496" s="45" t="n">
        <v>0</v>
      </c>
      <c r="L2496" s="39" t="n">
        <v>43.64</v>
      </c>
      <c r="M2496" s="39">
        <f>I2496*J2496*(1-K2496)</f>
        <v/>
      </c>
      <c r="N2496" s="39">
        <f>I2496*L2496</f>
        <v/>
      </c>
      <c r="O2496" s="39">
        <f>M2496-N2496</f>
        <v/>
      </c>
      <c r="P2496" s="38">
        <f>IF(M2496=0,0,O2496/M2496)</f>
        <v/>
      </c>
      <c r="Q2496" s="36">
        <f>YEAR(B2496)</f>
        <v/>
      </c>
      <c r="R2496" s="36">
        <f>"Q"&amp;ROUNDUP(MONTH(B2496)/3,0)</f>
        <v/>
      </c>
      <c r="S2496" s="36">
        <f>MONTH(B2496)</f>
        <v/>
      </c>
      <c r="T2496" s="36">
        <f>TEXT(B2496,"mmm")</f>
        <v/>
      </c>
      <c r="U2496" s="36">
        <f>IF(AND(OR(sel_Region="All",C2496=sel_Region),OR(sel_Country="All",D2496=sel_Country),OR(sel_Channel="All",E2496=sel_Channel),OR(sel_Customer="All",F2496=sel_Customer),OR(sel_Category="All",G2496=sel_Category),OR(sel_Product="All",H2496=sel_Product),AND(S2496&gt;=m_From,S2496&lt;=m_To)),1,0)</f>
        <v/>
      </c>
      <c r="V2496" s="36">
        <f>IF(AND(OR(sel_Region="All",C2496=sel_Region),OR(sel_Channel="All",E2496=sel_Channel),OR(sel_Customer="All",F2496=sel_Customer),OR(sel_Category="All",G2496=sel_Category),OR(sel_Product="All",H2496=sel_Product),AND(S2496&gt;=m_From,S2496&lt;=m_To)),1,0)</f>
        <v/>
      </c>
      <c r="W2496" s="36">
        <f>IF(AND(OR(sel_Region="All",C2496=sel_Region),OR(sel_Country="All",D2496=sel_Country),OR(sel_Customer="All",F2496=sel_Customer),OR(sel_Category="All",G2496=sel_Category),OR(sel_Product="All",H2496=sel_Product),AND(S2496&gt;=m_From,S2496&lt;=m_To)),1,0)</f>
        <v/>
      </c>
      <c r="X2496" s="36">
        <f>IF(AND(OR(sel_Region="All",C2496=sel_Region),OR(sel_Country="All",D2496=sel_Country),OR(sel_Channel="All",E2496=sel_Channel),OR(sel_Category="All",G2496=sel_Category),OR(sel_Product="All",H2496=sel_Product),AND(S2496&gt;=m_From,S2496&lt;=m_To)),1,0)</f>
        <v/>
      </c>
      <c r="Y2496" s="36">
        <f>IF(AND(OR(sel_Region="All",C2496=sel_Region),OR(sel_Country="All",D2496=sel_Country),OR(sel_Channel="All",E2496=sel_Channel),OR(sel_Customer="All",F2496=sel_Customer),OR(sel_Product="All",H2496=sel_Product),AND(S2496&gt;=m_From,S2496&lt;=m_To)),1,0)</f>
        <v/>
      </c>
      <c r="Z2496" s="36">
        <f>IF(AND(OR(sel_Region="All",C2496=sel_Region),OR(sel_Country="All",D2496=sel_Country),OR(sel_Channel="All",E2496=sel_Channel),OR(sel_Customer="All",F2496=sel_Customer),OR(sel_Category="All",G2496=sel_Category),AND(S2496&gt;=m_From,S2496&lt;=m_To)),1,0)</f>
        <v/>
      </c>
      <c r="AA2496" s="36">
        <f>IF(AND(OR(sel_Region="All",C2496=sel_Region),OR(sel_Country="All",D2496=sel_Country),OR(sel_Channel="All",E2496=sel_Channel),OR(sel_Customer="All",F2496=sel_Customer),OR(sel_Category="All",G2496=sel_Category),OR(sel_Product="All",H2496=sel_Product)),1,0)</f>
        <v/>
      </c>
    </row>
    <row r="2497">
      <c r="A2497" s="36" t="inlineStr">
        <is>
          <t>03589</t>
        </is>
      </c>
      <c r="B2497" s="44" t="n">
        <v>46356</v>
      </c>
      <c r="C2497" s="36" t="inlineStr">
        <is>
          <t>Southern Europe</t>
        </is>
      </c>
      <c r="D2497" s="36" t="inlineStr">
        <is>
          <t>Portugal</t>
        </is>
      </c>
      <c r="E2497" s="36" t="inlineStr">
        <is>
          <t>Online Store</t>
        </is>
      </c>
      <c r="F2497" s="36" t="inlineStr">
        <is>
          <t>New</t>
        </is>
      </c>
      <c r="G2497" s="36" t="inlineStr">
        <is>
          <t>Hiking</t>
        </is>
      </c>
      <c r="H2497" s="36" t="inlineStr">
        <is>
          <t>Trekking Poles</t>
        </is>
      </c>
      <c r="I2497" s="36" t="n">
        <v>1</v>
      </c>
      <c r="J2497" s="39" t="n">
        <v>73.03</v>
      </c>
      <c r="K2497" s="45" t="n">
        <v>0</v>
      </c>
      <c r="L2497" s="39" t="n">
        <v>32.71</v>
      </c>
      <c r="M2497" s="39">
        <f>I2497*J2497*(1-K2497)</f>
        <v/>
      </c>
      <c r="N2497" s="39">
        <f>I2497*L2497</f>
        <v/>
      </c>
      <c r="O2497" s="39">
        <f>M2497-N2497</f>
        <v/>
      </c>
      <c r="P2497" s="38">
        <f>IF(M2497=0,0,O2497/M2497)</f>
        <v/>
      </c>
      <c r="Q2497" s="36">
        <f>YEAR(B2497)</f>
        <v/>
      </c>
      <c r="R2497" s="36">
        <f>"Q"&amp;ROUNDUP(MONTH(B2497)/3,0)</f>
        <v/>
      </c>
      <c r="S2497" s="36">
        <f>MONTH(B2497)</f>
        <v/>
      </c>
      <c r="T2497" s="36">
        <f>TEXT(B2497,"mmm")</f>
        <v/>
      </c>
      <c r="U2497" s="36">
        <f>IF(AND(OR(sel_Region="All",C2497=sel_Region),OR(sel_Country="All",D2497=sel_Country),OR(sel_Channel="All",E2497=sel_Channel),OR(sel_Customer="All",F2497=sel_Customer),OR(sel_Category="All",G2497=sel_Category),OR(sel_Product="All",H2497=sel_Product),AND(S2497&gt;=m_From,S2497&lt;=m_To)),1,0)</f>
        <v/>
      </c>
      <c r="V2497" s="36">
        <f>IF(AND(OR(sel_Region="All",C2497=sel_Region),OR(sel_Channel="All",E2497=sel_Channel),OR(sel_Customer="All",F2497=sel_Customer),OR(sel_Category="All",G2497=sel_Category),OR(sel_Product="All",H2497=sel_Product),AND(S2497&gt;=m_From,S2497&lt;=m_To)),1,0)</f>
        <v/>
      </c>
      <c r="W2497" s="36">
        <f>IF(AND(OR(sel_Region="All",C2497=sel_Region),OR(sel_Country="All",D2497=sel_Country),OR(sel_Customer="All",F2497=sel_Customer),OR(sel_Category="All",G2497=sel_Category),OR(sel_Product="All",H2497=sel_Product),AND(S2497&gt;=m_From,S2497&lt;=m_To)),1,0)</f>
        <v/>
      </c>
      <c r="X2497" s="36">
        <f>IF(AND(OR(sel_Region="All",C2497=sel_Region),OR(sel_Country="All",D2497=sel_Country),OR(sel_Channel="All",E2497=sel_Channel),OR(sel_Category="All",G2497=sel_Category),OR(sel_Product="All",H2497=sel_Product),AND(S2497&gt;=m_From,S2497&lt;=m_To)),1,0)</f>
        <v/>
      </c>
      <c r="Y2497" s="36">
        <f>IF(AND(OR(sel_Region="All",C2497=sel_Region),OR(sel_Country="All",D2497=sel_Country),OR(sel_Channel="All",E2497=sel_Channel),OR(sel_Customer="All",F2497=sel_Customer),OR(sel_Product="All",H2497=sel_Product),AND(S2497&gt;=m_From,S2497&lt;=m_To)),1,0)</f>
        <v/>
      </c>
      <c r="Z2497" s="36">
        <f>IF(AND(OR(sel_Region="All",C2497=sel_Region),OR(sel_Country="All",D2497=sel_Country),OR(sel_Channel="All",E2497=sel_Channel),OR(sel_Customer="All",F2497=sel_Customer),OR(sel_Category="All",G2497=sel_Category),AND(S2497&gt;=m_From,S2497&lt;=m_To)),1,0)</f>
        <v/>
      </c>
      <c r="AA2497" s="36">
        <f>IF(AND(OR(sel_Region="All",C2497=sel_Region),OR(sel_Country="All",D2497=sel_Country),OR(sel_Channel="All",E2497=sel_Channel),OR(sel_Customer="All",F2497=sel_Customer),OR(sel_Category="All",G2497=sel_Category),OR(sel_Product="All",H2497=sel_Product)),1,0)</f>
        <v/>
      </c>
    </row>
    <row r="2498">
      <c r="A2498" s="36" t="inlineStr">
        <is>
          <t>04689</t>
        </is>
      </c>
      <c r="B2498" s="44" t="n">
        <v>46356</v>
      </c>
      <c r="C2498" s="36" t="inlineStr">
        <is>
          <t>Northern Europe</t>
        </is>
      </c>
      <c r="D2498" s="36" t="inlineStr">
        <is>
          <t>Ireland</t>
        </is>
      </c>
      <c r="E2498" s="36" t="inlineStr">
        <is>
          <t>Online Store</t>
        </is>
      </c>
      <c r="F2498" s="36" t="inlineStr">
        <is>
          <t>Returning</t>
        </is>
      </c>
      <c r="G2498" s="36" t="inlineStr">
        <is>
          <t>Travel</t>
        </is>
      </c>
      <c r="H2498" s="36" t="inlineStr">
        <is>
          <t>Packing Cube Set</t>
        </is>
      </c>
      <c r="I2498" s="36" t="n">
        <v>1</v>
      </c>
      <c r="J2498" s="39" t="n">
        <v>46.81</v>
      </c>
      <c r="K2498" s="45" t="n">
        <v>0.05</v>
      </c>
      <c r="L2498" s="39" t="n">
        <v>17.87</v>
      </c>
      <c r="M2498" s="39">
        <f>I2498*J2498*(1-K2498)</f>
        <v/>
      </c>
      <c r="N2498" s="39">
        <f>I2498*L2498</f>
        <v/>
      </c>
      <c r="O2498" s="39">
        <f>M2498-N2498</f>
        <v/>
      </c>
      <c r="P2498" s="38">
        <f>IF(M2498=0,0,O2498/M2498)</f>
        <v/>
      </c>
      <c r="Q2498" s="36">
        <f>YEAR(B2498)</f>
        <v/>
      </c>
      <c r="R2498" s="36">
        <f>"Q"&amp;ROUNDUP(MONTH(B2498)/3,0)</f>
        <v/>
      </c>
      <c r="S2498" s="36">
        <f>MONTH(B2498)</f>
        <v/>
      </c>
      <c r="T2498" s="36">
        <f>TEXT(B2498,"mmm")</f>
        <v/>
      </c>
      <c r="U2498" s="36">
        <f>IF(AND(OR(sel_Region="All",C2498=sel_Region),OR(sel_Country="All",D2498=sel_Country),OR(sel_Channel="All",E2498=sel_Channel),OR(sel_Customer="All",F2498=sel_Customer),OR(sel_Category="All",G2498=sel_Category),OR(sel_Product="All",H2498=sel_Product),AND(S2498&gt;=m_From,S2498&lt;=m_To)),1,0)</f>
        <v/>
      </c>
      <c r="V2498" s="36">
        <f>IF(AND(OR(sel_Region="All",C2498=sel_Region),OR(sel_Channel="All",E2498=sel_Channel),OR(sel_Customer="All",F2498=sel_Customer),OR(sel_Category="All",G2498=sel_Category),OR(sel_Product="All",H2498=sel_Product),AND(S2498&gt;=m_From,S2498&lt;=m_To)),1,0)</f>
        <v/>
      </c>
      <c r="W2498" s="36">
        <f>IF(AND(OR(sel_Region="All",C2498=sel_Region),OR(sel_Country="All",D2498=sel_Country),OR(sel_Customer="All",F2498=sel_Customer),OR(sel_Category="All",G2498=sel_Category),OR(sel_Product="All",H2498=sel_Product),AND(S2498&gt;=m_From,S2498&lt;=m_To)),1,0)</f>
        <v/>
      </c>
      <c r="X2498" s="36">
        <f>IF(AND(OR(sel_Region="All",C2498=sel_Region),OR(sel_Country="All",D2498=sel_Country),OR(sel_Channel="All",E2498=sel_Channel),OR(sel_Category="All",G2498=sel_Category),OR(sel_Product="All",H2498=sel_Product),AND(S2498&gt;=m_From,S2498&lt;=m_To)),1,0)</f>
        <v/>
      </c>
      <c r="Y2498" s="36">
        <f>IF(AND(OR(sel_Region="All",C2498=sel_Region),OR(sel_Country="All",D2498=sel_Country),OR(sel_Channel="All",E2498=sel_Channel),OR(sel_Customer="All",F2498=sel_Customer),OR(sel_Product="All",H2498=sel_Product),AND(S2498&gt;=m_From,S2498&lt;=m_To)),1,0)</f>
        <v/>
      </c>
      <c r="Z2498" s="36">
        <f>IF(AND(OR(sel_Region="All",C2498=sel_Region),OR(sel_Country="All",D2498=sel_Country),OR(sel_Channel="All",E2498=sel_Channel),OR(sel_Customer="All",F2498=sel_Customer),OR(sel_Category="All",G2498=sel_Category),AND(S2498&gt;=m_From,S2498&lt;=m_To)),1,0)</f>
        <v/>
      </c>
      <c r="AA2498" s="36">
        <f>IF(AND(OR(sel_Region="All",C2498=sel_Region),OR(sel_Country="All",D2498=sel_Country),OR(sel_Channel="All",E2498=sel_Channel),OR(sel_Customer="All",F2498=sel_Customer),OR(sel_Category="All",G2498=sel_Category),OR(sel_Product="All",H2498=sel_Product)),1,0)</f>
        <v/>
      </c>
    </row>
    <row r="2499">
      <c r="A2499" s="36" t="inlineStr">
        <is>
          <t>04819</t>
        </is>
      </c>
      <c r="B2499" s="44" t="n">
        <v>46356</v>
      </c>
      <c r="C2499" s="36" t="inlineStr">
        <is>
          <t>Western Europe</t>
        </is>
      </c>
      <c r="D2499" s="36" t="inlineStr">
        <is>
          <t>Netherlands</t>
        </is>
      </c>
      <c r="E2499" s="36" t="inlineStr">
        <is>
          <t>Marketplace</t>
        </is>
      </c>
      <c r="F2499" s="36" t="inlineStr">
        <is>
          <t>New</t>
        </is>
      </c>
      <c r="G2499" s="36" t="inlineStr">
        <is>
          <t>Hiking</t>
        </is>
      </c>
      <c r="H2499" s="36" t="inlineStr">
        <is>
          <t>Summit Backpack 45L</t>
        </is>
      </c>
      <c r="I2499" s="36" t="n">
        <v>2</v>
      </c>
      <c r="J2499" s="39" t="n">
        <v>153.51</v>
      </c>
      <c r="K2499" s="45" t="n">
        <v>0.15</v>
      </c>
      <c r="L2499" s="39" t="n">
        <v>81.29000000000001</v>
      </c>
      <c r="M2499" s="39">
        <f>I2499*J2499*(1-K2499)</f>
        <v/>
      </c>
      <c r="N2499" s="39">
        <f>I2499*L2499</f>
        <v/>
      </c>
      <c r="O2499" s="39">
        <f>M2499-N2499</f>
        <v/>
      </c>
      <c r="P2499" s="38">
        <f>IF(M2499=0,0,O2499/M2499)</f>
        <v/>
      </c>
      <c r="Q2499" s="36">
        <f>YEAR(B2499)</f>
        <v/>
      </c>
      <c r="R2499" s="36">
        <f>"Q"&amp;ROUNDUP(MONTH(B2499)/3,0)</f>
        <v/>
      </c>
      <c r="S2499" s="36">
        <f>MONTH(B2499)</f>
        <v/>
      </c>
      <c r="T2499" s="36">
        <f>TEXT(B2499,"mmm")</f>
        <v/>
      </c>
      <c r="U2499" s="36">
        <f>IF(AND(OR(sel_Region="All",C2499=sel_Region),OR(sel_Country="All",D2499=sel_Country),OR(sel_Channel="All",E2499=sel_Channel),OR(sel_Customer="All",F2499=sel_Customer),OR(sel_Category="All",G2499=sel_Category),OR(sel_Product="All",H2499=sel_Product),AND(S2499&gt;=m_From,S2499&lt;=m_To)),1,0)</f>
        <v/>
      </c>
      <c r="V2499" s="36">
        <f>IF(AND(OR(sel_Region="All",C2499=sel_Region),OR(sel_Channel="All",E2499=sel_Channel),OR(sel_Customer="All",F2499=sel_Customer),OR(sel_Category="All",G2499=sel_Category),OR(sel_Product="All",H2499=sel_Product),AND(S2499&gt;=m_From,S2499&lt;=m_To)),1,0)</f>
        <v/>
      </c>
      <c r="W2499" s="36">
        <f>IF(AND(OR(sel_Region="All",C2499=sel_Region),OR(sel_Country="All",D2499=sel_Country),OR(sel_Customer="All",F2499=sel_Customer),OR(sel_Category="All",G2499=sel_Category),OR(sel_Product="All",H2499=sel_Product),AND(S2499&gt;=m_From,S2499&lt;=m_To)),1,0)</f>
        <v/>
      </c>
      <c r="X2499" s="36">
        <f>IF(AND(OR(sel_Region="All",C2499=sel_Region),OR(sel_Country="All",D2499=sel_Country),OR(sel_Channel="All",E2499=sel_Channel),OR(sel_Category="All",G2499=sel_Category),OR(sel_Product="All",H2499=sel_Product),AND(S2499&gt;=m_From,S2499&lt;=m_To)),1,0)</f>
        <v/>
      </c>
      <c r="Y2499" s="36">
        <f>IF(AND(OR(sel_Region="All",C2499=sel_Region),OR(sel_Country="All",D2499=sel_Country),OR(sel_Channel="All",E2499=sel_Channel),OR(sel_Customer="All",F2499=sel_Customer),OR(sel_Product="All",H2499=sel_Product),AND(S2499&gt;=m_From,S2499&lt;=m_To)),1,0)</f>
        <v/>
      </c>
      <c r="Z2499" s="36">
        <f>IF(AND(OR(sel_Region="All",C2499=sel_Region),OR(sel_Country="All",D2499=sel_Country),OR(sel_Channel="All",E2499=sel_Channel),OR(sel_Customer="All",F2499=sel_Customer),OR(sel_Category="All",G2499=sel_Category),AND(S2499&gt;=m_From,S2499&lt;=m_To)),1,0)</f>
        <v/>
      </c>
      <c r="AA2499" s="36">
        <f>IF(AND(OR(sel_Region="All",C2499=sel_Region),OR(sel_Country="All",D2499=sel_Country),OR(sel_Channel="All",E2499=sel_Channel),OR(sel_Customer="All",F2499=sel_Customer),OR(sel_Category="All",G2499=sel_Category),OR(sel_Product="All",H2499=sel_Product)),1,0)</f>
        <v/>
      </c>
    </row>
    <row r="2500">
      <c r="A2500" s="36" t="inlineStr">
        <is>
          <t>05167</t>
        </is>
      </c>
      <c r="B2500" s="44" t="n">
        <v>46356</v>
      </c>
      <c r="C2500" s="36" t="inlineStr">
        <is>
          <t>Northern Europe</t>
        </is>
      </c>
      <c r="D2500" s="36" t="inlineStr">
        <is>
          <t>Denmark</t>
        </is>
      </c>
      <c r="E2500" s="36" t="inlineStr">
        <is>
          <t>Marketplace</t>
        </is>
      </c>
      <c r="F2500" s="36" t="inlineStr">
        <is>
          <t>New</t>
        </is>
      </c>
      <c r="G2500" s="36" t="inlineStr">
        <is>
          <t>Camping</t>
        </is>
      </c>
      <c r="H2500" s="36" t="inlineStr">
        <is>
          <t>Trail Tent 2P</t>
        </is>
      </c>
      <c r="I2500" s="36" t="n">
        <v>2</v>
      </c>
      <c r="J2500" s="39" t="n">
        <v>197.5</v>
      </c>
      <c r="K2500" s="45" t="n">
        <v>0</v>
      </c>
      <c r="L2500" s="39" t="n">
        <v>104.47</v>
      </c>
      <c r="M2500" s="39">
        <f>I2500*J2500*(1-K2500)</f>
        <v/>
      </c>
      <c r="N2500" s="39">
        <f>I2500*L2500</f>
        <v/>
      </c>
      <c r="O2500" s="39">
        <f>M2500-N2500</f>
        <v/>
      </c>
      <c r="P2500" s="38">
        <f>IF(M2500=0,0,O2500/M2500)</f>
        <v/>
      </c>
      <c r="Q2500" s="36">
        <f>YEAR(B2500)</f>
        <v/>
      </c>
      <c r="R2500" s="36">
        <f>"Q"&amp;ROUNDUP(MONTH(B2500)/3,0)</f>
        <v/>
      </c>
      <c r="S2500" s="36">
        <f>MONTH(B2500)</f>
        <v/>
      </c>
      <c r="T2500" s="36">
        <f>TEXT(B2500,"mmm")</f>
        <v/>
      </c>
      <c r="U2500" s="36">
        <f>IF(AND(OR(sel_Region="All",C2500=sel_Region),OR(sel_Country="All",D2500=sel_Country),OR(sel_Channel="All",E2500=sel_Channel),OR(sel_Customer="All",F2500=sel_Customer),OR(sel_Category="All",G2500=sel_Category),OR(sel_Product="All",H2500=sel_Product),AND(S2500&gt;=m_From,S2500&lt;=m_To)),1,0)</f>
        <v/>
      </c>
      <c r="V2500" s="36">
        <f>IF(AND(OR(sel_Region="All",C2500=sel_Region),OR(sel_Channel="All",E2500=sel_Channel),OR(sel_Customer="All",F2500=sel_Customer),OR(sel_Category="All",G2500=sel_Category),OR(sel_Product="All",H2500=sel_Product),AND(S2500&gt;=m_From,S2500&lt;=m_To)),1,0)</f>
        <v/>
      </c>
      <c r="W2500" s="36">
        <f>IF(AND(OR(sel_Region="All",C2500=sel_Region),OR(sel_Country="All",D2500=sel_Country),OR(sel_Customer="All",F2500=sel_Customer),OR(sel_Category="All",G2500=sel_Category),OR(sel_Product="All",H2500=sel_Product),AND(S2500&gt;=m_From,S2500&lt;=m_To)),1,0)</f>
        <v/>
      </c>
      <c r="X2500" s="36">
        <f>IF(AND(OR(sel_Region="All",C2500=sel_Region),OR(sel_Country="All",D2500=sel_Country),OR(sel_Channel="All",E2500=sel_Channel),OR(sel_Category="All",G2500=sel_Category),OR(sel_Product="All",H2500=sel_Product),AND(S2500&gt;=m_From,S2500&lt;=m_To)),1,0)</f>
        <v/>
      </c>
      <c r="Y2500" s="36">
        <f>IF(AND(OR(sel_Region="All",C2500=sel_Region),OR(sel_Country="All",D2500=sel_Country),OR(sel_Channel="All",E2500=sel_Channel),OR(sel_Customer="All",F2500=sel_Customer),OR(sel_Product="All",H2500=sel_Product),AND(S2500&gt;=m_From,S2500&lt;=m_To)),1,0)</f>
        <v/>
      </c>
      <c r="Z2500" s="36">
        <f>IF(AND(OR(sel_Region="All",C2500=sel_Region),OR(sel_Country="All",D2500=sel_Country),OR(sel_Channel="All",E2500=sel_Channel),OR(sel_Customer="All",F2500=sel_Customer),OR(sel_Category="All",G2500=sel_Category),AND(S2500&gt;=m_From,S2500&lt;=m_To)),1,0)</f>
        <v/>
      </c>
      <c r="AA2500" s="36">
        <f>IF(AND(OR(sel_Region="All",C2500=sel_Region),OR(sel_Country="All",D2500=sel_Country),OR(sel_Channel="All",E2500=sel_Channel),OR(sel_Customer="All",F2500=sel_Customer),OR(sel_Category="All",G2500=sel_Category),OR(sel_Product="All",H2500=sel_Product)),1,0)</f>
        <v/>
      </c>
    </row>
    <row r="2501">
      <c r="A2501" s="36" t="inlineStr">
        <is>
          <t>00038</t>
        </is>
      </c>
      <c r="B2501" s="44" t="n">
        <v>46357</v>
      </c>
      <c r="C2501" s="36" t="inlineStr">
        <is>
          <t>Western Europe</t>
        </is>
      </c>
      <c r="D2501" s="36" t="inlineStr">
        <is>
          <t>United Kingdom</t>
        </is>
      </c>
      <c r="E2501" s="36" t="inlineStr">
        <is>
          <t>Corporate</t>
        </is>
      </c>
      <c r="F2501" s="36" t="inlineStr">
        <is>
          <t>Business</t>
        </is>
      </c>
      <c r="G2501" s="36" t="inlineStr">
        <is>
          <t>Hiking</t>
        </is>
      </c>
      <c r="H2501" s="36" t="inlineStr">
        <is>
          <t>Trail Boots</t>
        </is>
      </c>
      <c r="I2501" s="36" t="n">
        <v>8</v>
      </c>
      <c r="J2501" s="39" t="n">
        <v>146.55</v>
      </c>
      <c r="K2501" s="45" t="n">
        <v>0.1</v>
      </c>
      <c r="L2501" s="39" t="n">
        <v>78.03</v>
      </c>
      <c r="M2501" s="39">
        <f>I2501*J2501*(1-K2501)</f>
        <v/>
      </c>
      <c r="N2501" s="39">
        <f>I2501*L2501</f>
        <v/>
      </c>
      <c r="O2501" s="39">
        <f>M2501-N2501</f>
        <v/>
      </c>
      <c r="P2501" s="38">
        <f>IF(M2501=0,0,O2501/M2501)</f>
        <v/>
      </c>
      <c r="Q2501" s="36">
        <f>YEAR(B2501)</f>
        <v/>
      </c>
      <c r="R2501" s="36">
        <f>"Q"&amp;ROUNDUP(MONTH(B2501)/3,0)</f>
        <v/>
      </c>
      <c r="S2501" s="36">
        <f>MONTH(B2501)</f>
        <v/>
      </c>
      <c r="T2501" s="36">
        <f>TEXT(B2501,"mmm")</f>
        <v/>
      </c>
      <c r="U2501" s="36">
        <f>IF(AND(OR(sel_Region="All",C2501=sel_Region),OR(sel_Country="All",D2501=sel_Country),OR(sel_Channel="All",E2501=sel_Channel),OR(sel_Customer="All",F2501=sel_Customer),OR(sel_Category="All",G2501=sel_Category),OR(sel_Product="All",H2501=sel_Product),AND(S2501&gt;=m_From,S2501&lt;=m_To)),1,0)</f>
        <v/>
      </c>
      <c r="V2501" s="36">
        <f>IF(AND(OR(sel_Region="All",C2501=sel_Region),OR(sel_Channel="All",E2501=sel_Channel),OR(sel_Customer="All",F2501=sel_Customer),OR(sel_Category="All",G2501=sel_Category),OR(sel_Product="All",H2501=sel_Product),AND(S2501&gt;=m_From,S2501&lt;=m_To)),1,0)</f>
        <v/>
      </c>
      <c r="W2501" s="36">
        <f>IF(AND(OR(sel_Region="All",C2501=sel_Region),OR(sel_Country="All",D2501=sel_Country),OR(sel_Customer="All",F2501=sel_Customer),OR(sel_Category="All",G2501=sel_Category),OR(sel_Product="All",H2501=sel_Product),AND(S2501&gt;=m_From,S2501&lt;=m_To)),1,0)</f>
        <v/>
      </c>
      <c r="X2501" s="36">
        <f>IF(AND(OR(sel_Region="All",C2501=sel_Region),OR(sel_Country="All",D2501=sel_Country),OR(sel_Channel="All",E2501=sel_Channel),OR(sel_Category="All",G2501=sel_Category),OR(sel_Product="All",H2501=sel_Product),AND(S2501&gt;=m_From,S2501&lt;=m_To)),1,0)</f>
        <v/>
      </c>
      <c r="Y2501" s="36">
        <f>IF(AND(OR(sel_Region="All",C2501=sel_Region),OR(sel_Country="All",D2501=sel_Country),OR(sel_Channel="All",E2501=sel_Channel),OR(sel_Customer="All",F2501=sel_Customer),OR(sel_Product="All",H2501=sel_Product),AND(S2501&gt;=m_From,S2501&lt;=m_To)),1,0)</f>
        <v/>
      </c>
      <c r="Z2501" s="36">
        <f>IF(AND(OR(sel_Region="All",C2501=sel_Region),OR(sel_Country="All",D2501=sel_Country),OR(sel_Channel="All",E2501=sel_Channel),OR(sel_Customer="All",F2501=sel_Customer),OR(sel_Category="All",G2501=sel_Category),AND(S2501&gt;=m_From,S2501&lt;=m_To)),1,0)</f>
        <v/>
      </c>
      <c r="AA2501" s="36">
        <f>IF(AND(OR(sel_Region="All",C2501=sel_Region),OR(sel_Country="All",D2501=sel_Country),OR(sel_Channel="All",E2501=sel_Channel),OR(sel_Customer="All",F2501=sel_Customer),OR(sel_Category="All",G2501=sel_Category),OR(sel_Product="All",H2501=sel_Product)),1,0)</f>
        <v/>
      </c>
    </row>
    <row r="2502">
      <c r="A2502" s="36" t="inlineStr">
        <is>
          <t>00364</t>
        </is>
      </c>
      <c r="B2502" s="44" t="n">
        <v>46357</v>
      </c>
      <c r="C2502" s="36" t="inlineStr">
        <is>
          <t>Western Europe</t>
        </is>
      </c>
      <c r="D2502" s="36" t="inlineStr">
        <is>
          <t>France</t>
        </is>
      </c>
      <c r="E2502" s="36" t="inlineStr">
        <is>
          <t>Online Store</t>
        </is>
      </c>
      <c r="F2502" s="36" t="inlineStr">
        <is>
          <t>Business</t>
        </is>
      </c>
      <c r="G2502" s="36" t="inlineStr">
        <is>
          <t>Cycling</t>
        </is>
      </c>
      <c r="H2502" s="36" t="inlineStr">
        <is>
          <t>Trail Bike Light</t>
        </is>
      </c>
      <c r="I2502" s="36" t="n">
        <v>2</v>
      </c>
      <c r="J2502" s="39" t="n">
        <v>51.83</v>
      </c>
      <c r="K2502" s="45" t="n">
        <v>0.15</v>
      </c>
      <c r="L2502" s="39" t="n">
        <v>22.02</v>
      </c>
      <c r="M2502" s="39">
        <f>I2502*J2502*(1-K2502)</f>
        <v/>
      </c>
      <c r="N2502" s="39">
        <f>I2502*L2502</f>
        <v/>
      </c>
      <c r="O2502" s="39">
        <f>M2502-N2502</f>
        <v/>
      </c>
      <c r="P2502" s="38">
        <f>IF(M2502=0,0,O2502/M2502)</f>
        <v/>
      </c>
      <c r="Q2502" s="36">
        <f>YEAR(B2502)</f>
        <v/>
      </c>
      <c r="R2502" s="36">
        <f>"Q"&amp;ROUNDUP(MONTH(B2502)/3,0)</f>
        <v/>
      </c>
      <c r="S2502" s="36">
        <f>MONTH(B2502)</f>
        <v/>
      </c>
      <c r="T2502" s="36">
        <f>TEXT(B2502,"mmm")</f>
        <v/>
      </c>
      <c r="U2502" s="36">
        <f>IF(AND(OR(sel_Region="All",C2502=sel_Region),OR(sel_Country="All",D2502=sel_Country),OR(sel_Channel="All",E2502=sel_Channel),OR(sel_Customer="All",F2502=sel_Customer),OR(sel_Category="All",G2502=sel_Category),OR(sel_Product="All",H2502=sel_Product),AND(S2502&gt;=m_From,S2502&lt;=m_To)),1,0)</f>
        <v/>
      </c>
      <c r="V2502" s="36">
        <f>IF(AND(OR(sel_Region="All",C2502=sel_Region),OR(sel_Channel="All",E2502=sel_Channel),OR(sel_Customer="All",F2502=sel_Customer),OR(sel_Category="All",G2502=sel_Category),OR(sel_Product="All",H2502=sel_Product),AND(S2502&gt;=m_From,S2502&lt;=m_To)),1,0)</f>
        <v/>
      </c>
      <c r="W2502" s="36">
        <f>IF(AND(OR(sel_Region="All",C2502=sel_Region),OR(sel_Country="All",D2502=sel_Country),OR(sel_Customer="All",F2502=sel_Customer),OR(sel_Category="All",G2502=sel_Category),OR(sel_Product="All",H2502=sel_Product),AND(S2502&gt;=m_From,S2502&lt;=m_To)),1,0)</f>
        <v/>
      </c>
      <c r="X2502" s="36">
        <f>IF(AND(OR(sel_Region="All",C2502=sel_Region),OR(sel_Country="All",D2502=sel_Country),OR(sel_Channel="All",E2502=sel_Channel),OR(sel_Category="All",G2502=sel_Category),OR(sel_Product="All",H2502=sel_Product),AND(S2502&gt;=m_From,S2502&lt;=m_To)),1,0)</f>
        <v/>
      </c>
      <c r="Y2502" s="36">
        <f>IF(AND(OR(sel_Region="All",C2502=sel_Region),OR(sel_Country="All",D2502=sel_Country),OR(sel_Channel="All",E2502=sel_Channel),OR(sel_Customer="All",F2502=sel_Customer),OR(sel_Product="All",H2502=sel_Product),AND(S2502&gt;=m_From,S2502&lt;=m_To)),1,0)</f>
        <v/>
      </c>
      <c r="Z2502" s="36">
        <f>IF(AND(OR(sel_Region="All",C2502=sel_Region),OR(sel_Country="All",D2502=sel_Country),OR(sel_Channel="All",E2502=sel_Channel),OR(sel_Customer="All",F2502=sel_Customer),OR(sel_Category="All",G2502=sel_Category),AND(S2502&gt;=m_From,S2502&lt;=m_To)),1,0)</f>
        <v/>
      </c>
      <c r="AA2502" s="36">
        <f>IF(AND(OR(sel_Region="All",C2502=sel_Region),OR(sel_Country="All",D2502=sel_Country),OR(sel_Channel="All",E2502=sel_Channel),OR(sel_Customer="All",F2502=sel_Customer),OR(sel_Category="All",G2502=sel_Category),OR(sel_Product="All",H2502=sel_Product)),1,0)</f>
        <v/>
      </c>
    </row>
    <row r="2503">
      <c r="A2503" s="36" t="inlineStr">
        <is>
          <t>02040</t>
        </is>
      </c>
      <c r="B2503" s="44" t="n">
        <v>46357</v>
      </c>
      <c r="C2503" s="36" t="inlineStr">
        <is>
          <t>Central Europe</t>
        </is>
      </c>
      <c r="D2503" s="36" t="inlineStr">
        <is>
          <t>Germany</t>
        </is>
      </c>
      <c r="E2503" s="36" t="inlineStr">
        <is>
          <t>Online Store</t>
        </is>
      </c>
      <c r="F2503" s="36" t="inlineStr">
        <is>
          <t>New</t>
        </is>
      </c>
      <c r="G2503" s="36" t="inlineStr">
        <is>
          <t>Hiking</t>
        </is>
      </c>
      <c r="H2503" s="36" t="inlineStr">
        <is>
          <t>Trail Boots</t>
        </is>
      </c>
      <c r="I2503" s="36" t="n">
        <v>1</v>
      </c>
      <c r="J2503" s="39" t="n">
        <v>140.34</v>
      </c>
      <c r="K2503" s="45" t="n">
        <v>0.15</v>
      </c>
      <c r="L2503" s="39" t="n">
        <v>79.92</v>
      </c>
      <c r="M2503" s="39">
        <f>I2503*J2503*(1-K2503)</f>
        <v/>
      </c>
      <c r="N2503" s="39">
        <f>I2503*L2503</f>
        <v/>
      </c>
      <c r="O2503" s="39">
        <f>M2503-N2503</f>
        <v/>
      </c>
      <c r="P2503" s="38">
        <f>IF(M2503=0,0,O2503/M2503)</f>
        <v/>
      </c>
      <c r="Q2503" s="36">
        <f>YEAR(B2503)</f>
        <v/>
      </c>
      <c r="R2503" s="36">
        <f>"Q"&amp;ROUNDUP(MONTH(B2503)/3,0)</f>
        <v/>
      </c>
      <c r="S2503" s="36">
        <f>MONTH(B2503)</f>
        <v/>
      </c>
      <c r="T2503" s="36">
        <f>TEXT(B2503,"mmm")</f>
        <v/>
      </c>
      <c r="U2503" s="36">
        <f>IF(AND(OR(sel_Region="All",C2503=sel_Region),OR(sel_Country="All",D2503=sel_Country),OR(sel_Channel="All",E2503=sel_Channel),OR(sel_Customer="All",F2503=sel_Customer),OR(sel_Category="All",G2503=sel_Category),OR(sel_Product="All",H2503=sel_Product),AND(S2503&gt;=m_From,S2503&lt;=m_To)),1,0)</f>
        <v/>
      </c>
      <c r="V2503" s="36">
        <f>IF(AND(OR(sel_Region="All",C2503=sel_Region),OR(sel_Channel="All",E2503=sel_Channel),OR(sel_Customer="All",F2503=sel_Customer),OR(sel_Category="All",G2503=sel_Category),OR(sel_Product="All",H2503=sel_Product),AND(S2503&gt;=m_From,S2503&lt;=m_To)),1,0)</f>
        <v/>
      </c>
      <c r="W2503" s="36">
        <f>IF(AND(OR(sel_Region="All",C2503=sel_Region),OR(sel_Country="All",D2503=sel_Country),OR(sel_Customer="All",F2503=sel_Customer),OR(sel_Category="All",G2503=sel_Category),OR(sel_Product="All",H2503=sel_Product),AND(S2503&gt;=m_From,S2503&lt;=m_To)),1,0)</f>
        <v/>
      </c>
      <c r="X2503" s="36">
        <f>IF(AND(OR(sel_Region="All",C2503=sel_Region),OR(sel_Country="All",D2503=sel_Country),OR(sel_Channel="All",E2503=sel_Channel),OR(sel_Category="All",G2503=sel_Category),OR(sel_Product="All",H2503=sel_Product),AND(S2503&gt;=m_From,S2503&lt;=m_To)),1,0)</f>
        <v/>
      </c>
      <c r="Y2503" s="36">
        <f>IF(AND(OR(sel_Region="All",C2503=sel_Region),OR(sel_Country="All",D2503=sel_Country),OR(sel_Channel="All",E2503=sel_Channel),OR(sel_Customer="All",F2503=sel_Customer),OR(sel_Product="All",H2503=sel_Product),AND(S2503&gt;=m_From,S2503&lt;=m_To)),1,0)</f>
        <v/>
      </c>
      <c r="Z2503" s="36">
        <f>IF(AND(OR(sel_Region="All",C2503=sel_Region),OR(sel_Country="All",D2503=sel_Country),OR(sel_Channel="All",E2503=sel_Channel),OR(sel_Customer="All",F2503=sel_Customer),OR(sel_Category="All",G2503=sel_Category),AND(S2503&gt;=m_From,S2503&lt;=m_To)),1,0)</f>
        <v/>
      </c>
      <c r="AA2503" s="36">
        <f>IF(AND(OR(sel_Region="All",C2503=sel_Region),OR(sel_Country="All",D2503=sel_Country),OR(sel_Channel="All",E2503=sel_Channel),OR(sel_Customer="All",F2503=sel_Customer),OR(sel_Category="All",G2503=sel_Category),OR(sel_Product="All",H2503=sel_Product)),1,0)</f>
        <v/>
      </c>
    </row>
    <row r="2504">
      <c r="A2504" s="36" t="inlineStr">
        <is>
          <t>02899</t>
        </is>
      </c>
      <c r="B2504" s="44" t="n">
        <v>46357</v>
      </c>
      <c r="C2504" s="36" t="inlineStr">
        <is>
          <t>Southern Europe</t>
        </is>
      </c>
      <c r="D2504" s="36" t="inlineStr">
        <is>
          <t>Spain</t>
        </is>
      </c>
      <c r="E2504" s="36" t="inlineStr">
        <is>
          <t>Online Store</t>
        </is>
      </c>
      <c r="F2504" s="36" t="inlineStr">
        <is>
          <t>New</t>
        </is>
      </c>
      <c r="G2504" s="36" t="inlineStr">
        <is>
          <t>Hiking</t>
        </is>
      </c>
      <c r="H2504" s="36" t="inlineStr">
        <is>
          <t>Summit Backpack 45L</t>
        </is>
      </c>
      <c r="I2504" s="36" t="n">
        <v>1</v>
      </c>
      <c r="J2504" s="39" t="n">
        <v>156.45</v>
      </c>
      <c r="K2504" s="45" t="n">
        <v>0</v>
      </c>
      <c r="L2504" s="39" t="n">
        <v>80.56</v>
      </c>
      <c r="M2504" s="39">
        <f>I2504*J2504*(1-K2504)</f>
        <v/>
      </c>
      <c r="N2504" s="39">
        <f>I2504*L2504</f>
        <v/>
      </c>
      <c r="O2504" s="39">
        <f>M2504-N2504</f>
        <v/>
      </c>
      <c r="P2504" s="38">
        <f>IF(M2504=0,0,O2504/M2504)</f>
        <v/>
      </c>
      <c r="Q2504" s="36">
        <f>YEAR(B2504)</f>
        <v/>
      </c>
      <c r="R2504" s="36">
        <f>"Q"&amp;ROUNDUP(MONTH(B2504)/3,0)</f>
        <v/>
      </c>
      <c r="S2504" s="36">
        <f>MONTH(B2504)</f>
        <v/>
      </c>
      <c r="T2504" s="36">
        <f>TEXT(B2504,"mmm")</f>
        <v/>
      </c>
      <c r="U2504" s="36">
        <f>IF(AND(OR(sel_Region="All",C2504=sel_Region),OR(sel_Country="All",D2504=sel_Country),OR(sel_Channel="All",E2504=sel_Channel),OR(sel_Customer="All",F2504=sel_Customer),OR(sel_Category="All",G2504=sel_Category),OR(sel_Product="All",H2504=sel_Product),AND(S2504&gt;=m_From,S2504&lt;=m_To)),1,0)</f>
        <v/>
      </c>
      <c r="V2504" s="36">
        <f>IF(AND(OR(sel_Region="All",C2504=sel_Region),OR(sel_Channel="All",E2504=sel_Channel),OR(sel_Customer="All",F2504=sel_Customer),OR(sel_Category="All",G2504=sel_Category),OR(sel_Product="All",H2504=sel_Product),AND(S2504&gt;=m_From,S2504&lt;=m_To)),1,0)</f>
        <v/>
      </c>
      <c r="W2504" s="36">
        <f>IF(AND(OR(sel_Region="All",C2504=sel_Region),OR(sel_Country="All",D2504=sel_Country),OR(sel_Customer="All",F2504=sel_Customer),OR(sel_Category="All",G2504=sel_Category),OR(sel_Product="All",H2504=sel_Product),AND(S2504&gt;=m_From,S2504&lt;=m_To)),1,0)</f>
        <v/>
      </c>
      <c r="X2504" s="36">
        <f>IF(AND(OR(sel_Region="All",C2504=sel_Region),OR(sel_Country="All",D2504=sel_Country),OR(sel_Channel="All",E2504=sel_Channel),OR(sel_Category="All",G2504=sel_Category),OR(sel_Product="All",H2504=sel_Product),AND(S2504&gt;=m_From,S2504&lt;=m_To)),1,0)</f>
        <v/>
      </c>
      <c r="Y2504" s="36">
        <f>IF(AND(OR(sel_Region="All",C2504=sel_Region),OR(sel_Country="All",D2504=sel_Country),OR(sel_Channel="All",E2504=sel_Channel),OR(sel_Customer="All",F2504=sel_Customer),OR(sel_Product="All",H2504=sel_Product),AND(S2504&gt;=m_From,S2504&lt;=m_To)),1,0)</f>
        <v/>
      </c>
      <c r="Z2504" s="36">
        <f>IF(AND(OR(sel_Region="All",C2504=sel_Region),OR(sel_Country="All",D2504=sel_Country),OR(sel_Channel="All",E2504=sel_Channel),OR(sel_Customer="All",F2504=sel_Customer),OR(sel_Category="All",G2504=sel_Category),AND(S2504&gt;=m_From,S2504&lt;=m_To)),1,0)</f>
        <v/>
      </c>
      <c r="AA2504" s="36">
        <f>IF(AND(OR(sel_Region="All",C2504=sel_Region),OR(sel_Country="All",D2504=sel_Country),OR(sel_Channel="All",E2504=sel_Channel),OR(sel_Customer="All",F2504=sel_Customer),OR(sel_Category="All",G2504=sel_Category),OR(sel_Product="All",H2504=sel_Product)),1,0)</f>
        <v/>
      </c>
    </row>
    <row r="2505">
      <c r="A2505" s="36" t="inlineStr">
        <is>
          <t>03199</t>
        </is>
      </c>
      <c r="B2505" s="44" t="n">
        <v>46357</v>
      </c>
      <c r="C2505" s="36" t="inlineStr">
        <is>
          <t>Northern Europe</t>
        </is>
      </c>
      <c r="D2505" s="36" t="inlineStr">
        <is>
          <t>Norway</t>
        </is>
      </c>
      <c r="E2505" s="36" t="inlineStr">
        <is>
          <t>Marketplace</t>
        </is>
      </c>
      <c r="F2505" s="36" t="inlineStr">
        <is>
          <t>Returning</t>
        </is>
      </c>
      <c r="G2505" s="36" t="inlineStr">
        <is>
          <t>Fitness</t>
        </is>
      </c>
      <c r="H2505" s="36" t="inlineStr">
        <is>
          <t>Resistance Band Set</t>
        </is>
      </c>
      <c r="I2505" s="36" t="n">
        <v>1</v>
      </c>
      <c r="J2505" s="39" t="n">
        <v>41.33</v>
      </c>
      <c r="K2505" s="45" t="n">
        <v>0</v>
      </c>
      <c r="L2505" s="39" t="n">
        <v>15.03</v>
      </c>
      <c r="M2505" s="39">
        <f>I2505*J2505*(1-K2505)</f>
        <v/>
      </c>
      <c r="N2505" s="39">
        <f>I2505*L2505</f>
        <v/>
      </c>
      <c r="O2505" s="39">
        <f>M2505-N2505</f>
        <v/>
      </c>
      <c r="P2505" s="38">
        <f>IF(M2505=0,0,O2505/M2505)</f>
        <v/>
      </c>
      <c r="Q2505" s="36">
        <f>YEAR(B2505)</f>
        <v/>
      </c>
      <c r="R2505" s="36">
        <f>"Q"&amp;ROUNDUP(MONTH(B2505)/3,0)</f>
        <v/>
      </c>
      <c r="S2505" s="36">
        <f>MONTH(B2505)</f>
        <v/>
      </c>
      <c r="T2505" s="36">
        <f>TEXT(B2505,"mmm")</f>
        <v/>
      </c>
      <c r="U2505" s="36">
        <f>IF(AND(OR(sel_Region="All",C2505=sel_Region),OR(sel_Country="All",D2505=sel_Country),OR(sel_Channel="All",E2505=sel_Channel),OR(sel_Customer="All",F2505=sel_Customer),OR(sel_Category="All",G2505=sel_Category),OR(sel_Product="All",H2505=sel_Product),AND(S2505&gt;=m_From,S2505&lt;=m_To)),1,0)</f>
        <v/>
      </c>
      <c r="V2505" s="36">
        <f>IF(AND(OR(sel_Region="All",C2505=sel_Region),OR(sel_Channel="All",E2505=sel_Channel),OR(sel_Customer="All",F2505=sel_Customer),OR(sel_Category="All",G2505=sel_Category),OR(sel_Product="All",H2505=sel_Product),AND(S2505&gt;=m_From,S2505&lt;=m_To)),1,0)</f>
        <v/>
      </c>
      <c r="W2505" s="36">
        <f>IF(AND(OR(sel_Region="All",C2505=sel_Region),OR(sel_Country="All",D2505=sel_Country),OR(sel_Customer="All",F2505=sel_Customer),OR(sel_Category="All",G2505=sel_Category),OR(sel_Product="All",H2505=sel_Product),AND(S2505&gt;=m_From,S2505&lt;=m_To)),1,0)</f>
        <v/>
      </c>
      <c r="X2505" s="36">
        <f>IF(AND(OR(sel_Region="All",C2505=sel_Region),OR(sel_Country="All",D2505=sel_Country),OR(sel_Channel="All",E2505=sel_Channel),OR(sel_Category="All",G2505=sel_Category),OR(sel_Product="All",H2505=sel_Product),AND(S2505&gt;=m_From,S2505&lt;=m_To)),1,0)</f>
        <v/>
      </c>
      <c r="Y2505" s="36">
        <f>IF(AND(OR(sel_Region="All",C2505=sel_Region),OR(sel_Country="All",D2505=sel_Country),OR(sel_Channel="All",E2505=sel_Channel),OR(sel_Customer="All",F2505=sel_Customer),OR(sel_Product="All",H2505=sel_Product),AND(S2505&gt;=m_From,S2505&lt;=m_To)),1,0)</f>
        <v/>
      </c>
      <c r="Z2505" s="36">
        <f>IF(AND(OR(sel_Region="All",C2505=sel_Region),OR(sel_Country="All",D2505=sel_Country),OR(sel_Channel="All",E2505=sel_Channel),OR(sel_Customer="All",F2505=sel_Customer),OR(sel_Category="All",G2505=sel_Category),AND(S2505&gt;=m_From,S2505&lt;=m_To)),1,0)</f>
        <v/>
      </c>
      <c r="AA2505" s="36">
        <f>IF(AND(OR(sel_Region="All",C2505=sel_Region),OR(sel_Country="All",D2505=sel_Country),OR(sel_Channel="All",E2505=sel_Channel),OR(sel_Customer="All",F2505=sel_Customer),OR(sel_Category="All",G2505=sel_Category),OR(sel_Product="All",H2505=sel_Product)),1,0)</f>
        <v/>
      </c>
    </row>
    <row r="2506">
      <c r="A2506" s="36" t="inlineStr">
        <is>
          <t>04722</t>
        </is>
      </c>
      <c r="B2506" s="44" t="n">
        <v>46357</v>
      </c>
      <c r="C2506" s="36" t="inlineStr">
        <is>
          <t>Central Europe</t>
        </is>
      </c>
      <c r="D2506" s="36" t="inlineStr">
        <is>
          <t>Switzerland</t>
        </is>
      </c>
      <c r="E2506" s="36" t="inlineStr">
        <is>
          <t>Retail Partners</t>
        </is>
      </c>
      <c r="F2506" s="36" t="inlineStr">
        <is>
          <t>New</t>
        </is>
      </c>
      <c r="G2506" s="36" t="inlineStr">
        <is>
          <t>Cycling</t>
        </is>
      </c>
      <c r="H2506" s="36" t="inlineStr">
        <is>
          <t>Compact Repair Kit</t>
        </is>
      </c>
      <c r="I2506" s="36" t="n">
        <v>1</v>
      </c>
      <c r="J2506" s="39" t="n">
        <v>39.48</v>
      </c>
      <c r="K2506" s="45" t="n">
        <v>0.05</v>
      </c>
      <c r="L2506" s="39" t="n">
        <v>16.78</v>
      </c>
      <c r="M2506" s="39">
        <f>I2506*J2506*(1-K2506)</f>
        <v/>
      </c>
      <c r="N2506" s="39">
        <f>I2506*L2506</f>
        <v/>
      </c>
      <c r="O2506" s="39">
        <f>M2506-N2506</f>
        <v/>
      </c>
      <c r="P2506" s="38">
        <f>IF(M2506=0,0,O2506/M2506)</f>
        <v/>
      </c>
      <c r="Q2506" s="36">
        <f>YEAR(B2506)</f>
        <v/>
      </c>
      <c r="R2506" s="36">
        <f>"Q"&amp;ROUNDUP(MONTH(B2506)/3,0)</f>
        <v/>
      </c>
      <c r="S2506" s="36">
        <f>MONTH(B2506)</f>
        <v/>
      </c>
      <c r="T2506" s="36">
        <f>TEXT(B2506,"mmm")</f>
        <v/>
      </c>
      <c r="U2506" s="36">
        <f>IF(AND(OR(sel_Region="All",C2506=sel_Region),OR(sel_Country="All",D2506=sel_Country),OR(sel_Channel="All",E2506=sel_Channel),OR(sel_Customer="All",F2506=sel_Customer),OR(sel_Category="All",G2506=sel_Category),OR(sel_Product="All",H2506=sel_Product),AND(S2506&gt;=m_From,S2506&lt;=m_To)),1,0)</f>
        <v/>
      </c>
      <c r="V2506" s="36">
        <f>IF(AND(OR(sel_Region="All",C2506=sel_Region),OR(sel_Channel="All",E2506=sel_Channel),OR(sel_Customer="All",F2506=sel_Customer),OR(sel_Category="All",G2506=sel_Category),OR(sel_Product="All",H2506=sel_Product),AND(S2506&gt;=m_From,S2506&lt;=m_To)),1,0)</f>
        <v/>
      </c>
      <c r="W2506" s="36">
        <f>IF(AND(OR(sel_Region="All",C2506=sel_Region),OR(sel_Country="All",D2506=sel_Country),OR(sel_Customer="All",F2506=sel_Customer),OR(sel_Category="All",G2506=sel_Category),OR(sel_Product="All",H2506=sel_Product),AND(S2506&gt;=m_From,S2506&lt;=m_To)),1,0)</f>
        <v/>
      </c>
      <c r="X2506" s="36">
        <f>IF(AND(OR(sel_Region="All",C2506=sel_Region),OR(sel_Country="All",D2506=sel_Country),OR(sel_Channel="All",E2506=sel_Channel),OR(sel_Category="All",G2506=sel_Category),OR(sel_Product="All",H2506=sel_Product),AND(S2506&gt;=m_From,S2506&lt;=m_To)),1,0)</f>
        <v/>
      </c>
      <c r="Y2506" s="36">
        <f>IF(AND(OR(sel_Region="All",C2506=sel_Region),OR(sel_Country="All",D2506=sel_Country),OR(sel_Channel="All",E2506=sel_Channel),OR(sel_Customer="All",F2506=sel_Customer),OR(sel_Product="All",H2506=sel_Product),AND(S2506&gt;=m_From,S2506&lt;=m_To)),1,0)</f>
        <v/>
      </c>
      <c r="Z2506" s="36">
        <f>IF(AND(OR(sel_Region="All",C2506=sel_Region),OR(sel_Country="All",D2506=sel_Country),OR(sel_Channel="All",E2506=sel_Channel),OR(sel_Customer="All",F2506=sel_Customer),OR(sel_Category="All",G2506=sel_Category),AND(S2506&gt;=m_From,S2506&lt;=m_To)),1,0)</f>
        <v/>
      </c>
      <c r="AA2506" s="36">
        <f>IF(AND(OR(sel_Region="All",C2506=sel_Region),OR(sel_Country="All",D2506=sel_Country),OR(sel_Channel="All",E2506=sel_Channel),OR(sel_Customer="All",F2506=sel_Customer),OR(sel_Category="All",G2506=sel_Category),OR(sel_Product="All",H2506=sel_Product)),1,0)</f>
        <v/>
      </c>
    </row>
    <row r="2507">
      <c r="A2507" s="36" t="inlineStr">
        <is>
          <t>01423</t>
        </is>
      </c>
      <c r="B2507" s="44" t="n">
        <v>46358</v>
      </c>
      <c r="C2507" s="36" t="inlineStr">
        <is>
          <t>Northern Europe</t>
        </is>
      </c>
      <c r="D2507" s="36" t="inlineStr">
        <is>
          <t>Ireland</t>
        </is>
      </c>
      <c r="E2507" s="36" t="inlineStr">
        <is>
          <t>Online Store</t>
        </is>
      </c>
      <c r="F2507" s="36" t="inlineStr">
        <is>
          <t>Business</t>
        </is>
      </c>
      <c r="G2507" s="36" t="inlineStr">
        <is>
          <t>Hiking</t>
        </is>
      </c>
      <c r="H2507" s="36" t="inlineStr">
        <is>
          <t>Trekking Poles</t>
        </is>
      </c>
      <c r="I2507" s="36" t="n">
        <v>1</v>
      </c>
      <c r="J2507" s="39" t="n">
        <v>73.01000000000001</v>
      </c>
      <c r="K2507" s="45" t="n">
        <v>0.1</v>
      </c>
      <c r="L2507" s="39" t="n">
        <v>31.51</v>
      </c>
      <c r="M2507" s="39">
        <f>I2507*J2507*(1-K2507)</f>
        <v/>
      </c>
      <c r="N2507" s="39">
        <f>I2507*L2507</f>
        <v/>
      </c>
      <c r="O2507" s="39">
        <f>M2507-N2507</f>
        <v/>
      </c>
      <c r="P2507" s="38">
        <f>IF(M2507=0,0,O2507/M2507)</f>
        <v/>
      </c>
      <c r="Q2507" s="36">
        <f>YEAR(B2507)</f>
        <v/>
      </c>
      <c r="R2507" s="36">
        <f>"Q"&amp;ROUNDUP(MONTH(B2507)/3,0)</f>
        <v/>
      </c>
      <c r="S2507" s="36">
        <f>MONTH(B2507)</f>
        <v/>
      </c>
      <c r="T2507" s="36">
        <f>TEXT(B2507,"mmm")</f>
        <v/>
      </c>
      <c r="U2507" s="36">
        <f>IF(AND(OR(sel_Region="All",C2507=sel_Region),OR(sel_Country="All",D2507=sel_Country),OR(sel_Channel="All",E2507=sel_Channel),OR(sel_Customer="All",F2507=sel_Customer),OR(sel_Category="All",G2507=sel_Category),OR(sel_Product="All",H2507=sel_Product),AND(S2507&gt;=m_From,S2507&lt;=m_To)),1,0)</f>
        <v/>
      </c>
      <c r="V2507" s="36">
        <f>IF(AND(OR(sel_Region="All",C2507=sel_Region),OR(sel_Channel="All",E2507=sel_Channel),OR(sel_Customer="All",F2507=sel_Customer),OR(sel_Category="All",G2507=sel_Category),OR(sel_Product="All",H2507=sel_Product),AND(S2507&gt;=m_From,S2507&lt;=m_To)),1,0)</f>
        <v/>
      </c>
      <c r="W2507" s="36">
        <f>IF(AND(OR(sel_Region="All",C2507=sel_Region),OR(sel_Country="All",D2507=sel_Country),OR(sel_Customer="All",F2507=sel_Customer),OR(sel_Category="All",G2507=sel_Category),OR(sel_Product="All",H2507=sel_Product),AND(S2507&gt;=m_From,S2507&lt;=m_To)),1,0)</f>
        <v/>
      </c>
      <c r="X2507" s="36">
        <f>IF(AND(OR(sel_Region="All",C2507=sel_Region),OR(sel_Country="All",D2507=sel_Country),OR(sel_Channel="All",E2507=sel_Channel),OR(sel_Category="All",G2507=sel_Category),OR(sel_Product="All",H2507=sel_Product),AND(S2507&gt;=m_From,S2507&lt;=m_To)),1,0)</f>
        <v/>
      </c>
      <c r="Y2507" s="36">
        <f>IF(AND(OR(sel_Region="All",C2507=sel_Region),OR(sel_Country="All",D2507=sel_Country),OR(sel_Channel="All",E2507=sel_Channel),OR(sel_Customer="All",F2507=sel_Customer),OR(sel_Product="All",H2507=sel_Product),AND(S2507&gt;=m_From,S2507&lt;=m_To)),1,0)</f>
        <v/>
      </c>
      <c r="Z2507" s="36">
        <f>IF(AND(OR(sel_Region="All",C2507=sel_Region),OR(sel_Country="All",D2507=sel_Country),OR(sel_Channel="All",E2507=sel_Channel),OR(sel_Customer="All",F2507=sel_Customer),OR(sel_Category="All",G2507=sel_Category),AND(S2507&gt;=m_From,S2507&lt;=m_To)),1,0)</f>
        <v/>
      </c>
      <c r="AA2507" s="36">
        <f>IF(AND(OR(sel_Region="All",C2507=sel_Region),OR(sel_Country="All",D2507=sel_Country),OR(sel_Channel="All",E2507=sel_Channel),OR(sel_Customer="All",F2507=sel_Customer),OR(sel_Category="All",G2507=sel_Category),OR(sel_Product="All",H2507=sel_Product)),1,0)</f>
        <v/>
      </c>
    </row>
    <row r="2508">
      <c r="A2508" s="36" t="inlineStr">
        <is>
          <t>01505</t>
        </is>
      </c>
      <c r="B2508" s="44" t="n">
        <v>46358</v>
      </c>
      <c r="C2508" s="36" t="inlineStr">
        <is>
          <t>Southern Europe</t>
        </is>
      </c>
      <c r="D2508" s="36" t="inlineStr">
        <is>
          <t>Italy</t>
        </is>
      </c>
      <c r="E2508" s="36" t="inlineStr">
        <is>
          <t>Online Store</t>
        </is>
      </c>
      <c r="F2508" s="36" t="inlineStr">
        <is>
          <t>Business</t>
        </is>
      </c>
      <c r="G2508" s="36" t="inlineStr">
        <is>
          <t>Fitness</t>
        </is>
      </c>
      <c r="H2508" s="36" t="inlineStr">
        <is>
          <t>Resistance Band Set</t>
        </is>
      </c>
      <c r="I2508" s="36" t="n">
        <v>2</v>
      </c>
      <c r="J2508" s="39" t="n">
        <v>40.86</v>
      </c>
      <c r="K2508" s="45" t="n">
        <v>0.05</v>
      </c>
      <c r="L2508" s="39" t="n">
        <v>15.06</v>
      </c>
      <c r="M2508" s="39">
        <f>I2508*J2508*(1-K2508)</f>
        <v/>
      </c>
      <c r="N2508" s="39">
        <f>I2508*L2508</f>
        <v/>
      </c>
      <c r="O2508" s="39">
        <f>M2508-N2508</f>
        <v/>
      </c>
      <c r="P2508" s="38">
        <f>IF(M2508=0,0,O2508/M2508)</f>
        <v/>
      </c>
      <c r="Q2508" s="36">
        <f>YEAR(B2508)</f>
        <v/>
      </c>
      <c r="R2508" s="36">
        <f>"Q"&amp;ROUNDUP(MONTH(B2508)/3,0)</f>
        <v/>
      </c>
      <c r="S2508" s="36">
        <f>MONTH(B2508)</f>
        <v/>
      </c>
      <c r="T2508" s="36">
        <f>TEXT(B2508,"mmm")</f>
        <v/>
      </c>
      <c r="U2508" s="36">
        <f>IF(AND(OR(sel_Region="All",C2508=sel_Region),OR(sel_Country="All",D2508=sel_Country),OR(sel_Channel="All",E2508=sel_Channel),OR(sel_Customer="All",F2508=sel_Customer),OR(sel_Category="All",G2508=sel_Category),OR(sel_Product="All",H2508=sel_Product),AND(S2508&gt;=m_From,S2508&lt;=m_To)),1,0)</f>
        <v/>
      </c>
      <c r="V2508" s="36">
        <f>IF(AND(OR(sel_Region="All",C2508=sel_Region),OR(sel_Channel="All",E2508=sel_Channel),OR(sel_Customer="All",F2508=sel_Customer),OR(sel_Category="All",G2508=sel_Category),OR(sel_Product="All",H2508=sel_Product),AND(S2508&gt;=m_From,S2508&lt;=m_To)),1,0)</f>
        <v/>
      </c>
      <c r="W2508" s="36">
        <f>IF(AND(OR(sel_Region="All",C2508=sel_Region),OR(sel_Country="All",D2508=sel_Country),OR(sel_Customer="All",F2508=sel_Customer),OR(sel_Category="All",G2508=sel_Category),OR(sel_Product="All",H2508=sel_Product),AND(S2508&gt;=m_From,S2508&lt;=m_To)),1,0)</f>
        <v/>
      </c>
      <c r="X2508" s="36">
        <f>IF(AND(OR(sel_Region="All",C2508=sel_Region),OR(sel_Country="All",D2508=sel_Country),OR(sel_Channel="All",E2508=sel_Channel),OR(sel_Category="All",G2508=sel_Category),OR(sel_Product="All",H2508=sel_Product),AND(S2508&gt;=m_From,S2508&lt;=m_To)),1,0)</f>
        <v/>
      </c>
      <c r="Y2508" s="36">
        <f>IF(AND(OR(sel_Region="All",C2508=sel_Region),OR(sel_Country="All",D2508=sel_Country),OR(sel_Channel="All",E2508=sel_Channel),OR(sel_Customer="All",F2508=sel_Customer),OR(sel_Product="All",H2508=sel_Product),AND(S2508&gt;=m_From,S2508&lt;=m_To)),1,0)</f>
        <v/>
      </c>
      <c r="Z2508" s="36">
        <f>IF(AND(OR(sel_Region="All",C2508=sel_Region),OR(sel_Country="All",D2508=sel_Country),OR(sel_Channel="All",E2508=sel_Channel),OR(sel_Customer="All",F2508=sel_Customer),OR(sel_Category="All",G2508=sel_Category),AND(S2508&gt;=m_From,S2508&lt;=m_To)),1,0)</f>
        <v/>
      </c>
      <c r="AA2508" s="36">
        <f>IF(AND(OR(sel_Region="All",C2508=sel_Region),OR(sel_Country="All",D2508=sel_Country),OR(sel_Channel="All",E2508=sel_Channel),OR(sel_Customer="All",F2508=sel_Customer),OR(sel_Category="All",G2508=sel_Category),OR(sel_Product="All",H2508=sel_Product)),1,0)</f>
        <v/>
      </c>
    </row>
    <row r="2509">
      <c r="A2509" s="36" t="inlineStr">
        <is>
          <t>01664</t>
        </is>
      </c>
      <c r="B2509" s="44" t="n">
        <v>46358</v>
      </c>
      <c r="C2509" s="36" t="inlineStr">
        <is>
          <t>Northern Europe</t>
        </is>
      </c>
      <c r="D2509" s="36" t="inlineStr">
        <is>
          <t>Denmark</t>
        </is>
      </c>
      <c r="E2509" s="36" t="inlineStr">
        <is>
          <t>Marketplace</t>
        </is>
      </c>
      <c r="F2509" s="36" t="inlineStr">
        <is>
          <t>Returning</t>
        </is>
      </c>
      <c r="G2509" s="36" t="inlineStr">
        <is>
          <t>Camping</t>
        </is>
      </c>
      <c r="H2509" s="36" t="inlineStr">
        <is>
          <t>Trail Tent 2P</t>
        </is>
      </c>
      <c r="I2509" s="36" t="n">
        <v>6</v>
      </c>
      <c r="J2509" s="39" t="n">
        <v>194.79</v>
      </c>
      <c r="K2509" s="45" t="n">
        <v>0</v>
      </c>
      <c r="L2509" s="39" t="n">
        <v>105.73</v>
      </c>
      <c r="M2509" s="39">
        <f>I2509*J2509*(1-K2509)</f>
        <v/>
      </c>
      <c r="N2509" s="39">
        <f>I2509*L2509</f>
        <v/>
      </c>
      <c r="O2509" s="39">
        <f>M2509-N2509</f>
        <v/>
      </c>
      <c r="P2509" s="38">
        <f>IF(M2509=0,0,O2509/M2509)</f>
        <v/>
      </c>
      <c r="Q2509" s="36">
        <f>YEAR(B2509)</f>
        <v/>
      </c>
      <c r="R2509" s="36">
        <f>"Q"&amp;ROUNDUP(MONTH(B2509)/3,0)</f>
        <v/>
      </c>
      <c r="S2509" s="36">
        <f>MONTH(B2509)</f>
        <v/>
      </c>
      <c r="T2509" s="36">
        <f>TEXT(B2509,"mmm")</f>
        <v/>
      </c>
      <c r="U2509" s="36">
        <f>IF(AND(OR(sel_Region="All",C2509=sel_Region),OR(sel_Country="All",D2509=sel_Country),OR(sel_Channel="All",E2509=sel_Channel),OR(sel_Customer="All",F2509=sel_Customer),OR(sel_Category="All",G2509=sel_Category),OR(sel_Product="All",H2509=sel_Product),AND(S2509&gt;=m_From,S2509&lt;=m_To)),1,0)</f>
        <v/>
      </c>
      <c r="V2509" s="36">
        <f>IF(AND(OR(sel_Region="All",C2509=sel_Region),OR(sel_Channel="All",E2509=sel_Channel),OR(sel_Customer="All",F2509=sel_Customer),OR(sel_Category="All",G2509=sel_Category),OR(sel_Product="All",H2509=sel_Product),AND(S2509&gt;=m_From,S2509&lt;=m_To)),1,0)</f>
        <v/>
      </c>
      <c r="W2509" s="36">
        <f>IF(AND(OR(sel_Region="All",C2509=sel_Region),OR(sel_Country="All",D2509=sel_Country),OR(sel_Customer="All",F2509=sel_Customer),OR(sel_Category="All",G2509=sel_Category),OR(sel_Product="All",H2509=sel_Product),AND(S2509&gt;=m_From,S2509&lt;=m_To)),1,0)</f>
        <v/>
      </c>
      <c r="X2509" s="36">
        <f>IF(AND(OR(sel_Region="All",C2509=sel_Region),OR(sel_Country="All",D2509=sel_Country),OR(sel_Channel="All",E2509=sel_Channel),OR(sel_Category="All",G2509=sel_Category),OR(sel_Product="All",H2509=sel_Product),AND(S2509&gt;=m_From,S2509&lt;=m_To)),1,0)</f>
        <v/>
      </c>
      <c r="Y2509" s="36">
        <f>IF(AND(OR(sel_Region="All",C2509=sel_Region),OR(sel_Country="All",D2509=sel_Country),OR(sel_Channel="All",E2509=sel_Channel),OR(sel_Customer="All",F2509=sel_Customer),OR(sel_Product="All",H2509=sel_Product),AND(S2509&gt;=m_From,S2509&lt;=m_To)),1,0)</f>
        <v/>
      </c>
      <c r="Z2509" s="36">
        <f>IF(AND(OR(sel_Region="All",C2509=sel_Region),OR(sel_Country="All",D2509=sel_Country),OR(sel_Channel="All",E2509=sel_Channel),OR(sel_Customer="All",F2509=sel_Customer),OR(sel_Category="All",G2509=sel_Category),AND(S2509&gt;=m_From,S2509&lt;=m_To)),1,0)</f>
        <v/>
      </c>
      <c r="AA2509" s="36">
        <f>IF(AND(OR(sel_Region="All",C2509=sel_Region),OR(sel_Country="All",D2509=sel_Country),OR(sel_Channel="All",E2509=sel_Channel),OR(sel_Customer="All",F2509=sel_Customer),OR(sel_Category="All",G2509=sel_Category),OR(sel_Product="All",H2509=sel_Product)),1,0)</f>
        <v/>
      </c>
    </row>
    <row r="2510">
      <c r="A2510" s="36" t="inlineStr">
        <is>
          <t>02035</t>
        </is>
      </c>
      <c r="B2510" s="44" t="n">
        <v>46358</v>
      </c>
      <c r="C2510" s="36" t="inlineStr">
        <is>
          <t>Western Europe</t>
        </is>
      </c>
      <c r="D2510" s="36" t="inlineStr">
        <is>
          <t>France</t>
        </is>
      </c>
      <c r="E2510" s="36" t="inlineStr">
        <is>
          <t>Online Store</t>
        </is>
      </c>
      <c r="F2510" s="36" t="inlineStr">
        <is>
          <t>New</t>
        </is>
      </c>
      <c r="G2510" s="36" t="inlineStr">
        <is>
          <t>Camping</t>
        </is>
      </c>
      <c r="H2510" s="36" t="inlineStr">
        <is>
          <t>Portable Camp Stove</t>
        </is>
      </c>
      <c r="I2510" s="36" t="n">
        <v>4</v>
      </c>
      <c r="J2510" s="39" t="n">
        <v>80.98</v>
      </c>
      <c r="K2510" s="45" t="n">
        <v>0.2</v>
      </c>
      <c r="L2510" s="39" t="n">
        <v>38.6</v>
      </c>
      <c r="M2510" s="39">
        <f>I2510*J2510*(1-K2510)</f>
        <v/>
      </c>
      <c r="N2510" s="39">
        <f>I2510*L2510</f>
        <v/>
      </c>
      <c r="O2510" s="39">
        <f>M2510-N2510</f>
        <v/>
      </c>
      <c r="P2510" s="38">
        <f>IF(M2510=0,0,O2510/M2510)</f>
        <v/>
      </c>
      <c r="Q2510" s="36">
        <f>YEAR(B2510)</f>
        <v/>
      </c>
      <c r="R2510" s="36">
        <f>"Q"&amp;ROUNDUP(MONTH(B2510)/3,0)</f>
        <v/>
      </c>
      <c r="S2510" s="36">
        <f>MONTH(B2510)</f>
        <v/>
      </c>
      <c r="T2510" s="36">
        <f>TEXT(B2510,"mmm")</f>
        <v/>
      </c>
      <c r="U2510" s="36">
        <f>IF(AND(OR(sel_Region="All",C2510=sel_Region),OR(sel_Country="All",D2510=sel_Country),OR(sel_Channel="All",E2510=sel_Channel),OR(sel_Customer="All",F2510=sel_Customer),OR(sel_Category="All",G2510=sel_Category),OR(sel_Product="All",H2510=sel_Product),AND(S2510&gt;=m_From,S2510&lt;=m_To)),1,0)</f>
        <v/>
      </c>
      <c r="V2510" s="36">
        <f>IF(AND(OR(sel_Region="All",C2510=sel_Region),OR(sel_Channel="All",E2510=sel_Channel),OR(sel_Customer="All",F2510=sel_Customer),OR(sel_Category="All",G2510=sel_Category),OR(sel_Product="All",H2510=sel_Product),AND(S2510&gt;=m_From,S2510&lt;=m_To)),1,0)</f>
        <v/>
      </c>
      <c r="W2510" s="36">
        <f>IF(AND(OR(sel_Region="All",C2510=sel_Region),OR(sel_Country="All",D2510=sel_Country),OR(sel_Customer="All",F2510=sel_Customer),OR(sel_Category="All",G2510=sel_Category),OR(sel_Product="All",H2510=sel_Product),AND(S2510&gt;=m_From,S2510&lt;=m_To)),1,0)</f>
        <v/>
      </c>
      <c r="X2510" s="36">
        <f>IF(AND(OR(sel_Region="All",C2510=sel_Region),OR(sel_Country="All",D2510=sel_Country),OR(sel_Channel="All",E2510=sel_Channel),OR(sel_Category="All",G2510=sel_Category),OR(sel_Product="All",H2510=sel_Product),AND(S2510&gt;=m_From,S2510&lt;=m_To)),1,0)</f>
        <v/>
      </c>
      <c r="Y2510" s="36">
        <f>IF(AND(OR(sel_Region="All",C2510=sel_Region),OR(sel_Country="All",D2510=sel_Country),OR(sel_Channel="All",E2510=sel_Channel),OR(sel_Customer="All",F2510=sel_Customer),OR(sel_Product="All",H2510=sel_Product),AND(S2510&gt;=m_From,S2510&lt;=m_To)),1,0)</f>
        <v/>
      </c>
      <c r="Z2510" s="36">
        <f>IF(AND(OR(sel_Region="All",C2510=sel_Region),OR(sel_Country="All",D2510=sel_Country),OR(sel_Channel="All",E2510=sel_Channel),OR(sel_Customer="All",F2510=sel_Customer),OR(sel_Category="All",G2510=sel_Category),AND(S2510&gt;=m_From,S2510&lt;=m_To)),1,0)</f>
        <v/>
      </c>
      <c r="AA2510" s="36">
        <f>IF(AND(OR(sel_Region="All",C2510=sel_Region),OR(sel_Country="All",D2510=sel_Country),OR(sel_Channel="All",E2510=sel_Channel),OR(sel_Customer="All",F2510=sel_Customer),OR(sel_Category="All",G2510=sel_Category),OR(sel_Product="All",H2510=sel_Product)),1,0)</f>
        <v/>
      </c>
    </row>
    <row r="2511">
      <c r="A2511" s="36" t="inlineStr">
        <is>
          <t>02094</t>
        </is>
      </c>
      <c r="B2511" s="44" t="n">
        <v>46358</v>
      </c>
      <c r="C2511" s="36" t="inlineStr">
        <is>
          <t>Southern Europe</t>
        </is>
      </c>
      <c r="D2511" s="36" t="inlineStr">
        <is>
          <t>Italy</t>
        </is>
      </c>
      <c r="E2511" s="36" t="inlineStr">
        <is>
          <t>Online Store</t>
        </is>
      </c>
      <c r="F2511" s="36" t="inlineStr">
        <is>
          <t>New</t>
        </is>
      </c>
      <c r="G2511" s="36" t="inlineStr">
        <is>
          <t>Camping</t>
        </is>
      </c>
      <c r="H2511" s="36" t="inlineStr">
        <is>
          <t>Trail Tent 2P</t>
        </is>
      </c>
      <c r="I2511" s="36" t="n">
        <v>3</v>
      </c>
      <c r="J2511" s="39" t="n">
        <v>196.48</v>
      </c>
      <c r="K2511" s="45" t="n">
        <v>0.05</v>
      </c>
      <c r="L2511" s="39" t="n">
        <v>107.2</v>
      </c>
      <c r="M2511" s="39">
        <f>I2511*J2511*(1-K2511)</f>
        <v/>
      </c>
      <c r="N2511" s="39">
        <f>I2511*L2511</f>
        <v/>
      </c>
      <c r="O2511" s="39">
        <f>M2511-N2511</f>
        <v/>
      </c>
      <c r="P2511" s="38">
        <f>IF(M2511=0,0,O2511/M2511)</f>
        <v/>
      </c>
      <c r="Q2511" s="36">
        <f>YEAR(B2511)</f>
        <v/>
      </c>
      <c r="R2511" s="36">
        <f>"Q"&amp;ROUNDUP(MONTH(B2511)/3,0)</f>
        <v/>
      </c>
      <c r="S2511" s="36">
        <f>MONTH(B2511)</f>
        <v/>
      </c>
      <c r="T2511" s="36">
        <f>TEXT(B2511,"mmm")</f>
        <v/>
      </c>
      <c r="U2511" s="36">
        <f>IF(AND(OR(sel_Region="All",C2511=sel_Region),OR(sel_Country="All",D2511=sel_Country),OR(sel_Channel="All",E2511=sel_Channel),OR(sel_Customer="All",F2511=sel_Customer),OR(sel_Category="All",G2511=sel_Category),OR(sel_Product="All",H2511=sel_Product),AND(S2511&gt;=m_From,S2511&lt;=m_To)),1,0)</f>
        <v/>
      </c>
      <c r="V2511" s="36">
        <f>IF(AND(OR(sel_Region="All",C2511=sel_Region),OR(sel_Channel="All",E2511=sel_Channel),OR(sel_Customer="All",F2511=sel_Customer),OR(sel_Category="All",G2511=sel_Category),OR(sel_Product="All",H2511=sel_Product),AND(S2511&gt;=m_From,S2511&lt;=m_To)),1,0)</f>
        <v/>
      </c>
      <c r="W2511" s="36">
        <f>IF(AND(OR(sel_Region="All",C2511=sel_Region),OR(sel_Country="All",D2511=sel_Country),OR(sel_Customer="All",F2511=sel_Customer),OR(sel_Category="All",G2511=sel_Category),OR(sel_Product="All",H2511=sel_Product),AND(S2511&gt;=m_From,S2511&lt;=m_To)),1,0)</f>
        <v/>
      </c>
      <c r="X2511" s="36">
        <f>IF(AND(OR(sel_Region="All",C2511=sel_Region),OR(sel_Country="All",D2511=sel_Country),OR(sel_Channel="All",E2511=sel_Channel),OR(sel_Category="All",G2511=sel_Category),OR(sel_Product="All",H2511=sel_Product),AND(S2511&gt;=m_From,S2511&lt;=m_To)),1,0)</f>
        <v/>
      </c>
      <c r="Y2511" s="36">
        <f>IF(AND(OR(sel_Region="All",C2511=sel_Region),OR(sel_Country="All",D2511=sel_Country),OR(sel_Channel="All",E2511=sel_Channel),OR(sel_Customer="All",F2511=sel_Customer),OR(sel_Product="All",H2511=sel_Product),AND(S2511&gt;=m_From,S2511&lt;=m_To)),1,0)</f>
        <v/>
      </c>
      <c r="Z2511" s="36">
        <f>IF(AND(OR(sel_Region="All",C2511=sel_Region),OR(sel_Country="All",D2511=sel_Country),OR(sel_Channel="All",E2511=sel_Channel),OR(sel_Customer="All",F2511=sel_Customer),OR(sel_Category="All",G2511=sel_Category),AND(S2511&gt;=m_From,S2511&lt;=m_To)),1,0)</f>
        <v/>
      </c>
      <c r="AA2511" s="36">
        <f>IF(AND(OR(sel_Region="All",C2511=sel_Region),OR(sel_Country="All",D2511=sel_Country),OR(sel_Channel="All",E2511=sel_Channel),OR(sel_Customer="All",F2511=sel_Customer),OR(sel_Category="All",G2511=sel_Category),OR(sel_Product="All",H2511=sel_Product)),1,0)</f>
        <v/>
      </c>
    </row>
    <row r="2512">
      <c r="A2512" s="36" t="inlineStr">
        <is>
          <t>02204</t>
        </is>
      </c>
      <c r="B2512" s="44" t="n">
        <v>46358</v>
      </c>
      <c r="C2512" s="36" t="inlineStr">
        <is>
          <t>Southern Europe</t>
        </is>
      </c>
      <c r="D2512" s="36" t="inlineStr">
        <is>
          <t>Portugal</t>
        </is>
      </c>
      <c r="E2512" s="36" t="inlineStr">
        <is>
          <t>Retail Partners</t>
        </is>
      </c>
      <c r="F2512" s="36" t="inlineStr">
        <is>
          <t>New</t>
        </is>
      </c>
      <c r="G2512" s="36" t="inlineStr">
        <is>
          <t>Travel</t>
        </is>
      </c>
      <c r="H2512" s="36" t="inlineStr">
        <is>
          <t>Packing Cube Set</t>
        </is>
      </c>
      <c r="I2512" s="36" t="n">
        <v>2</v>
      </c>
      <c r="J2512" s="39" t="n">
        <v>46.63</v>
      </c>
      <c r="K2512" s="45" t="n">
        <v>0</v>
      </c>
      <c r="L2512" s="39" t="n">
        <v>18.68</v>
      </c>
      <c r="M2512" s="39">
        <f>I2512*J2512*(1-K2512)</f>
        <v/>
      </c>
      <c r="N2512" s="39">
        <f>I2512*L2512</f>
        <v/>
      </c>
      <c r="O2512" s="39">
        <f>M2512-N2512</f>
        <v/>
      </c>
      <c r="P2512" s="38">
        <f>IF(M2512=0,0,O2512/M2512)</f>
        <v/>
      </c>
      <c r="Q2512" s="36">
        <f>YEAR(B2512)</f>
        <v/>
      </c>
      <c r="R2512" s="36">
        <f>"Q"&amp;ROUNDUP(MONTH(B2512)/3,0)</f>
        <v/>
      </c>
      <c r="S2512" s="36">
        <f>MONTH(B2512)</f>
        <v/>
      </c>
      <c r="T2512" s="36">
        <f>TEXT(B2512,"mmm")</f>
        <v/>
      </c>
      <c r="U2512" s="36">
        <f>IF(AND(OR(sel_Region="All",C2512=sel_Region),OR(sel_Country="All",D2512=sel_Country),OR(sel_Channel="All",E2512=sel_Channel),OR(sel_Customer="All",F2512=sel_Customer),OR(sel_Category="All",G2512=sel_Category),OR(sel_Product="All",H2512=sel_Product),AND(S2512&gt;=m_From,S2512&lt;=m_To)),1,0)</f>
        <v/>
      </c>
      <c r="V2512" s="36">
        <f>IF(AND(OR(sel_Region="All",C2512=sel_Region),OR(sel_Channel="All",E2512=sel_Channel),OR(sel_Customer="All",F2512=sel_Customer),OR(sel_Category="All",G2512=sel_Category),OR(sel_Product="All",H2512=sel_Product),AND(S2512&gt;=m_From,S2512&lt;=m_To)),1,0)</f>
        <v/>
      </c>
      <c r="W2512" s="36">
        <f>IF(AND(OR(sel_Region="All",C2512=sel_Region),OR(sel_Country="All",D2512=sel_Country),OR(sel_Customer="All",F2512=sel_Customer),OR(sel_Category="All",G2512=sel_Category),OR(sel_Product="All",H2512=sel_Product),AND(S2512&gt;=m_From,S2512&lt;=m_To)),1,0)</f>
        <v/>
      </c>
      <c r="X2512" s="36">
        <f>IF(AND(OR(sel_Region="All",C2512=sel_Region),OR(sel_Country="All",D2512=sel_Country),OR(sel_Channel="All",E2512=sel_Channel),OR(sel_Category="All",G2512=sel_Category),OR(sel_Product="All",H2512=sel_Product),AND(S2512&gt;=m_From,S2512&lt;=m_To)),1,0)</f>
        <v/>
      </c>
      <c r="Y2512" s="36">
        <f>IF(AND(OR(sel_Region="All",C2512=sel_Region),OR(sel_Country="All",D2512=sel_Country),OR(sel_Channel="All",E2512=sel_Channel),OR(sel_Customer="All",F2512=sel_Customer),OR(sel_Product="All",H2512=sel_Product),AND(S2512&gt;=m_From,S2512&lt;=m_To)),1,0)</f>
        <v/>
      </c>
      <c r="Z2512" s="36">
        <f>IF(AND(OR(sel_Region="All",C2512=sel_Region),OR(sel_Country="All",D2512=sel_Country),OR(sel_Channel="All",E2512=sel_Channel),OR(sel_Customer="All",F2512=sel_Customer),OR(sel_Category="All",G2512=sel_Category),AND(S2512&gt;=m_From,S2512&lt;=m_To)),1,0)</f>
        <v/>
      </c>
      <c r="AA2512" s="36">
        <f>IF(AND(OR(sel_Region="All",C2512=sel_Region),OR(sel_Country="All",D2512=sel_Country),OR(sel_Channel="All",E2512=sel_Channel),OR(sel_Customer="All",F2512=sel_Customer),OR(sel_Category="All",G2512=sel_Category),OR(sel_Product="All",H2512=sel_Product)),1,0)</f>
        <v/>
      </c>
    </row>
    <row r="2513">
      <c r="A2513" s="36" t="inlineStr">
        <is>
          <t>03921</t>
        </is>
      </c>
      <c r="B2513" s="44" t="n">
        <v>46358</v>
      </c>
      <c r="C2513" s="36" t="inlineStr">
        <is>
          <t>Northern Europe</t>
        </is>
      </c>
      <c r="D2513" s="36" t="inlineStr">
        <is>
          <t>Denmark</t>
        </is>
      </c>
      <c r="E2513" s="36" t="inlineStr">
        <is>
          <t>Corporate</t>
        </is>
      </c>
      <c r="F2513" s="36" t="inlineStr">
        <is>
          <t>Business</t>
        </is>
      </c>
      <c r="G2513" s="36" t="inlineStr">
        <is>
          <t>Hiking</t>
        </is>
      </c>
      <c r="H2513" s="36" t="inlineStr">
        <is>
          <t>Trail Boots</t>
        </is>
      </c>
      <c r="I2513" s="36" t="n">
        <v>12</v>
      </c>
      <c r="J2513" s="39" t="n">
        <v>142.93</v>
      </c>
      <c r="K2513" s="45" t="n">
        <v>0.1</v>
      </c>
      <c r="L2513" s="39" t="n">
        <v>79.81</v>
      </c>
      <c r="M2513" s="39">
        <f>I2513*J2513*(1-K2513)</f>
        <v/>
      </c>
      <c r="N2513" s="39">
        <f>I2513*L2513</f>
        <v/>
      </c>
      <c r="O2513" s="39">
        <f>M2513-N2513</f>
        <v/>
      </c>
      <c r="P2513" s="38">
        <f>IF(M2513=0,0,O2513/M2513)</f>
        <v/>
      </c>
      <c r="Q2513" s="36">
        <f>YEAR(B2513)</f>
        <v/>
      </c>
      <c r="R2513" s="36">
        <f>"Q"&amp;ROUNDUP(MONTH(B2513)/3,0)</f>
        <v/>
      </c>
      <c r="S2513" s="36">
        <f>MONTH(B2513)</f>
        <v/>
      </c>
      <c r="T2513" s="36">
        <f>TEXT(B2513,"mmm")</f>
        <v/>
      </c>
      <c r="U2513" s="36">
        <f>IF(AND(OR(sel_Region="All",C2513=sel_Region),OR(sel_Country="All",D2513=sel_Country),OR(sel_Channel="All",E2513=sel_Channel),OR(sel_Customer="All",F2513=sel_Customer),OR(sel_Category="All",G2513=sel_Category),OR(sel_Product="All",H2513=sel_Product),AND(S2513&gt;=m_From,S2513&lt;=m_To)),1,0)</f>
        <v/>
      </c>
      <c r="V2513" s="36">
        <f>IF(AND(OR(sel_Region="All",C2513=sel_Region),OR(sel_Channel="All",E2513=sel_Channel),OR(sel_Customer="All",F2513=sel_Customer),OR(sel_Category="All",G2513=sel_Category),OR(sel_Product="All",H2513=sel_Product),AND(S2513&gt;=m_From,S2513&lt;=m_To)),1,0)</f>
        <v/>
      </c>
      <c r="W2513" s="36">
        <f>IF(AND(OR(sel_Region="All",C2513=sel_Region),OR(sel_Country="All",D2513=sel_Country),OR(sel_Customer="All",F2513=sel_Customer),OR(sel_Category="All",G2513=sel_Category),OR(sel_Product="All",H2513=sel_Product),AND(S2513&gt;=m_From,S2513&lt;=m_To)),1,0)</f>
        <v/>
      </c>
      <c r="X2513" s="36">
        <f>IF(AND(OR(sel_Region="All",C2513=sel_Region),OR(sel_Country="All",D2513=sel_Country),OR(sel_Channel="All",E2513=sel_Channel),OR(sel_Category="All",G2513=sel_Category),OR(sel_Product="All",H2513=sel_Product),AND(S2513&gt;=m_From,S2513&lt;=m_To)),1,0)</f>
        <v/>
      </c>
      <c r="Y2513" s="36">
        <f>IF(AND(OR(sel_Region="All",C2513=sel_Region),OR(sel_Country="All",D2513=sel_Country),OR(sel_Channel="All",E2513=sel_Channel),OR(sel_Customer="All",F2513=sel_Customer),OR(sel_Product="All",H2513=sel_Product),AND(S2513&gt;=m_From,S2513&lt;=m_To)),1,0)</f>
        <v/>
      </c>
      <c r="Z2513" s="36">
        <f>IF(AND(OR(sel_Region="All",C2513=sel_Region),OR(sel_Country="All",D2513=sel_Country),OR(sel_Channel="All",E2513=sel_Channel),OR(sel_Customer="All",F2513=sel_Customer),OR(sel_Category="All",G2513=sel_Category),AND(S2513&gt;=m_From,S2513&lt;=m_To)),1,0)</f>
        <v/>
      </c>
      <c r="AA2513" s="36">
        <f>IF(AND(OR(sel_Region="All",C2513=sel_Region),OR(sel_Country="All",D2513=sel_Country),OR(sel_Channel="All",E2513=sel_Channel),OR(sel_Customer="All",F2513=sel_Customer),OR(sel_Category="All",G2513=sel_Category),OR(sel_Product="All",H2513=sel_Product)),1,0)</f>
        <v/>
      </c>
    </row>
    <row r="2514">
      <c r="A2514" s="36" t="inlineStr">
        <is>
          <t>03999</t>
        </is>
      </c>
      <c r="B2514" s="44" t="n">
        <v>46358</v>
      </c>
      <c r="C2514" s="36" t="inlineStr">
        <is>
          <t>Central Europe</t>
        </is>
      </c>
      <c r="D2514" s="36" t="inlineStr">
        <is>
          <t>Germany</t>
        </is>
      </c>
      <c r="E2514" s="36" t="inlineStr">
        <is>
          <t>Retail Partners</t>
        </is>
      </c>
      <c r="F2514" s="36" t="inlineStr">
        <is>
          <t>Returning</t>
        </is>
      </c>
      <c r="G2514" s="36" t="inlineStr">
        <is>
          <t>Hiking</t>
        </is>
      </c>
      <c r="H2514" s="36" t="inlineStr">
        <is>
          <t>Summit Backpack 45L</t>
        </is>
      </c>
      <c r="I2514" s="36" t="n">
        <v>2</v>
      </c>
      <c r="J2514" s="39" t="n">
        <v>153.97</v>
      </c>
      <c r="K2514" s="45" t="n">
        <v>0</v>
      </c>
      <c r="L2514" s="39" t="n">
        <v>79.45</v>
      </c>
      <c r="M2514" s="39">
        <f>I2514*J2514*(1-K2514)</f>
        <v/>
      </c>
      <c r="N2514" s="39">
        <f>I2514*L2514</f>
        <v/>
      </c>
      <c r="O2514" s="39">
        <f>M2514-N2514</f>
        <v/>
      </c>
      <c r="P2514" s="38">
        <f>IF(M2514=0,0,O2514/M2514)</f>
        <v/>
      </c>
      <c r="Q2514" s="36">
        <f>YEAR(B2514)</f>
        <v/>
      </c>
      <c r="R2514" s="36">
        <f>"Q"&amp;ROUNDUP(MONTH(B2514)/3,0)</f>
        <v/>
      </c>
      <c r="S2514" s="36">
        <f>MONTH(B2514)</f>
        <v/>
      </c>
      <c r="T2514" s="36">
        <f>TEXT(B2514,"mmm")</f>
        <v/>
      </c>
      <c r="U2514" s="36">
        <f>IF(AND(OR(sel_Region="All",C2514=sel_Region),OR(sel_Country="All",D2514=sel_Country),OR(sel_Channel="All",E2514=sel_Channel),OR(sel_Customer="All",F2514=sel_Customer),OR(sel_Category="All",G2514=sel_Category),OR(sel_Product="All",H2514=sel_Product),AND(S2514&gt;=m_From,S2514&lt;=m_To)),1,0)</f>
        <v/>
      </c>
      <c r="V2514" s="36">
        <f>IF(AND(OR(sel_Region="All",C2514=sel_Region),OR(sel_Channel="All",E2514=sel_Channel),OR(sel_Customer="All",F2514=sel_Customer),OR(sel_Category="All",G2514=sel_Category),OR(sel_Product="All",H2514=sel_Product),AND(S2514&gt;=m_From,S2514&lt;=m_To)),1,0)</f>
        <v/>
      </c>
      <c r="W2514" s="36">
        <f>IF(AND(OR(sel_Region="All",C2514=sel_Region),OR(sel_Country="All",D2514=sel_Country),OR(sel_Customer="All",F2514=sel_Customer),OR(sel_Category="All",G2514=sel_Category),OR(sel_Product="All",H2514=sel_Product),AND(S2514&gt;=m_From,S2514&lt;=m_To)),1,0)</f>
        <v/>
      </c>
      <c r="X2514" s="36">
        <f>IF(AND(OR(sel_Region="All",C2514=sel_Region),OR(sel_Country="All",D2514=sel_Country),OR(sel_Channel="All",E2514=sel_Channel),OR(sel_Category="All",G2514=sel_Category),OR(sel_Product="All",H2514=sel_Product),AND(S2514&gt;=m_From,S2514&lt;=m_To)),1,0)</f>
        <v/>
      </c>
      <c r="Y2514" s="36">
        <f>IF(AND(OR(sel_Region="All",C2514=sel_Region),OR(sel_Country="All",D2514=sel_Country),OR(sel_Channel="All",E2514=sel_Channel),OR(sel_Customer="All",F2514=sel_Customer),OR(sel_Product="All",H2514=sel_Product),AND(S2514&gt;=m_From,S2514&lt;=m_To)),1,0)</f>
        <v/>
      </c>
      <c r="Z2514" s="36">
        <f>IF(AND(OR(sel_Region="All",C2514=sel_Region),OR(sel_Country="All",D2514=sel_Country),OR(sel_Channel="All",E2514=sel_Channel),OR(sel_Customer="All",F2514=sel_Customer),OR(sel_Category="All",G2514=sel_Category),AND(S2514&gt;=m_From,S2514&lt;=m_To)),1,0)</f>
        <v/>
      </c>
      <c r="AA2514" s="36">
        <f>IF(AND(OR(sel_Region="All",C2514=sel_Region),OR(sel_Country="All",D2514=sel_Country),OR(sel_Channel="All",E2514=sel_Channel),OR(sel_Customer="All",F2514=sel_Customer),OR(sel_Category="All",G2514=sel_Category),OR(sel_Product="All",H2514=sel_Product)),1,0)</f>
        <v/>
      </c>
    </row>
    <row r="2515">
      <c r="A2515" s="36" t="inlineStr">
        <is>
          <t>04546</t>
        </is>
      </c>
      <c r="B2515" s="44" t="n">
        <v>46358</v>
      </c>
      <c r="C2515" s="36" t="inlineStr">
        <is>
          <t>Western Europe</t>
        </is>
      </c>
      <c r="D2515" s="36" t="inlineStr">
        <is>
          <t>France</t>
        </is>
      </c>
      <c r="E2515" s="36" t="inlineStr">
        <is>
          <t>Online Store</t>
        </is>
      </c>
      <c r="F2515" s="36" t="inlineStr">
        <is>
          <t>Returning</t>
        </is>
      </c>
      <c r="G2515" s="36" t="inlineStr">
        <is>
          <t>Camping</t>
        </is>
      </c>
      <c r="H2515" s="36" t="inlineStr">
        <is>
          <t>Alpine Tent 4P</t>
        </is>
      </c>
      <c r="I2515" s="36" t="n">
        <v>1</v>
      </c>
      <c r="J2515" s="39" t="n">
        <v>344.63</v>
      </c>
      <c r="K2515" s="45" t="n">
        <v>0.05</v>
      </c>
      <c r="L2515" s="39" t="n">
        <v>189.22</v>
      </c>
      <c r="M2515" s="39">
        <f>I2515*J2515*(1-K2515)</f>
        <v/>
      </c>
      <c r="N2515" s="39">
        <f>I2515*L2515</f>
        <v/>
      </c>
      <c r="O2515" s="39">
        <f>M2515-N2515</f>
        <v/>
      </c>
      <c r="P2515" s="38">
        <f>IF(M2515=0,0,O2515/M2515)</f>
        <v/>
      </c>
      <c r="Q2515" s="36">
        <f>YEAR(B2515)</f>
        <v/>
      </c>
      <c r="R2515" s="36">
        <f>"Q"&amp;ROUNDUP(MONTH(B2515)/3,0)</f>
        <v/>
      </c>
      <c r="S2515" s="36">
        <f>MONTH(B2515)</f>
        <v/>
      </c>
      <c r="T2515" s="36">
        <f>TEXT(B2515,"mmm")</f>
        <v/>
      </c>
      <c r="U2515" s="36">
        <f>IF(AND(OR(sel_Region="All",C2515=sel_Region),OR(sel_Country="All",D2515=sel_Country),OR(sel_Channel="All",E2515=sel_Channel),OR(sel_Customer="All",F2515=sel_Customer),OR(sel_Category="All",G2515=sel_Category),OR(sel_Product="All",H2515=sel_Product),AND(S2515&gt;=m_From,S2515&lt;=m_To)),1,0)</f>
        <v/>
      </c>
      <c r="V2515" s="36">
        <f>IF(AND(OR(sel_Region="All",C2515=sel_Region),OR(sel_Channel="All",E2515=sel_Channel),OR(sel_Customer="All",F2515=sel_Customer),OR(sel_Category="All",G2515=sel_Category),OR(sel_Product="All",H2515=sel_Product),AND(S2515&gt;=m_From,S2515&lt;=m_To)),1,0)</f>
        <v/>
      </c>
      <c r="W2515" s="36">
        <f>IF(AND(OR(sel_Region="All",C2515=sel_Region),OR(sel_Country="All",D2515=sel_Country),OR(sel_Customer="All",F2515=sel_Customer),OR(sel_Category="All",G2515=sel_Category),OR(sel_Product="All",H2515=sel_Product),AND(S2515&gt;=m_From,S2515&lt;=m_To)),1,0)</f>
        <v/>
      </c>
      <c r="X2515" s="36">
        <f>IF(AND(OR(sel_Region="All",C2515=sel_Region),OR(sel_Country="All",D2515=sel_Country),OR(sel_Channel="All",E2515=sel_Channel),OR(sel_Category="All",G2515=sel_Category),OR(sel_Product="All",H2515=sel_Product),AND(S2515&gt;=m_From,S2515&lt;=m_To)),1,0)</f>
        <v/>
      </c>
      <c r="Y2515" s="36">
        <f>IF(AND(OR(sel_Region="All",C2515=sel_Region),OR(sel_Country="All",D2515=sel_Country),OR(sel_Channel="All",E2515=sel_Channel),OR(sel_Customer="All",F2515=sel_Customer),OR(sel_Product="All",H2515=sel_Product),AND(S2515&gt;=m_From,S2515&lt;=m_To)),1,0)</f>
        <v/>
      </c>
      <c r="Z2515" s="36">
        <f>IF(AND(OR(sel_Region="All",C2515=sel_Region),OR(sel_Country="All",D2515=sel_Country),OR(sel_Channel="All",E2515=sel_Channel),OR(sel_Customer="All",F2515=sel_Customer),OR(sel_Category="All",G2515=sel_Category),AND(S2515&gt;=m_From,S2515&lt;=m_To)),1,0)</f>
        <v/>
      </c>
      <c r="AA2515" s="36">
        <f>IF(AND(OR(sel_Region="All",C2515=sel_Region),OR(sel_Country="All",D2515=sel_Country),OR(sel_Channel="All",E2515=sel_Channel),OR(sel_Customer="All",F2515=sel_Customer),OR(sel_Category="All",G2515=sel_Category),OR(sel_Product="All",H2515=sel_Product)),1,0)</f>
        <v/>
      </c>
    </row>
    <row r="2516">
      <c r="A2516" s="36" t="inlineStr">
        <is>
          <t>00158</t>
        </is>
      </c>
      <c r="B2516" s="44" t="n">
        <v>46359</v>
      </c>
      <c r="C2516" s="36" t="inlineStr">
        <is>
          <t>Western Europe</t>
        </is>
      </c>
      <c r="D2516" s="36" t="inlineStr">
        <is>
          <t>France</t>
        </is>
      </c>
      <c r="E2516" s="36" t="inlineStr">
        <is>
          <t>Online Store</t>
        </is>
      </c>
      <c r="F2516" s="36" t="inlineStr">
        <is>
          <t>New</t>
        </is>
      </c>
      <c r="G2516" s="36" t="inlineStr">
        <is>
          <t>Travel</t>
        </is>
      </c>
      <c r="H2516" s="36" t="inlineStr">
        <is>
          <t>Packing Cube Set</t>
        </is>
      </c>
      <c r="I2516" s="36" t="n">
        <v>2</v>
      </c>
      <c r="J2516" s="39" t="n">
        <v>46.51</v>
      </c>
      <c r="K2516" s="45" t="n">
        <v>0.05</v>
      </c>
      <c r="L2516" s="39" t="n">
        <v>18.73</v>
      </c>
      <c r="M2516" s="39">
        <f>I2516*J2516*(1-K2516)</f>
        <v/>
      </c>
      <c r="N2516" s="39">
        <f>I2516*L2516</f>
        <v/>
      </c>
      <c r="O2516" s="39">
        <f>M2516-N2516</f>
        <v/>
      </c>
      <c r="P2516" s="38">
        <f>IF(M2516=0,0,O2516/M2516)</f>
        <v/>
      </c>
      <c r="Q2516" s="36">
        <f>YEAR(B2516)</f>
        <v/>
      </c>
      <c r="R2516" s="36">
        <f>"Q"&amp;ROUNDUP(MONTH(B2516)/3,0)</f>
        <v/>
      </c>
      <c r="S2516" s="36">
        <f>MONTH(B2516)</f>
        <v/>
      </c>
      <c r="T2516" s="36">
        <f>TEXT(B2516,"mmm")</f>
        <v/>
      </c>
      <c r="U2516" s="36">
        <f>IF(AND(OR(sel_Region="All",C2516=sel_Region),OR(sel_Country="All",D2516=sel_Country),OR(sel_Channel="All",E2516=sel_Channel),OR(sel_Customer="All",F2516=sel_Customer),OR(sel_Category="All",G2516=sel_Category),OR(sel_Product="All",H2516=sel_Product),AND(S2516&gt;=m_From,S2516&lt;=m_To)),1,0)</f>
        <v/>
      </c>
      <c r="V2516" s="36">
        <f>IF(AND(OR(sel_Region="All",C2516=sel_Region),OR(sel_Channel="All",E2516=sel_Channel),OR(sel_Customer="All",F2516=sel_Customer),OR(sel_Category="All",G2516=sel_Category),OR(sel_Product="All",H2516=sel_Product),AND(S2516&gt;=m_From,S2516&lt;=m_To)),1,0)</f>
        <v/>
      </c>
      <c r="W2516" s="36">
        <f>IF(AND(OR(sel_Region="All",C2516=sel_Region),OR(sel_Country="All",D2516=sel_Country),OR(sel_Customer="All",F2516=sel_Customer),OR(sel_Category="All",G2516=sel_Category),OR(sel_Product="All",H2516=sel_Product),AND(S2516&gt;=m_From,S2516&lt;=m_To)),1,0)</f>
        <v/>
      </c>
      <c r="X2516" s="36">
        <f>IF(AND(OR(sel_Region="All",C2516=sel_Region),OR(sel_Country="All",D2516=sel_Country),OR(sel_Channel="All",E2516=sel_Channel),OR(sel_Category="All",G2516=sel_Category),OR(sel_Product="All",H2516=sel_Product),AND(S2516&gt;=m_From,S2516&lt;=m_To)),1,0)</f>
        <v/>
      </c>
      <c r="Y2516" s="36">
        <f>IF(AND(OR(sel_Region="All",C2516=sel_Region),OR(sel_Country="All",D2516=sel_Country),OR(sel_Channel="All",E2516=sel_Channel),OR(sel_Customer="All",F2516=sel_Customer),OR(sel_Product="All",H2516=sel_Product),AND(S2516&gt;=m_From,S2516&lt;=m_To)),1,0)</f>
        <v/>
      </c>
      <c r="Z2516" s="36">
        <f>IF(AND(OR(sel_Region="All",C2516=sel_Region),OR(sel_Country="All",D2516=sel_Country),OR(sel_Channel="All",E2516=sel_Channel),OR(sel_Customer="All",F2516=sel_Customer),OR(sel_Category="All",G2516=sel_Category),AND(S2516&gt;=m_From,S2516&lt;=m_To)),1,0)</f>
        <v/>
      </c>
      <c r="AA2516" s="36">
        <f>IF(AND(OR(sel_Region="All",C2516=sel_Region),OR(sel_Country="All",D2516=sel_Country),OR(sel_Channel="All",E2516=sel_Channel),OR(sel_Customer="All",F2516=sel_Customer),OR(sel_Category="All",G2516=sel_Category),OR(sel_Product="All",H2516=sel_Product)),1,0)</f>
        <v/>
      </c>
    </row>
    <row r="2517">
      <c r="A2517" s="36" t="inlineStr">
        <is>
          <t>01972</t>
        </is>
      </c>
      <c r="B2517" s="44" t="n">
        <v>46359</v>
      </c>
      <c r="C2517" s="36" t="inlineStr">
        <is>
          <t>Southern Europe</t>
        </is>
      </c>
      <c r="D2517" s="36" t="inlineStr">
        <is>
          <t>Portugal</t>
        </is>
      </c>
      <c r="E2517" s="36" t="inlineStr">
        <is>
          <t>Corporate</t>
        </is>
      </c>
      <c r="F2517" s="36" t="inlineStr">
        <is>
          <t>Business</t>
        </is>
      </c>
      <c r="G2517" s="36" t="inlineStr">
        <is>
          <t>Cycling</t>
        </is>
      </c>
      <c r="H2517" s="36" t="inlineStr">
        <is>
          <t>Commuter Helmet</t>
        </is>
      </c>
      <c r="I2517" s="36" t="n">
        <v>6</v>
      </c>
      <c r="J2517" s="39" t="n">
        <v>80.17</v>
      </c>
      <c r="K2517" s="45" t="n">
        <v>0.1</v>
      </c>
      <c r="L2517" s="39" t="n">
        <v>42.67</v>
      </c>
      <c r="M2517" s="39">
        <f>I2517*J2517*(1-K2517)</f>
        <v/>
      </c>
      <c r="N2517" s="39">
        <f>I2517*L2517</f>
        <v/>
      </c>
      <c r="O2517" s="39">
        <f>M2517-N2517</f>
        <v/>
      </c>
      <c r="P2517" s="38">
        <f>IF(M2517=0,0,O2517/M2517)</f>
        <v/>
      </c>
      <c r="Q2517" s="36">
        <f>YEAR(B2517)</f>
        <v/>
      </c>
      <c r="R2517" s="36">
        <f>"Q"&amp;ROUNDUP(MONTH(B2517)/3,0)</f>
        <v/>
      </c>
      <c r="S2517" s="36">
        <f>MONTH(B2517)</f>
        <v/>
      </c>
      <c r="T2517" s="36">
        <f>TEXT(B2517,"mmm")</f>
        <v/>
      </c>
      <c r="U2517" s="36">
        <f>IF(AND(OR(sel_Region="All",C2517=sel_Region),OR(sel_Country="All",D2517=sel_Country),OR(sel_Channel="All",E2517=sel_Channel),OR(sel_Customer="All",F2517=sel_Customer),OR(sel_Category="All",G2517=sel_Category),OR(sel_Product="All",H2517=sel_Product),AND(S2517&gt;=m_From,S2517&lt;=m_To)),1,0)</f>
        <v/>
      </c>
      <c r="V2517" s="36">
        <f>IF(AND(OR(sel_Region="All",C2517=sel_Region),OR(sel_Channel="All",E2517=sel_Channel),OR(sel_Customer="All",F2517=sel_Customer),OR(sel_Category="All",G2517=sel_Category),OR(sel_Product="All",H2517=sel_Product),AND(S2517&gt;=m_From,S2517&lt;=m_To)),1,0)</f>
        <v/>
      </c>
      <c r="W2517" s="36">
        <f>IF(AND(OR(sel_Region="All",C2517=sel_Region),OR(sel_Country="All",D2517=sel_Country),OR(sel_Customer="All",F2517=sel_Customer),OR(sel_Category="All",G2517=sel_Category),OR(sel_Product="All",H2517=sel_Product),AND(S2517&gt;=m_From,S2517&lt;=m_To)),1,0)</f>
        <v/>
      </c>
      <c r="X2517" s="36">
        <f>IF(AND(OR(sel_Region="All",C2517=sel_Region),OR(sel_Country="All",D2517=sel_Country),OR(sel_Channel="All",E2517=sel_Channel),OR(sel_Category="All",G2517=sel_Category),OR(sel_Product="All",H2517=sel_Product),AND(S2517&gt;=m_From,S2517&lt;=m_To)),1,0)</f>
        <v/>
      </c>
      <c r="Y2517" s="36">
        <f>IF(AND(OR(sel_Region="All",C2517=sel_Region),OR(sel_Country="All",D2517=sel_Country),OR(sel_Channel="All",E2517=sel_Channel),OR(sel_Customer="All",F2517=sel_Customer),OR(sel_Product="All",H2517=sel_Product),AND(S2517&gt;=m_From,S2517&lt;=m_To)),1,0)</f>
        <v/>
      </c>
      <c r="Z2517" s="36">
        <f>IF(AND(OR(sel_Region="All",C2517=sel_Region),OR(sel_Country="All",D2517=sel_Country),OR(sel_Channel="All",E2517=sel_Channel),OR(sel_Customer="All",F2517=sel_Customer),OR(sel_Category="All",G2517=sel_Category),AND(S2517&gt;=m_From,S2517&lt;=m_To)),1,0)</f>
        <v/>
      </c>
      <c r="AA2517" s="36">
        <f>IF(AND(OR(sel_Region="All",C2517=sel_Region),OR(sel_Country="All",D2517=sel_Country),OR(sel_Channel="All",E2517=sel_Channel),OR(sel_Customer="All",F2517=sel_Customer),OR(sel_Category="All",G2517=sel_Category),OR(sel_Product="All",H2517=sel_Product)),1,0)</f>
        <v/>
      </c>
    </row>
    <row r="2518">
      <c r="A2518" s="36" t="inlineStr">
        <is>
          <t>03196</t>
        </is>
      </c>
      <c r="B2518" s="44" t="n">
        <v>46359</v>
      </c>
      <c r="C2518" s="36" t="inlineStr">
        <is>
          <t>Western Europe</t>
        </is>
      </c>
      <c r="D2518" s="36" t="inlineStr">
        <is>
          <t>France</t>
        </is>
      </c>
      <c r="E2518" s="36" t="inlineStr">
        <is>
          <t>Online Store</t>
        </is>
      </c>
      <c r="F2518" s="36" t="inlineStr">
        <is>
          <t>New</t>
        </is>
      </c>
      <c r="G2518" s="36" t="inlineStr">
        <is>
          <t>Camping</t>
        </is>
      </c>
      <c r="H2518" s="36" t="inlineStr">
        <is>
          <t>Compact Sleeping Bag</t>
        </is>
      </c>
      <c r="I2518" s="36" t="n">
        <v>2</v>
      </c>
      <c r="J2518" s="39" t="n">
        <v>124.62</v>
      </c>
      <c r="K2518" s="45" t="n">
        <v>0.1</v>
      </c>
      <c r="L2518" s="39" t="n">
        <v>58.91</v>
      </c>
      <c r="M2518" s="39">
        <f>I2518*J2518*(1-K2518)</f>
        <v/>
      </c>
      <c r="N2518" s="39">
        <f>I2518*L2518</f>
        <v/>
      </c>
      <c r="O2518" s="39">
        <f>M2518-N2518</f>
        <v/>
      </c>
      <c r="P2518" s="38">
        <f>IF(M2518=0,0,O2518/M2518)</f>
        <v/>
      </c>
      <c r="Q2518" s="36">
        <f>YEAR(B2518)</f>
        <v/>
      </c>
      <c r="R2518" s="36">
        <f>"Q"&amp;ROUNDUP(MONTH(B2518)/3,0)</f>
        <v/>
      </c>
      <c r="S2518" s="36">
        <f>MONTH(B2518)</f>
        <v/>
      </c>
      <c r="T2518" s="36">
        <f>TEXT(B2518,"mmm")</f>
        <v/>
      </c>
      <c r="U2518" s="36">
        <f>IF(AND(OR(sel_Region="All",C2518=sel_Region),OR(sel_Country="All",D2518=sel_Country),OR(sel_Channel="All",E2518=sel_Channel),OR(sel_Customer="All",F2518=sel_Customer),OR(sel_Category="All",G2518=sel_Category),OR(sel_Product="All",H2518=sel_Product),AND(S2518&gt;=m_From,S2518&lt;=m_To)),1,0)</f>
        <v/>
      </c>
      <c r="V2518" s="36">
        <f>IF(AND(OR(sel_Region="All",C2518=sel_Region),OR(sel_Channel="All",E2518=sel_Channel),OR(sel_Customer="All",F2518=sel_Customer),OR(sel_Category="All",G2518=sel_Category),OR(sel_Product="All",H2518=sel_Product),AND(S2518&gt;=m_From,S2518&lt;=m_To)),1,0)</f>
        <v/>
      </c>
      <c r="W2518" s="36">
        <f>IF(AND(OR(sel_Region="All",C2518=sel_Region),OR(sel_Country="All",D2518=sel_Country),OR(sel_Customer="All",F2518=sel_Customer),OR(sel_Category="All",G2518=sel_Category),OR(sel_Product="All",H2518=sel_Product),AND(S2518&gt;=m_From,S2518&lt;=m_To)),1,0)</f>
        <v/>
      </c>
      <c r="X2518" s="36">
        <f>IF(AND(OR(sel_Region="All",C2518=sel_Region),OR(sel_Country="All",D2518=sel_Country),OR(sel_Channel="All",E2518=sel_Channel),OR(sel_Category="All",G2518=sel_Category),OR(sel_Product="All",H2518=sel_Product),AND(S2518&gt;=m_From,S2518&lt;=m_To)),1,0)</f>
        <v/>
      </c>
      <c r="Y2518" s="36">
        <f>IF(AND(OR(sel_Region="All",C2518=sel_Region),OR(sel_Country="All",D2518=sel_Country),OR(sel_Channel="All",E2518=sel_Channel),OR(sel_Customer="All",F2518=sel_Customer),OR(sel_Product="All",H2518=sel_Product),AND(S2518&gt;=m_From,S2518&lt;=m_To)),1,0)</f>
        <v/>
      </c>
      <c r="Z2518" s="36">
        <f>IF(AND(OR(sel_Region="All",C2518=sel_Region),OR(sel_Country="All",D2518=sel_Country),OR(sel_Channel="All",E2518=sel_Channel),OR(sel_Customer="All",F2518=sel_Customer),OR(sel_Category="All",G2518=sel_Category),AND(S2518&gt;=m_From,S2518&lt;=m_To)),1,0)</f>
        <v/>
      </c>
      <c r="AA2518" s="36">
        <f>IF(AND(OR(sel_Region="All",C2518=sel_Region),OR(sel_Country="All",D2518=sel_Country),OR(sel_Channel="All",E2518=sel_Channel),OR(sel_Customer="All",F2518=sel_Customer),OR(sel_Category="All",G2518=sel_Category),OR(sel_Product="All",H2518=sel_Product)),1,0)</f>
        <v/>
      </c>
    </row>
    <row r="2519">
      <c r="A2519" s="36" t="inlineStr">
        <is>
          <t>03722</t>
        </is>
      </c>
      <c r="B2519" s="44" t="n">
        <v>46359</v>
      </c>
      <c r="C2519" s="36" t="inlineStr">
        <is>
          <t>Northern Europe</t>
        </is>
      </c>
      <c r="D2519" s="36" t="inlineStr">
        <is>
          <t>Ireland</t>
        </is>
      </c>
      <c r="E2519" s="36" t="inlineStr">
        <is>
          <t>Online Store</t>
        </is>
      </c>
      <c r="F2519" s="36" t="inlineStr">
        <is>
          <t>Returning</t>
        </is>
      </c>
      <c r="G2519" s="36" t="inlineStr">
        <is>
          <t>Hiking</t>
        </is>
      </c>
      <c r="H2519" s="36" t="inlineStr">
        <is>
          <t>Trail Boots</t>
        </is>
      </c>
      <c r="I2519" s="36" t="n">
        <v>1</v>
      </c>
      <c r="J2519" s="39" t="n">
        <v>144.78</v>
      </c>
      <c r="K2519" s="45" t="n">
        <v>0.15</v>
      </c>
      <c r="L2519" s="39" t="n">
        <v>81.53</v>
      </c>
      <c r="M2519" s="39">
        <f>I2519*J2519*(1-K2519)</f>
        <v/>
      </c>
      <c r="N2519" s="39">
        <f>I2519*L2519</f>
        <v/>
      </c>
      <c r="O2519" s="39">
        <f>M2519-N2519</f>
        <v/>
      </c>
      <c r="P2519" s="38">
        <f>IF(M2519=0,0,O2519/M2519)</f>
        <v/>
      </c>
      <c r="Q2519" s="36">
        <f>YEAR(B2519)</f>
        <v/>
      </c>
      <c r="R2519" s="36">
        <f>"Q"&amp;ROUNDUP(MONTH(B2519)/3,0)</f>
        <v/>
      </c>
      <c r="S2519" s="36">
        <f>MONTH(B2519)</f>
        <v/>
      </c>
      <c r="T2519" s="36">
        <f>TEXT(B2519,"mmm")</f>
        <v/>
      </c>
      <c r="U2519" s="36">
        <f>IF(AND(OR(sel_Region="All",C2519=sel_Region),OR(sel_Country="All",D2519=sel_Country),OR(sel_Channel="All",E2519=sel_Channel),OR(sel_Customer="All",F2519=sel_Customer),OR(sel_Category="All",G2519=sel_Category),OR(sel_Product="All",H2519=sel_Product),AND(S2519&gt;=m_From,S2519&lt;=m_To)),1,0)</f>
        <v/>
      </c>
      <c r="V2519" s="36">
        <f>IF(AND(OR(sel_Region="All",C2519=sel_Region),OR(sel_Channel="All",E2519=sel_Channel),OR(sel_Customer="All",F2519=sel_Customer),OR(sel_Category="All",G2519=sel_Category),OR(sel_Product="All",H2519=sel_Product),AND(S2519&gt;=m_From,S2519&lt;=m_To)),1,0)</f>
        <v/>
      </c>
      <c r="W2519" s="36">
        <f>IF(AND(OR(sel_Region="All",C2519=sel_Region),OR(sel_Country="All",D2519=sel_Country),OR(sel_Customer="All",F2519=sel_Customer),OR(sel_Category="All",G2519=sel_Category),OR(sel_Product="All",H2519=sel_Product),AND(S2519&gt;=m_From,S2519&lt;=m_To)),1,0)</f>
        <v/>
      </c>
      <c r="X2519" s="36">
        <f>IF(AND(OR(sel_Region="All",C2519=sel_Region),OR(sel_Country="All",D2519=sel_Country),OR(sel_Channel="All",E2519=sel_Channel),OR(sel_Category="All",G2519=sel_Category),OR(sel_Product="All",H2519=sel_Product),AND(S2519&gt;=m_From,S2519&lt;=m_To)),1,0)</f>
        <v/>
      </c>
      <c r="Y2519" s="36">
        <f>IF(AND(OR(sel_Region="All",C2519=sel_Region),OR(sel_Country="All",D2519=sel_Country),OR(sel_Channel="All",E2519=sel_Channel),OR(sel_Customer="All",F2519=sel_Customer),OR(sel_Product="All",H2519=sel_Product),AND(S2519&gt;=m_From,S2519&lt;=m_To)),1,0)</f>
        <v/>
      </c>
      <c r="Z2519" s="36">
        <f>IF(AND(OR(sel_Region="All",C2519=sel_Region),OR(sel_Country="All",D2519=sel_Country),OR(sel_Channel="All",E2519=sel_Channel),OR(sel_Customer="All",F2519=sel_Customer),OR(sel_Category="All",G2519=sel_Category),AND(S2519&gt;=m_From,S2519&lt;=m_To)),1,0)</f>
        <v/>
      </c>
      <c r="AA2519" s="36">
        <f>IF(AND(OR(sel_Region="All",C2519=sel_Region),OR(sel_Country="All",D2519=sel_Country),OR(sel_Channel="All",E2519=sel_Channel),OR(sel_Customer="All",F2519=sel_Customer),OR(sel_Category="All",G2519=sel_Category),OR(sel_Product="All",H2519=sel_Product)),1,0)</f>
        <v/>
      </c>
    </row>
    <row r="2520">
      <c r="A2520" s="36" t="inlineStr">
        <is>
          <t>04201</t>
        </is>
      </c>
      <c r="B2520" s="44" t="n">
        <v>46359</v>
      </c>
      <c r="C2520" s="36" t="inlineStr">
        <is>
          <t>Western Europe</t>
        </is>
      </c>
      <c r="D2520" s="36" t="inlineStr">
        <is>
          <t>Netherlands</t>
        </is>
      </c>
      <c r="E2520" s="36" t="inlineStr">
        <is>
          <t>Online Store</t>
        </is>
      </c>
      <c r="F2520" s="36" t="inlineStr">
        <is>
          <t>Business</t>
        </is>
      </c>
      <c r="G2520" s="36" t="inlineStr">
        <is>
          <t>Travel</t>
        </is>
      </c>
      <c r="H2520" s="36" t="inlineStr">
        <is>
          <t>Carry-On Duffel</t>
        </is>
      </c>
      <c r="I2520" s="36" t="n">
        <v>1</v>
      </c>
      <c r="J2520" s="39" t="n">
        <v>133.8</v>
      </c>
      <c r="K2520" s="45" t="n">
        <v>0</v>
      </c>
      <c r="L2520" s="39" t="n">
        <v>66.34999999999999</v>
      </c>
      <c r="M2520" s="39">
        <f>I2520*J2520*(1-K2520)</f>
        <v/>
      </c>
      <c r="N2520" s="39">
        <f>I2520*L2520</f>
        <v/>
      </c>
      <c r="O2520" s="39">
        <f>M2520-N2520</f>
        <v/>
      </c>
      <c r="P2520" s="38">
        <f>IF(M2520=0,0,O2520/M2520)</f>
        <v/>
      </c>
      <c r="Q2520" s="36">
        <f>YEAR(B2520)</f>
        <v/>
      </c>
      <c r="R2520" s="36">
        <f>"Q"&amp;ROUNDUP(MONTH(B2520)/3,0)</f>
        <v/>
      </c>
      <c r="S2520" s="36">
        <f>MONTH(B2520)</f>
        <v/>
      </c>
      <c r="T2520" s="36">
        <f>TEXT(B2520,"mmm")</f>
        <v/>
      </c>
      <c r="U2520" s="36">
        <f>IF(AND(OR(sel_Region="All",C2520=sel_Region),OR(sel_Country="All",D2520=sel_Country),OR(sel_Channel="All",E2520=sel_Channel),OR(sel_Customer="All",F2520=sel_Customer),OR(sel_Category="All",G2520=sel_Category),OR(sel_Product="All",H2520=sel_Product),AND(S2520&gt;=m_From,S2520&lt;=m_To)),1,0)</f>
        <v/>
      </c>
      <c r="V2520" s="36">
        <f>IF(AND(OR(sel_Region="All",C2520=sel_Region),OR(sel_Channel="All",E2520=sel_Channel),OR(sel_Customer="All",F2520=sel_Customer),OR(sel_Category="All",G2520=sel_Category),OR(sel_Product="All",H2520=sel_Product),AND(S2520&gt;=m_From,S2520&lt;=m_To)),1,0)</f>
        <v/>
      </c>
      <c r="W2520" s="36">
        <f>IF(AND(OR(sel_Region="All",C2520=sel_Region),OR(sel_Country="All",D2520=sel_Country),OR(sel_Customer="All",F2520=sel_Customer),OR(sel_Category="All",G2520=sel_Category),OR(sel_Product="All",H2520=sel_Product),AND(S2520&gt;=m_From,S2520&lt;=m_To)),1,0)</f>
        <v/>
      </c>
      <c r="X2520" s="36">
        <f>IF(AND(OR(sel_Region="All",C2520=sel_Region),OR(sel_Country="All",D2520=sel_Country),OR(sel_Channel="All",E2520=sel_Channel),OR(sel_Category="All",G2520=sel_Category),OR(sel_Product="All",H2520=sel_Product),AND(S2520&gt;=m_From,S2520&lt;=m_To)),1,0)</f>
        <v/>
      </c>
      <c r="Y2520" s="36">
        <f>IF(AND(OR(sel_Region="All",C2520=sel_Region),OR(sel_Country="All",D2520=sel_Country),OR(sel_Channel="All",E2520=sel_Channel),OR(sel_Customer="All",F2520=sel_Customer),OR(sel_Product="All",H2520=sel_Product),AND(S2520&gt;=m_From,S2520&lt;=m_To)),1,0)</f>
        <v/>
      </c>
      <c r="Z2520" s="36">
        <f>IF(AND(OR(sel_Region="All",C2520=sel_Region),OR(sel_Country="All",D2520=sel_Country),OR(sel_Channel="All",E2520=sel_Channel),OR(sel_Customer="All",F2520=sel_Customer),OR(sel_Category="All",G2520=sel_Category),AND(S2520&gt;=m_From,S2520&lt;=m_To)),1,0)</f>
        <v/>
      </c>
      <c r="AA2520" s="36">
        <f>IF(AND(OR(sel_Region="All",C2520=sel_Region),OR(sel_Country="All",D2520=sel_Country),OR(sel_Channel="All",E2520=sel_Channel),OR(sel_Customer="All",F2520=sel_Customer),OR(sel_Category="All",G2520=sel_Category),OR(sel_Product="All",H2520=sel_Product)),1,0)</f>
        <v/>
      </c>
    </row>
    <row r="2521">
      <c r="A2521" s="36" t="inlineStr">
        <is>
          <t>04498</t>
        </is>
      </c>
      <c r="B2521" s="44" t="n">
        <v>46359</v>
      </c>
      <c r="C2521" s="36" t="inlineStr">
        <is>
          <t>Western Europe</t>
        </is>
      </c>
      <c r="D2521" s="36" t="inlineStr">
        <is>
          <t>Netherlands</t>
        </is>
      </c>
      <c r="E2521" s="36" t="inlineStr">
        <is>
          <t>Retail Partners</t>
        </is>
      </c>
      <c r="F2521" s="36" t="inlineStr">
        <is>
          <t>New</t>
        </is>
      </c>
      <c r="G2521" s="36" t="inlineStr">
        <is>
          <t>Camping</t>
        </is>
      </c>
      <c r="H2521" s="36" t="inlineStr">
        <is>
          <t>Compact Sleeping Bag</t>
        </is>
      </c>
      <c r="I2521" s="36" t="n">
        <v>1</v>
      </c>
      <c r="J2521" s="39" t="n">
        <v>124.93</v>
      </c>
      <c r="K2521" s="45" t="n">
        <v>0</v>
      </c>
      <c r="L2521" s="39" t="n">
        <v>59.41</v>
      </c>
      <c r="M2521" s="39">
        <f>I2521*J2521*(1-K2521)</f>
        <v/>
      </c>
      <c r="N2521" s="39">
        <f>I2521*L2521</f>
        <v/>
      </c>
      <c r="O2521" s="39">
        <f>M2521-N2521</f>
        <v/>
      </c>
      <c r="P2521" s="38">
        <f>IF(M2521=0,0,O2521/M2521)</f>
        <v/>
      </c>
      <c r="Q2521" s="36">
        <f>YEAR(B2521)</f>
        <v/>
      </c>
      <c r="R2521" s="36">
        <f>"Q"&amp;ROUNDUP(MONTH(B2521)/3,0)</f>
        <v/>
      </c>
      <c r="S2521" s="36">
        <f>MONTH(B2521)</f>
        <v/>
      </c>
      <c r="T2521" s="36">
        <f>TEXT(B2521,"mmm")</f>
        <v/>
      </c>
      <c r="U2521" s="36">
        <f>IF(AND(OR(sel_Region="All",C2521=sel_Region),OR(sel_Country="All",D2521=sel_Country),OR(sel_Channel="All",E2521=sel_Channel),OR(sel_Customer="All",F2521=sel_Customer),OR(sel_Category="All",G2521=sel_Category),OR(sel_Product="All",H2521=sel_Product),AND(S2521&gt;=m_From,S2521&lt;=m_To)),1,0)</f>
        <v/>
      </c>
      <c r="V2521" s="36">
        <f>IF(AND(OR(sel_Region="All",C2521=sel_Region),OR(sel_Channel="All",E2521=sel_Channel),OR(sel_Customer="All",F2521=sel_Customer),OR(sel_Category="All",G2521=sel_Category),OR(sel_Product="All",H2521=sel_Product),AND(S2521&gt;=m_From,S2521&lt;=m_To)),1,0)</f>
        <v/>
      </c>
      <c r="W2521" s="36">
        <f>IF(AND(OR(sel_Region="All",C2521=sel_Region),OR(sel_Country="All",D2521=sel_Country),OR(sel_Customer="All",F2521=sel_Customer),OR(sel_Category="All",G2521=sel_Category),OR(sel_Product="All",H2521=sel_Product),AND(S2521&gt;=m_From,S2521&lt;=m_To)),1,0)</f>
        <v/>
      </c>
      <c r="X2521" s="36">
        <f>IF(AND(OR(sel_Region="All",C2521=sel_Region),OR(sel_Country="All",D2521=sel_Country),OR(sel_Channel="All",E2521=sel_Channel),OR(sel_Category="All",G2521=sel_Category),OR(sel_Product="All",H2521=sel_Product),AND(S2521&gt;=m_From,S2521&lt;=m_To)),1,0)</f>
        <v/>
      </c>
      <c r="Y2521" s="36">
        <f>IF(AND(OR(sel_Region="All",C2521=sel_Region),OR(sel_Country="All",D2521=sel_Country),OR(sel_Channel="All",E2521=sel_Channel),OR(sel_Customer="All",F2521=sel_Customer),OR(sel_Product="All",H2521=sel_Product),AND(S2521&gt;=m_From,S2521&lt;=m_To)),1,0)</f>
        <v/>
      </c>
      <c r="Z2521" s="36">
        <f>IF(AND(OR(sel_Region="All",C2521=sel_Region),OR(sel_Country="All",D2521=sel_Country),OR(sel_Channel="All",E2521=sel_Channel),OR(sel_Customer="All",F2521=sel_Customer),OR(sel_Category="All",G2521=sel_Category),AND(S2521&gt;=m_From,S2521&lt;=m_To)),1,0)</f>
        <v/>
      </c>
      <c r="AA2521" s="36">
        <f>IF(AND(OR(sel_Region="All",C2521=sel_Region),OR(sel_Country="All",D2521=sel_Country),OR(sel_Channel="All",E2521=sel_Channel),OR(sel_Customer="All",F2521=sel_Customer),OR(sel_Category="All",G2521=sel_Category),OR(sel_Product="All",H2521=sel_Product)),1,0)</f>
        <v/>
      </c>
    </row>
    <row r="2522">
      <c r="A2522" s="36" t="inlineStr">
        <is>
          <t>04791</t>
        </is>
      </c>
      <c r="B2522" s="44" t="n">
        <v>46359</v>
      </c>
      <c r="C2522" s="36" t="inlineStr">
        <is>
          <t>Central Europe</t>
        </is>
      </c>
      <c r="D2522" s="36" t="inlineStr">
        <is>
          <t>Germany</t>
        </is>
      </c>
      <c r="E2522" s="36" t="inlineStr">
        <is>
          <t>Online Store</t>
        </is>
      </c>
      <c r="F2522" s="36" t="inlineStr">
        <is>
          <t>New</t>
        </is>
      </c>
      <c r="G2522" s="36" t="inlineStr">
        <is>
          <t>Hiking</t>
        </is>
      </c>
      <c r="H2522" s="36" t="inlineStr">
        <is>
          <t>Trekking Poles</t>
        </is>
      </c>
      <c r="I2522" s="36" t="n">
        <v>2</v>
      </c>
      <c r="J2522" s="39" t="n">
        <v>70.59</v>
      </c>
      <c r="K2522" s="45" t="n">
        <v>0.1</v>
      </c>
      <c r="L2522" s="39" t="n">
        <v>32.68</v>
      </c>
      <c r="M2522" s="39">
        <f>I2522*J2522*(1-K2522)</f>
        <v/>
      </c>
      <c r="N2522" s="39">
        <f>I2522*L2522</f>
        <v/>
      </c>
      <c r="O2522" s="39">
        <f>M2522-N2522</f>
        <v/>
      </c>
      <c r="P2522" s="38">
        <f>IF(M2522=0,0,O2522/M2522)</f>
        <v/>
      </c>
      <c r="Q2522" s="36">
        <f>YEAR(B2522)</f>
        <v/>
      </c>
      <c r="R2522" s="36">
        <f>"Q"&amp;ROUNDUP(MONTH(B2522)/3,0)</f>
        <v/>
      </c>
      <c r="S2522" s="36">
        <f>MONTH(B2522)</f>
        <v/>
      </c>
      <c r="T2522" s="36">
        <f>TEXT(B2522,"mmm")</f>
        <v/>
      </c>
      <c r="U2522" s="36">
        <f>IF(AND(OR(sel_Region="All",C2522=sel_Region),OR(sel_Country="All",D2522=sel_Country),OR(sel_Channel="All",E2522=sel_Channel),OR(sel_Customer="All",F2522=sel_Customer),OR(sel_Category="All",G2522=sel_Category),OR(sel_Product="All",H2522=sel_Product),AND(S2522&gt;=m_From,S2522&lt;=m_To)),1,0)</f>
        <v/>
      </c>
      <c r="V2522" s="36">
        <f>IF(AND(OR(sel_Region="All",C2522=sel_Region),OR(sel_Channel="All",E2522=sel_Channel),OR(sel_Customer="All",F2522=sel_Customer),OR(sel_Category="All",G2522=sel_Category),OR(sel_Product="All",H2522=sel_Product),AND(S2522&gt;=m_From,S2522&lt;=m_To)),1,0)</f>
        <v/>
      </c>
      <c r="W2522" s="36">
        <f>IF(AND(OR(sel_Region="All",C2522=sel_Region),OR(sel_Country="All",D2522=sel_Country),OR(sel_Customer="All",F2522=sel_Customer),OR(sel_Category="All",G2522=sel_Category),OR(sel_Product="All",H2522=sel_Product),AND(S2522&gt;=m_From,S2522&lt;=m_To)),1,0)</f>
        <v/>
      </c>
      <c r="X2522" s="36">
        <f>IF(AND(OR(sel_Region="All",C2522=sel_Region),OR(sel_Country="All",D2522=sel_Country),OR(sel_Channel="All",E2522=sel_Channel),OR(sel_Category="All",G2522=sel_Category),OR(sel_Product="All",H2522=sel_Product),AND(S2522&gt;=m_From,S2522&lt;=m_To)),1,0)</f>
        <v/>
      </c>
      <c r="Y2522" s="36">
        <f>IF(AND(OR(sel_Region="All",C2522=sel_Region),OR(sel_Country="All",D2522=sel_Country),OR(sel_Channel="All",E2522=sel_Channel),OR(sel_Customer="All",F2522=sel_Customer),OR(sel_Product="All",H2522=sel_Product),AND(S2522&gt;=m_From,S2522&lt;=m_To)),1,0)</f>
        <v/>
      </c>
      <c r="Z2522" s="36">
        <f>IF(AND(OR(sel_Region="All",C2522=sel_Region),OR(sel_Country="All",D2522=sel_Country),OR(sel_Channel="All",E2522=sel_Channel),OR(sel_Customer="All",F2522=sel_Customer),OR(sel_Category="All",G2522=sel_Category),AND(S2522&gt;=m_From,S2522&lt;=m_To)),1,0)</f>
        <v/>
      </c>
      <c r="AA2522" s="36">
        <f>IF(AND(OR(sel_Region="All",C2522=sel_Region),OR(sel_Country="All",D2522=sel_Country),OR(sel_Channel="All",E2522=sel_Channel),OR(sel_Customer="All",F2522=sel_Customer),OR(sel_Category="All",G2522=sel_Category),OR(sel_Product="All",H2522=sel_Product)),1,0)</f>
        <v/>
      </c>
    </row>
    <row r="2523">
      <c r="A2523" s="36" t="inlineStr">
        <is>
          <t>00614</t>
        </is>
      </c>
      <c r="B2523" s="44" t="n">
        <v>46360</v>
      </c>
      <c r="C2523" s="36" t="inlineStr">
        <is>
          <t>Western Europe</t>
        </is>
      </c>
      <c r="D2523" s="36" t="inlineStr">
        <is>
          <t>Netherlands</t>
        </is>
      </c>
      <c r="E2523" s="36" t="inlineStr">
        <is>
          <t>Online Store</t>
        </is>
      </c>
      <c r="F2523" s="36" t="inlineStr">
        <is>
          <t>Returning</t>
        </is>
      </c>
      <c r="G2523" s="36" t="inlineStr">
        <is>
          <t>Hiking</t>
        </is>
      </c>
      <c r="H2523" s="36" t="inlineStr">
        <is>
          <t>Summit Backpack 45L</t>
        </is>
      </c>
      <c r="I2523" s="36" t="n">
        <v>2</v>
      </c>
      <c r="J2523" s="39" t="n">
        <v>151.05</v>
      </c>
      <c r="K2523" s="45" t="n">
        <v>0.15</v>
      </c>
      <c r="L2523" s="39" t="n">
        <v>80.36</v>
      </c>
      <c r="M2523" s="39">
        <f>I2523*J2523*(1-K2523)</f>
        <v/>
      </c>
      <c r="N2523" s="39">
        <f>I2523*L2523</f>
        <v/>
      </c>
      <c r="O2523" s="39">
        <f>M2523-N2523</f>
        <v/>
      </c>
      <c r="P2523" s="38">
        <f>IF(M2523=0,0,O2523/M2523)</f>
        <v/>
      </c>
      <c r="Q2523" s="36">
        <f>YEAR(B2523)</f>
        <v/>
      </c>
      <c r="R2523" s="36">
        <f>"Q"&amp;ROUNDUP(MONTH(B2523)/3,0)</f>
        <v/>
      </c>
      <c r="S2523" s="36">
        <f>MONTH(B2523)</f>
        <v/>
      </c>
      <c r="T2523" s="36">
        <f>TEXT(B2523,"mmm")</f>
        <v/>
      </c>
      <c r="U2523" s="36">
        <f>IF(AND(OR(sel_Region="All",C2523=sel_Region),OR(sel_Country="All",D2523=sel_Country),OR(sel_Channel="All",E2523=sel_Channel),OR(sel_Customer="All",F2523=sel_Customer),OR(sel_Category="All",G2523=sel_Category),OR(sel_Product="All",H2523=sel_Product),AND(S2523&gt;=m_From,S2523&lt;=m_To)),1,0)</f>
        <v/>
      </c>
      <c r="V2523" s="36">
        <f>IF(AND(OR(sel_Region="All",C2523=sel_Region),OR(sel_Channel="All",E2523=sel_Channel),OR(sel_Customer="All",F2523=sel_Customer),OR(sel_Category="All",G2523=sel_Category),OR(sel_Product="All",H2523=sel_Product),AND(S2523&gt;=m_From,S2523&lt;=m_To)),1,0)</f>
        <v/>
      </c>
      <c r="W2523" s="36">
        <f>IF(AND(OR(sel_Region="All",C2523=sel_Region),OR(sel_Country="All",D2523=sel_Country),OR(sel_Customer="All",F2523=sel_Customer),OR(sel_Category="All",G2523=sel_Category),OR(sel_Product="All",H2523=sel_Product),AND(S2523&gt;=m_From,S2523&lt;=m_To)),1,0)</f>
        <v/>
      </c>
      <c r="X2523" s="36">
        <f>IF(AND(OR(sel_Region="All",C2523=sel_Region),OR(sel_Country="All",D2523=sel_Country),OR(sel_Channel="All",E2523=sel_Channel),OR(sel_Category="All",G2523=sel_Category),OR(sel_Product="All",H2523=sel_Product),AND(S2523&gt;=m_From,S2523&lt;=m_To)),1,0)</f>
        <v/>
      </c>
      <c r="Y2523" s="36">
        <f>IF(AND(OR(sel_Region="All",C2523=sel_Region),OR(sel_Country="All",D2523=sel_Country),OR(sel_Channel="All",E2523=sel_Channel),OR(sel_Customer="All",F2523=sel_Customer),OR(sel_Product="All",H2523=sel_Product),AND(S2523&gt;=m_From,S2523&lt;=m_To)),1,0)</f>
        <v/>
      </c>
      <c r="Z2523" s="36">
        <f>IF(AND(OR(sel_Region="All",C2523=sel_Region),OR(sel_Country="All",D2523=sel_Country),OR(sel_Channel="All",E2523=sel_Channel),OR(sel_Customer="All",F2523=sel_Customer),OR(sel_Category="All",G2523=sel_Category),AND(S2523&gt;=m_From,S2523&lt;=m_To)),1,0)</f>
        <v/>
      </c>
      <c r="AA2523" s="36">
        <f>IF(AND(OR(sel_Region="All",C2523=sel_Region),OR(sel_Country="All",D2523=sel_Country),OR(sel_Channel="All",E2523=sel_Channel),OR(sel_Customer="All",F2523=sel_Customer),OR(sel_Category="All",G2523=sel_Category),OR(sel_Product="All",H2523=sel_Product)),1,0)</f>
        <v/>
      </c>
    </row>
    <row r="2524">
      <c r="A2524" s="36" t="inlineStr">
        <is>
          <t>02301</t>
        </is>
      </c>
      <c r="B2524" s="44" t="n">
        <v>46360</v>
      </c>
      <c r="C2524" s="36" t="inlineStr">
        <is>
          <t>Western Europe</t>
        </is>
      </c>
      <c r="D2524" s="36" t="inlineStr">
        <is>
          <t>Netherlands</t>
        </is>
      </c>
      <c r="E2524" s="36" t="inlineStr">
        <is>
          <t>Online Store</t>
        </is>
      </c>
      <c r="F2524" s="36" t="inlineStr">
        <is>
          <t>Returning</t>
        </is>
      </c>
      <c r="G2524" s="36" t="inlineStr">
        <is>
          <t>Camping</t>
        </is>
      </c>
      <c r="H2524" s="36" t="inlineStr">
        <is>
          <t>Compact Sleeping Bag</t>
        </is>
      </c>
      <c r="I2524" s="36" t="n">
        <v>2</v>
      </c>
      <c r="J2524" s="39" t="n">
        <v>120.37</v>
      </c>
      <c r="K2524" s="45" t="n">
        <v>0.2</v>
      </c>
      <c r="L2524" s="39" t="n">
        <v>59.39</v>
      </c>
      <c r="M2524" s="39">
        <f>I2524*J2524*(1-K2524)</f>
        <v/>
      </c>
      <c r="N2524" s="39">
        <f>I2524*L2524</f>
        <v/>
      </c>
      <c r="O2524" s="39">
        <f>M2524-N2524</f>
        <v/>
      </c>
      <c r="P2524" s="38">
        <f>IF(M2524=0,0,O2524/M2524)</f>
        <v/>
      </c>
      <c r="Q2524" s="36">
        <f>YEAR(B2524)</f>
        <v/>
      </c>
      <c r="R2524" s="36">
        <f>"Q"&amp;ROUNDUP(MONTH(B2524)/3,0)</f>
        <v/>
      </c>
      <c r="S2524" s="36">
        <f>MONTH(B2524)</f>
        <v/>
      </c>
      <c r="T2524" s="36">
        <f>TEXT(B2524,"mmm")</f>
        <v/>
      </c>
      <c r="U2524" s="36">
        <f>IF(AND(OR(sel_Region="All",C2524=sel_Region),OR(sel_Country="All",D2524=sel_Country),OR(sel_Channel="All",E2524=sel_Channel),OR(sel_Customer="All",F2524=sel_Customer),OR(sel_Category="All",G2524=sel_Category),OR(sel_Product="All",H2524=sel_Product),AND(S2524&gt;=m_From,S2524&lt;=m_To)),1,0)</f>
        <v/>
      </c>
      <c r="V2524" s="36">
        <f>IF(AND(OR(sel_Region="All",C2524=sel_Region),OR(sel_Channel="All",E2524=sel_Channel),OR(sel_Customer="All",F2524=sel_Customer),OR(sel_Category="All",G2524=sel_Category),OR(sel_Product="All",H2524=sel_Product),AND(S2524&gt;=m_From,S2524&lt;=m_To)),1,0)</f>
        <v/>
      </c>
      <c r="W2524" s="36">
        <f>IF(AND(OR(sel_Region="All",C2524=sel_Region),OR(sel_Country="All",D2524=sel_Country),OR(sel_Customer="All",F2524=sel_Customer),OR(sel_Category="All",G2524=sel_Category),OR(sel_Product="All",H2524=sel_Product),AND(S2524&gt;=m_From,S2524&lt;=m_To)),1,0)</f>
        <v/>
      </c>
      <c r="X2524" s="36">
        <f>IF(AND(OR(sel_Region="All",C2524=sel_Region),OR(sel_Country="All",D2524=sel_Country),OR(sel_Channel="All",E2524=sel_Channel),OR(sel_Category="All",G2524=sel_Category),OR(sel_Product="All",H2524=sel_Product),AND(S2524&gt;=m_From,S2524&lt;=m_To)),1,0)</f>
        <v/>
      </c>
      <c r="Y2524" s="36">
        <f>IF(AND(OR(sel_Region="All",C2524=sel_Region),OR(sel_Country="All",D2524=sel_Country),OR(sel_Channel="All",E2524=sel_Channel),OR(sel_Customer="All",F2524=sel_Customer),OR(sel_Product="All",H2524=sel_Product),AND(S2524&gt;=m_From,S2524&lt;=m_To)),1,0)</f>
        <v/>
      </c>
      <c r="Z2524" s="36">
        <f>IF(AND(OR(sel_Region="All",C2524=sel_Region),OR(sel_Country="All",D2524=sel_Country),OR(sel_Channel="All",E2524=sel_Channel),OR(sel_Customer="All",F2524=sel_Customer),OR(sel_Category="All",G2524=sel_Category),AND(S2524&gt;=m_From,S2524&lt;=m_To)),1,0)</f>
        <v/>
      </c>
      <c r="AA2524" s="36">
        <f>IF(AND(OR(sel_Region="All",C2524=sel_Region),OR(sel_Country="All",D2524=sel_Country),OR(sel_Channel="All",E2524=sel_Channel),OR(sel_Customer="All",F2524=sel_Customer),OR(sel_Category="All",G2524=sel_Category),OR(sel_Product="All",H2524=sel_Product)),1,0)</f>
        <v/>
      </c>
    </row>
    <row r="2525">
      <c r="A2525" s="36" t="inlineStr">
        <is>
          <t>04430</t>
        </is>
      </c>
      <c r="B2525" s="44" t="n">
        <v>46360</v>
      </c>
      <c r="C2525" s="36" t="inlineStr">
        <is>
          <t>Central Europe</t>
        </is>
      </c>
      <c r="D2525" s="36" t="inlineStr">
        <is>
          <t>Czechia</t>
        </is>
      </c>
      <c r="E2525" s="36" t="inlineStr">
        <is>
          <t>Online Store</t>
        </is>
      </c>
      <c r="F2525" s="36" t="inlineStr">
        <is>
          <t>Returning</t>
        </is>
      </c>
      <c r="G2525" s="36" t="inlineStr">
        <is>
          <t>Camping</t>
        </is>
      </c>
      <c r="H2525" s="36" t="inlineStr">
        <is>
          <t>Trail Tent 2P</t>
        </is>
      </c>
      <c r="I2525" s="36" t="n">
        <v>3</v>
      </c>
      <c r="J2525" s="39" t="n">
        <v>193.8</v>
      </c>
      <c r="K2525" s="45" t="n">
        <v>0</v>
      </c>
      <c r="L2525" s="39" t="n">
        <v>104.55</v>
      </c>
      <c r="M2525" s="39">
        <f>I2525*J2525*(1-K2525)</f>
        <v/>
      </c>
      <c r="N2525" s="39">
        <f>I2525*L2525</f>
        <v/>
      </c>
      <c r="O2525" s="39">
        <f>M2525-N2525</f>
        <v/>
      </c>
      <c r="P2525" s="38">
        <f>IF(M2525=0,0,O2525/M2525)</f>
        <v/>
      </c>
      <c r="Q2525" s="36">
        <f>YEAR(B2525)</f>
        <v/>
      </c>
      <c r="R2525" s="36">
        <f>"Q"&amp;ROUNDUP(MONTH(B2525)/3,0)</f>
        <v/>
      </c>
      <c r="S2525" s="36">
        <f>MONTH(B2525)</f>
        <v/>
      </c>
      <c r="T2525" s="36">
        <f>TEXT(B2525,"mmm")</f>
        <v/>
      </c>
      <c r="U2525" s="36">
        <f>IF(AND(OR(sel_Region="All",C2525=sel_Region),OR(sel_Country="All",D2525=sel_Country),OR(sel_Channel="All",E2525=sel_Channel),OR(sel_Customer="All",F2525=sel_Customer),OR(sel_Category="All",G2525=sel_Category),OR(sel_Product="All",H2525=sel_Product),AND(S2525&gt;=m_From,S2525&lt;=m_To)),1,0)</f>
        <v/>
      </c>
      <c r="V2525" s="36">
        <f>IF(AND(OR(sel_Region="All",C2525=sel_Region),OR(sel_Channel="All",E2525=sel_Channel),OR(sel_Customer="All",F2525=sel_Customer),OR(sel_Category="All",G2525=sel_Category),OR(sel_Product="All",H2525=sel_Product),AND(S2525&gt;=m_From,S2525&lt;=m_To)),1,0)</f>
        <v/>
      </c>
      <c r="W2525" s="36">
        <f>IF(AND(OR(sel_Region="All",C2525=sel_Region),OR(sel_Country="All",D2525=sel_Country),OR(sel_Customer="All",F2525=sel_Customer),OR(sel_Category="All",G2525=sel_Category),OR(sel_Product="All",H2525=sel_Product),AND(S2525&gt;=m_From,S2525&lt;=m_To)),1,0)</f>
        <v/>
      </c>
      <c r="X2525" s="36">
        <f>IF(AND(OR(sel_Region="All",C2525=sel_Region),OR(sel_Country="All",D2525=sel_Country),OR(sel_Channel="All",E2525=sel_Channel),OR(sel_Category="All",G2525=sel_Category),OR(sel_Product="All",H2525=sel_Product),AND(S2525&gt;=m_From,S2525&lt;=m_To)),1,0)</f>
        <v/>
      </c>
      <c r="Y2525" s="36">
        <f>IF(AND(OR(sel_Region="All",C2525=sel_Region),OR(sel_Country="All",D2525=sel_Country),OR(sel_Channel="All",E2525=sel_Channel),OR(sel_Customer="All",F2525=sel_Customer),OR(sel_Product="All",H2525=sel_Product),AND(S2525&gt;=m_From,S2525&lt;=m_To)),1,0)</f>
        <v/>
      </c>
      <c r="Z2525" s="36">
        <f>IF(AND(OR(sel_Region="All",C2525=sel_Region),OR(sel_Country="All",D2525=sel_Country),OR(sel_Channel="All",E2525=sel_Channel),OR(sel_Customer="All",F2525=sel_Customer),OR(sel_Category="All",G2525=sel_Category),AND(S2525&gt;=m_From,S2525&lt;=m_To)),1,0)</f>
        <v/>
      </c>
      <c r="AA2525" s="36">
        <f>IF(AND(OR(sel_Region="All",C2525=sel_Region),OR(sel_Country="All",D2525=sel_Country),OR(sel_Channel="All",E2525=sel_Channel),OR(sel_Customer="All",F2525=sel_Customer),OR(sel_Category="All",G2525=sel_Category),OR(sel_Product="All",H2525=sel_Product)),1,0)</f>
        <v/>
      </c>
    </row>
    <row r="2526">
      <c r="A2526" s="36" t="inlineStr">
        <is>
          <t>00318</t>
        </is>
      </c>
      <c r="B2526" s="44" t="n">
        <v>46361</v>
      </c>
      <c r="C2526" s="36" t="inlineStr">
        <is>
          <t>Western Europe</t>
        </is>
      </c>
      <c r="D2526" s="36" t="inlineStr">
        <is>
          <t>France</t>
        </is>
      </c>
      <c r="E2526" s="36" t="inlineStr">
        <is>
          <t>Online Store</t>
        </is>
      </c>
      <c r="F2526" s="36" t="inlineStr">
        <is>
          <t>Business</t>
        </is>
      </c>
      <c r="G2526" s="36" t="inlineStr">
        <is>
          <t>Hiking</t>
        </is>
      </c>
      <c r="H2526" s="36" t="inlineStr">
        <is>
          <t>Trail Boots</t>
        </is>
      </c>
      <c r="I2526" s="36" t="n">
        <v>1</v>
      </c>
      <c r="J2526" s="39" t="n">
        <v>146.08</v>
      </c>
      <c r="K2526" s="45" t="n">
        <v>0.1</v>
      </c>
      <c r="L2526" s="39" t="n">
        <v>81.54000000000001</v>
      </c>
      <c r="M2526" s="39">
        <f>I2526*J2526*(1-K2526)</f>
        <v/>
      </c>
      <c r="N2526" s="39">
        <f>I2526*L2526</f>
        <v/>
      </c>
      <c r="O2526" s="39">
        <f>M2526-N2526</f>
        <v/>
      </c>
      <c r="P2526" s="38">
        <f>IF(M2526=0,0,O2526/M2526)</f>
        <v/>
      </c>
      <c r="Q2526" s="36">
        <f>YEAR(B2526)</f>
        <v/>
      </c>
      <c r="R2526" s="36">
        <f>"Q"&amp;ROUNDUP(MONTH(B2526)/3,0)</f>
        <v/>
      </c>
      <c r="S2526" s="36">
        <f>MONTH(B2526)</f>
        <v/>
      </c>
      <c r="T2526" s="36">
        <f>TEXT(B2526,"mmm")</f>
        <v/>
      </c>
      <c r="U2526" s="36">
        <f>IF(AND(OR(sel_Region="All",C2526=sel_Region),OR(sel_Country="All",D2526=sel_Country),OR(sel_Channel="All",E2526=sel_Channel),OR(sel_Customer="All",F2526=sel_Customer),OR(sel_Category="All",G2526=sel_Category),OR(sel_Product="All",H2526=sel_Product),AND(S2526&gt;=m_From,S2526&lt;=m_To)),1,0)</f>
        <v/>
      </c>
      <c r="V2526" s="36">
        <f>IF(AND(OR(sel_Region="All",C2526=sel_Region),OR(sel_Channel="All",E2526=sel_Channel),OR(sel_Customer="All",F2526=sel_Customer),OR(sel_Category="All",G2526=sel_Category),OR(sel_Product="All",H2526=sel_Product),AND(S2526&gt;=m_From,S2526&lt;=m_To)),1,0)</f>
        <v/>
      </c>
      <c r="W2526" s="36">
        <f>IF(AND(OR(sel_Region="All",C2526=sel_Region),OR(sel_Country="All",D2526=sel_Country),OR(sel_Customer="All",F2526=sel_Customer),OR(sel_Category="All",G2526=sel_Category),OR(sel_Product="All",H2526=sel_Product),AND(S2526&gt;=m_From,S2526&lt;=m_To)),1,0)</f>
        <v/>
      </c>
      <c r="X2526" s="36">
        <f>IF(AND(OR(sel_Region="All",C2526=sel_Region),OR(sel_Country="All",D2526=sel_Country),OR(sel_Channel="All",E2526=sel_Channel),OR(sel_Category="All",G2526=sel_Category),OR(sel_Product="All",H2526=sel_Product),AND(S2526&gt;=m_From,S2526&lt;=m_To)),1,0)</f>
        <v/>
      </c>
      <c r="Y2526" s="36">
        <f>IF(AND(OR(sel_Region="All",C2526=sel_Region),OR(sel_Country="All",D2526=sel_Country),OR(sel_Channel="All",E2526=sel_Channel),OR(sel_Customer="All",F2526=sel_Customer),OR(sel_Product="All",H2526=sel_Product),AND(S2526&gt;=m_From,S2526&lt;=m_To)),1,0)</f>
        <v/>
      </c>
      <c r="Z2526" s="36">
        <f>IF(AND(OR(sel_Region="All",C2526=sel_Region),OR(sel_Country="All",D2526=sel_Country),OR(sel_Channel="All",E2526=sel_Channel),OR(sel_Customer="All",F2526=sel_Customer),OR(sel_Category="All",G2526=sel_Category),AND(S2526&gt;=m_From,S2526&lt;=m_To)),1,0)</f>
        <v/>
      </c>
      <c r="AA2526" s="36">
        <f>IF(AND(OR(sel_Region="All",C2526=sel_Region),OR(sel_Country="All",D2526=sel_Country),OR(sel_Channel="All",E2526=sel_Channel),OR(sel_Customer="All",F2526=sel_Customer),OR(sel_Category="All",G2526=sel_Category),OR(sel_Product="All",H2526=sel_Product)),1,0)</f>
        <v/>
      </c>
    </row>
    <row r="2527">
      <c r="A2527" s="36" t="inlineStr">
        <is>
          <t>00782</t>
        </is>
      </c>
      <c r="B2527" s="44" t="n">
        <v>46361</v>
      </c>
      <c r="C2527" s="36" t="inlineStr">
        <is>
          <t>Western Europe</t>
        </is>
      </c>
      <c r="D2527" s="36" t="inlineStr">
        <is>
          <t>Netherlands</t>
        </is>
      </c>
      <c r="E2527" s="36" t="inlineStr">
        <is>
          <t>Corporate</t>
        </is>
      </c>
      <c r="F2527" s="36" t="inlineStr">
        <is>
          <t>Business</t>
        </is>
      </c>
      <c r="G2527" s="36" t="inlineStr">
        <is>
          <t>Cycling</t>
        </is>
      </c>
      <c r="H2527" s="36" t="inlineStr">
        <is>
          <t>Cycling Pack 12L</t>
        </is>
      </c>
      <c r="I2527" s="36" t="n">
        <v>4</v>
      </c>
      <c r="J2527" s="39" t="n">
        <v>101.17</v>
      </c>
      <c r="K2527" s="45" t="n">
        <v>0.15</v>
      </c>
      <c r="L2527" s="39" t="n">
        <v>50.48</v>
      </c>
      <c r="M2527" s="39">
        <f>I2527*J2527*(1-K2527)</f>
        <v/>
      </c>
      <c r="N2527" s="39">
        <f>I2527*L2527</f>
        <v/>
      </c>
      <c r="O2527" s="39">
        <f>M2527-N2527</f>
        <v/>
      </c>
      <c r="P2527" s="38">
        <f>IF(M2527=0,0,O2527/M2527)</f>
        <v/>
      </c>
      <c r="Q2527" s="36">
        <f>YEAR(B2527)</f>
        <v/>
      </c>
      <c r="R2527" s="36">
        <f>"Q"&amp;ROUNDUP(MONTH(B2527)/3,0)</f>
        <v/>
      </c>
      <c r="S2527" s="36">
        <f>MONTH(B2527)</f>
        <v/>
      </c>
      <c r="T2527" s="36">
        <f>TEXT(B2527,"mmm")</f>
        <v/>
      </c>
      <c r="U2527" s="36">
        <f>IF(AND(OR(sel_Region="All",C2527=sel_Region),OR(sel_Country="All",D2527=sel_Country),OR(sel_Channel="All",E2527=sel_Channel),OR(sel_Customer="All",F2527=sel_Customer),OR(sel_Category="All",G2527=sel_Category),OR(sel_Product="All",H2527=sel_Product),AND(S2527&gt;=m_From,S2527&lt;=m_To)),1,0)</f>
        <v/>
      </c>
      <c r="V2527" s="36">
        <f>IF(AND(OR(sel_Region="All",C2527=sel_Region),OR(sel_Channel="All",E2527=sel_Channel),OR(sel_Customer="All",F2527=sel_Customer),OR(sel_Category="All",G2527=sel_Category),OR(sel_Product="All",H2527=sel_Product),AND(S2527&gt;=m_From,S2527&lt;=m_To)),1,0)</f>
        <v/>
      </c>
      <c r="W2527" s="36">
        <f>IF(AND(OR(sel_Region="All",C2527=sel_Region),OR(sel_Country="All",D2527=sel_Country),OR(sel_Customer="All",F2527=sel_Customer),OR(sel_Category="All",G2527=sel_Category),OR(sel_Product="All",H2527=sel_Product),AND(S2527&gt;=m_From,S2527&lt;=m_To)),1,0)</f>
        <v/>
      </c>
      <c r="X2527" s="36">
        <f>IF(AND(OR(sel_Region="All",C2527=sel_Region),OR(sel_Country="All",D2527=sel_Country),OR(sel_Channel="All",E2527=sel_Channel),OR(sel_Category="All",G2527=sel_Category),OR(sel_Product="All",H2527=sel_Product),AND(S2527&gt;=m_From,S2527&lt;=m_To)),1,0)</f>
        <v/>
      </c>
      <c r="Y2527" s="36">
        <f>IF(AND(OR(sel_Region="All",C2527=sel_Region),OR(sel_Country="All",D2527=sel_Country),OR(sel_Channel="All",E2527=sel_Channel),OR(sel_Customer="All",F2527=sel_Customer),OR(sel_Product="All",H2527=sel_Product),AND(S2527&gt;=m_From,S2527&lt;=m_To)),1,0)</f>
        <v/>
      </c>
      <c r="Z2527" s="36">
        <f>IF(AND(OR(sel_Region="All",C2527=sel_Region),OR(sel_Country="All",D2527=sel_Country),OR(sel_Channel="All",E2527=sel_Channel),OR(sel_Customer="All",F2527=sel_Customer),OR(sel_Category="All",G2527=sel_Category),AND(S2527&gt;=m_From,S2527&lt;=m_To)),1,0)</f>
        <v/>
      </c>
      <c r="AA2527" s="36">
        <f>IF(AND(OR(sel_Region="All",C2527=sel_Region),OR(sel_Country="All",D2527=sel_Country),OR(sel_Channel="All",E2527=sel_Channel),OR(sel_Customer="All",F2527=sel_Customer),OR(sel_Category="All",G2527=sel_Category),OR(sel_Product="All",H2527=sel_Product)),1,0)</f>
        <v/>
      </c>
    </row>
    <row r="2528">
      <c r="A2528" s="36" t="inlineStr">
        <is>
          <t>01402</t>
        </is>
      </c>
      <c r="B2528" s="44" t="n">
        <v>46361</v>
      </c>
      <c r="C2528" s="36" t="inlineStr">
        <is>
          <t>Central Europe</t>
        </is>
      </c>
      <c r="D2528" s="36" t="inlineStr">
        <is>
          <t>Austria</t>
        </is>
      </c>
      <c r="E2528" s="36" t="inlineStr">
        <is>
          <t>Retail Partners</t>
        </is>
      </c>
      <c r="F2528" s="36" t="inlineStr">
        <is>
          <t>New</t>
        </is>
      </c>
      <c r="G2528" s="36" t="inlineStr">
        <is>
          <t>Camping</t>
        </is>
      </c>
      <c r="H2528" s="36" t="inlineStr">
        <is>
          <t>Compact Sleeping Bag</t>
        </is>
      </c>
      <c r="I2528" s="36" t="n">
        <v>2</v>
      </c>
      <c r="J2528" s="39" t="n">
        <v>121.64</v>
      </c>
      <c r="K2528" s="45" t="n">
        <v>0</v>
      </c>
      <c r="L2528" s="39" t="n">
        <v>61.94</v>
      </c>
      <c r="M2528" s="39">
        <f>I2528*J2528*(1-K2528)</f>
        <v/>
      </c>
      <c r="N2528" s="39">
        <f>I2528*L2528</f>
        <v/>
      </c>
      <c r="O2528" s="39">
        <f>M2528-N2528</f>
        <v/>
      </c>
      <c r="P2528" s="38">
        <f>IF(M2528=0,0,O2528/M2528)</f>
        <v/>
      </c>
      <c r="Q2528" s="36">
        <f>YEAR(B2528)</f>
        <v/>
      </c>
      <c r="R2528" s="36">
        <f>"Q"&amp;ROUNDUP(MONTH(B2528)/3,0)</f>
        <v/>
      </c>
      <c r="S2528" s="36">
        <f>MONTH(B2528)</f>
        <v/>
      </c>
      <c r="T2528" s="36">
        <f>TEXT(B2528,"mmm")</f>
        <v/>
      </c>
      <c r="U2528" s="36">
        <f>IF(AND(OR(sel_Region="All",C2528=sel_Region),OR(sel_Country="All",D2528=sel_Country),OR(sel_Channel="All",E2528=sel_Channel),OR(sel_Customer="All",F2528=sel_Customer),OR(sel_Category="All",G2528=sel_Category),OR(sel_Product="All",H2528=sel_Product),AND(S2528&gt;=m_From,S2528&lt;=m_To)),1,0)</f>
        <v/>
      </c>
      <c r="V2528" s="36">
        <f>IF(AND(OR(sel_Region="All",C2528=sel_Region),OR(sel_Channel="All",E2528=sel_Channel),OR(sel_Customer="All",F2528=sel_Customer),OR(sel_Category="All",G2528=sel_Category),OR(sel_Product="All",H2528=sel_Product),AND(S2528&gt;=m_From,S2528&lt;=m_To)),1,0)</f>
        <v/>
      </c>
      <c r="W2528" s="36">
        <f>IF(AND(OR(sel_Region="All",C2528=sel_Region),OR(sel_Country="All",D2528=sel_Country),OR(sel_Customer="All",F2528=sel_Customer),OR(sel_Category="All",G2528=sel_Category),OR(sel_Product="All",H2528=sel_Product),AND(S2528&gt;=m_From,S2528&lt;=m_To)),1,0)</f>
        <v/>
      </c>
      <c r="X2528" s="36">
        <f>IF(AND(OR(sel_Region="All",C2528=sel_Region),OR(sel_Country="All",D2528=sel_Country),OR(sel_Channel="All",E2528=sel_Channel),OR(sel_Category="All",G2528=sel_Category),OR(sel_Product="All",H2528=sel_Product),AND(S2528&gt;=m_From,S2528&lt;=m_To)),1,0)</f>
        <v/>
      </c>
      <c r="Y2528" s="36">
        <f>IF(AND(OR(sel_Region="All",C2528=sel_Region),OR(sel_Country="All",D2528=sel_Country),OR(sel_Channel="All",E2528=sel_Channel),OR(sel_Customer="All",F2528=sel_Customer),OR(sel_Product="All",H2528=sel_Product),AND(S2528&gt;=m_From,S2528&lt;=m_To)),1,0)</f>
        <v/>
      </c>
      <c r="Z2528" s="36">
        <f>IF(AND(OR(sel_Region="All",C2528=sel_Region),OR(sel_Country="All",D2528=sel_Country),OR(sel_Channel="All",E2528=sel_Channel),OR(sel_Customer="All",F2528=sel_Customer),OR(sel_Category="All",G2528=sel_Category),AND(S2528&gt;=m_From,S2528&lt;=m_To)),1,0)</f>
        <v/>
      </c>
      <c r="AA2528" s="36">
        <f>IF(AND(OR(sel_Region="All",C2528=sel_Region),OR(sel_Country="All",D2528=sel_Country),OR(sel_Channel="All",E2528=sel_Channel),OR(sel_Customer="All",F2528=sel_Customer),OR(sel_Category="All",G2528=sel_Category),OR(sel_Product="All",H2528=sel_Product)),1,0)</f>
        <v/>
      </c>
    </row>
    <row r="2529">
      <c r="A2529" s="36" t="inlineStr">
        <is>
          <t>01824</t>
        </is>
      </c>
      <c r="B2529" s="44" t="n">
        <v>46361</v>
      </c>
      <c r="C2529" s="36" t="inlineStr">
        <is>
          <t>Central Europe</t>
        </is>
      </c>
      <c r="D2529" s="36" t="inlineStr">
        <is>
          <t>Czechia</t>
        </is>
      </c>
      <c r="E2529" s="36" t="inlineStr">
        <is>
          <t>Online Store</t>
        </is>
      </c>
      <c r="F2529" s="36" t="inlineStr">
        <is>
          <t>Returning</t>
        </is>
      </c>
      <c r="G2529" s="36" t="inlineStr">
        <is>
          <t>Travel</t>
        </is>
      </c>
      <c r="H2529" s="36" t="inlineStr">
        <is>
          <t>Travel Backpack 35L</t>
        </is>
      </c>
      <c r="I2529" s="36" t="n">
        <v>1</v>
      </c>
      <c r="J2529" s="39" t="n">
        <v>165.1</v>
      </c>
      <c r="K2529" s="45" t="n">
        <v>0.05</v>
      </c>
      <c r="L2529" s="39" t="n">
        <v>85.23</v>
      </c>
      <c r="M2529" s="39">
        <f>I2529*J2529*(1-K2529)</f>
        <v/>
      </c>
      <c r="N2529" s="39">
        <f>I2529*L2529</f>
        <v/>
      </c>
      <c r="O2529" s="39">
        <f>M2529-N2529</f>
        <v/>
      </c>
      <c r="P2529" s="38">
        <f>IF(M2529=0,0,O2529/M2529)</f>
        <v/>
      </c>
      <c r="Q2529" s="36">
        <f>YEAR(B2529)</f>
        <v/>
      </c>
      <c r="R2529" s="36">
        <f>"Q"&amp;ROUNDUP(MONTH(B2529)/3,0)</f>
        <v/>
      </c>
      <c r="S2529" s="36">
        <f>MONTH(B2529)</f>
        <v/>
      </c>
      <c r="T2529" s="36">
        <f>TEXT(B2529,"mmm")</f>
        <v/>
      </c>
      <c r="U2529" s="36">
        <f>IF(AND(OR(sel_Region="All",C2529=sel_Region),OR(sel_Country="All",D2529=sel_Country),OR(sel_Channel="All",E2529=sel_Channel),OR(sel_Customer="All",F2529=sel_Customer),OR(sel_Category="All",G2529=sel_Category),OR(sel_Product="All",H2529=sel_Product),AND(S2529&gt;=m_From,S2529&lt;=m_To)),1,0)</f>
        <v/>
      </c>
      <c r="V2529" s="36">
        <f>IF(AND(OR(sel_Region="All",C2529=sel_Region),OR(sel_Channel="All",E2529=sel_Channel),OR(sel_Customer="All",F2529=sel_Customer),OR(sel_Category="All",G2529=sel_Category),OR(sel_Product="All",H2529=sel_Product),AND(S2529&gt;=m_From,S2529&lt;=m_To)),1,0)</f>
        <v/>
      </c>
      <c r="W2529" s="36">
        <f>IF(AND(OR(sel_Region="All",C2529=sel_Region),OR(sel_Country="All",D2529=sel_Country),OR(sel_Customer="All",F2529=sel_Customer),OR(sel_Category="All",G2529=sel_Category),OR(sel_Product="All",H2529=sel_Product),AND(S2529&gt;=m_From,S2529&lt;=m_To)),1,0)</f>
        <v/>
      </c>
      <c r="X2529" s="36">
        <f>IF(AND(OR(sel_Region="All",C2529=sel_Region),OR(sel_Country="All",D2529=sel_Country),OR(sel_Channel="All",E2529=sel_Channel),OR(sel_Category="All",G2529=sel_Category),OR(sel_Product="All",H2529=sel_Product),AND(S2529&gt;=m_From,S2529&lt;=m_To)),1,0)</f>
        <v/>
      </c>
      <c r="Y2529" s="36">
        <f>IF(AND(OR(sel_Region="All",C2529=sel_Region),OR(sel_Country="All",D2529=sel_Country),OR(sel_Channel="All",E2529=sel_Channel),OR(sel_Customer="All",F2529=sel_Customer),OR(sel_Product="All",H2529=sel_Product),AND(S2529&gt;=m_From,S2529&lt;=m_To)),1,0)</f>
        <v/>
      </c>
      <c r="Z2529" s="36">
        <f>IF(AND(OR(sel_Region="All",C2529=sel_Region),OR(sel_Country="All",D2529=sel_Country),OR(sel_Channel="All",E2529=sel_Channel),OR(sel_Customer="All",F2529=sel_Customer),OR(sel_Category="All",G2529=sel_Category),AND(S2529&gt;=m_From,S2529&lt;=m_To)),1,0)</f>
        <v/>
      </c>
      <c r="AA2529" s="36">
        <f>IF(AND(OR(sel_Region="All",C2529=sel_Region),OR(sel_Country="All",D2529=sel_Country),OR(sel_Channel="All",E2529=sel_Channel),OR(sel_Customer="All",F2529=sel_Customer),OR(sel_Category="All",G2529=sel_Category),OR(sel_Product="All",H2529=sel_Product)),1,0)</f>
        <v/>
      </c>
    </row>
    <row r="2530">
      <c r="A2530" s="36" t="inlineStr">
        <is>
          <t>02141</t>
        </is>
      </c>
      <c r="B2530" s="44" t="n">
        <v>46361</v>
      </c>
      <c r="C2530" s="36" t="inlineStr">
        <is>
          <t>Western Europe</t>
        </is>
      </c>
      <c r="D2530" s="36" t="inlineStr">
        <is>
          <t>France</t>
        </is>
      </c>
      <c r="E2530" s="36" t="inlineStr">
        <is>
          <t>Online Store</t>
        </is>
      </c>
      <c r="F2530" s="36" t="inlineStr">
        <is>
          <t>New</t>
        </is>
      </c>
      <c r="G2530" s="36" t="inlineStr">
        <is>
          <t>Camping</t>
        </is>
      </c>
      <c r="H2530" s="36" t="inlineStr">
        <is>
          <t>Trail Tent 2P</t>
        </is>
      </c>
      <c r="I2530" s="36" t="n">
        <v>3</v>
      </c>
      <c r="J2530" s="39" t="n">
        <v>194.07</v>
      </c>
      <c r="K2530" s="45" t="n">
        <v>0.1</v>
      </c>
      <c r="L2530" s="39" t="n">
        <v>102.37</v>
      </c>
      <c r="M2530" s="39">
        <f>I2530*J2530*(1-K2530)</f>
        <v/>
      </c>
      <c r="N2530" s="39">
        <f>I2530*L2530</f>
        <v/>
      </c>
      <c r="O2530" s="39">
        <f>M2530-N2530</f>
        <v/>
      </c>
      <c r="P2530" s="38">
        <f>IF(M2530=0,0,O2530/M2530)</f>
        <v/>
      </c>
      <c r="Q2530" s="36">
        <f>YEAR(B2530)</f>
        <v/>
      </c>
      <c r="R2530" s="36">
        <f>"Q"&amp;ROUNDUP(MONTH(B2530)/3,0)</f>
        <v/>
      </c>
      <c r="S2530" s="36">
        <f>MONTH(B2530)</f>
        <v/>
      </c>
      <c r="T2530" s="36">
        <f>TEXT(B2530,"mmm")</f>
        <v/>
      </c>
      <c r="U2530" s="36">
        <f>IF(AND(OR(sel_Region="All",C2530=sel_Region),OR(sel_Country="All",D2530=sel_Country),OR(sel_Channel="All",E2530=sel_Channel),OR(sel_Customer="All",F2530=sel_Customer),OR(sel_Category="All",G2530=sel_Category),OR(sel_Product="All",H2530=sel_Product),AND(S2530&gt;=m_From,S2530&lt;=m_To)),1,0)</f>
        <v/>
      </c>
      <c r="V2530" s="36">
        <f>IF(AND(OR(sel_Region="All",C2530=sel_Region),OR(sel_Channel="All",E2530=sel_Channel),OR(sel_Customer="All",F2530=sel_Customer),OR(sel_Category="All",G2530=sel_Category),OR(sel_Product="All",H2530=sel_Product),AND(S2530&gt;=m_From,S2530&lt;=m_To)),1,0)</f>
        <v/>
      </c>
      <c r="W2530" s="36">
        <f>IF(AND(OR(sel_Region="All",C2530=sel_Region),OR(sel_Country="All",D2530=sel_Country),OR(sel_Customer="All",F2530=sel_Customer),OR(sel_Category="All",G2530=sel_Category),OR(sel_Product="All",H2530=sel_Product),AND(S2530&gt;=m_From,S2530&lt;=m_To)),1,0)</f>
        <v/>
      </c>
      <c r="X2530" s="36">
        <f>IF(AND(OR(sel_Region="All",C2530=sel_Region),OR(sel_Country="All",D2530=sel_Country),OR(sel_Channel="All",E2530=sel_Channel),OR(sel_Category="All",G2530=sel_Category),OR(sel_Product="All",H2530=sel_Product),AND(S2530&gt;=m_From,S2530&lt;=m_To)),1,0)</f>
        <v/>
      </c>
      <c r="Y2530" s="36">
        <f>IF(AND(OR(sel_Region="All",C2530=sel_Region),OR(sel_Country="All",D2530=sel_Country),OR(sel_Channel="All",E2530=sel_Channel),OR(sel_Customer="All",F2530=sel_Customer),OR(sel_Product="All",H2530=sel_Product),AND(S2530&gt;=m_From,S2530&lt;=m_To)),1,0)</f>
        <v/>
      </c>
      <c r="Z2530" s="36">
        <f>IF(AND(OR(sel_Region="All",C2530=sel_Region),OR(sel_Country="All",D2530=sel_Country),OR(sel_Channel="All",E2530=sel_Channel),OR(sel_Customer="All",F2530=sel_Customer),OR(sel_Category="All",G2530=sel_Category),AND(S2530&gt;=m_From,S2530&lt;=m_To)),1,0)</f>
        <v/>
      </c>
      <c r="AA2530" s="36">
        <f>IF(AND(OR(sel_Region="All",C2530=sel_Region),OR(sel_Country="All",D2530=sel_Country),OR(sel_Channel="All",E2530=sel_Channel),OR(sel_Customer="All",F2530=sel_Customer),OR(sel_Category="All",G2530=sel_Category),OR(sel_Product="All",H2530=sel_Product)),1,0)</f>
        <v/>
      </c>
    </row>
    <row r="2531">
      <c r="A2531" s="36" t="inlineStr">
        <is>
          <t>03517</t>
        </is>
      </c>
      <c r="B2531" s="44" t="n">
        <v>46361</v>
      </c>
      <c r="C2531" s="36" t="inlineStr">
        <is>
          <t>Western Europe</t>
        </is>
      </c>
      <c r="D2531" s="36" t="inlineStr">
        <is>
          <t>France</t>
        </is>
      </c>
      <c r="E2531" s="36" t="inlineStr">
        <is>
          <t>Marketplace</t>
        </is>
      </c>
      <c r="F2531" s="36" t="inlineStr">
        <is>
          <t>New</t>
        </is>
      </c>
      <c r="G2531" s="36" t="inlineStr">
        <is>
          <t>Hiking</t>
        </is>
      </c>
      <c r="H2531" s="36" t="inlineStr">
        <is>
          <t>Summit Backpack 45L</t>
        </is>
      </c>
      <c r="I2531" s="36" t="n">
        <v>1</v>
      </c>
      <c r="J2531" s="39" t="n">
        <v>152.44</v>
      </c>
      <c r="K2531" s="45" t="n">
        <v>0.1</v>
      </c>
      <c r="L2531" s="39" t="n">
        <v>76.91</v>
      </c>
      <c r="M2531" s="39">
        <f>I2531*J2531*(1-K2531)</f>
        <v/>
      </c>
      <c r="N2531" s="39">
        <f>I2531*L2531</f>
        <v/>
      </c>
      <c r="O2531" s="39">
        <f>M2531-N2531</f>
        <v/>
      </c>
      <c r="P2531" s="38">
        <f>IF(M2531=0,0,O2531/M2531)</f>
        <v/>
      </c>
      <c r="Q2531" s="36">
        <f>YEAR(B2531)</f>
        <v/>
      </c>
      <c r="R2531" s="36">
        <f>"Q"&amp;ROUNDUP(MONTH(B2531)/3,0)</f>
        <v/>
      </c>
      <c r="S2531" s="36">
        <f>MONTH(B2531)</f>
        <v/>
      </c>
      <c r="T2531" s="36">
        <f>TEXT(B2531,"mmm")</f>
        <v/>
      </c>
      <c r="U2531" s="36">
        <f>IF(AND(OR(sel_Region="All",C2531=sel_Region),OR(sel_Country="All",D2531=sel_Country),OR(sel_Channel="All",E2531=sel_Channel),OR(sel_Customer="All",F2531=sel_Customer),OR(sel_Category="All",G2531=sel_Category),OR(sel_Product="All",H2531=sel_Product),AND(S2531&gt;=m_From,S2531&lt;=m_To)),1,0)</f>
        <v/>
      </c>
      <c r="V2531" s="36">
        <f>IF(AND(OR(sel_Region="All",C2531=sel_Region),OR(sel_Channel="All",E2531=sel_Channel),OR(sel_Customer="All",F2531=sel_Customer),OR(sel_Category="All",G2531=sel_Category),OR(sel_Product="All",H2531=sel_Product),AND(S2531&gt;=m_From,S2531&lt;=m_To)),1,0)</f>
        <v/>
      </c>
      <c r="W2531" s="36">
        <f>IF(AND(OR(sel_Region="All",C2531=sel_Region),OR(sel_Country="All",D2531=sel_Country),OR(sel_Customer="All",F2531=sel_Customer),OR(sel_Category="All",G2531=sel_Category),OR(sel_Product="All",H2531=sel_Product),AND(S2531&gt;=m_From,S2531&lt;=m_To)),1,0)</f>
        <v/>
      </c>
      <c r="X2531" s="36">
        <f>IF(AND(OR(sel_Region="All",C2531=sel_Region),OR(sel_Country="All",D2531=sel_Country),OR(sel_Channel="All",E2531=sel_Channel),OR(sel_Category="All",G2531=sel_Category),OR(sel_Product="All",H2531=sel_Product),AND(S2531&gt;=m_From,S2531&lt;=m_To)),1,0)</f>
        <v/>
      </c>
      <c r="Y2531" s="36">
        <f>IF(AND(OR(sel_Region="All",C2531=sel_Region),OR(sel_Country="All",D2531=sel_Country),OR(sel_Channel="All",E2531=sel_Channel),OR(sel_Customer="All",F2531=sel_Customer),OR(sel_Product="All",H2531=sel_Product),AND(S2531&gt;=m_From,S2531&lt;=m_To)),1,0)</f>
        <v/>
      </c>
      <c r="Z2531" s="36">
        <f>IF(AND(OR(sel_Region="All",C2531=sel_Region),OR(sel_Country="All",D2531=sel_Country),OR(sel_Channel="All",E2531=sel_Channel),OR(sel_Customer="All",F2531=sel_Customer),OR(sel_Category="All",G2531=sel_Category),AND(S2531&gt;=m_From,S2531&lt;=m_To)),1,0)</f>
        <v/>
      </c>
      <c r="AA2531" s="36">
        <f>IF(AND(OR(sel_Region="All",C2531=sel_Region),OR(sel_Country="All",D2531=sel_Country),OR(sel_Channel="All",E2531=sel_Channel),OR(sel_Customer="All",F2531=sel_Customer),OR(sel_Category="All",G2531=sel_Category),OR(sel_Product="All",H2531=sel_Product)),1,0)</f>
        <v/>
      </c>
    </row>
    <row r="2532">
      <c r="A2532" s="36" t="inlineStr">
        <is>
          <t>04055</t>
        </is>
      </c>
      <c r="B2532" s="44" t="n">
        <v>46361</v>
      </c>
      <c r="C2532" s="36" t="inlineStr">
        <is>
          <t>Central Europe</t>
        </is>
      </c>
      <c r="D2532" s="36" t="inlineStr">
        <is>
          <t>Germany</t>
        </is>
      </c>
      <c r="E2532" s="36" t="inlineStr">
        <is>
          <t>Online Store</t>
        </is>
      </c>
      <c r="F2532" s="36" t="inlineStr">
        <is>
          <t>Returning</t>
        </is>
      </c>
      <c r="G2532" s="36" t="inlineStr">
        <is>
          <t>Camping</t>
        </is>
      </c>
      <c r="H2532" s="36" t="inlineStr">
        <is>
          <t>Compact Sleeping Bag</t>
        </is>
      </c>
      <c r="I2532" s="36" t="n">
        <v>1</v>
      </c>
      <c r="J2532" s="39" t="n">
        <v>123.82</v>
      </c>
      <c r="K2532" s="45" t="n">
        <v>0.05</v>
      </c>
      <c r="L2532" s="39" t="n">
        <v>59.19</v>
      </c>
      <c r="M2532" s="39">
        <f>I2532*J2532*(1-K2532)</f>
        <v/>
      </c>
      <c r="N2532" s="39">
        <f>I2532*L2532</f>
        <v/>
      </c>
      <c r="O2532" s="39">
        <f>M2532-N2532</f>
        <v/>
      </c>
      <c r="P2532" s="38">
        <f>IF(M2532=0,0,O2532/M2532)</f>
        <v/>
      </c>
      <c r="Q2532" s="36">
        <f>YEAR(B2532)</f>
        <v/>
      </c>
      <c r="R2532" s="36">
        <f>"Q"&amp;ROUNDUP(MONTH(B2532)/3,0)</f>
        <v/>
      </c>
      <c r="S2532" s="36">
        <f>MONTH(B2532)</f>
        <v/>
      </c>
      <c r="T2532" s="36">
        <f>TEXT(B2532,"mmm")</f>
        <v/>
      </c>
      <c r="U2532" s="36">
        <f>IF(AND(OR(sel_Region="All",C2532=sel_Region),OR(sel_Country="All",D2532=sel_Country),OR(sel_Channel="All",E2532=sel_Channel),OR(sel_Customer="All",F2532=sel_Customer),OR(sel_Category="All",G2532=sel_Category),OR(sel_Product="All",H2532=sel_Product),AND(S2532&gt;=m_From,S2532&lt;=m_To)),1,0)</f>
        <v/>
      </c>
      <c r="V2532" s="36">
        <f>IF(AND(OR(sel_Region="All",C2532=sel_Region),OR(sel_Channel="All",E2532=sel_Channel),OR(sel_Customer="All",F2532=sel_Customer),OR(sel_Category="All",G2532=sel_Category),OR(sel_Product="All",H2532=sel_Product),AND(S2532&gt;=m_From,S2532&lt;=m_To)),1,0)</f>
        <v/>
      </c>
      <c r="W2532" s="36">
        <f>IF(AND(OR(sel_Region="All",C2532=sel_Region),OR(sel_Country="All",D2532=sel_Country),OR(sel_Customer="All",F2532=sel_Customer),OR(sel_Category="All",G2532=sel_Category),OR(sel_Product="All",H2532=sel_Product),AND(S2532&gt;=m_From,S2532&lt;=m_To)),1,0)</f>
        <v/>
      </c>
      <c r="X2532" s="36">
        <f>IF(AND(OR(sel_Region="All",C2532=sel_Region),OR(sel_Country="All",D2532=sel_Country),OR(sel_Channel="All",E2532=sel_Channel),OR(sel_Category="All",G2532=sel_Category),OR(sel_Product="All",H2532=sel_Product),AND(S2532&gt;=m_From,S2532&lt;=m_To)),1,0)</f>
        <v/>
      </c>
      <c r="Y2532" s="36">
        <f>IF(AND(OR(sel_Region="All",C2532=sel_Region),OR(sel_Country="All",D2532=sel_Country),OR(sel_Channel="All",E2532=sel_Channel),OR(sel_Customer="All",F2532=sel_Customer),OR(sel_Product="All",H2532=sel_Product),AND(S2532&gt;=m_From,S2532&lt;=m_To)),1,0)</f>
        <v/>
      </c>
      <c r="Z2532" s="36">
        <f>IF(AND(OR(sel_Region="All",C2532=sel_Region),OR(sel_Country="All",D2532=sel_Country),OR(sel_Channel="All",E2532=sel_Channel),OR(sel_Customer="All",F2532=sel_Customer),OR(sel_Category="All",G2532=sel_Category),AND(S2532&gt;=m_From,S2532&lt;=m_To)),1,0)</f>
        <v/>
      </c>
      <c r="AA2532" s="36">
        <f>IF(AND(OR(sel_Region="All",C2532=sel_Region),OR(sel_Country="All",D2532=sel_Country),OR(sel_Channel="All",E2532=sel_Channel),OR(sel_Customer="All",F2532=sel_Customer),OR(sel_Category="All",G2532=sel_Category),OR(sel_Product="All",H2532=sel_Product)),1,0)</f>
        <v/>
      </c>
    </row>
    <row r="2533">
      <c r="A2533" s="36" t="inlineStr">
        <is>
          <t>04168</t>
        </is>
      </c>
      <c r="B2533" s="44" t="n">
        <v>46361</v>
      </c>
      <c r="C2533" s="36" t="inlineStr">
        <is>
          <t>Southern Europe</t>
        </is>
      </c>
      <c r="D2533" s="36" t="inlineStr">
        <is>
          <t>Spain</t>
        </is>
      </c>
      <c r="E2533" s="36" t="inlineStr">
        <is>
          <t>Online Store</t>
        </is>
      </c>
      <c r="F2533" s="36" t="inlineStr">
        <is>
          <t>New</t>
        </is>
      </c>
      <c r="G2533" s="36" t="inlineStr">
        <is>
          <t>Hiking</t>
        </is>
      </c>
      <c r="H2533" s="36" t="inlineStr">
        <is>
          <t>Trekking Poles</t>
        </is>
      </c>
      <c r="I2533" s="36" t="n">
        <v>4</v>
      </c>
      <c r="J2533" s="39" t="n">
        <v>71.12</v>
      </c>
      <c r="K2533" s="45" t="n">
        <v>0.05</v>
      </c>
      <c r="L2533" s="39" t="n">
        <v>31.93</v>
      </c>
      <c r="M2533" s="39">
        <f>I2533*J2533*(1-K2533)</f>
        <v/>
      </c>
      <c r="N2533" s="39">
        <f>I2533*L2533</f>
        <v/>
      </c>
      <c r="O2533" s="39">
        <f>M2533-N2533</f>
        <v/>
      </c>
      <c r="P2533" s="38">
        <f>IF(M2533=0,0,O2533/M2533)</f>
        <v/>
      </c>
      <c r="Q2533" s="36">
        <f>YEAR(B2533)</f>
        <v/>
      </c>
      <c r="R2533" s="36">
        <f>"Q"&amp;ROUNDUP(MONTH(B2533)/3,0)</f>
        <v/>
      </c>
      <c r="S2533" s="36">
        <f>MONTH(B2533)</f>
        <v/>
      </c>
      <c r="T2533" s="36">
        <f>TEXT(B2533,"mmm")</f>
        <v/>
      </c>
      <c r="U2533" s="36">
        <f>IF(AND(OR(sel_Region="All",C2533=sel_Region),OR(sel_Country="All",D2533=sel_Country),OR(sel_Channel="All",E2533=sel_Channel),OR(sel_Customer="All",F2533=sel_Customer),OR(sel_Category="All",G2533=sel_Category),OR(sel_Product="All",H2533=sel_Product),AND(S2533&gt;=m_From,S2533&lt;=m_To)),1,0)</f>
        <v/>
      </c>
      <c r="V2533" s="36">
        <f>IF(AND(OR(sel_Region="All",C2533=sel_Region),OR(sel_Channel="All",E2533=sel_Channel),OR(sel_Customer="All",F2533=sel_Customer),OR(sel_Category="All",G2533=sel_Category),OR(sel_Product="All",H2533=sel_Product),AND(S2533&gt;=m_From,S2533&lt;=m_To)),1,0)</f>
        <v/>
      </c>
      <c r="W2533" s="36">
        <f>IF(AND(OR(sel_Region="All",C2533=sel_Region),OR(sel_Country="All",D2533=sel_Country),OR(sel_Customer="All",F2533=sel_Customer),OR(sel_Category="All",G2533=sel_Category),OR(sel_Product="All",H2533=sel_Product),AND(S2533&gt;=m_From,S2533&lt;=m_To)),1,0)</f>
        <v/>
      </c>
      <c r="X2533" s="36">
        <f>IF(AND(OR(sel_Region="All",C2533=sel_Region),OR(sel_Country="All",D2533=sel_Country),OR(sel_Channel="All",E2533=sel_Channel),OR(sel_Category="All",G2533=sel_Category),OR(sel_Product="All",H2533=sel_Product),AND(S2533&gt;=m_From,S2533&lt;=m_To)),1,0)</f>
        <v/>
      </c>
      <c r="Y2533" s="36">
        <f>IF(AND(OR(sel_Region="All",C2533=sel_Region),OR(sel_Country="All",D2533=sel_Country),OR(sel_Channel="All",E2533=sel_Channel),OR(sel_Customer="All",F2533=sel_Customer),OR(sel_Product="All",H2533=sel_Product),AND(S2533&gt;=m_From,S2533&lt;=m_To)),1,0)</f>
        <v/>
      </c>
      <c r="Z2533" s="36">
        <f>IF(AND(OR(sel_Region="All",C2533=sel_Region),OR(sel_Country="All",D2533=sel_Country),OR(sel_Channel="All",E2533=sel_Channel),OR(sel_Customer="All",F2533=sel_Customer),OR(sel_Category="All",G2533=sel_Category),AND(S2533&gt;=m_From,S2533&lt;=m_To)),1,0)</f>
        <v/>
      </c>
      <c r="AA2533" s="36">
        <f>IF(AND(OR(sel_Region="All",C2533=sel_Region),OR(sel_Country="All",D2533=sel_Country),OR(sel_Channel="All",E2533=sel_Channel),OR(sel_Customer="All",F2533=sel_Customer),OR(sel_Category="All",G2533=sel_Category),OR(sel_Product="All",H2533=sel_Product)),1,0)</f>
        <v/>
      </c>
    </row>
    <row r="2534">
      <c r="A2534" s="36" t="inlineStr">
        <is>
          <t>04317</t>
        </is>
      </c>
      <c r="B2534" s="44" t="n">
        <v>46361</v>
      </c>
      <c r="C2534" s="36" t="inlineStr">
        <is>
          <t>Northern Europe</t>
        </is>
      </c>
      <c r="D2534" s="36" t="inlineStr">
        <is>
          <t>Norway</t>
        </is>
      </c>
      <c r="E2534" s="36" t="inlineStr">
        <is>
          <t>Marketplace</t>
        </is>
      </c>
      <c r="F2534" s="36" t="inlineStr">
        <is>
          <t>Returning</t>
        </is>
      </c>
      <c r="G2534" s="36" t="inlineStr">
        <is>
          <t>Hiking</t>
        </is>
      </c>
      <c r="H2534" s="36" t="inlineStr">
        <is>
          <t>Trekking Poles</t>
        </is>
      </c>
      <c r="I2534" s="36" t="n">
        <v>1</v>
      </c>
      <c r="J2534" s="39" t="n">
        <v>71.55</v>
      </c>
      <c r="K2534" s="45" t="n">
        <v>0.1</v>
      </c>
      <c r="L2534" s="39" t="n">
        <v>32.07</v>
      </c>
      <c r="M2534" s="39">
        <f>I2534*J2534*(1-K2534)</f>
        <v/>
      </c>
      <c r="N2534" s="39">
        <f>I2534*L2534</f>
        <v/>
      </c>
      <c r="O2534" s="39">
        <f>M2534-N2534</f>
        <v/>
      </c>
      <c r="P2534" s="38">
        <f>IF(M2534=0,0,O2534/M2534)</f>
        <v/>
      </c>
      <c r="Q2534" s="36">
        <f>YEAR(B2534)</f>
        <v/>
      </c>
      <c r="R2534" s="36">
        <f>"Q"&amp;ROUNDUP(MONTH(B2534)/3,0)</f>
        <v/>
      </c>
      <c r="S2534" s="36">
        <f>MONTH(B2534)</f>
        <v/>
      </c>
      <c r="T2534" s="36">
        <f>TEXT(B2534,"mmm")</f>
        <v/>
      </c>
      <c r="U2534" s="36">
        <f>IF(AND(OR(sel_Region="All",C2534=sel_Region),OR(sel_Country="All",D2534=sel_Country),OR(sel_Channel="All",E2534=sel_Channel),OR(sel_Customer="All",F2534=sel_Customer),OR(sel_Category="All",G2534=sel_Category),OR(sel_Product="All",H2534=sel_Product),AND(S2534&gt;=m_From,S2534&lt;=m_To)),1,0)</f>
        <v/>
      </c>
      <c r="V2534" s="36">
        <f>IF(AND(OR(sel_Region="All",C2534=sel_Region),OR(sel_Channel="All",E2534=sel_Channel),OR(sel_Customer="All",F2534=sel_Customer),OR(sel_Category="All",G2534=sel_Category),OR(sel_Product="All",H2534=sel_Product),AND(S2534&gt;=m_From,S2534&lt;=m_To)),1,0)</f>
        <v/>
      </c>
      <c r="W2534" s="36">
        <f>IF(AND(OR(sel_Region="All",C2534=sel_Region),OR(sel_Country="All",D2534=sel_Country),OR(sel_Customer="All",F2534=sel_Customer),OR(sel_Category="All",G2534=sel_Category),OR(sel_Product="All",H2534=sel_Product),AND(S2534&gt;=m_From,S2534&lt;=m_To)),1,0)</f>
        <v/>
      </c>
      <c r="X2534" s="36">
        <f>IF(AND(OR(sel_Region="All",C2534=sel_Region),OR(sel_Country="All",D2534=sel_Country),OR(sel_Channel="All",E2534=sel_Channel),OR(sel_Category="All",G2534=sel_Category),OR(sel_Product="All",H2534=sel_Product),AND(S2534&gt;=m_From,S2534&lt;=m_To)),1,0)</f>
        <v/>
      </c>
      <c r="Y2534" s="36">
        <f>IF(AND(OR(sel_Region="All",C2534=sel_Region),OR(sel_Country="All",D2534=sel_Country),OR(sel_Channel="All",E2534=sel_Channel),OR(sel_Customer="All",F2534=sel_Customer),OR(sel_Product="All",H2534=sel_Product),AND(S2534&gt;=m_From,S2534&lt;=m_To)),1,0)</f>
        <v/>
      </c>
      <c r="Z2534" s="36">
        <f>IF(AND(OR(sel_Region="All",C2534=sel_Region),OR(sel_Country="All",D2534=sel_Country),OR(sel_Channel="All",E2534=sel_Channel),OR(sel_Customer="All",F2534=sel_Customer),OR(sel_Category="All",G2534=sel_Category),AND(S2534&gt;=m_From,S2534&lt;=m_To)),1,0)</f>
        <v/>
      </c>
      <c r="AA2534" s="36">
        <f>IF(AND(OR(sel_Region="All",C2534=sel_Region),OR(sel_Country="All",D2534=sel_Country),OR(sel_Channel="All",E2534=sel_Channel),OR(sel_Customer="All",F2534=sel_Customer),OR(sel_Category="All",G2534=sel_Category),OR(sel_Product="All",H2534=sel_Product)),1,0)</f>
        <v/>
      </c>
    </row>
    <row r="2535">
      <c r="A2535" s="36" t="inlineStr">
        <is>
          <t>04879</t>
        </is>
      </c>
      <c r="B2535" s="44" t="n">
        <v>46361</v>
      </c>
      <c r="C2535" s="36" t="inlineStr">
        <is>
          <t>Northern Europe</t>
        </is>
      </c>
      <c r="D2535" s="36" t="inlineStr">
        <is>
          <t>Sweden</t>
        </is>
      </c>
      <c r="E2535" s="36" t="inlineStr">
        <is>
          <t>Marketplace</t>
        </is>
      </c>
      <c r="F2535" s="36" t="inlineStr">
        <is>
          <t>Returning</t>
        </is>
      </c>
      <c r="G2535" s="36" t="inlineStr">
        <is>
          <t>Hiking</t>
        </is>
      </c>
      <c r="H2535" s="36" t="inlineStr">
        <is>
          <t>Trekking Poles</t>
        </is>
      </c>
      <c r="I2535" s="36" t="n">
        <v>2</v>
      </c>
      <c r="J2535" s="39" t="n">
        <v>70.23999999999999</v>
      </c>
      <c r="K2535" s="45" t="n">
        <v>0.1</v>
      </c>
      <c r="L2535" s="39" t="n">
        <v>33.29</v>
      </c>
      <c r="M2535" s="39">
        <f>I2535*J2535*(1-K2535)</f>
        <v/>
      </c>
      <c r="N2535" s="39">
        <f>I2535*L2535</f>
        <v/>
      </c>
      <c r="O2535" s="39">
        <f>M2535-N2535</f>
        <v/>
      </c>
      <c r="P2535" s="38">
        <f>IF(M2535=0,0,O2535/M2535)</f>
        <v/>
      </c>
      <c r="Q2535" s="36">
        <f>YEAR(B2535)</f>
        <v/>
      </c>
      <c r="R2535" s="36">
        <f>"Q"&amp;ROUNDUP(MONTH(B2535)/3,0)</f>
        <v/>
      </c>
      <c r="S2535" s="36">
        <f>MONTH(B2535)</f>
        <v/>
      </c>
      <c r="T2535" s="36">
        <f>TEXT(B2535,"mmm")</f>
        <v/>
      </c>
      <c r="U2535" s="36">
        <f>IF(AND(OR(sel_Region="All",C2535=sel_Region),OR(sel_Country="All",D2535=sel_Country),OR(sel_Channel="All",E2535=sel_Channel),OR(sel_Customer="All",F2535=sel_Customer),OR(sel_Category="All",G2535=sel_Category),OR(sel_Product="All",H2535=sel_Product),AND(S2535&gt;=m_From,S2535&lt;=m_To)),1,0)</f>
        <v/>
      </c>
      <c r="V2535" s="36">
        <f>IF(AND(OR(sel_Region="All",C2535=sel_Region),OR(sel_Channel="All",E2535=sel_Channel),OR(sel_Customer="All",F2535=sel_Customer),OR(sel_Category="All",G2535=sel_Category),OR(sel_Product="All",H2535=sel_Product),AND(S2535&gt;=m_From,S2535&lt;=m_To)),1,0)</f>
        <v/>
      </c>
      <c r="W2535" s="36">
        <f>IF(AND(OR(sel_Region="All",C2535=sel_Region),OR(sel_Country="All",D2535=sel_Country),OR(sel_Customer="All",F2535=sel_Customer),OR(sel_Category="All",G2535=sel_Category),OR(sel_Product="All",H2535=sel_Product),AND(S2535&gt;=m_From,S2535&lt;=m_To)),1,0)</f>
        <v/>
      </c>
      <c r="X2535" s="36">
        <f>IF(AND(OR(sel_Region="All",C2535=sel_Region),OR(sel_Country="All",D2535=sel_Country),OR(sel_Channel="All",E2535=sel_Channel),OR(sel_Category="All",G2535=sel_Category),OR(sel_Product="All",H2535=sel_Product),AND(S2535&gt;=m_From,S2535&lt;=m_To)),1,0)</f>
        <v/>
      </c>
      <c r="Y2535" s="36">
        <f>IF(AND(OR(sel_Region="All",C2535=sel_Region),OR(sel_Country="All",D2535=sel_Country),OR(sel_Channel="All",E2535=sel_Channel),OR(sel_Customer="All",F2535=sel_Customer),OR(sel_Product="All",H2535=sel_Product),AND(S2535&gt;=m_From,S2535&lt;=m_To)),1,0)</f>
        <v/>
      </c>
      <c r="Z2535" s="36">
        <f>IF(AND(OR(sel_Region="All",C2535=sel_Region),OR(sel_Country="All",D2535=sel_Country),OR(sel_Channel="All",E2535=sel_Channel),OR(sel_Customer="All",F2535=sel_Customer),OR(sel_Category="All",G2535=sel_Category),AND(S2535&gt;=m_From,S2535&lt;=m_To)),1,0)</f>
        <v/>
      </c>
      <c r="AA2535" s="36">
        <f>IF(AND(OR(sel_Region="All",C2535=sel_Region),OR(sel_Country="All",D2535=sel_Country),OR(sel_Channel="All",E2535=sel_Channel),OR(sel_Customer="All",F2535=sel_Customer),OR(sel_Category="All",G2535=sel_Category),OR(sel_Product="All",H2535=sel_Product)),1,0)</f>
        <v/>
      </c>
    </row>
    <row r="2536">
      <c r="A2536" s="36" t="inlineStr">
        <is>
          <t>00467</t>
        </is>
      </c>
      <c r="B2536" s="44" t="n">
        <v>46362</v>
      </c>
      <c r="C2536" s="36" t="inlineStr">
        <is>
          <t>Southern Europe</t>
        </is>
      </c>
      <c r="D2536" s="36" t="inlineStr">
        <is>
          <t>Spain</t>
        </is>
      </c>
      <c r="E2536" s="36" t="inlineStr">
        <is>
          <t>Marketplace</t>
        </is>
      </c>
      <c r="F2536" s="36" t="inlineStr">
        <is>
          <t>Returning</t>
        </is>
      </c>
      <c r="G2536" s="36" t="inlineStr">
        <is>
          <t>Cycling</t>
        </is>
      </c>
      <c r="H2536" s="36" t="inlineStr">
        <is>
          <t>Trail Bike Light</t>
        </is>
      </c>
      <c r="I2536" s="36" t="n">
        <v>2</v>
      </c>
      <c r="J2536" s="39" t="n">
        <v>50.68</v>
      </c>
      <c r="K2536" s="45" t="n">
        <v>0.15</v>
      </c>
      <c r="L2536" s="39" t="n">
        <v>22.41</v>
      </c>
      <c r="M2536" s="39">
        <f>I2536*J2536*(1-K2536)</f>
        <v/>
      </c>
      <c r="N2536" s="39">
        <f>I2536*L2536</f>
        <v/>
      </c>
      <c r="O2536" s="39">
        <f>M2536-N2536</f>
        <v/>
      </c>
      <c r="P2536" s="38">
        <f>IF(M2536=0,0,O2536/M2536)</f>
        <v/>
      </c>
      <c r="Q2536" s="36">
        <f>YEAR(B2536)</f>
        <v/>
      </c>
      <c r="R2536" s="36">
        <f>"Q"&amp;ROUNDUP(MONTH(B2536)/3,0)</f>
        <v/>
      </c>
      <c r="S2536" s="36">
        <f>MONTH(B2536)</f>
        <v/>
      </c>
      <c r="T2536" s="36">
        <f>TEXT(B2536,"mmm")</f>
        <v/>
      </c>
      <c r="U2536" s="36">
        <f>IF(AND(OR(sel_Region="All",C2536=sel_Region),OR(sel_Country="All",D2536=sel_Country),OR(sel_Channel="All",E2536=sel_Channel),OR(sel_Customer="All",F2536=sel_Customer),OR(sel_Category="All",G2536=sel_Category),OR(sel_Product="All",H2536=sel_Product),AND(S2536&gt;=m_From,S2536&lt;=m_To)),1,0)</f>
        <v/>
      </c>
      <c r="V2536" s="36">
        <f>IF(AND(OR(sel_Region="All",C2536=sel_Region),OR(sel_Channel="All",E2536=sel_Channel),OR(sel_Customer="All",F2536=sel_Customer),OR(sel_Category="All",G2536=sel_Category),OR(sel_Product="All",H2536=sel_Product),AND(S2536&gt;=m_From,S2536&lt;=m_To)),1,0)</f>
        <v/>
      </c>
      <c r="W2536" s="36">
        <f>IF(AND(OR(sel_Region="All",C2536=sel_Region),OR(sel_Country="All",D2536=sel_Country),OR(sel_Customer="All",F2536=sel_Customer),OR(sel_Category="All",G2536=sel_Category),OR(sel_Product="All",H2536=sel_Product),AND(S2536&gt;=m_From,S2536&lt;=m_To)),1,0)</f>
        <v/>
      </c>
      <c r="X2536" s="36">
        <f>IF(AND(OR(sel_Region="All",C2536=sel_Region),OR(sel_Country="All",D2536=sel_Country),OR(sel_Channel="All",E2536=sel_Channel),OR(sel_Category="All",G2536=sel_Category),OR(sel_Product="All",H2536=sel_Product),AND(S2536&gt;=m_From,S2536&lt;=m_To)),1,0)</f>
        <v/>
      </c>
      <c r="Y2536" s="36">
        <f>IF(AND(OR(sel_Region="All",C2536=sel_Region),OR(sel_Country="All",D2536=sel_Country),OR(sel_Channel="All",E2536=sel_Channel),OR(sel_Customer="All",F2536=sel_Customer),OR(sel_Product="All",H2536=sel_Product),AND(S2536&gt;=m_From,S2536&lt;=m_To)),1,0)</f>
        <v/>
      </c>
      <c r="Z2536" s="36">
        <f>IF(AND(OR(sel_Region="All",C2536=sel_Region),OR(sel_Country="All",D2536=sel_Country),OR(sel_Channel="All",E2536=sel_Channel),OR(sel_Customer="All",F2536=sel_Customer),OR(sel_Category="All",G2536=sel_Category),AND(S2536&gt;=m_From,S2536&lt;=m_To)),1,0)</f>
        <v/>
      </c>
      <c r="AA2536" s="36">
        <f>IF(AND(OR(sel_Region="All",C2536=sel_Region),OR(sel_Country="All",D2536=sel_Country),OR(sel_Channel="All",E2536=sel_Channel),OR(sel_Customer="All",F2536=sel_Customer),OR(sel_Category="All",G2536=sel_Category),OR(sel_Product="All",H2536=sel_Product)),1,0)</f>
        <v/>
      </c>
    </row>
    <row r="2537">
      <c r="A2537" s="36" t="inlineStr">
        <is>
          <t>00825</t>
        </is>
      </c>
      <c r="B2537" s="44" t="n">
        <v>46362</v>
      </c>
      <c r="C2537" s="36" t="inlineStr">
        <is>
          <t>Western Europe</t>
        </is>
      </c>
      <c r="D2537" s="36" t="inlineStr">
        <is>
          <t>Netherlands</t>
        </is>
      </c>
      <c r="E2537" s="36" t="inlineStr">
        <is>
          <t>Online Store</t>
        </is>
      </c>
      <c r="F2537" s="36" t="inlineStr">
        <is>
          <t>New</t>
        </is>
      </c>
      <c r="G2537" s="36" t="inlineStr">
        <is>
          <t>Cycling</t>
        </is>
      </c>
      <c r="H2537" s="36" t="inlineStr">
        <is>
          <t>Cycling Pack 12L</t>
        </is>
      </c>
      <c r="I2537" s="36" t="n">
        <v>1</v>
      </c>
      <c r="J2537" s="39" t="n">
        <v>101.26</v>
      </c>
      <c r="K2537" s="45" t="n">
        <v>0</v>
      </c>
      <c r="L2537" s="39" t="n">
        <v>51.7</v>
      </c>
      <c r="M2537" s="39">
        <f>I2537*J2537*(1-K2537)</f>
        <v/>
      </c>
      <c r="N2537" s="39">
        <f>I2537*L2537</f>
        <v/>
      </c>
      <c r="O2537" s="39">
        <f>M2537-N2537</f>
        <v/>
      </c>
      <c r="P2537" s="38">
        <f>IF(M2537=0,0,O2537/M2537)</f>
        <v/>
      </c>
      <c r="Q2537" s="36">
        <f>YEAR(B2537)</f>
        <v/>
      </c>
      <c r="R2537" s="36">
        <f>"Q"&amp;ROUNDUP(MONTH(B2537)/3,0)</f>
        <v/>
      </c>
      <c r="S2537" s="36">
        <f>MONTH(B2537)</f>
        <v/>
      </c>
      <c r="T2537" s="36">
        <f>TEXT(B2537,"mmm")</f>
        <v/>
      </c>
      <c r="U2537" s="36">
        <f>IF(AND(OR(sel_Region="All",C2537=sel_Region),OR(sel_Country="All",D2537=sel_Country),OR(sel_Channel="All",E2537=sel_Channel),OR(sel_Customer="All",F2537=sel_Customer),OR(sel_Category="All",G2537=sel_Category),OR(sel_Product="All",H2537=sel_Product),AND(S2537&gt;=m_From,S2537&lt;=m_To)),1,0)</f>
        <v/>
      </c>
      <c r="V2537" s="36">
        <f>IF(AND(OR(sel_Region="All",C2537=sel_Region),OR(sel_Channel="All",E2537=sel_Channel),OR(sel_Customer="All",F2537=sel_Customer),OR(sel_Category="All",G2537=sel_Category),OR(sel_Product="All",H2537=sel_Product),AND(S2537&gt;=m_From,S2537&lt;=m_To)),1,0)</f>
        <v/>
      </c>
      <c r="W2537" s="36">
        <f>IF(AND(OR(sel_Region="All",C2537=sel_Region),OR(sel_Country="All",D2537=sel_Country),OR(sel_Customer="All",F2537=sel_Customer),OR(sel_Category="All",G2537=sel_Category),OR(sel_Product="All",H2537=sel_Product),AND(S2537&gt;=m_From,S2537&lt;=m_To)),1,0)</f>
        <v/>
      </c>
      <c r="X2537" s="36">
        <f>IF(AND(OR(sel_Region="All",C2537=sel_Region),OR(sel_Country="All",D2537=sel_Country),OR(sel_Channel="All",E2537=sel_Channel),OR(sel_Category="All",G2537=sel_Category),OR(sel_Product="All",H2537=sel_Product),AND(S2537&gt;=m_From,S2537&lt;=m_To)),1,0)</f>
        <v/>
      </c>
      <c r="Y2537" s="36">
        <f>IF(AND(OR(sel_Region="All",C2537=sel_Region),OR(sel_Country="All",D2537=sel_Country),OR(sel_Channel="All",E2537=sel_Channel),OR(sel_Customer="All",F2537=sel_Customer),OR(sel_Product="All",H2537=sel_Product),AND(S2537&gt;=m_From,S2537&lt;=m_To)),1,0)</f>
        <v/>
      </c>
      <c r="Z2537" s="36">
        <f>IF(AND(OR(sel_Region="All",C2537=sel_Region),OR(sel_Country="All",D2537=sel_Country),OR(sel_Channel="All",E2537=sel_Channel),OR(sel_Customer="All",F2537=sel_Customer),OR(sel_Category="All",G2537=sel_Category),AND(S2537&gt;=m_From,S2537&lt;=m_To)),1,0)</f>
        <v/>
      </c>
      <c r="AA2537" s="36">
        <f>IF(AND(OR(sel_Region="All",C2537=sel_Region),OR(sel_Country="All",D2537=sel_Country),OR(sel_Channel="All",E2537=sel_Channel),OR(sel_Customer="All",F2537=sel_Customer),OR(sel_Category="All",G2537=sel_Category),OR(sel_Product="All",H2537=sel_Product)),1,0)</f>
        <v/>
      </c>
    </row>
    <row r="2538">
      <c r="A2538" s="36" t="inlineStr">
        <is>
          <t>02346</t>
        </is>
      </c>
      <c r="B2538" s="44" t="n">
        <v>46362</v>
      </c>
      <c r="C2538" s="36" t="inlineStr">
        <is>
          <t>Southern Europe</t>
        </is>
      </c>
      <c r="D2538" s="36" t="inlineStr">
        <is>
          <t>Spain</t>
        </is>
      </c>
      <c r="E2538" s="36" t="inlineStr">
        <is>
          <t>Marketplace</t>
        </is>
      </c>
      <c r="F2538" s="36" t="inlineStr">
        <is>
          <t>Business</t>
        </is>
      </c>
      <c r="G2538" s="36" t="inlineStr">
        <is>
          <t>Travel</t>
        </is>
      </c>
      <c r="H2538" s="36" t="inlineStr">
        <is>
          <t>Packing Cube Set</t>
        </is>
      </c>
      <c r="I2538" s="36" t="n">
        <v>2</v>
      </c>
      <c r="J2538" s="39" t="n">
        <v>46.01</v>
      </c>
      <c r="K2538" s="45" t="n">
        <v>0.05</v>
      </c>
      <c r="L2538" s="39" t="n">
        <v>18.4</v>
      </c>
      <c r="M2538" s="39">
        <f>I2538*J2538*(1-K2538)</f>
        <v/>
      </c>
      <c r="N2538" s="39">
        <f>I2538*L2538</f>
        <v/>
      </c>
      <c r="O2538" s="39">
        <f>M2538-N2538</f>
        <v/>
      </c>
      <c r="P2538" s="38">
        <f>IF(M2538=0,0,O2538/M2538)</f>
        <v/>
      </c>
      <c r="Q2538" s="36">
        <f>YEAR(B2538)</f>
        <v/>
      </c>
      <c r="R2538" s="36">
        <f>"Q"&amp;ROUNDUP(MONTH(B2538)/3,0)</f>
        <v/>
      </c>
      <c r="S2538" s="36">
        <f>MONTH(B2538)</f>
        <v/>
      </c>
      <c r="T2538" s="36">
        <f>TEXT(B2538,"mmm")</f>
        <v/>
      </c>
      <c r="U2538" s="36">
        <f>IF(AND(OR(sel_Region="All",C2538=sel_Region),OR(sel_Country="All",D2538=sel_Country),OR(sel_Channel="All",E2538=sel_Channel),OR(sel_Customer="All",F2538=sel_Customer),OR(sel_Category="All",G2538=sel_Category),OR(sel_Product="All",H2538=sel_Product),AND(S2538&gt;=m_From,S2538&lt;=m_To)),1,0)</f>
        <v/>
      </c>
      <c r="V2538" s="36">
        <f>IF(AND(OR(sel_Region="All",C2538=sel_Region),OR(sel_Channel="All",E2538=sel_Channel),OR(sel_Customer="All",F2538=sel_Customer),OR(sel_Category="All",G2538=sel_Category),OR(sel_Product="All",H2538=sel_Product),AND(S2538&gt;=m_From,S2538&lt;=m_To)),1,0)</f>
        <v/>
      </c>
      <c r="W2538" s="36">
        <f>IF(AND(OR(sel_Region="All",C2538=sel_Region),OR(sel_Country="All",D2538=sel_Country),OR(sel_Customer="All",F2538=sel_Customer),OR(sel_Category="All",G2538=sel_Category),OR(sel_Product="All",H2538=sel_Product),AND(S2538&gt;=m_From,S2538&lt;=m_To)),1,0)</f>
        <v/>
      </c>
      <c r="X2538" s="36">
        <f>IF(AND(OR(sel_Region="All",C2538=sel_Region),OR(sel_Country="All",D2538=sel_Country),OR(sel_Channel="All",E2538=sel_Channel),OR(sel_Category="All",G2538=sel_Category),OR(sel_Product="All",H2538=sel_Product),AND(S2538&gt;=m_From,S2538&lt;=m_To)),1,0)</f>
        <v/>
      </c>
      <c r="Y2538" s="36">
        <f>IF(AND(OR(sel_Region="All",C2538=sel_Region),OR(sel_Country="All",D2538=sel_Country),OR(sel_Channel="All",E2538=sel_Channel),OR(sel_Customer="All",F2538=sel_Customer),OR(sel_Product="All",H2538=sel_Product),AND(S2538&gt;=m_From,S2538&lt;=m_To)),1,0)</f>
        <v/>
      </c>
      <c r="Z2538" s="36">
        <f>IF(AND(OR(sel_Region="All",C2538=sel_Region),OR(sel_Country="All",D2538=sel_Country),OR(sel_Channel="All",E2538=sel_Channel),OR(sel_Customer="All",F2538=sel_Customer),OR(sel_Category="All",G2538=sel_Category),AND(S2538&gt;=m_From,S2538&lt;=m_To)),1,0)</f>
        <v/>
      </c>
      <c r="AA2538" s="36">
        <f>IF(AND(OR(sel_Region="All",C2538=sel_Region),OR(sel_Country="All",D2538=sel_Country),OR(sel_Channel="All",E2538=sel_Channel),OR(sel_Customer="All",F2538=sel_Customer),OR(sel_Category="All",G2538=sel_Category),OR(sel_Product="All",H2538=sel_Product)),1,0)</f>
        <v/>
      </c>
    </row>
    <row r="2539">
      <c r="A2539" s="36" t="inlineStr">
        <is>
          <t>03095</t>
        </is>
      </c>
      <c r="B2539" s="44" t="n">
        <v>46362</v>
      </c>
      <c r="C2539" s="36" t="inlineStr">
        <is>
          <t>Central Europe</t>
        </is>
      </c>
      <c r="D2539" s="36" t="inlineStr">
        <is>
          <t>Germany</t>
        </is>
      </c>
      <c r="E2539" s="36" t="inlineStr">
        <is>
          <t>Online Store</t>
        </is>
      </c>
      <c r="F2539" s="36" t="inlineStr">
        <is>
          <t>New</t>
        </is>
      </c>
      <c r="G2539" s="36" t="inlineStr">
        <is>
          <t>Travel</t>
        </is>
      </c>
      <c r="H2539" s="36" t="inlineStr">
        <is>
          <t>Carry-On Duffel</t>
        </is>
      </c>
      <c r="I2539" s="36" t="n">
        <v>2</v>
      </c>
      <c r="J2539" s="39" t="n">
        <v>131.98</v>
      </c>
      <c r="K2539" s="45" t="n">
        <v>0.1</v>
      </c>
      <c r="L2539" s="39" t="n">
        <v>68.02</v>
      </c>
      <c r="M2539" s="39">
        <f>I2539*J2539*(1-K2539)</f>
        <v/>
      </c>
      <c r="N2539" s="39">
        <f>I2539*L2539</f>
        <v/>
      </c>
      <c r="O2539" s="39">
        <f>M2539-N2539</f>
        <v/>
      </c>
      <c r="P2539" s="38">
        <f>IF(M2539=0,0,O2539/M2539)</f>
        <v/>
      </c>
      <c r="Q2539" s="36">
        <f>YEAR(B2539)</f>
        <v/>
      </c>
      <c r="R2539" s="36">
        <f>"Q"&amp;ROUNDUP(MONTH(B2539)/3,0)</f>
        <v/>
      </c>
      <c r="S2539" s="36">
        <f>MONTH(B2539)</f>
        <v/>
      </c>
      <c r="T2539" s="36">
        <f>TEXT(B2539,"mmm")</f>
        <v/>
      </c>
      <c r="U2539" s="36">
        <f>IF(AND(OR(sel_Region="All",C2539=sel_Region),OR(sel_Country="All",D2539=sel_Country),OR(sel_Channel="All",E2539=sel_Channel),OR(sel_Customer="All",F2539=sel_Customer),OR(sel_Category="All",G2539=sel_Category),OR(sel_Product="All",H2539=sel_Product),AND(S2539&gt;=m_From,S2539&lt;=m_To)),1,0)</f>
        <v/>
      </c>
      <c r="V2539" s="36">
        <f>IF(AND(OR(sel_Region="All",C2539=sel_Region),OR(sel_Channel="All",E2539=sel_Channel),OR(sel_Customer="All",F2539=sel_Customer),OR(sel_Category="All",G2539=sel_Category),OR(sel_Product="All",H2539=sel_Product),AND(S2539&gt;=m_From,S2539&lt;=m_To)),1,0)</f>
        <v/>
      </c>
      <c r="W2539" s="36">
        <f>IF(AND(OR(sel_Region="All",C2539=sel_Region),OR(sel_Country="All",D2539=sel_Country),OR(sel_Customer="All",F2539=sel_Customer),OR(sel_Category="All",G2539=sel_Category),OR(sel_Product="All",H2539=sel_Product),AND(S2539&gt;=m_From,S2539&lt;=m_To)),1,0)</f>
        <v/>
      </c>
      <c r="X2539" s="36">
        <f>IF(AND(OR(sel_Region="All",C2539=sel_Region),OR(sel_Country="All",D2539=sel_Country),OR(sel_Channel="All",E2539=sel_Channel),OR(sel_Category="All",G2539=sel_Category),OR(sel_Product="All",H2539=sel_Product),AND(S2539&gt;=m_From,S2539&lt;=m_To)),1,0)</f>
        <v/>
      </c>
      <c r="Y2539" s="36">
        <f>IF(AND(OR(sel_Region="All",C2539=sel_Region),OR(sel_Country="All",D2539=sel_Country),OR(sel_Channel="All",E2539=sel_Channel),OR(sel_Customer="All",F2539=sel_Customer),OR(sel_Product="All",H2539=sel_Product),AND(S2539&gt;=m_From,S2539&lt;=m_To)),1,0)</f>
        <v/>
      </c>
      <c r="Z2539" s="36">
        <f>IF(AND(OR(sel_Region="All",C2539=sel_Region),OR(sel_Country="All",D2539=sel_Country),OR(sel_Channel="All",E2539=sel_Channel),OR(sel_Customer="All",F2539=sel_Customer),OR(sel_Category="All",G2539=sel_Category),AND(S2539&gt;=m_From,S2539&lt;=m_To)),1,0)</f>
        <v/>
      </c>
      <c r="AA2539" s="36">
        <f>IF(AND(OR(sel_Region="All",C2539=sel_Region),OR(sel_Country="All",D2539=sel_Country),OR(sel_Channel="All",E2539=sel_Channel),OR(sel_Customer="All",F2539=sel_Customer),OR(sel_Category="All",G2539=sel_Category),OR(sel_Product="All",H2539=sel_Product)),1,0)</f>
        <v/>
      </c>
    </row>
    <row r="2540">
      <c r="A2540" s="36" t="inlineStr">
        <is>
          <t>03580</t>
        </is>
      </c>
      <c r="B2540" s="44" t="n">
        <v>46362</v>
      </c>
      <c r="C2540" s="36" t="inlineStr">
        <is>
          <t>Western Europe</t>
        </is>
      </c>
      <c r="D2540" s="36" t="inlineStr">
        <is>
          <t>Netherlands</t>
        </is>
      </c>
      <c r="E2540" s="36" t="inlineStr">
        <is>
          <t>Retail Partners</t>
        </is>
      </c>
      <c r="F2540" s="36" t="inlineStr">
        <is>
          <t>New</t>
        </is>
      </c>
      <c r="G2540" s="36" t="inlineStr">
        <is>
          <t>Hiking</t>
        </is>
      </c>
      <c r="H2540" s="36" t="inlineStr">
        <is>
          <t>Trekking Poles</t>
        </is>
      </c>
      <c r="I2540" s="36" t="n">
        <v>2</v>
      </c>
      <c r="J2540" s="39" t="n">
        <v>73.16</v>
      </c>
      <c r="K2540" s="45" t="n">
        <v>0.15</v>
      </c>
      <c r="L2540" s="39" t="n">
        <v>32.64</v>
      </c>
      <c r="M2540" s="39">
        <f>I2540*J2540*(1-K2540)</f>
        <v/>
      </c>
      <c r="N2540" s="39">
        <f>I2540*L2540</f>
        <v/>
      </c>
      <c r="O2540" s="39">
        <f>M2540-N2540</f>
        <v/>
      </c>
      <c r="P2540" s="38">
        <f>IF(M2540=0,0,O2540/M2540)</f>
        <v/>
      </c>
      <c r="Q2540" s="36">
        <f>YEAR(B2540)</f>
        <v/>
      </c>
      <c r="R2540" s="36">
        <f>"Q"&amp;ROUNDUP(MONTH(B2540)/3,0)</f>
        <v/>
      </c>
      <c r="S2540" s="36">
        <f>MONTH(B2540)</f>
        <v/>
      </c>
      <c r="T2540" s="36">
        <f>TEXT(B2540,"mmm")</f>
        <v/>
      </c>
      <c r="U2540" s="36">
        <f>IF(AND(OR(sel_Region="All",C2540=sel_Region),OR(sel_Country="All",D2540=sel_Country),OR(sel_Channel="All",E2540=sel_Channel),OR(sel_Customer="All",F2540=sel_Customer),OR(sel_Category="All",G2540=sel_Category),OR(sel_Product="All",H2540=sel_Product),AND(S2540&gt;=m_From,S2540&lt;=m_To)),1,0)</f>
        <v/>
      </c>
      <c r="V2540" s="36">
        <f>IF(AND(OR(sel_Region="All",C2540=sel_Region),OR(sel_Channel="All",E2540=sel_Channel),OR(sel_Customer="All",F2540=sel_Customer),OR(sel_Category="All",G2540=sel_Category),OR(sel_Product="All",H2540=sel_Product),AND(S2540&gt;=m_From,S2540&lt;=m_To)),1,0)</f>
        <v/>
      </c>
      <c r="W2540" s="36">
        <f>IF(AND(OR(sel_Region="All",C2540=sel_Region),OR(sel_Country="All",D2540=sel_Country),OR(sel_Customer="All",F2540=sel_Customer),OR(sel_Category="All",G2540=sel_Category),OR(sel_Product="All",H2540=sel_Product),AND(S2540&gt;=m_From,S2540&lt;=m_To)),1,0)</f>
        <v/>
      </c>
      <c r="X2540" s="36">
        <f>IF(AND(OR(sel_Region="All",C2540=sel_Region),OR(sel_Country="All",D2540=sel_Country),OR(sel_Channel="All",E2540=sel_Channel),OR(sel_Category="All",G2540=sel_Category),OR(sel_Product="All",H2540=sel_Product),AND(S2540&gt;=m_From,S2540&lt;=m_To)),1,0)</f>
        <v/>
      </c>
      <c r="Y2540" s="36">
        <f>IF(AND(OR(sel_Region="All",C2540=sel_Region),OR(sel_Country="All",D2540=sel_Country),OR(sel_Channel="All",E2540=sel_Channel),OR(sel_Customer="All",F2540=sel_Customer),OR(sel_Product="All",H2540=sel_Product),AND(S2540&gt;=m_From,S2540&lt;=m_To)),1,0)</f>
        <v/>
      </c>
      <c r="Z2540" s="36">
        <f>IF(AND(OR(sel_Region="All",C2540=sel_Region),OR(sel_Country="All",D2540=sel_Country),OR(sel_Channel="All",E2540=sel_Channel),OR(sel_Customer="All",F2540=sel_Customer),OR(sel_Category="All",G2540=sel_Category),AND(S2540&gt;=m_From,S2540&lt;=m_To)),1,0)</f>
        <v/>
      </c>
      <c r="AA2540" s="36">
        <f>IF(AND(OR(sel_Region="All",C2540=sel_Region),OR(sel_Country="All",D2540=sel_Country),OR(sel_Channel="All",E2540=sel_Channel),OR(sel_Customer="All",F2540=sel_Customer),OR(sel_Category="All",G2540=sel_Category),OR(sel_Product="All",H2540=sel_Product)),1,0)</f>
        <v/>
      </c>
    </row>
    <row r="2541">
      <c r="A2541" s="36" t="inlineStr">
        <is>
          <t>04672</t>
        </is>
      </c>
      <c r="B2541" s="44" t="n">
        <v>46362</v>
      </c>
      <c r="C2541" s="36" t="inlineStr">
        <is>
          <t>Central Europe</t>
        </is>
      </c>
      <c r="D2541" s="36" t="inlineStr">
        <is>
          <t>Austria</t>
        </is>
      </c>
      <c r="E2541" s="36" t="inlineStr">
        <is>
          <t>Online Store</t>
        </is>
      </c>
      <c r="F2541" s="36" t="inlineStr">
        <is>
          <t>Business</t>
        </is>
      </c>
      <c r="G2541" s="36" t="inlineStr">
        <is>
          <t>Travel</t>
        </is>
      </c>
      <c r="H2541" s="36" t="inlineStr">
        <is>
          <t>Packing Cube Set</t>
        </is>
      </c>
      <c r="I2541" s="36" t="n">
        <v>2</v>
      </c>
      <c r="J2541" s="39" t="n">
        <v>47.43</v>
      </c>
      <c r="K2541" s="45" t="n">
        <v>0.05</v>
      </c>
      <c r="L2541" s="39" t="n">
        <v>18.63</v>
      </c>
      <c r="M2541" s="39">
        <f>I2541*J2541*(1-K2541)</f>
        <v/>
      </c>
      <c r="N2541" s="39">
        <f>I2541*L2541</f>
        <v/>
      </c>
      <c r="O2541" s="39">
        <f>M2541-N2541</f>
        <v/>
      </c>
      <c r="P2541" s="38">
        <f>IF(M2541=0,0,O2541/M2541)</f>
        <v/>
      </c>
      <c r="Q2541" s="36">
        <f>YEAR(B2541)</f>
        <v/>
      </c>
      <c r="R2541" s="36">
        <f>"Q"&amp;ROUNDUP(MONTH(B2541)/3,0)</f>
        <v/>
      </c>
      <c r="S2541" s="36">
        <f>MONTH(B2541)</f>
        <v/>
      </c>
      <c r="T2541" s="36">
        <f>TEXT(B2541,"mmm")</f>
        <v/>
      </c>
      <c r="U2541" s="36">
        <f>IF(AND(OR(sel_Region="All",C2541=sel_Region),OR(sel_Country="All",D2541=sel_Country),OR(sel_Channel="All",E2541=sel_Channel),OR(sel_Customer="All",F2541=sel_Customer),OR(sel_Category="All",G2541=sel_Category),OR(sel_Product="All",H2541=sel_Product),AND(S2541&gt;=m_From,S2541&lt;=m_To)),1,0)</f>
        <v/>
      </c>
      <c r="V2541" s="36">
        <f>IF(AND(OR(sel_Region="All",C2541=sel_Region),OR(sel_Channel="All",E2541=sel_Channel),OR(sel_Customer="All",F2541=sel_Customer),OR(sel_Category="All",G2541=sel_Category),OR(sel_Product="All",H2541=sel_Product),AND(S2541&gt;=m_From,S2541&lt;=m_To)),1,0)</f>
        <v/>
      </c>
      <c r="W2541" s="36">
        <f>IF(AND(OR(sel_Region="All",C2541=sel_Region),OR(sel_Country="All",D2541=sel_Country),OR(sel_Customer="All",F2541=sel_Customer),OR(sel_Category="All",G2541=sel_Category),OR(sel_Product="All",H2541=sel_Product),AND(S2541&gt;=m_From,S2541&lt;=m_To)),1,0)</f>
        <v/>
      </c>
      <c r="X2541" s="36">
        <f>IF(AND(OR(sel_Region="All",C2541=sel_Region),OR(sel_Country="All",D2541=sel_Country),OR(sel_Channel="All",E2541=sel_Channel),OR(sel_Category="All",G2541=sel_Category),OR(sel_Product="All",H2541=sel_Product),AND(S2541&gt;=m_From,S2541&lt;=m_To)),1,0)</f>
        <v/>
      </c>
      <c r="Y2541" s="36">
        <f>IF(AND(OR(sel_Region="All",C2541=sel_Region),OR(sel_Country="All",D2541=sel_Country),OR(sel_Channel="All",E2541=sel_Channel),OR(sel_Customer="All",F2541=sel_Customer),OR(sel_Product="All",H2541=sel_Product),AND(S2541&gt;=m_From,S2541&lt;=m_To)),1,0)</f>
        <v/>
      </c>
      <c r="Z2541" s="36">
        <f>IF(AND(OR(sel_Region="All",C2541=sel_Region),OR(sel_Country="All",D2541=sel_Country),OR(sel_Channel="All",E2541=sel_Channel),OR(sel_Customer="All",F2541=sel_Customer),OR(sel_Category="All",G2541=sel_Category),AND(S2541&gt;=m_From,S2541&lt;=m_To)),1,0)</f>
        <v/>
      </c>
      <c r="AA2541" s="36">
        <f>IF(AND(OR(sel_Region="All",C2541=sel_Region),OR(sel_Country="All",D2541=sel_Country),OR(sel_Channel="All",E2541=sel_Channel),OR(sel_Customer="All",F2541=sel_Customer),OR(sel_Category="All",G2541=sel_Category),OR(sel_Product="All",H2541=sel_Product)),1,0)</f>
        <v/>
      </c>
    </row>
    <row r="2542">
      <c r="A2542" s="36" t="inlineStr">
        <is>
          <t>00533</t>
        </is>
      </c>
      <c r="B2542" s="44" t="n">
        <v>46363</v>
      </c>
      <c r="C2542" s="36" t="inlineStr">
        <is>
          <t>Southern Europe</t>
        </is>
      </c>
      <c r="D2542" s="36" t="inlineStr">
        <is>
          <t>Portugal</t>
        </is>
      </c>
      <c r="E2542" s="36" t="inlineStr">
        <is>
          <t>Online Store</t>
        </is>
      </c>
      <c r="F2542" s="36" t="inlineStr">
        <is>
          <t>New</t>
        </is>
      </c>
      <c r="G2542" s="36" t="inlineStr">
        <is>
          <t>Travel</t>
        </is>
      </c>
      <c r="H2542" s="36" t="inlineStr">
        <is>
          <t>Insulated Bottle</t>
        </is>
      </c>
      <c r="I2542" s="36" t="n">
        <v>1</v>
      </c>
      <c r="J2542" s="39" t="n">
        <v>35.93</v>
      </c>
      <c r="K2542" s="45" t="n">
        <v>0.05</v>
      </c>
      <c r="L2542" s="39" t="n">
        <v>13.23</v>
      </c>
      <c r="M2542" s="39">
        <f>I2542*J2542*(1-K2542)</f>
        <v/>
      </c>
      <c r="N2542" s="39">
        <f>I2542*L2542</f>
        <v/>
      </c>
      <c r="O2542" s="39">
        <f>M2542-N2542</f>
        <v/>
      </c>
      <c r="P2542" s="38">
        <f>IF(M2542=0,0,O2542/M2542)</f>
        <v/>
      </c>
      <c r="Q2542" s="36">
        <f>YEAR(B2542)</f>
        <v/>
      </c>
      <c r="R2542" s="36">
        <f>"Q"&amp;ROUNDUP(MONTH(B2542)/3,0)</f>
        <v/>
      </c>
      <c r="S2542" s="36">
        <f>MONTH(B2542)</f>
        <v/>
      </c>
      <c r="T2542" s="36">
        <f>TEXT(B2542,"mmm")</f>
        <v/>
      </c>
      <c r="U2542" s="36">
        <f>IF(AND(OR(sel_Region="All",C2542=sel_Region),OR(sel_Country="All",D2542=sel_Country),OR(sel_Channel="All",E2542=sel_Channel),OR(sel_Customer="All",F2542=sel_Customer),OR(sel_Category="All",G2542=sel_Category),OR(sel_Product="All",H2542=sel_Product),AND(S2542&gt;=m_From,S2542&lt;=m_To)),1,0)</f>
        <v/>
      </c>
      <c r="V2542" s="36">
        <f>IF(AND(OR(sel_Region="All",C2542=sel_Region),OR(sel_Channel="All",E2542=sel_Channel),OR(sel_Customer="All",F2542=sel_Customer),OR(sel_Category="All",G2542=sel_Category),OR(sel_Product="All",H2542=sel_Product),AND(S2542&gt;=m_From,S2542&lt;=m_To)),1,0)</f>
        <v/>
      </c>
      <c r="W2542" s="36">
        <f>IF(AND(OR(sel_Region="All",C2542=sel_Region),OR(sel_Country="All",D2542=sel_Country),OR(sel_Customer="All",F2542=sel_Customer),OR(sel_Category="All",G2542=sel_Category),OR(sel_Product="All",H2542=sel_Product),AND(S2542&gt;=m_From,S2542&lt;=m_To)),1,0)</f>
        <v/>
      </c>
      <c r="X2542" s="36">
        <f>IF(AND(OR(sel_Region="All",C2542=sel_Region),OR(sel_Country="All",D2542=sel_Country),OR(sel_Channel="All",E2542=sel_Channel),OR(sel_Category="All",G2542=sel_Category),OR(sel_Product="All",H2542=sel_Product),AND(S2542&gt;=m_From,S2542&lt;=m_To)),1,0)</f>
        <v/>
      </c>
      <c r="Y2542" s="36">
        <f>IF(AND(OR(sel_Region="All",C2542=sel_Region),OR(sel_Country="All",D2542=sel_Country),OR(sel_Channel="All",E2542=sel_Channel),OR(sel_Customer="All",F2542=sel_Customer),OR(sel_Product="All",H2542=sel_Product),AND(S2542&gt;=m_From,S2542&lt;=m_To)),1,0)</f>
        <v/>
      </c>
      <c r="Z2542" s="36">
        <f>IF(AND(OR(sel_Region="All",C2542=sel_Region),OR(sel_Country="All",D2542=sel_Country),OR(sel_Channel="All",E2542=sel_Channel),OR(sel_Customer="All",F2542=sel_Customer),OR(sel_Category="All",G2542=sel_Category),AND(S2542&gt;=m_From,S2542&lt;=m_To)),1,0)</f>
        <v/>
      </c>
      <c r="AA2542" s="36">
        <f>IF(AND(OR(sel_Region="All",C2542=sel_Region),OR(sel_Country="All",D2542=sel_Country),OR(sel_Channel="All",E2542=sel_Channel),OR(sel_Customer="All",F2542=sel_Customer),OR(sel_Category="All",G2542=sel_Category),OR(sel_Product="All",H2542=sel_Product)),1,0)</f>
        <v/>
      </c>
    </row>
    <row r="2543">
      <c r="A2543" s="36" t="inlineStr">
        <is>
          <t>02160</t>
        </is>
      </c>
      <c r="B2543" s="44" t="n">
        <v>46363</v>
      </c>
      <c r="C2543" s="36" t="inlineStr">
        <is>
          <t>Southern Europe</t>
        </is>
      </c>
      <c r="D2543" s="36" t="inlineStr">
        <is>
          <t>Italy</t>
        </is>
      </c>
      <c r="E2543" s="36" t="inlineStr">
        <is>
          <t>Marketplace</t>
        </is>
      </c>
      <c r="F2543" s="36" t="inlineStr">
        <is>
          <t>Returning</t>
        </is>
      </c>
      <c r="G2543" s="36" t="inlineStr">
        <is>
          <t>Travel</t>
        </is>
      </c>
      <c r="H2543" s="36" t="inlineStr">
        <is>
          <t>Insulated Bottle</t>
        </is>
      </c>
      <c r="I2543" s="36" t="n">
        <v>1</v>
      </c>
      <c r="J2543" s="39" t="n">
        <v>35.53</v>
      </c>
      <c r="K2543" s="45" t="n">
        <v>0.05</v>
      </c>
      <c r="L2543" s="39" t="n">
        <v>13.28</v>
      </c>
      <c r="M2543" s="39">
        <f>I2543*J2543*(1-K2543)</f>
        <v/>
      </c>
      <c r="N2543" s="39">
        <f>I2543*L2543</f>
        <v/>
      </c>
      <c r="O2543" s="39">
        <f>M2543-N2543</f>
        <v/>
      </c>
      <c r="P2543" s="38">
        <f>IF(M2543=0,0,O2543/M2543)</f>
        <v/>
      </c>
      <c r="Q2543" s="36">
        <f>YEAR(B2543)</f>
        <v/>
      </c>
      <c r="R2543" s="36">
        <f>"Q"&amp;ROUNDUP(MONTH(B2543)/3,0)</f>
        <v/>
      </c>
      <c r="S2543" s="36">
        <f>MONTH(B2543)</f>
        <v/>
      </c>
      <c r="T2543" s="36">
        <f>TEXT(B2543,"mmm")</f>
        <v/>
      </c>
      <c r="U2543" s="36">
        <f>IF(AND(OR(sel_Region="All",C2543=sel_Region),OR(sel_Country="All",D2543=sel_Country),OR(sel_Channel="All",E2543=sel_Channel),OR(sel_Customer="All",F2543=sel_Customer),OR(sel_Category="All",G2543=sel_Category),OR(sel_Product="All",H2543=sel_Product),AND(S2543&gt;=m_From,S2543&lt;=m_To)),1,0)</f>
        <v/>
      </c>
      <c r="V2543" s="36">
        <f>IF(AND(OR(sel_Region="All",C2543=sel_Region),OR(sel_Channel="All",E2543=sel_Channel),OR(sel_Customer="All",F2543=sel_Customer),OR(sel_Category="All",G2543=sel_Category),OR(sel_Product="All",H2543=sel_Product),AND(S2543&gt;=m_From,S2543&lt;=m_To)),1,0)</f>
        <v/>
      </c>
      <c r="W2543" s="36">
        <f>IF(AND(OR(sel_Region="All",C2543=sel_Region),OR(sel_Country="All",D2543=sel_Country),OR(sel_Customer="All",F2543=sel_Customer),OR(sel_Category="All",G2543=sel_Category),OR(sel_Product="All",H2543=sel_Product),AND(S2543&gt;=m_From,S2543&lt;=m_To)),1,0)</f>
        <v/>
      </c>
      <c r="X2543" s="36">
        <f>IF(AND(OR(sel_Region="All",C2543=sel_Region),OR(sel_Country="All",D2543=sel_Country),OR(sel_Channel="All",E2543=sel_Channel),OR(sel_Category="All",G2543=sel_Category),OR(sel_Product="All",H2543=sel_Product),AND(S2543&gt;=m_From,S2543&lt;=m_To)),1,0)</f>
        <v/>
      </c>
      <c r="Y2543" s="36">
        <f>IF(AND(OR(sel_Region="All",C2543=sel_Region),OR(sel_Country="All",D2543=sel_Country),OR(sel_Channel="All",E2543=sel_Channel),OR(sel_Customer="All",F2543=sel_Customer),OR(sel_Product="All",H2543=sel_Product),AND(S2543&gt;=m_From,S2543&lt;=m_To)),1,0)</f>
        <v/>
      </c>
      <c r="Z2543" s="36">
        <f>IF(AND(OR(sel_Region="All",C2543=sel_Region),OR(sel_Country="All",D2543=sel_Country),OR(sel_Channel="All",E2543=sel_Channel),OR(sel_Customer="All",F2543=sel_Customer),OR(sel_Category="All",G2543=sel_Category),AND(S2543&gt;=m_From,S2543&lt;=m_To)),1,0)</f>
        <v/>
      </c>
      <c r="AA2543" s="36">
        <f>IF(AND(OR(sel_Region="All",C2543=sel_Region),OR(sel_Country="All",D2543=sel_Country),OR(sel_Channel="All",E2543=sel_Channel),OR(sel_Customer="All",F2543=sel_Customer),OR(sel_Category="All",G2543=sel_Category),OR(sel_Product="All",H2543=sel_Product)),1,0)</f>
        <v/>
      </c>
    </row>
    <row r="2544">
      <c r="A2544" s="36" t="inlineStr">
        <is>
          <t>02841</t>
        </is>
      </c>
      <c r="B2544" s="44" t="n">
        <v>46363</v>
      </c>
      <c r="C2544" s="36" t="inlineStr">
        <is>
          <t>Central Europe</t>
        </is>
      </c>
      <c r="D2544" s="36" t="inlineStr">
        <is>
          <t>Poland</t>
        </is>
      </c>
      <c r="E2544" s="36" t="inlineStr">
        <is>
          <t>Online Store</t>
        </is>
      </c>
      <c r="F2544" s="36" t="inlineStr">
        <is>
          <t>New</t>
        </is>
      </c>
      <c r="G2544" s="36" t="inlineStr">
        <is>
          <t>Camping</t>
        </is>
      </c>
      <c r="H2544" s="36" t="inlineStr">
        <is>
          <t>Trail Tent 2P</t>
        </is>
      </c>
      <c r="I2544" s="36" t="n">
        <v>3</v>
      </c>
      <c r="J2544" s="39" t="n">
        <v>196.97</v>
      </c>
      <c r="K2544" s="45" t="n">
        <v>0.15</v>
      </c>
      <c r="L2544" s="39" t="n">
        <v>101.88</v>
      </c>
      <c r="M2544" s="39">
        <f>I2544*J2544*(1-K2544)</f>
        <v/>
      </c>
      <c r="N2544" s="39">
        <f>I2544*L2544</f>
        <v/>
      </c>
      <c r="O2544" s="39">
        <f>M2544-N2544</f>
        <v/>
      </c>
      <c r="P2544" s="38">
        <f>IF(M2544=0,0,O2544/M2544)</f>
        <v/>
      </c>
      <c r="Q2544" s="36">
        <f>YEAR(B2544)</f>
        <v/>
      </c>
      <c r="R2544" s="36">
        <f>"Q"&amp;ROUNDUP(MONTH(B2544)/3,0)</f>
        <v/>
      </c>
      <c r="S2544" s="36">
        <f>MONTH(B2544)</f>
        <v/>
      </c>
      <c r="T2544" s="36">
        <f>TEXT(B2544,"mmm")</f>
        <v/>
      </c>
      <c r="U2544" s="36">
        <f>IF(AND(OR(sel_Region="All",C2544=sel_Region),OR(sel_Country="All",D2544=sel_Country),OR(sel_Channel="All",E2544=sel_Channel),OR(sel_Customer="All",F2544=sel_Customer),OR(sel_Category="All",G2544=sel_Category),OR(sel_Product="All",H2544=sel_Product),AND(S2544&gt;=m_From,S2544&lt;=m_To)),1,0)</f>
        <v/>
      </c>
      <c r="V2544" s="36">
        <f>IF(AND(OR(sel_Region="All",C2544=sel_Region),OR(sel_Channel="All",E2544=sel_Channel),OR(sel_Customer="All",F2544=sel_Customer),OR(sel_Category="All",G2544=sel_Category),OR(sel_Product="All",H2544=sel_Product),AND(S2544&gt;=m_From,S2544&lt;=m_To)),1,0)</f>
        <v/>
      </c>
      <c r="W2544" s="36">
        <f>IF(AND(OR(sel_Region="All",C2544=sel_Region),OR(sel_Country="All",D2544=sel_Country),OR(sel_Customer="All",F2544=sel_Customer),OR(sel_Category="All",G2544=sel_Category),OR(sel_Product="All",H2544=sel_Product),AND(S2544&gt;=m_From,S2544&lt;=m_To)),1,0)</f>
        <v/>
      </c>
      <c r="X2544" s="36">
        <f>IF(AND(OR(sel_Region="All",C2544=sel_Region),OR(sel_Country="All",D2544=sel_Country),OR(sel_Channel="All",E2544=sel_Channel),OR(sel_Category="All",G2544=sel_Category),OR(sel_Product="All",H2544=sel_Product),AND(S2544&gt;=m_From,S2544&lt;=m_To)),1,0)</f>
        <v/>
      </c>
      <c r="Y2544" s="36">
        <f>IF(AND(OR(sel_Region="All",C2544=sel_Region),OR(sel_Country="All",D2544=sel_Country),OR(sel_Channel="All",E2544=sel_Channel),OR(sel_Customer="All",F2544=sel_Customer),OR(sel_Product="All",H2544=sel_Product),AND(S2544&gt;=m_From,S2544&lt;=m_To)),1,0)</f>
        <v/>
      </c>
      <c r="Z2544" s="36">
        <f>IF(AND(OR(sel_Region="All",C2544=sel_Region),OR(sel_Country="All",D2544=sel_Country),OR(sel_Channel="All",E2544=sel_Channel),OR(sel_Customer="All",F2544=sel_Customer),OR(sel_Category="All",G2544=sel_Category),AND(S2544&gt;=m_From,S2544&lt;=m_To)),1,0)</f>
        <v/>
      </c>
      <c r="AA2544" s="36">
        <f>IF(AND(OR(sel_Region="All",C2544=sel_Region),OR(sel_Country="All",D2544=sel_Country),OR(sel_Channel="All",E2544=sel_Channel),OR(sel_Customer="All",F2544=sel_Customer),OR(sel_Category="All",G2544=sel_Category),OR(sel_Product="All",H2544=sel_Product)),1,0)</f>
        <v/>
      </c>
    </row>
    <row r="2545">
      <c r="A2545" s="36" t="inlineStr">
        <is>
          <t>03433</t>
        </is>
      </c>
      <c r="B2545" s="44" t="n">
        <v>46363</v>
      </c>
      <c r="C2545" s="36" t="inlineStr">
        <is>
          <t>Southern Europe</t>
        </is>
      </c>
      <c r="D2545" s="36" t="inlineStr">
        <is>
          <t>Spain</t>
        </is>
      </c>
      <c r="E2545" s="36" t="inlineStr">
        <is>
          <t>Online Store</t>
        </is>
      </c>
      <c r="F2545" s="36" t="inlineStr">
        <is>
          <t>New</t>
        </is>
      </c>
      <c r="G2545" s="36" t="inlineStr">
        <is>
          <t>Travel</t>
        </is>
      </c>
      <c r="H2545" s="36" t="inlineStr">
        <is>
          <t>Insulated Bottle</t>
        </is>
      </c>
      <c r="I2545" s="36" t="n">
        <v>2</v>
      </c>
      <c r="J2545" s="39" t="n">
        <v>37.02</v>
      </c>
      <c r="K2545" s="45" t="n">
        <v>0.2</v>
      </c>
      <c r="L2545" s="39" t="n">
        <v>13.39</v>
      </c>
      <c r="M2545" s="39">
        <f>I2545*J2545*(1-K2545)</f>
        <v/>
      </c>
      <c r="N2545" s="39">
        <f>I2545*L2545</f>
        <v/>
      </c>
      <c r="O2545" s="39">
        <f>M2545-N2545</f>
        <v/>
      </c>
      <c r="P2545" s="38">
        <f>IF(M2545=0,0,O2545/M2545)</f>
        <v/>
      </c>
      <c r="Q2545" s="36">
        <f>YEAR(B2545)</f>
        <v/>
      </c>
      <c r="R2545" s="36">
        <f>"Q"&amp;ROUNDUP(MONTH(B2545)/3,0)</f>
        <v/>
      </c>
      <c r="S2545" s="36">
        <f>MONTH(B2545)</f>
        <v/>
      </c>
      <c r="T2545" s="36">
        <f>TEXT(B2545,"mmm")</f>
        <v/>
      </c>
      <c r="U2545" s="36">
        <f>IF(AND(OR(sel_Region="All",C2545=sel_Region),OR(sel_Country="All",D2545=sel_Country),OR(sel_Channel="All",E2545=sel_Channel),OR(sel_Customer="All",F2545=sel_Customer),OR(sel_Category="All",G2545=sel_Category),OR(sel_Product="All",H2545=sel_Product),AND(S2545&gt;=m_From,S2545&lt;=m_To)),1,0)</f>
        <v/>
      </c>
      <c r="V2545" s="36">
        <f>IF(AND(OR(sel_Region="All",C2545=sel_Region),OR(sel_Channel="All",E2545=sel_Channel),OR(sel_Customer="All",F2545=sel_Customer),OR(sel_Category="All",G2545=sel_Category),OR(sel_Product="All",H2545=sel_Product),AND(S2545&gt;=m_From,S2545&lt;=m_To)),1,0)</f>
        <v/>
      </c>
      <c r="W2545" s="36">
        <f>IF(AND(OR(sel_Region="All",C2545=sel_Region),OR(sel_Country="All",D2545=sel_Country),OR(sel_Customer="All",F2545=sel_Customer),OR(sel_Category="All",G2545=sel_Category),OR(sel_Product="All",H2545=sel_Product),AND(S2545&gt;=m_From,S2545&lt;=m_To)),1,0)</f>
        <v/>
      </c>
      <c r="X2545" s="36">
        <f>IF(AND(OR(sel_Region="All",C2545=sel_Region),OR(sel_Country="All",D2545=sel_Country),OR(sel_Channel="All",E2545=sel_Channel),OR(sel_Category="All",G2545=sel_Category),OR(sel_Product="All",H2545=sel_Product),AND(S2545&gt;=m_From,S2545&lt;=m_To)),1,0)</f>
        <v/>
      </c>
      <c r="Y2545" s="36">
        <f>IF(AND(OR(sel_Region="All",C2545=sel_Region),OR(sel_Country="All",D2545=sel_Country),OR(sel_Channel="All",E2545=sel_Channel),OR(sel_Customer="All",F2545=sel_Customer),OR(sel_Product="All",H2545=sel_Product),AND(S2545&gt;=m_From,S2545&lt;=m_To)),1,0)</f>
        <v/>
      </c>
      <c r="Z2545" s="36">
        <f>IF(AND(OR(sel_Region="All",C2545=sel_Region),OR(sel_Country="All",D2545=sel_Country),OR(sel_Channel="All",E2545=sel_Channel),OR(sel_Customer="All",F2545=sel_Customer),OR(sel_Category="All",G2545=sel_Category),AND(S2545&gt;=m_From,S2545&lt;=m_To)),1,0)</f>
        <v/>
      </c>
      <c r="AA2545" s="36">
        <f>IF(AND(OR(sel_Region="All",C2545=sel_Region),OR(sel_Country="All",D2545=sel_Country),OR(sel_Channel="All",E2545=sel_Channel),OR(sel_Customer="All",F2545=sel_Customer),OR(sel_Category="All",G2545=sel_Category),OR(sel_Product="All",H2545=sel_Product)),1,0)</f>
        <v/>
      </c>
    </row>
    <row r="2546">
      <c r="A2546" s="36" t="inlineStr">
        <is>
          <t>03763</t>
        </is>
      </c>
      <c r="B2546" s="44" t="n">
        <v>46363</v>
      </c>
      <c r="C2546" s="36" t="inlineStr">
        <is>
          <t>Central Europe</t>
        </is>
      </c>
      <c r="D2546" s="36" t="inlineStr">
        <is>
          <t>Poland</t>
        </is>
      </c>
      <c r="E2546" s="36" t="inlineStr">
        <is>
          <t>Online Store</t>
        </is>
      </c>
      <c r="F2546" s="36" t="inlineStr">
        <is>
          <t>New</t>
        </is>
      </c>
      <c r="G2546" s="36" t="inlineStr">
        <is>
          <t>Travel</t>
        </is>
      </c>
      <c r="H2546" s="36" t="inlineStr">
        <is>
          <t>Packing Cube Set</t>
        </is>
      </c>
      <c r="I2546" s="36" t="n">
        <v>4</v>
      </c>
      <c r="J2546" s="39" t="n">
        <v>47.22</v>
      </c>
      <c r="K2546" s="45" t="n">
        <v>0</v>
      </c>
      <c r="L2546" s="39" t="n">
        <v>18.42</v>
      </c>
      <c r="M2546" s="39">
        <f>I2546*J2546*(1-K2546)</f>
        <v/>
      </c>
      <c r="N2546" s="39">
        <f>I2546*L2546</f>
        <v/>
      </c>
      <c r="O2546" s="39">
        <f>M2546-N2546</f>
        <v/>
      </c>
      <c r="P2546" s="38">
        <f>IF(M2546=0,0,O2546/M2546)</f>
        <v/>
      </c>
      <c r="Q2546" s="36">
        <f>YEAR(B2546)</f>
        <v/>
      </c>
      <c r="R2546" s="36">
        <f>"Q"&amp;ROUNDUP(MONTH(B2546)/3,0)</f>
        <v/>
      </c>
      <c r="S2546" s="36">
        <f>MONTH(B2546)</f>
        <v/>
      </c>
      <c r="T2546" s="36">
        <f>TEXT(B2546,"mmm")</f>
        <v/>
      </c>
      <c r="U2546" s="36">
        <f>IF(AND(OR(sel_Region="All",C2546=sel_Region),OR(sel_Country="All",D2546=sel_Country),OR(sel_Channel="All",E2546=sel_Channel),OR(sel_Customer="All",F2546=sel_Customer),OR(sel_Category="All",G2546=sel_Category),OR(sel_Product="All",H2546=sel_Product),AND(S2546&gt;=m_From,S2546&lt;=m_To)),1,0)</f>
        <v/>
      </c>
      <c r="V2546" s="36">
        <f>IF(AND(OR(sel_Region="All",C2546=sel_Region),OR(sel_Channel="All",E2546=sel_Channel),OR(sel_Customer="All",F2546=sel_Customer),OR(sel_Category="All",G2546=sel_Category),OR(sel_Product="All",H2546=sel_Product),AND(S2546&gt;=m_From,S2546&lt;=m_To)),1,0)</f>
        <v/>
      </c>
      <c r="W2546" s="36">
        <f>IF(AND(OR(sel_Region="All",C2546=sel_Region),OR(sel_Country="All",D2546=sel_Country),OR(sel_Customer="All",F2546=sel_Customer),OR(sel_Category="All",G2546=sel_Category),OR(sel_Product="All",H2546=sel_Product),AND(S2546&gt;=m_From,S2546&lt;=m_To)),1,0)</f>
        <v/>
      </c>
      <c r="X2546" s="36">
        <f>IF(AND(OR(sel_Region="All",C2546=sel_Region),OR(sel_Country="All",D2546=sel_Country),OR(sel_Channel="All",E2546=sel_Channel),OR(sel_Category="All",G2546=sel_Category),OR(sel_Product="All",H2546=sel_Product),AND(S2546&gt;=m_From,S2546&lt;=m_To)),1,0)</f>
        <v/>
      </c>
      <c r="Y2546" s="36">
        <f>IF(AND(OR(sel_Region="All",C2546=sel_Region),OR(sel_Country="All",D2546=sel_Country),OR(sel_Channel="All",E2546=sel_Channel),OR(sel_Customer="All",F2546=sel_Customer),OR(sel_Product="All",H2546=sel_Product),AND(S2546&gt;=m_From,S2546&lt;=m_To)),1,0)</f>
        <v/>
      </c>
      <c r="Z2546" s="36">
        <f>IF(AND(OR(sel_Region="All",C2546=sel_Region),OR(sel_Country="All",D2546=sel_Country),OR(sel_Channel="All",E2546=sel_Channel),OR(sel_Customer="All",F2546=sel_Customer),OR(sel_Category="All",G2546=sel_Category),AND(S2546&gt;=m_From,S2546&lt;=m_To)),1,0)</f>
        <v/>
      </c>
      <c r="AA2546" s="36">
        <f>IF(AND(OR(sel_Region="All",C2546=sel_Region),OR(sel_Country="All",D2546=sel_Country),OR(sel_Channel="All",E2546=sel_Channel),OR(sel_Customer="All",F2546=sel_Customer),OR(sel_Category="All",G2546=sel_Category),OR(sel_Product="All",H2546=sel_Product)),1,0)</f>
        <v/>
      </c>
    </row>
    <row r="2547">
      <c r="A2547" s="36" t="inlineStr">
        <is>
          <t>00706</t>
        </is>
      </c>
      <c r="B2547" s="44" t="n">
        <v>46364</v>
      </c>
      <c r="C2547" s="36" t="inlineStr">
        <is>
          <t>Central Europe</t>
        </is>
      </c>
      <c r="D2547" s="36" t="inlineStr">
        <is>
          <t>Germany</t>
        </is>
      </c>
      <c r="E2547" s="36" t="inlineStr">
        <is>
          <t>Retail Partners</t>
        </is>
      </c>
      <c r="F2547" s="36" t="inlineStr">
        <is>
          <t>Returning</t>
        </is>
      </c>
      <c r="G2547" s="36" t="inlineStr">
        <is>
          <t>Travel</t>
        </is>
      </c>
      <c r="H2547" s="36" t="inlineStr">
        <is>
          <t>Packing Cube Set</t>
        </is>
      </c>
      <c r="I2547" s="36" t="n">
        <v>4</v>
      </c>
      <c r="J2547" s="39" t="n">
        <v>46.48</v>
      </c>
      <c r="K2547" s="45" t="n">
        <v>0.1</v>
      </c>
      <c r="L2547" s="39" t="n">
        <v>18.66</v>
      </c>
      <c r="M2547" s="39">
        <f>I2547*J2547*(1-K2547)</f>
        <v/>
      </c>
      <c r="N2547" s="39">
        <f>I2547*L2547</f>
        <v/>
      </c>
      <c r="O2547" s="39">
        <f>M2547-N2547</f>
        <v/>
      </c>
      <c r="P2547" s="38">
        <f>IF(M2547=0,0,O2547/M2547)</f>
        <v/>
      </c>
      <c r="Q2547" s="36">
        <f>YEAR(B2547)</f>
        <v/>
      </c>
      <c r="R2547" s="36">
        <f>"Q"&amp;ROUNDUP(MONTH(B2547)/3,0)</f>
        <v/>
      </c>
      <c r="S2547" s="36">
        <f>MONTH(B2547)</f>
        <v/>
      </c>
      <c r="T2547" s="36">
        <f>TEXT(B2547,"mmm")</f>
        <v/>
      </c>
      <c r="U2547" s="36">
        <f>IF(AND(OR(sel_Region="All",C2547=sel_Region),OR(sel_Country="All",D2547=sel_Country),OR(sel_Channel="All",E2547=sel_Channel),OR(sel_Customer="All",F2547=sel_Customer),OR(sel_Category="All",G2547=sel_Category),OR(sel_Product="All",H2547=sel_Product),AND(S2547&gt;=m_From,S2547&lt;=m_To)),1,0)</f>
        <v/>
      </c>
      <c r="V2547" s="36">
        <f>IF(AND(OR(sel_Region="All",C2547=sel_Region),OR(sel_Channel="All",E2547=sel_Channel),OR(sel_Customer="All",F2547=sel_Customer),OR(sel_Category="All",G2547=sel_Category),OR(sel_Product="All",H2547=sel_Product),AND(S2547&gt;=m_From,S2547&lt;=m_To)),1,0)</f>
        <v/>
      </c>
      <c r="W2547" s="36">
        <f>IF(AND(OR(sel_Region="All",C2547=sel_Region),OR(sel_Country="All",D2547=sel_Country),OR(sel_Customer="All",F2547=sel_Customer),OR(sel_Category="All",G2547=sel_Category),OR(sel_Product="All",H2547=sel_Product),AND(S2547&gt;=m_From,S2547&lt;=m_To)),1,0)</f>
        <v/>
      </c>
      <c r="X2547" s="36">
        <f>IF(AND(OR(sel_Region="All",C2547=sel_Region),OR(sel_Country="All",D2547=sel_Country),OR(sel_Channel="All",E2547=sel_Channel),OR(sel_Category="All",G2547=sel_Category),OR(sel_Product="All",H2547=sel_Product),AND(S2547&gt;=m_From,S2547&lt;=m_To)),1,0)</f>
        <v/>
      </c>
      <c r="Y2547" s="36">
        <f>IF(AND(OR(sel_Region="All",C2547=sel_Region),OR(sel_Country="All",D2547=sel_Country),OR(sel_Channel="All",E2547=sel_Channel),OR(sel_Customer="All",F2547=sel_Customer),OR(sel_Product="All",H2547=sel_Product),AND(S2547&gt;=m_From,S2547&lt;=m_To)),1,0)</f>
        <v/>
      </c>
      <c r="Z2547" s="36">
        <f>IF(AND(OR(sel_Region="All",C2547=sel_Region),OR(sel_Country="All",D2547=sel_Country),OR(sel_Channel="All",E2547=sel_Channel),OR(sel_Customer="All",F2547=sel_Customer),OR(sel_Category="All",G2547=sel_Category),AND(S2547&gt;=m_From,S2547&lt;=m_To)),1,0)</f>
        <v/>
      </c>
      <c r="AA2547" s="36">
        <f>IF(AND(OR(sel_Region="All",C2547=sel_Region),OR(sel_Country="All",D2547=sel_Country),OR(sel_Channel="All",E2547=sel_Channel),OR(sel_Customer="All",F2547=sel_Customer),OR(sel_Category="All",G2547=sel_Category),OR(sel_Product="All",H2547=sel_Product)),1,0)</f>
        <v/>
      </c>
    </row>
    <row r="2548">
      <c r="A2548" s="36" t="inlineStr">
        <is>
          <t>01086</t>
        </is>
      </c>
      <c r="B2548" s="44" t="n">
        <v>46364</v>
      </c>
      <c r="C2548" s="36" t="inlineStr">
        <is>
          <t>Western Europe</t>
        </is>
      </c>
      <c r="D2548" s="36" t="inlineStr">
        <is>
          <t>France</t>
        </is>
      </c>
      <c r="E2548" s="36" t="inlineStr">
        <is>
          <t>Corporate</t>
        </is>
      </c>
      <c r="F2548" s="36" t="inlineStr">
        <is>
          <t>Business</t>
        </is>
      </c>
      <c r="G2548" s="36" t="inlineStr">
        <is>
          <t>Hiking</t>
        </is>
      </c>
      <c r="H2548" s="36" t="inlineStr">
        <is>
          <t>Trail Boots</t>
        </is>
      </c>
      <c r="I2548" s="36" t="n">
        <v>12</v>
      </c>
      <c r="J2548" s="39" t="n">
        <v>146.99</v>
      </c>
      <c r="K2548" s="45" t="n">
        <v>0.15</v>
      </c>
      <c r="L2548" s="39" t="n">
        <v>79.23999999999999</v>
      </c>
      <c r="M2548" s="39">
        <f>I2548*J2548*(1-K2548)</f>
        <v/>
      </c>
      <c r="N2548" s="39">
        <f>I2548*L2548</f>
        <v/>
      </c>
      <c r="O2548" s="39">
        <f>M2548-N2548</f>
        <v/>
      </c>
      <c r="P2548" s="38">
        <f>IF(M2548=0,0,O2548/M2548)</f>
        <v/>
      </c>
      <c r="Q2548" s="36">
        <f>YEAR(B2548)</f>
        <v/>
      </c>
      <c r="R2548" s="36">
        <f>"Q"&amp;ROUNDUP(MONTH(B2548)/3,0)</f>
        <v/>
      </c>
      <c r="S2548" s="36">
        <f>MONTH(B2548)</f>
        <v/>
      </c>
      <c r="T2548" s="36">
        <f>TEXT(B2548,"mmm")</f>
        <v/>
      </c>
      <c r="U2548" s="36">
        <f>IF(AND(OR(sel_Region="All",C2548=sel_Region),OR(sel_Country="All",D2548=sel_Country),OR(sel_Channel="All",E2548=sel_Channel),OR(sel_Customer="All",F2548=sel_Customer),OR(sel_Category="All",G2548=sel_Category),OR(sel_Product="All",H2548=sel_Product),AND(S2548&gt;=m_From,S2548&lt;=m_To)),1,0)</f>
        <v/>
      </c>
      <c r="V2548" s="36">
        <f>IF(AND(OR(sel_Region="All",C2548=sel_Region),OR(sel_Channel="All",E2548=sel_Channel),OR(sel_Customer="All",F2548=sel_Customer),OR(sel_Category="All",G2548=sel_Category),OR(sel_Product="All",H2548=sel_Product),AND(S2548&gt;=m_From,S2548&lt;=m_To)),1,0)</f>
        <v/>
      </c>
      <c r="W2548" s="36">
        <f>IF(AND(OR(sel_Region="All",C2548=sel_Region),OR(sel_Country="All",D2548=sel_Country),OR(sel_Customer="All",F2548=sel_Customer),OR(sel_Category="All",G2548=sel_Category),OR(sel_Product="All",H2548=sel_Product),AND(S2548&gt;=m_From,S2548&lt;=m_To)),1,0)</f>
        <v/>
      </c>
      <c r="X2548" s="36">
        <f>IF(AND(OR(sel_Region="All",C2548=sel_Region),OR(sel_Country="All",D2548=sel_Country),OR(sel_Channel="All",E2548=sel_Channel),OR(sel_Category="All",G2548=sel_Category),OR(sel_Product="All",H2548=sel_Product),AND(S2548&gt;=m_From,S2548&lt;=m_To)),1,0)</f>
        <v/>
      </c>
      <c r="Y2548" s="36">
        <f>IF(AND(OR(sel_Region="All",C2548=sel_Region),OR(sel_Country="All",D2548=sel_Country),OR(sel_Channel="All",E2548=sel_Channel),OR(sel_Customer="All",F2548=sel_Customer),OR(sel_Product="All",H2548=sel_Product),AND(S2548&gt;=m_From,S2548&lt;=m_To)),1,0)</f>
        <v/>
      </c>
      <c r="Z2548" s="36">
        <f>IF(AND(OR(sel_Region="All",C2548=sel_Region),OR(sel_Country="All",D2548=sel_Country),OR(sel_Channel="All",E2548=sel_Channel),OR(sel_Customer="All",F2548=sel_Customer),OR(sel_Category="All",G2548=sel_Category),AND(S2548&gt;=m_From,S2548&lt;=m_To)),1,0)</f>
        <v/>
      </c>
      <c r="AA2548" s="36">
        <f>IF(AND(OR(sel_Region="All",C2548=sel_Region),OR(sel_Country="All",D2548=sel_Country),OR(sel_Channel="All",E2548=sel_Channel),OR(sel_Customer="All",F2548=sel_Customer),OR(sel_Category="All",G2548=sel_Category),OR(sel_Product="All",H2548=sel_Product)),1,0)</f>
        <v/>
      </c>
    </row>
    <row r="2549">
      <c r="A2549" s="36" t="inlineStr">
        <is>
          <t>01204</t>
        </is>
      </c>
      <c r="B2549" s="44" t="n">
        <v>46364</v>
      </c>
      <c r="C2549" s="36" t="inlineStr">
        <is>
          <t>Northern Europe</t>
        </is>
      </c>
      <c r="D2549" s="36" t="inlineStr">
        <is>
          <t>Finland</t>
        </is>
      </c>
      <c r="E2549" s="36" t="inlineStr">
        <is>
          <t>Online Store</t>
        </is>
      </c>
      <c r="F2549" s="36" t="inlineStr">
        <is>
          <t>New</t>
        </is>
      </c>
      <c r="G2549" s="36" t="inlineStr">
        <is>
          <t>Fitness</t>
        </is>
      </c>
      <c r="H2549" s="36" t="inlineStr">
        <is>
          <t>Resistance Band Set</t>
        </is>
      </c>
      <c r="I2549" s="36" t="n">
        <v>1</v>
      </c>
      <c r="J2549" s="39" t="n">
        <v>40.29</v>
      </c>
      <c r="K2549" s="45" t="n">
        <v>0</v>
      </c>
      <c r="L2549" s="39" t="n">
        <v>15.07</v>
      </c>
      <c r="M2549" s="39">
        <f>I2549*J2549*(1-K2549)</f>
        <v/>
      </c>
      <c r="N2549" s="39">
        <f>I2549*L2549</f>
        <v/>
      </c>
      <c r="O2549" s="39">
        <f>M2549-N2549</f>
        <v/>
      </c>
      <c r="P2549" s="38">
        <f>IF(M2549=0,0,O2549/M2549)</f>
        <v/>
      </c>
      <c r="Q2549" s="36">
        <f>YEAR(B2549)</f>
        <v/>
      </c>
      <c r="R2549" s="36">
        <f>"Q"&amp;ROUNDUP(MONTH(B2549)/3,0)</f>
        <v/>
      </c>
      <c r="S2549" s="36">
        <f>MONTH(B2549)</f>
        <v/>
      </c>
      <c r="T2549" s="36">
        <f>TEXT(B2549,"mmm")</f>
        <v/>
      </c>
      <c r="U2549" s="36">
        <f>IF(AND(OR(sel_Region="All",C2549=sel_Region),OR(sel_Country="All",D2549=sel_Country),OR(sel_Channel="All",E2549=sel_Channel),OR(sel_Customer="All",F2549=sel_Customer),OR(sel_Category="All",G2549=sel_Category),OR(sel_Product="All",H2549=sel_Product),AND(S2549&gt;=m_From,S2549&lt;=m_To)),1,0)</f>
        <v/>
      </c>
      <c r="V2549" s="36">
        <f>IF(AND(OR(sel_Region="All",C2549=sel_Region),OR(sel_Channel="All",E2549=sel_Channel),OR(sel_Customer="All",F2549=sel_Customer),OR(sel_Category="All",G2549=sel_Category),OR(sel_Product="All",H2549=sel_Product),AND(S2549&gt;=m_From,S2549&lt;=m_To)),1,0)</f>
        <v/>
      </c>
      <c r="W2549" s="36">
        <f>IF(AND(OR(sel_Region="All",C2549=sel_Region),OR(sel_Country="All",D2549=sel_Country),OR(sel_Customer="All",F2549=sel_Customer),OR(sel_Category="All",G2549=sel_Category),OR(sel_Product="All",H2549=sel_Product),AND(S2549&gt;=m_From,S2549&lt;=m_To)),1,0)</f>
        <v/>
      </c>
      <c r="X2549" s="36">
        <f>IF(AND(OR(sel_Region="All",C2549=sel_Region),OR(sel_Country="All",D2549=sel_Country),OR(sel_Channel="All",E2549=sel_Channel),OR(sel_Category="All",G2549=sel_Category),OR(sel_Product="All",H2549=sel_Product),AND(S2549&gt;=m_From,S2549&lt;=m_To)),1,0)</f>
        <v/>
      </c>
      <c r="Y2549" s="36">
        <f>IF(AND(OR(sel_Region="All",C2549=sel_Region),OR(sel_Country="All",D2549=sel_Country),OR(sel_Channel="All",E2549=sel_Channel),OR(sel_Customer="All",F2549=sel_Customer),OR(sel_Product="All",H2549=sel_Product),AND(S2549&gt;=m_From,S2549&lt;=m_To)),1,0)</f>
        <v/>
      </c>
      <c r="Z2549" s="36">
        <f>IF(AND(OR(sel_Region="All",C2549=sel_Region),OR(sel_Country="All",D2549=sel_Country),OR(sel_Channel="All",E2549=sel_Channel),OR(sel_Customer="All",F2549=sel_Customer),OR(sel_Category="All",G2549=sel_Category),AND(S2549&gt;=m_From,S2549&lt;=m_To)),1,0)</f>
        <v/>
      </c>
      <c r="AA2549" s="36">
        <f>IF(AND(OR(sel_Region="All",C2549=sel_Region),OR(sel_Country="All",D2549=sel_Country),OR(sel_Channel="All",E2549=sel_Channel),OR(sel_Customer="All",F2549=sel_Customer),OR(sel_Category="All",G2549=sel_Category),OR(sel_Product="All",H2549=sel_Product)),1,0)</f>
        <v/>
      </c>
    </row>
    <row r="2550">
      <c r="A2550" s="36" t="inlineStr">
        <is>
          <t>01451</t>
        </is>
      </c>
      <c r="B2550" s="44" t="n">
        <v>46364</v>
      </c>
      <c r="C2550" s="36" t="inlineStr">
        <is>
          <t>Southern Europe</t>
        </is>
      </c>
      <c r="D2550" s="36" t="inlineStr">
        <is>
          <t>Spain</t>
        </is>
      </c>
      <c r="E2550" s="36" t="inlineStr">
        <is>
          <t>Corporate</t>
        </is>
      </c>
      <c r="F2550" s="36" t="inlineStr">
        <is>
          <t>Business</t>
        </is>
      </c>
      <c r="G2550" s="36" t="inlineStr">
        <is>
          <t>Camping</t>
        </is>
      </c>
      <c r="H2550" s="36" t="inlineStr">
        <is>
          <t>Compact Sleeping Bag</t>
        </is>
      </c>
      <c r="I2550" s="36" t="n">
        <v>4</v>
      </c>
      <c r="J2550" s="39" t="n">
        <v>125.82</v>
      </c>
      <c r="K2550" s="45" t="n">
        <v>0.15</v>
      </c>
      <c r="L2550" s="39" t="n">
        <v>61.39</v>
      </c>
      <c r="M2550" s="39">
        <f>I2550*J2550*(1-K2550)</f>
        <v/>
      </c>
      <c r="N2550" s="39">
        <f>I2550*L2550</f>
        <v/>
      </c>
      <c r="O2550" s="39">
        <f>M2550-N2550</f>
        <v/>
      </c>
      <c r="P2550" s="38">
        <f>IF(M2550=0,0,O2550/M2550)</f>
        <v/>
      </c>
      <c r="Q2550" s="36">
        <f>YEAR(B2550)</f>
        <v/>
      </c>
      <c r="R2550" s="36">
        <f>"Q"&amp;ROUNDUP(MONTH(B2550)/3,0)</f>
        <v/>
      </c>
      <c r="S2550" s="36">
        <f>MONTH(B2550)</f>
        <v/>
      </c>
      <c r="T2550" s="36">
        <f>TEXT(B2550,"mmm")</f>
        <v/>
      </c>
      <c r="U2550" s="36">
        <f>IF(AND(OR(sel_Region="All",C2550=sel_Region),OR(sel_Country="All",D2550=sel_Country),OR(sel_Channel="All",E2550=sel_Channel),OR(sel_Customer="All",F2550=sel_Customer),OR(sel_Category="All",G2550=sel_Category),OR(sel_Product="All",H2550=sel_Product),AND(S2550&gt;=m_From,S2550&lt;=m_To)),1,0)</f>
        <v/>
      </c>
      <c r="V2550" s="36">
        <f>IF(AND(OR(sel_Region="All",C2550=sel_Region),OR(sel_Channel="All",E2550=sel_Channel),OR(sel_Customer="All",F2550=sel_Customer),OR(sel_Category="All",G2550=sel_Category),OR(sel_Product="All",H2550=sel_Product),AND(S2550&gt;=m_From,S2550&lt;=m_To)),1,0)</f>
        <v/>
      </c>
      <c r="W2550" s="36">
        <f>IF(AND(OR(sel_Region="All",C2550=sel_Region),OR(sel_Country="All",D2550=sel_Country),OR(sel_Customer="All",F2550=sel_Customer),OR(sel_Category="All",G2550=sel_Category),OR(sel_Product="All",H2550=sel_Product),AND(S2550&gt;=m_From,S2550&lt;=m_To)),1,0)</f>
        <v/>
      </c>
      <c r="X2550" s="36">
        <f>IF(AND(OR(sel_Region="All",C2550=sel_Region),OR(sel_Country="All",D2550=sel_Country),OR(sel_Channel="All",E2550=sel_Channel),OR(sel_Category="All",G2550=sel_Category),OR(sel_Product="All",H2550=sel_Product),AND(S2550&gt;=m_From,S2550&lt;=m_To)),1,0)</f>
        <v/>
      </c>
      <c r="Y2550" s="36">
        <f>IF(AND(OR(sel_Region="All",C2550=sel_Region),OR(sel_Country="All",D2550=sel_Country),OR(sel_Channel="All",E2550=sel_Channel),OR(sel_Customer="All",F2550=sel_Customer),OR(sel_Product="All",H2550=sel_Product),AND(S2550&gt;=m_From,S2550&lt;=m_To)),1,0)</f>
        <v/>
      </c>
      <c r="Z2550" s="36">
        <f>IF(AND(OR(sel_Region="All",C2550=sel_Region),OR(sel_Country="All",D2550=sel_Country),OR(sel_Channel="All",E2550=sel_Channel),OR(sel_Customer="All",F2550=sel_Customer),OR(sel_Category="All",G2550=sel_Category),AND(S2550&gt;=m_From,S2550&lt;=m_To)),1,0)</f>
        <v/>
      </c>
      <c r="AA2550" s="36">
        <f>IF(AND(OR(sel_Region="All",C2550=sel_Region),OR(sel_Country="All",D2550=sel_Country),OR(sel_Channel="All",E2550=sel_Channel),OR(sel_Customer="All",F2550=sel_Customer),OR(sel_Category="All",G2550=sel_Category),OR(sel_Product="All",H2550=sel_Product)),1,0)</f>
        <v/>
      </c>
    </row>
    <row r="2551">
      <c r="A2551" s="36" t="inlineStr">
        <is>
          <t>01650</t>
        </is>
      </c>
      <c r="B2551" s="44" t="n">
        <v>46364</v>
      </c>
      <c r="C2551" s="36" t="inlineStr">
        <is>
          <t>Central Europe</t>
        </is>
      </c>
      <c r="D2551" s="36" t="inlineStr">
        <is>
          <t>Czechia</t>
        </is>
      </c>
      <c r="E2551" s="36" t="inlineStr">
        <is>
          <t>Online Store</t>
        </is>
      </c>
      <c r="F2551" s="36" t="inlineStr">
        <is>
          <t>New</t>
        </is>
      </c>
      <c r="G2551" s="36" t="inlineStr">
        <is>
          <t>Travel</t>
        </is>
      </c>
      <c r="H2551" s="36" t="inlineStr">
        <is>
          <t>Insulated Bottle</t>
        </is>
      </c>
      <c r="I2551" s="36" t="n">
        <v>3</v>
      </c>
      <c r="J2551" s="39" t="n">
        <v>36.25</v>
      </c>
      <c r="K2551" s="45" t="n">
        <v>0</v>
      </c>
      <c r="L2551" s="39" t="n">
        <v>13.67</v>
      </c>
      <c r="M2551" s="39">
        <f>I2551*J2551*(1-K2551)</f>
        <v/>
      </c>
      <c r="N2551" s="39">
        <f>I2551*L2551</f>
        <v/>
      </c>
      <c r="O2551" s="39">
        <f>M2551-N2551</f>
        <v/>
      </c>
      <c r="P2551" s="38">
        <f>IF(M2551=0,0,O2551/M2551)</f>
        <v/>
      </c>
      <c r="Q2551" s="36">
        <f>YEAR(B2551)</f>
        <v/>
      </c>
      <c r="R2551" s="36">
        <f>"Q"&amp;ROUNDUP(MONTH(B2551)/3,0)</f>
        <v/>
      </c>
      <c r="S2551" s="36">
        <f>MONTH(B2551)</f>
        <v/>
      </c>
      <c r="T2551" s="36">
        <f>TEXT(B2551,"mmm")</f>
        <v/>
      </c>
      <c r="U2551" s="36">
        <f>IF(AND(OR(sel_Region="All",C2551=sel_Region),OR(sel_Country="All",D2551=sel_Country),OR(sel_Channel="All",E2551=sel_Channel),OR(sel_Customer="All",F2551=sel_Customer),OR(sel_Category="All",G2551=sel_Category),OR(sel_Product="All",H2551=sel_Product),AND(S2551&gt;=m_From,S2551&lt;=m_To)),1,0)</f>
        <v/>
      </c>
      <c r="V2551" s="36">
        <f>IF(AND(OR(sel_Region="All",C2551=sel_Region),OR(sel_Channel="All",E2551=sel_Channel),OR(sel_Customer="All",F2551=sel_Customer),OR(sel_Category="All",G2551=sel_Category),OR(sel_Product="All",H2551=sel_Product),AND(S2551&gt;=m_From,S2551&lt;=m_To)),1,0)</f>
        <v/>
      </c>
      <c r="W2551" s="36">
        <f>IF(AND(OR(sel_Region="All",C2551=sel_Region),OR(sel_Country="All",D2551=sel_Country),OR(sel_Customer="All",F2551=sel_Customer),OR(sel_Category="All",G2551=sel_Category),OR(sel_Product="All",H2551=sel_Product),AND(S2551&gt;=m_From,S2551&lt;=m_To)),1,0)</f>
        <v/>
      </c>
      <c r="X2551" s="36">
        <f>IF(AND(OR(sel_Region="All",C2551=sel_Region),OR(sel_Country="All",D2551=sel_Country),OR(sel_Channel="All",E2551=sel_Channel),OR(sel_Category="All",G2551=sel_Category),OR(sel_Product="All",H2551=sel_Product),AND(S2551&gt;=m_From,S2551&lt;=m_To)),1,0)</f>
        <v/>
      </c>
      <c r="Y2551" s="36">
        <f>IF(AND(OR(sel_Region="All",C2551=sel_Region),OR(sel_Country="All",D2551=sel_Country),OR(sel_Channel="All",E2551=sel_Channel),OR(sel_Customer="All",F2551=sel_Customer),OR(sel_Product="All",H2551=sel_Product),AND(S2551&gt;=m_From,S2551&lt;=m_To)),1,0)</f>
        <v/>
      </c>
      <c r="Z2551" s="36">
        <f>IF(AND(OR(sel_Region="All",C2551=sel_Region),OR(sel_Country="All",D2551=sel_Country),OR(sel_Channel="All",E2551=sel_Channel),OR(sel_Customer="All",F2551=sel_Customer),OR(sel_Category="All",G2551=sel_Category),AND(S2551&gt;=m_From,S2551&lt;=m_To)),1,0)</f>
        <v/>
      </c>
      <c r="AA2551" s="36">
        <f>IF(AND(OR(sel_Region="All",C2551=sel_Region),OR(sel_Country="All",D2551=sel_Country),OR(sel_Channel="All",E2551=sel_Channel),OR(sel_Customer="All",F2551=sel_Customer),OR(sel_Category="All",G2551=sel_Category),OR(sel_Product="All",H2551=sel_Product)),1,0)</f>
        <v/>
      </c>
    </row>
    <row r="2552">
      <c r="A2552" s="36" t="inlineStr">
        <is>
          <t>01740</t>
        </is>
      </c>
      <c r="B2552" s="44" t="n">
        <v>46364</v>
      </c>
      <c r="C2552" s="36" t="inlineStr">
        <is>
          <t>Northern Europe</t>
        </is>
      </c>
      <c r="D2552" s="36" t="inlineStr">
        <is>
          <t>Finland</t>
        </is>
      </c>
      <c r="E2552" s="36" t="inlineStr">
        <is>
          <t>Marketplace</t>
        </is>
      </c>
      <c r="F2552" s="36" t="inlineStr">
        <is>
          <t>Returning</t>
        </is>
      </c>
      <c r="G2552" s="36" t="inlineStr">
        <is>
          <t>Travel</t>
        </is>
      </c>
      <c r="H2552" s="36" t="inlineStr">
        <is>
          <t>Travel Backpack 35L</t>
        </is>
      </c>
      <c r="I2552" s="36" t="n">
        <v>1</v>
      </c>
      <c r="J2552" s="39" t="n">
        <v>165.29</v>
      </c>
      <c r="K2552" s="45" t="n">
        <v>0.05</v>
      </c>
      <c r="L2552" s="39" t="n">
        <v>89.92</v>
      </c>
      <c r="M2552" s="39">
        <f>I2552*J2552*(1-K2552)</f>
        <v/>
      </c>
      <c r="N2552" s="39">
        <f>I2552*L2552</f>
        <v/>
      </c>
      <c r="O2552" s="39">
        <f>M2552-N2552</f>
        <v/>
      </c>
      <c r="P2552" s="38">
        <f>IF(M2552=0,0,O2552/M2552)</f>
        <v/>
      </c>
      <c r="Q2552" s="36">
        <f>YEAR(B2552)</f>
        <v/>
      </c>
      <c r="R2552" s="36">
        <f>"Q"&amp;ROUNDUP(MONTH(B2552)/3,0)</f>
        <v/>
      </c>
      <c r="S2552" s="36">
        <f>MONTH(B2552)</f>
        <v/>
      </c>
      <c r="T2552" s="36">
        <f>TEXT(B2552,"mmm")</f>
        <v/>
      </c>
      <c r="U2552" s="36">
        <f>IF(AND(OR(sel_Region="All",C2552=sel_Region),OR(sel_Country="All",D2552=sel_Country),OR(sel_Channel="All",E2552=sel_Channel),OR(sel_Customer="All",F2552=sel_Customer),OR(sel_Category="All",G2552=sel_Category),OR(sel_Product="All",H2552=sel_Product),AND(S2552&gt;=m_From,S2552&lt;=m_To)),1,0)</f>
        <v/>
      </c>
      <c r="V2552" s="36">
        <f>IF(AND(OR(sel_Region="All",C2552=sel_Region),OR(sel_Channel="All",E2552=sel_Channel),OR(sel_Customer="All",F2552=sel_Customer),OR(sel_Category="All",G2552=sel_Category),OR(sel_Product="All",H2552=sel_Product),AND(S2552&gt;=m_From,S2552&lt;=m_To)),1,0)</f>
        <v/>
      </c>
      <c r="W2552" s="36">
        <f>IF(AND(OR(sel_Region="All",C2552=sel_Region),OR(sel_Country="All",D2552=sel_Country),OR(sel_Customer="All",F2552=sel_Customer),OR(sel_Category="All",G2552=sel_Category),OR(sel_Product="All",H2552=sel_Product),AND(S2552&gt;=m_From,S2552&lt;=m_To)),1,0)</f>
        <v/>
      </c>
      <c r="X2552" s="36">
        <f>IF(AND(OR(sel_Region="All",C2552=sel_Region),OR(sel_Country="All",D2552=sel_Country),OR(sel_Channel="All",E2552=sel_Channel),OR(sel_Category="All",G2552=sel_Category),OR(sel_Product="All",H2552=sel_Product),AND(S2552&gt;=m_From,S2552&lt;=m_To)),1,0)</f>
        <v/>
      </c>
      <c r="Y2552" s="36">
        <f>IF(AND(OR(sel_Region="All",C2552=sel_Region),OR(sel_Country="All",D2552=sel_Country),OR(sel_Channel="All",E2552=sel_Channel),OR(sel_Customer="All",F2552=sel_Customer),OR(sel_Product="All",H2552=sel_Product),AND(S2552&gt;=m_From,S2552&lt;=m_To)),1,0)</f>
        <v/>
      </c>
      <c r="Z2552" s="36">
        <f>IF(AND(OR(sel_Region="All",C2552=sel_Region),OR(sel_Country="All",D2552=sel_Country),OR(sel_Channel="All",E2552=sel_Channel),OR(sel_Customer="All",F2552=sel_Customer),OR(sel_Category="All",G2552=sel_Category),AND(S2552&gt;=m_From,S2552&lt;=m_To)),1,0)</f>
        <v/>
      </c>
      <c r="AA2552" s="36">
        <f>IF(AND(OR(sel_Region="All",C2552=sel_Region),OR(sel_Country="All",D2552=sel_Country),OR(sel_Channel="All",E2552=sel_Channel),OR(sel_Customer="All",F2552=sel_Customer),OR(sel_Category="All",G2552=sel_Category),OR(sel_Product="All",H2552=sel_Product)),1,0)</f>
        <v/>
      </c>
    </row>
    <row r="2553">
      <c r="A2553" s="36" t="inlineStr">
        <is>
          <t>03191</t>
        </is>
      </c>
      <c r="B2553" s="44" t="n">
        <v>46364</v>
      </c>
      <c r="C2553" s="36" t="inlineStr">
        <is>
          <t>Western Europe</t>
        </is>
      </c>
      <c r="D2553" s="36" t="inlineStr">
        <is>
          <t>United Kingdom</t>
        </is>
      </c>
      <c r="E2553" s="36" t="inlineStr">
        <is>
          <t>Online Store</t>
        </is>
      </c>
      <c r="F2553" s="36" t="inlineStr">
        <is>
          <t>New</t>
        </is>
      </c>
      <c r="G2553" s="36" t="inlineStr">
        <is>
          <t>Camping</t>
        </is>
      </c>
      <c r="H2553" s="36" t="inlineStr">
        <is>
          <t>Portable Camp Stove</t>
        </is>
      </c>
      <c r="I2553" s="36" t="n">
        <v>1</v>
      </c>
      <c r="J2553" s="39" t="n">
        <v>82.89</v>
      </c>
      <c r="K2553" s="45" t="n">
        <v>0.15</v>
      </c>
      <c r="L2553" s="39" t="n">
        <v>38.51</v>
      </c>
      <c r="M2553" s="39">
        <f>I2553*J2553*(1-K2553)</f>
        <v/>
      </c>
      <c r="N2553" s="39">
        <f>I2553*L2553</f>
        <v/>
      </c>
      <c r="O2553" s="39">
        <f>M2553-N2553</f>
        <v/>
      </c>
      <c r="P2553" s="38">
        <f>IF(M2553=0,0,O2553/M2553)</f>
        <v/>
      </c>
      <c r="Q2553" s="36">
        <f>YEAR(B2553)</f>
        <v/>
      </c>
      <c r="R2553" s="36">
        <f>"Q"&amp;ROUNDUP(MONTH(B2553)/3,0)</f>
        <v/>
      </c>
      <c r="S2553" s="36">
        <f>MONTH(B2553)</f>
        <v/>
      </c>
      <c r="T2553" s="36">
        <f>TEXT(B2553,"mmm")</f>
        <v/>
      </c>
      <c r="U2553" s="36">
        <f>IF(AND(OR(sel_Region="All",C2553=sel_Region),OR(sel_Country="All",D2553=sel_Country),OR(sel_Channel="All",E2553=sel_Channel),OR(sel_Customer="All",F2553=sel_Customer),OR(sel_Category="All",G2553=sel_Category),OR(sel_Product="All",H2553=sel_Product),AND(S2553&gt;=m_From,S2553&lt;=m_To)),1,0)</f>
        <v/>
      </c>
      <c r="V2553" s="36">
        <f>IF(AND(OR(sel_Region="All",C2553=sel_Region),OR(sel_Channel="All",E2553=sel_Channel),OR(sel_Customer="All",F2553=sel_Customer),OR(sel_Category="All",G2553=sel_Category),OR(sel_Product="All",H2553=sel_Product),AND(S2553&gt;=m_From,S2553&lt;=m_To)),1,0)</f>
        <v/>
      </c>
      <c r="W2553" s="36">
        <f>IF(AND(OR(sel_Region="All",C2553=sel_Region),OR(sel_Country="All",D2553=sel_Country),OR(sel_Customer="All",F2553=sel_Customer),OR(sel_Category="All",G2553=sel_Category),OR(sel_Product="All",H2553=sel_Product),AND(S2553&gt;=m_From,S2553&lt;=m_To)),1,0)</f>
        <v/>
      </c>
      <c r="X2553" s="36">
        <f>IF(AND(OR(sel_Region="All",C2553=sel_Region),OR(sel_Country="All",D2553=sel_Country),OR(sel_Channel="All",E2553=sel_Channel),OR(sel_Category="All",G2553=sel_Category),OR(sel_Product="All",H2553=sel_Product),AND(S2553&gt;=m_From,S2553&lt;=m_To)),1,0)</f>
        <v/>
      </c>
      <c r="Y2553" s="36">
        <f>IF(AND(OR(sel_Region="All",C2553=sel_Region),OR(sel_Country="All",D2553=sel_Country),OR(sel_Channel="All",E2553=sel_Channel),OR(sel_Customer="All",F2553=sel_Customer),OR(sel_Product="All",H2553=sel_Product),AND(S2553&gt;=m_From,S2553&lt;=m_To)),1,0)</f>
        <v/>
      </c>
      <c r="Z2553" s="36">
        <f>IF(AND(OR(sel_Region="All",C2553=sel_Region),OR(sel_Country="All",D2553=sel_Country),OR(sel_Channel="All",E2553=sel_Channel),OR(sel_Customer="All",F2553=sel_Customer),OR(sel_Category="All",G2553=sel_Category),AND(S2553&gt;=m_From,S2553&lt;=m_To)),1,0)</f>
        <v/>
      </c>
      <c r="AA2553" s="36">
        <f>IF(AND(OR(sel_Region="All",C2553=sel_Region),OR(sel_Country="All",D2553=sel_Country),OR(sel_Channel="All",E2553=sel_Channel),OR(sel_Customer="All",F2553=sel_Customer),OR(sel_Category="All",G2553=sel_Category),OR(sel_Product="All",H2553=sel_Product)),1,0)</f>
        <v/>
      </c>
    </row>
    <row r="2554">
      <c r="A2554" s="36" t="inlineStr">
        <is>
          <t>03662</t>
        </is>
      </c>
      <c r="B2554" s="44" t="n">
        <v>46364</v>
      </c>
      <c r="C2554" s="36" t="inlineStr">
        <is>
          <t>Central Europe</t>
        </is>
      </c>
      <c r="D2554" s="36" t="inlineStr">
        <is>
          <t>Austria</t>
        </is>
      </c>
      <c r="E2554" s="36" t="inlineStr">
        <is>
          <t>Online Store</t>
        </is>
      </c>
      <c r="F2554" s="36" t="inlineStr">
        <is>
          <t>Business</t>
        </is>
      </c>
      <c r="G2554" s="36" t="inlineStr">
        <is>
          <t>Camping</t>
        </is>
      </c>
      <c r="H2554" s="36" t="inlineStr">
        <is>
          <t>Trail Tent 2P</t>
        </is>
      </c>
      <c r="I2554" s="36" t="n">
        <v>1</v>
      </c>
      <c r="J2554" s="39" t="n">
        <v>199.66</v>
      </c>
      <c r="K2554" s="45" t="n">
        <v>0</v>
      </c>
      <c r="L2554" s="39" t="n">
        <v>103.15</v>
      </c>
      <c r="M2554" s="39">
        <f>I2554*J2554*(1-K2554)</f>
        <v/>
      </c>
      <c r="N2554" s="39">
        <f>I2554*L2554</f>
        <v/>
      </c>
      <c r="O2554" s="39">
        <f>M2554-N2554</f>
        <v/>
      </c>
      <c r="P2554" s="38">
        <f>IF(M2554=0,0,O2554/M2554)</f>
        <v/>
      </c>
      <c r="Q2554" s="36">
        <f>YEAR(B2554)</f>
        <v/>
      </c>
      <c r="R2554" s="36">
        <f>"Q"&amp;ROUNDUP(MONTH(B2554)/3,0)</f>
        <v/>
      </c>
      <c r="S2554" s="36">
        <f>MONTH(B2554)</f>
        <v/>
      </c>
      <c r="T2554" s="36">
        <f>TEXT(B2554,"mmm")</f>
        <v/>
      </c>
      <c r="U2554" s="36">
        <f>IF(AND(OR(sel_Region="All",C2554=sel_Region),OR(sel_Country="All",D2554=sel_Country),OR(sel_Channel="All",E2554=sel_Channel),OR(sel_Customer="All",F2554=sel_Customer),OR(sel_Category="All",G2554=sel_Category),OR(sel_Product="All",H2554=sel_Product),AND(S2554&gt;=m_From,S2554&lt;=m_To)),1,0)</f>
        <v/>
      </c>
      <c r="V2554" s="36">
        <f>IF(AND(OR(sel_Region="All",C2554=sel_Region),OR(sel_Channel="All",E2554=sel_Channel),OR(sel_Customer="All",F2554=sel_Customer),OR(sel_Category="All",G2554=sel_Category),OR(sel_Product="All",H2554=sel_Product),AND(S2554&gt;=m_From,S2554&lt;=m_To)),1,0)</f>
        <v/>
      </c>
      <c r="W2554" s="36">
        <f>IF(AND(OR(sel_Region="All",C2554=sel_Region),OR(sel_Country="All",D2554=sel_Country),OR(sel_Customer="All",F2554=sel_Customer),OR(sel_Category="All",G2554=sel_Category),OR(sel_Product="All",H2554=sel_Product),AND(S2554&gt;=m_From,S2554&lt;=m_To)),1,0)</f>
        <v/>
      </c>
      <c r="X2554" s="36">
        <f>IF(AND(OR(sel_Region="All",C2554=sel_Region),OR(sel_Country="All",D2554=sel_Country),OR(sel_Channel="All",E2554=sel_Channel),OR(sel_Category="All",G2554=sel_Category),OR(sel_Product="All",H2554=sel_Product),AND(S2554&gt;=m_From,S2554&lt;=m_To)),1,0)</f>
        <v/>
      </c>
      <c r="Y2554" s="36">
        <f>IF(AND(OR(sel_Region="All",C2554=sel_Region),OR(sel_Country="All",D2554=sel_Country),OR(sel_Channel="All",E2554=sel_Channel),OR(sel_Customer="All",F2554=sel_Customer),OR(sel_Product="All",H2554=sel_Product),AND(S2554&gt;=m_From,S2554&lt;=m_To)),1,0)</f>
        <v/>
      </c>
      <c r="Z2554" s="36">
        <f>IF(AND(OR(sel_Region="All",C2554=sel_Region),OR(sel_Country="All",D2554=sel_Country),OR(sel_Channel="All",E2554=sel_Channel),OR(sel_Customer="All",F2554=sel_Customer),OR(sel_Category="All",G2554=sel_Category),AND(S2554&gt;=m_From,S2554&lt;=m_To)),1,0)</f>
        <v/>
      </c>
      <c r="AA2554" s="36">
        <f>IF(AND(OR(sel_Region="All",C2554=sel_Region),OR(sel_Country="All",D2554=sel_Country),OR(sel_Channel="All",E2554=sel_Channel),OR(sel_Customer="All",F2554=sel_Customer),OR(sel_Category="All",G2554=sel_Category),OR(sel_Product="All",H2554=sel_Product)),1,0)</f>
        <v/>
      </c>
    </row>
    <row r="2555">
      <c r="A2555" s="36" t="inlineStr">
        <is>
          <t>03922</t>
        </is>
      </c>
      <c r="B2555" s="44" t="n">
        <v>46364</v>
      </c>
      <c r="C2555" s="36" t="inlineStr">
        <is>
          <t>Western Europe</t>
        </is>
      </c>
      <c r="D2555" s="36" t="inlineStr">
        <is>
          <t>United Kingdom</t>
        </is>
      </c>
      <c r="E2555" s="36" t="inlineStr">
        <is>
          <t>Retail Partners</t>
        </is>
      </c>
      <c r="F2555" s="36" t="inlineStr">
        <is>
          <t>New</t>
        </is>
      </c>
      <c r="G2555" s="36" t="inlineStr">
        <is>
          <t>Hiking</t>
        </is>
      </c>
      <c r="H2555" s="36" t="inlineStr">
        <is>
          <t>Trail Boots</t>
        </is>
      </c>
      <c r="I2555" s="36" t="n">
        <v>2</v>
      </c>
      <c r="J2555" s="39" t="n">
        <v>146.25</v>
      </c>
      <c r="K2555" s="45" t="n">
        <v>0.05</v>
      </c>
      <c r="L2555" s="39" t="n">
        <v>77.3</v>
      </c>
      <c r="M2555" s="39">
        <f>I2555*J2555*(1-K2555)</f>
        <v/>
      </c>
      <c r="N2555" s="39">
        <f>I2555*L2555</f>
        <v/>
      </c>
      <c r="O2555" s="39">
        <f>M2555-N2555</f>
        <v/>
      </c>
      <c r="P2555" s="38">
        <f>IF(M2555=0,0,O2555/M2555)</f>
        <v/>
      </c>
      <c r="Q2555" s="36">
        <f>YEAR(B2555)</f>
        <v/>
      </c>
      <c r="R2555" s="36">
        <f>"Q"&amp;ROUNDUP(MONTH(B2555)/3,0)</f>
        <v/>
      </c>
      <c r="S2555" s="36">
        <f>MONTH(B2555)</f>
        <v/>
      </c>
      <c r="T2555" s="36">
        <f>TEXT(B2555,"mmm")</f>
        <v/>
      </c>
      <c r="U2555" s="36">
        <f>IF(AND(OR(sel_Region="All",C2555=sel_Region),OR(sel_Country="All",D2555=sel_Country),OR(sel_Channel="All",E2555=sel_Channel),OR(sel_Customer="All",F2555=sel_Customer),OR(sel_Category="All",G2555=sel_Category),OR(sel_Product="All",H2555=sel_Product),AND(S2555&gt;=m_From,S2555&lt;=m_To)),1,0)</f>
        <v/>
      </c>
      <c r="V2555" s="36">
        <f>IF(AND(OR(sel_Region="All",C2555=sel_Region),OR(sel_Channel="All",E2555=sel_Channel),OR(sel_Customer="All",F2555=sel_Customer),OR(sel_Category="All",G2555=sel_Category),OR(sel_Product="All",H2555=sel_Product),AND(S2555&gt;=m_From,S2555&lt;=m_To)),1,0)</f>
        <v/>
      </c>
      <c r="W2555" s="36">
        <f>IF(AND(OR(sel_Region="All",C2555=sel_Region),OR(sel_Country="All",D2555=sel_Country),OR(sel_Customer="All",F2555=sel_Customer),OR(sel_Category="All",G2555=sel_Category),OR(sel_Product="All",H2555=sel_Product),AND(S2555&gt;=m_From,S2555&lt;=m_To)),1,0)</f>
        <v/>
      </c>
      <c r="X2555" s="36">
        <f>IF(AND(OR(sel_Region="All",C2555=sel_Region),OR(sel_Country="All",D2555=sel_Country),OR(sel_Channel="All",E2555=sel_Channel),OR(sel_Category="All",G2555=sel_Category),OR(sel_Product="All",H2555=sel_Product),AND(S2555&gt;=m_From,S2555&lt;=m_To)),1,0)</f>
        <v/>
      </c>
      <c r="Y2555" s="36">
        <f>IF(AND(OR(sel_Region="All",C2555=sel_Region),OR(sel_Country="All",D2555=sel_Country),OR(sel_Channel="All",E2555=sel_Channel),OR(sel_Customer="All",F2555=sel_Customer),OR(sel_Product="All",H2555=sel_Product),AND(S2555&gt;=m_From,S2555&lt;=m_To)),1,0)</f>
        <v/>
      </c>
      <c r="Z2555" s="36">
        <f>IF(AND(OR(sel_Region="All",C2555=sel_Region),OR(sel_Country="All",D2555=sel_Country),OR(sel_Channel="All",E2555=sel_Channel),OR(sel_Customer="All",F2555=sel_Customer),OR(sel_Category="All",G2555=sel_Category),AND(S2555&gt;=m_From,S2555&lt;=m_To)),1,0)</f>
        <v/>
      </c>
      <c r="AA2555" s="36">
        <f>IF(AND(OR(sel_Region="All",C2555=sel_Region),OR(sel_Country="All",D2555=sel_Country),OR(sel_Channel="All",E2555=sel_Channel),OR(sel_Customer="All",F2555=sel_Customer),OR(sel_Category="All",G2555=sel_Category),OR(sel_Product="All",H2555=sel_Product)),1,0)</f>
        <v/>
      </c>
    </row>
    <row r="2556">
      <c r="A2556" s="36" t="inlineStr">
        <is>
          <t>04022</t>
        </is>
      </c>
      <c r="B2556" s="44" t="n">
        <v>46364</v>
      </c>
      <c r="C2556" s="36" t="inlineStr">
        <is>
          <t>Southern Europe</t>
        </is>
      </c>
      <c r="D2556" s="36" t="inlineStr">
        <is>
          <t>Portugal</t>
        </is>
      </c>
      <c r="E2556" s="36" t="inlineStr">
        <is>
          <t>Marketplace</t>
        </is>
      </c>
      <c r="F2556" s="36" t="inlineStr">
        <is>
          <t>Returning</t>
        </is>
      </c>
      <c r="G2556" s="36" t="inlineStr">
        <is>
          <t>Camping</t>
        </is>
      </c>
      <c r="H2556" s="36" t="inlineStr">
        <is>
          <t>Alpine Tent 4P</t>
        </is>
      </c>
      <c r="I2556" s="36" t="n">
        <v>1</v>
      </c>
      <c r="J2556" s="39" t="n">
        <v>333.51</v>
      </c>
      <c r="K2556" s="45" t="n">
        <v>0.2</v>
      </c>
      <c r="L2556" s="39" t="n">
        <v>199.91</v>
      </c>
      <c r="M2556" s="39">
        <f>I2556*J2556*(1-K2556)</f>
        <v/>
      </c>
      <c r="N2556" s="39">
        <f>I2556*L2556</f>
        <v/>
      </c>
      <c r="O2556" s="39">
        <f>M2556-N2556</f>
        <v/>
      </c>
      <c r="P2556" s="38">
        <f>IF(M2556=0,0,O2556/M2556)</f>
        <v/>
      </c>
      <c r="Q2556" s="36">
        <f>YEAR(B2556)</f>
        <v/>
      </c>
      <c r="R2556" s="36">
        <f>"Q"&amp;ROUNDUP(MONTH(B2556)/3,0)</f>
        <v/>
      </c>
      <c r="S2556" s="36">
        <f>MONTH(B2556)</f>
        <v/>
      </c>
      <c r="T2556" s="36">
        <f>TEXT(B2556,"mmm")</f>
        <v/>
      </c>
      <c r="U2556" s="36">
        <f>IF(AND(OR(sel_Region="All",C2556=sel_Region),OR(sel_Country="All",D2556=sel_Country),OR(sel_Channel="All",E2556=sel_Channel),OR(sel_Customer="All",F2556=sel_Customer),OR(sel_Category="All",G2556=sel_Category),OR(sel_Product="All",H2556=sel_Product),AND(S2556&gt;=m_From,S2556&lt;=m_To)),1,0)</f>
        <v/>
      </c>
      <c r="V2556" s="36">
        <f>IF(AND(OR(sel_Region="All",C2556=sel_Region),OR(sel_Channel="All",E2556=sel_Channel),OR(sel_Customer="All",F2556=sel_Customer),OR(sel_Category="All",G2556=sel_Category),OR(sel_Product="All",H2556=sel_Product),AND(S2556&gt;=m_From,S2556&lt;=m_To)),1,0)</f>
        <v/>
      </c>
      <c r="W2556" s="36">
        <f>IF(AND(OR(sel_Region="All",C2556=sel_Region),OR(sel_Country="All",D2556=sel_Country),OR(sel_Customer="All",F2556=sel_Customer),OR(sel_Category="All",G2556=sel_Category),OR(sel_Product="All",H2556=sel_Product),AND(S2556&gt;=m_From,S2556&lt;=m_To)),1,0)</f>
        <v/>
      </c>
      <c r="X2556" s="36">
        <f>IF(AND(OR(sel_Region="All",C2556=sel_Region),OR(sel_Country="All",D2556=sel_Country),OR(sel_Channel="All",E2556=sel_Channel),OR(sel_Category="All",G2556=sel_Category),OR(sel_Product="All",H2556=sel_Product),AND(S2556&gt;=m_From,S2556&lt;=m_To)),1,0)</f>
        <v/>
      </c>
      <c r="Y2556" s="36">
        <f>IF(AND(OR(sel_Region="All",C2556=sel_Region),OR(sel_Country="All",D2556=sel_Country),OR(sel_Channel="All",E2556=sel_Channel),OR(sel_Customer="All",F2556=sel_Customer),OR(sel_Product="All",H2556=sel_Product),AND(S2556&gt;=m_From,S2556&lt;=m_To)),1,0)</f>
        <v/>
      </c>
      <c r="Z2556" s="36">
        <f>IF(AND(OR(sel_Region="All",C2556=sel_Region),OR(sel_Country="All",D2556=sel_Country),OR(sel_Channel="All",E2556=sel_Channel),OR(sel_Customer="All",F2556=sel_Customer),OR(sel_Category="All",G2556=sel_Category),AND(S2556&gt;=m_From,S2556&lt;=m_To)),1,0)</f>
        <v/>
      </c>
      <c r="AA2556" s="36">
        <f>IF(AND(OR(sel_Region="All",C2556=sel_Region),OR(sel_Country="All",D2556=sel_Country),OR(sel_Channel="All",E2556=sel_Channel),OR(sel_Customer="All",F2556=sel_Customer),OR(sel_Category="All",G2556=sel_Category),OR(sel_Product="All",H2556=sel_Product)),1,0)</f>
        <v/>
      </c>
    </row>
    <row r="2557">
      <c r="A2557" s="36" t="inlineStr">
        <is>
          <t>04366</t>
        </is>
      </c>
      <c r="B2557" s="44" t="n">
        <v>46364</v>
      </c>
      <c r="C2557" s="36" t="inlineStr">
        <is>
          <t>Central Europe</t>
        </is>
      </c>
      <c r="D2557" s="36" t="inlineStr">
        <is>
          <t>Germany</t>
        </is>
      </c>
      <c r="E2557" s="36" t="inlineStr">
        <is>
          <t>Retail Partners</t>
        </is>
      </c>
      <c r="F2557" s="36" t="inlineStr">
        <is>
          <t>New</t>
        </is>
      </c>
      <c r="G2557" s="36" t="inlineStr">
        <is>
          <t>Hiking</t>
        </is>
      </c>
      <c r="H2557" s="36" t="inlineStr">
        <is>
          <t>Summit Backpack 45L</t>
        </is>
      </c>
      <c r="I2557" s="36" t="n">
        <v>1</v>
      </c>
      <c r="J2557" s="39" t="n">
        <v>151.97</v>
      </c>
      <c r="K2557" s="45" t="n">
        <v>0.05</v>
      </c>
      <c r="L2557" s="39" t="n">
        <v>80.23999999999999</v>
      </c>
      <c r="M2557" s="39">
        <f>I2557*J2557*(1-K2557)</f>
        <v/>
      </c>
      <c r="N2557" s="39">
        <f>I2557*L2557</f>
        <v/>
      </c>
      <c r="O2557" s="39">
        <f>M2557-N2557</f>
        <v/>
      </c>
      <c r="P2557" s="38">
        <f>IF(M2557=0,0,O2557/M2557)</f>
        <v/>
      </c>
      <c r="Q2557" s="36">
        <f>YEAR(B2557)</f>
        <v/>
      </c>
      <c r="R2557" s="36">
        <f>"Q"&amp;ROUNDUP(MONTH(B2557)/3,0)</f>
        <v/>
      </c>
      <c r="S2557" s="36">
        <f>MONTH(B2557)</f>
        <v/>
      </c>
      <c r="T2557" s="36">
        <f>TEXT(B2557,"mmm")</f>
        <v/>
      </c>
      <c r="U2557" s="36">
        <f>IF(AND(OR(sel_Region="All",C2557=sel_Region),OR(sel_Country="All",D2557=sel_Country),OR(sel_Channel="All",E2557=sel_Channel),OR(sel_Customer="All",F2557=sel_Customer),OR(sel_Category="All",G2557=sel_Category),OR(sel_Product="All",H2557=sel_Product),AND(S2557&gt;=m_From,S2557&lt;=m_To)),1,0)</f>
        <v/>
      </c>
      <c r="V2557" s="36">
        <f>IF(AND(OR(sel_Region="All",C2557=sel_Region),OR(sel_Channel="All",E2557=sel_Channel),OR(sel_Customer="All",F2557=sel_Customer),OR(sel_Category="All",G2557=sel_Category),OR(sel_Product="All",H2557=sel_Product),AND(S2557&gt;=m_From,S2557&lt;=m_To)),1,0)</f>
        <v/>
      </c>
      <c r="W2557" s="36">
        <f>IF(AND(OR(sel_Region="All",C2557=sel_Region),OR(sel_Country="All",D2557=sel_Country),OR(sel_Customer="All",F2557=sel_Customer),OR(sel_Category="All",G2557=sel_Category),OR(sel_Product="All",H2557=sel_Product),AND(S2557&gt;=m_From,S2557&lt;=m_To)),1,0)</f>
        <v/>
      </c>
      <c r="X2557" s="36">
        <f>IF(AND(OR(sel_Region="All",C2557=sel_Region),OR(sel_Country="All",D2557=sel_Country),OR(sel_Channel="All",E2557=sel_Channel),OR(sel_Category="All",G2557=sel_Category),OR(sel_Product="All",H2557=sel_Product),AND(S2557&gt;=m_From,S2557&lt;=m_To)),1,0)</f>
        <v/>
      </c>
      <c r="Y2557" s="36">
        <f>IF(AND(OR(sel_Region="All",C2557=sel_Region),OR(sel_Country="All",D2557=sel_Country),OR(sel_Channel="All",E2557=sel_Channel),OR(sel_Customer="All",F2557=sel_Customer),OR(sel_Product="All",H2557=sel_Product),AND(S2557&gt;=m_From,S2557&lt;=m_To)),1,0)</f>
        <v/>
      </c>
      <c r="Z2557" s="36">
        <f>IF(AND(OR(sel_Region="All",C2557=sel_Region),OR(sel_Country="All",D2557=sel_Country),OR(sel_Channel="All",E2557=sel_Channel),OR(sel_Customer="All",F2557=sel_Customer),OR(sel_Category="All",G2557=sel_Category),AND(S2557&gt;=m_From,S2557&lt;=m_To)),1,0)</f>
        <v/>
      </c>
      <c r="AA2557" s="36">
        <f>IF(AND(OR(sel_Region="All",C2557=sel_Region),OR(sel_Country="All",D2557=sel_Country),OR(sel_Channel="All",E2557=sel_Channel),OR(sel_Customer="All",F2557=sel_Customer),OR(sel_Category="All",G2557=sel_Category),OR(sel_Product="All",H2557=sel_Product)),1,0)</f>
        <v/>
      </c>
    </row>
    <row r="2558">
      <c r="A2558" s="36" t="inlineStr">
        <is>
          <t>04880</t>
        </is>
      </c>
      <c r="B2558" s="44" t="n">
        <v>46364</v>
      </c>
      <c r="C2558" s="36" t="inlineStr">
        <is>
          <t>Western Europe</t>
        </is>
      </c>
      <c r="D2558" s="36" t="inlineStr">
        <is>
          <t>France</t>
        </is>
      </c>
      <c r="E2558" s="36" t="inlineStr">
        <is>
          <t>Retail Partners</t>
        </is>
      </c>
      <c r="F2558" s="36" t="inlineStr">
        <is>
          <t>New</t>
        </is>
      </c>
      <c r="G2558" s="36" t="inlineStr">
        <is>
          <t>Cycling</t>
        </is>
      </c>
      <c r="H2558" s="36" t="inlineStr">
        <is>
          <t>Compact Repair Kit</t>
        </is>
      </c>
      <c r="I2558" s="36" t="n">
        <v>1</v>
      </c>
      <c r="J2558" s="39" t="n">
        <v>41.07</v>
      </c>
      <c r="K2558" s="45" t="n">
        <v>0</v>
      </c>
      <c r="L2558" s="39" t="n">
        <v>16.6</v>
      </c>
      <c r="M2558" s="39">
        <f>I2558*J2558*(1-K2558)</f>
        <v/>
      </c>
      <c r="N2558" s="39">
        <f>I2558*L2558</f>
        <v/>
      </c>
      <c r="O2558" s="39">
        <f>M2558-N2558</f>
        <v/>
      </c>
      <c r="P2558" s="38">
        <f>IF(M2558=0,0,O2558/M2558)</f>
        <v/>
      </c>
      <c r="Q2558" s="36">
        <f>YEAR(B2558)</f>
        <v/>
      </c>
      <c r="R2558" s="36">
        <f>"Q"&amp;ROUNDUP(MONTH(B2558)/3,0)</f>
        <v/>
      </c>
      <c r="S2558" s="36">
        <f>MONTH(B2558)</f>
        <v/>
      </c>
      <c r="T2558" s="36">
        <f>TEXT(B2558,"mmm")</f>
        <v/>
      </c>
      <c r="U2558" s="36">
        <f>IF(AND(OR(sel_Region="All",C2558=sel_Region),OR(sel_Country="All",D2558=sel_Country),OR(sel_Channel="All",E2558=sel_Channel),OR(sel_Customer="All",F2558=sel_Customer),OR(sel_Category="All",G2558=sel_Category),OR(sel_Product="All",H2558=sel_Product),AND(S2558&gt;=m_From,S2558&lt;=m_To)),1,0)</f>
        <v/>
      </c>
      <c r="V2558" s="36">
        <f>IF(AND(OR(sel_Region="All",C2558=sel_Region),OR(sel_Channel="All",E2558=sel_Channel),OR(sel_Customer="All",F2558=sel_Customer),OR(sel_Category="All",G2558=sel_Category),OR(sel_Product="All",H2558=sel_Product),AND(S2558&gt;=m_From,S2558&lt;=m_To)),1,0)</f>
        <v/>
      </c>
      <c r="W2558" s="36">
        <f>IF(AND(OR(sel_Region="All",C2558=sel_Region),OR(sel_Country="All",D2558=sel_Country),OR(sel_Customer="All",F2558=sel_Customer),OR(sel_Category="All",G2558=sel_Category),OR(sel_Product="All",H2558=sel_Product),AND(S2558&gt;=m_From,S2558&lt;=m_To)),1,0)</f>
        <v/>
      </c>
      <c r="X2558" s="36">
        <f>IF(AND(OR(sel_Region="All",C2558=sel_Region),OR(sel_Country="All",D2558=sel_Country),OR(sel_Channel="All",E2558=sel_Channel),OR(sel_Category="All",G2558=sel_Category),OR(sel_Product="All",H2558=sel_Product),AND(S2558&gt;=m_From,S2558&lt;=m_To)),1,0)</f>
        <v/>
      </c>
      <c r="Y2558" s="36">
        <f>IF(AND(OR(sel_Region="All",C2558=sel_Region),OR(sel_Country="All",D2558=sel_Country),OR(sel_Channel="All",E2558=sel_Channel),OR(sel_Customer="All",F2558=sel_Customer),OR(sel_Product="All",H2558=sel_Product),AND(S2558&gt;=m_From,S2558&lt;=m_To)),1,0)</f>
        <v/>
      </c>
      <c r="Z2558" s="36">
        <f>IF(AND(OR(sel_Region="All",C2558=sel_Region),OR(sel_Country="All",D2558=sel_Country),OR(sel_Channel="All",E2558=sel_Channel),OR(sel_Customer="All",F2558=sel_Customer),OR(sel_Category="All",G2558=sel_Category),AND(S2558&gt;=m_From,S2558&lt;=m_To)),1,0)</f>
        <v/>
      </c>
      <c r="AA2558" s="36">
        <f>IF(AND(OR(sel_Region="All",C2558=sel_Region),OR(sel_Country="All",D2558=sel_Country),OR(sel_Channel="All",E2558=sel_Channel),OR(sel_Customer="All",F2558=sel_Customer),OR(sel_Category="All",G2558=sel_Category),OR(sel_Product="All",H2558=sel_Product)),1,0)</f>
        <v/>
      </c>
    </row>
    <row r="2559">
      <c r="A2559" s="36" t="inlineStr">
        <is>
          <t>05127</t>
        </is>
      </c>
      <c r="B2559" s="44" t="n">
        <v>46364</v>
      </c>
      <c r="C2559" s="36" t="inlineStr">
        <is>
          <t>Central Europe</t>
        </is>
      </c>
      <c r="D2559" s="36" t="inlineStr">
        <is>
          <t>Switzerland</t>
        </is>
      </c>
      <c r="E2559" s="36" t="inlineStr">
        <is>
          <t>Marketplace</t>
        </is>
      </c>
      <c r="F2559" s="36" t="inlineStr">
        <is>
          <t>Returning</t>
        </is>
      </c>
      <c r="G2559" s="36" t="inlineStr">
        <is>
          <t>Camping</t>
        </is>
      </c>
      <c r="H2559" s="36" t="inlineStr">
        <is>
          <t>Compact Sleeping Bag</t>
        </is>
      </c>
      <c r="I2559" s="36" t="n">
        <v>1</v>
      </c>
      <c r="J2559" s="39" t="n">
        <v>122.65</v>
      </c>
      <c r="K2559" s="45" t="n">
        <v>0</v>
      </c>
      <c r="L2559" s="39" t="n">
        <v>58.9</v>
      </c>
      <c r="M2559" s="39">
        <f>I2559*J2559*(1-K2559)</f>
        <v/>
      </c>
      <c r="N2559" s="39">
        <f>I2559*L2559</f>
        <v/>
      </c>
      <c r="O2559" s="39">
        <f>M2559-N2559</f>
        <v/>
      </c>
      <c r="P2559" s="38">
        <f>IF(M2559=0,0,O2559/M2559)</f>
        <v/>
      </c>
      <c r="Q2559" s="36">
        <f>YEAR(B2559)</f>
        <v/>
      </c>
      <c r="R2559" s="36">
        <f>"Q"&amp;ROUNDUP(MONTH(B2559)/3,0)</f>
        <v/>
      </c>
      <c r="S2559" s="36">
        <f>MONTH(B2559)</f>
        <v/>
      </c>
      <c r="T2559" s="36">
        <f>TEXT(B2559,"mmm")</f>
        <v/>
      </c>
      <c r="U2559" s="36">
        <f>IF(AND(OR(sel_Region="All",C2559=sel_Region),OR(sel_Country="All",D2559=sel_Country),OR(sel_Channel="All",E2559=sel_Channel),OR(sel_Customer="All",F2559=sel_Customer),OR(sel_Category="All",G2559=sel_Category),OR(sel_Product="All",H2559=sel_Product),AND(S2559&gt;=m_From,S2559&lt;=m_To)),1,0)</f>
        <v/>
      </c>
      <c r="V2559" s="36">
        <f>IF(AND(OR(sel_Region="All",C2559=sel_Region),OR(sel_Channel="All",E2559=sel_Channel),OR(sel_Customer="All",F2559=sel_Customer),OR(sel_Category="All",G2559=sel_Category),OR(sel_Product="All",H2559=sel_Product),AND(S2559&gt;=m_From,S2559&lt;=m_To)),1,0)</f>
        <v/>
      </c>
      <c r="W2559" s="36">
        <f>IF(AND(OR(sel_Region="All",C2559=sel_Region),OR(sel_Country="All",D2559=sel_Country),OR(sel_Customer="All",F2559=sel_Customer),OR(sel_Category="All",G2559=sel_Category),OR(sel_Product="All",H2559=sel_Product),AND(S2559&gt;=m_From,S2559&lt;=m_To)),1,0)</f>
        <v/>
      </c>
      <c r="X2559" s="36">
        <f>IF(AND(OR(sel_Region="All",C2559=sel_Region),OR(sel_Country="All",D2559=sel_Country),OR(sel_Channel="All",E2559=sel_Channel),OR(sel_Category="All",G2559=sel_Category),OR(sel_Product="All",H2559=sel_Product),AND(S2559&gt;=m_From,S2559&lt;=m_To)),1,0)</f>
        <v/>
      </c>
      <c r="Y2559" s="36">
        <f>IF(AND(OR(sel_Region="All",C2559=sel_Region),OR(sel_Country="All",D2559=sel_Country),OR(sel_Channel="All",E2559=sel_Channel),OR(sel_Customer="All",F2559=sel_Customer),OR(sel_Product="All",H2559=sel_Product),AND(S2559&gt;=m_From,S2559&lt;=m_To)),1,0)</f>
        <v/>
      </c>
      <c r="Z2559" s="36">
        <f>IF(AND(OR(sel_Region="All",C2559=sel_Region),OR(sel_Country="All",D2559=sel_Country),OR(sel_Channel="All",E2559=sel_Channel),OR(sel_Customer="All",F2559=sel_Customer),OR(sel_Category="All",G2559=sel_Category),AND(S2559&gt;=m_From,S2559&lt;=m_To)),1,0)</f>
        <v/>
      </c>
      <c r="AA2559" s="36">
        <f>IF(AND(OR(sel_Region="All",C2559=sel_Region),OR(sel_Country="All",D2559=sel_Country),OR(sel_Channel="All",E2559=sel_Channel),OR(sel_Customer="All",F2559=sel_Customer),OR(sel_Category="All",G2559=sel_Category),OR(sel_Product="All",H2559=sel_Product)),1,0)</f>
        <v/>
      </c>
    </row>
    <row r="2560">
      <c r="A2560" s="36" t="inlineStr">
        <is>
          <t>00013</t>
        </is>
      </c>
      <c r="B2560" s="44" t="n">
        <v>46365</v>
      </c>
      <c r="C2560" s="36" t="inlineStr">
        <is>
          <t>Central Europe</t>
        </is>
      </c>
      <c r="D2560" s="36" t="inlineStr">
        <is>
          <t>Austria</t>
        </is>
      </c>
      <c r="E2560" s="36" t="inlineStr">
        <is>
          <t>Online Store</t>
        </is>
      </c>
      <c r="F2560" s="36" t="inlineStr">
        <is>
          <t>Returning</t>
        </is>
      </c>
      <c r="G2560" s="36" t="inlineStr">
        <is>
          <t>Hiking</t>
        </is>
      </c>
      <c r="H2560" s="36" t="inlineStr">
        <is>
          <t>Trail Boots</t>
        </is>
      </c>
      <c r="I2560" s="36" t="n">
        <v>6</v>
      </c>
      <c r="J2560" s="39" t="n">
        <v>143.16</v>
      </c>
      <c r="K2560" s="45" t="n">
        <v>0.15</v>
      </c>
      <c r="L2560" s="39" t="n">
        <v>80.34999999999999</v>
      </c>
      <c r="M2560" s="39">
        <f>I2560*J2560*(1-K2560)</f>
        <v/>
      </c>
      <c r="N2560" s="39">
        <f>I2560*L2560</f>
        <v/>
      </c>
      <c r="O2560" s="39">
        <f>M2560-N2560</f>
        <v/>
      </c>
      <c r="P2560" s="38">
        <f>IF(M2560=0,0,O2560/M2560)</f>
        <v/>
      </c>
      <c r="Q2560" s="36">
        <f>YEAR(B2560)</f>
        <v/>
      </c>
      <c r="R2560" s="36">
        <f>"Q"&amp;ROUNDUP(MONTH(B2560)/3,0)</f>
        <v/>
      </c>
      <c r="S2560" s="36">
        <f>MONTH(B2560)</f>
        <v/>
      </c>
      <c r="T2560" s="36">
        <f>TEXT(B2560,"mmm")</f>
        <v/>
      </c>
      <c r="U2560" s="36">
        <f>IF(AND(OR(sel_Region="All",C2560=sel_Region),OR(sel_Country="All",D2560=sel_Country),OR(sel_Channel="All",E2560=sel_Channel),OR(sel_Customer="All",F2560=sel_Customer),OR(sel_Category="All",G2560=sel_Category),OR(sel_Product="All",H2560=sel_Product),AND(S2560&gt;=m_From,S2560&lt;=m_To)),1,0)</f>
        <v/>
      </c>
      <c r="V2560" s="36">
        <f>IF(AND(OR(sel_Region="All",C2560=sel_Region),OR(sel_Channel="All",E2560=sel_Channel),OR(sel_Customer="All",F2560=sel_Customer),OR(sel_Category="All",G2560=sel_Category),OR(sel_Product="All",H2560=sel_Product),AND(S2560&gt;=m_From,S2560&lt;=m_To)),1,0)</f>
        <v/>
      </c>
      <c r="W2560" s="36">
        <f>IF(AND(OR(sel_Region="All",C2560=sel_Region),OR(sel_Country="All",D2560=sel_Country),OR(sel_Customer="All",F2560=sel_Customer),OR(sel_Category="All",G2560=sel_Category),OR(sel_Product="All",H2560=sel_Product),AND(S2560&gt;=m_From,S2560&lt;=m_To)),1,0)</f>
        <v/>
      </c>
      <c r="X2560" s="36">
        <f>IF(AND(OR(sel_Region="All",C2560=sel_Region),OR(sel_Country="All",D2560=sel_Country),OR(sel_Channel="All",E2560=sel_Channel),OR(sel_Category="All",G2560=sel_Category),OR(sel_Product="All",H2560=sel_Product),AND(S2560&gt;=m_From,S2560&lt;=m_To)),1,0)</f>
        <v/>
      </c>
      <c r="Y2560" s="36">
        <f>IF(AND(OR(sel_Region="All",C2560=sel_Region),OR(sel_Country="All",D2560=sel_Country),OR(sel_Channel="All",E2560=sel_Channel),OR(sel_Customer="All",F2560=sel_Customer),OR(sel_Product="All",H2560=sel_Product),AND(S2560&gt;=m_From,S2560&lt;=m_To)),1,0)</f>
        <v/>
      </c>
      <c r="Z2560" s="36">
        <f>IF(AND(OR(sel_Region="All",C2560=sel_Region),OR(sel_Country="All",D2560=sel_Country),OR(sel_Channel="All",E2560=sel_Channel),OR(sel_Customer="All",F2560=sel_Customer),OR(sel_Category="All",G2560=sel_Category),AND(S2560&gt;=m_From,S2560&lt;=m_To)),1,0)</f>
        <v/>
      </c>
      <c r="AA2560" s="36">
        <f>IF(AND(OR(sel_Region="All",C2560=sel_Region),OR(sel_Country="All",D2560=sel_Country),OR(sel_Channel="All",E2560=sel_Channel),OR(sel_Customer="All",F2560=sel_Customer),OR(sel_Category="All",G2560=sel_Category),OR(sel_Product="All",H2560=sel_Product)),1,0)</f>
        <v/>
      </c>
    </row>
    <row r="2561">
      <c r="A2561" s="36" t="inlineStr">
        <is>
          <t>00102</t>
        </is>
      </c>
      <c r="B2561" s="44" t="n">
        <v>46365</v>
      </c>
      <c r="C2561" s="36" t="inlineStr">
        <is>
          <t>Northern Europe</t>
        </is>
      </c>
      <c r="D2561" s="36" t="inlineStr">
        <is>
          <t>Denmark</t>
        </is>
      </c>
      <c r="E2561" s="36" t="inlineStr">
        <is>
          <t>Retail Partners</t>
        </is>
      </c>
      <c r="F2561" s="36" t="inlineStr">
        <is>
          <t>New</t>
        </is>
      </c>
      <c r="G2561" s="36" t="inlineStr">
        <is>
          <t>Hiking</t>
        </is>
      </c>
      <c r="H2561" s="36" t="inlineStr">
        <is>
          <t>Trail Boots</t>
        </is>
      </c>
      <c r="I2561" s="36" t="n">
        <v>3</v>
      </c>
      <c r="J2561" s="39" t="n">
        <v>142.75</v>
      </c>
      <c r="K2561" s="45" t="n">
        <v>0.1</v>
      </c>
      <c r="L2561" s="39" t="n">
        <v>81.73999999999999</v>
      </c>
      <c r="M2561" s="39">
        <f>I2561*J2561*(1-K2561)</f>
        <v/>
      </c>
      <c r="N2561" s="39">
        <f>I2561*L2561</f>
        <v/>
      </c>
      <c r="O2561" s="39">
        <f>M2561-N2561</f>
        <v/>
      </c>
      <c r="P2561" s="38">
        <f>IF(M2561=0,0,O2561/M2561)</f>
        <v/>
      </c>
      <c r="Q2561" s="36">
        <f>YEAR(B2561)</f>
        <v/>
      </c>
      <c r="R2561" s="36">
        <f>"Q"&amp;ROUNDUP(MONTH(B2561)/3,0)</f>
        <v/>
      </c>
      <c r="S2561" s="36">
        <f>MONTH(B2561)</f>
        <v/>
      </c>
      <c r="T2561" s="36">
        <f>TEXT(B2561,"mmm")</f>
        <v/>
      </c>
      <c r="U2561" s="36">
        <f>IF(AND(OR(sel_Region="All",C2561=sel_Region),OR(sel_Country="All",D2561=sel_Country),OR(sel_Channel="All",E2561=sel_Channel),OR(sel_Customer="All",F2561=sel_Customer),OR(sel_Category="All",G2561=sel_Category),OR(sel_Product="All",H2561=sel_Product),AND(S2561&gt;=m_From,S2561&lt;=m_To)),1,0)</f>
        <v/>
      </c>
      <c r="V2561" s="36">
        <f>IF(AND(OR(sel_Region="All",C2561=sel_Region),OR(sel_Channel="All",E2561=sel_Channel),OR(sel_Customer="All",F2561=sel_Customer),OR(sel_Category="All",G2561=sel_Category),OR(sel_Product="All",H2561=sel_Product),AND(S2561&gt;=m_From,S2561&lt;=m_To)),1,0)</f>
        <v/>
      </c>
      <c r="W2561" s="36">
        <f>IF(AND(OR(sel_Region="All",C2561=sel_Region),OR(sel_Country="All",D2561=sel_Country),OR(sel_Customer="All",F2561=sel_Customer),OR(sel_Category="All",G2561=sel_Category),OR(sel_Product="All",H2561=sel_Product),AND(S2561&gt;=m_From,S2561&lt;=m_To)),1,0)</f>
        <v/>
      </c>
      <c r="X2561" s="36">
        <f>IF(AND(OR(sel_Region="All",C2561=sel_Region),OR(sel_Country="All",D2561=sel_Country),OR(sel_Channel="All",E2561=sel_Channel),OR(sel_Category="All",G2561=sel_Category),OR(sel_Product="All",H2561=sel_Product),AND(S2561&gt;=m_From,S2561&lt;=m_To)),1,0)</f>
        <v/>
      </c>
      <c r="Y2561" s="36">
        <f>IF(AND(OR(sel_Region="All",C2561=sel_Region),OR(sel_Country="All",D2561=sel_Country),OR(sel_Channel="All",E2561=sel_Channel),OR(sel_Customer="All",F2561=sel_Customer),OR(sel_Product="All",H2561=sel_Product),AND(S2561&gt;=m_From,S2561&lt;=m_To)),1,0)</f>
        <v/>
      </c>
      <c r="Z2561" s="36">
        <f>IF(AND(OR(sel_Region="All",C2561=sel_Region),OR(sel_Country="All",D2561=sel_Country),OR(sel_Channel="All",E2561=sel_Channel),OR(sel_Customer="All",F2561=sel_Customer),OR(sel_Category="All",G2561=sel_Category),AND(S2561&gt;=m_From,S2561&lt;=m_To)),1,0)</f>
        <v/>
      </c>
      <c r="AA2561" s="36">
        <f>IF(AND(OR(sel_Region="All",C2561=sel_Region),OR(sel_Country="All",D2561=sel_Country),OR(sel_Channel="All",E2561=sel_Channel),OR(sel_Customer="All",F2561=sel_Customer),OR(sel_Category="All",G2561=sel_Category),OR(sel_Product="All",H2561=sel_Product)),1,0)</f>
        <v/>
      </c>
    </row>
    <row r="2562">
      <c r="A2562" s="36" t="inlineStr">
        <is>
          <t>00519</t>
        </is>
      </c>
      <c r="B2562" s="44" t="n">
        <v>46365</v>
      </c>
      <c r="C2562" s="36" t="inlineStr">
        <is>
          <t>Central Europe</t>
        </is>
      </c>
      <c r="D2562" s="36" t="inlineStr">
        <is>
          <t>Germany</t>
        </is>
      </c>
      <c r="E2562" s="36" t="inlineStr">
        <is>
          <t>Retail Partners</t>
        </is>
      </c>
      <c r="F2562" s="36" t="inlineStr">
        <is>
          <t>Returning</t>
        </is>
      </c>
      <c r="G2562" s="36" t="inlineStr">
        <is>
          <t>Fitness</t>
        </is>
      </c>
      <c r="H2562" s="36" t="inlineStr">
        <is>
          <t>Recovery Roller</t>
        </is>
      </c>
      <c r="I2562" s="36" t="n">
        <v>2</v>
      </c>
      <c r="J2562" s="39" t="n">
        <v>36.03</v>
      </c>
      <c r="K2562" s="45" t="n">
        <v>0.1</v>
      </c>
      <c r="L2562" s="39" t="n">
        <v>13.54</v>
      </c>
      <c r="M2562" s="39">
        <f>I2562*J2562*(1-K2562)</f>
        <v/>
      </c>
      <c r="N2562" s="39">
        <f>I2562*L2562</f>
        <v/>
      </c>
      <c r="O2562" s="39">
        <f>M2562-N2562</f>
        <v/>
      </c>
      <c r="P2562" s="38">
        <f>IF(M2562=0,0,O2562/M2562)</f>
        <v/>
      </c>
      <c r="Q2562" s="36">
        <f>YEAR(B2562)</f>
        <v/>
      </c>
      <c r="R2562" s="36">
        <f>"Q"&amp;ROUNDUP(MONTH(B2562)/3,0)</f>
        <v/>
      </c>
      <c r="S2562" s="36">
        <f>MONTH(B2562)</f>
        <v/>
      </c>
      <c r="T2562" s="36">
        <f>TEXT(B2562,"mmm")</f>
        <v/>
      </c>
      <c r="U2562" s="36">
        <f>IF(AND(OR(sel_Region="All",C2562=sel_Region),OR(sel_Country="All",D2562=sel_Country),OR(sel_Channel="All",E2562=sel_Channel),OR(sel_Customer="All",F2562=sel_Customer),OR(sel_Category="All",G2562=sel_Category),OR(sel_Product="All",H2562=sel_Product),AND(S2562&gt;=m_From,S2562&lt;=m_To)),1,0)</f>
        <v/>
      </c>
      <c r="V2562" s="36">
        <f>IF(AND(OR(sel_Region="All",C2562=sel_Region),OR(sel_Channel="All",E2562=sel_Channel),OR(sel_Customer="All",F2562=sel_Customer),OR(sel_Category="All",G2562=sel_Category),OR(sel_Product="All",H2562=sel_Product),AND(S2562&gt;=m_From,S2562&lt;=m_To)),1,0)</f>
        <v/>
      </c>
      <c r="W2562" s="36">
        <f>IF(AND(OR(sel_Region="All",C2562=sel_Region),OR(sel_Country="All",D2562=sel_Country),OR(sel_Customer="All",F2562=sel_Customer),OR(sel_Category="All",G2562=sel_Category),OR(sel_Product="All",H2562=sel_Product),AND(S2562&gt;=m_From,S2562&lt;=m_To)),1,0)</f>
        <v/>
      </c>
      <c r="X2562" s="36">
        <f>IF(AND(OR(sel_Region="All",C2562=sel_Region),OR(sel_Country="All",D2562=sel_Country),OR(sel_Channel="All",E2562=sel_Channel),OR(sel_Category="All",G2562=sel_Category),OR(sel_Product="All",H2562=sel_Product),AND(S2562&gt;=m_From,S2562&lt;=m_To)),1,0)</f>
        <v/>
      </c>
      <c r="Y2562" s="36">
        <f>IF(AND(OR(sel_Region="All",C2562=sel_Region),OR(sel_Country="All",D2562=sel_Country),OR(sel_Channel="All",E2562=sel_Channel),OR(sel_Customer="All",F2562=sel_Customer),OR(sel_Product="All",H2562=sel_Product),AND(S2562&gt;=m_From,S2562&lt;=m_To)),1,0)</f>
        <v/>
      </c>
      <c r="Z2562" s="36">
        <f>IF(AND(OR(sel_Region="All",C2562=sel_Region),OR(sel_Country="All",D2562=sel_Country),OR(sel_Channel="All",E2562=sel_Channel),OR(sel_Customer="All",F2562=sel_Customer),OR(sel_Category="All",G2562=sel_Category),AND(S2562&gt;=m_From,S2562&lt;=m_To)),1,0)</f>
        <v/>
      </c>
      <c r="AA2562" s="36">
        <f>IF(AND(OR(sel_Region="All",C2562=sel_Region),OR(sel_Country="All",D2562=sel_Country),OR(sel_Channel="All",E2562=sel_Channel),OR(sel_Customer="All",F2562=sel_Customer),OR(sel_Category="All",G2562=sel_Category),OR(sel_Product="All",H2562=sel_Product)),1,0)</f>
        <v/>
      </c>
    </row>
    <row r="2563">
      <c r="A2563" s="36" t="inlineStr">
        <is>
          <t>00522</t>
        </is>
      </c>
      <c r="B2563" s="44" t="n">
        <v>46365</v>
      </c>
      <c r="C2563" s="36" t="inlineStr">
        <is>
          <t>Southern Europe</t>
        </is>
      </c>
      <c r="D2563" s="36" t="inlineStr">
        <is>
          <t>Italy</t>
        </is>
      </c>
      <c r="E2563" s="36" t="inlineStr">
        <is>
          <t>Retail Partners</t>
        </is>
      </c>
      <c r="F2563" s="36" t="inlineStr">
        <is>
          <t>Returning</t>
        </is>
      </c>
      <c r="G2563" s="36" t="inlineStr">
        <is>
          <t>Travel</t>
        </is>
      </c>
      <c r="H2563" s="36" t="inlineStr">
        <is>
          <t>Carry-On Duffel</t>
        </is>
      </c>
      <c r="I2563" s="36" t="n">
        <v>2</v>
      </c>
      <c r="J2563" s="39" t="n">
        <v>133.4</v>
      </c>
      <c r="K2563" s="45" t="n">
        <v>0</v>
      </c>
      <c r="L2563" s="39" t="n">
        <v>67.69</v>
      </c>
      <c r="M2563" s="39">
        <f>I2563*J2563*(1-K2563)</f>
        <v/>
      </c>
      <c r="N2563" s="39">
        <f>I2563*L2563</f>
        <v/>
      </c>
      <c r="O2563" s="39">
        <f>M2563-N2563</f>
        <v/>
      </c>
      <c r="P2563" s="38">
        <f>IF(M2563=0,0,O2563/M2563)</f>
        <v/>
      </c>
      <c r="Q2563" s="36">
        <f>YEAR(B2563)</f>
        <v/>
      </c>
      <c r="R2563" s="36">
        <f>"Q"&amp;ROUNDUP(MONTH(B2563)/3,0)</f>
        <v/>
      </c>
      <c r="S2563" s="36">
        <f>MONTH(B2563)</f>
        <v/>
      </c>
      <c r="T2563" s="36">
        <f>TEXT(B2563,"mmm")</f>
        <v/>
      </c>
      <c r="U2563" s="36">
        <f>IF(AND(OR(sel_Region="All",C2563=sel_Region),OR(sel_Country="All",D2563=sel_Country),OR(sel_Channel="All",E2563=sel_Channel),OR(sel_Customer="All",F2563=sel_Customer),OR(sel_Category="All",G2563=sel_Category),OR(sel_Product="All",H2563=sel_Product),AND(S2563&gt;=m_From,S2563&lt;=m_To)),1,0)</f>
        <v/>
      </c>
      <c r="V2563" s="36">
        <f>IF(AND(OR(sel_Region="All",C2563=sel_Region),OR(sel_Channel="All",E2563=sel_Channel),OR(sel_Customer="All",F2563=sel_Customer),OR(sel_Category="All",G2563=sel_Category),OR(sel_Product="All",H2563=sel_Product),AND(S2563&gt;=m_From,S2563&lt;=m_To)),1,0)</f>
        <v/>
      </c>
      <c r="W2563" s="36">
        <f>IF(AND(OR(sel_Region="All",C2563=sel_Region),OR(sel_Country="All",D2563=sel_Country),OR(sel_Customer="All",F2563=sel_Customer),OR(sel_Category="All",G2563=sel_Category),OR(sel_Product="All",H2563=sel_Product),AND(S2563&gt;=m_From,S2563&lt;=m_To)),1,0)</f>
        <v/>
      </c>
      <c r="X2563" s="36">
        <f>IF(AND(OR(sel_Region="All",C2563=sel_Region),OR(sel_Country="All",D2563=sel_Country),OR(sel_Channel="All",E2563=sel_Channel),OR(sel_Category="All",G2563=sel_Category),OR(sel_Product="All",H2563=sel_Product),AND(S2563&gt;=m_From,S2563&lt;=m_To)),1,0)</f>
        <v/>
      </c>
      <c r="Y2563" s="36">
        <f>IF(AND(OR(sel_Region="All",C2563=sel_Region),OR(sel_Country="All",D2563=sel_Country),OR(sel_Channel="All",E2563=sel_Channel),OR(sel_Customer="All",F2563=sel_Customer),OR(sel_Product="All",H2563=sel_Product),AND(S2563&gt;=m_From,S2563&lt;=m_To)),1,0)</f>
        <v/>
      </c>
      <c r="Z2563" s="36">
        <f>IF(AND(OR(sel_Region="All",C2563=sel_Region),OR(sel_Country="All",D2563=sel_Country),OR(sel_Channel="All",E2563=sel_Channel),OR(sel_Customer="All",F2563=sel_Customer),OR(sel_Category="All",G2563=sel_Category),AND(S2563&gt;=m_From,S2563&lt;=m_To)),1,0)</f>
        <v/>
      </c>
      <c r="AA2563" s="36">
        <f>IF(AND(OR(sel_Region="All",C2563=sel_Region),OR(sel_Country="All",D2563=sel_Country),OR(sel_Channel="All",E2563=sel_Channel),OR(sel_Customer="All",F2563=sel_Customer),OR(sel_Category="All",G2563=sel_Category),OR(sel_Product="All",H2563=sel_Product)),1,0)</f>
        <v/>
      </c>
    </row>
    <row r="2564">
      <c r="A2564" s="36" t="inlineStr">
        <is>
          <t>00798</t>
        </is>
      </c>
      <c r="B2564" s="44" t="n">
        <v>46365</v>
      </c>
      <c r="C2564" s="36" t="inlineStr">
        <is>
          <t>Northern Europe</t>
        </is>
      </c>
      <c r="D2564" s="36" t="inlineStr">
        <is>
          <t>Sweden</t>
        </is>
      </c>
      <c r="E2564" s="36" t="inlineStr">
        <is>
          <t>Retail Partners</t>
        </is>
      </c>
      <c r="F2564" s="36" t="inlineStr">
        <is>
          <t>Returning</t>
        </is>
      </c>
      <c r="G2564" s="36" t="inlineStr">
        <is>
          <t>Camping</t>
        </is>
      </c>
      <c r="H2564" s="36" t="inlineStr">
        <is>
          <t>Trail Tent 2P</t>
        </is>
      </c>
      <c r="I2564" s="36" t="n">
        <v>3</v>
      </c>
      <c r="J2564" s="39" t="n">
        <v>199.31</v>
      </c>
      <c r="K2564" s="45" t="n">
        <v>0.05</v>
      </c>
      <c r="L2564" s="39" t="n">
        <v>101.19</v>
      </c>
      <c r="M2564" s="39">
        <f>I2564*J2564*(1-K2564)</f>
        <v/>
      </c>
      <c r="N2564" s="39">
        <f>I2564*L2564</f>
        <v/>
      </c>
      <c r="O2564" s="39">
        <f>M2564-N2564</f>
        <v/>
      </c>
      <c r="P2564" s="38">
        <f>IF(M2564=0,0,O2564/M2564)</f>
        <v/>
      </c>
      <c r="Q2564" s="36">
        <f>YEAR(B2564)</f>
        <v/>
      </c>
      <c r="R2564" s="36">
        <f>"Q"&amp;ROUNDUP(MONTH(B2564)/3,0)</f>
        <v/>
      </c>
      <c r="S2564" s="36">
        <f>MONTH(B2564)</f>
        <v/>
      </c>
      <c r="T2564" s="36">
        <f>TEXT(B2564,"mmm")</f>
        <v/>
      </c>
      <c r="U2564" s="36">
        <f>IF(AND(OR(sel_Region="All",C2564=sel_Region),OR(sel_Country="All",D2564=sel_Country),OR(sel_Channel="All",E2564=sel_Channel),OR(sel_Customer="All",F2564=sel_Customer),OR(sel_Category="All",G2564=sel_Category),OR(sel_Product="All",H2564=sel_Product),AND(S2564&gt;=m_From,S2564&lt;=m_To)),1,0)</f>
        <v/>
      </c>
      <c r="V2564" s="36">
        <f>IF(AND(OR(sel_Region="All",C2564=sel_Region),OR(sel_Channel="All",E2564=sel_Channel),OR(sel_Customer="All",F2564=sel_Customer),OR(sel_Category="All",G2564=sel_Category),OR(sel_Product="All",H2564=sel_Product),AND(S2564&gt;=m_From,S2564&lt;=m_To)),1,0)</f>
        <v/>
      </c>
      <c r="W2564" s="36">
        <f>IF(AND(OR(sel_Region="All",C2564=sel_Region),OR(sel_Country="All",D2564=sel_Country),OR(sel_Customer="All",F2564=sel_Customer),OR(sel_Category="All",G2564=sel_Category),OR(sel_Product="All",H2564=sel_Product),AND(S2564&gt;=m_From,S2564&lt;=m_To)),1,0)</f>
        <v/>
      </c>
      <c r="X2564" s="36">
        <f>IF(AND(OR(sel_Region="All",C2564=sel_Region),OR(sel_Country="All",D2564=sel_Country),OR(sel_Channel="All",E2564=sel_Channel),OR(sel_Category="All",G2564=sel_Category),OR(sel_Product="All",H2564=sel_Product),AND(S2564&gt;=m_From,S2564&lt;=m_To)),1,0)</f>
        <v/>
      </c>
      <c r="Y2564" s="36">
        <f>IF(AND(OR(sel_Region="All",C2564=sel_Region),OR(sel_Country="All",D2564=sel_Country),OR(sel_Channel="All",E2564=sel_Channel),OR(sel_Customer="All",F2564=sel_Customer),OR(sel_Product="All",H2564=sel_Product),AND(S2564&gt;=m_From,S2564&lt;=m_To)),1,0)</f>
        <v/>
      </c>
      <c r="Z2564" s="36">
        <f>IF(AND(OR(sel_Region="All",C2564=sel_Region),OR(sel_Country="All",D2564=sel_Country),OR(sel_Channel="All",E2564=sel_Channel),OR(sel_Customer="All",F2564=sel_Customer),OR(sel_Category="All",G2564=sel_Category),AND(S2564&gt;=m_From,S2564&lt;=m_To)),1,0)</f>
        <v/>
      </c>
      <c r="AA2564" s="36">
        <f>IF(AND(OR(sel_Region="All",C2564=sel_Region),OR(sel_Country="All",D2564=sel_Country),OR(sel_Channel="All",E2564=sel_Channel),OR(sel_Customer="All",F2564=sel_Customer),OR(sel_Category="All",G2564=sel_Category),OR(sel_Product="All",H2564=sel_Product)),1,0)</f>
        <v/>
      </c>
    </row>
    <row r="2565">
      <c r="A2565" s="36" t="inlineStr">
        <is>
          <t>01746</t>
        </is>
      </c>
      <c r="B2565" s="44" t="n">
        <v>46365</v>
      </c>
      <c r="C2565" s="36" t="inlineStr">
        <is>
          <t>Central Europe</t>
        </is>
      </c>
      <c r="D2565" s="36" t="inlineStr">
        <is>
          <t>Switzerland</t>
        </is>
      </c>
      <c r="E2565" s="36" t="inlineStr">
        <is>
          <t>Online Store</t>
        </is>
      </c>
      <c r="F2565" s="36" t="inlineStr">
        <is>
          <t>Business</t>
        </is>
      </c>
      <c r="G2565" s="36" t="inlineStr">
        <is>
          <t>Travel</t>
        </is>
      </c>
      <c r="H2565" s="36" t="inlineStr">
        <is>
          <t>Packing Cube Set</t>
        </is>
      </c>
      <c r="I2565" s="36" t="n">
        <v>1</v>
      </c>
      <c r="J2565" s="39" t="n">
        <v>47.44</v>
      </c>
      <c r="K2565" s="45" t="n">
        <v>0.15</v>
      </c>
      <c r="L2565" s="39" t="n">
        <v>17.9</v>
      </c>
      <c r="M2565" s="39">
        <f>I2565*J2565*(1-K2565)</f>
        <v/>
      </c>
      <c r="N2565" s="39">
        <f>I2565*L2565</f>
        <v/>
      </c>
      <c r="O2565" s="39">
        <f>M2565-N2565</f>
        <v/>
      </c>
      <c r="P2565" s="38">
        <f>IF(M2565=0,0,O2565/M2565)</f>
        <v/>
      </c>
      <c r="Q2565" s="36">
        <f>YEAR(B2565)</f>
        <v/>
      </c>
      <c r="R2565" s="36">
        <f>"Q"&amp;ROUNDUP(MONTH(B2565)/3,0)</f>
        <v/>
      </c>
      <c r="S2565" s="36">
        <f>MONTH(B2565)</f>
        <v/>
      </c>
      <c r="T2565" s="36">
        <f>TEXT(B2565,"mmm")</f>
        <v/>
      </c>
      <c r="U2565" s="36">
        <f>IF(AND(OR(sel_Region="All",C2565=sel_Region),OR(sel_Country="All",D2565=sel_Country),OR(sel_Channel="All",E2565=sel_Channel),OR(sel_Customer="All",F2565=sel_Customer),OR(sel_Category="All",G2565=sel_Category),OR(sel_Product="All",H2565=sel_Product),AND(S2565&gt;=m_From,S2565&lt;=m_To)),1,0)</f>
        <v/>
      </c>
      <c r="V2565" s="36">
        <f>IF(AND(OR(sel_Region="All",C2565=sel_Region),OR(sel_Channel="All",E2565=sel_Channel),OR(sel_Customer="All",F2565=sel_Customer),OR(sel_Category="All",G2565=sel_Category),OR(sel_Product="All",H2565=sel_Product),AND(S2565&gt;=m_From,S2565&lt;=m_To)),1,0)</f>
        <v/>
      </c>
      <c r="W2565" s="36">
        <f>IF(AND(OR(sel_Region="All",C2565=sel_Region),OR(sel_Country="All",D2565=sel_Country),OR(sel_Customer="All",F2565=sel_Customer),OR(sel_Category="All",G2565=sel_Category),OR(sel_Product="All",H2565=sel_Product),AND(S2565&gt;=m_From,S2565&lt;=m_To)),1,0)</f>
        <v/>
      </c>
      <c r="X2565" s="36">
        <f>IF(AND(OR(sel_Region="All",C2565=sel_Region),OR(sel_Country="All",D2565=sel_Country),OR(sel_Channel="All",E2565=sel_Channel),OR(sel_Category="All",G2565=sel_Category),OR(sel_Product="All",H2565=sel_Product),AND(S2565&gt;=m_From,S2565&lt;=m_To)),1,0)</f>
        <v/>
      </c>
      <c r="Y2565" s="36">
        <f>IF(AND(OR(sel_Region="All",C2565=sel_Region),OR(sel_Country="All",D2565=sel_Country),OR(sel_Channel="All",E2565=sel_Channel),OR(sel_Customer="All",F2565=sel_Customer),OR(sel_Product="All",H2565=sel_Product),AND(S2565&gt;=m_From,S2565&lt;=m_To)),1,0)</f>
        <v/>
      </c>
      <c r="Z2565" s="36">
        <f>IF(AND(OR(sel_Region="All",C2565=sel_Region),OR(sel_Country="All",D2565=sel_Country),OR(sel_Channel="All",E2565=sel_Channel),OR(sel_Customer="All",F2565=sel_Customer),OR(sel_Category="All",G2565=sel_Category),AND(S2565&gt;=m_From,S2565&lt;=m_To)),1,0)</f>
        <v/>
      </c>
      <c r="AA2565" s="36">
        <f>IF(AND(OR(sel_Region="All",C2565=sel_Region),OR(sel_Country="All",D2565=sel_Country),OR(sel_Channel="All",E2565=sel_Channel),OR(sel_Customer="All",F2565=sel_Customer),OR(sel_Category="All",G2565=sel_Category),OR(sel_Product="All",H2565=sel_Product)),1,0)</f>
        <v/>
      </c>
    </row>
    <row r="2566">
      <c r="A2566" s="36" t="inlineStr">
        <is>
          <t>03412</t>
        </is>
      </c>
      <c r="B2566" s="44" t="n">
        <v>46365</v>
      </c>
      <c r="C2566" s="36" t="inlineStr">
        <is>
          <t>Southern Europe</t>
        </is>
      </c>
      <c r="D2566" s="36" t="inlineStr">
        <is>
          <t>Spain</t>
        </is>
      </c>
      <c r="E2566" s="36" t="inlineStr">
        <is>
          <t>Corporate</t>
        </is>
      </c>
      <c r="F2566" s="36" t="inlineStr">
        <is>
          <t>Business</t>
        </is>
      </c>
      <c r="G2566" s="36" t="inlineStr">
        <is>
          <t>Hiking</t>
        </is>
      </c>
      <c r="H2566" s="36" t="inlineStr">
        <is>
          <t>Trail Boots</t>
        </is>
      </c>
      <c r="I2566" s="36" t="n">
        <v>10</v>
      </c>
      <c r="J2566" s="39" t="n">
        <v>145.3</v>
      </c>
      <c r="K2566" s="45" t="n">
        <v>0.1</v>
      </c>
      <c r="L2566" s="39" t="n">
        <v>79.7</v>
      </c>
      <c r="M2566" s="39">
        <f>I2566*J2566*(1-K2566)</f>
        <v/>
      </c>
      <c r="N2566" s="39">
        <f>I2566*L2566</f>
        <v/>
      </c>
      <c r="O2566" s="39">
        <f>M2566-N2566</f>
        <v/>
      </c>
      <c r="P2566" s="38">
        <f>IF(M2566=0,0,O2566/M2566)</f>
        <v/>
      </c>
      <c r="Q2566" s="36">
        <f>YEAR(B2566)</f>
        <v/>
      </c>
      <c r="R2566" s="36">
        <f>"Q"&amp;ROUNDUP(MONTH(B2566)/3,0)</f>
        <v/>
      </c>
      <c r="S2566" s="36">
        <f>MONTH(B2566)</f>
        <v/>
      </c>
      <c r="T2566" s="36">
        <f>TEXT(B2566,"mmm")</f>
        <v/>
      </c>
      <c r="U2566" s="36">
        <f>IF(AND(OR(sel_Region="All",C2566=sel_Region),OR(sel_Country="All",D2566=sel_Country),OR(sel_Channel="All",E2566=sel_Channel),OR(sel_Customer="All",F2566=sel_Customer),OR(sel_Category="All",G2566=sel_Category),OR(sel_Product="All",H2566=sel_Product),AND(S2566&gt;=m_From,S2566&lt;=m_To)),1,0)</f>
        <v/>
      </c>
      <c r="V2566" s="36">
        <f>IF(AND(OR(sel_Region="All",C2566=sel_Region),OR(sel_Channel="All",E2566=sel_Channel),OR(sel_Customer="All",F2566=sel_Customer),OR(sel_Category="All",G2566=sel_Category),OR(sel_Product="All",H2566=sel_Product),AND(S2566&gt;=m_From,S2566&lt;=m_To)),1,0)</f>
        <v/>
      </c>
      <c r="W2566" s="36">
        <f>IF(AND(OR(sel_Region="All",C2566=sel_Region),OR(sel_Country="All",D2566=sel_Country),OR(sel_Customer="All",F2566=sel_Customer),OR(sel_Category="All",G2566=sel_Category),OR(sel_Product="All",H2566=sel_Product),AND(S2566&gt;=m_From,S2566&lt;=m_To)),1,0)</f>
        <v/>
      </c>
      <c r="X2566" s="36">
        <f>IF(AND(OR(sel_Region="All",C2566=sel_Region),OR(sel_Country="All",D2566=sel_Country),OR(sel_Channel="All",E2566=sel_Channel),OR(sel_Category="All",G2566=sel_Category),OR(sel_Product="All",H2566=sel_Product),AND(S2566&gt;=m_From,S2566&lt;=m_To)),1,0)</f>
        <v/>
      </c>
      <c r="Y2566" s="36">
        <f>IF(AND(OR(sel_Region="All",C2566=sel_Region),OR(sel_Country="All",D2566=sel_Country),OR(sel_Channel="All",E2566=sel_Channel),OR(sel_Customer="All",F2566=sel_Customer),OR(sel_Product="All",H2566=sel_Product),AND(S2566&gt;=m_From,S2566&lt;=m_To)),1,0)</f>
        <v/>
      </c>
      <c r="Z2566" s="36">
        <f>IF(AND(OR(sel_Region="All",C2566=sel_Region),OR(sel_Country="All",D2566=sel_Country),OR(sel_Channel="All",E2566=sel_Channel),OR(sel_Customer="All",F2566=sel_Customer),OR(sel_Category="All",G2566=sel_Category),AND(S2566&gt;=m_From,S2566&lt;=m_To)),1,0)</f>
        <v/>
      </c>
      <c r="AA2566" s="36">
        <f>IF(AND(OR(sel_Region="All",C2566=sel_Region),OR(sel_Country="All",D2566=sel_Country),OR(sel_Channel="All",E2566=sel_Channel),OR(sel_Customer="All",F2566=sel_Customer),OR(sel_Category="All",G2566=sel_Category),OR(sel_Product="All",H2566=sel_Product)),1,0)</f>
        <v/>
      </c>
    </row>
    <row r="2567">
      <c r="A2567" s="36" t="inlineStr">
        <is>
          <t>00175</t>
        </is>
      </c>
      <c r="B2567" s="44" t="n">
        <v>46366</v>
      </c>
      <c r="C2567" s="36" t="inlineStr">
        <is>
          <t>Southern Europe</t>
        </is>
      </c>
      <c r="D2567" s="36" t="inlineStr">
        <is>
          <t>Spain</t>
        </is>
      </c>
      <c r="E2567" s="36" t="inlineStr">
        <is>
          <t>Marketplace</t>
        </is>
      </c>
      <c r="F2567" s="36" t="inlineStr">
        <is>
          <t>New</t>
        </is>
      </c>
      <c r="G2567" s="36" t="inlineStr">
        <is>
          <t>Cycling</t>
        </is>
      </c>
      <c r="H2567" s="36" t="inlineStr">
        <is>
          <t>Commuter Helmet</t>
        </is>
      </c>
      <c r="I2567" s="36" t="n">
        <v>1</v>
      </c>
      <c r="J2567" s="39" t="n">
        <v>81.01000000000001</v>
      </c>
      <c r="K2567" s="45" t="n">
        <v>0.2</v>
      </c>
      <c r="L2567" s="39" t="n">
        <v>41.51</v>
      </c>
      <c r="M2567" s="39">
        <f>I2567*J2567*(1-K2567)</f>
        <v/>
      </c>
      <c r="N2567" s="39">
        <f>I2567*L2567</f>
        <v/>
      </c>
      <c r="O2567" s="39">
        <f>M2567-N2567</f>
        <v/>
      </c>
      <c r="P2567" s="38">
        <f>IF(M2567=0,0,O2567/M2567)</f>
        <v/>
      </c>
      <c r="Q2567" s="36">
        <f>YEAR(B2567)</f>
        <v/>
      </c>
      <c r="R2567" s="36">
        <f>"Q"&amp;ROUNDUP(MONTH(B2567)/3,0)</f>
        <v/>
      </c>
      <c r="S2567" s="36">
        <f>MONTH(B2567)</f>
        <v/>
      </c>
      <c r="T2567" s="36">
        <f>TEXT(B2567,"mmm")</f>
        <v/>
      </c>
      <c r="U2567" s="36">
        <f>IF(AND(OR(sel_Region="All",C2567=sel_Region),OR(sel_Country="All",D2567=sel_Country),OR(sel_Channel="All",E2567=sel_Channel),OR(sel_Customer="All",F2567=sel_Customer),OR(sel_Category="All",G2567=sel_Category),OR(sel_Product="All",H2567=sel_Product),AND(S2567&gt;=m_From,S2567&lt;=m_To)),1,0)</f>
        <v/>
      </c>
      <c r="V2567" s="36">
        <f>IF(AND(OR(sel_Region="All",C2567=sel_Region),OR(sel_Channel="All",E2567=sel_Channel),OR(sel_Customer="All",F2567=sel_Customer),OR(sel_Category="All",G2567=sel_Category),OR(sel_Product="All",H2567=sel_Product),AND(S2567&gt;=m_From,S2567&lt;=m_To)),1,0)</f>
        <v/>
      </c>
      <c r="W2567" s="36">
        <f>IF(AND(OR(sel_Region="All",C2567=sel_Region),OR(sel_Country="All",D2567=sel_Country),OR(sel_Customer="All",F2567=sel_Customer),OR(sel_Category="All",G2567=sel_Category),OR(sel_Product="All",H2567=sel_Product),AND(S2567&gt;=m_From,S2567&lt;=m_To)),1,0)</f>
        <v/>
      </c>
      <c r="X2567" s="36">
        <f>IF(AND(OR(sel_Region="All",C2567=sel_Region),OR(sel_Country="All",D2567=sel_Country),OR(sel_Channel="All",E2567=sel_Channel),OR(sel_Category="All",G2567=sel_Category),OR(sel_Product="All",H2567=sel_Product),AND(S2567&gt;=m_From,S2567&lt;=m_To)),1,0)</f>
        <v/>
      </c>
      <c r="Y2567" s="36">
        <f>IF(AND(OR(sel_Region="All",C2567=sel_Region),OR(sel_Country="All",D2567=sel_Country),OR(sel_Channel="All",E2567=sel_Channel),OR(sel_Customer="All",F2567=sel_Customer),OR(sel_Product="All",H2567=sel_Product),AND(S2567&gt;=m_From,S2567&lt;=m_To)),1,0)</f>
        <v/>
      </c>
      <c r="Z2567" s="36">
        <f>IF(AND(OR(sel_Region="All",C2567=sel_Region),OR(sel_Country="All",D2567=sel_Country),OR(sel_Channel="All",E2567=sel_Channel),OR(sel_Customer="All",F2567=sel_Customer),OR(sel_Category="All",G2567=sel_Category),AND(S2567&gt;=m_From,S2567&lt;=m_To)),1,0)</f>
        <v/>
      </c>
      <c r="AA2567" s="36">
        <f>IF(AND(OR(sel_Region="All",C2567=sel_Region),OR(sel_Country="All",D2567=sel_Country),OR(sel_Channel="All",E2567=sel_Channel),OR(sel_Customer="All",F2567=sel_Customer),OR(sel_Category="All",G2567=sel_Category),OR(sel_Product="All",H2567=sel_Product)),1,0)</f>
        <v/>
      </c>
    </row>
    <row r="2568">
      <c r="A2568" s="36" t="inlineStr">
        <is>
          <t>01014</t>
        </is>
      </c>
      <c r="B2568" s="44" t="n">
        <v>46366</v>
      </c>
      <c r="C2568" s="36" t="inlineStr">
        <is>
          <t>Western Europe</t>
        </is>
      </c>
      <c r="D2568" s="36" t="inlineStr">
        <is>
          <t>Netherlands</t>
        </is>
      </c>
      <c r="E2568" s="36" t="inlineStr">
        <is>
          <t>Marketplace</t>
        </is>
      </c>
      <c r="F2568" s="36" t="inlineStr">
        <is>
          <t>New</t>
        </is>
      </c>
      <c r="G2568" s="36" t="inlineStr">
        <is>
          <t>Travel</t>
        </is>
      </c>
      <c r="H2568" s="36" t="inlineStr">
        <is>
          <t>Insulated Bottle</t>
        </is>
      </c>
      <c r="I2568" s="36" t="n">
        <v>2</v>
      </c>
      <c r="J2568" s="39" t="n">
        <v>35.62</v>
      </c>
      <c r="K2568" s="45" t="n">
        <v>0</v>
      </c>
      <c r="L2568" s="39" t="n">
        <v>13.62</v>
      </c>
      <c r="M2568" s="39">
        <f>I2568*J2568*(1-K2568)</f>
        <v/>
      </c>
      <c r="N2568" s="39">
        <f>I2568*L2568</f>
        <v/>
      </c>
      <c r="O2568" s="39">
        <f>M2568-N2568</f>
        <v/>
      </c>
      <c r="P2568" s="38">
        <f>IF(M2568=0,0,O2568/M2568)</f>
        <v/>
      </c>
      <c r="Q2568" s="36">
        <f>YEAR(B2568)</f>
        <v/>
      </c>
      <c r="R2568" s="36">
        <f>"Q"&amp;ROUNDUP(MONTH(B2568)/3,0)</f>
        <v/>
      </c>
      <c r="S2568" s="36">
        <f>MONTH(B2568)</f>
        <v/>
      </c>
      <c r="T2568" s="36">
        <f>TEXT(B2568,"mmm")</f>
        <v/>
      </c>
      <c r="U2568" s="36">
        <f>IF(AND(OR(sel_Region="All",C2568=sel_Region),OR(sel_Country="All",D2568=sel_Country),OR(sel_Channel="All",E2568=sel_Channel),OR(sel_Customer="All",F2568=sel_Customer),OR(sel_Category="All",G2568=sel_Category),OR(sel_Product="All",H2568=sel_Product),AND(S2568&gt;=m_From,S2568&lt;=m_To)),1,0)</f>
        <v/>
      </c>
      <c r="V2568" s="36">
        <f>IF(AND(OR(sel_Region="All",C2568=sel_Region),OR(sel_Channel="All",E2568=sel_Channel),OR(sel_Customer="All",F2568=sel_Customer),OR(sel_Category="All",G2568=sel_Category),OR(sel_Product="All",H2568=sel_Product),AND(S2568&gt;=m_From,S2568&lt;=m_To)),1,0)</f>
        <v/>
      </c>
      <c r="W2568" s="36">
        <f>IF(AND(OR(sel_Region="All",C2568=sel_Region),OR(sel_Country="All",D2568=sel_Country),OR(sel_Customer="All",F2568=sel_Customer),OR(sel_Category="All",G2568=sel_Category),OR(sel_Product="All",H2568=sel_Product),AND(S2568&gt;=m_From,S2568&lt;=m_To)),1,0)</f>
        <v/>
      </c>
      <c r="X2568" s="36">
        <f>IF(AND(OR(sel_Region="All",C2568=sel_Region),OR(sel_Country="All",D2568=sel_Country),OR(sel_Channel="All",E2568=sel_Channel),OR(sel_Category="All",G2568=sel_Category),OR(sel_Product="All",H2568=sel_Product),AND(S2568&gt;=m_From,S2568&lt;=m_To)),1,0)</f>
        <v/>
      </c>
      <c r="Y2568" s="36">
        <f>IF(AND(OR(sel_Region="All",C2568=sel_Region),OR(sel_Country="All",D2568=sel_Country),OR(sel_Channel="All",E2568=sel_Channel),OR(sel_Customer="All",F2568=sel_Customer),OR(sel_Product="All",H2568=sel_Product),AND(S2568&gt;=m_From,S2568&lt;=m_To)),1,0)</f>
        <v/>
      </c>
      <c r="Z2568" s="36">
        <f>IF(AND(OR(sel_Region="All",C2568=sel_Region),OR(sel_Country="All",D2568=sel_Country),OR(sel_Channel="All",E2568=sel_Channel),OR(sel_Customer="All",F2568=sel_Customer),OR(sel_Category="All",G2568=sel_Category),AND(S2568&gt;=m_From,S2568&lt;=m_To)),1,0)</f>
        <v/>
      </c>
      <c r="AA2568" s="36">
        <f>IF(AND(OR(sel_Region="All",C2568=sel_Region),OR(sel_Country="All",D2568=sel_Country),OR(sel_Channel="All",E2568=sel_Channel),OR(sel_Customer="All",F2568=sel_Customer),OR(sel_Category="All",G2568=sel_Category),OR(sel_Product="All",H2568=sel_Product)),1,0)</f>
        <v/>
      </c>
    </row>
    <row r="2569">
      <c r="A2569" s="36" t="inlineStr">
        <is>
          <t>01763</t>
        </is>
      </c>
      <c r="B2569" s="44" t="n">
        <v>46366</v>
      </c>
      <c r="C2569" s="36" t="inlineStr">
        <is>
          <t>Southern Europe</t>
        </is>
      </c>
      <c r="D2569" s="36" t="inlineStr">
        <is>
          <t>Spain</t>
        </is>
      </c>
      <c r="E2569" s="36" t="inlineStr">
        <is>
          <t>Online Store</t>
        </is>
      </c>
      <c r="F2569" s="36" t="inlineStr">
        <is>
          <t>New</t>
        </is>
      </c>
      <c r="G2569" s="36" t="inlineStr">
        <is>
          <t>Cycling</t>
        </is>
      </c>
      <c r="H2569" s="36" t="inlineStr">
        <is>
          <t>Trail Bike Light</t>
        </is>
      </c>
      <c r="I2569" s="36" t="n">
        <v>2</v>
      </c>
      <c r="J2569" s="39" t="n">
        <v>49.88</v>
      </c>
      <c r="K2569" s="45" t="n">
        <v>0.05</v>
      </c>
      <c r="L2569" s="39" t="n">
        <v>22.31</v>
      </c>
      <c r="M2569" s="39">
        <f>I2569*J2569*(1-K2569)</f>
        <v/>
      </c>
      <c r="N2569" s="39">
        <f>I2569*L2569</f>
        <v/>
      </c>
      <c r="O2569" s="39">
        <f>M2569-N2569</f>
        <v/>
      </c>
      <c r="P2569" s="38">
        <f>IF(M2569=0,0,O2569/M2569)</f>
        <v/>
      </c>
      <c r="Q2569" s="36">
        <f>YEAR(B2569)</f>
        <v/>
      </c>
      <c r="R2569" s="36">
        <f>"Q"&amp;ROUNDUP(MONTH(B2569)/3,0)</f>
        <v/>
      </c>
      <c r="S2569" s="36">
        <f>MONTH(B2569)</f>
        <v/>
      </c>
      <c r="T2569" s="36">
        <f>TEXT(B2569,"mmm")</f>
        <v/>
      </c>
      <c r="U2569" s="36">
        <f>IF(AND(OR(sel_Region="All",C2569=sel_Region),OR(sel_Country="All",D2569=sel_Country),OR(sel_Channel="All",E2569=sel_Channel),OR(sel_Customer="All",F2569=sel_Customer),OR(sel_Category="All",G2569=sel_Category),OR(sel_Product="All",H2569=sel_Product),AND(S2569&gt;=m_From,S2569&lt;=m_To)),1,0)</f>
        <v/>
      </c>
      <c r="V2569" s="36">
        <f>IF(AND(OR(sel_Region="All",C2569=sel_Region),OR(sel_Channel="All",E2569=sel_Channel),OR(sel_Customer="All",F2569=sel_Customer),OR(sel_Category="All",G2569=sel_Category),OR(sel_Product="All",H2569=sel_Product),AND(S2569&gt;=m_From,S2569&lt;=m_To)),1,0)</f>
        <v/>
      </c>
      <c r="W2569" s="36">
        <f>IF(AND(OR(sel_Region="All",C2569=sel_Region),OR(sel_Country="All",D2569=sel_Country),OR(sel_Customer="All",F2569=sel_Customer),OR(sel_Category="All",G2569=sel_Category),OR(sel_Product="All",H2569=sel_Product),AND(S2569&gt;=m_From,S2569&lt;=m_To)),1,0)</f>
        <v/>
      </c>
      <c r="X2569" s="36">
        <f>IF(AND(OR(sel_Region="All",C2569=sel_Region),OR(sel_Country="All",D2569=sel_Country),OR(sel_Channel="All",E2569=sel_Channel),OR(sel_Category="All",G2569=sel_Category),OR(sel_Product="All",H2569=sel_Product),AND(S2569&gt;=m_From,S2569&lt;=m_To)),1,0)</f>
        <v/>
      </c>
      <c r="Y2569" s="36">
        <f>IF(AND(OR(sel_Region="All",C2569=sel_Region),OR(sel_Country="All",D2569=sel_Country),OR(sel_Channel="All",E2569=sel_Channel),OR(sel_Customer="All",F2569=sel_Customer),OR(sel_Product="All",H2569=sel_Product),AND(S2569&gt;=m_From,S2569&lt;=m_To)),1,0)</f>
        <v/>
      </c>
      <c r="Z2569" s="36">
        <f>IF(AND(OR(sel_Region="All",C2569=sel_Region),OR(sel_Country="All",D2569=sel_Country),OR(sel_Channel="All",E2569=sel_Channel),OR(sel_Customer="All",F2569=sel_Customer),OR(sel_Category="All",G2569=sel_Category),AND(S2569&gt;=m_From,S2569&lt;=m_To)),1,0)</f>
        <v/>
      </c>
      <c r="AA2569" s="36">
        <f>IF(AND(OR(sel_Region="All",C2569=sel_Region),OR(sel_Country="All",D2569=sel_Country),OR(sel_Channel="All",E2569=sel_Channel),OR(sel_Customer="All",F2569=sel_Customer),OR(sel_Category="All",G2569=sel_Category),OR(sel_Product="All",H2569=sel_Product)),1,0)</f>
        <v/>
      </c>
    </row>
    <row r="2570">
      <c r="A2570" s="36" t="inlineStr">
        <is>
          <t>01863</t>
        </is>
      </c>
      <c r="B2570" s="44" t="n">
        <v>46366</v>
      </c>
      <c r="C2570" s="36" t="inlineStr">
        <is>
          <t>Western Europe</t>
        </is>
      </c>
      <c r="D2570" s="36" t="inlineStr">
        <is>
          <t>Netherlands</t>
        </is>
      </c>
      <c r="E2570" s="36" t="inlineStr">
        <is>
          <t>Marketplace</t>
        </is>
      </c>
      <c r="F2570" s="36" t="inlineStr">
        <is>
          <t>Returning</t>
        </is>
      </c>
      <c r="G2570" s="36" t="inlineStr">
        <is>
          <t>Cycling</t>
        </is>
      </c>
      <c r="H2570" s="36" t="inlineStr">
        <is>
          <t>Cycling Pack 12L</t>
        </is>
      </c>
      <c r="I2570" s="36" t="n">
        <v>1</v>
      </c>
      <c r="J2570" s="39" t="n">
        <v>101.18</v>
      </c>
      <c r="K2570" s="45" t="n">
        <v>0.05</v>
      </c>
      <c r="L2570" s="39" t="n">
        <v>49.12</v>
      </c>
      <c r="M2570" s="39">
        <f>I2570*J2570*(1-K2570)</f>
        <v/>
      </c>
      <c r="N2570" s="39">
        <f>I2570*L2570</f>
        <v/>
      </c>
      <c r="O2570" s="39">
        <f>M2570-N2570</f>
        <v/>
      </c>
      <c r="P2570" s="38">
        <f>IF(M2570=0,0,O2570/M2570)</f>
        <v/>
      </c>
      <c r="Q2570" s="36">
        <f>YEAR(B2570)</f>
        <v/>
      </c>
      <c r="R2570" s="36">
        <f>"Q"&amp;ROUNDUP(MONTH(B2570)/3,0)</f>
        <v/>
      </c>
      <c r="S2570" s="36">
        <f>MONTH(B2570)</f>
        <v/>
      </c>
      <c r="T2570" s="36">
        <f>TEXT(B2570,"mmm")</f>
        <v/>
      </c>
      <c r="U2570" s="36">
        <f>IF(AND(OR(sel_Region="All",C2570=sel_Region),OR(sel_Country="All",D2570=sel_Country),OR(sel_Channel="All",E2570=sel_Channel),OR(sel_Customer="All",F2570=sel_Customer),OR(sel_Category="All",G2570=sel_Category),OR(sel_Product="All",H2570=sel_Product),AND(S2570&gt;=m_From,S2570&lt;=m_To)),1,0)</f>
        <v/>
      </c>
      <c r="V2570" s="36">
        <f>IF(AND(OR(sel_Region="All",C2570=sel_Region),OR(sel_Channel="All",E2570=sel_Channel),OR(sel_Customer="All",F2570=sel_Customer),OR(sel_Category="All",G2570=sel_Category),OR(sel_Product="All",H2570=sel_Product),AND(S2570&gt;=m_From,S2570&lt;=m_To)),1,0)</f>
        <v/>
      </c>
      <c r="W2570" s="36">
        <f>IF(AND(OR(sel_Region="All",C2570=sel_Region),OR(sel_Country="All",D2570=sel_Country),OR(sel_Customer="All",F2570=sel_Customer),OR(sel_Category="All",G2570=sel_Category),OR(sel_Product="All",H2570=sel_Product),AND(S2570&gt;=m_From,S2570&lt;=m_To)),1,0)</f>
        <v/>
      </c>
      <c r="X2570" s="36">
        <f>IF(AND(OR(sel_Region="All",C2570=sel_Region),OR(sel_Country="All",D2570=sel_Country),OR(sel_Channel="All",E2570=sel_Channel),OR(sel_Category="All",G2570=sel_Category),OR(sel_Product="All",H2570=sel_Product),AND(S2570&gt;=m_From,S2570&lt;=m_To)),1,0)</f>
        <v/>
      </c>
      <c r="Y2570" s="36">
        <f>IF(AND(OR(sel_Region="All",C2570=sel_Region),OR(sel_Country="All",D2570=sel_Country),OR(sel_Channel="All",E2570=sel_Channel),OR(sel_Customer="All",F2570=sel_Customer),OR(sel_Product="All",H2570=sel_Product),AND(S2570&gt;=m_From,S2570&lt;=m_To)),1,0)</f>
        <v/>
      </c>
      <c r="Z2570" s="36">
        <f>IF(AND(OR(sel_Region="All",C2570=sel_Region),OR(sel_Country="All",D2570=sel_Country),OR(sel_Channel="All",E2570=sel_Channel),OR(sel_Customer="All",F2570=sel_Customer),OR(sel_Category="All",G2570=sel_Category),AND(S2570&gt;=m_From,S2570&lt;=m_To)),1,0)</f>
        <v/>
      </c>
      <c r="AA2570" s="36">
        <f>IF(AND(OR(sel_Region="All",C2570=sel_Region),OR(sel_Country="All",D2570=sel_Country),OR(sel_Channel="All",E2570=sel_Channel),OR(sel_Customer="All",F2570=sel_Customer),OR(sel_Category="All",G2570=sel_Category),OR(sel_Product="All",H2570=sel_Product)),1,0)</f>
        <v/>
      </c>
    </row>
    <row r="2571">
      <c r="A2571" s="36" t="inlineStr">
        <is>
          <t>03466</t>
        </is>
      </c>
      <c r="B2571" s="44" t="n">
        <v>46366</v>
      </c>
      <c r="C2571" s="36" t="inlineStr">
        <is>
          <t>Central Europe</t>
        </is>
      </c>
      <c r="D2571" s="36" t="inlineStr">
        <is>
          <t>Germany</t>
        </is>
      </c>
      <c r="E2571" s="36" t="inlineStr">
        <is>
          <t>Retail Partners</t>
        </is>
      </c>
      <c r="F2571" s="36" t="inlineStr">
        <is>
          <t>Business</t>
        </is>
      </c>
      <c r="G2571" s="36" t="inlineStr">
        <is>
          <t>Fitness</t>
        </is>
      </c>
      <c r="H2571" s="36" t="inlineStr">
        <is>
          <t>Recovery Roller</t>
        </is>
      </c>
      <c r="I2571" s="36" t="n">
        <v>2</v>
      </c>
      <c r="J2571" s="39" t="n">
        <v>36.64</v>
      </c>
      <c r="K2571" s="45" t="n">
        <v>0</v>
      </c>
      <c r="L2571" s="39" t="n">
        <v>13.7</v>
      </c>
      <c r="M2571" s="39">
        <f>I2571*J2571*(1-K2571)</f>
        <v/>
      </c>
      <c r="N2571" s="39">
        <f>I2571*L2571</f>
        <v/>
      </c>
      <c r="O2571" s="39">
        <f>M2571-N2571</f>
        <v/>
      </c>
      <c r="P2571" s="38">
        <f>IF(M2571=0,0,O2571/M2571)</f>
        <v/>
      </c>
      <c r="Q2571" s="36">
        <f>YEAR(B2571)</f>
        <v/>
      </c>
      <c r="R2571" s="36">
        <f>"Q"&amp;ROUNDUP(MONTH(B2571)/3,0)</f>
        <v/>
      </c>
      <c r="S2571" s="36">
        <f>MONTH(B2571)</f>
        <v/>
      </c>
      <c r="T2571" s="36">
        <f>TEXT(B2571,"mmm")</f>
        <v/>
      </c>
      <c r="U2571" s="36">
        <f>IF(AND(OR(sel_Region="All",C2571=sel_Region),OR(sel_Country="All",D2571=sel_Country),OR(sel_Channel="All",E2571=sel_Channel),OR(sel_Customer="All",F2571=sel_Customer),OR(sel_Category="All",G2571=sel_Category),OR(sel_Product="All",H2571=sel_Product),AND(S2571&gt;=m_From,S2571&lt;=m_To)),1,0)</f>
        <v/>
      </c>
      <c r="V2571" s="36">
        <f>IF(AND(OR(sel_Region="All",C2571=sel_Region),OR(sel_Channel="All",E2571=sel_Channel),OR(sel_Customer="All",F2571=sel_Customer),OR(sel_Category="All",G2571=sel_Category),OR(sel_Product="All",H2571=sel_Product),AND(S2571&gt;=m_From,S2571&lt;=m_To)),1,0)</f>
        <v/>
      </c>
      <c r="W2571" s="36">
        <f>IF(AND(OR(sel_Region="All",C2571=sel_Region),OR(sel_Country="All",D2571=sel_Country),OR(sel_Customer="All",F2571=sel_Customer),OR(sel_Category="All",G2571=sel_Category),OR(sel_Product="All",H2571=sel_Product),AND(S2571&gt;=m_From,S2571&lt;=m_To)),1,0)</f>
        <v/>
      </c>
      <c r="X2571" s="36">
        <f>IF(AND(OR(sel_Region="All",C2571=sel_Region),OR(sel_Country="All",D2571=sel_Country),OR(sel_Channel="All",E2571=sel_Channel),OR(sel_Category="All",G2571=sel_Category),OR(sel_Product="All",H2571=sel_Product),AND(S2571&gt;=m_From,S2571&lt;=m_To)),1,0)</f>
        <v/>
      </c>
      <c r="Y2571" s="36">
        <f>IF(AND(OR(sel_Region="All",C2571=sel_Region),OR(sel_Country="All",D2571=sel_Country),OR(sel_Channel="All",E2571=sel_Channel),OR(sel_Customer="All",F2571=sel_Customer),OR(sel_Product="All",H2571=sel_Product),AND(S2571&gt;=m_From,S2571&lt;=m_To)),1,0)</f>
        <v/>
      </c>
      <c r="Z2571" s="36">
        <f>IF(AND(OR(sel_Region="All",C2571=sel_Region),OR(sel_Country="All",D2571=sel_Country),OR(sel_Channel="All",E2571=sel_Channel),OR(sel_Customer="All",F2571=sel_Customer),OR(sel_Category="All",G2571=sel_Category),AND(S2571&gt;=m_From,S2571&lt;=m_To)),1,0)</f>
        <v/>
      </c>
      <c r="AA2571" s="36">
        <f>IF(AND(OR(sel_Region="All",C2571=sel_Region),OR(sel_Country="All",D2571=sel_Country),OR(sel_Channel="All",E2571=sel_Channel),OR(sel_Customer="All",F2571=sel_Customer),OR(sel_Category="All",G2571=sel_Category),OR(sel_Product="All",H2571=sel_Product)),1,0)</f>
        <v/>
      </c>
    </row>
    <row r="2572">
      <c r="A2572" s="36" t="inlineStr">
        <is>
          <t>03630</t>
        </is>
      </c>
      <c r="B2572" s="44" t="n">
        <v>46366</v>
      </c>
      <c r="C2572" s="36" t="inlineStr">
        <is>
          <t>Central Europe</t>
        </is>
      </c>
      <c r="D2572" s="36" t="inlineStr">
        <is>
          <t>Germany</t>
        </is>
      </c>
      <c r="E2572" s="36" t="inlineStr">
        <is>
          <t>Retail Partners</t>
        </is>
      </c>
      <c r="F2572" s="36" t="inlineStr">
        <is>
          <t>Returning</t>
        </is>
      </c>
      <c r="G2572" s="36" t="inlineStr">
        <is>
          <t>Cycling</t>
        </is>
      </c>
      <c r="H2572" s="36" t="inlineStr">
        <is>
          <t>Compact Repair Kit</t>
        </is>
      </c>
      <c r="I2572" s="36" t="n">
        <v>3</v>
      </c>
      <c r="J2572" s="39" t="n">
        <v>39.98</v>
      </c>
      <c r="K2572" s="45" t="n">
        <v>0.1</v>
      </c>
      <c r="L2572" s="39" t="n">
        <v>16.99</v>
      </c>
      <c r="M2572" s="39">
        <f>I2572*J2572*(1-K2572)</f>
        <v/>
      </c>
      <c r="N2572" s="39">
        <f>I2572*L2572</f>
        <v/>
      </c>
      <c r="O2572" s="39">
        <f>M2572-N2572</f>
        <v/>
      </c>
      <c r="P2572" s="38">
        <f>IF(M2572=0,0,O2572/M2572)</f>
        <v/>
      </c>
      <c r="Q2572" s="36">
        <f>YEAR(B2572)</f>
        <v/>
      </c>
      <c r="R2572" s="36">
        <f>"Q"&amp;ROUNDUP(MONTH(B2572)/3,0)</f>
        <v/>
      </c>
      <c r="S2572" s="36">
        <f>MONTH(B2572)</f>
        <v/>
      </c>
      <c r="T2572" s="36">
        <f>TEXT(B2572,"mmm")</f>
        <v/>
      </c>
      <c r="U2572" s="36">
        <f>IF(AND(OR(sel_Region="All",C2572=sel_Region),OR(sel_Country="All",D2572=sel_Country),OR(sel_Channel="All",E2572=sel_Channel),OR(sel_Customer="All",F2572=sel_Customer),OR(sel_Category="All",G2572=sel_Category),OR(sel_Product="All",H2572=sel_Product),AND(S2572&gt;=m_From,S2572&lt;=m_To)),1,0)</f>
        <v/>
      </c>
      <c r="V2572" s="36">
        <f>IF(AND(OR(sel_Region="All",C2572=sel_Region),OR(sel_Channel="All",E2572=sel_Channel),OR(sel_Customer="All",F2572=sel_Customer),OR(sel_Category="All",G2572=sel_Category),OR(sel_Product="All",H2572=sel_Product),AND(S2572&gt;=m_From,S2572&lt;=m_To)),1,0)</f>
        <v/>
      </c>
      <c r="W2572" s="36">
        <f>IF(AND(OR(sel_Region="All",C2572=sel_Region),OR(sel_Country="All",D2572=sel_Country),OR(sel_Customer="All",F2572=sel_Customer),OR(sel_Category="All",G2572=sel_Category),OR(sel_Product="All",H2572=sel_Product),AND(S2572&gt;=m_From,S2572&lt;=m_To)),1,0)</f>
        <v/>
      </c>
      <c r="X2572" s="36">
        <f>IF(AND(OR(sel_Region="All",C2572=sel_Region),OR(sel_Country="All",D2572=sel_Country),OR(sel_Channel="All",E2572=sel_Channel),OR(sel_Category="All",G2572=sel_Category),OR(sel_Product="All",H2572=sel_Product),AND(S2572&gt;=m_From,S2572&lt;=m_To)),1,0)</f>
        <v/>
      </c>
      <c r="Y2572" s="36">
        <f>IF(AND(OR(sel_Region="All",C2572=sel_Region),OR(sel_Country="All",D2572=sel_Country),OR(sel_Channel="All",E2572=sel_Channel),OR(sel_Customer="All",F2572=sel_Customer),OR(sel_Product="All",H2572=sel_Product),AND(S2572&gt;=m_From,S2572&lt;=m_To)),1,0)</f>
        <v/>
      </c>
      <c r="Z2572" s="36">
        <f>IF(AND(OR(sel_Region="All",C2572=sel_Region),OR(sel_Country="All",D2572=sel_Country),OR(sel_Channel="All",E2572=sel_Channel),OR(sel_Customer="All",F2572=sel_Customer),OR(sel_Category="All",G2572=sel_Category),AND(S2572&gt;=m_From,S2572&lt;=m_To)),1,0)</f>
        <v/>
      </c>
      <c r="AA2572" s="36">
        <f>IF(AND(OR(sel_Region="All",C2572=sel_Region),OR(sel_Country="All",D2572=sel_Country),OR(sel_Channel="All",E2572=sel_Channel),OR(sel_Customer="All",F2572=sel_Customer),OR(sel_Category="All",G2572=sel_Category),OR(sel_Product="All",H2572=sel_Product)),1,0)</f>
        <v/>
      </c>
    </row>
    <row r="2573">
      <c r="A2573" s="36" t="inlineStr">
        <is>
          <t>03633</t>
        </is>
      </c>
      <c r="B2573" s="44" t="n">
        <v>46366</v>
      </c>
      <c r="C2573" s="36" t="inlineStr">
        <is>
          <t>Western Europe</t>
        </is>
      </c>
      <c r="D2573" s="36" t="inlineStr">
        <is>
          <t>Belgium</t>
        </is>
      </c>
      <c r="E2573" s="36" t="inlineStr">
        <is>
          <t>Marketplace</t>
        </is>
      </c>
      <c r="F2573" s="36" t="inlineStr">
        <is>
          <t>Business</t>
        </is>
      </c>
      <c r="G2573" s="36" t="inlineStr">
        <is>
          <t>Hiking</t>
        </is>
      </c>
      <c r="H2573" s="36" t="inlineStr">
        <is>
          <t>Trail Boots</t>
        </is>
      </c>
      <c r="I2573" s="36" t="n">
        <v>3</v>
      </c>
      <c r="J2573" s="39" t="n">
        <v>144.16</v>
      </c>
      <c r="K2573" s="45" t="n">
        <v>0</v>
      </c>
      <c r="L2573" s="39" t="n">
        <v>77.36</v>
      </c>
      <c r="M2573" s="39">
        <f>I2573*J2573*(1-K2573)</f>
        <v/>
      </c>
      <c r="N2573" s="39">
        <f>I2573*L2573</f>
        <v/>
      </c>
      <c r="O2573" s="39">
        <f>M2573-N2573</f>
        <v/>
      </c>
      <c r="P2573" s="38">
        <f>IF(M2573=0,0,O2573/M2573)</f>
        <v/>
      </c>
      <c r="Q2573" s="36">
        <f>YEAR(B2573)</f>
        <v/>
      </c>
      <c r="R2573" s="36">
        <f>"Q"&amp;ROUNDUP(MONTH(B2573)/3,0)</f>
        <v/>
      </c>
      <c r="S2573" s="36">
        <f>MONTH(B2573)</f>
        <v/>
      </c>
      <c r="T2573" s="36">
        <f>TEXT(B2573,"mmm")</f>
        <v/>
      </c>
      <c r="U2573" s="36">
        <f>IF(AND(OR(sel_Region="All",C2573=sel_Region),OR(sel_Country="All",D2573=sel_Country),OR(sel_Channel="All",E2573=sel_Channel),OR(sel_Customer="All",F2573=sel_Customer),OR(sel_Category="All",G2573=sel_Category),OR(sel_Product="All",H2573=sel_Product),AND(S2573&gt;=m_From,S2573&lt;=m_To)),1,0)</f>
        <v/>
      </c>
      <c r="V2573" s="36">
        <f>IF(AND(OR(sel_Region="All",C2573=sel_Region),OR(sel_Channel="All",E2573=sel_Channel),OR(sel_Customer="All",F2573=sel_Customer),OR(sel_Category="All",G2573=sel_Category),OR(sel_Product="All",H2573=sel_Product),AND(S2573&gt;=m_From,S2573&lt;=m_To)),1,0)</f>
        <v/>
      </c>
      <c r="W2573" s="36">
        <f>IF(AND(OR(sel_Region="All",C2573=sel_Region),OR(sel_Country="All",D2573=sel_Country),OR(sel_Customer="All",F2573=sel_Customer),OR(sel_Category="All",G2573=sel_Category),OR(sel_Product="All",H2573=sel_Product),AND(S2573&gt;=m_From,S2573&lt;=m_To)),1,0)</f>
        <v/>
      </c>
      <c r="X2573" s="36">
        <f>IF(AND(OR(sel_Region="All",C2573=sel_Region),OR(sel_Country="All",D2573=sel_Country),OR(sel_Channel="All",E2573=sel_Channel),OR(sel_Category="All",G2573=sel_Category),OR(sel_Product="All",H2573=sel_Product),AND(S2573&gt;=m_From,S2573&lt;=m_To)),1,0)</f>
        <v/>
      </c>
      <c r="Y2573" s="36">
        <f>IF(AND(OR(sel_Region="All",C2573=sel_Region),OR(sel_Country="All",D2573=sel_Country),OR(sel_Channel="All",E2573=sel_Channel),OR(sel_Customer="All",F2573=sel_Customer),OR(sel_Product="All",H2573=sel_Product),AND(S2573&gt;=m_From,S2573&lt;=m_To)),1,0)</f>
        <v/>
      </c>
      <c r="Z2573" s="36">
        <f>IF(AND(OR(sel_Region="All",C2573=sel_Region),OR(sel_Country="All",D2573=sel_Country),OR(sel_Channel="All",E2573=sel_Channel),OR(sel_Customer="All",F2573=sel_Customer),OR(sel_Category="All",G2573=sel_Category),AND(S2573&gt;=m_From,S2573&lt;=m_To)),1,0)</f>
        <v/>
      </c>
      <c r="AA2573" s="36">
        <f>IF(AND(OR(sel_Region="All",C2573=sel_Region),OR(sel_Country="All",D2573=sel_Country),OR(sel_Channel="All",E2573=sel_Channel),OR(sel_Customer="All",F2573=sel_Customer),OR(sel_Category="All",G2573=sel_Category),OR(sel_Product="All",H2573=sel_Product)),1,0)</f>
        <v/>
      </c>
    </row>
    <row r="2574">
      <c r="A2574" s="36" t="inlineStr">
        <is>
          <t>00004</t>
        </is>
      </c>
      <c r="B2574" s="44" t="n">
        <v>46367</v>
      </c>
      <c r="C2574" s="36" t="inlineStr">
        <is>
          <t>Western Europe</t>
        </is>
      </c>
      <c r="D2574" s="36" t="inlineStr">
        <is>
          <t>Belgium</t>
        </is>
      </c>
      <c r="E2574" s="36" t="inlineStr">
        <is>
          <t>Online Store</t>
        </is>
      </c>
      <c r="F2574" s="36" t="inlineStr">
        <is>
          <t>New</t>
        </is>
      </c>
      <c r="G2574" s="36" t="inlineStr">
        <is>
          <t>Cycling</t>
        </is>
      </c>
      <c r="H2574" s="36" t="inlineStr">
        <is>
          <t>Cycling Pack 12L</t>
        </is>
      </c>
      <c r="I2574" s="36" t="n">
        <v>1</v>
      </c>
      <c r="J2574" s="39" t="n">
        <v>102.98</v>
      </c>
      <c r="K2574" s="45" t="n">
        <v>0.1</v>
      </c>
      <c r="L2574" s="39" t="n">
        <v>51.45</v>
      </c>
      <c r="M2574" s="39">
        <f>I2574*J2574*(1-K2574)</f>
        <v/>
      </c>
      <c r="N2574" s="39">
        <f>I2574*L2574</f>
        <v/>
      </c>
      <c r="O2574" s="39">
        <f>M2574-N2574</f>
        <v/>
      </c>
      <c r="P2574" s="38">
        <f>IF(M2574=0,0,O2574/M2574)</f>
        <v/>
      </c>
      <c r="Q2574" s="36">
        <f>YEAR(B2574)</f>
        <v/>
      </c>
      <c r="R2574" s="36">
        <f>"Q"&amp;ROUNDUP(MONTH(B2574)/3,0)</f>
        <v/>
      </c>
      <c r="S2574" s="36">
        <f>MONTH(B2574)</f>
        <v/>
      </c>
      <c r="T2574" s="36">
        <f>TEXT(B2574,"mmm")</f>
        <v/>
      </c>
      <c r="U2574" s="36">
        <f>IF(AND(OR(sel_Region="All",C2574=sel_Region),OR(sel_Country="All",D2574=sel_Country),OR(sel_Channel="All",E2574=sel_Channel),OR(sel_Customer="All",F2574=sel_Customer),OR(sel_Category="All",G2574=sel_Category),OR(sel_Product="All",H2574=sel_Product),AND(S2574&gt;=m_From,S2574&lt;=m_To)),1,0)</f>
        <v/>
      </c>
      <c r="V2574" s="36">
        <f>IF(AND(OR(sel_Region="All",C2574=sel_Region),OR(sel_Channel="All",E2574=sel_Channel),OR(sel_Customer="All",F2574=sel_Customer),OR(sel_Category="All",G2574=sel_Category),OR(sel_Product="All",H2574=sel_Product),AND(S2574&gt;=m_From,S2574&lt;=m_To)),1,0)</f>
        <v/>
      </c>
      <c r="W2574" s="36">
        <f>IF(AND(OR(sel_Region="All",C2574=sel_Region),OR(sel_Country="All",D2574=sel_Country),OR(sel_Customer="All",F2574=sel_Customer),OR(sel_Category="All",G2574=sel_Category),OR(sel_Product="All",H2574=sel_Product),AND(S2574&gt;=m_From,S2574&lt;=m_To)),1,0)</f>
        <v/>
      </c>
      <c r="X2574" s="36">
        <f>IF(AND(OR(sel_Region="All",C2574=sel_Region),OR(sel_Country="All",D2574=sel_Country),OR(sel_Channel="All",E2574=sel_Channel),OR(sel_Category="All",G2574=sel_Category),OR(sel_Product="All",H2574=sel_Product),AND(S2574&gt;=m_From,S2574&lt;=m_To)),1,0)</f>
        <v/>
      </c>
      <c r="Y2574" s="36">
        <f>IF(AND(OR(sel_Region="All",C2574=sel_Region),OR(sel_Country="All",D2574=sel_Country),OR(sel_Channel="All",E2574=sel_Channel),OR(sel_Customer="All",F2574=sel_Customer),OR(sel_Product="All",H2574=sel_Product),AND(S2574&gt;=m_From,S2574&lt;=m_To)),1,0)</f>
        <v/>
      </c>
      <c r="Z2574" s="36">
        <f>IF(AND(OR(sel_Region="All",C2574=sel_Region),OR(sel_Country="All",D2574=sel_Country),OR(sel_Channel="All",E2574=sel_Channel),OR(sel_Customer="All",F2574=sel_Customer),OR(sel_Category="All",G2574=sel_Category),AND(S2574&gt;=m_From,S2574&lt;=m_To)),1,0)</f>
        <v/>
      </c>
      <c r="AA2574" s="36">
        <f>IF(AND(OR(sel_Region="All",C2574=sel_Region),OR(sel_Country="All",D2574=sel_Country),OR(sel_Channel="All",E2574=sel_Channel),OR(sel_Customer="All",F2574=sel_Customer),OR(sel_Category="All",G2574=sel_Category),OR(sel_Product="All",H2574=sel_Product)),1,0)</f>
        <v/>
      </c>
    </row>
    <row r="2575">
      <c r="A2575" s="36" t="inlineStr">
        <is>
          <t>00070</t>
        </is>
      </c>
      <c r="B2575" s="44" t="n">
        <v>46367</v>
      </c>
      <c r="C2575" s="36" t="inlineStr">
        <is>
          <t>Western Europe</t>
        </is>
      </c>
      <c r="D2575" s="36" t="inlineStr">
        <is>
          <t>France</t>
        </is>
      </c>
      <c r="E2575" s="36" t="inlineStr">
        <is>
          <t>Online Store</t>
        </is>
      </c>
      <c r="F2575" s="36" t="inlineStr">
        <is>
          <t>New</t>
        </is>
      </c>
      <c r="G2575" s="36" t="inlineStr">
        <is>
          <t>Fitness</t>
        </is>
      </c>
      <c r="H2575" s="36" t="inlineStr">
        <is>
          <t>Weighted Vest</t>
        </is>
      </c>
      <c r="I2575" s="36" t="n">
        <v>2</v>
      </c>
      <c r="J2575" s="39" t="n">
        <v>122.49</v>
      </c>
      <c r="K2575" s="45" t="n">
        <v>0.15</v>
      </c>
      <c r="L2575" s="39" t="n">
        <v>70.93000000000001</v>
      </c>
      <c r="M2575" s="39">
        <f>I2575*J2575*(1-K2575)</f>
        <v/>
      </c>
      <c r="N2575" s="39">
        <f>I2575*L2575</f>
        <v/>
      </c>
      <c r="O2575" s="39">
        <f>M2575-N2575</f>
        <v/>
      </c>
      <c r="P2575" s="38">
        <f>IF(M2575=0,0,O2575/M2575)</f>
        <v/>
      </c>
      <c r="Q2575" s="36">
        <f>YEAR(B2575)</f>
        <v/>
      </c>
      <c r="R2575" s="36">
        <f>"Q"&amp;ROUNDUP(MONTH(B2575)/3,0)</f>
        <v/>
      </c>
      <c r="S2575" s="36">
        <f>MONTH(B2575)</f>
        <v/>
      </c>
      <c r="T2575" s="36">
        <f>TEXT(B2575,"mmm")</f>
        <v/>
      </c>
      <c r="U2575" s="36">
        <f>IF(AND(OR(sel_Region="All",C2575=sel_Region),OR(sel_Country="All",D2575=sel_Country),OR(sel_Channel="All",E2575=sel_Channel),OR(sel_Customer="All",F2575=sel_Customer),OR(sel_Category="All",G2575=sel_Category),OR(sel_Product="All",H2575=sel_Product),AND(S2575&gt;=m_From,S2575&lt;=m_To)),1,0)</f>
        <v/>
      </c>
      <c r="V2575" s="36">
        <f>IF(AND(OR(sel_Region="All",C2575=sel_Region),OR(sel_Channel="All",E2575=sel_Channel),OR(sel_Customer="All",F2575=sel_Customer),OR(sel_Category="All",G2575=sel_Category),OR(sel_Product="All",H2575=sel_Product),AND(S2575&gt;=m_From,S2575&lt;=m_To)),1,0)</f>
        <v/>
      </c>
      <c r="W2575" s="36">
        <f>IF(AND(OR(sel_Region="All",C2575=sel_Region),OR(sel_Country="All",D2575=sel_Country),OR(sel_Customer="All",F2575=sel_Customer),OR(sel_Category="All",G2575=sel_Category),OR(sel_Product="All",H2575=sel_Product),AND(S2575&gt;=m_From,S2575&lt;=m_To)),1,0)</f>
        <v/>
      </c>
      <c r="X2575" s="36">
        <f>IF(AND(OR(sel_Region="All",C2575=sel_Region),OR(sel_Country="All",D2575=sel_Country),OR(sel_Channel="All",E2575=sel_Channel),OR(sel_Category="All",G2575=sel_Category),OR(sel_Product="All",H2575=sel_Product),AND(S2575&gt;=m_From,S2575&lt;=m_To)),1,0)</f>
        <v/>
      </c>
      <c r="Y2575" s="36">
        <f>IF(AND(OR(sel_Region="All",C2575=sel_Region),OR(sel_Country="All",D2575=sel_Country),OR(sel_Channel="All",E2575=sel_Channel),OR(sel_Customer="All",F2575=sel_Customer),OR(sel_Product="All",H2575=sel_Product),AND(S2575&gt;=m_From,S2575&lt;=m_To)),1,0)</f>
        <v/>
      </c>
      <c r="Z2575" s="36">
        <f>IF(AND(OR(sel_Region="All",C2575=sel_Region),OR(sel_Country="All",D2575=sel_Country),OR(sel_Channel="All",E2575=sel_Channel),OR(sel_Customer="All",F2575=sel_Customer),OR(sel_Category="All",G2575=sel_Category),AND(S2575&gt;=m_From,S2575&lt;=m_To)),1,0)</f>
        <v/>
      </c>
      <c r="AA2575" s="36">
        <f>IF(AND(OR(sel_Region="All",C2575=sel_Region),OR(sel_Country="All",D2575=sel_Country),OR(sel_Channel="All",E2575=sel_Channel),OR(sel_Customer="All",F2575=sel_Customer),OR(sel_Category="All",G2575=sel_Category),OR(sel_Product="All",H2575=sel_Product)),1,0)</f>
        <v/>
      </c>
    </row>
    <row r="2576">
      <c r="A2576" s="36" t="inlineStr">
        <is>
          <t>00948</t>
        </is>
      </c>
      <c r="B2576" s="44" t="n">
        <v>46367</v>
      </c>
      <c r="C2576" s="36" t="inlineStr">
        <is>
          <t>Central Europe</t>
        </is>
      </c>
      <c r="D2576" s="36" t="inlineStr">
        <is>
          <t>Switzerland</t>
        </is>
      </c>
      <c r="E2576" s="36" t="inlineStr">
        <is>
          <t>Marketplace</t>
        </is>
      </c>
      <c r="F2576" s="36" t="inlineStr">
        <is>
          <t>New</t>
        </is>
      </c>
      <c r="G2576" s="36" t="inlineStr">
        <is>
          <t>Hiking</t>
        </is>
      </c>
      <c r="H2576" s="36" t="inlineStr">
        <is>
          <t>Trail Boots</t>
        </is>
      </c>
      <c r="I2576" s="36" t="n">
        <v>1</v>
      </c>
      <c r="J2576" s="39" t="n">
        <v>141.74</v>
      </c>
      <c r="K2576" s="45" t="n">
        <v>0.15</v>
      </c>
      <c r="L2576" s="39" t="n">
        <v>78.97</v>
      </c>
      <c r="M2576" s="39">
        <f>I2576*J2576*(1-K2576)</f>
        <v/>
      </c>
      <c r="N2576" s="39">
        <f>I2576*L2576</f>
        <v/>
      </c>
      <c r="O2576" s="39">
        <f>M2576-N2576</f>
        <v/>
      </c>
      <c r="P2576" s="38">
        <f>IF(M2576=0,0,O2576/M2576)</f>
        <v/>
      </c>
      <c r="Q2576" s="36">
        <f>YEAR(B2576)</f>
        <v/>
      </c>
      <c r="R2576" s="36">
        <f>"Q"&amp;ROUNDUP(MONTH(B2576)/3,0)</f>
        <v/>
      </c>
      <c r="S2576" s="36">
        <f>MONTH(B2576)</f>
        <v/>
      </c>
      <c r="T2576" s="36">
        <f>TEXT(B2576,"mmm")</f>
        <v/>
      </c>
      <c r="U2576" s="36">
        <f>IF(AND(OR(sel_Region="All",C2576=sel_Region),OR(sel_Country="All",D2576=sel_Country),OR(sel_Channel="All",E2576=sel_Channel),OR(sel_Customer="All",F2576=sel_Customer),OR(sel_Category="All",G2576=sel_Category),OR(sel_Product="All",H2576=sel_Product),AND(S2576&gt;=m_From,S2576&lt;=m_To)),1,0)</f>
        <v/>
      </c>
      <c r="V2576" s="36">
        <f>IF(AND(OR(sel_Region="All",C2576=sel_Region),OR(sel_Channel="All",E2576=sel_Channel),OR(sel_Customer="All",F2576=sel_Customer),OR(sel_Category="All",G2576=sel_Category),OR(sel_Product="All",H2576=sel_Product),AND(S2576&gt;=m_From,S2576&lt;=m_To)),1,0)</f>
        <v/>
      </c>
      <c r="W2576" s="36">
        <f>IF(AND(OR(sel_Region="All",C2576=sel_Region),OR(sel_Country="All",D2576=sel_Country),OR(sel_Customer="All",F2576=sel_Customer),OR(sel_Category="All",G2576=sel_Category),OR(sel_Product="All",H2576=sel_Product),AND(S2576&gt;=m_From,S2576&lt;=m_To)),1,0)</f>
        <v/>
      </c>
      <c r="X2576" s="36">
        <f>IF(AND(OR(sel_Region="All",C2576=sel_Region),OR(sel_Country="All",D2576=sel_Country),OR(sel_Channel="All",E2576=sel_Channel),OR(sel_Category="All",G2576=sel_Category),OR(sel_Product="All",H2576=sel_Product),AND(S2576&gt;=m_From,S2576&lt;=m_To)),1,0)</f>
        <v/>
      </c>
      <c r="Y2576" s="36">
        <f>IF(AND(OR(sel_Region="All",C2576=sel_Region),OR(sel_Country="All",D2576=sel_Country),OR(sel_Channel="All",E2576=sel_Channel),OR(sel_Customer="All",F2576=sel_Customer),OR(sel_Product="All",H2576=sel_Product),AND(S2576&gt;=m_From,S2576&lt;=m_To)),1,0)</f>
        <v/>
      </c>
      <c r="Z2576" s="36">
        <f>IF(AND(OR(sel_Region="All",C2576=sel_Region),OR(sel_Country="All",D2576=sel_Country),OR(sel_Channel="All",E2576=sel_Channel),OR(sel_Customer="All",F2576=sel_Customer),OR(sel_Category="All",G2576=sel_Category),AND(S2576&gt;=m_From,S2576&lt;=m_To)),1,0)</f>
        <v/>
      </c>
      <c r="AA2576" s="36">
        <f>IF(AND(OR(sel_Region="All",C2576=sel_Region),OR(sel_Country="All",D2576=sel_Country),OR(sel_Channel="All",E2576=sel_Channel),OR(sel_Customer="All",F2576=sel_Customer),OR(sel_Category="All",G2576=sel_Category),OR(sel_Product="All",H2576=sel_Product)),1,0)</f>
        <v/>
      </c>
    </row>
    <row r="2577">
      <c r="A2577" s="36" t="inlineStr">
        <is>
          <t>01957</t>
        </is>
      </c>
      <c r="B2577" s="44" t="n">
        <v>46367</v>
      </c>
      <c r="C2577" s="36" t="inlineStr">
        <is>
          <t>Western Europe</t>
        </is>
      </c>
      <c r="D2577" s="36" t="inlineStr">
        <is>
          <t>Netherlands</t>
        </is>
      </c>
      <c r="E2577" s="36" t="inlineStr">
        <is>
          <t>Online Store</t>
        </is>
      </c>
      <c r="F2577" s="36" t="inlineStr">
        <is>
          <t>Returning</t>
        </is>
      </c>
      <c r="G2577" s="36" t="inlineStr">
        <is>
          <t>Cycling</t>
        </is>
      </c>
      <c r="H2577" s="36" t="inlineStr">
        <is>
          <t>Compact Repair Kit</t>
        </is>
      </c>
      <c r="I2577" s="36" t="n">
        <v>6</v>
      </c>
      <c r="J2577" s="39" t="n">
        <v>39.44</v>
      </c>
      <c r="K2577" s="45" t="n">
        <v>0.1</v>
      </c>
      <c r="L2577" s="39" t="n">
        <v>16.89</v>
      </c>
      <c r="M2577" s="39">
        <f>I2577*J2577*(1-K2577)</f>
        <v/>
      </c>
      <c r="N2577" s="39">
        <f>I2577*L2577</f>
        <v/>
      </c>
      <c r="O2577" s="39">
        <f>M2577-N2577</f>
        <v/>
      </c>
      <c r="P2577" s="38">
        <f>IF(M2577=0,0,O2577/M2577)</f>
        <v/>
      </c>
      <c r="Q2577" s="36">
        <f>YEAR(B2577)</f>
        <v/>
      </c>
      <c r="R2577" s="36">
        <f>"Q"&amp;ROUNDUP(MONTH(B2577)/3,0)</f>
        <v/>
      </c>
      <c r="S2577" s="36">
        <f>MONTH(B2577)</f>
        <v/>
      </c>
      <c r="T2577" s="36">
        <f>TEXT(B2577,"mmm")</f>
        <v/>
      </c>
      <c r="U2577" s="36">
        <f>IF(AND(OR(sel_Region="All",C2577=sel_Region),OR(sel_Country="All",D2577=sel_Country),OR(sel_Channel="All",E2577=sel_Channel),OR(sel_Customer="All",F2577=sel_Customer),OR(sel_Category="All",G2577=sel_Category),OR(sel_Product="All",H2577=sel_Product),AND(S2577&gt;=m_From,S2577&lt;=m_To)),1,0)</f>
        <v/>
      </c>
      <c r="V2577" s="36">
        <f>IF(AND(OR(sel_Region="All",C2577=sel_Region),OR(sel_Channel="All",E2577=sel_Channel),OR(sel_Customer="All",F2577=sel_Customer),OR(sel_Category="All",G2577=sel_Category),OR(sel_Product="All",H2577=sel_Product),AND(S2577&gt;=m_From,S2577&lt;=m_To)),1,0)</f>
        <v/>
      </c>
      <c r="W2577" s="36">
        <f>IF(AND(OR(sel_Region="All",C2577=sel_Region),OR(sel_Country="All",D2577=sel_Country),OR(sel_Customer="All",F2577=sel_Customer),OR(sel_Category="All",G2577=sel_Category),OR(sel_Product="All",H2577=sel_Product),AND(S2577&gt;=m_From,S2577&lt;=m_To)),1,0)</f>
        <v/>
      </c>
      <c r="X2577" s="36">
        <f>IF(AND(OR(sel_Region="All",C2577=sel_Region),OR(sel_Country="All",D2577=sel_Country),OR(sel_Channel="All",E2577=sel_Channel),OR(sel_Category="All",G2577=sel_Category),OR(sel_Product="All",H2577=sel_Product),AND(S2577&gt;=m_From,S2577&lt;=m_To)),1,0)</f>
        <v/>
      </c>
      <c r="Y2577" s="36">
        <f>IF(AND(OR(sel_Region="All",C2577=sel_Region),OR(sel_Country="All",D2577=sel_Country),OR(sel_Channel="All",E2577=sel_Channel),OR(sel_Customer="All",F2577=sel_Customer),OR(sel_Product="All",H2577=sel_Product),AND(S2577&gt;=m_From,S2577&lt;=m_To)),1,0)</f>
        <v/>
      </c>
      <c r="Z2577" s="36">
        <f>IF(AND(OR(sel_Region="All",C2577=sel_Region),OR(sel_Country="All",D2577=sel_Country),OR(sel_Channel="All",E2577=sel_Channel),OR(sel_Customer="All",F2577=sel_Customer),OR(sel_Category="All",G2577=sel_Category),AND(S2577&gt;=m_From,S2577&lt;=m_To)),1,0)</f>
        <v/>
      </c>
      <c r="AA2577" s="36">
        <f>IF(AND(OR(sel_Region="All",C2577=sel_Region),OR(sel_Country="All",D2577=sel_Country),OR(sel_Channel="All",E2577=sel_Channel),OR(sel_Customer="All",F2577=sel_Customer),OR(sel_Category="All",G2577=sel_Category),OR(sel_Product="All",H2577=sel_Product)),1,0)</f>
        <v/>
      </c>
    </row>
    <row r="2578">
      <c r="A2578" s="36" t="inlineStr">
        <is>
          <t>03097</t>
        </is>
      </c>
      <c r="B2578" s="44" t="n">
        <v>46367</v>
      </c>
      <c r="C2578" s="36" t="inlineStr">
        <is>
          <t>Northern Europe</t>
        </is>
      </c>
      <c r="D2578" s="36" t="inlineStr">
        <is>
          <t>Ireland</t>
        </is>
      </c>
      <c r="E2578" s="36" t="inlineStr">
        <is>
          <t>Retail Partners</t>
        </is>
      </c>
      <c r="F2578" s="36" t="inlineStr">
        <is>
          <t>Returning</t>
        </is>
      </c>
      <c r="G2578" s="36" t="inlineStr">
        <is>
          <t>Cycling</t>
        </is>
      </c>
      <c r="H2578" s="36" t="inlineStr">
        <is>
          <t>Trail Bike Light</t>
        </is>
      </c>
      <c r="I2578" s="36" t="n">
        <v>1</v>
      </c>
      <c r="J2578" s="39" t="n">
        <v>49.64</v>
      </c>
      <c r="K2578" s="45" t="n">
        <v>0.1</v>
      </c>
      <c r="L2578" s="39" t="n">
        <v>22</v>
      </c>
      <c r="M2578" s="39">
        <f>I2578*J2578*(1-K2578)</f>
        <v/>
      </c>
      <c r="N2578" s="39">
        <f>I2578*L2578</f>
        <v/>
      </c>
      <c r="O2578" s="39">
        <f>M2578-N2578</f>
        <v/>
      </c>
      <c r="P2578" s="38">
        <f>IF(M2578=0,0,O2578/M2578)</f>
        <v/>
      </c>
      <c r="Q2578" s="36">
        <f>YEAR(B2578)</f>
        <v/>
      </c>
      <c r="R2578" s="36">
        <f>"Q"&amp;ROUNDUP(MONTH(B2578)/3,0)</f>
        <v/>
      </c>
      <c r="S2578" s="36">
        <f>MONTH(B2578)</f>
        <v/>
      </c>
      <c r="T2578" s="36">
        <f>TEXT(B2578,"mmm")</f>
        <v/>
      </c>
      <c r="U2578" s="36">
        <f>IF(AND(OR(sel_Region="All",C2578=sel_Region),OR(sel_Country="All",D2578=sel_Country),OR(sel_Channel="All",E2578=sel_Channel),OR(sel_Customer="All",F2578=sel_Customer),OR(sel_Category="All",G2578=sel_Category),OR(sel_Product="All",H2578=sel_Product),AND(S2578&gt;=m_From,S2578&lt;=m_To)),1,0)</f>
        <v/>
      </c>
      <c r="V2578" s="36">
        <f>IF(AND(OR(sel_Region="All",C2578=sel_Region),OR(sel_Channel="All",E2578=sel_Channel),OR(sel_Customer="All",F2578=sel_Customer),OR(sel_Category="All",G2578=sel_Category),OR(sel_Product="All",H2578=sel_Product),AND(S2578&gt;=m_From,S2578&lt;=m_To)),1,0)</f>
        <v/>
      </c>
      <c r="W2578" s="36">
        <f>IF(AND(OR(sel_Region="All",C2578=sel_Region),OR(sel_Country="All",D2578=sel_Country),OR(sel_Customer="All",F2578=sel_Customer),OR(sel_Category="All",G2578=sel_Category),OR(sel_Product="All",H2578=sel_Product),AND(S2578&gt;=m_From,S2578&lt;=m_To)),1,0)</f>
        <v/>
      </c>
      <c r="X2578" s="36">
        <f>IF(AND(OR(sel_Region="All",C2578=sel_Region),OR(sel_Country="All",D2578=sel_Country),OR(sel_Channel="All",E2578=sel_Channel),OR(sel_Category="All",G2578=sel_Category),OR(sel_Product="All",H2578=sel_Product),AND(S2578&gt;=m_From,S2578&lt;=m_To)),1,0)</f>
        <v/>
      </c>
      <c r="Y2578" s="36">
        <f>IF(AND(OR(sel_Region="All",C2578=sel_Region),OR(sel_Country="All",D2578=sel_Country),OR(sel_Channel="All",E2578=sel_Channel),OR(sel_Customer="All",F2578=sel_Customer),OR(sel_Product="All",H2578=sel_Product),AND(S2578&gt;=m_From,S2578&lt;=m_To)),1,0)</f>
        <v/>
      </c>
      <c r="Z2578" s="36">
        <f>IF(AND(OR(sel_Region="All",C2578=sel_Region),OR(sel_Country="All",D2578=sel_Country),OR(sel_Channel="All",E2578=sel_Channel),OR(sel_Customer="All",F2578=sel_Customer),OR(sel_Category="All",G2578=sel_Category),AND(S2578&gt;=m_From,S2578&lt;=m_To)),1,0)</f>
        <v/>
      </c>
      <c r="AA2578" s="36">
        <f>IF(AND(OR(sel_Region="All",C2578=sel_Region),OR(sel_Country="All",D2578=sel_Country),OR(sel_Channel="All",E2578=sel_Channel),OR(sel_Customer="All",F2578=sel_Customer),OR(sel_Category="All",G2578=sel_Category),OR(sel_Product="All",H2578=sel_Product)),1,0)</f>
        <v/>
      </c>
    </row>
    <row r="2579">
      <c r="A2579" s="36" t="inlineStr">
        <is>
          <t>03649</t>
        </is>
      </c>
      <c r="B2579" s="44" t="n">
        <v>46367</v>
      </c>
      <c r="C2579" s="36" t="inlineStr">
        <is>
          <t>Northern Europe</t>
        </is>
      </c>
      <c r="D2579" s="36" t="inlineStr">
        <is>
          <t>Sweden</t>
        </is>
      </c>
      <c r="E2579" s="36" t="inlineStr">
        <is>
          <t>Online Store</t>
        </is>
      </c>
      <c r="F2579" s="36" t="inlineStr">
        <is>
          <t>New</t>
        </is>
      </c>
      <c r="G2579" s="36" t="inlineStr">
        <is>
          <t>Travel</t>
        </is>
      </c>
      <c r="H2579" s="36" t="inlineStr">
        <is>
          <t>Travel Backpack 35L</t>
        </is>
      </c>
      <c r="I2579" s="36" t="n">
        <v>1</v>
      </c>
      <c r="J2579" s="39" t="n">
        <v>164.29</v>
      </c>
      <c r="K2579" s="45" t="n">
        <v>0.05</v>
      </c>
      <c r="L2579" s="39" t="n">
        <v>88.66</v>
      </c>
      <c r="M2579" s="39">
        <f>I2579*J2579*(1-K2579)</f>
        <v/>
      </c>
      <c r="N2579" s="39">
        <f>I2579*L2579</f>
        <v/>
      </c>
      <c r="O2579" s="39">
        <f>M2579-N2579</f>
        <v/>
      </c>
      <c r="P2579" s="38">
        <f>IF(M2579=0,0,O2579/M2579)</f>
        <v/>
      </c>
      <c r="Q2579" s="36">
        <f>YEAR(B2579)</f>
        <v/>
      </c>
      <c r="R2579" s="36">
        <f>"Q"&amp;ROUNDUP(MONTH(B2579)/3,0)</f>
        <v/>
      </c>
      <c r="S2579" s="36">
        <f>MONTH(B2579)</f>
        <v/>
      </c>
      <c r="T2579" s="36">
        <f>TEXT(B2579,"mmm")</f>
        <v/>
      </c>
      <c r="U2579" s="36">
        <f>IF(AND(OR(sel_Region="All",C2579=sel_Region),OR(sel_Country="All",D2579=sel_Country),OR(sel_Channel="All",E2579=sel_Channel),OR(sel_Customer="All",F2579=sel_Customer),OR(sel_Category="All",G2579=sel_Category),OR(sel_Product="All",H2579=sel_Product),AND(S2579&gt;=m_From,S2579&lt;=m_To)),1,0)</f>
        <v/>
      </c>
      <c r="V2579" s="36">
        <f>IF(AND(OR(sel_Region="All",C2579=sel_Region),OR(sel_Channel="All",E2579=sel_Channel),OR(sel_Customer="All",F2579=sel_Customer),OR(sel_Category="All",G2579=sel_Category),OR(sel_Product="All",H2579=sel_Product),AND(S2579&gt;=m_From,S2579&lt;=m_To)),1,0)</f>
        <v/>
      </c>
      <c r="W2579" s="36">
        <f>IF(AND(OR(sel_Region="All",C2579=sel_Region),OR(sel_Country="All",D2579=sel_Country),OR(sel_Customer="All",F2579=sel_Customer),OR(sel_Category="All",G2579=sel_Category),OR(sel_Product="All",H2579=sel_Product),AND(S2579&gt;=m_From,S2579&lt;=m_To)),1,0)</f>
        <v/>
      </c>
      <c r="X2579" s="36">
        <f>IF(AND(OR(sel_Region="All",C2579=sel_Region),OR(sel_Country="All",D2579=sel_Country),OR(sel_Channel="All",E2579=sel_Channel),OR(sel_Category="All",G2579=sel_Category),OR(sel_Product="All",H2579=sel_Product),AND(S2579&gt;=m_From,S2579&lt;=m_To)),1,0)</f>
        <v/>
      </c>
      <c r="Y2579" s="36">
        <f>IF(AND(OR(sel_Region="All",C2579=sel_Region),OR(sel_Country="All",D2579=sel_Country),OR(sel_Channel="All",E2579=sel_Channel),OR(sel_Customer="All",F2579=sel_Customer),OR(sel_Product="All",H2579=sel_Product),AND(S2579&gt;=m_From,S2579&lt;=m_To)),1,0)</f>
        <v/>
      </c>
      <c r="Z2579" s="36">
        <f>IF(AND(OR(sel_Region="All",C2579=sel_Region),OR(sel_Country="All",D2579=sel_Country),OR(sel_Channel="All",E2579=sel_Channel),OR(sel_Customer="All",F2579=sel_Customer),OR(sel_Category="All",G2579=sel_Category),AND(S2579&gt;=m_From,S2579&lt;=m_To)),1,0)</f>
        <v/>
      </c>
      <c r="AA2579" s="36">
        <f>IF(AND(OR(sel_Region="All",C2579=sel_Region),OR(sel_Country="All",D2579=sel_Country),OR(sel_Channel="All",E2579=sel_Channel),OR(sel_Customer="All",F2579=sel_Customer),OR(sel_Category="All",G2579=sel_Category),OR(sel_Product="All",H2579=sel_Product)),1,0)</f>
        <v/>
      </c>
    </row>
    <row r="2580">
      <c r="A2580" s="36" t="inlineStr">
        <is>
          <t>03963</t>
        </is>
      </c>
      <c r="B2580" s="44" t="n">
        <v>46367</v>
      </c>
      <c r="C2580" s="36" t="inlineStr">
        <is>
          <t>Western Europe</t>
        </is>
      </c>
      <c r="D2580" s="36" t="inlineStr">
        <is>
          <t>United Kingdom</t>
        </is>
      </c>
      <c r="E2580" s="36" t="inlineStr">
        <is>
          <t>Online Store</t>
        </is>
      </c>
      <c r="F2580" s="36" t="inlineStr">
        <is>
          <t>Returning</t>
        </is>
      </c>
      <c r="G2580" s="36" t="inlineStr">
        <is>
          <t>Travel</t>
        </is>
      </c>
      <c r="H2580" s="36" t="inlineStr">
        <is>
          <t>Insulated Bottle</t>
        </is>
      </c>
      <c r="I2580" s="36" t="n">
        <v>1</v>
      </c>
      <c r="J2580" s="39" t="n">
        <v>35.81</v>
      </c>
      <c r="K2580" s="45" t="n">
        <v>0</v>
      </c>
      <c r="L2580" s="39" t="n">
        <v>13.28</v>
      </c>
      <c r="M2580" s="39">
        <f>I2580*J2580*(1-K2580)</f>
        <v/>
      </c>
      <c r="N2580" s="39">
        <f>I2580*L2580</f>
        <v/>
      </c>
      <c r="O2580" s="39">
        <f>M2580-N2580</f>
        <v/>
      </c>
      <c r="P2580" s="38">
        <f>IF(M2580=0,0,O2580/M2580)</f>
        <v/>
      </c>
      <c r="Q2580" s="36">
        <f>YEAR(B2580)</f>
        <v/>
      </c>
      <c r="R2580" s="36">
        <f>"Q"&amp;ROUNDUP(MONTH(B2580)/3,0)</f>
        <v/>
      </c>
      <c r="S2580" s="36">
        <f>MONTH(B2580)</f>
        <v/>
      </c>
      <c r="T2580" s="36">
        <f>TEXT(B2580,"mmm")</f>
        <v/>
      </c>
      <c r="U2580" s="36">
        <f>IF(AND(OR(sel_Region="All",C2580=sel_Region),OR(sel_Country="All",D2580=sel_Country),OR(sel_Channel="All",E2580=sel_Channel),OR(sel_Customer="All",F2580=sel_Customer),OR(sel_Category="All",G2580=sel_Category),OR(sel_Product="All",H2580=sel_Product),AND(S2580&gt;=m_From,S2580&lt;=m_To)),1,0)</f>
        <v/>
      </c>
      <c r="V2580" s="36">
        <f>IF(AND(OR(sel_Region="All",C2580=sel_Region),OR(sel_Channel="All",E2580=sel_Channel),OR(sel_Customer="All",F2580=sel_Customer),OR(sel_Category="All",G2580=sel_Category),OR(sel_Product="All",H2580=sel_Product),AND(S2580&gt;=m_From,S2580&lt;=m_To)),1,0)</f>
        <v/>
      </c>
      <c r="W2580" s="36">
        <f>IF(AND(OR(sel_Region="All",C2580=sel_Region),OR(sel_Country="All",D2580=sel_Country),OR(sel_Customer="All",F2580=sel_Customer),OR(sel_Category="All",G2580=sel_Category),OR(sel_Product="All",H2580=sel_Product),AND(S2580&gt;=m_From,S2580&lt;=m_To)),1,0)</f>
        <v/>
      </c>
      <c r="X2580" s="36">
        <f>IF(AND(OR(sel_Region="All",C2580=sel_Region),OR(sel_Country="All",D2580=sel_Country),OR(sel_Channel="All",E2580=sel_Channel),OR(sel_Category="All",G2580=sel_Category),OR(sel_Product="All",H2580=sel_Product),AND(S2580&gt;=m_From,S2580&lt;=m_To)),1,0)</f>
        <v/>
      </c>
      <c r="Y2580" s="36">
        <f>IF(AND(OR(sel_Region="All",C2580=sel_Region),OR(sel_Country="All",D2580=sel_Country),OR(sel_Channel="All",E2580=sel_Channel),OR(sel_Customer="All",F2580=sel_Customer),OR(sel_Product="All",H2580=sel_Product),AND(S2580&gt;=m_From,S2580&lt;=m_To)),1,0)</f>
        <v/>
      </c>
      <c r="Z2580" s="36">
        <f>IF(AND(OR(sel_Region="All",C2580=sel_Region),OR(sel_Country="All",D2580=sel_Country),OR(sel_Channel="All",E2580=sel_Channel),OR(sel_Customer="All",F2580=sel_Customer),OR(sel_Category="All",G2580=sel_Category),AND(S2580&gt;=m_From,S2580&lt;=m_To)),1,0)</f>
        <v/>
      </c>
      <c r="AA2580" s="36">
        <f>IF(AND(OR(sel_Region="All",C2580=sel_Region),OR(sel_Country="All",D2580=sel_Country),OR(sel_Channel="All",E2580=sel_Channel),OR(sel_Customer="All",F2580=sel_Customer),OR(sel_Category="All",G2580=sel_Category),OR(sel_Product="All",H2580=sel_Product)),1,0)</f>
        <v/>
      </c>
    </row>
    <row r="2581">
      <c r="A2581" s="36" t="inlineStr">
        <is>
          <t>04305</t>
        </is>
      </c>
      <c r="B2581" s="44" t="n">
        <v>46367</v>
      </c>
      <c r="C2581" s="36" t="inlineStr">
        <is>
          <t>Southern Europe</t>
        </is>
      </c>
      <c r="D2581" s="36" t="inlineStr">
        <is>
          <t>Portugal</t>
        </is>
      </c>
      <c r="E2581" s="36" t="inlineStr">
        <is>
          <t>Retail Partners</t>
        </is>
      </c>
      <c r="F2581" s="36" t="inlineStr">
        <is>
          <t>New</t>
        </is>
      </c>
      <c r="G2581" s="36" t="inlineStr">
        <is>
          <t>Fitness</t>
        </is>
      </c>
      <c r="H2581" s="36" t="inlineStr">
        <is>
          <t>Resistance Band Set</t>
        </is>
      </c>
      <c r="I2581" s="36" t="n">
        <v>1</v>
      </c>
      <c r="J2581" s="39" t="n">
        <v>41.31</v>
      </c>
      <c r="K2581" s="45" t="n">
        <v>0.05</v>
      </c>
      <c r="L2581" s="39" t="n">
        <v>14.56</v>
      </c>
      <c r="M2581" s="39">
        <f>I2581*J2581*(1-K2581)</f>
        <v/>
      </c>
      <c r="N2581" s="39">
        <f>I2581*L2581</f>
        <v/>
      </c>
      <c r="O2581" s="39">
        <f>M2581-N2581</f>
        <v/>
      </c>
      <c r="P2581" s="38">
        <f>IF(M2581=0,0,O2581/M2581)</f>
        <v/>
      </c>
      <c r="Q2581" s="36">
        <f>YEAR(B2581)</f>
        <v/>
      </c>
      <c r="R2581" s="36">
        <f>"Q"&amp;ROUNDUP(MONTH(B2581)/3,0)</f>
        <v/>
      </c>
      <c r="S2581" s="36">
        <f>MONTH(B2581)</f>
        <v/>
      </c>
      <c r="T2581" s="36">
        <f>TEXT(B2581,"mmm")</f>
        <v/>
      </c>
      <c r="U2581" s="36">
        <f>IF(AND(OR(sel_Region="All",C2581=sel_Region),OR(sel_Country="All",D2581=sel_Country),OR(sel_Channel="All",E2581=sel_Channel),OR(sel_Customer="All",F2581=sel_Customer),OR(sel_Category="All",G2581=sel_Category),OR(sel_Product="All",H2581=sel_Product),AND(S2581&gt;=m_From,S2581&lt;=m_To)),1,0)</f>
        <v/>
      </c>
      <c r="V2581" s="36">
        <f>IF(AND(OR(sel_Region="All",C2581=sel_Region),OR(sel_Channel="All",E2581=sel_Channel),OR(sel_Customer="All",F2581=sel_Customer),OR(sel_Category="All",G2581=sel_Category),OR(sel_Product="All",H2581=sel_Product),AND(S2581&gt;=m_From,S2581&lt;=m_To)),1,0)</f>
        <v/>
      </c>
      <c r="W2581" s="36">
        <f>IF(AND(OR(sel_Region="All",C2581=sel_Region),OR(sel_Country="All",D2581=sel_Country),OR(sel_Customer="All",F2581=sel_Customer),OR(sel_Category="All",G2581=sel_Category),OR(sel_Product="All",H2581=sel_Product),AND(S2581&gt;=m_From,S2581&lt;=m_To)),1,0)</f>
        <v/>
      </c>
      <c r="X2581" s="36">
        <f>IF(AND(OR(sel_Region="All",C2581=sel_Region),OR(sel_Country="All",D2581=sel_Country),OR(sel_Channel="All",E2581=sel_Channel),OR(sel_Category="All",G2581=sel_Category),OR(sel_Product="All",H2581=sel_Product),AND(S2581&gt;=m_From,S2581&lt;=m_To)),1,0)</f>
        <v/>
      </c>
      <c r="Y2581" s="36">
        <f>IF(AND(OR(sel_Region="All",C2581=sel_Region),OR(sel_Country="All",D2581=sel_Country),OR(sel_Channel="All",E2581=sel_Channel),OR(sel_Customer="All",F2581=sel_Customer),OR(sel_Product="All",H2581=sel_Product),AND(S2581&gt;=m_From,S2581&lt;=m_To)),1,0)</f>
        <v/>
      </c>
      <c r="Z2581" s="36">
        <f>IF(AND(OR(sel_Region="All",C2581=sel_Region),OR(sel_Country="All",D2581=sel_Country),OR(sel_Channel="All",E2581=sel_Channel),OR(sel_Customer="All",F2581=sel_Customer),OR(sel_Category="All",G2581=sel_Category),AND(S2581&gt;=m_From,S2581&lt;=m_To)),1,0)</f>
        <v/>
      </c>
      <c r="AA2581" s="36">
        <f>IF(AND(OR(sel_Region="All",C2581=sel_Region),OR(sel_Country="All",D2581=sel_Country),OR(sel_Channel="All",E2581=sel_Channel),OR(sel_Customer="All",F2581=sel_Customer),OR(sel_Category="All",G2581=sel_Category),OR(sel_Product="All",H2581=sel_Product)),1,0)</f>
        <v/>
      </c>
    </row>
    <row r="2582">
      <c r="A2582" s="36" t="inlineStr">
        <is>
          <t>04942</t>
        </is>
      </c>
      <c r="B2582" s="44" t="n">
        <v>46367</v>
      </c>
      <c r="C2582" s="36" t="inlineStr">
        <is>
          <t>Western Europe</t>
        </is>
      </c>
      <c r="D2582" s="36" t="inlineStr">
        <is>
          <t>France</t>
        </is>
      </c>
      <c r="E2582" s="36" t="inlineStr">
        <is>
          <t>Marketplace</t>
        </is>
      </c>
      <c r="F2582" s="36" t="inlineStr">
        <is>
          <t>New</t>
        </is>
      </c>
      <c r="G2582" s="36" t="inlineStr">
        <is>
          <t>Travel</t>
        </is>
      </c>
      <c r="H2582" s="36" t="inlineStr">
        <is>
          <t>Insulated Bottle</t>
        </is>
      </c>
      <c r="I2582" s="36" t="n">
        <v>3</v>
      </c>
      <c r="J2582" s="39" t="n">
        <v>36.6</v>
      </c>
      <c r="K2582" s="45" t="n">
        <v>0.15</v>
      </c>
      <c r="L2582" s="39" t="n">
        <v>13.95</v>
      </c>
      <c r="M2582" s="39">
        <f>I2582*J2582*(1-K2582)</f>
        <v/>
      </c>
      <c r="N2582" s="39">
        <f>I2582*L2582</f>
        <v/>
      </c>
      <c r="O2582" s="39">
        <f>M2582-N2582</f>
        <v/>
      </c>
      <c r="P2582" s="38">
        <f>IF(M2582=0,0,O2582/M2582)</f>
        <v/>
      </c>
      <c r="Q2582" s="36">
        <f>YEAR(B2582)</f>
        <v/>
      </c>
      <c r="R2582" s="36">
        <f>"Q"&amp;ROUNDUP(MONTH(B2582)/3,0)</f>
        <v/>
      </c>
      <c r="S2582" s="36">
        <f>MONTH(B2582)</f>
        <v/>
      </c>
      <c r="T2582" s="36">
        <f>TEXT(B2582,"mmm")</f>
        <v/>
      </c>
      <c r="U2582" s="36">
        <f>IF(AND(OR(sel_Region="All",C2582=sel_Region),OR(sel_Country="All",D2582=sel_Country),OR(sel_Channel="All",E2582=sel_Channel),OR(sel_Customer="All",F2582=sel_Customer),OR(sel_Category="All",G2582=sel_Category),OR(sel_Product="All",H2582=sel_Product),AND(S2582&gt;=m_From,S2582&lt;=m_To)),1,0)</f>
        <v/>
      </c>
      <c r="V2582" s="36">
        <f>IF(AND(OR(sel_Region="All",C2582=sel_Region),OR(sel_Channel="All",E2582=sel_Channel),OR(sel_Customer="All",F2582=sel_Customer),OR(sel_Category="All",G2582=sel_Category),OR(sel_Product="All",H2582=sel_Product),AND(S2582&gt;=m_From,S2582&lt;=m_To)),1,0)</f>
        <v/>
      </c>
      <c r="W2582" s="36">
        <f>IF(AND(OR(sel_Region="All",C2582=sel_Region),OR(sel_Country="All",D2582=sel_Country),OR(sel_Customer="All",F2582=sel_Customer),OR(sel_Category="All",G2582=sel_Category),OR(sel_Product="All",H2582=sel_Product),AND(S2582&gt;=m_From,S2582&lt;=m_To)),1,0)</f>
        <v/>
      </c>
      <c r="X2582" s="36">
        <f>IF(AND(OR(sel_Region="All",C2582=sel_Region),OR(sel_Country="All",D2582=sel_Country),OR(sel_Channel="All",E2582=sel_Channel),OR(sel_Category="All",G2582=sel_Category),OR(sel_Product="All",H2582=sel_Product),AND(S2582&gt;=m_From,S2582&lt;=m_To)),1,0)</f>
        <v/>
      </c>
      <c r="Y2582" s="36">
        <f>IF(AND(OR(sel_Region="All",C2582=sel_Region),OR(sel_Country="All",D2582=sel_Country),OR(sel_Channel="All",E2582=sel_Channel),OR(sel_Customer="All",F2582=sel_Customer),OR(sel_Product="All",H2582=sel_Product),AND(S2582&gt;=m_From,S2582&lt;=m_To)),1,0)</f>
        <v/>
      </c>
      <c r="Z2582" s="36">
        <f>IF(AND(OR(sel_Region="All",C2582=sel_Region),OR(sel_Country="All",D2582=sel_Country),OR(sel_Channel="All",E2582=sel_Channel),OR(sel_Customer="All",F2582=sel_Customer),OR(sel_Category="All",G2582=sel_Category),AND(S2582&gt;=m_From,S2582&lt;=m_To)),1,0)</f>
        <v/>
      </c>
      <c r="AA2582" s="36">
        <f>IF(AND(OR(sel_Region="All",C2582=sel_Region),OR(sel_Country="All",D2582=sel_Country),OR(sel_Channel="All",E2582=sel_Channel),OR(sel_Customer="All",F2582=sel_Customer),OR(sel_Category="All",G2582=sel_Category),OR(sel_Product="All",H2582=sel_Product)),1,0)</f>
        <v/>
      </c>
    </row>
    <row r="2583">
      <c r="A2583" s="36" t="inlineStr">
        <is>
          <t>00019</t>
        </is>
      </c>
      <c r="B2583" s="44" t="n">
        <v>46368</v>
      </c>
      <c r="C2583" s="36" t="inlineStr">
        <is>
          <t>Central Europe</t>
        </is>
      </c>
      <c r="D2583" s="36" t="inlineStr">
        <is>
          <t>Czechia</t>
        </is>
      </c>
      <c r="E2583" s="36" t="inlineStr">
        <is>
          <t>Online Store</t>
        </is>
      </c>
      <c r="F2583" s="36" t="inlineStr">
        <is>
          <t>New</t>
        </is>
      </c>
      <c r="G2583" s="36" t="inlineStr">
        <is>
          <t>Cycling</t>
        </is>
      </c>
      <c r="H2583" s="36" t="inlineStr">
        <is>
          <t>Trail Bike Light</t>
        </is>
      </c>
      <c r="I2583" s="36" t="n">
        <v>5</v>
      </c>
      <c r="J2583" s="39" t="n">
        <v>49.59</v>
      </c>
      <c r="K2583" s="45" t="n">
        <v>0</v>
      </c>
      <c r="L2583" s="39" t="n">
        <v>22.63</v>
      </c>
      <c r="M2583" s="39">
        <f>I2583*J2583*(1-K2583)</f>
        <v/>
      </c>
      <c r="N2583" s="39">
        <f>I2583*L2583</f>
        <v/>
      </c>
      <c r="O2583" s="39">
        <f>M2583-N2583</f>
        <v/>
      </c>
      <c r="P2583" s="38">
        <f>IF(M2583=0,0,O2583/M2583)</f>
        <v/>
      </c>
      <c r="Q2583" s="36">
        <f>YEAR(B2583)</f>
        <v/>
      </c>
      <c r="R2583" s="36">
        <f>"Q"&amp;ROUNDUP(MONTH(B2583)/3,0)</f>
        <v/>
      </c>
      <c r="S2583" s="36">
        <f>MONTH(B2583)</f>
        <v/>
      </c>
      <c r="T2583" s="36">
        <f>TEXT(B2583,"mmm")</f>
        <v/>
      </c>
      <c r="U2583" s="36">
        <f>IF(AND(OR(sel_Region="All",C2583=sel_Region),OR(sel_Country="All",D2583=sel_Country),OR(sel_Channel="All",E2583=sel_Channel),OR(sel_Customer="All",F2583=sel_Customer),OR(sel_Category="All",G2583=sel_Category),OR(sel_Product="All",H2583=sel_Product),AND(S2583&gt;=m_From,S2583&lt;=m_To)),1,0)</f>
        <v/>
      </c>
      <c r="V2583" s="36">
        <f>IF(AND(OR(sel_Region="All",C2583=sel_Region),OR(sel_Channel="All",E2583=sel_Channel),OR(sel_Customer="All",F2583=sel_Customer),OR(sel_Category="All",G2583=sel_Category),OR(sel_Product="All",H2583=sel_Product),AND(S2583&gt;=m_From,S2583&lt;=m_To)),1,0)</f>
        <v/>
      </c>
      <c r="W2583" s="36">
        <f>IF(AND(OR(sel_Region="All",C2583=sel_Region),OR(sel_Country="All",D2583=sel_Country),OR(sel_Customer="All",F2583=sel_Customer),OR(sel_Category="All",G2583=sel_Category),OR(sel_Product="All",H2583=sel_Product),AND(S2583&gt;=m_From,S2583&lt;=m_To)),1,0)</f>
        <v/>
      </c>
      <c r="X2583" s="36">
        <f>IF(AND(OR(sel_Region="All",C2583=sel_Region),OR(sel_Country="All",D2583=sel_Country),OR(sel_Channel="All",E2583=sel_Channel),OR(sel_Category="All",G2583=sel_Category),OR(sel_Product="All",H2583=sel_Product),AND(S2583&gt;=m_From,S2583&lt;=m_To)),1,0)</f>
        <v/>
      </c>
      <c r="Y2583" s="36">
        <f>IF(AND(OR(sel_Region="All",C2583=sel_Region),OR(sel_Country="All",D2583=sel_Country),OR(sel_Channel="All",E2583=sel_Channel),OR(sel_Customer="All",F2583=sel_Customer),OR(sel_Product="All",H2583=sel_Product),AND(S2583&gt;=m_From,S2583&lt;=m_To)),1,0)</f>
        <v/>
      </c>
      <c r="Z2583" s="36">
        <f>IF(AND(OR(sel_Region="All",C2583=sel_Region),OR(sel_Country="All",D2583=sel_Country),OR(sel_Channel="All",E2583=sel_Channel),OR(sel_Customer="All",F2583=sel_Customer),OR(sel_Category="All",G2583=sel_Category),AND(S2583&gt;=m_From,S2583&lt;=m_To)),1,0)</f>
        <v/>
      </c>
      <c r="AA2583" s="36">
        <f>IF(AND(OR(sel_Region="All",C2583=sel_Region),OR(sel_Country="All",D2583=sel_Country),OR(sel_Channel="All",E2583=sel_Channel),OR(sel_Customer="All",F2583=sel_Customer),OR(sel_Category="All",G2583=sel_Category),OR(sel_Product="All",H2583=sel_Product)),1,0)</f>
        <v/>
      </c>
    </row>
    <row r="2584">
      <c r="A2584" s="36" t="inlineStr">
        <is>
          <t>04963</t>
        </is>
      </c>
      <c r="B2584" s="44" t="n">
        <v>46368</v>
      </c>
      <c r="C2584" s="36" t="inlineStr">
        <is>
          <t>Southern Europe</t>
        </is>
      </c>
      <c r="D2584" s="36" t="inlineStr">
        <is>
          <t>Spain</t>
        </is>
      </c>
      <c r="E2584" s="36" t="inlineStr">
        <is>
          <t>Online Store</t>
        </is>
      </c>
      <c r="F2584" s="36" t="inlineStr">
        <is>
          <t>New</t>
        </is>
      </c>
      <c r="G2584" s="36" t="inlineStr">
        <is>
          <t>Hiking</t>
        </is>
      </c>
      <c r="H2584" s="36" t="inlineStr">
        <is>
          <t>Trekking Poles</t>
        </is>
      </c>
      <c r="I2584" s="36" t="n">
        <v>5</v>
      </c>
      <c r="J2584" s="39" t="n">
        <v>72.3</v>
      </c>
      <c r="K2584" s="45" t="n">
        <v>0.05</v>
      </c>
      <c r="L2584" s="39" t="n">
        <v>31.73</v>
      </c>
      <c r="M2584" s="39">
        <f>I2584*J2584*(1-K2584)</f>
        <v/>
      </c>
      <c r="N2584" s="39">
        <f>I2584*L2584</f>
        <v/>
      </c>
      <c r="O2584" s="39">
        <f>M2584-N2584</f>
        <v/>
      </c>
      <c r="P2584" s="38">
        <f>IF(M2584=0,0,O2584/M2584)</f>
        <v/>
      </c>
      <c r="Q2584" s="36">
        <f>YEAR(B2584)</f>
        <v/>
      </c>
      <c r="R2584" s="36">
        <f>"Q"&amp;ROUNDUP(MONTH(B2584)/3,0)</f>
        <v/>
      </c>
      <c r="S2584" s="36">
        <f>MONTH(B2584)</f>
        <v/>
      </c>
      <c r="T2584" s="36">
        <f>TEXT(B2584,"mmm")</f>
        <v/>
      </c>
      <c r="U2584" s="36">
        <f>IF(AND(OR(sel_Region="All",C2584=sel_Region),OR(sel_Country="All",D2584=sel_Country),OR(sel_Channel="All",E2584=sel_Channel),OR(sel_Customer="All",F2584=sel_Customer),OR(sel_Category="All",G2584=sel_Category),OR(sel_Product="All",H2584=sel_Product),AND(S2584&gt;=m_From,S2584&lt;=m_To)),1,0)</f>
        <v/>
      </c>
      <c r="V2584" s="36">
        <f>IF(AND(OR(sel_Region="All",C2584=sel_Region),OR(sel_Channel="All",E2584=sel_Channel),OR(sel_Customer="All",F2584=sel_Customer),OR(sel_Category="All",G2584=sel_Category),OR(sel_Product="All",H2584=sel_Product),AND(S2584&gt;=m_From,S2584&lt;=m_To)),1,0)</f>
        <v/>
      </c>
      <c r="W2584" s="36">
        <f>IF(AND(OR(sel_Region="All",C2584=sel_Region),OR(sel_Country="All",D2584=sel_Country),OR(sel_Customer="All",F2584=sel_Customer),OR(sel_Category="All",G2584=sel_Category),OR(sel_Product="All",H2584=sel_Product),AND(S2584&gt;=m_From,S2584&lt;=m_To)),1,0)</f>
        <v/>
      </c>
      <c r="X2584" s="36">
        <f>IF(AND(OR(sel_Region="All",C2584=sel_Region),OR(sel_Country="All",D2584=sel_Country),OR(sel_Channel="All",E2584=sel_Channel),OR(sel_Category="All",G2584=sel_Category),OR(sel_Product="All",H2584=sel_Product),AND(S2584&gt;=m_From,S2584&lt;=m_To)),1,0)</f>
        <v/>
      </c>
      <c r="Y2584" s="36">
        <f>IF(AND(OR(sel_Region="All",C2584=sel_Region),OR(sel_Country="All",D2584=sel_Country),OR(sel_Channel="All",E2584=sel_Channel),OR(sel_Customer="All",F2584=sel_Customer),OR(sel_Product="All",H2584=sel_Product),AND(S2584&gt;=m_From,S2584&lt;=m_To)),1,0)</f>
        <v/>
      </c>
      <c r="Z2584" s="36">
        <f>IF(AND(OR(sel_Region="All",C2584=sel_Region),OR(sel_Country="All",D2584=sel_Country),OR(sel_Channel="All",E2584=sel_Channel),OR(sel_Customer="All",F2584=sel_Customer),OR(sel_Category="All",G2584=sel_Category),AND(S2584&gt;=m_From,S2584&lt;=m_To)),1,0)</f>
        <v/>
      </c>
      <c r="AA2584" s="36">
        <f>IF(AND(OR(sel_Region="All",C2584=sel_Region),OR(sel_Country="All",D2584=sel_Country),OR(sel_Channel="All",E2584=sel_Channel),OR(sel_Customer="All",F2584=sel_Customer),OR(sel_Category="All",G2584=sel_Category),OR(sel_Product="All",H2584=sel_Product)),1,0)</f>
        <v/>
      </c>
    </row>
    <row r="2585">
      <c r="A2585" s="36" t="inlineStr">
        <is>
          <t>05110</t>
        </is>
      </c>
      <c r="B2585" s="44" t="n">
        <v>46368</v>
      </c>
      <c r="C2585" s="36" t="inlineStr">
        <is>
          <t>Western Europe</t>
        </is>
      </c>
      <c r="D2585" s="36" t="inlineStr">
        <is>
          <t>Belgium</t>
        </is>
      </c>
      <c r="E2585" s="36" t="inlineStr">
        <is>
          <t>Online Store</t>
        </is>
      </c>
      <c r="F2585" s="36" t="inlineStr">
        <is>
          <t>New</t>
        </is>
      </c>
      <c r="G2585" s="36" t="inlineStr">
        <is>
          <t>Cycling</t>
        </is>
      </c>
      <c r="H2585" s="36" t="inlineStr">
        <is>
          <t>Trail Bike Light</t>
        </is>
      </c>
      <c r="I2585" s="36" t="n">
        <v>1</v>
      </c>
      <c r="J2585" s="39" t="n">
        <v>51.57</v>
      </c>
      <c r="K2585" s="45" t="n">
        <v>0.1</v>
      </c>
      <c r="L2585" s="39" t="n">
        <v>23.11</v>
      </c>
      <c r="M2585" s="39">
        <f>I2585*J2585*(1-K2585)</f>
        <v/>
      </c>
      <c r="N2585" s="39">
        <f>I2585*L2585</f>
        <v/>
      </c>
      <c r="O2585" s="39">
        <f>M2585-N2585</f>
        <v/>
      </c>
      <c r="P2585" s="38">
        <f>IF(M2585=0,0,O2585/M2585)</f>
        <v/>
      </c>
      <c r="Q2585" s="36">
        <f>YEAR(B2585)</f>
        <v/>
      </c>
      <c r="R2585" s="36">
        <f>"Q"&amp;ROUNDUP(MONTH(B2585)/3,0)</f>
        <v/>
      </c>
      <c r="S2585" s="36">
        <f>MONTH(B2585)</f>
        <v/>
      </c>
      <c r="T2585" s="36">
        <f>TEXT(B2585,"mmm")</f>
        <v/>
      </c>
      <c r="U2585" s="36">
        <f>IF(AND(OR(sel_Region="All",C2585=sel_Region),OR(sel_Country="All",D2585=sel_Country),OR(sel_Channel="All",E2585=sel_Channel),OR(sel_Customer="All",F2585=sel_Customer),OR(sel_Category="All",G2585=sel_Category),OR(sel_Product="All",H2585=sel_Product),AND(S2585&gt;=m_From,S2585&lt;=m_To)),1,0)</f>
        <v/>
      </c>
      <c r="V2585" s="36">
        <f>IF(AND(OR(sel_Region="All",C2585=sel_Region),OR(sel_Channel="All",E2585=sel_Channel),OR(sel_Customer="All",F2585=sel_Customer),OR(sel_Category="All",G2585=sel_Category),OR(sel_Product="All",H2585=sel_Product),AND(S2585&gt;=m_From,S2585&lt;=m_To)),1,0)</f>
        <v/>
      </c>
      <c r="W2585" s="36">
        <f>IF(AND(OR(sel_Region="All",C2585=sel_Region),OR(sel_Country="All",D2585=sel_Country),OR(sel_Customer="All",F2585=sel_Customer),OR(sel_Category="All",G2585=sel_Category),OR(sel_Product="All",H2585=sel_Product),AND(S2585&gt;=m_From,S2585&lt;=m_To)),1,0)</f>
        <v/>
      </c>
      <c r="X2585" s="36">
        <f>IF(AND(OR(sel_Region="All",C2585=sel_Region),OR(sel_Country="All",D2585=sel_Country),OR(sel_Channel="All",E2585=sel_Channel),OR(sel_Category="All",G2585=sel_Category),OR(sel_Product="All",H2585=sel_Product),AND(S2585&gt;=m_From,S2585&lt;=m_To)),1,0)</f>
        <v/>
      </c>
      <c r="Y2585" s="36">
        <f>IF(AND(OR(sel_Region="All",C2585=sel_Region),OR(sel_Country="All",D2585=sel_Country),OR(sel_Channel="All",E2585=sel_Channel),OR(sel_Customer="All",F2585=sel_Customer),OR(sel_Product="All",H2585=sel_Product),AND(S2585&gt;=m_From,S2585&lt;=m_To)),1,0)</f>
        <v/>
      </c>
      <c r="Z2585" s="36">
        <f>IF(AND(OR(sel_Region="All",C2585=sel_Region),OR(sel_Country="All",D2585=sel_Country),OR(sel_Channel="All",E2585=sel_Channel),OR(sel_Customer="All",F2585=sel_Customer),OR(sel_Category="All",G2585=sel_Category),AND(S2585&gt;=m_From,S2585&lt;=m_To)),1,0)</f>
        <v/>
      </c>
      <c r="AA2585" s="36">
        <f>IF(AND(OR(sel_Region="All",C2585=sel_Region),OR(sel_Country="All",D2585=sel_Country),OR(sel_Channel="All",E2585=sel_Channel),OR(sel_Customer="All",F2585=sel_Customer),OR(sel_Category="All",G2585=sel_Category),OR(sel_Product="All",H2585=sel_Product)),1,0)</f>
        <v/>
      </c>
    </row>
    <row r="2586">
      <c r="A2586" s="36" t="inlineStr">
        <is>
          <t>00010</t>
        </is>
      </c>
      <c r="B2586" s="44" t="n">
        <v>46369</v>
      </c>
      <c r="C2586" s="36" t="inlineStr">
        <is>
          <t>Southern Europe</t>
        </is>
      </c>
      <c r="D2586" s="36" t="inlineStr">
        <is>
          <t>Spain</t>
        </is>
      </c>
      <c r="E2586" s="36" t="inlineStr">
        <is>
          <t>Online Store</t>
        </is>
      </c>
      <c r="F2586" s="36" t="inlineStr">
        <is>
          <t>Returning</t>
        </is>
      </c>
      <c r="G2586" s="36" t="inlineStr">
        <is>
          <t>Travel</t>
        </is>
      </c>
      <c r="H2586" s="36" t="inlineStr">
        <is>
          <t>Insulated Bottle</t>
        </is>
      </c>
      <c r="I2586" s="36" t="n">
        <v>3</v>
      </c>
      <c r="J2586" s="39" t="n">
        <v>35.38</v>
      </c>
      <c r="K2586" s="45" t="n">
        <v>0</v>
      </c>
      <c r="L2586" s="39" t="n">
        <v>13.51</v>
      </c>
      <c r="M2586" s="39">
        <f>I2586*J2586*(1-K2586)</f>
        <v/>
      </c>
      <c r="N2586" s="39">
        <f>I2586*L2586</f>
        <v/>
      </c>
      <c r="O2586" s="39">
        <f>M2586-N2586</f>
        <v/>
      </c>
      <c r="P2586" s="38">
        <f>IF(M2586=0,0,O2586/M2586)</f>
        <v/>
      </c>
      <c r="Q2586" s="36">
        <f>YEAR(B2586)</f>
        <v/>
      </c>
      <c r="R2586" s="36">
        <f>"Q"&amp;ROUNDUP(MONTH(B2586)/3,0)</f>
        <v/>
      </c>
      <c r="S2586" s="36">
        <f>MONTH(B2586)</f>
        <v/>
      </c>
      <c r="T2586" s="36">
        <f>TEXT(B2586,"mmm")</f>
        <v/>
      </c>
      <c r="U2586" s="36">
        <f>IF(AND(OR(sel_Region="All",C2586=sel_Region),OR(sel_Country="All",D2586=sel_Country),OR(sel_Channel="All",E2586=sel_Channel),OR(sel_Customer="All",F2586=sel_Customer),OR(sel_Category="All",G2586=sel_Category),OR(sel_Product="All",H2586=sel_Product),AND(S2586&gt;=m_From,S2586&lt;=m_To)),1,0)</f>
        <v/>
      </c>
      <c r="V2586" s="36">
        <f>IF(AND(OR(sel_Region="All",C2586=sel_Region),OR(sel_Channel="All",E2586=sel_Channel),OR(sel_Customer="All",F2586=sel_Customer),OR(sel_Category="All",G2586=sel_Category),OR(sel_Product="All",H2586=sel_Product),AND(S2586&gt;=m_From,S2586&lt;=m_To)),1,0)</f>
        <v/>
      </c>
      <c r="W2586" s="36">
        <f>IF(AND(OR(sel_Region="All",C2586=sel_Region),OR(sel_Country="All",D2586=sel_Country),OR(sel_Customer="All",F2586=sel_Customer),OR(sel_Category="All",G2586=sel_Category),OR(sel_Product="All",H2586=sel_Product),AND(S2586&gt;=m_From,S2586&lt;=m_To)),1,0)</f>
        <v/>
      </c>
      <c r="X2586" s="36">
        <f>IF(AND(OR(sel_Region="All",C2586=sel_Region),OR(sel_Country="All",D2586=sel_Country),OR(sel_Channel="All",E2586=sel_Channel),OR(sel_Category="All",G2586=sel_Category),OR(sel_Product="All",H2586=sel_Product),AND(S2586&gt;=m_From,S2586&lt;=m_To)),1,0)</f>
        <v/>
      </c>
      <c r="Y2586" s="36">
        <f>IF(AND(OR(sel_Region="All",C2586=sel_Region),OR(sel_Country="All",D2586=sel_Country),OR(sel_Channel="All",E2586=sel_Channel),OR(sel_Customer="All",F2586=sel_Customer),OR(sel_Product="All",H2586=sel_Product),AND(S2586&gt;=m_From,S2586&lt;=m_To)),1,0)</f>
        <v/>
      </c>
      <c r="Z2586" s="36">
        <f>IF(AND(OR(sel_Region="All",C2586=sel_Region),OR(sel_Country="All",D2586=sel_Country),OR(sel_Channel="All",E2586=sel_Channel),OR(sel_Customer="All",F2586=sel_Customer),OR(sel_Category="All",G2586=sel_Category),AND(S2586&gt;=m_From,S2586&lt;=m_To)),1,0)</f>
        <v/>
      </c>
      <c r="AA2586" s="36">
        <f>IF(AND(OR(sel_Region="All",C2586=sel_Region),OR(sel_Country="All",D2586=sel_Country),OR(sel_Channel="All",E2586=sel_Channel),OR(sel_Customer="All",F2586=sel_Customer),OR(sel_Category="All",G2586=sel_Category),OR(sel_Product="All",H2586=sel_Product)),1,0)</f>
        <v/>
      </c>
    </row>
    <row r="2587">
      <c r="A2587" s="36" t="inlineStr">
        <is>
          <t>00216</t>
        </is>
      </c>
      <c r="B2587" s="44" t="n">
        <v>46369</v>
      </c>
      <c r="C2587" s="36" t="inlineStr">
        <is>
          <t>Northern Europe</t>
        </is>
      </c>
      <c r="D2587" s="36" t="inlineStr">
        <is>
          <t>Sweden</t>
        </is>
      </c>
      <c r="E2587" s="36" t="inlineStr">
        <is>
          <t>Online Store</t>
        </is>
      </c>
      <c r="F2587" s="36" t="inlineStr">
        <is>
          <t>Business</t>
        </is>
      </c>
      <c r="G2587" s="36" t="inlineStr">
        <is>
          <t>Cycling</t>
        </is>
      </c>
      <c r="H2587" s="36" t="inlineStr">
        <is>
          <t>Commuter Helmet</t>
        </is>
      </c>
      <c r="I2587" s="36" t="n">
        <v>1</v>
      </c>
      <c r="J2587" s="39" t="n">
        <v>83.08</v>
      </c>
      <c r="K2587" s="45" t="n">
        <v>0.15</v>
      </c>
      <c r="L2587" s="39" t="n">
        <v>42.91</v>
      </c>
      <c r="M2587" s="39">
        <f>I2587*J2587*(1-K2587)</f>
        <v/>
      </c>
      <c r="N2587" s="39">
        <f>I2587*L2587</f>
        <v/>
      </c>
      <c r="O2587" s="39">
        <f>M2587-N2587</f>
        <v/>
      </c>
      <c r="P2587" s="38">
        <f>IF(M2587=0,0,O2587/M2587)</f>
        <v/>
      </c>
      <c r="Q2587" s="36">
        <f>YEAR(B2587)</f>
        <v/>
      </c>
      <c r="R2587" s="36">
        <f>"Q"&amp;ROUNDUP(MONTH(B2587)/3,0)</f>
        <v/>
      </c>
      <c r="S2587" s="36">
        <f>MONTH(B2587)</f>
        <v/>
      </c>
      <c r="T2587" s="36">
        <f>TEXT(B2587,"mmm")</f>
        <v/>
      </c>
      <c r="U2587" s="36">
        <f>IF(AND(OR(sel_Region="All",C2587=sel_Region),OR(sel_Country="All",D2587=sel_Country),OR(sel_Channel="All",E2587=sel_Channel),OR(sel_Customer="All",F2587=sel_Customer),OR(sel_Category="All",G2587=sel_Category),OR(sel_Product="All",H2587=sel_Product),AND(S2587&gt;=m_From,S2587&lt;=m_To)),1,0)</f>
        <v/>
      </c>
      <c r="V2587" s="36">
        <f>IF(AND(OR(sel_Region="All",C2587=sel_Region),OR(sel_Channel="All",E2587=sel_Channel),OR(sel_Customer="All",F2587=sel_Customer),OR(sel_Category="All",G2587=sel_Category),OR(sel_Product="All",H2587=sel_Product),AND(S2587&gt;=m_From,S2587&lt;=m_To)),1,0)</f>
        <v/>
      </c>
      <c r="W2587" s="36">
        <f>IF(AND(OR(sel_Region="All",C2587=sel_Region),OR(sel_Country="All",D2587=sel_Country),OR(sel_Customer="All",F2587=sel_Customer),OR(sel_Category="All",G2587=sel_Category),OR(sel_Product="All",H2587=sel_Product),AND(S2587&gt;=m_From,S2587&lt;=m_To)),1,0)</f>
        <v/>
      </c>
      <c r="X2587" s="36">
        <f>IF(AND(OR(sel_Region="All",C2587=sel_Region),OR(sel_Country="All",D2587=sel_Country),OR(sel_Channel="All",E2587=sel_Channel),OR(sel_Category="All",G2587=sel_Category),OR(sel_Product="All",H2587=sel_Product),AND(S2587&gt;=m_From,S2587&lt;=m_To)),1,0)</f>
        <v/>
      </c>
      <c r="Y2587" s="36">
        <f>IF(AND(OR(sel_Region="All",C2587=sel_Region),OR(sel_Country="All",D2587=sel_Country),OR(sel_Channel="All",E2587=sel_Channel),OR(sel_Customer="All",F2587=sel_Customer),OR(sel_Product="All",H2587=sel_Product),AND(S2587&gt;=m_From,S2587&lt;=m_To)),1,0)</f>
        <v/>
      </c>
      <c r="Z2587" s="36">
        <f>IF(AND(OR(sel_Region="All",C2587=sel_Region),OR(sel_Country="All",D2587=sel_Country),OR(sel_Channel="All",E2587=sel_Channel),OR(sel_Customer="All",F2587=sel_Customer),OR(sel_Category="All",G2587=sel_Category),AND(S2587&gt;=m_From,S2587&lt;=m_To)),1,0)</f>
        <v/>
      </c>
      <c r="AA2587" s="36">
        <f>IF(AND(OR(sel_Region="All",C2587=sel_Region),OR(sel_Country="All",D2587=sel_Country),OR(sel_Channel="All",E2587=sel_Channel),OR(sel_Customer="All",F2587=sel_Customer),OR(sel_Category="All",G2587=sel_Category),OR(sel_Product="All",H2587=sel_Product)),1,0)</f>
        <v/>
      </c>
    </row>
    <row r="2588">
      <c r="A2588" s="36" t="inlineStr">
        <is>
          <t>01937</t>
        </is>
      </c>
      <c r="B2588" s="44" t="n">
        <v>46369</v>
      </c>
      <c r="C2588" s="36" t="inlineStr">
        <is>
          <t>Central Europe</t>
        </is>
      </c>
      <c r="D2588" s="36" t="inlineStr">
        <is>
          <t>Germany</t>
        </is>
      </c>
      <c r="E2588" s="36" t="inlineStr">
        <is>
          <t>Corporate</t>
        </is>
      </c>
      <c r="F2588" s="36" t="inlineStr">
        <is>
          <t>Business</t>
        </is>
      </c>
      <c r="G2588" s="36" t="inlineStr">
        <is>
          <t>Camping</t>
        </is>
      </c>
      <c r="H2588" s="36" t="inlineStr">
        <is>
          <t>Compact Sleeping Bag</t>
        </is>
      </c>
      <c r="I2588" s="36" t="n">
        <v>3</v>
      </c>
      <c r="J2588" s="39" t="n">
        <v>120.5</v>
      </c>
      <c r="K2588" s="45" t="n">
        <v>0.15</v>
      </c>
      <c r="L2588" s="39" t="n">
        <v>61.44</v>
      </c>
      <c r="M2588" s="39">
        <f>I2588*J2588*(1-K2588)</f>
        <v/>
      </c>
      <c r="N2588" s="39">
        <f>I2588*L2588</f>
        <v/>
      </c>
      <c r="O2588" s="39">
        <f>M2588-N2588</f>
        <v/>
      </c>
      <c r="P2588" s="38">
        <f>IF(M2588=0,0,O2588/M2588)</f>
        <v/>
      </c>
      <c r="Q2588" s="36">
        <f>YEAR(B2588)</f>
        <v/>
      </c>
      <c r="R2588" s="36">
        <f>"Q"&amp;ROUNDUP(MONTH(B2588)/3,0)</f>
        <v/>
      </c>
      <c r="S2588" s="36">
        <f>MONTH(B2588)</f>
        <v/>
      </c>
      <c r="T2588" s="36">
        <f>TEXT(B2588,"mmm")</f>
        <v/>
      </c>
      <c r="U2588" s="36">
        <f>IF(AND(OR(sel_Region="All",C2588=sel_Region),OR(sel_Country="All",D2588=sel_Country),OR(sel_Channel="All",E2588=sel_Channel),OR(sel_Customer="All",F2588=sel_Customer),OR(sel_Category="All",G2588=sel_Category),OR(sel_Product="All",H2588=sel_Product),AND(S2588&gt;=m_From,S2588&lt;=m_To)),1,0)</f>
        <v/>
      </c>
      <c r="V2588" s="36">
        <f>IF(AND(OR(sel_Region="All",C2588=sel_Region),OR(sel_Channel="All",E2588=sel_Channel),OR(sel_Customer="All",F2588=sel_Customer),OR(sel_Category="All",G2588=sel_Category),OR(sel_Product="All",H2588=sel_Product),AND(S2588&gt;=m_From,S2588&lt;=m_To)),1,0)</f>
        <v/>
      </c>
      <c r="W2588" s="36">
        <f>IF(AND(OR(sel_Region="All",C2588=sel_Region),OR(sel_Country="All",D2588=sel_Country),OR(sel_Customer="All",F2588=sel_Customer),OR(sel_Category="All",G2588=sel_Category),OR(sel_Product="All",H2588=sel_Product),AND(S2588&gt;=m_From,S2588&lt;=m_To)),1,0)</f>
        <v/>
      </c>
      <c r="X2588" s="36">
        <f>IF(AND(OR(sel_Region="All",C2588=sel_Region),OR(sel_Country="All",D2588=sel_Country),OR(sel_Channel="All",E2588=sel_Channel),OR(sel_Category="All",G2588=sel_Category),OR(sel_Product="All",H2588=sel_Product),AND(S2588&gt;=m_From,S2588&lt;=m_To)),1,0)</f>
        <v/>
      </c>
      <c r="Y2588" s="36">
        <f>IF(AND(OR(sel_Region="All",C2588=sel_Region),OR(sel_Country="All",D2588=sel_Country),OR(sel_Channel="All",E2588=sel_Channel),OR(sel_Customer="All",F2588=sel_Customer),OR(sel_Product="All",H2588=sel_Product),AND(S2588&gt;=m_From,S2588&lt;=m_To)),1,0)</f>
        <v/>
      </c>
      <c r="Z2588" s="36">
        <f>IF(AND(OR(sel_Region="All",C2588=sel_Region),OR(sel_Country="All",D2588=sel_Country),OR(sel_Channel="All",E2588=sel_Channel),OR(sel_Customer="All",F2588=sel_Customer),OR(sel_Category="All",G2588=sel_Category),AND(S2588&gt;=m_From,S2588&lt;=m_To)),1,0)</f>
        <v/>
      </c>
      <c r="AA2588" s="36">
        <f>IF(AND(OR(sel_Region="All",C2588=sel_Region),OR(sel_Country="All",D2588=sel_Country),OR(sel_Channel="All",E2588=sel_Channel),OR(sel_Customer="All",F2588=sel_Customer),OR(sel_Category="All",G2588=sel_Category),OR(sel_Product="All",H2588=sel_Product)),1,0)</f>
        <v/>
      </c>
    </row>
    <row r="2589">
      <c r="A2589" s="36" t="inlineStr">
        <is>
          <t>04720</t>
        </is>
      </c>
      <c r="B2589" s="44" t="n">
        <v>46369</v>
      </c>
      <c r="C2589" s="36" t="inlineStr">
        <is>
          <t>Southern Europe</t>
        </is>
      </c>
      <c r="D2589" s="36" t="inlineStr">
        <is>
          <t>Spain</t>
        </is>
      </c>
      <c r="E2589" s="36" t="inlineStr">
        <is>
          <t>Online Store</t>
        </is>
      </c>
      <c r="F2589" s="36" t="inlineStr">
        <is>
          <t>New</t>
        </is>
      </c>
      <c r="G2589" s="36" t="inlineStr">
        <is>
          <t>Hiking</t>
        </is>
      </c>
      <c r="H2589" s="36" t="inlineStr">
        <is>
          <t>Trekking Poles</t>
        </is>
      </c>
      <c r="I2589" s="36" t="n">
        <v>3</v>
      </c>
      <c r="J2589" s="39" t="n">
        <v>73.04000000000001</v>
      </c>
      <c r="K2589" s="45" t="n">
        <v>0.1</v>
      </c>
      <c r="L2589" s="39" t="n">
        <v>31.78</v>
      </c>
      <c r="M2589" s="39">
        <f>I2589*J2589*(1-K2589)</f>
        <v/>
      </c>
      <c r="N2589" s="39">
        <f>I2589*L2589</f>
        <v/>
      </c>
      <c r="O2589" s="39">
        <f>M2589-N2589</f>
        <v/>
      </c>
      <c r="P2589" s="38">
        <f>IF(M2589=0,0,O2589/M2589)</f>
        <v/>
      </c>
      <c r="Q2589" s="36">
        <f>YEAR(B2589)</f>
        <v/>
      </c>
      <c r="R2589" s="36">
        <f>"Q"&amp;ROUNDUP(MONTH(B2589)/3,0)</f>
        <v/>
      </c>
      <c r="S2589" s="36">
        <f>MONTH(B2589)</f>
        <v/>
      </c>
      <c r="T2589" s="36">
        <f>TEXT(B2589,"mmm")</f>
        <v/>
      </c>
      <c r="U2589" s="36">
        <f>IF(AND(OR(sel_Region="All",C2589=sel_Region),OR(sel_Country="All",D2589=sel_Country),OR(sel_Channel="All",E2589=sel_Channel),OR(sel_Customer="All",F2589=sel_Customer),OR(sel_Category="All",G2589=sel_Category),OR(sel_Product="All",H2589=sel_Product),AND(S2589&gt;=m_From,S2589&lt;=m_To)),1,0)</f>
        <v/>
      </c>
      <c r="V2589" s="36">
        <f>IF(AND(OR(sel_Region="All",C2589=sel_Region),OR(sel_Channel="All",E2589=sel_Channel),OR(sel_Customer="All",F2589=sel_Customer),OR(sel_Category="All",G2589=sel_Category),OR(sel_Product="All",H2589=sel_Product),AND(S2589&gt;=m_From,S2589&lt;=m_To)),1,0)</f>
        <v/>
      </c>
      <c r="W2589" s="36">
        <f>IF(AND(OR(sel_Region="All",C2589=sel_Region),OR(sel_Country="All",D2589=sel_Country),OR(sel_Customer="All",F2589=sel_Customer),OR(sel_Category="All",G2589=sel_Category),OR(sel_Product="All",H2589=sel_Product),AND(S2589&gt;=m_From,S2589&lt;=m_To)),1,0)</f>
        <v/>
      </c>
      <c r="X2589" s="36">
        <f>IF(AND(OR(sel_Region="All",C2589=sel_Region),OR(sel_Country="All",D2589=sel_Country),OR(sel_Channel="All",E2589=sel_Channel),OR(sel_Category="All",G2589=sel_Category),OR(sel_Product="All",H2589=sel_Product),AND(S2589&gt;=m_From,S2589&lt;=m_To)),1,0)</f>
        <v/>
      </c>
      <c r="Y2589" s="36">
        <f>IF(AND(OR(sel_Region="All",C2589=sel_Region),OR(sel_Country="All",D2589=sel_Country),OR(sel_Channel="All",E2589=sel_Channel),OR(sel_Customer="All",F2589=sel_Customer),OR(sel_Product="All",H2589=sel_Product),AND(S2589&gt;=m_From,S2589&lt;=m_To)),1,0)</f>
        <v/>
      </c>
      <c r="Z2589" s="36">
        <f>IF(AND(OR(sel_Region="All",C2589=sel_Region),OR(sel_Country="All",D2589=sel_Country),OR(sel_Channel="All",E2589=sel_Channel),OR(sel_Customer="All",F2589=sel_Customer),OR(sel_Category="All",G2589=sel_Category),AND(S2589&gt;=m_From,S2589&lt;=m_To)),1,0)</f>
        <v/>
      </c>
      <c r="AA2589" s="36">
        <f>IF(AND(OR(sel_Region="All",C2589=sel_Region),OR(sel_Country="All",D2589=sel_Country),OR(sel_Channel="All",E2589=sel_Channel),OR(sel_Customer="All",F2589=sel_Customer),OR(sel_Category="All",G2589=sel_Category),OR(sel_Product="All",H2589=sel_Product)),1,0)</f>
        <v/>
      </c>
    </row>
    <row r="2590">
      <c r="A2590" s="36" t="inlineStr">
        <is>
          <t>00091</t>
        </is>
      </c>
      <c r="B2590" s="44" t="n">
        <v>46370</v>
      </c>
      <c r="C2590" s="36" t="inlineStr">
        <is>
          <t>Central Europe</t>
        </is>
      </c>
      <c r="D2590" s="36" t="inlineStr">
        <is>
          <t>Czechia</t>
        </is>
      </c>
      <c r="E2590" s="36" t="inlineStr">
        <is>
          <t>Online Store</t>
        </is>
      </c>
      <c r="F2590" s="36" t="inlineStr">
        <is>
          <t>Returning</t>
        </is>
      </c>
      <c r="G2590" s="36" t="inlineStr">
        <is>
          <t>Camping</t>
        </is>
      </c>
      <c r="H2590" s="36" t="inlineStr">
        <is>
          <t>Alpine Tent 4P</t>
        </is>
      </c>
      <c r="I2590" s="36" t="n">
        <v>2</v>
      </c>
      <c r="J2590" s="39" t="n">
        <v>339.95</v>
      </c>
      <c r="K2590" s="45" t="n">
        <v>0</v>
      </c>
      <c r="L2590" s="39" t="n">
        <v>195.78</v>
      </c>
      <c r="M2590" s="39">
        <f>I2590*J2590*(1-K2590)</f>
        <v/>
      </c>
      <c r="N2590" s="39">
        <f>I2590*L2590</f>
        <v/>
      </c>
      <c r="O2590" s="39">
        <f>M2590-N2590</f>
        <v/>
      </c>
      <c r="P2590" s="38">
        <f>IF(M2590=0,0,O2590/M2590)</f>
        <v/>
      </c>
      <c r="Q2590" s="36">
        <f>YEAR(B2590)</f>
        <v/>
      </c>
      <c r="R2590" s="36">
        <f>"Q"&amp;ROUNDUP(MONTH(B2590)/3,0)</f>
        <v/>
      </c>
      <c r="S2590" s="36">
        <f>MONTH(B2590)</f>
        <v/>
      </c>
      <c r="T2590" s="36">
        <f>TEXT(B2590,"mmm")</f>
        <v/>
      </c>
      <c r="U2590" s="36">
        <f>IF(AND(OR(sel_Region="All",C2590=sel_Region),OR(sel_Country="All",D2590=sel_Country),OR(sel_Channel="All",E2590=sel_Channel),OR(sel_Customer="All",F2590=sel_Customer),OR(sel_Category="All",G2590=sel_Category),OR(sel_Product="All",H2590=sel_Product),AND(S2590&gt;=m_From,S2590&lt;=m_To)),1,0)</f>
        <v/>
      </c>
      <c r="V2590" s="36">
        <f>IF(AND(OR(sel_Region="All",C2590=sel_Region),OR(sel_Channel="All",E2590=sel_Channel),OR(sel_Customer="All",F2590=sel_Customer),OR(sel_Category="All",G2590=sel_Category),OR(sel_Product="All",H2590=sel_Product),AND(S2590&gt;=m_From,S2590&lt;=m_To)),1,0)</f>
        <v/>
      </c>
      <c r="W2590" s="36">
        <f>IF(AND(OR(sel_Region="All",C2590=sel_Region),OR(sel_Country="All",D2590=sel_Country),OR(sel_Customer="All",F2590=sel_Customer),OR(sel_Category="All",G2590=sel_Category),OR(sel_Product="All",H2590=sel_Product),AND(S2590&gt;=m_From,S2590&lt;=m_To)),1,0)</f>
        <v/>
      </c>
      <c r="X2590" s="36">
        <f>IF(AND(OR(sel_Region="All",C2590=sel_Region),OR(sel_Country="All",D2590=sel_Country),OR(sel_Channel="All",E2590=sel_Channel),OR(sel_Category="All",G2590=sel_Category),OR(sel_Product="All",H2590=sel_Product),AND(S2590&gt;=m_From,S2590&lt;=m_To)),1,0)</f>
        <v/>
      </c>
      <c r="Y2590" s="36">
        <f>IF(AND(OR(sel_Region="All",C2590=sel_Region),OR(sel_Country="All",D2590=sel_Country),OR(sel_Channel="All",E2590=sel_Channel),OR(sel_Customer="All",F2590=sel_Customer),OR(sel_Product="All",H2590=sel_Product),AND(S2590&gt;=m_From,S2590&lt;=m_To)),1,0)</f>
        <v/>
      </c>
      <c r="Z2590" s="36">
        <f>IF(AND(OR(sel_Region="All",C2590=sel_Region),OR(sel_Country="All",D2590=sel_Country),OR(sel_Channel="All",E2590=sel_Channel),OR(sel_Customer="All",F2590=sel_Customer),OR(sel_Category="All",G2590=sel_Category),AND(S2590&gt;=m_From,S2590&lt;=m_To)),1,0)</f>
        <v/>
      </c>
      <c r="AA2590" s="36">
        <f>IF(AND(OR(sel_Region="All",C2590=sel_Region),OR(sel_Country="All",D2590=sel_Country),OR(sel_Channel="All",E2590=sel_Channel),OR(sel_Customer="All",F2590=sel_Customer),OR(sel_Category="All",G2590=sel_Category),OR(sel_Product="All",H2590=sel_Product)),1,0)</f>
        <v/>
      </c>
    </row>
    <row r="2591">
      <c r="A2591" s="36" t="inlineStr">
        <is>
          <t>00505</t>
        </is>
      </c>
      <c r="B2591" s="44" t="n">
        <v>46370</v>
      </c>
      <c r="C2591" s="36" t="inlineStr">
        <is>
          <t>Southern Europe</t>
        </is>
      </c>
      <c r="D2591" s="36" t="inlineStr">
        <is>
          <t>Italy</t>
        </is>
      </c>
      <c r="E2591" s="36" t="inlineStr">
        <is>
          <t>Marketplace</t>
        </is>
      </c>
      <c r="F2591" s="36" t="inlineStr">
        <is>
          <t>Returning</t>
        </is>
      </c>
      <c r="G2591" s="36" t="inlineStr">
        <is>
          <t>Camping</t>
        </is>
      </c>
      <c r="H2591" s="36" t="inlineStr">
        <is>
          <t>Trail Tent 2P</t>
        </is>
      </c>
      <c r="I2591" s="36" t="n">
        <v>2</v>
      </c>
      <c r="J2591" s="39" t="n">
        <v>199.43</v>
      </c>
      <c r="K2591" s="45" t="n">
        <v>0.05</v>
      </c>
      <c r="L2591" s="39" t="n">
        <v>106.58</v>
      </c>
      <c r="M2591" s="39">
        <f>I2591*J2591*(1-K2591)</f>
        <v/>
      </c>
      <c r="N2591" s="39">
        <f>I2591*L2591</f>
        <v/>
      </c>
      <c r="O2591" s="39">
        <f>M2591-N2591</f>
        <v/>
      </c>
      <c r="P2591" s="38">
        <f>IF(M2591=0,0,O2591/M2591)</f>
        <v/>
      </c>
      <c r="Q2591" s="36">
        <f>YEAR(B2591)</f>
        <v/>
      </c>
      <c r="R2591" s="36">
        <f>"Q"&amp;ROUNDUP(MONTH(B2591)/3,0)</f>
        <v/>
      </c>
      <c r="S2591" s="36">
        <f>MONTH(B2591)</f>
        <v/>
      </c>
      <c r="T2591" s="36">
        <f>TEXT(B2591,"mmm")</f>
        <v/>
      </c>
      <c r="U2591" s="36">
        <f>IF(AND(OR(sel_Region="All",C2591=sel_Region),OR(sel_Country="All",D2591=sel_Country),OR(sel_Channel="All",E2591=sel_Channel),OR(sel_Customer="All",F2591=sel_Customer),OR(sel_Category="All",G2591=sel_Category),OR(sel_Product="All",H2591=sel_Product),AND(S2591&gt;=m_From,S2591&lt;=m_To)),1,0)</f>
        <v/>
      </c>
      <c r="V2591" s="36">
        <f>IF(AND(OR(sel_Region="All",C2591=sel_Region),OR(sel_Channel="All",E2591=sel_Channel),OR(sel_Customer="All",F2591=sel_Customer),OR(sel_Category="All",G2591=sel_Category),OR(sel_Product="All",H2591=sel_Product),AND(S2591&gt;=m_From,S2591&lt;=m_To)),1,0)</f>
        <v/>
      </c>
      <c r="W2591" s="36">
        <f>IF(AND(OR(sel_Region="All",C2591=sel_Region),OR(sel_Country="All",D2591=sel_Country),OR(sel_Customer="All",F2591=sel_Customer),OR(sel_Category="All",G2591=sel_Category),OR(sel_Product="All",H2591=sel_Product),AND(S2591&gt;=m_From,S2591&lt;=m_To)),1,0)</f>
        <v/>
      </c>
      <c r="X2591" s="36">
        <f>IF(AND(OR(sel_Region="All",C2591=sel_Region),OR(sel_Country="All",D2591=sel_Country),OR(sel_Channel="All",E2591=sel_Channel),OR(sel_Category="All",G2591=sel_Category),OR(sel_Product="All",H2591=sel_Product),AND(S2591&gt;=m_From,S2591&lt;=m_To)),1,0)</f>
        <v/>
      </c>
      <c r="Y2591" s="36">
        <f>IF(AND(OR(sel_Region="All",C2591=sel_Region),OR(sel_Country="All",D2591=sel_Country),OR(sel_Channel="All",E2591=sel_Channel),OR(sel_Customer="All",F2591=sel_Customer),OR(sel_Product="All",H2591=sel_Product),AND(S2591&gt;=m_From,S2591&lt;=m_To)),1,0)</f>
        <v/>
      </c>
      <c r="Z2591" s="36">
        <f>IF(AND(OR(sel_Region="All",C2591=sel_Region),OR(sel_Country="All",D2591=sel_Country),OR(sel_Channel="All",E2591=sel_Channel),OR(sel_Customer="All",F2591=sel_Customer),OR(sel_Category="All",G2591=sel_Category),AND(S2591&gt;=m_From,S2591&lt;=m_To)),1,0)</f>
        <v/>
      </c>
      <c r="AA2591" s="36">
        <f>IF(AND(OR(sel_Region="All",C2591=sel_Region),OR(sel_Country="All",D2591=sel_Country),OR(sel_Channel="All",E2591=sel_Channel),OR(sel_Customer="All",F2591=sel_Customer),OR(sel_Category="All",G2591=sel_Category),OR(sel_Product="All",H2591=sel_Product)),1,0)</f>
        <v/>
      </c>
    </row>
    <row r="2592">
      <c r="A2592" s="36" t="inlineStr">
        <is>
          <t>00640</t>
        </is>
      </c>
      <c r="B2592" s="44" t="n">
        <v>46370</v>
      </c>
      <c r="C2592" s="36" t="inlineStr">
        <is>
          <t>Southern Europe</t>
        </is>
      </c>
      <c r="D2592" s="36" t="inlineStr">
        <is>
          <t>Italy</t>
        </is>
      </c>
      <c r="E2592" s="36" t="inlineStr">
        <is>
          <t>Online Store</t>
        </is>
      </c>
      <c r="F2592" s="36" t="inlineStr">
        <is>
          <t>Returning</t>
        </is>
      </c>
      <c r="G2592" s="36" t="inlineStr">
        <is>
          <t>Fitness</t>
        </is>
      </c>
      <c r="H2592" s="36" t="inlineStr">
        <is>
          <t>Training Mat</t>
        </is>
      </c>
      <c r="I2592" s="36" t="n">
        <v>2</v>
      </c>
      <c r="J2592" s="39" t="n">
        <v>51.77</v>
      </c>
      <c r="K2592" s="45" t="n">
        <v>0.05</v>
      </c>
      <c r="L2592" s="39" t="n">
        <v>21.76</v>
      </c>
      <c r="M2592" s="39">
        <f>I2592*J2592*(1-K2592)</f>
        <v/>
      </c>
      <c r="N2592" s="39">
        <f>I2592*L2592</f>
        <v/>
      </c>
      <c r="O2592" s="39">
        <f>M2592-N2592</f>
        <v/>
      </c>
      <c r="P2592" s="38">
        <f>IF(M2592=0,0,O2592/M2592)</f>
        <v/>
      </c>
      <c r="Q2592" s="36">
        <f>YEAR(B2592)</f>
        <v/>
      </c>
      <c r="R2592" s="36">
        <f>"Q"&amp;ROUNDUP(MONTH(B2592)/3,0)</f>
        <v/>
      </c>
      <c r="S2592" s="36">
        <f>MONTH(B2592)</f>
        <v/>
      </c>
      <c r="T2592" s="36">
        <f>TEXT(B2592,"mmm")</f>
        <v/>
      </c>
      <c r="U2592" s="36">
        <f>IF(AND(OR(sel_Region="All",C2592=sel_Region),OR(sel_Country="All",D2592=sel_Country),OR(sel_Channel="All",E2592=sel_Channel),OR(sel_Customer="All",F2592=sel_Customer),OR(sel_Category="All",G2592=sel_Category),OR(sel_Product="All",H2592=sel_Product),AND(S2592&gt;=m_From,S2592&lt;=m_To)),1,0)</f>
        <v/>
      </c>
      <c r="V2592" s="36">
        <f>IF(AND(OR(sel_Region="All",C2592=sel_Region),OR(sel_Channel="All",E2592=sel_Channel),OR(sel_Customer="All",F2592=sel_Customer),OR(sel_Category="All",G2592=sel_Category),OR(sel_Product="All",H2592=sel_Product),AND(S2592&gt;=m_From,S2592&lt;=m_To)),1,0)</f>
        <v/>
      </c>
      <c r="W2592" s="36">
        <f>IF(AND(OR(sel_Region="All",C2592=sel_Region),OR(sel_Country="All",D2592=sel_Country),OR(sel_Customer="All",F2592=sel_Customer),OR(sel_Category="All",G2592=sel_Category),OR(sel_Product="All",H2592=sel_Product),AND(S2592&gt;=m_From,S2592&lt;=m_To)),1,0)</f>
        <v/>
      </c>
      <c r="X2592" s="36">
        <f>IF(AND(OR(sel_Region="All",C2592=sel_Region),OR(sel_Country="All",D2592=sel_Country),OR(sel_Channel="All",E2592=sel_Channel),OR(sel_Category="All",G2592=sel_Category),OR(sel_Product="All",H2592=sel_Product),AND(S2592&gt;=m_From,S2592&lt;=m_To)),1,0)</f>
        <v/>
      </c>
      <c r="Y2592" s="36">
        <f>IF(AND(OR(sel_Region="All",C2592=sel_Region),OR(sel_Country="All",D2592=sel_Country),OR(sel_Channel="All",E2592=sel_Channel),OR(sel_Customer="All",F2592=sel_Customer),OR(sel_Product="All",H2592=sel_Product),AND(S2592&gt;=m_From,S2592&lt;=m_To)),1,0)</f>
        <v/>
      </c>
      <c r="Z2592" s="36">
        <f>IF(AND(OR(sel_Region="All",C2592=sel_Region),OR(sel_Country="All",D2592=sel_Country),OR(sel_Channel="All",E2592=sel_Channel),OR(sel_Customer="All",F2592=sel_Customer),OR(sel_Category="All",G2592=sel_Category),AND(S2592&gt;=m_From,S2592&lt;=m_To)),1,0)</f>
        <v/>
      </c>
      <c r="AA2592" s="36">
        <f>IF(AND(OR(sel_Region="All",C2592=sel_Region),OR(sel_Country="All",D2592=sel_Country),OR(sel_Channel="All",E2592=sel_Channel),OR(sel_Customer="All",F2592=sel_Customer),OR(sel_Category="All",G2592=sel_Category),OR(sel_Product="All",H2592=sel_Product)),1,0)</f>
        <v/>
      </c>
    </row>
    <row r="2593">
      <c r="A2593" s="36" t="inlineStr">
        <is>
          <t>01408</t>
        </is>
      </c>
      <c r="B2593" s="44" t="n">
        <v>46370</v>
      </c>
      <c r="C2593" s="36" t="inlineStr">
        <is>
          <t>Central Europe</t>
        </is>
      </c>
      <c r="D2593" s="36" t="inlineStr">
        <is>
          <t>Czechia</t>
        </is>
      </c>
      <c r="E2593" s="36" t="inlineStr">
        <is>
          <t>Online Store</t>
        </is>
      </c>
      <c r="F2593" s="36" t="inlineStr">
        <is>
          <t>New</t>
        </is>
      </c>
      <c r="G2593" s="36" t="inlineStr">
        <is>
          <t>Travel</t>
        </is>
      </c>
      <c r="H2593" s="36" t="inlineStr">
        <is>
          <t>Travel Backpack 35L</t>
        </is>
      </c>
      <c r="I2593" s="36" t="n">
        <v>1</v>
      </c>
      <c r="J2593" s="39" t="n">
        <v>161.53</v>
      </c>
      <c r="K2593" s="45" t="n">
        <v>0</v>
      </c>
      <c r="L2593" s="39" t="n">
        <v>87.43000000000001</v>
      </c>
      <c r="M2593" s="39">
        <f>I2593*J2593*(1-K2593)</f>
        <v/>
      </c>
      <c r="N2593" s="39">
        <f>I2593*L2593</f>
        <v/>
      </c>
      <c r="O2593" s="39">
        <f>M2593-N2593</f>
        <v/>
      </c>
      <c r="P2593" s="38">
        <f>IF(M2593=0,0,O2593/M2593)</f>
        <v/>
      </c>
      <c r="Q2593" s="36">
        <f>YEAR(B2593)</f>
        <v/>
      </c>
      <c r="R2593" s="36">
        <f>"Q"&amp;ROUNDUP(MONTH(B2593)/3,0)</f>
        <v/>
      </c>
      <c r="S2593" s="36">
        <f>MONTH(B2593)</f>
        <v/>
      </c>
      <c r="T2593" s="36">
        <f>TEXT(B2593,"mmm")</f>
        <v/>
      </c>
      <c r="U2593" s="36">
        <f>IF(AND(OR(sel_Region="All",C2593=sel_Region),OR(sel_Country="All",D2593=sel_Country),OR(sel_Channel="All",E2593=sel_Channel),OR(sel_Customer="All",F2593=sel_Customer),OR(sel_Category="All",G2593=sel_Category),OR(sel_Product="All",H2593=sel_Product),AND(S2593&gt;=m_From,S2593&lt;=m_To)),1,0)</f>
        <v/>
      </c>
      <c r="V2593" s="36">
        <f>IF(AND(OR(sel_Region="All",C2593=sel_Region),OR(sel_Channel="All",E2593=sel_Channel),OR(sel_Customer="All",F2593=sel_Customer),OR(sel_Category="All",G2593=sel_Category),OR(sel_Product="All",H2593=sel_Product),AND(S2593&gt;=m_From,S2593&lt;=m_To)),1,0)</f>
        <v/>
      </c>
      <c r="W2593" s="36">
        <f>IF(AND(OR(sel_Region="All",C2593=sel_Region),OR(sel_Country="All",D2593=sel_Country),OR(sel_Customer="All",F2593=sel_Customer),OR(sel_Category="All",G2593=sel_Category),OR(sel_Product="All",H2593=sel_Product),AND(S2593&gt;=m_From,S2593&lt;=m_To)),1,0)</f>
        <v/>
      </c>
      <c r="X2593" s="36">
        <f>IF(AND(OR(sel_Region="All",C2593=sel_Region),OR(sel_Country="All",D2593=sel_Country),OR(sel_Channel="All",E2593=sel_Channel),OR(sel_Category="All",G2593=sel_Category),OR(sel_Product="All",H2593=sel_Product),AND(S2593&gt;=m_From,S2593&lt;=m_To)),1,0)</f>
        <v/>
      </c>
      <c r="Y2593" s="36">
        <f>IF(AND(OR(sel_Region="All",C2593=sel_Region),OR(sel_Country="All",D2593=sel_Country),OR(sel_Channel="All",E2593=sel_Channel),OR(sel_Customer="All",F2593=sel_Customer),OR(sel_Product="All",H2593=sel_Product),AND(S2593&gt;=m_From,S2593&lt;=m_To)),1,0)</f>
        <v/>
      </c>
      <c r="Z2593" s="36">
        <f>IF(AND(OR(sel_Region="All",C2593=sel_Region),OR(sel_Country="All",D2593=sel_Country),OR(sel_Channel="All",E2593=sel_Channel),OR(sel_Customer="All",F2593=sel_Customer),OR(sel_Category="All",G2593=sel_Category),AND(S2593&gt;=m_From,S2593&lt;=m_To)),1,0)</f>
        <v/>
      </c>
      <c r="AA2593" s="36">
        <f>IF(AND(OR(sel_Region="All",C2593=sel_Region),OR(sel_Country="All",D2593=sel_Country),OR(sel_Channel="All",E2593=sel_Channel),OR(sel_Customer="All",F2593=sel_Customer),OR(sel_Category="All",G2593=sel_Category),OR(sel_Product="All",H2593=sel_Product)),1,0)</f>
        <v/>
      </c>
    </row>
    <row r="2594">
      <c r="A2594" s="36" t="inlineStr">
        <is>
          <t>02074</t>
        </is>
      </c>
      <c r="B2594" s="44" t="n">
        <v>46370</v>
      </c>
      <c r="C2594" s="36" t="inlineStr">
        <is>
          <t>Central Europe</t>
        </is>
      </c>
      <c r="D2594" s="36" t="inlineStr">
        <is>
          <t>Germany</t>
        </is>
      </c>
      <c r="E2594" s="36" t="inlineStr">
        <is>
          <t>Corporate</t>
        </is>
      </c>
      <c r="F2594" s="36" t="inlineStr">
        <is>
          <t>Business</t>
        </is>
      </c>
      <c r="G2594" s="36" t="inlineStr">
        <is>
          <t>Hiking</t>
        </is>
      </c>
      <c r="H2594" s="36" t="inlineStr">
        <is>
          <t>Trail Boots</t>
        </is>
      </c>
      <c r="I2594" s="36" t="n">
        <v>4</v>
      </c>
      <c r="J2594" s="39" t="n">
        <v>145.85</v>
      </c>
      <c r="K2594" s="45" t="n">
        <v>0.1</v>
      </c>
      <c r="L2594" s="39" t="n">
        <v>79.47</v>
      </c>
      <c r="M2594" s="39">
        <f>I2594*J2594*(1-K2594)</f>
        <v/>
      </c>
      <c r="N2594" s="39">
        <f>I2594*L2594</f>
        <v/>
      </c>
      <c r="O2594" s="39">
        <f>M2594-N2594</f>
        <v/>
      </c>
      <c r="P2594" s="38">
        <f>IF(M2594=0,0,O2594/M2594)</f>
        <v/>
      </c>
      <c r="Q2594" s="36">
        <f>YEAR(B2594)</f>
        <v/>
      </c>
      <c r="R2594" s="36">
        <f>"Q"&amp;ROUNDUP(MONTH(B2594)/3,0)</f>
        <v/>
      </c>
      <c r="S2594" s="36">
        <f>MONTH(B2594)</f>
        <v/>
      </c>
      <c r="T2594" s="36">
        <f>TEXT(B2594,"mmm")</f>
        <v/>
      </c>
      <c r="U2594" s="36">
        <f>IF(AND(OR(sel_Region="All",C2594=sel_Region),OR(sel_Country="All",D2594=sel_Country),OR(sel_Channel="All",E2594=sel_Channel),OR(sel_Customer="All",F2594=sel_Customer),OR(sel_Category="All",G2594=sel_Category),OR(sel_Product="All",H2594=sel_Product),AND(S2594&gt;=m_From,S2594&lt;=m_To)),1,0)</f>
        <v/>
      </c>
      <c r="V2594" s="36">
        <f>IF(AND(OR(sel_Region="All",C2594=sel_Region),OR(sel_Channel="All",E2594=sel_Channel),OR(sel_Customer="All",F2594=sel_Customer),OR(sel_Category="All",G2594=sel_Category),OR(sel_Product="All",H2594=sel_Product),AND(S2594&gt;=m_From,S2594&lt;=m_To)),1,0)</f>
        <v/>
      </c>
      <c r="W2594" s="36">
        <f>IF(AND(OR(sel_Region="All",C2594=sel_Region),OR(sel_Country="All",D2594=sel_Country),OR(sel_Customer="All",F2594=sel_Customer),OR(sel_Category="All",G2594=sel_Category),OR(sel_Product="All",H2594=sel_Product),AND(S2594&gt;=m_From,S2594&lt;=m_To)),1,0)</f>
        <v/>
      </c>
      <c r="X2594" s="36">
        <f>IF(AND(OR(sel_Region="All",C2594=sel_Region),OR(sel_Country="All",D2594=sel_Country),OR(sel_Channel="All",E2594=sel_Channel),OR(sel_Category="All",G2594=sel_Category),OR(sel_Product="All",H2594=sel_Product),AND(S2594&gt;=m_From,S2594&lt;=m_To)),1,0)</f>
        <v/>
      </c>
      <c r="Y2594" s="36">
        <f>IF(AND(OR(sel_Region="All",C2594=sel_Region),OR(sel_Country="All",D2594=sel_Country),OR(sel_Channel="All",E2594=sel_Channel),OR(sel_Customer="All",F2594=sel_Customer),OR(sel_Product="All",H2594=sel_Product),AND(S2594&gt;=m_From,S2594&lt;=m_To)),1,0)</f>
        <v/>
      </c>
      <c r="Z2594" s="36">
        <f>IF(AND(OR(sel_Region="All",C2594=sel_Region),OR(sel_Country="All",D2594=sel_Country),OR(sel_Channel="All",E2594=sel_Channel),OR(sel_Customer="All",F2594=sel_Customer),OR(sel_Category="All",G2594=sel_Category),AND(S2594&gt;=m_From,S2594&lt;=m_To)),1,0)</f>
        <v/>
      </c>
      <c r="AA2594" s="36">
        <f>IF(AND(OR(sel_Region="All",C2594=sel_Region),OR(sel_Country="All",D2594=sel_Country),OR(sel_Channel="All",E2594=sel_Channel),OR(sel_Customer="All",F2594=sel_Customer),OR(sel_Category="All",G2594=sel_Category),OR(sel_Product="All",H2594=sel_Product)),1,0)</f>
        <v/>
      </c>
    </row>
    <row r="2595">
      <c r="A2595" s="36" t="inlineStr">
        <is>
          <t>02639</t>
        </is>
      </c>
      <c r="B2595" s="44" t="n">
        <v>46370</v>
      </c>
      <c r="C2595" s="36" t="inlineStr">
        <is>
          <t>Western Europe</t>
        </is>
      </c>
      <c r="D2595" s="36" t="inlineStr">
        <is>
          <t>France</t>
        </is>
      </c>
      <c r="E2595" s="36" t="inlineStr">
        <is>
          <t>Online Store</t>
        </is>
      </c>
      <c r="F2595" s="36" t="inlineStr">
        <is>
          <t>Returning</t>
        </is>
      </c>
      <c r="G2595" s="36" t="inlineStr">
        <is>
          <t>Camping</t>
        </is>
      </c>
      <c r="H2595" s="36" t="inlineStr">
        <is>
          <t>Trail Tent 2P</t>
        </is>
      </c>
      <c r="I2595" s="36" t="n">
        <v>1</v>
      </c>
      <c r="J2595" s="39" t="n">
        <v>197.18</v>
      </c>
      <c r="K2595" s="45" t="n">
        <v>0</v>
      </c>
      <c r="L2595" s="39" t="n">
        <v>105.28</v>
      </c>
      <c r="M2595" s="39">
        <f>I2595*J2595*(1-K2595)</f>
        <v/>
      </c>
      <c r="N2595" s="39">
        <f>I2595*L2595</f>
        <v/>
      </c>
      <c r="O2595" s="39">
        <f>M2595-N2595</f>
        <v/>
      </c>
      <c r="P2595" s="38">
        <f>IF(M2595=0,0,O2595/M2595)</f>
        <v/>
      </c>
      <c r="Q2595" s="36">
        <f>YEAR(B2595)</f>
        <v/>
      </c>
      <c r="R2595" s="36">
        <f>"Q"&amp;ROUNDUP(MONTH(B2595)/3,0)</f>
        <v/>
      </c>
      <c r="S2595" s="36">
        <f>MONTH(B2595)</f>
        <v/>
      </c>
      <c r="T2595" s="36">
        <f>TEXT(B2595,"mmm")</f>
        <v/>
      </c>
      <c r="U2595" s="36">
        <f>IF(AND(OR(sel_Region="All",C2595=sel_Region),OR(sel_Country="All",D2595=sel_Country),OR(sel_Channel="All",E2595=sel_Channel),OR(sel_Customer="All",F2595=sel_Customer),OR(sel_Category="All",G2595=sel_Category),OR(sel_Product="All",H2595=sel_Product),AND(S2595&gt;=m_From,S2595&lt;=m_To)),1,0)</f>
        <v/>
      </c>
      <c r="V2595" s="36">
        <f>IF(AND(OR(sel_Region="All",C2595=sel_Region),OR(sel_Channel="All",E2595=sel_Channel),OR(sel_Customer="All",F2595=sel_Customer),OR(sel_Category="All",G2595=sel_Category),OR(sel_Product="All",H2595=sel_Product),AND(S2595&gt;=m_From,S2595&lt;=m_To)),1,0)</f>
        <v/>
      </c>
      <c r="W2595" s="36">
        <f>IF(AND(OR(sel_Region="All",C2595=sel_Region),OR(sel_Country="All",D2595=sel_Country),OR(sel_Customer="All",F2595=sel_Customer),OR(sel_Category="All",G2595=sel_Category),OR(sel_Product="All",H2595=sel_Product),AND(S2595&gt;=m_From,S2595&lt;=m_To)),1,0)</f>
        <v/>
      </c>
      <c r="X2595" s="36">
        <f>IF(AND(OR(sel_Region="All",C2595=sel_Region),OR(sel_Country="All",D2595=sel_Country),OR(sel_Channel="All",E2595=sel_Channel),OR(sel_Category="All",G2595=sel_Category),OR(sel_Product="All",H2595=sel_Product),AND(S2595&gt;=m_From,S2595&lt;=m_To)),1,0)</f>
        <v/>
      </c>
      <c r="Y2595" s="36">
        <f>IF(AND(OR(sel_Region="All",C2595=sel_Region),OR(sel_Country="All",D2595=sel_Country),OR(sel_Channel="All",E2595=sel_Channel),OR(sel_Customer="All",F2595=sel_Customer),OR(sel_Product="All",H2595=sel_Product),AND(S2595&gt;=m_From,S2595&lt;=m_To)),1,0)</f>
        <v/>
      </c>
      <c r="Z2595" s="36">
        <f>IF(AND(OR(sel_Region="All",C2595=sel_Region),OR(sel_Country="All",D2595=sel_Country),OR(sel_Channel="All",E2595=sel_Channel),OR(sel_Customer="All",F2595=sel_Customer),OR(sel_Category="All",G2595=sel_Category),AND(S2595&gt;=m_From,S2595&lt;=m_To)),1,0)</f>
        <v/>
      </c>
      <c r="AA2595" s="36">
        <f>IF(AND(OR(sel_Region="All",C2595=sel_Region),OR(sel_Country="All",D2595=sel_Country),OR(sel_Channel="All",E2595=sel_Channel),OR(sel_Customer="All",F2595=sel_Customer),OR(sel_Category="All",G2595=sel_Category),OR(sel_Product="All",H2595=sel_Product)),1,0)</f>
        <v/>
      </c>
    </row>
    <row r="2596">
      <c r="A2596" s="36" t="inlineStr">
        <is>
          <t>02694</t>
        </is>
      </c>
      <c r="B2596" s="44" t="n">
        <v>46370</v>
      </c>
      <c r="C2596" s="36" t="inlineStr">
        <is>
          <t>Western Europe</t>
        </is>
      </c>
      <c r="D2596" s="36" t="inlineStr">
        <is>
          <t>Netherlands</t>
        </is>
      </c>
      <c r="E2596" s="36" t="inlineStr">
        <is>
          <t>Online Store</t>
        </is>
      </c>
      <c r="F2596" s="36" t="inlineStr">
        <is>
          <t>New</t>
        </is>
      </c>
      <c r="G2596" s="36" t="inlineStr">
        <is>
          <t>Camping</t>
        </is>
      </c>
      <c r="H2596" s="36" t="inlineStr">
        <is>
          <t>Compact Sleeping Bag</t>
        </is>
      </c>
      <c r="I2596" s="36" t="n">
        <v>1</v>
      </c>
      <c r="J2596" s="39" t="n">
        <v>124.9</v>
      </c>
      <c r="K2596" s="45" t="n">
        <v>0</v>
      </c>
      <c r="L2596" s="39" t="n">
        <v>62.16</v>
      </c>
      <c r="M2596" s="39">
        <f>I2596*J2596*(1-K2596)</f>
        <v/>
      </c>
      <c r="N2596" s="39">
        <f>I2596*L2596</f>
        <v/>
      </c>
      <c r="O2596" s="39">
        <f>M2596-N2596</f>
        <v/>
      </c>
      <c r="P2596" s="38">
        <f>IF(M2596=0,0,O2596/M2596)</f>
        <v/>
      </c>
      <c r="Q2596" s="36">
        <f>YEAR(B2596)</f>
        <v/>
      </c>
      <c r="R2596" s="36">
        <f>"Q"&amp;ROUNDUP(MONTH(B2596)/3,0)</f>
        <v/>
      </c>
      <c r="S2596" s="36">
        <f>MONTH(B2596)</f>
        <v/>
      </c>
      <c r="T2596" s="36">
        <f>TEXT(B2596,"mmm")</f>
        <v/>
      </c>
      <c r="U2596" s="36">
        <f>IF(AND(OR(sel_Region="All",C2596=sel_Region),OR(sel_Country="All",D2596=sel_Country),OR(sel_Channel="All",E2596=sel_Channel),OR(sel_Customer="All",F2596=sel_Customer),OR(sel_Category="All",G2596=sel_Category),OR(sel_Product="All",H2596=sel_Product),AND(S2596&gt;=m_From,S2596&lt;=m_To)),1,0)</f>
        <v/>
      </c>
      <c r="V2596" s="36">
        <f>IF(AND(OR(sel_Region="All",C2596=sel_Region),OR(sel_Channel="All",E2596=sel_Channel),OR(sel_Customer="All",F2596=sel_Customer),OR(sel_Category="All",G2596=sel_Category),OR(sel_Product="All",H2596=sel_Product),AND(S2596&gt;=m_From,S2596&lt;=m_To)),1,0)</f>
        <v/>
      </c>
      <c r="W2596" s="36">
        <f>IF(AND(OR(sel_Region="All",C2596=sel_Region),OR(sel_Country="All",D2596=sel_Country),OR(sel_Customer="All",F2596=sel_Customer),OR(sel_Category="All",G2596=sel_Category),OR(sel_Product="All",H2596=sel_Product),AND(S2596&gt;=m_From,S2596&lt;=m_To)),1,0)</f>
        <v/>
      </c>
      <c r="X2596" s="36">
        <f>IF(AND(OR(sel_Region="All",C2596=sel_Region),OR(sel_Country="All",D2596=sel_Country),OR(sel_Channel="All",E2596=sel_Channel),OR(sel_Category="All",G2596=sel_Category),OR(sel_Product="All",H2596=sel_Product),AND(S2596&gt;=m_From,S2596&lt;=m_To)),1,0)</f>
        <v/>
      </c>
      <c r="Y2596" s="36">
        <f>IF(AND(OR(sel_Region="All",C2596=sel_Region),OR(sel_Country="All",D2596=sel_Country),OR(sel_Channel="All",E2596=sel_Channel),OR(sel_Customer="All",F2596=sel_Customer),OR(sel_Product="All",H2596=sel_Product),AND(S2596&gt;=m_From,S2596&lt;=m_To)),1,0)</f>
        <v/>
      </c>
      <c r="Z2596" s="36">
        <f>IF(AND(OR(sel_Region="All",C2596=sel_Region),OR(sel_Country="All",D2596=sel_Country),OR(sel_Channel="All",E2596=sel_Channel),OR(sel_Customer="All",F2596=sel_Customer),OR(sel_Category="All",G2596=sel_Category),AND(S2596&gt;=m_From,S2596&lt;=m_To)),1,0)</f>
        <v/>
      </c>
      <c r="AA2596" s="36">
        <f>IF(AND(OR(sel_Region="All",C2596=sel_Region),OR(sel_Country="All",D2596=sel_Country),OR(sel_Channel="All",E2596=sel_Channel),OR(sel_Customer="All",F2596=sel_Customer),OR(sel_Category="All",G2596=sel_Category),OR(sel_Product="All",H2596=sel_Product)),1,0)</f>
        <v/>
      </c>
    </row>
    <row r="2597">
      <c r="A2597" s="36" t="inlineStr">
        <is>
          <t>02797</t>
        </is>
      </c>
      <c r="B2597" s="44" t="n">
        <v>46370</v>
      </c>
      <c r="C2597" s="36" t="inlineStr">
        <is>
          <t>Northern Europe</t>
        </is>
      </c>
      <c r="D2597" s="36" t="inlineStr">
        <is>
          <t>Norway</t>
        </is>
      </c>
      <c r="E2597" s="36" t="inlineStr">
        <is>
          <t>Retail Partners</t>
        </is>
      </c>
      <c r="F2597" s="36" t="inlineStr">
        <is>
          <t>New</t>
        </is>
      </c>
      <c r="G2597" s="36" t="inlineStr">
        <is>
          <t>Hiking</t>
        </is>
      </c>
      <c r="H2597" s="36" t="inlineStr">
        <is>
          <t>Trekking Poles</t>
        </is>
      </c>
      <c r="I2597" s="36" t="n">
        <v>2</v>
      </c>
      <c r="J2597" s="39" t="n">
        <v>70.23999999999999</v>
      </c>
      <c r="K2597" s="45" t="n">
        <v>0.1</v>
      </c>
      <c r="L2597" s="39" t="n">
        <v>32.13</v>
      </c>
      <c r="M2597" s="39">
        <f>I2597*J2597*(1-K2597)</f>
        <v/>
      </c>
      <c r="N2597" s="39">
        <f>I2597*L2597</f>
        <v/>
      </c>
      <c r="O2597" s="39">
        <f>M2597-N2597</f>
        <v/>
      </c>
      <c r="P2597" s="38">
        <f>IF(M2597=0,0,O2597/M2597)</f>
        <v/>
      </c>
      <c r="Q2597" s="36">
        <f>YEAR(B2597)</f>
        <v/>
      </c>
      <c r="R2597" s="36">
        <f>"Q"&amp;ROUNDUP(MONTH(B2597)/3,0)</f>
        <v/>
      </c>
      <c r="S2597" s="36">
        <f>MONTH(B2597)</f>
        <v/>
      </c>
      <c r="T2597" s="36">
        <f>TEXT(B2597,"mmm")</f>
        <v/>
      </c>
      <c r="U2597" s="36">
        <f>IF(AND(OR(sel_Region="All",C2597=sel_Region),OR(sel_Country="All",D2597=sel_Country),OR(sel_Channel="All",E2597=sel_Channel),OR(sel_Customer="All",F2597=sel_Customer),OR(sel_Category="All",G2597=sel_Category),OR(sel_Product="All",H2597=sel_Product),AND(S2597&gt;=m_From,S2597&lt;=m_To)),1,0)</f>
        <v/>
      </c>
      <c r="V2597" s="36">
        <f>IF(AND(OR(sel_Region="All",C2597=sel_Region),OR(sel_Channel="All",E2597=sel_Channel),OR(sel_Customer="All",F2597=sel_Customer),OR(sel_Category="All",G2597=sel_Category),OR(sel_Product="All",H2597=sel_Product),AND(S2597&gt;=m_From,S2597&lt;=m_To)),1,0)</f>
        <v/>
      </c>
      <c r="W2597" s="36">
        <f>IF(AND(OR(sel_Region="All",C2597=sel_Region),OR(sel_Country="All",D2597=sel_Country),OR(sel_Customer="All",F2597=sel_Customer),OR(sel_Category="All",G2597=sel_Category),OR(sel_Product="All",H2597=sel_Product),AND(S2597&gt;=m_From,S2597&lt;=m_To)),1,0)</f>
        <v/>
      </c>
      <c r="X2597" s="36">
        <f>IF(AND(OR(sel_Region="All",C2597=sel_Region),OR(sel_Country="All",D2597=sel_Country),OR(sel_Channel="All",E2597=sel_Channel),OR(sel_Category="All",G2597=sel_Category),OR(sel_Product="All",H2597=sel_Product),AND(S2597&gt;=m_From,S2597&lt;=m_To)),1,0)</f>
        <v/>
      </c>
      <c r="Y2597" s="36">
        <f>IF(AND(OR(sel_Region="All",C2597=sel_Region),OR(sel_Country="All",D2597=sel_Country),OR(sel_Channel="All",E2597=sel_Channel),OR(sel_Customer="All",F2597=sel_Customer),OR(sel_Product="All",H2597=sel_Product),AND(S2597&gt;=m_From,S2597&lt;=m_To)),1,0)</f>
        <v/>
      </c>
      <c r="Z2597" s="36">
        <f>IF(AND(OR(sel_Region="All",C2597=sel_Region),OR(sel_Country="All",D2597=sel_Country),OR(sel_Channel="All",E2597=sel_Channel),OR(sel_Customer="All",F2597=sel_Customer),OR(sel_Category="All",G2597=sel_Category),AND(S2597&gt;=m_From,S2597&lt;=m_To)),1,0)</f>
        <v/>
      </c>
      <c r="AA2597" s="36">
        <f>IF(AND(OR(sel_Region="All",C2597=sel_Region),OR(sel_Country="All",D2597=sel_Country),OR(sel_Channel="All",E2597=sel_Channel),OR(sel_Customer="All",F2597=sel_Customer),OR(sel_Category="All",G2597=sel_Category),OR(sel_Product="All",H2597=sel_Product)),1,0)</f>
        <v/>
      </c>
    </row>
    <row r="2598">
      <c r="A2598" s="36" t="inlineStr">
        <is>
          <t>02811</t>
        </is>
      </c>
      <c r="B2598" s="44" t="n">
        <v>46370</v>
      </c>
      <c r="C2598" s="36" t="inlineStr">
        <is>
          <t>Central Europe</t>
        </is>
      </c>
      <c r="D2598" s="36" t="inlineStr">
        <is>
          <t>Switzerland</t>
        </is>
      </c>
      <c r="E2598" s="36" t="inlineStr">
        <is>
          <t>Retail Partners</t>
        </is>
      </c>
      <c r="F2598" s="36" t="inlineStr">
        <is>
          <t>Business</t>
        </is>
      </c>
      <c r="G2598" s="36" t="inlineStr">
        <is>
          <t>Hiking</t>
        </is>
      </c>
      <c r="H2598" s="36" t="inlineStr">
        <is>
          <t>Trail Boots</t>
        </is>
      </c>
      <c r="I2598" s="36" t="n">
        <v>5</v>
      </c>
      <c r="J2598" s="39" t="n">
        <v>145.6</v>
      </c>
      <c r="K2598" s="45" t="n">
        <v>0.15</v>
      </c>
      <c r="L2598" s="39" t="n">
        <v>81.18000000000001</v>
      </c>
      <c r="M2598" s="39">
        <f>I2598*J2598*(1-K2598)</f>
        <v/>
      </c>
      <c r="N2598" s="39">
        <f>I2598*L2598</f>
        <v/>
      </c>
      <c r="O2598" s="39">
        <f>M2598-N2598</f>
        <v/>
      </c>
      <c r="P2598" s="38">
        <f>IF(M2598=0,0,O2598/M2598)</f>
        <v/>
      </c>
      <c r="Q2598" s="36">
        <f>YEAR(B2598)</f>
        <v/>
      </c>
      <c r="R2598" s="36">
        <f>"Q"&amp;ROUNDUP(MONTH(B2598)/3,0)</f>
        <v/>
      </c>
      <c r="S2598" s="36">
        <f>MONTH(B2598)</f>
        <v/>
      </c>
      <c r="T2598" s="36">
        <f>TEXT(B2598,"mmm")</f>
        <v/>
      </c>
      <c r="U2598" s="36">
        <f>IF(AND(OR(sel_Region="All",C2598=sel_Region),OR(sel_Country="All",D2598=sel_Country),OR(sel_Channel="All",E2598=sel_Channel),OR(sel_Customer="All",F2598=sel_Customer),OR(sel_Category="All",G2598=sel_Category),OR(sel_Product="All",H2598=sel_Product),AND(S2598&gt;=m_From,S2598&lt;=m_To)),1,0)</f>
        <v/>
      </c>
      <c r="V2598" s="36">
        <f>IF(AND(OR(sel_Region="All",C2598=sel_Region),OR(sel_Channel="All",E2598=sel_Channel),OR(sel_Customer="All",F2598=sel_Customer),OR(sel_Category="All",G2598=sel_Category),OR(sel_Product="All",H2598=sel_Product),AND(S2598&gt;=m_From,S2598&lt;=m_To)),1,0)</f>
        <v/>
      </c>
      <c r="W2598" s="36">
        <f>IF(AND(OR(sel_Region="All",C2598=sel_Region),OR(sel_Country="All",D2598=sel_Country),OR(sel_Customer="All",F2598=sel_Customer),OR(sel_Category="All",G2598=sel_Category),OR(sel_Product="All",H2598=sel_Product),AND(S2598&gt;=m_From,S2598&lt;=m_To)),1,0)</f>
        <v/>
      </c>
      <c r="X2598" s="36">
        <f>IF(AND(OR(sel_Region="All",C2598=sel_Region),OR(sel_Country="All",D2598=sel_Country),OR(sel_Channel="All",E2598=sel_Channel),OR(sel_Category="All",G2598=sel_Category),OR(sel_Product="All",H2598=sel_Product),AND(S2598&gt;=m_From,S2598&lt;=m_To)),1,0)</f>
        <v/>
      </c>
      <c r="Y2598" s="36">
        <f>IF(AND(OR(sel_Region="All",C2598=sel_Region),OR(sel_Country="All",D2598=sel_Country),OR(sel_Channel="All",E2598=sel_Channel),OR(sel_Customer="All",F2598=sel_Customer),OR(sel_Product="All",H2598=sel_Product),AND(S2598&gt;=m_From,S2598&lt;=m_To)),1,0)</f>
        <v/>
      </c>
      <c r="Z2598" s="36">
        <f>IF(AND(OR(sel_Region="All",C2598=sel_Region),OR(sel_Country="All",D2598=sel_Country),OR(sel_Channel="All",E2598=sel_Channel),OR(sel_Customer="All",F2598=sel_Customer),OR(sel_Category="All",G2598=sel_Category),AND(S2598&gt;=m_From,S2598&lt;=m_To)),1,0)</f>
        <v/>
      </c>
      <c r="AA2598" s="36">
        <f>IF(AND(OR(sel_Region="All",C2598=sel_Region),OR(sel_Country="All",D2598=sel_Country),OR(sel_Channel="All",E2598=sel_Channel),OR(sel_Customer="All",F2598=sel_Customer),OR(sel_Category="All",G2598=sel_Category),OR(sel_Product="All",H2598=sel_Product)),1,0)</f>
        <v/>
      </c>
    </row>
    <row r="2599">
      <c r="A2599" s="36" t="inlineStr">
        <is>
          <t>04037</t>
        </is>
      </c>
      <c r="B2599" s="44" t="n">
        <v>46370</v>
      </c>
      <c r="C2599" s="36" t="inlineStr">
        <is>
          <t>Western Europe</t>
        </is>
      </c>
      <c r="D2599" s="36" t="inlineStr">
        <is>
          <t>United Kingdom</t>
        </is>
      </c>
      <c r="E2599" s="36" t="inlineStr">
        <is>
          <t>Retail Partners</t>
        </is>
      </c>
      <c r="F2599" s="36" t="inlineStr">
        <is>
          <t>Returning</t>
        </is>
      </c>
      <c r="G2599" s="36" t="inlineStr">
        <is>
          <t>Hiking</t>
        </is>
      </c>
      <c r="H2599" s="36" t="inlineStr">
        <is>
          <t>Summit Backpack 45L</t>
        </is>
      </c>
      <c r="I2599" s="36" t="n">
        <v>1</v>
      </c>
      <c r="J2599" s="39" t="n">
        <v>152.4</v>
      </c>
      <c r="K2599" s="45" t="n">
        <v>0.05</v>
      </c>
      <c r="L2599" s="39" t="n">
        <v>77.98</v>
      </c>
      <c r="M2599" s="39">
        <f>I2599*J2599*(1-K2599)</f>
        <v/>
      </c>
      <c r="N2599" s="39">
        <f>I2599*L2599</f>
        <v/>
      </c>
      <c r="O2599" s="39">
        <f>M2599-N2599</f>
        <v/>
      </c>
      <c r="P2599" s="38">
        <f>IF(M2599=0,0,O2599/M2599)</f>
        <v/>
      </c>
      <c r="Q2599" s="36">
        <f>YEAR(B2599)</f>
        <v/>
      </c>
      <c r="R2599" s="36">
        <f>"Q"&amp;ROUNDUP(MONTH(B2599)/3,0)</f>
        <v/>
      </c>
      <c r="S2599" s="36">
        <f>MONTH(B2599)</f>
        <v/>
      </c>
      <c r="T2599" s="36">
        <f>TEXT(B2599,"mmm")</f>
        <v/>
      </c>
      <c r="U2599" s="36">
        <f>IF(AND(OR(sel_Region="All",C2599=sel_Region),OR(sel_Country="All",D2599=sel_Country),OR(sel_Channel="All",E2599=sel_Channel),OR(sel_Customer="All",F2599=sel_Customer),OR(sel_Category="All",G2599=sel_Category),OR(sel_Product="All",H2599=sel_Product),AND(S2599&gt;=m_From,S2599&lt;=m_To)),1,0)</f>
        <v/>
      </c>
      <c r="V2599" s="36">
        <f>IF(AND(OR(sel_Region="All",C2599=sel_Region),OR(sel_Channel="All",E2599=sel_Channel),OR(sel_Customer="All",F2599=sel_Customer),OR(sel_Category="All",G2599=sel_Category),OR(sel_Product="All",H2599=sel_Product),AND(S2599&gt;=m_From,S2599&lt;=m_To)),1,0)</f>
        <v/>
      </c>
      <c r="W2599" s="36">
        <f>IF(AND(OR(sel_Region="All",C2599=sel_Region),OR(sel_Country="All",D2599=sel_Country),OR(sel_Customer="All",F2599=sel_Customer),OR(sel_Category="All",G2599=sel_Category),OR(sel_Product="All",H2599=sel_Product),AND(S2599&gt;=m_From,S2599&lt;=m_To)),1,0)</f>
        <v/>
      </c>
      <c r="X2599" s="36">
        <f>IF(AND(OR(sel_Region="All",C2599=sel_Region),OR(sel_Country="All",D2599=sel_Country),OR(sel_Channel="All",E2599=sel_Channel),OR(sel_Category="All",G2599=sel_Category),OR(sel_Product="All",H2599=sel_Product),AND(S2599&gt;=m_From,S2599&lt;=m_To)),1,0)</f>
        <v/>
      </c>
      <c r="Y2599" s="36">
        <f>IF(AND(OR(sel_Region="All",C2599=sel_Region),OR(sel_Country="All",D2599=sel_Country),OR(sel_Channel="All",E2599=sel_Channel),OR(sel_Customer="All",F2599=sel_Customer),OR(sel_Product="All",H2599=sel_Product),AND(S2599&gt;=m_From,S2599&lt;=m_To)),1,0)</f>
        <v/>
      </c>
      <c r="Z2599" s="36">
        <f>IF(AND(OR(sel_Region="All",C2599=sel_Region),OR(sel_Country="All",D2599=sel_Country),OR(sel_Channel="All",E2599=sel_Channel),OR(sel_Customer="All",F2599=sel_Customer),OR(sel_Category="All",G2599=sel_Category),AND(S2599&gt;=m_From,S2599&lt;=m_To)),1,0)</f>
        <v/>
      </c>
      <c r="AA2599" s="36">
        <f>IF(AND(OR(sel_Region="All",C2599=sel_Region),OR(sel_Country="All",D2599=sel_Country),OR(sel_Channel="All",E2599=sel_Channel),OR(sel_Customer="All",F2599=sel_Customer),OR(sel_Category="All",G2599=sel_Category),OR(sel_Product="All",H2599=sel_Product)),1,0)</f>
        <v/>
      </c>
    </row>
    <row r="2600">
      <c r="A2600" s="36" t="inlineStr">
        <is>
          <t>04629</t>
        </is>
      </c>
      <c r="B2600" s="44" t="n">
        <v>46370</v>
      </c>
      <c r="C2600" s="36" t="inlineStr">
        <is>
          <t>Northern Europe</t>
        </is>
      </c>
      <c r="D2600" s="36" t="inlineStr">
        <is>
          <t>Sweden</t>
        </is>
      </c>
      <c r="E2600" s="36" t="inlineStr">
        <is>
          <t>Online Store</t>
        </is>
      </c>
      <c r="F2600" s="36" t="inlineStr">
        <is>
          <t>New</t>
        </is>
      </c>
      <c r="G2600" s="36" t="inlineStr">
        <is>
          <t>Travel</t>
        </is>
      </c>
      <c r="H2600" s="36" t="inlineStr">
        <is>
          <t>Insulated Bottle</t>
        </is>
      </c>
      <c r="I2600" s="36" t="n">
        <v>1</v>
      </c>
      <c r="J2600" s="39" t="n">
        <v>36.17</v>
      </c>
      <c r="K2600" s="45" t="n">
        <v>0.05</v>
      </c>
      <c r="L2600" s="39" t="n">
        <v>13.87</v>
      </c>
      <c r="M2600" s="39">
        <f>I2600*J2600*(1-K2600)</f>
        <v/>
      </c>
      <c r="N2600" s="39">
        <f>I2600*L2600</f>
        <v/>
      </c>
      <c r="O2600" s="39">
        <f>M2600-N2600</f>
        <v/>
      </c>
      <c r="P2600" s="38">
        <f>IF(M2600=0,0,O2600/M2600)</f>
        <v/>
      </c>
      <c r="Q2600" s="36">
        <f>YEAR(B2600)</f>
        <v/>
      </c>
      <c r="R2600" s="36">
        <f>"Q"&amp;ROUNDUP(MONTH(B2600)/3,0)</f>
        <v/>
      </c>
      <c r="S2600" s="36">
        <f>MONTH(B2600)</f>
        <v/>
      </c>
      <c r="T2600" s="36">
        <f>TEXT(B2600,"mmm")</f>
        <v/>
      </c>
      <c r="U2600" s="36">
        <f>IF(AND(OR(sel_Region="All",C2600=sel_Region),OR(sel_Country="All",D2600=sel_Country),OR(sel_Channel="All",E2600=sel_Channel),OR(sel_Customer="All",F2600=sel_Customer),OR(sel_Category="All",G2600=sel_Category),OR(sel_Product="All",H2600=sel_Product),AND(S2600&gt;=m_From,S2600&lt;=m_To)),1,0)</f>
        <v/>
      </c>
      <c r="V2600" s="36">
        <f>IF(AND(OR(sel_Region="All",C2600=sel_Region),OR(sel_Channel="All",E2600=sel_Channel),OR(sel_Customer="All",F2600=sel_Customer),OR(sel_Category="All",G2600=sel_Category),OR(sel_Product="All",H2600=sel_Product),AND(S2600&gt;=m_From,S2600&lt;=m_To)),1,0)</f>
        <v/>
      </c>
      <c r="W2600" s="36">
        <f>IF(AND(OR(sel_Region="All",C2600=sel_Region),OR(sel_Country="All",D2600=sel_Country),OR(sel_Customer="All",F2600=sel_Customer),OR(sel_Category="All",G2600=sel_Category),OR(sel_Product="All",H2600=sel_Product),AND(S2600&gt;=m_From,S2600&lt;=m_To)),1,0)</f>
        <v/>
      </c>
      <c r="X2600" s="36">
        <f>IF(AND(OR(sel_Region="All",C2600=sel_Region),OR(sel_Country="All",D2600=sel_Country),OR(sel_Channel="All",E2600=sel_Channel),OR(sel_Category="All",G2600=sel_Category),OR(sel_Product="All",H2600=sel_Product),AND(S2600&gt;=m_From,S2600&lt;=m_To)),1,0)</f>
        <v/>
      </c>
      <c r="Y2600" s="36">
        <f>IF(AND(OR(sel_Region="All",C2600=sel_Region),OR(sel_Country="All",D2600=sel_Country),OR(sel_Channel="All",E2600=sel_Channel),OR(sel_Customer="All",F2600=sel_Customer),OR(sel_Product="All",H2600=sel_Product),AND(S2600&gt;=m_From,S2600&lt;=m_To)),1,0)</f>
        <v/>
      </c>
      <c r="Z2600" s="36">
        <f>IF(AND(OR(sel_Region="All",C2600=sel_Region),OR(sel_Country="All",D2600=sel_Country),OR(sel_Channel="All",E2600=sel_Channel),OR(sel_Customer="All",F2600=sel_Customer),OR(sel_Category="All",G2600=sel_Category),AND(S2600&gt;=m_From,S2600&lt;=m_To)),1,0)</f>
        <v/>
      </c>
      <c r="AA2600" s="36">
        <f>IF(AND(OR(sel_Region="All",C2600=sel_Region),OR(sel_Country="All",D2600=sel_Country),OR(sel_Channel="All",E2600=sel_Channel),OR(sel_Customer="All",F2600=sel_Customer),OR(sel_Category="All",G2600=sel_Category),OR(sel_Product="All",H2600=sel_Product)),1,0)</f>
        <v/>
      </c>
    </row>
    <row r="2601">
      <c r="A2601" s="36" t="inlineStr">
        <is>
          <t>02455</t>
        </is>
      </c>
      <c r="B2601" s="44" t="n">
        <v>46371</v>
      </c>
      <c r="C2601" s="36" t="inlineStr">
        <is>
          <t>Central Europe</t>
        </is>
      </c>
      <c r="D2601" s="36" t="inlineStr">
        <is>
          <t>Germany</t>
        </is>
      </c>
      <c r="E2601" s="36" t="inlineStr">
        <is>
          <t>Online Store</t>
        </is>
      </c>
      <c r="F2601" s="36" t="inlineStr">
        <is>
          <t>Returning</t>
        </is>
      </c>
      <c r="G2601" s="36" t="inlineStr">
        <is>
          <t>Camping</t>
        </is>
      </c>
      <c r="H2601" s="36" t="inlineStr">
        <is>
          <t>Compact Sleeping Bag</t>
        </is>
      </c>
      <c r="I2601" s="36" t="n">
        <v>3</v>
      </c>
      <c r="J2601" s="39" t="n">
        <v>126.21</v>
      </c>
      <c r="K2601" s="45" t="n">
        <v>0.1</v>
      </c>
      <c r="L2601" s="39" t="n">
        <v>60.65</v>
      </c>
      <c r="M2601" s="39">
        <f>I2601*J2601*(1-K2601)</f>
        <v/>
      </c>
      <c r="N2601" s="39">
        <f>I2601*L2601</f>
        <v/>
      </c>
      <c r="O2601" s="39">
        <f>M2601-N2601</f>
        <v/>
      </c>
      <c r="P2601" s="38">
        <f>IF(M2601=0,0,O2601/M2601)</f>
        <v/>
      </c>
      <c r="Q2601" s="36">
        <f>YEAR(B2601)</f>
        <v/>
      </c>
      <c r="R2601" s="36">
        <f>"Q"&amp;ROUNDUP(MONTH(B2601)/3,0)</f>
        <v/>
      </c>
      <c r="S2601" s="36">
        <f>MONTH(B2601)</f>
        <v/>
      </c>
      <c r="T2601" s="36">
        <f>TEXT(B2601,"mmm")</f>
        <v/>
      </c>
      <c r="U2601" s="36">
        <f>IF(AND(OR(sel_Region="All",C2601=sel_Region),OR(sel_Country="All",D2601=sel_Country),OR(sel_Channel="All",E2601=sel_Channel),OR(sel_Customer="All",F2601=sel_Customer),OR(sel_Category="All",G2601=sel_Category),OR(sel_Product="All",H2601=sel_Product),AND(S2601&gt;=m_From,S2601&lt;=m_To)),1,0)</f>
        <v/>
      </c>
      <c r="V2601" s="36">
        <f>IF(AND(OR(sel_Region="All",C2601=sel_Region),OR(sel_Channel="All",E2601=sel_Channel),OR(sel_Customer="All",F2601=sel_Customer),OR(sel_Category="All",G2601=sel_Category),OR(sel_Product="All",H2601=sel_Product),AND(S2601&gt;=m_From,S2601&lt;=m_To)),1,0)</f>
        <v/>
      </c>
      <c r="W2601" s="36">
        <f>IF(AND(OR(sel_Region="All",C2601=sel_Region),OR(sel_Country="All",D2601=sel_Country),OR(sel_Customer="All",F2601=sel_Customer),OR(sel_Category="All",G2601=sel_Category),OR(sel_Product="All",H2601=sel_Product),AND(S2601&gt;=m_From,S2601&lt;=m_To)),1,0)</f>
        <v/>
      </c>
      <c r="X2601" s="36">
        <f>IF(AND(OR(sel_Region="All",C2601=sel_Region),OR(sel_Country="All",D2601=sel_Country),OR(sel_Channel="All",E2601=sel_Channel),OR(sel_Category="All",G2601=sel_Category),OR(sel_Product="All",H2601=sel_Product),AND(S2601&gt;=m_From,S2601&lt;=m_To)),1,0)</f>
        <v/>
      </c>
      <c r="Y2601" s="36">
        <f>IF(AND(OR(sel_Region="All",C2601=sel_Region),OR(sel_Country="All",D2601=sel_Country),OR(sel_Channel="All",E2601=sel_Channel),OR(sel_Customer="All",F2601=sel_Customer),OR(sel_Product="All",H2601=sel_Product),AND(S2601&gt;=m_From,S2601&lt;=m_To)),1,0)</f>
        <v/>
      </c>
      <c r="Z2601" s="36">
        <f>IF(AND(OR(sel_Region="All",C2601=sel_Region),OR(sel_Country="All",D2601=sel_Country),OR(sel_Channel="All",E2601=sel_Channel),OR(sel_Customer="All",F2601=sel_Customer),OR(sel_Category="All",G2601=sel_Category),AND(S2601&gt;=m_From,S2601&lt;=m_To)),1,0)</f>
        <v/>
      </c>
      <c r="AA2601" s="36">
        <f>IF(AND(OR(sel_Region="All",C2601=sel_Region),OR(sel_Country="All",D2601=sel_Country),OR(sel_Channel="All",E2601=sel_Channel),OR(sel_Customer="All",F2601=sel_Customer),OR(sel_Category="All",G2601=sel_Category),OR(sel_Product="All",H2601=sel_Product)),1,0)</f>
        <v/>
      </c>
    </row>
    <row r="2602">
      <c r="A2602" s="36" t="inlineStr">
        <is>
          <t>03184</t>
        </is>
      </c>
      <c r="B2602" s="44" t="n">
        <v>46371</v>
      </c>
      <c r="C2602" s="36" t="inlineStr">
        <is>
          <t>Western Europe</t>
        </is>
      </c>
      <c r="D2602" s="36" t="inlineStr">
        <is>
          <t>France</t>
        </is>
      </c>
      <c r="E2602" s="36" t="inlineStr">
        <is>
          <t>Corporate</t>
        </is>
      </c>
      <c r="F2602" s="36" t="inlineStr">
        <is>
          <t>Returning</t>
        </is>
      </c>
      <c r="G2602" s="36" t="inlineStr">
        <is>
          <t>Hiking</t>
        </is>
      </c>
      <c r="H2602" s="36" t="inlineStr">
        <is>
          <t>Trail Boots</t>
        </is>
      </c>
      <c r="I2602" s="36" t="n">
        <v>6</v>
      </c>
      <c r="J2602" s="39" t="n">
        <v>143.73</v>
      </c>
      <c r="K2602" s="45" t="n">
        <v>0.15</v>
      </c>
      <c r="L2602" s="39" t="n">
        <v>77.27</v>
      </c>
      <c r="M2602" s="39">
        <f>I2602*J2602*(1-K2602)</f>
        <v/>
      </c>
      <c r="N2602" s="39">
        <f>I2602*L2602</f>
        <v/>
      </c>
      <c r="O2602" s="39">
        <f>M2602-N2602</f>
        <v/>
      </c>
      <c r="P2602" s="38">
        <f>IF(M2602=0,0,O2602/M2602)</f>
        <v/>
      </c>
      <c r="Q2602" s="36">
        <f>YEAR(B2602)</f>
        <v/>
      </c>
      <c r="R2602" s="36">
        <f>"Q"&amp;ROUNDUP(MONTH(B2602)/3,0)</f>
        <v/>
      </c>
      <c r="S2602" s="36">
        <f>MONTH(B2602)</f>
        <v/>
      </c>
      <c r="T2602" s="36">
        <f>TEXT(B2602,"mmm")</f>
        <v/>
      </c>
      <c r="U2602" s="36">
        <f>IF(AND(OR(sel_Region="All",C2602=sel_Region),OR(sel_Country="All",D2602=sel_Country),OR(sel_Channel="All",E2602=sel_Channel),OR(sel_Customer="All",F2602=sel_Customer),OR(sel_Category="All",G2602=sel_Category),OR(sel_Product="All",H2602=sel_Product),AND(S2602&gt;=m_From,S2602&lt;=m_To)),1,0)</f>
        <v/>
      </c>
      <c r="V2602" s="36">
        <f>IF(AND(OR(sel_Region="All",C2602=sel_Region),OR(sel_Channel="All",E2602=sel_Channel),OR(sel_Customer="All",F2602=sel_Customer),OR(sel_Category="All",G2602=sel_Category),OR(sel_Product="All",H2602=sel_Product),AND(S2602&gt;=m_From,S2602&lt;=m_To)),1,0)</f>
        <v/>
      </c>
      <c r="W2602" s="36">
        <f>IF(AND(OR(sel_Region="All",C2602=sel_Region),OR(sel_Country="All",D2602=sel_Country),OR(sel_Customer="All",F2602=sel_Customer),OR(sel_Category="All",G2602=sel_Category),OR(sel_Product="All",H2602=sel_Product),AND(S2602&gt;=m_From,S2602&lt;=m_To)),1,0)</f>
        <v/>
      </c>
      <c r="X2602" s="36">
        <f>IF(AND(OR(sel_Region="All",C2602=sel_Region),OR(sel_Country="All",D2602=sel_Country),OR(sel_Channel="All",E2602=sel_Channel),OR(sel_Category="All",G2602=sel_Category),OR(sel_Product="All",H2602=sel_Product),AND(S2602&gt;=m_From,S2602&lt;=m_To)),1,0)</f>
        <v/>
      </c>
      <c r="Y2602" s="36">
        <f>IF(AND(OR(sel_Region="All",C2602=sel_Region),OR(sel_Country="All",D2602=sel_Country),OR(sel_Channel="All",E2602=sel_Channel),OR(sel_Customer="All",F2602=sel_Customer),OR(sel_Product="All",H2602=sel_Product),AND(S2602&gt;=m_From,S2602&lt;=m_To)),1,0)</f>
        <v/>
      </c>
      <c r="Z2602" s="36">
        <f>IF(AND(OR(sel_Region="All",C2602=sel_Region),OR(sel_Country="All",D2602=sel_Country),OR(sel_Channel="All",E2602=sel_Channel),OR(sel_Customer="All",F2602=sel_Customer),OR(sel_Category="All",G2602=sel_Category),AND(S2602&gt;=m_From,S2602&lt;=m_To)),1,0)</f>
        <v/>
      </c>
      <c r="AA2602" s="36">
        <f>IF(AND(OR(sel_Region="All",C2602=sel_Region),OR(sel_Country="All",D2602=sel_Country),OR(sel_Channel="All",E2602=sel_Channel),OR(sel_Customer="All",F2602=sel_Customer),OR(sel_Category="All",G2602=sel_Category),OR(sel_Product="All",H2602=sel_Product)),1,0)</f>
        <v/>
      </c>
    </row>
    <row r="2603">
      <c r="A2603" s="36" t="inlineStr">
        <is>
          <t>03363</t>
        </is>
      </c>
      <c r="B2603" s="44" t="n">
        <v>46371</v>
      </c>
      <c r="C2603" s="36" t="inlineStr">
        <is>
          <t>Central Europe</t>
        </is>
      </c>
      <c r="D2603" s="36" t="inlineStr">
        <is>
          <t>Germany</t>
        </is>
      </c>
      <c r="E2603" s="36" t="inlineStr">
        <is>
          <t>Marketplace</t>
        </is>
      </c>
      <c r="F2603" s="36" t="inlineStr">
        <is>
          <t>New</t>
        </is>
      </c>
      <c r="G2603" s="36" t="inlineStr">
        <is>
          <t>Hiking</t>
        </is>
      </c>
      <c r="H2603" s="36" t="inlineStr">
        <is>
          <t>Trail Boots</t>
        </is>
      </c>
      <c r="I2603" s="36" t="n">
        <v>4</v>
      </c>
      <c r="J2603" s="39" t="n">
        <v>146.39</v>
      </c>
      <c r="K2603" s="45" t="n">
        <v>0</v>
      </c>
      <c r="L2603" s="39" t="n">
        <v>78.95</v>
      </c>
      <c r="M2603" s="39">
        <f>I2603*J2603*(1-K2603)</f>
        <v/>
      </c>
      <c r="N2603" s="39">
        <f>I2603*L2603</f>
        <v/>
      </c>
      <c r="O2603" s="39">
        <f>M2603-N2603</f>
        <v/>
      </c>
      <c r="P2603" s="38">
        <f>IF(M2603=0,0,O2603/M2603)</f>
        <v/>
      </c>
      <c r="Q2603" s="36">
        <f>YEAR(B2603)</f>
        <v/>
      </c>
      <c r="R2603" s="36">
        <f>"Q"&amp;ROUNDUP(MONTH(B2603)/3,0)</f>
        <v/>
      </c>
      <c r="S2603" s="36">
        <f>MONTH(B2603)</f>
        <v/>
      </c>
      <c r="T2603" s="36">
        <f>TEXT(B2603,"mmm")</f>
        <v/>
      </c>
      <c r="U2603" s="36">
        <f>IF(AND(OR(sel_Region="All",C2603=sel_Region),OR(sel_Country="All",D2603=sel_Country),OR(sel_Channel="All",E2603=sel_Channel),OR(sel_Customer="All",F2603=sel_Customer),OR(sel_Category="All",G2603=sel_Category),OR(sel_Product="All",H2603=sel_Product),AND(S2603&gt;=m_From,S2603&lt;=m_To)),1,0)</f>
        <v/>
      </c>
      <c r="V2603" s="36">
        <f>IF(AND(OR(sel_Region="All",C2603=sel_Region),OR(sel_Channel="All",E2603=sel_Channel),OR(sel_Customer="All",F2603=sel_Customer),OR(sel_Category="All",G2603=sel_Category),OR(sel_Product="All",H2603=sel_Product),AND(S2603&gt;=m_From,S2603&lt;=m_To)),1,0)</f>
        <v/>
      </c>
      <c r="W2603" s="36">
        <f>IF(AND(OR(sel_Region="All",C2603=sel_Region),OR(sel_Country="All",D2603=sel_Country),OR(sel_Customer="All",F2603=sel_Customer),OR(sel_Category="All",G2603=sel_Category),OR(sel_Product="All",H2603=sel_Product),AND(S2603&gt;=m_From,S2603&lt;=m_To)),1,0)</f>
        <v/>
      </c>
      <c r="X2603" s="36">
        <f>IF(AND(OR(sel_Region="All",C2603=sel_Region),OR(sel_Country="All",D2603=sel_Country),OR(sel_Channel="All",E2603=sel_Channel),OR(sel_Category="All",G2603=sel_Category),OR(sel_Product="All",H2603=sel_Product),AND(S2603&gt;=m_From,S2603&lt;=m_To)),1,0)</f>
        <v/>
      </c>
      <c r="Y2603" s="36">
        <f>IF(AND(OR(sel_Region="All",C2603=sel_Region),OR(sel_Country="All",D2603=sel_Country),OR(sel_Channel="All",E2603=sel_Channel),OR(sel_Customer="All",F2603=sel_Customer),OR(sel_Product="All",H2603=sel_Product),AND(S2603&gt;=m_From,S2603&lt;=m_To)),1,0)</f>
        <v/>
      </c>
      <c r="Z2603" s="36">
        <f>IF(AND(OR(sel_Region="All",C2603=sel_Region),OR(sel_Country="All",D2603=sel_Country),OR(sel_Channel="All",E2603=sel_Channel),OR(sel_Customer="All",F2603=sel_Customer),OR(sel_Category="All",G2603=sel_Category),AND(S2603&gt;=m_From,S2603&lt;=m_To)),1,0)</f>
        <v/>
      </c>
      <c r="AA2603" s="36">
        <f>IF(AND(OR(sel_Region="All",C2603=sel_Region),OR(sel_Country="All",D2603=sel_Country),OR(sel_Channel="All",E2603=sel_Channel),OR(sel_Customer="All",F2603=sel_Customer),OR(sel_Category="All",G2603=sel_Category),OR(sel_Product="All",H2603=sel_Product)),1,0)</f>
        <v/>
      </c>
    </row>
    <row r="2604">
      <c r="A2604" s="36" t="inlineStr">
        <is>
          <t>03373</t>
        </is>
      </c>
      <c r="B2604" s="44" t="n">
        <v>46371</v>
      </c>
      <c r="C2604" s="36" t="inlineStr">
        <is>
          <t>Central Europe</t>
        </is>
      </c>
      <c r="D2604" s="36" t="inlineStr">
        <is>
          <t>Germany</t>
        </is>
      </c>
      <c r="E2604" s="36" t="inlineStr">
        <is>
          <t>Marketplace</t>
        </is>
      </c>
      <c r="F2604" s="36" t="inlineStr">
        <is>
          <t>Returning</t>
        </is>
      </c>
      <c r="G2604" s="36" t="inlineStr">
        <is>
          <t>Hiking</t>
        </is>
      </c>
      <c r="H2604" s="36" t="inlineStr">
        <is>
          <t>Hiking Daypack 20L</t>
        </is>
      </c>
      <c r="I2604" s="36" t="n">
        <v>2</v>
      </c>
      <c r="J2604" s="39" t="n">
        <v>89.84</v>
      </c>
      <c r="K2604" s="45" t="n">
        <v>0.05</v>
      </c>
      <c r="L2604" s="39" t="n">
        <v>45.17</v>
      </c>
      <c r="M2604" s="39">
        <f>I2604*J2604*(1-K2604)</f>
        <v/>
      </c>
      <c r="N2604" s="39">
        <f>I2604*L2604</f>
        <v/>
      </c>
      <c r="O2604" s="39">
        <f>M2604-N2604</f>
        <v/>
      </c>
      <c r="P2604" s="38">
        <f>IF(M2604=0,0,O2604/M2604)</f>
        <v/>
      </c>
      <c r="Q2604" s="36">
        <f>YEAR(B2604)</f>
        <v/>
      </c>
      <c r="R2604" s="36">
        <f>"Q"&amp;ROUNDUP(MONTH(B2604)/3,0)</f>
        <v/>
      </c>
      <c r="S2604" s="36">
        <f>MONTH(B2604)</f>
        <v/>
      </c>
      <c r="T2604" s="36">
        <f>TEXT(B2604,"mmm")</f>
        <v/>
      </c>
      <c r="U2604" s="36">
        <f>IF(AND(OR(sel_Region="All",C2604=sel_Region),OR(sel_Country="All",D2604=sel_Country),OR(sel_Channel="All",E2604=sel_Channel),OR(sel_Customer="All",F2604=sel_Customer),OR(sel_Category="All",G2604=sel_Category),OR(sel_Product="All",H2604=sel_Product),AND(S2604&gt;=m_From,S2604&lt;=m_To)),1,0)</f>
        <v/>
      </c>
      <c r="V2604" s="36">
        <f>IF(AND(OR(sel_Region="All",C2604=sel_Region),OR(sel_Channel="All",E2604=sel_Channel),OR(sel_Customer="All",F2604=sel_Customer),OR(sel_Category="All",G2604=sel_Category),OR(sel_Product="All",H2604=sel_Product),AND(S2604&gt;=m_From,S2604&lt;=m_To)),1,0)</f>
        <v/>
      </c>
      <c r="W2604" s="36">
        <f>IF(AND(OR(sel_Region="All",C2604=sel_Region),OR(sel_Country="All",D2604=sel_Country),OR(sel_Customer="All",F2604=sel_Customer),OR(sel_Category="All",G2604=sel_Category),OR(sel_Product="All",H2604=sel_Product),AND(S2604&gt;=m_From,S2604&lt;=m_To)),1,0)</f>
        <v/>
      </c>
      <c r="X2604" s="36">
        <f>IF(AND(OR(sel_Region="All",C2604=sel_Region),OR(sel_Country="All",D2604=sel_Country),OR(sel_Channel="All",E2604=sel_Channel),OR(sel_Category="All",G2604=sel_Category),OR(sel_Product="All",H2604=sel_Product),AND(S2604&gt;=m_From,S2604&lt;=m_To)),1,0)</f>
        <v/>
      </c>
      <c r="Y2604" s="36">
        <f>IF(AND(OR(sel_Region="All",C2604=sel_Region),OR(sel_Country="All",D2604=sel_Country),OR(sel_Channel="All",E2604=sel_Channel),OR(sel_Customer="All",F2604=sel_Customer),OR(sel_Product="All",H2604=sel_Product),AND(S2604&gt;=m_From,S2604&lt;=m_To)),1,0)</f>
        <v/>
      </c>
      <c r="Z2604" s="36">
        <f>IF(AND(OR(sel_Region="All",C2604=sel_Region),OR(sel_Country="All",D2604=sel_Country),OR(sel_Channel="All",E2604=sel_Channel),OR(sel_Customer="All",F2604=sel_Customer),OR(sel_Category="All",G2604=sel_Category),AND(S2604&gt;=m_From,S2604&lt;=m_To)),1,0)</f>
        <v/>
      </c>
      <c r="AA2604" s="36">
        <f>IF(AND(OR(sel_Region="All",C2604=sel_Region),OR(sel_Country="All",D2604=sel_Country),OR(sel_Channel="All",E2604=sel_Channel),OR(sel_Customer="All",F2604=sel_Customer),OR(sel_Category="All",G2604=sel_Category),OR(sel_Product="All",H2604=sel_Product)),1,0)</f>
        <v/>
      </c>
    </row>
    <row r="2605">
      <c r="A2605" s="36" t="inlineStr">
        <is>
          <t>03799</t>
        </is>
      </c>
      <c r="B2605" s="44" t="n">
        <v>46371</v>
      </c>
      <c r="C2605" s="36" t="inlineStr">
        <is>
          <t>Northern Europe</t>
        </is>
      </c>
      <c r="D2605" s="36" t="inlineStr">
        <is>
          <t>Finland</t>
        </is>
      </c>
      <c r="E2605" s="36" t="inlineStr">
        <is>
          <t>Retail Partners</t>
        </is>
      </c>
      <c r="F2605" s="36" t="inlineStr">
        <is>
          <t>New</t>
        </is>
      </c>
      <c r="G2605" s="36" t="inlineStr">
        <is>
          <t>Fitness</t>
        </is>
      </c>
      <c r="H2605" s="36" t="inlineStr">
        <is>
          <t>Training Mat</t>
        </is>
      </c>
      <c r="I2605" s="36" t="n">
        <v>3</v>
      </c>
      <c r="J2605" s="39" t="n">
        <v>49.67</v>
      </c>
      <c r="K2605" s="45" t="n">
        <v>0.05</v>
      </c>
      <c r="L2605" s="39" t="n">
        <v>21.5</v>
      </c>
      <c r="M2605" s="39">
        <f>I2605*J2605*(1-K2605)</f>
        <v/>
      </c>
      <c r="N2605" s="39">
        <f>I2605*L2605</f>
        <v/>
      </c>
      <c r="O2605" s="39">
        <f>M2605-N2605</f>
        <v/>
      </c>
      <c r="P2605" s="38">
        <f>IF(M2605=0,0,O2605/M2605)</f>
        <v/>
      </c>
      <c r="Q2605" s="36">
        <f>YEAR(B2605)</f>
        <v/>
      </c>
      <c r="R2605" s="36">
        <f>"Q"&amp;ROUNDUP(MONTH(B2605)/3,0)</f>
        <v/>
      </c>
      <c r="S2605" s="36">
        <f>MONTH(B2605)</f>
        <v/>
      </c>
      <c r="T2605" s="36">
        <f>TEXT(B2605,"mmm")</f>
        <v/>
      </c>
      <c r="U2605" s="36">
        <f>IF(AND(OR(sel_Region="All",C2605=sel_Region),OR(sel_Country="All",D2605=sel_Country),OR(sel_Channel="All",E2605=sel_Channel),OR(sel_Customer="All",F2605=sel_Customer),OR(sel_Category="All",G2605=sel_Category),OR(sel_Product="All",H2605=sel_Product),AND(S2605&gt;=m_From,S2605&lt;=m_To)),1,0)</f>
        <v/>
      </c>
      <c r="V2605" s="36">
        <f>IF(AND(OR(sel_Region="All",C2605=sel_Region),OR(sel_Channel="All",E2605=sel_Channel),OR(sel_Customer="All",F2605=sel_Customer),OR(sel_Category="All",G2605=sel_Category),OR(sel_Product="All",H2605=sel_Product),AND(S2605&gt;=m_From,S2605&lt;=m_To)),1,0)</f>
        <v/>
      </c>
      <c r="W2605" s="36">
        <f>IF(AND(OR(sel_Region="All",C2605=sel_Region),OR(sel_Country="All",D2605=sel_Country),OR(sel_Customer="All",F2605=sel_Customer),OR(sel_Category="All",G2605=sel_Category),OR(sel_Product="All",H2605=sel_Product),AND(S2605&gt;=m_From,S2605&lt;=m_To)),1,0)</f>
        <v/>
      </c>
      <c r="X2605" s="36">
        <f>IF(AND(OR(sel_Region="All",C2605=sel_Region),OR(sel_Country="All",D2605=sel_Country),OR(sel_Channel="All",E2605=sel_Channel),OR(sel_Category="All",G2605=sel_Category),OR(sel_Product="All",H2605=sel_Product),AND(S2605&gt;=m_From,S2605&lt;=m_To)),1,0)</f>
        <v/>
      </c>
      <c r="Y2605" s="36">
        <f>IF(AND(OR(sel_Region="All",C2605=sel_Region),OR(sel_Country="All",D2605=sel_Country),OR(sel_Channel="All",E2605=sel_Channel),OR(sel_Customer="All",F2605=sel_Customer),OR(sel_Product="All",H2605=sel_Product),AND(S2605&gt;=m_From,S2605&lt;=m_To)),1,0)</f>
        <v/>
      </c>
      <c r="Z2605" s="36">
        <f>IF(AND(OR(sel_Region="All",C2605=sel_Region),OR(sel_Country="All",D2605=sel_Country),OR(sel_Channel="All",E2605=sel_Channel),OR(sel_Customer="All",F2605=sel_Customer),OR(sel_Category="All",G2605=sel_Category),AND(S2605&gt;=m_From,S2605&lt;=m_To)),1,0)</f>
        <v/>
      </c>
      <c r="AA2605" s="36">
        <f>IF(AND(OR(sel_Region="All",C2605=sel_Region),OR(sel_Country="All",D2605=sel_Country),OR(sel_Channel="All",E2605=sel_Channel),OR(sel_Customer="All",F2605=sel_Customer),OR(sel_Category="All",G2605=sel_Category),OR(sel_Product="All",H2605=sel_Product)),1,0)</f>
        <v/>
      </c>
    </row>
    <row r="2606">
      <c r="A2606" s="36" t="inlineStr">
        <is>
          <t>05002</t>
        </is>
      </c>
      <c r="B2606" s="44" t="n">
        <v>46371</v>
      </c>
      <c r="C2606" s="36" t="inlineStr">
        <is>
          <t>Central Europe</t>
        </is>
      </c>
      <c r="D2606" s="36" t="inlineStr">
        <is>
          <t>Poland</t>
        </is>
      </c>
      <c r="E2606" s="36" t="inlineStr">
        <is>
          <t>Corporate</t>
        </is>
      </c>
      <c r="F2606" s="36" t="inlineStr">
        <is>
          <t>Business</t>
        </is>
      </c>
      <c r="G2606" s="36" t="inlineStr">
        <is>
          <t>Hiking</t>
        </is>
      </c>
      <c r="H2606" s="36" t="inlineStr">
        <is>
          <t>Hiking Daypack 20L</t>
        </is>
      </c>
      <c r="I2606" s="36" t="n">
        <v>4</v>
      </c>
      <c r="J2606" s="39" t="n">
        <v>94.3</v>
      </c>
      <c r="K2606" s="45" t="n">
        <v>0.1</v>
      </c>
      <c r="L2606" s="39" t="n">
        <v>44.36</v>
      </c>
      <c r="M2606" s="39">
        <f>I2606*J2606*(1-K2606)</f>
        <v/>
      </c>
      <c r="N2606" s="39">
        <f>I2606*L2606</f>
        <v/>
      </c>
      <c r="O2606" s="39">
        <f>M2606-N2606</f>
        <v/>
      </c>
      <c r="P2606" s="38">
        <f>IF(M2606=0,0,O2606/M2606)</f>
        <v/>
      </c>
      <c r="Q2606" s="36">
        <f>YEAR(B2606)</f>
        <v/>
      </c>
      <c r="R2606" s="36">
        <f>"Q"&amp;ROUNDUP(MONTH(B2606)/3,0)</f>
        <v/>
      </c>
      <c r="S2606" s="36">
        <f>MONTH(B2606)</f>
        <v/>
      </c>
      <c r="T2606" s="36">
        <f>TEXT(B2606,"mmm")</f>
        <v/>
      </c>
      <c r="U2606" s="36">
        <f>IF(AND(OR(sel_Region="All",C2606=sel_Region),OR(sel_Country="All",D2606=sel_Country),OR(sel_Channel="All",E2606=sel_Channel),OR(sel_Customer="All",F2606=sel_Customer),OR(sel_Category="All",G2606=sel_Category),OR(sel_Product="All",H2606=sel_Product),AND(S2606&gt;=m_From,S2606&lt;=m_To)),1,0)</f>
        <v/>
      </c>
      <c r="V2606" s="36">
        <f>IF(AND(OR(sel_Region="All",C2606=sel_Region),OR(sel_Channel="All",E2606=sel_Channel),OR(sel_Customer="All",F2606=sel_Customer),OR(sel_Category="All",G2606=sel_Category),OR(sel_Product="All",H2606=sel_Product),AND(S2606&gt;=m_From,S2606&lt;=m_To)),1,0)</f>
        <v/>
      </c>
      <c r="W2606" s="36">
        <f>IF(AND(OR(sel_Region="All",C2606=sel_Region),OR(sel_Country="All",D2606=sel_Country),OR(sel_Customer="All",F2606=sel_Customer),OR(sel_Category="All",G2606=sel_Category),OR(sel_Product="All",H2606=sel_Product),AND(S2606&gt;=m_From,S2606&lt;=m_To)),1,0)</f>
        <v/>
      </c>
      <c r="X2606" s="36">
        <f>IF(AND(OR(sel_Region="All",C2606=sel_Region),OR(sel_Country="All",D2606=sel_Country),OR(sel_Channel="All",E2606=sel_Channel),OR(sel_Category="All",G2606=sel_Category),OR(sel_Product="All",H2606=sel_Product),AND(S2606&gt;=m_From,S2606&lt;=m_To)),1,0)</f>
        <v/>
      </c>
      <c r="Y2606" s="36">
        <f>IF(AND(OR(sel_Region="All",C2606=sel_Region),OR(sel_Country="All",D2606=sel_Country),OR(sel_Channel="All",E2606=sel_Channel),OR(sel_Customer="All",F2606=sel_Customer),OR(sel_Product="All",H2606=sel_Product),AND(S2606&gt;=m_From,S2606&lt;=m_To)),1,0)</f>
        <v/>
      </c>
      <c r="Z2606" s="36">
        <f>IF(AND(OR(sel_Region="All",C2606=sel_Region),OR(sel_Country="All",D2606=sel_Country),OR(sel_Channel="All",E2606=sel_Channel),OR(sel_Customer="All",F2606=sel_Customer),OR(sel_Category="All",G2606=sel_Category),AND(S2606&gt;=m_From,S2606&lt;=m_To)),1,0)</f>
        <v/>
      </c>
      <c r="AA2606" s="36">
        <f>IF(AND(OR(sel_Region="All",C2606=sel_Region),OR(sel_Country="All",D2606=sel_Country),OR(sel_Channel="All",E2606=sel_Channel),OR(sel_Customer="All",F2606=sel_Customer),OR(sel_Category="All",G2606=sel_Category),OR(sel_Product="All",H2606=sel_Product)),1,0)</f>
        <v/>
      </c>
    </row>
    <row r="2607">
      <c r="A2607" s="36" t="inlineStr">
        <is>
          <t>02896</t>
        </is>
      </c>
      <c r="B2607" s="44" t="n">
        <v>46372</v>
      </c>
      <c r="C2607" s="36" t="inlineStr">
        <is>
          <t>Central Europe</t>
        </is>
      </c>
      <c r="D2607" s="36" t="inlineStr">
        <is>
          <t>Germany</t>
        </is>
      </c>
      <c r="E2607" s="36" t="inlineStr">
        <is>
          <t>Retail Partners</t>
        </is>
      </c>
      <c r="F2607" s="36" t="inlineStr">
        <is>
          <t>Business</t>
        </is>
      </c>
      <c r="G2607" s="36" t="inlineStr">
        <is>
          <t>Fitness</t>
        </is>
      </c>
      <c r="H2607" s="36" t="inlineStr">
        <is>
          <t>Recovery Roller</t>
        </is>
      </c>
      <c r="I2607" s="36" t="n">
        <v>2</v>
      </c>
      <c r="J2607" s="39" t="n">
        <v>36.02</v>
      </c>
      <c r="K2607" s="45" t="n">
        <v>0.1</v>
      </c>
      <c r="L2607" s="39" t="n">
        <v>13.59</v>
      </c>
      <c r="M2607" s="39">
        <f>I2607*J2607*(1-K2607)</f>
        <v/>
      </c>
      <c r="N2607" s="39">
        <f>I2607*L2607</f>
        <v/>
      </c>
      <c r="O2607" s="39">
        <f>M2607-N2607</f>
        <v/>
      </c>
      <c r="P2607" s="38">
        <f>IF(M2607=0,0,O2607/M2607)</f>
        <v/>
      </c>
      <c r="Q2607" s="36">
        <f>YEAR(B2607)</f>
        <v/>
      </c>
      <c r="R2607" s="36">
        <f>"Q"&amp;ROUNDUP(MONTH(B2607)/3,0)</f>
        <v/>
      </c>
      <c r="S2607" s="36">
        <f>MONTH(B2607)</f>
        <v/>
      </c>
      <c r="T2607" s="36">
        <f>TEXT(B2607,"mmm")</f>
        <v/>
      </c>
      <c r="U2607" s="36">
        <f>IF(AND(OR(sel_Region="All",C2607=sel_Region),OR(sel_Country="All",D2607=sel_Country),OR(sel_Channel="All",E2607=sel_Channel),OR(sel_Customer="All",F2607=sel_Customer),OR(sel_Category="All",G2607=sel_Category),OR(sel_Product="All",H2607=sel_Product),AND(S2607&gt;=m_From,S2607&lt;=m_To)),1,0)</f>
        <v/>
      </c>
      <c r="V2607" s="36">
        <f>IF(AND(OR(sel_Region="All",C2607=sel_Region),OR(sel_Channel="All",E2607=sel_Channel),OR(sel_Customer="All",F2607=sel_Customer),OR(sel_Category="All",G2607=sel_Category),OR(sel_Product="All",H2607=sel_Product),AND(S2607&gt;=m_From,S2607&lt;=m_To)),1,0)</f>
        <v/>
      </c>
      <c r="W2607" s="36">
        <f>IF(AND(OR(sel_Region="All",C2607=sel_Region),OR(sel_Country="All",D2607=sel_Country),OR(sel_Customer="All",F2607=sel_Customer),OR(sel_Category="All",G2607=sel_Category),OR(sel_Product="All",H2607=sel_Product),AND(S2607&gt;=m_From,S2607&lt;=m_To)),1,0)</f>
        <v/>
      </c>
      <c r="X2607" s="36">
        <f>IF(AND(OR(sel_Region="All",C2607=sel_Region),OR(sel_Country="All",D2607=sel_Country),OR(sel_Channel="All",E2607=sel_Channel),OR(sel_Category="All",G2607=sel_Category),OR(sel_Product="All",H2607=sel_Product),AND(S2607&gt;=m_From,S2607&lt;=m_To)),1,0)</f>
        <v/>
      </c>
      <c r="Y2607" s="36">
        <f>IF(AND(OR(sel_Region="All",C2607=sel_Region),OR(sel_Country="All",D2607=sel_Country),OR(sel_Channel="All",E2607=sel_Channel),OR(sel_Customer="All",F2607=sel_Customer),OR(sel_Product="All",H2607=sel_Product),AND(S2607&gt;=m_From,S2607&lt;=m_To)),1,0)</f>
        <v/>
      </c>
      <c r="Z2607" s="36">
        <f>IF(AND(OR(sel_Region="All",C2607=sel_Region),OR(sel_Country="All",D2607=sel_Country),OR(sel_Channel="All",E2607=sel_Channel),OR(sel_Customer="All",F2607=sel_Customer),OR(sel_Category="All",G2607=sel_Category),AND(S2607&gt;=m_From,S2607&lt;=m_To)),1,0)</f>
        <v/>
      </c>
      <c r="AA2607" s="36">
        <f>IF(AND(OR(sel_Region="All",C2607=sel_Region),OR(sel_Country="All",D2607=sel_Country),OR(sel_Channel="All",E2607=sel_Channel),OR(sel_Customer="All",F2607=sel_Customer),OR(sel_Category="All",G2607=sel_Category),OR(sel_Product="All",H2607=sel_Product)),1,0)</f>
        <v/>
      </c>
    </row>
    <row r="2608">
      <c r="A2608" s="36" t="inlineStr">
        <is>
          <t>03334</t>
        </is>
      </c>
      <c r="B2608" s="44" t="n">
        <v>46372</v>
      </c>
      <c r="C2608" s="36" t="inlineStr">
        <is>
          <t>Central Europe</t>
        </is>
      </c>
      <c r="D2608" s="36" t="inlineStr">
        <is>
          <t>Poland</t>
        </is>
      </c>
      <c r="E2608" s="36" t="inlineStr">
        <is>
          <t>Online Store</t>
        </is>
      </c>
      <c r="F2608" s="36" t="inlineStr">
        <is>
          <t>Returning</t>
        </is>
      </c>
      <c r="G2608" s="36" t="inlineStr">
        <is>
          <t>Hiking</t>
        </is>
      </c>
      <c r="H2608" s="36" t="inlineStr">
        <is>
          <t>Summit Backpack 45L</t>
        </is>
      </c>
      <c r="I2608" s="36" t="n">
        <v>1</v>
      </c>
      <c r="J2608" s="39" t="n">
        <v>154.12</v>
      </c>
      <c r="K2608" s="45" t="n">
        <v>0</v>
      </c>
      <c r="L2608" s="39" t="n">
        <v>77.45</v>
      </c>
      <c r="M2608" s="39">
        <f>I2608*J2608*(1-K2608)</f>
        <v/>
      </c>
      <c r="N2608" s="39">
        <f>I2608*L2608</f>
        <v/>
      </c>
      <c r="O2608" s="39">
        <f>M2608-N2608</f>
        <v/>
      </c>
      <c r="P2608" s="38">
        <f>IF(M2608=0,0,O2608/M2608)</f>
        <v/>
      </c>
      <c r="Q2608" s="36">
        <f>YEAR(B2608)</f>
        <v/>
      </c>
      <c r="R2608" s="36">
        <f>"Q"&amp;ROUNDUP(MONTH(B2608)/3,0)</f>
        <v/>
      </c>
      <c r="S2608" s="36">
        <f>MONTH(B2608)</f>
        <v/>
      </c>
      <c r="T2608" s="36">
        <f>TEXT(B2608,"mmm")</f>
        <v/>
      </c>
      <c r="U2608" s="36">
        <f>IF(AND(OR(sel_Region="All",C2608=sel_Region),OR(sel_Country="All",D2608=sel_Country),OR(sel_Channel="All",E2608=sel_Channel),OR(sel_Customer="All",F2608=sel_Customer),OR(sel_Category="All",G2608=sel_Category),OR(sel_Product="All",H2608=sel_Product),AND(S2608&gt;=m_From,S2608&lt;=m_To)),1,0)</f>
        <v/>
      </c>
      <c r="V2608" s="36">
        <f>IF(AND(OR(sel_Region="All",C2608=sel_Region),OR(sel_Channel="All",E2608=sel_Channel),OR(sel_Customer="All",F2608=sel_Customer),OR(sel_Category="All",G2608=sel_Category),OR(sel_Product="All",H2608=sel_Product),AND(S2608&gt;=m_From,S2608&lt;=m_To)),1,0)</f>
        <v/>
      </c>
      <c r="W2608" s="36">
        <f>IF(AND(OR(sel_Region="All",C2608=sel_Region),OR(sel_Country="All",D2608=sel_Country),OR(sel_Customer="All",F2608=sel_Customer),OR(sel_Category="All",G2608=sel_Category),OR(sel_Product="All",H2608=sel_Product),AND(S2608&gt;=m_From,S2608&lt;=m_To)),1,0)</f>
        <v/>
      </c>
      <c r="X2608" s="36">
        <f>IF(AND(OR(sel_Region="All",C2608=sel_Region),OR(sel_Country="All",D2608=sel_Country),OR(sel_Channel="All",E2608=sel_Channel),OR(sel_Category="All",G2608=sel_Category),OR(sel_Product="All",H2608=sel_Product),AND(S2608&gt;=m_From,S2608&lt;=m_To)),1,0)</f>
        <v/>
      </c>
      <c r="Y2608" s="36">
        <f>IF(AND(OR(sel_Region="All",C2608=sel_Region),OR(sel_Country="All",D2608=sel_Country),OR(sel_Channel="All",E2608=sel_Channel),OR(sel_Customer="All",F2608=sel_Customer),OR(sel_Product="All",H2608=sel_Product),AND(S2608&gt;=m_From,S2608&lt;=m_To)),1,0)</f>
        <v/>
      </c>
      <c r="Z2608" s="36">
        <f>IF(AND(OR(sel_Region="All",C2608=sel_Region),OR(sel_Country="All",D2608=sel_Country),OR(sel_Channel="All",E2608=sel_Channel),OR(sel_Customer="All",F2608=sel_Customer),OR(sel_Category="All",G2608=sel_Category),AND(S2608&gt;=m_From,S2608&lt;=m_To)),1,0)</f>
        <v/>
      </c>
      <c r="AA2608" s="36">
        <f>IF(AND(OR(sel_Region="All",C2608=sel_Region),OR(sel_Country="All",D2608=sel_Country),OR(sel_Channel="All",E2608=sel_Channel),OR(sel_Customer="All",F2608=sel_Customer),OR(sel_Category="All",G2608=sel_Category),OR(sel_Product="All",H2608=sel_Product)),1,0)</f>
        <v/>
      </c>
    </row>
    <row r="2609">
      <c r="A2609" s="36" t="inlineStr">
        <is>
          <t>03469</t>
        </is>
      </c>
      <c r="B2609" s="44" t="n">
        <v>46372</v>
      </c>
      <c r="C2609" s="36" t="inlineStr">
        <is>
          <t>Southern Europe</t>
        </is>
      </c>
      <c r="D2609" s="36" t="inlineStr">
        <is>
          <t>Portugal</t>
        </is>
      </c>
      <c r="E2609" s="36" t="inlineStr">
        <is>
          <t>Online Store</t>
        </is>
      </c>
      <c r="F2609" s="36" t="inlineStr">
        <is>
          <t>Returning</t>
        </is>
      </c>
      <c r="G2609" s="36" t="inlineStr">
        <is>
          <t>Hiking</t>
        </is>
      </c>
      <c r="H2609" s="36" t="inlineStr">
        <is>
          <t>Summit Backpack 45L</t>
        </is>
      </c>
      <c r="I2609" s="36" t="n">
        <v>1</v>
      </c>
      <c r="J2609" s="39" t="n">
        <v>150.88</v>
      </c>
      <c r="K2609" s="45" t="n">
        <v>0.05</v>
      </c>
      <c r="L2609" s="39" t="n">
        <v>81.02</v>
      </c>
      <c r="M2609" s="39">
        <f>I2609*J2609*(1-K2609)</f>
        <v/>
      </c>
      <c r="N2609" s="39">
        <f>I2609*L2609</f>
        <v/>
      </c>
      <c r="O2609" s="39">
        <f>M2609-N2609</f>
        <v/>
      </c>
      <c r="P2609" s="38">
        <f>IF(M2609=0,0,O2609/M2609)</f>
        <v/>
      </c>
      <c r="Q2609" s="36">
        <f>YEAR(B2609)</f>
        <v/>
      </c>
      <c r="R2609" s="36">
        <f>"Q"&amp;ROUNDUP(MONTH(B2609)/3,0)</f>
        <v/>
      </c>
      <c r="S2609" s="36">
        <f>MONTH(B2609)</f>
        <v/>
      </c>
      <c r="T2609" s="36">
        <f>TEXT(B2609,"mmm")</f>
        <v/>
      </c>
      <c r="U2609" s="36">
        <f>IF(AND(OR(sel_Region="All",C2609=sel_Region),OR(sel_Country="All",D2609=sel_Country),OR(sel_Channel="All",E2609=sel_Channel),OR(sel_Customer="All",F2609=sel_Customer),OR(sel_Category="All",G2609=sel_Category),OR(sel_Product="All",H2609=sel_Product),AND(S2609&gt;=m_From,S2609&lt;=m_To)),1,0)</f>
        <v/>
      </c>
      <c r="V2609" s="36">
        <f>IF(AND(OR(sel_Region="All",C2609=sel_Region),OR(sel_Channel="All",E2609=sel_Channel),OR(sel_Customer="All",F2609=sel_Customer),OR(sel_Category="All",G2609=sel_Category),OR(sel_Product="All",H2609=sel_Product),AND(S2609&gt;=m_From,S2609&lt;=m_To)),1,0)</f>
        <v/>
      </c>
      <c r="W2609" s="36">
        <f>IF(AND(OR(sel_Region="All",C2609=sel_Region),OR(sel_Country="All",D2609=sel_Country),OR(sel_Customer="All",F2609=sel_Customer),OR(sel_Category="All",G2609=sel_Category),OR(sel_Product="All",H2609=sel_Product),AND(S2609&gt;=m_From,S2609&lt;=m_To)),1,0)</f>
        <v/>
      </c>
      <c r="X2609" s="36">
        <f>IF(AND(OR(sel_Region="All",C2609=sel_Region),OR(sel_Country="All",D2609=sel_Country),OR(sel_Channel="All",E2609=sel_Channel),OR(sel_Category="All",G2609=sel_Category),OR(sel_Product="All",H2609=sel_Product),AND(S2609&gt;=m_From,S2609&lt;=m_To)),1,0)</f>
        <v/>
      </c>
      <c r="Y2609" s="36">
        <f>IF(AND(OR(sel_Region="All",C2609=sel_Region),OR(sel_Country="All",D2609=sel_Country),OR(sel_Channel="All",E2609=sel_Channel),OR(sel_Customer="All",F2609=sel_Customer),OR(sel_Product="All",H2609=sel_Product),AND(S2609&gt;=m_From,S2609&lt;=m_To)),1,0)</f>
        <v/>
      </c>
      <c r="Z2609" s="36">
        <f>IF(AND(OR(sel_Region="All",C2609=sel_Region),OR(sel_Country="All",D2609=sel_Country),OR(sel_Channel="All",E2609=sel_Channel),OR(sel_Customer="All",F2609=sel_Customer),OR(sel_Category="All",G2609=sel_Category),AND(S2609&gt;=m_From,S2609&lt;=m_To)),1,0)</f>
        <v/>
      </c>
      <c r="AA2609" s="36">
        <f>IF(AND(OR(sel_Region="All",C2609=sel_Region),OR(sel_Country="All",D2609=sel_Country),OR(sel_Channel="All",E2609=sel_Channel),OR(sel_Customer="All",F2609=sel_Customer),OR(sel_Category="All",G2609=sel_Category),OR(sel_Product="All",H2609=sel_Product)),1,0)</f>
        <v/>
      </c>
    </row>
    <row r="2610">
      <c r="A2610" s="36" t="inlineStr">
        <is>
          <t>00569</t>
        </is>
      </c>
      <c r="B2610" s="44" t="n">
        <v>46373</v>
      </c>
      <c r="C2610" s="36" t="inlineStr">
        <is>
          <t>Northern Europe</t>
        </is>
      </c>
      <c r="D2610" s="36" t="inlineStr">
        <is>
          <t>Sweden</t>
        </is>
      </c>
      <c r="E2610" s="36" t="inlineStr">
        <is>
          <t>Marketplace</t>
        </is>
      </c>
      <c r="F2610" s="36" t="inlineStr">
        <is>
          <t>New</t>
        </is>
      </c>
      <c r="G2610" s="36" t="inlineStr">
        <is>
          <t>Cycling</t>
        </is>
      </c>
      <c r="H2610" s="36" t="inlineStr">
        <is>
          <t>Compact Repair Kit</t>
        </is>
      </c>
      <c r="I2610" s="36" t="n">
        <v>2</v>
      </c>
      <c r="J2610" s="39" t="n">
        <v>40.48</v>
      </c>
      <c r="K2610" s="45" t="n">
        <v>0</v>
      </c>
      <c r="L2610" s="39" t="n">
        <v>16.23</v>
      </c>
      <c r="M2610" s="39">
        <f>I2610*J2610*(1-K2610)</f>
        <v/>
      </c>
      <c r="N2610" s="39">
        <f>I2610*L2610</f>
        <v/>
      </c>
      <c r="O2610" s="39">
        <f>M2610-N2610</f>
        <v/>
      </c>
      <c r="P2610" s="38">
        <f>IF(M2610=0,0,O2610/M2610)</f>
        <v/>
      </c>
      <c r="Q2610" s="36">
        <f>YEAR(B2610)</f>
        <v/>
      </c>
      <c r="R2610" s="36">
        <f>"Q"&amp;ROUNDUP(MONTH(B2610)/3,0)</f>
        <v/>
      </c>
      <c r="S2610" s="36">
        <f>MONTH(B2610)</f>
        <v/>
      </c>
      <c r="T2610" s="36">
        <f>TEXT(B2610,"mmm")</f>
        <v/>
      </c>
      <c r="U2610" s="36">
        <f>IF(AND(OR(sel_Region="All",C2610=sel_Region),OR(sel_Country="All",D2610=sel_Country),OR(sel_Channel="All",E2610=sel_Channel),OR(sel_Customer="All",F2610=sel_Customer),OR(sel_Category="All",G2610=sel_Category),OR(sel_Product="All",H2610=sel_Product),AND(S2610&gt;=m_From,S2610&lt;=m_To)),1,0)</f>
        <v/>
      </c>
      <c r="V2610" s="36">
        <f>IF(AND(OR(sel_Region="All",C2610=sel_Region),OR(sel_Channel="All",E2610=sel_Channel),OR(sel_Customer="All",F2610=sel_Customer),OR(sel_Category="All",G2610=sel_Category),OR(sel_Product="All",H2610=sel_Product),AND(S2610&gt;=m_From,S2610&lt;=m_To)),1,0)</f>
        <v/>
      </c>
      <c r="W2610" s="36">
        <f>IF(AND(OR(sel_Region="All",C2610=sel_Region),OR(sel_Country="All",D2610=sel_Country),OR(sel_Customer="All",F2610=sel_Customer),OR(sel_Category="All",G2610=sel_Category),OR(sel_Product="All",H2610=sel_Product),AND(S2610&gt;=m_From,S2610&lt;=m_To)),1,0)</f>
        <v/>
      </c>
      <c r="X2610" s="36">
        <f>IF(AND(OR(sel_Region="All",C2610=sel_Region),OR(sel_Country="All",D2610=sel_Country),OR(sel_Channel="All",E2610=sel_Channel),OR(sel_Category="All",G2610=sel_Category),OR(sel_Product="All",H2610=sel_Product),AND(S2610&gt;=m_From,S2610&lt;=m_To)),1,0)</f>
        <v/>
      </c>
      <c r="Y2610" s="36">
        <f>IF(AND(OR(sel_Region="All",C2610=sel_Region),OR(sel_Country="All",D2610=sel_Country),OR(sel_Channel="All",E2610=sel_Channel),OR(sel_Customer="All",F2610=sel_Customer),OR(sel_Product="All",H2610=sel_Product),AND(S2610&gt;=m_From,S2610&lt;=m_To)),1,0)</f>
        <v/>
      </c>
      <c r="Z2610" s="36">
        <f>IF(AND(OR(sel_Region="All",C2610=sel_Region),OR(sel_Country="All",D2610=sel_Country),OR(sel_Channel="All",E2610=sel_Channel),OR(sel_Customer="All",F2610=sel_Customer),OR(sel_Category="All",G2610=sel_Category),AND(S2610&gt;=m_From,S2610&lt;=m_To)),1,0)</f>
        <v/>
      </c>
      <c r="AA2610" s="36">
        <f>IF(AND(OR(sel_Region="All",C2610=sel_Region),OR(sel_Country="All",D2610=sel_Country),OR(sel_Channel="All",E2610=sel_Channel),OR(sel_Customer="All",F2610=sel_Customer),OR(sel_Category="All",G2610=sel_Category),OR(sel_Product="All",H2610=sel_Product)),1,0)</f>
        <v/>
      </c>
    </row>
    <row r="2611">
      <c r="A2611" s="36" t="inlineStr">
        <is>
          <t>02404</t>
        </is>
      </c>
      <c r="B2611" s="44" t="n">
        <v>46373</v>
      </c>
      <c r="C2611" s="36" t="inlineStr">
        <is>
          <t>Northern Europe</t>
        </is>
      </c>
      <c r="D2611" s="36" t="inlineStr">
        <is>
          <t>Finland</t>
        </is>
      </c>
      <c r="E2611" s="36" t="inlineStr">
        <is>
          <t>Marketplace</t>
        </is>
      </c>
      <c r="F2611" s="36" t="inlineStr">
        <is>
          <t>Business</t>
        </is>
      </c>
      <c r="G2611" s="36" t="inlineStr">
        <is>
          <t>Travel</t>
        </is>
      </c>
      <c r="H2611" s="36" t="inlineStr">
        <is>
          <t>Travel Backpack 35L</t>
        </is>
      </c>
      <c r="I2611" s="36" t="n">
        <v>3</v>
      </c>
      <c r="J2611" s="39" t="n">
        <v>163.34</v>
      </c>
      <c r="K2611" s="45" t="n">
        <v>0.1</v>
      </c>
      <c r="L2611" s="39" t="n">
        <v>88.53</v>
      </c>
      <c r="M2611" s="39">
        <f>I2611*J2611*(1-K2611)</f>
        <v/>
      </c>
      <c r="N2611" s="39">
        <f>I2611*L2611</f>
        <v/>
      </c>
      <c r="O2611" s="39">
        <f>M2611-N2611</f>
        <v/>
      </c>
      <c r="P2611" s="38">
        <f>IF(M2611=0,0,O2611/M2611)</f>
        <v/>
      </c>
      <c r="Q2611" s="36">
        <f>YEAR(B2611)</f>
        <v/>
      </c>
      <c r="R2611" s="36">
        <f>"Q"&amp;ROUNDUP(MONTH(B2611)/3,0)</f>
        <v/>
      </c>
      <c r="S2611" s="36">
        <f>MONTH(B2611)</f>
        <v/>
      </c>
      <c r="T2611" s="36">
        <f>TEXT(B2611,"mmm")</f>
        <v/>
      </c>
      <c r="U2611" s="36">
        <f>IF(AND(OR(sel_Region="All",C2611=sel_Region),OR(sel_Country="All",D2611=sel_Country),OR(sel_Channel="All",E2611=sel_Channel),OR(sel_Customer="All",F2611=sel_Customer),OR(sel_Category="All",G2611=sel_Category),OR(sel_Product="All",H2611=sel_Product),AND(S2611&gt;=m_From,S2611&lt;=m_To)),1,0)</f>
        <v/>
      </c>
      <c r="V2611" s="36">
        <f>IF(AND(OR(sel_Region="All",C2611=sel_Region),OR(sel_Channel="All",E2611=sel_Channel),OR(sel_Customer="All",F2611=sel_Customer),OR(sel_Category="All",G2611=sel_Category),OR(sel_Product="All",H2611=sel_Product),AND(S2611&gt;=m_From,S2611&lt;=m_To)),1,0)</f>
        <v/>
      </c>
      <c r="W2611" s="36">
        <f>IF(AND(OR(sel_Region="All",C2611=sel_Region),OR(sel_Country="All",D2611=sel_Country),OR(sel_Customer="All",F2611=sel_Customer),OR(sel_Category="All",G2611=sel_Category),OR(sel_Product="All",H2611=sel_Product),AND(S2611&gt;=m_From,S2611&lt;=m_To)),1,0)</f>
        <v/>
      </c>
      <c r="X2611" s="36">
        <f>IF(AND(OR(sel_Region="All",C2611=sel_Region),OR(sel_Country="All",D2611=sel_Country),OR(sel_Channel="All",E2611=sel_Channel),OR(sel_Category="All",G2611=sel_Category),OR(sel_Product="All",H2611=sel_Product),AND(S2611&gt;=m_From,S2611&lt;=m_To)),1,0)</f>
        <v/>
      </c>
      <c r="Y2611" s="36">
        <f>IF(AND(OR(sel_Region="All",C2611=sel_Region),OR(sel_Country="All",D2611=sel_Country),OR(sel_Channel="All",E2611=sel_Channel),OR(sel_Customer="All",F2611=sel_Customer),OR(sel_Product="All",H2611=sel_Product),AND(S2611&gt;=m_From,S2611&lt;=m_To)),1,0)</f>
        <v/>
      </c>
      <c r="Z2611" s="36">
        <f>IF(AND(OR(sel_Region="All",C2611=sel_Region),OR(sel_Country="All",D2611=sel_Country),OR(sel_Channel="All",E2611=sel_Channel),OR(sel_Customer="All",F2611=sel_Customer),OR(sel_Category="All",G2611=sel_Category),AND(S2611&gt;=m_From,S2611&lt;=m_To)),1,0)</f>
        <v/>
      </c>
      <c r="AA2611" s="36">
        <f>IF(AND(OR(sel_Region="All",C2611=sel_Region),OR(sel_Country="All",D2611=sel_Country),OR(sel_Channel="All",E2611=sel_Channel),OR(sel_Customer="All",F2611=sel_Customer),OR(sel_Category="All",G2611=sel_Category),OR(sel_Product="All",H2611=sel_Product)),1,0)</f>
        <v/>
      </c>
    </row>
    <row r="2612">
      <c r="A2612" s="36" t="inlineStr">
        <is>
          <t>04682</t>
        </is>
      </c>
      <c r="B2612" s="44" t="n">
        <v>46373</v>
      </c>
      <c r="C2612" s="36" t="inlineStr">
        <is>
          <t>Western Europe</t>
        </is>
      </c>
      <c r="D2612" s="36" t="inlineStr">
        <is>
          <t>Belgium</t>
        </is>
      </c>
      <c r="E2612" s="36" t="inlineStr">
        <is>
          <t>Retail Partners</t>
        </is>
      </c>
      <c r="F2612" s="36" t="inlineStr">
        <is>
          <t>New</t>
        </is>
      </c>
      <c r="G2612" s="36" t="inlineStr">
        <is>
          <t>Fitness</t>
        </is>
      </c>
      <c r="H2612" s="36" t="inlineStr">
        <is>
          <t>Resistance Band Set</t>
        </is>
      </c>
      <c r="I2612" s="36" t="n">
        <v>2</v>
      </c>
      <c r="J2612" s="39" t="n">
        <v>40.89</v>
      </c>
      <c r="K2612" s="45" t="n">
        <v>0</v>
      </c>
      <c r="L2612" s="39" t="n">
        <v>14.95</v>
      </c>
      <c r="M2612" s="39">
        <f>I2612*J2612*(1-K2612)</f>
        <v/>
      </c>
      <c r="N2612" s="39">
        <f>I2612*L2612</f>
        <v/>
      </c>
      <c r="O2612" s="39">
        <f>M2612-N2612</f>
        <v/>
      </c>
      <c r="P2612" s="38">
        <f>IF(M2612=0,0,O2612/M2612)</f>
        <v/>
      </c>
      <c r="Q2612" s="36">
        <f>YEAR(B2612)</f>
        <v/>
      </c>
      <c r="R2612" s="36">
        <f>"Q"&amp;ROUNDUP(MONTH(B2612)/3,0)</f>
        <v/>
      </c>
      <c r="S2612" s="36">
        <f>MONTH(B2612)</f>
        <v/>
      </c>
      <c r="T2612" s="36">
        <f>TEXT(B2612,"mmm")</f>
        <v/>
      </c>
      <c r="U2612" s="36">
        <f>IF(AND(OR(sel_Region="All",C2612=sel_Region),OR(sel_Country="All",D2612=sel_Country),OR(sel_Channel="All",E2612=sel_Channel),OR(sel_Customer="All",F2612=sel_Customer),OR(sel_Category="All",G2612=sel_Category),OR(sel_Product="All",H2612=sel_Product),AND(S2612&gt;=m_From,S2612&lt;=m_To)),1,0)</f>
        <v/>
      </c>
      <c r="V2612" s="36">
        <f>IF(AND(OR(sel_Region="All",C2612=sel_Region),OR(sel_Channel="All",E2612=sel_Channel),OR(sel_Customer="All",F2612=sel_Customer),OR(sel_Category="All",G2612=sel_Category),OR(sel_Product="All",H2612=sel_Product),AND(S2612&gt;=m_From,S2612&lt;=m_To)),1,0)</f>
        <v/>
      </c>
      <c r="W2612" s="36">
        <f>IF(AND(OR(sel_Region="All",C2612=sel_Region),OR(sel_Country="All",D2612=sel_Country),OR(sel_Customer="All",F2612=sel_Customer),OR(sel_Category="All",G2612=sel_Category),OR(sel_Product="All",H2612=sel_Product),AND(S2612&gt;=m_From,S2612&lt;=m_To)),1,0)</f>
        <v/>
      </c>
      <c r="X2612" s="36">
        <f>IF(AND(OR(sel_Region="All",C2612=sel_Region),OR(sel_Country="All",D2612=sel_Country),OR(sel_Channel="All",E2612=sel_Channel),OR(sel_Category="All",G2612=sel_Category),OR(sel_Product="All",H2612=sel_Product),AND(S2612&gt;=m_From,S2612&lt;=m_To)),1,0)</f>
        <v/>
      </c>
      <c r="Y2612" s="36">
        <f>IF(AND(OR(sel_Region="All",C2612=sel_Region),OR(sel_Country="All",D2612=sel_Country),OR(sel_Channel="All",E2612=sel_Channel),OR(sel_Customer="All",F2612=sel_Customer),OR(sel_Product="All",H2612=sel_Product),AND(S2612&gt;=m_From,S2612&lt;=m_To)),1,0)</f>
        <v/>
      </c>
      <c r="Z2612" s="36">
        <f>IF(AND(OR(sel_Region="All",C2612=sel_Region),OR(sel_Country="All",D2612=sel_Country),OR(sel_Channel="All",E2612=sel_Channel),OR(sel_Customer="All",F2612=sel_Customer),OR(sel_Category="All",G2612=sel_Category),AND(S2612&gt;=m_From,S2612&lt;=m_To)),1,0)</f>
        <v/>
      </c>
      <c r="AA2612" s="36">
        <f>IF(AND(OR(sel_Region="All",C2612=sel_Region),OR(sel_Country="All",D2612=sel_Country),OR(sel_Channel="All",E2612=sel_Channel),OR(sel_Customer="All",F2612=sel_Customer),OR(sel_Category="All",G2612=sel_Category),OR(sel_Product="All",H2612=sel_Product)),1,0)</f>
        <v/>
      </c>
    </row>
    <row r="2613">
      <c r="A2613" s="36" t="inlineStr">
        <is>
          <t>04888</t>
        </is>
      </c>
      <c r="B2613" s="44" t="n">
        <v>46373</v>
      </c>
      <c r="C2613" s="36" t="inlineStr">
        <is>
          <t>Northern Europe</t>
        </is>
      </c>
      <c r="D2613" s="36" t="inlineStr">
        <is>
          <t>Sweden</t>
        </is>
      </c>
      <c r="E2613" s="36" t="inlineStr">
        <is>
          <t>Marketplace</t>
        </is>
      </c>
      <c r="F2613" s="36" t="inlineStr">
        <is>
          <t>New</t>
        </is>
      </c>
      <c r="G2613" s="36" t="inlineStr">
        <is>
          <t>Fitness</t>
        </is>
      </c>
      <c r="H2613" s="36" t="inlineStr">
        <is>
          <t>Resistance Band Set</t>
        </is>
      </c>
      <c r="I2613" s="36" t="n">
        <v>1</v>
      </c>
      <c r="J2613" s="39" t="n">
        <v>40.16</v>
      </c>
      <c r="K2613" s="45" t="n">
        <v>0.15</v>
      </c>
      <c r="L2613" s="39" t="n">
        <v>14.46</v>
      </c>
      <c r="M2613" s="39">
        <f>I2613*J2613*(1-K2613)</f>
        <v/>
      </c>
      <c r="N2613" s="39">
        <f>I2613*L2613</f>
        <v/>
      </c>
      <c r="O2613" s="39">
        <f>M2613-N2613</f>
        <v/>
      </c>
      <c r="P2613" s="38">
        <f>IF(M2613=0,0,O2613/M2613)</f>
        <v/>
      </c>
      <c r="Q2613" s="36">
        <f>YEAR(B2613)</f>
        <v/>
      </c>
      <c r="R2613" s="36">
        <f>"Q"&amp;ROUNDUP(MONTH(B2613)/3,0)</f>
        <v/>
      </c>
      <c r="S2613" s="36">
        <f>MONTH(B2613)</f>
        <v/>
      </c>
      <c r="T2613" s="36">
        <f>TEXT(B2613,"mmm")</f>
        <v/>
      </c>
      <c r="U2613" s="36">
        <f>IF(AND(OR(sel_Region="All",C2613=sel_Region),OR(sel_Country="All",D2613=sel_Country),OR(sel_Channel="All",E2613=sel_Channel),OR(sel_Customer="All",F2613=sel_Customer),OR(sel_Category="All",G2613=sel_Category),OR(sel_Product="All",H2613=sel_Product),AND(S2613&gt;=m_From,S2613&lt;=m_To)),1,0)</f>
        <v/>
      </c>
      <c r="V2613" s="36">
        <f>IF(AND(OR(sel_Region="All",C2613=sel_Region),OR(sel_Channel="All",E2613=sel_Channel),OR(sel_Customer="All",F2613=sel_Customer),OR(sel_Category="All",G2613=sel_Category),OR(sel_Product="All",H2613=sel_Product),AND(S2613&gt;=m_From,S2613&lt;=m_To)),1,0)</f>
        <v/>
      </c>
      <c r="W2613" s="36">
        <f>IF(AND(OR(sel_Region="All",C2613=sel_Region),OR(sel_Country="All",D2613=sel_Country),OR(sel_Customer="All",F2613=sel_Customer),OR(sel_Category="All",G2613=sel_Category),OR(sel_Product="All",H2613=sel_Product),AND(S2613&gt;=m_From,S2613&lt;=m_To)),1,0)</f>
        <v/>
      </c>
      <c r="X2613" s="36">
        <f>IF(AND(OR(sel_Region="All",C2613=sel_Region),OR(sel_Country="All",D2613=sel_Country),OR(sel_Channel="All",E2613=sel_Channel),OR(sel_Category="All",G2613=sel_Category),OR(sel_Product="All",H2613=sel_Product),AND(S2613&gt;=m_From,S2613&lt;=m_To)),1,0)</f>
        <v/>
      </c>
      <c r="Y2613" s="36">
        <f>IF(AND(OR(sel_Region="All",C2613=sel_Region),OR(sel_Country="All",D2613=sel_Country),OR(sel_Channel="All",E2613=sel_Channel),OR(sel_Customer="All",F2613=sel_Customer),OR(sel_Product="All",H2613=sel_Product),AND(S2613&gt;=m_From,S2613&lt;=m_To)),1,0)</f>
        <v/>
      </c>
      <c r="Z2613" s="36">
        <f>IF(AND(OR(sel_Region="All",C2613=sel_Region),OR(sel_Country="All",D2613=sel_Country),OR(sel_Channel="All",E2613=sel_Channel),OR(sel_Customer="All",F2613=sel_Customer),OR(sel_Category="All",G2613=sel_Category),AND(S2613&gt;=m_From,S2613&lt;=m_To)),1,0)</f>
        <v/>
      </c>
      <c r="AA2613" s="36">
        <f>IF(AND(OR(sel_Region="All",C2613=sel_Region),OR(sel_Country="All",D2613=sel_Country),OR(sel_Channel="All",E2613=sel_Channel),OR(sel_Customer="All",F2613=sel_Customer),OR(sel_Category="All",G2613=sel_Category),OR(sel_Product="All",H2613=sel_Product)),1,0)</f>
        <v/>
      </c>
    </row>
    <row r="2614">
      <c r="A2614" s="36" t="inlineStr">
        <is>
          <t>04923</t>
        </is>
      </c>
      <c r="B2614" s="44" t="n">
        <v>46373</v>
      </c>
      <c r="C2614" s="36" t="inlineStr">
        <is>
          <t>Western Europe</t>
        </is>
      </c>
      <c r="D2614" s="36" t="inlineStr">
        <is>
          <t>France</t>
        </is>
      </c>
      <c r="E2614" s="36" t="inlineStr">
        <is>
          <t>Online Store</t>
        </is>
      </c>
      <c r="F2614" s="36" t="inlineStr">
        <is>
          <t>New</t>
        </is>
      </c>
      <c r="G2614" s="36" t="inlineStr">
        <is>
          <t>Camping</t>
        </is>
      </c>
      <c r="H2614" s="36" t="inlineStr">
        <is>
          <t>Portable Camp Stove</t>
        </is>
      </c>
      <c r="I2614" s="36" t="n">
        <v>2</v>
      </c>
      <c r="J2614" s="39" t="n">
        <v>79.86</v>
      </c>
      <c r="K2614" s="45" t="n">
        <v>0</v>
      </c>
      <c r="L2614" s="39" t="n">
        <v>39.05</v>
      </c>
      <c r="M2614" s="39">
        <f>I2614*J2614*(1-K2614)</f>
        <v/>
      </c>
      <c r="N2614" s="39">
        <f>I2614*L2614</f>
        <v/>
      </c>
      <c r="O2614" s="39">
        <f>M2614-N2614</f>
        <v/>
      </c>
      <c r="P2614" s="38">
        <f>IF(M2614=0,0,O2614/M2614)</f>
        <v/>
      </c>
      <c r="Q2614" s="36">
        <f>YEAR(B2614)</f>
        <v/>
      </c>
      <c r="R2614" s="36">
        <f>"Q"&amp;ROUNDUP(MONTH(B2614)/3,0)</f>
        <v/>
      </c>
      <c r="S2614" s="36">
        <f>MONTH(B2614)</f>
        <v/>
      </c>
      <c r="T2614" s="36">
        <f>TEXT(B2614,"mmm")</f>
        <v/>
      </c>
      <c r="U2614" s="36">
        <f>IF(AND(OR(sel_Region="All",C2614=sel_Region),OR(sel_Country="All",D2614=sel_Country),OR(sel_Channel="All",E2614=sel_Channel),OR(sel_Customer="All",F2614=sel_Customer),OR(sel_Category="All",G2614=sel_Category),OR(sel_Product="All",H2614=sel_Product),AND(S2614&gt;=m_From,S2614&lt;=m_To)),1,0)</f>
        <v/>
      </c>
      <c r="V2614" s="36">
        <f>IF(AND(OR(sel_Region="All",C2614=sel_Region),OR(sel_Channel="All",E2614=sel_Channel),OR(sel_Customer="All",F2614=sel_Customer),OR(sel_Category="All",G2614=sel_Category),OR(sel_Product="All",H2614=sel_Product),AND(S2614&gt;=m_From,S2614&lt;=m_To)),1,0)</f>
        <v/>
      </c>
      <c r="W2614" s="36">
        <f>IF(AND(OR(sel_Region="All",C2614=sel_Region),OR(sel_Country="All",D2614=sel_Country),OR(sel_Customer="All",F2614=sel_Customer),OR(sel_Category="All",G2614=sel_Category),OR(sel_Product="All",H2614=sel_Product),AND(S2614&gt;=m_From,S2614&lt;=m_To)),1,0)</f>
        <v/>
      </c>
      <c r="X2614" s="36">
        <f>IF(AND(OR(sel_Region="All",C2614=sel_Region),OR(sel_Country="All",D2614=sel_Country),OR(sel_Channel="All",E2614=sel_Channel),OR(sel_Category="All",G2614=sel_Category),OR(sel_Product="All",H2614=sel_Product),AND(S2614&gt;=m_From,S2614&lt;=m_To)),1,0)</f>
        <v/>
      </c>
      <c r="Y2614" s="36">
        <f>IF(AND(OR(sel_Region="All",C2614=sel_Region),OR(sel_Country="All",D2614=sel_Country),OR(sel_Channel="All",E2614=sel_Channel),OR(sel_Customer="All",F2614=sel_Customer),OR(sel_Product="All",H2614=sel_Product),AND(S2614&gt;=m_From,S2614&lt;=m_To)),1,0)</f>
        <v/>
      </c>
      <c r="Z2614" s="36">
        <f>IF(AND(OR(sel_Region="All",C2614=sel_Region),OR(sel_Country="All",D2614=sel_Country),OR(sel_Channel="All",E2614=sel_Channel),OR(sel_Customer="All",F2614=sel_Customer),OR(sel_Category="All",G2614=sel_Category),AND(S2614&gt;=m_From,S2614&lt;=m_To)),1,0)</f>
        <v/>
      </c>
      <c r="AA2614" s="36">
        <f>IF(AND(OR(sel_Region="All",C2614=sel_Region),OR(sel_Country="All",D2614=sel_Country),OR(sel_Channel="All",E2614=sel_Channel),OR(sel_Customer="All",F2614=sel_Customer),OR(sel_Category="All",G2614=sel_Category),OR(sel_Product="All",H2614=sel_Product)),1,0)</f>
        <v/>
      </c>
    </row>
    <row r="2615">
      <c r="A2615" s="36" t="inlineStr">
        <is>
          <t>00131</t>
        </is>
      </c>
      <c r="B2615" s="44" t="n">
        <v>46374</v>
      </c>
      <c r="C2615" s="36" t="inlineStr">
        <is>
          <t>Central Europe</t>
        </is>
      </c>
      <c r="D2615" s="36" t="inlineStr">
        <is>
          <t>Switzerland</t>
        </is>
      </c>
      <c r="E2615" s="36" t="inlineStr">
        <is>
          <t>Marketplace</t>
        </is>
      </c>
      <c r="F2615" s="36" t="inlineStr">
        <is>
          <t>Returning</t>
        </is>
      </c>
      <c r="G2615" s="36" t="inlineStr">
        <is>
          <t>Camping</t>
        </is>
      </c>
      <c r="H2615" s="36" t="inlineStr">
        <is>
          <t>Compact Sleeping Bag</t>
        </is>
      </c>
      <c r="I2615" s="36" t="n">
        <v>2</v>
      </c>
      <c r="J2615" s="39" t="n">
        <v>123.42</v>
      </c>
      <c r="K2615" s="45" t="n">
        <v>0.1</v>
      </c>
      <c r="L2615" s="39" t="n">
        <v>60.03</v>
      </c>
      <c r="M2615" s="39">
        <f>I2615*J2615*(1-K2615)</f>
        <v/>
      </c>
      <c r="N2615" s="39">
        <f>I2615*L2615</f>
        <v/>
      </c>
      <c r="O2615" s="39">
        <f>M2615-N2615</f>
        <v/>
      </c>
      <c r="P2615" s="38">
        <f>IF(M2615=0,0,O2615/M2615)</f>
        <v/>
      </c>
      <c r="Q2615" s="36">
        <f>YEAR(B2615)</f>
        <v/>
      </c>
      <c r="R2615" s="36">
        <f>"Q"&amp;ROUNDUP(MONTH(B2615)/3,0)</f>
        <v/>
      </c>
      <c r="S2615" s="36">
        <f>MONTH(B2615)</f>
        <v/>
      </c>
      <c r="T2615" s="36">
        <f>TEXT(B2615,"mmm")</f>
        <v/>
      </c>
      <c r="U2615" s="36">
        <f>IF(AND(OR(sel_Region="All",C2615=sel_Region),OR(sel_Country="All",D2615=sel_Country),OR(sel_Channel="All",E2615=sel_Channel),OR(sel_Customer="All",F2615=sel_Customer),OR(sel_Category="All",G2615=sel_Category),OR(sel_Product="All",H2615=sel_Product),AND(S2615&gt;=m_From,S2615&lt;=m_To)),1,0)</f>
        <v/>
      </c>
      <c r="V2615" s="36">
        <f>IF(AND(OR(sel_Region="All",C2615=sel_Region),OR(sel_Channel="All",E2615=sel_Channel),OR(sel_Customer="All",F2615=sel_Customer),OR(sel_Category="All",G2615=sel_Category),OR(sel_Product="All",H2615=sel_Product),AND(S2615&gt;=m_From,S2615&lt;=m_To)),1,0)</f>
        <v/>
      </c>
      <c r="W2615" s="36">
        <f>IF(AND(OR(sel_Region="All",C2615=sel_Region),OR(sel_Country="All",D2615=sel_Country),OR(sel_Customer="All",F2615=sel_Customer),OR(sel_Category="All",G2615=sel_Category),OR(sel_Product="All",H2615=sel_Product),AND(S2615&gt;=m_From,S2615&lt;=m_To)),1,0)</f>
        <v/>
      </c>
      <c r="X2615" s="36">
        <f>IF(AND(OR(sel_Region="All",C2615=sel_Region),OR(sel_Country="All",D2615=sel_Country),OR(sel_Channel="All",E2615=sel_Channel),OR(sel_Category="All",G2615=sel_Category),OR(sel_Product="All",H2615=sel_Product),AND(S2615&gt;=m_From,S2615&lt;=m_To)),1,0)</f>
        <v/>
      </c>
      <c r="Y2615" s="36">
        <f>IF(AND(OR(sel_Region="All",C2615=sel_Region),OR(sel_Country="All",D2615=sel_Country),OR(sel_Channel="All",E2615=sel_Channel),OR(sel_Customer="All",F2615=sel_Customer),OR(sel_Product="All",H2615=sel_Product),AND(S2615&gt;=m_From,S2615&lt;=m_To)),1,0)</f>
        <v/>
      </c>
      <c r="Z2615" s="36">
        <f>IF(AND(OR(sel_Region="All",C2615=sel_Region),OR(sel_Country="All",D2615=sel_Country),OR(sel_Channel="All",E2615=sel_Channel),OR(sel_Customer="All",F2615=sel_Customer),OR(sel_Category="All",G2615=sel_Category),AND(S2615&gt;=m_From,S2615&lt;=m_To)),1,0)</f>
        <v/>
      </c>
      <c r="AA2615" s="36">
        <f>IF(AND(OR(sel_Region="All",C2615=sel_Region),OR(sel_Country="All",D2615=sel_Country),OR(sel_Channel="All",E2615=sel_Channel),OR(sel_Customer="All",F2615=sel_Customer),OR(sel_Category="All",G2615=sel_Category),OR(sel_Product="All",H2615=sel_Product)),1,0)</f>
        <v/>
      </c>
    </row>
    <row r="2616">
      <c r="A2616" s="36" t="inlineStr">
        <is>
          <t>00349</t>
        </is>
      </c>
      <c r="B2616" s="44" t="n">
        <v>46374</v>
      </c>
      <c r="C2616" s="36" t="inlineStr">
        <is>
          <t>Northern Europe</t>
        </is>
      </c>
      <c r="D2616" s="36" t="inlineStr">
        <is>
          <t>Sweden</t>
        </is>
      </c>
      <c r="E2616" s="36" t="inlineStr">
        <is>
          <t>Online Store</t>
        </is>
      </c>
      <c r="F2616" s="36" t="inlineStr">
        <is>
          <t>Returning</t>
        </is>
      </c>
      <c r="G2616" s="36" t="inlineStr">
        <is>
          <t>Travel</t>
        </is>
      </c>
      <c r="H2616" s="36" t="inlineStr">
        <is>
          <t>Packing Cube Set</t>
        </is>
      </c>
      <c r="I2616" s="36" t="n">
        <v>1</v>
      </c>
      <c r="J2616" s="39" t="n">
        <v>47.61</v>
      </c>
      <c r="K2616" s="45" t="n">
        <v>0.05</v>
      </c>
      <c r="L2616" s="39" t="n">
        <v>18.18</v>
      </c>
      <c r="M2616" s="39">
        <f>I2616*J2616*(1-K2616)</f>
        <v/>
      </c>
      <c r="N2616" s="39">
        <f>I2616*L2616</f>
        <v/>
      </c>
      <c r="O2616" s="39">
        <f>M2616-N2616</f>
        <v/>
      </c>
      <c r="P2616" s="38">
        <f>IF(M2616=0,0,O2616/M2616)</f>
        <v/>
      </c>
      <c r="Q2616" s="36">
        <f>YEAR(B2616)</f>
        <v/>
      </c>
      <c r="R2616" s="36">
        <f>"Q"&amp;ROUNDUP(MONTH(B2616)/3,0)</f>
        <v/>
      </c>
      <c r="S2616" s="36">
        <f>MONTH(B2616)</f>
        <v/>
      </c>
      <c r="T2616" s="36">
        <f>TEXT(B2616,"mmm")</f>
        <v/>
      </c>
      <c r="U2616" s="36">
        <f>IF(AND(OR(sel_Region="All",C2616=sel_Region),OR(sel_Country="All",D2616=sel_Country),OR(sel_Channel="All",E2616=sel_Channel),OR(sel_Customer="All",F2616=sel_Customer),OR(sel_Category="All",G2616=sel_Category),OR(sel_Product="All",H2616=sel_Product),AND(S2616&gt;=m_From,S2616&lt;=m_To)),1,0)</f>
        <v/>
      </c>
      <c r="V2616" s="36">
        <f>IF(AND(OR(sel_Region="All",C2616=sel_Region),OR(sel_Channel="All",E2616=sel_Channel),OR(sel_Customer="All",F2616=sel_Customer),OR(sel_Category="All",G2616=sel_Category),OR(sel_Product="All",H2616=sel_Product),AND(S2616&gt;=m_From,S2616&lt;=m_To)),1,0)</f>
        <v/>
      </c>
      <c r="W2616" s="36">
        <f>IF(AND(OR(sel_Region="All",C2616=sel_Region),OR(sel_Country="All",D2616=sel_Country),OR(sel_Customer="All",F2616=sel_Customer),OR(sel_Category="All",G2616=sel_Category),OR(sel_Product="All",H2616=sel_Product),AND(S2616&gt;=m_From,S2616&lt;=m_To)),1,0)</f>
        <v/>
      </c>
      <c r="X2616" s="36">
        <f>IF(AND(OR(sel_Region="All",C2616=sel_Region),OR(sel_Country="All",D2616=sel_Country),OR(sel_Channel="All",E2616=sel_Channel),OR(sel_Category="All",G2616=sel_Category),OR(sel_Product="All",H2616=sel_Product),AND(S2616&gt;=m_From,S2616&lt;=m_To)),1,0)</f>
        <v/>
      </c>
      <c r="Y2616" s="36">
        <f>IF(AND(OR(sel_Region="All",C2616=sel_Region),OR(sel_Country="All",D2616=sel_Country),OR(sel_Channel="All",E2616=sel_Channel),OR(sel_Customer="All",F2616=sel_Customer),OR(sel_Product="All",H2616=sel_Product),AND(S2616&gt;=m_From,S2616&lt;=m_To)),1,0)</f>
        <v/>
      </c>
      <c r="Z2616" s="36">
        <f>IF(AND(OR(sel_Region="All",C2616=sel_Region),OR(sel_Country="All",D2616=sel_Country),OR(sel_Channel="All",E2616=sel_Channel),OR(sel_Customer="All",F2616=sel_Customer),OR(sel_Category="All",G2616=sel_Category),AND(S2616&gt;=m_From,S2616&lt;=m_To)),1,0)</f>
        <v/>
      </c>
      <c r="AA2616" s="36">
        <f>IF(AND(OR(sel_Region="All",C2616=sel_Region),OR(sel_Country="All",D2616=sel_Country),OR(sel_Channel="All",E2616=sel_Channel),OR(sel_Customer="All",F2616=sel_Customer),OR(sel_Category="All",G2616=sel_Category),OR(sel_Product="All",H2616=sel_Product)),1,0)</f>
        <v/>
      </c>
    </row>
    <row r="2617">
      <c r="A2617" s="36" t="inlineStr">
        <is>
          <t>01131</t>
        </is>
      </c>
      <c r="B2617" s="44" t="n">
        <v>46374</v>
      </c>
      <c r="C2617" s="36" t="inlineStr">
        <is>
          <t>Western Europe</t>
        </is>
      </c>
      <c r="D2617" s="36" t="inlineStr">
        <is>
          <t>United Kingdom</t>
        </is>
      </c>
      <c r="E2617" s="36" t="inlineStr">
        <is>
          <t>Online Store</t>
        </is>
      </c>
      <c r="F2617" s="36" t="inlineStr">
        <is>
          <t>Returning</t>
        </is>
      </c>
      <c r="G2617" s="36" t="inlineStr">
        <is>
          <t>Hiking</t>
        </is>
      </c>
      <c r="H2617" s="36" t="inlineStr">
        <is>
          <t>Hiking Daypack 20L</t>
        </is>
      </c>
      <c r="I2617" s="36" t="n">
        <v>2</v>
      </c>
      <c r="J2617" s="39" t="n">
        <v>93.88</v>
      </c>
      <c r="K2617" s="45" t="n">
        <v>0.1</v>
      </c>
      <c r="L2617" s="39" t="n">
        <v>45.89</v>
      </c>
      <c r="M2617" s="39">
        <f>I2617*J2617*(1-K2617)</f>
        <v/>
      </c>
      <c r="N2617" s="39">
        <f>I2617*L2617</f>
        <v/>
      </c>
      <c r="O2617" s="39">
        <f>M2617-N2617</f>
        <v/>
      </c>
      <c r="P2617" s="38">
        <f>IF(M2617=0,0,O2617/M2617)</f>
        <v/>
      </c>
      <c r="Q2617" s="36">
        <f>YEAR(B2617)</f>
        <v/>
      </c>
      <c r="R2617" s="36">
        <f>"Q"&amp;ROUNDUP(MONTH(B2617)/3,0)</f>
        <v/>
      </c>
      <c r="S2617" s="36">
        <f>MONTH(B2617)</f>
        <v/>
      </c>
      <c r="T2617" s="36">
        <f>TEXT(B2617,"mmm")</f>
        <v/>
      </c>
      <c r="U2617" s="36">
        <f>IF(AND(OR(sel_Region="All",C2617=sel_Region),OR(sel_Country="All",D2617=sel_Country),OR(sel_Channel="All",E2617=sel_Channel),OR(sel_Customer="All",F2617=sel_Customer),OR(sel_Category="All",G2617=sel_Category),OR(sel_Product="All",H2617=sel_Product),AND(S2617&gt;=m_From,S2617&lt;=m_To)),1,0)</f>
        <v/>
      </c>
      <c r="V2617" s="36">
        <f>IF(AND(OR(sel_Region="All",C2617=sel_Region),OR(sel_Channel="All",E2617=sel_Channel),OR(sel_Customer="All",F2617=sel_Customer),OR(sel_Category="All",G2617=sel_Category),OR(sel_Product="All",H2617=sel_Product),AND(S2617&gt;=m_From,S2617&lt;=m_To)),1,0)</f>
        <v/>
      </c>
      <c r="W2617" s="36">
        <f>IF(AND(OR(sel_Region="All",C2617=sel_Region),OR(sel_Country="All",D2617=sel_Country),OR(sel_Customer="All",F2617=sel_Customer),OR(sel_Category="All",G2617=sel_Category),OR(sel_Product="All",H2617=sel_Product),AND(S2617&gt;=m_From,S2617&lt;=m_To)),1,0)</f>
        <v/>
      </c>
      <c r="X2617" s="36">
        <f>IF(AND(OR(sel_Region="All",C2617=sel_Region),OR(sel_Country="All",D2617=sel_Country),OR(sel_Channel="All",E2617=sel_Channel),OR(sel_Category="All",G2617=sel_Category),OR(sel_Product="All",H2617=sel_Product),AND(S2617&gt;=m_From,S2617&lt;=m_To)),1,0)</f>
        <v/>
      </c>
      <c r="Y2617" s="36">
        <f>IF(AND(OR(sel_Region="All",C2617=sel_Region),OR(sel_Country="All",D2617=sel_Country),OR(sel_Channel="All",E2617=sel_Channel),OR(sel_Customer="All",F2617=sel_Customer),OR(sel_Product="All",H2617=sel_Product),AND(S2617&gt;=m_From,S2617&lt;=m_To)),1,0)</f>
        <v/>
      </c>
      <c r="Z2617" s="36">
        <f>IF(AND(OR(sel_Region="All",C2617=sel_Region),OR(sel_Country="All",D2617=sel_Country),OR(sel_Channel="All",E2617=sel_Channel),OR(sel_Customer="All",F2617=sel_Customer),OR(sel_Category="All",G2617=sel_Category),AND(S2617&gt;=m_From,S2617&lt;=m_To)),1,0)</f>
        <v/>
      </c>
      <c r="AA2617" s="36">
        <f>IF(AND(OR(sel_Region="All",C2617=sel_Region),OR(sel_Country="All",D2617=sel_Country),OR(sel_Channel="All",E2617=sel_Channel),OR(sel_Customer="All",F2617=sel_Customer),OR(sel_Category="All",G2617=sel_Category),OR(sel_Product="All",H2617=sel_Product)),1,0)</f>
        <v/>
      </c>
    </row>
    <row r="2618">
      <c r="A2618" s="36" t="inlineStr">
        <is>
          <t>02738</t>
        </is>
      </c>
      <c r="B2618" s="44" t="n">
        <v>46374</v>
      </c>
      <c r="C2618" s="36" t="inlineStr">
        <is>
          <t>Central Europe</t>
        </is>
      </c>
      <c r="D2618" s="36" t="inlineStr">
        <is>
          <t>Switzerland</t>
        </is>
      </c>
      <c r="E2618" s="36" t="inlineStr">
        <is>
          <t>Online Store</t>
        </is>
      </c>
      <c r="F2618" s="36" t="inlineStr">
        <is>
          <t>New</t>
        </is>
      </c>
      <c r="G2618" s="36" t="inlineStr">
        <is>
          <t>Hiking</t>
        </is>
      </c>
      <c r="H2618" s="36" t="inlineStr">
        <is>
          <t>Trail Boots</t>
        </is>
      </c>
      <c r="I2618" s="36" t="n">
        <v>3</v>
      </c>
      <c r="J2618" s="39" t="n">
        <v>145.43</v>
      </c>
      <c r="K2618" s="45" t="n">
        <v>0.05</v>
      </c>
      <c r="L2618" s="39" t="n">
        <v>81.72</v>
      </c>
      <c r="M2618" s="39">
        <f>I2618*J2618*(1-K2618)</f>
        <v/>
      </c>
      <c r="N2618" s="39">
        <f>I2618*L2618</f>
        <v/>
      </c>
      <c r="O2618" s="39">
        <f>M2618-N2618</f>
        <v/>
      </c>
      <c r="P2618" s="38">
        <f>IF(M2618=0,0,O2618/M2618)</f>
        <v/>
      </c>
      <c r="Q2618" s="36">
        <f>YEAR(B2618)</f>
        <v/>
      </c>
      <c r="R2618" s="36">
        <f>"Q"&amp;ROUNDUP(MONTH(B2618)/3,0)</f>
        <v/>
      </c>
      <c r="S2618" s="36">
        <f>MONTH(B2618)</f>
        <v/>
      </c>
      <c r="T2618" s="36">
        <f>TEXT(B2618,"mmm")</f>
        <v/>
      </c>
      <c r="U2618" s="36">
        <f>IF(AND(OR(sel_Region="All",C2618=sel_Region),OR(sel_Country="All",D2618=sel_Country),OR(sel_Channel="All",E2618=sel_Channel),OR(sel_Customer="All",F2618=sel_Customer),OR(sel_Category="All",G2618=sel_Category),OR(sel_Product="All",H2618=sel_Product),AND(S2618&gt;=m_From,S2618&lt;=m_To)),1,0)</f>
        <v/>
      </c>
      <c r="V2618" s="36">
        <f>IF(AND(OR(sel_Region="All",C2618=sel_Region),OR(sel_Channel="All",E2618=sel_Channel),OR(sel_Customer="All",F2618=sel_Customer),OR(sel_Category="All",G2618=sel_Category),OR(sel_Product="All",H2618=sel_Product),AND(S2618&gt;=m_From,S2618&lt;=m_To)),1,0)</f>
        <v/>
      </c>
      <c r="W2618" s="36">
        <f>IF(AND(OR(sel_Region="All",C2618=sel_Region),OR(sel_Country="All",D2618=sel_Country),OR(sel_Customer="All",F2618=sel_Customer),OR(sel_Category="All",G2618=sel_Category),OR(sel_Product="All",H2618=sel_Product),AND(S2618&gt;=m_From,S2618&lt;=m_To)),1,0)</f>
        <v/>
      </c>
      <c r="X2618" s="36">
        <f>IF(AND(OR(sel_Region="All",C2618=sel_Region),OR(sel_Country="All",D2618=sel_Country),OR(sel_Channel="All",E2618=sel_Channel),OR(sel_Category="All",G2618=sel_Category),OR(sel_Product="All",H2618=sel_Product),AND(S2618&gt;=m_From,S2618&lt;=m_To)),1,0)</f>
        <v/>
      </c>
      <c r="Y2618" s="36">
        <f>IF(AND(OR(sel_Region="All",C2618=sel_Region),OR(sel_Country="All",D2618=sel_Country),OR(sel_Channel="All",E2618=sel_Channel),OR(sel_Customer="All",F2618=sel_Customer),OR(sel_Product="All",H2618=sel_Product),AND(S2618&gt;=m_From,S2618&lt;=m_To)),1,0)</f>
        <v/>
      </c>
      <c r="Z2618" s="36">
        <f>IF(AND(OR(sel_Region="All",C2618=sel_Region),OR(sel_Country="All",D2618=sel_Country),OR(sel_Channel="All",E2618=sel_Channel),OR(sel_Customer="All",F2618=sel_Customer),OR(sel_Category="All",G2618=sel_Category),AND(S2618&gt;=m_From,S2618&lt;=m_To)),1,0)</f>
        <v/>
      </c>
      <c r="AA2618" s="36">
        <f>IF(AND(OR(sel_Region="All",C2618=sel_Region),OR(sel_Country="All",D2618=sel_Country),OR(sel_Channel="All",E2618=sel_Channel),OR(sel_Customer="All",F2618=sel_Customer),OR(sel_Category="All",G2618=sel_Category),OR(sel_Product="All",H2618=sel_Product)),1,0)</f>
        <v/>
      </c>
    </row>
    <row r="2619">
      <c r="A2619" s="36" t="inlineStr">
        <is>
          <t>04400</t>
        </is>
      </c>
      <c r="B2619" s="44" t="n">
        <v>46374</v>
      </c>
      <c r="C2619" s="36" t="inlineStr">
        <is>
          <t>Western Europe</t>
        </is>
      </c>
      <c r="D2619" s="36" t="inlineStr">
        <is>
          <t>Belgium</t>
        </is>
      </c>
      <c r="E2619" s="36" t="inlineStr">
        <is>
          <t>Online Store</t>
        </is>
      </c>
      <c r="F2619" s="36" t="inlineStr">
        <is>
          <t>Returning</t>
        </is>
      </c>
      <c r="G2619" s="36" t="inlineStr">
        <is>
          <t>Travel</t>
        </is>
      </c>
      <c r="H2619" s="36" t="inlineStr">
        <is>
          <t>Insulated Bottle</t>
        </is>
      </c>
      <c r="I2619" s="36" t="n">
        <v>2</v>
      </c>
      <c r="J2619" s="39" t="n">
        <v>36.89</v>
      </c>
      <c r="K2619" s="45" t="n">
        <v>0.1</v>
      </c>
      <c r="L2619" s="39" t="n">
        <v>13.74</v>
      </c>
      <c r="M2619" s="39">
        <f>I2619*J2619*(1-K2619)</f>
        <v/>
      </c>
      <c r="N2619" s="39">
        <f>I2619*L2619</f>
        <v/>
      </c>
      <c r="O2619" s="39">
        <f>M2619-N2619</f>
        <v/>
      </c>
      <c r="P2619" s="38">
        <f>IF(M2619=0,0,O2619/M2619)</f>
        <v/>
      </c>
      <c r="Q2619" s="36">
        <f>YEAR(B2619)</f>
        <v/>
      </c>
      <c r="R2619" s="36">
        <f>"Q"&amp;ROUNDUP(MONTH(B2619)/3,0)</f>
        <v/>
      </c>
      <c r="S2619" s="36">
        <f>MONTH(B2619)</f>
        <v/>
      </c>
      <c r="T2619" s="36">
        <f>TEXT(B2619,"mmm")</f>
        <v/>
      </c>
      <c r="U2619" s="36">
        <f>IF(AND(OR(sel_Region="All",C2619=sel_Region),OR(sel_Country="All",D2619=sel_Country),OR(sel_Channel="All",E2619=sel_Channel),OR(sel_Customer="All",F2619=sel_Customer),OR(sel_Category="All",G2619=sel_Category),OR(sel_Product="All",H2619=sel_Product),AND(S2619&gt;=m_From,S2619&lt;=m_To)),1,0)</f>
        <v/>
      </c>
      <c r="V2619" s="36">
        <f>IF(AND(OR(sel_Region="All",C2619=sel_Region),OR(sel_Channel="All",E2619=sel_Channel),OR(sel_Customer="All",F2619=sel_Customer),OR(sel_Category="All",G2619=sel_Category),OR(sel_Product="All",H2619=sel_Product),AND(S2619&gt;=m_From,S2619&lt;=m_To)),1,0)</f>
        <v/>
      </c>
      <c r="W2619" s="36">
        <f>IF(AND(OR(sel_Region="All",C2619=sel_Region),OR(sel_Country="All",D2619=sel_Country),OR(sel_Customer="All",F2619=sel_Customer),OR(sel_Category="All",G2619=sel_Category),OR(sel_Product="All",H2619=sel_Product),AND(S2619&gt;=m_From,S2619&lt;=m_To)),1,0)</f>
        <v/>
      </c>
      <c r="X2619" s="36">
        <f>IF(AND(OR(sel_Region="All",C2619=sel_Region),OR(sel_Country="All",D2619=sel_Country),OR(sel_Channel="All",E2619=sel_Channel),OR(sel_Category="All",G2619=sel_Category),OR(sel_Product="All",H2619=sel_Product),AND(S2619&gt;=m_From,S2619&lt;=m_To)),1,0)</f>
        <v/>
      </c>
      <c r="Y2619" s="36">
        <f>IF(AND(OR(sel_Region="All",C2619=sel_Region),OR(sel_Country="All",D2619=sel_Country),OR(sel_Channel="All",E2619=sel_Channel),OR(sel_Customer="All",F2619=sel_Customer),OR(sel_Product="All",H2619=sel_Product),AND(S2619&gt;=m_From,S2619&lt;=m_To)),1,0)</f>
        <v/>
      </c>
      <c r="Z2619" s="36">
        <f>IF(AND(OR(sel_Region="All",C2619=sel_Region),OR(sel_Country="All",D2619=sel_Country),OR(sel_Channel="All",E2619=sel_Channel),OR(sel_Customer="All",F2619=sel_Customer),OR(sel_Category="All",G2619=sel_Category),AND(S2619&gt;=m_From,S2619&lt;=m_To)),1,0)</f>
        <v/>
      </c>
      <c r="AA2619" s="36">
        <f>IF(AND(OR(sel_Region="All",C2619=sel_Region),OR(sel_Country="All",D2619=sel_Country),OR(sel_Channel="All",E2619=sel_Channel),OR(sel_Customer="All",F2619=sel_Customer),OR(sel_Category="All",G2619=sel_Category),OR(sel_Product="All",H2619=sel_Product)),1,0)</f>
        <v/>
      </c>
    </row>
    <row r="2620">
      <c r="A2620" s="36" t="inlineStr">
        <is>
          <t>03122</t>
        </is>
      </c>
      <c r="B2620" s="44" t="n">
        <v>46375</v>
      </c>
      <c r="C2620" s="36" t="inlineStr">
        <is>
          <t>Southern Europe</t>
        </is>
      </c>
      <c r="D2620" s="36" t="inlineStr">
        <is>
          <t>Spain</t>
        </is>
      </c>
      <c r="E2620" s="36" t="inlineStr">
        <is>
          <t>Marketplace</t>
        </is>
      </c>
      <c r="F2620" s="36" t="inlineStr">
        <is>
          <t>Returning</t>
        </is>
      </c>
      <c r="G2620" s="36" t="inlineStr">
        <is>
          <t>Hiking</t>
        </is>
      </c>
      <c r="H2620" s="36" t="inlineStr">
        <is>
          <t>Trail Boots</t>
        </is>
      </c>
      <c r="I2620" s="36" t="n">
        <v>1</v>
      </c>
      <c r="J2620" s="39" t="n">
        <v>145.44</v>
      </c>
      <c r="K2620" s="45" t="n">
        <v>0.1</v>
      </c>
      <c r="L2620" s="39" t="n">
        <v>80.42</v>
      </c>
      <c r="M2620" s="39">
        <f>I2620*J2620*(1-K2620)</f>
        <v/>
      </c>
      <c r="N2620" s="39">
        <f>I2620*L2620</f>
        <v/>
      </c>
      <c r="O2620" s="39">
        <f>M2620-N2620</f>
        <v/>
      </c>
      <c r="P2620" s="38">
        <f>IF(M2620=0,0,O2620/M2620)</f>
        <v/>
      </c>
      <c r="Q2620" s="36">
        <f>YEAR(B2620)</f>
        <v/>
      </c>
      <c r="R2620" s="36">
        <f>"Q"&amp;ROUNDUP(MONTH(B2620)/3,0)</f>
        <v/>
      </c>
      <c r="S2620" s="36">
        <f>MONTH(B2620)</f>
        <v/>
      </c>
      <c r="T2620" s="36">
        <f>TEXT(B2620,"mmm")</f>
        <v/>
      </c>
      <c r="U2620" s="36">
        <f>IF(AND(OR(sel_Region="All",C2620=sel_Region),OR(sel_Country="All",D2620=sel_Country),OR(sel_Channel="All",E2620=sel_Channel),OR(sel_Customer="All",F2620=sel_Customer),OR(sel_Category="All",G2620=sel_Category),OR(sel_Product="All",H2620=sel_Product),AND(S2620&gt;=m_From,S2620&lt;=m_To)),1,0)</f>
        <v/>
      </c>
      <c r="V2620" s="36">
        <f>IF(AND(OR(sel_Region="All",C2620=sel_Region),OR(sel_Channel="All",E2620=sel_Channel),OR(sel_Customer="All",F2620=sel_Customer),OR(sel_Category="All",G2620=sel_Category),OR(sel_Product="All",H2620=sel_Product),AND(S2620&gt;=m_From,S2620&lt;=m_To)),1,0)</f>
        <v/>
      </c>
      <c r="W2620" s="36">
        <f>IF(AND(OR(sel_Region="All",C2620=sel_Region),OR(sel_Country="All",D2620=sel_Country),OR(sel_Customer="All",F2620=sel_Customer),OR(sel_Category="All",G2620=sel_Category),OR(sel_Product="All",H2620=sel_Product),AND(S2620&gt;=m_From,S2620&lt;=m_To)),1,0)</f>
        <v/>
      </c>
      <c r="X2620" s="36">
        <f>IF(AND(OR(sel_Region="All",C2620=sel_Region),OR(sel_Country="All",D2620=sel_Country),OR(sel_Channel="All",E2620=sel_Channel),OR(sel_Category="All",G2620=sel_Category),OR(sel_Product="All",H2620=sel_Product),AND(S2620&gt;=m_From,S2620&lt;=m_To)),1,0)</f>
        <v/>
      </c>
      <c r="Y2620" s="36">
        <f>IF(AND(OR(sel_Region="All",C2620=sel_Region),OR(sel_Country="All",D2620=sel_Country),OR(sel_Channel="All",E2620=sel_Channel),OR(sel_Customer="All",F2620=sel_Customer),OR(sel_Product="All",H2620=sel_Product),AND(S2620&gt;=m_From,S2620&lt;=m_To)),1,0)</f>
        <v/>
      </c>
      <c r="Z2620" s="36">
        <f>IF(AND(OR(sel_Region="All",C2620=sel_Region),OR(sel_Country="All",D2620=sel_Country),OR(sel_Channel="All",E2620=sel_Channel),OR(sel_Customer="All",F2620=sel_Customer),OR(sel_Category="All",G2620=sel_Category),AND(S2620&gt;=m_From,S2620&lt;=m_To)),1,0)</f>
        <v/>
      </c>
      <c r="AA2620" s="36">
        <f>IF(AND(OR(sel_Region="All",C2620=sel_Region),OR(sel_Country="All",D2620=sel_Country),OR(sel_Channel="All",E2620=sel_Channel),OR(sel_Customer="All",F2620=sel_Customer),OR(sel_Category="All",G2620=sel_Category),OR(sel_Product="All",H2620=sel_Product)),1,0)</f>
        <v/>
      </c>
    </row>
    <row r="2621">
      <c r="A2621" s="36" t="inlineStr">
        <is>
          <t>04572</t>
        </is>
      </c>
      <c r="B2621" s="44" t="n">
        <v>46375</v>
      </c>
      <c r="C2621" s="36" t="inlineStr">
        <is>
          <t>Southern Europe</t>
        </is>
      </c>
      <c r="D2621" s="36" t="inlineStr">
        <is>
          <t>Italy</t>
        </is>
      </c>
      <c r="E2621" s="36" t="inlineStr">
        <is>
          <t>Online Store</t>
        </is>
      </c>
      <c r="F2621" s="36" t="inlineStr">
        <is>
          <t>New</t>
        </is>
      </c>
      <c r="G2621" s="36" t="inlineStr">
        <is>
          <t>Fitness</t>
        </is>
      </c>
      <c r="H2621" s="36" t="inlineStr">
        <is>
          <t>Training Mat</t>
        </is>
      </c>
      <c r="I2621" s="36" t="n">
        <v>2</v>
      </c>
      <c r="J2621" s="39" t="n">
        <v>51.56</v>
      </c>
      <c r="K2621" s="45" t="n">
        <v>0</v>
      </c>
      <c r="L2621" s="39" t="n">
        <v>21.9</v>
      </c>
      <c r="M2621" s="39">
        <f>I2621*J2621*(1-K2621)</f>
        <v/>
      </c>
      <c r="N2621" s="39">
        <f>I2621*L2621</f>
        <v/>
      </c>
      <c r="O2621" s="39">
        <f>M2621-N2621</f>
        <v/>
      </c>
      <c r="P2621" s="38">
        <f>IF(M2621=0,0,O2621/M2621)</f>
        <v/>
      </c>
      <c r="Q2621" s="36">
        <f>YEAR(B2621)</f>
        <v/>
      </c>
      <c r="R2621" s="36">
        <f>"Q"&amp;ROUNDUP(MONTH(B2621)/3,0)</f>
        <v/>
      </c>
      <c r="S2621" s="36">
        <f>MONTH(B2621)</f>
        <v/>
      </c>
      <c r="T2621" s="36">
        <f>TEXT(B2621,"mmm")</f>
        <v/>
      </c>
      <c r="U2621" s="36">
        <f>IF(AND(OR(sel_Region="All",C2621=sel_Region),OR(sel_Country="All",D2621=sel_Country),OR(sel_Channel="All",E2621=sel_Channel),OR(sel_Customer="All",F2621=sel_Customer),OR(sel_Category="All",G2621=sel_Category),OR(sel_Product="All",H2621=sel_Product),AND(S2621&gt;=m_From,S2621&lt;=m_To)),1,0)</f>
        <v/>
      </c>
      <c r="V2621" s="36">
        <f>IF(AND(OR(sel_Region="All",C2621=sel_Region),OR(sel_Channel="All",E2621=sel_Channel),OR(sel_Customer="All",F2621=sel_Customer),OR(sel_Category="All",G2621=sel_Category),OR(sel_Product="All",H2621=sel_Product),AND(S2621&gt;=m_From,S2621&lt;=m_To)),1,0)</f>
        <v/>
      </c>
      <c r="W2621" s="36">
        <f>IF(AND(OR(sel_Region="All",C2621=sel_Region),OR(sel_Country="All",D2621=sel_Country),OR(sel_Customer="All",F2621=sel_Customer),OR(sel_Category="All",G2621=sel_Category),OR(sel_Product="All",H2621=sel_Product),AND(S2621&gt;=m_From,S2621&lt;=m_To)),1,0)</f>
        <v/>
      </c>
      <c r="X2621" s="36">
        <f>IF(AND(OR(sel_Region="All",C2621=sel_Region),OR(sel_Country="All",D2621=sel_Country),OR(sel_Channel="All",E2621=sel_Channel),OR(sel_Category="All",G2621=sel_Category),OR(sel_Product="All",H2621=sel_Product),AND(S2621&gt;=m_From,S2621&lt;=m_To)),1,0)</f>
        <v/>
      </c>
      <c r="Y2621" s="36">
        <f>IF(AND(OR(sel_Region="All",C2621=sel_Region),OR(sel_Country="All",D2621=sel_Country),OR(sel_Channel="All",E2621=sel_Channel),OR(sel_Customer="All",F2621=sel_Customer),OR(sel_Product="All",H2621=sel_Product),AND(S2621&gt;=m_From,S2621&lt;=m_To)),1,0)</f>
        <v/>
      </c>
      <c r="Z2621" s="36">
        <f>IF(AND(OR(sel_Region="All",C2621=sel_Region),OR(sel_Country="All",D2621=sel_Country),OR(sel_Channel="All",E2621=sel_Channel),OR(sel_Customer="All",F2621=sel_Customer),OR(sel_Category="All",G2621=sel_Category),AND(S2621&gt;=m_From,S2621&lt;=m_To)),1,0)</f>
        <v/>
      </c>
      <c r="AA2621" s="36">
        <f>IF(AND(OR(sel_Region="All",C2621=sel_Region),OR(sel_Country="All",D2621=sel_Country),OR(sel_Channel="All",E2621=sel_Channel),OR(sel_Customer="All",F2621=sel_Customer),OR(sel_Category="All",G2621=sel_Category),OR(sel_Product="All",H2621=sel_Product)),1,0)</f>
        <v/>
      </c>
    </row>
    <row r="2622">
      <c r="A2622" s="36" t="inlineStr">
        <is>
          <t>04783</t>
        </is>
      </c>
      <c r="B2622" s="44" t="n">
        <v>46375</v>
      </c>
      <c r="C2622" s="36" t="inlineStr">
        <is>
          <t>Western Europe</t>
        </is>
      </c>
      <c r="D2622" s="36" t="inlineStr">
        <is>
          <t>Netherlands</t>
        </is>
      </c>
      <c r="E2622" s="36" t="inlineStr">
        <is>
          <t>Online Store</t>
        </is>
      </c>
      <c r="F2622" s="36" t="inlineStr">
        <is>
          <t>New</t>
        </is>
      </c>
      <c r="G2622" s="36" t="inlineStr">
        <is>
          <t>Camping</t>
        </is>
      </c>
      <c r="H2622" s="36" t="inlineStr">
        <is>
          <t>Compact Sleeping Bag</t>
        </is>
      </c>
      <c r="I2622" s="36" t="n">
        <v>2</v>
      </c>
      <c r="J2622" s="39" t="n">
        <v>122</v>
      </c>
      <c r="K2622" s="45" t="n">
        <v>0.15</v>
      </c>
      <c r="L2622" s="39" t="n">
        <v>60.01</v>
      </c>
      <c r="M2622" s="39">
        <f>I2622*J2622*(1-K2622)</f>
        <v/>
      </c>
      <c r="N2622" s="39">
        <f>I2622*L2622</f>
        <v/>
      </c>
      <c r="O2622" s="39">
        <f>M2622-N2622</f>
        <v/>
      </c>
      <c r="P2622" s="38">
        <f>IF(M2622=0,0,O2622/M2622)</f>
        <v/>
      </c>
      <c r="Q2622" s="36">
        <f>YEAR(B2622)</f>
        <v/>
      </c>
      <c r="R2622" s="36">
        <f>"Q"&amp;ROUNDUP(MONTH(B2622)/3,0)</f>
        <v/>
      </c>
      <c r="S2622" s="36">
        <f>MONTH(B2622)</f>
        <v/>
      </c>
      <c r="T2622" s="36">
        <f>TEXT(B2622,"mmm")</f>
        <v/>
      </c>
      <c r="U2622" s="36">
        <f>IF(AND(OR(sel_Region="All",C2622=sel_Region),OR(sel_Country="All",D2622=sel_Country),OR(sel_Channel="All",E2622=sel_Channel),OR(sel_Customer="All",F2622=sel_Customer),OR(sel_Category="All",G2622=sel_Category),OR(sel_Product="All",H2622=sel_Product),AND(S2622&gt;=m_From,S2622&lt;=m_To)),1,0)</f>
        <v/>
      </c>
      <c r="V2622" s="36">
        <f>IF(AND(OR(sel_Region="All",C2622=sel_Region),OR(sel_Channel="All",E2622=sel_Channel),OR(sel_Customer="All",F2622=sel_Customer),OR(sel_Category="All",G2622=sel_Category),OR(sel_Product="All",H2622=sel_Product),AND(S2622&gt;=m_From,S2622&lt;=m_To)),1,0)</f>
        <v/>
      </c>
      <c r="W2622" s="36">
        <f>IF(AND(OR(sel_Region="All",C2622=sel_Region),OR(sel_Country="All",D2622=sel_Country),OR(sel_Customer="All",F2622=sel_Customer),OR(sel_Category="All",G2622=sel_Category),OR(sel_Product="All",H2622=sel_Product),AND(S2622&gt;=m_From,S2622&lt;=m_To)),1,0)</f>
        <v/>
      </c>
      <c r="X2622" s="36">
        <f>IF(AND(OR(sel_Region="All",C2622=sel_Region),OR(sel_Country="All",D2622=sel_Country),OR(sel_Channel="All",E2622=sel_Channel),OR(sel_Category="All",G2622=sel_Category),OR(sel_Product="All",H2622=sel_Product),AND(S2622&gt;=m_From,S2622&lt;=m_To)),1,0)</f>
        <v/>
      </c>
      <c r="Y2622" s="36">
        <f>IF(AND(OR(sel_Region="All",C2622=sel_Region),OR(sel_Country="All",D2622=sel_Country),OR(sel_Channel="All",E2622=sel_Channel),OR(sel_Customer="All",F2622=sel_Customer),OR(sel_Product="All",H2622=sel_Product),AND(S2622&gt;=m_From,S2622&lt;=m_To)),1,0)</f>
        <v/>
      </c>
      <c r="Z2622" s="36">
        <f>IF(AND(OR(sel_Region="All",C2622=sel_Region),OR(sel_Country="All",D2622=sel_Country),OR(sel_Channel="All",E2622=sel_Channel),OR(sel_Customer="All",F2622=sel_Customer),OR(sel_Category="All",G2622=sel_Category),AND(S2622&gt;=m_From,S2622&lt;=m_To)),1,0)</f>
        <v/>
      </c>
      <c r="AA2622" s="36">
        <f>IF(AND(OR(sel_Region="All",C2622=sel_Region),OR(sel_Country="All",D2622=sel_Country),OR(sel_Channel="All",E2622=sel_Channel),OR(sel_Customer="All",F2622=sel_Customer),OR(sel_Category="All",G2622=sel_Category),OR(sel_Product="All",H2622=sel_Product)),1,0)</f>
        <v/>
      </c>
    </row>
    <row r="2623">
      <c r="A2623" s="36" t="inlineStr">
        <is>
          <t>05055</t>
        </is>
      </c>
      <c r="B2623" s="44" t="n">
        <v>46375</v>
      </c>
      <c r="C2623" s="36" t="inlineStr">
        <is>
          <t>Northern Europe</t>
        </is>
      </c>
      <c r="D2623" s="36" t="inlineStr">
        <is>
          <t>Ireland</t>
        </is>
      </c>
      <c r="E2623" s="36" t="inlineStr">
        <is>
          <t>Marketplace</t>
        </is>
      </c>
      <c r="F2623" s="36" t="inlineStr">
        <is>
          <t>New</t>
        </is>
      </c>
      <c r="G2623" s="36" t="inlineStr">
        <is>
          <t>Hiking</t>
        </is>
      </c>
      <c r="H2623" s="36" t="inlineStr">
        <is>
          <t>Trekking Poles</t>
        </is>
      </c>
      <c r="I2623" s="36" t="n">
        <v>1</v>
      </c>
      <c r="J2623" s="39" t="n">
        <v>71.89</v>
      </c>
      <c r="K2623" s="45" t="n">
        <v>0.15</v>
      </c>
      <c r="L2623" s="39" t="n">
        <v>32.41</v>
      </c>
      <c r="M2623" s="39">
        <f>I2623*J2623*(1-K2623)</f>
        <v/>
      </c>
      <c r="N2623" s="39">
        <f>I2623*L2623</f>
        <v/>
      </c>
      <c r="O2623" s="39">
        <f>M2623-N2623</f>
        <v/>
      </c>
      <c r="P2623" s="38">
        <f>IF(M2623=0,0,O2623/M2623)</f>
        <v/>
      </c>
      <c r="Q2623" s="36">
        <f>YEAR(B2623)</f>
        <v/>
      </c>
      <c r="R2623" s="36">
        <f>"Q"&amp;ROUNDUP(MONTH(B2623)/3,0)</f>
        <v/>
      </c>
      <c r="S2623" s="36">
        <f>MONTH(B2623)</f>
        <v/>
      </c>
      <c r="T2623" s="36">
        <f>TEXT(B2623,"mmm")</f>
        <v/>
      </c>
      <c r="U2623" s="36">
        <f>IF(AND(OR(sel_Region="All",C2623=sel_Region),OR(sel_Country="All",D2623=sel_Country),OR(sel_Channel="All",E2623=sel_Channel),OR(sel_Customer="All",F2623=sel_Customer),OR(sel_Category="All",G2623=sel_Category),OR(sel_Product="All",H2623=sel_Product),AND(S2623&gt;=m_From,S2623&lt;=m_To)),1,0)</f>
        <v/>
      </c>
      <c r="V2623" s="36">
        <f>IF(AND(OR(sel_Region="All",C2623=sel_Region),OR(sel_Channel="All",E2623=sel_Channel),OR(sel_Customer="All",F2623=sel_Customer),OR(sel_Category="All",G2623=sel_Category),OR(sel_Product="All",H2623=sel_Product),AND(S2623&gt;=m_From,S2623&lt;=m_To)),1,0)</f>
        <v/>
      </c>
      <c r="W2623" s="36">
        <f>IF(AND(OR(sel_Region="All",C2623=sel_Region),OR(sel_Country="All",D2623=sel_Country),OR(sel_Customer="All",F2623=sel_Customer),OR(sel_Category="All",G2623=sel_Category),OR(sel_Product="All",H2623=sel_Product),AND(S2623&gt;=m_From,S2623&lt;=m_To)),1,0)</f>
        <v/>
      </c>
      <c r="X2623" s="36">
        <f>IF(AND(OR(sel_Region="All",C2623=sel_Region),OR(sel_Country="All",D2623=sel_Country),OR(sel_Channel="All",E2623=sel_Channel),OR(sel_Category="All",G2623=sel_Category),OR(sel_Product="All",H2623=sel_Product),AND(S2623&gt;=m_From,S2623&lt;=m_To)),1,0)</f>
        <v/>
      </c>
      <c r="Y2623" s="36">
        <f>IF(AND(OR(sel_Region="All",C2623=sel_Region),OR(sel_Country="All",D2623=sel_Country),OR(sel_Channel="All",E2623=sel_Channel),OR(sel_Customer="All",F2623=sel_Customer),OR(sel_Product="All",H2623=sel_Product),AND(S2623&gt;=m_From,S2623&lt;=m_To)),1,0)</f>
        <v/>
      </c>
      <c r="Z2623" s="36">
        <f>IF(AND(OR(sel_Region="All",C2623=sel_Region),OR(sel_Country="All",D2623=sel_Country),OR(sel_Channel="All",E2623=sel_Channel),OR(sel_Customer="All",F2623=sel_Customer),OR(sel_Category="All",G2623=sel_Category),AND(S2623&gt;=m_From,S2623&lt;=m_To)),1,0)</f>
        <v/>
      </c>
      <c r="AA2623" s="36">
        <f>IF(AND(OR(sel_Region="All",C2623=sel_Region),OR(sel_Country="All",D2623=sel_Country),OR(sel_Channel="All",E2623=sel_Channel),OR(sel_Customer="All",F2623=sel_Customer),OR(sel_Category="All",G2623=sel_Category),OR(sel_Product="All",H2623=sel_Product)),1,0)</f>
        <v/>
      </c>
    </row>
    <row r="2624">
      <c r="A2624" s="36" t="inlineStr">
        <is>
          <t>05100</t>
        </is>
      </c>
      <c r="B2624" s="44" t="n">
        <v>46375</v>
      </c>
      <c r="C2624" s="36" t="inlineStr">
        <is>
          <t>Northern Europe</t>
        </is>
      </c>
      <c r="D2624" s="36" t="inlineStr">
        <is>
          <t>Denmark</t>
        </is>
      </c>
      <c r="E2624" s="36" t="inlineStr">
        <is>
          <t>Online Store</t>
        </is>
      </c>
      <c r="F2624" s="36" t="inlineStr">
        <is>
          <t>Returning</t>
        </is>
      </c>
      <c r="G2624" s="36" t="inlineStr">
        <is>
          <t>Hiking</t>
        </is>
      </c>
      <c r="H2624" s="36" t="inlineStr">
        <is>
          <t>Trekking Poles</t>
        </is>
      </c>
      <c r="I2624" s="36" t="n">
        <v>2</v>
      </c>
      <c r="J2624" s="39" t="n">
        <v>70.59</v>
      </c>
      <c r="K2624" s="45" t="n">
        <v>0.15</v>
      </c>
      <c r="L2624" s="39" t="n">
        <v>31.56</v>
      </c>
      <c r="M2624" s="39">
        <f>I2624*J2624*(1-K2624)</f>
        <v/>
      </c>
      <c r="N2624" s="39">
        <f>I2624*L2624</f>
        <v/>
      </c>
      <c r="O2624" s="39">
        <f>M2624-N2624</f>
        <v/>
      </c>
      <c r="P2624" s="38">
        <f>IF(M2624=0,0,O2624/M2624)</f>
        <v/>
      </c>
      <c r="Q2624" s="36">
        <f>YEAR(B2624)</f>
        <v/>
      </c>
      <c r="R2624" s="36">
        <f>"Q"&amp;ROUNDUP(MONTH(B2624)/3,0)</f>
        <v/>
      </c>
      <c r="S2624" s="36">
        <f>MONTH(B2624)</f>
        <v/>
      </c>
      <c r="T2624" s="36">
        <f>TEXT(B2624,"mmm")</f>
        <v/>
      </c>
      <c r="U2624" s="36">
        <f>IF(AND(OR(sel_Region="All",C2624=sel_Region),OR(sel_Country="All",D2624=sel_Country),OR(sel_Channel="All",E2624=sel_Channel),OR(sel_Customer="All",F2624=sel_Customer),OR(sel_Category="All",G2624=sel_Category),OR(sel_Product="All",H2624=sel_Product),AND(S2624&gt;=m_From,S2624&lt;=m_To)),1,0)</f>
        <v/>
      </c>
      <c r="V2624" s="36">
        <f>IF(AND(OR(sel_Region="All",C2624=sel_Region),OR(sel_Channel="All",E2624=sel_Channel),OR(sel_Customer="All",F2624=sel_Customer),OR(sel_Category="All",G2624=sel_Category),OR(sel_Product="All",H2624=sel_Product),AND(S2624&gt;=m_From,S2624&lt;=m_To)),1,0)</f>
        <v/>
      </c>
      <c r="W2624" s="36">
        <f>IF(AND(OR(sel_Region="All",C2624=sel_Region),OR(sel_Country="All",D2624=sel_Country),OR(sel_Customer="All",F2624=sel_Customer),OR(sel_Category="All",G2624=sel_Category),OR(sel_Product="All",H2624=sel_Product),AND(S2624&gt;=m_From,S2624&lt;=m_To)),1,0)</f>
        <v/>
      </c>
      <c r="X2624" s="36">
        <f>IF(AND(OR(sel_Region="All",C2624=sel_Region),OR(sel_Country="All",D2624=sel_Country),OR(sel_Channel="All",E2624=sel_Channel),OR(sel_Category="All",G2624=sel_Category),OR(sel_Product="All",H2624=sel_Product),AND(S2624&gt;=m_From,S2624&lt;=m_To)),1,0)</f>
        <v/>
      </c>
      <c r="Y2624" s="36">
        <f>IF(AND(OR(sel_Region="All",C2624=sel_Region),OR(sel_Country="All",D2624=sel_Country),OR(sel_Channel="All",E2624=sel_Channel),OR(sel_Customer="All",F2624=sel_Customer),OR(sel_Product="All",H2624=sel_Product),AND(S2624&gt;=m_From,S2624&lt;=m_To)),1,0)</f>
        <v/>
      </c>
      <c r="Z2624" s="36">
        <f>IF(AND(OR(sel_Region="All",C2624=sel_Region),OR(sel_Country="All",D2624=sel_Country),OR(sel_Channel="All",E2624=sel_Channel),OR(sel_Customer="All",F2624=sel_Customer),OR(sel_Category="All",G2624=sel_Category),AND(S2624&gt;=m_From,S2624&lt;=m_To)),1,0)</f>
        <v/>
      </c>
      <c r="AA2624" s="36">
        <f>IF(AND(OR(sel_Region="All",C2624=sel_Region),OR(sel_Country="All",D2624=sel_Country),OR(sel_Channel="All",E2624=sel_Channel),OR(sel_Customer="All",F2624=sel_Customer),OR(sel_Category="All",G2624=sel_Category),OR(sel_Product="All",H2624=sel_Product)),1,0)</f>
        <v/>
      </c>
    </row>
    <row r="2625">
      <c r="A2625" s="36" t="inlineStr">
        <is>
          <t>00488</t>
        </is>
      </c>
      <c r="B2625" s="44" t="n">
        <v>46376</v>
      </c>
      <c r="C2625" s="36" t="inlineStr">
        <is>
          <t>Western Europe</t>
        </is>
      </c>
      <c r="D2625" s="36" t="inlineStr">
        <is>
          <t>Netherlands</t>
        </is>
      </c>
      <c r="E2625" s="36" t="inlineStr">
        <is>
          <t>Online Store</t>
        </is>
      </c>
      <c r="F2625" s="36" t="inlineStr">
        <is>
          <t>Returning</t>
        </is>
      </c>
      <c r="G2625" s="36" t="inlineStr">
        <is>
          <t>Hiking</t>
        </is>
      </c>
      <c r="H2625" s="36" t="inlineStr">
        <is>
          <t>Trail Boots</t>
        </is>
      </c>
      <c r="I2625" s="36" t="n">
        <v>4</v>
      </c>
      <c r="J2625" s="39" t="n">
        <v>141.91</v>
      </c>
      <c r="K2625" s="45" t="n">
        <v>0.05</v>
      </c>
      <c r="L2625" s="39" t="n">
        <v>80.26000000000001</v>
      </c>
      <c r="M2625" s="39">
        <f>I2625*J2625*(1-K2625)</f>
        <v/>
      </c>
      <c r="N2625" s="39">
        <f>I2625*L2625</f>
        <v/>
      </c>
      <c r="O2625" s="39">
        <f>M2625-N2625</f>
        <v/>
      </c>
      <c r="P2625" s="38">
        <f>IF(M2625=0,0,O2625/M2625)</f>
        <v/>
      </c>
      <c r="Q2625" s="36">
        <f>YEAR(B2625)</f>
        <v/>
      </c>
      <c r="R2625" s="36">
        <f>"Q"&amp;ROUNDUP(MONTH(B2625)/3,0)</f>
        <v/>
      </c>
      <c r="S2625" s="36">
        <f>MONTH(B2625)</f>
        <v/>
      </c>
      <c r="T2625" s="36">
        <f>TEXT(B2625,"mmm")</f>
        <v/>
      </c>
      <c r="U2625" s="36">
        <f>IF(AND(OR(sel_Region="All",C2625=sel_Region),OR(sel_Country="All",D2625=sel_Country),OR(sel_Channel="All",E2625=sel_Channel),OR(sel_Customer="All",F2625=sel_Customer),OR(sel_Category="All",G2625=sel_Category),OR(sel_Product="All",H2625=sel_Product),AND(S2625&gt;=m_From,S2625&lt;=m_To)),1,0)</f>
        <v/>
      </c>
      <c r="V2625" s="36">
        <f>IF(AND(OR(sel_Region="All",C2625=sel_Region),OR(sel_Channel="All",E2625=sel_Channel),OR(sel_Customer="All",F2625=sel_Customer),OR(sel_Category="All",G2625=sel_Category),OR(sel_Product="All",H2625=sel_Product),AND(S2625&gt;=m_From,S2625&lt;=m_To)),1,0)</f>
        <v/>
      </c>
      <c r="W2625" s="36">
        <f>IF(AND(OR(sel_Region="All",C2625=sel_Region),OR(sel_Country="All",D2625=sel_Country),OR(sel_Customer="All",F2625=sel_Customer),OR(sel_Category="All",G2625=sel_Category),OR(sel_Product="All",H2625=sel_Product),AND(S2625&gt;=m_From,S2625&lt;=m_To)),1,0)</f>
        <v/>
      </c>
      <c r="X2625" s="36">
        <f>IF(AND(OR(sel_Region="All",C2625=sel_Region),OR(sel_Country="All",D2625=sel_Country),OR(sel_Channel="All",E2625=sel_Channel),OR(sel_Category="All",G2625=sel_Category),OR(sel_Product="All",H2625=sel_Product),AND(S2625&gt;=m_From,S2625&lt;=m_To)),1,0)</f>
        <v/>
      </c>
      <c r="Y2625" s="36">
        <f>IF(AND(OR(sel_Region="All",C2625=sel_Region),OR(sel_Country="All",D2625=sel_Country),OR(sel_Channel="All",E2625=sel_Channel),OR(sel_Customer="All",F2625=sel_Customer),OR(sel_Product="All",H2625=sel_Product),AND(S2625&gt;=m_From,S2625&lt;=m_To)),1,0)</f>
        <v/>
      </c>
      <c r="Z2625" s="36">
        <f>IF(AND(OR(sel_Region="All",C2625=sel_Region),OR(sel_Country="All",D2625=sel_Country),OR(sel_Channel="All",E2625=sel_Channel),OR(sel_Customer="All",F2625=sel_Customer),OR(sel_Category="All",G2625=sel_Category),AND(S2625&gt;=m_From,S2625&lt;=m_To)),1,0)</f>
        <v/>
      </c>
      <c r="AA2625" s="36">
        <f>IF(AND(OR(sel_Region="All",C2625=sel_Region),OR(sel_Country="All",D2625=sel_Country),OR(sel_Channel="All",E2625=sel_Channel),OR(sel_Customer="All",F2625=sel_Customer),OR(sel_Category="All",G2625=sel_Category),OR(sel_Product="All",H2625=sel_Product)),1,0)</f>
        <v/>
      </c>
    </row>
    <row r="2626">
      <c r="A2626" s="36" t="inlineStr">
        <is>
          <t>00710</t>
        </is>
      </c>
      <c r="B2626" s="44" t="n">
        <v>46376</v>
      </c>
      <c r="C2626" s="36" t="inlineStr">
        <is>
          <t>Central Europe</t>
        </is>
      </c>
      <c r="D2626" s="36" t="inlineStr">
        <is>
          <t>Austria</t>
        </is>
      </c>
      <c r="E2626" s="36" t="inlineStr">
        <is>
          <t>Corporate</t>
        </is>
      </c>
      <c r="F2626" s="36" t="inlineStr">
        <is>
          <t>Business</t>
        </is>
      </c>
      <c r="G2626" s="36" t="inlineStr">
        <is>
          <t>Hiking</t>
        </is>
      </c>
      <c r="H2626" s="36" t="inlineStr">
        <is>
          <t>Trail Boots</t>
        </is>
      </c>
      <c r="I2626" s="36" t="n">
        <v>3</v>
      </c>
      <c r="J2626" s="39" t="n">
        <v>140.4</v>
      </c>
      <c r="K2626" s="45" t="n">
        <v>0.2</v>
      </c>
      <c r="L2626" s="39" t="n">
        <v>81.76000000000001</v>
      </c>
      <c r="M2626" s="39">
        <f>I2626*J2626*(1-K2626)</f>
        <v/>
      </c>
      <c r="N2626" s="39">
        <f>I2626*L2626</f>
        <v/>
      </c>
      <c r="O2626" s="39">
        <f>M2626-N2626</f>
        <v/>
      </c>
      <c r="P2626" s="38">
        <f>IF(M2626=0,0,O2626/M2626)</f>
        <v/>
      </c>
      <c r="Q2626" s="36">
        <f>YEAR(B2626)</f>
        <v/>
      </c>
      <c r="R2626" s="36">
        <f>"Q"&amp;ROUNDUP(MONTH(B2626)/3,0)</f>
        <v/>
      </c>
      <c r="S2626" s="36">
        <f>MONTH(B2626)</f>
        <v/>
      </c>
      <c r="T2626" s="36">
        <f>TEXT(B2626,"mmm")</f>
        <v/>
      </c>
      <c r="U2626" s="36">
        <f>IF(AND(OR(sel_Region="All",C2626=sel_Region),OR(sel_Country="All",D2626=sel_Country),OR(sel_Channel="All",E2626=sel_Channel),OR(sel_Customer="All",F2626=sel_Customer),OR(sel_Category="All",G2626=sel_Category),OR(sel_Product="All",H2626=sel_Product),AND(S2626&gt;=m_From,S2626&lt;=m_To)),1,0)</f>
        <v/>
      </c>
      <c r="V2626" s="36">
        <f>IF(AND(OR(sel_Region="All",C2626=sel_Region),OR(sel_Channel="All",E2626=sel_Channel),OR(sel_Customer="All",F2626=sel_Customer),OR(sel_Category="All",G2626=sel_Category),OR(sel_Product="All",H2626=sel_Product),AND(S2626&gt;=m_From,S2626&lt;=m_To)),1,0)</f>
        <v/>
      </c>
      <c r="W2626" s="36">
        <f>IF(AND(OR(sel_Region="All",C2626=sel_Region),OR(sel_Country="All",D2626=sel_Country),OR(sel_Customer="All",F2626=sel_Customer),OR(sel_Category="All",G2626=sel_Category),OR(sel_Product="All",H2626=sel_Product),AND(S2626&gt;=m_From,S2626&lt;=m_To)),1,0)</f>
        <v/>
      </c>
      <c r="X2626" s="36">
        <f>IF(AND(OR(sel_Region="All",C2626=sel_Region),OR(sel_Country="All",D2626=sel_Country),OR(sel_Channel="All",E2626=sel_Channel),OR(sel_Category="All",G2626=sel_Category),OR(sel_Product="All",H2626=sel_Product),AND(S2626&gt;=m_From,S2626&lt;=m_To)),1,0)</f>
        <v/>
      </c>
      <c r="Y2626" s="36">
        <f>IF(AND(OR(sel_Region="All",C2626=sel_Region),OR(sel_Country="All",D2626=sel_Country),OR(sel_Channel="All",E2626=sel_Channel),OR(sel_Customer="All",F2626=sel_Customer),OR(sel_Product="All",H2626=sel_Product),AND(S2626&gt;=m_From,S2626&lt;=m_To)),1,0)</f>
        <v/>
      </c>
      <c r="Z2626" s="36">
        <f>IF(AND(OR(sel_Region="All",C2626=sel_Region),OR(sel_Country="All",D2626=sel_Country),OR(sel_Channel="All",E2626=sel_Channel),OR(sel_Customer="All",F2626=sel_Customer),OR(sel_Category="All",G2626=sel_Category),AND(S2626&gt;=m_From,S2626&lt;=m_To)),1,0)</f>
        <v/>
      </c>
      <c r="AA2626" s="36">
        <f>IF(AND(OR(sel_Region="All",C2626=sel_Region),OR(sel_Country="All",D2626=sel_Country),OR(sel_Channel="All",E2626=sel_Channel),OR(sel_Customer="All",F2626=sel_Customer),OR(sel_Category="All",G2626=sel_Category),OR(sel_Product="All",H2626=sel_Product)),1,0)</f>
        <v/>
      </c>
    </row>
    <row r="2627">
      <c r="A2627" s="36" t="inlineStr">
        <is>
          <t>01009</t>
        </is>
      </c>
      <c r="B2627" s="44" t="n">
        <v>46376</v>
      </c>
      <c r="C2627" s="36" t="inlineStr">
        <is>
          <t>Western Europe</t>
        </is>
      </c>
      <c r="D2627" s="36" t="inlineStr">
        <is>
          <t>France</t>
        </is>
      </c>
      <c r="E2627" s="36" t="inlineStr">
        <is>
          <t>Marketplace</t>
        </is>
      </c>
      <c r="F2627" s="36" t="inlineStr">
        <is>
          <t>Returning</t>
        </is>
      </c>
      <c r="G2627" s="36" t="inlineStr">
        <is>
          <t>Hiking</t>
        </is>
      </c>
      <c r="H2627" s="36" t="inlineStr">
        <is>
          <t>Trekking Poles</t>
        </is>
      </c>
      <c r="I2627" s="36" t="n">
        <v>2</v>
      </c>
      <c r="J2627" s="39" t="n">
        <v>72.34999999999999</v>
      </c>
      <c r="K2627" s="45" t="n">
        <v>0.15</v>
      </c>
      <c r="L2627" s="39" t="n">
        <v>32.44</v>
      </c>
      <c r="M2627" s="39">
        <f>I2627*J2627*(1-K2627)</f>
        <v/>
      </c>
      <c r="N2627" s="39">
        <f>I2627*L2627</f>
        <v/>
      </c>
      <c r="O2627" s="39">
        <f>M2627-N2627</f>
        <v/>
      </c>
      <c r="P2627" s="38">
        <f>IF(M2627=0,0,O2627/M2627)</f>
        <v/>
      </c>
      <c r="Q2627" s="36">
        <f>YEAR(B2627)</f>
        <v/>
      </c>
      <c r="R2627" s="36">
        <f>"Q"&amp;ROUNDUP(MONTH(B2627)/3,0)</f>
        <v/>
      </c>
      <c r="S2627" s="36">
        <f>MONTH(B2627)</f>
        <v/>
      </c>
      <c r="T2627" s="36">
        <f>TEXT(B2627,"mmm")</f>
        <v/>
      </c>
      <c r="U2627" s="36">
        <f>IF(AND(OR(sel_Region="All",C2627=sel_Region),OR(sel_Country="All",D2627=sel_Country),OR(sel_Channel="All",E2627=sel_Channel),OR(sel_Customer="All",F2627=sel_Customer),OR(sel_Category="All",G2627=sel_Category),OR(sel_Product="All",H2627=sel_Product),AND(S2627&gt;=m_From,S2627&lt;=m_To)),1,0)</f>
        <v/>
      </c>
      <c r="V2627" s="36">
        <f>IF(AND(OR(sel_Region="All",C2627=sel_Region),OR(sel_Channel="All",E2627=sel_Channel),OR(sel_Customer="All",F2627=sel_Customer),OR(sel_Category="All",G2627=sel_Category),OR(sel_Product="All",H2627=sel_Product),AND(S2627&gt;=m_From,S2627&lt;=m_To)),1,0)</f>
        <v/>
      </c>
      <c r="W2627" s="36">
        <f>IF(AND(OR(sel_Region="All",C2627=sel_Region),OR(sel_Country="All",D2627=sel_Country),OR(sel_Customer="All",F2627=sel_Customer),OR(sel_Category="All",G2627=sel_Category),OR(sel_Product="All",H2627=sel_Product),AND(S2627&gt;=m_From,S2627&lt;=m_To)),1,0)</f>
        <v/>
      </c>
      <c r="X2627" s="36">
        <f>IF(AND(OR(sel_Region="All",C2627=sel_Region),OR(sel_Country="All",D2627=sel_Country),OR(sel_Channel="All",E2627=sel_Channel),OR(sel_Category="All",G2627=sel_Category),OR(sel_Product="All",H2627=sel_Product),AND(S2627&gt;=m_From,S2627&lt;=m_To)),1,0)</f>
        <v/>
      </c>
      <c r="Y2627" s="36">
        <f>IF(AND(OR(sel_Region="All",C2627=sel_Region),OR(sel_Country="All",D2627=sel_Country),OR(sel_Channel="All",E2627=sel_Channel),OR(sel_Customer="All",F2627=sel_Customer),OR(sel_Product="All",H2627=sel_Product),AND(S2627&gt;=m_From,S2627&lt;=m_To)),1,0)</f>
        <v/>
      </c>
      <c r="Z2627" s="36">
        <f>IF(AND(OR(sel_Region="All",C2627=sel_Region),OR(sel_Country="All",D2627=sel_Country),OR(sel_Channel="All",E2627=sel_Channel),OR(sel_Customer="All",F2627=sel_Customer),OR(sel_Category="All",G2627=sel_Category),AND(S2627&gt;=m_From,S2627&lt;=m_To)),1,0)</f>
        <v/>
      </c>
      <c r="AA2627" s="36">
        <f>IF(AND(OR(sel_Region="All",C2627=sel_Region),OR(sel_Country="All",D2627=sel_Country),OR(sel_Channel="All",E2627=sel_Channel),OR(sel_Customer="All",F2627=sel_Customer),OR(sel_Category="All",G2627=sel_Category),OR(sel_Product="All",H2627=sel_Product)),1,0)</f>
        <v/>
      </c>
    </row>
    <row r="2628">
      <c r="A2628" s="36" t="inlineStr">
        <is>
          <t>01231</t>
        </is>
      </c>
      <c r="B2628" s="44" t="n">
        <v>46376</v>
      </c>
      <c r="C2628" s="36" t="inlineStr">
        <is>
          <t>Western Europe</t>
        </is>
      </c>
      <c r="D2628" s="36" t="inlineStr">
        <is>
          <t>United Kingdom</t>
        </is>
      </c>
      <c r="E2628" s="36" t="inlineStr">
        <is>
          <t>Online Store</t>
        </is>
      </c>
      <c r="F2628" s="36" t="inlineStr">
        <is>
          <t>New</t>
        </is>
      </c>
      <c r="G2628" s="36" t="inlineStr">
        <is>
          <t>Camping</t>
        </is>
      </c>
      <c r="H2628" s="36" t="inlineStr">
        <is>
          <t>Compact Sleeping Bag</t>
        </is>
      </c>
      <c r="I2628" s="36" t="n">
        <v>4</v>
      </c>
      <c r="J2628" s="39" t="n">
        <v>120.8</v>
      </c>
      <c r="K2628" s="45" t="n">
        <v>0.1</v>
      </c>
      <c r="L2628" s="39" t="n">
        <v>59.93</v>
      </c>
      <c r="M2628" s="39">
        <f>I2628*J2628*(1-K2628)</f>
        <v/>
      </c>
      <c r="N2628" s="39">
        <f>I2628*L2628</f>
        <v/>
      </c>
      <c r="O2628" s="39">
        <f>M2628-N2628</f>
        <v/>
      </c>
      <c r="P2628" s="38">
        <f>IF(M2628=0,0,O2628/M2628)</f>
        <v/>
      </c>
      <c r="Q2628" s="36">
        <f>YEAR(B2628)</f>
        <v/>
      </c>
      <c r="R2628" s="36">
        <f>"Q"&amp;ROUNDUP(MONTH(B2628)/3,0)</f>
        <v/>
      </c>
      <c r="S2628" s="36">
        <f>MONTH(B2628)</f>
        <v/>
      </c>
      <c r="T2628" s="36">
        <f>TEXT(B2628,"mmm")</f>
        <v/>
      </c>
      <c r="U2628" s="36">
        <f>IF(AND(OR(sel_Region="All",C2628=sel_Region),OR(sel_Country="All",D2628=sel_Country),OR(sel_Channel="All",E2628=sel_Channel),OR(sel_Customer="All",F2628=sel_Customer),OR(sel_Category="All",G2628=sel_Category),OR(sel_Product="All",H2628=sel_Product),AND(S2628&gt;=m_From,S2628&lt;=m_To)),1,0)</f>
        <v/>
      </c>
      <c r="V2628" s="36">
        <f>IF(AND(OR(sel_Region="All",C2628=sel_Region),OR(sel_Channel="All",E2628=sel_Channel),OR(sel_Customer="All",F2628=sel_Customer),OR(sel_Category="All",G2628=sel_Category),OR(sel_Product="All",H2628=sel_Product),AND(S2628&gt;=m_From,S2628&lt;=m_To)),1,0)</f>
        <v/>
      </c>
      <c r="W2628" s="36">
        <f>IF(AND(OR(sel_Region="All",C2628=sel_Region),OR(sel_Country="All",D2628=sel_Country),OR(sel_Customer="All",F2628=sel_Customer),OR(sel_Category="All",G2628=sel_Category),OR(sel_Product="All",H2628=sel_Product),AND(S2628&gt;=m_From,S2628&lt;=m_To)),1,0)</f>
        <v/>
      </c>
      <c r="X2628" s="36">
        <f>IF(AND(OR(sel_Region="All",C2628=sel_Region),OR(sel_Country="All",D2628=sel_Country),OR(sel_Channel="All",E2628=sel_Channel),OR(sel_Category="All",G2628=sel_Category),OR(sel_Product="All",H2628=sel_Product),AND(S2628&gt;=m_From,S2628&lt;=m_To)),1,0)</f>
        <v/>
      </c>
      <c r="Y2628" s="36">
        <f>IF(AND(OR(sel_Region="All",C2628=sel_Region),OR(sel_Country="All",D2628=sel_Country),OR(sel_Channel="All",E2628=sel_Channel),OR(sel_Customer="All",F2628=sel_Customer),OR(sel_Product="All",H2628=sel_Product),AND(S2628&gt;=m_From,S2628&lt;=m_To)),1,0)</f>
        <v/>
      </c>
      <c r="Z2628" s="36">
        <f>IF(AND(OR(sel_Region="All",C2628=sel_Region),OR(sel_Country="All",D2628=sel_Country),OR(sel_Channel="All",E2628=sel_Channel),OR(sel_Customer="All",F2628=sel_Customer),OR(sel_Category="All",G2628=sel_Category),AND(S2628&gt;=m_From,S2628&lt;=m_To)),1,0)</f>
        <v/>
      </c>
      <c r="AA2628" s="36">
        <f>IF(AND(OR(sel_Region="All",C2628=sel_Region),OR(sel_Country="All",D2628=sel_Country),OR(sel_Channel="All",E2628=sel_Channel),OR(sel_Customer="All",F2628=sel_Customer),OR(sel_Category="All",G2628=sel_Category),OR(sel_Product="All",H2628=sel_Product)),1,0)</f>
        <v/>
      </c>
    </row>
    <row r="2629">
      <c r="A2629" s="36" t="inlineStr">
        <is>
          <t>01445</t>
        </is>
      </c>
      <c r="B2629" s="44" t="n">
        <v>46376</v>
      </c>
      <c r="C2629" s="36" t="inlineStr">
        <is>
          <t>Western Europe</t>
        </is>
      </c>
      <c r="D2629" s="36" t="inlineStr">
        <is>
          <t>Netherlands</t>
        </is>
      </c>
      <c r="E2629" s="36" t="inlineStr">
        <is>
          <t>Online Store</t>
        </is>
      </c>
      <c r="F2629" s="36" t="inlineStr">
        <is>
          <t>New</t>
        </is>
      </c>
      <c r="G2629" s="36" t="inlineStr">
        <is>
          <t>Hiking</t>
        </is>
      </c>
      <c r="H2629" s="36" t="inlineStr">
        <is>
          <t>Trekking Poles</t>
        </is>
      </c>
      <c r="I2629" s="36" t="n">
        <v>1</v>
      </c>
      <c r="J2629" s="39" t="n">
        <v>71.23</v>
      </c>
      <c r="K2629" s="45" t="n">
        <v>0</v>
      </c>
      <c r="L2629" s="39" t="n">
        <v>31.63</v>
      </c>
      <c r="M2629" s="39">
        <f>I2629*J2629*(1-K2629)</f>
        <v/>
      </c>
      <c r="N2629" s="39">
        <f>I2629*L2629</f>
        <v/>
      </c>
      <c r="O2629" s="39">
        <f>M2629-N2629</f>
        <v/>
      </c>
      <c r="P2629" s="38">
        <f>IF(M2629=0,0,O2629/M2629)</f>
        <v/>
      </c>
      <c r="Q2629" s="36">
        <f>YEAR(B2629)</f>
        <v/>
      </c>
      <c r="R2629" s="36">
        <f>"Q"&amp;ROUNDUP(MONTH(B2629)/3,0)</f>
        <v/>
      </c>
      <c r="S2629" s="36">
        <f>MONTH(B2629)</f>
        <v/>
      </c>
      <c r="T2629" s="36">
        <f>TEXT(B2629,"mmm")</f>
        <v/>
      </c>
      <c r="U2629" s="36">
        <f>IF(AND(OR(sel_Region="All",C2629=sel_Region),OR(sel_Country="All",D2629=sel_Country),OR(sel_Channel="All",E2629=sel_Channel),OR(sel_Customer="All",F2629=sel_Customer),OR(sel_Category="All",G2629=sel_Category),OR(sel_Product="All",H2629=sel_Product),AND(S2629&gt;=m_From,S2629&lt;=m_To)),1,0)</f>
        <v/>
      </c>
      <c r="V2629" s="36">
        <f>IF(AND(OR(sel_Region="All",C2629=sel_Region),OR(sel_Channel="All",E2629=sel_Channel),OR(sel_Customer="All",F2629=sel_Customer),OR(sel_Category="All",G2629=sel_Category),OR(sel_Product="All",H2629=sel_Product),AND(S2629&gt;=m_From,S2629&lt;=m_To)),1,0)</f>
        <v/>
      </c>
      <c r="W2629" s="36">
        <f>IF(AND(OR(sel_Region="All",C2629=sel_Region),OR(sel_Country="All",D2629=sel_Country),OR(sel_Customer="All",F2629=sel_Customer),OR(sel_Category="All",G2629=sel_Category),OR(sel_Product="All",H2629=sel_Product),AND(S2629&gt;=m_From,S2629&lt;=m_To)),1,0)</f>
        <v/>
      </c>
      <c r="X2629" s="36">
        <f>IF(AND(OR(sel_Region="All",C2629=sel_Region),OR(sel_Country="All",D2629=sel_Country),OR(sel_Channel="All",E2629=sel_Channel),OR(sel_Category="All",G2629=sel_Category),OR(sel_Product="All",H2629=sel_Product),AND(S2629&gt;=m_From,S2629&lt;=m_To)),1,0)</f>
        <v/>
      </c>
      <c r="Y2629" s="36">
        <f>IF(AND(OR(sel_Region="All",C2629=sel_Region),OR(sel_Country="All",D2629=sel_Country),OR(sel_Channel="All",E2629=sel_Channel),OR(sel_Customer="All",F2629=sel_Customer),OR(sel_Product="All",H2629=sel_Product),AND(S2629&gt;=m_From,S2629&lt;=m_To)),1,0)</f>
        <v/>
      </c>
      <c r="Z2629" s="36">
        <f>IF(AND(OR(sel_Region="All",C2629=sel_Region),OR(sel_Country="All",D2629=sel_Country),OR(sel_Channel="All",E2629=sel_Channel),OR(sel_Customer="All",F2629=sel_Customer),OR(sel_Category="All",G2629=sel_Category),AND(S2629&gt;=m_From,S2629&lt;=m_To)),1,0)</f>
        <v/>
      </c>
      <c r="AA2629" s="36">
        <f>IF(AND(OR(sel_Region="All",C2629=sel_Region),OR(sel_Country="All",D2629=sel_Country),OR(sel_Channel="All",E2629=sel_Channel),OR(sel_Customer="All",F2629=sel_Customer),OR(sel_Category="All",G2629=sel_Category),OR(sel_Product="All",H2629=sel_Product)),1,0)</f>
        <v/>
      </c>
    </row>
    <row r="2630">
      <c r="A2630" s="36" t="inlineStr">
        <is>
          <t>02842</t>
        </is>
      </c>
      <c r="B2630" s="44" t="n">
        <v>46376</v>
      </c>
      <c r="C2630" s="36" t="inlineStr">
        <is>
          <t>Northern Europe</t>
        </is>
      </c>
      <c r="D2630" s="36" t="inlineStr">
        <is>
          <t>Finland</t>
        </is>
      </c>
      <c r="E2630" s="36" t="inlineStr">
        <is>
          <t>Corporate</t>
        </is>
      </c>
      <c r="F2630" s="36" t="inlineStr">
        <is>
          <t>Business</t>
        </is>
      </c>
      <c r="G2630" s="36" t="inlineStr">
        <is>
          <t>Cycling</t>
        </is>
      </c>
      <c r="H2630" s="36" t="inlineStr">
        <is>
          <t>Trail Bike Light</t>
        </is>
      </c>
      <c r="I2630" s="36" t="n">
        <v>5</v>
      </c>
      <c r="J2630" s="39" t="n">
        <v>51.02</v>
      </c>
      <c r="K2630" s="45" t="n">
        <v>0.05</v>
      </c>
      <c r="L2630" s="39" t="n">
        <v>22.56</v>
      </c>
      <c r="M2630" s="39">
        <f>I2630*J2630*(1-K2630)</f>
        <v/>
      </c>
      <c r="N2630" s="39">
        <f>I2630*L2630</f>
        <v/>
      </c>
      <c r="O2630" s="39">
        <f>M2630-N2630</f>
        <v/>
      </c>
      <c r="P2630" s="38">
        <f>IF(M2630=0,0,O2630/M2630)</f>
        <v/>
      </c>
      <c r="Q2630" s="36">
        <f>YEAR(B2630)</f>
        <v/>
      </c>
      <c r="R2630" s="36">
        <f>"Q"&amp;ROUNDUP(MONTH(B2630)/3,0)</f>
        <v/>
      </c>
      <c r="S2630" s="36">
        <f>MONTH(B2630)</f>
        <v/>
      </c>
      <c r="T2630" s="36">
        <f>TEXT(B2630,"mmm")</f>
        <v/>
      </c>
      <c r="U2630" s="36">
        <f>IF(AND(OR(sel_Region="All",C2630=sel_Region),OR(sel_Country="All",D2630=sel_Country),OR(sel_Channel="All",E2630=sel_Channel),OR(sel_Customer="All",F2630=sel_Customer),OR(sel_Category="All",G2630=sel_Category),OR(sel_Product="All",H2630=sel_Product),AND(S2630&gt;=m_From,S2630&lt;=m_To)),1,0)</f>
        <v/>
      </c>
      <c r="V2630" s="36">
        <f>IF(AND(OR(sel_Region="All",C2630=sel_Region),OR(sel_Channel="All",E2630=sel_Channel),OR(sel_Customer="All",F2630=sel_Customer),OR(sel_Category="All",G2630=sel_Category),OR(sel_Product="All",H2630=sel_Product),AND(S2630&gt;=m_From,S2630&lt;=m_To)),1,0)</f>
        <v/>
      </c>
      <c r="W2630" s="36">
        <f>IF(AND(OR(sel_Region="All",C2630=sel_Region),OR(sel_Country="All",D2630=sel_Country),OR(sel_Customer="All",F2630=sel_Customer),OR(sel_Category="All",G2630=sel_Category),OR(sel_Product="All",H2630=sel_Product),AND(S2630&gt;=m_From,S2630&lt;=m_To)),1,0)</f>
        <v/>
      </c>
      <c r="X2630" s="36">
        <f>IF(AND(OR(sel_Region="All",C2630=sel_Region),OR(sel_Country="All",D2630=sel_Country),OR(sel_Channel="All",E2630=sel_Channel),OR(sel_Category="All",G2630=sel_Category),OR(sel_Product="All",H2630=sel_Product),AND(S2630&gt;=m_From,S2630&lt;=m_To)),1,0)</f>
        <v/>
      </c>
      <c r="Y2630" s="36">
        <f>IF(AND(OR(sel_Region="All",C2630=sel_Region),OR(sel_Country="All",D2630=sel_Country),OR(sel_Channel="All",E2630=sel_Channel),OR(sel_Customer="All",F2630=sel_Customer),OR(sel_Product="All",H2630=sel_Product),AND(S2630&gt;=m_From,S2630&lt;=m_To)),1,0)</f>
        <v/>
      </c>
      <c r="Z2630" s="36">
        <f>IF(AND(OR(sel_Region="All",C2630=sel_Region),OR(sel_Country="All",D2630=sel_Country),OR(sel_Channel="All",E2630=sel_Channel),OR(sel_Customer="All",F2630=sel_Customer),OR(sel_Category="All",G2630=sel_Category),AND(S2630&gt;=m_From,S2630&lt;=m_To)),1,0)</f>
        <v/>
      </c>
      <c r="AA2630" s="36">
        <f>IF(AND(OR(sel_Region="All",C2630=sel_Region),OR(sel_Country="All",D2630=sel_Country),OR(sel_Channel="All",E2630=sel_Channel),OR(sel_Customer="All",F2630=sel_Customer),OR(sel_Category="All",G2630=sel_Category),OR(sel_Product="All",H2630=sel_Product)),1,0)</f>
        <v/>
      </c>
    </row>
    <row r="2631">
      <c r="A2631" s="36" t="inlineStr">
        <is>
          <t>03783</t>
        </is>
      </c>
      <c r="B2631" s="44" t="n">
        <v>46376</v>
      </c>
      <c r="C2631" s="36" t="inlineStr">
        <is>
          <t>Northern Europe</t>
        </is>
      </c>
      <c r="D2631" s="36" t="inlineStr">
        <is>
          <t>Sweden</t>
        </is>
      </c>
      <c r="E2631" s="36" t="inlineStr">
        <is>
          <t>Marketplace</t>
        </is>
      </c>
      <c r="F2631" s="36" t="inlineStr">
        <is>
          <t>New</t>
        </is>
      </c>
      <c r="G2631" s="36" t="inlineStr">
        <is>
          <t>Travel</t>
        </is>
      </c>
      <c r="H2631" s="36" t="inlineStr">
        <is>
          <t>Carry-On Duffel</t>
        </is>
      </c>
      <c r="I2631" s="36" t="n">
        <v>1</v>
      </c>
      <c r="J2631" s="39" t="n">
        <v>130.52</v>
      </c>
      <c r="K2631" s="45" t="n">
        <v>0.1</v>
      </c>
      <c r="L2631" s="39" t="n">
        <v>66.09</v>
      </c>
      <c r="M2631" s="39">
        <f>I2631*J2631*(1-K2631)</f>
        <v/>
      </c>
      <c r="N2631" s="39">
        <f>I2631*L2631</f>
        <v/>
      </c>
      <c r="O2631" s="39">
        <f>M2631-N2631</f>
        <v/>
      </c>
      <c r="P2631" s="38">
        <f>IF(M2631=0,0,O2631/M2631)</f>
        <v/>
      </c>
      <c r="Q2631" s="36">
        <f>YEAR(B2631)</f>
        <v/>
      </c>
      <c r="R2631" s="36">
        <f>"Q"&amp;ROUNDUP(MONTH(B2631)/3,0)</f>
        <v/>
      </c>
      <c r="S2631" s="36">
        <f>MONTH(B2631)</f>
        <v/>
      </c>
      <c r="T2631" s="36">
        <f>TEXT(B2631,"mmm")</f>
        <v/>
      </c>
      <c r="U2631" s="36">
        <f>IF(AND(OR(sel_Region="All",C2631=sel_Region),OR(sel_Country="All",D2631=sel_Country),OR(sel_Channel="All",E2631=sel_Channel),OR(sel_Customer="All",F2631=sel_Customer),OR(sel_Category="All",G2631=sel_Category),OR(sel_Product="All",H2631=sel_Product),AND(S2631&gt;=m_From,S2631&lt;=m_To)),1,0)</f>
        <v/>
      </c>
      <c r="V2631" s="36">
        <f>IF(AND(OR(sel_Region="All",C2631=sel_Region),OR(sel_Channel="All",E2631=sel_Channel),OR(sel_Customer="All",F2631=sel_Customer),OR(sel_Category="All",G2631=sel_Category),OR(sel_Product="All",H2631=sel_Product),AND(S2631&gt;=m_From,S2631&lt;=m_To)),1,0)</f>
        <v/>
      </c>
      <c r="W2631" s="36">
        <f>IF(AND(OR(sel_Region="All",C2631=sel_Region),OR(sel_Country="All",D2631=sel_Country),OR(sel_Customer="All",F2631=sel_Customer),OR(sel_Category="All",G2631=sel_Category),OR(sel_Product="All",H2631=sel_Product),AND(S2631&gt;=m_From,S2631&lt;=m_To)),1,0)</f>
        <v/>
      </c>
      <c r="X2631" s="36">
        <f>IF(AND(OR(sel_Region="All",C2631=sel_Region),OR(sel_Country="All",D2631=sel_Country),OR(sel_Channel="All",E2631=sel_Channel),OR(sel_Category="All",G2631=sel_Category),OR(sel_Product="All",H2631=sel_Product),AND(S2631&gt;=m_From,S2631&lt;=m_To)),1,0)</f>
        <v/>
      </c>
      <c r="Y2631" s="36">
        <f>IF(AND(OR(sel_Region="All",C2631=sel_Region),OR(sel_Country="All",D2631=sel_Country),OR(sel_Channel="All",E2631=sel_Channel),OR(sel_Customer="All",F2631=sel_Customer),OR(sel_Product="All",H2631=sel_Product),AND(S2631&gt;=m_From,S2631&lt;=m_To)),1,0)</f>
        <v/>
      </c>
      <c r="Z2631" s="36">
        <f>IF(AND(OR(sel_Region="All",C2631=sel_Region),OR(sel_Country="All",D2631=sel_Country),OR(sel_Channel="All",E2631=sel_Channel),OR(sel_Customer="All",F2631=sel_Customer),OR(sel_Category="All",G2631=sel_Category),AND(S2631&gt;=m_From,S2631&lt;=m_To)),1,0)</f>
        <v/>
      </c>
      <c r="AA2631" s="36">
        <f>IF(AND(OR(sel_Region="All",C2631=sel_Region),OR(sel_Country="All",D2631=sel_Country),OR(sel_Channel="All",E2631=sel_Channel),OR(sel_Customer="All",F2631=sel_Customer),OR(sel_Category="All",G2631=sel_Category),OR(sel_Product="All",H2631=sel_Product)),1,0)</f>
        <v/>
      </c>
    </row>
    <row r="2632">
      <c r="A2632" s="36" t="inlineStr">
        <is>
          <t>04484</t>
        </is>
      </c>
      <c r="B2632" s="44" t="n">
        <v>46376</v>
      </c>
      <c r="C2632" s="36" t="inlineStr">
        <is>
          <t>Central Europe</t>
        </is>
      </c>
      <c r="D2632" s="36" t="inlineStr">
        <is>
          <t>Poland</t>
        </is>
      </c>
      <c r="E2632" s="36" t="inlineStr">
        <is>
          <t>Online Store</t>
        </is>
      </c>
      <c r="F2632" s="36" t="inlineStr">
        <is>
          <t>Returning</t>
        </is>
      </c>
      <c r="G2632" s="36" t="inlineStr">
        <is>
          <t>Cycling</t>
        </is>
      </c>
      <c r="H2632" s="36" t="inlineStr">
        <is>
          <t>Commuter Helmet</t>
        </is>
      </c>
      <c r="I2632" s="36" t="n">
        <v>2</v>
      </c>
      <c r="J2632" s="39" t="n">
        <v>79.87</v>
      </c>
      <c r="K2632" s="45" t="n">
        <v>0.15</v>
      </c>
      <c r="L2632" s="39" t="n">
        <v>41.9</v>
      </c>
      <c r="M2632" s="39">
        <f>I2632*J2632*(1-K2632)</f>
        <v/>
      </c>
      <c r="N2632" s="39">
        <f>I2632*L2632</f>
        <v/>
      </c>
      <c r="O2632" s="39">
        <f>M2632-N2632</f>
        <v/>
      </c>
      <c r="P2632" s="38">
        <f>IF(M2632=0,0,O2632/M2632)</f>
        <v/>
      </c>
      <c r="Q2632" s="36">
        <f>YEAR(B2632)</f>
        <v/>
      </c>
      <c r="R2632" s="36">
        <f>"Q"&amp;ROUNDUP(MONTH(B2632)/3,0)</f>
        <v/>
      </c>
      <c r="S2632" s="36">
        <f>MONTH(B2632)</f>
        <v/>
      </c>
      <c r="T2632" s="36">
        <f>TEXT(B2632,"mmm")</f>
        <v/>
      </c>
      <c r="U2632" s="36">
        <f>IF(AND(OR(sel_Region="All",C2632=sel_Region),OR(sel_Country="All",D2632=sel_Country),OR(sel_Channel="All",E2632=sel_Channel),OR(sel_Customer="All",F2632=sel_Customer),OR(sel_Category="All",G2632=sel_Category),OR(sel_Product="All",H2632=sel_Product),AND(S2632&gt;=m_From,S2632&lt;=m_To)),1,0)</f>
        <v/>
      </c>
      <c r="V2632" s="36">
        <f>IF(AND(OR(sel_Region="All",C2632=sel_Region),OR(sel_Channel="All",E2632=sel_Channel),OR(sel_Customer="All",F2632=sel_Customer),OR(sel_Category="All",G2632=sel_Category),OR(sel_Product="All",H2632=sel_Product),AND(S2632&gt;=m_From,S2632&lt;=m_To)),1,0)</f>
        <v/>
      </c>
      <c r="W2632" s="36">
        <f>IF(AND(OR(sel_Region="All",C2632=sel_Region),OR(sel_Country="All",D2632=sel_Country),OR(sel_Customer="All",F2632=sel_Customer),OR(sel_Category="All",G2632=sel_Category),OR(sel_Product="All",H2632=sel_Product),AND(S2632&gt;=m_From,S2632&lt;=m_To)),1,0)</f>
        <v/>
      </c>
      <c r="X2632" s="36">
        <f>IF(AND(OR(sel_Region="All",C2632=sel_Region),OR(sel_Country="All",D2632=sel_Country),OR(sel_Channel="All",E2632=sel_Channel),OR(sel_Category="All",G2632=sel_Category),OR(sel_Product="All",H2632=sel_Product),AND(S2632&gt;=m_From,S2632&lt;=m_To)),1,0)</f>
        <v/>
      </c>
      <c r="Y2632" s="36">
        <f>IF(AND(OR(sel_Region="All",C2632=sel_Region),OR(sel_Country="All",D2632=sel_Country),OR(sel_Channel="All",E2632=sel_Channel),OR(sel_Customer="All",F2632=sel_Customer),OR(sel_Product="All",H2632=sel_Product),AND(S2632&gt;=m_From,S2632&lt;=m_To)),1,0)</f>
        <v/>
      </c>
      <c r="Z2632" s="36">
        <f>IF(AND(OR(sel_Region="All",C2632=sel_Region),OR(sel_Country="All",D2632=sel_Country),OR(sel_Channel="All",E2632=sel_Channel),OR(sel_Customer="All",F2632=sel_Customer),OR(sel_Category="All",G2632=sel_Category),AND(S2632&gt;=m_From,S2632&lt;=m_To)),1,0)</f>
        <v/>
      </c>
      <c r="AA2632" s="36">
        <f>IF(AND(OR(sel_Region="All",C2632=sel_Region),OR(sel_Country="All",D2632=sel_Country),OR(sel_Channel="All",E2632=sel_Channel),OR(sel_Customer="All",F2632=sel_Customer),OR(sel_Category="All",G2632=sel_Category),OR(sel_Product="All",H2632=sel_Product)),1,0)</f>
        <v/>
      </c>
    </row>
    <row r="2633">
      <c r="A2633" s="36" t="inlineStr">
        <is>
          <t>04597</t>
        </is>
      </c>
      <c r="B2633" s="44" t="n">
        <v>46376</v>
      </c>
      <c r="C2633" s="36" t="inlineStr">
        <is>
          <t>Western Europe</t>
        </is>
      </c>
      <c r="D2633" s="36" t="inlineStr">
        <is>
          <t>France</t>
        </is>
      </c>
      <c r="E2633" s="36" t="inlineStr">
        <is>
          <t>Online Store</t>
        </is>
      </c>
      <c r="F2633" s="36" t="inlineStr">
        <is>
          <t>Returning</t>
        </is>
      </c>
      <c r="G2633" s="36" t="inlineStr">
        <is>
          <t>Hiking</t>
        </is>
      </c>
      <c r="H2633" s="36" t="inlineStr">
        <is>
          <t>Trekking Poles</t>
        </is>
      </c>
      <c r="I2633" s="36" t="n">
        <v>3</v>
      </c>
      <c r="J2633" s="39" t="n">
        <v>71.3</v>
      </c>
      <c r="K2633" s="45" t="n">
        <v>0.1</v>
      </c>
      <c r="L2633" s="39" t="n">
        <v>32.93</v>
      </c>
      <c r="M2633" s="39">
        <f>I2633*J2633*(1-K2633)</f>
        <v/>
      </c>
      <c r="N2633" s="39">
        <f>I2633*L2633</f>
        <v/>
      </c>
      <c r="O2633" s="39">
        <f>M2633-N2633</f>
        <v/>
      </c>
      <c r="P2633" s="38">
        <f>IF(M2633=0,0,O2633/M2633)</f>
        <v/>
      </c>
      <c r="Q2633" s="36">
        <f>YEAR(B2633)</f>
        <v/>
      </c>
      <c r="R2633" s="36">
        <f>"Q"&amp;ROUNDUP(MONTH(B2633)/3,0)</f>
        <v/>
      </c>
      <c r="S2633" s="36">
        <f>MONTH(B2633)</f>
        <v/>
      </c>
      <c r="T2633" s="36">
        <f>TEXT(B2633,"mmm")</f>
        <v/>
      </c>
      <c r="U2633" s="36">
        <f>IF(AND(OR(sel_Region="All",C2633=sel_Region),OR(sel_Country="All",D2633=sel_Country),OR(sel_Channel="All",E2633=sel_Channel),OR(sel_Customer="All",F2633=sel_Customer),OR(sel_Category="All",G2633=sel_Category),OR(sel_Product="All",H2633=sel_Product),AND(S2633&gt;=m_From,S2633&lt;=m_To)),1,0)</f>
        <v/>
      </c>
      <c r="V2633" s="36">
        <f>IF(AND(OR(sel_Region="All",C2633=sel_Region),OR(sel_Channel="All",E2633=sel_Channel),OR(sel_Customer="All",F2633=sel_Customer),OR(sel_Category="All",G2633=sel_Category),OR(sel_Product="All",H2633=sel_Product),AND(S2633&gt;=m_From,S2633&lt;=m_To)),1,0)</f>
        <v/>
      </c>
      <c r="W2633" s="36">
        <f>IF(AND(OR(sel_Region="All",C2633=sel_Region),OR(sel_Country="All",D2633=sel_Country),OR(sel_Customer="All",F2633=sel_Customer),OR(sel_Category="All",G2633=sel_Category),OR(sel_Product="All",H2633=sel_Product),AND(S2633&gt;=m_From,S2633&lt;=m_To)),1,0)</f>
        <v/>
      </c>
      <c r="X2633" s="36">
        <f>IF(AND(OR(sel_Region="All",C2633=sel_Region),OR(sel_Country="All",D2633=sel_Country),OR(sel_Channel="All",E2633=sel_Channel),OR(sel_Category="All",G2633=sel_Category),OR(sel_Product="All",H2633=sel_Product),AND(S2633&gt;=m_From,S2633&lt;=m_To)),1,0)</f>
        <v/>
      </c>
      <c r="Y2633" s="36">
        <f>IF(AND(OR(sel_Region="All",C2633=sel_Region),OR(sel_Country="All",D2633=sel_Country),OR(sel_Channel="All",E2633=sel_Channel),OR(sel_Customer="All",F2633=sel_Customer),OR(sel_Product="All",H2633=sel_Product),AND(S2633&gt;=m_From,S2633&lt;=m_To)),1,0)</f>
        <v/>
      </c>
      <c r="Z2633" s="36">
        <f>IF(AND(OR(sel_Region="All",C2633=sel_Region),OR(sel_Country="All",D2633=sel_Country),OR(sel_Channel="All",E2633=sel_Channel),OR(sel_Customer="All",F2633=sel_Customer),OR(sel_Category="All",G2633=sel_Category),AND(S2633&gt;=m_From,S2633&lt;=m_To)),1,0)</f>
        <v/>
      </c>
      <c r="AA2633" s="36">
        <f>IF(AND(OR(sel_Region="All",C2633=sel_Region),OR(sel_Country="All",D2633=sel_Country),OR(sel_Channel="All",E2633=sel_Channel),OR(sel_Customer="All",F2633=sel_Customer),OR(sel_Category="All",G2633=sel_Category),OR(sel_Product="All",H2633=sel_Product)),1,0)</f>
        <v/>
      </c>
    </row>
    <row r="2634">
      <c r="A2634" s="36" t="inlineStr">
        <is>
          <t>04917</t>
        </is>
      </c>
      <c r="B2634" s="44" t="n">
        <v>46376</v>
      </c>
      <c r="C2634" s="36" t="inlineStr">
        <is>
          <t>Southern Europe</t>
        </is>
      </c>
      <c r="D2634" s="36" t="inlineStr">
        <is>
          <t>Portugal</t>
        </is>
      </c>
      <c r="E2634" s="36" t="inlineStr">
        <is>
          <t>Online Store</t>
        </is>
      </c>
      <c r="F2634" s="36" t="inlineStr">
        <is>
          <t>Returning</t>
        </is>
      </c>
      <c r="G2634" s="36" t="inlineStr">
        <is>
          <t>Camping</t>
        </is>
      </c>
      <c r="H2634" s="36" t="inlineStr">
        <is>
          <t>Compact Sleeping Bag</t>
        </is>
      </c>
      <c r="I2634" s="36" t="n">
        <v>2</v>
      </c>
      <c r="J2634" s="39" t="n">
        <v>122.95</v>
      </c>
      <c r="K2634" s="45" t="n">
        <v>0.1</v>
      </c>
      <c r="L2634" s="39" t="n">
        <v>59.79</v>
      </c>
      <c r="M2634" s="39">
        <f>I2634*J2634*(1-K2634)</f>
        <v/>
      </c>
      <c r="N2634" s="39">
        <f>I2634*L2634</f>
        <v/>
      </c>
      <c r="O2634" s="39">
        <f>M2634-N2634</f>
        <v/>
      </c>
      <c r="P2634" s="38">
        <f>IF(M2634=0,0,O2634/M2634)</f>
        <v/>
      </c>
      <c r="Q2634" s="36">
        <f>YEAR(B2634)</f>
        <v/>
      </c>
      <c r="R2634" s="36">
        <f>"Q"&amp;ROUNDUP(MONTH(B2634)/3,0)</f>
        <v/>
      </c>
      <c r="S2634" s="36">
        <f>MONTH(B2634)</f>
        <v/>
      </c>
      <c r="T2634" s="36">
        <f>TEXT(B2634,"mmm")</f>
        <v/>
      </c>
      <c r="U2634" s="36">
        <f>IF(AND(OR(sel_Region="All",C2634=sel_Region),OR(sel_Country="All",D2634=sel_Country),OR(sel_Channel="All",E2634=sel_Channel),OR(sel_Customer="All",F2634=sel_Customer),OR(sel_Category="All",G2634=sel_Category),OR(sel_Product="All",H2634=sel_Product),AND(S2634&gt;=m_From,S2634&lt;=m_To)),1,0)</f>
        <v/>
      </c>
      <c r="V2634" s="36">
        <f>IF(AND(OR(sel_Region="All",C2634=sel_Region),OR(sel_Channel="All",E2634=sel_Channel),OR(sel_Customer="All",F2634=sel_Customer),OR(sel_Category="All",G2634=sel_Category),OR(sel_Product="All",H2634=sel_Product),AND(S2634&gt;=m_From,S2634&lt;=m_To)),1,0)</f>
        <v/>
      </c>
      <c r="W2634" s="36">
        <f>IF(AND(OR(sel_Region="All",C2634=sel_Region),OR(sel_Country="All",D2634=sel_Country),OR(sel_Customer="All",F2634=sel_Customer),OR(sel_Category="All",G2634=sel_Category),OR(sel_Product="All",H2634=sel_Product),AND(S2634&gt;=m_From,S2634&lt;=m_To)),1,0)</f>
        <v/>
      </c>
      <c r="X2634" s="36">
        <f>IF(AND(OR(sel_Region="All",C2634=sel_Region),OR(sel_Country="All",D2634=sel_Country),OR(sel_Channel="All",E2634=sel_Channel),OR(sel_Category="All",G2634=sel_Category),OR(sel_Product="All",H2634=sel_Product),AND(S2634&gt;=m_From,S2634&lt;=m_To)),1,0)</f>
        <v/>
      </c>
      <c r="Y2634" s="36">
        <f>IF(AND(OR(sel_Region="All",C2634=sel_Region),OR(sel_Country="All",D2634=sel_Country),OR(sel_Channel="All",E2634=sel_Channel),OR(sel_Customer="All",F2634=sel_Customer),OR(sel_Product="All",H2634=sel_Product),AND(S2634&gt;=m_From,S2634&lt;=m_To)),1,0)</f>
        <v/>
      </c>
      <c r="Z2634" s="36">
        <f>IF(AND(OR(sel_Region="All",C2634=sel_Region),OR(sel_Country="All",D2634=sel_Country),OR(sel_Channel="All",E2634=sel_Channel),OR(sel_Customer="All",F2634=sel_Customer),OR(sel_Category="All",G2634=sel_Category),AND(S2634&gt;=m_From,S2634&lt;=m_To)),1,0)</f>
        <v/>
      </c>
      <c r="AA2634" s="36">
        <f>IF(AND(OR(sel_Region="All",C2634=sel_Region),OR(sel_Country="All",D2634=sel_Country),OR(sel_Channel="All",E2634=sel_Channel),OR(sel_Customer="All",F2634=sel_Customer),OR(sel_Category="All",G2634=sel_Category),OR(sel_Product="All",H2634=sel_Product)),1,0)</f>
        <v/>
      </c>
    </row>
    <row r="2635">
      <c r="A2635" s="36" t="inlineStr">
        <is>
          <t>00629</t>
        </is>
      </c>
      <c r="B2635" s="44" t="n">
        <v>46377</v>
      </c>
      <c r="C2635" s="36" t="inlineStr">
        <is>
          <t>Western Europe</t>
        </is>
      </c>
      <c r="D2635" s="36" t="inlineStr">
        <is>
          <t>France</t>
        </is>
      </c>
      <c r="E2635" s="36" t="inlineStr">
        <is>
          <t>Online Store</t>
        </is>
      </c>
      <c r="F2635" s="36" t="inlineStr">
        <is>
          <t>Business</t>
        </is>
      </c>
      <c r="G2635" s="36" t="inlineStr">
        <is>
          <t>Fitness</t>
        </is>
      </c>
      <c r="H2635" s="36" t="inlineStr">
        <is>
          <t>Training Mat</t>
        </is>
      </c>
      <c r="I2635" s="36" t="n">
        <v>2</v>
      </c>
      <c r="J2635" s="39" t="n">
        <v>50.04</v>
      </c>
      <c r="K2635" s="45" t="n">
        <v>0.05</v>
      </c>
      <c r="L2635" s="39" t="n">
        <v>22.43</v>
      </c>
      <c r="M2635" s="39">
        <f>I2635*J2635*(1-K2635)</f>
        <v/>
      </c>
      <c r="N2635" s="39">
        <f>I2635*L2635</f>
        <v/>
      </c>
      <c r="O2635" s="39">
        <f>M2635-N2635</f>
        <v/>
      </c>
      <c r="P2635" s="38">
        <f>IF(M2635=0,0,O2635/M2635)</f>
        <v/>
      </c>
      <c r="Q2635" s="36">
        <f>YEAR(B2635)</f>
        <v/>
      </c>
      <c r="R2635" s="36">
        <f>"Q"&amp;ROUNDUP(MONTH(B2635)/3,0)</f>
        <v/>
      </c>
      <c r="S2635" s="36">
        <f>MONTH(B2635)</f>
        <v/>
      </c>
      <c r="T2635" s="36">
        <f>TEXT(B2635,"mmm")</f>
        <v/>
      </c>
      <c r="U2635" s="36">
        <f>IF(AND(OR(sel_Region="All",C2635=sel_Region),OR(sel_Country="All",D2635=sel_Country),OR(sel_Channel="All",E2635=sel_Channel),OR(sel_Customer="All",F2635=sel_Customer),OR(sel_Category="All",G2635=sel_Category),OR(sel_Product="All",H2635=sel_Product),AND(S2635&gt;=m_From,S2635&lt;=m_To)),1,0)</f>
        <v/>
      </c>
      <c r="V2635" s="36">
        <f>IF(AND(OR(sel_Region="All",C2635=sel_Region),OR(sel_Channel="All",E2635=sel_Channel),OR(sel_Customer="All",F2635=sel_Customer),OR(sel_Category="All",G2635=sel_Category),OR(sel_Product="All",H2635=sel_Product),AND(S2635&gt;=m_From,S2635&lt;=m_To)),1,0)</f>
        <v/>
      </c>
      <c r="W2635" s="36">
        <f>IF(AND(OR(sel_Region="All",C2635=sel_Region),OR(sel_Country="All",D2635=sel_Country),OR(sel_Customer="All",F2635=sel_Customer),OR(sel_Category="All",G2635=sel_Category),OR(sel_Product="All",H2635=sel_Product),AND(S2635&gt;=m_From,S2635&lt;=m_To)),1,0)</f>
        <v/>
      </c>
      <c r="X2635" s="36">
        <f>IF(AND(OR(sel_Region="All",C2635=sel_Region),OR(sel_Country="All",D2635=sel_Country),OR(sel_Channel="All",E2635=sel_Channel),OR(sel_Category="All",G2635=sel_Category),OR(sel_Product="All",H2635=sel_Product),AND(S2635&gt;=m_From,S2635&lt;=m_To)),1,0)</f>
        <v/>
      </c>
      <c r="Y2635" s="36">
        <f>IF(AND(OR(sel_Region="All",C2635=sel_Region),OR(sel_Country="All",D2635=sel_Country),OR(sel_Channel="All",E2635=sel_Channel),OR(sel_Customer="All",F2635=sel_Customer),OR(sel_Product="All",H2635=sel_Product),AND(S2635&gt;=m_From,S2635&lt;=m_To)),1,0)</f>
        <v/>
      </c>
      <c r="Z2635" s="36">
        <f>IF(AND(OR(sel_Region="All",C2635=sel_Region),OR(sel_Country="All",D2635=sel_Country),OR(sel_Channel="All",E2635=sel_Channel),OR(sel_Customer="All",F2635=sel_Customer),OR(sel_Category="All",G2635=sel_Category),AND(S2635&gt;=m_From,S2635&lt;=m_To)),1,0)</f>
        <v/>
      </c>
      <c r="AA2635" s="36">
        <f>IF(AND(OR(sel_Region="All",C2635=sel_Region),OR(sel_Country="All",D2635=sel_Country),OR(sel_Channel="All",E2635=sel_Channel),OR(sel_Customer="All",F2635=sel_Customer),OR(sel_Category="All",G2635=sel_Category),OR(sel_Product="All",H2635=sel_Product)),1,0)</f>
        <v/>
      </c>
    </row>
    <row r="2636">
      <c r="A2636" s="36" t="inlineStr">
        <is>
          <t>01373</t>
        </is>
      </c>
      <c r="B2636" s="44" t="n">
        <v>46377</v>
      </c>
      <c r="C2636" s="36" t="inlineStr">
        <is>
          <t>Central Europe</t>
        </is>
      </c>
      <c r="D2636" s="36" t="inlineStr">
        <is>
          <t>Czechia</t>
        </is>
      </c>
      <c r="E2636" s="36" t="inlineStr">
        <is>
          <t>Marketplace</t>
        </is>
      </c>
      <c r="F2636" s="36" t="inlineStr">
        <is>
          <t>Returning</t>
        </is>
      </c>
      <c r="G2636" s="36" t="inlineStr">
        <is>
          <t>Camping</t>
        </is>
      </c>
      <c r="H2636" s="36" t="inlineStr">
        <is>
          <t>Portable Camp Stove</t>
        </is>
      </c>
      <c r="I2636" s="36" t="n">
        <v>1</v>
      </c>
      <c r="J2636" s="39" t="n">
        <v>80.92</v>
      </c>
      <c r="K2636" s="45" t="n">
        <v>0.05</v>
      </c>
      <c r="L2636" s="39" t="n">
        <v>40.14</v>
      </c>
      <c r="M2636" s="39">
        <f>I2636*J2636*(1-K2636)</f>
        <v/>
      </c>
      <c r="N2636" s="39">
        <f>I2636*L2636</f>
        <v/>
      </c>
      <c r="O2636" s="39">
        <f>M2636-N2636</f>
        <v/>
      </c>
      <c r="P2636" s="38">
        <f>IF(M2636=0,0,O2636/M2636)</f>
        <v/>
      </c>
      <c r="Q2636" s="36">
        <f>YEAR(B2636)</f>
        <v/>
      </c>
      <c r="R2636" s="36">
        <f>"Q"&amp;ROUNDUP(MONTH(B2636)/3,0)</f>
        <v/>
      </c>
      <c r="S2636" s="36">
        <f>MONTH(B2636)</f>
        <v/>
      </c>
      <c r="T2636" s="36">
        <f>TEXT(B2636,"mmm")</f>
        <v/>
      </c>
      <c r="U2636" s="36">
        <f>IF(AND(OR(sel_Region="All",C2636=sel_Region),OR(sel_Country="All",D2636=sel_Country),OR(sel_Channel="All",E2636=sel_Channel),OR(sel_Customer="All",F2636=sel_Customer),OR(sel_Category="All",G2636=sel_Category),OR(sel_Product="All",H2636=sel_Product),AND(S2636&gt;=m_From,S2636&lt;=m_To)),1,0)</f>
        <v/>
      </c>
      <c r="V2636" s="36">
        <f>IF(AND(OR(sel_Region="All",C2636=sel_Region),OR(sel_Channel="All",E2636=sel_Channel),OR(sel_Customer="All",F2636=sel_Customer),OR(sel_Category="All",G2636=sel_Category),OR(sel_Product="All",H2636=sel_Product),AND(S2636&gt;=m_From,S2636&lt;=m_To)),1,0)</f>
        <v/>
      </c>
      <c r="W2636" s="36">
        <f>IF(AND(OR(sel_Region="All",C2636=sel_Region),OR(sel_Country="All",D2636=sel_Country),OR(sel_Customer="All",F2636=sel_Customer),OR(sel_Category="All",G2636=sel_Category),OR(sel_Product="All",H2636=sel_Product),AND(S2636&gt;=m_From,S2636&lt;=m_To)),1,0)</f>
        <v/>
      </c>
      <c r="X2636" s="36">
        <f>IF(AND(OR(sel_Region="All",C2636=sel_Region),OR(sel_Country="All",D2636=sel_Country),OR(sel_Channel="All",E2636=sel_Channel),OR(sel_Category="All",G2636=sel_Category),OR(sel_Product="All",H2636=sel_Product),AND(S2636&gt;=m_From,S2636&lt;=m_To)),1,0)</f>
        <v/>
      </c>
      <c r="Y2636" s="36">
        <f>IF(AND(OR(sel_Region="All",C2636=sel_Region),OR(sel_Country="All",D2636=sel_Country),OR(sel_Channel="All",E2636=sel_Channel),OR(sel_Customer="All",F2636=sel_Customer),OR(sel_Product="All",H2636=sel_Product),AND(S2636&gt;=m_From,S2636&lt;=m_To)),1,0)</f>
        <v/>
      </c>
      <c r="Z2636" s="36">
        <f>IF(AND(OR(sel_Region="All",C2636=sel_Region),OR(sel_Country="All",D2636=sel_Country),OR(sel_Channel="All",E2636=sel_Channel),OR(sel_Customer="All",F2636=sel_Customer),OR(sel_Category="All",G2636=sel_Category),AND(S2636&gt;=m_From,S2636&lt;=m_To)),1,0)</f>
        <v/>
      </c>
      <c r="AA2636" s="36">
        <f>IF(AND(OR(sel_Region="All",C2636=sel_Region),OR(sel_Country="All",D2636=sel_Country),OR(sel_Channel="All",E2636=sel_Channel),OR(sel_Customer="All",F2636=sel_Customer),OR(sel_Category="All",G2636=sel_Category),OR(sel_Product="All",H2636=sel_Product)),1,0)</f>
        <v/>
      </c>
    </row>
    <row r="2637">
      <c r="A2637" s="36" t="inlineStr">
        <is>
          <t>01668</t>
        </is>
      </c>
      <c r="B2637" s="44" t="n">
        <v>46377</v>
      </c>
      <c r="C2637" s="36" t="inlineStr">
        <is>
          <t>Northern Europe</t>
        </is>
      </c>
      <c r="D2637" s="36" t="inlineStr">
        <is>
          <t>Denmark</t>
        </is>
      </c>
      <c r="E2637" s="36" t="inlineStr">
        <is>
          <t>Online Store</t>
        </is>
      </c>
      <c r="F2637" s="36" t="inlineStr">
        <is>
          <t>Business</t>
        </is>
      </c>
      <c r="G2637" s="36" t="inlineStr">
        <is>
          <t>Cycling</t>
        </is>
      </c>
      <c r="H2637" s="36" t="inlineStr">
        <is>
          <t>Trail Bike Light</t>
        </is>
      </c>
      <c r="I2637" s="36" t="n">
        <v>6</v>
      </c>
      <c r="J2637" s="39" t="n">
        <v>50.35</v>
      </c>
      <c r="K2637" s="45" t="n">
        <v>0.15</v>
      </c>
      <c r="L2637" s="39" t="n">
        <v>22.91</v>
      </c>
      <c r="M2637" s="39">
        <f>I2637*J2637*(1-K2637)</f>
        <v/>
      </c>
      <c r="N2637" s="39">
        <f>I2637*L2637</f>
        <v/>
      </c>
      <c r="O2637" s="39">
        <f>M2637-N2637</f>
        <v/>
      </c>
      <c r="P2637" s="38">
        <f>IF(M2637=0,0,O2637/M2637)</f>
        <v/>
      </c>
      <c r="Q2637" s="36">
        <f>YEAR(B2637)</f>
        <v/>
      </c>
      <c r="R2637" s="36">
        <f>"Q"&amp;ROUNDUP(MONTH(B2637)/3,0)</f>
        <v/>
      </c>
      <c r="S2637" s="36">
        <f>MONTH(B2637)</f>
        <v/>
      </c>
      <c r="T2637" s="36">
        <f>TEXT(B2637,"mmm")</f>
        <v/>
      </c>
      <c r="U2637" s="36">
        <f>IF(AND(OR(sel_Region="All",C2637=sel_Region),OR(sel_Country="All",D2637=sel_Country),OR(sel_Channel="All",E2637=sel_Channel),OR(sel_Customer="All",F2637=sel_Customer),OR(sel_Category="All",G2637=sel_Category),OR(sel_Product="All",H2637=sel_Product),AND(S2637&gt;=m_From,S2637&lt;=m_To)),1,0)</f>
        <v/>
      </c>
      <c r="V2637" s="36">
        <f>IF(AND(OR(sel_Region="All",C2637=sel_Region),OR(sel_Channel="All",E2637=sel_Channel),OR(sel_Customer="All",F2637=sel_Customer),OR(sel_Category="All",G2637=sel_Category),OR(sel_Product="All",H2637=sel_Product),AND(S2637&gt;=m_From,S2637&lt;=m_To)),1,0)</f>
        <v/>
      </c>
      <c r="W2637" s="36">
        <f>IF(AND(OR(sel_Region="All",C2637=sel_Region),OR(sel_Country="All",D2637=sel_Country),OR(sel_Customer="All",F2637=sel_Customer),OR(sel_Category="All",G2637=sel_Category),OR(sel_Product="All",H2637=sel_Product),AND(S2637&gt;=m_From,S2637&lt;=m_To)),1,0)</f>
        <v/>
      </c>
      <c r="X2637" s="36">
        <f>IF(AND(OR(sel_Region="All",C2637=sel_Region),OR(sel_Country="All",D2637=sel_Country),OR(sel_Channel="All",E2637=sel_Channel),OR(sel_Category="All",G2637=sel_Category),OR(sel_Product="All",H2637=sel_Product),AND(S2637&gt;=m_From,S2637&lt;=m_To)),1,0)</f>
        <v/>
      </c>
      <c r="Y2637" s="36">
        <f>IF(AND(OR(sel_Region="All",C2637=sel_Region),OR(sel_Country="All",D2637=sel_Country),OR(sel_Channel="All",E2637=sel_Channel),OR(sel_Customer="All",F2637=sel_Customer),OR(sel_Product="All",H2637=sel_Product),AND(S2637&gt;=m_From,S2637&lt;=m_To)),1,0)</f>
        <v/>
      </c>
      <c r="Z2637" s="36">
        <f>IF(AND(OR(sel_Region="All",C2637=sel_Region),OR(sel_Country="All",D2637=sel_Country),OR(sel_Channel="All",E2637=sel_Channel),OR(sel_Customer="All",F2637=sel_Customer),OR(sel_Category="All",G2637=sel_Category),AND(S2637&gt;=m_From,S2637&lt;=m_To)),1,0)</f>
        <v/>
      </c>
      <c r="AA2637" s="36">
        <f>IF(AND(OR(sel_Region="All",C2637=sel_Region),OR(sel_Country="All",D2637=sel_Country),OR(sel_Channel="All",E2637=sel_Channel),OR(sel_Customer="All",F2637=sel_Customer),OR(sel_Category="All",G2637=sel_Category),OR(sel_Product="All",H2637=sel_Product)),1,0)</f>
        <v/>
      </c>
    </row>
    <row r="2638">
      <c r="A2638" s="36" t="inlineStr">
        <is>
          <t>02646</t>
        </is>
      </c>
      <c r="B2638" s="44" t="n">
        <v>46377</v>
      </c>
      <c r="C2638" s="36" t="inlineStr">
        <is>
          <t>Central Europe</t>
        </is>
      </c>
      <c r="D2638" s="36" t="inlineStr">
        <is>
          <t>Czechia</t>
        </is>
      </c>
      <c r="E2638" s="36" t="inlineStr">
        <is>
          <t>Online Store</t>
        </is>
      </c>
      <c r="F2638" s="36" t="inlineStr">
        <is>
          <t>Returning</t>
        </is>
      </c>
      <c r="G2638" s="36" t="inlineStr">
        <is>
          <t>Fitness</t>
        </is>
      </c>
      <c r="H2638" s="36" t="inlineStr">
        <is>
          <t>Recovery Roller</t>
        </is>
      </c>
      <c r="I2638" s="36" t="n">
        <v>1</v>
      </c>
      <c r="J2638" s="39" t="n">
        <v>35.8</v>
      </c>
      <c r="K2638" s="45" t="n">
        <v>0.05</v>
      </c>
      <c r="L2638" s="39" t="n">
        <v>14.12</v>
      </c>
      <c r="M2638" s="39">
        <f>I2638*J2638*(1-K2638)</f>
        <v/>
      </c>
      <c r="N2638" s="39">
        <f>I2638*L2638</f>
        <v/>
      </c>
      <c r="O2638" s="39">
        <f>M2638-N2638</f>
        <v/>
      </c>
      <c r="P2638" s="38">
        <f>IF(M2638=0,0,O2638/M2638)</f>
        <v/>
      </c>
      <c r="Q2638" s="36">
        <f>YEAR(B2638)</f>
        <v/>
      </c>
      <c r="R2638" s="36">
        <f>"Q"&amp;ROUNDUP(MONTH(B2638)/3,0)</f>
        <v/>
      </c>
      <c r="S2638" s="36">
        <f>MONTH(B2638)</f>
        <v/>
      </c>
      <c r="T2638" s="36">
        <f>TEXT(B2638,"mmm")</f>
        <v/>
      </c>
      <c r="U2638" s="36">
        <f>IF(AND(OR(sel_Region="All",C2638=sel_Region),OR(sel_Country="All",D2638=sel_Country),OR(sel_Channel="All",E2638=sel_Channel),OR(sel_Customer="All",F2638=sel_Customer),OR(sel_Category="All",G2638=sel_Category),OR(sel_Product="All",H2638=sel_Product),AND(S2638&gt;=m_From,S2638&lt;=m_To)),1,0)</f>
        <v/>
      </c>
      <c r="V2638" s="36">
        <f>IF(AND(OR(sel_Region="All",C2638=sel_Region),OR(sel_Channel="All",E2638=sel_Channel),OR(sel_Customer="All",F2638=sel_Customer),OR(sel_Category="All",G2638=sel_Category),OR(sel_Product="All",H2638=sel_Product),AND(S2638&gt;=m_From,S2638&lt;=m_To)),1,0)</f>
        <v/>
      </c>
      <c r="W2638" s="36">
        <f>IF(AND(OR(sel_Region="All",C2638=sel_Region),OR(sel_Country="All",D2638=sel_Country),OR(sel_Customer="All",F2638=sel_Customer),OR(sel_Category="All",G2638=sel_Category),OR(sel_Product="All",H2638=sel_Product),AND(S2638&gt;=m_From,S2638&lt;=m_To)),1,0)</f>
        <v/>
      </c>
      <c r="X2638" s="36">
        <f>IF(AND(OR(sel_Region="All",C2638=sel_Region),OR(sel_Country="All",D2638=sel_Country),OR(sel_Channel="All",E2638=sel_Channel),OR(sel_Category="All",G2638=sel_Category),OR(sel_Product="All",H2638=sel_Product),AND(S2638&gt;=m_From,S2638&lt;=m_To)),1,0)</f>
        <v/>
      </c>
      <c r="Y2638" s="36">
        <f>IF(AND(OR(sel_Region="All",C2638=sel_Region),OR(sel_Country="All",D2638=sel_Country),OR(sel_Channel="All",E2638=sel_Channel),OR(sel_Customer="All",F2638=sel_Customer),OR(sel_Product="All",H2638=sel_Product),AND(S2638&gt;=m_From,S2638&lt;=m_To)),1,0)</f>
        <v/>
      </c>
      <c r="Z2638" s="36">
        <f>IF(AND(OR(sel_Region="All",C2638=sel_Region),OR(sel_Country="All",D2638=sel_Country),OR(sel_Channel="All",E2638=sel_Channel),OR(sel_Customer="All",F2638=sel_Customer),OR(sel_Category="All",G2638=sel_Category),AND(S2638&gt;=m_From,S2638&lt;=m_To)),1,0)</f>
        <v/>
      </c>
      <c r="AA2638" s="36">
        <f>IF(AND(OR(sel_Region="All",C2638=sel_Region),OR(sel_Country="All",D2638=sel_Country),OR(sel_Channel="All",E2638=sel_Channel),OR(sel_Customer="All",F2638=sel_Customer),OR(sel_Category="All",G2638=sel_Category),OR(sel_Product="All",H2638=sel_Product)),1,0)</f>
        <v/>
      </c>
    </row>
    <row r="2639">
      <c r="A2639" s="36" t="inlineStr">
        <is>
          <t>03044</t>
        </is>
      </c>
      <c r="B2639" s="44" t="n">
        <v>46377</v>
      </c>
      <c r="C2639" s="36" t="inlineStr">
        <is>
          <t>Central Europe</t>
        </is>
      </c>
      <c r="D2639" s="36" t="inlineStr">
        <is>
          <t>Austria</t>
        </is>
      </c>
      <c r="E2639" s="36" t="inlineStr">
        <is>
          <t>Corporate</t>
        </is>
      </c>
      <c r="F2639" s="36" t="inlineStr">
        <is>
          <t>Business</t>
        </is>
      </c>
      <c r="G2639" s="36" t="inlineStr">
        <is>
          <t>Cycling</t>
        </is>
      </c>
      <c r="H2639" s="36" t="inlineStr">
        <is>
          <t>Compact Repair Kit</t>
        </is>
      </c>
      <c r="I2639" s="36" t="n">
        <v>4</v>
      </c>
      <c r="J2639" s="39" t="n">
        <v>40.64</v>
      </c>
      <c r="K2639" s="45" t="n">
        <v>0.1</v>
      </c>
      <c r="L2639" s="39" t="n">
        <v>16.26</v>
      </c>
      <c r="M2639" s="39">
        <f>I2639*J2639*(1-K2639)</f>
        <v/>
      </c>
      <c r="N2639" s="39">
        <f>I2639*L2639</f>
        <v/>
      </c>
      <c r="O2639" s="39">
        <f>M2639-N2639</f>
        <v/>
      </c>
      <c r="P2639" s="38">
        <f>IF(M2639=0,0,O2639/M2639)</f>
        <v/>
      </c>
      <c r="Q2639" s="36">
        <f>YEAR(B2639)</f>
        <v/>
      </c>
      <c r="R2639" s="36">
        <f>"Q"&amp;ROUNDUP(MONTH(B2639)/3,0)</f>
        <v/>
      </c>
      <c r="S2639" s="36">
        <f>MONTH(B2639)</f>
        <v/>
      </c>
      <c r="T2639" s="36">
        <f>TEXT(B2639,"mmm")</f>
        <v/>
      </c>
      <c r="U2639" s="36">
        <f>IF(AND(OR(sel_Region="All",C2639=sel_Region),OR(sel_Country="All",D2639=sel_Country),OR(sel_Channel="All",E2639=sel_Channel),OR(sel_Customer="All",F2639=sel_Customer),OR(sel_Category="All",G2639=sel_Category),OR(sel_Product="All",H2639=sel_Product),AND(S2639&gt;=m_From,S2639&lt;=m_To)),1,0)</f>
        <v/>
      </c>
      <c r="V2639" s="36">
        <f>IF(AND(OR(sel_Region="All",C2639=sel_Region),OR(sel_Channel="All",E2639=sel_Channel),OR(sel_Customer="All",F2639=sel_Customer),OR(sel_Category="All",G2639=sel_Category),OR(sel_Product="All",H2639=sel_Product),AND(S2639&gt;=m_From,S2639&lt;=m_To)),1,0)</f>
        <v/>
      </c>
      <c r="W2639" s="36">
        <f>IF(AND(OR(sel_Region="All",C2639=sel_Region),OR(sel_Country="All",D2639=sel_Country),OR(sel_Customer="All",F2639=sel_Customer),OR(sel_Category="All",G2639=sel_Category),OR(sel_Product="All",H2639=sel_Product),AND(S2639&gt;=m_From,S2639&lt;=m_To)),1,0)</f>
        <v/>
      </c>
      <c r="X2639" s="36">
        <f>IF(AND(OR(sel_Region="All",C2639=sel_Region),OR(sel_Country="All",D2639=sel_Country),OR(sel_Channel="All",E2639=sel_Channel),OR(sel_Category="All",G2639=sel_Category),OR(sel_Product="All",H2639=sel_Product),AND(S2639&gt;=m_From,S2639&lt;=m_To)),1,0)</f>
        <v/>
      </c>
      <c r="Y2639" s="36">
        <f>IF(AND(OR(sel_Region="All",C2639=sel_Region),OR(sel_Country="All",D2639=sel_Country),OR(sel_Channel="All",E2639=sel_Channel),OR(sel_Customer="All",F2639=sel_Customer),OR(sel_Product="All",H2639=sel_Product),AND(S2639&gt;=m_From,S2639&lt;=m_To)),1,0)</f>
        <v/>
      </c>
      <c r="Z2639" s="36">
        <f>IF(AND(OR(sel_Region="All",C2639=sel_Region),OR(sel_Country="All",D2639=sel_Country),OR(sel_Channel="All",E2639=sel_Channel),OR(sel_Customer="All",F2639=sel_Customer),OR(sel_Category="All",G2639=sel_Category),AND(S2639&gt;=m_From,S2639&lt;=m_To)),1,0)</f>
        <v/>
      </c>
      <c r="AA2639" s="36">
        <f>IF(AND(OR(sel_Region="All",C2639=sel_Region),OR(sel_Country="All",D2639=sel_Country),OR(sel_Channel="All",E2639=sel_Channel),OR(sel_Customer="All",F2639=sel_Customer),OR(sel_Category="All",G2639=sel_Category),OR(sel_Product="All",H2639=sel_Product)),1,0)</f>
        <v/>
      </c>
    </row>
    <row r="2640">
      <c r="A2640" s="36" t="inlineStr">
        <is>
          <t>03065</t>
        </is>
      </c>
      <c r="B2640" s="44" t="n">
        <v>46377</v>
      </c>
      <c r="C2640" s="36" t="inlineStr">
        <is>
          <t>Northern Europe</t>
        </is>
      </c>
      <c r="D2640" s="36" t="inlineStr">
        <is>
          <t>Finland</t>
        </is>
      </c>
      <c r="E2640" s="36" t="inlineStr">
        <is>
          <t>Online Store</t>
        </is>
      </c>
      <c r="F2640" s="36" t="inlineStr">
        <is>
          <t>New</t>
        </is>
      </c>
      <c r="G2640" s="36" t="inlineStr">
        <is>
          <t>Camping</t>
        </is>
      </c>
      <c r="H2640" s="36" t="inlineStr">
        <is>
          <t>Portable Camp Stove</t>
        </is>
      </c>
      <c r="I2640" s="36" t="n">
        <v>3</v>
      </c>
      <c r="J2640" s="39" t="n">
        <v>81.51000000000001</v>
      </c>
      <c r="K2640" s="45" t="n">
        <v>0.05</v>
      </c>
      <c r="L2640" s="39" t="n">
        <v>39.9</v>
      </c>
      <c r="M2640" s="39">
        <f>I2640*J2640*(1-K2640)</f>
        <v/>
      </c>
      <c r="N2640" s="39">
        <f>I2640*L2640</f>
        <v/>
      </c>
      <c r="O2640" s="39">
        <f>M2640-N2640</f>
        <v/>
      </c>
      <c r="P2640" s="38">
        <f>IF(M2640=0,0,O2640/M2640)</f>
        <v/>
      </c>
      <c r="Q2640" s="36">
        <f>YEAR(B2640)</f>
        <v/>
      </c>
      <c r="R2640" s="36">
        <f>"Q"&amp;ROUNDUP(MONTH(B2640)/3,0)</f>
        <v/>
      </c>
      <c r="S2640" s="36">
        <f>MONTH(B2640)</f>
        <v/>
      </c>
      <c r="T2640" s="36">
        <f>TEXT(B2640,"mmm")</f>
        <v/>
      </c>
      <c r="U2640" s="36">
        <f>IF(AND(OR(sel_Region="All",C2640=sel_Region),OR(sel_Country="All",D2640=sel_Country),OR(sel_Channel="All",E2640=sel_Channel),OR(sel_Customer="All",F2640=sel_Customer),OR(sel_Category="All",G2640=sel_Category),OR(sel_Product="All",H2640=sel_Product),AND(S2640&gt;=m_From,S2640&lt;=m_To)),1,0)</f>
        <v/>
      </c>
      <c r="V2640" s="36">
        <f>IF(AND(OR(sel_Region="All",C2640=sel_Region),OR(sel_Channel="All",E2640=sel_Channel),OR(sel_Customer="All",F2640=sel_Customer),OR(sel_Category="All",G2640=sel_Category),OR(sel_Product="All",H2640=sel_Product),AND(S2640&gt;=m_From,S2640&lt;=m_To)),1,0)</f>
        <v/>
      </c>
      <c r="W2640" s="36">
        <f>IF(AND(OR(sel_Region="All",C2640=sel_Region),OR(sel_Country="All",D2640=sel_Country),OR(sel_Customer="All",F2640=sel_Customer),OR(sel_Category="All",G2640=sel_Category),OR(sel_Product="All",H2640=sel_Product),AND(S2640&gt;=m_From,S2640&lt;=m_To)),1,0)</f>
        <v/>
      </c>
      <c r="X2640" s="36">
        <f>IF(AND(OR(sel_Region="All",C2640=sel_Region),OR(sel_Country="All",D2640=sel_Country),OR(sel_Channel="All",E2640=sel_Channel),OR(sel_Category="All",G2640=sel_Category),OR(sel_Product="All",H2640=sel_Product),AND(S2640&gt;=m_From,S2640&lt;=m_To)),1,0)</f>
        <v/>
      </c>
      <c r="Y2640" s="36">
        <f>IF(AND(OR(sel_Region="All",C2640=sel_Region),OR(sel_Country="All",D2640=sel_Country),OR(sel_Channel="All",E2640=sel_Channel),OR(sel_Customer="All",F2640=sel_Customer),OR(sel_Product="All",H2640=sel_Product),AND(S2640&gt;=m_From,S2640&lt;=m_To)),1,0)</f>
        <v/>
      </c>
      <c r="Z2640" s="36">
        <f>IF(AND(OR(sel_Region="All",C2640=sel_Region),OR(sel_Country="All",D2640=sel_Country),OR(sel_Channel="All",E2640=sel_Channel),OR(sel_Customer="All",F2640=sel_Customer),OR(sel_Category="All",G2640=sel_Category),AND(S2640&gt;=m_From,S2640&lt;=m_To)),1,0)</f>
        <v/>
      </c>
      <c r="AA2640" s="36">
        <f>IF(AND(OR(sel_Region="All",C2640=sel_Region),OR(sel_Country="All",D2640=sel_Country),OR(sel_Channel="All",E2640=sel_Channel),OR(sel_Customer="All",F2640=sel_Customer),OR(sel_Category="All",G2640=sel_Category),OR(sel_Product="All",H2640=sel_Product)),1,0)</f>
        <v/>
      </c>
    </row>
    <row r="2641">
      <c r="A2641" s="36" t="inlineStr">
        <is>
          <t>03365</t>
        </is>
      </c>
      <c r="B2641" s="44" t="n">
        <v>46377</v>
      </c>
      <c r="C2641" s="36" t="inlineStr">
        <is>
          <t>Western Europe</t>
        </is>
      </c>
      <c r="D2641" s="36" t="inlineStr">
        <is>
          <t>Netherlands</t>
        </is>
      </c>
      <c r="E2641" s="36" t="inlineStr">
        <is>
          <t>Retail Partners</t>
        </is>
      </c>
      <c r="F2641" s="36" t="inlineStr">
        <is>
          <t>New</t>
        </is>
      </c>
      <c r="G2641" s="36" t="inlineStr">
        <is>
          <t>Fitness</t>
        </is>
      </c>
      <c r="H2641" s="36" t="inlineStr">
        <is>
          <t>Weighted Vest</t>
        </is>
      </c>
      <c r="I2641" s="36" t="n">
        <v>2</v>
      </c>
      <c r="J2641" s="39" t="n">
        <v>122.4</v>
      </c>
      <c r="K2641" s="45" t="n">
        <v>0.1</v>
      </c>
      <c r="L2641" s="39" t="n">
        <v>71.09</v>
      </c>
      <c r="M2641" s="39">
        <f>I2641*J2641*(1-K2641)</f>
        <v/>
      </c>
      <c r="N2641" s="39">
        <f>I2641*L2641</f>
        <v/>
      </c>
      <c r="O2641" s="39">
        <f>M2641-N2641</f>
        <v/>
      </c>
      <c r="P2641" s="38">
        <f>IF(M2641=0,0,O2641/M2641)</f>
        <v/>
      </c>
      <c r="Q2641" s="36">
        <f>YEAR(B2641)</f>
        <v/>
      </c>
      <c r="R2641" s="36">
        <f>"Q"&amp;ROUNDUP(MONTH(B2641)/3,0)</f>
        <v/>
      </c>
      <c r="S2641" s="36">
        <f>MONTH(B2641)</f>
        <v/>
      </c>
      <c r="T2641" s="36">
        <f>TEXT(B2641,"mmm")</f>
        <v/>
      </c>
      <c r="U2641" s="36">
        <f>IF(AND(OR(sel_Region="All",C2641=sel_Region),OR(sel_Country="All",D2641=sel_Country),OR(sel_Channel="All",E2641=sel_Channel),OR(sel_Customer="All",F2641=sel_Customer),OR(sel_Category="All",G2641=sel_Category),OR(sel_Product="All",H2641=sel_Product),AND(S2641&gt;=m_From,S2641&lt;=m_To)),1,0)</f>
        <v/>
      </c>
      <c r="V2641" s="36">
        <f>IF(AND(OR(sel_Region="All",C2641=sel_Region),OR(sel_Channel="All",E2641=sel_Channel),OR(sel_Customer="All",F2641=sel_Customer),OR(sel_Category="All",G2641=sel_Category),OR(sel_Product="All",H2641=sel_Product),AND(S2641&gt;=m_From,S2641&lt;=m_To)),1,0)</f>
        <v/>
      </c>
      <c r="W2641" s="36">
        <f>IF(AND(OR(sel_Region="All",C2641=sel_Region),OR(sel_Country="All",D2641=sel_Country),OR(sel_Customer="All",F2641=sel_Customer),OR(sel_Category="All",G2641=sel_Category),OR(sel_Product="All",H2641=sel_Product),AND(S2641&gt;=m_From,S2641&lt;=m_To)),1,0)</f>
        <v/>
      </c>
      <c r="X2641" s="36">
        <f>IF(AND(OR(sel_Region="All",C2641=sel_Region),OR(sel_Country="All",D2641=sel_Country),OR(sel_Channel="All",E2641=sel_Channel),OR(sel_Category="All",G2641=sel_Category),OR(sel_Product="All",H2641=sel_Product),AND(S2641&gt;=m_From,S2641&lt;=m_To)),1,0)</f>
        <v/>
      </c>
      <c r="Y2641" s="36">
        <f>IF(AND(OR(sel_Region="All",C2641=sel_Region),OR(sel_Country="All",D2641=sel_Country),OR(sel_Channel="All",E2641=sel_Channel),OR(sel_Customer="All",F2641=sel_Customer),OR(sel_Product="All",H2641=sel_Product),AND(S2641&gt;=m_From,S2641&lt;=m_To)),1,0)</f>
        <v/>
      </c>
      <c r="Z2641" s="36">
        <f>IF(AND(OR(sel_Region="All",C2641=sel_Region),OR(sel_Country="All",D2641=sel_Country),OR(sel_Channel="All",E2641=sel_Channel),OR(sel_Customer="All",F2641=sel_Customer),OR(sel_Category="All",G2641=sel_Category),AND(S2641&gt;=m_From,S2641&lt;=m_To)),1,0)</f>
        <v/>
      </c>
      <c r="AA2641" s="36">
        <f>IF(AND(OR(sel_Region="All",C2641=sel_Region),OR(sel_Country="All",D2641=sel_Country),OR(sel_Channel="All",E2641=sel_Channel),OR(sel_Customer="All",F2641=sel_Customer),OR(sel_Category="All",G2641=sel_Category),OR(sel_Product="All",H2641=sel_Product)),1,0)</f>
        <v/>
      </c>
    </row>
    <row r="2642">
      <c r="A2642" s="36" t="inlineStr">
        <is>
          <t>04042</t>
        </is>
      </c>
      <c r="B2642" s="44" t="n">
        <v>46377</v>
      </c>
      <c r="C2642" s="36" t="inlineStr">
        <is>
          <t>Southern Europe</t>
        </is>
      </c>
      <c r="D2642" s="36" t="inlineStr">
        <is>
          <t>Portugal</t>
        </is>
      </c>
      <c r="E2642" s="36" t="inlineStr">
        <is>
          <t>Marketplace</t>
        </is>
      </c>
      <c r="F2642" s="36" t="inlineStr">
        <is>
          <t>Returning</t>
        </is>
      </c>
      <c r="G2642" s="36" t="inlineStr">
        <is>
          <t>Travel</t>
        </is>
      </c>
      <c r="H2642" s="36" t="inlineStr">
        <is>
          <t>Packing Cube Set</t>
        </is>
      </c>
      <c r="I2642" s="36" t="n">
        <v>1</v>
      </c>
      <c r="J2642" s="39" t="n">
        <v>45.94</v>
      </c>
      <c r="K2642" s="45" t="n">
        <v>0.05</v>
      </c>
      <c r="L2642" s="39" t="n">
        <v>18.1</v>
      </c>
      <c r="M2642" s="39">
        <f>I2642*J2642*(1-K2642)</f>
        <v/>
      </c>
      <c r="N2642" s="39">
        <f>I2642*L2642</f>
        <v/>
      </c>
      <c r="O2642" s="39">
        <f>M2642-N2642</f>
        <v/>
      </c>
      <c r="P2642" s="38">
        <f>IF(M2642=0,0,O2642/M2642)</f>
        <v/>
      </c>
      <c r="Q2642" s="36">
        <f>YEAR(B2642)</f>
        <v/>
      </c>
      <c r="R2642" s="36">
        <f>"Q"&amp;ROUNDUP(MONTH(B2642)/3,0)</f>
        <v/>
      </c>
      <c r="S2642" s="36">
        <f>MONTH(B2642)</f>
        <v/>
      </c>
      <c r="T2642" s="36">
        <f>TEXT(B2642,"mmm")</f>
        <v/>
      </c>
      <c r="U2642" s="36">
        <f>IF(AND(OR(sel_Region="All",C2642=sel_Region),OR(sel_Country="All",D2642=sel_Country),OR(sel_Channel="All",E2642=sel_Channel),OR(sel_Customer="All",F2642=sel_Customer),OR(sel_Category="All",G2642=sel_Category),OR(sel_Product="All",H2642=sel_Product),AND(S2642&gt;=m_From,S2642&lt;=m_To)),1,0)</f>
        <v/>
      </c>
      <c r="V2642" s="36">
        <f>IF(AND(OR(sel_Region="All",C2642=sel_Region),OR(sel_Channel="All",E2642=sel_Channel),OR(sel_Customer="All",F2642=sel_Customer),OR(sel_Category="All",G2642=sel_Category),OR(sel_Product="All",H2642=sel_Product),AND(S2642&gt;=m_From,S2642&lt;=m_To)),1,0)</f>
        <v/>
      </c>
      <c r="W2642" s="36">
        <f>IF(AND(OR(sel_Region="All",C2642=sel_Region),OR(sel_Country="All",D2642=sel_Country),OR(sel_Customer="All",F2642=sel_Customer),OR(sel_Category="All",G2642=sel_Category),OR(sel_Product="All",H2642=sel_Product),AND(S2642&gt;=m_From,S2642&lt;=m_To)),1,0)</f>
        <v/>
      </c>
      <c r="X2642" s="36">
        <f>IF(AND(OR(sel_Region="All",C2642=sel_Region),OR(sel_Country="All",D2642=sel_Country),OR(sel_Channel="All",E2642=sel_Channel),OR(sel_Category="All",G2642=sel_Category),OR(sel_Product="All",H2642=sel_Product),AND(S2642&gt;=m_From,S2642&lt;=m_To)),1,0)</f>
        <v/>
      </c>
      <c r="Y2642" s="36">
        <f>IF(AND(OR(sel_Region="All",C2642=sel_Region),OR(sel_Country="All",D2642=sel_Country),OR(sel_Channel="All",E2642=sel_Channel),OR(sel_Customer="All",F2642=sel_Customer),OR(sel_Product="All",H2642=sel_Product),AND(S2642&gt;=m_From,S2642&lt;=m_To)),1,0)</f>
        <v/>
      </c>
      <c r="Z2642" s="36">
        <f>IF(AND(OR(sel_Region="All",C2642=sel_Region),OR(sel_Country="All",D2642=sel_Country),OR(sel_Channel="All",E2642=sel_Channel),OR(sel_Customer="All",F2642=sel_Customer),OR(sel_Category="All",G2642=sel_Category),AND(S2642&gt;=m_From,S2642&lt;=m_To)),1,0)</f>
        <v/>
      </c>
      <c r="AA2642" s="36">
        <f>IF(AND(OR(sel_Region="All",C2642=sel_Region),OR(sel_Country="All",D2642=sel_Country),OR(sel_Channel="All",E2642=sel_Channel),OR(sel_Customer="All",F2642=sel_Customer),OR(sel_Category="All",G2642=sel_Category),OR(sel_Product="All",H2642=sel_Product)),1,0)</f>
        <v/>
      </c>
    </row>
    <row r="2643">
      <c r="A2643" s="36" t="inlineStr">
        <is>
          <t>04635</t>
        </is>
      </c>
      <c r="B2643" s="44" t="n">
        <v>46377</v>
      </c>
      <c r="C2643" s="36" t="inlineStr">
        <is>
          <t>Western Europe</t>
        </is>
      </c>
      <c r="D2643" s="36" t="inlineStr">
        <is>
          <t>France</t>
        </is>
      </c>
      <c r="E2643" s="36" t="inlineStr">
        <is>
          <t>Corporate</t>
        </is>
      </c>
      <c r="F2643" s="36" t="inlineStr">
        <is>
          <t>Returning</t>
        </is>
      </c>
      <c r="G2643" s="36" t="inlineStr">
        <is>
          <t>Camping</t>
        </is>
      </c>
      <c r="H2643" s="36" t="inlineStr">
        <is>
          <t>Trail Tent 2P</t>
        </is>
      </c>
      <c r="I2643" s="36" t="n">
        <v>15</v>
      </c>
      <c r="J2643" s="39" t="n">
        <v>196.89</v>
      </c>
      <c r="K2643" s="45" t="n">
        <v>0.15</v>
      </c>
      <c r="L2643" s="39" t="n">
        <v>105.09</v>
      </c>
      <c r="M2643" s="39">
        <f>I2643*J2643*(1-K2643)</f>
        <v/>
      </c>
      <c r="N2643" s="39">
        <f>I2643*L2643</f>
        <v/>
      </c>
      <c r="O2643" s="39">
        <f>M2643-N2643</f>
        <v/>
      </c>
      <c r="P2643" s="38">
        <f>IF(M2643=0,0,O2643/M2643)</f>
        <v/>
      </c>
      <c r="Q2643" s="36">
        <f>YEAR(B2643)</f>
        <v/>
      </c>
      <c r="R2643" s="36">
        <f>"Q"&amp;ROUNDUP(MONTH(B2643)/3,0)</f>
        <v/>
      </c>
      <c r="S2643" s="36">
        <f>MONTH(B2643)</f>
        <v/>
      </c>
      <c r="T2643" s="36">
        <f>TEXT(B2643,"mmm")</f>
        <v/>
      </c>
      <c r="U2643" s="36">
        <f>IF(AND(OR(sel_Region="All",C2643=sel_Region),OR(sel_Country="All",D2643=sel_Country),OR(sel_Channel="All",E2643=sel_Channel),OR(sel_Customer="All",F2643=sel_Customer),OR(sel_Category="All",G2643=sel_Category),OR(sel_Product="All",H2643=sel_Product),AND(S2643&gt;=m_From,S2643&lt;=m_To)),1,0)</f>
        <v/>
      </c>
      <c r="V2643" s="36">
        <f>IF(AND(OR(sel_Region="All",C2643=sel_Region),OR(sel_Channel="All",E2643=sel_Channel),OR(sel_Customer="All",F2643=sel_Customer),OR(sel_Category="All",G2643=sel_Category),OR(sel_Product="All",H2643=sel_Product),AND(S2643&gt;=m_From,S2643&lt;=m_To)),1,0)</f>
        <v/>
      </c>
      <c r="W2643" s="36">
        <f>IF(AND(OR(sel_Region="All",C2643=sel_Region),OR(sel_Country="All",D2643=sel_Country),OR(sel_Customer="All",F2643=sel_Customer),OR(sel_Category="All",G2643=sel_Category),OR(sel_Product="All",H2643=sel_Product),AND(S2643&gt;=m_From,S2643&lt;=m_To)),1,0)</f>
        <v/>
      </c>
      <c r="X2643" s="36">
        <f>IF(AND(OR(sel_Region="All",C2643=sel_Region),OR(sel_Country="All",D2643=sel_Country),OR(sel_Channel="All",E2643=sel_Channel),OR(sel_Category="All",G2643=sel_Category),OR(sel_Product="All",H2643=sel_Product),AND(S2643&gt;=m_From,S2643&lt;=m_To)),1,0)</f>
        <v/>
      </c>
      <c r="Y2643" s="36">
        <f>IF(AND(OR(sel_Region="All",C2643=sel_Region),OR(sel_Country="All",D2643=sel_Country),OR(sel_Channel="All",E2643=sel_Channel),OR(sel_Customer="All",F2643=sel_Customer),OR(sel_Product="All",H2643=sel_Product),AND(S2643&gt;=m_From,S2643&lt;=m_To)),1,0)</f>
        <v/>
      </c>
      <c r="Z2643" s="36">
        <f>IF(AND(OR(sel_Region="All",C2643=sel_Region),OR(sel_Country="All",D2643=sel_Country),OR(sel_Channel="All",E2643=sel_Channel),OR(sel_Customer="All",F2643=sel_Customer),OR(sel_Category="All",G2643=sel_Category),AND(S2643&gt;=m_From,S2643&lt;=m_To)),1,0)</f>
        <v/>
      </c>
      <c r="AA2643" s="36">
        <f>IF(AND(OR(sel_Region="All",C2643=sel_Region),OR(sel_Country="All",D2643=sel_Country),OR(sel_Channel="All",E2643=sel_Channel),OR(sel_Customer="All",F2643=sel_Customer),OR(sel_Category="All",G2643=sel_Category),OR(sel_Product="All",H2643=sel_Product)),1,0)</f>
        <v/>
      </c>
    </row>
    <row r="2644">
      <c r="A2644" s="36" t="inlineStr">
        <is>
          <t>04748</t>
        </is>
      </c>
      <c r="B2644" s="44" t="n">
        <v>46377</v>
      </c>
      <c r="C2644" s="36" t="inlineStr">
        <is>
          <t>Western Europe</t>
        </is>
      </c>
      <c r="D2644" s="36" t="inlineStr">
        <is>
          <t>France</t>
        </is>
      </c>
      <c r="E2644" s="36" t="inlineStr">
        <is>
          <t>Retail Partners</t>
        </is>
      </c>
      <c r="F2644" s="36" t="inlineStr">
        <is>
          <t>Business</t>
        </is>
      </c>
      <c r="G2644" s="36" t="inlineStr">
        <is>
          <t>Cycling</t>
        </is>
      </c>
      <c r="H2644" s="36" t="inlineStr">
        <is>
          <t>Trail Bike Light</t>
        </is>
      </c>
      <c r="I2644" s="36" t="n">
        <v>1</v>
      </c>
      <c r="J2644" s="39" t="n">
        <v>51.18</v>
      </c>
      <c r="K2644" s="45" t="n">
        <v>0.05</v>
      </c>
      <c r="L2644" s="39" t="n">
        <v>22.98</v>
      </c>
      <c r="M2644" s="39">
        <f>I2644*J2644*(1-K2644)</f>
        <v/>
      </c>
      <c r="N2644" s="39">
        <f>I2644*L2644</f>
        <v/>
      </c>
      <c r="O2644" s="39">
        <f>M2644-N2644</f>
        <v/>
      </c>
      <c r="P2644" s="38">
        <f>IF(M2644=0,0,O2644/M2644)</f>
        <v/>
      </c>
      <c r="Q2644" s="36">
        <f>YEAR(B2644)</f>
        <v/>
      </c>
      <c r="R2644" s="36">
        <f>"Q"&amp;ROUNDUP(MONTH(B2644)/3,0)</f>
        <v/>
      </c>
      <c r="S2644" s="36">
        <f>MONTH(B2644)</f>
        <v/>
      </c>
      <c r="T2644" s="36">
        <f>TEXT(B2644,"mmm")</f>
        <v/>
      </c>
      <c r="U2644" s="36">
        <f>IF(AND(OR(sel_Region="All",C2644=sel_Region),OR(sel_Country="All",D2644=sel_Country),OR(sel_Channel="All",E2644=sel_Channel),OR(sel_Customer="All",F2644=sel_Customer),OR(sel_Category="All",G2644=sel_Category),OR(sel_Product="All",H2644=sel_Product),AND(S2644&gt;=m_From,S2644&lt;=m_To)),1,0)</f>
        <v/>
      </c>
      <c r="V2644" s="36">
        <f>IF(AND(OR(sel_Region="All",C2644=sel_Region),OR(sel_Channel="All",E2644=sel_Channel),OR(sel_Customer="All",F2644=sel_Customer),OR(sel_Category="All",G2644=sel_Category),OR(sel_Product="All",H2644=sel_Product),AND(S2644&gt;=m_From,S2644&lt;=m_To)),1,0)</f>
        <v/>
      </c>
      <c r="W2644" s="36">
        <f>IF(AND(OR(sel_Region="All",C2644=sel_Region),OR(sel_Country="All",D2644=sel_Country),OR(sel_Customer="All",F2644=sel_Customer),OR(sel_Category="All",G2644=sel_Category),OR(sel_Product="All",H2644=sel_Product),AND(S2644&gt;=m_From,S2644&lt;=m_To)),1,0)</f>
        <v/>
      </c>
      <c r="X2644" s="36">
        <f>IF(AND(OR(sel_Region="All",C2644=sel_Region),OR(sel_Country="All",D2644=sel_Country),OR(sel_Channel="All",E2644=sel_Channel),OR(sel_Category="All",G2644=sel_Category),OR(sel_Product="All",H2644=sel_Product),AND(S2644&gt;=m_From,S2644&lt;=m_To)),1,0)</f>
        <v/>
      </c>
      <c r="Y2644" s="36">
        <f>IF(AND(OR(sel_Region="All",C2644=sel_Region),OR(sel_Country="All",D2644=sel_Country),OR(sel_Channel="All",E2644=sel_Channel),OR(sel_Customer="All",F2644=sel_Customer),OR(sel_Product="All",H2644=sel_Product),AND(S2644&gt;=m_From,S2644&lt;=m_To)),1,0)</f>
        <v/>
      </c>
      <c r="Z2644" s="36">
        <f>IF(AND(OR(sel_Region="All",C2644=sel_Region),OR(sel_Country="All",D2644=sel_Country),OR(sel_Channel="All",E2644=sel_Channel),OR(sel_Customer="All",F2644=sel_Customer),OR(sel_Category="All",G2644=sel_Category),AND(S2644&gt;=m_From,S2644&lt;=m_To)),1,0)</f>
        <v/>
      </c>
      <c r="AA2644" s="36">
        <f>IF(AND(OR(sel_Region="All",C2644=sel_Region),OR(sel_Country="All",D2644=sel_Country),OR(sel_Channel="All",E2644=sel_Channel),OR(sel_Customer="All",F2644=sel_Customer),OR(sel_Category="All",G2644=sel_Category),OR(sel_Product="All",H2644=sel_Product)),1,0)</f>
        <v/>
      </c>
    </row>
    <row r="2645">
      <c r="A2645" s="36" t="inlineStr">
        <is>
          <t>00342</t>
        </is>
      </c>
      <c r="B2645" s="44" t="n">
        <v>46378</v>
      </c>
      <c r="C2645" s="36" t="inlineStr">
        <is>
          <t>Central Europe</t>
        </is>
      </c>
      <c r="D2645" s="36" t="inlineStr">
        <is>
          <t>Austria</t>
        </is>
      </c>
      <c r="E2645" s="36" t="inlineStr">
        <is>
          <t>Retail Partners</t>
        </is>
      </c>
      <c r="F2645" s="36" t="inlineStr">
        <is>
          <t>New</t>
        </is>
      </c>
      <c r="G2645" s="36" t="inlineStr">
        <is>
          <t>Cycling</t>
        </is>
      </c>
      <c r="H2645" s="36" t="inlineStr">
        <is>
          <t>Compact Repair Kit</t>
        </is>
      </c>
      <c r="I2645" s="36" t="n">
        <v>3</v>
      </c>
      <c r="J2645" s="39" t="n">
        <v>40.78</v>
      </c>
      <c r="K2645" s="45" t="n">
        <v>0.15</v>
      </c>
      <c r="L2645" s="39" t="n">
        <v>16.73</v>
      </c>
      <c r="M2645" s="39">
        <f>I2645*J2645*(1-K2645)</f>
        <v/>
      </c>
      <c r="N2645" s="39">
        <f>I2645*L2645</f>
        <v/>
      </c>
      <c r="O2645" s="39">
        <f>M2645-N2645</f>
        <v/>
      </c>
      <c r="P2645" s="38">
        <f>IF(M2645=0,0,O2645/M2645)</f>
        <v/>
      </c>
      <c r="Q2645" s="36">
        <f>YEAR(B2645)</f>
        <v/>
      </c>
      <c r="R2645" s="36">
        <f>"Q"&amp;ROUNDUP(MONTH(B2645)/3,0)</f>
        <v/>
      </c>
      <c r="S2645" s="36">
        <f>MONTH(B2645)</f>
        <v/>
      </c>
      <c r="T2645" s="36">
        <f>TEXT(B2645,"mmm")</f>
        <v/>
      </c>
      <c r="U2645" s="36">
        <f>IF(AND(OR(sel_Region="All",C2645=sel_Region),OR(sel_Country="All",D2645=sel_Country),OR(sel_Channel="All",E2645=sel_Channel),OR(sel_Customer="All",F2645=sel_Customer),OR(sel_Category="All",G2645=sel_Category),OR(sel_Product="All",H2645=sel_Product),AND(S2645&gt;=m_From,S2645&lt;=m_To)),1,0)</f>
        <v/>
      </c>
      <c r="V2645" s="36">
        <f>IF(AND(OR(sel_Region="All",C2645=sel_Region),OR(sel_Channel="All",E2645=sel_Channel),OR(sel_Customer="All",F2645=sel_Customer),OR(sel_Category="All",G2645=sel_Category),OR(sel_Product="All",H2645=sel_Product),AND(S2645&gt;=m_From,S2645&lt;=m_To)),1,0)</f>
        <v/>
      </c>
      <c r="W2645" s="36">
        <f>IF(AND(OR(sel_Region="All",C2645=sel_Region),OR(sel_Country="All",D2645=sel_Country),OR(sel_Customer="All",F2645=sel_Customer),OR(sel_Category="All",G2645=sel_Category),OR(sel_Product="All",H2645=sel_Product),AND(S2645&gt;=m_From,S2645&lt;=m_To)),1,0)</f>
        <v/>
      </c>
      <c r="X2645" s="36">
        <f>IF(AND(OR(sel_Region="All",C2645=sel_Region),OR(sel_Country="All",D2645=sel_Country),OR(sel_Channel="All",E2645=sel_Channel),OR(sel_Category="All",G2645=sel_Category),OR(sel_Product="All",H2645=sel_Product),AND(S2645&gt;=m_From,S2645&lt;=m_To)),1,0)</f>
        <v/>
      </c>
      <c r="Y2645" s="36">
        <f>IF(AND(OR(sel_Region="All",C2645=sel_Region),OR(sel_Country="All",D2645=sel_Country),OR(sel_Channel="All",E2645=sel_Channel),OR(sel_Customer="All",F2645=sel_Customer),OR(sel_Product="All",H2645=sel_Product),AND(S2645&gt;=m_From,S2645&lt;=m_To)),1,0)</f>
        <v/>
      </c>
      <c r="Z2645" s="36">
        <f>IF(AND(OR(sel_Region="All",C2645=sel_Region),OR(sel_Country="All",D2645=sel_Country),OR(sel_Channel="All",E2645=sel_Channel),OR(sel_Customer="All",F2645=sel_Customer),OR(sel_Category="All",G2645=sel_Category),AND(S2645&gt;=m_From,S2645&lt;=m_To)),1,0)</f>
        <v/>
      </c>
      <c r="AA2645" s="36">
        <f>IF(AND(OR(sel_Region="All",C2645=sel_Region),OR(sel_Country="All",D2645=sel_Country),OR(sel_Channel="All",E2645=sel_Channel),OR(sel_Customer="All",F2645=sel_Customer),OR(sel_Category="All",G2645=sel_Category),OR(sel_Product="All",H2645=sel_Product)),1,0)</f>
        <v/>
      </c>
    </row>
    <row r="2646">
      <c r="A2646" s="36" t="inlineStr">
        <is>
          <t>00676</t>
        </is>
      </c>
      <c r="B2646" s="44" t="n">
        <v>46378</v>
      </c>
      <c r="C2646" s="36" t="inlineStr">
        <is>
          <t>Northern Europe</t>
        </is>
      </c>
      <c r="D2646" s="36" t="inlineStr">
        <is>
          <t>Ireland</t>
        </is>
      </c>
      <c r="E2646" s="36" t="inlineStr">
        <is>
          <t>Marketplace</t>
        </is>
      </c>
      <c r="F2646" s="36" t="inlineStr">
        <is>
          <t>Returning</t>
        </is>
      </c>
      <c r="G2646" s="36" t="inlineStr">
        <is>
          <t>Camping</t>
        </is>
      </c>
      <c r="H2646" s="36" t="inlineStr">
        <is>
          <t>Trail Tent 2P</t>
        </is>
      </c>
      <c r="I2646" s="36" t="n">
        <v>1</v>
      </c>
      <c r="J2646" s="39" t="n">
        <v>195.63</v>
      </c>
      <c r="K2646" s="45" t="n">
        <v>0.05</v>
      </c>
      <c r="L2646" s="39" t="n">
        <v>102.13</v>
      </c>
      <c r="M2646" s="39">
        <f>I2646*J2646*(1-K2646)</f>
        <v/>
      </c>
      <c r="N2646" s="39">
        <f>I2646*L2646</f>
        <v/>
      </c>
      <c r="O2646" s="39">
        <f>M2646-N2646</f>
        <v/>
      </c>
      <c r="P2646" s="38">
        <f>IF(M2646=0,0,O2646/M2646)</f>
        <v/>
      </c>
      <c r="Q2646" s="36">
        <f>YEAR(B2646)</f>
        <v/>
      </c>
      <c r="R2646" s="36">
        <f>"Q"&amp;ROUNDUP(MONTH(B2646)/3,0)</f>
        <v/>
      </c>
      <c r="S2646" s="36">
        <f>MONTH(B2646)</f>
        <v/>
      </c>
      <c r="T2646" s="36">
        <f>TEXT(B2646,"mmm")</f>
        <v/>
      </c>
      <c r="U2646" s="36">
        <f>IF(AND(OR(sel_Region="All",C2646=sel_Region),OR(sel_Country="All",D2646=sel_Country),OR(sel_Channel="All",E2646=sel_Channel),OR(sel_Customer="All",F2646=sel_Customer),OR(sel_Category="All",G2646=sel_Category),OR(sel_Product="All",H2646=sel_Product),AND(S2646&gt;=m_From,S2646&lt;=m_To)),1,0)</f>
        <v/>
      </c>
      <c r="V2646" s="36">
        <f>IF(AND(OR(sel_Region="All",C2646=sel_Region),OR(sel_Channel="All",E2646=sel_Channel),OR(sel_Customer="All",F2646=sel_Customer),OR(sel_Category="All",G2646=sel_Category),OR(sel_Product="All",H2646=sel_Product),AND(S2646&gt;=m_From,S2646&lt;=m_To)),1,0)</f>
        <v/>
      </c>
      <c r="W2646" s="36">
        <f>IF(AND(OR(sel_Region="All",C2646=sel_Region),OR(sel_Country="All",D2646=sel_Country),OR(sel_Customer="All",F2646=sel_Customer),OR(sel_Category="All",G2646=sel_Category),OR(sel_Product="All",H2646=sel_Product),AND(S2646&gt;=m_From,S2646&lt;=m_To)),1,0)</f>
        <v/>
      </c>
      <c r="X2646" s="36">
        <f>IF(AND(OR(sel_Region="All",C2646=sel_Region),OR(sel_Country="All",D2646=sel_Country),OR(sel_Channel="All",E2646=sel_Channel),OR(sel_Category="All",G2646=sel_Category),OR(sel_Product="All",H2646=sel_Product),AND(S2646&gt;=m_From,S2646&lt;=m_To)),1,0)</f>
        <v/>
      </c>
      <c r="Y2646" s="36">
        <f>IF(AND(OR(sel_Region="All",C2646=sel_Region),OR(sel_Country="All",D2646=sel_Country),OR(sel_Channel="All",E2646=sel_Channel),OR(sel_Customer="All",F2646=sel_Customer),OR(sel_Product="All",H2646=sel_Product),AND(S2646&gt;=m_From,S2646&lt;=m_To)),1,0)</f>
        <v/>
      </c>
      <c r="Z2646" s="36">
        <f>IF(AND(OR(sel_Region="All",C2646=sel_Region),OR(sel_Country="All",D2646=sel_Country),OR(sel_Channel="All",E2646=sel_Channel),OR(sel_Customer="All",F2646=sel_Customer),OR(sel_Category="All",G2646=sel_Category),AND(S2646&gt;=m_From,S2646&lt;=m_To)),1,0)</f>
        <v/>
      </c>
      <c r="AA2646" s="36">
        <f>IF(AND(OR(sel_Region="All",C2646=sel_Region),OR(sel_Country="All",D2646=sel_Country),OR(sel_Channel="All",E2646=sel_Channel),OR(sel_Customer="All",F2646=sel_Customer),OR(sel_Category="All",G2646=sel_Category),OR(sel_Product="All",H2646=sel_Product)),1,0)</f>
        <v/>
      </c>
    </row>
    <row r="2647">
      <c r="A2647" s="36" t="inlineStr">
        <is>
          <t>01912</t>
        </is>
      </c>
      <c r="B2647" s="44" t="n">
        <v>46378</v>
      </c>
      <c r="C2647" s="36" t="inlineStr">
        <is>
          <t>Northern Europe</t>
        </is>
      </c>
      <c r="D2647" s="36" t="inlineStr">
        <is>
          <t>Denmark</t>
        </is>
      </c>
      <c r="E2647" s="36" t="inlineStr">
        <is>
          <t>Corporate</t>
        </is>
      </c>
      <c r="F2647" s="36" t="inlineStr">
        <is>
          <t>Returning</t>
        </is>
      </c>
      <c r="G2647" s="36" t="inlineStr">
        <is>
          <t>Travel</t>
        </is>
      </c>
      <c r="H2647" s="36" t="inlineStr">
        <is>
          <t>Carry-On Duffel</t>
        </is>
      </c>
      <c r="I2647" s="36" t="n">
        <v>10</v>
      </c>
      <c r="J2647" s="39" t="n">
        <v>134.86</v>
      </c>
      <c r="K2647" s="45" t="n">
        <v>0.1</v>
      </c>
      <c r="L2647" s="39" t="n">
        <v>65.3</v>
      </c>
      <c r="M2647" s="39">
        <f>I2647*J2647*(1-K2647)</f>
        <v/>
      </c>
      <c r="N2647" s="39">
        <f>I2647*L2647</f>
        <v/>
      </c>
      <c r="O2647" s="39">
        <f>M2647-N2647</f>
        <v/>
      </c>
      <c r="P2647" s="38">
        <f>IF(M2647=0,0,O2647/M2647)</f>
        <v/>
      </c>
      <c r="Q2647" s="36">
        <f>YEAR(B2647)</f>
        <v/>
      </c>
      <c r="R2647" s="36">
        <f>"Q"&amp;ROUNDUP(MONTH(B2647)/3,0)</f>
        <v/>
      </c>
      <c r="S2647" s="36">
        <f>MONTH(B2647)</f>
        <v/>
      </c>
      <c r="T2647" s="36">
        <f>TEXT(B2647,"mmm")</f>
        <v/>
      </c>
      <c r="U2647" s="36">
        <f>IF(AND(OR(sel_Region="All",C2647=sel_Region),OR(sel_Country="All",D2647=sel_Country),OR(sel_Channel="All",E2647=sel_Channel),OR(sel_Customer="All",F2647=sel_Customer),OR(sel_Category="All",G2647=sel_Category),OR(sel_Product="All",H2647=sel_Product),AND(S2647&gt;=m_From,S2647&lt;=m_To)),1,0)</f>
        <v/>
      </c>
      <c r="V2647" s="36">
        <f>IF(AND(OR(sel_Region="All",C2647=sel_Region),OR(sel_Channel="All",E2647=sel_Channel),OR(sel_Customer="All",F2647=sel_Customer),OR(sel_Category="All",G2647=sel_Category),OR(sel_Product="All",H2647=sel_Product),AND(S2647&gt;=m_From,S2647&lt;=m_To)),1,0)</f>
        <v/>
      </c>
      <c r="W2647" s="36">
        <f>IF(AND(OR(sel_Region="All",C2647=sel_Region),OR(sel_Country="All",D2647=sel_Country),OR(sel_Customer="All",F2647=sel_Customer),OR(sel_Category="All",G2647=sel_Category),OR(sel_Product="All",H2647=sel_Product),AND(S2647&gt;=m_From,S2647&lt;=m_To)),1,0)</f>
        <v/>
      </c>
      <c r="X2647" s="36">
        <f>IF(AND(OR(sel_Region="All",C2647=sel_Region),OR(sel_Country="All",D2647=sel_Country),OR(sel_Channel="All",E2647=sel_Channel),OR(sel_Category="All",G2647=sel_Category),OR(sel_Product="All",H2647=sel_Product),AND(S2647&gt;=m_From,S2647&lt;=m_To)),1,0)</f>
        <v/>
      </c>
      <c r="Y2647" s="36">
        <f>IF(AND(OR(sel_Region="All",C2647=sel_Region),OR(sel_Country="All",D2647=sel_Country),OR(sel_Channel="All",E2647=sel_Channel),OR(sel_Customer="All",F2647=sel_Customer),OR(sel_Product="All",H2647=sel_Product),AND(S2647&gt;=m_From,S2647&lt;=m_To)),1,0)</f>
        <v/>
      </c>
      <c r="Z2647" s="36">
        <f>IF(AND(OR(sel_Region="All",C2647=sel_Region),OR(sel_Country="All",D2647=sel_Country),OR(sel_Channel="All",E2647=sel_Channel),OR(sel_Customer="All",F2647=sel_Customer),OR(sel_Category="All",G2647=sel_Category),AND(S2647&gt;=m_From,S2647&lt;=m_To)),1,0)</f>
        <v/>
      </c>
      <c r="AA2647" s="36">
        <f>IF(AND(OR(sel_Region="All",C2647=sel_Region),OR(sel_Country="All",D2647=sel_Country),OR(sel_Channel="All",E2647=sel_Channel),OR(sel_Customer="All",F2647=sel_Customer),OR(sel_Category="All",G2647=sel_Category),OR(sel_Product="All",H2647=sel_Product)),1,0)</f>
        <v/>
      </c>
    </row>
    <row r="2648">
      <c r="A2648" s="36" t="inlineStr">
        <is>
          <t>02065</t>
        </is>
      </c>
      <c r="B2648" s="44" t="n">
        <v>46378</v>
      </c>
      <c r="C2648" s="36" t="inlineStr">
        <is>
          <t>Western Europe</t>
        </is>
      </c>
      <c r="D2648" s="36" t="inlineStr">
        <is>
          <t>Belgium</t>
        </is>
      </c>
      <c r="E2648" s="36" t="inlineStr">
        <is>
          <t>Online Store</t>
        </is>
      </c>
      <c r="F2648" s="36" t="inlineStr">
        <is>
          <t>New</t>
        </is>
      </c>
      <c r="G2648" s="36" t="inlineStr">
        <is>
          <t>Cycling</t>
        </is>
      </c>
      <c r="H2648" s="36" t="inlineStr">
        <is>
          <t>Commuter Helmet</t>
        </is>
      </c>
      <c r="I2648" s="36" t="n">
        <v>1</v>
      </c>
      <c r="J2648" s="39" t="n">
        <v>83.15000000000001</v>
      </c>
      <c r="K2648" s="45" t="n">
        <v>0</v>
      </c>
      <c r="L2648" s="39" t="n">
        <v>42.3</v>
      </c>
      <c r="M2648" s="39">
        <f>I2648*J2648*(1-K2648)</f>
        <v/>
      </c>
      <c r="N2648" s="39">
        <f>I2648*L2648</f>
        <v/>
      </c>
      <c r="O2648" s="39">
        <f>M2648-N2648</f>
        <v/>
      </c>
      <c r="P2648" s="38">
        <f>IF(M2648=0,0,O2648/M2648)</f>
        <v/>
      </c>
      <c r="Q2648" s="36">
        <f>YEAR(B2648)</f>
        <v/>
      </c>
      <c r="R2648" s="36">
        <f>"Q"&amp;ROUNDUP(MONTH(B2648)/3,0)</f>
        <v/>
      </c>
      <c r="S2648" s="36">
        <f>MONTH(B2648)</f>
        <v/>
      </c>
      <c r="T2648" s="36">
        <f>TEXT(B2648,"mmm")</f>
        <v/>
      </c>
      <c r="U2648" s="36">
        <f>IF(AND(OR(sel_Region="All",C2648=sel_Region),OR(sel_Country="All",D2648=sel_Country),OR(sel_Channel="All",E2648=sel_Channel),OR(sel_Customer="All",F2648=sel_Customer),OR(sel_Category="All",G2648=sel_Category),OR(sel_Product="All",H2648=sel_Product),AND(S2648&gt;=m_From,S2648&lt;=m_To)),1,0)</f>
        <v/>
      </c>
      <c r="V2648" s="36">
        <f>IF(AND(OR(sel_Region="All",C2648=sel_Region),OR(sel_Channel="All",E2648=sel_Channel),OR(sel_Customer="All",F2648=sel_Customer),OR(sel_Category="All",G2648=sel_Category),OR(sel_Product="All",H2648=sel_Product),AND(S2648&gt;=m_From,S2648&lt;=m_To)),1,0)</f>
        <v/>
      </c>
      <c r="W2648" s="36">
        <f>IF(AND(OR(sel_Region="All",C2648=sel_Region),OR(sel_Country="All",D2648=sel_Country),OR(sel_Customer="All",F2648=sel_Customer),OR(sel_Category="All",G2648=sel_Category),OR(sel_Product="All",H2648=sel_Product),AND(S2648&gt;=m_From,S2648&lt;=m_To)),1,0)</f>
        <v/>
      </c>
      <c r="X2648" s="36">
        <f>IF(AND(OR(sel_Region="All",C2648=sel_Region),OR(sel_Country="All",D2648=sel_Country),OR(sel_Channel="All",E2648=sel_Channel),OR(sel_Category="All",G2648=sel_Category),OR(sel_Product="All",H2648=sel_Product),AND(S2648&gt;=m_From,S2648&lt;=m_To)),1,0)</f>
        <v/>
      </c>
      <c r="Y2648" s="36">
        <f>IF(AND(OR(sel_Region="All",C2648=sel_Region),OR(sel_Country="All",D2648=sel_Country),OR(sel_Channel="All",E2648=sel_Channel),OR(sel_Customer="All",F2648=sel_Customer),OR(sel_Product="All",H2648=sel_Product),AND(S2648&gt;=m_From,S2648&lt;=m_To)),1,0)</f>
        <v/>
      </c>
      <c r="Z2648" s="36">
        <f>IF(AND(OR(sel_Region="All",C2648=sel_Region),OR(sel_Country="All",D2648=sel_Country),OR(sel_Channel="All",E2648=sel_Channel),OR(sel_Customer="All",F2648=sel_Customer),OR(sel_Category="All",G2648=sel_Category),AND(S2648&gt;=m_From,S2648&lt;=m_To)),1,0)</f>
        <v/>
      </c>
      <c r="AA2648" s="36">
        <f>IF(AND(OR(sel_Region="All",C2648=sel_Region),OR(sel_Country="All",D2648=sel_Country),OR(sel_Channel="All",E2648=sel_Channel),OR(sel_Customer="All",F2648=sel_Customer),OR(sel_Category="All",G2648=sel_Category),OR(sel_Product="All",H2648=sel_Product)),1,0)</f>
        <v/>
      </c>
    </row>
    <row r="2649">
      <c r="A2649" s="36" t="inlineStr">
        <is>
          <t>03136</t>
        </is>
      </c>
      <c r="B2649" s="44" t="n">
        <v>46378</v>
      </c>
      <c r="C2649" s="36" t="inlineStr">
        <is>
          <t>Central Europe</t>
        </is>
      </c>
      <c r="D2649" s="36" t="inlineStr">
        <is>
          <t>Austria</t>
        </is>
      </c>
      <c r="E2649" s="36" t="inlineStr">
        <is>
          <t>Marketplace</t>
        </is>
      </c>
      <c r="F2649" s="36" t="inlineStr">
        <is>
          <t>Business</t>
        </is>
      </c>
      <c r="G2649" s="36" t="inlineStr">
        <is>
          <t>Cycling</t>
        </is>
      </c>
      <c r="H2649" s="36" t="inlineStr">
        <is>
          <t>Commuter Helmet</t>
        </is>
      </c>
      <c r="I2649" s="36" t="n">
        <v>1</v>
      </c>
      <c r="J2649" s="39" t="n">
        <v>81.59999999999999</v>
      </c>
      <c r="K2649" s="45" t="n">
        <v>0.15</v>
      </c>
      <c r="L2649" s="39" t="n">
        <v>42</v>
      </c>
      <c r="M2649" s="39">
        <f>I2649*J2649*(1-K2649)</f>
        <v/>
      </c>
      <c r="N2649" s="39">
        <f>I2649*L2649</f>
        <v/>
      </c>
      <c r="O2649" s="39">
        <f>M2649-N2649</f>
        <v/>
      </c>
      <c r="P2649" s="38">
        <f>IF(M2649=0,0,O2649/M2649)</f>
        <v/>
      </c>
      <c r="Q2649" s="36">
        <f>YEAR(B2649)</f>
        <v/>
      </c>
      <c r="R2649" s="36">
        <f>"Q"&amp;ROUNDUP(MONTH(B2649)/3,0)</f>
        <v/>
      </c>
      <c r="S2649" s="36">
        <f>MONTH(B2649)</f>
        <v/>
      </c>
      <c r="T2649" s="36">
        <f>TEXT(B2649,"mmm")</f>
        <v/>
      </c>
      <c r="U2649" s="36">
        <f>IF(AND(OR(sel_Region="All",C2649=sel_Region),OR(sel_Country="All",D2649=sel_Country),OR(sel_Channel="All",E2649=sel_Channel),OR(sel_Customer="All",F2649=sel_Customer),OR(sel_Category="All",G2649=sel_Category),OR(sel_Product="All",H2649=sel_Product),AND(S2649&gt;=m_From,S2649&lt;=m_To)),1,0)</f>
        <v/>
      </c>
      <c r="V2649" s="36">
        <f>IF(AND(OR(sel_Region="All",C2649=sel_Region),OR(sel_Channel="All",E2649=sel_Channel),OR(sel_Customer="All",F2649=sel_Customer),OR(sel_Category="All",G2649=sel_Category),OR(sel_Product="All",H2649=sel_Product),AND(S2649&gt;=m_From,S2649&lt;=m_To)),1,0)</f>
        <v/>
      </c>
      <c r="W2649" s="36">
        <f>IF(AND(OR(sel_Region="All",C2649=sel_Region),OR(sel_Country="All",D2649=sel_Country),OR(sel_Customer="All",F2649=sel_Customer),OR(sel_Category="All",G2649=sel_Category),OR(sel_Product="All",H2649=sel_Product),AND(S2649&gt;=m_From,S2649&lt;=m_To)),1,0)</f>
        <v/>
      </c>
      <c r="X2649" s="36">
        <f>IF(AND(OR(sel_Region="All",C2649=sel_Region),OR(sel_Country="All",D2649=sel_Country),OR(sel_Channel="All",E2649=sel_Channel),OR(sel_Category="All",G2649=sel_Category),OR(sel_Product="All",H2649=sel_Product),AND(S2649&gt;=m_From,S2649&lt;=m_To)),1,0)</f>
        <v/>
      </c>
      <c r="Y2649" s="36">
        <f>IF(AND(OR(sel_Region="All",C2649=sel_Region),OR(sel_Country="All",D2649=sel_Country),OR(sel_Channel="All",E2649=sel_Channel),OR(sel_Customer="All",F2649=sel_Customer),OR(sel_Product="All",H2649=sel_Product),AND(S2649&gt;=m_From,S2649&lt;=m_To)),1,0)</f>
        <v/>
      </c>
      <c r="Z2649" s="36">
        <f>IF(AND(OR(sel_Region="All",C2649=sel_Region),OR(sel_Country="All",D2649=sel_Country),OR(sel_Channel="All",E2649=sel_Channel),OR(sel_Customer="All",F2649=sel_Customer),OR(sel_Category="All",G2649=sel_Category),AND(S2649&gt;=m_From,S2649&lt;=m_To)),1,0)</f>
        <v/>
      </c>
      <c r="AA2649" s="36">
        <f>IF(AND(OR(sel_Region="All",C2649=sel_Region),OR(sel_Country="All",D2649=sel_Country),OR(sel_Channel="All",E2649=sel_Channel),OR(sel_Customer="All",F2649=sel_Customer),OR(sel_Category="All",G2649=sel_Category),OR(sel_Product="All",H2649=sel_Product)),1,0)</f>
        <v/>
      </c>
    </row>
    <row r="2650">
      <c r="A2650" s="36" t="inlineStr">
        <is>
          <t>03423</t>
        </is>
      </c>
      <c r="B2650" s="44" t="n">
        <v>46378</v>
      </c>
      <c r="C2650" s="36" t="inlineStr">
        <is>
          <t>Western Europe</t>
        </is>
      </c>
      <c r="D2650" s="36" t="inlineStr">
        <is>
          <t>Netherlands</t>
        </is>
      </c>
      <c r="E2650" s="36" t="inlineStr">
        <is>
          <t>Retail Partners</t>
        </is>
      </c>
      <c r="F2650" s="36" t="inlineStr">
        <is>
          <t>Business</t>
        </is>
      </c>
      <c r="G2650" s="36" t="inlineStr">
        <is>
          <t>Travel</t>
        </is>
      </c>
      <c r="H2650" s="36" t="inlineStr">
        <is>
          <t>Packing Cube Set</t>
        </is>
      </c>
      <c r="I2650" s="36" t="n">
        <v>5</v>
      </c>
      <c r="J2650" s="39" t="n">
        <v>47.67</v>
      </c>
      <c r="K2650" s="45" t="n">
        <v>0.1</v>
      </c>
      <c r="L2650" s="39" t="n">
        <v>17.84</v>
      </c>
      <c r="M2650" s="39">
        <f>I2650*J2650*(1-K2650)</f>
        <v/>
      </c>
      <c r="N2650" s="39">
        <f>I2650*L2650</f>
        <v/>
      </c>
      <c r="O2650" s="39">
        <f>M2650-N2650</f>
        <v/>
      </c>
      <c r="P2650" s="38">
        <f>IF(M2650=0,0,O2650/M2650)</f>
        <v/>
      </c>
      <c r="Q2650" s="36">
        <f>YEAR(B2650)</f>
        <v/>
      </c>
      <c r="R2650" s="36">
        <f>"Q"&amp;ROUNDUP(MONTH(B2650)/3,0)</f>
        <v/>
      </c>
      <c r="S2650" s="36">
        <f>MONTH(B2650)</f>
        <v/>
      </c>
      <c r="T2650" s="36">
        <f>TEXT(B2650,"mmm")</f>
        <v/>
      </c>
      <c r="U2650" s="36">
        <f>IF(AND(OR(sel_Region="All",C2650=sel_Region),OR(sel_Country="All",D2650=sel_Country),OR(sel_Channel="All",E2650=sel_Channel),OR(sel_Customer="All",F2650=sel_Customer),OR(sel_Category="All",G2650=sel_Category),OR(sel_Product="All",H2650=sel_Product),AND(S2650&gt;=m_From,S2650&lt;=m_To)),1,0)</f>
        <v/>
      </c>
      <c r="V2650" s="36">
        <f>IF(AND(OR(sel_Region="All",C2650=sel_Region),OR(sel_Channel="All",E2650=sel_Channel),OR(sel_Customer="All",F2650=sel_Customer),OR(sel_Category="All",G2650=sel_Category),OR(sel_Product="All",H2650=sel_Product),AND(S2650&gt;=m_From,S2650&lt;=m_To)),1,0)</f>
        <v/>
      </c>
      <c r="W2650" s="36">
        <f>IF(AND(OR(sel_Region="All",C2650=sel_Region),OR(sel_Country="All",D2650=sel_Country),OR(sel_Customer="All",F2650=sel_Customer),OR(sel_Category="All",G2650=sel_Category),OR(sel_Product="All",H2650=sel_Product),AND(S2650&gt;=m_From,S2650&lt;=m_To)),1,0)</f>
        <v/>
      </c>
      <c r="X2650" s="36">
        <f>IF(AND(OR(sel_Region="All",C2650=sel_Region),OR(sel_Country="All",D2650=sel_Country),OR(sel_Channel="All",E2650=sel_Channel),OR(sel_Category="All",G2650=sel_Category),OR(sel_Product="All",H2650=sel_Product),AND(S2650&gt;=m_From,S2650&lt;=m_To)),1,0)</f>
        <v/>
      </c>
      <c r="Y2650" s="36">
        <f>IF(AND(OR(sel_Region="All",C2650=sel_Region),OR(sel_Country="All",D2650=sel_Country),OR(sel_Channel="All",E2650=sel_Channel),OR(sel_Customer="All",F2650=sel_Customer),OR(sel_Product="All",H2650=sel_Product),AND(S2650&gt;=m_From,S2650&lt;=m_To)),1,0)</f>
        <v/>
      </c>
      <c r="Z2650" s="36">
        <f>IF(AND(OR(sel_Region="All",C2650=sel_Region),OR(sel_Country="All",D2650=sel_Country),OR(sel_Channel="All",E2650=sel_Channel),OR(sel_Customer="All",F2650=sel_Customer),OR(sel_Category="All",G2650=sel_Category),AND(S2650&gt;=m_From,S2650&lt;=m_To)),1,0)</f>
        <v/>
      </c>
      <c r="AA2650" s="36">
        <f>IF(AND(OR(sel_Region="All",C2650=sel_Region),OR(sel_Country="All",D2650=sel_Country),OR(sel_Channel="All",E2650=sel_Channel),OR(sel_Customer="All",F2650=sel_Customer),OR(sel_Category="All",G2650=sel_Category),OR(sel_Product="All",H2650=sel_Product)),1,0)</f>
        <v/>
      </c>
    </row>
    <row r="2651">
      <c r="A2651" s="36" t="inlineStr">
        <is>
          <t>03746</t>
        </is>
      </c>
      <c r="B2651" s="44" t="n">
        <v>46378</v>
      </c>
      <c r="C2651" s="36" t="inlineStr">
        <is>
          <t>Western Europe</t>
        </is>
      </c>
      <c r="D2651" s="36" t="inlineStr">
        <is>
          <t>Netherlands</t>
        </is>
      </c>
      <c r="E2651" s="36" t="inlineStr">
        <is>
          <t>Retail Partners</t>
        </is>
      </c>
      <c r="F2651" s="36" t="inlineStr">
        <is>
          <t>Business</t>
        </is>
      </c>
      <c r="G2651" s="36" t="inlineStr">
        <is>
          <t>Cycling</t>
        </is>
      </c>
      <c r="H2651" s="36" t="inlineStr">
        <is>
          <t>Trail Bike Light</t>
        </is>
      </c>
      <c r="I2651" s="36" t="n">
        <v>2</v>
      </c>
      <c r="J2651" s="39" t="n">
        <v>50.96</v>
      </c>
      <c r="K2651" s="45" t="n">
        <v>0.15</v>
      </c>
      <c r="L2651" s="39" t="n">
        <v>22.59</v>
      </c>
      <c r="M2651" s="39">
        <f>I2651*J2651*(1-K2651)</f>
        <v/>
      </c>
      <c r="N2651" s="39">
        <f>I2651*L2651</f>
        <v/>
      </c>
      <c r="O2651" s="39">
        <f>M2651-N2651</f>
        <v/>
      </c>
      <c r="P2651" s="38">
        <f>IF(M2651=0,0,O2651/M2651)</f>
        <v/>
      </c>
      <c r="Q2651" s="36">
        <f>YEAR(B2651)</f>
        <v/>
      </c>
      <c r="R2651" s="36">
        <f>"Q"&amp;ROUNDUP(MONTH(B2651)/3,0)</f>
        <v/>
      </c>
      <c r="S2651" s="36">
        <f>MONTH(B2651)</f>
        <v/>
      </c>
      <c r="T2651" s="36">
        <f>TEXT(B2651,"mmm")</f>
        <v/>
      </c>
      <c r="U2651" s="36">
        <f>IF(AND(OR(sel_Region="All",C2651=sel_Region),OR(sel_Country="All",D2651=sel_Country),OR(sel_Channel="All",E2651=sel_Channel),OR(sel_Customer="All",F2651=sel_Customer),OR(sel_Category="All",G2651=sel_Category),OR(sel_Product="All",H2651=sel_Product),AND(S2651&gt;=m_From,S2651&lt;=m_To)),1,0)</f>
        <v/>
      </c>
      <c r="V2651" s="36">
        <f>IF(AND(OR(sel_Region="All",C2651=sel_Region),OR(sel_Channel="All",E2651=sel_Channel),OR(sel_Customer="All",F2651=sel_Customer),OR(sel_Category="All",G2651=sel_Category),OR(sel_Product="All",H2651=sel_Product),AND(S2651&gt;=m_From,S2651&lt;=m_To)),1,0)</f>
        <v/>
      </c>
      <c r="W2651" s="36">
        <f>IF(AND(OR(sel_Region="All",C2651=sel_Region),OR(sel_Country="All",D2651=sel_Country),OR(sel_Customer="All",F2651=sel_Customer),OR(sel_Category="All",G2651=sel_Category),OR(sel_Product="All",H2651=sel_Product),AND(S2651&gt;=m_From,S2651&lt;=m_To)),1,0)</f>
        <v/>
      </c>
      <c r="X2651" s="36">
        <f>IF(AND(OR(sel_Region="All",C2651=sel_Region),OR(sel_Country="All",D2651=sel_Country),OR(sel_Channel="All",E2651=sel_Channel),OR(sel_Category="All",G2651=sel_Category),OR(sel_Product="All",H2651=sel_Product),AND(S2651&gt;=m_From,S2651&lt;=m_To)),1,0)</f>
        <v/>
      </c>
      <c r="Y2651" s="36">
        <f>IF(AND(OR(sel_Region="All",C2651=sel_Region),OR(sel_Country="All",D2651=sel_Country),OR(sel_Channel="All",E2651=sel_Channel),OR(sel_Customer="All",F2651=sel_Customer),OR(sel_Product="All",H2651=sel_Product),AND(S2651&gt;=m_From,S2651&lt;=m_To)),1,0)</f>
        <v/>
      </c>
      <c r="Z2651" s="36">
        <f>IF(AND(OR(sel_Region="All",C2651=sel_Region),OR(sel_Country="All",D2651=sel_Country),OR(sel_Channel="All",E2651=sel_Channel),OR(sel_Customer="All",F2651=sel_Customer),OR(sel_Category="All",G2651=sel_Category),AND(S2651&gt;=m_From,S2651&lt;=m_To)),1,0)</f>
        <v/>
      </c>
      <c r="AA2651" s="36">
        <f>IF(AND(OR(sel_Region="All",C2651=sel_Region),OR(sel_Country="All",D2651=sel_Country),OR(sel_Channel="All",E2651=sel_Channel),OR(sel_Customer="All",F2651=sel_Customer),OR(sel_Category="All",G2651=sel_Category),OR(sel_Product="All",H2651=sel_Product)),1,0)</f>
        <v/>
      </c>
    </row>
    <row r="2652">
      <c r="A2652" s="36" t="inlineStr">
        <is>
          <t>01198</t>
        </is>
      </c>
      <c r="B2652" s="44" t="n">
        <v>46379</v>
      </c>
      <c r="C2652" s="36" t="inlineStr">
        <is>
          <t>Western Europe</t>
        </is>
      </c>
      <c r="D2652" s="36" t="inlineStr">
        <is>
          <t>Netherlands</t>
        </is>
      </c>
      <c r="E2652" s="36" t="inlineStr">
        <is>
          <t>Retail Partners</t>
        </is>
      </c>
      <c r="F2652" s="36" t="inlineStr">
        <is>
          <t>New</t>
        </is>
      </c>
      <c r="G2652" s="36" t="inlineStr">
        <is>
          <t>Travel</t>
        </is>
      </c>
      <c r="H2652" s="36" t="inlineStr">
        <is>
          <t>Packing Cube Set</t>
        </is>
      </c>
      <c r="I2652" s="36" t="n">
        <v>5</v>
      </c>
      <c r="J2652" s="39" t="n">
        <v>47.69</v>
      </c>
      <c r="K2652" s="45" t="n">
        <v>0.05</v>
      </c>
      <c r="L2652" s="39" t="n">
        <v>18.23</v>
      </c>
      <c r="M2652" s="39">
        <f>I2652*J2652*(1-K2652)</f>
        <v/>
      </c>
      <c r="N2652" s="39">
        <f>I2652*L2652</f>
        <v/>
      </c>
      <c r="O2652" s="39">
        <f>M2652-N2652</f>
        <v/>
      </c>
      <c r="P2652" s="38">
        <f>IF(M2652=0,0,O2652/M2652)</f>
        <v/>
      </c>
      <c r="Q2652" s="36">
        <f>YEAR(B2652)</f>
        <v/>
      </c>
      <c r="R2652" s="36">
        <f>"Q"&amp;ROUNDUP(MONTH(B2652)/3,0)</f>
        <v/>
      </c>
      <c r="S2652" s="36">
        <f>MONTH(B2652)</f>
        <v/>
      </c>
      <c r="T2652" s="36">
        <f>TEXT(B2652,"mmm")</f>
        <v/>
      </c>
      <c r="U2652" s="36">
        <f>IF(AND(OR(sel_Region="All",C2652=sel_Region),OR(sel_Country="All",D2652=sel_Country),OR(sel_Channel="All",E2652=sel_Channel),OR(sel_Customer="All",F2652=sel_Customer),OR(sel_Category="All",G2652=sel_Category),OR(sel_Product="All",H2652=sel_Product),AND(S2652&gt;=m_From,S2652&lt;=m_To)),1,0)</f>
        <v/>
      </c>
      <c r="V2652" s="36">
        <f>IF(AND(OR(sel_Region="All",C2652=sel_Region),OR(sel_Channel="All",E2652=sel_Channel),OR(sel_Customer="All",F2652=sel_Customer),OR(sel_Category="All",G2652=sel_Category),OR(sel_Product="All",H2652=sel_Product),AND(S2652&gt;=m_From,S2652&lt;=m_To)),1,0)</f>
        <v/>
      </c>
      <c r="W2652" s="36">
        <f>IF(AND(OR(sel_Region="All",C2652=sel_Region),OR(sel_Country="All",D2652=sel_Country),OR(sel_Customer="All",F2652=sel_Customer),OR(sel_Category="All",G2652=sel_Category),OR(sel_Product="All",H2652=sel_Product),AND(S2652&gt;=m_From,S2652&lt;=m_To)),1,0)</f>
        <v/>
      </c>
      <c r="X2652" s="36">
        <f>IF(AND(OR(sel_Region="All",C2652=sel_Region),OR(sel_Country="All",D2652=sel_Country),OR(sel_Channel="All",E2652=sel_Channel),OR(sel_Category="All",G2652=sel_Category),OR(sel_Product="All",H2652=sel_Product),AND(S2652&gt;=m_From,S2652&lt;=m_To)),1,0)</f>
        <v/>
      </c>
      <c r="Y2652" s="36">
        <f>IF(AND(OR(sel_Region="All",C2652=sel_Region),OR(sel_Country="All",D2652=sel_Country),OR(sel_Channel="All",E2652=sel_Channel),OR(sel_Customer="All",F2652=sel_Customer),OR(sel_Product="All",H2652=sel_Product),AND(S2652&gt;=m_From,S2652&lt;=m_To)),1,0)</f>
        <v/>
      </c>
      <c r="Z2652" s="36">
        <f>IF(AND(OR(sel_Region="All",C2652=sel_Region),OR(sel_Country="All",D2652=sel_Country),OR(sel_Channel="All",E2652=sel_Channel),OR(sel_Customer="All",F2652=sel_Customer),OR(sel_Category="All",G2652=sel_Category),AND(S2652&gt;=m_From,S2652&lt;=m_To)),1,0)</f>
        <v/>
      </c>
      <c r="AA2652" s="36">
        <f>IF(AND(OR(sel_Region="All",C2652=sel_Region),OR(sel_Country="All",D2652=sel_Country),OR(sel_Channel="All",E2652=sel_Channel),OR(sel_Customer="All",F2652=sel_Customer),OR(sel_Category="All",G2652=sel_Category),OR(sel_Product="All",H2652=sel_Product)),1,0)</f>
        <v/>
      </c>
    </row>
    <row r="2653">
      <c r="A2653" s="36" t="inlineStr">
        <is>
          <t>02123</t>
        </is>
      </c>
      <c r="B2653" s="44" t="n">
        <v>46379</v>
      </c>
      <c r="C2653" s="36" t="inlineStr">
        <is>
          <t>Western Europe</t>
        </is>
      </c>
      <c r="D2653" s="36" t="inlineStr">
        <is>
          <t>United Kingdom</t>
        </is>
      </c>
      <c r="E2653" s="36" t="inlineStr">
        <is>
          <t>Online Store</t>
        </is>
      </c>
      <c r="F2653" s="36" t="inlineStr">
        <is>
          <t>Returning</t>
        </is>
      </c>
      <c r="G2653" s="36" t="inlineStr">
        <is>
          <t>Hiking</t>
        </is>
      </c>
      <c r="H2653" s="36" t="inlineStr">
        <is>
          <t>Hiking Daypack 20L</t>
        </is>
      </c>
      <c r="I2653" s="36" t="n">
        <v>1</v>
      </c>
      <c r="J2653" s="39" t="n">
        <v>91.08</v>
      </c>
      <c r="K2653" s="45" t="n">
        <v>0.2</v>
      </c>
      <c r="L2653" s="39" t="n">
        <v>46.14</v>
      </c>
      <c r="M2653" s="39">
        <f>I2653*J2653*(1-K2653)</f>
        <v/>
      </c>
      <c r="N2653" s="39">
        <f>I2653*L2653</f>
        <v/>
      </c>
      <c r="O2653" s="39">
        <f>M2653-N2653</f>
        <v/>
      </c>
      <c r="P2653" s="38">
        <f>IF(M2653=0,0,O2653/M2653)</f>
        <v/>
      </c>
      <c r="Q2653" s="36">
        <f>YEAR(B2653)</f>
        <v/>
      </c>
      <c r="R2653" s="36">
        <f>"Q"&amp;ROUNDUP(MONTH(B2653)/3,0)</f>
        <v/>
      </c>
      <c r="S2653" s="36">
        <f>MONTH(B2653)</f>
        <v/>
      </c>
      <c r="T2653" s="36">
        <f>TEXT(B2653,"mmm")</f>
        <v/>
      </c>
      <c r="U2653" s="36">
        <f>IF(AND(OR(sel_Region="All",C2653=sel_Region),OR(sel_Country="All",D2653=sel_Country),OR(sel_Channel="All",E2653=sel_Channel),OR(sel_Customer="All",F2653=sel_Customer),OR(sel_Category="All",G2653=sel_Category),OR(sel_Product="All",H2653=sel_Product),AND(S2653&gt;=m_From,S2653&lt;=m_To)),1,0)</f>
        <v/>
      </c>
      <c r="V2653" s="36">
        <f>IF(AND(OR(sel_Region="All",C2653=sel_Region),OR(sel_Channel="All",E2653=sel_Channel),OR(sel_Customer="All",F2653=sel_Customer),OR(sel_Category="All",G2653=sel_Category),OR(sel_Product="All",H2653=sel_Product),AND(S2653&gt;=m_From,S2653&lt;=m_To)),1,0)</f>
        <v/>
      </c>
      <c r="W2653" s="36">
        <f>IF(AND(OR(sel_Region="All",C2653=sel_Region),OR(sel_Country="All",D2653=sel_Country),OR(sel_Customer="All",F2653=sel_Customer),OR(sel_Category="All",G2653=sel_Category),OR(sel_Product="All",H2653=sel_Product),AND(S2653&gt;=m_From,S2653&lt;=m_To)),1,0)</f>
        <v/>
      </c>
      <c r="X2653" s="36">
        <f>IF(AND(OR(sel_Region="All",C2653=sel_Region),OR(sel_Country="All",D2653=sel_Country),OR(sel_Channel="All",E2653=sel_Channel),OR(sel_Category="All",G2653=sel_Category),OR(sel_Product="All",H2653=sel_Product),AND(S2653&gt;=m_From,S2653&lt;=m_To)),1,0)</f>
        <v/>
      </c>
      <c r="Y2653" s="36">
        <f>IF(AND(OR(sel_Region="All",C2653=sel_Region),OR(sel_Country="All",D2653=sel_Country),OR(sel_Channel="All",E2653=sel_Channel),OR(sel_Customer="All",F2653=sel_Customer),OR(sel_Product="All",H2653=sel_Product),AND(S2653&gt;=m_From,S2653&lt;=m_To)),1,0)</f>
        <v/>
      </c>
      <c r="Z2653" s="36">
        <f>IF(AND(OR(sel_Region="All",C2653=sel_Region),OR(sel_Country="All",D2653=sel_Country),OR(sel_Channel="All",E2653=sel_Channel),OR(sel_Customer="All",F2653=sel_Customer),OR(sel_Category="All",G2653=sel_Category),AND(S2653&gt;=m_From,S2653&lt;=m_To)),1,0)</f>
        <v/>
      </c>
      <c r="AA2653" s="36">
        <f>IF(AND(OR(sel_Region="All",C2653=sel_Region),OR(sel_Country="All",D2653=sel_Country),OR(sel_Channel="All",E2653=sel_Channel),OR(sel_Customer="All",F2653=sel_Customer),OR(sel_Category="All",G2653=sel_Category),OR(sel_Product="All",H2653=sel_Product)),1,0)</f>
        <v/>
      </c>
    </row>
    <row r="2654">
      <c r="A2654" s="36" t="inlineStr">
        <is>
          <t>02586</t>
        </is>
      </c>
      <c r="B2654" s="44" t="n">
        <v>46379</v>
      </c>
      <c r="C2654" s="36" t="inlineStr">
        <is>
          <t>Central Europe</t>
        </is>
      </c>
      <c r="D2654" s="36" t="inlineStr">
        <is>
          <t>Poland</t>
        </is>
      </c>
      <c r="E2654" s="36" t="inlineStr">
        <is>
          <t>Retail Partners</t>
        </is>
      </c>
      <c r="F2654" s="36" t="inlineStr">
        <is>
          <t>New</t>
        </is>
      </c>
      <c r="G2654" s="36" t="inlineStr">
        <is>
          <t>Hiking</t>
        </is>
      </c>
      <c r="H2654" s="36" t="inlineStr">
        <is>
          <t>Trail Boots</t>
        </is>
      </c>
      <c r="I2654" s="36" t="n">
        <v>1</v>
      </c>
      <c r="J2654" s="39" t="n">
        <v>143.84</v>
      </c>
      <c r="K2654" s="45" t="n">
        <v>0.15</v>
      </c>
      <c r="L2654" s="39" t="n">
        <v>78.17</v>
      </c>
      <c r="M2654" s="39">
        <f>I2654*J2654*(1-K2654)</f>
        <v/>
      </c>
      <c r="N2654" s="39">
        <f>I2654*L2654</f>
        <v/>
      </c>
      <c r="O2654" s="39">
        <f>M2654-N2654</f>
        <v/>
      </c>
      <c r="P2654" s="38">
        <f>IF(M2654=0,0,O2654/M2654)</f>
        <v/>
      </c>
      <c r="Q2654" s="36">
        <f>YEAR(B2654)</f>
        <v/>
      </c>
      <c r="R2654" s="36">
        <f>"Q"&amp;ROUNDUP(MONTH(B2654)/3,0)</f>
        <v/>
      </c>
      <c r="S2654" s="36">
        <f>MONTH(B2654)</f>
        <v/>
      </c>
      <c r="T2654" s="36">
        <f>TEXT(B2654,"mmm")</f>
        <v/>
      </c>
      <c r="U2654" s="36">
        <f>IF(AND(OR(sel_Region="All",C2654=sel_Region),OR(sel_Country="All",D2654=sel_Country),OR(sel_Channel="All",E2654=sel_Channel),OR(sel_Customer="All",F2654=sel_Customer),OR(sel_Category="All",G2654=sel_Category),OR(sel_Product="All",H2654=sel_Product),AND(S2654&gt;=m_From,S2654&lt;=m_To)),1,0)</f>
        <v/>
      </c>
      <c r="V2654" s="36">
        <f>IF(AND(OR(sel_Region="All",C2654=sel_Region),OR(sel_Channel="All",E2654=sel_Channel),OR(sel_Customer="All",F2654=sel_Customer),OR(sel_Category="All",G2654=sel_Category),OR(sel_Product="All",H2654=sel_Product),AND(S2654&gt;=m_From,S2654&lt;=m_To)),1,0)</f>
        <v/>
      </c>
      <c r="W2654" s="36">
        <f>IF(AND(OR(sel_Region="All",C2654=sel_Region),OR(sel_Country="All",D2654=sel_Country),OR(sel_Customer="All",F2654=sel_Customer),OR(sel_Category="All",G2654=sel_Category),OR(sel_Product="All",H2654=sel_Product),AND(S2654&gt;=m_From,S2654&lt;=m_To)),1,0)</f>
        <v/>
      </c>
      <c r="X2654" s="36">
        <f>IF(AND(OR(sel_Region="All",C2654=sel_Region),OR(sel_Country="All",D2654=sel_Country),OR(sel_Channel="All",E2654=sel_Channel),OR(sel_Category="All",G2654=sel_Category),OR(sel_Product="All",H2654=sel_Product),AND(S2654&gt;=m_From,S2654&lt;=m_To)),1,0)</f>
        <v/>
      </c>
      <c r="Y2654" s="36">
        <f>IF(AND(OR(sel_Region="All",C2654=sel_Region),OR(sel_Country="All",D2654=sel_Country),OR(sel_Channel="All",E2654=sel_Channel),OR(sel_Customer="All",F2654=sel_Customer),OR(sel_Product="All",H2654=sel_Product),AND(S2654&gt;=m_From,S2654&lt;=m_To)),1,0)</f>
        <v/>
      </c>
      <c r="Z2654" s="36">
        <f>IF(AND(OR(sel_Region="All",C2654=sel_Region),OR(sel_Country="All",D2654=sel_Country),OR(sel_Channel="All",E2654=sel_Channel),OR(sel_Customer="All",F2654=sel_Customer),OR(sel_Category="All",G2654=sel_Category),AND(S2654&gt;=m_From,S2654&lt;=m_To)),1,0)</f>
        <v/>
      </c>
      <c r="AA2654" s="36">
        <f>IF(AND(OR(sel_Region="All",C2654=sel_Region),OR(sel_Country="All",D2654=sel_Country),OR(sel_Channel="All",E2654=sel_Channel),OR(sel_Customer="All",F2654=sel_Customer),OR(sel_Category="All",G2654=sel_Category),OR(sel_Product="All",H2654=sel_Product)),1,0)</f>
        <v/>
      </c>
    </row>
    <row r="2655">
      <c r="A2655" s="36" t="inlineStr">
        <is>
          <t>03048</t>
        </is>
      </c>
      <c r="B2655" s="44" t="n">
        <v>46379</v>
      </c>
      <c r="C2655" s="36" t="inlineStr">
        <is>
          <t>Central Europe</t>
        </is>
      </c>
      <c r="D2655" s="36" t="inlineStr">
        <is>
          <t>Austria</t>
        </is>
      </c>
      <c r="E2655" s="36" t="inlineStr">
        <is>
          <t>Online Store</t>
        </is>
      </c>
      <c r="F2655" s="36" t="inlineStr">
        <is>
          <t>New</t>
        </is>
      </c>
      <c r="G2655" s="36" t="inlineStr">
        <is>
          <t>Cycling</t>
        </is>
      </c>
      <c r="H2655" s="36" t="inlineStr">
        <is>
          <t>Cycling Pack 12L</t>
        </is>
      </c>
      <c r="I2655" s="36" t="n">
        <v>1</v>
      </c>
      <c r="J2655" s="39" t="n">
        <v>102.66</v>
      </c>
      <c r="K2655" s="45" t="n">
        <v>0.05</v>
      </c>
      <c r="L2655" s="39" t="n">
        <v>49.2</v>
      </c>
      <c r="M2655" s="39">
        <f>I2655*J2655*(1-K2655)</f>
        <v/>
      </c>
      <c r="N2655" s="39">
        <f>I2655*L2655</f>
        <v/>
      </c>
      <c r="O2655" s="39">
        <f>M2655-N2655</f>
        <v/>
      </c>
      <c r="P2655" s="38">
        <f>IF(M2655=0,0,O2655/M2655)</f>
        <v/>
      </c>
      <c r="Q2655" s="36">
        <f>YEAR(B2655)</f>
        <v/>
      </c>
      <c r="R2655" s="36">
        <f>"Q"&amp;ROUNDUP(MONTH(B2655)/3,0)</f>
        <v/>
      </c>
      <c r="S2655" s="36">
        <f>MONTH(B2655)</f>
        <v/>
      </c>
      <c r="T2655" s="36">
        <f>TEXT(B2655,"mmm")</f>
        <v/>
      </c>
      <c r="U2655" s="36">
        <f>IF(AND(OR(sel_Region="All",C2655=sel_Region),OR(sel_Country="All",D2655=sel_Country),OR(sel_Channel="All",E2655=sel_Channel),OR(sel_Customer="All",F2655=sel_Customer),OR(sel_Category="All",G2655=sel_Category),OR(sel_Product="All",H2655=sel_Product),AND(S2655&gt;=m_From,S2655&lt;=m_To)),1,0)</f>
        <v/>
      </c>
      <c r="V2655" s="36">
        <f>IF(AND(OR(sel_Region="All",C2655=sel_Region),OR(sel_Channel="All",E2655=sel_Channel),OR(sel_Customer="All",F2655=sel_Customer),OR(sel_Category="All",G2655=sel_Category),OR(sel_Product="All",H2655=sel_Product),AND(S2655&gt;=m_From,S2655&lt;=m_To)),1,0)</f>
        <v/>
      </c>
      <c r="W2655" s="36">
        <f>IF(AND(OR(sel_Region="All",C2655=sel_Region),OR(sel_Country="All",D2655=sel_Country),OR(sel_Customer="All",F2655=sel_Customer),OR(sel_Category="All",G2655=sel_Category),OR(sel_Product="All",H2655=sel_Product),AND(S2655&gt;=m_From,S2655&lt;=m_To)),1,0)</f>
        <v/>
      </c>
      <c r="X2655" s="36">
        <f>IF(AND(OR(sel_Region="All",C2655=sel_Region),OR(sel_Country="All",D2655=sel_Country),OR(sel_Channel="All",E2655=sel_Channel),OR(sel_Category="All",G2655=sel_Category),OR(sel_Product="All",H2655=sel_Product),AND(S2655&gt;=m_From,S2655&lt;=m_To)),1,0)</f>
        <v/>
      </c>
      <c r="Y2655" s="36">
        <f>IF(AND(OR(sel_Region="All",C2655=sel_Region),OR(sel_Country="All",D2655=sel_Country),OR(sel_Channel="All",E2655=sel_Channel),OR(sel_Customer="All",F2655=sel_Customer),OR(sel_Product="All",H2655=sel_Product),AND(S2655&gt;=m_From,S2655&lt;=m_To)),1,0)</f>
        <v/>
      </c>
      <c r="Z2655" s="36">
        <f>IF(AND(OR(sel_Region="All",C2655=sel_Region),OR(sel_Country="All",D2655=sel_Country),OR(sel_Channel="All",E2655=sel_Channel),OR(sel_Customer="All",F2655=sel_Customer),OR(sel_Category="All",G2655=sel_Category),AND(S2655&gt;=m_From,S2655&lt;=m_To)),1,0)</f>
        <v/>
      </c>
      <c r="AA2655" s="36">
        <f>IF(AND(OR(sel_Region="All",C2655=sel_Region),OR(sel_Country="All",D2655=sel_Country),OR(sel_Channel="All",E2655=sel_Channel),OR(sel_Customer="All",F2655=sel_Customer),OR(sel_Category="All",G2655=sel_Category),OR(sel_Product="All",H2655=sel_Product)),1,0)</f>
        <v/>
      </c>
    </row>
    <row r="2656">
      <c r="A2656" s="36" t="inlineStr">
        <is>
          <t>03838</t>
        </is>
      </c>
      <c r="B2656" s="44" t="n">
        <v>46379</v>
      </c>
      <c r="C2656" s="36" t="inlineStr">
        <is>
          <t>Central Europe</t>
        </is>
      </c>
      <c r="D2656" s="36" t="inlineStr">
        <is>
          <t>Switzerland</t>
        </is>
      </c>
      <c r="E2656" s="36" t="inlineStr">
        <is>
          <t>Retail Partners</t>
        </is>
      </c>
      <c r="F2656" s="36" t="inlineStr">
        <is>
          <t>New</t>
        </is>
      </c>
      <c r="G2656" s="36" t="inlineStr">
        <is>
          <t>Fitness</t>
        </is>
      </c>
      <c r="H2656" s="36" t="inlineStr">
        <is>
          <t>Resistance Band Set</t>
        </is>
      </c>
      <c r="I2656" s="36" t="n">
        <v>2</v>
      </c>
      <c r="J2656" s="39" t="n">
        <v>40.32</v>
      </c>
      <c r="K2656" s="45" t="n">
        <v>0</v>
      </c>
      <c r="L2656" s="39" t="n">
        <v>14.39</v>
      </c>
      <c r="M2656" s="39">
        <f>I2656*J2656*(1-K2656)</f>
        <v/>
      </c>
      <c r="N2656" s="39">
        <f>I2656*L2656</f>
        <v/>
      </c>
      <c r="O2656" s="39">
        <f>M2656-N2656</f>
        <v/>
      </c>
      <c r="P2656" s="38">
        <f>IF(M2656=0,0,O2656/M2656)</f>
        <v/>
      </c>
      <c r="Q2656" s="36">
        <f>YEAR(B2656)</f>
        <v/>
      </c>
      <c r="R2656" s="36">
        <f>"Q"&amp;ROUNDUP(MONTH(B2656)/3,0)</f>
        <v/>
      </c>
      <c r="S2656" s="36">
        <f>MONTH(B2656)</f>
        <v/>
      </c>
      <c r="T2656" s="36">
        <f>TEXT(B2656,"mmm")</f>
        <v/>
      </c>
      <c r="U2656" s="36">
        <f>IF(AND(OR(sel_Region="All",C2656=sel_Region),OR(sel_Country="All",D2656=sel_Country),OR(sel_Channel="All",E2656=sel_Channel),OR(sel_Customer="All",F2656=sel_Customer),OR(sel_Category="All",G2656=sel_Category),OR(sel_Product="All",H2656=sel_Product),AND(S2656&gt;=m_From,S2656&lt;=m_To)),1,0)</f>
        <v/>
      </c>
      <c r="V2656" s="36">
        <f>IF(AND(OR(sel_Region="All",C2656=sel_Region),OR(sel_Channel="All",E2656=sel_Channel),OR(sel_Customer="All",F2656=sel_Customer),OR(sel_Category="All",G2656=sel_Category),OR(sel_Product="All",H2656=sel_Product),AND(S2656&gt;=m_From,S2656&lt;=m_To)),1,0)</f>
        <v/>
      </c>
      <c r="W2656" s="36">
        <f>IF(AND(OR(sel_Region="All",C2656=sel_Region),OR(sel_Country="All",D2656=sel_Country),OR(sel_Customer="All",F2656=sel_Customer),OR(sel_Category="All",G2656=sel_Category),OR(sel_Product="All",H2656=sel_Product),AND(S2656&gt;=m_From,S2656&lt;=m_To)),1,0)</f>
        <v/>
      </c>
      <c r="X2656" s="36">
        <f>IF(AND(OR(sel_Region="All",C2656=sel_Region),OR(sel_Country="All",D2656=sel_Country),OR(sel_Channel="All",E2656=sel_Channel),OR(sel_Category="All",G2656=sel_Category),OR(sel_Product="All",H2656=sel_Product),AND(S2656&gt;=m_From,S2656&lt;=m_To)),1,0)</f>
        <v/>
      </c>
      <c r="Y2656" s="36">
        <f>IF(AND(OR(sel_Region="All",C2656=sel_Region),OR(sel_Country="All",D2656=sel_Country),OR(sel_Channel="All",E2656=sel_Channel),OR(sel_Customer="All",F2656=sel_Customer),OR(sel_Product="All",H2656=sel_Product),AND(S2656&gt;=m_From,S2656&lt;=m_To)),1,0)</f>
        <v/>
      </c>
      <c r="Z2656" s="36">
        <f>IF(AND(OR(sel_Region="All",C2656=sel_Region),OR(sel_Country="All",D2656=sel_Country),OR(sel_Channel="All",E2656=sel_Channel),OR(sel_Customer="All",F2656=sel_Customer),OR(sel_Category="All",G2656=sel_Category),AND(S2656&gt;=m_From,S2656&lt;=m_To)),1,0)</f>
        <v/>
      </c>
      <c r="AA2656" s="36">
        <f>IF(AND(OR(sel_Region="All",C2656=sel_Region),OR(sel_Country="All",D2656=sel_Country),OR(sel_Channel="All",E2656=sel_Channel),OR(sel_Customer="All",F2656=sel_Customer),OR(sel_Category="All",G2656=sel_Category),OR(sel_Product="All",H2656=sel_Product)),1,0)</f>
        <v/>
      </c>
    </row>
    <row r="2657">
      <c r="A2657" s="36" t="inlineStr">
        <is>
          <t>04718</t>
        </is>
      </c>
      <c r="B2657" s="44" t="n">
        <v>46379</v>
      </c>
      <c r="C2657" s="36" t="inlineStr">
        <is>
          <t>Southern Europe</t>
        </is>
      </c>
      <c r="D2657" s="36" t="inlineStr">
        <is>
          <t>Spain</t>
        </is>
      </c>
      <c r="E2657" s="36" t="inlineStr">
        <is>
          <t>Retail Partners</t>
        </is>
      </c>
      <c r="F2657" s="36" t="inlineStr">
        <is>
          <t>Returning</t>
        </is>
      </c>
      <c r="G2657" s="36" t="inlineStr">
        <is>
          <t>Hiking</t>
        </is>
      </c>
      <c r="H2657" s="36" t="inlineStr">
        <is>
          <t>Summit Backpack 45L</t>
        </is>
      </c>
      <c r="I2657" s="36" t="n">
        <v>1</v>
      </c>
      <c r="J2657" s="39" t="n">
        <v>157.58</v>
      </c>
      <c r="K2657" s="45" t="n">
        <v>0.1</v>
      </c>
      <c r="L2657" s="39" t="n">
        <v>80.37</v>
      </c>
      <c r="M2657" s="39">
        <f>I2657*J2657*(1-K2657)</f>
        <v/>
      </c>
      <c r="N2657" s="39">
        <f>I2657*L2657</f>
        <v/>
      </c>
      <c r="O2657" s="39">
        <f>M2657-N2657</f>
        <v/>
      </c>
      <c r="P2657" s="38">
        <f>IF(M2657=0,0,O2657/M2657)</f>
        <v/>
      </c>
      <c r="Q2657" s="36">
        <f>YEAR(B2657)</f>
        <v/>
      </c>
      <c r="R2657" s="36">
        <f>"Q"&amp;ROUNDUP(MONTH(B2657)/3,0)</f>
        <v/>
      </c>
      <c r="S2657" s="36">
        <f>MONTH(B2657)</f>
        <v/>
      </c>
      <c r="T2657" s="36">
        <f>TEXT(B2657,"mmm")</f>
        <v/>
      </c>
      <c r="U2657" s="36">
        <f>IF(AND(OR(sel_Region="All",C2657=sel_Region),OR(sel_Country="All",D2657=sel_Country),OR(sel_Channel="All",E2657=sel_Channel),OR(sel_Customer="All",F2657=sel_Customer),OR(sel_Category="All",G2657=sel_Category),OR(sel_Product="All",H2657=sel_Product),AND(S2657&gt;=m_From,S2657&lt;=m_To)),1,0)</f>
        <v/>
      </c>
      <c r="V2657" s="36">
        <f>IF(AND(OR(sel_Region="All",C2657=sel_Region),OR(sel_Channel="All",E2657=sel_Channel),OR(sel_Customer="All",F2657=sel_Customer),OR(sel_Category="All",G2657=sel_Category),OR(sel_Product="All",H2657=sel_Product),AND(S2657&gt;=m_From,S2657&lt;=m_To)),1,0)</f>
        <v/>
      </c>
      <c r="W2657" s="36">
        <f>IF(AND(OR(sel_Region="All",C2657=sel_Region),OR(sel_Country="All",D2657=sel_Country),OR(sel_Customer="All",F2657=sel_Customer),OR(sel_Category="All",G2657=sel_Category),OR(sel_Product="All",H2657=sel_Product),AND(S2657&gt;=m_From,S2657&lt;=m_To)),1,0)</f>
        <v/>
      </c>
      <c r="X2657" s="36">
        <f>IF(AND(OR(sel_Region="All",C2657=sel_Region),OR(sel_Country="All",D2657=sel_Country),OR(sel_Channel="All",E2657=sel_Channel),OR(sel_Category="All",G2657=sel_Category),OR(sel_Product="All",H2657=sel_Product),AND(S2657&gt;=m_From,S2657&lt;=m_To)),1,0)</f>
        <v/>
      </c>
      <c r="Y2657" s="36">
        <f>IF(AND(OR(sel_Region="All",C2657=sel_Region),OR(sel_Country="All",D2657=sel_Country),OR(sel_Channel="All",E2657=sel_Channel),OR(sel_Customer="All",F2657=sel_Customer),OR(sel_Product="All",H2657=sel_Product),AND(S2657&gt;=m_From,S2657&lt;=m_To)),1,0)</f>
        <v/>
      </c>
      <c r="Z2657" s="36">
        <f>IF(AND(OR(sel_Region="All",C2657=sel_Region),OR(sel_Country="All",D2657=sel_Country),OR(sel_Channel="All",E2657=sel_Channel),OR(sel_Customer="All",F2657=sel_Customer),OR(sel_Category="All",G2657=sel_Category),AND(S2657&gt;=m_From,S2657&lt;=m_To)),1,0)</f>
        <v/>
      </c>
      <c r="AA2657" s="36">
        <f>IF(AND(OR(sel_Region="All",C2657=sel_Region),OR(sel_Country="All",D2657=sel_Country),OR(sel_Channel="All",E2657=sel_Channel),OR(sel_Customer="All",F2657=sel_Customer),OR(sel_Category="All",G2657=sel_Category),OR(sel_Product="All",H2657=sel_Product)),1,0)</f>
        <v/>
      </c>
    </row>
    <row r="2658">
      <c r="A2658" s="36" t="inlineStr">
        <is>
          <t>04844</t>
        </is>
      </c>
      <c r="B2658" s="44" t="n">
        <v>46379</v>
      </c>
      <c r="C2658" s="36" t="inlineStr">
        <is>
          <t>Central Europe</t>
        </is>
      </c>
      <c r="D2658" s="36" t="inlineStr">
        <is>
          <t>Poland</t>
        </is>
      </c>
      <c r="E2658" s="36" t="inlineStr">
        <is>
          <t>Online Store</t>
        </is>
      </c>
      <c r="F2658" s="36" t="inlineStr">
        <is>
          <t>New</t>
        </is>
      </c>
      <c r="G2658" s="36" t="inlineStr">
        <is>
          <t>Fitness</t>
        </is>
      </c>
      <c r="H2658" s="36" t="inlineStr">
        <is>
          <t>Recovery Roller</t>
        </is>
      </c>
      <c r="I2658" s="36" t="n">
        <v>1</v>
      </c>
      <c r="J2658" s="39" t="n">
        <v>36.4</v>
      </c>
      <c r="K2658" s="45" t="n">
        <v>0</v>
      </c>
      <c r="L2658" s="39" t="n">
        <v>14.22</v>
      </c>
      <c r="M2658" s="39">
        <f>I2658*J2658*(1-K2658)</f>
        <v/>
      </c>
      <c r="N2658" s="39">
        <f>I2658*L2658</f>
        <v/>
      </c>
      <c r="O2658" s="39">
        <f>M2658-N2658</f>
        <v/>
      </c>
      <c r="P2658" s="38">
        <f>IF(M2658=0,0,O2658/M2658)</f>
        <v/>
      </c>
      <c r="Q2658" s="36">
        <f>YEAR(B2658)</f>
        <v/>
      </c>
      <c r="R2658" s="36">
        <f>"Q"&amp;ROUNDUP(MONTH(B2658)/3,0)</f>
        <v/>
      </c>
      <c r="S2658" s="36">
        <f>MONTH(B2658)</f>
        <v/>
      </c>
      <c r="T2658" s="36">
        <f>TEXT(B2658,"mmm")</f>
        <v/>
      </c>
      <c r="U2658" s="36">
        <f>IF(AND(OR(sel_Region="All",C2658=sel_Region),OR(sel_Country="All",D2658=sel_Country),OR(sel_Channel="All",E2658=sel_Channel),OR(sel_Customer="All",F2658=sel_Customer),OR(sel_Category="All",G2658=sel_Category),OR(sel_Product="All",H2658=sel_Product),AND(S2658&gt;=m_From,S2658&lt;=m_To)),1,0)</f>
        <v/>
      </c>
      <c r="V2658" s="36">
        <f>IF(AND(OR(sel_Region="All",C2658=sel_Region),OR(sel_Channel="All",E2658=sel_Channel),OR(sel_Customer="All",F2658=sel_Customer),OR(sel_Category="All",G2658=sel_Category),OR(sel_Product="All",H2658=sel_Product),AND(S2658&gt;=m_From,S2658&lt;=m_To)),1,0)</f>
        <v/>
      </c>
      <c r="W2658" s="36">
        <f>IF(AND(OR(sel_Region="All",C2658=sel_Region),OR(sel_Country="All",D2658=sel_Country),OR(sel_Customer="All",F2658=sel_Customer),OR(sel_Category="All",G2658=sel_Category),OR(sel_Product="All",H2658=sel_Product),AND(S2658&gt;=m_From,S2658&lt;=m_To)),1,0)</f>
        <v/>
      </c>
      <c r="X2658" s="36">
        <f>IF(AND(OR(sel_Region="All",C2658=sel_Region),OR(sel_Country="All",D2658=sel_Country),OR(sel_Channel="All",E2658=sel_Channel),OR(sel_Category="All",G2658=sel_Category),OR(sel_Product="All",H2658=sel_Product),AND(S2658&gt;=m_From,S2658&lt;=m_To)),1,0)</f>
        <v/>
      </c>
      <c r="Y2658" s="36">
        <f>IF(AND(OR(sel_Region="All",C2658=sel_Region),OR(sel_Country="All",D2658=sel_Country),OR(sel_Channel="All",E2658=sel_Channel),OR(sel_Customer="All",F2658=sel_Customer),OR(sel_Product="All",H2658=sel_Product),AND(S2658&gt;=m_From,S2658&lt;=m_To)),1,0)</f>
        <v/>
      </c>
      <c r="Z2658" s="36">
        <f>IF(AND(OR(sel_Region="All",C2658=sel_Region),OR(sel_Country="All",D2658=sel_Country),OR(sel_Channel="All",E2658=sel_Channel),OR(sel_Customer="All",F2658=sel_Customer),OR(sel_Category="All",G2658=sel_Category),AND(S2658&gt;=m_From,S2658&lt;=m_To)),1,0)</f>
        <v/>
      </c>
      <c r="AA2658" s="36">
        <f>IF(AND(OR(sel_Region="All",C2658=sel_Region),OR(sel_Country="All",D2658=sel_Country),OR(sel_Channel="All",E2658=sel_Channel),OR(sel_Customer="All",F2658=sel_Customer),OR(sel_Category="All",G2658=sel_Category),OR(sel_Product="All",H2658=sel_Product)),1,0)</f>
        <v/>
      </c>
    </row>
    <row r="2659">
      <c r="A2659" s="36" t="inlineStr">
        <is>
          <t>00678</t>
        </is>
      </c>
      <c r="B2659" s="44" t="n">
        <v>46380</v>
      </c>
      <c r="C2659" s="36" t="inlineStr">
        <is>
          <t>Central Europe</t>
        </is>
      </c>
      <c r="D2659" s="36" t="inlineStr">
        <is>
          <t>Switzerland</t>
        </is>
      </c>
      <c r="E2659" s="36" t="inlineStr">
        <is>
          <t>Online Store</t>
        </is>
      </c>
      <c r="F2659" s="36" t="inlineStr">
        <is>
          <t>Business</t>
        </is>
      </c>
      <c r="G2659" s="36" t="inlineStr">
        <is>
          <t>Hiking</t>
        </is>
      </c>
      <c r="H2659" s="36" t="inlineStr">
        <is>
          <t>Trail Boots</t>
        </is>
      </c>
      <c r="I2659" s="36" t="n">
        <v>1</v>
      </c>
      <c r="J2659" s="39" t="n">
        <v>142.15</v>
      </c>
      <c r="K2659" s="45" t="n">
        <v>0.05</v>
      </c>
      <c r="L2659" s="39" t="n">
        <v>80.5</v>
      </c>
      <c r="M2659" s="39">
        <f>I2659*J2659*(1-K2659)</f>
        <v/>
      </c>
      <c r="N2659" s="39">
        <f>I2659*L2659</f>
        <v/>
      </c>
      <c r="O2659" s="39">
        <f>M2659-N2659</f>
        <v/>
      </c>
      <c r="P2659" s="38">
        <f>IF(M2659=0,0,O2659/M2659)</f>
        <v/>
      </c>
      <c r="Q2659" s="36">
        <f>YEAR(B2659)</f>
        <v/>
      </c>
      <c r="R2659" s="36">
        <f>"Q"&amp;ROUNDUP(MONTH(B2659)/3,0)</f>
        <v/>
      </c>
      <c r="S2659" s="36">
        <f>MONTH(B2659)</f>
        <v/>
      </c>
      <c r="T2659" s="36">
        <f>TEXT(B2659,"mmm")</f>
        <v/>
      </c>
      <c r="U2659" s="36">
        <f>IF(AND(OR(sel_Region="All",C2659=sel_Region),OR(sel_Country="All",D2659=sel_Country),OR(sel_Channel="All",E2659=sel_Channel),OR(sel_Customer="All",F2659=sel_Customer),OR(sel_Category="All",G2659=sel_Category),OR(sel_Product="All",H2659=sel_Product),AND(S2659&gt;=m_From,S2659&lt;=m_To)),1,0)</f>
        <v/>
      </c>
      <c r="V2659" s="36">
        <f>IF(AND(OR(sel_Region="All",C2659=sel_Region),OR(sel_Channel="All",E2659=sel_Channel),OR(sel_Customer="All",F2659=sel_Customer),OR(sel_Category="All",G2659=sel_Category),OR(sel_Product="All",H2659=sel_Product),AND(S2659&gt;=m_From,S2659&lt;=m_To)),1,0)</f>
        <v/>
      </c>
      <c r="W2659" s="36">
        <f>IF(AND(OR(sel_Region="All",C2659=sel_Region),OR(sel_Country="All",D2659=sel_Country),OR(sel_Customer="All",F2659=sel_Customer),OR(sel_Category="All",G2659=sel_Category),OR(sel_Product="All",H2659=sel_Product),AND(S2659&gt;=m_From,S2659&lt;=m_To)),1,0)</f>
        <v/>
      </c>
      <c r="X2659" s="36">
        <f>IF(AND(OR(sel_Region="All",C2659=sel_Region),OR(sel_Country="All",D2659=sel_Country),OR(sel_Channel="All",E2659=sel_Channel),OR(sel_Category="All",G2659=sel_Category),OR(sel_Product="All",H2659=sel_Product),AND(S2659&gt;=m_From,S2659&lt;=m_To)),1,0)</f>
        <v/>
      </c>
      <c r="Y2659" s="36">
        <f>IF(AND(OR(sel_Region="All",C2659=sel_Region),OR(sel_Country="All",D2659=sel_Country),OR(sel_Channel="All",E2659=sel_Channel),OR(sel_Customer="All",F2659=sel_Customer),OR(sel_Product="All",H2659=sel_Product),AND(S2659&gt;=m_From,S2659&lt;=m_To)),1,0)</f>
        <v/>
      </c>
      <c r="Z2659" s="36">
        <f>IF(AND(OR(sel_Region="All",C2659=sel_Region),OR(sel_Country="All",D2659=sel_Country),OR(sel_Channel="All",E2659=sel_Channel),OR(sel_Customer="All",F2659=sel_Customer),OR(sel_Category="All",G2659=sel_Category),AND(S2659&gt;=m_From,S2659&lt;=m_To)),1,0)</f>
        <v/>
      </c>
      <c r="AA2659" s="36">
        <f>IF(AND(OR(sel_Region="All",C2659=sel_Region),OR(sel_Country="All",D2659=sel_Country),OR(sel_Channel="All",E2659=sel_Channel),OR(sel_Customer="All",F2659=sel_Customer),OR(sel_Category="All",G2659=sel_Category),OR(sel_Product="All",H2659=sel_Product)),1,0)</f>
        <v/>
      </c>
    </row>
    <row r="2660">
      <c r="A2660" s="36" t="inlineStr">
        <is>
          <t>01706</t>
        </is>
      </c>
      <c r="B2660" s="44" t="n">
        <v>46380</v>
      </c>
      <c r="C2660" s="36" t="inlineStr">
        <is>
          <t>Southern Europe</t>
        </is>
      </c>
      <c r="D2660" s="36" t="inlineStr">
        <is>
          <t>Spain</t>
        </is>
      </c>
      <c r="E2660" s="36" t="inlineStr">
        <is>
          <t>Online Store</t>
        </is>
      </c>
      <c r="F2660" s="36" t="inlineStr">
        <is>
          <t>Returning</t>
        </is>
      </c>
      <c r="G2660" s="36" t="inlineStr">
        <is>
          <t>Camping</t>
        </is>
      </c>
      <c r="H2660" s="36" t="inlineStr">
        <is>
          <t>Alpine Tent 4P</t>
        </is>
      </c>
      <c r="I2660" s="36" t="n">
        <v>2</v>
      </c>
      <c r="J2660" s="39" t="n">
        <v>332.38</v>
      </c>
      <c r="K2660" s="45" t="n">
        <v>0.05</v>
      </c>
      <c r="L2660" s="39" t="n">
        <v>192.16</v>
      </c>
      <c r="M2660" s="39">
        <f>I2660*J2660*(1-K2660)</f>
        <v/>
      </c>
      <c r="N2660" s="39">
        <f>I2660*L2660</f>
        <v/>
      </c>
      <c r="O2660" s="39">
        <f>M2660-N2660</f>
        <v/>
      </c>
      <c r="P2660" s="38">
        <f>IF(M2660=0,0,O2660/M2660)</f>
        <v/>
      </c>
      <c r="Q2660" s="36">
        <f>YEAR(B2660)</f>
        <v/>
      </c>
      <c r="R2660" s="36">
        <f>"Q"&amp;ROUNDUP(MONTH(B2660)/3,0)</f>
        <v/>
      </c>
      <c r="S2660" s="36">
        <f>MONTH(B2660)</f>
        <v/>
      </c>
      <c r="T2660" s="36">
        <f>TEXT(B2660,"mmm")</f>
        <v/>
      </c>
      <c r="U2660" s="36">
        <f>IF(AND(OR(sel_Region="All",C2660=sel_Region),OR(sel_Country="All",D2660=sel_Country),OR(sel_Channel="All",E2660=sel_Channel),OR(sel_Customer="All",F2660=sel_Customer),OR(sel_Category="All",G2660=sel_Category),OR(sel_Product="All",H2660=sel_Product),AND(S2660&gt;=m_From,S2660&lt;=m_To)),1,0)</f>
        <v/>
      </c>
      <c r="V2660" s="36">
        <f>IF(AND(OR(sel_Region="All",C2660=sel_Region),OR(sel_Channel="All",E2660=sel_Channel),OR(sel_Customer="All",F2660=sel_Customer),OR(sel_Category="All",G2660=sel_Category),OR(sel_Product="All",H2660=sel_Product),AND(S2660&gt;=m_From,S2660&lt;=m_To)),1,0)</f>
        <v/>
      </c>
      <c r="W2660" s="36">
        <f>IF(AND(OR(sel_Region="All",C2660=sel_Region),OR(sel_Country="All",D2660=sel_Country),OR(sel_Customer="All",F2660=sel_Customer),OR(sel_Category="All",G2660=sel_Category),OR(sel_Product="All",H2660=sel_Product),AND(S2660&gt;=m_From,S2660&lt;=m_To)),1,0)</f>
        <v/>
      </c>
      <c r="X2660" s="36">
        <f>IF(AND(OR(sel_Region="All",C2660=sel_Region),OR(sel_Country="All",D2660=sel_Country),OR(sel_Channel="All",E2660=sel_Channel),OR(sel_Category="All",G2660=sel_Category),OR(sel_Product="All",H2660=sel_Product),AND(S2660&gt;=m_From,S2660&lt;=m_To)),1,0)</f>
        <v/>
      </c>
      <c r="Y2660" s="36">
        <f>IF(AND(OR(sel_Region="All",C2660=sel_Region),OR(sel_Country="All",D2660=sel_Country),OR(sel_Channel="All",E2660=sel_Channel),OR(sel_Customer="All",F2660=sel_Customer),OR(sel_Product="All",H2660=sel_Product),AND(S2660&gt;=m_From,S2660&lt;=m_To)),1,0)</f>
        <v/>
      </c>
      <c r="Z2660" s="36">
        <f>IF(AND(OR(sel_Region="All",C2660=sel_Region),OR(sel_Country="All",D2660=sel_Country),OR(sel_Channel="All",E2660=sel_Channel),OR(sel_Customer="All",F2660=sel_Customer),OR(sel_Category="All",G2660=sel_Category),AND(S2660&gt;=m_From,S2660&lt;=m_To)),1,0)</f>
        <v/>
      </c>
      <c r="AA2660" s="36">
        <f>IF(AND(OR(sel_Region="All",C2660=sel_Region),OR(sel_Country="All",D2660=sel_Country),OR(sel_Channel="All",E2660=sel_Channel),OR(sel_Customer="All",F2660=sel_Customer),OR(sel_Category="All",G2660=sel_Category),OR(sel_Product="All",H2660=sel_Product)),1,0)</f>
        <v/>
      </c>
    </row>
    <row r="2661">
      <c r="A2661" s="36" t="inlineStr">
        <is>
          <t>03034</t>
        </is>
      </c>
      <c r="B2661" s="44" t="n">
        <v>46380</v>
      </c>
      <c r="C2661" s="36" t="inlineStr">
        <is>
          <t>Central Europe</t>
        </is>
      </c>
      <c r="D2661" s="36" t="inlineStr">
        <is>
          <t>Czechia</t>
        </is>
      </c>
      <c r="E2661" s="36" t="inlineStr">
        <is>
          <t>Retail Partners</t>
        </is>
      </c>
      <c r="F2661" s="36" t="inlineStr">
        <is>
          <t>New</t>
        </is>
      </c>
      <c r="G2661" s="36" t="inlineStr">
        <is>
          <t>Camping</t>
        </is>
      </c>
      <c r="H2661" s="36" t="inlineStr">
        <is>
          <t>Compact Sleeping Bag</t>
        </is>
      </c>
      <c r="I2661" s="36" t="n">
        <v>1</v>
      </c>
      <c r="J2661" s="39" t="n">
        <v>122.18</v>
      </c>
      <c r="K2661" s="45" t="n">
        <v>0.15</v>
      </c>
      <c r="L2661" s="39" t="n">
        <v>61.28</v>
      </c>
      <c r="M2661" s="39">
        <f>I2661*J2661*(1-K2661)</f>
        <v/>
      </c>
      <c r="N2661" s="39">
        <f>I2661*L2661</f>
        <v/>
      </c>
      <c r="O2661" s="39">
        <f>M2661-N2661</f>
        <v/>
      </c>
      <c r="P2661" s="38">
        <f>IF(M2661=0,0,O2661/M2661)</f>
        <v/>
      </c>
      <c r="Q2661" s="36">
        <f>YEAR(B2661)</f>
        <v/>
      </c>
      <c r="R2661" s="36">
        <f>"Q"&amp;ROUNDUP(MONTH(B2661)/3,0)</f>
        <v/>
      </c>
      <c r="S2661" s="36">
        <f>MONTH(B2661)</f>
        <v/>
      </c>
      <c r="T2661" s="36">
        <f>TEXT(B2661,"mmm")</f>
        <v/>
      </c>
      <c r="U2661" s="36">
        <f>IF(AND(OR(sel_Region="All",C2661=sel_Region),OR(sel_Country="All",D2661=sel_Country),OR(sel_Channel="All",E2661=sel_Channel),OR(sel_Customer="All",F2661=sel_Customer),OR(sel_Category="All",G2661=sel_Category),OR(sel_Product="All",H2661=sel_Product),AND(S2661&gt;=m_From,S2661&lt;=m_To)),1,0)</f>
        <v/>
      </c>
      <c r="V2661" s="36">
        <f>IF(AND(OR(sel_Region="All",C2661=sel_Region),OR(sel_Channel="All",E2661=sel_Channel),OR(sel_Customer="All",F2661=sel_Customer),OR(sel_Category="All",G2661=sel_Category),OR(sel_Product="All",H2661=sel_Product),AND(S2661&gt;=m_From,S2661&lt;=m_To)),1,0)</f>
        <v/>
      </c>
      <c r="W2661" s="36">
        <f>IF(AND(OR(sel_Region="All",C2661=sel_Region),OR(sel_Country="All",D2661=sel_Country),OR(sel_Customer="All",F2661=sel_Customer),OR(sel_Category="All",G2661=sel_Category),OR(sel_Product="All",H2661=sel_Product),AND(S2661&gt;=m_From,S2661&lt;=m_To)),1,0)</f>
        <v/>
      </c>
      <c r="X2661" s="36">
        <f>IF(AND(OR(sel_Region="All",C2661=sel_Region),OR(sel_Country="All",D2661=sel_Country),OR(sel_Channel="All",E2661=sel_Channel),OR(sel_Category="All",G2661=sel_Category),OR(sel_Product="All",H2661=sel_Product),AND(S2661&gt;=m_From,S2661&lt;=m_To)),1,0)</f>
        <v/>
      </c>
      <c r="Y2661" s="36">
        <f>IF(AND(OR(sel_Region="All",C2661=sel_Region),OR(sel_Country="All",D2661=sel_Country),OR(sel_Channel="All",E2661=sel_Channel),OR(sel_Customer="All",F2661=sel_Customer),OR(sel_Product="All",H2661=sel_Product),AND(S2661&gt;=m_From,S2661&lt;=m_To)),1,0)</f>
        <v/>
      </c>
      <c r="Z2661" s="36">
        <f>IF(AND(OR(sel_Region="All",C2661=sel_Region),OR(sel_Country="All",D2661=sel_Country),OR(sel_Channel="All",E2661=sel_Channel),OR(sel_Customer="All",F2661=sel_Customer),OR(sel_Category="All",G2661=sel_Category),AND(S2661&gt;=m_From,S2661&lt;=m_To)),1,0)</f>
        <v/>
      </c>
      <c r="AA2661" s="36">
        <f>IF(AND(OR(sel_Region="All",C2661=sel_Region),OR(sel_Country="All",D2661=sel_Country),OR(sel_Channel="All",E2661=sel_Channel),OR(sel_Customer="All",F2661=sel_Customer),OR(sel_Category="All",G2661=sel_Category),OR(sel_Product="All",H2661=sel_Product)),1,0)</f>
        <v/>
      </c>
    </row>
    <row r="2662">
      <c r="A2662" s="36" t="inlineStr">
        <is>
          <t>03883</t>
        </is>
      </c>
      <c r="B2662" s="44" t="n">
        <v>46380</v>
      </c>
      <c r="C2662" s="36" t="inlineStr">
        <is>
          <t>Southern Europe</t>
        </is>
      </c>
      <c r="D2662" s="36" t="inlineStr">
        <is>
          <t>Spain</t>
        </is>
      </c>
      <c r="E2662" s="36" t="inlineStr">
        <is>
          <t>Online Store</t>
        </is>
      </c>
      <c r="F2662" s="36" t="inlineStr">
        <is>
          <t>New</t>
        </is>
      </c>
      <c r="G2662" s="36" t="inlineStr">
        <is>
          <t>Camping</t>
        </is>
      </c>
      <c r="H2662" s="36" t="inlineStr">
        <is>
          <t>Compact Sleeping Bag</t>
        </is>
      </c>
      <c r="I2662" s="36" t="n">
        <v>1</v>
      </c>
      <c r="J2662" s="39" t="n">
        <v>125.66</v>
      </c>
      <c r="K2662" s="45" t="n">
        <v>0.15</v>
      </c>
      <c r="L2662" s="39" t="n">
        <v>60.6</v>
      </c>
      <c r="M2662" s="39">
        <f>I2662*J2662*(1-K2662)</f>
        <v/>
      </c>
      <c r="N2662" s="39">
        <f>I2662*L2662</f>
        <v/>
      </c>
      <c r="O2662" s="39">
        <f>M2662-N2662</f>
        <v/>
      </c>
      <c r="P2662" s="38">
        <f>IF(M2662=0,0,O2662/M2662)</f>
        <v/>
      </c>
      <c r="Q2662" s="36">
        <f>YEAR(B2662)</f>
        <v/>
      </c>
      <c r="R2662" s="36">
        <f>"Q"&amp;ROUNDUP(MONTH(B2662)/3,0)</f>
        <v/>
      </c>
      <c r="S2662" s="36">
        <f>MONTH(B2662)</f>
        <v/>
      </c>
      <c r="T2662" s="36">
        <f>TEXT(B2662,"mmm")</f>
        <v/>
      </c>
      <c r="U2662" s="36">
        <f>IF(AND(OR(sel_Region="All",C2662=sel_Region),OR(sel_Country="All",D2662=sel_Country),OR(sel_Channel="All",E2662=sel_Channel),OR(sel_Customer="All",F2662=sel_Customer),OR(sel_Category="All",G2662=sel_Category),OR(sel_Product="All",H2662=sel_Product),AND(S2662&gt;=m_From,S2662&lt;=m_To)),1,0)</f>
        <v/>
      </c>
      <c r="V2662" s="36">
        <f>IF(AND(OR(sel_Region="All",C2662=sel_Region),OR(sel_Channel="All",E2662=sel_Channel),OR(sel_Customer="All",F2662=sel_Customer),OR(sel_Category="All",G2662=sel_Category),OR(sel_Product="All",H2662=sel_Product),AND(S2662&gt;=m_From,S2662&lt;=m_To)),1,0)</f>
        <v/>
      </c>
      <c r="W2662" s="36">
        <f>IF(AND(OR(sel_Region="All",C2662=sel_Region),OR(sel_Country="All",D2662=sel_Country),OR(sel_Customer="All",F2662=sel_Customer),OR(sel_Category="All",G2662=sel_Category),OR(sel_Product="All",H2662=sel_Product),AND(S2662&gt;=m_From,S2662&lt;=m_To)),1,0)</f>
        <v/>
      </c>
      <c r="X2662" s="36">
        <f>IF(AND(OR(sel_Region="All",C2662=sel_Region),OR(sel_Country="All",D2662=sel_Country),OR(sel_Channel="All",E2662=sel_Channel),OR(sel_Category="All",G2662=sel_Category),OR(sel_Product="All",H2662=sel_Product),AND(S2662&gt;=m_From,S2662&lt;=m_To)),1,0)</f>
        <v/>
      </c>
      <c r="Y2662" s="36">
        <f>IF(AND(OR(sel_Region="All",C2662=sel_Region),OR(sel_Country="All",D2662=sel_Country),OR(sel_Channel="All",E2662=sel_Channel),OR(sel_Customer="All",F2662=sel_Customer),OR(sel_Product="All",H2662=sel_Product),AND(S2662&gt;=m_From,S2662&lt;=m_To)),1,0)</f>
        <v/>
      </c>
      <c r="Z2662" s="36">
        <f>IF(AND(OR(sel_Region="All",C2662=sel_Region),OR(sel_Country="All",D2662=sel_Country),OR(sel_Channel="All",E2662=sel_Channel),OR(sel_Customer="All",F2662=sel_Customer),OR(sel_Category="All",G2662=sel_Category),AND(S2662&gt;=m_From,S2662&lt;=m_To)),1,0)</f>
        <v/>
      </c>
      <c r="AA2662" s="36">
        <f>IF(AND(OR(sel_Region="All",C2662=sel_Region),OR(sel_Country="All",D2662=sel_Country),OR(sel_Channel="All",E2662=sel_Channel),OR(sel_Customer="All",F2662=sel_Customer),OR(sel_Category="All",G2662=sel_Category),OR(sel_Product="All",H2662=sel_Product)),1,0)</f>
        <v/>
      </c>
    </row>
    <row r="2663">
      <c r="A2663" s="36" t="inlineStr">
        <is>
          <t>04342</t>
        </is>
      </c>
      <c r="B2663" s="44" t="n">
        <v>46380</v>
      </c>
      <c r="C2663" s="36" t="inlineStr">
        <is>
          <t>Western Europe</t>
        </is>
      </c>
      <c r="D2663" s="36" t="inlineStr">
        <is>
          <t>Belgium</t>
        </is>
      </c>
      <c r="E2663" s="36" t="inlineStr">
        <is>
          <t>Online Store</t>
        </is>
      </c>
      <c r="F2663" s="36" t="inlineStr">
        <is>
          <t>Returning</t>
        </is>
      </c>
      <c r="G2663" s="36" t="inlineStr">
        <is>
          <t>Travel</t>
        </is>
      </c>
      <c r="H2663" s="36" t="inlineStr">
        <is>
          <t>Packing Cube Set</t>
        </is>
      </c>
      <c r="I2663" s="36" t="n">
        <v>2</v>
      </c>
      <c r="J2663" s="39" t="n">
        <v>47.38</v>
      </c>
      <c r="K2663" s="45" t="n">
        <v>0.05</v>
      </c>
      <c r="L2663" s="39" t="n">
        <v>18.85</v>
      </c>
      <c r="M2663" s="39">
        <f>I2663*J2663*(1-K2663)</f>
        <v/>
      </c>
      <c r="N2663" s="39">
        <f>I2663*L2663</f>
        <v/>
      </c>
      <c r="O2663" s="39">
        <f>M2663-N2663</f>
        <v/>
      </c>
      <c r="P2663" s="38">
        <f>IF(M2663=0,0,O2663/M2663)</f>
        <v/>
      </c>
      <c r="Q2663" s="36">
        <f>YEAR(B2663)</f>
        <v/>
      </c>
      <c r="R2663" s="36">
        <f>"Q"&amp;ROUNDUP(MONTH(B2663)/3,0)</f>
        <v/>
      </c>
      <c r="S2663" s="36">
        <f>MONTH(B2663)</f>
        <v/>
      </c>
      <c r="T2663" s="36">
        <f>TEXT(B2663,"mmm")</f>
        <v/>
      </c>
      <c r="U2663" s="36">
        <f>IF(AND(OR(sel_Region="All",C2663=sel_Region),OR(sel_Country="All",D2663=sel_Country),OR(sel_Channel="All",E2663=sel_Channel),OR(sel_Customer="All",F2663=sel_Customer),OR(sel_Category="All",G2663=sel_Category),OR(sel_Product="All",H2663=sel_Product),AND(S2663&gt;=m_From,S2663&lt;=m_To)),1,0)</f>
        <v/>
      </c>
      <c r="V2663" s="36">
        <f>IF(AND(OR(sel_Region="All",C2663=sel_Region),OR(sel_Channel="All",E2663=sel_Channel),OR(sel_Customer="All",F2663=sel_Customer),OR(sel_Category="All",G2663=sel_Category),OR(sel_Product="All",H2663=sel_Product),AND(S2663&gt;=m_From,S2663&lt;=m_To)),1,0)</f>
        <v/>
      </c>
      <c r="W2663" s="36">
        <f>IF(AND(OR(sel_Region="All",C2663=sel_Region),OR(sel_Country="All",D2663=sel_Country),OR(sel_Customer="All",F2663=sel_Customer),OR(sel_Category="All",G2663=sel_Category),OR(sel_Product="All",H2663=sel_Product),AND(S2663&gt;=m_From,S2663&lt;=m_To)),1,0)</f>
        <v/>
      </c>
      <c r="X2663" s="36">
        <f>IF(AND(OR(sel_Region="All",C2663=sel_Region),OR(sel_Country="All",D2663=sel_Country),OR(sel_Channel="All",E2663=sel_Channel),OR(sel_Category="All",G2663=sel_Category),OR(sel_Product="All",H2663=sel_Product),AND(S2663&gt;=m_From,S2663&lt;=m_To)),1,0)</f>
        <v/>
      </c>
      <c r="Y2663" s="36">
        <f>IF(AND(OR(sel_Region="All",C2663=sel_Region),OR(sel_Country="All",D2663=sel_Country),OR(sel_Channel="All",E2663=sel_Channel),OR(sel_Customer="All",F2663=sel_Customer),OR(sel_Product="All",H2663=sel_Product),AND(S2663&gt;=m_From,S2663&lt;=m_To)),1,0)</f>
        <v/>
      </c>
      <c r="Z2663" s="36">
        <f>IF(AND(OR(sel_Region="All",C2663=sel_Region),OR(sel_Country="All",D2663=sel_Country),OR(sel_Channel="All",E2663=sel_Channel),OR(sel_Customer="All",F2663=sel_Customer),OR(sel_Category="All",G2663=sel_Category),AND(S2663&gt;=m_From,S2663&lt;=m_To)),1,0)</f>
        <v/>
      </c>
      <c r="AA2663" s="36">
        <f>IF(AND(OR(sel_Region="All",C2663=sel_Region),OR(sel_Country="All",D2663=sel_Country),OR(sel_Channel="All",E2663=sel_Channel),OR(sel_Customer="All",F2663=sel_Customer),OR(sel_Category="All",G2663=sel_Category),OR(sel_Product="All",H2663=sel_Product)),1,0)</f>
        <v/>
      </c>
    </row>
    <row r="2664">
      <c r="A2664" s="36" t="inlineStr">
        <is>
          <t>04468</t>
        </is>
      </c>
      <c r="B2664" s="44" t="n">
        <v>46380</v>
      </c>
      <c r="C2664" s="36" t="inlineStr">
        <is>
          <t>Southern Europe</t>
        </is>
      </c>
      <c r="D2664" s="36" t="inlineStr">
        <is>
          <t>Spain</t>
        </is>
      </c>
      <c r="E2664" s="36" t="inlineStr">
        <is>
          <t>Online Store</t>
        </is>
      </c>
      <c r="F2664" s="36" t="inlineStr">
        <is>
          <t>Business</t>
        </is>
      </c>
      <c r="G2664" s="36" t="inlineStr">
        <is>
          <t>Camping</t>
        </is>
      </c>
      <c r="H2664" s="36" t="inlineStr">
        <is>
          <t>Portable Camp Stove</t>
        </is>
      </c>
      <c r="I2664" s="36" t="n">
        <v>1</v>
      </c>
      <c r="J2664" s="39" t="n">
        <v>80.8</v>
      </c>
      <c r="K2664" s="45" t="n">
        <v>0.05</v>
      </c>
      <c r="L2664" s="39" t="n">
        <v>38.33</v>
      </c>
      <c r="M2664" s="39">
        <f>I2664*J2664*(1-K2664)</f>
        <v/>
      </c>
      <c r="N2664" s="39">
        <f>I2664*L2664</f>
        <v/>
      </c>
      <c r="O2664" s="39">
        <f>M2664-N2664</f>
        <v/>
      </c>
      <c r="P2664" s="38">
        <f>IF(M2664=0,0,O2664/M2664)</f>
        <v/>
      </c>
      <c r="Q2664" s="36">
        <f>YEAR(B2664)</f>
        <v/>
      </c>
      <c r="R2664" s="36">
        <f>"Q"&amp;ROUNDUP(MONTH(B2664)/3,0)</f>
        <v/>
      </c>
      <c r="S2664" s="36">
        <f>MONTH(B2664)</f>
        <v/>
      </c>
      <c r="T2664" s="36">
        <f>TEXT(B2664,"mmm")</f>
        <v/>
      </c>
      <c r="U2664" s="36">
        <f>IF(AND(OR(sel_Region="All",C2664=sel_Region),OR(sel_Country="All",D2664=sel_Country),OR(sel_Channel="All",E2664=sel_Channel),OR(sel_Customer="All",F2664=sel_Customer),OR(sel_Category="All",G2664=sel_Category),OR(sel_Product="All",H2664=sel_Product),AND(S2664&gt;=m_From,S2664&lt;=m_To)),1,0)</f>
        <v/>
      </c>
      <c r="V2664" s="36">
        <f>IF(AND(OR(sel_Region="All",C2664=sel_Region),OR(sel_Channel="All",E2664=sel_Channel),OR(sel_Customer="All",F2664=sel_Customer),OR(sel_Category="All",G2664=sel_Category),OR(sel_Product="All",H2664=sel_Product),AND(S2664&gt;=m_From,S2664&lt;=m_To)),1,0)</f>
        <v/>
      </c>
      <c r="W2664" s="36">
        <f>IF(AND(OR(sel_Region="All",C2664=sel_Region),OR(sel_Country="All",D2664=sel_Country),OR(sel_Customer="All",F2664=sel_Customer),OR(sel_Category="All",G2664=sel_Category),OR(sel_Product="All",H2664=sel_Product),AND(S2664&gt;=m_From,S2664&lt;=m_To)),1,0)</f>
        <v/>
      </c>
      <c r="X2664" s="36">
        <f>IF(AND(OR(sel_Region="All",C2664=sel_Region),OR(sel_Country="All",D2664=sel_Country),OR(sel_Channel="All",E2664=sel_Channel),OR(sel_Category="All",G2664=sel_Category),OR(sel_Product="All",H2664=sel_Product),AND(S2664&gt;=m_From,S2664&lt;=m_To)),1,0)</f>
        <v/>
      </c>
      <c r="Y2664" s="36">
        <f>IF(AND(OR(sel_Region="All",C2664=sel_Region),OR(sel_Country="All",D2664=sel_Country),OR(sel_Channel="All",E2664=sel_Channel),OR(sel_Customer="All",F2664=sel_Customer),OR(sel_Product="All",H2664=sel_Product),AND(S2664&gt;=m_From,S2664&lt;=m_To)),1,0)</f>
        <v/>
      </c>
      <c r="Z2664" s="36">
        <f>IF(AND(OR(sel_Region="All",C2664=sel_Region),OR(sel_Country="All",D2664=sel_Country),OR(sel_Channel="All",E2664=sel_Channel),OR(sel_Customer="All",F2664=sel_Customer),OR(sel_Category="All",G2664=sel_Category),AND(S2664&gt;=m_From,S2664&lt;=m_To)),1,0)</f>
        <v/>
      </c>
      <c r="AA2664" s="36">
        <f>IF(AND(OR(sel_Region="All",C2664=sel_Region),OR(sel_Country="All",D2664=sel_Country),OR(sel_Channel="All",E2664=sel_Channel),OR(sel_Customer="All",F2664=sel_Customer),OR(sel_Category="All",G2664=sel_Category),OR(sel_Product="All",H2664=sel_Product)),1,0)</f>
        <v/>
      </c>
    </row>
    <row r="2665">
      <c r="A2665" s="36" t="inlineStr">
        <is>
          <t>00007</t>
        </is>
      </c>
      <c r="B2665" s="44" t="n">
        <v>46381</v>
      </c>
      <c r="C2665" s="36" t="inlineStr">
        <is>
          <t>Western Europe</t>
        </is>
      </c>
      <c r="D2665" s="36" t="inlineStr">
        <is>
          <t>United Kingdom</t>
        </is>
      </c>
      <c r="E2665" s="36" t="inlineStr">
        <is>
          <t>Online Store</t>
        </is>
      </c>
      <c r="F2665" s="36" t="inlineStr">
        <is>
          <t>Returning</t>
        </is>
      </c>
      <c r="G2665" s="36" t="inlineStr">
        <is>
          <t>Cycling</t>
        </is>
      </c>
      <c r="H2665" s="36" t="inlineStr">
        <is>
          <t>Cycling Pack 12L</t>
        </is>
      </c>
      <c r="I2665" s="36" t="n">
        <v>5</v>
      </c>
      <c r="J2665" s="39" t="n">
        <v>103.52</v>
      </c>
      <c r="K2665" s="45" t="n">
        <v>0.1</v>
      </c>
      <c r="L2665" s="39" t="n">
        <v>49.1</v>
      </c>
      <c r="M2665" s="39">
        <f>I2665*J2665*(1-K2665)</f>
        <v/>
      </c>
      <c r="N2665" s="39">
        <f>I2665*L2665</f>
        <v/>
      </c>
      <c r="O2665" s="39">
        <f>M2665-N2665</f>
        <v/>
      </c>
      <c r="P2665" s="38">
        <f>IF(M2665=0,0,O2665/M2665)</f>
        <v/>
      </c>
      <c r="Q2665" s="36">
        <f>YEAR(B2665)</f>
        <v/>
      </c>
      <c r="R2665" s="36">
        <f>"Q"&amp;ROUNDUP(MONTH(B2665)/3,0)</f>
        <v/>
      </c>
      <c r="S2665" s="36">
        <f>MONTH(B2665)</f>
        <v/>
      </c>
      <c r="T2665" s="36">
        <f>TEXT(B2665,"mmm")</f>
        <v/>
      </c>
      <c r="U2665" s="36">
        <f>IF(AND(OR(sel_Region="All",C2665=sel_Region),OR(sel_Country="All",D2665=sel_Country),OR(sel_Channel="All",E2665=sel_Channel),OR(sel_Customer="All",F2665=sel_Customer),OR(sel_Category="All",G2665=sel_Category),OR(sel_Product="All",H2665=sel_Product),AND(S2665&gt;=m_From,S2665&lt;=m_To)),1,0)</f>
        <v/>
      </c>
      <c r="V2665" s="36">
        <f>IF(AND(OR(sel_Region="All",C2665=sel_Region),OR(sel_Channel="All",E2665=sel_Channel),OR(sel_Customer="All",F2665=sel_Customer),OR(sel_Category="All",G2665=sel_Category),OR(sel_Product="All",H2665=sel_Product),AND(S2665&gt;=m_From,S2665&lt;=m_To)),1,0)</f>
        <v/>
      </c>
      <c r="W2665" s="36">
        <f>IF(AND(OR(sel_Region="All",C2665=sel_Region),OR(sel_Country="All",D2665=sel_Country),OR(sel_Customer="All",F2665=sel_Customer),OR(sel_Category="All",G2665=sel_Category),OR(sel_Product="All",H2665=sel_Product),AND(S2665&gt;=m_From,S2665&lt;=m_To)),1,0)</f>
        <v/>
      </c>
      <c r="X2665" s="36">
        <f>IF(AND(OR(sel_Region="All",C2665=sel_Region),OR(sel_Country="All",D2665=sel_Country),OR(sel_Channel="All",E2665=sel_Channel),OR(sel_Category="All",G2665=sel_Category),OR(sel_Product="All",H2665=sel_Product),AND(S2665&gt;=m_From,S2665&lt;=m_To)),1,0)</f>
        <v/>
      </c>
      <c r="Y2665" s="36">
        <f>IF(AND(OR(sel_Region="All",C2665=sel_Region),OR(sel_Country="All",D2665=sel_Country),OR(sel_Channel="All",E2665=sel_Channel),OR(sel_Customer="All",F2665=sel_Customer),OR(sel_Product="All",H2665=sel_Product),AND(S2665&gt;=m_From,S2665&lt;=m_To)),1,0)</f>
        <v/>
      </c>
      <c r="Z2665" s="36">
        <f>IF(AND(OR(sel_Region="All",C2665=sel_Region),OR(sel_Country="All",D2665=sel_Country),OR(sel_Channel="All",E2665=sel_Channel),OR(sel_Customer="All",F2665=sel_Customer),OR(sel_Category="All",G2665=sel_Category),AND(S2665&gt;=m_From,S2665&lt;=m_To)),1,0)</f>
        <v/>
      </c>
      <c r="AA2665" s="36">
        <f>IF(AND(OR(sel_Region="All",C2665=sel_Region),OR(sel_Country="All",D2665=sel_Country),OR(sel_Channel="All",E2665=sel_Channel),OR(sel_Customer="All",F2665=sel_Customer),OR(sel_Category="All",G2665=sel_Category),OR(sel_Product="All",H2665=sel_Product)),1,0)</f>
        <v/>
      </c>
    </row>
    <row r="2666">
      <c r="A2666" s="36" t="inlineStr">
        <is>
          <t>00658</t>
        </is>
      </c>
      <c r="B2666" s="44" t="n">
        <v>46381</v>
      </c>
      <c r="C2666" s="36" t="inlineStr">
        <is>
          <t>Central Europe</t>
        </is>
      </c>
      <c r="D2666" s="36" t="inlineStr">
        <is>
          <t>Austria</t>
        </is>
      </c>
      <c r="E2666" s="36" t="inlineStr">
        <is>
          <t>Retail Partners</t>
        </is>
      </c>
      <c r="F2666" s="36" t="inlineStr">
        <is>
          <t>Business</t>
        </is>
      </c>
      <c r="G2666" s="36" t="inlineStr">
        <is>
          <t>Hiking</t>
        </is>
      </c>
      <c r="H2666" s="36" t="inlineStr">
        <is>
          <t>Summit Backpack 45L</t>
        </is>
      </c>
      <c r="I2666" s="36" t="n">
        <v>2</v>
      </c>
      <c r="J2666" s="39" t="n">
        <v>153.39</v>
      </c>
      <c r="K2666" s="45" t="n">
        <v>0.05</v>
      </c>
      <c r="L2666" s="39" t="n">
        <v>78.06</v>
      </c>
      <c r="M2666" s="39">
        <f>I2666*J2666*(1-K2666)</f>
        <v/>
      </c>
      <c r="N2666" s="39">
        <f>I2666*L2666</f>
        <v/>
      </c>
      <c r="O2666" s="39">
        <f>M2666-N2666</f>
        <v/>
      </c>
      <c r="P2666" s="38">
        <f>IF(M2666=0,0,O2666/M2666)</f>
        <v/>
      </c>
      <c r="Q2666" s="36">
        <f>YEAR(B2666)</f>
        <v/>
      </c>
      <c r="R2666" s="36">
        <f>"Q"&amp;ROUNDUP(MONTH(B2666)/3,0)</f>
        <v/>
      </c>
      <c r="S2666" s="36">
        <f>MONTH(B2666)</f>
        <v/>
      </c>
      <c r="T2666" s="36">
        <f>TEXT(B2666,"mmm")</f>
        <v/>
      </c>
      <c r="U2666" s="36">
        <f>IF(AND(OR(sel_Region="All",C2666=sel_Region),OR(sel_Country="All",D2666=sel_Country),OR(sel_Channel="All",E2666=sel_Channel),OR(sel_Customer="All",F2666=sel_Customer),OR(sel_Category="All",G2666=sel_Category),OR(sel_Product="All",H2666=sel_Product),AND(S2666&gt;=m_From,S2666&lt;=m_To)),1,0)</f>
        <v/>
      </c>
      <c r="V2666" s="36">
        <f>IF(AND(OR(sel_Region="All",C2666=sel_Region),OR(sel_Channel="All",E2666=sel_Channel),OR(sel_Customer="All",F2666=sel_Customer),OR(sel_Category="All",G2666=sel_Category),OR(sel_Product="All",H2666=sel_Product),AND(S2666&gt;=m_From,S2666&lt;=m_To)),1,0)</f>
        <v/>
      </c>
      <c r="W2666" s="36">
        <f>IF(AND(OR(sel_Region="All",C2666=sel_Region),OR(sel_Country="All",D2666=sel_Country),OR(sel_Customer="All",F2666=sel_Customer),OR(sel_Category="All",G2666=sel_Category),OR(sel_Product="All",H2666=sel_Product),AND(S2666&gt;=m_From,S2666&lt;=m_To)),1,0)</f>
        <v/>
      </c>
      <c r="X2666" s="36">
        <f>IF(AND(OR(sel_Region="All",C2666=sel_Region),OR(sel_Country="All",D2666=sel_Country),OR(sel_Channel="All",E2666=sel_Channel),OR(sel_Category="All",G2666=sel_Category),OR(sel_Product="All",H2666=sel_Product),AND(S2666&gt;=m_From,S2666&lt;=m_To)),1,0)</f>
        <v/>
      </c>
      <c r="Y2666" s="36">
        <f>IF(AND(OR(sel_Region="All",C2666=sel_Region),OR(sel_Country="All",D2666=sel_Country),OR(sel_Channel="All",E2666=sel_Channel),OR(sel_Customer="All",F2666=sel_Customer),OR(sel_Product="All",H2666=sel_Product),AND(S2666&gt;=m_From,S2666&lt;=m_To)),1,0)</f>
        <v/>
      </c>
      <c r="Z2666" s="36">
        <f>IF(AND(OR(sel_Region="All",C2666=sel_Region),OR(sel_Country="All",D2666=sel_Country),OR(sel_Channel="All",E2666=sel_Channel),OR(sel_Customer="All",F2666=sel_Customer),OR(sel_Category="All",G2666=sel_Category),AND(S2666&gt;=m_From,S2666&lt;=m_To)),1,0)</f>
        <v/>
      </c>
      <c r="AA2666" s="36">
        <f>IF(AND(OR(sel_Region="All",C2666=sel_Region),OR(sel_Country="All",D2666=sel_Country),OR(sel_Channel="All",E2666=sel_Channel),OR(sel_Customer="All",F2666=sel_Customer),OR(sel_Category="All",G2666=sel_Category),OR(sel_Product="All",H2666=sel_Product)),1,0)</f>
        <v/>
      </c>
    </row>
    <row r="2667">
      <c r="A2667" s="36" t="inlineStr">
        <is>
          <t>01192</t>
        </is>
      </c>
      <c r="B2667" s="44" t="n">
        <v>46381</v>
      </c>
      <c r="C2667" s="36" t="inlineStr">
        <is>
          <t>Western Europe</t>
        </is>
      </c>
      <c r="D2667" s="36" t="inlineStr">
        <is>
          <t>France</t>
        </is>
      </c>
      <c r="E2667" s="36" t="inlineStr">
        <is>
          <t>Corporate</t>
        </is>
      </c>
      <c r="F2667" s="36" t="inlineStr">
        <is>
          <t>Business</t>
        </is>
      </c>
      <c r="G2667" s="36" t="inlineStr">
        <is>
          <t>Fitness</t>
        </is>
      </c>
      <c r="H2667" s="36" t="inlineStr">
        <is>
          <t>Resistance Band Set</t>
        </is>
      </c>
      <c r="I2667" s="36" t="n">
        <v>6</v>
      </c>
      <c r="J2667" s="39" t="n">
        <v>39.49</v>
      </c>
      <c r="K2667" s="45" t="n">
        <v>0.05</v>
      </c>
      <c r="L2667" s="39" t="n">
        <v>14.49</v>
      </c>
      <c r="M2667" s="39">
        <f>I2667*J2667*(1-K2667)</f>
        <v/>
      </c>
      <c r="N2667" s="39">
        <f>I2667*L2667</f>
        <v/>
      </c>
      <c r="O2667" s="39">
        <f>M2667-N2667</f>
        <v/>
      </c>
      <c r="P2667" s="38">
        <f>IF(M2667=0,0,O2667/M2667)</f>
        <v/>
      </c>
      <c r="Q2667" s="36">
        <f>YEAR(B2667)</f>
        <v/>
      </c>
      <c r="R2667" s="36">
        <f>"Q"&amp;ROUNDUP(MONTH(B2667)/3,0)</f>
        <v/>
      </c>
      <c r="S2667" s="36">
        <f>MONTH(B2667)</f>
        <v/>
      </c>
      <c r="T2667" s="36">
        <f>TEXT(B2667,"mmm")</f>
        <v/>
      </c>
      <c r="U2667" s="36">
        <f>IF(AND(OR(sel_Region="All",C2667=sel_Region),OR(sel_Country="All",D2667=sel_Country),OR(sel_Channel="All",E2667=sel_Channel),OR(sel_Customer="All",F2667=sel_Customer),OR(sel_Category="All",G2667=sel_Category),OR(sel_Product="All",H2667=sel_Product),AND(S2667&gt;=m_From,S2667&lt;=m_To)),1,0)</f>
        <v/>
      </c>
      <c r="V2667" s="36">
        <f>IF(AND(OR(sel_Region="All",C2667=sel_Region),OR(sel_Channel="All",E2667=sel_Channel),OR(sel_Customer="All",F2667=sel_Customer),OR(sel_Category="All",G2667=sel_Category),OR(sel_Product="All",H2667=sel_Product),AND(S2667&gt;=m_From,S2667&lt;=m_To)),1,0)</f>
        <v/>
      </c>
      <c r="W2667" s="36">
        <f>IF(AND(OR(sel_Region="All",C2667=sel_Region),OR(sel_Country="All",D2667=sel_Country),OR(sel_Customer="All",F2667=sel_Customer),OR(sel_Category="All",G2667=sel_Category),OR(sel_Product="All",H2667=sel_Product),AND(S2667&gt;=m_From,S2667&lt;=m_To)),1,0)</f>
        <v/>
      </c>
      <c r="X2667" s="36">
        <f>IF(AND(OR(sel_Region="All",C2667=sel_Region),OR(sel_Country="All",D2667=sel_Country),OR(sel_Channel="All",E2667=sel_Channel),OR(sel_Category="All",G2667=sel_Category),OR(sel_Product="All",H2667=sel_Product),AND(S2667&gt;=m_From,S2667&lt;=m_To)),1,0)</f>
        <v/>
      </c>
      <c r="Y2667" s="36">
        <f>IF(AND(OR(sel_Region="All",C2667=sel_Region),OR(sel_Country="All",D2667=sel_Country),OR(sel_Channel="All",E2667=sel_Channel),OR(sel_Customer="All",F2667=sel_Customer),OR(sel_Product="All",H2667=sel_Product),AND(S2667&gt;=m_From,S2667&lt;=m_To)),1,0)</f>
        <v/>
      </c>
      <c r="Z2667" s="36">
        <f>IF(AND(OR(sel_Region="All",C2667=sel_Region),OR(sel_Country="All",D2667=sel_Country),OR(sel_Channel="All",E2667=sel_Channel),OR(sel_Customer="All",F2667=sel_Customer),OR(sel_Category="All",G2667=sel_Category),AND(S2667&gt;=m_From,S2667&lt;=m_To)),1,0)</f>
        <v/>
      </c>
      <c r="AA2667" s="36">
        <f>IF(AND(OR(sel_Region="All",C2667=sel_Region),OR(sel_Country="All",D2667=sel_Country),OR(sel_Channel="All",E2667=sel_Channel),OR(sel_Customer="All",F2667=sel_Customer),OR(sel_Category="All",G2667=sel_Category),OR(sel_Product="All",H2667=sel_Product)),1,0)</f>
        <v/>
      </c>
    </row>
    <row r="2668">
      <c r="A2668" s="36" t="inlineStr">
        <is>
          <t>03852</t>
        </is>
      </c>
      <c r="B2668" s="44" t="n">
        <v>46381</v>
      </c>
      <c r="C2668" s="36" t="inlineStr">
        <is>
          <t>Northern Europe</t>
        </is>
      </c>
      <c r="D2668" s="36" t="inlineStr">
        <is>
          <t>Sweden</t>
        </is>
      </c>
      <c r="E2668" s="36" t="inlineStr">
        <is>
          <t>Retail Partners</t>
        </is>
      </c>
      <c r="F2668" s="36" t="inlineStr">
        <is>
          <t>Business</t>
        </is>
      </c>
      <c r="G2668" s="36" t="inlineStr">
        <is>
          <t>Fitness</t>
        </is>
      </c>
      <c r="H2668" s="36" t="inlineStr">
        <is>
          <t>Recovery Roller</t>
        </is>
      </c>
      <c r="I2668" s="36" t="n">
        <v>1</v>
      </c>
      <c r="J2668" s="39" t="n">
        <v>35.54</v>
      </c>
      <c r="K2668" s="45" t="n">
        <v>0.1</v>
      </c>
      <c r="L2668" s="39" t="n">
        <v>13.63</v>
      </c>
      <c r="M2668" s="39">
        <f>I2668*J2668*(1-K2668)</f>
        <v/>
      </c>
      <c r="N2668" s="39">
        <f>I2668*L2668</f>
        <v/>
      </c>
      <c r="O2668" s="39">
        <f>M2668-N2668</f>
        <v/>
      </c>
      <c r="P2668" s="38">
        <f>IF(M2668=0,0,O2668/M2668)</f>
        <v/>
      </c>
      <c r="Q2668" s="36">
        <f>YEAR(B2668)</f>
        <v/>
      </c>
      <c r="R2668" s="36">
        <f>"Q"&amp;ROUNDUP(MONTH(B2668)/3,0)</f>
        <v/>
      </c>
      <c r="S2668" s="36">
        <f>MONTH(B2668)</f>
        <v/>
      </c>
      <c r="T2668" s="36">
        <f>TEXT(B2668,"mmm")</f>
        <v/>
      </c>
      <c r="U2668" s="36">
        <f>IF(AND(OR(sel_Region="All",C2668=sel_Region),OR(sel_Country="All",D2668=sel_Country),OR(sel_Channel="All",E2668=sel_Channel),OR(sel_Customer="All",F2668=sel_Customer),OR(sel_Category="All",G2668=sel_Category),OR(sel_Product="All",H2668=sel_Product),AND(S2668&gt;=m_From,S2668&lt;=m_To)),1,0)</f>
        <v/>
      </c>
      <c r="V2668" s="36">
        <f>IF(AND(OR(sel_Region="All",C2668=sel_Region),OR(sel_Channel="All",E2668=sel_Channel),OR(sel_Customer="All",F2668=sel_Customer),OR(sel_Category="All",G2668=sel_Category),OR(sel_Product="All",H2668=sel_Product),AND(S2668&gt;=m_From,S2668&lt;=m_To)),1,0)</f>
        <v/>
      </c>
      <c r="W2668" s="36">
        <f>IF(AND(OR(sel_Region="All",C2668=sel_Region),OR(sel_Country="All",D2668=sel_Country),OR(sel_Customer="All",F2668=sel_Customer),OR(sel_Category="All",G2668=sel_Category),OR(sel_Product="All",H2668=sel_Product),AND(S2668&gt;=m_From,S2668&lt;=m_To)),1,0)</f>
        <v/>
      </c>
      <c r="X2668" s="36">
        <f>IF(AND(OR(sel_Region="All",C2668=sel_Region),OR(sel_Country="All",D2668=sel_Country),OR(sel_Channel="All",E2668=sel_Channel),OR(sel_Category="All",G2668=sel_Category),OR(sel_Product="All",H2668=sel_Product),AND(S2668&gt;=m_From,S2668&lt;=m_To)),1,0)</f>
        <v/>
      </c>
      <c r="Y2668" s="36">
        <f>IF(AND(OR(sel_Region="All",C2668=sel_Region),OR(sel_Country="All",D2668=sel_Country),OR(sel_Channel="All",E2668=sel_Channel),OR(sel_Customer="All",F2668=sel_Customer),OR(sel_Product="All",H2668=sel_Product),AND(S2668&gt;=m_From,S2668&lt;=m_To)),1,0)</f>
        <v/>
      </c>
      <c r="Z2668" s="36">
        <f>IF(AND(OR(sel_Region="All",C2668=sel_Region),OR(sel_Country="All",D2668=sel_Country),OR(sel_Channel="All",E2668=sel_Channel),OR(sel_Customer="All",F2668=sel_Customer),OR(sel_Category="All",G2668=sel_Category),AND(S2668&gt;=m_From,S2668&lt;=m_To)),1,0)</f>
        <v/>
      </c>
      <c r="AA2668" s="36">
        <f>IF(AND(OR(sel_Region="All",C2668=sel_Region),OR(sel_Country="All",D2668=sel_Country),OR(sel_Channel="All",E2668=sel_Channel),OR(sel_Customer="All",F2668=sel_Customer),OR(sel_Category="All",G2668=sel_Category),OR(sel_Product="All",H2668=sel_Product)),1,0)</f>
        <v/>
      </c>
    </row>
    <row r="2669">
      <c r="A2669" s="36" t="inlineStr">
        <is>
          <t>04507</t>
        </is>
      </c>
      <c r="B2669" s="44" t="n">
        <v>46381</v>
      </c>
      <c r="C2669" s="36" t="inlineStr">
        <is>
          <t>Central Europe</t>
        </is>
      </c>
      <c r="D2669" s="36" t="inlineStr">
        <is>
          <t>Germany</t>
        </is>
      </c>
      <c r="E2669" s="36" t="inlineStr">
        <is>
          <t>Marketplace</t>
        </is>
      </c>
      <c r="F2669" s="36" t="inlineStr">
        <is>
          <t>Returning</t>
        </is>
      </c>
      <c r="G2669" s="36" t="inlineStr">
        <is>
          <t>Travel</t>
        </is>
      </c>
      <c r="H2669" s="36" t="inlineStr">
        <is>
          <t>Travel Backpack 35L</t>
        </is>
      </c>
      <c r="I2669" s="36" t="n">
        <v>2</v>
      </c>
      <c r="J2669" s="39" t="n">
        <v>167.21</v>
      </c>
      <c r="K2669" s="45" t="n">
        <v>0.05</v>
      </c>
      <c r="L2669" s="39" t="n">
        <v>88.23</v>
      </c>
      <c r="M2669" s="39">
        <f>I2669*J2669*(1-K2669)</f>
        <v/>
      </c>
      <c r="N2669" s="39">
        <f>I2669*L2669</f>
        <v/>
      </c>
      <c r="O2669" s="39">
        <f>M2669-N2669</f>
        <v/>
      </c>
      <c r="P2669" s="38">
        <f>IF(M2669=0,0,O2669/M2669)</f>
        <v/>
      </c>
      <c r="Q2669" s="36">
        <f>YEAR(B2669)</f>
        <v/>
      </c>
      <c r="R2669" s="36">
        <f>"Q"&amp;ROUNDUP(MONTH(B2669)/3,0)</f>
        <v/>
      </c>
      <c r="S2669" s="36">
        <f>MONTH(B2669)</f>
        <v/>
      </c>
      <c r="T2669" s="36">
        <f>TEXT(B2669,"mmm")</f>
        <v/>
      </c>
      <c r="U2669" s="36">
        <f>IF(AND(OR(sel_Region="All",C2669=sel_Region),OR(sel_Country="All",D2669=sel_Country),OR(sel_Channel="All",E2669=sel_Channel),OR(sel_Customer="All",F2669=sel_Customer),OR(sel_Category="All",G2669=sel_Category),OR(sel_Product="All",H2669=sel_Product),AND(S2669&gt;=m_From,S2669&lt;=m_To)),1,0)</f>
        <v/>
      </c>
      <c r="V2669" s="36">
        <f>IF(AND(OR(sel_Region="All",C2669=sel_Region),OR(sel_Channel="All",E2669=sel_Channel),OR(sel_Customer="All",F2669=sel_Customer),OR(sel_Category="All",G2669=sel_Category),OR(sel_Product="All",H2669=sel_Product),AND(S2669&gt;=m_From,S2669&lt;=m_To)),1,0)</f>
        <v/>
      </c>
      <c r="W2669" s="36">
        <f>IF(AND(OR(sel_Region="All",C2669=sel_Region),OR(sel_Country="All",D2669=sel_Country),OR(sel_Customer="All",F2669=sel_Customer),OR(sel_Category="All",G2669=sel_Category),OR(sel_Product="All",H2669=sel_Product),AND(S2669&gt;=m_From,S2669&lt;=m_To)),1,0)</f>
        <v/>
      </c>
      <c r="X2669" s="36">
        <f>IF(AND(OR(sel_Region="All",C2669=sel_Region),OR(sel_Country="All",D2669=sel_Country),OR(sel_Channel="All",E2669=sel_Channel),OR(sel_Category="All",G2669=sel_Category),OR(sel_Product="All",H2669=sel_Product),AND(S2669&gt;=m_From,S2669&lt;=m_To)),1,0)</f>
        <v/>
      </c>
      <c r="Y2669" s="36">
        <f>IF(AND(OR(sel_Region="All",C2669=sel_Region),OR(sel_Country="All",D2669=sel_Country),OR(sel_Channel="All",E2669=sel_Channel),OR(sel_Customer="All",F2669=sel_Customer),OR(sel_Product="All",H2669=sel_Product),AND(S2669&gt;=m_From,S2669&lt;=m_To)),1,0)</f>
        <v/>
      </c>
      <c r="Z2669" s="36">
        <f>IF(AND(OR(sel_Region="All",C2669=sel_Region),OR(sel_Country="All",D2669=sel_Country),OR(sel_Channel="All",E2669=sel_Channel),OR(sel_Customer="All",F2669=sel_Customer),OR(sel_Category="All",G2669=sel_Category),AND(S2669&gt;=m_From,S2669&lt;=m_To)),1,0)</f>
        <v/>
      </c>
      <c r="AA2669" s="36">
        <f>IF(AND(OR(sel_Region="All",C2669=sel_Region),OR(sel_Country="All",D2669=sel_Country),OR(sel_Channel="All",E2669=sel_Channel),OR(sel_Customer="All",F2669=sel_Customer),OR(sel_Category="All",G2669=sel_Category),OR(sel_Product="All",H2669=sel_Product)),1,0)</f>
        <v/>
      </c>
    </row>
    <row r="2670">
      <c r="A2670" s="36" t="inlineStr">
        <is>
          <t>00260</t>
        </is>
      </c>
      <c r="B2670" s="44" t="n">
        <v>46382</v>
      </c>
      <c r="C2670" s="36" t="inlineStr">
        <is>
          <t>Northern Europe</t>
        </is>
      </c>
      <c r="D2670" s="36" t="inlineStr">
        <is>
          <t>Sweden</t>
        </is>
      </c>
      <c r="E2670" s="36" t="inlineStr">
        <is>
          <t>Online Store</t>
        </is>
      </c>
      <c r="F2670" s="36" t="inlineStr">
        <is>
          <t>Business</t>
        </is>
      </c>
      <c r="G2670" s="36" t="inlineStr">
        <is>
          <t>Hiking</t>
        </is>
      </c>
      <c r="H2670" s="36" t="inlineStr">
        <is>
          <t>Trekking Poles</t>
        </is>
      </c>
      <c r="I2670" s="36" t="n">
        <v>1</v>
      </c>
      <c r="J2670" s="39" t="n">
        <v>71.89</v>
      </c>
      <c r="K2670" s="45" t="n">
        <v>0.1</v>
      </c>
      <c r="L2670" s="39" t="n">
        <v>31.88</v>
      </c>
      <c r="M2670" s="39">
        <f>I2670*J2670*(1-K2670)</f>
        <v/>
      </c>
      <c r="N2670" s="39">
        <f>I2670*L2670</f>
        <v/>
      </c>
      <c r="O2670" s="39">
        <f>M2670-N2670</f>
        <v/>
      </c>
      <c r="P2670" s="38">
        <f>IF(M2670=0,0,O2670/M2670)</f>
        <v/>
      </c>
      <c r="Q2670" s="36">
        <f>YEAR(B2670)</f>
        <v/>
      </c>
      <c r="R2670" s="36">
        <f>"Q"&amp;ROUNDUP(MONTH(B2670)/3,0)</f>
        <v/>
      </c>
      <c r="S2670" s="36">
        <f>MONTH(B2670)</f>
        <v/>
      </c>
      <c r="T2670" s="36">
        <f>TEXT(B2670,"mmm")</f>
        <v/>
      </c>
      <c r="U2670" s="36">
        <f>IF(AND(OR(sel_Region="All",C2670=sel_Region),OR(sel_Country="All",D2670=sel_Country),OR(sel_Channel="All",E2670=sel_Channel),OR(sel_Customer="All",F2670=sel_Customer),OR(sel_Category="All",G2670=sel_Category),OR(sel_Product="All",H2670=sel_Product),AND(S2670&gt;=m_From,S2670&lt;=m_To)),1,0)</f>
        <v/>
      </c>
      <c r="V2670" s="36">
        <f>IF(AND(OR(sel_Region="All",C2670=sel_Region),OR(sel_Channel="All",E2670=sel_Channel),OR(sel_Customer="All",F2670=sel_Customer),OR(sel_Category="All",G2670=sel_Category),OR(sel_Product="All",H2670=sel_Product),AND(S2670&gt;=m_From,S2670&lt;=m_To)),1,0)</f>
        <v/>
      </c>
      <c r="W2670" s="36">
        <f>IF(AND(OR(sel_Region="All",C2670=sel_Region),OR(sel_Country="All",D2670=sel_Country),OR(sel_Customer="All",F2670=sel_Customer),OR(sel_Category="All",G2670=sel_Category),OR(sel_Product="All",H2670=sel_Product),AND(S2670&gt;=m_From,S2670&lt;=m_To)),1,0)</f>
        <v/>
      </c>
      <c r="X2670" s="36">
        <f>IF(AND(OR(sel_Region="All",C2670=sel_Region),OR(sel_Country="All",D2670=sel_Country),OR(sel_Channel="All",E2670=sel_Channel),OR(sel_Category="All",G2670=sel_Category),OR(sel_Product="All",H2670=sel_Product),AND(S2670&gt;=m_From,S2670&lt;=m_To)),1,0)</f>
        <v/>
      </c>
      <c r="Y2670" s="36">
        <f>IF(AND(OR(sel_Region="All",C2670=sel_Region),OR(sel_Country="All",D2670=sel_Country),OR(sel_Channel="All",E2670=sel_Channel),OR(sel_Customer="All",F2670=sel_Customer),OR(sel_Product="All",H2670=sel_Product),AND(S2670&gt;=m_From,S2670&lt;=m_To)),1,0)</f>
        <v/>
      </c>
      <c r="Z2670" s="36">
        <f>IF(AND(OR(sel_Region="All",C2670=sel_Region),OR(sel_Country="All",D2670=sel_Country),OR(sel_Channel="All",E2670=sel_Channel),OR(sel_Customer="All",F2670=sel_Customer),OR(sel_Category="All",G2670=sel_Category),AND(S2670&gt;=m_From,S2670&lt;=m_To)),1,0)</f>
        <v/>
      </c>
      <c r="AA2670" s="36">
        <f>IF(AND(OR(sel_Region="All",C2670=sel_Region),OR(sel_Country="All",D2670=sel_Country),OR(sel_Channel="All",E2670=sel_Channel),OR(sel_Customer="All",F2670=sel_Customer),OR(sel_Category="All",G2670=sel_Category),OR(sel_Product="All",H2670=sel_Product)),1,0)</f>
        <v/>
      </c>
    </row>
    <row r="2671">
      <c r="A2671" s="36" t="inlineStr">
        <is>
          <t>01659</t>
        </is>
      </c>
      <c r="B2671" s="44" t="n">
        <v>46382</v>
      </c>
      <c r="C2671" s="36" t="inlineStr">
        <is>
          <t>Southern Europe</t>
        </is>
      </c>
      <c r="D2671" s="36" t="inlineStr">
        <is>
          <t>Italy</t>
        </is>
      </c>
      <c r="E2671" s="36" t="inlineStr">
        <is>
          <t>Retail Partners</t>
        </is>
      </c>
      <c r="F2671" s="36" t="inlineStr">
        <is>
          <t>New</t>
        </is>
      </c>
      <c r="G2671" s="36" t="inlineStr">
        <is>
          <t>Travel</t>
        </is>
      </c>
      <c r="H2671" s="36" t="inlineStr">
        <is>
          <t>Carry-On Duffel</t>
        </is>
      </c>
      <c r="I2671" s="36" t="n">
        <v>1</v>
      </c>
      <c r="J2671" s="39" t="n">
        <v>133.56</v>
      </c>
      <c r="K2671" s="45" t="n">
        <v>0.05</v>
      </c>
      <c r="L2671" s="39" t="n">
        <v>68.73999999999999</v>
      </c>
      <c r="M2671" s="39">
        <f>I2671*J2671*(1-K2671)</f>
        <v/>
      </c>
      <c r="N2671" s="39">
        <f>I2671*L2671</f>
        <v/>
      </c>
      <c r="O2671" s="39">
        <f>M2671-N2671</f>
        <v/>
      </c>
      <c r="P2671" s="38">
        <f>IF(M2671=0,0,O2671/M2671)</f>
        <v/>
      </c>
      <c r="Q2671" s="36">
        <f>YEAR(B2671)</f>
        <v/>
      </c>
      <c r="R2671" s="36">
        <f>"Q"&amp;ROUNDUP(MONTH(B2671)/3,0)</f>
        <v/>
      </c>
      <c r="S2671" s="36">
        <f>MONTH(B2671)</f>
        <v/>
      </c>
      <c r="T2671" s="36">
        <f>TEXT(B2671,"mmm")</f>
        <v/>
      </c>
      <c r="U2671" s="36">
        <f>IF(AND(OR(sel_Region="All",C2671=sel_Region),OR(sel_Country="All",D2671=sel_Country),OR(sel_Channel="All",E2671=sel_Channel),OR(sel_Customer="All",F2671=sel_Customer),OR(sel_Category="All",G2671=sel_Category),OR(sel_Product="All",H2671=sel_Product),AND(S2671&gt;=m_From,S2671&lt;=m_To)),1,0)</f>
        <v/>
      </c>
      <c r="V2671" s="36">
        <f>IF(AND(OR(sel_Region="All",C2671=sel_Region),OR(sel_Channel="All",E2671=sel_Channel),OR(sel_Customer="All",F2671=sel_Customer),OR(sel_Category="All",G2671=sel_Category),OR(sel_Product="All",H2671=sel_Product),AND(S2671&gt;=m_From,S2671&lt;=m_To)),1,0)</f>
        <v/>
      </c>
      <c r="W2671" s="36">
        <f>IF(AND(OR(sel_Region="All",C2671=sel_Region),OR(sel_Country="All",D2671=sel_Country),OR(sel_Customer="All",F2671=sel_Customer),OR(sel_Category="All",G2671=sel_Category),OR(sel_Product="All",H2671=sel_Product),AND(S2671&gt;=m_From,S2671&lt;=m_To)),1,0)</f>
        <v/>
      </c>
      <c r="X2671" s="36">
        <f>IF(AND(OR(sel_Region="All",C2671=sel_Region),OR(sel_Country="All",D2671=sel_Country),OR(sel_Channel="All",E2671=sel_Channel),OR(sel_Category="All",G2671=sel_Category),OR(sel_Product="All",H2671=sel_Product),AND(S2671&gt;=m_From,S2671&lt;=m_To)),1,0)</f>
        <v/>
      </c>
      <c r="Y2671" s="36">
        <f>IF(AND(OR(sel_Region="All",C2671=sel_Region),OR(sel_Country="All",D2671=sel_Country),OR(sel_Channel="All",E2671=sel_Channel),OR(sel_Customer="All",F2671=sel_Customer),OR(sel_Product="All",H2671=sel_Product),AND(S2671&gt;=m_From,S2671&lt;=m_To)),1,0)</f>
        <v/>
      </c>
      <c r="Z2671" s="36">
        <f>IF(AND(OR(sel_Region="All",C2671=sel_Region),OR(sel_Country="All",D2671=sel_Country),OR(sel_Channel="All",E2671=sel_Channel),OR(sel_Customer="All",F2671=sel_Customer),OR(sel_Category="All",G2671=sel_Category),AND(S2671&gt;=m_From,S2671&lt;=m_To)),1,0)</f>
        <v/>
      </c>
      <c r="AA2671" s="36">
        <f>IF(AND(OR(sel_Region="All",C2671=sel_Region),OR(sel_Country="All",D2671=sel_Country),OR(sel_Channel="All",E2671=sel_Channel),OR(sel_Customer="All",F2671=sel_Customer),OR(sel_Category="All",G2671=sel_Category),OR(sel_Product="All",H2671=sel_Product)),1,0)</f>
        <v/>
      </c>
    </row>
    <row r="2672">
      <c r="A2672" s="36" t="inlineStr">
        <is>
          <t>03188</t>
        </is>
      </c>
      <c r="B2672" s="44" t="n">
        <v>46382</v>
      </c>
      <c r="C2672" s="36" t="inlineStr">
        <is>
          <t>Western Europe</t>
        </is>
      </c>
      <c r="D2672" s="36" t="inlineStr">
        <is>
          <t>Netherlands</t>
        </is>
      </c>
      <c r="E2672" s="36" t="inlineStr">
        <is>
          <t>Marketplace</t>
        </is>
      </c>
      <c r="F2672" s="36" t="inlineStr">
        <is>
          <t>New</t>
        </is>
      </c>
      <c r="G2672" s="36" t="inlineStr">
        <is>
          <t>Camping</t>
        </is>
      </c>
      <c r="H2672" s="36" t="inlineStr">
        <is>
          <t>Compact Sleeping Bag</t>
        </is>
      </c>
      <c r="I2672" s="36" t="n">
        <v>2</v>
      </c>
      <c r="J2672" s="39" t="n">
        <v>122.28</v>
      </c>
      <c r="K2672" s="45" t="n">
        <v>0.1</v>
      </c>
      <c r="L2672" s="39" t="n">
        <v>61.64</v>
      </c>
      <c r="M2672" s="39">
        <f>I2672*J2672*(1-K2672)</f>
        <v/>
      </c>
      <c r="N2672" s="39">
        <f>I2672*L2672</f>
        <v/>
      </c>
      <c r="O2672" s="39">
        <f>M2672-N2672</f>
        <v/>
      </c>
      <c r="P2672" s="38">
        <f>IF(M2672=0,0,O2672/M2672)</f>
        <v/>
      </c>
      <c r="Q2672" s="36">
        <f>YEAR(B2672)</f>
        <v/>
      </c>
      <c r="R2672" s="36">
        <f>"Q"&amp;ROUNDUP(MONTH(B2672)/3,0)</f>
        <v/>
      </c>
      <c r="S2672" s="36">
        <f>MONTH(B2672)</f>
        <v/>
      </c>
      <c r="T2672" s="36">
        <f>TEXT(B2672,"mmm")</f>
        <v/>
      </c>
      <c r="U2672" s="36">
        <f>IF(AND(OR(sel_Region="All",C2672=sel_Region),OR(sel_Country="All",D2672=sel_Country),OR(sel_Channel="All",E2672=sel_Channel),OR(sel_Customer="All",F2672=sel_Customer),OR(sel_Category="All",G2672=sel_Category),OR(sel_Product="All",H2672=sel_Product),AND(S2672&gt;=m_From,S2672&lt;=m_To)),1,0)</f>
        <v/>
      </c>
      <c r="V2672" s="36">
        <f>IF(AND(OR(sel_Region="All",C2672=sel_Region),OR(sel_Channel="All",E2672=sel_Channel),OR(sel_Customer="All",F2672=sel_Customer),OR(sel_Category="All",G2672=sel_Category),OR(sel_Product="All",H2672=sel_Product),AND(S2672&gt;=m_From,S2672&lt;=m_To)),1,0)</f>
        <v/>
      </c>
      <c r="W2672" s="36">
        <f>IF(AND(OR(sel_Region="All",C2672=sel_Region),OR(sel_Country="All",D2672=sel_Country),OR(sel_Customer="All",F2672=sel_Customer),OR(sel_Category="All",G2672=sel_Category),OR(sel_Product="All",H2672=sel_Product),AND(S2672&gt;=m_From,S2672&lt;=m_To)),1,0)</f>
        <v/>
      </c>
      <c r="X2672" s="36">
        <f>IF(AND(OR(sel_Region="All",C2672=sel_Region),OR(sel_Country="All",D2672=sel_Country),OR(sel_Channel="All",E2672=sel_Channel),OR(sel_Category="All",G2672=sel_Category),OR(sel_Product="All",H2672=sel_Product),AND(S2672&gt;=m_From,S2672&lt;=m_To)),1,0)</f>
        <v/>
      </c>
      <c r="Y2672" s="36">
        <f>IF(AND(OR(sel_Region="All",C2672=sel_Region),OR(sel_Country="All",D2672=sel_Country),OR(sel_Channel="All",E2672=sel_Channel),OR(sel_Customer="All",F2672=sel_Customer),OR(sel_Product="All",H2672=sel_Product),AND(S2672&gt;=m_From,S2672&lt;=m_To)),1,0)</f>
        <v/>
      </c>
      <c r="Z2672" s="36">
        <f>IF(AND(OR(sel_Region="All",C2672=sel_Region),OR(sel_Country="All",D2672=sel_Country),OR(sel_Channel="All",E2672=sel_Channel),OR(sel_Customer="All",F2672=sel_Customer),OR(sel_Category="All",G2672=sel_Category),AND(S2672&gt;=m_From,S2672&lt;=m_To)),1,0)</f>
        <v/>
      </c>
      <c r="AA2672" s="36">
        <f>IF(AND(OR(sel_Region="All",C2672=sel_Region),OR(sel_Country="All",D2672=sel_Country),OR(sel_Channel="All",E2672=sel_Channel),OR(sel_Customer="All",F2672=sel_Customer),OR(sel_Category="All",G2672=sel_Category),OR(sel_Product="All",H2672=sel_Product)),1,0)</f>
        <v/>
      </c>
    </row>
    <row r="2673">
      <c r="A2673" s="36" t="inlineStr">
        <is>
          <t>03673</t>
        </is>
      </c>
      <c r="B2673" s="44" t="n">
        <v>46382</v>
      </c>
      <c r="C2673" s="36" t="inlineStr">
        <is>
          <t>Southern Europe</t>
        </is>
      </c>
      <c r="D2673" s="36" t="inlineStr">
        <is>
          <t>Italy</t>
        </is>
      </c>
      <c r="E2673" s="36" t="inlineStr">
        <is>
          <t>Online Store</t>
        </is>
      </c>
      <c r="F2673" s="36" t="inlineStr">
        <is>
          <t>Business</t>
        </is>
      </c>
      <c r="G2673" s="36" t="inlineStr">
        <is>
          <t>Fitness</t>
        </is>
      </c>
      <c r="H2673" s="36" t="inlineStr">
        <is>
          <t>Resistance Band Set</t>
        </is>
      </c>
      <c r="I2673" s="36" t="n">
        <v>1</v>
      </c>
      <c r="J2673" s="39" t="n">
        <v>40.62</v>
      </c>
      <c r="K2673" s="45" t="n">
        <v>0</v>
      </c>
      <c r="L2673" s="39" t="n">
        <v>14.62</v>
      </c>
      <c r="M2673" s="39">
        <f>I2673*J2673*(1-K2673)</f>
        <v/>
      </c>
      <c r="N2673" s="39">
        <f>I2673*L2673</f>
        <v/>
      </c>
      <c r="O2673" s="39">
        <f>M2673-N2673</f>
        <v/>
      </c>
      <c r="P2673" s="38">
        <f>IF(M2673=0,0,O2673/M2673)</f>
        <v/>
      </c>
      <c r="Q2673" s="36">
        <f>YEAR(B2673)</f>
        <v/>
      </c>
      <c r="R2673" s="36">
        <f>"Q"&amp;ROUNDUP(MONTH(B2673)/3,0)</f>
        <v/>
      </c>
      <c r="S2673" s="36">
        <f>MONTH(B2673)</f>
        <v/>
      </c>
      <c r="T2673" s="36">
        <f>TEXT(B2673,"mmm")</f>
        <v/>
      </c>
      <c r="U2673" s="36">
        <f>IF(AND(OR(sel_Region="All",C2673=sel_Region),OR(sel_Country="All",D2673=sel_Country),OR(sel_Channel="All",E2673=sel_Channel),OR(sel_Customer="All",F2673=sel_Customer),OR(sel_Category="All",G2673=sel_Category),OR(sel_Product="All",H2673=sel_Product),AND(S2673&gt;=m_From,S2673&lt;=m_To)),1,0)</f>
        <v/>
      </c>
      <c r="V2673" s="36">
        <f>IF(AND(OR(sel_Region="All",C2673=sel_Region),OR(sel_Channel="All",E2673=sel_Channel),OR(sel_Customer="All",F2673=sel_Customer),OR(sel_Category="All",G2673=sel_Category),OR(sel_Product="All",H2673=sel_Product),AND(S2673&gt;=m_From,S2673&lt;=m_To)),1,0)</f>
        <v/>
      </c>
      <c r="W2673" s="36">
        <f>IF(AND(OR(sel_Region="All",C2673=sel_Region),OR(sel_Country="All",D2673=sel_Country),OR(sel_Customer="All",F2673=sel_Customer),OR(sel_Category="All",G2673=sel_Category),OR(sel_Product="All",H2673=sel_Product),AND(S2673&gt;=m_From,S2673&lt;=m_To)),1,0)</f>
        <v/>
      </c>
      <c r="X2673" s="36">
        <f>IF(AND(OR(sel_Region="All",C2673=sel_Region),OR(sel_Country="All",D2673=sel_Country),OR(sel_Channel="All",E2673=sel_Channel),OR(sel_Category="All",G2673=sel_Category),OR(sel_Product="All",H2673=sel_Product),AND(S2673&gt;=m_From,S2673&lt;=m_To)),1,0)</f>
        <v/>
      </c>
      <c r="Y2673" s="36">
        <f>IF(AND(OR(sel_Region="All",C2673=sel_Region),OR(sel_Country="All",D2673=sel_Country),OR(sel_Channel="All",E2673=sel_Channel),OR(sel_Customer="All",F2673=sel_Customer),OR(sel_Product="All",H2673=sel_Product),AND(S2673&gt;=m_From,S2673&lt;=m_To)),1,0)</f>
        <v/>
      </c>
      <c r="Z2673" s="36">
        <f>IF(AND(OR(sel_Region="All",C2673=sel_Region),OR(sel_Country="All",D2673=sel_Country),OR(sel_Channel="All",E2673=sel_Channel),OR(sel_Customer="All",F2673=sel_Customer),OR(sel_Category="All",G2673=sel_Category),AND(S2673&gt;=m_From,S2673&lt;=m_To)),1,0)</f>
        <v/>
      </c>
      <c r="AA2673" s="36">
        <f>IF(AND(OR(sel_Region="All",C2673=sel_Region),OR(sel_Country="All",D2673=sel_Country),OR(sel_Channel="All",E2673=sel_Channel),OR(sel_Customer="All",F2673=sel_Customer),OR(sel_Category="All",G2673=sel_Category),OR(sel_Product="All",H2673=sel_Product)),1,0)</f>
        <v/>
      </c>
    </row>
    <row r="2674">
      <c r="A2674" s="36" t="inlineStr">
        <is>
          <t>03805</t>
        </is>
      </c>
      <c r="B2674" s="44" t="n">
        <v>46382</v>
      </c>
      <c r="C2674" s="36" t="inlineStr">
        <is>
          <t>Western Europe</t>
        </is>
      </c>
      <c r="D2674" s="36" t="inlineStr">
        <is>
          <t>Belgium</t>
        </is>
      </c>
      <c r="E2674" s="36" t="inlineStr">
        <is>
          <t>Corporate</t>
        </is>
      </c>
      <c r="F2674" s="36" t="inlineStr">
        <is>
          <t>Business</t>
        </is>
      </c>
      <c r="G2674" s="36" t="inlineStr">
        <is>
          <t>Travel</t>
        </is>
      </c>
      <c r="H2674" s="36" t="inlineStr">
        <is>
          <t>Packing Cube Set</t>
        </is>
      </c>
      <c r="I2674" s="36" t="n">
        <v>8</v>
      </c>
      <c r="J2674" s="39" t="n">
        <v>45.54</v>
      </c>
      <c r="K2674" s="45" t="n">
        <v>0.15</v>
      </c>
      <c r="L2674" s="39" t="n">
        <v>18.54</v>
      </c>
      <c r="M2674" s="39">
        <f>I2674*J2674*(1-K2674)</f>
        <v/>
      </c>
      <c r="N2674" s="39">
        <f>I2674*L2674</f>
        <v/>
      </c>
      <c r="O2674" s="39">
        <f>M2674-N2674</f>
        <v/>
      </c>
      <c r="P2674" s="38">
        <f>IF(M2674=0,0,O2674/M2674)</f>
        <v/>
      </c>
      <c r="Q2674" s="36">
        <f>YEAR(B2674)</f>
        <v/>
      </c>
      <c r="R2674" s="36">
        <f>"Q"&amp;ROUNDUP(MONTH(B2674)/3,0)</f>
        <v/>
      </c>
      <c r="S2674" s="36">
        <f>MONTH(B2674)</f>
        <v/>
      </c>
      <c r="T2674" s="36">
        <f>TEXT(B2674,"mmm")</f>
        <v/>
      </c>
      <c r="U2674" s="36">
        <f>IF(AND(OR(sel_Region="All",C2674=sel_Region),OR(sel_Country="All",D2674=sel_Country),OR(sel_Channel="All",E2674=sel_Channel),OR(sel_Customer="All",F2674=sel_Customer),OR(sel_Category="All",G2674=sel_Category),OR(sel_Product="All",H2674=sel_Product),AND(S2674&gt;=m_From,S2674&lt;=m_To)),1,0)</f>
        <v/>
      </c>
      <c r="V2674" s="36">
        <f>IF(AND(OR(sel_Region="All",C2674=sel_Region),OR(sel_Channel="All",E2674=sel_Channel),OR(sel_Customer="All",F2674=sel_Customer),OR(sel_Category="All",G2674=sel_Category),OR(sel_Product="All",H2674=sel_Product),AND(S2674&gt;=m_From,S2674&lt;=m_To)),1,0)</f>
        <v/>
      </c>
      <c r="W2674" s="36">
        <f>IF(AND(OR(sel_Region="All",C2674=sel_Region),OR(sel_Country="All",D2674=sel_Country),OR(sel_Customer="All",F2674=sel_Customer),OR(sel_Category="All",G2674=sel_Category),OR(sel_Product="All",H2674=sel_Product),AND(S2674&gt;=m_From,S2674&lt;=m_To)),1,0)</f>
        <v/>
      </c>
      <c r="X2674" s="36">
        <f>IF(AND(OR(sel_Region="All",C2674=sel_Region),OR(sel_Country="All",D2674=sel_Country),OR(sel_Channel="All",E2674=sel_Channel),OR(sel_Category="All",G2674=sel_Category),OR(sel_Product="All",H2674=sel_Product),AND(S2674&gt;=m_From,S2674&lt;=m_To)),1,0)</f>
        <v/>
      </c>
      <c r="Y2674" s="36">
        <f>IF(AND(OR(sel_Region="All",C2674=sel_Region),OR(sel_Country="All",D2674=sel_Country),OR(sel_Channel="All",E2674=sel_Channel),OR(sel_Customer="All",F2674=sel_Customer),OR(sel_Product="All",H2674=sel_Product),AND(S2674&gt;=m_From,S2674&lt;=m_To)),1,0)</f>
        <v/>
      </c>
      <c r="Z2674" s="36">
        <f>IF(AND(OR(sel_Region="All",C2674=sel_Region),OR(sel_Country="All",D2674=sel_Country),OR(sel_Channel="All",E2674=sel_Channel),OR(sel_Customer="All",F2674=sel_Customer),OR(sel_Category="All",G2674=sel_Category),AND(S2674&gt;=m_From,S2674&lt;=m_To)),1,0)</f>
        <v/>
      </c>
      <c r="AA2674" s="36">
        <f>IF(AND(OR(sel_Region="All",C2674=sel_Region),OR(sel_Country="All",D2674=sel_Country),OR(sel_Channel="All",E2674=sel_Channel),OR(sel_Customer="All",F2674=sel_Customer),OR(sel_Category="All",G2674=sel_Category),OR(sel_Product="All",H2674=sel_Product)),1,0)</f>
        <v/>
      </c>
    </row>
    <row r="2675">
      <c r="A2675" s="36" t="inlineStr">
        <is>
          <t>03945</t>
        </is>
      </c>
      <c r="B2675" s="44" t="n">
        <v>46382</v>
      </c>
      <c r="C2675" s="36" t="inlineStr">
        <is>
          <t>Western Europe</t>
        </is>
      </c>
      <c r="D2675" s="36" t="inlineStr">
        <is>
          <t>France</t>
        </is>
      </c>
      <c r="E2675" s="36" t="inlineStr">
        <is>
          <t>Corporate</t>
        </is>
      </c>
      <c r="F2675" s="36" t="inlineStr">
        <is>
          <t>Business</t>
        </is>
      </c>
      <c r="G2675" s="36" t="inlineStr">
        <is>
          <t>Cycling</t>
        </is>
      </c>
      <c r="H2675" s="36" t="inlineStr">
        <is>
          <t>Trail Bike Light</t>
        </is>
      </c>
      <c r="I2675" s="36" t="n">
        <v>4</v>
      </c>
      <c r="J2675" s="39" t="n">
        <v>50.96</v>
      </c>
      <c r="K2675" s="45" t="n">
        <v>0.1</v>
      </c>
      <c r="L2675" s="39" t="n">
        <v>22.14</v>
      </c>
      <c r="M2675" s="39">
        <f>I2675*J2675*(1-K2675)</f>
        <v/>
      </c>
      <c r="N2675" s="39">
        <f>I2675*L2675</f>
        <v/>
      </c>
      <c r="O2675" s="39">
        <f>M2675-N2675</f>
        <v/>
      </c>
      <c r="P2675" s="38">
        <f>IF(M2675=0,0,O2675/M2675)</f>
        <v/>
      </c>
      <c r="Q2675" s="36">
        <f>YEAR(B2675)</f>
        <v/>
      </c>
      <c r="R2675" s="36">
        <f>"Q"&amp;ROUNDUP(MONTH(B2675)/3,0)</f>
        <v/>
      </c>
      <c r="S2675" s="36">
        <f>MONTH(B2675)</f>
        <v/>
      </c>
      <c r="T2675" s="36">
        <f>TEXT(B2675,"mmm")</f>
        <v/>
      </c>
      <c r="U2675" s="36">
        <f>IF(AND(OR(sel_Region="All",C2675=sel_Region),OR(sel_Country="All",D2675=sel_Country),OR(sel_Channel="All",E2675=sel_Channel),OR(sel_Customer="All",F2675=sel_Customer),OR(sel_Category="All",G2675=sel_Category),OR(sel_Product="All",H2675=sel_Product),AND(S2675&gt;=m_From,S2675&lt;=m_To)),1,0)</f>
        <v/>
      </c>
      <c r="V2675" s="36">
        <f>IF(AND(OR(sel_Region="All",C2675=sel_Region),OR(sel_Channel="All",E2675=sel_Channel),OR(sel_Customer="All",F2675=sel_Customer),OR(sel_Category="All",G2675=sel_Category),OR(sel_Product="All",H2675=sel_Product),AND(S2675&gt;=m_From,S2675&lt;=m_To)),1,0)</f>
        <v/>
      </c>
      <c r="W2675" s="36">
        <f>IF(AND(OR(sel_Region="All",C2675=sel_Region),OR(sel_Country="All",D2675=sel_Country),OR(sel_Customer="All",F2675=sel_Customer),OR(sel_Category="All",G2675=sel_Category),OR(sel_Product="All",H2675=sel_Product),AND(S2675&gt;=m_From,S2675&lt;=m_To)),1,0)</f>
        <v/>
      </c>
      <c r="X2675" s="36">
        <f>IF(AND(OR(sel_Region="All",C2675=sel_Region),OR(sel_Country="All",D2675=sel_Country),OR(sel_Channel="All",E2675=sel_Channel),OR(sel_Category="All",G2675=sel_Category),OR(sel_Product="All",H2675=sel_Product),AND(S2675&gt;=m_From,S2675&lt;=m_To)),1,0)</f>
        <v/>
      </c>
      <c r="Y2675" s="36">
        <f>IF(AND(OR(sel_Region="All",C2675=sel_Region),OR(sel_Country="All",D2675=sel_Country),OR(sel_Channel="All",E2675=sel_Channel),OR(sel_Customer="All",F2675=sel_Customer),OR(sel_Product="All",H2675=sel_Product),AND(S2675&gt;=m_From,S2675&lt;=m_To)),1,0)</f>
        <v/>
      </c>
      <c r="Z2675" s="36">
        <f>IF(AND(OR(sel_Region="All",C2675=sel_Region),OR(sel_Country="All",D2675=sel_Country),OR(sel_Channel="All",E2675=sel_Channel),OR(sel_Customer="All",F2675=sel_Customer),OR(sel_Category="All",G2675=sel_Category),AND(S2675&gt;=m_From,S2675&lt;=m_To)),1,0)</f>
        <v/>
      </c>
      <c r="AA2675" s="36">
        <f>IF(AND(OR(sel_Region="All",C2675=sel_Region),OR(sel_Country="All",D2675=sel_Country),OR(sel_Channel="All",E2675=sel_Channel),OR(sel_Customer="All",F2675=sel_Customer),OR(sel_Category="All",G2675=sel_Category),OR(sel_Product="All",H2675=sel_Product)),1,0)</f>
        <v/>
      </c>
    </row>
    <row r="2676">
      <c r="A2676" s="36" t="inlineStr">
        <is>
          <t>04266</t>
        </is>
      </c>
      <c r="B2676" s="44" t="n">
        <v>46382</v>
      </c>
      <c r="C2676" s="36" t="inlineStr">
        <is>
          <t>Central Europe</t>
        </is>
      </c>
      <c r="D2676" s="36" t="inlineStr">
        <is>
          <t>Czechia</t>
        </is>
      </c>
      <c r="E2676" s="36" t="inlineStr">
        <is>
          <t>Online Store</t>
        </is>
      </c>
      <c r="F2676" s="36" t="inlineStr">
        <is>
          <t>New</t>
        </is>
      </c>
      <c r="G2676" s="36" t="inlineStr">
        <is>
          <t>Cycling</t>
        </is>
      </c>
      <c r="H2676" s="36" t="inlineStr">
        <is>
          <t>Compact Repair Kit</t>
        </is>
      </c>
      <c r="I2676" s="36" t="n">
        <v>4</v>
      </c>
      <c r="J2676" s="39" t="n">
        <v>40.19</v>
      </c>
      <c r="K2676" s="45" t="n">
        <v>0.15</v>
      </c>
      <c r="L2676" s="39" t="n">
        <v>16.55</v>
      </c>
      <c r="M2676" s="39">
        <f>I2676*J2676*(1-K2676)</f>
        <v/>
      </c>
      <c r="N2676" s="39">
        <f>I2676*L2676</f>
        <v/>
      </c>
      <c r="O2676" s="39">
        <f>M2676-N2676</f>
        <v/>
      </c>
      <c r="P2676" s="38">
        <f>IF(M2676=0,0,O2676/M2676)</f>
        <v/>
      </c>
      <c r="Q2676" s="36">
        <f>YEAR(B2676)</f>
        <v/>
      </c>
      <c r="R2676" s="36">
        <f>"Q"&amp;ROUNDUP(MONTH(B2676)/3,0)</f>
        <v/>
      </c>
      <c r="S2676" s="36">
        <f>MONTH(B2676)</f>
        <v/>
      </c>
      <c r="T2676" s="36">
        <f>TEXT(B2676,"mmm")</f>
        <v/>
      </c>
      <c r="U2676" s="36">
        <f>IF(AND(OR(sel_Region="All",C2676=sel_Region),OR(sel_Country="All",D2676=sel_Country),OR(sel_Channel="All",E2676=sel_Channel),OR(sel_Customer="All",F2676=sel_Customer),OR(sel_Category="All",G2676=sel_Category),OR(sel_Product="All",H2676=sel_Product),AND(S2676&gt;=m_From,S2676&lt;=m_To)),1,0)</f>
        <v/>
      </c>
      <c r="V2676" s="36">
        <f>IF(AND(OR(sel_Region="All",C2676=sel_Region),OR(sel_Channel="All",E2676=sel_Channel),OR(sel_Customer="All",F2676=sel_Customer),OR(sel_Category="All",G2676=sel_Category),OR(sel_Product="All",H2676=sel_Product),AND(S2676&gt;=m_From,S2676&lt;=m_To)),1,0)</f>
        <v/>
      </c>
      <c r="W2676" s="36">
        <f>IF(AND(OR(sel_Region="All",C2676=sel_Region),OR(sel_Country="All",D2676=sel_Country),OR(sel_Customer="All",F2676=sel_Customer),OR(sel_Category="All",G2676=sel_Category),OR(sel_Product="All",H2676=sel_Product),AND(S2676&gt;=m_From,S2676&lt;=m_To)),1,0)</f>
        <v/>
      </c>
      <c r="X2676" s="36">
        <f>IF(AND(OR(sel_Region="All",C2676=sel_Region),OR(sel_Country="All",D2676=sel_Country),OR(sel_Channel="All",E2676=sel_Channel),OR(sel_Category="All",G2676=sel_Category),OR(sel_Product="All",H2676=sel_Product),AND(S2676&gt;=m_From,S2676&lt;=m_To)),1,0)</f>
        <v/>
      </c>
      <c r="Y2676" s="36">
        <f>IF(AND(OR(sel_Region="All",C2676=sel_Region),OR(sel_Country="All",D2676=sel_Country),OR(sel_Channel="All",E2676=sel_Channel),OR(sel_Customer="All",F2676=sel_Customer),OR(sel_Product="All",H2676=sel_Product),AND(S2676&gt;=m_From,S2676&lt;=m_To)),1,0)</f>
        <v/>
      </c>
      <c r="Z2676" s="36">
        <f>IF(AND(OR(sel_Region="All",C2676=sel_Region),OR(sel_Country="All",D2676=sel_Country),OR(sel_Channel="All",E2676=sel_Channel),OR(sel_Customer="All",F2676=sel_Customer),OR(sel_Category="All",G2676=sel_Category),AND(S2676&gt;=m_From,S2676&lt;=m_To)),1,0)</f>
        <v/>
      </c>
      <c r="AA2676" s="36">
        <f>IF(AND(OR(sel_Region="All",C2676=sel_Region),OR(sel_Country="All",D2676=sel_Country),OR(sel_Channel="All",E2676=sel_Channel),OR(sel_Customer="All",F2676=sel_Customer),OR(sel_Category="All",G2676=sel_Category),OR(sel_Product="All",H2676=sel_Product)),1,0)</f>
        <v/>
      </c>
    </row>
    <row r="2677">
      <c r="A2677" s="36" t="inlineStr">
        <is>
          <t>00606</t>
        </is>
      </c>
      <c r="B2677" s="44" t="n">
        <v>46383</v>
      </c>
      <c r="C2677" s="36" t="inlineStr">
        <is>
          <t>Central Europe</t>
        </is>
      </c>
      <c r="D2677" s="36" t="inlineStr">
        <is>
          <t>Germany</t>
        </is>
      </c>
      <c r="E2677" s="36" t="inlineStr">
        <is>
          <t>Online Store</t>
        </is>
      </c>
      <c r="F2677" s="36" t="inlineStr">
        <is>
          <t>New</t>
        </is>
      </c>
      <c r="G2677" s="36" t="inlineStr">
        <is>
          <t>Camping</t>
        </is>
      </c>
      <c r="H2677" s="36" t="inlineStr">
        <is>
          <t>Alpine Tent 4P</t>
        </is>
      </c>
      <c r="I2677" s="36" t="n">
        <v>3</v>
      </c>
      <c r="J2677" s="39" t="n">
        <v>333.84</v>
      </c>
      <c r="K2677" s="45" t="n">
        <v>0</v>
      </c>
      <c r="L2677" s="39" t="n">
        <v>193.05</v>
      </c>
      <c r="M2677" s="39">
        <f>I2677*J2677*(1-K2677)</f>
        <v/>
      </c>
      <c r="N2677" s="39">
        <f>I2677*L2677</f>
        <v/>
      </c>
      <c r="O2677" s="39">
        <f>M2677-N2677</f>
        <v/>
      </c>
      <c r="P2677" s="38">
        <f>IF(M2677=0,0,O2677/M2677)</f>
        <v/>
      </c>
      <c r="Q2677" s="36">
        <f>YEAR(B2677)</f>
        <v/>
      </c>
      <c r="R2677" s="36">
        <f>"Q"&amp;ROUNDUP(MONTH(B2677)/3,0)</f>
        <v/>
      </c>
      <c r="S2677" s="36">
        <f>MONTH(B2677)</f>
        <v/>
      </c>
      <c r="T2677" s="36">
        <f>TEXT(B2677,"mmm")</f>
        <v/>
      </c>
      <c r="U2677" s="36">
        <f>IF(AND(OR(sel_Region="All",C2677=sel_Region),OR(sel_Country="All",D2677=sel_Country),OR(sel_Channel="All",E2677=sel_Channel),OR(sel_Customer="All",F2677=sel_Customer),OR(sel_Category="All",G2677=sel_Category),OR(sel_Product="All",H2677=sel_Product),AND(S2677&gt;=m_From,S2677&lt;=m_To)),1,0)</f>
        <v/>
      </c>
      <c r="V2677" s="36">
        <f>IF(AND(OR(sel_Region="All",C2677=sel_Region),OR(sel_Channel="All",E2677=sel_Channel),OR(sel_Customer="All",F2677=sel_Customer),OR(sel_Category="All",G2677=sel_Category),OR(sel_Product="All",H2677=sel_Product),AND(S2677&gt;=m_From,S2677&lt;=m_To)),1,0)</f>
        <v/>
      </c>
      <c r="W2677" s="36">
        <f>IF(AND(OR(sel_Region="All",C2677=sel_Region),OR(sel_Country="All",D2677=sel_Country),OR(sel_Customer="All",F2677=sel_Customer),OR(sel_Category="All",G2677=sel_Category),OR(sel_Product="All",H2677=sel_Product),AND(S2677&gt;=m_From,S2677&lt;=m_To)),1,0)</f>
        <v/>
      </c>
      <c r="X2677" s="36">
        <f>IF(AND(OR(sel_Region="All",C2677=sel_Region),OR(sel_Country="All",D2677=sel_Country),OR(sel_Channel="All",E2677=sel_Channel),OR(sel_Category="All",G2677=sel_Category),OR(sel_Product="All",H2677=sel_Product),AND(S2677&gt;=m_From,S2677&lt;=m_To)),1,0)</f>
        <v/>
      </c>
      <c r="Y2677" s="36">
        <f>IF(AND(OR(sel_Region="All",C2677=sel_Region),OR(sel_Country="All",D2677=sel_Country),OR(sel_Channel="All",E2677=sel_Channel),OR(sel_Customer="All",F2677=sel_Customer),OR(sel_Product="All",H2677=sel_Product),AND(S2677&gt;=m_From,S2677&lt;=m_To)),1,0)</f>
        <v/>
      </c>
      <c r="Z2677" s="36">
        <f>IF(AND(OR(sel_Region="All",C2677=sel_Region),OR(sel_Country="All",D2677=sel_Country),OR(sel_Channel="All",E2677=sel_Channel),OR(sel_Customer="All",F2677=sel_Customer),OR(sel_Category="All",G2677=sel_Category),AND(S2677&gt;=m_From,S2677&lt;=m_To)),1,0)</f>
        <v/>
      </c>
      <c r="AA2677" s="36">
        <f>IF(AND(OR(sel_Region="All",C2677=sel_Region),OR(sel_Country="All",D2677=sel_Country),OR(sel_Channel="All",E2677=sel_Channel),OR(sel_Customer="All",F2677=sel_Customer),OR(sel_Category="All",G2677=sel_Category),OR(sel_Product="All",H2677=sel_Product)),1,0)</f>
        <v/>
      </c>
    </row>
    <row r="2678">
      <c r="A2678" s="36" t="inlineStr">
        <is>
          <t>01166</t>
        </is>
      </c>
      <c r="B2678" s="44" t="n">
        <v>46383</v>
      </c>
      <c r="C2678" s="36" t="inlineStr">
        <is>
          <t>Northern Europe</t>
        </is>
      </c>
      <c r="D2678" s="36" t="inlineStr">
        <is>
          <t>Norway</t>
        </is>
      </c>
      <c r="E2678" s="36" t="inlineStr">
        <is>
          <t>Marketplace</t>
        </is>
      </c>
      <c r="F2678" s="36" t="inlineStr">
        <is>
          <t>Returning</t>
        </is>
      </c>
      <c r="G2678" s="36" t="inlineStr">
        <is>
          <t>Camping</t>
        </is>
      </c>
      <c r="H2678" s="36" t="inlineStr">
        <is>
          <t>Trail Tent 2P</t>
        </is>
      </c>
      <c r="I2678" s="36" t="n">
        <v>2</v>
      </c>
      <c r="J2678" s="39" t="n">
        <v>198.94</v>
      </c>
      <c r="K2678" s="45" t="n">
        <v>0.15</v>
      </c>
      <c r="L2678" s="39" t="n">
        <v>102.32</v>
      </c>
      <c r="M2678" s="39">
        <f>I2678*J2678*(1-K2678)</f>
        <v/>
      </c>
      <c r="N2678" s="39">
        <f>I2678*L2678</f>
        <v/>
      </c>
      <c r="O2678" s="39">
        <f>M2678-N2678</f>
        <v/>
      </c>
      <c r="P2678" s="38">
        <f>IF(M2678=0,0,O2678/M2678)</f>
        <v/>
      </c>
      <c r="Q2678" s="36">
        <f>YEAR(B2678)</f>
        <v/>
      </c>
      <c r="R2678" s="36">
        <f>"Q"&amp;ROUNDUP(MONTH(B2678)/3,0)</f>
        <v/>
      </c>
      <c r="S2678" s="36">
        <f>MONTH(B2678)</f>
        <v/>
      </c>
      <c r="T2678" s="36">
        <f>TEXT(B2678,"mmm")</f>
        <v/>
      </c>
      <c r="U2678" s="36">
        <f>IF(AND(OR(sel_Region="All",C2678=sel_Region),OR(sel_Country="All",D2678=sel_Country),OR(sel_Channel="All",E2678=sel_Channel),OR(sel_Customer="All",F2678=sel_Customer),OR(sel_Category="All",G2678=sel_Category),OR(sel_Product="All",H2678=sel_Product),AND(S2678&gt;=m_From,S2678&lt;=m_To)),1,0)</f>
        <v/>
      </c>
      <c r="V2678" s="36">
        <f>IF(AND(OR(sel_Region="All",C2678=sel_Region),OR(sel_Channel="All",E2678=sel_Channel),OR(sel_Customer="All",F2678=sel_Customer),OR(sel_Category="All",G2678=sel_Category),OR(sel_Product="All",H2678=sel_Product),AND(S2678&gt;=m_From,S2678&lt;=m_To)),1,0)</f>
        <v/>
      </c>
      <c r="W2678" s="36">
        <f>IF(AND(OR(sel_Region="All",C2678=sel_Region),OR(sel_Country="All",D2678=sel_Country),OR(sel_Customer="All",F2678=sel_Customer),OR(sel_Category="All",G2678=sel_Category),OR(sel_Product="All",H2678=sel_Product),AND(S2678&gt;=m_From,S2678&lt;=m_To)),1,0)</f>
        <v/>
      </c>
      <c r="X2678" s="36">
        <f>IF(AND(OR(sel_Region="All",C2678=sel_Region),OR(sel_Country="All",D2678=sel_Country),OR(sel_Channel="All",E2678=sel_Channel),OR(sel_Category="All",G2678=sel_Category),OR(sel_Product="All",H2678=sel_Product),AND(S2678&gt;=m_From,S2678&lt;=m_To)),1,0)</f>
        <v/>
      </c>
      <c r="Y2678" s="36">
        <f>IF(AND(OR(sel_Region="All",C2678=sel_Region),OR(sel_Country="All",D2678=sel_Country),OR(sel_Channel="All",E2678=sel_Channel),OR(sel_Customer="All",F2678=sel_Customer),OR(sel_Product="All",H2678=sel_Product),AND(S2678&gt;=m_From,S2678&lt;=m_To)),1,0)</f>
        <v/>
      </c>
      <c r="Z2678" s="36">
        <f>IF(AND(OR(sel_Region="All",C2678=sel_Region),OR(sel_Country="All",D2678=sel_Country),OR(sel_Channel="All",E2678=sel_Channel),OR(sel_Customer="All",F2678=sel_Customer),OR(sel_Category="All",G2678=sel_Category),AND(S2678&gt;=m_From,S2678&lt;=m_To)),1,0)</f>
        <v/>
      </c>
      <c r="AA2678" s="36">
        <f>IF(AND(OR(sel_Region="All",C2678=sel_Region),OR(sel_Country="All",D2678=sel_Country),OR(sel_Channel="All",E2678=sel_Channel),OR(sel_Customer="All",F2678=sel_Customer),OR(sel_Category="All",G2678=sel_Category),OR(sel_Product="All",H2678=sel_Product)),1,0)</f>
        <v/>
      </c>
    </row>
    <row r="2679">
      <c r="A2679" s="36" t="inlineStr">
        <is>
          <t>01913</t>
        </is>
      </c>
      <c r="B2679" s="44" t="n">
        <v>46383</v>
      </c>
      <c r="C2679" s="36" t="inlineStr">
        <is>
          <t>Northern Europe</t>
        </is>
      </c>
      <c r="D2679" s="36" t="inlineStr">
        <is>
          <t>Denmark</t>
        </is>
      </c>
      <c r="E2679" s="36" t="inlineStr">
        <is>
          <t>Marketplace</t>
        </is>
      </c>
      <c r="F2679" s="36" t="inlineStr">
        <is>
          <t>New</t>
        </is>
      </c>
      <c r="G2679" s="36" t="inlineStr">
        <is>
          <t>Fitness</t>
        </is>
      </c>
      <c r="H2679" s="36" t="inlineStr">
        <is>
          <t>Recovery Roller</t>
        </is>
      </c>
      <c r="I2679" s="36" t="n">
        <v>3</v>
      </c>
      <c r="J2679" s="39" t="n">
        <v>35.98</v>
      </c>
      <c r="K2679" s="45" t="n">
        <v>0</v>
      </c>
      <c r="L2679" s="39" t="n">
        <v>13.6</v>
      </c>
      <c r="M2679" s="39">
        <f>I2679*J2679*(1-K2679)</f>
        <v/>
      </c>
      <c r="N2679" s="39">
        <f>I2679*L2679</f>
        <v/>
      </c>
      <c r="O2679" s="39">
        <f>M2679-N2679</f>
        <v/>
      </c>
      <c r="P2679" s="38">
        <f>IF(M2679=0,0,O2679/M2679)</f>
        <v/>
      </c>
      <c r="Q2679" s="36">
        <f>YEAR(B2679)</f>
        <v/>
      </c>
      <c r="R2679" s="36">
        <f>"Q"&amp;ROUNDUP(MONTH(B2679)/3,0)</f>
        <v/>
      </c>
      <c r="S2679" s="36">
        <f>MONTH(B2679)</f>
        <v/>
      </c>
      <c r="T2679" s="36">
        <f>TEXT(B2679,"mmm")</f>
        <v/>
      </c>
      <c r="U2679" s="36">
        <f>IF(AND(OR(sel_Region="All",C2679=sel_Region),OR(sel_Country="All",D2679=sel_Country),OR(sel_Channel="All",E2679=sel_Channel),OR(sel_Customer="All",F2679=sel_Customer),OR(sel_Category="All",G2679=sel_Category),OR(sel_Product="All",H2679=sel_Product),AND(S2679&gt;=m_From,S2679&lt;=m_To)),1,0)</f>
        <v/>
      </c>
      <c r="V2679" s="36">
        <f>IF(AND(OR(sel_Region="All",C2679=sel_Region),OR(sel_Channel="All",E2679=sel_Channel),OR(sel_Customer="All",F2679=sel_Customer),OR(sel_Category="All",G2679=sel_Category),OR(sel_Product="All",H2679=sel_Product),AND(S2679&gt;=m_From,S2679&lt;=m_To)),1,0)</f>
        <v/>
      </c>
      <c r="W2679" s="36">
        <f>IF(AND(OR(sel_Region="All",C2679=sel_Region),OR(sel_Country="All",D2679=sel_Country),OR(sel_Customer="All",F2679=sel_Customer),OR(sel_Category="All",G2679=sel_Category),OR(sel_Product="All",H2679=sel_Product),AND(S2679&gt;=m_From,S2679&lt;=m_To)),1,0)</f>
        <v/>
      </c>
      <c r="X2679" s="36">
        <f>IF(AND(OR(sel_Region="All",C2679=sel_Region),OR(sel_Country="All",D2679=sel_Country),OR(sel_Channel="All",E2679=sel_Channel),OR(sel_Category="All",G2679=sel_Category),OR(sel_Product="All",H2679=sel_Product),AND(S2679&gt;=m_From,S2679&lt;=m_To)),1,0)</f>
        <v/>
      </c>
      <c r="Y2679" s="36">
        <f>IF(AND(OR(sel_Region="All",C2679=sel_Region),OR(sel_Country="All",D2679=sel_Country),OR(sel_Channel="All",E2679=sel_Channel),OR(sel_Customer="All",F2679=sel_Customer),OR(sel_Product="All",H2679=sel_Product),AND(S2679&gt;=m_From,S2679&lt;=m_To)),1,0)</f>
        <v/>
      </c>
      <c r="Z2679" s="36">
        <f>IF(AND(OR(sel_Region="All",C2679=sel_Region),OR(sel_Country="All",D2679=sel_Country),OR(sel_Channel="All",E2679=sel_Channel),OR(sel_Customer="All",F2679=sel_Customer),OR(sel_Category="All",G2679=sel_Category),AND(S2679&gt;=m_From,S2679&lt;=m_To)),1,0)</f>
        <v/>
      </c>
      <c r="AA2679" s="36">
        <f>IF(AND(OR(sel_Region="All",C2679=sel_Region),OR(sel_Country="All",D2679=sel_Country),OR(sel_Channel="All",E2679=sel_Channel),OR(sel_Customer="All",F2679=sel_Customer),OR(sel_Category="All",G2679=sel_Category),OR(sel_Product="All",H2679=sel_Product)),1,0)</f>
        <v/>
      </c>
    </row>
    <row r="2680">
      <c r="A2680" s="36" t="inlineStr">
        <is>
          <t>02402</t>
        </is>
      </c>
      <c r="B2680" s="44" t="n">
        <v>46383</v>
      </c>
      <c r="C2680" s="36" t="inlineStr">
        <is>
          <t>Central Europe</t>
        </is>
      </c>
      <c r="D2680" s="36" t="inlineStr">
        <is>
          <t>Poland</t>
        </is>
      </c>
      <c r="E2680" s="36" t="inlineStr">
        <is>
          <t>Marketplace</t>
        </is>
      </c>
      <c r="F2680" s="36" t="inlineStr">
        <is>
          <t>New</t>
        </is>
      </c>
      <c r="G2680" s="36" t="inlineStr">
        <is>
          <t>Travel</t>
        </is>
      </c>
      <c r="H2680" s="36" t="inlineStr">
        <is>
          <t>Carry-On Duffel</t>
        </is>
      </c>
      <c r="I2680" s="36" t="n">
        <v>6</v>
      </c>
      <c r="J2680" s="39" t="n">
        <v>133.4</v>
      </c>
      <c r="K2680" s="45" t="n">
        <v>0.1</v>
      </c>
      <c r="L2680" s="39" t="n">
        <v>66.3</v>
      </c>
      <c r="M2680" s="39">
        <f>I2680*J2680*(1-K2680)</f>
        <v/>
      </c>
      <c r="N2680" s="39">
        <f>I2680*L2680</f>
        <v/>
      </c>
      <c r="O2680" s="39">
        <f>M2680-N2680</f>
        <v/>
      </c>
      <c r="P2680" s="38">
        <f>IF(M2680=0,0,O2680/M2680)</f>
        <v/>
      </c>
      <c r="Q2680" s="36">
        <f>YEAR(B2680)</f>
        <v/>
      </c>
      <c r="R2680" s="36">
        <f>"Q"&amp;ROUNDUP(MONTH(B2680)/3,0)</f>
        <v/>
      </c>
      <c r="S2680" s="36">
        <f>MONTH(B2680)</f>
        <v/>
      </c>
      <c r="T2680" s="36">
        <f>TEXT(B2680,"mmm")</f>
        <v/>
      </c>
      <c r="U2680" s="36">
        <f>IF(AND(OR(sel_Region="All",C2680=sel_Region),OR(sel_Country="All",D2680=sel_Country),OR(sel_Channel="All",E2680=sel_Channel),OR(sel_Customer="All",F2680=sel_Customer),OR(sel_Category="All",G2680=sel_Category),OR(sel_Product="All",H2680=sel_Product),AND(S2680&gt;=m_From,S2680&lt;=m_To)),1,0)</f>
        <v/>
      </c>
      <c r="V2680" s="36">
        <f>IF(AND(OR(sel_Region="All",C2680=sel_Region),OR(sel_Channel="All",E2680=sel_Channel),OR(sel_Customer="All",F2680=sel_Customer),OR(sel_Category="All",G2680=sel_Category),OR(sel_Product="All",H2680=sel_Product),AND(S2680&gt;=m_From,S2680&lt;=m_To)),1,0)</f>
        <v/>
      </c>
      <c r="W2680" s="36">
        <f>IF(AND(OR(sel_Region="All",C2680=sel_Region),OR(sel_Country="All",D2680=sel_Country),OR(sel_Customer="All",F2680=sel_Customer),OR(sel_Category="All",G2680=sel_Category),OR(sel_Product="All",H2680=sel_Product),AND(S2680&gt;=m_From,S2680&lt;=m_To)),1,0)</f>
        <v/>
      </c>
      <c r="X2680" s="36">
        <f>IF(AND(OR(sel_Region="All",C2680=sel_Region),OR(sel_Country="All",D2680=sel_Country),OR(sel_Channel="All",E2680=sel_Channel),OR(sel_Category="All",G2680=sel_Category),OR(sel_Product="All",H2680=sel_Product),AND(S2680&gt;=m_From,S2680&lt;=m_To)),1,0)</f>
        <v/>
      </c>
      <c r="Y2680" s="36">
        <f>IF(AND(OR(sel_Region="All",C2680=sel_Region),OR(sel_Country="All",D2680=sel_Country),OR(sel_Channel="All",E2680=sel_Channel),OR(sel_Customer="All",F2680=sel_Customer),OR(sel_Product="All",H2680=sel_Product),AND(S2680&gt;=m_From,S2680&lt;=m_To)),1,0)</f>
        <v/>
      </c>
      <c r="Z2680" s="36">
        <f>IF(AND(OR(sel_Region="All",C2680=sel_Region),OR(sel_Country="All",D2680=sel_Country),OR(sel_Channel="All",E2680=sel_Channel),OR(sel_Customer="All",F2680=sel_Customer),OR(sel_Category="All",G2680=sel_Category),AND(S2680&gt;=m_From,S2680&lt;=m_To)),1,0)</f>
        <v/>
      </c>
      <c r="AA2680" s="36">
        <f>IF(AND(OR(sel_Region="All",C2680=sel_Region),OR(sel_Country="All",D2680=sel_Country),OR(sel_Channel="All",E2680=sel_Channel),OR(sel_Customer="All",F2680=sel_Customer),OR(sel_Category="All",G2680=sel_Category),OR(sel_Product="All",H2680=sel_Product)),1,0)</f>
        <v/>
      </c>
    </row>
    <row r="2681">
      <c r="A2681" s="36" t="inlineStr">
        <is>
          <t>03192</t>
        </is>
      </c>
      <c r="B2681" s="44" t="n">
        <v>46383</v>
      </c>
      <c r="C2681" s="36" t="inlineStr">
        <is>
          <t>Western Europe</t>
        </is>
      </c>
      <c r="D2681" s="36" t="inlineStr">
        <is>
          <t>Netherlands</t>
        </is>
      </c>
      <c r="E2681" s="36" t="inlineStr">
        <is>
          <t>Online Store</t>
        </is>
      </c>
      <c r="F2681" s="36" t="inlineStr">
        <is>
          <t>Returning</t>
        </is>
      </c>
      <c r="G2681" s="36" t="inlineStr">
        <is>
          <t>Hiking</t>
        </is>
      </c>
      <c r="H2681" s="36" t="inlineStr">
        <is>
          <t>Hiking Daypack 20L</t>
        </is>
      </c>
      <c r="I2681" s="36" t="n">
        <v>2</v>
      </c>
      <c r="J2681" s="39" t="n">
        <v>93.45</v>
      </c>
      <c r="K2681" s="45" t="n">
        <v>0</v>
      </c>
      <c r="L2681" s="39" t="n">
        <v>45.75</v>
      </c>
      <c r="M2681" s="39">
        <f>I2681*J2681*(1-K2681)</f>
        <v/>
      </c>
      <c r="N2681" s="39">
        <f>I2681*L2681</f>
        <v/>
      </c>
      <c r="O2681" s="39">
        <f>M2681-N2681</f>
        <v/>
      </c>
      <c r="P2681" s="38">
        <f>IF(M2681=0,0,O2681/M2681)</f>
        <v/>
      </c>
      <c r="Q2681" s="36">
        <f>YEAR(B2681)</f>
        <v/>
      </c>
      <c r="R2681" s="36">
        <f>"Q"&amp;ROUNDUP(MONTH(B2681)/3,0)</f>
        <v/>
      </c>
      <c r="S2681" s="36">
        <f>MONTH(B2681)</f>
        <v/>
      </c>
      <c r="T2681" s="36">
        <f>TEXT(B2681,"mmm")</f>
        <v/>
      </c>
      <c r="U2681" s="36">
        <f>IF(AND(OR(sel_Region="All",C2681=sel_Region),OR(sel_Country="All",D2681=sel_Country),OR(sel_Channel="All",E2681=sel_Channel),OR(sel_Customer="All",F2681=sel_Customer),OR(sel_Category="All",G2681=sel_Category),OR(sel_Product="All",H2681=sel_Product),AND(S2681&gt;=m_From,S2681&lt;=m_To)),1,0)</f>
        <v/>
      </c>
      <c r="V2681" s="36">
        <f>IF(AND(OR(sel_Region="All",C2681=sel_Region),OR(sel_Channel="All",E2681=sel_Channel),OR(sel_Customer="All",F2681=sel_Customer),OR(sel_Category="All",G2681=sel_Category),OR(sel_Product="All",H2681=sel_Product),AND(S2681&gt;=m_From,S2681&lt;=m_To)),1,0)</f>
        <v/>
      </c>
      <c r="W2681" s="36">
        <f>IF(AND(OR(sel_Region="All",C2681=sel_Region),OR(sel_Country="All",D2681=sel_Country),OR(sel_Customer="All",F2681=sel_Customer),OR(sel_Category="All",G2681=sel_Category),OR(sel_Product="All",H2681=sel_Product),AND(S2681&gt;=m_From,S2681&lt;=m_To)),1,0)</f>
        <v/>
      </c>
      <c r="X2681" s="36">
        <f>IF(AND(OR(sel_Region="All",C2681=sel_Region),OR(sel_Country="All",D2681=sel_Country),OR(sel_Channel="All",E2681=sel_Channel),OR(sel_Category="All",G2681=sel_Category),OR(sel_Product="All",H2681=sel_Product),AND(S2681&gt;=m_From,S2681&lt;=m_To)),1,0)</f>
        <v/>
      </c>
      <c r="Y2681" s="36">
        <f>IF(AND(OR(sel_Region="All",C2681=sel_Region),OR(sel_Country="All",D2681=sel_Country),OR(sel_Channel="All",E2681=sel_Channel),OR(sel_Customer="All",F2681=sel_Customer),OR(sel_Product="All",H2681=sel_Product),AND(S2681&gt;=m_From,S2681&lt;=m_To)),1,0)</f>
        <v/>
      </c>
      <c r="Z2681" s="36">
        <f>IF(AND(OR(sel_Region="All",C2681=sel_Region),OR(sel_Country="All",D2681=sel_Country),OR(sel_Channel="All",E2681=sel_Channel),OR(sel_Customer="All",F2681=sel_Customer),OR(sel_Category="All",G2681=sel_Category),AND(S2681&gt;=m_From,S2681&lt;=m_To)),1,0)</f>
        <v/>
      </c>
      <c r="AA2681" s="36">
        <f>IF(AND(OR(sel_Region="All",C2681=sel_Region),OR(sel_Country="All",D2681=sel_Country),OR(sel_Channel="All",E2681=sel_Channel),OR(sel_Customer="All",F2681=sel_Customer),OR(sel_Category="All",G2681=sel_Category),OR(sel_Product="All",H2681=sel_Product)),1,0)</f>
        <v/>
      </c>
    </row>
    <row r="2682">
      <c r="A2682" s="36" t="inlineStr">
        <is>
          <t>03721</t>
        </is>
      </c>
      <c r="B2682" s="44" t="n">
        <v>46383</v>
      </c>
      <c r="C2682" s="36" t="inlineStr">
        <is>
          <t>Northern Europe</t>
        </is>
      </c>
      <c r="D2682" s="36" t="inlineStr">
        <is>
          <t>Denmark</t>
        </is>
      </c>
      <c r="E2682" s="36" t="inlineStr">
        <is>
          <t>Marketplace</t>
        </is>
      </c>
      <c r="F2682" s="36" t="inlineStr">
        <is>
          <t>New</t>
        </is>
      </c>
      <c r="G2682" s="36" t="inlineStr">
        <is>
          <t>Fitness</t>
        </is>
      </c>
      <c r="H2682" s="36" t="inlineStr">
        <is>
          <t>Training Mat</t>
        </is>
      </c>
      <c r="I2682" s="36" t="n">
        <v>1</v>
      </c>
      <c r="J2682" s="39" t="n">
        <v>49.79</v>
      </c>
      <c r="K2682" s="45" t="n">
        <v>0.2</v>
      </c>
      <c r="L2682" s="39" t="n">
        <v>21.87</v>
      </c>
      <c r="M2682" s="39">
        <f>I2682*J2682*(1-K2682)</f>
        <v/>
      </c>
      <c r="N2682" s="39">
        <f>I2682*L2682</f>
        <v/>
      </c>
      <c r="O2682" s="39">
        <f>M2682-N2682</f>
        <v/>
      </c>
      <c r="P2682" s="38">
        <f>IF(M2682=0,0,O2682/M2682)</f>
        <v/>
      </c>
      <c r="Q2682" s="36">
        <f>YEAR(B2682)</f>
        <v/>
      </c>
      <c r="R2682" s="36">
        <f>"Q"&amp;ROUNDUP(MONTH(B2682)/3,0)</f>
        <v/>
      </c>
      <c r="S2682" s="36">
        <f>MONTH(B2682)</f>
        <v/>
      </c>
      <c r="T2682" s="36">
        <f>TEXT(B2682,"mmm")</f>
        <v/>
      </c>
      <c r="U2682" s="36">
        <f>IF(AND(OR(sel_Region="All",C2682=sel_Region),OR(sel_Country="All",D2682=sel_Country),OR(sel_Channel="All",E2682=sel_Channel),OR(sel_Customer="All",F2682=sel_Customer),OR(sel_Category="All",G2682=sel_Category),OR(sel_Product="All",H2682=sel_Product),AND(S2682&gt;=m_From,S2682&lt;=m_To)),1,0)</f>
        <v/>
      </c>
      <c r="V2682" s="36">
        <f>IF(AND(OR(sel_Region="All",C2682=sel_Region),OR(sel_Channel="All",E2682=sel_Channel),OR(sel_Customer="All",F2682=sel_Customer),OR(sel_Category="All",G2682=sel_Category),OR(sel_Product="All",H2682=sel_Product),AND(S2682&gt;=m_From,S2682&lt;=m_To)),1,0)</f>
        <v/>
      </c>
      <c r="W2682" s="36">
        <f>IF(AND(OR(sel_Region="All",C2682=sel_Region),OR(sel_Country="All",D2682=sel_Country),OR(sel_Customer="All",F2682=sel_Customer),OR(sel_Category="All",G2682=sel_Category),OR(sel_Product="All",H2682=sel_Product),AND(S2682&gt;=m_From,S2682&lt;=m_To)),1,0)</f>
        <v/>
      </c>
      <c r="X2682" s="36">
        <f>IF(AND(OR(sel_Region="All",C2682=sel_Region),OR(sel_Country="All",D2682=sel_Country),OR(sel_Channel="All",E2682=sel_Channel),OR(sel_Category="All",G2682=sel_Category),OR(sel_Product="All",H2682=sel_Product),AND(S2682&gt;=m_From,S2682&lt;=m_To)),1,0)</f>
        <v/>
      </c>
      <c r="Y2682" s="36">
        <f>IF(AND(OR(sel_Region="All",C2682=sel_Region),OR(sel_Country="All",D2682=sel_Country),OR(sel_Channel="All",E2682=sel_Channel),OR(sel_Customer="All",F2682=sel_Customer),OR(sel_Product="All",H2682=sel_Product),AND(S2682&gt;=m_From,S2682&lt;=m_To)),1,0)</f>
        <v/>
      </c>
      <c r="Z2682" s="36">
        <f>IF(AND(OR(sel_Region="All",C2682=sel_Region),OR(sel_Country="All",D2682=sel_Country),OR(sel_Channel="All",E2682=sel_Channel),OR(sel_Customer="All",F2682=sel_Customer),OR(sel_Category="All",G2682=sel_Category),AND(S2682&gt;=m_From,S2682&lt;=m_To)),1,0)</f>
        <v/>
      </c>
      <c r="AA2682" s="36">
        <f>IF(AND(OR(sel_Region="All",C2682=sel_Region),OR(sel_Country="All",D2682=sel_Country),OR(sel_Channel="All",E2682=sel_Channel),OR(sel_Customer="All",F2682=sel_Customer),OR(sel_Category="All",G2682=sel_Category),OR(sel_Product="All",H2682=sel_Product)),1,0)</f>
        <v/>
      </c>
    </row>
    <row r="2683">
      <c r="A2683" s="36" t="inlineStr">
        <is>
          <t>03882</t>
        </is>
      </c>
      <c r="B2683" s="44" t="n">
        <v>46383</v>
      </c>
      <c r="C2683" s="36" t="inlineStr">
        <is>
          <t>Western Europe</t>
        </is>
      </c>
      <c r="D2683" s="36" t="inlineStr">
        <is>
          <t>United Kingdom</t>
        </is>
      </c>
      <c r="E2683" s="36" t="inlineStr">
        <is>
          <t>Marketplace</t>
        </is>
      </c>
      <c r="F2683" s="36" t="inlineStr">
        <is>
          <t>Returning</t>
        </is>
      </c>
      <c r="G2683" s="36" t="inlineStr">
        <is>
          <t>Hiking</t>
        </is>
      </c>
      <c r="H2683" s="36" t="inlineStr">
        <is>
          <t>Trekking Poles</t>
        </is>
      </c>
      <c r="I2683" s="36" t="n">
        <v>3</v>
      </c>
      <c r="J2683" s="39" t="n">
        <v>70.43000000000001</v>
      </c>
      <c r="K2683" s="45" t="n">
        <v>0.1</v>
      </c>
      <c r="L2683" s="39" t="n">
        <v>32.87</v>
      </c>
      <c r="M2683" s="39">
        <f>I2683*J2683*(1-K2683)</f>
        <v/>
      </c>
      <c r="N2683" s="39">
        <f>I2683*L2683</f>
        <v/>
      </c>
      <c r="O2683" s="39">
        <f>M2683-N2683</f>
        <v/>
      </c>
      <c r="P2683" s="38">
        <f>IF(M2683=0,0,O2683/M2683)</f>
        <v/>
      </c>
      <c r="Q2683" s="36">
        <f>YEAR(B2683)</f>
        <v/>
      </c>
      <c r="R2683" s="36">
        <f>"Q"&amp;ROUNDUP(MONTH(B2683)/3,0)</f>
        <v/>
      </c>
      <c r="S2683" s="36">
        <f>MONTH(B2683)</f>
        <v/>
      </c>
      <c r="T2683" s="36">
        <f>TEXT(B2683,"mmm")</f>
        <v/>
      </c>
      <c r="U2683" s="36">
        <f>IF(AND(OR(sel_Region="All",C2683=sel_Region),OR(sel_Country="All",D2683=sel_Country),OR(sel_Channel="All",E2683=sel_Channel),OR(sel_Customer="All",F2683=sel_Customer),OR(sel_Category="All",G2683=sel_Category),OR(sel_Product="All",H2683=sel_Product),AND(S2683&gt;=m_From,S2683&lt;=m_To)),1,0)</f>
        <v/>
      </c>
      <c r="V2683" s="36">
        <f>IF(AND(OR(sel_Region="All",C2683=sel_Region),OR(sel_Channel="All",E2683=sel_Channel),OR(sel_Customer="All",F2683=sel_Customer),OR(sel_Category="All",G2683=sel_Category),OR(sel_Product="All",H2683=sel_Product),AND(S2683&gt;=m_From,S2683&lt;=m_To)),1,0)</f>
        <v/>
      </c>
      <c r="W2683" s="36">
        <f>IF(AND(OR(sel_Region="All",C2683=sel_Region),OR(sel_Country="All",D2683=sel_Country),OR(sel_Customer="All",F2683=sel_Customer),OR(sel_Category="All",G2683=sel_Category),OR(sel_Product="All",H2683=sel_Product),AND(S2683&gt;=m_From,S2683&lt;=m_To)),1,0)</f>
        <v/>
      </c>
      <c r="X2683" s="36">
        <f>IF(AND(OR(sel_Region="All",C2683=sel_Region),OR(sel_Country="All",D2683=sel_Country),OR(sel_Channel="All",E2683=sel_Channel),OR(sel_Category="All",G2683=sel_Category),OR(sel_Product="All",H2683=sel_Product),AND(S2683&gt;=m_From,S2683&lt;=m_To)),1,0)</f>
        <v/>
      </c>
      <c r="Y2683" s="36">
        <f>IF(AND(OR(sel_Region="All",C2683=sel_Region),OR(sel_Country="All",D2683=sel_Country),OR(sel_Channel="All",E2683=sel_Channel),OR(sel_Customer="All",F2683=sel_Customer),OR(sel_Product="All",H2683=sel_Product),AND(S2683&gt;=m_From,S2683&lt;=m_To)),1,0)</f>
        <v/>
      </c>
      <c r="Z2683" s="36">
        <f>IF(AND(OR(sel_Region="All",C2683=sel_Region),OR(sel_Country="All",D2683=sel_Country),OR(sel_Channel="All",E2683=sel_Channel),OR(sel_Customer="All",F2683=sel_Customer),OR(sel_Category="All",G2683=sel_Category),AND(S2683&gt;=m_From,S2683&lt;=m_To)),1,0)</f>
        <v/>
      </c>
      <c r="AA2683" s="36">
        <f>IF(AND(OR(sel_Region="All",C2683=sel_Region),OR(sel_Country="All",D2683=sel_Country),OR(sel_Channel="All",E2683=sel_Channel),OR(sel_Customer="All",F2683=sel_Customer),OR(sel_Category="All",G2683=sel_Category),OR(sel_Product="All",H2683=sel_Product)),1,0)</f>
        <v/>
      </c>
    </row>
    <row r="2684">
      <c r="A2684" s="36" t="inlineStr">
        <is>
          <t>04945</t>
        </is>
      </c>
      <c r="B2684" s="44" t="n">
        <v>46383</v>
      </c>
      <c r="C2684" s="36" t="inlineStr">
        <is>
          <t>Northern Europe</t>
        </is>
      </c>
      <c r="D2684" s="36" t="inlineStr">
        <is>
          <t>Sweden</t>
        </is>
      </c>
      <c r="E2684" s="36" t="inlineStr">
        <is>
          <t>Online Store</t>
        </is>
      </c>
      <c r="F2684" s="36" t="inlineStr">
        <is>
          <t>Business</t>
        </is>
      </c>
      <c r="G2684" s="36" t="inlineStr">
        <is>
          <t>Camping</t>
        </is>
      </c>
      <c r="H2684" s="36" t="inlineStr">
        <is>
          <t>Portable Camp Stove</t>
        </is>
      </c>
      <c r="I2684" s="36" t="n">
        <v>2</v>
      </c>
      <c r="J2684" s="39" t="n">
        <v>82.04000000000001</v>
      </c>
      <c r="K2684" s="45" t="n">
        <v>0.1</v>
      </c>
      <c r="L2684" s="39" t="n">
        <v>38.88</v>
      </c>
      <c r="M2684" s="39">
        <f>I2684*J2684*(1-K2684)</f>
        <v/>
      </c>
      <c r="N2684" s="39">
        <f>I2684*L2684</f>
        <v/>
      </c>
      <c r="O2684" s="39">
        <f>M2684-N2684</f>
        <v/>
      </c>
      <c r="P2684" s="38">
        <f>IF(M2684=0,0,O2684/M2684)</f>
        <v/>
      </c>
      <c r="Q2684" s="36">
        <f>YEAR(B2684)</f>
        <v/>
      </c>
      <c r="R2684" s="36">
        <f>"Q"&amp;ROUNDUP(MONTH(B2684)/3,0)</f>
        <v/>
      </c>
      <c r="S2684" s="36">
        <f>MONTH(B2684)</f>
        <v/>
      </c>
      <c r="T2684" s="36">
        <f>TEXT(B2684,"mmm")</f>
        <v/>
      </c>
      <c r="U2684" s="36">
        <f>IF(AND(OR(sel_Region="All",C2684=sel_Region),OR(sel_Country="All",D2684=sel_Country),OR(sel_Channel="All",E2684=sel_Channel),OR(sel_Customer="All",F2684=sel_Customer),OR(sel_Category="All",G2684=sel_Category),OR(sel_Product="All",H2684=sel_Product),AND(S2684&gt;=m_From,S2684&lt;=m_To)),1,0)</f>
        <v/>
      </c>
      <c r="V2684" s="36">
        <f>IF(AND(OR(sel_Region="All",C2684=sel_Region),OR(sel_Channel="All",E2684=sel_Channel),OR(sel_Customer="All",F2684=sel_Customer),OR(sel_Category="All",G2684=sel_Category),OR(sel_Product="All",H2684=sel_Product),AND(S2684&gt;=m_From,S2684&lt;=m_To)),1,0)</f>
        <v/>
      </c>
      <c r="W2684" s="36">
        <f>IF(AND(OR(sel_Region="All",C2684=sel_Region),OR(sel_Country="All",D2684=sel_Country),OR(sel_Customer="All",F2684=sel_Customer),OR(sel_Category="All",G2684=sel_Category),OR(sel_Product="All",H2684=sel_Product),AND(S2684&gt;=m_From,S2684&lt;=m_To)),1,0)</f>
        <v/>
      </c>
      <c r="X2684" s="36">
        <f>IF(AND(OR(sel_Region="All",C2684=sel_Region),OR(sel_Country="All",D2684=sel_Country),OR(sel_Channel="All",E2684=sel_Channel),OR(sel_Category="All",G2684=sel_Category),OR(sel_Product="All",H2684=sel_Product),AND(S2684&gt;=m_From,S2684&lt;=m_To)),1,0)</f>
        <v/>
      </c>
      <c r="Y2684" s="36">
        <f>IF(AND(OR(sel_Region="All",C2684=sel_Region),OR(sel_Country="All",D2684=sel_Country),OR(sel_Channel="All",E2684=sel_Channel),OR(sel_Customer="All",F2684=sel_Customer),OR(sel_Product="All",H2684=sel_Product),AND(S2684&gt;=m_From,S2684&lt;=m_To)),1,0)</f>
        <v/>
      </c>
      <c r="Z2684" s="36">
        <f>IF(AND(OR(sel_Region="All",C2684=sel_Region),OR(sel_Country="All",D2684=sel_Country),OR(sel_Channel="All",E2684=sel_Channel),OR(sel_Customer="All",F2684=sel_Customer),OR(sel_Category="All",G2684=sel_Category),AND(S2684&gt;=m_From,S2684&lt;=m_To)),1,0)</f>
        <v/>
      </c>
      <c r="AA2684" s="36">
        <f>IF(AND(OR(sel_Region="All",C2684=sel_Region),OR(sel_Country="All",D2684=sel_Country),OR(sel_Channel="All",E2684=sel_Channel),OR(sel_Customer="All",F2684=sel_Customer),OR(sel_Category="All",G2684=sel_Category),OR(sel_Product="All",H2684=sel_Product)),1,0)</f>
        <v/>
      </c>
    </row>
    <row r="2685">
      <c r="A2685" s="36" t="inlineStr">
        <is>
          <t>05084</t>
        </is>
      </c>
      <c r="B2685" s="44" t="n">
        <v>46383</v>
      </c>
      <c r="C2685" s="36" t="inlineStr">
        <is>
          <t>Central Europe</t>
        </is>
      </c>
      <c r="D2685" s="36" t="inlineStr">
        <is>
          <t>Switzerland</t>
        </is>
      </c>
      <c r="E2685" s="36" t="inlineStr">
        <is>
          <t>Marketplace</t>
        </is>
      </c>
      <c r="F2685" s="36" t="inlineStr">
        <is>
          <t>Returning</t>
        </is>
      </c>
      <c r="G2685" s="36" t="inlineStr">
        <is>
          <t>Travel</t>
        </is>
      </c>
      <c r="H2685" s="36" t="inlineStr">
        <is>
          <t>Insulated Bottle</t>
        </is>
      </c>
      <c r="I2685" s="36" t="n">
        <v>1</v>
      </c>
      <c r="J2685" s="39" t="n">
        <v>35.41</v>
      </c>
      <c r="K2685" s="45" t="n">
        <v>0.2</v>
      </c>
      <c r="L2685" s="39" t="n">
        <v>13.54</v>
      </c>
      <c r="M2685" s="39">
        <f>I2685*J2685*(1-K2685)</f>
        <v/>
      </c>
      <c r="N2685" s="39">
        <f>I2685*L2685</f>
        <v/>
      </c>
      <c r="O2685" s="39">
        <f>M2685-N2685</f>
        <v/>
      </c>
      <c r="P2685" s="38">
        <f>IF(M2685=0,0,O2685/M2685)</f>
        <v/>
      </c>
      <c r="Q2685" s="36">
        <f>YEAR(B2685)</f>
        <v/>
      </c>
      <c r="R2685" s="36">
        <f>"Q"&amp;ROUNDUP(MONTH(B2685)/3,0)</f>
        <v/>
      </c>
      <c r="S2685" s="36">
        <f>MONTH(B2685)</f>
        <v/>
      </c>
      <c r="T2685" s="36">
        <f>TEXT(B2685,"mmm")</f>
        <v/>
      </c>
      <c r="U2685" s="36">
        <f>IF(AND(OR(sel_Region="All",C2685=sel_Region),OR(sel_Country="All",D2685=sel_Country),OR(sel_Channel="All",E2685=sel_Channel),OR(sel_Customer="All",F2685=sel_Customer),OR(sel_Category="All",G2685=sel_Category),OR(sel_Product="All",H2685=sel_Product),AND(S2685&gt;=m_From,S2685&lt;=m_To)),1,0)</f>
        <v/>
      </c>
      <c r="V2685" s="36">
        <f>IF(AND(OR(sel_Region="All",C2685=sel_Region),OR(sel_Channel="All",E2685=sel_Channel),OR(sel_Customer="All",F2685=sel_Customer),OR(sel_Category="All",G2685=sel_Category),OR(sel_Product="All",H2685=sel_Product),AND(S2685&gt;=m_From,S2685&lt;=m_To)),1,0)</f>
        <v/>
      </c>
      <c r="W2685" s="36">
        <f>IF(AND(OR(sel_Region="All",C2685=sel_Region),OR(sel_Country="All",D2685=sel_Country),OR(sel_Customer="All",F2685=sel_Customer),OR(sel_Category="All",G2685=sel_Category),OR(sel_Product="All",H2685=sel_Product),AND(S2685&gt;=m_From,S2685&lt;=m_To)),1,0)</f>
        <v/>
      </c>
      <c r="X2685" s="36">
        <f>IF(AND(OR(sel_Region="All",C2685=sel_Region),OR(sel_Country="All",D2685=sel_Country),OR(sel_Channel="All",E2685=sel_Channel),OR(sel_Category="All",G2685=sel_Category),OR(sel_Product="All",H2685=sel_Product),AND(S2685&gt;=m_From,S2685&lt;=m_To)),1,0)</f>
        <v/>
      </c>
      <c r="Y2685" s="36">
        <f>IF(AND(OR(sel_Region="All",C2685=sel_Region),OR(sel_Country="All",D2685=sel_Country),OR(sel_Channel="All",E2685=sel_Channel),OR(sel_Customer="All",F2685=sel_Customer),OR(sel_Product="All",H2685=sel_Product),AND(S2685&gt;=m_From,S2685&lt;=m_To)),1,0)</f>
        <v/>
      </c>
      <c r="Z2685" s="36">
        <f>IF(AND(OR(sel_Region="All",C2685=sel_Region),OR(sel_Country="All",D2685=sel_Country),OR(sel_Channel="All",E2685=sel_Channel),OR(sel_Customer="All",F2685=sel_Customer),OR(sel_Category="All",G2685=sel_Category),AND(S2685&gt;=m_From,S2685&lt;=m_To)),1,0)</f>
        <v/>
      </c>
      <c r="AA2685" s="36">
        <f>IF(AND(OR(sel_Region="All",C2685=sel_Region),OR(sel_Country="All",D2685=sel_Country),OR(sel_Channel="All",E2685=sel_Channel),OR(sel_Customer="All",F2685=sel_Customer),OR(sel_Category="All",G2685=sel_Category),OR(sel_Product="All",H2685=sel_Product)),1,0)</f>
        <v/>
      </c>
    </row>
    <row r="2686">
      <c r="A2686" s="36" t="inlineStr">
        <is>
          <t>00246</t>
        </is>
      </c>
      <c r="B2686" s="44" t="n">
        <v>46384</v>
      </c>
      <c r="C2686" s="36" t="inlineStr">
        <is>
          <t>Western Europe</t>
        </is>
      </c>
      <c r="D2686" s="36" t="inlineStr">
        <is>
          <t>Netherlands</t>
        </is>
      </c>
      <c r="E2686" s="36" t="inlineStr">
        <is>
          <t>Marketplace</t>
        </is>
      </c>
      <c r="F2686" s="36" t="inlineStr">
        <is>
          <t>Business</t>
        </is>
      </c>
      <c r="G2686" s="36" t="inlineStr">
        <is>
          <t>Cycling</t>
        </is>
      </c>
      <c r="H2686" s="36" t="inlineStr">
        <is>
          <t>Compact Repair Kit</t>
        </is>
      </c>
      <c r="I2686" s="36" t="n">
        <v>1</v>
      </c>
      <c r="J2686" s="39" t="n">
        <v>41.06</v>
      </c>
      <c r="K2686" s="45" t="n">
        <v>0.1</v>
      </c>
      <c r="L2686" s="39" t="n">
        <v>16.23</v>
      </c>
      <c r="M2686" s="39">
        <f>I2686*J2686*(1-K2686)</f>
        <v/>
      </c>
      <c r="N2686" s="39">
        <f>I2686*L2686</f>
        <v/>
      </c>
      <c r="O2686" s="39">
        <f>M2686-N2686</f>
        <v/>
      </c>
      <c r="P2686" s="38">
        <f>IF(M2686=0,0,O2686/M2686)</f>
        <v/>
      </c>
      <c r="Q2686" s="36">
        <f>YEAR(B2686)</f>
        <v/>
      </c>
      <c r="R2686" s="36">
        <f>"Q"&amp;ROUNDUP(MONTH(B2686)/3,0)</f>
        <v/>
      </c>
      <c r="S2686" s="36">
        <f>MONTH(B2686)</f>
        <v/>
      </c>
      <c r="T2686" s="36">
        <f>TEXT(B2686,"mmm")</f>
        <v/>
      </c>
      <c r="U2686" s="36">
        <f>IF(AND(OR(sel_Region="All",C2686=sel_Region),OR(sel_Country="All",D2686=sel_Country),OR(sel_Channel="All",E2686=sel_Channel),OR(sel_Customer="All",F2686=sel_Customer),OR(sel_Category="All",G2686=sel_Category),OR(sel_Product="All",H2686=sel_Product),AND(S2686&gt;=m_From,S2686&lt;=m_To)),1,0)</f>
        <v/>
      </c>
      <c r="V2686" s="36">
        <f>IF(AND(OR(sel_Region="All",C2686=sel_Region),OR(sel_Channel="All",E2686=sel_Channel),OR(sel_Customer="All",F2686=sel_Customer),OR(sel_Category="All",G2686=sel_Category),OR(sel_Product="All",H2686=sel_Product),AND(S2686&gt;=m_From,S2686&lt;=m_To)),1,0)</f>
        <v/>
      </c>
      <c r="W2686" s="36">
        <f>IF(AND(OR(sel_Region="All",C2686=sel_Region),OR(sel_Country="All",D2686=sel_Country),OR(sel_Customer="All",F2686=sel_Customer),OR(sel_Category="All",G2686=sel_Category),OR(sel_Product="All",H2686=sel_Product),AND(S2686&gt;=m_From,S2686&lt;=m_To)),1,0)</f>
        <v/>
      </c>
      <c r="X2686" s="36">
        <f>IF(AND(OR(sel_Region="All",C2686=sel_Region),OR(sel_Country="All",D2686=sel_Country),OR(sel_Channel="All",E2686=sel_Channel),OR(sel_Category="All",G2686=sel_Category),OR(sel_Product="All",H2686=sel_Product),AND(S2686&gt;=m_From,S2686&lt;=m_To)),1,0)</f>
        <v/>
      </c>
      <c r="Y2686" s="36">
        <f>IF(AND(OR(sel_Region="All",C2686=sel_Region),OR(sel_Country="All",D2686=sel_Country),OR(sel_Channel="All",E2686=sel_Channel),OR(sel_Customer="All",F2686=sel_Customer),OR(sel_Product="All",H2686=sel_Product),AND(S2686&gt;=m_From,S2686&lt;=m_To)),1,0)</f>
        <v/>
      </c>
      <c r="Z2686" s="36">
        <f>IF(AND(OR(sel_Region="All",C2686=sel_Region),OR(sel_Country="All",D2686=sel_Country),OR(sel_Channel="All",E2686=sel_Channel),OR(sel_Customer="All",F2686=sel_Customer),OR(sel_Category="All",G2686=sel_Category),AND(S2686&gt;=m_From,S2686&lt;=m_To)),1,0)</f>
        <v/>
      </c>
      <c r="AA2686" s="36">
        <f>IF(AND(OR(sel_Region="All",C2686=sel_Region),OR(sel_Country="All",D2686=sel_Country),OR(sel_Channel="All",E2686=sel_Channel),OR(sel_Customer="All",F2686=sel_Customer),OR(sel_Category="All",G2686=sel_Category),OR(sel_Product="All",H2686=sel_Product)),1,0)</f>
        <v/>
      </c>
    </row>
    <row r="2687">
      <c r="A2687" s="36" t="inlineStr">
        <is>
          <t>00537</t>
        </is>
      </c>
      <c r="B2687" s="44" t="n">
        <v>46384</v>
      </c>
      <c r="C2687" s="36" t="inlineStr">
        <is>
          <t>Western Europe</t>
        </is>
      </c>
      <c r="D2687" s="36" t="inlineStr">
        <is>
          <t>United Kingdom</t>
        </is>
      </c>
      <c r="E2687" s="36" t="inlineStr">
        <is>
          <t>Corporate</t>
        </is>
      </c>
      <c r="F2687" s="36" t="inlineStr">
        <is>
          <t>Business</t>
        </is>
      </c>
      <c r="G2687" s="36" t="inlineStr">
        <is>
          <t>Hiking</t>
        </is>
      </c>
      <c r="H2687" s="36" t="inlineStr">
        <is>
          <t>Hiking Daypack 20L</t>
        </is>
      </c>
      <c r="I2687" s="36" t="n">
        <v>12</v>
      </c>
      <c r="J2687" s="39" t="n">
        <v>90.29000000000001</v>
      </c>
      <c r="K2687" s="45" t="n">
        <v>0.1</v>
      </c>
      <c r="L2687" s="39" t="n">
        <v>45.76</v>
      </c>
      <c r="M2687" s="39">
        <f>I2687*J2687*(1-K2687)</f>
        <v/>
      </c>
      <c r="N2687" s="39">
        <f>I2687*L2687</f>
        <v/>
      </c>
      <c r="O2687" s="39">
        <f>M2687-N2687</f>
        <v/>
      </c>
      <c r="P2687" s="38">
        <f>IF(M2687=0,0,O2687/M2687)</f>
        <v/>
      </c>
      <c r="Q2687" s="36">
        <f>YEAR(B2687)</f>
        <v/>
      </c>
      <c r="R2687" s="36">
        <f>"Q"&amp;ROUNDUP(MONTH(B2687)/3,0)</f>
        <v/>
      </c>
      <c r="S2687" s="36">
        <f>MONTH(B2687)</f>
        <v/>
      </c>
      <c r="T2687" s="36">
        <f>TEXT(B2687,"mmm")</f>
        <v/>
      </c>
      <c r="U2687" s="36">
        <f>IF(AND(OR(sel_Region="All",C2687=sel_Region),OR(sel_Country="All",D2687=sel_Country),OR(sel_Channel="All",E2687=sel_Channel),OR(sel_Customer="All",F2687=sel_Customer),OR(sel_Category="All",G2687=sel_Category),OR(sel_Product="All",H2687=sel_Product),AND(S2687&gt;=m_From,S2687&lt;=m_To)),1,0)</f>
        <v/>
      </c>
      <c r="V2687" s="36">
        <f>IF(AND(OR(sel_Region="All",C2687=sel_Region),OR(sel_Channel="All",E2687=sel_Channel),OR(sel_Customer="All",F2687=sel_Customer),OR(sel_Category="All",G2687=sel_Category),OR(sel_Product="All",H2687=sel_Product),AND(S2687&gt;=m_From,S2687&lt;=m_To)),1,0)</f>
        <v/>
      </c>
      <c r="W2687" s="36">
        <f>IF(AND(OR(sel_Region="All",C2687=sel_Region),OR(sel_Country="All",D2687=sel_Country),OR(sel_Customer="All",F2687=sel_Customer),OR(sel_Category="All",G2687=sel_Category),OR(sel_Product="All",H2687=sel_Product),AND(S2687&gt;=m_From,S2687&lt;=m_To)),1,0)</f>
        <v/>
      </c>
      <c r="X2687" s="36">
        <f>IF(AND(OR(sel_Region="All",C2687=sel_Region),OR(sel_Country="All",D2687=sel_Country),OR(sel_Channel="All",E2687=sel_Channel),OR(sel_Category="All",G2687=sel_Category),OR(sel_Product="All",H2687=sel_Product),AND(S2687&gt;=m_From,S2687&lt;=m_To)),1,0)</f>
        <v/>
      </c>
      <c r="Y2687" s="36">
        <f>IF(AND(OR(sel_Region="All",C2687=sel_Region),OR(sel_Country="All",D2687=sel_Country),OR(sel_Channel="All",E2687=sel_Channel),OR(sel_Customer="All",F2687=sel_Customer),OR(sel_Product="All",H2687=sel_Product),AND(S2687&gt;=m_From,S2687&lt;=m_To)),1,0)</f>
        <v/>
      </c>
      <c r="Z2687" s="36">
        <f>IF(AND(OR(sel_Region="All",C2687=sel_Region),OR(sel_Country="All",D2687=sel_Country),OR(sel_Channel="All",E2687=sel_Channel),OR(sel_Customer="All",F2687=sel_Customer),OR(sel_Category="All",G2687=sel_Category),AND(S2687&gt;=m_From,S2687&lt;=m_To)),1,0)</f>
        <v/>
      </c>
      <c r="AA2687" s="36">
        <f>IF(AND(OR(sel_Region="All",C2687=sel_Region),OR(sel_Country="All",D2687=sel_Country),OR(sel_Channel="All",E2687=sel_Channel),OR(sel_Customer="All",F2687=sel_Customer),OR(sel_Category="All",G2687=sel_Category),OR(sel_Product="All",H2687=sel_Product)),1,0)</f>
        <v/>
      </c>
    </row>
    <row r="2688">
      <c r="A2688" s="36" t="inlineStr">
        <is>
          <t>00968</t>
        </is>
      </c>
      <c r="B2688" s="44" t="n">
        <v>46384</v>
      </c>
      <c r="C2688" s="36" t="inlineStr">
        <is>
          <t>Central Europe</t>
        </is>
      </c>
      <c r="D2688" s="36" t="inlineStr">
        <is>
          <t>Germany</t>
        </is>
      </c>
      <c r="E2688" s="36" t="inlineStr">
        <is>
          <t>Retail Partners</t>
        </is>
      </c>
      <c r="F2688" s="36" t="inlineStr">
        <is>
          <t>New</t>
        </is>
      </c>
      <c r="G2688" s="36" t="inlineStr">
        <is>
          <t>Cycling</t>
        </is>
      </c>
      <c r="H2688" s="36" t="inlineStr">
        <is>
          <t>Cycling Pack 12L</t>
        </is>
      </c>
      <c r="I2688" s="36" t="n">
        <v>1</v>
      </c>
      <c r="J2688" s="39" t="n">
        <v>103.13</v>
      </c>
      <c r="K2688" s="45" t="n">
        <v>0.15</v>
      </c>
      <c r="L2688" s="39" t="n">
        <v>50.06</v>
      </c>
      <c r="M2688" s="39">
        <f>I2688*J2688*(1-K2688)</f>
        <v/>
      </c>
      <c r="N2688" s="39">
        <f>I2688*L2688</f>
        <v/>
      </c>
      <c r="O2688" s="39">
        <f>M2688-N2688</f>
        <v/>
      </c>
      <c r="P2688" s="38">
        <f>IF(M2688=0,0,O2688/M2688)</f>
        <v/>
      </c>
      <c r="Q2688" s="36">
        <f>YEAR(B2688)</f>
        <v/>
      </c>
      <c r="R2688" s="36">
        <f>"Q"&amp;ROUNDUP(MONTH(B2688)/3,0)</f>
        <v/>
      </c>
      <c r="S2688" s="36">
        <f>MONTH(B2688)</f>
        <v/>
      </c>
      <c r="T2688" s="36">
        <f>TEXT(B2688,"mmm")</f>
        <v/>
      </c>
      <c r="U2688" s="36">
        <f>IF(AND(OR(sel_Region="All",C2688=sel_Region),OR(sel_Country="All",D2688=sel_Country),OR(sel_Channel="All",E2688=sel_Channel),OR(sel_Customer="All",F2688=sel_Customer),OR(sel_Category="All",G2688=sel_Category),OR(sel_Product="All",H2688=sel_Product),AND(S2688&gt;=m_From,S2688&lt;=m_To)),1,0)</f>
        <v/>
      </c>
      <c r="V2688" s="36">
        <f>IF(AND(OR(sel_Region="All",C2688=sel_Region),OR(sel_Channel="All",E2688=sel_Channel),OR(sel_Customer="All",F2688=sel_Customer),OR(sel_Category="All",G2688=sel_Category),OR(sel_Product="All",H2688=sel_Product),AND(S2688&gt;=m_From,S2688&lt;=m_To)),1,0)</f>
        <v/>
      </c>
      <c r="W2688" s="36">
        <f>IF(AND(OR(sel_Region="All",C2688=sel_Region),OR(sel_Country="All",D2688=sel_Country),OR(sel_Customer="All",F2688=sel_Customer),OR(sel_Category="All",G2688=sel_Category),OR(sel_Product="All",H2688=sel_Product),AND(S2688&gt;=m_From,S2688&lt;=m_To)),1,0)</f>
        <v/>
      </c>
      <c r="X2688" s="36">
        <f>IF(AND(OR(sel_Region="All",C2688=sel_Region),OR(sel_Country="All",D2688=sel_Country),OR(sel_Channel="All",E2688=sel_Channel),OR(sel_Category="All",G2688=sel_Category),OR(sel_Product="All",H2688=sel_Product),AND(S2688&gt;=m_From,S2688&lt;=m_To)),1,0)</f>
        <v/>
      </c>
      <c r="Y2688" s="36">
        <f>IF(AND(OR(sel_Region="All",C2688=sel_Region),OR(sel_Country="All",D2688=sel_Country),OR(sel_Channel="All",E2688=sel_Channel),OR(sel_Customer="All",F2688=sel_Customer),OR(sel_Product="All",H2688=sel_Product),AND(S2688&gt;=m_From,S2688&lt;=m_To)),1,0)</f>
        <v/>
      </c>
      <c r="Z2688" s="36">
        <f>IF(AND(OR(sel_Region="All",C2688=sel_Region),OR(sel_Country="All",D2688=sel_Country),OR(sel_Channel="All",E2688=sel_Channel),OR(sel_Customer="All",F2688=sel_Customer),OR(sel_Category="All",G2688=sel_Category),AND(S2688&gt;=m_From,S2688&lt;=m_To)),1,0)</f>
        <v/>
      </c>
      <c r="AA2688" s="36">
        <f>IF(AND(OR(sel_Region="All",C2688=sel_Region),OR(sel_Country="All",D2688=sel_Country),OR(sel_Channel="All",E2688=sel_Channel),OR(sel_Customer="All",F2688=sel_Customer),OR(sel_Category="All",G2688=sel_Category),OR(sel_Product="All",H2688=sel_Product)),1,0)</f>
        <v/>
      </c>
    </row>
    <row r="2689">
      <c r="A2689" s="36" t="inlineStr">
        <is>
          <t>01234</t>
        </is>
      </c>
      <c r="B2689" s="44" t="n">
        <v>46384</v>
      </c>
      <c r="C2689" s="36" t="inlineStr">
        <is>
          <t>Western Europe</t>
        </is>
      </c>
      <c r="D2689" s="36" t="inlineStr">
        <is>
          <t>France</t>
        </is>
      </c>
      <c r="E2689" s="36" t="inlineStr">
        <is>
          <t>Online Store</t>
        </is>
      </c>
      <c r="F2689" s="36" t="inlineStr">
        <is>
          <t>Returning</t>
        </is>
      </c>
      <c r="G2689" s="36" t="inlineStr">
        <is>
          <t>Cycling</t>
        </is>
      </c>
      <c r="H2689" s="36" t="inlineStr">
        <is>
          <t>Commuter Helmet</t>
        </is>
      </c>
      <c r="I2689" s="36" t="n">
        <v>1</v>
      </c>
      <c r="J2689" s="39" t="n">
        <v>81.39</v>
      </c>
      <c r="K2689" s="45" t="n">
        <v>0.05</v>
      </c>
      <c r="L2689" s="39" t="n">
        <v>43.54</v>
      </c>
      <c r="M2689" s="39">
        <f>I2689*J2689*(1-K2689)</f>
        <v/>
      </c>
      <c r="N2689" s="39">
        <f>I2689*L2689</f>
        <v/>
      </c>
      <c r="O2689" s="39">
        <f>M2689-N2689</f>
        <v/>
      </c>
      <c r="P2689" s="38">
        <f>IF(M2689=0,0,O2689/M2689)</f>
        <v/>
      </c>
      <c r="Q2689" s="36">
        <f>YEAR(B2689)</f>
        <v/>
      </c>
      <c r="R2689" s="36">
        <f>"Q"&amp;ROUNDUP(MONTH(B2689)/3,0)</f>
        <v/>
      </c>
      <c r="S2689" s="36">
        <f>MONTH(B2689)</f>
        <v/>
      </c>
      <c r="T2689" s="36">
        <f>TEXT(B2689,"mmm")</f>
        <v/>
      </c>
      <c r="U2689" s="36">
        <f>IF(AND(OR(sel_Region="All",C2689=sel_Region),OR(sel_Country="All",D2689=sel_Country),OR(sel_Channel="All",E2689=sel_Channel),OR(sel_Customer="All",F2689=sel_Customer),OR(sel_Category="All",G2689=sel_Category),OR(sel_Product="All",H2689=sel_Product),AND(S2689&gt;=m_From,S2689&lt;=m_To)),1,0)</f>
        <v/>
      </c>
      <c r="V2689" s="36">
        <f>IF(AND(OR(sel_Region="All",C2689=sel_Region),OR(sel_Channel="All",E2689=sel_Channel),OR(sel_Customer="All",F2689=sel_Customer),OR(sel_Category="All",G2689=sel_Category),OR(sel_Product="All",H2689=sel_Product),AND(S2689&gt;=m_From,S2689&lt;=m_To)),1,0)</f>
        <v/>
      </c>
      <c r="W2689" s="36">
        <f>IF(AND(OR(sel_Region="All",C2689=sel_Region),OR(sel_Country="All",D2689=sel_Country),OR(sel_Customer="All",F2689=sel_Customer),OR(sel_Category="All",G2689=sel_Category),OR(sel_Product="All",H2689=sel_Product),AND(S2689&gt;=m_From,S2689&lt;=m_To)),1,0)</f>
        <v/>
      </c>
      <c r="X2689" s="36">
        <f>IF(AND(OR(sel_Region="All",C2689=sel_Region),OR(sel_Country="All",D2689=sel_Country),OR(sel_Channel="All",E2689=sel_Channel),OR(sel_Category="All",G2689=sel_Category),OR(sel_Product="All",H2689=sel_Product),AND(S2689&gt;=m_From,S2689&lt;=m_To)),1,0)</f>
        <v/>
      </c>
      <c r="Y2689" s="36">
        <f>IF(AND(OR(sel_Region="All",C2689=sel_Region),OR(sel_Country="All",D2689=sel_Country),OR(sel_Channel="All",E2689=sel_Channel),OR(sel_Customer="All",F2689=sel_Customer),OR(sel_Product="All",H2689=sel_Product),AND(S2689&gt;=m_From,S2689&lt;=m_To)),1,0)</f>
        <v/>
      </c>
      <c r="Z2689" s="36">
        <f>IF(AND(OR(sel_Region="All",C2689=sel_Region),OR(sel_Country="All",D2689=sel_Country),OR(sel_Channel="All",E2689=sel_Channel),OR(sel_Customer="All",F2689=sel_Customer),OR(sel_Category="All",G2689=sel_Category),AND(S2689&gt;=m_From,S2689&lt;=m_To)),1,0)</f>
        <v/>
      </c>
      <c r="AA2689" s="36">
        <f>IF(AND(OR(sel_Region="All",C2689=sel_Region),OR(sel_Country="All",D2689=sel_Country),OR(sel_Channel="All",E2689=sel_Channel),OR(sel_Customer="All",F2689=sel_Customer),OR(sel_Category="All",G2689=sel_Category),OR(sel_Product="All",H2689=sel_Product)),1,0)</f>
        <v/>
      </c>
    </row>
    <row r="2690">
      <c r="A2690" s="36" t="inlineStr">
        <is>
          <t>02061</t>
        </is>
      </c>
      <c r="B2690" s="44" t="n">
        <v>46384</v>
      </c>
      <c r="C2690" s="36" t="inlineStr">
        <is>
          <t>Southern Europe</t>
        </is>
      </c>
      <c r="D2690" s="36" t="inlineStr">
        <is>
          <t>Italy</t>
        </is>
      </c>
      <c r="E2690" s="36" t="inlineStr">
        <is>
          <t>Marketplace</t>
        </is>
      </c>
      <c r="F2690" s="36" t="inlineStr">
        <is>
          <t>Returning</t>
        </is>
      </c>
      <c r="G2690" s="36" t="inlineStr">
        <is>
          <t>Camping</t>
        </is>
      </c>
      <c r="H2690" s="36" t="inlineStr">
        <is>
          <t>Alpine Tent 4P</t>
        </is>
      </c>
      <c r="I2690" s="36" t="n">
        <v>2</v>
      </c>
      <c r="J2690" s="39" t="n">
        <v>342.78</v>
      </c>
      <c r="K2690" s="45" t="n">
        <v>0</v>
      </c>
      <c r="L2690" s="39" t="n">
        <v>197.89</v>
      </c>
      <c r="M2690" s="39">
        <f>I2690*J2690*(1-K2690)</f>
        <v/>
      </c>
      <c r="N2690" s="39">
        <f>I2690*L2690</f>
        <v/>
      </c>
      <c r="O2690" s="39">
        <f>M2690-N2690</f>
        <v/>
      </c>
      <c r="P2690" s="38">
        <f>IF(M2690=0,0,O2690/M2690)</f>
        <v/>
      </c>
      <c r="Q2690" s="36">
        <f>YEAR(B2690)</f>
        <v/>
      </c>
      <c r="R2690" s="36">
        <f>"Q"&amp;ROUNDUP(MONTH(B2690)/3,0)</f>
        <v/>
      </c>
      <c r="S2690" s="36">
        <f>MONTH(B2690)</f>
        <v/>
      </c>
      <c r="T2690" s="36">
        <f>TEXT(B2690,"mmm")</f>
        <v/>
      </c>
      <c r="U2690" s="36">
        <f>IF(AND(OR(sel_Region="All",C2690=sel_Region),OR(sel_Country="All",D2690=sel_Country),OR(sel_Channel="All",E2690=sel_Channel),OR(sel_Customer="All",F2690=sel_Customer),OR(sel_Category="All",G2690=sel_Category),OR(sel_Product="All",H2690=sel_Product),AND(S2690&gt;=m_From,S2690&lt;=m_To)),1,0)</f>
        <v/>
      </c>
      <c r="V2690" s="36">
        <f>IF(AND(OR(sel_Region="All",C2690=sel_Region),OR(sel_Channel="All",E2690=sel_Channel),OR(sel_Customer="All",F2690=sel_Customer),OR(sel_Category="All",G2690=sel_Category),OR(sel_Product="All",H2690=sel_Product),AND(S2690&gt;=m_From,S2690&lt;=m_To)),1,0)</f>
        <v/>
      </c>
      <c r="W2690" s="36">
        <f>IF(AND(OR(sel_Region="All",C2690=sel_Region),OR(sel_Country="All",D2690=sel_Country),OR(sel_Customer="All",F2690=sel_Customer),OR(sel_Category="All",G2690=sel_Category),OR(sel_Product="All",H2690=sel_Product),AND(S2690&gt;=m_From,S2690&lt;=m_To)),1,0)</f>
        <v/>
      </c>
      <c r="X2690" s="36">
        <f>IF(AND(OR(sel_Region="All",C2690=sel_Region),OR(sel_Country="All",D2690=sel_Country),OR(sel_Channel="All",E2690=sel_Channel),OR(sel_Category="All",G2690=sel_Category),OR(sel_Product="All",H2690=sel_Product),AND(S2690&gt;=m_From,S2690&lt;=m_To)),1,0)</f>
        <v/>
      </c>
      <c r="Y2690" s="36">
        <f>IF(AND(OR(sel_Region="All",C2690=sel_Region),OR(sel_Country="All",D2690=sel_Country),OR(sel_Channel="All",E2690=sel_Channel),OR(sel_Customer="All",F2690=sel_Customer),OR(sel_Product="All",H2690=sel_Product),AND(S2690&gt;=m_From,S2690&lt;=m_To)),1,0)</f>
        <v/>
      </c>
      <c r="Z2690" s="36">
        <f>IF(AND(OR(sel_Region="All",C2690=sel_Region),OR(sel_Country="All",D2690=sel_Country),OR(sel_Channel="All",E2690=sel_Channel),OR(sel_Customer="All",F2690=sel_Customer),OR(sel_Category="All",G2690=sel_Category),AND(S2690&gt;=m_From,S2690&lt;=m_To)),1,0)</f>
        <v/>
      </c>
      <c r="AA2690" s="36">
        <f>IF(AND(OR(sel_Region="All",C2690=sel_Region),OR(sel_Country="All",D2690=sel_Country),OR(sel_Channel="All",E2690=sel_Channel),OR(sel_Customer="All",F2690=sel_Customer),OR(sel_Category="All",G2690=sel_Category),OR(sel_Product="All",H2690=sel_Product)),1,0)</f>
        <v/>
      </c>
    </row>
    <row r="2691">
      <c r="A2691" s="36" t="inlineStr">
        <is>
          <t>02219</t>
        </is>
      </c>
      <c r="B2691" s="44" t="n">
        <v>46384</v>
      </c>
      <c r="C2691" s="36" t="inlineStr">
        <is>
          <t>Central Europe</t>
        </is>
      </c>
      <c r="D2691" s="36" t="inlineStr">
        <is>
          <t>Poland</t>
        </is>
      </c>
      <c r="E2691" s="36" t="inlineStr">
        <is>
          <t>Online Store</t>
        </is>
      </c>
      <c r="F2691" s="36" t="inlineStr">
        <is>
          <t>Returning</t>
        </is>
      </c>
      <c r="G2691" s="36" t="inlineStr">
        <is>
          <t>Hiking</t>
        </is>
      </c>
      <c r="H2691" s="36" t="inlineStr">
        <is>
          <t>Trail Boots</t>
        </is>
      </c>
      <c r="I2691" s="36" t="n">
        <v>1</v>
      </c>
      <c r="J2691" s="39" t="n">
        <v>147</v>
      </c>
      <c r="K2691" s="45" t="n">
        <v>0.15</v>
      </c>
      <c r="L2691" s="39" t="n">
        <v>79.58</v>
      </c>
      <c r="M2691" s="39">
        <f>I2691*J2691*(1-K2691)</f>
        <v/>
      </c>
      <c r="N2691" s="39">
        <f>I2691*L2691</f>
        <v/>
      </c>
      <c r="O2691" s="39">
        <f>M2691-N2691</f>
        <v/>
      </c>
      <c r="P2691" s="38">
        <f>IF(M2691=0,0,O2691/M2691)</f>
        <v/>
      </c>
      <c r="Q2691" s="36">
        <f>YEAR(B2691)</f>
        <v/>
      </c>
      <c r="R2691" s="36">
        <f>"Q"&amp;ROUNDUP(MONTH(B2691)/3,0)</f>
        <v/>
      </c>
      <c r="S2691" s="36">
        <f>MONTH(B2691)</f>
        <v/>
      </c>
      <c r="T2691" s="36">
        <f>TEXT(B2691,"mmm")</f>
        <v/>
      </c>
      <c r="U2691" s="36">
        <f>IF(AND(OR(sel_Region="All",C2691=sel_Region),OR(sel_Country="All",D2691=sel_Country),OR(sel_Channel="All",E2691=sel_Channel),OR(sel_Customer="All",F2691=sel_Customer),OR(sel_Category="All",G2691=sel_Category),OR(sel_Product="All",H2691=sel_Product),AND(S2691&gt;=m_From,S2691&lt;=m_To)),1,0)</f>
        <v/>
      </c>
      <c r="V2691" s="36">
        <f>IF(AND(OR(sel_Region="All",C2691=sel_Region),OR(sel_Channel="All",E2691=sel_Channel),OR(sel_Customer="All",F2691=sel_Customer),OR(sel_Category="All",G2691=sel_Category),OR(sel_Product="All",H2691=sel_Product),AND(S2691&gt;=m_From,S2691&lt;=m_To)),1,0)</f>
        <v/>
      </c>
      <c r="W2691" s="36">
        <f>IF(AND(OR(sel_Region="All",C2691=sel_Region),OR(sel_Country="All",D2691=sel_Country),OR(sel_Customer="All",F2691=sel_Customer),OR(sel_Category="All",G2691=sel_Category),OR(sel_Product="All",H2691=sel_Product),AND(S2691&gt;=m_From,S2691&lt;=m_To)),1,0)</f>
        <v/>
      </c>
      <c r="X2691" s="36">
        <f>IF(AND(OR(sel_Region="All",C2691=sel_Region),OR(sel_Country="All",D2691=sel_Country),OR(sel_Channel="All",E2691=sel_Channel),OR(sel_Category="All",G2691=sel_Category),OR(sel_Product="All",H2691=sel_Product),AND(S2691&gt;=m_From,S2691&lt;=m_To)),1,0)</f>
        <v/>
      </c>
      <c r="Y2691" s="36">
        <f>IF(AND(OR(sel_Region="All",C2691=sel_Region),OR(sel_Country="All",D2691=sel_Country),OR(sel_Channel="All",E2691=sel_Channel),OR(sel_Customer="All",F2691=sel_Customer),OR(sel_Product="All",H2691=sel_Product),AND(S2691&gt;=m_From,S2691&lt;=m_To)),1,0)</f>
        <v/>
      </c>
      <c r="Z2691" s="36">
        <f>IF(AND(OR(sel_Region="All",C2691=sel_Region),OR(sel_Country="All",D2691=sel_Country),OR(sel_Channel="All",E2691=sel_Channel),OR(sel_Customer="All",F2691=sel_Customer),OR(sel_Category="All",G2691=sel_Category),AND(S2691&gt;=m_From,S2691&lt;=m_To)),1,0)</f>
        <v/>
      </c>
      <c r="AA2691" s="36">
        <f>IF(AND(OR(sel_Region="All",C2691=sel_Region),OR(sel_Country="All",D2691=sel_Country),OR(sel_Channel="All",E2691=sel_Channel),OR(sel_Customer="All",F2691=sel_Customer),OR(sel_Category="All",G2691=sel_Category),OR(sel_Product="All",H2691=sel_Product)),1,0)</f>
        <v/>
      </c>
    </row>
    <row r="2692">
      <c r="A2692" s="36" t="inlineStr">
        <is>
          <t>02651</t>
        </is>
      </c>
      <c r="B2692" s="44" t="n">
        <v>46384</v>
      </c>
      <c r="C2692" s="36" t="inlineStr">
        <is>
          <t>Southern Europe</t>
        </is>
      </c>
      <c r="D2692" s="36" t="inlineStr">
        <is>
          <t>Italy</t>
        </is>
      </c>
      <c r="E2692" s="36" t="inlineStr">
        <is>
          <t>Online Store</t>
        </is>
      </c>
      <c r="F2692" s="36" t="inlineStr">
        <is>
          <t>New</t>
        </is>
      </c>
      <c r="G2692" s="36" t="inlineStr">
        <is>
          <t>Travel</t>
        </is>
      </c>
      <c r="H2692" s="36" t="inlineStr">
        <is>
          <t>Packing Cube Set</t>
        </is>
      </c>
      <c r="I2692" s="36" t="n">
        <v>1</v>
      </c>
      <c r="J2692" s="39" t="n">
        <v>45.69</v>
      </c>
      <c r="K2692" s="45" t="n">
        <v>0.2</v>
      </c>
      <c r="L2692" s="39" t="n">
        <v>18.83</v>
      </c>
      <c r="M2692" s="39">
        <f>I2692*J2692*(1-K2692)</f>
        <v/>
      </c>
      <c r="N2692" s="39">
        <f>I2692*L2692</f>
        <v/>
      </c>
      <c r="O2692" s="39">
        <f>M2692-N2692</f>
        <v/>
      </c>
      <c r="P2692" s="38">
        <f>IF(M2692=0,0,O2692/M2692)</f>
        <v/>
      </c>
      <c r="Q2692" s="36">
        <f>YEAR(B2692)</f>
        <v/>
      </c>
      <c r="R2692" s="36">
        <f>"Q"&amp;ROUNDUP(MONTH(B2692)/3,0)</f>
        <v/>
      </c>
      <c r="S2692" s="36">
        <f>MONTH(B2692)</f>
        <v/>
      </c>
      <c r="T2692" s="36">
        <f>TEXT(B2692,"mmm")</f>
        <v/>
      </c>
      <c r="U2692" s="36">
        <f>IF(AND(OR(sel_Region="All",C2692=sel_Region),OR(sel_Country="All",D2692=sel_Country),OR(sel_Channel="All",E2692=sel_Channel),OR(sel_Customer="All",F2692=sel_Customer),OR(sel_Category="All",G2692=sel_Category),OR(sel_Product="All",H2692=sel_Product),AND(S2692&gt;=m_From,S2692&lt;=m_To)),1,0)</f>
        <v/>
      </c>
      <c r="V2692" s="36">
        <f>IF(AND(OR(sel_Region="All",C2692=sel_Region),OR(sel_Channel="All",E2692=sel_Channel),OR(sel_Customer="All",F2692=sel_Customer),OR(sel_Category="All",G2692=sel_Category),OR(sel_Product="All",H2692=sel_Product),AND(S2692&gt;=m_From,S2692&lt;=m_To)),1,0)</f>
        <v/>
      </c>
      <c r="W2692" s="36">
        <f>IF(AND(OR(sel_Region="All",C2692=sel_Region),OR(sel_Country="All",D2692=sel_Country),OR(sel_Customer="All",F2692=sel_Customer),OR(sel_Category="All",G2692=sel_Category),OR(sel_Product="All",H2692=sel_Product),AND(S2692&gt;=m_From,S2692&lt;=m_To)),1,0)</f>
        <v/>
      </c>
      <c r="X2692" s="36">
        <f>IF(AND(OR(sel_Region="All",C2692=sel_Region),OR(sel_Country="All",D2692=sel_Country),OR(sel_Channel="All",E2692=sel_Channel),OR(sel_Category="All",G2692=sel_Category),OR(sel_Product="All",H2692=sel_Product),AND(S2692&gt;=m_From,S2692&lt;=m_To)),1,0)</f>
        <v/>
      </c>
      <c r="Y2692" s="36">
        <f>IF(AND(OR(sel_Region="All",C2692=sel_Region),OR(sel_Country="All",D2692=sel_Country),OR(sel_Channel="All",E2692=sel_Channel),OR(sel_Customer="All",F2692=sel_Customer),OR(sel_Product="All",H2692=sel_Product),AND(S2692&gt;=m_From,S2692&lt;=m_To)),1,0)</f>
        <v/>
      </c>
      <c r="Z2692" s="36">
        <f>IF(AND(OR(sel_Region="All",C2692=sel_Region),OR(sel_Country="All",D2692=sel_Country),OR(sel_Channel="All",E2692=sel_Channel),OR(sel_Customer="All",F2692=sel_Customer),OR(sel_Category="All",G2692=sel_Category),AND(S2692&gt;=m_From,S2692&lt;=m_To)),1,0)</f>
        <v/>
      </c>
      <c r="AA2692" s="36">
        <f>IF(AND(OR(sel_Region="All",C2692=sel_Region),OR(sel_Country="All",D2692=sel_Country),OR(sel_Channel="All",E2692=sel_Channel),OR(sel_Customer="All",F2692=sel_Customer),OR(sel_Category="All",G2692=sel_Category),OR(sel_Product="All",H2692=sel_Product)),1,0)</f>
        <v/>
      </c>
    </row>
    <row r="2693">
      <c r="A2693" s="36" t="inlineStr">
        <is>
          <t>03173</t>
        </is>
      </c>
      <c r="B2693" s="44" t="n">
        <v>46384</v>
      </c>
      <c r="C2693" s="36" t="inlineStr">
        <is>
          <t>Central Europe</t>
        </is>
      </c>
      <c r="D2693" s="36" t="inlineStr">
        <is>
          <t>Germany</t>
        </is>
      </c>
      <c r="E2693" s="36" t="inlineStr">
        <is>
          <t>Marketplace</t>
        </is>
      </c>
      <c r="F2693" s="36" t="inlineStr">
        <is>
          <t>Returning</t>
        </is>
      </c>
      <c r="G2693" s="36" t="inlineStr">
        <is>
          <t>Cycling</t>
        </is>
      </c>
      <c r="H2693" s="36" t="inlineStr">
        <is>
          <t>Compact Repair Kit</t>
        </is>
      </c>
      <c r="I2693" s="36" t="n">
        <v>1</v>
      </c>
      <c r="J2693" s="39" t="n">
        <v>39.69</v>
      </c>
      <c r="K2693" s="45" t="n">
        <v>0</v>
      </c>
      <c r="L2693" s="39" t="n">
        <v>17.09</v>
      </c>
      <c r="M2693" s="39">
        <f>I2693*J2693*(1-K2693)</f>
        <v/>
      </c>
      <c r="N2693" s="39">
        <f>I2693*L2693</f>
        <v/>
      </c>
      <c r="O2693" s="39">
        <f>M2693-N2693</f>
        <v/>
      </c>
      <c r="P2693" s="38">
        <f>IF(M2693=0,0,O2693/M2693)</f>
        <v/>
      </c>
      <c r="Q2693" s="36">
        <f>YEAR(B2693)</f>
        <v/>
      </c>
      <c r="R2693" s="36">
        <f>"Q"&amp;ROUNDUP(MONTH(B2693)/3,0)</f>
        <v/>
      </c>
      <c r="S2693" s="36">
        <f>MONTH(B2693)</f>
        <v/>
      </c>
      <c r="T2693" s="36">
        <f>TEXT(B2693,"mmm")</f>
        <v/>
      </c>
      <c r="U2693" s="36">
        <f>IF(AND(OR(sel_Region="All",C2693=sel_Region),OR(sel_Country="All",D2693=sel_Country),OR(sel_Channel="All",E2693=sel_Channel),OR(sel_Customer="All",F2693=sel_Customer),OR(sel_Category="All",G2693=sel_Category),OR(sel_Product="All",H2693=sel_Product),AND(S2693&gt;=m_From,S2693&lt;=m_To)),1,0)</f>
        <v/>
      </c>
      <c r="V2693" s="36">
        <f>IF(AND(OR(sel_Region="All",C2693=sel_Region),OR(sel_Channel="All",E2693=sel_Channel),OR(sel_Customer="All",F2693=sel_Customer),OR(sel_Category="All",G2693=sel_Category),OR(sel_Product="All",H2693=sel_Product),AND(S2693&gt;=m_From,S2693&lt;=m_To)),1,0)</f>
        <v/>
      </c>
      <c r="W2693" s="36">
        <f>IF(AND(OR(sel_Region="All",C2693=sel_Region),OR(sel_Country="All",D2693=sel_Country),OR(sel_Customer="All",F2693=sel_Customer),OR(sel_Category="All",G2693=sel_Category),OR(sel_Product="All",H2693=sel_Product),AND(S2693&gt;=m_From,S2693&lt;=m_To)),1,0)</f>
        <v/>
      </c>
      <c r="X2693" s="36">
        <f>IF(AND(OR(sel_Region="All",C2693=sel_Region),OR(sel_Country="All",D2693=sel_Country),OR(sel_Channel="All",E2693=sel_Channel),OR(sel_Category="All",G2693=sel_Category),OR(sel_Product="All",H2693=sel_Product),AND(S2693&gt;=m_From,S2693&lt;=m_To)),1,0)</f>
        <v/>
      </c>
      <c r="Y2693" s="36">
        <f>IF(AND(OR(sel_Region="All",C2693=sel_Region),OR(sel_Country="All",D2693=sel_Country),OR(sel_Channel="All",E2693=sel_Channel),OR(sel_Customer="All",F2693=sel_Customer),OR(sel_Product="All",H2693=sel_Product),AND(S2693&gt;=m_From,S2693&lt;=m_To)),1,0)</f>
        <v/>
      </c>
      <c r="Z2693" s="36">
        <f>IF(AND(OR(sel_Region="All",C2693=sel_Region),OR(sel_Country="All",D2693=sel_Country),OR(sel_Channel="All",E2693=sel_Channel),OR(sel_Customer="All",F2693=sel_Customer),OR(sel_Category="All",G2693=sel_Category),AND(S2693&gt;=m_From,S2693&lt;=m_To)),1,0)</f>
        <v/>
      </c>
      <c r="AA2693" s="36">
        <f>IF(AND(OR(sel_Region="All",C2693=sel_Region),OR(sel_Country="All",D2693=sel_Country),OR(sel_Channel="All",E2693=sel_Channel),OR(sel_Customer="All",F2693=sel_Customer),OR(sel_Category="All",G2693=sel_Category),OR(sel_Product="All",H2693=sel_Product)),1,0)</f>
        <v/>
      </c>
    </row>
    <row r="2694">
      <c r="A2694" s="36" t="inlineStr">
        <is>
          <t>03409</t>
        </is>
      </c>
      <c r="B2694" s="44" t="n">
        <v>46384</v>
      </c>
      <c r="C2694" s="36" t="inlineStr">
        <is>
          <t>Western Europe</t>
        </is>
      </c>
      <c r="D2694" s="36" t="inlineStr">
        <is>
          <t>Belgium</t>
        </is>
      </c>
      <c r="E2694" s="36" t="inlineStr">
        <is>
          <t>Online Store</t>
        </is>
      </c>
      <c r="F2694" s="36" t="inlineStr">
        <is>
          <t>New</t>
        </is>
      </c>
      <c r="G2694" s="36" t="inlineStr">
        <is>
          <t>Camping</t>
        </is>
      </c>
      <c r="H2694" s="36" t="inlineStr">
        <is>
          <t>Compact Sleeping Bag</t>
        </is>
      </c>
      <c r="I2694" s="36" t="n">
        <v>5</v>
      </c>
      <c r="J2694" s="39" t="n">
        <v>122.42</v>
      </c>
      <c r="K2694" s="45" t="n">
        <v>0</v>
      </c>
      <c r="L2694" s="39" t="n">
        <v>60.8</v>
      </c>
      <c r="M2694" s="39">
        <f>I2694*J2694*(1-K2694)</f>
        <v/>
      </c>
      <c r="N2694" s="39">
        <f>I2694*L2694</f>
        <v/>
      </c>
      <c r="O2694" s="39">
        <f>M2694-N2694</f>
        <v/>
      </c>
      <c r="P2694" s="38">
        <f>IF(M2694=0,0,O2694/M2694)</f>
        <v/>
      </c>
      <c r="Q2694" s="36">
        <f>YEAR(B2694)</f>
        <v/>
      </c>
      <c r="R2694" s="36">
        <f>"Q"&amp;ROUNDUP(MONTH(B2694)/3,0)</f>
        <v/>
      </c>
      <c r="S2694" s="36">
        <f>MONTH(B2694)</f>
        <v/>
      </c>
      <c r="T2694" s="36">
        <f>TEXT(B2694,"mmm")</f>
        <v/>
      </c>
      <c r="U2694" s="36">
        <f>IF(AND(OR(sel_Region="All",C2694=sel_Region),OR(sel_Country="All",D2694=sel_Country),OR(sel_Channel="All",E2694=sel_Channel),OR(sel_Customer="All",F2694=sel_Customer),OR(sel_Category="All",G2694=sel_Category),OR(sel_Product="All",H2694=sel_Product),AND(S2694&gt;=m_From,S2694&lt;=m_To)),1,0)</f>
        <v/>
      </c>
      <c r="V2694" s="36">
        <f>IF(AND(OR(sel_Region="All",C2694=sel_Region),OR(sel_Channel="All",E2694=sel_Channel),OR(sel_Customer="All",F2694=sel_Customer),OR(sel_Category="All",G2694=sel_Category),OR(sel_Product="All",H2694=sel_Product),AND(S2694&gt;=m_From,S2694&lt;=m_To)),1,0)</f>
        <v/>
      </c>
      <c r="W2694" s="36">
        <f>IF(AND(OR(sel_Region="All",C2694=sel_Region),OR(sel_Country="All",D2694=sel_Country),OR(sel_Customer="All",F2694=sel_Customer),OR(sel_Category="All",G2694=sel_Category),OR(sel_Product="All",H2694=sel_Product),AND(S2694&gt;=m_From,S2694&lt;=m_To)),1,0)</f>
        <v/>
      </c>
      <c r="X2694" s="36">
        <f>IF(AND(OR(sel_Region="All",C2694=sel_Region),OR(sel_Country="All",D2694=sel_Country),OR(sel_Channel="All",E2694=sel_Channel),OR(sel_Category="All",G2694=sel_Category),OR(sel_Product="All",H2694=sel_Product),AND(S2694&gt;=m_From,S2694&lt;=m_To)),1,0)</f>
        <v/>
      </c>
      <c r="Y2694" s="36">
        <f>IF(AND(OR(sel_Region="All",C2694=sel_Region),OR(sel_Country="All",D2694=sel_Country),OR(sel_Channel="All",E2694=sel_Channel),OR(sel_Customer="All",F2694=sel_Customer),OR(sel_Product="All",H2694=sel_Product),AND(S2694&gt;=m_From,S2694&lt;=m_To)),1,0)</f>
        <v/>
      </c>
      <c r="Z2694" s="36">
        <f>IF(AND(OR(sel_Region="All",C2694=sel_Region),OR(sel_Country="All",D2694=sel_Country),OR(sel_Channel="All",E2694=sel_Channel),OR(sel_Customer="All",F2694=sel_Customer),OR(sel_Category="All",G2694=sel_Category),AND(S2694&gt;=m_From,S2694&lt;=m_To)),1,0)</f>
        <v/>
      </c>
      <c r="AA2694" s="36">
        <f>IF(AND(OR(sel_Region="All",C2694=sel_Region),OR(sel_Country="All",D2694=sel_Country),OR(sel_Channel="All",E2694=sel_Channel),OR(sel_Customer="All",F2694=sel_Customer),OR(sel_Category="All",G2694=sel_Category),OR(sel_Product="All",H2694=sel_Product)),1,0)</f>
        <v/>
      </c>
    </row>
    <row r="2695">
      <c r="A2695" s="36" t="inlineStr">
        <is>
          <t>03535</t>
        </is>
      </c>
      <c r="B2695" s="44" t="n">
        <v>46384</v>
      </c>
      <c r="C2695" s="36" t="inlineStr">
        <is>
          <t>Central Europe</t>
        </is>
      </c>
      <c r="D2695" s="36" t="inlineStr">
        <is>
          <t>Austria</t>
        </is>
      </c>
      <c r="E2695" s="36" t="inlineStr">
        <is>
          <t>Retail Partners</t>
        </is>
      </c>
      <c r="F2695" s="36" t="inlineStr">
        <is>
          <t>New</t>
        </is>
      </c>
      <c r="G2695" s="36" t="inlineStr">
        <is>
          <t>Travel</t>
        </is>
      </c>
      <c r="H2695" s="36" t="inlineStr">
        <is>
          <t>Insulated Bottle</t>
        </is>
      </c>
      <c r="I2695" s="36" t="n">
        <v>1</v>
      </c>
      <c r="J2695" s="39" t="n">
        <v>37.03</v>
      </c>
      <c r="K2695" s="45" t="n">
        <v>0.15</v>
      </c>
      <c r="L2695" s="39" t="n">
        <v>13.53</v>
      </c>
      <c r="M2695" s="39">
        <f>I2695*J2695*(1-K2695)</f>
        <v/>
      </c>
      <c r="N2695" s="39">
        <f>I2695*L2695</f>
        <v/>
      </c>
      <c r="O2695" s="39">
        <f>M2695-N2695</f>
        <v/>
      </c>
      <c r="P2695" s="38">
        <f>IF(M2695=0,0,O2695/M2695)</f>
        <v/>
      </c>
      <c r="Q2695" s="36">
        <f>YEAR(B2695)</f>
        <v/>
      </c>
      <c r="R2695" s="36">
        <f>"Q"&amp;ROUNDUP(MONTH(B2695)/3,0)</f>
        <v/>
      </c>
      <c r="S2695" s="36">
        <f>MONTH(B2695)</f>
        <v/>
      </c>
      <c r="T2695" s="36">
        <f>TEXT(B2695,"mmm")</f>
        <v/>
      </c>
      <c r="U2695" s="36">
        <f>IF(AND(OR(sel_Region="All",C2695=sel_Region),OR(sel_Country="All",D2695=sel_Country),OR(sel_Channel="All",E2695=sel_Channel),OR(sel_Customer="All",F2695=sel_Customer),OR(sel_Category="All",G2695=sel_Category),OR(sel_Product="All",H2695=sel_Product),AND(S2695&gt;=m_From,S2695&lt;=m_To)),1,0)</f>
        <v/>
      </c>
      <c r="V2695" s="36">
        <f>IF(AND(OR(sel_Region="All",C2695=sel_Region),OR(sel_Channel="All",E2695=sel_Channel),OR(sel_Customer="All",F2695=sel_Customer),OR(sel_Category="All",G2695=sel_Category),OR(sel_Product="All",H2695=sel_Product),AND(S2695&gt;=m_From,S2695&lt;=m_To)),1,0)</f>
        <v/>
      </c>
      <c r="W2695" s="36">
        <f>IF(AND(OR(sel_Region="All",C2695=sel_Region),OR(sel_Country="All",D2695=sel_Country),OR(sel_Customer="All",F2695=sel_Customer),OR(sel_Category="All",G2695=sel_Category),OR(sel_Product="All",H2695=sel_Product),AND(S2695&gt;=m_From,S2695&lt;=m_To)),1,0)</f>
        <v/>
      </c>
      <c r="X2695" s="36">
        <f>IF(AND(OR(sel_Region="All",C2695=sel_Region),OR(sel_Country="All",D2695=sel_Country),OR(sel_Channel="All",E2695=sel_Channel),OR(sel_Category="All",G2695=sel_Category),OR(sel_Product="All",H2695=sel_Product),AND(S2695&gt;=m_From,S2695&lt;=m_To)),1,0)</f>
        <v/>
      </c>
      <c r="Y2695" s="36">
        <f>IF(AND(OR(sel_Region="All",C2695=sel_Region),OR(sel_Country="All",D2695=sel_Country),OR(sel_Channel="All",E2695=sel_Channel),OR(sel_Customer="All",F2695=sel_Customer),OR(sel_Product="All",H2695=sel_Product),AND(S2695&gt;=m_From,S2695&lt;=m_To)),1,0)</f>
        <v/>
      </c>
      <c r="Z2695" s="36">
        <f>IF(AND(OR(sel_Region="All",C2695=sel_Region),OR(sel_Country="All",D2695=sel_Country),OR(sel_Channel="All",E2695=sel_Channel),OR(sel_Customer="All",F2695=sel_Customer),OR(sel_Category="All",G2695=sel_Category),AND(S2695&gt;=m_From,S2695&lt;=m_To)),1,0)</f>
        <v/>
      </c>
      <c r="AA2695" s="36">
        <f>IF(AND(OR(sel_Region="All",C2695=sel_Region),OR(sel_Country="All",D2695=sel_Country),OR(sel_Channel="All",E2695=sel_Channel),OR(sel_Customer="All",F2695=sel_Customer),OR(sel_Category="All",G2695=sel_Category),OR(sel_Product="All",H2695=sel_Product)),1,0)</f>
        <v/>
      </c>
    </row>
    <row r="2696">
      <c r="A2696" s="36" t="inlineStr">
        <is>
          <t>05134</t>
        </is>
      </c>
      <c r="B2696" s="44" t="n">
        <v>46384</v>
      </c>
      <c r="C2696" s="36" t="inlineStr">
        <is>
          <t>Central Europe</t>
        </is>
      </c>
      <c r="D2696" s="36" t="inlineStr">
        <is>
          <t>Poland</t>
        </is>
      </c>
      <c r="E2696" s="36" t="inlineStr">
        <is>
          <t>Retail Partners</t>
        </is>
      </c>
      <c r="F2696" s="36" t="inlineStr">
        <is>
          <t>Returning</t>
        </is>
      </c>
      <c r="G2696" s="36" t="inlineStr">
        <is>
          <t>Hiking</t>
        </is>
      </c>
      <c r="H2696" s="36" t="inlineStr">
        <is>
          <t>Hiking Daypack 20L</t>
        </is>
      </c>
      <c r="I2696" s="36" t="n">
        <v>1</v>
      </c>
      <c r="J2696" s="39" t="n">
        <v>90.98999999999999</v>
      </c>
      <c r="K2696" s="45" t="n">
        <v>0.05</v>
      </c>
      <c r="L2696" s="39" t="n">
        <v>44.78</v>
      </c>
      <c r="M2696" s="39">
        <f>I2696*J2696*(1-K2696)</f>
        <v/>
      </c>
      <c r="N2696" s="39">
        <f>I2696*L2696</f>
        <v/>
      </c>
      <c r="O2696" s="39">
        <f>M2696-N2696</f>
        <v/>
      </c>
      <c r="P2696" s="38">
        <f>IF(M2696=0,0,O2696/M2696)</f>
        <v/>
      </c>
      <c r="Q2696" s="36">
        <f>YEAR(B2696)</f>
        <v/>
      </c>
      <c r="R2696" s="36">
        <f>"Q"&amp;ROUNDUP(MONTH(B2696)/3,0)</f>
        <v/>
      </c>
      <c r="S2696" s="36">
        <f>MONTH(B2696)</f>
        <v/>
      </c>
      <c r="T2696" s="36">
        <f>TEXT(B2696,"mmm")</f>
        <v/>
      </c>
      <c r="U2696" s="36">
        <f>IF(AND(OR(sel_Region="All",C2696=sel_Region),OR(sel_Country="All",D2696=sel_Country),OR(sel_Channel="All",E2696=sel_Channel),OR(sel_Customer="All",F2696=sel_Customer),OR(sel_Category="All",G2696=sel_Category),OR(sel_Product="All",H2696=sel_Product),AND(S2696&gt;=m_From,S2696&lt;=m_To)),1,0)</f>
        <v/>
      </c>
      <c r="V2696" s="36">
        <f>IF(AND(OR(sel_Region="All",C2696=sel_Region),OR(sel_Channel="All",E2696=sel_Channel),OR(sel_Customer="All",F2696=sel_Customer),OR(sel_Category="All",G2696=sel_Category),OR(sel_Product="All",H2696=sel_Product),AND(S2696&gt;=m_From,S2696&lt;=m_To)),1,0)</f>
        <v/>
      </c>
      <c r="W2696" s="36">
        <f>IF(AND(OR(sel_Region="All",C2696=sel_Region),OR(sel_Country="All",D2696=sel_Country),OR(sel_Customer="All",F2696=sel_Customer),OR(sel_Category="All",G2696=sel_Category),OR(sel_Product="All",H2696=sel_Product),AND(S2696&gt;=m_From,S2696&lt;=m_To)),1,0)</f>
        <v/>
      </c>
      <c r="X2696" s="36">
        <f>IF(AND(OR(sel_Region="All",C2696=sel_Region),OR(sel_Country="All",D2696=sel_Country),OR(sel_Channel="All",E2696=sel_Channel),OR(sel_Category="All",G2696=sel_Category),OR(sel_Product="All",H2696=sel_Product),AND(S2696&gt;=m_From,S2696&lt;=m_To)),1,0)</f>
        <v/>
      </c>
      <c r="Y2696" s="36">
        <f>IF(AND(OR(sel_Region="All",C2696=sel_Region),OR(sel_Country="All",D2696=sel_Country),OR(sel_Channel="All",E2696=sel_Channel),OR(sel_Customer="All",F2696=sel_Customer),OR(sel_Product="All",H2696=sel_Product),AND(S2696&gt;=m_From,S2696&lt;=m_To)),1,0)</f>
        <v/>
      </c>
      <c r="Z2696" s="36">
        <f>IF(AND(OR(sel_Region="All",C2696=sel_Region),OR(sel_Country="All",D2696=sel_Country),OR(sel_Channel="All",E2696=sel_Channel),OR(sel_Customer="All",F2696=sel_Customer),OR(sel_Category="All",G2696=sel_Category),AND(S2696&gt;=m_From,S2696&lt;=m_To)),1,0)</f>
        <v/>
      </c>
      <c r="AA2696" s="36">
        <f>IF(AND(OR(sel_Region="All",C2696=sel_Region),OR(sel_Country="All",D2696=sel_Country),OR(sel_Channel="All",E2696=sel_Channel),OR(sel_Customer="All",F2696=sel_Customer),OR(sel_Category="All",G2696=sel_Category),OR(sel_Product="All",H2696=sel_Product)),1,0)</f>
        <v/>
      </c>
    </row>
    <row r="2697">
      <c r="A2697" s="36" t="inlineStr">
        <is>
          <t>02011</t>
        </is>
      </c>
      <c r="B2697" s="44" t="n">
        <v>46385</v>
      </c>
      <c r="C2697" s="36" t="inlineStr">
        <is>
          <t>Central Europe</t>
        </is>
      </c>
      <c r="D2697" s="36" t="inlineStr">
        <is>
          <t>Switzerland</t>
        </is>
      </c>
      <c r="E2697" s="36" t="inlineStr">
        <is>
          <t>Online Store</t>
        </is>
      </c>
      <c r="F2697" s="36" t="inlineStr">
        <is>
          <t>Returning</t>
        </is>
      </c>
      <c r="G2697" s="36" t="inlineStr">
        <is>
          <t>Hiking</t>
        </is>
      </c>
      <c r="H2697" s="36" t="inlineStr">
        <is>
          <t>Hiking Daypack 20L</t>
        </is>
      </c>
      <c r="I2697" s="36" t="n">
        <v>1</v>
      </c>
      <c r="J2697" s="39" t="n">
        <v>90.81</v>
      </c>
      <c r="K2697" s="45" t="n">
        <v>0.1</v>
      </c>
      <c r="L2697" s="39" t="n">
        <v>46.53</v>
      </c>
      <c r="M2697" s="39">
        <f>I2697*J2697*(1-K2697)</f>
        <v/>
      </c>
      <c r="N2697" s="39">
        <f>I2697*L2697</f>
        <v/>
      </c>
      <c r="O2697" s="39">
        <f>M2697-N2697</f>
        <v/>
      </c>
      <c r="P2697" s="38">
        <f>IF(M2697=0,0,O2697/M2697)</f>
        <v/>
      </c>
      <c r="Q2697" s="36">
        <f>YEAR(B2697)</f>
        <v/>
      </c>
      <c r="R2697" s="36">
        <f>"Q"&amp;ROUNDUP(MONTH(B2697)/3,0)</f>
        <v/>
      </c>
      <c r="S2697" s="36">
        <f>MONTH(B2697)</f>
        <v/>
      </c>
      <c r="T2697" s="36">
        <f>TEXT(B2697,"mmm")</f>
        <v/>
      </c>
      <c r="U2697" s="36">
        <f>IF(AND(OR(sel_Region="All",C2697=sel_Region),OR(sel_Country="All",D2697=sel_Country),OR(sel_Channel="All",E2697=sel_Channel),OR(sel_Customer="All",F2697=sel_Customer),OR(sel_Category="All",G2697=sel_Category),OR(sel_Product="All",H2697=sel_Product),AND(S2697&gt;=m_From,S2697&lt;=m_To)),1,0)</f>
        <v/>
      </c>
      <c r="V2697" s="36">
        <f>IF(AND(OR(sel_Region="All",C2697=sel_Region),OR(sel_Channel="All",E2697=sel_Channel),OR(sel_Customer="All",F2697=sel_Customer),OR(sel_Category="All",G2697=sel_Category),OR(sel_Product="All",H2697=sel_Product),AND(S2697&gt;=m_From,S2697&lt;=m_To)),1,0)</f>
        <v/>
      </c>
      <c r="W2697" s="36">
        <f>IF(AND(OR(sel_Region="All",C2697=sel_Region),OR(sel_Country="All",D2697=sel_Country),OR(sel_Customer="All",F2697=sel_Customer),OR(sel_Category="All",G2697=sel_Category),OR(sel_Product="All",H2697=sel_Product),AND(S2697&gt;=m_From,S2697&lt;=m_To)),1,0)</f>
        <v/>
      </c>
      <c r="X2697" s="36">
        <f>IF(AND(OR(sel_Region="All",C2697=sel_Region),OR(sel_Country="All",D2697=sel_Country),OR(sel_Channel="All",E2697=sel_Channel),OR(sel_Category="All",G2697=sel_Category),OR(sel_Product="All",H2697=sel_Product),AND(S2697&gt;=m_From,S2697&lt;=m_To)),1,0)</f>
        <v/>
      </c>
      <c r="Y2697" s="36">
        <f>IF(AND(OR(sel_Region="All",C2697=sel_Region),OR(sel_Country="All",D2697=sel_Country),OR(sel_Channel="All",E2697=sel_Channel),OR(sel_Customer="All",F2697=sel_Customer),OR(sel_Product="All",H2697=sel_Product),AND(S2697&gt;=m_From,S2697&lt;=m_To)),1,0)</f>
        <v/>
      </c>
      <c r="Z2697" s="36">
        <f>IF(AND(OR(sel_Region="All",C2697=sel_Region),OR(sel_Country="All",D2697=sel_Country),OR(sel_Channel="All",E2697=sel_Channel),OR(sel_Customer="All",F2697=sel_Customer),OR(sel_Category="All",G2697=sel_Category),AND(S2697&gt;=m_From,S2697&lt;=m_To)),1,0)</f>
        <v/>
      </c>
      <c r="AA2697" s="36">
        <f>IF(AND(OR(sel_Region="All",C2697=sel_Region),OR(sel_Country="All",D2697=sel_Country),OR(sel_Channel="All",E2697=sel_Channel),OR(sel_Customer="All",F2697=sel_Customer),OR(sel_Category="All",G2697=sel_Category),OR(sel_Product="All",H2697=sel_Product)),1,0)</f>
        <v/>
      </c>
    </row>
    <row r="2698">
      <c r="A2698" s="36" t="inlineStr">
        <is>
          <t>02477</t>
        </is>
      </c>
      <c r="B2698" s="44" t="n">
        <v>46385</v>
      </c>
      <c r="C2698" s="36" t="inlineStr">
        <is>
          <t>Southern Europe</t>
        </is>
      </c>
      <c r="D2698" s="36" t="inlineStr">
        <is>
          <t>Italy</t>
        </is>
      </c>
      <c r="E2698" s="36" t="inlineStr">
        <is>
          <t>Retail Partners</t>
        </is>
      </c>
      <c r="F2698" s="36" t="inlineStr">
        <is>
          <t>New</t>
        </is>
      </c>
      <c r="G2698" s="36" t="inlineStr">
        <is>
          <t>Cycling</t>
        </is>
      </c>
      <c r="H2698" s="36" t="inlineStr">
        <is>
          <t>Compact Repair Kit</t>
        </is>
      </c>
      <c r="I2698" s="36" t="n">
        <v>1</v>
      </c>
      <c r="J2698" s="39" t="n">
        <v>41.28</v>
      </c>
      <c r="K2698" s="45" t="n">
        <v>0.15</v>
      </c>
      <c r="L2698" s="39" t="n">
        <v>16.41</v>
      </c>
      <c r="M2698" s="39">
        <f>I2698*J2698*(1-K2698)</f>
        <v/>
      </c>
      <c r="N2698" s="39">
        <f>I2698*L2698</f>
        <v/>
      </c>
      <c r="O2698" s="39">
        <f>M2698-N2698</f>
        <v/>
      </c>
      <c r="P2698" s="38">
        <f>IF(M2698=0,0,O2698/M2698)</f>
        <v/>
      </c>
      <c r="Q2698" s="36">
        <f>YEAR(B2698)</f>
        <v/>
      </c>
      <c r="R2698" s="36">
        <f>"Q"&amp;ROUNDUP(MONTH(B2698)/3,0)</f>
        <v/>
      </c>
      <c r="S2698" s="36">
        <f>MONTH(B2698)</f>
        <v/>
      </c>
      <c r="T2698" s="36">
        <f>TEXT(B2698,"mmm")</f>
        <v/>
      </c>
      <c r="U2698" s="36">
        <f>IF(AND(OR(sel_Region="All",C2698=sel_Region),OR(sel_Country="All",D2698=sel_Country),OR(sel_Channel="All",E2698=sel_Channel),OR(sel_Customer="All",F2698=sel_Customer),OR(sel_Category="All",G2698=sel_Category),OR(sel_Product="All",H2698=sel_Product),AND(S2698&gt;=m_From,S2698&lt;=m_To)),1,0)</f>
        <v/>
      </c>
      <c r="V2698" s="36">
        <f>IF(AND(OR(sel_Region="All",C2698=sel_Region),OR(sel_Channel="All",E2698=sel_Channel),OR(sel_Customer="All",F2698=sel_Customer),OR(sel_Category="All",G2698=sel_Category),OR(sel_Product="All",H2698=sel_Product),AND(S2698&gt;=m_From,S2698&lt;=m_To)),1,0)</f>
        <v/>
      </c>
      <c r="W2698" s="36">
        <f>IF(AND(OR(sel_Region="All",C2698=sel_Region),OR(sel_Country="All",D2698=sel_Country),OR(sel_Customer="All",F2698=sel_Customer),OR(sel_Category="All",G2698=sel_Category),OR(sel_Product="All",H2698=sel_Product),AND(S2698&gt;=m_From,S2698&lt;=m_To)),1,0)</f>
        <v/>
      </c>
      <c r="X2698" s="36">
        <f>IF(AND(OR(sel_Region="All",C2698=sel_Region),OR(sel_Country="All",D2698=sel_Country),OR(sel_Channel="All",E2698=sel_Channel),OR(sel_Category="All",G2698=sel_Category),OR(sel_Product="All",H2698=sel_Product),AND(S2698&gt;=m_From,S2698&lt;=m_To)),1,0)</f>
        <v/>
      </c>
      <c r="Y2698" s="36">
        <f>IF(AND(OR(sel_Region="All",C2698=sel_Region),OR(sel_Country="All",D2698=sel_Country),OR(sel_Channel="All",E2698=sel_Channel),OR(sel_Customer="All",F2698=sel_Customer),OR(sel_Product="All",H2698=sel_Product),AND(S2698&gt;=m_From,S2698&lt;=m_To)),1,0)</f>
        <v/>
      </c>
      <c r="Z2698" s="36">
        <f>IF(AND(OR(sel_Region="All",C2698=sel_Region),OR(sel_Country="All",D2698=sel_Country),OR(sel_Channel="All",E2698=sel_Channel),OR(sel_Customer="All",F2698=sel_Customer),OR(sel_Category="All",G2698=sel_Category),AND(S2698&gt;=m_From,S2698&lt;=m_To)),1,0)</f>
        <v/>
      </c>
      <c r="AA2698" s="36">
        <f>IF(AND(OR(sel_Region="All",C2698=sel_Region),OR(sel_Country="All",D2698=sel_Country),OR(sel_Channel="All",E2698=sel_Channel),OR(sel_Customer="All",F2698=sel_Customer),OR(sel_Category="All",G2698=sel_Category),OR(sel_Product="All",H2698=sel_Product)),1,0)</f>
        <v/>
      </c>
    </row>
    <row r="2699">
      <c r="A2699" s="36" t="inlineStr">
        <is>
          <t>02745</t>
        </is>
      </c>
      <c r="B2699" s="44" t="n">
        <v>46385</v>
      </c>
      <c r="C2699" s="36" t="inlineStr">
        <is>
          <t>Western Europe</t>
        </is>
      </c>
      <c r="D2699" s="36" t="inlineStr">
        <is>
          <t>France</t>
        </is>
      </c>
      <c r="E2699" s="36" t="inlineStr">
        <is>
          <t>Marketplace</t>
        </is>
      </c>
      <c r="F2699" s="36" t="inlineStr">
        <is>
          <t>Business</t>
        </is>
      </c>
      <c r="G2699" s="36" t="inlineStr">
        <is>
          <t>Travel</t>
        </is>
      </c>
      <c r="H2699" s="36" t="inlineStr">
        <is>
          <t>Packing Cube Set</t>
        </is>
      </c>
      <c r="I2699" s="36" t="n">
        <v>1</v>
      </c>
      <c r="J2699" s="39" t="n">
        <v>46.07</v>
      </c>
      <c r="K2699" s="45" t="n">
        <v>0</v>
      </c>
      <c r="L2699" s="39" t="n">
        <v>18.42</v>
      </c>
      <c r="M2699" s="39">
        <f>I2699*J2699*(1-K2699)</f>
        <v/>
      </c>
      <c r="N2699" s="39">
        <f>I2699*L2699</f>
        <v/>
      </c>
      <c r="O2699" s="39">
        <f>M2699-N2699</f>
        <v/>
      </c>
      <c r="P2699" s="38">
        <f>IF(M2699=0,0,O2699/M2699)</f>
        <v/>
      </c>
      <c r="Q2699" s="36">
        <f>YEAR(B2699)</f>
        <v/>
      </c>
      <c r="R2699" s="36">
        <f>"Q"&amp;ROUNDUP(MONTH(B2699)/3,0)</f>
        <v/>
      </c>
      <c r="S2699" s="36">
        <f>MONTH(B2699)</f>
        <v/>
      </c>
      <c r="T2699" s="36">
        <f>TEXT(B2699,"mmm")</f>
        <v/>
      </c>
      <c r="U2699" s="36">
        <f>IF(AND(OR(sel_Region="All",C2699=sel_Region),OR(sel_Country="All",D2699=sel_Country),OR(sel_Channel="All",E2699=sel_Channel),OR(sel_Customer="All",F2699=sel_Customer),OR(sel_Category="All",G2699=sel_Category),OR(sel_Product="All",H2699=sel_Product),AND(S2699&gt;=m_From,S2699&lt;=m_To)),1,0)</f>
        <v/>
      </c>
      <c r="V2699" s="36">
        <f>IF(AND(OR(sel_Region="All",C2699=sel_Region),OR(sel_Channel="All",E2699=sel_Channel),OR(sel_Customer="All",F2699=sel_Customer),OR(sel_Category="All",G2699=sel_Category),OR(sel_Product="All",H2699=sel_Product),AND(S2699&gt;=m_From,S2699&lt;=m_To)),1,0)</f>
        <v/>
      </c>
      <c r="W2699" s="36">
        <f>IF(AND(OR(sel_Region="All",C2699=sel_Region),OR(sel_Country="All",D2699=sel_Country),OR(sel_Customer="All",F2699=sel_Customer),OR(sel_Category="All",G2699=sel_Category),OR(sel_Product="All",H2699=sel_Product),AND(S2699&gt;=m_From,S2699&lt;=m_To)),1,0)</f>
        <v/>
      </c>
      <c r="X2699" s="36">
        <f>IF(AND(OR(sel_Region="All",C2699=sel_Region),OR(sel_Country="All",D2699=sel_Country),OR(sel_Channel="All",E2699=sel_Channel),OR(sel_Category="All",G2699=sel_Category),OR(sel_Product="All",H2699=sel_Product),AND(S2699&gt;=m_From,S2699&lt;=m_To)),1,0)</f>
        <v/>
      </c>
      <c r="Y2699" s="36">
        <f>IF(AND(OR(sel_Region="All",C2699=sel_Region),OR(sel_Country="All",D2699=sel_Country),OR(sel_Channel="All",E2699=sel_Channel),OR(sel_Customer="All",F2699=sel_Customer),OR(sel_Product="All",H2699=sel_Product),AND(S2699&gt;=m_From,S2699&lt;=m_To)),1,0)</f>
        <v/>
      </c>
      <c r="Z2699" s="36">
        <f>IF(AND(OR(sel_Region="All",C2699=sel_Region),OR(sel_Country="All",D2699=sel_Country),OR(sel_Channel="All",E2699=sel_Channel),OR(sel_Customer="All",F2699=sel_Customer),OR(sel_Category="All",G2699=sel_Category),AND(S2699&gt;=m_From,S2699&lt;=m_To)),1,0)</f>
        <v/>
      </c>
      <c r="AA2699" s="36">
        <f>IF(AND(OR(sel_Region="All",C2699=sel_Region),OR(sel_Country="All",D2699=sel_Country),OR(sel_Channel="All",E2699=sel_Channel),OR(sel_Customer="All",F2699=sel_Customer),OR(sel_Category="All",G2699=sel_Category),OR(sel_Product="All",H2699=sel_Product)),1,0)</f>
        <v/>
      </c>
    </row>
    <row r="2700">
      <c r="A2700" s="36" t="inlineStr">
        <is>
          <t>04427</t>
        </is>
      </c>
      <c r="B2700" s="44" t="n">
        <v>46385</v>
      </c>
      <c r="C2700" s="36" t="inlineStr">
        <is>
          <t>Central Europe</t>
        </is>
      </c>
      <c r="D2700" s="36" t="inlineStr">
        <is>
          <t>Germany</t>
        </is>
      </c>
      <c r="E2700" s="36" t="inlineStr">
        <is>
          <t>Retail Partners</t>
        </is>
      </c>
      <c r="F2700" s="36" t="inlineStr">
        <is>
          <t>Business</t>
        </is>
      </c>
      <c r="G2700" s="36" t="inlineStr">
        <is>
          <t>Hiking</t>
        </is>
      </c>
      <c r="H2700" s="36" t="inlineStr">
        <is>
          <t>Trail Boots</t>
        </is>
      </c>
      <c r="I2700" s="36" t="n">
        <v>1</v>
      </c>
      <c r="J2700" s="39" t="n">
        <v>147.29</v>
      </c>
      <c r="K2700" s="45" t="n">
        <v>0.1</v>
      </c>
      <c r="L2700" s="39" t="n">
        <v>78.2</v>
      </c>
      <c r="M2700" s="39">
        <f>I2700*J2700*(1-K2700)</f>
        <v/>
      </c>
      <c r="N2700" s="39">
        <f>I2700*L2700</f>
        <v/>
      </c>
      <c r="O2700" s="39">
        <f>M2700-N2700</f>
        <v/>
      </c>
      <c r="P2700" s="38">
        <f>IF(M2700=0,0,O2700/M2700)</f>
        <v/>
      </c>
      <c r="Q2700" s="36">
        <f>YEAR(B2700)</f>
        <v/>
      </c>
      <c r="R2700" s="36">
        <f>"Q"&amp;ROUNDUP(MONTH(B2700)/3,0)</f>
        <v/>
      </c>
      <c r="S2700" s="36">
        <f>MONTH(B2700)</f>
        <v/>
      </c>
      <c r="T2700" s="36">
        <f>TEXT(B2700,"mmm")</f>
        <v/>
      </c>
      <c r="U2700" s="36">
        <f>IF(AND(OR(sel_Region="All",C2700=sel_Region),OR(sel_Country="All",D2700=sel_Country),OR(sel_Channel="All",E2700=sel_Channel),OR(sel_Customer="All",F2700=sel_Customer),OR(sel_Category="All",G2700=sel_Category),OR(sel_Product="All",H2700=sel_Product),AND(S2700&gt;=m_From,S2700&lt;=m_To)),1,0)</f>
        <v/>
      </c>
      <c r="V2700" s="36">
        <f>IF(AND(OR(sel_Region="All",C2700=sel_Region),OR(sel_Channel="All",E2700=sel_Channel),OR(sel_Customer="All",F2700=sel_Customer),OR(sel_Category="All",G2700=sel_Category),OR(sel_Product="All",H2700=sel_Product),AND(S2700&gt;=m_From,S2700&lt;=m_To)),1,0)</f>
        <v/>
      </c>
      <c r="W2700" s="36">
        <f>IF(AND(OR(sel_Region="All",C2700=sel_Region),OR(sel_Country="All",D2700=sel_Country),OR(sel_Customer="All",F2700=sel_Customer),OR(sel_Category="All",G2700=sel_Category),OR(sel_Product="All",H2700=sel_Product),AND(S2700&gt;=m_From,S2700&lt;=m_To)),1,0)</f>
        <v/>
      </c>
      <c r="X2700" s="36">
        <f>IF(AND(OR(sel_Region="All",C2700=sel_Region),OR(sel_Country="All",D2700=sel_Country),OR(sel_Channel="All",E2700=sel_Channel),OR(sel_Category="All",G2700=sel_Category),OR(sel_Product="All",H2700=sel_Product),AND(S2700&gt;=m_From,S2700&lt;=m_To)),1,0)</f>
        <v/>
      </c>
      <c r="Y2700" s="36">
        <f>IF(AND(OR(sel_Region="All",C2700=sel_Region),OR(sel_Country="All",D2700=sel_Country),OR(sel_Channel="All",E2700=sel_Channel),OR(sel_Customer="All",F2700=sel_Customer),OR(sel_Product="All",H2700=sel_Product),AND(S2700&gt;=m_From,S2700&lt;=m_To)),1,0)</f>
        <v/>
      </c>
      <c r="Z2700" s="36">
        <f>IF(AND(OR(sel_Region="All",C2700=sel_Region),OR(sel_Country="All",D2700=sel_Country),OR(sel_Channel="All",E2700=sel_Channel),OR(sel_Customer="All",F2700=sel_Customer),OR(sel_Category="All",G2700=sel_Category),AND(S2700&gt;=m_From,S2700&lt;=m_To)),1,0)</f>
        <v/>
      </c>
      <c r="AA2700" s="36">
        <f>IF(AND(OR(sel_Region="All",C2700=sel_Region),OR(sel_Country="All",D2700=sel_Country),OR(sel_Channel="All",E2700=sel_Channel),OR(sel_Customer="All",F2700=sel_Customer),OR(sel_Category="All",G2700=sel_Category),OR(sel_Product="All",H2700=sel_Product)),1,0)</f>
        <v/>
      </c>
    </row>
    <row r="2701">
      <c r="A2701" s="36" t="inlineStr">
        <is>
          <t>00377</t>
        </is>
      </c>
      <c r="B2701" s="44" t="n">
        <v>46386</v>
      </c>
      <c r="C2701" s="36" t="inlineStr">
        <is>
          <t>Western Europe</t>
        </is>
      </c>
      <c r="D2701" s="36" t="inlineStr">
        <is>
          <t>France</t>
        </is>
      </c>
      <c r="E2701" s="36" t="inlineStr">
        <is>
          <t>Online Store</t>
        </is>
      </c>
      <c r="F2701" s="36" t="inlineStr">
        <is>
          <t>New</t>
        </is>
      </c>
      <c r="G2701" s="36" t="inlineStr">
        <is>
          <t>Cycling</t>
        </is>
      </c>
      <c r="H2701" s="36" t="inlineStr">
        <is>
          <t>Compact Repair Kit</t>
        </is>
      </c>
      <c r="I2701" s="36" t="n">
        <v>1</v>
      </c>
      <c r="J2701" s="39" t="n">
        <v>40.82</v>
      </c>
      <c r="K2701" s="45" t="n">
        <v>0.1</v>
      </c>
      <c r="L2701" s="39" t="n">
        <v>17.2</v>
      </c>
      <c r="M2701" s="39">
        <f>I2701*J2701*(1-K2701)</f>
        <v/>
      </c>
      <c r="N2701" s="39">
        <f>I2701*L2701</f>
        <v/>
      </c>
      <c r="O2701" s="39">
        <f>M2701-N2701</f>
        <v/>
      </c>
      <c r="P2701" s="38">
        <f>IF(M2701=0,0,O2701/M2701)</f>
        <v/>
      </c>
      <c r="Q2701" s="36">
        <f>YEAR(B2701)</f>
        <v/>
      </c>
      <c r="R2701" s="36">
        <f>"Q"&amp;ROUNDUP(MONTH(B2701)/3,0)</f>
        <v/>
      </c>
      <c r="S2701" s="36">
        <f>MONTH(B2701)</f>
        <v/>
      </c>
      <c r="T2701" s="36">
        <f>TEXT(B2701,"mmm")</f>
        <v/>
      </c>
      <c r="U2701" s="36">
        <f>IF(AND(OR(sel_Region="All",C2701=sel_Region),OR(sel_Country="All",D2701=sel_Country),OR(sel_Channel="All",E2701=sel_Channel),OR(sel_Customer="All",F2701=sel_Customer),OR(sel_Category="All",G2701=sel_Category),OR(sel_Product="All",H2701=sel_Product),AND(S2701&gt;=m_From,S2701&lt;=m_To)),1,0)</f>
        <v/>
      </c>
      <c r="V2701" s="36">
        <f>IF(AND(OR(sel_Region="All",C2701=sel_Region),OR(sel_Channel="All",E2701=sel_Channel),OR(sel_Customer="All",F2701=sel_Customer),OR(sel_Category="All",G2701=sel_Category),OR(sel_Product="All",H2701=sel_Product),AND(S2701&gt;=m_From,S2701&lt;=m_To)),1,0)</f>
        <v/>
      </c>
      <c r="W2701" s="36">
        <f>IF(AND(OR(sel_Region="All",C2701=sel_Region),OR(sel_Country="All",D2701=sel_Country),OR(sel_Customer="All",F2701=sel_Customer),OR(sel_Category="All",G2701=sel_Category),OR(sel_Product="All",H2701=sel_Product),AND(S2701&gt;=m_From,S2701&lt;=m_To)),1,0)</f>
        <v/>
      </c>
      <c r="X2701" s="36">
        <f>IF(AND(OR(sel_Region="All",C2701=sel_Region),OR(sel_Country="All",D2701=sel_Country),OR(sel_Channel="All",E2701=sel_Channel),OR(sel_Category="All",G2701=sel_Category),OR(sel_Product="All",H2701=sel_Product),AND(S2701&gt;=m_From,S2701&lt;=m_To)),1,0)</f>
        <v/>
      </c>
      <c r="Y2701" s="36">
        <f>IF(AND(OR(sel_Region="All",C2701=sel_Region),OR(sel_Country="All",D2701=sel_Country),OR(sel_Channel="All",E2701=sel_Channel),OR(sel_Customer="All",F2701=sel_Customer),OR(sel_Product="All",H2701=sel_Product),AND(S2701&gt;=m_From,S2701&lt;=m_To)),1,0)</f>
        <v/>
      </c>
      <c r="Z2701" s="36">
        <f>IF(AND(OR(sel_Region="All",C2701=sel_Region),OR(sel_Country="All",D2701=sel_Country),OR(sel_Channel="All",E2701=sel_Channel),OR(sel_Customer="All",F2701=sel_Customer),OR(sel_Category="All",G2701=sel_Category),AND(S2701&gt;=m_From,S2701&lt;=m_To)),1,0)</f>
        <v/>
      </c>
      <c r="AA2701" s="36">
        <f>IF(AND(OR(sel_Region="All",C2701=sel_Region),OR(sel_Country="All",D2701=sel_Country),OR(sel_Channel="All",E2701=sel_Channel),OR(sel_Customer="All",F2701=sel_Customer),OR(sel_Category="All",G2701=sel_Category),OR(sel_Product="All",H2701=sel_Product)),1,0)</f>
        <v/>
      </c>
    </row>
    <row r="2702">
      <c r="A2702" s="36" t="inlineStr">
        <is>
          <t>01530</t>
        </is>
      </c>
      <c r="B2702" s="44" t="n">
        <v>46386</v>
      </c>
      <c r="C2702" s="36" t="inlineStr">
        <is>
          <t>Western Europe</t>
        </is>
      </c>
      <c r="D2702" s="36" t="inlineStr">
        <is>
          <t>Netherlands</t>
        </is>
      </c>
      <c r="E2702" s="36" t="inlineStr">
        <is>
          <t>Online Store</t>
        </is>
      </c>
      <c r="F2702" s="36" t="inlineStr">
        <is>
          <t>New</t>
        </is>
      </c>
      <c r="G2702" s="36" t="inlineStr">
        <is>
          <t>Fitness</t>
        </is>
      </c>
      <c r="H2702" s="36" t="inlineStr">
        <is>
          <t>Training Mat</t>
        </is>
      </c>
      <c r="I2702" s="36" t="n">
        <v>3</v>
      </c>
      <c r="J2702" s="39" t="n">
        <v>50.72</v>
      </c>
      <c r="K2702" s="45" t="n">
        <v>0</v>
      </c>
      <c r="L2702" s="39" t="n">
        <v>22.3</v>
      </c>
      <c r="M2702" s="39">
        <f>I2702*J2702*(1-K2702)</f>
        <v/>
      </c>
      <c r="N2702" s="39">
        <f>I2702*L2702</f>
        <v/>
      </c>
      <c r="O2702" s="39">
        <f>M2702-N2702</f>
        <v/>
      </c>
      <c r="P2702" s="38">
        <f>IF(M2702=0,0,O2702/M2702)</f>
        <v/>
      </c>
      <c r="Q2702" s="36">
        <f>YEAR(B2702)</f>
        <v/>
      </c>
      <c r="R2702" s="36">
        <f>"Q"&amp;ROUNDUP(MONTH(B2702)/3,0)</f>
        <v/>
      </c>
      <c r="S2702" s="36">
        <f>MONTH(B2702)</f>
        <v/>
      </c>
      <c r="T2702" s="36">
        <f>TEXT(B2702,"mmm")</f>
        <v/>
      </c>
      <c r="U2702" s="36">
        <f>IF(AND(OR(sel_Region="All",C2702=sel_Region),OR(sel_Country="All",D2702=sel_Country),OR(sel_Channel="All",E2702=sel_Channel),OR(sel_Customer="All",F2702=sel_Customer),OR(sel_Category="All",G2702=sel_Category),OR(sel_Product="All",H2702=sel_Product),AND(S2702&gt;=m_From,S2702&lt;=m_To)),1,0)</f>
        <v/>
      </c>
      <c r="V2702" s="36">
        <f>IF(AND(OR(sel_Region="All",C2702=sel_Region),OR(sel_Channel="All",E2702=sel_Channel),OR(sel_Customer="All",F2702=sel_Customer),OR(sel_Category="All",G2702=sel_Category),OR(sel_Product="All",H2702=sel_Product),AND(S2702&gt;=m_From,S2702&lt;=m_To)),1,0)</f>
        <v/>
      </c>
      <c r="W2702" s="36">
        <f>IF(AND(OR(sel_Region="All",C2702=sel_Region),OR(sel_Country="All",D2702=sel_Country),OR(sel_Customer="All",F2702=sel_Customer),OR(sel_Category="All",G2702=sel_Category),OR(sel_Product="All",H2702=sel_Product),AND(S2702&gt;=m_From,S2702&lt;=m_To)),1,0)</f>
        <v/>
      </c>
      <c r="X2702" s="36">
        <f>IF(AND(OR(sel_Region="All",C2702=sel_Region),OR(sel_Country="All",D2702=sel_Country),OR(sel_Channel="All",E2702=sel_Channel),OR(sel_Category="All",G2702=sel_Category),OR(sel_Product="All",H2702=sel_Product),AND(S2702&gt;=m_From,S2702&lt;=m_To)),1,0)</f>
        <v/>
      </c>
      <c r="Y2702" s="36">
        <f>IF(AND(OR(sel_Region="All",C2702=sel_Region),OR(sel_Country="All",D2702=sel_Country),OR(sel_Channel="All",E2702=sel_Channel),OR(sel_Customer="All",F2702=sel_Customer),OR(sel_Product="All",H2702=sel_Product),AND(S2702&gt;=m_From,S2702&lt;=m_To)),1,0)</f>
        <v/>
      </c>
      <c r="Z2702" s="36">
        <f>IF(AND(OR(sel_Region="All",C2702=sel_Region),OR(sel_Country="All",D2702=sel_Country),OR(sel_Channel="All",E2702=sel_Channel),OR(sel_Customer="All",F2702=sel_Customer),OR(sel_Category="All",G2702=sel_Category),AND(S2702&gt;=m_From,S2702&lt;=m_To)),1,0)</f>
        <v/>
      </c>
      <c r="AA2702" s="36">
        <f>IF(AND(OR(sel_Region="All",C2702=sel_Region),OR(sel_Country="All",D2702=sel_Country),OR(sel_Channel="All",E2702=sel_Channel),OR(sel_Customer="All",F2702=sel_Customer),OR(sel_Category="All",G2702=sel_Category),OR(sel_Product="All",H2702=sel_Product)),1,0)</f>
        <v/>
      </c>
    </row>
    <row r="2703">
      <c r="A2703" s="36" t="inlineStr">
        <is>
          <t>02135</t>
        </is>
      </c>
      <c r="B2703" s="44" t="n">
        <v>46386</v>
      </c>
      <c r="C2703" s="36" t="inlineStr">
        <is>
          <t>Central Europe</t>
        </is>
      </c>
      <c r="D2703" s="36" t="inlineStr">
        <is>
          <t>Germany</t>
        </is>
      </c>
      <c r="E2703" s="36" t="inlineStr">
        <is>
          <t>Marketplace</t>
        </is>
      </c>
      <c r="F2703" s="36" t="inlineStr">
        <is>
          <t>Business</t>
        </is>
      </c>
      <c r="G2703" s="36" t="inlineStr">
        <is>
          <t>Camping</t>
        </is>
      </c>
      <c r="H2703" s="36" t="inlineStr">
        <is>
          <t>Trail Tent 2P</t>
        </is>
      </c>
      <c r="I2703" s="36" t="n">
        <v>3</v>
      </c>
      <c r="J2703" s="39" t="n">
        <v>194.7</v>
      </c>
      <c r="K2703" s="45" t="n">
        <v>0.1</v>
      </c>
      <c r="L2703" s="39" t="n">
        <v>102.62</v>
      </c>
      <c r="M2703" s="39">
        <f>I2703*J2703*(1-K2703)</f>
        <v/>
      </c>
      <c r="N2703" s="39">
        <f>I2703*L2703</f>
        <v/>
      </c>
      <c r="O2703" s="39">
        <f>M2703-N2703</f>
        <v/>
      </c>
      <c r="P2703" s="38">
        <f>IF(M2703=0,0,O2703/M2703)</f>
        <v/>
      </c>
      <c r="Q2703" s="36">
        <f>YEAR(B2703)</f>
        <v/>
      </c>
      <c r="R2703" s="36">
        <f>"Q"&amp;ROUNDUP(MONTH(B2703)/3,0)</f>
        <v/>
      </c>
      <c r="S2703" s="36">
        <f>MONTH(B2703)</f>
        <v/>
      </c>
      <c r="T2703" s="36">
        <f>TEXT(B2703,"mmm")</f>
        <v/>
      </c>
      <c r="U2703" s="36">
        <f>IF(AND(OR(sel_Region="All",C2703=sel_Region),OR(sel_Country="All",D2703=sel_Country),OR(sel_Channel="All",E2703=sel_Channel),OR(sel_Customer="All",F2703=sel_Customer),OR(sel_Category="All",G2703=sel_Category),OR(sel_Product="All",H2703=sel_Product),AND(S2703&gt;=m_From,S2703&lt;=m_To)),1,0)</f>
        <v/>
      </c>
      <c r="V2703" s="36">
        <f>IF(AND(OR(sel_Region="All",C2703=sel_Region),OR(sel_Channel="All",E2703=sel_Channel),OR(sel_Customer="All",F2703=sel_Customer),OR(sel_Category="All",G2703=sel_Category),OR(sel_Product="All",H2703=sel_Product),AND(S2703&gt;=m_From,S2703&lt;=m_To)),1,0)</f>
        <v/>
      </c>
      <c r="W2703" s="36">
        <f>IF(AND(OR(sel_Region="All",C2703=sel_Region),OR(sel_Country="All",D2703=sel_Country),OR(sel_Customer="All",F2703=sel_Customer),OR(sel_Category="All",G2703=sel_Category),OR(sel_Product="All",H2703=sel_Product),AND(S2703&gt;=m_From,S2703&lt;=m_To)),1,0)</f>
        <v/>
      </c>
      <c r="X2703" s="36">
        <f>IF(AND(OR(sel_Region="All",C2703=sel_Region),OR(sel_Country="All",D2703=sel_Country),OR(sel_Channel="All",E2703=sel_Channel),OR(sel_Category="All",G2703=sel_Category),OR(sel_Product="All",H2703=sel_Product),AND(S2703&gt;=m_From,S2703&lt;=m_To)),1,0)</f>
        <v/>
      </c>
      <c r="Y2703" s="36">
        <f>IF(AND(OR(sel_Region="All",C2703=sel_Region),OR(sel_Country="All",D2703=sel_Country),OR(sel_Channel="All",E2703=sel_Channel),OR(sel_Customer="All",F2703=sel_Customer),OR(sel_Product="All",H2703=sel_Product),AND(S2703&gt;=m_From,S2703&lt;=m_To)),1,0)</f>
        <v/>
      </c>
      <c r="Z2703" s="36">
        <f>IF(AND(OR(sel_Region="All",C2703=sel_Region),OR(sel_Country="All",D2703=sel_Country),OR(sel_Channel="All",E2703=sel_Channel),OR(sel_Customer="All",F2703=sel_Customer),OR(sel_Category="All",G2703=sel_Category),AND(S2703&gt;=m_From,S2703&lt;=m_To)),1,0)</f>
        <v/>
      </c>
      <c r="AA2703" s="36">
        <f>IF(AND(OR(sel_Region="All",C2703=sel_Region),OR(sel_Country="All",D2703=sel_Country),OR(sel_Channel="All",E2703=sel_Channel),OR(sel_Customer="All",F2703=sel_Customer),OR(sel_Category="All",G2703=sel_Category),OR(sel_Product="All",H2703=sel_Product)),1,0)</f>
        <v/>
      </c>
    </row>
    <row r="2704">
      <c r="A2704" s="36" t="inlineStr">
        <is>
          <t>02916</t>
        </is>
      </c>
      <c r="B2704" s="44" t="n">
        <v>46386</v>
      </c>
      <c r="C2704" s="36" t="inlineStr">
        <is>
          <t>Central Europe</t>
        </is>
      </c>
      <c r="D2704" s="36" t="inlineStr">
        <is>
          <t>Austria</t>
        </is>
      </c>
      <c r="E2704" s="36" t="inlineStr">
        <is>
          <t>Retail Partners</t>
        </is>
      </c>
      <c r="F2704" s="36" t="inlineStr">
        <is>
          <t>New</t>
        </is>
      </c>
      <c r="G2704" s="36" t="inlineStr">
        <is>
          <t>Travel</t>
        </is>
      </c>
      <c r="H2704" s="36" t="inlineStr">
        <is>
          <t>Insulated Bottle</t>
        </is>
      </c>
      <c r="I2704" s="36" t="n">
        <v>1</v>
      </c>
      <c r="J2704" s="39" t="n">
        <v>36.64</v>
      </c>
      <c r="K2704" s="45" t="n">
        <v>0.05</v>
      </c>
      <c r="L2704" s="39" t="n">
        <v>13.59</v>
      </c>
      <c r="M2704" s="39">
        <f>I2704*J2704*(1-K2704)</f>
        <v/>
      </c>
      <c r="N2704" s="39">
        <f>I2704*L2704</f>
        <v/>
      </c>
      <c r="O2704" s="39">
        <f>M2704-N2704</f>
        <v/>
      </c>
      <c r="P2704" s="38">
        <f>IF(M2704=0,0,O2704/M2704)</f>
        <v/>
      </c>
      <c r="Q2704" s="36">
        <f>YEAR(B2704)</f>
        <v/>
      </c>
      <c r="R2704" s="36">
        <f>"Q"&amp;ROUNDUP(MONTH(B2704)/3,0)</f>
        <v/>
      </c>
      <c r="S2704" s="36">
        <f>MONTH(B2704)</f>
        <v/>
      </c>
      <c r="T2704" s="36">
        <f>TEXT(B2704,"mmm")</f>
        <v/>
      </c>
      <c r="U2704" s="36">
        <f>IF(AND(OR(sel_Region="All",C2704=sel_Region),OR(sel_Country="All",D2704=sel_Country),OR(sel_Channel="All",E2704=sel_Channel),OR(sel_Customer="All",F2704=sel_Customer),OR(sel_Category="All",G2704=sel_Category),OR(sel_Product="All",H2704=sel_Product),AND(S2704&gt;=m_From,S2704&lt;=m_To)),1,0)</f>
        <v/>
      </c>
      <c r="V2704" s="36">
        <f>IF(AND(OR(sel_Region="All",C2704=sel_Region),OR(sel_Channel="All",E2704=sel_Channel),OR(sel_Customer="All",F2704=sel_Customer),OR(sel_Category="All",G2704=sel_Category),OR(sel_Product="All",H2704=sel_Product),AND(S2704&gt;=m_From,S2704&lt;=m_To)),1,0)</f>
        <v/>
      </c>
      <c r="W2704" s="36">
        <f>IF(AND(OR(sel_Region="All",C2704=sel_Region),OR(sel_Country="All",D2704=sel_Country),OR(sel_Customer="All",F2704=sel_Customer),OR(sel_Category="All",G2704=sel_Category),OR(sel_Product="All",H2704=sel_Product),AND(S2704&gt;=m_From,S2704&lt;=m_To)),1,0)</f>
        <v/>
      </c>
      <c r="X2704" s="36">
        <f>IF(AND(OR(sel_Region="All",C2704=sel_Region),OR(sel_Country="All",D2704=sel_Country),OR(sel_Channel="All",E2704=sel_Channel),OR(sel_Category="All",G2704=sel_Category),OR(sel_Product="All",H2704=sel_Product),AND(S2704&gt;=m_From,S2704&lt;=m_To)),1,0)</f>
        <v/>
      </c>
      <c r="Y2704" s="36">
        <f>IF(AND(OR(sel_Region="All",C2704=sel_Region),OR(sel_Country="All",D2704=sel_Country),OR(sel_Channel="All",E2704=sel_Channel),OR(sel_Customer="All",F2704=sel_Customer),OR(sel_Product="All",H2704=sel_Product),AND(S2704&gt;=m_From,S2704&lt;=m_To)),1,0)</f>
        <v/>
      </c>
      <c r="Z2704" s="36">
        <f>IF(AND(OR(sel_Region="All",C2704=sel_Region),OR(sel_Country="All",D2704=sel_Country),OR(sel_Channel="All",E2704=sel_Channel),OR(sel_Customer="All",F2704=sel_Customer),OR(sel_Category="All",G2704=sel_Category),AND(S2704&gt;=m_From,S2704&lt;=m_To)),1,0)</f>
        <v/>
      </c>
      <c r="AA2704" s="36">
        <f>IF(AND(OR(sel_Region="All",C2704=sel_Region),OR(sel_Country="All",D2704=sel_Country),OR(sel_Channel="All",E2704=sel_Channel),OR(sel_Customer="All",F2704=sel_Customer),OR(sel_Category="All",G2704=sel_Category),OR(sel_Product="All",H2704=sel_Product)),1,0)</f>
        <v/>
      </c>
    </row>
    <row r="2705">
      <c r="A2705" s="36" t="inlineStr">
        <is>
          <t>03449</t>
        </is>
      </c>
      <c r="B2705" s="44" t="n">
        <v>46386</v>
      </c>
      <c r="C2705" s="36" t="inlineStr">
        <is>
          <t>Northern Europe</t>
        </is>
      </c>
      <c r="D2705" s="36" t="inlineStr">
        <is>
          <t>Finland</t>
        </is>
      </c>
      <c r="E2705" s="36" t="inlineStr">
        <is>
          <t>Marketplace</t>
        </is>
      </c>
      <c r="F2705" s="36" t="inlineStr">
        <is>
          <t>Returning</t>
        </is>
      </c>
      <c r="G2705" s="36" t="inlineStr">
        <is>
          <t>Camping</t>
        </is>
      </c>
      <c r="H2705" s="36" t="inlineStr">
        <is>
          <t>Trail Tent 2P</t>
        </is>
      </c>
      <c r="I2705" s="36" t="n">
        <v>6</v>
      </c>
      <c r="J2705" s="39" t="n">
        <v>192.9</v>
      </c>
      <c r="K2705" s="45" t="n">
        <v>0.2</v>
      </c>
      <c r="L2705" s="39" t="n">
        <v>106.89</v>
      </c>
      <c r="M2705" s="39">
        <f>I2705*J2705*(1-K2705)</f>
        <v/>
      </c>
      <c r="N2705" s="39">
        <f>I2705*L2705</f>
        <v/>
      </c>
      <c r="O2705" s="39">
        <f>M2705-N2705</f>
        <v/>
      </c>
      <c r="P2705" s="38">
        <f>IF(M2705=0,0,O2705/M2705)</f>
        <v/>
      </c>
      <c r="Q2705" s="36">
        <f>YEAR(B2705)</f>
        <v/>
      </c>
      <c r="R2705" s="36">
        <f>"Q"&amp;ROUNDUP(MONTH(B2705)/3,0)</f>
        <v/>
      </c>
      <c r="S2705" s="36">
        <f>MONTH(B2705)</f>
        <v/>
      </c>
      <c r="T2705" s="36">
        <f>TEXT(B2705,"mmm")</f>
        <v/>
      </c>
      <c r="U2705" s="36">
        <f>IF(AND(OR(sel_Region="All",C2705=sel_Region),OR(sel_Country="All",D2705=sel_Country),OR(sel_Channel="All",E2705=sel_Channel),OR(sel_Customer="All",F2705=sel_Customer),OR(sel_Category="All",G2705=sel_Category),OR(sel_Product="All",H2705=sel_Product),AND(S2705&gt;=m_From,S2705&lt;=m_To)),1,0)</f>
        <v/>
      </c>
      <c r="V2705" s="36">
        <f>IF(AND(OR(sel_Region="All",C2705=sel_Region),OR(sel_Channel="All",E2705=sel_Channel),OR(sel_Customer="All",F2705=sel_Customer),OR(sel_Category="All",G2705=sel_Category),OR(sel_Product="All",H2705=sel_Product),AND(S2705&gt;=m_From,S2705&lt;=m_To)),1,0)</f>
        <v/>
      </c>
      <c r="W2705" s="36">
        <f>IF(AND(OR(sel_Region="All",C2705=sel_Region),OR(sel_Country="All",D2705=sel_Country),OR(sel_Customer="All",F2705=sel_Customer),OR(sel_Category="All",G2705=sel_Category),OR(sel_Product="All",H2705=sel_Product),AND(S2705&gt;=m_From,S2705&lt;=m_To)),1,0)</f>
        <v/>
      </c>
      <c r="X2705" s="36">
        <f>IF(AND(OR(sel_Region="All",C2705=sel_Region),OR(sel_Country="All",D2705=sel_Country),OR(sel_Channel="All",E2705=sel_Channel),OR(sel_Category="All",G2705=sel_Category),OR(sel_Product="All",H2705=sel_Product),AND(S2705&gt;=m_From,S2705&lt;=m_To)),1,0)</f>
        <v/>
      </c>
      <c r="Y2705" s="36">
        <f>IF(AND(OR(sel_Region="All",C2705=sel_Region),OR(sel_Country="All",D2705=sel_Country),OR(sel_Channel="All",E2705=sel_Channel),OR(sel_Customer="All",F2705=sel_Customer),OR(sel_Product="All",H2705=sel_Product),AND(S2705&gt;=m_From,S2705&lt;=m_To)),1,0)</f>
        <v/>
      </c>
      <c r="Z2705" s="36">
        <f>IF(AND(OR(sel_Region="All",C2705=sel_Region),OR(sel_Country="All",D2705=sel_Country),OR(sel_Channel="All",E2705=sel_Channel),OR(sel_Customer="All",F2705=sel_Customer),OR(sel_Category="All",G2705=sel_Category),AND(S2705&gt;=m_From,S2705&lt;=m_To)),1,0)</f>
        <v/>
      </c>
      <c r="AA2705" s="36">
        <f>IF(AND(OR(sel_Region="All",C2705=sel_Region),OR(sel_Country="All",D2705=sel_Country),OR(sel_Channel="All",E2705=sel_Channel),OR(sel_Customer="All",F2705=sel_Customer),OR(sel_Category="All",G2705=sel_Category),OR(sel_Product="All",H2705=sel_Product)),1,0)</f>
        <v/>
      </c>
    </row>
    <row r="2706">
      <c r="A2706" s="36" t="inlineStr">
        <is>
          <t>03498</t>
        </is>
      </c>
      <c r="B2706" s="44" t="n">
        <v>46386</v>
      </c>
      <c r="C2706" s="36" t="inlineStr">
        <is>
          <t>Western Europe</t>
        </is>
      </c>
      <c r="D2706" s="36" t="inlineStr">
        <is>
          <t>Netherlands</t>
        </is>
      </c>
      <c r="E2706" s="36" t="inlineStr">
        <is>
          <t>Marketplace</t>
        </is>
      </c>
      <c r="F2706" s="36" t="inlineStr">
        <is>
          <t>Returning</t>
        </is>
      </c>
      <c r="G2706" s="36" t="inlineStr">
        <is>
          <t>Hiking</t>
        </is>
      </c>
      <c r="H2706" s="36" t="inlineStr">
        <is>
          <t>Trekking Poles</t>
        </is>
      </c>
      <c r="I2706" s="36" t="n">
        <v>2</v>
      </c>
      <c r="J2706" s="39" t="n">
        <v>71.56</v>
      </c>
      <c r="K2706" s="45" t="n">
        <v>0.1</v>
      </c>
      <c r="L2706" s="39" t="n">
        <v>32.99</v>
      </c>
      <c r="M2706" s="39">
        <f>I2706*J2706*(1-K2706)</f>
        <v/>
      </c>
      <c r="N2706" s="39">
        <f>I2706*L2706</f>
        <v/>
      </c>
      <c r="O2706" s="39">
        <f>M2706-N2706</f>
        <v/>
      </c>
      <c r="P2706" s="38">
        <f>IF(M2706=0,0,O2706/M2706)</f>
        <v/>
      </c>
      <c r="Q2706" s="36">
        <f>YEAR(B2706)</f>
        <v/>
      </c>
      <c r="R2706" s="36">
        <f>"Q"&amp;ROUNDUP(MONTH(B2706)/3,0)</f>
        <v/>
      </c>
      <c r="S2706" s="36">
        <f>MONTH(B2706)</f>
        <v/>
      </c>
      <c r="T2706" s="36">
        <f>TEXT(B2706,"mmm")</f>
        <v/>
      </c>
      <c r="U2706" s="36">
        <f>IF(AND(OR(sel_Region="All",C2706=sel_Region),OR(sel_Country="All",D2706=sel_Country),OR(sel_Channel="All",E2706=sel_Channel),OR(sel_Customer="All",F2706=sel_Customer),OR(sel_Category="All",G2706=sel_Category),OR(sel_Product="All",H2706=sel_Product),AND(S2706&gt;=m_From,S2706&lt;=m_To)),1,0)</f>
        <v/>
      </c>
      <c r="V2706" s="36">
        <f>IF(AND(OR(sel_Region="All",C2706=sel_Region),OR(sel_Channel="All",E2706=sel_Channel),OR(sel_Customer="All",F2706=sel_Customer),OR(sel_Category="All",G2706=sel_Category),OR(sel_Product="All",H2706=sel_Product),AND(S2706&gt;=m_From,S2706&lt;=m_To)),1,0)</f>
        <v/>
      </c>
      <c r="W2706" s="36">
        <f>IF(AND(OR(sel_Region="All",C2706=sel_Region),OR(sel_Country="All",D2706=sel_Country),OR(sel_Customer="All",F2706=sel_Customer),OR(sel_Category="All",G2706=sel_Category),OR(sel_Product="All",H2706=sel_Product),AND(S2706&gt;=m_From,S2706&lt;=m_To)),1,0)</f>
        <v/>
      </c>
      <c r="X2706" s="36">
        <f>IF(AND(OR(sel_Region="All",C2706=sel_Region),OR(sel_Country="All",D2706=sel_Country),OR(sel_Channel="All",E2706=sel_Channel),OR(sel_Category="All",G2706=sel_Category),OR(sel_Product="All",H2706=sel_Product),AND(S2706&gt;=m_From,S2706&lt;=m_To)),1,0)</f>
        <v/>
      </c>
      <c r="Y2706" s="36">
        <f>IF(AND(OR(sel_Region="All",C2706=sel_Region),OR(sel_Country="All",D2706=sel_Country),OR(sel_Channel="All",E2706=sel_Channel),OR(sel_Customer="All",F2706=sel_Customer),OR(sel_Product="All",H2706=sel_Product),AND(S2706&gt;=m_From,S2706&lt;=m_To)),1,0)</f>
        <v/>
      </c>
      <c r="Z2706" s="36">
        <f>IF(AND(OR(sel_Region="All",C2706=sel_Region),OR(sel_Country="All",D2706=sel_Country),OR(sel_Channel="All",E2706=sel_Channel),OR(sel_Customer="All",F2706=sel_Customer),OR(sel_Category="All",G2706=sel_Category),AND(S2706&gt;=m_From,S2706&lt;=m_To)),1,0)</f>
        <v/>
      </c>
      <c r="AA2706" s="36">
        <f>IF(AND(OR(sel_Region="All",C2706=sel_Region),OR(sel_Country="All",D2706=sel_Country),OR(sel_Channel="All",E2706=sel_Channel),OR(sel_Customer="All",F2706=sel_Customer),OR(sel_Category="All",G2706=sel_Category),OR(sel_Product="All",H2706=sel_Product)),1,0)</f>
        <v/>
      </c>
    </row>
    <row r="2707">
      <c r="A2707" s="36" t="inlineStr">
        <is>
          <t>04851</t>
        </is>
      </c>
      <c r="B2707" s="44" t="n">
        <v>46386</v>
      </c>
      <c r="C2707" s="36" t="inlineStr">
        <is>
          <t>Western Europe</t>
        </is>
      </c>
      <c r="D2707" s="36" t="inlineStr">
        <is>
          <t>France</t>
        </is>
      </c>
      <c r="E2707" s="36" t="inlineStr">
        <is>
          <t>Marketplace</t>
        </is>
      </c>
      <c r="F2707" s="36" t="inlineStr">
        <is>
          <t>New</t>
        </is>
      </c>
      <c r="G2707" s="36" t="inlineStr">
        <is>
          <t>Cycling</t>
        </is>
      </c>
      <c r="H2707" s="36" t="inlineStr">
        <is>
          <t>Compact Repair Kit</t>
        </is>
      </c>
      <c r="I2707" s="36" t="n">
        <v>1</v>
      </c>
      <c r="J2707" s="39" t="n">
        <v>40.27</v>
      </c>
      <c r="K2707" s="45" t="n">
        <v>0.1</v>
      </c>
      <c r="L2707" s="39" t="n">
        <v>16.63</v>
      </c>
      <c r="M2707" s="39">
        <f>I2707*J2707*(1-K2707)</f>
        <v/>
      </c>
      <c r="N2707" s="39">
        <f>I2707*L2707</f>
        <v/>
      </c>
      <c r="O2707" s="39">
        <f>M2707-N2707</f>
        <v/>
      </c>
      <c r="P2707" s="38">
        <f>IF(M2707=0,0,O2707/M2707)</f>
        <v/>
      </c>
      <c r="Q2707" s="36">
        <f>YEAR(B2707)</f>
        <v/>
      </c>
      <c r="R2707" s="36">
        <f>"Q"&amp;ROUNDUP(MONTH(B2707)/3,0)</f>
        <v/>
      </c>
      <c r="S2707" s="36">
        <f>MONTH(B2707)</f>
        <v/>
      </c>
      <c r="T2707" s="36">
        <f>TEXT(B2707,"mmm")</f>
        <v/>
      </c>
      <c r="U2707" s="36">
        <f>IF(AND(OR(sel_Region="All",C2707=sel_Region),OR(sel_Country="All",D2707=sel_Country),OR(sel_Channel="All",E2707=sel_Channel),OR(sel_Customer="All",F2707=sel_Customer),OR(sel_Category="All",G2707=sel_Category),OR(sel_Product="All",H2707=sel_Product),AND(S2707&gt;=m_From,S2707&lt;=m_To)),1,0)</f>
        <v/>
      </c>
      <c r="V2707" s="36">
        <f>IF(AND(OR(sel_Region="All",C2707=sel_Region),OR(sel_Channel="All",E2707=sel_Channel),OR(sel_Customer="All",F2707=sel_Customer),OR(sel_Category="All",G2707=sel_Category),OR(sel_Product="All",H2707=sel_Product),AND(S2707&gt;=m_From,S2707&lt;=m_To)),1,0)</f>
        <v/>
      </c>
      <c r="W2707" s="36">
        <f>IF(AND(OR(sel_Region="All",C2707=sel_Region),OR(sel_Country="All",D2707=sel_Country),OR(sel_Customer="All",F2707=sel_Customer),OR(sel_Category="All",G2707=sel_Category),OR(sel_Product="All",H2707=sel_Product),AND(S2707&gt;=m_From,S2707&lt;=m_To)),1,0)</f>
        <v/>
      </c>
      <c r="X2707" s="36">
        <f>IF(AND(OR(sel_Region="All",C2707=sel_Region),OR(sel_Country="All",D2707=sel_Country),OR(sel_Channel="All",E2707=sel_Channel),OR(sel_Category="All",G2707=sel_Category),OR(sel_Product="All",H2707=sel_Product),AND(S2707&gt;=m_From,S2707&lt;=m_To)),1,0)</f>
        <v/>
      </c>
      <c r="Y2707" s="36">
        <f>IF(AND(OR(sel_Region="All",C2707=sel_Region),OR(sel_Country="All",D2707=sel_Country),OR(sel_Channel="All",E2707=sel_Channel),OR(sel_Customer="All",F2707=sel_Customer),OR(sel_Product="All",H2707=sel_Product),AND(S2707&gt;=m_From,S2707&lt;=m_To)),1,0)</f>
        <v/>
      </c>
      <c r="Z2707" s="36">
        <f>IF(AND(OR(sel_Region="All",C2707=sel_Region),OR(sel_Country="All",D2707=sel_Country),OR(sel_Channel="All",E2707=sel_Channel),OR(sel_Customer="All",F2707=sel_Customer),OR(sel_Category="All",G2707=sel_Category),AND(S2707&gt;=m_From,S2707&lt;=m_To)),1,0)</f>
        <v/>
      </c>
      <c r="AA2707" s="36">
        <f>IF(AND(OR(sel_Region="All",C2707=sel_Region),OR(sel_Country="All",D2707=sel_Country),OR(sel_Channel="All",E2707=sel_Channel),OR(sel_Customer="All",F2707=sel_Customer),OR(sel_Category="All",G2707=sel_Category),OR(sel_Product="All",H2707=sel_Product)),1,0)</f>
        <v/>
      </c>
    </row>
    <row r="2708">
      <c r="A2708" s="36" t="inlineStr">
        <is>
          <t>04926</t>
        </is>
      </c>
      <c r="B2708" s="44" t="n">
        <v>46386</v>
      </c>
      <c r="C2708" s="36" t="inlineStr">
        <is>
          <t>Western Europe</t>
        </is>
      </c>
      <c r="D2708" s="36" t="inlineStr">
        <is>
          <t>Netherlands</t>
        </is>
      </c>
      <c r="E2708" s="36" t="inlineStr">
        <is>
          <t>Retail Partners</t>
        </is>
      </c>
      <c r="F2708" s="36" t="inlineStr">
        <is>
          <t>Business</t>
        </is>
      </c>
      <c r="G2708" s="36" t="inlineStr">
        <is>
          <t>Cycling</t>
        </is>
      </c>
      <c r="H2708" s="36" t="inlineStr">
        <is>
          <t>Commuter Helmet</t>
        </is>
      </c>
      <c r="I2708" s="36" t="n">
        <v>6</v>
      </c>
      <c r="J2708" s="39" t="n">
        <v>81.18000000000001</v>
      </c>
      <c r="K2708" s="45" t="n">
        <v>0.05</v>
      </c>
      <c r="L2708" s="39" t="n">
        <v>43.3</v>
      </c>
      <c r="M2708" s="39">
        <f>I2708*J2708*(1-K2708)</f>
        <v/>
      </c>
      <c r="N2708" s="39">
        <f>I2708*L2708</f>
        <v/>
      </c>
      <c r="O2708" s="39">
        <f>M2708-N2708</f>
        <v/>
      </c>
      <c r="P2708" s="38">
        <f>IF(M2708=0,0,O2708/M2708)</f>
        <v/>
      </c>
      <c r="Q2708" s="36">
        <f>YEAR(B2708)</f>
        <v/>
      </c>
      <c r="R2708" s="36">
        <f>"Q"&amp;ROUNDUP(MONTH(B2708)/3,0)</f>
        <v/>
      </c>
      <c r="S2708" s="36">
        <f>MONTH(B2708)</f>
        <v/>
      </c>
      <c r="T2708" s="36">
        <f>TEXT(B2708,"mmm")</f>
        <v/>
      </c>
      <c r="U2708" s="36">
        <f>IF(AND(OR(sel_Region="All",C2708=sel_Region),OR(sel_Country="All",D2708=sel_Country),OR(sel_Channel="All",E2708=sel_Channel),OR(sel_Customer="All",F2708=sel_Customer),OR(sel_Category="All",G2708=sel_Category),OR(sel_Product="All",H2708=sel_Product),AND(S2708&gt;=m_From,S2708&lt;=m_To)),1,0)</f>
        <v/>
      </c>
      <c r="V2708" s="36">
        <f>IF(AND(OR(sel_Region="All",C2708=sel_Region),OR(sel_Channel="All",E2708=sel_Channel),OR(sel_Customer="All",F2708=sel_Customer),OR(sel_Category="All",G2708=sel_Category),OR(sel_Product="All",H2708=sel_Product),AND(S2708&gt;=m_From,S2708&lt;=m_To)),1,0)</f>
        <v/>
      </c>
      <c r="W2708" s="36">
        <f>IF(AND(OR(sel_Region="All",C2708=sel_Region),OR(sel_Country="All",D2708=sel_Country),OR(sel_Customer="All",F2708=sel_Customer),OR(sel_Category="All",G2708=sel_Category),OR(sel_Product="All",H2708=sel_Product),AND(S2708&gt;=m_From,S2708&lt;=m_To)),1,0)</f>
        <v/>
      </c>
      <c r="X2708" s="36">
        <f>IF(AND(OR(sel_Region="All",C2708=sel_Region),OR(sel_Country="All",D2708=sel_Country),OR(sel_Channel="All",E2708=sel_Channel),OR(sel_Category="All",G2708=sel_Category),OR(sel_Product="All",H2708=sel_Product),AND(S2708&gt;=m_From,S2708&lt;=m_To)),1,0)</f>
        <v/>
      </c>
      <c r="Y2708" s="36">
        <f>IF(AND(OR(sel_Region="All",C2708=sel_Region),OR(sel_Country="All",D2708=sel_Country),OR(sel_Channel="All",E2708=sel_Channel),OR(sel_Customer="All",F2708=sel_Customer),OR(sel_Product="All",H2708=sel_Product),AND(S2708&gt;=m_From,S2708&lt;=m_To)),1,0)</f>
        <v/>
      </c>
      <c r="Z2708" s="36">
        <f>IF(AND(OR(sel_Region="All",C2708=sel_Region),OR(sel_Country="All",D2708=sel_Country),OR(sel_Channel="All",E2708=sel_Channel),OR(sel_Customer="All",F2708=sel_Customer),OR(sel_Category="All",G2708=sel_Category),AND(S2708&gt;=m_From,S2708&lt;=m_To)),1,0)</f>
        <v/>
      </c>
      <c r="AA2708" s="36">
        <f>IF(AND(OR(sel_Region="All",C2708=sel_Region),OR(sel_Country="All",D2708=sel_Country),OR(sel_Channel="All",E2708=sel_Channel),OR(sel_Customer="All",F2708=sel_Customer),OR(sel_Category="All",G2708=sel_Category),OR(sel_Product="All",H2708=sel_Product)),1,0)</f>
        <v/>
      </c>
    </row>
    <row r="2709">
      <c r="A2709" s="36" t="inlineStr">
        <is>
          <t>05035</t>
        </is>
      </c>
      <c r="B2709" s="44" t="n">
        <v>46386</v>
      </c>
      <c r="C2709" s="36" t="inlineStr">
        <is>
          <t>Central Europe</t>
        </is>
      </c>
      <c r="D2709" s="36" t="inlineStr">
        <is>
          <t>Germany</t>
        </is>
      </c>
      <c r="E2709" s="36" t="inlineStr">
        <is>
          <t>Online Store</t>
        </is>
      </c>
      <c r="F2709" s="36" t="inlineStr">
        <is>
          <t>New</t>
        </is>
      </c>
      <c r="G2709" s="36" t="inlineStr">
        <is>
          <t>Cycling</t>
        </is>
      </c>
      <c r="H2709" s="36" t="inlineStr">
        <is>
          <t>Cycling Pack 12L</t>
        </is>
      </c>
      <c r="I2709" s="36" t="n">
        <v>2</v>
      </c>
      <c r="J2709" s="39" t="n">
        <v>101.73</v>
      </c>
      <c r="K2709" s="45" t="n">
        <v>0.1</v>
      </c>
      <c r="L2709" s="39" t="n">
        <v>49.3</v>
      </c>
      <c r="M2709" s="39">
        <f>I2709*J2709*(1-K2709)</f>
        <v/>
      </c>
      <c r="N2709" s="39">
        <f>I2709*L2709</f>
        <v/>
      </c>
      <c r="O2709" s="39">
        <f>M2709-N2709</f>
        <v/>
      </c>
      <c r="P2709" s="38">
        <f>IF(M2709=0,0,O2709/M2709)</f>
        <v/>
      </c>
      <c r="Q2709" s="36">
        <f>YEAR(B2709)</f>
        <v/>
      </c>
      <c r="R2709" s="36">
        <f>"Q"&amp;ROUNDUP(MONTH(B2709)/3,0)</f>
        <v/>
      </c>
      <c r="S2709" s="36">
        <f>MONTH(B2709)</f>
        <v/>
      </c>
      <c r="T2709" s="36">
        <f>TEXT(B2709,"mmm")</f>
        <v/>
      </c>
      <c r="U2709" s="36">
        <f>IF(AND(OR(sel_Region="All",C2709=sel_Region),OR(sel_Country="All",D2709=sel_Country),OR(sel_Channel="All",E2709=sel_Channel),OR(sel_Customer="All",F2709=sel_Customer),OR(sel_Category="All",G2709=sel_Category),OR(sel_Product="All",H2709=sel_Product),AND(S2709&gt;=m_From,S2709&lt;=m_To)),1,0)</f>
        <v/>
      </c>
      <c r="V2709" s="36">
        <f>IF(AND(OR(sel_Region="All",C2709=sel_Region),OR(sel_Channel="All",E2709=sel_Channel),OR(sel_Customer="All",F2709=sel_Customer),OR(sel_Category="All",G2709=sel_Category),OR(sel_Product="All",H2709=sel_Product),AND(S2709&gt;=m_From,S2709&lt;=m_To)),1,0)</f>
        <v/>
      </c>
      <c r="W2709" s="36">
        <f>IF(AND(OR(sel_Region="All",C2709=sel_Region),OR(sel_Country="All",D2709=sel_Country),OR(sel_Customer="All",F2709=sel_Customer),OR(sel_Category="All",G2709=sel_Category),OR(sel_Product="All",H2709=sel_Product),AND(S2709&gt;=m_From,S2709&lt;=m_To)),1,0)</f>
        <v/>
      </c>
      <c r="X2709" s="36">
        <f>IF(AND(OR(sel_Region="All",C2709=sel_Region),OR(sel_Country="All",D2709=sel_Country),OR(sel_Channel="All",E2709=sel_Channel),OR(sel_Category="All",G2709=sel_Category),OR(sel_Product="All",H2709=sel_Product),AND(S2709&gt;=m_From,S2709&lt;=m_To)),1,0)</f>
        <v/>
      </c>
      <c r="Y2709" s="36">
        <f>IF(AND(OR(sel_Region="All",C2709=sel_Region),OR(sel_Country="All",D2709=sel_Country),OR(sel_Channel="All",E2709=sel_Channel),OR(sel_Customer="All",F2709=sel_Customer),OR(sel_Product="All",H2709=sel_Product),AND(S2709&gt;=m_From,S2709&lt;=m_To)),1,0)</f>
        <v/>
      </c>
      <c r="Z2709" s="36">
        <f>IF(AND(OR(sel_Region="All",C2709=sel_Region),OR(sel_Country="All",D2709=sel_Country),OR(sel_Channel="All",E2709=sel_Channel),OR(sel_Customer="All",F2709=sel_Customer),OR(sel_Category="All",G2709=sel_Category),AND(S2709&gt;=m_From,S2709&lt;=m_To)),1,0)</f>
        <v/>
      </c>
      <c r="AA2709" s="36">
        <f>IF(AND(OR(sel_Region="All",C2709=sel_Region),OR(sel_Country="All",D2709=sel_Country),OR(sel_Channel="All",E2709=sel_Channel),OR(sel_Customer="All",F2709=sel_Customer),OR(sel_Category="All",G2709=sel_Category),OR(sel_Product="All",H2709=sel_Product)),1,0)</f>
        <v/>
      </c>
    </row>
    <row r="2710">
      <c r="A2710" s="36" t="inlineStr">
        <is>
          <t>05135</t>
        </is>
      </c>
      <c r="B2710" s="44" t="n">
        <v>46386</v>
      </c>
      <c r="C2710" s="36" t="inlineStr">
        <is>
          <t>Northern Europe</t>
        </is>
      </c>
      <c r="D2710" s="36" t="inlineStr">
        <is>
          <t>Finland</t>
        </is>
      </c>
      <c r="E2710" s="36" t="inlineStr">
        <is>
          <t>Online Store</t>
        </is>
      </c>
      <c r="F2710" s="36" t="inlineStr">
        <is>
          <t>New</t>
        </is>
      </c>
      <c r="G2710" s="36" t="inlineStr">
        <is>
          <t>Cycling</t>
        </is>
      </c>
      <c r="H2710" s="36" t="inlineStr">
        <is>
          <t>Trail Bike Light</t>
        </is>
      </c>
      <c r="I2710" s="36" t="n">
        <v>5</v>
      </c>
      <c r="J2710" s="39" t="n">
        <v>51.78</v>
      </c>
      <c r="K2710" s="45" t="n">
        <v>0.15</v>
      </c>
      <c r="L2710" s="39" t="n">
        <v>22.37</v>
      </c>
      <c r="M2710" s="39">
        <f>I2710*J2710*(1-K2710)</f>
        <v/>
      </c>
      <c r="N2710" s="39">
        <f>I2710*L2710</f>
        <v/>
      </c>
      <c r="O2710" s="39">
        <f>M2710-N2710</f>
        <v/>
      </c>
      <c r="P2710" s="38">
        <f>IF(M2710=0,0,O2710/M2710)</f>
        <v/>
      </c>
      <c r="Q2710" s="36">
        <f>YEAR(B2710)</f>
        <v/>
      </c>
      <c r="R2710" s="36">
        <f>"Q"&amp;ROUNDUP(MONTH(B2710)/3,0)</f>
        <v/>
      </c>
      <c r="S2710" s="36">
        <f>MONTH(B2710)</f>
        <v/>
      </c>
      <c r="T2710" s="36">
        <f>TEXT(B2710,"mmm")</f>
        <v/>
      </c>
      <c r="U2710" s="36">
        <f>IF(AND(OR(sel_Region="All",C2710=sel_Region),OR(sel_Country="All",D2710=sel_Country),OR(sel_Channel="All",E2710=sel_Channel),OR(sel_Customer="All",F2710=sel_Customer),OR(sel_Category="All",G2710=sel_Category),OR(sel_Product="All",H2710=sel_Product),AND(S2710&gt;=m_From,S2710&lt;=m_To)),1,0)</f>
        <v/>
      </c>
      <c r="V2710" s="36">
        <f>IF(AND(OR(sel_Region="All",C2710=sel_Region),OR(sel_Channel="All",E2710=sel_Channel),OR(sel_Customer="All",F2710=sel_Customer),OR(sel_Category="All",G2710=sel_Category),OR(sel_Product="All",H2710=sel_Product),AND(S2710&gt;=m_From,S2710&lt;=m_To)),1,0)</f>
        <v/>
      </c>
      <c r="W2710" s="36">
        <f>IF(AND(OR(sel_Region="All",C2710=sel_Region),OR(sel_Country="All",D2710=sel_Country),OR(sel_Customer="All",F2710=sel_Customer),OR(sel_Category="All",G2710=sel_Category),OR(sel_Product="All",H2710=sel_Product),AND(S2710&gt;=m_From,S2710&lt;=m_To)),1,0)</f>
        <v/>
      </c>
      <c r="X2710" s="36">
        <f>IF(AND(OR(sel_Region="All",C2710=sel_Region),OR(sel_Country="All",D2710=sel_Country),OR(sel_Channel="All",E2710=sel_Channel),OR(sel_Category="All",G2710=sel_Category),OR(sel_Product="All",H2710=sel_Product),AND(S2710&gt;=m_From,S2710&lt;=m_To)),1,0)</f>
        <v/>
      </c>
      <c r="Y2710" s="36">
        <f>IF(AND(OR(sel_Region="All",C2710=sel_Region),OR(sel_Country="All",D2710=sel_Country),OR(sel_Channel="All",E2710=sel_Channel),OR(sel_Customer="All",F2710=sel_Customer),OR(sel_Product="All",H2710=sel_Product),AND(S2710&gt;=m_From,S2710&lt;=m_To)),1,0)</f>
        <v/>
      </c>
      <c r="Z2710" s="36">
        <f>IF(AND(OR(sel_Region="All",C2710=sel_Region),OR(sel_Country="All",D2710=sel_Country),OR(sel_Channel="All",E2710=sel_Channel),OR(sel_Customer="All",F2710=sel_Customer),OR(sel_Category="All",G2710=sel_Category),AND(S2710&gt;=m_From,S2710&lt;=m_To)),1,0)</f>
        <v/>
      </c>
      <c r="AA2710" s="36">
        <f>IF(AND(OR(sel_Region="All",C2710=sel_Region),OR(sel_Country="All",D2710=sel_Country),OR(sel_Channel="All",E2710=sel_Channel),OR(sel_Customer="All",F2710=sel_Customer),OR(sel_Category="All",G2710=sel_Category),OR(sel_Product="All",H2710=sel_Product)),1,0)</f>
        <v/>
      </c>
    </row>
  </sheetData>
  <mergeCells count="4">
    <mergeCell ref="L1:M1"/>
    <mergeCell ref="J1:K1"/>
    <mergeCell ref="N1:O1"/>
    <mergeCell ref="H1:I1"/>
  </mergeCells>
  <hyperlinks>
    <hyperlink ref="H1" location="'Dashboard'!A1" display="Dashboard"/>
    <hyperlink ref="J1" location="'Analysis'!A1" display="Analysis"/>
    <hyperlink ref="L1" location="'Data'!A1" display="Data"/>
    <hyperlink ref="N1" location="'Guide'!A1" display="Guide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9CA3AF"/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6" t="inlineStr">
        <is>
          <t>Lists (feed the dashboard dropdowns - do not edit)</t>
        </is>
      </c>
    </row>
    <row r="3">
      <c r="A3" s="47" t="inlineStr">
        <is>
          <t>Region</t>
        </is>
      </c>
      <c r="B3" s="47" t="inlineStr">
        <is>
          <t>Sales Channel</t>
        </is>
      </c>
      <c r="C3" s="47" t="inlineStr">
        <is>
          <t>Customer Type</t>
        </is>
      </c>
      <c r="D3" s="47" t="inlineStr">
        <is>
          <t>Month</t>
        </is>
      </c>
      <c r="E3" s="47" t="inlineStr">
        <is>
          <t>Category</t>
        </is>
      </c>
      <c r="F3" s="47" t="inlineStr">
        <is>
          <t>Country</t>
        </is>
      </c>
      <c r="G3" s="47" t="inlineStr">
        <is>
          <t>Product</t>
        </is>
      </c>
    </row>
    <row r="4">
      <c r="A4" s="36" t="inlineStr">
        <is>
          <t>All</t>
        </is>
      </c>
      <c r="B4" s="36" t="inlineStr">
        <is>
          <t>All</t>
        </is>
      </c>
      <c r="C4" s="36" t="inlineStr">
        <is>
          <t>All</t>
        </is>
      </c>
      <c r="D4" s="36" t="inlineStr">
        <is>
          <t>Jan</t>
        </is>
      </c>
      <c r="E4" s="36" t="inlineStr">
        <is>
          <t>All</t>
        </is>
      </c>
      <c r="F4" s="36" t="inlineStr">
        <is>
          <t>All</t>
        </is>
      </c>
      <c r="G4" s="36" t="inlineStr">
        <is>
          <t>All</t>
        </is>
      </c>
    </row>
    <row r="5">
      <c r="A5" s="36" t="inlineStr">
        <is>
          <t>Central Europe</t>
        </is>
      </c>
      <c r="B5" s="36" t="inlineStr">
        <is>
          <t>Corporate</t>
        </is>
      </c>
      <c r="C5" s="36" t="inlineStr">
        <is>
          <t>Business</t>
        </is>
      </c>
      <c r="D5" s="36" t="inlineStr">
        <is>
          <t>Feb</t>
        </is>
      </c>
      <c r="E5" s="36" t="inlineStr">
        <is>
          <t>Camping</t>
        </is>
      </c>
      <c r="F5" s="36" t="inlineStr">
        <is>
          <t>Austria</t>
        </is>
      </c>
      <c r="G5" s="36" t="inlineStr">
        <is>
          <t>Alpine Tent 4P</t>
        </is>
      </c>
    </row>
    <row r="6">
      <c r="A6" s="36" t="inlineStr">
        <is>
          <t>Northern Europe</t>
        </is>
      </c>
      <c r="B6" s="36" t="inlineStr">
        <is>
          <t>Marketplace</t>
        </is>
      </c>
      <c r="C6" s="36" t="inlineStr">
        <is>
          <t>New</t>
        </is>
      </c>
      <c r="D6" s="36" t="inlineStr">
        <is>
          <t>Mar</t>
        </is>
      </c>
      <c r="E6" s="36" t="inlineStr">
        <is>
          <t>Cycling</t>
        </is>
      </c>
      <c r="F6" s="36" t="inlineStr">
        <is>
          <t>Belgium</t>
        </is>
      </c>
      <c r="G6" s="36" t="inlineStr">
        <is>
          <t>Carry-On Duffel</t>
        </is>
      </c>
    </row>
    <row r="7">
      <c r="A7" s="36" t="inlineStr">
        <is>
          <t>Southern Europe</t>
        </is>
      </c>
      <c r="B7" s="36" t="inlineStr">
        <is>
          <t>Online Store</t>
        </is>
      </c>
      <c r="C7" s="36" t="inlineStr">
        <is>
          <t>Returning</t>
        </is>
      </c>
      <c r="D7" s="36" t="inlineStr">
        <is>
          <t>Apr</t>
        </is>
      </c>
      <c r="E7" s="36" t="inlineStr">
        <is>
          <t>Fitness</t>
        </is>
      </c>
      <c r="F7" s="36" t="inlineStr">
        <is>
          <t>Czechia</t>
        </is>
      </c>
      <c r="G7" s="36" t="inlineStr">
        <is>
          <t>Commuter Helmet</t>
        </is>
      </c>
    </row>
    <row r="8">
      <c r="A8" s="36" t="inlineStr">
        <is>
          <t>Western Europe</t>
        </is>
      </c>
      <c r="B8" s="36" t="inlineStr">
        <is>
          <t>Retail Partners</t>
        </is>
      </c>
      <c r="D8" s="36" t="inlineStr">
        <is>
          <t>May</t>
        </is>
      </c>
      <c r="E8" s="36" t="inlineStr">
        <is>
          <t>Hiking</t>
        </is>
      </c>
      <c r="F8" s="36" t="inlineStr">
        <is>
          <t>Denmark</t>
        </is>
      </c>
      <c r="G8" s="36" t="inlineStr">
        <is>
          <t>Compact Repair Kit</t>
        </is>
      </c>
    </row>
    <row r="9">
      <c r="D9" s="36" t="inlineStr">
        <is>
          <t>Jun</t>
        </is>
      </c>
      <c r="E9" s="36" t="inlineStr">
        <is>
          <t>Travel</t>
        </is>
      </c>
      <c r="F9" s="36" t="inlineStr">
        <is>
          <t>Finland</t>
        </is>
      </c>
      <c r="G9" s="36" t="inlineStr">
        <is>
          <t>Compact Sleeping Bag</t>
        </is>
      </c>
    </row>
    <row r="10">
      <c r="D10" s="36" t="inlineStr">
        <is>
          <t>Jul</t>
        </is>
      </c>
      <c r="F10" s="36" t="inlineStr">
        <is>
          <t>France</t>
        </is>
      </c>
      <c r="G10" s="36" t="inlineStr">
        <is>
          <t>Cycling Pack 12L</t>
        </is>
      </c>
    </row>
    <row r="11">
      <c r="D11" s="36" t="inlineStr">
        <is>
          <t>Aug</t>
        </is>
      </c>
      <c r="F11" s="36" t="inlineStr">
        <is>
          <t>Germany</t>
        </is>
      </c>
      <c r="G11" s="36" t="inlineStr">
        <is>
          <t>Hiking Daypack 20L</t>
        </is>
      </c>
    </row>
    <row r="12">
      <c r="D12" s="36" t="inlineStr">
        <is>
          <t>Sep</t>
        </is>
      </c>
      <c r="F12" s="36" t="inlineStr">
        <is>
          <t>Ireland</t>
        </is>
      </c>
      <c r="G12" s="36" t="inlineStr">
        <is>
          <t>Insulated Bottle</t>
        </is>
      </c>
    </row>
    <row r="13">
      <c r="D13" s="36" t="inlineStr">
        <is>
          <t>Oct</t>
        </is>
      </c>
      <c r="F13" s="36" t="inlineStr">
        <is>
          <t>Italy</t>
        </is>
      </c>
      <c r="G13" s="36" t="inlineStr">
        <is>
          <t>Packing Cube Set</t>
        </is>
      </c>
    </row>
    <row r="14">
      <c r="D14" s="36" t="inlineStr">
        <is>
          <t>Nov</t>
        </is>
      </c>
      <c r="F14" s="36" t="inlineStr">
        <is>
          <t>Netherlands</t>
        </is>
      </c>
      <c r="G14" s="36" t="inlineStr">
        <is>
          <t>Portable Camp Stove</t>
        </is>
      </c>
    </row>
    <row r="15">
      <c r="D15" s="36" t="inlineStr">
        <is>
          <t>Dec</t>
        </is>
      </c>
      <c r="F15" s="36" t="inlineStr">
        <is>
          <t>Norway</t>
        </is>
      </c>
      <c r="G15" s="36" t="inlineStr">
        <is>
          <t>Recovery Roller</t>
        </is>
      </c>
    </row>
    <row r="16">
      <c r="F16" s="36" t="inlineStr">
        <is>
          <t>Poland</t>
        </is>
      </c>
      <c r="G16" s="36" t="inlineStr">
        <is>
          <t>Resistance Band Set</t>
        </is>
      </c>
    </row>
    <row r="17">
      <c r="F17" s="36" t="inlineStr">
        <is>
          <t>Portugal</t>
        </is>
      </c>
      <c r="G17" s="36" t="inlineStr">
        <is>
          <t>Summit Backpack 45L</t>
        </is>
      </c>
    </row>
    <row r="18">
      <c r="F18" s="36" t="inlineStr">
        <is>
          <t>Spain</t>
        </is>
      </c>
      <c r="G18" s="36" t="inlineStr">
        <is>
          <t>Trail Bike Light</t>
        </is>
      </c>
    </row>
    <row r="19">
      <c r="F19" s="36" t="inlineStr">
        <is>
          <t>Sweden</t>
        </is>
      </c>
      <c r="G19" s="36" t="inlineStr">
        <is>
          <t>Trail Boots</t>
        </is>
      </c>
    </row>
    <row r="20">
      <c r="F20" s="36" t="inlineStr">
        <is>
          <t>Switzerland</t>
        </is>
      </c>
      <c r="G20" s="36" t="inlineStr">
        <is>
          <t>Trail Tent 2P</t>
        </is>
      </c>
    </row>
    <row r="21">
      <c r="F21" s="36" t="inlineStr">
        <is>
          <t>United Kingdom</t>
        </is>
      </c>
      <c r="G21" s="36" t="inlineStr">
        <is>
          <t>Training Mat</t>
        </is>
      </c>
    </row>
    <row r="22">
      <c r="G22" s="36" t="inlineStr">
        <is>
          <t>Travel Backpack 35L</t>
        </is>
      </c>
    </row>
    <row r="23">
      <c r="G23" s="36" t="inlineStr">
        <is>
          <t>Trekking Poles</t>
        </is>
      </c>
    </row>
    <row r="24">
      <c r="G24" s="36" t="inlineStr">
        <is>
          <t>Weighted Vest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CA3AF"/>
    <outlinePr summaryBelow="1" summaryRight="1"/>
    <pageSetUpPr/>
  </sheetPr>
  <dimension ref="B1:H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95" customWidth="1" min="3" max="3"/>
    <col width="13" customWidth="1" min="5" max="5"/>
    <col width="13" customWidth="1" min="6" max="6"/>
    <col width="13" customWidth="1" min="7" max="7"/>
    <col width="13" customWidth="1" min="8" max="8"/>
  </cols>
  <sheetData>
    <row r="1">
      <c r="B1" s="48" t="inlineStr">
        <is>
          <t>Guide</t>
        </is>
      </c>
      <c r="E1" s="5" t="inlineStr">
        <is>
          <t>Dashboard</t>
        </is>
      </c>
      <c r="F1" s="5" t="inlineStr">
        <is>
          <t>Analysis</t>
        </is>
      </c>
      <c r="G1" s="5" t="inlineStr">
        <is>
          <t>Data</t>
        </is>
      </c>
      <c r="H1" s="3" t="inlineStr">
        <is>
          <t>Guide</t>
        </is>
      </c>
    </row>
    <row r="3" ht="52" customHeight="1">
      <c r="B3" s="49" t="inlineStr">
        <is>
          <t>How to use</t>
        </is>
      </c>
      <c r="C3" s="50" t="inlineStr">
        <is>
          <t>Use the 8 orange dropdowns on the Dashboard (Region, Country, Channel, Customer, Category, Product, From/To month). Everything recalculates instantly. Set a dropdown back to "All" to clear it.</t>
        </is>
      </c>
    </row>
    <row r="5" ht="52" customHeight="1">
      <c r="B5" s="49" t="inlineStr">
        <is>
          <t>Cross-filtering</t>
        </is>
      </c>
      <c r="C5" s="50" t="inlineStr">
        <is>
          <t>Every chart ignores its OWN filter and shows the selected bar in colour while other bars turn grey (Power BI style); all other visuals, KPIs and highlights filter to the selection. Without macros you choose the item in the dropdown; with the macro in CrossFilter_Macro.txt you click the bar, month or map tile directly. Clicking it again clears it. Clicking the ORDERS SHOWN box resets all filters.</t>
        </is>
      </c>
    </row>
    <row r="7" ht="52" customHeight="1">
      <c r="B7" s="49" t="inlineStr">
        <is>
          <t>Navigation</t>
        </is>
      </c>
      <c r="C7" s="50" t="inlineStr">
        <is>
          <t>Use the Dashboard | Analysis | Data | Guide buttons at the top of every sheet.</t>
        </is>
      </c>
    </row>
    <row r="9" ht="52" customHeight="1">
      <c r="B9" s="49" t="inlineStr">
        <is>
          <t>Data sheet</t>
        </is>
      </c>
      <c r="C9" s="50" t="inlineStr">
        <is>
          <t>Table "SalesData" - 2,707 orders. Revenue, COGS, Gross Profit, Margin, Year, Quarter and Month are formulas. Column U "In Filter" = 1 when a row passes every filter; columns V:AA are the same test with one filter left out (used so a chart can still show the bars that are not selected).</t>
        </is>
      </c>
    </row>
    <row r="11" ht="52" customHeight="1">
      <c r="B11" s="49" t="inlineStr">
        <is>
          <t>To add data</t>
        </is>
      </c>
      <c r="C11" s="50" t="inlineStr">
        <is>
          <t>Paste new rows under the table, extend the formulas in M:AA, and widen the ranges (rows 4 to 2710).</t>
        </is>
      </c>
    </row>
    <row r="13" ht="52" customHeight="1">
      <c r="B13" s="49" t="inlineStr">
        <is>
          <t>Analysis sheet</t>
        </is>
      </c>
      <c r="C13" s="50" t="inlineStr">
        <is>
          <t>All calculations: KPIs, monthly trend and sorted blocks for category, channel, customer type, country and top-5 products. Highlights strip is in G3:H9.</t>
        </is>
      </c>
    </row>
    <row r="15" ht="52" customHeight="1">
      <c r="B15" s="49" t="inlineStr">
        <is>
          <t>Definitions</t>
        </is>
      </c>
      <c r="C15" s="50" t="inlineStr">
        <is>
          <t>Revenue = Units x Unit Price x (1 - Discount). COGS = Units x Unit Cost. Gross Profit = Revenue - COGS. Avg Order Value = Revenue / Orders. Avg Unit Price = Revenue / Units.</t>
        </is>
      </c>
    </row>
    <row r="17" ht="52" customHeight="1">
      <c r="B17" s="49" t="inlineStr">
        <is>
          <t>Protection</t>
        </is>
      </c>
      <c r="C17" s="50" t="inlineStr">
        <is>
          <t>The Dashboard sheet is protected (no password); only orange filter cells are editable. To edit the layout: Review &gt; Unprotect Sheet. The macro re-protects it in a chart-friendly way each time the file opens.</t>
        </is>
      </c>
    </row>
    <row r="19" ht="52" customHeight="1">
      <c r="B19" s="49" t="inlineStr">
        <is>
          <t>Limits</t>
        </is>
      </c>
      <c r="C19" s="50" t="inlineStr">
        <is>
          <t>Dropdowns/macro clicks replace slicers and the timeline; cells replace pivot tables and the filled map. Chart-click filtering needs the macro and desktop Excel (Windows or Mac); it does not run in Excel for the web or mobile.</t>
        </is>
      </c>
    </row>
  </sheetData>
  <hyperlinks>
    <hyperlink ref="E1" location="'Dashboard'!A1" display="Dashboard"/>
    <hyperlink ref="F1" location="'Analysis'!A1" display="Analysis"/>
    <hyperlink ref="G1" location="'Data'!A1" display="Data"/>
    <hyperlink ref="H1" location="'Guide'!A1" display="Guide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Sales Analytics</dc:creator>
  <dc:title xmlns:dc="http://purl.org/dc/elements/1.1/">Sales Performance Dashboard FY2026</dc:title>
  <dcterms:created xmlns:dcterms="http://purl.org/dc/terms/" xmlns:xsi="http://www.w3.org/2001/XMLSchema-instance" xsi:type="dcterms:W3CDTF">2026-10-04T02:43:58Z</dcterms:created>
  <dcterms:modified xmlns:dcterms="http://purl.org/dc/terms/" xmlns:xsi="http://www.w3.org/2001/XMLSchema-instance" xsi:type="dcterms:W3CDTF">2026-10-04T02:44:01Z</dcterms:modified>
</cp:coreProperties>
</file>